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Insights" sheetId="2" state="visible" r:id="rId4"/>
    <sheet name="VD Content" sheetId="3" state="visible" r:id="rId5"/>
    <sheet name="Products" sheetId="4" state="visible" r:id="rId6"/>
    <sheet name="Keyword List" sheetId="5" state="visible" r:id="rId7"/>
    <sheet name="Semrush Batches" sheetId="6" state="visible" r:id="rId8"/>
    <sheet name="Semrush Data" sheetId="7" state="visible" r:id="rId9"/>
    <sheet name="Google Autocomplete" sheetId="8" state="visible" r:id="rId10"/>
  </sheets>
  <definedNames>
    <definedName function="false" hidden="true" localSheetId="7" name="_xlnm._FilterDatabase" vbProcedure="false">'Google Autocomplete'!$A$1:$C$3729</definedName>
    <definedName function="false" hidden="true" localSheetId="4" name="_xlnm._FilterDatabase" vbProcedure="false">'Keyword List'!$A$1:$J$3842</definedName>
    <definedName function="false" hidden="true" localSheetId="3" name="_xlnm._FilterDatabase" vbProcedure="false">Products!$A$1:$AF$547</definedName>
    <definedName function="false" hidden="true" localSheetId="6" name="_xlnm._FilterDatabase" vbProcedure="false">'Semrush Data'!$A$1:$H$1315</definedName>
    <definedName function="false" hidden="true" localSheetId="2" name="_xlnm._FilterDatabase" vbProcedure="false">'VD Content'!$A$1:$T$160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<sst xmlns="http://schemas.openxmlformats.org/spreadsheetml/2006/main" count="41376" uniqueCount="9860">
  <si>
    <t xml:space="preserve">Swansura keyword research — product pages</t>
  </si>
  <si>
    <t xml:space="preserve">Built 18 Oct 2026 from "Swansura_Vilvah_Deyga_Fragrance_Data_Sheet" (546 products: 159 Vilvah &amp; Deyga, 387 fragrance). Keywords are generated from each product name plus real Google UK autocomplete suggestions (google.co.uk, en-GB, collected 18 Oct 2026).</t>
  </si>
  <si>
    <t xml:space="preserve">How to add search volumes (Semrush)</t>
  </si>
  <si>
    <t xml:space="preserve">1. Open the "Semrush Batches" tab. Each column is one batch of up to 100 keywords, in priority order (Tier 1 first).</t>
  </si>
  <si>
    <t xml:space="preserve">2. In Semrush go to Keyword Overview, set the database to United Kingdom, paste one batch and click Analyze.</t>
  </si>
  <si>
    <t xml:space="preserve">3. Export the results (Excel/CSV), then paste the export INCLUDING its header row into the "Semrush Data" tab, starting at cell A1. Add later batches below the previous ones (skip their header rows).</t>
  </si>
  <si>
    <t xml:space="preserve">4. Volume, Keyword Difficulty, CPC and Intent fill in automatically on "Products" and "Keyword List". "Primary keyword" picks the highest-volume variant for each product.</t>
  </si>
  <si>
    <t xml:space="preserve">Tip: Tier 1 alone (batches 1–9) covers every product's core keyword plus brand, category and concern terms — start there.</t>
  </si>
  <si>
    <t xml:space="preserve">Tiers</t>
  </si>
  <si>
    <t xml:space="preserve">Tier 1 — core product keyword (brand + product), brand terms, category and concern terms (e.g. "face wash for dry skin").</t>
  </si>
  <si>
    <t xml:space="preserve">Tier 2 — product + "uk", product + concentration (e.g. "... eau de parfum").</t>
  </si>
  <si>
    <t xml:space="preserve">Tier 3 — commercial modifiers ("buy ... online", "... price") and Google autocomplete suggestions.</t>
  </si>
  <si>
    <t xml:space="preserve">Where to use the keywords</t>
  </si>
  <si>
    <t xml:space="preserve">Primary keyword → H1 and the start of the meta title. Product + UK / buy online → meta description and first sentence of the product copy. Category / concern terms → collection pages, product FAQs and internal links. Autocomplete phrases → FAQ questions and "how to use" copy.</t>
  </si>
  <si>
    <t xml:space="preserve">The draft H1, meta title and meta description columns on "Products" follow the 50–60 / 140–160 character targets in your sheet; length columns turn red when outside the range.</t>
  </si>
  <si>
    <t xml:space="preserve">Notes and assumptions</t>
  </si>
  <si>
    <t xml:space="preserve">• Keywords are lower-case and accent-free, as people type them. Sizes (100ml), "for women", "luxury" etc. are removed from the core keyword.</t>
  </si>
  <si>
    <t xml:space="preserve">• "Brand note" flags catalogue issues found while building keywords: products filed under Generic / Swansura - The Body Studio, brand spellings (e.g. Tomford → Tom Ford) and names that mention a different brand than the Brand column.</t>
  </si>
  <si>
    <t xml:space="preserve">• Volumes are blank until Semrush data is pasted in. Cells show "" (blank) for keywords Semrush has no data for — treat those as zero/very low volume.</t>
  </si>
  <si>
    <t xml:space="preserve">• Meta descriptions use "free UK delivery over £50" and "100% authentic" from the current site; confirm before publishing.</t>
  </si>
  <si>
    <t xml:space="preserve">Semrush runs actually used (Oct 2026)</t>
  </si>
  <si>
    <t xml:space="preserve">Tier 1 = batches 1–9 (900 keywords). Focused Tier 2 = T2 Batch 1–3 (242). Small Tier 3 = T3 Batch 1–2 (172).</t>
  </si>
  <si>
    <t xml:space="preserve">Batches 10–38 were the original full plan and are greyed out as SKIPPED: the 324 useful keywords from them are in T2/T3; the other 2,527 (buy/price/uk/type variants and autocomplete for low-demand products) were left out because even top-100 "+ uk" variants had a median volume of 0.</t>
  </si>
  <si>
    <t xml:space="preserve">Semrush insights — UK, Tiers 1–3</t>
  </si>
  <si>
    <t xml:space="preserve">Figures are formulas over the "Semrush Data" tab (Semrush Keyword Overview, UK database: Tier 1 batches 1–9, Tier 2 T2-1 to T2-3, Tier 3 T3-1 to T3-2, Oct 2026). Volume = average monthly UK searches; KD = keyword difficulty 0–100; 0 / blank = no Semrush data.</t>
  </si>
  <si>
    <t xml:space="preserve">Summary</t>
  </si>
  <si>
    <t xml:space="preserve">Keywords checked in Semrush</t>
  </si>
  <si>
    <t xml:space="preserve">Keywords with UK search volume</t>
  </si>
  <si>
    <t xml:space="preserve">Products whose primary keyword has volume</t>
  </si>
  <si>
    <t xml:space="preserve">…of which Vilvah &amp; Deyga (of 159)</t>
  </si>
  <si>
    <t xml:space="preserve">…of which fragrance (of 387)</t>
  </si>
  <si>
    <t xml:space="preserve">Total monthly searches for product primary keywords</t>
  </si>
  <si>
    <t xml:space="preserve">What the data says</t>
  </si>
  <si>
    <t xml:space="preserve">1. Fragrance carries the search demand: designer lines (Dior Sauvage, Tom Ford, Gucci, Marc Jacobs, Calvin Klein) get thousands of searches a month, but big retailers own page 1, so pick the lower-KD ones (KD ≤ 20) first.</t>
  </si>
  <si>
    <t xml:space="preserve">2. Vilvah and Deyga product names get very few searches (10–30 a month each); "vilvah" (480), "vilvah milk drops" (390) and "deyga" (140) are the brand terms people use. Brand pages + the Milk Drops page should target these.</t>
  </si>
  <si>
    <t xml:space="preserve">3. The skincare opportunity is non-branded: "moisturiser for dry skin" (2,900), "hair mask for dry hair" (2,400), "hair oil for dry hair" (1,900), "face wash for dry/oily skin" (1,600 each), "shampoo for dandruff" (1,600). Build concern collection pages for these and use the phrases in Vilvah/Deyga product copy and FAQs.</t>
  </si>
  <si>
    <t xml:space="preserve">4. Product pages: keep the brand + product name as H1 (it is the primary keyword for 265 products); add the matching concern phrase in the first paragraph and meta description.</t>
  </si>
  <si>
    <t xml:space="preserve">5. Tier 2 checked perfume-type / "+ uk" variants for the top 100 fragrances and generic ingredient and product-type terms; the Primary keyword per product now picks the highest-volume variant.</t>
  </si>
  <si>
    <t xml:space="preserve">Top 50 hero products</t>
  </si>
  <si>
    <t xml:space="preserve">Ranked by primary-keyword volume, KD as tie-break. Suggested set for the "premium description rewrite × 50" in the quote. Ranking is a snapshot; volumes are live formulas.</t>
  </si>
  <si>
    <t xml:space="preserve">ID</t>
  </si>
  <si>
    <t xml:space="preserve">Product</t>
  </si>
  <si>
    <t xml:space="preserve">Primary keyword</t>
  </si>
  <si>
    <t xml:space="preserve">Volume</t>
  </si>
  <si>
    <t xml:space="preserve">KD</t>
  </si>
  <si>
    <t xml:space="preserve">CPC ($)</t>
  </si>
  <si>
    <t xml:space="preserve">Ease</t>
  </si>
  <si>
    <t xml:space="preserve">Where to use</t>
  </si>
  <si>
    <t xml:space="preserve">FR-115</t>
  </si>
  <si>
    <t xml:space="preserve">Dior Sauvage Eau de Parfum 100ml + 10ml Men's Gift Set</t>
  </si>
  <si>
    <t xml:space="preserve">H1 + meta title + first sentence; long-form description (premium rewrite)</t>
  </si>
  <si>
    <t xml:space="preserve">FR-378</t>
  </si>
  <si>
    <t xml:space="preserve">Tom Ford Black Orchid Parfum 100ml Unisex</t>
  </si>
  <si>
    <t xml:space="preserve">FR-375</t>
  </si>
  <si>
    <t xml:space="preserve">Tom Ford Oud Wood Eau de Parfum 50ml Unisex</t>
  </si>
  <si>
    <t xml:space="preserve">FR-269</t>
  </si>
  <si>
    <t xml:space="preserve">Joop! Homme Eau de Toilette 200ml – Men's Warm Spicy Long lasting Fragrance</t>
  </si>
  <si>
    <t xml:space="preserve">FR-379</t>
  </si>
  <si>
    <t xml:space="preserve">Tom Ford Noir Extreme Parfum 100ml for Men</t>
  </si>
  <si>
    <t xml:space="preserve">FR-220</t>
  </si>
  <si>
    <t xml:space="preserve">Gucci Intense Oud Eau de Parfum Spray 90ml – Long Lasting Luxury Unisex Oud Fragrance</t>
  </si>
  <si>
    <t xml:space="preserve">FR-292</t>
  </si>
  <si>
    <t xml:space="preserve">Marc Jacobs Perfect Eau de Parfum 50ml – Women's Floral Fragrance</t>
  </si>
  <si>
    <t xml:space="preserve">FR-077</t>
  </si>
  <si>
    <t xml:space="preserve">Calvin Klein Eternity Eau de Parfum – Women's Classic Floral Fragrance</t>
  </si>
  <si>
    <t xml:space="preserve">FR-257</t>
  </si>
  <si>
    <t xml:space="preserve">Hugo Boss Bottled Eau de Parfum 200ml for Men</t>
  </si>
  <si>
    <t xml:space="preserve">FR-217</t>
  </si>
  <si>
    <t xml:space="preserve">Gucci Flora Gorgeous Gardenia Eau de Parfum 50ml – Women's Floral Fragrance</t>
  </si>
  <si>
    <t xml:space="preserve">FR-374</t>
  </si>
  <si>
    <t xml:space="preserve">Tom Ford Neroli Portofino Eau de Parfum 50ml Unisex</t>
  </si>
  <si>
    <t xml:space="preserve">FR-095</t>
  </si>
  <si>
    <t xml:space="preserve">Chloé Nomade Eau de Parfum 50ml – Women's Floral Chypre Fragrance</t>
  </si>
  <si>
    <t xml:space="preserve">FR-304</t>
  </si>
  <si>
    <t xml:space="preserve">Paloma Picasso Eau de Toilette 100ml – Women's Chypre Floral Fragrance</t>
  </si>
  <si>
    <t xml:space="preserve">FR-015</t>
  </si>
  <si>
    <t xml:space="preserve">Al Haramain Amber Oud Eau de Parfum 60ml – Luxury Unisex Amber Woody Fragrance</t>
  </si>
  <si>
    <t xml:space="preserve">FR-291</t>
  </si>
  <si>
    <t xml:space="preserve">Marc Jacobs Honey Eau de Parfum 100ml – Women's Floral Fruity Fragrance</t>
  </si>
  <si>
    <t xml:space="preserve">FR-068</t>
  </si>
  <si>
    <t xml:space="preserve">Bvlgari Man in Black Eau de Parfum 100ml – Luxury Men's Fragrance</t>
  </si>
  <si>
    <t xml:space="preserve">FR-222</t>
  </si>
  <si>
    <t xml:space="preserve">Gucci Guilty Pour Homme Eau de Toilette 90ml – Men's Woody Aromatic Fragrance</t>
  </si>
  <si>
    <t xml:space="preserve">FR-184</t>
  </si>
  <si>
    <t xml:space="preserve">Game of Spades Full House Unisex Eau de Parfum 100ml</t>
  </si>
  <si>
    <t xml:space="preserve">FR-302</t>
  </si>
  <si>
    <t xml:space="preserve">Nina Ricci L'Air du Temps Eau de Toilette– Women's Floral Fragrance</t>
  </si>
  <si>
    <t xml:space="preserve">FR-058</t>
  </si>
  <si>
    <t xml:space="preserve">Bentley For Men Azure Eau de Toilette 100ml – Men's Fresh Aquatic Woody Fragrance</t>
  </si>
  <si>
    <t xml:space="preserve">FR-260</t>
  </si>
  <si>
    <t xml:space="preserve">Hugo Boss HUGO Man Eau de Toilette 125ml for Men</t>
  </si>
  <si>
    <t xml:space="preserve">FR-082</t>
  </si>
  <si>
    <t xml:space="preserve">Calvin Klein Defy Parfum – Men's Warm Woody Fragrance</t>
  </si>
  <si>
    <t xml:space="preserve">FR-112</t>
  </si>
  <si>
    <t xml:space="preserve">Davidoff The Game Eau de Toilette 100ml – Men's Woody Aromatic Fragrance</t>
  </si>
  <si>
    <t xml:space="preserve">FR-022</t>
  </si>
  <si>
    <t xml:space="preserve">Al Haramain L'Aventure Eau de Parfum 100ml – Men's Fresh Woody Longlasting Fragrance</t>
  </si>
  <si>
    <t xml:space="preserve">FR-377</t>
  </si>
  <si>
    <t xml:space="preserve">Tom Ford Ébène Fumé Eau de Parfum 50ml Unisex</t>
  </si>
  <si>
    <t xml:space="preserve">FR-193</t>
  </si>
  <si>
    <t xml:space="preserve">Game of Spades Wildcard Unisex Eau de Parfum 100ml</t>
  </si>
  <si>
    <t xml:space="preserve">FR-122</t>
  </si>
  <si>
    <t xml:space="preserve">Dolce &amp; Gabbana The One for Men Eau de Parfum 100ml – Luxury Men's Fragrance</t>
  </si>
  <si>
    <t xml:space="preserve">FR-335</t>
  </si>
  <si>
    <t xml:space="preserve">Acqua di Parma Zafferano EDP 20ml Unisex</t>
  </si>
  <si>
    <t xml:space="preserve">FR-365</t>
  </si>
  <si>
    <t xml:space="preserve">Kirke Extrait de Parfum 100ml – Luxury Unisex Fruity Niche Perfume</t>
  </si>
  <si>
    <t xml:space="preserve">FR-261</t>
  </si>
  <si>
    <t xml:space="preserve">Hugo Boss Alive Eau de Parfum 80ml + Body Lotion 75ml Gift Set for Women</t>
  </si>
  <si>
    <t xml:space="preserve">FR-016</t>
  </si>
  <si>
    <t xml:space="preserve">Al Haramain Amber Oud Gold Edition Eau de Parfum – Luxury Unisex Fruity Amber Fragrance</t>
  </si>
  <si>
    <t xml:space="preserve">FR-105</t>
  </si>
  <si>
    <t xml:space="preserve">Chopard Oud Malaki Eau de Parfum 80ml – Luxury Men's Oud Fragrance</t>
  </si>
  <si>
    <t xml:space="preserve">FR-232</t>
  </si>
  <si>
    <t xml:space="preserve">Guerlain Oud Essentiel Eau de Parfum 125ml – Luxury Unisex Oud Woody Fragrance</t>
  </si>
  <si>
    <t xml:space="preserve">FR-214</t>
  </si>
  <si>
    <t xml:space="preserve">Givenchy Amarige Eau de Toilette 100ml – Women's Floral Fragrance</t>
  </si>
  <si>
    <t xml:space="preserve">FR-008</t>
  </si>
  <si>
    <t xml:space="preserve">Acqua di Parma Sandalo EDP 20ml Unisex</t>
  </si>
  <si>
    <t xml:space="preserve">FR-018</t>
  </si>
  <si>
    <t xml:space="preserve">Al Haramain Amber Oud Tobacco Edition Eau de Parfum 60ml – Luxury Unisex Spicy Tobacco Fragrance</t>
  </si>
  <si>
    <t xml:space="preserve">FR-110</t>
  </si>
  <si>
    <t xml:space="preserve">Davidoff Champion Eau de Toilette 90ml – Men's Fresh Woody Aromatic Fragrance</t>
  </si>
  <si>
    <t xml:space="preserve">FR-146</t>
  </si>
  <si>
    <t xml:space="preserve">Elie Saab Elixir Eau de Parfum 50ml – Women's Floral Amber Fragrance</t>
  </si>
  <si>
    <t xml:space="preserve">FR-229</t>
  </si>
  <si>
    <t xml:space="preserve">Guerlain Habit Rouge Eau de Parfum 100ml – Luxury Men's Amber Woody Fragrance</t>
  </si>
  <si>
    <t xml:space="preserve">FR-233</t>
  </si>
  <si>
    <t xml:space="preserve">Guerlain Samsara Eau de Parfum 75ml – Luxury Women's Floral Woody Longlasting Fragrance</t>
  </si>
  <si>
    <t xml:space="preserve">FR-158</t>
  </si>
  <si>
    <t xml:space="preserve">Escada Magnetism Eau de Parfum 25ml – Women's Fruity Floral Fragrance</t>
  </si>
  <si>
    <t xml:space="preserve">FR-093</t>
  </si>
  <si>
    <t xml:space="preserve">Carolina Herrera 212 VIP Men Eau de Toilette 100ml – Men's Aromatic Woody Fragrance</t>
  </si>
  <si>
    <t xml:space="preserve">FR-117</t>
  </si>
  <si>
    <t xml:space="preserve">DKNY Be Tempted Eau de Parfum 100ml – Women's Fruity Floral Gourmand Fragrance</t>
  </si>
  <si>
    <t xml:space="preserve">FR-007</t>
  </si>
  <si>
    <t xml:space="preserve">Acqua di Parma Sakura EDP 20ml Unisex Perfume</t>
  </si>
  <si>
    <t xml:space="preserve">FR-088</t>
  </si>
  <si>
    <t xml:space="preserve">Carolina Herrera Bad Boy Extreme Eau de Parfum – Men's Warm Spicy Amber Fragrance</t>
  </si>
  <si>
    <t xml:space="preserve">FR-043</t>
  </si>
  <si>
    <t xml:space="preserve">Anna Sui Sky Eau de Toilette 30ml – Women's Fruity Floral Gourmand Fragrance</t>
  </si>
  <si>
    <t xml:space="preserve">FR-006</t>
  </si>
  <si>
    <t xml:space="preserve">Acqua di Parma Rosa Nobile EDP 20ml for Women</t>
  </si>
  <si>
    <t xml:space="preserve">FR-287</t>
  </si>
  <si>
    <t xml:space="preserve">Lancôme Idôle Nectar Eau de Parfum 25ml – Women's Floral Gourmand Fragrance</t>
  </si>
  <si>
    <t xml:space="preserve">FR-070</t>
  </si>
  <si>
    <t xml:space="preserve">Bvlgari Omnia Amethyste Eau de Toilette 25ml – Women's Floral Fragrance</t>
  </si>
  <si>
    <t xml:space="preserve">FR-094</t>
  </si>
  <si>
    <t xml:space="preserve">Carolina Herrera Very Good Girl Glam Parfum 50ml – Women's Floral Fruity Gourmand Fragrance</t>
  </si>
  <si>
    <t xml:space="preserve">Non-branded skincare &amp; haircare opportunities</t>
  </si>
  <si>
    <t xml:space="preserve">Category and concern searches: the main organic opportunity for Vilvah &amp; Deyga.</t>
  </si>
  <si>
    <t xml:space="preserve">Keyword</t>
  </si>
  <si>
    <t xml:space="preserve">Type</t>
  </si>
  <si>
    <t xml:space="preserve">moisturiser for dry skin</t>
  </si>
  <si>
    <t xml:space="preserve">Category / concern</t>
  </si>
  <si>
    <t xml:space="preserve">Concern collection page (H1 + intro + FAQ); product copy &amp; meta description</t>
  </si>
  <si>
    <t xml:space="preserve">hair mask for dry hair</t>
  </si>
  <si>
    <t xml:space="preserve">hair oil for dry hair</t>
  </si>
  <si>
    <t xml:space="preserve">face wash for dry skin</t>
  </si>
  <si>
    <t xml:space="preserve">face wash for oily skin</t>
  </si>
  <si>
    <t xml:space="preserve">shampoo for dandruff</t>
  </si>
  <si>
    <t xml:space="preserve">body lotion for dry skin</t>
  </si>
  <si>
    <t xml:space="preserve">hair serum for frizzy hair</t>
  </si>
  <si>
    <t xml:space="preserve">lip balm for dry lips</t>
  </si>
  <si>
    <t xml:space="preserve">hair treatment for dry hair</t>
  </si>
  <si>
    <t xml:space="preserve">natural sunscreen uk</t>
  </si>
  <si>
    <t xml:space="preserve">Category page H1 / intro; homepage section</t>
  </si>
  <si>
    <t xml:space="preserve">toner for dry skin</t>
  </si>
  <si>
    <t xml:space="preserve">natural shampoo uk</t>
  </si>
  <si>
    <t xml:space="preserve">natural skincare uk</t>
  </si>
  <si>
    <t xml:space="preserve">skincare for dull skin</t>
  </si>
  <si>
    <t xml:space="preserve">body butter for dry skin</t>
  </si>
  <si>
    <t xml:space="preserve">hair oil for hair loss</t>
  </si>
  <si>
    <t xml:space="preserve">face mask for oily skin</t>
  </si>
  <si>
    <t xml:space="preserve">natural body wash uk</t>
  </si>
  <si>
    <t xml:space="preserve">natural lip balm uk</t>
  </si>
  <si>
    <t xml:space="preserve">hair oil for dandruff</t>
  </si>
  <si>
    <t xml:space="preserve">natural moisturiser uk</t>
  </si>
  <si>
    <t xml:space="preserve">natural body lotion uk</t>
  </si>
  <si>
    <t xml:space="preserve">shampoo for dry skin</t>
  </si>
  <si>
    <t xml:space="preserve">body scrub for dry skin</t>
  </si>
  <si>
    <t xml:space="preserve">deyga lip balm</t>
  </si>
  <si>
    <t xml:space="preserve">natural face wash uk</t>
  </si>
  <si>
    <t xml:space="preserve">deyga shampoo</t>
  </si>
  <si>
    <t xml:space="preserve">deyga skincare</t>
  </si>
  <si>
    <t xml:space="preserve">natural body scrub uk</t>
  </si>
  <si>
    <t xml:space="preserve">Ingredient &amp; product-type searches (Tier 2)</t>
  </si>
  <si>
    <t xml:space="preserve">Generic searches that match the Vilvah &amp; Deyga range: candidates for new collection pages, product-copy phrases and blog topics.</t>
  </si>
  <si>
    <t xml:space="preserve">vitamin c serum</t>
  </si>
  <si>
    <t xml:space="preserve">Generic product term</t>
  </si>
  <si>
    <t xml:space="preserve">New collection / keyword page + product copy</t>
  </si>
  <si>
    <t xml:space="preserve">face mask</t>
  </si>
  <si>
    <t xml:space="preserve">VD target keyword</t>
  </si>
  <si>
    <t xml:space="preserve">aloe vera gel</t>
  </si>
  <si>
    <t xml:space="preserve">niacinamide serum</t>
  </si>
  <si>
    <t xml:space="preserve">body scrub</t>
  </si>
  <si>
    <t xml:space="preserve">face serum</t>
  </si>
  <si>
    <t xml:space="preserve">sunscreen spf 50</t>
  </si>
  <si>
    <t xml:space="preserve">tinted sunscreen</t>
  </si>
  <si>
    <t xml:space="preserve">natural deodorant</t>
  </si>
  <si>
    <t xml:space="preserve">body butter</t>
  </si>
  <si>
    <t xml:space="preserve">lip scrub</t>
  </si>
  <si>
    <t xml:space="preserve">hair growth oil</t>
  </si>
  <si>
    <t xml:space="preserve">foot cream</t>
  </si>
  <si>
    <t xml:space="preserve">shampoo for hair loss</t>
  </si>
  <si>
    <t xml:space="preserve">spf lip balm</t>
  </si>
  <si>
    <t xml:space="preserve">natural sunscreen</t>
  </si>
  <si>
    <t xml:space="preserve">natural shampoo</t>
  </si>
  <si>
    <t xml:space="preserve">castor oil for hair</t>
  </si>
  <si>
    <t xml:space="preserve">henna hair dye</t>
  </si>
  <si>
    <t xml:space="preserve">night cream</t>
  </si>
  <si>
    <t xml:space="preserve">skincare gift set</t>
  </si>
  <si>
    <t xml:space="preserve">tinted lip balm</t>
  </si>
  <si>
    <t xml:space="preserve">under eye cream</t>
  </si>
  <si>
    <t xml:space="preserve">amla hair oil</t>
  </si>
  <si>
    <t xml:space="preserve">aluminium free deodorant</t>
  </si>
  <si>
    <t xml:space="preserve">natural hair dye</t>
  </si>
  <si>
    <t xml:space="preserve">moisturiser for oily skin</t>
  </si>
  <si>
    <t xml:space="preserve">tea tree face wash</t>
  </si>
  <si>
    <t xml:space="preserve">clay face mask</t>
  </si>
  <si>
    <t xml:space="preserve">natural skincare</t>
  </si>
  <si>
    <t xml:space="preserve">shampoo for dry hair</t>
  </si>
  <si>
    <t xml:space="preserve">face wash for sensitive skin</t>
  </si>
  <si>
    <t xml:space="preserve">natural body wash</t>
  </si>
  <si>
    <t xml:space="preserve">skincare for dry skin</t>
  </si>
  <si>
    <t xml:space="preserve">rice water shampoo</t>
  </si>
  <si>
    <t xml:space="preserve">natural lip balm</t>
  </si>
  <si>
    <t xml:space="preserve">moisturiser for sensitive skin</t>
  </si>
  <si>
    <t xml:space="preserve">vitamin c face wash</t>
  </si>
  <si>
    <t xml:space="preserve">under eye cream for dark circles</t>
  </si>
  <si>
    <t xml:space="preserve">natural deodorant for women</t>
  </si>
  <si>
    <t xml:space="preserve">conditioner for dry hair</t>
  </si>
  <si>
    <t xml:space="preserve">moisturiser for combination skin</t>
  </si>
  <si>
    <t xml:space="preserve">toner for oily skin</t>
  </si>
  <si>
    <t xml:space="preserve">paraben free shampoo</t>
  </si>
  <si>
    <t xml:space="preserve">natural moisturiser</t>
  </si>
  <si>
    <t xml:space="preserve">Questions &amp; buying searches (Tier 3)</t>
  </si>
  <si>
    <t xml:space="preserve">What people ask and how they shop for the hero and Vilvah &amp; Deyga products.</t>
  </si>
  <si>
    <t xml:space="preserve">joop homme</t>
  </si>
  <si>
    <t xml:space="preserve">Google suggest</t>
  </si>
  <si>
    <t xml:space="preserve">Product copy / secondary keyword</t>
  </si>
  <si>
    <t xml:space="preserve">dior sauvage parfum</t>
  </si>
  <si>
    <t xml:space="preserve">calvin klein eternity for women</t>
  </si>
  <si>
    <t xml:space="preserve">chloe nomade perfume</t>
  </si>
  <si>
    <t xml:space="preserve">calvin klein eternity for men</t>
  </si>
  <si>
    <t xml:space="preserve">marc jacobs perfect perfume</t>
  </si>
  <si>
    <t xml:space="preserve">paloma picasso perfume</t>
  </si>
  <si>
    <t xml:space="preserve">bentley azure for sale</t>
  </si>
  <si>
    <t xml:space="preserve">dior sauvage price</t>
  </si>
  <si>
    <t xml:space="preserve">Price</t>
  </si>
  <si>
    <t xml:space="preserve">Meta title / description wording</t>
  </si>
  <si>
    <t xml:space="preserve">dolce &amp; gabbana the one for men</t>
  </si>
  <si>
    <t xml:space="preserve">dolce &amp; gabbana the one edp</t>
  </si>
  <si>
    <t xml:space="preserve">bvlgari man in black parfum</t>
  </si>
  <si>
    <t xml:space="preserve">givenchy amarige perfume</t>
  </si>
  <si>
    <t xml:space="preserve">paloma picasso perfume 100ml</t>
  </si>
  <si>
    <t xml:space="preserve">dior sauvage extrait</t>
  </si>
  <si>
    <t xml:space="preserve">gucci intense oud review</t>
  </si>
  <si>
    <t xml:space="preserve">Product FAQ question</t>
  </si>
  <si>
    <t xml:space="preserve">guerlain habit rouge parfum</t>
  </si>
  <si>
    <t xml:space="preserve">marc jacobs honey review</t>
  </si>
  <si>
    <t xml:space="preserve">gucci intense oud price</t>
  </si>
  <si>
    <t xml:space="preserve">davidoff the game perfume</t>
  </si>
  <si>
    <t xml:space="preserve">gucci flora gorgeous gardenia dupe</t>
  </si>
  <si>
    <t xml:space="preserve">joop homme notes</t>
  </si>
  <si>
    <t xml:space="preserve">tom ford black orchid price</t>
  </si>
  <si>
    <t xml:space="preserve">tom ford oud wood price</t>
  </si>
  <si>
    <t xml:space="preserve">acqua di parma sakura review</t>
  </si>
  <si>
    <t xml:space="preserve">marc jacobs perfect notes</t>
  </si>
  <si>
    <t xml:space="preserve">bentley azure price</t>
  </si>
  <si>
    <t xml:space="preserve">anna sui sky review</t>
  </si>
  <si>
    <t xml:space="preserve">game of spades full house review</t>
  </si>
  <si>
    <t xml:space="preserve">game of spades wildcard review</t>
  </si>
  <si>
    <t xml:space="preserve">marc jacobs honey notes</t>
  </si>
  <si>
    <t xml:space="preserve">nina ricci l'air du temps perfume</t>
  </si>
  <si>
    <t xml:space="preserve">joop! homme price</t>
  </si>
  <si>
    <t xml:space="preserve">acqua di parma rosa nobile dupe</t>
  </si>
  <si>
    <t xml:space="preserve">acqua di parma rosa nobile review</t>
  </si>
  <si>
    <t xml:space="preserve">acqua di parma sandalo dupe</t>
  </si>
  <si>
    <t xml:space="preserve">acqua di parma sandalo review</t>
  </si>
  <si>
    <t xml:space="preserve">acqua di parma zafferano dupe</t>
  </si>
  <si>
    <t xml:space="preserve">acqua di parma zafferano review</t>
  </si>
  <si>
    <t xml:space="preserve">al haramain amber oud gold edition dupe of</t>
  </si>
  <si>
    <t xml:space="preserve">al haramain amber oud gold edition review</t>
  </si>
  <si>
    <t xml:space="preserve">al haramain amber oud tobacco edition dupe of</t>
  </si>
  <si>
    <t xml:space="preserve">al haramain amber oud tobacco edition review</t>
  </si>
  <si>
    <t xml:space="preserve">anna sui sky perfume review</t>
  </si>
  <si>
    <t xml:space="preserve">bentley azure 2026</t>
  </si>
  <si>
    <t xml:space="preserve">bvlgari man in black notes</t>
  </si>
  <si>
    <t xml:space="preserve">bvlgari omnia amethyste dupe</t>
  </si>
  <si>
    <t xml:space="preserve">bvlgari omnia amethyste review</t>
  </si>
  <si>
    <t xml:space="preserve">calvin klein defy perfume</t>
  </si>
  <si>
    <t xml:space="preserve">carolina herrera 212 vip men notes</t>
  </si>
  <si>
    <t xml:space="preserve">Vilvah &amp; Deyga brand searches</t>
  </si>
  <si>
    <t xml:space="preserve">What people type about the two partner brands.</t>
  </si>
  <si>
    <t xml:space="preserve">vilvah</t>
  </si>
  <si>
    <t xml:space="preserve">Brand</t>
  </si>
  <si>
    <t xml:space="preserve">Brand page title + intro</t>
  </si>
  <si>
    <t xml:space="preserve">vilvah milk drops</t>
  </si>
  <si>
    <t xml:space="preserve">Google suggest (brand)</t>
  </si>
  <si>
    <t xml:space="preserve">Product page H1 / meta (matching product)</t>
  </si>
  <si>
    <t xml:space="preserve">deyga</t>
  </si>
  <si>
    <t xml:space="preserve">vilvah store</t>
  </si>
  <si>
    <t xml:space="preserve">deyga organics</t>
  </si>
  <si>
    <t xml:space="preserve">vilvah uk</t>
  </si>
  <si>
    <t xml:space="preserve">deyga hair color</t>
  </si>
  <si>
    <t xml:space="preserve">deyga products</t>
  </si>
  <si>
    <t xml:space="preserve">vilvah official website</t>
  </si>
  <si>
    <t xml:space="preserve">vilvah products</t>
  </si>
  <si>
    <t xml:space="preserve">deyga beetroot lip balm</t>
  </si>
  <si>
    <t xml:space="preserve">deyga hair dye</t>
  </si>
  <si>
    <t xml:space="preserve">vilvah under eye cream</t>
  </si>
  <si>
    <t xml:space="preserve">deyga charcoal soap</t>
  </si>
  <si>
    <t xml:space="preserve">Fragrance brand &amp; scent-family searches</t>
  </si>
  <si>
    <t xml:space="preserve">Brand pages and scent-family collections. High-volume designer terms are hard (LOOKFANTASTIC, Boots, The Perfume Shop); target "Easier" ones first.</t>
  </si>
  <si>
    <t xml:space="preserve">ariana grande perfume</t>
  </si>
  <si>
    <t xml:space="preserve">Brand / family</t>
  </si>
  <si>
    <t xml:space="preserve">jimmy choo perfume</t>
  </si>
  <si>
    <t xml:space="preserve">ysl perfume</t>
  </si>
  <si>
    <t xml:space="preserve">tom ford perfume</t>
  </si>
  <si>
    <t xml:space="preserve">dior perfume</t>
  </si>
  <si>
    <t xml:space="preserve">marc jacobs perfume</t>
  </si>
  <si>
    <t xml:space="preserve">chloe perfume</t>
  </si>
  <si>
    <t xml:space="preserve">lancome perfume</t>
  </si>
  <si>
    <t xml:space="preserve">gucci perfume</t>
  </si>
  <si>
    <t xml:space="preserve">burberry perfume</t>
  </si>
  <si>
    <t xml:space="preserve">hugo boss perfume</t>
  </si>
  <si>
    <t xml:space="preserve">givenchy perfume</t>
  </si>
  <si>
    <t xml:space="preserve">guerlain perfume</t>
  </si>
  <si>
    <t xml:space="preserve">calvin klein perfume</t>
  </si>
  <si>
    <t xml:space="preserve">carolina herrera perfume</t>
  </si>
  <si>
    <t xml:space="preserve">bvlgari perfume</t>
  </si>
  <si>
    <t xml:space="preserve">dkny perfume</t>
  </si>
  <si>
    <t xml:space="preserve">giorgio armani perfume</t>
  </si>
  <si>
    <t xml:space="preserve">estee lauder perfume</t>
  </si>
  <si>
    <t xml:space="preserve">elie saab perfume</t>
  </si>
  <si>
    <t xml:space="preserve">elizabeth arden perfume</t>
  </si>
  <si>
    <t xml:space="preserve">hermes perfume</t>
  </si>
  <si>
    <t xml:space="preserve">juicy couture perfume</t>
  </si>
  <si>
    <t xml:space="preserve">nina ricci perfume</t>
  </si>
  <si>
    <t xml:space="preserve">escada perfume</t>
  </si>
  <si>
    <t xml:space="preserve">montale perfume</t>
  </si>
  <si>
    <t xml:space="preserve">anna sui perfume</t>
  </si>
  <si>
    <t xml:space="preserve">dunhill perfume</t>
  </si>
  <si>
    <t xml:space="preserve">jean paul perfume</t>
  </si>
  <si>
    <t xml:space="preserve">armaf perfume</t>
  </si>
  <si>
    <t xml:space="preserve">tom ford perfume for men</t>
  </si>
  <si>
    <t xml:space="preserve">davidoff perfume</t>
  </si>
  <si>
    <t xml:space="preserve">dolce &amp; gabbana perfume</t>
  </si>
  <si>
    <t xml:space="preserve">mancera perfume</t>
  </si>
  <si>
    <t xml:space="preserve">acqua di parma perfume</t>
  </si>
  <si>
    <t xml:space="preserve">dior perfume for women</t>
  </si>
  <si>
    <t xml:space="preserve">gucci perfume for women</t>
  </si>
  <si>
    <t xml:space="preserve">hollister perfume</t>
  </si>
  <si>
    <t xml:space="preserve">burberry perfume for women</t>
  </si>
  <si>
    <t xml:space="preserve">dior perfume for men</t>
  </si>
  <si>
    <t xml:space="preserve">Concern</t>
  </si>
  <si>
    <t xml:space="preserve">Target keyword</t>
  </si>
  <si>
    <t xml:space="preserve">Target vol.</t>
  </si>
  <si>
    <t xml:space="preserve">Target KD</t>
  </si>
  <si>
    <t xml:space="preserve">Brand keyword</t>
  </si>
  <si>
    <t xml:space="preserve">Brand vol.</t>
  </si>
  <si>
    <t xml:space="preserve">Collection page (link to)</t>
  </si>
  <si>
    <t xml:space="preserve">H1</t>
  </si>
  <si>
    <t xml:space="preserve">Meta title</t>
  </si>
  <si>
    <t xml:space="preserve">Title len</t>
  </si>
  <si>
    <t xml:space="preserve">Meta description</t>
  </si>
  <si>
    <t xml:space="preserve">Desc len</t>
  </si>
  <si>
    <t xml:space="preserve">Intro paragraph (first lines of product copy)</t>
  </si>
  <si>
    <t xml:space="preserve">FAQ ideas (Google autocomplete)</t>
  </si>
  <si>
    <t xml:space="preserve">Source description</t>
  </si>
  <si>
    <t xml:space="preserve">Claims check</t>
  </si>
  <si>
    <t xml:space="preserve">VD-001</t>
  </si>
  <si>
    <t xml:space="preserve">Vilvah</t>
  </si>
  <si>
    <t xml:space="preserve">Rosewater Facial Toner</t>
  </si>
  <si>
    <t xml:space="preserve">Toners</t>
  </si>
  <si>
    <t xml:space="preserve">Skin Nourishment</t>
  </si>
  <si>
    <t xml:space="preserve">/collections/toner-for-dry-skin</t>
  </si>
  <si>
    <t xml:space="preserve">Vilvah Rosewater Facial Toner</t>
  </si>
  <si>
    <t xml:space="preserve">Vilvah Rosewater Facial Toner | Toner for Dry Skin</t>
  </si>
  <si>
    <t xml:space="preserve">Buy Vilvah Rosewater Facial Toner, a natural toner for dry skin from Vilvah. Official UK partner: 100% authentic, shipped from the UK, free delivery over £50.</t>
  </si>
  <si>
    <t xml:space="preserve">Vilvah Rosewater Facial Toner is a natural toner for dry skin from Vilvah. 100% Natural Rose Hydrosol – Gently extracted from rose petals to preserve skin-loving nutrients. Hydrates &amp; Balances pH – Restores skin's natural moisture and maintains optimal pH levels. Swansura is an official UK partner of Vilvah, so every order is 100% authentic and ships from the UK.</t>
  </si>
  <si>
    <t xml:space="preserve">Matched</t>
  </si>
  <si>
    <t xml:space="preserve">VD-002</t>
  </si>
  <si>
    <t xml:space="preserve">Hair growth oil</t>
  </si>
  <si>
    <t xml:space="preserve">Hair Oil</t>
  </si>
  <si>
    <t xml:space="preserve">Hair Thinning &amp; Loss</t>
  </si>
  <si>
    <t xml:space="preserve">/collections/hair-growth-oil</t>
  </si>
  <si>
    <t xml:space="preserve">Vilvah Hair Growth Oil</t>
  </si>
  <si>
    <t xml:space="preserve">Vilvah Hair Growth Oil – Hair Growth Oil | Swansura</t>
  </si>
  <si>
    <t xml:space="preserve">Buy Vilvah Hair Growth Oil, a natural hair growth oil from Vilvah. Official UK partner: 100% authentic, shipped from the UK, free delivery over £50.</t>
  </si>
  <si>
    <t xml:space="preserve">Vilvah Hair Growth Oil is a natural hair growth oil from Vilvah. Combines Pumpkin Seed, Kalonji, Castor, and Grapeseed Oils to nourish and revitalize hair. Enriched with Vitamin E and essential fatty acids to fortify hair from root to tip. Swansura is an official UK partner of Vilvah, so every order is 100% authentic and ships from the UK.</t>
  </si>
  <si>
    <t xml:space="preserve">vilvah hair growth oil review · vilvah hair growth oil how to use · vilvah hair growth oil benefits · vilvah hair growth oil india · vilvah hair growth oil review before and after · vilvah hair growth oil amazon</t>
  </si>
  <si>
    <t xml:space="preserve">Review: source copy has medical-style claims (kept out of intro)</t>
  </si>
  <si>
    <t xml:space="preserve">VD-003</t>
  </si>
  <si>
    <t xml:space="preserve">Classic Goatmilk Soap</t>
  </si>
  <si>
    <t xml:space="preserve">Bath &amp; Body Wash</t>
  </si>
  <si>
    <t xml:space="preserve">Body Cleansing</t>
  </si>
  <si>
    <t xml:space="preserve">/collections/shower-gel-body-wash</t>
  </si>
  <si>
    <t xml:space="preserve">Vilvah Classic Goatmilk Soap</t>
  </si>
  <si>
    <t xml:space="preserve">Vilvah Classic Goatmilk Soap – Natural Body Wash | Swansura</t>
  </si>
  <si>
    <t xml:space="preserve">Buy Vilvah Classic Goatmilk Soap, a natural body wash from Vilvah. Official UK partner: 100% authentic, shipped from the UK, free delivery over £50.</t>
  </si>
  <si>
    <t xml:space="preserve">Vilvah Classic Goatmilk Soap is a natural body wash from Vilvah. Swansura is an official UK partner of Vilvah, so every order is 100% authentic and ships from the UK.</t>
  </si>
  <si>
    <t xml:space="preserve">Not found – write from pack</t>
  </si>
  <si>
    <t xml:space="preserve">VD-004</t>
  </si>
  <si>
    <t xml:space="preserve">Deo Shot - Rose and Vanilla</t>
  </si>
  <si>
    <t xml:space="preserve">Deodorant</t>
  </si>
  <si>
    <t xml:space="preserve">Body Hydration</t>
  </si>
  <si>
    <t xml:space="preserve">/collections/deodorant</t>
  </si>
  <si>
    <t xml:space="preserve">Vilvah Deo Shot - Rose and Vanilla</t>
  </si>
  <si>
    <t xml:space="preserve">Vilvah Deo Shot - Rose and Vanilla | Natural Deodorant</t>
  </si>
  <si>
    <t xml:space="preserve">Buy Vilvah Deo Shot - Rose and Vanilla, a natural deodorant from Vilvah. Official UK partner: 100% authentic, shipped from the UK, free delivery over £50.</t>
  </si>
  <si>
    <t xml:space="preserve">Vilvah Deo Shot - Rose and Vanilla is a natural deodorant from Vilvah. 24-Hour Odour Protection: Provides all-day freshness by neutralizing odour-causing bacteria. Crafted with virgin coconut oil, shea butter, and jojoba oil to nourish and protect the skin. Swansura is an official UK partner of Vilvah, so every order is 100% authentic and ships from the UK.</t>
  </si>
  <si>
    <t xml:space="preserve">VD-005</t>
  </si>
  <si>
    <t xml:space="preserve">Skin finish Sunscreen SPF 50</t>
  </si>
  <si>
    <t xml:space="preserve">SPF for Face</t>
  </si>
  <si>
    <t xml:space="preserve">Sun Protection</t>
  </si>
  <si>
    <t xml:space="preserve">/collections/natural-sunscreen</t>
  </si>
  <si>
    <t xml:space="preserve">Vilvah Skin Finish Sunscreen SPF 50</t>
  </si>
  <si>
    <t xml:space="preserve">Vilvah Skin Finish Sunscreen SPF 50 | Natural Sunscreen</t>
  </si>
  <si>
    <t xml:space="preserve">Buy Vilvah Skin Finish Sunscreen SPF 50, a natural sunscreen from Vilvah. Official UK partner: 100% authentic, shipped from the UK, free delivery over £50.</t>
  </si>
  <si>
    <t xml:space="preserve">Vilvah Skin Finish Sunscreen SPF 50 is a natural sunscreen from Vilvah. Swansura is an official UK partner of Vilvah, so every order is 100% authentic and ships from the UK.</t>
  </si>
  <si>
    <t xml:space="preserve">Matched – no usable facts, add 1–2 from pack</t>
  </si>
  <si>
    <t xml:space="preserve">VD-006</t>
  </si>
  <si>
    <t xml:space="preserve">Milk Powder Face Wash</t>
  </si>
  <si>
    <t xml:space="preserve">Cleansers</t>
  </si>
  <si>
    <t xml:space="preserve">/collections/face-wash-for-oily-skin</t>
  </si>
  <si>
    <t xml:space="preserve">Vilvah Milk Powder Face Wash</t>
  </si>
  <si>
    <t xml:space="preserve">Vilvah Milk Powder Face Wash | Face Wash for Oily Skin</t>
  </si>
  <si>
    <t xml:space="preserve">Vilvah Milk Powder Face Wash: a natural face wash for oily skin from Vilvah. Official UK partner: 100% authentic, shipped from the UK, free delivery over £50.</t>
  </si>
  <si>
    <t xml:space="preserve">Vilvah Milk Powder Face Wash is a natural face wash for oily skin from Vilvah. Hydrating &amp; pH-balanced – infused with hyaluronic acid to retain moisture, with a skin-friendly pH of 6-7 so skin stays soft, not stripped. Powered by papain enzyme and rice husk powder to buff away dead skin gently. Swansura is an official UK partner of Vilvah, so every order is 100% authentic and ships from the UK.</t>
  </si>
  <si>
    <t xml:space="preserve">vilvah milk powder face wash review · vilvah milk powder face wash benefits · vilvah milk powder face wash price · vilvah milk powder face wash how to use · vilvah milk powder face wash and serum · vilvah milk powder face wash amazon</t>
  </si>
  <si>
    <t xml:space="preserve">VD-007</t>
  </si>
  <si>
    <t xml:space="preserve">Ultra Moisturising Cream</t>
  </si>
  <si>
    <t xml:space="preserve">Moisturisers</t>
  </si>
  <si>
    <t xml:space="preserve">Dry Skin</t>
  </si>
  <si>
    <t xml:space="preserve">/collections/moisturiser-for-dry-skin</t>
  </si>
  <si>
    <t xml:space="preserve">Vilvah Ultra Moisturising Cream</t>
  </si>
  <si>
    <t xml:space="preserve">Vilvah Ultra Moisturising Cream | Moisturiser for Dry Skin</t>
  </si>
  <si>
    <t xml:space="preserve">Buy Vilvah Ultra Moisturising Cream, a natural moisturiser for dry skin from Vilvah. Official UK partner, 100% authentic, free UK delivery over £50.</t>
  </si>
  <si>
    <t xml:space="preserve">Vilvah Ultra Moisturising Cream is a natural moisturiser for dry skin from Vilvah. Antioxidant-rich ingredients smooth rough patches, leaving the skin soft and supple. The non-greasy formula hydrates without clogging pores, suitable for all skin types. Swansura is an official UK partner of Vilvah, so every order is 100% authentic and ships from the UK.</t>
  </si>
  <si>
    <t xml:space="preserve">VD-008</t>
  </si>
  <si>
    <t xml:space="preserve">Classic Rose Goatmilk Soap</t>
  </si>
  <si>
    <t xml:space="preserve">Vilvah Classic Rose Goatmilk Soap</t>
  </si>
  <si>
    <t xml:space="preserve">Vilvah Classic Rose Goatmilk Soap | Natural Body Wash</t>
  </si>
  <si>
    <t xml:space="preserve">Buy Vilvah Classic Rose Goatmilk Soap, a natural body wash from Vilvah. Official UK partner: 100% authentic, shipped from the UK, free delivery over £50.</t>
  </si>
  <si>
    <t xml:space="preserve">Vilvah Classic Rose Goatmilk Soap is a natural body wash from Vilvah. Swansura is an official UK partner of Vilvah, so every order is 100% authentic and ships from the UK.</t>
  </si>
  <si>
    <t xml:space="preserve">VD-009</t>
  </si>
  <si>
    <t xml:space="preserve">Goat Milk Body Wash</t>
  </si>
  <si>
    <t xml:space="preserve">Vilvah Goat Milk Body Wash</t>
  </si>
  <si>
    <t xml:space="preserve">Vilvah Goat Milk Body Wash – Natural Body Wash | Swansura</t>
  </si>
  <si>
    <t xml:space="preserve">Buy Vilvah Goat Milk Body Wash, a natural body wash from Vilvah. Official UK partner: 100% authentic, shipped from the UK, free delivery over £50.</t>
  </si>
  <si>
    <t xml:space="preserve">Vilvah Goat Milk Body Wash is a natural body wash from Vilvah. Enriched with goat milk and virgin coconut oil, this body wash replenishes moisture, making it ideal for dry and sensitive skin types. Designed with a low-foam lather and a pH-balanced 5.5, ensuring a mild cleanse that maintains the skin's natural barrier. Swansura is an official UK partner of Vilvah, so every order is 100% authentic and ships from the UK.</t>
  </si>
  <si>
    <t xml:space="preserve">vilvah goat milk body wash review · vilvah goat milk body wash ingredients · vilvah goat milk body wash benefits · vilvah goat milk body soap · vilvah goat milk soap review</t>
  </si>
  <si>
    <t xml:space="preserve">VD-010</t>
  </si>
  <si>
    <t xml:space="preserve">Rose Milk Lip Balm</t>
  </si>
  <si>
    <t xml:space="preserve">Lip Care</t>
  </si>
  <si>
    <t xml:space="preserve">Dry Lips</t>
  </si>
  <si>
    <t xml:space="preserve">/collections/lip-balm-for-dry-lips</t>
  </si>
  <si>
    <t xml:space="preserve">Vilvah Rose Milk Lip Balm</t>
  </si>
  <si>
    <t xml:space="preserve">Vilvah Rose Milk Lip Balm – Lip Balm for Dry Lips | Swansura</t>
  </si>
  <si>
    <t xml:space="preserve">Buy Vilvah Rose Milk Lip Balm, a natural lip balm for dry lips from Vilvah. Official UK partner: 100% authentic, shipped from the UK, free delivery over £50.</t>
  </si>
  <si>
    <t xml:space="preserve">Vilvah Rose Milk Lip Balm is a natural lip balm for dry lips from Vilvah. Swansura is an official UK partner of Vilvah, so every order is 100% authentic and ships from the UK.</t>
  </si>
  <si>
    <t xml:space="preserve">vilvah rose milk lip balm review · vilvah rose milk lip balm ingredients · vilvah rose milk lip balm price · vilvah lip balm review · vilvah lip balm price</t>
  </si>
  <si>
    <t xml:space="preserve">VD-011</t>
  </si>
  <si>
    <t xml:space="preserve">Charcoal Goatmilk Soap</t>
  </si>
  <si>
    <t xml:space="preserve">Vilvah Charcoal Goatmilk Soap</t>
  </si>
  <si>
    <t xml:space="preserve">Vilvah Charcoal Goatmilk Soap – Natural Body Wash | Swansura</t>
  </si>
  <si>
    <t xml:space="preserve">Buy Vilvah Charcoal Goatmilk Soap, a natural body wash from Vilvah. Official UK partner: 100% authentic, shipped from the UK, free delivery over £50.</t>
  </si>
  <si>
    <t xml:space="preserve">Vilvah Charcoal Goatmilk Soap is a natural body wash from Vilvah. Swansura is an official UK partner of Vilvah, so every order is 100% authentic and ships from the UK.</t>
  </si>
  <si>
    <t xml:space="preserve">VD-012</t>
  </si>
  <si>
    <t xml:space="preserve">Cream Conditioner</t>
  </si>
  <si>
    <t xml:space="preserve">Conditioner</t>
  </si>
  <si>
    <t xml:space="preserve">Hair Nourishment</t>
  </si>
  <si>
    <t xml:space="preserve">/collections/hair-mask-for-dry-hair</t>
  </si>
  <si>
    <t xml:space="preserve">Vilvah Cream Conditioner</t>
  </si>
  <si>
    <t xml:space="preserve">Vilvah Cream Conditioner – Hair Mask for Dry Hair | Swansura</t>
  </si>
  <si>
    <t xml:space="preserve">Buy Vilvah Cream Conditioner, a natural hair mask for dry hair from Vilvah. Official UK partner: 100% authentic, shipped from the UK, free delivery over £50.</t>
  </si>
  <si>
    <t xml:space="preserve">Vilvah Cream Conditioner is a natural hair mask for dry hair from Vilvah. Swansura is an official UK partner of Vilvah, so every order is 100% authentic and ships from the UK.</t>
  </si>
  <si>
    <t xml:space="preserve">vilvah cream conditioner review · vilvah cream conditioner ingredients · how to use vilvah cream conditioner · vilvah conditioner review</t>
  </si>
  <si>
    <t xml:space="preserve">VD-013</t>
  </si>
  <si>
    <t xml:space="preserve">Goat Milk Shampoo</t>
  </si>
  <si>
    <t xml:space="preserve">Shampoo</t>
  </si>
  <si>
    <t xml:space="preserve">/collections/natural-shampoo</t>
  </si>
  <si>
    <t xml:space="preserve">Vilvah Goat Milk Shampoo</t>
  </si>
  <si>
    <t xml:space="preserve">Vilvah Goat Milk Shampoo – Natural Shampoo | Swansura</t>
  </si>
  <si>
    <t xml:space="preserve">Buy Vilvah Goat Milk Shampoo, a natural shampoo from Vilvah. Official UK partner: 100% authentic, shipped from the UK, free delivery over £50.</t>
  </si>
  <si>
    <t xml:space="preserve">Vilvah Goat Milk Shampoo is a natural shampoo from Vilvah. Perfect for dry, damaged, or chemically treated hair, this shampoo leaves the hair feeling clean, manageable, and naturally silky without feeling heavy. Swansura is an official UK partner of Vilvah, so every order is 100% authentic and ships from the UK.</t>
  </si>
  <si>
    <t xml:space="preserve">vilvah goat milk shampoo review · vilvah goat milk shampoo price · vilvah goat milk shampoo benefits · vilvah goat milk shampoo ingredients</t>
  </si>
  <si>
    <t xml:space="preserve">VD-014</t>
  </si>
  <si>
    <t xml:space="preserve">Honey Fix Face Wash</t>
  </si>
  <si>
    <t xml:space="preserve">Vilvah Honey Fix Face Wash</t>
  </si>
  <si>
    <t xml:space="preserve">Vilvah Honey Fix Face Wash | Face Wash for Oily Skin</t>
  </si>
  <si>
    <t xml:space="preserve">Buy Vilvah Honey Fix Face Wash, a natural face wash for oily skin from Vilvah. Official UK partner: 100% authentic, shipped from the UK, free delivery over £50.</t>
  </si>
  <si>
    <t xml:space="preserve">Vilvah Honey Fix Face Wash is a natural face wash for oily skin from Vilvah. Contains 10% raw honey plus fruit extracts (papaya, blackberry, orange peel) to gently exfoliate, brighten, and promote skin radiance. Features witch hazel and Gotu kola extracts to calm inflammation, soothe irritation, and minimize pores. Swansura is an official UK partner of Vilvah, so every order is 100% authentic and ships from the UK.</t>
  </si>
  <si>
    <t xml:space="preserve">vilvah honey fix face wash review</t>
  </si>
  <si>
    <t xml:space="preserve">VD-015</t>
  </si>
  <si>
    <t xml:space="preserve">Lip Balm - Lemon</t>
  </si>
  <si>
    <t xml:space="preserve">Vilvah Lip Balm - Lemon</t>
  </si>
  <si>
    <t xml:space="preserve">Vilvah Lip Balm - Lemon – Lip Balm for Dry Lips | Swansura</t>
  </si>
  <si>
    <t xml:space="preserve">Buy Vilvah Lip Balm - Lemon, a natural lip balm for dry lips from Vilvah. Official UK partner: 100% authentic, shipped from the UK, free delivery over £50.</t>
  </si>
  <si>
    <t xml:space="preserve">Vilvah Lip Balm - Lemon is a natural lip balm for dry lips from Vilvah. Lightweight barrier that seals in hydration while letting lips breathe, helping softness last throughout the day. Vegan and free from parabens, sulfates, and synthetic fragrances, ideal for sensitive lips and daily use. Swansura is an official UK partner of Vilvah, so every order is 100% authentic and ships from the UK.</t>
  </si>
  <si>
    <t xml:space="preserve">vilvah lip balm lemon · vilvah lemon lip balm review · vilvah lip balm review · vilvah lip balm price</t>
  </si>
  <si>
    <t xml:space="preserve">VD-016</t>
  </si>
  <si>
    <t xml:space="preserve">Milk Body Lotion</t>
  </si>
  <si>
    <t xml:space="preserve">Body Cream &amp; Lotions</t>
  </si>
  <si>
    <t xml:space="preserve">/collections/body-lotion-for-dry-skin</t>
  </si>
  <si>
    <t xml:space="preserve">Vilvah Milk Body Lotion</t>
  </si>
  <si>
    <t xml:space="preserve">Vilvah Milk Body Lotion | Body Lotion for Dry Skin</t>
  </si>
  <si>
    <t xml:space="preserve">Buy Vilvah Milk Body Lotion, a natural body lotion for dry skin from Vilvah. Official UK partner: 100% authentic, shipped from the UK, free delivery over £50.</t>
  </si>
  <si>
    <t xml:space="preserve">Vilvah Milk Body Lotion is a natural body lotion for dry skin from Vilvah. Infused with oat milk, ceramides, and olive squalane to hydrate and repair the skin barrier. Formulated without animal-derived ingredients and not tested on animals. Swansura is an official UK partner of Vilvah, so every order is 100% authentic and ships from the UK.</t>
  </si>
  <si>
    <t xml:space="preserve">vilvah milk body lotion review · vilvah milk body lotion price</t>
  </si>
  <si>
    <t xml:space="preserve">VD-017</t>
  </si>
  <si>
    <t xml:space="preserve">Milk Face Toner</t>
  </si>
  <si>
    <t xml:space="preserve">Vilvah Milk Face Toner</t>
  </si>
  <si>
    <t xml:space="preserve">Vilvah Milk Face Toner – Toner for Dry Skin | Swansura</t>
  </si>
  <si>
    <t xml:space="preserve">Buy Vilvah Milk Face Toner, a natural toner for dry skin from Vilvah. Official UK partner: 100% authentic, shipped from the UK, free delivery over £50.</t>
  </si>
  <si>
    <t xml:space="preserve">Vilvah Milk Face Toner is a natural toner for dry skin from Vilvah. Formulated with Earth Marine Water to reduce pore size and provide a smoother skin texture. Effectively removes excess oil and impurities, leaving the skin feeling refreshed and clean. Swansura is an official UK partner of Vilvah, so every order is 100% authentic and ships from the UK.</t>
  </si>
  <si>
    <t xml:space="preserve">vilvah milk face toner review · vilvah toner review</t>
  </si>
  <si>
    <t xml:space="preserve">VD-018</t>
  </si>
  <si>
    <t xml:space="preserve">Milk Mud Mask</t>
  </si>
  <si>
    <t xml:space="preserve">Face Masks</t>
  </si>
  <si>
    <t xml:space="preserve">/collections/face-mask</t>
  </si>
  <si>
    <t xml:space="preserve">Vilvah Milk Mud Mask</t>
  </si>
  <si>
    <t xml:space="preserve">Vilvah Milk Mud Mask | Face Mask</t>
  </si>
  <si>
    <t xml:space="preserve">Buy Vilvah Milk Mud Mask, a natural face mask from Vilvah. Instantly brightens and rejuvenates dull, tanned skin. Free UK delivery over £50.</t>
  </si>
  <si>
    <t xml:space="preserve">Vilvah Milk Mud Mask is a natural face mask from Vilvah. Instantly brightens and rejuvenates dull, tanned skin. Controls excess oil and unclogs pores for a smoother complexion. Swansura is an official UK partner of Vilvah, so every order is 100% authentic and ships from the UK.</t>
  </si>
  <si>
    <t xml:space="preserve">vilvah milk mud mask review · vilvah milk mud mask benefits · vilvah milk mud mask ingredients · vilvah milk mud mask how to use · vilvah milk mud mask amazon · vilvah milk mud mask price</t>
  </si>
  <si>
    <t xml:space="preserve">VD-019</t>
  </si>
  <si>
    <t xml:space="preserve">Wild Rose Facemask</t>
  </si>
  <si>
    <t xml:space="preserve">Vilvah Wild Rose Facemask</t>
  </si>
  <si>
    <t xml:space="preserve">Vilvah Wild Rose Facemask | Face Mask</t>
  </si>
  <si>
    <t xml:space="preserve">Buy Vilvah Wild Rose Facemask, a natural face mask from Vilvah. Official UK partner: 100% authentic, shipped from the UK, free delivery over £50.</t>
  </si>
  <si>
    <t xml:space="preserve">Vilvah Wild Rose Facemask is a natural face mask from Vilvah. Swansura is an official UK partner of Vilvah, so every order is 100% authentic and ships from the UK.</t>
  </si>
  <si>
    <t xml:space="preserve">VD-020</t>
  </si>
  <si>
    <t xml:space="preserve">Aloe Vera Gel</t>
  </si>
  <si>
    <t xml:space="preserve">Vilvah Aloe Vera Gel</t>
  </si>
  <si>
    <t xml:space="preserve">Vilvah Aloe Vera Gel | Aloe Vera Gel</t>
  </si>
  <si>
    <t xml:space="preserve">Buy Vilvah Aloe Vera Gel, a natural aloe vera gel from Vilvah. Official UK partner: 100% authentic, shipped from the UK, free delivery over £50.</t>
  </si>
  <si>
    <t xml:space="preserve">Vilvah Aloe Vera Gel is a natural aloe vera gel from Vilvah. Pure, cold-stabilised aloe vera juice preserves nutrients for maximum soothing power, ideal for sensitive or sunburned skin. Hydrates deeply without greasy residue; absorbs quickly to leave skin soft, smooth and comfortably moisturised. Swansura is an official UK partner of Vilvah, so every order is 100% authentic and ships from the UK.</t>
  </si>
  <si>
    <t xml:space="preserve">vilvah aloe vera gel review · vilvah aloe vera gel ingredients · vilvah aloe vera gel benefits · vilvah aloe vera gel price · vilvah aloe vera gel how to use · vilvah aloe vera gel india</t>
  </si>
  <si>
    <t xml:space="preserve">VD-021</t>
  </si>
  <si>
    <t xml:space="preserve">Anti-dandruff Hair oil</t>
  </si>
  <si>
    <t xml:space="preserve">Anti-Dandruff</t>
  </si>
  <si>
    <t xml:space="preserve">Vilvah Anti-dandruff Hair Oil</t>
  </si>
  <si>
    <t xml:space="preserve">Vilvah Anti-dandruff Hair Oil – Hair Growth Oil | Swansura</t>
  </si>
  <si>
    <t xml:space="preserve">Buy Vilvah Anti-dandruff Hair Oil, a natural hair growth oil from Vilvah. Official UK partner: 100% authentic, shipped from the UK, free delivery over £50.</t>
  </si>
  <si>
    <t xml:space="preserve">Vilvah Anti-dandruff Hair Oil is a natural hair growth oil from Vilvah. Combines Tea Tree, Neem, Peppermint, and Amla oils to effectively tackle dandruff and nourish the scalp. Calms irritation and balances scalp pH, providing relief from itching and discomfort. Swansura is an official UK partner of Vilvah, so every order is 100% authentic and ships from the UK.</t>
  </si>
  <si>
    <t xml:space="preserve">vilvah anti dandruff hair oil review · vilvah anti dandruff oil review</t>
  </si>
  <si>
    <t xml:space="preserve">VD-022</t>
  </si>
  <si>
    <t xml:space="preserve">Anti-Frizz Hair Serum</t>
  </si>
  <si>
    <t xml:space="preserve">Hair Serums</t>
  </si>
  <si>
    <t xml:space="preserve">Frizzy Hair</t>
  </si>
  <si>
    <t xml:space="preserve">/collections/hair-serum-for-frizzy-hair</t>
  </si>
  <si>
    <t xml:space="preserve">Vilvah Anti-Frizz Hair Serum</t>
  </si>
  <si>
    <t xml:space="preserve">Vilvah Anti-Frizz Hair Serum | Hair Serum for Frizzy Hair</t>
  </si>
  <si>
    <t xml:space="preserve">Buy Vilvah Anti-Frizz Hair Serum, a natural hair serum for frizzy hair from Vilvah. Official UK partner, 100% authentic, free UK delivery over £50.</t>
  </si>
  <si>
    <t xml:space="preserve">Vilvah Anti-Frizz Hair Serum is a natural hair serum for frizzy hair from Vilvah. Enriched with Black Seed Oil and Hibiscus Oil to nourish and strengthen hair, reducing split ends and breakage. Hibiscus and Arnica Oils impart intense smoothness and a glossy finish, making every day a great hair day. Swansura is an official UK partner of Vilvah, so every order is 100% authentic and ships from the UK.</t>
  </si>
  <si>
    <t xml:space="preserve">vilvah anti frizz hair serum review · vilvah anti frizz hair serum price · how to use vilvah anti frizz hair serum</t>
  </si>
  <si>
    <t xml:space="preserve">VD-023</t>
  </si>
  <si>
    <t xml:space="preserve">Better Ageing Serum</t>
  </si>
  <si>
    <t xml:space="preserve">Serums</t>
  </si>
  <si>
    <t xml:space="preserve">Anti-Ageing</t>
  </si>
  <si>
    <t xml:space="preserve">/collections/face-serum</t>
  </si>
  <si>
    <t xml:space="preserve">Vilvah Better Ageing Serum</t>
  </si>
  <si>
    <t xml:space="preserve">Vilvah Better Ageing Serum – Face Serum | Swansura</t>
  </si>
  <si>
    <t xml:space="preserve">Buy Vilvah Better Ageing Serum, a natural face serum from Vilvah. Official UK partner: 100% authentic, shipped from the UK, free delivery over £50.</t>
  </si>
  <si>
    <t xml:space="preserve">Vilvah Better Ageing Serum is a natural face serum from Vilvah. Formulated with plant-derived antioxidants that help neutralise free radicals and slow down visible signs of ageing. Enhances skin elasticity and firmness through natural tightening agents without harsh chemicals. Swansura is an official UK partner of Vilvah, so every order is 100% authentic and ships from the UK.</t>
  </si>
  <si>
    <t xml:space="preserve">vilvah better ageing serum review</t>
  </si>
  <si>
    <t xml:space="preserve">VD-024</t>
  </si>
  <si>
    <t xml:space="preserve">Charcoal Facemask</t>
  </si>
  <si>
    <t xml:space="preserve">Oily Skin</t>
  </si>
  <si>
    <t xml:space="preserve">/collections/face-mask-for-oily-skin</t>
  </si>
  <si>
    <t xml:space="preserve">Vilvah Charcoal Facemask</t>
  </si>
  <si>
    <t xml:space="preserve">Vilvah Charcoal Facemask | Face Mask for Oily Skin</t>
  </si>
  <si>
    <t xml:space="preserve">Buy Vilvah Charcoal Facemask, a natural face mask for oily skin from Vilvah. Official UK partner: 100% authentic, shipped from the UK, free delivery over £50.</t>
  </si>
  <si>
    <t xml:space="preserve">Vilvah Charcoal Facemask is a natural face mask for oily skin from Vilvah. Swansura is an official UK partner of Vilvah, so every order is 100% authentic and ships from the UK.</t>
  </si>
  <si>
    <t xml:space="preserve">VD-025</t>
  </si>
  <si>
    <t xml:space="preserve">Cookie n Cream Body Mask</t>
  </si>
  <si>
    <t xml:space="preserve">Vilvah Cookie N Cream Body Mask</t>
  </si>
  <si>
    <t xml:space="preserve">Vilvah Cookie N Cream Body Mask | Body Lotion for Dry Skin</t>
  </si>
  <si>
    <t xml:space="preserve">Buy Vilvah Cookie N Cream Body Mask, a natural body lotion for dry skin from Vilvah. Official UK partner, 100% authentic, free UK delivery over £50.</t>
  </si>
  <si>
    <t xml:space="preserve">Vilvah Cookie N Cream Body Mask is a natural body lotion for dry skin from Vilvah. Enriched with almond milk and coffee, known for their moisturizing and antioxidant properties. Regular use promotes a smoother, more even-toned complexion. Swansura is an official UK partner of Vilvah, so every order is 100% authentic and ships from the UK.</t>
  </si>
  <si>
    <t xml:space="preserve">VD-026</t>
  </si>
  <si>
    <t xml:space="preserve">Cookie n Cream Body Polish</t>
  </si>
  <si>
    <t xml:space="preserve">Body Scrub &amp; Exfoliators</t>
  </si>
  <si>
    <t xml:space="preserve">Dull Skin</t>
  </si>
  <si>
    <t xml:space="preserve">/collections/body-scrub</t>
  </si>
  <si>
    <t xml:space="preserve">Vilvah Cookie N Cream Body Polish</t>
  </si>
  <si>
    <t xml:space="preserve">Vilvah Cookie N Cream Body Polish – Body Scrub | Swansura</t>
  </si>
  <si>
    <t xml:space="preserve">Buy Vilvah Cookie N Cream Body Polish, a natural body scrub from Vilvah. Official UK partner: 100% authentic, shipped from the UK, free delivery over £50.</t>
  </si>
  <si>
    <t xml:space="preserve">Vilvah Cookie N Cream Body Polish is a natural body scrub from Vilvah. Coffee powder effectively sloughs away dead skin cells, unclogs pores, and fades tan, revealing smoother skin. Infused with almond milk, shea butter, and argan oil to nourish and moisturize, leaving skin soft and supple. Swansura is an official UK partner of Vilvah, so every order is 100% authentic and ships from the UK.</t>
  </si>
  <si>
    <t xml:space="preserve">VD-027</t>
  </si>
  <si>
    <t xml:space="preserve">Cream Face Wash (Fragrance free)</t>
  </si>
  <si>
    <t xml:space="preserve">/collections/face-wash-for-dry-skin</t>
  </si>
  <si>
    <t xml:space="preserve">Vilvah Cream Face Wash (Fragrance Free)</t>
  </si>
  <si>
    <t xml:space="preserve">Vilvah Cream Face Wash (Fragrance Free) | Swansura UK</t>
  </si>
  <si>
    <t xml:space="preserve">Buy Vilvah Cream Face Wash (Fragrance Free), a natural face wash for dry skin from Vilvah. Official UK partner, 100% authentic, free UK delivery over £50.</t>
  </si>
  <si>
    <t xml:space="preserve">Vilvah Cream Face Wash (Fragrance Free) is a natural face wash for dry skin from Vilvah. Swansura is an official UK partner of Vilvah, so every order is 100% authentic and ships from the UK.</t>
  </si>
  <si>
    <t xml:space="preserve">VD-028</t>
  </si>
  <si>
    <t xml:space="preserve">Cucumber, Curd &amp; Mint Soap</t>
  </si>
  <si>
    <t xml:space="preserve">Vilvah Cucumber, Curd &amp; Mint Soap</t>
  </si>
  <si>
    <t xml:space="preserve">Vilvah Cucumber, Curd &amp; Mint Soap | Natural Body Wash</t>
  </si>
  <si>
    <t xml:space="preserve">Buy Vilvah Cucumber, Curd &amp; Mint Soap, a natural body wash from Vilvah. Official UK partner: 100% authentic, shipped from the UK, free delivery over £50.</t>
  </si>
  <si>
    <t xml:space="preserve">Vilvah Cucumber, Curd &amp; Mint Soap is a natural body wash from Vilvah. Swansura is an official UK partner of Vilvah, so every order is 100% authentic and ships from the UK.</t>
  </si>
  <si>
    <t xml:space="preserve">VD-029</t>
  </si>
  <si>
    <t xml:space="preserve">Deo shot - Lavender and Sage</t>
  </si>
  <si>
    <t xml:space="preserve">Vilvah Deo Shot - Lavender and Sage</t>
  </si>
  <si>
    <t xml:space="preserve">Vilvah Deo Shot - Lavender and Sage | Natural Deodorant</t>
  </si>
  <si>
    <t xml:space="preserve">Buy Vilvah Deo Shot - Lavender and Sage, a natural deodorant from Vilvah. Official UK partner: 100% authentic, shipped from the UK, free delivery over £50.</t>
  </si>
  <si>
    <t xml:space="preserve">Vilvah Deo Shot - Lavender and Sage is a natural deodorant from Vilvah. Made with natural ingredients, free from alcohol, silicones, and synthetic fragrances, ensuring a gentle experience for sensitive skin. Offers up to 24 hours of odour protection, keeping you feeling fresh throughout the day. Swansura is an official UK partner of Vilvah, so every order is 100% authentic and ships from the UK.</t>
  </si>
  <si>
    <t xml:space="preserve">VD-030</t>
  </si>
  <si>
    <t xml:space="preserve">Foot Cream</t>
  </si>
  <si>
    <t xml:space="preserve">Vilvah Foot Cream</t>
  </si>
  <si>
    <t xml:space="preserve">Vilvah Foot Cream | Foot Cream</t>
  </si>
  <si>
    <t xml:space="preserve">Buy Vilvah Foot Cream, a natural foot cream from Vilvah. Official UK partner: 100% authentic, shipped from the UK, free delivery over £50.</t>
  </si>
  <si>
    <t xml:space="preserve">Vilvah Foot Cream is a natural foot cream from Vilvah. Dermatologically tested and free from harsh chemicals, making it safe for sensitive skin. Ideal for both men and women; apply daily for best results, especially before bedtime. Swansura is an official UK partner of Vilvah, so every order is 100% authentic and ships from the UK.</t>
  </si>
  <si>
    <t xml:space="preserve">vilvah foot cream review · vilvah foot cream price · vilvah foot cream ingredients</t>
  </si>
  <si>
    <t xml:space="preserve">VD-031</t>
  </si>
  <si>
    <t xml:space="preserve">Goat Milk Hair Mask</t>
  </si>
  <si>
    <t xml:space="preserve">Hair Masks</t>
  </si>
  <si>
    <t xml:space="preserve">Dry Hair</t>
  </si>
  <si>
    <t xml:space="preserve">Vilvah Goat Milk Hair Mask</t>
  </si>
  <si>
    <t xml:space="preserve">Vilvah Goat Milk Hair Mask | Hair Mask for Dry Hair</t>
  </si>
  <si>
    <t xml:space="preserve">Buy Vilvah Goat Milk Hair Mask, a natural hair mask for dry hair from Vilvah. Official UK partner: 100% authentic, shipped from the UK, free delivery over £50.</t>
  </si>
  <si>
    <t xml:space="preserve">Vilvah Goat Milk Hair Mask is a natural hair mask for dry hair from Vilvah. Enriched with goat milk and ceramides to restore the hair’s barrier, reduce breakage, and strengthen from root to tip. Lightweight yet intensely nourishing formula tames flyaways and smooths frizz without leaving hair greasy. Swansura is an official UK partner of Vilvah, so every order is 100% authentic and ships from the UK.</t>
  </si>
  <si>
    <t xml:space="preserve">vilvah goat milk hair mask review · vilvah goat milk hair mask ingredients · how to use vilvah goat milk hair mask · how to use vilvah hair mask</t>
  </si>
  <si>
    <t xml:space="preserve">VD-032</t>
  </si>
  <si>
    <t xml:space="preserve">VD-033</t>
  </si>
  <si>
    <t xml:space="preserve">VD-034</t>
  </si>
  <si>
    <t xml:space="preserve">Herbal Shampoo (Dandruff Control)</t>
  </si>
  <si>
    <t xml:space="preserve">/collections/shampoo-for-dandruff</t>
  </si>
  <si>
    <t xml:space="preserve">Vilvah Herbal Shampoo (Dandruff Control)</t>
  </si>
  <si>
    <t xml:space="preserve">Vilvah Herbal Shampoo (Dandruff Control) | Swansura UK</t>
  </si>
  <si>
    <t xml:space="preserve">Buy Vilvah Herbal Shampoo (Dandruff Control), a natural shampoo for dandruff from Vilvah. Official UK partner, 100% authentic, free UK delivery over £50.</t>
  </si>
  <si>
    <t xml:space="preserve">Vilvah Herbal Shampoo (Dandruff Control) is a natural shampoo for dandruff from Vilvah. Crafted with Neem, Tea Tree, Rosemary, and Black Pepper to effectively combat dandruff and soothe scalp irritation. Contains no parabens, sulfates, or artificial fragrances, making it a safe choice for sensitive scalps. Swansura is an official UK partner of Vilvah, so every order is 100% authentic and ships from the UK.</t>
  </si>
  <si>
    <t xml:space="preserve">vilvah herbal shampoo dandruff control</t>
  </si>
  <si>
    <t xml:space="preserve">VD-035</t>
  </si>
  <si>
    <t xml:space="preserve">Lip Balm - Grapefruit</t>
  </si>
  <si>
    <t xml:space="preserve">Vilvah Lip Balm - Grapefruit</t>
  </si>
  <si>
    <t xml:space="preserve">Vilvah Lip Balm - Grapefruit | Lip Balm for Dry Lips</t>
  </si>
  <si>
    <t xml:space="preserve">Buy Vilvah Lip Balm - Grapefruit, a natural lip balm for dry lips from Vilvah. Official UK partner: 100% authentic, shipped from the UK, free delivery over £50.</t>
  </si>
  <si>
    <t xml:space="preserve">Vilvah Lip Balm - Grapefruit is a natural lip balm for dry lips from Vilvah. Swansura is an official UK partner of Vilvah, so every order is 100% authentic and ships from the UK.</t>
  </si>
  <si>
    <t xml:space="preserve">vilvah lip balm grapefruit · vilvah grapefruit lip balm review · vilvah grapefruit lip balm 10g · vilvah grapefruit lip balm benefits · vilvah grapefruit lip balm amazon · vilvah lip balm review</t>
  </si>
  <si>
    <t xml:space="preserve">VD-036</t>
  </si>
  <si>
    <t xml:space="preserve">Lip Scrub</t>
  </si>
  <si>
    <t xml:space="preserve">Lip Exfoliation</t>
  </si>
  <si>
    <t xml:space="preserve">/collections/lip-scrub</t>
  </si>
  <si>
    <t xml:space="preserve">Vilvah Lip Scrub</t>
  </si>
  <si>
    <t xml:space="preserve">Vilvah Lip Scrub | Lip Scrub</t>
  </si>
  <si>
    <t xml:space="preserve">Buy Vilvah Lip Scrub, a natural lip scrub from Vilvah. Official UK partner: 100% authentic, shipped from the UK, free delivery over £50.</t>
  </si>
  <si>
    <t xml:space="preserve">Vilvah Lip Scrub is a natural lip scrub from Vilvah. Gentle sugar grains exfoliate dead skin without irritation, leaving lips smooth, soft and supple. Free from alcohol, silicones, surfactants and harmful aldehydes—designed for sensitive lips and daily care. Swansura is an official UK partner of Vilvah, so every order is 100% authentic and ships from the UK.</t>
  </si>
  <si>
    <t xml:space="preserve">vilvah lip scrub how to use · vilvah lip scrub review · vilvah lip scrub ingredients · vilvah lip scrub and lip balm · vilvah lip balm price · vilvah lip balm review</t>
  </si>
  <si>
    <t xml:space="preserve">VD-037</t>
  </si>
  <si>
    <t xml:space="preserve">Men's Comb / Detangling Comb</t>
  </si>
  <si>
    <t xml:space="preserve">Hair Accessories</t>
  </si>
  <si>
    <t xml:space="preserve">/collections/natural-skincare</t>
  </si>
  <si>
    <t xml:space="preserve">Vilvah Men's Comb / Detangling Comb</t>
  </si>
  <si>
    <t xml:space="preserve">Vilvah Men's Comb / Detangling Comb | Natural Skincare</t>
  </si>
  <si>
    <t xml:space="preserve">Buy Vilvah Men's Comb / Detangling Comb, natural skincare from Vilvah. Official UK partner: 100% authentic, shipped from the UK, free delivery over £50.</t>
  </si>
  <si>
    <t xml:space="preserve">Vilvah Men's Comb / Detangling Comb is natural skincare from Vilvah. Swansura is an official UK partner of Vilvah, so every order is 100% authentic and ships from the UK.</t>
  </si>
  <si>
    <t xml:space="preserve">VD-038</t>
  </si>
  <si>
    <t xml:space="preserve">Milk Drops Brightening Serum 20ml</t>
  </si>
  <si>
    <t xml:space="preserve">/collections/dull-skin</t>
  </si>
  <si>
    <t xml:space="preserve">Vilvah Milk Drops Brightening Serum</t>
  </si>
  <si>
    <t xml:space="preserve">Vilvah Milk Drops Brightening Serum | Skincare for Dull Skin</t>
  </si>
  <si>
    <t xml:space="preserve">Buy Vilvah Milk Drops Brightening Serum, natural skincare for dull skin from Vilvah. Official UK partner, 100% authentic, free UK delivery over £50.</t>
  </si>
  <si>
    <t xml:space="preserve">Vilvah Milk Drops Brightening Serum is natural skincare for dull skin from Vilvah. Swansura is an official UK partner of Vilvah, so every order is 100% authentic and ships from the UK.</t>
  </si>
  <si>
    <t xml:space="preserve">vilvah milk drops brightening serum review · vilvah milk drops brightening serum how to use · vilvah milk drops brightening serum ingredients · vilvah milk drops brightening serum benefits</t>
  </si>
  <si>
    <t xml:space="preserve">VD-039</t>
  </si>
  <si>
    <t xml:space="preserve">Milk Drops Brightening Serum 40ml</t>
  </si>
  <si>
    <t xml:space="preserve">VD-040</t>
  </si>
  <si>
    <t xml:space="preserve">Milk Lip Balm SPF 30 PA+++</t>
  </si>
  <si>
    <t xml:space="preserve">Vilvah Milk Lip Balm SPF 30 PA</t>
  </si>
  <si>
    <t xml:space="preserve">Vilvah Milk Lip Balm SPF 30 PA – Spf Lip Balm | Swansura</t>
  </si>
  <si>
    <t xml:space="preserve">Buy Vilvah Milk Lip Balm SPF 30 PA, a natural spf lip balm from Vilvah. Official UK partner: 100% authentic, shipped from the UK, free delivery over £50.</t>
  </si>
  <si>
    <t xml:space="preserve">Vilvah Milk Lip Balm SPF 30 PA is a natural spf lip balm from Vilvah. Enriched with soy milk, soy butter, shea butter, and kokum butter to deliver intense hydration and nourishment. Contains mineral-based UV filters like titanium dioxide and zinc oxide, ensuring safe and effective sun defense. Swansura is an official UK partner of Vilvah, so every order is 100% authentic and ships from the UK.</t>
  </si>
  <si>
    <t xml:space="preserve">VD-041</t>
  </si>
  <si>
    <t xml:space="preserve">Neem Wood Comb (With Handle)</t>
  </si>
  <si>
    <t xml:space="preserve">Vilvah Neem Wood Comb (With Handle)</t>
  </si>
  <si>
    <t xml:space="preserve">Vilvah Neem Wood Comb (With Handle) | Natural Skincare</t>
  </si>
  <si>
    <t xml:space="preserve">Buy Vilvah Neem Wood Comb (With Handle), natural skincare from Vilvah. Official UK partner: 100% authentic, shipped from the UK, free delivery over £50.</t>
  </si>
  <si>
    <t xml:space="preserve">Vilvah Neem Wood Comb (With Handle) is natural skincare from Vilvah. Made from 100% herbal Indian neem wood, this handcrafted comb is biodegradable and an environmentally conscious choice for your hair care routine. Designed to smoothly glide through hair, minimizing breakage and split ends, ensuring a pain-free detangling experience. Swansura is an official UK partner of Vilvah, so every order is 100% authentic and ships from the UK.</t>
  </si>
  <si>
    <t xml:space="preserve">VD-042</t>
  </si>
  <si>
    <t xml:space="preserve">Neem Wood Comb(Fine and wide tooth)</t>
  </si>
  <si>
    <t xml:space="preserve">Vilvah Neem Wood Comb(Fine and Wide Tooth)</t>
  </si>
  <si>
    <t xml:space="preserve">Vilvah Neem Wood Comb(Fine and Wide Tooth) | Swansura UK</t>
  </si>
  <si>
    <t xml:space="preserve">Buy Vilvah Neem Wood Comb(Fine and Wide Tooth), natural skincare from Vilvah. Official UK partner: 100% authentic, shipped from the UK, free delivery over £50.</t>
  </si>
  <si>
    <t xml:space="preserve">Vilvah Neem Wood Comb(Fine and Wide Tooth) is natural skincare from Vilvah. Swansura is an official UK partner of Vilvah, so every order is 100% authentic and ships from the UK.</t>
  </si>
  <si>
    <t xml:space="preserve">VD-043</t>
  </si>
  <si>
    <t xml:space="preserve">Under Eye Cream (Dark Circles Control)</t>
  </si>
  <si>
    <t xml:space="preserve">Dark Circles</t>
  </si>
  <si>
    <t xml:space="preserve">Vilvah Under Eye Cream (Dark Circles Control)</t>
  </si>
  <si>
    <t xml:space="preserve">Vilvah Under Eye Cream (Dark Circles Control) | Swansura UK</t>
  </si>
  <si>
    <t xml:space="preserve">Buy Vilvah Under Eye Cream (Dark Circles Control), a natural moisturiser for dry skin from Vilvah. 100% authentic, shipped from the UK, free delivery over £50.</t>
  </si>
  <si>
    <t xml:space="preserve">Vilvah Under Eye Cream (Dark Circles Control) is a natural moisturiser for dry skin from Vilvah. Swansura is an official UK partner of Vilvah, so every order is 100% authentic and ships from the UK.</t>
  </si>
  <si>
    <t xml:space="preserve">vilvah under eye cream dark circles control · how to use vilvah under eye cream</t>
  </si>
  <si>
    <t xml:space="preserve">VD-044</t>
  </si>
  <si>
    <t xml:space="preserve">Filter Kaapi Lip Balm</t>
  </si>
  <si>
    <t xml:space="preserve">Vilvah Filter Kaapi Lip Balm</t>
  </si>
  <si>
    <t xml:space="preserve">Vilvah Filter Kaapi Lip Balm | Lip Balm for Dry Lips</t>
  </si>
  <si>
    <t xml:space="preserve">Buy Vilvah Filter Kaapi Lip Balm, a natural lip balm for dry lips from Vilvah. Official UK partner: 100% authentic, shipped from the UK, free delivery over £50.</t>
  </si>
  <si>
    <t xml:space="preserve">Vilvah Filter Kaapi Lip Balm is a natural lip balm for dry lips from Vilvah. Swansura is an official UK partner of Vilvah, so every order is 100% authentic and ships from the UK.</t>
  </si>
  <si>
    <t xml:space="preserve">vilvah lip balm review · vilvah lip balm price</t>
  </si>
  <si>
    <t xml:space="preserve">VD-045</t>
  </si>
  <si>
    <t xml:space="preserve">Mango Shake Lip Balm</t>
  </si>
  <si>
    <t xml:space="preserve">Vilvah Mango Shake Lip Balm</t>
  </si>
  <si>
    <t xml:space="preserve">Vilvah Mango Shake Lip Balm | Lip Balm for Dry Lips</t>
  </si>
  <si>
    <t xml:space="preserve">Buy Vilvah Mango Shake Lip Balm, a natural lip balm for dry lips from Vilvah. Official UK partner: 100% authentic, shipped from the UK, free delivery over £50.</t>
  </si>
  <si>
    <t xml:space="preserve">Vilvah Mango Shake Lip Balm is a natural lip balm for dry lips from Vilvah. Swansura is an official UK partner of Vilvah, so every order is 100% authentic and ships from the UK.</t>
  </si>
  <si>
    <t xml:space="preserve">VD-046</t>
  </si>
  <si>
    <t xml:space="preserve">Cream Bun Lip Balm</t>
  </si>
  <si>
    <t xml:space="preserve">Vilvah Cream Bun Lip Balm</t>
  </si>
  <si>
    <t xml:space="preserve">Vilvah Cream Bun Lip Balm – Lip Balm for Dry Lips | Swansura</t>
  </si>
  <si>
    <t xml:space="preserve">Buy Vilvah Cream Bun Lip Balm, a natural lip balm for dry lips from Vilvah. Official UK partner: 100% authentic, shipped from the UK, free delivery over £50.</t>
  </si>
  <si>
    <t xml:space="preserve">Vilvah Cream Bun Lip Balm is a natural lip balm for dry lips from Vilvah. Swansura is an official UK partner of Vilvah, so every order is 100% authentic and ships from the UK.</t>
  </si>
  <si>
    <t xml:space="preserve">vilvah cream bun lip balm review · vilvah lip balm price · vilvah lip balm review</t>
  </si>
  <si>
    <t xml:space="preserve">VD-047</t>
  </si>
  <si>
    <t xml:space="preserve">Vilvah Milk Body Kit</t>
  </si>
  <si>
    <t xml:space="preserve">Gift Sets &amp; Combos</t>
  </si>
  <si>
    <t xml:space="preserve">/collections/dry-skin</t>
  </si>
  <si>
    <t xml:space="preserve">Vilvah Milk Body Kit – Skincare for Dry Skin | Swansura</t>
  </si>
  <si>
    <t xml:space="preserve">Buy Vilvah Milk Body Kit, natural skincare for dry skin from Vilvah. Official UK partner: 100% authentic, shipped from the UK, free delivery over £50.</t>
  </si>
  <si>
    <t xml:space="preserve">Vilvah Milk Body Kit is natural skincare for dry skin from Vilvah. Goat Milk Body Wash cleanses and hydrates with a soothing vanilla scent. Milk Body Lotion provides 48 hours of intense hydration and barrier protection. Swansura is an official UK partner of Vilvah, so every order is 100% authentic and ships from the UK.</t>
  </si>
  <si>
    <t xml:space="preserve">VD-048</t>
  </si>
  <si>
    <t xml:space="preserve">Vilvah Foot Cream and Body Lotion Kit</t>
  </si>
  <si>
    <t xml:space="preserve">Vilvah Foot Cream and Body Lotion Kit | Vilvah UK | Swansura</t>
  </si>
  <si>
    <t xml:space="preserve">Buy Vilvah Foot Cream and Body Lotion Kit, natural skincare for dry skin from Vilvah. Official UK partner, 100% authentic, free UK delivery over £50.</t>
  </si>
  <si>
    <t xml:space="preserve">Vilvah Foot Cream and Body Lotion Kit is natural skincare for dry skin from Vilvah. Swansura is an official UK partner of Vilvah, so every order is 100% authentic and ships from the UK.</t>
  </si>
  <si>
    <t xml:space="preserve">VD-049</t>
  </si>
  <si>
    <t xml:space="preserve">Vilvah Milk Face Kit</t>
  </si>
  <si>
    <t xml:space="preserve">Vilvah Milk Face Kit – Skincare for Dry Skin | Swansura</t>
  </si>
  <si>
    <t xml:space="preserve">Buy Vilvah Milk Face Kit, natural skincare for dry skin from Vilvah. Milk Mud Mask banishes tan lines and renews complexion. Free UK delivery over £50.</t>
  </si>
  <si>
    <t xml:space="preserve">Vilvah Milk Face Kit is natural skincare for dry skin from Vilvah. Milk Mud Mask banishes tan lines and renews complexion. Milk Drops Brightening Serum smooths uneven skin texture and adds a dewy glow. Swansura is an official UK partner of Vilvah, so every order is 100% authentic and ships from the UK.</t>
  </si>
  <si>
    <t xml:space="preserve">VD-050</t>
  </si>
  <si>
    <t xml:space="preserve">oil control kit</t>
  </si>
  <si>
    <t xml:space="preserve">Vilvah Oil Control Kit</t>
  </si>
  <si>
    <t xml:space="preserve">Vilvah Oil Control Kit – Face Wash for Oily Skin | Swansura</t>
  </si>
  <si>
    <t xml:space="preserve">Buy Vilvah Oil Control Kit, a natural face wash for oily skin from Vilvah. Official UK partner: 100% authentic, shipped from the UK, free delivery over £50.</t>
  </si>
  <si>
    <t xml:space="preserve">Vilvah Oil Control Kit is a natural face wash for oily skin from Vilvah. Swansura is an official UK partner of Vilvah, so every order is 100% authentic and ships from the UK.</t>
  </si>
  <si>
    <t xml:space="preserve">VD-051</t>
  </si>
  <si>
    <t xml:space="preserve">Vilvah Sensitive Skin Kit</t>
  </si>
  <si>
    <t xml:space="preserve">Sensitive Skin</t>
  </si>
  <si>
    <t xml:space="preserve">/collections/gifts-for-her</t>
  </si>
  <si>
    <t xml:space="preserve">Vilvah Sensitive Skin Kit – Skincare Gift Set | Swansura</t>
  </si>
  <si>
    <t xml:space="preserve">Buy Vilvah Sensitive Skin Kit, natural skincare gift set from Vilvah. Steam-distilled Rose Toner calms and balances sensitive skin. Free UK delivery over £50.</t>
  </si>
  <si>
    <t xml:space="preserve">Vilvah Sensitive Skin Kit is natural skincare gift set from Vilvah. Steam-distilled Rose Toner calms and balances sensitive skin. Aloe Vera Gel soothes discomfort and restores moisture. Swansura is an official UK partner of Vilvah, so every order is 100% authentic and ships from the UK.</t>
  </si>
  <si>
    <t xml:space="preserve">VD-052</t>
  </si>
  <si>
    <t xml:space="preserve">Vilvah Anti‑Acne Kit</t>
  </si>
  <si>
    <t xml:space="preserve">Acne &amp; Blemishes</t>
  </si>
  <si>
    <t xml:space="preserve">Vilvah Anti‑Acne Kit – Face Wash for Oily Skin | Swansura</t>
  </si>
  <si>
    <t xml:space="preserve">Buy Vilvah Anti‑Acne Kit, a natural face wash for oily skin from Vilvah. Official UK partner: 100% authentic, shipped from the UK, free delivery over £50.</t>
  </si>
  <si>
    <t xml:space="preserve">Vilvah Anti‑Acne Kit is a natural face wash for oily skin from Vilvah. Complete Anti-Acne Kit – 2-step combo with Honey-Fix Face Cleanser and Aloe Vera Gel for acne-prone and oily skin. Gentle Daily Skincare – Cleanses deeply without dryness; hydrates and soothes without clogging pores. Swansura is an official UK partner of Vilvah, so every order is 100% authentic and ships from the UK.</t>
  </si>
  <si>
    <t xml:space="preserve">VD-053</t>
  </si>
  <si>
    <t xml:space="preserve">Vilvah Anti‑Dandruff Haircare Kit</t>
  </si>
  <si>
    <t xml:space="preserve">Vilvah Anti‑Dandruff Haircare Kit | Shampoo for Dandruff</t>
  </si>
  <si>
    <t xml:space="preserve">Vilvah Anti‑Dandruff Haircare Kit: a natural shampoo for dandruff from Vilvah. Official UK partner: 100% authentic, shipped from the UK, free delivery over £50.</t>
  </si>
  <si>
    <t xml:space="preserve">Vilvah Anti‑Dandruff Haircare Kit is a natural shampoo for dandruff from Vilvah. Swansura is an official UK partner of Vilvah, so every order is 100% authentic and ships from the UK.</t>
  </si>
  <si>
    <t xml:space="preserve">VD-054</t>
  </si>
  <si>
    <t xml:space="preserve">Vilvah Sun Protection Kit</t>
  </si>
  <si>
    <t xml:space="preserve">Vilvah Sun Protection Kit – Natural Sunscreen | Swansura</t>
  </si>
  <si>
    <t xml:space="preserve">Buy Vilvah Sun Protection Kit, a natural sunscreen from Vilvah. SPF 50 Face Sunscreen provides broad-spectrum UVA &amp; UVB protection. Free UK delivery over £50.</t>
  </si>
  <si>
    <t xml:space="preserve">Vilvah Sun Protection Kit is a natural sunscreen from Vilvah. SPF 50 Face Sunscreen provides broad-spectrum UVA &amp; UVB protection. SPF 30 Lip Balm hydrates lips and offers gentle sun protection. Swansura is an official UK partner of Vilvah, so every order is 100% authentic and ships from the UK.</t>
  </si>
  <si>
    <t xml:space="preserve">VD-055</t>
  </si>
  <si>
    <t xml:space="preserve">Vilvah Skin Brightening Kit</t>
  </si>
  <si>
    <t xml:space="preserve">Vilvah Skin Brightening Kit | Skincare for Dull Skin</t>
  </si>
  <si>
    <t xml:space="preserve">Buy Vilvah Skin Brightening Kit, natural skincare for dull skin from Vilvah. Official UK partner: 100% authentic, shipped from the UK, free delivery over £50.</t>
  </si>
  <si>
    <t xml:space="preserve">Vilvah Skin Brightening Kit is natural skincare for dull skin from Vilvah. Skin finish sunscreen SPF 50 PA+++ offers broad spectrum protection with a non-greasy, no white cast formula. Ultra-lightweight, water-based textures ideal for layering under makeup or for oily/combination skin. Swansura is an official UK partner of Vilvah, so every order is 100% authentic and ships from the UK.</t>
  </si>
  <si>
    <t xml:space="preserve">VD-056</t>
  </si>
  <si>
    <t xml:space="preserve">Vilvah Night Repair Kit</t>
  </si>
  <si>
    <t xml:space="preserve">Damaged Skin Barrier</t>
  </si>
  <si>
    <t xml:space="preserve">Vilvah Night Repair Kit – Skincare Gift Set | Swansura</t>
  </si>
  <si>
    <t xml:space="preserve">Buy Vilvah Night Repair Kit, natural skincare gift set from Vilvah. Official UK partner: 100% authentic, shipped from the UK, free delivery over £50.</t>
  </si>
  <si>
    <t xml:space="preserve">Vilvah Night Repair Kit is natural skincare gift set from Vilvah. Better Ageing Serum enriched with Bakuchiol and Natural Peptides to combat signs of aging. Under Eye Cream formulated with Bamboo Extract and Goji Berry to reduce puffiness and dark circles. Swansura is an official UK partner of Vilvah, so every order is 100% authentic and ships from the UK.</t>
  </si>
  <si>
    <t xml:space="preserve">VD-057</t>
  </si>
  <si>
    <t xml:space="preserve">Vilvah AM PM Serum Kit</t>
  </si>
  <si>
    <t xml:space="preserve">Vilvah AM PM Serum Kit – Skincare for Dull Skin | Swansura</t>
  </si>
  <si>
    <t xml:space="preserve">Buy Vilvah AM PM Serum Kit, natural skincare for dull skin from Vilvah. Official UK partner: 100% authentic, shipped from the UK, free delivery over £50.</t>
  </si>
  <si>
    <t xml:space="preserve">Vilvah AM PM Serum Kit is natural skincare for dull skin from Vilvah. Lightweight and easy to layer, this duo is suitable for everyday use and works well for dull, uneven, or tired-looking skin. Swansura is an official UK partner of Vilvah, so every order is 100% authentic and ships from the UK.</t>
  </si>
  <si>
    <t xml:space="preserve">VD-058</t>
  </si>
  <si>
    <t xml:space="preserve">Vilvah Better Ageing Kit</t>
  </si>
  <si>
    <t xml:space="preserve">Vilvah Better Ageing Kit – Skincare Gift Set | Swansura</t>
  </si>
  <si>
    <t xml:space="preserve">Buy Vilvah Better Ageing Kit, natural skincare gift set from Vilvah. Official UK partner: 100% authentic, shipped from the UK, free delivery over £50.</t>
  </si>
  <si>
    <t xml:space="preserve">Vilvah Better Ageing Kit is natural skincare gift set from Vilvah. Bakuchiol and natural peptides reduce fine lines and improve skin texture. Ultra Moisturising Cream provides lasting moisture without greasiness. Swansura is an official UK partner of Vilvah, so every order is 100% authentic and ships from the UK.</t>
  </si>
  <si>
    <t xml:space="preserve">VD-059</t>
  </si>
  <si>
    <t xml:space="preserve">Vilvah AM Brightening kit</t>
  </si>
  <si>
    <t xml:space="preserve">Vilvah AM Brightening Kit</t>
  </si>
  <si>
    <t xml:space="preserve">Vilvah AM Brightening Kit | Skincare for Dull Skin</t>
  </si>
  <si>
    <t xml:space="preserve">Buy Vilvah AM Brightening Kit, natural skincare for dull skin from Vilvah. Official UK partner: 100% authentic, shipped from the UK, free delivery over £50.</t>
  </si>
  <si>
    <t xml:space="preserve">Vilvah AM Brightening Kit is natural skincare for dull skin from Vilvah. Perfect for daily morning skincare, this kit helps refresh tired-looking skin, improve overall texture, and leave the face feeling soft, balanced, and naturally luminous. Swansura is an official UK partner of Vilvah, so every order is 100% authentic and ships from the UK.</t>
  </si>
  <si>
    <t xml:space="preserve">VD-060</t>
  </si>
  <si>
    <t xml:space="preserve">Vilvah Tan Protection kit</t>
  </si>
  <si>
    <t xml:space="preserve">Vilvah Tan Protection Kit</t>
  </si>
  <si>
    <t xml:space="preserve">Vilvah Tan Protection Kit – Natural Sunscreen | Swansura</t>
  </si>
  <si>
    <t xml:space="preserve">Buy Vilvah Tan Protection Kit, a natural sunscreen from Vilvah. Official UK partner: 100% authentic, shipped from the UK, free delivery over £50.</t>
  </si>
  <si>
    <t xml:space="preserve">Vilvah Tan Protection Kit is a natural sunscreen from Vilvah. Swansura is an official UK partner of Vilvah, so every order is 100% authentic and ships from the UK.</t>
  </si>
  <si>
    <t xml:space="preserve">VD-061</t>
  </si>
  <si>
    <t xml:space="preserve">Vilvah skin radiance kit</t>
  </si>
  <si>
    <t xml:space="preserve">Vilvah Skin Radiance Kit</t>
  </si>
  <si>
    <t xml:space="preserve">Vilvah Skin Radiance Kit – Skincare for Dull Skin | Swansura</t>
  </si>
  <si>
    <t xml:space="preserve">Buy Vilvah Skin Radiance Kit, natural skincare for dull skin from Vilvah. Official UK partner: 100% authentic, shipped from the UK, free delivery over £50.</t>
  </si>
  <si>
    <t xml:space="preserve">Vilvah Skin Radiance Kit is natural skincare for dull skin from Vilvah. Swansura is an official UK partner of Vilvah, so every order is 100% authentic and ships from the UK.</t>
  </si>
  <si>
    <t xml:space="preserve">VD-062</t>
  </si>
  <si>
    <t xml:space="preserve">Vilvah Pore Minimising Kit</t>
  </si>
  <si>
    <t xml:space="preserve">Blackheads &amp; Pores</t>
  </si>
  <si>
    <t xml:space="preserve">Vilvah Pore Minimising Kit – Skincare Gift Set | Swansura</t>
  </si>
  <si>
    <t xml:space="preserve">Buy Vilvah Pore Minimising Kit, natural skincare gift set from Vilvah. Official UK partner: 100% authentic, shipped from the UK, free delivery over £50.</t>
  </si>
  <si>
    <t xml:space="preserve">Vilvah Pore Minimising Kit is natural skincare gift set from Vilvah. Swansura is an official UK partner of Vilvah, so every order is 100% authentic and ships from the UK.</t>
  </si>
  <si>
    <t xml:space="preserve">VD-063</t>
  </si>
  <si>
    <t xml:space="preserve">Vilvah Face Brightening Kit Large</t>
  </si>
  <si>
    <t xml:space="preserve">Vilvah Face Brightening Kit Large | Skincare for Dull Skin</t>
  </si>
  <si>
    <t xml:space="preserve">Vilvah Face Brightening Kit Large: natural skincare for dull skin from Vilvah. Official UK partner: 100% authentic, shipped from the UK, free delivery over £50.</t>
  </si>
  <si>
    <t xml:space="preserve">Vilvah Face Brightening Kit Large is natural skincare for dull skin from Vilvah. Deep cleanses and gently exfoliates via milk powder wash, lifting dullness while preserving moisture. Hydrates skin with hyaluronic acid and rice milk to maintain plumpness and softness. Swansura is an official UK partner of Vilvah, so every order is 100% authentic and ships from the UK.</t>
  </si>
  <si>
    <t xml:space="preserve">VD-064</t>
  </si>
  <si>
    <t xml:space="preserve">Vilvah Face Brightening Kit</t>
  </si>
  <si>
    <t xml:space="preserve">Vilvah Face Brightening Kit | Skincare for Dull Skin</t>
  </si>
  <si>
    <t xml:space="preserve">Buy Vilvah Face Brightening Kit, natural skincare for dull skin from Vilvah. Official UK partner: 100% authentic, shipped from the UK, free delivery over £50.</t>
  </si>
  <si>
    <t xml:space="preserve">Vilvah Face Brightening Kit is natural skincare for dull skin from Vilvah. Deep cleanses and gently exfoliates via milk powder wash, lifting dullness while preserving moisture. Hydrates skin with hyaluronic acid and rice milk to maintain plumpness and softness. Swansura is an official UK partner of Vilvah, so every order is 100% authentic and ships from the UK.</t>
  </si>
  <si>
    <t xml:space="preserve">VD-065</t>
  </si>
  <si>
    <t xml:space="preserve">Vilvah Budget Skincare combo</t>
  </si>
  <si>
    <t xml:space="preserve">Vilvah Budget Skincare Combo</t>
  </si>
  <si>
    <t xml:space="preserve">Vilvah Budget Skincare Combo | Skincare for Dry Skin</t>
  </si>
  <si>
    <t xml:space="preserve">Buy Vilvah Budget Skincare Combo, natural skincare for dry skin from Vilvah. Official UK partner: 100% authentic, shipped from the UK, free delivery over £50.</t>
  </si>
  <si>
    <t xml:space="preserve">Vilvah Budget Skincare Combo is natural skincare for dry skin from Vilvah. Swansura is an official UK partner of Vilvah, so every order is 100% authentic and ships from the UK.</t>
  </si>
  <si>
    <t xml:space="preserve">VD-066</t>
  </si>
  <si>
    <t xml:space="preserve">Vilvah Face Lift Kit</t>
  </si>
  <si>
    <t xml:space="preserve">Vilvah Face Lift Kit – Skincare Gift Set | Swansura</t>
  </si>
  <si>
    <t xml:space="preserve">Buy Vilvah Face Lift Kit, natural skincare gift set from Vilvah. Official UK partner: 100% authentic, shipped from the UK, free delivery over £50.</t>
  </si>
  <si>
    <t xml:space="preserve">Vilvah Face Lift Kit is natural skincare gift set from Vilvah. Swansura is an official UK partner of Vilvah, so every order is 100% authentic and ships from the UK.</t>
  </si>
  <si>
    <t xml:space="preserve">VD-067</t>
  </si>
  <si>
    <t xml:space="preserve">Vilvah x Annapoorna Gift Box</t>
  </si>
  <si>
    <t xml:space="preserve">Vilvah X Annapoorna Gift Box</t>
  </si>
  <si>
    <t xml:space="preserve">Vilvah X Annapoorna Gift Box | Body Lotion for Dry Skin</t>
  </si>
  <si>
    <t xml:space="preserve">Vilvah X Annapoorna Gift Box: a natural body lotion for dry skin from Vilvah. Official UK partner: 100% authentic, shipped from the UK, free delivery over £50.</t>
  </si>
  <si>
    <t xml:space="preserve">Vilvah X Annapoorna Gift Box is a natural body lotion for dry skin from Vilvah. Swansura is an official UK partner of Vilvah, so every order is 100% authentic and ships from the UK.</t>
  </si>
  <si>
    <t xml:space="preserve">VD-068</t>
  </si>
  <si>
    <t xml:space="preserve">tinted lip balm kit</t>
  </si>
  <si>
    <t xml:space="preserve">Vilvah Tinted Lip Balm Kit</t>
  </si>
  <si>
    <t xml:space="preserve">Vilvah Tinted Lip Balm Kit | Lip Balm for Dry Lips</t>
  </si>
  <si>
    <t xml:space="preserve">Buy Vilvah Tinted Lip Balm Kit, a natural lip balm for dry lips from Vilvah. Official UK partner: 100% authentic, shipped from the UK, free delivery over £50.</t>
  </si>
  <si>
    <t xml:space="preserve">Vilvah Tinted Lip Balm Kit is a natural lip balm for dry lips from Vilvah. Easy to wear on its own or layered for extra colour, this kit is ideal for everyday use and suits all skin tones with a natural, hydrated look. Key Benefits• Helps keep lips soft and moisturised• Adds a natural everyday tint• Lightweight, smooth, and comfortable to wear• Suitable for daily use. Swansura is an official UK partner of Vilvah, so every order is 100% authentic and ships from the UK.</t>
  </si>
  <si>
    <t xml:space="preserve">VD-069</t>
  </si>
  <si>
    <t xml:space="preserve">Vilvah Store Frizz Free Hair Combo</t>
  </si>
  <si>
    <t xml:space="preserve">Vilvah Store Frizz Free Hair Combo | Vilvah UK | Swansura</t>
  </si>
  <si>
    <t xml:space="preserve">Buy Vilvah Store Frizz Free Hair Combo, a natural hair serum for frizzy hair from Vilvah. Official UK partner, 100% authentic, free UK delivery over £50.</t>
  </si>
  <si>
    <t xml:space="preserve">Vilvah Store Frizz Free Hair Combo is a natural hair serum for frizzy hair from Vilvah. Swansura is an official UK partner of Vilvah, so every order is 100% authentic and ships from the UK.</t>
  </si>
  <si>
    <t xml:space="preserve">VD-070</t>
  </si>
  <si>
    <t xml:space="preserve">Vilvah Bestseller Hair Kit</t>
  </si>
  <si>
    <t xml:space="preserve">Vilvah Bestseller Hair Kit | Hair Mask for Dry Hair</t>
  </si>
  <si>
    <t xml:space="preserve">Buy Vilvah Bestseller Hair Kit, a natural hair mask for dry hair from Vilvah. Official UK partner: 100% authentic, shipped from the UK, free delivery over £50.</t>
  </si>
  <si>
    <t xml:space="preserve">Vilvah Bestseller Hair Kit is a natural hair mask for dry hair from Vilvah. Goat milk replenishes moisture, leaving hair soft and manageable. Tucuma Butter and Broccoli Oil smoothen hair and reduce flyaways. Swansura is an official UK partner of Vilvah, so every order is 100% authentic and ships from the UK.</t>
  </si>
  <si>
    <t xml:space="preserve">VD-071</t>
  </si>
  <si>
    <t xml:space="preserve">Vilvah Shampoo and Hair Serum Kit</t>
  </si>
  <si>
    <t xml:space="preserve">Vilvah Shampoo and Hair Serum Kit | Hair Mask for Dry Hair</t>
  </si>
  <si>
    <t xml:space="preserve">Buy Vilvah Shampoo and Hair Serum Kit, a natural hair mask for dry hair from Vilvah. Official UK partner, 100% authentic, free UK delivery over £50.</t>
  </si>
  <si>
    <t xml:space="preserve">Vilvah Shampoo and Hair Serum Kit is a natural hair mask for dry hair from Vilvah. Swansura is an official UK partner of Vilvah, so every order is 100% authentic and ships from the UK.</t>
  </si>
  <si>
    <t xml:space="preserve">VD-072</t>
  </si>
  <si>
    <t xml:space="preserve">Vilvah Hair Strengthening Kit</t>
  </si>
  <si>
    <t xml:space="preserve">Damaged Hair</t>
  </si>
  <si>
    <t xml:space="preserve">Vilvah Hair Strengthening Kit – Skincare Gift Set | Swansura</t>
  </si>
  <si>
    <t xml:space="preserve">Buy Vilvah Hair Strengthening Kit, natural skincare gift set from Vilvah. Official UK partner: 100% authentic, shipped from the UK, free delivery over £50.</t>
  </si>
  <si>
    <t xml:space="preserve">Vilvah Hair Strengthening Kit is natural skincare gift set from Vilvah. Dual Action Care – Hair Growth Oil stimulates scalp &amp; hair growth; Goat Milk Shampoo nourishes &amp; hydrates. Reduces Hair Fall – Strengthens roots, minimizes breakage, and protects against thinning. Swansura is an official UK partner of Vilvah, so every order is 100% authentic and ships from the UK.</t>
  </si>
  <si>
    <t xml:space="preserve">VD-073</t>
  </si>
  <si>
    <t xml:space="preserve">Vilvah Lip Lightening Kit</t>
  </si>
  <si>
    <t xml:space="preserve">Pigmentation</t>
  </si>
  <si>
    <t xml:space="preserve">Vilvah Lip Lightening Kit – Skincare Gift Set | Swansura</t>
  </si>
  <si>
    <t xml:space="preserve">Buy Vilvah Lip Lightening Kit, natural skincare gift set from Vilvah. Official UK partner: 100% authentic, shipped from the UK, free delivery over £50.</t>
  </si>
  <si>
    <t xml:space="preserve">Vilvah Lip Lightening Kit is natural skincare gift set from Vilvah. Lip Scrub exfoliates gently, removing dead skin and lightening lips. Hydrating formula keeps lips soft, smooth &amp; supple. Swansura is an official UK partner of Vilvah, so every order is 100% authentic and ships from the UK.</t>
  </si>
  <si>
    <t xml:space="preserve">VD-074</t>
  </si>
  <si>
    <t xml:space="preserve">Vilvah Skin Hydration Kit</t>
  </si>
  <si>
    <t xml:space="preserve">Vilvah Skin Hydration Kit – Skincare for Dry Skin | Swansura</t>
  </si>
  <si>
    <t xml:space="preserve">Buy Vilvah Skin Hydration Kit, natural skincare for dry skin from Vilvah. Official UK partner: 100% authentic, shipped from the UK, free delivery over £50.</t>
  </si>
  <si>
    <t xml:space="preserve">Vilvah Skin Hydration Kit is natural skincare for dry skin from Vilvah. Hydrates &amp; plumps skin with rice milk and plant-based hyaluronic acid. Minimises visible pores using Earth Marine Water and gentle exfoliation with glycolic acid. Swansura is an official UK partner of Vilvah, so every order is 100% authentic and ships from the UK.</t>
  </si>
  <si>
    <t xml:space="preserve">VD-075</t>
  </si>
  <si>
    <t xml:space="preserve">Vilvah Anti Frizz Hair Kit</t>
  </si>
  <si>
    <t xml:space="preserve">Vilvah Anti Frizz Hair Kit | Hair Serum for Frizzy Hair</t>
  </si>
  <si>
    <t xml:space="preserve">Vilvah Anti Frizz Hair Kit: a natural hair serum for frizzy hair from Vilvah. Official UK partner: 100% authentic, shipped from the UK, free delivery over £50.</t>
  </si>
  <si>
    <t xml:space="preserve">Vilvah Anti Frizz Hair Kit is a natural hair serum for frizzy hair from Vilvah. Swansura is an official UK partner of Vilvah, so every order is 100% authentic and ships from the UK.</t>
  </si>
  <si>
    <t xml:space="preserve">VD-076</t>
  </si>
  <si>
    <t xml:space="preserve">Vilvah Body Polishing Kit</t>
  </si>
  <si>
    <t xml:space="preserve">Vilvah Body Polishing Kit | Skincare for Dull Skin</t>
  </si>
  <si>
    <t xml:space="preserve">Vilvah Body Polishing Kit: natural skincare for dull skin from Vilvah. Coffee Scrub gently exfoliates, removes tan and unclogs pores. Free UK delivery over £50.</t>
  </si>
  <si>
    <t xml:space="preserve">Vilvah Body Polishing Kit is natural skincare for dull skin from Vilvah. Coffee Scrub gently exfoliates, removes tan and unclogs pores. Almond Milk keeps skin firm, supple &amp; radiant. Swansura is an official UK partner of Vilvah, so every order is 100% authentic and ships from the UK.</t>
  </si>
  <si>
    <t xml:space="preserve">VD-077</t>
  </si>
  <si>
    <t xml:space="preserve">Vilvah Hairfall Control Kit</t>
  </si>
  <si>
    <t xml:space="preserve">/collections/hair-oil-for-hair-loss</t>
  </si>
  <si>
    <t xml:space="preserve">Vilvah Hairfall Control Kit | Hair Oil for Hair Loss</t>
  </si>
  <si>
    <t xml:space="preserve">Buy Vilvah Hairfall Control Kit, a natural hair oil for hair loss from Vilvah. Official UK partner: 100% authentic, shipped from the UK, free delivery over £50.</t>
  </si>
  <si>
    <t xml:space="preserve">Vilvah Hairfall Control Kit is a natural hair oil for hair loss from Vilvah. Dual Action Formula – Nourishing Hair Growth Oil + scalp-purifying Herbal Shampoo. Strengthens &amp; Protects – Reduces breakage and supports new follicle growth. Swansura is an official UK partner of Vilvah, so every order is 100% authentic and ships from the UK.</t>
  </si>
  <si>
    <t xml:space="preserve">VD-078</t>
  </si>
  <si>
    <t xml:space="preserve">VD-079</t>
  </si>
  <si>
    <t xml:space="preserve">Vilvah Goat Milk Hair Kit</t>
  </si>
  <si>
    <t xml:space="preserve">Vilvah Goat Milk Hair Kit | Hair Mask for Dry Hair</t>
  </si>
  <si>
    <t xml:space="preserve">Buy Vilvah Goat Milk Hair Kit, a natural hair mask for dry hair from Vilvah. Official UK partner: 100% authentic, shipped from the UK, free delivery over £50.</t>
  </si>
  <si>
    <t xml:space="preserve">Vilvah Goat Milk Hair Kit is a natural hair mask for dry hair from Vilvah. Swansura is an official UK partner of Vilvah, so every order is 100% authentic and ships from the UK.</t>
  </si>
  <si>
    <t xml:space="preserve">VD-080</t>
  </si>
  <si>
    <t xml:space="preserve">Vilvah Everyday Care Milk Kit</t>
  </si>
  <si>
    <t xml:space="preserve">Vilvah Everyday Care Milk Kit | Body Lotion for Dry Skin</t>
  </si>
  <si>
    <t xml:space="preserve">Vilvah Everyday Care Milk Kit: a natural body lotion for dry skin from Vilvah. Official UK partner: 100% authentic, shipped from the UK, free delivery over £50.</t>
  </si>
  <si>
    <t xml:space="preserve">Vilvah Everyday Care Milk Kit is a natural body lotion for dry skin from Vilvah. Swansura is an official UK partner of Vilvah, so every order is 100% authentic and ships from the UK.</t>
  </si>
  <si>
    <t xml:space="preserve">VD-081</t>
  </si>
  <si>
    <t xml:space="preserve">Vilvah Lip Nourishing Kit</t>
  </si>
  <si>
    <t xml:space="preserve">Vilvah Lip Nourishing Kit – Lip Balm for Dry Lips | Swansura</t>
  </si>
  <si>
    <t xml:space="preserve">Buy Vilvah Lip Nourishing Kit, a natural lip balm for dry lips from Vilvah. Official UK partner: 100% authentic, shipped from the UK, free delivery over £50.</t>
  </si>
  <si>
    <t xml:space="preserve">Vilvah Lip Nourishing Kit is a natural lip balm for dry lips from Vilvah. Grapefruit Lip Balm hydrates and gives a natural tint to your lips. Lip Scrub gently exfoliates and removes dead skin. Swansura is an official UK partner of Vilvah, so every order is 100% authentic and ships from the UK.</t>
  </si>
  <si>
    <t xml:space="preserve">VD-082</t>
  </si>
  <si>
    <t xml:space="preserve">Deyga</t>
  </si>
  <si>
    <t xml:space="preserve">Chocolate Body Butter 100G</t>
  </si>
  <si>
    <t xml:space="preserve">Body Butters</t>
  </si>
  <si>
    <t xml:space="preserve">/collections/body-butter</t>
  </si>
  <si>
    <t xml:space="preserve">Deyga Chocolate Body Butter</t>
  </si>
  <si>
    <t xml:space="preserve">Deyga Chocolate Body Butter – Body Butter | Swansura</t>
  </si>
  <si>
    <t xml:space="preserve">Buy Deyga Chocolate Body Butter, a natural body butter from Deyga. Official UK partner: 100% authentic, shipped from the UK, free delivery over £50.</t>
  </si>
  <si>
    <t xml:space="preserve">Deyga Chocolate Body Butter is a natural body butter from Deyga. Intense Moisture for Dry Skin – Formulated with cocoa and nourishing oils to provide deep hydration and combat dryness throughout the day. Helps Reduce Stretch Marks – Regular use supports skin elasticity and helps minimize the appearance of stretch marks. Swansura is an official UK partner of Deyga, so every order is 100% authentic and ships from the UK.</t>
  </si>
  <si>
    <t xml:space="preserve">VD-083</t>
  </si>
  <si>
    <t xml:space="preserve">Charcoal Detox Face Mask 100G</t>
  </si>
  <si>
    <t xml:space="preserve">Deyga Charcoal Detox Face Mask</t>
  </si>
  <si>
    <t xml:space="preserve">Deyga Charcoal Detox Face Mask – Face Mask | Swansura</t>
  </si>
  <si>
    <t xml:space="preserve">Buy Deyga Charcoal Detox Face Mask, a natural face mask from Deyga. Official UK partner: 100% authentic, shipped from the UK, free delivery over £50.</t>
  </si>
  <si>
    <t xml:space="preserve">Deyga Charcoal Detox Face Mask is a natural face mask from Deyga. Activated charcoal draws out dirt, toxins, and impurities from deep within pores for a clear and refreshed look. Helps regulate sebum production, making it ideal for oily, combination, and acne-prone skin. Swansura is an official UK partner of Deyga, so every order is 100% authentic and ships from the UK.</t>
  </si>
  <si>
    <t xml:space="preserve">VD-084</t>
  </si>
  <si>
    <t xml:space="preserve">Activated Charcoal Body Wash 220ML</t>
  </si>
  <si>
    <t xml:space="preserve">Deyga Activated Charcoal Body Wash</t>
  </si>
  <si>
    <t xml:space="preserve">Deyga Activated Charcoal Body Wash | Natural Body Wash</t>
  </si>
  <si>
    <t xml:space="preserve">Buy Deyga Activated Charcoal Body Wash, a natural body wash from Deyga. Official UK partner: 100% authentic, shipped from the UK, free delivery over £50.</t>
  </si>
  <si>
    <t xml:space="preserve">Deyga Activated Charcoal Body Wash is a natural body wash from Deyga. Enriched with cucumber to soothe irritation and provide long-lasting hydration. Free from sulphates, parabens, BPA, and harsh chemicals, making it safe for all skin types. Swansura is an official UK partner of Deyga, so every order is 100% authentic and ships from the UK.</t>
  </si>
  <si>
    <t xml:space="preserve">VD-085</t>
  </si>
  <si>
    <t xml:space="preserve">Body Scrub 100g</t>
  </si>
  <si>
    <t xml:space="preserve">Deyga Body Scrub</t>
  </si>
  <si>
    <t xml:space="preserve">Deyga Body Scrub | Body Scrub</t>
  </si>
  <si>
    <t xml:space="preserve">Buy Deyga Body Scrub, a natural body scrub from Deyga. Official UK partner: 100% authentic, shipped from the UK, free delivery over £50.</t>
  </si>
  <si>
    <t xml:space="preserve">Deyga Body Scrub is a natural body scrub from Deyga. Gently removes dead skin and impurities with fruit-derived exfoliants for visibly smoother skin. Infused with papaya, pomegranate and other skin-loving ingredients for deep nourishment. Swansura is an official UK partner of Deyga, so every order is 100% authentic and ships from the UK.</t>
  </si>
  <si>
    <t xml:space="preserve">deyga body wash · deyga body wash review · deyga body wash ingredients · how to use deyga body scrub</t>
  </si>
  <si>
    <t xml:space="preserve">VD-086</t>
  </si>
  <si>
    <t xml:space="preserve">Deep Moisturising Face Cream 30G</t>
  </si>
  <si>
    <t xml:space="preserve">Deyga Deep Moisturising Face Cream</t>
  </si>
  <si>
    <t xml:space="preserve">Deyga Deep Moisturising Face Cream | Deyga UK | Swansura</t>
  </si>
  <si>
    <t xml:space="preserve">Buy Deyga Deep Moisturising Face Cream, a natural moisturiser for dry skin from Deyga. Official UK partner, 100% authentic, free UK delivery over £50.</t>
  </si>
  <si>
    <t xml:space="preserve">Deyga Deep Moisturising Face Cream is a natural moisturiser for dry skin from Deyga. Provides long-lasting moisture for up to 7–8 hours, helping to combat dryness and flakiness effectively. Made with plant-based oils and free from parabens, phthalates, artificial fragrances, and harmful chemicals. Swansura is an official UK partner of Deyga, so every order is 100% authentic and ships from the UK.</t>
  </si>
  <si>
    <t xml:space="preserve">VD-087</t>
  </si>
  <si>
    <t xml:space="preserve">2% Hyaluronic Acid Serum 20ML</t>
  </si>
  <si>
    <t xml:space="preserve">Deyga 2% Hyaluronic Acid Serum</t>
  </si>
  <si>
    <t xml:space="preserve">Deyga 2% Hyaluronic Acid Serum | Skincare for Dull Skin</t>
  </si>
  <si>
    <t xml:space="preserve">Buy Deyga 2% Hyaluronic Acid Serum, natural skincare for dull skin from Deyga. Official UK partner: 100% authentic, shipped from the UK, free delivery over £50.</t>
  </si>
  <si>
    <t xml:space="preserve">Deyga 2% Hyaluronic Acid Serum is natural skincare for dull skin from Deyga. Deep Hydration &amp; Moisture Lock – Formulated with 2% hyaluronic acid to attract and retain moisture, keeping skin hydrated, soft, and supple throughout the day. Plumps Skin &amp; Reduces Fine Lines – Helps visibly smooth fine lines and improve elasticity for a youthful, plump appearance with consistent use. Swansura is an official UK partner of Deyga, so every order is 100% authentic and ships from the UK.</t>
  </si>
  <si>
    <t xml:space="preserve">VD-088</t>
  </si>
  <si>
    <t xml:space="preserve">Orange &amp; Almond Face Pack Powder 100G</t>
  </si>
  <si>
    <t xml:space="preserve">Skincare Treatments</t>
  </si>
  <si>
    <t xml:space="preserve">Deyga Orange &amp; Almond Face Pack Powder</t>
  </si>
  <si>
    <t xml:space="preserve">Deyga Orange &amp; Almond Face Pack Powder | Face Serum</t>
  </si>
  <si>
    <t xml:space="preserve">Buy Deyga Orange &amp; Almond Face Pack Powder, a natural face serum from Deyga. Official UK partner: 100% authentic, shipped from the UK, free delivery over £50.</t>
  </si>
  <si>
    <t xml:space="preserve">Deyga Orange &amp; Almond Face Pack Powder is a natural face serum from Deyga. Natural Skin Brightening Formula – Enriched with orange peel and Vitamin C to help brighten dull skin and improve overall complexion for a radiant glow. Gentle Exfoliation with Almond Meal – Naturally removes dead skin cells and impurities while nourishing the skin for a smooth, soft finish. Swansura is an official UK partner of Deyga, so every order is 100% authentic and ships from the UK.</t>
  </si>
  <si>
    <t xml:space="preserve">VD-089</t>
  </si>
  <si>
    <t xml:space="preserve">Premature Greying Hair Oil 100ML</t>
  </si>
  <si>
    <t xml:space="preserve">Deyga Premature Greying Hair Oil</t>
  </si>
  <si>
    <t xml:space="preserve">Deyga Premature Greying Hair Oil | Hair Growth Oil</t>
  </si>
  <si>
    <t xml:space="preserve">Buy Deyga Premature Greying Hair Oil, a natural hair growth oil from Deyga. Official UK partner: 100% authentic, shipped from the UK, free delivery over £50.</t>
  </si>
  <si>
    <t xml:space="preserve">Deyga Premature Greying Hair Oil is a natural hair growth oil from Deyga. Deeply Nourishes Hair &amp; Scalp – Infused with Coconut, Castor, and Moringa oils to hydrate the scalp, improve softness, and strengthen hair from the roots. Chemical-Free Herbal Formula – Free from mineral oils, artificial colours, and synthetic fragrances, making it suitable for all hair types including sensitive scalps. Swansura is an official UK partner of Deyga, so every order is 100% authentic and ships from the UK.</t>
  </si>
  <si>
    <t xml:space="preserve">VD-090</t>
  </si>
  <si>
    <t xml:space="preserve">Anti-dandruff Oil</t>
  </si>
  <si>
    <t xml:space="preserve">Deyga Anti-dandruff Oil</t>
  </si>
  <si>
    <t xml:space="preserve">Deyga Anti-dandruff Oil – Hair Growth Oil | Swansura</t>
  </si>
  <si>
    <t xml:space="preserve">Buy Deyga Anti-dandruff Oil, a natural hair growth oil from Deyga. Official UK partner: 100% authentic, shipped from the UK, free delivery over £50.</t>
  </si>
  <si>
    <t xml:space="preserve">Deyga Anti-dandruff Oil is a natural hair growth oil from Deyga. Swansura is an official UK partner of Deyga, so every order is 100% authentic and ships from the UK.</t>
  </si>
  <si>
    <t xml:space="preserve">deyga anti dandruff oil · deyga anti dandruff oil review</t>
  </si>
  <si>
    <t xml:space="preserve">VD-091</t>
  </si>
  <si>
    <t xml:space="preserve">Rose &amp; Geranium Body Butter 40G</t>
  </si>
  <si>
    <t xml:space="preserve">Deyga Rose &amp; Geranium Body Butter</t>
  </si>
  <si>
    <t xml:space="preserve">Deyga Rose &amp; Geranium Body Butter – Body Butter | Swansura</t>
  </si>
  <si>
    <t xml:space="preserve">Buy Deyga Rose &amp; Geranium Body Butter, a natural body butter from Deyga. Official UK partner: 100% authentic, shipped from the UK, free delivery over £50.</t>
  </si>
  <si>
    <t xml:space="preserve">Deyga Rose &amp; Geranium Body Butter is a natural body butter from Deyga. Intensely moisturizes dry and rough skin with a rich blend of natural butters and oils for long-lasting softness and comfort. Nourishing ingredients help improve skin elasticity and visibly reduce the appearance of stretch marks over time. Swansura is an official UK partner of Deyga, so every order is 100% authentic and ships from the UK.</t>
  </si>
  <si>
    <t xml:space="preserve">VD-092</t>
  </si>
  <si>
    <t xml:space="preserve">Rose Glow Serum 30ml</t>
  </si>
  <si>
    <t xml:space="preserve">Deyga Rose Glow Serum</t>
  </si>
  <si>
    <t xml:space="preserve">Deyga Rose Glow Serum – Skincare for Dull Skin | Swansura</t>
  </si>
  <si>
    <t xml:space="preserve">Buy Deyga Rose Glow Serum, natural skincare for dull skin from Deyga. Official UK partner: 100% authentic, shipped from the UK, free delivery over £50.</t>
  </si>
  <si>
    <t xml:space="preserve">Deyga Rose Glow Serum is natural skincare for dull skin from Deyga. Deeply hydrates and nourishes skin to enhance natural glow and softness. Minimizes fine lines and signs of aging with antioxidant-rich formula. Swansura is an official UK partner of Deyga, so every order is 100% authentic and ships from the UK.</t>
  </si>
  <si>
    <t xml:space="preserve">deyga rose glow serum review</t>
  </si>
  <si>
    <t xml:space="preserve">VD-093</t>
  </si>
  <si>
    <t xml:space="preserve">Light Moisturising Face Cream 30G</t>
  </si>
  <si>
    <t xml:space="preserve">/collections/moisturiser</t>
  </si>
  <si>
    <t xml:space="preserve">Deyga Light Moisturising Face Cream</t>
  </si>
  <si>
    <t xml:space="preserve">Deyga Light Moisturising Face Cream | Deyga UK | Swansura</t>
  </si>
  <si>
    <t xml:space="preserve">Buy Deyga Light Moisturising Face Cream, a natural moisturiser for oily skin from Deyga. Official UK partner, 100% authentic, free UK delivery over £50.</t>
  </si>
  <si>
    <t xml:space="preserve">Deyga Light Moisturising Face Cream is a natural moisturiser for oily skin from Deyga. Fast-absorbing light moisturising face cream designed for oily and normal skin without leaving a greasy residue. Helps regulate excess sebum while maintaining balanced skin hydration for a fresh, matte finish. Swansura is an official UK partner of Deyga, so every order is 100% authentic and ships from the UK.</t>
  </si>
  <si>
    <t xml:space="preserve">VD-094</t>
  </si>
  <si>
    <t xml:space="preserve">Foot Soak Powder 160G</t>
  </si>
  <si>
    <t xml:space="preserve">Body Care</t>
  </si>
  <si>
    <t xml:space="preserve">Deyga Foot Soak Powder</t>
  </si>
  <si>
    <t xml:space="preserve">Deyga Foot Soak Powder – Body Lotion for Dry Skin | Swansura</t>
  </si>
  <si>
    <t xml:space="preserve">Buy Deyga Foot Soak Powder, a natural body lotion for dry skin from Deyga. Official UK partner: 100% authentic, shipped from the UK, free delivery over £50.</t>
  </si>
  <si>
    <t xml:space="preserve">Deyga Foot Soak Powder is a natural body lotion for dry skin from Deyga. Deep Relaxation for Tired Feet – Helps soothe stressed and overworked feet by easing muscle tension and promoting relaxation after long hours of standing or walking. Natural Dead Skin Removal Support – Softens hard skin, calluses, and rough patches, making it easier to exfoliate and maintain smooth feet. Swansura is an official UK partner of Deyga, so every order is 100% authentic and ships from the UK.</t>
  </si>
  <si>
    <t xml:space="preserve">VD-095</t>
  </si>
  <si>
    <t xml:space="preserve">Vitamin C Foaming Face Wash 100ML</t>
  </si>
  <si>
    <t xml:space="preserve">Deyga Vitamin C Foaming Face Wash</t>
  </si>
  <si>
    <t xml:space="preserve">Deyga Vitamin C Foaming Face Wash | Face Wash for Oily Skin</t>
  </si>
  <si>
    <t xml:space="preserve">Buy Deyga Vitamin C Foaming Face Wash, a natural face wash for oily skin from Deyga. Official UK partner, 100% authentic, free UK delivery over £50.</t>
  </si>
  <si>
    <t xml:space="preserve">Deyga Vitamin C Foaming Face Wash is a natural face wash for oily skin from Deyga. Deep Cleansing Foaming Action – Micro-foam formula effectively removes dirt, oil, and impurities while keeping skin fresh and clean without over-drying. Controls Oil &amp; Improves Texture – Helps regulate excess sebum production, leaving skin smooth, soft, and shine-free for up to 8 hours. Swansura is an official UK partner of Deyga, so every order is 100% authentic and ships from the UK.</t>
  </si>
  <si>
    <t xml:space="preserve">deyga vitamin c foaming face wash review</t>
  </si>
  <si>
    <t xml:space="preserve">VD-096</t>
  </si>
  <si>
    <t xml:space="preserve">Wild Berry Body Wash 220ml</t>
  </si>
  <si>
    <t xml:space="preserve">Deyga Wild Berry Body Wash</t>
  </si>
  <si>
    <t xml:space="preserve">Deyga Wild Berry Body Wash – Natural Body Wash | Swansura</t>
  </si>
  <si>
    <t xml:space="preserve">Buy Deyga Wild Berry Body Wash, a natural body wash from Deyga. Official UK partner: 100% authentic, shipped from the UK, free delivery over £50.</t>
  </si>
  <si>
    <t xml:space="preserve">Deyga Wild Berry Body Wash is a natural body wash from Deyga. Deeply hydrates and nourishes skin without stripping natural oils, leaving it soft and smooth after every wash. Free from harmful chemicals like sulphates, parabens, BPA, and benzophenone for safe daily use. Swansura is an official UK partner of Deyga, so every order is 100% authentic and ships from the UK.</t>
  </si>
  <si>
    <t xml:space="preserve">deyga wild berry body wash review</t>
  </si>
  <si>
    <t xml:space="preserve">VD-097</t>
  </si>
  <si>
    <t xml:space="preserve">Neem Seed Oil 30ML</t>
  </si>
  <si>
    <t xml:space="preserve">Body Oil</t>
  </si>
  <si>
    <t xml:space="preserve">Deyga Neem Seed Oil</t>
  </si>
  <si>
    <t xml:space="preserve">Deyga Neem Seed Oil – Body Lotion for Dry Skin | Swansura</t>
  </si>
  <si>
    <t xml:space="preserve">Buy Deyga Neem Seed Oil, a natural body lotion for dry skin from Deyga. Multi-Purpose Skin &amp; Hair Care Oil – Can be used for face. Free UK delivery over £50.</t>
  </si>
  <si>
    <t xml:space="preserve">Deyga Neem Seed Oil is a natural body lotion for dry skin from Deyga. Multi-Purpose Skin &amp; Hair Care Oil – Can be used for face care, scalp massage, spot treatment, or mixed with carrier oils for daily skincare routine. Suitable for All Skin Types – Gentle yet powerful formulation suitable for oily, dry, sensitive, and acne-prone skin without harsh chemicals. Swansura is an official UK partner of Deyga, so every order is 100% authentic and ships from the UK.</t>
  </si>
  <si>
    <t xml:space="preserve">deyga neem seed oil review</t>
  </si>
  <si>
    <t xml:space="preserve">VD-098</t>
  </si>
  <si>
    <t xml:space="preserve">Under Eye Mask 15G</t>
  </si>
  <si>
    <t xml:space="preserve">Deyga Under Eye Mask</t>
  </si>
  <si>
    <t xml:space="preserve">Deyga Under Eye Mask | Face Serum</t>
  </si>
  <si>
    <t xml:space="preserve">Buy Deyga Under Eye Mask, a natural face serum from Deyga. Official UK partner: 100% authentic, shipped from the UK, free delivery over £50.</t>
  </si>
  <si>
    <t xml:space="preserve">Deyga Under Eye Mask is a natural face serum from Deyga. Helps visibly reduce dark circles, puffiness, and under-eye fatigue by improving blood circulation and skin nourishment for a refreshed appearance. Formulated with natural Ayurvedic ingredients like almond oil, chamomile extract, olive oil, and wheat germ oil for deep hydration and skin repair. Swansura is an official UK partner of Deyga, so every order is 100% authentic and ships from the UK.</t>
  </si>
  <si>
    <t xml:space="preserve">deyga under eye mask review · how to use deyga under eye mask</t>
  </si>
  <si>
    <t xml:space="preserve">VD-099</t>
  </si>
  <si>
    <t xml:space="preserve">Spirulina Matcha Face Pack 150G</t>
  </si>
  <si>
    <t xml:space="preserve">Deyga Spirulina Matcha Face Pack</t>
  </si>
  <si>
    <t xml:space="preserve">Deyga Spirulina Matcha Face Pack – Face Serum | Swansura</t>
  </si>
  <si>
    <t xml:space="preserve">Buy Deyga Spirulina Matcha Face Pack, a natural face serum from Deyga. Official UK partner: 100% authentic, shipped from the UK, free delivery over £50.</t>
  </si>
  <si>
    <t xml:space="preserve">Deyga Spirulina Matcha Face Pack is a natural face serum from Deyga. Powerful Anti-Acne Formula – Helps reduce pimples and breakouts by detoxifying clogged pores and controlling excess sebum for clearer skin. Oil Control &amp; Deep Cleansing – Effectively removes dirt, impurities, and excess oil without stripping natural moisture. Swansura is an official UK partner of Deyga, so every order is 100% authentic and ships from the UK.</t>
  </si>
  <si>
    <t xml:space="preserve">VD-100</t>
  </si>
  <si>
    <t xml:space="preserve">Tea Tree Facial Toner 100ML</t>
  </si>
  <si>
    <t xml:space="preserve">Deyga Tea Tree Facial Toner</t>
  </si>
  <si>
    <t xml:space="preserve">Deyga Tea Tree Facial Toner – Toner for Dry Skin | Swansura</t>
  </si>
  <si>
    <t xml:space="preserve">Buy Deyga Tea Tree Facial Toner, a natural toner for dry skin from Deyga. Official UK partner: 100% authentic, shipped from the UK, free delivery over £50.</t>
  </si>
  <si>
    <t xml:space="preserve">Deyga Tea Tree Facial Toner is a natural toner for dry skin from Deyga. Minimizes Pores &amp; Improves Skin Texture – Regular use helps tighten enlarged pores and refine skin texture, giving a smoother and more even-looking complexion. Alcohol-Free &amp; Gentle Formula – Free from alcohol, artificial colors, and harsh chemicals, making it suitable for daily use on sensitive, acne-prone, and all skin types. Swansura is an official UK partner of Deyga, so every order is 100% authentic and ships from the UK.</t>
  </si>
  <si>
    <t xml:space="preserve">VD-101</t>
  </si>
  <si>
    <t xml:space="preserve">Tangerine Cleansing Balm for Makeup Removal 30g</t>
  </si>
  <si>
    <t xml:space="preserve">Deyga Tangerine Cleansing Balm for Makeup Removal</t>
  </si>
  <si>
    <t xml:space="preserve">Deyga Tangerine Cleansing Balm for Makeup Remov | Swansura</t>
  </si>
  <si>
    <t xml:space="preserve">Buy Deyga Tangerine Cleansing Balm for Makeup Removal, a natural face serum from Deyga. Official UK partner, 100% authentic, free UK delivery over £50.</t>
  </si>
  <si>
    <t xml:space="preserve">Deyga Tangerine Cleansing Balm for Makeup Removal is a natural face serum from Deyga. Effectively dissolves waterproof makeup, sunscreen, dirt, and impurities for a clean, refreshed complexion in one step. Enriched with tangerine butter, coconut oil, almond oil, and vitamin E to deeply nourish and hydrate skin while cleansing. Swansura is an official UK partner of Deyga, so every order is 100% authentic and ships from the UK.</t>
  </si>
  <si>
    <t xml:space="preserve">VD-102</t>
  </si>
  <si>
    <t xml:space="preserve">Organic Loofah for Body Exfoliation</t>
  </si>
  <si>
    <t xml:space="preserve">Deyga Organic Loofah for Body Exfoliation</t>
  </si>
  <si>
    <t xml:space="preserve">Deyga Organic Loofah for Body Exfoliation | Swansura UK</t>
  </si>
  <si>
    <t xml:space="preserve">Buy Deyga Organic Loofah for Body Exfoliation, a natural body lotion for dry skin from Deyga. Official UK partner, 100% authentic, free UK delivery over £50.</t>
  </si>
  <si>
    <t xml:space="preserve">Deyga Organic Loofah for Body Exfoliation is a natural body lotion for dry skin from Deyga. Made from natural plant fibers, this organic loofah is completely biodegradable and safe for the environment. Creates rich lather when used with body wash, improving cleansing efficiency and overall shower experience. Swansura is an official UK partner of Deyga, so every order is 100% authentic and ships from the UK.</t>
  </si>
  <si>
    <t xml:space="preserve">VD-103</t>
  </si>
  <si>
    <t xml:space="preserve">Foot Scrub 100 g</t>
  </si>
  <si>
    <t xml:space="preserve">Deyga Foot Scrub</t>
  </si>
  <si>
    <t xml:space="preserve">Deyga Foot Scrub | Body Scrub</t>
  </si>
  <si>
    <t xml:space="preserve">Buy Deyga Foot Scrub, a natural body scrub from Deyga. Helps soften tough skin and improve texture with regular use. Free UK delivery over £50.</t>
  </si>
  <si>
    <t xml:space="preserve">Deyga Foot Scrub is a natural body scrub from Deyga. Helps soften tough skin and improve texture with regular use. Contains no artificial colours, fragrances, parabens, or phthalates. Swansura is an official UK partner of Deyga, so every order is 100% authentic and ships from the UK.</t>
  </si>
  <si>
    <t xml:space="preserve">deyga foot scrub how to use</t>
  </si>
  <si>
    <t xml:space="preserve">VD-104</t>
  </si>
  <si>
    <t xml:space="preserve">Eyebrow Growth Oil 30ml</t>
  </si>
  <si>
    <t xml:space="preserve">Deyga Eyebrow Growth Oil</t>
  </si>
  <si>
    <t xml:space="preserve">Deyga Eyebrow Growth Oil | Face Serum</t>
  </si>
  <si>
    <t xml:space="preserve">Buy Deyga Eyebrow Growth Oil, a natural face serum from Deyga. Official UK partner: 100% authentic, shipped from the UK, free delivery over £50.</t>
  </si>
  <si>
    <t xml:space="preserve">Deyga Eyebrow Growth Oil is a natural face serum from Deyga. Promotes Fuller &amp; Thicker Brows – Strengthens hair follicles and encourages natural eyebrow growth for denser, well-defined brows. Powerful Natural Ingredients – Enriched with castor oil, rosemary, coconut oil, argan oil, tea tree oil, and vitamin E for deep nourishment. Swansura is an official UK partner of Deyga, so every order is 100% authentic and ships from the UK.</t>
  </si>
  <si>
    <t xml:space="preserve">deyga eyebrow growth oil review</t>
  </si>
  <si>
    <t xml:space="preserve">VD-105</t>
  </si>
  <si>
    <t xml:space="preserve">Sunscreen 50ML</t>
  </si>
  <si>
    <t xml:space="preserve">Deyga Sunscreen</t>
  </si>
  <si>
    <t xml:space="preserve">Deyga Sunscreen | Natural Sunscreen</t>
  </si>
  <si>
    <t xml:space="preserve">Buy Deyga Sunscreen, a natural sunscreen from Deyga. Smooth, breathable texture that blends easily without leaving a white cast or. Free UK delivery over £50.</t>
  </si>
  <si>
    <t xml:space="preserve">Deyga Sunscreen is a natural sunscreen from Deyga. Smooth, breathable texture that blends easily without leaving a white cast or sticky feel for everyday wear. Formulated with zinc oxide and antioxidant-rich plant oils like raspberry and carrot seed oil to nourish and protect skin. Swansura is an official UK partner of Deyga, so every order is 100% authentic and ships from the UK.</t>
  </si>
  <si>
    <t xml:space="preserve">deyga sunscreen review · deyga sunscreen ingredients · deyga sunscreen price · deyga sunscreen amazon</t>
  </si>
  <si>
    <t xml:space="preserve">VD-106</t>
  </si>
  <si>
    <t xml:space="preserve">Natural Lip Balm 8G</t>
  </si>
  <si>
    <t xml:space="preserve">Deyga Natural Lip Balm</t>
  </si>
  <si>
    <t xml:space="preserve">Deyga Natural Lip Balm – Natural Lip Balm | Swansura</t>
  </si>
  <si>
    <t xml:space="preserve">Buy Deyga Natural Lip Balm, a natural lip balm from Deyga. Official UK partner: 100% authentic, shipped from the UK, free delivery over £50.</t>
  </si>
  <si>
    <t xml:space="preserve">Deyga Natural Lip Balm is a natural lip balm from Deyga. Lightweight and non-greasy, suitable for everyday wear, under lipstick, or as part of your AM/PM skincare routine. Hypoallergenic and ideal for sensitive skin, teens, adults, and even pregnancy-safe lip care (as formulated). Swansura is an official UK partner of Deyga, so every order is 100% authentic and ships from the UK.</t>
  </si>
  <si>
    <t xml:space="preserve">deyga lip balm ingredients · deyga lip balm review</t>
  </si>
  <si>
    <t xml:space="preserve">VD-107</t>
  </si>
  <si>
    <t xml:space="preserve">Spinach &amp; Cucumber Bath Bar 100G</t>
  </si>
  <si>
    <t xml:space="preserve">Deyga Spinach &amp; Cucumber Bath Bar</t>
  </si>
  <si>
    <t xml:space="preserve">Deyga Spinach &amp; Cucumber Bath Bar | Body Lotion for Dry Skin</t>
  </si>
  <si>
    <t xml:space="preserve">Buy Deyga Spinach &amp; Cucumber Bath Bar, a natural body lotion for dry skin from Deyga. Official UK partner, 100% authentic, free UK delivery over £50.</t>
  </si>
  <si>
    <t xml:space="preserve">Deyga Spinach &amp; Cucumber Bath Bar is a natural body lotion for dry skin from Deyga. Made with natural spinach and cucumber extracts that deeply hydrate and soothe dry, irritated skin. Rich in antioxidants that help reduce signs of ageing and protect skin from environmental damage. Swansura is an official UK partner of Deyga, so every order is 100% authentic and ships from the UK.</t>
  </si>
  <si>
    <t xml:space="preserve">VD-108</t>
  </si>
  <si>
    <t xml:space="preserve">Shea Saffron Bath Bar 100G</t>
  </si>
  <si>
    <t xml:space="preserve">Deyga Shea Saffron Bath Bar</t>
  </si>
  <si>
    <t xml:space="preserve">Deyga Shea Saffron Bath Bar | Body Lotion for Dry Skin</t>
  </si>
  <si>
    <t xml:space="preserve">Deyga Shea Saffron Bath Bar: a natural body lotion for dry skin from Deyga. Official UK partner: 100% authentic, shipped from the UK, free delivery over £50.</t>
  </si>
  <si>
    <t xml:space="preserve">Deyga Shea Saffron Bath Bar is a natural body lotion for dry skin from Deyga. Infused with saffron and shea butter to enhance natural skin glow and improve overall skin texture. Deeply moisturises and nourishes dry skin without stripping natural oils. Swansura is an official UK partner of Deyga, so every order is 100% authentic and ships from the UK.</t>
  </si>
  <si>
    <t xml:space="preserve">VD-109</t>
  </si>
  <si>
    <t xml:space="preserve">Rose Pink Clay Bath Bar 100G</t>
  </si>
  <si>
    <t xml:space="preserve">Deyga Rose Pink Clay Bath Bar</t>
  </si>
  <si>
    <t xml:space="preserve">Deyga Rose Pink Clay Bath Bar | Body Lotion for Dry Skin</t>
  </si>
  <si>
    <t xml:space="preserve">Deyga Rose Pink Clay Bath Bar: a natural body lotion for dry skin from Deyga. Official UK partner: 100% authentic, shipped from the UK, free delivery over £50.</t>
  </si>
  <si>
    <t xml:space="preserve">Deyga Rose Pink Clay Bath Bar is a natural body lotion for dry skin from Deyga. Enriched with rose extract and pink clay to gently cleanse, brighten, and improve skin tone. Helps remove dead skin buildup while maintaining natural moisture balance. Swansura is an official UK partner of Deyga, so every order is 100% authentic and ships from the UK.</t>
  </si>
  <si>
    <t xml:space="preserve">VD-110</t>
  </si>
  <si>
    <t xml:space="preserve">Neem &amp; Turmeric Bath Bar 100G</t>
  </si>
  <si>
    <t xml:space="preserve">Deyga Neem &amp; Turmeric Bath Bar</t>
  </si>
  <si>
    <t xml:space="preserve">Deyga Neem &amp; Turmeric Bath Bar | Body Lotion for Dry Skin</t>
  </si>
  <si>
    <t xml:space="preserve">Deyga Neem &amp; Turmeric Bath Bar: a natural body lotion for dry skin from Deyga. Official UK partner: 100% authentic, shipped from the UK, free delivery over £50.</t>
  </si>
  <si>
    <t xml:space="preserve">Deyga Neem &amp; Turmeric Bath Bar is a natural body lotion for dry skin from Deyga. Neem &amp; Turmeric Infusion for Clear Skin – Powered by traditional Ayurvedic ingredients known to help reduce acne, control breakouts, and promote naturally radiant skin. Deep Cleansing &amp; Oil Control Formula – Effectively removes dirt, excess sebum, and impurities while helping maintain balanced, refreshed skin throughout the day. Swansura is an official UK partner of Deyga, so every order is 100% authentic and ships from the UK.</t>
  </si>
  <si>
    <t xml:space="preserve">VD-111</t>
  </si>
  <si>
    <t xml:space="preserve">Mint Lip Scrub 16G</t>
  </si>
  <si>
    <t xml:space="preserve">Deyga Mint Lip Scrub</t>
  </si>
  <si>
    <t xml:space="preserve">Deyga Mint Lip Scrub | Lip Scrub</t>
  </si>
  <si>
    <t xml:space="preserve">Buy Deyga Mint Lip Scrub, a natural lip scrub from Deyga. Official UK partner: 100% authentic, shipped from the UK, free delivery over £50.</t>
  </si>
  <si>
    <t xml:space="preserve">Deyga Mint Lip Scrub is a natural lip scrub from Deyga. Gentle Natural Lip Exfoliation – Formulated with fine sugar granules to effectively remove dead skin cells and reveal smoother, softer lips without irritation. Hydrating &amp; Nourishing Formula – Enriched with shea butter, avocado oil, and almond oil that deeply moisturize and repair dry, chapped lips. Swansura is an official UK partner of Deyga, so every order is 100% authentic and ships from the UK.</t>
  </si>
  <si>
    <t xml:space="preserve">VD-112</t>
  </si>
  <si>
    <t xml:space="preserve">Hair Removal Powder 100g</t>
  </si>
  <si>
    <t xml:space="preserve">Hair Treatments</t>
  </si>
  <si>
    <t xml:space="preserve">Deyga Hair Removal Powder</t>
  </si>
  <si>
    <t xml:space="preserve">Deyga Hair Removal Powder | Hair Mask for Dry Hair</t>
  </si>
  <si>
    <t xml:space="preserve">Buy Deyga Hair Removal Powder, a natural hair mask for dry hair from Deyga. Official UK partner: 100% authentic, shipped from the UK, free delivery over £50.</t>
  </si>
  <si>
    <t xml:space="preserve">Deyga Hair Removal Powder is a natural hair mask for dry hair from Deyga. 100% natural and free from harsh chemicals, artificial colours or fragrances, ensuring a gentle experience for your skin. Simply mix the powder with water or toner to form a paste, apply evenly, let dry 15–20 minutes, then gently wipe off with a wet cloth — simple and no-fuss hair removal. Swansura is an official UK partner of Deyga, so every order is 100% authentic and ships from the UK.</t>
  </si>
  <si>
    <t xml:space="preserve">deyga hair removal powder review · deyga hair removal powder how to use · deyga hair removal powder ingredients · deyga hair removal powder mini · deyga hair removal powder amazon</t>
  </si>
  <si>
    <t xml:space="preserve">VD-113</t>
  </si>
  <si>
    <t xml:space="preserve">Oat Milk Face Wash 100 ml</t>
  </si>
  <si>
    <t xml:space="preserve">Deyga Oat Milk Face Wash</t>
  </si>
  <si>
    <t xml:space="preserve">Deyga Oat Milk Face Wash – Face Wash for Dry Skin | Swansura</t>
  </si>
  <si>
    <t xml:space="preserve">Buy Deyga Oat Milk Face Wash, a natural face wash for dry skin from Deyga. Official UK partner: 100% authentic, shipped from the UK, free delivery over £50.</t>
  </si>
  <si>
    <t xml:space="preserve">Deyga Oat Milk Face Wash is a natural face wash for dry skin from Deyga. Uses oat milk to lift away dirt, oil, and impurities without stripping skin’s natural moisture. Naturally helps skin retain moisture, leaving it soft and supple after cleansing. Swansura is an official UK partner of Deyga, so every order is 100% authentic and ships from the UK.</t>
  </si>
  <si>
    <t xml:space="preserve">VD-114</t>
  </si>
  <si>
    <t xml:space="preserve">Almond Milk Body Lotion 100 ml</t>
  </si>
  <si>
    <t xml:space="preserve">Deyga Almond Milk Body Lotion</t>
  </si>
  <si>
    <t xml:space="preserve">Deyga Almond Milk Body Lotion | Body Lotion for Dry Skin</t>
  </si>
  <si>
    <t xml:space="preserve">Deyga Almond Milk Body Lotion: a natural body lotion for dry skin from Deyga. Official UK partner: 100% authentic, shipped from the UK, free delivery over £50.</t>
  </si>
  <si>
    <t xml:space="preserve">Deyga Almond Milk Body Lotion is a natural body lotion for dry skin from Deyga. Nourishing formula with almond milk and natural oils to help maintain soft, smooth skin. Lightweight and fast-absorbing lotion that leaves skin feeling hydrated without greasy residue. Swansura is an official UK partner of Deyga, so every order is 100% authentic and ships from the UK.</t>
  </si>
  <si>
    <t xml:space="preserve">VD-115</t>
  </si>
  <si>
    <t xml:space="preserve">Pure Rose Water Toner 100 ml</t>
  </si>
  <si>
    <t xml:space="preserve">Deyga Pure Rose Water Toner</t>
  </si>
  <si>
    <t xml:space="preserve">Deyga Pure Rose Water Toner – Toner for Dry Skin | Swansura</t>
  </si>
  <si>
    <t xml:space="preserve">Buy Deyga Pure Rose Water Toner, a natural toner for dry skin from Deyga. Official UK partner: 100% authentic, shipped from the UK, free delivery over £50.</t>
  </si>
  <si>
    <t xml:space="preserve">Deyga Pure Rose Water Toner is a natural toner for dry skin from Deyga. 100% natural rose water formula — free from alcohol and harsh chemicals — ideal for daily skincare routines. Provides light hydration and refreshment; helps skin feel soft and revitalized without heaviness. Swansura is an official UK partner of Deyga, so every order is 100% authentic and ships from the UK.</t>
  </si>
  <si>
    <t xml:space="preserve">VD-116</t>
  </si>
  <si>
    <t xml:space="preserve">Rose &amp; Mulethi Skin Brightening Pack 50 g</t>
  </si>
  <si>
    <t xml:space="preserve">Deyga Rose &amp; Mulethi Skin Brightening Pack</t>
  </si>
  <si>
    <t xml:space="preserve">Deyga Rose &amp; Mulethi Skin Brightening Pack | Swansura UK</t>
  </si>
  <si>
    <t xml:space="preserve">Buy Deyga Rose &amp; Mulethi Skin Brightening Pack, natural skincare for dull skin from Deyga. Official UK partner, 100% authentic, free UK delivery over £50.</t>
  </si>
  <si>
    <t xml:space="preserve">Deyga Rose &amp; Mulethi Skin Brightening Pack is natural skincare for dull skin from Deyga. Crafted with pure rose and mulethi powders blended with oatmeal for gentle exfoliation and skin smoothing. Helps reduce the appearance of uneven tone and restore brightness using botanical ingredients. Swansura is an official UK partner of Deyga, so every order is 100% authentic and ships from the UK.</t>
  </si>
  <si>
    <t xml:space="preserve">VD-117</t>
  </si>
  <si>
    <t xml:space="preserve">Beetroot Lip Balm Stick 5.5 g</t>
  </si>
  <si>
    <t xml:space="preserve">Deyga Beetroot Lip Balm Stick</t>
  </si>
  <si>
    <t xml:space="preserve">Deyga Beetroot Lip Balm Stick | Lip Balm for Dry Lips</t>
  </si>
  <si>
    <t xml:space="preserve">Buy Deyga Beetroot Lip Balm Stick, a natural lip balm for dry lips from Deyga. Official UK partner: 100% authentic, shipped from the UK, free delivery over £50.</t>
  </si>
  <si>
    <t xml:space="preserve">Deyga Beetroot Lip Balm Stick is a natural lip balm for dry lips from Deyga. Enriched with beetroot extract for a natural rosy tint without synthetic dyes. Crafted with organic almond oil, avocado oil, jojoba oil, and shea butter for deep moisturization. Swansura is an official UK partner of Deyga, so every order is 100% authentic and ships from the UK.</t>
  </si>
  <si>
    <t xml:space="preserve">deyga beetroot lip balm stick review · deyga beetroot lip balm review</t>
  </si>
  <si>
    <t xml:space="preserve">VD-118</t>
  </si>
  <si>
    <t xml:space="preserve">Face &amp; Body Exfoliator Powder 50 g</t>
  </si>
  <si>
    <t xml:space="preserve">Deyga Face &amp; Body Exfoliator Powder</t>
  </si>
  <si>
    <t xml:space="preserve">Deyga Face &amp; Body Exfoliator Powder | Deyga UK | Swansura</t>
  </si>
  <si>
    <t xml:space="preserve">Buy Deyga Face &amp; Body Exfoliator Powder, a natural body lotion for dry skin from Deyga. Official UK partner, 100% authentic, free UK delivery over £50.</t>
  </si>
  <si>
    <t xml:space="preserve">Deyga Face &amp; Body Exfoliator Powder is a natural body lotion for dry skin from Deyga. Crafted from 100% natural ingredients like lemon, neem, matcha, and black rice for a nurturing exfoliation experience. Dual-purpose formula for face and body, simplifying your skincare routine with one effective product. Swansura is an official UK partner of Deyga, so every order is 100% authentic and ships from the UK.</t>
  </si>
  <si>
    <t xml:space="preserve">VD-119</t>
  </si>
  <si>
    <t xml:space="preserve">Rose &amp; Mulethi Skin Brightening Pack</t>
  </si>
  <si>
    <t xml:space="preserve">VD-120</t>
  </si>
  <si>
    <t xml:space="preserve">Beautifying Serum 30 ml</t>
  </si>
  <si>
    <t xml:space="preserve">Deyga Beautifying Serum</t>
  </si>
  <si>
    <t xml:space="preserve">Deyga Beautifying Serum – Skincare for Dull Skin | Swansura</t>
  </si>
  <si>
    <t xml:space="preserve">Buy Deyga Beautifying Serum, natural skincare for dull skin from Deyga. Official UK partner: 100% authentic, shipped from the UK, free delivery over £50.</t>
  </si>
  <si>
    <t xml:space="preserve">Deyga Beautifying Serum is natural skincare for dull skin from Deyga. Enriched with a blend of organic oils (moringa, bitter almond, baobab, grapeseed, kukui, khus khus) to nourish and soften skin. Lightweight, fast-absorbing texture leaves no sticky or heavy residue. Swansura is an official UK partner of Deyga, so every order is 100% authentic and ships from the UK.</t>
  </si>
  <si>
    <t xml:space="preserve">deyga beautifying serum review · deyga beautifying serum benefits</t>
  </si>
  <si>
    <t xml:space="preserve">VD-121</t>
  </si>
  <si>
    <t xml:space="preserve">Charcoal Bath Bar 130 g</t>
  </si>
  <si>
    <t xml:space="preserve">Deyga Charcoal Bath Bar</t>
  </si>
  <si>
    <t xml:space="preserve">Deyga Charcoal Bath Bar | Body Lotion for Dry Skin</t>
  </si>
  <si>
    <t xml:space="preserve">Buy Deyga Charcoal Bath Bar, a natural body lotion for dry skin from Deyga. Official UK partner: 100% authentic, shipped from the UK, free delivery over £50.</t>
  </si>
  <si>
    <t xml:space="preserve">Deyga Charcoal Bath Bar is a natural body lotion for dry skin from Deyga. Activated charcoal helps lift away dirt, excess oil, and surface impurities for a refreshed feel. Enriched with extra virgin coconut oil, unrefined shea butter, and olive oil to nourish and soften skin. Swansura is an official UK partner of Deyga, so every order is 100% authentic and ships from the UK.</t>
  </si>
  <si>
    <t xml:space="preserve">charcoal bath bar deyga review · deyga charcoal soap ingredients · deyga charcoal soap review · deyga charcoal soap price</t>
  </si>
  <si>
    <t xml:space="preserve">VD-122</t>
  </si>
  <si>
    <t xml:space="preserve">Hair Growth Oil 100 ml</t>
  </si>
  <si>
    <t xml:space="preserve">Deyga Hair Growth Oil</t>
  </si>
  <si>
    <t xml:space="preserve">Deyga Hair Growth Oil – Hair Growth Oil | Swansura</t>
  </si>
  <si>
    <t xml:space="preserve">Buy Deyga Hair Growth Oil, a natural hair growth oil from Deyga. Official UK partner: 100% authentic, shipped from the UK, free delivery over £50.</t>
  </si>
  <si>
    <t xml:space="preserve">Deyga Hair Growth Oil is a natural hair growth oil from Deyga. Crafted with a blend of natural oils including coconut, amla, hibiscus, castor, and fenugreek to nourish hair and scalp. Lightweight, non-greasy formula easily absorbs into the scalp, suitable for daily or pre-wash use. Swansura is an official UK partner of Deyga, so every order is 100% authentic and ships from the UK.</t>
  </si>
  <si>
    <t xml:space="preserve">deyga hair growth oil review · deyga hair growth oil how to use · deyga hair growth oil ingredients · deyga hair growth oil benefits · deyga hair growth oil price</t>
  </si>
  <si>
    <t xml:space="preserve">VD-123</t>
  </si>
  <si>
    <t xml:space="preserve">Charcoal Face Wash 100ml</t>
  </si>
  <si>
    <t xml:space="preserve">Deyga Charcoal Face Wash</t>
  </si>
  <si>
    <t xml:space="preserve">Deyga Charcoal Face Wash | Face Wash for Oily Skin</t>
  </si>
  <si>
    <t xml:space="preserve">Buy Deyga Charcoal Face Wash, a natural face wash for oily skin from Deyga. Official UK partner: 100% authentic, shipped from the UK, free delivery over £50.</t>
  </si>
  <si>
    <t xml:space="preserve">Deyga Charcoal Face Wash is a natural face wash for oily skin from Deyga. Utilizes activated charcoal to deeply cleanse the skin by drawing out impurities and excess oil. Designed to be gentle and effective, making it ideal for daily use on all skin types. Swansura is an official UK partner of Deyga, so every order is 100% authentic and ships from the UK.</t>
  </si>
  <si>
    <t xml:space="preserve">deyga charcoal face wash review · deyga charcoal face wash benefits · deyga charcoal face wash ingredients · deyga charcoal face wash price · deyga charcoal face wash for men · deyga charcoal face wash amazon</t>
  </si>
  <si>
    <t xml:space="preserve">VD-124</t>
  </si>
  <si>
    <t xml:space="preserve">Pure Aloe Vera Gel 100 g</t>
  </si>
  <si>
    <t xml:space="preserve">Deyga Pure Aloe Vera Gel</t>
  </si>
  <si>
    <t xml:space="preserve">Deyga Pure Aloe Vera Gel – Aloe Vera Gel | Swansura</t>
  </si>
  <si>
    <t xml:space="preserve">Buy Deyga Pure Aloe Vera Gel, a natural aloe vera gel from Deyga. Official UK partner: 100% authentic, shipped from the UK, free delivery over £50.</t>
  </si>
  <si>
    <t xml:space="preserve">Deyga Pure Aloe Vera Gel is a natural aloe vera gel from Deyga. Crafted with 100% natural aloe barbadensis leaf extract and no synthetic colours or fragrances. Lightweight gel texture absorbs quickly to hydrate skin and hair without residue. Swansura is an official UK partner of Deyga, so every order is 100% authentic and ships from the UK.</t>
  </si>
  <si>
    <t xml:space="preserve">deyga 100 pure aloe vera gel · deyga aloe vera gel review · how to use deyga aloe vera gel</t>
  </si>
  <si>
    <t xml:space="preserve">VD-125</t>
  </si>
  <si>
    <t xml:space="preserve">Plant Based Hair Color – Black</t>
  </si>
  <si>
    <t xml:space="preserve">Deyga Plant Based Hair Color</t>
  </si>
  <si>
    <t xml:space="preserve">Deyga Plant Based Hair Color | Hair Mask for Dry Hair</t>
  </si>
  <si>
    <t xml:space="preserve">Buy Deyga Plant Based Hair Color, a natural hair mask for dry hair from Deyga. Official UK partner: 100% authentic, shipped from the UK, free delivery over £50.</t>
  </si>
  <si>
    <t xml:space="preserve">Deyga Plant Based Hair Color is a natural hair mask for dry hair from Deyga. Crafted without ammonia, PPD, hydrogen peroxide, lead acetate, resorcinol, or formaldehyde, ensuring a safe and gentle application. Enriched with henna and indigo, known for their natural coloring properties and scalp benefits. Swansura is an official UK partner of Deyga, so every order is 100% authentic and ships from the UK.</t>
  </si>
  <si>
    <t xml:space="preserve">deyga 100 plant based hair color black</t>
  </si>
  <si>
    <t xml:space="preserve">VD-126</t>
  </si>
  <si>
    <t xml:space="preserve">Rice Water Shampoo</t>
  </si>
  <si>
    <t xml:space="preserve">Deyga Rice Water Shampoo</t>
  </si>
  <si>
    <t xml:space="preserve">Deyga Rice Water Shampoo – Natural Shampoo | Swansura</t>
  </si>
  <si>
    <t xml:space="preserve">Deyga Rice Water Shampoo: a natural shampoo from Deyga. Formulated with rice water extract to enhance hair texture and manageability. Free UK delivery over £50.</t>
  </si>
  <si>
    <t xml:space="preserve">Deyga Rice Water Shampoo is a natural shampoo from Deyga. Formulated with rice water extract to enhance hair texture and manageability. Provides a gentle, natural cleanse without harsh chemicals. Swansura is an official UK partner of Deyga, so every order is 100% authentic and ships from the UK.</t>
  </si>
  <si>
    <t xml:space="preserve">deyga rice water shampoo review · deyga rice water shampoo ingredients · deyga rice water shampoo price · deyga rice water shampoo benefits · deyga rice water shampoo amazon</t>
  </si>
  <si>
    <t xml:space="preserve">VD-127</t>
  </si>
  <si>
    <t xml:space="preserve">Soy Milk Conditioner</t>
  </si>
  <si>
    <t xml:space="preserve">Deyga Soy Milk Conditioner</t>
  </si>
  <si>
    <t xml:space="preserve">Deyga Soy Milk Conditioner | Hair Mask for Dry Hair</t>
  </si>
  <si>
    <t xml:space="preserve">Buy Deyga Soy Milk Conditioner, a natural hair mask for dry hair from Deyga. Official UK partner: 100% authentic, shipped from the UK, free delivery over £50.</t>
  </si>
  <si>
    <t xml:space="preserve">Deyga Soy Milk Conditioner is a natural hair mask for dry hair from Deyga. Formulated with soy protein and botanical oils to deeply condition and restore softness to dry, rough hair. Lightweight texture that delivers moisture and slip without heaviness, ideal for daily use. Swansura is an official UK partner of Deyga, so every order is 100% authentic and ships from the UK.</t>
  </si>
  <si>
    <t xml:space="preserve">deyga soy milk conditioner review · deyga soy milk conditioner ingredients · deyga soy milk conditioner 50ml · deyga soy milk conditioner benefits</t>
  </si>
  <si>
    <t xml:space="preserve">VD-128</t>
  </si>
  <si>
    <t xml:space="preserve">Foot Butter 40 g</t>
  </si>
  <si>
    <t xml:space="preserve">Deyga Foot Butter</t>
  </si>
  <si>
    <t xml:space="preserve">Deyga Foot Butter | Body Butter</t>
  </si>
  <si>
    <t xml:space="preserve">Deyga Foot Butter: a natural body butter from Deyga. Formulated with virgin coconut oil, olive oil, refined beeswax, vitamin E, and. Free UK delivery over £50.</t>
  </si>
  <si>
    <t xml:space="preserve">Deyga Foot Butter is a natural body butter from Deyga. Formulated with virgin coconut oil, olive oil, refined beeswax, vitamin E, and vanilla essential oil to deeply condition and smooth foot skin. Lightweight, non-greasy texture absorbs easily into skin without leaving heavy residue. Swansura is an official UK partner of Deyga, so every order is 100% authentic and ships from the UK.</t>
  </si>
  <si>
    <t xml:space="preserve">deyga foot butter review · deyga foot butter ingredients · deyga foot cream · deyga foot cream review · deyga foot cream ingredients · deyga foot butter cream</t>
  </si>
  <si>
    <t xml:space="preserve">VD-129</t>
  </si>
  <si>
    <t xml:space="preserve">Baby Bath Bar</t>
  </si>
  <si>
    <t xml:space="preserve">Deyga Baby Bath Bar</t>
  </si>
  <si>
    <t xml:space="preserve">Deyga Baby Bath Bar – Body Lotion for Dry Skin | Swansura</t>
  </si>
  <si>
    <t xml:space="preserve">Buy Deyga Baby Bath Bar, a natural body lotion for dry skin from Deyga. Official UK partner: 100% authentic, shipped from the UK, free delivery over £50.</t>
  </si>
  <si>
    <t xml:space="preserve">Deyga Baby Bath Bar is a natural body lotion for dry skin from Deyga. Activated charcoal helps lift away dirt, excess oil, and surface impurities for a refreshed feel. Enriched with extra virgin coconut oil, unrefined shea butter, and olive oil to nourish and soften skin. Swansura is an official UK partner of Deyga, so every order is 100% authentic and ships from the UK.</t>
  </si>
  <si>
    <t xml:space="preserve">VD-130</t>
  </si>
  <si>
    <t xml:space="preserve">Anti Dandruff Shampoo 220ml</t>
  </si>
  <si>
    <t xml:space="preserve">Deyga Anti Dandruff Shampoo</t>
  </si>
  <si>
    <t xml:space="preserve">Deyga Anti Dandruff Shampoo | Shampoo for Dandruff</t>
  </si>
  <si>
    <t xml:space="preserve">Buy Deyga Anti Dandruff Shampoo, a natural shampoo for dandruff from Deyga. Official UK partner: 100% authentic, shipped from the UK, free delivery over £50.</t>
  </si>
  <si>
    <t xml:space="preserve">Deyga Anti Dandruff Shampoo is a natural shampoo for dandruff from Deyga. Supports scalp balance with botanical extracts that helps for visible flakes without harshness. Formulated for daily or frequent use — cleanses hair and scalp thoroughly. Swansura is an official UK partner of Deyga, so every order is 100% authentic and ships from the UK.</t>
  </si>
  <si>
    <t xml:space="preserve">deyga anti dandruff shampoo review · how to use deyga anti dandruff shampoo</t>
  </si>
  <si>
    <t xml:space="preserve">VD-131</t>
  </si>
  <si>
    <t xml:space="preserve">Strawberry Lip Scrub 16g</t>
  </si>
  <si>
    <t xml:space="preserve">Deyga Strawberry Lip Scrub</t>
  </si>
  <si>
    <t xml:space="preserve">Deyga Strawberry Lip Scrub | Lip Scrub</t>
  </si>
  <si>
    <t xml:space="preserve">Buy Deyga Strawberry Lip Scrub, a natural lip scrub from Deyga. Official UK partner: 100% authentic, shipped from the UK, free delivery over £50.</t>
  </si>
  <si>
    <t xml:space="preserve">Deyga Strawberry Lip Scrub is a natural lip scrub from Deyga. Granulated sugar effectively buffs away dead skin cells, revealing smoother lips. Infused with avocado oil, almond oil, and shea butter to hydrate and soften lips. Swansura is an official UK partner of Deyga, so every order is 100% authentic and ships from the UK.</t>
  </si>
  <si>
    <t xml:space="preserve">VD-132</t>
  </si>
  <si>
    <t xml:space="preserve">Beetroot Lip Balm Classic 10 g</t>
  </si>
  <si>
    <t xml:space="preserve">Deyga Beetroot Lip Balm Classic</t>
  </si>
  <si>
    <t xml:space="preserve">Deyga Beetroot Lip Balm Classic | Lip Balm for Dry Lips</t>
  </si>
  <si>
    <t xml:space="preserve">Deyga Beetroot Lip Balm Classic: a natural lip balm for dry lips from Deyga. Official UK partner: 100% authentic, shipped from the UK, free delivery over £50.</t>
  </si>
  <si>
    <t xml:space="preserve">Deyga Beetroot Lip Balm Classic is a natural lip balm for dry lips from Deyga. Crafted with beetroot extract and natural butters to deliver deep nourishment and a subtle, natural tint. Free from parabens, artificial colors, petroleum jelly, and synthetic fragrances. Swansura is an official UK partner of Deyga, so every order is 100% authentic and ships from the UK.</t>
  </si>
  <si>
    <t xml:space="preserve">deyga beetroot lip balm review</t>
  </si>
  <si>
    <t xml:space="preserve">VD-133</t>
  </si>
  <si>
    <t xml:space="preserve">Under Eye Cream 15 g</t>
  </si>
  <si>
    <t xml:space="preserve">Deyga Under Eye Cream</t>
  </si>
  <si>
    <t xml:space="preserve">Deyga Under Eye Cream – Moisturiser for Dry Skin | Swansura</t>
  </si>
  <si>
    <t xml:space="preserve">Buy Deyga Under Eye Cream, a natural moisturiser for dry skin from Deyga. Official UK partner: 100% authentic, shipped from the UK, free delivery over £50.</t>
  </si>
  <si>
    <t xml:space="preserve">Deyga Under Eye Cream is a natural moisturiser for dry skin from Deyga. Formulated with organic aloe vera and cucumber to deliver gentle hydration and a cooling sensation under the eyes. Includes potato extract to help soften the appearance of fine lines and promote smoother skin texture around the eye contour. Swansura is an official UK partner of Deyga, so every order is 100% authentic and ships from the UK.</t>
  </si>
  <si>
    <t xml:space="preserve">deyga under eye cream review · deyga under eye cream amazon · deyga under eye cream ingredients · deyga under eye cream benefits · deyga under eye cream how to use</t>
  </si>
  <si>
    <t xml:space="preserve">VD-134</t>
  </si>
  <si>
    <t xml:space="preserve">10% Vitamin C Face Serum 20ml</t>
  </si>
  <si>
    <t xml:space="preserve">/collections/vitamin-c-serum</t>
  </si>
  <si>
    <t xml:space="preserve">Deyga 10% Vitamin C Face Serum</t>
  </si>
  <si>
    <t xml:space="preserve">Deyga 10% Vitamin C Face Serum – Vitamin C Serum | Swansura</t>
  </si>
  <si>
    <t xml:space="preserve">Buy Deyga 10% Vitamin C Face Serum, a natural vitamin c serum from Deyga. Official UK partner: 100% authentic, shipped from the UK, free delivery over £50.</t>
  </si>
  <si>
    <t xml:space="preserve">Deyga 10% Vitamin C Face Serum is a natural vitamin c serum from Deyga. This lightweight, 100% natural, beginner-friendly formula is suitable for all skin types, including sensitive skin. Swansura is an official UK partner of Deyga, so every order is 100% authentic and ships from the UK.</t>
  </si>
  <si>
    <t xml:space="preserve">deyga 10 vitamin c face serum</t>
  </si>
  <si>
    <t xml:space="preserve">VD-135</t>
  </si>
  <si>
    <t xml:space="preserve">Natural Loose Setting Powder 15G</t>
  </si>
  <si>
    <t xml:space="preserve">Deyga Natural Loose Setting Powder</t>
  </si>
  <si>
    <t xml:space="preserve">Deyga Natural Loose Setting Powder – Face Serum | Swansura</t>
  </si>
  <si>
    <t xml:space="preserve">Buy Deyga Natural Loose Setting Powder, a natural face serum from Deyga. Official UK partner: 100% authentic, shipped from the UK, free delivery over £50.</t>
  </si>
  <si>
    <t xml:space="preserve">Deyga Natural Loose Setting Powder is a natural face serum from Deyga. Natural Matte Finish Control – Helps absorb excess oil and sweat to deliver a smooth, shine-free matte look that lasts throughout the day. Blurs Pores &amp; Fine Lines – Ultra-fine texture blends seamlessly into the skin, minimizing the appearance of pores and creating a soft-focus effect. Swansura is an official UK partner of Deyga, so every order is 100% authentic and ships from the UK.</t>
  </si>
  <si>
    <t xml:space="preserve">VD-136</t>
  </si>
  <si>
    <t xml:space="preserve">Soft Lip Combo</t>
  </si>
  <si>
    <t xml:space="preserve">Deyga Soft Lip Combo</t>
  </si>
  <si>
    <t xml:space="preserve">Deyga Soft Lip Combo – Lip Balm for Dry Lips | Swansura</t>
  </si>
  <si>
    <t xml:space="preserve">Buy Deyga Soft Lip Combo, a natural lip balm for dry lips from Deyga. Official UK partner: 100% authentic, shipped from the UK, free delivery over £50.</t>
  </si>
  <si>
    <t xml:space="preserve">Deyga Soft Lip Combo is a natural lip balm for dry lips from Deyga. Complete lip care combo with exfoliating Mint Lip Scrub and nourishing Beetroot Lip Balm. Formulated with natural ingredients and free from harsh chemicals for gentle daily use. Swansura is an official UK partner of Deyga, so every order is 100% authentic and ships from the UK.</t>
  </si>
  <si>
    <t xml:space="preserve">VD-137</t>
  </si>
  <si>
    <t xml:space="preserve">Vitamin C Daily Glow Combo</t>
  </si>
  <si>
    <t xml:space="preserve">Deyga Vitamin C Daily Glow Combo</t>
  </si>
  <si>
    <t xml:space="preserve">Deyga Vitamin C Daily Glow Combo | Body Lotion for Dry Skin</t>
  </si>
  <si>
    <t xml:space="preserve">Buy Deyga Vitamin C Daily Glow Combo, a natural body lotion for dry skin from Deyga. Official UK partner, 100% authentic, free UK delivery over £50.</t>
  </si>
  <si>
    <t xml:space="preserve">Deyga Vitamin C Daily Glow Combo is a natural body lotion for dry skin from Deyga. Enriched with potent Vitamin C to visibly brighten skin, reduce dullness, and enhance natural radiance over time. Foaming face wash removes dirt, excess oil, and impurities without stripping moisture, leaving skin refreshed and balanced. Swansura is an official UK partner of Deyga, so every order is 100% authentic and ships from the UK.</t>
  </si>
  <si>
    <t xml:space="preserve">VD-138</t>
  </si>
  <si>
    <t xml:space="preserve">Acne Relief Combo</t>
  </si>
  <si>
    <t xml:space="preserve">Deyga Acne Relief Combo</t>
  </si>
  <si>
    <t xml:space="preserve">Deyga Acne Relief Combo – Face Wash for Oily Skin | Swansura</t>
  </si>
  <si>
    <t xml:space="preserve">Buy Deyga Acne Relief Combo, a natural face wash for oily skin from Deyga. Official UK partner: 100% authentic, shipped from the UK, free delivery over £50.</t>
  </si>
  <si>
    <t xml:space="preserve">Deyga Acne Relief Combo is a natural face wash for oily skin from Deyga. Controls Excess Oil – Natural green ingredients work to balance oil production and minimize shine throughout the day. Deep Cleansing and Exfoliation – Spirulina &amp; matcha face pack exfoliates dead skin cells and unclogs pores for a clearer complexion. Swansura is an official UK partner of Deyga, so every order is 100% authentic and ships from the UK.</t>
  </si>
  <si>
    <t xml:space="preserve">VD-139</t>
  </si>
  <si>
    <t xml:space="preserve">Acne Vanishing Combo</t>
  </si>
  <si>
    <t xml:space="preserve">Deyga Acne Vanishing Combo</t>
  </si>
  <si>
    <t xml:space="preserve">Deyga Acne Vanishing Combo | Face Wash for Oily Skin</t>
  </si>
  <si>
    <t xml:space="preserve">Buy Deyga Acne Vanishing Combo, a natural face wash for oily skin from Deyga. Official UK partner: 100% authentic, shipped from the UK, free delivery over £50.</t>
  </si>
  <si>
    <t xml:space="preserve">Deyga Acne Vanishing Combo is a natural face wash for oily skin from Deyga. Complete 3-Step Acne Care Routine – Includes charcoal bath bar, tea tree toner, and aloe vera gel for cleansing, toning, and hydration in one kit. Deep Cleansing &amp; Detox – Activated charcoal helps remove dirt, excess oil, and impurities while minimizing clogged pores and blackheads. Swansura is an official UK partner of Deyga, so every order is 100% authentic and ships from the UK.</t>
  </si>
  <si>
    <t xml:space="preserve">VD-140</t>
  </si>
  <si>
    <t xml:space="preserve">Mini Foot Spa Combo</t>
  </si>
  <si>
    <t xml:space="preserve">Deyga Mini Foot Spa Combo</t>
  </si>
  <si>
    <t xml:space="preserve">Deyga Mini Foot Spa Combo – Skincare for Dry Skin | Swansura</t>
  </si>
  <si>
    <t xml:space="preserve">Buy Deyga Mini Foot Spa Combo, natural skincare for dry skin from Deyga. Official UK partner: 100% authentic, shipped from the UK, free delivery over £50.</t>
  </si>
  <si>
    <t xml:space="preserve">Deyga Mini Foot Spa Combo is natural skincare for dry skin from Deyga. Complete foot care set with foot soak, exfoliating scrub, and foot butter designed to soften and refresh tired feet. Natural and chemical-free formulation suitable for regular use in home spa routines. Swansura is an official UK partner of Deyga, so every order is 100% authentic and ships from the UK.</t>
  </si>
  <si>
    <t xml:space="preserve">VD-141</t>
  </si>
  <si>
    <t xml:space="preserve">Daily Essential Kit</t>
  </si>
  <si>
    <t xml:space="preserve">Deyga Daily Essential Kit</t>
  </si>
  <si>
    <t xml:space="preserve">Deyga Daily Essential Kit | Body Lotion for Dry Skin</t>
  </si>
  <si>
    <t xml:space="preserve">Buy Deyga Daily Essential Kit, a natural body lotion for dry skin from Deyga. Official UK partner: 100% authentic, shipped from the UK, free delivery over £50.</t>
  </si>
  <si>
    <t xml:space="preserve">Deyga Daily Essential Kit is a natural body lotion for dry skin from Deyga. Combines two hydrating skincare products to provide all-day moisture and comfort. Made with skin-friendly ingredients for soft, smooth, and refreshed skin. Swansura is an official UK partner of Deyga, so every order is 100% authentic and ships from the UK.</t>
  </si>
  <si>
    <t xml:space="preserve">VD-142</t>
  </si>
  <si>
    <t xml:space="preserve">Clear Skin Kit</t>
  </si>
  <si>
    <t xml:space="preserve">Deyga Clear Skin Kit</t>
  </si>
  <si>
    <t xml:space="preserve">Deyga Clear Skin Kit – Skincare for Dry Skin | Swansura</t>
  </si>
  <si>
    <t xml:space="preserve">Buy Deyga Clear Skin Kit, natural skincare for dry skin from Deyga. Official UK partner: 100% authentic, shipped from the UK, free delivery over £50.</t>
  </si>
  <si>
    <t xml:space="preserve">Deyga Clear Skin Kit is natural skincare for dry skin from Deyga. Purifying Charcoal Bath Bar – Activated charcoal helps draw out surface impurities while cleansing for a refreshed feel. Soothing Aloe Vera Gel – Aloe vera gel delivers lightweight hydration and calming support after cleansing. Swansura is an official UK partner of Deyga, so every order is 100% authentic and ships from the UK.</t>
  </si>
  <si>
    <t xml:space="preserve">VD-143</t>
  </si>
  <si>
    <t xml:space="preserve">Best Selling Face Care Kit</t>
  </si>
  <si>
    <t xml:space="preserve">Deyga Best Selling Face Care Kit</t>
  </si>
  <si>
    <t xml:space="preserve">Deyga Best Selling Face Care Kit | Body Lotion for Dry Skin</t>
  </si>
  <si>
    <t xml:space="preserve">Buy Deyga Best Selling Face Care Kit, a natural body lotion for dry skin from Deyga. Official UK partner, 100% authentic, free UK delivery over £50.</t>
  </si>
  <si>
    <t xml:space="preserve">Deyga Best Selling Face Care Kit is a natural body lotion for dry skin from Deyga. Made with handcrafted, plant-based ingredients for clean and balanced skincare. The Beetroot Lip Balm adds a soft, natural tint while keeping lips smooth and moisturized. Swansura is an official UK partner of Deyga, so every order is 100% authentic and ships from the UK.</t>
  </si>
  <si>
    <t xml:space="preserve">VD-144</t>
  </si>
  <si>
    <t xml:space="preserve">Instant Hair Removal Kit</t>
  </si>
  <si>
    <t xml:space="preserve">Deyga Instant Hair Removal Kit</t>
  </si>
  <si>
    <t xml:space="preserve">Deyga Instant Hair Removal Kit | Hair Mask for Dry Hair</t>
  </si>
  <si>
    <t xml:space="preserve">Deyga Instant Hair Removal Kit: a natural hair mask for dry hair from Deyga. Official UK partner: 100% authentic, shipped from the UK, free delivery over £50.</t>
  </si>
  <si>
    <t xml:space="preserve">Deyga Instant Hair Removal Kit is a natural hair mask for dry hair from Deyga. Includes all-in-one components for fast and easy at-home hair removal. Made with plant-based powders, free from harsh chemicals, artificial colours, and fragrances. Swansura is an official UK partner of Deyga, so every order is 100% authentic and ships from the UK.</t>
  </si>
  <si>
    <t xml:space="preserve">VD-145</t>
  </si>
  <si>
    <t xml:space="preserve">Instant Hair Removal Kit with Toner</t>
  </si>
  <si>
    <t xml:space="preserve">Deyga Instant Hair Removal Kit with Toner</t>
  </si>
  <si>
    <t xml:space="preserve">Deyga Instant Hair Removal Kit with Toner | Swansura UK</t>
  </si>
  <si>
    <t xml:space="preserve">Buy Deyga Instant Hair Removal Kit with Toner, a natural hair mask for dry hair from Deyga. Official UK partner, 100% authentic, free UK delivery over £50.</t>
  </si>
  <si>
    <t xml:space="preserve">Deyga Instant Hair Removal Kit with Toner is a natural hair mask for dry hair from Deyga. Includes all-in-one components for fast and easy at-home hair removal. Made with plant-based powders, free from harsh chemicals, artificial colours, and fragrances. Swansura is an official UK partner of Deyga, so every order is 100% authentic and ships from the UK.</t>
  </si>
  <si>
    <t xml:space="preserve">VD-146</t>
  </si>
  <si>
    <t xml:space="preserve">Healthy Glow Kit</t>
  </si>
  <si>
    <t xml:space="preserve">Deyga Healthy Glow Kit</t>
  </si>
  <si>
    <t xml:space="preserve">Deyga Healthy Glow Kit – Body Lotion for Dry Skin | Swansura</t>
  </si>
  <si>
    <t xml:space="preserve">Buy Deyga Healthy Glow Kit, a natural body lotion for dry skin from Deyga. Official UK partner: 100% authentic, shipped from the UK, free delivery over £50.</t>
  </si>
  <si>
    <t xml:space="preserve">Deyga Healthy Glow Kit is a natural body lotion for dry skin from Deyga. Rose and mulethi-based face pack and rose toner for a gentle, skin-friendly skincare routine. Combines cleansing, toning, and refreshment for a simple at-home routine. Swansura is an official UK partner of Deyga, so every order is 100% authentic and ships from the UK.</t>
  </si>
  <si>
    <t xml:space="preserve">VD-147</t>
  </si>
  <si>
    <t xml:space="preserve">Hair Nourishment Kit</t>
  </si>
  <si>
    <t xml:space="preserve">Deyga Hair Nourishment Kit</t>
  </si>
  <si>
    <t xml:space="preserve">Deyga Hair Nourishment Kit | Hair Mask for Dry Hair</t>
  </si>
  <si>
    <t xml:space="preserve">Buy Deyga Hair Nourishment Kit, a natural hair mask for dry hair from Deyga. Official UK partner: 100% authentic, shipped from the UK, free delivery over £50.</t>
  </si>
  <si>
    <t xml:space="preserve">Deyga Hair Nourishment Kit is a natural hair mask for dry hair from Deyga. Includes premium Aloe Vera Gel and Hair Growth Oil for a complete hair nourishment routine at home. Rich, plant‑derived gel helps provide hydration and manageability for a smoother hair feel. Swansura is an official UK partner of Deyga, so every order is 100% authentic and ships from the UK.</t>
  </si>
  <si>
    <t xml:space="preserve">VD-148</t>
  </si>
  <si>
    <t xml:space="preserve">Sensitive Skin Kit</t>
  </si>
  <si>
    <t xml:space="preserve">Deyga Sensitive Skin Kit</t>
  </si>
  <si>
    <t xml:space="preserve">Deyga Sensitive Skin Kit – Skincare Gift Set | Swansura</t>
  </si>
  <si>
    <t xml:space="preserve">Buy Deyga Sensitive Skin Kit, natural skincare gift set from Deyga. Official UK partner: 100% authentic, shipped from the UK, free delivery over £50.</t>
  </si>
  <si>
    <t xml:space="preserve">Deyga Sensitive Skin Kit is natural skincare gift set from Deyga. Oat Milk Face Wash removes dirt and impurities without harshness, ideal for sensitive skin. Aloe Vera Gel helps nourish and calm skin, leaving it soft and refreshed. Swansura is an official UK partner of Deyga, so every order is 100% authentic and ships from the UK.</t>
  </si>
  <si>
    <t xml:space="preserve">VD-149</t>
  </si>
  <si>
    <t xml:space="preserve">ABC Kit</t>
  </si>
  <si>
    <t xml:space="preserve">Deyga ABC Kit</t>
  </si>
  <si>
    <t xml:space="preserve">Deyga ABC Kit – Body Lotion for Dry Skin | Swansura</t>
  </si>
  <si>
    <t xml:space="preserve">Buy Deyga ABC Kit, a natural body lotion for dry skin from Deyga. Aloe Vera Gel – deeply hydrates and soothes the skin, leaving it. Free UK delivery over £50.</t>
  </si>
  <si>
    <t xml:space="preserve">Deyga ABC Kit is a natural body lotion for dry skin from Deyga. Aloe Vera Gel – deeply hydrates and soothes the skin, leaving it feeling refreshed and soft. Beetroot Lip Balm – nourishes lips with natural ingredients, providing a subtle tint and softness. Swansura is an official UK partner of Deyga, so every order is 100% authentic and ships from the UK.</t>
  </si>
  <si>
    <t xml:space="preserve">VD-150</t>
  </si>
  <si>
    <t xml:space="preserve">Hydro Boosting Skin Care Kit</t>
  </si>
  <si>
    <t xml:space="preserve">Deyga Hydro Boosting Skin Care Kit</t>
  </si>
  <si>
    <t xml:space="preserve">Deyga Hydro Boosting Skin Care Kit | Skincare for Dry Skin</t>
  </si>
  <si>
    <t xml:space="preserve">Deyga Hydro Boosting Skin Care Kit: natural skincare for dry skin from Deyga. Official UK partner: 100% authentic, shipped from the UK, free delivery over £50.</t>
  </si>
  <si>
    <t xml:space="preserve">Deyga Hydro Boosting Skin Care Kit is natural skincare for dry skin from Deyga. Deep hydration boost – Aloe Vera Gel delivers refreshing moisture to calm and replenish skin. Brightens under-eye area – Under Eye Cream helps improve appearance of puffiness and dullness around the eyes. Swansura is an official UK partner of Deyga, so every order is 100% authentic and ships from the UK.</t>
  </si>
  <si>
    <t xml:space="preserve">VD-151</t>
  </si>
  <si>
    <t xml:space="preserve">Hair Care Kit</t>
  </si>
  <si>
    <t xml:space="preserve">Deyga Hair Care Kit</t>
  </si>
  <si>
    <t xml:space="preserve">Deyga Hair Care Kit – Hair Mask for Dry Hair | Swansura</t>
  </si>
  <si>
    <t xml:space="preserve">Buy Deyga Hair Care Kit, a natural hair mask for dry hair from Deyga. Official UK partner: 100% authentic, shipped from the UK, free delivery over £50.</t>
  </si>
  <si>
    <t xml:space="preserve">Deyga Hair Care Kit is a natural hair mask for dry hair from Deyga. Deep cleansing formula with Rice Water to remove buildup while preserving your scalp’s balance. Free from harsh chemicals; uses traditional, organic ingredients for gentler hair care. Swansura is an official UK partner of Deyga, so every order is 100% authentic and ships from the UK.</t>
  </si>
  <si>
    <t xml:space="preserve">deyga hair care kit review</t>
  </si>
  <si>
    <t xml:space="preserve">VD-152</t>
  </si>
  <si>
    <t xml:space="preserve">Hair Strengthening Kit</t>
  </si>
  <si>
    <t xml:space="preserve">Deyga Hair Strengthening Kit</t>
  </si>
  <si>
    <t xml:space="preserve">Deyga Hair Strengthening Kit – Skincare Gift Set | Swansura</t>
  </si>
  <si>
    <t xml:space="preserve">Buy Deyga Hair Strengthening Kit, natural skincare gift set from Deyga. Official UK partner: 100% authentic, shipped from the UK, free delivery over £50.</t>
  </si>
  <si>
    <t xml:space="preserve">Deyga Hair Strengthening Kit is natural skincare gift set from Deyga. Includes premium Aloe Vera Gel and Hair Growth Oil for a complete hair nourishment routine at home. Rich, plant‑derived gel helps provide hydration and manageability for a smoother hair feel. Swansura is an official UK partner of Deyga, so every order is 100% authentic and ships from the UK.</t>
  </si>
  <si>
    <t xml:space="preserve">VD-153</t>
  </si>
  <si>
    <t xml:space="preserve">Nourished Lip Care Kit</t>
  </si>
  <si>
    <t xml:space="preserve">Deyga Nourished Lip Care Kit</t>
  </si>
  <si>
    <t xml:space="preserve">Deyga Nourished Lip Care Kit | Lip Balm for Dry Lips</t>
  </si>
  <si>
    <t xml:space="preserve">Buy Deyga Nourished Lip Care Kit, a natural lip balm for dry lips from Deyga. Official UK partner: 100% authentic, shipped from the UK, free delivery over £50.</t>
  </si>
  <si>
    <t xml:space="preserve">Deyga Nourished Lip Care Kit is a natural lip balm for dry lips from Deyga. Gentle exfoliation using strawberry-based scrub to remove dry flakes and improve texture. Formulated with natural and clean ingredients, free from harsh chemicals. Swansura is an official UK partner of Deyga, so every order is 100% authentic and ships from the UK.</t>
  </si>
  <si>
    <t xml:space="preserve">VD-154</t>
  </si>
  <si>
    <t xml:space="preserve">Natural Hair Care Kit</t>
  </si>
  <si>
    <t xml:space="preserve">Deyga Natural Hair Care Kit</t>
  </si>
  <si>
    <t xml:space="preserve">Deyga Natural Hair Care Kit | Hair Mask for Dry Hair</t>
  </si>
  <si>
    <t xml:space="preserve">Buy Deyga Natural Hair Care Kit, a natural hair mask for dry hair from Deyga. Official UK partner: 100% authentic, shipped from the UK, free delivery over £50.</t>
  </si>
  <si>
    <t xml:space="preserve">Deyga Natural Hair Care Kit is a natural hair mask for dry hair from Deyga. Deep cleansing formula with Rice Water to remove buildup while preserving your scalp’s balance. Free from harsh chemicals; uses traditional, organic ingredients for gentler hair care. Swansura is an official UK partner of Deyga, so every order is 100% authentic and ships from the UK.</t>
  </si>
  <si>
    <t xml:space="preserve">VD-155</t>
  </si>
  <si>
    <t xml:space="preserve">Double Hydration Kit</t>
  </si>
  <si>
    <t xml:space="preserve">Deyga Double Hydration Kit</t>
  </si>
  <si>
    <t xml:space="preserve">Deyga Double Hydration Kit | Skincare for Dry Skin</t>
  </si>
  <si>
    <t xml:space="preserve">Buy Deyga Double Hydration Kit, natural skincare for dry skin from Deyga. Official UK partner: 100% authentic, shipped from the UK, free delivery over £50.</t>
  </si>
  <si>
    <t xml:space="preserve">Deyga Double Hydration Kit is natural skincare for dry skin from Deyga. Combo includes pure aloe vera gel plus beetroot lip balm for all-round hydration. Aloe vera gel delivers a refreshing dewy feel and supports smooth, supple skin. Swansura is an official UK partner of Deyga, so every order is 100% authentic and ships from the UK.</t>
  </si>
  <si>
    <t xml:space="preserve">VD-156</t>
  </si>
  <si>
    <t xml:space="preserve">Nourished Lips Stick Kit</t>
  </si>
  <si>
    <t xml:space="preserve">Deyga Nourished Lips Stick Kit</t>
  </si>
  <si>
    <t xml:space="preserve">Deyga Nourished Lips Stick Kit | Lip Balm for Dry Lips</t>
  </si>
  <si>
    <t xml:space="preserve">Deyga Nourished Lips Stick Kit: a natural lip balm for dry lips from Deyga. Official UK partner: 100% authentic, shipped from the UK, free delivery over £50.</t>
  </si>
  <si>
    <t xml:space="preserve">Deyga Nourished Lips Stick Kit is a natural lip balm for dry lips from Deyga. Strawberry Lip Scrub gently buffs away dry, flaky skin and beetroot lip balm locks in moisture with a subtle rosy tint. Enriched with beetroot extract, almond oil, and shea butter for a nourishing, smooth feel all day. Swansura is an official UK partner of Deyga, so every order is 100% authentic and ships from the UK.</t>
  </si>
  <si>
    <t xml:space="preserve">VD-157</t>
  </si>
  <si>
    <t xml:space="preserve">De- Tan &amp; Pigmentation Kit</t>
  </si>
  <si>
    <t xml:space="preserve">Deyga De- Tan &amp; Pigmentation Kit</t>
  </si>
  <si>
    <t xml:space="preserve">Deyga De- Tan &amp; Pigmentation Kit | Natural Sunscreen</t>
  </si>
  <si>
    <t xml:space="preserve">Buy Deyga De- Tan &amp; Pigmentation Kit, a natural sunscreen from Deyga. Official UK partner: 100% authentic, shipped from the UK, free delivery over £50.</t>
  </si>
  <si>
    <t xml:space="preserve">Deyga De- Tan &amp; Pigmentation Kit is a natural sunscreen from Deyga. Set includes Vitamin C Face &amp; Body Exfoliator and Charcoal Bath Bar for a complete de-tan &amp; brighten routine. Exfoliator gently buffs away dullness and helps reveal smoother, glowing skin. Swansura is an official UK partner of Deyga, so every order is 100% authentic and ships from the UK.</t>
  </si>
  <si>
    <t xml:space="preserve">VD-158</t>
  </si>
  <si>
    <t xml:space="preserve">Game Changer Face Care Kit</t>
  </si>
  <si>
    <t xml:space="preserve">Deyga Game Changer Face Care Kit</t>
  </si>
  <si>
    <t xml:space="preserve">Deyga Game Changer Face Care Kit | Body Lotion for Dry Skin</t>
  </si>
  <si>
    <t xml:space="preserve">Buy Deyga Game Changer Face Care Kit, a natural body lotion for dry skin from Deyga. Official UK partner, 100% authentic, free UK delivery over £50.</t>
  </si>
  <si>
    <t xml:space="preserve">Deyga Game Changer Face Care Kit is a natural body lotion for dry skin from Deyga. Purifying formula with activated charcoal to help lift away surface impurities and excess oil. Enriched with aloe vera to soothe and hydrate skin during cleansing. Swansura is an official UK partner of Deyga, so every order is 100% authentic and ships from the UK.</t>
  </si>
  <si>
    <t xml:space="preserve">VD-159</t>
  </si>
  <si>
    <t xml:space="preserve">Daily Use Healthy Hair Kit</t>
  </si>
  <si>
    <t xml:space="preserve">Deyga Daily Use Healthy Hair Kit</t>
  </si>
  <si>
    <t xml:space="preserve">Deyga Daily Use Healthy Hair Kit | Hair Mask for Dry Hair</t>
  </si>
  <si>
    <t xml:space="preserve">Deyga Daily Use Healthy Hair Kit: a natural hair mask for dry hair from Deyga. Official UK partner: 100% authentic, shipped from the UK, free delivery over £50.</t>
  </si>
  <si>
    <t xml:space="preserve">Deyga Daily Use Healthy Hair Kit is a natural hair mask for dry hair from Deyga. Complete 2-step hair care combo with shampoo, conditioner for daily nourishment. Cleanses gently without stripping natural oils, keeping hair refreshed and soft. Swansura is an official UK partner of Deyga, so every order is 100% authentic and ships from the UK.</t>
  </si>
  <si>
    <t xml:space="preserve">Source sheet</t>
  </si>
  <si>
    <t xml:space="preserve">S.No</t>
  </si>
  <si>
    <t xml:space="preserve">Brand note</t>
  </si>
  <si>
    <t xml:space="preserve">Category</t>
  </si>
  <si>
    <t xml:space="preserve">Concern / scent</t>
  </si>
  <si>
    <t xml:space="preserve">Product name</t>
  </si>
  <si>
    <t xml:space="preserve">Size</t>
  </si>
  <si>
    <t xml:space="preserve">MRP (£)</t>
  </si>
  <si>
    <t xml:space="preserve">Core keyword</t>
  </si>
  <si>
    <t xml:space="preserve">+ UK</t>
  </si>
  <si>
    <t xml:space="preserve">Buy online</t>
  </si>
  <si>
    <t xml:space="preserve">+ Concentration</t>
  </si>
  <si>
    <t xml:space="preserve">Vol: Core keyword</t>
  </si>
  <si>
    <t xml:space="preserve">Vol: + UK</t>
  </si>
  <si>
    <t xml:space="preserve">Vol: Buy online</t>
  </si>
  <si>
    <t xml:space="preserve">Vol: Price</t>
  </si>
  <si>
    <t xml:space="preserve">Vol: + Concentration</t>
  </si>
  <si>
    <t xml:space="preserve">Primary volume</t>
  </si>
  <si>
    <t xml:space="preserve">Primary KD</t>
  </si>
  <si>
    <t xml:space="preserve">Primary CPC ($)</t>
  </si>
  <si>
    <t xml:space="preserve">Category / brand keywords</t>
  </si>
  <si>
    <t xml:space="preserve">Google autocomplete phrases</t>
  </si>
  <si>
    <t xml:space="preserve">Draft H1</t>
  </si>
  <si>
    <t xml:space="preserve">Draft meta title</t>
  </si>
  <si>
    <t xml:space="preserve">Title length</t>
  </si>
  <si>
    <t xml:space="preserve">Draft meta description</t>
  </si>
  <si>
    <t xml:space="preserve">Description length</t>
  </si>
  <si>
    <t xml:space="preserve">Vilvah &amp; Deyga</t>
  </si>
  <si>
    <t xml:space="preserve">Skincare</t>
  </si>
  <si>
    <t xml:space="preserve">100 ml</t>
  </si>
  <si>
    <t xml:space="preserve">vilvah rosewater facial toner</t>
  </si>
  <si>
    <t xml:space="preserve">vilvah rosewater facial toner uk</t>
  </si>
  <si>
    <t xml:space="preserve">buy vilvah rosewater facial toner online</t>
  </si>
  <si>
    <t xml:space="preserve">vilvah rosewater facial toner price</t>
  </si>
  <si>
    <t xml:space="preserve">vilvah toner · toner for skin nourishment · natural toner uk</t>
  </si>
  <si>
    <t xml:space="preserve">Vilvah Rosewater Facial Toner | Buy Online UK | Swansura</t>
  </si>
  <si>
    <t xml:space="preserve">Buy Vilvah Rosewater Facial Toner online at Swansura, official UK partner of Vilvah. Natural toner. 100% authentic, shipped from the UK, free delivery over £50.</t>
  </si>
  <si>
    <t xml:space="preserve">Haircare</t>
  </si>
  <si>
    <t xml:space="preserve">50 ml</t>
  </si>
  <si>
    <t xml:space="preserve">vilvah hair growth oil</t>
  </si>
  <si>
    <t xml:space="preserve">vilvah hair growth oil uk</t>
  </si>
  <si>
    <t xml:space="preserve">buy vilvah hair growth oil online</t>
  </si>
  <si>
    <t xml:space="preserve">vilvah hair growth oil price</t>
  </si>
  <si>
    <t xml:space="preserve">vilvah hair oil · hair oil for hair loss · natural hair oil uk</t>
  </si>
  <si>
    <t xml:space="preserve">Vilvah Hair Growth Oil 50ml | Buy Online UK | Swansura</t>
  </si>
  <si>
    <t xml:space="preserve">Buy Vilvah Hair Growth Oil online at Swansura, official UK partner of Vilvah. A natural hair oil for thinning hair. 100% authentic, free UK delivery over £50.</t>
  </si>
  <si>
    <t xml:space="preserve">Bodycare</t>
  </si>
  <si>
    <t xml:space="preserve">115 g</t>
  </si>
  <si>
    <t xml:space="preserve">vilvah classic goatmilk soap</t>
  </si>
  <si>
    <t xml:space="preserve">vilvah classic goatmilk soap uk</t>
  </si>
  <si>
    <t xml:space="preserve">buy vilvah classic goatmilk soap online</t>
  </si>
  <si>
    <t xml:space="preserve">vilvah classic goatmilk soap price</t>
  </si>
  <si>
    <t xml:space="preserve">vilvah body wash · body wash for body cleansing · natural body wash uk</t>
  </si>
  <si>
    <t xml:space="preserve">Vilvah Classic Goatmilk Soap | Buy Online UK | Swansura</t>
  </si>
  <si>
    <t xml:space="preserve">Buy Vilvah Classic Goatmilk Soap online in the UK at Swansura, official UK partner of Vilvah. Natural body wash. 100% authentic, free UK delivery over £50.</t>
  </si>
  <si>
    <t xml:space="preserve">20 g</t>
  </si>
  <si>
    <t xml:space="preserve">vilvah deo shot - rose and vanilla</t>
  </si>
  <si>
    <t xml:space="preserve">vilvah deo shot - rose and vanilla uk</t>
  </si>
  <si>
    <t xml:space="preserve">buy vilvah deo shot - rose and vanilla online</t>
  </si>
  <si>
    <t xml:space="preserve">vilvah deo shot - rose and vanilla price</t>
  </si>
  <si>
    <t xml:space="preserve">vilvah natural deodorant · natural deodorant for body hydration · natural natural deodorant uk</t>
  </si>
  <si>
    <t xml:space="preserve">Vilvah Deo Shot - Rose and Vanilla | Swansura UK</t>
  </si>
  <si>
    <t xml:space="preserve">Buy Vilvah Deo Shot - Rose and Vanilla online in the UK at Swansura, official UK partner of Vilvah. 100% authentic, shipped from the UK, free delivery over £50.</t>
  </si>
  <si>
    <t xml:space="preserve">50ml</t>
  </si>
  <si>
    <t xml:space="preserve">vilvah skin finish sunscreen spf 50</t>
  </si>
  <si>
    <t xml:space="preserve">vilvah skin finish sunscreen spf 50 uk</t>
  </si>
  <si>
    <t xml:space="preserve">buy vilvah skin finish sunscreen spf 50 online</t>
  </si>
  <si>
    <t xml:space="preserve">vilvah skin finish sunscreen spf 50 price</t>
  </si>
  <si>
    <t xml:space="preserve">vilvah sunscreen · natural sunscreen uk</t>
  </si>
  <si>
    <t xml:space="preserve">Vilvah Skin Finish Sunscreen SPF 50 | Swansura UK</t>
  </si>
  <si>
    <t xml:space="preserve">Buy Vilvah Skin Finish Sunscreen SPF 50 online at Swansura, official UK partner of Vilvah. Natural sunscreen. 100% authentic, free UK delivery over £50.</t>
  </si>
  <si>
    <t xml:space="preserve">50 gm</t>
  </si>
  <si>
    <t xml:space="preserve">vilvah milk powder face wash</t>
  </si>
  <si>
    <t xml:space="preserve">vilvah milk powder face wash uk</t>
  </si>
  <si>
    <t xml:space="preserve">buy vilvah milk powder face wash online</t>
  </si>
  <si>
    <t xml:space="preserve">vilvah milk powder face wash price</t>
  </si>
  <si>
    <t xml:space="preserve">vilvah face wash · face wash for skin nourishment · natural face wash uk</t>
  </si>
  <si>
    <t xml:space="preserve">Vilvah Milk Powder Face Wash | Buy Online UK | Swansura</t>
  </si>
  <si>
    <t xml:space="preserve">Buy Vilvah Milk Powder Face Wash online in the UK at Swansura, official UK partner of Vilvah. A natural face wash for nourished skin. Free UK delivery over £50.</t>
  </si>
  <si>
    <t xml:space="preserve">vilvah ultra moisturising cream</t>
  </si>
  <si>
    <t xml:space="preserve">vilvah ultra moisturising cream uk</t>
  </si>
  <si>
    <t xml:space="preserve">buy vilvah ultra moisturising cream online</t>
  </si>
  <si>
    <t xml:space="preserve">vilvah ultra moisturising cream price</t>
  </si>
  <si>
    <t xml:space="preserve">vilvah moisturiser · moisturiser for dry skin · natural moisturiser uk</t>
  </si>
  <si>
    <t xml:space="preserve">Vilvah Ultra Moisturising Cream | Buy Online UK | Swansura</t>
  </si>
  <si>
    <t xml:space="preserve">Buy Vilvah Ultra Moisturising Cream online in the UK at Swansura, official UK partner of Vilvah. Natural moisturiser. 100% authentic, free UK delivery over £50.</t>
  </si>
  <si>
    <t xml:space="preserve">vilvah classic rose goatmilk soap</t>
  </si>
  <si>
    <t xml:space="preserve">vilvah classic rose goatmilk soap uk</t>
  </si>
  <si>
    <t xml:space="preserve">buy vilvah classic rose goatmilk soap online</t>
  </si>
  <si>
    <t xml:space="preserve">vilvah classic rose goatmilk soap price</t>
  </si>
  <si>
    <t xml:space="preserve">Vilvah Classic Rose Goatmilk Soap | Buy Online UK | Swansura</t>
  </si>
  <si>
    <t xml:space="preserve">Buy Vilvah Classic Rose Goatmilk Soap online in the UK at Swansura, official UK partner of Vilvah. Natural body wash. 100% authentic, free UK delivery over £50.</t>
  </si>
  <si>
    <t xml:space="preserve">200 ml</t>
  </si>
  <si>
    <t xml:space="preserve">vilvah goat milk body wash</t>
  </si>
  <si>
    <t xml:space="preserve">vilvah goat milk body wash uk</t>
  </si>
  <si>
    <t xml:space="preserve">buy vilvah goat milk body wash online</t>
  </si>
  <si>
    <t xml:space="preserve">vilvah goat milk body wash price</t>
  </si>
  <si>
    <t xml:space="preserve">Vilvah Goat Milk Body Wash | Buy Online UK | Swansura</t>
  </si>
  <si>
    <t xml:space="preserve">Buy Vilvah Goat Milk Body Wash online in the UK at Swansura, official UK partner of Vilvah. Natural body wash. 100% authentic, free UK delivery over £50.</t>
  </si>
  <si>
    <t xml:space="preserve">10 g</t>
  </si>
  <si>
    <t xml:space="preserve">vilvah rose milk lip balm</t>
  </si>
  <si>
    <t xml:space="preserve">vilvah rose milk lip balm uk</t>
  </si>
  <si>
    <t xml:space="preserve">buy vilvah rose milk lip balm online</t>
  </si>
  <si>
    <t xml:space="preserve">vilvah rose milk lip balm price</t>
  </si>
  <si>
    <t xml:space="preserve">vilvah lip balm · lip balm for dry lips · natural lip balm uk</t>
  </si>
  <si>
    <t xml:space="preserve">Vilvah Rose Milk Lip Balm | Buy Online UK | Swansura</t>
  </si>
  <si>
    <t xml:space="preserve">Buy Vilvah Rose Milk Lip Balm online at Swansura, official UK partner of Vilvah. Natural lip care. 100% authentic, shipped from the UK, free delivery over £50.</t>
  </si>
  <si>
    <t xml:space="preserve">vilvah charcoal goatmilk soap</t>
  </si>
  <si>
    <t xml:space="preserve">vilvah charcoal goatmilk soap uk</t>
  </si>
  <si>
    <t xml:space="preserve">buy vilvah charcoal goatmilk soap online</t>
  </si>
  <si>
    <t xml:space="preserve">vilvah charcoal goatmilk soap price</t>
  </si>
  <si>
    <t xml:space="preserve">Vilvah Charcoal Goatmilk Soap | Buy Online UK | Swansura</t>
  </si>
  <si>
    <t xml:space="preserve">Buy Vilvah Charcoal Goatmilk Soap online in the UK at Swansura, official UK partner of Vilvah. Natural body wash. 100% authentic, free UK delivery over £50.</t>
  </si>
  <si>
    <t xml:space="preserve">250 ml</t>
  </si>
  <si>
    <t xml:space="preserve">vilvah cream conditioner</t>
  </si>
  <si>
    <t xml:space="preserve">vilvah cream conditioner uk</t>
  </si>
  <si>
    <t xml:space="preserve">buy vilvah cream conditioner online</t>
  </si>
  <si>
    <t xml:space="preserve">vilvah cream conditioner price</t>
  </si>
  <si>
    <t xml:space="preserve">vilvah conditioner · conditioner for hair nourishment · natural conditioner uk</t>
  </si>
  <si>
    <t xml:space="preserve">Vilvah Cream Conditioner | Buy Online UK | Swansura</t>
  </si>
  <si>
    <t xml:space="preserve">Buy Vilvah Cream Conditioner online in the UK at Swansura, official UK partner of Vilvah. A natural conditioner for nourished hair. Free UK delivery over £50.</t>
  </si>
  <si>
    <t xml:space="preserve">vilvah goat milk shampoo</t>
  </si>
  <si>
    <t xml:space="preserve">vilvah goat milk shampoo uk</t>
  </si>
  <si>
    <t xml:space="preserve">buy vilvah goat milk shampoo online</t>
  </si>
  <si>
    <t xml:space="preserve">vilvah goat milk shampoo price</t>
  </si>
  <si>
    <t xml:space="preserve">vilvah shampoo · shampoo for dry skin · natural shampoo uk</t>
  </si>
  <si>
    <t xml:space="preserve">Vilvah Goat Milk Shampoo | Buy Online UK | Swansura</t>
  </si>
  <si>
    <t xml:space="preserve">Buy Vilvah Goat Milk Shampoo online at Swansura, official UK partner of Vilvah. Natural shampoo. 100% authentic, shipped from the UK, free delivery over £50.</t>
  </si>
  <si>
    <t xml:space="preserve">vilvah honey fix face wash</t>
  </si>
  <si>
    <t xml:space="preserve">vilvah honey fix face wash uk</t>
  </si>
  <si>
    <t xml:space="preserve">buy vilvah honey fix face wash online</t>
  </si>
  <si>
    <t xml:space="preserve">vilvah honey fix face wash price</t>
  </si>
  <si>
    <t xml:space="preserve">Vilvah Honey Fix Face Wash | Buy Online UK | Swansura</t>
  </si>
  <si>
    <t xml:space="preserve">Buy Vilvah Honey Fix Face Wash online in the UK at Swansura, official UK partner of Vilvah. A natural face wash for nourished skin. Free UK delivery over £50.</t>
  </si>
  <si>
    <t xml:space="preserve">vilvah lip balm - lemon</t>
  </si>
  <si>
    <t xml:space="preserve">vilvah lip balm - lemon uk</t>
  </si>
  <si>
    <t xml:space="preserve">buy vilvah lip balm - lemon online</t>
  </si>
  <si>
    <t xml:space="preserve">vilvah lip balm - lemon price</t>
  </si>
  <si>
    <t xml:space="preserve">Vilvah Lip Balm - Lemon | Buy Online UK | Swansura</t>
  </si>
  <si>
    <t xml:space="preserve">Buy Vilvah Lip Balm - Lemon online at Swansura, official UK partner of Vilvah. Natural lip care. 100% authentic, shipped from the UK, free delivery over £50.</t>
  </si>
  <si>
    <t xml:space="preserve">vilvah milk body lotion</t>
  </si>
  <si>
    <t xml:space="preserve">vilvah milk body lotion uk</t>
  </si>
  <si>
    <t xml:space="preserve">buy vilvah milk body lotion online</t>
  </si>
  <si>
    <t xml:space="preserve">vilvah milk body lotion price</t>
  </si>
  <si>
    <t xml:space="preserve">vilvah body lotion · body lotion for dry skin · natural body lotion uk</t>
  </si>
  <si>
    <t xml:space="preserve">Vilvah Milk Body Lotion | Buy Online UK | Swansura</t>
  </si>
  <si>
    <t xml:space="preserve">Buy Vilvah Milk Body Lotion online at Swansura, official UK partner of Vilvah. Natural body lotion. 100% authentic, shipped from the UK, free delivery over £50.</t>
  </si>
  <si>
    <t xml:space="preserve">vilvah milk face toner</t>
  </si>
  <si>
    <t xml:space="preserve">vilvah milk face toner uk</t>
  </si>
  <si>
    <t xml:space="preserve">buy vilvah milk face toner online</t>
  </si>
  <si>
    <t xml:space="preserve">vilvah milk face toner price</t>
  </si>
  <si>
    <t xml:space="preserve">vilvah toner · toner for dry skin · natural toner uk</t>
  </si>
  <si>
    <t xml:space="preserve">Vilvah Milk Face Toner 100ml | Buy Online UK | Swansura</t>
  </si>
  <si>
    <t xml:space="preserve">Buy Vilvah Milk Face Toner online in the UK at Swansura, official UK partner of Vilvah. A natural toner for dry skin. 100% authentic, free UK delivery over £50.</t>
  </si>
  <si>
    <t xml:space="preserve">vilvah milk mud mask</t>
  </si>
  <si>
    <t xml:space="preserve">vilvah milk mud mask uk</t>
  </si>
  <si>
    <t xml:space="preserve">buy vilvah milk mud mask online</t>
  </si>
  <si>
    <t xml:space="preserve">vilvah milk mud mask price</t>
  </si>
  <si>
    <t xml:space="preserve">vilvah face mask · face mask for skin nourishment · natural face mask uk</t>
  </si>
  <si>
    <t xml:space="preserve">Vilvah Milk Mud Mask 50ml | Buy Online UK | Swansura</t>
  </si>
  <si>
    <t xml:space="preserve">Buy Vilvah Milk Mud Mask online at Swansura, official UK partner of Vilvah. A natural face mask for nourished skin. 100% authentic, free UK delivery over £50.</t>
  </si>
  <si>
    <t xml:space="preserve">100 g</t>
  </si>
  <si>
    <t xml:space="preserve">vilvah wild rose facemask</t>
  </si>
  <si>
    <t xml:space="preserve">vilvah wild rose facemask uk</t>
  </si>
  <si>
    <t xml:space="preserve">buy vilvah wild rose facemask online</t>
  </si>
  <si>
    <t xml:space="preserve">vilvah wild rose facemask price</t>
  </si>
  <si>
    <t xml:space="preserve">Vilvah Wild Rose Facemask | Buy Online UK | Swansura</t>
  </si>
  <si>
    <t xml:space="preserve">Buy Vilvah Wild Rose Facemask online at Swansura, official UK partner of Vilvah. Natural face mask. 100% authentic, shipped from the UK, free delivery over £50.</t>
  </si>
  <si>
    <t xml:space="preserve">vilvah aloe vera gel</t>
  </si>
  <si>
    <t xml:space="preserve">vilvah aloe vera gel uk</t>
  </si>
  <si>
    <t xml:space="preserve">buy vilvah aloe vera gel online</t>
  </si>
  <si>
    <t xml:space="preserve">vilvah aloe vera gel price</t>
  </si>
  <si>
    <t xml:space="preserve">vilvah moisturiser · moisturiser for skin nourishment · natural moisturiser uk</t>
  </si>
  <si>
    <t xml:space="preserve">Vilvah Aloe Vera Gel 100ml | Buy Online UK | Swansura</t>
  </si>
  <si>
    <t xml:space="preserve">Buy Vilvah Aloe Vera Gel online at Swansura, official UK partner of Vilvah. A natural moisturiser for nourished skin. 100% authentic, free UK delivery over £50.</t>
  </si>
  <si>
    <t xml:space="preserve">vilvah anti-dandruff hair oil</t>
  </si>
  <si>
    <t xml:space="preserve">vilvah anti-dandruff hair oil uk</t>
  </si>
  <si>
    <t xml:space="preserve">buy vilvah anti-dandruff hair oil online</t>
  </si>
  <si>
    <t xml:space="preserve">vilvah anti-dandruff hair oil price</t>
  </si>
  <si>
    <t xml:space="preserve">vilvah hair oil · hair oil for dandruff · natural hair oil uk</t>
  </si>
  <si>
    <t xml:space="preserve">Vilvah Anti-dandruff Hair Oil | Buy Online UK | Swansura</t>
  </si>
  <si>
    <t xml:space="preserve">Buy Vilvah Anti-dandruff Hair Oil online in the UK at Swansura, official UK partner of Vilvah. Natural hair oil. 100% authentic, free UK delivery over £50.</t>
  </si>
  <si>
    <t xml:space="preserve">30 ml</t>
  </si>
  <si>
    <t xml:space="preserve">vilvah anti-frizz hair serum</t>
  </si>
  <si>
    <t xml:space="preserve">vilvah anti-frizz hair serum uk</t>
  </si>
  <si>
    <t xml:space="preserve">buy vilvah anti-frizz hair serum online</t>
  </si>
  <si>
    <t xml:space="preserve">vilvah anti-frizz hair serum price</t>
  </si>
  <si>
    <t xml:space="preserve">vilvah hair serum · hair serum for frizzy hair · natural hair serum uk</t>
  </si>
  <si>
    <t xml:space="preserve">Vilvah Anti-Frizz Hair Serum | Buy Online UK | Swansura</t>
  </si>
  <si>
    <t xml:space="preserve">Buy Vilvah Anti-Frizz Hair Serum online in the UK at Swansura, official UK partner of Vilvah. A natural hair serum for frizzy hair. Free UK delivery over £50.</t>
  </si>
  <si>
    <t xml:space="preserve">20 ml</t>
  </si>
  <si>
    <t xml:space="preserve">vilvah better ageing serum</t>
  </si>
  <si>
    <t xml:space="preserve">vilvah better ageing serum uk</t>
  </si>
  <si>
    <t xml:space="preserve">buy vilvah better ageing serum online</t>
  </si>
  <si>
    <t xml:space="preserve">vilvah better ageing serum price</t>
  </si>
  <si>
    <t xml:space="preserve">vilvah face serum · face serum for anti ageing · natural face serum uk</t>
  </si>
  <si>
    <t xml:space="preserve">Vilvah Better Ageing Serum | Buy Online UK | Swansura</t>
  </si>
  <si>
    <t xml:space="preserve">Buy Vilvah Better Ageing Serum online at Swansura, official UK partner of Vilvah. A natural serum for ageing skin. 100% authentic, free UK delivery over £50.</t>
  </si>
  <si>
    <t xml:space="preserve">vilvah charcoal facemask</t>
  </si>
  <si>
    <t xml:space="preserve">vilvah charcoal facemask uk</t>
  </si>
  <si>
    <t xml:space="preserve">buy vilvah charcoal facemask online</t>
  </si>
  <si>
    <t xml:space="preserve">vilvah charcoal facemask price</t>
  </si>
  <si>
    <t xml:space="preserve">vilvah face mask · face mask for oily skin · natural face mask uk</t>
  </si>
  <si>
    <t xml:space="preserve">Vilvah Charcoal Facemask | Buy Online UK | Swansura</t>
  </si>
  <si>
    <t xml:space="preserve">Buy Vilvah Charcoal Facemask online at Swansura, official UK partner of Vilvah. Natural face mask. 100% authentic, shipped from the UK, free delivery over £50.</t>
  </si>
  <si>
    <t xml:space="preserve">vilvah cookie n cream body mask</t>
  </si>
  <si>
    <t xml:space="preserve">vilvah cookie n cream body mask uk</t>
  </si>
  <si>
    <t xml:space="preserve">buy vilvah cookie n cream body mask online</t>
  </si>
  <si>
    <t xml:space="preserve">vilvah cookie n cream body mask price</t>
  </si>
  <si>
    <t xml:space="preserve">Vilvah Cookie N Cream Body Mask | Buy Online UK | Swansura</t>
  </si>
  <si>
    <t xml:space="preserve">Buy Vilvah Cookie N Cream Body Mask online in the UK at Swansura, official UK partner of Vilvah. Natural body lotion. 100% authentic, free UK delivery over £50.</t>
  </si>
  <si>
    <t xml:space="preserve">vilvah cookie n cream body polish</t>
  </si>
  <si>
    <t xml:space="preserve">vilvah cookie n cream body polish uk</t>
  </si>
  <si>
    <t xml:space="preserve">buy vilvah cookie n cream body polish online</t>
  </si>
  <si>
    <t xml:space="preserve">vilvah cookie n cream body polish price</t>
  </si>
  <si>
    <t xml:space="preserve">vilvah body scrub · body scrub for dull skin · natural body scrub uk</t>
  </si>
  <si>
    <t xml:space="preserve">Vilvah Cookie N Cream Body Polish | Buy Online UK | Swansura</t>
  </si>
  <si>
    <t xml:space="preserve">Buy Vilvah Cookie N Cream Body Polish online in the UK at Swansura, official UK partner of Vilvah. 100% authentic, shipped from the UK, free delivery over £50.</t>
  </si>
  <si>
    <t xml:space="preserve">vilvah cream face wash (fragrance free)</t>
  </si>
  <si>
    <t xml:space="preserve">vilvah cream face wash (fragrance free) uk</t>
  </si>
  <si>
    <t xml:space="preserve">buy vilvah cream face wash (fragrance free) online</t>
  </si>
  <si>
    <t xml:space="preserve">vilvah cream face wash (fragrance free) price</t>
  </si>
  <si>
    <t xml:space="preserve">Buy Vilvah Cream Face Wash (Fragrance Free) online at Swansura, official UK partner of Vilvah. Natural face wash. 100% authentic, free UK delivery over £50.</t>
  </si>
  <si>
    <t xml:space="preserve">vilvah cucumber, curd &amp; mint soap</t>
  </si>
  <si>
    <t xml:space="preserve">vilvah cucumber, curd &amp; mint soap uk</t>
  </si>
  <si>
    <t xml:space="preserve">buy vilvah cucumber, curd &amp; mint soap online</t>
  </si>
  <si>
    <t xml:space="preserve">vilvah cucumber, curd &amp; mint soap price</t>
  </si>
  <si>
    <t xml:space="preserve">Vilvah Cucumber, Curd &amp; Mint Soap | Buy Online UK | Swansura</t>
  </si>
  <si>
    <t xml:space="preserve">Buy Vilvah Cucumber, Curd &amp; Mint Soap online in the UK at Swansura, official UK partner of Vilvah. Natural body wash. 100% authentic, free UK delivery over £50.</t>
  </si>
  <si>
    <t xml:space="preserve">vilvah deo shot - lavender and sage</t>
  </si>
  <si>
    <t xml:space="preserve">vilvah deo shot - lavender and sage uk</t>
  </si>
  <si>
    <t xml:space="preserve">buy vilvah deo shot - lavender and sage online</t>
  </si>
  <si>
    <t xml:space="preserve">vilvah deo shot - lavender and sage price</t>
  </si>
  <si>
    <t xml:space="preserve">Vilvah Deo Shot - Lavender and Sage | Swansura UK</t>
  </si>
  <si>
    <t xml:space="preserve">Buy Vilvah Deo Shot - Lavender and Sage online at Swansura, official UK partner of Vilvah. Natural deodorant. 100% authentic, free UK delivery over £50.</t>
  </si>
  <si>
    <t xml:space="preserve">vilvah foot cream</t>
  </si>
  <si>
    <t xml:space="preserve">vilvah foot cream uk</t>
  </si>
  <si>
    <t xml:space="preserve">buy vilvah foot cream online</t>
  </si>
  <si>
    <t xml:space="preserve">vilvah foot cream price</t>
  </si>
  <si>
    <t xml:space="preserve">Vilvah Foot Cream 100ml | Buy Online UK | Swansura</t>
  </si>
  <si>
    <t xml:space="preserve">Buy Vilvah Foot Cream online at Swansura, official UK partner of Vilvah. Natural body lotion. 100% authentic, shipped from the UK, free delivery over £50.</t>
  </si>
  <si>
    <t xml:space="preserve">200 g</t>
  </si>
  <si>
    <t xml:space="preserve">vilvah goat milk hair mask</t>
  </si>
  <si>
    <t xml:space="preserve">vilvah goat milk hair mask uk</t>
  </si>
  <si>
    <t xml:space="preserve">buy vilvah goat milk hair mask online</t>
  </si>
  <si>
    <t xml:space="preserve">vilvah goat milk hair mask price</t>
  </si>
  <si>
    <t xml:space="preserve">vilvah hair mask · hair mask for dry hair · natural hair mask uk</t>
  </si>
  <si>
    <t xml:space="preserve">Vilvah Goat Milk Hair Mask | Buy Online UK | Swansura</t>
  </si>
  <si>
    <t xml:space="preserve">Buy Vilvah Goat Milk Hair Mask online in the UK at Swansura, official UK partner of Vilvah. Natural hair mask. 100% authentic, free UK delivery over £50.</t>
  </si>
  <si>
    <t xml:space="preserve">Vilvah Hair Growth Oil 100ml | Buy Online UK | Swansura</t>
  </si>
  <si>
    <t xml:space="preserve">Vilvah Hair Growth Oil 200ml | Buy Online UK | Swansura</t>
  </si>
  <si>
    <t xml:space="preserve">vilvah herbal shampoo (dandruff control)</t>
  </si>
  <si>
    <t xml:space="preserve">vilvah herbal shampoo (dandruff control) uk</t>
  </si>
  <si>
    <t xml:space="preserve">buy vilvah herbal shampoo (dandruff control) online</t>
  </si>
  <si>
    <t xml:space="preserve">vilvah herbal shampoo (dandruff control) price</t>
  </si>
  <si>
    <t xml:space="preserve">vilvah shampoo · shampoo for dandruff · natural shampoo uk</t>
  </si>
  <si>
    <t xml:space="preserve">Buy Vilvah Herbal Shampoo (Dandruff Control) online at Swansura, official UK partner of Vilvah. 100% authentic, shipped from the UK, free delivery over £50.</t>
  </si>
  <si>
    <t xml:space="preserve">vilvah lip balm - grapefruit</t>
  </si>
  <si>
    <t xml:space="preserve">vilvah lip balm - grapefruit uk</t>
  </si>
  <si>
    <t xml:space="preserve">buy vilvah lip balm - grapefruit online</t>
  </si>
  <si>
    <t xml:space="preserve">vilvah lip balm - grapefruit price</t>
  </si>
  <si>
    <t xml:space="preserve">Vilvah Lip Balm - Grapefruit | Buy Online UK | Swansura</t>
  </si>
  <si>
    <t xml:space="preserve">Buy Vilvah Lip Balm - Grapefruit online at Swansura, official UK partner of Vilvah. A natural lip care for dry lips. 100% authentic, free UK delivery over £50.</t>
  </si>
  <si>
    <t xml:space="preserve">vilvah lip scrub</t>
  </si>
  <si>
    <t xml:space="preserve">vilvah lip scrub uk</t>
  </si>
  <si>
    <t xml:space="preserve">buy vilvah lip scrub online</t>
  </si>
  <si>
    <t xml:space="preserve">vilvah lip scrub price</t>
  </si>
  <si>
    <t xml:space="preserve">vilvah lip balm · natural lip balm uk</t>
  </si>
  <si>
    <t xml:space="preserve">Vilvah Lip Scrub | Official UK Partner | Swansura</t>
  </si>
  <si>
    <t xml:space="preserve">Buy Vilvah Lip Scrub online in the UK at Swansura, official UK partner of Vilvah. Natural lip care. 100% authentic, shipped from the UK, free delivery over £50.</t>
  </si>
  <si>
    <t xml:space="preserve">1 Piece</t>
  </si>
  <si>
    <t xml:space="preserve">vilvah men's comb / detangling comb</t>
  </si>
  <si>
    <t xml:space="preserve">vilvah men's comb / detangling comb uk</t>
  </si>
  <si>
    <t xml:space="preserve">buy vilvah men's comb / detangling comb online</t>
  </si>
  <si>
    <t xml:space="preserve">vilvah men's comb / detangling comb price</t>
  </si>
  <si>
    <t xml:space="preserve">vilvah hair accessories · natural hair accessories uk</t>
  </si>
  <si>
    <t xml:space="preserve">Vilvah Men's Comb / Detangling Comb | Swansura UK</t>
  </si>
  <si>
    <t xml:space="preserve">Buy Vilvah Men's Comb / Detangling Comb online at Swansura, official UK partner of Vilvah. Natural hair accessories. 100% authentic, free UK delivery over £50.</t>
  </si>
  <si>
    <t xml:space="preserve">vilvah milk drops brightening serum</t>
  </si>
  <si>
    <t xml:space="preserve">vilvah milk drops brightening serum uk</t>
  </si>
  <si>
    <t xml:space="preserve">buy vilvah milk drops brightening serum online</t>
  </si>
  <si>
    <t xml:space="preserve">vilvah milk drops brightening serum price</t>
  </si>
  <si>
    <t xml:space="preserve">vilvah face serum · face serum for dull skin · natural face serum uk</t>
  </si>
  <si>
    <t xml:space="preserve">Vilvah Milk Drops Brightening Serum | Swansura UK</t>
  </si>
  <si>
    <t xml:space="preserve">Buy Vilvah Milk Drops Brightening Serum online in the UK at Swansura, official UK partner of Vilvah. A natural serum for dull skin. Free UK delivery over £50.</t>
  </si>
  <si>
    <t xml:space="preserve">40 ml</t>
  </si>
  <si>
    <t xml:space="preserve">4 g</t>
  </si>
  <si>
    <t xml:space="preserve">vilvah milk lip balm spf 30 pa+++</t>
  </si>
  <si>
    <t xml:space="preserve">vilvah milk lip balm spf 30 pa+++ uk</t>
  </si>
  <si>
    <t xml:space="preserve">buy vilvah milk lip balm spf 30 pa+++ online</t>
  </si>
  <si>
    <t xml:space="preserve">vilvah milk lip balm spf 30 pa+++ price</t>
  </si>
  <si>
    <t xml:space="preserve">Vilvah Milk Lip Balm SPF 30 PA | Buy Online UK | Swansura</t>
  </si>
  <si>
    <t xml:space="preserve">Buy Vilvah Milk Lip Balm SPF 30 PA online in the UK at Swansura, official UK partner of Vilvah. Natural lip care. 100% authentic, free UK delivery over £50.</t>
  </si>
  <si>
    <t xml:space="preserve">vilvah neem wood comb (with handle)</t>
  </si>
  <si>
    <t xml:space="preserve">vilvah neem wood comb (with handle) uk</t>
  </si>
  <si>
    <t xml:space="preserve">buy vilvah neem wood comb (with handle) online</t>
  </si>
  <si>
    <t xml:space="preserve">vilvah neem wood comb (with handle) price</t>
  </si>
  <si>
    <t xml:space="preserve">vilvah hair accessories · hair accessories for hair nourishment · natural hair accessories uk</t>
  </si>
  <si>
    <t xml:space="preserve">Vilvah Neem Wood Comb (With Handle) | Swansura UK</t>
  </si>
  <si>
    <t xml:space="preserve">Buy Vilvah Neem Wood Comb (With Handle) online at Swansura, official UK partner of Vilvah. Natural hair accessories. 100% authentic, free UK delivery over £50.</t>
  </si>
  <si>
    <t xml:space="preserve">vilvah neem wood comb(fine and wide tooth)</t>
  </si>
  <si>
    <t xml:space="preserve">vilvah neem wood comb(fine and wide tooth) uk</t>
  </si>
  <si>
    <t xml:space="preserve">buy vilvah neem wood comb(fine and wide tooth) online</t>
  </si>
  <si>
    <t xml:space="preserve">vilvah neem wood comb(fine and wide tooth) price</t>
  </si>
  <si>
    <t xml:space="preserve">Buy Vilvah Neem Wood Comb(Fine and Wide Tooth) online in the UK at Swansura, official UK partner of Vilvah. Natural hair accessories. Free UK delivery over £50.</t>
  </si>
  <si>
    <t xml:space="preserve">vilvah under eye cream (dark circles control)</t>
  </si>
  <si>
    <t xml:space="preserve">vilvah under eye cream (dark circles control) uk</t>
  </si>
  <si>
    <t xml:space="preserve">buy vilvah under eye cream (dark circles control) online</t>
  </si>
  <si>
    <t xml:space="preserve">vilvah under eye cream (dark circles control) price</t>
  </si>
  <si>
    <t xml:space="preserve">vilvah moisturiser · moisturiser for dark circles · natural moisturiser uk</t>
  </si>
  <si>
    <t xml:space="preserve">Buy Vilvah Under Eye Cream (Dark Circles Control) online in the UK at Swansura, official UK partner of Vilvah. Natural moisturiser. Free UK delivery over £50.</t>
  </si>
  <si>
    <t xml:space="preserve">vilvah filter kaapi lip balm</t>
  </si>
  <si>
    <t xml:space="preserve">vilvah filter kaapi lip balm uk</t>
  </si>
  <si>
    <t xml:space="preserve">buy vilvah filter kaapi lip balm online</t>
  </si>
  <si>
    <t xml:space="preserve">vilvah filter kaapi lip balm price</t>
  </si>
  <si>
    <t xml:space="preserve">Vilvah Filter Kaapi Lip Balm | Buy Online UK | Swansura</t>
  </si>
  <si>
    <t xml:space="preserve">Buy Vilvah Filter Kaapi Lip Balm online at Swansura, official UK partner of Vilvah. A natural lip care for dry lips. 100% authentic, free UK delivery over £50.</t>
  </si>
  <si>
    <t xml:space="preserve">10g</t>
  </si>
  <si>
    <t xml:space="preserve">vilvah mango shake lip balm</t>
  </si>
  <si>
    <t xml:space="preserve">vilvah mango shake lip balm uk</t>
  </si>
  <si>
    <t xml:space="preserve">buy vilvah mango shake lip balm online</t>
  </si>
  <si>
    <t xml:space="preserve">vilvah mango shake lip balm price</t>
  </si>
  <si>
    <t xml:space="preserve">Vilvah Mango Shake Lip Balm | Buy Online UK | Swansura</t>
  </si>
  <si>
    <t xml:space="preserve">Buy Vilvah Mango Shake Lip Balm online at Swansura, official UK partner of Vilvah. A natural lip care for dry lips. 100% authentic, free UK delivery over £50.</t>
  </si>
  <si>
    <t xml:space="preserve">vilvah cream bun lip balm</t>
  </si>
  <si>
    <t xml:space="preserve">vilvah cream bun lip balm uk</t>
  </si>
  <si>
    <t xml:space="preserve">buy vilvah cream bun lip balm online</t>
  </si>
  <si>
    <t xml:space="preserve">vilvah cream bun lip balm price</t>
  </si>
  <si>
    <t xml:space="preserve">Vilvah Cream Bun Lip Balm | Buy Online UK | Swansura</t>
  </si>
  <si>
    <t xml:space="preserve">Buy Vilvah Cream Bun Lip Balm online at Swansura, official UK partner of Vilvah. Natural lip care. 100% authentic, shipped from the UK, free delivery over £50.</t>
  </si>
  <si>
    <t xml:space="preserve">Gift Set</t>
  </si>
  <si>
    <t xml:space="preserve">vilvah milk body kit</t>
  </si>
  <si>
    <t xml:space="preserve">vilvah milk body kit uk</t>
  </si>
  <si>
    <t xml:space="preserve">buy vilvah milk body kit online</t>
  </si>
  <si>
    <t xml:space="preserve">vilvah milk body kit price</t>
  </si>
  <si>
    <t xml:space="preserve">vilvah skincare gift set</t>
  </si>
  <si>
    <t xml:space="preserve">Vilvah Milk Body Kit | Official UK Partner | Swansura</t>
  </si>
  <si>
    <t xml:space="preserve">Buy Vilvah Milk Body Kit online at Swansura, official UK partner of Vilvah. Natural gift set. 100% authentic, shipped from the UK, free delivery over £50.</t>
  </si>
  <si>
    <t xml:space="preserve">vilvah foot cream and body lotion kit</t>
  </si>
  <si>
    <t xml:space="preserve">vilvah foot cream and body lotion kit uk</t>
  </si>
  <si>
    <t xml:space="preserve">buy vilvah foot cream and body lotion kit online</t>
  </si>
  <si>
    <t xml:space="preserve">vilvah foot cream and body lotion kit price</t>
  </si>
  <si>
    <t xml:space="preserve">Vilvah Foot Cream and Body Lotion Kit | Swansura UK</t>
  </si>
  <si>
    <t xml:space="preserve">Buy Vilvah Foot Cream and Body Lotion Kit online at Swansura, official UK partner of Vilvah. Natural gift set. 100% authentic, free UK delivery over £50.</t>
  </si>
  <si>
    <t xml:space="preserve">vilvah milk face kit</t>
  </si>
  <si>
    <t xml:space="preserve">vilvah milk face kit uk</t>
  </si>
  <si>
    <t xml:space="preserve">buy vilvah milk face kit online</t>
  </si>
  <si>
    <t xml:space="preserve">vilvah milk face kit price</t>
  </si>
  <si>
    <t xml:space="preserve">Vilvah Milk Face Kit | Official UK Partner | Swansura</t>
  </si>
  <si>
    <t xml:space="preserve">Buy Vilvah Milk Face Kit online at Swansura, official UK partner of Vilvah. Natural gift set. 100% authentic, shipped from the UK, free delivery over £50.</t>
  </si>
  <si>
    <t xml:space="preserve">vilvah oil control kit</t>
  </si>
  <si>
    <t xml:space="preserve">vilvah oil control kit uk</t>
  </si>
  <si>
    <t xml:space="preserve">buy vilvah oil control kit online</t>
  </si>
  <si>
    <t xml:space="preserve">vilvah oil control kit price</t>
  </si>
  <si>
    <t xml:space="preserve">Vilvah Oil Control Kit | Official UK Partner | Swansura</t>
  </si>
  <si>
    <t xml:space="preserve">Buy Vilvah Oil Control Kit online at Swansura, official UK partner of Vilvah. Natural gift set. 100% authentic, shipped from the UK, free delivery over £50.</t>
  </si>
  <si>
    <t xml:space="preserve">vilvah sensitive skin kit</t>
  </si>
  <si>
    <t xml:space="preserve">vilvah sensitive skin kit uk</t>
  </si>
  <si>
    <t xml:space="preserve">buy vilvah sensitive skin kit online</t>
  </si>
  <si>
    <t xml:space="preserve">vilvah sensitive skin kit price</t>
  </si>
  <si>
    <t xml:space="preserve">Vilvah Sensitive Skin Kit | Buy Online UK | Swansura</t>
  </si>
  <si>
    <t xml:space="preserve">Buy Vilvah Sensitive Skin Kit online at Swansura, official UK partner of Vilvah. Natural gift set. 100% authentic, shipped from the UK, free delivery over £50.</t>
  </si>
  <si>
    <t xml:space="preserve">vilvah anti‑acne kit</t>
  </si>
  <si>
    <t xml:space="preserve">vilvah anti‑acne kit uk</t>
  </si>
  <si>
    <t xml:space="preserve">buy vilvah anti‑acne kit online</t>
  </si>
  <si>
    <t xml:space="preserve">vilvah anti‑acne kit price</t>
  </si>
  <si>
    <t xml:space="preserve">Vilvah Anti‑Acne Kit | Official UK Partner | Swansura</t>
  </si>
  <si>
    <t xml:space="preserve">Buy Vilvah Anti‑Acne Kit online in the UK at Swansura, official UK partner of Vilvah. A natural gift set for blemish-prone skin. Free UK delivery over £50.</t>
  </si>
  <si>
    <t xml:space="preserve">vilvah anti‑dandruff haircare kit</t>
  </si>
  <si>
    <t xml:space="preserve">vilvah anti‑dandruff haircare kit uk</t>
  </si>
  <si>
    <t xml:space="preserve">buy vilvah anti‑dandruff haircare kit online</t>
  </si>
  <si>
    <t xml:space="preserve">vilvah anti‑dandruff haircare kit price</t>
  </si>
  <si>
    <t xml:space="preserve">Vilvah Anti‑Dandruff Haircare Kit | Buy Online UK | Swansura</t>
  </si>
  <si>
    <t xml:space="preserve">Buy Vilvah Anti‑Dandruff Haircare Kit online in the UK at Swansura, official UK partner of Vilvah. Natural gift set. 100% authentic, free UK delivery over £50.</t>
  </si>
  <si>
    <t xml:space="preserve">vilvah sun protection kit</t>
  </si>
  <si>
    <t xml:space="preserve">vilvah sun protection kit uk</t>
  </si>
  <si>
    <t xml:space="preserve">buy vilvah sun protection kit online</t>
  </si>
  <si>
    <t xml:space="preserve">vilvah sun protection kit price</t>
  </si>
  <si>
    <t xml:space="preserve">Vilvah Sun Protection Kit | Buy Online UK | Swansura</t>
  </si>
  <si>
    <t xml:space="preserve">Buy Vilvah Sun Protection Kit online at Swansura, official UK partner of Vilvah. Natural gift set. 100% authentic, shipped from the UK, free delivery over £50.</t>
  </si>
  <si>
    <t xml:space="preserve">vilvah skin brightening kit</t>
  </si>
  <si>
    <t xml:space="preserve">vilvah skin brightening kit uk</t>
  </si>
  <si>
    <t xml:space="preserve">buy vilvah skin brightening kit online</t>
  </si>
  <si>
    <t xml:space="preserve">vilvah skin brightening kit price</t>
  </si>
  <si>
    <t xml:space="preserve">Vilvah Skin Brightening Kit | Buy Online UK | Swansura</t>
  </si>
  <si>
    <t xml:space="preserve">Buy Vilvah Skin Brightening Kit online at Swansura, official UK partner of Vilvah. A natural gift set for dull skin. 100% authentic, free UK delivery over £50.</t>
  </si>
  <si>
    <t xml:space="preserve">vilvah night repair kit</t>
  </si>
  <si>
    <t xml:space="preserve">vilvah night repair kit uk</t>
  </si>
  <si>
    <t xml:space="preserve">buy vilvah night repair kit online</t>
  </si>
  <si>
    <t xml:space="preserve">vilvah night repair kit price</t>
  </si>
  <si>
    <t xml:space="preserve">Vilvah Night Repair Kit | Buy Online UK | Swansura</t>
  </si>
  <si>
    <t xml:space="preserve">Buy Vilvah Night Repair Kit online at Swansura, official UK partner of Vilvah. Natural gift set. 100% authentic, shipped from the UK, free delivery over £50.</t>
  </si>
  <si>
    <t xml:space="preserve">vilvah am pm serum kit</t>
  </si>
  <si>
    <t xml:space="preserve">vilvah am pm serum kit uk</t>
  </si>
  <si>
    <t xml:space="preserve">buy vilvah am pm serum kit online</t>
  </si>
  <si>
    <t xml:space="preserve">vilvah am pm serum kit price</t>
  </si>
  <si>
    <t xml:space="preserve">Vilvah AM PM Serum Kit | Official UK Partner | Swansura</t>
  </si>
  <si>
    <t xml:space="preserve">Buy Vilvah AM PM Serum Kit online at Swansura, official UK partner of Vilvah. Natural gift set. 100% authentic, shipped from the UK, free delivery over £50.</t>
  </si>
  <si>
    <t xml:space="preserve">vilvah better ageing kit</t>
  </si>
  <si>
    <t xml:space="preserve">vilvah better ageing kit uk</t>
  </si>
  <si>
    <t xml:space="preserve">buy vilvah better ageing kit online</t>
  </si>
  <si>
    <t xml:space="preserve">vilvah better ageing kit price</t>
  </si>
  <si>
    <t xml:space="preserve">Vilvah Better Ageing Kit | Buy Online UK | Swansura</t>
  </si>
  <si>
    <t xml:space="preserve">Buy Vilvah Better Ageing Kit online at Swansura, official UK partner of Vilvah. A natural gift set for ageing skin. 100% authentic, free UK delivery over £50.</t>
  </si>
  <si>
    <t xml:space="preserve">vilvah am brightening kit</t>
  </si>
  <si>
    <t xml:space="preserve">vilvah am brightening kit uk</t>
  </si>
  <si>
    <t xml:space="preserve">buy vilvah am brightening kit online</t>
  </si>
  <si>
    <t xml:space="preserve">vilvah am brightening kit price</t>
  </si>
  <si>
    <t xml:space="preserve">Vilvah AM Brightening Kit | Buy Online UK | Swansura</t>
  </si>
  <si>
    <t xml:space="preserve">Buy Vilvah AM Brightening Kit online at Swansura, official UK partner of Vilvah. Natural gift set. 100% authentic, shipped from the UK, free delivery over £50.</t>
  </si>
  <si>
    <t xml:space="preserve">vilvah tan protection kit</t>
  </si>
  <si>
    <t xml:space="preserve">vilvah tan protection kit uk</t>
  </si>
  <si>
    <t xml:space="preserve">buy vilvah tan protection kit online</t>
  </si>
  <si>
    <t xml:space="preserve">vilvah tan protection kit price</t>
  </si>
  <si>
    <t xml:space="preserve">Vilvah Tan Protection Kit | Buy Online UK | Swansura</t>
  </si>
  <si>
    <t xml:space="preserve">Buy Vilvah Tan Protection Kit online at Swansura, official UK partner of Vilvah. Natural gift set. 100% authentic, shipped from the UK, free delivery over £50.</t>
  </si>
  <si>
    <t xml:space="preserve">vilvah skin radiance kit</t>
  </si>
  <si>
    <t xml:space="preserve">vilvah skin radiance kit uk</t>
  </si>
  <si>
    <t xml:space="preserve">buy vilvah skin radiance kit online</t>
  </si>
  <si>
    <t xml:space="preserve">vilvah skin radiance kit price</t>
  </si>
  <si>
    <t xml:space="preserve">Vilvah Skin Radiance Kit | Buy Online UK | Swansura</t>
  </si>
  <si>
    <t xml:space="preserve">Buy Vilvah Skin Radiance Kit online at Swansura, official UK partner of Vilvah. Natural gift set. 100% authentic, shipped from the UK, free delivery over £50.</t>
  </si>
  <si>
    <t xml:space="preserve">vilvah pore minimising kit</t>
  </si>
  <si>
    <t xml:space="preserve">vilvah pore minimising kit uk</t>
  </si>
  <si>
    <t xml:space="preserve">buy vilvah pore minimising kit online</t>
  </si>
  <si>
    <t xml:space="preserve">vilvah pore minimising kit price</t>
  </si>
  <si>
    <t xml:space="preserve">Vilvah Pore Minimising Kit | Buy Online UK | Swansura</t>
  </si>
  <si>
    <t xml:space="preserve">Buy Vilvah Pore Minimising Kit online at Swansura, official UK partner of Vilvah. Natural gift set. 100% authentic, shipped from the UK, free delivery over £50.</t>
  </si>
  <si>
    <t xml:space="preserve">vilvah face brightening kit large</t>
  </si>
  <si>
    <t xml:space="preserve">vilvah face brightening kit large uk</t>
  </si>
  <si>
    <t xml:space="preserve">buy vilvah face brightening kit large online</t>
  </si>
  <si>
    <t xml:space="preserve">vilvah face brightening kit large price</t>
  </si>
  <si>
    <t xml:space="preserve">Vilvah Face Brightening Kit Large | Buy Online UK | Swansura</t>
  </si>
  <si>
    <t xml:space="preserve">Buy Vilvah Face Brightening Kit Large online in the UK at Swansura, official UK partner of Vilvah. A natural gift set for dull skin. Free UK delivery over £50.</t>
  </si>
  <si>
    <t xml:space="preserve">vilvah face brightening kit</t>
  </si>
  <si>
    <t xml:space="preserve">vilvah face brightening kit uk</t>
  </si>
  <si>
    <t xml:space="preserve">buy vilvah face brightening kit online</t>
  </si>
  <si>
    <t xml:space="preserve">vilvah face brightening kit price</t>
  </si>
  <si>
    <t xml:space="preserve">Vilvah Face Brightening Kit | Buy Online UK | Swansura</t>
  </si>
  <si>
    <t xml:space="preserve">Buy Vilvah Face Brightening Kit online at Swansura, official UK partner of Vilvah. A natural gift set for dull skin. 100% authentic, free UK delivery over £50.</t>
  </si>
  <si>
    <t xml:space="preserve">vilvah budget skincare combo</t>
  </si>
  <si>
    <t xml:space="preserve">vilvah budget skincare combo uk</t>
  </si>
  <si>
    <t xml:space="preserve">buy vilvah budget skincare combo online</t>
  </si>
  <si>
    <t xml:space="preserve">vilvah budget skincare combo price</t>
  </si>
  <si>
    <t xml:space="preserve">Vilvah Budget Skincare Combo | Buy Online UK | Swansura</t>
  </si>
  <si>
    <t xml:space="preserve">Buy Vilvah Budget Skincare Combo online at Swansura, official UK partner of Vilvah. A natural gift set for dry skin. 100% authentic, free UK delivery over £50.</t>
  </si>
  <si>
    <t xml:space="preserve">vilvah face lift kit</t>
  </si>
  <si>
    <t xml:space="preserve">vilvah face lift kit uk</t>
  </si>
  <si>
    <t xml:space="preserve">buy vilvah face lift kit online</t>
  </si>
  <si>
    <t xml:space="preserve">vilvah face lift kit price</t>
  </si>
  <si>
    <t xml:space="preserve">Vilvah Face Lift Kit | Official UK Partner | Swansura</t>
  </si>
  <si>
    <t xml:space="preserve">Buy Vilvah Face Lift Kit online at Swansura, official UK partner of Vilvah. A natural gift set for ageing skin. 100% authentic, free UK delivery over £50.</t>
  </si>
  <si>
    <t xml:space="preserve">vilvah x annapoorna gift box</t>
  </si>
  <si>
    <t xml:space="preserve">vilvah x annapoorna gift box uk</t>
  </si>
  <si>
    <t xml:space="preserve">buy vilvah x annapoorna gift box online</t>
  </si>
  <si>
    <t xml:space="preserve">vilvah x annapoorna gift box price</t>
  </si>
  <si>
    <t xml:space="preserve">Vilvah X Annapoorna Gift Box | Buy Online UK | Swansura</t>
  </si>
  <si>
    <t xml:space="preserve">Buy Vilvah X Annapoorna Gift Box online in the UK at Swansura, official UK partner of Vilvah. Natural gift set. 100% authentic, free UK delivery over £50.</t>
  </si>
  <si>
    <t xml:space="preserve">vilvah tinted lip balm kit</t>
  </si>
  <si>
    <t xml:space="preserve">vilvah tinted lip balm kit uk</t>
  </si>
  <si>
    <t xml:space="preserve">buy vilvah tinted lip balm kit online</t>
  </si>
  <si>
    <t xml:space="preserve">vilvah tinted lip balm kit price</t>
  </si>
  <si>
    <t xml:space="preserve">Vilvah Tinted Lip Balm Kit | Buy Online UK | Swansura</t>
  </si>
  <si>
    <t xml:space="preserve">Buy Vilvah Tinted Lip Balm Kit online at Swansura, official UK partner of Vilvah. Natural gift set. 100% authentic, shipped from the UK, free delivery over £50.</t>
  </si>
  <si>
    <t xml:space="preserve">vilvah store frizz free hair combo</t>
  </si>
  <si>
    <t xml:space="preserve">vilvah store frizz free hair combo uk</t>
  </si>
  <si>
    <t xml:space="preserve">buy vilvah store frizz free hair combo online</t>
  </si>
  <si>
    <t xml:space="preserve">vilvah store frizz free hair combo price</t>
  </si>
  <si>
    <t xml:space="preserve">Vilvah Store Frizz Free Hair Combo | Swansura UK</t>
  </si>
  <si>
    <t xml:space="preserve">Buy Vilvah Store Frizz Free Hair Combo online in the UK at Swansura, official UK partner of Vilvah. Natural gift set. 100% authentic, free UK delivery over £50.</t>
  </si>
  <si>
    <t xml:space="preserve">vilvah bestseller hair kit</t>
  </si>
  <si>
    <t xml:space="preserve">vilvah bestseller hair kit uk</t>
  </si>
  <si>
    <t xml:space="preserve">buy vilvah bestseller hair kit online</t>
  </si>
  <si>
    <t xml:space="preserve">vilvah bestseller hair kit price</t>
  </si>
  <si>
    <t xml:space="preserve">Vilvah Bestseller Hair Kit | Buy Online UK | Swansura</t>
  </si>
  <si>
    <t xml:space="preserve">Buy Vilvah Bestseller Hair Kit online at Swansura, official UK partner of Vilvah. Natural gift set. 100% authentic, shipped from the UK, free delivery over £50.</t>
  </si>
  <si>
    <t xml:space="preserve">vilvah shampoo and hair serum kit</t>
  </si>
  <si>
    <t xml:space="preserve">vilvah shampoo and hair serum kit uk</t>
  </si>
  <si>
    <t xml:space="preserve">buy vilvah shampoo and hair serum kit online</t>
  </si>
  <si>
    <t xml:space="preserve">vilvah shampoo and hair serum kit price</t>
  </si>
  <si>
    <t xml:space="preserve">Vilvah Shampoo and Hair Serum Kit | Buy Online UK | Swansura</t>
  </si>
  <si>
    <t xml:space="preserve">Buy Vilvah Shampoo and Hair Serum Kit online in the UK at Swansura, official UK partner of Vilvah. 100% authentic, shipped from the UK, free delivery over £50.</t>
  </si>
  <si>
    <t xml:space="preserve">vilvah hair strengthening kit</t>
  </si>
  <si>
    <t xml:space="preserve">vilvah hair strengthening kit uk</t>
  </si>
  <si>
    <t xml:space="preserve">buy vilvah hair strengthening kit online</t>
  </si>
  <si>
    <t xml:space="preserve">vilvah hair strengthening kit price</t>
  </si>
  <si>
    <t xml:space="preserve">Vilvah Hair Strengthening Kit | Buy Online UK | Swansura</t>
  </si>
  <si>
    <t xml:space="preserve">Buy Vilvah Hair Strengthening Kit online in the UK at Swansura, official UK partner of Vilvah. 100% authentic, shipped from the UK, free delivery over £50.</t>
  </si>
  <si>
    <t xml:space="preserve">vilvah lip lightening kit</t>
  </si>
  <si>
    <t xml:space="preserve">vilvah lip lightening kit uk</t>
  </si>
  <si>
    <t xml:space="preserve">buy vilvah lip lightening kit online</t>
  </si>
  <si>
    <t xml:space="preserve">vilvah lip lightening kit price</t>
  </si>
  <si>
    <t xml:space="preserve">Vilvah Lip Lightening Kit | Buy Online UK | Swansura</t>
  </si>
  <si>
    <t xml:space="preserve">Buy Vilvah Lip Lightening Kit online at Swansura, official UK partner of Vilvah. Natural gift set. 100% authentic, shipped from the UK, free delivery over £50.</t>
  </si>
  <si>
    <t xml:space="preserve">vilvah skin hydration kit</t>
  </si>
  <si>
    <t xml:space="preserve">vilvah skin hydration kit uk</t>
  </si>
  <si>
    <t xml:space="preserve">buy vilvah skin hydration kit online</t>
  </si>
  <si>
    <t xml:space="preserve">vilvah skin hydration kit price</t>
  </si>
  <si>
    <t xml:space="preserve">Vilvah Skin Hydration Kit | Buy Online UK | Swansura</t>
  </si>
  <si>
    <t xml:space="preserve">Buy Vilvah Skin Hydration Kit online at Swansura, official UK partner of Vilvah. Natural gift set. 100% authentic, shipped from the UK, free delivery over £50.</t>
  </si>
  <si>
    <t xml:space="preserve">vilvah anti frizz hair kit</t>
  </si>
  <si>
    <t xml:space="preserve">vilvah anti frizz hair kit uk</t>
  </si>
  <si>
    <t xml:space="preserve">buy vilvah anti frizz hair kit online</t>
  </si>
  <si>
    <t xml:space="preserve">vilvah anti frizz hair kit price</t>
  </si>
  <si>
    <t xml:space="preserve">Vilvah Anti Frizz Hair Kit | Buy Online UK | Swansura</t>
  </si>
  <si>
    <t xml:space="preserve">Buy Vilvah Anti Frizz Hair Kit online at Swansura, official UK partner of Vilvah. A natural gift set for frizzy hair. 100% authentic, free UK delivery over £50.</t>
  </si>
  <si>
    <t xml:space="preserve">vilvah body polishing kit</t>
  </si>
  <si>
    <t xml:space="preserve">vilvah body polishing kit uk</t>
  </si>
  <si>
    <t xml:space="preserve">buy vilvah body polishing kit online</t>
  </si>
  <si>
    <t xml:space="preserve">vilvah body polishing kit price</t>
  </si>
  <si>
    <t xml:space="preserve">Vilvah Body Polishing Kit | Buy Online UK | Swansura</t>
  </si>
  <si>
    <t xml:space="preserve">Buy Vilvah Body Polishing Kit online at Swansura, official UK partner of Vilvah. Natural gift set. 100% authentic, shipped from the UK, free delivery over £50.</t>
  </si>
  <si>
    <t xml:space="preserve">vilvah hairfall control kit</t>
  </si>
  <si>
    <t xml:space="preserve">vilvah hairfall control kit uk</t>
  </si>
  <si>
    <t xml:space="preserve">buy vilvah hairfall control kit online</t>
  </si>
  <si>
    <t xml:space="preserve">vilvah hairfall control kit price</t>
  </si>
  <si>
    <t xml:space="preserve">Vilvah Hairfall Control Kit | Buy Online UK | Swansura</t>
  </si>
  <si>
    <t xml:space="preserve">Buy Vilvah Hairfall Control Kit online in the UK at Swansura, official UK partner of Vilvah. A natural gift set for thinning hair. Free UK delivery over £50.</t>
  </si>
  <si>
    <t xml:space="preserve">vilvah goat milk hair kit</t>
  </si>
  <si>
    <t xml:space="preserve">vilvah goat milk hair kit uk</t>
  </si>
  <si>
    <t xml:space="preserve">buy vilvah goat milk hair kit online</t>
  </si>
  <si>
    <t xml:space="preserve">vilvah goat milk hair kit price</t>
  </si>
  <si>
    <t xml:space="preserve">Vilvah Goat Milk Hair Kit | Buy Online UK | Swansura</t>
  </si>
  <si>
    <t xml:space="preserve">Buy Vilvah Goat Milk Hair Kit online at Swansura, official UK partner of Vilvah. Natural gift set. 100% authentic, shipped from the UK, free delivery over £50.</t>
  </si>
  <si>
    <t xml:space="preserve">vilvah everyday care milk kit</t>
  </si>
  <si>
    <t xml:space="preserve">vilvah everyday care milk kit uk</t>
  </si>
  <si>
    <t xml:space="preserve">buy vilvah everyday care milk kit online</t>
  </si>
  <si>
    <t xml:space="preserve">vilvah everyday care milk kit price</t>
  </si>
  <si>
    <t xml:space="preserve">Vilvah Everyday Care Milk Kit | Buy Online UK | Swansura</t>
  </si>
  <si>
    <t xml:space="preserve">Buy Vilvah Everyday Care Milk Kit online in the UK at Swansura, official UK partner of Vilvah. Natural gift set. 100% authentic, free UK delivery over £50.</t>
  </si>
  <si>
    <t xml:space="preserve">vilvah lip nourishing kit</t>
  </si>
  <si>
    <t xml:space="preserve">vilvah lip nourishing kit uk</t>
  </si>
  <si>
    <t xml:space="preserve">buy vilvah lip nourishing kit online</t>
  </si>
  <si>
    <t xml:space="preserve">vilvah lip nourishing kit price</t>
  </si>
  <si>
    <t xml:space="preserve">Vilvah Lip Nourishing Kit | Buy Online UK | Swansura</t>
  </si>
  <si>
    <t xml:space="preserve">Buy Vilvah Lip Nourishing Kit online at Swansura, official UK partner of Vilvah. Natural gift set. 100% authentic, shipped from the UK, free delivery over £50.</t>
  </si>
  <si>
    <t xml:space="preserve">100g</t>
  </si>
  <si>
    <t xml:space="preserve">deyga chocolate body butter</t>
  </si>
  <si>
    <t xml:space="preserve">deyga chocolate body butter uk</t>
  </si>
  <si>
    <t xml:space="preserve">buy deyga chocolate body butter online</t>
  </si>
  <si>
    <t xml:space="preserve">deyga chocolate body butter price</t>
  </si>
  <si>
    <t xml:space="preserve">deyga body butter · body butter for dry skin · natural body butter uk</t>
  </si>
  <si>
    <t xml:space="preserve">Deyga Chocolate Body Butter | Buy Online UK | Swansura</t>
  </si>
  <si>
    <t xml:space="preserve">Buy Deyga Chocolate Body Butter online at Swansura, official UK partner of Deyga. A natural body butter for dry skin. 100% authentic, free UK delivery over £50.</t>
  </si>
  <si>
    <t xml:space="preserve">deyga charcoal detox face mask</t>
  </si>
  <si>
    <t xml:space="preserve">deyga charcoal detox face mask uk</t>
  </si>
  <si>
    <t xml:space="preserve">buy deyga charcoal detox face mask online</t>
  </si>
  <si>
    <t xml:space="preserve">deyga charcoal detox face mask price</t>
  </si>
  <si>
    <t xml:space="preserve">deyga face mask · face mask for oily skin · natural face mask uk</t>
  </si>
  <si>
    <t xml:space="preserve">Deyga Charcoal Detox Face Mask | Buy Online UK | Swansura</t>
  </si>
  <si>
    <t xml:space="preserve">Buy Deyga Charcoal Detox Face Mask online in the UK at Swansura, official UK partner of Deyga. A natural face mask for oily skin. Free UK delivery over £50.</t>
  </si>
  <si>
    <t xml:space="preserve">220ml</t>
  </si>
  <si>
    <t xml:space="preserve">deyga activated charcoal body wash</t>
  </si>
  <si>
    <t xml:space="preserve">deyga activated charcoal body wash uk</t>
  </si>
  <si>
    <t xml:space="preserve">buy deyga activated charcoal body wash online</t>
  </si>
  <si>
    <t xml:space="preserve">deyga activated charcoal body wash price</t>
  </si>
  <si>
    <t xml:space="preserve">deyga body wash · body wash for body cleansing · natural body wash uk</t>
  </si>
  <si>
    <t xml:space="preserve">Deyga Activated Charcoal Body Wash | Swansura UK</t>
  </si>
  <si>
    <t xml:space="preserve">Buy Deyga Activated Charcoal Body Wash online in the UK at Swansura, official UK partner of Deyga. Natural body wash. 100% authentic, free UK delivery over £50.</t>
  </si>
  <si>
    <t xml:space="preserve">deyga body scrub</t>
  </si>
  <si>
    <t xml:space="preserve">deyga body scrub uk</t>
  </si>
  <si>
    <t xml:space="preserve">buy deyga body scrub online</t>
  </si>
  <si>
    <t xml:space="preserve">deyga body scrub price</t>
  </si>
  <si>
    <t xml:space="preserve">deyga body scrub · body scrub for dry skin · natural body scrub uk</t>
  </si>
  <si>
    <t xml:space="preserve">Deyga Body Scrub | Official UK Partner | Swansura</t>
  </si>
  <si>
    <t xml:space="preserve">Buy Deyga Body Scrub online in the UK at Swansura, official UK partner of Deyga. A natural body scrub for dry skin. 100% authentic, free UK delivery over £50.</t>
  </si>
  <si>
    <t xml:space="preserve">30g</t>
  </si>
  <si>
    <t xml:space="preserve">deyga deep moisturising face cream</t>
  </si>
  <si>
    <t xml:space="preserve">deyga deep moisturising face cream uk</t>
  </si>
  <si>
    <t xml:space="preserve">buy deyga deep moisturising face cream online</t>
  </si>
  <si>
    <t xml:space="preserve">deyga deep moisturising face cream price</t>
  </si>
  <si>
    <t xml:space="preserve">deyga moisturiser · moisturiser for dry skin · natural moisturiser uk</t>
  </si>
  <si>
    <t xml:space="preserve">Deyga Deep Moisturising Face Cream | Swansura UK</t>
  </si>
  <si>
    <t xml:space="preserve">Buy Deyga Deep Moisturising Face Cream online in the UK at Swansura, official UK partner of Deyga. 100% authentic, shipped from the UK, free delivery over £50.</t>
  </si>
  <si>
    <t xml:space="preserve">20ml</t>
  </si>
  <si>
    <t xml:space="preserve">deyga 2% hyaluronic acid serum</t>
  </si>
  <si>
    <t xml:space="preserve">deyga 2% hyaluronic acid serum uk</t>
  </si>
  <si>
    <t xml:space="preserve">buy deyga 2% hyaluronic acid serum online</t>
  </si>
  <si>
    <t xml:space="preserve">deyga 2% hyaluronic acid serum price</t>
  </si>
  <si>
    <t xml:space="preserve">deyga face serum · face serum for dull skin · natural face serum uk</t>
  </si>
  <si>
    <t xml:space="preserve">Deyga 2% Hyaluronic Acid Serum | Buy Online UK | Swansura</t>
  </si>
  <si>
    <t xml:space="preserve">Buy Deyga 2% Hyaluronic Acid Serum online at Swansura, official UK partner of Deyga. Natural serum. 100% authentic, shipped from the UK, free delivery over £50.</t>
  </si>
  <si>
    <t xml:space="preserve">deyga orange &amp; almond face pack powder</t>
  </si>
  <si>
    <t xml:space="preserve">deyga orange &amp; almond face pack powder uk</t>
  </si>
  <si>
    <t xml:space="preserve">buy deyga orange &amp; almond face pack powder online</t>
  </si>
  <si>
    <t xml:space="preserve">deyga orange &amp; almond face pack powder price</t>
  </si>
  <si>
    <t xml:space="preserve">deyga skincare · skincare for skin nourishment · natural skincare uk</t>
  </si>
  <si>
    <t xml:space="preserve">Deyga Orange &amp; Almond Face Pack Powder | Swansura UK</t>
  </si>
  <si>
    <t xml:space="preserve">Buy Deyga Orange &amp; Almond Face Pack Powder online in the UK at Swansura, official UK partner of Deyga. Natural skincare treatment. Free UK delivery over £50.</t>
  </si>
  <si>
    <t xml:space="preserve">100ml</t>
  </si>
  <si>
    <t xml:space="preserve">deyga premature greying hair oil</t>
  </si>
  <si>
    <t xml:space="preserve">deyga premature greying hair oil uk</t>
  </si>
  <si>
    <t xml:space="preserve">buy deyga premature greying hair oil online</t>
  </si>
  <si>
    <t xml:space="preserve">deyga premature greying hair oil price</t>
  </si>
  <si>
    <t xml:space="preserve">deyga hair oil · hair oil for dry hair · natural hair oil uk</t>
  </si>
  <si>
    <t xml:space="preserve">Deyga Premature Greying Hair Oil | Buy Online UK | Swansura</t>
  </si>
  <si>
    <t xml:space="preserve">Buy Deyga Premature Greying Hair Oil online in the UK at Swansura, official UK partner of Deyga. 100% authentic, shipped from the UK, free delivery over £50.</t>
  </si>
  <si>
    <t xml:space="preserve">deyga anti-dandruff oil</t>
  </si>
  <si>
    <t xml:space="preserve">deyga anti-dandruff oil uk</t>
  </si>
  <si>
    <t xml:space="preserve">buy deyga anti-dandruff oil online</t>
  </si>
  <si>
    <t xml:space="preserve">deyga anti-dandruff oil price</t>
  </si>
  <si>
    <t xml:space="preserve">deyga hair oil · hair oil for dandruff · natural hair oil uk</t>
  </si>
  <si>
    <t xml:space="preserve">Deyga Anti-dandruff Oil | Buy Online UK | Swansura</t>
  </si>
  <si>
    <t xml:space="preserve">Buy Deyga Anti-dandruff Oil online in the UK at Swansura, official UK partner of Deyga. A natural hair oil for a flake-free scalp. Free UK delivery over £50.</t>
  </si>
  <si>
    <t xml:space="preserve">40g</t>
  </si>
  <si>
    <t xml:space="preserve">deyga rose &amp; geranium body butter</t>
  </si>
  <si>
    <t xml:space="preserve">deyga rose &amp; geranium body butter uk</t>
  </si>
  <si>
    <t xml:space="preserve">buy deyga rose &amp; geranium body butter online</t>
  </si>
  <si>
    <t xml:space="preserve">deyga rose &amp; geranium body butter price</t>
  </si>
  <si>
    <t xml:space="preserve">Deyga Rose &amp; Geranium Body Butter | Buy Online UK | Swansura</t>
  </si>
  <si>
    <t xml:space="preserve">Buy Deyga Rose &amp; Geranium Body Butter online in the UK at Swansura, official UK partner of Deyga. A natural body butter for dry skin. Free UK delivery over £50.</t>
  </si>
  <si>
    <t xml:space="preserve">30ml</t>
  </si>
  <si>
    <t xml:space="preserve">deyga rose glow serum</t>
  </si>
  <si>
    <t xml:space="preserve">deyga rose glow serum uk</t>
  </si>
  <si>
    <t xml:space="preserve">buy deyga rose glow serum online</t>
  </si>
  <si>
    <t xml:space="preserve">deyga rose glow serum price</t>
  </si>
  <si>
    <t xml:space="preserve">Deyga Rose Glow Serum 30ml | Buy Online UK | Swansura</t>
  </si>
  <si>
    <t xml:space="preserve">Buy Deyga Rose Glow Serum online in the UK at Swansura, official UK partner of Deyga. A natural serum for dull skin. 100% authentic, free UK delivery over £50.</t>
  </si>
  <si>
    <t xml:space="preserve">deyga light moisturising face cream</t>
  </si>
  <si>
    <t xml:space="preserve">deyga light moisturising face cream uk</t>
  </si>
  <si>
    <t xml:space="preserve">buy deyga light moisturising face cream online</t>
  </si>
  <si>
    <t xml:space="preserve">deyga light moisturising face cream price</t>
  </si>
  <si>
    <t xml:space="preserve">Deyga Light Moisturising Face Cream | Swansura UK</t>
  </si>
  <si>
    <t xml:space="preserve">Buy Deyga Light Moisturising Face Cream online in the UK at Swansura, official UK partner of Deyga. 100% authentic, shipped from the UK, free delivery over £50.</t>
  </si>
  <si>
    <t xml:space="preserve">160g</t>
  </si>
  <si>
    <t xml:space="preserve">deyga foot soak powder</t>
  </si>
  <si>
    <t xml:space="preserve">deyga foot soak powder uk</t>
  </si>
  <si>
    <t xml:space="preserve">buy deyga foot soak powder online</t>
  </si>
  <si>
    <t xml:space="preserve">deyga foot soak powder price</t>
  </si>
  <si>
    <t xml:space="preserve">deyga body care · body care for dry skin · natural body care uk</t>
  </si>
  <si>
    <t xml:space="preserve">Deyga Foot Soak Powder 160g | Buy Online UK | Swansura</t>
  </si>
  <si>
    <t xml:space="preserve">Buy Deyga Foot Soak Powder online at Swansura, official UK partner of Deyga. Natural body care. 100% authentic, shipped from the UK, free delivery over £50.</t>
  </si>
  <si>
    <t xml:space="preserve">deyga vitamin c foaming face wash</t>
  </si>
  <si>
    <t xml:space="preserve">deyga vitamin c foaming face wash uk</t>
  </si>
  <si>
    <t xml:space="preserve">buy deyga vitamin c foaming face wash online</t>
  </si>
  <si>
    <t xml:space="preserve">deyga vitamin c foaming face wash price</t>
  </si>
  <si>
    <t xml:space="preserve">deyga face wash · face wash for skin nourishment · natural face wash uk</t>
  </si>
  <si>
    <t xml:space="preserve">Deyga Vitamin C Foaming Face Wash | Buy Online UK | Swansura</t>
  </si>
  <si>
    <t xml:space="preserve">Buy Deyga Vitamin C Foaming Face Wash online in the UK at Swansura, official UK partner of Deyga. Natural face wash. 100% authentic, free UK delivery over £50.</t>
  </si>
  <si>
    <t xml:space="preserve">deyga wild berry body wash</t>
  </si>
  <si>
    <t xml:space="preserve">deyga wild berry body wash uk</t>
  </si>
  <si>
    <t xml:space="preserve">buy deyga wild berry body wash online</t>
  </si>
  <si>
    <t xml:space="preserve">deyga wild berry body wash price</t>
  </si>
  <si>
    <t xml:space="preserve">Deyga Wild Berry Body Wash | Buy Online UK | Swansura</t>
  </si>
  <si>
    <t xml:space="preserve">Buy Deyga Wild Berry Body Wash online at Swansura, official UK partner of Deyga. Natural body wash. 100% authentic, shipped from the UK, free delivery over £50.</t>
  </si>
  <si>
    <t xml:space="preserve">deyga neem seed oil</t>
  </si>
  <si>
    <t xml:space="preserve">deyga neem seed oil uk</t>
  </si>
  <si>
    <t xml:space="preserve">buy deyga neem seed oil online</t>
  </si>
  <si>
    <t xml:space="preserve">deyga neem seed oil price</t>
  </si>
  <si>
    <t xml:space="preserve">deyga body oil · body oil for body hydration · natural body oil uk</t>
  </si>
  <si>
    <t xml:space="preserve">Deyga Neem Seed Oil 30ml | Buy Online UK | Swansura</t>
  </si>
  <si>
    <t xml:space="preserve">Buy Deyga Neem Seed Oil online at Swansura, official UK partner of Deyga. A natural body oil for soft, hydrated skin. 100% authentic, free UK delivery over £50.</t>
  </si>
  <si>
    <t xml:space="preserve">15g</t>
  </si>
  <si>
    <t xml:space="preserve">deyga under eye mask</t>
  </si>
  <si>
    <t xml:space="preserve">deyga under eye mask uk</t>
  </si>
  <si>
    <t xml:space="preserve">buy deyga under eye mask online</t>
  </si>
  <si>
    <t xml:space="preserve">deyga under eye mask price</t>
  </si>
  <si>
    <t xml:space="preserve">Deyga Under Eye Mask 15g | Buy Online UK | Swansura</t>
  </si>
  <si>
    <t xml:space="preserve">Buy Deyga Under Eye Mask online in the UK at Swansura, official UK partner of Deyga. A natural skincare treatment for nourished skin. Free UK delivery over £50.</t>
  </si>
  <si>
    <t xml:space="preserve">150g</t>
  </si>
  <si>
    <t xml:space="preserve">deyga spirulina matcha face pack</t>
  </si>
  <si>
    <t xml:space="preserve">deyga spirulina matcha face pack uk</t>
  </si>
  <si>
    <t xml:space="preserve">buy deyga spirulina matcha face pack online</t>
  </si>
  <si>
    <t xml:space="preserve">deyga spirulina matcha face pack price</t>
  </si>
  <si>
    <t xml:space="preserve">Deyga Spirulina Matcha Face Pack | Buy Online UK | Swansura</t>
  </si>
  <si>
    <t xml:space="preserve">Buy Deyga Spirulina Matcha Face Pack online in the UK at Swansura, official UK partner of Deyga. 100% authentic, shipped from the UK, free delivery over £50.</t>
  </si>
  <si>
    <t xml:space="preserve">deyga tea tree facial toner</t>
  </si>
  <si>
    <t xml:space="preserve">deyga tea tree facial toner uk</t>
  </si>
  <si>
    <t xml:space="preserve">buy deyga tea tree facial toner online</t>
  </si>
  <si>
    <t xml:space="preserve">deyga tea tree facial toner price</t>
  </si>
  <si>
    <t xml:space="preserve">deyga toner · toner for skin nourishment · natural toner uk</t>
  </si>
  <si>
    <t xml:space="preserve">Deyga Tea Tree Facial Toner | Buy Online UK | Swansura</t>
  </si>
  <si>
    <t xml:space="preserve">Buy Deyga Tea Tree Facial Toner online at Swansura, official UK partner of Deyga. A natural toner for nourished skin. 100% authentic, free UK delivery over £50.</t>
  </si>
  <si>
    <t xml:space="preserve">deyga tangerine cleansing balm for makeup removal</t>
  </si>
  <si>
    <t xml:space="preserve">deyga tangerine cleansing balm for makeup removal uk</t>
  </si>
  <si>
    <t xml:space="preserve">buy deyga tangerine cleansing balm for makeup removal online</t>
  </si>
  <si>
    <t xml:space="preserve">deyga tangerine cleansing balm for makeup removal price</t>
  </si>
  <si>
    <t xml:space="preserve">deyga skincare · natural skincare uk</t>
  </si>
  <si>
    <t xml:space="preserve">Deyga Tangerine Cleansing Balm for Makeup | Swansura UK</t>
  </si>
  <si>
    <t xml:space="preserve">Buy Deyga Tangerine Cleansing Balm for Makeup Removal online at Swansura, official UK partner of Deyga. A natural skincare treatment for daily sun protection.</t>
  </si>
  <si>
    <t xml:space="preserve">Pack of 1</t>
  </si>
  <si>
    <t xml:space="preserve">deyga organic loofah for body exfoliation</t>
  </si>
  <si>
    <t xml:space="preserve">deyga organic loofah for body exfoliation uk</t>
  </si>
  <si>
    <t xml:space="preserve">buy deyga organic loofah for body exfoliation online</t>
  </si>
  <si>
    <t xml:space="preserve">deyga organic loofah for body exfoliation price</t>
  </si>
  <si>
    <t xml:space="preserve">Buy Deyga Organic Loofah for Body Exfoliation online at Swansura, official UK partner of Deyga. Natural body care. 100% authentic, free UK delivery over £50.</t>
  </si>
  <si>
    <t xml:space="preserve">deyga foot scrub</t>
  </si>
  <si>
    <t xml:space="preserve">deyga foot scrub uk</t>
  </si>
  <si>
    <t xml:space="preserve">buy deyga foot scrub online</t>
  </si>
  <si>
    <t xml:space="preserve">deyga foot scrub price</t>
  </si>
  <si>
    <t xml:space="preserve">Deyga Foot Scrub | Official UK Partner | Swansura</t>
  </si>
  <si>
    <t xml:space="preserve">Buy Deyga Foot Scrub online in the UK at Swansura, official UK partner of Deyga. A natural body scrub for dry skin. 100% authentic, free UK delivery over £50.</t>
  </si>
  <si>
    <t xml:space="preserve">deyga eyebrow growth oil</t>
  </si>
  <si>
    <t xml:space="preserve">deyga eyebrow growth oil uk</t>
  </si>
  <si>
    <t xml:space="preserve">buy deyga eyebrow growth oil online</t>
  </si>
  <si>
    <t xml:space="preserve">deyga eyebrow growth oil price</t>
  </si>
  <si>
    <t xml:space="preserve">Deyga Eyebrow Growth Oil | Buy Online UK | Swansura</t>
  </si>
  <si>
    <t xml:space="preserve">Buy Deyga Eyebrow Growth Oil online in the UK at Swansura, official UK partner of Deyga. Natural skincare treatment. 100% authentic, free UK delivery over £50.</t>
  </si>
  <si>
    <t xml:space="preserve">deyga sunscreen</t>
  </si>
  <si>
    <t xml:space="preserve">deyga sunscreen uk</t>
  </si>
  <si>
    <t xml:space="preserve">buy deyga sunscreen online</t>
  </si>
  <si>
    <t xml:space="preserve">deyga sunscreen price</t>
  </si>
  <si>
    <t xml:space="preserve">deyga sunscreen · natural sunscreen uk</t>
  </si>
  <si>
    <t xml:space="preserve">Deyga Sunscreen | Official UK Partner | Swansura</t>
  </si>
  <si>
    <t xml:space="preserve">Buy Deyga Sunscreen online in the UK at Swansura, official UK partner of Deyga. Natural sunscreen. 100% authentic, shipped from the UK, free delivery over £50.</t>
  </si>
  <si>
    <t xml:space="preserve">8g</t>
  </si>
  <si>
    <t xml:space="preserve">deyga natural lip balm</t>
  </si>
  <si>
    <t xml:space="preserve">deyga natural lip balm uk</t>
  </si>
  <si>
    <t xml:space="preserve">buy deyga natural lip balm online</t>
  </si>
  <si>
    <t xml:space="preserve">deyga natural lip balm price</t>
  </si>
  <si>
    <t xml:space="preserve">deyga lip balm · lip balm for dry lips · natural lip balm uk</t>
  </si>
  <si>
    <t xml:space="preserve">Deyga Natural Lip Balm 8g | Buy Online UK | Swansura</t>
  </si>
  <si>
    <t xml:space="preserve">Buy Deyga Natural Lip Balm online at Swansura, official UK partner of Deyga. Natural lip care. 100% authentic, shipped from the UK, free delivery over £50.</t>
  </si>
  <si>
    <t xml:space="preserve">deyga spinach &amp; cucumber bath bar</t>
  </si>
  <si>
    <t xml:space="preserve">deyga spinach &amp; cucumber bath bar uk</t>
  </si>
  <si>
    <t xml:space="preserve">buy deyga spinach &amp; cucumber bath bar online</t>
  </si>
  <si>
    <t xml:space="preserve">deyga spinach &amp; cucumber bath bar price</t>
  </si>
  <si>
    <t xml:space="preserve">deyga body care · body care for body hydration · natural body care uk</t>
  </si>
  <si>
    <t xml:space="preserve">Deyga Spinach &amp; Cucumber Bath Bar | Buy Online UK | Swansura</t>
  </si>
  <si>
    <t xml:space="preserve">Buy Deyga Spinach &amp; Cucumber Bath Bar online in the UK at Swansura, official UK partner of Deyga. Natural body care. 100% authentic, free UK delivery over £50.</t>
  </si>
  <si>
    <t xml:space="preserve">deyga shea saffron bath bar</t>
  </si>
  <si>
    <t xml:space="preserve">deyga shea saffron bath bar uk</t>
  </si>
  <si>
    <t xml:space="preserve">buy deyga shea saffron bath bar online</t>
  </si>
  <si>
    <t xml:space="preserve">deyga shea saffron bath bar price</t>
  </si>
  <si>
    <t xml:space="preserve">Deyga Shea Saffron Bath Bar | Buy Online UK | Swansura</t>
  </si>
  <si>
    <t xml:space="preserve">Buy Deyga Shea Saffron Bath Bar online in the UK at Swansura, official UK partner of Deyga. Natural body care. 100% authentic, free UK delivery over £50.</t>
  </si>
  <si>
    <t xml:space="preserve">deyga rose pink clay bath bar</t>
  </si>
  <si>
    <t xml:space="preserve">deyga rose pink clay bath bar uk</t>
  </si>
  <si>
    <t xml:space="preserve">buy deyga rose pink clay bath bar online</t>
  </si>
  <si>
    <t xml:space="preserve">deyga rose pink clay bath bar price</t>
  </si>
  <si>
    <t xml:space="preserve">Deyga Rose Pink Clay Bath Bar | Buy Online UK | Swansura</t>
  </si>
  <si>
    <t xml:space="preserve">Buy Deyga Rose Pink Clay Bath Bar online in the UK at Swansura, official UK partner of Deyga. Natural body care. 100% authentic, free UK delivery over £50.</t>
  </si>
  <si>
    <t xml:space="preserve">deyga neem &amp; turmeric bath bar</t>
  </si>
  <si>
    <t xml:space="preserve">deyga neem &amp; turmeric bath bar uk</t>
  </si>
  <si>
    <t xml:space="preserve">buy deyga neem &amp; turmeric bath bar online</t>
  </si>
  <si>
    <t xml:space="preserve">deyga neem &amp; turmeric bath bar price</t>
  </si>
  <si>
    <t xml:space="preserve">Deyga Neem &amp; Turmeric Bath Bar | Buy Online UK | Swansura</t>
  </si>
  <si>
    <t xml:space="preserve">Buy Deyga Neem &amp; Turmeric Bath Bar online in the UK at Swansura, official UK partner of Deyga. Natural body care. 100% authentic, free UK delivery over £50.</t>
  </si>
  <si>
    <t xml:space="preserve">16g</t>
  </si>
  <si>
    <t xml:space="preserve">deyga mint lip scrub</t>
  </si>
  <si>
    <t xml:space="preserve">deyga mint lip scrub uk</t>
  </si>
  <si>
    <t xml:space="preserve">buy deyga mint lip scrub online</t>
  </si>
  <si>
    <t xml:space="preserve">deyga mint lip scrub price</t>
  </si>
  <si>
    <t xml:space="preserve">deyga lip balm · natural lip balm uk</t>
  </si>
  <si>
    <t xml:space="preserve">Deyga Mint Lip Scrub 16g | Buy Online UK | Swansura</t>
  </si>
  <si>
    <t xml:space="preserve">Buy Deyga Mint Lip Scrub online at Swansura, official UK partner of Deyga. Natural lip care. 100% authentic, shipped from the UK, free delivery over £50.</t>
  </si>
  <si>
    <t xml:space="preserve">deyga hair removal powder</t>
  </si>
  <si>
    <t xml:space="preserve">deyga hair removal powder uk</t>
  </si>
  <si>
    <t xml:space="preserve">buy deyga hair removal powder online</t>
  </si>
  <si>
    <t xml:space="preserve">deyga hair removal powder price</t>
  </si>
  <si>
    <t xml:space="preserve">deyga hair treatment · hair treatment for dry hair · natural hair treatment uk</t>
  </si>
  <si>
    <t xml:space="preserve">Deyga Hair Removal Powder | Buy Online UK | Swansura</t>
  </si>
  <si>
    <t xml:space="preserve">Buy Deyga Hair Removal Powder online in the UK at Swansura, official UK partner of Deyga. Natural hair treatment. 100% authentic, free UK delivery over £50.</t>
  </si>
  <si>
    <t xml:space="preserve">deyga oat milk face wash</t>
  </si>
  <si>
    <t xml:space="preserve">deyga oat milk face wash uk</t>
  </si>
  <si>
    <t xml:space="preserve">buy deyga oat milk face wash online</t>
  </si>
  <si>
    <t xml:space="preserve">deyga oat milk face wash price</t>
  </si>
  <si>
    <t xml:space="preserve">deyga face wash · face wash for dry skin · natural face wash uk</t>
  </si>
  <si>
    <t xml:space="preserve">Deyga Oat Milk Face Wash | Buy Online UK | Swansura</t>
  </si>
  <si>
    <t xml:space="preserve">Buy Deyga Oat Milk Face Wash online at Swansura, official UK partner of Deyga. Natural face wash. 100% authentic, shipped from the UK, free delivery over £50.</t>
  </si>
  <si>
    <t xml:space="preserve">deyga almond milk body lotion</t>
  </si>
  <si>
    <t xml:space="preserve">deyga almond milk body lotion uk</t>
  </si>
  <si>
    <t xml:space="preserve">buy deyga almond milk body lotion online</t>
  </si>
  <si>
    <t xml:space="preserve">deyga almond milk body lotion price</t>
  </si>
  <si>
    <t xml:space="preserve">deyga body lotion · body lotion for dry skin · natural body lotion uk</t>
  </si>
  <si>
    <t xml:space="preserve">Deyga Almond Milk Body Lotion | Buy Online UK | Swansura</t>
  </si>
  <si>
    <t xml:space="preserve">Buy Deyga Almond Milk Body Lotion online in the UK at Swansura, official UK partner of Deyga. Natural body lotion. 100% authentic, free UK delivery over £50.</t>
  </si>
  <si>
    <t xml:space="preserve">deyga pure rose water toner</t>
  </si>
  <si>
    <t xml:space="preserve">deyga pure rose water toner uk</t>
  </si>
  <si>
    <t xml:space="preserve">buy deyga pure rose water toner online</t>
  </si>
  <si>
    <t xml:space="preserve">deyga pure rose water toner price</t>
  </si>
  <si>
    <t xml:space="preserve">Deyga Pure Rose Water Toner | Buy Online UK | Swansura</t>
  </si>
  <si>
    <t xml:space="preserve">Buy Deyga Pure Rose Water Toner online at Swansura, official UK partner of Deyga. A natural toner for nourished skin. 100% authentic, free UK delivery over £50.</t>
  </si>
  <si>
    <t xml:space="preserve">50g</t>
  </si>
  <si>
    <t xml:space="preserve">deyga rose &amp; mulethi skin brightening pack</t>
  </si>
  <si>
    <t xml:space="preserve">deyga rose &amp; mulethi skin brightening pack uk</t>
  </si>
  <si>
    <t xml:space="preserve">buy deyga rose &amp; mulethi skin brightening pack online</t>
  </si>
  <si>
    <t xml:space="preserve">deyga rose &amp; mulethi skin brightening pack price</t>
  </si>
  <si>
    <t xml:space="preserve">deyga skincare · skincare for dull skin · natural skincare uk</t>
  </si>
  <si>
    <t xml:space="preserve">Buy Deyga Rose &amp; Mulethi Skin Brightening Pack online at Swansura, official UK partner of Deyga. 100% authentic, shipped from the UK, free delivery over £50.</t>
  </si>
  <si>
    <t xml:space="preserve">5.5g</t>
  </si>
  <si>
    <t xml:space="preserve">deyga beetroot lip balm stick</t>
  </si>
  <si>
    <t xml:space="preserve">deyga beetroot lip balm stick uk</t>
  </si>
  <si>
    <t xml:space="preserve">buy deyga beetroot lip balm stick online</t>
  </si>
  <si>
    <t xml:space="preserve">deyga beetroot lip balm stick price</t>
  </si>
  <si>
    <t xml:space="preserve">Deyga Beetroot Lip Balm Stick | Buy Online UK | Swansura</t>
  </si>
  <si>
    <t xml:space="preserve">Buy Deyga Beetroot Lip Balm Stick online at Swansura, official UK partner of Deyga. A natural lip care for dry lips. 100% authentic, free UK delivery over £50.</t>
  </si>
  <si>
    <t xml:space="preserve">deyga face &amp; body exfoliator powder</t>
  </si>
  <si>
    <t xml:space="preserve">deyga face &amp; body exfoliator powder uk</t>
  </si>
  <si>
    <t xml:space="preserve">buy deyga face &amp; body exfoliator powder online</t>
  </si>
  <si>
    <t xml:space="preserve">deyga face &amp; body exfoliator powder price</t>
  </si>
  <si>
    <t xml:space="preserve">Deyga Face &amp; Body Exfoliator Powder | Swansura UK</t>
  </si>
  <si>
    <t xml:space="preserve">Buy Deyga Face &amp; Body Exfoliator Powder online in the UK at Swansura, official UK partner of Deyga. A natural body care for dry skin. Free UK delivery over £50.</t>
  </si>
  <si>
    <t xml:space="preserve">deyga beautifying serum</t>
  </si>
  <si>
    <t xml:space="preserve">deyga beautifying serum uk</t>
  </si>
  <si>
    <t xml:space="preserve">buy deyga beautifying serum online</t>
  </si>
  <si>
    <t xml:space="preserve">deyga beautifying serum price</t>
  </si>
  <si>
    <t xml:space="preserve">Deyga Beautifying Serum | Buy Online UK | Swansura</t>
  </si>
  <si>
    <t xml:space="preserve">Buy Deyga Beautifying Serum online at Swansura, official UK partner of Deyga. Natural serum. 100% authentic, shipped from the UK, free delivery over £50.</t>
  </si>
  <si>
    <t xml:space="preserve">130g</t>
  </si>
  <si>
    <t xml:space="preserve">deyga charcoal bath bar</t>
  </si>
  <si>
    <t xml:space="preserve">deyga charcoal bath bar uk</t>
  </si>
  <si>
    <t xml:space="preserve">buy deyga charcoal bath bar online</t>
  </si>
  <si>
    <t xml:space="preserve">deyga charcoal bath bar price</t>
  </si>
  <si>
    <t xml:space="preserve">Deyga Charcoal Bath Bar | Buy Online UK | Swansura</t>
  </si>
  <si>
    <t xml:space="preserve">Buy Deyga Charcoal Bath Bar online in the UK at Swansura, official UK partner of Deyga. A natural body care for soft, hydrated skin. Free UK delivery over £50.</t>
  </si>
  <si>
    <t xml:space="preserve">deyga hair growth oil</t>
  </si>
  <si>
    <t xml:space="preserve">deyga hair growth oil uk</t>
  </si>
  <si>
    <t xml:space="preserve">buy deyga hair growth oil online</t>
  </si>
  <si>
    <t xml:space="preserve">deyga hair growth oil price</t>
  </si>
  <si>
    <t xml:space="preserve">deyga hair oil · hair oil for hair loss · natural hair oil uk</t>
  </si>
  <si>
    <t xml:space="preserve">Deyga Hair Growth Oil 100ml | Buy Online UK | Swansura</t>
  </si>
  <si>
    <t xml:space="preserve">Buy Deyga Hair Growth Oil online at Swansura, official UK partner of Deyga. A natural hair oil for thinning hair. 100% authentic, free UK delivery over £50.</t>
  </si>
  <si>
    <t xml:space="preserve">deyga charcoal face wash</t>
  </si>
  <si>
    <t xml:space="preserve">deyga charcoal face wash uk</t>
  </si>
  <si>
    <t xml:space="preserve">buy deyga charcoal face wash online</t>
  </si>
  <si>
    <t xml:space="preserve">deyga charcoal face wash price</t>
  </si>
  <si>
    <t xml:space="preserve">deyga face wash · face wash for oily skin · natural face wash uk</t>
  </si>
  <si>
    <t xml:space="preserve">Deyga Charcoal Face Wash | Buy Online UK | Swansura</t>
  </si>
  <si>
    <t xml:space="preserve">Buy Deyga Charcoal Face Wash online at Swansura, official UK partner of Deyga. Natural face wash. 100% authentic, shipped from the UK, free delivery over £50.</t>
  </si>
  <si>
    <t xml:space="preserve">deyga pure aloe vera gel</t>
  </si>
  <si>
    <t xml:space="preserve">deyga pure aloe vera gel uk</t>
  </si>
  <si>
    <t xml:space="preserve">buy deyga pure aloe vera gel online</t>
  </si>
  <si>
    <t xml:space="preserve">deyga pure aloe vera gel price</t>
  </si>
  <si>
    <t xml:space="preserve">deyga moisturiser · moisturiser for skin nourishment · natural moisturiser uk</t>
  </si>
  <si>
    <t xml:space="preserve">Deyga Pure Aloe Vera Gel | Buy Online UK | Swansura</t>
  </si>
  <si>
    <t xml:space="preserve">Buy Deyga Pure Aloe Vera Gel online at Swansura, official UK partner of Deyga. Natural moisturiser. 100% authentic, shipped from the UK, free delivery over £50.</t>
  </si>
  <si>
    <t xml:space="preserve">deyga plant based hair color – black</t>
  </si>
  <si>
    <t xml:space="preserve">deyga plant based hair color – black uk</t>
  </si>
  <si>
    <t xml:space="preserve">buy deyga plant based hair color – black online</t>
  </si>
  <si>
    <t xml:space="preserve">deyga plant based hair color – black price</t>
  </si>
  <si>
    <t xml:space="preserve">Deyga Plant Based Hair Color | Buy Online UK | Swansura</t>
  </si>
  <si>
    <t xml:space="preserve">Buy Deyga Plant Based Hair Color online in the UK at Swansura, official UK partner of Deyga. Natural hair treatment. 100% authentic, free UK delivery over £50.</t>
  </si>
  <si>
    <t xml:space="preserve">deyga rice water shampoo</t>
  </si>
  <si>
    <t xml:space="preserve">deyga rice water shampoo uk</t>
  </si>
  <si>
    <t xml:space="preserve">buy deyga rice water shampoo online</t>
  </si>
  <si>
    <t xml:space="preserve">deyga rice water shampoo price</t>
  </si>
  <si>
    <t xml:space="preserve">deyga shampoo · shampoo for hair nourishment · natural shampoo uk</t>
  </si>
  <si>
    <t xml:space="preserve">Deyga Rice Water Shampoo | Buy Online UK | Swansura</t>
  </si>
  <si>
    <t xml:space="preserve">Buy Deyga Rice Water Shampoo online at Swansura, official UK partner of Deyga. A natural shampoo for nourished hair. 100% authentic, free UK delivery over £50.</t>
  </si>
  <si>
    <t xml:space="preserve">deyga soy milk conditioner</t>
  </si>
  <si>
    <t xml:space="preserve">deyga soy milk conditioner uk</t>
  </si>
  <si>
    <t xml:space="preserve">buy deyga soy milk conditioner online</t>
  </si>
  <si>
    <t xml:space="preserve">deyga soy milk conditioner price</t>
  </si>
  <si>
    <t xml:space="preserve">deyga conditioner · conditioner for hair nourishment · natural conditioner uk</t>
  </si>
  <si>
    <t xml:space="preserve">Deyga Soy Milk Conditioner | Buy Online UK | Swansura</t>
  </si>
  <si>
    <t xml:space="preserve">Buy Deyga Soy Milk Conditioner online in the UK at Swansura, official UK partner of Deyga. A natural conditioner for nourished hair. Free UK delivery over £50.</t>
  </si>
  <si>
    <t xml:space="preserve">deyga foot butter</t>
  </si>
  <si>
    <t xml:space="preserve">deyga foot butter uk</t>
  </si>
  <si>
    <t xml:space="preserve">buy deyga foot butter online</t>
  </si>
  <si>
    <t xml:space="preserve">deyga foot butter price</t>
  </si>
  <si>
    <t xml:space="preserve">Deyga Foot Butter | Official UK Partner | Swansura</t>
  </si>
  <si>
    <t xml:space="preserve">Buy Deyga Foot Butter online in the UK at Swansura, official UK partner of Deyga. A natural body butter for dry skin. 100% authentic, free UK delivery over £50.</t>
  </si>
  <si>
    <t xml:space="preserve">130 g</t>
  </si>
  <si>
    <t xml:space="preserve">deyga baby bath bar</t>
  </si>
  <si>
    <t xml:space="preserve">deyga baby bath bar uk</t>
  </si>
  <si>
    <t xml:space="preserve">buy deyga baby bath bar online</t>
  </si>
  <si>
    <t xml:space="preserve">deyga baby bath bar price</t>
  </si>
  <si>
    <t xml:space="preserve">Deyga Baby Bath Bar 130g | Buy Online UK | Swansura</t>
  </si>
  <si>
    <t xml:space="preserve">Buy Deyga Baby Bath Bar online in the UK at Swansura, official UK partner of Deyga. A natural body care for soft, hydrated skin. Free UK delivery over £50.</t>
  </si>
  <si>
    <t xml:space="preserve">deyga anti dandruff shampoo</t>
  </si>
  <si>
    <t xml:space="preserve">deyga anti dandruff shampoo uk</t>
  </si>
  <si>
    <t xml:space="preserve">buy deyga anti dandruff shampoo online</t>
  </si>
  <si>
    <t xml:space="preserve">deyga anti dandruff shampoo price</t>
  </si>
  <si>
    <t xml:space="preserve">deyga shampoo · shampoo for dandruff · natural shampoo uk</t>
  </si>
  <si>
    <t xml:space="preserve">Deyga Anti Dandruff Shampoo | Buy Online UK | Swansura</t>
  </si>
  <si>
    <t xml:space="preserve">Buy Deyga Anti Dandruff Shampoo online in the UK at Swansura, official UK partner of Deyga. A natural shampoo for a flake-free scalp. Free UK delivery over £50.</t>
  </si>
  <si>
    <t xml:space="preserve">deyga strawberry lip scrub</t>
  </si>
  <si>
    <t xml:space="preserve">deyga strawberry lip scrub uk</t>
  </si>
  <si>
    <t xml:space="preserve">buy deyga strawberry lip scrub online</t>
  </si>
  <si>
    <t xml:space="preserve">deyga strawberry lip scrub price</t>
  </si>
  <si>
    <t xml:space="preserve">Deyga Strawberry Lip Scrub | Buy Online UK | Swansura</t>
  </si>
  <si>
    <t xml:space="preserve">Buy Deyga Strawberry Lip Scrub online at Swansura, official UK partner of Deyga. Natural lip care. 100% authentic, shipped from the UK, free delivery over £50.</t>
  </si>
  <si>
    <t xml:space="preserve">deyga beetroot lip balm classic</t>
  </si>
  <si>
    <t xml:space="preserve">deyga beetroot lip balm classic uk</t>
  </si>
  <si>
    <t xml:space="preserve">buy deyga beetroot lip balm classic online</t>
  </si>
  <si>
    <t xml:space="preserve">deyga beetroot lip balm classic price</t>
  </si>
  <si>
    <t xml:space="preserve">Deyga Beetroot Lip Balm Classic | Buy Online UK | Swansura</t>
  </si>
  <si>
    <t xml:space="preserve">Buy Deyga Beetroot Lip Balm Classic online in the UK at Swansura, official UK partner of Deyga. Natural lip care. 100% authentic, free UK delivery over £50.</t>
  </si>
  <si>
    <t xml:space="preserve">15 g</t>
  </si>
  <si>
    <t xml:space="preserve">deyga under eye cream</t>
  </si>
  <si>
    <t xml:space="preserve">deyga under eye cream uk</t>
  </si>
  <si>
    <t xml:space="preserve">buy deyga under eye cream online</t>
  </si>
  <si>
    <t xml:space="preserve">deyga under eye cream price</t>
  </si>
  <si>
    <t xml:space="preserve">Deyga Under Eye Cream 15g | Buy Online UK | Swansura</t>
  </si>
  <si>
    <t xml:space="preserve">Buy Deyga Under Eye Cream online at Swansura, official UK partner of Deyga. A natural moisturiser for nourished skin. 100% authentic, free UK delivery over £50.</t>
  </si>
  <si>
    <t xml:space="preserve">deyga 10% vitamin c face serum</t>
  </si>
  <si>
    <t xml:space="preserve">deyga 10% vitamin c face serum uk</t>
  </si>
  <si>
    <t xml:space="preserve">buy deyga 10% vitamin c face serum online</t>
  </si>
  <si>
    <t xml:space="preserve">deyga 10% vitamin c face serum price</t>
  </si>
  <si>
    <t xml:space="preserve">Deyga 10% Vitamin C Face Serum | Buy Online UK | Swansura</t>
  </si>
  <si>
    <t xml:space="preserve">Buy Deyga 10% Vitamin C Face Serum online at Swansura, official UK partner of Deyga. Natural serum. 100% authentic, shipped from the UK, free delivery over £50.</t>
  </si>
  <si>
    <t xml:space="preserve">15G</t>
  </si>
  <si>
    <t xml:space="preserve">deyga natural loose setting powder</t>
  </si>
  <si>
    <t xml:space="preserve">deyga natural loose setting powder uk</t>
  </si>
  <si>
    <t xml:space="preserve">buy deyga natural loose setting powder online</t>
  </si>
  <si>
    <t xml:space="preserve">deyga natural loose setting powder price</t>
  </si>
  <si>
    <t xml:space="preserve">Deyga Natural Loose Setting Powder | Swansura UK</t>
  </si>
  <si>
    <t xml:space="preserve">Buy Deyga Natural Loose Setting Powder online in the UK at Swansura, official UK partner of Deyga. 100% authentic, shipped from the UK, free delivery over £50.</t>
  </si>
  <si>
    <t xml:space="preserve">deyga soft lip combo</t>
  </si>
  <si>
    <t xml:space="preserve">deyga soft lip combo uk</t>
  </si>
  <si>
    <t xml:space="preserve">buy deyga soft lip combo online</t>
  </si>
  <si>
    <t xml:space="preserve">deyga soft lip combo price</t>
  </si>
  <si>
    <t xml:space="preserve">deyga skincare gift set</t>
  </si>
  <si>
    <t xml:space="preserve">Deyga Soft Lip Combo | Official UK Partner | Swansura</t>
  </si>
  <si>
    <t xml:space="preserve">Buy Deyga Soft Lip Combo online in the UK at Swansura, official UK partner of Deyga. A natural gift set for dry lips. 100% authentic, free UK delivery over £50.</t>
  </si>
  <si>
    <t xml:space="preserve">deyga vitamin c daily glow combo</t>
  </si>
  <si>
    <t xml:space="preserve">deyga vitamin c daily glow combo uk</t>
  </si>
  <si>
    <t xml:space="preserve">buy deyga vitamin c daily glow combo online</t>
  </si>
  <si>
    <t xml:space="preserve">deyga vitamin c daily glow combo price</t>
  </si>
  <si>
    <t xml:space="preserve">Deyga Vitamin C Daily Glow Combo | Buy Online UK | Swansura</t>
  </si>
  <si>
    <t xml:space="preserve">Buy Deyga Vitamin C Daily Glow Combo online in the UK at Swansura, official UK partner of Deyga. Natural gift set. 100% authentic, free UK delivery over £50.</t>
  </si>
  <si>
    <t xml:space="preserve">deyga acne relief combo</t>
  </si>
  <si>
    <t xml:space="preserve">deyga acne relief combo uk</t>
  </si>
  <si>
    <t xml:space="preserve">buy deyga acne relief combo online</t>
  </si>
  <si>
    <t xml:space="preserve">deyga acne relief combo price</t>
  </si>
  <si>
    <t xml:space="preserve">Deyga Acne Relief Combo | Buy Online UK | Swansura</t>
  </si>
  <si>
    <t xml:space="preserve">Buy Deyga Acne Relief Combo online in the UK at Swansura, official UK partner of Deyga. A natural gift set for blemish-prone skin. Free UK delivery over £50.</t>
  </si>
  <si>
    <t xml:space="preserve">deyga acne vanishing combo</t>
  </si>
  <si>
    <t xml:space="preserve">deyga acne vanishing combo uk</t>
  </si>
  <si>
    <t xml:space="preserve">buy deyga acne vanishing combo online</t>
  </si>
  <si>
    <t xml:space="preserve">deyga acne vanishing combo price</t>
  </si>
  <si>
    <t xml:space="preserve">Deyga Acne Vanishing Combo | Buy Online UK | Swansura</t>
  </si>
  <si>
    <t xml:space="preserve">Buy Deyga Acne Vanishing Combo online in the UK at Swansura, official UK partner of Deyga. A natural gift set for blemish-prone skin. Free UK delivery over £50.</t>
  </si>
  <si>
    <t xml:space="preserve">deyga mini foot spa combo</t>
  </si>
  <si>
    <t xml:space="preserve">deyga mini foot spa combo uk</t>
  </si>
  <si>
    <t xml:space="preserve">buy deyga mini foot spa combo online</t>
  </si>
  <si>
    <t xml:space="preserve">deyga mini foot spa combo price</t>
  </si>
  <si>
    <t xml:space="preserve">Deyga Mini Foot Spa Combo | Buy Online UK | Swansura</t>
  </si>
  <si>
    <t xml:space="preserve">Buy Deyga Mini Foot Spa Combo online at Swansura, official UK partner of Deyga. Natural gift set. 100% authentic, shipped from the UK, free delivery over £50.</t>
  </si>
  <si>
    <t xml:space="preserve">deyga daily essential kit</t>
  </si>
  <si>
    <t xml:space="preserve">deyga daily essential kit uk</t>
  </si>
  <si>
    <t xml:space="preserve">buy deyga daily essential kit online</t>
  </si>
  <si>
    <t xml:space="preserve">deyga daily essential kit price</t>
  </si>
  <si>
    <t xml:space="preserve">Deyga Daily Essential Kit | Buy Online UK | Swansura</t>
  </si>
  <si>
    <t xml:space="preserve">Buy Deyga Daily Essential Kit online in the UK at Swansura, official UK partner of Deyga. A natural gift set for soft, hydrated skin. Free UK delivery over £50.</t>
  </si>
  <si>
    <t xml:space="preserve">deyga clear skin kit</t>
  </si>
  <si>
    <t xml:space="preserve">deyga clear skin kit uk</t>
  </si>
  <si>
    <t xml:space="preserve">buy deyga clear skin kit online</t>
  </si>
  <si>
    <t xml:space="preserve">deyga clear skin kit price</t>
  </si>
  <si>
    <t xml:space="preserve">Deyga Clear Skin Kit | Official UK Partner | Swansura</t>
  </si>
  <si>
    <t xml:space="preserve">Buy Deyga Clear Skin Kit online in the UK at Swansura, official UK partner of Deyga. A natural gift set for dry skin. 100% authentic, free UK delivery over £50.</t>
  </si>
  <si>
    <t xml:space="preserve">deyga best selling face care kit</t>
  </si>
  <si>
    <t xml:space="preserve">deyga best selling face care kit uk</t>
  </si>
  <si>
    <t xml:space="preserve">buy deyga best selling face care kit online</t>
  </si>
  <si>
    <t xml:space="preserve">deyga best selling face care kit price</t>
  </si>
  <si>
    <t xml:space="preserve">Deyga Best Selling Face Care Kit | Buy Online UK | Swansura</t>
  </si>
  <si>
    <t xml:space="preserve">Buy Deyga Best Selling Face Care Kit online in the UK at Swansura, official UK partner of Deyga. Natural gift set. 100% authentic, free UK delivery over £50.</t>
  </si>
  <si>
    <t xml:space="preserve">deyga instant hair removal kit</t>
  </si>
  <si>
    <t xml:space="preserve">deyga instant hair removal kit uk</t>
  </si>
  <si>
    <t xml:space="preserve">buy deyga instant hair removal kit online</t>
  </si>
  <si>
    <t xml:space="preserve">deyga instant hair removal kit price</t>
  </si>
  <si>
    <t xml:space="preserve">Deyga Instant Hair Removal Kit | Buy Online UK | Swansura</t>
  </si>
  <si>
    <t xml:space="preserve">Buy Deyga Instant Hair Removal Kit online in the UK at Swansura, official UK partner of Deyga. 100% authentic, shipped from the UK, free delivery over £50.</t>
  </si>
  <si>
    <t xml:space="preserve">deyga instant hair removal kit with toner</t>
  </si>
  <si>
    <t xml:space="preserve">deyga instant hair removal kit with toner uk</t>
  </si>
  <si>
    <t xml:space="preserve">buy deyga instant hair removal kit with toner online</t>
  </si>
  <si>
    <t xml:space="preserve">deyga instant hair removal kit with toner price</t>
  </si>
  <si>
    <t xml:space="preserve">Buy Deyga Instant Hair Removal Kit with Toner online at Swansura, official UK partner of Deyga. 100% authentic, shipped from the UK, free delivery over £50.</t>
  </si>
  <si>
    <t xml:space="preserve">deyga healthy glow kit</t>
  </si>
  <si>
    <t xml:space="preserve">deyga healthy glow kit uk</t>
  </si>
  <si>
    <t xml:space="preserve">buy deyga healthy glow kit online</t>
  </si>
  <si>
    <t xml:space="preserve">deyga healthy glow kit price</t>
  </si>
  <si>
    <t xml:space="preserve">Deyga Healthy Glow Kit | Official UK Partner | Swansura</t>
  </si>
  <si>
    <t xml:space="preserve">Buy Deyga Healthy Glow Kit online in the UK at Swansura, official UK partner of Deyga. A natural gift set for soft, hydrated skin. Free UK delivery over £50.</t>
  </si>
  <si>
    <t xml:space="preserve">deyga hair nourishment kit</t>
  </si>
  <si>
    <t xml:space="preserve">deyga hair nourishment kit uk</t>
  </si>
  <si>
    <t xml:space="preserve">buy deyga hair nourishment kit online</t>
  </si>
  <si>
    <t xml:space="preserve">deyga hair nourishment kit price</t>
  </si>
  <si>
    <t xml:space="preserve">Deyga Hair Nourishment Kit | Buy Online UK | Swansura</t>
  </si>
  <si>
    <t xml:space="preserve">Buy Deyga Hair Nourishment Kit online at Swansura, official UK partner of Deyga. Natural gift set. 100% authentic, shipped from the UK, free delivery over £50.</t>
  </si>
  <si>
    <t xml:space="preserve">deyga sensitive skin kit</t>
  </si>
  <si>
    <t xml:space="preserve">deyga sensitive skin kit uk</t>
  </si>
  <si>
    <t xml:space="preserve">buy deyga sensitive skin kit online</t>
  </si>
  <si>
    <t xml:space="preserve">deyga sensitive skin kit price</t>
  </si>
  <si>
    <t xml:space="preserve">Deyga Sensitive Skin Kit | Buy Online UK | Swansura</t>
  </si>
  <si>
    <t xml:space="preserve">Buy Deyga Sensitive Skin Kit online at Swansura, official UK partner of Deyga. Natural gift set. 100% authentic, shipped from the UK, free delivery over £50.</t>
  </si>
  <si>
    <t xml:space="preserve">deyga abc kit</t>
  </si>
  <si>
    <t xml:space="preserve">deyga abc kit uk</t>
  </si>
  <si>
    <t xml:space="preserve">buy deyga abc kit online</t>
  </si>
  <si>
    <t xml:space="preserve">deyga abc kit price</t>
  </si>
  <si>
    <t xml:space="preserve">Deyga ABC Kit | Official UK Partner | Swansura</t>
  </si>
  <si>
    <t xml:space="preserve">Buy Deyga ABC Kit online in the UK at Swansura, official UK partner of Deyga. Natural gift set. 100% authentic, shipped from the UK, free delivery over £50.</t>
  </si>
  <si>
    <t xml:space="preserve">deyga hydro boosting skin care kit</t>
  </si>
  <si>
    <t xml:space="preserve">deyga hydro boosting skin care kit uk</t>
  </si>
  <si>
    <t xml:space="preserve">buy deyga hydro boosting skin care kit online</t>
  </si>
  <si>
    <t xml:space="preserve">deyga hydro boosting skin care kit price</t>
  </si>
  <si>
    <t xml:space="preserve">Deyga Hydro Boosting Skin Care Kit | Swansura UK</t>
  </si>
  <si>
    <t xml:space="preserve">Buy Deyga Hydro Boosting Skin Care Kit online in the UK at Swansura, official UK partner of Deyga. Natural gift set. 100% authentic, free UK delivery over £50.</t>
  </si>
  <si>
    <t xml:space="preserve">deyga hair care kit</t>
  </si>
  <si>
    <t xml:space="preserve">deyga hair care kit uk</t>
  </si>
  <si>
    <t xml:space="preserve">buy deyga hair care kit online</t>
  </si>
  <si>
    <t xml:space="preserve">deyga hair care kit price</t>
  </si>
  <si>
    <t xml:space="preserve">Deyga Hair Care Kit | Official UK Partner | Swansura</t>
  </si>
  <si>
    <t xml:space="preserve">Buy Deyga Hair Care Kit online at Swansura, official UK partner of Deyga. Natural gift set. 100% authentic, shipped from the UK, free delivery over £50.</t>
  </si>
  <si>
    <t xml:space="preserve">deyga hair strengthening kit</t>
  </si>
  <si>
    <t xml:space="preserve">deyga hair strengthening kit uk</t>
  </si>
  <si>
    <t xml:space="preserve">buy deyga hair strengthening kit online</t>
  </si>
  <si>
    <t xml:space="preserve">deyga hair strengthening kit price</t>
  </si>
  <si>
    <t xml:space="preserve">Deyga Hair Strengthening Kit | Buy Online UK | Swansura</t>
  </si>
  <si>
    <t xml:space="preserve">Buy Deyga Hair Strengthening Kit online in the UK at Swansura, official UK partner of Deyga. 100% authentic, shipped from the UK, free delivery over £50.</t>
  </si>
  <si>
    <t xml:space="preserve">deyga nourished lip care kit</t>
  </si>
  <si>
    <t xml:space="preserve">deyga nourished lip care kit uk</t>
  </si>
  <si>
    <t xml:space="preserve">buy deyga nourished lip care kit online</t>
  </si>
  <si>
    <t xml:space="preserve">deyga nourished lip care kit price</t>
  </si>
  <si>
    <t xml:space="preserve">Deyga Nourished Lip Care Kit | Buy Online UK | Swansura</t>
  </si>
  <si>
    <t xml:space="preserve">Buy Deyga Nourished Lip Care Kit online at Swansura, official UK partner of Deyga. A natural gift set for dry lips. 100% authentic, free UK delivery over £50.</t>
  </si>
  <si>
    <t xml:space="preserve">deyga natural hair care kit</t>
  </si>
  <si>
    <t xml:space="preserve">deyga natural hair care kit uk</t>
  </si>
  <si>
    <t xml:space="preserve">buy deyga natural hair care kit online</t>
  </si>
  <si>
    <t xml:space="preserve">deyga natural hair care kit price</t>
  </si>
  <si>
    <t xml:space="preserve">Deyga Natural Hair Care Kit | Buy Online UK | Swansura</t>
  </si>
  <si>
    <t xml:space="preserve">Buy Deyga Natural Hair Care Kit online at Swansura, official UK partner of Deyga. Natural gift set. 100% authentic, shipped from the UK, free delivery over £50.</t>
  </si>
  <si>
    <t xml:space="preserve">deyga double hydration kit</t>
  </si>
  <si>
    <t xml:space="preserve">deyga double hydration kit uk</t>
  </si>
  <si>
    <t xml:space="preserve">buy deyga double hydration kit online</t>
  </si>
  <si>
    <t xml:space="preserve">deyga double hydration kit price</t>
  </si>
  <si>
    <t xml:space="preserve">Deyga Double Hydration Kit | Buy Online UK | Swansura</t>
  </si>
  <si>
    <t xml:space="preserve">Buy Deyga Double Hydration Kit online at Swansura, official UK partner of Deyga. Natural gift set. 100% authentic, shipped from the UK, free delivery over £50.</t>
  </si>
  <si>
    <t xml:space="preserve">deyga nourished lips stick kit</t>
  </si>
  <si>
    <t xml:space="preserve">deyga nourished lips stick kit uk</t>
  </si>
  <si>
    <t xml:space="preserve">buy deyga nourished lips stick kit online</t>
  </si>
  <si>
    <t xml:space="preserve">deyga nourished lips stick kit price</t>
  </si>
  <si>
    <t xml:space="preserve">Deyga Nourished Lips Stick Kit | Buy Online UK | Swansura</t>
  </si>
  <si>
    <t xml:space="preserve">Buy Deyga Nourished Lips Stick Kit online at Swansura, official UK partner of Deyga. A natural gift set for dry lips. 100% authentic, free UK delivery over £50.</t>
  </si>
  <si>
    <t xml:space="preserve">deyga de- tan &amp; pigmentation kit</t>
  </si>
  <si>
    <t xml:space="preserve">deyga de- tan &amp; pigmentation kit uk</t>
  </si>
  <si>
    <t xml:space="preserve">buy deyga de- tan &amp; pigmentation kit online</t>
  </si>
  <si>
    <t xml:space="preserve">deyga de- tan &amp; pigmentation kit price</t>
  </si>
  <si>
    <t xml:space="preserve">Deyga De- Tan &amp; Pigmentation Kit | Buy Online UK | Swansura</t>
  </si>
  <si>
    <t xml:space="preserve">Buy Deyga De- Tan &amp; Pigmentation Kit online at Swansura, official UK partner of Deyga. A natural gift set for daily sun protection. Free UK delivery over £50.</t>
  </si>
  <si>
    <t xml:space="preserve">deyga game changer face care kit</t>
  </si>
  <si>
    <t xml:space="preserve">deyga game changer face care kit uk</t>
  </si>
  <si>
    <t xml:space="preserve">buy deyga game changer face care kit online</t>
  </si>
  <si>
    <t xml:space="preserve">deyga game changer face care kit price</t>
  </si>
  <si>
    <t xml:space="preserve">Deyga Game Changer Face Care Kit | Buy Online UK | Swansura</t>
  </si>
  <si>
    <t xml:space="preserve">Buy Deyga Game Changer Face Care Kit online in the UK at Swansura, official UK partner of Deyga. Natural gift set. 100% authentic, free UK delivery over £50.</t>
  </si>
  <si>
    <t xml:space="preserve">deyga daily use healthy hair kit</t>
  </si>
  <si>
    <t xml:space="preserve">deyga daily use healthy hair kit uk</t>
  </si>
  <si>
    <t xml:space="preserve">buy deyga daily use healthy hair kit online</t>
  </si>
  <si>
    <t xml:space="preserve">deyga daily use healthy hair kit price</t>
  </si>
  <si>
    <t xml:space="preserve">Deyga Daily Use Healthy Hair Kit | Buy Online UK | Swansura</t>
  </si>
  <si>
    <t xml:space="preserve">Buy Deyga Daily Use Healthy Hair Kit online in the UK at Swansura, official UK partner of Deyga. 100% authentic, shipped from the UK, free delivery over £50.</t>
  </si>
  <si>
    <t xml:space="preserve">FR-001</t>
  </si>
  <si>
    <t xml:space="preserve">Fragrance Catalogue</t>
  </si>
  <si>
    <t xml:space="preserve">Abercrombie&amp; fitch</t>
  </si>
  <si>
    <t xml:space="preserve">Spelling: Abercrombie &amp; Fitch</t>
  </si>
  <si>
    <t xml:space="preserve">Fragrance</t>
  </si>
  <si>
    <t xml:space="preserve">Eau de Parfum (EDP)</t>
  </si>
  <si>
    <t xml:space="preserve">Floral · Women's Fragrance</t>
  </si>
  <si>
    <t xml:space="preserve">Abercrombie &amp; Fitch First Instinct Together Eau de Parfum 100ml – Women's Fruity Floral Fragrance</t>
  </si>
  <si>
    <t xml:space="preserve">abercrombie &amp; fitch first instinct together</t>
  </si>
  <si>
    <t xml:space="preserve">abercrombie &amp; fitch first instinct together uk</t>
  </si>
  <si>
    <t xml:space="preserve">buy abercrombie &amp; fitch first instinct together online</t>
  </si>
  <si>
    <t xml:space="preserve">abercrombie &amp; fitch first instinct together price</t>
  </si>
  <si>
    <t xml:space="preserve">abercrombie &amp; fitch first instinct together eau de parfum</t>
  </si>
  <si>
    <t xml:space="preserve">abercrombie &amp; fitch perfume · abercrombie &amp; fitch perfume for women · floral perfume for women uk</t>
  </si>
  <si>
    <t xml:space="preserve">abercrombie &amp; fitch first instinct together men · abercrombie &amp; fitch first instinct together women</t>
  </si>
  <si>
    <t xml:space="preserve">Abercrombie &amp; Fitch First Instinct Together Eau de Parfum</t>
  </si>
  <si>
    <t xml:space="preserve">Abercrombie &amp; Fitch First Instinct Together | Swansura UK</t>
  </si>
  <si>
    <t xml:space="preserve">Buy Abercrombie &amp; Fitch First Instinct Together Eau de Parfum at Swansura UK. A floral women's eau de parfum, 100ml. 100% authentic, free UK delivery over £50.</t>
  </si>
  <si>
    <t xml:space="preserve">FR-002</t>
  </si>
  <si>
    <t xml:space="preserve">Abercrombie &amp; Fitch Naturally Fierce Eau de Parfum 50ml – Women's Floral Woody Fragrance</t>
  </si>
  <si>
    <t xml:space="preserve">abercrombie &amp; fitch naturally fierce</t>
  </si>
  <si>
    <t xml:space="preserve">abercrombie &amp; fitch naturally fierce uk</t>
  </si>
  <si>
    <t xml:space="preserve">buy abercrombie &amp; fitch naturally fierce online</t>
  </si>
  <si>
    <t xml:space="preserve">abercrombie &amp; fitch naturally fierce price</t>
  </si>
  <si>
    <t xml:space="preserve">abercrombie &amp; fitch naturally fierce eau de parfum</t>
  </si>
  <si>
    <t xml:space="preserve">abercrombie &amp; fitch naturally fierce eau de parfum · abercrombie &amp; fitch naturally fierce edp 100ml · abercrombie &amp; fitch naturally fierce edp · abercrombie &amp; fitch naturally fierce eau de parfum 100ml · abercrombie &amp; fitch naturally fierce edp 50ml · abercrombie &amp; fitch naturally fierce eau de parfum 30ml</t>
  </si>
  <si>
    <t xml:space="preserve">Abercrombie &amp; Fitch Naturally Fierce Eau de Parfum</t>
  </si>
  <si>
    <t xml:space="preserve">Abercrombie &amp; Fitch Naturally Fierce EDP 50ml | Swansura UK</t>
  </si>
  <si>
    <t xml:space="preserve">Buy Abercrombie &amp; Fitch Naturally Fierce Eau de Parfum online in the UK at Swansura. A floral women's eau de parfum. 100% authentic, free UK delivery over £50.</t>
  </si>
  <si>
    <t xml:space="preserve">FR-003</t>
  </si>
  <si>
    <t xml:space="preserve">Acqua di Parma</t>
  </si>
  <si>
    <t xml:space="preserve">Eau de Cologne (EDC)</t>
  </si>
  <si>
    <t xml:space="preserve">Citrus · Unisex Fragrance</t>
  </si>
  <si>
    <t xml:space="preserve">Acqua di Parma Colonia Pura Eau de Cologne 20ml Unisex</t>
  </si>
  <si>
    <t xml:space="preserve">acqua di parma colonia pura</t>
  </si>
  <si>
    <t xml:space="preserve">acqua di parma colonia pura uk</t>
  </si>
  <si>
    <t xml:space="preserve">buy acqua di parma colonia pura online</t>
  </si>
  <si>
    <t xml:space="preserve">acqua di parma colonia pura price</t>
  </si>
  <si>
    <t xml:space="preserve">acqua di parma colonia pura eau de cologne</t>
  </si>
  <si>
    <t xml:space="preserve">acqua di parma perfume · citrus perfume uk</t>
  </si>
  <si>
    <t xml:space="preserve">acqua di parma colonia pura review · acqua di parma colonia pura 100ml · acqua di parma colonia pura 50ml · acqua di parma colonia pura notes</t>
  </si>
  <si>
    <t xml:space="preserve">Acqua di Parma Colonia Pura Eau de Cologne Unisex</t>
  </si>
  <si>
    <t xml:space="preserve">Acqua di Parma Colonia Pura Unisex 20ml | Swansura UK</t>
  </si>
  <si>
    <t xml:space="preserve">Buy Acqua di Parma Colonia Pura Eau de Cologne Unisex online in the UK at Swansura. A citrus unisex fragrance, 20ml. 100% authentic, free UK delivery over £50.</t>
  </si>
  <si>
    <t xml:space="preserve">FR-004</t>
  </si>
  <si>
    <t xml:space="preserve">Acqua di Parma Colonia Essenza Deodorant Stick 75ml</t>
  </si>
  <si>
    <t xml:space="preserve">75ml</t>
  </si>
  <si>
    <t xml:space="preserve">acqua di parma colonia essenza deodorant stick</t>
  </si>
  <si>
    <t xml:space="preserve">acqua di parma colonia essenza deodorant stick uk</t>
  </si>
  <si>
    <t xml:space="preserve">buy acqua di parma colonia essenza deodorant stick online</t>
  </si>
  <si>
    <t xml:space="preserve">acqua di parma colonia essenza deodorant stick price</t>
  </si>
  <si>
    <t xml:space="preserve">acqua di parma colonia essenza deodorant stick 75ml · acqua di parma colonia essenza deodorant stick review · acqua di parma colonia essenza review</t>
  </si>
  <si>
    <t xml:space="preserve">Acqua di Parma Colonia Essenza Deodorant Stick</t>
  </si>
  <si>
    <t xml:space="preserve">Acqua di Parma Colonia Essenza Deodorant Stick | Swansura UK</t>
  </si>
  <si>
    <t xml:space="preserve">Buy Acqua di Parma Colonia Essenza Deodorant Stick online in the UK at Swansura. A citrus unisex fragrance, 75ml. 100% authentic, free UK delivery over £50.</t>
  </si>
  <si>
    <t xml:space="preserve">FR-005</t>
  </si>
  <si>
    <t xml:space="preserve">Oud · Men's Fragrance</t>
  </si>
  <si>
    <t xml:space="preserve">Acqua di Parma Oud &amp; Spice EDP 20ml for Men</t>
  </si>
  <si>
    <t xml:space="preserve">acqua di parma oud &amp; spice</t>
  </si>
  <si>
    <t xml:space="preserve">acqua di parma oud &amp; spice uk</t>
  </si>
  <si>
    <t xml:space="preserve">buy acqua di parma oud &amp; spice online</t>
  </si>
  <si>
    <t xml:space="preserve">acqua di parma oud &amp; spice price</t>
  </si>
  <si>
    <t xml:space="preserve">acqua di parma oud &amp; spice edp</t>
  </si>
  <si>
    <t xml:space="preserve">acqua di parma perfume · acqua di parma perfume for men · oud perfume for men uk</t>
  </si>
  <si>
    <t xml:space="preserve">acqua di parma oud &amp; spice eau de parfum · acqua di parma oud &amp; spice review · acqua di parma oud &amp; spice 100ml · acqua di parma oud &amp; spice edp · acqua di parma oud spice 180ml · acqua di parma oud spice 50ml</t>
  </si>
  <si>
    <t xml:space="preserve">Acqua di Parma Oud &amp; Spice EDP for Men</t>
  </si>
  <si>
    <t xml:space="preserve">Acqua di Parma Oud &amp; Spice EDP for Men | Swansura UK</t>
  </si>
  <si>
    <t xml:space="preserve">Buy Acqua di Parma Oud &amp; Spice EDP for Men online in the UK at Swansura. An oud men's eau de parfum, 20ml. 100% authentic, fast UK delivery, free over £50.</t>
  </si>
  <si>
    <t xml:space="preserve">Woody · Women's Fragrance</t>
  </si>
  <si>
    <t xml:space="preserve">acqua di parma rosa nobile</t>
  </si>
  <si>
    <t xml:space="preserve">acqua di parma rosa nobile uk</t>
  </si>
  <si>
    <t xml:space="preserve">buy acqua di parma rosa nobile online</t>
  </si>
  <si>
    <t xml:space="preserve">acqua di parma rosa nobile price</t>
  </si>
  <si>
    <t xml:space="preserve">acqua di parma rosa nobile edp</t>
  </si>
  <si>
    <t xml:space="preserve">acqua di parma perfume · acqua di parma perfume for women · woody perfume for women uk</t>
  </si>
  <si>
    <t xml:space="preserve">acqua di parma rosa nobile eau de parfum · acqua di parma rosa nobile 100ml · acqua di parma rosa nobile price · acqua di parma rosa nobile review · acqua di parma rosa nobile dupe · acqua di parma rosa nobile notes</t>
  </si>
  <si>
    <t xml:space="preserve">Acqua di Parma Rosa Nobile EDP for Women</t>
  </si>
  <si>
    <t xml:space="preserve">Acqua di Parma Rosa Nobile EDP for Women | Swansura UK</t>
  </si>
  <si>
    <t xml:space="preserve">Buy Acqua di Parma Rosa Nobile EDP for Women online in the UK at Swansura. A woody women's eau de parfum, 20ml. 100% authentic, fast UK delivery, free over £50.</t>
  </si>
  <si>
    <t xml:space="preserve">Floral · Unisex Fragrance</t>
  </si>
  <si>
    <t xml:space="preserve">acqua di parma sakura</t>
  </si>
  <si>
    <t xml:space="preserve">acqua di parma sakura uk</t>
  </si>
  <si>
    <t xml:space="preserve">buy acqua di parma sakura online</t>
  </si>
  <si>
    <t xml:space="preserve">acqua di parma sakura price</t>
  </si>
  <si>
    <t xml:space="preserve">acqua di parma sakura edp</t>
  </si>
  <si>
    <t xml:space="preserve">acqua di parma perfume · floral perfume uk</t>
  </si>
  <si>
    <t xml:space="preserve">acqua di parma sakura eau de parfum · acqua di parma sakura 100ml · acqua di parma sakura price · acqua di parma sakura edp · acqua di parma sakura notes · acqua di parma sakura review</t>
  </si>
  <si>
    <t xml:space="preserve">Acqua di Parma Sakura EDP Unisex Perfume</t>
  </si>
  <si>
    <t xml:space="preserve">Acqua di Parma Sakura EDP Unisex Perfume | Swansura UK</t>
  </si>
  <si>
    <t xml:space="preserve">Buy Acqua di Parma Sakura EDP Unisex Perfume online in the UK at Swansura. A floral unisex eau de parfum, 20ml. 100% authentic, fast UK delivery, free over £50.</t>
  </si>
  <si>
    <t xml:space="preserve">Amber · Unisex Fragrance</t>
  </si>
  <si>
    <t xml:space="preserve">acqua di parma sandalo</t>
  </si>
  <si>
    <t xml:space="preserve">acqua di parma sandalo uk</t>
  </si>
  <si>
    <t xml:space="preserve">buy acqua di parma sandalo online</t>
  </si>
  <si>
    <t xml:space="preserve">acqua di parma sandalo price</t>
  </si>
  <si>
    <t xml:space="preserve">acqua di parma sandalo edp</t>
  </si>
  <si>
    <t xml:space="preserve">acqua di parma perfume · amber perfume uk</t>
  </si>
  <si>
    <t xml:space="preserve">acqua di parma sandalo eau de parfum · acqua di parma sandalo 100ml · acqua di parma sandalo review · acqua di parma sandalo dupe · acqua di parma sandalo 50ml · acqua di parma sandalo edp</t>
  </si>
  <si>
    <t xml:space="preserve">Acqua di Parma Sandalo EDP Unisex</t>
  </si>
  <si>
    <t xml:space="preserve">Acqua di Parma Sandalo EDP Unisex | Buy Online UK | Swansura</t>
  </si>
  <si>
    <t xml:space="preserve">Buy Acqua di Parma Sandalo EDP Unisex online in the UK at Swansura. An amber unisex eau de parfum, 20ml. 100% authentic, fast UK delivery, free over £50.</t>
  </si>
  <si>
    <t xml:space="preserve">FR-009</t>
  </si>
  <si>
    <t xml:space="preserve">Fragrance Gift Set</t>
  </si>
  <si>
    <t xml:space="preserve">Acqua di Parma Blu Mediterraneo Discovery Set 3x12ml</t>
  </si>
  <si>
    <t xml:space="preserve">3x12ml</t>
  </si>
  <si>
    <t xml:space="preserve">acqua di parma blu mediterraneo discovery set</t>
  </si>
  <si>
    <t xml:space="preserve">acqua di parma blu mediterraneo discovery set uk</t>
  </si>
  <si>
    <t xml:space="preserve">buy acqua di parma blu mediterraneo discovery set online</t>
  </si>
  <si>
    <t xml:space="preserve">acqua di parma blu mediterraneo discovery set price</t>
  </si>
  <si>
    <t xml:space="preserve">acqua di parma blu mediterraneo price · acqua di parma blu mediterraneo review</t>
  </si>
  <si>
    <t xml:space="preserve">Acqua di Parma Blu Mediterraneo Discovery Set | Swansura UK</t>
  </si>
  <si>
    <t xml:space="preserve">Buy Acqua di Parma Blu Mediterraneo Discovery Set 3x12ml online in the UK at Swansura. An amber unisex fragrance. 100% authentic, free UK delivery over £50.</t>
  </si>
  <si>
    <t xml:space="preserve">FR-010</t>
  </si>
  <si>
    <t xml:space="preserve">Acqua di Parma Holiday Discovery Set EDP 3x12ml</t>
  </si>
  <si>
    <t xml:space="preserve">Not specified</t>
  </si>
  <si>
    <t xml:space="preserve">acqua di parma holiday discovery set</t>
  </si>
  <si>
    <t xml:space="preserve">acqua di parma holiday discovery set uk</t>
  </si>
  <si>
    <t xml:space="preserve">buy acqua di parma holiday discovery set online</t>
  </si>
  <si>
    <t xml:space="preserve">acqua di parma holiday discovery set price</t>
  </si>
  <si>
    <t xml:space="preserve">Acqua di Parma Holiday Discovery Set 3x12ml | Swansura UK</t>
  </si>
  <si>
    <t xml:space="preserve">Buy Acqua di Parma Holiday Discovery Set EDP 3x12ml online in the UK at Swansura. An amber unisex eau de parfum. 100% authentic, free UK delivery over £50.</t>
  </si>
  <si>
    <t xml:space="preserve">FR-011</t>
  </si>
  <si>
    <t xml:space="preserve">Al Haramain</t>
  </si>
  <si>
    <t xml:space="preserve">Al Haramain Amber Musk Eau de Parfum 100ml – Luxury Unisex Amber Musk Fragrance</t>
  </si>
  <si>
    <t xml:space="preserve">al haramain amber musk</t>
  </si>
  <si>
    <t xml:space="preserve">al haramain amber musk uk</t>
  </si>
  <si>
    <t xml:space="preserve">buy al haramain amber musk online</t>
  </si>
  <si>
    <t xml:space="preserve">al haramain amber musk price</t>
  </si>
  <si>
    <t xml:space="preserve">al haramain amber musk eau de parfum</t>
  </si>
  <si>
    <t xml:space="preserve">al haramain perfume · amber perfume uk</t>
  </si>
  <si>
    <t xml:space="preserve">al haramain amber musk eau de parfum · al haramain amber musk dupe of · al haramain amber musk perfume · al haramain amber musk review · al haramain amber musk edp · al haramain amber musk notes</t>
  </si>
  <si>
    <t xml:space="preserve">Al Haramain Amber Musk Eau de Parfum</t>
  </si>
  <si>
    <t xml:space="preserve">Al Haramain Amber Musk EDP 100ml | Buy Online UK | Swansura</t>
  </si>
  <si>
    <t xml:space="preserve">Buy Al Haramain Amber Musk Eau de Parfum online in the UK at Swansura. An amber unisex eau de parfum, 100ml. 100% authentic, fast UK delivery, free over £50.</t>
  </si>
  <si>
    <t xml:space="preserve">FR-012</t>
  </si>
  <si>
    <t xml:space="preserve">Woody · Unisex Fragrance</t>
  </si>
  <si>
    <t xml:space="preserve">Al Haramain Amber Oud Black Edition Eau de Parfum 100ml – Luxury Unisex Woody Amber Fragrance</t>
  </si>
  <si>
    <t xml:space="preserve">al haramain amber oud black edition</t>
  </si>
  <si>
    <t xml:space="preserve">al haramain amber oud black edition uk</t>
  </si>
  <si>
    <t xml:space="preserve">buy al haramain amber oud black edition online</t>
  </si>
  <si>
    <t xml:space="preserve">al haramain amber oud black edition price</t>
  </si>
  <si>
    <t xml:space="preserve">al haramain amber oud black edition eau de parfum</t>
  </si>
  <si>
    <t xml:space="preserve">al haramain perfume · woody perfume uk</t>
  </si>
  <si>
    <t xml:space="preserve">al haramain amber oud black edition dupe of · al haramain amber oud black edition smells like · al haramain amber oud black edition review · al haramain amber oud black edition notes · al haramain amber oud black edition 200ml · al haramain amber oud black edition eau de parfum</t>
  </si>
  <si>
    <t xml:space="preserve">Al Haramain Amber Oud Black Edition Eau de Parfum</t>
  </si>
  <si>
    <t xml:space="preserve">Al Haramain Amber Oud Black Edition EDP 100ml | Swansura UK</t>
  </si>
  <si>
    <t xml:space="preserve">Buy Al Haramain Amber Oud Black Edition Eau de Parfum online in the UK at Swansura. A woody unisex eau de parfum. 100% authentic, free UK delivery over £50.</t>
  </si>
  <si>
    <t xml:space="preserve">FR-013</t>
  </si>
  <si>
    <t xml:space="preserve">Al Haramain Amber Oud Bleu Edition Eau de Parfum – Luxury Unisex Fresh Woody Fragrance</t>
  </si>
  <si>
    <t xml:space="preserve">60ml</t>
  </si>
  <si>
    <t xml:space="preserve">al haramain amber oud bleu edition</t>
  </si>
  <si>
    <t xml:space="preserve">al haramain amber oud bleu edition uk</t>
  </si>
  <si>
    <t xml:space="preserve">buy al haramain amber oud bleu edition online</t>
  </si>
  <si>
    <t xml:space="preserve">al haramain amber oud bleu edition price</t>
  </si>
  <si>
    <t xml:space="preserve">al haramain amber oud bleu edition eau de parfum</t>
  </si>
  <si>
    <t xml:space="preserve">al haramain amber oud bleu edition dupe of · al haramain amber oud bleu edition eau de parfum · al haramain amber oud bleu edition 200ml · al haramain amber oud bleu edition review · al haramain amber oud bleu edition edp · al haramain amber oud bleu edition 100ml</t>
  </si>
  <si>
    <t xml:space="preserve">Al Haramain Amber Oud Bleu Edition Eau de Parfum</t>
  </si>
  <si>
    <t xml:space="preserve">Al Haramain Amber Oud Bleu Edition EDP 60ml | Swansura UK</t>
  </si>
  <si>
    <t xml:space="preserve">Buy Al Haramain Amber Oud Bleu Edition Eau de Parfum online in the UK at Swansura. A woody unisex eau de parfum. 100% authentic, free UK delivery over £50.</t>
  </si>
  <si>
    <t xml:space="preserve">FR-014</t>
  </si>
  <si>
    <t xml:space="preserve">Woody · Men's Fragrance</t>
  </si>
  <si>
    <t xml:space="preserve">Al Haramain Amber Oud Carbon Edition Eau de Parfum – Men's Fresh Woody Fragrance</t>
  </si>
  <si>
    <t xml:space="preserve">al haramain amber oud carbon edition</t>
  </si>
  <si>
    <t xml:space="preserve">al haramain amber oud carbon edition uk</t>
  </si>
  <si>
    <t xml:space="preserve">buy al haramain amber oud carbon edition online</t>
  </si>
  <si>
    <t xml:space="preserve">al haramain amber oud carbon edition price</t>
  </si>
  <si>
    <t xml:space="preserve">al haramain amber oud carbon edition eau de parfum</t>
  </si>
  <si>
    <t xml:space="preserve">al haramain perfume · al haramain perfume for men · woody perfume for men uk</t>
  </si>
  <si>
    <t xml:space="preserve">al haramain amber oud carbon edition dupe of · al haramain amber oud carbon edition review · al haramain amber oud carbon edition 200ml · al haramain amber oud carbon edition notes · al haramain amber oud carbon edition eau de parfum · al haramain amber oud carbon edition edp</t>
  </si>
  <si>
    <t xml:space="preserve">Al Haramain Amber Oud Carbon Edition Eau de Parfum</t>
  </si>
  <si>
    <t xml:space="preserve">Al Haramain Amber Oud Carbon Edition EDP 60ml | Swansura UK</t>
  </si>
  <si>
    <t xml:space="preserve">Buy Al Haramain Amber Oud Carbon Edition Eau de Parfum online in the UK at Swansura. A woody men's eau de parfum. 100% authentic, free UK delivery over £50.</t>
  </si>
  <si>
    <t xml:space="preserve">al haramain amber oud</t>
  </si>
  <si>
    <t xml:space="preserve">al haramain amber oud uk</t>
  </si>
  <si>
    <t xml:space="preserve">buy al haramain amber oud online</t>
  </si>
  <si>
    <t xml:space="preserve">al haramain amber oud price</t>
  </si>
  <si>
    <t xml:space="preserve">al haramain amber oud eau de parfum</t>
  </si>
  <si>
    <t xml:space="preserve">Al Haramain Amber Oud Eau de Parfum</t>
  </si>
  <si>
    <t xml:space="preserve">Al Haramain Amber Oud EDP 60ml | Buy Online UK | Swansura</t>
  </si>
  <si>
    <t xml:space="preserve">Buy Al Haramain Amber Oud Eau de Parfum online in the UK at Swansura. A woody unisex eau de parfum, 60ml. 100% authentic, fast UK delivery, free over £50.</t>
  </si>
  <si>
    <t xml:space="preserve">al haramain amber oud gold edition</t>
  </si>
  <si>
    <t xml:space="preserve">al haramain amber oud gold edition uk</t>
  </si>
  <si>
    <t xml:space="preserve">buy al haramain amber oud gold edition online</t>
  </si>
  <si>
    <t xml:space="preserve">al haramain amber oud gold edition price</t>
  </si>
  <si>
    <t xml:space="preserve">al haramain amber oud gold edition eau de parfum</t>
  </si>
  <si>
    <t xml:space="preserve">al haramain amber oud gold edition dupe of · al haramain amber oud gold edition eau de parfum · al haramain amber oud gold edition 120ml · al haramain amber oud gold edition notes · al haramain amber oud gold edition review · al haramain amber oud gold edition price</t>
  </si>
  <si>
    <t xml:space="preserve">Al Haramain Amber Oud Gold Edition Eau de Parfum</t>
  </si>
  <si>
    <t xml:space="preserve">Al Haramain Amber Oud Gold Edition EDP 60ml | Swansura UK</t>
  </si>
  <si>
    <t xml:space="preserve">Buy Al Haramain Amber Oud Gold Edition Eau de Parfum online in the UK at Swansura. An amber unisex eau de parfum. 100% authentic, free UK delivery over £50.</t>
  </si>
  <si>
    <t xml:space="preserve">FR-017</t>
  </si>
  <si>
    <t xml:space="preserve">Al Haramain Amber Oud Ruby Edition Eau de Parfum – Luxury Unisex Amber Floral Fragrance</t>
  </si>
  <si>
    <t xml:space="preserve">al haramain amber oud ruby edition</t>
  </si>
  <si>
    <t xml:space="preserve">al haramain amber oud ruby edition uk</t>
  </si>
  <si>
    <t xml:space="preserve">buy al haramain amber oud ruby edition online</t>
  </si>
  <si>
    <t xml:space="preserve">al haramain amber oud ruby edition price</t>
  </si>
  <si>
    <t xml:space="preserve">al haramain amber oud ruby edition eau de parfum</t>
  </si>
  <si>
    <t xml:space="preserve">al haramain perfume · floral perfume uk</t>
  </si>
  <si>
    <t xml:space="preserve">al haramain amber oud ruby edition dupe of · al haramain amber oud ruby edition eau de parfum · al haramain amber oud ruby edition review · al haramain amber oud ruby edition 100 ml · al haramain amber oud ruby edition 200ml · al haramain amber oud ruby edition edp</t>
  </si>
  <si>
    <t xml:space="preserve">Al Haramain Amber Oud Ruby Edition Eau de Parfum</t>
  </si>
  <si>
    <t xml:space="preserve">Al Haramain Amber Oud Ruby Edition EDP 60ml | Swansura UK</t>
  </si>
  <si>
    <t xml:space="preserve">Buy Al Haramain Amber Oud Ruby Edition Eau de Parfum online in the UK at Swansura. A floral unisex eau de parfum. 100% authentic, free UK delivery over £50.</t>
  </si>
  <si>
    <t xml:space="preserve">al haramain amber oud tobacco edition</t>
  </si>
  <si>
    <t xml:space="preserve">al haramain amber oud tobacco edition uk</t>
  </si>
  <si>
    <t xml:space="preserve">buy al haramain amber oud tobacco edition online</t>
  </si>
  <si>
    <t xml:space="preserve">al haramain amber oud tobacco edition price</t>
  </si>
  <si>
    <t xml:space="preserve">al haramain amber oud tobacco edition eau de parfum</t>
  </si>
  <si>
    <t xml:space="preserve">al haramain amber oud tobacco edition 100ml · al haramain amber oud tobacco edition dupe of · al haramain amber oud tobacco edition review · al haramain amber oud tobacco edition eau de parfum · al haramain amber oud tobacco edition 200ml · al haramain amber oud tobacco edition notes</t>
  </si>
  <si>
    <t xml:space="preserve">Al Haramain Amber Oud Tobacco Edition Eau de Parfum</t>
  </si>
  <si>
    <t xml:space="preserve">Al Haramain Amber Oud Tobacco Edition EDP 60ml | Swansura UK</t>
  </si>
  <si>
    <t xml:space="preserve">Buy Al Haramain Amber Oud Tobacco Edition Eau de Parfum online in the UK at Swansura. An amber unisex eau de parfum. 100% authentic, free UK delivery over £50.</t>
  </si>
  <si>
    <t xml:space="preserve">FR-019</t>
  </si>
  <si>
    <t xml:space="preserve">Al Haramain Amber Oud White Edition Eau de Parfum – Luxury Women's Floral Oriental Fragrance</t>
  </si>
  <si>
    <t xml:space="preserve">al haramain amber oud white edition</t>
  </si>
  <si>
    <t xml:space="preserve">al haramain amber oud white edition uk</t>
  </si>
  <si>
    <t xml:space="preserve">buy al haramain amber oud white edition online</t>
  </si>
  <si>
    <t xml:space="preserve">al haramain amber oud white edition price</t>
  </si>
  <si>
    <t xml:space="preserve">al haramain amber oud white edition eau de parfum</t>
  </si>
  <si>
    <t xml:space="preserve">al haramain perfume · al haramain perfume for women · floral perfume for women uk</t>
  </si>
  <si>
    <t xml:space="preserve">al haramain amber oud white edition dupe of · al haramain amber oud white edition edp · al haramain amber oud white edition review · al haramain amber oud white edition eau de parfum · al haramain amber oud white edition 200ml · al haramain amber oud white edition edp 100ml</t>
  </si>
  <si>
    <t xml:space="preserve">Al Haramain Amber Oud White Edition Eau de Parfum</t>
  </si>
  <si>
    <t xml:space="preserve">Al Haramain Amber Oud White Edition EDP 60ml | Swansura UK</t>
  </si>
  <si>
    <t xml:space="preserve">Buy Al Haramain Amber Oud White Edition Eau de Parfum online in the UK at Swansura. A floral women's eau de parfum. 100% authentic, free UK delivery over £50.</t>
  </si>
  <si>
    <t xml:space="preserve">FR-020</t>
  </si>
  <si>
    <t xml:space="preserve">Al Haramain Detour Noir Eau de Parfum 100ml – Luxury Unisex Amber Spicy Fragrance</t>
  </si>
  <si>
    <t xml:space="preserve">al haramain detour noir</t>
  </si>
  <si>
    <t xml:space="preserve">al haramain detour noir uk</t>
  </si>
  <si>
    <t xml:space="preserve">buy al haramain detour noir online</t>
  </si>
  <si>
    <t xml:space="preserve">al haramain detour noir price</t>
  </si>
  <si>
    <t xml:space="preserve">al haramain detour noir eau de parfum</t>
  </si>
  <si>
    <t xml:space="preserve">al haramain detour noir dupe of · al haramain detour noir eau de parfum</t>
  </si>
  <si>
    <t xml:space="preserve">Al Haramain Detour Noir Eau de Parfum</t>
  </si>
  <si>
    <t xml:space="preserve">Al Haramain Detour Noir EDP 100ml | Buy Online UK | Swansura</t>
  </si>
  <si>
    <t xml:space="preserve">Buy Al Haramain Detour Noir Eau de Parfum online in the UK at Swansura. An amber unisex eau de parfum, 100ml. 100% authentic, fast UK delivery, free over £50.</t>
  </si>
  <si>
    <t xml:space="preserve">FR-021</t>
  </si>
  <si>
    <t xml:space="preserve">Al Haramain L'Aventure Blanche Eau de Parfum 100ml – Fresh Floral Woody Fragrance</t>
  </si>
  <si>
    <t xml:space="preserve">al haramain l'aventure blanche</t>
  </si>
  <si>
    <t xml:space="preserve">al haramain l'aventure blanche uk</t>
  </si>
  <si>
    <t xml:space="preserve">buy al haramain l'aventure blanche online</t>
  </si>
  <si>
    <t xml:space="preserve">al haramain l'aventure blanche price</t>
  </si>
  <si>
    <t xml:space="preserve">al haramain l'aventure blanche eau de parfum</t>
  </si>
  <si>
    <t xml:space="preserve">al haramain l'aventure blanche dupe of · al haramain l'aventure blanche review · al haramain l'aventure blanche eau de parfum · al haramain l'aventure blanche edp</t>
  </si>
  <si>
    <t xml:space="preserve">Al Haramain L'Aventure Blanche Eau de Parfum</t>
  </si>
  <si>
    <t xml:space="preserve">Al Haramain L'Aventure Blanche Eau de Parfum | Swansura UK</t>
  </si>
  <si>
    <t xml:space="preserve">Buy Al Haramain L'Aventure Blanche Eau de Parfum online in the UK at Swansura. A floral unisex eau de parfum, 100ml. 100% authentic, free UK delivery over £50.</t>
  </si>
  <si>
    <t xml:space="preserve">al haramain l'aventure</t>
  </si>
  <si>
    <t xml:space="preserve">al haramain l'aventure uk</t>
  </si>
  <si>
    <t xml:space="preserve">buy al haramain l'aventure online</t>
  </si>
  <si>
    <t xml:space="preserve">al haramain l'aventure price</t>
  </si>
  <si>
    <t xml:space="preserve">al haramain l'aventure eau de parfum</t>
  </si>
  <si>
    <t xml:space="preserve">al haramain l'aventure dupe of</t>
  </si>
  <si>
    <t xml:space="preserve">Al Haramain L'Aventure Eau de Parfum</t>
  </si>
  <si>
    <t xml:space="preserve">Al Haramain L'Aventure EDP 100ml | Buy Online UK | Swansura</t>
  </si>
  <si>
    <t xml:space="preserve">Buy Al Haramain L'Aventure Eau de Parfum online in the UK at Swansura. A woody men's eau de parfum, 100ml. 100% authentic, fast UK delivery, free over £50.</t>
  </si>
  <si>
    <t xml:space="preserve">FR-023</t>
  </si>
  <si>
    <t xml:space="preserve">Al Haramain L'Aventure Femme Eau de Parfum 100ml – Women's Fruity Floral Fragrance</t>
  </si>
  <si>
    <t xml:space="preserve">al haramain l'aventure femme</t>
  </si>
  <si>
    <t xml:space="preserve">al haramain l'aventure femme uk</t>
  </si>
  <si>
    <t xml:space="preserve">buy al haramain l'aventure femme online</t>
  </si>
  <si>
    <t xml:space="preserve">al haramain l'aventure femme price</t>
  </si>
  <si>
    <t xml:space="preserve">al haramain l'aventure femme eau de parfum</t>
  </si>
  <si>
    <t xml:space="preserve">al haramain l'aventure femme dupe · al haramain l'aventure femme eau de parfum · al haramain l'aventure femme notes · al haramain - l'aventure femme edp</t>
  </si>
  <si>
    <t xml:space="preserve">Al Haramain L'Aventure Femme Eau de Parfum</t>
  </si>
  <si>
    <t xml:space="preserve">Al Haramain L'Aventure Femme Eau de Parfum | Swansura UK</t>
  </si>
  <si>
    <t xml:space="preserve">Buy Al Haramain L'Aventure Femme Eau de Parfum online in the UK at Swansura. A floral women's eau de parfum, 100ml. 100% authentic, free UK delivery over £50.</t>
  </si>
  <si>
    <t xml:space="preserve">FR-024</t>
  </si>
  <si>
    <t xml:space="preserve">Al Haramain L'Aventure Gold Eau de Parfum 100ml – Women's Floral Fruity Fragrance</t>
  </si>
  <si>
    <t xml:space="preserve">al haramain l'aventure gold</t>
  </si>
  <si>
    <t xml:space="preserve">al haramain l'aventure gold uk</t>
  </si>
  <si>
    <t xml:space="preserve">buy al haramain l'aventure gold online</t>
  </si>
  <si>
    <t xml:space="preserve">al haramain l'aventure gold price</t>
  </si>
  <si>
    <t xml:space="preserve">al haramain l'aventure gold eau de parfum</t>
  </si>
  <si>
    <t xml:space="preserve">al haramain l'aventure gold dupe · al haramain l'aventure gold perfume · al haramain l'aventure gold eau de parfum</t>
  </si>
  <si>
    <t xml:space="preserve">Al Haramain L'Aventure Gold Eau de Parfum</t>
  </si>
  <si>
    <t xml:space="preserve">Al Haramain L'Aventure Gold Eau de Parfum | Swansura UK</t>
  </si>
  <si>
    <t xml:space="preserve">Buy Al Haramain L'Aventure Gold Eau de Parfum online in the UK at Swansura. A floral women's eau de parfum, 100ml. 100% authentic, free UK delivery over £50.</t>
  </si>
  <si>
    <t xml:space="preserve">FR-025</t>
  </si>
  <si>
    <t xml:space="preserve">Al Haramain L'Aventure Intense Eau de Parfum 100ml – Men's Fresh Woody Fragrance</t>
  </si>
  <si>
    <t xml:space="preserve">al haramain l'aventure intense</t>
  </si>
  <si>
    <t xml:space="preserve">al haramain l'aventure intense uk</t>
  </si>
  <si>
    <t xml:space="preserve">buy al haramain l'aventure intense online</t>
  </si>
  <si>
    <t xml:space="preserve">al haramain l'aventure intense price</t>
  </si>
  <si>
    <t xml:space="preserve">al haramain l'aventure intense eau de parfum</t>
  </si>
  <si>
    <t xml:space="preserve">al haramain l'aventure intense dupe of · al haramain l'aventure intense eau de parfum · al haramain l'aventure intense review · al haramain l'aventure intense eau de parfum 100ml · al haramain l'aventure intense edp</t>
  </si>
  <si>
    <t xml:space="preserve">Al Haramain L'Aventure Intense Eau de Parfum</t>
  </si>
  <si>
    <t xml:space="preserve">Al Haramain L'Aventure Intense Eau de Parfum | Swansura UK</t>
  </si>
  <si>
    <t xml:space="preserve">Buy Al Haramain L'Aventure Intense Eau de Parfum online in the UK at Swansura. A woody men's eau de parfum, 100ml. 100% authentic, free UK delivery over £50.</t>
  </si>
  <si>
    <t xml:space="preserve">FR-026</t>
  </si>
  <si>
    <t xml:space="preserve">Extrait de Parfum</t>
  </si>
  <si>
    <t xml:space="preserve">Al Haramain Amber Oud Extreme Gold Edition Extrait de Parfum – Luxury Unisex Fruity Amber Fragrance</t>
  </si>
  <si>
    <t xml:space="preserve">al haramain amber oud extreme gold edition</t>
  </si>
  <si>
    <t xml:space="preserve">al haramain amber oud extreme gold edition uk</t>
  </si>
  <si>
    <t xml:space="preserve">buy al haramain amber oud extreme gold edition online</t>
  </si>
  <si>
    <t xml:space="preserve">al haramain amber oud extreme gold edition price</t>
  </si>
  <si>
    <t xml:space="preserve">al haramain amber oud extreme gold edition extrait de parfum</t>
  </si>
  <si>
    <t xml:space="preserve">al haramain amber oud extreme gold edition dupe of · al haramain amber oud extreme gold edition extrait de parfum · al haramain amber oud extreme gold edition review · al haramain amber oud extreme gold edition notes · al haramain amber oud extreme gold edition extrait · perfume al haramain amber oud extreme gold edition</t>
  </si>
  <si>
    <t xml:space="preserve">Al Haramain Amber Oud Extreme Gold Edition Extrait de Parfum</t>
  </si>
  <si>
    <t xml:space="preserve">Al Haramain Amber Oud Extreme Gold Edition | Swansura UK</t>
  </si>
  <si>
    <t xml:space="preserve">Buy Al Haramain Amber Oud Extreme Gold Edition Extrait de Parfum at Swansura UK. An amber unisex extrait de parfum. 100% authentic, free UK delivery over £50.</t>
  </si>
  <si>
    <t xml:space="preserve">FR-027</t>
  </si>
  <si>
    <t xml:space="preserve">anatomē</t>
  </si>
  <si>
    <t xml:space="preserve">Check brand</t>
  </si>
  <si>
    <t xml:space="preserve">Balance Eau de Parfum | Centre the Mind &amp; Restore Calm 100ml</t>
  </si>
  <si>
    <t xml:space="preserve">anatome balance</t>
  </si>
  <si>
    <t xml:space="preserve">anatome balance uk</t>
  </si>
  <si>
    <t xml:space="preserve">buy anatome balance online</t>
  </si>
  <si>
    <t xml:space="preserve">anatome balance price</t>
  </si>
  <si>
    <t xml:space="preserve">anatome balance eau de parfum</t>
  </si>
  <si>
    <t xml:space="preserve">anatomē perfume · amber perfume uk</t>
  </si>
  <si>
    <t xml:space="preserve">anatome balance perfume</t>
  </si>
  <si>
    <t xml:space="preserve">Balance Eau de Parfum</t>
  </si>
  <si>
    <t xml:space="preserve">Balance Eau de Parfum 100ml | Buy Online UK | Swansura</t>
  </si>
  <si>
    <t xml:space="preserve">Buy Balance Eau de Parfum online in the UK at Swansura. An amber unisex eau de parfum, 100ml. 100% authentic, fast UK delivery, free over £50.</t>
  </si>
  <si>
    <t xml:space="preserve">FR-028</t>
  </si>
  <si>
    <t xml:space="preserve">FR-029</t>
  </si>
  <si>
    <t xml:space="preserve">FR-030</t>
  </si>
  <si>
    <t xml:space="preserve">Energy Eau de Parfum | Enhance Endurance &amp; Sharpen Clarity 100ml</t>
  </si>
  <si>
    <t xml:space="preserve">anatome energy</t>
  </si>
  <si>
    <t xml:space="preserve">anatome energy uk</t>
  </si>
  <si>
    <t xml:space="preserve">buy anatome energy online</t>
  </si>
  <si>
    <t xml:space="preserve">anatome energy price</t>
  </si>
  <si>
    <t xml:space="preserve">anatome energy eau de parfum</t>
  </si>
  <si>
    <t xml:space="preserve">anatome energy perfume</t>
  </si>
  <si>
    <t xml:space="preserve">Energy Eau de Parfum</t>
  </si>
  <si>
    <t xml:space="preserve">Energy Eau de Parfum 100ml | Buy Online UK | Swansura</t>
  </si>
  <si>
    <t xml:space="preserve">Buy Energy Eau de Parfum online in the UK at Swansura. An amber unisex eau de parfum, 100ml. 100% authentic, fast UK delivery, free over £50.</t>
  </si>
  <si>
    <t xml:space="preserve">FR-031</t>
  </si>
  <si>
    <t xml:space="preserve">FR-032</t>
  </si>
  <si>
    <t xml:space="preserve">FR-033</t>
  </si>
  <si>
    <t xml:space="preserve">Expression Eau de Parfum | Open the Breath &amp; Support Expression 100ml</t>
  </si>
  <si>
    <t xml:space="preserve">anatome expression</t>
  </si>
  <si>
    <t xml:space="preserve">anatome expression uk</t>
  </si>
  <si>
    <t xml:space="preserve">buy anatome expression online</t>
  </si>
  <si>
    <t xml:space="preserve">anatome expression price</t>
  </si>
  <si>
    <t xml:space="preserve">anatome expression eau de parfum</t>
  </si>
  <si>
    <t xml:space="preserve">Expression Eau de Parfum</t>
  </si>
  <si>
    <t xml:space="preserve">Expression Eau de Parfum | Buy Online UK | Swansura</t>
  </si>
  <si>
    <t xml:space="preserve">Buy Expression Eau de Parfum online in the UK at Swansura. An amber unisex eau de parfum, 100ml. 100% authentic, fast UK delivery, free over £50.</t>
  </si>
  <si>
    <t xml:space="preserve">FR-034</t>
  </si>
  <si>
    <t xml:space="preserve">FR-035</t>
  </si>
  <si>
    <t xml:space="preserve">FR-036</t>
  </si>
  <si>
    <t xml:space="preserve">Focus Eau de Parfum | Sharpen Focus &amp; Awaken the Senses 100ml</t>
  </si>
  <si>
    <t xml:space="preserve">anatome focus</t>
  </si>
  <si>
    <t xml:space="preserve">anatome focus uk</t>
  </si>
  <si>
    <t xml:space="preserve">buy anatome focus online</t>
  </si>
  <si>
    <t xml:space="preserve">anatome focus price</t>
  </si>
  <si>
    <t xml:space="preserve">anatome focus eau de parfum</t>
  </si>
  <si>
    <t xml:space="preserve">anatome focus parfum</t>
  </si>
  <si>
    <t xml:space="preserve">Focus Eau de Parfum</t>
  </si>
  <si>
    <t xml:space="preserve">Focus Eau de Parfum 100ml | Buy Online UK | Swansura</t>
  </si>
  <si>
    <t xml:space="preserve">Buy Focus Eau de Parfum online in the UK at Swansura. An amber unisex eau de parfum, 100ml. 100% authentic, fast UK delivery, free over £50.</t>
  </si>
  <si>
    <t xml:space="preserve">FR-037</t>
  </si>
  <si>
    <t xml:space="preserve">FR-038</t>
  </si>
  <si>
    <t xml:space="preserve">FR-039</t>
  </si>
  <si>
    <t xml:space="preserve">Support Eau de Parfum | Protective, herbaceous &amp; restorative</t>
  </si>
  <si>
    <t xml:space="preserve">anatome support</t>
  </si>
  <si>
    <t xml:space="preserve">anatome support uk</t>
  </si>
  <si>
    <t xml:space="preserve">buy anatome support online</t>
  </si>
  <si>
    <t xml:space="preserve">anatome support price</t>
  </si>
  <si>
    <t xml:space="preserve">anatome support eau de parfum</t>
  </si>
  <si>
    <t xml:space="preserve">Support Eau de Parfum</t>
  </si>
  <si>
    <t xml:space="preserve">Support EDP Notspecified | Buy Online UK | Swansura</t>
  </si>
  <si>
    <t xml:space="preserve">Buy Support Eau de Parfum online in the UK at Swansura. An amber unisex eau de parfum, Notspecified. 100% authentic, fast UK delivery, free over £50.</t>
  </si>
  <si>
    <t xml:space="preserve">FR-040</t>
  </si>
  <si>
    <t xml:space="preserve">FR-041</t>
  </si>
  <si>
    <t xml:space="preserve">FR-042</t>
  </si>
  <si>
    <t xml:space="preserve">Support Eau de Parfum | Travel 10ml</t>
  </si>
  <si>
    <t xml:space="preserve">10ml</t>
  </si>
  <si>
    <t xml:space="preserve">Support Eau de Parfum 10ml | Buy Online UK | Swansura</t>
  </si>
  <si>
    <t xml:space="preserve">Buy Support Eau de Parfum online in the UK at Swansura. An amber unisex eau de parfum, 10ml. 100% authentic, fast UK delivery, free over £50.</t>
  </si>
  <si>
    <t xml:space="preserve">anna sui</t>
  </si>
  <si>
    <t xml:space="preserve">Eau de Toilette (EDT)</t>
  </si>
  <si>
    <t xml:space="preserve">anna sui sky</t>
  </si>
  <si>
    <t xml:space="preserve">anna sui sky uk</t>
  </si>
  <si>
    <t xml:space="preserve">buy anna sui sky online</t>
  </si>
  <si>
    <t xml:space="preserve">anna sui sky price</t>
  </si>
  <si>
    <t xml:space="preserve">anna sui sky eau de toilette</t>
  </si>
  <si>
    <t xml:space="preserve">anna sui perfume · anna sui perfume for women · floral perfume for women uk</t>
  </si>
  <si>
    <t xml:space="preserve">anna sui sky perfume · anna sui sky perfume review · anna sui sky notes · anna sui sky review · anna sui sky 75ml · anna sui sky perfume price</t>
  </si>
  <si>
    <t xml:space="preserve">Anna Sui Sky Eau de Toilette</t>
  </si>
  <si>
    <t xml:space="preserve">Anna Sui Sky Eau de Toilette | Buy Online UK | Swansura</t>
  </si>
  <si>
    <t xml:space="preserve">Buy Anna Sui Sky Eau de Toilette online in the UK at Swansura. A floral women's eau de toilette, 30ml. 100% authentic, fast UK delivery, free over £50.</t>
  </si>
  <si>
    <t xml:space="preserve">FR-044</t>
  </si>
  <si>
    <t xml:space="preserve">antonio</t>
  </si>
  <si>
    <t xml:space="preserve">Spelling: Antonio Banderas</t>
  </si>
  <si>
    <t xml:space="preserve">Boucheron Patchouli d'Angkor Eau de Parfum 125ml – Luxury Unisex Woody Amber Fragrance</t>
  </si>
  <si>
    <t xml:space="preserve">125ml</t>
  </si>
  <si>
    <t xml:space="preserve">antonio banderas boucheron patchouli d'angkor</t>
  </si>
  <si>
    <t xml:space="preserve">antonio banderas boucheron patchouli d'angkor uk</t>
  </si>
  <si>
    <t xml:space="preserve">buy antonio banderas boucheron patchouli d'angkor online</t>
  </si>
  <si>
    <t xml:space="preserve">antonio banderas boucheron patchouli d'angkor price</t>
  </si>
  <si>
    <t xml:space="preserve">antonio banderas boucheron patchouli d'angkor eau de parfum</t>
  </si>
  <si>
    <t xml:space="preserve">antonio banderas perfume · woody perfume uk</t>
  </si>
  <si>
    <t xml:space="preserve">Boucheron Patchouli D'Angkor Eau de Parfum</t>
  </si>
  <si>
    <t xml:space="preserve">Boucheron Patchouli D'Angkor Eau de Parfum | Swansura UK</t>
  </si>
  <si>
    <t xml:space="preserve">Buy Boucheron Patchouli D'Angkor Eau de Parfum online in the UK at Swansura. A woody unisex eau de parfum, 125ml. 100% authentic, free UK delivery over £50.</t>
  </si>
  <si>
    <t xml:space="preserve">FR-045</t>
  </si>
  <si>
    <t xml:space="preserve">Boucheron Rose d'Isparta Eau de Parfum 125ml – Luxury Unisex Rose Amber Fragrance</t>
  </si>
  <si>
    <t xml:space="preserve">antonio banderas boucheron rose d'isparta</t>
  </si>
  <si>
    <t xml:space="preserve">antonio banderas boucheron rose d'isparta uk</t>
  </si>
  <si>
    <t xml:space="preserve">buy antonio banderas boucheron rose d'isparta online</t>
  </si>
  <si>
    <t xml:space="preserve">antonio banderas boucheron rose d'isparta price</t>
  </si>
  <si>
    <t xml:space="preserve">antonio banderas boucheron rose d'isparta eau de parfum</t>
  </si>
  <si>
    <t xml:space="preserve">antonio banderas perfume · amber perfume uk</t>
  </si>
  <si>
    <t xml:space="preserve">Boucheron Rose D'Isparta Eau de Parfum</t>
  </si>
  <si>
    <t xml:space="preserve">Boucheron Rose D'Isparta Eau de Parfum | Swansura UK</t>
  </si>
  <si>
    <t xml:space="preserve">Buy Boucheron Rose D'Isparta Eau de Parfum online in the UK at Swansura. An amber unisex eau de parfum, 125ml. 100% authentic, fast UK delivery, free over £50.</t>
  </si>
  <si>
    <t xml:space="preserve">FR-046</t>
  </si>
  <si>
    <t xml:space="preserve">Antonio Banderas Diavolo Eau de Toilette – Men's Warm Spicy Woody Fragrance</t>
  </si>
  <si>
    <t xml:space="preserve">antonio banderas diavolo</t>
  </si>
  <si>
    <t xml:space="preserve">antonio banderas diavolo uk</t>
  </si>
  <si>
    <t xml:space="preserve">buy antonio banderas diavolo online</t>
  </si>
  <si>
    <t xml:space="preserve">antonio banderas diavolo price</t>
  </si>
  <si>
    <t xml:space="preserve">antonio banderas diavolo eau de toilette</t>
  </si>
  <si>
    <t xml:space="preserve">antonio banderas perfume · antonio banderas perfume for men · woody perfume for men uk</t>
  </si>
  <si>
    <t xml:space="preserve">antonio banderas diavolo review · antonio banderas diavolo for women · antonio banderas diavolo for men</t>
  </si>
  <si>
    <t xml:space="preserve">Antonio Banderas Diavolo Eau de Toilette</t>
  </si>
  <si>
    <t xml:space="preserve">Antonio Banderas Diavolo Eau de Toilette | Swansura UK</t>
  </si>
  <si>
    <t xml:space="preserve">Buy Antonio Banderas Diavolo Eau de Toilette online in the UK at Swansura. A woody men's eau de toilette, 100ml. 100% authentic, free UK delivery over £50.</t>
  </si>
  <si>
    <t xml:space="preserve">FR-047</t>
  </si>
  <si>
    <t xml:space="preserve">Antonio Banderas Her Secret Desire Eau de Toilette 80ml – Women's Fruity Floral Gourmand Fragrance</t>
  </si>
  <si>
    <t xml:space="preserve">80ml</t>
  </si>
  <si>
    <t xml:space="preserve">antonio banderas her secret desire</t>
  </si>
  <si>
    <t xml:space="preserve">antonio banderas her secret desire uk</t>
  </si>
  <si>
    <t xml:space="preserve">buy antonio banderas her secret desire online</t>
  </si>
  <si>
    <t xml:space="preserve">antonio banderas her secret desire price</t>
  </si>
  <si>
    <t xml:space="preserve">antonio banderas her secret desire eau de toilette</t>
  </si>
  <si>
    <t xml:space="preserve">antonio banderas perfume · antonio banderas perfume for women · floral perfume for women uk</t>
  </si>
  <si>
    <t xml:space="preserve">antonio banderas her secret desire perfume · antonio banderas her secret desire review · antonio banderas her secret desire perfume review · antonio banderas her secret desire price · antonio banderas her secret desire edt 80 ml · antonio banderas her secret desire 80 ml</t>
  </si>
  <si>
    <t xml:space="preserve">Antonio Banderas Her Secret Desire Eau de Toilette</t>
  </si>
  <si>
    <t xml:space="preserve">Antonio Banderas Her Secret Desire EDT 80ml | Swansura UK</t>
  </si>
  <si>
    <t xml:space="preserve">Buy Antonio Banderas Her Secret Desire Eau de Toilette at Swansura UK. A floral women's eau de toilette, 80ml. 100% authentic, fast UK delivery, free over £50.</t>
  </si>
  <si>
    <t xml:space="preserve">FR-048</t>
  </si>
  <si>
    <t xml:space="preserve">Antonio Banderas Her Secret Temptation Eau de Toilette 80ml – Women's Floral Gourmand Fragrance</t>
  </si>
  <si>
    <t xml:space="preserve">antonio banderas her secret temptation</t>
  </si>
  <si>
    <t xml:space="preserve">antonio banderas her secret temptation uk</t>
  </si>
  <si>
    <t xml:space="preserve">buy antonio banderas her secret temptation online</t>
  </si>
  <si>
    <t xml:space="preserve">antonio banderas her secret temptation price</t>
  </si>
  <si>
    <t xml:space="preserve">antonio banderas her secret temptation eau de toilette</t>
  </si>
  <si>
    <t xml:space="preserve">antonio banderas her secret temptation perfume price · antonio banderas her secret temptation perfume review · antonio banderas her secret temptation notes · antonio banderas her secret temptation review · antonio banderas her secret temptation women</t>
  </si>
  <si>
    <t xml:space="preserve">Antonio Banderas Her Secret Temptation Eau de Toilette</t>
  </si>
  <si>
    <t xml:space="preserve">Antonio Banderas Her Secret Temptation 80ml | Swansura UK</t>
  </si>
  <si>
    <t xml:space="preserve">Buy Antonio Banderas Her Secret Temptation Eau de Toilette at Swansura UK. A floral women's eau de toilette, 80ml. 100% authentic, free UK delivery over £50.</t>
  </si>
  <si>
    <t xml:space="preserve">FR-049</t>
  </si>
  <si>
    <t xml:space="preserve">Fresh · Men's Fragrance</t>
  </si>
  <si>
    <t xml:space="preserve">Antonio Banderas Power of Seduction Eau de Toilette 50ml – Men's Fresh Aromatic Fragrance</t>
  </si>
  <si>
    <t xml:space="preserve">antonio banderas power of seduction</t>
  </si>
  <si>
    <t xml:space="preserve">antonio banderas power of seduction uk</t>
  </si>
  <si>
    <t xml:space="preserve">buy antonio banderas power of seduction online</t>
  </si>
  <si>
    <t xml:space="preserve">antonio banderas power of seduction price</t>
  </si>
  <si>
    <t xml:space="preserve">antonio banderas power of seduction eau de toilette</t>
  </si>
  <si>
    <t xml:space="preserve">antonio banderas perfume · antonio banderas perfume for men · fresh perfume for men uk</t>
  </si>
  <si>
    <t xml:space="preserve">antonio banderas power of seduction review · antonio banderas power of seduction perfume · antonio banderas power of seduction edt · antonio banderas power of seduction notes · antonio banderas power of seduction 200ml · antonio banderas power of seduction price</t>
  </si>
  <si>
    <t xml:space="preserve">Antonio Banderas Power of Seduction Eau de Toilette</t>
  </si>
  <si>
    <t xml:space="preserve">Antonio Banderas Power of Seduction EDT 50ml | Swansura UK</t>
  </si>
  <si>
    <t xml:space="preserve">Buy Antonio Banderas Power of Seduction Eau de Toilette online in the UK at Swansura. A fresh men's eau de toilette. 100% authentic, free UK delivery over £50.</t>
  </si>
  <si>
    <t xml:space="preserve">FR-050</t>
  </si>
  <si>
    <t xml:space="preserve">ariana grande</t>
  </si>
  <si>
    <t xml:space="preserve">Ariana Grande Thank U, Next Eau de Parfum 100ml – Women's Fruity Floral Gourmand Fragrance</t>
  </si>
  <si>
    <t xml:space="preserve">ariana grande thank u, next</t>
  </si>
  <si>
    <t xml:space="preserve">ariana grande thank u, next uk</t>
  </si>
  <si>
    <t xml:space="preserve">buy ariana grande thank u, next online</t>
  </si>
  <si>
    <t xml:space="preserve">ariana grande thank u, next price</t>
  </si>
  <si>
    <t xml:space="preserve">ariana grande thank u, next eau de parfum</t>
  </si>
  <si>
    <t xml:space="preserve">ariana grande perfume · ariana grande perfume for women · floral perfume for women uk</t>
  </si>
  <si>
    <t xml:space="preserve">ariana grande thank u next · ariana grande thank u next perfume · ariana grande thank u next 2.0 perfume · ariana grande thank u next 2.0</t>
  </si>
  <si>
    <t xml:space="preserve">Ariana Grande Thank U, Next Eau de Parfum</t>
  </si>
  <si>
    <t xml:space="preserve">Ariana Grande Thank U, Next Eau de Parfum | Swansura UK</t>
  </si>
  <si>
    <t xml:space="preserve">Buy Ariana Grande Thank U, Next Eau de Parfum online in the UK at Swansura. A floral women's eau de parfum, 100ml. 100% authentic, free UK delivery over £50.</t>
  </si>
  <si>
    <t xml:space="preserve">FR-051</t>
  </si>
  <si>
    <t xml:space="preserve">Armaf</t>
  </si>
  <si>
    <t xml:space="preserve">Armaf Hunter Eau de Parfum 100ml – Men's Fresh Woody Aromatic Fragrance</t>
  </si>
  <si>
    <t xml:space="preserve">armaf hunter</t>
  </si>
  <si>
    <t xml:space="preserve">armaf hunter uk</t>
  </si>
  <si>
    <t xml:space="preserve">buy armaf hunter online</t>
  </si>
  <si>
    <t xml:space="preserve">armaf hunter price</t>
  </si>
  <si>
    <t xml:space="preserve">armaf hunter eau de parfum</t>
  </si>
  <si>
    <t xml:space="preserve">armaf perfume · armaf perfume for men · woody perfume for men uk</t>
  </si>
  <si>
    <t xml:space="preserve">armaf hunter dupe of · armaf hunter men · armaf hunter perfume</t>
  </si>
  <si>
    <t xml:space="preserve">Armaf Hunter Eau de Parfum</t>
  </si>
  <si>
    <t xml:space="preserve">Armaf Hunter Eau de Parfum | Buy Online UK | Swansura</t>
  </si>
  <si>
    <t xml:space="preserve">Buy Armaf Hunter Eau de Parfum online in the UK at Swansura. A woody men's eau de parfum, 100ml. 100% authentic, fast UK delivery, free over £50.</t>
  </si>
  <si>
    <t xml:space="preserve">FR-052</t>
  </si>
  <si>
    <t xml:space="preserve">Bentley</t>
  </si>
  <si>
    <t xml:space="preserve">Name says Azzaro, brand says Bentley</t>
  </si>
  <si>
    <t xml:space="preserve">Aromatic · Men's Fragrance</t>
  </si>
  <si>
    <t xml:space="preserve">Azzaro Pour Homme Deodorant Spray 150ml – Men's Aromatic Fragranced Deodorant</t>
  </si>
  <si>
    <t xml:space="preserve">150ml</t>
  </si>
  <si>
    <t xml:space="preserve">bentley azzaro pour homme deodorant</t>
  </si>
  <si>
    <t xml:space="preserve">bentley azzaro pour homme deodorant uk</t>
  </si>
  <si>
    <t xml:space="preserve">buy bentley azzaro pour homme deodorant online</t>
  </si>
  <si>
    <t xml:space="preserve">bentley azzaro pour homme deodorant price</t>
  </si>
  <si>
    <t xml:space="preserve">bentley perfume · bentley perfume for men · aromatic perfume for men uk</t>
  </si>
  <si>
    <t xml:space="preserve">Azzaro Pour Homme Deodorant Spray</t>
  </si>
  <si>
    <t xml:space="preserve">Azzaro Pour Homme Deodorant Spray | Buy Online UK | Swansura</t>
  </si>
  <si>
    <t xml:space="preserve">Buy Azzaro Pour Homme Deodorant Spray online in the UK at Swansura. An aromatic men's fragrance, 150ml. 100% authentic, fast UK delivery, free over £50.</t>
  </si>
  <si>
    <t xml:space="preserve">FR-053</t>
  </si>
  <si>
    <t xml:space="preserve">Bentley Become Eau de Parfum 100ml – Men's Fresh Woody Aromatic Fragrance</t>
  </si>
  <si>
    <t xml:space="preserve">bentley become</t>
  </si>
  <si>
    <t xml:space="preserve">bentley become uk</t>
  </si>
  <si>
    <t xml:space="preserve">buy bentley become online</t>
  </si>
  <si>
    <t xml:space="preserve">bentley become price</t>
  </si>
  <si>
    <t xml:space="preserve">bentley become eau de parfum</t>
  </si>
  <si>
    <t xml:space="preserve">bentley perfume · bentley perfume for men · woody perfume for men uk</t>
  </si>
  <si>
    <t xml:space="preserve">bentley become perfume · bentley become perfume price · bentley become review · bentley become edp</t>
  </si>
  <si>
    <t xml:space="preserve">Bentley Become Eau de Parfum</t>
  </si>
  <si>
    <t xml:space="preserve">Bentley Become Eau de Parfum | Buy Online UK | Swansura</t>
  </si>
  <si>
    <t xml:space="preserve">Buy Bentley Become Eau de Parfum online in the UK at Swansura. A woody men's eau de parfum, 100ml. 100% authentic, fast UK delivery, free over £50.</t>
  </si>
  <si>
    <t xml:space="preserve">FR-054</t>
  </si>
  <si>
    <t xml:space="preserve">Bentley For Men Absolute Eau de Parfum 100ml – Men's Woody Spicy Fragrance</t>
  </si>
  <si>
    <t xml:space="preserve">bentley absolute</t>
  </si>
  <si>
    <t xml:space="preserve">bentley absolute uk</t>
  </si>
  <si>
    <t xml:space="preserve">buy bentley absolute online</t>
  </si>
  <si>
    <t xml:space="preserve">bentley absolute price</t>
  </si>
  <si>
    <t xml:space="preserve">bentley absolute eau de parfum</t>
  </si>
  <si>
    <t xml:space="preserve">bentley absolute for men · bentley absolute men edp · bentley absolute edp · bentley absolute eau de parfum · bentley absolute review · bentley absolute for men review</t>
  </si>
  <si>
    <t xml:space="preserve">Bentley For Men Absolute Eau de Parfum</t>
  </si>
  <si>
    <t xml:space="preserve">Bentley For Men Absolute Eau de Parfum | Swansura UK</t>
  </si>
  <si>
    <t xml:space="preserve">Buy Bentley For Men Absolute Eau de Parfum online in the UK at Swansura. A woody men's eau de parfum, 100ml. 100% authentic, fast UK delivery, free over £50.</t>
  </si>
  <si>
    <t xml:space="preserve">FR-055</t>
  </si>
  <si>
    <t xml:space="preserve">Bentley For Men Silverlake Eau de Parfum 100ml – Men's Fresh Aromatic Woody Fragrance</t>
  </si>
  <si>
    <t xml:space="preserve">bentley silverlake</t>
  </si>
  <si>
    <t xml:space="preserve">bentley silverlake uk</t>
  </si>
  <si>
    <t xml:space="preserve">buy bentley silverlake online</t>
  </si>
  <si>
    <t xml:space="preserve">bentley silverlake price</t>
  </si>
  <si>
    <t xml:space="preserve">bentley silverlake eau de parfum</t>
  </si>
  <si>
    <t xml:space="preserve">bentley silverlake perfume · bentley silverlake edp · bentley silverlake review · bentley silverlake price · bentley silverlake dupe of · bentley silverlake notes</t>
  </si>
  <si>
    <t xml:space="preserve">Bentley For Men Silverlake Eau de Parfum</t>
  </si>
  <si>
    <t xml:space="preserve">Bentley For Men Silverlake Eau de Parfum | Swansura UK</t>
  </si>
  <si>
    <t xml:space="preserve">Buy Bentley For Men Silverlake Eau de Parfum online in the UK at Swansura. A woody men's eau de parfum, 100ml. 100% authentic, fast UK delivery, free over £50.</t>
  </si>
  <si>
    <t xml:space="preserve">FR-056</t>
  </si>
  <si>
    <t xml:space="preserve">Azzaro Chrome Legend Eau de Toilette 125ml – Men's Fresh Aromatic Fragrance</t>
  </si>
  <si>
    <t xml:space="preserve">bentley azzaro chrome legend</t>
  </si>
  <si>
    <t xml:space="preserve">bentley azzaro chrome legend uk</t>
  </si>
  <si>
    <t xml:space="preserve">buy bentley azzaro chrome legend online</t>
  </si>
  <si>
    <t xml:space="preserve">bentley azzaro chrome legend price</t>
  </si>
  <si>
    <t xml:space="preserve">bentley azzaro chrome legend eau de toilette</t>
  </si>
  <si>
    <t xml:space="preserve">bentley perfume · bentley perfume for men · fresh perfume for men uk</t>
  </si>
  <si>
    <t xml:space="preserve">Azzaro Chrome Legend Eau de Toilette</t>
  </si>
  <si>
    <t xml:space="preserve">Azzaro Chrome Legend EDT 125ml | Buy Online UK | Swansura</t>
  </si>
  <si>
    <t xml:space="preserve">Buy Azzaro Chrome Legend Eau de Toilette online in the UK at Swansura. A fresh men's eau de toilette, 125ml. 100% authentic, fast UK delivery, free over £50.</t>
  </si>
  <si>
    <t xml:space="preserve">FR-057</t>
  </si>
  <si>
    <t xml:space="preserve">Azzaro Chrome Legend Eau de Toilette 75ml – Men's Fresh Aromatic Fragrance</t>
  </si>
  <si>
    <t xml:space="preserve">Azzaro Chrome Legend EDT 75ml | Buy Online UK | Swansura</t>
  </si>
  <si>
    <t xml:space="preserve">Buy Azzaro Chrome Legend Eau de Toilette online in the UK at Swansura. A fresh men's eau de toilette, 75ml. 100% authentic, fast UK delivery, free over £50.</t>
  </si>
  <si>
    <t xml:space="preserve">bentley azure</t>
  </si>
  <si>
    <t xml:space="preserve">bentley azure uk</t>
  </si>
  <si>
    <t xml:space="preserve">buy bentley azure online</t>
  </si>
  <si>
    <t xml:space="preserve">bentley azure eau de toilette</t>
  </si>
  <si>
    <t xml:space="preserve">bentley azure for sale · bentley azure 2026 · bentley azure price · bentley azure perfume · bentley azure 2026 price · bentley azure for men</t>
  </si>
  <si>
    <t xml:space="preserve">Bentley For Men Azure Eau de Toilette</t>
  </si>
  <si>
    <t xml:space="preserve">Bentley For Men Azure EDT 100ml | Buy Online UK | Swansura</t>
  </si>
  <si>
    <t xml:space="preserve">Buy Bentley For Men Azure Eau de Toilette online in the UK at Swansura. A woody men's eau de toilette, 100ml. 100% authentic, fast UK delivery, free over £50.</t>
  </si>
  <si>
    <t xml:space="preserve">FR-059</t>
  </si>
  <si>
    <t xml:space="preserve">Bentley Infinite Eau de Toilette 100ml – Men's Fresh Woody Aromatic Fragrance</t>
  </si>
  <si>
    <t xml:space="preserve">bentley infinite</t>
  </si>
  <si>
    <t xml:space="preserve">bentley infinite uk</t>
  </si>
  <si>
    <t xml:space="preserve">buy bentley infinite online</t>
  </si>
  <si>
    <t xml:space="preserve">bentley infinite price</t>
  </si>
  <si>
    <t xml:space="preserve">bentley infinite eau de toilette</t>
  </si>
  <si>
    <t xml:space="preserve">bentley infinite perfume · bentley infinite edt</t>
  </si>
  <si>
    <t xml:space="preserve">Bentley Infinite Eau de Toilette</t>
  </si>
  <si>
    <t xml:space="preserve">Bentley Infinite Eau de Toilette | Buy Online UK | Swansura</t>
  </si>
  <si>
    <t xml:space="preserve">Buy Bentley Infinite Eau de Toilette online in the UK at Swansura. A woody men's eau de toilette, 100ml. 100% authentic, fast UK delivery, free over £50.</t>
  </si>
  <si>
    <t xml:space="preserve">FR-060</t>
  </si>
  <si>
    <t xml:space="preserve">Bentley Momentum Unlimited Eau de Toilette 100ml – Men's Fresh Woody Aromatic Fragrance</t>
  </si>
  <si>
    <t xml:space="preserve">bentley momentum unlimited</t>
  </si>
  <si>
    <t xml:space="preserve">bentley momentum unlimited uk</t>
  </si>
  <si>
    <t xml:space="preserve">buy bentley momentum unlimited online</t>
  </si>
  <si>
    <t xml:space="preserve">bentley momentum unlimited price</t>
  </si>
  <si>
    <t xml:space="preserve">bentley momentum unlimited eau de toilette</t>
  </si>
  <si>
    <t xml:space="preserve">bentley momentum unlimited edt · bentley momentum unlimited review · bentley momentum unlimited edt 100ml · bentley momentum unlimited price · bentley momentum unlimited notes · bentley momentum unlimited edp</t>
  </si>
  <si>
    <t xml:space="preserve">Bentley Momentum Unlimited Eau de Toilette</t>
  </si>
  <si>
    <t xml:space="preserve">Bentley Momentum Unlimited Eau de Toilette | Swansura UK</t>
  </si>
  <si>
    <t xml:space="preserve">Buy Bentley Momentum Unlimited Eau de Toilette online in the UK at Swansura. A woody men's eau de toilette, 100ml. 100% authentic, free UK delivery over £50.</t>
  </si>
  <si>
    <t xml:space="preserve">FR-061</t>
  </si>
  <si>
    <t xml:space="preserve">Azzaro The Most Wanted Eau de Toilette Intense Gift Set 100ml + 2x10ml – Men's Fragrance Set</t>
  </si>
  <si>
    <t xml:space="preserve">bentley azzaro the most wanted intense gift set</t>
  </si>
  <si>
    <t xml:space="preserve">bentley azzaro the most wanted intense gift set uk</t>
  </si>
  <si>
    <t xml:space="preserve">buy bentley azzaro the most wanted intense gift set online</t>
  </si>
  <si>
    <t xml:space="preserve">bentley azzaro the most wanted intense gift set price</t>
  </si>
  <si>
    <t xml:space="preserve">Azzaro The Most Wanted Eau de Toilette Intense Gift Set</t>
  </si>
  <si>
    <t xml:space="preserve">Azzaro The Most Wanted Intense Gift Set 100ml | Swansura UK</t>
  </si>
  <si>
    <t xml:space="preserve">Buy Azzaro The Most Wanted Eau de Toilette Intense Gift Set at Swansura UK. A woody men's eau de toilette, 100ml. 100% authentic, free UK delivery over £50.</t>
  </si>
  <si>
    <t xml:space="preserve">FR-062</t>
  </si>
  <si>
    <t xml:space="preserve">Parfum</t>
  </si>
  <si>
    <t xml:space="preserve">Amber · Men's Fragrance</t>
  </si>
  <si>
    <t xml:space="preserve">Azzaro The Most Wanted Parfum 100ml – Men's Warm Spicy Amber Fragrance</t>
  </si>
  <si>
    <t xml:space="preserve">bentley azzaro the most wanted</t>
  </si>
  <si>
    <t xml:space="preserve">bentley azzaro the most wanted uk</t>
  </si>
  <si>
    <t xml:space="preserve">buy bentley azzaro the most wanted online</t>
  </si>
  <si>
    <t xml:space="preserve">bentley azzaro the most wanted price</t>
  </si>
  <si>
    <t xml:space="preserve">bentley azzaro the most wanted parfum</t>
  </si>
  <si>
    <t xml:space="preserve">bentley perfume · bentley perfume for men · amber perfume for men uk</t>
  </si>
  <si>
    <t xml:space="preserve">Azzaro The Most Wanted Parfum</t>
  </si>
  <si>
    <t xml:space="preserve">Azzaro The Most Wanted Parfum | Buy Online UK | Swansura</t>
  </si>
  <si>
    <t xml:space="preserve">Buy Azzaro The Most Wanted Parfum online in the UK at Swansura. An amber men's parfum, 100ml. 100% authentic, fast UK delivery, free over £50.</t>
  </si>
  <si>
    <t xml:space="preserve">FR-063</t>
  </si>
  <si>
    <t xml:space="preserve">Burberry</t>
  </si>
  <si>
    <t xml:space="preserve">Burberry My Burberry Eau de Parfum 50ml – Women's Floral Fragrance</t>
  </si>
  <si>
    <t xml:space="preserve">burberry my burberry</t>
  </si>
  <si>
    <t xml:space="preserve">burberry my burberry uk</t>
  </si>
  <si>
    <t xml:space="preserve">buy burberry my burberry online</t>
  </si>
  <si>
    <t xml:space="preserve">burberry my burberry price</t>
  </si>
  <si>
    <t xml:space="preserve">burberry my burberry eau de parfum</t>
  </si>
  <si>
    <t xml:space="preserve">burberry perfume · burberry perfume for women · floral perfume for women uk</t>
  </si>
  <si>
    <t xml:space="preserve">burberry my burberry perfume · burberry my burberry eau de parfum · burberry my burberry edp · burberry my burberry eau de parfum 90ml</t>
  </si>
  <si>
    <t xml:space="preserve">Burberry My Burberry Eau de Parfum</t>
  </si>
  <si>
    <t xml:space="preserve">Burberry My Burberry EDP 50ml | Buy Online UK | Swansura</t>
  </si>
  <si>
    <t xml:space="preserve">Buy Burberry My Burberry Eau de Parfum online in the UK at Swansura. A floral women's eau de parfum, 50ml. 100% authentic, fast UK delivery, free over £50.</t>
  </si>
  <si>
    <t xml:space="preserve">FR-064</t>
  </si>
  <si>
    <t xml:space="preserve">Burberry My Burberry Eau de Parfum 90ml – Women's Floral Fragrance</t>
  </si>
  <si>
    <t xml:space="preserve">90ml</t>
  </si>
  <si>
    <t xml:space="preserve">Burberry My Burberry EDP 90ml | Buy Online UK | Swansura</t>
  </si>
  <si>
    <t xml:space="preserve">Buy Burberry My Burberry Eau de Parfum online in the UK at Swansura. A floral women's eau de parfum, 90ml. 100% authentic, fast UK delivery, free over £50.</t>
  </si>
  <si>
    <t xml:space="preserve">FR-065</t>
  </si>
  <si>
    <t xml:space="preserve">Burberry Women's Miniature Perfume Set 4x5ml – Her London Dream, Her EDT &amp; Her EDP</t>
  </si>
  <si>
    <t xml:space="preserve">4x5ml</t>
  </si>
  <si>
    <t xml:space="preserve">burberry miniature set</t>
  </si>
  <si>
    <t xml:space="preserve">burberry miniature set uk</t>
  </si>
  <si>
    <t xml:space="preserve">buy burberry miniature set online</t>
  </si>
  <si>
    <t xml:space="preserve">burberry miniature set price</t>
  </si>
  <si>
    <t xml:space="preserve">burberry perfume · burberry perfume for women · woody perfume for women uk</t>
  </si>
  <si>
    <t xml:space="preserve">burberry mini set · burberry mini set perfume · burberry mini set 4 · burberry miniature perfume set</t>
  </si>
  <si>
    <t xml:space="preserve">Burberry Women's Miniature Perfume Set 4x5ml</t>
  </si>
  <si>
    <t xml:space="preserve">Burberry Women's Miniature Perfume Set 4x5ml | Swansura UK</t>
  </si>
  <si>
    <t xml:space="preserve">Buy Burberry Women's Miniature Perfume Set 4x5ml online in the UK at Swansura. A woody women's eau de parfum, 4x5ml. 100% authentic, free UK delivery over £50.</t>
  </si>
  <si>
    <t xml:space="preserve">FR-066</t>
  </si>
  <si>
    <t xml:space="preserve">Burberry My Burberry Black Parfum 50ml – Women's Rich Floral Amber Fragrance</t>
  </si>
  <si>
    <t xml:space="preserve">burberry my burberry black</t>
  </si>
  <si>
    <t xml:space="preserve">burberry my burberry black uk</t>
  </si>
  <si>
    <t xml:space="preserve">buy burberry my burberry black online</t>
  </si>
  <si>
    <t xml:space="preserve">burberry my burberry black price</t>
  </si>
  <si>
    <t xml:space="preserve">burberry my burberry black parfum</t>
  </si>
  <si>
    <t xml:space="preserve">burberry my burberry black parfum · burberry my burberry black eau de parfum · burberry my burberry black parfum 90ml · burberry my burberry black eau de parfum 50ml · burberry my burberry black eau de parfum 90ml · burberry my burberry black edp</t>
  </si>
  <si>
    <t xml:space="preserve">Burberry My Burberry Black Parfum</t>
  </si>
  <si>
    <t xml:space="preserve">Burberry My Burberry Black Parfum | Buy Online UK | Swansura</t>
  </si>
  <si>
    <t xml:space="preserve">Buy Burberry My Burberry Black Parfum online in the UK at Swansura. A floral women's parfum, 50ml. 100% authentic, fast UK delivery, free over £50.</t>
  </si>
  <si>
    <t xml:space="preserve">FR-067</t>
  </si>
  <si>
    <t xml:space="preserve">Burberry My Burberry Black Parfum 90ml – Women's Rich Floral Amber Fragrance</t>
  </si>
  <si>
    <t xml:space="preserve">Buy Burberry My Burberry Black Parfum online in the UK at Swansura. A floral women's parfum, 90ml. 100% authentic, fast UK delivery, free over £50.</t>
  </si>
  <si>
    <t xml:space="preserve">Bvlgari</t>
  </si>
  <si>
    <t xml:space="preserve">bvlgari man in black</t>
  </si>
  <si>
    <t xml:space="preserve">bvlgari man in black uk</t>
  </si>
  <si>
    <t xml:space="preserve">buy bvlgari man in black online</t>
  </si>
  <si>
    <t xml:space="preserve">bvlgari man in black price</t>
  </si>
  <si>
    <t xml:space="preserve">bvlgari man in black eau de parfum</t>
  </si>
  <si>
    <t xml:space="preserve">bvlgari perfume · bvlgari perfume for men · woody perfume for men uk</t>
  </si>
  <si>
    <t xml:space="preserve">bvlgari man in black parfum · bvlgari man in black perfume · bvlgari man in black eau de parfum · bvlgari man in black edp · bvlgari man in black price · bvlgari man in black notes</t>
  </si>
  <si>
    <t xml:space="preserve">Bvlgari Man in Black Eau de Parfum</t>
  </si>
  <si>
    <t xml:space="preserve">Bvlgari Man in Black EDP 100ml | Buy Online UK | Swansura</t>
  </si>
  <si>
    <t xml:space="preserve">Buy Bvlgari Man in Black Eau de Parfum online in the UK at Swansura. A woody men's eau de parfum, 100ml. 100% authentic, fast UK delivery, free over £50.</t>
  </si>
  <si>
    <t xml:space="preserve">FR-069</t>
  </si>
  <si>
    <t xml:space="preserve">Bvlgari Splendida Tubereuse Mystique Eau de Parfum 100ml – Luxury Women's Floral Fragrance</t>
  </si>
  <si>
    <t xml:space="preserve">bvlgari splendida tubereuse mystique</t>
  </si>
  <si>
    <t xml:space="preserve">bvlgari splendida tubereuse mystique uk</t>
  </si>
  <si>
    <t xml:space="preserve">buy bvlgari splendida tubereuse mystique online</t>
  </si>
  <si>
    <t xml:space="preserve">bvlgari splendida tubereuse mystique price</t>
  </si>
  <si>
    <t xml:space="preserve">bvlgari splendida tubereuse mystique eau de parfum</t>
  </si>
  <si>
    <t xml:space="preserve">bvlgari perfume · bvlgari perfume for women · floral perfume for women uk</t>
  </si>
  <si>
    <t xml:space="preserve">bvlgari splendida tubereuse mystique eau de parfum · bvlgari splendida tubereuse mystique review · bvlgari splendida tubereuse mystique 100ml · bvlgari splendida tubereuse mystique eau de parfum 50ml · bvlgari splendida tubereuse mystique notes · bvlgari splendida tubereuse mystique edp</t>
  </si>
  <si>
    <t xml:space="preserve">Bvlgari Splendida Tubereuse Mystique Eau de Parfum</t>
  </si>
  <si>
    <t xml:space="preserve">Bvlgari Splendida Tubereuse Mystique EDP 100ml | Swansura UK</t>
  </si>
  <si>
    <t xml:space="preserve">Buy Bvlgari Splendida Tubereuse Mystique Eau de Parfum online in the UK at Swansura. A floral women's eau de parfum. 100% authentic, free UK delivery over £50.</t>
  </si>
  <si>
    <t xml:space="preserve">25ml</t>
  </si>
  <si>
    <t xml:space="preserve">bvlgari omnia amethyste</t>
  </si>
  <si>
    <t xml:space="preserve">bvlgari omnia amethyste uk</t>
  </si>
  <si>
    <t xml:space="preserve">buy bvlgari omnia amethyste online</t>
  </si>
  <si>
    <t xml:space="preserve">bvlgari omnia amethyste price</t>
  </si>
  <si>
    <t xml:space="preserve">bvlgari omnia amethyste eau de toilette</t>
  </si>
  <si>
    <t xml:space="preserve">bvlgari omnia amethyste price · bvlgari omnia amethyste notes · bvlgari omnia amethyste dupe · bvlgari omnia amethyste 100ml · bvlgari omnia amethyste edp · bvlgari omnia amethyste review</t>
  </si>
  <si>
    <t xml:space="preserve">Bvlgari Omnia Amethyste Eau de Toilette</t>
  </si>
  <si>
    <t xml:space="preserve">Bvlgari Omnia Amethyste EDT 25ml | Buy Online UK | Swansura</t>
  </si>
  <si>
    <t xml:space="preserve">Buy Bvlgari Omnia Amethyste Eau de Toilette online in the UK at Swansura. A floral women's eau de toilette, 25ml. 100% authentic, free UK delivery over £50.</t>
  </si>
  <si>
    <t xml:space="preserve">FR-071</t>
  </si>
  <si>
    <t xml:space="preserve">Bvlgari Man Glacial Essence EDP Gift Set 100ml + 15ml – Men's Fragrance Set</t>
  </si>
  <si>
    <t xml:space="preserve">bvlgari man glacial essence gift set</t>
  </si>
  <si>
    <t xml:space="preserve">bvlgari man glacial essence gift set uk</t>
  </si>
  <si>
    <t xml:space="preserve">buy bvlgari man glacial essence gift set online</t>
  </si>
  <si>
    <t xml:space="preserve">bvlgari man glacial essence gift set price</t>
  </si>
  <si>
    <t xml:space="preserve">bvlgari man glacial essence set · bvlgari man glacial essence eau de parfum gift set 100ml · bvlgari man glacial essence kit · bvlgari man glacial essence review · bvlgari glacial essence price · bvlgari man glacial essence eau de parfum review</t>
  </si>
  <si>
    <t xml:space="preserve">Bvlgari Man Glacial Essence EDP Gift Set</t>
  </si>
  <si>
    <t xml:space="preserve">Bvlgari Man Glacial Essence EDP Gift Set | Swansura UK</t>
  </si>
  <si>
    <t xml:space="preserve">Buy Bvlgari Man Glacial Essence EDP Gift Set online in the UK at Swansura. A woody men's eau de parfum, 100ml. 100% authentic, fast UK delivery, free over £50.</t>
  </si>
  <si>
    <t xml:space="preserve">FR-072</t>
  </si>
  <si>
    <t xml:space="preserve">Bvlgari Man Rain Essence Eau de Parfum Gift Set 100ml + 15ml – Luxury Men's Fragrance Set</t>
  </si>
  <si>
    <t xml:space="preserve">bvlgari man rain essence gift set</t>
  </si>
  <si>
    <t xml:space="preserve">bvlgari man rain essence gift set uk</t>
  </si>
  <si>
    <t xml:space="preserve">buy bvlgari man rain essence gift set online</t>
  </si>
  <si>
    <t xml:space="preserve">bvlgari man rain essence gift set price</t>
  </si>
  <si>
    <t xml:space="preserve">bvlgari man rain essence gift set 100ml edp 15ml edp · bvlgari man rain essence eau de parfum gift set · bvlgari man rain essence eau de parfum gift set 100ml · bvlgari man rain essence set · bvlgari man rain essence kit</t>
  </si>
  <si>
    <t xml:space="preserve">Bvlgari Man Rain Essence Eau de Parfum Gift Set</t>
  </si>
  <si>
    <t xml:space="preserve">Bvlgari Man Rain Essence Gift Set EDP 100ml | Swansura UK</t>
  </si>
  <si>
    <t xml:space="preserve">Buy Bvlgari Man Rain Essence Eau de Parfum Gift Set online in the UK at Swansura. A woody men's eau de parfum, 100ml. 100% authentic, free UK delivery over £50.</t>
  </si>
  <si>
    <t xml:space="preserve">FR-073</t>
  </si>
  <si>
    <t xml:space="preserve">Bvlgari Man Terrae Essence Eau de Parfum Gift Set 100ml + 15ml – New Pack Men's Fragrance Set</t>
  </si>
  <si>
    <t xml:space="preserve">bvlgari man terrae essence gift set</t>
  </si>
  <si>
    <t xml:space="preserve">bvlgari man terrae essence gift set uk</t>
  </si>
  <si>
    <t xml:space="preserve">buy bvlgari man terrae essence gift set online</t>
  </si>
  <si>
    <t xml:space="preserve">bvlgari man terrae essence gift set price</t>
  </si>
  <si>
    <t xml:space="preserve">bvlgari man terrae essence eau de parfum gift set · bvlgari man terrae essence set · bvlgari man terrae essence edp set 115 ml</t>
  </si>
  <si>
    <t xml:space="preserve">Bvlgari Man Terrae Essence Eau de Parfum Gift Set</t>
  </si>
  <si>
    <t xml:space="preserve">Bvlgari Man Terrae Essence Gift Set EDP 100ml | Swansura UK</t>
  </si>
  <si>
    <t xml:space="preserve">Buy Bvlgari Man Terrae Essence Eau de Parfum Gift Set online in the UK at Swansura. A woody men's eau de parfum. 100% authentic, free UK delivery over £50.</t>
  </si>
  <si>
    <t xml:space="preserve">FR-074</t>
  </si>
  <si>
    <t xml:space="preserve">Bvlgari Man Wood Essence Eau de Parfum Gift Set 100ml + 15ml – Soft Box Men's Fragrance Set</t>
  </si>
  <si>
    <t xml:space="preserve">bvlgari man wood essence gift set</t>
  </si>
  <si>
    <t xml:space="preserve">bvlgari man wood essence gift set uk</t>
  </si>
  <si>
    <t xml:space="preserve">buy bvlgari man wood essence gift set online</t>
  </si>
  <si>
    <t xml:space="preserve">bvlgari man wood essence gift set price</t>
  </si>
  <si>
    <t xml:space="preserve">bvlgari man wood essence gift set 100ml edp 15ml edp · bvlgari man wood essence set · bvlgari man wood essence eau de parfum gift set 100ml · bvlgari man wood essence eau de parfum gift set · bvlgari man wood essence edp set · bvlgari man wood essence kit</t>
  </si>
  <si>
    <t xml:space="preserve">Bvlgari Man Wood Essence Eau de Parfum Gift Set</t>
  </si>
  <si>
    <t xml:space="preserve">Bvlgari Man Wood Essence Gift Set EDP 100ml | Swansura UK</t>
  </si>
  <si>
    <t xml:space="preserve">Buy Bvlgari Man Wood Essence Eau de Parfum Gift Set online in the UK at Swansura. A woody men's eau de parfum, 100ml. 100% authentic, free UK delivery over £50.</t>
  </si>
  <si>
    <t xml:space="preserve">FR-075</t>
  </si>
  <si>
    <t xml:space="preserve">Bvlgari Rose Goldea Blossom Delight Eau de Parfum Gift Set 75ml + 15ml – New Pack Women's Fragrance Set</t>
  </si>
  <si>
    <t xml:space="preserve">bvlgari rose goldea blossom delight gift set</t>
  </si>
  <si>
    <t xml:space="preserve">bvlgari rose goldea blossom delight gift set uk</t>
  </si>
  <si>
    <t xml:space="preserve">buy bvlgari rose goldea blossom delight gift set online</t>
  </si>
  <si>
    <t xml:space="preserve">bvlgari rose goldea blossom delight gift set price</t>
  </si>
  <si>
    <t xml:space="preserve">bvlgari rose goldea blossom delight set · bvlgari rose goldea blossom delight eau de parfum gift set · bvlgari rose goldea blossom delight edp set · bvlgari - rose goldea blossom delight kit · bvlgari rose goldea blossom delight price · bvlgari rose goldea blossom delight 75ml price</t>
  </si>
  <si>
    <t xml:space="preserve">Bvlgari Rose Goldea Blossom Delight Eau de Parfum Gift Set</t>
  </si>
  <si>
    <t xml:space="preserve">Bvlgari Rose Goldea Blossom Delight Gift Set | Swansura UK</t>
  </si>
  <si>
    <t xml:space="preserve">Buy Bvlgari Rose Goldea Blossom Delight Eau de Parfum Gift Set at Swansura UK. A floral women's eau de parfum, 75ml. 100% authentic, free UK delivery over £50.</t>
  </si>
  <si>
    <t xml:space="preserve">FR-076</t>
  </si>
  <si>
    <t xml:space="preserve">Calvin klein</t>
  </si>
  <si>
    <t xml:space="preserve">Calvin Klein Defy Eau de Parfum 10ml Miniature – Men's Fresh Woody Fragrance</t>
  </si>
  <si>
    <t xml:space="preserve">calvin klein defy miniature</t>
  </si>
  <si>
    <t xml:space="preserve">calvin klein defy miniature uk</t>
  </si>
  <si>
    <t xml:space="preserve">buy calvin klein defy miniature online</t>
  </si>
  <si>
    <t xml:space="preserve">calvin klein defy miniature price</t>
  </si>
  <si>
    <t xml:space="preserve">calvin klein defy miniature eau de parfum</t>
  </si>
  <si>
    <t xml:space="preserve">calvin klein perfume · calvin klein perfume for men · woody perfume for men uk</t>
  </si>
  <si>
    <t xml:space="preserve">Calvin Klein Defy Eau de Parfum Miniature</t>
  </si>
  <si>
    <t xml:space="preserve">Calvin Klein Defy Eau de Parfum Miniature | Swansura UK</t>
  </si>
  <si>
    <t xml:space="preserve">Buy Calvin Klein Defy Eau de Parfum Miniature online in the UK at Swansura. A woody men's eau de parfum, 10ml. 100% authentic, fast UK delivery, free over £50.</t>
  </si>
  <si>
    <t xml:space="preserve">calvin klein eternity</t>
  </si>
  <si>
    <t xml:space="preserve">calvin klein eternity uk</t>
  </si>
  <si>
    <t xml:space="preserve">buy calvin klein eternity online</t>
  </si>
  <si>
    <t xml:space="preserve">calvin klein eternity price</t>
  </si>
  <si>
    <t xml:space="preserve">calvin klein eternity eau de parfum</t>
  </si>
  <si>
    <t xml:space="preserve">calvin klein perfume · calvin klein perfume for women · floral perfume for women uk</t>
  </si>
  <si>
    <t xml:space="preserve">calvin klein eternity for men · calvin klein eternity for women · calvin klein eternity perfume · calvin klein eternity eau de parfum</t>
  </si>
  <si>
    <t xml:space="preserve">Calvin Klein Eternity Eau de Parfum</t>
  </si>
  <si>
    <t xml:space="preserve">Calvin Klein Eternity EDP 30ml | Buy Online UK | Swansura</t>
  </si>
  <si>
    <t xml:space="preserve">Buy Calvin Klein Eternity Eau de Parfum online in the UK at Swansura. A floral women's eau de parfum, 30ml. 100% authentic, fast UK delivery, free over £50.</t>
  </si>
  <si>
    <t xml:space="preserve">FR-078</t>
  </si>
  <si>
    <t xml:space="preserve">Calvin Klein My Euphoria Eau de Parfum 10ml Miniature – Women's Floral Gourmand Fragrance</t>
  </si>
  <si>
    <t xml:space="preserve">calvin klein my euphoria miniature</t>
  </si>
  <si>
    <t xml:space="preserve">calvin klein my euphoria miniature uk</t>
  </si>
  <si>
    <t xml:space="preserve">buy calvin klein my euphoria miniature online</t>
  </si>
  <si>
    <t xml:space="preserve">calvin klein my euphoria miniature price</t>
  </si>
  <si>
    <t xml:space="preserve">calvin klein my euphoria miniature eau de parfum</t>
  </si>
  <si>
    <t xml:space="preserve">Calvin Klein My Euphoria Eau de Parfum Miniature</t>
  </si>
  <si>
    <t xml:space="preserve">Calvin Klein My Euphoria Miniature EDP 10ml | Swansura UK</t>
  </si>
  <si>
    <t xml:space="preserve">Buy Calvin Klein My Euphoria Eau de Parfum Miniature online in the UK at Swansura. A floral women's eau de parfum. 100% authentic, free UK delivery over £50.</t>
  </si>
  <si>
    <t xml:space="preserve">FR-079</t>
  </si>
  <si>
    <t xml:space="preserve">Calvin Klein Eternity for Men Eau de Toilette 100ml – Men's Fresh Aromatic Fragrance</t>
  </si>
  <si>
    <t xml:space="preserve">calvin klein eternity eau de toilette</t>
  </si>
  <si>
    <t xml:space="preserve">calvin klein perfume · calvin klein perfume for men · fresh perfume for men uk</t>
  </si>
  <si>
    <t xml:space="preserve">Calvin Klein Eternity for Men Eau de Toilette</t>
  </si>
  <si>
    <t xml:space="preserve">Calvin Klein Eternity for Men Eau de Toilette | Swansura UK</t>
  </si>
  <si>
    <t xml:space="preserve">Buy Calvin Klein Eternity for Men Eau de Toilette online in the UK at Swansura. A fresh men's eau de toilette, 100ml. 100% authentic, free UK delivery over £50.</t>
  </si>
  <si>
    <t xml:space="preserve">FR-080</t>
  </si>
  <si>
    <t xml:space="preserve">Calvin Klein Women's Miniature Fragrance Set 4x15ml – Obsession, Eternity &amp; CK One</t>
  </si>
  <si>
    <t xml:space="preserve">4x15ml</t>
  </si>
  <si>
    <t xml:space="preserve">calvin klein miniature set</t>
  </si>
  <si>
    <t xml:space="preserve">calvin klein miniature set uk</t>
  </si>
  <si>
    <t xml:space="preserve">buy calvin klein miniature set online</t>
  </si>
  <si>
    <t xml:space="preserve">calvin klein miniature set price</t>
  </si>
  <si>
    <t xml:space="preserve">calvin klein perfume · calvin klein perfume for women · woody perfume for women uk</t>
  </si>
  <si>
    <t xml:space="preserve">calvin klein miniature set for men · calvin klein mini set · calvin klein mini set women · calvin klein mini set perfume · calvin klein miniature perfume set</t>
  </si>
  <si>
    <t xml:space="preserve">Calvin Klein Women's Miniature Fragrance Set 4x15ml</t>
  </si>
  <si>
    <t xml:space="preserve">Calvin Klein Women's Miniature Fragrance Set | Swansura UK</t>
  </si>
  <si>
    <t xml:space="preserve">Buy Calvin Klein Women's Miniature Fragrance Set 4x15ml online in the UK at Swansura. A woody women's fragrance. 100% authentic, free UK delivery over £50.</t>
  </si>
  <si>
    <t xml:space="preserve">FR-081</t>
  </si>
  <si>
    <t xml:space="preserve">Calvin Klein Defy Parfum 10ml Miniature – Men's Warm Woody Fragrance</t>
  </si>
  <si>
    <t xml:space="preserve">calvin klein defy parfum miniature</t>
  </si>
  <si>
    <t xml:space="preserve">calvin klein defy parfum miniature uk</t>
  </si>
  <si>
    <t xml:space="preserve">buy calvin klein defy parfum miniature online</t>
  </si>
  <si>
    <t xml:space="preserve">calvin klein defy parfum miniature price</t>
  </si>
  <si>
    <t xml:space="preserve">calvin klein defy parfum miniature parfum</t>
  </si>
  <si>
    <t xml:space="preserve">Calvin Klein Defy Parfum Miniature</t>
  </si>
  <si>
    <t xml:space="preserve">Calvin Klein Defy Miniature Parfum 10ml | Swansura UK</t>
  </si>
  <si>
    <t xml:space="preserve">Buy Calvin Klein Defy Parfum Miniature online in the UK at Swansura. A woody men's parfum, 10ml. 100% authentic, fast UK delivery, free over £50.</t>
  </si>
  <si>
    <t xml:space="preserve">200ml</t>
  </si>
  <si>
    <t xml:space="preserve">calvin klein defy</t>
  </si>
  <si>
    <t xml:space="preserve">calvin klein defy uk</t>
  </si>
  <si>
    <t xml:space="preserve">buy calvin klein defy online</t>
  </si>
  <si>
    <t xml:space="preserve">calvin klein defy price</t>
  </si>
  <si>
    <t xml:space="preserve">calvin klein defy parfum</t>
  </si>
  <si>
    <t xml:space="preserve">calvin klein defy parfum · calvin klein defy perfume · calvin klein defy eau de parfum · calvin klein defy perfume price · calvin klein defy edp · calvin klein defy review</t>
  </si>
  <si>
    <t xml:space="preserve">Calvin Klein Defy Parfum</t>
  </si>
  <si>
    <t xml:space="preserve">Calvin Klein Defy Parfum | Buy Online UK | Swansura</t>
  </si>
  <si>
    <t xml:space="preserve">Buy Calvin Klein Defy Parfum online in the UK at Swansura. A woody men's parfum, 200ml. 100% authentic, fast UK delivery, free over £50.</t>
  </si>
  <si>
    <t xml:space="preserve">FR-083</t>
  </si>
  <si>
    <t xml:space="preserve">FR-084</t>
  </si>
  <si>
    <t xml:space="preserve">Calvin Klein Eternity Aromatic Essence Parfum Intense 10ml Miniature – Men's Aromatic Woody Fragrance</t>
  </si>
  <si>
    <t xml:space="preserve">calvin klein eternity aromatic essence parfum intense miniature</t>
  </si>
  <si>
    <t xml:space="preserve">calvin klein eternity aromatic essence parfum intense miniature uk</t>
  </si>
  <si>
    <t xml:space="preserve">buy calvin klein eternity aromatic essence parfum intense miniature online</t>
  </si>
  <si>
    <t xml:space="preserve">calvin klein eternity aromatic essence parfum intense miniature price</t>
  </si>
  <si>
    <t xml:space="preserve">calvin klein eternity aromatic essence parfum intense miniature parfum</t>
  </si>
  <si>
    <t xml:space="preserve">Calvin Klein Eternity Aromatic Essence Parfum Intense Miniature</t>
  </si>
  <si>
    <t xml:space="preserve">Calvin Klein Eternity Aromatic Essence | Swansura UK</t>
  </si>
  <si>
    <t xml:space="preserve">Buy Calvin Klein Eternity Aromatic Essence Parfum Intense Miniature online in the UK at Swansura. Woody parfum. 100% authentic, fast UK delivery, free over £50.</t>
  </si>
  <si>
    <t xml:space="preserve">FR-085</t>
  </si>
  <si>
    <t xml:space="preserve">Calvin Klein Eternity Aromatic Essence Parfum Intense 10ml Miniature – Women's Aromatic Floral Fragrance</t>
  </si>
  <si>
    <t xml:space="preserve">Buy Calvin Klein Eternity Aromatic Essence Parfum Intense Miniature at Swansura UK. A floral women's parfum, 10ml. 100% authentic, free UK delivery over £50.</t>
  </si>
  <si>
    <t xml:space="preserve">FR-086</t>
  </si>
  <si>
    <t xml:space="preserve">Calvin Klein Eternity Parfum 10ml Miniature – Men's Warm Aromatic Fragrance</t>
  </si>
  <si>
    <t xml:space="preserve">calvin klein eternity parfum miniature</t>
  </si>
  <si>
    <t xml:space="preserve">calvin klein eternity parfum miniature uk</t>
  </si>
  <si>
    <t xml:space="preserve">buy calvin klein eternity parfum miniature online</t>
  </si>
  <si>
    <t xml:space="preserve">calvin klein eternity parfum miniature price</t>
  </si>
  <si>
    <t xml:space="preserve">calvin klein eternity parfum miniature parfum</t>
  </si>
  <si>
    <t xml:space="preserve">calvin klein perfume · calvin klein perfume for men · aromatic perfume for men uk</t>
  </si>
  <si>
    <t xml:space="preserve">calvin klein perfume eternity mini</t>
  </si>
  <si>
    <t xml:space="preserve">Calvin Klein Eternity Parfum Miniature</t>
  </si>
  <si>
    <t xml:space="preserve">Calvin Klein Eternity Parfum Miniature | Swansura UK</t>
  </si>
  <si>
    <t xml:space="preserve">Buy Calvin Klein Eternity Parfum Miniature online in the UK at Swansura. An aromatic men's parfum, 10ml. 100% authentic, fast UK delivery, free over £50.</t>
  </si>
  <si>
    <t xml:space="preserve">FR-087</t>
  </si>
  <si>
    <t xml:space="preserve">Carolina Herrera</t>
  </si>
  <si>
    <t xml:space="preserve">Carolina Herrera 212 VIP Rosé Eau de Parfum 125ml – Women's Floral Fruity Fragrance</t>
  </si>
  <si>
    <t xml:space="preserve">carolina herrera 212 vip rose</t>
  </si>
  <si>
    <t xml:space="preserve">carolina herrera 212 vip rose uk</t>
  </si>
  <si>
    <t xml:space="preserve">buy carolina herrera 212 vip rose online</t>
  </si>
  <si>
    <t xml:space="preserve">carolina herrera 212 vip rose price</t>
  </si>
  <si>
    <t xml:space="preserve">carolina herrera 212 vip rose eau de parfum</t>
  </si>
  <si>
    <t xml:space="preserve">carolina herrera perfume · carolina herrera perfume for women · floral perfume for women uk</t>
  </si>
  <si>
    <t xml:space="preserve">carolina herrera 212 vip rose eau de parfum 50ml · carolina herrera 212 vip rose eau de parfum · carolina herrera 212 vip rose review · carolina herrera 212 vip rose 100ml · carolina herrera 212 vip rose notes · carolina herrera 212 vip rose women</t>
  </si>
  <si>
    <t xml:space="preserve">Carolina Herrera 212 VIP Rosé Eau de Parfum</t>
  </si>
  <si>
    <t xml:space="preserve">Carolina Herrera 212 VIP Rosé Eau de Parfum | Swansura UK</t>
  </si>
  <si>
    <t xml:space="preserve">Buy Carolina Herrera 212 VIP Rosé Eau de Parfum online in the UK at Swansura. A floral women's eau de parfum, 125ml. 100% authentic, free UK delivery over £50.</t>
  </si>
  <si>
    <t xml:space="preserve">carolina herrera bad boy extreme</t>
  </si>
  <si>
    <t xml:space="preserve">carolina herrera bad boy extreme uk</t>
  </si>
  <si>
    <t xml:space="preserve">buy carolina herrera bad boy extreme online</t>
  </si>
  <si>
    <t xml:space="preserve">carolina herrera bad boy extreme price</t>
  </si>
  <si>
    <t xml:space="preserve">carolina herrera bad boy extreme eau de parfum</t>
  </si>
  <si>
    <t xml:space="preserve">carolina herrera perfume · carolina herrera perfume for men · amber perfume for men uk</t>
  </si>
  <si>
    <t xml:space="preserve">carolina herrera bad boy extreme 100ml · carolina herrera bad boy extreme eau de parfum · carolina herrera bad boy extreme notes · carolina herrera bad boy extreme 150ml · carolina herrera bad boy extreme edp · carolina herrera bad boy extreme review</t>
  </si>
  <si>
    <t xml:space="preserve">Carolina Herrera Bad Boy Extreme Eau de Parfum</t>
  </si>
  <si>
    <t xml:space="preserve">Carolina Herrera Bad Boy Extreme Eau de Parfum | Swansura UK</t>
  </si>
  <si>
    <t xml:space="preserve">Buy Carolina Herrera Bad Boy Extreme Eau de Parfum online in the UK at Swansura. An amber men's eau de parfum, 50ml. 100% authentic, free UK delivery over £50.</t>
  </si>
  <si>
    <t xml:space="preserve">FR-089</t>
  </si>
  <si>
    <t xml:space="preserve">FR-090</t>
  </si>
  <si>
    <t xml:space="preserve">Carolina Herrera Bad Boy Le Parfum Eau de Parfum 10ml – Men's Woody Aromatic Fragrance</t>
  </si>
  <si>
    <t xml:space="preserve">carolina herrera bad boy le</t>
  </si>
  <si>
    <t xml:space="preserve">carolina herrera bad boy le uk</t>
  </si>
  <si>
    <t xml:space="preserve">buy carolina herrera bad boy le online</t>
  </si>
  <si>
    <t xml:space="preserve">carolina herrera bad boy le price</t>
  </si>
  <si>
    <t xml:space="preserve">carolina herrera bad boy le eau de parfum</t>
  </si>
  <si>
    <t xml:space="preserve">carolina herrera perfume · carolina herrera perfume for men · woody perfume for men uk</t>
  </si>
  <si>
    <t xml:space="preserve">carolina herrera bad boy le parfum · carolina herrera bad boy le parfum 100ml · carolina herrera bad boy le parfum notes · carolina herrera bad boy le parfum review · carolina herrera bad boy le parfum eau de parfum · carolina herrera bad boy le parfum 150ml</t>
  </si>
  <si>
    <t xml:space="preserve">Carolina Herrera Bad Boy Le Parfum Eau de Parfum</t>
  </si>
  <si>
    <t xml:space="preserve">Carolina Herrera Bad Boy Le EDP 10ml | Swansura UK</t>
  </si>
  <si>
    <t xml:space="preserve">Buy Carolina Herrera Bad Boy Le Parfum Eau de Parfum online in the UK at Swansura. A woody men's eau de parfum, 10ml. 100% authentic, free UK delivery over £50.</t>
  </si>
  <si>
    <t xml:space="preserve">FR-091</t>
  </si>
  <si>
    <t xml:space="preserve">Carolina Herrera Bad Boy Le Parfum Eau de Parfum 150ml – Men's Woody Aromatic Fragrance</t>
  </si>
  <si>
    <t xml:space="preserve">Carolina Herrera Bad Boy Le EDP 150ml | Swansura UK</t>
  </si>
  <si>
    <t xml:space="preserve">Buy Carolina Herrera Bad Boy Le Parfum Eau de Parfum online in the UK at Swansura. A woody men's eau de parfum. 100% authentic, fast UK delivery, free over £50.</t>
  </si>
  <si>
    <t xml:space="preserve">FR-092</t>
  </si>
  <si>
    <t xml:space="preserve">Spicy · Men's Fragrance</t>
  </si>
  <si>
    <t xml:space="preserve">Carolina Herrera 212 Sexy Men Eau de Toilette 100ml – Men's Warm Spicy Fragrance</t>
  </si>
  <si>
    <t xml:space="preserve">carolina herrera 212 sexy men</t>
  </si>
  <si>
    <t xml:space="preserve">carolina herrera 212 sexy men uk</t>
  </si>
  <si>
    <t xml:space="preserve">buy carolina herrera 212 sexy men online</t>
  </si>
  <si>
    <t xml:space="preserve">carolina herrera 212 sexy men price</t>
  </si>
  <si>
    <t xml:space="preserve">carolina herrera 212 sexy men eau de toilette</t>
  </si>
  <si>
    <t xml:space="preserve">carolina herrera perfume · carolina herrera perfume for men · spicy perfume for men uk</t>
  </si>
  <si>
    <t xml:space="preserve">Carolina Herrera 212 Sexy Men Eau de Toilette</t>
  </si>
  <si>
    <t xml:space="preserve">Carolina Herrera 212 Sexy Men Eau de Toilette | Swansura UK</t>
  </si>
  <si>
    <t xml:space="preserve">Buy Carolina Herrera 212 Sexy Men Eau de Toilette online in the UK at Swansura. A spicy men's eau de toilette, 100ml. 100% authentic, free UK delivery over £50.</t>
  </si>
  <si>
    <t xml:space="preserve">carolina herrera 212 vip men</t>
  </si>
  <si>
    <t xml:space="preserve">carolina herrera 212 vip men uk</t>
  </si>
  <si>
    <t xml:space="preserve">buy carolina herrera 212 vip men online</t>
  </si>
  <si>
    <t xml:space="preserve">carolina herrera 212 vip men price</t>
  </si>
  <si>
    <t xml:space="preserve">carolina herrera 212 vip men eau de toilette</t>
  </si>
  <si>
    <t xml:space="preserve">carolina herrera 212 vip men edt · carolina herrera 212 vip men review · carolina herrera 212 vip men notes</t>
  </si>
  <si>
    <t xml:space="preserve">Carolina Herrera 212 VIP Men Eau de Toilette</t>
  </si>
  <si>
    <t xml:space="preserve">Carolina Herrera 212 VIP Men Eau de Toilette | Swansura UK</t>
  </si>
  <si>
    <t xml:space="preserve">Buy Carolina Herrera 212 VIP Men Eau de Toilette online in the UK at Swansura. A woody men's eau de toilette, 100ml. 100% authentic, free UK delivery over £50.</t>
  </si>
  <si>
    <t xml:space="preserve">carolina herrera very good girl glam</t>
  </si>
  <si>
    <t xml:space="preserve">carolina herrera very good girl glam uk</t>
  </si>
  <si>
    <t xml:space="preserve">buy carolina herrera very good girl glam online</t>
  </si>
  <si>
    <t xml:space="preserve">carolina herrera very good girl glam price</t>
  </si>
  <si>
    <t xml:space="preserve">carolina herrera very good girl glam parfum</t>
  </si>
  <si>
    <t xml:space="preserve">carolina herrera very good girl glam parfum · carolina herrera very good girl glam 80ml · carolina herrera very good girl glam notes · carolina herrera very good girl glam eau de parfum · carolina herrera very good girl glam dupe · carolina herrera very good girl glam 100ml</t>
  </si>
  <si>
    <t xml:space="preserve">Carolina Herrera Very Good Girl Glam Parfum</t>
  </si>
  <si>
    <t xml:space="preserve">Carolina Herrera Very Good Girl Glam Parfum | Swansura UK</t>
  </si>
  <si>
    <t xml:space="preserve">Buy Carolina Herrera Very Good Girl Glam Parfum online in the UK at Swansura. A floral women's parfum, 50ml. 100% authentic, fast UK delivery, free over £50.</t>
  </si>
  <si>
    <t xml:space="preserve">Chloe</t>
  </si>
  <si>
    <t xml:space="preserve">Spelling: Chloé</t>
  </si>
  <si>
    <t xml:space="preserve">chloe nomade</t>
  </si>
  <si>
    <t xml:space="preserve">chloe nomade uk</t>
  </si>
  <si>
    <t xml:space="preserve">buy chloe nomade online</t>
  </si>
  <si>
    <t xml:space="preserve">chloe nomade price</t>
  </si>
  <si>
    <t xml:space="preserve">chloe nomade eau de parfum</t>
  </si>
  <si>
    <t xml:space="preserve">chloé perfume · chloé perfume for women · floral perfume for women uk</t>
  </si>
  <si>
    <t xml:space="preserve">chloe nomade perfume · chloe nomade notes · chloe nomade edp · chloe nomade parfum</t>
  </si>
  <si>
    <t xml:space="preserve">Chloé Nomade Eau de Parfum</t>
  </si>
  <si>
    <t xml:space="preserve">Chloé Nomade Eau de Parfum | Buy Online UK | Swansura</t>
  </si>
  <si>
    <t xml:space="preserve">Buy Chloé Nomade Eau de Parfum online in the UK at Swansura. A floral women's eau de parfum, 50ml. 100% authentic, fast UK delivery, free over £50.</t>
  </si>
  <si>
    <t xml:space="preserve">FR-096</t>
  </si>
  <si>
    <t xml:space="preserve">Chloé Nomade Jasmin Naturel Intense Eau de Parfum – Women's Floral Woody Fragrance</t>
  </si>
  <si>
    <t xml:space="preserve">chloe nomade jasmin naturel intense</t>
  </si>
  <si>
    <t xml:space="preserve">chloe nomade jasmin naturel intense uk</t>
  </si>
  <si>
    <t xml:space="preserve">buy chloe nomade jasmin naturel intense online</t>
  </si>
  <si>
    <t xml:space="preserve">chloe nomade jasmin naturel intense price</t>
  </si>
  <si>
    <t xml:space="preserve">chloe nomade jasmin naturel intense eau de parfum</t>
  </si>
  <si>
    <t xml:space="preserve">chloe nomade jasmin naturel intense review · chloe nomade jasmin naturel intense notes · chloe nomade jasmin naturel intense eau de parfum · chloe nomade jasmin naturel intense perfume · chloe nomade jasmin naturel intense edp · chloe nomade jasmin naturel intense 75ml</t>
  </si>
  <si>
    <t xml:space="preserve">Chloé Nomade Jasmin Naturel Intense Eau de Parfum</t>
  </si>
  <si>
    <t xml:space="preserve">Chloé Nomade Jasmin Naturel Intense EDP 50ml | Swansura UK</t>
  </si>
  <si>
    <t xml:space="preserve">Buy Chloé Nomade Jasmin Naturel Intense Eau de Parfum online in the UK at Swansura. A floral women's eau de parfum. 100% authentic, free UK delivery over £50.</t>
  </si>
  <si>
    <t xml:space="preserve">FR-097</t>
  </si>
  <si>
    <t xml:space="preserve">Chloé Nomade Nuit d'Égypte Eau de Parfum 50ml – Women's Warm Spicy Floral Fragrance</t>
  </si>
  <si>
    <t xml:space="preserve">chloe nomade nuit d'egypte</t>
  </si>
  <si>
    <t xml:space="preserve">chloe nomade nuit d'egypte uk</t>
  </si>
  <si>
    <t xml:space="preserve">buy chloe nomade nuit d'egypte online</t>
  </si>
  <si>
    <t xml:space="preserve">chloe nomade nuit d'egypte price</t>
  </si>
  <si>
    <t xml:space="preserve">chloe nomade nuit d'egypte eau de parfum</t>
  </si>
  <si>
    <t xml:space="preserve">chloe nomade nuit d'egypte notes · chloe nomade nuit d'egypte reviews · chloe nomade nuit d'egypte perfume · chloe nomade nuit d'egypte 50ml · chloe nomade nuit d'egypte 75ml · chloe nomade nuit d'egypte dupe</t>
  </si>
  <si>
    <t xml:space="preserve">Chloé Nomade Nuit D'Égypte Eau de Parfum</t>
  </si>
  <si>
    <t xml:space="preserve">Chloé Nomade Nuit D'Égypte Eau de Parfum | Swansura UK</t>
  </si>
  <si>
    <t xml:space="preserve">Buy Chloé Nomade Nuit D'Égypte Eau de Parfum online in the UK at Swansura. A floral women's eau de parfum, 50ml. 100% authentic, free UK delivery over £50.</t>
  </si>
  <si>
    <t xml:space="preserve">FR-098</t>
  </si>
  <si>
    <t xml:space="preserve">Chloé Rose Naturelle Intense Eau de Parfum 50ml – Women's Floral Woody Fragrance</t>
  </si>
  <si>
    <t xml:space="preserve">chloe rose naturelle intense</t>
  </si>
  <si>
    <t xml:space="preserve">chloe rose naturelle intense uk</t>
  </si>
  <si>
    <t xml:space="preserve">buy chloe rose naturelle intense online</t>
  </si>
  <si>
    <t xml:space="preserve">chloe rose naturelle intense price</t>
  </si>
  <si>
    <t xml:space="preserve">chloe rose naturelle intense eau de parfum</t>
  </si>
  <si>
    <t xml:space="preserve">chloe rose naturelle intense 100ml · chloe rose naturelle intense eau de parfum · chloe rose naturelle intense eau de parfum reviews · chloe rose naturelle intense notes · chloe rose naturelle intense edp · chloe rose naturelle intense dupe</t>
  </si>
  <si>
    <t xml:space="preserve">Chloé Rose Naturelle Intense Eau de Parfum</t>
  </si>
  <si>
    <t xml:space="preserve">Chloé Rose Naturelle Intense Eau de Parfum | Swansura UK</t>
  </si>
  <si>
    <t xml:space="preserve">Buy Chloé Rose Naturelle Intense Eau de Parfum online in the UK at Swansura. A floral women's eau de parfum, 50ml. 100% authentic, free UK delivery over £50.</t>
  </si>
  <si>
    <t xml:space="preserve">FR-099</t>
  </si>
  <si>
    <t xml:space="preserve">Chloé Nomade Eau de Parfum Gift Set 75ml + 20ml Travel Spray – Women's Floral Chypre Fragrance Set</t>
  </si>
  <si>
    <t xml:space="preserve">chloe nomade gift set</t>
  </si>
  <si>
    <t xml:space="preserve">chloe nomade gift set uk</t>
  </si>
  <si>
    <t xml:space="preserve">buy chloe nomade gift set online</t>
  </si>
  <si>
    <t xml:space="preserve">chloe nomade gift set price</t>
  </si>
  <si>
    <t xml:space="preserve">chloe nomade gift set 75ml · chloe nomade gift set perfume · chloe nomade eau de parfum gift set · chloe nomade sizes · chloe nomade price · chloe nomade ingredients</t>
  </si>
  <si>
    <t xml:space="preserve">Chloé Nomade Eau de Parfum Gift Set</t>
  </si>
  <si>
    <t xml:space="preserve">Chloé Nomade Gift Set EDP 75ml | Buy Online UK | Swansura</t>
  </si>
  <si>
    <t xml:space="preserve">Buy Chloé Nomade Eau de Parfum Gift Set online in the UK at Swansura. A floral women's eau de parfum, 75ml. 100% authentic, fast UK delivery, free over £50.</t>
  </si>
  <si>
    <t xml:space="preserve">FR-100</t>
  </si>
  <si>
    <t xml:space="preserve">Chloé Women's Miniature Eau de Parfum Gift Set – Chloé EDP 20ml + Nomade EDP 20ml</t>
  </si>
  <si>
    <t xml:space="preserve">chloe miniature gift set</t>
  </si>
  <si>
    <t xml:space="preserve">chloe miniature gift set uk</t>
  </si>
  <si>
    <t xml:space="preserve">buy chloe miniature gift set online</t>
  </si>
  <si>
    <t xml:space="preserve">chloe miniature gift set price</t>
  </si>
  <si>
    <t xml:space="preserve">chloé perfume · chloé perfume for women · woody perfume for women uk</t>
  </si>
  <si>
    <t xml:space="preserve">chloe mini gift set · chloe mini gift set perfume · chloe perfume miniature gift set</t>
  </si>
  <si>
    <t xml:space="preserve">Chloé Women's Miniature Eau de Parfum Gift Set</t>
  </si>
  <si>
    <t xml:space="preserve">Chloé Women's Miniature Eau de Parfum Gift Set | Swansura UK</t>
  </si>
  <si>
    <t xml:space="preserve">Buy Chloé Women's Miniature Eau de Parfum Gift Set online in the UK at Swansura. A woody women's eau de parfum, 20ml. 100% authentic, free UK delivery over £50.</t>
  </si>
  <si>
    <t xml:space="preserve">FR-101</t>
  </si>
  <si>
    <t xml:space="preserve">Chloé Women's Miniature Perfume Set 4x5ml – Nomade EDT, Rose Tangerine EDT, Chloé EDP &amp; Nomade EDP</t>
  </si>
  <si>
    <t xml:space="preserve">chloe miniature set</t>
  </si>
  <si>
    <t xml:space="preserve">chloe miniature set uk</t>
  </si>
  <si>
    <t xml:space="preserve">buy chloe miniature set online</t>
  </si>
  <si>
    <t xml:space="preserve">chloe miniature set price</t>
  </si>
  <si>
    <t xml:space="preserve">chloe mini set · chloe mini set perfume · chloe miniature perfume set · chloe miniature gift set · chloe women miniature set</t>
  </si>
  <si>
    <t xml:space="preserve">Chloé Women's Miniature Perfume Set 4x5ml</t>
  </si>
  <si>
    <t xml:space="preserve">Chloé Women's Miniature Perfume Set 4x5ml | Swansura UK</t>
  </si>
  <si>
    <t xml:space="preserve">Buy Chloé Women's Miniature Perfume Set 4x5ml online in the UK at Swansura. A floral women's eau de parfum, 4x5ml. 100% authentic, free UK delivery over £50.</t>
  </si>
  <si>
    <t xml:space="preserve">FR-102</t>
  </si>
  <si>
    <t xml:space="preserve">Chopard</t>
  </si>
  <si>
    <t xml:space="preserve">Chopard Amber Malaki Eau de Parfum 80ml – Luxury Unisex Amber Fragrance</t>
  </si>
  <si>
    <t xml:space="preserve">chopard amber malaki</t>
  </si>
  <si>
    <t xml:space="preserve">chopard amber malaki uk</t>
  </si>
  <si>
    <t xml:space="preserve">buy chopard amber malaki online</t>
  </si>
  <si>
    <t xml:space="preserve">chopard amber malaki price</t>
  </si>
  <si>
    <t xml:space="preserve">chopard amber malaki eau de parfum</t>
  </si>
  <si>
    <t xml:space="preserve">chopard perfume · amber perfume uk</t>
  </si>
  <si>
    <t xml:space="preserve">chopard amber malaki price · chopard amber malaki review · chopard amber malaki notes · chopard amber malaki eau de parfum · chopard amber malaki perfume · chopard amber malaki edp</t>
  </si>
  <si>
    <t xml:space="preserve">Chopard Amber Malaki Eau de Parfum</t>
  </si>
  <si>
    <t xml:space="preserve">Chopard Amber Malaki EDP 80ml | Buy Online UK | Swansura</t>
  </si>
  <si>
    <t xml:space="preserve">Buy Chopard Amber Malaki Eau de Parfum online in the UK at Swansura. An amber unisex eau de parfum, 80ml. 100% authentic, fast UK delivery, free over £50.</t>
  </si>
  <si>
    <t xml:space="preserve">FR-103</t>
  </si>
  <si>
    <t xml:space="preserve">Chopard Black Incense Malaki Eau de Parfum 80ml – Luxury Unisex Incense Fragrance</t>
  </si>
  <si>
    <t xml:space="preserve">chopard black incense malaki</t>
  </si>
  <si>
    <t xml:space="preserve">chopard black incense malaki uk</t>
  </si>
  <si>
    <t xml:space="preserve">buy chopard black incense malaki online</t>
  </si>
  <si>
    <t xml:space="preserve">chopard black incense malaki price</t>
  </si>
  <si>
    <t xml:space="preserve">chopard black incense malaki eau de parfum</t>
  </si>
  <si>
    <t xml:space="preserve">chopard black incense malaki review · chopard black incense malaki price · chopard black incense malaki notes · chopard black incense malaki eau de parfum · chopard black incense malaki perfume · chopard black incense malaki edp</t>
  </si>
  <si>
    <t xml:space="preserve">Chopard Black Incense Malaki Eau de Parfum</t>
  </si>
  <si>
    <t xml:space="preserve">Chopard Black Incense Malaki Eau de Parfum | Swansura UK</t>
  </si>
  <si>
    <t xml:space="preserve">Buy Chopard Black Incense Malaki Eau de Parfum online in the UK at Swansura. An amber unisex eau de parfum, 80ml. 100% authentic, free UK delivery over £50.</t>
  </si>
  <si>
    <t xml:space="preserve">FR-104</t>
  </si>
  <si>
    <t xml:space="preserve">Chopard Imperiale Iris Malika Eau de Parfum 100ml – Luxury Women's Floral Fragrance</t>
  </si>
  <si>
    <t xml:space="preserve">chopard imperiale iris malika</t>
  </si>
  <si>
    <t xml:space="preserve">chopard imperiale iris malika uk</t>
  </si>
  <si>
    <t xml:space="preserve">buy chopard imperiale iris malika online</t>
  </si>
  <si>
    <t xml:space="preserve">chopard imperiale iris malika price</t>
  </si>
  <si>
    <t xml:space="preserve">chopard imperiale iris malika eau de parfum</t>
  </si>
  <si>
    <t xml:space="preserve">chopard perfume · chopard perfume for women · floral perfume for women uk</t>
  </si>
  <si>
    <t xml:space="preserve">chopard imperiale iris malika eau de parfum · chopard imperiale iris malika review · chopard imperiale iris malika perfume · chopard imperiale iris malika price · chopard imperiale iris malika edp 100ml · chopard imperiale iris malika 100ml</t>
  </si>
  <si>
    <t xml:space="preserve">Chopard Imperiale Iris Malika Eau de Parfum</t>
  </si>
  <si>
    <t xml:space="preserve">Chopard Imperiale Iris Malika Eau de Parfum | Swansura UK</t>
  </si>
  <si>
    <t xml:space="preserve">Buy Chopard Imperiale Iris Malika Eau de Parfum online in the UK at Swansura. A floral women's eau de parfum, 100ml. 100% authentic, free UK delivery over £50.</t>
  </si>
  <si>
    <t xml:space="preserve">chopard oud malaki</t>
  </si>
  <si>
    <t xml:space="preserve">chopard oud malaki uk</t>
  </si>
  <si>
    <t xml:space="preserve">buy chopard oud malaki online</t>
  </si>
  <si>
    <t xml:space="preserve">chopard oud malaki price</t>
  </si>
  <si>
    <t xml:space="preserve">chopard oud malaki eau de parfum</t>
  </si>
  <si>
    <t xml:space="preserve">chopard perfume · chopard perfume for men · oud perfume for men uk</t>
  </si>
  <si>
    <t xml:space="preserve">chopard oud malaki price · chopard oud malaki review · chopard oud malaki notes · chopard oud malaki perfume · chopard oud malaki eau de parfum · chopard oud malaki dupe</t>
  </si>
  <si>
    <t xml:space="preserve">Chopard Oud Malaki Eau de Parfum</t>
  </si>
  <si>
    <t xml:space="preserve">Chopard Oud Malaki Eau de Parfum | Buy Online UK | Swansura</t>
  </si>
  <si>
    <t xml:space="preserve">Buy Chopard Oud Malaki Eau de Parfum online in the UK at Swansura. An oud men's eau de parfum, 80ml. 100% authentic, fast UK delivery, free over £50.</t>
  </si>
  <si>
    <t xml:space="preserve">FR-106</t>
  </si>
  <si>
    <t xml:space="preserve">Chopard Gardens of Paradise Discovery Set 4x10ml – Luxury Unisex Eau de Parfum Gift Set</t>
  </si>
  <si>
    <t xml:space="preserve">chopard gardens of paradise discovery set</t>
  </si>
  <si>
    <t xml:space="preserve">chopard gardens of paradise discovery set uk</t>
  </si>
  <si>
    <t xml:space="preserve">buy chopard gardens of paradise discovery set online</t>
  </si>
  <si>
    <t xml:space="preserve">chopard gardens of paradise discovery set price</t>
  </si>
  <si>
    <t xml:space="preserve">Chopard Gardens of Paradise Discovery Set 4x10ml</t>
  </si>
  <si>
    <t xml:space="preserve">Chopard Gardens of Paradise Discovery Set | Swansura UK</t>
  </si>
  <si>
    <t xml:space="preserve">Buy Chopard Gardens of Paradise Discovery Set 4x10ml online in the UK at Swansura. An amber unisex eau de parfum. 100% authentic, free UK delivery over £50.</t>
  </si>
  <si>
    <t xml:space="preserve">FR-107</t>
  </si>
  <si>
    <t xml:space="preserve">Chris Adams</t>
  </si>
  <si>
    <t xml:space="preserve">Chris Adams CA DX 77 Pour Homme 100ml EDP For Men - Chris Adams Perfumes</t>
  </si>
  <si>
    <t xml:space="preserve">chris adams ca dx 77 pour homme</t>
  </si>
  <si>
    <t xml:space="preserve">chris adams ca dx 77 pour homme uk</t>
  </si>
  <si>
    <t xml:space="preserve">buy chris adams ca dx 77 pour homme online</t>
  </si>
  <si>
    <t xml:space="preserve">chris adams ca dx 77 pour homme price</t>
  </si>
  <si>
    <t xml:space="preserve">chris adams ca dx 77 pour homme edp</t>
  </si>
  <si>
    <t xml:space="preserve">chris adams perfume · chris adams perfume for men · woody perfume for men uk</t>
  </si>
  <si>
    <t xml:space="preserve">Chris Adams CA DX 77 Pour Homme EDP For Men</t>
  </si>
  <si>
    <t xml:space="preserve">Chris Adams CA DX 77 Pour Homme EDP For Men | Swansura UK</t>
  </si>
  <si>
    <t xml:space="preserve">Buy Chris Adams CA DX 77 Pour Homme EDP For Men online in the UK at Swansura. A woody men's eau de parfum, 100ml. 100% authentic, free UK delivery over £50.</t>
  </si>
  <si>
    <t xml:space="preserve">FR-108</t>
  </si>
  <si>
    <t xml:space="preserve">Chris Adams Perfume Black Shadow Eau De Toilette Pour Homme 100ml</t>
  </si>
  <si>
    <t xml:space="preserve">chris adams black shadow pour homme</t>
  </si>
  <si>
    <t xml:space="preserve">chris adams black shadow pour homme uk</t>
  </si>
  <si>
    <t xml:space="preserve">buy chris adams black shadow pour homme online</t>
  </si>
  <si>
    <t xml:space="preserve">chris adams black shadow pour homme price</t>
  </si>
  <si>
    <t xml:space="preserve">chris adams black shadow pour homme eau de toilette</t>
  </si>
  <si>
    <t xml:space="preserve">Chris Adams Perfume Black Shadow Eau De Toilette Pour Homme</t>
  </si>
  <si>
    <t xml:space="preserve">Chris Adams Perfume Black Shadow Pour Homme | Swansura UK</t>
  </si>
  <si>
    <t xml:space="preserve">Buy Chris Adams Perfume Black Shadow Eau De Toilette Pour Homme at Swansura UK. A woody men's eau de toilette, 100ml. 100% authentic, free UK delivery over £50.</t>
  </si>
  <si>
    <t xml:space="preserve">FR-109</t>
  </si>
  <si>
    <t xml:space="preserve">Davidoff</t>
  </si>
  <si>
    <t xml:space="preserve">Davidoff Cool Water Reborn Intense Eau de Parfum 50ml – Women's Fresh Floral Fragrance</t>
  </si>
  <si>
    <t xml:space="preserve">davidoff cool water reborn intense</t>
  </si>
  <si>
    <t xml:space="preserve">davidoff cool water reborn intense uk</t>
  </si>
  <si>
    <t xml:space="preserve">buy davidoff cool water reborn intense online</t>
  </si>
  <si>
    <t xml:space="preserve">davidoff cool water reborn intense price</t>
  </si>
  <si>
    <t xml:space="preserve">davidoff cool water reborn intense eau de parfum</t>
  </si>
  <si>
    <t xml:space="preserve">davidoff perfume · davidoff perfume for women · floral perfume for women uk</t>
  </si>
  <si>
    <t xml:space="preserve">davidoff cool water reborn intense edp · davidoff cool water reborn intense review · davidoff cool water reborn intense notes · davidoff cool water reborn intense eau de parfum · davidoff cool water reborn intense women · davidoff cool water reborn intense 100 ml</t>
  </si>
  <si>
    <t xml:space="preserve">Davidoff Cool Water Reborn Intense Eau de Parfum</t>
  </si>
  <si>
    <t xml:space="preserve">Davidoff Cool Water Reborn Intense EDP 50ml | Swansura UK</t>
  </si>
  <si>
    <t xml:space="preserve">Buy Davidoff Cool Water Reborn Intense Eau de Parfum online in the UK at Swansura. A floral women's eau de parfum. 100% authentic, free UK delivery over £50.</t>
  </si>
  <si>
    <t xml:space="preserve">davidoff champion</t>
  </si>
  <si>
    <t xml:space="preserve">davidoff champion uk</t>
  </si>
  <si>
    <t xml:space="preserve">buy davidoff champion online</t>
  </si>
  <si>
    <t xml:space="preserve">davidoff champion price</t>
  </si>
  <si>
    <t xml:space="preserve">davidoff champion eau de toilette</t>
  </si>
  <si>
    <t xml:space="preserve">davidoff perfume · davidoff perfume for men · woody perfume for men uk</t>
  </si>
  <si>
    <t xml:space="preserve">davidoff champion perfume · davidoff champion price · davidoff champion perfume price · davidoff champion review · davidoff champion notes · davidoff champion 90ml</t>
  </si>
  <si>
    <t xml:space="preserve">Davidoff Champion Eau de Toilette</t>
  </si>
  <si>
    <t xml:space="preserve">Davidoff Champion Eau de Toilette | Buy Online UK | Swansura</t>
  </si>
  <si>
    <t xml:space="preserve">Buy Davidoff Champion Eau de Toilette online in the UK at Swansura. A woody men's eau de toilette, 90ml. 100% authentic, fast UK delivery, free over £50.</t>
  </si>
  <si>
    <t xml:space="preserve">FR-111</t>
  </si>
  <si>
    <t xml:space="preserve">Davidoff Indigo Eau de Toilette 110ml – Men's Aromatic Fougere Fragrance</t>
  </si>
  <si>
    <t xml:space="preserve">110ml</t>
  </si>
  <si>
    <t xml:space="preserve">davidoff indigo</t>
  </si>
  <si>
    <t xml:space="preserve">davidoff indigo uk</t>
  </si>
  <si>
    <t xml:space="preserve">buy davidoff indigo online</t>
  </si>
  <si>
    <t xml:space="preserve">davidoff indigo price</t>
  </si>
  <si>
    <t xml:space="preserve">davidoff indigo eau de toilette</t>
  </si>
  <si>
    <t xml:space="preserve">davidoff perfume · davidoff perfume for men · aromatic perfume for men uk</t>
  </si>
  <si>
    <t xml:space="preserve">davidoff indigo price · davidoff indigo perfume · davidoff indigo 60ml price · davidoff indigo 60ml · davidoff indigo review · davidoff indigo perfume price</t>
  </si>
  <si>
    <t xml:space="preserve">Davidoff Indigo Eau de Toilette</t>
  </si>
  <si>
    <t xml:space="preserve">Davidoff Indigo Eau de Toilette | Buy Online UK | Swansura</t>
  </si>
  <si>
    <t xml:space="preserve">Buy Davidoff Indigo Eau de Toilette online in the UK at Swansura. An aromatic men's eau de toilette, 110ml. 100% authentic, fast UK delivery, free over £50.</t>
  </si>
  <si>
    <t xml:space="preserve">davidoff the game</t>
  </si>
  <si>
    <t xml:space="preserve">davidoff the game uk</t>
  </si>
  <si>
    <t xml:space="preserve">buy davidoff the game online</t>
  </si>
  <si>
    <t xml:space="preserve">davidoff the game price</t>
  </si>
  <si>
    <t xml:space="preserve">davidoff the game eau de toilette</t>
  </si>
  <si>
    <t xml:space="preserve">davidoff the game perfume · davidoff the game 100ml · davidoff the game review · davidoff the game price · davidoff the game perfume price · davidoff the game edt</t>
  </si>
  <si>
    <t xml:space="preserve">Davidoff The Game Eau de Toilette</t>
  </si>
  <si>
    <t xml:space="preserve">Davidoff The Game Eau de Toilette | Buy Online UK | Swansura</t>
  </si>
  <si>
    <t xml:space="preserve">Buy Davidoff The Game Eau de Toilette online in the UK at Swansura. A woody men's eau de toilette, 100ml. 100% authentic, fast UK delivery, free over £50.</t>
  </si>
  <si>
    <t xml:space="preserve">FR-113</t>
  </si>
  <si>
    <t xml:space="preserve">dior</t>
  </si>
  <si>
    <t xml:space="preserve">Miss Dior Eau de Parfum Roller-Pearl 20ml for Women</t>
  </si>
  <si>
    <t xml:space="preserve">dior miss dior roller-pearl</t>
  </si>
  <si>
    <t xml:space="preserve">dior miss dior roller-pearl uk</t>
  </si>
  <si>
    <t xml:space="preserve">buy dior miss dior roller-pearl online</t>
  </si>
  <si>
    <t xml:space="preserve">dior miss dior roller-pearl price</t>
  </si>
  <si>
    <t xml:space="preserve">dior miss dior roller-pearl eau de parfum</t>
  </si>
  <si>
    <t xml:space="preserve">dior perfume · dior perfume for women · woody perfume for women uk</t>
  </si>
  <si>
    <t xml:space="preserve">dior miss dior roller pearl eau de parfum · dior miss dior roller pearl edp 20ml · dior miss dior roller pearl parfum · dior miss dior roller pearl 20ml</t>
  </si>
  <si>
    <t xml:space="preserve">Miss Dior Eau de Parfum Roller-Pearl for Women</t>
  </si>
  <si>
    <t xml:space="preserve">Miss Dior Eau de Parfum Roller-Pearl for Women | Swansura UK</t>
  </si>
  <si>
    <t xml:space="preserve">Buy Miss Dior Eau de Parfum Roller-Pearl for Women online in the UK at Swansura. A woody women's eau de parfum, 20ml. 100% authentic, free UK delivery over £50.</t>
  </si>
  <si>
    <t xml:space="preserve">FR-114</t>
  </si>
  <si>
    <t xml:space="preserve">Dior Iconics Mini Perfume Discovery Set 5 x 5ml</t>
  </si>
  <si>
    <t xml:space="preserve">5ml</t>
  </si>
  <si>
    <t xml:space="preserve">dior iconics mini discovery set</t>
  </si>
  <si>
    <t xml:space="preserve">dior iconics mini discovery set uk</t>
  </si>
  <si>
    <t xml:space="preserve">buy dior iconics mini discovery set online</t>
  </si>
  <si>
    <t xml:space="preserve">dior iconics mini discovery set price</t>
  </si>
  <si>
    <t xml:space="preserve">dior perfume · amber perfume uk</t>
  </si>
  <si>
    <t xml:space="preserve">Dior Iconics Mini Perfume Discovery Set 5 X</t>
  </si>
  <si>
    <t xml:space="preserve">Dior Iconics Mini Perfume Discovery Set 5 X | Swansura UK</t>
  </si>
  <si>
    <t xml:space="preserve">Buy Dior Iconics Mini Perfume Discovery Set 5 X online in the UK at Swansura. An amber unisex fragrance, 5ml. 100% authentic, fast UK delivery, free over £50.</t>
  </si>
  <si>
    <t xml:space="preserve">dior sauvage</t>
  </si>
  <si>
    <t xml:space="preserve">dior sauvage uk</t>
  </si>
  <si>
    <t xml:space="preserve">buy dior sauvage online</t>
  </si>
  <si>
    <t xml:space="preserve">dior sauvage eau de parfum</t>
  </si>
  <si>
    <t xml:space="preserve">dior perfume · dior perfume for men · woody perfume for men uk</t>
  </si>
  <si>
    <t xml:space="preserve">dior sauvage extrait · dior sauvage parfum · dior sauvage eau de parfum · dior sauvage price · dior sauvage edp · dior sauvage edt</t>
  </si>
  <si>
    <t xml:space="preserve">Dior Sauvage Eau de Parfum</t>
  </si>
  <si>
    <t xml:space="preserve">Dior Sauvage Eau de Parfum | Buy Online UK | Swansura</t>
  </si>
  <si>
    <t xml:space="preserve">Buy Dior Sauvage Eau de Parfum online in the UK at Swansura. A woody men's eau de parfum, 100ml. 100% authentic, fast UK delivery, free over £50.</t>
  </si>
  <si>
    <t xml:space="preserve">FR-116</t>
  </si>
  <si>
    <t xml:space="preserve">DKNY</t>
  </si>
  <si>
    <t xml:space="preserve">DKNY Be Delicious Orchard Street Eau de Parfum 100ml – Women's Fruity Floral Fragrance</t>
  </si>
  <si>
    <t xml:space="preserve">dkny be delicious orchard street</t>
  </si>
  <si>
    <t xml:space="preserve">dkny be delicious orchard street uk</t>
  </si>
  <si>
    <t xml:space="preserve">buy dkny be delicious orchard street online</t>
  </si>
  <si>
    <t xml:space="preserve">dkny be delicious orchard street price</t>
  </si>
  <si>
    <t xml:space="preserve">dkny be delicious orchard street eau de parfum</t>
  </si>
  <si>
    <t xml:space="preserve">dkny perfume · dkny perfume for women · floral perfume for women uk</t>
  </si>
  <si>
    <t xml:space="preserve">dkny be delicious orchard street eau de parfum · dkny be delicious orchard street edp · dkny be delicious orchard street edp 100ml · dkny be delicious orchard street edp 30ml · dkny be delicious orchard street eau de parfum 100ml · dkny be delicious orchard street perfume</t>
  </si>
  <si>
    <t xml:space="preserve">DKNY Be Delicious Orchard Street Eau de Parfum</t>
  </si>
  <si>
    <t xml:space="preserve">DKNY Be Delicious Orchard Street Eau de Parfum | Swansura UK</t>
  </si>
  <si>
    <t xml:space="preserve">Buy DKNY Be Delicious Orchard Street Eau de Parfum online in the UK at Swansura. A floral women's eau de parfum. 100% authentic, free UK delivery over £50.</t>
  </si>
  <si>
    <t xml:space="preserve">dkny be tempted</t>
  </si>
  <si>
    <t xml:space="preserve">dkny be tempted uk</t>
  </si>
  <si>
    <t xml:space="preserve">buy dkny be tempted online</t>
  </si>
  <si>
    <t xml:space="preserve">dkny be tempted price</t>
  </si>
  <si>
    <t xml:space="preserve">dkny be tempted eau de parfum</t>
  </si>
  <si>
    <t xml:space="preserve">dkny be tempted perfume · dkny be tempted 100ml · dkny be tempted 50ml · dkny be tempted notes · dkny be tempted review · dkny be tempted eau de parfum</t>
  </si>
  <si>
    <t xml:space="preserve">DKNY Be Tempted Eau de Parfum</t>
  </si>
  <si>
    <t xml:space="preserve">DKNY Be Tempted Eau de Parfum | Buy Online UK | Swansura</t>
  </si>
  <si>
    <t xml:space="preserve">Buy DKNY Be Tempted Eau de Parfum online in the UK at Swansura. A floral women's eau de parfum, 100ml. 100% authentic, fast UK delivery, free over £50.</t>
  </si>
  <si>
    <t xml:space="preserve">FR-118</t>
  </si>
  <si>
    <t xml:space="preserve">Fresh · Women's Fragrance</t>
  </si>
  <si>
    <t xml:space="preserve">DKNY Be Delicious &amp; Be Delicious Fresh Blossom Eau de Parfum Gift Set 2x30ml – Women's Fragrance Duo</t>
  </si>
  <si>
    <t xml:space="preserve">2x30ml</t>
  </si>
  <si>
    <t xml:space="preserve">dkny be delicious &amp; be delicious fresh blossom gift set</t>
  </si>
  <si>
    <t xml:space="preserve">dkny be delicious &amp; be delicious fresh blossom gift set uk</t>
  </si>
  <si>
    <t xml:space="preserve">buy dkny be delicious &amp; be delicious fresh blossom gift set online</t>
  </si>
  <si>
    <t xml:space="preserve">dkny be delicious &amp; be delicious fresh blossom gift set price</t>
  </si>
  <si>
    <t xml:space="preserve">dkny perfume · dkny perfume for women · fresh perfume for women uk</t>
  </si>
  <si>
    <t xml:space="preserve">dkny be delicious fresh blossom gift set · dkny be delicious fresh blossom gift set 30ml edp 7ml edp · dkny be delicious gift set 30ml be delicious edp 30ml fresh blossom edp · dkny be delicious fresh blossom review</t>
  </si>
  <si>
    <t xml:space="preserve">DKNY Be Delicious &amp; Be Delicious Fresh Blossom Eau de Parfum Gift Set 2x30ml</t>
  </si>
  <si>
    <t xml:space="preserve">DKNY Be Delicious &amp; Be Delicious Fresh | Swansura UK</t>
  </si>
  <si>
    <t xml:space="preserve">Buy DKNY Be Delicious &amp; Be Delicious Fresh Blossom Eau de Parfum Gift Set 2x30ml at Swansura UK. Fresh eau de parfum. 100% authentic, free UK delivery over £50.</t>
  </si>
  <si>
    <t xml:space="preserve">FR-119</t>
  </si>
  <si>
    <t xml:space="preserve">DKNY Women's Miniature Eau de Parfum Set 4x7ml – Be Delicious, Golden Delicious, Be Extra Delicious 100%</t>
  </si>
  <si>
    <t xml:space="preserve">4x7ml</t>
  </si>
  <si>
    <t xml:space="preserve">dkny miniature set</t>
  </si>
  <si>
    <t xml:space="preserve">dkny miniature set uk</t>
  </si>
  <si>
    <t xml:space="preserve">buy dkny miniature set online</t>
  </si>
  <si>
    <t xml:space="preserve">dkny miniature set price</t>
  </si>
  <si>
    <t xml:space="preserve">dkny perfume · dkny perfume for women · woody perfume for women uk</t>
  </si>
  <si>
    <t xml:space="preserve">dkny mini set · dkny mini set perfume · dkny miniature perfume set · dkny miniature gift set</t>
  </si>
  <si>
    <t xml:space="preserve">DKNY Women's Miniature Eau de Parfum Set 4x7ml</t>
  </si>
  <si>
    <t xml:space="preserve">DKNY Women's Miniature Eau de Parfum Set 4x7ml | Swansura UK</t>
  </si>
  <si>
    <t xml:space="preserve">Buy DKNY Women's Miniature Eau de Parfum Set 4x7ml online in the UK at Swansura. A woody women's eau de parfum. 100% authentic, fast UK delivery, free over £50.</t>
  </si>
  <si>
    <t xml:space="preserve">FR-120</t>
  </si>
  <si>
    <t xml:space="preserve">Dolce &amp; Gabbana</t>
  </si>
  <si>
    <t xml:space="preserve">Gourmand · Women's Fragrance</t>
  </si>
  <si>
    <t xml:space="preserve">Dolce &amp; Gabbana Devotion Eau de Parfum 100ml – Luxury Women's Gourmand Fragrance</t>
  </si>
  <si>
    <t xml:space="preserve">dolce &amp; gabbana devotion</t>
  </si>
  <si>
    <t xml:space="preserve">dolce &amp; gabbana devotion uk</t>
  </si>
  <si>
    <t xml:space="preserve">buy dolce &amp; gabbana devotion online</t>
  </si>
  <si>
    <t xml:space="preserve">dolce &amp; gabbana devotion price</t>
  </si>
  <si>
    <t xml:space="preserve">dolce &amp; gabbana devotion eau de parfum</t>
  </si>
  <si>
    <t xml:space="preserve">dolce &amp; gabbana perfume · dolce &amp; gabbana perfume for women · gourmand perfume for women uk</t>
  </si>
  <si>
    <t xml:space="preserve">dolce &amp; gabbana devotion eau de parfum · dolce &amp; gabbana devotion for men · dolce &amp; gabbana devotion parfum · dolce &amp; gabbana devotion perfume · dolce &amp; gabbana devotion for women</t>
  </si>
  <si>
    <t xml:space="preserve">Dolce &amp; Gabbana Devotion Eau de Parfum</t>
  </si>
  <si>
    <t xml:space="preserve">Dolce &amp; Gabbana Devotion Eau de Parfum | Swansura UK</t>
  </si>
  <si>
    <t xml:space="preserve">Buy Dolce &amp; Gabbana Devotion Eau de Parfum online in the UK at Swansura. A gourmand women's eau de parfum, 100ml. 100% authentic, free UK delivery over £50.</t>
  </si>
  <si>
    <t xml:space="preserve">FR-121</t>
  </si>
  <si>
    <t xml:space="preserve">Dolce &amp; Gabbana Q Eau de Parfum 100ml – Luxury Women's Fruity Floral Fragrance</t>
  </si>
  <si>
    <t xml:space="preserve">dolce &amp; gabbana q</t>
  </si>
  <si>
    <t xml:space="preserve">dolce &amp; gabbana q uk</t>
  </si>
  <si>
    <t xml:space="preserve">buy dolce &amp; gabbana q online</t>
  </si>
  <si>
    <t xml:space="preserve">dolce &amp; gabbana q price</t>
  </si>
  <si>
    <t xml:space="preserve">dolce &amp; gabbana q eau de parfum</t>
  </si>
  <si>
    <t xml:space="preserve">dolce &amp; gabbana perfume · dolce &amp; gabbana perfume for women · floral perfume for women uk</t>
  </si>
  <si>
    <t xml:space="preserve">dolce &amp; gabbana q eau de parfum · dolce &amp; gabbana q parfum · dolce &amp; gabbana q perfume</t>
  </si>
  <si>
    <t xml:space="preserve">Dolce &amp; Gabbana Q Eau de Parfum</t>
  </si>
  <si>
    <t xml:space="preserve">Dolce &amp; Gabbana Q Eau de Parfum | Buy Online UK | Swansura</t>
  </si>
  <si>
    <t xml:space="preserve">Buy Dolce &amp; Gabbana Q Eau de Parfum online in the UK at Swansura. A floral women's eau de parfum, 100ml. 100% authentic, fast UK delivery, free over £50.</t>
  </si>
  <si>
    <t xml:space="preserve">dolce &amp; gabbana the one</t>
  </si>
  <si>
    <t xml:space="preserve">dolce &amp; gabbana the one uk</t>
  </si>
  <si>
    <t xml:space="preserve">buy dolce &amp; gabbana the one online</t>
  </si>
  <si>
    <t xml:space="preserve">dolce &amp; gabbana the one price</t>
  </si>
  <si>
    <t xml:space="preserve">dolce &amp; gabbana the one eau de parfum</t>
  </si>
  <si>
    <t xml:space="preserve">dolce &amp; gabbana perfume · dolce &amp; gabbana perfume for men · woody perfume for men uk</t>
  </si>
  <si>
    <t xml:space="preserve">dolce &amp; gabbana the one for men · dolce &amp; gabbana the one edp · dolce &amp; gabbana the one parfum · dolce &amp; gabbana the one eau de parfum · dolce &amp; gabbana the one for men eau de parfum · dolce &amp; gabbana the one for men edp</t>
  </si>
  <si>
    <t xml:space="preserve">Dolce &amp; Gabbana The One for Men Eau de Parfum</t>
  </si>
  <si>
    <t xml:space="preserve">Dolce &amp; Gabbana The One for Men Eau de Parfum | Swansura UK</t>
  </si>
  <si>
    <t xml:space="preserve">Buy Dolce &amp; Gabbana The One for Men Eau de Parfum online in the UK at Swansura. A woody men's eau de parfum, 100ml. 100% authentic, free UK delivery over £50.</t>
  </si>
  <si>
    <t xml:space="preserve">FR-123</t>
  </si>
  <si>
    <t xml:space="preserve">Dolce &amp; Gabbana The One for Men Eau de Parfum 150ml – Luxury Men's Fragrance</t>
  </si>
  <si>
    <t xml:space="preserve">Buy Dolce &amp; Gabbana The One for Men Eau de Parfum online in the UK at Swansura. A woody men's eau de parfum, 150ml. 100% authentic, free UK delivery over £50.</t>
  </si>
  <si>
    <t xml:space="preserve">FR-124</t>
  </si>
  <si>
    <t xml:space="preserve">Dolce &amp; Gabbana The One for Men Eau de Parfum Intense 100ml – Luxury Men's Fragrance</t>
  </si>
  <si>
    <t xml:space="preserve">dolce &amp; gabbana the one intense</t>
  </si>
  <si>
    <t xml:space="preserve">dolce &amp; gabbana the one intense uk</t>
  </si>
  <si>
    <t xml:space="preserve">buy dolce &amp; gabbana the one intense online</t>
  </si>
  <si>
    <t xml:space="preserve">dolce &amp; gabbana the one intense price</t>
  </si>
  <si>
    <t xml:space="preserve">dolce &amp; gabbana the one intense eau de parfum</t>
  </si>
  <si>
    <t xml:space="preserve">dolce &amp; gabbana the one intense men · dolce &amp; gabbana the one intense eau de parfum · dolce &amp; gabbana the one intense edp · dolce &amp; gabbana the one intense notes · dolce &amp; gabbana the one intense for women · dolce &amp; gabbana the one intense eau de parfum 100ml</t>
  </si>
  <si>
    <t xml:space="preserve">Dolce &amp; Gabbana The One for Men Eau de Parfum Intense</t>
  </si>
  <si>
    <t xml:space="preserve">Dolce &amp; Gabbana The One for Men Intense 100ml | Swansura UK</t>
  </si>
  <si>
    <t xml:space="preserve">Buy Dolce &amp; Gabbana The One for Men Eau de Parfum Intense online in the UK at Swansura. A woody men's eau de parfum. 100% authentic, free UK delivery over £50.</t>
  </si>
  <si>
    <t xml:space="preserve">FR-125</t>
  </si>
  <si>
    <t xml:space="preserve">Dolce &amp; Gabbana The One Gold for Men Eau de Parfum Intense 100ml – Luxury Men's Fragrance</t>
  </si>
  <si>
    <t xml:space="preserve">dolce &amp; gabbana the one gold intense</t>
  </si>
  <si>
    <t xml:space="preserve">dolce &amp; gabbana the one gold intense uk</t>
  </si>
  <si>
    <t xml:space="preserve">buy dolce &amp; gabbana the one gold intense online</t>
  </si>
  <si>
    <t xml:space="preserve">dolce &amp; gabbana the one gold intense price</t>
  </si>
  <si>
    <t xml:space="preserve">dolce &amp; gabbana the one gold intense eau de parfum</t>
  </si>
  <si>
    <t xml:space="preserve">dolce &amp; gabbana the one gold intense eau de parfum · dolce &amp; gabbana the one gold intense edp · dolce gabbana the one gold intense women · dolce gabbana the one gold intense 100ml · dolce gabbana the one gold intense men · dolce &amp; gabbana the one gold intense edp 100ml</t>
  </si>
  <si>
    <t xml:space="preserve">Dolce &amp; Gabbana The One Gold for Men Eau de Parfum Intense</t>
  </si>
  <si>
    <t xml:space="preserve">Dolce &amp; Gabbana The One Gold for Men Intense | Swansura UK</t>
  </si>
  <si>
    <t xml:space="preserve">Buy Dolce &amp; Gabbana The One Gold for Men Eau de Parfum Intense at Swansura UK. A woody men's eau de parfum, 100ml. 100% authentic, free UK delivery over £50.</t>
  </si>
  <si>
    <t xml:space="preserve">FR-126</t>
  </si>
  <si>
    <t xml:space="preserve">Dolce &amp; Gabbana L'Imperatrice Eau de Toilette 100ml – Women's Fruity Floral Fragrance</t>
  </si>
  <si>
    <t xml:space="preserve">dolce &amp; gabbana l'imperatrice</t>
  </si>
  <si>
    <t xml:space="preserve">dolce &amp; gabbana l'imperatrice uk</t>
  </si>
  <si>
    <t xml:space="preserve">buy dolce &amp; gabbana l'imperatrice online</t>
  </si>
  <si>
    <t xml:space="preserve">dolce &amp; gabbana l'imperatrice price</t>
  </si>
  <si>
    <t xml:space="preserve">dolce &amp; gabbana l'imperatrice eau de toilette</t>
  </si>
  <si>
    <t xml:space="preserve">dolce &amp; gabbana l'imperatrice 3 · dolce &amp; gabbana l'imperatrice 100ml price · dolce &amp; gabbana l'imperatrice edt · dolce &amp; gabbana l'imperatrice 100ml · dolce &amp; gabbana l'imperatrice perfume</t>
  </si>
  <si>
    <t xml:space="preserve">Dolce &amp; Gabbana L'Imperatrice Eau de Toilette</t>
  </si>
  <si>
    <t xml:space="preserve">Dolce &amp; Gabbana L'Imperatrice Eau de Toilette | Swansura UK</t>
  </si>
  <si>
    <t xml:space="preserve">Buy Dolce &amp; Gabbana L'Imperatrice Eau de Toilette online in the UK at Swansura. A floral women's eau de toilette. 100% authentic, free UK delivery over £50.</t>
  </si>
  <si>
    <t xml:space="preserve">FR-127</t>
  </si>
  <si>
    <t xml:space="preserve">Dolce &amp; Gabbana Devotion Eau de Parfum Gift Set 50ml + 10ml – Women's Fragrance Set</t>
  </si>
  <si>
    <t xml:space="preserve">dolce &amp; gabbana devotion gift set</t>
  </si>
  <si>
    <t xml:space="preserve">dolce &amp; gabbana devotion gift set uk</t>
  </si>
  <si>
    <t xml:space="preserve">buy dolce &amp; gabbana devotion gift set online</t>
  </si>
  <si>
    <t xml:space="preserve">dolce &amp; gabbana devotion gift set price</t>
  </si>
  <si>
    <t xml:space="preserve">dolce &amp; gabbana perfume · dolce &amp; gabbana perfume for women · woody perfume for women uk</t>
  </si>
  <si>
    <t xml:space="preserve">dolce gabbana devotion perfume gift set · dolce gabbana devotion men gift set · dolce gabbana devotion set · dolce gabbana devotion set mini</t>
  </si>
  <si>
    <t xml:space="preserve">Dolce &amp; Gabbana Devotion Eau de Parfum Gift Set</t>
  </si>
  <si>
    <t xml:space="preserve">Dolce &amp; Gabbana Devotion Gift Set EDP 50ml | Swansura UK</t>
  </si>
  <si>
    <t xml:space="preserve">Buy Dolce &amp; Gabbana Devotion Eau de Parfum Gift Set online in the UK at Swansura. A woody women's eau de parfum. 100% authentic, free UK delivery over £50.</t>
  </si>
  <si>
    <t xml:space="preserve">FR-128</t>
  </si>
  <si>
    <t xml:space="preserve">Dolce &amp; Gabbana K Eau de Parfum Gift Set 50ml + 5ml – Men's Fragrance Set</t>
  </si>
  <si>
    <t xml:space="preserve">dolce &amp; gabbana k gift set</t>
  </si>
  <si>
    <t xml:space="preserve">dolce &amp; gabbana k gift set uk</t>
  </si>
  <si>
    <t xml:space="preserve">buy dolce &amp; gabbana k gift set online</t>
  </si>
  <si>
    <t xml:space="preserve">dolce &amp; gabbana k gift set price</t>
  </si>
  <si>
    <t xml:space="preserve">dolce &amp; gabbana k gift set for men · dolce gabbana k gift set · dolce and gabbana k gift set 100ml · dolce gabbana k edp gift set · dolce &amp; gabbana k edt gift set · dolce &amp; gabbana k eau de parfum gift set 100ml</t>
  </si>
  <si>
    <t xml:space="preserve">Dolce &amp; Gabbana K Eau de Parfum Gift Set</t>
  </si>
  <si>
    <t xml:space="preserve">Dolce &amp; Gabbana K Eau de Parfum Gift Set | Swansura UK</t>
  </si>
  <si>
    <t xml:space="preserve">Buy Dolce &amp; Gabbana K Eau de Parfum Gift Set online in the UK at Swansura. A woody men's eau de parfum, 50ml. 100% authentic, fast UK delivery, free over £50.</t>
  </si>
  <si>
    <t xml:space="preserve">FR-129</t>
  </si>
  <si>
    <t xml:space="preserve">Dolce &amp; Gabbana Men's Miniature Fragrance Set – Devotion, K EDT, K EDP, The One &amp; Light Blue Pour Homme</t>
  </si>
  <si>
    <t xml:space="preserve">dolce &amp; gabbana miniature set</t>
  </si>
  <si>
    <t xml:space="preserve">dolce &amp; gabbana miniature set uk</t>
  </si>
  <si>
    <t xml:space="preserve">buy dolce &amp; gabbana miniature set online</t>
  </si>
  <si>
    <t xml:space="preserve">dolce &amp; gabbana miniature set price</t>
  </si>
  <si>
    <t xml:space="preserve">dolce &amp; gabbana perfume · dolce &amp; gabbana perfume for men · fresh perfume for men uk</t>
  </si>
  <si>
    <t xml:space="preserve">dolce and gabbana miniature set · dolce gabbana mini set · dolce gabbana mini set perfume · dolce gabbana mini set men · dolce gabbana miniature perfume set · dolce and gabbana miniature gift set</t>
  </si>
  <si>
    <t xml:space="preserve">Dolce &amp; Gabbana Men's Miniature Fragrance Set</t>
  </si>
  <si>
    <t xml:space="preserve">Dolce &amp; Gabbana Men's Miniature Fragrance Set | Swansura UK</t>
  </si>
  <si>
    <t xml:space="preserve">Buy Dolce &amp; Gabbana Men's Miniature Fragrance Set online in the UK at Swansura. A fresh men's eau de parfum, 4x5ml. 100% authentic, free UK delivery over £50.</t>
  </si>
  <si>
    <t xml:space="preserve">FR-130</t>
  </si>
  <si>
    <t xml:space="preserve">Dolce &amp; Gabbana The One for Women Eau de Parfum Gift Set 50ml + 50ml – Luxury Women's Fragrance Set</t>
  </si>
  <si>
    <t xml:space="preserve">dolce &amp; gabbana the one gift set</t>
  </si>
  <si>
    <t xml:space="preserve">dolce &amp; gabbana the one gift set uk</t>
  </si>
  <si>
    <t xml:space="preserve">buy dolce &amp; gabbana the one gift set online</t>
  </si>
  <si>
    <t xml:space="preserve">dolce &amp; gabbana the one gift set price</t>
  </si>
  <si>
    <t xml:space="preserve">dolce gabbana the one gift set men · dolce gabbana the one set · dolce gabbana the one set women · dolce gabbana the one set men · dolce &amp; gabbana the one for women eau de parfum gift set 75ml</t>
  </si>
  <si>
    <t xml:space="preserve">Dolce &amp; Gabbana The One for Women Eau de Parfum Gift Set</t>
  </si>
  <si>
    <t xml:space="preserve">Dolce &amp; Gabbana The One for Women Gift Set | Swansura UK</t>
  </si>
  <si>
    <t xml:space="preserve">Buy Dolce &amp; Gabbana The One for Women Eau de Parfum Gift Set online in the UK at Swansura. Woody eau de parfum. 100% authentic, fast UK delivery, free over £50.</t>
  </si>
  <si>
    <t xml:space="preserve">FR-131</t>
  </si>
  <si>
    <t xml:space="preserve">Dolce &amp; Gabbana Women's Miniature Fragrance Set – Devotion, Q, Blue Jasmine, The One &amp; Light Blue</t>
  </si>
  <si>
    <t xml:space="preserve">Dolce &amp; Gabbana Women's Miniature Fragrance Set</t>
  </si>
  <si>
    <t xml:space="preserve">Dolce &amp; Gabbana Women's Miniature Fragrance | Swansura UK</t>
  </si>
  <si>
    <t xml:space="preserve">Buy Dolce &amp; Gabbana Women's Miniature Fragrance Set online in the UK at Swansura. A floral women's fragrance, 4x5ml. 100% authentic, free UK delivery over £50.</t>
  </si>
  <si>
    <t xml:space="preserve">FR-132</t>
  </si>
  <si>
    <t xml:space="preserve">Dunhill</t>
  </si>
  <si>
    <t xml:space="preserve">Dunhill Signature Collection Agar Wood Eau de Parfum 100ml – Men's Woody Spicy Fragrance</t>
  </si>
  <si>
    <t xml:space="preserve">dunhill signature collection agar wood</t>
  </si>
  <si>
    <t xml:space="preserve">dunhill signature collection agar wood uk</t>
  </si>
  <si>
    <t xml:space="preserve">buy dunhill signature collection agar wood online</t>
  </si>
  <si>
    <t xml:space="preserve">dunhill signature collection agar wood price</t>
  </si>
  <si>
    <t xml:space="preserve">dunhill signature collection agar wood eau de parfum</t>
  </si>
  <si>
    <t xml:space="preserve">dunhill perfume · dunhill perfume for men · woody perfume for men uk</t>
  </si>
  <si>
    <t xml:space="preserve">dunhill signature collection agar wood edp · dunhill signature collection agar wood edp 100ml · dunhill signature collection agar wood review · dunhill signature collection agar wood eau de parfum · dunhill signature collection agar wood eau de parfum 100ml · dunhill signature collection agar wood eau de parfum for men</t>
  </si>
  <si>
    <t xml:space="preserve">Dunhill Signature Collection Agar Wood Eau de Parfum</t>
  </si>
  <si>
    <t xml:space="preserve">Dunhill Signature Collection Agar Wood 100ml | Swansura UK</t>
  </si>
  <si>
    <t xml:space="preserve">Buy Dunhill Signature Collection Agar Wood Eau de Parfum online in the UK at Swansura. A woody men's eau de parfum. 100% authentic, free UK delivery over £50.</t>
  </si>
  <si>
    <t xml:space="preserve">FR-133</t>
  </si>
  <si>
    <t xml:space="preserve">Citrus · Men's Fragrance</t>
  </si>
  <si>
    <t xml:space="preserve">Dunhill Signature Collection Amalfi Citrus Eau de Parfum 100ml – Men's Citrus Aromatic Fragrance</t>
  </si>
  <si>
    <t xml:space="preserve">dunhill signature collection amalfi citrus</t>
  </si>
  <si>
    <t xml:space="preserve">dunhill signature collection amalfi citrus uk</t>
  </si>
  <si>
    <t xml:space="preserve">buy dunhill signature collection amalfi citrus online</t>
  </si>
  <si>
    <t xml:space="preserve">dunhill signature collection amalfi citrus price</t>
  </si>
  <si>
    <t xml:space="preserve">dunhill signature collection amalfi citrus eau de parfum</t>
  </si>
  <si>
    <t xml:space="preserve">dunhill perfume · dunhill perfume for men · citrus perfume for men uk</t>
  </si>
  <si>
    <t xml:space="preserve">dunhill signature collection amalfi citrus eau de parfum · dunhill signature collection amalfi citrus review · dunhill signature collection amalfi citrus edp · dunhill signature collection amalfi citrus eau de parfum for men · dunhill signature amalfi citrus</t>
  </si>
  <si>
    <t xml:space="preserve">Dunhill Signature Collection Amalfi Citrus Eau de Parfum</t>
  </si>
  <si>
    <t xml:space="preserve">Dunhill Signature Collection Amalfi Citrus | Swansura UK</t>
  </si>
  <si>
    <t xml:space="preserve">Buy Dunhill Signature Collection Amalfi Citrus Eau de Parfum at Swansura UK. A citrus men's eau de parfum, 100ml. 100% authentic, free UK delivery over £50.</t>
  </si>
  <si>
    <t xml:space="preserve">FR-134</t>
  </si>
  <si>
    <t xml:space="preserve">Dunhill Signature Collection Arabian Desert Eau de Parfum 100ml – Men's Amber Woody Fragrance</t>
  </si>
  <si>
    <t xml:space="preserve">dunhill signature collection arabian desert</t>
  </si>
  <si>
    <t xml:space="preserve">dunhill signature collection arabian desert uk</t>
  </si>
  <si>
    <t xml:space="preserve">buy dunhill signature collection arabian desert online</t>
  </si>
  <si>
    <t xml:space="preserve">dunhill signature collection arabian desert price</t>
  </si>
  <si>
    <t xml:space="preserve">dunhill signature collection arabian desert eau de parfum</t>
  </si>
  <si>
    <t xml:space="preserve">dunhill signature collection arabian desert eau de parfum · dunhill signature collection arabian desert review · dunhill signature arabian desert · dunhill signature arabian desert edp · dunhill arabian desert review</t>
  </si>
  <si>
    <t xml:space="preserve">Dunhill Signature Collection Arabian Desert Eau de Parfum</t>
  </si>
  <si>
    <t xml:space="preserve">Dunhill Signature Collection Arabian Desert | Swansura UK</t>
  </si>
  <si>
    <t xml:space="preserve">Buy Dunhill Signature Collection Arabian Desert Eau de Parfum at Swansura UK. A woody men's eau de parfum, 100ml. 100% authentic, free UK delivery over £50.</t>
  </si>
  <si>
    <t xml:space="preserve">FR-135</t>
  </si>
  <si>
    <t xml:space="preserve">Dunhill Signature Collection British Leather Eau de Parfum 100ml – Men's Leather Woody Fragrance</t>
  </si>
  <si>
    <t xml:space="preserve">dunhill signature collection british leather</t>
  </si>
  <si>
    <t xml:space="preserve">dunhill signature collection british leather uk</t>
  </si>
  <si>
    <t xml:space="preserve">buy dunhill signature collection british leather online</t>
  </si>
  <si>
    <t xml:space="preserve">dunhill signature collection british leather price</t>
  </si>
  <si>
    <t xml:space="preserve">dunhill signature collection british leather eau de parfum</t>
  </si>
  <si>
    <t xml:space="preserve">dunhill signature collection british leather eau de parfum · dunhill signature collection british leather review · dunhill signature collection british leather edp 100ml · dunhill signature collection british leather edp · dunhill signature british leather · dunhill british leather review</t>
  </si>
  <si>
    <t xml:space="preserve">Dunhill Signature Collection British Leather Eau de Parfum</t>
  </si>
  <si>
    <t xml:space="preserve">Dunhill Signature Collection British Leather | Swansura UK</t>
  </si>
  <si>
    <t xml:space="preserve">Buy Dunhill Signature Collection British Leather Eau de Parfum at Swansura UK. A woody men's eau de parfum, 100ml. 100% authentic, free UK delivery over £50.</t>
  </si>
  <si>
    <t xml:space="preserve">FR-136</t>
  </si>
  <si>
    <t xml:space="preserve">Dunhill Signature Collection Egyptian Smoke Eau de Parfum 100ml – Men's Amber Spicy Fragrance</t>
  </si>
  <si>
    <t xml:space="preserve">dunhill signature collection egyptian smoke</t>
  </si>
  <si>
    <t xml:space="preserve">dunhill signature collection egyptian smoke uk</t>
  </si>
  <si>
    <t xml:space="preserve">buy dunhill signature collection egyptian smoke online</t>
  </si>
  <si>
    <t xml:space="preserve">dunhill signature collection egyptian smoke price</t>
  </si>
  <si>
    <t xml:space="preserve">dunhill signature collection egyptian smoke eau de parfum</t>
  </si>
  <si>
    <t xml:space="preserve">dunhill perfume · dunhill perfume for men · amber perfume for men uk</t>
  </si>
  <si>
    <t xml:space="preserve">dunhill signature collection egyptian smoke eau de parfum · dunhill signature collection egyptian smoke edp 100ml · dunhill signature collection egyptian smoke review · dunhill signature egyptian smoke · dunhill signature collection review</t>
  </si>
  <si>
    <t xml:space="preserve">Dunhill Signature Collection Egyptian Smoke Eau de Parfum</t>
  </si>
  <si>
    <t xml:space="preserve">Dunhill Signature Collection Egyptian Smoke | Swansura UK</t>
  </si>
  <si>
    <t xml:space="preserve">Buy Dunhill Signature Collection Egyptian Smoke Eau de Parfum at Swansura UK. An amber men's eau de parfum, 100ml. 100% authentic, free UK delivery over £50.</t>
  </si>
  <si>
    <t xml:space="preserve">FR-137</t>
  </si>
  <si>
    <t xml:space="preserve">Dunhill Signature Collection Indian Sandalwood Eau de Parfum 100ml – Men's Woody Spicy Fragrance</t>
  </si>
  <si>
    <t xml:space="preserve">dunhill signature collection indian sandalwood</t>
  </si>
  <si>
    <t xml:space="preserve">dunhill signature collection indian sandalwood uk</t>
  </si>
  <si>
    <t xml:space="preserve">buy dunhill signature collection indian sandalwood online</t>
  </si>
  <si>
    <t xml:space="preserve">dunhill signature collection indian sandalwood price</t>
  </si>
  <si>
    <t xml:space="preserve">dunhill signature collection indian sandalwood eau de parfum</t>
  </si>
  <si>
    <t xml:space="preserve">dunhill signature collection indian sandalwood eau de parfum · dunhill signature collection indian sandalwood edp · dunhill signature collection indian sandalwood review · dunhill signature collection indian sandalwood for men · dunhill signature collection indian sandalwood edp 100ml · dunhill signature collection indian sandalwood eau de parfum 100ml</t>
  </si>
  <si>
    <t xml:space="preserve">Dunhill Signature Collection Indian Sandalwood Eau de Parfum</t>
  </si>
  <si>
    <t xml:space="preserve">Dunhill Signature Collection Indian Sandalwood | Swansura UK</t>
  </si>
  <si>
    <t xml:space="preserve">Buy Dunhill Signature Collection Indian Sandalwood Eau de Parfum at Swansura UK. A woody men's eau de parfum, 100ml. 100% authentic, free UK delivery over £50.</t>
  </si>
  <si>
    <t xml:space="preserve">FR-138</t>
  </si>
  <si>
    <t xml:space="preserve">Dunhill Signature Collection Mongolian Cashmere Eau de Parfum 100ml – Men's Woody Amber Fragrance</t>
  </si>
  <si>
    <t xml:space="preserve">dunhill signature collection mongolian cashmere</t>
  </si>
  <si>
    <t xml:space="preserve">dunhill signature collection mongolian cashmere uk</t>
  </si>
  <si>
    <t xml:space="preserve">buy dunhill signature collection mongolian cashmere online</t>
  </si>
  <si>
    <t xml:space="preserve">dunhill signature collection mongolian cashmere price</t>
  </si>
  <si>
    <t xml:space="preserve">dunhill signature collection mongolian cashmere eau de parfum</t>
  </si>
  <si>
    <t xml:space="preserve">dunhill signature collection mongolian cashmere eau de parfum · dunhill signature collection mongolian cashmere eau de parfum 100ml · dunhill signature mongolian cashmere · dunhill signature mongolian cashmere edp</t>
  </si>
  <si>
    <t xml:space="preserve">Dunhill Signature Collection Mongolian Cashmere Eau de Parfum</t>
  </si>
  <si>
    <t xml:space="preserve">Dunhill Signature Collection Mongolian | Swansura UK</t>
  </si>
  <si>
    <t xml:space="preserve">Buy Dunhill Signature Collection Mongolian Cashmere Eau de Parfum at Swansura UK. A woody men's eau de parfum, 100ml. 100% authentic, free UK delivery over £50.</t>
  </si>
  <si>
    <t xml:space="preserve">FR-139</t>
  </si>
  <si>
    <t xml:space="preserve">Dunhill Signature Collection Moroccan Amber Eau de Parfum 100ml – Men's Amber Spicy Fragrance</t>
  </si>
  <si>
    <t xml:space="preserve">dunhill signature collection moroccan amber</t>
  </si>
  <si>
    <t xml:space="preserve">dunhill signature collection moroccan amber uk</t>
  </si>
  <si>
    <t xml:space="preserve">buy dunhill signature collection moroccan amber online</t>
  </si>
  <si>
    <t xml:space="preserve">dunhill signature collection moroccan amber price</t>
  </si>
  <si>
    <t xml:space="preserve">dunhill signature collection moroccan amber eau de parfum</t>
  </si>
  <si>
    <t xml:space="preserve">dunhill signature collection moroccan amber review · dunhill signature collection moroccan amber for men · dunhill signature collection moroccan amber edp 100ml · dunhill signature collection moroccan amber eau de parfum · dunhill signature moroccan amber</t>
  </si>
  <si>
    <t xml:space="preserve">Dunhill Signature Collection Moroccan Amber Eau de Parfum</t>
  </si>
  <si>
    <t xml:space="preserve">Dunhill Signature Collection Moroccan Amber | Swansura UK</t>
  </si>
  <si>
    <t xml:space="preserve">Buy Dunhill Signature Collection Moroccan Amber Eau de Parfum at Swansura UK. An amber men's eau de parfum, 100ml. 100% authentic, free UK delivery over £50.</t>
  </si>
  <si>
    <t xml:space="preserve">FR-140</t>
  </si>
  <si>
    <t xml:space="preserve">Dunhill Signature Collection Nordic Fougère Eau de Parfum 100ml – Men's Aromatic Woody Fragrance</t>
  </si>
  <si>
    <t xml:space="preserve">dunhill signature collection nordic fougere</t>
  </si>
  <si>
    <t xml:space="preserve">dunhill signature collection nordic fougere uk</t>
  </si>
  <si>
    <t xml:space="preserve">buy dunhill signature collection nordic fougere online</t>
  </si>
  <si>
    <t xml:space="preserve">dunhill signature collection nordic fougere price</t>
  </si>
  <si>
    <t xml:space="preserve">dunhill signature collection nordic fougere eau de parfum</t>
  </si>
  <si>
    <t xml:space="preserve">dunhill signature collection nordic fougere eau de parfum · dunhill signature collection nordic fougere edp · dunhill signature collection nordic fougere edp 100ml · dunhill signature nordic fougere edp · dunhill signature collection review</t>
  </si>
  <si>
    <t xml:space="preserve">Dunhill Signature Collection Nordic Fougère Eau de Parfum</t>
  </si>
  <si>
    <t xml:space="preserve">Dunhill Signature Collection Nordic Fougère | Swansura UK</t>
  </si>
  <si>
    <t xml:space="preserve">Buy Dunhill Signature Collection Nordic Fougère Eau de Parfum at Swansura UK. A woody men's eau de parfum, 100ml. 100% authentic, free UK delivery over £50.</t>
  </si>
  <si>
    <t xml:space="preserve">FR-141</t>
  </si>
  <si>
    <t xml:space="preserve">Dunhill Signature Collection Valensole Lavender Eau de Parfum 100ml – Men's Aromatic Fougere Fragrance</t>
  </si>
  <si>
    <t xml:space="preserve">dunhill signature collection valensole lavender</t>
  </si>
  <si>
    <t xml:space="preserve">dunhill signature collection valensole lavender uk</t>
  </si>
  <si>
    <t xml:space="preserve">buy dunhill signature collection valensole lavender online</t>
  </si>
  <si>
    <t xml:space="preserve">dunhill signature collection valensole lavender price</t>
  </si>
  <si>
    <t xml:space="preserve">dunhill signature collection valensole lavender eau de parfum</t>
  </si>
  <si>
    <t xml:space="preserve">dunhill perfume · dunhill perfume for men · aromatic perfume for men uk</t>
  </si>
  <si>
    <t xml:space="preserve">dunhill signature collection valensole lavender eau de parfum · dunhill signature collection valensole lavender edp · dunhill signature collection valensole lavender eau de parfum 100ml · dunhill signature valensole lavender</t>
  </si>
  <si>
    <t xml:space="preserve">Dunhill Signature Collection Valensole Lavender Eau de Parfum</t>
  </si>
  <si>
    <t xml:space="preserve">Dunhill Signature Collection Valensole | Swansura UK</t>
  </si>
  <si>
    <t xml:space="preserve">Buy Dunhill Signature Collection Valensole Lavender Eau de Parfum at Swansura UK. An aromatic men's eau de parfum. 100% authentic, free UK delivery over £50.</t>
  </si>
  <si>
    <t xml:space="preserve">FR-142</t>
  </si>
  <si>
    <t xml:space="preserve">Dunhill Desire Black Eau de Toilette 100ml – Men's Spicy Woody Fragrance</t>
  </si>
  <si>
    <t xml:space="preserve">dunhill desire black</t>
  </si>
  <si>
    <t xml:space="preserve">dunhill desire black uk</t>
  </si>
  <si>
    <t xml:space="preserve">buy dunhill desire black online</t>
  </si>
  <si>
    <t xml:space="preserve">dunhill desire black price</t>
  </si>
  <si>
    <t xml:space="preserve">dunhill desire black eau de toilette</t>
  </si>
  <si>
    <t xml:space="preserve">dunhill desire black perfume · dunhill desire black notes · dunhill desire black review · dunhill desire black price · dunhill desire black edt</t>
  </si>
  <si>
    <t xml:space="preserve">Dunhill Desire Black Eau de Toilette</t>
  </si>
  <si>
    <t xml:space="preserve">Dunhill Desire Black EDT 100ml | Buy Online UK | Swansura</t>
  </si>
  <si>
    <t xml:space="preserve">Buy Dunhill Desire Black Eau de Toilette online in the UK at Swansura. A woody men's eau de toilette, 100ml. 100% authentic, fast UK delivery, free over £50.</t>
  </si>
  <si>
    <t xml:space="preserve">FR-143</t>
  </si>
  <si>
    <t xml:space="preserve">Dunhill Desire Blue Eau de Toilette 100ml – Men's Fresh Aquatic Fragrance</t>
  </si>
  <si>
    <t xml:space="preserve">dunhill desire blue</t>
  </si>
  <si>
    <t xml:space="preserve">dunhill desire blue uk</t>
  </si>
  <si>
    <t xml:space="preserve">buy dunhill desire blue online</t>
  </si>
  <si>
    <t xml:space="preserve">dunhill desire blue price</t>
  </si>
  <si>
    <t xml:space="preserve">dunhill desire blue eau de toilette</t>
  </si>
  <si>
    <t xml:space="preserve">dunhill perfume · dunhill perfume for men · fresh perfume for men uk</t>
  </si>
  <si>
    <t xml:space="preserve">dunhill desire blue perfume · dunhill desire blue price · dunhill desire blue notes · dunhill desire blue original · dunhill desire blue review</t>
  </si>
  <si>
    <t xml:space="preserve">Dunhill Desire Blue Eau de Toilette</t>
  </si>
  <si>
    <t xml:space="preserve">Dunhill Desire Blue EDT 100ml | Buy Online UK | Swansura</t>
  </si>
  <si>
    <t xml:space="preserve">Buy Dunhill Desire Blue Eau de Toilette online in the UK at Swansura. A fresh men's eau de toilette, 100ml. 100% authentic, fast UK delivery, free over £50.</t>
  </si>
  <si>
    <t xml:space="preserve">FR-144</t>
  </si>
  <si>
    <t xml:space="preserve">Dunhill Desire Gold Eau de Toilette 100ml – Men's Woody Spicy Fragrance</t>
  </si>
  <si>
    <t xml:space="preserve">dunhill desire gold</t>
  </si>
  <si>
    <t xml:space="preserve">dunhill desire gold uk</t>
  </si>
  <si>
    <t xml:space="preserve">buy dunhill desire gold online</t>
  </si>
  <si>
    <t xml:space="preserve">dunhill desire gold price</t>
  </si>
  <si>
    <t xml:space="preserve">dunhill desire gold eau de toilette</t>
  </si>
  <si>
    <t xml:space="preserve">dunhill desire gold perfume · dunhill desire gold for men · dunhill desire gold review · dunhill desire gold price · dunhill desire gold edt · dunhill desire gold edt 100ml</t>
  </si>
  <si>
    <t xml:space="preserve">Dunhill Desire Gold Eau de Toilette</t>
  </si>
  <si>
    <t xml:space="preserve">Dunhill Desire Gold EDT 100ml | Buy Online UK | Swansura</t>
  </si>
  <si>
    <t xml:space="preserve">Buy Dunhill Desire Gold Eau de Toilette online in the UK at Swansura. A woody men's eau de toilette, 100ml. 100% authentic, fast UK delivery, free over £50.</t>
  </si>
  <si>
    <t xml:space="preserve">FR-145</t>
  </si>
  <si>
    <t xml:space="preserve">Dunhill Desire Silver Eau de Toilette 100ml – Men's Fresh Woody Fragrance</t>
  </si>
  <si>
    <t xml:space="preserve">dunhill desire silver</t>
  </si>
  <si>
    <t xml:space="preserve">dunhill desire silver uk</t>
  </si>
  <si>
    <t xml:space="preserve">buy dunhill desire silver online</t>
  </si>
  <si>
    <t xml:space="preserve">dunhill desire silver price</t>
  </si>
  <si>
    <t xml:space="preserve">dunhill desire silver eau de toilette</t>
  </si>
  <si>
    <t xml:space="preserve">dunhill desire silver perfume · dunhill desire silver review · dunhill desire silver 100ml · dunhill desire silver notes · dunhill desire silver edt · dunhill desire silver price</t>
  </si>
  <si>
    <t xml:space="preserve">Dunhill Desire Silver Eau de Toilette</t>
  </si>
  <si>
    <t xml:space="preserve">Dunhill Desire Silver EDT 100ml | Buy Online UK | Swansura</t>
  </si>
  <si>
    <t xml:space="preserve">Buy Dunhill Desire Silver Eau de Toilette online in the UK at Swansura. A woody men's eau de toilette, 100ml. 100% authentic, fast UK delivery, free over £50.</t>
  </si>
  <si>
    <t xml:space="preserve">Elie Saab</t>
  </si>
  <si>
    <t xml:space="preserve">elie saab elixir</t>
  </si>
  <si>
    <t xml:space="preserve">elie saab elixir uk</t>
  </si>
  <si>
    <t xml:space="preserve">buy elie saab elixir online</t>
  </si>
  <si>
    <t xml:space="preserve">elie saab elixir price</t>
  </si>
  <si>
    <t xml:space="preserve">elie saab elixir eau de parfum</t>
  </si>
  <si>
    <t xml:space="preserve">elie saab perfume · elie saab perfume for women · floral perfume for women uk</t>
  </si>
  <si>
    <t xml:space="preserve">elie saab elixir perfume · elie saab elixir eau de parfum · elie saab elixir 30ml · elie saab elixir 100ml · elie saab elixir notes · elie saab elixir reviews</t>
  </si>
  <si>
    <t xml:space="preserve">Elie Saab Elixir Eau de Parfum</t>
  </si>
  <si>
    <t xml:space="preserve">Elie Saab Elixir Eau de Parfum | Buy Online UK | Swansura</t>
  </si>
  <si>
    <t xml:space="preserve">Buy Elie Saab Elixir Eau de Parfum online in the UK at Swansura. A floral women's eau de parfum, 50ml. 100% authentic, fast UK delivery, free over £50.</t>
  </si>
  <si>
    <t xml:space="preserve">FR-147</t>
  </si>
  <si>
    <t xml:space="preserve">Elie Saab La Collection des Essences No. 1 Rose Eau de Parfum 100ml – Luxury Unisex Rose Fragrance</t>
  </si>
  <si>
    <t xml:space="preserve">elie saab la collection des essences no. 1 rose</t>
  </si>
  <si>
    <t xml:space="preserve">elie saab la collection des essences no. 1 rose uk</t>
  </si>
  <si>
    <t xml:space="preserve">buy elie saab la collection des essences no. 1 rose online</t>
  </si>
  <si>
    <t xml:space="preserve">elie saab la collection des essences no. 1 rose price</t>
  </si>
  <si>
    <t xml:space="preserve">elie saab la collection des essences no. 1 rose eau de parfum</t>
  </si>
  <si>
    <t xml:space="preserve">elie saab perfume · floral perfume uk</t>
  </si>
  <si>
    <t xml:space="preserve">Elie Saab La Collection des Essences No. 1 Rose Eau de Parfum</t>
  </si>
  <si>
    <t xml:space="preserve">Elie Saab La Collection des Essences No. 1 | Swansura UK</t>
  </si>
  <si>
    <t xml:space="preserve">Buy Elie Saab La Collection des Essences No. 1 Rose Eau de Parfum online in the UK at Swansura. A floral unisex eau de parfum, 100ml. Free UK delivery over £50.</t>
  </si>
  <si>
    <t xml:space="preserve">FR-148</t>
  </si>
  <si>
    <t xml:space="preserve">Oud · Unisex Fragrance</t>
  </si>
  <si>
    <t xml:space="preserve">Elie Saab La Collection des Essences No. 4 Oud Eau de Parfum 100ml – Luxury Unisex Oud Fragrance</t>
  </si>
  <si>
    <t xml:space="preserve">elie saab la collection des essences no. 4 oud</t>
  </si>
  <si>
    <t xml:space="preserve">elie saab la collection des essences no. 4 oud uk</t>
  </si>
  <si>
    <t xml:space="preserve">buy elie saab la collection des essences no. 4 oud online</t>
  </si>
  <si>
    <t xml:space="preserve">elie saab la collection des essences no. 4 oud price</t>
  </si>
  <si>
    <t xml:space="preserve">elie saab la collection des essences no. 4 oud eau de parfum</t>
  </si>
  <si>
    <t xml:space="preserve">elie saab perfume · oud perfume uk</t>
  </si>
  <si>
    <t xml:space="preserve">Elie Saab La Collection des Essences No. 4 Oud Eau de Parfum</t>
  </si>
  <si>
    <t xml:space="preserve">Elie Saab La Collection des Essences No. 4 Oud | Swansura UK</t>
  </si>
  <si>
    <t xml:space="preserve">Buy Elie Saab La Collection des Essences No. 4 Oud Eau de Parfum at Swansura UK. An oud unisex eau de parfum, 100ml. 100% authentic, free UK delivery over £50.</t>
  </si>
  <si>
    <t xml:space="preserve">FR-149</t>
  </si>
  <si>
    <t xml:space="preserve">Elie Saab Le Parfum Bridal Eau de Parfum 90ml – Women's Floral Amber Fragrance</t>
  </si>
  <si>
    <t xml:space="preserve">elie saab le parfum bridal</t>
  </si>
  <si>
    <t xml:space="preserve">elie saab le parfum bridal uk</t>
  </si>
  <si>
    <t xml:space="preserve">buy elie saab le parfum bridal online</t>
  </si>
  <si>
    <t xml:space="preserve">elie saab le parfum bridal price</t>
  </si>
  <si>
    <t xml:space="preserve">elie saab le parfum bridal eau de parfum</t>
  </si>
  <si>
    <t xml:space="preserve">elie saab le parfum bridal eau de parfum · elie saab le parfum bridal review · elie saab le parfum bridal notes · elie saab le parfum bridal edp · elie saab le parfum bridal 90ml · elie saab le parfum bridal 30ml</t>
  </si>
  <si>
    <t xml:space="preserve">Elie Saab Le Parfum Bridal Eau de Parfum</t>
  </si>
  <si>
    <t xml:space="preserve">Elie Saab Le Bridal EDP 90ml | Buy Online UK | Swansura</t>
  </si>
  <si>
    <t xml:space="preserve">Buy Elie Saab Le Parfum Bridal Eau de Parfum online in the UK at Swansura. A floral women's eau de parfum, 90ml. 100% authentic, free UK delivery over £50.</t>
  </si>
  <si>
    <t xml:space="preserve">FR-150</t>
  </si>
  <si>
    <t xml:space="preserve">Elie Saab Le Parfum Eau de Parfum 50ml – Women's Floral Amber Fragrance</t>
  </si>
  <si>
    <t xml:space="preserve">elie saab le</t>
  </si>
  <si>
    <t xml:space="preserve">elie saab le uk</t>
  </si>
  <si>
    <t xml:space="preserve">buy elie saab le online</t>
  </si>
  <si>
    <t xml:space="preserve">elie saab le price</t>
  </si>
  <si>
    <t xml:space="preserve">elie saab le eau de parfum</t>
  </si>
  <si>
    <t xml:space="preserve">elie saab le parfum · elie saab le parfum notes · elie saab le parfum eau de parfum</t>
  </si>
  <si>
    <t xml:space="preserve">Elie Saab Le Parfum Eau de Parfum</t>
  </si>
  <si>
    <t xml:space="preserve">Elie Saab Le Parfum Eau de Parfum | Buy Online UK | Swansura</t>
  </si>
  <si>
    <t xml:space="preserve">Buy Elie Saab Le Parfum Eau de Parfum online in the UK at Swansura. A floral women's eau de parfum, 50ml. 100% authentic, fast UK delivery, free over £50.</t>
  </si>
  <si>
    <t xml:space="preserve">FR-151</t>
  </si>
  <si>
    <t xml:space="preserve">Elie Saab Le Parfum Eau de Parfum Intense 90ml – Women's Floral Amber Fragrance</t>
  </si>
  <si>
    <t xml:space="preserve">elie saab le parfum intense</t>
  </si>
  <si>
    <t xml:space="preserve">elie saab le parfum intense uk</t>
  </si>
  <si>
    <t xml:space="preserve">buy elie saab le parfum intense online</t>
  </si>
  <si>
    <t xml:space="preserve">elie saab le parfum intense price</t>
  </si>
  <si>
    <t xml:space="preserve">elie saab le parfum intense eau de parfum</t>
  </si>
  <si>
    <t xml:space="preserve">elie saab le parfum intense review · elie saab le parfum intense notes · elie saab le parfum intense 90ml · elie saab le parfum intense edp · elie saab le parfum intense edp 90ml · elie saab le parfum intense price</t>
  </si>
  <si>
    <t xml:space="preserve">Elie Saab Le Parfum Eau de Parfum Intense</t>
  </si>
  <si>
    <t xml:space="preserve">Elie Saab Le Intense EDP 90ml | Buy Online UK | Swansura</t>
  </si>
  <si>
    <t xml:space="preserve">Buy Elie Saab Le Parfum Eau de Parfum Intense online in the UK at Swansura. A floral women's eau de parfum, 90ml. 100% authentic, free UK delivery over £50.</t>
  </si>
  <si>
    <t xml:space="preserve">FR-152</t>
  </si>
  <si>
    <t xml:space="preserve">Elie Saab Nuit Noor Eau de Parfum 90ml – Women's Amber Floral Fragrance</t>
  </si>
  <si>
    <t xml:space="preserve">elie saab nuit noor</t>
  </si>
  <si>
    <t xml:space="preserve">elie saab nuit noor uk</t>
  </si>
  <si>
    <t xml:space="preserve">buy elie saab nuit noor online</t>
  </si>
  <si>
    <t xml:space="preserve">elie saab nuit noor price</t>
  </si>
  <si>
    <t xml:space="preserve">elie saab nuit noor eau de parfum</t>
  </si>
  <si>
    <t xml:space="preserve">elie saab nuit noor eau de parfum · elie saab nuit noor notes · elie saab nuit noor edp 90ml · elie saab nuit noor perfume · elie saab nuit noor edp · elie saab nuit noor review</t>
  </si>
  <si>
    <t xml:space="preserve">Elie Saab Nuit Noor Eau de Parfum</t>
  </si>
  <si>
    <t xml:space="preserve">Elie Saab Nuit Noor Eau de Parfum | Buy Online UK | Swansura</t>
  </si>
  <si>
    <t xml:space="preserve">Buy Elie Saab Nuit Noor Eau de Parfum online in the UK at Swansura. A floral women's eau de parfum, 90ml. 100% authentic, fast UK delivery, free over £50.</t>
  </si>
  <si>
    <t xml:space="preserve">FR-153</t>
  </si>
  <si>
    <t xml:space="preserve">Elie Saab Girl of Now Lovely Eau de Parfum Gift Set 50ml + Body Lotion 75ml – New Pack Women's Fragrance Set</t>
  </si>
  <si>
    <t xml:space="preserve">elie saab girl of now lovely gift set</t>
  </si>
  <si>
    <t xml:space="preserve">elie saab girl of now lovely gift set uk</t>
  </si>
  <si>
    <t xml:space="preserve">buy elie saab girl of now lovely gift set online</t>
  </si>
  <si>
    <t xml:space="preserve">elie saab girl of now lovely gift set price</t>
  </si>
  <si>
    <t xml:space="preserve">elie saab perfume · elie saab perfume for women · woody perfume for women uk</t>
  </si>
  <si>
    <t xml:space="preserve">elie saab girl of now lovely set</t>
  </si>
  <si>
    <t xml:space="preserve">Elie Saab Girl of Now Lovely Eau de Parfum Gift Set</t>
  </si>
  <si>
    <t xml:space="preserve">Elie Saab Girl of Now Lovely Gift Set EDP 50ml | Swansura UK</t>
  </si>
  <si>
    <t xml:space="preserve">Buy Elie Saab Girl of Now Lovely Eau de Parfum Gift Set online in the UK at Swansura. A woody women's eau de parfum. 100% authentic, free UK delivery over £50.</t>
  </si>
  <si>
    <t xml:space="preserve">FR-154</t>
  </si>
  <si>
    <t xml:space="preserve">Elie Saab Le Parfum Eau de Parfum Gift Set 90ml + Body Lotion 75ml + Shower Gel 75ml – Women's Fragrance Set</t>
  </si>
  <si>
    <t xml:space="preserve">elie saab le parfum gift set</t>
  </si>
  <si>
    <t xml:space="preserve">elie saab le parfum gift set uk</t>
  </si>
  <si>
    <t xml:space="preserve">buy elie saab le parfum gift set online</t>
  </si>
  <si>
    <t xml:space="preserve">elie saab le parfum gift set price</t>
  </si>
  <si>
    <t xml:space="preserve">elie saab le parfum gift set 90ml · elie saab le parfum gift set 50ml · elie saab eau de parfum gift set · elie saab le parfum eau de parfum gift set 50ml · elie saab le parfum set</t>
  </si>
  <si>
    <t xml:space="preserve">Elie Saab Le Parfum Eau de Parfum Gift Set</t>
  </si>
  <si>
    <t xml:space="preserve">Elie Saab Le Gift Set EDP 90ml | Buy Online UK | Swansura</t>
  </si>
  <si>
    <t xml:space="preserve">Buy Elie Saab Le Parfum Eau de Parfum Gift Set online in the UK at Swansura. A woody women's eau de parfum, 90ml. 100% authentic, free UK delivery over £50.</t>
  </si>
  <si>
    <t xml:space="preserve">FR-155</t>
  </si>
  <si>
    <t xml:space="preserve">Elie Saab Le Parfum Lumière Eau de Parfum Gift Set 90ml + 10ml + Body Lotion 75ml – Women's Fragrance Set</t>
  </si>
  <si>
    <t xml:space="preserve">elie saab le parfum lumiere gift set</t>
  </si>
  <si>
    <t xml:space="preserve">elie saab le parfum lumiere gift set uk</t>
  </si>
  <si>
    <t xml:space="preserve">buy elie saab le parfum lumiere gift set online</t>
  </si>
  <si>
    <t xml:space="preserve">elie saab le parfum lumiere gift set price</t>
  </si>
  <si>
    <t xml:space="preserve">elie saab le parfum lumiere set</t>
  </si>
  <si>
    <t xml:space="preserve">Elie Saab Le Parfum Lumière Eau de Parfum Gift Set</t>
  </si>
  <si>
    <t xml:space="preserve">Elie Saab Le Lumière Gift Set EDP 90ml | Swansura UK</t>
  </si>
  <si>
    <t xml:space="preserve">Buy Elie Saab Le Parfum Lumière Eau de Parfum Gift Set online in the UK at Swansura. A woody women's eau de parfum. 100% authentic, free UK delivery over £50.</t>
  </si>
  <si>
    <t xml:space="preserve">FR-156</t>
  </si>
  <si>
    <t xml:space="preserve">Elizabeth Arden</t>
  </si>
  <si>
    <t xml:space="preserve">Elizabeth Arden Beauty Eau de Parfum 100ml – Women's Floral Green Fragrance</t>
  </si>
  <si>
    <t xml:space="preserve">elizabeth arden beauty</t>
  </si>
  <si>
    <t xml:space="preserve">elizabeth arden beauty uk</t>
  </si>
  <si>
    <t xml:space="preserve">buy elizabeth arden beauty online</t>
  </si>
  <si>
    <t xml:space="preserve">elizabeth arden beauty price</t>
  </si>
  <si>
    <t xml:space="preserve">elizabeth arden beauty eau de parfum</t>
  </si>
  <si>
    <t xml:space="preserve">elizabeth arden perfume · elizabeth arden perfume for women · floral perfume for women uk</t>
  </si>
  <si>
    <t xml:space="preserve">elizabeth arden beauty perfume · elizabeth arden beauty perfume review · elizabeth arden beauty perfume 100ml · elizabeth arden beauty eau de parfum · elizabeth arden beauty eau de parfum 100ml · elizabeth arden beauty edp</t>
  </si>
  <si>
    <t xml:space="preserve">Elizabeth Arden Beauty Eau de Parfum</t>
  </si>
  <si>
    <t xml:space="preserve">Elizabeth Arden Beauty EDP 100ml | Buy Online UK | Swansura</t>
  </si>
  <si>
    <t xml:space="preserve">Buy Elizabeth Arden Beauty Eau de Parfum online in the UK at Swansura. A floral women's eau de parfum, 100ml. 100% authentic, fast UK delivery, free over £50.</t>
  </si>
  <si>
    <t xml:space="preserve">FR-157</t>
  </si>
  <si>
    <t xml:space="preserve">Escada</t>
  </si>
  <si>
    <t xml:space="preserve">Escada Magnetic Dream Eau de Parfum 75ml – Women's Fruity Floral Fragrance</t>
  </si>
  <si>
    <t xml:space="preserve">escada magnetic dream</t>
  </si>
  <si>
    <t xml:space="preserve">escada magnetic dream uk</t>
  </si>
  <si>
    <t xml:space="preserve">buy escada magnetic dream online</t>
  </si>
  <si>
    <t xml:space="preserve">escada magnetic dream price</t>
  </si>
  <si>
    <t xml:space="preserve">escada magnetic dream eau de parfum</t>
  </si>
  <si>
    <t xml:space="preserve">escada perfume · escada perfume for women · floral perfume for women uk</t>
  </si>
  <si>
    <t xml:space="preserve">escada magnetic dream eau de parfum · escada magnetic dream review · escada magnetic dream notes · escada magnetic dream edp 75ml</t>
  </si>
  <si>
    <t xml:space="preserve">Escada Magnetic Dream Eau de Parfum</t>
  </si>
  <si>
    <t xml:space="preserve">Escada Magnetic Dream EDP 75ml | Buy Online UK | Swansura</t>
  </si>
  <si>
    <t xml:space="preserve">Buy Escada Magnetic Dream Eau de Parfum online in the UK at Swansura. A floral women's eau de parfum, 75ml. 100% authentic, fast UK delivery, free over £50.</t>
  </si>
  <si>
    <t xml:space="preserve">escada magnetism</t>
  </si>
  <si>
    <t xml:space="preserve">escada magnetism uk</t>
  </si>
  <si>
    <t xml:space="preserve">buy escada magnetism online</t>
  </si>
  <si>
    <t xml:space="preserve">escada magnetism price</t>
  </si>
  <si>
    <t xml:space="preserve">escada magnetism eau de parfum</t>
  </si>
  <si>
    <t xml:space="preserve">escada magnetism perfume · escada magnetism men · escada magnetism notes · escada magnetism price · escada magnetism women · escada magnetism review</t>
  </si>
  <si>
    <t xml:space="preserve">Escada Magnetism Eau de Parfum</t>
  </si>
  <si>
    <t xml:space="preserve">Escada Magnetism Eau de Parfum | Buy Online UK | Swansura</t>
  </si>
  <si>
    <t xml:space="preserve">Buy Escada Magnetism Eau de Parfum online in the UK at Swansura. A floral women's eau de parfum, 25ml. 100% authentic, fast UK delivery, free over £50.</t>
  </si>
  <si>
    <t xml:space="preserve">FR-159</t>
  </si>
  <si>
    <t xml:space="preserve">Fruity · Women's Fragrance</t>
  </si>
  <si>
    <t xml:space="preserve">Escada Party Love Eau de Parfum 100ml – Women's Fruity Gourmand Fragrance</t>
  </si>
  <si>
    <t xml:space="preserve">escada party love</t>
  </si>
  <si>
    <t xml:space="preserve">escada party love uk</t>
  </si>
  <si>
    <t xml:space="preserve">buy escada party love online</t>
  </si>
  <si>
    <t xml:space="preserve">escada party love price</t>
  </si>
  <si>
    <t xml:space="preserve">escada party love eau de parfum</t>
  </si>
  <si>
    <t xml:space="preserve">escada perfume · escada perfume for women · fruity perfume for women uk</t>
  </si>
  <si>
    <t xml:space="preserve">escada party love perfume · escada party love notes · escada party love 100ml · escada party love perfume notes · escada party love review · escada party love price</t>
  </si>
  <si>
    <t xml:space="preserve">Escada Party Love Eau de Parfum</t>
  </si>
  <si>
    <t xml:space="preserve">Escada Party Love Eau de Parfum | Buy Online UK | Swansura</t>
  </si>
  <si>
    <t xml:space="preserve">Buy Escada Party Love Eau de Parfum online in the UK at Swansura. A fruity women's eau de parfum, 100ml. 100% authentic, fast UK delivery, free over £50.</t>
  </si>
  <si>
    <t xml:space="preserve">FR-160</t>
  </si>
  <si>
    <t xml:space="preserve">Estée Lauder</t>
  </si>
  <si>
    <t xml:space="preserve">Estée Lauder SpellBound Eau de Parfum 50ml – Women's Warm Spicy Floral Fragrance</t>
  </si>
  <si>
    <t xml:space="preserve">estee lauder spellbound</t>
  </si>
  <si>
    <t xml:space="preserve">estee lauder spellbound uk</t>
  </si>
  <si>
    <t xml:space="preserve">buy estee lauder spellbound online</t>
  </si>
  <si>
    <t xml:space="preserve">estee lauder spellbound price</t>
  </si>
  <si>
    <t xml:space="preserve">estee lauder spellbound eau de parfum</t>
  </si>
  <si>
    <t xml:space="preserve">estée lauder perfume · estée lauder perfume for women · floral perfume for women uk</t>
  </si>
  <si>
    <t xml:space="preserve">estee lauder spellbound perfume · estee lauder spellbound review · estee lauder spellbound original · estee lauder spellbound dupe · estee lauder spellbound notes · estee lauder spellbound edp</t>
  </si>
  <si>
    <t xml:space="preserve">Estée Lauder SpellBound Eau de Parfum</t>
  </si>
  <si>
    <t xml:space="preserve">Estée Lauder SpellBound EDP 50ml | Buy Online UK | Swansura</t>
  </si>
  <si>
    <t xml:space="preserve">Buy Estée Lauder SpellBound Eau de Parfum online in the UK at Swansura. A floral women's eau de parfum, 50ml. 100% authentic, fast UK delivery, free over £50.</t>
  </si>
  <si>
    <t xml:space="preserve">FR-161</t>
  </si>
  <si>
    <t xml:space="preserve">Etienne Aigner</t>
  </si>
  <si>
    <t xml:space="preserve">Etienne Aigner First Class Explorer Eau de Toilette 100ml – Men's Woody Aromatic Fragrance</t>
  </si>
  <si>
    <t xml:space="preserve">etienne aigner first class explorer</t>
  </si>
  <si>
    <t xml:space="preserve">etienne aigner first class explorer uk</t>
  </si>
  <si>
    <t xml:space="preserve">buy etienne aigner first class explorer online</t>
  </si>
  <si>
    <t xml:space="preserve">etienne aigner first class explorer price</t>
  </si>
  <si>
    <t xml:space="preserve">etienne aigner first class explorer eau de toilette</t>
  </si>
  <si>
    <t xml:space="preserve">etienne aigner perfume · etienne aigner perfume for men · woody perfume for men uk</t>
  </si>
  <si>
    <t xml:space="preserve">first class explorer etienne aigner for men</t>
  </si>
  <si>
    <t xml:space="preserve">Etienne Aigner First Class Explorer Eau de Toilette</t>
  </si>
  <si>
    <t xml:space="preserve">Etienne Aigner First Class Explorer EDT 100ml | Swansura UK</t>
  </si>
  <si>
    <t xml:space="preserve">Buy Etienne Aigner First Class Explorer Eau de Toilette online in the UK at Swansura. A woody men's eau de toilette. 100% authentic, free UK delivery over £50.</t>
  </si>
  <si>
    <t xml:space="preserve">FR-162</t>
  </si>
  <si>
    <t xml:space="preserve">Etienne Aigner No. 1 Intense Eau de Toilette 100ml – Men's Woody Spicy Fragrance</t>
  </si>
  <si>
    <t xml:space="preserve">etienne aigner no. 1 intense</t>
  </si>
  <si>
    <t xml:space="preserve">etienne aigner no. 1 intense uk</t>
  </si>
  <si>
    <t xml:space="preserve">buy etienne aigner no. 1 intense online</t>
  </si>
  <si>
    <t xml:space="preserve">etienne aigner no. 1 intense price</t>
  </si>
  <si>
    <t xml:space="preserve">etienne aigner no. 1 intense eau de toilette</t>
  </si>
  <si>
    <t xml:space="preserve">etienne aigner no 1 intense</t>
  </si>
  <si>
    <t xml:space="preserve">Etienne Aigner No. 1 Intense Eau de Toilette</t>
  </si>
  <si>
    <t xml:space="preserve">Etienne Aigner No. 1 Intense Eau de Toilette | Swansura UK</t>
  </si>
  <si>
    <t xml:space="preserve">Buy Etienne Aigner No. 1 Intense Eau de Toilette online in the UK at Swansura. A woody men's eau de toilette, 100ml. 100% authentic, free UK delivery over £50.</t>
  </si>
  <si>
    <t xml:space="preserve">FR-163</t>
  </si>
  <si>
    <t xml:space="preserve">Fumeri</t>
  </si>
  <si>
    <t xml:space="preserve">Fumeri 540 Unisex Eau De Parfum 100ML</t>
  </si>
  <si>
    <t xml:space="preserve">fumeri 540</t>
  </si>
  <si>
    <t xml:space="preserve">fumeri 540 uk</t>
  </si>
  <si>
    <t xml:space="preserve">buy fumeri 540 online</t>
  </si>
  <si>
    <t xml:space="preserve">fumeri 540 price</t>
  </si>
  <si>
    <t xml:space="preserve">fumeri 540 eau de parfum</t>
  </si>
  <si>
    <t xml:space="preserve">fumeri perfume · amber perfume uk</t>
  </si>
  <si>
    <t xml:space="preserve">fumeri 540 perfume</t>
  </si>
  <si>
    <t xml:space="preserve">Fumeri 540 Unisex Eau De Parfum</t>
  </si>
  <si>
    <t xml:space="preserve">Fumeri 540 Unisex Eau De Parfum | Buy Online UK | Swansura</t>
  </si>
  <si>
    <t xml:space="preserve">Buy Fumeri 540 Unisex Eau De Parfum online in the UK at Swansura. An amber unisex eau de parfum, 100ml. 100% authentic, fast UK delivery, free over £50.</t>
  </si>
  <si>
    <t xml:space="preserve">FR-164</t>
  </si>
  <si>
    <t xml:space="preserve">Fumeri Adore Unisex EDP 100ML</t>
  </si>
  <si>
    <t xml:space="preserve">fumeri adore</t>
  </si>
  <si>
    <t xml:space="preserve">fumeri adore uk</t>
  </si>
  <si>
    <t xml:space="preserve">buy fumeri adore online</t>
  </si>
  <si>
    <t xml:space="preserve">fumeri adore price</t>
  </si>
  <si>
    <t xml:space="preserve">fumeri adore edp</t>
  </si>
  <si>
    <t xml:space="preserve">fumeri adore perfume</t>
  </si>
  <si>
    <t xml:space="preserve">Fumeri Adore Unisex EDP</t>
  </si>
  <si>
    <t xml:space="preserve">Fumeri Adore Unisex EDP | Buy Online UK | Swansura</t>
  </si>
  <si>
    <t xml:space="preserve">Buy Fumeri Adore Unisex EDP online in the UK at Swansura. An amber unisex eau de parfum, 100ml. 100% authentic, fast UK delivery, free over £50.</t>
  </si>
  <si>
    <t xml:space="preserve">FR-165</t>
  </si>
  <si>
    <t xml:space="preserve">Fumeri Ambre Night Unisex EDP 100ML</t>
  </si>
  <si>
    <t xml:space="preserve">fumeri ambre night</t>
  </si>
  <si>
    <t xml:space="preserve">fumeri ambre night uk</t>
  </si>
  <si>
    <t xml:space="preserve">buy fumeri ambre night online</t>
  </si>
  <si>
    <t xml:space="preserve">fumeri ambre night price</t>
  </si>
  <si>
    <t xml:space="preserve">fumeri ambre night edp</t>
  </si>
  <si>
    <t xml:space="preserve">fumeri ambre night perfume · fumeri ambre night price</t>
  </si>
  <si>
    <t xml:space="preserve">Fumeri Ambre Night Unisex EDP</t>
  </si>
  <si>
    <t xml:space="preserve">Fumeri Ambre Night Unisex EDP | Buy Online UK | Swansura</t>
  </si>
  <si>
    <t xml:space="preserve">Buy Fumeri Ambre Night Unisex EDP online in the UK at Swansura. An amber unisex eau de parfum, 100ml. 100% authentic, fast UK delivery, free over £50.</t>
  </si>
  <si>
    <t xml:space="preserve">FR-166</t>
  </si>
  <si>
    <t xml:space="preserve">Fumeri Angel For Women EDP 100ML</t>
  </si>
  <si>
    <t xml:space="preserve">fumeri angel</t>
  </si>
  <si>
    <t xml:space="preserve">fumeri angel uk</t>
  </si>
  <si>
    <t xml:space="preserve">buy fumeri angel online</t>
  </si>
  <si>
    <t xml:space="preserve">fumeri angel price</t>
  </si>
  <si>
    <t xml:space="preserve">fumeri angel edp</t>
  </si>
  <si>
    <t xml:space="preserve">fumeri perfume · fumeri perfume for women · woody perfume for women uk</t>
  </si>
  <si>
    <t xml:space="preserve">fumeri angel perfume</t>
  </si>
  <si>
    <t xml:space="preserve">Fumeri Angel For Women EDP</t>
  </si>
  <si>
    <t xml:space="preserve">Fumeri Angel For Women EDP | Buy Online UK | Swansura</t>
  </si>
  <si>
    <t xml:space="preserve">Buy Fumeri Angel For Women EDP online in the UK at Swansura. A woody women's eau de parfum, 100ml. 100% authentic, fast UK delivery, free over £50.</t>
  </si>
  <si>
    <t xml:space="preserve">FR-167</t>
  </si>
  <si>
    <t xml:space="preserve">Fumeri Blue For Men EDP 100ML</t>
  </si>
  <si>
    <t xml:space="preserve">fumeri blue</t>
  </si>
  <si>
    <t xml:space="preserve">fumeri blue uk</t>
  </si>
  <si>
    <t xml:space="preserve">buy fumeri blue online</t>
  </si>
  <si>
    <t xml:space="preserve">fumeri blue price</t>
  </si>
  <si>
    <t xml:space="preserve">fumeri blue edp</t>
  </si>
  <si>
    <t xml:space="preserve">fumeri perfume · fumeri perfume for men · fresh perfume for men uk</t>
  </si>
  <si>
    <t xml:space="preserve">fumeri blue perfume · fumeri blue perfume price · fumeri blue price</t>
  </si>
  <si>
    <t xml:space="preserve">Fumeri Blue For Men EDP</t>
  </si>
  <si>
    <t xml:space="preserve">Fumeri Blue For Men EDP | Buy Online UK | Swansura</t>
  </si>
  <si>
    <t xml:space="preserve">Buy Fumeri Blue For Men EDP online in the UK at Swansura. A fresh men's eau de parfum, 100ml. 100% authentic, fast UK delivery, free over £50.</t>
  </si>
  <si>
    <t xml:space="preserve">FR-168</t>
  </si>
  <si>
    <t xml:space="preserve">Fumeri Elixir Unisex EDP 100ML</t>
  </si>
  <si>
    <t xml:space="preserve">fumeri elixir</t>
  </si>
  <si>
    <t xml:space="preserve">fumeri elixir uk</t>
  </si>
  <si>
    <t xml:space="preserve">buy fumeri elixir online</t>
  </si>
  <si>
    <t xml:space="preserve">fumeri elixir price</t>
  </si>
  <si>
    <t xml:space="preserve">fumeri elixir edp</t>
  </si>
  <si>
    <t xml:space="preserve">fumeri elixir perfume · fumeri elixir perfume price</t>
  </si>
  <si>
    <t xml:space="preserve">Fumeri Elixir Unisex EDP</t>
  </si>
  <si>
    <t xml:space="preserve">Fumeri Elixir Unisex EDP | Buy Online UK | Swansura</t>
  </si>
  <si>
    <t xml:space="preserve">Buy Fumeri Elixir Unisex EDP online in the UK at Swansura. An amber unisex eau de parfum, 100ml. 100% authentic, fast UK delivery, free over £50.</t>
  </si>
  <si>
    <t xml:space="preserve">FR-169</t>
  </si>
  <si>
    <t xml:space="preserve">Fumeri Flirt Eau de Parfum 100ML</t>
  </si>
  <si>
    <t xml:space="preserve">fumeri flirt</t>
  </si>
  <si>
    <t xml:space="preserve">fumeri flirt uk</t>
  </si>
  <si>
    <t xml:space="preserve">buy fumeri flirt online</t>
  </si>
  <si>
    <t xml:space="preserve">fumeri flirt price</t>
  </si>
  <si>
    <t xml:space="preserve">fumeri flirt eau de parfum</t>
  </si>
  <si>
    <t xml:space="preserve">Fumeri Flirt Eau de Parfum</t>
  </si>
  <si>
    <t xml:space="preserve">Fumeri Flirt Eau de Parfum | Buy Online UK | Swansura</t>
  </si>
  <si>
    <t xml:space="preserve">Buy Fumeri Flirt Eau de Parfum online in the UK at Swansura. An amber unisex eau de parfum, 100ml. 100% authentic, fast UK delivery, free over £50.</t>
  </si>
  <si>
    <t xml:space="preserve">FR-170</t>
  </si>
  <si>
    <t xml:space="preserve">Fumeri Gabriella Eau de Parfum 100ML</t>
  </si>
  <si>
    <t xml:space="preserve">fumeri gabriella</t>
  </si>
  <si>
    <t xml:space="preserve">fumeri gabriella uk</t>
  </si>
  <si>
    <t xml:space="preserve">buy fumeri gabriella online</t>
  </si>
  <si>
    <t xml:space="preserve">fumeri gabriella price</t>
  </si>
  <si>
    <t xml:space="preserve">fumeri gabriella eau de parfum</t>
  </si>
  <si>
    <t xml:space="preserve">Fumeri Gabriella Eau de Parfum</t>
  </si>
  <si>
    <t xml:space="preserve">Fumeri Gabriella Eau de Parfum | Buy Online UK | Swansura</t>
  </si>
  <si>
    <t xml:space="preserve">Buy Fumeri Gabriella Eau de Parfum online in the UK at Swansura. An amber unisex eau de parfum, 100ml. 100% authentic, fast UK delivery, free over £50.</t>
  </si>
  <si>
    <t xml:space="preserve">FR-171</t>
  </si>
  <si>
    <t xml:space="preserve">Fumeri Gris Unisex Eau De Parfum 100ML</t>
  </si>
  <si>
    <t xml:space="preserve">fumeri gris</t>
  </si>
  <si>
    <t xml:space="preserve">fumeri gris uk</t>
  </si>
  <si>
    <t xml:space="preserve">buy fumeri gris online</t>
  </si>
  <si>
    <t xml:space="preserve">fumeri gris price</t>
  </si>
  <si>
    <t xml:space="preserve">fumeri gris eau de parfum</t>
  </si>
  <si>
    <t xml:space="preserve">fumeri gris perfume</t>
  </si>
  <si>
    <t xml:space="preserve">Fumeri Gris Unisex Eau De Parfum</t>
  </si>
  <si>
    <t xml:space="preserve">Fumeri Gris Unisex Eau De Parfum | Buy Online UK | Swansura</t>
  </si>
  <si>
    <t xml:space="preserve">Buy Fumeri Gris Unisex Eau De Parfum online in the UK at Swansura. An amber unisex eau de parfum, 100ml. 100% authentic, fast UK delivery, free over £50.</t>
  </si>
  <si>
    <t xml:space="preserve">FR-172</t>
  </si>
  <si>
    <t xml:space="preserve">Fumeri Orchid Noir For Women Eau De Parfum 100ML</t>
  </si>
  <si>
    <t xml:space="preserve">fumeri orchid noir</t>
  </si>
  <si>
    <t xml:space="preserve">fumeri orchid noir uk</t>
  </si>
  <si>
    <t xml:space="preserve">buy fumeri orchid noir online</t>
  </si>
  <si>
    <t xml:space="preserve">fumeri orchid noir price</t>
  </si>
  <si>
    <t xml:space="preserve">fumeri orchid noir eau de parfum</t>
  </si>
  <si>
    <t xml:space="preserve">fumeri orchid noir perfume · fumeri orchid noir price</t>
  </si>
  <si>
    <t xml:space="preserve">Fumeri Orchid Noir For Women Eau De Parfum</t>
  </si>
  <si>
    <t xml:space="preserve">Fumeri Orchid Noir For Women Eau De Parfum | Swansura UK</t>
  </si>
  <si>
    <t xml:space="preserve">Buy Fumeri Orchid Noir For Women Eau De Parfum online in the UK at Swansura. A woody women's eau de parfum, 100ml. 100% authentic, free UK delivery over £50.</t>
  </si>
  <si>
    <t xml:space="preserve">FR-173</t>
  </si>
  <si>
    <t xml:space="preserve">Fumeri Orpheon Unisex Eau De Parfum 100ML</t>
  </si>
  <si>
    <t xml:space="preserve">fumeri orpheon</t>
  </si>
  <si>
    <t xml:space="preserve">fumeri orpheon uk</t>
  </si>
  <si>
    <t xml:space="preserve">buy fumeri orpheon online</t>
  </si>
  <si>
    <t xml:space="preserve">fumeri orpheon price</t>
  </si>
  <si>
    <t xml:space="preserve">fumeri orpheon eau de parfum</t>
  </si>
  <si>
    <t xml:space="preserve">Fumeri Orpheon Unisex Eau De Parfum</t>
  </si>
  <si>
    <t xml:space="preserve">Fumeri Orpheon Unisex EDP 100ml | Buy Online UK | Swansura</t>
  </si>
  <si>
    <t xml:space="preserve">Buy Fumeri Orpheon Unisex Eau De Parfum online in the UK at Swansura. An amber unisex eau de parfum, 100ml. 100% authentic, fast UK delivery, free over £50.</t>
  </si>
  <si>
    <t xml:space="preserve">FR-174</t>
  </si>
  <si>
    <t xml:space="preserve">Fumeri Oud Saffron For Men Eau De Parfum 100ML</t>
  </si>
  <si>
    <t xml:space="preserve">fumeri oud saffron</t>
  </si>
  <si>
    <t xml:space="preserve">fumeri oud saffron uk</t>
  </si>
  <si>
    <t xml:space="preserve">buy fumeri oud saffron online</t>
  </si>
  <si>
    <t xml:space="preserve">fumeri oud saffron price</t>
  </si>
  <si>
    <t xml:space="preserve">fumeri oud saffron eau de parfum</t>
  </si>
  <si>
    <t xml:space="preserve">fumeri perfume · fumeri perfume for men · oud perfume for men uk</t>
  </si>
  <si>
    <t xml:space="preserve">fumeri perfume oud saffron</t>
  </si>
  <si>
    <t xml:space="preserve">Fumeri Oud Saffron For Men Eau De Parfum</t>
  </si>
  <si>
    <t xml:space="preserve">Fumeri Oud Saffron For Men Eau De Parfum | Swansura UK</t>
  </si>
  <si>
    <t xml:space="preserve">Buy Fumeri Oud Saffron For Men Eau De Parfum online in the UK at Swansura. An oud men's eau de parfum, 100ml. 100% authentic, fast UK delivery, free over £50.</t>
  </si>
  <si>
    <t xml:space="preserve">FR-175</t>
  </si>
  <si>
    <t xml:space="preserve">Fruity · Unisex Fragrance</t>
  </si>
  <si>
    <t xml:space="preserve">Fumeri Peach Unisex Eau De Parfum 100ML</t>
  </si>
  <si>
    <t xml:space="preserve">fumeri peach</t>
  </si>
  <si>
    <t xml:space="preserve">fumeri peach uk</t>
  </si>
  <si>
    <t xml:space="preserve">buy fumeri peach online</t>
  </si>
  <si>
    <t xml:space="preserve">fumeri peach price</t>
  </si>
  <si>
    <t xml:space="preserve">fumeri peach eau de parfum</t>
  </si>
  <si>
    <t xml:space="preserve">fumeri perfume · fruity perfume uk</t>
  </si>
  <si>
    <t xml:space="preserve">fumeri peach perfume</t>
  </si>
  <si>
    <t xml:space="preserve">Fumeri Peach Unisex Eau De Parfum</t>
  </si>
  <si>
    <t xml:space="preserve">Fumeri Peach Unisex Eau De Parfum | Buy Online UK | Swansura</t>
  </si>
  <si>
    <t xml:space="preserve">Buy Fumeri Peach Unisex Eau De Parfum online in the UK at Swansura. A fruity unisex eau de parfum, 100ml. 100% authentic, fast UK delivery, free over £50.</t>
  </si>
  <si>
    <t xml:space="preserve">FR-176</t>
  </si>
  <si>
    <t xml:space="preserve">Leather · Unisex Fragrance</t>
  </si>
  <si>
    <t xml:space="preserve">Fumeri Smokey Leather Unisex Eau De Parfum 100ML</t>
  </si>
  <si>
    <t xml:space="preserve">fumeri smokey leather</t>
  </si>
  <si>
    <t xml:space="preserve">fumeri smokey leather uk</t>
  </si>
  <si>
    <t xml:space="preserve">buy fumeri smokey leather online</t>
  </si>
  <si>
    <t xml:space="preserve">fumeri smokey leather price</t>
  </si>
  <si>
    <t xml:space="preserve">fumeri smokey leather eau de parfum</t>
  </si>
  <si>
    <t xml:space="preserve">fumeri perfume · leather perfume uk</t>
  </si>
  <si>
    <t xml:space="preserve">Fumeri Smokey Leather Unisex Eau De Parfum</t>
  </si>
  <si>
    <t xml:space="preserve">Fumeri Smokey Leather Unisex Eau De Parfum | Swansura UK</t>
  </si>
  <si>
    <t xml:space="preserve">Buy Fumeri Smokey Leather Unisex Eau De Parfum online in the UK at Swansura. A leather unisex eau de parfum, 100ml. 100% authentic, free UK delivery over £50.</t>
  </si>
  <si>
    <t xml:space="preserve">FR-177</t>
  </si>
  <si>
    <t xml:space="preserve">Fumeri Style 33 Unisex Eau De Parfum 100ML</t>
  </si>
  <si>
    <t xml:space="preserve">fumeri style 33</t>
  </si>
  <si>
    <t xml:space="preserve">fumeri style 33 uk</t>
  </si>
  <si>
    <t xml:space="preserve">buy fumeri style 33 online</t>
  </si>
  <si>
    <t xml:space="preserve">fumeri style 33 price</t>
  </si>
  <si>
    <t xml:space="preserve">fumeri style 33 eau de parfum</t>
  </si>
  <si>
    <t xml:space="preserve">fumeri style 33 review · fumeri style 33 perfume</t>
  </si>
  <si>
    <t xml:space="preserve">Fumeri Style 33 Unisex Eau De Parfum</t>
  </si>
  <si>
    <t xml:space="preserve">Fumeri Style 33 Unisex EDP 100ml | Buy Online UK | Swansura</t>
  </si>
  <si>
    <t xml:space="preserve">Buy Fumeri Style 33 Unisex Eau De Parfum online in the UK at Swansura. An amber unisex eau de parfum, 100ml. 100% authentic, fast UK delivery, free over £50.</t>
  </si>
  <si>
    <t xml:space="preserve">FR-178</t>
  </si>
  <si>
    <t xml:space="preserve">Fumeri Victorious For Men Eau De Parfum 100ML</t>
  </si>
  <si>
    <t xml:space="preserve">fumeri victorious</t>
  </si>
  <si>
    <t xml:space="preserve">fumeri victorious uk</t>
  </si>
  <si>
    <t xml:space="preserve">buy fumeri victorious online</t>
  </si>
  <si>
    <t xml:space="preserve">fumeri victorious price</t>
  </si>
  <si>
    <t xml:space="preserve">fumeri victorious eau de parfum</t>
  </si>
  <si>
    <t xml:space="preserve">fumeri perfume · fumeri perfume for men · woody perfume for men uk</t>
  </si>
  <si>
    <t xml:space="preserve">fumeri victorious perfume · fumeri victorious perfume price</t>
  </si>
  <si>
    <t xml:space="preserve">Fumeri Victorious For Men Eau De Parfum</t>
  </si>
  <si>
    <t xml:space="preserve">Fumeri Victorious For Men Eau De Parfum | Swansura UK</t>
  </si>
  <si>
    <t xml:space="preserve">Buy Fumeri Victorious For Men Eau De Parfum online in the UK at Swansura. A woody men's eau de parfum, 100ml. 100% authentic, fast UK delivery, free over £50.</t>
  </si>
  <si>
    <t xml:space="preserve">FR-179</t>
  </si>
  <si>
    <t xml:space="preserve">Fumeri Wild Unisex Eau De Parfum 100ML</t>
  </si>
  <si>
    <t xml:space="preserve">fumeri wild</t>
  </si>
  <si>
    <t xml:space="preserve">fumeri wild uk</t>
  </si>
  <si>
    <t xml:space="preserve">buy fumeri wild online</t>
  </si>
  <si>
    <t xml:space="preserve">fumeri wild price</t>
  </si>
  <si>
    <t xml:space="preserve">fumeri wild eau de parfum</t>
  </si>
  <si>
    <t xml:space="preserve">fumeri wild perfume · fumeri wild perfume price · fumeri wild eau de parfum</t>
  </si>
  <si>
    <t xml:space="preserve">Fumeri Wild Unisex Eau De Parfum</t>
  </si>
  <si>
    <t xml:space="preserve">Fumeri Wild Unisex Eau De Parfum | Buy Online UK | Swansura</t>
  </si>
  <si>
    <t xml:space="preserve">Buy Fumeri Wild Unisex Eau De Parfum online in the UK at Swansura. An amber unisex eau de parfum, 100ml. 100% authentic, fast UK delivery, free over £50.</t>
  </si>
  <si>
    <t xml:space="preserve">FR-180</t>
  </si>
  <si>
    <t xml:space="preserve">Generic</t>
  </si>
  <si>
    <t xml:space="preserve">Real brand missing</t>
  </si>
  <si>
    <t xml:space="preserve">Game Of Spades Bid For Men | Eau De Parfum 100ml</t>
  </si>
  <si>
    <t xml:space="preserve">game of spades bid</t>
  </si>
  <si>
    <t xml:space="preserve">game of spades bid uk</t>
  </si>
  <si>
    <t xml:space="preserve">buy game of spades bid online</t>
  </si>
  <si>
    <t xml:space="preserve">game of spades bid price</t>
  </si>
  <si>
    <t xml:space="preserve">game of spades bid eau de parfum</t>
  </si>
  <si>
    <t xml:space="preserve">woody perfume for men uk</t>
  </si>
  <si>
    <t xml:space="preserve">game of spades bid dupe of · game of spades bid perfume · game of spades bid notes · game of spades bid review · game of spades bid parfum</t>
  </si>
  <si>
    <t xml:space="preserve">Game Of Spades Bid For Men</t>
  </si>
  <si>
    <t xml:space="preserve">Game Of Spades Bid For Men | Buy Online UK | Swansura</t>
  </si>
  <si>
    <t xml:space="preserve">Buy Game Of Spades Bid For Men online in the UK at Swansura. A woody men's eau de parfum, 100ml. 100% authentic, fast UK delivery, free over £50.</t>
  </si>
  <si>
    <t xml:space="preserve">FR-181</t>
  </si>
  <si>
    <t xml:space="preserve">Game Of Spades Blind-Bid | Eau De Parfum 100ml | Long Lasting Luxury Unisex Perfume for Men &amp; Women</t>
  </si>
  <si>
    <t xml:space="preserve">game of spades blind-bid</t>
  </si>
  <si>
    <t xml:space="preserve">game of spades blind-bid uk</t>
  </si>
  <si>
    <t xml:space="preserve">buy game of spades blind-bid online</t>
  </si>
  <si>
    <t xml:space="preserve">game of spades blind-bid price</t>
  </si>
  <si>
    <t xml:space="preserve">game of spades blind-bid eau de parfum</t>
  </si>
  <si>
    <t xml:space="preserve">woody perfume uk</t>
  </si>
  <si>
    <t xml:space="preserve">game of spades blind bid dupe · game of spades blind bid notes · game of spades blind bid review · game of spades blind bid smells like · game of spades blind bid perfume review</t>
  </si>
  <si>
    <t xml:space="preserve">Game Of Spades Blind-Bid</t>
  </si>
  <si>
    <t xml:space="preserve">Game Of Spades Blind-Bid | Buy Online UK | Swansura</t>
  </si>
  <si>
    <t xml:space="preserve">Buy Game Of Spades Blind-Bid online in the UK at Swansura. A woody unisex eau de parfum, 100ml. 100% authentic, fast UK delivery, free over £50.</t>
  </si>
  <si>
    <t xml:space="preserve">FR-182</t>
  </si>
  <si>
    <t xml:space="preserve">Game Of Spades Boston For Men | Eau De Parfum 100ml</t>
  </si>
  <si>
    <t xml:space="preserve">game of spades boston</t>
  </si>
  <si>
    <t xml:space="preserve">game of spades boston uk</t>
  </si>
  <si>
    <t xml:space="preserve">buy game of spades boston online</t>
  </si>
  <si>
    <t xml:space="preserve">game of spades boston price</t>
  </si>
  <si>
    <t xml:space="preserve">game of spades boston eau de parfum</t>
  </si>
  <si>
    <t xml:space="preserve">game of spades boston dupe of · game of spades boston notes · game of spades boston review · game of spades boston perfume</t>
  </si>
  <si>
    <t xml:space="preserve">Game Of Spades Boston For Men</t>
  </si>
  <si>
    <t xml:space="preserve">Game Of Spades Boston For Men | Buy Online UK | Swansura</t>
  </si>
  <si>
    <t xml:space="preserve">Buy Game Of Spades Boston For Men online in the UK at Swansura. A woody men's eau de parfum, 100ml. 100% authentic, fast UK delivery, free over £50.</t>
  </si>
  <si>
    <t xml:space="preserve">FR-183</t>
  </si>
  <si>
    <t xml:space="preserve">Game of Spades Diamond Eau de Parfum Spray 100ml | Luxury Long Lasting Perfume for Men</t>
  </si>
  <si>
    <t xml:space="preserve">game of spades diamond</t>
  </si>
  <si>
    <t xml:space="preserve">game of spades diamond uk</t>
  </si>
  <si>
    <t xml:space="preserve">buy game of spades diamond online</t>
  </si>
  <si>
    <t xml:space="preserve">game of spades diamond price</t>
  </si>
  <si>
    <t xml:space="preserve">game of spades diamond eau de parfum</t>
  </si>
  <si>
    <t xml:space="preserve">game of spades diamond dupe of · game of spades diamond notes · game of spades diamond perfume · game of spades diamond review · game of spades diamond 30ml</t>
  </si>
  <si>
    <t xml:space="preserve">Game of Spades Diamond Eau de Parfum Spray</t>
  </si>
  <si>
    <t xml:space="preserve">Game of Spades Diamond Eau de Parfum Spray | Swansura UK</t>
  </si>
  <si>
    <t xml:space="preserve">Buy Game of Spades Diamond Eau de Parfum Spray online in the UK at Swansura. A woody men's eau de parfum, 100ml. 100% authentic, free UK delivery over £50.</t>
  </si>
  <si>
    <t xml:space="preserve">game of spades full house</t>
  </si>
  <si>
    <t xml:space="preserve">game of spades full house uk</t>
  </si>
  <si>
    <t xml:space="preserve">buy game of spades full house online</t>
  </si>
  <si>
    <t xml:space="preserve">game of spades full house price</t>
  </si>
  <si>
    <t xml:space="preserve">game of spades full house eau de parfum</t>
  </si>
  <si>
    <t xml:space="preserve">amber perfume uk</t>
  </si>
  <si>
    <t xml:space="preserve">game of spades full house dupe · game of spades full house notes · game of spades full house perfume · game of spades full house price · game of spades full house review</t>
  </si>
  <si>
    <t xml:space="preserve">Game of Spades Full House Unisex Eau de Parfum</t>
  </si>
  <si>
    <t xml:space="preserve">Game of Spades Full House Unisex Eau de Parfum | Swansura UK</t>
  </si>
  <si>
    <t xml:space="preserve">Buy Game of Spades Full House Unisex Eau de Parfum online in the UK at Swansura. An amber unisex eau de parfum. 100% authentic, fast UK delivery, free over £50.</t>
  </si>
  <si>
    <t xml:space="preserve">FR-185</t>
  </si>
  <si>
    <t xml:space="preserve">Game Of Spades High Roller Unisex Eau De Parfum 100ml</t>
  </si>
  <si>
    <t xml:space="preserve">game of spades high roller</t>
  </si>
  <si>
    <t xml:space="preserve">game of spades high roller uk</t>
  </si>
  <si>
    <t xml:space="preserve">buy game of spades high roller online</t>
  </si>
  <si>
    <t xml:space="preserve">game of spades high roller price</t>
  </si>
  <si>
    <t xml:space="preserve">game of spades high roller eau de parfum</t>
  </si>
  <si>
    <t xml:space="preserve">game of spades high roller dupe of · game of spades high roller notes · game of spades high roller review</t>
  </si>
  <si>
    <t xml:space="preserve">Game Of Spades High Roller Unisex Eau De Parfum</t>
  </si>
  <si>
    <t xml:space="preserve">Game Of Spades High Roller Unisex EDP 100ml | Swansura UK</t>
  </si>
  <si>
    <t xml:space="preserve">Buy Game Of Spades High Roller Unisex Eau De Parfum online in the UK at Swansura. An amber unisex eau de parfum. 100% authentic, free UK delivery over £50.</t>
  </si>
  <si>
    <t xml:space="preserve">FR-186</t>
  </si>
  <si>
    <t xml:space="preserve">Game Of Spades Jackpot | Eau De Parfum 100ml | Long Lasting Fragrance For Men and Women</t>
  </si>
  <si>
    <t xml:space="preserve">game of spades jackpot</t>
  </si>
  <si>
    <t xml:space="preserve">game of spades jackpot uk</t>
  </si>
  <si>
    <t xml:space="preserve">buy game of spades jackpot online</t>
  </si>
  <si>
    <t xml:space="preserve">game of spades jackpot price</t>
  </si>
  <si>
    <t xml:space="preserve">game of spades jackpot eau de parfum</t>
  </si>
  <si>
    <t xml:space="preserve">game of spades jackpot dupe of · game of spades jackpot notes · game of spades jackpot review</t>
  </si>
  <si>
    <t xml:space="preserve">Game Of Spades Jackpot</t>
  </si>
  <si>
    <t xml:space="preserve">Game Of Spades Jackpot 100ml | Buy Online UK | Swansura</t>
  </si>
  <si>
    <t xml:space="preserve">Buy Game Of Spades Jackpot online in the UK at Swansura. A woody unisex eau de parfum, 100ml. 100% authentic, fast UK delivery, free over £50.</t>
  </si>
  <si>
    <t xml:space="preserve">FR-187</t>
  </si>
  <si>
    <t xml:space="preserve">Game Of Spades King Eau De Parfum 100ml | Perfume for Men and Women | Long Lasting Luxury Fragrance</t>
  </si>
  <si>
    <t xml:space="preserve">game of spades king</t>
  </si>
  <si>
    <t xml:space="preserve">game of spades king uk</t>
  </si>
  <si>
    <t xml:space="preserve">buy game of spades king online</t>
  </si>
  <si>
    <t xml:space="preserve">game of spades king price</t>
  </si>
  <si>
    <t xml:space="preserve">game of spades king eau de parfum</t>
  </si>
  <si>
    <t xml:space="preserve">game of spades king dupe of · game of spades king notes · game of spades king perfume · game of spades king review · game of spades king 30ml · game of spades king price</t>
  </si>
  <si>
    <t xml:space="preserve">Game Of Spades King Eau De Parfum</t>
  </si>
  <si>
    <t xml:space="preserve">Game Of Spades King Eau De Parfum | Buy Online UK | Swansura</t>
  </si>
  <si>
    <t xml:space="preserve">Buy Game Of Spades King Eau De Parfum online in the UK at Swansura. A woody unisex eau de parfum, 100ml. 100% authentic, fast UK delivery, free over £50.</t>
  </si>
  <si>
    <t xml:space="preserve">FR-188</t>
  </si>
  <si>
    <t xml:space="preserve">Game Of Spades Moon Unisex | Eau De Parfum 100ml | For Men &amp; Women</t>
  </si>
  <si>
    <t xml:space="preserve">game of spades moon</t>
  </si>
  <si>
    <t xml:space="preserve">game of spades moon uk</t>
  </si>
  <si>
    <t xml:space="preserve">buy game of spades moon online</t>
  </si>
  <si>
    <t xml:space="preserve">game of spades moon price</t>
  </si>
  <si>
    <t xml:space="preserve">game of spades moon eau de parfum</t>
  </si>
  <si>
    <t xml:space="preserve">game of spades moon dupe of · game of spades moon notes · game of spades moon perfume · game of spades moon review · game of spades moon price</t>
  </si>
  <si>
    <t xml:space="preserve">Game Of Spades Moon Unisex</t>
  </si>
  <si>
    <t xml:space="preserve">Game Of Spades Moon Unisex | Buy Online UK | Swansura</t>
  </si>
  <si>
    <t xml:space="preserve">Buy Game Of Spades Moon Unisex online in the UK at Swansura. A woody unisex eau de parfum, 100ml. 100% authentic, fast UK delivery, free over £50.</t>
  </si>
  <si>
    <t xml:space="preserve">FR-189</t>
  </si>
  <si>
    <t xml:space="preserve">Game Of Spades Opal Eau De Parfum Spray 100 ml | Long Lasting Unisex Luxury Perfume | Citrus-Floral and Woody Amber Fragrance</t>
  </si>
  <si>
    <t xml:space="preserve">game of spades opal</t>
  </si>
  <si>
    <t xml:space="preserve">game of spades opal uk</t>
  </si>
  <si>
    <t xml:space="preserve">buy game of spades opal online</t>
  </si>
  <si>
    <t xml:space="preserve">game of spades opal price</t>
  </si>
  <si>
    <t xml:space="preserve">game of spades opal eau de parfum</t>
  </si>
  <si>
    <t xml:space="preserve">floral perfume uk</t>
  </si>
  <si>
    <t xml:space="preserve">game of spades opal dupe of · game of spades opal notes · game of spades opal review · game of spades opal smells like</t>
  </si>
  <si>
    <t xml:space="preserve">Game Of Spades Opal Eau De Parfum Spray</t>
  </si>
  <si>
    <t xml:space="preserve">Game Of Spades Opal Eau De Parfum Spray | Swansura UK</t>
  </si>
  <si>
    <t xml:space="preserve">Buy Game Of Spades Opal Eau De Parfum Spray online in the UK at Swansura. A floral unisex eau de parfum, 100ml. 100% authentic, fast UK delivery, free over £50.</t>
  </si>
  <si>
    <t xml:space="preserve">FR-190</t>
  </si>
  <si>
    <t xml:space="preserve">Game of Spades Rouge Unisex Eau de Parfum 100ml</t>
  </si>
  <si>
    <t xml:space="preserve">game of spades rouge</t>
  </si>
  <si>
    <t xml:space="preserve">game of spades rouge uk</t>
  </si>
  <si>
    <t xml:space="preserve">buy game of spades rouge online</t>
  </si>
  <si>
    <t xml:space="preserve">game of spades rouge price</t>
  </si>
  <si>
    <t xml:space="preserve">game of spades rouge eau de parfum</t>
  </si>
  <si>
    <t xml:space="preserve">game of spades rouge extrait · game of spades rouge dupe of · game of spades rouge extrait de parfum · game of spades rouge notes · game of spades rouge parfum · game of spades rouge review</t>
  </si>
  <si>
    <t xml:space="preserve">Game of Spades Rouge Unisex Eau de Parfum</t>
  </si>
  <si>
    <t xml:space="preserve">Game of Spades Rouge Unisex Eau de Parfum | Swansura UK</t>
  </si>
  <si>
    <t xml:space="preserve">Buy Game of Spades Rouge Unisex Eau de Parfum online in the UK at Swansura. An amber unisex eau de parfum, 100ml. 100% authentic, free UK delivery over £50.</t>
  </si>
  <si>
    <t xml:space="preserve">FR-191</t>
  </si>
  <si>
    <t xml:space="preserve">Game Of Spades Royale Unisex Eau De Parfum 100ml</t>
  </si>
  <si>
    <t xml:space="preserve">game of spades royale</t>
  </si>
  <si>
    <t xml:space="preserve">game of spades royale uk</t>
  </si>
  <si>
    <t xml:space="preserve">buy game of spades royale online</t>
  </si>
  <si>
    <t xml:space="preserve">game of spades royale price</t>
  </si>
  <si>
    <t xml:space="preserve">game of spades royale eau de parfum</t>
  </si>
  <si>
    <t xml:space="preserve">game of spades royale dupe of · game of spades royale notes · game of spades royale perfume · game of spades royale parfum · game of spades royale review · game of spades royale price</t>
  </si>
  <si>
    <t xml:space="preserve">Game Of Spades Royale Unisex Eau De Parfum</t>
  </si>
  <si>
    <t xml:space="preserve">Game Of Spades Royale Unisex Eau De Parfum | Swansura UK</t>
  </si>
  <si>
    <t xml:space="preserve">Buy Game Of Spades Royale Unisex Eau De Parfum online in the UK at Swansura. An amber unisex eau de parfum, 100ml. 100% authentic, free UK delivery over £50.</t>
  </si>
  <si>
    <t xml:space="preserve">FR-192</t>
  </si>
  <si>
    <t xml:space="preserve">Game of Spades Ruby Unisex Eau de Parfum 100ml</t>
  </si>
  <si>
    <t xml:space="preserve">game of spades ruby</t>
  </si>
  <si>
    <t xml:space="preserve">game of spades ruby uk</t>
  </si>
  <si>
    <t xml:space="preserve">buy game of spades ruby online</t>
  </si>
  <si>
    <t xml:space="preserve">game of spades ruby price</t>
  </si>
  <si>
    <t xml:space="preserve">game of spades ruby eau de parfum</t>
  </si>
  <si>
    <t xml:space="preserve">game of spades ruby dupe of · game of spades ruby notes · game of spades ruby parfum · game of spades ruby review</t>
  </si>
  <si>
    <t xml:space="preserve">Game of Spades Ruby Unisex Eau de Parfum</t>
  </si>
  <si>
    <t xml:space="preserve">Game of Spades Ruby Unisex Eau de Parfum | Swansura UK</t>
  </si>
  <si>
    <t xml:space="preserve">Buy Game of Spades Ruby Unisex Eau de Parfum online in the UK at Swansura. An amber unisex eau de parfum, 100ml. 100% authentic, free UK delivery over £50.</t>
  </si>
  <si>
    <t xml:space="preserve">game of spades wildcard</t>
  </si>
  <si>
    <t xml:space="preserve">game of spades wildcard uk</t>
  </si>
  <si>
    <t xml:space="preserve">buy game of spades wildcard online</t>
  </si>
  <si>
    <t xml:space="preserve">game of spades wildcard price</t>
  </si>
  <si>
    <t xml:space="preserve">game of spades wildcard eau de parfum</t>
  </si>
  <si>
    <t xml:space="preserve">game of spades wildcard dupe of · game of spades wildcard notes · game of spades wildcard price · game of spades wildcard review · game of spades wildcard parfum · game of spades wildcard perfume</t>
  </si>
  <si>
    <t xml:space="preserve">Game of Spades Wildcard Unisex Eau de Parfum</t>
  </si>
  <si>
    <t xml:space="preserve">Game of Spades Wildcard Unisex Eau de Parfum | Swansura UK</t>
  </si>
  <si>
    <t xml:space="preserve">Buy Game of Spades Wildcard Unisex Eau de Parfum online in the UK at Swansura. An amber unisex eau de parfum, 100ml. 100% authentic, free UK delivery over £50.</t>
  </si>
  <si>
    <t xml:space="preserve">FR-194</t>
  </si>
  <si>
    <t xml:space="preserve">Game Of Spades Win | Eau De Parfum 100ml | Long-Lasting Luxury Perfume for Men &amp; Women</t>
  </si>
  <si>
    <t xml:space="preserve">game of spades win</t>
  </si>
  <si>
    <t xml:space="preserve">game of spades win uk</t>
  </si>
  <si>
    <t xml:space="preserve">buy game of spades win online</t>
  </si>
  <si>
    <t xml:space="preserve">game of spades win price</t>
  </si>
  <si>
    <t xml:space="preserve">game of spades win eau de parfum</t>
  </si>
  <si>
    <t xml:space="preserve">game of spades win notes · game of spades win perfume · game of spades win review · game of spades win 30ml</t>
  </si>
  <si>
    <t xml:space="preserve">Game Of Spades Win</t>
  </si>
  <si>
    <t xml:space="preserve">Game Of Spades Win 100ml | Buy Online UK | Swansura</t>
  </si>
  <si>
    <t xml:space="preserve">Buy Game Of Spades Win online in the UK at Swansura. A woody men's eau de parfum, 100ml. 100% authentic, fast UK delivery, free over £50.</t>
  </si>
  <si>
    <t xml:space="preserve">FR-195</t>
  </si>
  <si>
    <t xml:space="preserve">Game of Spades Yellow Sapphire Unisex Eau de Parfum 100ml</t>
  </si>
  <si>
    <t xml:space="preserve">game of spades yellow sapphire</t>
  </si>
  <si>
    <t xml:space="preserve">game of spades yellow sapphire uk</t>
  </si>
  <si>
    <t xml:space="preserve">buy game of spades yellow sapphire online</t>
  </si>
  <si>
    <t xml:space="preserve">game of spades yellow sapphire price</t>
  </si>
  <si>
    <t xml:space="preserve">game of spades yellow sapphire eau de parfum</t>
  </si>
  <si>
    <t xml:space="preserve">game of spades yellow sapphire dupe of · game of spades yellow sapphire notes · game.of.spades.yellow sapphire smells like</t>
  </si>
  <si>
    <t xml:space="preserve">Game of Spades Yellow Sapphire Unisex Eau de Parfum</t>
  </si>
  <si>
    <t xml:space="preserve">Game of Spades Yellow Sapphire Unisex 100ml | Swansura UK</t>
  </si>
  <si>
    <t xml:space="preserve">Buy Game of Spades Yellow Sapphire Unisex Eau de Parfum online in the UK at Swansura. An amber unisex eau de parfum. 100% authentic, free UK delivery over £50.</t>
  </si>
  <si>
    <t xml:space="preserve">FR-196</t>
  </si>
  <si>
    <t xml:space="preserve">Maison de Milan Amalfi Bleu - Eau de Parfum for Men 100ml – Long Lasting Luxury Fragrance</t>
  </si>
  <si>
    <t xml:space="preserve">maison de milan amalfi bleu</t>
  </si>
  <si>
    <t xml:space="preserve">maison de milan amalfi bleu uk</t>
  </si>
  <si>
    <t xml:space="preserve">buy maison de milan amalfi bleu online</t>
  </si>
  <si>
    <t xml:space="preserve">maison de milan amalfi bleu price</t>
  </si>
  <si>
    <t xml:space="preserve">maison de milan amalfi bleu eau de parfum</t>
  </si>
  <si>
    <t xml:space="preserve">Maison de Milan Amalfi Bleu</t>
  </si>
  <si>
    <t xml:space="preserve">Maison de Milan Amalfi Bleu | Buy Online UK | Swansura</t>
  </si>
  <si>
    <t xml:space="preserve">Buy Maison de Milan Amalfi Bleu online in the UK at Swansura. A woody men's eau de parfum, 100ml. 100% authentic, fast UK delivery, free over £50.</t>
  </si>
  <si>
    <t xml:space="preserve">FR-197</t>
  </si>
  <si>
    <t xml:space="preserve">Maison De Milan Bliss Rouge - Eau de Parfum for Women 100ml – Long Lasting Luxury Fragrance</t>
  </si>
  <si>
    <t xml:space="preserve">maison de milan bliss rouge</t>
  </si>
  <si>
    <t xml:space="preserve">maison de milan bliss rouge uk</t>
  </si>
  <si>
    <t xml:space="preserve">buy maison de milan bliss rouge online</t>
  </si>
  <si>
    <t xml:space="preserve">maison de milan bliss rouge price</t>
  </si>
  <si>
    <t xml:space="preserve">maison de milan bliss rouge eau de parfum</t>
  </si>
  <si>
    <t xml:space="preserve">woody perfume for women uk</t>
  </si>
  <si>
    <t xml:space="preserve">Maison De Milan Bliss Rouge</t>
  </si>
  <si>
    <t xml:space="preserve">Maison De Milan Bliss Rouge | Buy Online UK | Swansura</t>
  </si>
  <si>
    <t xml:space="preserve">Buy Maison De Milan Bliss Rouge online in the UK at Swansura. A woody women's eau de parfum, 100ml. 100% authentic, fast UK delivery, free over £50.</t>
  </si>
  <si>
    <t xml:space="preserve">FR-198</t>
  </si>
  <si>
    <t xml:space="preserve">Maison de Milan Brave Lad - Eau de Parfum for Men and Women 100ml – Long Lasting Luxury Fragrance</t>
  </si>
  <si>
    <t xml:space="preserve">maison de milan brave lad</t>
  </si>
  <si>
    <t xml:space="preserve">maison de milan brave lad uk</t>
  </si>
  <si>
    <t xml:space="preserve">buy maison de milan brave lad online</t>
  </si>
  <si>
    <t xml:space="preserve">maison de milan brave lad price</t>
  </si>
  <si>
    <t xml:space="preserve">maison de milan brave lad eau de parfum</t>
  </si>
  <si>
    <t xml:space="preserve">Maison de Milan Brave Lad</t>
  </si>
  <si>
    <t xml:space="preserve">Maison de Milan Brave Lad | Buy Online UK | Swansura</t>
  </si>
  <si>
    <t xml:space="preserve">Buy Maison de Milan Brave Lad online in the UK at Swansura. A woody unisex eau de parfum, 100ml. 100% authentic, fast UK delivery, free over £50.</t>
  </si>
  <si>
    <t xml:space="preserve">FR-199</t>
  </si>
  <si>
    <t xml:space="preserve">Maison de Milan Delight Pour Femme - Eau de Parfum for Women 100ml – Long Lasting Luxury Fragrance</t>
  </si>
  <si>
    <t xml:space="preserve">maison de milan delight pour femme</t>
  </si>
  <si>
    <t xml:space="preserve">maison de milan delight pour femme uk</t>
  </si>
  <si>
    <t xml:space="preserve">buy maison de milan delight pour femme online</t>
  </si>
  <si>
    <t xml:space="preserve">maison de milan delight pour femme price</t>
  </si>
  <si>
    <t xml:space="preserve">maison de milan delight pour femme eau de parfum</t>
  </si>
  <si>
    <t xml:space="preserve">Maison de Milan Delight Pour Femme</t>
  </si>
  <si>
    <t xml:space="preserve">Maison de Milan Delight Pour Femme EDP 100ml | Swansura UK</t>
  </si>
  <si>
    <t xml:space="preserve">Buy Maison de Milan Delight Pour Femme online in the UK at Swansura. A woody women's eau de parfum, 100ml. 100% authentic, fast UK delivery, free over £50.</t>
  </si>
  <si>
    <t xml:space="preserve">FR-200</t>
  </si>
  <si>
    <t xml:space="preserve">Maison de Milan Elegance Pour Femme - Eau de Parfum for Women 100ml – Long Lasting Luxury Fragrance</t>
  </si>
  <si>
    <t xml:space="preserve">maison de milan elegance pour femme</t>
  </si>
  <si>
    <t xml:space="preserve">maison de milan elegance pour femme uk</t>
  </si>
  <si>
    <t xml:space="preserve">buy maison de milan elegance pour femme online</t>
  </si>
  <si>
    <t xml:space="preserve">maison de milan elegance pour femme price</t>
  </si>
  <si>
    <t xml:space="preserve">maison de milan elegance pour femme eau de parfum</t>
  </si>
  <si>
    <t xml:space="preserve">Maison de Milan Elegance Pour Femme</t>
  </si>
  <si>
    <t xml:space="preserve">Maison de Milan Elegance Pour Femme EDP 100ml | Swansura UK</t>
  </si>
  <si>
    <t xml:space="preserve">Buy Maison de Milan Elegance Pour Femme online in the UK at Swansura. A woody women's eau de parfum, 100ml. 100% authentic, fast UK delivery, free over £50.</t>
  </si>
  <si>
    <t xml:space="preserve">FR-201</t>
  </si>
  <si>
    <t xml:space="preserve">Maison de Milan Gossip Pour Femme - Eau de Parfum for Women 100ml – Long Lasting Luxury Fragrance</t>
  </si>
  <si>
    <t xml:space="preserve">maison de milan gossip pour femme</t>
  </si>
  <si>
    <t xml:space="preserve">maison de milan gossip pour femme uk</t>
  </si>
  <si>
    <t xml:space="preserve">buy maison de milan gossip pour femme online</t>
  </si>
  <si>
    <t xml:space="preserve">maison de milan gossip pour femme price</t>
  </si>
  <si>
    <t xml:space="preserve">maison de milan gossip pour femme eau de parfum</t>
  </si>
  <si>
    <t xml:space="preserve">Maison de Milan Gossip Pour Femme</t>
  </si>
  <si>
    <t xml:space="preserve">Maison de Milan Gossip Pour Femme | Buy Online UK | Swansura</t>
  </si>
  <si>
    <t xml:space="preserve">Buy Maison de Milan Gossip Pour Femme online in the UK at Swansura. A woody women's eau de parfum, 100ml. 100% authentic, fast UK delivery, free over £50.</t>
  </si>
  <si>
    <t xml:space="preserve">FR-202</t>
  </si>
  <si>
    <t xml:space="preserve">Maison de Milan Invincible - Eau de Parfum for Women 100ml – Long Lasting Luxury Fragrance</t>
  </si>
  <si>
    <t xml:space="preserve">maison de milan invincible</t>
  </si>
  <si>
    <t xml:space="preserve">maison de milan invincible uk</t>
  </si>
  <si>
    <t xml:space="preserve">buy maison de milan invincible online</t>
  </si>
  <si>
    <t xml:space="preserve">maison de milan invincible price</t>
  </si>
  <si>
    <t xml:space="preserve">maison de milan invincible eau de parfum</t>
  </si>
  <si>
    <t xml:space="preserve">invincible maison de milan · maison de milan invincible 100ml · invincible perfume maison de milan</t>
  </si>
  <si>
    <t xml:space="preserve">Maison de Milan Invincible</t>
  </si>
  <si>
    <t xml:space="preserve">Maison de Milan Invincible | Buy Online UK | Swansura</t>
  </si>
  <si>
    <t xml:space="preserve">Buy Maison de Milan Invincible online in the UK at Swansura. A woody women's eau de parfum, 100ml. 100% authentic, fast UK delivery, free over £50.</t>
  </si>
  <si>
    <t xml:space="preserve">FR-203</t>
  </si>
  <si>
    <t xml:space="preserve">Maison de Milan L'Homme Suave - Eau de Parfum for Men 100ml – Long Lasting Luxury Fragrance</t>
  </si>
  <si>
    <t xml:space="preserve">maison de milan l'homme suave</t>
  </si>
  <si>
    <t xml:space="preserve">maison de milan l'homme suave uk</t>
  </si>
  <si>
    <t xml:space="preserve">buy maison de milan l'homme suave online</t>
  </si>
  <si>
    <t xml:space="preserve">maison de milan l'homme suave price</t>
  </si>
  <si>
    <t xml:space="preserve">maison de milan l'homme suave eau de parfum</t>
  </si>
  <si>
    <t xml:space="preserve">Maison de Milan L'Homme Suave</t>
  </si>
  <si>
    <t xml:space="preserve">Maison de Milan L'Homme Suave | Buy Online UK | Swansura</t>
  </si>
  <si>
    <t xml:space="preserve">Buy Maison de Milan L'Homme Suave online in the UK at Swansura. A woody men's eau de parfum, 100ml. 100% authentic, fast UK delivery, free over £50.</t>
  </si>
  <si>
    <t xml:space="preserve">FR-204</t>
  </si>
  <si>
    <t xml:space="preserve">Maison de Milan M - Eau de Parfum Unisex – Long Lasting Fragrance - 100 ml Spray for Men and Women</t>
  </si>
  <si>
    <t xml:space="preserve">maison de milan m</t>
  </si>
  <si>
    <t xml:space="preserve">maison de milan m uk</t>
  </si>
  <si>
    <t xml:space="preserve">buy maison de milan m online</t>
  </si>
  <si>
    <t xml:space="preserve">maison de milan m price</t>
  </si>
  <si>
    <t xml:space="preserve">maison de milan m eau de parfum</t>
  </si>
  <si>
    <t xml:space="preserve">Maison de Milan M</t>
  </si>
  <si>
    <t xml:space="preserve">Maison de Milan M 100ml | Buy Online UK | Swansura</t>
  </si>
  <si>
    <t xml:space="preserve">Buy Maison de Milan M online in the UK at Swansura. A woody unisex eau de parfum, 100ml. 100% authentic, fast UK delivery, free over £50.</t>
  </si>
  <si>
    <t xml:space="preserve">FR-205</t>
  </si>
  <si>
    <t xml:space="preserve">Maison De Milan Milano Girl Black – Eau de Parfum for Women – 100 ml Spray luxury fragrance</t>
  </si>
  <si>
    <t xml:space="preserve">maison de milan milano girl black</t>
  </si>
  <si>
    <t xml:space="preserve">maison de milan milano girl black uk</t>
  </si>
  <si>
    <t xml:space="preserve">buy maison de milan milano girl black online</t>
  </si>
  <si>
    <t xml:space="preserve">maison de milan milano girl black price</t>
  </si>
  <si>
    <t xml:space="preserve">maison de milan milano girl black eau de parfum</t>
  </si>
  <si>
    <t xml:space="preserve">Maison De Milan Milano Girl Black</t>
  </si>
  <si>
    <t xml:space="preserve">Maison De Milan Milano Girl Black | Buy Online UK | Swansura</t>
  </si>
  <si>
    <t xml:space="preserve">Buy Maison De Milan Milano Girl Black online in the UK at Swansura. A woody women's eau de parfum, 100ml. 100% authentic, fast UK delivery, free over £50.</t>
  </si>
  <si>
    <t xml:space="preserve">FR-206</t>
  </si>
  <si>
    <t xml:space="preserve">Maison De Milan Milano Girl Red - Eau de Parfum for Women 100ml – Long Lasting Luxury Fragrance</t>
  </si>
  <si>
    <t xml:space="preserve">maison de milan milano girl red</t>
  </si>
  <si>
    <t xml:space="preserve">maison de milan milano girl red uk</t>
  </si>
  <si>
    <t xml:space="preserve">buy maison de milan milano girl red online</t>
  </si>
  <si>
    <t xml:space="preserve">maison de milan milano girl red price</t>
  </si>
  <si>
    <t xml:space="preserve">maison de milan milano girl red eau de parfum</t>
  </si>
  <si>
    <t xml:space="preserve">Maison De Milan Milano Girl Red</t>
  </si>
  <si>
    <t xml:space="preserve">Maison De Milan Milano Girl Red | Buy Online UK | Swansura</t>
  </si>
  <si>
    <t xml:space="preserve">Buy Maison De Milan Milano Girl Red online in the UK at Swansura. A woody women's eau de parfum, 100ml. 100% authentic, fast UK delivery, free over £50.</t>
  </si>
  <si>
    <t xml:space="preserve">FR-207</t>
  </si>
  <si>
    <t xml:space="preserve">Maison De Milan Milano Girl White – Eau de Parfum for Women 100ml – Long Lasting Luxury Fragrance</t>
  </si>
  <si>
    <t xml:space="preserve">maison de milan milano girl white</t>
  </si>
  <si>
    <t xml:space="preserve">maison de milan milano girl white uk</t>
  </si>
  <si>
    <t xml:space="preserve">buy maison de milan milano girl white online</t>
  </si>
  <si>
    <t xml:space="preserve">maison de milan milano girl white price</t>
  </si>
  <si>
    <t xml:space="preserve">maison de milan milano girl white eau de parfum</t>
  </si>
  <si>
    <t xml:space="preserve">Maison De Milan Milano Girl White</t>
  </si>
  <si>
    <t xml:space="preserve">Maison De Milan Milano Girl White | Buy Online UK | Swansura</t>
  </si>
  <si>
    <t xml:space="preserve">Buy Maison De Milan Milano Girl White online in the UK at Swansura. A woody women's eau de parfum, 100ml. 100% authentic, fast UK delivery, free over £50.</t>
  </si>
  <si>
    <t xml:space="preserve">FR-208</t>
  </si>
  <si>
    <t xml:space="preserve">Maison de Milan Opulent Gold - Eau de Parfum for Men and Women 100ml – Long Lasting Luxury Fragrance</t>
  </si>
  <si>
    <t xml:space="preserve">maison de milan opulent gold</t>
  </si>
  <si>
    <t xml:space="preserve">maison de milan opulent gold uk</t>
  </si>
  <si>
    <t xml:space="preserve">buy maison de milan opulent gold online</t>
  </si>
  <si>
    <t xml:space="preserve">maison de milan opulent gold price</t>
  </si>
  <si>
    <t xml:space="preserve">maison de milan opulent gold eau de parfum</t>
  </si>
  <si>
    <t xml:space="preserve">Maison de Milan Opulent Gold</t>
  </si>
  <si>
    <t xml:space="preserve">Maison de Milan Opulent Gold | Buy Online UK | Swansura</t>
  </si>
  <si>
    <t xml:space="preserve">Buy Maison de Milan Opulent Gold online in the UK at Swansura. A woody unisex eau de parfum, 100ml. 100% authentic, fast UK delivery, free over £50.</t>
  </si>
  <si>
    <t xml:space="preserve">FR-209</t>
  </si>
  <si>
    <t xml:space="preserve">Maison de Milan Valiant Pour Homme - Eau de Parfum for Men and Women 100ml – Long Lasting Luxury Fragrance</t>
  </si>
  <si>
    <t xml:space="preserve">maison de milan valiant pour homme</t>
  </si>
  <si>
    <t xml:space="preserve">maison de milan valiant pour homme uk</t>
  </si>
  <si>
    <t xml:space="preserve">buy maison de milan valiant pour homme online</t>
  </si>
  <si>
    <t xml:space="preserve">maison de milan valiant pour homme price</t>
  </si>
  <si>
    <t xml:space="preserve">maison de milan valiant pour homme eau de parfum</t>
  </si>
  <si>
    <t xml:space="preserve">Maison de Milan Valiant Pour Homme</t>
  </si>
  <si>
    <t xml:space="preserve">Maison de Milan Valiant Pour Homme EDP 100ml | Swansura UK</t>
  </si>
  <si>
    <t xml:space="preserve">Buy Maison de Milan Valiant Pour Homme online in the UK at Swansura. A woody unisex eau de parfum, 100ml. 100% authentic, fast UK delivery, free over £50.</t>
  </si>
  <si>
    <t xml:space="preserve">FR-210</t>
  </si>
  <si>
    <t xml:space="preserve">Roll It 1 Unisex Eau de Parfum 100ml</t>
  </si>
  <si>
    <t xml:space="preserve">roll it 1</t>
  </si>
  <si>
    <t xml:space="preserve">roll it 1 uk</t>
  </si>
  <si>
    <t xml:space="preserve">buy roll it 1 online</t>
  </si>
  <si>
    <t xml:space="preserve">roll it 1 price</t>
  </si>
  <si>
    <t xml:space="preserve">roll it 1 eau de parfum</t>
  </si>
  <si>
    <t xml:space="preserve">roll it 18 · roll it 18 dupe of · roll it 1 dupe of</t>
  </si>
  <si>
    <t xml:space="preserve">Roll It 1 Unisex Eau de Parfum</t>
  </si>
  <si>
    <t xml:space="preserve">Roll It 1 Unisex Eau de Parfum | Buy Online UK | Swansura</t>
  </si>
  <si>
    <t xml:space="preserve">Buy Roll It 1 Unisex Eau de Parfum online in the UK at Swansura. An amber unisex eau de parfum, 100ml. 100% authentic, fast UK delivery, free over £50.</t>
  </si>
  <si>
    <t xml:space="preserve">FR-211</t>
  </si>
  <si>
    <t xml:space="preserve">Parfum / Extrait de Parfum</t>
  </si>
  <si>
    <t xml:space="preserve">Game Of Spades Rouge Extrait | Perfume for Men and Women | 100ml | Long Lasting Luxury Fragrance</t>
  </si>
  <si>
    <t xml:space="preserve">game of spades rouge extrait</t>
  </si>
  <si>
    <t xml:space="preserve">game of spades rouge extrait uk</t>
  </si>
  <si>
    <t xml:space="preserve">buy game of spades rouge extrait online</t>
  </si>
  <si>
    <t xml:space="preserve">game of spades rouge extrait price</t>
  </si>
  <si>
    <t xml:space="preserve">game of spades rouge extrait de parfum · game of spades rouge extrait notes · game of spades rouge extrait dupe of · game of spades rouge extrait review · game of spades rouge extrait de parfum notes</t>
  </si>
  <si>
    <t xml:space="preserve">Game Of Spades Rouge Extrait</t>
  </si>
  <si>
    <t xml:space="preserve">Game Of Spades Rouge Extrait | Buy Online UK | Swansura</t>
  </si>
  <si>
    <t xml:space="preserve">Buy Game Of Spades Rouge Extrait online in the UK at Swansura. A woody unisex fragrance, 100ml. 100% authentic, fast UK delivery, free over £50.</t>
  </si>
  <si>
    <t xml:space="preserve">FR-212</t>
  </si>
  <si>
    <t xml:space="preserve">Giorgia Armani</t>
  </si>
  <si>
    <t xml:space="preserve">Giorgio Armani Code EDT 125ml Refillable for Men</t>
  </si>
  <si>
    <t xml:space="preserve">giorgia armani giorgio armani code refillable</t>
  </si>
  <si>
    <t xml:space="preserve">giorgia armani giorgio armani code refillable uk</t>
  </si>
  <si>
    <t xml:space="preserve">buy giorgia armani giorgio armani code refillable online</t>
  </si>
  <si>
    <t xml:space="preserve">giorgia armani giorgio armani code refillable price</t>
  </si>
  <si>
    <t xml:space="preserve">giorgia armani giorgio armani code refillable edt</t>
  </si>
  <si>
    <t xml:space="preserve">giorgia armani perfume · giorgia armani perfume for men · woody perfume for men uk</t>
  </si>
  <si>
    <t xml:space="preserve">Giorgio Armani Code EDT Refillable for Men</t>
  </si>
  <si>
    <t xml:space="preserve">Giorgio Armani Code EDT Refillable for Men | Swansura UK</t>
  </si>
  <si>
    <t xml:space="preserve">Buy Giorgio Armani Code EDT Refillable for Men online in the UK at Swansura. A woody men's eau de toilette, 125ml. 100% authentic, free UK delivery over £50.</t>
  </si>
  <si>
    <t xml:space="preserve">FR-213</t>
  </si>
  <si>
    <t xml:space="preserve">Giorgio Armani</t>
  </si>
  <si>
    <t xml:space="preserve">Giorgio Armani Code Eau de Toilette 125ml Refillable – Men's Woody Aromatic Fragrance</t>
  </si>
  <si>
    <t xml:space="preserve">giorgio armani code refillable</t>
  </si>
  <si>
    <t xml:space="preserve">giorgio armani code refillable uk</t>
  </si>
  <si>
    <t xml:space="preserve">buy giorgio armani code refillable online</t>
  </si>
  <si>
    <t xml:space="preserve">giorgio armani code refillable price</t>
  </si>
  <si>
    <t xml:space="preserve">giorgio armani code refillable eau de toilette</t>
  </si>
  <si>
    <t xml:space="preserve">giorgio armani perfume · giorgio armani perfume for men · woody perfume for men uk</t>
  </si>
  <si>
    <t xml:space="preserve">giorgio armani code refillable edt 75ml · giorgio armani code refillable parfum · giorgio armani perfume refillable</t>
  </si>
  <si>
    <t xml:space="preserve">Giorgio Armani Code Eau de Toilette Refillable</t>
  </si>
  <si>
    <t xml:space="preserve">Giorgio Armani Code Eau de Toilette Refillable | Swansura UK</t>
  </si>
  <si>
    <t xml:space="preserve">Buy Giorgio Armani Code Eau de Toilette Refillable online in the UK at Swansura. A woody men's eau de toilette. 100% authentic, fast UK delivery, free over £50.</t>
  </si>
  <si>
    <t xml:space="preserve">Givenchy</t>
  </si>
  <si>
    <t xml:space="preserve">givenchy amarige</t>
  </si>
  <si>
    <t xml:space="preserve">givenchy amarige uk</t>
  </si>
  <si>
    <t xml:space="preserve">buy givenchy amarige online</t>
  </si>
  <si>
    <t xml:space="preserve">givenchy amarige price</t>
  </si>
  <si>
    <t xml:space="preserve">givenchy amarige eau de toilette</t>
  </si>
  <si>
    <t xml:space="preserve">givenchy perfume · givenchy perfume for women · floral perfume for women uk</t>
  </si>
  <si>
    <t xml:space="preserve">givenchy amarige perfume · givenchy amarige eau de parfum · givenchy amarige 100ml · givenchy amarige edt 100ml · givenchy amarige notes · givenchy amarige edp 100ml</t>
  </si>
  <si>
    <t xml:space="preserve">Givenchy Amarige Eau de Toilette</t>
  </si>
  <si>
    <t xml:space="preserve">Givenchy Amarige Eau de Toilette | Buy Online UK | Swansura</t>
  </si>
  <si>
    <t xml:space="preserve">Buy Givenchy Amarige Eau de Toilette online in the UK at Swansura. A floral women's eau de toilette, 100ml. 100% authentic, fast UK delivery, free over £50.</t>
  </si>
  <si>
    <t xml:space="preserve">FR-215</t>
  </si>
  <si>
    <t xml:space="preserve">Givenchy Gentleman Originale Eau de Toilette 100ml – Men's Woody Aromatic Fragrance</t>
  </si>
  <si>
    <t xml:space="preserve">givenchy gentleman originale</t>
  </si>
  <si>
    <t xml:space="preserve">givenchy gentleman originale uk</t>
  </si>
  <si>
    <t xml:space="preserve">buy givenchy gentleman originale online</t>
  </si>
  <si>
    <t xml:space="preserve">givenchy gentleman originale price</t>
  </si>
  <si>
    <t xml:space="preserve">givenchy gentleman originale eau de toilette</t>
  </si>
  <si>
    <t xml:space="preserve">givenchy perfume · givenchy perfume for men · woody perfume for men uk</t>
  </si>
  <si>
    <t xml:space="preserve">givenchy gentleman originale edt · givenchy gentleman originale for men edt · givenchy gentleman original review · givenchy gentleman original 2024 · givenchy gentleman originale 100ml · givenchy gentleman originale edp</t>
  </si>
  <si>
    <t xml:space="preserve">Givenchy Gentleman Originale Eau de Toilette</t>
  </si>
  <si>
    <t xml:space="preserve">Givenchy Gentleman Originale Eau de Toilette | Swansura UK</t>
  </si>
  <si>
    <t xml:space="preserve">Buy Givenchy Gentleman Originale Eau de Toilette online in the UK at Swansura. A woody men's eau de toilette, 100ml. 100% authentic, free UK delivery over £50.</t>
  </si>
  <si>
    <t xml:space="preserve">FR-216</t>
  </si>
  <si>
    <t xml:space="preserve">Gucci</t>
  </si>
  <si>
    <t xml:space="preserve">Gucci Bloom Profumo di Fiori Eau de Parfum 10ml Pen Spray – Women's Floral Fragrance</t>
  </si>
  <si>
    <t xml:space="preserve">gucci bloom profumo di fiori pen</t>
  </si>
  <si>
    <t xml:space="preserve">gucci bloom profumo di fiori pen uk</t>
  </si>
  <si>
    <t xml:space="preserve">buy gucci bloom profumo di fiori pen online</t>
  </si>
  <si>
    <t xml:space="preserve">gucci bloom profumo di fiori pen price</t>
  </si>
  <si>
    <t xml:space="preserve">gucci bloom profumo di fiori pen eau de parfum</t>
  </si>
  <si>
    <t xml:space="preserve">gucci perfume · gucci perfume for women · floral perfume for women uk</t>
  </si>
  <si>
    <t xml:space="preserve">Gucci Bloom Profumo di Fiori Eau de Parfum Pen Spray</t>
  </si>
  <si>
    <t xml:space="preserve">Gucci Bloom Profumo di Fiori Pen Spray 10ml | Swansura UK</t>
  </si>
  <si>
    <t xml:space="preserve">Buy Gucci Bloom Profumo di Fiori Eau de Parfum Pen Spray at Swansura UK. A floral women's eau de parfum, 10ml. 100% authentic, fast UK delivery, free over £50.</t>
  </si>
  <si>
    <t xml:space="preserve">gucci flora gorgeous gardenia</t>
  </si>
  <si>
    <t xml:space="preserve">gucci flora gorgeous gardenia uk</t>
  </si>
  <si>
    <t xml:space="preserve">buy gucci flora gorgeous gardenia online</t>
  </si>
  <si>
    <t xml:space="preserve">gucci flora gorgeous gardenia price</t>
  </si>
  <si>
    <t xml:space="preserve">gucci flora gorgeous gardenia eau de parfum</t>
  </si>
  <si>
    <t xml:space="preserve">gucci flora gorgeous gardenia eau de parfum · gucci flora gorgeous gardenia notes · gucci flora gorgeous gardenia dupe · gucci flora gorgeous gardenia 100ml · gucci flora gorgeous gardenia 50ml · gucci flora gorgeous gardenia perfume</t>
  </si>
  <si>
    <t xml:space="preserve">Gucci Flora Gorgeous Gardenia Eau de Parfum</t>
  </si>
  <si>
    <t xml:space="preserve">Gucci Flora Gorgeous Gardenia Eau de Parfum | Swansura UK</t>
  </si>
  <si>
    <t xml:space="preserve">Buy Gucci Flora Gorgeous Gardenia Eau de Parfum online in the UK at Swansura. A floral women's eau de parfum, 50ml. 100% authentic, free UK delivery over £50.</t>
  </si>
  <si>
    <t xml:space="preserve">FR-218</t>
  </si>
  <si>
    <t xml:space="preserve">Gucci Flora Gorgeous Orchid Eau de Parfum 10ml Miniature – Women's Floral Gourmand Fragrance</t>
  </si>
  <si>
    <t xml:space="preserve">gucci flora gorgeous orchid miniature</t>
  </si>
  <si>
    <t xml:space="preserve">gucci flora gorgeous orchid miniature uk</t>
  </si>
  <si>
    <t xml:space="preserve">buy gucci flora gorgeous orchid miniature online</t>
  </si>
  <si>
    <t xml:space="preserve">gucci flora gorgeous orchid miniature price</t>
  </si>
  <si>
    <t xml:space="preserve">gucci flora gorgeous orchid miniature eau de parfum</t>
  </si>
  <si>
    <t xml:space="preserve">Gucci Flora Gorgeous Orchid Eau de Parfum Miniature</t>
  </si>
  <si>
    <t xml:space="preserve">Gucci Flora Gorgeous Orchid Miniature EDP 10ml | Swansura UK</t>
  </si>
  <si>
    <t xml:space="preserve">Buy Gucci Flora Gorgeous Orchid Eau de Parfum Miniature online in the UK at Swansura. A floral women's eau de parfum. 100% authentic, free UK delivery over £50.</t>
  </si>
  <si>
    <t xml:space="preserve">FR-219</t>
  </si>
  <si>
    <t xml:space="preserve">Gucci Guilty Pour Femme Eau de Parfum 10ml Miniature Perfume Spray – Women's Fragrance</t>
  </si>
  <si>
    <t xml:space="preserve">gucci guilty pour femme miniature</t>
  </si>
  <si>
    <t xml:space="preserve">gucci guilty pour femme miniature uk</t>
  </si>
  <si>
    <t xml:space="preserve">buy gucci guilty pour femme miniature online</t>
  </si>
  <si>
    <t xml:space="preserve">gucci guilty pour femme miniature price</t>
  </si>
  <si>
    <t xml:space="preserve">gucci guilty pour femme miniature eau de parfum</t>
  </si>
  <si>
    <t xml:space="preserve">gucci perfume · gucci perfume for women · woody perfume for women uk</t>
  </si>
  <si>
    <t xml:space="preserve">gucci guilty pour femme price</t>
  </si>
  <si>
    <t xml:space="preserve">Gucci Guilty Pour Femme Eau de Parfum Miniature Perfume Spray</t>
  </si>
  <si>
    <t xml:space="preserve">Gucci Guilty Pour Femme Miniature Perfume | Swansura UK</t>
  </si>
  <si>
    <t xml:space="preserve">Buy Gucci Guilty Pour Femme Eau de Parfum Miniature Perfume Spray online in the UK at Swansura. A woody women's eau de parfum, 10ml. Free UK delivery over £50.</t>
  </si>
  <si>
    <t xml:space="preserve">gucci intense oud</t>
  </si>
  <si>
    <t xml:space="preserve">gucci intense oud uk</t>
  </si>
  <si>
    <t xml:space="preserve">buy gucci intense oud online</t>
  </si>
  <si>
    <t xml:space="preserve">gucci intense oud eau de parfum</t>
  </si>
  <si>
    <t xml:space="preserve">gucci perfume · oud perfume uk</t>
  </si>
  <si>
    <t xml:space="preserve">gucci intense oud price · gucci intense oud review · gucci intense oud dupe · gucci intense oud notes · gucci intense oud eau de parfum · gucci intense oud 90ml</t>
  </si>
  <si>
    <t xml:space="preserve">Gucci Intense Oud Eau de Parfum Spray</t>
  </si>
  <si>
    <t xml:space="preserve">Gucci Intense Oud Spray EDP 90ml | Buy Online UK | Swansura</t>
  </si>
  <si>
    <t xml:space="preserve">Buy Gucci Intense Oud Eau de Parfum Spray online in the UK at Swansura. An oud unisex eau de parfum, 90ml. 100% authentic, fast UK delivery, free over £50.</t>
  </si>
  <si>
    <t xml:space="preserve">FR-221</t>
  </si>
  <si>
    <t xml:space="preserve">Gucci Bloom Eau de Toilette 10ml Miniature – Women's Floral Perfume Spray</t>
  </si>
  <si>
    <t xml:space="preserve">gucci bloom miniature</t>
  </si>
  <si>
    <t xml:space="preserve">gucci bloom miniature uk</t>
  </si>
  <si>
    <t xml:space="preserve">buy gucci bloom miniature online</t>
  </si>
  <si>
    <t xml:space="preserve">gucci bloom miniature price</t>
  </si>
  <si>
    <t xml:space="preserve">gucci bloom miniature eau de toilette</t>
  </si>
  <si>
    <t xml:space="preserve">gucci bloom miniature set · gucci bloom miniature perfume · gucci bloom mini</t>
  </si>
  <si>
    <t xml:space="preserve">Gucci Bloom Eau de Toilette Miniature</t>
  </si>
  <si>
    <t xml:space="preserve">Gucci Bloom Miniature EDT 10ml | Buy Online UK | Swansura</t>
  </si>
  <si>
    <t xml:space="preserve">Buy Gucci Bloom Eau de Toilette Miniature online in the UK at Swansura. A floral women's eau de toilette, 10ml. 100% authentic, fast UK delivery, free over £50.</t>
  </si>
  <si>
    <t xml:space="preserve">gucci guilty pour homme</t>
  </si>
  <si>
    <t xml:space="preserve">gucci guilty pour homme uk</t>
  </si>
  <si>
    <t xml:space="preserve">buy gucci guilty pour homme online</t>
  </si>
  <si>
    <t xml:space="preserve">gucci guilty pour homme price</t>
  </si>
  <si>
    <t xml:space="preserve">gucci guilty pour homme eau de toilette</t>
  </si>
  <si>
    <t xml:space="preserve">gucci perfume · gucci perfume for men · woody perfume for men uk</t>
  </si>
  <si>
    <t xml:space="preserve">gucci guilty pour homme eau de parfum · gucci guilty pour homme parfum · gucci guilty pour homme edt · gucci guilty pour homme edp · gucci guilty pour homme notes · gucci guilty pour homme review</t>
  </si>
  <si>
    <t xml:space="preserve">Gucci Guilty Pour Homme Eau de Toilette</t>
  </si>
  <si>
    <t xml:space="preserve">Gucci Guilty Pour Homme EDT 90ml | Buy Online UK | Swansura</t>
  </si>
  <si>
    <t xml:space="preserve">Buy Gucci Guilty Pour Homme Eau de Toilette online in the UK at Swansura. A woody men's eau de toilette, 90ml. 100% authentic, fast UK delivery, free over £50.</t>
  </si>
  <si>
    <t xml:space="preserve">FR-223</t>
  </si>
  <si>
    <t xml:space="preserve">Gucci Bloom Eau de Parfum Gift Set 100ml + 10ml + Body Lotion 100ml – Women's Fragrance Set</t>
  </si>
  <si>
    <t xml:space="preserve">gucci bloom gift set</t>
  </si>
  <si>
    <t xml:space="preserve">gucci bloom gift set uk</t>
  </si>
  <si>
    <t xml:space="preserve">buy gucci bloom gift set online</t>
  </si>
  <si>
    <t xml:space="preserve">gucci bloom gift set price</t>
  </si>
  <si>
    <t xml:space="preserve">gucci bloom gift set 100ml · gucci bloom gift set 50ml · gucci bloom gift set sale · gucci bloom gift set price · gucci bloom gift set boots</t>
  </si>
  <si>
    <t xml:space="preserve">Gucci Bloom Eau de Parfum Gift Set</t>
  </si>
  <si>
    <t xml:space="preserve">Gucci Bloom Gift Set EDP 100ml | Buy Online UK | Swansura</t>
  </si>
  <si>
    <t xml:space="preserve">Buy Gucci Bloom Eau de Parfum Gift Set online in the UK at Swansura. A woody women's eau de parfum, 100ml. 100% authentic, fast UK delivery, free over £50.</t>
  </si>
  <si>
    <t xml:space="preserve">FR-224</t>
  </si>
  <si>
    <t xml:space="preserve">Gucci Flora Gorgeous Miniature Perfume Set 3x5ml – Gardenia, Magnolia &amp; Orchid</t>
  </si>
  <si>
    <t xml:space="preserve">3x5ml</t>
  </si>
  <si>
    <t xml:space="preserve">gucci flora gorgeous miniature set</t>
  </si>
  <si>
    <t xml:space="preserve">gucci flora gorgeous miniature set uk</t>
  </si>
  <si>
    <t xml:space="preserve">buy gucci flora gorgeous miniature set online</t>
  </si>
  <si>
    <t xml:space="preserve">gucci flora gorgeous miniature set price</t>
  </si>
  <si>
    <t xml:space="preserve">gucci perfume · amber perfume uk</t>
  </si>
  <si>
    <t xml:space="preserve">gucci flora gorgeous mini set · gucci flora gorgeous miniature gift set</t>
  </si>
  <si>
    <t xml:space="preserve">Gucci Flora Gorgeous Miniature Perfume Set 3x5ml</t>
  </si>
  <si>
    <t xml:space="preserve">Gucci Flora Gorgeous Miniature Perfume Set | Swansura UK</t>
  </si>
  <si>
    <t xml:space="preserve">Buy Gucci Flora Gorgeous Miniature Perfume Set 3x5ml online in the UK at Swansura. An amber unisex fragrance, 3x5ml. 100% authentic, free UK delivery over £50.</t>
  </si>
  <si>
    <t xml:space="preserve">FR-225</t>
  </si>
  <si>
    <t xml:space="preserve">Gucci Guilty Pour Femme Eau de Parfum Gift Set 50ml + Body Lotion 50ml – Women's Fragrance Set</t>
  </si>
  <si>
    <t xml:space="preserve">gucci guilty pour femme gift set</t>
  </si>
  <si>
    <t xml:space="preserve">gucci guilty pour femme gift set uk</t>
  </si>
  <si>
    <t xml:space="preserve">buy gucci guilty pour femme gift set online</t>
  </si>
  <si>
    <t xml:space="preserve">gucci guilty pour femme gift set price</t>
  </si>
  <si>
    <t xml:space="preserve">gucci guilty pour femme set · gucci guilty pour femme eau de parfum gift set</t>
  </si>
  <si>
    <t xml:space="preserve">Gucci Guilty Pour Femme Eau de Parfum Gift Set</t>
  </si>
  <si>
    <t xml:space="preserve">Gucci Guilty Pour Femme Eau de Parfum Gift Set | Swansura UK</t>
  </si>
  <si>
    <t xml:space="preserve">Buy Gucci Guilty Pour Femme Eau de Parfum Gift Set online in the UK at Swansura. A woody women's eau de parfum, 50ml. 100% authentic, free UK delivery over £50.</t>
  </si>
  <si>
    <t xml:space="preserve">FR-226</t>
  </si>
  <si>
    <t xml:space="preserve">Gucci Women's Miniature Perfume Set 4x5ml – Bloom EDP &amp; Flora Gorgeous Gardenia EDP</t>
  </si>
  <si>
    <t xml:space="preserve">gucci miniature set</t>
  </si>
  <si>
    <t xml:space="preserve">gucci miniature set uk</t>
  </si>
  <si>
    <t xml:space="preserve">buy gucci miniature set online</t>
  </si>
  <si>
    <t xml:space="preserve">gucci miniature set price</t>
  </si>
  <si>
    <t xml:space="preserve">gucci mini set · gucci mini set perfume · gucci mini set of 4 · gucci mini set men</t>
  </si>
  <si>
    <t xml:space="preserve">Gucci Women's Miniature Perfume Set 4x5ml</t>
  </si>
  <si>
    <t xml:space="preserve">Gucci Women's Miniature Perfume Set 4x5ml | Swansura UK</t>
  </si>
  <si>
    <t xml:space="preserve">Buy Gucci Women's Miniature Perfume Set 4x5ml online in the UK at Swansura. A woody women's eau de parfum. 100% authentic, fast UK delivery, free over £50.</t>
  </si>
  <si>
    <t xml:space="preserve">FR-227</t>
  </si>
  <si>
    <t xml:space="preserve">Gucci Women's Perfume Set 4x5ml – Guilty EDT, Flora Gorgeous Orchid, Flora Gorgeous Gardenia &amp; Bloom</t>
  </si>
  <si>
    <t xml:space="preserve">gucci set</t>
  </si>
  <si>
    <t xml:space="preserve">gucci set uk</t>
  </si>
  <si>
    <t xml:space="preserve">buy gucci set online</t>
  </si>
  <si>
    <t xml:space="preserve">gucci set price</t>
  </si>
  <si>
    <t xml:space="preserve">gucci set women · gucci set perfume · gucci set perfume for women</t>
  </si>
  <si>
    <t xml:space="preserve">Gucci Women's Perfume Set 4x5ml</t>
  </si>
  <si>
    <t xml:space="preserve">Gucci Women's Perfume Set 4x5ml | Buy Online UK | Swansura</t>
  </si>
  <si>
    <t xml:space="preserve">Buy Gucci Women's Perfume Set 4x5ml online in the UK at Swansura. A woody women's eau de toilette, 4x5ml. 100% authentic, fast UK delivery, free over £50.</t>
  </si>
  <si>
    <t xml:space="preserve">FR-228</t>
  </si>
  <si>
    <t xml:space="preserve">Gucci Bloom Parfum 10ml Miniature Spray – Luxury Women's Floral Fragrance</t>
  </si>
  <si>
    <t xml:space="preserve">gucci bloom parfum miniature</t>
  </si>
  <si>
    <t xml:space="preserve">gucci bloom parfum miniature uk</t>
  </si>
  <si>
    <t xml:space="preserve">buy gucci bloom parfum miniature online</t>
  </si>
  <si>
    <t xml:space="preserve">gucci bloom parfum miniature price</t>
  </si>
  <si>
    <t xml:space="preserve">gucci bloom parfum miniature parfum</t>
  </si>
  <si>
    <t xml:space="preserve">gucci bloom perfume miniature · gucci bloom perfume mini · gucci bloom perfume mini set · gucci bloom eau de parfum miniature · gucci bloom mini perfume price · miniature parfum gucci bloom</t>
  </si>
  <si>
    <t xml:space="preserve">Gucci Bloom Parfum Miniature Spray</t>
  </si>
  <si>
    <t xml:space="preserve">Gucci Bloom Miniature Spray Parfum 10ml | Swansura UK</t>
  </si>
  <si>
    <t xml:space="preserve">Buy Gucci Bloom Parfum Miniature Spray online in the UK at Swansura. A floral women's parfum, 10ml. 100% authentic, fast UK delivery, free over £50.</t>
  </si>
  <si>
    <t xml:space="preserve">Guerlain</t>
  </si>
  <si>
    <t xml:space="preserve">guerlain habit rouge</t>
  </si>
  <si>
    <t xml:space="preserve">guerlain habit rouge uk</t>
  </si>
  <si>
    <t xml:space="preserve">buy guerlain habit rouge online</t>
  </si>
  <si>
    <t xml:space="preserve">guerlain habit rouge price</t>
  </si>
  <si>
    <t xml:space="preserve">guerlain habit rouge eau de parfum</t>
  </si>
  <si>
    <t xml:space="preserve">guerlain perfume · guerlain perfume for men · woody perfume for men uk</t>
  </si>
  <si>
    <t xml:space="preserve">guerlain habit rouge parfum · guerlain habit rouge edp · guerlain habit rouge edt · guerlain habit rouge eau de parfum · guerlain habit rouge parfum 100ml</t>
  </si>
  <si>
    <t xml:space="preserve">Guerlain Habit Rouge Eau de Parfum</t>
  </si>
  <si>
    <t xml:space="preserve">Guerlain Habit Rouge EDP 100ml | Buy Online UK | Swansura</t>
  </si>
  <si>
    <t xml:space="preserve">Buy Guerlain Habit Rouge Eau de Parfum online in the UK at Swansura. A woody men's eau de parfum, 100ml. 100% authentic, fast UK delivery, free over £50.</t>
  </si>
  <si>
    <t xml:space="preserve">FR-230</t>
  </si>
  <si>
    <t xml:space="preserve">Guerlain L'Instant de Guerlain Eau de Parfum 75ml – Luxury Women's Floral Amber Fragrance</t>
  </si>
  <si>
    <t xml:space="preserve">guerlain l'instant de guerlain</t>
  </si>
  <si>
    <t xml:space="preserve">guerlain l'instant de guerlain uk</t>
  </si>
  <si>
    <t xml:space="preserve">buy guerlain l'instant de guerlain online</t>
  </si>
  <si>
    <t xml:space="preserve">guerlain l'instant de guerlain price</t>
  </si>
  <si>
    <t xml:space="preserve">guerlain l'instant de guerlain eau de parfum</t>
  </si>
  <si>
    <t xml:space="preserve">guerlain perfume · guerlain perfume for women · floral perfume for women uk</t>
  </si>
  <si>
    <t xml:space="preserve">guerlain l'instant de guerlain eau de parfum · guerlain l'instant de guerlain edp · guerlain l'instant de guerlain edt</t>
  </si>
  <si>
    <t xml:space="preserve">Guerlain L'Instant de Guerlain Eau de Parfum</t>
  </si>
  <si>
    <t xml:space="preserve">Guerlain L'Instant de Guerlain Eau de Parfum | Swansura UK</t>
  </si>
  <si>
    <t xml:space="preserve">Buy Guerlain L'Instant de Guerlain Eau de Parfum online in the UK at Swansura. A floral women's eau de parfum, 75ml. 100% authentic, free UK delivery over £50.</t>
  </si>
  <si>
    <t xml:space="preserve">FR-231</t>
  </si>
  <si>
    <t xml:space="preserve">Guerlain Musc Noble Eau de Parfum 125ml – Luxury Unisex Musky Woody Fragrance</t>
  </si>
  <si>
    <t xml:space="preserve">guerlain musc noble</t>
  </si>
  <si>
    <t xml:space="preserve">guerlain musc noble uk</t>
  </si>
  <si>
    <t xml:space="preserve">buy guerlain musc noble online</t>
  </si>
  <si>
    <t xml:space="preserve">guerlain musc noble price</t>
  </si>
  <si>
    <t xml:space="preserve">guerlain musc noble eau de parfum</t>
  </si>
  <si>
    <t xml:space="preserve">guerlain perfume · woody perfume uk</t>
  </si>
  <si>
    <t xml:space="preserve">guerlain musc noble eau de parfum · guerlain musc noble review · guerlain musc noble notes · guerlain musc noble edp · guerlain musc noble dupe · guerlain musc noble ingredients</t>
  </si>
  <si>
    <t xml:space="preserve">Guerlain Musc Noble Eau de Parfum</t>
  </si>
  <si>
    <t xml:space="preserve">Guerlain Musc Noble Eau de Parfum | Buy Online UK | Swansura</t>
  </si>
  <si>
    <t xml:space="preserve">Buy Guerlain Musc Noble Eau de Parfum online in the UK at Swansura. A woody unisex eau de parfum, 125ml. 100% authentic, fast UK delivery, free over £50.</t>
  </si>
  <si>
    <t xml:space="preserve">guerlain oud essentiel</t>
  </si>
  <si>
    <t xml:space="preserve">guerlain oud essentiel uk</t>
  </si>
  <si>
    <t xml:space="preserve">buy guerlain oud essentiel online</t>
  </si>
  <si>
    <t xml:space="preserve">guerlain oud essentiel price</t>
  </si>
  <si>
    <t xml:space="preserve">guerlain oud essentiel eau de parfum</t>
  </si>
  <si>
    <t xml:space="preserve">guerlain oud essentiel eau de parfum · guerlain oud essentiel review · guerlain oud essentiel perfume · guerlain oud essentiel notes · guerlain oud essentiel price · guerlain oud essentiel edp</t>
  </si>
  <si>
    <t xml:space="preserve">Guerlain Oud Essentiel Eau de Parfum</t>
  </si>
  <si>
    <t xml:space="preserve">Guerlain Oud Essentiel EDP 125ml | Buy Online UK | Swansura</t>
  </si>
  <si>
    <t xml:space="preserve">Buy Guerlain Oud Essentiel Eau de Parfum online in the UK at Swansura. A woody unisex eau de parfum, 125ml. 100% authentic, fast UK delivery, free over £50.</t>
  </si>
  <si>
    <t xml:space="preserve">guerlain samsara</t>
  </si>
  <si>
    <t xml:space="preserve">guerlain samsara uk</t>
  </si>
  <si>
    <t xml:space="preserve">buy guerlain samsara online</t>
  </si>
  <si>
    <t xml:space="preserve">guerlain samsara price</t>
  </si>
  <si>
    <t xml:space="preserve">guerlain samsara eau de parfum</t>
  </si>
  <si>
    <t xml:space="preserve">guerlain samsara perfume · guerlain samsara eau de parfum · guerlain samsara edp · guerlain samsara edt · guerlain samsara original · guerlain samsara notes</t>
  </si>
  <si>
    <t xml:space="preserve">Guerlain Samsara Eau de Parfum</t>
  </si>
  <si>
    <t xml:space="preserve">Guerlain Samsara Eau de Parfum | Buy Online UK | Swansura</t>
  </si>
  <si>
    <t xml:space="preserve">Buy Guerlain Samsara Eau de Parfum online in the UK at Swansura. A floral women's eau de parfum, 75ml. 100% authentic, fast UK delivery, free over £50.</t>
  </si>
  <si>
    <t xml:space="preserve">FR-234</t>
  </si>
  <si>
    <t xml:space="preserve">Guerlain Épices Exquises Eau de Parfum 125ml – Luxury Unisex Spicy Woody Fragrance</t>
  </si>
  <si>
    <t xml:space="preserve">guerlain epices exquises</t>
  </si>
  <si>
    <t xml:space="preserve">guerlain epices exquises uk</t>
  </si>
  <si>
    <t xml:space="preserve">buy guerlain epices exquises online</t>
  </si>
  <si>
    <t xml:space="preserve">guerlain epices exquises price</t>
  </si>
  <si>
    <t xml:space="preserve">guerlain epices exquises eau de parfum</t>
  </si>
  <si>
    <t xml:space="preserve">guerlain epices exquises eau de parfum · guerlain epices exquises review · guerlain epices exquises edp · guerlain epices exquises notes · guerlain epices exquises edp 125ml · guerlain epices exquises eau de parfum 125ml</t>
  </si>
  <si>
    <t xml:space="preserve">Guerlain Épices Exquises Eau de Parfum</t>
  </si>
  <si>
    <t xml:space="preserve">Guerlain Épices Exquises Eau de Parfum | Swansura UK</t>
  </si>
  <si>
    <t xml:space="preserve">Buy Guerlain Épices Exquises Eau de Parfum online in the UK at Swansura. A woody unisex eau de parfum, 125ml. 100% authentic, fast UK delivery, free over £50.</t>
  </si>
  <si>
    <t xml:space="preserve">FR-235</t>
  </si>
  <si>
    <t xml:space="preserve">Guerlain La Petite Robe Noire Ma Robe Cocktail Eau de Toilette 100ml – Women's Fruity Floral Fragrance</t>
  </si>
  <si>
    <t xml:space="preserve">guerlain la petite robe noire ma robe cocktail</t>
  </si>
  <si>
    <t xml:space="preserve">guerlain la petite robe noire ma robe cocktail uk</t>
  </si>
  <si>
    <t xml:space="preserve">buy guerlain la petite robe noire ma robe cocktail online</t>
  </si>
  <si>
    <t xml:space="preserve">guerlain la petite robe noire ma robe cocktail price</t>
  </si>
  <si>
    <t xml:space="preserve">guerlain la petite robe noire ma robe cocktail eau de toilette</t>
  </si>
  <si>
    <t xml:space="preserve">guerlain la petite robe noire ma robe cocktail edt · guerlain la petite robe noire ma robe cocktail отзывы · guerlain perfume la petite robe noire price · guerlain la petite robe noire review</t>
  </si>
  <si>
    <t xml:space="preserve">Guerlain La Petite Robe Noire Ma Robe Cocktail Eau de Toilette</t>
  </si>
  <si>
    <t xml:space="preserve">Guerlain La Petite Robe Noire Ma Robe Cocktail | Swansura UK</t>
  </si>
  <si>
    <t xml:space="preserve">Buy Guerlain La Petite Robe Noire Ma Robe Cocktail Eau de Toilette at Swansura UK. A floral women's eau de toilette. 100% authentic, free UK delivery over £50.</t>
  </si>
  <si>
    <t xml:space="preserve">FR-236</t>
  </si>
  <si>
    <t xml:space="preserve">Guerlain Mon Guerlain Miniature Perfume Gift Set 4x5ml – Women's Fragrance Collection</t>
  </si>
  <si>
    <t xml:space="preserve">guerlain mon guerlain miniature gift set</t>
  </si>
  <si>
    <t xml:space="preserve">guerlain mon guerlain miniature gift set uk</t>
  </si>
  <si>
    <t xml:space="preserve">buy guerlain mon guerlain miniature gift set online</t>
  </si>
  <si>
    <t xml:space="preserve">guerlain mon guerlain miniature gift set price</t>
  </si>
  <si>
    <t xml:space="preserve">guerlain perfume · guerlain perfume for women · woody perfume for women uk</t>
  </si>
  <si>
    <t xml:space="preserve">Guerlain Mon Guerlain Miniature Perfume Gift Set 4x5ml</t>
  </si>
  <si>
    <t xml:space="preserve">Guerlain Mon Guerlain Miniature Perfume Gift | Swansura UK</t>
  </si>
  <si>
    <t xml:space="preserve">Buy Guerlain Mon Guerlain Miniature Perfume Gift Set 4x5ml online in the UK at Swansura. A woody women's fragrance. 100% authentic, free UK delivery over £50.</t>
  </si>
  <si>
    <t xml:space="preserve">FR-237</t>
  </si>
  <si>
    <t xml:space="preserve">Hemel</t>
  </si>
  <si>
    <t xml:space="preserve">Hemel Amethyst Dream Eau de Parfum 100ml – Luxury Unisex Floral Fruity Fragrance</t>
  </si>
  <si>
    <t xml:space="preserve">hemel amethyst dream</t>
  </si>
  <si>
    <t xml:space="preserve">hemel amethyst dream uk</t>
  </si>
  <si>
    <t xml:space="preserve">buy hemel amethyst dream online</t>
  </si>
  <si>
    <t xml:space="preserve">hemel amethyst dream price</t>
  </si>
  <si>
    <t xml:space="preserve">hemel amethyst dream eau de parfum</t>
  </si>
  <si>
    <t xml:space="preserve">hemel perfume · floral perfume uk</t>
  </si>
  <si>
    <t xml:space="preserve">Hemel Amethyst Dream Eau de Parfum</t>
  </si>
  <si>
    <t xml:space="preserve">Hemel Amethyst Dream EDP 100ml | Buy Online UK | Swansura</t>
  </si>
  <si>
    <t xml:space="preserve">Buy Hemel Amethyst Dream Eau de Parfum online in the UK at Swansura. A floral unisex eau de parfum, 100ml. 100% authentic, fast UK delivery, free over £50.</t>
  </si>
  <si>
    <t xml:space="preserve">FR-238</t>
  </si>
  <si>
    <t xml:space="preserve">Hemel Amethyst Dream Unisex EDP 100ML</t>
  </si>
  <si>
    <t xml:space="preserve">hemel amethyst dream edp</t>
  </si>
  <si>
    <t xml:space="preserve">hemel perfume · amber perfume uk</t>
  </si>
  <si>
    <t xml:space="preserve">Hemel Amethyst Dream Unisex EDP</t>
  </si>
  <si>
    <t xml:space="preserve">Hemel Amethyst Dream Unisex EDP | Buy Online UK | Swansura</t>
  </si>
  <si>
    <t xml:space="preserve">Buy Hemel Amethyst Dream Unisex EDP online in the UK at Swansura. An amber unisex eau de parfum, 100ml. 100% authentic, fast UK delivery, free over £50.</t>
  </si>
  <si>
    <t xml:space="preserve">FR-239</t>
  </si>
  <si>
    <t xml:space="preserve">Hemel Dorado Eau de Parfum 100ml – Luxury Unisex Leather Amber Fragrance</t>
  </si>
  <si>
    <t xml:space="preserve">hemel dorado</t>
  </si>
  <si>
    <t xml:space="preserve">hemel dorado uk</t>
  </si>
  <si>
    <t xml:space="preserve">buy hemel dorado online</t>
  </si>
  <si>
    <t xml:space="preserve">hemel dorado price</t>
  </si>
  <si>
    <t xml:space="preserve">hemel dorado eau de parfum</t>
  </si>
  <si>
    <t xml:space="preserve">hemel dorado perfume</t>
  </si>
  <si>
    <t xml:space="preserve">Hemel Dorado Eau de Parfum</t>
  </si>
  <si>
    <t xml:space="preserve">Hemel Dorado Eau de Parfum | Buy Online UK | Swansura</t>
  </si>
  <si>
    <t xml:space="preserve">Buy Hemel Dorado Eau de Parfum online in the UK at Swansura. An amber unisex eau de parfum, 100ml. 100% authentic, fast UK delivery, free over £50.</t>
  </si>
  <si>
    <t xml:space="preserve">FR-240</t>
  </si>
  <si>
    <t xml:space="preserve">Hemel Favourite Black Eau de Parfum 100ml – Luxury Unisex Leather Amber Fragrance</t>
  </si>
  <si>
    <t xml:space="preserve">hemel favourite black</t>
  </si>
  <si>
    <t xml:space="preserve">hemel favourite black uk</t>
  </si>
  <si>
    <t xml:space="preserve">buy hemel favourite black online</t>
  </si>
  <si>
    <t xml:space="preserve">hemel favourite black price</t>
  </si>
  <si>
    <t xml:space="preserve">hemel favourite black eau de parfum</t>
  </si>
  <si>
    <t xml:space="preserve">Hemel Favourite Black Eau de Parfum</t>
  </si>
  <si>
    <t xml:space="preserve">Hemel Favourite Black EDP 100ml | Buy Online UK | Swansura</t>
  </si>
  <si>
    <t xml:space="preserve">Buy Hemel Favourite Black Eau de Parfum online in the UK at Swansura. An amber unisex eau de parfum, 100ml. 100% authentic, fast UK delivery, free over £50.</t>
  </si>
  <si>
    <t xml:space="preserve">FR-241</t>
  </si>
  <si>
    <t xml:space="preserve">Hemel Favourite Black Unisex Eau De Parfum 100ML</t>
  </si>
  <si>
    <t xml:space="preserve">Hemel Favourite Black Unisex Eau De Parfum</t>
  </si>
  <si>
    <t xml:space="preserve">Hemel Favourite Black Unisex Eau De Parfum | Swansura UK</t>
  </si>
  <si>
    <t xml:space="preserve">Buy Hemel Favourite Black Unisex Eau De Parfum online in the UK at Swansura. An amber unisex eau de parfum, 100ml. 100% authentic, free UK delivery over £50.</t>
  </si>
  <si>
    <t xml:space="preserve">FR-242</t>
  </si>
  <si>
    <t xml:space="preserve">Hemel Fragrance Affair Eau de Parfum 100ml – Luxury Unisex Floral Spicy Fragrance</t>
  </si>
  <si>
    <t xml:space="preserve">hemel affair</t>
  </si>
  <si>
    <t xml:space="preserve">hemel affair uk</t>
  </si>
  <si>
    <t xml:space="preserve">buy hemel affair online</t>
  </si>
  <si>
    <t xml:space="preserve">hemel affair price</t>
  </si>
  <si>
    <t xml:space="preserve">hemel affair eau de parfum</t>
  </si>
  <si>
    <t xml:space="preserve">Hemel Fragrance Affair Eau de Parfum</t>
  </si>
  <si>
    <t xml:space="preserve">Hemel Fragrance Affair EDP 100ml | Buy Online UK | Swansura</t>
  </si>
  <si>
    <t xml:space="preserve">Buy Hemel Fragrance Affair Eau de Parfum online in the UK at Swansura. A floral unisex eau de parfum, 100ml. 100% authentic, fast UK delivery, free over £50.</t>
  </si>
  <si>
    <t xml:space="preserve">FR-243</t>
  </si>
  <si>
    <t xml:space="preserve">Hemel Fragrance Affair Unisex Eau De Parfum 100ML</t>
  </si>
  <si>
    <t xml:space="preserve">Hemel Fragrance Affair Unisex Eau De Parfum</t>
  </si>
  <si>
    <t xml:space="preserve">Hemel Fragrance Affair Unisex Eau De Parfum | Swansura UK</t>
  </si>
  <si>
    <t xml:space="preserve">Buy Hemel Fragrance Affair Unisex Eau De Parfum online in the UK at Swansura. An amber unisex eau de parfum, 100ml. 100% authentic, free UK delivery over £50.</t>
  </si>
  <si>
    <t xml:space="preserve">FR-244</t>
  </si>
  <si>
    <t xml:space="preserve">Hemel Gris Eau de Parfum 100ml – Luxury Unisex Citrus Woody Fragrance</t>
  </si>
  <si>
    <t xml:space="preserve">hemel gris</t>
  </si>
  <si>
    <t xml:space="preserve">hemel gris uk</t>
  </si>
  <si>
    <t xml:space="preserve">buy hemel gris online</t>
  </si>
  <si>
    <t xml:space="preserve">hemel gris price</t>
  </si>
  <si>
    <t xml:space="preserve">hemel gris eau de parfum</t>
  </si>
  <si>
    <t xml:space="preserve">hemel perfume · woody perfume uk</t>
  </si>
  <si>
    <t xml:space="preserve">hemel gris perfume · hemel gris edp · hemel gris eau de parfum</t>
  </si>
  <si>
    <t xml:space="preserve">Hemel Gris Eau de Parfum</t>
  </si>
  <si>
    <t xml:space="preserve">Hemel Gris Eau de Parfum | Buy Online UK | Swansura</t>
  </si>
  <si>
    <t xml:space="preserve">Buy Hemel Gris Eau de Parfum online in the UK at Swansura. A woody unisex eau de parfum, 100ml. 100% authentic, fast UK delivery, free over £50.</t>
  </si>
  <si>
    <t xml:space="preserve">FR-245</t>
  </si>
  <si>
    <t xml:space="preserve">Hemel Paris Dorado EDP Unisex 100ML</t>
  </si>
  <si>
    <t xml:space="preserve">hemel paris dorado</t>
  </si>
  <si>
    <t xml:space="preserve">hemel paris dorado uk</t>
  </si>
  <si>
    <t xml:space="preserve">buy hemel paris dorado online</t>
  </si>
  <si>
    <t xml:space="preserve">hemel paris dorado price</t>
  </si>
  <si>
    <t xml:space="preserve">hemel paris dorado edp</t>
  </si>
  <si>
    <t xml:space="preserve">Hemel Paris Dorado EDP Unisex</t>
  </si>
  <si>
    <t xml:space="preserve">Hemel Paris Dorado EDP Unisex | Buy Online UK | Swansura</t>
  </si>
  <si>
    <t xml:space="preserve">Buy Hemel Paris Dorado EDP Unisex online in the UK at Swansura. An amber unisex eau de parfum, 100ml. 100% authentic, fast UK delivery, free over £50.</t>
  </si>
  <si>
    <t xml:space="preserve">FR-246</t>
  </si>
  <si>
    <t xml:space="preserve">Hemel Paris Gris Eau De Parfum for all 100ML</t>
  </si>
  <si>
    <t xml:space="preserve">hemel paris gris for all</t>
  </si>
  <si>
    <t xml:space="preserve">hemel paris gris for all uk</t>
  </si>
  <si>
    <t xml:space="preserve">buy hemel paris gris for all online</t>
  </si>
  <si>
    <t xml:space="preserve">hemel paris gris for all price</t>
  </si>
  <si>
    <t xml:space="preserve">hemel paris gris for all eau de parfum</t>
  </si>
  <si>
    <t xml:space="preserve">Hemel Paris Gris Eau De Parfum for All</t>
  </si>
  <si>
    <t xml:space="preserve">Hemel Paris Gris Eau De Parfum for All | Swansura UK</t>
  </si>
  <si>
    <t xml:space="preserve">Buy Hemel Paris Gris Eau De Parfum for All online in the UK at Swansura. An amber unisex eau de parfum, 100ml. 100% authentic, fast UK delivery, free over £50.</t>
  </si>
  <si>
    <t xml:space="preserve">FR-247</t>
  </si>
  <si>
    <t xml:space="preserve">Hemel Patchouli For All Eau De Parfum 100ML</t>
  </si>
  <si>
    <t xml:space="preserve">hemel patchouli for all</t>
  </si>
  <si>
    <t xml:space="preserve">hemel patchouli for all uk</t>
  </si>
  <si>
    <t xml:space="preserve">buy hemel patchouli for all online</t>
  </si>
  <si>
    <t xml:space="preserve">hemel patchouli for all price</t>
  </si>
  <si>
    <t xml:space="preserve">hemel patchouli for all eau de parfum</t>
  </si>
  <si>
    <t xml:space="preserve">hemel patchouli for all eau de parfum · hemel patchouli for all price · hemel patchouli for all review</t>
  </si>
  <si>
    <t xml:space="preserve">Hemel Patchouli For All Eau De Parfum</t>
  </si>
  <si>
    <t xml:space="preserve">Hemel Patchouli For All EDP 100ml | Buy Online UK | Swansura</t>
  </si>
  <si>
    <t xml:space="preserve">Buy Hemel Patchouli For All Eau De Parfum online in the UK at Swansura. A woody unisex eau de parfum, 100ml. 100% authentic, fast UK delivery, free over £50.</t>
  </si>
  <si>
    <t xml:space="preserve">FR-248</t>
  </si>
  <si>
    <t xml:space="preserve">Hemel Patchouli For All Eau de Parfum 100ml – Luxury Unisex Woody Patchouli Fragrance</t>
  </si>
  <si>
    <t xml:space="preserve">Hemel Patchouli For All Eau de Parfum</t>
  </si>
  <si>
    <t xml:space="preserve">Buy Hemel Patchouli For All Eau de Parfum online in the UK at Swansura. A woody unisex eau de parfum, 100ml. 100% authentic, fast UK delivery, free over £50.</t>
  </si>
  <si>
    <t xml:space="preserve">FR-249</t>
  </si>
  <si>
    <t xml:space="preserve">Hemel Plateado Eau de Parfum 100ml – Luxury Unisex Spicy Woody Fragrance</t>
  </si>
  <si>
    <t xml:space="preserve">hemel plateado</t>
  </si>
  <si>
    <t xml:space="preserve">hemel plateado uk</t>
  </si>
  <si>
    <t xml:space="preserve">buy hemel plateado online</t>
  </si>
  <si>
    <t xml:space="preserve">hemel plateado price</t>
  </si>
  <si>
    <t xml:space="preserve">hemel plateado eau de parfum</t>
  </si>
  <si>
    <t xml:space="preserve">Hemel Plateado Eau de Parfum</t>
  </si>
  <si>
    <t xml:space="preserve">Hemel Plateado Eau de Parfum | Buy Online UK | Swansura</t>
  </si>
  <si>
    <t xml:space="preserve">Buy Hemel Plateado Eau de Parfum online in the UK at Swansura. A woody unisex eau de parfum, 100ml. 100% authentic, fast UK delivery, free over £50.</t>
  </si>
  <si>
    <t xml:space="preserve">FR-250</t>
  </si>
  <si>
    <t xml:space="preserve">Hemel Plateado Eau De Parfum Unisex 100ML</t>
  </si>
  <si>
    <t xml:space="preserve">Hemel Plateado Eau De Parfum Unisex</t>
  </si>
  <si>
    <t xml:space="preserve">Hemel Plateado Unisex EDP 100ml | Buy Online UK | Swansura</t>
  </si>
  <si>
    <t xml:space="preserve">Buy Hemel Plateado Eau De Parfum Unisex online in the UK at Swansura. An amber unisex eau de parfum, 100ml. 100% authentic, fast UK delivery, free over £50.</t>
  </si>
  <si>
    <t xml:space="preserve">FR-251</t>
  </si>
  <si>
    <t xml:space="preserve">Hemel Rosado Eau de Parfum 100ml – Luxury Unisex Floral Amber Long lasting Fragrance</t>
  </si>
  <si>
    <t xml:space="preserve">hemel rosado</t>
  </si>
  <si>
    <t xml:space="preserve">hemel rosado uk</t>
  </si>
  <si>
    <t xml:space="preserve">buy hemel rosado online</t>
  </si>
  <si>
    <t xml:space="preserve">hemel rosado price</t>
  </si>
  <si>
    <t xml:space="preserve">hemel rosado eau de parfum</t>
  </si>
  <si>
    <t xml:space="preserve">hemel rosado perfume</t>
  </si>
  <si>
    <t xml:space="preserve">Hemel Rosado Eau de Parfum</t>
  </si>
  <si>
    <t xml:space="preserve">Hemel Rosado Eau de Parfum | Buy Online UK | Swansura</t>
  </si>
  <si>
    <t xml:space="preserve">Buy Hemel Rosado Eau de Parfum online in the UK at Swansura. A floral unisex eau de parfum, 100ml. 100% authentic, fast UK delivery, free over £50.</t>
  </si>
  <si>
    <t xml:space="preserve">FR-252</t>
  </si>
  <si>
    <t xml:space="preserve">Hemel Rosado Eau De Parfum Unisex 100ML</t>
  </si>
  <si>
    <t xml:space="preserve">Hemel Rosado Eau De Parfum Unisex</t>
  </si>
  <si>
    <t xml:space="preserve">Hemel Rosado Eau De Parfum Unisex | Buy Online UK | Swansura</t>
  </si>
  <si>
    <t xml:space="preserve">Buy Hemel Rosado Eau De Parfum Unisex online in the UK at Swansura. An amber unisex eau de parfum, 100ml. 100% authentic, fast UK delivery, free over £50.</t>
  </si>
  <si>
    <t xml:space="preserve">FR-253</t>
  </si>
  <si>
    <t xml:space="preserve">Hemel Valley of Diamond Eau de Parfum 100ml – Luxury Unisex Floral Woody Fragrance</t>
  </si>
  <si>
    <t xml:space="preserve">hemel valley of diamond</t>
  </si>
  <si>
    <t xml:space="preserve">hemel valley of diamond uk</t>
  </si>
  <si>
    <t xml:space="preserve">buy hemel valley of diamond online</t>
  </si>
  <si>
    <t xml:space="preserve">hemel valley of diamond price</t>
  </si>
  <si>
    <t xml:space="preserve">hemel valley of diamond eau de parfum</t>
  </si>
  <si>
    <t xml:space="preserve">hemel valley of diamond edp</t>
  </si>
  <si>
    <t xml:space="preserve">Hemel Valley of Diamond Eau de Parfum</t>
  </si>
  <si>
    <t xml:space="preserve">Hemel Valley of Diamond EDP 100ml | Buy Online UK | Swansura</t>
  </si>
  <si>
    <t xml:space="preserve">Buy Hemel Valley of Diamond Eau de Parfum online in the UK at Swansura. A floral unisex eau de parfum, 100ml. 100% authentic, fast UK delivery, free over £50.</t>
  </si>
  <si>
    <t xml:space="preserve">FR-254</t>
  </si>
  <si>
    <t xml:space="preserve">Hemel Valley Of Diamond Unisex Eau De Parfum 100ML</t>
  </si>
  <si>
    <t xml:space="preserve">Hemel Valley Of Diamond Unisex Eau De Parfum</t>
  </si>
  <si>
    <t xml:space="preserve">Hemel Valley Of Diamond Unisex Eau De Parfum | Swansura UK</t>
  </si>
  <si>
    <t xml:space="preserve">Buy Hemel Valley Of Diamond Unisex Eau De Parfum online in the UK at Swansura. An amber unisex eau de parfum, 100ml. 100% authentic, free UK delivery over £50.</t>
  </si>
  <si>
    <t xml:space="preserve">FR-255</t>
  </si>
  <si>
    <t xml:space="preserve">Hermes</t>
  </si>
  <si>
    <t xml:space="preserve">Hermès Un Jardin à Cythère Unisex EDT 15ml Miniature</t>
  </si>
  <si>
    <t xml:space="preserve">15ml</t>
  </si>
  <si>
    <t xml:space="preserve">hermes hermes un jardin a cythere miniature</t>
  </si>
  <si>
    <t xml:space="preserve">hermes hermes un jardin a cythere miniature uk</t>
  </si>
  <si>
    <t xml:space="preserve">buy hermes hermes un jardin a cythere miniature online</t>
  </si>
  <si>
    <t xml:space="preserve">hermes hermes un jardin a cythere miniature price</t>
  </si>
  <si>
    <t xml:space="preserve">hermes hermes un jardin a cythere miniature edt</t>
  </si>
  <si>
    <t xml:space="preserve">hermes perfume · amber perfume uk</t>
  </si>
  <si>
    <t xml:space="preserve">Hermès Un Jardin À Cythère Unisex EDT Miniature</t>
  </si>
  <si>
    <t xml:space="preserve">Hermès Un Jardin À Cythère Unisex Miniature | Swansura UK</t>
  </si>
  <si>
    <t xml:space="preserve">Buy Hermès Un Jardin À Cythère Unisex EDT Miniature online in the UK at Swansura. An amber unisex eau de toilette. 100% authentic, free UK delivery over £50.</t>
  </si>
  <si>
    <t xml:space="preserve">FR-256</t>
  </si>
  <si>
    <t xml:space="preserve">Hollister</t>
  </si>
  <si>
    <t xml:space="preserve">Hollister Festival Vibes for Him Eau de Toilette 100ml – Men's Aromatic Fougere Fragrance</t>
  </si>
  <si>
    <t xml:space="preserve">hollister festival vibes</t>
  </si>
  <si>
    <t xml:space="preserve">hollister festival vibes uk</t>
  </si>
  <si>
    <t xml:space="preserve">buy hollister festival vibes online</t>
  </si>
  <si>
    <t xml:space="preserve">hollister festival vibes price</t>
  </si>
  <si>
    <t xml:space="preserve">hollister festival vibes eau de toilette</t>
  </si>
  <si>
    <t xml:space="preserve">hollister perfume · hollister perfume for men · aromatic perfume for men uk</t>
  </si>
  <si>
    <t xml:space="preserve">hollister festival vibes perfume · hollister festival vibes notes · hollister festival vibes price · hollister festival vibes review</t>
  </si>
  <si>
    <t xml:space="preserve">Hollister Festival Vibes for Him Eau de Toilette</t>
  </si>
  <si>
    <t xml:space="preserve">Hollister Festival Vibes for Him EDT 100ml | Swansura UK</t>
  </si>
  <si>
    <t xml:space="preserve">Buy Hollister Festival Vibes for Him Eau de Toilette online in the UK at Swansura. An aromatic men's eau de toilette. 100% authentic, free UK delivery over £50.</t>
  </si>
  <si>
    <t xml:space="preserve">HugoBoss</t>
  </si>
  <si>
    <t xml:space="preserve">Spelling: Hugo Boss</t>
  </si>
  <si>
    <t xml:space="preserve">hugo boss bottled</t>
  </si>
  <si>
    <t xml:space="preserve">hugo boss bottled uk</t>
  </si>
  <si>
    <t xml:space="preserve">buy hugo boss bottled online</t>
  </si>
  <si>
    <t xml:space="preserve">hugo boss bottled price</t>
  </si>
  <si>
    <t xml:space="preserve">hugo boss bottled eau de parfum</t>
  </si>
  <si>
    <t xml:space="preserve">hugo boss perfume · hugo boss perfume for men · woody perfume for men uk</t>
  </si>
  <si>
    <t xml:space="preserve">Hugo Boss Bottled Eau de Parfum for Men</t>
  </si>
  <si>
    <t xml:space="preserve">Hugo Boss Bottled Eau de Parfum for Men | Swansura UK</t>
  </si>
  <si>
    <t xml:space="preserve">Buy Hugo Boss Bottled Eau de Parfum for Men online in the UK at Swansura. A woody men's eau de parfum, 200ml. 100% authentic, fast UK delivery, free over £50.</t>
  </si>
  <si>
    <t xml:space="preserve">FR-258</t>
  </si>
  <si>
    <t xml:space="preserve">Hugo Boss The Collection Confident Oud Eau de Parfum Intense 100ml for Men</t>
  </si>
  <si>
    <t xml:space="preserve">hugo boss the collection confident oud intense</t>
  </si>
  <si>
    <t xml:space="preserve">hugo boss the collection confident oud intense uk</t>
  </si>
  <si>
    <t xml:space="preserve">buy hugo boss the collection confident oud intense online</t>
  </si>
  <si>
    <t xml:space="preserve">hugo boss the collection confident oud intense price</t>
  </si>
  <si>
    <t xml:space="preserve">hugo boss the collection confident oud intense eau de parfum</t>
  </si>
  <si>
    <t xml:space="preserve">hugo boss perfume · hugo boss perfume for men · oud perfume for men uk</t>
  </si>
  <si>
    <t xml:space="preserve">Hugo Boss The Collection Confident Oud Eau de Parfum Intense for Men</t>
  </si>
  <si>
    <t xml:space="preserve">Hugo Boss The Collection Confident Oud | Swansura UK</t>
  </si>
  <si>
    <t xml:space="preserve">Buy Hugo Boss The Collection Confident Oud Eau de Parfum Intense for Men at Swansura UK. An oud men's eau de parfum. 100% authentic, free UK delivery over £50.</t>
  </si>
  <si>
    <t xml:space="preserve">FR-259</t>
  </si>
  <si>
    <t xml:space="preserve">Hugo Boss BOSS The Scent Eau de Toilette 100ml Tester – Men's Warm Spicy Fragrance</t>
  </si>
  <si>
    <t xml:space="preserve">hugo boss boss the scent tester</t>
  </si>
  <si>
    <t xml:space="preserve">hugo boss boss the scent tester uk</t>
  </si>
  <si>
    <t xml:space="preserve">buy hugo boss boss the scent tester online</t>
  </si>
  <si>
    <t xml:space="preserve">hugo boss boss the scent tester price</t>
  </si>
  <si>
    <t xml:space="preserve">hugo boss boss the scent tester eau de toilette</t>
  </si>
  <si>
    <t xml:space="preserve">hugo boss perfume · hugo boss perfume for men · spicy perfume for men uk</t>
  </si>
  <si>
    <t xml:space="preserve">Hugo Boss BOSS The Scent Eau de Toilette Tester</t>
  </si>
  <si>
    <t xml:space="preserve">Hugo Boss BOSS The Scent Tester EDT 100ml | Swansura UK</t>
  </si>
  <si>
    <t xml:space="preserve">Buy Hugo Boss BOSS The Scent Eau de Toilette Tester online in the UK at Swansura. A spicy men's eau de toilette. 100% authentic, free UK delivery over £50.</t>
  </si>
  <si>
    <t xml:space="preserve">hugo boss hugo man</t>
  </si>
  <si>
    <t xml:space="preserve">hugo boss hugo man uk</t>
  </si>
  <si>
    <t xml:space="preserve">buy hugo boss hugo man online</t>
  </si>
  <si>
    <t xml:space="preserve">hugo boss hugo man price</t>
  </si>
  <si>
    <t xml:space="preserve">hugo boss hugo man eau de toilette</t>
  </si>
  <si>
    <t xml:space="preserve">Hugo Boss HUGO Man Eau de Toilette for Men</t>
  </si>
  <si>
    <t xml:space="preserve">Hugo Boss HUGO Man Eau de Toilette for Men | Swansura UK</t>
  </si>
  <si>
    <t xml:space="preserve">Buy Hugo Boss HUGO Man Eau de Toilette for Men online in the UK at Swansura. A woody men's eau de toilette, 125ml. 100% authentic, free UK delivery over £50.</t>
  </si>
  <si>
    <t xml:space="preserve">80ml + 75ml</t>
  </si>
  <si>
    <t xml:space="preserve">hugo boss alive</t>
  </si>
  <si>
    <t xml:space="preserve">hugo boss alive uk</t>
  </si>
  <si>
    <t xml:space="preserve">buy hugo boss alive online</t>
  </si>
  <si>
    <t xml:space="preserve">hugo boss alive price</t>
  </si>
  <si>
    <t xml:space="preserve">hugo boss alive eau de parfum</t>
  </si>
  <si>
    <t xml:space="preserve">hugo boss perfume · hugo boss perfume for women · woody perfume for women uk</t>
  </si>
  <si>
    <t xml:space="preserve">Hugo Boss Alive Eau de Parfum</t>
  </si>
  <si>
    <t xml:space="preserve">Hugo Boss Alive Eau de Parfum | Buy Online UK | Swansura</t>
  </si>
  <si>
    <t xml:space="preserve">Buy Hugo Boss Alive Eau de Parfum online in the UK at Swansura. A woody women's eau de parfum, 80ml+75ml. 100% authentic, fast UK delivery, free over £50.</t>
  </si>
  <si>
    <t xml:space="preserve">FR-262</t>
  </si>
  <si>
    <t xml:space="preserve">Jean Paul</t>
  </si>
  <si>
    <t xml:space="preserve">Chypre · Women's Fragrance</t>
  </si>
  <si>
    <t xml:space="preserve">Jean Paul Gaultier Scandal Gold Eau de Parfum 80ml – Luxury Women's Chypre Fragrance</t>
  </si>
  <si>
    <t xml:space="preserve">jean paul gaultier scandal gold</t>
  </si>
  <si>
    <t xml:space="preserve">jean paul gaultier scandal gold uk</t>
  </si>
  <si>
    <t xml:space="preserve">buy jean paul gaultier scandal gold online</t>
  </si>
  <si>
    <t xml:space="preserve">jean paul gaultier scandal gold price</t>
  </si>
  <si>
    <t xml:space="preserve">jean paul gaultier scandal gold eau de parfum</t>
  </si>
  <si>
    <t xml:space="preserve">jean paul perfume · jean paul perfume for women · chypre perfume for women uk</t>
  </si>
  <si>
    <t xml:space="preserve">jean paul gaultier scandal gold eau de parfum · jean paul gaultier scandal gold edp · jean paul gaultier scandal gold perfume · jean paul gaultier scandal gold men · jean paul gaultier scandal gold eau de parfum 80ml · jean paul gaultier scandal gold edp 80ml</t>
  </si>
  <si>
    <t xml:space="preserve">Jean Paul Gaultier Scandal Gold Eau de Parfum</t>
  </si>
  <si>
    <t xml:space="preserve">Jean Paul Gaultier Scandal Gold Eau de Parfum | Swansura UK</t>
  </si>
  <si>
    <t xml:space="preserve">Buy Jean Paul Gaultier Scandal Gold Eau de Parfum online in the UK at Swansura. A chypre women's eau de parfum, 80ml. 100% authentic, free UK delivery over £50.</t>
  </si>
  <si>
    <t xml:space="preserve">FR-263</t>
  </si>
  <si>
    <t xml:space="preserve">Perfumed Shower Gel</t>
  </si>
  <si>
    <t xml:space="preserve">Jean Paul Gaultier Classique Perfumed Shower Gel 200ml – Women's Body Wash</t>
  </si>
  <si>
    <t xml:space="preserve">jean paul gaultier classique perfumed shower gel</t>
  </si>
  <si>
    <t xml:space="preserve">jean paul gaultier classique perfumed shower gel uk</t>
  </si>
  <si>
    <t xml:space="preserve">buy jean paul gaultier classique perfumed shower gel online</t>
  </si>
  <si>
    <t xml:space="preserve">jean paul gaultier classique perfumed shower gel price</t>
  </si>
  <si>
    <t xml:space="preserve">jean paul perfume · jean paul perfume for women · woody perfume for women uk</t>
  </si>
  <si>
    <t xml:space="preserve">jean.paul.gaultier perfume and shower gel · jean paul gaultier classique ingredients</t>
  </si>
  <si>
    <t xml:space="preserve">Jean Paul Gaultier Classique Perfumed Shower Gel</t>
  </si>
  <si>
    <t xml:space="preserve">Jean Paul Gaultier Classique Perfumed Shower | Swansura UK</t>
  </si>
  <si>
    <t xml:space="preserve">Buy Jean Paul Gaultier Classique Perfumed Shower Gel online in the UK at Swansura. A woody women's fragrance, 200ml. 100% authentic, free UK delivery over £50.</t>
  </si>
  <si>
    <t xml:space="preserve">FR-264</t>
  </si>
  <si>
    <t xml:space="preserve">Jimmy Choo</t>
  </si>
  <si>
    <t xml:space="preserve">Jimmy Choo I Want Choo Forever Eau de Parfum 4.5ml Miniature – Women's Floral Gourmand Fragrance</t>
  </si>
  <si>
    <t xml:space="preserve">4.5ml</t>
  </si>
  <si>
    <t xml:space="preserve">jimmy choo i want choo forever miniature</t>
  </si>
  <si>
    <t xml:space="preserve">jimmy choo i want choo forever miniature uk</t>
  </si>
  <si>
    <t xml:space="preserve">buy jimmy choo i want choo forever miniature online</t>
  </si>
  <si>
    <t xml:space="preserve">jimmy choo i want choo forever miniature price</t>
  </si>
  <si>
    <t xml:space="preserve">jimmy choo i want choo forever miniature eau de parfum</t>
  </si>
  <si>
    <t xml:space="preserve">jimmy choo perfume · jimmy choo perfume for women · floral perfume for women uk</t>
  </si>
  <si>
    <t xml:space="preserve">Jimmy Choo I Want Choo Forever Eau de Parfum Miniature</t>
  </si>
  <si>
    <t xml:space="preserve">Jimmy Choo I Want Choo Forever Miniature 4.5ml | Swansura UK</t>
  </si>
  <si>
    <t xml:space="preserve">Buy Jimmy Choo I Want Choo Forever Eau de Parfum Miniature online in the UK at Swansura. Floral eau de parfum. 100% authentic, fast UK delivery, free over £50.</t>
  </si>
  <si>
    <t xml:space="preserve">FR-265</t>
  </si>
  <si>
    <t xml:space="preserve">Jimmy Choo Women's Miniature Fragrance Gift Set 5x4.5ml – 5 Piece Perfume Collection</t>
  </si>
  <si>
    <t xml:space="preserve">jimmy choo miniature gift set 5x4.</t>
  </si>
  <si>
    <t xml:space="preserve">jimmy choo miniature gift set 5x4. uk</t>
  </si>
  <si>
    <t xml:space="preserve">buy jimmy choo miniature gift set 5x4. online</t>
  </si>
  <si>
    <t xml:space="preserve">jimmy choo miniature gift set 5x4. price</t>
  </si>
  <si>
    <t xml:space="preserve">jimmy choo perfume · jimmy choo perfume for women · woody perfume for women uk</t>
  </si>
  <si>
    <t xml:space="preserve">Jimmy Choo Women's Miniature Fragrance Gift Set 5x4.</t>
  </si>
  <si>
    <t xml:space="preserve">Jimmy Choo Women's Miniature Fragrance Gift | Swansura UK</t>
  </si>
  <si>
    <t xml:space="preserve">Buy Jimmy Choo Women's Miniature Fragrance Gift Set 5x4. online in the UK at Swansura. A woody women's fragrance. 100% authentic, free UK delivery over £50.</t>
  </si>
  <si>
    <t xml:space="preserve">FR-266</t>
  </si>
  <si>
    <t xml:space="preserve">Jo Milano</t>
  </si>
  <si>
    <t xml:space="preserve">Perfume Spray</t>
  </si>
  <si>
    <t xml:space="preserve">Jo Milano Game Of Spades Queen for Unisex Perfume Spray 100 ml</t>
  </si>
  <si>
    <t xml:space="preserve">jo milano game of spades queen for</t>
  </si>
  <si>
    <t xml:space="preserve">jo milano game of spades queen for uk</t>
  </si>
  <si>
    <t xml:space="preserve">buy jo milano game of spades queen for online</t>
  </si>
  <si>
    <t xml:space="preserve">jo milano game of spades queen for price</t>
  </si>
  <si>
    <t xml:space="preserve">jo milano perfume · amber perfume uk</t>
  </si>
  <si>
    <t xml:space="preserve">Jo Milano Game Of Spades Queen for Unisex Perfume Spray</t>
  </si>
  <si>
    <t xml:space="preserve">Jo Milano Game Of Spades Queen for Unisex | Swansura UK</t>
  </si>
  <si>
    <t xml:space="preserve">Buy Jo Milano Game Of Spades Queen for Unisex Perfume Spray online in the UK at Swansura. An amber unisex fragrance. 100% authentic, free UK delivery over £50.</t>
  </si>
  <si>
    <t xml:space="preserve">FR-267</t>
  </si>
  <si>
    <t xml:space="preserve">Jo Milano Game Of Spades Wildcard for Unisex Parfum Spray, 3.4 Ounce</t>
  </si>
  <si>
    <t xml:space="preserve">jo milano game of spades wildcard for parfum , 3.4 ounce</t>
  </si>
  <si>
    <t xml:space="preserve">jo milano game of spades wildcard for parfum , 3.4 ounce uk</t>
  </si>
  <si>
    <t xml:space="preserve">buy jo milano game of spades wildcard for parfum , 3.4 ounce online</t>
  </si>
  <si>
    <t xml:space="preserve">jo milano game of spades wildcard for parfum , 3.4 ounce price</t>
  </si>
  <si>
    <t xml:space="preserve">jo milano game of spades wildcard for parfum , 3.4 ounce parfum</t>
  </si>
  <si>
    <t xml:space="preserve">Jo Milano Game Of Spades Wildcard for Unisex | Swansura UK</t>
  </si>
  <si>
    <t xml:space="preserve">Buy Jo Milano Game Of Spades Wildcard for Unisex Parfum Spray, 3.4 Ounce online in the UK at Swansura. Amber parfum. 100% authentic, free UK delivery over £50.</t>
  </si>
  <si>
    <t xml:space="preserve">FR-268</t>
  </si>
  <si>
    <t xml:space="preserve">john varvatos</t>
  </si>
  <si>
    <t xml:space="preserve">John Varvatos Artisan Eau de Toilette 75ml – Men's Citrus Woody Long lasting Fragrance</t>
  </si>
  <si>
    <t xml:space="preserve">john varvatos artisan</t>
  </si>
  <si>
    <t xml:space="preserve">john varvatos artisan uk</t>
  </si>
  <si>
    <t xml:space="preserve">buy john varvatos artisan online</t>
  </si>
  <si>
    <t xml:space="preserve">john varvatos artisan price</t>
  </si>
  <si>
    <t xml:space="preserve">john varvatos artisan eau de toilette</t>
  </si>
  <si>
    <t xml:space="preserve">john varvatos perfume · john varvatos perfume for men · woody perfume for men uk</t>
  </si>
  <si>
    <t xml:space="preserve">John Varvatos Artisan Eau de Toilette</t>
  </si>
  <si>
    <t xml:space="preserve">John Varvatos Artisan EDT 75ml | Buy Online UK | Swansura</t>
  </si>
  <si>
    <t xml:space="preserve">Buy John Varvatos Artisan Eau de Toilette online in the UK at Swansura. A woody men's eau de toilette, 75ml. 100% authentic, fast UK delivery, free over £50.</t>
  </si>
  <si>
    <t xml:space="preserve">joop! homme</t>
  </si>
  <si>
    <t xml:space="preserve">joop! homme uk</t>
  </si>
  <si>
    <t xml:space="preserve">buy joop! homme online</t>
  </si>
  <si>
    <t xml:space="preserve">joop! homme eau de toilette</t>
  </si>
  <si>
    <t xml:space="preserve">joop homme perfume · joop homme perfume for men · spicy perfume for men uk</t>
  </si>
  <si>
    <t xml:space="preserve">joop homme · joop homme 200ml · joop homme perfume · joop homme eau de parfum · joop homme edp · joop homme notes</t>
  </si>
  <si>
    <t xml:space="preserve">Joop! Homme Eau de Toilette</t>
  </si>
  <si>
    <t xml:space="preserve">Joop! Homme Eau de Toilette | Buy Online UK | Swansura</t>
  </si>
  <si>
    <t xml:space="preserve">Buy Joop! Homme Eau de Toilette online in the UK at Swansura. A spicy men's eau de toilette, 200ml. 100% authentic, fast UK delivery, free over £50.</t>
  </si>
  <si>
    <t xml:space="preserve">FR-270</t>
  </si>
  <si>
    <t xml:space="preserve">Joop! Homme Le Parfum 75ml – Men's Warm Spicy Amber Long lasting Fragrance</t>
  </si>
  <si>
    <t xml:space="preserve">joop! homme le</t>
  </si>
  <si>
    <t xml:space="preserve">joop! homme le uk</t>
  </si>
  <si>
    <t xml:space="preserve">buy joop! homme le online</t>
  </si>
  <si>
    <t xml:space="preserve">joop! homme le price</t>
  </si>
  <si>
    <t xml:space="preserve">joop! homme le parfum</t>
  </si>
  <si>
    <t xml:space="preserve">joop homme perfume · joop homme perfume for men · amber perfume for men uk</t>
  </si>
  <si>
    <t xml:space="preserve">joop homme le parfum · joop homme le parfum 125ml · joop homme le parfum price · joop homme le parfum review · joop homme le parfum notes · joop homme le parfum for men</t>
  </si>
  <si>
    <t xml:space="preserve">Joop! Homme Le Parfum</t>
  </si>
  <si>
    <t xml:space="preserve">Joop! Homme Le Parfum 75ml | Buy Online UK | Swansura</t>
  </si>
  <si>
    <t xml:space="preserve">Buy Joop! Homme Le Parfum online in the UK at Swansura. An amber men's parfum, 75ml. 100% authentic, fast UK delivery, free over £50.</t>
  </si>
  <si>
    <t xml:space="preserve">FR-271</t>
  </si>
  <si>
    <t xml:space="preserve">Juicy Couture</t>
  </si>
  <si>
    <t xml:space="preserve">Juicy Couture Viva La Juicy Rosé Eau de Parfum 50ml – Women's Floral Fruity Fragrance</t>
  </si>
  <si>
    <t xml:space="preserve">juicy couture viva la juicy rose</t>
  </si>
  <si>
    <t xml:space="preserve">juicy couture viva la juicy rose uk</t>
  </si>
  <si>
    <t xml:space="preserve">buy juicy couture viva la juicy rose online</t>
  </si>
  <si>
    <t xml:space="preserve">juicy couture viva la juicy rose price</t>
  </si>
  <si>
    <t xml:space="preserve">juicy couture viva la juicy rose eau de parfum</t>
  </si>
  <si>
    <t xml:space="preserve">juicy couture perfume · juicy couture perfume for women · floral perfume for women uk</t>
  </si>
  <si>
    <t xml:space="preserve">juicy couture viva la juicy rose eau de parfum · juicy couture viva la juicy rose edp 100ml · juicy couture viva la juicy rose edp · juicy couture viva la juicy rose notes · juicy couture viva la juicy rose 100ml · juicy couture viva la juicy rose eau de parfum 100ml</t>
  </si>
  <si>
    <t xml:space="preserve">Juicy Couture Viva La Juicy Rosé Eau de Parfum</t>
  </si>
  <si>
    <t xml:space="preserve">Juicy Couture Viva La Juicy Rosé Eau de Parfum | Swansura UK</t>
  </si>
  <si>
    <t xml:space="preserve">Buy Juicy Couture Viva La Juicy Rosé Eau de Parfum online in the UK at Swansura. A floral women's eau de parfum. 100% authentic, free UK delivery over £50.</t>
  </si>
  <si>
    <t xml:space="preserve">FR-272</t>
  </si>
  <si>
    <t xml:space="preserve">Juicy Couture Viva La Juicy Rosé Eau de Parfum – Women's Floral Fruity Fragrance</t>
  </si>
  <si>
    <t xml:space="preserve">FR-273</t>
  </si>
  <si>
    <t xml:space="preserve">FR-274</t>
  </si>
  <si>
    <t xml:space="preserve">Kenneth Cole</t>
  </si>
  <si>
    <t xml:space="preserve">Kenneth Cole Moonlight Blue Eau de Toilette 100ml – Men's Fresh Woody Fragrance</t>
  </si>
  <si>
    <t xml:space="preserve">kenneth cole moonlight blue</t>
  </si>
  <si>
    <t xml:space="preserve">kenneth cole moonlight blue uk</t>
  </si>
  <si>
    <t xml:space="preserve">buy kenneth cole moonlight blue online</t>
  </si>
  <si>
    <t xml:space="preserve">kenneth cole moonlight blue price</t>
  </si>
  <si>
    <t xml:space="preserve">kenneth cole moonlight blue eau de toilette</t>
  </si>
  <si>
    <t xml:space="preserve">kenneth cole perfume · kenneth cole perfume for men · woody perfume for men uk</t>
  </si>
  <si>
    <t xml:space="preserve">kenneth cole moonlight blue review · kenneth cole moonlight blue notes</t>
  </si>
  <si>
    <t xml:space="preserve">Kenneth Cole Moonlight Blue Eau de Toilette</t>
  </si>
  <si>
    <t xml:space="preserve">Kenneth Cole Moonlight Blue Eau de Toilette | Swansura UK</t>
  </si>
  <si>
    <t xml:space="preserve">Buy Kenneth Cole Moonlight Blue Eau de Toilette online in the UK at Swansura. A woody men's eau de toilette, 100ml. 100% authentic, free UK delivery over £50.</t>
  </si>
  <si>
    <t xml:space="preserve">FR-275</t>
  </si>
  <si>
    <t xml:space="preserve">Korloff</t>
  </si>
  <si>
    <t xml:space="preserve">Korloff Cuir Mythique Eau De Parfum 100ML</t>
  </si>
  <si>
    <t xml:space="preserve">korloff cuir mythique</t>
  </si>
  <si>
    <t xml:space="preserve">korloff cuir mythique uk</t>
  </si>
  <si>
    <t xml:space="preserve">buy korloff cuir mythique online</t>
  </si>
  <si>
    <t xml:space="preserve">korloff cuir mythique price</t>
  </si>
  <si>
    <t xml:space="preserve">korloff cuir mythique eau de parfum</t>
  </si>
  <si>
    <t xml:space="preserve">korloff perfume · amber perfume uk</t>
  </si>
  <si>
    <t xml:space="preserve">korloff cuir mythique eau de parfum · korloff cuir mythique review · korloff cuir mythique edp · korloff cuir mythique отзывы · korloff perfume cuir mythique</t>
  </si>
  <si>
    <t xml:space="preserve">Korloff Cuir Mythique Eau De Parfum</t>
  </si>
  <si>
    <t xml:space="preserve">Korloff Cuir Mythique EDP 100ml | Buy Online UK | Swansura</t>
  </si>
  <si>
    <t xml:space="preserve">Buy Korloff Cuir Mythique Eau De Parfum online in the UK at Swansura. An amber unisex eau de parfum, 100ml. 100% authentic, fast UK delivery, free over £50.</t>
  </si>
  <si>
    <t xml:space="preserve">FR-276</t>
  </si>
  <si>
    <t xml:space="preserve">Korloff In Love Eau De Parfum 100ML</t>
  </si>
  <si>
    <t xml:space="preserve">100ML</t>
  </si>
  <si>
    <t xml:space="preserve">korloff in love</t>
  </si>
  <si>
    <t xml:space="preserve">korloff in love uk</t>
  </si>
  <si>
    <t xml:space="preserve">buy korloff in love online</t>
  </si>
  <si>
    <t xml:space="preserve">korloff in love price</t>
  </si>
  <si>
    <t xml:space="preserve">korloff in love eau de parfum</t>
  </si>
  <si>
    <t xml:space="preserve">korloff in love perfume price · korloff in love perfume · korloff in love edp 100ml · korloff in love eau de parfum · korloff love review</t>
  </si>
  <si>
    <t xml:space="preserve">Korloff In Love Eau De Parfum</t>
  </si>
  <si>
    <t xml:space="preserve">Korloff In Love Eau De Parfum | Buy Online UK | Swansura</t>
  </si>
  <si>
    <t xml:space="preserve">Buy Korloff In Love Eau De Parfum online in the UK at Swansura. An amber unisex eau de parfum, 100ML. 100% authentic, fast UK delivery, free over £50.</t>
  </si>
  <si>
    <t xml:space="preserve">FR-277</t>
  </si>
  <si>
    <t xml:space="preserve">Korloff Lady Intense Eau De Parfum 88ML</t>
  </si>
  <si>
    <t xml:space="preserve">88ML</t>
  </si>
  <si>
    <t xml:space="preserve">korloff lady intense</t>
  </si>
  <si>
    <t xml:space="preserve">korloff lady intense uk</t>
  </si>
  <si>
    <t xml:space="preserve">buy korloff lady intense online</t>
  </si>
  <si>
    <t xml:space="preserve">korloff lady intense price</t>
  </si>
  <si>
    <t xml:space="preserve">korloff lady intense eau de parfum</t>
  </si>
  <si>
    <t xml:space="preserve">korloff lady intense review · korloff lady intense price · korloff lady intense edp · lady korloff intense perfume · lady korloff intense отзывы · lady korloff intense notes</t>
  </si>
  <si>
    <t xml:space="preserve">Korloff Lady Intense Eau De Parfum</t>
  </si>
  <si>
    <t xml:space="preserve">Korloff Lady Intense EDP 88ML | Buy Online UK | Swansura</t>
  </si>
  <si>
    <t xml:space="preserve">Buy Korloff Lady Intense Eau De Parfum online in the UK at Swansura. An amber unisex eau de parfum, 88ML. 100% authentic, fast UK delivery, free over £50.</t>
  </si>
  <si>
    <t xml:space="preserve">FR-278</t>
  </si>
  <si>
    <t xml:space="preserve">Korloff Royal Rose Eau De Parfum 88ML</t>
  </si>
  <si>
    <t xml:space="preserve">88ml</t>
  </si>
  <si>
    <t xml:space="preserve">korloff royal rose</t>
  </si>
  <si>
    <t xml:space="preserve">korloff royal rose uk</t>
  </si>
  <si>
    <t xml:space="preserve">buy korloff royal rose online</t>
  </si>
  <si>
    <t xml:space="preserve">korloff royal rose price</t>
  </si>
  <si>
    <t xml:space="preserve">korloff royal rose eau de parfum</t>
  </si>
  <si>
    <t xml:space="preserve">korloff perfume · floral perfume uk</t>
  </si>
  <si>
    <t xml:space="preserve">korloff royal rose price · korloff royal rose review · korloff royal rose edp 88ml · korloff royal rose отзывы · korloff royal rose eau de parfum · korloff perfume royal rose</t>
  </si>
  <si>
    <t xml:space="preserve">Korloff Royal Rose Eau De Parfum</t>
  </si>
  <si>
    <t xml:space="preserve">Korloff Royal Rose Eau De Parfum | Buy Online UK | Swansura</t>
  </si>
  <si>
    <t xml:space="preserve">Buy Korloff Royal Rose Eau De Parfum online in the UK at Swansura. A floral unisex eau de parfum, 88ml. 100% authentic, fast UK delivery, free over £50.</t>
  </si>
  <si>
    <t xml:space="preserve">FR-279</t>
  </si>
  <si>
    <t xml:space="preserve">Korloff Un Soir À Paris Eau De Parfum 100ML</t>
  </si>
  <si>
    <t xml:space="preserve">korloff un soir a paris</t>
  </si>
  <si>
    <t xml:space="preserve">korloff un soir a paris uk</t>
  </si>
  <si>
    <t xml:space="preserve">buy korloff un soir a paris online</t>
  </si>
  <si>
    <t xml:space="preserve">korloff un soir a paris price</t>
  </si>
  <si>
    <t xml:space="preserve">korloff un soir a paris eau de parfum</t>
  </si>
  <si>
    <t xml:space="preserve">korloff un soir a paris eau de parfum · parfum korloff un soir a paris · korloff un soir a paris отзывы</t>
  </si>
  <si>
    <t xml:space="preserve">Korloff Un Soir À Paris Eau De Parfum</t>
  </si>
  <si>
    <t xml:space="preserve">Korloff Un Soir À Paris EDP 100ML | Buy Online UK | Swansura</t>
  </si>
  <si>
    <t xml:space="preserve">Buy Korloff Un Soir À Paris Eau De Parfum online in the UK at Swansura. An amber unisex eau de parfum, 100ML. 100% authentic, fast UK delivery, free over £50.</t>
  </si>
  <si>
    <t xml:space="preserve">FR-280</t>
  </si>
  <si>
    <t xml:space="preserve">Miss Korloff Eau De Parfum 88ML</t>
  </si>
  <si>
    <t xml:space="preserve">korloff miss korloff</t>
  </si>
  <si>
    <t xml:space="preserve">korloff miss korloff uk</t>
  </si>
  <si>
    <t xml:space="preserve">buy korloff miss korloff online</t>
  </si>
  <si>
    <t xml:space="preserve">korloff miss korloff price</t>
  </si>
  <si>
    <t xml:space="preserve">korloff miss korloff eau de parfum</t>
  </si>
  <si>
    <t xml:space="preserve">Miss Korloff Eau De Parfum</t>
  </si>
  <si>
    <t xml:space="preserve">Miss Korloff Eau De Parfum | Buy Online UK | Swansura</t>
  </si>
  <si>
    <t xml:space="preserve">Buy Miss Korloff Eau De Parfum online in the UK at Swansura. An amber unisex eau de parfum, 88ML. 100% authentic, fast UK delivery, free over £50.</t>
  </si>
  <si>
    <t xml:space="preserve">FR-281</t>
  </si>
  <si>
    <t xml:space="preserve">Royal Oud Korloff Paris Eau De Parfum 88ML</t>
  </si>
  <si>
    <t xml:space="preserve">korloff royal oud korloff paris</t>
  </si>
  <si>
    <t xml:space="preserve">korloff royal oud korloff paris uk</t>
  </si>
  <si>
    <t xml:space="preserve">buy korloff royal oud korloff paris online</t>
  </si>
  <si>
    <t xml:space="preserve">korloff royal oud korloff paris price</t>
  </si>
  <si>
    <t xml:space="preserve">korloff royal oud korloff paris eau de parfum</t>
  </si>
  <si>
    <t xml:space="preserve">korloff perfume · oud perfume uk</t>
  </si>
  <si>
    <t xml:space="preserve">royal oud korloff paris · korloff royal oud price</t>
  </si>
  <si>
    <t xml:space="preserve">Royal Oud Korloff Paris Eau De Parfum</t>
  </si>
  <si>
    <t xml:space="preserve">Royal Oud Korloff Paris EDP 88ML | Buy Online UK | Swansura</t>
  </si>
  <si>
    <t xml:space="preserve">Buy Royal Oud Korloff Paris Eau De Parfum online in the UK at Swansura. An oud unisex eau de parfum, 88ML. 100% authentic, fast UK delivery, free over £50.</t>
  </si>
  <si>
    <t xml:space="preserve">FR-282</t>
  </si>
  <si>
    <t xml:space="preserve">Korloff Paris Discovery Set Eau De Parfum 3x10ML</t>
  </si>
  <si>
    <t xml:space="preserve">3x10ml</t>
  </si>
  <si>
    <t xml:space="preserve">korloff paris discovery set</t>
  </si>
  <si>
    <t xml:space="preserve">korloff paris discovery set uk</t>
  </si>
  <si>
    <t xml:space="preserve">buy korloff paris discovery set online</t>
  </si>
  <si>
    <t xml:space="preserve">korloff paris discovery set price</t>
  </si>
  <si>
    <t xml:space="preserve">Korloff Paris Discovery Set 3x10ML EDP 3x10ml | Swansura UK</t>
  </si>
  <si>
    <t xml:space="preserve">Buy Korloff Paris Discovery Set Eau De Parfum 3x10ML online in the UK at Swansura. An amber unisex eau de parfum. 100% authentic, free UK delivery over £50.</t>
  </si>
  <si>
    <t xml:space="preserve">FR-283</t>
  </si>
  <si>
    <t xml:space="preserve">La Maison</t>
  </si>
  <si>
    <t xml:space="preserve">La Maison de la Vanille Absolu de Vanille Eau de Parfum 100ml</t>
  </si>
  <si>
    <t xml:space="preserve">la maison de la vanille absolu de vanille</t>
  </si>
  <si>
    <t xml:space="preserve">la maison de la vanille absolu de vanille uk</t>
  </si>
  <si>
    <t xml:space="preserve">buy la maison de la vanille absolu de vanille online</t>
  </si>
  <si>
    <t xml:space="preserve">la maison de la vanille absolu de vanille price</t>
  </si>
  <si>
    <t xml:space="preserve">la maison de la vanille absolu de vanille eau de parfum</t>
  </si>
  <si>
    <t xml:space="preserve">la maison perfume · amber perfume uk</t>
  </si>
  <si>
    <t xml:space="preserve">la maison de la vanille absolu de vanille отзывы · la maison de la vanille absolu de vanille edp 100 ml · la maison de la vanille absolu de vanille eau de parfum</t>
  </si>
  <si>
    <t xml:space="preserve">La Maison de la Vanille Absolu de Vanille Eau de Parfum</t>
  </si>
  <si>
    <t xml:space="preserve">La Maison de la Vanille Absolu de Vanille | Swansura UK</t>
  </si>
  <si>
    <t xml:space="preserve">Buy La Maison de la Vanille Absolu de Vanille Eau de Parfum online in the UK at Swansura. Amber eau de parfum. 100% authentic, fast UK delivery, free over £50.</t>
  </si>
  <si>
    <t xml:space="preserve">FR-284</t>
  </si>
  <si>
    <t xml:space="preserve">La Maison de la Vanille Ambre Secret Eau de Parfum 100ml</t>
  </si>
  <si>
    <t xml:space="preserve">la maison de la vanille ambre secret</t>
  </si>
  <si>
    <t xml:space="preserve">la maison de la vanille ambre secret uk</t>
  </si>
  <si>
    <t xml:space="preserve">buy la maison de la vanille ambre secret online</t>
  </si>
  <si>
    <t xml:space="preserve">la maison de la vanille ambre secret price</t>
  </si>
  <si>
    <t xml:space="preserve">la maison de la vanille ambre secret eau de parfum</t>
  </si>
  <si>
    <t xml:space="preserve">la maison de la vanille ambre secret eau de parfum · la maison de la vanille ambre secret отзывы</t>
  </si>
  <si>
    <t xml:space="preserve">La Maison de la Vanille Ambre Secret Eau de Parfum</t>
  </si>
  <si>
    <t xml:space="preserve">La Maison de la Vanille Ambre Secret EDP 100ml | Swansura UK</t>
  </si>
  <si>
    <t xml:space="preserve">Buy La Maison de la Vanille Ambre Secret Eau de Parfum online in the UK at Swansura. An amber unisex eau de parfum. 100% authentic, free UK delivery over £50.</t>
  </si>
  <si>
    <t xml:space="preserve">FR-285</t>
  </si>
  <si>
    <t xml:space="preserve">La Maison de la Vanille Royal Oud Eau de Parfum 100ml</t>
  </si>
  <si>
    <t xml:space="preserve">la maison de la vanille royal oud</t>
  </si>
  <si>
    <t xml:space="preserve">la maison de la vanille royal oud uk</t>
  </si>
  <si>
    <t xml:space="preserve">buy la maison de la vanille royal oud online</t>
  </si>
  <si>
    <t xml:space="preserve">la maison de la vanille royal oud price</t>
  </si>
  <si>
    <t xml:space="preserve">la maison de la vanille royal oud eau de parfum</t>
  </si>
  <si>
    <t xml:space="preserve">la maison perfume · oud perfume uk</t>
  </si>
  <si>
    <t xml:space="preserve">la maison de la vanille royal oud eau de parfum · royal oud perfume la maison de la vanille · la maison de la vanille royal oud отзывы</t>
  </si>
  <si>
    <t xml:space="preserve">La Maison de la Vanille Royal Oud Eau de Parfum</t>
  </si>
  <si>
    <t xml:space="preserve">La Maison de la Vanille Royal Oud EDP 100ml | Swansura UK</t>
  </si>
  <si>
    <t xml:space="preserve">Buy La Maison de la Vanille Royal Oud Eau de Parfum online in the UK at Swansura. An oud unisex eau de parfum, 100ml. 100% authentic, free UK delivery over £50.</t>
  </si>
  <si>
    <t xml:space="preserve">FR-286</t>
  </si>
  <si>
    <t xml:space="preserve">La Maison de la wooden coffret 5X30ML EDT - Vanilles Des Origines</t>
  </si>
  <si>
    <t xml:space="preserve">la maison de la wooden coffret</t>
  </si>
  <si>
    <t xml:space="preserve">la maison de la wooden coffret uk</t>
  </si>
  <si>
    <t xml:space="preserve">buy la maison de la wooden coffret online</t>
  </si>
  <si>
    <t xml:space="preserve">la maison de la wooden coffret price</t>
  </si>
  <si>
    <t xml:space="preserve">la maison de la wooden coffret edt</t>
  </si>
  <si>
    <t xml:space="preserve">La Maison de la Wooden Coffret 5X30ML EDT</t>
  </si>
  <si>
    <t xml:space="preserve">La Maison de la Wooden Coffret 5X30ML EDT | Swansura UK</t>
  </si>
  <si>
    <t xml:space="preserve">Buy La Maison de la Wooden Coffret 5X30ML EDT online in the UK at Swansura. An amber unisex eau de toilette. 100% authentic, fast UK delivery, free over £50.</t>
  </si>
  <si>
    <t xml:space="preserve">Lancôme</t>
  </si>
  <si>
    <t xml:space="preserve">lancome idole nectar</t>
  </si>
  <si>
    <t xml:space="preserve">lancome idole nectar uk</t>
  </si>
  <si>
    <t xml:space="preserve">buy lancome idole nectar online</t>
  </si>
  <si>
    <t xml:space="preserve">lancome idole nectar price</t>
  </si>
  <si>
    <t xml:space="preserve">lancome idole nectar eau de parfum</t>
  </si>
  <si>
    <t xml:space="preserve">lancôme perfume · lancôme perfume for women · floral perfume for women uk</t>
  </si>
  <si>
    <t xml:space="preserve">lancome idole nectar perfume · lancome idole nectar eau de parfum · lancome idole nectar dupe · lancome idole nectar eau de parfum 100ml · lancome idole nectar notes · lancome idole nectar 50ml</t>
  </si>
  <si>
    <t xml:space="preserve">Lancôme Idôle Nectar Eau de Parfum</t>
  </si>
  <si>
    <t xml:space="preserve">Lancôme Idôle Nectar EDP 25ml | Buy Online UK | Swansura</t>
  </si>
  <si>
    <t xml:space="preserve">Buy Lancôme Idôle Nectar Eau de Parfum online in the UK at Swansura. A floral women's eau de parfum, 25ml. 100% authentic, fast UK delivery, free over £50.</t>
  </si>
  <si>
    <t xml:space="preserve">FR-288</t>
  </si>
  <si>
    <t xml:space="preserve">Lancôme Idôle Now Eau de Parfum Florale 50ml – Women's Floral Fragrance</t>
  </si>
  <si>
    <t xml:space="preserve">lancome idole now florale</t>
  </si>
  <si>
    <t xml:space="preserve">lancome idole now florale uk</t>
  </si>
  <si>
    <t xml:space="preserve">buy lancome idole now florale online</t>
  </si>
  <si>
    <t xml:space="preserve">lancome idole now florale price</t>
  </si>
  <si>
    <t xml:space="preserve">lancome idole now florale eau de parfum</t>
  </si>
  <si>
    <t xml:space="preserve">lancome idole now florale perfume · lancome idole now florale edp 100ml · lancome idole now florale eau de parfum · lancome idole now florale 50ml · lancome idole now florale 100ml · lancome idole now edp florale</t>
  </si>
  <si>
    <t xml:space="preserve">Lancôme Idôle Now Eau de Parfum Florale</t>
  </si>
  <si>
    <t xml:space="preserve">Lancôme Idôle Now Eau de Parfum Florale | Swansura UK</t>
  </si>
  <si>
    <t xml:space="preserve">Buy Lancôme Idôle Now Eau de Parfum Florale online in the UK at Swansura. A floral women's eau de parfum, 50ml. 100% authentic, fast UK delivery, free over £50.</t>
  </si>
  <si>
    <t xml:space="preserve">FR-289</t>
  </si>
  <si>
    <t xml:space="preserve">Mancera</t>
  </si>
  <si>
    <t xml:space="preserve">Mancera Black Noir Eau de Parfum 120ml – Luxury Unisex Oud Tobacco Longlasting Fragrance</t>
  </si>
  <si>
    <t xml:space="preserve">120ml</t>
  </si>
  <si>
    <t xml:space="preserve">mancera black noir</t>
  </si>
  <si>
    <t xml:space="preserve">mancera black noir uk</t>
  </si>
  <si>
    <t xml:space="preserve">buy mancera black noir online</t>
  </si>
  <si>
    <t xml:space="preserve">mancera black noir price</t>
  </si>
  <si>
    <t xml:space="preserve">mancera black noir eau de parfum</t>
  </si>
  <si>
    <t xml:space="preserve">mancera perfume · oud perfume uk</t>
  </si>
  <si>
    <t xml:space="preserve">mancera black noir review · mancera black noir notes · mancera black noir eau de parfum · mancera black noir edp · mancera black noir price · mancera black noir edp 120ml</t>
  </si>
  <si>
    <t xml:space="preserve">Mancera Black Noir Eau de Parfum</t>
  </si>
  <si>
    <t xml:space="preserve">Mancera Black Noir Eau de Parfum | Buy Online UK | Swansura</t>
  </si>
  <si>
    <t xml:space="preserve">Buy Mancera Black Noir Eau de Parfum online in the UK at Swansura. An oud unisex eau de parfum, 120ml. 100% authentic, fast UK delivery, free over £50.</t>
  </si>
  <si>
    <t xml:space="preserve">FR-290</t>
  </si>
  <si>
    <t xml:space="preserve">Spicy · Unisex Fragrance</t>
  </si>
  <si>
    <t xml:space="preserve">Mancera Intense Red Tobacco Extrait de Parfum 120ml – Luxury Unisex Spicy Tobacco Fragrance</t>
  </si>
  <si>
    <t xml:space="preserve">mancera intense red tobacco</t>
  </si>
  <si>
    <t xml:space="preserve">mancera intense red tobacco uk</t>
  </si>
  <si>
    <t xml:space="preserve">buy mancera intense red tobacco online</t>
  </si>
  <si>
    <t xml:space="preserve">mancera intense red tobacco price</t>
  </si>
  <si>
    <t xml:space="preserve">mancera intense red tobacco extrait de parfum</t>
  </si>
  <si>
    <t xml:space="preserve">mancera perfume · spicy perfume uk</t>
  </si>
  <si>
    <t xml:space="preserve">mancera intense red tobacco extrait de parfum · mancera intense red tobacco review · mancera intense red tobacco price · mancera intense red tobacco 120ml · mancera intense red tobacco eau de parfum · mancera intense red tobacco edp 120ml</t>
  </si>
  <si>
    <t xml:space="preserve">Mancera Intense Red Tobacco Extrait de Parfum</t>
  </si>
  <si>
    <t xml:space="preserve">Mancera Intense Red Tobacco Extrait de Parfum | Swansura UK</t>
  </si>
  <si>
    <t xml:space="preserve">Buy Mancera Intense Red Tobacco Extrait de Parfum online in the UK at Swansura. A spicy unisex extrait de parfum. 100% authentic, free UK delivery over £50.</t>
  </si>
  <si>
    <t xml:space="preserve">Marc Jacobs</t>
  </si>
  <si>
    <t xml:space="preserve">marc jacobs honey</t>
  </si>
  <si>
    <t xml:space="preserve">marc jacobs honey uk</t>
  </si>
  <si>
    <t xml:space="preserve">buy marc jacobs honey online</t>
  </si>
  <si>
    <t xml:space="preserve">marc jacobs honey price</t>
  </si>
  <si>
    <t xml:space="preserve">marc jacobs honey eau de parfum</t>
  </si>
  <si>
    <t xml:space="preserve">marc jacobs perfume · marc jacobs perfume for women · floral perfume for women uk</t>
  </si>
  <si>
    <t xml:space="preserve">marc jacobs honey perfume · marc jacobs honey 100ml · marc jacobs honey notes · marc jacobs honey review · marc jacobs honey eau de parfum · marc jacobs honey edp 100ml</t>
  </si>
  <si>
    <t xml:space="preserve">Marc Jacobs Honey Eau de Parfum</t>
  </si>
  <si>
    <t xml:space="preserve">Marc Jacobs Honey Eau de Parfum | Buy Online UK | Swansura</t>
  </si>
  <si>
    <t xml:space="preserve">Buy Marc Jacobs Honey Eau de Parfum online in the UK at Swansura. A floral women's eau de parfum, 100ml. 100% authentic, fast UK delivery, free over £50.</t>
  </si>
  <si>
    <t xml:space="preserve">marc jacobs perfect</t>
  </si>
  <si>
    <t xml:space="preserve">marc jacobs perfect uk</t>
  </si>
  <si>
    <t xml:space="preserve">buy marc jacobs perfect online</t>
  </si>
  <si>
    <t xml:space="preserve">marc jacobs perfect price</t>
  </si>
  <si>
    <t xml:space="preserve">marc jacobs perfect eau de parfum</t>
  </si>
  <si>
    <t xml:space="preserve">marc jacobs perfect perfume · marc jacobs perfect notes · marc jacobs perfect eau de parfum · marc jacobs perfect 100ml · marc jacobs perfect edp</t>
  </si>
  <si>
    <t xml:space="preserve">Marc Jacobs Perfect Eau de Parfum</t>
  </si>
  <si>
    <t xml:space="preserve">Marc Jacobs Perfect Eau de Parfum | Buy Online UK | Swansura</t>
  </si>
  <si>
    <t xml:space="preserve">Buy Marc Jacobs Perfect Eau de Parfum online in the UK at Swansura. A floral women's eau de parfum, 50ml. 100% authentic, fast UK delivery, free over £50.</t>
  </si>
  <si>
    <t xml:space="preserve">FR-293</t>
  </si>
  <si>
    <t xml:space="preserve">Marc Jacobs Perfect Elixir Eau de Parfum 10ml Miniature – Women's Floral Gourmand Fragrance</t>
  </si>
  <si>
    <t xml:space="preserve">marc jacobs perfect elixir miniature</t>
  </si>
  <si>
    <t xml:space="preserve">marc jacobs perfect elixir miniature uk</t>
  </si>
  <si>
    <t xml:space="preserve">buy marc jacobs perfect elixir miniature online</t>
  </si>
  <si>
    <t xml:space="preserve">marc jacobs perfect elixir miniature price</t>
  </si>
  <si>
    <t xml:space="preserve">marc jacobs perfect elixir miniature eau de parfum</t>
  </si>
  <si>
    <t xml:space="preserve">Marc Jacobs Perfect Elixir Eau de Parfum Miniature</t>
  </si>
  <si>
    <t xml:space="preserve">Marc Jacobs Perfect Elixir Miniature EDP 10ml | Swansura UK</t>
  </si>
  <si>
    <t xml:space="preserve">Buy Marc Jacobs Perfect Elixir Eau de Parfum Miniature online in the UK at Swansura. A floral women's eau de parfum. 100% authentic, free UK delivery over £50.</t>
  </si>
  <si>
    <t xml:space="preserve">FR-294</t>
  </si>
  <si>
    <t xml:space="preserve">Marc Jacobs Daisy Love Eau de Toilette 10ml Miniature – Women's Floral Fruity Fragrance</t>
  </si>
  <si>
    <t xml:space="preserve">marc jacobs daisy love miniature</t>
  </si>
  <si>
    <t xml:space="preserve">marc jacobs daisy love miniature uk</t>
  </si>
  <si>
    <t xml:space="preserve">buy marc jacobs daisy love miniature online</t>
  </si>
  <si>
    <t xml:space="preserve">marc jacobs daisy love miniature price</t>
  </si>
  <si>
    <t xml:space="preserve">marc jacobs daisy love miniature eau de toilette</t>
  </si>
  <si>
    <t xml:space="preserve">daisy love marc jacobs price</t>
  </si>
  <si>
    <t xml:space="preserve">Marc Jacobs Daisy Love Eau de Toilette Miniature</t>
  </si>
  <si>
    <t xml:space="preserve">Marc Jacobs Daisy Love Miniature EDT 10ml | Swansura UK</t>
  </si>
  <si>
    <t xml:space="preserve">Buy Marc Jacobs Daisy Love Eau de Toilette Miniature online in the UK at Swansura. A floral women's eau de toilette. 100% authentic, free UK delivery over £50.</t>
  </si>
  <si>
    <t xml:space="preserve">FR-295</t>
  </si>
  <si>
    <t xml:space="preserve">Marc Jacobs Daisy Love Glow Limited Edition Eau de Toilette 50ml – Women's Floral Fragrance</t>
  </si>
  <si>
    <t xml:space="preserve">marc jacobs daisy love glow limited edition</t>
  </si>
  <si>
    <t xml:space="preserve">marc jacobs daisy love glow limited edition uk</t>
  </si>
  <si>
    <t xml:space="preserve">buy marc jacobs daisy love glow limited edition online</t>
  </si>
  <si>
    <t xml:space="preserve">marc jacobs daisy love glow limited edition price</t>
  </si>
  <si>
    <t xml:space="preserve">marc jacobs daisy love glow limited edition eau de toilette</t>
  </si>
  <si>
    <t xml:space="preserve">marc jacobs daisy love glow limited edition edt 50 ml · daisy love marc jacobs price</t>
  </si>
  <si>
    <t xml:space="preserve">Marc Jacobs Daisy Love Glow Limited Edition Eau de Toilette</t>
  </si>
  <si>
    <t xml:space="preserve">Marc Jacobs Daisy Love Glow Limited Edition | Swansura UK</t>
  </si>
  <si>
    <t xml:space="preserve">Buy Marc Jacobs Daisy Love Glow Limited Edition Eau de Toilette online in the UK at Swansura. A floral women's eau de toilette, 50ml. Free UK delivery over £50.</t>
  </si>
  <si>
    <t xml:space="preserve">FR-296</t>
  </si>
  <si>
    <t xml:space="preserve">Marc Jacobs Perfect Eau de Toilette 10ml Miniature – Women's Floral Fragrance</t>
  </si>
  <si>
    <t xml:space="preserve">marc jacobs perfect miniature</t>
  </si>
  <si>
    <t xml:space="preserve">marc jacobs perfect miniature uk</t>
  </si>
  <si>
    <t xml:space="preserve">buy marc jacobs perfect miniature online</t>
  </si>
  <si>
    <t xml:space="preserve">marc jacobs perfect miniature price</t>
  </si>
  <si>
    <t xml:space="preserve">marc jacobs perfect miniature eau de toilette</t>
  </si>
  <si>
    <t xml:space="preserve">Marc Jacobs Perfect Eau de Toilette Miniature</t>
  </si>
  <si>
    <t xml:space="preserve">Marc Jacobs Perfect Eau de Toilette Miniature | Swansura UK</t>
  </si>
  <si>
    <t xml:space="preserve">Buy Marc Jacobs Perfect Eau de Toilette Miniature online in the UK at Swansura. A floral women's eau de toilette. 100% authentic, free UK delivery over £50.</t>
  </si>
  <si>
    <t xml:space="preserve">FR-297</t>
  </si>
  <si>
    <t xml:space="preserve">Marc Jacobs Women's Miniature Fragrance Gift Set 2025 – Daisy, Daisy Eau So Fresh, Perfect &amp; Daisy Wild</t>
  </si>
  <si>
    <t xml:space="preserve">marc jacobs miniature gift set 2025</t>
  </si>
  <si>
    <t xml:space="preserve">marc jacobs miniature gift set 2025 uk</t>
  </si>
  <si>
    <t xml:space="preserve">buy marc jacobs miniature gift set 2025 online</t>
  </si>
  <si>
    <t xml:space="preserve">marc jacobs miniature gift set 2025 price</t>
  </si>
  <si>
    <t xml:space="preserve">marc jacobs perfume · marc jacobs perfume for women · fresh perfume for women uk</t>
  </si>
  <si>
    <t xml:space="preserve">Marc Jacobs Women's Miniature Fragrance Gift Set 2025</t>
  </si>
  <si>
    <t xml:space="preserve">Marc Jacobs Women's Miniature Fragrance Gift | Swansura UK</t>
  </si>
  <si>
    <t xml:space="preserve">Buy Marc Jacobs Women's Miniature Fragrance Gift Set 2025 online in the UK at Swansura. A fresh women's fragrance. 100% authentic, free UK delivery over £50.</t>
  </si>
  <si>
    <t xml:space="preserve">FR-298</t>
  </si>
  <si>
    <t xml:space="preserve">Montale</t>
  </si>
  <si>
    <t xml:space="preserve">Oud · Women's Fragrance</t>
  </si>
  <si>
    <t xml:space="preserve">Montale Aoud Damascus Eau de Parfum 100ml – Women's Rose Oud Longlasting Fragrance</t>
  </si>
  <si>
    <t xml:space="preserve">montale aoud damascus</t>
  </si>
  <si>
    <t xml:space="preserve">montale aoud damascus uk</t>
  </si>
  <si>
    <t xml:space="preserve">buy montale aoud damascus online</t>
  </si>
  <si>
    <t xml:space="preserve">montale aoud damascus price</t>
  </si>
  <si>
    <t xml:space="preserve">montale aoud damascus eau de parfum</t>
  </si>
  <si>
    <t xml:space="preserve">montale perfume · montale perfume for women · oud perfume for women uk</t>
  </si>
  <si>
    <t xml:space="preserve">montale aoud damascus eau de parfum · montale aoud damascus edp · montale aoud damascus review · montale aoud damascus edp 100ml · montale aoud damascus perfume · montale aoud damascus отзывы</t>
  </si>
  <si>
    <t xml:space="preserve">Montale Aoud Damascus Eau de Parfum</t>
  </si>
  <si>
    <t xml:space="preserve">Montale Aoud Damascus EDP 100ml | Buy Online UK | Swansura</t>
  </si>
  <si>
    <t xml:space="preserve">Buy Montale Aoud Damascus Eau de Parfum online in the UK at Swansura. An oud women's eau de parfum, 100ml. 100% authentic, fast UK delivery, free over £50.</t>
  </si>
  <si>
    <t xml:space="preserve">FR-299</t>
  </si>
  <si>
    <t xml:space="preserve">Montale Aoud Safran Eau de Parfum 100ml – Luxury Unisex Saffron Oud Fragrance</t>
  </si>
  <si>
    <t xml:space="preserve">montale aoud safran</t>
  </si>
  <si>
    <t xml:space="preserve">montale aoud safran uk</t>
  </si>
  <si>
    <t xml:space="preserve">buy montale aoud safran online</t>
  </si>
  <si>
    <t xml:space="preserve">montale aoud safran price</t>
  </si>
  <si>
    <t xml:space="preserve">montale aoud safran eau de parfum</t>
  </si>
  <si>
    <t xml:space="preserve">montale perfume · oud perfume uk</t>
  </si>
  <si>
    <t xml:space="preserve">montale aoud safran review · montale aoud safran edp · montale aoud safran notes · montale aoud safran отзывы · montale aoud safran eau de parfum · montale aoud safran edp 100ml</t>
  </si>
  <si>
    <t xml:space="preserve">Montale Aoud Safran Eau de Parfum</t>
  </si>
  <si>
    <t xml:space="preserve">Montale Aoud Safran Eau de Parfum | Buy Online UK | Swansura</t>
  </si>
  <si>
    <t xml:space="preserve">Buy Montale Aoud Safran Eau de Parfum online in the UK at Swansura. An oud unisex eau de parfum, 100ml. 100% authentic, fast UK delivery, free over £50.</t>
  </si>
  <si>
    <t xml:space="preserve">FR-300</t>
  </si>
  <si>
    <t xml:space="preserve">Nina Ricci</t>
  </si>
  <si>
    <t xml:space="preserve">Nina Ricci Nina Illusion Eau de Parfum 50ml – Women's Floral Fruity Fragrance</t>
  </si>
  <si>
    <t xml:space="preserve">nina ricci nina illusion</t>
  </si>
  <si>
    <t xml:space="preserve">nina ricci nina illusion uk</t>
  </si>
  <si>
    <t xml:space="preserve">buy nina ricci nina illusion online</t>
  </si>
  <si>
    <t xml:space="preserve">nina ricci nina illusion price</t>
  </si>
  <si>
    <t xml:space="preserve">nina ricci nina illusion eau de parfum</t>
  </si>
  <si>
    <t xml:space="preserve">nina ricci perfume · nina ricci perfume for women · floral perfume for women uk</t>
  </si>
  <si>
    <t xml:space="preserve">nina ricci nina illusion eau de parfum · nina ricci nina illusion review · nina ricci nina illusion отзывы · nina ricci nina illusion edp · nina ricci nina illusion eau de parfum 30 ml · nina ricci nina illusion купить</t>
  </si>
  <si>
    <t xml:space="preserve">Nina Ricci Nina Illusion Eau de Parfum</t>
  </si>
  <si>
    <t xml:space="preserve">Nina Ricci Nina Illusion EDP 50ml | Buy Online UK | Swansura</t>
  </si>
  <si>
    <t xml:space="preserve">Buy Nina Ricci Nina Illusion Eau de Parfum online in the UK at Swansura. A floral women's eau de parfum, 50ml. 100% authentic, fast UK delivery, free over £50.</t>
  </si>
  <si>
    <t xml:space="preserve">FR-301</t>
  </si>
  <si>
    <t xml:space="preserve">Nina Ricci Nina Precious Gold Eau de Parfum 50ml – Women's Floral Gourmand Fragrance</t>
  </si>
  <si>
    <t xml:space="preserve">nina ricci nina precious gold</t>
  </si>
  <si>
    <t xml:space="preserve">nina ricci nina precious gold uk</t>
  </si>
  <si>
    <t xml:space="preserve">buy nina ricci nina precious gold online</t>
  </si>
  <si>
    <t xml:space="preserve">nina ricci nina precious gold price</t>
  </si>
  <si>
    <t xml:space="preserve">nina ricci nina precious gold eau de parfum</t>
  </si>
  <si>
    <t xml:space="preserve">nina ricci nina precious gold eau de parfum · nina ricci nina precious gold edp · nina ricci precious gold notes · nina ricci perfume precious gold · nina ricci precious gold отзывы · nina ricci precious gold 50ml</t>
  </si>
  <si>
    <t xml:space="preserve">Nina Ricci Nina Precious Gold Eau de Parfum</t>
  </si>
  <si>
    <t xml:space="preserve">Nina Ricci Nina Precious Gold Eau de Parfum | Swansura UK</t>
  </si>
  <si>
    <t xml:space="preserve">Buy Nina Ricci Nina Precious Gold Eau de Parfum online in the UK at Swansura. A floral women's eau de parfum, 50ml. 100% authentic, free UK delivery over £50.</t>
  </si>
  <si>
    <t xml:space="preserve">nina ricci l'air du temps</t>
  </si>
  <si>
    <t xml:space="preserve">nina ricci l'air du temps uk</t>
  </si>
  <si>
    <t xml:space="preserve">buy nina ricci l'air du temps online</t>
  </si>
  <si>
    <t xml:space="preserve">nina ricci l'air du temps price</t>
  </si>
  <si>
    <t xml:space="preserve">nina ricci l'air du temps eau de toilette</t>
  </si>
  <si>
    <t xml:space="preserve">nina ricci l'air du temps perfume · nina ricci l'air du temps eau de parfum · nina ricci l'air du temps 100ml · nina ricci l'air du temps notes</t>
  </si>
  <si>
    <t xml:space="preserve">Nina Ricci L'Air du Temps Eau de Toilette</t>
  </si>
  <si>
    <t xml:space="preserve">Nina Ricci L'Air du Temps Eau de Toilette | Swansura UK</t>
  </si>
  <si>
    <t xml:space="preserve">Buy Nina Ricci L'Air du Temps Eau de Toilette online in the UK at Swansura. A floral women's eau de toilette, 100ml. 100% authentic, free UK delivery over £50.</t>
  </si>
  <si>
    <t xml:space="preserve">FR-303</t>
  </si>
  <si>
    <t xml:space="preserve">Paloma</t>
  </si>
  <si>
    <t xml:space="preserve">paloma picasso</t>
  </si>
  <si>
    <t xml:space="preserve">paloma picasso uk</t>
  </si>
  <si>
    <t xml:space="preserve">buy paloma picasso online</t>
  </si>
  <si>
    <t xml:space="preserve">paloma picasso price</t>
  </si>
  <si>
    <t xml:space="preserve">paloma picasso eau de toilette</t>
  </si>
  <si>
    <t xml:space="preserve">paloma perfume · paloma perfume for women · floral perfume for women uk</t>
  </si>
  <si>
    <t xml:space="preserve">paloma picasso perfume · paloma picasso perfume 100ml · paloma picasso eau de parfum</t>
  </si>
  <si>
    <t xml:space="preserve">Paloma Picasso Eau de Toilette</t>
  </si>
  <si>
    <t xml:space="preserve">Paloma Picasso Eau de Toilette | Buy Online UK | Swansura</t>
  </si>
  <si>
    <t xml:space="preserve">Buy Paloma Picasso Eau de Toilette online in the UK at Swansura. A floral women's eau de toilette, 100ml. 100% authentic, fast UK delivery, free over £50.</t>
  </si>
  <si>
    <t xml:space="preserve">FR-305</t>
  </si>
  <si>
    <t xml:space="preserve">phillip plein</t>
  </si>
  <si>
    <t xml:space="preserve">Spelling: Philipp Plein</t>
  </si>
  <si>
    <t xml:space="preserve">Philipp Plein No Limits Deodorant Stick 75g – Men's Fragranced Deodorant</t>
  </si>
  <si>
    <t xml:space="preserve">75g</t>
  </si>
  <si>
    <t xml:space="preserve">philipp plein no limits deodorant stick</t>
  </si>
  <si>
    <t xml:space="preserve">philipp plein no limits deodorant stick uk</t>
  </si>
  <si>
    <t xml:space="preserve">buy philipp plein no limits deodorant stick online</t>
  </si>
  <si>
    <t xml:space="preserve">philipp plein no limits deodorant stick price</t>
  </si>
  <si>
    <t xml:space="preserve">philipp plein perfume · philipp plein perfume for men · woody perfume for men uk</t>
  </si>
  <si>
    <t xml:space="preserve">Philipp Plein No Limits Deodorant Stick</t>
  </si>
  <si>
    <t xml:space="preserve">Philipp Plein No Limits Deodorant Stick | Swansura UK</t>
  </si>
  <si>
    <t xml:space="preserve">Buy Philipp Plein No Limits Deodorant Stick online in the UK at Swansura. A woody men's fragrance, 75g. 100% authentic, fast UK delivery, free over £50.</t>
  </si>
  <si>
    <t xml:space="preserve">FR-306</t>
  </si>
  <si>
    <t xml:space="preserve">Philipp Plein No Limits Super Fresh Eau de Toilette 50ml – Men's Fresh Woody Leather Fragrance</t>
  </si>
  <si>
    <t xml:space="preserve">philipp plein no limits super fresh</t>
  </si>
  <si>
    <t xml:space="preserve">philipp plein no limits super fresh uk</t>
  </si>
  <si>
    <t xml:space="preserve">buy philipp plein no limits super fresh online</t>
  </si>
  <si>
    <t xml:space="preserve">philipp plein no limits super fresh price</t>
  </si>
  <si>
    <t xml:space="preserve">philipp plein no limits super fresh eau de toilette</t>
  </si>
  <si>
    <t xml:space="preserve">Philipp Plein No Limits Super Fresh Eau de Toilette</t>
  </si>
  <si>
    <t xml:space="preserve">Philipp Plein No Limits Super Fresh EDT 50ml | Swansura UK</t>
  </si>
  <si>
    <t xml:space="preserve">Buy Philipp Plein No Limits Super Fresh Eau de Toilette online in the UK at Swansura. A woody men's eau de toilette. 100% authentic, free UK delivery over £50.</t>
  </si>
  <si>
    <t xml:space="preserve">FR-307</t>
  </si>
  <si>
    <t xml:space="preserve">Aftershave Balm</t>
  </si>
  <si>
    <t xml:space="preserve">Philipp Plein No Limits After Shave Balm 150ml – Men's Grooming &amp; Fragrance Care</t>
  </si>
  <si>
    <t xml:space="preserve">philipp plein no limits after shave balm</t>
  </si>
  <si>
    <t xml:space="preserve">philipp plein no limits after shave balm uk</t>
  </si>
  <si>
    <t xml:space="preserve">buy philipp plein no limits after shave balm online</t>
  </si>
  <si>
    <t xml:space="preserve">philipp plein no limits after shave balm price</t>
  </si>
  <si>
    <t xml:space="preserve">Philipp Plein No Limits After Shave Balm</t>
  </si>
  <si>
    <t xml:space="preserve">Philipp Plein No Limits After Shave Balm | Swansura UK</t>
  </si>
  <si>
    <t xml:space="preserve">Buy Philipp Plein No Limits After Shave Balm online in the UK at Swansura. A woody men's fragrance, 150ml. 100% authentic, fast UK delivery, free over £50.</t>
  </si>
  <si>
    <t xml:space="preserve">FR-308</t>
  </si>
  <si>
    <t xml:space="preserve">Rihanah</t>
  </si>
  <si>
    <t xml:space="preserve">Rihanah Ajwaa Oud Eau De Parfum Spray (Unisex) 100ml</t>
  </si>
  <si>
    <t xml:space="preserve">rihanah ajwaa oud</t>
  </si>
  <si>
    <t xml:space="preserve">rihanah ajwaa oud uk</t>
  </si>
  <si>
    <t xml:space="preserve">buy rihanah ajwaa oud online</t>
  </si>
  <si>
    <t xml:space="preserve">rihanah ajwaa oud price</t>
  </si>
  <si>
    <t xml:space="preserve">rihanah ajwaa oud eau de parfum</t>
  </si>
  <si>
    <t xml:space="preserve">rihanah perfume · oud perfume uk</t>
  </si>
  <si>
    <t xml:space="preserve">Rihanah Ajwaa Oud Eau De Parfum Spray (Unisex)</t>
  </si>
  <si>
    <t xml:space="preserve">Rihanah Ajwaa Oud Eau De Parfum Spray (Unisex) | Swansura UK</t>
  </si>
  <si>
    <t xml:space="preserve">Buy Rihanah Ajwaa Oud Eau De Parfum Spray (Unisex) online in the UK at Swansura. An oud unisex eau de parfum, 100ml. 100% authentic, free UK delivery over £50.</t>
  </si>
  <si>
    <t xml:space="preserve">FR-309</t>
  </si>
  <si>
    <t xml:space="preserve">S.T. Dupont</t>
  </si>
  <si>
    <t xml:space="preserve">S.T. Dupont Perfect Tobacco Eau de Parfum 100ml – Unisex Woody Spicy Tobacco Fragrance</t>
  </si>
  <si>
    <t xml:space="preserve">s.t. dupont perfect tobacco</t>
  </si>
  <si>
    <t xml:space="preserve">s.t. dupont perfect tobacco uk</t>
  </si>
  <si>
    <t xml:space="preserve">buy s.t. dupont perfect tobacco online</t>
  </si>
  <si>
    <t xml:space="preserve">s.t. dupont perfect tobacco price</t>
  </si>
  <si>
    <t xml:space="preserve">s.t. dupont perfect tobacco eau de parfum</t>
  </si>
  <si>
    <t xml:space="preserve">s.t. dupont perfume · woody perfume uk</t>
  </si>
  <si>
    <t xml:space="preserve">S.T. Dupont Perfect Tobacco Eau de Parfum</t>
  </si>
  <si>
    <t xml:space="preserve">S.T. Dupont Perfect Tobacco Eau de Parfum | Swansura UK</t>
  </si>
  <si>
    <t xml:space="preserve">Buy S.T. Dupont Perfect Tobacco Eau de Parfum online in the UK at Swansura. A woody unisex eau de parfum, 100ml. 100% authentic, free UK delivery over £50.</t>
  </si>
  <si>
    <t xml:space="preserve">FR-310</t>
  </si>
  <si>
    <t xml:space="preserve">S.T. Dupont Pure Bloom Eau de Parfum 100ml – Women's Floral Fruity Fragrance</t>
  </si>
  <si>
    <t xml:space="preserve">s.t. dupont pure bloom</t>
  </si>
  <si>
    <t xml:space="preserve">s.t. dupont pure bloom uk</t>
  </si>
  <si>
    <t xml:space="preserve">buy s.t. dupont pure bloom online</t>
  </si>
  <si>
    <t xml:space="preserve">s.t. dupont pure bloom price</t>
  </si>
  <si>
    <t xml:space="preserve">s.t. dupont pure bloom eau de parfum</t>
  </si>
  <si>
    <t xml:space="preserve">s.t. dupont perfume · s.t. dupont perfume for women · floral perfume for women uk</t>
  </si>
  <si>
    <t xml:space="preserve">S.T. Dupont Pure Bloom Eau de Parfum</t>
  </si>
  <si>
    <t xml:space="preserve">S.T. Dupont Pure Bloom EDP 100ml | Buy Online UK | Swansura</t>
  </si>
  <si>
    <t xml:space="preserve">Buy S.T. Dupont Pure Bloom Eau de Parfum online in the UK at Swansura. A floral women's eau de parfum, 100ml. 100% authentic, fast UK delivery, free over £50.</t>
  </si>
  <si>
    <t xml:space="preserve">FR-311</t>
  </si>
  <si>
    <t xml:space="preserve">S.T. Dupont Royal Amber Eau de Parfum 100ml – Unisex Amber Woody Fragrance</t>
  </si>
  <si>
    <t xml:space="preserve">s.t. dupont royal amber</t>
  </si>
  <si>
    <t xml:space="preserve">s.t. dupont royal amber uk</t>
  </si>
  <si>
    <t xml:space="preserve">buy s.t. dupont royal amber online</t>
  </si>
  <si>
    <t xml:space="preserve">s.t. dupont royal amber price</t>
  </si>
  <si>
    <t xml:space="preserve">s.t. dupont royal amber eau de parfum</t>
  </si>
  <si>
    <t xml:space="preserve">S.T. Dupont Royal Amber Eau de Parfum</t>
  </si>
  <si>
    <t xml:space="preserve">S.T. Dupont Royal Amber EDP 100ml | Buy Online UK | Swansura</t>
  </si>
  <si>
    <t xml:space="preserve">Buy S.T. Dupont Royal Amber Eau de Parfum online in the UK at Swansura. A woody unisex eau de parfum, 100ml. 100% authentic, fast UK delivery, free over £50.</t>
  </si>
  <si>
    <t xml:space="preserve">FR-312</t>
  </si>
  <si>
    <t xml:space="preserve">SAP</t>
  </si>
  <si>
    <t xml:space="preserve">Sap Le Roi Extrait De Parfum 100ML</t>
  </si>
  <si>
    <t xml:space="preserve">sap le roi</t>
  </si>
  <si>
    <t xml:space="preserve">sap le roi uk</t>
  </si>
  <si>
    <t xml:space="preserve">buy sap le roi online</t>
  </si>
  <si>
    <t xml:space="preserve">sap le roi price</t>
  </si>
  <si>
    <t xml:space="preserve">sap le roi extrait de parfum</t>
  </si>
  <si>
    <t xml:space="preserve">sap perfume · amber perfume uk</t>
  </si>
  <si>
    <t xml:space="preserve">sap le roi extrait de parfum · sap le roi perfume · sap le roi extrait · sap le roi parfum · sap le roi extrait de parfum 100ml</t>
  </si>
  <si>
    <t xml:space="preserve">Sap Le Roi Extrait De Parfum</t>
  </si>
  <si>
    <t xml:space="preserve">Sap Le Roi Extrait De Parfum | Buy Online UK | Swansura</t>
  </si>
  <si>
    <t xml:space="preserve">Buy Sap Le Roi Extrait De Parfum online in the UK at Swansura. An amber unisex extrait de parfum, 100ml. 100% authentic, fast UK delivery, free over £50.</t>
  </si>
  <si>
    <t xml:space="preserve">FR-313</t>
  </si>
  <si>
    <t xml:space="preserve">Sap Oud Leopard FR Extrait De Parfum 100ML</t>
  </si>
  <si>
    <t xml:space="preserve">sap oud leopard fr</t>
  </si>
  <si>
    <t xml:space="preserve">sap oud leopard fr uk</t>
  </si>
  <si>
    <t xml:space="preserve">buy sap oud leopard fr online</t>
  </si>
  <si>
    <t xml:space="preserve">sap oud leopard fr price</t>
  </si>
  <si>
    <t xml:space="preserve">sap oud leopard fr extrait de parfum</t>
  </si>
  <si>
    <t xml:space="preserve">sap perfume · oud perfume uk</t>
  </si>
  <si>
    <t xml:space="preserve">Sap Oud Leopard FR Extrait De Parfum</t>
  </si>
  <si>
    <t xml:space="preserve">Sap Oud Leopard FR Extrait 100ml | Buy Online UK | Swansura</t>
  </si>
  <si>
    <t xml:space="preserve">Buy Sap Oud Leopard FR Extrait De Parfum online in the UK at Swansura. An oud unisex extrait de parfum, 100ml. 100% authentic, fast UK delivery, free over £50.</t>
  </si>
  <si>
    <t xml:space="preserve">FR-314</t>
  </si>
  <si>
    <t xml:space="preserve">Sap Patchouli Intense Extrait De Parfum 100ML</t>
  </si>
  <si>
    <t xml:space="preserve">sap patchouli intense</t>
  </si>
  <si>
    <t xml:space="preserve">sap patchouli intense uk</t>
  </si>
  <si>
    <t xml:space="preserve">buy sap patchouli intense online</t>
  </si>
  <si>
    <t xml:space="preserve">sap patchouli intense price</t>
  </si>
  <si>
    <t xml:space="preserve">sap patchouli intense extrait de parfum</t>
  </si>
  <si>
    <t xml:space="preserve">sap perfume · woody perfume uk</t>
  </si>
  <si>
    <t xml:space="preserve">sap patchouli intense extrait de parfum 100ml · sap patchouli intense extrait de parfum · sap perfume patchouli intense</t>
  </si>
  <si>
    <t xml:space="preserve">Sap Patchouli Intense Extrait De Parfum</t>
  </si>
  <si>
    <t xml:space="preserve">Sap Patchouli Intense Extrait De Parfum | Swansura UK</t>
  </si>
  <si>
    <t xml:space="preserve">Buy Sap Patchouli Intense Extrait De Parfum online in the UK at Swansura. A woody unisex extrait de parfum, 100ml. 100% authentic, free UK delivery over £50.</t>
  </si>
  <si>
    <t xml:space="preserve">FR-315</t>
  </si>
  <si>
    <t xml:space="preserve">Sap Saffron Oud Extrait De Parfum 100ML</t>
  </si>
  <si>
    <t xml:space="preserve">sap saffron oud</t>
  </si>
  <si>
    <t xml:space="preserve">sap saffron oud uk</t>
  </si>
  <si>
    <t xml:space="preserve">buy sap saffron oud online</t>
  </si>
  <si>
    <t xml:space="preserve">sap saffron oud price</t>
  </si>
  <si>
    <t xml:space="preserve">sap saffron oud extrait de parfum</t>
  </si>
  <si>
    <t xml:space="preserve">sap saffron oud extrait de parfum · sap perfume saffron oud</t>
  </si>
  <si>
    <t xml:space="preserve">Sap Saffron Oud Extrait De Parfum</t>
  </si>
  <si>
    <t xml:space="preserve">Sap Saffron Oud Extrait De Parfum | Buy Online UK | Swansura</t>
  </si>
  <si>
    <t xml:space="preserve">Buy Sap Saffron Oud Extrait De Parfum online in the UK at Swansura. An oud unisex extrait de parfum, 100ml. 100% authentic, fast UK delivery, free over £50.</t>
  </si>
  <si>
    <t xml:space="preserve">FR-316</t>
  </si>
  <si>
    <t xml:space="preserve">Sap Vert Club Extrait De Parfum 100ML</t>
  </si>
  <si>
    <t xml:space="preserve">sap vert club</t>
  </si>
  <si>
    <t xml:space="preserve">sap vert club uk</t>
  </si>
  <si>
    <t xml:space="preserve">buy sap vert club online</t>
  </si>
  <si>
    <t xml:space="preserve">sap vert club price</t>
  </si>
  <si>
    <t xml:space="preserve">sap vert club extrait de parfum</t>
  </si>
  <si>
    <t xml:space="preserve">sap perfume vert club</t>
  </si>
  <si>
    <t xml:space="preserve">Sap Vert Club Extrait De Parfum</t>
  </si>
  <si>
    <t xml:space="preserve">Sap Vert Club Extrait De Parfum | Buy Online UK | Swansura</t>
  </si>
  <si>
    <t xml:space="preserve">Buy Sap Vert Club Extrait De Parfum online in the UK at Swansura. An amber unisex extrait de parfum, 100ml. 100% authentic, fast UK delivery, free over £50.</t>
  </si>
  <si>
    <t xml:space="preserve">FR-317</t>
  </si>
  <si>
    <t xml:space="preserve">Serge Lutens</t>
  </si>
  <si>
    <t xml:space="preserve">Serge Lutens La Fille de Berlin Eau de Parfum 50ml – Luxury Unisex Rose Fragrance</t>
  </si>
  <si>
    <t xml:space="preserve">serge lutens la fille de berlin</t>
  </si>
  <si>
    <t xml:space="preserve">serge lutens la fille de berlin uk</t>
  </si>
  <si>
    <t xml:space="preserve">buy serge lutens la fille de berlin online</t>
  </si>
  <si>
    <t xml:space="preserve">serge lutens la fille de berlin price</t>
  </si>
  <si>
    <t xml:space="preserve">serge lutens la fille de berlin eau de parfum</t>
  </si>
  <si>
    <t xml:space="preserve">serge lutens perfume · floral perfume uk</t>
  </si>
  <si>
    <t xml:space="preserve">serge lutens la fille de berlin notes · serge lutens la fille de berlin eau de parfum · serge lutens la fille de berlin review · serge lutens la fille de berlin edp · serge lutens la fille de berlin dupe · serge lutens la fille de berlin 100ml</t>
  </si>
  <si>
    <t xml:space="preserve">Serge Lutens La Fille de Berlin Eau de Parfum</t>
  </si>
  <si>
    <t xml:space="preserve">Serge Lutens La Fille de Berlin Eau de Parfum | Swansura UK</t>
  </si>
  <si>
    <t xml:space="preserve">Buy Serge Lutens La Fille de Berlin Eau de Parfum online in the UK at Swansura. A floral unisex eau de parfum, 50ml. 100% authentic, free UK delivery over £50.</t>
  </si>
  <si>
    <t xml:space="preserve">FR-318</t>
  </si>
  <si>
    <t xml:space="preserve">Shiseido</t>
  </si>
  <si>
    <t xml:space="preserve">Shiseido Zen Eau de Parfum 100ml – Women's Floral Woody Fragrance</t>
  </si>
  <si>
    <t xml:space="preserve">shiseido zen</t>
  </si>
  <si>
    <t xml:space="preserve">shiseido zen uk</t>
  </si>
  <si>
    <t xml:space="preserve">buy shiseido zen online</t>
  </si>
  <si>
    <t xml:space="preserve">shiseido zen price</t>
  </si>
  <si>
    <t xml:space="preserve">shiseido zen eau de parfum</t>
  </si>
  <si>
    <t xml:space="preserve">shiseido perfume · shiseido perfume for women · floral perfume for women uk</t>
  </si>
  <si>
    <t xml:space="preserve">shiseido zen perfume · shiseido zen eau de parfum · shiseido zen for men · shiseido zen perfume price · shiseido zen parfum</t>
  </si>
  <si>
    <t xml:space="preserve">Shiseido Zen Eau de Parfum</t>
  </si>
  <si>
    <t xml:space="preserve">Shiseido Zen Eau de Parfum | Buy Online UK | Swansura</t>
  </si>
  <si>
    <t xml:space="preserve">Buy Shiseido Zen Eau de Parfum online in the UK at Swansura. A floral women's eau de parfum, 100ml. 100% authentic, fast UK delivery, free over £50.</t>
  </si>
  <si>
    <t xml:space="preserve">FR-319</t>
  </si>
  <si>
    <t xml:space="preserve">Signature D'orient</t>
  </si>
  <si>
    <t xml:space="preserve">Signature Ambre Eau De Parfum 100ml+15ml+Funnel (UNISEX)</t>
  </si>
  <si>
    <t xml:space="preserve">signature ambre</t>
  </si>
  <si>
    <t xml:space="preserve">signature ambre uk</t>
  </si>
  <si>
    <t xml:space="preserve">buy signature ambre online</t>
  </si>
  <si>
    <t xml:space="preserve">signature ambre price</t>
  </si>
  <si>
    <t xml:space="preserve">signature ambre eau de parfum</t>
  </si>
  <si>
    <t xml:space="preserve">signature d'orient perfume · amber perfume uk</t>
  </si>
  <si>
    <t xml:space="preserve">signature ambre perfume · signature ambre perfume for men · signature ambre отзывы · signature ambre eau de parfum · signature ambre parfum · signature d'orient ambre</t>
  </si>
  <si>
    <t xml:space="preserve">Signature Ambre Eau De Parfum</t>
  </si>
  <si>
    <t xml:space="preserve">Signature Ambre Eau De Parfum | Buy Online UK | Swansura</t>
  </si>
  <si>
    <t xml:space="preserve">Buy Signature Ambre Eau De Parfum online in the UK at Swansura. An amber unisex eau de parfum, 100ml. 100% authentic, fast UK delivery, free over £50.</t>
  </si>
  <si>
    <t xml:space="preserve">FR-320</t>
  </si>
  <si>
    <t xml:space="preserve">Signature Aura EDP 100ML+15ML Refillable Travel Spray</t>
  </si>
  <si>
    <t xml:space="preserve">signature aura</t>
  </si>
  <si>
    <t xml:space="preserve">signature aura uk</t>
  </si>
  <si>
    <t xml:space="preserve">buy signature aura online</t>
  </si>
  <si>
    <t xml:space="preserve">signature aura price</t>
  </si>
  <si>
    <t xml:space="preserve">signature aura edp</t>
  </si>
  <si>
    <t xml:space="preserve">signature aura perfume</t>
  </si>
  <si>
    <t xml:space="preserve">Signature Aura EDP</t>
  </si>
  <si>
    <t xml:space="preserve">Signature Aura EDP 100ml | Buy Online UK | Swansura</t>
  </si>
  <si>
    <t xml:space="preserve">Buy Signature Aura EDP online in the UK at Swansura. An amber unisex eau de parfum, 100ml. 100% authentic, fast UK delivery, free over £50.</t>
  </si>
  <si>
    <t xml:space="preserve">FR-321</t>
  </si>
  <si>
    <t xml:space="preserve">Signature Black Pour Homme 100ml EDP</t>
  </si>
  <si>
    <t xml:space="preserve">signature black pour homme</t>
  </si>
  <si>
    <t xml:space="preserve">signature black pour homme uk</t>
  </si>
  <si>
    <t xml:space="preserve">buy signature black pour homme online</t>
  </si>
  <si>
    <t xml:space="preserve">signature black pour homme price</t>
  </si>
  <si>
    <t xml:space="preserve">signature black pour homme edp</t>
  </si>
  <si>
    <t xml:space="preserve">signature d'orient perfume · signature d'orient perfume for men · woody perfume for men uk</t>
  </si>
  <si>
    <t xml:space="preserve">signature black perfume pour homme · signature pour homme black</t>
  </si>
  <si>
    <t xml:space="preserve">Signature Black Pour Homme EDP</t>
  </si>
  <si>
    <t xml:space="preserve">Signature Black Pour Homme EDP | Buy Online UK | Swansura</t>
  </si>
  <si>
    <t xml:space="preserve">Buy Signature Black Pour Homme EDP online in the UK at Swansura. A woody men's eau de parfum, 100ml. 100% authentic, fast UK delivery, free over £50.</t>
  </si>
  <si>
    <t xml:space="preserve">FR-322</t>
  </si>
  <si>
    <t xml:space="preserve">Signature Charm EDP 100ML+15ML Refillable Travel Spray</t>
  </si>
  <si>
    <t xml:space="preserve">signature charm</t>
  </si>
  <si>
    <t xml:space="preserve">signature charm uk</t>
  </si>
  <si>
    <t xml:space="preserve">buy signature charm online</t>
  </si>
  <si>
    <t xml:space="preserve">signature charm price</t>
  </si>
  <si>
    <t xml:space="preserve">signature charm edp</t>
  </si>
  <si>
    <t xml:space="preserve">signature charm perfume</t>
  </si>
  <si>
    <t xml:space="preserve">Signature Charm EDP</t>
  </si>
  <si>
    <t xml:space="preserve">Signature Charm EDP 100ml | Buy Online UK | Swansura</t>
  </si>
  <si>
    <t xml:space="preserve">Buy Signature Charm EDP online in the UK at Swansura. An amber unisex eau de parfum, 100ml. 100% authentic, fast UK delivery, free over £50.</t>
  </si>
  <si>
    <t xml:space="preserve">FR-323</t>
  </si>
  <si>
    <t xml:space="preserve">Signature Le Femme Gold 100ml EDP Spray</t>
  </si>
  <si>
    <t xml:space="preserve">signature le femme gold</t>
  </si>
  <si>
    <t xml:space="preserve">signature le femme gold uk</t>
  </si>
  <si>
    <t xml:space="preserve">buy signature le femme gold online</t>
  </si>
  <si>
    <t xml:space="preserve">signature le femme gold price</t>
  </si>
  <si>
    <t xml:space="preserve">signature le femme gold edp</t>
  </si>
  <si>
    <t xml:space="preserve">signature d'orient perfume · signature d'orient perfume for women · floral perfume for women uk</t>
  </si>
  <si>
    <t xml:space="preserve">Signature Le Femme Gold EDP Spray</t>
  </si>
  <si>
    <t xml:space="preserve">Signature Le Femme Gold EDP Spray | Buy Online UK | Swansura</t>
  </si>
  <si>
    <t xml:space="preserve">Buy Signature Le Femme Gold EDP Spray online in the UK at Swansura. A floral women's eau de parfum, 100ml. 100% authentic, fast UK delivery, free over £50.</t>
  </si>
  <si>
    <t xml:space="preserve">FR-324</t>
  </si>
  <si>
    <t xml:space="preserve">Musk · Unisex Fragrance</t>
  </si>
  <si>
    <t xml:space="preserve">Signature Musk Eau De Parfum 100ml+15ml+Funnel (UNISEX)</t>
  </si>
  <si>
    <t xml:space="preserve">signature musk</t>
  </si>
  <si>
    <t xml:space="preserve">signature musk uk</t>
  </si>
  <si>
    <t xml:space="preserve">buy signature musk online</t>
  </si>
  <si>
    <t xml:space="preserve">signature musk price</t>
  </si>
  <si>
    <t xml:space="preserve">signature musk eau de parfum</t>
  </si>
  <si>
    <t xml:space="preserve">signature d'orient perfume · musk perfume uk</t>
  </si>
  <si>
    <t xml:space="preserve">signature musk perfume</t>
  </si>
  <si>
    <t xml:space="preserve">Signature Musk Eau De Parfum</t>
  </si>
  <si>
    <t xml:space="preserve">Signature Musk Eau De Parfum | Buy Online UK | Swansura</t>
  </si>
  <si>
    <t xml:space="preserve">Buy Signature Musk Eau De Parfum online in the UK at Swansura. A musk unisex eau de parfum, 100ml. 100% authentic, fast UK delivery, free over £50.</t>
  </si>
  <si>
    <t xml:space="preserve">FR-325</t>
  </si>
  <si>
    <t xml:space="preserve">Signature Onyx Eau De Parfum 100ml+15ml+Funnel (UNISEX)</t>
  </si>
  <si>
    <t xml:space="preserve">signature onyx</t>
  </si>
  <si>
    <t xml:space="preserve">signature onyx uk</t>
  </si>
  <si>
    <t xml:space="preserve">buy signature onyx online</t>
  </si>
  <si>
    <t xml:space="preserve">signature onyx price</t>
  </si>
  <si>
    <t xml:space="preserve">signature onyx eau de parfum</t>
  </si>
  <si>
    <t xml:space="preserve">signature onyx perfume · signature onyx eau de parfum · signature onyx perfume price · signature onyx 100ml · signature onyx edp</t>
  </si>
  <si>
    <t xml:space="preserve">Signature Onyx Eau De Parfum</t>
  </si>
  <si>
    <t xml:space="preserve">Signature Onyx Eau De Parfum | Buy Online UK | Swansura</t>
  </si>
  <si>
    <t xml:space="preserve">Buy Signature Onyx Eau De Parfum online in the UK at Swansura. An amber unisex eau de parfum, 100ml. 100% authentic, fast UK delivery, free over £50.</t>
  </si>
  <si>
    <t xml:space="preserve">FR-326</t>
  </si>
  <si>
    <t xml:space="preserve">Signature Opal 100ml + 15ml Eau De Parfum</t>
  </si>
  <si>
    <t xml:space="preserve">signature opal</t>
  </si>
  <si>
    <t xml:space="preserve">signature opal uk</t>
  </si>
  <si>
    <t xml:space="preserve">buy signature opal online</t>
  </si>
  <si>
    <t xml:space="preserve">signature opal price</t>
  </si>
  <si>
    <t xml:space="preserve">signature opal eau de parfum</t>
  </si>
  <si>
    <t xml:space="preserve">signature opal perfume · signature opal edp · signature opal отзывы · signature opal parfum</t>
  </si>
  <si>
    <t xml:space="preserve">Signature Opal</t>
  </si>
  <si>
    <t xml:space="preserve">Signature Opal EDP 100ml | Buy Online UK | Swansura</t>
  </si>
  <si>
    <t xml:space="preserve">Buy Signature Opal online in the UK at Swansura. An amber unisex eau de parfum, 100ml. 100% authentic, fast UK delivery, free over £50.</t>
  </si>
  <si>
    <t xml:space="preserve">FR-327</t>
  </si>
  <si>
    <t xml:space="preserve">Signature Paradiso EDP 100ML+15ML Refillable Travel Spray</t>
  </si>
  <si>
    <t xml:space="preserve">signature paradiso</t>
  </si>
  <si>
    <t xml:space="preserve">signature paradiso uk</t>
  </si>
  <si>
    <t xml:space="preserve">buy signature paradiso online</t>
  </si>
  <si>
    <t xml:space="preserve">signature paradiso price</t>
  </si>
  <si>
    <t xml:space="preserve">signature paradiso edp</t>
  </si>
  <si>
    <t xml:space="preserve">signature paradiso perfume · signature paradiso eau de parfum · signature paradiso edt · signature paradiso parfum · signature paradiso отзывы</t>
  </si>
  <si>
    <t xml:space="preserve">Signature Paradiso EDP</t>
  </si>
  <si>
    <t xml:space="preserve">Signature Paradiso EDP 100ml | Buy Online UK | Swansura</t>
  </si>
  <si>
    <t xml:space="preserve">Buy Signature Paradiso EDP online in the UK at Swansura. An amber unisex eau de parfum, 100ml. 100% authentic, fast UK delivery, free over £50.</t>
  </si>
  <si>
    <t xml:space="preserve">FR-328</t>
  </si>
  <si>
    <t xml:space="preserve">Signature Santal Eau De Parfum 100ml+15ml (UNISEX)</t>
  </si>
  <si>
    <t xml:space="preserve">signature santal</t>
  </si>
  <si>
    <t xml:space="preserve">signature santal uk</t>
  </si>
  <si>
    <t xml:space="preserve">buy signature santal online</t>
  </si>
  <si>
    <t xml:space="preserve">signature santal price</t>
  </si>
  <si>
    <t xml:space="preserve">signature santal eau de parfum</t>
  </si>
  <si>
    <t xml:space="preserve">signature santal perfume · signature santal edp · signature santal notes · signature santal oil · signature santal eau de parfum · signature santal отзывы</t>
  </si>
  <si>
    <t xml:space="preserve">Signature Santal Eau De Parfum</t>
  </si>
  <si>
    <t xml:space="preserve">Signature Santal Eau De Parfum | Buy Online UK | Swansura</t>
  </si>
  <si>
    <t xml:space="preserve">Buy Signature Santal Eau De Parfum online in the UK at Swansura. An amber unisex eau de parfum, 100ml. 100% authentic, fast UK delivery, free over £50.</t>
  </si>
  <si>
    <t xml:space="preserve">FR-329</t>
  </si>
  <si>
    <t xml:space="preserve">Signature Sapphire Eau De Parfum 100ml+15ml+Funnel (UNISEX)</t>
  </si>
  <si>
    <t xml:space="preserve">signature sapphire</t>
  </si>
  <si>
    <t xml:space="preserve">signature sapphire uk</t>
  </si>
  <si>
    <t xml:space="preserve">buy signature sapphire online</t>
  </si>
  <si>
    <t xml:space="preserve">signature sapphire price</t>
  </si>
  <si>
    <t xml:space="preserve">signature sapphire eau de parfum</t>
  </si>
  <si>
    <t xml:space="preserve">signature sapphire perfume · signature sapphire eau de parfum · signature sapphire edp · sapphire signature sale</t>
  </si>
  <si>
    <t xml:space="preserve">Signature Sapphire Eau De Parfum</t>
  </si>
  <si>
    <t xml:space="preserve">Signature Sapphire Eau De Parfum | Buy Online UK | Swansura</t>
  </si>
  <si>
    <t xml:space="preserve">Buy Signature Sapphire Eau De Parfum online in the UK at Swansura. An amber unisex eau de parfum, 100ml. 100% authentic, fast UK delivery, free over £50.</t>
  </si>
  <si>
    <t xml:space="preserve">FR-330</t>
  </si>
  <si>
    <t xml:space="preserve">Signature Diamond 100ml +15ml Eau De Parfum Set</t>
  </si>
  <si>
    <t xml:space="preserve">signature diamond</t>
  </si>
  <si>
    <t xml:space="preserve">signature diamond uk</t>
  </si>
  <si>
    <t xml:space="preserve">buy signature diamond online</t>
  </si>
  <si>
    <t xml:space="preserve">signature diamond price</t>
  </si>
  <si>
    <t xml:space="preserve">signature diamond eau de parfum</t>
  </si>
  <si>
    <t xml:space="preserve">signature diamond perfume</t>
  </si>
  <si>
    <t xml:space="preserve">Signature Diamond</t>
  </si>
  <si>
    <t xml:space="preserve">Signature Diamond 100ml | Buy Online UK | Swansura</t>
  </si>
  <si>
    <t xml:space="preserve">Buy Signature Diamond online in the UK at Swansura. An amber unisex eau de parfum, 100ml. 100% authentic, fast UK delivery, free over £50.</t>
  </si>
  <si>
    <t xml:space="preserve">FR-331</t>
  </si>
  <si>
    <t xml:space="preserve">Signature Discovery Set 10x10ml</t>
  </si>
  <si>
    <t xml:space="preserve">10x10ml</t>
  </si>
  <si>
    <t xml:space="preserve">signature discovery set</t>
  </si>
  <si>
    <t xml:space="preserve">signature discovery set uk</t>
  </si>
  <si>
    <t xml:space="preserve">buy signature discovery set online</t>
  </si>
  <si>
    <t xml:space="preserve">signature discovery set price</t>
  </si>
  <si>
    <t xml:space="preserve">signature mini discovery set · signature parfum discovery set</t>
  </si>
  <si>
    <t xml:space="preserve">Signature Discovery Set 10x10ml | Buy Online UK | Swansura</t>
  </si>
  <si>
    <t xml:space="preserve">Buy Signature Discovery Set 10x10ml online in the UK at Swansura. An amber unisex fragrance, 10x10ml. 100% authentic, fast UK delivery, free over £50.</t>
  </si>
  <si>
    <t xml:space="preserve">FR-332</t>
  </si>
  <si>
    <t xml:space="preserve">Fresh · Unisex Fragrance</t>
  </si>
  <si>
    <t xml:space="preserve">Signature Blue 100ml Edp</t>
  </si>
  <si>
    <t xml:space="preserve">signature blue</t>
  </si>
  <si>
    <t xml:space="preserve">signature blue uk</t>
  </si>
  <si>
    <t xml:space="preserve">buy signature blue online</t>
  </si>
  <si>
    <t xml:space="preserve">signature blue price</t>
  </si>
  <si>
    <t xml:space="preserve">signature blue edp</t>
  </si>
  <si>
    <t xml:space="preserve">signature d'orient perfume · fresh perfume uk</t>
  </si>
  <si>
    <t xml:space="preserve">signature blue perfume</t>
  </si>
  <si>
    <t xml:space="preserve">Signature Blue Edp</t>
  </si>
  <si>
    <t xml:space="preserve">Signature Blue Edp 100ml | Buy Online UK | Swansura</t>
  </si>
  <si>
    <t xml:space="preserve">Buy Signature Blue Edp online in the UK at Swansura. A fresh unisex eau de parfum, 100ml. 100% authentic, fast UK delivery, free over £50.</t>
  </si>
  <si>
    <t xml:space="preserve">FR-333</t>
  </si>
  <si>
    <t xml:space="preserve">Signature Jade 100ml Edp + 15ml Travel Spray</t>
  </si>
  <si>
    <t xml:space="preserve">signature jade</t>
  </si>
  <si>
    <t xml:space="preserve">signature jade uk</t>
  </si>
  <si>
    <t xml:space="preserve">buy signature jade online</t>
  </si>
  <si>
    <t xml:space="preserve">signature jade price</t>
  </si>
  <si>
    <t xml:space="preserve">signature jade edp</t>
  </si>
  <si>
    <t xml:space="preserve">signature jade perfume · signature jade eau de parfum · signature jade perfume price · signature jade edp · signature jade edp 100ml</t>
  </si>
  <si>
    <t xml:space="preserve">Signature Jade Edp</t>
  </si>
  <si>
    <t xml:space="preserve">Signature Jade Edp 100ml | Buy Online UK | Swansura</t>
  </si>
  <si>
    <t xml:space="preserve">Buy Signature Jade Edp online in the UK at Swansura. An amber unisex eau de parfum, 100ml. 100% authentic, fast UK delivery, free over £50.</t>
  </si>
  <si>
    <t xml:space="preserve">FR-334</t>
  </si>
  <si>
    <t xml:space="preserve">Signature Rose 100ml Edp +15ml Travel Spray</t>
  </si>
  <si>
    <t xml:space="preserve">signature rose</t>
  </si>
  <si>
    <t xml:space="preserve">signature rose uk</t>
  </si>
  <si>
    <t xml:space="preserve">buy signature rose online</t>
  </si>
  <si>
    <t xml:space="preserve">signature rose price</t>
  </si>
  <si>
    <t xml:space="preserve">signature rose edp</t>
  </si>
  <si>
    <t xml:space="preserve">signature d'orient perfume · floral perfume uk</t>
  </si>
  <si>
    <t xml:space="preserve">signature rose perfume</t>
  </si>
  <si>
    <t xml:space="preserve">Signature Rose Edp</t>
  </si>
  <si>
    <t xml:space="preserve">Signature Rose Edp 100ml | Buy Online UK | Swansura</t>
  </si>
  <si>
    <t xml:space="preserve">Buy Signature Rose Edp online in the UK at Swansura. A floral unisex eau de parfum, 100ml. 100% authentic, fast UK delivery, free over £50.</t>
  </si>
  <si>
    <t xml:space="preserve">Swansura - The Body Studio</t>
  </si>
  <si>
    <t xml:space="preserve">acqua di parma zafferano</t>
  </si>
  <si>
    <t xml:space="preserve">acqua di parma zafferano uk</t>
  </si>
  <si>
    <t xml:space="preserve">buy acqua di parma zafferano online</t>
  </si>
  <si>
    <t xml:space="preserve">acqua di parma zafferano price</t>
  </si>
  <si>
    <t xml:space="preserve">acqua di parma zafferano edp</t>
  </si>
  <si>
    <t xml:space="preserve">acqua di parma zafferano review · acqua di parma zafferano eau de parfum · acqua di parma zafferano 100ml · acqua di parma zafferano dupe · acqua di parma zafferano edp</t>
  </si>
  <si>
    <t xml:space="preserve">Acqua di Parma Zafferano EDP Unisex</t>
  </si>
  <si>
    <t xml:space="preserve">Acqua di Parma Zafferano Unisex EDP 20ml | Swansura UK</t>
  </si>
  <si>
    <t xml:space="preserve">Buy Acqua di Parma Zafferano EDP Unisex online in the UK at Swansura. An amber unisex eau de parfum, 20ml. 100% authentic, fast UK delivery, free over £50.</t>
  </si>
  <si>
    <t xml:space="preserve">FR-336</t>
  </si>
  <si>
    <t xml:space="preserve">Hermès Un Jardin en Méditerranée EDT 15ml Miniature Unisex Fragrance</t>
  </si>
  <si>
    <t xml:space="preserve">hermes un jardin en mediterranee miniature</t>
  </si>
  <si>
    <t xml:space="preserve">hermes un jardin en mediterranee miniature uk</t>
  </si>
  <si>
    <t xml:space="preserve">buy hermes un jardin en mediterranee miniature online</t>
  </si>
  <si>
    <t xml:space="preserve">hermes un jardin en mediterranee miniature price</t>
  </si>
  <si>
    <t xml:space="preserve">hermes un jardin en mediterranee miniature edt</t>
  </si>
  <si>
    <t xml:space="preserve">Hermès Un Jardin En Méditerranée EDT Miniature Unisex Fragrance</t>
  </si>
  <si>
    <t xml:space="preserve">Hermès Un Jardin En Méditerranée Miniature | Swansura UK</t>
  </si>
  <si>
    <t xml:space="preserve">Buy Hermès Un Jardin En Méditerranée EDT Miniature Unisex Fragrance at Swansura UK. An amber unisex eau de toilette. 100% authentic, free UK delivery over £50.</t>
  </si>
  <si>
    <t xml:space="preserve">FR-337</t>
  </si>
  <si>
    <t xml:space="preserve">Hermès Un Jardin Sur Le Toit Eau de Toilette 15ml Miniature Unisex Fragrance</t>
  </si>
  <si>
    <t xml:space="preserve">hermes un jardin sur le toit miniature</t>
  </si>
  <si>
    <t xml:space="preserve">hermes un jardin sur le toit miniature uk</t>
  </si>
  <si>
    <t xml:space="preserve">buy hermes un jardin sur le toit miniature online</t>
  </si>
  <si>
    <t xml:space="preserve">hermes un jardin sur le toit miniature price</t>
  </si>
  <si>
    <t xml:space="preserve">hermes un jardin sur le toit miniature eau de toilette</t>
  </si>
  <si>
    <t xml:space="preserve">hermes un jardin sur le toit mini</t>
  </si>
  <si>
    <t xml:space="preserve">Hermès Un Jardin Sur Le Toit Eau de Toilette Miniature Unisex Fragrance</t>
  </si>
  <si>
    <t xml:space="preserve">Hermès Un Jardin Sur Le Toit Miniature Unisex | Swansura UK</t>
  </si>
  <si>
    <t xml:space="preserve">Buy Hermès Un Jardin Sur Le Toit Eau de Toilette Miniature Unisex Fragrance at Swansura UK. An amber unisex eau de toilette, 15ml. Free UK delivery over £50.</t>
  </si>
  <si>
    <t xml:space="preserve">FR-338</t>
  </si>
  <si>
    <t xml:space="preserve">Hermès Un Jardin à Cythère Eau de Toilette 15ml Miniature Unisex Fragrance</t>
  </si>
  <si>
    <t xml:space="preserve">hermes un jardin a cythere miniature</t>
  </si>
  <si>
    <t xml:space="preserve">hermes un jardin a cythere miniature uk</t>
  </si>
  <si>
    <t xml:space="preserve">buy hermes un jardin a cythere miniature online</t>
  </si>
  <si>
    <t xml:space="preserve">hermes un jardin a cythere miniature price</t>
  </si>
  <si>
    <t xml:space="preserve">hermes un jardin a cythere miniature eau de toilette</t>
  </si>
  <si>
    <t xml:space="preserve">Hermès Un Jardin À Cythère Eau de Toilette Miniature Unisex Fragrance</t>
  </si>
  <si>
    <t xml:space="preserve">Hermès Un Jardin À Cythère Miniature Unisex | Swansura UK</t>
  </si>
  <si>
    <t xml:space="preserve">Buy Hermès Un Jardin À Cythère Eau de Toilette Miniature Unisex Fragrance at Swansura UK. An amber unisex eau de toilette, 15ml. Free UK delivery over £50.</t>
  </si>
  <si>
    <t xml:space="preserve">FR-339</t>
  </si>
  <si>
    <t xml:space="preserve">Korloff In White Eau De Toilette 88ML</t>
  </si>
  <si>
    <t xml:space="preserve">korloff in white</t>
  </si>
  <si>
    <t xml:space="preserve">korloff in white uk</t>
  </si>
  <si>
    <t xml:space="preserve">buy korloff in white online</t>
  </si>
  <si>
    <t xml:space="preserve">korloff in white price</t>
  </si>
  <si>
    <t xml:space="preserve">korloff in white eau de toilette</t>
  </si>
  <si>
    <t xml:space="preserve">korloff in white perfume · korloff in white price</t>
  </si>
  <si>
    <t xml:space="preserve">Korloff In White Eau De Toilette</t>
  </si>
  <si>
    <t xml:space="preserve">Korloff In White Eau De Toilette | Buy Online UK | Swansura</t>
  </si>
  <si>
    <t xml:space="preserve">Buy Korloff In White Eau De Toilette online in the UK at Swansura. An amber unisex eau de toilette, 88ML. 100% authentic, fast UK delivery, free over £50.</t>
  </si>
  <si>
    <t xml:space="preserve">FR-340</t>
  </si>
  <si>
    <t xml:space="preserve">Hermès Miniature EDT Gift Set 4 x 7.5ml Unisex Fragrances</t>
  </si>
  <si>
    <t xml:space="preserve">7.5ml</t>
  </si>
  <si>
    <t xml:space="preserve">hermes miniature gift set 4 x fragrances</t>
  </si>
  <si>
    <t xml:space="preserve">hermes miniature gift set 4 x fragrances uk</t>
  </si>
  <si>
    <t xml:space="preserve">buy hermes miniature gift set 4 x fragrances online</t>
  </si>
  <si>
    <t xml:space="preserve">hermes miniature gift set 4 x fragrances price</t>
  </si>
  <si>
    <t xml:space="preserve">Hermès Miniature EDT Gift Set 4 X Unisex Fragrances</t>
  </si>
  <si>
    <t xml:space="preserve">Hermès Miniature Gift Set 4 X Unisex | Swansura UK</t>
  </si>
  <si>
    <t xml:space="preserve">Buy Hermès Miniature EDT Gift Set 4 X Unisex Fragrances at Swansura UK. An amber unisex eau de toilette, 7.5ml. 100% authentic, fast UK delivery, free over £50.</t>
  </si>
  <si>
    <t xml:space="preserve">FR-341</t>
  </si>
  <si>
    <t xml:space="preserve">Casanova Anniversary Extrait de Parfum 100ml – Unisex Luxury Niche Perfume</t>
  </si>
  <si>
    <t xml:space="preserve">casanova anniversary</t>
  </si>
  <si>
    <t xml:space="preserve">casanova anniversary uk</t>
  </si>
  <si>
    <t xml:space="preserve">buy casanova anniversary online</t>
  </si>
  <si>
    <t xml:space="preserve">casanova anniversary price</t>
  </si>
  <si>
    <t xml:space="preserve">casanova anniversary extrait de parfum</t>
  </si>
  <si>
    <t xml:space="preserve">anniversary casanova</t>
  </si>
  <si>
    <t xml:space="preserve">Casanova Anniversary Extrait de Parfum</t>
  </si>
  <si>
    <t xml:space="preserve">Casanova Anniversary Extrait de Parfum | Swansura UK</t>
  </si>
  <si>
    <t xml:space="preserve">Buy Casanova Anniversary Extrait de Parfum online in the UK at Swansura. An amber unisex extrait de parfum, 100ml. 100% authentic, free UK delivery over £50.</t>
  </si>
  <si>
    <t xml:space="preserve">FR-342</t>
  </si>
  <si>
    <t xml:space="preserve">The Woods Collection</t>
  </si>
  <si>
    <t xml:space="preserve">The Woods Collection Azure Eau De Parfum 100ML</t>
  </si>
  <si>
    <t xml:space="preserve">the woods collection azure</t>
  </si>
  <si>
    <t xml:space="preserve">the woods collection azure uk</t>
  </si>
  <si>
    <t xml:space="preserve">buy the woods collection azure online</t>
  </si>
  <si>
    <t xml:space="preserve">the woods collection azure price</t>
  </si>
  <si>
    <t xml:space="preserve">the woods collection azure eau de parfum</t>
  </si>
  <si>
    <t xml:space="preserve">the woods collection perfume · amber perfume uk</t>
  </si>
  <si>
    <t xml:space="preserve">the woods collection azure review · the woods collection azure eau de parfum · the woods collection azure отзывы · the woods collection azure фрагрантика</t>
  </si>
  <si>
    <t xml:space="preserve">The Woods Collection Azure Eau De Parfum</t>
  </si>
  <si>
    <t xml:space="preserve">The Woods Collection Azure Eau De Parfum | Swansura UK</t>
  </si>
  <si>
    <t xml:space="preserve">Buy The Woods Collection Azure Eau De Parfum online in the UK at Swansura. An amber unisex eau de parfum, 100ml. 100% authentic, free UK delivery over £50.</t>
  </si>
  <si>
    <t xml:space="preserve">FR-343</t>
  </si>
  <si>
    <t xml:space="preserve">The Woods Collection Eden Eau De Parfum 100ML</t>
  </si>
  <si>
    <t xml:space="preserve">the woods collection eden</t>
  </si>
  <si>
    <t xml:space="preserve">the woods collection eden uk</t>
  </si>
  <si>
    <t xml:space="preserve">buy the woods collection eden online</t>
  </si>
  <si>
    <t xml:space="preserve">the woods collection eden price</t>
  </si>
  <si>
    <t xml:space="preserve">the woods collection eden eau de parfum</t>
  </si>
  <si>
    <t xml:space="preserve">the woods collection eden review · the woods collection eden eau de parfum · the woods collection eden отзывы · the woods collection eden edp 100ml · عطر the woods collection eden · the woods collection eden фрагрантика</t>
  </si>
  <si>
    <t xml:space="preserve">The Woods Collection Eden Eau De Parfum</t>
  </si>
  <si>
    <t xml:space="preserve">The Woods Collection Eden Eau De Parfum | Swansura UK</t>
  </si>
  <si>
    <t xml:space="preserve">Buy The Woods Collection Eden Eau De Parfum online in the UK at Swansura. An amber unisex eau de parfum, 100ml. 100% authentic, fast UK delivery, free over £50.</t>
  </si>
  <si>
    <t xml:space="preserve">FR-344</t>
  </si>
  <si>
    <t xml:space="preserve">The Woods Collection Elysian Eau De Parfum 100ML</t>
  </si>
  <si>
    <t xml:space="preserve">the woods collection elysian</t>
  </si>
  <si>
    <t xml:space="preserve">the woods collection elysian uk</t>
  </si>
  <si>
    <t xml:space="preserve">buy the woods collection elysian online</t>
  </si>
  <si>
    <t xml:space="preserve">the woods collection elysian price</t>
  </si>
  <si>
    <t xml:space="preserve">the woods collection elysian eau de parfum</t>
  </si>
  <si>
    <t xml:space="preserve">The Woods Collection Elysian Eau De Parfum</t>
  </si>
  <si>
    <t xml:space="preserve">The Woods Collection Elysian Eau De Parfum | Swansura UK</t>
  </si>
  <si>
    <t xml:space="preserve">Buy The Woods Collection Elysian Eau De Parfum online in the UK at Swansura. An amber unisex eau de parfum, 100ml. 100% authentic, free UK delivery over £50.</t>
  </si>
  <si>
    <t xml:space="preserve">FR-345</t>
  </si>
  <si>
    <t xml:space="preserve">Green · Unisex Fragrance</t>
  </si>
  <si>
    <t xml:space="preserve">The Woods Collection Green Walk Eau De Parfum 100ML</t>
  </si>
  <si>
    <t xml:space="preserve">the woods collection green walk</t>
  </si>
  <si>
    <t xml:space="preserve">the woods collection green walk uk</t>
  </si>
  <si>
    <t xml:space="preserve">buy the woods collection green walk online</t>
  </si>
  <si>
    <t xml:space="preserve">the woods collection green walk price</t>
  </si>
  <si>
    <t xml:space="preserve">the woods collection green walk eau de parfum</t>
  </si>
  <si>
    <t xml:space="preserve">the woods collection perfume · green perfume uk</t>
  </si>
  <si>
    <t xml:space="preserve">the woods collection green walk eau de parfum · the woods collection green walk review · the woods collection green walk отзывы · the woods green walk</t>
  </si>
  <si>
    <t xml:space="preserve">The Woods Collection Green Walk Eau De Parfum</t>
  </si>
  <si>
    <t xml:space="preserve">The Woods Collection Green Walk Eau De Parfum | Swansura UK</t>
  </si>
  <si>
    <t xml:space="preserve">Buy The Woods Collection Green Walk Eau De Parfum online in the UK at Swansura. A green unisex eau de parfum, 100ml. 100% authentic, free UK delivery over £50.</t>
  </si>
  <si>
    <t xml:space="preserve">FR-346</t>
  </si>
  <si>
    <t xml:space="preserve">The Woods Collection Mirage Eau De Parfum 100ML</t>
  </si>
  <si>
    <t xml:space="preserve">the woods collection mirage</t>
  </si>
  <si>
    <t xml:space="preserve">the woods collection mirage uk</t>
  </si>
  <si>
    <t xml:space="preserve">buy the woods collection mirage online</t>
  </si>
  <si>
    <t xml:space="preserve">the woods collection mirage price</t>
  </si>
  <si>
    <t xml:space="preserve">the woods collection mirage eau de parfum</t>
  </si>
  <si>
    <t xml:space="preserve">the woods collection mirage review · the woods collection mirage notes · the woods collection mirage отзывы · the woods collection mirage eau de parfum · the woods collection mirage edp</t>
  </si>
  <si>
    <t xml:space="preserve">The Woods Collection Mirage Eau De Parfum</t>
  </si>
  <si>
    <t xml:space="preserve">The Woods Collection Mirage Eau De Parfum | Swansura UK</t>
  </si>
  <si>
    <t xml:space="preserve">Buy The Woods Collection Mirage Eau De Parfum online in the UK at Swansura. An amber unisex eau de parfum, 100ml. 100% authentic, free UK delivery over £50.</t>
  </si>
  <si>
    <t xml:space="preserve">FR-347</t>
  </si>
  <si>
    <t xml:space="preserve">The Woods Collection Pure Shine Eau De Parfum 100ML</t>
  </si>
  <si>
    <t xml:space="preserve">the woods collection pure shine</t>
  </si>
  <si>
    <t xml:space="preserve">the woods collection pure shine uk</t>
  </si>
  <si>
    <t xml:space="preserve">buy the woods collection pure shine online</t>
  </si>
  <si>
    <t xml:space="preserve">the woods collection pure shine price</t>
  </si>
  <si>
    <t xml:space="preserve">the woods collection pure shine eau de parfum</t>
  </si>
  <si>
    <t xml:space="preserve">the woods collection pure shine edp · the woods collection pure shine eau de parfum · the woods collection pure shine review · the woods collection pure shine отзывы · the woods collection pure shine edp 100ml · the woods pure shine</t>
  </si>
  <si>
    <t xml:space="preserve">The Woods Collection Pure Shine Eau De Parfum</t>
  </si>
  <si>
    <t xml:space="preserve">The Woods Collection Pure Shine Eau De Parfum | Swansura UK</t>
  </si>
  <si>
    <t xml:space="preserve">Buy The Woods Collection Pure Shine Eau De Parfum online in the UK at Swansura. An amber unisex eau de parfum, 100ml. 100% authentic, free UK delivery over £50.</t>
  </si>
  <si>
    <t xml:space="preserve">FR-348</t>
  </si>
  <si>
    <t xml:space="preserve">The Woods Collection Secret Source Eau De Parfum 100ML</t>
  </si>
  <si>
    <t xml:space="preserve">the woods collection secret source</t>
  </si>
  <si>
    <t xml:space="preserve">the woods collection secret source uk</t>
  </si>
  <si>
    <t xml:space="preserve">buy the woods collection secret source online</t>
  </si>
  <si>
    <t xml:space="preserve">the woods collection secret source price</t>
  </si>
  <si>
    <t xml:space="preserve">the woods collection secret source eau de parfum</t>
  </si>
  <si>
    <t xml:space="preserve">the woods collection secret source eau de parfum · the woods collection secret source perfume · the woods collection secret source edp · the woods secret source · secret source the woods collection фрагрантика · the woods collection secret source отзывы</t>
  </si>
  <si>
    <t xml:space="preserve">The Woods Collection Secret Source Eau De Parfum</t>
  </si>
  <si>
    <t xml:space="preserve">The Woods Collection Secret Source EDP 100ml | Swansura UK</t>
  </si>
  <si>
    <t xml:space="preserve">Buy The Woods Collection Secret Source Eau De Parfum online in the UK at Swansura. An amber unisex eau de parfum. 100% authentic, free UK delivery over £50.</t>
  </si>
  <si>
    <t xml:space="preserve">FR-349</t>
  </si>
  <si>
    <t xml:space="preserve">The Woods Collection Sunrise Eau De Parfum 100ML</t>
  </si>
  <si>
    <t xml:space="preserve">the woods collection sunrise</t>
  </si>
  <si>
    <t xml:space="preserve">the woods collection sunrise uk</t>
  </si>
  <si>
    <t xml:space="preserve">buy the woods collection sunrise online</t>
  </si>
  <si>
    <t xml:space="preserve">the woods collection sunrise price</t>
  </si>
  <si>
    <t xml:space="preserve">the woods collection sunrise eau de parfum</t>
  </si>
  <si>
    <t xml:space="preserve">the woods collection sunrise review · the woods collection sunrise eau de parfum · the woods collection sunrise edp · the woods collection sunrise отзывы · the woods collection sunrise фрагрантика</t>
  </si>
  <si>
    <t xml:space="preserve">The Woods Collection Sunrise Eau De Parfum</t>
  </si>
  <si>
    <t xml:space="preserve">The Woods Collection Sunrise Eau De Parfum | Swansura UK</t>
  </si>
  <si>
    <t xml:space="preserve">Buy The Woods Collection Sunrise Eau De Parfum online in the UK at Swansura. An amber unisex eau de parfum, 100ml. 100% authentic, free UK delivery over £50.</t>
  </si>
  <si>
    <t xml:space="preserve">FR-350</t>
  </si>
  <si>
    <t xml:space="preserve">The Woods Collection Timeless Sands Eau De Parfum 100ML</t>
  </si>
  <si>
    <t xml:space="preserve">the woods collection timeless sands</t>
  </si>
  <si>
    <t xml:space="preserve">the woods collection timeless sands uk</t>
  </si>
  <si>
    <t xml:space="preserve">buy the woods collection timeless sands online</t>
  </si>
  <si>
    <t xml:space="preserve">the woods collection timeless sands price</t>
  </si>
  <si>
    <t xml:space="preserve">the woods collection timeless sands eau de parfum</t>
  </si>
  <si>
    <t xml:space="preserve">the woods collection timeless sands eau de parfum · the woods collection timeless sands review · the woods collection timeless sands edp · the woods timeless sands · the woods collection timeless sands отзывы · the woods collection timeless sands фрагрантика</t>
  </si>
  <si>
    <t xml:space="preserve">The Woods Collection Timeless Sands Eau De Parfum</t>
  </si>
  <si>
    <t xml:space="preserve">The Woods Collection Timeless Sands EDP 100ml | Swansura UK</t>
  </si>
  <si>
    <t xml:space="preserve">Buy The Woods Collection Timeless Sands Eau De Parfum online in the UK at Swansura. An amber unisex eau de parfum. 100% authentic, free UK delivery over £50.</t>
  </si>
  <si>
    <t xml:space="preserve">FR-351</t>
  </si>
  <si>
    <t xml:space="preserve">The Woods Collection Twilight Eau De Parfum 100ML</t>
  </si>
  <si>
    <t xml:space="preserve">the woods collection twilight</t>
  </si>
  <si>
    <t xml:space="preserve">the woods collection twilight uk</t>
  </si>
  <si>
    <t xml:space="preserve">buy the woods collection twilight online</t>
  </si>
  <si>
    <t xml:space="preserve">the woods collection twilight price</t>
  </si>
  <si>
    <t xml:space="preserve">the woods collection twilight eau de parfum</t>
  </si>
  <si>
    <t xml:space="preserve">the woods collection twilight eau de parfum · the woods collection twilight perfume · the woods collection twilight edp · the woods collection twilight review · the woods collection twilight dupe of</t>
  </si>
  <si>
    <t xml:space="preserve">The Woods Collection Twilight Eau De Parfum</t>
  </si>
  <si>
    <t xml:space="preserve">The Woods Collection Twilight Eau De Parfum | Swansura UK</t>
  </si>
  <si>
    <t xml:space="preserve">Buy The Woods Collection Twilight Eau De Parfum online in the UK at Swansura. An amber unisex eau de parfum, 100ml. 100% authentic, free UK delivery over £50.</t>
  </si>
  <si>
    <t xml:space="preserve">FR-352</t>
  </si>
  <si>
    <t xml:space="preserve">The Woods Collection Wild Roses Eau De Parfum 100ML</t>
  </si>
  <si>
    <t xml:space="preserve">the woods collection wild roses</t>
  </si>
  <si>
    <t xml:space="preserve">the woods collection wild roses uk</t>
  </si>
  <si>
    <t xml:space="preserve">buy the woods collection wild roses online</t>
  </si>
  <si>
    <t xml:space="preserve">the woods collection wild roses price</t>
  </si>
  <si>
    <t xml:space="preserve">the woods collection wild roses eau de parfum</t>
  </si>
  <si>
    <t xml:space="preserve">the woods collection wild roses price · the woods collection wild roses edp · the woods collection wild roses отзывы · the woods collection wild roses eau de parfum · the woods wild roses · the woods collection wild roses 🥰</t>
  </si>
  <si>
    <t xml:space="preserve">The Woods Collection Wild Roses Eau De Parfum</t>
  </si>
  <si>
    <t xml:space="preserve">The Woods Collection Wild Roses Eau De Parfum | Swansura UK</t>
  </si>
  <si>
    <t xml:space="preserve">Buy The Woods Collection Wild Roses Eau De Parfum online in the UK at Swansura. An amber unisex eau de parfum, 100ml. 100% authentic, free UK delivery over £50.</t>
  </si>
  <si>
    <t xml:space="preserve">FR-353</t>
  </si>
  <si>
    <t xml:space="preserve">Tiziana Terenzi</t>
  </si>
  <si>
    <t xml:space="preserve">Akragas Extrait de Parfum 100ml – Classic Collection Unisex Niche Perfume</t>
  </si>
  <si>
    <t xml:space="preserve">tiziana terenzi akragas</t>
  </si>
  <si>
    <t xml:space="preserve">tiziana terenzi akragas uk</t>
  </si>
  <si>
    <t xml:space="preserve">buy tiziana terenzi akragas online</t>
  </si>
  <si>
    <t xml:space="preserve">tiziana terenzi akragas price</t>
  </si>
  <si>
    <t xml:space="preserve">tiziana terenzi akragas extrait de parfum</t>
  </si>
  <si>
    <t xml:space="preserve">tiziana terenzi perfume · amber perfume uk</t>
  </si>
  <si>
    <t xml:space="preserve">tiziana terenzi akragas extrait de parfum · tiziana terenzi akragas review · tiziana terenzi akragas extrait de parfum 100ml · tiziana terenzi akragas отзывы · tiziana terenzi akragas extrait · tiziana terenzi akragas edp 100ml</t>
  </si>
  <si>
    <t xml:space="preserve">Akragas Extrait de Parfum</t>
  </si>
  <si>
    <t xml:space="preserve">Akragas Extrait de Parfum | Buy Online UK | Swansura</t>
  </si>
  <si>
    <t xml:space="preserve">Buy Akragas Extrait de Parfum online in the UK at Swansura. An amber unisex extrait de parfum, 100ml. 100% authentic, fast UK delivery, free over £50.</t>
  </si>
  <si>
    <t xml:space="preserve">FR-354</t>
  </si>
  <si>
    <t xml:space="preserve">Andromeda Extrait de Parfum 100ml – Unisex Luxury Niche Perfume</t>
  </si>
  <si>
    <t xml:space="preserve">tiziana terenzi andromeda</t>
  </si>
  <si>
    <t xml:space="preserve">tiziana terenzi andromeda uk</t>
  </si>
  <si>
    <t xml:space="preserve">buy tiziana terenzi andromeda online</t>
  </si>
  <si>
    <t xml:space="preserve">tiziana terenzi andromeda price</t>
  </si>
  <si>
    <t xml:space="preserve">tiziana terenzi andromeda extrait de parfum</t>
  </si>
  <si>
    <t xml:space="preserve">tiziana terenzi andromeda extrait de parfum · tiziana terenzi andromeda price · tiziana terenzi andromeda notes · tiziana terenzi andromeda dupe · tiziana terenzi andromeda review · tiziana terenzi andromeda edp 100ml</t>
  </si>
  <si>
    <t xml:space="preserve">Andromeda Extrait de Parfum</t>
  </si>
  <si>
    <t xml:space="preserve">Andromeda Extrait de Parfum | Buy Online UK | Swansura</t>
  </si>
  <si>
    <t xml:space="preserve">Buy Andromeda Extrait de Parfum online in the UK at Swansura. An amber unisex extrait de parfum, 100ml. 100% authentic, fast UK delivery, free over £50.</t>
  </si>
  <si>
    <t xml:space="preserve">FR-355</t>
  </si>
  <si>
    <t xml:space="preserve">Borelli Extrait de Parfum Linea TT 100ml – Comete Collection Luxury Unisex Perfume</t>
  </si>
  <si>
    <t xml:space="preserve">tiziana terenzi borelli linea tt</t>
  </si>
  <si>
    <t xml:space="preserve">tiziana terenzi borelli linea tt uk</t>
  </si>
  <si>
    <t xml:space="preserve">buy tiziana terenzi borelli linea tt online</t>
  </si>
  <si>
    <t xml:space="preserve">tiziana terenzi borelli linea tt price</t>
  </si>
  <si>
    <t xml:space="preserve">tiziana terenzi borelli linea tt extrait de parfum</t>
  </si>
  <si>
    <t xml:space="preserve">Borelli Extrait de Parfum Linea TT</t>
  </si>
  <si>
    <t xml:space="preserve">Borelli Linea TT Extrait 100ml | Buy Online UK | Swansura</t>
  </si>
  <si>
    <t xml:space="preserve">Buy Borelli Extrait de Parfum Linea TT online in the UK at Swansura. An amber unisex extrait de parfum, 100ml. 100% authentic, fast UK delivery, free over £50.</t>
  </si>
  <si>
    <t xml:space="preserve">FR-356</t>
  </si>
  <si>
    <t xml:space="preserve">Caput Mundi Extrait de Parfum 100ml – Luna Collection Luxury Unisex Perfume</t>
  </si>
  <si>
    <t xml:space="preserve">tiziana terenzi caput mundi</t>
  </si>
  <si>
    <t xml:space="preserve">tiziana terenzi caput mundi uk</t>
  </si>
  <si>
    <t xml:space="preserve">buy tiziana terenzi caput mundi online</t>
  </si>
  <si>
    <t xml:space="preserve">tiziana terenzi caput mundi price</t>
  </si>
  <si>
    <t xml:space="preserve">tiziana terenzi caput mundi extrait de parfum</t>
  </si>
  <si>
    <t xml:space="preserve">tiziana terenzi caput mundi extrait de parfum · tiziana terenzi caput mundi review · tiziana terenzi caput mundi extrait · tiziana terenzi caput mundi edp 100ml · tiziana terenzi caput mundi notes · tiziana terenzi caput mundi отзывы</t>
  </si>
  <si>
    <t xml:space="preserve">Caput Mundi Extrait de Parfum</t>
  </si>
  <si>
    <t xml:space="preserve">Caput Mundi Extrait de Parfum | Buy Online UK | Swansura</t>
  </si>
  <si>
    <t xml:space="preserve">Buy Caput Mundi Extrait de Parfum online in the UK at Swansura. An amber unisex extrait de parfum, 100ml. 100% authentic, fast UK delivery, free over £50.</t>
  </si>
  <si>
    <t xml:space="preserve">FR-357</t>
  </si>
  <si>
    <t xml:space="preserve">Caput Mundi Extrait de Parfum 100ml – Luxury Unisex Oud Perfume</t>
  </si>
  <si>
    <t xml:space="preserve">tiziana terenzi perfume · oud perfume uk</t>
  </si>
  <si>
    <t xml:space="preserve">Buy Caput Mundi Extrait de Parfum online in the UK at Swansura. An oud unisex extrait de parfum, 100ml. 100% authentic, fast UK delivery, free over £50.</t>
  </si>
  <si>
    <t xml:space="preserve">FR-358</t>
  </si>
  <si>
    <t xml:space="preserve">Chimaera Anniversary Extrait de Parfum 100ml – Unisex Luxury Niche Perfume</t>
  </si>
  <si>
    <t xml:space="preserve">tiziana terenzi chimaera anniversary</t>
  </si>
  <si>
    <t xml:space="preserve">tiziana terenzi chimaera anniversary uk</t>
  </si>
  <si>
    <t xml:space="preserve">buy tiziana terenzi chimaera anniversary online</t>
  </si>
  <si>
    <t xml:space="preserve">tiziana terenzi chimaera anniversary price</t>
  </si>
  <si>
    <t xml:space="preserve">tiziana terenzi chimaera anniversary extrait de parfum</t>
  </si>
  <si>
    <t xml:space="preserve">Chimaera Anniversary Extrait de Parfum</t>
  </si>
  <si>
    <t xml:space="preserve">Chimaera Anniversary Extrait de Parfum | Swansura UK</t>
  </si>
  <si>
    <t xml:space="preserve">Buy Chimaera Anniversary Extrait de Parfum online in the UK at Swansura. An amber unisex extrait de parfum, 100ml. 100% authentic, free UK delivery over £50.</t>
  </si>
  <si>
    <t xml:space="preserve">FR-359</t>
  </si>
  <si>
    <t xml:space="preserve">Draconis Extrait de Parfum 100ml – Luxury Unisex Niche Perfume</t>
  </si>
  <si>
    <t xml:space="preserve">tiziana terenzi draconis</t>
  </si>
  <si>
    <t xml:space="preserve">tiziana terenzi draconis uk</t>
  </si>
  <si>
    <t xml:space="preserve">buy tiziana terenzi draconis online</t>
  </si>
  <si>
    <t xml:space="preserve">tiziana terenzi draconis price</t>
  </si>
  <si>
    <t xml:space="preserve">tiziana terenzi draconis extrait de parfum</t>
  </si>
  <si>
    <t xml:space="preserve">tiziana terenzi draconis extrait de parfum · tiziana terenzi draconis review · tiziana terenzi draconis extrait de parfum 100ml · tiziana terenzi draconis 100ml · tiziana terenzi draconis price · tiziana terenzi draconis edp 100ml</t>
  </si>
  <si>
    <t xml:space="preserve">Draconis Extrait de Parfum</t>
  </si>
  <si>
    <t xml:space="preserve">Draconis Extrait de Parfum | Buy Online UK | Swansura</t>
  </si>
  <si>
    <t xml:space="preserve">Buy Draconis Extrait de Parfum online in the UK at Swansura. An amber unisex extrait de parfum, 100ml. 100% authentic, fast UK delivery, free over £50.</t>
  </si>
  <si>
    <t xml:space="preserve">FR-360</t>
  </si>
  <si>
    <t xml:space="preserve">Dubhe Assoluto Extrait de Parfum 100ml – Luxury Unisex Niche Perfume</t>
  </si>
  <si>
    <t xml:space="preserve">tiziana terenzi dubhe assoluto</t>
  </si>
  <si>
    <t xml:space="preserve">tiziana terenzi dubhe assoluto uk</t>
  </si>
  <si>
    <t xml:space="preserve">buy tiziana terenzi dubhe assoluto online</t>
  </si>
  <si>
    <t xml:space="preserve">tiziana terenzi dubhe assoluto price</t>
  </si>
  <si>
    <t xml:space="preserve">tiziana terenzi dubhe assoluto extrait de parfum</t>
  </si>
  <si>
    <t xml:space="preserve">Dubhe Assoluto Extrait de Parfum</t>
  </si>
  <si>
    <t xml:space="preserve">Dubhe Assoluto Extrait de Parfum | Buy Online UK | Swansura</t>
  </si>
  <si>
    <t xml:space="preserve">Buy Dubhe Assoluto Extrait de Parfum online in the UK at Swansura. An amber unisex extrait de parfum, 100ml. 100% authentic, fast UK delivery, free over £50.</t>
  </si>
  <si>
    <t xml:space="preserve">FR-361</t>
  </si>
  <si>
    <t xml:space="preserve">Ecstasy Extrait de Parfum 100ml – Luxury Unisex Niche Perfume</t>
  </si>
  <si>
    <t xml:space="preserve">tiziana terenzi ecstasy</t>
  </si>
  <si>
    <t xml:space="preserve">tiziana terenzi ecstasy uk</t>
  </si>
  <si>
    <t xml:space="preserve">buy tiziana terenzi ecstasy online</t>
  </si>
  <si>
    <t xml:space="preserve">tiziana terenzi ecstasy price</t>
  </si>
  <si>
    <t xml:space="preserve">tiziana terenzi ecstasy extrait de parfum</t>
  </si>
  <si>
    <t xml:space="preserve">tiziana terenzi ecstasy extrait de parfum · tiziana terenzi ecstasy review · tiziana terenzi ecstasy perfume · tiziana terenzi ecstasy extrait de parfum 100ml · tiziana terenzi ecstasy extrait · tiziana terenzi ecstasy notes</t>
  </si>
  <si>
    <t xml:space="preserve">Ecstasy Extrait de Parfum</t>
  </si>
  <si>
    <t xml:space="preserve">Ecstasy Extrait de Parfum | Buy Online UK | Swansura</t>
  </si>
  <si>
    <t xml:space="preserve">Buy Ecstasy Extrait de Parfum online in the UK at Swansura. An amber unisex extrait de parfum, 100ml. 100% authentic, fast UK delivery, free over £50.</t>
  </si>
  <si>
    <t xml:space="preserve">FR-362</t>
  </si>
  <si>
    <t xml:space="preserve">Gold Rose Oudh Extrait de Parfum 100ml – Luxury Unisex Oud Perfume</t>
  </si>
  <si>
    <t xml:space="preserve">tiziana terenzi gold rose oudh</t>
  </si>
  <si>
    <t xml:space="preserve">tiziana terenzi gold rose oudh uk</t>
  </si>
  <si>
    <t xml:space="preserve">buy tiziana terenzi gold rose oudh online</t>
  </si>
  <si>
    <t xml:space="preserve">tiziana terenzi gold rose oudh price</t>
  </si>
  <si>
    <t xml:space="preserve">tiziana terenzi gold rose oudh extrait de parfum</t>
  </si>
  <si>
    <t xml:space="preserve">tiziana terenzi gold rose oudh extrait de parfum · tiziana terenzi gold rose oudh review · tiziana terenzi gold rose oudh price · tiziana terenzi gold rose oudh extrait de parfum 100ml · tiziana terenzi gold rose oudh perfume · tiziana terenzi gold rose oudh 50ml</t>
  </si>
  <si>
    <t xml:space="preserve">Gold Rose Oudh Extrait de Parfum</t>
  </si>
  <si>
    <t xml:space="preserve">Gold Rose Oudh Extrait de Parfum | Buy Online UK | Swansura</t>
  </si>
  <si>
    <t xml:space="preserve">Buy Gold Rose Oudh Extrait de Parfum online in the UK at Swansura. An oud unisex extrait de parfum, 100ml. 100% authentic, fast UK delivery, free over £50.</t>
  </si>
  <si>
    <t xml:space="preserve">FR-363</t>
  </si>
  <si>
    <t xml:space="preserve">Gumin Extrait de Parfum 100ml – Luxury Unisex Niche Perfume</t>
  </si>
  <si>
    <t xml:space="preserve">tiziana terenzi gumin</t>
  </si>
  <si>
    <t xml:space="preserve">tiziana terenzi gumin uk</t>
  </si>
  <si>
    <t xml:space="preserve">buy tiziana terenzi gumin online</t>
  </si>
  <si>
    <t xml:space="preserve">tiziana terenzi gumin price</t>
  </si>
  <si>
    <t xml:space="preserve">tiziana terenzi gumin extrait de parfum</t>
  </si>
  <si>
    <t xml:space="preserve">tiziana terenzi gumin extrait de parfum · tiziana terenzi gumin price · tiziana terenzi gumin review · tiziana terenzi gumin notes · tiziana terenzi gumin perfume · tiziana terenzi gumin perfume price</t>
  </si>
  <si>
    <t xml:space="preserve">Gumin Extrait de Parfum</t>
  </si>
  <si>
    <t xml:space="preserve">Gumin Extrait de Parfum | Buy Online UK | Swansura</t>
  </si>
  <si>
    <t xml:space="preserve">Buy Gumin Extrait de Parfum online in the UK at Swansura. An amber unisex extrait de parfum, 100ml. 100% authentic, fast UK delivery, free over £50.</t>
  </si>
  <si>
    <t xml:space="preserve">FR-364</t>
  </si>
  <si>
    <t xml:space="preserve">Kaff Extrait de Parfum 100ml – Luxury Unisex Niche Perfume</t>
  </si>
  <si>
    <t xml:space="preserve">tiziana terenzi kaff</t>
  </si>
  <si>
    <t xml:space="preserve">tiziana terenzi kaff uk</t>
  </si>
  <si>
    <t xml:space="preserve">buy tiziana terenzi kaff online</t>
  </si>
  <si>
    <t xml:space="preserve">tiziana terenzi kaff price</t>
  </si>
  <si>
    <t xml:space="preserve">tiziana terenzi kaff extrait de parfum</t>
  </si>
  <si>
    <t xml:space="preserve">tiziana terenzi kaff extrait de parfum · tiziana terenzi kaff parfum · tiziana terenzi kaff review · tiziana terenzi kaff extrait de parfum 100ml · tiziana terenzi kaff perfume · tiziana terenzi kaff price</t>
  </si>
  <si>
    <t xml:space="preserve">Kaff Extrait de Parfum</t>
  </si>
  <si>
    <t xml:space="preserve">Kaff Extrait de Parfum 100ml | Buy Online UK | Swansura</t>
  </si>
  <si>
    <t xml:space="preserve">Buy Kaff Extrait de Parfum online in the UK at Swansura. An amber unisex extrait de parfum, 100ml. 100% authentic, fast UK delivery, free over £50.</t>
  </si>
  <si>
    <t xml:space="preserve">tiziana terenzi kirke</t>
  </si>
  <si>
    <t xml:space="preserve">tiziana terenzi kirke uk</t>
  </si>
  <si>
    <t xml:space="preserve">buy tiziana terenzi kirke online</t>
  </si>
  <si>
    <t xml:space="preserve">tiziana terenzi kirke price</t>
  </si>
  <si>
    <t xml:space="preserve">tiziana terenzi kirke extrait de parfum</t>
  </si>
  <si>
    <t xml:space="preserve">tiziana terenzi perfume · fruity perfume uk</t>
  </si>
  <si>
    <t xml:space="preserve">tiziana terenzi kirke extrait de parfum · tiziana terenzi kirke price · tiziana terenzi kirke perfume · tiziana terenzi kirke notes · tiziana terenzi kirke dupe · tiziana terenzi kirke review</t>
  </si>
  <si>
    <t xml:space="preserve">Kirke Extrait de Parfum</t>
  </si>
  <si>
    <t xml:space="preserve">Kirke Extrait de Parfum | Buy Online UK | Swansura</t>
  </si>
  <si>
    <t xml:space="preserve">Buy Kirke Extrait de Parfum online in the UK at Swansura. A fruity unisex extrait de parfum, 100ml. 100% authentic, fast UK delivery, free over £50.</t>
  </si>
  <si>
    <t xml:space="preserve">FR-366</t>
  </si>
  <si>
    <t xml:space="preserve">Leo Extrait de Parfum 100ml – Luna Collection Luxury Unisex Perfume</t>
  </si>
  <si>
    <t xml:space="preserve">tiziana terenzi leo</t>
  </si>
  <si>
    <t xml:space="preserve">tiziana terenzi leo uk</t>
  </si>
  <si>
    <t xml:space="preserve">buy tiziana terenzi leo online</t>
  </si>
  <si>
    <t xml:space="preserve">tiziana terenzi leo price</t>
  </si>
  <si>
    <t xml:space="preserve">tiziana terenzi leo extrait de parfum</t>
  </si>
  <si>
    <t xml:space="preserve">tiziana terenzi leo review · tiziana terenzi leo extrait de parfum · tiziana terenzi leo perfume · tiziana terenzi leo price · tiziana terenzi leo notes · tiziana terenzi leo extrait de parfum 100ml</t>
  </si>
  <si>
    <t xml:space="preserve">Leo Extrait de Parfum</t>
  </si>
  <si>
    <t xml:space="preserve">Leo Extrait de Parfum 100ml | Buy Online UK | Swansura</t>
  </si>
  <si>
    <t xml:space="preserve">Buy Leo Extrait de Parfum online in the UK at Swansura. An amber unisex extrait de parfum, 100ml. 100% authentic, fast UK delivery, free over £50.</t>
  </si>
  <si>
    <t xml:space="preserve">FR-367</t>
  </si>
  <si>
    <t xml:space="preserve">Moro di Venezia Extrait de Parfum 100ml – Luna Collection Luxury Unisex Perfume</t>
  </si>
  <si>
    <t xml:space="preserve">tiziana terenzi moro di venezia</t>
  </si>
  <si>
    <t xml:space="preserve">tiziana terenzi moro di venezia uk</t>
  </si>
  <si>
    <t xml:space="preserve">buy tiziana terenzi moro di venezia online</t>
  </si>
  <si>
    <t xml:space="preserve">tiziana terenzi moro di venezia price</t>
  </si>
  <si>
    <t xml:space="preserve">tiziana terenzi moro di venezia extrait de parfum</t>
  </si>
  <si>
    <t xml:space="preserve">tiziana terenzi moro di venezia extrait de parfum · tiziana terenzi moro di venezia extrait de parfum 100ml · tiziana terenzi moro di venezia perfume · tiziana terenzi moro di venezia extrait · tiziana terenzi moro di venezia notes · tiziana terenzi moro di venezia 100ml</t>
  </si>
  <si>
    <t xml:space="preserve">Moro di Venezia Extrait de Parfum</t>
  </si>
  <si>
    <t xml:space="preserve">Moro di Venezia Extrait de Parfum | Buy Online UK | Swansura</t>
  </si>
  <si>
    <t xml:space="preserve">Buy Moro di Venezia Extrait de Parfum online in the UK at Swansura. An amber unisex extrait de parfum, 100ml. 100% authentic, fast UK delivery, free over £50.</t>
  </si>
  <si>
    <t xml:space="preserve">FR-368</t>
  </si>
  <si>
    <t xml:space="preserve">Orion Extrait de Parfum 100ml – Luxury Unisex Niche Perfume</t>
  </si>
  <si>
    <t xml:space="preserve">tiziana terenzi orion</t>
  </si>
  <si>
    <t xml:space="preserve">tiziana terenzi orion uk</t>
  </si>
  <si>
    <t xml:space="preserve">buy tiziana terenzi orion online</t>
  </si>
  <si>
    <t xml:space="preserve">tiziana terenzi orion price</t>
  </si>
  <si>
    <t xml:space="preserve">tiziana terenzi orion extrait de parfum</t>
  </si>
  <si>
    <t xml:space="preserve">tiziana terenzi orion extrait de parfum · tiziana terenzi orion notes · tiziana terenzi orion review · tiziana terenzi orion price</t>
  </si>
  <si>
    <t xml:space="preserve">Orion Extrait de Parfum</t>
  </si>
  <si>
    <t xml:space="preserve">Orion Extrait de Parfum | Buy Online UK | Swansura</t>
  </si>
  <si>
    <t xml:space="preserve">Buy Orion Extrait de Parfum online in the UK at Swansura. An amber unisex extrait de parfum, 100ml. 100% authentic, fast UK delivery, free over £50.</t>
  </si>
  <si>
    <t xml:space="preserve">FR-369</t>
  </si>
  <si>
    <t xml:space="preserve">Orza Extrait de Parfum Linea TT 100ml – Luxury Unisex Niche Perfume</t>
  </si>
  <si>
    <t xml:space="preserve">tiziana terenzi orza linea tt</t>
  </si>
  <si>
    <t xml:space="preserve">tiziana terenzi orza linea tt uk</t>
  </si>
  <si>
    <t xml:space="preserve">buy tiziana terenzi orza linea tt online</t>
  </si>
  <si>
    <t xml:space="preserve">tiziana terenzi orza linea tt price</t>
  </si>
  <si>
    <t xml:space="preserve">tiziana terenzi orza linea tt extrait de parfum</t>
  </si>
  <si>
    <t xml:space="preserve">Orza Extrait de Parfum Linea TT</t>
  </si>
  <si>
    <t xml:space="preserve">Orza Extrait de Parfum Linea TT | Buy Online UK | Swansura</t>
  </si>
  <si>
    <t xml:space="preserve">Buy Orza Extrait de Parfum Linea TT online in the UK at Swansura. An amber unisex extrait de parfum, 100ml. 100% authentic, fast UK delivery, free over £50.</t>
  </si>
  <si>
    <t xml:space="preserve">FR-370</t>
  </si>
  <si>
    <t xml:space="preserve">Porpora Extrait de Parfum 100ml – Luna Collection Red Moon Luxury Perfume</t>
  </si>
  <si>
    <t xml:space="preserve">tiziana terenzi porpora</t>
  </si>
  <si>
    <t xml:space="preserve">tiziana terenzi porpora uk</t>
  </si>
  <si>
    <t xml:space="preserve">buy tiziana terenzi porpora online</t>
  </si>
  <si>
    <t xml:space="preserve">tiziana terenzi porpora price</t>
  </si>
  <si>
    <t xml:space="preserve">tiziana terenzi porpora extrait de parfum</t>
  </si>
  <si>
    <t xml:space="preserve">tiziana terenzi porpora extrait de parfum · tiziana terenzi porpora perfume · tiziana terenzi porpora extrait de parfum 100ml · tiziana terenzi porpora extrait · tiziana terenzi porpora review · tiziana terenzi porpora notes</t>
  </si>
  <si>
    <t xml:space="preserve">Porpora Extrait de Parfum</t>
  </si>
  <si>
    <t xml:space="preserve">Porpora Extrait de Parfum | Buy Online UK | Swansura</t>
  </si>
  <si>
    <t xml:space="preserve">Buy Porpora Extrait de Parfum online in the UK at Swansura. An amber unisex extrait de parfum, 100ml. 100% authentic, fast UK delivery, free over £50.</t>
  </si>
  <si>
    <t xml:space="preserve">FR-371</t>
  </si>
  <si>
    <t xml:space="preserve">Saiph Extrait de Parfum 100ml – Luna Stars Gold Luxury Unisex Perfume</t>
  </si>
  <si>
    <t xml:space="preserve">tiziana terenzi saiph</t>
  </si>
  <si>
    <t xml:space="preserve">tiziana terenzi saiph uk</t>
  </si>
  <si>
    <t xml:space="preserve">buy tiziana terenzi saiph online</t>
  </si>
  <si>
    <t xml:space="preserve">tiziana terenzi saiph price</t>
  </si>
  <si>
    <t xml:space="preserve">tiziana terenzi saiph extrait de parfum</t>
  </si>
  <si>
    <t xml:space="preserve">tiziana terenzi saiph extrait de parfum · tiziana terenzi saiph review · tiziana terenzi saiph extrait de parfum 100ml · tiziana terenzi saiph perfume · tiziana terenzi saiph price · tiziana terenzi saiph extrait</t>
  </si>
  <si>
    <t xml:space="preserve">Saiph Extrait de Parfum</t>
  </si>
  <si>
    <t xml:space="preserve">Saiph Extrait de Parfum | Buy Online UK | Swansura</t>
  </si>
  <si>
    <t xml:space="preserve">Buy Saiph Extrait de Parfum online in the UK at Swansura. An amber unisex extrait de parfum, 100ml. 100% authentic, fast UK delivery, free over £50.</t>
  </si>
  <si>
    <t xml:space="preserve">FR-372</t>
  </si>
  <si>
    <t xml:space="preserve">Aquatic · Unisex Fragrance</t>
  </si>
  <si>
    <t xml:space="preserve">Sea Stars Collection Deriva Extrait De Parfum 100ML</t>
  </si>
  <si>
    <t xml:space="preserve">tiziana terenzi sea stars collection deriva</t>
  </si>
  <si>
    <t xml:space="preserve">tiziana terenzi sea stars collection deriva uk</t>
  </si>
  <si>
    <t xml:space="preserve">buy tiziana terenzi sea stars collection deriva online</t>
  </si>
  <si>
    <t xml:space="preserve">tiziana terenzi sea stars collection deriva price</t>
  </si>
  <si>
    <t xml:space="preserve">tiziana terenzi sea stars collection deriva extrait de parfum</t>
  </si>
  <si>
    <t xml:space="preserve">tiziana terenzi perfume · aquatic perfume uk</t>
  </si>
  <si>
    <t xml:space="preserve">Sea Stars Collection Deriva Extrait De Parfum</t>
  </si>
  <si>
    <t xml:space="preserve">Sea Stars Collection Deriva Extrait De Parfum | Swansura UK</t>
  </si>
  <si>
    <t xml:space="preserve">Buy Sea Stars Collection Deriva Extrait De Parfum online in the UK at Swansura. An aquatic unisex extrait de parfum. 100% authentic, free UK delivery over £50.</t>
  </si>
  <si>
    <t xml:space="preserve">FR-373</t>
  </si>
  <si>
    <t xml:space="preserve">White Fire Extrait de Parfum 100ml – Luxury Unisex Niche Perfume</t>
  </si>
  <si>
    <t xml:space="preserve">tiziana terenzi white fire</t>
  </si>
  <si>
    <t xml:space="preserve">tiziana terenzi white fire uk</t>
  </si>
  <si>
    <t xml:space="preserve">buy tiziana terenzi white fire online</t>
  </si>
  <si>
    <t xml:space="preserve">tiziana terenzi white fire price</t>
  </si>
  <si>
    <t xml:space="preserve">tiziana terenzi white fire extrait de parfum</t>
  </si>
  <si>
    <t xml:space="preserve">tiziana terenzi white fire review · tiziana terenzi white fire extrait de parfum · tiziana terenzi white fire price · tiziana terenzi white fire extrait · tiziana terenzi white fire notes · tiziana terenzi white fire edp 100ml</t>
  </si>
  <si>
    <t xml:space="preserve">White Fire Extrait de Parfum</t>
  </si>
  <si>
    <t xml:space="preserve">White Fire Extrait de Parfum | Buy Online UK | Swansura</t>
  </si>
  <si>
    <t xml:space="preserve">Buy White Fire Extrait de Parfum online in the UK at Swansura. An amber unisex extrait de parfum, 100ml. 100% authentic, fast UK delivery, free over £50.</t>
  </si>
  <si>
    <t xml:space="preserve">Tomford</t>
  </si>
  <si>
    <t xml:space="preserve">Spelling: Tom Ford</t>
  </si>
  <si>
    <t xml:space="preserve">tom ford neroli portofino</t>
  </si>
  <si>
    <t xml:space="preserve">tom ford neroli portofino uk</t>
  </si>
  <si>
    <t xml:space="preserve">buy tom ford neroli portofino online</t>
  </si>
  <si>
    <t xml:space="preserve">tom ford neroli portofino price</t>
  </si>
  <si>
    <t xml:space="preserve">tom ford neroli portofino eau de parfum</t>
  </si>
  <si>
    <t xml:space="preserve">tom ford perfume · amber perfume uk</t>
  </si>
  <si>
    <t xml:space="preserve">Tom Ford Neroli Portofino Eau de Parfum Unisex</t>
  </si>
  <si>
    <t xml:space="preserve">Tom Ford Neroli Portofino Eau de Parfum Unisex | Swansura UK</t>
  </si>
  <si>
    <t xml:space="preserve">Buy Tom Ford Neroli Portofino Eau de Parfum Unisex online in the UK at Swansura. An amber unisex eau de parfum, 50ml. 100% authentic, free UK delivery over £50.</t>
  </si>
  <si>
    <t xml:space="preserve">tom ford oud wood</t>
  </si>
  <si>
    <t xml:space="preserve">tom ford oud wood uk</t>
  </si>
  <si>
    <t xml:space="preserve">buy tom ford oud wood online</t>
  </si>
  <si>
    <t xml:space="preserve">tom ford oud wood eau de parfum</t>
  </si>
  <si>
    <t xml:space="preserve">tom ford perfume · oud perfume uk</t>
  </si>
  <si>
    <t xml:space="preserve">Tom Ford Oud Wood Eau de Parfum Unisex</t>
  </si>
  <si>
    <t xml:space="preserve">Tom Ford Oud Wood Unisex EDP 50ml | Buy Online UK | Swansura</t>
  </si>
  <si>
    <t xml:space="preserve">Buy Tom Ford Oud Wood Eau de Parfum Unisex online in the UK at Swansura. An oud unisex eau de parfum, 50ml. 100% authentic, fast UK delivery, free over £50.</t>
  </si>
  <si>
    <t xml:space="preserve">FR-376</t>
  </si>
  <si>
    <t xml:space="preserve">Tom Ford Oud Wood Eau de Parfum Unisex | Swansura UK</t>
  </si>
  <si>
    <t xml:space="preserve">Buy Tom Ford Oud Wood Eau de Parfum Unisex online in the UK at Swansura. An oud unisex eau de parfum, Notspecified. 100% authentic, free UK delivery over £50.</t>
  </si>
  <si>
    <t xml:space="preserve">tom ford ebene fume</t>
  </si>
  <si>
    <t xml:space="preserve">tom ford ebene fume uk</t>
  </si>
  <si>
    <t xml:space="preserve">buy tom ford ebene fume online</t>
  </si>
  <si>
    <t xml:space="preserve">tom ford ebene fume price</t>
  </si>
  <si>
    <t xml:space="preserve">tom ford ebene fume eau de parfum</t>
  </si>
  <si>
    <t xml:space="preserve">Tom Ford Ébène Fumé Eau de Parfum Unisex</t>
  </si>
  <si>
    <t xml:space="preserve">Tom Ford Ébène Fumé Eau de Parfum Unisex | Swansura UK</t>
  </si>
  <si>
    <t xml:space="preserve">Buy Tom Ford Ébène Fumé Eau de Parfum Unisex online in the UK at Swansura. An amber unisex eau de parfum, 50ml. 100% authentic, fast UK delivery, free over £50.</t>
  </si>
  <si>
    <t xml:space="preserve">tom ford black orchid</t>
  </si>
  <si>
    <t xml:space="preserve">tom ford black orchid uk</t>
  </si>
  <si>
    <t xml:space="preserve">buy tom ford black orchid online</t>
  </si>
  <si>
    <t xml:space="preserve">tom ford black orchid parfum</t>
  </si>
  <si>
    <t xml:space="preserve">Tom Ford Black Orchid Parfum Unisex</t>
  </si>
  <si>
    <t xml:space="preserve">Tom Ford Black Orchid Unisex Parfum 100ml | Swansura UK</t>
  </si>
  <si>
    <t xml:space="preserve">Buy Tom Ford Black Orchid Parfum Unisex online in the UK at Swansura. An amber unisex parfum, 100ml. 100% authentic, fast UK delivery, free over £50.</t>
  </si>
  <si>
    <t xml:space="preserve">tom ford noir extreme</t>
  </si>
  <si>
    <t xml:space="preserve">tom ford noir extreme uk</t>
  </si>
  <si>
    <t xml:space="preserve">buy tom ford noir extreme online</t>
  </si>
  <si>
    <t xml:space="preserve">tom ford noir extreme price</t>
  </si>
  <si>
    <t xml:space="preserve">tom ford noir extreme parfum</t>
  </si>
  <si>
    <t xml:space="preserve">tom ford perfume · tom ford perfume for men · woody perfume for men uk</t>
  </si>
  <si>
    <t xml:space="preserve">Tom Ford Noir Extreme Parfum for Men</t>
  </si>
  <si>
    <t xml:space="preserve">Tom Ford Noir Extreme Parfum for Men | Swansura UK</t>
  </si>
  <si>
    <t xml:space="preserve">Buy Tom Ford Noir Extreme Parfum for Men online in the UK at Swansura. A woody men's parfum, 100ml. 100% authentic, fast UK delivery, free over £50.</t>
  </si>
  <si>
    <t xml:space="preserve">FR-380</t>
  </si>
  <si>
    <t xml:space="preserve">Trussardi</t>
  </si>
  <si>
    <t xml:space="preserve">Trussardi Pure Jasmine Eau de Parfum 7ml Miniature – Women's Floral Fragrance</t>
  </si>
  <si>
    <t xml:space="preserve">7ml</t>
  </si>
  <si>
    <t xml:space="preserve">trussardi pure jasmine miniature</t>
  </si>
  <si>
    <t xml:space="preserve">trussardi pure jasmine miniature uk</t>
  </si>
  <si>
    <t xml:space="preserve">buy trussardi pure jasmine miniature online</t>
  </si>
  <si>
    <t xml:space="preserve">trussardi pure jasmine miniature price</t>
  </si>
  <si>
    <t xml:space="preserve">trussardi pure jasmine miniature eau de parfum</t>
  </si>
  <si>
    <t xml:space="preserve">trussardi perfume · trussardi perfume for women · floral perfume for women uk</t>
  </si>
  <si>
    <t xml:space="preserve">Trussardi Pure Jasmine Eau de Parfum Miniature</t>
  </si>
  <si>
    <t xml:space="preserve">Trussardi Pure Jasmine Eau de Parfum Miniature | Swansura UK</t>
  </si>
  <si>
    <t xml:space="preserve">Buy Trussardi Pure Jasmine Eau de Parfum Miniature online in the UK at Swansura. A floral women's eau de parfum, 7ml. 100% authentic, free UK delivery over £50.</t>
  </si>
  <si>
    <t xml:space="preserve">FR-381</t>
  </si>
  <si>
    <t xml:space="preserve">Trussardi Pure Jasmine Eau de Parfum 90ml – Women's Floral Fragrance</t>
  </si>
  <si>
    <t xml:space="preserve">trussardi pure jasmine</t>
  </si>
  <si>
    <t xml:space="preserve">trussardi pure jasmine uk</t>
  </si>
  <si>
    <t xml:space="preserve">buy trussardi pure jasmine online</t>
  </si>
  <si>
    <t xml:space="preserve">trussardi pure jasmine price</t>
  </si>
  <si>
    <t xml:space="preserve">trussardi pure jasmine eau de parfum</t>
  </si>
  <si>
    <t xml:space="preserve">trussardi pure jasmine eau de parfum · trussardi pure jasmine review · trussardi pure jasmine price · trussardi pure jasmine edp · trussardi pure jasmine perfume · trussardi pure jasmine отзывы</t>
  </si>
  <si>
    <t xml:space="preserve">Trussardi Pure Jasmine Eau de Parfum</t>
  </si>
  <si>
    <t xml:space="preserve">Trussardi Pure Jasmine EDP 90ml | Buy Online UK | Swansura</t>
  </si>
  <si>
    <t xml:space="preserve">Buy Trussardi Pure Jasmine Eau de Parfum online in the UK at Swansura. A floral women's eau de parfum, 90ml. 100% authentic, fast UK delivery, free over £50.</t>
  </si>
  <si>
    <t xml:space="preserve">FR-382</t>
  </si>
  <si>
    <t xml:space="preserve">Trussardi Black Extreme Eau de Toilette 7ml Miniature – Men's Woody Leather Fragrance</t>
  </si>
  <si>
    <t xml:space="preserve">trussardi black extreme miniature</t>
  </si>
  <si>
    <t xml:space="preserve">trussardi black extreme miniature uk</t>
  </si>
  <si>
    <t xml:space="preserve">buy trussardi black extreme miniature online</t>
  </si>
  <si>
    <t xml:space="preserve">trussardi black extreme miniature price</t>
  </si>
  <si>
    <t xml:space="preserve">trussardi black extreme miniature eau de toilette</t>
  </si>
  <si>
    <t xml:space="preserve">trussardi perfume · trussardi perfume for men · woody perfume for men uk</t>
  </si>
  <si>
    <t xml:space="preserve">Trussardi Black Extreme Eau de Toilette Miniature</t>
  </si>
  <si>
    <t xml:space="preserve">Trussardi Black Extreme Miniature EDT 7ml | Swansura UK</t>
  </si>
  <si>
    <t xml:space="preserve">Buy Trussardi Black Extreme Eau de Toilette Miniature online in the UK at Swansura. A woody men's eau de toilette. 100% authentic, free UK delivery over £50.</t>
  </si>
  <si>
    <t xml:space="preserve">FR-383</t>
  </si>
  <si>
    <t xml:space="preserve">Trussardi Delicate Rose Eau de Toilette – Women's Floral Fruity Fragrance</t>
  </si>
  <si>
    <t xml:space="preserve">trussardi delicate rose</t>
  </si>
  <si>
    <t xml:space="preserve">trussardi delicate rose uk</t>
  </si>
  <si>
    <t xml:space="preserve">buy trussardi delicate rose online</t>
  </si>
  <si>
    <t xml:space="preserve">trussardi delicate rose price</t>
  </si>
  <si>
    <t xml:space="preserve">trussardi delicate rose eau de toilette</t>
  </si>
  <si>
    <t xml:space="preserve">trussardi delicate rose perfume · trussardi delicate rose price · trussardi delicate rose review · trussardi delicate rose edt · trussardi delicate rose notes · trussardi delicate rose 100ml</t>
  </si>
  <si>
    <t xml:space="preserve">Trussardi Delicate Rose Eau de Toilette</t>
  </si>
  <si>
    <t xml:space="preserve">Trussardi Delicate Rose EDT 50ml | Buy Online UK | Swansura</t>
  </si>
  <si>
    <t xml:space="preserve">Buy Trussardi Delicate Rose Eau de Toilette online in the UK at Swansura. A floral women's eau de toilette, 50ml. 100% authentic, free UK delivery over £50.</t>
  </si>
  <si>
    <t xml:space="preserve">FR-384</t>
  </si>
  <si>
    <t xml:space="preserve">Trussardi Pure Jasmine Lifestyle Mini Gift Set – Eau de Parfum 60ml + 10ml + 7ml</t>
  </si>
  <si>
    <t xml:space="preserve">trussardi pure jasmine lifestyle mini gift set</t>
  </si>
  <si>
    <t xml:space="preserve">trussardi pure jasmine lifestyle mini gift set uk</t>
  </si>
  <si>
    <t xml:space="preserve">buy trussardi pure jasmine lifestyle mini gift set online</t>
  </si>
  <si>
    <t xml:space="preserve">trussardi pure jasmine lifestyle mini gift set price</t>
  </si>
  <si>
    <t xml:space="preserve">trussardi perfume · floral perfume uk</t>
  </si>
  <si>
    <t xml:space="preserve">Trussardi Pure Jasmine Lifestyle Mini Gift Set</t>
  </si>
  <si>
    <t xml:space="preserve">Trussardi Pure Jasmine Lifestyle Mini Gift Set | Swansura UK</t>
  </si>
  <si>
    <t xml:space="preserve">Buy Trussardi Pure Jasmine Lifestyle Mini Gift Set online in the UK at Swansura. A floral unisex eau de parfum, 60ml. 100% authentic, free UK delivery over £50.</t>
  </si>
  <si>
    <t xml:space="preserve">FR-385</t>
  </si>
  <si>
    <t xml:space="preserve">Trussardi Ruby Red Eau de Parfum Gift Set 60ml + Stardust Body Emulsion 125ml – Women's Fragrance Set</t>
  </si>
  <si>
    <t xml:space="preserve">trussardi ruby red gift set</t>
  </si>
  <si>
    <t xml:space="preserve">trussardi ruby red gift set uk</t>
  </si>
  <si>
    <t xml:space="preserve">buy trussardi ruby red gift set online</t>
  </si>
  <si>
    <t xml:space="preserve">trussardi ruby red gift set price</t>
  </si>
  <si>
    <t xml:space="preserve">trussardi perfume · trussardi perfume for women · woody perfume for women uk</t>
  </si>
  <si>
    <t xml:space="preserve">trussardi ruby red set</t>
  </si>
  <si>
    <t xml:space="preserve">Trussardi Ruby Red Eau de Parfum Gift Set</t>
  </si>
  <si>
    <t xml:space="preserve">Trussardi Ruby Red Eau de Parfum Gift Set | Swansura UK</t>
  </si>
  <si>
    <t xml:space="preserve">Buy Trussardi Ruby Red Eau de Parfum Gift Set online in the UK at Swansura. A woody women's eau de parfum, 60ml. 100% authentic, free UK delivery over £50.</t>
  </si>
  <si>
    <t xml:space="preserve">FR-386</t>
  </si>
  <si>
    <t xml:space="preserve">Viktor &amp; Rolf</t>
  </si>
  <si>
    <t xml:space="preserve">Viktor &amp; Rolf Good Fortune Eau de Parfum 10ml Miniature – Women's Floral Fragrance</t>
  </si>
  <si>
    <t xml:space="preserve">viktor &amp; rolf good fortune miniature</t>
  </si>
  <si>
    <t xml:space="preserve">viktor &amp; rolf good fortune miniature uk</t>
  </si>
  <si>
    <t xml:space="preserve">buy viktor &amp; rolf good fortune miniature online</t>
  </si>
  <si>
    <t xml:space="preserve">viktor &amp; rolf good fortune miniature price</t>
  </si>
  <si>
    <t xml:space="preserve">viktor &amp; rolf good fortune miniature eau de parfum</t>
  </si>
  <si>
    <t xml:space="preserve">viktor &amp; rolf perfume · viktor &amp; rolf perfume for women · floral perfume for women uk</t>
  </si>
  <si>
    <t xml:space="preserve">Viktor &amp; Rolf Good Fortune Eau de Parfum Miniature</t>
  </si>
  <si>
    <t xml:space="preserve">Viktor &amp; Rolf Good Fortune Miniature EDP 10ml | Swansura UK</t>
  </si>
  <si>
    <t xml:space="preserve">Buy Viktor &amp; Rolf Good Fortune Eau de Parfum Miniature online in the UK at Swansura. A floral women's eau de parfum. 100% authentic, free UK delivery over £50.</t>
  </si>
  <si>
    <t xml:space="preserve">FR-387</t>
  </si>
  <si>
    <t xml:space="preserve">YSL</t>
  </si>
  <si>
    <t xml:space="preserve">Yves Saint Laurent Yvresse Eau de Toilette (W) 80ml</t>
  </si>
  <si>
    <t xml:space="preserve">ysl yves saint laurent yvresse w</t>
  </si>
  <si>
    <t xml:space="preserve">ysl yves saint laurent yvresse w uk</t>
  </si>
  <si>
    <t xml:space="preserve">buy ysl yves saint laurent yvresse w online</t>
  </si>
  <si>
    <t xml:space="preserve">ysl yves saint laurent yvresse w price</t>
  </si>
  <si>
    <t xml:space="preserve">ysl yves saint laurent yvresse w eau de toilette</t>
  </si>
  <si>
    <t xml:space="preserve">ysl perfume · amber perfume uk</t>
  </si>
  <si>
    <t xml:space="preserve">Yves Saint Laurent Yvresse Eau de Toilette (W)</t>
  </si>
  <si>
    <t xml:space="preserve">Yves Saint Laurent Yvresse Eau de Toilette (W) | Swansura UK</t>
  </si>
  <si>
    <t xml:space="preserve">Buy Yves Saint Laurent Yvresse Eau de Toilette (W) online in the UK at Swansura. An amber unisex eau de toilette. 100% authentic, free UK delivery over £50.</t>
  </si>
  <si>
    <t xml:space="preserve">Tier</t>
  </si>
  <si>
    <t xml:space="preserve">Semrush batch</t>
  </si>
  <si>
    <t xml:space="preserve">No. of products</t>
  </si>
  <si>
    <t xml:space="preserve">Product IDs</t>
  </si>
  <si>
    <t xml:space="preserve">Keyword Difficulty</t>
  </si>
  <si>
    <t xml:space="preserve">Intent</t>
  </si>
  <si>
    <t xml:space="preserve">buy deyga products online</t>
  </si>
  <si>
    <t xml:space="preserve">buy vilvah products online</t>
  </si>
  <si>
    <t xml:space="preserve">deyga official website</t>
  </si>
  <si>
    <t xml:space="preserve">deyga products uk</t>
  </si>
  <si>
    <t xml:space="preserve">deyga uk</t>
  </si>
  <si>
    <t xml:space="preserve">vilvah products uk</t>
  </si>
  <si>
    <t xml:space="preserve">vilvah skincare</t>
  </si>
  <si>
    <t xml:space="preserve">abercrombie &amp; fitch perfume</t>
  </si>
  <si>
    <t xml:space="preserve">FR-001, FR-002</t>
  </si>
  <si>
    <t xml:space="preserve">abercrombie &amp; fitch perfume for women</t>
  </si>
  <si>
    <t xml:space="preserve">FR-003, FR-004, FR-005, FR-006, FR-007, FR-008, FR-009, FR-010</t>
  </si>
  <si>
    <t xml:space="preserve">acqua di parma perfume for men</t>
  </si>
  <si>
    <t xml:space="preserve">acqua di parma perfume for women</t>
  </si>
  <si>
    <t xml:space="preserve">al haramain perfume</t>
  </si>
  <si>
    <t xml:space="preserve">FR-011, FR-012, FR-013, FR-014, FR-015, FR-016, FR-017, FR-018, FR-019, FR-020, FR-021, FR-022 …</t>
  </si>
  <si>
    <t xml:space="preserve">al haramain perfume for men</t>
  </si>
  <si>
    <t xml:space="preserve">FR-014, FR-022, FR-025</t>
  </si>
  <si>
    <t xml:space="preserve">al haramain perfume for women</t>
  </si>
  <si>
    <t xml:space="preserve">FR-019, FR-023, FR-024</t>
  </si>
  <si>
    <t xml:space="preserve">amber perfume for men uk</t>
  </si>
  <si>
    <t xml:space="preserve">FR-062, FR-088, FR-089, FR-136, FR-139, FR-270</t>
  </si>
  <si>
    <t xml:space="preserve">FR-008, FR-009, FR-010, FR-011, FR-016, FR-018, FR-020, FR-026, FR-027, FR-028, FR-029, FR-030 …</t>
  </si>
  <si>
    <t xml:space="preserve">anatome perfume</t>
  </si>
  <si>
    <t xml:space="preserve">FR-027, FR-028, FR-029, FR-030, FR-031, FR-032, FR-033, FR-034, FR-035, FR-036, FR-037, FR-038 …</t>
  </si>
  <si>
    <t xml:space="preserve">anna sui perfume for women</t>
  </si>
  <si>
    <t xml:space="preserve">antonio banderas perfume</t>
  </si>
  <si>
    <t xml:space="preserve">FR-044, FR-045, FR-046, FR-047, FR-048, FR-049</t>
  </si>
  <si>
    <t xml:space="preserve">antonio banderas perfume for men</t>
  </si>
  <si>
    <t xml:space="preserve">FR-046, FR-049</t>
  </si>
  <si>
    <t xml:space="preserve">antonio banderas perfume for women</t>
  </si>
  <si>
    <t xml:space="preserve">FR-047, FR-048</t>
  </si>
  <si>
    <t xml:space="preserve">aquatic perfume uk</t>
  </si>
  <si>
    <t xml:space="preserve">ariana grande perfume for women</t>
  </si>
  <si>
    <t xml:space="preserve">armaf perfume for men</t>
  </si>
  <si>
    <t xml:space="preserve">aromatic perfume for men uk</t>
  </si>
  <si>
    <t xml:space="preserve">FR-052, FR-086, FR-111, FR-141, FR-256</t>
  </si>
  <si>
    <t xml:space="preserve">bentley perfume</t>
  </si>
  <si>
    <t xml:space="preserve">FR-052, FR-053, FR-054, FR-055, FR-056, FR-057, FR-058, FR-059, FR-060, FR-061, FR-062</t>
  </si>
  <si>
    <t xml:space="preserve">bentley perfume for men</t>
  </si>
  <si>
    <t xml:space="preserve">FR-063, FR-064, FR-065, FR-066, FR-067</t>
  </si>
  <si>
    <t xml:space="preserve">FR-068, FR-069, FR-070, FR-071, FR-072, FR-073, FR-074, FR-075</t>
  </si>
  <si>
    <t xml:space="preserve">bvlgari perfume for men</t>
  </si>
  <si>
    <t xml:space="preserve">FR-068, FR-071, FR-072, FR-073, FR-074</t>
  </si>
  <si>
    <t xml:space="preserve">bvlgari perfume for women</t>
  </si>
  <si>
    <t xml:space="preserve">FR-069, FR-070, FR-075</t>
  </si>
  <si>
    <t xml:space="preserve">FR-076, FR-077, FR-078, FR-079, FR-080, FR-081, FR-082, FR-083, FR-084, FR-085, FR-086</t>
  </si>
  <si>
    <t xml:space="preserve">calvin klein perfume for men</t>
  </si>
  <si>
    <t xml:space="preserve">FR-076, FR-079, FR-081, FR-082, FR-083, FR-084, FR-086</t>
  </si>
  <si>
    <t xml:space="preserve">calvin klein perfume for women</t>
  </si>
  <si>
    <t xml:space="preserve">FR-077, FR-078, FR-080, FR-085</t>
  </si>
  <si>
    <t xml:space="preserve">FR-087, FR-088, FR-089, FR-090, FR-091, FR-092, FR-093, FR-094</t>
  </si>
  <si>
    <t xml:space="preserve">carolina herrera perfume for men</t>
  </si>
  <si>
    <t xml:space="preserve">FR-088, FR-089, FR-090, FR-091, FR-092, FR-093</t>
  </si>
  <si>
    <t xml:space="preserve">carolina herrera perfume for women</t>
  </si>
  <si>
    <t xml:space="preserve">FR-087, FR-094</t>
  </si>
  <si>
    <t xml:space="preserve">FR-095, FR-096, FR-097, FR-098, FR-099, FR-100, FR-101</t>
  </si>
  <si>
    <t xml:space="preserve">chloe perfume for women</t>
  </si>
  <si>
    <t xml:space="preserve">chopard perfume</t>
  </si>
  <si>
    <t xml:space="preserve">FR-102, FR-103, FR-104, FR-105, FR-106</t>
  </si>
  <si>
    <t xml:space="preserve">chopard perfume for men</t>
  </si>
  <si>
    <t xml:space="preserve">chopard perfume for women</t>
  </si>
  <si>
    <t xml:space="preserve">chris adams perfume</t>
  </si>
  <si>
    <t xml:space="preserve">FR-107, FR-108</t>
  </si>
  <si>
    <t xml:space="preserve">chris adams perfume for men</t>
  </si>
  <si>
    <t xml:space="preserve">chypre perfume for women uk</t>
  </si>
  <si>
    <t xml:space="preserve">citrus perfume for men uk</t>
  </si>
  <si>
    <t xml:space="preserve">citrus perfume uk</t>
  </si>
  <si>
    <t xml:space="preserve">FR-003, FR-004</t>
  </si>
  <si>
    <t xml:space="preserve">FR-109, FR-110, FR-111, FR-112</t>
  </si>
  <si>
    <t xml:space="preserve">davidoff perfume for men</t>
  </si>
  <si>
    <t xml:space="preserve">FR-110, FR-111, FR-112</t>
  </si>
  <si>
    <t xml:space="preserve">davidoff perfume for women</t>
  </si>
  <si>
    <t xml:space="preserve">FR-113, FR-114, FR-115</t>
  </si>
  <si>
    <t xml:space="preserve">FR-116, FR-117, FR-118, FR-119</t>
  </si>
  <si>
    <t xml:space="preserve">dkny perfume for women</t>
  </si>
  <si>
    <t xml:space="preserve">FR-120, FR-121, FR-122, FR-123, FR-124, FR-125, FR-126, FR-127, FR-128, FR-129, FR-130, FR-131</t>
  </si>
  <si>
    <t xml:space="preserve">dolce &amp; gabbana perfume for men</t>
  </si>
  <si>
    <t xml:space="preserve">FR-122, FR-123, FR-124, FR-125, FR-128, FR-129</t>
  </si>
  <si>
    <t xml:space="preserve">dolce &amp; gabbana perfume for women</t>
  </si>
  <si>
    <t xml:space="preserve">FR-120, FR-121, FR-126, FR-127, FR-130, FR-131</t>
  </si>
  <si>
    <t xml:space="preserve">FR-132, FR-133, FR-134, FR-135, FR-136, FR-137, FR-138, FR-139, FR-140, FR-141, FR-142, FR-143 …</t>
  </si>
  <si>
    <t xml:space="preserve">dunhill perfume for men</t>
  </si>
  <si>
    <t xml:space="preserve">FR-146, FR-147, FR-148, FR-149, FR-150, FR-151, FR-152, FR-153, FR-154, FR-155</t>
  </si>
  <si>
    <t xml:space="preserve">elie saab perfume for women</t>
  </si>
  <si>
    <t xml:space="preserve">FR-146, FR-149, FR-150, FR-151, FR-152, FR-153, FR-154, FR-155</t>
  </si>
  <si>
    <t xml:space="preserve">elizabeth arden perfume for women</t>
  </si>
  <si>
    <t xml:space="preserve">FR-157, FR-158, FR-159</t>
  </si>
  <si>
    <t xml:space="preserve">escada perfume for women</t>
  </si>
  <si>
    <t xml:space="preserve">estee lauder perfume for women</t>
  </si>
  <si>
    <t xml:space="preserve">etienne aigner perfume</t>
  </si>
  <si>
    <t xml:space="preserve">FR-161, FR-162</t>
  </si>
  <si>
    <t xml:space="preserve">etienne aigner perfume for men</t>
  </si>
  <si>
    <t xml:space="preserve">floral perfume for women uk</t>
  </si>
  <si>
    <t xml:space="preserve">FR-001, FR-002, FR-019, FR-023, FR-024, FR-043, FR-047, FR-048, FR-050, FR-063, FR-064, FR-066 …</t>
  </si>
  <si>
    <t xml:space="preserve">FR-007, FR-017, FR-021, FR-147, FR-189, FR-237, FR-242, FR-251, FR-253, FR-278, FR-317, FR-334 …</t>
  </si>
  <si>
    <t xml:space="preserve">fresh perfume for men uk</t>
  </si>
  <si>
    <t xml:space="preserve">FR-049, FR-056, FR-057, FR-079, FR-129, FR-143, FR-167</t>
  </si>
  <si>
    <t xml:space="preserve">fresh perfume for women uk</t>
  </si>
  <si>
    <t xml:space="preserve">FR-118, FR-297</t>
  </si>
  <si>
    <t xml:space="preserve">fresh perfume uk</t>
  </si>
  <si>
    <t xml:space="preserve">fruity perfume for women uk</t>
  </si>
  <si>
    <t xml:space="preserve">fruity perfume uk</t>
  </si>
  <si>
    <t xml:space="preserve">FR-175, FR-365</t>
  </si>
  <si>
    <t xml:space="preserve">fumeri perfume</t>
  </si>
  <si>
    <t xml:space="preserve">FR-163, FR-164, FR-165, FR-166, FR-167, FR-168, FR-169, FR-170, FR-171, FR-172, FR-173, FR-174 …</t>
  </si>
  <si>
    <t xml:space="preserve">fumeri perfume for men</t>
  </si>
  <si>
    <t xml:space="preserve">FR-167, FR-174, FR-178</t>
  </si>
  <si>
    <t xml:space="preserve">fumeri perfume for women</t>
  </si>
  <si>
    <t xml:space="preserve">FR-166, FR-172</t>
  </si>
  <si>
    <t xml:space="preserve">giorgia armani perfume</t>
  </si>
  <si>
    <t xml:space="preserve">giorgia armani perfume for men</t>
  </si>
  <si>
    <t xml:space="preserve">giorgio armani perfume for men</t>
  </si>
  <si>
    <t xml:space="preserve">FR-214, FR-215</t>
  </si>
  <si>
    <t xml:space="preserve">givenchy perfume for men</t>
  </si>
  <si>
    <t xml:space="preserve">givenchy perfume for women</t>
  </si>
  <si>
    <t xml:space="preserve">gourmand perfume for women uk</t>
  </si>
  <si>
    <t xml:space="preserve">green perfume uk</t>
  </si>
  <si>
    <t xml:space="preserve">FR-216, FR-217, FR-218, FR-219, FR-220, FR-221, FR-222, FR-223, FR-224, FR-225, FR-226, FR-227 …</t>
  </si>
  <si>
    <t xml:space="preserve">gucci perfume for men</t>
  </si>
  <si>
    <t xml:space="preserve">FR-216, FR-217, FR-218, FR-219, FR-221, FR-223, FR-225, FR-226, FR-227, FR-228</t>
  </si>
  <si>
    <t xml:space="preserve">FR-229, FR-230, FR-231, FR-232, FR-233, FR-234, FR-235, FR-236</t>
  </si>
  <si>
    <t xml:space="preserve">guerlain perfume for men</t>
  </si>
  <si>
    <t xml:space="preserve">guerlain perfume for women</t>
  </si>
  <si>
    <t xml:space="preserve">FR-230, FR-233, FR-235, FR-236</t>
  </si>
  <si>
    <t xml:space="preserve">hemel perfume</t>
  </si>
  <si>
    <t xml:space="preserve">FR-237, FR-238, FR-239, FR-240, FR-241, FR-242, FR-243, FR-244, FR-245, FR-246, FR-247, FR-248 …</t>
  </si>
  <si>
    <t xml:space="preserve">hollister perfume for men</t>
  </si>
  <si>
    <t xml:space="preserve">FR-257, FR-258, FR-259, FR-260, FR-261</t>
  </si>
  <si>
    <t xml:space="preserve">hugo boss perfume for men</t>
  </si>
  <si>
    <t xml:space="preserve">FR-257, FR-258, FR-259, FR-260</t>
  </si>
  <si>
    <t xml:space="preserve">hugo boss perfume for women</t>
  </si>
  <si>
    <t xml:space="preserve">FR-262, FR-263</t>
  </si>
  <si>
    <t xml:space="preserve">jean paul perfume for women</t>
  </si>
  <si>
    <t xml:space="preserve">FR-264, FR-265</t>
  </si>
  <si>
    <t xml:space="preserve">jimmy choo perfume for women</t>
  </si>
  <si>
    <t xml:space="preserve">jo milano perfume</t>
  </si>
  <si>
    <t xml:space="preserve">FR-266, FR-267</t>
  </si>
  <si>
    <t xml:space="preserve">john varvatos perfume</t>
  </si>
  <si>
    <t xml:space="preserve">john varvatos perfume for men</t>
  </si>
  <si>
    <t xml:space="preserve">joop homme perfume</t>
  </si>
  <si>
    <t xml:space="preserve">FR-269, FR-270</t>
  </si>
  <si>
    <t xml:space="preserve">joop homme perfume for men</t>
  </si>
  <si>
    <t xml:space="preserve">FR-271, FR-272, FR-273</t>
  </si>
  <si>
    <t xml:space="preserve">juicy couture perfume for women</t>
  </si>
  <si>
    <t xml:space="preserve">kenneth cole perfume</t>
  </si>
  <si>
    <t xml:space="preserve">kenneth cole perfume for men</t>
  </si>
  <si>
    <t xml:space="preserve">korloff perfume</t>
  </si>
  <si>
    <t xml:space="preserve">FR-275, FR-276, FR-277, FR-278, FR-279, FR-280, FR-281, FR-282</t>
  </si>
  <si>
    <t xml:space="preserve">la maison perfume</t>
  </si>
  <si>
    <t xml:space="preserve">FR-283, FR-284, FR-285, FR-286</t>
  </si>
  <si>
    <t xml:space="preserve">FR-287, FR-288</t>
  </si>
  <si>
    <t xml:space="preserve">lancome perfume for women</t>
  </si>
  <si>
    <t xml:space="preserve">leather perfume uk</t>
  </si>
  <si>
    <t xml:space="preserve">FR-289, FR-290</t>
  </si>
  <si>
    <t xml:space="preserve">FR-291, FR-292, FR-293, FR-294, FR-295, FR-296, FR-297</t>
  </si>
  <si>
    <t xml:space="preserve">marc jacobs perfume for women</t>
  </si>
  <si>
    <t xml:space="preserve">FR-298, FR-299</t>
  </si>
  <si>
    <t xml:space="preserve">montale perfume for women</t>
  </si>
  <si>
    <t xml:space="preserve">musk perfume uk</t>
  </si>
  <si>
    <t xml:space="preserve">FR-300, FR-301, FR-302, FR-303</t>
  </si>
  <si>
    <t xml:space="preserve">nina ricci perfume for women</t>
  </si>
  <si>
    <t xml:space="preserve">oud perfume for men uk</t>
  </si>
  <si>
    <t xml:space="preserve">FR-005, FR-105, FR-174, FR-258</t>
  </si>
  <si>
    <t xml:space="preserve">oud perfume for women uk</t>
  </si>
  <si>
    <t xml:space="preserve">oud perfume uk</t>
  </si>
  <si>
    <t xml:space="preserve">FR-148, FR-220, FR-281, FR-285, FR-289, FR-299, FR-308, FR-313, FR-315, FR-357, FR-362, FR-375 …</t>
  </si>
  <si>
    <t xml:space="preserve">paloma perfume</t>
  </si>
  <si>
    <t xml:space="preserve">paloma perfume for women</t>
  </si>
  <si>
    <t xml:space="preserve">philipp plein perfume</t>
  </si>
  <si>
    <t xml:space="preserve">FR-305, FR-306, FR-307</t>
  </si>
  <si>
    <t xml:space="preserve">philipp plein perfume for men</t>
  </si>
  <si>
    <t xml:space="preserve">rihanah perfume</t>
  </si>
  <si>
    <t xml:space="preserve">s.t. dupont perfume</t>
  </si>
  <si>
    <t xml:space="preserve">FR-309, FR-310, FR-311</t>
  </si>
  <si>
    <t xml:space="preserve">s.t. dupont perfume for women</t>
  </si>
  <si>
    <t xml:space="preserve">sap perfume</t>
  </si>
  <si>
    <t xml:space="preserve">FR-312, FR-313, FR-314, FR-315, FR-316</t>
  </si>
  <si>
    <t xml:space="preserve">serge lutens perfume</t>
  </si>
  <si>
    <t xml:space="preserve">shiseido perfume</t>
  </si>
  <si>
    <t xml:space="preserve">shiseido perfume for women</t>
  </si>
  <si>
    <t xml:space="preserve">signature d'orient perfume</t>
  </si>
  <si>
    <t xml:space="preserve">FR-319, FR-320, FR-321, FR-322, FR-323, FR-324, FR-325, FR-326, FR-327, FR-328, FR-329, FR-330 …</t>
  </si>
  <si>
    <t xml:space="preserve">signature d'orient perfume for men</t>
  </si>
  <si>
    <t xml:space="preserve">signature d'orient perfume for women</t>
  </si>
  <si>
    <t xml:space="preserve">spicy perfume for men uk</t>
  </si>
  <si>
    <t xml:space="preserve">FR-092, FR-259, FR-269</t>
  </si>
  <si>
    <t xml:space="preserve">spicy perfume uk</t>
  </si>
  <si>
    <t xml:space="preserve">the woods collection perfume</t>
  </si>
  <si>
    <t xml:space="preserve">FR-342, FR-343, FR-344, FR-345, FR-346, FR-347, FR-348, FR-349, FR-350, FR-351, FR-352</t>
  </si>
  <si>
    <t xml:space="preserve">tiziana terenzi perfume</t>
  </si>
  <si>
    <t xml:space="preserve">FR-353, FR-354, FR-355, FR-356, FR-357, FR-358, FR-359, FR-360, FR-361, FR-362, FR-363, FR-364 …</t>
  </si>
  <si>
    <t xml:space="preserve">FR-374, FR-375, FR-376, FR-377, FR-378, FR-379</t>
  </si>
  <si>
    <t xml:space="preserve">trussardi perfume</t>
  </si>
  <si>
    <t xml:space="preserve">FR-380, FR-381, FR-382, FR-383, FR-384, FR-385</t>
  </si>
  <si>
    <t xml:space="preserve">trussardi perfume for men</t>
  </si>
  <si>
    <t xml:space="preserve">trussardi perfume for women</t>
  </si>
  <si>
    <t xml:space="preserve">FR-380, FR-381, FR-383, FR-385</t>
  </si>
  <si>
    <t xml:space="preserve">viktor &amp; rolf perfume</t>
  </si>
  <si>
    <t xml:space="preserve">viktor &amp; rolf perfume for women</t>
  </si>
  <si>
    <t xml:space="preserve">FR-014, FR-022, FR-025, FR-046, FR-051, FR-053, FR-054, FR-055, FR-058, FR-059, FR-060, FR-061 …</t>
  </si>
  <si>
    <t xml:space="preserve">FR-006, FR-065, FR-080, FR-100, FR-113, FR-119, FR-127, FR-130, FR-153, FR-154, FR-155, FR-166 …</t>
  </si>
  <si>
    <t xml:space="preserve">FR-012, FR-013, FR-015, FR-044, FR-181, FR-186, FR-187, FR-188, FR-198, FR-204, FR-208, FR-209 …</t>
  </si>
  <si>
    <t xml:space="preserve">VD-082, VD-091, VD-128</t>
  </si>
  <si>
    <t xml:space="preserve">body care for body hydration</t>
  </si>
  <si>
    <t xml:space="preserve">VD-107, VD-108, VD-109, VD-110, VD-121, VD-129</t>
  </si>
  <si>
    <t xml:space="preserve">body care for dry skin</t>
  </si>
  <si>
    <t xml:space="preserve">VD-094, VD-102, VD-118</t>
  </si>
  <si>
    <t xml:space="preserve">VD-016, VD-025, VD-030, VD-114</t>
  </si>
  <si>
    <t xml:space="preserve">body oil for body hydration</t>
  </si>
  <si>
    <t xml:space="preserve">VD-085, VD-103</t>
  </si>
  <si>
    <t xml:space="preserve">body scrub for dull skin</t>
  </si>
  <si>
    <t xml:space="preserve">body wash for body cleansing</t>
  </si>
  <si>
    <t xml:space="preserve">VD-003, VD-008, VD-009, VD-011, VD-028, VD-084, VD-096</t>
  </si>
  <si>
    <t xml:space="preserve">conditioner for hair nourishment</t>
  </si>
  <si>
    <t xml:space="preserve">VD-012, VD-127</t>
  </si>
  <si>
    <t xml:space="preserve">deyga body butter</t>
  </si>
  <si>
    <t xml:space="preserve">deyga body care</t>
  </si>
  <si>
    <t xml:space="preserve">VD-094, VD-102, VD-107, VD-108, VD-109, VD-110, VD-118, VD-121, VD-129</t>
  </si>
  <si>
    <t xml:space="preserve">deyga body lotion</t>
  </si>
  <si>
    <t xml:space="preserve">deyga body oil</t>
  </si>
  <si>
    <t xml:space="preserve">deyga body wash</t>
  </si>
  <si>
    <t xml:space="preserve">VD-084, VD-096, VD-085</t>
  </si>
  <si>
    <t xml:space="preserve">deyga conditioner</t>
  </si>
  <si>
    <t xml:space="preserve">deyga face mask</t>
  </si>
  <si>
    <t xml:space="preserve">deyga face serum</t>
  </si>
  <si>
    <t xml:space="preserve">VD-087, VD-092, VD-120, VD-134</t>
  </si>
  <si>
    <t xml:space="preserve">deyga face wash</t>
  </si>
  <si>
    <t xml:space="preserve">VD-095, VD-113, VD-123</t>
  </si>
  <si>
    <t xml:space="preserve">deyga hair oil</t>
  </si>
  <si>
    <t xml:space="preserve">VD-089, VD-090, VD-122</t>
  </si>
  <si>
    <t xml:space="preserve">deyga hair treatment</t>
  </si>
  <si>
    <t xml:space="preserve">VD-112, VD-125</t>
  </si>
  <si>
    <t xml:space="preserve">VD-106, VD-111, VD-117, VD-131, VD-132</t>
  </si>
  <si>
    <t xml:space="preserve">deyga moisturiser</t>
  </si>
  <si>
    <t xml:space="preserve">VD-086, VD-093, VD-124, VD-133</t>
  </si>
  <si>
    <t xml:space="preserve">VD-126, VD-130</t>
  </si>
  <si>
    <t xml:space="preserve">VD-088, VD-098, VD-099, VD-101, VD-104, VD-116, VD-119, VD-135</t>
  </si>
  <si>
    <t xml:space="preserve">VD-136, VD-137, VD-138, VD-139, VD-140, VD-141, VD-142, VD-143, VD-144, VD-145, VD-146, VD-147 …</t>
  </si>
  <si>
    <t xml:space="preserve">deyga toner</t>
  </si>
  <si>
    <t xml:space="preserve">VD-100, VD-115</t>
  </si>
  <si>
    <t xml:space="preserve">VD-024, VD-083</t>
  </si>
  <si>
    <t xml:space="preserve">face mask for skin nourishment</t>
  </si>
  <si>
    <t xml:space="preserve">VD-018, VD-019</t>
  </si>
  <si>
    <t xml:space="preserve">face serum for anti ageing</t>
  </si>
  <si>
    <t xml:space="preserve">face serum for dull skin</t>
  </si>
  <si>
    <t xml:space="preserve">VD-038, VD-039, VD-087, VD-092, VD-120, VD-134</t>
  </si>
  <si>
    <t xml:space="preserve">face wash for skin nourishment</t>
  </si>
  <si>
    <t xml:space="preserve">VD-006, VD-014, VD-027, VD-095</t>
  </si>
  <si>
    <t xml:space="preserve">hair accessories for hair nourishment</t>
  </si>
  <si>
    <t xml:space="preserve">VD-041, VD-042</t>
  </si>
  <si>
    <t xml:space="preserve">VD-021, VD-090</t>
  </si>
  <si>
    <t xml:space="preserve">VD-002, VD-032, VD-033, VD-122</t>
  </si>
  <si>
    <t xml:space="preserve">VD-010, VD-015, VD-035, VD-040, VD-044, VD-045, VD-046, VD-106, VD-117, VD-132</t>
  </si>
  <si>
    <t xml:space="preserve">moisturiser for dark circles</t>
  </si>
  <si>
    <t xml:space="preserve">VD-007, VD-086, VD-093</t>
  </si>
  <si>
    <t xml:space="preserve">moisturiser for skin nourishment</t>
  </si>
  <si>
    <t xml:space="preserve">VD-020, VD-124, VD-133</t>
  </si>
  <si>
    <t xml:space="preserve">natural body butter uk</t>
  </si>
  <si>
    <t xml:space="preserve">natural body care uk</t>
  </si>
  <si>
    <t xml:space="preserve">natural body oil uk</t>
  </si>
  <si>
    <t xml:space="preserve">VD-026, VD-085, VD-103</t>
  </si>
  <si>
    <t xml:space="preserve">natural conditioner uk</t>
  </si>
  <si>
    <t xml:space="preserve">natural deodorant for body hydration</t>
  </si>
  <si>
    <t xml:space="preserve">VD-004, VD-029</t>
  </si>
  <si>
    <t xml:space="preserve">natural face mask uk</t>
  </si>
  <si>
    <t xml:space="preserve">VD-018, VD-019, VD-024, VD-083</t>
  </si>
  <si>
    <t xml:space="preserve">natural face serum uk</t>
  </si>
  <si>
    <t xml:space="preserve">VD-023, VD-038, VD-039, VD-087, VD-092, VD-120, VD-134</t>
  </si>
  <si>
    <t xml:space="preserve">VD-006, VD-014, VD-027, VD-095, VD-113, VD-123</t>
  </si>
  <si>
    <t xml:space="preserve">natural hair accessories uk</t>
  </si>
  <si>
    <t xml:space="preserve">VD-037, VD-041, VD-042</t>
  </si>
  <si>
    <t xml:space="preserve">natural hair mask uk</t>
  </si>
  <si>
    <t xml:space="preserve">natural hair oil uk</t>
  </si>
  <si>
    <t xml:space="preserve">VD-002, VD-021, VD-032, VD-033, VD-089, VD-090, VD-122</t>
  </si>
  <si>
    <t xml:space="preserve">natural hair serum uk</t>
  </si>
  <si>
    <t xml:space="preserve">natural hair treatment uk</t>
  </si>
  <si>
    <t xml:space="preserve">VD-010, VD-015, VD-035, VD-036, VD-040, VD-044, VD-045, VD-046, VD-106, VD-111, VD-117, VD-131 …</t>
  </si>
  <si>
    <t xml:space="preserve">VD-007, VD-020, VD-043, VD-086, VD-093, VD-124, VD-133</t>
  </si>
  <si>
    <t xml:space="preserve">natural natural deodorant uk</t>
  </si>
  <si>
    <t xml:space="preserve">VD-013, VD-034, VD-126, VD-130</t>
  </si>
  <si>
    <t xml:space="preserve">VD-005, VD-105</t>
  </si>
  <si>
    <t xml:space="preserve">natural toner uk</t>
  </si>
  <si>
    <t xml:space="preserve">VD-001, VD-017, VD-100, VD-115</t>
  </si>
  <si>
    <t xml:space="preserve">VD-034, VD-130</t>
  </si>
  <si>
    <t xml:space="preserve">shampoo for hair nourishment</t>
  </si>
  <si>
    <t xml:space="preserve">VD-116, VD-119</t>
  </si>
  <si>
    <t xml:space="preserve">skincare for skin nourishment</t>
  </si>
  <si>
    <t xml:space="preserve">VD-088, VD-098, VD-099, VD-104, VD-135</t>
  </si>
  <si>
    <t xml:space="preserve">toner for skin nourishment</t>
  </si>
  <si>
    <t xml:space="preserve">VD-001, VD-100, VD-115</t>
  </si>
  <si>
    <t xml:space="preserve">vilvah body lotion</t>
  </si>
  <si>
    <t xml:space="preserve">VD-016, VD-025, VD-030</t>
  </si>
  <si>
    <t xml:space="preserve">vilvah body scrub</t>
  </si>
  <si>
    <t xml:space="preserve">vilvah body wash</t>
  </si>
  <si>
    <t xml:space="preserve">VD-003, VD-008, VD-009, VD-011, VD-028</t>
  </si>
  <si>
    <t xml:space="preserve">vilvah conditioner</t>
  </si>
  <si>
    <t xml:space="preserve">vilvah face mask</t>
  </si>
  <si>
    <t xml:space="preserve">VD-018, VD-019, VD-024</t>
  </si>
  <si>
    <t xml:space="preserve">vilvah face serum</t>
  </si>
  <si>
    <t xml:space="preserve">VD-023, VD-038, VD-039</t>
  </si>
  <si>
    <t xml:space="preserve">vilvah face wash</t>
  </si>
  <si>
    <t xml:space="preserve">VD-006, VD-014, VD-027</t>
  </si>
  <si>
    <t xml:space="preserve">vilvah hair accessories</t>
  </si>
  <si>
    <t xml:space="preserve">vilvah hair mask</t>
  </si>
  <si>
    <t xml:space="preserve">vilvah hair oil</t>
  </si>
  <si>
    <t xml:space="preserve">VD-002, VD-021, VD-032, VD-033</t>
  </si>
  <si>
    <t xml:space="preserve">vilvah hair serum</t>
  </si>
  <si>
    <t xml:space="preserve">vilvah lip balm</t>
  </si>
  <si>
    <t xml:space="preserve">VD-010, VD-015, VD-035, VD-036, VD-040, VD-044, VD-045, VD-046</t>
  </si>
  <si>
    <t xml:space="preserve">vilvah moisturiser</t>
  </si>
  <si>
    <t xml:space="preserve">VD-007, VD-020, VD-043</t>
  </si>
  <si>
    <t xml:space="preserve">vilvah natural deodorant</t>
  </si>
  <si>
    <t xml:space="preserve">vilvah shampoo</t>
  </si>
  <si>
    <t xml:space="preserve">VD-013, VD-034</t>
  </si>
  <si>
    <t xml:space="preserve">VD-047, VD-048, VD-049, VD-050, VD-051, VD-052, VD-053, VD-054, VD-055, VD-056, VD-057, VD-058 …</t>
  </si>
  <si>
    <t xml:space="preserve">vilvah sunscreen</t>
  </si>
  <si>
    <t xml:space="preserve">vilvah toner</t>
  </si>
  <si>
    <t xml:space="preserve">VD-001, VD-017</t>
  </si>
  <si>
    <t xml:space="preserve">buy deyga beetroot lip balm</t>
  </si>
  <si>
    <t xml:space="preserve">buy deyga hair removal powder</t>
  </si>
  <si>
    <t xml:space="preserve">buy deyga lip balm</t>
  </si>
  <si>
    <t xml:space="preserve">buy vilvah</t>
  </si>
  <si>
    <t xml:space="preserve">buy vilvah aloe vera gel</t>
  </si>
  <si>
    <t xml:space="preserve">buy vilvah face wash</t>
  </si>
  <si>
    <t xml:space="preserve">buy vilvah foot cream</t>
  </si>
  <si>
    <t xml:space="preserve">buy vilvah lip balm</t>
  </si>
  <si>
    <t xml:space="preserve">buy vilvah milk drops</t>
  </si>
  <si>
    <t xml:space="preserve">buy vilvah milk drops serum</t>
  </si>
  <si>
    <t xml:space="preserve">buy vilvah products</t>
  </si>
  <si>
    <t xml:space="preserve">buy vilvah sunscreen</t>
  </si>
  <si>
    <t xml:space="preserve">buy vilvah under eye cream</t>
  </si>
  <si>
    <t xml:space="preserve">deyga buy 5 at 999</t>
  </si>
  <si>
    <t xml:space="preserve">deyga buy one get one</t>
  </si>
  <si>
    <t xml:space="preserve">deyga organics uk</t>
  </si>
  <si>
    <t xml:space="preserve">deyga products near me</t>
  </si>
  <si>
    <t xml:space="preserve">deyga shop near me</t>
  </si>
  <si>
    <t xml:space="preserve">vilvah contact</t>
  </si>
  <si>
    <t xml:space="preserve">vilvah milk drops uk</t>
  </si>
  <si>
    <t xml:space="preserve">vilvah milk serum</t>
  </si>
  <si>
    <t xml:space="preserve">vilvah near me</t>
  </si>
  <si>
    <t xml:space="preserve">vilvah review</t>
  </si>
  <si>
    <t xml:space="preserve">vilvah store uk</t>
  </si>
  <si>
    <t xml:space="preserve">FR-027, FR-028, FR-029</t>
  </si>
  <si>
    <t xml:space="preserve">FR-030, FR-031, FR-032</t>
  </si>
  <si>
    <t xml:space="preserve">FR-033, FR-034, FR-035</t>
  </si>
  <si>
    <t xml:space="preserve">FR-036, FR-037, FR-038</t>
  </si>
  <si>
    <t xml:space="preserve">FR-039, FR-040, FR-041, FR-042</t>
  </si>
  <si>
    <t xml:space="preserve">FR-056, FR-057</t>
  </si>
  <si>
    <t xml:space="preserve">FR-063, FR-064</t>
  </si>
  <si>
    <t xml:space="preserve">FR-066, FR-067</t>
  </si>
  <si>
    <t xml:space="preserve">FR-082, FR-083</t>
  </si>
  <si>
    <t xml:space="preserve">FR-077, FR-079</t>
  </si>
  <si>
    <t xml:space="preserve">FR-084, FR-085</t>
  </si>
  <si>
    <t xml:space="preserve">FR-088, FR-089</t>
  </si>
  <si>
    <t xml:space="preserve">FR-090, FR-091</t>
  </si>
  <si>
    <t xml:space="preserve">FR-100, FR-101</t>
  </si>
  <si>
    <t xml:space="preserve">FR-129, FR-131</t>
  </si>
  <si>
    <t xml:space="preserve">FR-122, FR-123</t>
  </si>
  <si>
    <t xml:space="preserve">FR-211, FR-190</t>
  </si>
  <si>
    <t xml:space="preserve">FR-242, FR-243</t>
  </si>
  <si>
    <t xml:space="preserve">FR-237, FR-238</t>
  </si>
  <si>
    <t xml:space="preserve">FR-240, FR-241</t>
  </si>
  <si>
    <t xml:space="preserve">FR-247, FR-248</t>
  </si>
  <si>
    <t xml:space="preserve">FR-249, FR-250</t>
  </si>
  <si>
    <t xml:space="preserve">FR-251, FR-252</t>
  </si>
  <si>
    <t xml:space="preserve">FR-253, FR-254</t>
  </si>
  <si>
    <t xml:space="preserve">FR-302, FR-303</t>
  </si>
  <si>
    <t xml:space="preserve">FR-356, FR-357</t>
  </si>
  <si>
    <t xml:space="preserve">FR-375, FR-376</t>
  </si>
  <si>
    <t xml:space="preserve">VD-053, VD-078</t>
  </si>
  <si>
    <t xml:space="preserve">VD-002, VD-032, VD-033</t>
  </si>
  <si>
    <t xml:space="preserve">VD-038, VD-039</t>
  </si>
  <si>
    <t xml:space="preserve">Product + UK</t>
  </si>
  <si>
    <t xml:space="preserve">T2-1</t>
  </si>
  <si>
    <t xml:space="preserve">T2-2</t>
  </si>
  <si>
    <t xml:space="preserve">Product + type</t>
  </si>
  <si>
    <t xml:space="preserve">T3-1</t>
  </si>
  <si>
    <t xml:space="preserve">abercrombie &amp; fitch first instinct together men</t>
  </si>
  <si>
    <t xml:space="preserve">abercrombie &amp; fitch first instinct together women</t>
  </si>
  <si>
    <t xml:space="preserve">abercrombie &amp; fitch naturally fierce eau de parfum 100ml</t>
  </si>
  <si>
    <t xml:space="preserve">abercrombie &amp; fitch naturally fierce eau de parfum 30ml</t>
  </si>
  <si>
    <t xml:space="preserve">abercrombie &amp; fitch naturally fierce edp</t>
  </si>
  <si>
    <t xml:space="preserve">abercrombie &amp; fitch naturally fierce edp 100ml</t>
  </si>
  <si>
    <t xml:space="preserve">abercrombie &amp; fitch naturally fierce edp 50ml</t>
  </si>
  <si>
    <t xml:space="preserve">acqua di parma blu mediterraneo price</t>
  </si>
  <si>
    <t xml:space="preserve">acqua di parma blu mediterraneo review</t>
  </si>
  <si>
    <t xml:space="preserve">acqua di parma colonia essenza deodorant stick 75ml</t>
  </si>
  <si>
    <t xml:space="preserve">acqua di parma colonia essenza deodorant stick review</t>
  </si>
  <si>
    <t xml:space="preserve">acqua di parma colonia essenza review</t>
  </si>
  <si>
    <t xml:space="preserve">acqua di parma colonia pura 100ml</t>
  </si>
  <si>
    <t xml:space="preserve">acqua di parma colonia pura 50ml</t>
  </si>
  <si>
    <t xml:space="preserve">acqua di parma colonia pura notes</t>
  </si>
  <si>
    <t xml:space="preserve">acqua di parma colonia pura review</t>
  </si>
  <si>
    <t xml:space="preserve">acqua di parma oud &amp; spice 100ml</t>
  </si>
  <si>
    <t xml:space="preserve">acqua di parma oud &amp; spice eau de parfum</t>
  </si>
  <si>
    <t xml:space="preserve">acqua di parma oud &amp; spice review</t>
  </si>
  <si>
    <t xml:space="preserve">acqua di parma oud spice 180ml</t>
  </si>
  <si>
    <t xml:space="preserve">acqua di parma oud spice 50ml</t>
  </si>
  <si>
    <t xml:space="preserve">acqua di parma rosa nobile 100ml</t>
  </si>
  <si>
    <t xml:space="preserve">T3-2</t>
  </si>
  <si>
    <t xml:space="preserve">acqua di parma rosa nobile eau de parfum</t>
  </si>
  <si>
    <t xml:space="preserve">acqua di parma rosa nobile notes</t>
  </si>
  <si>
    <t xml:space="preserve">acqua di parma sakura 100ml</t>
  </si>
  <si>
    <t xml:space="preserve">acqua di parma sakura eau de parfum</t>
  </si>
  <si>
    <t xml:space="preserve">acqua di parma sakura notes</t>
  </si>
  <si>
    <t xml:space="preserve">acqua di parma sandalo 100ml</t>
  </si>
  <si>
    <t xml:space="preserve">acqua di parma sandalo 50ml</t>
  </si>
  <si>
    <t xml:space="preserve">acqua di parma sandalo eau de parfum</t>
  </si>
  <si>
    <t xml:space="preserve">acqua di parma zafferano 100ml</t>
  </si>
  <si>
    <t xml:space="preserve">acqua di parma zafferano eau de parfum</t>
  </si>
  <si>
    <t xml:space="preserve">al haramain - l'aventure femme edp</t>
  </si>
  <si>
    <t xml:space="preserve">al haramain amber musk dupe of</t>
  </si>
  <si>
    <t xml:space="preserve">al haramain amber musk edp</t>
  </si>
  <si>
    <t xml:space="preserve">al haramain amber musk notes</t>
  </si>
  <si>
    <t xml:space="preserve">al haramain amber musk perfume</t>
  </si>
  <si>
    <t xml:space="preserve">al haramain amber musk review</t>
  </si>
  <si>
    <t xml:space="preserve">al haramain amber oud black edition 200ml</t>
  </si>
  <si>
    <t xml:space="preserve">al haramain amber oud black edition dupe of</t>
  </si>
  <si>
    <t xml:space="preserve">al haramain amber oud black edition notes</t>
  </si>
  <si>
    <t xml:space="preserve">al haramain amber oud black edition review</t>
  </si>
  <si>
    <t xml:space="preserve">al haramain amber oud black edition smells like</t>
  </si>
  <si>
    <t xml:space="preserve">al haramain amber oud bleu edition 100ml</t>
  </si>
  <si>
    <t xml:space="preserve">al haramain amber oud bleu edition 200ml</t>
  </si>
  <si>
    <t xml:space="preserve">al haramain amber oud bleu edition dupe of</t>
  </si>
  <si>
    <t xml:space="preserve">al haramain amber oud bleu edition edp</t>
  </si>
  <si>
    <t xml:space="preserve">al haramain amber oud bleu edition review</t>
  </si>
  <si>
    <t xml:space="preserve">al haramain amber oud carbon edition 200ml</t>
  </si>
  <si>
    <t xml:space="preserve">al haramain amber oud carbon edition dupe of</t>
  </si>
  <si>
    <t xml:space="preserve">al haramain amber oud carbon edition edp</t>
  </si>
  <si>
    <t xml:space="preserve">al haramain amber oud carbon edition notes</t>
  </si>
  <si>
    <t xml:space="preserve">al haramain amber oud carbon edition review</t>
  </si>
  <si>
    <t xml:space="preserve">al haramain amber oud extreme gold edition dupe of</t>
  </si>
  <si>
    <t xml:space="preserve">al haramain amber oud extreme gold edition extrait</t>
  </si>
  <si>
    <t xml:space="preserve">al haramain amber oud extreme gold edition notes</t>
  </si>
  <si>
    <t xml:space="preserve">al haramain amber oud extreme gold edition review</t>
  </si>
  <si>
    <t xml:space="preserve">al haramain amber oud gold edition 120ml</t>
  </si>
  <si>
    <t xml:space="preserve">al haramain amber oud gold edition notes</t>
  </si>
  <si>
    <t xml:space="preserve">al haramain amber oud ruby edition 100 ml</t>
  </si>
  <si>
    <t xml:space="preserve">al haramain amber oud ruby edition 200ml</t>
  </si>
  <si>
    <t xml:space="preserve">al haramain amber oud ruby edition dupe of</t>
  </si>
  <si>
    <t xml:space="preserve">al haramain amber oud ruby edition edp</t>
  </si>
  <si>
    <t xml:space="preserve">al haramain amber oud ruby edition review</t>
  </si>
  <si>
    <t xml:space="preserve">al haramain amber oud tobacco edition 100ml</t>
  </si>
  <si>
    <t xml:space="preserve">al haramain amber oud tobacco edition 200ml</t>
  </si>
  <si>
    <t xml:space="preserve">al haramain amber oud tobacco edition notes</t>
  </si>
  <si>
    <t xml:space="preserve">al haramain amber oud white edition 200ml</t>
  </si>
  <si>
    <t xml:space="preserve">al haramain amber oud white edition dupe of</t>
  </si>
  <si>
    <t xml:space="preserve">al haramain amber oud white edition edp</t>
  </si>
  <si>
    <t xml:space="preserve">al haramain amber oud white edition edp 100ml</t>
  </si>
  <si>
    <t xml:space="preserve">al haramain amber oud white edition review</t>
  </si>
  <si>
    <t xml:space="preserve">al haramain detour noir dupe of</t>
  </si>
  <si>
    <t xml:space="preserve">al haramain l'aventure blanche dupe of</t>
  </si>
  <si>
    <t xml:space="preserve">al haramain l'aventure blanche edp</t>
  </si>
  <si>
    <t xml:space="preserve">al haramain l'aventure blanche review</t>
  </si>
  <si>
    <t xml:space="preserve">al haramain l'aventure femme dupe</t>
  </si>
  <si>
    <t xml:space="preserve">al haramain l'aventure femme notes</t>
  </si>
  <si>
    <t xml:space="preserve">al haramain l'aventure gold dupe</t>
  </si>
  <si>
    <t xml:space="preserve">al haramain l'aventure gold perfume</t>
  </si>
  <si>
    <t xml:space="preserve">al haramain l'aventure intense dupe of</t>
  </si>
  <si>
    <t xml:space="preserve">al haramain l'aventure intense eau de parfum 100ml</t>
  </si>
  <si>
    <t xml:space="preserve">al haramain l'aventure intense edp</t>
  </si>
  <si>
    <t xml:space="preserve">al haramain l'aventure intense review</t>
  </si>
  <si>
    <t xml:space="preserve">anna sui sky 75ml</t>
  </si>
  <si>
    <t xml:space="preserve">anna sui sky notes</t>
  </si>
  <si>
    <t xml:space="preserve">anna sui sky perfume</t>
  </si>
  <si>
    <t xml:space="preserve">anna sui sky perfume price</t>
  </si>
  <si>
    <t xml:space="preserve">antonio banderas diavolo for men</t>
  </si>
  <si>
    <t xml:space="preserve">antonio banderas diavolo for women</t>
  </si>
  <si>
    <t xml:space="preserve">antonio banderas diavolo review</t>
  </si>
  <si>
    <t xml:space="preserve">antonio banderas her secret desire 80 ml</t>
  </si>
  <si>
    <t xml:space="preserve">antonio banderas her secret desire edt 80 ml</t>
  </si>
  <si>
    <t xml:space="preserve">antonio banderas her secret desire perfume</t>
  </si>
  <si>
    <t xml:space="preserve">antonio banderas her secret desire perfume review</t>
  </si>
  <si>
    <t xml:space="preserve">antonio banderas her secret desire review</t>
  </si>
  <si>
    <t xml:space="preserve">antonio banderas her secret temptation notes</t>
  </si>
  <si>
    <t xml:space="preserve">antonio banderas her secret temptation perfume price</t>
  </si>
  <si>
    <t xml:space="preserve">antonio banderas her secret temptation perfume review</t>
  </si>
  <si>
    <t xml:space="preserve">antonio banderas her secret temptation review</t>
  </si>
  <si>
    <t xml:space="preserve">antonio banderas her secret temptation women</t>
  </si>
  <si>
    <t xml:space="preserve">antonio banderas power of seduction 200ml</t>
  </si>
  <si>
    <t xml:space="preserve">antonio banderas power of seduction edt</t>
  </si>
  <si>
    <t xml:space="preserve">antonio banderas power of seduction notes</t>
  </si>
  <si>
    <t xml:space="preserve">antonio banderas power of seduction perfume</t>
  </si>
  <si>
    <t xml:space="preserve">antonio banderas power of seduction review</t>
  </si>
  <si>
    <t xml:space="preserve">ariana grande thank u next</t>
  </si>
  <si>
    <t xml:space="preserve">ariana grande thank u next 2.0</t>
  </si>
  <si>
    <t xml:space="preserve">ariana grande thank u next 2.0 perfume</t>
  </si>
  <si>
    <t xml:space="preserve">ariana grande thank u next perfume</t>
  </si>
  <si>
    <t xml:space="preserve">armaf hunter dupe of</t>
  </si>
  <si>
    <t xml:space="preserve">armaf hunter men</t>
  </si>
  <si>
    <t xml:space="preserve">armaf hunter perfume</t>
  </si>
  <si>
    <t xml:space="preserve">bentley absolute edp</t>
  </si>
  <si>
    <t xml:space="preserve">bentley absolute for men</t>
  </si>
  <si>
    <t xml:space="preserve">bentley absolute for men review</t>
  </si>
  <si>
    <t xml:space="preserve">bentley absolute men edp</t>
  </si>
  <si>
    <t xml:space="preserve">bentley absolute review</t>
  </si>
  <si>
    <t xml:space="preserve">bentley azure 2026 price</t>
  </si>
  <si>
    <t xml:space="preserve">bentley azure for men</t>
  </si>
  <si>
    <t xml:space="preserve">bentley azure perfume</t>
  </si>
  <si>
    <t xml:space="preserve">bentley become edp</t>
  </si>
  <si>
    <t xml:space="preserve">bentley become perfume</t>
  </si>
  <si>
    <t xml:space="preserve">bentley become perfume price</t>
  </si>
  <si>
    <t xml:space="preserve">bentley become review</t>
  </si>
  <si>
    <t xml:space="preserve">bentley infinite edt</t>
  </si>
  <si>
    <t xml:space="preserve">bentley infinite perfume</t>
  </si>
  <si>
    <t xml:space="preserve">bentley momentum unlimited edp</t>
  </si>
  <si>
    <t xml:space="preserve">bentley momentum unlimited edt</t>
  </si>
  <si>
    <t xml:space="preserve">bentley momentum unlimited edt 100ml</t>
  </si>
  <si>
    <t xml:space="preserve">bentley momentum unlimited notes</t>
  </si>
  <si>
    <t xml:space="preserve">bentley momentum unlimited review</t>
  </si>
  <si>
    <t xml:space="preserve">bentley silverlake dupe of</t>
  </si>
  <si>
    <t xml:space="preserve">bentley silverlake edp</t>
  </si>
  <si>
    <t xml:space="preserve">bentley silverlake notes</t>
  </si>
  <si>
    <t xml:space="preserve">bentley silverlake perfume</t>
  </si>
  <si>
    <t xml:space="preserve">bentley silverlake review</t>
  </si>
  <si>
    <t xml:space="preserve">burberry mini set</t>
  </si>
  <si>
    <t xml:space="preserve">burberry mini set 4</t>
  </si>
  <si>
    <t xml:space="preserve">burberry mini set perfume</t>
  </si>
  <si>
    <t xml:space="preserve">burberry miniature perfume set</t>
  </si>
  <si>
    <t xml:space="preserve">burberry my burberry black eau de parfum</t>
  </si>
  <si>
    <t xml:space="preserve">burberry my burberry black eau de parfum 50ml</t>
  </si>
  <si>
    <t xml:space="preserve">burberry my burberry black eau de parfum 90ml</t>
  </si>
  <si>
    <t xml:space="preserve">burberry my burberry black edp</t>
  </si>
  <si>
    <t xml:space="preserve">burberry my burberry black parfum 90ml</t>
  </si>
  <si>
    <t xml:space="preserve">burberry my burberry eau de parfum 90ml</t>
  </si>
  <si>
    <t xml:space="preserve">burberry my burberry edp</t>
  </si>
  <si>
    <t xml:space="preserve">burberry my burberry perfume</t>
  </si>
  <si>
    <t xml:space="preserve">bvlgari - rose goldea blossom delight kit</t>
  </si>
  <si>
    <t xml:space="preserve">bvlgari glacial essence price</t>
  </si>
  <si>
    <t xml:space="preserve">bvlgari man glacial essence eau de parfum gift set 100ml</t>
  </si>
  <si>
    <t xml:space="preserve">bvlgari man glacial essence eau de parfum review</t>
  </si>
  <si>
    <t xml:space="preserve">bvlgari man glacial essence kit</t>
  </si>
  <si>
    <t xml:space="preserve">bvlgari man glacial essence review</t>
  </si>
  <si>
    <t xml:space="preserve">bvlgari man glacial essence set</t>
  </si>
  <si>
    <t xml:space="preserve">bvlgari man in black edp</t>
  </si>
  <si>
    <t xml:space="preserve">bvlgari man in black perfume</t>
  </si>
  <si>
    <t xml:space="preserve">bvlgari man rain essence eau de parfum gift set</t>
  </si>
  <si>
    <t xml:space="preserve">bvlgari man rain essence eau de parfum gift set 100ml</t>
  </si>
  <si>
    <t xml:space="preserve">bvlgari man rain essence gift set 100ml edp 15ml edp</t>
  </si>
  <si>
    <t xml:space="preserve">bvlgari man rain essence kit</t>
  </si>
  <si>
    <t xml:space="preserve">bvlgari man rain essence set</t>
  </si>
  <si>
    <t xml:space="preserve">bvlgari man terrae essence eau de parfum gift set</t>
  </si>
  <si>
    <t xml:space="preserve">bvlgari man terrae essence edp set 115 ml</t>
  </si>
  <si>
    <t xml:space="preserve">bvlgari man terrae essence set</t>
  </si>
  <si>
    <t xml:space="preserve">bvlgari man wood essence eau de parfum gift set</t>
  </si>
  <si>
    <t xml:space="preserve">bvlgari man wood essence eau de parfum gift set 100ml</t>
  </si>
  <si>
    <t xml:space="preserve">bvlgari man wood essence edp set</t>
  </si>
  <si>
    <t xml:space="preserve">bvlgari man wood essence gift set 100ml edp 15ml edp</t>
  </si>
  <si>
    <t xml:space="preserve">bvlgari man wood essence kit</t>
  </si>
  <si>
    <t xml:space="preserve">bvlgari man wood essence set</t>
  </si>
  <si>
    <t xml:space="preserve">bvlgari omnia amethyste 100ml</t>
  </si>
  <si>
    <t xml:space="preserve">bvlgari omnia amethyste edp</t>
  </si>
  <si>
    <t xml:space="preserve">bvlgari omnia amethyste notes</t>
  </si>
  <si>
    <t xml:space="preserve">bvlgari rose goldea blossom delight 75ml price</t>
  </si>
  <si>
    <t xml:space="preserve">bvlgari rose goldea blossom delight eau de parfum gift set</t>
  </si>
  <si>
    <t xml:space="preserve">bvlgari rose goldea blossom delight edp set</t>
  </si>
  <si>
    <t xml:space="preserve">bvlgari rose goldea blossom delight price</t>
  </si>
  <si>
    <t xml:space="preserve">bvlgari rose goldea blossom delight set</t>
  </si>
  <si>
    <t xml:space="preserve">bvlgari splendida tubereuse mystique 100ml</t>
  </si>
  <si>
    <t xml:space="preserve">bvlgari splendida tubereuse mystique eau de parfum 50ml</t>
  </si>
  <si>
    <t xml:space="preserve">bvlgari splendida tubereuse mystique edp</t>
  </si>
  <si>
    <t xml:space="preserve">bvlgari splendida tubereuse mystique notes</t>
  </si>
  <si>
    <t xml:space="preserve">bvlgari splendida tubereuse mystique review</t>
  </si>
  <si>
    <t xml:space="preserve">calvin klein defy eau de parfum</t>
  </si>
  <si>
    <t xml:space="preserve">calvin klein defy edp</t>
  </si>
  <si>
    <t xml:space="preserve">calvin klein defy perfume price</t>
  </si>
  <si>
    <t xml:space="preserve">calvin klein defy review</t>
  </si>
  <si>
    <t xml:space="preserve">calvin klein eternity perfume</t>
  </si>
  <si>
    <t xml:space="preserve">calvin klein mini set</t>
  </si>
  <si>
    <t xml:space="preserve">calvin klein mini set perfume</t>
  </si>
  <si>
    <t xml:space="preserve">calvin klein mini set women</t>
  </si>
  <si>
    <t xml:space="preserve">calvin klein miniature perfume set</t>
  </si>
  <si>
    <t xml:space="preserve">calvin klein miniature set for men</t>
  </si>
  <si>
    <t xml:space="preserve">carolina herrera 212 vip men edt</t>
  </si>
  <si>
    <t xml:space="preserve">carolina herrera 212 vip men review</t>
  </si>
  <si>
    <t xml:space="preserve">carolina herrera 212 vip rose 100ml</t>
  </si>
  <si>
    <t xml:space="preserve">carolina herrera 212 vip rose eau de parfum 50ml</t>
  </si>
  <si>
    <t xml:space="preserve">carolina herrera 212 vip rose notes</t>
  </si>
  <si>
    <t xml:space="preserve">carolina herrera 212 vip rose review</t>
  </si>
  <si>
    <t xml:space="preserve">carolina herrera 212 vip rose women</t>
  </si>
  <si>
    <t xml:space="preserve">carolina herrera bad boy extreme 100ml</t>
  </si>
  <si>
    <t xml:space="preserve">carolina herrera bad boy extreme 150ml</t>
  </si>
  <si>
    <t xml:space="preserve">carolina herrera bad boy extreme edp</t>
  </si>
  <si>
    <t xml:space="preserve">carolina herrera bad boy extreme notes</t>
  </si>
  <si>
    <t xml:space="preserve">carolina herrera bad boy extreme review</t>
  </si>
  <si>
    <t xml:space="preserve">carolina herrera bad boy le parfum</t>
  </si>
  <si>
    <t xml:space="preserve">carolina herrera bad boy le parfum 100ml</t>
  </si>
  <si>
    <t xml:space="preserve">carolina herrera bad boy le parfum 150ml</t>
  </si>
  <si>
    <t xml:space="preserve">carolina herrera bad boy le parfum eau de parfum</t>
  </si>
  <si>
    <t xml:space="preserve">carolina herrera bad boy le parfum notes</t>
  </si>
  <si>
    <t xml:space="preserve">carolina herrera bad boy le parfum review</t>
  </si>
  <si>
    <t xml:space="preserve">carolina herrera very good girl glam 100ml</t>
  </si>
  <si>
    <t xml:space="preserve">carolina herrera very good girl glam 80ml</t>
  </si>
  <si>
    <t xml:space="preserve">carolina herrera very good girl glam dupe</t>
  </si>
  <si>
    <t xml:space="preserve">carolina herrera very good girl glam eau de parfum</t>
  </si>
  <si>
    <t xml:space="preserve">carolina herrera very good girl glam notes</t>
  </si>
  <si>
    <t xml:space="preserve">charcoal bath bar deyga review</t>
  </si>
  <si>
    <t xml:space="preserve">chloe mini gift set</t>
  </si>
  <si>
    <t xml:space="preserve">chloe mini gift set perfume</t>
  </si>
  <si>
    <t xml:space="preserve">chloe mini set</t>
  </si>
  <si>
    <t xml:space="preserve">chloe mini set perfume</t>
  </si>
  <si>
    <t xml:space="preserve">chloe miniature perfume set</t>
  </si>
  <si>
    <t xml:space="preserve">chloe nomade eau de parfum gift set</t>
  </si>
  <si>
    <t xml:space="preserve">chloe nomade edp</t>
  </si>
  <si>
    <t xml:space="preserve">chloe nomade gift set 75ml</t>
  </si>
  <si>
    <t xml:space="preserve">chloe nomade gift set perfume</t>
  </si>
  <si>
    <t xml:space="preserve">chloe nomade ingredients</t>
  </si>
  <si>
    <t xml:space="preserve">chloe nomade jasmin naturel intense 75ml</t>
  </si>
  <si>
    <t xml:space="preserve">chloe nomade jasmin naturel intense edp</t>
  </si>
  <si>
    <t xml:space="preserve">chloe nomade jasmin naturel intense notes</t>
  </si>
  <si>
    <t xml:space="preserve">chloe nomade jasmin naturel intense perfume</t>
  </si>
  <si>
    <t xml:space="preserve">chloe nomade jasmin naturel intense review</t>
  </si>
  <si>
    <t xml:space="preserve">chloe nomade notes</t>
  </si>
  <si>
    <t xml:space="preserve">chloe nomade nuit d'egypte 50ml</t>
  </si>
  <si>
    <t xml:space="preserve">chloe nomade nuit d'egypte 75ml</t>
  </si>
  <si>
    <t xml:space="preserve">chloe nomade nuit d'egypte dupe</t>
  </si>
  <si>
    <t xml:space="preserve">chloe nomade nuit d'egypte notes</t>
  </si>
  <si>
    <t xml:space="preserve">chloe nomade nuit d'egypte perfume</t>
  </si>
  <si>
    <t xml:space="preserve">chloe nomade nuit d'egypte reviews</t>
  </si>
  <si>
    <t xml:space="preserve">chloe nomade parfum</t>
  </si>
  <si>
    <t xml:space="preserve">chloe nomade sizes</t>
  </si>
  <si>
    <t xml:space="preserve">chloe perfume miniature gift set</t>
  </si>
  <si>
    <t xml:space="preserve">chloe rose naturelle intense 100ml</t>
  </si>
  <si>
    <t xml:space="preserve">chloe rose naturelle intense dupe</t>
  </si>
  <si>
    <t xml:space="preserve">chloe rose naturelle intense eau de parfum reviews</t>
  </si>
  <si>
    <t xml:space="preserve">chloe rose naturelle intense edp</t>
  </si>
  <si>
    <t xml:space="preserve">chloe rose naturelle intense notes</t>
  </si>
  <si>
    <t xml:space="preserve">chloe women miniature set</t>
  </si>
  <si>
    <t xml:space="preserve">chopard amber malaki edp</t>
  </si>
  <si>
    <t xml:space="preserve">chopard amber malaki notes</t>
  </si>
  <si>
    <t xml:space="preserve">chopard amber malaki perfume</t>
  </si>
  <si>
    <t xml:space="preserve">chopard amber malaki review</t>
  </si>
  <si>
    <t xml:space="preserve">chopard black incense malaki edp</t>
  </si>
  <si>
    <t xml:space="preserve">chopard black incense malaki notes</t>
  </si>
  <si>
    <t xml:space="preserve">chopard black incense malaki perfume</t>
  </si>
  <si>
    <t xml:space="preserve">chopard black incense malaki review</t>
  </si>
  <si>
    <t xml:space="preserve">chopard imperiale iris malika 100ml</t>
  </si>
  <si>
    <t xml:space="preserve">chopard imperiale iris malika edp 100ml</t>
  </si>
  <si>
    <t xml:space="preserve">chopard imperiale iris malika perfume</t>
  </si>
  <si>
    <t xml:space="preserve">chopard imperiale iris malika review</t>
  </si>
  <si>
    <t xml:space="preserve">chopard oud malaki dupe</t>
  </si>
  <si>
    <t xml:space="preserve">chopard oud malaki notes</t>
  </si>
  <si>
    <t xml:space="preserve">chopard oud malaki perfume</t>
  </si>
  <si>
    <t xml:space="preserve">chopard oud malaki review</t>
  </si>
  <si>
    <t xml:space="preserve">FR-294, FR-295</t>
  </si>
  <si>
    <t xml:space="preserve">davidoff champion 90ml</t>
  </si>
  <si>
    <t xml:space="preserve">davidoff champion notes</t>
  </si>
  <si>
    <t xml:space="preserve">davidoff champion perfume</t>
  </si>
  <si>
    <t xml:space="preserve">davidoff champion perfume price</t>
  </si>
  <si>
    <t xml:space="preserve">davidoff champion review</t>
  </si>
  <si>
    <t xml:space="preserve">davidoff cool water reborn intense 100 ml</t>
  </si>
  <si>
    <t xml:space="preserve">davidoff cool water reborn intense edp</t>
  </si>
  <si>
    <t xml:space="preserve">davidoff cool water reborn intense notes</t>
  </si>
  <si>
    <t xml:space="preserve">davidoff cool water reborn intense review</t>
  </si>
  <si>
    <t xml:space="preserve">davidoff cool water reborn intense women</t>
  </si>
  <si>
    <t xml:space="preserve">davidoff indigo 60ml</t>
  </si>
  <si>
    <t xml:space="preserve">davidoff indigo 60ml price</t>
  </si>
  <si>
    <t xml:space="preserve">davidoff indigo perfume</t>
  </si>
  <si>
    <t xml:space="preserve">davidoff indigo perfume price</t>
  </si>
  <si>
    <t xml:space="preserve">davidoff indigo review</t>
  </si>
  <si>
    <t xml:space="preserve">davidoff the game 100ml</t>
  </si>
  <si>
    <t xml:space="preserve">davidoff the game edt</t>
  </si>
  <si>
    <t xml:space="preserve">davidoff the game perfume price</t>
  </si>
  <si>
    <t xml:space="preserve">davidoff the game review</t>
  </si>
  <si>
    <t xml:space="preserve">deyga 100 pure aloe vera gel</t>
  </si>
  <si>
    <t xml:space="preserve">deyga aloe vera gel review</t>
  </si>
  <si>
    <t xml:space="preserve">deyga anti dandruff oil</t>
  </si>
  <si>
    <t xml:space="preserve">deyga anti dandruff oil review</t>
  </si>
  <si>
    <t xml:space="preserve">deyga anti dandruff shampoo review</t>
  </si>
  <si>
    <t xml:space="preserve">deyga beautifying serum benefits</t>
  </si>
  <si>
    <t xml:space="preserve">deyga beautifying serum review</t>
  </si>
  <si>
    <t xml:space="preserve">VD-117, VD-132</t>
  </si>
  <si>
    <t xml:space="preserve">deyga beetroot lip balm stick review</t>
  </si>
  <si>
    <t xml:space="preserve">deyga body wash ingredients</t>
  </si>
  <si>
    <t xml:space="preserve">deyga body wash review</t>
  </si>
  <si>
    <t xml:space="preserve">deyga charcoal face wash amazon</t>
  </si>
  <si>
    <t xml:space="preserve">deyga charcoal face wash benefits</t>
  </si>
  <si>
    <t xml:space="preserve">deyga charcoal face wash for men</t>
  </si>
  <si>
    <t xml:space="preserve">deyga charcoal face wash ingredients</t>
  </si>
  <si>
    <t xml:space="preserve">deyga charcoal face wash review</t>
  </si>
  <si>
    <t xml:space="preserve">deyga charcoal soap ingredients</t>
  </si>
  <si>
    <t xml:space="preserve">deyga charcoal soap price</t>
  </si>
  <si>
    <t xml:space="preserve">deyga charcoal soap review</t>
  </si>
  <si>
    <t xml:space="preserve">deyga foot butter cream</t>
  </si>
  <si>
    <t xml:space="preserve">deyga foot butter ingredients</t>
  </si>
  <si>
    <t xml:space="preserve">deyga foot butter review</t>
  </si>
  <si>
    <t xml:space="preserve">deyga foot cream</t>
  </si>
  <si>
    <t xml:space="preserve">deyga foot cream ingredients</t>
  </si>
  <si>
    <t xml:space="preserve">deyga foot cream review</t>
  </si>
  <si>
    <t xml:space="preserve">deyga hair growth oil benefits</t>
  </si>
  <si>
    <t xml:space="preserve">deyga hair growth oil how to use</t>
  </si>
  <si>
    <t xml:space="preserve">deyga hair growth oil ingredients</t>
  </si>
  <si>
    <t xml:space="preserve">deyga hair growth oil review</t>
  </si>
  <si>
    <t xml:space="preserve">deyga hair removal powder amazon</t>
  </si>
  <si>
    <t xml:space="preserve">deyga hair removal powder how to use</t>
  </si>
  <si>
    <t xml:space="preserve">deyga hair removal powder ingredients</t>
  </si>
  <si>
    <t xml:space="preserve">deyga hair removal powder mini</t>
  </si>
  <si>
    <t xml:space="preserve">deyga hair removal powder review</t>
  </si>
  <si>
    <t xml:space="preserve">deyga lip balm ingredients</t>
  </si>
  <si>
    <t xml:space="preserve">deyga lip balm review</t>
  </si>
  <si>
    <t xml:space="preserve">deyga rice water shampoo amazon</t>
  </si>
  <si>
    <t xml:space="preserve">deyga rice water shampoo benefits</t>
  </si>
  <si>
    <t xml:space="preserve">deyga rice water shampoo ingredients</t>
  </si>
  <si>
    <t xml:space="preserve">deyga rice water shampoo review</t>
  </si>
  <si>
    <t xml:space="preserve">deyga soy milk conditioner 50ml</t>
  </si>
  <si>
    <t xml:space="preserve">deyga soy milk conditioner benefits</t>
  </si>
  <si>
    <t xml:space="preserve">deyga soy milk conditioner ingredients</t>
  </si>
  <si>
    <t xml:space="preserve">deyga soy milk conditioner review</t>
  </si>
  <si>
    <t xml:space="preserve">deyga sunscreen amazon</t>
  </si>
  <si>
    <t xml:space="preserve">deyga sunscreen ingredients</t>
  </si>
  <si>
    <t xml:space="preserve">deyga sunscreen review</t>
  </si>
  <si>
    <t xml:space="preserve">deyga under eye cream amazon</t>
  </si>
  <si>
    <t xml:space="preserve">deyga under eye cream benefits</t>
  </si>
  <si>
    <t xml:space="preserve">deyga under eye cream how to use</t>
  </si>
  <si>
    <t xml:space="preserve">deyga under eye cream ingredients</t>
  </si>
  <si>
    <t xml:space="preserve">deyga under eye cream review</t>
  </si>
  <si>
    <t xml:space="preserve">deyga under eye mask review</t>
  </si>
  <si>
    <t xml:space="preserve">dior miss dior roller pearl 20ml</t>
  </si>
  <si>
    <t xml:space="preserve">dior miss dior roller pearl eau de parfum</t>
  </si>
  <si>
    <t xml:space="preserve">dior miss dior roller pearl edp 20ml</t>
  </si>
  <si>
    <t xml:space="preserve">dior miss dior roller pearl parfum</t>
  </si>
  <si>
    <t xml:space="preserve">dior sauvage edp</t>
  </si>
  <si>
    <t xml:space="preserve">dior sauvage edt</t>
  </si>
  <si>
    <t xml:space="preserve">dkny be delicious fresh blossom gift set</t>
  </si>
  <si>
    <t xml:space="preserve">dkny be delicious fresh blossom gift set 30ml edp 7ml edp</t>
  </si>
  <si>
    <t xml:space="preserve">dkny be delicious fresh blossom review</t>
  </si>
  <si>
    <t xml:space="preserve">dkny be delicious gift set 30ml be delicious edp 30ml fresh blossom edp</t>
  </si>
  <si>
    <t xml:space="preserve">dkny be delicious orchard street eau de parfum 100ml</t>
  </si>
  <si>
    <t xml:space="preserve">dkny be delicious orchard street edp</t>
  </si>
  <si>
    <t xml:space="preserve">dkny be delicious orchard street edp 100ml</t>
  </si>
  <si>
    <t xml:space="preserve">dkny be delicious orchard street edp 30ml</t>
  </si>
  <si>
    <t xml:space="preserve">dkny be delicious orchard street perfume</t>
  </si>
  <si>
    <t xml:space="preserve">dkny be tempted 100ml</t>
  </si>
  <si>
    <t xml:space="preserve">dkny be tempted 50ml</t>
  </si>
  <si>
    <t xml:space="preserve">dkny be tempted notes</t>
  </si>
  <si>
    <t xml:space="preserve">dkny be tempted perfume</t>
  </si>
  <si>
    <t xml:space="preserve">dkny be tempted review</t>
  </si>
  <si>
    <t xml:space="preserve">dkny mini set</t>
  </si>
  <si>
    <t xml:space="preserve">dkny mini set perfume</t>
  </si>
  <si>
    <t xml:space="preserve">dkny miniature gift set</t>
  </si>
  <si>
    <t xml:space="preserve">dkny miniature perfume set</t>
  </si>
  <si>
    <t xml:space="preserve">dolce &amp; gabbana devotion for men</t>
  </si>
  <si>
    <t xml:space="preserve">dolce &amp; gabbana devotion for women</t>
  </si>
  <si>
    <t xml:space="preserve">dolce &amp; gabbana devotion parfum</t>
  </si>
  <si>
    <t xml:space="preserve">dolce &amp; gabbana devotion perfume</t>
  </si>
  <si>
    <t xml:space="preserve">dolce &amp; gabbana k eau de parfum gift set 100ml</t>
  </si>
  <si>
    <t xml:space="preserve">dolce &amp; gabbana k edt gift set</t>
  </si>
  <si>
    <t xml:space="preserve">dolce &amp; gabbana k gift set for men</t>
  </si>
  <si>
    <t xml:space="preserve">dolce &amp; gabbana l'imperatrice 100ml</t>
  </si>
  <si>
    <t xml:space="preserve">dolce &amp; gabbana l'imperatrice 100ml price</t>
  </si>
  <si>
    <t xml:space="preserve">dolce &amp; gabbana l'imperatrice 3</t>
  </si>
  <si>
    <t xml:space="preserve">dolce &amp; gabbana l'imperatrice edt</t>
  </si>
  <si>
    <t xml:space="preserve">dolce &amp; gabbana l'imperatrice perfume</t>
  </si>
  <si>
    <t xml:space="preserve">dolce &amp; gabbana q parfum</t>
  </si>
  <si>
    <t xml:space="preserve">dolce &amp; gabbana q perfume</t>
  </si>
  <si>
    <t xml:space="preserve">dolce &amp; gabbana the one for men eau de parfum</t>
  </si>
  <si>
    <t xml:space="preserve">dolce &amp; gabbana the one for men edp</t>
  </si>
  <si>
    <t xml:space="preserve">dolce &amp; gabbana the one for women eau de parfum gift set 75ml</t>
  </si>
  <si>
    <t xml:space="preserve">dolce &amp; gabbana the one gold intense edp</t>
  </si>
  <si>
    <t xml:space="preserve">dolce &amp; gabbana the one gold intense edp 100ml</t>
  </si>
  <si>
    <t xml:space="preserve">dolce &amp; gabbana the one intense eau de parfum 100ml</t>
  </si>
  <si>
    <t xml:space="preserve">dolce &amp; gabbana the one intense edp</t>
  </si>
  <si>
    <t xml:space="preserve">dolce &amp; gabbana the one intense for women</t>
  </si>
  <si>
    <t xml:space="preserve">dolce &amp; gabbana the one intense men</t>
  </si>
  <si>
    <t xml:space="preserve">dolce &amp; gabbana the one intense notes</t>
  </si>
  <si>
    <t xml:space="preserve">dolce &amp; gabbana the one parfum</t>
  </si>
  <si>
    <t xml:space="preserve">dolce and gabbana k gift set 100ml</t>
  </si>
  <si>
    <t xml:space="preserve">dolce and gabbana miniature gift set</t>
  </si>
  <si>
    <t xml:space="preserve">dolce and gabbana miniature set</t>
  </si>
  <si>
    <t xml:space="preserve">dolce gabbana devotion men gift set</t>
  </si>
  <si>
    <t xml:space="preserve">dolce gabbana devotion perfume gift set</t>
  </si>
  <si>
    <t xml:space="preserve">dolce gabbana devotion set</t>
  </si>
  <si>
    <t xml:space="preserve">dolce gabbana devotion set mini</t>
  </si>
  <si>
    <t xml:space="preserve">dolce gabbana k edp gift set</t>
  </si>
  <si>
    <t xml:space="preserve">dolce gabbana k gift set</t>
  </si>
  <si>
    <t xml:space="preserve">dolce gabbana mini set</t>
  </si>
  <si>
    <t xml:space="preserve">dolce gabbana mini set men</t>
  </si>
  <si>
    <t xml:space="preserve">dolce gabbana mini set perfume</t>
  </si>
  <si>
    <t xml:space="preserve">dolce gabbana miniature perfume set</t>
  </si>
  <si>
    <t xml:space="preserve">dolce gabbana the one gift set men</t>
  </si>
  <si>
    <t xml:space="preserve">dolce gabbana the one gold intense 100ml</t>
  </si>
  <si>
    <t xml:space="preserve">dolce gabbana the one gold intense men</t>
  </si>
  <si>
    <t xml:space="preserve">dolce gabbana the one gold intense women</t>
  </si>
  <si>
    <t xml:space="preserve">dolce gabbana the one set</t>
  </si>
  <si>
    <t xml:space="preserve">dolce gabbana the one set men</t>
  </si>
  <si>
    <t xml:space="preserve">dolce gabbana the one set women</t>
  </si>
  <si>
    <t xml:space="preserve">dunhill arabian desert review</t>
  </si>
  <si>
    <t xml:space="preserve">dunhill british leather review</t>
  </si>
  <si>
    <t xml:space="preserve">dunhill desire black edt</t>
  </si>
  <si>
    <t xml:space="preserve">dunhill desire black notes</t>
  </si>
  <si>
    <t xml:space="preserve">dunhill desire black perfume</t>
  </si>
  <si>
    <t xml:space="preserve">dunhill desire black review</t>
  </si>
  <si>
    <t xml:space="preserve">dunhill desire blue notes</t>
  </si>
  <si>
    <t xml:space="preserve">dunhill desire blue original</t>
  </si>
  <si>
    <t xml:space="preserve">dunhill desire blue perfume</t>
  </si>
  <si>
    <t xml:space="preserve">dunhill desire blue review</t>
  </si>
  <si>
    <t xml:space="preserve">dunhill desire gold edt</t>
  </si>
  <si>
    <t xml:space="preserve">dunhill desire gold edt 100ml</t>
  </si>
  <si>
    <t xml:space="preserve">dunhill desire gold for men</t>
  </si>
  <si>
    <t xml:space="preserve">dunhill desire gold perfume</t>
  </si>
  <si>
    <t xml:space="preserve">dunhill desire gold review</t>
  </si>
  <si>
    <t xml:space="preserve">dunhill desire silver 100ml</t>
  </si>
  <si>
    <t xml:space="preserve">dunhill desire silver edt</t>
  </si>
  <si>
    <t xml:space="preserve">dunhill desire silver notes</t>
  </si>
  <si>
    <t xml:space="preserve">dunhill desire silver perfume</t>
  </si>
  <si>
    <t xml:space="preserve">dunhill desire silver review</t>
  </si>
  <si>
    <t xml:space="preserve">dunhill signature amalfi citrus</t>
  </si>
  <si>
    <t xml:space="preserve">dunhill signature arabian desert</t>
  </si>
  <si>
    <t xml:space="preserve">dunhill signature arabian desert edp</t>
  </si>
  <si>
    <t xml:space="preserve">dunhill signature british leather</t>
  </si>
  <si>
    <t xml:space="preserve">dunhill signature collection agar wood eau de parfum 100ml</t>
  </si>
  <si>
    <t xml:space="preserve">dunhill signature collection agar wood eau de parfum for men</t>
  </si>
  <si>
    <t xml:space="preserve">dunhill signature collection agar wood edp</t>
  </si>
  <si>
    <t xml:space="preserve">dunhill signature collection agar wood edp 100ml</t>
  </si>
  <si>
    <t xml:space="preserve">dunhill signature collection agar wood review</t>
  </si>
  <si>
    <t xml:space="preserve">dunhill signature collection amalfi citrus eau de parfum for men</t>
  </si>
  <si>
    <t xml:space="preserve">dunhill signature collection amalfi citrus edp</t>
  </si>
  <si>
    <t xml:space="preserve">dunhill signature collection amalfi citrus review</t>
  </si>
  <si>
    <t xml:space="preserve">dunhill signature collection arabian desert review</t>
  </si>
  <si>
    <t xml:space="preserve">dunhill signature collection british leather edp</t>
  </si>
  <si>
    <t xml:space="preserve">dunhill signature collection british leather edp 100ml</t>
  </si>
  <si>
    <t xml:space="preserve">dunhill signature collection british leather review</t>
  </si>
  <si>
    <t xml:space="preserve">dunhill signature collection egyptian smoke edp 100ml</t>
  </si>
  <si>
    <t xml:space="preserve">dunhill signature collection egyptian smoke review</t>
  </si>
  <si>
    <t xml:space="preserve">dunhill signature collection indian sandalwood eau de parfum 100ml</t>
  </si>
  <si>
    <t xml:space="preserve">dunhill signature collection indian sandalwood edp</t>
  </si>
  <si>
    <t xml:space="preserve">dunhill signature collection indian sandalwood edp 100ml</t>
  </si>
  <si>
    <t xml:space="preserve">dunhill signature collection indian sandalwood for men</t>
  </si>
  <si>
    <t xml:space="preserve">dunhill signature collection indian sandalwood review</t>
  </si>
  <si>
    <t xml:space="preserve">dunhill signature collection mongolian cashmere eau de parfum 100ml</t>
  </si>
  <si>
    <t xml:space="preserve">dunhill signature collection moroccan amber edp 100ml</t>
  </si>
  <si>
    <t xml:space="preserve">dunhill signature collection moroccan amber for men</t>
  </si>
  <si>
    <t xml:space="preserve">dunhill signature collection moroccan amber review</t>
  </si>
  <si>
    <t xml:space="preserve">dunhill signature collection nordic fougere edp</t>
  </si>
  <si>
    <t xml:space="preserve">dunhill signature collection nordic fougere edp 100ml</t>
  </si>
  <si>
    <t xml:space="preserve">dunhill signature collection review</t>
  </si>
  <si>
    <t xml:space="preserve">FR-136, FR-140</t>
  </si>
  <si>
    <t xml:space="preserve">dunhill signature collection valensole lavender eau de parfum 100ml</t>
  </si>
  <si>
    <t xml:space="preserve">dunhill signature collection valensole lavender edp</t>
  </si>
  <si>
    <t xml:space="preserve">dunhill signature egyptian smoke</t>
  </si>
  <si>
    <t xml:space="preserve">dunhill signature mongolian cashmere</t>
  </si>
  <si>
    <t xml:space="preserve">dunhill signature mongolian cashmere edp</t>
  </si>
  <si>
    <t xml:space="preserve">dunhill signature moroccan amber</t>
  </si>
  <si>
    <t xml:space="preserve">dunhill signature nordic fougere edp</t>
  </si>
  <si>
    <t xml:space="preserve">dunhill signature valensole lavender</t>
  </si>
  <si>
    <t xml:space="preserve">elie saab eau de parfum gift set</t>
  </si>
  <si>
    <t xml:space="preserve">elie saab elixir 100ml</t>
  </si>
  <si>
    <t xml:space="preserve">elie saab elixir 30ml</t>
  </si>
  <si>
    <t xml:space="preserve">elie saab elixir notes</t>
  </si>
  <si>
    <t xml:space="preserve">elie saab elixir perfume</t>
  </si>
  <si>
    <t xml:space="preserve">elie saab elixir reviews</t>
  </si>
  <si>
    <t xml:space="preserve">elie saab le parfum</t>
  </si>
  <si>
    <t xml:space="preserve">elie saab le parfum bridal 30ml</t>
  </si>
  <si>
    <t xml:space="preserve">elie saab le parfum bridal 90ml</t>
  </si>
  <si>
    <t xml:space="preserve">elie saab le parfum bridal edp</t>
  </si>
  <si>
    <t xml:space="preserve">elie saab le parfum bridal notes</t>
  </si>
  <si>
    <t xml:space="preserve">elie saab le parfum bridal review</t>
  </si>
  <si>
    <t xml:space="preserve">elie saab le parfum eau de parfum</t>
  </si>
  <si>
    <t xml:space="preserve">elie saab le parfum eau de parfum gift set 50ml</t>
  </si>
  <si>
    <t xml:space="preserve">elie saab le parfum gift set 50ml</t>
  </si>
  <si>
    <t xml:space="preserve">elie saab le parfum gift set 90ml</t>
  </si>
  <si>
    <t xml:space="preserve">elie saab le parfum intense 90ml</t>
  </si>
  <si>
    <t xml:space="preserve">elie saab le parfum intense edp</t>
  </si>
  <si>
    <t xml:space="preserve">elie saab le parfum intense edp 90ml</t>
  </si>
  <si>
    <t xml:space="preserve">elie saab le parfum intense notes</t>
  </si>
  <si>
    <t xml:space="preserve">elie saab le parfum intense review</t>
  </si>
  <si>
    <t xml:space="preserve">elie saab le parfum notes</t>
  </si>
  <si>
    <t xml:space="preserve">elie saab le parfum set</t>
  </si>
  <si>
    <t xml:space="preserve">elie saab nuit noor edp</t>
  </si>
  <si>
    <t xml:space="preserve">elie saab nuit noor edp 90ml</t>
  </si>
  <si>
    <t xml:space="preserve">elie saab nuit noor notes</t>
  </si>
  <si>
    <t xml:space="preserve">elie saab nuit noor perfume</t>
  </si>
  <si>
    <t xml:space="preserve">elie saab nuit noor review</t>
  </si>
  <si>
    <t xml:space="preserve">elizabeth arden beauty eau de parfum 100ml</t>
  </si>
  <si>
    <t xml:space="preserve">elizabeth arden beauty edp</t>
  </si>
  <si>
    <t xml:space="preserve">elizabeth arden beauty perfume</t>
  </si>
  <si>
    <t xml:space="preserve">elizabeth arden beauty perfume 100ml</t>
  </si>
  <si>
    <t xml:space="preserve">elizabeth arden beauty perfume review</t>
  </si>
  <si>
    <t xml:space="preserve">escada magnetic dream edp 75ml</t>
  </si>
  <si>
    <t xml:space="preserve">escada magnetic dream notes</t>
  </si>
  <si>
    <t xml:space="preserve">escada magnetic dream review</t>
  </si>
  <si>
    <t xml:space="preserve">escada magnetism men</t>
  </si>
  <si>
    <t xml:space="preserve">escada magnetism notes</t>
  </si>
  <si>
    <t xml:space="preserve">escada magnetism perfume</t>
  </si>
  <si>
    <t xml:space="preserve">escada magnetism review</t>
  </si>
  <si>
    <t xml:space="preserve">escada magnetism women</t>
  </si>
  <si>
    <t xml:space="preserve">escada party love 100ml</t>
  </si>
  <si>
    <t xml:space="preserve">escada party love notes</t>
  </si>
  <si>
    <t xml:space="preserve">escada party love perfume</t>
  </si>
  <si>
    <t xml:space="preserve">escada party love perfume notes</t>
  </si>
  <si>
    <t xml:space="preserve">escada party love review</t>
  </si>
  <si>
    <t xml:space="preserve">estee lauder spellbound dupe</t>
  </si>
  <si>
    <t xml:space="preserve">estee lauder spellbound edp</t>
  </si>
  <si>
    <t xml:space="preserve">estee lauder spellbound notes</t>
  </si>
  <si>
    <t xml:space="preserve">estee lauder spellbound original</t>
  </si>
  <si>
    <t xml:space="preserve">estee lauder spellbound perfume</t>
  </si>
  <si>
    <t xml:space="preserve">estee lauder spellbound review</t>
  </si>
  <si>
    <t xml:space="preserve">fumeri ambre night perfume</t>
  </si>
  <si>
    <t xml:space="preserve">fumeri blue perfume</t>
  </si>
  <si>
    <t xml:space="preserve">fumeri blue perfume price</t>
  </si>
  <si>
    <t xml:space="preserve">fumeri elixir perfume</t>
  </si>
  <si>
    <t xml:space="preserve">fumeri elixir perfume price</t>
  </si>
  <si>
    <t xml:space="preserve">fumeri orchid noir perfume</t>
  </si>
  <si>
    <t xml:space="preserve">fumeri style 33 perfume</t>
  </si>
  <si>
    <t xml:space="preserve">fumeri style 33 review</t>
  </si>
  <si>
    <t xml:space="preserve">fumeri victorious perfume</t>
  </si>
  <si>
    <t xml:space="preserve">fumeri victorious perfume price</t>
  </si>
  <si>
    <t xml:space="preserve">fumeri wild perfume</t>
  </si>
  <si>
    <t xml:space="preserve">fumeri wild perfume price</t>
  </si>
  <si>
    <t xml:space="preserve">game of spades bid dupe of</t>
  </si>
  <si>
    <t xml:space="preserve">game of spades bid notes</t>
  </si>
  <si>
    <t xml:space="preserve">game of spades bid parfum</t>
  </si>
  <si>
    <t xml:space="preserve">game of spades bid perfume</t>
  </si>
  <si>
    <t xml:space="preserve">game of spades bid review</t>
  </si>
  <si>
    <t xml:space="preserve">game of spades blind bid dupe</t>
  </si>
  <si>
    <t xml:space="preserve">game of spades blind bid notes</t>
  </si>
  <si>
    <t xml:space="preserve">game of spades blind bid perfume review</t>
  </si>
  <si>
    <t xml:space="preserve">game of spades blind bid review</t>
  </si>
  <si>
    <t xml:space="preserve">game of spades blind bid smells like</t>
  </si>
  <si>
    <t xml:space="preserve">game of spades boston dupe of</t>
  </si>
  <si>
    <t xml:space="preserve">game of spades boston notes</t>
  </si>
  <si>
    <t xml:space="preserve">game of spades boston perfume</t>
  </si>
  <si>
    <t xml:space="preserve">game of spades boston review</t>
  </si>
  <si>
    <t xml:space="preserve">game of spades diamond 30ml</t>
  </si>
  <si>
    <t xml:space="preserve">game of spades diamond dupe of</t>
  </si>
  <si>
    <t xml:space="preserve">game of spades diamond notes</t>
  </si>
  <si>
    <t xml:space="preserve">game of spades diamond perfume</t>
  </si>
  <si>
    <t xml:space="preserve">game of spades diamond review</t>
  </si>
  <si>
    <t xml:space="preserve">game of spades full house dupe</t>
  </si>
  <si>
    <t xml:space="preserve">game of spades full house notes</t>
  </si>
  <si>
    <t xml:space="preserve">game of spades full house perfume</t>
  </si>
  <si>
    <t xml:space="preserve">game of spades high roller dupe of</t>
  </si>
  <si>
    <t xml:space="preserve">game of spades high roller notes</t>
  </si>
  <si>
    <t xml:space="preserve">game of spades high roller review</t>
  </si>
  <si>
    <t xml:space="preserve">game of spades jackpot dupe of</t>
  </si>
  <si>
    <t xml:space="preserve">game of spades jackpot notes</t>
  </si>
  <si>
    <t xml:space="preserve">game of spades jackpot review</t>
  </si>
  <si>
    <t xml:space="preserve">game of spades king 30ml</t>
  </si>
  <si>
    <t xml:space="preserve">game of spades king dupe of</t>
  </si>
  <si>
    <t xml:space="preserve">game of spades king notes</t>
  </si>
  <si>
    <t xml:space="preserve">game of spades king perfume</t>
  </si>
  <si>
    <t xml:space="preserve">game of spades king review</t>
  </si>
  <si>
    <t xml:space="preserve">game of spades moon dupe of</t>
  </si>
  <si>
    <t xml:space="preserve">game of spades moon notes</t>
  </si>
  <si>
    <t xml:space="preserve">game of spades moon perfume</t>
  </si>
  <si>
    <t xml:space="preserve">game of spades moon review</t>
  </si>
  <si>
    <t xml:space="preserve">game of spades opal dupe of</t>
  </si>
  <si>
    <t xml:space="preserve">game of spades opal notes</t>
  </si>
  <si>
    <t xml:space="preserve">game of spades opal review</t>
  </si>
  <si>
    <t xml:space="preserve">game of spades opal smells like</t>
  </si>
  <si>
    <t xml:space="preserve">game of spades rouge dupe of</t>
  </si>
  <si>
    <t xml:space="preserve">game of spades rouge extrait de parfum</t>
  </si>
  <si>
    <t xml:space="preserve">FR-190, FR-211</t>
  </si>
  <si>
    <t xml:space="preserve">game of spades rouge extrait de parfum notes</t>
  </si>
  <si>
    <t xml:space="preserve">game of spades rouge extrait dupe of</t>
  </si>
  <si>
    <t xml:space="preserve">game of spades rouge extrait notes</t>
  </si>
  <si>
    <t xml:space="preserve">game of spades rouge extrait review</t>
  </si>
  <si>
    <t xml:space="preserve">game of spades rouge notes</t>
  </si>
  <si>
    <t xml:space="preserve">game of spades rouge parfum</t>
  </si>
  <si>
    <t xml:space="preserve">game of spades rouge review</t>
  </si>
  <si>
    <t xml:space="preserve">game of spades royale dupe of</t>
  </si>
  <si>
    <t xml:space="preserve">game of spades royale notes</t>
  </si>
  <si>
    <t xml:space="preserve">game of spades royale parfum</t>
  </si>
  <si>
    <t xml:space="preserve">game of spades royale perfume</t>
  </si>
  <si>
    <t xml:space="preserve">game of spades royale review</t>
  </si>
  <si>
    <t xml:space="preserve">game of spades ruby dupe of</t>
  </si>
  <si>
    <t xml:space="preserve">game of spades ruby notes</t>
  </si>
  <si>
    <t xml:space="preserve">game of spades ruby parfum</t>
  </si>
  <si>
    <t xml:space="preserve">game of spades ruby review</t>
  </si>
  <si>
    <t xml:space="preserve">game of spades wildcard dupe of</t>
  </si>
  <si>
    <t xml:space="preserve">game of spades wildcard notes</t>
  </si>
  <si>
    <t xml:space="preserve">game of spades wildcard parfum</t>
  </si>
  <si>
    <t xml:space="preserve">game of spades wildcard perfume</t>
  </si>
  <si>
    <t xml:space="preserve">game of spades win 30ml</t>
  </si>
  <si>
    <t xml:space="preserve">game of spades win notes</t>
  </si>
  <si>
    <t xml:space="preserve">game of spades win perfume</t>
  </si>
  <si>
    <t xml:space="preserve">game of spades win review</t>
  </si>
  <si>
    <t xml:space="preserve">game of spades yellow sapphire dupe of</t>
  </si>
  <si>
    <t xml:space="preserve">game of spades yellow sapphire notes</t>
  </si>
  <si>
    <t xml:space="preserve">game.of.spades.yellow sapphire smells like</t>
  </si>
  <si>
    <t xml:space="preserve">giorgio armani code refillable edt 75ml</t>
  </si>
  <si>
    <t xml:space="preserve">giorgio armani code refillable parfum</t>
  </si>
  <si>
    <t xml:space="preserve">giorgio armani perfume refillable</t>
  </si>
  <si>
    <t xml:space="preserve">givenchy amarige 100ml</t>
  </si>
  <si>
    <t xml:space="preserve">givenchy amarige eau de parfum</t>
  </si>
  <si>
    <t xml:space="preserve">givenchy amarige edp 100ml</t>
  </si>
  <si>
    <t xml:space="preserve">givenchy amarige edt 100ml</t>
  </si>
  <si>
    <t xml:space="preserve">givenchy amarige notes</t>
  </si>
  <si>
    <t xml:space="preserve">givenchy gentleman original 2024</t>
  </si>
  <si>
    <t xml:space="preserve">givenchy gentleman original review</t>
  </si>
  <si>
    <t xml:space="preserve">givenchy gentleman originale 100ml</t>
  </si>
  <si>
    <t xml:space="preserve">givenchy gentleman originale edp</t>
  </si>
  <si>
    <t xml:space="preserve">givenchy gentleman originale edt</t>
  </si>
  <si>
    <t xml:space="preserve">givenchy gentleman originale for men edt</t>
  </si>
  <si>
    <t xml:space="preserve">gucci bloom eau de parfum miniature</t>
  </si>
  <si>
    <t xml:space="preserve">gucci bloom gift set 100ml</t>
  </si>
  <si>
    <t xml:space="preserve">gucci bloom gift set 50ml</t>
  </si>
  <si>
    <t xml:space="preserve">gucci bloom gift set boots</t>
  </si>
  <si>
    <t xml:space="preserve">gucci bloom gift set sale</t>
  </si>
  <si>
    <t xml:space="preserve">gucci bloom mini</t>
  </si>
  <si>
    <t xml:space="preserve">gucci bloom mini perfume price</t>
  </si>
  <si>
    <t xml:space="preserve">gucci bloom miniature perfume</t>
  </si>
  <si>
    <t xml:space="preserve">gucci bloom miniature set</t>
  </si>
  <si>
    <t xml:space="preserve">gucci bloom perfume mini</t>
  </si>
  <si>
    <t xml:space="preserve">gucci bloom perfume mini set</t>
  </si>
  <si>
    <t xml:space="preserve">gucci bloom perfume miniature</t>
  </si>
  <si>
    <t xml:space="preserve">gucci flora gorgeous gardenia 100ml</t>
  </si>
  <si>
    <t xml:space="preserve">gucci flora gorgeous gardenia 50ml</t>
  </si>
  <si>
    <t xml:space="preserve">gucci flora gorgeous gardenia notes</t>
  </si>
  <si>
    <t xml:space="preserve">gucci flora gorgeous gardenia perfume</t>
  </si>
  <si>
    <t xml:space="preserve">gucci flora gorgeous mini set</t>
  </si>
  <si>
    <t xml:space="preserve">gucci flora gorgeous miniature gift set</t>
  </si>
  <si>
    <t xml:space="preserve">gucci guilty pour femme eau de parfum gift set</t>
  </si>
  <si>
    <t xml:space="preserve">gucci guilty pour femme set</t>
  </si>
  <si>
    <t xml:space="preserve">gucci guilty pour homme eau de parfum</t>
  </si>
  <si>
    <t xml:space="preserve">gucci guilty pour homme edp</t>
  </si>
  <si>
    <t xml:space="preserve">gucci guilty pour homme edt</t>
  </si>
  <si>
    <t xml:space="preserve">gucci guilty pour homme notes</t>
  </si>
  <si>
    <t xml:space="preserve">gucci guilty pour homme parfum</t>
  </si>
  <si>
    <t xml:space="preserve">gucci guilty pour homme review</t>
  </si>
  <si>
    <t xml:space="preserve">gucci intense oud 90ml</t>
  </si>
  <si>
    <t xml:space="preserve">gucci intense oud dupe</t>
  </si>
  <si>
    <t xml:space="preserve">gucci intense oud notes</t>
  </si>
  <si>
    <t xml:space="preserve">gucci mini set</t>
  </si>
  <si>
    <t xml:space="preserve">gucci mini set men</t>
  </si>
  <si>
    <t xml:space="preserve">gucci mini set of 4</t>
  </si>
  <si>
    <t xml:space="preserve">gucci mini set perfume</t>
  </si>
  <si>
    <t xml:space="preserve">gucci set perfume</t>
  </si>
  <si>
    <t xml:space="preserve">gucci set perfume for women</t>
  </si>
  <si>
    <t xml:space="preserve">gucci set women</t>
  </si>
  <si>
    <t xml:space="preserve">guerlain epices exquises eau de parfum 125ml</t>
  </si>
  <si>
    <t xml:space="preserve">guerlain epices exquises edp</t>
  </si>
  <si>
    <t xml:space="preserve">guerlain epices exquises edp 125ml</t>
  </si>
  <si>
    <t xml:space="preserve">guerlain epices exquises notes</t>
  </si>
  <si>
    <t xml:space="preserve">guerlain epices exquises review</t>
  </si>
  <si>
    <t xml:space="preserve">guerlain habit rouge edp</t>
  </si>
  <si>
    <t xml:space="preserve">guerlain habit rouge edt</t>
  </si>
  <si>
    <t xml:space="preserve">guerlain habit rouge parfum 100ml</t>
  </si>
  <si>
    <t xml:space="preserve">guerlain l'instant de guerlain edp</t>
  </si>
  <si>
    <t xml:space="preserve">guerlain l'instant de guerlain edt</t>
  </si>
  <si>
    <t xml:space="preserve">guerlain la petite robe noire ma robe cocktail edt</t>
  </si>
  <si>
    <t xml:space="preserve">guerlain la petite robe noire ma robe cocktail отзывы</t>
  </si>
  <si>
    <t xml:space="preserve">guerlain la petite robe noire review</t>
  </si>
  <si>
    <t xml:space="preserve">guerlain musc noble dupe</t>
  </si>
  <si>
    <t xml:space="preserve">guerlain musc noble edp</t>
  </si>
  <si>
    <t xml:space="preserve">guerlain musc noble ingredients</t>
  </si>
  <si>
    <t xml:space="preserve">guerlain musc noble notes</t>
  </si>
  <si>
    <t xml:space="preserve">guerlain musc noble review</t>
  </si>
  <si>
    <t xml:space="preserve">guerlain oud essentiel edp</t>
  </si>
  <si>
    <t xml:space="preserve">guerlain oud essentiel notes</t>
  </si>
  <si>
    <t xml:space="preserve">guerlain oud essentiel perfume</t>
  </si>
  <si>
    <t xml:space="preserve">guerlain oud essentiel review</t>
  </si>
  <si>
    <t xml:space="preserve">guerlain perfume la petite robe noire price</t>
  </si>
  <si>
    <t xml:space="preserve">guerlain samsara edp</t>
  </si>
  <si>
    <t xml:space="preserve">guerlain samsara edt</t>
  </si>
  <si>
    <t xml:space="preserve">guerlain samsara notes</t>
  </si>
  <si>
    <t xml:space="preserve">guerlain samsara original</t>
  </si>
  <si>
    <t xml:space="preserve">guerlain samsara perfume</t>
  </si>
  <si>
    <t xml:space="preserve">hemel gris edp</t>
  </si>
  <si>
    <t xml:space="preserve">hemel gris perfume</t>
  </si>
  <si>
    <t xml:space="preserve">hemel patchouli for all review</t>
  </si>
  <si>
    <t xml:space="preserve">hollister festival vibes notes</t>
  </si>
  <si>
    <t xml:space="preserve">hollister festival vibes perfume</t>
  </si>
  <si>
    <t xml:space="preserve">hollister festival vibes review</t>
  </si>
  <si>
    <t xml:space="preserve">how to use deyga aloe vera gel</t>
  </si>
  <si>
    <t xml:space="preserve">how to use deyga anti dandruff shampoo</t>
  </si>
  <si>
    <t xml:space="preserve">how to use deyga body scrub</t>
  </si>
  <si>
    <t xml:space="preserve">how to use deyga under eye mask</t>
  </si>
  <si>
    <t xml:space="preserve">how to use vilvah anti frizz hair serum</t>
  </si>
  <si>
    <t xml:space="preserve">how to use vilvah cream conditioner</t>
  </si>
  <si>
    <t xml:space="preserve">how to use vilvah goat milk hair mask</t>
  </si>
  <si>
    <t xml:space="preserve">how to use vilvah hair mask</t>
  </si>
  <si>
    <t xml:space="preserve">how to use vilvah under eye cream</t>
  </si>
  <si>
    <t xml:space="preserve">invincible maison de milan</t>
  </si>
  <si>
    <t xml:space="preserve">invincible perfume maison de milan</t>
  </si>
  <si>
    <t xml:space="preserve">jean paul gaultier classique ingredients</t>
  </si>
  <si>
    <t xml:space="preserve">jean paul gaultier scandal gold eau de parfum 80ml</t>
  </si>
  <si>
    <t xml:space="preserve">jean paul gaultier scandal gold edp</t>
  </si>
  <si>
    <t xml:space="preserve">jean paul gaultier scandal gold edp 80ml</t>
  </si>
  <si>
    <t xml:space="preserve">jean paul gaultier scandal gold men</t>
  </si>
  <si>
    <t xml:space="preserve">jean paul gaultier scandal gold perfume</t>
  </si>
  <si>
    <t xml:space="preserve">jean.paul.gaultier perfume and shower gel</t>
  </si>
  <si>
    <t xml:space="preserve">joop homme 200ml</t>
  </si>
  <si>
    <t xml:space="preserve">joop homme eau de parfum</t>
  </si>
  <si>
    <t xml:space="preserve">joop homme edp</t>
  </si>
  <si>
    <t xml:space="preserve">joop homme le parfum</t>
  </si>
  <si>
    <t xml:space="preserve">joop homme le parfum 125ml</t>
  </si>
  <si>
    <t xml:space="preserve">joop homme le parfum for men</t>
  </si>
  <si>
    <t xml:space="preserve">joop homme le parfum notes</t>
  </si>
  <si>
    <t xml:space="preserve">joop homme le parfum price</t>
  </si>
  <si>
    <t xml:space="preserve">joop homme le parfum review</t>
  </si>
  <si>
    <t xml:space="preserve">juicy couture viva la juicy rose 100ml</t>
  </si>
  <si>
    <t xml:space="preserve">juicy couture viva la juicy rose eau de parfum 100ml</t>
  </si>
  <si>
    <t xml:space="preserve">juicy couture viva la juicy rose edp</t>
  </si>
  <si>
    <t xml:space="preserve">juicy couture viva la juicy rose edp 100ml</t>
  </si>
  <si>
    <t xml:space="preserve">juicy couture viva la juicy rose notes</t>
  </si>
  <si>
    <t xml:space="preserve">kenneth cole moonlight blue notes</t>
  </si>
  <si>
    <t xml:space="preserve">kenneth cole moonlight blue review</t>
  </si>
  <si>
    <t xml:space="preserve">korloff cuir mythique edp</t>
  </si>
  <si>
    <t xml:space="preserve">korloff cuir mythique review</t>
  </si>
  <si>
    <t xml:space="preserve">korloff cuir mythique отзывы</t>
  </si>
  <si>
    <t xml:space="preserve">korloff in love edp 100ml</t>
  </si>
  <si>
    <t xml:space="preserve">korloff in love perfume</t>
  </si>
  <si>
    <t xml:space="preserve">korloff in love perfume price</t>
  </si>
  <si>
    <t xml:space="preserve">korloff in white perfume</t>
  </si>
  <si>
    <t xml:space="preserve">korloff lady intense edp</t>
  </si>
  <si>
    <t xml:space="preserve">korloff lady intense review</t>
  </si>
  <si>
    <t xml:space="preserve">korloff love review</t>
  </si>
  <si>
    <t xml:space="preserve">korloff perfume cuir mythique</t>
  </si>
  <si>
    <t xml:space="preserve">korloff perfume royal rose</t>
  </si>
  <si>
    <t xml:space="preserve">korloff royal oud price</t>
  </si>
  <si>
    <t xml:space="preserve">korloff royal rose edp 88ml</t>
  </si>
  <si>
    <t xml:space="preserve">korloff royal rose review</t>
  </si>
  <si>
    <t xml:space="preserve">korloff royal rose отзывы</t>
  </si>
  <si>
    <t xml:space="preserve">korloff un soir a paris отзывы</t>
  </si>
  <si>
    <t xml:space="preserve">la maison de la vanille absolu de vanille edp 100 ml</t>
  </si>
  <si>
    <t xml:space="preserve">la maison de la vanille absolu de vanille отзывы</t>
  </si>
  <si>
    <t xml:space="preserve">la maison de la vanille ambre secret отзывы</t>
  </si>
  <si>
    <t xml:space="preserve">la maison de la vanille royal oud отзывы</t>
  </si>
  <si>
    <t xml:space="preserve">lady korloff intense notes</t>
  </si>
  <si>
    <t xml:space="preserve">lady korloff intense perfume</t>
  </si>
  <si>
    <t xml:space="preserve">lady korloff intense отзывы</t>
  </si>
  <si>
    <t xml:space="preserve">lancome idole nectar 50ml</t>
  </si>
  <si>
    <t xml:space="preserve">lancome idole nectar dupe</t>
  </si>
  <si>
    <t xml:space="preserve">lancome idole nectar eau de parfum 100ml</t>
  </si>
  <si>
    <t xml:space="preserve">lancome idole nectar notes</t>
  </si>
  <si>
    <t xml:space="preserve">lancome idole nectar perfume</t>
  </si>
  <si>
    <t xml:space="preserve">lancome idole now edp florale</t>
  </si>
  <si>
    <t xml:space="preserve">lancome idole now florale 100ml</t>
  </si>
  <si>
    <t xml:space="preserve">lancome idole now florale 50ml</t>
  </si>
  <si>
    <t xml:space="preserve">lancome idole now florale edp 100ml</t>
  </si>
  <si>
    <t xml:space="preserve">lancome idole now florale perfume</t>
  </si>
  <si>
    <t xml:space="preserve">maison de milan invincible 100ml</t>
  </si>
  <si>
    <t xml:space="preserve">mancera black noir edp</t>
  </si>
  <si>
    <t xml:space="preserve">mancera black noir edp 120ml</t>
  </si>
  <si>
    <t xml:space="preserve">mancera black noir notes</t>
  </si>
  <si>
    <t xml:space="preserve">mancera black noir review</t>
  </si>
  <si>
    <t xml:space="preserve">mancera intense red tobacco 120ml</t>
  </si>
  <si>
    <t xml:space="preserve">mancera intense red tobacco eau de parfum</t>
  </si>
  <si>
    <t xml:space="preserve">mancera intense red tobacco edp 120ml</t>
  </si>
  <si>
    <t xml:space="preserve">mancera intense red tobacco review</t>
  </si>
  <si>
    <t xml:space="preserve">marc jacobs daisy love glow limited edition edt 50 ml</t>
  </si>
  <si>
    <t xml:space="preserve">marc jacobs honey 100ml</t>
  </si>
  <si>
    <t xml:space="preserve">marc jacobs honey edp 100ml</t>
  </si>
  <si>
    <t xml:space="preserve">marc jacobs honey perfume</t>
  </si>
  <si>
    <t xml:space="preserve">marc jacobs perfect 100ml</t>
  </si>
  <si>
    <t xml:space="preserve">marc jacobs perfect edp</t>
  </si>
  <si>
    <t xml:space="preserve">miniature parfum gucci bloom</t>
  </si>
  <si>
    <t xml:space="preserve">montale aoud damascus edp</t>
  </si>
  <si>
    <t xml:space="preserve">montale aoud damascus edp 100ml</t>
  </si>
  <si>
    <t xml:space="preserve">montale aoud damascus perfume</t>
  </si>
  <si>
    <t xml:space="preserve">montale aoud damascus review</t>
  </si>
  <si>
    <t xml:space="preserve">montale aoud damascus отзывы</t>
  </si>
  <si>
    <t xml:space="preserve">montale aoud safran edp</t>
  </si>
  <si>
    <t xml:space="preserve">montale aoud safran edp 100ml</t>
  </si>
  <si>
    <t xml:space="preserve">montale aoud safran notes</t>
  </si>
  <si>
    <t xml:space="preserve">montale aoud safran review</t>
  </si>
  <si>
    <t xml:space="preserve">montale aoud safran отзывы</t>
  </si>
  <si>
    <t xml:space="preserve">nina ricci l'air du temps 100ml</t>
  </si>
  <si>
    <t xml:space="preserve">nina ricci l'air du temps eau de parfum</t>
  </si>
  <si>
    <t xml:space="preserve">nina ricci l'air du temps notes</t>
  </si>
  <si>
    <t xml:space="preserve">nina ricci nina illusion eau de parfum 30 ml</t>
  </si>
  <si>
    <t xml:space="preserve">nina ricci nina illusion edp</t>
  </si>
  <si>
    <t xml:space="preserve">nina ricci nina illusion review</t>
  </si>
  <si>
    <t xml:space="preserve">nina ricci nina illusion купить</t>
  </si>
  <si>
    <t xml:space="preserve">nina ricci nina illusion отзывы</t>
  </si>
  <si>
    <t xml:space="preserve">nina ricci nina precious gold edp</t>
  </si>
  <si>
    <t xml:space="preserve">nina ricci perfume precious gold</t>
  </si>
  <si>
    <t xml:space="preserve">nina ricci precious gold 50ml</t>
  </si>
  <si>
    <t xml:space="preserve">nina ricci precious gold notes</t>
  </si>
  <si>
    <t xml:space="preserve">nina ricci precious gold отзывы</t>
  </si>
  <si>
    <t xml:space="preserve">paloma picasso eau de parfum</t>
  </si>
  <si>
    <t xml:space="preserve">parfum korloff un soir a paris</t>
  </si>
  <si>
    <t xml:space="preserve">perfume al haramain amber oud extreme gold edition</t>
  </si>
  <si>
    <t xml:space="preserve">roll it 1 dupe of</t>
  </si>
  <si>
    <t xml:space="preserve">roll it 18</t>
  </si>
  <si>
    <t xml:space="preserve">roll it 18 dupe of</t>
  </si>
  <si>
    <t xml:space="preserve">royal oud korloff paris</t>
  </si>
  <si>
    <t xml:space="preserve">royal oud perfume la maison de la vanille</t>
  </si>
  <si>
    <t xml:space="preserve">sap le roi extrait</t>
  </si>
  <si>
    <t xml:space="preserve">sap le roi extrait de parfum 100ml</t>
  </si>
  <si>
    <t xml:space="preserve">sap le roi parfum</t>
  </si>
  <si>
    <t xml:space="preserve">sap le roi perfume</t>
  </si>
  <si>
    <t xml:space="preserve">sap patchouli intense extrait de parfum 100ml</t>
  </si>
  <si>
    <t xml:space="preserve">sap perfume patchouli intense</t>
  </si>
  <si>
    <t xml:space="preserve">sap perfume saffron oud</t>
  </si>
  <si>
    <t xml:space="preserve">sapphire signature sale</t>
  </si>
  <si>
    <t xml:space="preserve">secret source the woods collection фрагрантика</t>
  </si>
  <si>
    <t xml:space="preserve">serge lutens la fille de berlin 100ml</t>
  </si>
  <si>
    <t xml:space="preserve">serge lutens la fille de berlin dupe</t>
  </si>
  <si>
    <t xml:space="preserve">serge lutens la fille de berlin edp</t>
  </si>
  <si>
    <t xml:space="preserve">serge lutens la fille de berlin notes</t>
  </si>
  <si>
    <t xml:space="preserve">serge lutens la fille de berlin review</t>
  </si>
  <si>
    <t xml:space="preserve">shiseido zen for men</t>
  </si>
  <si>
    <t xml:space="preserve">shiseido zen parfum</t>
  </si>
  <si>
    <t xml:space="preserve">shiseido zen perfume</t>
  </si>
  <si>
    <t xml:space="preserve">shiseido zen perfume price</t>
  </si>
  <si>
    <t xml:space="preserve">signature ambre parfum</t>
  </si>
  <si>
    <t xml:space="preserve">signature ambre perfume</t>
  </si>
  <si>
    <t xml:space="preserve">signature ambre perfume for men</t>
  </si>
  <si>
    <t xml:space="preserve">signature ambre отзывы</t>
  </si>
  <si>
    <t xml:space="preserve">signature black perfume pour homme</t>
  </si>
  <si>
    <t xml:space="preserve">signature d'orient ambre</t>
  </si>
  <si>
    <t xml:space="preserve">signature jade eau de parfum</t>
  </si>
  <si>
    <t xml:space="preserve">signature jade edp 100ml</t>
  </si>
  <si>
    <t xml:space="preserve">signature jade perfume</t>
  </si>
  <si>
    <t xml:space="preserve">signature jade perfume price</t>
  </si>
  <si>
    <t xml:space="preserve">signature mini discovery set</t>
  </si>
  <si>
    <t xml:space="preserve">signature onyx 100ml</t>
  </si>
  <si>
    <t xml:space="preserve">signature onyx edp</t>
  </si>
  <si>
    <t xml:space="preserve">signature onyx perfume</t>
  </si>
  <si>
    <t xml:space="preserve">signature onyx perfume price</t>
  </si>
  <si>
    <t xml:space="preserve">signature opal edp</t>
  </si>
  <si>
    <t xml:space="preserve">signature opal parfum</t>
  </si>
  <si>
    <t xml:space="preserve">signature opal perfume</t>
  </si>
  <si>
    <t xml:space="preserve">signature opal отзывы</t>
  </si>
  <si>
    <t xml:space="preserve">signature paradiso eau de parfum</t>
  </si>
  <si>
    <t xml:space="preserve">signature paradiso edt</t>
  </si>
  <si>
    <t xml:space="preserve">signature paradiso parfum</t>
  </si>
  <si>
    <t xml:space="preserve">signature paradiso perfume</t>
  </si>
  <si>
    <t xml:space="preserve">signature paradiso отзывы</t>
  </si>
  <si>
    <t xml:space="preserve">signature parfum discovery set</t>
  </si>
  <si>
    <t xml:space="preserve">signature pour homme black</t>
  </si>
  <si>
    <t xml:space="preserve">signature santal edp</t>
  </si>
  <si>
    <t xml:space="preserve">signature santal notes</t>
  </si>
  <si>
    <t xml:space="preserve">signature santal oil</t>
  </si>
  <si>
    <t xml:space="preserve">signature santal perfume</t>
  </si>
  <si>
    <t xml:space="preserve">signature santal отзывы</t>
  </si>
  <si>
    <t xml:space="preserve">signature sapphire edp</t>
  </si>
  <si>
    <t xml:space="preserve">signature sapphire perfume</t>
  </si>
  <si>
    <t xml:space="preserve">the woods collection azure review</t>
  </si>
  <si>
    <t xml:space="preserve">the woods collection azure отзывы</t>
  </si>
  <si>
    <t xml:space="preserve">the woods collection azure фрагрантика</t>
  </si>
  <si>
    <t xml:space="preserve">the woods collection eden edp 100ml</t>
  </si>
  <si>
    <t xml:space="preserve">the woods collection eden review</t>
  </si>
  <si>
    <t xml:space="preserve">the woods collection eden отзывы</t>
  </si>
  <si>
    <t xml:space="preserve">the woods collection eden фрагрантика</t>
  </si>
  <si>
    <t xml:space="preserve">the woods collection green walk review</t>
  </si>
  <si>
    <t xml:space="preserve">the woods collection green walk отзывы</t>
  </si>
  <si>
    <t xml:space="preserve">the woods collection mirage edp</t>
  </si>
  <si>
    <t xml:space="preserve">the woods collection mirage notes</t>
  </si>
  <si>
    <t xml:space="preserve">the woods collection mirage review</t>
  </si>
  <si>
    <t xml:space="preserve">the woods collection mirage отзывы</t>
  </si>
  <si>
    <t xml:space="preserve">the woods collection pure shine edp</t>
  </si>
  <si>
    <t xml:space="preserve">the woods collection pure shine edp 100ml</t>
  </si>
  <si>
    <t xml:space="preserve">the woods collection pure shine review</t>
  </si>
  <si>
    <t xml:space="preserve">the woods collection pure shine отзывы</t>
  </si>
  <si>
    <t xml:space="preserve">the woods collection secret source edp</t>
  </si>
  <si>
    <t xml:space="preserve">the woods collection secret source perfume</t>
  </si>
  <si>
    <t xml:space="preserve">the woods collection secret source отзывы</t>
  </si>
  <si>
    <t xml:space="preserve">the woods collection sunrise edp</t>
  </si>
  <si>
    <t xml:space="preserve">the woods collection sunrise review</t>
  </si>
  <si>
    <t xml:space="preserve">the woods collection sunrise отзывы</t>
  </si>
  <si>
    <t xml:space="preserve">the woods collection sunrise фрагрантика</t>
  </si>
  <si>
    <t xml:space="preserve">the woods collection timeless sands edp</t>
  </si>
  <si>
    <t xml:space="preserve">the woods collection timeless sands review</t>
  </si>
  <si>
    <t xml:space="preserve">the woods collection timeless sands отзывы</t>
  </si>
  <si>
    <t xml:space="preserve">the woods collection timeless sands фрагрантика</t>
  </si>
  <si>
    <t xml:space="preserve">the woods collection twilight dupe of</t>
  </si>
  <si>
    <t xml:space="preserve">the woods collection twilight edp</t>
  </si>
  <si>
    <t xml:space="preserve">the woods collection twilight perfume</t>
  </si>
  <si>
    <t xml:space="preserve">the woods collection twilight review</t>
  </si>
  <si>
    <t xml:space="preserve">the woods collection wild roses edp</t>
  </si>
  <si>
    <t xml:space="preserve">the woods collection wild roses отзывы</t>
  </si>
  <si>
    <t xml:space="preserve">the woods collection wild roses 🥰</t>
  </si>
  <si>
    <t xml:space="preserve">the woods green walk</t>
  </si>
  <si>
    <t xml:space="preserve">the woods pure shine</t>
  </si>
  <si>
    <t xml:space="preserve">the woods secret source</t>
  </si>
  <si>
    <t xml:space="preserve">the woods timeless sands</t>
  </si>
  <si>
    <t xml:space="preserve">the woods wild roses</t>
  </si>
  <si>
    <t xml:space="preserve">tiziana terenzi akragas edp 100ml</t>
  </si>
  <si>
    <t xml:space="preserve">tiziana terenzi akragas extrait</t>
  </si>
  <si>
    <t xml:space="preserve">tiziana terenzi akragas extrait de parfum 100ml</t>
  </si>
  <si>
    <t xml:space="preserve">tiziana terenzi akragas review</t>
  </si>
  <si>
    <t xml:space="preserve">tiziana terenzi akragas отзывы</t>
  </si>
  <si>
    <t xml:space="preserve">tiziana terenzi andromeda dupe</t>
  </si>
  <si>
    <t xml:space="preserve">tiziana terenzi andromeda edp 100ml</t>
  </si>
  <si>
    <t xml:space="preserve">tiziana terenzi andromeda notes</t>
  </si>
  <si>
    <t xml:space="preserve">tiziana terenzi andromeda review</t>
  </si>
  <si>
    <t xml:space="preserve">tiziana terenzi caput mundi edp 100ml</t>
  </si>
  <si>
    <t xml:space="preserve">tiziana terenzi caput mundi extrait</t>
  </si>
  <si>
    <t xml:space="preserve">tiziana terenzi caput mundi notes</t>
  </si>
  <si>
    <t xml:space="preserve">tiziana terenzi caput mundi review</t>
  </si>
  <si>
    <t xml:space="preserve">tiziana terenzi caput mundi отзывы</t>
  </si>
  <si>
    <t xml:space="preserve">tiziana terenzi draconis 100ml</t>
  </si>
  <si>
    <t xml:space="preserve">tiziana terenzi draconis edp 100ml</t>
  </si>
  <si>
    <t xml:space="preserve">tiziana terenzi draconis extrait de parfum 100ml</t>
  </si>
  <si>
    <t xml:space="preserve">tiziana terenzi draconis review</t>
  </si>
  <si>
    <t xml:space="preserve">tiziana terenzi ecstasy extrait</t>
  </si>
  <si>
    <t xml:space="preserve">tiziana terenzi ecstasy extrait de parfum 100ml</t>
  </si>
  <si>
    <t xml:space="preserve">tiziana terenzi ecstasy notes</t>
  </si>
  <si>
    <t xml:space="preserve">tiziana terenzi ecstasy perfume</t>
  </si>
  <si>
    <t xml:space="preserve">tiziana terenzi ecstasy review</t>
  </si>
  <si>
    <t xml:space="preserve">tiziana terenzi gold rose oudh 50ml</t>
  </si>
  <si>
    <t xml:space="preserve">tiziana terenzi gold rose oudh extrait de parfum 100ml</t>
  </si>
  <si>
    <t xml:space="preserve">tiziana terenzi gold rose oudh perfume</t>
  </si>
  <si>
    <t xml:space="preserve">tiziana terenzi gold rose oudh review</t>
  </si>
  <si>
    <t xml:space="preserve">tiziana terenzi gumin notes</t>
  </si>
  <si>
    <t xml:space="preserve">tiziana terenzi gumin perfume</t>
  </si>
  <si>
    <t xml:space="preserve">tiziana terenzi gumin perfume price</t>
  </si>
  <si>
    <t xml:space="preserve">tiziana terenzi gumin review</t>
  </si>
  <si>
    <t xml:space="preserve">tiziana terenzi kaff extrait de parfum 100ml</t>
  </si>
  <si>
    <t xml:space="preserve">tiziana terenzi kaff parfum</t>
  </si>
  <si>
    <t xml:space="preserve">tiziana terenzi kaff perfume</t>
  </si>
  <si>
    <t xml:space="preserve">tiziana terenzi kaff review</t>
  </si>
  <si>
    <t xml:space="preserve">tiziana terenzi kirke dupe</t>
  </si>
  <si>
    <t xml:space="preserve">tiziana terenzi kirke notes</t>
  </si>
  <si>
    <t xml:space="preserve">tiziana terenzi kirke perfume</t>
  </si>
  <si>
    <t xml:space="preserve">tiziana terenzi kirke review</t>
  </si>
  <si>
    <t xml:space="preserve">tiziana terenzi leo extrait de parfum 100ml</t>
  </si>
  <si>
    <t xml:space="preserve">tiziana terenzi leo notes</t>
  </si>
  <si>
    <t xml:space="preserve">tiziana terenzi leo perfume</t>
  </si>
  <si>
    <t xml:space="preserve">tiziana terenzi leo review</t>
  </si>
  <si>
    <t xml:space="preserve">tiziana terenzi moro di venezia 100ml</t>
  </si>
  <si>
    <t xml:space="preserve">tiziana terenzi moro di venezia extrait</t>
  </si>
  <si>
    <t xml:space="preserve">tiziana terenzi moro di venezia extrait de parfum 100ml</t>
  </si>
  <si>
    <t xml:space="preserve">tiziana terenzi moro di venezia notes</t>
  </si>
  <si>
    <t xml:space="preserve">tiziana terenzi moro di venezia perfume</t>
  </si>
  <si>
    <t xml:space="preserve">tiziana terenzi orion notes</t>
  </si>
  <si>
    <t xml:space="preserve">tiziana terenzi orion review</t>
  </si>
  <si>
    <t xml:space="preserve">tiziana terenzi porpora extrait</t>
  </si>
  <si>
    <t xml:space="preserve">tiziana terenzi porpora extrait de parfum 100ml</t>
  </si>
  <si>
    <t xml:space="preserve">tiziana terenzi porpora notes</t>
  </si>
  <si>
    <t xml:space="preserve">tiziana terenzi porpora perfume</t>
  </si>
  <si>
    <t xml:space="preserve">tiziana terenzi porpora review</t>
  </si>
  <si>
    <t xml:space="preserve">tiziana terenzi saiph extrait</t>
  </si>
  <si>
    <t xml:space="preserve">tiziana terenzi saiph extrait de parfum 100ml</t>
  </si>
  <si>
    <t xml:space="preserve">tiziana terenzi saiph perfume</t>
  </si>
  <si>
    <t xml:space="preserve">tiziana terenzi saiph review</t>
  </si>
  <si>
    <t xml:space="preserve">tiziana terenzi white fire edp 100ml</t>
  </si>
  <si>
    <t xml:space="preserve">tiziana terenzi white fire extrait</t>
  </si>
  <si>
    <t xml:space="preserve">tiziana terenzi white fire notes</t>
  </si>
  <si>
    <t xml:space="preserve">tiziana terenzi white fire review</t>
  </si>
  <si>
    <t xml:space="preserve">trussardi delicate rose 100ml</t>
  </si>
  <si>
    <t xml:space="preserve">trussardi delicate rose edt</t>
  </si>
  <si>
    <t xml:space="preserve">trussardi delicate rose notes</t>
  </si>
  <si>
    <t xml:space="preserve">trussardi delicate rose perfume</t>
  </si>
  <si>
    <t xml:space="preserve">trussardi delicate rose review</t>
  </si>
  <si>
    <t xml:space="preserve">trussardi pure jasmine edp</t>
  </si>
  <si>
    <t xml:space="preserve">trussardi pure jasmine perfume</t>
  </si>
  <si>
    <t xml:space="preserve">trussardi pure jasmine review</t>
  </si>
  <si>
    <t xml:space="preserve">trussardi pure jasmine отзывы</t>
  </si>
  <si>
    <t xml:space="preserve">vilvah aloe vera gel benefits</t>
  </si>
  <si>
    <t xml:space="preserve">vilvah aloe vera gel how to use</t>
  </si>
  <si>
    <t xml:space="preserve">vilvah aloe vera gel india</t>
  </si>
  <si>
    <t xml:space="preserve">vilvah aloe vera gel ingredients</t>
  </si>
  <si>
    <t xml:space="preserve">vilvah aloe vera gel review</t>
  </si>
  <si>
    <t xml:space="preserve">vilvah anti dandruff hair oil review</t>
  </si>
  <si>
    <t xml:space="preserve">vilvah anti dandruff oil review</t>
  </si>
  <si>
    <t xml:space="preserve">vilvah anti frizz hair serum price</t>
  </si>
  <si>
    <t xml:space="preserve">vilvah anti frizz hair serum review</t>
  </si>
  <si>
    <t xml:space="preserve">vilvah conditioner review</t>
  </si>
  <si>
    <t xml:space="preserve">vilvah cream bun lip balm review</t>
  </si>
  <si>
    <t xml:space="preserve">vilvah cream conditioner ingredients</t>
  </si>
  <si>
    <t xml:space="preserve">vilvah cream conditioner review</t>
  </si>
  <si>
    <t xml:space="preserve">vilvah foot cream ingredients</t>
  </si>
  <si>
    <t xml:space="preserve">vilvah foot cream review</t>
  </si>
  <si>
    <t xml:space="preserve">vilvah goat milk body soap</t>
  </si>
  <si>
    <t xml:space="preserve">vilvah goat milk body wash benefits</t>
  </si>
  <si>
    <t xml:space="preserve">vilvah goat milk body wash ingredients</t>
  </si>
  <si>
    <t xml:space="preserve">vilvah goat milk body wash review</t>
  </si>
  <si>
    <t xml:space="preserve">vilvah goat milk hair mask ingredients</t>
  </si>
  <si>
    <t xml:space="preserve">vilvah goat milk hair mask review</t>
  </si>
  <si>
    <t xml:space="preserve">vilvah goat milk shampoo benefits</t>
  </si>
  <si>
    <t xml:space="preserve">vilvah goat milk shampoo ingredients</t>
  </si>
  <si>
    <t xml:space="preserve">vilvah goat milk shampoo review</t>
  </si>
  <si>
    <t xml:space="preserve">vilvah goat milk soap review</t>
  </si>
  <si>
    <t xml:space="preserve">vilvah grapefruit lip balm 10g</t>
  </si>
  <si>
    <t xml:space="preserve">vilvah grapefruit lip balm amazon</t>
  </si>
  <si>
    <t xml:space="preserve">vilvah grapefruit lip balm benefits</t>
  </si>
  <si>
    <t xml:space="preserve">vilvah grapefruit lip balm review</t>
  </si>
  <si>
    <t xml:space="preserve">vilvah hair growth oil amazon</t>
  </si>
  <si>
    <t xml:space="preserve">vilvah hair growth oil benefits</t>
  </si>
  <si>
    <t xml:space="preserve">vilvah hair growth oil how to use</t>
  </si>
  <si>
    <t xml:space="preserve">vilvah hair growth oil india</t>
  </si>
  <si>
    <t xml:space="preserve">vilvah hair growth oil review</t>
  </si>
  <si>
    <t xml:space="preserve">vilvah hair growth oil review before and after</t>
  </si>
  <si>
    <t xml:space="preserve">vilvah lemon lip balm review</t>
  </si>
  <si>
    <t xml:space="preserve">vilvah lip balm grapefruit</t>
  </si>
  <si>
    <t xml:space="preserve">vilvah lip balm lemon</t>
  </si>
  <si>
    <t xml:space="preserve">vilvah lip balm price</t>
  </si>
  <si>
    <t xml:space="preserve">VD-010, VD-015, VD-036, VD-044, VD-045, VD-046</t>
  </si>
  <si>
    <t xml:space="preserve">vilvah lip balm review</t>
  </si>
  <si>
    <t xml:space="preserve">VD-010, VD-015, VD-035, VD-036, VD-044, VD-045, VD-046</t>
  </si>
  <si>
    <t xml:space="preserve">vilvah lip scrub and lip balm</t>
  </si>
  <si>
    <t xml:space="preserve">vilvah lip scrub how to use</t>
  </si>
  <si>
    <t xml:space="preserve">vilvah lip scrub ingredients</t>
  </si>
  <si>
    <t xml:space="preserve">vilvah lip scrub review</t>
  </si>
  <si>
    <t xml:space="preserve">vilvah milk body lotion review</t>
  </si>
  <si>
    <t xml:space="preserve">vilvah milk drops brightening serum benefits</t>
  </si>
  <si>
    <t xml:space="preserve">vilvah milk drops brightening serum how to use</t>
  </si>
  <si>
    <t xml:space="preserve">vilvah milk drops brightening serum ingredients</t>
  </si>
  <si>
    <t xml:space="preserve">vilvah milk drops brightening serum review</t>
  </si>
  <si>
    <t xml:space="preserve">vilvah milk face toner review</t>
  </si>
  <si>
    <t xml:space="preserve">vilvah milk mud mask amazon</t>
  </si>
  <si>
    <t xml:space="preserve">vilvah milk mud mask benefits</t>
  </si>
  <si>
    <t xml:space="preserve">vilvah milk mud mask how to use</t>
  </si>
  <si>
    <t xml:space="preserve">vilvah milk mud mask ingredients</t>
  </si>
  <si>
    <t xml:space="preserve">vilvah milk mud mask review</t>
  </si>
  <si>
    <t xml:space="preserve">vilvah milk powder face wash amazon</t>
  </si>
  <si>
    <t xml:space="preserve">vilvah milk powder face wash and serum</t>
  </si>
  <si>
    <t xml:space="preserve">vilvah milk powder face wash benefits</t>
  </si>
  <si>
    <t xml:space="preserve">vilvah milk powder face wash how to use</t>
  </si>
  <si>
    <t xml:space="preserve">vilvah milk powder face wash review</t>
  </si>
  <si>
    <t xml:space="preserve">vilvah rose milk lip balm ingredients</t>
  </si>
  <si>
    <t xml:space="preserve">vilvah rose milk lip balm review</t>
  </si>
  <si>
    <t xml:space="preserve">vilvah toner review</t>
  </si>
  <si>
    <t xml:space="preserve">vilvah under eye cream dark circles control</t>
  </si>
  <si>
    <t xml:space="preserve">عطر the woods collection eden</t>
  </si>
  <si>
    <t xml:space="preserve">FR-095, FR-099</t>
  </si>
  <si>
    <t xml:space="preserve">natural skincare gift set</t>
  </si>
  <si>
    <t xml:space="preserve">goat milk soap</t>
  </si>
  <si>
    <t xml:space="preserve">goat milk shampoo</t>
  </si>
  <si>
    <t xml:space="preserve">goat milk body lotion</t>
  </si>
  <si>
    <t xml:space="preserve">goat milk face wash</t>
  </si>
  <si>
    <t xml:space="preserve">rice water hair mask</t>
  </si>
  <si>
    <t xml:space="preserve">beetroot lip balm</t>
  </si>
  <si>
    <t xml:space="preserve">lip balm for pigmented lips</t>
  </si>
  <si>
    <t xml:space="preserve">kumkumadi oil</t>
  </si>
  <si>
    <t xml:space="preserve">kumkumadi serum</t>
  </si>
  <si>
    <t xml:space="preserve">charcoal face wash</t>
  </si>
  <si>
    <t xml:space="preserve">charcoal soap</t>
  </si>
  <si>
    <t xml:space="preserve">neem face wash</t>
  </si>
  <si>
    <t xml:space="preserve">onion hair oil</t>
  </si>
  <si>
    <t xml:space="preserve">hibiscus hair oil</t>
  </si>
  <si>
    <t xml:space="preserve">bhringraj oil</t>
  </si>
  <si>
    <t xml:space="preserve">ayurvedic hair oil</t>
  </si>
  <si>
    <t xml:space="preserve">red sandalwood face pack</t>
  </si>
  <si>
    <t xml:space="preserve">saffron face cream</t>
  </si>
  <si>
    <t xml:space="preserve">multani mitti face pack</t>
  </si>
  <si>
    <t xml:space="preserve">ubtan</t>
  </si>
  <si>
    <t xml:space="preserve">rose water toner</t>
  </si>
  <si>
    <t xml:space="preserve">natural soap bar</t>
  </si>
  <si>
    <t xml:space="preserve">T2-3</t>
  </si>
  <si>
    <t xml:space="preserve">handmade soap uk</t>
  </si>
  <si>
    <t xml:space="preserve">bath bar</t>
  </si>
  <si>
    <t xml:space="preserve">chocolate body butter</t>
  </si>
  <si>
    <t xml:space="preserve">cocoa butter body lotion</t>
  </si>
  <si>
    <t xml:space="preserve">hair removal powder</t>
  </si>
  <si>
    <t xml:space="preserve">indigo powder for hair</t>
  </si>
  <si>
    <t xml:space="preserve">ayurvedic skincare uk</t>
  </si>
  <si>
    <t xml:space="preserve">indian skincare brands uk</t>
  </si>
  <si>
    <t xml:space="preserve">indian skincare uk</t>
  </si>
  <si>
    <t xml:space="preserve">milk face wash</t>
  </si>
  <si>
    <t xml:space="preserve">oat milk face wash</t>
  </si>
  <si>
    <t xml:space="preserve">coffee body scrub</t>
  </si>
  <si>
    <t xml:space="preserve">face serum for glowing skin</t>
  </si>
  <si>
    <t xml:space="preserve">hair mask for hair growth</t>
  </si>
  <si>
    <t xml:space="preserve">serum for dark spots</t>
  </si>
  <si>
    <t xml:space="preserve">hair care gift set</t>
  </si>
  <si>
    <t xml:space="preserve">vegan skincare uk</t>
  </si>
  <si>
    <t xml:space="preserve">cruelty free skincare uk</t>
  </si>
  <si>
    <t xml:space="preserve">sulphate free shampoo uk</t>
  </si>
  <si>
    <t xml:space="preserve">natural face wash</t>
  </si>
  <si>
    <t xml:space="preserve">natural hair oil</t>
  </si>
  <si>
    <t xml:space="preserve">organic skincare uk</t>
  </si>
  <si>
    <t xml:space="preserve">Batch 1 · Tier 1</t>
  </si>
  <si>
    <t xml:space="preserve">Batch 2 · Tier 1</t>
  </si>
  <si>
    <t xml:space="preserve">Batch 3 · Tier 1</t>
  </si>
  <si>
    <t xml:space="preserve">Batch 4 · Tier 1</t>
  </si>
  <si>
    <t xml:space="preserve">Batch 5 · Tier 1</t>
  </si>
  <si>
    <t xml:space="preserve">Batch 6 · Tier 1</t>
  </si>
  <si>
    <t xml:space="preserve">Batch 7 · Tier 1</t>
  </si>
  <si>
    <t xml:space="preserve">Batch 8 · Tier 1</t>
  </si>
  <si>
    <t xml:space="preserve">Batch 9 · Tier 1/2</t>
  </si>
  <si>
    <t xml:space="preserve">Batch 10 · SKIPPED (replaced by T2/T3)</t>
  </si>
  <si>
    <t xml:space="preserve">Batch 11 · SKIPPED (replaced by T2/T3)</t>
  </si>
  <si>
    <t xml:space="preserve">Batch 12 · SKIPPED (replaced by T2/T3)</t>
  </si>
  <si>
    <t xml:space="preserve">Batch 13 · SKIPPED (replaced by T2/T3)</t>
  </si>
  <si>
    <t xml:space="preserve">Batch 14 · SKIPPED (replaced by T2/T3)</t>
  </si>
  <si>
    <t xml:space="preserve">Batch 15 · SKIPPED (replaced by T2/T3)</t>
  </si>
  <si>
    <t xml:space="preserve">Batch 16 · SKIPPED (replaced by T2/T3)</t>
  </si>
  <si>
    <t xml:space="preserve">Batch 17 · SKIPPED (replaced by T2/T3)</t>
  </si>
  <si>
    <t xml:space="preserve">Batch 18 · SKIPPED (replaced by T2/T3)</t>
  </si>
  <si>
    <t xml:space="preserve">Batch 19 · SKIPPED (replaced by T2/T3)</t>
  </si>
  <si>
    <t xml:space="preserve">Batch 20 · SKIPPED (replaced by T2/T3)</t>
  </si>
  <si>
    <t xml:space="preserve">Batch 21 · SKIPPED (replaced by T2/T3)</t>
  </si>
  <si>
    <t xml:space="preserve">Batch 22 · SKIPPED (replaced by T2/T3)</t>
  </si>
  <si>
    <t xml:space="preserve">Batch 23 · SKIPPED (replaced by T2/T3)</t>
  </si>
  <si>
    <t xml:space="preserve">Batch 24 · SKIPPED (replaced by T2/T3)</t>
  </si>
  <si>
    <t xml:space="preserve">Batch 25 · SKIPPED (replaced by T2/T3)</t>
  </si>
  <si>
    <t xml:space="preserve">Batch 26 · SKIPPED (replaced by T2/T3)</t>
  </si>
  <si>
    <t xml:space="preserve">Batch 27 · SKIPPED (replaced by T2/T3)</t>
  </si>
  <si>
    <t xml:space="preserve">Batch 28 · SKIPPED (replaced by T2/T3)</t>
  </si>
  <si>
    <t xml:space="preserve">Batch 29 · SKIPPED (replaced by T2/T3)</t>
  </si>
  <si>
    <t xml:space="preserve">Batch 30 · SKIPPED (replaced by T2/T3)</t>
  </si>
  <si>
    <t xml:space="preserve">Batch 31 · SKIPPED (replaced by T2/T3)</t>
  </si>
  <si>
    <t xml:space="preserve">Batch 32 · SKIPPED (replaced by T2/T3)</t>
  </si>
  <si>
    <t xml:space="preserve">Batch 33 · SKIPPED (replaced by T2/T3)</t>
  </si>
  <si>
    <t xml:space="preserve">Batch 34 · SKIPPED (replaced by T2/T3)</t>
  </si>
  <si>
    <t xml:space="preserve">Batch 35 · SKIPPED (replaced by T2/T3)</t>
  </si>
  <si>
    <t xml:space="preserve">Batch 36 · SKIPPED (replaced by T2/T3)</t>
  </si>
  <si>
    <t xml:space="preserve">Batch 37 · SKIPPED (replaced by T2/T3)</t>
  </si>
  <si>
    <t xml:space="preserve">Batch 38 · SKIPPED (replaced by T2/T3)</t>
  </si>
  <si>
    <t xml:space="preserve">T2 Batch 1</t>
  </si>
  <si>
    <t xml:space="preserve">T2 Batch 2</t>
  </si>
  <si>
    <t xml:space="preserve">T2 Batch 3</t>
  </si>
  <si>
    <t xml:space="preserve">T3 Batch 1</t>
  </si>
  <si>
    <t xml:space="preserve">T3 Batch 2</t>
  </si>
  <si>
    <t xml:space="preserve">CPC (USD)</t>
  </si>
  <si>
    <t xml:space="preserve">Competition</t>
  </si>
  <si>
    <t xml:space="preserve">Batch</t>
  </si>
  <si>
    <t xml:space="preserve">Note</t>
  </si>
  <si>
    <t xml:space="preserve">Informational Transactional</t>
  </si>
  <si>
    <t xml:space="preserve">Informational</t>
  </si>
  <si>
    <t xml:space="preserve">Informational Commercial</t>
  </si>
  <si>
    <t xml:space="preserve">Navigational</t>
  </si>
  <si>
    <t xml:space="preserve">Commercial</t>
  </si>
  <si>
    <t xml:space="preserve">Transactional</t>
  </si>
  <si>
    <t xml:space="preserve">Informational Navigational</t>
  </si>
  <si>
    <t xml:space="preserve">Transactional Navigational</t>
  </si>
  <si>
    <t xml:space="preserve">Semrush ran "ariana grande thank u" (it splits at commas); figures are for that shorter phrase</t>
  </si>
  <si>
    <t xml:space="preserve">Navigational Commercial</t>
  </si>
  <si>
    <t xml:space="preserve">No Semrush data (n/a)</t>
  </si>
  <si>
    <t xml:space="preserve">Semrush ran "jo milano game of spades wildcard for parfum" (it splits at commas); figures are for that shorter phrase</t>
  </si>
  <si>
    <t xml:space="preserve">Semrush ran "vilvah cucumber" (it splits at commas); figures are for that shorter phrase</t>
  </si>
  <si>
    <t xml:space="preserve">Seed query (google.co.uk)</t>
  </si>
  <si>
    <t xml:space="preserve">Suggestion</t>
  </si>
  <si>
    <t xml:space="preserve">Used in keyword list</t>
  </si>
  <si>
    <t xml:space="preserve">Yes</t>
  </si>
  <si>
    <t xml:space="preserve">abercrombie &amp; fitch first instinct together her eau de parfum 100ml</t>
  </si>
  <si>
    <t xml:space="preserve">abercrombie &amp; fitch first instinct together for him</t>
  </si>
  <si>
    <t xml:space="preserve">abercrombie &amp; fitch first instinct together for her</t>
  </si>
  <si>
    <t xml:space="preserve">abercrombie &amp; fitch first instinct together fragrantica</t>
  </si>
  <si>
    <t xml:space="preserve">abercrombie &amp; fitch first instinct together man</t>
  </si>
  <si>
    <t xml:space="preserve">abercrombie &amp; fitch first instinct together eau de toilette</t>
  </si>
  <si>
    <t xml:space="preserve">abercrombie &amp; fitch first instinct together her eau de parfum</t>
  </si>
  <si>
    <t xml:space="preserve">abercrombie &amp; fitch naturally fierce woman</t>
  </si>
  <si>
    <t xml:space="preserve">abercrombie &amp; fitch naturally fierce perfume</t>
  </si>
  <si>
    <t xml:space="preserve">abercrombie &amp; fitch naturally fierce edp 30ml</t>
  </si>
  <si>
    <t xml:space="preserve">abercrombie &amp; fitch perfume men</t>
  </si>
  <si>
    <t xml:space="preserve">abercrombie &amp; fitch perfume women</t>
  </si>
  <si>
    <t xml:space="preserve">abercrombie &amp; fitch perfume authentic</t>
  </si>
  <si>
    <t xml:space="preserve">abercrombie &amp; fitch perfume fierce</t>
  </si>
  <si>
    <t xml:space="preserve">abercrombie &amp; fitch perfume first instinct</t>
  </si>
  <si>
    <t xml:space="preserve">abercrombie &amp; fitch perfume price</t>
  </si>
  <si>
    <t xml:space="preserve">abercrombie &amp; fitch perfume away</t>
  </si>
  <si>
    <t xml:space="preserve">abercrombie &amp; fitch perfume authentic self</t>
  </si>
  <si>
    <t xml:space="preserve">abercrombie &amp; fitch perfume away weekend</t>
  </si>
  <si>
    <t xml:space="preserve">acqua di parma blu mediterraneo discovery collection</t>
  </si>
  <si>
    <t xml:space="preserve">is acqua di parma worth it</t>
  </si>
  <si>
    <t xml:space="preserve">what is the most popular acqua di parma</t>
  </si>
  <si>
    <t xml:space="preserve">acqua di parma colonia essenza deodorant stick 75 gr</t>
  </si>
  <si>
    <t xml:space="preserve">acqua di parma colonia essenza deodorant spray 150ml</t>
  </si>
  <si>
    <t xml:space="preserve">acqua di parma colonia essenza deodorant spray</t>
  </si>
  <si>
    <t xml:space="preserve">acqua di parma colonia essenza deodorant natural spray 5.0 ounce</t>
  </si>
  <si>
    <t xml:space="preserve">acqua di parma colonia essenza deo spray</t>
  </si>
  <si>
    <t xml:space="preserve">acqua di parma colonia essenza eau de cologne review</t>
  </si>
  <si>
    <t xml:space="preserve">acqua di parma colonia pura edc 100 ml</t>
  </si>
  <si>
    <t xml:space="preserve">acqua di parma colonia pura edc</t>
  </si>
  <si>
    <t xml:space="preserve">acqua di parma colonia pura eau de cologne 100ml</t>
  </si>
  <si>
    <t xml:space="preserve">acqua di parma colonia pura vs colonia</t>
  </si>
  <si>
    <t xml:space="preserve">acqua di parma discount code</t>
  </si>
  <si>
    <t xml:space="preserve">what is the original acqua di parma</t>
  </si>
  <si>
    <t xml:space="preserve">how long does acqua di parma last</t>
  </si>
  <si>
    <t xml:space="preserve">acqua di parma oud spice fragrantica</t>
  </si>
  <si>
    <t xml:space="preserve">acqua di parma oud spice 20ml</t>
  </si>
  <si>
    <t xml:space="preserve">acqua di parma oud &amp; spice dupe</t>
  </si>
  <si>
    <t xml:space="preserve">acqua di parma perfume price</t>
  </si>
  <si>
    <t xml:space="preserve">acqua di parma perfume for him</t>
  </si>
  <si>
    <t xml:space="preserve">acqua di parma perfume price in pakistan</t>
  </si>
  <si>
    <t xml:space="preserve">acqua di parma perfume for her</t>
  </si>
  <si>
    <t xml:space="preserve">acqua di parma perfume colonia</t>
  </si>
  <si>
    <t xml:space="preserve">acqua di parma perfume review</t>
  </si>
  <si>
    <t xml:space="preserve">acqua di parma perfume buongiorno</t>
  </si>
  <si>
    <t xml:space="preserve">acqua di parma perfume price in nigeria</t>
  </si>
  <si>
    <t xml:space="preserve">acqua di parma rosa nobile body cream</t>
  </si>
  <si>
    <t xml:space="preserve">acqua di parma rosa nobile hair mist</t>
  </si>
  <si>
    <t xml:space="preserve">acqua di parma rosa nobile fragrantica</t>
  </si>
  <si>
    <t xml:space="preserve">acqua di parma sakura discontinued</t>
  </si>
  <si>
    <t xml:space="preserve">acqua di parma sakura fragrantica</t>
  </si>
  <si>
    <t xml:space="preserve">acqua di parma sakura 20ml</t>
  </si>
  <si>
    <t xml:space="preserve">acqua di parma sandalo sample</t>
  </si>
  <si>
    <t xml:space="preserve">acqua di parma sandalo notes</t>
  </si>
  <si>
    <t xml:space="preserve">acqua di parma sandalo fragrantica</t>
  </si>
  <si>
    <t xml:space="preserve">acqua di parma zafferano ambrosia</t>
  </si>
  <si>
    <t xml:space="preserve">acqua di parma zafferano fragrantica</t>
  </si>
  <si>
    <t xml:space="preserve">acqua di parma zafferano ambrosia review</t>
  </si>
  <si>
    <t xml:space="preserve">acqua di parma zafferano ambrosia extrait de parfum</t>
  </si>
  <si>
    <t xml:space="preserve">al haramain amber musk reddit</t>
  </si>
  <si>
    <t xml:space="preserve">al haramain amber musk fragrantica</t>
  </si>
  <si>
    <t xml:space="preserve">al haramain amber musk clone</t>
  </si>
  <si>
    <t xml:space="preserve">al haramain amber oud aqua dubai</t>
  </si>
  <si>
    <t xml:space="preserve">al haramain amber oud rouge</t>
  </si>
  <si>
    <t xml:space="preserve">al haramain amber oud gold</t>
  </si>
  <si>
    <t xml:space="preserve">al haramain amber oud exclusif bleu</t>
  </si>
  <si>
    <t xml:space="preserve">al haramain amber oud dubai night</t>
  </si>
  <si>
    <t xml:space="preserve">al haramain amber oud black edition clone of</t>
  </si>
  <si>
    <t xml:space="preserve">al haramain amber oud black edition reddit</t>
  </si>
  <si>
    <t xml:space="preserve">al haramain amber oud bleu edition reddit</t>
  </si>
  <si>
    <t xml:space="preserve">al haramain amber oud bleu edition notes</t>
  </si>
  <si>
    <t xml:space="preserve">al haramain amber oud bleu edition vs iconic</t>
  </si>
  <si>
    <t xml:space="preserve">al haramain amber oud carbon edition price in bangladesh</t>
  </si>
  <si>
    <t xml:space="preserve">al haramain amber oud carbon edition reddit</t>
  </si>
  <si>
    <t xml:space="preserve">al haramain amber oud carbon edition vs l'aventure knight</t>
  </si>
  <si>
    <t xml:space="preserve">al haramain amber oud extreme gold edition 6.8 oz</t>
  </si>
  <si>
    <t xml:space="preserve">al haramain amber oud gold extreme edition for man woman</t>
  </si>
  <si>
    <t xml:space="preserve">price of al haramain amber oud extreme gold edition</t>
  </si>
  <si>
    <t xml:space="preserve">al haramain amber oud gold edition extreme</t>
  </si>
  <si>
    <t xml:space="preserve">al haramain amber oud gold edition price in bangladesh</t>
  </si>
  <si>
    <t xml:space="preserve">al haramain amber oud gold edition is a clone of</t>
  </si>
  <si>
    <t xml:space="preserve">al haramain amber oud ruby edition price in bangladesh</t>
  </si>
  <si>
    <t xml:space="preserve">al haramain amber oud ruby edition vs untold</t>
  </si>
  <si>
    <t xml:space="preserve">al haramain amber oud ruby edition notes</t>
  </si>
  <si>
    <t xml:space="preserve">al haramain amber oud tobacco edition price in bangladesh</t>
  </si>
  <si>
    <t xml:space="preserve">al haramain amber oud tobacco edition reddit</t>
  </si>
  <si>
    <t xml:space="preserve">al haramain amber oud tobacco edition edp</t>
  </si>
  <si>
    <t xml:space="preserve">al haramain amber oud white edition fragrantica</t>
  </si>
  <si>
    <t xml:space="preserve">al haramain amber oud white edition for man</t>
  </si>
  <si>
    <t xml:space="preserve">al haramain amber oud white edition 60ml</t>
  </si>
  <si>
    <t xml:space="preserve">al haramain detour noir exclusif</t>
  </si>
  <si>
    <t xml:space="preserve">al haramain detour noir intense</t>
  </si>
  <si>
    <t xml:space="preserve">al haramain detour noir clone of</t>
  </si>
  <si>
    <t xml:space="preserve">al haramain detour noir intense dupe of</t>
  </si>
  <si>
    <t xml:space="preserve">al haramain detour noir exclusif dupe of</t>
  </si>
  <si>
    <t xml:space="preserve">al haramain detour noir eco</t>
  </si>
  <si>
    <t xml:space="preserve">al haramain detour noir price in bangladesh</t>
  </si>
  <si>
    <t xml:space="preserve">al haramain l'aventure knight</t>
  </si>
  <si>
    <t xml:space="preserve">al haramain l'aventure fraiche</t>
  </si>
  <si>
    <t xml:space="preserve">al haramain l'aventure rose</t>
  </si>
  <si>
    <t xml:space="preserve">al haramain l'aventure price in bangladesh</t>
  </si>
  <si>
    <t xml:space="preserve">al haramain l'aventure blanche price in bangladesh</t>
  </si>
  <si>
    <t xml:space="preserve">al haramain l aventure blanche men</t>
  </si>
  <si>
    <t xml:space="preserve">al haramain l aventure blanche m edp 100ml</t>
  </si>
  <si>
    <t xml:space="preserve">al haramain l'aventure blanche clone of</t>
  </si>
  <si>
    <t xml:space="preserve">al haramain l aventure blanche eau de parfum for men</t>
  </si>
  <si>
    <t xml:space="preserve">al haramain l'aventure femme white</t>
  </si>
  <si>
    <t xml:space="preserve">al haramain l'&amp; l'aventure femme fragrantica</t>
  </si>
  <si>
    <t xml:space="preserve">al haramain l aventure femme review</t>
  </si>
  <si>
    <t xml:space="preserve">al haramain l aventure femme 200ml</t>
  </si>
  <si>
    <t xml:space="preserve">al haramain l aventure femme eau de parfum 100ml</t>
  </si>
  <si>
    <t xml:space="preserve">al haramain l aventure gold review</t>
  </si>
  <si>
    <t xml:space="preserve">al haramain l aventure gold edp</t>
  </si>
  <si>
    <t xml:space="preserve">al haramain l'aventure gold clone of</t>
  </si>
  <si>
    <t xml:space="preserve">al haramain l aventure gold for women</t>
  </si>
  <si>
    <t xml:space="preserve">al haramain l aventure gold eau de parfum 100ml</t>
  </si>
  <si>
    <t xml:space="preserve">al haramain l aventure gold notes</t>
  </si>
  <si>
    <t xml:space="preserve">al haramain l'aventure intense clone of</t>
  </si>
  <si>
    <t xml:space="preserve">al haramain l'aventure intense price in bangladesh</t>
  </si>
  <si>
    <t xml:space="preserve">al haramain l'aventure intense vs al haramain l'aventure</t>
  </si>
  <si>
    <t xml:space="preserve">al haramain l'aventure intense reddit</t>
  </si>
  <si>
    <t xml:space="preserve">al haramain perfumes</t>
  </si>
  <si>
    <t xml:space="preserve">al haramain perfumes hyderabad</t>
  </si>
  <si>
    <t xml:space="preserve">al haramain perfumes tolichowki</t>
  </si>
  <si>
    <t xml:space="preserve">al haramain perfumes abids</t>
  </si>
  <si>
    <t xml:space="preserve">al haramain perfumes price in bangladesh</t>
  </si>
  <si>
    <t xml:space="preserve">al haramain perfumes owner</t>
  </si>
  <si>
    <t xml:space="preserve">al haramain perfumes price</t>
  </si>
  <si>
    <t xml:space="preserve">al haramain perfumes near me</t>
  </si>
  <si>
    <t xml:space="preserve">al haramain perfumes india</t>
  </si>
  <si>
    <t xml:space="preserve">al haramain perfumes qatar</t>
  </si>
  <si>
    <t xml:space="preserve">anatome balance and stability</t>
  </si>
  <si>
    <t xml:space="preserve">anatomy balanced body</t>
  </si>
  <si>
    <t xml:space="preserve">anatomy balance</t>
  </si>
  <si>
    <t xml:space="preserve">line of balance example</t>
  </si>
  <si>
    <t xml:space="preserve">line of balance technique</t>
  </si>
  <si>
    <t xml:space="preserve">line of balance formula</t>
  </si>
  <si>
    <t xml:space="preserve">anatome energy and strength</t>
  </si>
  <si>
    <t xml:space="preserve">anatome energy and strength oil</t>
  </si>
  <si>
    <t xml:space="preserve">anatomy energy</t>
  </si>
  <si>
    <t xml:space="preserve">si muscle energy technique</t>
  </si>
  <si>
    <t xml:space="preserve">what is bioelectric energy</t>
  </si>
  <si>
    <t xml:space="preserve">different energy bodies</t>
  </si>
  <si>
    <t xml:space="preserve">anatome expression fragrantica</t>
  </si>
  <si>
    <t xml:space="preserve">anatomy expression</t>
  </si>
  <si>
    <t xml:space="preserve">anatomy focuses on</t>
  </si>
  <si>
    <t xml:space="preserve">anatomy focuses on structure</t>
  </si>
  <si>
    <t xml:space="preserve">anatomy focuses on quizlet</t>
  </si>
  <si>
    <t xml:space="preserve">anatomy focused careers</t>
  </si>
  <si>
    <t xml:space="preserve">anatomy focused jobs</t>
  </si>
  <si>
    <t xml:space="preserve">anatome focus and concentration</t>
  </si>
  <si>
    <t xml:space="preserve">focus line up</t>
  </si>
  <si>
    <t xml:space="preserve">anatome perfume review</t>
  </si>
  <si>
    <t xml:space="preserve">anatome perfume fragrantica</t>
  </si>
  <si>
    <t xml:space="preserve">anatome order parfum</t>
  </si>
  <si>
    <t xml:space="preserve">what does rihanna perfume smell like</t>
  </si>
  <si>
    <t xml:space="preserve">anatome support and protection</t>
  </si>
  <si>
    <t xml:space="preserve">anatomy of support</t>
  </si>
  <si>
    <t xml:space="preserve">anatomy supports of uterus</t>
  </si>
  <si>
    <t xml:space="preserve">supports or support</t>
  </si>
  <si>
    <t xml:space="preserve">lines of support</t>
  </si>
  <si>
    <t xml:space="preserve">difference between main support and flex support</t>
  </si>
  <si>
    <t xml:space="preserve">anna sui perfume sundae</t>
  </si>
  <si>
    <t xml:space="preserve">anna sui perfume fantasia</t>
  </si>
  <si>
    <t xml:space="preserve">anna sui perfume price</t>
  </si>
  <si>
    <t xml:space="preserve">anna sui perfume secret wish</t>
  </si>
  <si>
    <t xml:space="preserve">anna sui perfume sky</t>
  </si>
  <si>
    <t xml:space="preserve">anna sui perfume dreams</t>
  </si>
  <si>
    <t xml:space="preserve">anna sui perfume notes</t>
  </si>
  <si>
    <t xml:space="preserve">anna sui perfume mermaid</t>
  </si>
  <si>
    <t xml:space="preserve">anna sui perfume chemist warehouse</t>
  </si>
  <si>
    <t xml:space="preserve">anna sui sky fragrantica</t>
  </si>
  <si>
    <t xml:space="preserve">anna sui sky perfume notes</t>
  </si>
  <si>
    <t xml:space="preserve">antonio banderas diavolo deodorant spray</t>
  </si>
  <si>
    <t xml:space="preserve">antonio banderas diavolo eau de toilette 200ml</t>
  </si>
  <si>
    <t xml:space="preserve">antonio banderas diavolo m edt 100ml</t>
  </si>
  <si>
    <t xml:space="preserve">antonio banderas diavolo lilly</t>
  </si>
  <si>
    <t xml:space="preserve">antonio banderas diavolo precio</t>
  </si>
  <si>
    <t xml:space="preserve">antonio banderas her secret desire edt 80ml spray</t>
  </si>
  <si>
    <t xml:space="preserve">antonio banderas her secret desire notas</t>
  </si>
  <si>
    <t xml:space="preserve">antonio banderas her secret desire отзывы</t>
  </si>
  <si>
    <t xml:space="preserve">antonio banderas her secret temptation deodorant spray</t>
  </si>
  <si>
    <t xml:space="preserve">antonio banderas her secret temptation deodorant</t>
  </si>
  <si>
    <t xml:space="preserve">antonio banderas her secret temptation deo</t>
  </si>
  <si>
    <t xml:space="preserve">antonio banderas her secret temptation eau de toilette 80ml</t>
  </si>
  <si>
    <t xml:space="preserve">antonio banderas perfume price</t>
  </si>
  <si>
    <t xml:space="preserve">antonio banderas perfume for him</t>
  </si>
  <si>
    <t xml:space="preserve">antonio banderas perfume for her</t>
  </si>
  <si>
    <t xml:space="preserve">antonio banderas perfume women</t>
  </si>
  <si>
    <t xml:space="preserve">antonio banderas perfume icon</t>
  </si>
  <si>
    <t xml:space="preserve">antonio banderas perfume mujer</t>
  </si>
  <si>
    <t xml:space="preserve">antonio banderas perfume blue seduction</t>
  </si>
  <si>
    <t xml:space="preserve">antonio banderas perfume the secret</t>
  </si>
  <si>
    <t xml:space="preserve">antonio banderas power of seduction extreme</t>
  </si>
  <si>
    <t xml:space="preserve">antonio banderas power of seduction urban</t>
  </si>
  <si>
    <t xml:space="preserve">ariana grande perfume cloud</t>
  </si>
  <si>
    <t xml:space="preserve">ariana grande perfume sweet like candy</t>
  </si>
  <si>
    <t xml:space="preserve">ariana grande perfume thank you next</t>
  </si>
  <si>
    <t xml:space="preserve">ariana grande perfume set</t>
  </si>
  <si>
    <t xml:space="preserve">ariana grande perfume vanilla</t>
  </si>
  <si>
    <t xml:space="preserve">ariana grande perfume new</t>
  </si>
  <si>
    <t xml:space="preserve">ariana grande perfume cloud pink</t>
  </si>
  <si>
    <t xml:space="preserve">ariana grande perfume mod</t>
  </si>
  <si>
    <t xml:space="preserve">ariana grande perfume price</t>
  </si>
  <si>
    <t xml:space="preserve">ariana grande thank u next lyrics</t>
  </si>
  <si>
    <t xml:space="preserve">ariana grande thank u next songs</t>
  </si>
  <si>
    <t xml:space="preserve">ariana grande thank u next album</t>
  </si>
  <si>
    <t xml:space="preserve">ariana grande thank u next lyrics meaning</t>
  </si>
  <si>
    <t xml:space="preserve">ariana grande thank u next vinyl</t>
  </si>
  <si>
    <t xml:space="preserve">ariana grande thank u next era</t>
  </si>
  <si>
    <t xml:space="preserve">armaf hunter intense</t>
  </si>
  <si>
    <t xml:space="preserve">armaf hunter killer</t>
  </si>
  <si>
    <t xml:space="preserve">armaf hunter intense dupe of</t>
  </si>
  <si>
    <t xml:space="preserve">armaf hunter jungle</t>
  </si>
  <si>
    <t xml:space="preserve">armaf hunter intense edp</t>
  </si>
  <si>
    <t xml:space="preserve">armaf hunter intense is a clone of</t>
  </si>
  <si>
    <t xml:space="preserve">armaf perfume women</t>
  </si>
  <si>
    <t xml:space="preserve">armaf perfume club de nuit</t>
  </si>
  <si>
    <t xml:space="preserve">armaf perfume price in pakistan</t>
  </si>
  <si>
    <t xml:space="preserve">armaf perfume price</t>
  </si>
  <si>
    <t xml:space="preserve">armaf perfume price in bangladesh</t>
  </si>
  <si>
    <t xml:space="preserve">armaf perfumes near me</t>
  </si>
  <si>
    <t xml:space="preserve">armaf perfumes dubai</t>
  </si>
  <si>
    <t xml:space="preserve">armaf perfumes owner</t>
  </si>
  <si>
    <t xml:space="preserve">bentley absolute intense</t>
  </si>
  <si>
    <t xml:space="preserve">bentley absolute cologne</t>
  </si>
  <si>
    <t xml:space="preserve">bentley absolute perfume</t>
  </si>
  <si>
    <t xml:space="preserve">bentley azure convertible</t>
  </si>
  <si>
    <t xml:space="preserve">bentley azure convertible for sale</t>
  </si>
  <si>
    <t xml:space="preserve">bentley azure cologne</t>
  </si>
  <si>
    <t xml:space="preserve">bentley become zenith</t>
  </si>
  <si>
    <t xml:space="preserve">bentley become odyssey</t>
  </si>
  <si>
    <t xml:space="preserve">bentley become fragrantica</t>
  </si>
  <si>
    <t xml:space="preserve">bentley become fragrance</t>
  </si>
  <si>
    <t xml:space="preserve">bentley become for man</t>
  </si>
  <si>
    <t xml:space="preserve">bentley infinite intense</t>
  </si>
  <si>
    <t xml:space="preserve">bentley infinite rush</t>
  </si>
  <si>
    <t xml:space="preserve">bentley infinite rush white edition</t>
  </si>
  <si>
    <t xml:space="preserve">bentley infinite intense edp</t>
  </si>
  <si>
    <t xml:space="preserve">bentley infinite intense eau de parfum</t>
  </si>
  <si>
    <t xml:space="preserve">bentley infinite intense review</t>
  </si>
  <si>
    <t xml:space="preserve">bentley infinite cologne</t>
  </si>
  <si>
    <t xml:space="preserve">bentley momentum unlimited fragrantica</t>
  </si>
  <si>
    <t xml:space="preserve">bentley momentum unlimited parfumo</t>
  </si>
  <si>
    <t xml:space="preserve">bentley perfume price</t>
  </si>
  <si>
    <t xml:space="preserve">bentley perfume price in pakistan</t>
  </si>
  <si>
    <t xml:space="preserve">bentley perfume intense</t>
  </si>
  <si>
    <t xml:space="preserve">bentley perfume price in bangladesh</t>
  </si>
  <si>
    <t xml:space="preserve">bentley perfume price in india</t>
  </si>
  <si>
    <t xml:space="preserve">bentley perfume for men intense</t>
  </si>
  <si>
    <t xml:space="preserve">bentley perfume original</t>
  </si>
  <si>
    <t xml:space="preserve">bentley perfume black edition</t>
  </si>
  <si>
    <t xml:space="preserve">bentley silverlake price in bangladesh</t>
  </si>
  <si>
    <t xml:space="preserve">bentley silverlake cologne</t>
  </si>
  <si>
    <t xml:space="preserve">bentley silverlake fragrantica</t>
  </si>
  <si>
    <t xml:space="preserve">burberry mini set sephora</t>
  </si>
  <si>
    <t xml:space="preserve">burberry mini set ulta</t>
  </si>
  <si>
    <t xml:space="preserve">burberry mini set her</t>
  </si>
  <si>
    <t xml:space="preserve">burberry mini set chemist warehouse</t>
  </si>
  <si>
    <t xml:space="preserve">burberry small set</t>
  </si>
  <si>
    <t xml:space="preserve">burberry my burberry blush</t>
  </si>
  <si>
    <t xml:space="preserve">burberry my burberry blush eau de parfum</t>
  </si>
  <si>
    <t xml:space="preserve">burberry my burberry black edp 90ml</t>
  </si>
  <si>
    <t xml:space="preserve">burberry my burberry black notes</t>
  </si>
  <si>
    <t xml:space="preserve">burberry my burberry black in fragrantica</t>
  </si>
  <si>
    <t xml:space="preserve">burberry perfume women</t>
  </si>
  <si>
    <t xml:space="preserve">burberry perfume men</t>
  </si>
  <si>
    <t xml:space="preserve">burberry perfume goddess</t>
  </si>
  <si>
    <t xml:space="preserve">burberry perfume her</t>
  </si>
  <si>
    <t xml:space="preserve">burberry perfume price</t>
  </si>
  <si>
    <t xml:space="preserve">burberry perfume price in pakistan</t>
  </si>
  <si>
    <t xml:space="preserve">burberry perfume hero</t>
  </si>
  <si>
    <t xml:space="preserve">burberry perfume london</t>
  </si>
  <si>
    <t xml:space="preserve">burberry perfume weekend</t>
  </si>
  <si>
    <t xml:space="preserve">buy deyga</t>
  </si>
  <si>
    <t xml:space="preserve">where to buy deyga products</t>
  </si>
  <si>
    <t xml:space="preserve">is deyga a good brand</t>
  </si>
  <si>
    <t xml:space="preserve">bvlgari man glacial essence m set edp 100ml edp 15ml</t>
  </si>
  <si>
    <t xml:space="preserve">bvlgari glacial essence review</t>
  </si>
  <si>
    <t xml:space="preserve">bvlgari man in black 100ml price</t>
  </si>
  <si>
    <t xml:space="preserve">bvlgari man in black review</t>
  </si>
  <si>
    <t xml:space="preserve">bvlgari man in black cologne</t>
  </si>
  <si>
    <t xml:space="preserve">bvlgari man rain essence m set edp 100ml edp 15ml</t>
  </si>
  <si>
    <t xml:space="preserve">bvlgari man rain essence m set edp 100 ml edp 15 ml it</t>
  </si>
  <si>
    <t xml:space="preserve">bvlgari man rain essence set de regalo</t>
  </si>
  <si>
    <t xml:space="preserve">bvlgari man wood essence perfume review</t>
  </si>
  <si>
    <t xml:space="preserve">bvlgari man terrae essence m set edp 100ml edp 15ml</t>
  </si>
  <si>
    <t xml:space="preserve">bvlgari man wood essence spring set</t>
  </si>
  <si>
    <t xml:space="preserve">bvlgari man wood essence christmas set</t>
  </si>
  <si>
    <t xml:space="preserve">bvlgari bvlgari man wood essence men 2 pc gift set</t>
  </si>
  <si>
    <t xml:space="preserve">bvlgari omnia amethyste chemist warehouse</t>
  </si>
  <si>
    <t xml:space="preserve">bvlgari omnia amethyste 100ml price philippines</t>
  </si>
  <si>
    <t xml:space="preserve">bvlgari omnia amethyste fake vs original</t>
  </si>
  <si>
    <t xml:space="preserve">bvlgari perfume men</t>
  </si>
  <si>
    <t xml:space="preserve">bvlgari perfume women</t>
  </si>
  <si>
    <t xml:space="preserve">bvlgari perfume price</t>
  </si>
  <si>
    <t xml:space="preserve">bvlgari perfumes for her</t>
  </si>
  <si>
    <t xml:space="preserve">bvlgari perfume omnia</t>
  </si>
  <si>
    <t xml:space="preserve">bvlgari perfume price in pakistan</t>
  </si>
  <si>
    <t xml:space="preserve">bvlgari perfumes for him</t>
  </si>
  <si>
    <t xml:space="preserve">bvlgari perfume rose goldea</t>
  </si>
  <si>
    <t xml:space="preserve">bvlgari perfume wood essence</t>
  </si>
  <si>
    <t xml:space="preserve">bvlgari rose goldea blossom delight w set edp 75ml edp 15ml</t>
  </si>
  <si>
    <t xml:space="preserve">rose goldea blossom delight price</t>
  </si>
  <si>
    <t xml:space="preserve">bvlgari splendida tubereuse mystique fragrantica</t>
  </si>
  <si>
    <t xml:space="preserve">bvlgari splendida tubereuse mystique 50 ml</t>
  </si>
  <si>
    <t xml:space="preserve">calvin klein defy eau de toilette</t>
  </si>
  <si>
    <t xml:space="preserve">calvin klein defy cologne</t>
  </si>
  <si>
    <t xml:space="preserve">calvin klein defy edt</t>
  </si>
  <si>
    <t xml:space="preserve">calvin klein defy small</t>
  </si>
  <si>
    <t xml:space="preserve">calvin klein defy small bottle</t>
  </si>
  <si>
    <t xml:space="preserve">calvin klein eternity moment</t>
  </si>
  <si>
    <t xml:space="preserve">calvin klein eternity aqua</t>
  </si>
  <si>
    <t xml:space="preserve">calvin klein eternity aqua for men</t>
  </si>
  <si>
    <t xml:space="preserve">calvin klein eternity moment 100ml</t>
  </si>
  <si>
    <t xml:space="preserve">calvin klein eternity moment for women</t>
  </si>
  <si>
    <t xml:space="preserve">calvin klein eternity perfume small</t>
  </si>
  <si>
    <t xml:space="preserve">cheapest calvin klein eternity perfume</t>
  </si>
  <si>
    <t xml:space="preserve">calvin klein eternity women's perfume review</t>
  </si>
  <si>
    <t xml:space="preserve">calvin klein mini set for him</t>
  </si>
  <si>
    <t xml:space="preserve">calvin klein mini set for her</t>
  </si>
  <si>
    <t xml:space="preserve">calvin klein miniature aftershave set</t>
  </si>
  <si>
    <t xml:space="preserve">calvin klein miniature perfume set for her</t>
  </si>
  <si>
    <t xml:space="preserve">calvin klein perfume women</t>
  </si>
  <si>
    <t xml:space="preserve">calvin klein perfume euphoria</t>
  </si>
  <si>
    <t xml:space="preserve">calvin klein perfume eternity</t>
  </si>
  <si>
    <t xml:space="preserve">calvin klein perfume price</t>
  </si>
  <si>
    <t xml:space="preserve">calvin klein perfume price in pakistan</t>
  </si>
  <si>
    <t xml:space="preserve">calvin klein perfume obsession</t>
  </si>
  <si>
    <t xml:space="preserve">calvin klein perfume one</t>
  </si>
  <si>
    <t xml:space="preserve">calvin klein perfume price in bangladesh</t>
  </si>
  <si>
    <t xml:space="preserve">carolina herrera 212 vip men black eau de parfum 50ml</t>
  </si>
  <si>
    <t xml:space="preserve">carolina herrera 212 vip men black eau de parfum</t>
  </si>
  <si>
    <t xml:space="preserve">carolina herrera 212 vip men black</t>
  </si>
  <si>
    <t xml:space="preserve">carolina herrera 212 vip men club edition</t>
  </si>
  <si>
    <t xml:space="preserve">carolina herrera 212 vip men wild party</t>
  </si>
  <si>
    <t xml:space="preserve">carolina herrera 212 vip rose elixir</t>
  </si>
  <si>
    <t xml:space="preserve">carolina herrera 212 vip rose nyc</t>
  </si>
  <si>
    <t xml:space="preserve">carolina herrera bad boy extreme 1.7 oz</t>
  </si>
  <si>
    <t xml:space="preserve">carolina herrera bad boy extreme 5.1 oz</t>
  </si>
  <si>
    <t xml:space="preserve">carolina herrera bad boy extreme eau de parfum 100ml</t>
  </si>
  <si>
    <t xml:space="preserve">carolina herrera bad boy le parfum fragrantica</t>
  </si>
  <si>
    <t xml:space="preserve">carolina herrera bad boy le parfum 50ml</t>
  </si>
  <si>
    <t xml:space="preserve">carolina herrera bad boy le parfum edp</t>
  </si>
  <si>
    <t xml:space="preserve">carolina herrera bad boy le parfum dupe</t>
  </si>
  <si>
    <t xml:space="preserve">carolina herrera perfume good girl</t>
  </si>
  <si>
    <t xml:space="preserve">carolina herrera perfume women</t>
  </si>
  <si>
    <t xml:space="preserve">carolina herrera perfume men</t>
  </si>
  <si>
    <t xml:space="preserve">carolina herrera perfume la bomba</t>
  </si>
  <si>
    <t xml:space="preserve">carolina herrera perfume 212</t>
  </si>
  <si>
    <t xml:space="preserve">carolina herrera perfume price</t>
  </si>
  <si>
    <t xml:space="preserve">carolina herrera perfume hombre</t>
  </si>
  <si>
    <t xml:space="preserve">carolina herrera perfume set</t>
  </si>
  <si>
    <t xml:space="preserve">carolina herrera perfume butterfly</t>
  </si>
  <si>
    <t xml:space="preserve">carolina herrera very good girl glam discontinued</t>
  </si>
  <si>
    <t xml:space="preserve">carolina herrera very good girl glam perfume</t>
  </si>
  <si>
    <t xml:space="preserve">carolina herrera very good girl glam eau de parfum 80ml</t>
  </si>
  <si>
    <t xml:space="preserve">cast of the anniversary</t>
  </si>
  <si>
    <t xml:space="preserve">cast of wedding anniversary</t>
  </si>
  <si>
    <t xml:space="preserve">desserts for anniversary party</t>
  </si>
  <si>
    <t xml:space="preserve">chloe small gift set</t>
  </si>
  <si>
    <t xml:space="preserve">chloe miniature coffret gift set 4x5ml</t>
  </si>
  <si>
    <t xml:space="preserve">chloe duo mini gift set</t>
  </si>
  <si>
    <t xml:space="preserve">chloe variety mini gift set for women</t>
  </si>
  <si>
    <t xml:space="preserve">chloe mini fragrances gift set 4 pieces</t>
  </si>
  <si>
    <t xml:space="preserve">chloe mini spring gift set eau de parfum</t>
  </si>
  <si>
    <t xml:space="preserve">chloe miniature set 4 pack</t>
  </si>
  <si>
    <t xml:space="preserve">chloe mini set chemist warehouse</t>
  </si>
  <si>
    <t xml:space="preserve">chloe small set</t>
  </si>
  <si>
    <t xml:space="preserve">chloe nomade miniature set</t>
  </si>
  <si>
    <t xml:space="preserve">chloe nomade jardin d'egypte</t>
  </si>
  <si>
    <t xml:space="preserve">chloe nomade lumiere d'egypte</t>
  </si>
  <si>
    <t xml:space="preserve">chloe nomade jasmin naturel</t>
  </si>
  <si>
    <t xml:space="preserve">chloe nomade naturelle</t>
  </si>
  <si>
    <t xml:space="preserve">chloe nomade reviews</t>
  </si>
  <si>
    <t xml:space="preserve">chloe nomade jasmin naturel intense eau de parfum 75ml</t>
  </si>
  <si>
    <t xml:space="preserve">chloe nomade jasmin naturel intense 100ml</t>
  </si>
  <si>
    <t xml:space="preserve">chloe nomade jasmin naturel intense sephora</t>
  </si>
  <si>
    <t xml:space="preserve">chloe nomade nuit d'egypte fragrantica</t>
  </si>
  <si>
    <t xml:space="preserve">chloe nomade nuit d'egypte edp</t>
  </si>
  <si>
    <t xml:space="preserve">chloe perfume price</t>
  </si>
  <si>
    <t xml:space="preserve">chloe perfume women</t>
  </si>
  <si>
    <t xml:space="preserve">chloe perfume notes</t>
  </si>
  <si>
    <t xml:space="preserve">chloe perfume uk</t>
  </si>
  <si>
    <t xml:space="preserve">chloe perfume original</t>
  </si>
  <si>
    <t xml:space="preserve">chloe perfume set</t>
  </si>
  <si>
    <t xml:space="preserve">chloe perfume nomade</t>
  </si>
  <si>
    <t xml:space="preserve">chloe perfume love story</t>
  </si>
  <si>
    <t xml:space="preserve">chloe perfume atelier des fleurs</t>
  </si>
  <si>
    <t xml:space="preserve">chloe rose naturelle intense refill</t>
  </si>
  <si>
    <t xml:space="preserve">chloe rose naturelle intense reddit</t>
  </si>
  <si>
    <t xml:space="preserve">chloe rose naturelle intense review</t>
  </si>
  <si>
    <t xml:space="preserve">chopard amber malaki fragrantica</t>
  </si>
  <si>
    <t xml:space="preserve">chopard amber malaki 80ml</t>
  </si>
  <si>
    <t xml:space="preserve">chopard amber malaki edp 80ml</t>
  </si>
  <si>
    <t xml:space="preserve">chopard black incense malaki vs oud malaki</t>
  </si>
  <si>
    <t xml:space="preserve">chopard black incense malaki fragrantica</t>
  </si>
  <si>
    <t xml:space="preserve">chopard black incense malaki edp 80ml</t>
  </si>
  <si>
    <t xml:space="preserve">chopard imperiale iris malika fragrantica</t>
  </si>
  <si>
    <t xml:space="preserve">chopard imperiale iris malika w edp 100ml</t>
  </si>
  <si>
    <t xml:space="preserve">chopard imperiale iris malika notes</t>
  </si>
  <si>
    <t xml:space="preserve">chopard oud malaki price in pakistan</t>
  </si>
  <si>
    <t xml:space="preserve">chopard oud malaki decant</t>
  </si>
  <si>
    <t xml:space="preserve">chopard oud malaki edp</t>
  </si>
  <si>
    <t xml:space="preserve">chopard perfume women</t>
  </si>
  <si>
    <t xml:space="preserve">chopard perfume men</t>
  </si>
  <si>
    <t xml:space="preserve">chopard perfume price</t>
  </si>
  <si>
    <t xml:space="preserve">chopard perfume wish</t>
  </si>
  <si>
    <t xml:space="preserve">chopard perfume review</t>
  </si>
  <si>
    <t xml:space="preserve">chopard perfume happy spirit</t>
  </si>
  <si>
    <t xml:space="preserve">chopard perfume is from which country</t>
  </si>
  <si>
    <t xml:space="preserve">chopard perfume casmir</t>
  </si>
  <si>
    <t xml:space="preserve">chopard perfume price in pakistan</t>
  </si>
  <si>
    <t xml:space="preserve">chris adams perfume price</t>
  </si>
  <si>
    <t xml:space="preserve">chris adams perfume price in pakistan</t>
  </si>
  <si>
    <t xml:space="preserve">chris adams perfume active man</t>
  </si>
  <si>
    <t xml:space="preserve">chris adams perfumes for men</t>
  </si>
  <si>
    <t xml:space="preserve">chris adams perfume active woman price</t>
  </si>
  <si>
    <t xml:space="preserve">chris adams perfume price in bangladesh</t>
  </si>
  <si>
    <t xml:space="preserve">chris adams perfumes price in kenya</t>
  </si>
  <si>
    <t xml:space="preserve">chris adams perfume price in ghana</t>
  </si>
  <si>
    <t xml:space="preserve">chris adams perfumes prices in uganda</t>
  </si>
  <si>
    <t xml:space="preserve">davidoff champion energy</t>
  </si>
  <si>
    <t xml:space="preserve">davidoff champion perfume price in pakistan</t>
  </si>
  <si>
    <t xml:space="preserve">davidoff cool water reborn intense woman</t>
  </si>
  <si>
    <t xml:space="preserve">davidoff cool water reborn intense woman review</t>
  </si>
  <si>
    <t xml:space="preserve">davidoff cool water reborn intense fragrantica</t>
  </si>
  <si>
    <t xml:space="preserve">davidoff indigo price in india</t>
  </si>
  <si>
    <t xml:space="preserve">davidoff indigo perfume price in india</t>
  </si>
  <si>
    <t xml:space="preserve">davidoff perfume price</t>
  </si>
  <si>
    <t xml:space="preserve">davidoff perfume cool water</t>
  </si>
  <si>
    <t xml:space="preserve">davidoff perfume price in pakistan</t>
  </si>
  <si>
    <t xml:space="preserve">davidoff perfume which country brand</t>
  </si>
  <si>
    <t xml:space="preserve">davidoff perfume original</t>
  </si>
  <si>
    <t xml:space="preserve">davidoff perfume cool elixir</t>
  </si>
  <si>
    <t xml:space="preserve">davidoff perfume price in bangladesh</t>
  </si>
  <si>
    <t xml:space="preserve">davidoff the game intense</t>
  </si>
  <si>
    <t xml:space="preserve">davidoff the game perfume review</t>
  </si>
  <si>
    <t xml:space="preserve">davidoff the game notes</t>
  </si>
  <si>
    <t xml:space="preserve">brand &amp; product vitamin c strength deyga – 10 vitamin c face serum</t>
  </si>
  <si>
    <t xml:space="preserve">is 10 vitamin c serum effective</t>
  </si>
  <si>
    <t xml:space="preserve">is vitamin c face serum good for skin</t>
  </si>
  <si>
    <t xml:space="preserve">what are the best vitamin c serums for face</t>
  </si>
  <si>
    <t xml:space="preserve">10 vitamin c serum benefits</t>
  </si>
  <si>
    <t xml:space="preserve">almond milk lotion benefits</t>
  </si>
  <si>
    <t xml:space="preserve">is nivea body milk a lotion</t>
  </si>
  <si>
    <t xml:space="preserve">best body lotion for dry dehydrated skin</t>
  </si>
  <si>
    <t xml:space="preserve">deyga anti dandruff shampoo and conditioner</t>
  </si>
  <si>
    <t xml:space="preserve">deyga anti dandruff shampoo side effects</t>
  </si>
  <si>
    <t xml:space="preserve">deyga organics anti dandruff shampoo</t>
  </si>
  <si>
    <t xml:space="preserve">is deyga anti dandruff shampoo good</t>
  </si>
  <si>
    <t xml:space="preserve">product key ingredients deyga anti dandruff shampoo</t>
  </si>
  <si>
    <t xml:space="preserve">deyga intensive scalp repair anti dandruff shampoo</t>
  </si>
  <si>
    <t xml:space="preserve">is anti dandruff shampoo good for dry scalp</t>
  </si>
  <si>
    <t xml:space="preserve">deyga anti dandruff hair oil</t>
  </si>
  <si>
    <t xml:space="preserve">oil to remove dandruff</t>
  </si>
  <si>
    <t xml:space="preserve">oil causes dandruff</t>
  </si>
  <si>
    <t xml:space="preserve">what causes dandruff on oily scalp</t>
  </si>
  <si>
    <t xml:space="preserve">baby bath products to avoid</t>
  </si>
  <si>
    <t xml:space="preserve">deyga beauty serum review</t>
  </si>
  <si>
    <t xml:space="preserve">deyga beauty serum</t>
  </si>
  <si>
    <t xml:space="preserve">deyga organics beautifying serum</t>
  </si>
  <si>
    <t xml:space="preserve">do body scrubs exfoliate</t>
  </si>
  <si>
    <t xml:space="preserve">does body scrub exfoliate skin</t>
  </si>
  <si>
    <t xml:space="preserve">are body scrubs good for dry skin</t>
  </si>
  <si>
    <t xml:space="preserve">deyga charcoal face wash side effects</t>
  </si>
  <si>
    <t xml:space="preserve">deyga charcoal face wash best natural</t>
  </si>
  <si>
    <t xml:space="preserve">deyga charcoal face wash best</t>
  </si>
  <si>
    <t xml:space="preserve">oil to make eyebrows grow</t>
  </si>
  <si>
    <t xml:space="preserve">homemade eyebrow growth oil</t>
  </si>
  <si>
    <t xml:space="preserve">how to grow eyebrows oil</t>
  </si>
  <si>
    <t xml:space="preserve">deyga organics foot butter</t>
  </si>
  <si>
    <t xml:space="preserve">how to use deyga foot butter</t>
  </si>
  <si>
    <t xml:space="preserve">dead skin on feet after beach</t>
  </si>
  <si>
    <t xml:space="preserve">deyga foot soak</t>
  </si>
  <si>
    <t xml:space="preserve">foot scrub to remove dead skin</t>
  </si>
  <si>
    <t xml:space="preserve">scrub to remove dead skin</t>
  </si>
  <si>
    <t xml:space="preserve">what do salons use to remove dead skin from feet</t>
  </si>
  <si>
    <t xml:space="preserve">natural foot scrub to remove dead skin</t>
  </si>
  <si>
    <t xml:space="preserve">homemade foot scrub to remove dead skin</t>
  </si>
  <si>
    <t xml:space="preserve">deyga hair care products</t>
  </si>
  <si>
    <t xml:space="preserve">deyga hair growth oil reddit</t>
  </si>
  <si>
    <t xml:space="preserve">deyga hair growth oil side effects</t>
  </si>
  <si>
    <t xml:space="preserve">deyga organics hair growth oil review</t>
  </si>
  <si>
    <t xml:space="preserve">deyga organics hair growth oil</t>
  </si>
  <si>
    <t xml:space="preserve">deyga hair removal powder for face</t>
  </si>
  <si>
    <t xml:space="preserve">deyga hair removal powder can be used on face</t>
  </si>
  <si>
    <t xml:space="preserve">deyga hair removal powder usage</t>
  </si>
  <si>
    <t xml:space="preserve">deyga hair removal powder side effects reviews</t>
  </si>
  <si>
    <t xml:space="preserve">deyga light moisturizing face cream review</t>
  </si>
  <si>
    <t xml:space="preserve">deyga light moisturizing face cream oily &amp; acne</t>
  </si>
  <si>
    <t xml:space="preserve">deyga light moisturizing face cream oily &amp; acne prone skin</t>
  </si>
  <si>
    <t xml:space="preserve">deyga light moisturizing face cream for oily skin</t>
  </si>
  <si>
    <t xml:space="preserve">which face cream good for dry skin</t>
  </si>
  <si>
    <t xml:space="preserve">moisturizer for dry patches on face</t>
  </si>
  <si>
    <t xml:space="preserve">face care for dry skin</t>
  </si>
  <si>
    <t xml:space="preserve">deyga organic lip balm</t>
  </si>
  <si>
    <t xml:space="preserve">deyga natural beetroot lip balm</t>
  </si>
  <si>
    <t xml:space="preserve">deyga natural skincare beetroot lip balm</t>
  </si>
  <si>
    <t xml:space="preserve">deyga organic beetroot lip balm</t>
  </si>
  <si>
    <t xml:space="preserve">deyga natural skin care lip balm</t>
  </si>
  <si>
    <t xml:space="preserve">deyga natural skincare beetroot lip balm 10 g</t>
  </si>
  <si>
    <t xml:space="preserve">deyga natural skincare beetroot lip balm 5.5 g</t>
  </si>
  <si>
    <t xml:space="preserve">difference between neem oil and neem seed oil</t>
  </si>
  <si>
    <t xml:space="preserve">deyga organics premature greying hair oil</t>
  </si>
  <si>
    <t xml:space="preserve">oil to prevent premature greying of hair</t>
  </si>
  <si>
    <t xml:space="preserve">best hair oil for premature greying</t>
  </si>
  <si>
    <t xml:space="preserve">deyga organic aloe vera gel</t>
  </si>
  <si>
    <t xml:space="preserve">deyga organics pure aloe vera gel</t>
  </si>
  <si>
    <t xml:space="preserve">deyga 100 pure aloe vera gel for acne free skin</t>
  </si>
  <si>
    <t xml:space="preserve">deyga organics 100 pure aloe vera gel</t>
  </si>
  <si>
    <t xml:space="preserve">deyga rice water shampoo and conditioner</t>
  </si>
  <si>
    <t xml:space="preserve">deyga rice water shampoo and conditioner review</t>
  </si>
  <si>
    <t xml:space="preserve">deyga rice water shampoo and soy milk conditioner</t>
  </si>
  <si>
    <t xml:space="preserve">deyga rice water shampoo side effects</t>
  </si>
  <si>
    <t xml:space="preserve">is silk milk soy milk</t>
  </si>
  <si>
    <t xml:space="preserve">soy milk silk ingredients</t>
  </si>
  <si>
    <t xml:space="preserve">does silk soy milk have estrogen</t>
  </si>
  <si>
    <t xml:space="preserve">deyga sunscreen spf 50</t>
  </si>
  <si>
    <t xml:space="preserve">deyga sunscreen spf 30</t>
  </si>
  <si>
    <t xml:space="preserve">deyga sunscreen spf 50 review</t>
  </si>
  <si>
    <t xml:space="preserve">deyga sunscreen for dry skin</t>
  </si>
  <si>
    <t xml:space="preserve">deyga sunscreen for oily skin</t>
  </si>
  <si>
    <t xml:space="preserve">is deyga products good</t>
  </si>
  <si>
    <t xml:space="preserve">deyga under eye cream for dark circles</t>
  </si>
  <si>
    <t xml:space="preserve">deyga under eye cream side effects</t>
  </si>
  <si>
    <t xml:space="preserve">deyga under eye cream top pick</t>
  </si>
  <si>
    <t xml:space="preserve">deyga organics under eye cream</t>
  </si>
  <si>
    <t xml:space="preserve">which foaming face wash is best</t>
  </si>
  <si>
    <t xml:space="preserve">is foaming face wash good for dry skin</t>
  </si>
  <si>
    <t xml:space="preserve">do foaming cleansers dry out skin</t>
  </si>
  <si>
    <t xml:space="preserve">is vitamin c face wash good for dry skin</t>
  </si>
  <si>
    <t xml:space="preserve">dior le mini 30 montaigne the iconics discovery set</t>
  </si>
  <si>
    <t xml:space="preserve">dior mini bag price</t>
  </si>
  <si>
    <t xml:space="preserve">dior diorama price</t>
  </si>
  <si>
    <t xml:space="preserve">dior miss dior roller pearl eau de parfum woman 20ml</t>
  </si>
  <si>
    <t xml:space="preserve">dior miss dior roller pearl eau de toilette</t>
  </si>
  <si>
    <t xml:space="preserve">dior miss dior roller pearl blooming bouquet</t>
  </si>
  <si>
    <t xml:space="preserve">dior miss dior roller pearl rose n roses</t>
  </si>
  <si>
    <t xml:space="preserve">dior beauty miss dior roller pearl eau de toilette</t>
  </si>
  <si>
    <t xml:space="preserve">dior perfume women</t>
  </si>
  <si>
    <t xml:space="preserve">dior perfume men</t>
  </si>
  <si>
    <t xml:space="preserve">dior perfume price</t>
  </si>
  <si>
    <t xml:space="preserve">dior perfume price in pakistan</t>
  </si>
  <si>
    <t xml:space="preserve">dior perfume set</t>
  </si>
  <si>
    <t xml:space="preserve">dior perfume price in india</t>
  </si>
  <si>
    <t xml:space="preserve">dior perfume price in bangladesh</t>
  </si>
  <si>
    <t xml:space="preserve">dior perfume gift set</t>
  </si>
  <si>
    <t xml:space="preserve">dior perfume sauvage</t>
  </si>
  <si>
    <t xml:space="preserve">dior sauvage elixir</t>
  </si>
  <si>
    <t xml:space="preserve">dior sauvage price in bd</t>
  </si>
  <si>
    <t xml:space="preserve">dior sauvage notes</t>
  </si>
  <si>
    <t xml:space="preserve">what does dkny be delicious fresh blossom smell like</t>
  </si>
  <si>
    <t xml:space="preserve">what does dkny be delicious smell like</t>
  </si>
  <si>
    <t xml:space="preserve">which dkny be delicious perfume is the best</t>
  </si>
  <si>
    <t xml:space="preserve">dkny be delicious orchard street body mist 250ml</t>
  </si>
  <si>
    <t xml:space="preserve">dkny be delicious orchard street eau de parfum 30ml</t>
  </si>
  <si>
    <t xml:space="preserve">dkny be delicious orchard street review</t>
  </si>
  <si>
    <t xml:space="preserve">dkny be tempted eau so blush</t>
  </si>
  <si>
    <t xml:space="preserve">dkny be tempted blush</t>
  </si>
  <si>
    <t xml:space="preserve">dkny be tempted eau so blush 50ml</t>
  </si>
  <si>
    <t xml:space="preserve">dkny mini set 4 x 7ml</t>
  </si>
  <si>
    <t xml:space="preserve">dkny mini coffret set</t>
  </si>
  <si>
    <t xml:space="preserve">dkny delicious mini set</t>
  </si>
  <si>
    <t xml:space="preserve">dkny mini perfume set edgars</t>
  </si>
  <si>
    <t xml:space="preserve">dkny mini perfume set dischem</t>
  </si>
  <si>
    <t xml:space="preserve">dkny perfume women</t>
  </si>
  <si>
    <t xml:space="preserve">dkny perfume be delicious</t>
  </si>
  <si>
    <t xml:space="preserve">dkny perfume price</t>
  </si>
  <si>
    <t xml:space="preserve">dkny perfume men</t>
  </si>
  <si>
    <t xml:space="preserve">dkny perfume apple</t>
  </si>
  <si>
    <t xml:space="preserve">dkny perfume bea alonzo</t>
  </si>
  <si>
    <t xml:space="preserve">dkny perfume 100ml</t>
  </si>
  <si>
    <t xml:space="preserve">dkny perfume ice pop</t>
  </si>
  <si>
    <t xml:space="preserve">dkny perfume set</t>
  </si>
  <si>
    <t xml:space="preserve">dolce &amp; gabbana devotion man</t>
  </si>
  <si>
    <t xml:space="preserve">dolce &amp; gabbana devotion intense</t>
  </si>
  <si>
    <t xml:space="preserve">dolce &amp; gabbana devotion eau de parfum intense</t>
  </si>
  <si>
    <t xml:space="preserve">dolce &amp; gabbana devotion pour homme</t>
  </si>
  <si>
    <t xml:space="preserve">dolce gabbana my devotion gift set</t>
  </si>
  <si>
    <t xml:space="preserve">dolce gabbana devotion intense gift set</t>
  </si>
  <si>
    <t xml:space="preserve">dolce &amp; gabbana my devotion intense gift set</t>
  </si>
  <si>
    <t xml:space="preserve">dolce gabbana k cologne gift set</t>
  </si>
  <si>
    <t xml:space="preserve">dolce gabbana k intense gift set</t>
  </si>
  <si>
    <t xml:space="preserve">dolce gabbana k pour homme gift set</t>
  </si>
  <si>
    <t xml:space="preserve">dolce &amp; gabbana k eau de toilette gift set 100ml</t>
  </si>
  <si>
    <t xml:space="preserve">dolce &amp; gabbana l'imperatrice eau de toilette 100ml</t>
  </si>
  <si>
    <t xml:space="preserve">dolce &amp; gabbana l'imperatrice royale</t>
  </si>
  <si>
    <t xml:space="preserve">dolce &amp; gabbana l'imperatrice limited edition</t>
  </si>
  <si>
    <t xml:space="preserve">dolce &amp; gabbana mini set female</t>
  </si>
  <si>
    <t xml:space="preserve">dolce gabbana mini set ulta</t>
  </si>
  <si>
    <t xml:space="preserve">dolce gabbana small set</t>
  </si>
  <si>
    <t xml:space="preserve">dolce &amp; gabbana 5pc miniature set for women</t>
  </si>
  <si>
    <t xml:space="preserve">dolce &amp; gabbana perfume light blue</t>
  </si>
  <si>
    <t xml:space="preserve">dolce &amp; gabbana perfume man</t>
  </si>
  <si>
    <t xml:space="preserve">dolce &amp; gabbana perfume the one</t>
  </si>
  <si>
    <t xml:space="preserve">dolce &amp; gabbana perfume men</t>
  </si>
  <si>
    <t xml:space="preserve">dolce &amp; gabbana perfume price</t>
  </si>
  <si>
    <t xml:space="preserve">dolce &amp; gabbana perfume devotion</t>
  </si>
  <si>
    <t xml:space="preserve">dolce &amp; gabbana perfume price in pakistan</t>
  </si>
  <si>
    <t xml:space="preserve">dolce &amp; gabbana perfume for her</t>
  </si>
  <si>
    <t xml:space="preserve">dolce &amp; gabbana queen</t>
  </si>
  <si>
    <t xml:space="preserve">dolce &amp; gabbana queen perfume</t>
  </si>
  <si>
    <t xml:space="preserve">dolce &amp; gabbana queen perfume price</t>
  </si>
  <si>
    <t xml:space="preserve">dolce &amp; gabbana q eau de parfum intense</t>
  </si>
  <si>
    <t xml:space="preserve">dolce &amp; gabbana q intense</t>
  </si>
  <si>
    <t xml:space="preserve">dolce &amp; gabbana queen intense</t>
  </si>
  <si>
    <t xml:space="preserve">dolce &amp; gabbana the one woman</t>
  </si>
  <si>
    <t xml:space="preserve">dolce &amp; gabbana the one homme</t>
  </si>
  <si>
    <t xml:space="preserve">dolce &amp; gabbana the one pour homme parfum</t>
  </si>
  <si>
    <t xml:space="preserve">dolce gabbana the one gift set for him</t>
  </si>
  <si>
    <t xml:space="preserve">dolce gabbana the one gift set for her</t>
  </si>
  <si>
    <t xml:space="preserve">dolce &amp; gabbana the only one gift set</t>
  </si>
  <si>
    <t xml:space="preserve">dolce gabbana the one woman gift set</t>
  </si>
  <si>
    <t xml:space="preserve">dolce gabbana the one gold intense fragrantica</t>
  </si>
  <si>
    <t xml:space="preserve">dolce &amp; gabbana the one gold intense edp spray 1.6 oz</t>
  </si>
  <si>
    <t xml:space="preserve">dolce &amp; gabbana the one gold intense eau de parfum 100ml</t>
  </si>
  <si>
    <t xml:space="preserve">dolce &amp; gabbana the one intense woman</t>
  </si>
  <si>
    <t xml:space="preserve">dolce &amp; gabbana the one intense eau de parfum spray fragrance for men</t>
  </si>
  <si>
    <t xml:space="preserve">dolce &amp; gabbana the one intense woman review</t>
  </si>
  <si>
    <t xml:space="preserve">dunhill desire black perfume price in pakistan</t>
  </si>
  <si>
    <t xml:space="preserve">dunhill desire black price in pakistan</t>
  </si>
  <si>
    <t xml:space="preserve">dunhill desire black body spray</t>
  </si>
  <si>
    <t xml:space="preserve">dunhill desire blue price in bangladesh</t>
  </si>
  <si>
    <t xml:space="preserve">dunhill desire blue perfume price in pakistan</t>
  </si>
  <si>
    <t xml:space="preserve">dunhill desire blue ocean</t>
  </si>
  <si>
    <t xml:space="preserve">dunhill desire blue price in pakistan</t>
  </si>
  <si>
    <t xml:space="preserve">dunhill desire gold perfume price in pakistan</t>
  </si>
  <si>
    <t xml:space="preserve">dunhill desire gold fragrantica</t>
  </si>
  <si>
    <t xml:space="preserve">dunhill desire gold m edt 100ml</t>
  </si>
  <si>
    <t xml:space="preserve">dunhill desire gold notes</t>
  </si>
  <si>
    <t xml:space="preserve">dunhill desire silver perfume price in pakistan</t>
  </si>
  <si>
    <t xml:space="preserve">dunhill desire silver body spray</t>
  </si>
  <si>
    <t xml:space="preserve">dunhill perfume price in pakistan</t>
  </si>
  <si>
    <t xml:space="preserve">dunhill perfume price</t>
  </si>
  <si>
    <t xml:space="preserve">dunhill perfume men</t>
  </si>
  <si>
    <t xml:space="preserve">dunhill perfume srk</t>
  </si>
  <si>
    <t xml:space="preserve">dunhill perfume price in bangladesh</t>
  </si>
  <si>
    <t xml:space="preserve">dunhill perfume original</t>
  </si>
  <si>
    <t xml:space="preserve">dunhill perfume red</t>
  </si>
  <si>
    <t xml:space="preserve">dunhill perfume blue</t>
  </si>
  <si>
    <t xml:space="preserve">dunhill perfume notes</t>
  </si>
  <si>
    <t xml:space="preserve">dunhill signature collection agar wood m edp 100ml</t>
  </si>
  <si>
    <t xml:space="preserve">dunhill signature agar wood</t>
  </si>
  <si>
    <t xml:space="preserve">alfred dunhill men's signature collection agar wood</t>
  </si>
  <si>
    <t xml:space="preserve">dunhill signature collection amalfi citrus m edp 100ml</t>
  </si>
  <si>
    <t xml:space="preserve">dunhill signature collection amalfi citrus cologne</t>
  </si>
  <si>
    <t xml:space="preserve">dunhill london signature collection amalfi citrus</t>
  </si>
  <si>
    <t xml:space="preserve">alfred dunhill men's signature collection amalfi citrus</t>
  </si>
  <si>
    <t xml:space="preserve">dunhill signature collection arabian desert m edp 100ml</t>
  </si>
  <si>
    <t xml:space="preserve">dunhill signature collection arabian desert fragrantica</t>
  </si>
  <si>
    <t xml:space="preserve">dunhill london signature collection arabian desert</t>
  </si>
  <si>
    <t xml:space="preserve">alfred dunhill signature collection arabian desert</t>
  </si>
  <si>
    <t xml:space="preserve">dunhill signature collection british leather m edp 100ml</t>
  </si>
  <si>
    <t xml:space="preserve">dunhill london signature collection british leather</t>
  </si>
  <si>
    <t xml:space="preserve">alfred dunhill signature collection british leather</t>
  </si>
  <si>
    <t xml:space="preserve">dunhill signature collection egyptian smoke cologne</t>
  </si>
  <si>
    <t xml:space="preserve">dunhill signature collection egyptian smoke m edp 100ml</t>
  </si>
  <si>
    <t xml:space="preserve">dunhill london signature collection egyptian smoke</t>
  </si>
  <si>
    <t xml:space="preserve">dunhill cigarettes color code</t>
  </si>
  <si>
    <t xml:space="preserve">dunhill signature collection indian sandalwood m edp 100ml</t>
  </si>
  <si>
    <t xml:space="preserve">dunhill london signature collection indian sandalwood</t>
  </si>
  <si>
    <t xml:space="preserve">dunhill signature indian sandalwood</t>
  </si>
  <si>
    <t xml:space="preserve">dunhill signature collection mongolian cashmere m edp 100ml</t>
  </si>
  <si>
    <t xml:space="preserve">alfred dunhill men's signature collection mongolian cashmere</t>
  </si>
  <si>
    <t xml:space="preserve">is mongolian cashmere good quality</t>
  </si>
  <si>
    <t xml:space="preserve">is mongolian cashmere the best</t>
  </si>
  <si>
    <t xml:space="preserve">mongolian cashmere brands</t>
  </si>
  <si>
    <t xml:space="preserve">dunhill signature collection moroccan amber m edp 100ml</t>
  </si>
  <si>
    <t xml:space="preserve">dunhill london signature collection moroccan amber</t>
  </si>
  <si>
    <t xml:space="preserve">alfred dunhill men's signature collection moroccan amber</t>
  </si>
  <si>
    <t xml:space="preserve">alfred dunhill men's signature collection moroccan amber edp</t>
  </si>
  <si>
    <t xml:space="preserve">dunhill signature collection nordic fougere m edp 100ml</t>
  </si>
  <si>
    <t xml:space="preserve">dunhill london signature collection nordic fougere</t>
  </si>
  <si>
    <t xml:space="preserve">alfred dunhill men's signature collection nordic fougere</t>
  </si>
  <si>
    <t xml:space="preserve">what is fougere scent</t>
  </si>
  <si>
    <t xml:space="preserve">dunhill signature collection valensole lavender m edp 100ml</t>
  </si>
  <si>
    <t xml:space="preserve">dunhill london signature collection valensole lavender</t>
  </si>
  <si>
    <t xml:space="preserve">dunhill signature valensole lavender for man</t>
  </si>
  <si>
    <t xml:space="preserve">alfred dunhill men's signature collection valensole lavender</t>
  </si>
  <si>
    <t xml:space="preserve">which lavender has the best fragrance</t>
  </si>
  <si>
    <t xml:space="preserve">elie saab elixir love</t>
  </si>
  <si>
    <t xml:space="preserve">elie saab elixir love review</t>
  </si>
  <si>
    <t xml:space="preserve">elie saab elixir fragrantica</t>
  </si>
  <si>
    <t xml:space="preserve">elie saab la collection des essences essence no 1 rose</t>
  </si>
  <si>
    <t xml:space="preserve">elie saab essence no 1 rose review</t>
  </si>
  <si>
    <t xml:space="preserve">elie saab le parfum essentiel price</t>
  </si>
  <si>
    <t xml:space="preserve">elie saab le parfum absolu</t>
  </si>
  <si>
    <t xml:space="preserve">elie saab le parfum royal</t>
  </si>
  <si>
    <t xml:space="preserve">elie saab le parfum lumiere</t>
  </si>
  <si>
    <t xml:space="preserve">elie saab le parfum in white</t>
  </si>
  <si>
    <t xml:space="preserve">elie saab le parfum essentiel</t>
  </si>
  <si>
    <t xml:space="preserve">elie saab le parfum bridal fragrantica</t>
  </si>
  <si>
    <t xml:space="preserve">elie saab le parfum bridal 50ml</t>
  </si>
  <si>
    <t xml:space="preserve">elie saab le parfum bridal edp 90ml</t>
  </si>
  <si>
    <t xml:space="preserve">elie saab le parfum essentiel gift set</t>
  </si>
  <si>
    <t xml:space="preserve">elie saab elixir eau de parfum gift set 100ml</t>
  </si>
  <si>
    <t xml:space="preserve">elie saab elixir eau de parfum gift set 50ml</t>
  </si>
  <si>
    <t xml:space="preserve">elie saab le parfum intense discontinued</t>
  </si>
  <si>
    <t xml:space="preserve">elie saab le parfum intense fragrantica</t>
  </si>
  <si>
    <t xml:space="preserve">elie saab le parfum intense 30 ml</t>
  </si>
  <si>
    <t xml:space="preserve">is elie saab le parfum discontinued</t>
  </si>
  <si>
    <t xml:space="preserve">elie saab nuit noor for woman</t>
  </si>
  <si>
    <t xml:space="preserve">elie saab nuit noor discontinued</t>
  </si>
  <si>
    <t xml:space="preserve">elie saab perfume girl of now</t>
  </si>
  <si>
    <t xml:space="preserve">elie saab perfume price</t>
  </si>
  <si>
    <t xml:space="preserve">elie saab perfume in white</t>
  </si>
  <si>
    <t xml:space="preserve">elie saab perfume men</t>
  </si>
  <si>
    <t xml:space="preserve">elie saab perfume royal</t>
  </si>
  <si>
    <t xml:space="preserve">elie saab perfume original</t>
  </si>
  <si>
    <t xml:space="preserve">elie saab perfume elixir</t>
  </si>
  <si>
    <t xml:space="preserve">elie saab perfume notes</t>
  </si>
  <si>
    <t xml:space="preserve">elie saab perfume price in pakistan</t>
  </si>
  <si>
    <t xml:space="preserve">elizabeth arden beauty perfume price</t>
  </si>
  <si>
    <t xml:space="preserve">elizabeth arden beauty box</t>
  </si>
  <si>
    <t xml:space="preserve">elizabeth arden beauty products</t>
  </si>
  <si>
    <t xml:space="preserve">elizabeth arden perfume green tea</t>
  </si>
  <si>
    <t xml:space="preserve">elizabeth arden perfume 5th avenue</t>
  </si>
  <si>
    <t xml:space="preserve">elizabeth arden perfume red door</t>
  </si>
  <si>
    <t xml:space="preserve">elizabeth arden perfume white tea</t>
  </si>
  <si>
    <t xml:space="preserve">elizabeth arden perfume price</t>
  </si>
  <si>
    <t xml:space="preserve">elizabeth arden perfume sunflower</t>
  </si>
  <si>
    <t xml:space="preserve">elizabeth arden perfumes list</t>
  </si>
  <si>
    <t xml:space="preserve">elizabeth arden perfume pretty</t>
  </si>
  <si>
    <t xml:space="preserve">elizabeth arden perfume set</t>
  </si>
  <si>
    <t xml:space="preserve">escada magnetic dream fragrantica</t>
  </si>
  <si>
    <t xml:space="preserve">escada magnetic dream w edp 75ml</t>
  </si>
  <si>
    <t xml:space="preserve">escada magnetic dream opinie</t>
  </si>
  <si>
    <t xml:space="preserve">escada magnetism dream woman</t>
  </si>
  <si>
    <t xml:space="preserve">escada magnetic dream parfumo</t>
  </si>
  <si>
    <t xml:space="preserve">escada magnetism 75 ml</t>
  </si>
  <si>
    <t xml:space="preserve">escada magnetism fragrantica</t>
  </si>
  <si>
    <t xml:space="preserve">escada magnetism perfume price</t>
  </si>
  <si>
    <t xml:space="preserve">escada party love limited edition</t>
  </si>
  <si>
    <t xml:space="preserve">escada party love perfume review</t>
  </si>
  <si>
    <t xml:space="preserve">escada perfume price</t>
  </si>
  <si>
    <t xml:space="preserve">escada perfume for men</t>
  </si>
  <si>
    <t xml:space="preserve">escada perfume original</t>
  </si>
  <si>
    <t xml:space="preserve">escada perfume uk</t>
  </si>
  <si>
    <t xml:space="preserve">escada perfume 2000s</t>
  </si>
  <si>
    <t xml:space="preserve">escada perfume magnetism</t>
  </si>
  <si>
    <t xml:space="preserve">escada perfume 2026</t>
  </si>
  <si>
    <t xml:space="preserve">escada perfume discontinued</t>
  </si>
  <si>
    <t xml:space="preserve">estee lauder perfume pleasure</t>
  </si>
  <si>
    <t xml:space="preserve">estee lauder perfume list</t>
  </si>
  <si>
    <t xml:space="preserve">estee lauder perfume beautiful</t>
  </si>
  <si>
    <t xml:space="preserve">estee lauder perfume glimmer</t>
  </si>
  <si>
    <t xml:space="preserve">estee lauder perfume bronze goddess</t>
  </si>
  <si>
    <t xml:space="preserve">estee lauder perfume price</t>
  </si>
  <si>
    <t xml:space="preserve">estee lauder perfume modern muse</t>
  </si>
  <si>
    <t xml:space="preserve">estee lauder perfume chemist warehouse</t>
  </si>
  <si>
    <t xml:space="preserve">estee lauder spellbound perfume notes</t>
  </si>
  <si>
    <t xml:space="preserve">estee lauder spellbound perfume reviews</t>
  </si>
  <si>
    <t xml:space="preserve">estee lauder spellbound discontinued</t>
  </si>
  <si>
    <t xml:space="preserve">etienne aigner first class explorer m edt 100ml</t>
  </si>
  <si>
    <t xml:space="preserve">does honda pilot have cabin watch</t>
  </si>
  <si>
    <t xml:space="preserve">etienne aigner no 1 intense m edt 100ml</t>
  </si>
  <si>
    <t xml:space="preserve">etienne aigner jeans price</t>
  </si>
  <si>
    <t xml:space="preserve">aigner perfume review</t>
  </si>
  <si>
    <t xml:space="preserve">etienne aigner perfume private number</t>
  </si>
  <si>
    <t xml:space="preserve">etienne aigner perfume pour femme</t>
  </si>
  <si>
    <t xml:space="preserve">etienne aigner perfume price</t>
  </si>
  <si>
    <t xml:space="preserve">etienne aigner perfume woman</t>
  </si>
  <si>
    <t xml:space="preserve">etienne aigner perfume review</t>
  </si>
  <si>
    <t xml:space="preserve">etienne aigner fragrance</t>
  </si>
  <si>
    <t xml:space="preserve">etienne aigner cologne</t>
  </si>
  <si>
    <t xml:space="preserve">etienne aigner explosive perfume</t>
  </si>
  <si>
    <t xml:space="preserve">fumari 540</t>
  </si>
  <si>
    <t xml:space="preserve">fumari adore perfume price</t>
  </si>
  <si>
    <t xml:space="preserve">fumeri adore w edp 100ml</t>
  </si>
  <si>
    <t xml:space="preserve">what is the best color night light for sleep</t>
  </si>
  <si>
    <t xml:space="preserve">what color night light helps you sleep</t>
  </si>
  <si>
    <t xml:space="preserve">what color night light helps you sleep better</t>
  </si>
  <si>
    <t xml:space="preserve">fumeri blue m edp 100ml</t>
  </si>
  <si>
    <t xml:space="preserve">fumeri elixir m edp 100ml</t>
  </si>
  <si>
    <t xml:space="preserve">fumeri gabrielle perfume</t>
  </si>
  <si>
    <t xml:space="preserve">fumero gris</t>
  </si>
  <si>
    <t xml:space="preserve">orchid bark vs orchid mix</t>
  </si>
  <si>
    <t xml:space="preserve">orchard vs orchid pronunciation</t>
  </si>
  <si>
    <t xml:space="preserve">difference between orchid and orchard</t>
  </si>
  <si>
    <t xml:space="preserve">oud malaki review</t>
  </si>
  <si>
    <t xml:space="preserve">fumari peach tree rascals</t>
  </si>
  <si>
    <t xml:space="preserve">fumari peach</t>
  </si>
  <si>
    <t xml:space="preserve">fumeri perfume price</t>
  </si>
  <si>
    <t xml:space="preserve">fumeri perfume review</t>
  </si>
  <si>
    <t xml:space="preserve">fumeri perfume amber night</t>
  </si>
  <si>
    <t xml:space="preserve">fumeri perfume 540</t>
  </si>
  <si>
    <t xml:space="preserve">fumeri perfume fragrantica</t>
  </si>
  <si>
    <t xml:space="preserve">fumeri perfume blue</t>
  </si>
  <si>
    <t xml:space="preserve">fumeri perfume elixir</t>
  </si>
  <si>
    <t xml:space="preserve">fumeri wild parfum</t>
  </si>
  <si>
    <t xml:space="preserve">fumeri smoky leather</t>
  </si>
  <si>
    <t xml:space="preserve">fumeri smoky leather (u) edp 100ml</t>
  </si>
  <si>
    <t xml:space="preserve">fumeri smoky leather perfume</t>
  </si>
  <si>
    <t xml:space="preserve">33 vs 35</t>
  </si>
  <si>
    <t xml:space="preserve">33 of 34567</t>
  </si>
  <si>
    <t xml:space="preserve">fumari wild</t>
  </si>
  <si>
    <t xml:space="preserve">game of spades bid clone of</t>
  </si>
  <si>
    <t xml:space="preserve">game of spades bid reddit</t>
  </si>
  <si>
    <t xml:space="preserve">game of spades bid jo milano</t>
  </si>
  <si>
    <t xml:space="preserve">game of spades bid fragrantica</t>
  </si>
  <si>
    <t xml:space="preserve">game of spades blind bid inspiration</t>
  </si>
  <si>
    <t xml:space="preserve">game of spades blind bid jo milano</t>
  </si>
  <si>
    <t xml:space="preserve">game of spades blind bid reddit</t>
  </si>
  <si>
    <t xml:space="preserve">game of spades blind bid men or women</t>
  </si>
  <si>
    <t xml:space="preserve">game of spades boston cologne</t>
  </si>
  <si>
    <t xml:space="preserve">game of spades boston clone of</t>
  </si>
  <si>
    <t xml:space="preserve">game of spades boston inspired by</t>
  </si>
  <si>
    <t xml:space="preserve">game of spades boston reddit</t>
  </si>
  <si>
    <t xml:space="preserve">game of spades boston longevity</t>
  </si>
  <si>
    <t xml:space="preserve">game of spades diamond cologne</t>
  </si>
  <si>
    <t xml:space="preserve">game of spades diamond clone of</t>
  </si>
  <si>
    <t xml:space="preserve">game of spades diamond jo milano paris</t>
  </si>
  <si>
    <t xml:space="preserve">game of spades diamond collection</t>
  </si>
  <si>
    <t xml:space="preserve">game of spades full house refresh</t>
  </si>
  <si>
    <t xml:space="preserve">game of spades full house refresh dupe of</t>
  </si>
  <si>
    <t xml:space="preserve">game of spades full house cologne</t>
  </si>
  <si>
    <t xml:space="preserve">game of spades full house longevity</t>
  </si>
  <si>
    <t xml:space="preserve">game of spades high roller longevity</t>
  </si>
  <si>
    <t xml:space="preserve">game of spades high roller reddit</t>
  </si>
  <si>
    <t xml:space="preserve">game of spades high roller vs afnan supremacy</t>
  </si>
  <si>
    <t xml:space="preserve">game of spades high roller fragrantica</t>
  </si>
  <si>
    <t xml:space="preserve">game of spades high roller cologne</t>
  </si>
  <si>
    <t xml:space="preserve">game of spades high roller inspired by</t>
  </si>
  <si>
    <t xml:space="preserve">game of spades jackpot cologne</t>
  </si>
  <si>
    <t xml:space="preserve">game of spades jackpot clone of</t>
  </si>
  <si>
    <t xml:space="preserve">game of spades jackpot inspired by</t>
  </si>
  <si>
    <t xml:space="preserve">game of spades jackpot vs king</t>
  </si>
  <si>
    <t xml:space="preserve">game of spades jackpot reddit</t>
  </si>
  <si>
    <t xml:space="preserve">game of spades jackpot prize</t>
  </si>
  <si>
    <t xml:space="preserve">game of spades king cologne</t>
  </si>
  <si>
    <t xml:space="preserve">game of spades king clone of</t>
  </si>
  <si>
    <t xml:space="preserve">game of spades king inspired by</t>
  </si>
  <si>
    <t xml:space="preserve">game of spades moon clone of</t>
  </si>
  <si>
    <t xml:space="preserve">game of spades moon cologne</t>
  </si>
  <si>
    <t xml:space="preserve">game of spades moon fragrantica</t>
  </si>
  <si>
    <t xml:space="preserve">game of spades moon reddit</t>
  </si>
  <si>
    <t xml:space="preserve">game of spades opal cologne</t>
  </si>
  <si>
    <t xml:space="preserve">game of spades opal inspired by</t>
  </si>
  <si>
    <t xml:space="preserve">game of spades opal clone of</t>
  </si>
  <si>
    <t xml:space="preserve">game of spades opal jo milano paris</t>
  </si>
  <si>
    <t xml:space="preserve">game of spades opal by jo milano</t>
  </si>
  <si>
    <t xml:space="preserve">game of spades rouge vs rouge extrait</t>
  </si>
  <si>
    <t xml:space="preserve">game of spades rouge extrait reddit</t>
  </si>
  <si>
    <t xml:space="preserve">game of spades rouge extrait fragrantica</t>
  </si>
  <si>
    <t xml:space="preserve">game of spades rouge extrait longevity</t>
  </si>
  <si>
    <t xml:space="preserve">game of spades rouge extrait vs parfum</t>
  </si>
  <si>
    <t xml:space="preserve">game of spades royale cologne</t>
  </si>
  <si>
    <t xml:space="preserve">game of spades royale inspired by</t>
  </si>
  <si>
    <t xml:space="preserve">game of spades royale clone of</t>
  </si>
  <si>
    <t xml:space="preserve">game of spades ruby clone of</t>
  </si>
  <si>
    <t xml:space="preserve">game of spades ruby inspired by</t>
  </si>
  <si>
    <t xml:space="preserve">game of spades ruby jo milano</t>
  </si>
  <si>
    <t xml:space="preserve">game of spades ruby cologne</t>
  </si>
  <si>
    <t xml:space="preserve">game of spades ruby vs rouge</t>
  </si>
  <si>
    <t xml:space="preserve">game of spades wildcard cologne</t>
  </si>
  <si>
    <t xml:space="preserve">game of spades wildcard jo milano paris</t>
  </si>
  <si>
    <t xml:space="preserve">game of spades wildcard inspired by</t>
  </si>
  <si>
    <t xml:space="preserve">game of spades win cologne</t>
  </si>
  <si>
    <t xml:space="preserve">game of spades win by jo milano</t>
  </si>
  <si>
    <t xml:space="preserve">game of spades win jo milano paris</t>
  </si>
  <si>
    <t xml:space="preserve">game of spades win inspired by</t>
  </si>
  <si>
    <t xml:space="preserve">game of spades win fragrantica</t>
  </si>
  <si>
    <t xml:space="preserve">game of spades yellow sapphire clone of</t>
  </si>
  <si>
    <t xml:space="preserve">game of spades yellow sapphire jo milano</t>
  </si>
  <si>
    <t xml:space="preserve">game of spades yellow sapphire inspiration</t>
  </si>
  <si>
    <t xml:space="preserve">game of spades yellow sapphire reddit</t>
  </si>
  <si>
    <t xml:space="preserve">game of spades yellow sapphire fragrantica</t>
  </si>
  <si>
    <t xml:space="preserve">game of spades yellow sapphire notas</t>
  </si>
  <si>
    <t xml:space="preserve">giorgio armani perfume women</t>
  </si>
  <si>
    <t xml:space="preserve">giorgio armani perfume men</t>
  </si>
  <si>
    <t xml:space="preserve">giorgio armani perfume si</t>
  </si>
  <si>
    <t xml:space="preserve">giorgio armani perfume my way</t>
  </si>
  <si>
    <t xml:space="preserve">giorgio armani perfume price</t>
  </si>
  <si>
    <t xml:space="preserve">giorgio armani perfume price in pakistan</t>
  </si>
  <si>
    <t xml:space="preserve">giorgio armani perfume acqua di gio</t>
  </si>
  <si>
    <t xml:space="preserve">giorgio armani perfume i will</t>
  </si>
  <si>
    <t xml:space="preserve">giorgio armani perfume stronger with you</t>
  </si>
  <si>
    <t xml:space="preserve">giorgio armani code refill</t>
  </si>
  <si>
    <t xml:space="preserve">giorgio armani code refill 150ml</t>
  </si>
  <si>
    <t xml:space="preserve">giorgio armani code refill bottle</t>
  </si>
  <si>
    <t xml:space="preserve">giorgio armani code edt refillable spray 4.2 oz</t>
  </si>
  <si>
    <t xml:space="preserve">giorgio armani code edt refillable spray</t>
  </si>
  <si>
    <t xml:space="preserve">giorgio armani perfume refill price</t>
  </si>
  <si>
    <t xml:space="preserve">giorgio armani perfume refill bottle</t>
  </si>
  <si>
    <t xml:space="preserve">givenchy amarige eau de toilette 100ml</t>
  </si>
  <si>
    <t xml:space="preserve">givenchy amarige mariage</t>
  </si>
  <si>
    <t xml:space="preserve">givenchy gentleman original eau de toilette 100ml</t>
  </si>
  <si>
    <t xml:space="preserve">givenchy gentleman original</t>
  </si>
  <si>
    <t xml:space="preserve">givenchy perfume women</t>
  </si>
  <si>
    <t xml:space="preserve">givenchy perfume men</t>
  </si>
  <si>
    <t xml:space="preserve">givenchy perfume irresistible</t>
  </si>
  <si>
    <t xml:space="preserve">givenchy perfume l interdit</t>
  </si>
  <si>
    <t xml:space="preserve">givenchy perfume price</t>
  </si>
  <si>
    <t xml:space="preserve">givenchy perfume price in pakistan</t>
  </si>
  <si>
    <t xml:space="preserve">givenchy perfume gentlemen</t>
  </si>
  <si>
    <t xml:space="preserve">givenchy perfume set</t>
  </si>
  <si>
    <t xml:space="preserve">givenchy perfumes for her</t>
  </si>
  <si>
    <t xml:space="preserve">gucci bloom gift set chemist warehouse</t>
  </si>
  <si>
    <t xml:space="preserve">gucci bloom gift set with lotion</t>
  </si>
  <si>
    <t xml:space="preserve">gucci bloom gift set myer</t>
  </si>
  <si>
    <t xml:space="preserve">gucci bloom gift set macy's</t>
  </si>
  <si>
    <t xml:space="preserve">gucci bloom small</t>
  </si>
  <si>
    <t xml:space="preserve">gucci bloom small bottle</t>
  </si>
  <si>
    <t xml:space="preserve">gucci bloom small size</t>
  </si>
  <si>
    <t xml:space="preserve">gucci bloom small perfume</t>
  </si>
  <si>
    <t xml:space="preserve">gucci bloom small bag</t>
  </si>
  <si>
    <t xml:space="preserve">gucci bloom small spray</t>
  </si>
  <si>
    <t xml:space="preserve">gucci bloom parfum small</t>
  </si>
  <si>
    <t xml:space="preserve">gucci flower parfum mini</t>
  </si>
  <si>
    <t xml:space="preserve">how long does gucci bloom perfume last</t>
  </si>
  <si>
    <t xml:space="preserve">what is the price of gucci bloom perfume</t>
  </si>
  <si>
    <t xml:space="preserve">gucci flora gorgeous gardenia intense</t>
  </si>
  <si>
    <t xml:space="preserve">gucci flora gorgeous gardenia eau de parfum intense</t>
  </si>
  <si>
    <t xml:space="preserve">gucci flora gorgeous gardenia mini set</t>
  </si>
  <si>
    <t xml:space="preserve">gucci flora gorgeous mini fragrance set 5ml</t>
  </si>
  <si>
    <t xml:space="preserve">gucci flora gorgeous 4 piece mini set</t>
  </si>
  <si>
    <t xml:space="preserve">gucci flora gorgeous gardenia mini gift set</t>
  </si>
  <si>
    <t xml:space="preserve">gucci flora gorgeous 4pc miniature collection edp set</t>
  </si>
  <si>
    <t xml:space="preserve">gucci flora gorgeous gardenia miniature set 20ml</t>
  </si>
  <si>
    <t xml:space="preserve">which gucci flora is the best</t>
  </si>
  <si>
    <t xml:space="preserve">gucci flora rating</t>
  </si>
  <si>
    <t xml:space="preserve">gucci flora gorgeous orchid small</t>
  </si>
  <si>
    <t xml:space="preserve">gucci flora gorgeous orchid w edp 5ml miniature</t>
  </si>
  <si>
    <t xml:space="preserve">what is the best gucci flora perfume</t>
  </si>
  <si>
    <t xml:space="preserve">gucci flora gorgeous gardenia 100ml price</t>
  </si>
  <si>
    <t xml:space="preserve">gucci flora gorgeous gardenia 50ml price</t>
  </si>
  <si>
    <t xml:space="preserve">gucci flora perfume gorgeous gardenia review</t>
  </si>
  <si>
    <t xml:space="preserve">gucci flora gorgeous gardenia perfume price</t>
  </si>
  <si>
    <t xml:space="preserve">gucci guilty pour homme gift set</t>
  </si>
  <si>
    <t xml:space="preserve">gucci guilty pour homme gift set for men</t>
  </si>
  <si>
    <t xml:space="preserve">gucci guilty absolute pour femme gift set</t>
  </si>
  <si>
    <t xml:space="preserve">gucci guilty pour homme trio gift set</t>
  </si>
  <si>
    <t xml:space="preserve">gucci guilty edp pour homme gift set</t>
  </si>
  <si>
    <t xml:space="preserve">gucci guilty pour homme 2 piece gift set</t>
  </si>
  <si>
    <t xml:space="preserve">gucci guilty pour homme set</t>
  </si>
  <si>
    <t xml:space="preserve">gucci guilty pour homme miniature</t>
  </si>
  <si>
    <t xml:space="preserve">gucci guilty pour femme small</t>
  </si>
  <si>
    <t xml:space="preserve">gucci guilty pour homme small bottle</t>
  </si>
  <si>
    <t xml:space="preserve">gucci guilty pour homme small</t>
  </si>
  <si>
    <t xml:space="preserve">gucci guilty pour femme edp intense 5ml miniature</t>
  </si>
  <si>
    <t xml:space="preserve">gucci guilty pour femme elixir de parfum 5ml miniature</t>
  </si>
  <si>
    <t xml:space="preserve">gucci guilty absolute pour femme price</t>
  </si>
  <si>
    <t xml:space="preserve">gucci guilty pour homme elixir</t>
  </si>
  <si>
    <t xml:space="preserve">gucci guilty pour homme love edition</t>
  </si>
  <si>
    <t xml:space="preserve">gucci intense oud price in pakistan</t>
  </si>
  <si>
    <t xml:space="preserve">gucci intense oud men</t>
  </si>
  <si>
    <t xml:space="preserve">gucci intense oud price in nigeria</t>
  </si>
  <si>
    <t xml:space="preserve">gucci mini set flora</t>
  </si>
  <si>
    <t xml:space="preserve">gucci mini set sephora</t>
  </si>
  <si>
    <t xml:space="preserve">gucci mini set ulta</t>
  </si>
  <si>
    <t xml:space="preserve">gucci mini set chemist warehouse</t>
  </si>
  <si>
    <t xml:space="preserve">gucci small set</t>
  </si>
  <si>
    <t xml:space="preserve">gucci perfume women</t>
  </si>
  <si>
    <t xml:space="preserve">gucci perfume price</t>
  </si>
  <si>
    <t xml:space="preserve">gucci perfume flora</t>
  </si>
  <si>
    <t xml:space="preserve">gucci perfume price in pakistan</t>
  </si>
  <si>
    <t xml:space="preserve">gucci perfume guilty</t>
  </si>
  <si>
    <t xml:space="preserve">gucci perfume set</t>
  </si>
  <si>
    <t xml:space="preserve">gucci perfume bloom</t>
  </si>
  <si>
    <t xml:space="preserve">gucci perfume for women price</t>
  </si>
  <si>
    <t xml:space="preserve">gucci set mens</t>
  </si>
  <si>
    <t xml:space="preserve">gucci setting spray</t>
  </si>
  <si>
    <t xml:space="preserve">gucci setting powder</t>
  </si>
  <si>
    <t xml:space="preserve">gucci set clothes</t>
  </si>
  <si>
    <t xml:space="preserve">gucci set clothes women</t>
  </si>
  <si>
    <t xml:space="preserve">gucci set clothes men</t>
  </si>
  <si>
    <t xml:space="preserve">guerlain epices exquises (u) edp 125ml</t>
  </si>
  <si>
    <t xml:space="preserve">guerlain epices exquises dupe</t>
  </si>
  <si>
    <t xml:space="preserve">guerlain epices exquises for man/woman</t>
  </si>
  <si>
    <t xml:space="preserve">guerlain habit rouge rouge prive</t>
  </si>
  <si>
    <t xml:space="preserve">guerlain habit rouge spirit</t>
  </si>
  <si>
    <t xml:space="preserve">guerlain habit rouge l'instinct</t>
  </si>
  <si>
    <t xml:space="preserve">guerlain habit rouge eau de toilette</t>
  </si>
  <si>
    <t xml:space="preserve">guerlain l'instant de guerlain pour homme</t>
  </si>
  <si>
    <t xml:space="preserve">guerlain l'instant de guerlain pour homme eau de parfum</t>
  </si>
  <si>
    <t xml:space="preserve">guerlain l'instant de guerlain pour homme edp</t>
  </si>
  <si>
    <t xml:space="preserve">guerlain l'instant de guerlain pour homme edt</t>
  </si>
  <si>
    <t xml:space="preserve">guerlain l'instant de guerlain pour homme eau extreme</t>
  </si>
  <si>
    <t xml:space="preserve">guerlain l'instant de guerlain pour homme eau de toilette</t>
  </si>
  <si>
    <t xml:space="preserve">guerlain la petite robe noire ma robe cocktail fragrantica</t>
  </si>
  <si>
    <t xml:space="preserve">guerlain la petite robe noire ma robe cocktail w edt 100ml</t>
  </si>
  <si>
    <t xml:space="preserve">guerlain musc noble in fragrantica and parfumo</t>
  </si>
  <si>
    <t xml:space="preserve">guerlain musc noble fragrantica</t>
  </si>
  <si>
    <t xml:space="preserve">guerlain musc noble discontinued</t>
  </si>
  <si>
    <t xml:space="preserve">guerlain oud essentiel dupe</t>
  </si>
  <si>
    <t xml:space="preserve">guerlain oud essentiel fragrantica</t>
  </si>
  <si>
    <t xml:space="preserve">guerlain oud essentiel edp 125ml</t>
  </si>
  <si>
    <t xml:space="preserve">guerlain perfume price</t>
  </si>
  <si>
    <t xml:space="preserve">guerlain perfume men</t>
  </si>
  <si>
    <t xml:space="preserve">guerlain perfume women</t>
  </si>
  <si>
    <t xml:space="preserve">guerlain perfume vanilla</t>
  </si>
  <si>
    <t xml:space="preserve">guerlain perfume aqua allegoria</t>
  </si>
  <si>
    <t xml:space="preserve">guerlain perfume florabloom</t>
  </si>
  <si>
    <t xml:space="preserve">guerlain perfume uk</t>
  </si>
  <si>
    <t xml:space="preserve">guerlain perfume insolence</t>
  </si>
  <si>
    <t xml:space="preserve">guerlain perfumes for her</t>
  </si>
  <si>
    <t xml:space="preserve">guerlain samsara fragrantica</t>
  </si>
  <si>
    <t xml:space="preserve">guerlain samsara eau de toilette</t>
  </si>
  <si>
    <t xml:space="preserve">guerlain samsara dupe</t>
  </si>
  <si>
    <t xml:space="preserve">hemel fragrance affair</t>
  </si>
  <si>
    <t xml:space="preserve">hemel fragrance affair review</t>
  </si>
  <si>
    <t xml:space="preserve">fragrance affair hemel paris</t>
  </si>
  <si>
    <t xml:space="preserve">hemel amethyst dream u edp 100ml</t>
  </si>
  <si>
    <t xml:space="preserve">hemel paris amethyst dream</t>
  </si>
  <si>
    <t xml:space="preserve">hemel niche amethyst dream</t>
  </si>
  <si>
    <t xml:space="preserve">what does dream amethyst do</t>
  </si>
  <si>
    <t xml:space="preserve">difference between dream amethyst and amethyst</t>
  </si>
  <si>
    <t xml:space="preserve">hemel paris favourite black</t>
  </si>
  <si>
    <t xml:space="preserve">hemel gris u edp 100ml</t>
  </si>
  <si>
    <t xml:space="preserve">hemel paris gris</t>
  </si>
  <si>
    <t xml:space="preserve">hemel patchouli for all u edp 100ml</t>
  </si>
  <si>
    <t xml:space="preserve">hemel patchouli for all fragrantica</t>
  </si>
  <si>
    <t xml:space="preserve">hemel paris patchouli for all</t>
  </si>
  <si>
    <t xml:space="preserve">hemel patchouli for all punmiris</t>
  </si>
  <si>
    <t xml:space="preserve">patchouli garden reviews</t>
  </si>
  <si>
    <t xml:space="preserve">who wears patchouli</t>
  </si>
  <si>
    <t xml:space="preserve">hemel perfume price</t>
  </si>
  <si>
    <t xml:space="preserve">hemel perfume price in pakistan</t>
  </si>
  <si>
    <t xml:space="preserve">hemel perfume shop</t>
  </si>
  <si>
    <t xml:space="preserve">hemel perfume review</t>
  </si>
  <si>
    <t xml:space="preserve">hemel perfume arrogance</t>
  </si>
  <si>
    <t xml:space="preserve">perfume hemel hempstead</t>
  </si>
  <si>
    <t xml:space="preserve">hemel paris perfume</t>
  </si>
  <si>
    <t xml:space="preserve">hemel gratitude perfume</t>
  </si>
  <si>
    <t xml:space="preserve">hemel plateado u edp 100ml</t>
  </si>
  <si>
    <t xml:space="preserve">hemel paris plateado</t>
  </si>
  <si>
    <t xml:space="preserve">hemel valley of diamond fragrance</t>
  </si>
  <si>
    <t xml:space="preserve">hemel paris valley of diamond</t>
  </si>
  <si>
    <t xml:space="preserve">blood diamond gem price</t>
  </si>
  <si>
    <t xml:space="preserve">value of diamond today</t>
  </si>
  <si>
    <t xml:space="preserve">hermes perfume women</t>
  </si>
  <si>
    <t xml:space="preserve">hermes perfume men</t>
  </si>
  <si>
    <t xml:space="preserve">hermes perfume price</t>
  </si>
  <si>
    <t xml:space="preserve">hermes perfume set</t>
  </si>
  <si>
    <t xml:space="preserve">hermes perfume barenia</t>
  </si>
  <si>
    <t xml:space="preserve">hermes perfume twilly</t>
  </si>
  <si>
    <t xml:space="preserve">hermes perfume gift set</t>
  </si>
  <si>
    <t xml:space="preserve">hermes perfume malaysia</t>
  </si>
  <si>
    <t xml:space="preserve">hermes perfume price in pakistan</t>
  </si>
  <si>
    <t xml:space="preserve">hermes un jardin sur le nil price</t>
  </si>
  <si>
    <t xml:space="preserve">hermes un jardin sur le nil ingredients</t>
  </si>
  <si>
    <t xml:space="preserve">hollister festival vibes for her</t>
  </si>
  <si>
    <t xml:space="preserve">hollister festival vibes for him</t>
  </si>
  <si>
    <t xml:space="preserve">hollister festival vibes for her review</t>
  </si>
  <si>
    <t xml:space="preserve">hollister festival vibes scent</t>
  </si>
  <si>
    <t xml:space="preserve">hollister festival vibes for her notes</t>
  </si>
  <si>
    <t xml:space="preserve">hollister perfume women</t>
  </si>
  <si>
    <t xml:space="preserve">hollister perfume men</t>
  </si>
  <si>
    <t xml:space="preserve">hollister perfume 2000s</t>
  </si>
  <si>
    <t xml:space="preserve">hollister perfume malaia</t>
  </si>
  <si>
    <t xml:space="preserve">hollister perfume price</t>
  </si>
  <si>
    <t xml:space="preserve">hollister perfume festival vibes</t>
  </si>
  <si>
    <t xml:space="preserve">hollister perfume honey kissed</t>
  </si>
  <si>
    <t xml:space="preserve">hollister perfume vanilla amour</t>
  </si>
  <si>
    <t xml:space="preserve">hollister perfume uk</t>
  </si>
  <si>
    <t xml:space="preserve">hugo boss alive perfume</t>
  </si>
  <si>
    <t xml:space="preserve">hugo boss alive intense</t>
  </si>
  <si>
    <t xml:space="preserve">hugo boss alive parfum</t>
  </si>
  <si>
    <t xml:space="preserve">hugo boss alive absolu</t>
  </si>
  <si>
    <t xml:space="preserve">hugo boss alive sparkling lavender</t>
  </si>
  <si>
    <t xml:space="preserve">hugo boss alive perfume 100ml</t>
  </si>
  <si>
    <t xml:space="preserve">hugo boss alive edp</t>
  </si>
  <si>
    <t xml:space="preserve">hugo boss alive notes</t>
  </si>
  <si>
    <t xml:space="preserve">hugo boss boss the scent m parfum 100ml tester</t>
  </si>
  <si>
    <t xml:space="preserve">hugo boss boss the scent magnetic m edp 100ml tester</t>
  </si>
  <si>
    <t xml:space="preserve">hugo boss elixir the scent tester</t>
  </si>
  <si>
    <t xml:space="preserve">hugo boss boss the scent le parfum m parfum 100ml tester</t>
  </si>
  <si>
    <t xml:space="preserve">hugo boss the scent tester 100ml</t>
  </si>
  <si>
    <t xml:space="preserve">hugo boss the scent rating</t>
  </si>
  <si>
    <t xml:space="preserve">hugo boss the scent review</t>
  </si>
  <si>
    <t xml:space="preserve">hugo boss the scent ingredients</t>
  </si>
  <si>
    <t xml:space="preserve">hugo boss bottled absolu</t>
  </si>
  <si>
    <t xml:space="preserve">hugo boss bottled night</t>
  </si>
  <si>
    <t xml:space="preserve">hugo boss bottled elixir</t>
  </si>
  <si>
    <t xml:space="preserve">hugo boss bottled beyond</t>
  </si>
  <si>
    <t xml:space="preserve">hugo boss bottled parfum</t>
  </si>
  <si>
    <t xml:space="preserve">hugo boss bottled night 200ml</t>
  </si>
  <si>
    <t xml:space="preserve">hugo boss bottled infinite</t>
  </si>
  <si>
    <t xml:space="preserve">hugo boss bottled edt</t>
  </si>
  <si>
    <t xml:space="preserve">hugo boss bottled edp</t>
  </si>
  <si>
    <t xml:space="preserve">hugo boss hugo man edt</t>
  </si>
  <si>
    <t xml:space="preserve">hugo boss hugo man perfume</t>
  </si>
  <si>
    <t xml:space="preserve">hugo boss hugo man 200ml</t>
  </si>
  <si>
    <t xml:space="preserve">hugo boss hugo man eau de toilette 200ml</t>
  </si>
  <si>
    <t xml:space="preserve">hugo boss hugo man eau de toilette for men</t>
  </si>
  <si>
    <t xml:space="preserve">hugo boss hugo man eau de toilette 125ml</t>
  </si>
  <si>
    <t xml:space="preserve">hugo boss hugo man eau de toilette 75ml</t>
  </si>
  <si>
    <t xml:space="preserve">hugo boss hugo man eau de toilette review</t>
  </si>
  <si>
    <t xml:space="preserve">hugo boss perfume men</t>
  </si>
  <si>
    <t xml:space="preserve">hugo boss perfume women</t>
  </si>
  <si>
    <t xml:space="preserve">hugo boss perfume price in pakistan</t>
  </si>
  <si>
    <t xml:space="preserve">hugo boss perfume price</t>
  </si>
  <si>
    <t xml:space="preserve">hugo boss perfume 100ml price</t>
  </si>
  <si>
    <t xml:space="preserve">hugo boss perfume price edgars</t>
  </si>
  <si>
    <t xml:space="preserve">hugo boss perfume the scent</t>
  </si>
  <si>
    <t xml:space="preserve">hugo boss perfume elixir</t>
  </si>
  <si>
    <t xml:space="preserve">hugo boss perfume notes</t>
  </si>
  <si>
    <t xml:space="preserve">hugo boss the collection confident oud intense edp</t>
  </si>
  <si>
    <t xml:space="preserve">hugo boss the collection confident oud eau de parfum intense</t>
  </si>
  <si>
    <t xml:space="preserve">hugo boss the collection confident oud eau de parfum intense 100ml</t>
  </si>
  <si>
    <t xml:space="preserve">hugo boss the collection confident oud eau de parfum intense review</t>
  </si>
  <si>
    <t xml:space="preserve">hugo boss boss the collection confident oud m edp intense 100ml</t>
  </si>
  <si>
    <t xml:space="preserve">hugo boss the scent price</t>
  </si>
  <si>
    <t xml:space="preserve">what does jean paul gaultier classique smell like</t>
  </si>
  <si>
    <t xml:space="preserve">what perfume smells like jean paul gaultier classique</t>
  </si>
  <si>
    <t xml:space="preserve">which jean paul gaultier perfume is best</t>
  </si>
  <si>
    <t xml:space="preserve">jean paul gaultier scandal gold bottle</t>
  </si>
  <si>
    <t xml:space="preserve">jean paul gaultier scandal gold fragrantica</t>
  </si>
  <si>
    <t xml:space="preserve">jean paul gaultier scandal gold 80ml</t>
  </si>
  <si>
    <t xml:space="preserve">jean paul perfume men</t>
  </si>
  <si>
    <t xml:space="preserve">jean paul perfume women</t>
  </si>
  <si>
    <t xml:space="preserve">jean paul perfume price</t>
  </si>
  <si>
    <t xml:space="preserve">jean paul perfume female</t>
  </si>
  <si>
    <t xml:space="preserve">jean paul perfume man</t>
  </si>
  <si>
    <t xml:space="preserve">jean paul perfume price in pakistan</t>
  </si>
  <si>
    <t xml:space="preserve">jean paul perfume la belle</t>
  </si>
  <si>
    <t xml:space="preserve">jean paul perfume scandal</t>
  </si>
  <si>
    <t xml:space="preserve">jean paul perfume elixir</t>
  </si>
  <si>
    <t xml:space="preserve">jimmy choo i want choo forever small</t>
  </si>
  <si>
    <t xml:space="preserve">jimmy choo perfume women</t>
  </si>
  <si>
    <t xml:space="preserve">jimmy choo perfume men</t>
  </si>
  <si>
    <t xml:space="preserve">jimmy choo perfume i want choo</t>
  </si>
  <si>
    <t xml:space="preserve">jimmy choo perfume price</t>
  </si>
  <si>
    <t xml:space="preserve">jimmy choo perfume blossom</t>
  </si>
  <si>
    <t xml:space="preserve">jimmy choo perfume price in pakistan</t>
  </si>
  <si>
    <t xml:space="preserve">jimmy choo perfume illicit</t>
  </si>
  <si>
    <t xml:space="preserve">jimmy choo perfume set</t>
  </si>
  <si>
    <t xml:space="preserve">jimmy choo perfume fever</t>
  </si>
  <si>
    <t xml:space="preserve">jo milano game of spades wildcard for unisex parfum spray 3.4 ounce</t>
  </si>
  <si>
    <t xml:space="preserve">jo milano game of spades wildcard parfum spray 3.4 ounce</t>
  </si>
  <si>
    <t xml:space="preserve">jo milano unisex game of spades wildcard parfum 3.4 oz fragrances</t>
  </si>
  <si>
    <t xml:space="preserve">jo milano game of spades wildcard parfum spray 3.4 oz 100ml</t>
  </si>
  <si>
    <t xml:space="preserve">jo milano game of spades wildcard 3.4 oz parfum for men</t>
  </si>
  <si>
    <t xml:space="preserve">can you play 3 man spades</t>
  </si>
  <si>
    <t xml:space="preserve">jo milano perfume women</t>
  </si>
  <si>
    <t xml:space="preserve">jo milano perfume uk</t>
  </si>
  <si>
    <t xml:space="preserve">jo milano perfume game of spades</t>
  </si>
  <si>
    <t xml:space="preserve">jo milano perfume notes</t>
  </si>
  <si>
    <t xml:space="preserve">jo milano perfume near me</t>
  </si>
  <si>
    <t xml:space="preserve">jo milano perfume price</t>
  </si>
  <si>
    <t xml:space="preserve">jo milano perfume dupe list</t>
  </si>
  <si>
    <t xml:space="preserve">jo milano perfume men</t>
  </si>
  <si>
    <t xml:space="preserve">jo milano perfume price in pakistan</t>
  </si>
  <si>
    <t xml:space="preserve">john varvatos artisan pure</t>
  </si>
  <si>
    <t xml:space="preserve">john varvatos artisan black</t>
  </si>
  <si>
    <t xml:space="preserve">john varvatos artisan blu</t>
  </si>
  <si>
    <t xml:space="preserve">john varvatos artisan costiero</t>
  </si>
  <si>
    <t xml:space="preserve">john varvatos artisan teal</t>
  </si>
  <si>
    <t xml:space="preserve">john varvatos artisan forest</t>
  </si>
  <si>
    <t xml:space="preserve">john varvatos artisan acqua</t>
  </si>
  <si>
    <t xml:space="preserve">john varvatos artisan pure notes</t>
  </si>
  <si>
    <t xml:space="preserve">john varvatos artisan black review</t>
  </si>
  <si>
    <t xml:space="preserve">john varvatos perfume price</t>
  </si>
  <si>
    <t xml:space="preserve">john varvatos perfume artisan</t>
  </si>
  <si>
    <t xml:space="preserve">john varvatos perfume price in pakistan</t>
  </si>
  <si>
    <t xml:space="preserve">john varvatos perfume for women</t>
  </si>
  <si>
    <t xml:space="preserve">john varvatos perfume review</t>
  </si>
  <si>
    <t xml:space="preserve">john varvatos perfume vintage</t>
  </si>
  <si>
    <t xml:space="preserve">john varvatos perfume artisan pure</t>
  </si>
  <si>
    <t xml:space="preserve">john varvatos perfume price in india</t>
  </si>
  <si>
    <t xml:space="preserve">joop homme perfume price</t>
  </si>
  <si>
    <t xml:space="preserve">joop homme perfume price in pakistan</t>
  </si>
  <si>
    <t xml:space="preserve">joop homme perfume review</t>
  </si>
  <si>
    <t xml:space="preserve">joop homme perfume notes</t>
  </si>
  <si>
    <t xml:space="preserve">joop homme perfume for women</t>
  </si>
  <si>
    <t xml:space="preserve">joop homme perfume 125ml</t>
  </si>
  <si>
    <t xml:space="preserve">joop homme perfume price in india</t>
  </si>
  <si>
    <t xml:space="preserve">joop homme perfume is for men or women</t>
  </si>
  <si>
    <t xml:space="preserve">joop homme wild</t>
  </si>
  <si>
    <t xml:space="preserve">joop homme absolute</t>
  </si>
  <si>
    <t xml:space="preserve">joop homme men</t>
  </si>
  <si>
    <t xml:space="preserve">joop homme le parfum chemist warehouse</t>
  </si>
  <si>
    <t xml:space="preserve">joop homme le parfum 200ml</t>
  </si>
  <si>
    <t xml:space="preserve">joop homme le parfum 75ml</t>
  </si>
  <si>
    <t xml:space="preserve">joop homme le parfum price in pakistan</t>
  </si>
  <si>
    <t xml:space="preserve">juicy couture perfume viva la juicy</t>
  </si>
  <si>
    <t xml:space="preserve">juicy couture perfume original</t>
  </si>
  <si>
    <t xml:space="preserve">juicy couture perfume oui</t>
  </si>
  <si>
    <t xml:space="preserve">juicy couture perfume gold</t>
  </si>
  <si>
    <t xml:space="preserve">juicy couture perfume notes</t>
  </si>
  <si>
    <t xml:space="preserve">juicy couture perfume just moi</t>
  </si>
  <si>
    <t xml:space="preserve">juicy couture perfume set</t>
  </si>
  <si>
    <t xml:space="preserve">juicy couture perfume price</t>
  </si>
  <si>
    <t xml:space="preserve">juicy couture perfume 100ml</t>
  </si>
  <si>
    <t xml:space="preserve">juicy couture viva la juicy rose eau de parfum spray</t>
  </si>
  <si>
    <t xml:space="preserve">juicy couture viva la juicy rose perfume</t>
  </si>
  <si>
    <t xml:space="preserve">juicy couture viva la juicy rose review</t>
  </si>
  <si>
    <t xml:space="preserve">kenneth cole moonlight blue body spray</t>
  </si>
  <si>
    <t xml:space="preserve">kenneth cole moonlight blue cologne</t>
  </si>
  <si>
    <t xml:space="preserve">kenneth cole moonlight blue fragrantica</t>
  </si>
  <si>
    <t xml:space="preserve">kenneth cole moonlight blue 1.7 oz</t>
  </si>
  <si>
    <t xml:space="preserve">kenneth cole moonlight blue m edt 100ml</t>
  </si>
  <si>
    <t xml:space="preserve">moonlight blue kenneth cole reddit</t>
  </si>
  <si>
    <t xml:space="preserve">kenneth cole perfume for her</t>
  </si>
  <si>
    <t xml:space="preserve">kenneth cole perfume for him</t>
  </si>
  <si>
    <t xml:space="preserve">kenneth cole perfume for women</t>
  </si>
  <si>
    <t xml:space="preserve">kenneth cole perfume black</t>
  </si>
  <si>
    <t xml:space="preserve">kenneth cole perfume price</t>
  </si>
  <si>
    <t xml:space="preserve">kenneth cole perfume reaction</t>
  </si>
  <si>
    <t xml:space="preserve">kenneth cole perfume price in pakistan</t>
  </si>
  <si>
    <t xml:space="preserve">kenneth cole perfume white</t>
  </si>
  <si>
    <t xml:space="preserve">korloff cuir mythique fragrantica</t>
  </si>
  <si>
    <t xml:space="preserve">korloff paris cuir mythique</t>
  </si>
  <si>
    <t xml:space="preserve">korloff paris in love</t>
  </si>
  <si>
    <t xml:space="preserve">korloff paris in love отзывы</t>
  </si>
  <si>
    <t xml:space="preserve">korloff in white intense</t>
  </si>
  <si>
    <t xml:space="preserve">korloff in white lady</t>
  </si>
  <si>
    <t xml:space="preserve">korloff in white for men eau de toilette</t>
  </si>
  <si>
    <t xml:space="preserve">korloff in white fragrantica</t>
  </si>
  <si>
    <t xml:space="preserve">korloff in white intense eau de parfum</t>
  </si>
  <si>
    <t xml:space="preserve">korloff in white intense price</t>
  </si>
  <si>
    <t xml:space="preserve">korloff lady intense fragrantica</t>
  </si>
  <si>
    <t xml:space="preserve">korloff paris lady intense</t>
  </si>
  <si>
    <t xml:space="preserve">harga parfum lady korloff intense original</t>
  </si>
  <si>
    <t xml:space="preserve">korloff miss korloff lady discovery set</t>
  </si>
  <si>
    <t xml:space="preserve">miss korloff korloff paris</t>
  </si>
  <si>
    <t xml:space="preserve">korloff perfume price</t>
  </si>
  <si>
    <t xml:space="preserve">korloff perfume lady</t>
  </si>
  <si>
    <t xml:space="preserve">korloff perfume miss</t>
  </si>
  <si>
    <t xml:space="preserve">korloff perfume man</t>
  </si>
  <si>
    <t xml:space="preserve">korloff perfume iris dore</t>
  </si>
  <si>
    <t xml:space="preserve">korloff perfume women</t>
  </si>
  <si>
    <t xml:space="preserve">korloff perfume royal oud</t>
  </si>
  <si>
    <t xml:space="preserve">korloff perfume price in pakistan</t>
  </si>
  <si>
    <t xml:space="preserve">korloff perfume review</t>
  </si>
  <si>
    <t xml:space="preserve">korloff royal rose fragrantica</t>
  </si>
  <si>
    <t xml:space="preserve">korloff royal rose prix</t>
  </si>
  <si>
    <t xml:space="preserve">korloff royal rose qiymeti</t>
  </si>
  <si>
    <t xml:space="preserve">korloff un soir a paris fragrantica</t>
  </si>
  <si>
    <t xml:space="preserve">is there an american library in paris</t>
  </si>
  <si>
    <t xml:space="preserve">how to pronounce soir in french</t>
  </si>
  <si>
    <t xml:space="preserve">la maison de la vanille ambre secret fragrantica</t>
  </si>
  <si>
    <t xml:space="preserve">what does bare vanilla victoria secret smell like</t>
  </si>
  <si>
    <t xml:space="preserve">which victoria secret perfume smells like vanilla</t>
  </si>
  <si>
    <t xml:space="preserve">la maison de la vanille royal oud and oriental wood</t>
  </si>
  <si>
    <t xml:space="preserve">la maison de la vanille royal oud u edp 100ml</t>
  </si>
  <si>
    <t xml:space="preserve">la maison perfume price</t>
  </si>
  <si>
    <t xml:space="preserve">la maison perfume sephora</t>
  </si>
  <si>
    <t xml:space="preserve">la maison perfume oil</t>
  </si>
  <si>
    <t xml:space="preserve">la maison perfume discount code</t>
  </si>
  <si>
    <t xml:space="preserve">la maison perfume rose</t>
  </si>
  <si>
    <t xml:space="preserve">la maison perfume no 4</t>
  </si>
  <si>
    <t xml:space="preserve">la maison perfume men</t>
  </si>
  <si>
    <t xml:space="preserve">la maison perfume women</t>
  </si>
  <si>
    <t xml:space="preserve">la maison perfume oud</t>
  </si>
  <si>
    <t xml:space="preserve">lancome idole nectar discontinued</t>
  </si>
  <si>
    <t xml:space="preserve">lancome idole nectar fragrantica</t>
  </si>
  <si>
    <t xml:space="preserve">lancome idole nectar 25ml</t>
  </si>
  <si>
    <t xml:space="preserve">lancome idole now florale fragrantica</t>
  </si>
  <si>
    <t xml:space="preserve">lancome idole now edp florale 50ml</t>
  </si>
  <si>
    <t xml:space="preserve">lancome idole now w edp florale 100ml</t>
  </si>
  <si>
    <t xml:space="preserve">lancome perfume idole</t>
  </si>
  <si>
    <t xml:space="preserve">lancome perfume la vie est belle</t>
  </si>
  <si>
    <t xml:space="preserve">lancome perfume price</t>
  </si>
  <si>
    <t xml:space="preserve">lancome perfume set</t>
  </si>
  <si>
    <t xml:space="preserve">lancome perfume gift set</t>
  </si>
  <si>
    <t xml:space="preserve">lancome perfume cherry</t>
  </si>
  <si>
    <t xml:space="preserve">lancome perfume chemist warehouse</t>
  </si>
  <si>
    <t xml:space="preserve">lancome perfume sale</t>
  </si>
  <si>
    <t xml:space="preserve">how to say amalfi coast in italian</t>
  </si>
  <si>
    <t xml:space="preserve">how to get from milan to amalfi coast</t>
  </si>
  <si>
    <t xml:space="preserve">distance naples to amalfi</t>
  </si>
  <si>
    <t xml:space="preserve">maison de milan l homme suave</t>
  </si>
  <si>
    <t xml:space="preserve">maison de milan l'homme suave absolu</t>
  </si>
  <si>
    <t xml:space="preserve">maison de milan l homme suave 100ml</t>
  </si>
  <si>
    <t xml:space="preserve">perfume maison de milao l'homme suave</t>
  </si>
  <si>
    <t xml:space="preserve">difference between prada l'homme and l'homme intense</t>
  </si>
  <si>
    <t xml:space="preserve">maison de milan my scent</t>
  </si>
  <si>
    <t xml:space="preserve">morning maison de milan</t>
  </si>
  <si>
    <t xml:space="preserve">maison de milan my love intense</t>
  </si>
  <si>
    <t xml:space="preserve">maison de milan my love</t>
  </si>
  <si>
    <t xml:space="preserve">maison de milan mdm</t>
  </si>
  <si>
    <t xml:space="preserve">maison de milan made to mesmerize</t>
  </si>
  <si>
    <t xml:space="preserve">maison de marie milan</t>
  </si>
  <si>
    <t xml:space="preserve">maison du monde milan</t>
  </si>
  <si>
    <t xml:space="preserve">maison milan mystique extrait de parfum</t>
  </si>
  <si>
    <t xml:space="preserve">maison milan mystique eau de perfume</t>
  </si>
  <si>
    <t xml:space="preserve">de noir pour homme price</t>
  </si>
  <si>
    <t xml:space="preserve">difference between perfume and pour homme</t>
  </si>
  <si>
    <t xml:space="preserve">difference between pour homme and eau de parfum</t>
  </si>
  <si>
    <t xml:space="preserve">mancera black noir fragrantica</t>
  </si>
  <si>
    <t xml:space="preserve">mancera black noir parfumo</t>
  </si>
  <si>
    <t xml:space="preserve">mancera black noir u edp 120ml</t>
  </si>
  <si>
    <t xml:space="preserve">mancera intense red tobacco vs red tobacco</t>
  </si>
  <si>
    <t xml:space="preserve">mancera intense red tobacco fragrantica</t>
  </si>
  <si>
    <t xml:space="preserve">mancera intense red tobacco edp</t>
  </si>
  <si>
    <t xml:space="preserve">mancera perfume price</t>
  </si>
  <si>
    <t xml:space="preserve">mancera perfume price in pakistan</t>
  </si>
  <si>
    <t xml:space="preserve">mancera perfume roses vanille</t>
  </si>
  <si>
    <t xml:space="preserve">mancera perfume for men</t>
  </si>
  <si>
    <t xml:space="preserve">mancera perfume for women</t>
  </si>
  <si>
    <t xml:space="preserve">mancera perfume price in bangladesh</t>
  </si>
  <si>
    <t xml:space="preserve">mancera perfume cedrat boise</t>
  </si>
  <si>
    <t xml:space="preserve">mancera perfume instant crush</t>
  </si>
  <si>
    <t xml:space="preserve">mancera perfume red tobacco</t>
  </si>
  <si>
    <t xml:space="preserve">marc jacobs daisy love glow limited edition w edt 50ml</t>
  </si>
  <si>
    <t xml:space="preserve">does marc jacobs daisy last long</t>
  </si>
  <si>
    <t xml:space="preserve">marc jacobs daisy love small bottle</t>
  </si>
  <si>
    <t xml:space="preserve">marc jacobs daisy love small</t>
  </si>
  <si>
    <t xml:space="preserve">marc jacobs daisy love perfume small</t>
  </si>
  <si>
    <t xml:space="preserve">difference between marc jacobs daisy and daisy love</t>
  </si>
  <si>
    <t xml:space="preserve">marc jacobs honey discontinued</t>
  </si>
  <si>
    <t xml:space="preserve">marc jacobs honey edp spray 100ml</t>
  </si>
  <si>
    <t xml:space="preserve">marc jacobs honey eau de parfum 100ml</t>
  </si>
  <si>
    <t xml:space="preserve">marc jacobs perfect absolute</t>
  </si>
  <si>
    <t xml:space="preserve">marc jacobs perfect elixir</t>
  </si>
  <si>
    <t xml:space="preserve">marc jacobs perfect intense</t>
  </si>
  <si>
    <t xml:space="preserve">marc jacobs perfect wallet</t>
  </si>
  <si>
    <t xml:space="preserve">marc jacobs perfect elixir w edp 10ml miniature</t>
  </si>
  <si>
    <t xml:space="preserve">perfect marc jacobs description</t>
  </si>
  <si>
    <t xml:space="preserve">marc jacobs perfect small bottle</t>
  </si>
  <si>
    <t xml:space="preserve">marc jacobs perfect small</t>
  </si>
  <si>
    <t xml:space="preserve">marc jacobs perfect minis</t>
  </si>
  <si>
    <t xml:space="preserve">marc jacobs perfect small size</t>
  </si>
  <si>
    <t xml:space="preserve">marc jacobs perfect small perfume</t>
  </si>
  <si>
    <t xml:space="preserve">marc jacobs perfect absolute miniature</t>
  </si>
  <si>
    <t xml:space="preserve">marc jacobs perfume perfect small bottle</t>
  </si>
  <si>
    <t xml:space="preserve">marc jacobs perfume daisy</t>
  </si>
  <si>
    <t xml:space="preserve">marc jacobs perfume perfect</t>
  </si>
  <si>
    <t xml:space="preserve">marc jacobs perfume set</t>
  </si>
  <si>
    <t xml:space="preserve">marc jacobs perfume decadence</t>
  </si>
  <si>
    <t xml:space="preserve">marc jacobs perfume murakami</t>
  </si>
  <si>
    <t xml:space="preserve">marc jacobs perfume dot</t>
  </si>
  <si>
    <t xml:space="preserve">marc jacobs perfume daisy dream</t>
  </si>
  <si>
    <t xml:space="preserve">marc jacobs perfume daisy wild</t>
  </si>
  <si>
    <t xml:space="preserve">montale aoud damascus fragrantica</t>
  </si>
  <si>
    <t xml:space="preserve">montale aoud damascus w edp 100ml</t>
  </si>
  <si>
    <t xml:space="preserve">montale paris aoud damascus</t>
  </si>
  <si>
    <t xml:space="preserve">montale aoud safran fragrantica</t>
  </si>
  <si>
    <t xml:space="preserve">montale aoud safran perfume</t>
  </si>
  <si>
    <t xml:space="preserve">montale paris aoud safran 50ml</t>
  </si>
  <si>
    <t xml:space="preserve">montale perfume price</t>
  </si>
  <si>
    <t xml:space="preserve">montale perfume men</t>
  </si>
  <si>
    <t xml:space="preserve">montale perfume arabian tonka</t>
  </si>
  <si>
    <t xml:space="preserve">montale perfume roses musk</t>
  </si>
  <si>
    <t xml:space="preserve">montale perfume women</t>
  </si>
  <si>
    <t xml:space="preserve">montale perfume durban</t>
  </si>
  <si>
    <t xml:space="preserve">montale perfume price in pakistan</t>
  </si>
  <si>
    <t xml:space="preserve">montale perfume vanilla</t>
  </si>
  <si>
    <t xml:space="preserve">montale perfume uk</t>
  </si>
  <si>
    <t xml:space="preserve">nina ricci l'air du temps eau de toilette 100ml</t>
  </si>
  <si>
    <t xml:space="preserve">nina ricci l'air du temps fragrantica</t>
  </si>
  <si>
    <t xml:space="preserve">nina ricci l'air du temps edp spray 100 ml</t>
  </si>
  <si>
    <t xml:space="preserve">nina ricci l'air du temps white orchid</t>
  </si>
  <si>
    <t xml:space="preserve">nina ricci nina illusion eau de parfum fragrantica</t>
  </si>
  <si>
    <t xml:space="preserve">nina ricci nina illusion eau de parfum spray</t>
  </si>
  <si>
    <t xml:space="preserve">nina ricci nina illusion fragrantica</t>
  </si>
  <si>
    <t xml:space="preserve">nina ricci precious gold notas</t>
  </si>
  <si>
    <t xml:space="preserve">nina ricci precious gold fragrantica</t>
  </si>
  <si>
    <t xml:space="preserve">nina ricci precious gold resenha</t>
  </si>
  <si>
    <t xml:space="preserve">nina ricci perfume price</t>
  </si>
  <si>
    <t xml:space="preserve">nina ricci perfume original</t>
  </si>
  <si>
    <t xml:space="preserve">nina ricci perfume uk</t>
  </si>
  <si>
    <t xml:space="preserve">nina ricci perfume venus</t>
  </si>
  <si>
    <t xml:space="preserve">nina ricci perfume l'air du temps</t>
  </si>
  <si>
    <t xml:space="preserve">nina ricci perfume premier jour</t>
  </si>
  <si>
    <t xml:space="preserve">nina ricci perfume discontinued</t>
  </si>
  <si>
    <t xml:space="preserve">nina ricci perfume apple</t>
  </si>
  <si>
    <t xml:space="preserve">nina ricci perfume notes</t>
  </si>
  <si>
    <t xml:space="preserve">paloma perfume near me</t>
  </si>
  <si>
    <t xml:space="preserve">paloma perfume ulta</t>
  </si>
  <si>
    <t xml:space="preserve">paloma perfume shop</t>
  </si>
  <si>
    <t xml:space="preserve">paloma perfume notes</t>
  </si>
  <si>
    <t xml:space="preserve">paloma perfume melbourne</t>
  </si>
  <si>
    <t xml:space="preserve">paloma perfume sydney</t>
  </si>
  <si>
    <t xml:space="preserve">paloma perfume dupe</t>
  </si>
  <si>
    <t xml:space="preserve">what perfume is similar to paloma picasso</t>
  </si>
  <si>
    <t xml:space="preserve">what does paloma picasso perfume smell like</t>
  </si>
  <si>
    <t xml:space="preserve">paloma picasso jewelry</t>
  </si>
  <si>
    <t xml:space="preserve">paloma picasso bag</t>
  </si>
  <si>
    <t xml:space="preserve">paloma picasso purse</t>
  </si>
  <si>
    <t xml:space="preserve">paloma picasso minotaure</t>
  </si>
  <si>
    <t xml:space="preserve">paloma picasso net worth</t>
  </si>
  <si>
    <t xml:space="preserve">paloma picasso tiffany necklace</t>
  </si>
  <si>
    <t xml:space="preserve">philipp plein no limits deo stick</t>
  </si>
  <si>
    <t xml:space="preserve">philipp plein no limits super fresh fragrantica</t>
  </si>
  <si>
    <t xml:space="preserve">philipp plein no limits super fresh review</t>
  </si>
  <si>
    <t xml:space="preserve">philipp plein no limits super fresh 50ml</t>
  </si>
  <si>
    <t xml:space="preserve">philipp plein no limits super fresh eau de toilette 50ml</t>
  </si>
  <si>
    <t xml:space="preserve">philipp plein no limits super fresh m edt 90ml</t>
  </si>
  <si>
    <t xml:space="preserve">philipp plein no limits super fresh 90ml</t>
  </si>
  <si>
    <t xml:space="preserve">philipp plein no limits super fresh edt</t>
  </si>
  <si>
    <t xml:space="preserve">philipp plein no limits super fresh eau de parfum</t>
  </si>
  <si>
    <t xml:space="preserve">philipp plein no limit$ super fresh eau de toilette</t>
  </si>
  <si>
    <t xml:space="preserve">philipp plein perfume no limit</t>
  </si>
  <si>
    <t xml:space="preserve">philipp plein perfume fatale</t>
  </si>
  <si>
    <t xml:space="preserve">philipp plein perfume no limit gold</t>
  </si>
  <si>
    <t xml:space="preserve">philipp plein perfume no limit notes</t>
  </si>
  <si>
    <t xml:space="preserve">philipp plein perfume skull</t>
  </si>
  <si>
    <t xml:space="preserve">philipp plein perfume price</t>
  </si>
  <si>
    <t xml:space="preserve">philipp plein perfume woman</t>
  </si>
  <si>
    <t xml:space="preserve">philipp plein perfume fatale rose</t>
  </si>
  <si>
    <t xml:space="preserve">philipp plein perfume review</t>
  </si>
  <si>
    <t xml:space="preserve">was ist oud</t>
  </si>
  <si>
    <t xml:space="preserve">hoe oud is boef</t>
  </si>
  <si>
    <t xml:space="preserve">oud nedir</t>
  </si>
  <si>
    <t xml:space="preserve">oud elite locations</t>
  </si>
  <si>
    <t xml:space="preserve">rihanah perfume arabe</t>
  </si>
  <si>
    <t xml:space="preserve">rihanah oud perfume</t>
  </si>
  <si>
    <t xml:space="preserve">rihanah mukhalat perfume</t>
  </si>
  <si>
    <t xml:space="preserve">rihanah private musk perfume</t>
  </si>
  <si>
    <t xml:space="preserve">rihanah secret musk perfume</t>
  </si>
  <si>
    <t xml:space="preserve">rihanah ispahan oud perfume</t>
  </si>
  <si>
    <t xml:space="preserve">rihanah private oud perfume</t>
  </si>
  <si>
    <t xml:space="preserve">perfume rihanah areej al zahoor</t>
  </si>
  <si>
    <t xml:space="preserve">strongest perfume in the world</t>
  </si>
  <si>
    <t xml:space="preserve">roll it 1 jo milano</t>
  </si>
  <si>
    <t xml:space="preserve">roll it 18 jo milano</t>
  </si>
  <si>
    <t xml:space="preserve">roll it 1 cologne</t>
  </si>
  <si>
    <t xml:space="preserve">roll it number 1</t>
  </si>
  <si>
    <t xml:space="preserve">roll it no 1</t>
  </si>
  <si>
    <t xml:space="preserve">roll 1d20</t>
  </si>
  <si>
    <t xml:space="preserve">st dupont perfect tobacco price</t>
  </si>
  <si>
    <t xml:space="preserve">st dupont perfect tobacco eau de parfum</t>
  </si>
  <si>
    <t xml:space="preserve">st dupont perfect tobacco edp</t>
  </si>
  <si>
    <t xml:space="preserve">st dupont perfect tobacco review</t>
  </si>
  <si>
    <t xml:space="preserve">st dupont perfect tobacco edp 100ml</t>
  </si>
  <si>
    <t xml:space="preserve">st dupont perfect tobacco fragrantica</t>
  </si>
  <si>
    <t xml:space="preserve">st dupont perfect tobacco 100ml</t>
  </si>
  <si>
    <t xml:space="preserve">st dupont perfect tobacco notes</t>
  </si>
  <si>
    <t xml:space="preserve">st dupont perfect tobacco qatar</t>
  </si>
  <si>
    <t xml:space="preserve">s.t. dupont perfume women</t>
  </si>
  <si>
    <t xml:space="preserve">s.t. dupont perfume kuwait</t>
  </si>
  <si>
    <t xml:space="preserve">s.t. dupont perfume men</t>
  </si>
  <si>
    <t xml:space="preserve">s.t. dupont perfume essence pure</t>
  </si>
  <si>
    <t xml:space="preserve">s t dupont paris perfume price</t>
  </si>
  <si>
    <t xml:space="preserve">are st dupont pens good</t>
  </si>
  <si>
    <t xml:space="preserve">st dupont pure bloom</t>
  </si>
  <si>
    <t xml:space="preserve">st dupont pure bloom perfume</t>
  </si>
  <si>
    <t xml:space="preserve">st dupont pure bloom eau de parfum</t>
  </si>
  <si>
    <t xml:space="preserve">st dupont pure bloom notes</t>
  </si>
  <si>
    <t xml:space="preserve">st dupont pure bloom fragrantica</t>
  </si>
  <si>
    <t xml:space="preserve">st dupont royal amber</t>
  </si>
  <si>
    <t xml:space="preserve">st dupont royal amber price</t>
  </si>
  <si>
    <t xml:space="preserve">st dupont royal amber perfume</t>
  </si>
  <si>
    <t xml:space="preserve">st dupont royal amber edp</t>
  </si>
  <si>
    <t xml:space="preserve">st dupont royal amber edp 100ml</t>
  </si>
  <si>
    <t xml:space="preserve">st dupont royal amber 100ml</t>
  </si>
  <si>
    <t xml:space="preserve">sap le roi fragrantica</t>
  </si>
  <si>
    <t xml:space="preserve">j sap le roi</t>
  </si>
  <si>
    <t xml:space="preserve">sap unisex le roi extrait de parfum</t>
  </si>
  <si>
    <t xml:space="preserve">sap villeneuve le roi</t>
  </si>
  <si>
    <t xml:space="preserve">what scents go with patchouli</t>
  </si>
  <si>
    <t xml:space="preserve">what scent pairs well with patchouli</t>
  </si>
  <si>
    <t xml:space="preserve">patchouli scent meaning</t>
  </si>
  <si>
    <t xml:space="preserve">describe the smell of patchouli</t>
  </si>
  <si>
    <t xml:space="preserve">sap perfume dubai</t>
  </si>
  <si>
    <t xml:space="preserve">sap perfume le roi</t>
  </si>
  <si>
    <t xml:space="preserve">sap perfume oud leopard</t>
  </si>
  <si>
    <t xml:space="preserve">sap perfumes deira</t>
  </si>
  <si>
    <t xml:space="preserve">tree sap perfume</t>
  </si>
  <si>
    <t xml:space="preserve">pine sap perfume</t>
  </si>
  <si>
    <t xml:space="preserve">j sap saffron oud</t>
  </si>
  <si>
    <t xml:space="preserve">j sap vert club</t>
  </si>
  <si>
    <t xml:space="preserve">serge lutens la fille de berlin fragrantica</t>
  </si>
  <si>
    <t xml:space="preserve">serge lutens la fille de berlin sample</t>
  </si>
  <si>
    <t xml:space="preserve">serge lutens la fille de berlin parfumo</t>
  </si>
  <si>
    <t xml:space="preserve">serge lutens perfume price</t>
  </si>
  <si>
    <t xml:space="preserve">serge lutens perfume chergui</t>
  </si>
  <si>
    <t xml:space="preserve">serge lutens perfume samples</t>
  </si>
  <si>
    <t xml:space="preserve">serge lutens perfume review</t>
  </si>
  <si>
    <t xml:space="preserve">serge lutens perfume l'orpheline</t>
  </si>
  <si>
    <t xml:space="preserve">serge lutens perfume ambre sultan</t>
  </si>
  <si>
    <t xml:space="preserve">serge lutens perfume a la nuit</t>
  </si>
  <si>
    <t xml:space="preserve">serge lutens perfume reddit</t>
  </si>
  <si>
    <t xml:space="preserve">serge lutens perfume ecrin de fumee</t>
  </si>
  <si>
    <t xml:space="preserve">shiseido perfume zen</t>
  </si>
  <si>
    <t xml:space="preserve">shiseido perfume ginza</t>
  </si>
  <si>
    <t xml:space="preserve">shiseido perfume discontinued</t>
  </si>
  <si>
    <t xml:space="preserve">shiseido perfume price</t>
  </si>
  <si>
    <t xml:space="preserve">shiseido perfume men</t>
  </si>
  <si>
    <t xml:space="preserve">shiseido perfume women</t>
  </si>
  <si>
    <t xml:space="preserve">shiseido perfume australia</t>
  </si>
  <si>
    <t xml:space="preserve">shiseido perfume ginza night</t>
  </si>
  <si>
    <t xml:space="preserve">shiseido perfume ever bloom</t>
  </si>
  <si>
    <t xml:space="preserve">shiseido zen essence</t>
  </si>
  <si>
    <t xml:space="preserve">shiseido zen parfem</t>
  </si>
  <si>
    <t xml:space="preserve">shiseido zen fragrantica</t>
  </si>
  <si>
    <t xml:space="preserve">shiseido zen essence eau de parfum</t>
  </si>
  <si>
    <t xml:space="preserve">ambreen signature</t>
  </si>
  <si>
    <t xml:space="preserve">signature sillage ambre</t>
  </si>
  <si>
    <t xml:space="preserve">ambre signature by sillage d orient</t>
  </si>
  <si>
    <t xml:space="preserve">signature aura luxury pg for women</t>
  </si>
  <si>
    <t xml:space="preserve">signature aura luxury pg for women photos</t>
  </si>
  <si>
    <t xml:space="preserve">signature aura luxury pg for women reviews</t>
  </si>
  <si>
    <t xml:space="preserve">signature aura 4 pcs set</t>
  </si>
  <si>
    <t xml:space="preserve">signature aura bedsheet</t>
  </si>
  <si>
    <t xml:space="preserve">signature aura luxury pg</t>
  </si>
  <si>
    <t xml:space="preserve">signature aura fragrantica</t>
  </si>
  <si>
    <t xml:space="preserve">signature aura comforter set</t>
  </si>
  <si>
    <t xml:space="preserve">difference between pour homme and eau de toilette</t>
  </si>
  <si>
    <t xml:space="preserve">difference between pour homme and pour femme</t>
  </si>
  <si>
    <t xml:space="preserve">signature blue cigars</t>
  </si>
  <si>
    <t xml:space="preserve">signature bluetooth</t>
  </si>
  <si>
    <t xml:space="preserve">signature blue resort</t>
  </si>
  <si>
    <t xml:space="preserve">signature blue resort kusadasi</t>
  </si>
  <si>
    <t xml:space="preserve">signature bluetooth price</t>
  </si>
  <si>
    <t xml:space="preserve">signature blue cigarettes</t>
  </si>
  <si>
    <t xml:space="preserve">signature blue to black</t>
  </si>
  <si>
    <t xml:space="preserve">signature bluetooth speaker</t>
  </si>
  <si>
    <t xml:space="preserve">signature charmeuse carpet</t>
  </si>
  <si>
    <t xml:space="preserve">signature charmeuse</t>
  </si>
  <si>
    <t xml:space="preserve">signature charm sewing machine</t>
  </si>
  <si>
    <t xml:space="preserve">signature charm janome</t>
  </si>
  <si>
    <t xml:space="preserve">signature charm fragrantica</t>
  </si>
  <si>
    <t xml:space="preserve">signature charm meaning</t>
  </si>
  <si>
    <t xml:space="preserve">signature charm bracelet</t>
  </si>
  <si>
    <t xml:space="preserve">signature charm perfume fragrantica</t>
  </si>
  <si>
    <t xml:space="preserve">signature sillage d'orient perfume</t>
  </si>
  <si>
    <t xml:space="preserve">signature sillage d'orient charm perfume</t>
  </si>
  <si>
    <t xml:space="preserve">signature d orient parfum</t>
  </si>
  <si>
    <t xml:space="preserve">signature sillage d orient parfum</t>
  </si>
  <si>
    <t xml:space="preserve">signature perfume review</t>
  </si>
  <si>
    <t xml:space="preserve">signature perfume price</t>
  </si>
  <si>
    <t xml:space="preserve">signature perfume meaning</t>
  </si>
  <si>
    <t xml:space="preserve">what is my signature perfume</t>
  </si>
  <si>
    <t xml:space="preserve">signature diamonds</t>
  </si>
  <si>
    <t xml:space="preserve">signature diamond lodge haven</t>
  </si>
  <si>
    <t xml:space="preserve">signature diamond art</t>
  </si>
  <si>
    <t xml:space="preserve">signature diamonds colorado mills</t>
  </si>
  <si>
    <t xml:space="preserve">signature diamond glow facial</t>
  </si>
  <si>
    <t xml:space="preserve">signature diamond lodge haggerston castle</t>
  </si>
  <si>
    <t xml:space="preserve">signature diamonds knoxville</t>
  </si>
  <si>
    <t xml:space="preserve">signature diamond real estate</t>
  </si>
  <si>
    <t xml:space="preserve">signature diamond lodge haven craig tara</t>
  </si>
  <si>
    <t xml:space="preserve">signature discovery set tom ford</t>
  </si>
  <si>
    <t xml:space="preserve">autograph discovery set</t>
  </si>
  <si>
    <t xml:space="preserve">ghawali signature discovery set</t>
  </si>
  <si>
    <t xml:space="preserve">signature mini discovery set tom ford</t>
  </si>
  <si>
    <t xml:space="preserve">dunhill signature discovery set</t>
  </si>
  <si>
    <t xml:space="preserve">signature collection discovery set</t>
  </si>
  <si>
    <t xml:space="preserve">signature scent discovery set</t>
  </si>
  <si>
    <t xml:space="preserve">signature jade kvepalai</t>
  </si>
  <si>
    <t xml:space="preserve">signature jade by sillage d orient</t>
  </si>
  <si>
    <t xml:space="preserve">signature jade hair mist</t>
  </si>
  <si>
    <t xml:space="preserve">signature jade fragrantica</t>
  </si>
  <si>
    <t xml:space="preserve">signature muskan</t>
  </si>
  <si>
    <t xml:space="preserve">signature muskan name</t>
  </si>
  <si>
    <t xml:space="preserve">signature musk by sillage d orient</t>
  </si>
  <si>
    <t xml:space="preserve">signature musk fragrantica</t>
  </si>
  <si>
    <t xml:space="preserve">muskan signature style</t>
  </si>
  <si>
    <t xml:space="preserve">muskan signature style name</t>
  </si>
  <si>
    <t xml:space="preserve">musk signature hamidi</t>
  </si>
  <si>
    <t xml:space="preserve">muskaan signature</t>
  </si>
  <si>
    <t xml:space="preserve">signature onyxia</t>
  </si>
  <si>
    <t xml:space="preserve">signature onyx fragrantica</t>
  </si>
  <si>
    <t xml:space="preserve">signature onyx black</t>
  </si>
  <si>
    <t xml:space="preserve">signature onyx towel</t>
  </si>
  <si>
    <t xml:space="preserve">signature opal glow</t>
  </si>
  <si>
    <t xml:space="preserve">signature opal australia</t>
  </si>
  <si>
    <t xml:space="preserve">signature opal kvepalai</t>
  </si>
  <si>
    <t xml:space="preserve">signature opal fragrantica</t>
  </si>
  <si>
    <t xml:space="preserve">signature collection opal glow</t>
  </si>
  <si>
    <t xml:space="preserve">signature paradiso fragrantica</t>
  </si>
  <si>
    <t xml:space="preserve">paradiso signature lounge</t>
  </si>
  <si>
    <t xml:space="preserve">bw signature paradiso naples</t>
  </si>
  <si>
    <t xml:space="preserve">signature by sillage paradiso</t>
  </si>
  <si>
    <t xml:space="preserve">signature rose gold perfume</t>
  </si>
  <si>
    <t xml:space="preserve">signature rose gold</t>
  </si>
  <si>
    <t xml:space="preserve">signature rose gold perfume price</t>
  </si>
  <si>
    <t xml:space="preserve">signature roselia sector 95a</t>
  </si>
  <si>
    <t xml:space="preserve">signature rose gold perfume price in pakistan</t>
  </si>
  <si>
    <t xml:space="preserve">signature roselia</t>
  </si>
  <si>
    <t xml:space="preserve">signature rose gold perfume price in ksa</t>
  </si>
  <si>
    <t xml:space="preserve">signature rose gold dkhoon emirates</t>
  </si>
  <si>
    <t xml:space="preserve">signature santal fragrantica</t>
  </si>
  <si>
    <t xml:space="preserve">signature santal sandalwood</t>
  </si>
  <si>
    <t xml:space="preserve">signature santal kvepalai</t>
  </si>
  <si>
    <t xml:space="preserve">signature sapphire watch</t>
  </si>
  <si>
    <t xml:space="preserve">sapphire signature collection</t>
  </si>
  <si>
    <t xml:space="preserve">sapphire signature 3 piece embroidered</t>
  </si>
  <si>
    <t xml:space="preserve">sapphire signature collection 2025</t>
  </si>
  <si>
    <t xml:space="preserve">sapphire signature unstitched</t>
  </si>
  <si>
    <t xml:space="preserve">the woods collection azure fragrantica</t>
  </si>
  <si>
    <t xml:space="preserve">the woods collection azure reddit</t>
  </si>
  <si>
    <t xml:space="preserve">the woods collection azure u edp 100ml</t>
  </si>
  <si>
    <t xml:space="preserve">the woods collection unisex azure</t>
  </si>
  <si>
    <t xml:space="preserve">the woods collection eden fragrantica</t>
  </si>
  <si>
    <t xml:space="preserve">the woods collection unisex eden</t>
  </si>
  <si>
    <t xml:space="preserve">the woods collection eden купить</t>
  </si>
  <si>
    <t xml:space="preserve">the woods collection elysian u edp 100ml</t>
  </si>
  <si>
    <t xml:space="preserve">the woods collection unisex elysian</t>
  </si>
  <si>
    <t xml:space="preserve">the woods collection green walk u edp 100ml</t>
  </si>
  <si>
    <t xml:space="preserve">the woods collection unisex green walk</t>
  </si>
  <si>
    <t xml:space="preserve">the green walk from the woods collection house</t>
  </si>
  <si>
    <t xml:space="preserve">why hasn't my green bin been collected</t>
  </si>
  <si>
    <t xml:space="preserve">why my green bin not collected</t>
  </si>
  <si>
    <t xml:space="preserve">the woods collection mirage fragrantica</t>
  </si>
  <si>
    <t xml:space="preserve">the woods collection pure shine fragrantica</t>
  </si>
  <si>
    <t xml:space="preserve">the woods collection unisex pure shine</t>
  </si>
  <si>
    <t xml:space="preserve">the woods collection pure shine купить</t>
  </si>
  <si>
    <t xml:space="preserve">the woods collection unisex secret source</t>
  </si>
  <si>
    <t xml:space="preserve">парфюмерная вода the woods collection secret source</t>
  </si>
  <si>
    <t xml:space="preserve">the woods collection sunrise fragrantica</t>
  </si>
  <si>
    <t xml:space="preserve">the woods collection unisex sunrise</t>
  </si>
  <si>
    <t xml:space="preserve">the woods collection twilight fragrantica</t>
  </si>
  <si>
    <t xml:space="preserve">the woods collection twilight hair mist</t>
  </si>
  <si>
    <t xml:space="preserve">the woods collection unisex wild roses</t>
  </si>
  <si>
    <t xml:space="preserve">tiziana terenzi akragas fragrantica</t>
  </si>
  <si>
    <t xml:space="preserve">tiziana terenzi akragas parfumo</t>
  </si>
  <si>
    <t xml:space="preserve">tiziana terenzi akragas parfum</t>
  </si>
  <si>
    <t xml:space="preserve">tiziana terenzi andromeda fragrantica</t>
  </si>
  <si>
    <t xml:space="preserve">tiziana terenzi andromeda pun miris</t>
  </si>
  <si>
    <t xml:space="preserve">tiziana terenzi andromeda perfume</t>
  </si>
  <si>
    <t xml:space="preserve">tiziana terenzi caput mundi fragrantica</t>
  </si>
  <si>
    <t xml:space="preserve">tiziana terenzi luna collection caput mundi</t>
  </si>
  <si>
    <t xml:space="preserve">tiziana terenzi caput mundi купить</t>
  </si>
  <si>
    <t xml:space="preserve">tiziana terenzi chimaera anniversary collection</t>
  </si>
  <si>
    <t xml:space="preserve">tiziana terenzi chimaera anniversary collection eau de parfum 100ml</t>
  </si>
  <si>
    <t xml:space="preserve">jade empire release date</t>
  </si>
  <si>
    <t xml:space="preserve">zhuo yifan wife</t>
  </si>
  <si>
    <t xml:space="preserve">tiziana terenzi draconis fragrantica</t>
  </si>
  <si>
    <t xml:space="preserve">tiziana terenzi draconis extrait</t>
  </si>
  <si>
    <t xml:space="preserve">tiziana terenzi draconis perfume</t>
  </si>
  <si>
    <t xml:space="preserve">tiziana terenzi dubhe assoluto u extrait de parfum 100ml</t>
  </si>
  <si>
    <t xml:space="preserve">tiziana terenzi ecstasy fragrantica</t>
  </si>
  <si>
    <t xml:space="preserve">tiziana terenzi ecstasy parfumo</t>
  </si>
  <si>
    <t xml:space="preserve">tiziana terenzi gold rose oudh fragrantica</t>
  </si>
  <si>
    <t xml:space="preserve">tiziana terenzi gold rose oudh notes</t>
  </si>
  <si>
    <t xml:space="preserve">tiziana terenzi gold rose oudh extrait</t>
  </si>
  <si>
    <t xml:space="preserve">tiziana terenzi gumin fragrantica</t>
  </si>
  <si>
    <t xml:space="preserve">tiziana terenzi gumin qiymeti</t>
  </si>
  <si>
    <t xml:space="preserve">tiziana terenzi price</t>
  </si>
  <si>
    <t xml:space="preserve">tiziana terenzi kaff attar</t>
  </si>
  <si>
    <t xml:space="preserve">tiziana terenzi kaff fragrantica</t>
  </si>
  <si>
    <t xml:space="preserve">tiziana terenzi kaff extrait</t>
  </si>
  <si>
    <t xml:space="preserve">tiziana terenzi kirke overdose</t>
  </si>
  <si>
    <t xml:space="preserve">tiziana terenzi kirke fragrantica</t>
  </si>
  <si>
    <t xml:space="preserve">tiziana terenzi kirke overdose extrait de parfum</t>
  </si>
  <si>
    <t xml:space="preserve">tiziana terenzi leonis</t>
  </si>
  <si>
    <t xml:space="preserve">tiziana terenzi leonis 1</t>
  </si>
  <si>
    <t xml:space="preserve">tiziana terenzi leo fragrantica</t>
  </si>
  <si>
    <t xml:space="preserve">tiziana terenzi moro di venezia fragrantica</t>
  </si>
  <si>
    <t xml:space="preserve">moro di venezia tiziana terenzi отзывы</t>
  </si>
  <si>
    <t xml:space="preserve">tiziana terenzi moro di venezia фрагрантика</t>
  </si>
  <si>
    <t xml:space="preserve">tiziana terenzi orionis</t>
  </si>
  <si>
    <t xml:space="preserve">tiziana terenzi orion fragrantica</t>
  </si>
  <si>
    <t xml:space="preserve">tiziana terenzi orionis assoluto</t>
  </si>
  <si>
    <t xml:space="preserve">tiziana terenzi orion cena</t>
  </si>
  <si>
    <t xml:space="preserve">tiziana terenzi perfume price</t>
  </si>
  <si>
    <t xml:space="preserve">tiziana terenzi perfume review</t>
  </si>
  <si>
    <t xml:space="preserve">tiziana terenzi perfume kirke</t>
  </si>
  <si>
    <t xml:space="preserve">tiziana terenzi perfume men</t>
  </si>
  <si>
    <t xml:space="preserve">tiziana terenzi perfume best seller</t>
  </si>
  <si>
    <t xml:space="preserve">tiziana terenzi perfume price in pakistan</t>
  </si>
  <si>
    <t xml:space="preserve">tiziana terenzi perfume halley</t>
  </si>
  <si>
    <t xml:space="preserve">tiziana terenzi perfume cassiopea</t>
  </si>
  <si>
    <t xml:space="preserve">tiziana terenzi perfume andromeda</t>
  </si>
  <si>
    <t xml:space="preserve">tiziana terenzi porpora fragrantica</t>
  </si>
  <si>
    <t xml:space="preserve">tiziana terenzi porpora vs portrait of a lady</t>
  </si>
  <si>
    <t xml:space="preserve">tiziana terenzi porpora dupe</t>
  </si>
  <si>
    <t xml:space="preserve">tiziana terenzi saiph attar</t>
  </si>
  <si>
    <t xml:space="preserve">tiziana terenzi saiph fragrantica</t>
  </si>
  <si>
    <t xml:space="preserve">tiziana terenzi saiph edp 100ml</t>
  </si>
  <si>
    <t xml:space="preserve">tiziana terenzi sea stars collection abbrivio &amp; deriva</t>
  </si>
  <si>
    <t xml:space="preserve">orion tiziana terenzi review</t>
  </si>
  <si>
    <t xml:space="preserve">tiziana terenzi white fire fragrantica</t>
  </si>
  <si>
    <t xml:space="preserve">tiziana terenzi white fire hair mist</t>
  </si>
  <si>
    <t xml:space="preserve">tiziana terenzi white fire perfume</t>
  </si>
  <si>
    <t xml:space="preserve">tom ford black orchid for men</t>
  </si>
  <si>
    <t xml:space="preserve">tom ford black orchid for women</t>
  </si>
  <si>
    <t xml:space="preserve">tom ford black orchid reserve</t>
  </si>
  <si>
    <t xml:space="preserve">tom ford black orchid 100ml</t>
  </si>
  <si>
    <t xml:space="preserve">tom ford black orchid eau de parfum</t>
  </si>
  <si>
    <t xml:space="preserve">tom ford black orchid notes</t>
  </si>
  <si>
    <t xml:space="preserve">tom ford black orchid men or women</t>
  </si>
  <si>
    <t xml:space="preserve">tom ford ebene fume 100ml</t>
  </si>
  <si>
    <t xml:space="preserve">tom ford ebene fume dupe</t>
  </si>
  <si>
    <t xml:space="preserve">tom ford ebene fume notes</t>
  </si>
  <si>
    <t xml:space="preserve">tom ford ebene fume review</t>
  </si>
  <si>
    <t xml:space="preserve">tom ford ebene fume candle</t>
  </si>
  <si>
    <t xml:space="preserve">tom ford ebene fume for men or women</t>
  </si>
  <si>
    <t xml:space="preserve">tom ford ebene fume 50 ml</t>
  </si>
  <si>
    <t xml:space="preserve">tom ford ebene fume 30ml</t>
  </si>
  <si>
    <t xml:space="preserve">tom ford ebene fume fragrantica</t>
  </si>
  <si>
    <t xml:space="preserve">tom ford neroli portofino 100ml</t>
  </si>
  <si>
    <t xml:space="preserve">tom ford neroli portofino dupe</t>
  </si>
  <si>
    <t xml:space="preserve">tom ford neroli portofino acqua</t>
  </si>
  <si>
    <t xml:space="preserve">tom ford neroli portofino parfum</t>
  </si>
  <si>
    <t xml:space="preserve">tom ford neroli portofino notes</t>
  </si>
  <si>
    <t xml:space="preserve">tom ford neroli portofino 50ml</t>
  </si>
  <si>
    <t xml:space="preserve">tom ford neroli portofino review</t>
  </si>
  <si>
    <t xml:space="preserve">tom ford noir extreme 100ml</t>
  </si>
  <si>
    <t xml:space="preserve">tom ford noir extreme dupe</t>
  </si>
  <si>
    <t xml:space="preserve">tom ford noir extreme edp</t>
  </si>
  <si>
    <t xml:space="preserve">tom ford noir extreme eau de parfum</t>
  </si>
  <si>
    <t xml:space="preserve">tom ford noir extreme notes</t>
  </si>
  <si>
    <t xml:space="preserve">tom ford noir extreme 50ml</t>
  </si>
  <si>
    <t xml:space="preserve">tom ford noir extreme review</t>
  </si>
  <si>
    <t xml:space="preserve">tom ford oud wood 100ml</t>
  </si>
  <si>
    <t xml:space="preserve">tom ford oud wood dupe</t>
  </si>
  <si>
    <t xml:space="preserve">tom ford oud wood parfum</t>
  </si>
  <si>
    <t xml:space="preserve">tom ford oud wood 50ml</t>
  </si>
  <si>
    <t xml:space="preserve">tom ford oud wood notes</t>
  </si>
  <si>
    <t xml:space="preserve">tom ford oud wood review</t>
  </si>
  <si>
    <t xml:space="preserve">tom ford oud wood perfume</t>
  </si>
  <si>
    <t xml:space="preserve">tom ford perfume women</t>
  </si>
  <si>
    <t xml:space="preserve">tom ford perfume price</t>
  </si>
  <si>
    <t xml:space="preserve">tom ford perfume price in pakistan</t>
  </si>
  <si>
    <t xml:space="preserve">tom ford perfume oud wood</t>
  </si>
  <si>
    <t xml:space="preserve">tom ford perfume black orchid</t>
  </si>
  <si>
    <t xml:space="preserve">tom ford perfume ombre leather</t>
  </si>
  <si>
    <t xml:space="preserve">tom ford perfume lost cherry</t>
  </si>
  <si>
    <t xml:space="preserve">tom ford perfume tobacco vanille</t>
  </si>
  <si>
    <t xml:space="preserve">trussardi delicate rose fragrantica</t>
  </si>
  <si>
    <t xml:space="preserve">trussardi delicate rose edt 100ml</t>
  </si>
  <si>
    <t xml:space="preserve">trussardi perfume price</t>
  </si>
  <si>
    <t xml:space="preserve">trussardi perfume woman</t>
  </si>
  <si>
    <t xml:space="preserve">trussardi perfume man</t>
  </si>
  <si>
    <t xml:space="preserve">trussardi perfume donna</t>
  </si>
  <si>
    <t xml:space="preserve">trussardi perfume my name</t>
  </si>
  <si>
    <t xml:space="preserve">trussardi perfume men</t>
  </si>
  <si>
    <t xml:space="preserve">trussardi perfume price in pakistan</t>
  </si>
  <si>
    <t xml:space="preserve">trussardi perfume uomo</t>
  </si>
  <si>
    <t xml:space="preserve">trussardi perfume delicate rose</t>
  </si>
  <si>
    <t xml:space="preserve">trussardi pure jasmine fragrantica</t>
  </si>
  <si>
    <t xml:space="preserve">trussardi pure jasmine set</t>
  </si>
  <si>
    <t xml:space="preserve">trussardi pure jasmine 30ml</t>
  </si>
  <si>
    <t xml:space="preserve">trussardi ruby red set(edp 60 shimmering body emulsion 100)</t>
  </si>
  <si>
    <t xml:space="preserve">ruby red gift ideas</t>
  </si>
  <si>
    <t xml:space="preserve">what do red rubies symbolize</t>
  </si>
  <si>
    <t xml:space="preserve">are red diamonds rubies</t>
  </si>
  <si>
    <t xml:space="preserve">viktor &amp; rolf perfume good fortune</t>
  </si>
  <si>
    <t xml:space="preserve">viktor &amp; rolf perfume men</t>
  </si>
  <si>
    <t xml:space="preserve">viktor &amp; rolf perfume bonbon</t>
  </si>
  <si>
    <t xml:space="preserve">viktor &amp; rolf perfume price</t>
  </si>
  <si>
    <t xml:space="preserve">viktor &amp; rolf perfume flowerbomb</t>
  </si>
  <si>
    <t xml:space="preserve">viktor &amp; rolf perfume spicebomb</t>
  </si>
  <si>
    <t xml:space="preserve">viktor rolf perfume set</t>
  </si>
  <si>
    <t xml:space="preserve">viktor rolf perfume women</t>
  </si>
  <si>
    <t xml:space="preserve">viktor rolf perfume tiger lily</t>
  </si>
  <si>
    <t xml:space="preserve">vilvah aloe vera gel for face</t>
  </si>
  <si>
    <t xml:space="preserve">vilvah aloe vera gel for hair</t>
  </si>
  <si>
    <t xml:space="preserve">vilvah aloe vera gel flipkart</t>
  </si>
  <si>
    <t xml:space="preserve">vilvah store anti dandruff hair oil</t>
  </si>
  <si>
    <t xml:space="preserve">can we apply hair oil for dandruff</t>
  </si>
  <si>
    <t xml:space="preserve">how to apply coconut oil on hair for dandruff</t>
  </si>
  <si>
    <t xml:space="preserve">vilvah anti frizz hair serum reddit</t>
  </si>
  <si>
    <t xml:space="preserve">vilvah store anti frizz hair serum</t>
  </si>
  <si>
    <t xml:space="preserve">does hair serum help frizz</t>
  </si>
  <si>
    <t xml:space="preserve">is serum good for frizzy hair</t>
  </si>
  <si>
    <t xml:space="preserve">top 5 hair serum for frizzy hair</t>
  </si>
  <si>
    <t xml:space="preserve">is anti frizz serum bad for hair</t>
  </si>
  <si>
    <t xml:space="preserve">vilvah better aging serum side effects</t>
  </si>
  <si>
    <t xml:space="preserve">vilvah better aging serum benefits</t>
  </si>
  <si>
    <t xml:space="preserve">vilvah better aging serum ingredients</t>
  </si>
  <si>
    <t xml:space="preserve">vilvah better aging serum benefits in tamil</t>
  </si>
  <si>
    <t xml:space="preserve">vilvah better aging serum price</t>
  </si>
  <si>
    <t xml:space="preserve">vilvah better aging serum review quora</t>
  </si>
  <si>
    <t xml:space="preserve">vilvah better aging serum review in tamil</t>
  </si>
  <si>
    <t xml:space="preserve">vilvah store better aging serum for face</t>
  </si>
  <si>
    <t xml:space="preserve">vilvah charcoal face mask</t>
  </si>
  <si>
    <t xml:space="preserve">can activated charcoal be used as a face mask</t>
  </si>
  <si>
    <t xml:space="preserve">what to do before applying charcoal face mask</t>
  </si>
  <si>
    <t xml:space="preserve">vilvah charcoal goat milk soap</t>
  </si>
  <si>
    <t xml:space="preserve">is charcoal soap good for your skin</t>
  </si>
  <si>
    <t xml:space="preserve">vilvah classic goat milk soap</t>
  </si>
  <si>
    <t xml:space="preserve">vilvah store cream conditioner</t>
  </si>
  <si>
    <t xml:space="preserve">vilvah goat milk shampoo cream conditioner</t>
  </si>
  <si>
    <t xml:space="preserve">vilvah hair products review</t>
  </si>
  <si>
    <t xml:space="preserve">vilvah shampoo and conditioner review</t>
  </si>
  <si>
    <t xml:space="preserve">vilvah face mask review</t>
  </si>
  <si>
    <t xml:space="preserve">face brightening drink</t>
  </si>
  <si>
    <t xml:space="preserve">face brightening home remedies</t>
  </si>
  <si>
    <t xml:space="preserve">vilvah filter coffee lip balm</t>
  </si>
  <si>
    <t xml:space="preserve">vilvah foot cream uses</t>
  </si>
  <si>
    <t xml:space="preserve">vilvah foot cream uses in tamil</t>
  </si>
  <si>
    <t xml:space="preserve">vilvah foot cream review in tamil</t>
  </si>
  <si>
    <t xml:space="preserve">vilvah foot cream side effects</t>
  </si>
  <si>
    <t xml:space="preserve">is vilvah a good brand</t>
  </si>
  <si>
    <t xml:space="preserve">fungal infection on foot treatment cream</t>
  </si>
  <si>
    <t xml:space="preserve">how to use goat milk soap for skin</t>
  </si>
  <si>
    <t xml:space="preserve">is goat milk soap good for your skin</t>
  </si>
  <si>
    <t xml:space="preserve">ziaja goat milk hair mask review</t>
  </si>
  <si>
    <t xml:space="preserve">vilvah goat milk shampoo and conditioner</t>
  </si>
  <si>
    <t xml:space="preserve">vilvah goat milk shampoo for kids</t>
  </si>
  <si>
    <t xml:space="preserve">vilvah goat milk shampoo side effects</t>
  </si>
  <si>
    <t xml:space="preserve">vilvah goat milk shampoo review hair loss</t>
  </si>
  <si>
    <t xml:space="preserve">vilvah goat milk shampoo ph level</t>
  </si>
  <si>
    <t xml:space="preserve">vilvah hair growth oil side effects</t>
  </si>
  <si>
    <t xml:space="preserve">vilvah hair growth oil review in tamil</t>
  </si>
  <si>
    <t xml:space="preserve">vilvah hair fall control shampoo</t>
  </si>
  <si>
    <t xml:space="preserve">which herbal essences shampoo is best for dandruff</t>
  </si>
  <si>
    <t xml:space="preserve">which herbal shampoo is best for dandruff and hair fall</t>
  </si>
  <si>
    <t xml:space="preserve">vilvah honey fix face cleanser 100ml</t>
  </si>
  <si>
    <t xml:space="preserve">vilvah store honey fix face cleanser</t>
  </si>
  <si>
    <t xml:space="preserve">vilvah store grapefruit lip balm</t>
  </si>
  <si>
    <t xml:space="preserve">is beetroot lip balm good for lips</t>
  </si>
  <si>
    <t xml:space="preserve">vilvah store lip scrub</t>
  </si>
  <si>
    <t xml:space="preserve">vilvah store lip scrub 10g</t>
  </si>
  <si>
    <t xml:space="preserve">vilvah organic lip scrub</t>
  </si>
  <si>
    <t xml:space="preserve">vilvah mango milkshake lip balm</t>
  </si>
  <si>
    <t xml:space="preserve">mango reaction on lips</t>
  </si>
  <si>
    <t xml:space="preserve">vilvah goat milk body lotion</t>
  </si>
  <si>
    <t xml:space="preserve">vilvah store milk body lotion</t>
  </si>
  <si>
    <t xml:space="preserve">vilvah milk drops body lotion</t>
  </si>
  <si>
    <t xml:space="preserve">vilvah oat milk body lotion</t>
  </si>
  <si>
    <t xml:space="preserve">does milk cream lighten skin</t>
  </si>
  <si>
    <t xml:space="preserve">vilvah milk drops brightening serum price in sri lanka</t>
  </si>
  <si>
    <t xml:space="preserve">vilvah milk drops brightening serum side effects</t>
  </si>
  <si>
    <t xml:space="preserve">vilvah milk drops brightening serum flipkart</t>
  </si>
  <si>
    <t xml:space="preserve">vilvah milk drops brightening serum price in india</t>
  </si>
  <si>
    <t xml:space="preserve">vilvah milk drops brightening serum how to use in tamil</t>
  </si>
  <si>
    <t xml:space="preserve">vilvah milk face pack</t>
  </si>
  <si>
    <t xml:space="preserve">vilvah milk mud face pack</t>
  </si>
  <si>
    <t xml:space="preserve">how to do milk facial at home</t>
  </si>
  <si>
    <t xml:space="preserve">how can i apply milk on my face</t>
  </si>
  <si>
    <t xml:space="preserve">vilvah store milk face toner</t>
  </si>
  <si>
    <t xml:space="preserve">is milk toner good for skin</t>
  </si>
  <si>
    <t xml:space="preserve">vilvah milk mud mask usage</t>
  </si>
  <si>
    <t xml:space="preserve">vilvah milk mud mask flipkart</t>
  </si>
  <si>
    <t xml:space="preserve">vilvah milk mud face mask</t>
  </si>
  <si>
    <t xml:space="preserve">vilvah milk powder face wash in meesho</t>
  </si>
  <si>
    <t xml:space="preserve">vilvah milk powder face wash for oily skin</t>
  </si>
  <si>
    <t xml:space="preserve">vilvah milk powder face wash benefits in tamil</t>
  </si>
  <si>
    <t xml:space="preserve">vilvah annapoorna rose milk lip balm</t>
  </si>
  <si>
    <t xml:space="preserve">how to use vilvah lip scrub</t>
  </si>
  <si>
    <t xml:space="preserve">vilvah rose water facial toner</t>
  </si>
  <si>
    <t xml:space="preserve">what does rose water toner do for the face</t>
  </si>
  <si>
    <t xml:space="preserve">what is rose water facial toner</t>
  </si>
  <si>
    <t xml:space="preserve">is skin brightening the same as bleaching</t>
  </si>
  <si>
    <t xml:space="preserve">skin brightening vs skin whitening</t>
  </si>
  <si>
    <t xml:space="preserve">vilvah skin finish sunscreen spf 50 pa++++</t>
  </si>
  <si>
    <t xml:space="preserve">la roche-posay sunscreen spf 50 reviews</t>
  </si>
  <si>
    <t xml:space="preserve">what spf sunscreen should you use on your face</t>
  </si>
  <si>
    <t xml:space="preserve">la roche-posay sunscreen spf 50 price</t>
  </si>
  <si>
    <t xml:space="preserve">which spf sunscreen is best for indian skin</t>
  </si>
  <si>
    <t xml:space="preserve">is vilvah organic</t>
  </si>
  <si>
    <t xml:space="preserve">vilvah ultra moisturizing cream review</t>
  </si>
  <si>
    <t xml:space="preserve">vilvah ultra moisturizing cream ingredients</t>
  </si>
  <si>
    <t xml:space="preserve">vilvah store ultra moisturising cream</t>
  </si>
  <si>
    <t xml:space="preserve">ceramedx ultra moisturizing cream review</t>
  </si>
  <si>
    <t xml:space="preserve">does under eye cream reduce dark circles</t>
  </si>
  <si>
    <t xml:space="preserve">which cream is best for under eye dark circles</t>
  </si>
  <si>
    <t xml:space="preserve">vilvah wild rose face mask</t>
  </si>
  <si>
    <t xml:space="preserve">vilvah wild rose face mask review</t>
  </si>
  <si>
    <t xml:space="preserve">ysl perfume women</t>
  </si>
  <si>
    <t xml:space="preserve">ysl perfume men</t>
  </si>
  <si>
    <t xml:space="preserve">ysl perfume price</t>
  </si>
  <si>
    <t xml:space="preserve">ysl perfume libre</t>
  </si>
  <si>
    <t xml:space="preserve">ysl perfume price in pakistan</t>
  </si>
  <si>
    <t xml:space="preserve">ysl perfume myself</t>
  </si>
  <si>
    <t xml:space="preserve">ysl perfume mon paris</t>
  </si>
  <si>
    <t xml:space="preserve">ysl perfume set</t>
  </si>
  <si>
    <t xml:space="preserve">ysl perfume price in india</t>
  </si>
</sst>
</file>

<file path=xl/styles.xml><?xml version="1.0" encoding="utf-8"?>
<styleSheet xmlns="http://schemas.openxmlformats.org/spreadsheetml/2006/main">
  <numFmts count="5">
    <numFmt numFmtId="164" formatCode="General"/>
    <numFmt numFmtId="165" formatCode="#,##0"/>
    <numFmt numFmtId="166" formatCode="\$0.00"/>
    <numFmt numFmtId="167" formatCode="General"/>
    <numFmt numFmtId="168" formatCode="\$0.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i val="true"/>
      <sz val="10"/>
      <name val="Arial"/>
      <family val="0"/>
      <charset val="1"/>
    </font>
    <font>
      <b val="true"/>
      <sz val="10"/>
      <color rgb="FFFFFFFF"/>
      <name val="Arial"/>
      <family val="0"/>
      <charset val="1"/>
    </font>
    <font>
      <sz val="10"/>
      <color rgb="FF008000"/>
      <name val="Arial"/>
      <family val="0"/>
      <charset val="1"/>
    </font>
    <font>
      <sz val="10"/>
      <color rgb="FFA6A6A6"/>
      <name val="Arial"/>
      <family val="0"/>
      <charset val="1"/>
    </font>
  </fonts>
  <fills count="6">
    <fill>
      <patternFill patternType="none"/>
    </fill>
    <fill>
      <patternFill patternType="gray125"/>
    </fill>
    <fill>
      <patternFill patternType="solid">
        <fgColor rgb="FF1F3B34"/>
        <bgColor rgb="FF3A2421"/>
      </patternFill>
    </fill>
    <fill>
      <patternFill patternType="solid">
        <fgColor rgb="FF9A7536"/>
        <bgColor rgb="FF808080"/>
      </patternFill>
    </fill>
    <fill>
      <patternFill patternType="solid">
        <fgColor rgb="FFA6A6A6"/>
        <bgColor rgb="FFC0C0C0"/>
      </patternFill>
    </fill>
    <fill>
      <patternFill patternType="solid">
        <fgColor rgb="FF3A2421"/>
        <bgColor rgb="FF1F3B34"/>
      </patternFill>
    </fill>
  </fills>
  <borders count="2">
    <border diagonalUp="false" diagonalDown="false">
      <left/>
      <right/>
      <top/>
      <bottom/>
      <diagonal/>
    </border>
    <border diagonalUp="false" diagonalDown="false">
      <left/>
      <right/>
      <top/>
      <bottom style="thin">
        <color rgb="FFE3DA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7"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Arial"/>
        <charset val="1"/>
        <family val="0"/>
        <b val="1"/>
        <color rgb="FF008000"/>
        <sz val="10"/>
      </font>
    </dxf>
    <dxf>
      <fill>
        <patternFill patternType="solid">
          <fgColor rgb="FF1F3B34"/>
          <bgColor rgb="FF000000"/>
        </patternFill>
      </fill>
    </dxf>
    <dxf>
      <fill>
        <patternFill patternType="solid">
          <bgColor rgb="FF000000"/>
        </patternFill>
      </fill>
    </dxf>
    <dxf>
      <fill>
        <patternFill patternType="solid">
          <fgColor rgb="FFFFFFFF"/>
          <bgColor rgb="FF000000"/>
        </patternFill>
      </fill>
    </dxf>
    <dxf>
      <fill>
        <patternFill patternType="solid">
          <fgColor rgb="FF9A7536"/>
          <bgColor rgb="FF000000"/>
        </patternFill>
      </fill>
    </dxf>
    <dxf>
      <fill>
        <patternFill patternType="solid">
          <fgColor rgb="FFC00000"/>
          <bgColor rgb="FF000000"/>
        </patternFill>
      </fill>
    </dxf>
    <dxf>
      <fill>
        <patternFill patternType="solid">
          <fgColor rgb="FFFCE4D6"/>
          <bgColor rgb="FF000000"/>
        </patternFill>
      </fill>
    </dxf>
    <dxf>
      <font>
        <name val="Arial"/>
        <charset val="1"/>
        <family val="0"/>
        <b val="1"/>
        <color rgb="FFC00000"/>
        <sz val="10"/>
      </font>
    </dxf>
    <dxf>
      <fill>
        <patternFill>
          <bgColor rgb="FFFCE4D6"/>
        </patternFill>
      </fill>
    </dxf>
    <dxf>
      <font>
        <name val="Arial"/>
        <charset val="1"/>
        <family val="0"/>
        <b val="1"/>
        <color rgb="FFC00000"/>
        <sz val="10"/>
      </font>
    </dxf>
    <dxf>
      <fill>
        <patternFill>
          <bgColor rgb="FFFCE4D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9A7536"/>
      <rgbColor rgb="FF800080"/>
      <rgbColor rgb="FF008080"/>
      <rgbColor rgb="FFC0C0C0"/>
      <rgbColor rgb="FF808080"/>
      <rgbColor rgb="FF9999FF"/>
      <rgbColor rgb="FF993366"/>
      <rgbColor rgb="FFFCE4D6"/>
      <rgbColor rgb="FFCCFFFF"/>
      <rgbColor rgb="FF660066"/>
      <rgbColor rgb="FFFF8080"/>
      <rgbColor rgb="FF0066CC"/>
      <rgbColor rgb="FFE3DAC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A2421"/>
      <rgbColor rgb="FF993300"/>
      <rgbColor rgb="FF993366"/>
      <rgbColor rgb="FF333399"/>
      <rgbColor rgb="FF1F3B3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0"/>
  </cols>
  <sheetData>
    <row r="1" customFormat="false" ht="15.75" hidden="false" customHeight="true" outlineLevel="0" collapsed="false">
      <c r="A1" s="2" t="s">
        <v>0</v>
      </c>
    </row>
    <row r="2" customFormat="false" ht="23.2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15" hidden="false" customHeight="true" outlineLevel="0" collapsed="false">
      <c r="A5" s="3" t="s">
        <v>3</v>
      </c>
    </row>
    <row r="6" customFormat="false" ht="15" hidden="false" customHeight="true" outlineLevel="0" collapsed="false">
      <c r="A6" s="3" t="s">
        <v>4</v>
      </c>
    </row>
    <row r="7" customFormat="false" ht="23.25" hidden="false" customHeight="true" outlineLevel="0" collapsed="false">
      <c r="A7" s="3" t="s">
        <v>5</v>
      </c>
    </row>
    <row r="8" customFormat="false" ht="23.2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3"/>
    </row>
    <row r="11" customFormat="false" ht="15" hidden="false" customHeight="true" outlineLevel="0" collapsed="false">
      <c r="A11" s="4" t="s">
        <v>8</v>
      </c>
    </row>
    <row r="12" customFormat="false" ht="15" hidden="false" customHeight="true" outlineLevel="0" collapsed="false">
      <c r="A12" s="3" t="s">
        <v>9</v>
      </c>
    </row>
    <row r="13" customFormat="false" ht="15" hidden="false" customHeight="true" outlineLevel="0" collapsed="false">
      <c r="A13" s="3" t="s">
        <v>10</v>
      </c>
    </row>
    <row r="14" customFormat="false" ht="15" hidden="false" customHeight="true" outlineLevel="0" collapsed="false">
      <c r="A14" s="3" t="s">
        <v>11</v>
      </c>
    </row>
    <row r="15" customFormat="false" ht="15" hidden="false" customHeight="true" outlineLevel="0" collapsed="false">
      <c r="A15" s="3"/>
    </row>
    <row r="16" customFormat="false" ht="15" hidden="false" customHeight="true" outlineLevel="0" collapsed="false">
      <c r="A16" s="4" t="s">
        <v>12</v>
      </c>
    </row>
    <row r="17" customFormat="false" ht="23.25" hidden="false" customHeight="true" outlineLevel="0" collapsed="false">
      <c r="A17" s="3" t="s">
        <v>13</v>
      </c>
    </row>
    <row r="18" customFormat="false" ht="23.25" hidden="false" customHeight="true" outlineLevel="0" collapsed="false">
      <c r="A18" s="3" t="s">
        <v>14</v>
      </c>
    </row>
    <row r="19" customFormat="false" ht="15" hidden="false" customHeight="true" outlineLevel="0" collapsed="false">
      <c r="A19" s="3"/>
    </row>
    <row r="20" customFormat="false" ht="15" hidden="false" customHeight="true" outlineLevel="0" collapsed="false">
      <c r="A20" s="4" t="s">
        <v>15</v>
      </c>
    </row>
    <row r="21" customFormat="false" ht="15" hidden="false" customHeight="true" outlineLevel="0" collapsed="false">
      <c r="A21" s="3" t="s">
        <v>16</v>
      </c>
    </row>
    <row r="22" customFormat="false" ht="23.2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6" customFormat="false" ht="15" hidden="false" customHeight="true" outlineLevel="0" collapsed="false">
      <c r="A26" s="5" t="s">
        <v>20</v>
      </c>
    </row>
    <row r="27" customFormat="false" ht="15" hidden="false" customHeight="true" outlineLevel="0" collapsed="false">
      <c r="A27" s="6" t="s">
        <v>21</v>
      </c>
    </row>
    <row r="28" customFormat="false" ht="15" hidden="false" customHeight="true" outlineLevel="0" collapsed="false">
      <c r="A28" s="6"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40"/>
    <col collapsed="false" customWidth="true" hidden="false" outlineLevel="0" max="4" min="4" style="0" width="11"/>
    <col collapsed="false" customWidth="true" hidden="false" outlineLevel="0" max="6" min="5" style="0" width="9"/>
    <col collapsed="false" customWidth="true" hidden="false" outlineLevel="0" max="7" min="7" style="0" width="16"/>
    <col collapsed="false" customWidth="true" hidden="false" outlineLevel="0" max="8" min="8" style="0" width="46"/>
  </cols>
  <sheetData>
    <row r="1" customFormat="false" ht="16.15" hidden="false" customHeight="false" outlineLevel="0" collapsed="false">
      <c r="A1" s="7" t="s">
        <v>23</v>
      </c>
    </row>
    <row r="2" customFormat="false" ht="15" hidden="false" customHeight="false" outlineLevel="0" collapsed="false">
      <c r="A2" s="8" t="s">
        <v>24</v>
      </c>
    </row>
    <row r="4" customFormat="false" ht="16.15" hidden="false" customHeight="false" outlineLevel="0" collapsed="false">
      <c r="A4" s="7" t="s">
        <v>25</v>
      </c>
    </row>
    <row r="5" customFormat="false" ht="15" hidden="false" customHeight="false" outlineLevel="0" collapsed="false">
      <c r="B5" s="9" t="s">
        <v>26</v>
      </c>
      <c r="D5" s="10" t="n">
        <f aca="false">COUNTA('Semrush Data'!A2:A5000)</f>
        <v>1314</v>
      </c>
    </row>
    <row r="6" customFormat="false" ht="15" hidden="false" customHeight="false" outlineLevel="0" collapsed="false">
      <c r="B6" s="9" t="s">
        <v>27</v>
      </c>
      <c r="D6" s="10" t="n">
        <f aca="false">COUNTIF('Semrush Data'!C2:C5000,"&gt;0")</f>
        <v>735</v>
      </c>
    </row>
    <row r="7" customFormat="false" ht="15" hidden="false" customHeight="false" outlineLevel="0" collapsed="false">
      <c r="B7" s="9" t="s">
        <v>28</v>
      </c>
      <c r="D7" s="10" t="n">
        <f aca="false">COUNTIF(Products!W2:W600,"&gt;0")</f>
        <v>265</v>
      </c>
    </row>
    <row r="8" customFormat="false" ht="15" hidden="false" customHeight="false" outlineLevel="0" collapsed="false">
      <c r="B8" s="9" t="s">
        <v>29</v>
      </c>
      <c r="D8" s="10" t="n">
        <f aca="false">COUNTIFS(Products!B2:B600,"Vilvah &amp; Deyga",Products!W2:W600,"&gt;0")</f>
        <v>18</v>
      </c>
    </row>
    <row r="9" customFormat="false" ht="15" hidden="false" customHeight="false" outlineLevel="0" collapsed="false">
      <c r="B9" s="9" t="s">
        <v>30</v>
      </c>
      <c r="D9" s="10" t="n">
        <f aca="false">COUNTIFS(Products!B2:B600,"Fragrance Catalogue",Products!W2:W600,"&gt;0")</f>
        <v>247</v>
      </c>
    </row>
    <row r="10" customFormat="false" ht="15" hidden="false" customHeight="false" outlineLevel="0" collapsed="false">
      <c r="B10" s="9" t="s">
        <v>31</v>
      </c>
      <c r="D10" s="10" t="n">
        <f aca="false">SUM(Products!W2:W600)</f>
        <v>221200</v>
      </c>
    </row>
    <row r="12" customFormat="false" ht="16.15" hidden="false" customHeight="false" outlineLevel="0" collapsed="false">
      <c r="A12" s="7" t="s">
        <v>32</v>
      </c>
    </row>
    <row r="13" customFormat="false" ht="30" hidden="false" customHeight="true" outlineLevel="0" collapsed="false">
      <c r="B13" s="11" t="s">
        <v>33</v>
      </c>
      <c r="C13" s="11"/>
      <c r="D13" s="11"/>
      <c r="E13" s="11"/>
      <c r="F13" s="11"/>
      <c r="G13" s="11"/>
      <c r="H13" s="11"/>
    </row>
    <row r="14" customFormat="false" ht="30" hidden="false" customHeight="true" outlineLevel="0" collapsed="false">
      <c r="B14" s="11" t="s">
        <v>34</v>
      </c>
      <c r="C14" s="11"/>
      <c r="D14" s="11"/>
      <c r="E14" s="11"/>
      <c r="F14" s="11"/>
      <c r="G14" s="11"/>
      <c r="H14" s="11"/>
    </row>
    <row r="15" customFormat="false" ht="30" hidden="false" customHeight="true" outlineLevel="0" collapsed="false">
      <c r="B15" s="11" t="s">
        <v>35</v>
      </c>
      <c r="C15" s="11"/>
      <c r="D15" s="11"/>
      <c r="E15" s="11"/>
      <c r="F15" s="11"/>
      <c r="G15" s="11"/>
      <c r="H15" s="11"/>
    </row>
    <row r="16" customFormat="false" ht="30" hidden="false" customHeight="true" outlineLevel="0" collapsed="false">
      <c r="B16" s="11" t="s">
        <v>36</v>
      </c>
      <c r="C16" s="11"/>
      <c r="D16" s="11"/>
      <c r="E16" s="11"/>
      <c r="F16" s="11"/>
      <c r="G16" s="11"/>
      <c r="H16" s="11"/>
    </row>
    <row r="17" customFormat="false" ht="30" hidden="false" customHeight="true" outlineLevel="0" collapsed="false">
      <c r="B17" s="11" t="s">
        <v>37</v>
      </c>
      <c r="C17" s="11"/>
      <c r="D17" s="11"/>
      <c r="E17" s="11"/>
      <c r="F17" s="11"/>
      <c r="G17" s="11"/>
      <c r="H17" s="11"/>
    </row>
    <row r="19" customFormat="false" ht="16.15" hidden="false" customHeight="false" outlineLevel="0" collapsed="false">
      <c r="A19" s="7" t="s">
        <v>38</v>
      </c>
    </row>
    <row r="20" customFormat="false" ht="15" hidden="false" customHeight="false" outlineLevel="0" collapsed="false">
      <c r="A20" s="8" t="s">
        <v>39</v>
      </c>
    </row>
    <row r="21" customFormat="false" ht="15" hidden="false" customHeight="false" outlineLevel="0" collapsed="false">
      <c r="A21" s="12" t="s">
        <v>40</v>
      </c>
      <c r="B21" s="12" t="s">
        <v>41</v>
      </c>
      <c r="C21" s="12" t="s">
        <v>42</v>
      </c>
      <c r="D21" s="12" t="s">
        <v>43</v>
      </c>
      <c r="E21" s="12" t="s">
        <v>44</v>
      </c>
      <c r="F21" s="12" t="s">
        <v>45</v>
      </c>
      <c r="G21" s="12" t="s">
        <v>46</v>
      </c>
      <c r="H21" s="12" t="s">
        <v>47</v>
      </c>
    </row>
    <row r="22" customFormat="false" ht="15" hidden="false" customHeight="false" outlineLevel="0" collapsed="false">
      <c r="A22" s="9" t="s">
        <v>48</v>
      </c>
      <c r="B22" s="9" t="s">
        <v>49</v>
      </c>
      <c r="C22" s="13" t="str">
        <f aca="false">INDEX(Products!$V$2:$V$600,MATCH(A22,Products!$A$2:$A$600,0))</f>
        <v>dior sauvage</v>
      </c>
      <c r="D22" s="14" t="n">
        <f aca="false">IFERROR(INDEX('Semrush Data'!$C$2:$C$5000,MATCH(C22,'Semrush Data'!$A$2:$A$5000,0)),"")</f>
        <v>60500</v>
      </c>
      <c r="E22" s="9" t="n">
        <f aca="false">IFERROR(INDEX('Semrush Data'!$D$2:$D$5000,MATCH(C22,'Semrush Data'!$A$2:$A$5000,0)),"")</f>
        <v>38</v>
      </c>
      <c r="F22" s="15" t="n">
        <f aca="false">IFERROR(INDEX('Semrush Data'!$E$2:$E$5000,MATCH(C22,'Semrush Data'!$A$2:$A$5000,0)),"")</f>
        <v>0.57</v>
      </c>
      <c r="G22" s="9" t="str">
        <f aca="false">IF(E22="","",IF(E22&lt;=20,"Easier",IF(E22&lt;=35,"Medium","Hard")))</f>
        <v>Hard</v>
      </c>
      <c r="H22" s="9" t="s">
        <v>50</v>
      </c>
    </row>
    <row r="23" customFormat="false" ht="15" hidden="false" customHeight="false" outlineLevel="0" collapsed="false">
      <c r="A23" s="9" t="s">
        <v>51</v>
      </c>
      <c r="B23" s="9" t="s">
        <v>52</v>
      </c>
      <c r="C23" s="13" t="str">
        <f aca="false">INDEX(Products!$V$2:$V$600,MATCH(A23,Products!$A$2:$A$600,0))</f>
        <v>tom ford black orchid</v>
      </c>
      <c r="D23" s="14" t="n">
        <f aca="false">IFERROR(INDEX('Semrush Data'!$C$2:$C$5000,MATCH(C23,'Semrush Data'!$A$2:$A$5000,0)),"")</f>
        <v>22200</v>
      </c>
      <c r="E23" s="9" t="n">
        <f aca="false">IFERROR(INDEX('Semrush Data'!$D$2:$D$5000,MATCH(C23,'Semrush Data'!$A$2:$A$5000,0)),"")</f>
        <v>22</v>
      </c>
      <c r="F23" s="15" t="n">
        <f aca="false">IFERROR(INDEX('Semrush Data'!$E$2:$E$5000,MATCH(C23,'Semrush Data'!$A$2:$A$5000,0)),"")</f>
        <v>0.49</v>
      </c>
      <c r="G23" s="9" t="str">
        <f aca="false">IF(E23="","",IF(E23&lt;=20,"Easier",IF(E23&lt;=35,"Medium","Hard")))</f>
        <v>Medium</v>
      </c>
      <c r="H23" s="9" t="s">
        <v>50</v>
      </c>
    </row>
    <row r="24" customFormat="false" ht="15" hidden="false" customHeight="false" outlineLevel="0" collapsed="false">
      <c r="A24" s="9" t="s">
        <v>53</v>
      </c>
      <c r="B24" s="9" t="s">
        <v>54</v>
      </c>
      <c r="C24" s="13" t="str">
        <f aca="false">INDEX(Products!$V$2:$V$600,MATCH(A24,Products!$A$2:$A$600,0))</f>
        <v>tom ford oud wood</v>
      </c>
      <c r="D24" s="14" t="n">
        <f aca="false">IFERROR(INDEX('Semrush Data'!$C$2:$C$5000,MATCH(C24,'Semrush Data'!$A$2:$A$5000,0)),"")</f>
        <v>18100</v>
      </c>
      <c r="E24" s="9" t="n">
        <f aca="false">IFERROR(INDEX('Semrush Data'!$D$2:$D$5000,MATCH(C24,'Semrush Data'!$A$2:$A$5000,0)),"")</f>
        <v>16</v>
      </c>
      <c r="F24" s="15" t="n">
        <f aca="false">IFERROR(INDEX('Semrush Data'!$E$2:$E$5000,MATCH(C24,'Semrush Data'!$A$2:$A$5000,0)),"")</f>
        <v>0.54</v>
      </c>
      <c r="G24" s="9" t="str">
        <f aca="false">IF(E24="","",IF(E24&lt;=20,"Easier",IF(E24&lt;=35,"Medium","Hard")))</f>
        <v>Easier</v>
      </c>
      <c r="H24" s="9" t="s">
        <v>50</v>
      </c>
    </row>
    <row r="25" customFormat="false" ht="15" hidden="false" customHeight="false" outlineLevel="0" collapsed="false">
      <c r="A25" s="9" t="s">
        <v>55</v>
      </c>
      <c r="B25" s="9" t="s">
        <v>56</v>
      </c>
      <c r="C25" s="13" t="str">
        <f aca="false">INDEX(Products!$V$2:$V$600,MATCH(A25,Products!$A$2:$A$600,0))</f>
        <v>joop! homme</v>
      </c>
      <c r="D25" s="14" t="n">
        <f aca="false">IFERROR(INDEX('Semrush Data'!$C$2:$C$5000,MATCH(C25,'Semrush Data'!$A$2:$A$5000,0)),"")</f>
        <v>9900</v>
      </c>
      <c r="E25" s="9" t="n">
        <f aca="false">IFERROR(INDEX('Semrush Data'!$D$2:$D$5000,MATCH(C25,'Semrush Data'!$A$2:$A$5000,0)),"")</f>
        <v>23</v>
      </c>
      <c r="F25" s="15" t="n">
        <f aca="false">IFERROR(INDEX('Semrush Data'!$E$2:$E$5000,MATCH(C25,'Semrush Data'!$A$2:$A$5000,0)),"")</f>
        <v>0.36</v>
      </c>
      <c r="G25" s="9" t="str">
        <f aca="false">IF(E25="","",IF(E25&lt;=20,"Easier",IF(E25&lt;=35,"Medium","Hard")))</f>
        <v>Medium</v>
      </c>
      <c r="H25" s="9" t="s">
        <v>50</v>
      </c>
    </row>
    <row r="26" customFormat="false" ht="15" hidden="false" customHeight="false" outlineLevel="0" collapsed="false">
      <c r="A26" s="9" t="s">
        <v>57</v>
      </c>
      <c r="B26" s="9" t="s">
        <v>58</v>
      </c>
      <c r="C26" s="13" t="str">
        <f aca="false">INDEX(Products!$V$2:$V$600,MATCH(A26,Products!$A$2:$A$600,0))</f>
        <v>tom ford noir extreme</v>
      </c>
      <c r="D26" s="14" t="n">
        <f aca="false">IFERROR(INDEX('Semrush Data'!$C$2:$C$5000,MATCH(C26,'Semrush Data'!$A$2:$A$5000,0)),"")</f>
        <v>8100</v>
      </c>
      <c r="E26" s="9" t="n">
        <f aca="false">IFERROR(INDEX('Semrush Data'!$D$2:$D$5000,MATCH(C26,'Semrush Data'!$A$2:$A$5000,0)),"")</f>
        <v>15</v>
      </c>
      <c r="F26" s="15" t="n">
        <f aca="false">IFERROR(INDEX('Semrush Data'!$E$2:$E$5000,MATCH(C26,'Semrush Data'!$A$2:$A$5000,0)),"")</f>
        <v>0.59</v>
      </c>
      <c r="G26" s="9" t="str">
        <f aca="false">IF(E26="","",IF(E26&lt;=20,"Easier",IF(E26&lt;=35,"Medium","Hard")))</f>
        <v>Easier</v>
      </c>
      <c r="H26" s="9" t="s">
        <v>50</v>
      </c>
    </row>
    <row r="27" customFormat="false" ht="15" hidden="false" customHeight="false" outlineLevel="0" collapsed="false">
      <c r="A27" s="9" t="s">
        <v>59</v>
      </c>
      <c r="B27" s="9" t="s">
        <v>60</v>
      </c>
      <c r="C27" s="13" t="str">
        <f aca="false">INDEX(Products!$V$2:$V$600,MATCH(A27,Products!$A$2:$A$600,0))</f>
        <v>gucci intense oud</v>
      </c>
      <c r="D27" s="14" t="n">
        <f aca="false">IFERROR(INDEX('Semrush Data'!$C$2:$C$5000,MATCH(C27,'Semrush Data'!$A$2:$A$5000,0)),"")</f>
        <v>6600</v>
      </c>
      <c r="E27" s="9" t="n">
        <f aca="false">IFERROR(INDEX('Semrush Data'!$D$2:$D$5000,MATCH(C27,'Semrush Data'!$A$2:$A$5000,0)),"")</f>
        <v>21</v>
      </c>
      <c r="F27" s="15" t="n">
        <f aca="false">IFERROR(INDEX('Semrush Data'!$E$2:$E$5000,MATCH(C27,'Semrush Data'!$A$2:$A$5000,0)),"")</f>
        <v>0.44</v>
      </c>
      <c r="G27" s="9" t="str">
        <f aca="false">IF(E27="","",IF(E27&lt;=20,"Easier",IF(E27&lt;=35,"Medium","Hard")))</f>
        <v>Medium</v>
      </c>
      <c r="H27" s="9" t="s">
        <v>50</v>
      </c>
    </row>
    <row r="28" customFormat="false" ht="15" hidden="false" customHeight="false" outlineLevel="0" collapsed="false">
      <c r="A28" s="9" t="s">
        <v>61</v>
      </c>
      <c r="B28" s="9" t="s">
        <v>62</v>
      </c>
      <c r="C28" s="13" t="str">
        <f aca="false">INDEX(Products!$V$2:$V$600,MATCH(A28,Products!$A$2:$A$600,0))</f>
        <v>marc jacobs perfect</v>
      </c>
      <c r="D28" s="14" t="n">
        <f aca="false">IFERROR(INDEX('Semrush Data'!$C$2:$C$5000,MATCH(C28,'Semrush Data'!$A$2:$A$5000,0)),"")</f>
        <v>6600</v>
      </c>
      <c r="E28" s="9" t="n">
        <f aca="false">IFERROR(INDEX('Semrush Data'!$D$2:$D$5000,MATCH(C28,'Semrush Data'!$A$2:$A$5000,0)),"")</f>
        <v>26</v>
      </c>
      <c r="F28" s="15" t="n">
        <f aca="false">IFERROR(INDEX('Semrush Data'!$E$2:$E$5000,MATCH(C28,'Semrush Data'!$A$2:$A$5000,0)),"")</f>
        <v>0.36</v>
      </c>
      <c r="G28" s="9" t="str">
        <f aca="false">IF(E28="","",IF(E28&lt;=20,"Easier",IF(E28&lt;=35,"Medium","Hard")))</f>
        <v>Medium</v>
      </c>
      <c r="H28" s="9" t="s">
        <v>50</v>
      </c>
    </row>
    <row r="29" customFormat="false" ht="15" hidden="false" customHeight="false" outlineLevel="0" collapsed="false">
      <c r="A29" s="9" t="s">
        <v>63</v>
      </c>
      <c r="B29" s="9" t="s">
        <v>64</v>
      </c>
      <c r="C29" s="13" t="str">
        <f aca="false">INDEX(Products!$V$2:$V$600,MATCH(A29,Products!$A$2:$A$600,0))</f>
        <v>calvin klein eternity</v>
      </c>
      <c r="D29" s="14" t="n">
        <f aca="false">IFERROR(INDEX('Semrush Data'!$C$2:$C$5000,MATCH(C29,'Semrush Data'!$A$2:$A$5000,0)),"")</f>
        <v>4400</v>
      </c>
      <c r="E29" s="9" t="n">
        <f aca="false">IFERROR(INDEX('Semrush Data'!$D$2:$D$5000,MATCH(C29,'Semrush Data'!$A$2:$A$5000,0)),"")</f>
        <v>21</v>
      </c>
      <c r="F29" s="15" t="n">
        <f aca="false">IFERROR(INDEX('Semrush Data'!$E$2:$E$5000,MATCH(C29,'Semrush Data'!$A$2:$A$5000,0)),"")</f>
        <v>0.37</v>
      </c>
      <c r="G29" s="9" t="str">
        <f aca="false">IF(E29="","",IF(E29&lt;=20,"Easier",IF(E29&lt;=35,"Medium","Hard")))</f>
        <v>Medium</v>
      </c>
      <c r="H29" s="9" t="s">
        <v>50</v>
      </c>
    </row>
    <row r="30" customFormat="false" ht="15" hidden="false" customHeight="false" outlineLevel="0" collapsed="false">
      <c r="A30" s="9" t="s">
        <v>65</v>
      </c>
      <c r="B30" s="9" t="s">
        <v>66</v>
      </c>
      <c r="C30" s="13" t="str">
        <f aca="false">INDEX(Products!$V$2:$V$600,MATCH(A30,Products!$A$2:$A$600,0))</f>
        <v>hugo boss bottled</v>
      </c>
      <c r="D30" s="14" t="n">
        <f aca="false">IFERROR(INDEX('Semrush Data'!$C$2:$C$5000,MATCH(C30,'Semrush Data'!$A$2:$A$5000,0)),"")</f>
        <v>4400</v>
      </c>
      <c r="E30" s="9" t="n">
        <f aca="false">IFERROR(INDEX('Semrush Data'!$D$2:$D$5000,MATCH(C30,'Semrush Data'!$A$2:$A$5000,0)),"")</f>
        <v>28</v>
      </c>
      <c r="F30" s="15" t="n">
        <f aca="false">IFERROR(INDEX('Semrush Data'!$E$2:$E$5000,MATCH(C30,'Semrush Data'!$A$2:$A$5000,0)),"")</f>
        <v>0.45</v>
      </c>
      <c r="G30" s="9" t="str">
        <f aca="false">IF(E30="","",IF(E30&lt;=20,"Easier",IF(E30&lt;=35,"Medium","Hard")))</f>
        <v>Medium</v>
      </c>
      <c r="H30" s="9" t="s">
        <v>50</v>
      </c>
    </row>
    <row r="31" customFormat="false" ht="15" hidden="false" customHeight="false" outlineLevel="0" collapsed="false">
      <c r="A31" s="9" t="s">
        <v>67</v>
      </c>
      <c r="B31" s="9" t="s">
        <v>68</v>
      </c>
      <c r="C31" s="13" t="str">
        <f aca="false">INDEX(Products!$V$2:$V$600,MATCH(A31,Products!$A$2:$A$600,0))</f>
        <v>gucci flora gorgeous gardenia</v>
      </c>
      <c r="D31" s="14" t="n">
        <f aca="false">IFERROR(INDEX('Semrush Data'!$C$2:$C$5000,MATCH(C31,'Semrush Data'!$A$2:$A$5000,0)),"")</f>
        <v>4400</v>
      </c>
      <c r="E31" s="9" t="n">
        <f aca="false">IFERROR(INDEX('Semrush Data'!$D$2:$D$5000,MATCH(C31,'Semrush Data'!$A$2:$A$5000,0)),"")</f>
        <v>29</v>
      </c>
      <c r="F31" s="15" t="n">
        <f aca="false">IFERROR(INDEX('Semrush Data'!$E$2:$E$5000,MATCH(C31,'Semrush Data'!$A$2:$A$5000,0)),"")</f>
        <v>0.43</v>
      </c>
      <c r="G31" s="9" t="str">
        <f aca="false">IF(E31="","",IF(E31&lt;=20,"Easier",IF(E31&lt;=35,"Medium","Hard")))</f>
        <v>Medium</v>
      </c>
      <c r="H31" s="9" t="s">
        <v>50</v>
      </c>
    </row>
    <row r="32" customFormat="false" ht="15" hidden="false" customHeight="false" outlineLevel="0" collapsed="false">
      <c r="A32" s="9" t="s">
        <v>69</v>
      </c>
      <c r="B32" s="9" t="s">
        <v>70</v>
      </c>
      <c r="C32" s="13" t="str">
        <f aca="false">INDEX(Products!$V$2:$V$600,MATCH(A32,Products!$A$2:$A$600,0))</f>
        <v>tom ford neroli portofino</v>
      </c>
      <c r="D32" s="14" t="n">
        <f aca="false">IFERROR(INDEX('Semrush Data'!$C$2:$C$5000,MATCH(C32,'Semrush Data'!$A$2:$A$5000,0)),"")</f>
        <v>3600</v>
      </c>
      <c r="E32" s="9" t="n">
        <f aca="false">IFERROR(INDEX('Semrush Data'!$D$2:$D$5000,MATCH(C32,'Semrush Data'!$A$2:$A$5000,0)),"")</f>
        <v>14</v>
      </c>
      <c r="F32" s="15" t="n">
        <f aca="false">IFERROR(INDEX('Semrush Data'!$E$2:$E$5000,MATCH(C32,'Semrush Data'!$A$2:$A$5000,0)),"")</f>
        <v>0.63</v>
      </c>
      <c r="G32" s="9" t="str">
        <f aca="false">IF(E32="","",IF(E32&lt;=20,"Easier",IF(E32&lt;=35,"Medium","Hard")))</f>
        <v>Easier</v>
      </c>
      <c r="H32" s="9" t="s">
        <v>50</v>
      </c>
    </row>
    <row r="33" customFormat="false" ht="15" hidden="false" customHeight="false" outlineLevel="0" collapsed="false">
      <c r="A33" s="9" t="s">
        <v>71</v>
      </c>
      <c r="B33" s="9" t="s">
        <v>72</v>
      </c>
      <c r="C33" s="13" t="str">
        <f aca="false">INDEX(Products!$V$2:$V$600,MATCH(A33,Products!$A$2:$A$600,0))</f>
        <v>chloe nomade</v>
      </c>
      <c r="D33" s="14" t="n">
        <f aca="false">IFERROR(INDEX('Semrush Data'!$C$2:$C$5000,MATCH(C33,'Semrush Data'!$A$2:$A$5000,0)),"")</f>
        <v>2900</v>
      </c>
      <c r="E33" s="9" t="n">
        <f aca="false">IFERROR(INDEX('Semrush Data'!$D$2:$D$5000,MATCH(C33,'Semrush Data'!$A$2:$A$5000,0)),"")</f>
        <v>22</v>
      </c>
      <c r="F33" s="15" t="n">
        <f aca="false">IFERROR(INDEX('Semrush Data'!$E$2:$E$5000,MATCH(C33,'Semrush Data'!$A$2:$A$5000,0)),"")</f>
        <v>0.47</v>
      </c>
      <c r="G33" s="9" t="str">
        <f aca="false">IF(E33="","",IF(E33&lt;=20,"Easier",IF(E33&lt;=35,"Medium","Hard")))</f>
        <v>Medium</v>
      </c>
      <c r="H33" s="9" t="s">
        <v>50</v>
      </c>
    </row>
    <row r="34" customFormat="false" ht="15" hidden="false" customHeight="false" outlineLevel="0" collapsed="false">
      <c r="A34" s="9" t="s">
        <v>73</v>
      </c>
      <c r="B34" s="9" t="s">
        <v>74</v>
      </c>
      <c r="C34" s="13" t="str">
        <f aca="false">INDEX(Products!$V$2:$V$600,MATCH(A34,Products!$A$2:$A$600,0))</f>
        <v>paloma picasso</v>
      </c>
      <c r="D34" s="14" t="n">
        <f aca="false">IFERROR(INDEX('Semrush Data'!$C$2:$C$5000,MATCH(C34,'Semrush Data'!$A$2:$A$5000,0)),"")</f>
        <v>2900</v>
      </c>
      <c r="E34" s="9" t="n">
        <f aca="false">IFERROR(INDEX('Semrush Data'!$D$2:$D$5000,MATCH(C34,'Semrush Data'!$A$2:$A$5000,0)),"")</f>
        <v>30</v>
      </c>
      <c r="F34" s="15" t="n">
        <f aca="false">IFERROR(INDEX('Semrush Data'!$E$2:$E$5000,MATCH(C34,'Semrush Data'!$A$2:$A$5000,0)),"")</f>
        <v>0.35</v>
      </c>
      <c r="G34" s="9" t="str">
        <f aca="false">IF(E34="","",IF(E34&lt;=20,"Easier",IF(E34&lt;=35,"Medium","Hard")))</f>
        <v>Medium</v>
      </c>
      <c r="H34" s="9" t="s">
        <v>50</v>
      </c>
    </row>
    <row r="35" customFormat="false" ht="15" hidden="false" customHeight="false" outlineLevel="0" collapsed="false">
      <c r="A35" s="9" t="s">
        <v>75</v>
      </c>
      <c r="B35" s="9" t="s">
        <v>76</v>
      </c>
      <c r="C35" s="13" t="str">
        <f aca="false">INDEX(Products!$V$2:$V$600,MATCH(A35,Products!$A$2:$A$600,0))</f>
        <v>al haramain amber oud</v>
      </c>
      <c r="D35" s="14" t="n">
        <f aca="false">IFERROR(INDEX('Semrush Data'!$C$2:$C$5000,MATCH(C35,'Semrush Data'!$A$2:$A$5000,0)),"")</f>
        <v>2400</v>
      </c>
      <c r="E35" s="9" t="n">
        <f aca="false">IFERROR(INDEX('Semrush Data'!$D$2:$D$5000,MATCH(C35,'Semrush Data'!$A$2:$A$5000,0)),"")</f>
        <v>16</v>
      </c>
      <c r="F35" s="15" t="n">
        <f aca="false">IFERROR(INDEX('Semrush Data'!$E$2:$E$5000,MATCH(C35,'Semrush Data'!$A$2:$A$5000,0)),"")</f>
        <v>0.27</v>
      </c>
      <c r="G35" s="9" t="str">
        <f aca="false">IF(E35="","",IF(E35&lt;=20,"Easier",IF(E35&lt;=35,"Medium","Hard")))</f>
        <v>Easier</v>
      </c>
      <c r="H35" s="9" t="s">
        <v>50</v>
      </c>
    </row>
    <row r="36" customFormat="false" ht="15" hidden="false" customHeight="false" outlineLevel="0" collapsed="false">
      <c r="A36" s="9" t="s">
        <v>77</v>
      </c>
      <c r="B36" s="9" t="s">
        <v>78</v>
      </c>
      <c r="C36" s="13" t="str">
        <f aca="false">INDEX(Products!$V$2:$V$600,MATCH(A36,Products!$A$2:$A$600,0))</f>
        <v>marc jacobs honey</v>
      </c>
      <c r="D36" s="14" t="n">
        <f aca="false">IFERROR(INDEX('Semrush Data'!$C$2:$C$5000,MATCH(C36,'Semrush Data'!$A$2:$A$5000,0)),"")</f>
        <v>2400</v>
      </c>
      <c r="E36" s="9" t="n">
        <f aca="false">IFERROR(INDEX('Semrush Data'!$D$2:$D$5000,MATCH(C36,'Semrush Data'!$A$2:$A$5000,0)),"")</f>
        <v>23</v>
      </c>
      <c r="F36" s="15" t="n">
        <f aca="false">IFERROR(INDEX('Semrush Data'!$E$2:$E$5000,MATCH(C36,'Semrush Data'!$A$2:$A$5000,0)),"")</f>
        <v>0.38</v>
      </c>
      <c r="G36" s="9" t="str">
        <f aca="false">IF(E36="","",IF(E36&lt;=20,"Easier",IF(E36&lt;=35,"Medium","Hard")))</f>
        <v>Medium</v>
      </c>
      <c r="H36" s="9" t="s">
        <v>50</v>
      </c>
    </row>
    <row r="37" customFormat="false" ht="15" hidden="false" customHeight="false" outlineLevel="0" collapsed="false">
      <c r="A37" s="9" t="s">
        <v>79</v>
      </c>
      <c r="B37" s="9" t="s">
        <v>80</v>
      </c>
      <c r="C37" s="13" t="str">
        <f aca="false">INDEX(Products!$V$2:$V$600,MATCH(A37,Products!$A$2:$A$600,0))</f>
        <v>bvlgari man in black</v>
      </c>
      <c r="D37" s="14" t="n">
        <f aca="false">IFERROR(INDEX('Semrush Data'!$C$2:$C$5000,MATCH(C37,'Semrush Data'!$A$2:$A$5000,0)),"")</f>
        <v>1900</v>
      </c>
      <c r="E37" s="9" t="n">
        <f aca="false">IFERROR(INDEX('Semrush Data'!$D$2:$D$5000,MATCH(C37,'Semrush Data'!$A$2:$A$5000,0)),"")</f>
        <v>16</v>
      </c>
      <c r="F37" s="15" t="n">
        <f aca="false">IFERROR(INDEX('Semrush Data'!$E$2:$E$5000,MATCH(C37,'Semrush Data'!$A$2:$A$5000,0)),"")</f>
        <v>0.41</v>
      </c>
      <c r="G37" s="9" t="str">
        <f aca="false">IF(E37="","",IF(E37&lt;=20,"Easier",IF(E37&lt;=35,"Medium","Hard")))</f>
        <v>Easier</v>
      </c>
      <c r="H37" s="9" t="s">
        <v>50</v>
      </c>
    </row>
    <row r="38" customFormat="false" ht="15" hidden="false" customHeight="false" outlineLevel="0" collapsed="false">
      <c r="A38" s="9" t="s">
        <v>81</v>
      </c>
      <c r="B38" s="9" t="s">
        <v>82</v>
      </c>
      <c r="C38" s="13" t="str">
        <f aca="false">INDEX(Products!$V$2:$V$600,MATCH(A38,Products!$A$2:$A$600,0))</f>
        <v>gucci guilty pour homme</v>
      </c>
      <c r="D38" s="14" t="n">
        <f aca="false">IFERROR(INDEX('Semrush Data'!$C$2:$C$5000,MATCH(C38,'Semrush Data'!$A$2:$A$5000,0)),"")</f>
        <v>1600</v>
      </c>
      <c r="E38" s="9" t="n">
        <f aca="false">IFERROR(INDEX('Semrush Data'!$D$2:$D$5000,MATCH(C38,'Semrush Data'!$A$2:$A$5000,0)),"")</f>
        <v>23</v>
      </c>
      <c r="F38" s="15" t="n">
        <f aca="false">IFERROR(INDEX('Semrush Data'!$E$2:$E$5000,MATCH(C38,'Semrush Data'!$A$2:$A$5000,0)),"")</f>
        <v>0.42</v>
      </c>
      <c r="G38" s="9" t="str">
        <f aca="false">IF(E38="","",IF(E38&lt;=20,"Easier",IF(E38&lt;=35,"Medium","Hard")))</f>
        <v>Medium</v>
      </c>
      <c r="H38" s="9" t="s">
        <v>50</v>
      </c>
    </row>
    <row r="39" customFormat="false" ht="15" hidden="false" customHeight="false" outlineLevel="0" collapsed="false">
      <c r="A39" s="9" t="s">
        <v>83</v>
      </c>
      <c r="B39" s="9" t="s">
        <v>84</v>
      </c>
      <c r="C39" s="13" t="str">
        <f aca="false">INDEX(Products!$V$2:$V$600,MATCH(A39,Products!$A$2:$A$600,0))</f>
        <v>game of spades full house</v>
      </c>
      <c r="D39" s="14" t="n">
        <f aca="false">IFERROR(INDEX('Semrush Data'!$C$2:$C$5000,MATCH(C39,'Semrush Data'!$A$2:$A$5000,0)),"")</f>
        <v>1600</v>
      </c>
      <c r="E39" s="9" t="n">
        <f aca="false">IFERROR(INDEX('Semrush Data'!$D$2:$D$5000,MATCH(C39,'Semrush Data'!$A$2:$A$5000,0)),"")</f>
        <v>29</v>
      </c>
      <c r="F39" s="15" t="n">
        <f aca="false">IFERROR(INDEX('Semrush Data'!$E$2:$E$5000,MATCH(C39,'Semrush Data'!$A$2:$A$5000,0)),"")</f>
        <v>0.55</v>
      </c>
      <c r="G39" s="9" t="str">
        <f aca="false">IF(E39="","",IF(E39&lt;=20,"Easier",IF(E39&lt;=35,"Medium","Hard")))</f>
        <v>Medium</v>
      </c>
      <c r="H39" s="9" t="s">
        <v>50</v>
      </c>
    </row>
    <row r="40" customFormat="false" ht="15" hidden="false" customHeight="false" outlineLevel="0" collapsed="false">
      <c r="A40" s="9" t="s">
        <v>85</v>
      </c>
      <c r="B40" s="9" t="s">
        <v>86</v>
      </c>
      <c r="C40" s="13" t="str">
        <f aca="false">INDEX(Products!$V$2:$V$600,MATCH(A40,Products!$A$2:$A$600,0))</f>
        <v>nina ricci l'air du temps</v>
      </c>
      <c r="D40" s="14" t="n">
        <f aca="false">IFERROR(INDEX('Semrush Data'!$C$2:$C$5000,MATCH(C40,'Semrush Data'!$A$2:$A$5000,0)),"")</f>
        <v>1300</v>
      </c>
      <c r="E40" s="9" t="n">
        <f aca="false">IFERROR(INDEX('Semrush Data'!$D$2:$D$5000,MATCH(C40,'Semrush Data'!$A$2:$A$5000,0)),"")</f>
        <v>13</v>
      </c>
      <c r="F40" s="15" t="n">
        <f aca="false">IFERROR(INDEX('Semrush Data'!$E$2:$E$5000,MATCH(C40,'Semrush Data'!$A$2:$A$5000,0)),"")</f>
        <v>0.33</v>
      </c>
      <c r="G40" s="9" t="str">
        <f aca="false">IF(E40="","",IF(E40&lt;=20,"Easier",IF(E40&lt;=35,"Medium","Hard")))</f>
        <v>Easier</v>
      </c>
      <c r="H40" s="9" t="s">
        <v>50</v>
      </c>
    </row>
    <row r="41" customFormat="false" ht="15" hidden="false" customHeight="false" outlineLevel="0" collapsed="false">
      <c r="A41" s="9" t="s">
        <v>87</v>
      </c>
      <c r="B41" s="9" t="s">
        <v>88</v>
      </c>
      <c r="C41" s="13" t="str">
        <f aca="false">INDEX(Products!$V$2:$V$600,MATCH(A41,Products!$A$2:$A$600,0))</f>
        <v>bentley azure</v>
      </c>
      <c r="D41" s="14" t="n">
        <f aca="false">IFERROR(INDEX('Semrush Data'!$C$2:$C$5000,MATCH(C41,'Semrush Data'!$A$2:$A$5000,0)),"")</f>
        <v>1300</v>
      </c>
      <c r="E41" s="9" t="n">
        <f aca="false">IFERROR(INDEX('Semrush Data'!$D$2:$D$5000,MATCH(C41,'Semrush Data'!$A$2:$A$5000,0)),"")</f>
        <v>19</v>
      </c>
      <c r="F41" s="15" t="n">
        <f aca="false">IFERROR(INDEX('Semrush Data'!$E$2:$E$5000,MATCH(C41,'Semrush Data'!$A$2:$A$5000,0)),"")</f>
        <v>0.34</v>
      </c>
      <c r="G41" s="9" t="str">
        <f aca="false">IF(E41="","",IF(E41&lt;=20,"Easier",IF(E41&lt;=35,"Medium","Hard")))</f>
        <v>Easier</v>
      </c>
      <c r="H41" s="9" t="s">
        <v>50</v>
      </c>
    </row>
    <row r="42" customFormat="false" ht="15" hidden="false" customHeight="false" outlineLevel="0" collapsed="false">
      <c r="A42" s="9" t="s">
        <v>89</v>
      </c>
      <c r="B42" s="9" t="s">
        <v>90</v>
      </c>
      <c r="C42" s="13" t="str">
        <f aca="false">INDEX(Products!$V$2:$V$600,MATCH(A42,Products!$A$2:$A$600,0))</f>
        <v>hugo boss hugo man</v>
      </c>
      <c r="D42" s="14" t="n">
        <f aca="false">IFERROR(INDEX('Semrush Data'!$C$2:$C$5000,MATCH(C42,'Semrush Data'!$A$2:$A$5000,0)),"")</f>
        <v>1300</v>
      </c>
      <c r="E42" s="9" t="n">
        <f aca="false">IFERROR(INDEX('Semrush Data'!$D$2:$D$5000,MATCH(C42,'Semrush Data'!$A$2:$A$5000,0)),"")</f>
        <v>23</v>
      </c>
      <c r="F42" s="15" t="n">
        <f aca="false">IFERROR(INDEX('Semrush Data'!$E$2:$E$5000,MATCH(C42,'Semrush Data'!$A$2:$A$5000,0)),"")</f>
        <v>0.58</v>
      </c>
      <c r="G42" s="9" t="str">
        <f aca="false">IF(E42="","",IF(E42&lt;=20,"Easier",IF(E42&lt;=35,"Medium","Hard")))</f>
        <v>Medium</v>
      </c>
      <c r="H42" s="9" t="s">
        <v>50</v>
      </c>
    </row>
    <row r="43" customFormat="false" ht="15" hidden="false" customHeight="false" outlineLevel="0" collapsed="false">
      <c r="A43" s="9" t="s">
        <v>91</v>
      </c>
      <c r="B43" s="9" t="s">
        <v>92</v>
      </c>
      <c r="C43" s="13" t="str">
        <f aca="false">INDEX(Products!$V$2:$V$600,MATCH(A43,Products!$A$2:$A$600,0))</f>
        <v>calvin klein defy</v>
      </c>
      <c r="D43" s="14" t="n">
        <f aca="false">IFERROR(INDEX('Semrush Data'!$C$2:$C$5000,MATCH(C43,'Semrush Data'!$A$2:$A$5000,0)),"")</f>
        <v>1000</v>
      </c>
      <c r="E43" s="9" t="n">
        <f aca="false">IFERROR(INDEX('Semrush Data'!$D$2:$D$5000,MATCH(C43,'Semrush Data'!$A$2:$A$5000,0)),"")</f>
        <v>18</v>
      </c>
      <c r="F43" s="15" t="n">
        <f aca="false">IFERROR(INDEX('Semrush Data'!$E$2:$E$5000,MATCH(C43,'Semrush Data'!$A$2:$A$5000,0)),"")</f>
        <v>0.42</v>
      </c>
      <c r="G43" s="9" t="str">
        <f aca="false">IF(E43="","",IF(E43&lt;=20,"Easier",IF(E43&lt;=35,"Medium","Hard")))</f>
        <v>Easier</v>
      </c>
      <c r="H43" s="9" t="s">
        <v>50</v>
      </c>
    </row>
    <row r="44" customFormat="false" ht="15" hidden="false" customHeight="false" outlineLevel="0" collapsed="false">
      <c r="A44" s="9" t="s">
        <v>93</v>
      </c>
      <c r="B44" s="9" t="s">
        <v>94</v>
      </c>
      <c r="C44" s="13" t="str">
        <f aca="false">INDEX(Products!$V$2:$V$600,MATCH(A44,Products!$A$2:$A$600,0))</f>
        <v>davidoff the game</v>
      </c>
      <c r="D44" s="14" t="n">
        <f aca="false">IFERROR(INDEX('Semrush Data'!$C$2:$C$5000,MATCH(C44,'Semrush Data'!$A$2:$A$5000,0)),"")</f>
        <v>880</v>
      </c>
      <c r="E44" s="9" t="n">
        <f aca="false">IFERROR(INDEX('Semrush Data'!$D$2:$D$5000,MATCH(C44,'Semrush Data'!$A$2:$A$5000,0)),"")</f>
        <v>16</v>
      </c>
      <c r="F44" s="15" t="n">
        <f aca="false">IFERROR(INDEX('Semrush Data'!$E$2:$E$5000,MATCH(C44,'Semrush Data'!$A$2:$A$5000,0)),"")</f>
        <v>0.42</v>
      </c>
      <c r="G44" s="9" t="str">
        <f aca="false">IF(E44="","",IF(E44&lt;=20,"Easier",IF(E44&lt;=35,"Medium","Hard")))</f>
        <v>Easier</v>
      </c>
      <c r="H44" s="9" t="s">
        <v>50</v>
      </c>
    </row>
    <row r="45" customFormat="false" ht="15" hidden="false" customHeight="false" outlineLevel="0" collapsed="false">
      <c r="A45" s="9" t="s">
        <v>95</v>
      </c>
      <c r="B45" s="9" t="s">
        <v>96</v>
      </c>
      <c r="C45" s="13" t="str">
        <f aca="false">INDEX(Products!$V$2:$V$600,MATCH(A45,Products!$A$2:$A$600,0))</f>
        <v>al haramain l'aventure</v>
      </c>
      <c r="D45" s="14" t="n">
        <f aca="false">IFERROR(INDEX('Semrush Data'!$C$2:$C$5000,MATCH(C45,'Semrush Data'!$A$2:$A$5000,0)),"")</f>
        <v>880</v>
      </c>
      <c r="E45" s="9" t="n">
        <f aca="false">IFERROR(INDEX('Semrush Data'!$D$2:$D$5000,MATCH(C45,'Semrush Data'!$A$2:$A$5000,0)),"")</f>
        <v>21</v>
      </c>
      <c r="F45" s="15" t="n">
        <f aca="false">IFERROR(INDEX('Semrush Data'!$E$2:$E$5000,MATCH(C45,'Semrush Data'!$A$2:$A$5000,0)),"")</f>
        <v>0.27</v>
      </c>
      <c r="G45" s="9" t="str">
        <f aca="false">IF(E45="","",IF(E45&lt;=20,"Easier",IF(E45&lt;=35,"Medium","Hard")))</f>
        <v>Medium</v>
      </c>
      <c r="H45" s="9" t="s">
        <v>50</v>
      </c>
    </row>
    <row r="46" customFormat="false" ht="15" hidden="false" customHeight="false" outlineLevel="0" collapsed="false">
      <c r="A46" s="9" t="s">
        <v>97</v>
      </c>
      <c r="B46" s="9" t="s">
        <v>98</v>
      </c>
      <c r="C46" s="13" t="str">
        <f aca="false">INDEX(Products!$V$2:$V$600,MATCH(A46,Products!$A$2:$A$600,0))</f>
        <v>tom ford ebene fume</v>
      </c>
      <c r="D46" s="14" t="n">
        <f aca="false">IFERROR(INDEX('Semrush Data'!$C$2:$C$5000,MATCH(C46,'Semrush Data'!$A$2:$A$5000,0)),"")</f>
        <v>880</v>
      </c>
      <c r="E46" s="9" t="n">
        <f aca="false">IFERROR(INDEX('Semrush Data'!$D$2:$D$5000,MATCH(C46,'Semrush Data'!$A$2:$A$5000,0)),"")</f>
        <v>22</v>
      </c>
      <c r="F46" s="15" t="n">
        <f aca="false">IFERROR(INDEX('Semrush Data'!$E$2:$E$5000,MATCH(C46,'Semrush Data'!$A$2:$A$5000,0)),"")</f>
        <v>0.59</v>
      </c>
      <c r="G46" s="9" t="str">
        <f aca="false">IF(E46="","",IF(E46&lt;=20,"Easier",IF(E46&lt;=35,"Medium","Hard")))</f>
        <v>Medium</v>
      </c>
      <c r="H46" s="9" t="s">
        <v>50</v>
      </c>
    </row>
    <row r="47" customFormat="false" ht="15" hidden="false" customHeight="false" outlineLevel="0" collapsed="false">
      <c r="A47" s="9" t="s">
        <v>99</v>
      </c>
      <c r="B47" s="9" t="s">
        <v>100</v>
      </c>
      <c r="C47" s="13" t="str">
        <f aca="false">INDEX(Products!$V$2:$V$600,MATCH(A47,Products!$A$2:$A$600,0))</f>
        <v>game of spades wildcard</v>
      </c>
      <c r="D47" s="14" t="n">
        <f aca="false">IFERROR(INDEX('Semrush Data'!$C$2:$C$5000,MATCH(C47,'Semrush Data'!$A$2:$A$5000,0)),"")</f>
        <v>880</v>
      </c>
      <c r="E47" s="9" t="n">
        <f aca="false">IFERROR(INDEX('Semrush Data'!$D$2:$D$5000,MATCH(C47,'Semrush Data'!$A$2:$A$5000,0)),"")</f>
        <v>29</v>
      </c>
      <c r="F47" s="15" t="n">
        <f aca="false">IFERROR(INDEX('Semrush Data'!$E$2:$E$5000,MATCH(C47,'Semrush Data'!$A$2:$A$5000,0)),"")</f>
        <v>0.56</v>
      </c>
      <c r="G47" s="9" t="str">
        <f aca="false">IF(E47="","",IF(E47&lt;=20,"Easier",IF(E47&lt;=35,"Medium","Hard")))</f>
        <v>Medium</v>
      </c>
      <c r="H47" s="9" t="s">
        <v>50</v>
      </c>
    </row>
    <row r="48" customFormat="false" ht="15" hidden="false" customHeight="false" outlineLevel="0" collapsed="false">
      <c r="A48" s="9" t="s">
        <v>101</v>
      </c>
      <c r="B48" s="9" t="s">
        <v>102</v>
      </c>
      <c r="C48" s="13" t="str">
        <f aca="false">INDEX(Products!$V$2:$V$600,MATCH(A48,Products!$A$2:$A$600,0))</f>
        <v>dolce &amp; gabbana the one</v>
      </c>
      <c r="D48" s="14" t="n">
        <f aca="false">IFERROR(INDEX('Semrush Data'!$C$2:$C$5000,MATCH(C48,'Semrush Data'!$A$2:$A$5000,0)),"")</f>
        <v>720</v>
      </c>
      <c r="E48" s="9" t="n">
        <f aca="false">IFERROR(INDEX('Semrush Data'!$D$2:$D$5000,MATCH(C48,'Semrush Data'!$A$2:$A$5000,0)),"")</f>
        <v>17</v>
      </c>
      <c r="F48" s="15" t="n">
        <f aca="false">IFERROR(INDEX('Semrush Data'!$E$2:$E$5000,MATCH(C48,'Semrush Data'!$A$2:$A$5000,0)),"")</f>
        <v>0.39</v>
      </c>
      <c r="G48" s="9" t="str">
        <f aca="false">IF(E48="","",IF(E48&lt;=20,"Easier",IF(E48&lt;=35,"Medium","Hard")))</f>
        <v>Easier</v>
      </c>
      <c r="H48" s="9" t="s">
        <v>50</v>
      </c>
    </row>
    <row r="49" customFormat="false" ht="15" hidden="false" customHeight="false" outlineLevel="0" collapsed="false">
      <c r="A49" s="9" t="s">
        <v>103</v>
      </c>
      <c r="B49" s="9" t="s">
        <v>104</v>
      </c>
      <c r="C49" s="13" t="str">
        <f aca="false">INDEX(Products!$V$2:$V$600,MATCH(A49,Products!$A$2:$A$600,0))</f>
        <v>acqua di parma zafferano</v>
      </c>
      <c r="D49" s="14" t="n">
        <f aca="false">IFERROR(INDEX('Semrush Data'!$C$2:$C$5000,MATCH(C49,'Semrush Data'!$A$2:$A$5000,0)),"")</f>
        <v>720</v>
      </c>
      <c r="E49" s="9" t="n">
        <f aca="false">IFERROR(INDEX('Semrush Data'!$D$2:$D$5000,MATCH(C49,'Semrush Data'!$A$2:$A$5000,0)),"")</f>
        <v>18</v>
      </c>
      <c r="F49" s="15" t="n">
        <f aca="false">IFERROR(INDEX('Semrush Data'!$E$2:$E$5000,MATCH(C49,'Semrush Data'!$A$2:$A$5000,0)),"")</f>
        <v>0.47</v>
      </c>
      <c r="G49" s="9" t="str">
        <f aca="false">IF(E49="","",IF(E49&lt;=20,"Easier",IF(E49&lt;=35,"Medium","Hard")))</f>
        <v>Easier</v>
      </c>
      <c r="H49" s="9" t="s">
        <v>50</v>
      </c>
    </row>
    <row r="50" customFormat="false" ht="15" hidden="false" customHeight="false" outlineLevel="0" collapsed="false">
      <c r="A50" s="9" t="s">
        <v>105</v>
      </c>
      <c r="B50" s="9" t="s">
        <v>106</v>
      </c>
      <c r="C50" s="13" t="str">
        <f aca="false">INDEX(Products!$V$2:$V$600,MATCH(A50,Products!$A$2:$A$600,0))</f>
        <v>tiziana terenzi kirke</v>
      </c>
      <c r="D50" s="14" t="n">
        <f aca="false">IFERROR(INDEX('Semrush Data'!$C$2:$C$5000,MATCH(C50,'Semrush Data'!$A$2:$A$5000,0)),"")</f>
        <v>720</v>
      </c>
      <c r="E50" s="9" t="n">
        <f aca="false">IFERROR(INDEX('Semrush Data'!$D$2:$D$5000,MATCH(C50,'Semrush Data'!$A$2:$A$5000,0)),"")</f>
        <v>19</v>
      </c>
      <c r="F50" s="15" t="n">
        <f aca="false">IFERROR(INDEX('Semrush Data'!$E$2:$E$5000,MATCH(C50,'Semrush Data'!$A$2:$A$5000,0)),"")</f>
        <v>0.52</v>
      </c>
      <c r="G50" s="9" t="str">
        <f aca="false">IF(E50="","",IF(E50&lt;=20,"Easier",IF(E50&lt;=35,"Medium","Hard")))</f>
        <v>Easier</v>
      </c>
      <c r="H50" s="9" t="s">
        <v>50</v>
      </c>
    </row>
    <row r="51" customFormat="false" ht="15" hidden="false" customHeight="false" outlineLevel="0" collapsed="false">
      <c r="A51" s="9" t="s">
        <v>107</v>
      </c>
      <c r="B51" s="9" t="s">
        <v>108</v>
      </c>
      <c r="C51" s="13" t="str">
        <f aca="false">INDEX(Products!$V$2:$V$600,MATCH(A51,Products!$A$2:$A$600,0))</f>
        <v>hugo boss alive</v>
      </c>
      <c r="D51" s="14" t="n">
        <f aca="false">IFERROR(INDEX('Semrush Data'!$C$2:$C$5000,MATCH(C51,'Semrush Data'!$A$2:$A$5000,0)),"")</f>
        <v>720</v>
      </c>
      <c r="E51" s="9" t="n">
        <f aca="false">IFERROR(INDEX('Semrush Data'!$D$2:$D$5000,MATCH(C51,'Semrush Data'!$A$2:$A$5000,0)),"")</f>
        <v>20</v>
      </c>
      <c r="F51" s="15" t="n">
        <f aca="false">IFERROR(INDEX('Semrush Data'!$E$2:$E$5000,MATCH(C51,'Semrush Data'!$A$2:$A$5000,0)),"")</f>
        <v>0.44</v>
      </c>
      <c r="G51" s="9" t="str">
        <f aca="false">IF(E51="","",IF(E51&lt;=20,"Easier",IF(E51&lt;=35,"Medium","Hard")))</f>
        <v>Easier</v>
      </c>
      <c r="H51" s="9" t="s">
        <v>50</v>
      </c>
    </row>
    <row r="52" customFormat="false" ht="15" hidden="false" customHeight="false" outlineLevel="0" collapsed="false">
      <c r="A52" s="9" t="s">
        <v>109</v>
      </c>
      <c r="B52" s="9" t="s">
        <v>110</v>
      </c>
      <c r="C52" s="13" t="str">
        <f aca="false">INDEX(Products!$V$2:$V$600,MATCH(A52,Products!$A$2:$A$600,0))</f>
        <v>al haramain amber oud gold edition</v>
      </c>
      <c r="D52" s="14" t="n">
        <f aca="false">IFERROR(INDEX('Semrush Data'!$C$2:$C$5000,MATCH(C52,'Semrush Data'!$A$2:$A$5000,0)),"")</f>
        <v>590</v>
      </c>
      <c r="E52" s="9" t="n">
        <f aca="false">IFERROR(INDEX('Semrush Data'!$D$2:$D$5000,MATCH(C52,'Semrush Data'!$A$2:$A$5000,0)),"")</f>
        <v>12</v>
      </c>
      <c r="F52" s="15" t="n">
        <f aca="false">IFERROR(INDEX('Semrush Data'!$E$2:$E$5000,MATCH(C52,'Semrush Data'!$A$2:$A$5000,0)),"")</f>
        <v>0.32</v>
      </c>
      <c r="G52" s="9" t="str">
        <f aca="false">IF(E52="","",IF(E52&lt;=20,"Easier",IF(E52&lt;=35,"Medium","Hard")))</f>
        <v>Easier</v>
      </c>
      <c r="H52" s="9" t="s">
        <v>50</v>
      </c>
    </row>
    <row r="53" customFormat="false" ht="15" hidden="false" customHeight="false" outlineLevel="0" collapsed="false">
      <c r="A53" s="9" t="s">
        <v>111</v>
      </c>
      <c r="B53" s="9" t="s">
        <v>112</v>
      </c>
      <c r="C53" s="13" t="str">
        <f aca="false">INDEX(Products!$V$2:$V$600,MATCH(A53,Products!$A$2:$A$600,0))</f>
        <v>chopard oud malaki</v>
      </c>
      <c r="D53" s="14" t="n">
        <f aca="false">IFERROR(INDEX('Semrush Data'!$C$2:$C$5000,MATCH(C53,'Semrush Data'!$A$2:$A$5000,0)),"")</f>
        <v>590</v>
      </c>
      <c r="E53" s="9" t="n">
        <f aca="false">IFERROR(INDEX('Semrush Data'!$D$2:$D$5000,MATCH(C53,'Semrush Data'!$A$2:$A$5000,0)),"")</f>
        <v>17</v>
      </c>
      <c r="F53" s="15" t="n">
        <f aca="false">IFERROR(INDEX('Semrush Data'!$E$2:$E$5000,MATCH(C53,'Semrush Data'!$A$2:$A$5000,0)),"")</f>
        <v>0.6</v>
      </c>
      <c r="G53" s="9" t="str">
        <f aca="false">IF(E53="","",IF(E53&lt;=20,"Easier",IF(E53&lt;=35,"Medium","Hard")))</f>
        <v>Easier</v>
      </c>
      <c r="H53" s="9" t="s">
        <v>50</v>
      </c>
    </row>
    <row r="54" customFormat="false" ht="15" hidden="false" customHeight="false" outlineLevel="0" collapsed="false">
      <c r="A54" s="9" t="s">
        <v>113</v>
      </c>
      <c r="B54" s="9" t="s">
        <v>114</v>
      </c>
      <c r="C54" s="13" t="str">
        <f aca="false">INDEX(Products!$V$2:$V$600,MATCH(A54,Products!$A$2:$A$600,0))</f>
        <v>guerlain oud essentiel</v>
      </c>
      <c r="D54" s="14" t="n">
        <f aca="false">IFERROR(INDEX('Semrush Data'!$C$2:$C$5000,MATCH(C54,'Semrush Data'!$A$2:$A$5000,0)),"")</f>
        <v>590</v>
      </c>
      <c r="E54" s="9" t="n">
        <f aca="false">IFERROR(INDEX('Semrush Data'!$D$2:$D$5000,MATCH(C54,'Semrush Data'!$A$2:$A$5000,0)),"")</f>
        <v>19</v>
      </c>
      <c r="F54" s="15" t="n">
        <f aca="false">IFERROR(INDEX('Semrush Data'!$E$2:$E$5000,MATCH(C54,'Semrush Data'!$A$2:$A$5000,0)),"")</f>
        <v>0.68</v>
      </c>
      <c r="G54" s="9" t="str">
        <f aca="false">IF(E54="","",IF(E54&lt;=20,"Easier",IF(E54&lt;=35,"Medium","Hard")))</f>
        <v>Easier</v>
      </c>
      <c r="H54" s="9" t="s">
        <v>50</v>
      </c>
    </row>
    <row r="55" customFormat="false" ht="15" hidden="false" customHeight="false" outlineLevel="0" collapsed="false">
      <c r="A55" s="9" t="s">
        <v>115</v>
      </c>
      <c r="B55" s="9" t="s">
        <v>116</v>
      </c>
      <c r="C55" s="13" t="str">
        <f aca="false">INDEX(Products!$V$2:$V$600,MATCH(A55,Products!$A$2:$A$600,0))</f>
        <v>givenchy amarige</v>
      </c>
      <c r="D55" s="14" t="n">
        <f aca="false">IFERROR(INDEX('Semrush Data'!$C$2:$C$5000,MATCH(C55,'Semrush Data'!$A$2:$A$5000,0)),"")</f>
        <v>590</v>
      </c>
      <c r="E55" s="9" t="n">
        <f aca="false">IFERROR(INDEX('Semrush Data'!$D$2:$D$5000,MATCH(C55,'Semrush Data'!$A$2:$A$5000,0)),"")</f>
        <v>28</v>
      </c>
      <c r="F55" s="15" t="n">
        <f aca="false">IFERROR(INDEX('Semrush Data'!$E$2:$E$5000,MATCH(C55,'Semrush Data'!$A$2:$A$5000,0)),"")</f>
        <v>0.51</v>
      </c>
      <c r="G55" s="9" t="str">
        <f aca="false">IF(E55="","",IF(E55&lt;=20,"Easier",IF(E55&lt;=35,"Medium","Hard")))</f>
        <v>Medium</v>
      </c>
      <c r="H55" s="9" t="s">
        <v>50</v>
      </c>
    </row>
    <row r="56" customFormat="false" ht="15" hidden="false" customHeight="false" outlineLevel="0" collapsed="false">
      <c r="A56" s="9" t="s">
        <v>117</v>
      </c>
      <c r="B56" s="9" t="s">
        <v>118</v>
      </c>
      <c r="C56" s="13" t="str">
        <f aca="false">INDEX(Products!$V$2:$V$600,MATCH(A56,Products!$A$2:$A$600,0))</f>
        <v>acqua di parma sandalo</v>
      </c>
      <c r="D56" s="14" t="n">
        <f aca="false">IFERROR(INDEX('Semrush Data'!$C$2:$C$5000,MATCH(C56,'Semrush Data'!$A$2:$A$5000,0)),"")</f>
        <v>480</v>
      </c>
      <c r="E56" s="9" t="n">
        <f aca="false">IFERROR(INDEX('Semrush Data'!$D$2:$D$5000,MATCH(C56,'Semrush Data'!$A$2:$A$5000,0)),"")</f>
        <v>13</v>
      </c>
      <c r="F56" s="15" t="n">
        <f aca="false">IFERROR(INDEX('Semrush Data'!$E$2:$E$5000,MATCH(C56,'Semrush Data'!$A$2:$A$5000,0)),"")</f>
        <v>0.55</v>
      </c>
      <c r="G56" s="9" t="str">
        <f aca="false">IF(E56="","",IF(E56&lt;=20,"Easier",IF(E56&lt;=35,"Medium","Hard")))</f>
        <v>Easier</v>
      </c>
      <c r="H56" s="9" t="s">
        <v>50</v>
      </c>
    </row>
    <row r="57" customFormat="false" ht="15" hidden="false" customHeight="false" outlineLevel="0" collapsed="false">
      <c r="A57" s="9" t="s">
        <v>119</v>
      </c>
      <c r="B57" s="9" t="s">
        <v>120</v>
      </c>
      <c r="C57" s="13" t="str">
        <f aca="false">INDEX(Products!$V$2:$V$600,MATCH(A57,Products!$A$2:$A$600,0))</f>
        <v>al haramain amber oud tobacco edition</v>
      </c>
      <c r="D57" s="14" t="n">
        <f aca="false">IFERROR(INDEX('Semrush Data'!$C$2:$C$5000,MATCH(C57,'Semrush Data'!$A$2:$A$5000,0)),"")</f>
        <v>480</v>
      </c>
      <c r="E57" s="9" t="n">
        <f aca="false">IFERROR(INDEX('Semrush Data'!$D$2:$D$5000,MATCH(C57,'Semrush Data'!$A$2:$A$5000,0)),"")</f>
        <v>15</v>
      </c>
      <c r="F57" s="15" t="n">
        <f aca="false">IFERROR(INDEX('Semrush Data'!$E$2:$E$5000,MATCH(C57,'Semrush Data'!$A$2:$A$5000,0)),"")</f>
        <v>0.33</v>
      </c>
      <c r="G57" s="9" t="str">
        <f aca="false">IF(E57="","",IF(E57&lt;=20,"Easier",IF(E57&lt;=35,"Medium","Hard")))</f>
        <v>Easier</v>
      </c>
      <c r="H57" s="9" t="s">
        <v>50</v>
      </c>
    </row>
    <row r="58" customFormat="false" ht="15" hidden="false" customHeight="false" outlineLevel="0" collapsed="false">
      <c r="A58" s="9" t="s">
        <v>121</v>
      </c>
      <c r="B58" s="9" t="s">
        <v>122</v>
      </c>
      <c r="C58" s="13" t="str">
        <f aca="false">INDEX(Products!$V$2:$V$600,MATCH(A58,Products!$A$2:$A$600,0))</f>
        <v>davidoff champion</v>
      </c>
      <c r="D58" s="14" t="n">
        <f aca="false">IFERROR(INDEX('Semrush Data'!$C$2:$C$5000,MATCH(C58,'Semrush Data'!$A$2:$A$5000,0)),"")</f>
        <v>480</v>
      </c>
      <c r="E58" s="9" t="n">
        <f aca="false">IFERROR(INDEX('Semrush Data'!$D$2:$D$5000,MATCH(C58,'Semrush Data'!$A$2:$A$5000,0)),"")</f>
        <v>20</v>
      </c>
      <c r="F58" s="15" t="n">
        <f aca="false">IFERROR(INDEX('Semrush Data'!$E$2:$E$5000,MATCH(C58,'Semrush Data'!$A$2:$A$5000,0)),"")</f>
        <v>0.46</v>
      </c>
      <c r="G58" s="9" t="str">
        <f aca="false">IF(E58="","",IF(E58&lt;=20,"Easier",IF(E58&lt;=35,"Medium","Hard")))</f>
        <v>Easier</v>
      </c>
      <c r="H58" s="9" t="s">
        <v>50</v>
      </c>
    </row>
    <row r="59" customFormat="false" ht="15" hidden="false" customHeight="false" outlineLevel="0" collapsed="false">
      <c r="A59" s="9" t="s">
        <v>123</v>
      </c>
      <c r="B59" s="9" t="s">
        <v>124</v>
      </c>
      <c r="C59" s="13" t="str">
        <f aca="false">INDEX(Products!$V$2:$V$600,MATCH(A59,Products!$A$2:$A$600,0))</f>
        <v>elie saab elixir</v>
      </c>
      <c r="D59" s="14" t="n">
        <f aca="false">IFERROR(INDEX('Semrush Data'!$C$2:$C$5000,MATCH(C59,'Semrush Data'!$A$2:$A$5000,0)),"")</f>
        <v>480</v>
      </c>
      <c r="E59" s="9" t="n">
        <f aca="false">IFERROR(INDEX('Semrush Data'!$D$2:$D$5000,MATCH(C59,'Semrush Data'!$A$2:$A$5000,0)),"")</f>
        <v>22</v>
      </c>
      <c r="F59" s="15" t="n">
        <f aca="false">IFERROR(INDEX('Semrush Data'!$E$2:$E$5000,MATCH(C59,'Semrush Data'!$A$2:$A$5000,0)),"")</f>
        <v>0.51</v>
      </c>
      <c r="G59" s="9" t="str">
        <f aca="false">IF(E59="","",IF(E59&lt;=20,"Easier",IF(E59&lt;=35,"Medium","Hard")))</f>
        <v>Medium</v>
      </c>
      <c r="H59" s="9" t="s">
        <v>50</v>
      </c>
    </row>
    <row r="60" customFormat="false" ht="15" hidden="false" customHeight="false" outlineLevel="0" collapsed="false">
      <c r="A60" s="9" t="s">
        <v>125</v>
      </c>
      <c r="B60" s="9" t="s">
        <v>126</v>
      </c>
      <c r="C60" s="13" t="str">
        <f aca="false">INDEX(Products!$V$2:$V$600,MATCH(A60,Products!$A$2:$A$600,0))</f>
        <v>guerlain habit rouge</v>
      </c>
      <c r="D60" s="14" t="n">
        <f aca="false">IFERROR(INDEX('Semrush Data'!$C$2:$C$5000,MATCH(C60,'Semrush Data'!$A$2:$A$5000,0)),"")</f>
        <v>480</v>
      </c>
      <c r="E60" s="9" t="n">
        <f aca="false">IFERROR(INDEX('Semrush Data'!$D$2:$D$5000,MATCH(C60,'Semrush Data'!$A$2:$A$5000,0)),"")</f>
        <v>23</v>
      </c>
      <c r="F60" s="15" t="n">
        <f aca="false">IFERROR(INDEX('Semrush Data'!$E$2:$E$5000,MATCH(C60,'Semrush Data'!$A$2:$A$5000,0)),"")</f>
        <v>0.9</v>
      </c>
      <c r="G60" s="9" t="str">
        <f aca="false">IF(E60="","",IF(E60&lt;=20,"Easier",IF(E60&lt;=35,"Medium","Hard")))</f>
        <v>Medium</v>
      </c>
      <c r="H60" s="9" t="s">
        <v>50</v>
      </c>
    </row>
    <row r="61" customFormat="false" ht="15" hidden="false" customHeight="false" outlineLevel="0" collapsed="false">
      <c r="A61" s="9" t="s">
        <v>127</v>
      </c>
      <c r="B61" s="9" t="s">
        <v>128</v>
      </c>
      <c r="C61" s="13" t="str">
        <f aca="false">INDEX(Products!$V$2:$V$600,MATCH(A61,Products!$A$2:$A$600,0))</f>
        <v>guerlain samsara</v>
      </c>
      <c r="D61" s="14" t="n">
        <f aca="false">IFERROR(INDEX('Semrush Data'!$C$2:$C$5000,MATCH(C61,'Semrush Data'!$A$2:$A$5000,0)),"")</f>
        <v>480</v>
      </c>
      <c r="E61" s="9" t="n">
        <f aca="false">IFERROR(INDEX('Semrush Data'!$D$2:$D$5000,MATCH(C61,'Semrush Data'!$A$2:$A$5000,0)),"")</f>
        <v>28</v>
      </c>
      <c r="F61" s="15" t="n">
        <f aca="false">IFERROR(INDEX('Semrush Data'!$E$2:$E$5000,MATCH(C61,'Semrush Data'!$A$2:$A$5000,0)),"")</f>
        <v>0.68</v>
      </c>
      <c r="G61" s="9" t="str">
        <f aca="false">IF(E61="","",IF(E61&lt;=20,"Easier",IF(E61&lt;=35,"Medium","Hard")))</f>
        <v>Medium</v>
      </c>
      <c r="H61" s="9" t="s">
        <v>50</v>
      </c>
    </row>
    <row r="62" customFormat="false" ht="15" hidden="false" customHeight="false" outlineLevel="0" collapsed="false">
      <c r="A62" s="9" t="s">
        <v>129</v>
      </c>
      <c r="B62" s="9" t="s">
        <v>130</v>
      </c>
      <c r="C62" s="13" t="str">
        <f aca="false">INDEX(Products!$V$2:$V$600,MATCH(A62,Products!$A$2:$A$600,0))</f>
        <v>escada magnetism</v>
      </c>
      <c r="D62" s="14" t="n">
        <f aca="false">IFERROR(INDEX('Semrush Data'!$C$2:$C$5000,MATCH(C62,'Semrush Data'!$A$2:$A$5000,0)),"")</f>
        <v>390</v>
      </c>
      <c r="E62" s="9" t="n">
        <f aca="false">IFERROR(INDEX('Semrush Data'!$D$2:$D$5000,MATCH(C62,'Semrush Data'!$A$2:$A$5000,0)),"")</f>
        <v>15</v>
      </c>
      <c r="F62" s="15" t="n">
        <f aca="false">IFERROR(INDEX('Semrush Data'!$E$2:$E$5000,MATCH(C62,'Semrush Data'!$A$2:$A$5000,0)),"")</f>
        <v>0.36</v>
      </c>
      <c r="G62" s="9" t="str">
        <f aca="false">IF(E62="","",IF(E62&lt;=20,"Easier",IF(E62&lt;=35,"Medium","Hard")))</f>
        <v>Easier</v>
      </c>
      <c r="H62" s="9" t="s">
        <v>50</v>
      </c>
    </row>
    <row r="63" customFormat="false" ht="15" hidden="false" customHeight="false" outlineLevel="0" collapsed="false">
      <c r="A63" s="9" t="s">
        <v>131</v>
      </c>
      <c r="B63" s="9" t="s">
        <v>132</v>
      </c>
      <c r="C63" s="13" t="str">
        <f aca="false">INDEX(Products!$V$2:$V$600,MATCH(A63,Products!$A$2:$A$600,0))</f>
        <v>carolina herrera 212 vip men</v>
      </c>
      <c r="D63" s="14" t="n">
        <f aca="false">IFERROR(INDEX('Semrush Data'!$C$2:$C$5000,MATCH(C63,'Semrush Data'!$A$2:$A$5000,0)),"")</f>
        <v>390</v>
      </c>
      <c r="E63" s="9" t="n">
        <f aca="false">IFERROR(INDEX('Semrush Data'!$D$2:$D$5000,MATCH(C63,'Semrush Data'!$A$2:$A$5000,0)),"")</f>
        <v>16</v>
      </c>
      <c r="F63" s="15" t="n">
        <f aca="false">IFERROR(INDEX('Semrush Data'!$E$2:$E$5000,MATCH(C63,'Semrush Data'!$A$2:$A$5000,0)),"")</f>
        <v>0.44</v>
      </c>
      <c r="G63" s="9" t="str">
        <f aca="false">IF(E63="","",IF(E63&lt;=20,"Easier",IF(E63&lt;=35,"Medium","Hard")))</f>
        <v>Easier</v>
      </c>
      <c r="H63" s="9" t="s">
        <v>50</v>
      </c>
    </row>
    <row r="64" customFormat="false" ht="15" hidden="false" customHeight="false" outlineLevel="0" collapsed="false">
      <c r="A64" s="9" t="s">
        <v>133</v>
      </c>
      <c r="B64" s="9" t="s">
        <v>134</v>
      </c>
      <c r="C64" s="13" t="str">
        <f aca="false">INDEX(Products!$V$2:$V$600,MATCH(A64,Products!$A$2:$A$600,0))</f>
        <v>dkny be tempted</v>
      </c>
      <c r="D64" s="14" t="n">
        <f aca="false">IFERROR(INDEX('Semrush Data'!$C$2:$C$5000,MATCH(C64,'Semrush Data'!$A$2:$A$5000,0)),"")</f>
        <v>390</v>
      </c>
      <c r="E64" s="9" t="n">
        <f aca="false">IFERROR(INDEX('Semrush Data'!$D$2:$D$5000,MATCH(C64,'Semrush Data'!$A$2:$A$5000,0)),"")</f>
        <v>16</v>
      </c>
      <c r="F64" s="15" t="n">
        <f aca="false">IFERROR(INDEX('Semrush Data'!$E$2:$E$5000,MATCH(C64,'Semrush Data'!$A$2:$A$5000,0)),"")</f>
        <v>0.47</v>
      </c>
      <c r="G64" s="9" t="str">
        <f aca="false">IF(E64="","",IF(E64&lt;=20,"Easier",IF(E64&lt;=35,"Medium","Hard")))</f>
        <v>Easier</v>
      </c>
      <c r="H64" s="9" t="s">
        <v>50</v>
      </c>
    </row>
    <row r="65" customFormat="false" ht="15" hidden="false" customHeight="false" outlineLevel="0" collapsed="false">
      <c r="A65" s="9" t="s">
        <v>135</v>
      </c>
      <c r="B65" s="9" t="s">
        <v>136</v>
      </c>
      <c r="C65" s="13" t="str">
        <f aca="false">INDEX(Products!$V$2:$V$600,MATCH(A65,Products!$A$2:$A$600,0))</f>
        <v>acqua di parma sakura</v>
      </c>
      <c r="D65" s="14" t="n">
        <f aca="false">IFERROR(INDEX('Semrush Data'!$C$2:$C$5000,MATCH(C65,'Semrush Data'!$A$2:$A$5000,0)),"")</f>
        <v>390</v>
      </c>
      <c r="E65" s="9" t="n">
        <f aca="false">IFERROR(INDEX('Semrush Data'!$D$2:$D$5000,MATCH(C65,'Semrush Data'!$A$2:$A$5000,0)),"")</f>
        <v>17</v>
      </c>
      <c r="F65" s="15" t="n">
        <f aca="false">IFERROR(INDEX('Semrush Data'!$E$2:$E$5000,MATCH(C65,'Semrush Data'!$A$2:$A$5000,0)),"")</f>
        <v>0.36</v>
      </c>
      <c r="G65" s="9" t="str">
        <f aca="false">IF(E65="","",IF(E65&lt;=20,"Easier",IF(E65&lt;=35,"Medium","Hard")))</f>
        <v>Easier</v>
      </c>
      <c r="H65" s="9" t="s">
        <v>50</v>
      </c>
    </row>
    <row r="66" customFormat="false" ht="15" hidden="false" customHeight="false" outlineLevel="0" collapsed="false">
      <c r="A66" s="9" t="s">
        <v>137</v>
      </c>
      <c r="B66" s="9" t="s">
        <v>138</v>
      </c>
      <c r="C66" s="13" t="str">
        <f aca="false">INDEX(Products!$V$2:$V$600,MATCH(A66,Products!$A$2:$A$600,0))</f>
        <v>carolina herrera bad boy extreme</v>
      </c>
      <c r="D66" s="14" t="n">
        <f aca="false">IFERROR(INDEX('Semrush Data'!$C$2:$C$5000,MATCH(C66,'Semrush Data'!$A$2:$A$5000,0)),"")</f>
        <v>390</v>
      </c>
      <c r="E66" s="9" t="n">
        <f aca="false">IFERROR(INDEX('Semrush Data'!$D$2:$D$5000,MATCH(C66,'Semrush Data'!$A$2:$A$5000,0)),"")</f>
        <v>17</v>
      </c>
      <c r="F66" s="15" t="n">
        <f aca="false">IFERROR(INDEX('Semrush Data'!$E$2:$E$5000,MATCH(C66,'Semrush Data'!$A$2:$A$5000,0)),"")</f>
        <v>0.62</v>
      </c>
      <c r="G66" s="9" t="str">
        <f aca="false">IF(E66="","",IF(E66&lt;=20,"Easier",IF(E66&lt;=35,"Medium","Hard")))</f>
        <v>Easier</v>
      </c>
      <c r="H66" s="9" t="s">
        <v>50</v>
      </c>
    </row>
    <row r="67" customFormat="false" ht="15" hidden="false" customHeight="false" outlineLevel="0" collapsed="false">
      <c r="A67" s="9" t="s">
        <v>139</v>
      </c>
      <c r="B67" s="9" t="s">
        <v>140</v>
      </c>
      <c r="C67" s="13" t="str">
        <f aca="false">INDEX(Products!$V$2:$V$600,MATCH(A67,Products!$A$2:$A$600,0))</f>
        <v>anna sui sky</v>
      </c>
      <c r="D67" s="14" t="n">
        <f aca="false">IFERROR(INDEX('Semrush Data'!$C$2:$C$5000,MATCH(C67,'Semrush Data'!$A$2:$A$5000,0)),"")</f>
        <v>390</v>
      </c>
      <c r="E67" s="9" t="n">
        <f aca="false">IFERROR(INDEX('Semrush Data'!$D$2:$D$5000,MATCH(C67,'Semrush Data'!$A$2:$A$5000,0)),"")</f>
        <v>19</v>
      </c>
      <c r="F67" s="15" t="n">
        <f aca="false">IFERROR(INDEX('Semrush Data'!$E$2:$E$5000,MATCH(C67,'Semrush Data'!$A$2:$A$5000,0)),"")</f>
        <v>0.33</v>
      </c>
      <c r="G67" s="9" t="str">
        <f aca="false">IF(E67="","",IF(E67&lt;=20,"Easier",IF(E67&lt;=35,"Medium","Hard")))</f>
        <v>Easier</v>
      </c>
      <c r="H67" s="9" t="s">
        <v>50</v>
      </c>
    </row>
    <row r="68" customFormat="false" ht="15" hidden="false" customHeight="false" outlineLevel="0" collapsed="false">
      <c r="A68" s="9" t="s">
        <v>141</v>
      </c>
      <c r="B68" s="9" t="s">
        <v>142</v>
      </c>
      <c r="C68" s="13" t="str">
        <f aca="false">INDEX(Products!$V$2:$V$600,MATCH(A68,Products!$A$2:$A$600,0))</f>
        <v>acqua di parma rosa nobile</v>
      </c>
      <c r="D68" s="14" t="n">
        <f aca="false">IFERROR(INDEX('Semrush Data'!$C$2:$C$5000,MATCH(C68,'Semrush Data'!$A$2:$A$5000,0)),"")</f>
        <v>320</v>
      </c>
      <c r="E68" s="9" t="n">
        <f aca="false">IFERROR(INDEX('Semrush Data'!$D$2:$D$5000,MATCH(C68,'Semrush Data'!$A$2:$A$5000,0)),"")</f>
        <v>11</v>
      </c>
      <c r="F68" s="15" t="n">
        <f aca="false">IFERROR(INDEX('Semrush Data'!$E$2:$E$5000,MATCH(C68,'Semrush Data'!$A$2:$A$5000,0)),"")</f>
        <v>0.45</v>
      </c>
      <c r="G68" s="9" t="str">
        <f aca="false">IF(E68="","",IF(E68&lt;=20,"Easier",IF(E68&lt;=35,"Medium","Hard")))</f>
        <v>Easier</v>
      </c>
      <c r="H68" s="9" t="s">
        <v>50</v>
      </c>
    </row>
    <row r="69" customFormat="false" ht="15" hidden="false" customHeight="false" outlineLevel="0" collapsed="false">
      <c r="A69" s="9" t="s">
        <v>143</v>
      </c>
      <c r="B69" s="9" t="s">
        <v>144</v>
      </c>
      <c r="C69" s="13" t="str">
        <f aca="false">INDEX(Products!$V$2:$V$600,MATCH(A69,Products!$A$2:$A$600,0))</f>
        <v>lancome idole nectar</v>
      </c>
      <c r="D69" s="14" t="n">
        <f aca="false">IFERROR(INDEX('Semrush Data'!$C$2:$C$5000,MATCH(C69,'Semrush Data'!$A$2:$A$5000,0)),"")</f>
        <v>320</v>
      </c>
      <c r="E69" s="9" t="n">
        <f aca="false">IFERROR(INDEX('Semrush Data'!$D$2:$D$5000,MATCH(C69,'Semrush Data'!$A$2:$A$5000,0)),"")</f>
        <v>16</v>
      </c>
      <c r="F69" s="15" t="n">
        <f aca="false">IFERROR(INDEX('Semrush Data'!$E$2:$E$5000,MATCH(C69,'Semrush Data'!$A$2:$A$5000,0)),"")</f>
        <v>0.63</v>
      </c>
      <c r="G69" s="9" t="str">
        <f aca="false">IF(E69="","",IF(E69&lt;=20,"Easier",IF(E69&lt;=35,"Medium","Hard")))</f>
        <v>Easier</v>
      </c>
      <c r="H69" s="9" t="s">
        <v>50</v>
      </c>
    </row>
    <row r="70" customFormat="false" ht="15" hidden="false" customHeight="false" outlineLevel="0" collapsed="false">
      <c r="A70" s="9" t="s">
        <v>145</v>
      </c>
      <c r="B70" s="9" t="s">
        <v>146</v>
      </c>
      <c r="C70" s="13" t="str">
        <f aca="false">INDEX(Products!$V$2:$V$600,MATCH(A70,Products!$A$2:$A$600,0))</f>
        <v>bvlgari omnia amethyste</v>
      </c>
      <c r="D70" s="14" t="n">
        <f aca="false">IFERROR(INDEX('Semrush Data'!$C$2:$C$5000,MATCH(C70,'Semrush Data'!$A$2:$A$5000,0)),"")</f>
        <v>320</v>
      </c>
      <c r="E70" s="9" t="n">
        <f aca="false">IFERROR(INDEX('Semrush Data'!$D$2:$D$5000,MATCH(C70,'Semrush Data'!$A$2:$A$5000,0)),"")</f>
        <v>18</v>
      </c>
      <c r="F70" s="15" t="n">
        <f aca="false">IFERROR(INDEX('Semrush Data'!$E$2:$E$5000,MATCH(C70,'Semrush Data'!$A$2:$A$5000,0)),"")</f>
        <v>0.41</v>
      </c>
      <c r="G70" s="9" t="str">
        <f aca="false">IF(E70="","",IF(E70&lt;=20,"Easier",IF(E70&lt;=35,"Medium","Hard")))</f>
        <v>Easier</v>
      </c>
      <c r="H70" s="9" t="s">
        <v>50</v>
      </c>
    </row>
    <row r="71" customFormat="false" ht="15" hidden="false" customHeight="false" outlineLevel="0" collapsed="false">
      <c r="A71" s="9" t="s">
        <v>147</v>
      </c>
      <c r="B71" s="9" t="s">
        <v>148</v>
      </c>
      <c r="C71" s="13" t="str">
        <f aca="false">INDEX(Products!$V$2:$V$600,MATCH(A71,Products!$A$2:$A$600,0))</f>
        <v>carolina herrera very good girl glam</v>
      </c>
      <c r="D71" s="14" t="n">
        <f aca="false">IFERROR(INDEX('Semrush Data'!$C$2:$C$5000,MATCH(C71,'Semrush Data'!$A$2:$A$5000,0)),"")</f>
        <v>320</v>
      </c>
      <c r="E71" s="9" t="n">
        <f aca="false">IFERROR(INDEX('Semrush Data'!$D$2:$D$5000,MATCH(C71,'Semrush Data'!$A$2:$A$5000,0)),"")</f>
        <v>20</v>
      </c>
      <c r="F71" s="15" t="n">
        <f aca="false">IFERROR(INDEX('Semrush Data'!$E$2:$E$5000,MATCH(C71,'Semrush Data'!$A$2:$A$5000,0)),"")</f>
        <v>0</v>
      </c>
      <c r="G71" s="9" t="str">
        <f aca="false">IF(E71="","",IF(E71&lt;=20,"Easier",IF(E71&lt;=35,"Medium","Hard")))</f>
        <v>Easier</v>
      </c>
      <c r="H71" s="9" t="s">
        <v>50</v>
      </c>
    </row>
    <row r="73" customFormat="false" ht="16.15" hidden="false" customHeight="false" outlineLevel="0" collapsed="false">
      <c r="A73" s="7" t="s">
        <v>149</v>
      </c>
    </row>
    <row r="74" customFormat="false" ht="15" hidden="false" customHeight="false" outlineLevel="0" collapsed="false">
      <c r="A74" s="8" t="s">
        <v>150</v>
      </c>
    </row>
    <row r="75" customFormat="false" ht="15" hidden="false" customHeight="false" outlineLevel="0" collapsed="false">
      <c r="A75" s="12"/>
      <c r="B75" s="12" t="s">
        <v>151</v>
      </c>
      <c r="C75" s="12" t="s">
        <v>152</v>
      </c>
      <c r="D75" s="12" t="s">
        <v>43</v>
      </c>
      <c r="E75" s="12" t="s">
        <v>44</v>
      </c>
      <c r="F75" s="12" t="s">
        <v>45</v>
      </c>
      <c r="G75" s="12" t="s">
        <v>46</v>
      </c>
      <c r="H75" s="12" t="s">
        <v>47</v>
      </c>
    </row>
    <row r="76" customFormat="false" ht="15" hidden="false" customHeight="false" outlineLevel="0" collapsed="false">
      <c r="B76" s="9" t="s">
        <v>153</v>
      </c>
      <c r="C76" s="9" t="s">
        <v>154</v>
      </c>
      <c r="D76" s="14" t="n">
        <f aca="false">IFERROR(INDEX('Semrush Data'!$C$2:$C$5000,MATCH(B76,'Semrush Data'!$A$2:$A$5000,0)),"")</f>
        <v>2900</v>
      </c>
      <c r="E76" s="9" t="n">
        <f aca="false">IFERROR(INDEX('Semrush Data'!$D$2:$D$5000,MATCH(B76,'Semrush Data'!$A$2:$A$5000,0)),"")</f>
        <v>29</v>
      </c>
      <c r="F76" s="15" t="n">
        <f aca="false">IFERROR(INDEX('Semrush Data'!$E$2:$E$5000,MATCH(B76,'Semrush Data'!$A$2:$A$5000,0)),"")</f>
        <v>0.91</v>
      </c>
      <c r="G76" s="9" t="str">
        <f aca="false">IF(E76="","",IF(E76&lt;=20,"Easier",IF(E76&lt;=35,"Medium","Hard")))</f>
        <v>Medium</v>
      </c>
      <c r="H76" s="9" t="s">
        <v>155</v>
      </c>
    </row>
    <row r="77" customFormat="false" ht="15" hidden="false" customHeight="false" outlineLevel="0" collapsed="false">
      <c r="B77" s="9" t="s">
        <v>156</v>
      </c>
      <c r="C77" s="9" t="s">
        <v>154</v>
      </c>
      <c r="D77" s="14" t="n">
        <f aca="false">IFERROR(INDEX('Semrush Data'!$C$2:$C$5000,MATCH(B77,'Semrush Data'!$A$2:$A$5000,0)),"")</f>
        <v>2400</v>
      </c>
      <c r="E77" s="9" t="n">
        <f aca="false">IFERROR(INDEX('Semrush Data'!$D$2:$D$5000,MATCH(B77,'Semrush Data'!$A$2:$A$5000,0)),"")</f>
        <v>13</v>
      </c>
      <c r="F77" s="15" t="n">
        <f aca="false">IFERROR(INDEX('Semrush Data'!$E$2:$E$5000,MATCH(B77,'Semrush Data'!$A$2:$A$5000,0)),"")</f>
        <v>0.75</v>
      </c>
      <c r="G77" s="9" t="str">
        <f aca="false">IF(E77="","",IF(E77&lt;=20,"Easier",IF(E77&lt;=35,"Medium","Hard")))</f>
        <v>Easier</v>
      </c>
      <c r="H77" s="9" t="s">
        <v>155</v>
      </c>
    </row>
    <row r="78" customFormat="false" ht="15" hidden="false" customHeight="false" outlineLevel="0" collapsed="false">
      <c r="B78" s="9" t="s">
        <v>157</v>
      </c>
      <c r="C78" s="9" t="s">
        <v>154</v>
      </c>
      <c r="D78" s="14" t="n">
        <f aca="false">IFERROR(INDEX('Semrush Data'!$C$2:$C$5000,MATCH(B78,'Semrush Data'!$A$2:$A$5000,0)),"")</f>
        <v>1900</v>
      </c>
      <c r="E78" s="9" t="n">
        <f aca="false">IFERROR(INDEX('Semrush Data'!$D$2:$D$5000,MATCH(B78,'Semrush Data'!$A$2:$A$5000,0)),"")</f>
        <v>30</v>
      </c>
      <c r="F78" s="15" t="n">
        <f aca="false">IFERROR(INDEX('Semrush Data'!$E$2:$E$5000,MATCH(B78,'Semrush Data'!$A$2:$A$5000,0)),"")</f>
        <v>0.82</v>
      </c>
      <c r="G78" s="9" t="str">
        <f aca="false">IF(E78="","",IF(E78&lt;=20,"Easier",IF(E78&lt;=35,"Medium","Hard")))</f>
        <v>Medium</v>
      </c>
      <c r="H78" s="9" t="s">
        <v>155</v>
      </c>
    </row>
    <row r="79" customFormat="false" ht="15" hidden="false" customHeight="false" outlineLevel="0" collapsed="false">
      <c r="B79" s="9" t="s">
        <v>158</v>
      </c>
      <c r="C79" s="9" t="s">
        <v>154</v>
      </c>
      <c r="D79" s="14" t="n">
        <f aca="false">IFERROR(INDEX('Semrush Data'!$C$2:$C$5000,MATCH(B79,'Semrush Data'!$A$2:$A$5000,0)),"")</f>
        <v>1600</v>
      </c>
      <c r="E79" s="9" t="n">
        <f aca="false">IFERROR(INDEX('Semrush Data'!$D$2:$D$5000,MATCH(B79,'Semrush Data'!$A$2:$A$5000,0)),"")</f>
        <v>29</v>
      </c>
      <c r="F79" s="15" t="n">
        <f aca="false">IFERROR(INDEX('Semrush Data'!$E$2:$E$5000,MATCH(B79,'Semrush Data'!$A$2:$A$5000,0)),"")</f>
        <v>0.85</v>
      </c>
      <c r="G79" s="9" t="str">
        <f aca="false">IF(E79="","",IF(E79&lt;=20,"Easier",IF(E79&lt;=35,"Medium","Hard")))</f>
        <v>Medium</v>
      </c>
      <c r="H79" s="9" t="s">
        <v>155</v>
      </c>
    </row>
    <row r="80" customFormat="false" ht="15" hidden="false" customHeight="false" outlineLevel="0" collapsed="false">
      <c r="B80" s="9" t="s">
        <v>159</v>
      </c>
      <c r="C80" s="9" t="s">
        <v>154</v>
      </c>
      <c r="D80" s="14" t="n">
        <f aca="false">IFERROR(INDEX('Semrush Data'!$C$2:$C$5000,MATCH(B80,'Semrush Data'!$A$2:$A$5000,0)),"")</f>
        <v>1600</v>
      </c>
      <c r="E80" s="9" t="n">
        <f aca="false">IFERROR(INDEX('Semrush Data'!$D$2:$D$5000,MATCH(B80,'Semrush Data'!$A$2:$A$5000,0)),"")</f>
        <v>33</v>
      </c>
      <c r="F80" s="15" t="n">
        <f aca="false">IFERROR(INDEX('Semrush Data'!$E$2:$E$5000,MATCH(B80,'Semrush Data'!$A$2:$A$5000,0)),"")</f>
        <v>1.19</v>
      </c>
      <c r="G80" s="9" t="str">
        <f aca="false">IF(E80="","",IF(E80&lt;=20,"Easier",IF(E80&lt;=35,"Medium","Hard")))</f>
        <v>Medium</v>
      </c>
      <c r="H80" s="9" t="s">
        <v>155</v>
      </c>
    </row>
    <row r="81" customFormat="false" ht="15" hidden="false" customHeight="false" outlineLevel="0" collapsed="false">
      <c r="B81" s="9" t="s">
        <v>160</v>
      </c>
      <c r="C81" s="9" t="s">
        <v>154</v>
      </c>
      <c r="D81" s="14" t="n">
        <f aca="false">IFERROR(INDEX('Semrush Data'!$C$2:$C$5000,MATCH(B81,'Semrush Data'!$A$2:$A$5000,0)),"")</f>
        <v>1600</v>
      </c>
      <c r="E81" s="9" t="n">
        <f aca="false">IFERROR(INDEX('Semrush Data'!$D$2:$D$5000,MATCH(B81,'Semrush Data'!$A$2:$A$5000,0)),"")</f>
        <v>31</v>
      </c>
      <c r="F81" s="15" t="n">
        <f aca="false">IFERROR(INDEX('Semrush Data'!$E$2:$E$5000,MATCH(B81,'Semrush Data'!$A$2:$A$5000,0)),"")</f>
        <v>1.05</v>
      </c>
      <c r="G81" s="9" t="str">
        <f aca="false">IF(E81="","",IF(E81&lt;=20,"Easier",IF(E81&lt;=35,"Medium","Hard")))</f>
        <v>Medium</v>
      </c>
      <c r="H81" s="9" t="s">
        <v>155</v>
      </c>
    </row>
    <row r="82" customFormat="false" ht="15" hidden="false" customHeight="false" outlineLevel="0" collapsed="false">
      <c r="B82" s="9" t="s">
        <v>161</v>
      </c>
      <c r="C82" s="9" t="s">
        <v>154</v>
      </c>
      <c r="D82" s="14" t="n">
        <f aca="false">IFERROR(INDEX('Semrush Data'!$C$2:$C$5000,MATCH(B82,'Semrush Data'!$A$2:$A$5000,0)),"")</f>
        <v>1300</v>
      </c>
      <c r="E82" s="9" t="n">
        <f aca="false">IFERROR(INDEX('Semrush Data'!$D$2:$D$5000,MATCH(B82,'Semrush Data'!$A$2:$A$5000,0)),"")</f>
        <v>11</v>
      </c>
      <c r="F82" s="15" t="n">
        <f aca="false">IFERROR(INDEX('Semrush Data'!$E$2:$E$5000,MATCH(B82,'Semrush Data'!$A$2:$A$5000,0)),"")</f>
        <v>0.77</v>
      </c>
      <c r="G82" s="9" t="str">
        <f aca="false">IF(E82="","",IF(E82&lt;=20,"Easier",IF(E82&lt;=35,"Medium","Hard")))</f>
        <v>Easier</v>
      </c>
      <c r="H82" s="9" t="s">
        <v>155</v>
      </c>
    </row>
    <row r="83" customFormat="false" ht="15" hidden="false" customHeight="false" outlineLevel="0" collapsed="false">
      <c r="B83" s="9" t="s">
        <v>162</v>
      </c>
      <c r="C83" s="9" t="s">
        <v>154</v>
      </c>
      <c r="D83" s="14" t="n">
        <f aca="false">IFERROR(INDEX('Semrush Data'!$C$2:$C$5000,MATCH(B83,'Semrush Data'!$A$2:$A$5000,0)),"")</f>
        <v>1000</v>
      </c>
      <c r="E83" s="9" t="n">
        <f aca="false">IFERROR(INDEX('Semrush Data'!$D$2:$D$5000,MATCH(B83,'Semrush Data'!$A$2:$A$5000,0)),"")</f>
        <v>27</v>
      </c>
      <c r="F83" s="15" t="n">
        <f aca="false">IFERROR(INDEX('Semrush Data'!$E$2:$E$5000,MATCH(B83,'Semrush Data'!$A$2:$A$5000,0)),"")</f>
        <v>0.72</v>
      </c>
      <c r="G83" s="9" t="str">
        <f aca="false">IF(E83="","",IF(E83&lt;=20,"Easier",IF(E83&lt;=35,"Medium","Hard")))</f>
        <v>Medium</v>
      </c>
      <c r="H83" s="9" t="s">
        <v>155</v>
      </c>
    </row>
    <row r="84" customFormat="false" ht="15" hidden="false" customHeight="false" outlineLevel="0" collapsed="false">
      <c r="B84" s="9" t="s">
        <v>163</v>
      </c>
      <c r="C84" s="9" t="s">
        <v>154</v>
      </c>
      <c r="D84" s="14" t="n">
        <f aca="false">IFERROR(INDEX('Semrush Data'!$C$2:$C$5000,MATCH(B84,'Semrush Data'!$A$2:$A$5000,0)),"")</f>
        <v>1000</v>
      </c>
      <c r="E84" s="9" t="n">
        <f aca="false">IFERROR(INDEX('Semrush Data'!$D$2:$D$5000,MATCH(B84,'Semrush Data'!$A$2:$A$5000,0)),"")</f>
        <v>41</v>
      </c>
      <c r="F84" s="15" t="n">
        <f aca="false">IFERROR(INDEX('Semrush Data'!$E$2:$E$5000,MATCH(B84,'Semrush Data'!$A$2:$A$5000,0)),"")</f>
        <v>0.76</v>
      </c>
      <c r="G84" s="9" t="str">
        <f aca="false">IF(E84="","",IF(E84&lt;=20,"Easier",IF(E84&lt;=35,"Medium","Hard")))</f>
        <v>Hard</v>
      </c>
      <c r="H84" s="9" t="s">
        <v>155</v>
      </c>
    </row>
    <row r="85" customFormat="false" ht="15" hidden="false" customHeight="false" outlineLevel="0" collapsed="false">
      <c r="B85" s="9" t="s">
        <v>164</v>
      </c>
      <c r="C85" s="9" t="s">
        <v>154</v>
      </c>
      <c r="D85" s="14" t="n">
        <f aca="false">IFERROR(INDEX('Semrush Data'!$C$2:$C$5000,MATCH(B85,'Semrush Data'!$A$2:$A$5000,0)),"")</f>
        <v>720</v>
      </c>
      <c r="E85" s="9" t="n">
        <f aca="false">IFERROR(INDEX('Semrush Data'!$D$2:$D$5000,MATCH(B85,'Semrush Data'!$A$2:$A$5000,0)),"")</f>
        <v>25</v>
      </c>
      <c r="F85" s="15" t="n">
        <f aca="false">IFERROR(INDEX('Semrush Data'!$E$2:$E$5000,MATCH(B85,'Semrush Data'!$A$2:$A$5000,0)),"")</f>
        <v>0.84</v>
      </c>
      <c r="G85" s="9" t="str">
        <f aca="false">IF(E85="","",IF(E85&lt;=20,"Easier",IF(E85&lt;=35,"Medium","Hard")))</f>
        <v>Medium</v>
      </c>
      <c r="H85" s="9" t="s">
        <v>155</v>
      </c>
    </row>
    <row r="86" customFormat="false" ht="15" hidden="false" customHeight="false" outlineLevel="0" collapsed="false">
      <c r="B86" s="9" t="s">
        <v>165</v>
      </c>
      <c r="C86" s="9" t="s">
        <v>154</v>
      </c>
      <c r="D86" s="14" t="n">
        <f aca="false">IFERROR(INDEX('Semrush Data'!$C$2:$C$5000,MATCH(B86,'Semrush Data'!$A$2:$A$5000,0)),"")</f>
        <v>720</v>
      </c>
      <c r="E86" s="9" t="n">
        <f aca="false">IFERROR(INDEX('Semrush Data'!$D$2:$D$5000,MATCH(B86,'Semrush Data'!$A$2:$A$5000,0)),"")</f>
        <v>20</v>
      </c>
      <c r="F86" s="15" t="n">
        <f aca="false">IFERROR(INDEX('Semrush Data'!$E$2:$E$5000,MATCH(B86,'Semrush Data'!$A$2:$A$5000,0)),"")</f>
        <v>0.57</v>
      </c>
      <c r="G86" s="9" t="str">
        <f aca="false">IF(E86="","",IF(E86&lt;=20,"Easier",IF(E86&lt;=35,"Medium","Hard")))</f>
        <v>Easier</v>
      </c>
      <c r="H86" s="9" t="s">
        <v>166</v>
      </c>
    </row>
    <row r="87" customFormat="false" ht="15" hidden="false" customHeight="false" outlineLevel="0" collapsed="false">
      <c r="B87" s="9" t="s">
        <v>167</v>
      </c>
      <c r="C87" s="9" t="s">
        <v>154</v>
      </c>
      <c r="D87" s="14" t="n">
        <f aca="false">IFERROR(INDEX('Semrush Data'!$C$2:$C$5000,MATCH(B87,'Semrush Data'!$A$2:$A$5000,0)),"")</f>
        <v>720</v>
      </c>
      <c r="E87" s="9" t="n">
        <f aca="false">IFERROR(INDEX('Semrush Data'!$D$2:$D$5000,MATCH(B87,'Semrush Data'!$A$2:$A$5000,0)),"")</f>
        <v>16</v>
      </c>
      <c r="F87" s="15" t="n">
        <f aca="false">IFERROR(INDEX('Semrush Data'!$E$2:$E$5000,MATCH(B87,'Semrush Data'!$A$2:$A$5000,0)),"")</f>
        <v>0.77</v>
      </c>
      <c r="G87" s="9" t="str">
        <f aca="false">IF(E87="","",IF(E87&lt;=20,"Easier",IF(E87&lt;=35,"Medium","Hard")))</f>
        <v>Easier</v>
      </c>
      <c r="H87" s="9" t="s">
        <v>155</v>
      </c>
    </row>
    <row r="88" customFormat="false" ht="15" hidden="false" customHeight="false" outlineLevel="0" collapsed="false">
      <c r="B88" s="9" t="s">
        <v>168</v>
      </c>
      <c r="C88" s="9" t="s">
        <v>154</v>
      </c>
      <c r="D88" s="14" t="n">
        <f aca="false">IFERROR(INDEX('Semrush Data'!$C$2:$C$5000,MATCH(B88,'Semrush Data'!$A$2:$A$5000,0)),"")</f>
        <v>480</v>
      </c>
      <c r="E88" s="9" t="n">
        <f aca="false">IFERROR(INDEX('Semrush Data'!$D$2:$D$5000,MATCH(B88,'Semrush Data'!$A$2:$A$5000,0)),"")</f>
        <v>21</v>
      </c>
      <c r="F88" s="15" t="n">
        <f aca="false">IFERROR(INDEX('Semrush Data'!$E$2:$E$5000,MATCH(B88,'Semrush Data'!$A$2:$A$5000,0)),"")</f>
        <v>1.16</v>
      </c>
      <c r="G88" s="9" t="str">
        <f aca="false">IF(E88="","",IF(E88&lt;=20,"Easier",IF(E88&lt;=35,"Medium","Hard")))</f>
        <v>Medium</v>
      </c>
      <c r="H88" s="9" t="s">
        <v>166</v>
      </c>
    </row>
    <row r="89" customFormat="false" ht="15" hidden="false" customHeight="false" outlineLevel="0" collapsed="false">
      <c r="B89" s="9" t="s">
        <v>169</v>
      </c>
      <c r="C89" s="9" t="s">
        <v>154</v>
      </c>
      <c r="D89" s="14" t="n">
        <f aca="false">IFERROR(INDEX('Semrush Data'!$C$2:$C$5000,MATCH(B89,'Semrush Data'!$A$2:$A$5000,0)),"")</f>
        <v>480</v>
      </c>
      <c r="E89" s="9" t="n">
        <f aca="false">IFERROR(INDEX('Semrush Data'!$D$2:$D$5000,MATCH(B89,'Semrush Data'!$A$2:$A$5000,0)),"")</f>
        <v>59</v>
      </c>
      <c r="F89" s="15" t="n">
        <f aca="false">IFERROR(INDEX('Semrush Data'!$E$2:$E$5000,MATCH(B89,'Semrush Data'!$A$2:$A$5000,0)),"")</f>
        <v>1.4</v>
      </c>
      <c r="G89" s="9" t="str">
        <f aca="false">IF(E89="","",IF(E89&lt;=20,"Easier",IF(E89&lt;=35,"Medium","Hard")))</f>
        <v>Hard</v>
      </c>
      <c r="H89" s="9" t="s">
        <v>166</v>
      </c>
    </row>
    <row r="90" customFormat="false" ht="15" hidden="false" customHeight="false" outlineLevel="0" collapsed="false">
      <c r="B90" s="9" t="s">
        <v>170</v>
      </c>
      <c r="C90" s="9" t="s">
        <v>154</v>
      </c>
      <c r="D90" s="14" t="n">
        <f aca="false">IFERROR(INDEX('Semrush Data'!$C$2:$C$5000,MATCH(B90,'Semrush Data'!$A$2:$A$5000,0)),"")</f>
        <v>320</v>
      </c>
      <c r="E90" s="9" t="n">
        <f aca="false">IFERROR(INDEX('Semrush Data'!$D$2:$D$5000,MATCH(B90,'Semrush Data'!$A$2:$A$5000,0)),"")</f>
        <v>10</v>
      </c>
      <c r="F90" s="15" t="n">
        <f aca="false">IFERROR(INDEX('Semrush Data'!$E$2:$E$5000,MATCH(B90,'Semrush Data'!$A$2:$A$5000,0)),"")</f>
        <v>1.92</v>
      </c>
      <c r="G90" s="9" t="str">
        <f aca="false">IF(E90="","",IF(E90&lt;=20,"Easier",IF(E90&lt;=35,"Medium","Hard")))</f>
        <v>Easier</v>
      </c>
      <c r="H90" s="9" t="s">
        <v>155</v>
      </c>
    </row>
    <row r="91" customFormat="false" ht="15" hidden="false" customHeight="false" outlineLevel="0" collapsed="false">
      <c r="B91" s="9" t="s">
        <v>171</v>
      </c>
      <c r="C91" s="9" t="s">
        <v>154</v>
      </c>
      <c r="D91" s="14" t="n">
        <f aca="false">IFERROR(INDEX('Semrush Data'!$C$2:$C$5000,MATCH(B91,'Semrush Data'!$A$2:$A$5000,0)),"")</f>
        <v>260</v>
      </c>
      <c r="E91" s="9" t="n">
        <f aca="false">IFERROR(INDEX('Semrush Data'!$D$2:$D$5000,MATCH(B91,'Semrush Data'!$A$2:$A$5000,0)),"")</f>
        <v>19</v>
      </c>
      <c r="F91" s="15" t="n">
        <f aca="false">IFERROR(INDEX('Semrush Data'!$E$2:$E$5000,MATCH(B91,'Semrush Data'!$A$2:$A$5000,0)),"")</f>
        <v>0.76</v>
      </c>
      <c r="G91" s="9" t="str">
        <f aca="false">IF(E91="","",IF(E91&lt;=20,"Easier",IF(E91&lt;=35,"Medium","Hard")))</f>
        <v>Easier</v>
      </c>
      <c r="H91" s="9" t="s">
        <v>155</v>
      </c>
    </row>
    <row r="92" customFormat="false" ht="15" hidden="false" customHeight="false" outlineLevel="0" collapsed="false">
      <c r="B92" s="9" t="s">
        <v>172</v>
      </c>
      <c r="C92" s="9" t="s">
        <v>154</v>
      </c>
      <c r="D92" s="14" t="n">
        <f aca="false">IFERROR(INDEX('Semrush Data'!$C$2:$C$5000,MATCH(B92,'Semrush Data'!$A$2:$A$5000,0)),"")</f>
        <v>260</v>
      </c>
      <c r="E92" s="9" t="n">
        <f aca="false">IFERROR(INDEX('Semrush Data'!$D$2:$D$5000,MATCH(B92,'Semrush Data'!$A$2:$A$5000,0)),"")</f>
        <v>22</v>
      </c>
      <c r="F92" s="15" t="n">
        <f aca="false">IFERROR(INDEX('Semrush Data'!$E$2:$E$5000,MATCH(B92,'Semrush Data'!$A$2:$A$5000,0)),"")</f>
        <v>1.43</v>
      </c>
      <c r="G92" s="9" t="str">
        <f aca="false">IF(E92="","",IF(E92&lt;=20,"Easier",IF(E92&lt;=35,"Medium","Hard")))</f>
        <v>Medium</v>
      </c>
      <c r="H92" s="9" t="s">
        <v>155</v>
      </c>
    </row>
    <row r="93" customFormat="false" ht="15" hidden="false" customHeight="false" outlineLevel="0" collapsed="false">
      <c r="B93" s="9" t="s">
        <v>173</v>
      </c>
      <c r="C93" s="9" t="s">
        <v>154</v>
      </c>
      <c r="D93" s="14" t="n">
        <f aca="false">IFERROR(INDEX('Semrush Data'!$C$2:$C$5000,MATCH(B93,'Semrush Data'!$A$2:$A$5000,0)),"")</f>
        <v>210</v>
      </c>
      <c r="E93" s="9" t="n">
        <f aca="false">IFERROR(INDEX('Semrush Data'!$D$2:$D$5000,MATCH(B93,'Semrush Data'!$A$2:$A$5000,0)),"")</f>
        <v>20</v>
      </c>
      <c r="F93" s="15" t="n">
        <f aca="false">IFERROR(INDEX('Semrush Data'!$E$2:$E$5000,MATCH(B93,'Semrush Data'!$A$2:$A$5000,0)),"")</f>
        <v>0.67</v>
      </c>
      <c r="G93" s="9" t="str">
        <f aca="false">IF(E93="","",IF(E93&lt;=20,"Easier",IF(E93&lt;=35,"Medium","Hard")))</f>
        <v>Easier</v>
      </c>
      <c r="H93" s="9" t="s">
        <v>155</v>
      </c>
    </row>
    <row r="94" customFormat="false" ht="15" hidden="false" customHeight="false" outlineLevel="0" collapsed="false">
      <c r="B94" s="9" t="s">
        <v>174</v>
      </c>
      <c r="C94" s="9" t="s">
        <v>154</v>
      </c>
      <c r="D94" s="14" t="n">
        <f aca="false">IFERROR(INDEX('Semrush Data'!$C$2:$C$5000,MATCH(B94,'Semrush Data'!$A$2:$A$5000,0)),"")</f>
        <v>210</v>
      </c>
      <c r="E94" s="9" t="n">
        <f aca="false">IFERROR(INDEX('Semrush Data'!$D$2:$D$5000,MATCH(B94,'Semrush Data'!$A$2:$A$5000,0)),"")</f>
        <v>16</v>
      </c>
      <c r="F94" s="15" t="n">
        <f aca="false">IFERROR(INDEX('Semrush Data'!$E$2:$E$5000,MATCH(B94,'Semrush Data'!$A$2:$A$5000,0)),"")</f>
        <v>1.02</v>
      </c>
      <c r="G94" s="9" t="str">
        <f aca="false">IF(E94="","",IF(E94&lt;=20,"Easier",IF(E94&lt;=35,"Medium","Hard")))</f>
        <v>Easier</v>
      </c>
      <c r="H94" s="9" t="s">
        <v>166</v>
      </c>
    </row>
    <row r="95" customFormat="false" ht="15" hidden="false" customHeight="false" outlineLevel="0" collapsed="false">
      <c r="B95" s="9" t="s">
        <v>175</v>
      </c>
      <c r="C95" s="9" t="s">
        <v>154</v>
      </c>
      <c r="D95" s="14" t="n">
        <f aca="false">IFERROR(INDEX('Semrush Data'!$C$2:$C$5000,MATCH(B95,'Semrush Data'!$A$2:$A$5000,0)),"")</f>
        <v>210</v>
      </c>
      <c r="E95" s="9" t="n">
        <f aca="false">IFERROR(INDEX('Semrush Data'!$D$2:$D$5000,MATCH(B95,'Semrush Data'!$A$2:$A$5000,0)),"")</f>
        <v>8</v>
      </c>
      <c r="F95" s="15" t="n">
        <f aca="false">IFERROR(INDEX('Semrush Data'!$E$2:$E$5000,MATCH(B95,'Semrush Data'!$A$2:$A$5000,0)),"")</f>
        <v>0.69</v>
      </c>
      <c r="G95" s="9" t="str">
        <f aca="false">IF(E95="","",IF(E95&lt;=20,"Easier",IF(E95&lt;=35,"Medium","Hard")))</f>
        <v>Easier</v>
      </c>
      <c r="H95" s="9" t="s">
        <v>166</v>
      </c>
    </row>
    <row r="96" customFormat="false" ht="15" hidden="false" customHeight="false" outlineLevel="0" collapsed="false">
      <c r="B96" s="9" t="s">
        <v>176</v>
      </c>
      <c r="C96" s="9" t="s">
        <v>154</v>
      </c>
      <c r="D96" s="14" t="n">
        <f aca="false">IFERROR(INDEX('Semrush Data'!$C$2:$C$5000,MATCH(B96,'Semrush Data'!$A$2:$A$5000,0)),"")</f>
        <v>140</v>
      </c>
      <c r="E96" s="9" t="n">
        <f aca="false">IFERROR(INDEX('Semrush Data'!$D$2:$D$5000,MATCH(B96,'Semrush Data'!$A$2:$A$5000,0)),"")</f>
        <v>22</v>
      </c>
      <c r="F96" s="15" t="n">
        <f aca="false">IFERROR(INDEX('Semrush Data'!$E$2:$E$5000,MATCH(B96,'Semrush Data'!$A$2:$A$5000,0)),"")</f>
        <v>0.94</v>
      </c>
      <c r="G96" s="9" t="str">
        <f aca="false">IF(E96="","",IF(E96&lt;=20,"Easier",IF(E96&lt;=35,"Medium","Hard")))</f>
        <v>Medium</v>
      </c>
      <c r="H96" s="9" t="s">
        <v>155</v>
      </c>
    </row>
    <row r="97" customFormat="false" ht="15" hidden="false" customHeight="false" outlineLevel="0" collapsed="false">
      <c r="B97" s="9" t="s">
        <v>177</v>
      </c>
      <c r="C97" s="9" t="s">
        <v>154</v>
      </c>
      <c r="D97" s="14" t="n">
        <f aca="false">IFERROR(INDEX('Semrush Data'!$C$2:$C$5000,MATCH(B97,'Semrush Data'!$A$2:$A$5000,0)),"")</f>
        <v>140</v>
      </c>
      <c r="E97" s="9" t="n">
        <f aca="false">IFERROR(INDEX('Semrush Data'!$D$2:$D$5000,MATCH(B97,'Semrush Data'!$A$2:$A$5000,0)),"")</f>
        <v>16</v>
      </c>
      <c r="F97" s="15" t="n">
        <f aca="false">IFERROR(INDEX('Semrush Data'!$E$2:$E$5000,MATCH(B97,'Semrush Data'!$A$2:$A$5000,0)),"")</f>
        <v>0.94</v>
      </c>
      <c r="G97" s="9" t="str">
        <f aca="false">IF(E97="","",IF(E97&lt;=20,"Easier",IF(E97&lt;=35,"Medium","Hard")))</f>
        <v>Easier</v>
      </c>
      <c r="H97" s="9" t="s">
        <v>166</v>
      </c>
    </row>
    <row r="98" customFormat="false" ht="15" hidden="false" customHeight="false" outlineLevel="0" collapsed="false">
      <c r="B98" s="9" t="s">
        <v>178</v>
      </c>
      <c r="C98" s="9" t="s">
        <v>154</v>
      </c>
      <c r="D98" s="14" t="n">
        <f aca="false">IFERROR(INDEX('Semrush Data'!$C$2:$C$5000,MATCH(B98,'Semrush Data'!$A$2:$A$5000,0)),"")</f>
        <v>90</v>
      </c>
      <c r="E98" s="9" t="n">
        <f aca="false">IFERROR(INDEX('Semrush Data'!$D$2:$D$5000,MATCH(B98,'Semrush Data'!$A$2:$A$5000,0)),"")</f>
        <v>16</v>
      </c>
      <c r="F98" s="15" t="n">
        <f aca="false">IFERROR(INDEX('Semrush Data'!$E$2:$E$5000,MATCH(B98,'Semrush Data'!$A$2:$A$5000,0)),"")</f>
        <v>0.68</v>
      </c>
      <c r="G98" s="9" t="str">
        <f aca="false">IF(E98="","",IF(E98&lt;=20,"Easier",IF(E98&lt;=35,"Medium","Hard")))</f>
        <v>Easier</v>
      </c>
      <c r="H98" s="9" t="s">
        <v>166</v>
      </c>
    </row>
    <row r="99" customFormat="false" ht="15" hidden="false" customHeight="false" outlineLevel="0" collapsed="false">
      <c r="B99" s="9" t="s">
        <v>179</v>
      </c>
      <c r="C99" s="9" t="s">
        <v>154</v>
      </c>
      <c r="D99" s="14" t="n">
        <f aca="false">IFERROR(INDEX('Semrush Data'!$C$2:$C$5000,MATCH(B99,'Semrush Data'!$A$2:$A$5000,0)),"")</f>
        <v>90</v>
      </c>
      <c r="E99" s="9" t="n">
        <f aca="false">IFERROR(INDEX('Semrush Data'!$D$2:$D$5000,MATCH(B99,'Semrush Data'!$A$2:$A$5000,0)),"")</f>
        <v>22</v>
      </c>
      <c r="F99" s="15" t="n">
        <f aca="false">IFERROR(INDEX('Semrush Data'!$E$2:$E$5000,MATCH(B99,'Semrush Data'!$A$2:$A$5000,0)),"")</f>
        <v>0.95</v>
      </c>
      <c r="G99" s="9" t="str">
        <f aca="false">IF(E99="","",IF(E99&lt;=20,"Easier",IF(E99&lt;=35,"Medium","Hard")))</f>
        <v>Medium</v>
      </c>
      <c r="H99" s="9" t="s">
        <v>155</v>
      </c>
    </row>
    <row r="100" customFormat="false" ht="15" hidden="false" customHeight="false" outlineLevel="0" collapsed="false">
      <c r="B100" s="9" t="s">
        <v>180</v>
      </c>
      <c r="C100" s="9" t="s">
        <v>154</v>
      </c>
      <c r="D100" s="14" t="n">
        <f aca="false">IFERROR(INDEX('Semrush Data'!$C$2:$C$5000,MATCH(B100,'Semrush Data'!$A$2:$A$5000,0)),"")</f>
        <v>70</v>
      </c>
      <c r="E100" s="9" t="n">
        <f aca="false">IFERROR(INDEX('Semrush Data'!$D$2:$D$5000,MATCH(B100,'Semrush Data'!$A$2:$A$5000,0)),"")</f>
        <v>36</v>
      </c>
      <c r="F100" s="15" t="n">
        <f aca="false">IFERROR(INDEX('Semrush Data'!$E$2:$E$5000,MATCH(B100,'Semrush Data'!$A$2:$A$5000,0)),"")</f>
        <v>0.49</v>
      </c>
      <c r="G100" s="9" t="str">
        <f aca="false">IF(E100="","",IF(E100&lt;=20,"Easier",IF(E100&lt;=35,"Medium","Hard")))</f>
        <v>Hard</v>
      </c>
      <c r="H100" s="9" t="s">
        <v>155</v>
      </c>
    </row>
    <row r="101" customFormat="false" ht="15" hidden="false" customHeight="false" outlineLevel="0" collapsed="false">
      <c r="B101" s="9" t="s">
        <v>181</v>
      </c>
      <c r="C101" s="9" t="s">
        <v>154</v>
      </c>
      <c r="D101" s="14" t="n">
        <f aca="false">IFERROR(INDEX('Semrush Data'!$C$2:$C$5000,MATCH(B101,'Semrush Data'!$A$2:$A$5000,0)),"")</f>
        <v>70</v>
      </c>
      <c r="E101" s="9" t="n">
        <f aca="false">IFERROR(INDEX('Semrush Data'!$D$2:$D$5000,MATCH(B101,'Semrush Data'!$A$2:$A$5000,0)),"")</f>
        <v>16</v>
      </c>
      <c r="F101" s="15" t="n">
        <f aca="false">IFERROR(INDEX('Semrush Data'!$E$2:$E$5000,MATCH(B101,'Semrush Data'!$A$2:$A$5000,0)),"")</f>
        <v>0.35</v>
      </c>
      <c r="G101" s="9" t="str">
        <f aca="false">IF(E101="","",IF(E101&lt;=20,"Easier",IF(E101&lt;=35,"Medium","Hard")))</f>
        <v>Easier</v>
      </c>
      <c r="H101" s="9" t="s">
        <v>166</v>
      </c>
    </row>
    <row r="102" customFormat="false" ht="15" hidden="false" customHeight="false" outlineLevel="0" collapsed="false">
      <c r="B102" s="9" t="s">
        <v>182</v>
      </c>
      <c r="C102" s="9" t="s">
        <v>154</v>
      </c>
      <c r="D102" s="14" t="n">
        <f aca="false">IFERROR(INDEX('Semrush Data'!$C$2:$C$5000,MATCH(B102,'Semrush Data'!$A$2:$A$5000,0)),"")</f>
        <v>40</v>
      </c>
      <c r="E102" s="9" t="n">
        <f aca="false">IFERROR(INDEX('Semrush Data'!$D$2:$D$5000,MATCH(B102,'Semrush Data'!$A$2:$A$5000,0)),"")</f>
        <v>7</v>
      </c>
      <c r="F102" s="15" t="n">
        <f aca="false">IFERROR(INDEX('Semrush Data'!$E$2:$E$5000,MATCH(B102,'Semrush Data'!$A$2:$A$5000,0)),"")</f>
        <v>1.16</v>
      </c>
      <c r="G102" s="9" t="str">
        <f aca="false">IF(E102="","",IF(E102&lt;=20,"Easier",IF(E102&lt;=35,"Medium","Hard")))</f>
        <v>Easier</v>
      </c>
      <c r="H102" s="9" t="s">
        <v>166</v>
      </c>
    </row>
    <row r="103" customFormat="false" ht="15" hidden="false" customHeight="false" outlineLevel="0" collapsed="false">
      <c r="B103" s="9" t="s">
        <v>183</v>
      </c>
      <c r="C103" s="9" t="s">
        <v>154</v>
      </c>
      <c r="D103" s="14" t="n">
        <f aca="false">IFERROR(INDEX('Semrush Data'!$C$2:$C$5000,MATCH(B103,'Semrush Data'!$A$2:$A$5000,0)),"")</f>
        <v>30</v>
      </c>
      <c r="E103" s="9" t="n">
        <f aca="false">IFERROR(INDEX('Semrush Data'!$D$2:$D$5000,MATCH(B103,'Semrush Data'!$A$2:$A$5000,0)),"")</f>
        <v>21</v>
      </c>
      <c r="F103" s="15" t="n">
        <f aca="false">IFERROR(INDEX('Semrush Data'!$E$2:$E$5000,MATCH(B103,'Semrush Data'!$A$2:$A$5000,0)),"")</f>
        <v>0</v>
      </c>
      <c r="G103" s="9" t="str">
        <f aca="false">IF(E103="","",IF(E103&lt;=20,"Easier",IF(E103&lt;=35,"Medium","Hard")))</f>
        <v>Medium</v>
      </c>
      <c r="H103" s="9" t="s">
        <v>166</v>
      </c>
    </row>
    <row r="104" customFormat="false" ht="15" hidden="false" customHeight="false" outlineLevel="0" collapsed="false">
      <c r="B104" s="9" t="s">
        <v>184</v>
      </c>
      <c r="C104" s="9" t="s">
        <v>154</v>
      </c>
      <c r="D104" s="14" t="n">
        <f aca="false">IFERROR(INDEX('Semrush Data'!$C$2:$C$5000,MATCH(B104,'Semrush Data'!$A$2:$A$5000,0)),"")</f>
        <v>30</v>
      </c>
      <c r="E104" s="9" t="n">
        <f aca="false">IFERROR(INDEX('Semrush Data'!$D$2:$D$5000,MATCH(B104,'Semrush Data'!$A$2:$A$5000,0)),"")</f>
        <v>25</v>
      </c>
      <c r="F104" s="15" t="n">
        <f aca="false">IFERROR(INDEX('Semrush Data'!$E$2:$E$5000,MATCH(B104,'Semrush Data'!$A$2:$A$5000,0)),"")</f>
        <v>0</v>
      </c>
      <c r="G104" s="9" t="str">
        <f aca="false">IF(E104="","",IF(E104&lt;=20,"Easier",IF(E104&lt;=35,"Medium","Hard")))</f>
        <v>Medium</v>
      </c>
      <c r="H104" s="9" t="s">
        <v>166</v>
      </c>
    </row>
    <row r="105" customFormat="false" ht="15" hidden="false" customHeight="false" outlineLevel="0" collapsed="false">
      <c r="B105" s="9" t="s">
        <v>185</v>
      </c>
      <c r="C105" s="9" t="s">
        <v>154</v>
      </c>
      <c r="D105" s="14" t="n">
        <f aca="false">IFERROR(INDEX('Semrush Data'!$C$2:$C$5000,MATCH(B105,'Semrush Data'!$A$2:$A$5000,0)),"")</f>
        <v>30</v>
      </c>
      <c r="E105" s="9" t="n">
        <f aca="false">IFERROR(INDEX('Semrush Data'!$D$2:$D$5000,MATCH(B105,'Semrush Data'!$A$2:$A$5000,0)),"")</f>
        <v>12</v>
      </c>
      <c r="F105" s="15" t="n">
        <f aca="false">IFERROR(INDEX('Semrush Data'!$E$2:$E$5000,MATCH(B105,'Semrush Data'!$A$2:$A$5000,0)),"")</f>
        <v>0</v>
      </c>
      <c r="G105" s="9" t="str">
        <f aca="false">IF(E105="","",IF(E105&lt;=20,"Easier",IF(E105&lt;=35,"Medium","Hard")))</f>
        <v>Easier</v>
      </c>
      <c r="H105" s="9" t="s">
        <v>166</v>
      </c>
    </row>
    <row r="107" customFormat="false" ht="16.15" hidden="false" customHeight="false" outlineLevel="0" collapsed="false">
      <c r="A107" s="7" t="s">
        <v>186</v>
      </c>
    </row>
    <row r="108" customFormat="false" ht="15" hidden="false" customHeight="false" outlineLevel="0" collapsed="false">
      <c r="A108" s="8" t="s">
        <v>187</v>
      </c>
    </row>
    <row r="109" customFormat="false" ht="15" hidden="false" customHeight="false" outlineLevel="0" collapsed="false">
      <c r="A109" s="12"/>
      <c r="B109" s="12" t="s">
        <v>151</v>
      </c>
      <c r="C109" s="12" t="s">
        <v>152</v>
      </c>
      <c r="D109" s="12" t="s">
        <v>43</v>
      </c>
      <c r="E109" s="12" t="s">
        <v>44</v>
      </c>
      <c r="F109" s="12" t="s">
        <v>45</v>
      </c>
      <c r="G109" s="12" t="s">
        <v>46</v>
      </c>
      <c r="H109" s="12" t="s">
        <v>47</v>
      </c>
    </row>
    <row r="110" customFormat="false" ht="15" hidden="false" customHeight="false" outlineLevel="0" collapsed="false">
      <c r="B110" s="9" t="s">
        <v>188</v>
      </c>
      <c r="C110" s="9" t="s">
        <v>189</v>
      </c>
      <c r="D110" s="14" t="n">
        <f aca="false">IFERROR(INDEX('Semrush Data'!$C$2:$C$5000,MATCH(B110,'Semrush Data'!$A$2:$A$5000,0)),"")</f>
        <v>33100</v>
      </c>
      <c r="E110" s="9" t="n">
        <f aca="false">IFERROR(INDEX('Semrush Data'!$D$2:$D$5000,MATCH(B110,'Semrush Data'!$A$2:$A$5000,0)),"")</f>
        <v>44</v>
      </c>
      <c r="F110" s="15" t="n">
        <f aca="false">IFERROR(INDEX('Semrush Data'!$E$2:$E$5000,MATCH(B110,'Semrush Data'!$A$2:$A$5000,0)),"")</f>
        <v>1.23</v>
      </c>
      <c r="G110" s="9" t="str">
        <f aca="false">IF(E110="","",IF(E110&lt;=20,"Easier",IF(E110&lt;=35,"Medium","Hard")))</f>
        <v>Hard</v>
      </c>
      <c r="H110" s="9" t="s">
        <v>190</v>
      </c>
    </row>
    <row r="111" customFormat="false" ht="15" hidden="false" customHeight="false" outlineLevel="0" collapsed="false">
      <c r="B111" s="9" t="s">
        <v>191</v>
      </c>
      <c r="C111" s="9" t="s">
        <v>192</v>
      </c>
      <c r="D111" s="14" t="n">
        <f aca="false">IFERROR(INDEX('Semrush Data'!$C$2:$C$5000,MATCH(B111,'Semrush Data'!$A$2:$A$5000,0)),"")</f>
        <v>22200</v>
      </c>
      <c r="E111" s="9" t="n">
        <f aca="false">IFERROR(INDEX('Semrush Data'!$D$2:$D$5000,MATCH(B111,'Semrush Data'!$A$2:$A$5000,0)),"")</f>
        <v>30</v>
      </c>
      <c r="F111" s="15" t="n">
        <f aca="false">IFERROR(INDEX('Semrush Data'!$E$2:$E$5000,MATCH(B111,'Semrush Data'!$A$2:$A$5000,0)),"")</f>
        <v>0.87</v>
      </c>
      <c r="G111" s="9" t="str">
        <f aca="false">IF(E111="","",IF(E111&lt;=20,"Easier",IF(E111&lt;=35,"Medium","Hard")))</f>
        <v>Medium</v>
      </c>
      <c r="H111" s="9" t="s">
        <v>190</v>
      </c>
    </row>
    <row r="112" customFormat="false" ht="15" hidden="false" customHeight="false" outlineLevel="0" collapsed="false">
      <c r="B112" s="9" t="s">
        <v>193</v>
      </c>
      <c r="C112" s="9" t="s">
        <v>189</v>
      </c>
      <c r="D112" s="14" t="n">
        <f aca="false">IFERROR(INDEX('Semrush Data'!$C$2:$C$5000,MATCH(B112,'Semrush Data'!$A$2:$A$5000,0)),"")</f>
        <v>18100</v>
      </c>
      <c r="E112" s="9" t="n">
        <f aca="false">IFERROR(INDEX('Semrush Data'!$D$2:$D$5000,MATCH(B112,'Semrush Data'!$A$2:$A$5000,0)),"")</f>
        <v>16</v>
      </c>
      <c r="F112" s="15" t="n">
        <f aca="false">IFERROR(INDEX('Semrush Data'!$E$2:$E$5000,MATCH(B112,'Semrush Data'!$A$2:$A$5000,0)),"")</f>
        <v>0.31</v>
      </c>
      <c r="G112" s="9" t="str">
        <f aca="false">IF(E112="","",IF(E112&lt;=20,"Easier",IF(E112&lt;=35,"Medium","Hard")))</f>
        <v>Easier</v>
      </c>
      <c r="H112" s="9" t="s">
        <v>190</v>
      </c>
    </row>
    <row r="113" customFormat="false" ht="15" hidden="false" customHeight="false" outlineLevel="0" collapsed="false">
      <c r="B113" s="9" t="s">
        <v>194</v>
      </c>
      <c r="C113" s="9" t="s">
        <v>189</v>
      </c>
      <c r="D113" s="14" t="n">
        <f aca="false">IFERROR(INDEX('Semrush Data'!$C$2:$C$5000,MATCH(B113,'Semrush Data'!$A$2:$A$5000,0)),"")</f>
        <v>14800</v>
      </c>
      <c r="E113" s="9" t="n">
        <f aca="false">IFERROR(INDEX('Semrush Data'!$D$2:$D$5000,MATCH(B113,'Semrush Data'!$A$2:$A$5000,0)),"")</f>
        <v>38</v>
      </c>
      <c r="F113" s="15" t="n">
        <f aca="false">IFERROR(INDEX('Semrush Data'!$E$2:$E$5000,MATCH(B113,'Semrush Data'!$A$2:$A$5000,0)),"")</f>
        <v>0.77</v>
      </c>
      <c r="G113" s="9" t="str">
        <f aca="false">IF(E113="","",IF(E113&lt;=20,"Easier",IF(E113&lt;=35,"Medium","Hard")))</f>
        <v>Hard</v>
      </c>
      <c r="H113" s="9" t="s">
        <v>190</v>
      </c>
    </row>
    <row r="114" customFormat="false" ht="15" hidden="false" customHeight="false" outlineLevel="0" collapsed="false">
      <c r="B114" s="9" t="s">
        <v>195</v>
      </c>
      <c r="C114" s="9" t="s">
        <v>192</v>
      </c>
      <c r="D114" s="14" t="n">
        <f aca="false">IFERROR(INDEX('Semrush Data'!$C$2:$C$5000,MATCH(B114,'Semrush Data'!$A$2:$A$5000,0)),"")</f>
        <v>12100</v>
      </c>
      <c r="E114" s="9" t="n">
        <f aca="false">IFERROR(INDEX('Semrush Data'!$D$2:$D$5000,MATCH(B114,'Semrush Data'!$A$2:$A$5000,0)),"")</f>
        <v>18</v>
      </c>
      <c r="F114" s="15" t="n">
        <f aca="false">IFERROR(INDEX('Semrush Data'!$E$2:$E$5000,MATCH(B114,'Semrush Data'!$A$2:$A$5000,0)),"")</f>
        <v>0.44</v>
      </c>
      <c r="G114" s="9" t="str">
        <f aca="false">IF(E114="","",IF(E114&lt;=20,"Easier",IF(E114&lt;=35,"Medium","Hard")))</f>
        <v>Easier</v>
      </c>
      <c r="H114" s="9" t="s">
        <v>190</v>
      </c>
    </row>
    <row r="115" customFormat="false" ht="15" hidden="false" customHeight="false" outlineLevel="0" collapsed="false">
      <c r="B115" s="9" t="s">
        <v>196</v>
      </c>
      <c r="C115" s="9" t="s">
        <v>192</v>
      </c>
      <c r="D115" s="14" t="n">
        <f aca="false">IFERROR(INDEX('Semrush Data'!$C$2:$C$5000,MATCH(B115,'Semrush Data'!$A$2:$A$5000,0)),"")</f>
        <v>9900</v>
      </c>
      <c r="E115" s="9" t="n">
        <f aca="false">IFERROR(INDEX('Semrush Data'!$D$2:$D$5000,MATCH(B115,'Semrush Data'!$A$2:$A$5000,0)),"")</f>
        <v>30</v>
      </c>
      <c r="F115" s="15" t="n">
        <f aca="false">IFERROR(INDEX('Semrush Data'!$E$2:$E$5000,MATCH(B115,'Semrush Data'!$A$2:$A$5000,0)),"")</f>
        <v>1.02</v>
      </c>
      <c r="G115" s="9" t="str">
        <f aca="false">IF(E115="","",IF(E115&lt;=20,"Easier",IF(E115&lt;=35,"Medium","Hard")))</f>
        <v>Medium</v>
      </c>
      <c r="H115" s="9" t="s">
        <v>190</v>
      </c>
    </row>
    <row r="116" customFormat="false" ht="15" hidden="false" customHeight="false" outlineLevel="0" collapsed="false">
      <c r="B116" s="9" t="s">
        <v>197</v>
      </c>
      <c r="C116" s="9" t="s">
        <v>189</v>
      </c>
      <c r="D116" s="14" t="n">
        <f aca="false">IFERROR(INDEX('Semrush Data'!$C$2:$C$5000,MATCH(B116,'Semrush Data'!$A$2:$A$5000,0)),"")</f>
        <v>9900</v>
      </c>
      <c r="E116" s="9" t="n">
        <f aca="false">IFERROR(INDEX('Semrush Data'!$D$2:$D$5000,MATCH(B116,'Semrush Data'!$A$2:$A$5000,0)),"")</f>
        <v>22</v>
      </c>
      <c r="F116" s="15" t="n">
        <f aca="false">IFERROR(INDEX('Semrush Data'!$E$2:$E$5000,MATCH(B116,'Semrush Data'!$A$2:$A$5000,0)),"")</f>
        <v>0.78</v>
      </c>
      <c r="G116" s="9" t="str">
        <f aca="false">IF(E116="","",IF(E116&lt;=20,"Easier",IF(E116&lt;=35,"Medium","Hard")))</f>
        <v>Medium</v>
      </c>
      <c r="H116" s="9" t="s">
        <v>190</v>
      </c>
    </row>
    <row r="117" customFormat="false" ht="15" hidden="false" customHeight="false" outlineLevel="0" collapsed="false">
      <c r="B117" s="9" t="s">
        <v>198</v>
      </c>
      <c r="C117" s="9" t="s">
        <v>189</v>
      </c>
      <c r="D117" s="14" t="n">
        <f aca="false">IFERROR(INDEX('Semrush Data'!$C$2:$C$5000,MATCH(B117,'Semrush Data'!$A$2:$A$5000,0)),"")</f>
        <v>8100</v>
      </c>
      <c r="E117" s="9" t="n">
        <f aca="false">IFERROR(INDEX('Semrush Data'!$D$2:$D$5000,MATCH(B117,'Semrush Data'!$A$2:$A$5000,0)),"")</f>
        <v>31</v>
      </c>
      <c r="F117" s="15" t="n">
        <f aca="false">IFERROR(INDEX('Semrush Data'!$E$2:$E$5000,MATCH(B117,'Semrush Data'!$A$2:$A$5000,0)),"")</f>
        <v>0.76</v>
      </c>
      <c r="G117" s="9" t="str">
        <f aca="false">IF(E117="","",IF(E117&lt;=20,"Easier",IF(E117&lt;=35,"Medium","Hard")))</f>
        <v>Medium</v>
      </c>
      <c r="H117" s="9" t="s">
        <v>190</v>
      </c>
    </row>
    <row r="118" customFormat="false" ht="15" hidden="false" customHeight="false" outlineLevel="0" collapsed="false">
      <c r="B118" s="9" t="s">
        <v>199</v>
      </c>
      <c r="C118" s="9" t="s">
        <v>192</v>
      </c>
      <c r="D118" s="14" t="n">
        <f aca="false">IFERROR(INDEX('Semrush Data'!$C$2:$C$5000,MATCH(B118,'Semrush Data'!$A$2:$A$5000,0)),"")</f>
        <v>6600</v>
      </c>
      <c r="E118" s="9" t="n">
        <f aca="false">IFERROR(INDEX('Semrush Data'!$D$2:$D$5000,MATCH(B118,'Semrush Data'!$A$2:$A$5000,0)),"")</f>
        <v>26</v>
      </c>
      <c r="F118" s="15" t="n">
        <f aca="false">IFERROR(INDEX('Semrush Data'!$E$2:$E$5000,MATCH(B118,'Semrush Data'!$A$2:$A$5000,0)),"")</f>
        <v>2.37</v>
      </c>
      <c r="G118" s="9" t="str">
        <f aca="false">IF(E118="","",IF(E118&lt;=20,"Easier",IF(E118&lt;=35,"Medium","Hard")))</f>
        <v>Medium</v>
      </c>
      <c r="H118" s="9" t="s">
        <v>190</v>
      </c>
    </row>
    <row r="119" customFormat="false" ht="15" hidden="false" customHeight="false" outlineLevel="0" collapsed="false">
      <c r="B119" s="9" t="s">
        <v>200</v>
      </c>
      <c r="C119" s="9" t="s">
        <v>189</v>
      </c>
      <c r="D119" s="14" t="n">
        <f aca="false">IFERROR(INDEX('Semrush Data'!$C$2:$C$5000,MATCH(B119,'Semrush Data'!$A$2:$A$5000,0)),"")</f>
        <v>6600</v>
      </c>
      <c r="E119" s="9" t="n">
        <f aca="false">IFERROR(INDEX('Semrush Data'!$D$2:$D$5000,MATCH(B119,'Semrush Data'!$A$2:$A$5000,0)),"")</f>
        <v>12</v>
      </c>
      <c r="F119" s="15" t="n">
        <f aca="false">IFERROR(INDEX('Semrush Data'!$E$2:$E$5000,MATCH(B119,'Semrush Data'!$A$2:$A$5000,0)),"")</f>
        <v>0.76</v>
      </c>
      <c r="G119" s="9" t="str">
        <f aca="false">IF(E119="","",IF(E119&lt;=20,"Easier",IF(E119&lt;=35,"Medium","Hard")))</f>
        <v>Easier</v>
      </c>
      <c r="H119" s="9" t="s">
        <v>190</v>
      </c>
    </row>
    <row r="120" customFormat="false" ht="15" hidden="false" customHeight="false" outlineLevel="0" collapsed="false">
      <c r="B120" s="9" t="s">
        <v>201</v>
      </c>
      <c r="C120" s="9" t="s">
        <v>189</v>
      </c>
      <c r="D120" s="14" t="n">
        <f aca="false">IFERROR(INDEX('Semrush Data'!$C$2:$C$5000,MATCH(B120,'Semrush Data'!$A$2:$A$5000,0)),"")</f>
        <v>5400</v>
      </c>
      <c r="E120" s="9" t="n">
        <f aca="false">IFERROR(INDEX('Semrush Data'!$D$2:$D$5000,MATCH(B120,'Semrush Data'!$A$2:$A$5000,0)),"")</f>
        <v>16</v>
      </c>
      <c r="F120" s="15" t="n">
        <f aca="false">IFERROR(INDEX('Semrush Data'!$E$2:$E$5000,MATCH(B120,'Semrush Data'!$A$2:$A$5000,0)),"")</f>
        <v>0.46</v>
      </c>
      <c r="G120" s="9" t="str">
        <f aca="false">IF(E120="","",IF(E120&lt;=20,"Easier",IF(E120&lt;=35,"Medium","Hard")))</f>
        <v>Easier</v>
      </c>
      <c r="H120" s="9" t="s">
        <v>190</v>
      </c>
    </row>
    <row r="121" customFormat="false" ht="15" hidden="false" customHeight="false" outlineLevel="0" collapsed="false">
      <c r="B121" s="9" t="s">
        <v>202</v>
      </c>
      <c r="C121" s="9" t="s">
        <v>189</v>
      </c>
      <c r="D121" s="14" t="n">
        <f aca="false">IFERROR(INDEX('Semrush Data'!$C$2:$C$5000,MATCH(B121,'Semrush Data'!$A$2:$A$5000,0)),"")</f>
        <v>5400</v>
      </c>
      <c r="E121" s="9" t="n">
        <f aca="false">IFERROR(INDEX('Semrush Data'!$D$2:$D$5000,MATCH(B121,'Semrush Data'!$A$2:$A$5000,0)),"")</f>
        <v>21</v>
      </c>
      <c r="F121" s="15" t="n">
        <f aca="false">IFERROR(INDEX('Semrush Data'!$E$2:$E$5000,MATCH(B121,'Semrush Data'!$A$2:$A$5000,0)),"")</f>
        <v>1.76</v>
      </c>
      <c r="G121" s="9" t="str">
        <f aca="false">IF(E121="","",IF(E121&lt;=20,"Easier",IF(E121&lt;=35,"Medium","Hard")))</f>
        <v>Medium</v>
      </c>
      <c r="H121" s="9" t="s">
        <v>190</v>
      </c>
    </row>
    <row r="122" customFormat="false" ht="15" hidden="false" customHeight="false" outlineLevel="0" collapsed="false">
      <c r="B122" s="9" t="s">
        <v>203</v>
      </c>
      <c r="C122" s="9" t="s">
        <v>189</v>
      </c>
      <c r="D122" s="14" t="n">
        <f aca="false">IFERROR(INDEX('Semrush Data'!$C$2:$C$5000,MATCH(B122,'Semrush Data'!$A$2:$A$5000,0)),"")</f>
        <v>5400</v>
      </c>
      <c r="E122" s="9" t="n">
        <f aca="false">IFERROR(INDEX('Semrush Data'!$D$2:$D$5000,MATCH(B122,'Semrush Data'!$A$2:$A$5000,0)),"")</f>
        <v>22</v>
      </c>
      <c r="F122" s="15" t="n">
        <f aca="false">IFERROR(INDEX('Semrush Data'!$E$2:$E$5000,MATCH(B122,'Semrush Data'!$A$2:$A$5000,0)),"")</f>
        <v>0.81</v>
      </c>
      <c r="G122" s="9" t="str">
        <f aca="false">IF(E122="","",IF(E122&lt;=20,"Easier",IF(E122&lt;=35,"Medium","Hard")))</f>
        <v>Medium</v>
      </c>
      <c r="H122" s="9" t="s">
        <v>190</v>
      </c>
    </row>
    <row r="123" customFormat="false" ht="15" hidden="false" customHeight="false" outlineLevel="0" collapsed="false">
      <c r="B123" s="9" t="s">
        <v>204</v>
      </c>
      <c r="C123" s="9" t="s">
        <v>189</v>
      </c>
      <c r="D123" s="14" t="n">
        <f aca="false">IFERROR(INDEX('Semrush Data'!$C$2:$C$5000,MATCH(B123,'Semrush Data'!$A$2:$A$5000,0)),"")</f>
        <v>5400</v>
      </c>
      <c r="E123" s="9" t="n">
        <f aca="false">IFERROR(INDEX('Semrush Data'!$D$2:$D$5000,MATCH(B123,'Semrush Data'!$A$2:$A$5000,0)),"")</f>
        <v>20</v>
      </c>
      <c r="F123" s="15" t="n">
        <f aca="false">IFERROR(INDEX('Semrush Data'!$E$2:$E$5000,MATCH(B123,'Semrush Data'!$A$2:$A$5000,0)),"")</f>
        <v>1.24</v>
      </c>
      <c r="G123" s="9" t="str">
        <f aca="false">IF(E123="","",IF(E123&lt;=20,"Easier",IF(E123&lt;=35,"Medium","Hard")))</f>
        <v>Easier</v>
      </c>
      <c r="H123" s="9" t="s">
        <v>190</v>
      </c>
    </row>
    <row r="124" customFormat="false" ht="15" hidden="false" customHeight="false" outlineLevel="0" collapsed="false">
      <c r="B124" s="9" t="s">
        <v>205</v>
      </c>
      <c r="C124" s="9" t="s">
        <v>189</v>
      </c>
      <c r="D124" s="14" t="n">
        <f aca="false">IFERROR(INDEX('Semrush Data'!$C$2:$C$5000,MATCH(B124,'Semrush Data'!$A$2:$A$5000,0)),"")</f>
        <v>4400</v>
      </c>
      <c r="E124" s="9" t="n">
        <f aca="false">IFERROR(INDEX('Semrush Data'!$D$2:$D$5000,MATCH(B124,'Semrush Data'!$A$2:$A$5000,0)),"")</f>
        <v>30</v>
      </c>
      <c r="F124" s="15" t="n">
        <f aca="false">IFERROR(INDEX('Semrush Data'!$E$2:$E$5000,MATCH(B124,'Semrush Data'!$A$2:$A$5000,0)),"")</f>
        <v>0.49</v>
      </c>
      <c r="G124" s="9" t="str">
        <f aca="false">IF(E124="","",IF(E124&lt;=20,"Easier",IF(E124&lt;=35,"Medium","Hard")))</f>
        <v>Medium</v>
      </c>
      <c r="H124" s="9" t="s">
        <v>190</v>
      </c>
    </row>
    <row r="125" customFormat="false" ht="15" hidden="false" customHeight="false" outlineLevel="0" collapsed="false">
      <c r="B125" s="9" t="s">
        <v>206</v>
      </c>
      <c r="C125" s="9" t="s">
        <v>192</v>
      </c>
      <c r="D125" s="14" t="n">
        <f aca="false">IFERROR(INDEX('Semrush Data'!$C$2:$C$5000,MATCH(B125,'Semrush Data'!$A$2:$A$5000,0)),"")</f>
        <v>3600</v>
      </c>
      <c r="E125" s="9" t="n">
        <f aca="false">IFERROR(INDEX('Semrush Data'!$D$2:$D$5000,MATCH(B125,'Semrush Data'!$A$2:$A$5000,0)),"")</f>
        <v>24</v>
      </c>
      <c r="F125" s="15" t="n">
        <f aca="false">IFERROR(INDEX('Semrush Data'!$E$2:$E$5000,MATCH(B125,'Semrush Data'!$A$2:$A$5000,0)),"")</f>
        <v>0.66</v>
      </c>
      <c r="G125" s="9" t="str">
        <f aca="false">IF(E125="","",IF(E125&lt;=20,"Easier",IF(E125&lt;=35,"Medium","Hard")))</f>
        <v>Medium</v>
      </c>
      <c r="H125" s="9" t="s">
        <v>190</v>
      </c>
    </row>
    <row r="126" customFormat="false" ht="15" hidden="false" customHeight="false" outlineLevel="0" collapsed="false">
      <c r="B126" s="9" t="s">
        <v>207</v>
      </c>
      <c r="C126" s="9" t="s">
        <v>192</v>
      </c>
      <c r="D126" s="14" t="n">
        <f aca="false">IFERROR(INDEX('Semrush Data'!$C$2:$C$5000,MATCH(B126,'Semrush Data'!$A$2:$A$5000,0)),"")</f>
        <v>3600</v>
      </c>
      <c r="E126" s="9" t="n">
        <f aca="false">IFERROR(INDEX('Semrush Data'!$D$2:$D$5000,MATCH(B126,'Semrush Data'!$A$2:$A$5000,0)),"")</f>
        <v>21</v>
      </c>
      <c r="F126" s="15" t="n">
        <f aca="false">IFERROR(INDEX('Semrush Data'!$E$2:$E$5000,MATCH(B126,'Semrush Data'!$A$2:$A$5000,0)),"")</f>
        <v>1.06</v>
      </c>
      <c r="G126" s="9" t="str">
        <f aca="false">IF(E126="","",IF(E126&lt;=20,"Easier",IF(E126&lt;=35,"Medium","Hard")))</f>
        <v>Medium</v>
      </c>
      <c r="H126" s="9" t="s">
        <v>190</v>
      </c>
    </row>
    <row r="127" customFormat="false" ht="15" hidden="false" customHeight="false" outlineLevel="0" collapsed="false">
      <c r="B127" s="9" t="s">
        <v>208</v>
      </c>
      <c r="C127" s="9" t="s">
        <v>189</v>
      </c>
      <c r="D127" s="14" t="n">
        <f aca="false">IFERROR(INDEX('Semrush Data'!$C$2:$C$5000,MATCH(B127,'Semrush Data'!$A$2:$A$5000,0)),"")</f>
        <v>3600</v>
      </c>
      <c r="E127" s="9" t="n">
        <f aca="false">IFERROR(INDEX('Semrush Data'!$D$2:$D$5000,MATCH(B127,'Semrush Data'!$A$2:$A$5000,0)),"")</f>
        <v>34</v>
      </c>
      <c r="F127" s="15" t="n">
        <f aca="false">IFERROR(INDEX('Semrush Data'!$E$2:$E$5000,MATCH(B127,'Semrush Data'!$A$2:$A$5000,0)),"")</f>
        <v>0.51</v>
      </c>
      <c r="G127" s="9" t="str">
        <f aca="false">IF(E127="","",IF(E127&lt;=20,"Easier",IF(E127&lt;=35,"Medium","Hard")))</f>
        <v>Medium</v>
      </c>
      <c r="H127" s="9" t="s">
        <v>190</v>
      </c>
    </row>
    <row r="128" customFormat="false" ht="15" hidden="false" customHeight="false" outlineLevel="0" collapsed="false">
      <c r="B128" s="9" t="s">
        <v>209</v>
      </c>
      <c r="C128" s="9" t="s">
        <v>189</v>
      </c>
      <c r="D128" s="14" t="n">
        <f aca="false">IFERROR(INDEX('Semrush Data'!$C$2:$C$5000,MATCH(B128,'Semrush Data'!$A$2:$A$5000,0)),"")</f>
        <v>3600</v>
      </c>
      <c r="E128" s="9" t="n">
        <f aca="false">IFERROR(INDEX('Semrush Data'!$D$2:$D$5000,MATCH(B128,'Semrush Data'!$A$2:$A$5000,0)),"")</f>
        <v>37</v>
      </c>
      <c r="F128" s="15" t="n">
        <f aca="false">IFERROR(INDEX('Semrush Data'!$E$2:$E$5000,MATCH(B128,'Semrush Data'!$A$2:$A$5000,0)),"")</f>
        <v>0.32</v>
      </c>
      <c r="G128" s="9" t="str">
        <f aca="false">IF(E128="","",IF(E128&lt;=20,"Easier",IF(E128&lt;=35,"Medium","Hard")))</f>
        <v>Hard</v>
      </c>
      <c r="H128" s="9" t="s">
        <v>190</v>
      </c>
    </row>
    <row r="129" customFormat="false" ht="15" hidden="false" customHeight="false" outlineLevel="0" collapsed="false">
      <c r="B129" s="9" t="s">
        <v>210</v>
      </c>
      <c r="C129" s="9" t="s">
        <v>189</v>
      </c>
      <c r="D129" s="14" t="n">
        <f aca="false">IFERROR(INDEX('Semrush Data'!$C$2:$C$5000,MATCH(B129,'Semrush Data'!$A$2:$A$5000,0)),"")</f>
        <v>3600</v>
      </c>
      <c r="E129" s="9" t="n">
        <f aca="false">IFERROR(INDEX('Semrush Data'!$D$2:$D$5000,MATCH(B129,'Semrush Data'!$A$2:$A$5000,0)),"")</f>
        <v>18</v>
      </c>
      <c r="F129" s="15" t="n">
        <f aca="false">IFERROR(INDEX('Semrush Data'!$E$2:$E$5000,MATCH(B129,'Semrush Data'!$A$2:$A$5000,0)),"")</f>
        <v>1.17</v>
      </c>
      <c r="G129" s="9" t="str">
        <f aca="false">IF(E129="","",IF(E129&lt;=20,"Easier",IF(E129&lt;=35,"Medium","Hard")))</f>
        <v>Easier</v>
      </c>
      <c r="H129" s="9" t="s">
        <v>190</v>
      </c>
    </row>
    <row r="130" customFormat="false" ht="15" hidden="false" customHeight="false" outlineLevel="0" collapsed="false">
      <c r="B130" s="9" t="s">
        <v>211</v>
      </c>
      <c r="C130" s="9" t="s">
        <v>189</v>
      </c>
      <c r="D130" s="14" t="n">
        <f aca="false">IFERROR(INDEX('Semrush Data'!$C$2:$C$5000,MATCH(B130,'Semrush Data'!$A$2:$A$5000,0)),"")</f>
        <v>3600</v>
      </c>
      <c r="E130" s="9" t="n">
        <f aca="false">IFERROR(INDEX('Semrush Data'!$D$2:$D$5000,MATCH(B130,'Semrush Data'!$A$2:$A$5000,0)),"")</f>
        <v>22</v>
      </c>
      <c r="F130" s="15" t="n">
        <f aca="false">IFERROR(INDEX('Semrush Data'!$E$2:$E$5000,MATCH(B130,'Semrush Data'!$A$2:$A$5000,0)),"")</f>
        <v>0.7</v>
      </c>
      <c r="G130" s="9" t="str">
        <f aca="false">IF(E130="","",IF(E130&lt;=20,"Easier",IF(E130&lt;=35,"Medium","Hard")))</f>
        <v>Medium</v>
      </c>
      <c r="H130" s="9" t="s">
        <v>190</v>
      </c>
    </row>
    <row r="131" customFormat="false" ht="15" hidden="false" customHeight="false" outlineLevel="0" collapsed="false">
      <c r="B131" s="9" t="s">
        <v>212</v>
      </c>
      <c r="C131" s="9" t="s">
        <v>189</v>
      </c>
      <c r="D131" s="14" t="n">
        <f aca="false">IFERROR(INDEX('Semrush Data'!$C$2:$C$5000,MATCH(B131,'Semrush Data'!$A$2:$A$5000,0)),"")</f>
        <v>2900</v>
      </c>
      <c r="E131" s="9" t="n">
        <f aca="false">IFERROR(INDEX('Semrush Data'!$D$2:$D$5000,MATCH(B131,'Semrush Data'!$A$2:$A$5000,0)),"")</f>
        <v>21</v>
      </c>
      <c r="F131" s="15" t="n">
        <f aca="false">IFERROR(INDEX('Semrush Data'!$E$2:$E$5000,MATCH(B131,'Semrush Data'!$A$2:$A$5000,0)),"")</f>
        <v>0.43</v>
      </c>
      <c r="G131" s="9" t="str">
        <f aca="false">IF(E131="","",IF(E131&lt;=20,"Easier",IF(E131&lt;=35,"Medium","Hard")))</f>
        <v>Medium</v>
      </c>
      <c r="H131" s="9" t="s">
        <v>190</v>
      </c>
    </row>
    <row r="132" customFormat="false" ht="15" hidden="false" customHeight="false" outlineLevel="0" collapsed="false">
      <c r="B132" s="9" t="s">
        <v>213</v>
      </c>
      <c r="C132" s="9" t="s">
        <v>189</v>
      </c>
      <c r="D132" s="14" t="n">
        <f aca="false">IFERROR(INDEX('Semrush Data'!$C$2:$C$5000,MATCH(B132,'Semrush Data'!$A$2:$A$5000,0)),"")</f>
        <v>2900</v>
      </c>
      <c r="E132" s="9" t="n">
        <f aca="false">IFERROR(INDEX('Semrush Data'!$D$2:$D$5000,MATCH(B132,'Semrush Data'!$A$2:$A$5000,0)),"")</f>
        <v>19</v>
      </c>
      <c r="F132" s="15" t="n">
        <f aca="false">IFERROR(INDEX('Semrush Data'!$E$2:$E$5000,MATCH(B132,'Semrush Data'!$A$2:$A$5000,0)),"")</f>
        <v>1.33</v>
      </c>
      <c r="G132" s="9" t="str">
        <f aca="false">IF(E132="","",IF(E132&lt;=20,"Easier",IF(E132&lt;=35,"Medium","Hard")))</f>
        <v>Easier</v>
      </c>
      <c r="H132" s="9" t="s">
        <v>190</v>
      </c>
    </row>
    <row r="133" customFormat="false" ht="15" hidden="false" customHeight="false" outlineLevel="0" collapsed="false">
      <c r="B133" s="9" t="s">
        <v>214</v>
      </c>
      <c r="C133" s="9" t="s">
        <v>189</v>
      </c>
      <c r="D133" s="14" t="n">
        <f aca="false">IFERROR(INDEX('Semrush Data'!$C$2:$C$5000,MATCH(B133,'Semrush Data'!$A$2:$A$5000,0)),"")</f>
        <v>2900</v>
      </c>
      <c r="E133" s="9" t="n">
        <f aca="false">IFERROR(INDEX('Semrush Data'!$D$2:$D$5000,MATCH(B133,'Semrush Data'!$A$2:$A$5000,0)),"")</f>
        <v>9</v>
      </c>
      <c r="F133" s="15" t="n">
        <f aca="false">IFERROR(INDEX('Semrush Data'!$E$2:$E$5000,MATCH(B133,'Semrush Data'!$A$2:$A$5000,0)),"")</f>
        <v>0.33</v>
      </c>
      <c r="G133" s="9" t="str">
        <f aca="false">IF(E133="","",IF(E133&lt;=20,"Easier",IF(E133&lt;=35,"Medium","Hard")))</f>
        <v>Easier</v>
      </c>
      <c r="H133" s="9" t="s">
        <v>190</v>
      </c>
    </row>
    <row r="134" customFormat="false" ht="15" hidden="false" customHeight="false" outlineLevel="0" collapsed="false">
      <c r="B134" s="9" t="s">
        <v>215</v>
      </c>
      <c r="C134" s="9" t="s">
        <v>189</v>
      </c>
      <c r="D134" s="14" t="n">
        <f aca="false">IFERROR(INDEX('Semrush Data'!$C$2:$C$5000,MATCH(B134,'Semrush Data'!$A$2:$A$5000,0)),"")</f>
        <v>2900</v>
      </c>
      <c r="E134" s="9" t="n">
        <f aca="false">IFERROR(INDEX('Semrush Data'!$D$2:$D$5000,MATCH(B134,'Semrush Data'!$A$2:$A$5000,0)),"")</f>
        <v>20</v>
      </c>
      <c r="F134" s="15" t="n">
        <f aca="false">IFERROR(INDEX('Semrush Data'!$E$2:$E$5000,MATCH(B134,'Semrush Data'!$A$2:$A$5000,0)),"")</f>
        <v>0.94</v>
      </c>
      <c r="G134" s="9" t="str">
        <f aca="false">IF(E134="","",IF(E134&lt;=20,"Easier",IF(E134&lt;=35,"Medium","Hard")))</f>
        <v>Easier</v>
      </c>
      <c r="H134" s="9" t="s">
        <v>190</v>
      </c>
    </row>
    <row r="135" customFormat="false" ht="15" hidden="false" customHeight="false" outlineLevel="0" collapsed="false">
      <c r="B135" s="9" t="s">
        <v>216</v>
      </c>
      <c r="C135" s="9" t="s">
        <v>189</v>
      </c>
      <c r="D135" s="14" t="n">
        <f aca="false">IFERROR(INDEX('Semrush Data'!$C$2:$C$5000,MATCH(B135,'Semrush Data'!$A$2:$A$5000,0)),"")</f>
        <v>2400</v>
      </c>
      <c r="E135" s="9" t="n">
        <f aca="false">IFERROR(INDEX('Semrush Data'!$D$2:$D$5000,MATCH(B135,'Semrush Data'!$A$2:$A$5000,0)),"")</f>
        <v>23</v>
      </c>
      <c r="F135" s="15" t="n">
        <f aca="false">IFERROR(INDEX('Semrush Data'!$E$2:$E$5000,MATCH(B135,'Semrush Data'!$A$2:$A$5000,0)),"")</f>
        <v>0.54</v>
      </c>
      <c r="G135" s="9" t="str">
        <f aca="false">IF(E135="","",IF(E135&lt;=20,"Easier",IF(E135&lt;=35,"Medium","Hard")))</f>
        <v>Medium</v>
      </c>
      <c r="H135" s="9" t="s">
        <v>190</v>
      </c>
    </row>
    <row r="136" customFormat="false" ht="15" hidden="false" customHeight="false" outlineLevel="0" collapsed="false">
      <c r="B136" s="9" t="s">
        <v>217</v>
      </c>
      <c r="C136" s="9" t="s">
        <v>192</v>
      </c>
      <c r="D136" s="14" t="n">
        <f aca="false">IFERROR(INDEX('Semrush Data'!$C$2:$C$5000,MATCH(B136,'Semrush Data'!$A$2:$A$5000,0)),"")</f>
        <v>1900</v>
      </c>
      <c r="E136" s="9" t="n">
        <f aca="false">IFERROR(INDEX('Semrush Data'!$D$2:$D$5000,MATCH(B136,'Semrush Data'!$A$2:$A$5000,0)),"")</f>
        <v>22</v>
      </c>
      <c r="F136" s="15" t="n">
        <f aca="false">IFERROR(INDEX('Semrush Data'!$E$2:$E$5000,MATCH(B136,'Semrush Data'!$A$2:$A$5000,0)),"")</f>
        <v>0.73</v>
      </c>
      <c r="G136" s="9" t="str">
        <f aca="false">IF(E136="","",IF(E136&lt;=20,"Easier",IF(E136&lt;=35,"Medium","Hard")))</f>
        <v>Medium</v>
      </c>
      <c r="H136" s="9" t="s">
        <v>190</v>
      </c>
    </row>
    <row r="137" customFormat="false" ht="15" hidden="false" customHeight="false" outlineLevel="0" collapsed="false">
      <c r="B137" s="9" t="s">
        <v>218</v>
      </c>
      <c r="C137" s="9" t="s">
        <v>189</v>
      </c>
      <c r="D137" s="14" t="n">
        <f aca="false">IFERROR(INDEX('Semrush Data'!$C$2:$C$5000,MATCH(B137,'Semrush Data'!$A$2:$A$5000,0)),"")</f>
        <v>1900</v>
      </c>
      <c r="E137" s="9" t="n">
        <f aca="false">IFERROR(INDEX('Semrush Data'!$D$2:$D$5000,MATCH(B137,'Semrush Data'!$A$2:$A$5000,0)),"")</f>
        <v>28</v>
      </c>
      <c r="F137" s="15" t="n">
        <f aca="false">IFERROR(INDEX('Semrush Data'!$E$2:$E$5000,MATCH(B137,'Semrush Data'!$A$2:$A$5000,0)),"")</f>
        <v>0.66</v>
      </c>
      <c r="G137" s="9" t="str">
        <f aca="false">IF(E137="","",IF(E137&lt;=20,"Easier",IF(E137&lt;=35,"Medium","Hard")))</f>
        <v>Medium</v>
      </c>
      <c r="H137" s="9" t="s">
        <v>190</v>
      </c>
    </row>
    <row r="138" customFormat="false" ht="15" hidden="false" customHeight="false" outlineLevel="0" collapsed="false">
      <c r="B138" s="9" t="s">
        <v>219</v>
      </c>
      <c r="C138" s="9" t="s">
        <v>189</v>
      </c>
      <c r="D138" s="14" t="n">
        <f aca="false">IFERROR(INDEX('Semrush Data'!$C$2:$C$5000,MATCH(B138,'Semrush Data'!$A$2:$A$5000,0)),"")</f>
        <v>1900</v>
      </c>
      <c r="E138" s="9" t="n">
        <f aca="false">IFERROR(INDEX('Semrush Data'!$D$2:$D$5000,MATCH(B138,'Semrush Data'!$A$2:$A$5000,0)),"")</f>
        <v>22</v>
      </c>
      <c r="F138" s="15" t="n">
        <f aca="false">IFERROR(INDEX('Semrush Data'!$E$2:$E$5000,MATCH(B138,'Semrush Data'!$A$2:$A$5000,0)),"")</f>
        <v>0.8</v>
      </c>
      <c r="G138" s="9" t="str">
        <f aca="false">IF(E138="","",IF(E138&lt;=20,"Easier",IF(E138&lt;=35,"Medium","Hard")))</f>
        <v>Medium</v>
      </c>
      <c r="H138" s="9" t="s">
        <v>190</v>
      </c>
    </row>
    <row r="139" customFormat="false" ht="15" hidden="false" customHeight="false" outlineLevel="0" collapsed="false">
      <c r="B139" s="9" t="s">
        <v>220</v>
      </c>
      <c r="C139" s="9" t="s">
        <v>192</v>
      </c>
      <c r="D139" s="14" t="n">
        <f aca="false">IFERROR(INDEX('Semrush Data'!$C$2:$C$5000,MATCH(B139,'Semrush Data'!$A$2:$A$5000,0)),"")</f>
        <v>1600</v>
      </c>
      <c r="E139" s="9" t="n">
        <f aca="false">IFERROR(INDEX('Semrush Data'!$D$2:$D$5000,MATCH(B139,'Semrush Data'!$A$2:$A$5000,0)),"")</f>
        <v>55</v>
      </c>
      <c r="F139" s="15" t="n">
        <f aca="false">IFERROR(INDEX('Semrush Data'!$E$2:$E$5000,MATCH(B139,'Semrush Data'!$A$2:$A$5000,0)),"")</f>
        <v>1.65</v>
      </c>
      <c r="G139" s="9" t="str">
        <f aca="false">IF(E139="","",IF(E139&lt;=20,"Easier",IF(E139&lt;=35,"Medium","Hard")))</f>
        <v>Hard</v>
      </c>
      <c r="H139" s="9" t="s">
        <v>190</v>
      </c>
    </row>
    <row r="140" customFormat="false" ht="15" hidden="false" customHeight="false" outlineLevel="0" collapsed="false">
      <c r="B140" s="9" t="s">
        <v>221</v>
      </c>
      <c r="C140" s="9" t="s">
        <v>189</v>
      </c>
      <c r="D140" s="14" t="n">
        <f aca="false">IFERROR(INDEX('Semrush Data'!$C$2:$C$5000,MATCH(B140,'Semrush Data'!$A$2:$A$5000,0)),"")</f>
        <v>1600</v>
      </c>
      <c r="E140" s="9" t="n">
        <f aca="false">IFERROR(INDEX('Semrush Data'!$D$2:$D$5000,MATCH(B140,'Semrush Data'!$A$2:$A$5000,0)),"")</f>
        <v>29</v>
      </c>
      <c r="F140" s="15" t="n">
        <f aca="false">IFERROR(INDEX('Semrush Data'!$E$2:$E$5000,MATCH(B140,'Semrush Data'!$A$2:$A$5000,0)),"")</f>
        <v>0.87</v>
      </c>
      <c r="G140" s="9" t="str">
        <f aca="false">IF(E140="","",IF(E140&lt;=20,"Easier",IF(E140&lt;=35,"Medium","Hard")))</f>
        <v>Medium</v>
      </c>
      <c r="H140" s="9" t="s">
        <v>190</v>
      </c>
    </row>
    <row r="141" customFormat="false" ht="15" hidden="false" customHeight="false" outlineLevel="0" collapsed="false">
      <c r="B141" s="9" t="s">
        <v>222</v>
      </c>
      <c r="C141" s="9" t="s">
        <v>189</v>
      </c>
      <c r="D141" s="14" t="n">
        <f aca="false">IFERROR(INDEX('Semrush Data'!$C$2:$C$5000,MATCH(B141,'Semrush Data'!$A$2:$A$5000,0)),"")</f>
        <v>1600</v>
      </c>
      <c r="E141" s="9" t="n">
        <f aca="false">IFERROR(INDEX('Semrush Data'!$D$2:$D$5000,MATCH(B141,'Semrush Data'!$A$2:$A$5000,0)),"")</f>
        <v>22</v>
      </c>
      <c r="F141" s="15" t="n">
        <f aca="false">IFERROR(INDEX('Semrush Data'!$E$2:$E$5000,MATCH(B141,'Semrush Data'!$A$2:$A$5000,0)),"")</f>
        <v>1.13</v>
      </c>
      <c r="G141" s="9" t="str">
        <f aca="false">IF(E141="","",IF(E141&lt;=20,"Easier",IF(E141&lt;=35,"Medium","Hard")))</f>
        <v>Medium</v>
      </c>
      <c r="H141" s="9" t="s">
        <v>190</v>
      </c>
    </row>
    <row r="142" customFormat="false" ht="15" hidden="false" customHeight="false" outlineLevel="0" collapsed="false">
      <c r="B142" s="9" t="s">
        <v>223</v>
      </c>
      <c r="C142" s="9" t="s">
        <v>192</v>
      </c>
      <c r="D142" s="14" t="n">
        <f aca="false">IFERROR(INDEX('Semrush Data'!$C$2:$C$5000,MATCH(B142,'Semrush Data'!$A$2:$A$5000,0)),"")</f>
        <v>1300</v>
      </c>
      <c r="E142" s="9" t="n">
        <f aca="false">IFERROR(INDEX('Semrush Data'!$D$2:$D$5000,MATCH(B142,'Semrush Data'!$A$2:$A$5000,0)),"")</f>
        <v>19</v>
      </c>
      <c r="F142" s="15" t="n">
        <f aca="false">IFERROR(INDEX('Semrush Data'!$E$2:$E$5000,MATCH(B142,'Semrush Data'!$A$2:$A$5000,0)),"")</f>
        <v>0.94</v>
      </c>
      <c r="G142" s="9" t="str">
        <f aca="false">IF(E142="","",IF(E142&lt;=20,"Easier",IF(E142&lt;=35,"Medium","Hard")))</f>
        <v>Easier</v>
      </c>
      <c r="H142" s="9" t="s">
        <v>190</v>
      </c>
    </row>
    <row r="143" customFormat="false" ht="15" hidden="false" customHeight="false" outlineLevel="0" collapsed="false">
      <c r="B143" s="9" t="s">
        <v>224</v>
      </c>
      <c r="C143" s="9" t="s">
        <v>192</v>
      </c>
      <c r="D143" s="14" t="n">
        <f aca="false">IFERROR(INDEX('Semrush Data'!$C$2:$C$5000,MATCH(B143,'Semrush Data'!$A$2:$A$5000,0)),"")</f>
        <v>1300</v>
      </c>
      <c r="E143" s="9" t="n">
        <f aca="false">IFERROR(INDEX('Semrush Data'!$D$2:$D$5000,MATCH(B143,'Semrush Data'!$A$2:$A$5000,0)),"")</f>
        <v>16</v>
      </c>
      <c r="F143" s="15" t="n">
        <f aca="false">IFERROR(INDEX('Semrush Data'!$E$2:$E$5000,MATCH(B143,'Semrush Data'!$A$2:$A$5000,0)),"")</f>
        <v>1.47</v>
      </c>
      <c r="G143" s="9" t="str">
        <f aca="false">IF(E143="","",IF(E143&lt;=20,"Easier",IF(E143&lt;=35,"Medium","Hard")))</f>
        <v>Easier</v>
      </c>
      <c r="H143" s="9" t="s">
        <v>190</v>
      </c>
    </row>
    <row r="144" customFormat="false" ht="15" hidden="false" customHeight="false" outlineLevel="0" collapsed="false">
      <c r="B144" s="9" t="s">
        <v>225</v>
      </c>
      <c r="C144" s="9" t="s">
        <v>189</v>
      </c>
      <c r="D144" s="14" t="n">
        <f aca="false">IFERROR(INDEX('Semrush Data'!$C$2:$C$5000,MATCH(B144,'Semrush Data'!$A$2:$A$5000,0)),"")</f>
        <v>1300</v>
      </c>
      <c r="E144" s="9" t="n">
        <f aca="false">IFERROR(INDEX('Semrush Data'!$D$2:$D$5000,MATCH(B144,'Semrush Data'!$A$2:$A$5000,0)),"")</f>
        <v>13</v>
      </c>
      <c r="F144" s="15" t="n">
        <f aca="false">IFERROR(INDEX('Semrush Data'!$E$2:$E$5000,MATCH(B144,'Semrush Data'!$A$2:$A$5000,0)),"")</f>
        <v>0.66</v>
      </c>
      <c r="G144" s="9" t="str">
        <f aca="false">IF(E144="","",IF(E144&lt;=20,"Easier",IF(E144&lt;=35,"Medium","Hard")))</f>
        <v>Easier</v>
      </c>
      <c r="H144" s="9" t="s">
        <v>190</v>
      </c>
    </row>
    <row r="145" customFormat="false" ht="15" hidden="false" customHeight="false" outlineLevel="0" collapsed="false">
      <c r="B145" s="9" t="s">
        <v>226</v>
      </c>
      <c r="C145" s="9" t="s">
        <v>189</v>
      </c>
      <c r="D145" s="14" t="n">
        <f aca="false">IFERROR(INDEX('Semrush Data'!$C$2:$C$5000,MATCH(B145,'Semrush Data'!$A$2:$A$5000,0)),"")</f>
        <v>1300</v>
      </c>
      <c r="E145" s="9" t="n">
        <f aca="false">IFERROR(INDEX('Semrush Data'!$D$2:$D$5000,MATCH(B145,'Semrush Data'!$A$2:$A$5000,0)),"")</f>
        <v>10</v>
      </c>
      <c r="F145" s="15" t="n">
        <f aca="false">IFERROR(INDEX('Semrush Data'!$E$2:$E$5000,MATCH(B145,'Semrush Data'!$A$2:$A$5000,0)),"")</f>
        <v>0.66</v>
      </c>
      <c r="G145" s="9" t="str">
        <f aca="false">IF(E145="","",IF(E145&lt;=20,"Easier",IF(E145&lt;=35,"Medium","Hard")))</f>
        <v>Easier</v>
      </c>
      <c r="H145" s="9" t="s">
        <v>190</v>
      </c>
    </row>
    <row r="146" customFormat="false" ht="15" hidden="false" customHeight="false" outlineLevel="0" collapsed="false">
      <c r="B146" s="9" t="s">
        <v>227</v>
      </c>
      <c r="C146" s="9" t="s">
        <v>189</v>
      </c>
      <c r="D146" s="14" t="n">
        <f aca="false">IFERROR(INDEX('Semrush Data'!$C$2:$C$5000,MATCH(B146,'Semrush Data'!$A$2:$A$5000,0)),"")</f>
        <v>1300</v>
      </c>
      <c r="E146" s="9" t="n">
        <f aca="false">IFERROR(INDEX('Semrush Data'!$D$2:$D$5000,MATCH(B146,'Semrush Data'!$A$2:$A$5000,0)),"")</f>
        <v>18</v>
      </c>
      <c r="F146" s="15" t="n">
        <f aca="false">IFERROR(INDEX('Semrush Data'!$E$2:$E$5000,MATCH(B146,'Semrush Data'!$A$2:$A$5000,0)),"")</f>
        <v>1.13</v>
      </c>
      <c r="G146" s="9" t="str">
        <f aca="false">IF(E146="","",IF(E146&lt;=20,"Easier",IF(E146&lt;=35,"Medium","Hard")))</f>
        <v>Easier</v>
      </c>
      <c r="H146" s="9" t="s">
        <v>190</v>
      </c>
    </row>
    <row r="147" customFormat="false" ht="15" hidden="false" customHeight="false" outlineLevel="0" collapsed="false">
      <c r="B147" s="9" t="s">
        <v>228</v>
      </c>
      <c r="C147" s="9" t="s">
        <v>189</v>
      </c>
      <c r="D147" s="14" t="n">
        <f aca="false">IFERROR(INDEX('Semrush Data'!$C$2:$C$5000,MATCH(B147,'Semrush Data'!$A$2:$A$5000,0)),"")</f>
        <v>1000</v>
      </c>
      <c r="E147" s="9" t="n">
        <f aca="false">IFERROR(INDEX('Semrush Data'!$D$2:$D$5000,MATCH(B147,'Semrush Data'!$A$2:$A$5000,0)),"")</f>
        <v>21</v>
      </c>
      <c r="F147" s="15" t="n">
        <f aca="false">IFERROR(INDEX('Semrush Data'!$E$2:$E$5000,MATCH(B147,'Semrush Data'!$A$2:$A$5000,0)),"")</f>
        <v>1.04</v>
      </c>
      <c r="G147" s="9" t="str">
        <f aca="false">IF(E147="","",IF(E147&lt;=20,"Easier",IF(E147&lt;=35,"Medium","Hard")))</f>
        <v>Medium</v>
      </c>
      <c r="H147" s="9" t="s">
        <v>190</v>
      </c>
    </row>
    <row r="148" customFormat="false" ht="15" hidden="false" customHeight="false" outlineLevel="0" collapsed="false">
      <c r="B148" s="9" t="s">
        <v>229</v>
      </c>
      <c r="C148" s="9" t="s">
        <v>189</v>
      </c>
      <c r="D148" s="14" t="n">
        <f aca="false">IFERROR(INDEX('Semrush Data'!$C$2:$C$5000,MATCH(B148,'Semrush Data'!$A$2:$A$5000,0)),"")</f>
        <v>1000</v>
      </c>
      <c r="E148" s="9" t="n">
        <f aca="false">IFERROR(INDEX('Semrush Data'!$D$2:$D$5000,MATCH(B148,'Semrush Data'!$A$2:$A$5000,0)),"")</f>
        <v>20</v>
      </c>
      <c r="F148" s="15" t="n">
        <f aca="false">IFERROR(INDEX('Semrush Data'!$E$2:$E$5000,MATCH(B148,'Semrush Data'!$A$2:$A$5000,0)),"")</f>
        <v>0.99</v>
      </c>
      <c r="G148" s="9" t="str">
        <f aca="false">IF(E148="","",IF(E148&lt;=20,"Easier",IF(E148&lt;=35,"Medium","Hard")))</f>
        <v>Easier</v>
      </c>
      <c r="H148" s="9" t="s">
        <v>190</v>
      </c>
    </row>
    <row r="149" customFormat="false" ht="15" hidden="false" customHeight="false" outlineLevel="0" collapsed="false">
      <c r="B149" s="9" t="s">
        <v>230</v>
      </c>
      <c r="C149" s="9" t="s">
        <v>189</v>
      </c>
      <c r="D149" s="14" t="n">
        <f aca="false">IFERROR(INDEX('Semrush Data'!$C$2:$C$5000,MATCH(B149,'Semrush Data'!$A$2:$A$5000,0)),"")</f>
        <v>1000</v>
      </c>
      <c r="E149" s="9" t="n">
        <f aca="false">IFERROR(INDEX('Semrush Data'!$D$2:$D$5000,MATCH(B149,'Semrush Data'!$A$2:$A$5000,0)),"")</f>
        <v>28</v>
      </c>
      <c r="F149" s="15" t="n">
        <f aca="false">IFERROR(INDEX('Semrush Data'!$E$2:$E$5000,MATCH(B149,'Semrush Data'!$A$2:$A$5000,0)),"")</f>
        <v>1.63</v>
      </c>
      <c r="G149" s="9" t="str">
        <f aca="false">IF(E149="","",IF(E149&lt;=20,"Easier",IF(E149&lt;=35,"Medium","Hard")))</f>
        <v>Medium</v>
      </c>
      <c r="H149" s="9" t="s">
        <v>190</v>
      </c>
    </row>
    <row r="150" customFormat="false" ht="15" hidden="false" customHeight="false" outlineLevel="0" collapsed="false">
      <c r="B150" s="9" t="s">
        <v>231</v>
      </c>
      <c r="C150" s="9" t="s">
        <v>189</v>
      </c>
      <c r="D150" s="14" t="n">
        <f aca="false">IFERROR(INDEX('Semrush Data'!$C$2:$C$5000,MATCH(B150,'Semrush Data'!$A$2:$A$5000,0)),"")</f>
        <v>1000</v>
      </c>
      <c r="E150" s="9" t="n">
        <f aca="false">IFERROR(INDEX('Semrush Data'!$D$2:$D$5000,MATCH(B150,'Semrush Data'!$A$2:$A$5000,0)),"")</f>
        <v>22</v>
      </c>
      <c r="F150" s="15" t="n">
        <f aca="false">IFERROR(INDEX('Semrush Data'!$E$2:$E$5000,MATCH(B150,'Semrush Data'!$A$2:$A$5000,0)),"")</f>
        <v>0.74</v>
      </c>
      <c r="G150" s="9" t="str">
        <f aca="false">IF(E150="","",IF(E150&lt;=20,"Easier",IF(E150&lt;=35,"Medium","Hard")))</f>
        <v>Medium</v>
      </c>
      <c r="H150" s="9" t="s">
        <v>190</v>
      </c>
    </row>
    <row r="151" customFormat="false" ht="15" hidden="false" customHeight="false" outlineLevel="0" collapsed="false">
      <c r="B151" s="9" t="s">
        <v>232</v>
      </c>
      <c r="C151" s="9" t="s">
        <v>189</v>
      </c>
      <c r="D151" s="14" t="n">
        <f aca="false">IFERROR(INDEX('Semrush Data'!$C$2:$C$5000,MATCH(B151,'Semrush Data'!$A$2:$A$5000,0)),"")</f>
        <v>1000</v>
      </c>
      <c r="E151" s="9" t="n">
        <f aca="false">IFERROR(INDEX('Semrush Data'!$D$2:$D$5000,MATCH(B151,'Semrush Data'!$A$2:$A$5000,0)),"")</f>
        <v>26</v>
      </c>
      <c r="F151" s="15" t="n">
        <f aca="false">IFERROR(INDEX('Semrush Data'!$E$2:$E$5000,MATCH(B151,'Semrush Data'!$A$2:$A$5000,0)),"")</f>
        <v>1.05</v>
      </c>
      <c r="G151" s="9" t="str">
        <f aca="false">IF(E151="","",IF(E151&lt;=20,"Easier",IF(E151&lt;=35,"Medium","Hard")))</f>
        <v>Medium</v>
      </c>
      <c r="H151" s="9" t="s">
        <v>190</v>
      </c>
    </row>
    <row r="152" customFormat="false" ht="15" hidden="false" customHeight="false" outlineLevel="0" collapsed="false">
      <c r="B152" s="9" t="s">
        <v>233</v>
      </c>
      <c r="C152" s="9" t="s">
        <v>189</v>
      </c>
      <c r="D152" s="14" t="n">
        <f aca="false">IFERROR(INDEX('Semrush Data'!$C$2:$C$5000,MATCH(B152,'Semrush Data'!$A$2:$A$5000,0)),"")</f>
        <v>1000</v>
      </c>
      <c r="E152" s="9" t="n">
        <f aca="false">IFERROR(INDEX('Semrush Data'!$D$2:$D$5000,MATCH(B152,'Semrush Data'!$A$2:$A$5000,0)),"")</f>
        <v>19</v>
      </c>
      <c r="F152" s="15" t="n">
        <f aca="false">IFERROR(INDEX('Semrush Data'!$E$2:$E$5000,MATCH(B152,'Semrush Data'!$A$2:$A$5000,0)),"")</f>
        <v>1.06</v>
      </c>
      <c r="G152" s="9" t="str">
        <f aca="false">IF(E152="","",IF(E152&lt;=20,"Easier",IF(E152&lt;=35,"Medium","Hard")))</f>
        <v>Easier</v>
      </c>
      <c r="H152" s="9" t="s">
        <v>190</v>
      </c>
    </row>
    <row r="153" customFormat="false" ht="15" hidden="false" customHeight="false" outlineLevel="0" collapsed="false">
      <c r="B153" s="9" t="s">
        <v>234</v>
      </c>
      <c r="C153" s="9" t="s">
        <v>189</v>
      </c>
      <c r="D153" s="14" t="n">
        <f aca="false">IFERROR(INDEX('Semrush Data'!$C$2:$C$5000,MATCH(B153,'Semrush Data'!$A$2:$A$5000,0)),"")</f>
        <v>1000</v>
      </c>
      <c r="E153" s="9" t="n">
        <f aca="false">IFERROR(INDEX('Semrush Data'!$D$2:$D$5000,MATCH(B153,'Semrush Data'!$A$2:$A$5000,0)),"")</f>
        <v>22</v>
      </c>
      <c r="F153" s="15" t="n">
        <f aca="false">IFERROR(INDEX('Semrush Data'!$E$2:$E$5000,MATCH(B153,'Semrush Data'!$A$2:$A$5000,0)),"")</f>
        <v>0.83</v>
      </c>
      <c r="G153" s="9" t="str">
        <f aca="false">IF(E153="","",IF(E153&lt;=20,"Easier",IF(E153&lt;=35,"Medium","Hard")))</f>
        <v>Medium</v>
      </c>
      <c r="H153" s="9" t="s">
        <v>190</v>
      </c>
    </row>
    <row r="154" customFormat="false" ht="15" hidden="false" customHeight="false" outlineLevel="0" collapsed="false">
      <c r="B154" s="9" t="s">
        <v>235</v>
      </c>
      <c r="C154" s="9" t="s">
        <v>189</v>
      </c>
      <c r="D154" s="14" t="n">
        <f aca="false">IFERROR(INDEX('Semrush Data'!$C$2:$C$5000,MATCH(B154,'Semrush Data'!$A$2:$A$5000,0)),"")</f>
        <v>1000</v>
      </c>
      <c r="E154" s="9" t="n">
        <f aca="false">IFERROR(INDEX('Semrush Data'!$D$2:$D$5000,MATCH(B154,'Semrush Data'!$A$2:$A$5000,0)),"")</f>
        <v>24</v>
      </c>
      <c r="F154" s="15" t="n">
        <f aca="false">IFERROR(INDEX('Semrush Data'!$E$2:$E$5000,MATCH(B154,'Semrush Data'!$A$2:$A$5000,0)),"")</f>
        <v>0.92</v>
      </c>
      <c r="G154" s="9" t="str">
        <f aca="false">IF(E154="","",IF(E154&lt;=20,"Easier",IF(E154&lt;=35,"Medium","Hard")))</f>
        <v>Medium</v>
      </c>
      <c r="H154" s="9" t="s">
        <v>190</v>
      </c>
    </row>
    <row r="156" customFormat="false" ht="16.15" hidden="false" customHeight="false" outlineLevel="0" collapsed="false">
      <c r="A156" s="7" t="s">
        <v>236</v>
      </c>
    </row>
    <row r="157" customFormat="false" ht="15" hidden="false" customHeight="false" outlineLevel="0" collapsed="false">
      <c r="A157" s="8" t="s">
        <v>237</v>
      </c>
    </row>
    <row r="158" customFormat="false" ht="15" hidden="false" customHeight="false" outlineLevel="0" collapsed="false">
      <c r="A158" s="12"/>
      <c r="B158" s="12" t="s">
        <v>151</v>
      </c>
      <c r="C158" s="12" t="s">
        <v>152</v>
      </c>
      <c r="D158" s="12" t="s">
        <v>43</v>
      </c>
      <c r="E158" s="12" t="s">
        <v>44</v>
      </c>
      <c r="F158" s="12" t="s">
        <v>45</v>
      </c>
      <c r="G158" s="12" t="s">
        <v>46</v>
      </c>
      <c r="H158" s="12" t="s">
        <v>47</v>
      </c>
    </row>
    <row r="159" customFormat="false" ht="15" hidden="false" customHeight="false" outlineLevel="0" collapsed="false">
      <c r="B159" s="9" t="s">
        <v>238</v>
      </c>
      <c r="C159" s="9" t="s">
        <v>239</v>
      </c>
      <c r="D159" s="14" t="n">
        <f aca="false">IFERROR(INDEX('Semrush Data'!$C$2:$C$5000,MATCH(B159,'Semrush Data'!$A$2:$A$5000,0)),"")</f>
        <v>9900</v>
      </c>
      <c r="E159" s="9" t="n">
        <f aca="false">IFERROR(INDEX('Semrush Data'!$D$2:$D$5000,MATCH(B159,'Semrush Data'!$A$2:$A$5000,0)),"")</f>
        <v>23</v>
      </c>
      <c r="F159" s="15" t="n">
        <f aca="false">IFERROR(INDEX('Semrush Data'!$E$2:$E$5000,MATCH(B159,'Semrush Data'!$A$2:$A$5000,0)),"")</f>
        <v>0.36</v>
      </c>
      <c r="G159" s="9" t="str">
        <f aca="false">IF(E159="","",IF(E159&lt;=20,"Easier",IF(E159&lt;=35,"Medium","Hard")))</f>
        <v>Medium</v>
      </c>
      <c r="H159" s="9" t="s">
        <v>240</v>
      </c>
    </row>
    <row r="160" customFormat="false" ht="15" hidden="false" customHeight="false" outlineLevel="0" collapsed="false">
      <c r="B160" s="9" t="s">
        <v>241</v>
      </c>
      <c r="C160" s="9" t="s">
        <v>239</v>
      </c>
      <c r="D160" s="14" t="n">
        <f aca="false">IFERROR(INDEX('Semrush Data'!$C$2:$C$5000,MATCH(B160,'Semrush Data'!$A$2:$A$5000,0)),"")</f>
        <v>5400</v>
      </c>
      <c r="E160" s="9" t="n">
        <f aca="false">IFERROR(INDEX('Semrush Data'!$D$2:$D$5000,MATCH(B160,'Semrush Data'!$A$2:$A$5000,0)),"")</f>
        <v>35</v>
      </c>
      <c r="F160" s="15" t="n">
        <f aca="false">IFERROR(INDEX('Semrush Data'!$E$2:$E$5000,MATCH(B160,'Semrush Data'!$A$2:$A$5000,0)),"")</f>
        <v>0.66</v>
      </c>
      <c r="G160" s="9" t="str">
        <f aca="false">IF(E160="","",IF(E160&lt;=20,"Easier",IF(E160&lt;=35,"Medium","Hard")))</f>
        <v>Medium</v>
      </c>
      <c r="H160" s="9" t="s">
        <v>240</v>
      </c>
    </row>
    <row r="161" customFormat="false" ht="15" hidden="false" customHeight="false" outlineLevel="0" collapsed="false">
      <c r="B161" s="9" t="s">
        <v>242</v>
      </c>
      <c r="C161" s="9" t="s">
        <v>239</v>
      </c>
      <c r="D161" s="14" t="n">
        <f aca="false">IFERROR(INDEX('Semrush Data'!$C$2:$C$5000,MATCH(B161,'Semrush Data'!$A$2:$A$5000,0)),"")</f>
        <v>2900</v>
      </c>
      <c r="E161" s="9" t="n">
        <f aca="false">IFERROR(INDEX('Semrush Data'!$D$2:$D$5000,MATCH(B161,'Semrush Data'!$A$2:$A$5000,0)),"")</f>
        <v>16</v>
      </c>
      <c r="F161" s="15" t="n">
        <f aca="false">IFERROR(INDEX('Semrush Data'!$E$2:$E$5000,MATCH(B161,'Semrush Data'!$A$2:$A$5000,0)),"")</f>
        <v>0.36</v>
      </c>
      <c r="G161" s="9" t="str">
        <f aca="false">IF(E161="","",IF(E161&lt;=20,"Easier",IF(E161&lt;=35,"Medium","Hard")))</f>
        <v>Easier</v>
      </c>
      <c r="H161" s="9" t="s">
        <v>240</v>
      </c>
    </row>
    <row r="162" customFormat="false" ht="15" hidden="false" customHeight="false" outlineLevel="0" collapsed="false">
      <c r="B162" s="9" t="s">
        <v>243</v>
      </c>
      <c r="C162" s="9" t="s">
        <v>239</v>
      </c>
      <c r="D162" s="14" t="n">
        <f aca="false">IFERROR(INDEX('Semrush Data'!$C$2:$C$5000,MATCH(B162,'Semrush Data'!$A$2:$A$5000,0)),"")</f>
        <v>2900</v>
      </c>
      <c r="E162" s="9" t="n">
        <f aca="false">IFERROR(INDEX('Semrush Data'!$D$2:$D$5000,MATCH(B162,'Semrush Data'!$A$2:$A$5000,0)),"")</f>
        <v>13</v>
      </c>
      <c r="F162" s="15" t="n">
        <f aca="false">IFERROR(INDEX('Semrush Data'!$E$2:$E$5000,MATCH(B162,'Semrush Data'!$A$2:$A$5000,0)),"")</f>
        <v>0.4</v>
      </c>
      <c r="G162" s="9" t="str">
        <f aca="false">IF(E162="","",IF(E162&lt;=20,"Easier",IF(E162&lt;=35,"Medium","Hard")))</f>
        <v>Easier</v>
      </c>
      <c r="H162" s="9" t="s">
        <v>240</v>
      </c>
    </row>
    <row r="163" customFormat="false" ht="15" hidden="false" customHeight="false" outlineLevel="0" collapsed="false">
      <c r="B163" s="9" t="s">
        <v>244</v>
      </c>
      <c r="C163" s="9" t="s">
        <v>239</v>
      </c>
      <c r="D163" s="14" t="n">
        <f aca="false">IFERROR(INDEX('Semrush Data'!$C$2:$C$5000,MATCH(B163,'Semrush Data'!$A$2:$A$5000,0)),"")</f>
        <v>2400</v>
      </c>
      <c r="E163" s="9" t="n">
        <f aca="false">IFERROR(INDEX('Semrush Data'!$D$2:$D$5000,MATCH(B163,'Semrush Data'!$A$2:$A$5000,0)),"")</f>
        <v>17</v>
      </c>
      <c r="F163" s="15" t="n">
        <f aca="false">IFERROR(INDEX('Semrush Data'!$E$2:$E$5000,MATCH(B163,'Semrush Data'!$A$2:$A$5000,0)),"")</f>
        <v>0.36</v>
      </c>
      <c r="G163" s="9" t="str">
        <f aca="false">IF(E163="","",IF(E163&lt;=20,"Easier",IF(E163&lt;=35,"Medium","Hard")))</f>
        <v>Easier</v>
      </c>
      <c r="H163" s="9" t="s">
        <v>240</v>
      </c>
    </row>
    <row r="164" customFormat="false" ht="15" hidden="false" customHeight="false" outlineLevel="0" collapsed="false">
      <c r="B164" s="9" t="s">
        <v>245</v>
      </c>
      <c r="C164" s="9" t="s">
        <v>239</v>
      </c>
      <c r="D164" s="14" t="n">
        <f aca="false">IFERROR(INDEX('Semrush Data'!$C$2:$C$5000,MATCH(B164,'Semrush Data'!$A$2:$A$5000,0)),"")</f>
        <v>1900</v>
      </c>
      <c r="E164" s="9" t="n">
        <f aca="false">IFERROR(INDEX('Semrush Data'!$D$2:$D$5000,MATCH(B164,'Semrush Data'!$A$2:$A$5000,0)),"")</f>
        <v>24</v>
      </c>
      <c r="F164" s="15" t="n">
        <f aca="false">IFERROR(INDEX('Semrush Data'!$E$2:$E$5000,MATCH(B164,'Semrush Data'!$A$2:$A$5000,0)),"")</f>
        <v>0.4</v>
      </c>
      <c r="G164" s="9" t="str">
        <f aca="false">IF(E164="","",IF(E164&lt;=20,"Easier",IF(E164&lt;=35,"Medium","Hard")))</f>
        <v>Medium</v>
      </c>
      <c r="H164" s="9" t="s">
        <v>240</v>
      </c>
    </row>
    <row r="165" customFormat="false" ht="15" hidden="false" customHeight="false" outlineLevel="0" collapsed="false">
      <c r="B165" s="9" t="s">
        <v>246</v>
      </c>
      <c r="C165" s="9" t="s">
        <v>239</v>
      </c>
      <c r="D165" s="14" t="n">
        <f aca="false">IFERROR(INDEX('Semrush Data'!$C$2:$C$5000,MATCH(B165,'Semrush Data'!$A$2:$A$5000,0)),"")</f>
        <v>1900</v>
      </c>
      <c r="E165" s="9" t="n">
        <f aca="false">IFERROR(INDEX('Semrush Data'!$D$2:$D$5000,MATCH(B165,'Semrush Data'!$A$2:$A$5000,0)),"")</f>
        <v>23</v>
      </c>
      <c r="F165" s="15" t="n">
        <f aca="false">IFERROR(INDEX('Semrush Data'!$E$2:$E$5000,MATCH(B165,'Semrush Data'!$A$2:$A$5000,0)),"")</f>
        <v>0.41</v>
      </c>
      <c r="G165" s="9" t="str">
        <f aca="false">IF(E165="","",IF(E165&lt;=20,"Easier",IF(E165&lt;=35,"Medium","Hard")))</f>
        <v>Medium</v>
      </c>
      <c r="H165" s="9" t="s">
        <v>240</v>
      </c>
    </row>
    <row r="166" customFormat="false" ht="15" hidden="false" customHeight="false" outlineLevel="0" collapsed="false">
      <c r="B166" s="9" t="s">
        <v>247</v>
      </c>
      <c r="C166" s="9" t="s">
        <v>239</v>
      </c>
      <c r="D166" s="14" t="n">
        <f aca="false">IFERROR(INDEX('Semrush Data'!$C$2:$C$5000,MATCH(B166,'Semrush Data'!$A$2:$A$5000,0)),"")</f>
        <v>720</v>
      </c>
      <c r="E166" s="9" t="n">
        <f aca="false">IFERROR(INDEX('Semrush Data'!$D$2:$D$5000,MATCH(B166,'Semrush Data'!$A$2:$A$5000,0)),"")</f>
        <v>16</v>
      </c>
      <c r="F166" s="15" t="n">
        <f aca="false">IFERROR(INDEX('Semrush Data'!$E$2:$E$5000,MATCH(B166,'Semrush Data'!$A$2:$A$5000,0)),"")</f>
        <v>0.27</v>
      </c>
      <c r="G166" s="9" t="str">
        <f aca="false">IF(E166="","",IF(E166&lt;=20,"Easier",IF(E166&lt;=35,"Medium","Hard")))</f>
        <v>Easier</v>
      </c>
      <c r="H166" s="9" t="s">
        <v>240</v>
      </c>
    </row>
    <row r="167" customFormat="false" ht="15" hidden="false" customHeight="false" outlineLevel="0" collapsed="false">
      <c r="B167" s="9" t="s">
        <v>248</v>
      </c>
      <c r="C167" s="9" t="s">
        <v>249</v>
      </c>
      <c r="D167" s="14" t="n">
        <f aca="false">IFERROR(INDEX('Semrush Data'!$C$2:$C$5000,MATCH(B167,'Semrush Data'!$A$2:$A$5000,0)),"")</f>
        <v>590</v>
      </c>
      <c r="E167" s="9" t="n">
        <f aca="false">IFERROR(INDEX('Semrush Data'!$D$2:$D$5000,MATCH(B167,'Semrush Data'!$A$2:$A$5000,0)),"")</f>
        <v>22</v>
      </c>
      <c r="F167" s="15" t="n">
        <f aca="false">IFERROR(INDEX('Semrush Data'!$E$2:$E$5000,MATCH(B167,'Semrush Data'!$A$2:$A$5000,0)),"")</f>
        <v>0.32</v>
      </c>
      <c r="G167" s="9" t="str">
        <f aca="false">IF(E167="","",IF(E167&lt;=20,"Easier",IF(E167&lt;=35,"Medium","Hard")))</f>
        <v>Medium</v>
      </c>
      <c r="H167" s="9" t="s">
        <v>250</v>
      </c>
    </row>
    <row r="168" customFormat="false" ht="15" hidden="false" customHeight="false" outlineLevel="0" collapsed="false">
      <c r="B168" s="9" t="s">
        <v>251</v>
      </c>
      <c r="C168" s="9" t="s">
        <v>239</v>
      </c>
      <c r="D168" s="14" t="n">
        <f aca="false">IFERROR(INDEX('Semrush Data'!$C$2:$C$5000,MATCH(B168,'Semrush Data'!$A$2:$A$5000,0)),"")</f>
        <v>480</v>
      </c>
      <c r="E168" s="9" t="n">
        <f aca="false">IFERROR(INDEX('Semrush Data'!$D$2:$D$5000,MATCH(B168,'Semrush Data'!$A$2:$A$5000,0)),"")</f>
        <v>16</v>
      </c>
      <c r="F168" s="15" t="n">
        <f aca="false">IFERROR(INDEX('Semrush Data'!$E$2:$E$5000,MATCH(B168,'Semrush Data'!$A$2:$A$5000,0)),"")</f>
        <v>0.44</v>
      </c>
      <c r="G168" s="9" t="str">
        <f aca="false">IF(E168="","",IF(E168&lt;=20,"Easier",IF(E168&lt;=35,"Medium","Hard")))</f>
        <v>Easier</v>
      </c>
      <c r="H168" s="9" t="s">
        <v>240</v>
      </c>
    </row>
    <row r="169" customFormat="false" ht="15" hidden="false" customHeight="false" outlineLevel="0" collapsed="false">
      <c r="B169" s="9" t="s">
        <v>252</v>
      </c>
      <c r="C169" s="9" t="s">
        <v>239</v>
      </c>
      <c r="D169" s="14" t="n">
        <f aca="false">IFERROR(INDEX('Semrush Data'!$C$2:$C$5000,MATCH(B169,'Semrush Data'!$A$2:$A$5000,0)),"")</f>
        <v>390</v>
      </c>
      <c r="E169" s="9" t="n">
        <f aca="false">IFERROR(INDEX('Semrush Data'!$D$2:$D$5000,MATCH(B169,'Semrush Data'!$A$2:$A$5000,0)),"")</f>
        <v>16</v>
      </c>
      <c r="F169" s="15" t="n">
        <f aca="false">IFERROR(INDEX('Semrush Data'!$E$2:$E$5000,MATCH(B169,'Semrush Data'!$A$2:$A$5000,0)),"")</f>
        <v>0.48</v>
      </c>
      <c r="G169" s="9" t="str">
        <f aca="false">IF(E169="","",IF(E169&lt;=20,"Easier",IF(E169&lt;=35,"Medium","Hard")))</f>
        <v>Easier</v>
      </c>
      <c r="H169" s="9" t="s">
        <v>240</v>
      </c>
    </row>
    <row r="170" customFormat="false" ht="15" hidden="false" customHeight="false" outlineLevel="0" collapsed="false">
      <c r="B170" s="9" t="s">
        <v>253</v>
      </c>
      <c r="C170" s="9" t="s">
        <v>239</v>
      </c>
      <c r="D170" s="14" t="n">
        <f aca="false">IFERROR(INDEX('Semrush Data'!$C$2:$C$5000,MATCH(B170,'Semrush Data'!$A$2:$A$5000,0)),"")</f>
        <v>320</v>
      </c>
      <c r="E170" s="9" t="n">
        <f aca="false">IFERROR(INDEX('Semrush Data'!$D$2:$D$5000,MATCH(B170,'Semrush Data'!$A$2:$A$5000,0)),"")</f>
        <v>19</v>
      </c>
      <c r="F170" s="15" t="n">
        <f aca="false">IFERROR(INDEX('Semrush Data'!$E$2:$E$5000,MATCH(B170,'Semrush Data'!$A$2:$A$5000,0)),"")</f>
        <v>0.41</v>
      </c>
      <c r="G170" s="9" t="str">
        <f aca="false">IF(E170="","",IF(E170&lt;=20,"Easier",IF(E170&lt;=35,"Medium","Hard")))</f>
        <v>Easier</v>
      </c>
      <c r="H170" s="9" t="s">
        <v>240</v>
      </c>
    </row>
    <row r="171" customFormat="false" ht="15" hidden="false" customHeight="false" outlineLevel="0" collapsed="false">
      <c r="B171" s="9" t="s">
        <v>254</v>
      </c>
      <c r="C171" s="9" t="s">
        <v>239</v>
      </c>
      <c r="D171" s="14" t="n">
        <f aca="false">IFERROR(INDEX('Semrush Data'!$C$2:$C$5000,MATCH(B171,'Semrush Data'!$A$2:$A$5000,0)),"")</f>
        <v>260</v>
      </c>
      <c r="E171" s="9" t="n">
        <f aca="false">IFERROR(INDEX('Semrush Data'!$D$2:$D$5000,MATCH(B171,'Semrush Data'!$A$2:$A$5000,0)),"")</f>
        <v>22</v>
      </c>
      <c r="F171" s="15" t="n">
        <f aca="false">IFERROR(INDEX('Semrush Data'!$E$2:$E$5000,MATCH(B171,'Semrush Data'!$A$2:$A$5000,0)),"")</f>
        <v>0.45</v>
      </c>
      <c r="G171" s="9" t="str">
        <f aca="false">IF(E171="","",IF(E171&lt;=20,"Easier",IF(E171&lt;=35,"Medium","Hard")))</f>
        <v>Medium</v>
      </c>
      <c r="H171" s="9" t="s">
        <v>240</v>
      </c>
    </row>
    <row r="172" customFormat="false" ht="15" hidden="false" customHeight="false" outlineLevel="0" collapsed="false">
      <c r="B172" s="9" t="s">
        <v>255</v>
      </c>
      <c r="C172" s="9" t="s">
        <v>239</v>
      </c>
      <c r="D172" s="14" t="n">
        <f aca="false">IFERROR(INDEX('Semrush Data'!$C$2:$C$5000,MATCH(B172,'Semrush Data'!$A$2:$A$5000,0)),"")</f>
        <v>260</v>
      </c>
      <c r="E172" s="9" t="n">
        <f aca="false">IFERROR(INDEX('Semrush Data'!$D$2:$D$5000,MATCH(B172,'Semrush Data'!$A$2:$A$5000,0)),"")</f>
        <v>11</v>
      </c>
      <c r="F172" s="15" t="n">
        <f aca="false">IFERROR(INDEX('Semrush Data'!$E$2:$E$5000,MATCH(B172,'Semrush Data'!$A$2:$A$5000,0)),"")</f>
        <v>0.54</v>
      </c>
      <c r="G172" s="9" t="str">
        <f aca="false">IF(E172="","",IF(E172&lt;=20,"Easier",IF(E172&lt;=35,"Medium","Hard")))</f>
        <v>Easier</v>
      </c>
      <c r="H172" s="9" t="s">
        <v>240</v>
      </c>
    </row>
    <row r="173" customFormat="false" ht="15" hidden="false" customHeight="false" outlineLevel="0" collapsed="false">
      <c r="B173" s="9" t="s">
        <v>256</v>
      </c>
      <c r="C173" s="9" t="s">
        <v>239</v>
      </c>
      <c r="D173" s="14" t="n">
        <f aca="false">IFERROR(INDEX('Semrush Data'!$C$2:$C$5000,MATCH(B173,'Semrush Data'!$A$2:$A$5000,0)),"")</f>
        <v>210</v>
      </c>
      <c r="E173" s="9" t="n">
        <f aca="false">IFERROR(INDEX('Semrush Data'!$D$2:$D$5000,MATCH(B173,'Semrush Data'!$A$2:$A$5000,0)),"")</f>
        <v>29</v>
      </c>
      <c r="F173" s="15" t="n">
        <f aca="false">IFERROR(INDEX('Semrush Data'!$E$2:$E$5000,MATCH(B173,'Semrush Data'!$A$2:$A$5000,0)),"")</f>
        <v>0.8</v>
      </c>
      <c r="G173" s="9" t="str">
        <f aca="false">IF(E173="","",IF(E173&lt;=20,"Easier",IF(E173&lt;=35,"Medium","Hard")))</f>
        <v>Medium</v>
      </c>
      <c r="H173" s="9" t="s">
        <v>240</v>
      </c>
    </row>
    <row r="174" customFormat="false" ht="15" hidden="false" customHeight="false" outlineLevel="0" collapsed="false">
      <c r="B174" s="9" t="s">
        <v>257</v>
      </c>
      <c r="C174" s="9" t="s">
        <v>239</v>
      </c>
      <c r="D174" s="14" t="n">
        <f aca="false">IFERROR(INDEX('Semrush Data'!$C$2:$C$5000,MATCH(B174,'Semrush Data'!$A$2:$A$5000,0)),"")</f>
        <v>140</v>
      </c>
      <c r="E174" s="9" t="n">
        <f aca="false">IFERROR(INDEX('Semrush Data'!$D$2:$D$5000,MATCH(B174,'Semrush Data'!$A$2:$A$5000,0)),"")</f>
        <v>11</v>
      </c>
      <c r="F174" s="15" t="n">
        <f aca="false">IFERROR(INDEX('Semrush Data'!$E$2:$E$5000,MATCH(B174,'Semrush Data'!$A$2:$A$5000,0)),"")</f>
        <v>0</v>
      </c>
      <c r="G174" s="9" t="str">
        <f aca="false">IF(E174="","",IF(E174&lt;=20,"Easier",IF(E174&lt;=35,"Medium","Hard")))</f>
        <v>Easier</v>
      </c>
      <c r="H174" s="9" t="s">
        <v>258</v>
      </c>
    </row>
    <row r="175" customFormat="false" ht="15" hidden="false" customHeight="false" outlineLevel="0" collapsed="false">
      <c r="B175" s="9" t="s">
        <v>259</v>
      </c>
      <c r="C175" s="9" t="s">
        <v>239</v>
      </c>
      <c r="D175" s="14" t="n">
        <f aca="false">IFERROR(INDEX('Semrush Data'!$C$2:$C$5000,MATCH(B175,'Semrush Data'!$A$2:$A$5000,0)),"")</f>
        <v>140</v>
      </c>
      <c r="E175" s="9" t="n">
        <f aca="false">IFERROR(INDEX('Semrush Data'!$D$2:$D$5000,MATCH(B175,'Semrush Data'!$A$2:$A$5000,0)),"")</f>
        <v>22</v>
      </c>
      <c r="F175" s="15" t="n">
        <f aca="false">IFERROR(INDEX('Semrush Data'!$E$2:$E$5000,MATCH(B175,'Semrush Data'!$A$2:$A$5000,0)),"")</f>
        <v>1.11</v>
      </c>
      <c r="G175" s="9" t="str">
        <f aca="false">IF(E175="","",IF(E175&lt;=20,"Easier",IF(E175&lt;=35,"Medium","Hard")))</f>
        <v>Medium</v>
      </c>
      <c r="H175" s="9" t="s">
        <v>240</v>
      </c>
    </row>
    <row r="176" customFormat="false" ht="15" hidden="false" customHeight="false" outlineLevel="0" collapsed="false">
      <c r="B176" s="9" t="s">
        <v>260</v>
      </c>
      <c r="C176" s="9" t="s">
        <v>239</v>
      </c>
      <c r="D176" s="14" t="n">
        <f aca="false">IFERROR(INDEX('Semrush Data'!$C$2:$C$5000,MATCH(B176,'Semrush Data'!$A$2:$A$5000,0)),"")</f>
        <v>140</v>
      </c>
      <c r="E176" s="9" t="n">
        <f aca="false">IFERROR(INDEX('Semrush Data'!$D$2:$D$5000,MATCH(B176,'Semrush Data'!$A$2:$A$5000,0)),"")</f>
        <v>17</v>
      </c>
      <c r="F176" s="15" t="n">
        <f aca="false">IFERROR(INDEX('Semrush Data'!$E$2:$E$5000,MATCH(B176,'Semrush Data'!$A$2:$A$5000,0)),"")</f>
        <v>0</v>
      </c>
      <c r="G176" s="9" t="str">
        <f aca="false">IF(E176="","",IF(E176&lt;=20,"Easier",IF(E176&lt;=35,"Medium","Hard")))</f>
        <v>Easier</v>
      </c>
      <c r="H176" s="9" t="s">
        <v>258</v>
      </c>
    </row>
    <row r="177" customFormat="false" ht="15" hidden="false" customHeight="false" outlineLevel="0" collapsed="false">
      <c r="B177" s="9" t="s">
        <v>261</v>
      </c>
      <c r="C177" s="9" t="s">
        <v>249</v>
      </c>
      <c r="D177" s="14" t="n">
        <f aca="false">IFERROR(INDEX('Semrush Data'!$C$2:$C$5000,MATCH(B177,'Semrush Data'!$A$2:$A$5000,0)),"")</f>
        <v>110</v>
      </c>
      <c r="E177" s="9" t="n">
        <f aca="false">IFERROR(INDEX('Semrush Data'!$D$2:$D$5000,MATCH(B177,'Semrush Data'!$A$2:$A$5000,0)),"")</f>
        <v>19</v>
      </c>
      <c r="F177" s="15" t="n">
        <f aca="false">IFERROR(INDEX('Semrush Data'!$E$2:$E$5000,MATCH(B177,'Semrush Data'!$A$2:$A$5000,0)),"")</f>
        <v>0.29</v>
      </c>
      <c r="G177" s="9" t="str">
        <f aca="false">IF(E177="","",IF(E177&lt;=20,"Easier",IF(E177&lt;=35,"Medium","Hard")))</f>
        <v>Easier</v>
      </c>
      <c r="H177" s="9" t="s">
        <v>250</v>
      </c>
    </row>
    <row r="178" customFormat="false" ht="15" hidden="false" customHeight="false" outlineLevel="0" collapsed="false">
      <c r="B178" s="9" t="s">
        <v>262</v>
      </c>
      <c r="C178" s="9" t="s">
        <v>239</v>
      </c>
      <c r="D178" s="14" t="n">
        <f aca="false">IFERROR(INDEX('Semrush Data'!$C$2:$C$5000,MATCH(B178,'Semrush Data'!$A$2:$A$5000,0)),"")</f>
        <v>70</v>
      </c>
      <c r="E178" s="9" t="n">
        <f aca="false">IFERROR(INDEX('Semrush Data'!$D$2:$D$5000,MATCH(B178,'Semrush Data'!$A$2:$A$5000,0)),"")</f>
        <v>18</v>
      </c>
      <c r="F178" s="15" t="n">
        <f aca="false">IFERROR(INDEX('Semrush Data'!$E$2:$E$5000,MATCH(B178,'Semrush Data'!$A$2:$A$5000,0)),"")</f>
        <v>0.27</v>
      </c>
      <c r="G178" s="9" t="str">
        <f aca="false">IF(E178="","",IF(E178&lt;=20,"Easier",IF(E178&lt;=35,"Medium","Hard")))</f>
        <v>Easier</v>
      </c>
      <c r="H178" s="9" t="s">
        <v>240</v>
      </c>
    </row>
    <row r="179" customFormat="false" ht="15" hidden="false" customHeight="false" outlineLevel="0" collapsed="false">
      <c r="B179" s="9" t="s">
        <v>263</v>
      </c>
      <c r="C179" s="9" t="s">
        <v>239</v>
      </c>
      <c r="D179" s="14" t="n">
        <f aca="false">IFERROR(INDEX('Semrush Data'!$C$2:$C$5000,MATCH(B179,'Semrush Data'!$A$2:$A$5000,0)),"")</f>
        <v>70</v>
      </c>
      <c r="E179" s="9" t="n">
        <f aca="false">IFERROR(INDEX('Semrush Data'!$D$2:$D$5000,MATCH(B179,'Semrush Data'!$A$2:$A$5000,0)),"")</f>
        <v>20</v>
      </c>
      <c r="F179" s="15" t="n">
        <f aca="false">IFERROR(INDEX('Semrush Data'!$E$2:$E$5000,MATCH(B179,'Semrush Data'!$A$2:$A$5000,0)),"")</f>
        <v>0.48</v>
      </c>
      <c r="G179" s="9" t="str">
        <f aca="false">IF(E179="","",IF(E179&lt;=20,"Easier",IF(E179&lt;=35,"Medium","Hard")))</f>
        <v>Easier</v>
      </c>
      <c r="H179" s="9" t="s">
        <v>258</v>
      </c>
    </row>
    <row r="180" customFormat="false" ht="15" hidden="false" customHeight="false" outlineLevel="0" collapsed="false">
      <c r="B180" s="9" t="s">
        <v>264</v>
      </c>
      <c r="C180" s="9" t="s">
        <v>239</v>
      </c>
      <c r="D180" s="14" t="n">
        <f aca="false">IFERROR(INDEX('Semrush Data'!$C$2:$C$5000,MATCH(B180,'Semrush Data'!$A$2:$A$5000,0)),"")</f>
        <v>50</v>
      </c>
      <c r="E180" s="9" t="n">
        <f aca="false">IFERROR(INDEX('Semrush Data'!$D$2:$D$5000,MATCH(B180,'Semrush Data'!$A$2:$A$5000,0)),"")</f>
        <v>24</v>
      </c>
      <c r="F180" s="15" t="n">
        <f aca="false">IFERROR(INDEX('Semrush Data'!$E$2:$E$5000,MATCH(B180,'Semrush Data'!$A$2:$A$5000,0)),"")</f>
        <v>0</v>
      </c>
      <c r="G180" s="9" t="str">
        <f aca="false">IF(E180="","",IF(E180&lt;=20,"Easier",IF(E180&lt;=35,"Medium","Hard")))</f>
        <v>Medium</v>
      </c>
      <c r="H180" s="9" t="s">
        <v>258</v>
      </c>
    </row>
    <row r="181" customFormat="false" ht="15" hidden="false" customHeight="false" outlineLevel="0" collapsed="false">
      <c r="B181" s="9" t="s">
        <v>265</v>
      </c>
      <c r="C181" s="9" t="s">
        <v>249</v>
      </c>
      <c r="D181" s="14" t="n">
        <f aca="false">IFERROR(INDEX('Semrush Data'!$C$2:$C$5000,MATCH(B181,'Semrush Data'!$A$2:$A$5000,0)),"")</f>
        <v>50</v>
      </c>
      <c r="E181" s="9" t="n">
        <f aca="false">IFERROR(INDEX('Semrush Data'!$D$2:$D$5000,MATCH(B181,'Semrush Data'!$A$2:$A$5000,0)),"")</f>
        <v>14</v>
      </c>
      <c r="F181" s="15" t="n">
        <f aca="false">IFERROR(INDEX('Semrush Data'!$E$2:$E$5000,MATCH(B181,'Semrush Data'!$A$2:$A$5000,0)),"")</f>
        <v>0.14</v>
      </c>
      <c r="G181" s="9" t="str">
        <f aca="false">IF(E181="","",IF(E181&lt;=20,"Easier",IF(E181&lt;=35,"Medium","Hard")))</f>
        <v>Easier</v>
      </c>
      <c r="H181" s="9" t="s">
        <v>250</v>
      </c>
    </row>
    <row r="182" customFormat="false" ht="15" hidden="false" customHeight="false" outlineLevel="0" collapsed="false">
      <c r="B182" s="9" t="s">
        <v>266</v>
      </c>
      <c r="C182" s="9" t="s">
        <v>249</v>
      </c>
      <c r="D182" s="14" t="n">
        <f aca="false">IFERROR(INDEX('Semrush Data'!$C$2:$C$5000,MATCH(B182,'Semrush Data'!$A$2:$A$5000,0)),"")</f>
        <v>50</v>
      </c>
      <c r="E182" s="9" t="n">
        <f aca="false">IFERROR(INDEX('Semrush Data'!$D$2:$D$5000,MATCH(B182,'Semrush Data'!$A$2:$A$5000,0)),"")</f>
        <v>14</v>
      </c>
      <c r="F182" s="15" t="n">
        <f aca="false">IFERROR(INDEX('Semrush Data'!$E$2:$E$5000,MATCH(B182,'Semrush Data'!$A$2:$A$5000,0)),"")</f>
        <v>0.34</v>
      </c>
      <c r="G182" s="9" t="str">
        <f aca="false">IF(E182="","",IF(E182&lt;=20,"Easier",IF(E182&lt;=35,"Medium","Hard")))</f>
        <v>Easier</v>
      </c>
      <c r="H182" s="9" t="s">
        <v>250</v>
      </c>
    </row>
    <row r="183" customFormat="false" ht="15" hidden="false" customHeight="false" outlineLevel="0" collapsed="false">
      <c r="B183" s="9" t="s">
        <v>267</v>
      </c>
      <c r="C183" s="9" t="s">
        <v>239</v>
      </c>
      <c r="D183" s="14" t="n">
        <f aca="false">IFERROR(INDEX('Semrush Data'!$C$2:$C$5000,MATCH(B183,'Semrush Data'!$A$2:$A$5000,0)),"")</f>
        <v>40</v>
      </c>
      <c r="E183" s="9" t="n">
        <f aca="false">IFERROR(INDEX('Semrush Data'!$D$2:$D$5000,MATCH(B183,'Semrush Data'!$A$2:$A$5000,0)),"")</f>
        <v>10</v>
      </c>
      <c r="F183" s="15" t="n">
        <f aca="false">IFERROR(INDEX('Semrush Data'!$E$2:$E$5000,MATCH(B183,'Semrush Data'!$A$2:$A$5000,0)),"")</f>
        <v>0</v>
      </c>
      <c r="G183" s="9" t="str">
        <f aca="false">IF(E183="","",IF(E183&lt;=20,"Easier",IF(E183&lt;=35,"Medium","Hard")))</f>
        <v>Easier</v>
      </c>
      <c r="H183" s="9" t="s">
        <v>258</v>
      </c>
    </row>
    <row r="184" customFormat="false" ht="15" hidden="false" customHeight="false" outlineLevel="0" collapsed="false">
      <c r="B184" s="9" t="s">
        <v>268</v>
      </c>
      <c r="C184" s="9" t="s">
        <v>239</v>
      </c>
      <c r="D184" s="14" t="n">
        <f aca="false">IFERROR(INDEX('Semrush Data'!$C$2:$C$5000,MATCH(B184,'Semrush Data'!$A$2:$A$5000,0)),"")</f>
        <v>40</v>
      </c>
      <c r="E184" s="9" t="n">
        <f aca="false">IFERROR(INDEX('Semrush Data'!$D$2:$D$5000,MATCH(B184,'Semrush Data'!$A$2:$A$5000,0)),"")</f>
        <v>14</v>
      </c>
      <c r="F184" s="15" t="n">
        <f aca="false">IFERROR(INDEX('Semrush Data'!$E$2:$E$5000,MATCH(B184,'Semrush Data'!$A$2:$A$5000,0)),"")</f>
        <v>0</v>
      </c>
      <c r="G184" s="9" t="str">
        <f aca="false">IF(E184="","",IF(E184&lt;=20,"Easier",IF(E184&lt;=35,"Medium","Hard")))</f>
        <v>Easier</v>
      </c>
      <c r="H184" s="9" t="s">
        <v>258</v>
      </c>
    </row>
    <row r="185" customFormat="false" ht="15" hidden="false" customHeight="false" outlineLevel="0" collapsed="false">
      <c r="B185" s="9" t="s">
        <v>269</v>
      </c>
      <c r="C185" s="9" t="s">
        <v>249</v>
      </c>
      <c r="D185" s="14" t="n">
        <f aca="false">IFERROR(INDEX('Semrush Data'!$C$2:$C$5000,MATCH(B185,'Semrush Data'!$A$2:$A$5000,0)),"")</f>
        <v>40</v>
      </c>
      <c r="E185" s="9" t="n">
        <f aca="false">IFERROR(INDEX('Semrush Data'!$D$2:$D$5000,MATCH(B185,'Semrush Data'!$A$2:$A$5000,0)),"")</f>
        <v>12</v>
      </c>
      <c r="F185" s="15" t="n">
        <f aca="false">IFERROR(INDEX('Semrush Data'!$E$2:$E$5000,MATCH(B185,'Semrush Data'!$A$2:$A$5000,0)),"")</f>
        <v>0.46</v>
      </c>
      <c r="G185" s="9" t="str">
        <f aca="false">IF(E185="","",IF(E185&lt;=20,"Easier",IF(E185&lt;=35,"Medium","Hard")))</f>
        <v>Easier</v>
      </c>
      <c r="H185" s="9" t="s">
        <v>250</v>
      </c>
    </row>
    <row r="186" customFormat="false" ht="15" hidden="false" customHeight="false" outlineLevel="0" collapsed="false">
      <c r="B186" s="9" t="s">
        <v>270</v>
      </c>
      <c r="C186" s="9" t="s">
        <v>239</v>
      </c>
      <c r="D186" s="14" t="n">
        <f aca="false">IFERROR(INDEX('Semrush Data'!$C$2:$C$5000,MATCH(B186,'Semrush Data'!$A$2:$A$5000,0)),"")</f>
        <v>30</v>
      </c>
      <c r="E186" s="9" t="n">
        <f aca="false">IFERROR(INDEX('Semrush Data'!$D$2:$D$5000,MATCH(B186,'Semrush Data'!$A$2:$A$5000,0)),"")</f>
        <v>16</v>
      </c>
      <c r="F186" s="15" t="n">
        <f aca="false">IFERROR(INDEX('Semrush Data'!$E$2:$E$5000,MATCH(B186,'Semrush Data'!$A$2:$A$5000,0)),"")</f>
        <v>0</v>
      </c>
      <c r="G186" s="9" t="str">
        <f aca="false">IF(E186="","",IF(E186&lt;=20,"Easier",IF(E186&lt;=35,"Medium","Hard")))</f>
        <v>Easier</v>
      </c>
      <c r="H186" s="9" t="s">
        <v>258</v>
      </c>
    </row>
    <row r="187" customFormat="false" ht="15" hidden="false" customHeight="false" outlineLevel="0" collapsed="false">
      <c r="B187" s="9" t="s">
        <v>271</v>
      </c>
      <c r="C187" s="9" t="s">
        <v>239</v>
      </c>
      <c r="D187" s="14" t="n">
        <f aca="false">IFERROR(INDEX('Semrush Data'!$C$2:$C$5000,MATCH(B187,'Semrush Data'!$A$2:$A$5000,0)),"")</f>
        <v>30</v>
      </c>
      <c r="E187" s="9" t="n">
        <f aca="false">IFERROR(INDEX('Semrush Data'!$D$2:$D$5000,MATCH(B187,'Semrush Data'!$A$2:$A$5000,0)),"")</f>
        <v>25</v>
      </c>
      <c r="F187" s="15" t="n">
        <f aca="false">IFERROR(INDEX('Semrush Data'!$E$2:$E$5000,MATCH(B187,'Semrush Data'!$A$2:$A$5000,0)),"")</f>
        <v>0</v>
      </c>
      <c r="G187" s="9" t="str">
        <f aca="false">IF(E187="","",IF(E187&lt;=20,"Easier",IF(E187&lt;=35,"Medium","Hard")))</f>
        <v>Medium</v>
      </c>
      <c r="H187" s="9" t="s">
        <v>258</v>
      </c>
    </row>
    <row r="188" customFormat="false" ht="15" hidden="false" customHeight="false" outlineLevel="0" collapsed="false">
      <c r="B188" s="9" t="s">
        <v>272</v>
      </c>
      <c r="C188" s="9" t="s">
        <v>239</v>
      </c>
      <c r="D188" s="14" t="n">
        <f aca="false">IFERROR(INDEX('Semrush Data'!$C$2:$C$5000,MATCH(B188,'Semrush Data'!$A$2:$A$5000,0)),"")</f>
        <v>30</v>
      </c>
      <c r="E188" s="9" t="n">
        <f aca="false">IFERROR(INDEX('Semrush Data'!$D$2:$D$5000,MATCH(B188,'Semrush Data'!$A$2:$A$5000,0)),"")</f>
        <v>20</v>
      </c>
      <c r="F188" s="15" t="n">
        <f aca="false">IFERROR(INDEX('Semrush Data'!$E$2:$E$5000,MATCH(B188,'Semrush Data'!$A$2:$A$5000,0)),"")</f>
        <v>0</v>
      </c>
      <c r="G188" s="9" t="str">
        <f aca="false">IF(E188="","",IF(E188&lt;=20,"Easier",IF(E188&lt;=35,"Medium","Hard")))</f>
        <v>Easier</v>
      </c>
      <c r="H188" s="9" t="s">
        <v>258</v>
      </c>
    </row>
    <row r="189" customFormat="false" ht="15" hidden="false" customHeight="false" outlineLevel="0" collapsed="false">
      <c r="B189" s="9" t="s">
        <v>273</v>
      </c>
      <c r="C189" s="9" t="s">
        <v>239</v>
      </c>
      <c r="D189" s="14" t="n">
        <f aca="false">IFERROR(INDEX('Semrush Data'!$C$2:$C$5000,MATCH(B189,'Semrush Data'!$A$2:$A$5000,0)),"")</f>
        <v>30</v>
      </c>
      <c r="E189" s="9" t="n">
        <f aca="false">IFERROR(INDEX('Semrush Data'!$D$2:$D$5000,MATCH(B189,'Semrush Data'!$A$2:$A$5000,0)),"")</f>
        <v>10</v>
      </c>
      <c r="F189" s="15" t="n">
        <f aca="false">IFERROR(INDEX('Semrush Data'!$E$2:$E$5000,MATCH(B189,'Semrush Data'!$A$2:$A$5000,0)),"")</f>
        <v>0</v>
      </c>
      <c r="G189" s="9" t="str">
        <f aca="false">IF(E189="","",IF(E189&lt;=20,"Easier",IF(E189&lt;=35,"Medium","Hard")))</f>
        <v>Easier</v>
      </c>
      <c r="H189" s="9" t="s">
        <v>258</v>
      </c>
    </row>
    <row r="190" customFormat="false" ht="15" hidden="false" customHeight="false" outlineLevel="0" collapsed="false">
      <c r="B190" s="9" t="s">
        <v>274</v>
      </c>
      <c r="C190" s="9" t="s">
        <v>239</v>
      </c>
      <c r="D190" s="14" t="n">
        <f aca="false">IFERROR(INDEX('Semrush Data'!$C$2:$C$5000,MATCH(B190,'Semrush Data'!$A$2:$A$5000,0)),"")</f>
        <v>30</v>
      </c>
      <c r="E190" s="9" t="n">
        <f aca="false">IFERROR(INDEX('Semrush Data'!$D$2:$D$5000,MATCH(B190,'Semrush Data'!$A$2:$A$5000,0)),"")</f>
        <v>16</v>
      </c>
      <c r="F190" s="15" t="n">
        <f aca="false">IFERROR(INDEX('Semrush Data'!$E$2:$E$5000,MATCH(B190,'Semrush Data'!$A$2:$A$5000,0)),"")</f>
        <v>0.33</v>
      </c>
      <c r="G190" s="9" t="str">
        <f aca="false">IF(E190="","",IF(E190&lt;=20,"Easier",IF(E190&lt;=35,"Medium","Hard")))</f>
        <v>Easier</v>
      </c>
      <c r="H190" s="9" t="s">
        <v>240</v>
      </c>
    </row>
    <row r="191" customFormat="false" ht="15" hidden="false" customHeight="false" outlineLevel="0" collapsed="false">
      <c r="B191" s="9" t="s">
        <v>275</v>
      </c>
      <c r="C191" s="9" t="s">
        <v>249</v>
      </c>
      <c r="D191" s="14" t="n">
        <f aca="false">IFERROR(INDEX('Semrush Data'!$C$2:$C$5000,MATCH(B191,'Semrush Data'!$A$2:$A$5000,0)),"")</f>
        <v>30</v>
      </c>
      <c r="E191" s="9" t="n">
        <f aca="false">IFERROR(INDEX('Semrush Data'!$D$2:$D$5000,MATCH(B191,'Semrush Data'!$A$2:$A$5000,0)),"")</f>
        <v>14</v>
      </c>
      <c r="F191" s="15" t="n">
        <f aca="false">IFERROR(INDEX('Semrush Data'!$E$2:$E$5000,MATCH(B191,'Semrush Data'!$A$2:$A$5000,0)),"")</f>
        <v>0</v>
      </c>
      <c r="G191" s="9" t="str">
        <f aca="false">IF(E191="","",IF(E191&lt;=20,"Easier",IF(E191&lt;=35,"Medium","Hard")))</f>
        <v>Easier</v>
      </c>
      <c r="H191" s="9" t="s">
        <v>250</v>
      </c>
    </row>
    <row r="192" customFormat="false" ht="15" hidden="false" customHeight="false" outlineLevel="0" collapsed="false">
      <c r="B192" s="9" t="s">
        <v>276</v>
      </c>
      <c r="C192" s="9" t="s">
        <v>239</v>
      </c>
      <c r="D192" s="14" t="n">
        <f aca="false">IFERROR(INDEX('Semrush Data'!$C$2:$C$5000,MATCH(B192,'Semrush Data'!$A$2:$A$5000,0)),"")</f>
        <v>20</v>
      </c>
      <c r="E192" s="9" t="n">
        <f aca="false">IFERROR(INDEX('Semrush Data'!$D$2:$D$5000,MATCH(B192,'Semrush Data'!$A$2:$A$5000,0)),"")</f>
        <v>7</v>
      </c>
      <c r="F192" s="15" t="n">
        <f aca="false">IFERROR(INDEX('Semrush Data'!$E$2:$E$5000,MATCH(B192,'Semrush Data'!$A$2:$A$5000,0)),"")</f>
        <v>0</v>
      </c>
      <c r="G192" s="9" t="str">
        <f aca="false">IF(E192="","",IF(E192&lt;=20,"Easier",IF(E192&lt;=35,"Medium","Hard")))</f>
        <v>Easier</v>
      </c>
      <c r="H192" s="9" t="s">
        <v>258</v>
      </c>
    </row>
    <row r="193" customFormat="false" ht="15" hidden="false" customHeight="false" outlineLevel="0" collapsed="false">
      <c r="B193" s="9" t="s">
        <v>277</v>
      </c>
      <c r="C193" s="9" t="s">
        <v>239</v>
      </c>
      <c r="D193" s="14" t="n">
        <f aca="false">IFERROR(INDEX('Semrush Data'!$C$2:$C$5000,MATCH(B193,'Semrush Data'!$A$2:$A$5000,0)),"")</f>
        <v>20</v>
      </c>
      <c r="E193" s="9" t="n">
        <f aca="false">IFERROR(INDEX('Semrush Data'!$D$2:$D$5000,MATCH(B193,'Semrush Data'!$A$2:$A$5000,0)),"")</f>
        <v>10</v>
      </c>
      <c r="F193" s="15" t="n">
        <f aca="false">IFERROR(INDEX('Semrush Data'!$E$2:$E$5000,MATCH(B193,'Semrush Data'!$A$2:$A$5000,0)),"")</f>
        <v>0</v>
      </c>
      <c r="G193" s="9" t="str">
        <f aca="false">IF(E193="","",IF(E193&lt;=20,"Easier",IF(E193&lt;=35,"Medium","Hard")))</f>
        <v>Easier</v>
      </c>
      <c r="H193" s="9" t="s">
        <v>258</v>
      </c>
    </row>
    <row r="194" customFormat="false" ht="15" hidden="false" customHeight="false" outlineLevel="0" collapsed="false">
      <c r="B194" s="9" t="s">
        <v>278</v>
      </c>
      <c r="C194" s="9" t="s">
        <v>239</v>
      </c>
      <c r="D194" s="14" t="n">
        <f aca="false">IFERROR(INDEX('Semrush Data'!$C$2:$C$5000,MATCH(B194,'Semrush Data'!$A$2:$A$5000,0)),"")</f>
        <v>20</v>
      </c>
      <c r="E194" s="9" t="n">
        <f aca="false">IFERROR(INDEX('Semrush Data'!$D$2:$D$5000,MATCH(B194,'Semrush Data'!$A$2:$A$5000,0)),"")</f>
        <v>21</v>
      </c>
      <c r="F194" s="15" t="n">
        <f aca="false">IFERROR(INDEX('Semrush Data'!$E$2:$E$5000,MATCH(B194,'Semrush Data'!$A$2:$A$5000,0)),"")</f>
        <v>0</v>
      </c>
      <c r="G194" s="9" t="str">
        <f aca="false">IF(E194="","",IF(E194&lt;=20,"Easier",IF(E194&lt;=35,"Medium","Hard")))</f>
        <v>Medium</v>
      </c>
      <c r="H194" s="9" t="s">
        <v>258</v>
      </c>
    </row>
    <row r="195" customFormat="false" ht="15" hidden="false" customHeight="false" outlineLevel="0" collapsed="false">
      <c r="B195" s="9" t="s">
        <v>279</v>
      </c>
      <c r="C195" s="9" t="s">
        <v>239</v>
      </c>
      <c r="D195" s="14" t="n">
        <f aca="false">IFERROR(INDEX('Semrush Data'!$C$2:$C$5000,MATCH(B195,'Semrush Data'!$A$2:$A$5000,0)),"")</f>
        <v>20</v>
      </c>
      <c r="E195" s="9" t="n">
        <f aca="false">IFERROR(INDEX('Semrush Data'!$D$2:$D$5000,MATCH(B195,'Semrush Data'!$A$2:$A$5000,0)),"")</f>
        <v>12</v>
      </c>
      <c r="F195" s="15" t="n">
        <f aca="false">IFERROR(INDEX('Semrush Data'!$E$2:$E$5000,MATCH(B195,'Semrush Data'!$A$2:$A$5000,0)),"")</f>
        <v>0</v>
      </c>
      <c r="G195" s="9" t="str">
        <f aca="false">IF(E195="","",IF(E195&lt;=20,"Easier",IF(E195&lt;=35,"Medium","Hard")))</f>
        <v>Easier</v>
      </c>
      <c r="H195" s="9" t="s">
        <v>258</v>
      </c>
    </row>
    <row r="196" customFormat="false" ht="15" hidden="false" customHeight="false" outlineLevel="0" collapsed="false">
      <c r="B196" s="9" t="s">
        <v>280</v>
      </c>
      <c r="C196" s="9" t="s">
        <v>239</v>
      </c>
      <c r="D196" s="14" t="n">
        <f aca="false">IFERROR(INDEX('Semrush Data'!$C$2:$C$5000,MATCH(B196,'Semrush Data'!$A$2:$A$5000,0)),"")</f>
        <v>20</v>
      </c>
      <c r="E196" s="9" t="n">
        <f aca="false">IFERROR(INDEX('Semrush Data'!$D$2:$D$5000,MATCH(B196,'Semrush Data'!$A$2:$A$5000,0)),"")</f>
        <v>5</v>
      </c>
      <c r="F196" s="15" t="n">
        <f aca="false">IFERROR(INDEX('Semrush Data'!$E$2:$E$5000,MATCH(B196,'Semrush Data'!$A$2:$A$5000,0)),"")</f>
        <v>0.48</v>
      </c>
      <c r="G196" s="9" t="str">
        <f aca="false">IF(E196="","",IF(E196&lt;=20,"Easier",IF(E196&lt;=35,"Medium","Hard")))</f>
        <v>Easier</v>
      </c>
      <c r="H196" s="9" t="s">
        <v>258</v>
      </c>
    </row>
    <row r="197" customFormat="false" ht="15" hidden="false" customHeight="false" outlineLevel="0" collapsed="false">
      <c r="B197" s="9" t="s">
        <v>281</v>
      </c>
      <c r="C197" s="9" t="s">
        <v>239</v>
      </c>
      <c r="D197" s="14" t="n">
        <f aca="false">IFERROR(INDEX('Semrush Data'!$C$2:$C$5000,MATCH(B197,'Semrush Data'!$A$2:$A$5000,0)),"")</f>
        <v>20</v>
      </c>
      <c r="E197" s="9" t="n">
        <f aca="false">IFERROR(INDEX('Semrush Data'!$D$2:$D$5000,MATCH(B197,'Semrush Data'!$A$2:$A$5000,0)),"")</f>
        <v>12</v>
      </c>
      <c r="F197" s="15" t="n">
        <f aca="false">IFERROR(INDEX('Semrush Data'!$E$2:$E$5000,MATCH(B197,'Semrush Data'!$A$2:$A$5000,0)),"")</f>
        <v>0</v>
      </c>
      <c r="G197" s="9" t="str">
        <f aca="false">IF(E197="","",IF(E197&lt;=20,"Easier",IF(E197&lt;=35,"Medium","Hard")))</f>
        <v>Easier</v>
      </c>
      <c r="H197" s="9" t="s">
        <v>258</v>
      </c>
    </row>
    <row r="198" customFormat="false" ht="15" hidden="false" customHeight="false" outlineLevel="0" collapsed="false">
      <c r="B198" s="9" t="s">
        <v>282</v>
      </c>
      <c r="C198" s="9" t="s">
        <v>239</v>
      </c>
      <c r="D198" s="14" t="n">
        <f aca="false">IFERROR(INDEX('Semrush Data'!$C$2:$C$5000,MATCH(B198,'Semrush Data'!$A$2:$A$5000,0)),"")</f>
        <v>20</v>
      </c>
      <c r="E198" s="9" t="n">
        <f aca="false">IFERROR(INDEX('Semrush Data'!$D$2:$D$5000,MATCH(B198,'Semrush Data'!$A$2:$A$5000,0)),"")</f>
        <v>1</v>
      </c>
      <c r="F198" s="15" t="n">
        <f aca="false">IFERROR(INDEX('Semrush Data'!$E$2:$E$5000,MATCH(B198,'Semrush Data'!$A$2:$A$5000,0)),"")</f>
        <v>0</v>
      </c>
      <c r="G198" s="9" t="str">
        <f aca="false">IF(E198="","",IF(E198&lt;=20,"Easier",IF(E198&lt;=35,"Medium","Hard")))</f>
        <v>Easier</v>
      </c>
      <c r="H198" s="9" t="s">
        <v>258</v>
      </c>
    </row>
    <row r="199" customFormat="false" ht="15" hidden="false" customHeight="false" outlineLevel="0" collapsed="false">
      <c r="B199" s="9" t="s">
        <v>283</v>
      </c>
      <c r="C199" s="9" t="s">
        <v>239</v>
      </c>
      <c r="D199" s="14" t="n">
        <f aca="false">IFERROR(INDEX('Semrush Data'!$C$2:$C$5000,MATCH(B199,'Semrush Data'!$A$2:$A$5000,0)),"")</f>
        <v>20</v>
      </c>
      <c r="E199" s="9" t="n">
        <f aca="false">IFERROR(INDEX('Semrush Data'!$D$2:$D$5000,MATCH(B199,'Semrush Data'!$A$2:$A$5000,0)),"")</f>
        <v>13</v>
      </c>
      <c r="F199" s="15" t="n">
        <f aca="false">IFERROR(INDEX('Semrush Data'!$E$2:$E$5000,MATCH(B199,'Semrush Data'!$A$2:$A$5000,0)),"")</f>
        <v>0</v>
      </c>
      <c r="G199" s="9" t="str">
        <f aca="false">IF(E199="","",IF(E199&lt;=20,"Easier",IF(E199&lt;=35,"Medium","Hard")))</f>
        <v>Easier</v>
      </c>
      <c r="H199" s="9" t="s">
        <v>258</v>
      </c>
    </row>
    <row r="200" customFormat="false" ht="15" hidden="false" customHeight="false" outlineLevel="0" collapsed="false">
      <c r="B200" s="9" t="s">
        <v>284</v>
      </c>
      <c r="C200" s="9" t="s">
        <v>239</v>
      </c>
      <c r="D200" s="14" t="n">
        <f aca="false">IFERROR(INDEX('Semrush Data'!$C$2:$C$5000,MATCH(B200,'Semrush Data'!$A$2:$A$5000,0)),"")</f>
        <v>20</v>
      </c>
      <c r="E200" s="9" t="n">
        <f aca="false">IFERROR(INDEX('Semrush Data'!$D$2:$D$5000,MATCH(B200,'Semrush Data'!$A$2:$A$5000,0)),"")</f>
        <v>6</v>
      </c>
      <c r="F200" s="15" t="n">
        <f aca="false">IFERROR(INDEX('Semrush Data'!$E$2:$E$5000,MATCH(B200,'Semrush Data'!$A$2:$A$5000,0)),"")</f>
        <v>0</v>
      </c>
      <c r="G200" s="9" t="str">
        <f aca="false">IF(E200="","",IF(E200&lt;=20,"Easier",IF(E200&lt;=35,"Medium","Hard")))</f>
        <v>Easier</v>
      </c>
      <c r="H200" s="9" t="s">
        <v>258</v>
      </c>
    </row>
    <row r="201" customFormat="false" ht="15" hidden="false" customHeight="false" outlineLevel="0" collapsed="false">
      <c r="B201" s="9" t="s">
        <v>285</v>
      </c>
      <c r="C201" s="9" t="s">
        <v>239</v>
      </c>
      <c r="D201" s="14" t="n">
        <f aca="false">IFERROR(INDEX('Semrush Data'!$C$2:$C$5000,MATCH(B201,'Semrush Data'!$A$2:$A$5000,0)),"")</f>
        <v>20</v>
      </c>
      <c r="E201" s="9" t="n">
        <f aca="false">IFERROR(INDEX('Semrush Data'!$D$2:$D$5000,MATCH(B201,'Semrush Data'!$A$2:$A$5000,0)),"")</f>
        <v>25</v>
      </c>
      <c r="F201" s="15" t="n">
        <f aca="false">IFERROR(INDEX('Semrush Data'!$E$2:$E$5000,MATCH(B201,'Semrush Data'!$A$2:$A$5000,0)),"")</f>
        <v>0</v>
      </c>
      <c r="G201" s="9" t="str">
        <f aca="false">IF(E201="","",IF(E201&lt;=20,"Easier",IF(E201&lt;=35,"Medium","Hard")))</f>
        <v>Medium</v>
      </c>
      <c r="H201" s="9" t="s">
        <v>258</v>
      </c>
    </row>
    <row r="202" customFormat="false" ht="15" hidden="false" customHeight="false" outlineLevel="0" collapsed="false">
      <c r="B202" s="9" t="s">
        <v>286</v>
      </c>
      <c r="C202" s="9" t="s">
        <v>239</v>
      </c>
      <c r="D202" s="14" t="n">
        <f aca="false">IFERROR(INDEX('Semrush Data'!$C$2:$C$5000,MATCH(B202,'Semrush Data'!$A$2:$A$5000,0)),"")</f>
        <v>20</v>
      </c>
      <c r="E202" s="9" t="n">
        <f aca="false">IFERROR(INDEX('Semrush Data'!$D$2:$D$5000,MATCH(B202,'Semrush Data'!$A$2:$A$5000,0)),"")</f>
        <v>13</v>
      </c>
      <c r="F202" s="15" t="n">
        <f aca="false">IFERROR(INDEX('Semrush Data'!$E$2:$E$5000,MATCH(B202,'Semrush Data'!$A$2:$A$5000,0)),"")</f>
        <v>0</v>
      </c>
      <c r="G202" s="9" t="str">
        <f aca="false">IF(E202="","",IF(E202&lt;=20,"Easier",IF(E202&lt;=35,"Medium","Hard")))</f>
        <v>Easier</v>
      </c>
      <c r="H202" s="9" t="s">
        <v>258</v>
      </c>
    </row>
    <row r="203" customFormat="false" ht="15" hidden="false" customHeight="false" outlineLevel="0" collapsed="false">
      <c r="B203" s="9" t="s">
        <v>287</v>
      </c>
      <c r="C203" s="9" t="s">
        <v>239</v>
      </c>
      <c r="D203" s="14" t="n">
        <f aca="false">IFERROR(INDEX('Semrush Data'!$C$2:$C$5000,MATCH(B203,'Semrush Data'!$A$2:$A$5000,0)),"")</f>
        <v>20</v>
      </c>
      <c r="E203" s="9" t="n">
        <f aca="false">IFERROR(INDEX('Semrush Data'!$D$2:$D$5000,MATCH(B203,'Semrush Data'!$A$2:$A$5000,0)),"")</f>
        <v>9</v>
      </c>
      <c r="F203" s="15" t="n">
        <f aca="false">IFERROR(INDEX('Semrush Data'!$E$2:$E$5000,MATCH(B203,'Semrush Data'!$A$2:$A$5000,0)),"")</f>
        <v>1.11</v>
      </c>
      <c r="G203" s="9" t="str">
        <f aca="false">IF(E203="","",IF(E203&lt;=20,"Easier",IF(E203&lt;=35,"Medium","Hard")))</f>
        <v>Easier</v>
      </c>
      <c r="H203" s="9" t="s">
        <v>240</v>
      </c>
    </row>
    <row r="204" customFormat="false" ht="15" hidden="false" customHeight="false" outlineLevel="0" collapsed="false">
      <c r="B204" s="9" t="s">
        <v>288</v>
      </c>
      <c r="C204" s="9" t="s">
        <v>239</v>
      </c>
      <c r="D204" s="14" t="n">
        <f aca="false">IFERROR(INDEX('Semrush Data'!$C$2:$C$5000,MATCH(B204,'Semrush Data'!$A$2:$A$5000,0)),"")</f>
        <v>20</v>
      </c>
      <c r="E204" s="9" t="n">
        <f aca="false">IFERROR(INDEX('Semrush Data'!$D$2:$D$5000,MATCH(B204,'Semrush Data'!$A$2:$A$5000,0)),"")</f>
        <v>19</v>
      </c>
      <c r="F204" s="15" t="n">
        <f aca="false">IFERROR(INDEX('Semrush Data'!$E$2:$E$5000,MATCH(B204,'Semrush Data'!$A$2:$A$5000,0)),"")</f>
        <v>0</v>
      </c>
      <c r="G204" s="9" t="str">
        <f aca="false">IF(E204="","",IF(E204&lt;=20,"Easier",IF(E204&lt;=35,"Medium","Hard")))</f>
        <v>Easier</v>
      </c>
      <c r="H204" s="9" t="s">
        <v>258</v>
      </c>
    </row>
    <row r="205" customFormat="false" ht="15" hidden="false" customHeight="false" outlineLevel="0" collapsed="false">
      <c r="B205" s="9" t="s">
        <v>289</v>
      </c>
      <c r="C205" s="9" t="s">
        <v>239</v>
      </c>
      <c r="D205" s="14" t="n">
        <f aca="false">IFERROR(INDEX('Semrush Data'!$C$2:$C$5000,MATCH(B205,'Semrush Data'!$A$2:$A$5000,0)),"")</f>
        <v>20</v>
      </c>
      <c r="E205" s="9" t="n">
        <f aca="false">IFERROR(INDEX('Semrush Data'!$D$2:$D$5000,MATCH(B205,'Semrush Data'!$A$2:$A$5000,0)),"")</f>
        <v>12</v>
      </c>
      <c r="F205" s="15" t="n">
        <f aca="false">IFERROR(INDEX('Semrush Data'!$E$2:$E$5000,MATCH(B205,'Semrush Data'!$A$2:$A$5000,0)),"")</f>
        <v>0</v>
      </c>
      <c r="G205" s="9" t="str">
        <f aca="false">IF(E205="","",IF(E205&lt;=20,"Easier",IF(E205&lt;=35,"Medium","Hard")))</f>
        <v>Easier</v>
      </c>
      <c r="H205" s="9" t="s">
        <v>258</v>
      </c>
    </row>
    <row r="206" customFormat="false" ht="15" hidden="false" customHeight="false" outlineLevel="0" collapsed="false">
      <c r="B206" s="9" t="s">
        <v>290</v>
      </c>
      <c r="C206" s="9" t="s">
        <v>239</v>
      </c>
      <c r="D206" s="14" t="n">
        <f aca="false">IFERROR(INDEX('Semrush Data'!$C$2:$C$5000,MATCH(B206,'Semrush Data'!$A$2:$A$5000,0)),"")</f>
        <v>20</v>
      </c>
      <c r="E206" s="9" t="n">
        <f aca="false">IFERROR(INDEX('Semrush Data'!$D$2:$D$5000,MATCH(B206,'Semrush Data'!$A$2:$A$5000,0)),"")</f>
        <v>9</v>
      </c>
      <c r="F206" s="15" t="n">
        <f aca="false">IFERROR(INDEX('Semrush Data'!$E$2:$E$5000,MATCH(B206,'Semrush Data'!$A$2:$A$5000,0)),"")</f>
        <v>0</v>
      </c>
      <c r="G206" s="9" t="str">
        <f aca="false">IF(E206="","",IF(E206&lt;=20,"Easier",IF(E206&lt;=35,"Medium","Hard")))</f>
        <v>Easier</v>
      </c>
      <c r="H206" s="9" t="s">
        <v>258</v>
      </c>
    </row>
    <row r="207" customFormat="false" ht="15" hidden="false" customHeight="false" outlineLevel="0" collapsed="false">
      <c r="B207" s="9" t="s">
        <v>291</v>
      </c>
      <c r="C207" s="9" t="s">
        <v>239</v>
      </c>
      <c r="D207" s="14" t="n">
        <f aca="false">IFERROR(INDEX('Semrush Data'!$C$2:$C$5000,MATCH(B207,'Semrush Data'!$A$2:$A$5000,0)),"")</f>
        <v>20</v>
      </c>
      <c r="E207" s="9" t="n">
        <f aca="false">IFERROR(INDEX('Semrush Data'!$D$2:$D$5000,MATCH(B207,'Semrush Data'!$A$2:$A$5000,0)),"")</f>
        <v>13</v>
      </c>
      <c r="F207" s="15" t="n">
        <f aca="false">IFERROR(INDEX('Semrush Data'!$E$2:$E$5000,MATCH(B207,'Semrush Data'!$A$2:$A$5000,0)),"")</f>
        <v>0.24</v>
      </c>
      <c r="G207" s="9" t="str">
        <f aca="false">IF(E207="","",IF(E207&lt;=20,"Easier",IF(E207&lt;=35,"Medium","Hard")))</f>
        <v>Easier</v>
      </c>
      <c r="H207" s="9" t="s">
        <v>240</v>
      </c>
    </row>
    <row r="208" customFormat="false" ht="15" hidden="false" customHeight="false" outlineLevel="0" collapsed="false">
      <c r="B208" s="9" t="s">
        <v>292</v>
      </c>
      <c r="C208" s="9" t="s">
        <v>239</v>
      </c>
      <c r="D208" s="14" t="n">
        <f aca="false">IFERROR(INDEX('Semrush Data'!$C$2:$C$5000,MATCH(B208,'Semrush Data'!$A$2:$A$5000,0)),"")</f>
        <v>20</v>
      </c>
      <c r="E208" s="9" t="n">
        <f aca="false">IFERROR(INDEX('Semrush Data'!$D$2:$D$5000,MATCH(B208,'Semrush Data'!$A$2:$A$5000,0)),"")</f>
        <v>12</v>
      </c>
      <c r="F208" s="15" t="n">
        <f aca="false">IFERROR(INDEX('Semrush Data'!$E$2:$E$5000,MATCH(B208,'Semrush Data'!$A$2:$A$5000,0)),"")</f>
        <v>0</v>
      </c>
      <c r="G208" s="9" t="str">
        <f aca="false">IF(E208="","",IF(E208&lt;=20,"Easier",IF(E208&lt;=35,"Medium","Hard")))</f>
        <v>Easier</v>
      </c>
      <c r="H208" s="9" t="s">
        <v>258</v>
      </c>
    </row>
    <row r="210" customFormat="false" ht="16.15" hidden="false" customHeight="false" outlineLevel="0" collapsed="false">
      <c r="A210" s="7" t="s">
        <v>293</v>
      </c>
    </row>
    <row r="211" customFormat="false" ht="15" hidden="false" customHeight="false" outlineLevel="0" collapsed="false">
      <c r="A211" s="8" t="s">
        <v>294</v>
      </c>
    </row>
    <row r="212" customFormat="false" ht="15" hidden="false" customHeight="false" outlineLevel="0" collapsed="false">
      <c r="A212" s="12"/>
      <c r="B212" s="12" t="s">
        <v>151</v>
      </c>
      <c r="C212" s="12" t="s">
        <v>152</v>
      </c>
      <c r="D212" s="12" t="s">
        <v>43</v>
      </c>
      <c r="E212" s="12" t="s">
        <v>44</v>
      </c>
      <c r="F212" s="12" t="s">
        <v>45</v>
      </c>
      <c r="G212" s="12" t="s">
        <v>46</v>
      </c>
      <c r="H212" s="12" t="s">
        <v>47</v>
      </c>
    </row>
    <row r="213" customFormat="false" ht="15" hidden="false" customHeight="false" outlineLevel="0" collapsed="false">
      <c r="B213" s="9" t="s">
        <v>295</v>
      </c>
      <c r="C213" s="9" t="s">
        <v>296</v>
      </c>
      <c r="D213" s="14" t="n">
        <f aca="false">IFERROR(INDEX('Semrush Data'!$C$2:$C$5000,MATCH(B213,'Semrush Data'!$A$2:$A$5000,0)),"")</f>
        <v>480</v>
      </c>
      <c r="E213" s="9" t="n">
        <f aca="false">IFERROR(INDEX('Semrush Data'!$D$2:$D$5000,MATCH(B213,'Semrush Data'!$A$2:$A$5000,0)),"")</f>
        <v>12</v>
      </c>
      <c r="F213" s="15" t="n">
        <f aca="false">IFERROR(INDEX('Semrush Data'!$E$2:$E$5000,MATCH(B213,'Semrush Data'!$A$2:$A$5000,0)),"")</f>
        <v>1.03</v>
      </c>
      <c r="G213" s="9" t="str">
        <f aca="false">IF(E213="","",IF(E213&lt;=20,"Easier",IF(E213&lt;=35,"Medium","Hard")))</f>
        <v>Easier</v>
      </c>
      <c r="H213" s="9" t="s">
        <v>297</v>
      </c>
    </row>
    <row r="214" customFormat="false" ht="15" hidden="false" customHeight="false" outlineLevel="0" collapsed="false">
      <c r="B214" s="9" t="s">
        <v>298</v>
      </c>
      <c r="C214" s="9" t="s">
        <v>299</v>
      </c>
      <c r="D214" s="14" t="n">
        <f aca="false">IFERROR(INDEX('Semrush Data'!$C$2:$C$5000,MATCH(B214,'Semrush Data'!$A$2:$A$5000,0)),"")</f>
        <v>390</v>
      </c>
      <c r="E214" s="9" t="n">
        <f aca="false">IFERROR(INDEX('Semrush Data'!$D$2:$D$5000,MATCH(B214,'Semrush Data'!$A$2:$A$5000,0)),"")</f>
        <v>17</v>
      </c>
      <c r="F214" s="15" t="n">
        <f aca="false">IFERROR(INDEX('Semrush Data'!$E$2:$E$5000,MATCH(B214,'Semrush Data'!$A$2:$A$5000,0)),"")</f>
        <v>0.7</v>
      </c>
      <c r="G214" s="9" t="str">
        <f aca="false">IF(E214="","",IF(E214&lt;=20,"Easier",IF(E214&lt;=35,"Medium","Hard")))</f>
        <v>Easier</v>
      </c>
      <c r="H214" s="9" t="s">
        <v>300</v>
      </c>
    </row>
    <row r="215" customFormat="false" ht="15" hidden="false" customHeight="false" outlineLevel="0" collapsed="false">
      <c r="B215" s="9" t="s">
        <v>301</v>
      </c>
      <c r="C215" s="9" t="s">
        <v>296</v>
      </c>
      <c r="D215" s="14" t="n">
        <f aca="false">IFERROR(INDEX('Semrush Data'!$C$2:$C$5000,MATCH(B215,'Semrush Data'!$A$2:$A$5000,0)),"")</f>
        <v>140</v>
      </c>
      <c r="E215" s="9" t="n">
        <f aca="false">IFERROR(INDEX('Semrush Data'!$D$2:$D$5000,MATCH(B215,'Semrush Data'!$A$2:$A$5000,0)),"")</f>
        <v>28</v>
      </c>
      <c r="F215" s="15" t="n">
        <f aca="false">IFERROR(INDEX('Semrush Data'!$E$2:$E$5000,MATCH(B215,'Semrush Data'!$A$2:$A$5000,0)),"")</f>
        <v>0.3</v>
      </c>
      <c r="G215" s="9" t="str">
        <f aca="false">IF(E215="","",IF(E215&lt;=20,"Easier",IF(E215&lt;=35,"Medium","Hard")))</f>
        <v>Medium</v>
      </c>
      <c r="H215" s="9" t="s">
        <v>297</v>
      </c>
    </row>
    <row r="216" customFormat="false" ht="15" hidden="false" customHeight="false" outlineLevel="0" collapsed="false">
      <c r="B216" s="9" t="s">
        <v>302</v>
      </c>
      <c r="C216" s="9" t="s">
        <v>299</v>
      </c>
      <c r="D216" s="14" t="n">
        <f aca="false">IFERROR(INDEX('Semrush Data'!$C$2:$C$5000,MATCH(B216,'Semrush Data'!$A$2:$A$5000,0)),"")</f>
        <v>90</v>
      </c>
      <c r="E216" s="9" t="n">
        <f aca="false">IFERROR(INDEX('Semrush Data'!$D$2:$D$5000,MATCH(B216,'Semrush Data'!$A$2:$A$5000,0)),"")</f>
        <v>36</v>
      </c>
      <c r="F216" s="15" t="n">
        <f aca="false">IFERROR(INDEX('Semrush Data'!$E$2:$E$5000,MATCH(B216,'Semrush Data'!$A$2:$A$5000,0)),"")</f>
        <v>1.14</v>
      </c>
      <c r="G216" s="9" t="str">
        <f aca="false">IF(E216="","",IF(E216&lt;=20,"Easier",IF(E216&lt;=35,"Medium","Hard")))</f>
        <v>Hard</v>
      </c>
      <c r="H216" s="9" t="s">
        <v>297</v>
      </c>
    </row>
    <row r="217" customFormat="false" ht="15" hidden="false" customHeight="false" outlineLevel="0" collapsed="false">
      <c r="B217" s="9" t="s">
        <v>303</v>
      </c>
      <c r="C217" s="9" t="s">
        <v>299</v>
      </c>
      <c r="D217" s="14" t="n">
        <f aca="false">IFERROR(INDEX('Semrush Data'!$C$2:$C$5000,MATCH(B217,'Semrush Data'!$A$2:$A$5000,0)),"")</f>
        <v>70</v>
      </c>
      <c r="E217" s="9" t="n">
        <f aca="false">IFERROR(INDEX('Semrush Data'!$D$2:$D$5000,MATCH(B217,'Semrush Data'!$A$2:$A$5000,0)),"")</f>
        <v>29</v>
      </c>
      <c r="F217" s="15" t="n">
        <f aca="false">IFERROR(INDEX('Semrush Data'!$E$2:$E$5000,MATCH(B217,'Semrush Data'!$A$2:$A$5000,0)),"")</f>
        <v>0.62</v>
      </c>
      <c r="G217" s="9" t="str">
        <f aca="false">IF(E217="","",IF(E217&lt;=20,"Easier",IF(E217&lt;=35,"Medium","Hard")))</f>
        <v>Medium</v>
      </c>
      <c r="H217" s="9" t="s">
        <v>297</v>
      </c>
    </row>
    <row r="218" customFormat="false" ht="15" hidden="false" customHeight="false" outlineLevel="0" collapsed="false">
      <c r="B218" s="9" t="s">
        <v>304</v>
      </c>
      <c r="C218" s="9" t="s">
        <v>296</v>
      </c>
      <c r="D218" s="14" t="n">
        <f aca="false">IFERROR(INDEX('Semrush Data'!$C$2:$C$5000,MATCH(B218,'Semrush Data'!$A$2:$A$5000,0)),"")</f>
        <v>30</v>
      </c>
      <c r="E218" s="9" t="n">
        <f aca="false">IFERROR(INDEX('Semrush Data'!$D$2:$D$5000,MATCH(B218,'Semrush Data'!$A$2:$A$5000,0)),"")</f>
        <v>9</v>
      </c>
      <c r="F218" s="15" t="n">
        <f aca="false">IFERROR(INDEX('Semrush Data'!$E$2:$E$5000,MATCH(B218,'Semrush Data'!$A$2:$A$5000,0)),"")</f>
        <v>0.78</v>
      </c>
      <c r="G218" s="9" t="str">
        <f aca="false">IF(E218="","",IF(E218&lt;=20,"Easier",IF(E218&lt;=35,"Medium","Hard")))</f>
        <v>Easier</v>
      </c>
      <c r="H218" s="9" t="s">
        <v>297</v>
      </c>
    </row>
    <row r="219" customFormat="false" ht="15" hidden="false" customHeight="false" outlineLevel="0" collapsed="false">
      <c r="B219" s="9" t="s">
        <v>305</v>
      </c>
      <c r="C219" s="9" t="s">
        <v>299</v>
      </c>
      <c r="D219" s="14" t="n">
        <f aca="false">IFERROR(INDEX('Semrush Data'!$C$2:$C$5000,MATCH(B219,'Semrush Data'!$A$2:$A$5000,0)),"")</f>
        <v>30</v>
      </c>
      <c r="E219" s="9" t="n">
        <f aca="false">IFERROR(INDEX('Semrush Data'!$D$2:$D$5000,MATCH(B219,'Semrush Data'!$A$2:$A$5000,0)),"")</f>
        <v>24</v>
      </c>
      <c r="F219" s="15" t="n">
        <f aca="false">IFERROR(INDEX('Semrush Data'!$E$2:$E$5000,MATCH(B219,'Semrush Data'!$A$2:$A$5000,0)),"")</f>
        <v>0</v>
      </c>
      <c r="G219" s="9" t="str">
        <f aca="false">IF(E219="","",IF(E219&lt;=20,"Easier",IF(E219&lt;=35,"Medium","Hard")))</f>
        <v>Medium</v>
      </c>
      <c r="H219" s="9" t="s">
        <v>300</v>
      </c>
    </row>
    <row r="220" customFormat="false" ht="15" hidden="false" customHeight="false" outlineLevel="0" collapsed="false">
      <c r="B220" s="9" t="s">
        <v>306</v>
      </c>
      <c r="C220" s="9" t="s">
        <v>296</v>
      </c>
      <c r="D220" s="14" t="n">
        <f aca="false">IFERROR(INDEX('Semrush Data'!$C$2:$C$5000,MATCH(B220,'Semrush Data'!$A$2:$A$5000,0)),"")</f>
        <v>20</v>
      </c>
      <c r="E220" s="9" t="n">
        <f aca="false">IFERROR(INDEX('Semrush Data'!$D$2:$D$5000,MATCH(B220,'Semrush Data'!$A$2:$A$5000,0)),"")</f>
        <v>12</v>
      </c>
      <c r="F220" s="15" t="n">
        <f aca="false">IFERROR(INDEX('Semrush Data'!$E$2:$E$5000,MATCH(B220,'Semrush Data'!$A$2:$A$5000,0)),"")</f>
        <v>0</v>
      </c>
      <c r="G220" s="9" t="str">
        <f aca="false">IF(E220="","",IF(E220&lt;=20,"Easier",IF(E220&lt;=35,"Medium","Hard")))</f>
        <v>Easier</v>
      </c>
      <c r="H220" s="9" t="s">
        <v>297</v>
      </c>
    </row>
    <row r="221" customFormat="false" ht="15" hidden="false" customHeight="false" outlineLevel="0" collapsed="false">
      <c r="B221" s="9" t="s">
        <v>307</v>
      </c>
      <c r="C221" s="9" t="s">
        <v>296</v>
      </c>
      <c r="D221" s="14" t="n">
        <f aca="false">IFERROR(INDEX('Semrush Data'!$C$2:$C$5000,MATCH(B221,'Semrush Data'!$A$2:$A$5000,0)),"")</f>
        <v>20</v>
      </c>
      <c r="E221" s="9" t="n">
        <f aca="false">IFERROR(INDEX('Semrush Data'!$D$2:$D$5000,MATCH(B221,'Semrush Data'!$A$2:$A$5000,0)),"")</f>
        <v>33</v>
      </c>
      <c r="F221" s="15" t="n">
        <f aca="false">IFERROR(INDEX('Semrush Data'!$E$2:$E$5000,MATCH(B221,'Semrush Data'!$A$2:$A$5000,0)),"")</f>
        <v>0</v>
      </c>
      <c r="G221" s="9" t="str">
        <f aca="false">IF(E221="","",IF(E221&lt;=20,"Easier",IF(E221&lt;=35,"Medium","Hard")))</f>
        <v>Medium</v>
      </c>
      <c r="H221" s="9" t="s">
        <v>297</v>
      </c>
    </row>
    <row r="222" customFormat="false" ht="15" hidden="false" customHeight="false" outlineLevel="0" collapsed="false">
      <c r="B222" s="9" t="s">
        <v>308</v>
      </c>
      <c r="C222" s="9" t="s">
        <v>296</v>
      </c>
      <c r="D222" s="14" t="n">
        <f aca="false">IFERROR(INDEX('Semrush Data'!$C$2:$C$5000,MATCH(B222,'Semrush Data'!$A$2:$A$5000,0)),"")</f>
        <v>20</v>
      </c>
      <c r="E222" s="9" t="n">
        <f aca="false">IFERROR(INDEX('Semrush Data'!$D$2:$D$5000,MATCH(B222,'Semrush Data'!$A$2:$A$5000,0)),"")</f>
        <v>26</v>
      </c>
      <c r="F222" s="15" t="n">
        <f aca="false">IFERROR(INDEX('Semrush Data'!$E$2:$E$5000,MATCH(B222,'Semrush Data'!$A$2:$A$5000,0)),"")</f>
        <v>0.36</v>
      </c>
      <c r="G222" s="9" t="str">
        <f aca="false">IF(E222="","",IF(E222&lt;=20,"Easier",IF(E222&lt;=35,"Medium","Hard")))</f>
        <v>Medium</v>
      </c>
      <c r="H222" s="9" t="s">
        <v>297</v>
      </c>
    </row>
    <row r="223" customFormat="false" ht="15" hidden="false" customHeight="false" outlineLevel="0" collapsed="false">
      <c r="B223" s="9" t="s">
        <v>309</v>
      </c>
      <c r="C223" s="9" t="s">
        <v>299</v>
      </c>
      <c r="D223" s="14" t="n">
        <f aca="false">IFERROR(INDEX('Semrush Data'!$C$2:$C$5000,MATCH(B223,'Semrush Data'!$A$2:$A$5000,0)),"")</f>
        <v>20</v>
      </c>
      <c r="E223" s="9" t="n">
        <f aca="false">IFERROR(INDEX('Semrush Data'!$D$2:$D$5000,MATCH(B223,'Semrush Data'!$A$2:$A$5000,0)),"")</f>
        <v>14</v>
      </c>
      <c r="F223" s="15" t="n">
        <f aca="false">IFERROR(INDEX('Semrush Data'!$E$2:$E$5000,MATCH(B223,'Semrush Data'!$A$2:$A$5000,0)),"")</f>
        <v>0</v>
      </c>
      <c r="G223" s="9" t="str">
        <f aca="false">IF(E223="","",IF(E223&lt;=20,"Easier",IF(E223&lt;=35,"Medium","Hard")))</f>
        <v>Easier</v>
      </c>
      <c r="H223" s="9" t="s">
        <v>300</v>
      </c>
    </row>
    <row r="224" customFormat="false" ht="15" hidden="false" customHeight="false" outlineLevel="0" collapsed="false">
      <c r="B224" s="9" t="s">
        <v>310</v>
      </c>
      <c r="C224" s="9" t="s">
        <v>299</v>
      </c>
      <c r="D224" s="14" t="n">
        <f aca="false">IFERROR(INDEX('Semrush Data'!$C$2:$C$5000,MATCH(B224,'Semrush Data'!$A$2:$A$5000,0)),"")</f>
        <v>20</v>
      </c>
      <c r="E224" s="9" t="n">
        <f aca="false">IFERROR(INDEX('Semrush Data'!$D$2:$D$5000,MATCH(B224,'Semrush Data'!$A$2:$A$5000,0)),"")</f>
        <v>9</v>
      </c>
      <c r="F224" s="15" t="n">
        <f aca="false">IFERROR(INDEX('Semrush Data'!$E$2:$E$5000,MATCH(B224,'Semrush Data'!$A$2:$A$5000,0)),"")</f>
        <v>0</v>
      </c>
      <c r="G224" s="9" t="str">
        <f aca="false">IF(E224="","",IF(E224&lt;=20,"Easier",IF(E224&lt;=35,"Medium","Hard")))</f>
        <v>Easier</v>
      </c>
      <c r="H224" s="9" t="s">
        <v>300</v>
      </c>
    </row>
    <row r="225" customFormat="false" ht="15" hidden="false" customHeight="false" outlineLevel="0" collapsed="false">
      <c r="B225" s="9" t="s">
        <v>311</v>
      </c>
      <c r="C225" s="9" t="s">
        <v>299</v>
      </c>
      <c r="D225" s="14" t="n">
        <f aca="false">IFERROR(INDEX('Semrush Data'!$C$2:$C$5000,MATCH(B225,'Semrush Data'!$A$2:$A$5000,0)),"")</f>
        <v>20</v>
      </c>
      <c r="E225" s="9" t="n">
        <f aca="false">IFERROR(INDEX('Semrush Data'!$D$2:$D$5000,MATCH(B225,'Semrush Data'!$A$2:$A$5000,0)),"")</f>
        <v>26</v>
      </c>
      <c r="F225" s="15" t="n">
        <f aca="false">IFERROR(INDEX('Semrush Data'!$E$2:$E$5000,MATCH(B225,'Semrush Data'!$A$2:$A$5000,0)),"")</f>
        <v>0.42</v>
      </c>
      <c r="G225" s="9" t="str">
        <f aca="false">IF(E225="","",IF(E225&lt;=20,"Easier",IF(E225&lt;=35,"Medium","Hard")))</f>
        <v>Medium</v>
      </c>
      <c r="H225" s="9" t="s">
        <v>300</v>
      </c>
    </row>
    <row r="226" customFormat="false" ht="15" hidden="false" customHeight="false" outlineLevel="0" collapsed="false">
      <c r="B226" s="9" t="s">
        <v>312</v>
      </c>
      <c r="C226" s="9" t="s">
        <v>299</v>
      </c>
      <c r="D226" s="14" t="n">
        <f aca="false">IFERROR(INDEX('Semrush Data'!$C$2:$C$5000,MATCH(B226,'Semrush Data'!$A$2:$A$5000,0)),"")</f>
        <v>10</v>
      </c>
      <c r="E226" s="9" t="n">
        <f aca="false">IFERROR(INDEX('Semrush Data'!$D$2:$D$5000,MATCH(B226,'Semrush Data'!$A$2:$A$5000,0)),"")</f>
        <v>15</v>
      </c>
      <c r="F226" s="15" t="n">
        <f aca="false">IFERROR(INDEX('Semrush Data'!$E$2:$E$5000,MATCH(B226,'Semrush Data'!$A$2:$A$5000,0)),"")</f>
        <v>0</v>
      </c>
      <c r="G226" s="9" t="str">
        <f aca="false">IF(E226="","",IF(E226&lt;=20,"Easier",IF(E226&lt;=35,"Medium","Hard")))</f>
        <v>Easier</v>
      </c>
      <c r="H226" s="9" t="s">
        <v>300</v>
      </c>
    </row>
    <row r="228" customFormat="false" ht="16.15" hidden="false" customHeight="false" outlineLevel="0" collapsed="false">
      <c r="A228" s="7" t="s">
        <v>313</v>
      </c>
    </row>
    <row r="229" customFormat="false" ht="15" hidden="false" customHeight="false" outlineLevel="0" collapsed="false">
      <c r="A229" s="8" t="s">
        <v>314</v>
      </c>
    </row>
    <row r="230" customFormat="false" ht="15" hidden="false" customHeight="false" outlineLevel="0" collapsed="false">
      <c r="A230" s="12"/>
      <c r="B230" s="12" t="s">
        <v>151</v>
      </c>
      <c r="C230" s="12" t="s">
        <v>152</v>
      </c>
      <c r="D230" s="12" t="s">
        <v>43</v>
      </c>
      <c r="E230" s="12" t="s">
        <v>44</v>
      </c>
      <c r="F230" s="12" t="s">
        <v>45</v>
      </c>
      <c r="G230" s="12" t="s">
        <v>46</v>
      </c>
      <c r="H230" s="12" t="s">
        <v>47</v>
      </c>
    </row>
    <row r="231" customFormat="false" ht="15" hidden="false" customHeight="false" outlineLevel="0" collapsed="false">
      <c r="B231" s="9" t="s">
        <v>315</v>
      </c>
      <c r="C231" s="9" t="s">
        <v>316</v>
      </c>
      <c r="D231" s="14" t="n">
        <f aca="false">IFERROR(INDEX('Semrush Data'!$C$2:$C$5000,MATCH(B231,'Semrush Data'!$A$2:$A$5000,0)),"")</f>
        <v>40500</v>
      </c>
      <c r="E231" s="9" t="n">
        <f aca="false">IFERROR(INDEX('Semrush Data'!$D$2:$D$5000,MATCH(B231,'Semrush Data'!$A$2:$A$5000,0)),"")</f>
        <v>17</v>
      </c>
      <c r="F231" s="15" t="n">
        <f aca="false">IFERROR(INDEX('Semrush Data'!$E$2:$E$5000,MATCH(B231,'Semrush Data'!$A$2:$A$5000,0)),"")</f>
        <v>0.34</v>
      </c>
      <c r="G231" s="9" t="str">
        <f aca="false">IF(E231="","",IF(E231&lt;=20,"Easier",IF(E231&lt;=35,"Medium","Hard")))</f>
        <v>Easier</v>
      </c>
      <c r="H231" s="9" t="s">
        <v>297</v>
      </c>
    </row>
    <row r="232" customFormat="false" ht="15" hidden="false" customHeight="false" outlineLevel="0" collapsed="false">
      <c r="B232" s="9" t="s">
        <v>317</v>
      </c>
      <c r="C232" s="9" t="s">
        <v>316</v>
      </c>
      <c r="D232" s="14" t="n">
        <f aca="false">IFERROR(INDEX('Semrush Data'!$C$2:$C$5000,MATCH(B232,'Semrush Data'!$A$2:$A$5000,0)),"")</f>
        <v>40500</v>
      </c>
      <c r="E232" s="9" t="n">
        <f aca="false">IFERROR(INDEX('Semrush Data'!$D$2:$D$5000,MATCH(B232,'Semrush Data'!$A$2:$A$5000,0)),"")</f>
        <v>32</v>
      </c>
      <c r="F232" s="15" t="n">
        <f aca="false">IFERROR(INDEX('Semrush Data'!$E$2:$E$5000,MATCH(B232,'Semrush Data'!$A$2:$A$5000,0)),"")</f>
        <v>0.33</v>
      </c>
      <c r="G232" s="9" t="str">
        <f aca="false">IF(E232="","",IF(E232&lt;=20,"Easier",IF(E232&lt;=35,"Medium","Hard")))</f>
        <v>Medium</v>
      </c>
      <c r="H232" s="9" t="s">
        <v>297</v>
      </c>
    </row>
    <row r="233" customFormat="false" ht="15" hidden="false" customHeight="false" outlineLevel="0" collapsed="false">
      <c r="B233" s="9" t="s">
        <v>318</v>
      </c>
      <c r="C233" s="9" t="s">
        <v>316</v>
      </c>
      <c r="D233" s="14" t="n">
        <f aca="false">IFERROR(INDEX('Semrush Data'!$C$2:$C$5000,MATCH(B233,'Semrush Data'!$A$2:$A$5000,0)),"")</f>
        <v>40500</v>
      </c>
      <c r="E233" s="9" t="n">
        <f aca="false">IFERROR(INDEX('Semrush Data'!$D$2:$D$5000,MATCH(B233,'Semrush Data'!$A$2:$A$5000,0)),"")</f>
        <v>33</v>
      </c>
      <c r="F233" s="15" t="n">
        <f aca="false">IFERROR(INDEX('Semrush Data'!$E$2:$E$5000,MATCH(B233,'Semrush Data'!$A$2:$A$5000,0)),"")</f>
        <v>0.36</v>
      </c>
      <c r="G233" s="9" t="str">
        <f aca="false">IF(E233="","",IF(E233&lt;=20,"Easier",IF(E233&lt;=35,"Medium","Hard")))</f>
        <v>Medium</v>
      </c>
      <c r="H233" s="9" t="s">
        <v>297</v>
      </c>
    </row>
    <row r="234" customFormat="false" ht="15" hidden="false" customHeight="false" outlineLevel="0" collapsed="false">
      <c r="B234" s="9" t="s">
        <v>319</v>
      </c>
      <c r="C234" s="9" t="s">
        <v>316</v>
      </c>
      <c r="D234" s="14" t="n">
        <f aca="false">IFERROR(INDEX('Semrush Data'!$C$2:$C$5000,MATCH(B234,'Semrush Data'!$A$2:$A$5000,0)),"")</f>
        <v>33100</v>
      </c>
      <c r="E234" s="9" t="n">
        <f aca="false">IFERROR(INDEX('Semrush Data'!$D$2:$D$5000,MATCH(B234,'Semrush Data'!$A$2:$A$5000,0)),"")</f>
        <v>55</v>
      </c>
      <c r="F234" s="15" t="n">
        <f aca="false">IFERROR(INDEX('Semrush Data'!$E$2:$E$5000,MATCH(B234,'Semrush Data'!$A$2:$A$5000,0)),"")</f>
        <v>0.38</v>
      </c>
      <c r="G234" s="9" t="str">
        <f aca="false">IF(E234="","",IF(E234&lt;=20,"Easier",IF(E234&lt;=35,"Medium","Hard")))</f>
        <v>Hard</v>
      </c>
      <c r="H234" s="9" t="s">
        <v>297</v>
      </c>
    </row>
    <row r="235" customFormat="false" ht="15" hidden="false" customHeight="false" outlineLevel="0" collapsed="false">
      <c r="B235" s="9" t="s">
        <v>320</v>
      </c>
      <c r="C235" s="9" t="s">
        <v>316</v>
      </c>
      <c r="D235" s="14" t="n">
        <f aca="false">IFERROR(INDEX('Semrush Data'!$C$2:$C$5000,MATCH(B235,'Semrush Data'!$A$2:$A$5000,0)),"")</f>
        <v>27100</v>
      </c>
      <c r="E235" s="9" t="n">
        <f aca="false">IFERROR(INDEX('Semrush Data'!$D$2:$D$5000,MATCH(B235,'Semrush Data'!$A$2:$A$5000,0)),"")</f>
        <v>42</v>
      </c>
      <c r="F235" s="15" t="n">
        <f aca="false">IFERROR(INDEX('Semrush Data'!$E$2:$E$5000,MATCH(B235,'Semrush Data'!$A$2:$A$5000,0)),"")</f>
        <v>0.56</v>
      </c>
      <c r="G235" s="9" t="str">
        <f aca="false">IF(E235="","",IF(E235&lt;=20,"Easier",IF(E235&lt;=35,"Medium","Hard")))</f>
        <v>Hard</v>
      </c>
      <c r="H235" s="9" t="s">
        <v>297</v>
      </c>
    </row>
    <row r="236" customFormat="false" ht="15" hidden="false" customHeight="false" outlineLevel="0" collapsed="false">
      <c r="B236" s="9" t="s">
        <v>321</v>
      </c>
      <c r="C236" s="9" t="s">
        <v>316</v>
      </c>
      <c r="D236" s="14" t="n">
        <f aca="false">IFERROR(INDEX('Semrush Data'!$C$2:$C$5000,MATCH(B236,'Semrush Data'!$A$2:$A$5000,0)),"")</f>
        <v>27100</v>
      </c>
      <c r="E236" s="9" t="n">
        <f aca="false">IFERROR(INDEX('Semrush Data'!$D$2:$D$5000,MATCH(B236,'Semrush Data'!$A$2:$A$5000,0)),"")</f>
        <v>22</v>
      </c>
      <c r="F236" s="15" t="n">
        <f aca="false">IFERROR(INDEX('Semrush Data'!$E$2:$E$5000,MATCH(B236,'Semrush Data'!$A$2:$A$5000,0)),"")</f>
        <v>0.32</v>
      </c>
      <c r="G236" s="9" t="str">
        <f aca="false">IF(E236="","",IF(E236&lt;=20,"Easier",IF(E236&lt;=35,"Medium","Hard")))</f>
        <v>Medium</v>
      </c>
      <c r="H236" s="9" t="s">
        <v>297</v>
      </c>
    </row>
    <row r="237" customFormat="false" ht="15" hidden="false" customHeight="false" outlineLevel="0" collapsed="false">
      <c r="B237" s="9" t="s">
        <v>322</v>
      </c>
      <c r="C237" s="9" t="s">
        <v>316</v>
      </c>
      <c r="D237" s="14" t="n">
        <f aca="false">IFERROR(INDEX('Semrush Data'!$C$2:$C$5000,MATCH(B237,'Semrush Data'!$A$2:$A$5000,0)),"")</f>
        <v>22200</v>
      </c>
      <c r="E237" s="9" t="n">
        <f aca="false">IFERROR(INDEX('Semrush Data'!$D$2:$D$5000,MATCH(B237,'Semrush Data'!$A$2:$A$5000,0)),"")</f>
        <v>16</v>
      </c>
      <c r="F237" s="15" t="n">
        <f aca="false">IFERROR(INDEX('Semrush Data'!$E$2:$E$5000,MATCH(B237,'Semrush Data'!$A$2:$A$5000,0)),"")</f>
        <v>0.29</v>
      </c>
      <c r="G237" s="9" t="str">
        <f aca="false">IF(E237="","",IF(E237&lt;=20,"Easier",IF(E237&lt;=35,"Medium","Hard")))</f>
        <v>Easier</v>
      </c>
      <c r="H237" s="9" t="s">
        <v>297</v>
      </c>
    </row>
    <row r="238" customFormat="false" ht="15" hidden="false" customHeight="false" outlineLevel="0" collapsed="false">
      <c r="B238" s="9" t="s">
        <v>323</v>
      </c>
      <c r="C238" s="9" t="s">
        <v>316</v>
      </c>
      <c r="D238" s="14" t="n">
        <f aca="false">IFERROR(INDEX('Semrush Data'!$C$2:$C$5000,MATCH(B238,'Semrush Data'!$A$2:$A$5000,0)),"")</f>
        <v>22200</v>
      </c>
      <c r="E238" s="9" t="n">
        <f aca="false">IFERROR(INDEX('Semrush Data'!$D$2:$D$5000,MATCH(B238,'Semrush Data'!$A$2:$A$5000,0)),"")</f>
        <v>36</v>
      </c>
      <c r="F238" s="15" t="n">
        <f aca="false">IFERROR(INDEX('Semrush Data'!$E$2:$E$5000,MATCH(B238,'Semrush Data'!$A$2:$A$5000,0)),"")</f>
        <v>0.44</v>
      </c>
      <c r="G238" s="9" t="str">
        <f aca="false">IF(E238="","",IF(E238&lt;=20,"Easier",IF(E238&lt;=35,"Medium","Hard")))</f>
        <v>Hard</v>
      </c>
      <c r="H238" s="9" t="s">
        <v>297</v>
      </c>
    </row>
    <row r="239" customFormat="false" ht="15" hidden="false" customHeight="false" outlineLevel="0" collapsed="false">
      <c r="B239" s="9" t="s">
        <v>324</v>
      </c>
      <c r="C239" s="9" t="s">
        <v>316</v>
      </c>
      <c r="D239" s="14" t="n">
        <f aca="false">IFERROR(INDEX('Semrush Data'!$C$2:$C$5000,MATCH(B239,'Semrush Data'!$A$2:$A$5000,0)),"")</f>
        <v>18100</v>
      </c>
      <c r="E239" s="9" t="n">
        <f aca="false">IFERROR(INDEX('Semrush Data'!$D$2:$D$5000,MATCH(B239,'Semrush Data'!$A$2:$A$5000,0)),"")</f>
        <v>41</v>
      </c>
      <c r="F239" s="15" t="n">
        <f aca="false">IFERROR(INDEX('Semrush Data'!$E$2:$E$5000,MATCH(B239,'Semrush Data'!$A$2:$A$5000,0)),"")</f>
        <v>0.32</v>
      </c>
      <c r="G239" s="9" t="str">
        <f aca="false">IF(E239="","",IF(E239&lt;=20,"Easier",IF(E239&lt;=35,"Medium","Hard")))</f>
        <v>Hard</v>
      </c>
      <c r="H239" s="9" t="s">
        <v>297</v>
      </c>
    </row>
    <row r="240" customFormat="false" ht="15" hidden="false" customHeight="false" outlineLevel="0" collapsed="false">
      <c r="B240" s="9" t="s">
        <v>325</v>
      </c>
      <c r="C240" s="9" t="s">
        <v>316</v>
      </c>
      <c r="D240" s="14" t="n">
        <f aca="false">IFERROR(INDEX('Semrush Data'!$C$2:$C$5000,MATCH(B240,'Semrush Data'!$A$2:$A$5000,0)),"")</f>
        <v>14800</v>
      </c>
      <c r="E240" s="9" t="n">
        <f aca="false">IFERROR(INDEX('Semrush Data'!$D$2:$D$5000,MATCH(B240,'Semrush Data'!$A$2:$A$5000,0)),"")</f>
        <v>50</v>
      </c>
      <c r="F240" s="15" t="n">
        <f aca="false">IFERROR(INDEX('Semrush Data'!$E$2:$E$5000,MATCH(B240,'Semrush Data'!$A$2:$A$5000,0)),"")</f>
        <v>0.32</v>
      </c>
      <c r="G240" s="9" t="str">
        <f aca="false">IF(E240="","",IF(E240&lt;=20,"Easier",IF(E240&lt;=35,"Medium","Hard")))</f>
        <v>Hard</v>
      </c>
      <c r="H240" s="9" t="s">
        <v>297</v>
      </c>
    </row>
    <row r="241" customFormat="false" ht="15" hidden="false" customHeight="false" outlineLevel="0" collapsed="false">
      <c r="B241" s="9" t="s">
        <v>326</v>
      </c>
      <c r="C241" s="9" t="s">
        <v>316</v>
      </c>
      <c r="D241" s="14" t="n">
        <f aca="false">IFERROR(INDEX('Semrush Data'!$C$2:$C$5000,MATCH(B241,'Semrush Data'!$A$2:$A$5000,0)),"")</f>
        <v>14800</v>
      </c>
      <c r="E241" s="9" t="n">
        <f aca="false">IFERROR(INDEX('Semrush Data'!$D$2:$D$5000,MATCH(B241,'Semrush Data'!$A$2:$A$5000,0)),"")</f>
        <v>41</v>
      </c>
      <c r="F241" s="15" t="n">
        <f aca="false">IFERROR(INDEX('Semrush Data'!$E$2:$E$5000,MATCH(B241,'Semrush Data'!$A$2:$A$5000,0)),"")</f>
        <v>0.32</v>
      </c>
      <c r="G241" s="9" t="str">
        <f aca="false">IF(E241="","",IF(E241&lt;=20,"Easier",IF(E241&lt;=35,"Medium","Hard")))</f>
        <v>Hard</v>
      </c>
      <c r="H241" s="9" t="s">
        <v>297</v>
      </c>
    </row>
    <row r="242" customFormat="false" ht="15" hidden="false" customHeight="false" outlineLevel="0" collapsed="false">
      <c r="B242" s="9" t="s">
        <v>327</v>
      </c>
      <c r="C242" s="9" t="s">
        <v>316</v>
      </c>
      <c r="D242" s="14" t="n">
        <f aca="false">IFERROR(INDEX('Semrush Data'!$C$2:$C$5000,MATCH(B242,'Semrush Data'!$A$2:$A$5000,0)),"")</f>
        <v>12100</v>
      </c>
      <c r="E242" s="9" t="n">
        <f aca="false">IFERROR(INDEX('Semrush Data'!$D$2:$D$5000,MATCH(B242,'Semrush Data'!$A$2:$A$5000,0)),"")</f>
        <v>34</v>
      </c>
      <c r="F242" s="15" t="n">
        <f aca="false">IFERROR(INDEX('Semrush Data'!$E$2:$E$5000,MATCH(B242,'Semrush Data'!$A$2:$A$5000,0)),"")</f>
        <v>0.45</v>
      </c>
      <c r="G242" s="9" t="str">
        <f aca="false">IF(E242="","",IF(E242&lt;=20,"Easier",IF(E242&lt;=35,"Medium","Hard")))</f>
        <v>Medium</v>
      </c>
      <c r="H242" s="9" t="s">
        <v>297</v>
      </c>
    </row>
    <row r="243" customFormat="false" ht="15" hidden="false" customHeight="false" outlineLevel="0" collapsed="false">
      <c r="B243" s="9" t="s">
        <v>328</v>
      </c>
      <c r="C243" s="9" t="s">
        <v>316</v>
      </c>
      <c r="D243" s="14" t="n">
        <f aca="false">IFERROR(INDEX('Semrush Data'!$C$2:$C$5000,MATCH(B243,'Semrush Data'!$A$2:$A$5000,0)),"")</f>
        <v>12100</v>
      </c>
      <c r="E243" s="9" t="n">
        <f aca="false">IFERROR(INDEX('Semrush Data'!$D$2:$D$5000,MATCH(B243,'Semrush Data'!$A$2:$A$5000,0)),"")</f>
        <v>28</v>
      </c>
      <c r="F243" s="15" t="n">
        <f aca="false">IFERROR(INDEX('Semrush Data'!$E$2:$E$5000,MATCH(B243,'Semrush Data'!$A$2:$A$5000,0)),"")</f>
        <v>0.55</v>
      </c>
      <c r="G243" s="9" t="str">
        <f aca="false">IF(E243="","",IF(E243&lt;=20,"Easier",IF(E243&lt;=35,"Medium","Hard")))</f>
        <v>Medium</v>
      </c>
      <c r="H243" s="9" t="s">
        <v>297</v>
      </c>
    </row>
    <row r="244" customFormat="false" ht="15" hidden="false" customHeight="false" outlineLevel="0" collapsed="false">
      <c r="B244" s="9" t="s">
        <v>329</v>
      </c>
      <c r="C244" s="9" t="s">
        <v>316</v>
      </c>
      <c r="D244" s="14" t="n">
        <f aca="false">IFERROR(INDEX('Semrush Data'!$C$2:$C$5000,MATCH(B244,'Semrush Data'!$A$2:$A$5000,0)),"")</f>
        <v>9900</v>
      </c>
      <c r="E244" s="9" t="n">
        <f aca="false">IFERROR(INDEX('Semrush Data'!$D$2:$D$5000,MATCH(B244,'Semrush Data'!$A$2:$A$5000,0)),"")</f>
        <v>34</v>
      </c>
      <c r="F244" s="15" t="n">
        <f aca="false">IFERROR(INDEX('Semrush Data'!$E$2:$E$5000,MATCH(B244,'Semrush Data'!$A$2:$A$5000,0)),"")</f>
        <v>0.27</v>
      </c>
      <c r="G244" s="9" t="str">
        <f aca="false">IF(E244="","",IF(E244&lt;=20,"Easier",IF(E244&lt;=35,"Medium","Hard")))</f>
        <v>Medium</v>
      </c>
      <c r="H244" s="9" t="s">
        <v>297</v>
      </c>
    </row>
    <row r="245" customFormat="false" ht="15" hidden="false" customHeight="false" outlineLevel="0" collapsed="false">
      <c r="B245" s="9" t="s">
        <v>330</v>
      </c>
      <c r="C245" s="9" t="s">
        <v>316</v>
      </c>
      <c r="D245" s="14" t="n">
        <f aca="false">IFERROR(INDEX('Semrush Data'!$C$2:$C$5000,MATCH(B245,'Semrush Data'!$A$2:$A$5000,0)),"")</f>
        <v>9900</v>
      </c>
      <c r="E245" s="9" t="n">
        <f aca="false">IFERROR(INDEX('Semrush Data'!$D$2:$D$5000,MATCH(B245,'Semrush Data'!$A$2:$A$5000,0)),"")</f>
        <v>23</v>
      </c>
      <c r="F245" s="15" t="n">
        <f aca="false">IFERROR(INDEX('Semrush Data'!$E$2:$E$5000,MATCH(B245,'Semrush Data'!$A$2:$A$5000,0)),"")</f>
        <v>0.39</v>
      </c>
      <c r="G245" s="9" t="str">
        <f aca="false">IF(E245="","",IF(E245&lt;=20,"Easier",IF(E245&lt;=35,"Medium","Hard")))</f>
        <v>Medium</v>
      </c>
      <c r="H245" s="9" t="s">
        <v>297</v>
      </c>
    </row>
    <row r="246" customFormat="false" ht="15" hidden="false" customHeight="false" outlineLevel="0" collapsed="false">
      <c r="B246" s="9" t="s">
        <v>331</v>
      </c>
      <c r="C246" s="9" t="s">
        <v>316</v>
      </c>
      <c r="D246" s="14" t="n">
        <f aca="false">IFERROR(INDEX('Semrush Data'!$C$2:$C$5000,MATCH(B246,'Semrush Data'!$A$2:$A$5000,0)),"")</f>
        <v>8100</v>
      </c>
      <c r="E246" s="9" t="n">
        <f aca="false">IFERROR(INDEX('Semrush Data'!$D$2:$D$5000,MATCH(B246,'Semrush Data'!$A$2:$A$5000,0)),"")</f>
        <v>34</v>
      </c>
      <c r="F246" s="15" t="n">
        <f aca="false">IFERROR(INDEX('Semrush Data'!$E$2:$E$5000,MATCH(B246,'Semrush Data'!$A$2:$A$5000,0)),"")</f>
        <v>0.3</v>
      </c>
      <c r="G246" s="9" t="str">
        <f aca="false">IF(E246="","",IF(E246&lt;=20,"Easier",IF(E246&lt;=35,"Medium","Hard")))</f>
        <v>Medium</v>
      </c>
      <c r="H246" s="9" t="s">
        <v>297</v>
      </c>
    </row>
    <row r="247" customFormat="false" ht="15" hidden="false" customHeight="false" outlineLevel="0" collapsed="false">
      <c r="B247" s="9" t="s">
        <v>332</v>
      </c>
      <c r="C247" s="9" t="s">
        <v>316</v>
      </c>
      <c r="D247" s="14" t="n">
        <f aca="false">IFERROR(INDEX('Semrush Data'!$C$2:$C$5000,MATCH(B247,'Semrush Data'!$A$2:$A$5000,0)),"")</f>
        <v>8100</v>
      </c>
      <c r="E247" s="9" t="n">
        <f aca="false">IFERROR(INDEX('Semrush Data'!$D$2:$D$5000,MATCH(B247,'Semrush Data'!$A$2:$A$5000,0)),"")</f>
        <v>23</v>
      </c>
      <c r="F247" s="15" t="n">
        <f aca="false">IFERROR(INDEX('Semrush Data'!$E$2:$E$5000,MATCH(B247,'Semrush Data'!$A$2:$A$5000,0)),"")</f>
        <v>0.33</v>
      </c>
      <c r="G247" s="9" t="str">
        <f aca="false">IF(E247="","",IF(E247&lt;=20,"Easier",IF(E247&lt;=35,"Medium","Hard")))</f>
        <v>Medium</v>
      </c>
      <c r="H247" s="9" t="s">
        <v>297</v>
      </c>
    </row>
    <row r="248" customFormat="false" ht="15" hidden="false" customHeight="false" outlineLevel="0" collapsed="false">
      <c r="B248" s="9" t="s">
        <v>333</v>
      </c>
      <c r="C248" s="9" t="s">
        <v>316</v>
      </c>
      <c r="D248" s="14" t="n">
        <f aca="false">IFERROR(INDEX('Semrush Data'!$C$2:$C$5000,MATCH(B248,'Semrush Data'!$A$2:$A$5000,0)),"")</f>
        <v>8100</v>
      </c>
      <c r="E248" s="9" t="n">
        <f aca="false">IFERROR(INDEX('Semrush Data'!$D$2:$D$5000,MATCH(B248,'Semrush Data'!$A$2:$A$5000,0)),"")</f>
        <v>32</v>
      </c>
      <c r="F248" s="15" t="n">
        <f aca="false">IFERROR(INDEX('Semrush Data'!$E$2:$E$5000,MATCH(B248,'Semrush Data'!$A$2:$A$5000,0)),"")</f>
        <v>0.38</v>
      </c>
      <c r="G248" s="9" t="str">
        <f aca="false">IF(E248="","",IF(E248&lt;=20,"Easier",IF(E248&lt;=35,"Medium","Hard")))</f>
        <v>Medium</v>
      </c>
      <c r="H248" s="9" t="s">
        <v>297</v>
      </c>
    </row>
    <row r="249" customFormat="false" ht="15" hidden="false" customHeight="false" outlineLevel="0" collapsed="false">
      <c r="B249" s="9" t="s">
        <v>334</v>
      </c>
      <c r="C249" s="9" t="s">
        <v>316</v>
      </c>
      <c r="D249" s="14" t="n">
        <f aca="false">IFERROR(INDEX('Semrush Data'!$C$2:$C$5000,MATCH(B249,'Semrush Data'!$A$2:$A$5000,0)),"")</f>
        <v>6600</v>
      </c>
      <c r="E249" s="9" t="n">
        <f aca="false">IFERROR(INDEX('Semrush Data'!$D$2:$D$5000,MATCH(B249,'Semrush Data'!$A$2:$A$5000,0)),"")</f>
        <v>26</v>
      </c>
      <c r="F249" s="15" t="n">
        <f aca="false">IFERROR(INDEX('Semrush Data'!$E$2:$E$5000,MATCH(B249,'Semrush Data'!$A$2:$A$5000,0)),"")</f>
        <v>0.37</v>
      </c>
      <c r="G249" s="9" t="str">
        <f aca="false">IF(E249="","",IF(E249&lt;=20,"Easier",IF(E249&lt;=35,"Medium","Hard")))</f>
        <v>Medium</v>
      </c>
      <c r="H249" s="9" t="s">
        <v>297</v>
      </c>
    </row>
    <row r="250" customFormat="false" ht="15" hidden="false" customHeight="false" outlineLevel="0" collapsed="false">
      <c r="B250" s="9" t="s">
        <v>335</v>
      </c>
      <c r="C250" s="9" t="s">
        <v>316</v>
      </c>
      <c r="D250" s="14" t="n">
        <f aca="false">IFERROR(INDEX('Semrush Data'!$C$2:$C$5000,MATCH(B250,'Semrush Data'!$A$2:$A$5000,0)),"")</f>
        <v>5400</v>
      </c>
      <c r="E250" s="9" t="n">
        <f aca="false">IFERROR(INDEX('Semrush Data'!$D$2:$D$5000,MATCH(B250,'Semrush Data'!$A$2:$A$5000,0)),"")</f>
        <v>28</v>
      </c>
      <c r="F250" s="15" t="n">
        <f aca="false">IFERROR(INDEX('Semrush Data'!$E$2:$E$5000,MATCH(B250,'Semrush Data'!$A$2:$A$5000,0)),"")</f>
        <v>0.41</v>
      </c>
      <c r="G250" s="9" t="str">
        <f aca="false">IF(E250="","",IF(E250&lt;=20,"Easier",IF(E250&lt;=35,"Medium","Hard")))</f>
        <v>Medium</v>
      </c>
      <c r="H250" s="9" t="s">
        <v>297</v>
      </c>
    </row>
    <row r="251" customFormat="false" ht="15" hidden="false" customHeight="false" outlineLevel="0" collapsed="false">
      <c r="B251" s="9" t="s">
        <v>336</v>
      </c>
      <c r="C251" s="9" t="s">
        <v>316</v>
      </c>
      <c r="D251" s="14" t="n">
        <f aca="false">IFERROR(INDEX('Semrush Data'!$C$2:$C$5000,MATCH(B251,'Semrush Data'!$A$2:$A$5000,0)),"")</f>
        <v>5400</v>
      </c>
      <c r="E251" s="9" t="n">
        <f aca="false">IFERROR(INDEX('Semrush Data'!$D$2:$D$5000,MATCH(B251,'Semrush Data'!$A$2:$A$5000,0)),"")</f>
        <v>23</v>
      </c>
      <c r="F251" s="15" t="n">
        <f aca="false">IFERROR(INDEX('Semrush Data'!$E$2:$E$5000,MATCH(B251,'Semrush Data'!$A$2:$A$5000,0)),"")</f>
        <v>0.41</v>
      </c>
      <c r="G251" s="9" t="str">
        <f aca="false">IF(E251="","",IF(E251&lt;=20,"Easier",IF(E251&lt;=35,"Medium","Hard")))</f>
        <v>Medium</v>
      </c>
      <c r="H251" s="9" t="s">
        <v>297</v>
      </c>
    </row>
    <row r="252" customFormat="false" ht="15" hidden="false" customHeight="false" outlineLevel="0" collapsed="false">
      <c r="B252" s="9" t="s">
        <v>337</v>
      </c>
      <c r="C252" s="9" t="s">
        <v>316</v>
      </c>
      <c r="D252" s="14" t="n">
        <f aca="false">IFERROR(INDEX('Semrush Data'!$C$2:$C$5000,MATCH(B252,'Semrush Data'!$A$2:$A$5000,0)),"")</f>
        <v>5400</v>
      </c>
      <c r="E252" s="9" t="n">
        <f aca="false">IFERROR(INDEX('Semrush Data'!$D$2:$D$5000,MATCH(B252,'Semrush Data'!$A$2:$A$5000,0)),"")</f>
        <v>30</v>
      </c>
      <c r="F252" s="15" t="n">
        <f aca="false">IFERROR(INDEX('Semrush Data'!$E$2:$E$5000,MATCH(B252,'Semrush Data'!$A$2:$A$5000,0)),"")</f>
        <v>0.26</v>
      </c>
      <c r="G252" s="9" t="str">
        <f aca="false">IF(E252="","",IF(E252&lt;=20,"Easier",IF(E252&lt;=35,"Medium","Hard")))</f>
        <v>Medium</v>
      </c>
      <c r="H252" s="9" t="s">
        <v>297</v>
      </c>
    </row>
    <row r="253" customFormat="false" ht="15" hidden="false" customHeight="false" outlineLevel="0" collapsed="false">
      <c r="B253" s="9" t="s">
        <v>338</v>
      </c>
      <c r="C253" s="9" t="s">
        <v>316</v>
      </c>
      <c r="D253" s="14" t="n">
        <f aca="false">IFERROR(INDEX('Semrush Data'!$C$2:$C$5000,MATCH(B253,'Semrush Data'!$A$2:$A$5000,0)),"")</f>
        <v>5400</v>
      </c>
      <c r="E253" s="9" t="n">
        <f aca="false">IFERROR(INDEX('Semrush Data'!$D$2:$D$5000,MATCH(B253,'Semrush Data'!$A$2:$A$5000,0)),"")</f>
        <v>16</v>
      </c>
      <c r="F253" s="15" t="n">
        <f aca="false">IFERROR(INDEX('Semrush Data'!$E$2:$E$5000,MATCH(B253,'Semrush Data'!$A$2:$A$5000,0)),"")</f>
        <v>0.29</v>
      </c>
      <c r="G253" s="9" t="str">
        <f aca="false">IF(E253="","",IF(E253&lt;=20,"Easier",IF(E253&lt;=35,"Medium","Hard")))</f>
        <v>Easier</v>
      </c>
      <c r="H253" s="9" t="s">
        <v>297</v>
      </c>
    </row>
    <row r="254" customFormat="false" ht="15" hidden="false" customHeight="false" outlineLevel="0" collapsed="false">
      <c r="B254" s="9" t="s">
        <v>339</v>
      </c>
      <c r="C254" s="9" t="s">
        <v>316</v>
      </c>
      <c r="D254" s="14" t="n">
        <f aca="false">IFERROR(INDEX('Semrush Data'!$C$2:$C$5000,MATCH(B254,'Semrush Data'!$A$2:$A$5000,0)),"")</f>
        <v>5400</v>
      </c>
      <c r="E254" s="9" t="n">
        <f aca="false">IFERROR(INDEX('Semrush Data'!$D$2:$D$5000,MATCH(B254,'Semrush Data'!$A$2:$A$5000,0)),"")</f>
        <v>24</v>
      </c>
      <c r="F254" s="15" t="n">
        <f aca="false">IFERROR(INDEX('Semrush Data'!$E$2:$E$5000,MATCH(B254,'Semrush Data'!$A$2:$A$5000,0)),"")</f>
        <v>0.37</v>
      </c>
      <c r="G254" s="9" t="str">
        <f aca="false">IF(E254="","",IF(E254&lt;=20,"Easier",IF(E254&lt;=35,"Medium","Hard")))</f>
        <v>Medium</v>
      </c>
      <c r="H254" s="9" t="s">
        <v>297</v>
      </c>
    </row>
    <row r="255" customFormat="false" ht="15" hidden="false" customHeight="false" outlineLevel="0" collapsed="false">
      <c r="B255" s="9" t="s">
        <v>340</v>
      </c>
      <c r="C255" s="9" t="s">
        <v>316</v>
      </c>
      <c r="D255" s="14" t="n">
        <f aca="false">IFERROR(INDEX('Semrush Data'!$C$2:$C$5000,MATCH(B255,'Semrush Data'!$A$2:$A$5000,0)),"")</f>
        <v>3600</v>
      </c>
      <c r="E255" s="9" t="n">
        <f aca="false">IFERROR(INDEX('Semrush Data'!$D$2:$D$5000,MATCH(B255,'Semrush Data'!$A$2:$A$5000,0)),"")</f>
        <v>21</v>
      </c>
      <c r="F255" s="15" t="n">
        <f aca="false">IFERROR(INDEX('Semrush Data'!$E$2:$E$5000,MATCH(B255,'Semrush Data'!$A$2:$A$5000,0)),"")</f>
        <v>0.35</v>
      </c>
      <c r="G255" s="9" t="str">
        <f aca="false">IF(E255="","",IF(E255&lt;=20,"Easier",IF(E255&lt;=35,"Medium","Hard")))</f>
        <v>Medium</v>
      </c>
      <c r="H255" s="9" t="s">
        <v>297</v>
      </c>
    </row>
    <row r="256" customFormat="false" ht="15" hidden="false" customHeight="false" outlineLevel="0" collapsed="false">
      <c r="B256" s="9" t="s">
        <v>341</v>
      </c>
      <c r="C256" s="9" t="s">
        <v>316</v>
      </c>
      <c r="D256" s="14" t="n">
        <f aca="false">IFERROR(INDEX('Semrush Data'!$C$2:$C$5000,MATCH(B256,'Semrush Data'!$A$2:$A$5000,0)),"")</f>
        <v>3600</v>
      </c>
      <c r="E256" s="9" t="n">
        <f aca="false">IFERROR(INDEX('Semrush Data'!$D$2:$D$5000,MATCH(B256,'Semrush Data'!$A$2:$A$5000,0)),"")</f>
        <v>25</v>
      </c>
      <c r="F256" s="15" t="n">
        <f aca="false">IFERROR(INDEX('Semrush Data'!$E$2:$E$5000,MATCH(B256,'Semrush Data'!$A$2:$A$5000,0)),"")</f>
        <v>0.3</v>
      </c>
      <c r="G256" s="9" t="str">
        <f aca="false">IF(E256="","",IF(E256&lt;=20,"Easier",IF(E256&lt;=35,"Medium","Hard")))</f>
        <v>Medium</v>
      </c>
      <c r="H256" s="9" t="s">
        <v>297</v>
      </c>
    </row>
    <row r="257" customFormat="false" ht="15" hidden="false" customHeight="false" outlineLevel="0" collapsed="false">
      <c r="B257" s="9" t="s">
        <v>342</v>
      </c>
      <c r="C257" s="9" t="s">
        <v>316</v>
      </c>
      <c r="D257" s="14" t="n">
        <f aca="false">IFERROR(INDEX('Semrush Data'!$C$2:$C$5000,MATCH(B257,'Semrush Data'!$A$2:$A$5000,0)),"")</f>
        <v>2900</v>
      </c>
      <c r="E257" s="9" t="n">
        <f aca="false">IFERROR(INDEX('Semrush Data'!$D$2:$D$5000,MATCH(B257,'Semrush Data'!$A$2:$A$5000,0)),"")</f>
        <v>23</v>
      </c>
      <c r="F257" s="15" t="n">
        <f aca="false">IFERROR(INDEX('Semrush Data'!$E$2:$E$5000,MATCH(B257,'Semrush Data'!$A$2:$A$5000,0)),"")</f>
        <v>0.31</v>
      </c>
      <c r="G257" s="9" t="str">
        <f aca="false">IF(E257="","",IF(E257&lt;=20,"Easier",IF(E257&lt;=35,"Medium","Hard")))</f>
        <v>Medium</v>
      </c>
      <c r="H257" s="9" t="s">
        <v>297</v>
      </c>
    </row>
    <row r="258" customFormat="false" ht="15" hidden="false" customHeight="false" outlineLevel="0" collapsed="false">
      <c r="B258" s="9" t="s">
        <v>343</v>
      </c>
      <c r="C258" s="9" t="s">
        <v>316</v>
      </c>
      <c r="D258" s="14" t="n">
        <f aca="false">IFERROR(INDEX('Semrush Data'!$C$2:$C$5000,MATCH(B258,'Semrush Data'!$A$2:$A$5000,0)),"")</f>
        <v>1900</v>
      </c>
      <c r="E258" s="9" t="n">
        <f aca="false">IFERROR(INDEX('Semrush Data'!$D$2:$D$5000,MATCH(B258,'Semrush Data'!$A$2:$A$5000,0)),"")</f>
        <v>16</v>
      </c>
      <c r="F258" s="15" t="n">
        <f aca="false">IFERROR(INDEX('Semrush Data'!$E$2:$E$5000,MATCH(B258,'Semrush Data'!$A$2:$A$5000,0)),"")</f>
        <v>0.4</v>
      </c>
      <c r="G258" s="9" t="str">
        <f aca="false">IF(E258="","",IF(E258&lt;=20,"Easier",IF(E258&lt;=35,"Medium","Hard")))</f>
        <v>Easier</v>
      </c>
      <c r="H258" s="9" t="s">
        <v>297</v>
      </c>
    </row>
    <row r="259" customFormat="false" ht="15" hidden="false" customHeight="false" outlineLevel="0" collapsed="false">
      <c r="B259" s="9" t="s">
        <v>344</v>
      </c>
      <c r="C259" s="9" t="s">
        <v>316</v>
      </c>
      <c r="D259" s="14" t="n">
        <f aca="false">IFERROR(INDEX('Semrush Data'!$C$2:$C$5000,MATCH(B259,'Semrush Data'!$A$2:$A$5000,0)),"")</f>
        <v>1900</v>
      </c>
      <c r="E259" s="9" t="n">
        <f aca="false">IFERROR(INDEX('Semrush Data'!$D$2:$D$5000,MATCH(B259,'Semrush Data'!$A$2:$A$5000,0)),"")</f>
        <v>26</v>
      </c>
      <c r="F259" s="15" t="n">
        <f aca="false">IFERROR(INDEX('Semrush Data'!$E$2:$E$5000,MATCH(B259,'Semrush Data'!$A$2:$A$5000,0)),"")</f>
        <v>0.41</v>
      </c>
      <c r="G259" s="9" t="str">
        <f aca="false">IF(E259="","",IF(E259&lt;=20,"Easier",IF(E259&lt;=35,"Medium","Hard")))</f>
        <v>Medium</v>
      </c>
      <c r="H259" s="9" t="s">
        <v>297</v>
      </c>
    </row>
    <row r="260" customFormat="false" ht="15" hidden="false" customHeight="false" outlineLevel="0" collapsed="false">
      <c r="B260" s="9" t="s">
        <v>345</v>
      </c>
      <c r="C260" s="9" t="s">
        <v>316</v>
      </c>
      <c r="D260" s="14" t="n">
        <f aca="false">IFERROR(INDEX('Semrush Data'!$C$2:$C$5000,MATCH(B260,'Semrush Data'!$A$2:$A$5000,0)),"")</f>
        <v>1600</v>
      </c>
      <c r="E260" s="9" t="n">
        <f aca="false">IFERROR(INDEX('Semrush Data'!$D$2:$D$5000,MATCH(B260,'Semrush Data'!$A$2:$A$5000,0)),"")</f>
        <v>25</v>
      </c>
      <c r="F260" s="15" t="n">
        <f aca="false">IFERROR(INDEX('Semrush Data'!$E$2:$E$5000,MATCH(B260,'Semrush Data'!$A$2:$A$5000,0)),"")</f>
        <v>0.31</v>
      </c>
      <c r="G260" s="9" t="str">
        <f aca="false">IF(E260="","",IF(E260&lt;=20,"Easier",IF(E260&lt;=35,"Medium","Hard")))</f>
        <v>Medium</v>
      </c>
      <c r="H260" s="9" t="s">
        <v>297</v>
      </c>
    </row>
    <row r="261" customFormat="false" ht="15" hidden="false" customHeight="false" outlineLevel="0" collapsed="false">
      <c r="B261" s="9" t="s">
        <v>346</v>
      </c>
      <c r="C261" s="9" t="s">
        <v>316</v>
      </c>
      <c r="D261" s="14" t="n">
        <f aca="false">IFERROR(INDEX('Semrush Data'!$C$2:$C$5000,MATCH(B261,'Semrush Data'!$A$2:$A$5000,0)),"")</f>
        <v>1600</v>
      </c>
      <c r="E261" s="9" t="n">
        <f aca="false">IFERROR(INDEX('Semrush Data'!$D$2:$D$5000,MATCH(B261,'Semrush Data'!$A$2:$A$5000,0)),"")</f>
        <v>39</v>
      </c>
      <c r="F261" s="15" t="n">
        <f aca="false">IFERROR(INDEX('Semrush Data'!$E$2:$E$5000,MATCH(B261,'Semrush Data'!$A$2:$A$5000,0)),"")</f>
        <v>0.35</v>
      </c>
      <c r="G261" s="9" t="str">
        <f aca="false">IF(E261="","",IF(E261&lt;=20,"Easier",IF(E261&lt;=35,"Medium","Hard")))</f>
        <v>Hard</v>
      </c>
      <c r="H261" s="9" t="s">
        <v>297</v>
      </c>
    </row>
    <row r="262" customFormat="false" ht="15" hidden="false" customHeight="false" outlineLevel="0" collapsed="false">
      <c r="B262" s="9" t="s">
        <v>347</v>
      </c>
      <c r="C262" s="9" t="s">
        <v>316</v>
      </c>
      <c r="D262" s="14" t="n">
        <f aca="false">IFERROR(INDEX('Semrush Data'!$C$2:$C$5000,MATCH(B262,'Semrush Data'!$A$2:$A$5000,0)),"")</f>
        <v>1300</v>
      </c>
      <c r="E262" s="9" t="n">
        <f aca="false">IFERROR(INDEX('Semrush Data'!$D$2:$D$5000,MATCH(B262,'Semrush Data'!$A$2:$A$5000,0)),"")</f>
        <v>18</v>
      </c>
      <c r="F262" s="15" t="n">
        <f aca="false">IFERROR(INDEX('Semrush Data'!$E$2:$E$5000,MATCH(B262,'Semrush Data'!$A$2:$A$5000,0)),"")</f>
        <v>0.35</v>
      </c>
      <c r="G262" s="9" t="str">
        <f aca="false">IF(E262="","",IF(E262&lt;=20,"Easier",IF(E262&lt;=35,"Medium","Hard")))</f>
        <v>Easier</v>
      </c>
      <c r="H262" s="9" t="s">
        <v>297</v>
      </c>
    </row>
    <row r="263" customFormat="false" ht="15" hidden="false" customHeight="false" outlineLevel="0" collapsed="false">
      <c r="B263" s="9" t="s">
        <v>348</v>
      </c>
      <c r="C263" s="9" t="s">
        <v>316</v>
      </c>
      <c r="D263" s="14" t="n">
        <f aca="false">IFERROR(INDEX('Semrush Data'!$C$2:$C$5000,MATCH(B263,'Semrush Data'!$A$2:$A$5000,0)),"")</f>
        <v>1300</v>
      </c>
      <c r="E263" s="9" t="n">
        <f aca="false">IFERROR(INDEX('Semrush Data'!$D$2:$D$5000,MATCH(B263,'Semrush Data'!$A$2:$A$5000,0)),"")</f>
        <v>28</v>
      </c>
      <c r="F263" s="15" t="n">
        <f aca="false">IFERROR(INDEX('Semrush Data'!$E$2:$E$5000,MATCH(B263,'Semrush Data'!$A$2:$A$5000,0)),"")</f>
        <v>0.3</v>
      </c>
      <c r="G263" s="9" t="str">
        <f aca="false">IF(E263="","",IF(E263&lt;=20,"Easier",IF(E263&lt;=35,"Medium","Hard")))</f>
        <v>Medium</v>
      </c>
      <c r="H263" s="9" t="s">
        <v>297</v>
      </c>
    </row>
    <row r="264" customFormat="false" ht="15" hidden="false" customHeight="false" outlineLevel="0" collapsed="false">
      <c r="B264" s="9" t="s">
        <v>349</v>
      </c>
      <c r="C264" s="9" t="s">
        <v>316</v>
      </c>
      <c r="D264" s="14" t="n">
        <f aca="false">IFERROR(INDEX('Semrush Data'!$C$2:$C$5000,MATCH(B264,'Semrush Data'!$A$2:$A$5000,0)),"")</f>
        <v>1300</v>
      </c>
      <c r="E264" s="9" t="n">
        <f aca="false">IFERROR(INDEX('Semrush Data'!$D$2:$D$5000,MATCH(B264,'Semrush Data'!$A$2:$A$5000,0)),"")</f>
        <v>22</v>
      </c>
      <c r="F264" s="15" t="n">
        <f aca="false">IFERROR(INDEX('Semrush Data'!$E$2:$E$5000,MATCH(B264,'Semrush Data'!$A$2:$A$5000,0)),"")</f>
        <v>0.22</v>
      </c>
      <c r="G264" s="9" t="str">
        <f aca="false">IF(E264="","",IF(E264&lt;=20,"Easier",IF(E264&lt;=35,"Medium","Hard")))</f>
        <v>Medium</v>
      </c>
      <c r="H264" s="9" t="s">
        <v>297</v>
      </c>
    </row>
    <row r="265" customFormat="false" ht="15" hidden="false" customHeight="false" outlineLevel="0" collapsed="false">
      <c r="B265" s="9" t="s">
        <v>350</v>
      </c>
      <c r="C265" s="9" t="s">
        <v>316</v>
      </c>
      <c r="D265" s="14" t="n">
        <f aca="false">IFERROR(INDEX('Semrush Data'!$C$2:$C$5000,MATCH(B265,'Semrush Data'!$A$2:$A$5000,0)),"")</f>
        <v>1000</v>
      </c>
      <c r="E265" s="9" t="n">
        <f aca="false">IFERROR(INDEX('Semrush Data'!$D$2:$D$5000,MATCH(B265,'Semrush Data'!$A$2:$A$5000,0)),"")</f>
        <v>34</v>
      </c>
      <c r="F265" s="15" t="n">
        <f aca="false">IFERROR(INDEX('Semrush Data'!$E$2:$E$5000,MATCH(B265,'Semrush Data'!$A$2:$A$5000,0)),"")</f>
        <v>0.34</v>
      </c>
      <c r="G265" s="9" t="str">
        <f aca="false">IF(E265="","",IF(E265&lt;=20,"Easier",IF(E265&lt;=35,"Medium","Hard")))</f>
        <v>Medium</v>
      </c>
      <c r="H265" s="9" t="s">
        <v>297</v>
      </c>
    </row>
    <row r="266" customFormat="false" ht="15" hidden="false" customHeight="false" outlineLevel="0" collapsed="false">
      <c r="B266" s="9" t="s">
        <v>351</v>
      </c>
      <c r="C266" s="9" t="s">
        <v>316</v>
      </c>
      <c r="D266" s="14" t="n">
        <f aca="false">IFERROR(INDEX('Semrush Data'!$C$2:$C$5000,MATCH(B266,'Semrush Data'!$A$2:$A$5000,0)),"")</f>
        <v>1000</v>
      </c>
      <c r="E266" s="9" t="n">
        <f aca="false">IFERROR(INDEX('Semrush Data'!$D$2:$D$5000,MATCH(B266,'Semrush Data'!$A$2:$A$5000,0)),"")</f>
        <v>32</v>
      </c>
      <c r="F266" s="15" t="n">
        <f aca="false">IFERROR(INDEX('Semrush Data'!$E$2:$E$5000,MATCH(B266,'Semrush Data'!$A$2:$A$5000,0)),"")</f>
        <v>0.53</v>
      </c>
      <c r="G266" s="9" t="str">
        <f aca="false">IF(E266="","",IF(E266&lt;=20,"Easier",IF(E266&lt;=35,"Medium","Hard")))</f>
        <v>Medium</v>
      </c>
      <c r="H266" s="9" t="s">
        <v>297</v>
      </c>
    </row>
    <row r="267" customFormat="false" ht="15" hidden="false" customHeight="false" outlineLevel="0" collapsed="false">
      <c r="B267" s="9" t="s">
        <v>352</v>
      </c>
      <c r="C267" s="9" t="s">
        <v>316</v>
      </c>
      <c r="D267" s="14" t="n">
        <f aca="false">IFERROR(INDEX('Semrush Data'!$C$2:$C$5000,MATCH(B267,'Semrush Data'!$A$2:$A$5000,0)),"")</f>
        <v>1000</v>
      </c>
      <c r="E267" s="9" t="n">
        <f aca="false">IFERROR(INDEX('Semrush Data'!$D$2:$D$5000,MATCH(B267,'Semrush Data'!$A$2:$A$5000,0)),"")</f>
        <v>33</v>
      </c>
      <c r="F267" s="15" t="n">
        <f aca="false">IFERROR(INDEX('Semrush Data'!$E$2:$E$5000,MATCH(B267,'Semrush Data'!$A$2:$A$5000,0)),"")</f>
        <v>0.32</v>
      </c>
      <c r="G267" s="9" t="str">
        <f aca="false">IF(E267="","",IF(E267&lt;=20,"Easier",IF(E267&lt;=35,"Medium","Hard")))</f>
        <v>Medium</v>
      </c>
      <c r="H267" s="9" t="s">
        <v>297</v>
      </c>
    </row>
    <row r="268" customFormat="false" ht="15" hidden="false" customHeight="false" outlineLevel="0" collapsed="false">
      <c r="B268" s="9" t="s">
        <v>353</v>
      </c>
      <c r="C268" s="9" t="s">
        <v>316</v>
      </c>
      <c r="D268" s="14" t="n">
        <f aca="false">IFERROR(INDEX('Semrush Data'!$C$2:$C$5000,MATCH(B268,'Semrush Data'!$A$2:$A$5000,0)),"")</f>
        <v>1000</v>
      </c>
      <c r="E268" s="9" t="n">
        <f aca="false">IFERROR(INDEX('Semrush Data'!$D$2:$D$5000,MATCH(B268,'Semrush Data'!$A$2:$A$5000,0)),"")</f>
        <v>22</v>
      </c>
      <c r="F268" s="15" t="n">
        <f aca="false">IFERROR(INDEX('Semrush Data'!$E$2:$E$5000,MATCH(B268,'Semrush Data'!$A$2:$A$5000,0)),"")</f>
        <v>0.29</v>
      </c>
      <c r="G268" s="9" t="str">
        <f aca="false">IF(E268="","",IF(E268&lt;=20,"Easier",IF(E268&lt;=35,"Medium","Hard")))</f>
        <v>Medium</v>
      </c>
      <c r="H268" s="9" t="s">
        <v>297</v>
      </c>
    </row>
    <row r="269" customFormat="false" ht="15" hidden="false" customHeight="false" outlineLevel="0" collapsed="false">
      <c r="B269" s="9" t="s">
        <v>354</v>
      </c>
      <c r="C269" s="9" t="s">
        <v>316</v>
      </c>
      <c r="D269" s="14" t="n">
        <f aca="false">IFERROR(INDEX('Semrush Data'!$C$2:$C$5000,MATCH(B269,'Semrush Data'!$A$2:$A$5000,0)),"")</f>
        <v>880</v>
      </c>
      <c r="E269" s="9" t="n">
        <f aca="false">IFERROR(INDEX('Semrush Data'!$D$2:$D$5000,MATCH(B269,'Semrush Data'!$A$2:$A$5000,0)),"")</f>
        <v>31</v>
      </c>
      <c r="F269" s="15" t="n">
        <f aca="false">IFERROR(INDEX('Semrush Data'!$E$2:$E$5000,MATCH(B269,'Semrush Data'!$A$2:$A$5000,0)),"")</f>
        <v>0.36</v>
      </c>
      <c r="G269" s="9" t="str">
        <f aca="false">IF(E269="","",IF(E269&lt;=20,"Easier",IF(E269&lt;=35,"Medium","Hard")))</f>
        <v>Medium</v>
      </c>
      <c r="H269" s="9" t="s">
        <v>297</v>
      </c>
    </row>
    <row r="270" customFormat="false" ht="15" hidden="false" customHeight="false" outlineLevel="0" collapsed="false">
      <c r="B270" s="9" t="s">
        <v>355</v>
      </c>
      <c r="C270" s="9" t="s">
        <v>316</v>
      </c>
      <c r="D270" s="14" t="n">
        <f aca="false">IFERROR(INDEX('Semrush Data'!$C$2:$C$5000,MATCH(B270,'Semrush Data'!$A$2:$A$5000,0)),"")</f>
        <v>880</v>
      </c>
      <c r="E270" s="9" t="n">
        <f aca="false">IFERROR(INDEX('Semrush Data'!$D$2:$D$5000,MATCH(B270,'Semrush Data'!$A$2:$A$5000,0)),"")</f>
        <v>28</v>
      </c>
      <c r="F270" s="15" t="n">
        <f aca="false">IFERROR(INDEX('Semrush Data'!$E$2:$E$5000,MATCH(B270,'Semrush Data'!$A$2:$A$5000,0)),"")</f>
        <v>0.53</v>
      </c>
      <c r="G270" s="9" t="str">
        <f aca="false">IF(E270="","",IF(E270&lt;=20,"Easier",IF(E270&lt;=35,"Medium","Hard")))</f>
        <v>Medium</v>
      </c>
      <c r="H270" s="9" t="s">
        <v>297</v>
      </c>
    </row>
  </sheetData>
  <mergeCells count="5">
    <mergeCell ref="B13:H13"/>
    <mergeCell ref="B14:H14"/>
    <mergeCell ref="B15:H15"/>
    <mergeCell ref="B16:H16"/>
    <mergeCell ref="B17:H17"/>
  </mergeCells>
  <conditionalFormatting sqref="G22:G71">
    <cfRule type="expression" priority="2" aboveAverage="0" equalAverage="0" bottom="0" percent="0" rank="0" text="" dxfId="0">
      <formula>G22="Easier"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34"/>
    <col collapsed="false" customWidth="true" hidden="false" outlineLevel="0" max="5" min="4" style="0" width="18"/>
    <col collapsed="false" customWidth="true" hidden="false" outlineLevel="0" max="6" min="6" style="0" width="28"/>
    <col collapsed="false" customWidth="true" hidden="false" outlineLevel="0" max="7" min="7" style="0" width="9"/>
    <col collapsed="false" customWidth="true" hidden="false" outlineLevel="0" max="8" min="8" style="0" width="8"/>
    <col collapsed="false" customWidth="true" hidden="false" outlineLevel="0" max="9" min="9" style="0" width="10"/>
    <col collapsed="false" customWidth="true" hidden="false" outlineLevel="0" max="10" min="10" style="0" width="9"/>
    <col collapsed="false" customWidth="true" hidden="false" outlineLevel="0" max="11" min="11" style="0" width="30"/>
    <col collapsed="false" customWidth="true" hidden="false" outlineLevel="0" max="12" min="12" style="0" width="34"/>
    <col collapsed="false" customWidth="true" hidden="false" outlineLevel="0" max="13" min="13" style="0" width="52"/>
    <col collapsed="false" customWidth="true" hidden="false" outlineLevel="0" max="14" min="14" style="0" width="7"/>
    <col collapsed="false" customWidth="true" hidden="false" outlineLevel="0" max="15" min="15" style="0" width="70"/>
    <col collapsed="false" customWidth="true" hidden="false" outlineLevel="0" max="16" min="16" style="0" width="7"/>
    <col collapsed="false" customWidth="true" hidden="false" outlineLevel="0" max="17" min="17" style="0" width="90"/>
    <col collapsed="false" customWidth="true" hidden="false" outlineLevel="0" max="18" min="18" style="0" width="44"/>
    <col collapsed="false" customWidth="true" hidden="false" outlineLevel="0" max="19" min="19" style="0" width="14"/>
    <col collapsed="false" customWidth="true" hidden="false" outlineLevel="0" max="20" min="20" style="0" width="30"/>
  </cols>
  <sheetData>
    <row r="1" customFormat="false" ht="31.5" hidden="false" customHeight="true" outlineLevel="0" collapsed="false">
      <c r="A1" s="16" t="s">
        <v>40</v>
      </c>
      <c r="B1" s="16" t="s">
        <v>296</v>
      </c>
      <c r="C1" s="16" t="s">
        <v>41</v>
      </c>
      <c r="D1" s="16" t="s">
        <v>152</v>
      </c>
      <c r="E1" s="16" t="s">
        <v>356</v>
      </c>
      <c r="F1" s="16" t="s">
        <v>357</v>
      </c>
      <c r="G1" s="17" t="s">
        <v>358</v>
      </c>
      <c r="H1" s="17" t="s">
        <v>359</v>
      </c>
      <c r="I1" s="16" t="s">
        <v>360</v>
      </c>
      <c r="J1" s="17" t="s">
        <v>361</v>
      </c>
      <c r="K1" s="16" t="s">
        <v>362</v>
      </c>
      <c r="L1" s="16" t="s">
        <v>363</v>
      </c>
      <c r="M1" s="16" t="s">
        <v>364</v>
      </c>
      <c r="N1" s="16" t="s">
        <v>365</v>
      </c>
      <c r="O1" s="16" t="s">
        <v>366</v>
      </c>
      <c r="P1" s="16" t="s">
        <v>367</v>
      </c>
      <c r="Q1" s="16" t="s">
        <v>368</v>
      </c>
      <c r="R1" s="16" t="s">
        <v>369</v>
      </c>
      <c r="S1" s="16" t="s">
        <v>370</v>
      </c>
      <c r="T1" s="16" t="s">
        <v>371</v>
      </c>
    </row>
    <row r="2" customFormat="false" ht="46.25" hidden="false" customHeight="false" outlineLevel="0" collapsed="false">
      <c r="A2" s="18" t="s">
        <v>372</v>
      </c>
      <c r="B2" s="18" t="s">
        <v>373</v>
      </c>
      <c r="C2" s="18" t="s">
        <v>374</v>
      </c>
      <c r="D2" s="18" t="s">
        <v>375</v>
      </c>
      <c r="E2" s="18" t="s">
        <v>376</v>
      </c>
      <c r="F2" s="19" t="s">
        <v>167</v>
      </c>
      <c r="G2" s="20" t="n">
        <f aca="false">IFERROR(INDEX('Semrush Data'!$C$2:$C$5000,MATCH(F2,'Semrush Data'!$A$2:$A$5000,0)),"")</f>
        <v>720</v>
      </c>
      <c r="H2" s="18" t="n">
        <f aca="false">IFERROR(INDEX('Semrush Data'!$D$2:$D$5000,MATCH(F2,'Semrush Data'!$A$2:$A$5000,0)),"")</f>
        <v>16</v>
      </c>
      <c r="I2" s="18" t="s">
        <v>295</v>
      </c>
      <c r="J2" s="20" t="n">
        <f aca="false">IFERROR(INDEX('Semrush Data'!$C$2:$C$5000,MATCH(I2,'Semrush Data'!$A$2:$A$5000,0)),"")</f>
        <v>480</v>
      </c>
      <c r="K2" s="18" t="s">
        <v>377</v>
      </c>
      <c r="L2" s="18" t="s">
        <v>378</v>
      </c>
      <c r="M2" s="18" t="s">
        <v>379</v>
      </c>
      <c r="N2" s="21" t="n">
        <f aca="false">LEN(M2)</f>
        <v>50</v>
      </c>
      <c r="O2" s="22" t="s">
        <v>380</v>
      </c>
      <c r="P2" s="21" t="n">
        <f aca="false">LEN(O2)</f>
        <v>158</v>
      </c>
      <c r="Q2" s="22" t="s">
        <v>381</v>
      </c>
      <c r="R2" s="22"/>
      <c r="S2" s="18" t="s">
        <v>382</v>
      </c>
      <c r="T2" s="22"/>
    </row>
    <row r="3" customFormat="false" ht="46.25" hidden="false" customHeight="false" outlineLevel="0" collapsed="false">
      <c r="A3" s="18" t="s">
        <v>383</v>
      </c>
      <c r="B3" s="18" t="s">
        <v>373</v>
      </c>
      <c r="C3" s="18" t="s">
        <v>384</v>
      </c>
      <c r="D3" s="18" t="s">
        <v>385</v>
      </c>
      <c r="E3" s="18" t="s">
        <v>386</v>
      </c>
      <c r="F3" s="19" t="s">
        <v>202</v>
      </c>
      <c r="G3" s="20" t="n">
        <f aca="false">IFERROR(INDEX('Semrush Data'!$C$2:$C$5000,MATCH(F3,'Semrush Data'!$A$2:$A$5000,0)),"")</f>
        <v>5400</v>
      </c>
      <c r="H3" s="18" t="n">
        <f aca="false">IFERROR(INDEX('Semrush Data'!$D$2:$D$5000,MATCH(F3,'Semrush Data'!$A$2:$A$5000,0)),"")</f>
        <v>21</v>
      </c>
      <c r="I3" s="18" t="s">
        <v>295</v>
      </c>
      <c r="J3" s="20" t="n">
        <f aca="false">IFERROR(INDEX('Semrush Data'!$C$2:$C$5000,MATCH(I3,'Semrush Data'!$A$2:$A$5000,0)),"")</f>
        <v>480</v>
      </c>
      <c r="K3" s="18" t="s">
        <v>387</v>
      </c>
      <c r="L3" s="18" t="s">
        <v>388</v>
      </c>
      <c r="M3" s="18" t="s">
        <v>389</v>
      </c>
      <c r="N3" s="21" t="n">
        <f aca="false">LEN(M3)</f>
        <v>51</v>
      </c>
      <c r="O3" s="22" t="s">
        <v>390</v>
      </c>
      <c r="P3" s="21" t="n">
        <f aca="false">LEN(O3)</f>
        <v>148</v>
      </c>
      <c r="Q3" s="22" t="s">
        <v>391</v>
      </c>
      <c r="R3" s="22" t="s">
        <v>392</v>
      </c>
      <c r="S3" s="18" t="s">
        <v>382</v>
      </c>
      <c r="T3" s="22" t="s">
        <v>393</v>
      </c>
    </row>
    <row r="4" customFormat="false" ht="23.85" hidden="false" customHeight="false" outlineLevel="0" collapsed="false">
      <c r="A4" s="18" t="s">
        <v>394</v>
      </c>
      <c r="B4" s="18" t="s">
        <v>373</v>
      </c>
      <c r="C4" s="18" t="s">
        <v>395</v>
      </c>
      <c r="D4" s="18" t="s">
        <v>396</v>
      </c>
      <c r="E4" s="18" t="s">
        <v>397</v>
      </c>
      <c r="F4" s="19" t="s">
        <v>223</v>
      </c>
      <c r="G4" s="20" t="n">
        <f aca="false">IFERROR(INDEX('Semrush Data'!$C$2:$C$5000,MATCH(F4,'Semrush Data'!$A$2:$A$5000,0)),"")</f>
        <v>1300</v>
      </c>
      <c r="H4" s="18" t="n">
        <f aca="false">IFERROR(INDEX('Semrush Data'!$D$2:$D$5000,MATCH(F4,'Semrush Data'!$A$2:$A$5000,0)),"")</f>
        <v>19</v>
      </c>
      <c r="I4" s="18" t="s">
        <v>295</v>
      </c>
      <c r="J4" s="20" t="n">
        <f aca="false">IFERROR(INDEX('Semrush Data'!$C$2:$C$5000,MATCH(I4,'Semrush Data'!$A$2:$A$5000,0)),"")</f>
        <v>480</v>
      </c>
      <c r="K4" s="18" t="s">
        <v>398</v>
      </c>
      <c r="L4" s="18" t="s">
        <v>399</v>
      </c>
      <c r="M4" s="18" t="s">
        <v>400</v>
      </c>
      <c r="N4" s="21" t="n">
        <f aca="false">LEN(M4)</f>
        <v>59</v>
      </c>
      <c r="O4" s="22" t="s">
        <v>401</v>
      </c>
      <c r="P4" s="21" t="n">
        <f aca="false">LEN(O4)</f>
        <v>148</v>
      </c>
      <c r="Q4" s="22" t="s">
        <v>402</v>
      </c>
      <c r="R4" s="22"/>
      <c r="S4" s="18" t="s">
        <v>403</v>
      </c>
      <c r="T4" s="22"/>
    </row>
    <row r="5" customFormat="false" ht="46.25" hidden="false" customHeight="false" outlineLevel="0" collapsed="false">
      <c r="A5" s="18" t="s">
        <v>404</v>
      </c>
      <c r="B5" s="18" t="s">
        <v>373</v>
      </c>
      <c r="C5" s="18" t="s">
        <v>405</v>
      </c>
      <c r="D5" s="18" t="s">
        <v>406</v>
      </c>
      <c r="E5" s="18" t="s">
        <v>407</v>
      </c>
      <c r="F5" s="19" t="s">
        <v>199</v>
      </c>
      <c r="G5" s="20" t="n">
        <f aca="false">IFERROR(INDEX('Semrush Data'!$C$2:$C$5000,MATCH(F5,'Semrush Data'!$A$2:$A$5000,0)),"")</f>
        <v>6600</v>
      </c>
      <c r="H5" s="18" t="n">
        <f aca="false">IFERROR(INDEX('Semrush Data'!$D$2:$D$5000,MATCH(F5,'Semrush Data'!$A$2:$A$5000,0)),"")</f>
        <v>26</v>
      </c>
      <c r="I5" s="18" t="s">
        <v>295</v>
      </c>
      <c r="J5" s="20" t="n">
        <f aca="false">IFERROR(INDEX('Semrush Data'!$C$2:$C$5000,MATCH(I5,'Semrush Data'!$A$2:$A$5000,0)),"")</f>
        <v>480</v>
      </c>
      <c r="K5" s="18" t="s">
        <v>408</v>
      </c>
      <c r="L5" s="18" t="s">
        <v>409</v>
      </c>
      <c r="M5" s="18" t="s">
        <v>410</v>
      </c>
      <c r="N5" s="21" t="n">
        <f aca="false">LEN(M5)</f>
        <v>54</v>
      </c>
      <c r="O5" s="22" t="s">
        <v>411</v>
      </c>
      <c r="P5" s="21" t="n">
        <f aca="false">LEN(O5)</f>
        <v>154</v>
      </c>
      <c r="Q5" s="22" t="s">
        <v>412</v>
      </c>
      <c r="R5" s="22"/>
      <c r="S5" s="18" t="s">
        <v>382</v>
      </c>
      <c r="T5" s="22"/>
    </row>
    <row r="6" customFormat="false" ht="23.85" hidden="false" customHeight="false" outlineLevel="0" collapsed="false">
      <c r="A6" s="18" t="s">
        <v>413</v>
      </c>
      <c r="B6" s="18" t="s">
        <v>373</v>
      </c>
      <c r="C6" s="18" t="s">
        <v>414</v>
      </c>
      <c r="D6" s="18" t="s">
        <v>415</v>
      </c>
      <c r="E6" s="18" t="s">
        <v>416</v>
      </c>
      <c r="F6" s="19" t="s">
        <v>206</v>
      </c>
      <c r="G6" s="20" t="n">
        <f aca="false">IFERROR(INDEX('Semrush Data'!$C$2:$C$5000,MATCH(F6,'Semrush Data'!$A$2:$A$5000,0)),"")</f>
        <v>3600</v>
      </c>
      <c r="H6" s="18" t="n">
        <f aca="false">IFERROR(INDEX('Semrush Data'!$D$2:$D$5000,MATCH(F6,'Semrush Data'!$A$2:$A$5000,0)),"")</f>
        <v>24</v>
      </c>
      <c r="I6" s="18" t="s">
        <v>295</v>
      </c>
      <c r="J6" s="20" t="n">
        <f aca="false">IFERROR(INDEX('Semrush Data'!$C$2:$C$5000,MATCH(I6,'Semrush Data'!$A$2:$A$5000,0)),"")</f>
        <v>480</v>
      </c>
      <c r="K6" s="18" t="s">
        <v>417</v>
      </c>
      <c r="L6" s="18" t="s">
        <v>418</v>
      </c>
      <c r="M6" s="18" t="s">
        <v>419</v>
      </c>
      <c r="N6" s="21" t="n">
        <f aca="false">LEN(M6)</f>
        <v>55</v>
      </c>
      <c r="O6" s="22" t="s">
        <v>420</v>
      </c>
      <c r="P6" s="21" t="n">
        <f aca="false">LEN(O6)</f>
        <v>155</v>
      </c>
      <c r="Q6" s="22" t="s">
        <v>421</v>
      </c>
      <c r="R6" s="22"/>
      <c r="S6" s="18" t="s">
        <v>422</v>
      </c>
      <c r="T6" s="22"/>
    </row>
    <row r="7" customFormat="false" ht="57.45" hidden="false" customHeight="false" outlineLevel="0" collapsed="false">
      <c r="A7" s="18" t="s">
        <v>423</v>
      </c>
      <c r="B7" s="18" t="s">
        <v>373</v>
      </c>
      <c r="C7" s="18" t="s">
        <v>424</v>
      </c>
      <c r="D7" s="18" t="s">
        <v>425</v>
      </c>
      <c r="E7" s="18" t="s">
        <v>376</v>
      </c>
      <c r="F7" s="19" t="s">
        <v>159</v>
      </c>
      <c r="G7" s="20" t="n">
        <f aca="false">IFERROR(INDEX('Semrush Data'!$C$2:$C$5000,MATCH(F7,'Semrush Data'!$A$2:$A$5000,0)),"")</f>
        <v>1600</v>
      </c>
      <c r="H7" s="18" t="n">
        <f aca="false">IFERROR(INDEX('Semrush Data'!$D$2:$D$5000,MATCH(F7,'Semrush Data'!$A$2:$A$5000,0)),"")</f>
        <v>33</v>
      </c>
      <c r="I7" s="18" t="s">
        <v>295</v>
      </c>
      <c r="J7" s="20" t="n">
        <f aca="false">IFERROR(INDEX('Semrush Data'!$C$2:$C$5000,MATCH(I7,'Semrush Data'!$A$2:$A$5000,0)),"")</f>
        <v>480</v>
      </c>
      <c r="K7" s="18" t="s">
        <v>426</v>
      </c>
      <c r="L7" s="18" t="s">
        <v>427</v>
      </c>
      <c r="M7" s="18" t="s">
        <v>428</v>
      </c>
      <c r="N7" s="21" t="n">
        <f aca="false">LEN(M7)</f>
        <v>54</v>
      </c>
      <c r="O7" s="22" t="s">
        <v>429</v>
      </c>
      <c r="P7" s="21" t="n">
        <f aca="false">LEN(O7)</f>
        <v>158</v>
      </c>
      <c r="Q7" s="22" t="s">
        <v>430</v>
      </c>
      <c r="R7" s="22" t="s">
        <v>431</v>
      </c>
      <c r="S7" s="18" t="s">
        <v>382</v>
      </c>
      <c r="T7" s="22"/>
    </row>
    <row r="8" customFormat="false" ht="46.25" hidden="false" customHeight="false" outlineLevel="0" collapsed="false">
      <c r="A8" s="18" t="s">
        <v>432</v>
      </c>
      <c r="B8" s="18" t="s">
        <v>373</v>
      </c>
      <c r="C8" s="18" t="s">
        <v>433</v>
      </c>
      <c r="D8" s="18" t="s">
        <v>434</v>
      </c>
      <c r="E8" s="18" t="s">
        <v>435</v>
      </c>
      <c r="F8" s="19" t="s">
        <v>153</v>
      </c>
      <c r="G8" s="20" t="n">
        <f aca="false">IFERROR(INDEX('Semrush Data'!$C$2:$C$5000,MATCH(F8,'Semrush Data'!$A$2:$A$5000,0)),"")</f>
        <v>2900</v>
      </c>
      <c r="H8" s="18" t="n">
        <f aca="false">IFERROR(INDEX('Semrush Data'!$D$2:$D$5000,MATCH(F8,'Semrush Data'!$A$2:$A$5000,0)),"")</f>
        <v>29</v>
      </c>
      <c r="I8" s="18" t="s">
        <v>295</v>
      </c>
      <c r="J8" s="20" t="n">
        <f aca="false">IFERROR(INDEX('Semrush Data'!$C$2:$C$5000,MATCH(I8,'Semrush Data'!$A$2:$A$5000,0)),"")</f>
        <v>480</v>
      </c>
      <c r="K8" s="18" t="s">
        <v>436</v>
      </c>
      <c r="L8" s="18" t="s">
        <v>437</v>
      </c>
      <c r="M8" s="18" t="s">
        <v>438</v>
      </c>
      <c r="N8" s="21" t="n">
        <f aca="false">LEN(M8)</f>
        <v>58</v>
      </c>
      <c r="O8" s="22" t="s">
        <v>439</v>
      </c>
      <c r="P8" s="21" t="n">
        <f aca="false">LEN(O8)</f>
        <v>148</v>
      </c>
      <c r="Q8" s="22" t="s">
        <v>440</v>
      </c>
      <c r="R8" s="22"/>
      <c r="S8" s="18" t="s">
        <v>382</v>
      </c>
      <c r="T8" s="22" t="s">
        <v>393</v>
      </c>
    </row>
    <row r="9" customFormat="false" ht="23.85" hidden="false" customHeight="false" outlineLevel="0" collapsed="false">
      <c r="A9" s="18" t="s">
        <v>441</v>
      </c>
      <c r="B9" s="18" t="s">
        <v>373</v>
      </c>
      <c r="C9" s="18" t="s">
        <v>442</v>
      </c>
      <c r="D9" s="18" t="s">
        <v>396</v>
      </c>
      <c r="E9" s="18" t="s">
        <v>397</v>
      </c>
      <c r="F9" s="19" t="s">
        <v>223</v>
      </c>
      <c r="G9" s="20" t="n">
        <f aca="false">IFERROR(INDEX('Semrush Data'!$C$2:$C$5000,MATCH(F9,'Semrush Data'!$A$2:$A$5000,0)),"")</f>
        <v>1300</v>
      </c>
      <c r="H9" s="18" t="n">
        <f aca="false">IFERROR(INDEX('Semrush Data'!$D$2:$D$5000,MATCH(F9,'Semrush Data'!$A$2:$A$5000,0)),"")</f>
        <v>19</v>
      </c>
      <c r="I9" s="18" t="s">
        <v>295</v>
      </c>
      <c r="J9" s="20" t="n">
        <f aca="false">IFERROR(INDEX('Semrush Data'!$C$2:$C$5000,MATCH(I9,'Semrush Data'!$A$2:$A$5000,0)),"")</f>
        <v>480</v>
      </c>
      <c r="K9" s="18" t="s">
        <v>398</v>
      </c>
      <c r="L9" s="18" t="s">
        <v>443</v>
      </c>
      <c r="M9" s="18" t="s">
        <v>444</v>
      </c>
      <c r="N9" s="21" t="n">
        <f aca="false">LEN(M9)</f>
        <v>53</v>
      </c>
      <c r="O9" s="22" t="s">
        <v>445</v>
      </c>
      <c r="P9" s="21" t="n">
        <f aca="false">LEN(O9)</f>
        <v>153</v>
      </c>
      <c r="Q9" s="22" t="s">
        <v>446</v>
      </c>
      <c r="R9" s="22"/>
      <c r="S9" s="18" t="s">
        <v>403</v>
      </c>
      <c r="T9" s="22"/>
    </row>
    <row r="10" customFormat="false" ht="46.25" hidden="false" customHeight="false" outlineLevel="0" collapsed="false">
      <c r="A10" s="18" t="s">
        <v>447</v>
      </c>
      <c r="B10" s="18" t="s">
        <v>373</v>
      </c>
      <c r="C10" s="18" t="s">
        <v>448</v>
      </c>
      <c r="D10" s="18" t="s">
        <v>396</v>
      </c>
      <c r="E10" s="18" t="s">
        <v>397</v>
      </c>
      <c r="F10" s="19" t="s">
        <v>223</v>
      </c>
      <c r="G10" s="20" t="n">
        <f aca="false">IFERROR(INDEX('Semrush Data'!$C$2:$C$5000,MATCH(F10,'Semrush Data'!$A$2:$A$5000,0)),"")</f>
        <v>1300</v>
      </c>
      <c r="H10" s="18" t="n">
        <f aca="false">IFERROR(INDEX('Semrush Data'!$D$2:$D$5000,MATCH(F10,'Semrush Data'!$A$2:$A$5000,0)),"")</f>
        <v>19</v>
      </c>
      <c r="I10" s="18" t="s">
        <v>295</v>
      </c>
      <c r="J10" s="20" t="n">
        <f aca="false">IFERROR(INDEX('Semrush Data'!$C$2:$C$5000,MATCH(I10,'Semrush Data'!$A$2:$A$5000,0)),"")</f>
        <v>480</v>
      </c>
      <c r="K10" s="18" t="s">
        <v>398</v>
      </c>
      <c r="L10" s="18" t="s">
        <v>449</v>
      </c>
      <c r="M10" s="18" t="s">
        <v>450</v>
      </c>
      <c r="N10" s="21" t="n">
        <f aca="false">LEN(M10)</f>
        <v>57</v>
      </c>
      <c r="O10" s="22" t="s">
        <v>451</v>
      </c>
      <c r="P10" s="21" t="n">
        <f aca="false">LEN(O10)</f>
        <v>146</v>
      </c>
      <c r="Q10" s="22" t="s">
        <v>452</v>
      </c>
      <c r="R10" s="22" t="s">
        <v>453</v>
      </c>
      <c r="S10" s="18" t="s">
        <v>382</v>
      </c>
      <c r="T10" s="22"/>
    </row>
    <row r="11" customFormat="false" ht="35.05" hidden="false" customHeight="false" outlineLevel="0" collapsed="false">
      <c r="A11" s="18" t="s">
        <v>454</v>
      </c>
      <c r="B11" s="18" t="s">
        <v>373</v>
      </c>
      <c r="C11" s="18" t="s">
        <v>455</v>
      </c>
      <c r="D11" s="18" t="s">
        <v>456</v>
      </c>
      <c r="E11" s="18" t="s">
        <v>457</v>
      </c>
      <c r="F11" s="19" t="s">
        <v>163</v>
      </c>
      <c r="G11" s="20" t="n">
        <f aca="false">IFERROR(INDEX('Semrush Data'!$C$2:$C$5000,MATCH(F11,'Semrush Data'!$A$2:$A$5000,0)),"")</f>
        <v>1000</v>
      </c>
      <c r="H11" s="18" t="n">
        <f aca="false">IFERROR(INDEX('Semrush Data'!$D$2:$D$5000,MATCH(F11,'Semrush Data'!$A$2:$A$5000,0)),"")</f>
        <v>41</v>
      </c>
      <c r="I11" s="18" t="s">
        <v>295</v>
      </c>
      <c r="J11" s="20" t="n">
        <f aca="false">IFERROR(INDEX('Semrush Data'!$C$2:$C$5000,MATCH(I11,'Semrush Data'!$A$2:$A$5000,0)),"")</f>
        <v>480</v>
      </c>
      <c r="K11" s="18" t="s">
        <v>458</v>
      </c>
      <c r="L11" s="18" t="s">
        <v>459</v>
      </c>
      <c r="M11" s="18" t="s">
        <v>460</v>
      </c>
      <c r="N11" s="21" t="n">
        <f aca="false">LEN(M11)</f>
        <v>60</v>
      </c>
      <c r="O11" s="22" t="s">
        <v>461</v>
      </c>
      <c r="P11" s="21" t="n">
        <f aca="false">LEN(O11)</f>
        <v>157</v>
      </c>
      <c r="Q11" s="22" t="s">
        <v>462</v>
      </c>
      <c r="R11" s="22" t="s">
        <v>463</v>
      </c>
      <c r="S11" s="18" t="s">
        <v>403</v>
      </c>
      <c r="T11" s="22"/>
    </row>
    <row r="12" customFormat="false" ht="23.85" hidden="false" customHeight="false" outlineLevel="0" collapsed="false">
      <c r="A12" s="18" t="s">
        <v>464</v>
      </c>
      <c r="B12" s="18" t="s">
        <v>373</v>
      </c>
      <c r="C12" s="18" t="s">
        <v>465</v>
      </c>
      <c r="D12" s="18" t="s">
        <v>396</v>
      </c>
      <c r="E12" s="18" t="s">
        <v>397</v>
      </c>
      <c r="F12" s="19" t="s">
        <v>223</v>
      </c>
      <c r="G12" s="20" t="n">
        <f aca="false">IFERROR(INDEX('Semrush Data'!$C$2:$C$5000,MATCH(F12,'Semrush Data'!$A$2:$A$5000,0)),"")</f>
        <v>1300</v>
      </c>
      <c r="H12" s="18" t="n">
        <f aca="false">IFERROR(INDEX('Semrush Data'!$D$2:$D$5000,MATCH(F12,'Semrush Data'!$A$2:$A$5000,0)),"")</f>
        <v>19</v>
      </c>
      <c r="I12" s="18" t="s">
        <v>295</v>
      </c>
      <c r="J12" s="20" t="n">
        <f aca="false">IFERROR(INDEX('Semrush Data'!$C$2:$C$5000,MATCH(I12,'Semrush Data'!$A$2:$A$5000,0)),"")</f>
        <v>480</v>
      </c>
      <c r="K12" s="18" t="s">
        <v>398</v>
      </c>
      <c r="L12" s="18" t="s">
        <v>466</v>
      </c>
      <c r="M12" s="18" t="s">
        <v>467</v>
      </c>
      <c r="N12" s="21" t="n">
        <f aca="false">LEN(M12)</f>
        <v>60</v>
      </c>
      <c r="O12" s="22" t="s">
        <v>468</v>
      </c>
      <c r="P12" s="21" t="n">
        <f aca="false">LEN(O12)</f>
        <v>149</v>
      </c>
      <c r="Q12" s="22" t="s">
        <v>469</v>
      </c>
      <c r="R12" s="22"/>
      <c r="S12" s="18" t="s">
        <v>403</v>
      </c>
      <c r="T12" s="22"/>
    </row>
    <row r="13" customFormat="false" ht="35.05" hidden="false" customHeight="false" outlineLevel="0" collapsed="false">
      <c r="A13" s="18" t="s">
        <v>470</v>
      </c>
      <c r="B13" s="18" t="s">
        <v>373</v>
      </c>
      <c r="C13" s="18" t="s">
        <v>471</v>
      </c>
      <c r="D13" s="18" t="s">
        <v>472</v>
      </c>
      <c r="E13" s="18" t="s">
        <v>473</v>
      </c>
      <c r="F13" s="19" t="s">
        <v>156</v>
      </c>
      <c r="G13" s="20" t="n">
        <f aca="false">IFERROR(INDEX('Semrush Data'!$C$2:$C$5000,MATCH(F13,'Semrush Data'!$A$2:$A$5000,0)),"")</f>
        <v>2400</v>
      </c>
      <c r="H13" s="18" t="n">
        <f aca="false">IFERROR(INDEX('Semrush Data'!$D$2:$D$5000,MATCH(F13,'Semrush Data'!$A$2:$A$5000,0)),"")</f>
        <v>13</v>
      </c>
      <c r="I13" s="18" t="s">
        <v>295</v>
      </c>
      <c r="J13" s="20" t="n">
        <f aca="false">IFERROR(INDEX('Semrush Data'!$C$2:$C$5000,MATCH(I13,'Semrush Data'!$A$2:$A$5000,0)),"")</f>
        <v>480</v>
      </c>
      <c r="K13" s="18" t="s">
        <v>474</v>
      </c>
      <c r="L13" s="18" t="s">
        <v>475</v>
      </c>
      <c r="M13" s="18" t="s">
        <v>476</v>
      </c>
      <c r="N13" s="21" t="n">
        <f aca="false">LEN(M13)</f>
        <v>60</v>
      </c>
      <c r="O13" s="22" t="s">
        <v>477</v>
      </c>
      <c r="P13" s="21" t="n">
        <f aca="false">LEN(O13)</f>
        <v>157</v>
      </c>
      <c r="Q13" s="22" t="s">
        <v>478</v>
      </c>
      <c r="R13" s="22" t="s">
        <v>479</v>
      </c>
      <c r="S13" s="18" t="s">
        <v>422</v>
      </c>
      <c r="T13" s="22" t="s">
        <v>393</v>
      </c>
    </row>
    <row r="14" customFormat="false" ht="35.05" hidden="false" customHeight="false" outlineLevel="0" collapsed="false">
      <c r="A14" s="18" t="s">
        <v>480</v>
      </c>
      <c r="B14" s="18" t="s">
        <v>373</v>
      </c>
      <c r="C14" s="18" t="s">
        <v>481</v>
      </c>
      <c r="D14" s="18" t="s">
        <v>482</v>
      </c>
      <c r="E14" s="18" t="s">
        <v>435</v>
      </c>
      <c r="F14" s="19" t="s">
        <v>207</v>
      </c>
      <c r="G14" s="20" t="n">
        <f aca="false">IFERROR(INDEX('Semrush Data'!$C$2:$C$5000,MATCH(F14,'Semrush Data'!$A$2:$A$5000,0)),"")</f>
        <v>3600</v>
      </c>
      <c r="H14" s="18" t="n">
        <f aca="false">IFERROR(INDEX('Semrush Data'!$D$2:$D$5000,MATCH(F14,'Semrush Data'!$A$2:$A$5000,0)),"")</f>
        <v>21</v>
      </c>
      <c r="I14" s="18" t="s">
        <v>295</v>
      </c>
      <c r="J14" s="20" t="n">
        <f aca="false">IFERROR(INDEX('Semrush Data'!$C$2:$C$5000,MATCH(I14,'Semrush Data'!$A$2:$A$5000,0)),"")</f>
        <v>480</v>
      </c>
      <c r="K14" s="18" t="s">
        <v>483</v>
      </c>
      <c r="L14" s="18" t="s">
        <v>484</v>
      </c>
      <c r="M14" s="18" t="s">
        <v>485</v>
      </c>
      <c r="N14" s="21" t="n">
        <f aca="false">LEN(M14)</f>
        <v>53</v>
      </c>
      <c r="O14" s="22" t="s">
        <v>486</v>
      </c>
      <c r="P14" s="21" t="n">
        <f aca="false">LEN(O14)</f>
        <v>142</v>
      </c>
      <c r="Q14" s="22" t="s">
        <v>487</v>
      </c>
      <c r="R14" s="22" t="s">
        <v>488</v>
      </c>
      <c r="S14" s="18" t="s">
        <v>382</v>
      </c>
      <c r="T14" s="22" t="s">
        <v>393</v>
      </c>
    </row>
    <row r="15" customFormat="false" ht="46.25" hidden="false" customHeight="false" outlineLevel="0" collapsed="false">
      <c r="A15" s="18" t="s">
        <v>489</v>
      </c>
      <c r="B15" s="18" t="s">
        <v>373</v>
      </c>
      <c r="C15" s="18" t="s">
        <v>490</v>
      </c>
      <c r="D15" s="18" t="s">
        <v>425</v>
      </c>
      <c r="E15" s="18" t="s">
        <v>376</v>
      </c>
      <c r="F15" s="19" t="s">
        <v>159</v>
      </c>
      <c r="G15" s="20" t="n">
        <f aca="false">IFERROR(INDEX('Semrush Data'!$C$2:$C$5000,MATCH(F15,'Semrush Data'!$A$2:$A$5000,0)),"")</f>
        <v>1600</v>
      </c>
      <c r="H15" s="18" t="n">
        <f aca="false">IFERROR(INDEX('Semrush Data'!$D$2:$D$5000,MATCH(F15,'Semrush Data'!$A$2:$A$5000,0)),"")</f>
        <v>33</v>
      </c>
      <c r="I15" s="18" t="s">
        <v>295</v>
      </c>
      <c r="J15" s="20" t="n">
        <f aca="false">IFERROR(INDEX('Semrush Data'!$C$2:$C$5000,MATCH(I15,'Semrush Data'!$A$2:$A$5000,0)),"")</f>
        <v>480</v>
      </c>
      <c r="K15" s="18" t="s">
        <v>426</v>
      </c>
      <c r="L15" s="18" t="s">
        <v>491</v>
      </c>
      <c r="M15" s="18" t="s">
        <v>492</v>
      </c>
      <c r="N15" s="21" t="n">
        <f aca="false">LEN(M15)</f>
        <v>52</v>
      </c>
      <c r="O15" s="22" t="s">
        <v>493</v>
      </c>
      <c r="P15" s="21" t="n">
        <f aca="false">LEN(O15)</f>
        <v>160</v>
      </c>
      <c r="Q15" s="22" t="s">
        <v>494</v>
      </c>
      <c r="R15" s="22" t="s">
        <v>495</v>
      </c>
      <c r="S15" s="18" t="s">
        <v>382</v>
      </c>
      <c r="T15" s="22"/>
    </row>
    <row r="16" customFormat="false" ht="46.25" hidden="false" customHeight="false" outlineLevel="0" collapsed="false">
      <c r="A16" s="18" t="s">
        <v>496</v>
      </c>
      <c r="B16" s="18" t="s">
        <v>373</v>
      </c>
      <c r="C16" s="18" t="s">
        <v>497</v>
      </c>
      <c r="D16" s="18" t="s">
        <v>456</v>
      </c>
      <c r="E16" s="18" t="s">
        <v>457</v>
      </c>
      <c r="F16" s="19" t="s">
        <v>163</v>
      </c>
      <c r="G16" s="20" t="n">
        <f aca="false">IFERROR(INDEX('Semrush Data'!$C$2:$C$5000,MATCH(F16,'Semrush Data'!$A$2:$A$5000,0)),"")</f>
        <v>1000</v>
      </c>
      <c r="H16" s="18" t="n">
        <f aca="false">IFERROR(INDEX('Semrush Data'!$D$2:$D$5000,MATCH(F16,'Semrush Data'!$A$2:$A$5000,0)),"")</f>
        <v>41</v>
      </c>
      <c r="I16" s="18" t="s">
        <v>295</v>
      </c>
      <c r="J16" s="20" t="n">
        <f aca="false">IFERROR(INDEX('Semrush Data'!$C$2:$C$5000,MATCH(I16,'Semrush Data'!$A$2:$A$5000,0)),"")</f>
        <v>480</v>
      </c>
      <c r="K16" s="18" t="s">
        <v>458</v>
      </c>
      <c r="L16" s="18" t="s">
        <v>498</v>
      </c>
      <c r="M16" s="18" t="s">
        <v>499</v>
      </c>
      <c r="N16" s="21" t="n">
        <f aca="false">LEN(M16)</f>
        <v>58</v>
      </c>
      <c r="O16" s="22" t="s">
        <v>500</v>
      </c>
      <c r="P16" s="21" t="n">
        <f aca="false">LEN(O16)</f>
        <v>155</v>
      </c>
      <c r="Q16" s="22" t="s">
        <v>501</v>
      </c>
      <c r="R16" s="22" t="s">
        <v>502</v>
      </c>
      <c r="S16" s="18" t="s">
        <v>382</v>
      </c>
      <c r="T16" s="22" t="s">
        <v>393</v>
      </c>
    </row>
    <row r="17" customFormat="false" ht="46.25" hidden="false" customHeight="false" outlineLevel="0" collapsed="false">
      <c r="A17" s="18" t="s">
        <v>503</v>
      </c>
      <c r="B17" s="18" t="s">
        <v>373</v>
      </c>
      <c r="C17" s="18" t="s">
        <v>504</v>
      </c>
      <c r="D17" s="18" t="s">
        <v>505</v>
      </c>
      <c r="E17" s="18" t="s">
        <v>435</v>
      </c>
      <c r="F17" s="19" t="s">
        <v>161</v>
      </c>
      <c r="G17" s="20" t="n">
        <f aca="false">IFERROR(INDEX('Semrush Data'!$C$2:$C$5000,MATCH(F17,'Semrush Data'!$A$2:$A$5000,0)),"")</f>
        <v>1300</v>
      </c>
      <c r="H17" s="18" t="n">
        <f aca="false">IFERROR(INDEX('Semrush Data'!$D$2:$D$5000,MATCH(F17,'Semrush Data'!$A$2:$A$5000,0)),"")</f>
        <v>11</v>
      </c>
      <c r="I17" s="18" t="s">
        <v>295</v>
      </c>
      <c r="J17" s="20" t="n">
        <f aca="false">IFERROR(INDEX('Semrush Data'!$C$2:$C$5000,MATCH(I17,'Semrush Data'!$A$2:$A$5000,0)),"")</f>
        <v>480</v>
      </c>
      <c r="K17" s="18" t="s">
        <v>506</v>
      </c>
      <c r="L17" s="18" t="s">
        <v>507</v>
      </c>
      <c r="M17" s="18" t="s">
        <v>508</v>
      </c>
      <c r="N17" s="21" t="n">
        <f aca="false">LEN(M17)</f>
        <v>50</v>
      </c>
      <c r="O17" s="22" t="s">
        <v>509</v>
      </c>
      <c r="P17" s="21" t="n">
        <f aca="false">LEN(O17)</f>
        <v>158</v>
      </c>
      <c r="Q17" s="22" t="s">
        <v>510</v>
      </c>
      <c r="R17" s="22" t="s">
        <v>511</v>
      </c>
      <c r="S17" s="18" t="s">
        <v>382</v>
      </c>
      <c r="T17" s="22"/>
    </row>
    <row r="18" customFormat="false" ht="46.25" hidden="false" customHeight="false" outlineLevel="0" collapsed="false">
      <c r="A18" s="18" t="s">
        <v>512</v>
      </c>
      <c r="B18" s="18" t="s">
        <v>373</v>
      </c>
      <c r="C18" s="18" t="s">
        <v>513</v>
      </c>
      <c r="D18" s="18" t="s">
        <v>375</v>
      </c>
      <c r="E18" s="18" t="s">
        <v>435</v>
      </c>
      <c r="F18" s="19" t="s">
        <v>167</v>
      </c>
      <c r="G18" s="20" t="n">
        <f aca="false">IFERROR(INDEX('Semrush Data'!$C$2:$C$5000,MATCH(F18,'Semrush Data'!$A$2:$A$5000,0)),"")</f>
        <v>720</v>
      </c>
      <c r="H18" s="18" t="n">
        <f aca="false">IFERROR(INDEX('Semrush Data'!$D$2:$D$5000,MATCH(F18,'Semrush Data'!$A$2:$A$5000,0)),"")</f>
        <v>16</v>
      </c>
      <c r="I18" s="18" t="s">
        <v>295</v>
      </c>
      <c r="J18" s="20" t="n">
        <f aca="false">IFERROR(INDEX('Semrush Data'!$C$2:$C$5000,MATCH(I18,'Semrush Data'!$A$2:$A$5000,0)),"")</f>
        <v>480</v>
      </c>
      <c r="K18" s="18" t="s">
        <v>377</v>
      </c>
      <c r="L18" s="18" t="s">
        <v>514</v>
      </c>
      <c r="M18" s="18" t="s">
        <v>515</v>
      </c>
      <c r="N18" s="21" t="n">
        <f aca="false">LEN(M18)</f>
        <v>54</v>
      </c>
      <c r="O18" s="22" t="s">
        <v>516</v>
      </c>
      <c r="P18" s="21" t="n">
        <f aca="false">LEN(O18)</f>
        <v>151</v>
      </c>
      <c r="Q18" s="22" t="s">
        <v>517</v>
      </c>
      <c r="R18" s="22" t="s">
        <v>518</v>
      </c>
      <c r="S18" s="18" t="s">
        <v>382</v>
      </c>
      <c r="T18" s="22" t="s">
        <v>393</v>
      </c>
    </row>
    <row r="19" customFormat="false" ht="46.25" hidden="false" customHeight="false" outlineLevel="0" collapsed="false">
      <c r="A19" s="18" t="s">
        <v>519</v>
      </c>
      <c r="B19" s="18" t="s">
        <v>373</v>
      </c>
      <c r="C19" s="18" t="s">
        <v>520</v>
      </c>
      <c r="D19" s="18" t="s">
        <v>521</v>
      </c>
      <c r="E19" s="18" t="s">
        <v>376</v>
      </c>
      <c r="F19" s="19" t="s">
        <v>191</v>
      </c>
      <c r="G19" s="20" t="n">
        <f aca="false">IFERROR(INDEX('Semrush Data'!$C$2:$C$5000,MATCH(F19,'Semrush Data'!$A$2:$A$5000,0)),"")</f>
        <v>22200</v>
      </c>
      <c r="H19" s="18" t="n">
        <f aca="false">IFERROR(INDEX('Semrush Data'!$D$2:$D$5000,MATCH(F19,'Semrush Data'!$A$2:$A$5000,0)),"")</f>
        <v>30</v>
      </c>
      <c r="I19" s="18" t="s">
        <v>295</v>
      </c>
      <c r="J19" s="20" t="n">
        <f aca="false">IFERROR(INDEX('Semrush Data'!$C$2:$C$5000,MATCH(I19,'Semrush Data'!$A$2:$A$5000,0)),"")</f>
        <v>480</v>
      </c>
      <c r="K19" s="18" t="s">
        <v>522</v>
      </c>
      <c r="L19" s="18" t="s">
        <v>523</v>
      </c>
      <c r="M19" s="18" t="s">
        <v>524</v>
      </c>
      <c r="N19" s="21" t="n">
        <f aca="false">LEN(M19)</f>
        <v>32</v>
      </c>
      <c r="O19" s="22" t="s">
        <v>525</v>
      </c>
      <c r="P19" s="21" t="n">
        <f aca="false">LEN(O19)</f>
        <v>140</v>
      </c>
      <c r="Q19" s="22" t="s">
        <v>526</v>
      </c>
      <c r="R19" s="22" t="s">
        <v>527</v>
      </c>
      <c r="S19" s="18" t="s">
        <v>382</v>
      </c>
      <c r="T19" s="22"/>
    </row>
    <row r="20" customFormat="false" ht="23.85" hidden="false" customHeight="false" outlineLevel="0" collapsed="false">
      <c r="A20" s="18" t="s">
        <v>528</v>
      </c>
      <c r="B20" s="18" t="s">
        <v>373</v>
      </c>
      <c r="C20" s="18" t="s">
        <v>529</v>
      </c>
      <c r="D20" s="18" t="s">
        <v>521</v>
      </c>
      <c r="E20" s="18" t="s">
        <v>376</v>
      </c>
      <c r="F20" s="19" t="s">
        <v>191</v>
      </c>
      <c r="G20" s="20" t="n">
        <f aca="false">IFERROR(INDEX('Semrush Data'!$C$2:$C$5000,MATCH(F20,'Semrush Data'!$A$2:$A$5000,0)),"")</f>
        <v>22200</v>
      </c>
      <c r="H20" s="18" t="n">
        <f aca="false">IFERROR(INDEX('Semrush Data'!$D$2:$D$5000,MATCH(F20,'Semrush Data'!$A$2:$A$5000,0)),"")</f>
        <v>30</v>
      </c>
      <c r="I20" s="18" t="s">
        <v>295</v>
      </c>
      <c r="J20" s="20" t="n">
        <f aca="false">IFERROR(INDEX('Semrush Data'!$C$2:$C$5000,MATCH(I20,'Semrush Data'!$A$2:$A$5000,0)),"")</f>
        <v>480</v>
      </c>
      <c r="K20" s="18" t="s">
        <v>522</v>
      </c>
      <c r="L20" s="18" t="s">
        <v>530</v>
      </c>
      <c r="M20" s="18" t="s">
        <v>531</v>
      </c>
      <c r="N20" s="21" t="n">
        <f aca="false">LEN(M20)</f>
        <v>37</v>
      </c>
      <c r="O20" s="22" t="s">
        <v>532</v>
      </c>
      <c r="P20" s="21" t="n">
        <f aca="false">LEN(O20)</f>
        <v>145</v>
      </c>
      <c r="Q20" s="22" t="s">
        <v>533</v>
      </c>
      <c r="R20" s="22"/>
      <c r="S20" s="18" t="s">
        <v>403</v>
      </c>
      <c r="T20" s="22"/>
    </row>
    <row r="21" customFormat="false" ht="46.25" hidden="false" customHeight="false" outlineLevel="0" collapsed="false">
      <c r="A21" s="18" t="s">
        <v>534</v>
      </c>
      <c r="B21" s="18" t="s">
        <v>373</v>
      </c>
      <c r="C21" s="18" t="s">
        <v>535</v>
      </c>
      <c r="D21" s="18" t="s">
        <v>434</v>
      </c>
      <c r="E21" s="18" t="s">
        <v>376</v>
      </c>
      <c r="F21" s="19" t="s">
        <v>193</v>
      </c>
      <c r="G21" s="20" t="n">
        <f aca="false">IFERROR(INDEX('Semrush Data'!$C$2:$C$5000,MATCH(F21,'Semrush Data'!$A$2:$A$5000,0)),"")</f>
        <v>18100</v>
      </c>
      <c r="H21" s="18" t="n">
        <f aca="false">IFERROR(INDEX('Semrush Data'!$D$2:$D$5000,MATCH(F21,'Semrush Data'!$A$2:$A$5000,0)),"")</f>
        <v>16</v>
      </c>
      <c r="I21" s="18" t="s">
        <v>295</v>
      </c>
      <c r="J21" s="20" t="n">
        <f aca="false">IFERROR(INDEX('Semrush Data'!$C$2:$C$5000,MATCH(I21,'Semrush Data'!$A$2:$A$5000,0)),"")</f>
        <v>480</v>
      </c>
      <c r="K21" s="18" t="s">
        <v>436</v>
      </c>
      <c r="L21" s="18" t="s">
        <v>536</v>
      </c>
      <c r="M21" s="18" t="s">
        <v>537</v>
      </c>
      <c r="N21" s="21" t="n">
        <f aca="false">LEN(M21)</f>
        <v>36</v>
      </c>
      <c r="O21" s="22" t="s">
        <v>538</v>
      </c>
      <c r="P21" s="21" t="n">
        <f aca="false">LEN(O21)</f>
        <v>144</v>
      </c>
      <c r="Q21" s="22" t="s">
        <v>539</v>
      </c>
      <c r="R21" s="22" t="s">
        <v>540</v>
      </c>
      <c r="S21" s="18" t="s">
        <v>382</v>
      </c>
      <c r="T21" s="22" t="s">
        <v>393</v>
      </c>
    </row>
    <row r="22" customFormat="false" ht="46.25" hidden="false" customHeight="false" outlineLevel="0" collapsed="false">
      <c r="A22" s="18" t="s">
        <v>541</v>
      </c>
      <c r="B22" s="18" t="s">
        <v>373</v>
      </c>
      <c r="C22" s="18" t="s">
        <v>542</v>
      </c>
      <c r="D22" s="18" t="s">
        <v>385</v>
      </c>
      <c r="E22" s="18" t="s">
        <v>543</v>
      </c>
      <c r="F22" s="19" t="s">
        <v>202</v>
      </c>
      <c r="G22" s="20" t="n">
        <f aca="false">IFERROR(INDEX('Semrush Data'!$C$2:$C$5000,MATCH(F22,'Semrush Data'!$A$2:$A$5000,0)),"")</f>
        <v>5400</v>
      </c>
      <c r="H22" s="18" t="n">
        <f aca="false">IFERROR(INDEX('Semrush Data'!$D$2:$D$5000,MATCH(F22,'Semrush Data'!$A$2:$A$5000,0)),"")</f>
        <v>21</v>
      </c>
      <c r="I22" s="18" t="s">
        <v>295</v>
      </c>
      <c r="J22" s="20" t="n">
        <f aca="false">IFERROR(INDEX('Semrush Data'!$C$2:$C$5000,MATCH(I22,'Semrush Data'!$A$2:$A$5000,0)),"")</f>
        <v>480</v>
      </c>
      <c r="K22" s="18" t="s">
        <v>387</v>
      </c>
      <c r="L22" s="18" t="s">
        <v>544</v>
      </c>
      <c r="M22" s="18" t="s">
        <v>545</v>
      </c>
      <c r="N22" s="21" t="n">
        <f aca="false">LEN(M22)</f>
        <v>58</v>
      </c>
      <c r="O22" s="22" t="s">
        <v>546</v>
      </c>
      <c r="P22" s="21" t="n">
        <f aca="false">LEN(O22)</f>
        <v>155</v>
      </c>
      <c r="Q22" s="22" t="s">
        <v>547</v>
      </c>
      <c r="R22" s="22" t="s">
        <v>548</v>
      </c>
      <c r="S22" s="18" t="s">
        <v>382</v>
      </c>
      <c r="T22" s="22" t="s">
        <v>393</v>
      </c>
    </row>
    <row r="23" customFormat="false" ht="46.25" hidden="false" customHeight="false" outlineLevel="0" collapsed="false">
      <c r="A23" s="18" t="s">
        <v>549</v>
      </c>
      <c r="B23" s="18" t="s">
        <v>373</v>
      </c>
      <c r="C23" s="18" t="s">
        <v>550</v>
      </c>
      <c r="D23" s="18" t="s">
        <v>551</v>
      </c>
      <c r="E23" s="18" t="s">
        <v>552</v>
      </c>
      <c r="F23" s="19" t="s">
        <v>162</v>
      </c>
      <c r="G23" s="20" t="n">
        <f aca="false">IFERROR(INDEX('Semrush Data'!$C$2:$C$5000,MATCH(F23,'Semrush Data'!$A$2:$A$5000,0)),"")</f>
        <v>1000</v>
      </c>
      <c r="H23" s="18" t="n">
        <f aca="false">IFERROR(INDEX('Semrush Data'!$D$2:$D$5000,MATCH(F23,'Semrush Data'!$A$2:$A$5000,0)),"")</f>
        <v>27</v>
      </c>
      <c r="I23" s="18" t="s">
        <v>295</v>
      </c>
      <c r="J23" s="20" t="n">
        <f aca="false">IFERROR(INDEX('Semrush Data'!$C$2:$C$5000,MATCH(I23,'Semrush Data'!$A$2:$A$5000,0)),"")</f>
        <v>480</v>
      </c>
      <c r="K23" s="18" t="s">
        <v>553</v>
      </c>
      <c r="L23" s="18" t="s">
        <v>554</v>
      </c>
      <c r="M23" s="18" t="s">
        <v>555</v>
      </c>
      <c r="N23" s="21" t="n">
        <f aca="false">LEN(M23)</f>
        <v>57</v>
      </c>
      <c r="O23" s="22" t="s">
        <v>556</v>
      </c>
      <c r="P23" s="21" t="n">
        <f aca="false">LEN(O23)</f>
        <v>147</v>
      </c>
      <c r="Q23" s="22" t="s">
        <v>557</v>
      </c>
      <c r="R23" s="22" t="s">
        <v>558</v>
      </c>
      <c r="S23" s="18" t="s">
        <v>382</v>
      </c>
      <c r="T23" s="22" t="s">
        <v>393</v>
      </c>
    </row>
    <row r="24" customFormat="false" ht="46.25" hidden="false" customHeight="false" outlineLevel="0" collapsed="false">
      <c r="A24" s="18" t="s">
        <v>559</v>
      </c>
      <c r="B24" s="18" t="s">
        <v>373</v>
      </c>
      <c r="C24" s="18" t="s">
        <v>560</v>
      </c>
      <c r="D24" s="18" t="s">
        <v>561</v>
      </c>
      <c r="E24" s="18" t="s">
        <v>562</v>
      </c>
      <c r="F24" s="19" t="s">
        <v>196</v>
      </c>
      <c r="G24" s="20" t="n">
        <f aca="false">IFERROR(INDEX('Semrush Data'!$C$2:$C$5000,MATCH(F24,'Semrush Data'!$A$2:$A$5000,0)),"")</f>
        <v>9900</v>
      </c>
      <c r="H24" s="18" t="n">
        <f aca="false">IFERROR(INDEX('Semrush Data'!$D$2:$D$5000,MATCH(F24,'Semrush Data'!$A$2:$A$5000,0)),"")</f>
        <v>30</v>
      </c>
      <c r="I24" s="18" t="s">
        <v>295</v>
      </c>
      <c r="J24" s="20" t="n">
        <f aca="false">IFERROR(INDEX('Semrush Data'!$C$2:$C$5000,MATCH(I24,'Semrush Data'!$A$2:$A$5000,0)),"")</f>
        <v>480</v>
      </c>
      <c r="K24" s="18" t="s">
        <v>563</v>
      </c>
      <c r="L24" s="18" t="s">
        <v>564</v>
      </c>
      <c r="M24" s="18" t="s">
        <v>565</v>
      </c>
      <c r="N24" s="21" t="n">
        <f aca="false">LEN(M24)</f>
        <v>50</v>
      </c>
      <c r="O24" s="22" t="s">
        <v>566</v>
      </c>
      <c r="P24" s="21" t="n">
        <f aca="false">LEN(O24)</f>
        <v>147</v>
      </c>
      <c r="Q24" s="22" t="s">
        <v>567</v>
      </c>
      <c r="R24" s="22" t="s">
        <v>568</v>
      </c>
      <c r="S24" s="18" t="s">
        <v>382</v>
      </c>
      <c r="T24" s="22"/>
    </row>
    <row r="25" customFormat="false" ht="23.85" hidden="false" customHeight="false" outlineLevel="0" collapsed="false">
      <c r="A25" s="18" t="s">
        <v>569</v>
      </c>
      <c r="B25" s="18" t="s">
        <v>373</v>
      </c>
      <c r="C25" s="18" t="s">
        <v>570</v>
      </c>
      <c r="D25" s="18" t="s">
        <v>521</v>
      </c>
      <c r="E25" s="18" t="s">
        <v>571</v>
      </c>
      <c r="F25" s="19" t="s">
        <v>173</v>
      </c>
      <c r="G25" s="20" t="n">
        <f aca="false">IFERROR(INDEX('Semrush Data'!$C$2:$C$5000,MATCH(F25,'Semrush Data'!$A$2:$A$5000,0)),"")</f>
        <v>210</v>
      </c>
      <c r="H25" s="18" t="n">
        <f aca="false">IFERROR(INDEX('Semrush Data'!$D$2:$D$5000,MATCH(F25,'Semrush Data'!$A$2:$A$5000,0)),"")</f>
        <v>20</v>
      </c>
      <c r="I25" s="18" t="s">
        <v>295</v>
      </c>
      <c r="J25" s="20" t="n">
        <f aca="false">IFERROR(INDEX('Semrush Data'!$C$2:$C$5000,MATCH(I25,'Semrush Data'!$A$2:$A$5000,0)),"")</f>
        <v>480</v>
      </c>
      <c r="K25" s="18" t="s">
        <v>572</v>
      </c>
      <c r="L25" s="18" t="s">
        <v>573</v>
      </c>
      <c r="M25" s="18" t="s">
        <v>574</v>
      </c>
      <c r="N25" s="21" t="n">
        <f aca="false">LEN(M25)</f>
        <v>50</v>
      </c>
      <c r="O25" s="22" t="s">
        <v>575</v>
      </c>
      <c r="P25" s="21" t="n">
        <f aca="false">LEN(O25)</f>
        <v>158</v>
      </c>
      <c r="Q25" s="22" t="s">
        <v>576</v>
      </c>
      <c r="R25" s="22"/>
      <c r="S25" s="18" t="s">
        <v>403</v>
      </c>
      <c r="T25" s="22"/>
    </row>
    <row r="26" customFormat="false" ht="46.25" hidden="false" customHeight="false" outlineLevel="0" collapsed="false">
      <c r="A26" s="18" t="s">
        <v>577</v>
      </c>
      <c r="B26" s="18" t="s">
        <v>373</v>
      </c>
      <c r="C26" s="18" t="s">
        <v>578</v>
      </c>
      <c r="D26" s="18" t="s">
        <v>505</v>
      </c>
      <c r="E26" s="18" t="s">
        <v>435</v>
      </c>
      <c r="F26" s="19" t="s">
        <v>161</v>
      </c>
      <c r="G26" s="20" t="n">
        <f aca="false">IFERROR(INDEX('Semrush Data'!$C$2:$C$5000,MATCH(F26,'Semrush Data'!$A$2:$A$5000,0)),"")</f>
        <v>1300</v>
      </c>
      <c r="H26" s="18" t="n">
        <f aca="false">IFERROR(INDEX('Semrush Data'!$D$2:$D$5000,MATCH(F26,'Semrush Data'!$A$2:$A$5000,0)),"")</f>
        <v>11</v>
      </c>
      <c r="I26" s="18" t="s">
        <v>295</v>
      </c>
      <c r="J26" s="20" t="n">
        <f aca="false">IFERROR(INDEX('Semrush Data'!$C$2:$C$5000,MATCH(I26,'Semrush Data'!$A$2:$A$5000,0)),"")</f>
        <v>480</v>
      </c>
      <c r="K26" s="18" t="s">
        <v>506</v>
      </c>
      <c r="L26" s="18" t="s">
        <v>579</v>
      </c>
      <c r="M26" s="18" t="s">
        <v>580</v>
      </c>
      <c r="N26" s="21" t="n">
        <f aca="false">LEN(M26)</f>
        <v>58</v>
      </c>
      <c r="O26" s="22" t="s">
        <v>581</v>
      </c>
      <c r="P26" s="21" t="n">
        <f aca="false">LEN(O26)</f>
        <v>148</v>
      </c>
      <c r="Q26" s="22" t="s">
        <v>582</v>
      </c>
      <c r="R26" s="22"/>
      <c r="S26" s="18" t="s">
        <v>382</v>
      </c>
      <c r="T26" s="22" t="s">
        <v>393</v>
      </c>
    </row>
    <row r="27" customFormat="false" ht="46.25" hidden="false" customHeight="false" outlineLevel="0" collapsed="false">
      <c r="A27" s="18" t="s">
        <v>583</v>
      </c>
      <c r="B27" s="18" t="s">
        <v>373</v>
      </c>
      <c r="C27" s="18" t="s">
        <v>584</v>
      </c>
      <c r="D27" s="18" t="s">
        <v>585</v>
      </c>
      <c r="E27" s="18" t="s">
        <v>586</v>
      </c>
      <c r="F27" s="19" t="s">
        <v>195</v>
      </c>
      <c r="G27" s="20" t="n">
        <f aca="false">IFERROR(INDEX('Semrush Data'!$C$2:$C$5000,MATCH(F27,'Semrush Data'!$A$2:$A$5000,0)),"")</f>
        <v>12100</v>
      </c>
      <c r="H27" s="18" t="n">
        <f aca="false">IFERROR(INDEX('Semrush Data'!$D$2:$D$5000,MATCH(F27,'Semrush Data'!$A$2:$A$5000,0)),"")</f>
        <v>18</v>
      </c>
      <c r="I27" s="18" t="s">
        <v>295</v>
      </c>
      <c r="J27" s="20" t="n">
        <f aca="false">IFERROR(INDEX('Semrush Data'!$C$2:$C$5000,MATCH(I27,'Semrush Data'!$A$2:$A$5000,0)),"")</f>
        <v>480</v>
      </c>
      <c r="K27" s="18" t="s">
        <v>587</v>
      </c>
      <c r="L27" s="18" t="s">
        <v>588</v>
      </c>
      <c r="M27" s="18" t="s">
        <v>589</v>
      </c>
      <c r="N27" s="21" t="n">
        <f aca="false">LEN(M27)</f>
        <v>57</v>
      </c>
      <c r="O27" s="22" t="s">
        <v>590</v>
      </c>
      <c r="P27" s="21" t="n">
        <f aca="false">LEN(O27)</f>
        <v>154</v>
      </c>
      <c r="Q27" s="22" t="s">
        <v>591</v>
      </c>
      <c r="R27" s="22"/>
      <c r="S27" s="18" t="s">
        <v>382</v>
      </c>
      <c r="T27" s="22" t="s">
        <v>393</v>
      </c>
    </row>
    <row r="28" customFormat="false" ht="23.85" hidden="false" customHeight="false" outlineLevel="0" collapsed="false">
      <c r="A28" s="18" t="s">
        <v>592</v>
      </c>
      <c r="B28" s="18" t="s">
        <v>373</v>
      </c>
      <c r="C28" s="18" t="s">
        <v>593</v>
      </c>
      <c r="D28" s="18" t="s">
        <v>425</v>
      </c>
      <c r="E28" s="18" t="s">
        <v>376</v>
      </c>
      <c r="F28" s="19" t="s">
        <v>158</v>
      </c>
      <c r="G28" s="20" t="n">
        <f aca="false">IFERROR(INDEX('Semrush Data'!$C$2:$C$5000,MATCH(F28,'Semrush Data'!$A$2:$A$5000,0)),"")</f>
        <v>1600</v>
      </c>
      <c r="H28" s="18" t="n">
        <f aca="false">IFERROR(INDEX('Semrush Data'!$D$2:$D$5000,MATCH(F28,'Semrush Data'!$A$2:$A$5000,0)),"")</f>
        <v>29</v>
      </c>
      <c r="I28" s="18" t="s">
        <v>295</v>
      </c>
      <c r="J28" s="20" t="n">
        <f aca="false">IFERROR(INDEX('Semrush Data'!$C$2:$C$5000,MATCH(I28,'Semrush Data'!$A$2:$A$5000,0)),"")</f>
        <v>480</v>
      </c>
      <c r="K28" s="18" t="s">
        <v>594</v>
      </c>
      <c r="L28" s="18" t="s">
        <v>595</v>
      </c>
      <c r="M28" s="18" t="s">
        <v>596</v>
      </c>
      <c r="N28" s="21" t="n">
        <f aca="false">LEN(M28)</f>
        <v>53</v>
      </c>
      <c r="O28" s="22" t="s">
        <v>597</v>
      </c>
      <c r="P28" s="21" t="n">
        <f aca="false">LEN(O28)</f>
        <v>154</v>
      </c>
      <c r="Q28" s="22" t="s">
        <v>598</v>
      </c>
      <c r="R28" s="22"/>
      <c r="S28" s="18" t="s">
        <v>403</v>
      </c>
      <c r="T28" s="22"/>
    </row>
    <row r="29" customFormat="false" ht="23.85" hidden="false" customHeight="false" outlineLevel="0" collapsed="false">
      <c r="A29" s="18" t="s">
        <v>599</v>
      </c>
      <c r="B29" s="18" t="s">
        <v>373</v>
      </c>
      <c r="C29" s="18" t="s">
        <v>600</v>
      </c>
      <c r="D29" s="18" t="s">
        <v>396</v>
      </c>
      <c r="E29" s="18" t="s">
        <v>397</v>
      </c>
      <c r="F29" s="19" t="s">
        <v>223</v>
      </c>
      <c r="G29" s="20" t="n">
        <f aca="false">IFERROR(INDEX('Semrush Data'!$C$2:$C$5000,MATCH(F29,'Semrush Data'!$A$2:$A$5000,0)),"")</f>
        <v>1300</v>
      </c>
      <c r="H29" s="18" t="n">
        <f aca="false">IFERROR(INDEX('Semrush Data'!$D$2:$D$5000,MATCH(F29,'Semrush Data'!$A$2:$A$5000,0)),"")</f>
        <v>19</v>
      </c>
      <c r="I29" s="18" t="s">
        <v>295</v>
      </c>
      <c r="J29" s="20" t="n">
        <f aca="false">IFERROR(INDEX('Semrush Data'!$C$2:$C$5000,MATCH(I29,'Semrush Data'!$A$2:$A$5000,0)),"")</f>
        <v>480</v>
      </c>
      <c r="K29" s="18" t="s">
        <v>398</v>
      </c>
      <c r="L29" s="18" t="s">
        <v>601</v>
      </c>
      <c r="M29" s="18" t="s">
        <v>602</v>
      </c>
      <c r="N29" s="21" t="n">
        <f aca="false">LEN(M29)</f>
        <v>53</v>
      </c>
      <c r="O29" s="22" t="s">
        <v>603</v>
      </c>
      <c r="P29" s="21" t="n">
        <f aca="false">LEN(O29)</f>
        <v>153</v>
      </c>
      <c r="Q29" s="22" t="s">
        <v>604</v>
      </c>
      <c r="R29" s="22"/>
      <c r="S29" s="18" t="s">
        <v>403</v>
      </c>
      <c r="T29" s="22"/>
    </row>
    <row r="30" customFormat="false" ht="46.25" hidden="false" customHeight="false" outlineLevel="0" collapsed="false">
      <c r="A30" s="18" t="s">
        <v>605</v>
      </c>
      <c r="B30" s="18" t="s">
        <v>373</v>
      </c>
      <c r="C30" s="18" t="s">
        <v>606</v>
      </c>
      <c r="D30" s="18" t="s">
        <v>406</v>
      </c>
      <c r="E30" s="18" t="s">
        <v>407</v>
      </c>
      <c r="F30" s="19" t="s">
        <v>199</v>
      </c>
      <c r="G30" s="20" t="n">
        <f aca="false">IFERROR(INDEX('Semrush Data'!$C$2:$C$5000,MATCH(F30,'Semrush Data'!$A$2:$A$5000,0)),"")</f>
        <v>6600</v>
      </c>
      <c r="H30" s="18" t="n">
        <f aca="false">IFERROR(INDEX('Semrush Data'!$D$2:$D$5000,MATCH(F30,'Semrush Data'!$A$2:$A$5000,0)),"")</f>
        <v>26</v>
      </c>
      <c r="I30" s="18" t="s">
        <v>295</v>
      </c>
      <c r="J30" s="20" t="n">
        <f aca="false">IFERROR(INDEX('Semrush Data'!$C$2:$C$5000,MATCH(I30,'Semrush Data'!$A$2:$A$5000,0)),"")</f>
        <v>480</v>
      </c>
      <c r="K30" s="18" t="s">
        <v>408</v>
      </c>
      <c r="L30" s="18" t="s">
        <v>607</v>
      </c>
      <c r="M30" s="18" t="s">
        <v>608</v>
      </c>
      <c r="N30" s="21" t="n">
        <f aca="false">LEN(M30)</f>
        <v>55</v>
      </c>
      <c r="O30" s="22" t="s">
        <v>609</v>
      </c>
      <c r="P30" s="21" t="n">
        <f aca="false">LEN(O30)</f>
        <v>155</v>
      </c>
      <c r="Q30" s="22" t="s">
        <v>610</v>
      </c>
      <c r="R30" s="22"/>
      <c r="S30" s="18" t="s">
        <v>382</v>
      </c>
      <c r="T30" s="22"/>
    </row>
    <row r="31" customFormat="false" ht="35.05" hidden="false" customHeight="false" outlineLevel="0" collapsed="false">
      <c r="A31" s="18" t="s">
        <v>611</v>
      </c>
      <c r="B31" s="18" t="s">
        <v>373</v>
      </c>
      <c r="C31" s="18" t="s">
        <v>612</v>
      </c>
      <c r="D31" s="18" t="s">
        <v>505</v>
      </c>
      <c r="E31" s="18" t="s">
        <v>435</v>
      </c>
      <c r="F31" s="19" t="s">
        <v>203</v>
      </c>
      <c r="G31" s="20" t="n">
        <f aca="false">IFERROR(INDEX('Semrush Data'!$C$2:$C$5000,MATCH(F31,'Semrush Data'!$A$2:$A$5000,0)),"")</f>
        <v>5400</v>
      </c>
      <c r="H31" s="18" t="n">
        <f aca="false">IFERROR(INDEX('Semrush Data'!$D$2:$D$5000,MATCH(F31,'Semrush Data'!$A$2:$A$5000,0)),"")</f>
        <v>22</v>
      </c>
      <c r="I31" s="18" t="s">
        <v>295</v>
      </c>
      <c r="J31" s="20" t="n">
        <f aca="false">IFERROR(INDEX('Semrush Data'!$C$2:$C$5000,MATCH(I31,'Semrush Data'!$A$2:$A$5000,0)),"")</f>
        <v>480</v>
      </c>
      <c r="K31" s="18" t="s">
        <v>506</v>
      </c>
      <c r="L31" s="18" t="s">
        <v>613</v>
      </c>
      <c r="M31" s="18" t="s">
        <v>614</v>
      </c>
      <c r="N31" s="21" t="n">
        <f aca="false">LEN(M31)</f>
        <v>30</v>
      </c>
      <c r="O31" s="22" t="s">
        <v>615</v>
      </c>
      <c r="P31" s="21" t="n">
        <f aca="false">LEN(O31)</f>
        <v>138</v>
      </c>
      <c r="Q31" s="22" t="s">
        <v>616</v>
      </c>
      <c r="R31" s="22" t="s">
        <v>617</v>
      </c>
      <c r="S31" s="18" t="s">
        <v>382</v>
      </c>
      <c r="T31" s="22" t="s">
        <v>393</v>
      </c>
    </row>
    <row r="32" customFormat="false" ht="46.25" hidden="false" customHeight="false" outlineLevel="0" collapsed="false">
      <c r="A32" s="18" t="s">
        <v>618</v>
      </c>
      <c r="B32" s="18" t="s">
        <v>373</v>
      </c>
      <c r="C32" s="18" t="s">
        <v>619</v>
      </c>
      <c r="D32" s="18" t="s">
        <v>620</v>
      </c>
      <c r="E32" s="18" t="s">
        <v>621</v>
      </c>
      <c r="F32" s="19" t="s">
        <v>156</v>
      </c>
      <c r="G32" s="20" t="n">
        <f aca="false">IFERROR(INDEX('Semrush Data'!$C$2:$C$5000,MATCH(F32,'Semrush Data'!$A$2:$A$5000,0)),"")</f>
        <v>2400</v>
      </c>
      <c r="H32" s="18" t="n">
        <f aca="false">IFERROR(INDEX('Semrush Data'!$D$2:$D$5000,MATCH(F32,'Semrush Data'!$A$2:$A$5000,0)),"")</f>
        <v>13</v>
      </c>
      <c r="I32" s="18" t="s">
        <v>295</v>
      </c>
      <c r="J32" s="20" t="n">
        <f aca="false">IFERROR(INDEX('Semrush Data'!$C$2:$C$5000,MATCH(I32,'Semrush Data'!$A$2:$A$5000,0)),"")</f>
        <v>480</v>
      </c>
      <c r="K32" s="18" t="s">
        <v>474</v>
      </c>
      <c r="L32" s="18" t="s">
        <v>622</v>
      </c>
      <c r="M32" s="18" t="s">
        <v>623</v>
      </c>
      <c r="N32" s="21" t="n">
        <f aca="false">LEN(M32)</f>
        <v>51</v>
      </c>
      <c r="O32" s="22" t="s">
        <v>624</v>
      </c>
      <c r="P32" s="21" t="n">
        <f aca="false">LEN(O32)</f>
        <v>159</v>
      </c>
      <c r="Q32" s="22" t="s">
        <v>625</v>
      </c>
      <c r="R32" s="22" t="s">
        <v>626</v>
      </c>
      <c r="S32" s="18" t="s">
        <v>382</v>
      </c>
      <c r="T32" s="22"/>
    </row>
    <row r="33" customFormat="false" ht="46.25" hidden="false" customHeight="false" outlineLevel="0" collapsed="false">
      <c r="A33" s="18" t="s">
        <v>627</v>
      </c>
      <c r="B33" s="18" t="s">
        <v>373</v>
      </c>
      <c r="C33" s="18" t="s">
        <v>384</v>
      </c>
      <c r="D33" s="18" t="s">
        <v>385</v>
      </c>
      <c r="E33" s="18" t="s">
        <v>386</v>
      </c>
      <c r="F33" s="19" t="s">
        <v>202</v>
      </c>
      <c r="G33" s="20" t="n">
        <f aca="false">IFERROR(INDEX('Semrush Data'!$C$2:$C$5000,MATCH(F33,'Semrush Data'!$A$2:$A$5000,0)),"")</f>
        <v>5400</v>
      </c>
      <c r="H33" s="18" t="n">
        <f aca="false">IFERROR(INDEX('Semrush Data'!$D$2:$D$5000,MATCH(F33,'Semrush Data'!$A$2:$A$5000,0)),"")</f>
        <v>21</v>
      </c>
      <c r="I33" s="18" t="s">
        <v>295</v>
      </c>
      <c r="J33" s="20" t="n">
        <f aca="false">IFERROR(INDEX('Semrush Data'!$C$2:$C$5000,MATCH(I33,'Semrush Data'!$A$2:$A$5000,0)),"")</f>
        <v>480</v>
      </c>
      <c r="K33" s="18" t="s">
        <v>387</v>
      </c>
      <c r="L33" s="18" t="s">
        <v>388</v>
      </c>
      <c r="M33" s="18" t="s">
        <v>389</v>
      </c>
      <c r="N33" s="21" t="n">
        <f aca="false">LEN(M33)</f>
        <v>51</v>
      </c>
      <c r="O33" s="22" t="s">
        <v>390</v>
      </c>
      <c r="P33" s="21" t="n">
        <f aca="false">LEN(O33)</f>
        <v>148</v>
      </c>
      <c r="Q33" s="22" t="s">
        <v>391</v>
      </c>
      <c r="R33" s="22" t="s">
        <v>392</v>
      </c>
      <c r="S33" s="18" t="s">
        <v>382</v>
      </c>
      <c r="T33" s="22" t="s">
        <v>393</v>
      </c>
    </row>
    <row r="34" customFormat="false" ht="46.25" hidden="false" customHeight="false" outlineLevel="0" collapsed="false">
      <c r="A34" s="18" t="s">
        <v>628</v>
      </c>
      <c r="B34" s="18" t="s">
        <v>373</v>
      </c>
      <c r="C34" s="18" t="s">
        <v>384</v>
      </c>
      <c r="D34" s="18" t="s">
        <v>385</v>
      </c>
      <c r="E34" s="18" t="s">
        <v>386</v>
      </c>
      <c r="F34" s="19" t="s">
        <v>202</v>
      </c>
      <c r="G34" s="20" t="n">
        <f aca="false">IFERROR(INDEX('Semrush Data'!$C$2:$C$5000,MATCH(F34,'Semrush Data'!$A$2:$A$5000,0)),"")</f>
        <v>5400</v>
      </c>
      <c r="H34" s="18" t="n">
        <f aca="false">IFERROR(INDEX('Semrush Data'!$D$2:$D$5000,MATCH(F34,'Semrush Data'!$A$2:$A$5000,0)),"")</f>
        <v>21</v>
      </c>
      <c r="I34" s="18" t="s">
        <v>295</v>
      </c>
      <c r="J34" s="20" t="n">
        <f aca="false">IFERROR(INDEX('Semrush Data'!$C$2:$C$5000,MATCH(I34,'Semrush Data'!$A$2:$A$5000,0)),"")</f>
        <v>480</v>
      </c>
      <c r="K34" s="18" t="s">
        <v>387</v>
      </c>
      <c r="L34" s="18" t="s">
        <v>388</v>
      </c>
      <c r="M34" s="18" t="s">
        <v>389</v>
      </c>
      <c r="N34" s="21" t="n">
        <f aca="false">LEN(M34)</f>
        <v>51</v>
      </c>
      <c r="O34" s="22" t="s">
        <v>390</v>
      </c>
      <c r="P34" s="21" t="n">
        <f aca="false">LEN(O34)</f>
        <v>148</v>
      </c>
      <c r="Q34" s="22" t="s">
        <v>391</v>
      </c>
      <c r="R34" s="22" t="s">
        <v>392</v>
      </c>
      <c r="S34" s="18" t="s">
        <v>382</v>
      </c>
      <c r="T34" s="22" t="s">
        <v>393</v>
      </c>
    </row>
    <row r="35" customFormat="false" ht="46.25" hidden="false" customHeight="false" outlineLevel="0" collapsed="false">
      <c r="A35" s="18" t="s">
        <v>629</v>
      </c>
      <c r="B35" s="18" t="s">
        <v>373</v>
      </c>
      <c r="C35" s="18" t="s">
        <v>630</v>
      </c>
      <c r="D35" s="18" t="s">
        <v>482</v>
      </c>
      <c r="E35" s="18" t="s">
        <v>543</v>
      </c>
      <c r="F35" s="19" t="s">
        <v>160</v>
      </c>
      <c r="G35" s="20" t="n">
        <f aca="false">IFERROR(INDEX('Semrush Data'!$C$2:$C$5000,MATCH(F35,'Semrush Data'!$A$2:$A$5000,0)),"")</f>
        <v>1600</v>
      </c>
      <c r="H35" s="18" t="n">
        <f aca="false">IFERROR(INDEX('Semrush Data'!$D$2:$D$5000,MATCH(F35,'Semrush Data'!$A$2:$A$5000,0)),"")</f>
        <v>31</v>
      </c>
      <c r="I35" s="18" t="s">
        <v>295</v>
      </c>
      <c r="J35" s="20" t="n">
        <f aca="false">IFERROR(INDEX('Semrush Data'!$C$2:$C$5000,MATCH(I35,'Semrush Data'!$A$2:$A$5000,0)),"")</f>
        <v>480</v>
      </c>
      <c r="K35" s="18" t="s">
        <v>631</v>
      </c>
      <c r="L35" s="18" t="s">
        <v>632</v>
      </c>
      <c r="M35" s="18" t="s">
        <v>633</v>
      </c>
      <c r="N35" s="21" t="n">
        <f aca="false">LEN(M35)</f>
        <v>54</v>
      </c>
      <c r="O35" s="22" t="s">
        <v>634</v>
      </c>
      <c r="P35" s="21" t="n">
        <f aca="false">LEN(O35)</f>
        <v>153</v>
      </c>
      <c r="Q35" s="22" t="s">
        <v>635</v>
      </c>
      <c r="R35" s="22" t="s">
        <v>636</v>
      </c>
      <c r="S35" s="18" t="s">
        <v>382</v>
      </c>
      <c r="T35" s="22" t="s">
        <v>393</v>
      </c>
    </row>
    <row r="36" customFormat="false" ht="46.25" hidden="false" customHeight="false" outlineLevel="0" collapsed="false">
      <c r="A36" s="18" t="s">
        <v>637</v>
      </c>
      <c r="B36" s="18" t="s">
        <v>373</v>
      </c>
      <c r="C36" s="18" t="s">
        <v>638</v>
      </c>
      <c r="D36" s="18" t="s">
        <v>456</v>
      </c>
      <c r="E36" s="18" t="s">
        <v>457</v>
      </c>
      <c r="F36" s="19" t="s">
        <v>163</v>
      </c>
      <c r="G36" s="20" t="n">
        <f aca="false">IFERROR(INDEX('Semrush Data'!$C$2:$C$5000,MATCH(F36,'Semrush Data'!$A$2:$A$5000,0)),"")</f>
        <v>1000</v>
      </c>
      <c r="H36" s="18" t="n">
        <f aca="false">IFERROR(INDEX('Semrush Data'!$D$2:$D$5000,MATCH(F36,'Semrush Data'!$A$2:$A$5000,0)),"")</f>
        <v>41</v>
      </c>
      <c r="I36" s="18" t="s">
        <v>295</v>
      </c>
      <c r="J36" s="20" t="n">
        <f aca="false">IFERROR(INDEX('Semrush Data'!$C$2:$C$5000,MATCH(I36,'Semrush Data'!$A$2:$A$5000,0)),"")</f>
        <v>480</v>
      </c>
      <c r="K36" s="18" t="s">
        <v>458</v>
      </c>
      <c r="L36" s="18" t="s">
        <v>639</v>
      </c>
      <c r="M36" s="18" t="s">
        <v>640</v>
      </c>
      <c r="N36" s="21" t="n">
        <f aca="false">LEN(M36)</f>
        <v>52</v>
      </c>
      <c r="O36" s="22" t="s">
        <v>641</v>
      </c>
      <c r="P36" s="21" t="n">
        <f aca="false">LEN(O36)</f>
        <v>160</v>
      </c>
      <c r="Q36" s="22" t="s">
        <v>642</v>
      </c>
      <c r="R36" s="22" t="s">
        <v>643</v>
      </c>
      <c r="S36" s="18" t="s">
        <v>403</v>
      </c>
      <c r="T36" s="22"/>
    </row>
    <row r="37" customFormat="false" ht="46.25" hidden="false" customHeight="false" outlineLevel="0" collapsed="false">
      <c r="A37" s="18" t="s">
        <v>644</v>
      </c>
      <c r="B37" s="18" t="s">
        <v>373</v>
      </c>
      <c r="C37" s="18" t="s">
        <v>645</v>
      </c>
      <c r="D37" s="18" t="s">
        <v>456</v>
      </c>
      <c r="E37" s="18" t="s">
        <v>646</v>
      </c>
      <c r="F37" s="19" t="s">
        <v>201</v>
      </c>
      <c r="G37" s="20" t="n">
        <f aca="false">IFERROR(INDEX('Semrush Data'!$C$2:$C$5000,MATCH(F37,'Semrush Data'!$A$2:$A$5000,0)),"")</f>
        <v>5400</v>
      </c>
      <c r="H37" s="18" t="n">
        <f aca="false">IFERROR(INDEX('Semrush Data'!$D$2:$D$5000,MATCH(F37,'Semrush Data'!$A$2:$A$5000,0)),"")</f>
        <v>16</v>
      </c>
      <c r="I37" s="18" t="s">
        <v>295</v>
      </c>
      <c r="J37" s="20" t="n">
        <f aca="false">IFERROR(INDEX('Semrush Data'!$C$2:$C$5000,MATCH(I37,'Semrush Data'!$A$2:$A$5000,0)),"")</f>
        <v>480</v>
      </c>
      <c r="K37" s="18" t="s">
        <v>647</v>
      </c>
      <c r="L37" s="18" t="s">
        <v>648</v>
      </c>
      <c r="M37" s="18" t="s">
        <v>649</v>
      </c>
      <c r="N37" s="21" t="n">
        <f aca="false">LEN(M37)</f>
        <v>28</v>
      </c>
      <c r="O37" s="22" t="s">
        <v>650</v>
      </c>
      <c r="P37" s="21" t="n">
        <f aca="false">LEN(O37)</f>
        <v>136</v>
      </c>
      <c r="Q37" s="22" t="s">
        <v>651</v>
      </c>
      <c r="R37" s="22" t="s">
        <v>652</v>
      </c>
      <c r="S37" s="18" t="s">
        <v>382</v>
      </c>
      <c r="T37" s="22" t="s">
        <v>393</v>
      </c>
    </row>
    <row r="38" customFormat="false" ht="23.85" hidden="false" customHeight="false" outlineLevel="0" collapsed="false">
      <c r="A38" s="18" t="s">
        <v>653</v>
      </c>
      <c r="B38" s="18" t="s">
        <v>373</v>
      </c>
      <c r="C38" s="18" t="s">
        <v>654</v>
      </c>
      <c r="D38" s="18" t="s">
        <v>655</v>
      </c>
      <c r="E38" s="18" t="s">
        <v>416</v>
      </c>
      <c r="F38" s="19" t="s">
        <v>220</v>
      </c>
      <c r="G38" s="20" t="n">
        <f aca="false">IFERROR(INDEX('Semrush Data'!$C$2:$C$5000,MATCH(F38,'Semrush Data'!$A$2:$A$5000,0)),"")</f>
        <v>1600</v>
      </c>
      <c r="H38" s="18" t="n">
        <f aca="false">IFERROR(INDEX('Semrush Data'!$D$2:$D$5000,MATCH(F38,'Semrush Data'!$A$2:$A$5000,0)),"")</f>
        <v>55</v>
      </c>
      <c r="I38" s="18" t="s">
        <v>295</v>
      </c>
      <c r="J38" s="20" t="n">
        <f aca="false">IFERROR(INDEX('Semrush Data'!$C$2:$C$5000,MATCH(I38,'Semrush Data'!$A$2:$A$5000,0)),"")</f>
        <v>480</v>
      </c>
      <c r="K38" s="18" t="s">
        <v>656</v>
      </c>
      <c r="L38" s="18" t="s">
        <v>657</v>
      </c>
      <c r="M38" s="18" t="s">
        <v>658</v>
      </c>
      <c r="N38" s="21" t="n">
        <f aca="false">LEN(M38)</f>
        <v>54</v>
      </c>
      <c r="O38" s="22" t="s">
        <v>659</v>
      </c>
      <c r="P38" s="21" t="n">
        <f aca="false">LEN(O38)</f>
        <v>152</v>
      </c>
      <c r="Q38" s="22" t="s">
        <v>660</v>
      </c>
      <c r="R38" s="22"/>
      <c r="S38" s="18" t="s">
        <v>403</v>
      </c>
      <c r="T38" s="22"/>
    </row>
    <row r="39" customFormat="false" ht="46.25" hidden="false" customHeight="false" outlineLevel="0" collapsed="false">
      <c r="A39" s="18" t="s">
        <v>661</v>
      </c>
      <c r="B39" s="18" t="s">
        <v>373</v>
      </c>
      <c r="C39" s="18" t="s">
        <v>662</v>
      </c>
      <c r="D39" s="18" t="s">
        <v>561</v>
      </c>
      <c r="E39" s="18" t="s">
        <v>586</v>
      </c>
      <c r="F39" s="19" t="s">
        <v>170</v>
      </c>
      <c r="G39" s="20" t="n">
        <f aca="false">IFERROR(INDEX('Semrush Data'!$C$2:$C$5000,MATCH(F39,'Semrush Data'!$A$2:$A$5000,0)),"")</f>
        <v>320</v>
      </c>
      <c r="H39" s="18" t="n">
        <f aca="false">IFERROR(INDEX('Semrush Data'!$D$2:$D$5000,MATCH(F39,'Semrush Data'!$A$2:$A$5000,0)),"")</f>
        <v>10</v>
      </c>
      <c r="I39" s="18" t="s">
        <v>295</v>
      </c>
      <c r="J39" s="20" t="n">
        <f aca="false">IFERROR(INDEX('Semrush Data'!$C$2:$C$5000,MATCH(I39,'Semrush Data'!$A$2:$A$5000,0)),"")</f>
        <v>480</v>
      </c>
      <c r="K39" s="18" t="s">
        <v>663</v>
      </c>
      <c r="L39" s="18" t="s">
        <v>664</v>
      </c>
      <c r="M39" s="18" t="s">
        <v>665</v>
      </c>
      <c r="N39" s="21" t="n">
        <f aca="false">LEN(M39)</f>
        <v>60</v>
      </c>
      <c r="O39" s="22" t="s">
        <v>666</v>
      </c>
      <c r="P39" s="21" t="n">
        <f aca="false">LEN(O39)</f>
        <v>148</v>
      </c>
      <c r="Q39" s="22" t="s">
        <v>667</v>
      </c>
      <c r="R39" s="22" t="s">
        <v>668</v>
      </c>
      <c r="S39" s="18" t="s">
        <v>422</v>
      </c>
      <c r="T39" s="22" t="s">
        <v>393</v>
      </c>
    </row>
    <row r="40" customFormat="false" ht="46.25" hidden="false" customHeight="false" outlineLevel="0" collapsed="false">
      <c r="A40" s="18" t="s">
        <v>669</v>
      </c>
      <c r="B40" s="18" t="s">
        <v>373</v>
      </c>
      <c r="C40" s="18" t="s">
        <v>670</v>
      </c>
      <c r="D40" s="18" t="s">
        <v>561</v>
      </c>
      <c r="E40" s="18" t="s">
        <v>586</v>
      </c>
      <c r="F40" s="19" t="s">
        <v>170</v>
      </c>
      <c r="G40" s="20" t="n">
        <f aca="false">IFERROR(INDEX('Semrush Data'!$C$2:$C$5000,MATCH(F40,'Semrush Data'!$A$2:$A$5000,0)),"")</f>
        <v>320</v>
      </c>
      <c r="H40" s="18" t="n">
        <f aca="false">IFERROR(INDEX('Semrush Data'!$D$2:$D$5000,MATCH(F40,'Semrush Data'!$A$2:$A$5000,0)),"")</f>
        <v>10</v>
      </c>
      <c r="I40" s="18" t="s">
        <v>295</v>
      </c>
      <c r="J40" s="20" t="n">
        <f aca="false">IFERROR(INDEX('Semrush Data'!$C$2:$C$5000,MATCH(I40,'Semrush Data'!$A$2:$A$5000,0)),"")</f>
        <v>480</v>
      </c>
      <c r="K40" s="18" t="s">
        <v>663</v>
      </c>
      <c r="L40" s="18" t="s">
        <v>664</v>
      </c>
      <c r="M40" s="18" t="s">
        <v>665</v>
      </c>
      <c r="N40" s="21" t="n">
        <f aca="false">LEN(M40)</f>
        <v>60</v>
      </c>
      <c r="O40" s="22" t="s">
        <v>666</v>
      </c>
      <c r="P40" s="21" t="n">
        <f aca="false">LEN(O40)</f>
        <v>148</v>
      </c>
      <c r="Q40" s="22" t="s">
        <v>667</v>
      </c>
      <c r="R40" s="22" t="s">
        <v>668</v>
      </c>
      <c r="S40" s="18" t="s">
        <v>422</v>
      </c>
      <c r="T40" s="22" t="s">
        <v>393</v>
      </c>
    </row>
    <row r="41" customFormat="false" ht="46.25" hidden="false" customHeight="false" outlineLevel="0" collapsed="false">
      <c r="A41" s="18" t="s">
        <v>671</v>
      </c>
      <c r="B41" s="18" t="s">
        <v>373</v>
      </c>
      <c r="C41" s="18" t="s">
        <v>672</v>
      </c>
      <c r="D41" s="18" t="s">
        <v>456</v>
      </c>
      <c r="E41" s="18" t="s">
        <v>457</v>
      </c>
      <c r="F41" s="19" t="s">
        <v>205</v>
      </c>
      <c r="G41" s="20" t="n">
        <f aca="false">IFERROR(INDEX('Semrush Data'!$C$2:$C$5000,MATCH(F41,'Semrush Data'!$A$2:$A$5000,0)),"")</f>
        <v>4400</v>
      </c>
      <c r="H41" s="18" t="n">
        <f aca="false">IFERROR(INDEX('Semrush Data'!$D$2:$D$5000,MATCH(F41,'Semrush Data'!$A$2:$A$5000,0)),"")</f>
        <v>30</v>
      </c>
      <c r="I41" s="18" t="s">
        <v>295</v>
      </c>
      <c r="J41" s="20" t="n">
        <f aca="false">IFERROR(INDEX('Semrush Data'!$C$2:$C$5000,MATCH(I41,'Semrush Data'!$A$2:$A$5000,0)),"")</f>
        <v>480</v>
      </c>
      <c r="K41" s="18" t="s">
        <v>458</v>
      </c>
      <c r="L41" s="18" t="s">
        <v>673</v>
      </c>
      <c r="M41" s="18" t="s">
        <v>674</v>
      </c>
      <c r="N41" s="21" t="n">
        <f aca="false">LEN(M41)</f>
        <v>56</v>
      </c>
      <c r="O41" s="22" t="s">
        <v>675</v>
      </c>
      <c r="P41" s="21" t="n">
        <f aca="false">LEN(O41)</f>
        <v>153</v>
      </c>
      <c r="Q41" s="22" t="s">
        <v>676</v>
      </c>
      <c r="R41" s="22"/>
      <c r="S41" s="18" t="s">
        <v>382</v>
      </c>
      <c r="T41" s="22" t="s">
        <v>393</v>
      </c>
    </row>
    <row r="42" customFormat="false" ht="57.45" hidden="false" customHeight="false" outlineLevel="0" collapsed="false">
      <c r="A42" s="18" t="s">
        <v>677</v>
      </c>
      <c r="B42" s="18" t="s">
        <v>373</v>
      </c>
      <c r="C42" s="18" t="s">
        <v>678</v>
      </c>
      <c r="D42" s="18" t="s">
        <v>655</v>
      </c>
      <c r="E42" s="18" t="s">
        <v>473</v>
      </c>
      <c r="F42" s="19" t="s">
        <v>220</v>
      </c>
      <c r="G42" s="20" t="n">
        <f aca="false">IFERROR(INDEX('Semrush Data'!$C$2:$C$5000,MATCH(F42,'Semrush Data'!$A$2:$A$5000,0)),"")</f>
        <v>1600</v>
      </c>
      <c r="H42" s="18" t="n">
        <f aca="false">IFERROR(INDEX('Semrush Data'!$D$2:$D$5000,MATCH(F42,'Semrush Data'!$A$2:$A$5000,0)),"")</f>
        <v>55</v>
      </c>
      <c r="I42" s="18" t="s">
        <v>295</v>
      </c>
      <c r="J42" s="20" t="n">
        <f aca="false">IFERROR(INDEX('Semrush Data'!$C$2:$C$5000,MATCH(I42,'Semrush Data'!$A$2:$A$5000,0)),"")</f>
        <v>480</v>
      </c>
      <c r="K42" s="18" t="s">
        <v>656</v>
      </c>
      <c r="L42" s="18" t="s">
        <v>679</v>
      </c>
      <c r="M42" s="18" t="s">
        <v>680</v>
      </c>
      <c r="N42" s="21" t="n">
        <f aca="false">LEN(M42)</f>
        <v>54</v>
      </c>
      <c r="O42" s="22" t="s">
        <v>681</v>
      </c>
      <c r="P42" s="21" t="n">
        <f aca="false">LEN(O42)</f>
        <v>152</v>
      </c>
      <c r="Q42" s="22" t="s">
        <v>682</v>
      </c>
      <c r="R42" s="22"/>
      <c r="S42" s="18" t="s">
        <v>382</v>
      </c>
      <c r="T42" s="22" t="s">
        <v>393</v>
      </c>
    </row>
    <row r="43" customFormat="false" ht="23.85" hidden="false" customHeight="false" outlineLevel="0" collapsed="false">
      <c r="A43" s="18" t="s">
        <v>683</v>
      </c>
      <c r="B43" s="18" t="s">
        <v>373</v>
      </c>
      <c r="C43" s="18" t="s">
        <v>684</v>
      </c>
      <c r="D43" s="18" t="s">
        <v>655</v>
      </c>
      <c r="E43" s="18" t="s">
        <v>473</v>
      </c>
      <c r="F43" s="19" t="s">
        <v>220</v>
      </c>
      <c r="G43" s="20" t="n">
        <f aca="false">IFERROR(INDEX('Semrush Data'!$C$2:$C$5000,MATCH(F43,'Semrush Data'!$A$2:$A$5000,0)),"")</f>
        <v>1600</v>
      </c>
      <c r="H43" s="18" t="n">
        <f aca="false">IFERROR(INDEX('Semrush Data'!$D$2:$D$5000,MATCH(F43,'Semrush Data'!$A$2:$A$5000,0)),"")</f>
        <v>55</v>
      </c>
      <c r="I43" s="18" t="s">
        <v>295</v>
      </c>
      <c r="J43" s="20" t="n">
        <f aca="false">IFERROR(INDEX('Semrush Data'!$C$2:$C$5000,MATCH(I43,'Semrush Data'!$A$2:$A$5000,0)),"")</f>
        <v>480</v>
      </c>
      <c r="K43" s="18" t="s">
        <v>656</v>
      </c>
      <c r="L43" s="18" t="s">
        <v>685</v>
      </c>
      <c r="M43" s="18" t="s">
        <v>686</v>
      </c>
      <c r="N43" s="21" t="n">
        <f aca="false">LEN(M43)</f>
        <v>56</v>
      </c>
      <c r="O43" s="22" t="s">
        <v>687</v>
      </c>
      <c r="P43" s="21" t="n">
        <f aca="false">LEN(O43)</f>
        <v>159</v>
      </c>
      <c r="Q43" s="22" t="s">
        <v>688</v>
      </c>
      <c r="R43" s="22"/>
      <c r="S43" s="18" t="s">
        <v>403</v>
      </c>
      <c r="T43" s="22"/>
    </row>
    <row r="44" customFormat="false" ht="23.85" hidden="false" customHeight="false" outlineLevel="0" collapsed="false">
      <c r="A44" s="18" t="s">
        <v>689</v>
      </c>
      <c r="B44" s="18" t="s">
        <v>373</v>
      </c>
      <c r="C44" s="18" t="s">
        <v>690</v>
      </c>
      <c r="D44" s="18" t="s">
        <v>434</v>
      </c>
      <c r="E44" s="18" t="s">
        <v>691</v>
      </c>
      <c r="F44" s="19" t="s">
        <v>153</v>
      </c>
      <c r="G44" s="20" t="n">
        <f aca="false">IFERROR(INDEX('Semrush Data'!$C$2:$C$5000,MATCH(F44,'Semrush Data'!$A$2:$A$5000,0)),"")</f>
        <v>2900</v>
      </c>
      <c r="H44" s="18" t="n">
        <f aca="false">IFERROR(INDEX('Semrush Data'!$D$2:$D$5000,MATCH(F44,'Semrush Data'!$A$2:$A$5000,0)),"")</f>
        <v>29</v>
      </c>
      <c r="I44" s="18" t="s">
        <v>295</v>
      </c>
      <c r="J44" s="20" t="n">
        <f aca="false">IFERROR(INDEX('Semrush Data'!$C$2:$C$5000,MATCH(I44,'Semrush Data'!$A$2:$A$5000,0)),"")</f>
        <v>480</v>
      </c>
      <c r="K44" s="18" t="s">
        <v>436</v>
      </c>
      <c r="L44" s="18" t="s">
        <v>692</v>
      </c>
      <c r="M44" s="18" t="s">
        <v>693</v>
      </c>
      <c r="N44" s="21" t="n">
        <f aca="false">LEN(M44)</f>
        <v>59</v>
      </c>
      <c r="O44" s="22" t="s">
        <v>694</v>
      </c>
      <c r="P44" s="21" t="n">
        <f aca="false">LEN(O44)</f>
        <v>159</v>
      </c>
      <c r="Q44" s="22" t="s">
        <v>695</v>
      </c>
      <c r="R44" s="22" t="s">
        <v>696</v>
      </c>
      <c r="S44" s="18" t="s">
        <v>403</v>
      </c>
      <c r="T44" s="22"/>
    </row>
    <row r="45" customFormat="false" ht="23.85" hidden="false" customHeight="false" outlineLevel="0" collapsed="false">
      <c r="A45" s="18" t="s">
        <v>697</v>
      </c>
      <c r="B45" s="18" t="s">
        <v>373</v>
      </c>
      <c r="C45" s="18" t="s">
        <v>698</v>
      </c>
      <c r="D45" s="18" t="s">
        <v>456</v>
      </c>
      <c r="E45" s="18" t="s">
        <v>457</v>
      </c>
      <c r="F45" s="19" t="s">
        <v>163</v>
      </c>
      <c r="G45" s="20" t="n">
        <f aca="false">IFERROR(INDEX('Semrush Data'!$C$2:$C$5000,MATCH(F45,'Semrush Data'!$A$2:$A$5000,0)),"")</f>
        <v>1000</v>
      </c>
      <c r="H45" s="18" t="n">
        <f aca="false">IFERROR(INDEX('Semrush Data'!$D$2:$D$5000,MATCH(F45,'Semrush Data'!$A$2:$A$5000,0)),"")</f>
        <v>41</v>
      </c>
      <c r="I45" s="18" t="s">
        <v>295</v>
      </c>
      <c r="J45" s="20" t="n">
        <f aca="false">IFERROR(INDEX('Semrush Data'!$C$2:$C$5000,MATCH(I45,'Semrush Data'!$A$2:$A$5000,0)),"")</f>
        <v>480</v>
      </c>
      <c r="K45" s="18" t="s">
        <v>458</v>
      </c>
      <c r="L45" s="18" t="s">
        <v>699</v>
      </c>
      <c r="M45" s="18" t="s">
        <v>700</v>
      </c>
      <c r="N45" s="21" t="n">
        <f aca="false">LEN(M45)</f>
        <v>52</v>
      </c>
      <c r="O45" s="22" t="s">
        <v>701</v>
      </c>
      <c r="P45" s="21" t="n">
        <f aca="false">LEN(O45)</f>
        <v>160</v>
      </c>
      <c r="Q45" s="22" t="s">
        <v>702</v>
      </c>
      <c r="R45" s="22" t="s">
        <v>703</v>
      </c>
      <c r="S45" s="18" t="s">
        <v>403</v>
      </c>
      <c r="T45" s="22"/>
    </row>
    <row r="46" customFormat="false" ht="23.85" hidden="false" customHeight="false" outlineLevel="0" collapsed="false">
      <c r="A46" s="18" t="s">
        <v>704</v>
      </c>
      <c r="B46" s="18" t="s">
        <v>373</v>
      </c>
      <c r="C46" s="18" t="s">
        <v>705</v>
      </c>
      <c r="D46" s="18" t="s">
        <v>456</v>
      </c>
      <c r="E46" s="18" t="s">
        <v>457</v>
      </c>
      <c r="F46" s="19" t="s">
        <v>163</v>
      </c>
      <c r="G46" s="20" t="n">
        <f aca="false">IFERROR(INDEX('Semrush Data'!$C$2:$C$5000,MATCH(F46,'Semrush Data'!$A$2:$A$5000,0)),"")</f>
        <v>1000</v>
      </c>
      <c r="H46" s="18" t="n">
        <f aca="false">IFERROR(INDEX('Semrush Data'!$D$2:$D$5000,MATCH(F46,'Semrush Data'!$A$2:$A$5000,0)),"")</f>
        <v>41</v>
      </c>
      <c r="I46" s="18" t="s">
        <v>295</v>
      </c>
      <c r="J46" s="20" t="n">
        <f aca="false">IFERROR(INDEX('Semrush Data'!$C$2:$C$5000,MATCH(I46,'Semrush Data'!$A$2:$A$5000,0)),"")</f>
        <v>480</v>
      </c>
      <c r="K46" s="18" t="s">
        <v>458</v>
      </c>
      <c r="L46" s="18" t="s">
        <v>706</v>
      </c>
      <c r="M46" s="18" t="s">
        <v>707</v>
      </c>
      <c r="N46" s="21" t="n">
        <f aca="false">LEN(M46)</f>
        <v>51</v>
      </c>
      <c r="O46" s="22" t="s">
        <v>708</v>
      </c>
      <c r="P46" s="21" t="n">
        <f aca="false">LEN(O46)</f>
        <v>159</v>
      </c>
      <c r="Q46" s="22" t="s">
        <v>709</v>
      </c>
      <c r="R46" s="22" t="s">
        <v>703</v>
      </c>
      <c r="S46" s="18" t="s">
        <v>403</v>
      </c>
      <c r="T46" s="22"/>
    </row>
    <row r="47" customFormat="false" ht="23.85" hidden="false" customHeight="false" outlineLevel="0" collapsed="false">
      <c r="A47" s="18" t="s">
        <v>710</v>
      </c>
      <c r="B47" s="18" t="s">
        <v>373</v>
      </c>
      <c r="C47" s="18" t="s">
        <v>711</v>
      </c>
      <c r="D47" s="18" t="s">
        <v>456</v>
      </c>
      <c r="E47" s="18" t="s">
        <v>457</v>
      </c>
      <c r="F47" s="19" t="s">
        <v>163</v>
      </c>
      <c r="G47" s="20" t="n">
        <f aca="false">IFERROR(INDEX('Semrush Data'!$C$2:$C$5000,MATCH(F47,'Semrush Data'!$A$2:$A$5000,0)),"")</f>
        <v>1000</v>
      </c>
      <c r="H47" s="18" t="n">
        <f aca="false">IFERROR(INDEX('Semrush Data'!$D$2:$D$5000,MATCH(F47,'Semrush Data'!$A$2:$A$5000,0)),"")</f>
        <v>41</v>
      </c>
      <c r="I47" s="18" t="s">
        <v>295</v>
      </c>
      <c r="J47" s="20" t="n">
        <f aca="false">IFERROR(INDEX('Semrush Data'!$C$2:$C$5000,MATCH(I47,'Semrush Data'!$A$2:$A$5000,0)),"")</f>
        <v>480</v>
      </c>
      <c r="K47" s="18" t="s">
        <v>458</v>
      </c>
      <c r="L47" s="18" t="s">
        <v>712</v>
      </c>
      <c r="M47" s="18" t="s">
        <v>713</v>
      </c>
      <c r="N47" s="21" t="n">
        <f aca="false">LEN(M47)</f>
        <v>60</v>
      </c>
      <c r="O47" s="22" t="s">
        <v>714</v>
      </c>
      <c r="P47" s="21" t="n">
        <f aca="false">LEN(O47)</f>
        <v>157</v>
      </c>
      <c r="Q47" s="22" t="s">
        <v>715</v>
      </c>
      <c r="R47" s="22" t="s">
        <v>716</v>
      </c>
      <c r="S47" s="18" t="s">
        <v>403</v>
      </c>
      <c r="T47" s="22"/>
    </row>
    <row r="48" customFormat="false" ht="35.05" hidden="false" customHeight="false" outlineLevel="0" collapsed="false">
      <c r="A48" s="18" t="s">
        <v>717</v>
      </c>
      <c r="B48" s="18" t="s">
        <v>373</v>
      </c>
      <c r="C48" s="18" t="s">
        <v>718</v>
      </c>
      <c r="D48" s="18" t="s">
        <v>719</v>
      </c>
      <c r="E48" s="18" t="s">
        <v>435</v>
      </c>
      <c r="F48" s="19" t="s">
        <v>224</v>
      </c>
      <c r="G48" s="20" t="n">
        <f aca="false">IFERROR(INDEX('Semrush Data'!$C$2:$C$5000,MATCH(F48,'Semrush Data'!$A$2:$A$5000,0)),"")</f>
        <v>1300</v>
      </c>
      <c r="H48" s="18" t="n">
        <f aca="false">IFERROR(INDEX('Semrush Data'!$D$2:$D$5000,MATCH(F48,'Semrush Data'!$A$2:$A$5000,0)),"")</f>
        <v>16</v>
      </c>
      <c r="I48" s="18" t="s">
        <v>295</v>
      </c>
      <c r="J48" s="20" t="n">
        <f aca="false">IFERROR(INDEX('Semrush Data'!$C$2:$C$5000,MATCH(I48,'Semrush Data'!$A$2:$A$5000,0)),"")</f>
        <v>480</v>
      </c>
      <c r="K48" s="18" t="s">
        <v>720</v>
      </c>
      <c r="L48" s="18" t="s">
        <v>718</v>
      </c>
      <c r="M48" s="18" t="s">
        <v>721</v>
      </c>
      <c r="N48" s="21" t="n">
        <f aca="false">LEN(M48)</f>
        <v>55</v>
      </c>
      <c r="O48" s="22" t="s">
        <v>722</v>
      </c>
      <c r="P48" s="21" t="n">
        <f aca="false">LEN(O48)</f>
        <v>150</v>
      </c>
      <c r="Q48" s="22" t="s">
        <v>723</v>
      </c>
      <c r="R48" s="22"/>
      <c r="S48" s="18" t="s">
        <v>382</v>
      </c>
      <c r="T48" s="22"/>
    </row>
    <row r="49" customFormat="false" ht="23.85" hidden="false" customHeight="false" outlineLevel="0" collapsed="false">
      <c r="A49" s="18" t="s">
        <v>724</v>
      </c>
      <c r="B49" s="18" t="s">
        <v>373</v>
      </c>
      <c r="C49" s="18" t="s">
        <v>725</v>
      </c>
      <c r="D49" s="18" t="s">
        <v>719</v>
      </c>
      <c r="E49" s="18" t="s">
        <v>435</v>
      </c>
      <c r="F49" s="19" t="s">
        <v>224</v>
      </c>
      <c r="G49" s="20" t="n">
        <f aca="false">IFERROR(INDEX('Semrush Data'!$C$2:$C$5000,MATCH(F49,'Semrush Data'!$A$2:$A$5000,0)),"")</f>
        <v>1300</v>
      </c>
      <c r="H49" s="18" t="n">
        <f aca="false">IFERROR(INDEX('Semrush Data'!$D$2:$D$5000,MATCH(F49,'Semrush Data'!$A$2:$A$5000,0)),"")</f>
        <v>16</v>
      </c>
      <c r="I49" s="18" t="s">
        <v>295</v>
      </c>
      <c r="J49" s="20" t="n">
        <f aca="false">IFERROR(INDEX('Semrush Data'!$C$2:$C$5000,MATCH(I49,'Semrush Data'!$A$2:$A$5000,0)),"")</f>
        <v>480</v>
      </c>
      <c r="K49" s="18" t="s">
        <v>720</v>
      </c>
      <c r="L49" s="18" t="s">
        <v>725</v>
      </c>
      <c r="M49" s="18" t="s">
        <v>726</v>
      </c>
      <c r="N49" s="21" t="n">
        <f aca="false">LEN(M49)</f>
        <v>60</v>
      </c>
      <c r="O49" s="22" t="s">
        <v>727</v>
      </c>
      <c r="P49" s="21" t="n">
        <f aca="false">LEN(O49)</f>
        <v>149</v>
      </c>
      <c r="Q49" s="22" t="s">
        <v>728</v>
      </c>
      <c r="R49" s="22"/>
      <c r="S49" s="18" t="s">
        <v>403</v>
      </c>
      <c r="T49" s="22"/>
    </row>
    <row r="50" customFormat="false" ht="35.05" hidden="false" customHeight="false" outlineLevel="0" collapsed="false">
      <c r="A50" s="18" t="s">
        <v>729</v>
      </c>
      <c r="B50" s="18" t="s">
        <v>373</v>
      </c>
      <c r="C50" s="18" t="s">
        <v>730</v>
      </c>
      <c r="D50" s="18" t="s">
        <v>719</v>
      </c>
      <c r="E50" s="18" t="s">
        <v>435</v>
      </c>
      <c r="F50" s="19" t="s">
        <v>224</v>
      </c>
      <c r="G50" s="20" t="n">
        <f aca="false">IFERROR(INDEX('Semrush Data'!$C$2:$C$5000,MATCH(F50,'Semrush Data'!$A$2:$A$5000,0)),"")</f>
        <v>1300</v>
      </c>
      <c r="H50" s="18" t="n">
        <f aca="false">IFERROR(INDEX('Semrush Data'!$D$2:$D$5000,MATCH(F50,'Semrush Data'!$A$2:$A$5000,0)),"")</f>
        <v>16</v>
      </c>
      <c r="I50" s="18" t="s">
        <v>295</v>
      </c>
      <c r="J50" s="20" t="n">
        <f aca="false">IFERROR(INDEX('Semrush Data'!$C$2:$C$5000,MATCH(I50,'Semrush Data'!$A$2:$A$5000,0)),"")</f>
        <v>480</v>
      </c>
      <c r="K50" s="18" t="s">
        <v>720</v>
      </c>
      <c r="L50" s="18" t="s">
        <v>730</v>
      </c>
      <c r="M50" s="18" t="s">
        <v>731</v>
      </c>
      <c r="N50" s="21" t="n">
        <f aca="false">LEN(M50)</f>
        <v>55</v>
      </c>
      <c r="O50" s="22" t="s">
        <v>732</v>
      </c>
      <c r="P50" s="21" t="n">
        <f aca="false">LEN(O50)</f>
        <v>151</v>
      </c>
      <c r="Q50" s="22" t="s">
        <v>733</v>
      </c>
      <c r="R50" s="22"/>
      <c r="S50" s="18" t="s">
        <v>382</v>
      </c>
      <c r="T50" s="22"/>
    </row>
    <row r="51" customFormat="false" ht="23.85" hidden="false" customHeight="false" outlineLevel="0" collapsed="false">
      <c r="A51" s="18" t="s">
        <v>734</v>
      </c>
      <c r="B51" s="18" t="s">
        <v>373</v>
      </c>
      <c r="C51" s="18" t="s">
        <v>735</v>
      </c>
      <c r="D51" s="18" t="s">
        <v>719</v>
      </c>
      <c r="E51" s="18" t="s">
        <v>571</v>
      </c>
      <c r="F51" s="19" t="s">
        <v>159</v>
      </c>
      <c r="G51" s="20" t="n">
        <f aca="false">IFERROR(INDEX('Semrush Data'!$C$2:$C$5000,MATCH(F51,'Semrush Data'!$A$2:$A$5000,0)),"")</f>
        <v>1600</v>
      </c>
      <c r="H51" s="18" t="n">
        <f aca="false">IFERROR(INDEX('Semrush Data'!$D$2:$D$5000,MATCH(F51,'Semrush Data'!$A$2:$A$5000,0)),"")</f>
        <v>33</v>
      </c>
      <c r="I51" s="18" t="s">
        <v>295</v>
      </c>
      <c r="J51" s="20" t="n">
        <f aca="false">IFERROR(INDEX('Semrush Data'!$C$2:$C$5000,MATCH(I51,'Semrush Data'!$A$2:$A$5000,0)),"")</f>
        <v>480</v>
      </c>
      <c r="K51" s="18" t="s">
        <v>426</v>
      </c>
      <c r="L51" s="18" t="s">
        <v>736</v>
      </c>
      <c r="M51" s="18" t="s">
        <v>737</v>
      </c>
      <c r="N51" s="21" t="n">
        <f aca="false">LEN(M51)</f>
        <v>59</v>
      </c>
      <c r="O51" s="22" t="s">
        <v>738</v>
      </c>
      <c r="P51" s="21" t="n">
        <f aca="false">LEN(O51)</f>
        <v>156</v>
      </c>
      <c r="Q51" s="22" t="s">
        <v>739</v>
      </c>
      <c r="R51" s="22"/>
      <c r="S51" s="18" t="s">
        <v>422</v>
      </c>
      <c r="T51" s="22" t="s">
        <v>393</v>
      </c>
    </row>
    <row r="52" customFormat="false" ht="35.05" hidden="false" customHeight="false" outlineLevel="0" collapsed="false">
      <c r="A52" s="18" t="s">
        <v>740</v>
      </c>
      <c r="B52" s="18" t="s">
        <v>373</v>
      </c>
      <c r="C52" s="18" t="s">
        <v>741</v>
      </c>
      <c r="D52" s="18" t="s">
        <v>719</v>
      </c>
      <c r="E52" s="18" t="s">
        <v>742</v>
      </c>
      <c r="F52" s="19" t="s">
        <v>211</v>
      </c>
      <c r="G52" s="20" t="n">
        <f aca="false">IFERROR(INDEX('Semrush Data'!$C$2:$C$5000,MATCH(F52,'Semrush Data'!$A$2:$A$5000,0)),"")</f>
        <v>3600</v>
      </c>
      <c r="H52" s="18" t="n">
        <f aca="false">IFERROR(INDEX('Semrush Data'!$D$2:$D$5000,MATCH(F52,'Semrush Data'!$A$2:$A$5000,0)),"")</f>
        <v>22</v>
      </c>
      <c r="I52" s="18" t="s">
        <v>295</v>
      </c>
      <c r="J52" s="20" t="n">
        <f aca="false">IFERROR(INDEX('Semrush Data'!$C$2:$C$5000,MATCH(I52,'Semrush Data'!$A$2:$A$5000,0)),"")</f>
        <v>480</v>
      </c>
      <c r="K52" s="18" t="s">
        <v>743</v>
      </c>
      <c r="L52" s="18" t="s">
        <v>741</v>
      </c>
      <c r="M52" s="18" t="s">
        <v>744</v>
      </c>
      <c r="N52" s="21" t="n">
        <f aca="false">LEN(M52)</f>
        <v>56</v>
      </c>
      <c r="O52" s="22" t="s">
        <v>745</v>
      </c>
      <c r="P52" s="21" t="n">
        <f aca="false">LEN(O52)</f>
        <v>158</v>
      </c>
      <c r="Q52" s="22" t="s">
        <v>746</v>
      </c>
      <c r="R52" s="22"/>
      <c r="S52" s="18" t="s">
        <v>382</v>
      </c>
      <c r="T52" s="22"/>
    </row>
    <row r="53" customFormat="false" ht="46.25" hidden="false" customHeight="false" outlineLevel="0" collapsed="false">
      <c r="A53" s="18" t="s">
        <v>747</v>
      </c>
      <c r="B53" s="18" t="s">
        <v>373</v>
      </c>
      <c r="C53" s="18" t="s">
        <v>748</v>
      </c>
      <c r="D53" s="18" t="s">
        <v>719</v>
      </c>
      <c r="E53" s="18" t="s">
        <v>749</v>
      </c>
      <c r="F53" s="19" t="s">
        <v>159</v>
      </c>
      <c r="G53" s="20" t="n">
        <f aca="false">IFERROR(INDEX('Semrush Data'!$C$2:$C$5000,MATCH(F53,'Semrush Data'!$A$2:$A$5000,0)),"")</f>
        <v>1600</v>
      </c>
      <c r="H53" s="18" t="n">
        <f aca="false">IFERROR(INDEX('Semrush Data'!$D$2:$D$5000,MATCH(F53,'Semrush Data'!$A$2:$A$5000,0)),"")</f>
        <v>33</v>
      </c>
      <c r="I53" s="18" t="s">
        <v>295</v>
      </c>
      <c r="J53" s="20" t="n">
        <f aca="false">IFERROR(INDEX('Semrush Data'!$C$2:$C$5000,MATCH(I53,'Semrush Data'!$A$2:$A$5000,0)),"")</f>
        <v>480</v>
      </c>
      <c r="K53" s="18" t="s">
        <v>426</v>
      </c>
      <c r="L53" s="18" t="s">
        <v>748</v>
      </c>
      <c r="M53" s="18" t="s">
        <v>750</v>
      </c>
      <c r="N53" s="21" t="n">
        <f aca="false">LEN(M53)</f>
        <v>57</v>
      </c>
      <c r="O53" s="22" t="s">
        <v>751</v>
      </c>
      <c r="P53" s="21" t="n">
        <f aca="false">LEN(O53)</f>
        <v>154</v>
      </c>
      <c r="Q53" s="22" t="s">
        <v>752</v>
      </c>
      <c r="R53" s="22"/>
      <c r="S53" s="18" t="s">
        <v>382</v>
      </c>
      <c r="T53" s="22" t="s">
        <v>393</v>
      </c>
    </row>
    <row r="54" customFormat="false" ht="23.85" hidden="false" customHeight="false" outlineLevel="0" collapsed="false">
      <c r="A54" s="18" t="s">
        <v>753</v>
      </c>
      <c r="B54" s="18" t="s">
        <v>373</v>
      </c>
      <c r="C54" s="18" t="s">
        <v>754</v>
      </c>
      <c r="D54" s="18" t="s">
        <v>719</v>
      </c>
      <c r="E54" s="18" t="s">
        <v>543</v>
      </c>
      <c r="F54" s="19" t="s">
        <v>160</v>
      </c>
      <c r="G54" s="20" t="n">
        <f aca="false">IFERROR(INDEX('Semrush Data'!$C$2:$C$5000,MATCH(F54,'Semrush Data'!$A$2:$A$5000,0)),"")</f>
        <v>1600</v>
      </c>
      <c r="H54" s="18" t="n">
        <f aca="false">IFERROR(INDEX('Semrush Data'!$D$2:$D$5000,MATCH(F54,'Semrush Data'!$A$2:$A$5000,0)),"")</f>
        <v>31</v>
      </c>
      <c r="I54" s="18" t="s">
        <v>295</v>
      </c>
      <c r="J54" s="20" t="n">
        <f aca="false">IFERROR(INDEX('Semrush Data'!$C$2:$C$5000,MATCH(I54,'Semrush Data'!$A$2:$A$5000,0)),"")</f>
        <v>480</v>
      </c>
      <c r="K54" s="18" t="s">
        <v>631</v>
      </c>
      <c r="L54" s="18" t="s">
        <v>754</v>
      </c>
      <c r="M54" s="18" t="s">
        <v>755</v>
      </c>
      <c r="N54" s="21" t="n">
        <f aca="false">LEN(M54)</f>
        <v>56</v>
      </c>
      <c r="O54" s="22" t="s">
        <v>756</v>
      </c>
      <c r="P54" s="21" t="n">
        <f aca="false">LEN(O54)</f>
        <v>160</v>
      </c>
      <c r="Q54" s="22" t="s">
        <v>757</v>
      </c>
      <c r="R54" s="22"/>
      <c r="S54" s="18" t="s">
        <v>422</v>
      </c>
      <c r="T54" s="22" t="s">
        <v>393</v>
      </c>
    </row>
    <row r="55" customFormat="false" ht="35.05" hidden="false" customHeight="false" outlineLevel="0" collapsed="false">
      <c r="A55" s="18" t="s">
        <v>758</v>
      </c>
      <c r="B55" s="18" t="s">
        <v>373</v>
      </c>
      <c r="C55" s="18" t="s">
        <v>759</v>
      </c>
      <c r="D55" s="18" t="s">
        <v>719</v>
      </c>
      <c r="E55" s="18" t="s">
        <v>416</v>
      </c>
      <c r="F55" s="19" t="s">
        <v>206</v>
      </c>
      <c r="G55" s="20" t="n">
        <f aca="false">IFERROR(INDEX('Semrush Data'!$C$2:$C$5000,MATCH(F55,'Semrush Data'!$A$2:$A$5000,0)),"")</f>
        <v>3600</v>
      </c>
      <c r="H55" s="18" t="n">
        <f aca="false">IFERROR(INDEX('Semrush Data'!$D$2:$D$5000,MATCH(F55,'Semrush Data'!$A$2:$A$5000,0)),"")</f>
        <v>24</v>
      </c>
      <c r="I55" s="18" t="s">
        <v>295</v>
      </c>
      <c r="J55" s="20" t="n">
        <f aca="false">IFERROR(INDEX('Semrush Data'!$C$2:$C$5000,MATCH(I55,'Semrush Data'!$A$2:$A$5000,0)),"")</f>
        <v>480</v>
      </c>
      <c r="K55" s="18" t="s">
        <v>417</v>
      </c>
      <c r="L55" s="18" t="s">
        <v>759</v>
      </c>
      <c r="M55" s="18" t="s">
        <v>760</v>
      </c>
      <c r="N55" s="21" t="n">
        <f aca="false">LEN(M55)</f>
        <v>56</v>
      </c>
      <c r="O55" s="22" t="s">
        <v>761</v>
      </c>
      <c r="P55" s="21" t="n">
        <f aca="false">LEN(O55)</f>
        <v>158</v>
      </c>
      <c r="Q55" s="22" t="s">
        <v>762</v>
      </c>
      <c r="R55" s="22"/>
      <c r="S55" s="18" t="s">
        <v>382</v>
      </c>
      <c r="T55" s="22"/>
    </row>
    <row r="56" customFormat="false" ht="46.25" hidden="false" customHeight="false" outlineLevel="0" collapsed="false">
      <c r="A56" s="18" t="s">
        <v>763</v>
      </c>
      <c r="B56" s="18" t="s">
        <v>373</v>
      </c>
      <c r="C56" s="18" t="s">
        <v>764</v>
      </c>
      <c r="D56" s="18" t="s">
        <v>719</v>
      </c>
      <c r="E56" s="18" t="s">
        <v>586</v>
      </c>
      <c r="F56" s="19" t="s">
        <v>170</v>
      </c>
      <c r="G56" s="20" t="n">
        <f aca="false">IFERROR(INDEX('Semrush Data'!$C$2:$C$5000,MATCH(F56,'Semrush Data'!$A$2:$A$5000,0)),"")</f>
        <v>320</v>
      </c>
      <c r="H56" s="18" t="n">
        <f aca="false">IFERROR(INDEX('Semrush Data'!$D$2:$D$5000,MATCH(F56,'Semrush Data'!$A$2:$A$5000,0)),"")</f>
        <v>10</v>
      </c>
      <c r="I56" s="18" t="s">
        <v>295</v>
      </c>
      <c r="J56" s="20" t="n">
        <f aca="false">IFERROR(INDEX('Semrush Data'!$C$2:$C$5000,MATCH(I56,'Semrush Data'!$A$2:$A$5000,0)),"")</f>
        <v>480</v>
      </c>
      <c r="K56" s="18" t="s">
        <v>663</v>
      </c>
      <c r="L56" s="18" t="s">
        <v>764</v>
      </c>
      <c r="M56" s="18" t="s">
        <v>765</v>
      </c>
      <c r="N56" s="21" t="n">
        <f aca="false">LEN(M56)</f>
        <v>52</v>
      </c>
      <c r="O56" s="22" t="s">
        <v>766</v>
      </c>
      <c r="P56" s="21" t="n">
        <f aca="false">LEN(O56)</f>
        <v>158</v>
      </c>
      <c r="Q56" s="22" t="s">
        <v>767</v>
      </c>
      <c r="R56" s="22"/>
      <c r="S56" s="18" t="s">
        <v>382</v>
      </c>
      <c r="T56" s="22" t="s">
        <v>393</v>
      </c>
    </row>
    <row r="57" customFormat="false" ht="46.25" hidden="false" customHeight="false" outlineLevel="0" collapsed="false">
      <c r="A57" s="18" t="s">
        <v>768</v>
      </c>
      <c r="B57" s="18" t="s">
        <v>373</v>
      </c>
      <c r="C57" s="18" t="s">
        <v>769</v>
      </c>
      <c r="D57" s="18" t="s">
        <v>719</v>
      </c>
      <c r="E57" s="18" t="s">
        <v>770</v>
      </c>
      <c r="F57" s="19" t="s">
        <v>211</v>
      </c>
      <c r="G57" s="20" t="n">
        <f aca="false">IFERROR(INDEX('Semrush Data'!$C$2:$C$5000,MATCH(F57,'Semrush Data'!$A$2:$A$5000,0)),"")</f>
        <v>3600</v>
      </c>
      <c r="H57" s="18" t="n">
        <f aca="false">IFERROR(INDEX('Semrush Data'!$D$2:$D$5000,MATCH(F57,'Semrush Data'!$A$2:$A$5000,0)),"")</f>
        <v>22</v>
      </c>
      <c r="I57" s="18" t="s">
        <v>295</v>
      </c>
      <c r="J57" s="20" t="n">
        <f aca="false">IFERROR(INDEX('Semrush Data'!$C$2:$C$5000,MATCH(I57,'Semrush Data'!$A$2:$A$5000,0)),"")</f>
        <v>480</v>
      </c>
      <c r="K57" s="18" t="s">
        <v>743</v>
      </c>
      <c r="L57" s="18" t="s">
        <v>769</v>
      </c>
      <c r="M57" s="18" t="s">
        <v>771</v>
      </c>
      <c r="N57" s="21" t="n">
        <f aca="false">LEN(M57)</f>
        <v>54</v>
      </c>
      <c r="O57" s="22" t="s">
        <v>772</v>
      </c>
      <c r="P57" s="21" t="n">
        <f aca="false">LEN(O57)</f>
        <v>149</v>
      </c>
      <c r="Q57" s="22" t="s">
        <v>773</v>
      </c>
      <c r="R57" s="22"/>
      <c r="S57" s="18" t="s">
        <v>382</v>
      </c>
      <c r="T57" s="22" t="s">
        <v>393</v>
      </c>
    </row>
    <row r="58" customFormat="false" ht="35.05" hidden="false" customHeight="false" outlineLevel="0" collapsed="false">
      <c r="A58" s="18" t="s">
        <v>774</v>
      </c>
      <c r="B58" s="18" t="s">
        <v>373</v>
      </c>
      <c r="C58" s="18" t="s">
        <v>775</v>
      </c>
      <c r="D58" s="18" t="s">
        <v>719</v>
      </c>
      <c r="E58" s="18" t="s">
        <v>586</v>
      </c>
      <c r="F58" s="19" t="s">
        <v>170</v>
      </c>
      <c r="G58" s="20" t="n">
        <f aca="false">IFERROR(INDEX('Semrush Data'!$C$2:$C$5000,MATCH(F58,'Semrush Data'!$A$2:$A$5000,0)),"")</f>
        <v>320</v>
      </c>
      <c r="H58" s="18" t="n">
        <f aca="false">IFERROR(INDEX('Semrush Data'!$D$2:$D$5000,MATCH(F58,'Semrush Data'!$A$2:$A$5000,0)),"")</f>
        <v>10</v>
      </c>
      <c r="I58" s="18" t="s">
        <v>295</v>
      </c>
      <c r="J58" s="20" t="n">
        <f aca="false">IFERROR(INDEX('Semrush Data'!$C$2:$C$5000,MATCH(I58,'Semrush Data'!$A$2:$A$5000,0)),"")</f>
        <v>480</v>
      </c>
      <c r="K58" s="18" t="s">
        <v>663</v>
      </c>
      <c r="L58" s="18" t="s">
        <v>775</v>
      </c>
      <c r="M58" s="18" t="s">
        <v>776</v>
      </c>
      <c r="N58" s="21" t="n">
        <f aca="false">LEN(M58)</f>
        <v>58</v>
      </c>
      <c r="O58" s="22" t="s">
        <v>777</v>
      </c>
      <c r="P58" s="21" t="n">
        <f aca="false">LEN(O58)</f>
        <v>153</v>
      </c>
      <c r="Q58" s="22" t="s">
        <v>778</v>
      </c>
      <c r="R58" s="22"/>
      <c r="S58" s="18" t="s">
        <v>382</v>
      </c>
      <c r="T58" s="22" t="s">
        <v>393</v>
      </c>
    </row>
    <row r="59" customFormat="false" ht="35.05" hidden="false" customHeight="false" outlineLevel="0" collapsed="false">
      <c r="A59" s="18" t="s">
        <v>779</v>
      </c>
      <c r="B59" s="18" t="s">
        <v>373</v>
      </c>
      <c r="C59" s="18" t="s">
        <v>780</v>
      </c>
      <c r="D59" s="18" t="s">
        <v>719</v>
      </c>
      <c r="E59" s="18" t="s">
        <v>562</v>
      </c>
      <c r="F59" s="19" t="s">
        <v>211</v>
      </c>
      <c r="G59" s="20" t="n">
        <f aca="false">IFERROR(INDEX('Semrush Data'!$C$2:$C$5000,MATCH(F59,'Semrush Data'!$A$2:$A$5000,0)),"")</f>
        <v>3600</v>
      </c>
      <c r="H59" s="18" t="n">
        <f aca="false">IFERROR(INDEX('Semrush Data'!$D$2:$D$5000,MATCH(F59,'Semrush Data'!$A$2:$A$5000,0)),"")</f>
        <v>22</v>
      </c>
      <c r="I59" s="18" t="s">
        <v>295</v>
      </c>
      <c r="J59" s="20" t="n">
        <f aca="false">IFERROR(INDEX('Semrush Data'!$C$2:$C$5000,MATCH(I59,'Semrush Data'!$A$2:$A$5000,0)),"")</f>
        <v>480</v>
      </c>
      <c r="K59" s="18" t="s">
        <v>743</v>
      </c>
      <c r="L59" s="18" t="s">
        <v>780</v>
      </c>
      <c r="M59" s="18" t="s">
        <v>781</v>
      </c>
      <c r="N59" s="21" t="n">
        <f aca="false">LEN(M59)</f>
        <v>55</v>
      </c>
      <c r="O59" s="22" t="s">
        <v>782</v>
      </c>
      <c r="P59" s="21" t="n">
        <f aca="false">LEN(O59)</f>
        <v>150</v>
      </c>
      <c r="Q59" s="22" t="s">
        <v>783</v>
      </c>
      <c r="R59" s="22"/>
      <c r="S59" s="18" t="s">
        <v>382</v>
      </c>
      <c r="T59" s="22"/>
    </row>
    <row r="60" customFormat="false" ht="35.05" hidden="false" customHeight="false" outlineLevel="0" collapsed="false">
      <c r="A60" s="18" t="s">
        <v>784</v>
      </c>
      <c r="B60" s="18" t="s">
        <v>373</v>
      </c>
      <c r="C60" s="18" t="s">
        <v>785</v>
      </c>
      <c r="D60" s="18" t="s">
        <v>719</v>
      </c>
      <c r="E60" s="18" t="s">
        <v>586</v>
      </c>
      <c r="F60" s="19" t="s">
        <v>170</v>
      </c>
      <c r="G60" s="20" t="n">
        <f aca="false">IFERROR(INDEX('Semrush Data'!$C$2:$C$5000,MATCH(F60,'Semrush Data'!$A$2:$A$5000,0)),"")</f>
        <v>320</v>
      </c>
      <c r="H60" s="18" t="n">
        <f aca="false">IFERROR(INDEX('Semrush Data'!$D$2:$D$5000,MATCH(F60,'Semrush Data'!$A$2:$A$5000,0)),"")</f>
        <v>10</v>
      </c>
      <c r="I60" s="18" t="s">
        <v>295</v>
      </c>
      <c r="J60" s="20" t="n">
        <f aca="false">IFERROR(INDEX('Semrush Data'!$C$2:$C$5000,MATCH(I60,'Semrush Data'!$A$2:$A$5000,0)),"")</f>
        <v>480</v>
      </c>
      <c r="K60" s="18" t="s">
        <v>663</v>
      </c>
      <c r="L60" s="18" t="s">
        <v>786</v>
      </c>
      <c r="M60" s="18" t="s">
        <v>787</v>
      </c>
      <c r="N60" s="21" t="n">
        <f aca="false">LEN(M60)</f>
        <v>50</v>
      </c>
      <c r="O60" s="22" t="s">
        <v>788</v>
      </c>
      <c r="P60" s="21" t="n">
        <f aca="false">LEN(O60)</f>
        <v>156</v>
      </c>
      <c r="Q60" s="22" t="s">
        <v>789</v>
      </c>
      <c r="R60" s="22"/>
      <c r="S60" s="18" t="s">
        <v>382</v>
      </c>
      <c r="T60" s="22" t="s">
        <v>393</v>
      </c>
    </row>
    <row r="61" customFormat="false" ht="23.85" hidden="false" customHeight="false" outlineLevel="0" collapsed="false">
      <c r="A61" s="18" t="s">
        <v>790</v>
      </c>
      <c r="B61" s="18" t="s">
        <v>373</v>
      </c>
      <c r="C61" s="18" t="s">
        <v>791</v>
      </c>
      <c r="D61" s="18" t="s">
        <v>719</v>
      </c>
      <c r="E61" s="18" t="s">
        <v>416</v>
      </c>
      <c r="F61" s="19" t="s">
        <v>206</v>
      </c>
      <c r="G61" s="20" t="n">
        <f aca="false">IFERROR(INDEX('Semrush Data'!$C$2:$C$5000,MATCH(F61,'Semrush Data'!$A$2:$A$5000,0)),"")</f>
        <v>3600</v>
      </c>
      <c r="H61" s="18" t="n">
        <f aca="false">IFERROR(INDEX('Semrush Data'!$D$2:$D$5000,MATCH(F61,'Semrush Data'!$A$2:$A$5000,0)),"")</f>
        <v>24</v>
      </c>
      <c r="I61" s="18" t="s">
        <v>295</v>
      </c>
      <c r="J61" s="20" t="n">
        <f aca="false">IFERROR(INDEX('Semrush Data'!$C$2:$C$5000,MATCH(I61,'Semrush Data'!$A$2:$A$5000,0)),"")</f>
        <v>480</v>
      </c>
      <c r="K61" s="18" t="s">
        <v>417</v>
      </c>
      <c r="L61" s="18" t="s">
        <v>792</v>
      </c>
      <c r="M61" s="18" t="s">
        <v>793</v>
      </c>
      <c r="N61" s="21" t="n">
        <f aca="false">LEN(M61)</f>
        <v>56</v>
      </c>
      <c r="O61" s="22" t="s">
        <v>794</v>
      </c>
      <c r="P61" s="21" t="n">
        <f aca="false">LEN(O61)</f>
        <v>145</v>
      </c>
      <c r="Q61" s="22" t="s">
        <v>795</v>
      </c>
      <c r="R61" s="22"/>
      <c r="S61" s="18" t="s">
        <v>422</v>
      </c>
      <c r="T61" s="22" t="s">
        <v>393</v>
      </c>
    </row>
    <row r="62" customFormat="false" ht="23.85" hidden="false" customHeight="false" outlineLevel="0" collapsed="false">
      <c r="A62" s="18" t="s">
        <v>796</v>
      </c>
      <c r="B62" s="18" t="s">
        <v>373</v>
      </c>
      <c r="C62" s="18" t="s">
        <v>797</v>
      </c>
      <c r="D62" s="18" t="s">
        <v>719</v>
      </c>
      <c r="E62" s="18" t="s">
        <v>586</v>
      </c>
      <c r="F62" s="19" t="s">
        <v>170</v>
      </c>
      <c r="G62" s="20" t="n">
        <f aca="false">IFERROR(INDEX('Semrush Data'!$C$2:$C$5000,MATCH(F62,'Semrush Data'!$A$2:$A$5000,0)),"")</f>
        <v>320</v>
      </c>
      <c r="H62" s="18" t="n">
        <f aca="false">IFERROR(INDEX('Semrush Data'!$D$2:$D$5000,MATCH(F62,'Semrush Data'!$A$2:$A$5000,0)),"")</f>
        <v>10</v>
      </c>
      <c r="I62" s="18" t="s">
        <v>295</v>
      </c>
      <c r="J62" s="20" t="n">
        <f aca="false">IFERROR(INDEX('Semrush Data'!$C$2:$C$5000,MATCH(I62,'Semrush Data'!$A$2:$A$5000,0)),"")</f>
        <v>480</v>
      </c>
      <c r="K62" s="18" t="s">
        <v>663</v>
      </c>
      <c r="L62" s="18" t="s">
        <v>798</v>
      </c>
      <c r="M62" s="18" t="s">
        <v>799</v>
      </c>
      <c r="N62" s="21" t="n">
        <f aca="false">LEN(M62)</f>
        <v>60</v>
      </c>
      <c r="O62" s="22" t="s">
        <v>800</v>
      </c>
      <c r="P62" s="21" t="n">
        <f aca="false">LEN(O62)</f>
        <v>155</v>
      </c>
      <c r="Q62" s="22" t="s">
        <v>801</v>
      </c>
      <c r="R62" s="22"/>
      <c r="S62" s="18" t="s">
        <v>422</v>
      </c>
      <c r="T62" s="22" t="s">
        <v>393</v>
      </c>
    </row>
    <row r="63" customFormat="false" ht="23.85" hidden="false" customHeight="false" outlineLevel="0" collapsed="false">
      <c r="A63" s="18" t="s">
        <v>802</v>
      </c>
      <c r="B63" s="18" t="s">
        <v>373</v>
      </c>
      <c r="C63" s="18" t="s">
        <v>803</v>
      </c>
      <c r="D63" s="18" t="s">
        <v>719</v>
      </c>
      <c r="E63" s="18" t="s">
        <v>804</v>
      </c>
      <c r="F63" s="19" t="s">
        <v>211</v>
      </c>
      <c r="G63" s="20" t="n">
        <f aca="false">IFERROR(INDEX('Semrush Data'!$C$2:$C$5000,MATCH(F63,'Semrush Data'!$A$2:$A$5000,0)),"")</f>
        <v>3600</v>
      </c>
      <c r="H63" s="18" t="n">
        <f aca="false">IFERROR(INDEX('Semrush Data'!$D$2:$D$5000,MATCH(F63,'Semrush Data'!$A$2:$A$5000,0)),"")</f>
        <v>22</v>
      </c>
      <c r="I63" s="18" t="s">
        <v>295</v>
      </c>
      <c r="J63" s="20" t="n">
        <f aca="false">IFERROR(INDEX('Semrush Data'!$C$2:$C$5000,MATCH(I63,'Semrush Data'!$A$2:$A$5000,0)),"")</f>
        <v>480</v>
      </c>
      <c r="K63" s="18" t="s">
        <v>743</v>
      </c>
      <c r="L63" s="18" t="s">
        <v>803</v>
      </c>
      <c r="M63" s="18" t="s">
        <v>805</v>
      </c>
      <c r="N63" s="21" t="n">
        <f aca="false">LEN(M63)</f>
        <v>57</v>
      </c>
      <c r="O63" s="22" t="s">
        <v>806</v>
      </c>
      <c r="P63" s="21" t="n">
        <f aca="false">LEN(O63)</f>
        <v>152</v>
      </c>
      <c r="Q63" s="22" t="s">
        <v>807</v>
      </c>
      <c r="R63" s="22"/>
      <c r="S63" s="18" t="s">
        <v>422</v>
      </c>
      <c r="T63" s="22" t="s">
        <v>393</v>
      </c>
    </row>
    <row r="64" customFormat="false" ht="46.25" hidden="false" customHeight="false" outlineLevel="0" collapsed="false">
      <c r="A64" s="18" t="s">
        <v>808</v>
      </c>
      <c r="B64" s="18" t="s">
        <v>373</v>
      </c>
      <c r="C64" s="18" t="s">
        <v>809</v>
      </c>
      <c r="D64" s="18" t="s">
        <v>719</v>
      </c>
      <c r="E64" s="18" t="s">
        <v>586</v>
      </c>
      <c r="F64" s="19" t="s">
        <v>170</v>
      </c>
      <c r="G64" s="20" t="n">
        <f aca="false">IFERROR(INDEX('Semrush Data'!$C$2:$C$5000,MATCH(F64,'Semrush Data'!$A$2:$A$5000,0)),"")</f>
        <v>320</v>
      </c>
      <c r="H64" s="18" t="n">
        <f aca="false">IFERROR(INDEX('Semrush Data'!$D$2:$D$5000,MATCH(F64,'Semrush Data'!$A$2:$A$5000,0)),"")</f>
        <v>10</v>
      </c>
      <c r="I64" s="18" t="s">
        <v>295</v>
      </c>
      <c r="J64" s="20" t="n">
        <f aca="false">IFERROR(INDEX('Semrush Data'!$C$2:$C$5000,MATCH(I64,'Semrush Data'!$A$2:$A$5000,0)),"")</f>
        <v>480</v>
      </c>
      <c r="K64" s="18" t="s">
        <v>663</v>
      </c>
      <c r="L64" s="18" t="s">
        <v>809</v>
      </c>
      <c r="M64" s="18" t="s">
        <v>810</v>
      </c>
      <c r="N64" s="21" t="n">
        <f aca="false">LEN(M64)</f>
        <v>58</v>
      </c>
      <c r="O64" s="22" t="s">
        <v>811</v>
      </c>
      <c r="P64" s="21" t="n">
        <f aca="false">LEN(O64)</f>
        <v>160</v>
      </c>
      <c r="Q64" s="22" t="s">
        <v>812</v>
      </c>
      <c r="R64" s="22"/>
      <c r="S64" s="18" t="s">
        <v>382</v>
      </c>
      <c r="T64" s="22" t="s">
        <v>393</v>
      </c>
    </row>
    <row r="65" customFormat="false" ht="46.25" hidden="false" customHeight="false" outlineLevel="0" collapsed="false">
      <c r="A65" s="18" t="s">
        <v>813</v>
      </c>
      <c r="B65" s="18" t="s">
        <v>373</v>
      </c>
      <c r="C65" s="18" t="s">
        <v>814</v>
      </c>
      <c r="D65" s="18" t="s">
        <v>719</v>
      </c>
      <c r="E65" s="18" t="s">
        <v>586</v>
      </c>
      <c r="F65" s="19" t="s">
        <v>170</v>
      </c>
      <c r="G65" s="20" t="n">
        <f aca="false">IFERROR(INDEX('Semrush Data'!$C$2:$C$5000,MATCH(F65,'Semrush Data'!$A$2:$A$5000,0)),"")</f>
        <v>320</v>
      </c>
      <c r="H65" s="18" t="n">
        <f aca="false">IFERROR(INDEX('Semrush Data'!$D$2:$D$5000,MATCH(F65,'Semrush Data'!$A$2:$A$5000,0)),"")</f>
        <v>10</v>
      </c>
      <c r="I65" s="18" t="s">
        <v>295</v>
      </c>
      <c r="J65" s="20" t="n">
        <f aca="false">IFERROR(INDEX('Semrush Data'!$C$2:$C$5000,MATCH(I65,'Semrush Data'!$A$2:$A$5000,0)),"")</f>
        <v>480</v>
      </c>
      <c r="K65" s="18" t="s">
        <v>663</v>
      </c>
      <c r="L65" s="18" t="s">
        <v>814</v>
      </c>
      <c r="M65" s="18" t="s">
        <v>815</v>
      </c>
      <c r="N65" s="21" t="n">
        <f aca="false">LEN(M65)</f>
        <v>52</v>
      </c>
      <c r="O65" s="22" t="s">
        <v>816</v>
      </c>
      <c r="P65" s="21" t="n">
        <f aca="false">LEN(O65)</f>
        <v>158</v>
      </c>
      <c r="Q65" s="22" t="s">
        <v>817</v>
      </c>
      <c r="R65" s="22"/>
      <c r="S65" s="18" t="s">
        <v>382</v>
      </c>
      <c r="T65" s="22" t="s">
        <v>393</v>
      </c>
    </row>
    <row r="66" customFormat="false" ht="23.85" hidden="false" customHeight="false" outlineLevel="0" collapsed="false">
      <c r="A66" s="18" t="s">
        <v>818</v>
      </c>
      <c r="B66" s="18" t="s">
        <v>373</v>
      </c>
      <c r="C66" s="18" t="s">
        <v>819</v>
      </c>
      <c r="D66" s="18" t="s">
        <v>719</v>
      </c>
      <c r="E66" s="18" t="s">
        <v>435</v>
      </c>
      <c r="F66" s="19" t="s">
        <v>224</v>
      </c>
      <c r="G66" s="20" t="n">
        <f aca="false">IFERROR(INDEX('Semrush Data'!$C$2:$C$5000,MATCH(F66,'Semrush Data'!$A$2:$A$5000,0)),"")</f>
        <v>1300</v>
      </c>
      <c r="H66" s="18" t="n">
        <f aca="false">IFERROR(INDEX('Semrush Data'!$D$2:$D$5000,MATCH(F66,'Semrush Data'!$A$2:$A$5000,0)),"")</f>
        <v>16</v>
      </c>
      <c r="I66" s="18" t="s">
        <v>295</v>
      </c>
      <c r="J66" s="20" t="n">
        <f aca="false">IFERROR(INDEX('Semrush Data'!$C$2:$C$5000,MATCH(I66,'Semrush Data'!$A$2:$A$5000,0)),"")</f>
        <v>480</v>
      </c>
      <c r="K66" s="18" t="s">
        <v>720</v>
      </c>
      <c r="L66" s="18" t="s">
        <v>820</v>
      </c>
      <c r="M66" s="18" t="s">
        <v>821</v>
      </c>
      <c r="N66" s="21" t="n">
        <f aca="false">LEN(M66)</f>
        <v>52</v>
      </c>
      <c r="O66" s="22" t="s">
        <v>822</v>
      </c>
      <c r="P66" s="21" t="n">
        <f aca="false">LEN(O66)</f>
        <v>158</v>
      </c>
      <c r="Q66" s="22" t="s">
        <v>823</v>
      </c>
      <c r="R66" s="22"/>
      <c r="S66" s="18" t="s">
        <v>403</v>
      </c>
      <c r="T66" s="22"/>
    </row>
    <row r="67" customFormat="false" ht="23.85" hidden="false" customHeight="false" outlineLevel="0" collapsed="false">
      <c r="A67" s="18" t="s">
        <v>824</v>
      </c>
      <c r="B67" s="18" t="s">
        <v>373</v>
      </c>
      <c r="C67" s="18" t="s">
        <v>825</v>
      </c>
      <c r="D67" s="18" t="s">
        <v>719</v>
      </c>
      <c r="E67" s="18" t="s">
        <v>562</v>
      </c>
      <c r="F67" s="19" t="s">
        <v>211</v>
      </c>
      <c r="G67" s="20" t="n">
        <f aca="false">IFERROR(INDEX('Semrush Data'!$C$2:$C$5000,MATCH(F67,'Semrush Data'!$A$2:$A$5000,0)),"")</f>
        <v>3600</v>
      </c>
      <c r="H67" s="18" t="n">
        <f aca="false">IFERROR(INDEX('Semrush Data'!$D$2:$D$5000,MATCH(F67,'Semrush Data'!$A$2:$A$5000,0)),"")</f>
        <v>22</v>
      </c>
      <c r="I67" s="18" t="s">
        <v>295</v>
      </c>
      <c r="J67" s="20" t="n">
        <f aca="false">IFERROR(INDEX('Semrush Data'!$C$2:$C$5000,MATCH(I67,'Semrush Data'!$A$2:$A$5000,0)),"")</f>
        <v>480</v>
      </c>
      <c r="K67" s="18" t="s">
        <v>743</v>
      </c>
      <c r="L67" s="18" t="s">
        <v>825</v>
      </c>
      <c r="M67" s="18" t="s">
        <v>826</v>
      </c>
      <c r="N67" s="21" t="n">
        <f aca="false">LEN(M67)</f>
        <v>51</v>
      </c>
      <c r="O67" s="22" t="s">
        <v>827</v>
      </c>
      <c r="P67" s="21" t="n">
        <f aca="false">LEN(O67)</f>
        <v>146</v>
      </c>
      <c r="Q67" s="22" t="s">
        <v>828</v>
      </c>
      <c r="R67" s="22"/>
      <c r="S67" s="18" t="s">
        <v>422</v>
      </c>
      <c r="T67" s="22" t="s">
        <v>393</v>
      </c>
    </row>
    <row r="68" customFormat="false" ht="23.85" hidden="false" customHeight="false" outlineLevel="0" collapsed="false">
      <c r="A68" s="18" t="s">
        <v>829</v>
      </c>
      <c r="B68" s="18" t="s">
        <v>373</v>
      </c>
      <c r="C68" s="18" t="s">
        <v>830</v>
      </c>
      <c r="D68" s="18" t="s">
        <v>719</v>
      </c>
      <c r="E68" s="18" t="s">
        <v>407</v>
      </c>
      <c r="F68" s="19" t="s">
        <v>161</v>
      </c>
      <c r="G68" s="20" t="n">
        <f aca="false">IFERROR(INDEX('Semrush Data'!$C$2:$C$5000,MATCH(F68,'Semrush Data'!$A$2:$A$5000,0)),"")</f>
        <v>1300</v>
      </c>
      <c r="H68" s="18" t="n">
        <f aca="false">IFERROR(INDEX('Semrush Data'!$D$2:$D$5000,MATCH(F68,'Semrush Data'!$A$2:$A$5000,0)),"")</f>
        <v>11</v>
      </c>
      <c r="I68" s="18" t="s">
        <v>295</v>
      </c>
      <c r="J68" s="20" t="n">
        <f aca="false">IFERROR(INDEX('Semrush Data'!$C$2:$C$5000,MATCH(I68,'Semrush Data'!$A$2:$A$5000,0)),"")</f>
        <v>480</v>
      </c>
      <c r="K68" s="18" t="s">
        <v>506</v>
      </c>
      <c r="L68" s="18" t="s">
        <v>831</v>
      </c>
      <c r="M68" s="18" t="s">
        <v>832</v>
      </c>
      <c r="N68" s="21" t="n">
        <f aca="false">LEN(M68)</f>
        <v>55</v>
      </c>
      <c r="O68" s="22" t="s">
        <v>833</v>
      </c>
      <c r="P68" s="21" t="n">
        <f aca="false">LEN(O68)</f>
        <v>159</v>
      </c>
      <c r="Q68" s="22" t="s">
        <v>834</v>
      </c>
      <c r="R68" s="22"/>
      <c r="S68" s="18" t="s">
        <v>403</v>
      </c>
      <c r="T68" s="22"/>
    </row>
    <row r="69" customFormat="false" ht="57.45" hidden="false" customHeight="false" outlineLevel="0" collapsed="false">
      <c r="A69" s="18" t="s">
        <v>835</v>
      </c>
      <c r="B69" s="18" t="s">
        <v>373</v>
      </c>
      <c r="C69" s="18" t="s">
        <v>836</v>
      </c>
      <c r="D69" s="18" t="s">
        <v>719</v>
      </c>
      <c r="E69" s="18" t="s">
        <v>457</v>
      </c>
      <c r="F69" s="19" t="s">
        <v>163</v>
      </c>
      <c r="G69" s="20" t="n">
        <f aca="false">IFERROR(INDEX('Semrush Data'!$C$2:$C$5000,MATCH(F69,'Semrush Data'!$A$2:$A$5000,0)),"")</f>
        <v>1000</v>
      </c>
      <c r="H69" s="18" t="n">
        <f aca="false">IFERROR(INDEX('Semrush Data'!$D$2:$D$5000,MATCH(F69,'Semrush Data'!$A$2:$A$5000,0)),"")</f>
        <v>41</v>
      </c>
      <c r="I69" s="18" t="s">
        <v>295</v>
      </c>
      <c r="J69" s="20" t="n">
        <f aca="false">IFERROR(INDEX('Semrush Data'!$C$2:$C$5000,MATCH(I69,'Semrush Data'!$A$2:$A$5000,0)),"")</f>
        <v>480</v>
      </c>
      <c r="K69" s="18" t="s">
        <v>458</v>
      </c>
      <c r="L69" s="18" t="s">
        <v>837</v>
      </c>
      <c r="M69" s="18" t="s">
        <v>838</v>
      </c>
      <c r="N69" s="21" t="n">
        <f aca="false">LEN(M69)</f>
        <v>50</v>
      </c>
      <c r="O69" s="22" t="s">
        <v>839</v>
      </c>
      <c r="P69" s="21" t="n">
        <f aca="false">LEN(O69)</f>
        <v>158</v>
      </c>
      <c r="Q69" s="22" t="s">
        <v>840</v>
      </c>
      <c r="R69" s="22"/>
      <c r="S69" s="18" t="s">
        <v>382</v>
      </c>
      <c r="T69" s="22" t="s">
        <v>393</v>
      </c>
    </row>
    <row r="70" customFormat="false" ht="23.85" hidden="false" customHeight="false" outlineLevel="0" collapsed="false">
      <c r="A70" s="18" t="s">
        <v>841</v>
      </c>
      <c r="B70" s="18" t="s">
        <v>373</v>
      </c>
      <c r="C70" s="18" t="s">
        <v>842</v>
      </c>
      <c r="D70" s="18" t="s">
        <v>719</v>
      </c>
      <c r="E70" s="18" t="s">
        <v>552</v>
      </c>
      <c r="F70" s="19" t="s">
        <v>162</v>
      </c>
      <c r="G70" s="20" t="n">
        <f aca="false">IFERROR(INDEX('Semrush Data'!$C$2:$C$5000,MATCH(F70,'Semrush Data'!$A$2:$A$5000,0)),"")</f>
        <v>1000</v>
      </c>
      <c r="H70" s="18" t="n">
        <f aca="false">IFERROR(INDEX('Semrush Data'!$D$2:$D$5000,MATCH(F70,'Semrush Data'!$A$2:$A$5000,0)),"")</f>
        <v>27</v>
      </c>
      <c r="I70" s="18" t="s">
        <v>295</v>
      </c>
      <c r="J70" s="20" t="n">
        <f aca="false">IFERROR(INDEX('Semrush Data'!$C$2:$C$5000,MATCH(I70,'Semrush Data'!$A$2:$A$5000,0)),"")</f>
        <v>480</v>
      </c>
      <c r="K70" s="18" t="s">
        <v>553</v>
      </c>
      <c r="L70" s="18" t="s">
        <v>842</v>
      </c>
      <c r="M70" s="18" t="s">
        <v>843</v>
      </c>
      <c r="N70" s="21" t="n">
        <f aca="false">LEN(M70)</f>
        <v>57</v>
      </c>
      <c r="O70" s="22" t="s">
        <v>844</v>
      </c>
      <c r="P70" s="21" t="n">
        <f aca="false">LEN(O70)</f>
        <v>153</v>
      </c>
      <c r="Q70" s="22" t="s">
        <v>845</v>
      </c>
      <c r="R70" s="22"/>
      <c r="S70" s="18" t="s">
        <v>403</v>
      </c>
      <c r="T70" s="22"/>
    </row>
    <row r="71" customFormat="false" ht="35.05" hidden="false" customHeight="false" outlineLevel="0" collapsed="false">
      <c r="A71" s="18" t="s">
        <v>846</v>
      </c>
      <c r="B71" s="18" t="s">
        <v>373</v>
      </c>
      <c r="C71" s="18" t="s">
        <v>847</v>
      </c>
      <c r="D71" s="18" t="s">
        <v>719</v>
      </c>
      <c r="E71" s="18" t="s">
        <v>621</v>
      </c>
      <c r="F71" s="19" t="s">
        <v>156</v>
      </c>
      <c r="G71" s="20" t="n">
        <f aca="false">IFERROR(INDEX('Semrush Data'!$C$2:$C$5000,MATCH(F71,'Semrush Data'!$A$2:$A$5000,0)),"")</f>
        <v>2400</v>
      </c>
      <c r="H71" s="18" t="n">
        <f aca="false">IFERROR(INDEX('Semrush Data'!$D$2:$D$5000,MATCH(F71,'Semrush Data'!$A$2:$A$5000,0)),"")</f>
        <v>13</v>
      </c>
      <c r="I71" s="18" t="s">
        <v>295</v>
      </c>
      <c r="J71" s="20" t="n">
        <f aca="false">IFERROR(INDEX('Semrush Data'!$C$2:$C$5000,MATCH(I71,'Semrush Data'!$A$2:$A$5000,0)),"")</f>
        <v>480</v>
      </c>
      <c r="K71" s="18" t="s">
        <v>474</v>
      </c>
      <c r="L71" s="18" t="s">
        <v>847</v>
      </c>
      <c r="M71" s="18" t="s">
        <v>848</v>
      </c>
      <c r="N71" s="21" t="n">
        <f aca="false">LEN(M71)</f>
        <v>51</v>
      </c>
      <c r="O71" s="22" t="s">
        <v>849</v>
      </c>
      <c r="P71" s="21" t="n">
        <f aca="false">LEN(O71)</f>
        <v>159</v>
      </c>
      <c r="Q71" s="22" t="s">
        <v>850</v>
      </c>
      <c r="R71" s="22"/>
      <c r="S71" s="18" t="s">
        <v>382</v>
      </c>
      <c r="T71" s="22" t="s">
        <v>393</v>
      </c>
    </row>
    <row r="72" customFormat="false" ht="23.85" hidden="false" customHeight="false" outlineLevel="0" collapsed="false">
      <c r="A72" s="18" t="s">
        <v>851</v>
      </c>
      <c r="B72" s="18" t="s">
        <v>373</v>
      </c>
      <c r="C72" s="18" t="s">
        <v>852</v>
      </c>
      <c r="D72" s="18" t="s">
        <v>719</v>
      </c>
      <c r="E72" s="18" t="s">
        <v>621</v>
      </c>
      <c r="F72" s="19" t="s">
        <v>156</v>
      </c>
      <c r="G72" s="20" t="n">
        <f aca="false">IFERROR(INDEX('Semrush Data'!$C$2:$C$5000,MATCH(F72,'Semrush Data'!$A$2:$A$5000,0)),"")</f>
        <v>2400</v>
      </c>
      <c r="H72" s="18" t="n">
        <f aca="false">IFERROR(INDEX('Semrush Data'!$D$2:$D$5000,MATCH(F72,'Semrush Data'!$A$2:$A$5000,0)),"")</f>
        <v>13</v>
      </c>
      <c r="I72" s="18" t="s">
        <v>295</v>
      </c>
      <c r="J72" s="20" t="n">
        <f aca="false">IFERROR(INDEX('Semrush Data'!$C$2:$C$5000,MATCH(I72,'Semrush Data'!$A$2:$A$5000,0)),"")</f>
        <v>480</v>
      </c>
      <c r="K72" s="18" t="s">
        <v>474</v>
      </c>
      <c r="L72" s="18" t="s">
        <v>852</v>
      </c>
      <c r="M72" s="18" t="s">
        <v>853</v>
      </c>
      <c r="N72" s="21" t="n">
        <f aca="false">LEN(M72)</f>
        <v>58</v>
      </c>
      <c r="O72" s="22" t="s">
        <v>854</v>
      </c>
      <c r="P72" s="21" t="n">
        <f aca="false">LEN(O72)</f>
        <v>148</v>
      </c>
      <c r="Q72" s="22" t="s">
        <v>855</v>
      </c>
      <c r="R72" s="22"/>
      <c r="S72" s="18" t="s">
        <v>422</v>
      </c>
      <c r="T72" s="22" t="s">
        <v>393</v>
      </c>
    </row>
    <row r="73" customFormat="false" ht="46.25" hidden="false" customHeight="false" outlineLevel="0" collapsed="false">
      <c r="A73" s="18" t="s">
        <v>856</v>
      </c>
      <c r="B73" s="18" t="s">
        <v>373</v>
      </c>
      <c r="C73" s="18" t="s">
        <v>857</v>
      </c>
      <c r="D73" s="18" t="s">
        <v>719</v>
      </c>
      <c r="E73" s="18" t="s">
        <v>858</v>
      </c>
      <c r="F73" s="19" t="s">
        <v>211</v>
      </c>
      <c r="G73" s="20" t="n">
        <f aca="false">IFERROR(INDEX('Semrush Data'!$C$2:$C$5000,MATCH(F73,'Semrush Data'!$A$2:$A$5000,0)),"")</f>
        <v>3600</v>
      </c>
      <c r="H73" s="18" t="n">
        <f aca="false">IFERROR(INDEX('Semrush Data'!$D$2:$D$5000,MATCH(F73,'Semrush Data'!$A$2:$A$5000,0)),"")</f>
        <v>22</v>
      </c>
      <c r="I73" s="18" t="s">
        <v>295</v>
      </c>
      <c r="J73" s="20" t="n">
        <f aca="false">IFERROR(INDEX('Semrush Data'!$C$2:$C$5000,MATCH(I73,'Semrush Data'!$A$2:$A$5000,0)),"")</f>
        <v>480</v>
      </c>
      <c r="K73" s="18" t="s">
        <v>743</v>
      </c>
      <c r="L73" s="18" t="s">
        <v>857</v>
      </c>
      <c r="M73" s="18" t="s">
        <v>859</v>
      </c>
      <c r="N73" s="21" t="n">
        <f aca="false">LEN(M73)</f>
        <v>60</v>
      </c>
      <c r="O73" s="22" t="s">
        <v>860</v>
      </c>
      <c r="P73" s="21" t="n">
        <f aca="false">LEN(O73)</f>
        <v>155</v>
      </c>
      <c r="Q73" s="22" t="s">
        <v>861</v>
      </c>
      <c r="R73" s="22"/>
      <c r="S73" s="18" t="s">
        <v>382</v>
      </c>
      <c r="T73" s="22"/>
    </row>
    <row r="74" customFormat="false" ht="35.05" hidden="false" customHeight="false" outlineLevel="0" collapsed="false">
      <c r="A74" s="18" t="s">
        <v>862</v>
      </c>
      <c r="B74" s="18" t="s">
        <v>373</v>
      </c>
      <c r="C74" s="18" t="s">
        <v>863</v>
      </c>
      <c r="D74" s="18" t="s">
        <v>719</v>
      </c>
      <c r="E74" s="18" t="s">
        <v>864</v>
      </c>
      <c r="F74" s="19" t="s">
        <v>211</v>
      </c>
      <c r="G74" s="20" t="n">
        <f aca="false">IFERROR(INDEX('Semrush Data'!$C$2:$C$5000,MATCH(F74,'Semrush Data'!$A$2:$A$5000,0)),"")</f>
        <v>3600</v>
      </c>
      <c r="H74" s="18" t="n">
        <f aca="false">IFERROR(INDEX('Semrush Data'!$D$2:$D$5000,MATCH(F74,'Semrush Data'!$A$2:$A$5000,0)),"")</f>
        <v>22</v>
      </c>
      <c r="I74" s="18" t="s">
        <v>295</v>
      </c>
      <c r="J74" s="20" t="n">
        <f aca="false">IFERROR(INDEX('Semrush Data'!$C$2:$C$5000,MATCH(I74,'Semrush Data'!$A$2:$A$5000,0)),"")</f>
        <v>480</v>
      </c>
      <c r="K74" s="18" t="s">
        <v>743</v>
      </c>
      <c r="L74" s="18" t="s">
        <v>863</v>
      </c>
      <c r="M74" s="18" t="s">
        <v>865</v>
      </c>
      <c r="N74" s="21" t="n">
        <f aca="false">LEN(M74)</f>
        <v>56</v>
      </c>
      <c r="O74" s="22" t="s">
        <v>866</v>
      </c>
      <c r="P74" s="21" t="n">
        <f aca="false">LEN(O74)</f>
        <v>151</v>
      </c>
      <c r="Q74" s="22" t="s">
        <v>867</v>
      </c>
      <c r="R74" s="22"/>
      <c r="S74" s="18" t="s">
        <v>382</v>
      </c>
      <c r="T74" s="22" t="s">
        <v>393</v>
      </c>
    </row>
    <row r="75" customFormat="false" ht="46.25" hidden="false" customHeight="false" outlineLevel="0" collapsed="false">
      <c r="A75" s="18" t="s">
        <v>868</v>
      </c>
      <c r="B75" s="18" t="s">
        <v>373</v>
      </c>
      <c r="C75" s="18" t="s">
        <v>869</v>
      </c>
      <c r="D75" s="18" t="s">
        <v>719</v>
      </c>
      <c r="E75" s="18" t="s">
        <v>435</v>
      </c>
      <c r="F75" s="19" t="s">
        <v>224</v>
      </c>
      <c r="G75" s="20" t="n">
        <f aca="false">IFERROR(INDEX('Semrush Data'!$C$2:$C$5000,MATCH(F75,'Semrush Data'!$A$2:$A$5000,0)),"")</f>
        <v>1300</v>
      </c>
      <c r="H75" s="18" t="n">
        <f aca="false">IFERROR(INDEX('Semrush Data'!$D$2:$D$5000,MATCH(F75,'Semrush Data'!$A$2:$A$5000,0)),"")</f>
        <v>16</v>
      </c>
      <c r="I75" s="18" t="s">
        <v>295</v>
      </c>
      <c r="J75" s="20" t="n">
        <f aca="false">IFERROR(INDEX('Semrush Data'!$C$2:$C$5000,MATCH(I75,'Semrush Data'!$A$2:$A$5000,0)),"")</f>
        <v>480</v>
      </c>
      <c r="K75" s="18" t="s">
        <v>720</v>
      </c>
      <c r="L75" s="18" t="s">
        <v>869</v>
      </c>
      <c r="M75" s="18" t="s">
        <v>870</v>
      </c>
      <c r="N75" s="21" t="n">
        <f aca="false">LEN(M75)</f>
        <v>60</v>
      </c>
      <c r="O75" s="22" t="s">
        <v>871</v>
      </c>
      <c r="P75" s="21" t="n">
        <f aca="false">LEN(O75)</f>
        <v>155</v>
      </c>
      <c r="Q75" s="22" t="s">
        <v>872</v>
      </c>
      <c r="R75" s="22"/>
      <c r="S75" s="18" t="s">
        <v>382</v>
      </c>
      <c r="T75" s="22" t="s">
        <v>393</v>
      </c>
    </row>
    <row r="76" customFormat="false" ht="23.85" hidden="false" customHeight="false" outlineLevel="0" collapsed="false">
      <c r="A76" s="18" t="s">
        <v>873</v>
      </c>
      <c r="B76" s="18" t="s">
        <v>373</v>
      </c>
      <c r="C76" s="18" t="s">
        <v>874</v>
      </c>
      <c r="D76" s="18" t="s">
        <v>719</v>
      </c>
      <c r="E76" s="18" t="s">
        <v>552</v>
      </c>
      <c r="F76" s="19" t="s">
        <v>162</v>
      </c>
      <c r="G76" s="20" t="n">
        <f aca="false">IFERROR(INDEX('Semrush Data'!$C$2:$C$5000,MATCH(F76,'Semrush Data'!$A$2:$A$5000,0)),"")</f>
        <v>1000</v>
      </c>
      <c r="H76" s="18" t="n">
        <f aca="false">IFERROR(INDEX('Semrush Data'!$D$2:$D$5000,MATCH(F76,'Semrush Data'!$A$2:$A$5000,0)),"")</f>
        <v>27</v>
      </c>
      <c r="I76" s="18" t="s">
        <v>295</v>
      </c>
      <c r="J76" s="20" t="n">
        <f aca="false">IFERROR(INDEX('Semrush Data'!$C$2:$C$5000,MATCH(I76,'Semrush Data'!$A$2:$A$5000,0)),"")</f>
        <v>480</v>
      </c>
      <c r="K76" s="18" t="s">
        <v>553</v>
      </c>
      <c r="L76" s="18" t="s">
        <v>874</v>
      </c>
      <c r="M76" s="18" t="s">
        <v>875</v>
      </c>
      <c r="N76" s="21" t="n">
        <f aca="false">LEN(M76)</f>
        <v>55</v>
      </c>
      <c r="O76" s="22" t="s">
        <v>876</v>
      </c>
      <c r="P76" s="21" t="n">
        <f aca="false">LEN(O76)</f>
        <v>159</v>
      </c>
      <c r="Q76" s="22" t="s">
        <v>877</v>
      </c>
      <c r="R76" s="22"/>
      <c r="S76" s="18" t="s">
        <v>422</v>
      </c>
      <c r="T76" s="22" t="s">
        <v>393</v>
      </c>
    </row>
    <row r="77" customFormat="false" ht="35.05" hidden="false" customHeight="false" outlineLevel="0" collapsed="false">
      <c r="A77" s="18" t="s">
        <v>878</v>
      </c>
      <c r="B77" s="18" t="s">
        <v>373</v>
      </c>
      <c r="C77" s="18" t="s">
        <v>879</v>
      </c>
      <c r="D77" s="18" t="s">
        <v>719</v>
      </c>
      <c r="E77" s="18" t="s">
        <v>586</v>
      </c>
      <c r="F77" s="19" t="s">
        <v>170</v>
      </c>
      <c r="G77" s="20" t="n">
        <f aca="false">IFERROR(INDEX('Semrush Data'!$C$2:$C$5000,MATCH(F77,'Semrush Data'!$A$2:$A$5000,0)),"")</f>
        <v>320</v>
      </c>
      <c r="H77" s="18" t="n">
        <f aca="false">IFERROR(INDEX('Semrush Data'!$D$2:$D$5000,MATCH(F77,'Semrush Data'!$A$2:$A$5000,0)),"")</f>
        <v>10</v>
      </c>
      <c r="I77" s="18" t="s">
        <v>295</v>
      </c>
      <c r="J77" s="20" t="n">
        <f aca="false">IFERROR(INDEX('Semrush Data'!$C$2:$C$5000,MATCH(I77,'Semrush Data'!$A$2:$A$5000,0)),"")</f>
        <v>480</v>
      </c>
      <c r="K77" s="18" t="s">
        <v>663</v>
      </c>
      <c r="L77" s="18" t="s">
        <v>879</v>
      </c>
      <c r="M77" s="18" t="s">
        <v>880</v>
      </c>
      <c r="N77" s="21" t="n">
        <f aca="false">LEN(M77)</f>
        <v>50</v>
      </c>
      <c r="O77" s="22" t="s">
        <v>881</v>
      </c>
      <c r="P77" s="21" t="n">
        <f aca="false">LEN(O77)</f>
        <v>160</v>
      </c>
      <c r="Q77" s="22" t="s">
        <v>882</v>
      </c>
      <c r="R77" s="22"/>
      <c r="S77" s="18" t="s">
        <v>382</v>
      </c>
      <c r="T77" s="22"/>
    </row>
    <row r="78" customFormat="false" ht="46.25" hidden="false" customHeight="false" outlineLevel="0" collapsed="false">
      <c r="A78" s="18" t="s">
        <v>883</v>
      </c>
      <c r="B78" s="18" t="s">
        <v>373</v>
      </c>
      <c r="C78" s="18" t="s">
        <v>884</v>
      </c>
      <c r="D78" s="18" t="s">
        <v>719</v>
      </c>
      <c r="E78" s="18" t="s">
        <v>386</v>
      </c>
      <c r="F78" s="19" t="s">
        <v>172</v>
      </c>
      <c r="G78" s="20" t="n">
        <f aca="false">IFERROR(INDEX('Semrush Data'!$C$2:$C$5000,MATCH(F78,'Semrush Data'!$A$2:$A$5000,0)),"")</f>
        <v>260</v>
      </c>
      <c r="H78" s="18" t="n">
        <f aca="false">IFERROR(INDEX('Semrush Data'!$D$2:$D$5000,MATCH(F78,'Semrush Data'!$A$2:$A$5000,0)),"")</f>
        <v>22</v>
      </c>
      <c r="I78" s="18" t="s">
        <v>295</v>
      </c>
      <c r="J78" s="20" t="n">
        <f aca="false">IFERROR(INDEX('Semrush Data'!$C$2:$C$5000,MATCH(I78,'Semrush Data'!$A$2:$A$5000,0)),"")</f>
        <v>480</v>
      </c>
      <c r="K78" s="18" t="s">
        <v>885</v>
      </c>
      <c r="L78" s="18" t="s">
        <v>884</v>
      </c>
      <c r="M78" s="18" t="s">
        <v>886</v>
      </c>
      <c r="N78" s="21" t="n">
        <f aca="false">LEN(M78)</f>
        <v>52</v>
      </c>
      <c r="O78" s="22" t="s">
        <v>887</v>
      </c>
      <c r="P78" s="21" t="n">
        <f aca="false">LEN(O78)</f>
        <v>160</v>
      </c>
      <c r="Q78" s="22" t="s">
        <v>888</v>
      </c>
      <c r="R78" s="22"/>
      <c r="S78" s="18" t="s">
        <v>382</v>
      </c>
      <c r="T78" s="22" t="s">
        <v>393</v>
      </c>
    </row>
    <row r="79" customFormat="false" ht="23.85" hidden="false" customHeight="false" outlineLevel="0" collapsed="false">
      <c r="A79" s="18" t="s">
        <v>889</v>
      </c>
      <c r="B79" s="18" t="s">
        <v>373</v>
      </c>
      <c r="C79" s="18" t="s">
        <v>754</v>
      </c>
      <c r="D79" s="18" t="s">
        <v>719</v>
      </c>
      <c r="E79" s="18" t="s">
        <v>543</v>
      </c>
      <c r="F79" s="19" t="s">
        <v>160</v>
      </c>
      <c r="G79" s="20" t="n">
        <f aca="false">IFERROR(INDEX('Semrush Data'!$C$2:$C$5000,MATCH(F79,'Semrush Data'!$A$2:$A$5000,0)),"")</f>
        <v>1600</v>
      </c>
      <c r="H79" s="18" t="n">
        <f aca="false">IFERROR(INDEX('Semrush Data'!$D$2:$D$5000,MATCH(F79,'Semrush Data'!$A$2:$A$5000,0)),"")</f>
        <v>31</v>
      </c>
      <c r="I79" s="18" t="s">
        <v>295</v>
      </c>
      <c r="J79" s="20" t="n">
        <f aca="false">IFERROR(INDEX('Semrush Data'!$C$2:$C$5000,MATCH(I79,'Semrush Data'!$A$2:$A$5000,0)),"")</f>
        <v>480</v>
      </c>
      <c r="K79" s="18" t="s">
        <v>631</v>
      </c>
      <c r="L79" s="18" t="s">
        <v>754</v>
      </c>
      <c r="M79" s="18" t="s">
        <v>755</v>
      </c>
      <c r="N79" s="21" t="n">
        <f aca="false">LEN(M79)</f>
        <v>56</v>
      </c>
      <c r="O79" s="22" t="s">
        <v>756</v>
      </c>
      <c r="P79" s="21" t="n">
        <f aca="false">LEN(O79)</f>
        <v>160</v>
      </c>
      <c r="Q79" s="22" t="s">
        <v>757</v>
      </c>
      <c r="R79" s="22"/>
      <c r="S79" s="18" t="s">
        <v>422</v>
      </c>
      <c r="T79" s="22" t="s">
        <v>393</v>
      </c>
    </row>
    <row r="80" customFormat="false" ht="23.85" hidden="false" customHeight="false" outlineLevel="0" collapsed="false">
      <c r="A80" s="18" t="s">
        <v>890</v>
      </c>
      <c r="B80" s="18" t="s">
        <v>373</v>
      </c>
      <c r="C80" s="18" t="s">
        <v>891</v>
      </c>
      <c r="D80" s="18" t="s">
        <v>719</v>
      </c>
      <c r="E80" s="18" t="s">
        <v>621</v>
      </c>
      <c r="F80" s="19" t="s">
        <v>156</v>
      </c>
      <c r="G80" s="20" t="n">
        <f aca="false">IFERROR(INDEX('Semrush Data'!$C$2:$C$5000,MATCH(F80,'Semrush Data'!$A$2:$A$5000,0)),"")</f>
        <v>2400</v>
      </c>
      <c r="H80" s="18" t="n">
        <f aca="false">IFERROR(INDEX('Semrush Data'!$D$2:$D$5000,MATCH(F80,'Semrush Data'!$A$2:$A$5000,0)),"")</f>
        <v>13</v>
      </c>
      <c r="I80" s="18" t="s">
        <v>295</v>
      </c>
      <c r="J80" s="20" t="n">
        <f aca="false">IFERROR(INDEX('Semrush Data'!$C$2:$C$5000,MATCH(I80,'Semrush Data'!$A$2:$A$5000,0)),"")</f>
        <v>480</v>
      </c>
      <c r="K80" s="18" t="s">
        <v>474</v>
      </c>
      <c r="L80" s="18" t="s">
        <v>891</v>
      </c>
      <c r="M80" s="18" t="s">
        <v>892</v>
      </c>
      <c r="N80" s="21" t="n">
        <f aca="false">LEN(M80)</f>
        <v>50</v>
      </c>
      <c r="O80" s="22" t="s">
        <v>893</v>
      </c>
      <c r="P80" s="21" t="n">
        <f aca="false">LEN(O80)</f>
        <v>158</v>
      </c>
      <c r="Q80" s="22" t="s">
        <v>894</v>
      </c>
      <c r="R80" s="22"/>
      <c r="S80" s="18" t="s">
        <v>422</v>
      </c>
      <c r="T80" s="22"/>
    </row>
    <row r="81" customFormat="false" ht="23.85" hidden="false" customHeight="false" outlineLevel="0" collapsed="false">
      <c r="A81" s="18" t="s">
        <v>895</v>
      </c>
      <c r="B81" s="18" t="s">
        <v>373</v>
      </c>
      <c r="C81" s="18" t="s">
        <v>896</v>
      </c>
      <c r="D81" s="18" t="s">
        <v>719</v>
      </c>
      <c r="E81" s="18" t="s">
        <v>407</v>
      </c>
      <c r="F81" s="19" t="s">
        <v>161</v>
      </c>
      <c r="G81" s="20" t="n">
        <f aca="false">IFERROR(INDEX('Semrush Data'!$C$2:$C$5000,MATCH(F81,'Semrush Data'!$A$2:$A$5000,0)),"")</f>
        <v>1300</v>
      </c>
      <c r="H81" s="18" t="n">
        <f aca="false">IFERROR(INDEX('Semrush Data'!$D$2:$D$5000,MATCH(F81,'Semrush Data'!$A$2:$A$5000,0)),"")</f>
        <v>11</v>
      </c>
      <c r="I81" s="18" t="s">
        <v>295</v>
      </c>
      <c r="J81" s="20" t="n">
        <f aca="false">IFERROR(INDEX('Semrush Data'!$C$2:$C$5000,MATCH(I81,'Semrush Data'!$A$2:$A$5000,0)),"")</f>
        <v>480</v>
      </c>
      <c r="K81" s="18" t="s">
        <v>506</v>
      </c>
      <c r="L81" s="18" t="s">
        <v>896</v>
      </c>
      <c r="M81" s="18" t="s">
        <v>897</v>
      </c>
      <c r="N81" s="21" t="n">
        <f aca="false">LEN(M81)</f>
        <v>56</v>
      </c>
      <c r="O81" s="22" t="s">
        <v>898</v>
      </c>
      <c r="P81" s="21" t="n">
        <f aca="false">LEN(O81)</f>
        <v>160</v>
      </c>
      <c r="Q81" s="22" t="s">
        <v>899</v>
      </c>
      <c r="R81" s="22"/>
      <c r="S81" s="18" t="s">
        <v>422</v>
      </c>
      <c r="T81" s="22" t="s">
        <v>393</v>
      </c>
    </row>
    <row r="82" customFormat="false" ht="35.05" hidden="false" customHeight="false" outlineLevel="0" collapsed="false">
      <c r="A82" s="18" t="s">
        <v>900</v>
      </c>
      <c r="B82" s="18" t="s">
        <v>373</v>
      </c>
      <c r="C82" s="18" t="s">
        <v>901</v>
      </c>
      <c r="D82" s="18" t="s">
        <v>719</v>
      </c>
      <c r="E82" s="18" t="s">
        <v>457</v>
      </c>
      <c r="F82" s="19" t="s">
        <v>163</v>
      </c>
      <c r="G82" s="20" t="n">
        <f aca="false">IFERROR(INDEX('Semrush Data'!$C$2:$C$5000,MATCH(F82,'Semrush Data'!$A$2:$A$5000,0)),"")</f>
        <v>1000</v>
      </c>
      <c r="H82" s="18" t="n">
        <f aca="false">IFERROR(INDEX('Semrush Data'!$D$2:$D$5000,MATCH(F82,'Semrush Data'!$A$2:$A$5000,0)),"")</f>
        <v>41</v>
      </c>
      <c r="I82" s="18" t="s">
        <v>295</v>
      </c>
      <c r="J82" s="20" t="n">
        <f aca="false">IFERROR(INDEX('Semrush Data'!$C$2:$C$5000,MATCH(I82,'Semrush Data'!$A$2:$A$5000,0)),"")</f>
        <v>480</v>
      </c>
      <c r="K82" s="18" t="s">
        <v>458</v>
      </c>
      <c r="L82" s="18" t="s">
        <v>901</v>
      </c>
      <c r="M82" s="18" t="s">
        <v>902</v>
      </c>
      <c r="N82" s="21" t="n">
        <f aca="false">LEN(M82)</f>
        <v>60</v>
      </c>
      <c r="O82" s="22" t="s">
        <v>903</v>
      </c>
      <c r="P82" s="21" t="n">
        <f aca="false">LEN(O82)</f>
        <v>157</v>
      </c>
      <c r="Q82" s="22" t="s">
        <v>904</v>
      </c>
      <c r="R82" s="22"/>
      <c r="S82" s="18" t="s">
        <v>382</v>
      </c>
      <c r="T82" s="22"/>
    </row>
    <row r="83" customFormat="false" ht="46.25" hidden="false" customHeight="false" outlineLevel="0" collapsed="false">
      <c r="A83" s="18" t="s">
        <v>905</v>
      </c>
      <c r="B83" s="18" t="s">
        <v>906</v>
      </c>
      <c r="C83" s="18" t="s">
        <v>907</v>
      </c>
      <c r="D83" s="18" t="s">
        <v>908</v>
      </c>
      <c r="E83" s="18" t="s">
        <v>435</v>
      </c>
      <c r="F83" s="19" t="s">
        <v>200</v>
      </c>
      <c r="G83" s="20" t="n">
        <f aca="false">IFERROR(INDEX('Semrush Data'!$C$2:$C$5000,MATCH(F83,'Semrush Data'!$A$2:$A$5000,0)),"")</f>
        <v>6600</v>
      </c>
      <c r="H83" s="18" t="n">
        <f aca="false">IFERROR(INDEX('Semrush Data'!$D$2:$D$5000,MATCH(F83,'Semrush Data'!$A$2:$A$5000,0)),"")</f>
        <v>12</v>
      </c>
      <c r="I83" s="18" t="s">
        <v>301</v>
      </c>
      <c r="J83" s="20" t="n">
        <f aca="false">IFERROR(INDEX('Semrush Data'!$C$2:$C$5000,MATCH(I83,'Semrush Data'!$A$2:$A$5000,0)),"")</f>
        <v>140</v>
      </c>
      <c r="K83" s="18" t="s">
        <v>909</v>
      </c>
      <c r="L83" s="18" t="s">
        <v>910</v>
      </c>
      <c r="M83" s="18" t="s">
        <v>911</v>
      </c>
      <c r="N83" s="21" t="n">
        <f aca="false">LEN(M83)</f>
        <v>52</v>
      </c>
      <c r="O83" s="22" t="s">
        <v>912</v>
      </c>
      <c r="P83" s="21" t="n">
        <f aca="false">LEN(O83)</f>
        <v>148</v>
      </c>
      <c r="Q83" s="22" t="s">
        <v>913</v>
      </c>
      <c r="R83" s="22"/>
      <c r="S83" s="18" t="s">
        <v>382</v>
      </c>
      <c r="T83" s="22"/>
    </row>
    <row r="84" customFormat="false" ht="46.25" hidden="false" customHeight="false" outlineLevel="0" collapsed="false">
      <c r="A84" s="18" t="s">
        <v>914</v>
      </c>
      <c r="B84" s="18" t="s">
        <v>906</v>
      </c>
      <c r="C84" s="18" t="s">
        <v>915</v>
      </c>
      <c r="D84" s="18" t="s">
        <v>521</v>
      </c>
      <c r="E84" s="18" t="s">
        <v>571</v>
      </c>
      <c r="F84" s="19" t="s">
        <v>191</v>
      </c>
      <c r="G84" s="20" t="n">
        <f aca="false">IFERROR(INDEX('Semrush Data'!$C$2:$C$5000,MATCH(F84,'Semrush Data'!$A$2:$A$5000,0)),"")</f>
        <v>22200</v>
      </c>
      <c r="H84" s="18" t="n">
        <f aca="false">IFERROR(INDEX('Semrush Data'!$D$2:$D$5000,MATCH(F84,'Semrush Data'!$A$2:$A$5000,0)),"")</f>
        <v>30</v>
      </c>
      <c r="I84" s="18" t="s">
        <v>301</v>
      </c>
      <c r="J84" s="20" t="n">
        <f aca="false">IFERROR(INDEX('Semrush Data'!$C$2:$C$5000,MATCH(I84,'Semrush Data'!$A$2:$A$5000,0)),"")</f>
        <v>140</v>
      </c>
      <c r="K84" s="18" t="s">
        <v>572</v>
      </c>
      <c r="L84" s="18" t="s">
        <v>916</v>
      </c>
      <c r="M84" s="18" t="s">
        <v>917</v>
      </c>
      <c r="N84" s="21" t="n">
        <f aca="false">LEN(M84)</f>
        <v>53</v>
      </c>
      <c r="O84" s="22" t="s">
        <v>918</v>
      </c>
      <c r="P84" s="21" t="n">
        <f aca="false">LEN(O84)</f>
        <v>149</v>
      </c>
      <c r="Q84" s="22" t="s">
        <v>919</v>
      </c>
      <c r="R84" s="22"/>
      <c r="S84" s="18" t="s">
        <v>382</v>
      </c>
      <c r="T84" s="22" t="s">
        <v>393</v>
      </c>
    </row>
    <row r="85" customFormat="false" ht="46.25" hidden="false" customHeight="false" outlineLevel="0" collapsed="false">
      <c r="A85" s="18" t="s">
        <v>920</v>
      </c>
      <c r="B85" s="18" t="s">
        <v>906</v>
      </c>
      <c r="C85" s="18" t="s">
        <v>921</v>
      </c>
      <c r="D85" s="18" t="s">
        <v>396</v>
      </c>
      <c r="E85" s="18" t="s">
        <v>397</v>
      </c>
      <c r="F85" s="19" t="s">
        <v>223</v>
      </c>
      <c r="G85" s="20" t="n">
        <f aca="false">IFERROR(INDEX('Semrush Data'!$C$2:$C$5000,MATCH(F85,'Semrush Data'!$A$2:$A$5000,0)),"")</f>
        <v>1300</v>
      </c>
      <c r="H85" s="18" t="n">
        <f aca="false">IFERROR(INDEX('Semrush Data'!$D$2:$D$5000,MATCH(F85,'Semrush Data'!$A$2:$A$5000,0)),"")</f>
        <v>19</v>
      </c>
      <c r="I85" s="18" t="s">
        <v>301</v>
      </c>
      <c r="J85" s="20" t="n">
        <f aca="false">IFERROR(INDEX('Semrush Data'!$C$2:$C$5000,MATCH(I85,'Semrush Data'!$A$2:$A$5000,0)),"")</f>
        <v>140</v>
      </c>
      <c r="K85" s="18" t="s">
        <v>398</v>
      </c>
      <c r="L85" s="18" t="s">
        <v>922</v>
      </c>
      <c r="M85" s="18" t="s">
        <v>923</v>
      </c>
      <c r="N85" s="21" t="n">
        <f aca="false">LEN(M85)</f>
        <v>54</v>
      </c>
      <c r="O85" s="22" t="s">
        <v>924</v>
      </c>
      <c r="P85" s="21" t="n">
        <f aca="false">LEN(O85)</f>
        <v>153</v>
      </c>
      <c r="Q85" s="22" t="s">
        <v>925</v>
      </c>
      <c r="R85" s="22"/>
      <c r="S85" s="18" t="s">
        <v>382</v>
      </c>
      <c r="T85" s="22" t="s">
        <v>393</v>
      </c>
    </row>
    <row r="86" customFormat="false" ht="46.25" hidden="false" customHeight="false" outlineLevel="0" collapsed="false">
      <c r="A86" s="18" t="s">
        <v>926</v>
      </c>
      <c r="B86" s="18" t="s">
        <v>906</v>
      </c>
      <c r="C86" s="18" t="s">
        <v>927</v>
      </c>
      <c r="D86" s="18" t="s">
        <v>585</v>
      </c>
      <c r="E86" s="18" t="s">
        <v>435</v>
      </c>
      <c r="F86" s="19" t="s">
        <v>195</v>
      </c>
      <c r="G86" s="20" t="n">
        <f aca="false">IFERROR(INDEX('Semrush Data'!$C$2:$C$5000,MATCH(F86,'Semrush Data'!$A$2:$A$5000,0)),"")</f>
        <v>12100</v>
      </c>
      <c r="H86" s="18" t="n">
        <f aca="false">IFERROR(INDEX('Semrush Data'!$D$2:$D$5000,MATCH(F86,'Semrush Data'!$A$2:$A$5000,0)),"")</f>
        <v>18</v>
      </c>
      <c r="I86" s="18" t="s">
        <v>301</v>
      </c>
      <c r="J86" s="20" t="n">
        <f aca="false">IFERROR(INDEX('Semrush Data'!$C$2:$C$5000,MATCH(I86,'Semrush Data'!$A$2:$A$5000,0)),"")</f>
        <v>140</v>
      </c>
      <c r="K86" s="18" t="s">
        <v>587</v>
      </c>
      <c r="L86" s="18" t="s">
        <v>928</v>
      </c>
      <c r="M86" s="18" t="s">
        <v>929</v>
      </c>
      <c r="N86" s="21" t="n">
        <f aca="false">LEN(M86)</f>
        <v>29</v>
      </c>
      <c r="O86" s="22" t="s">
        <v>930</v>
      </c>
      <c r="P86" s="21" t="n">
        <f aca="false">LEN(O86)</f>
        <v>136</v>
      </c>
      <c r="Q86" s="22" t="s">
        <v>931</v>
      </c>
      <c r="R86" s="22" t="s">
        <v>932</v>
      </c>
      <c r="S86" s="18" t="s">
        <v>382</v>
      </c>
      <c r="T86" s="22"/>
    </row>
    <row r="87" customFormat="false" ht="46.25" hidden="false" customHeight="false" outlineLevel="0" collapsed="false">
      <c r="A87" s="18" t="s">
        <v>933</v>
      </c>
      <c r="B87" s="18" t="s">
        <v>906</v>
      </c>
      <c r="C87" s="18" t="s">
        <v>934</v>
      </c>
      <c r="D87" s="18" t="s">
        <v>434</v>
      </c>
      <c r="E87" s="18" t="s">
        <v>435</v>
      </c>
      <c r="F87" s="19" t="s">
        <v>153</v>
      </c>
      <c r="G87" s="20" t="n">
        <f aca="false">IFERROR(INDEX('Semrush Data'!$C$2:$C$5000,MATCH(F87,'Semrush Data'!$A$2:$A$5000,0)),"")</f>
        <v>2900</v>
      </c>
      <c r="H87" s="18" t="n">
        <f aca="false">IFERROR(INDEX('Semrush Data'!$D$2:$D$5000,MATCH(F87,'Semrush Data'!$A$2:$A$5000,0)),"")</f>
        <v>29</v>
      </c>
      <c r="I87" s="18" t="s">
        <v>301</v>
      </c>
      <c r="J87" s="20" t="n">
        <f aca="false">IFERROR(INDEX('Semrush Data'!$C$2:$C$5000,MATCH(I87,'Semrush Data'!$A$2:$A$5000,0)),"")</f>
        <v>140</v>
      </c>
      <c r="K87" s="18" t="s">
        <v>436</v>
      </c>
      <c r="L87" s="18" t="s">
        <v>935</v>
      </c>
      <c r="M87" s="18" t="s">
        <v>936</v>
      </c>
      <c r="N87" s="21" t="n">
        <f aca="false">LEN(M87)</f>
        <v>56</v>
      </c>
      <c r="O87" s="22" t="s">
        <v>937</v>
      </c>
      <c r="P87" s="21" t="n">
        <f aca="false">LEN(O87)</f>
        <v>150</v>
      </c>
      <c r="Q87" s="22" t="s">
        <v>938</v>
      </c>
      <c r="R87" s="22"/>
      <c r="S87" s="18" t="s">
        <v>382</v>
      </c>
      <c r="T87" s="22" t="s">
        <v>393</v>
      </c>
    </row>
    <row r="88" customFormat="false" ht="57.45" hidden="false" customHeight="false" outlineLevel="0" collapsed="false">
      <c r="A88" s="18" t="s">
        <v>939</v>
      </c>
      <c r="B88" s="18" t="s">
        <v>906</v>
      </c>
      <c r="C88" s="18" t="s">
        <v>940</v>
      </c>
      <c r="D88" s="18" t="s">
        <v>561</v>
      </c>
      <c r="E88" s="18" t="s">
        <v>586</v>
      </c>
      <c r="F88" s="19" t="s">
        <v>170</v>
      </c>
      <c r="G88" s="20" t="n">
        <f aca="false">IFERROR(INDEX('Semrush Data'!$C$2:$C$5000,MATCH(F88,'Semrush Data'!$A$2:$A$5000,0)),"")</f>
        <v>320</v>
      </c>
      <c r="H88" s="18" t="n">
        <f aca="false">IFERROR(INDEX('Semrush Data'!$D$2:$D$5000,MATCH(F88,'Semrush Data'!$A$2:$A$5000,0)),"")</f>
        <v>10</v>
      </c>
      <c r="I88" s="18" t="s">
        <v>301</v>
      </c>
      <c r="J88" s="20" t="n">
        <f aca="false">IFERROR(INDEX('Semrush Data'!$C$2:$C$5000,MATCH(I88,'Semrush Data'!$A$2:$A$5000,0)),"")</f>
        <v>140</v>
      </c>
      <c r="K88" s="18" t="s">
        <v>663</v>
      </c>
      <c r="L88" s="18" t="s">
        <v>941</v>
      </c>
      <c r="M88" s="18" t="s">
        <v>942</v>
      </c>
      <c r="N88" s="21" t="n">
        <f aca="false">LEN(M88)</f>
        <v>55</v>
      </c>
      <c r="O88" s="22" t="s">
        <v>943</v>
      </c>
      <c r="P88" s="21" t="n">
        <f aca="false">LEN(O88)</f>
        <v>160</v>
      </c>
      <c r="Q88" s="22" t="s">
        <v>944</v>
      </c>
      <c r="R88" s="22"/>
      <c r="S88" s="18" t="s">
        <v>382</v>
      </c>
      <c r="T88" s="22"/>
    </row>
    <row r="89" customFormat="false" ht="57.45" hidden="false" customHeight="false" outlineLevel="0" collapsed="false">
      <c r="A89" s="18" t="s">
        <v>945</v>
      </c>
      <c r="B89" s="18" t="s">
        <v>906</v>
      </c>
      <c r="C89" s="18" t="s">
        <v>946</v>
      </c>
      <c r="D89" s="18" t="s">
        <v>947</v>
      </c>
      <c r="E89" s="18" t="s">
        <v>376</v>
      </c>
      <c r="F89" s="19" t="s">
        <v>196</v>
      </c>
      <c r="G89" s="20" t="n">
        <f aca="false">IFERROR(INDEX('Semrush Data'!$C$2:$C$5000,MATCH(F89,'Semrush Data'!$A$2:$A$5000,0)),"")</f>
        <v>9900</v>
      </c>
      <c r="H89" s="18" t="n">
        <f aca="false">IFERROR(INDEX('Semrush Data'!$D$2:$D$5000,MATCH(F89,'Semrush Data'!$A$2:$A$5000,0)),"")</f>
        <v>30</v>
      </c>
      <c r="I89" s="18" t="s">
        <v>301</v>
      </c>
      <c r="J89" s="20" t="n">
        <f aca="false">IFERROR(INDEX('Semrush Data'!$C$2:$C$5000,MATCH(I89,'Semrush Data'!$A$2:$A$5000,0)),"")</f>
        <v>140</v>
      </c>
      <c r="K89" s="18" t="s">
        <v>563</v>
      </c>
      <c r="L89" s="18" t="s">
        <v>948</v>
      </c>
      <c r="M89" s="18" t="s">
        <v>949</v>
      </c>
      <c r="N89" s="21" t="n">
        <f aca="false">LEN(M89)</f>
        <v>51</v>
      </c>
      <c r="O89" s="22" t="s">
        <v>950</v>
      </c>
      <c r="P89" s="21" t="n">
        <f aca="false">LEN(O89)</f>
        <v>158</v>
      </c>
      <c r="Q89" s="22" t="s">
        <v>951</v>
      </c>
      <c r="R89" s="22"/>
      <c r="S89" s="18" t="s">
        <v>382</v>
      </c>
      <c r="T89" s="22" t="s">
        <v>393</v>
      </c>
    </row>
    <row r="90" customFormat="false" ht="57.45" hidden="false" customHeight="false" outlineLevel="0" collapsed="false">
      <c r="A90" s="18" t="s">
        <v>952</v>
      </c>
      <c r="B90" s="18" t="s">
        <v>906</v>
      </c>
      <c r="C90" s="18" t="s">
        <v>953</v>
      </c>
      <c r="D90" s="18" t="s">
        <v>385</v>
      </c>
      <c r="E90" s="18" t="s">
        <v>621</v>
      </c>
      <c r="F90" s="19" t="s">
        <v>202</v>
      </c>
      <c r="G90" s="20" t="n">
        <f aca="false">IFERROR(INDEX('Semrush Data'!$C$2:$C$5000,MATCH(F90,'Semrush Data'!$A$2:$A$5000,0)),"")</f>
        <v>5400</v>
      </c>
      <c r="H90" s="18" t="n">
        <f aca="false">IFERROR(INDEX('Semrush Data'!$D$2:$D$5000,MATCH(F90,'Semrush Data'!$A$2:$A$5000,0)),"")</f>
        <v>21</v>
      </c>
      <c r="I90" s="18" t="s">
        <v>301</v>
      </c>
      <c r="J90" s="20" t="n">
        <f aca="false">IFERROR(INDEX('Semrush Data'!$C$2:$C$5000,MATCH(I90,'Semrush Data'!$A$2:$A$5000,0)),"")</f>
        <v>140</v>
      </c>
      <c r="K90" s="18" t="s">
        <v>387</v>
      </c>
      <c r="L90" s="18" t="s">
        <v>954</v>
      </c>
      <c r="M90" s="18" t="s">
        <v>955</v>
      </c>
      <c r="N90" s="21" t="n">
        <f aca="false">LEN(M90)</f>
        <v>50</v>
      </c>
      <c r="O90" s="22" t="s">
        <v>956</v>
      </c>
      <c r="P90" s="21" t="n">
        <f aca="false">LEN(O90)</f>
        <v>157</v>
      </c>
      <c r="Q90" s="22" t="s">
        <v>957</v>
      </c>
      <c r="R90" s="22"/>
      <c r="S90" s="18" t="s">
        <v>382</v>
      </c>
      <c r="T90" s="22" t="s">
        <v>393</v>
      </c>
    </row>
    <row r="91" customFormat="false" ht="23.85" hidden="false" customHeight="false" outlineLevel="0" collapsed="false">
      <c r="A91" s="18" t="s">
        <v>958</v>
      </c>
      <c r="B91" s="18" t="s">
        <v>906</v>
      </c>
      <c r="C91" s="18" t="s">
        <v>959</v>
      </c>
      <c r="D91" s="18" t="s">
        <v>385</v>
      </c>
      <c r="E91" s="18" t="s">
        <v>543</v>
      </c>
      <c r="F91" s="19" t="s">
        <v>202</v>
      </c>
      <c r="G91" s="20" t="n">
        <f aca="false">IFERROR(INDEX('Semrush Data'!$C$2:$C$5000,MATCH(F91,'Semrush Data'!$A$2:$A$5000,0)),"")</f>
        <v>5400</v>
      </c>
      <c r="H91" s="18" t="n">
        <f aca="false">IFERROR(INDEX('Semrush Data'!$D$2:$D$5000,MATCH(F91,'Semrush Data'!$A$2:$A$5000,0)),"")</f>
        <v>21</v>
      </c>
      <c r="I91" s="18" t="s">
        <v>301</v>
      </c>
      <c r="J91" s="20" t="n">
        <f aca="false">IFERROR(INDEX('Semrush Data'!$C$2:$C$5000,MATCH(I91,'Semrush Data'!$A$2:$A$5000,0)),"")</f>
        <v>140</v>
      </c>
      <c r="K91" s="18" t="s">
        <v>387</v>
      </c>
      <c r="L91" s="18" t="s">
        <v>960</v>
      </c>
      <c r="M91" s="18" t="s">
        <v>961</v>
      </c>
      <c r="N91" s="21" t="n">
        <f aca="false">LEN(M91)</f>
        <v>52</v>
      </c>
      <c r="O91" s="22" t="s">
        <v>962</v>
      </c>
      <c r="P91" s="21" t="n">
        <f aca="false">LEN(O91)</f>
        <v>148</v>
      </c>
      <c r="Q91" s="22" t="s">
        <v>963</v>
      </c>
      <c r="R91" s="22" t="s">
        <v>964</v>
      </c>
      <c r="S91" s="18" t="s">
        <v>403</v>
      </c>
      <c r="T91" s="22"/>
    </row>
    <row r="92" customFormat="false" ht="46.25" hidden="false" customHeight="false" outlineLevel="0" collapsed="false">
      <c r="A92" s="18" t="s">
        <v>965</v>
      </c>
      <c r="B92" s="18" t="s">
        <v>906</v>
      </c>
      <c r="C92" s="18" t="s">
        <v>966</v>
      </c>
      <c r="D92" s="18" t="s">
        <v>908</v>
      </c>
      <c r="E92" s="18" t="s">
        <v>435</v>
      </c>
      <c r="F92" s="19" t="s">
        <v>200</v>
      </c>
      <c r="G92" s="20" t="n">
        <f aca="false">IFERROR(INDEX('Semrush Data'!$C$2:$C$5000,MATCH(F92,'Semrush Data'!$A$2:$A$5000,0)),"")</f>
        <v>6600</v>
      </c>
      <c r="H92" s="18" t="n">
        <f aca="false">IFERROR(INDEX('Semrush Data'!$D$2:$D$5000,MATCH(F92,'Semrush Data'!$A$2:$A$5000,0)),"")</f>
        <v>12</v>
      </c>
      <c r="I92" s="18" t="s">
        <v>301</v>
      </c>
      <c r="J92" s="20" t="n">
        <f aca="false">IFERROR(INDEX('Semrush Data'!$C$2:$C$5000,MATCH(I92,'Semrush Data'!$A$2:$A$5000,0)),"")</f>
        <v>140</v>
      </c>
      <c r="K92" s="18" t="s">
        <v>909</v>
      </c>
      <c r="L92" s="18" t="s">
        <v>967</v>
      </c>
      <c r="M92" s="18" t="s">
        <v>968</v>
      </c>
      <c r="N92" s="21" t="n">
        <f aca="false">LEN(M92)</f>
        <v>58</v>
      </c>
      <c r="O92" s="22" t="s">
        <v>969</v>
      </c>
      <c r="P92" s="21" t="n">
        <f aca="false">LEN(O92)</f>
        <v>154</v>
      </c>
      <c r="Q92" s="22" t="s">
        <v>970</v>
      </c>
      <c r="R92" s="22"/>
      <c r="S92" s="18" t="s">
        <v>382</v>
      </c>
      <c r="T92" s="22" t="s">
        <v>393</v>
      </c>
    </row>
    <row r="93" customFormat="false" ht="35.05" hidden="false" customHeight="false" outlineLevel="0" collapsed="false">
      <c r="A93" s="18" t="s">
        <v>971</v>
      </c>
      <c r="B93" s="18" t="s">
        <v>906</v>
      </c>
      <c r="C93" s="18" t="s">
        <v>972</v>
      </c>
      <c r="D93" s="18" t="s">
        <v>561</v>
      </c>
      <c r="E93" s="18" t="s">
        <v>586</v>
      </c>
      <c r="F93" s="19" t="s">
        <v>170</v>
      </c>
      <c r="G93" s="20" t="n">
        <f aca="false">IFERROR(INDEX('Semrush Data'!$C$2:$C$5000,MATCH(F93,'Semrush Data'!$A$2:$A$5000,0)),"")</f>
        <v>320</v>
      </c>
      <c r="H93" s="18" t="n">
        <f aca="false">IFERROR(INDEX('Semrush Data'!$D$2:$D$5000,MATCH(F93,'Semrush Data'!$A$2:$A$5000,0)),"")</f>
        <v>10</v>
      </c>
      <c r="I93" s="18" t="s">
        <v>301</v>
      </c>
      <c r="J93" s="20" t="n">
        <f aca="false">IFERROR(INDEX('Semrush Data'!$C$2:$C$5000,MATCH(I93,'Semrush Data'!$A$2:$A$5000,0)),"")</f>
        <v>140</v>
      </c>
      <c r="K93" s="18" t="s">
        <v>663</v>
      </c>
      <c r="L93" s="18" t="s">
        <v>973</v>
      </c>
      <c r="M93" s="18" t="s">
        <v>974</v>
      </c>
      <c r="N93" s="21" t="n">
        <f aca="false">LEN(M93)</f>
        <v>57</v>
      </c>
      <c r="O93" s="22" t="s">
        <v>975</v>
      </c>
      <c r="P93" s="21" t="n">
        <f aca="false">LEN(O93)</f>
        <v>151</v>
      </c>
      <c r="Q93" s="22" t="s">
        <v>976</v>
      </c>
      <c r="R93" s="22" t="s">
        <v>977</v>
      </c>
      <c r="S93" s="18" t="s">
        <v>382</v>
      </c>
      <c r="T93" s="22" t="s">
        <v>393</v>
      </c>
    </row>
    <row r="94" customFormat="false" ht="46.25" hidden="false" customHeight="false" outlineLevel="0" collapsed="false">
      <c r="A94" s="18" t="s">
        <v>978</v>
      </c>
      <c r="B94" s="18" t="s">
        <v>906</v>
      </c>
      <c r="C94" s="18" t="s">
        <v>979</v>
      </c>
      <c r="D94" s="18" t="s">
        <v>434</v>
      </c>
      <c r="E94" s="18" t="s">
        <v>435</v>
      </c>
      <c r="F94" s="19" t="s">
        <v>217</v>
      </c>
      <c r="G94" s="20" t="n">
        <f aca="false">IFERROR(INDEX('Semrush Data'!$C$2:$C$5000,MATCH(F94,'Semrush Data'!$A$2:$A$5000,0)),"")</f>
        <v>1900</v>
      </c>
      <c r="H94" s="18" t="n">
        <f aca="false">IFERROR(INDEX('Semrush Data'!$D$2:$D$5000,MATCH(F94,'Semrush Data'!$A$2:$A$5000,0)),"")</f>
        <v>22</v>
      </c>
      <c r="I94" s="18" t="s">
        <v>301</v>
      </c>
      <c r="J94" s="20" t="n">
        <f aca="false">IFERROR(INDEX('Semrush Data'!$C$2:$C$5000,MATCH(I94,'Semrush Data'!$A$2:$A$5000,0)),"")</f>
        <v>140</v>
      </c>
      <c r="K94" s="18" t="s">
        <v>980</v>
      </c>
      <c r="L94" s="18" t="s">
        <v>981</v>
      </c>
      <c r="M94" s="18" t="s">
        <v>982</v>
      </c>
      <c r="N94" s="21" t="n">
        <f aca="false">LEN(M94)</f>
        <v>57</v>
      </c>
      <c r="O94" s="22" t="s">
        <v>983</v>
      </c>
      <c r="P94" s="21" t="n">
        <f aca="false">LEN(O94)</f>
        <v>152</v>
      </c>
      <c r="Q94" s="22" t="s">
        <v>984</v>
      </c>
      <c r="R94" s="22"/>
      <c r="S94" s="18" t="s">
        <v>382</v>
      </c>
      <c r="T94" s="22"/>
    </row>
    <row r="95" customFormat="false" ht="57.45" hidden="false" customHeight="false" outlineLevel="0" collapsed="false">
      <c r="A95" s="18" t="s">
        <v>985</v>
      </c>
      <c r="B95" s="18" t="s">
        <v>906</v>
      </c>
      <c r="C95" s="18" t="s">
        <v>986</v>
      </c>
      <c r="D95" s="18" t="s">
        <v>987</v>
      </c>
      <c r="E95" s="18" t="s">
        <v>435</v>
      </c>
      <c r="F95" s="19" t="s">
        <v>161</v>
      </c>
      <c r="G95" s="20" t="n">
        <f aca="false">IFERROR(INDEX('Semrush Data'!$C$2:$C$5000,MATCH(F95,'Semrush Data'!$A$2:$A$5000,0)),"")</f>
        <v>1300</v>
      </c>
      <c r="H95" s="18" t="n">
        <f aca="false">IFERROR(INDEX('Semrush Data'!$D$2:$D$5000,MATCH(F95,'Semrush Data'!$A$2:$A$5000,0)),"")</f>
        <v>11</v>
      </c>
      <c r="I95" s="18" t="s">
        <v>301</v>
      </c>
      <c r="J95" s="20" t="n">
        <f aca="false">IFERROR(INDEX('Semrush Data'!$C$2:$C$5000,MATCH(I95,'Semrush Data'!$A$2:$A$5000,0)),"")</f>
        <v>140</v>
      </c>
      <c r="K95" s="18" t="s">
        <v>506</v>
      </c>
      <c r="L95" s="18" t="s">
        <v>988</v>
      </c>
      <c r="M95" s="18" t="s">
        <v>989</v>
      </c>
      <c r="N95" s="21" t="n">
        <f aca="false">LEN(M95)</f>
        <v>60</v>
      </c>
      <c r="O95" s="22" t="s">
        <v>990</v>
      </c>
      <c r="P95" s="21" t="n">
        <f aca="false">LEN(O95)</f>
        <v>156</v>
      </c>
      <c r="Q95" s="22" t="s">
        <v>991</v>
      </c>
      <c r="R95" s="22"/>
      <c r="S95" s="18" t="s">
        <v>382</v>
      </c>
      <c r="T95" s="22"/>
    </row>
    <row r="96" customFormat="false" ht="57.45" hidden="false" customHeight="false" outlineLevel="0" collapsed="false">
      <c r="A96" s="18" t="s">
        <v>992</v>
      </c>
      <c r="B96" s="18" t="s">
        <v>906</v>
      </c>
      <c r="C96" s="18" t="s">
        <v>993</v>
      </c>
      <c r="D96" s="18" t="s">
        <v>425</v>
      </c>
      <c r="E96" s="18" t="s">
        <v>376</v>
      </c>
      <c r="F96" s="19" t="s">
        <v>159</v>
      </c>
      <c r="G96" s="20" t="n">
        <f aca="false">IFERROR(INDEX('Semrush Data'!$C$2:$C$5000,MATCH(F96,'Semrush Data'!$A$2:$A$5000,0)),"")</f>
        <v>1600</v>
      </c>
      <c r="H96" s="18" t="n">
        <f aca="false">IFERROR(INDEX('Semrush Data'!$D$2:$D$5000,MATCH(F96,'Semrush Data'!$A$2:$A$5000,0)),"")</f>
        <v>33</v>
      </c>
      <c r="I96" s="18" t="s">
        <v>301</v>
      </c>
      <c r="J96" s="20" t="n">
        <f aca="false">IFERROR(INDEX('Semrush Data'!$C$2:$C$5000,MATCH(I96,'Semrush Data'!$A$2:$A$5000,0)),"")</f>
        <v>140</v>
      </c>
      <c r="K96" s="18" t="s">
        <v>426</v>
      </c>
      <c r="L96" s="18" t="s">
        <v>994</v>
      </c>
      <c r="M96" s="18" t="s">
        <v>995</v>
      </c>
      <c r="N96" s="21" t="n">
        <f aca="false">LEN(M96)</f>
        <v>59</v>
      </c>
      <c r="O96" s="22" t="s">
        <v>996</v>
      </c>
      <c r="P96" s="21" t="n">
        <f aca="false">LEN(O96)</f>
        <v>148</v>
      </c>
      <c r="Q96" s="22" t="s">
        <v>997</v>
      </c>
      <c r="R96" s="22" t="s">
        <v>998</v>
      </c>
      <c r="S96" s="18" t="s">
        <v>382</v>
      </c>
      <c r="T96" s="22" t="s">
        <v>393</v>
      </c>
    </row>
    <row r="97" customFormat="false" ht="46.25" hidden="false" customHeight="false" outlineLevel="0" collapsed="false">
      <c r="A97" s="18" t="s">
        <v>999</v>
      </c>
      <c r="B97" s="18" t="s">
        <v>906</v>
      </c>
      <c r="C97" s="18" t="s">
        <v>1000</v>
      </c>
      <c r="D97" s="18" t="s">
        <v>396</v>
      </c>
      <c r="E97" s="18" t="s">
        <v>397</v>
      </c>
      <c r="F97" s="19" t="s">
        <v>223</v>
      </c>
      <c r="G97" s="20" t="n">
        <f aca="false">IFERROR(INDEX('Semrush Data'!$C$2:$C$5000,MATCH(F97,'Semrush Data'!$A$2:$A$5000,0)),"")</f>
        <v>1300</v>
      </c>
      <c r="H97" s="18" t="n">
        <f aca="false">IFERROR(INDEX('Semrush Data'!$D$2:$D$5000,MATCH(F97,'Semrush Data'!$A$2:$A$5000,0)),"")</f>
        <v>19</v>
      </c>
      <c r="I97" s="18" t="s">
        <v>301</v>
      </c>
      <c r="J97" s="20" t="n">
        <f aca="false">IFERROR(INDEX('Semrush Data'!$C$2:$C$5000,MATCH(I97,'Semrush Data'!$A$2:$A$5000,0)),"")</f>
        <v>140</v>
      </c>
      <c r="K97" s="18" t="s">
        <v>398</v>
      </c>
      <c r="L97" s="18" t="s">
        <v>1001</v>
      </c>
      <c r="M97" s="18" t="s">
        <v>1002</v>
      </c>
      <c r="N97" s="21" t="n">
        <f aca="false">LEN(M97)</f>
        <v>57</v>
      </c>
      <c r="O97" s="22" t="s">
        <v>1003</v>
      </c>
      <c r="P97" s="21" t="n">
        <f aca="false">LEN(O97)</f>
        <v>145</v>
      </c>
      <c r="Q97" s="22" t="s">
        <v>1004</v>
      </c>
      <c r="R97" s="22" t="s">
        <v>1005</v>
      </c>
      <c r="S97" s="18" t="s">
        <v>382</v>
      </c>
      <c r="T97" s="22" t="s">
        <v>393</v>
      </c>
    </row>
    <row r="98" customFormat="false" ht="57.45" hidden="false" customHeight="false" outlineLevel="0" collapsed="false">
      <c r="A98" s="18" t="s">
        <v>1006</v>
      </c>
      <c r="B98" s="18" t="s">
        <v>906</v>
      </c>
      <c r="C98" s="18" t="s">
        <v>1007</v>
      </c>
      <c r="D98" s="18" t="s">
        <v>1008</v>
      </c>
      <c r="E98" s="18" t="s">
        <v>407</v>
      </c>
      <c r="F98" s="19" t="s">
        <v>161</v>
      </c>
      <c r="G98" s="20" t="n">
        <f aca="false">IFERROR(INDEX('Semrush Data'!$C$2:$C$5000,MATCH(F98,'Semrush Data'!$A$2:$A$5000,0)),"")</f>
        <v>1300</v>
      </c>
      <c r="H98" s="18" t="n">
        <f aca="false">IFERROR(INDEX('Semrush Data'!$D$2:$D$5000,MATCH(F98,'Semrush Data'!$A$2:$A$5000,0)),"")</f>
        <v>11</v>
      </c>
      <c r="I98" s="18" t="s">
        <v>301</v>
      </c>
      <c r="J98" s="20" t="n">
        <f aca="false">IFERROR(INDEX('Semrush Data'!$C$2:$C$5000,MATCH(I98,'Semrush Data'!$A$2:$A$5000,0)),"")</f>
        <v>140</v>
      </c>
      <c r="K98" s="18" t="s">
        <v>506</v>
      </c>
      <c r="L98" s="18" t="s">
        <v>1009</v>
      </c>
      <c r="M98" s="18" t="s">
        <v>1010</v>
      </c>
      <c r="N98" s="21" t="n">
        <f aca="false">LEN(M98)</f>
        <v>57</v>
      </c>
      <c r="O98" s="22" t="s">
        <v>1011</v>
      </c>
      <c r="P98" s="21" t="n">
        <f aca="false">LEN(O98)</f>
        <v>157</v>
      </c>
      <c r="Q98" s="22" t="s">
        <v>1012</v>
      </c>
      <c r="R98" s="22" t="s">
        <v>1013</v>
      </c>
      <c r="S98" s="18" t="s">
        <v>382</v>
      </c>
      <c r="T98" s="22" t="s">
        <v>393</v>
      </c>
    </row>
    <row r="99" customFormat="false" ht="57.45" hidden="false" customHeight="false" outlineLevel="0" collapsed="false">
      <c r="A99" s="18" t="s">
        <v>1014</v>
      </c>
      <c r="B99" s="18" t="s">
        <v>906</v>
      </c>
      <c r="C99" s="18" t="s">
        <v>1015</v>
      </c>
      <c r="D99" s="18" t="s">
        <v>947</v>
      </c>
      <c r="E99" s="18" t="s">
        <v>376</v>
      </c>
      <c r="F99" s="19" t="s">
        <v>196</v>
      </c>
      <c r="G99" s="20" t="n">
        <f aca="false">IFERROR(INDEX('Semrush Data'!$C$2:$C$5000,MATCH(F99,'Semrush Data'!$A$2:$A$5000,0)),"")</f>
        <v>9900</v>
      </c>
      <c r="H99" s="18" t="n">
        <f aca="false">IFERROR(INDEX('Semrush Data'!$D$2:$D$5000,MATCH(F99,'Semrush Data'!$A$2:$A$5000,0)),"")</f>
        <v>30</v>
      </c>
      <c r="I99" s="18" t="s">
        <v>301</v>
      </c>
      <c r="J99" s="20" t="n">
        <f aca="false">IFERROR(INDEX('Semrush Data'!$C$2:$C$5000,MATCH(I99,'Semrush Data'!$A$2:$A$5000,0)),"")</f>
        <v>140</v>
      </c>
      <c r="K99" s="18" t="s">
        <v>563</v>
      </c>
      <c r="L99" s="18" t="s">
        <v>1016</v>
      </c>
      <c r="M99" s="18" t="s">
        <v>1017</v>
      </c>
      <c r="N99" s="21" t="n">
        <f aca="false">LEN(M99)</f>
        <v>33</v>
      </c>
      <c r="O99" s="22" t="s">
        <v>1018</v>
      </c>
      <c r="P99" s="21" t="n">
        <f aca="false">LEN(O99)</f>
        <v>140</v>
      </c>
      <c r="Q99" s="22" t="s">
        <v>1019</v>
      </c>
      <c r="R99" s="22" t="s">
        <v>1020</v>
      </c>
      <c r="S99" s="18" t="s">
        <v>382</v>
      </c>
      <c r="T99" s="22" t="s">
        <v>393</v>
      </c>
    </row>
    <row r="100" customFormat="false" ht="46.25" hidden="false" customHeight="false" outlineLevel="0" collapsed="false">
      <c r="A100" s="18" t="s">
        <v>1021</v>
      </c>
      <c r="B100" s="18" t="s">
        <v>906</v>
      </c>
      <c r="C100" s="18" t="s">
        <v>1022</v>
      </c>
      <c r="D100" s="18" t="s">
        <v>947</v>
      </c>
      <c r="E100" s="18" t="s">
        <v>376</v>
      </c>
      <c r="F100" s="19" t="s">
        <v>196</v>
      </c>
      <c r="G100" s="20" t="n">
        <f aca="false">IFERROR(INDEX('Semrush Data'!$C$2:$C$5000,MATCH(F100,'Semrush Data'!$A$2:$A$5000,0)),"")</f>
        <v>9900</v>
      </c>
      <c r="H100" s="18" t="n">
        <f aca="false">IFERROR(INDEX('Semrush Data'!$D$2:$D$5000,MATCH(F100,'Semrush Data'!$A$2:$A$5000,0)),"")</f>
        <v>30</v>
      </c>
      <c r="I100" s="18" t="s">
        <v>301</v>
      </c>
      <c r="J100" s="20" t="n">
        <f aca="false">IFERROR(INDEX('Semrush Data'!$C$2:$C$5000,MATCH(I100,'Semrush Data'!$A$2:$A$5000,0)),"")</f>
        <v>140</v>
      </c>
      <c r="K100" s="18" t="s">
        <v>563</v>
      </c>
      <c r="L100" s="18" t="s">
        <v>1023</v>
      </c>
      <c r="M100" s="18" t="s">
        <v>1024</v>
      </c>
      <c r="N100" s="21" t="n">
        <f aca="false">LEN(M100)</f>
        <v>56</v>
      </c>
      <c r="O100" s="22" t="s">
        <v>1025</v>
      </c>
      <c r="P100" s="21" t="n">
        <f aca="false">LEN(O100)</f>
        <v>152</v>
      </c>
      <c r="Q100" s="22" t="s">
        <v>1026</v>
      </c>
      <c r="R100" s="22"/>
      <c r="S100" s="18" t="s">
        <v>382</v>
      </c>
      <c r="T100" s="22" t="s">
        <v>393</v>
      </c>
    </row>
    <row r="101" customFormat="false" ht="57.45" hidden="false" customHeight="false" outlineLevel="0" collapsed="false">
      <c r="A101" s="18" t="s">
        <v>1027</v>
      </c>
      <c r="B101" s="18" t="s">
        <v>906</v>
      </c>
      <c r="C101" s="18" t="s">
        <v>1028</v>
      </c>
      <c r="D101" s="18" t="s">
        <v>375</v>
      </c>
      <c r="E101" s="18" t="s">
        <v>376</v>
      </c>
      <c r="F101" s="19" t="s">
        <v>167</v>
      </c>
      <c r="G101" s="20" t="n">
        <f aca="false">IFERROR(INDEX('Semrush Data'!$C$2:$C$5000,MATCH(F101,'Semrush Data'!$A$2:$A$5000,0)),"")</f>
        <v>720</v>
      </c>
      <c r="H101" s="18" t="n">
        <f aca="false">IFERROR(INDEX('Semrush Data'!$D$2:$D$5000,MATCH(F101,'Semrush Data'!$A$2:$A$5000,0)),"")</f>
        <v>16</v>
      </c>
      <c r="I101" s="18" t="s">
        <v>301</v>
      </c>
      <c r="J101" s="20" t="n">
        <f aca="false">IFERROR(INDEX('Semrush Data'!$C$2:$C$5000,MATCH(I101,'Semrush Data'!$A$2:$A$5000,0)),"")</f>
        <v>140</v>
      </c>
      <c r="K101" s="18" t="s">
        <v>377</v>
      </c>
      <c r="L101" s="18" t="s">
        <v>1029</v>
      </c>
      <c r="M101" s="18" t="s">
        <v>1030</v>
      </c>
      <c r="N101" s="21" t="n">
        <f aca="false">LEN(M101)</f>
        <v>59</v>
      </c>
      <c r="O101" s="22" t="s">
        <v>1031</v>
      </c>
      <c r="P101" s="21" t="n">
        <f aca="false">LEN(O101)</f>
        <v>155</v>
      </c>
      <c r="Q101" s="22" t="s">
        <v>1032</v>
      </c>
      <c r="R101" s="22"/>
      <c r="S101" s="18" t="s">
        <v>382</v>
      </c>
      <c r="T101" s="22" t="s">
        <v>393</v>
      </c>
    </row>
    <row r="102" customFormat="false" ht="57.45" hidden="false" customHeight="false" outlineLevel="0" collapsed="false">
      <c r="A102" s="18" t="s">
        <v>1033</v>
      </c>
      <c r="B102" s="18" t="s">
        <v>906</v>
      </c>
      <c r="C102" s="18" t="s">
        <v>1034</v>
      </c>
      <c r="D102" s="18" t="s">
        <v>947</v>
      </c>
      <c r="E102" s="18" t="s">
        <v>416</v>
      </c>
      <c r="F102" s="19" t="s">
        <v>196</v>
      </c>
      <c r="G102" s="20" t="n">
        <f aca="false">IFERROR(INDEX('Semrush Data'!$C$2:$C$5000,MATCH(F102,'Semrush Data'!$A$2:$A$5000,0)),"")</f>
        <v>9900</v>
      </c>
      <c r="H102" s="18" t="n">
        <f aca="false">IFERROR(INDEX('Semrush Data'!$D$2:$D$5000,MATCH(F102,'Semrush Data'!$A$2:$A$5000,0)),"")</f>
        <v>30</v>
      </c>
      <c r="I102" s="18" t="s">
        <v>301</v>
      </c>
      <c r="J102" s="20" t="n">
        <f aca="false">IFERROR(INDEX('Semrush Data'!$C$2:$C$5000,MATCH(I102,'Semrush Data'!$A$2:$A$5000,0)),"")</f>
        <v>140</v>
      </c>
      <c r="K102" s="18" t="s">
        <v>563</v>
      </c>
      <c r="L102" s="18" t="s">
        <v>1035</v>
      </c>
      <c r="M102" s="18" t="s">
        <v>1036</v>
      </c>
      <c r="N102" s="21" t="n">
        <f aca="false">LEN(M102)</f>
        <v>58</v>
      </c>
      <c r="O102" s="22" t="s">
        <v>1037</v>
      </c>
      <c r="P102" s="21" t="n">
        <f aca="false">LEN(O102)</f>
        <v>151</v>
      </c>
      <c r="Q102" s="22" t="s">
        <v>1038</v>
      </c>
      <c r="R102" s="22"/>
      <c r="S102" s="18" t="s">
        <v>382</v>
      </c>
      <c r="T102" s="22"/>
    </row>
    <row r="103" customFormat="false" ht="46.25" hidden="false" customHeight="false" outlineLevel="0" collapsed="false">
      <c r="A103" s="18" t="s">
        <v>1039</v>
      </c>
      <c r="B103" s="18" t="s">
        <v>906</v>
      </c>
      <c r="C103" s="18" t="s">
        <v>1040</v>
      </c>
      <c r="D103" s="18" t="s">
        <v>987</v>
      </c>
      <c r="E103" s="18" t="s">
        <v>435</v>
      </c>
      <c r="F103" s="19" t="s">
        <v>161</v>
      </c>
      <c r="G103" s="20" t="n">
        <f aca="false">IFERROR(INDEX('Semrush Data'!$C$2:$C$5000,MATCH(F103,'Semrush Data'!$A$2:$A$5000,0)),"")</f>
        <v>1300</v>
      </c>
      <c r="H103" s="18" t="n">
        <f aca="false">IFERROR(INDEX('Semrush Data'!$D$2:$D$5000,MATCH(F103,'Semrush Data'!$A$2:$A$5000,0)),"")</f>
        <v>11</v>
      </c>
      <c r="I103" s="18" t="s">
        <v>301</v>
      </c>
      <c r="J103" s="20" t="n">
        <f aca="false">IFERROR(INDEX('Semrush Data'!$C$2:$C$5000,MATCH(I103,'Semrush Data'!$A$2:$A$5000,0)),"")</f>
        <v>140</v>
      </c>
      <c r="K103" s="18" t="s">
        <v>506</v>
      </c>
      <c r="L103" s="18" t="s">
        <v>1041</v>
      </c>
      <c r="M103" s="18" t="s">
        <v>1042</v>
      </c>
      <c r="N103" s="21" t="n">
        <f aca="false">LEN(M103)</f>
        <v>55</v>
      </c>
      <c r="O103" s="22" t="s">
        <v>1043</v>
      </c>
      <c r="P103" s="21" t="n">
        <f aca="false">LEN(O103)</f>
        <v>157</v>
      </c>
      <c r="Q103" s="22" t="s">
        <v>1044</v>
      </c>
      <c r="R103" s="22"/>
      <c r="S103" s="18" t="s">
        <v>382</v>
      </c>
      <c r="T103" s="22" t="s">
        <v>393</v>
      </c>
    </row>
    <row r="104" customFormat="false" ht="35.05" hidden="false" customHeight="false" outlineLevel="0" collapsed="false">
      <c r="A104" s="18" t="s">
        <v>1045</v>
      </c>
      <c r="B104" s="18" t="s">
        <v>906</v>
      </c>
      <c r="C104" s="18" t="s">
        <v>1046</v>
      </c>
      <c r="D104" s="18" t="s">
        <v>585</v>
      </c>
      <c r="E104" s="18" t="s">
        <v>435</v>
      </c>
      <c r="F104" s="19" t="s">
        <v>195</v>
      </c>
      <c r="G104" s="20" t="n">
        <f aca="false">IFERROR(INDEX('Semrush Data'!$C$2:$C$5000,MATCH(F104,'Semrush Data'!$A$2:$A$5000,0)),"")</f>
        <v>12100</v>
      </c>
      <c r="H104" s="18" t="n">
        <f aca="false">IFERROR(INDEX('Semrush Data'!$D$2:$D$5000,MATCH(F104,'Semrush Data'!$A$2:$A$5000,0)),"")</f>
        <v>18</v>
      </c>
      <c r="I104" s="18" t="s">
        <v>301</v>
      </c>
      <c r="J104" s="20" t="n">
        <f aca="false">IFERROR(INDEX('Semrush Data'!$C$2:$C$5000,MATCH(I104,'Semrush Data'!$A$2:$A$5000,0)),"")</f>
        <v>140</v>
      </c>
      <c r="K104" s="18" t="s">
        <v>587</v>
      </c>
      <c r="L104" s="18" t="s">
        <v>1047</v>
      </c>
      <c r="M104" s="18" t="s">
        <v>1048</v>
      </c>
      <c r="N104" s="21" t="n">
        <f aca="false">LEN(M104)</f>
        <v>29</v>
      </c>
      <c r="O104" s="22" t="s">
        <v>1049</v>
      </c>
      <c r="P104" s="21" t="n">
        <f aca="false">LEN(O104)</f>
        <v>143</v>
      </c>
      <c r="Q104" s="22" t="s">
        <v>1050</v>
      </c>
      <c r="R104" s="22" t="s">
        <v>1051</v>
      </c>
      <c r="S104" s="18" t="s">
        <v>382</v>
      </c>
      <c r="T104" s="22" t="s">
        <v>393</v>
      </c>
    </row>
    <row r="105" customFormat="false" ht="57.45" hidden="false" customHeight="false" outlineLevel="0" collapsed="false">
      <c r="A105" s="18" t="s">
        <v>1052</v>
      </c>
      <c r="B105" s="18" t="s">
        <v>906</v>
      </c>
      <c r="C105" s="18" t="s">
        <v>1053</v>
      </c>
      <c r="D105" s="18" t="s">
        <v>947</v>
      </c>
      <c r="E105" s="18" t="s">
        <v>376</v>
      </c>
      <c r="F105" s="19" t="s">
        <v>196</v>
      </c>
      <c r="G105" s="20" t="n">
        <f aca="false">IFERROR(INDEX('Semrush Data'!$C$2:$C$5000,MATCH(F105,'Semrush Data'!$A$2:$A$5000,0)),"")</f>
        <v>9900</v>
      </c>
      <c r="H105" s="18" t="n">
        <f aca="false">IFERROR(INDEX('Semrush Data'!$D$2:$D$5000,MATCH(F105,'Semrush Data'!$A$2:$A$5000,0)),"")</f>
        <v>30</v>
      </c>
      <c r="I105" s="18" t="s">
        <v>301</v>
      </c>
      <c r="J105" s="20" t="n">
        <f aca="false">IFERROR(INDEX('Semrush Data'!$C$2:$C$5000,MATCH(I105,'Semrush Data'!$A$2:$A$5000,0)),"")</f>
        <v>140</v>
      </c>
      <c r="K105" s="18" t="s">
        <v>563</v>
      </c>
      <c r="L105" s="18" t="s">
        <v>1054</v>
      </c>
      <c r="M105" s="18" t="s">
        <v>1055</v>
      </c>
      <c r="N105" s="21" t="n">
        <f aca="false">LEN(M105)</f>
        <v>37</v>
      </c>
      <c r="O105" s="22" t="s">
        <v>1056</v>
      </c>
      <c r="P105" s="21" t="n">
        <f aca="false">LEN(O105)</f>
        <v>144</v>
      </c>
      <c r="Q105" s="22" t="s">
        <v>1057</v>
      </c>
      <c r="R105" s="22" t="s">
        <v>1058</v>
      </c>
      <c r="S105" s="18" t="s">
        <v>382</v>
      </c>
      <c r="T105" s="22" t="s">
        <v>393</v>
      </c>
    </row>
    <row r="106" customFormat="false" ht="46.25" hidden="false" customHeight="false" outlineLevel="0" collapsed="false">
      <c r="A106" s="18" t="s">
        <v>1059</v>
      </c>
      <c r="B106" s="18" t="s">
        <v>906</v>
      </c>
      <c r="C106" s="18" t="s">
        <v>1060</v>
      </c>
      <c r="D106" s="18" t="s">
        <v>415</v>
      </c>
      <c r="E106" s="18" t="s">
        <v>416</v>
      </c>
      <c r="F106" s="19" t="s">
        <v>206</v>
      </c>
      <c r="G106" s="20" t="n">
        <f aca="false">IFERROR(INDEX('Semrush Data'!$C$2:$C$5000,MATCH(F106,'Semrush Data'!$A$2:$A$5000,0)),"")</f>
        <v>3600</v>
      </c>
      <c r="H106" s="18" t="n">
        <f aca="false">IFERROR(INDEX('Semrush Data'!$D$2:$D$5000,MATCH(F106,'Semrush Data'!$A$2:$A$5000,0)),"")</f>
        <v>24</v>
      </c>
      <c r="I106" s="18" t="s">
        <v>301</v>
      </c>
      <c r="J106" s="20" t="n">
        <f aca="false">IFERROR(INDEX('Semrush Data'!$C$2:$C$5000,MATCH(I106,'Semrush Data'!$A$2:$A$5000,0)),"")</f>
        <v>140</v>
      </c>
      <c r="K106" s="18" t="s">
        <v>417</v>
      </c>
      <c r="L106" s="18" t="s">
        <v>1061</v>
      </c>
      <c r="M106" s="18" t="s">
        <v>1062</v>
      </c>
      <c r="N106" s="21" t="n">
        <f aca="false">LEN(M106)</f>
        <v>35</v>
      </c>
      <c r="O106" s="22" t="s">
        <v>1063</v>
      </c>
      <c r="P106" s="21" t="n">
        <f aca="false">LEN(O106)</f>
        <v>158</v>
      </c>
      <c r="Q106" s="22" t="s">
        <v>1064</v>
      </c>
      <c r="R106" s="22" t="s">
        <v>1065</v>
      </c>
      <c r="S106" s="18" t="s">
        <v>382</v>
      </c>
      <c r="T106" s="22" t="s">
        <v>393</v>
      </c>
    </row>
    <row r="107" customFormat="false" ht="46.25" hidden="false" customHeight="false" outlineLevel="0" collapsed="false">
      <c r="A107" s="18" t="s">
        <v>1066</v>
      </c>
      <c r="B107" s="18" t="s">
        <v>906</v>
      </c>
      <c r="C107" s="18" t="s">
        <v>1067</v>
      </c>
      <c r="D107" s="18" t="s">
        <v>456</v>
      </c>
      <c r="E107" s="18" t="s">
        <v>457</v>
      </c>
      <c r="F107" s="19" t="s">
        <v>226</v>
      </c>
      <c r="G107" s="20" t="n">
        <f aca="false">IFERROR(INDEX('Semrush Data'!$C$2:$C$5000,MATCH(F107,'Semrush Data'!$A$2:$A$5000,0)),"")</f>
        <v>1300</v>
      </c>
      <c r="H107" s="18" t="n">
        <f aca="false">IFERROR(INDEX('Semrush Data'!$D$2:$D$5000,MATCH(F107,'Semrush Data'!$A$2:$A$5000,0)),"")</f>
        <v>10</v>
      </c>
      <c r="I107" s="18" t="s">
        <v>301</v>
      </c>
      <c r="J107" s="20" t="n">
        <f aca="false">IFERROR(INDEX('Semrush Data'!$C$2:$C$5000,MATCH(I107,'Semrush Data'!$A$2:$A$5000,0)),"")</f>
        <v>140</v>
      </c>
      <c r="K107" s="18" t="s">
        <v>458</v>
      </c>
      <c r="L107" s="18" t="s">
        <v>1068</v>
      </c>
      <c r="M107" s="18" t="s">
        <v>1069</v>
      </c>
      <c r="N107" s="21" t="n">
        <f aca="false">LEN(M107)</f>
        <v>52</v>
      </c>
      <c r="O107" s="22" t="s">
        <v>1070</v>
      </c>
      <c r="P107" s="21" t="n">
        <f aca="false">LEN(O107)</f>
        <v>140</v>
      </c>
      <c r="Q107" s="22" t="s">
        <v>1071</v>
      </c>
      <c r="R107" s="22" t="s">
        <v>1072</v>
      </c>
      <c r="S107" s="18" t="s">
        <v>382</v>
      </c>
      <c r="T107" s="22" t="s">
        <v>393</v>
      </c>
    </row>
    <row r="108" customFormat="false" ht="46.25" hidden="false" customHeight="false" outlineLevel="0" collapsed="false">
      <c r="A108" s="18" t="s">
        <v>1073</v>
      </c>
      <c r="B108" s="18" t="s">
        <v>906</v>
      </c>
      <c r="C108" s="18" t="s">
        <v>1074</v>
      </c>
      <c r="D108" s="18" t="s">
        <v>987</v>
      </c>
      <c r="E108" s="18" t="s">
        <v>407</v>
      </c>
      <c r="F108" s="19" t="s">
        <v>161</v>
      </c>
      <c r="G108" s="20" t="n">
        <f aca="false">IFERROR(INDEX('Semrush Data'!$C$2:$C$5000,MATCH(F108,'Semrush Data'!$A$2:$A$5000,0)),"")</f>
        <v>1300</v>
      </c>
      <c r="H108" s="18" t="n">
        <f aca="false">IFERROR(INDEX('Semrush Data'!$D$2:$D$5000,MATCH(F108,'Semrush Data'!$A$2:$A$5000,0)),"")</f>
        <v>11</v>
      </c>
      <c r="I108" s="18" t="s">
        <v>301</v>
      </c>
      <c r="J108" s="20" t="n">
        <f aca="false">IFERROR(INDEX('Semrush Data'!$C$2:$C$5000,MATCH(I108,'Semrush Data'!$A$2:$A$5000,0)),"")</f>
        <v>140</v>
      </c>
      <c r="K108" s="18" t="s">
        <v>506</v>
      </c>
      <c r="L108" s="18" t="s">
        <v>1075</v>
      </c>
      <c r="M108" s="18" t="s">
        <v>1076</v>
      </c>
      <c r="N108" s="21" t="n">
        <f aca="false">LEN(M108)</f>
        <v>60</v>
      </c>
      <c r="O108" s="22" t="s">
        <v>1077</v>
      </c>
      <c r="P108" s="21" t="n">
        <f aca="false">LEN(O108)</f>
        <v>149</v>
      </c>
      <c r="Q108" s="22" t="s">
        <v>1078</v>
      </c>
      <c r="R108" s="22"/>
      <c r="S108" s="18" t="s">
        <v>382</v>
      </c>
      <c r="T108" s="22"/>
    </row>
    <row r="109" customFormat="false" ht="46.25" hidden="false" customHeight="false" outlineLevel="0" collapsed="false">
      <c r="A109" s="18" t="s">
        <v>1079</v>
      </c>
      <c r="B109" s="18" t="s">
        <v>906</v>
      </c>
      <c r="C109" s="18" t="s">
        <v>1080</v>
      </c>
      <c r="D109" s="18" t="s">
        <v>987</v>
      </c>
      <c r="E109" s="18" t="s">
        <v>407</v>
      </c>
      <c r="F109" s="19" t="s">
        <v>161</v>
      </c>
      <c r="G109" s="20" t="n">
        <f aca="false">IFERROR(INDEX('Semrush Data'!$C$2:$C$5000,MATCH(F109,'Semrush Data'!$A$2:$A$5000,0)),"")</f>
        <v>1300</v>
      </c>
      <c r="H109" s="18" t="n">
        <f aca="false">IFERROR(INDEX('Semrush Data'!$D$2:$D$5000,MATCH(F109,'Semrush Data'!$A$2:$A$5000,0)),"")</f>
        <v>11</v>
      </c>
      <c r="I109" s="18" t="s">
        <v>301</v>
      </c>
      <c r="J109" s="20" t="n">
        <f aca="false">IFERROR(INDEX('Semrush Data'!$C$2:$C$5000,MATCH(I109,'Semrush Data'!$A$2:$A$5000,0)),"")</f>
        <v>140</v>
      </c>
      <c r="K109" s="18" t="s">
        <v>506</v>
      </c>
      <c r="L109" s="18" t="s">
        <v>1081</v>
      </c>
      <c r="M109" s="18" t="s">
        <v>1082</v>
      </c>
      <c r="N109" s="21" t="n">
        <f aca="false">LEN(M109)</f>
        <v>54</v>
      </c>
      <c r="O109" s="22" t="s">
        <v>1083</v>
      </c>
      <c r="P109" s="21" t="n">
        <f aca="false">LEN(O109)</f>
        <v>157</v>
      </c>
      <c r="Q109" s="22" t="s">
        <v>1084</v>
      </c>
      <c r="R109" s="22"/>
      <c r="S109" s="18" t="s">
        <v>382</v>
      </c>
      <c r="T109" s="22"/>
    </row>
    <row r="110" customFormat="false" ht="46.25" hidden="false" customHeight="false" outlineLevel="0" collapsed="false">
      <c r="A110" s="18" t="s">
        <v>1085</v>
      </c>
      <c r="B110" s="18" t="s">
        <v>906</v>
      </c>
      <c r="C110" s="18" t="s">
        <v>1086</v>
      </c>
      <c r="D110" s="18" t="s">
        <v>987</v>
      </c>
      <c r="E110" s="18" t="s">
        <v>407</v>
      </c>
      <c r="F110" s="19" t="s">
        <v>161</v>
      </c>
      <c r="G110" s="20" t="n">
        <f aca="false">IFERROR(INDEX('Semrush Data'!$C$2:$C$5000,MATCH(F110,'Semrush Data'!$A$2:$A$5000,0)),"")</f>
        <v>1300</v>
      </c>
      <c r="H110" s="18" t="n">
        <f aca="false">IFERROR(INDEX('Semrush Data'!$D$2:$D$5000,MATCH(F110,'Semrush Data'!$A$2:$A$5000,0)),"")</f>
        <v>11</v>
      </c>
      <c r="I110" s="18" t="s">
        <v>301</v>
      </c>
      <c r="J110" s="20" t="n">
        <f aca="false">IFERROR(INDEX('Semrush Data'!$C$2:$C$5000,MATCH(I110,'Semrush Data'!$A$2:$A$5000,0)),"")</f>
        <v>140</v>
      </c>
      <c r="K110" s="18" t="s">
        <v>506</v>
      </c>
      <c r="L110" s="18" t="s">
        <v>1087</v>
      </c>
      <c r="M110" s="18" t="s">
        <v>1088</v>
      </c>
      <c r="N110" s="21" t="n">
        <f aca="false">LEN(M110)</f>
        <v>56</v>
      </c>
      <c r="O110" s="22" t="s">
        <v>1089</v>
      </c>
      <c r="P110" s="21" t="n">
        <f aca="false">LEN(O110)</f>
        <v>159</v>
      </c>
      <c r="Q110" s="22" t="s">
        <v>1090</v>
      </c>
      <c r="R110" s="22"/>
      <c r="S110" s="18" t="s">
        <v>382</v>
      </c>
      <c r="T110" s="22"/>
    </row>
    <row r="111" customFormat="false" ht="57.45" hidden="false" customHeight="false" outlineLevel="0" collapsed="false">
      <c r="A111" s="18" t="s">
        <v>1091</v>
      </c>
      <c r="B111" s="18" t="s">
        <v>906</v>
      </c>
      <c r="C111" s="18" t="s">
        <v>1092</v>
      </c>
      <c r="D111" s="18" t="s">
        <v>987</v>
      </c>
      <c r="E111" s="18" t="s">
        <v>407</v>
      </c>
      <c r="F111" s="19" t="s">
        <v>161</v>
      </c>
      <c r="G111" s="20" t="n">
        <f aca="false">IFERROR(INDEX('Semrush Data'!$C$2:$C$5000,MATCH(F111,'Semrush Data'!$A$2:$A$5000,0)),"")</f>
        <v>1300</v>
      </c>
      <c r="H111" s="18" t="n">
        <f aca="false">IFERROR(INDEX('Semrush Data'!$D$2:$D$5000,MATCH(F111,'Semrush Data'!$A$2:$A$5000,0)),"")</f>
        <v>11</v>
      </c>
      <c r="I111" s="18" t="s">
        <v>301</v>
      </c>
      <c r="J111" s="20" t="n">
        <f aca="false">IFERROR(INDEX('Semrush Data'!$C$2:$C$5000,MATCH(I111,'Semrush Data'!$A$2:$A$5000,0)),"")</f>
        <v>140</v>
      </c>
      <c r="K111" s="18" t="s">
        <v>506</v>
      </c>
      <c r="L111" s="18" t="s">
        <v>1093</v>
      </c>
      <c r="M111" s="18" t="s">
        <v>1094</v>
      </c>
      <c r="N111" s="21" t="n">
        <f aca="false">LEN(M111)</f>
        <v>57</v>
      </c>
      <c r="O111" s="22" t="s">
        <v>1095</v>
      </c>
      <c r="P111" s="21" t="n">
        <f aca="false">LEN(O111)</f>
        <v>160</v>
      </c>
      <c r="Q111" s="22" t="s">
        <v>1096</v>
      </c>
      <c r="R111" s="22"/>
      <c r="S111" s="18" t="s">
        <v>382</v>
      </c>
      <c r="T111" s="22" t="s">
        <v>393</v>
      </c>
    </row>
    <row r="112" customFormat="false" ht="57.45" hidden="false" customHeight="false" outlineLevel="0" collapsed="false">
      <c r="A112" s="18" t="s">
        <v>1097</v>
      </c>
      <c r="B112" s="18" t="s">
        <v>906</v>
      </c>
      <c r="C112" s="18" t="s">
        <v>1098</v>
      </c>
      <c r="D112" s="18" t="s">
        <v>456</v>
      </c>
      <c r="E112" s="18" t="s">
        <v>646</v>
      </c>
      <c r="F112" s="19" t="s">
        <v>201</v>
      </c>
      <c r="G112" s="20" t="n">
        <f aca="false">IFERROR(INDEX('Semrush Data'!$C$2:$C$5000,MATCH(F112,'Semrush Data'!$A$2:$A$5000,0)),"")</f>
        <v>5400</v>
      </c>
      <c r="H112" s="18" t="n">
        <f aca="false">IFERROR(INDEX('Semrush Data'!$D$2:$D$5000,MATCH(F112,'Semrush Data'!$A$2:$A$5000,0)),"")</f>
        <v>16</v>
      </c>
      <c r="I112" s="18" t="s">
        <v>301</v>
      </c>
      <c r="J112" s="20" t="n">
        <f aca="false">IFERROR(INDEX('Semrush Data'!$C$2:$C$5000,MATCH(I112,'Semrush Data'!$A$2:$A$5000,0)),"")</f>
        <v>140</v>
      </c>
      <c r="K112" s="18" t="s">
        <v>647</v>
      </c>
      <c r="L112" s="18" t="s">
        <v>1099</v>
      </c>
      <c r="M112" s="18" t="s">
        <v>1100</v>
      </c>
      <c r="N112" s="21" t="n">
        <f aca="false">LEN(M112)</f>
        <v>32</v>
      </c>
      <c r="O112" s="22" t="s">
        <v>1101</v>
      </c>
      <c r="P112" s="21" t="n">
        <f aca="false">LEN(O112)</f>
        <v>139</v>
      </c>
      <c r="Q112" s="22" t="s">
        <v>1102</v>
      </c>
      <c r="R112" s="22"/>
      <c r="S112" s="18" t="s">
        <v>382</v>
      </c>
      <c r="T112" s="22" t="s">
        <v>393</v>
      </c>
    </row>
    <row r="113" customFormat="false" ht="57.45" hidden="false" customHeight="false" outlineLevel="0" collapsed="false">
      <c r="A113" s="18" t="s">
        <v>1103</v>
      </c>
      <c r="B113" s="18" t="s">
        <v>906</v>
      </c>
      <c r="C113" s="18" t="s">
        <v>1104</v>
      </c>
      <c r="D113" s="18" t="s">
        <v>1105</v>
      </c>
      <c r="E113" s="18" t="s">
        <v>621</v>
      </c>
      <c r="F113" s="19" t="s">
        <v>156</v>
      </c>
      <c r="G113" s="20" t="n">
        <f aca="false">IFERROR(INDEX('Semrush Data'!$C$2:$C$5000,MATCH(F113,'Semrush Data'!$A$2:$A$5000,0)),"")</f>
        <v>2400</v>
      </c>
      <c r="H113" s="18" t="n">
        <f aca="false">IFERROR(INDEX('Semrush Data'!$D$2:$D$5000,MATCH(F113,'Semrush Data'!$A$2:$A$5000,0)),"")</f>
        <v>13</v>
      </c>
      <c r="I113" s="18" t="s">
        <v>301</v>
      </c>
      <c r="J113" s="20" t="n">
        <f aca="false">IFERROR(INDEX('Semrush Data'!$C$2:$C$5000,MATCH(I113,'Semrush Data'!$A$2:$A$5000,0)),"")</f>
        <v>140</v>
      </c>
      <c r="K113" s="18" t="s">
        <v>474</v>
      </c>
      <c r="L113" s="18" t="s">
        <v>1106</v>
      </c>
      <c r="M113" s="18" t="s">
        <v>1107</v>
      </c>
      <c r="N113" s="21" t="n">
        <f aca="false">LEN(M113)</f>
        <v>50</v>
      </c>
      <c r="O113" s="22" t="s">
        <v>1108</v>
      </c>
      <c r="P113" s="21" t="n">
        <f aca="false">LEN(O113)</f>
        <v>157</v>
      </c>
      <c r="Q113" s="22" t="s">
        <v>1109</v>
      </c>
      <c r="R113" s="22" t="s">
        <v>1110</v>
      </c>
      <c r="S113" s="18" t="s">
        <v>382</v>
      </c>
      <c r="T113" s="22"/>
    </row>
    <row r="114" customFormat="false" ht="46.25" hidden="false" customHeight="false" outlineLevel="0" collapsed="false">
      <c r="A114" s="18" t="s">
        <v>1111</v>
      </c>
      <c r="B114" s="18" t="s">
        <v>906</v>
      </c>
      <c r="C114" s="18" t="s">
        <v>1112</v>
      </c>
      <c r="D114" s="18" t="s">
        <v>425</v>
      </c>
      <c r="E114" s="18" t="s">
        <v>435</v>
      </c>
      <c r="F114" s="19" t="s">
        <v>158</v>
      </c>
      <c r="G114" s="20" t="n">
        <f aca="false">IFERROR(INDEX('Semrush Data'!$C$2:$C$5000,MATCH(F114,'Semrush Data'!$A$2:$A$5000,0)),"")</f>
        <v>1600</v>
      </c>
      <c r="H114" s="18" t="n">
        <f aca="false">IFERROR(INDEX('Semrush Data'!$D$2:$D$5000,MATCH(F114,'Semrush Data'!$A$2:$A$5000,0)),"")</f>
        <v>29</v>
      </c>
      <c r="I114" s="18" t="s">
        <v>301</v>
      </c>
      <c r="J114" s="20" t="n">
        <f aca="false">IFERROR(INDEX('Semrush Data'!$C$2:$C$5000,MATCH(I114,'Semrush Data'!$A$2:$A$5000,0)),"")</f>
        <v>140</v>
      </c>
      <c r="K114" s="18" t="s">
        <v>594</v>
      </c>
      <c r="L114" s="18" t="s">
        <v>1113</v>
      </c>
      <c r="M114" s="18" t="s">
        <v>1114</v>
      </c>
      <c r="N114" s="21" t="n">
        <f aca="false">LEN(M114)</f>
        <v>60</v>
      </c>
      <c r="O114" s="22" t="s">
        <v>1115</v>
      </c>
      <c r="P114" s="21" t="n">
        <f aca="false">LEN(O114)</f>
        <v>156</v>
      </c>
      <c r="Q114" s="22" t="s">
        <v>1116</v>
      </c>
      <c r="R114" s="22"/>
      <c r="S114" s="18" t="s">
        <v>382</v>
      </c>
      <c r="T114" s="22"/>
    </row>
    <row r="115" customFormat="false" ht="46.25" hidden="false" customHeight="false" outlineLevel="0" collapsed="false">
      <c r="A115" s="18" t="s">
        <v>1117</v>
      </c>
      <c r="B115" s="18" t="s">
        <v>906</v>
      </c>
      <c r="C115" s="18" t="s">
        <v>1118</v>
      </c>
      <c r="D115" s="18" t="s">
        <v>505</v>
      </c>
      <c r="E115" s="18" t="s">
        <v>435</v>
      </c>
      <c r="F115" s="19" t="s">
        <v>161</v>
      </c>
      <c r="G115" s="20" t="n">
        <f aca="false">IFERROR(INDEX('Semrush Data'!$C$2:$C$5000,MATCH(F115,'Semrush Data'!$A$2:$A$5000,0)),"")</f>
        <v>1300</v>
      </c>
      <c r="H115" s="18" t="n">
        <f aca="false">IFERROR(INDEX('Semrush Data'!$D$2:$D$5000,MATCH(F115,'Semrush Data'!$A$2:$A$5000,0)),"")</f>
        <v>11</v>
      </c>
      <c r="I115" s="18" t="s">
        <v>301</v>
      </c>
      <c r="J115" s="20" t="n">
        <f aca="false">IFERROR(INDEX('Semrush Data'!$C$2:$C$5000,MATCH(I115,'Semrush Data'!$A$2:$A$5000,0)),"")</f>
        <v>140</v>
      </c>
      <c r="K115" s="18" t="s">
        <v>506</v>
      </c>
      <c r="L115" s="18" t="s">
        <v>1119</v>
      </c>
      <c r="M115" s="18" t="s">
        <v>1120</v>
      </c>
      <c r="N115" s="21" t="n">
        <f aca="false">LEN(M115)</f>
        <v>56</v>
      </c>
      <c r="O115" s="22" t="s">
        <v>1121</v>
      </c>
      <c r="P115" s="21" t="n">
        <f aca="false">LEN(O115)</f>
        <v>159</v>
      </c>
      <c r="Q115" s="22" t="s">
        <v>1122</v>
      </c>
      <c r="R115" s="22"/>
      <c r="S115" s="18" t="s">
        <v>382</v>
      </c>
      <c r="T115" s="22"/>
    </row>
    <row r="116" customFormat="false" ht="46.25" hidden="false" customHeight="false" outlineLevel="0" collapsed="false">
      <c r="A116" s="18" t="s">
        <v>1123</v>
      </c>
      <c r="B116" s="18" t="s">
        <v>906</v>
      </c>
      <c r="C116" s="18" t="s">
        <v>1124</v>
      </c>
      <c r="D116" s="18" t="s">
        <v>375</v>
      </c>
      <c r="E116" s="18" t="s">
        <v>376</v>
      </c>
      <c r="F116" s="19" t="s">
        <v>167</v>
      </c>
      <c r="G116" s="20" t="n">
        <f aca="false">IFERROR(INDEX('Semrush Data'!$C$2:$C$5000,MATCH(F116,'Semrush Data'!$A$2:$A$5000,0)),"")</f>
        <v>720</v>
      </c>
      <c r="H116" s="18" t="n">
        <f aca="false">IFERROR(INDEX('Semrush Data'!$D$2:$D$5000,MATCH(F116,'Semrush Data'!$A$2:$A$5000,0)),"")</f>
        <v>16</v>
      </c>
      <c r="I116" s="18" t="s">
        <v>301</v>
      </c>
      <c r="J116" s="20" t="n">
        <f aca="false">IFERROR(INDEX('Semrush Data'!$C$2:$C$5000,MATCH(I116,'Semrush Data'!$A$2:$A$5000,0)),"")</f>
        <v>140</v>
      </c>
      <c r="K116" s="18" t="s">
        <v>377</v>
      </c>
      <c r="L116" s="18" t="s">
        <v>1125</v>
      </c>
      <c r="M116" s="18" t="s">
        <v>1126</v>
      </c>
      <c r="N116" s="21" t="n">
        <f aca="false">LEN(M116)</f>
        <v>59</v>
      </c>
      <c r="O116" s="22" t="s">
        <v>1127</v>
      </c>
      <c r="P116" s="21" t="n">
        <f aca="false">LEN(O116)</f>
        <v>155</v>
      </c>
      <c r="Q116" s="22" t="s">
        <v>1128</v>
      </c>
      <c r="R116" s="22"/>
      <c r="S116" s="18" t="s">
        <v>382</v>
      </c>
      <c r="T116" s="22" t="s">
        <v>393</v>
      </c>
    </row>
    <row r="117" customFormat="false" ht="46.25" hidden="false" customHeight="false" outlineLevel="0" collapsed="false">
      <c r="A117" s="18" t="s">
        <v>1129</v>
      </c>
      <c r="B117" s="18" t="s">
        <v>906</v>
      </c>
      <c r="C117" s="18" t="s">
        <v>1130</v>
      </c>
      <c r="D117" s="18" t="s">
        <v>947</v>
      </c>
      <c r="E117" s="18" t="s">
        <v>586</v>
      </c>
      <c r="F117" s="19" t="s">
        <v>170</v>
      </c>
      <c r="G117" s="20" t="n">
        <f aca="false">IFERROR(INDEX('Semrush Data'!$C$2:$C$5000,MATCH(F117,'Semrush Data'!$A$2:$A$5000,0)),"")</f>
        <v>320</v>
      </c>
      <c r="H117" s="18" t="n">
        <f aca="false">IFERROR(INDEX('Semrush Data'!$D$2:$D$5000,MATCH(F117,'Semrush Data'!$A$2:$A$5000,0)),"")</f>
        <v>10</v>
      </c>
      <c r="I117" s="18" t="s">
        <v>301</v>
      </c>
      <c r="J117" s="20" t="n">
        <f aca="false">IFERROR(INDEX('Semrush Data'!$C$2:$C$5000,MATCH(I117,'Semrush Data'!$A$2:$A$5000,0)),"")</f>
        <v>140</v>
      </c>
      <c r="K117" s="18" t="s">
        <v>663</v>
      </c>
      <c r="L117" s="18" t="s">
        <v>1131</v>
      </c>
      <c r="M117" s="18" t="s">
        <v>1132</v>
      </c>
      <c r="N117" s="21" t="n">
        <f aca="false">LEN(M117)</f>
        <v>56</v>
      </c>
      <c r="O117" s="22" t="s">
        <v>1133</v>
      </c>
      <c r="P117" s="21" t="n">
        <f aca="false">LEN(O117)</f>
        <v>154</v>
      </c>
      <c r="Q117" s="22" t="s">
        <v>1134</v>
      </c>
      <c r="R117" s="22"/>
      <c r="S117" s="18" t="s">
        <v>382</v>
      </c>
      <c r="T117" s="22"/>
    </row>
    <row r="118" customFormat="false" ht="46.25" hidden="false" customHeight="false" outlineLevel="0" collapsed="false">
      <c r="A118" s="18" t="s">
        <v>1135</v>
      </c>
      <c r="B118" s="18" t="s">
        <v>906</v>
      </c>
      <c r="C118" s="18" t="s">
        <v>1136</v>
      </c>
      <c r="D118" s="18" t="s">
        <v>456</v>
      </c>
      <c r="E118" s="18" t="s">
        <v>457</v>
      </c>
      <c r="F118" s="19" t="s">
        <v>163</v>
      </c>
      <c r="G118" s="20" t="n">
        <f aca="false">IFERROR(INDEX('Semrush Data'!$C$2:$C$5000,MATCH(F118,'Semrush Data'!$A$2:$A$5000,0)),"")</f>
        <v>1000</v>
      </c>
      <c r="H118" s="18" t="n">
        <f aca="false">IFERROR(INDEX('Semrush Data'!$D$2:$D$5000,MATCH(F118,'Semrush Data'!$A$2:$A$5000,0)),"")</f>
        <v>41</v>
      </c>
      <c r="I118" s="18" t="s">
        <v>301</v>
      </c>
      <c r="J118" s="20" t="n">
        <f aca="false">IFERROR(INDEX('Semrush Data'!$C$2:$C$5000,MATCH(I118,'Semrush Data'!$A$2:$A$5000,0)),"")</f>
        <v>140</v>
      </c>
      <c r="K118" s="18" t="s">
        <v>458</v>
      </c>
      <c r="L118" s="18" t="s">
        <v>1137</v>
      </c>
      <c r="M118" s="18" t="s">
        <v>1138</v>
      </c>
      <c r="N118" s="21" t="n">
        <f aca="false">LEN(M118)</f>
        <v>53</v>
      </c>
      <c r="O118" s="22" t="s">
        <v>1139</v>
      </c>
      <c r="P118" s="21" t="n">
        <f aca="false">LEN(O118)</f>
        <v>160</v>
      </c>
      <c r="Q118" s="22" t="s">
        <v>1140</v>
      </c>
      <c r="R118" s="22" t="s">
        <v>1141</v>
      </c>
      <c r="S118" s="18" t="s">
        <v>382</v>
      </c>
      <c r="T118" s="22"/>
    </row>
    <row r="119" customFormat="false" ht="46.25" hidden="false" customHeight="false" outlineLevel="0" collapsed="false">
      <c r="A119" s="18" t="s">
        <v>1142</v>
      </c>
      <c r="B119" s="18" t="s">
        <v>906</v>
      </c>
      <c r="C119" s="18" t="s">
        <v>1143</v>
      </c>
      <c r="D119" s="18" t="s">
        <v>987</v>
      </c>
      <c r="E119" s="18" t="s">
        <v>435</v>
      </c>
      <c r="F119" s="19" t="s">
        <v>161</v>
      </c>
      <c r="G119" s="20" t="n">
        <f aca="false">IFERROR(INDEX('Semrush Data'!$C$2:$C$5000,MATCH(F119,'Semrush Data'!$A$2:$A$5000,0)),"")</f>
        <v>1300</v>
      </c>
      <c r="H119" s="18" t="n">
        <f aca="false">IFERROR(INDEX('Semrush Data'!$D$2:$D$5000,MATCH(F119,'Semrush Data'!$A$2:$A$5000,0)),"")</f>
        <v>11</v>
      </c>
      <c r="I119" s="18" t="s">
        <v>301</v>
      </c>
      <c r="J119" s="20" t="n">
        <f aca="false">IFERROR(INDEX('Semrush Data'!$C$2:$C$5000,MATCH(I119,'Semrush Data'!$A$2:$A$5000,0)),"")</f>
        <v>140</v>
      </c>
      <c r="K119" s="18" t="s">
        <v>506</v>
      </c>
      <c r="L119" s="18" t="s">
        <v>1144</v>
      </c>
      <c r="M119" s="18" t="s">
        <v>1145</v>
      </c>
      <c r="N119" s="21" t="n">
        <f aca="false">LEN(M119)</f>
        <v>57</v>
      </c>
      <c r="O119" s="22" t="s">
        <v>1146</v>
      </c>
      <c r="P119" s="21" t="n">
        <f aca="false">LEN(O119)</f>
        <v>151</v>
      </c>
      <c r="Q119" s="22" t="s">
        <v>1147</v>
      </c>
      <c r="R119" s="22"/>
      <c r="S119" s="18" t="s">
        <v>382</v>
      </c>
      <c r="T119" s="22"/>
    </row>
    <row r="120" customFormat="false" ht="46.25" hidden="false" customHeight="false" outlineLevel="0" collapsed="false">
      <c r="A120" s="18" t="s">
        <v>1148</v>
      </c>
      <c r="B120" s="18" t="s">
        <v>906</v>
      </c>
      <c r="C120" s="18" t="s">
        <v>1149</v>
      </c>
      <c r="D120" s="18" t="s">
        <v>947</v>
      </c>
      <c r="E120" s="18" t="s">
        <v>586</v>
      </c>
      <c r="F120" s="19" t="s">
        <v>170</v>
      </c>
      <c r="G120" s="20" t="n">
        <f aca="false">IFERROR(INDEX('Semrush Data'!$C$2:$C$5000,MATCH(F120,'Semrush Data'!$A$2:$A$5000,0)),"")</f>
        <v>320</v>
      </c>
      <c r="H120" s="18" t="n">
        <f aca="false">IFERROR(INDEX('Semrush Data'!$D$2:$D$5000,MATCH(F120,'Semrush Data'!$A$2:$A$5000,0)),"")</f>
        <v>10</v>
      </c>
      <c r="I120" s="18" t="s">
        <v>301</v>
      </c>
      <c r="J120" s="20" t="n">
        <f aca="false">IFERROR(INDEX('Semrush Data'!$C$2:$C$5000,MATCH(I120,'Semrush Data'!$A$2:$A$5000,0)),"")</f>
        <v>140</v>
      </c>
      <c r="K120" s="18" t="s">
        <v>663</v>
      </c>
      <c r="L120" s="18" t="s">
        <v>1131</v>
      </c>
      <c r="M120" s="18" t="s">
        <v>1132</v>
      </c>
      <c r="N120" s="21" t="n">
        <f aca="false">LEN(M120)</f>
        <v>56</v>
      </c>
      <c r="O120" s="22" t="s">
        <v>1133</v>
      </c>
      <c r="P120" s="21" t="n">
        <f aca="false">LEN(O120)</f>
        <v>154</v>
      </c>
      <c r="Q120" s="22" t="s">
        <v>1134</v>
      </c>
      <c r="R120" s="22"/>
      <c r="S120" s="18" t="s">
        <v>382</v>
      </c>
      <c r="T120" s="22"/>
    </row>
    <row r="121" customFormat="false" ht="46.25" hidden="false" customHeight="false" outlineLevel="0" collapsed="false">
      <c r="A121" s="18" t="s">
        <v>1150</v>
      </c>
      <c r="B121" s="18" t="s">
        <v>906</v>
      </c>
      <c r="C121" s="18" t="s">
        <v>1151</v>
      </c>
      <c r="D121" s="18" t="s">
        <v>561</v>
      </c>
      <c r="E121" s="18" t="s">
        <v>586</v>
      </c>
      <c r="F121" s="19" t="s">
        <v>170</v>
      </c>
      <c r="G121" s="20" t="n">
        <f aca="false">IFERROR(INDEX('Semrush Data'!$C$2:$C$5000,MATCH(F121,'Semrush Data'!$A$2:$A$5000,0)),"")</f>
        <v>320</v>
      </c>
      <c r="H121" s="18" t="n">
        <f aca="false">IFERROR(INDEX('Semrush Data'!$D$2:$D$5000,MATCH(F121,'Semrush Data'!$A$2:$A$5000,0)),"")</f>
        <v>10</v>
      </c>
      <c r="I121" s="18" t="s">
        <v>301</v>
      </c>
      <c r="J121" s="20" t="n">
        <f aca="false">IFERROR(INDEX('Semrush Data'!$C$2:$C$5000,MATCH(I121,'Semrush Data'!$A$2:$A$5000,0)),"")</f>
        <v>140</v>
      </c>
      <c r="K121" s="18" t="s">
        <v>663</v>
      </c>
      <c r="L121" s="18" t="s">
        <v>1152</v>
      </c>
      <c r="M121" s="18" t="s">
        <v>1153</v>
      </c>
      <c r="N121" s="21" t="n">
        <f aca="false">LEN(M121)</f>
        <v>59</v>
      </c>
      <c r="O121" s="22" t="s">
        <v>1154</v>
      </c>
      <c r="P121" s="21" t="n">
        <f aca="false">LEN(O121)</f>
        <v>153</v>
      </c>
      <c r="Q121" s="22" t="s">
        <v>1155</v>
      </c>
      <c r="R121" s="22" t="s">
        <v>1156</v>
      </c>
      <c r="S121" s="18" t="s">
        <v>382</v>
      </c>
      <c r="T121" s="22" t="s">
        <v>393</v>
      </c>
    </row>
    <row r="122" customFormat="false" ht="46.25" hidden="false" customHeight="false" outlineLevel="0" collapsed="false">
      <c r="A122" s="18" t="s">
        <v>1157</v>
      </c>
      <c r="B122" s="18" t="s">
        <v>906</v>
      </c>
      <c r="C122" s="18" t="s">
        <v>1158</v>
      </c>
      <c r="D122" s="18" t="s">
        <v>987</v>
      </c>
      <c r="E122" s="18" t="s">
        <v>407</v>
      </c>
      <c r="F122" s="19" t="s">
        <v>161</v>
      </c>
      <c r="G122" s="20" t="n">
        <f aca="false">IFERROR(INDEX('Semrush Data'!$C$2:$C$5000,MATCH(F122,'Semrush Data'!$A$2:$A$5000,0)),"")</f>
        <v>1300</v>
      </c>
      <c r="H122" s="18" t="n">
        <f aca="false">IFERROR(INDEX('Semrush Data'!$D$2:$D$5000,MATCH(F122,'Semrush Data'!$A$2:$A$5000,0)),"")</f>
        <v>11</v>
      </c>
      <c r="I122" s="18" t="s">
        <v>301</v>
      </c>
      <c r="J122" s="20" t="n">
        <f aca="false">IFERROR(INDEX('Semrush Data'!$C$2:$C$5000,MATCH(I122,'Semrush Data'!$A$2:$A$5000,0)),"")</f>
        <v>140</v>
      </c>
      <c r="K122" s="18" t="s">
        <v>506</v>
      </c>
      <c r="L122" s="18" t="s">
        <v>1159</v>
      </c>
      <c r="M122" s="18" t="s">
        <v>1160</v>
      </c>
      <c r="N122" s="21" t="n">
        <f aca="false">LEN(M122)</f>
        <v>50</v>
      </c>
      <c r="O122" s="22" t="s">
        <v>1161</v>
      </c>
      <c r="P122" s="21" t="n">
        <f aca="false">LEN(O122)</f>
        <v>157</v>
      </c>
      <c r="Q122" s="22" t="s">
        <v>1162</v>
      </c>
      <c r="R122" s="22" t="s">
        <v>1163</v>
      </c>
      <c r="S122" s="18" t="s">
        <v>382</v>
      </c>
      <c r="T122" s="22"/>
    </row>
    <row r="123" customFormat="false" ht="46.25" hidden="false" customHeight="false" outlineLevel="0" collapsed="false">
      <c r="A123" s="18" t="s">
        <v>1164</v>
      </c>
      <c r="B123" s="18" t="s">
        <v>906</v>
      </c>
      <c r="C123" s="18" t="s">
        <v>1165</v>
      </c>
      <c r="D123" s="18" t="s">
        <v>385</v>
      </c>
      <c r="E123" s="18" t="s">
        <v>386</v>
      </c>
      <c r="F123" s="19" t="s">
        <v>202</v>
      </c>
      <c r="G123" s="20" t="n">
        <f aca="false">IFERROR(INDEX('Semrush Data'!$C$2:$C$5000,MATCH(F123,'Semrush Data'!$A$2:$A$5000,0)),"")</f>
        <v>5400</v>
      </c>
      <c r="H123" s="18" t="n">
        <f aca="false">IFERROR(INDEX('Semrush Data'!$D$2:$D$5000,MATCH(F123,'Semrush Data'!$A$2:$A$5000,0)),"")</f>
        <v>21</v>
      </c>
      <c r="I123" s="18" t="s">
        <v>301</v>
      </c>
      <c r="J123" s="20" t="n">
        <f aca="false">IFERROR(INDEX('Semrush Data'!$C$2:$C$5000,MATCH(I123,'Semrush Data'!$A$2:$A$5000,0)),"")</f>
        <v>140</v>
      </c>
      <c r="K123" s="18" t="s">
        <v>387</v>
      </c>
      <c r="L123" s="18" t="s">
        <v>1166</v>
      </c>
      <c r="M123" s="18" t="s">
        <v>1167</v>
      </c>
      <c r="N123" s="21" t="n">
        <f aca="false">LEN(M123)</f>
        <v>50</v>
      </c>
      <c r="O123" s="22" t="s">
        <v>1168</v>
      </c>
      <c r="P123" s="21" t="n">
        <f aca="false">LEN(O123)</f>
        <v>146</v>
      </c>
      <c r="Q123" s="22" t="s">
        <v>1169</v>
      </c>
      <c r="R123" s="22" t="s">
        <v>1170</v>
      </c>
      <c r="S123" s="18" t="s">
        <v>382</v>
      </c>
      <c r="T123" s="22"/>
    </row>
    <row r="124" customFormat="false" ht="57.45" hidden="false" customHeight="false" outlineLevel="0" collapsed="false">
      <c r="A124" s="18" t="s">
        <v>1171</v>
      </c>
      <c r="B124" s="18" t="s">
        <v>906</v>
      </c>
      <c r="C124" s="18" t="s">
        <v>1172</v>
      </c>
      <c r="D124" s="18" t="s">
        <v>425</v>
      </c>
      <c r="E124" s="18" t="s">
        <v>571</v>
      </c>
      <c r="F124" s="19" t="s">
        <v>159</v>
      </c>
      <c r="G124" s="20" t="n">
        <f aca="false">IFERROR(INDEX('Semrush Data'!$C$2:$C$5000,MATCH(F124,'Semrush Data'!$A$2:$A$5000,0)),"")</f>
        <v>1600</v>
      </c>
      <c r="H124" s="18" t="n">
        <f aca="false">IFERROR(INDEX('Semrush Data'!$D$2:$D$5000,MATCH(F124,'Semrush Data'!$A$2:$A$5000,0)),"")</f>
        <v>33</v>
      </c>
      <c r="I124" s="18" t="s">
        <v>301</v>
      </c>
      <c r="J124" s="20" t="n">
        <f aca="false">IFERROR(INDEX('Semrush Data'!$C$2:$C$5000,MATCH(I124,'Semrush Data'!$A$2:$A$5000,0)),"")</f>
        <v>140</v>
      </c>
      <c r="K124" s="18" t="s">
        <v>426</v>
      </c>
      <c r="L124" s="18" t="s">
        <v>1173</v>
      </c>
      <c r="M124" s="18" t="s">
        <v>1174</v>
      </c>
      <c r="N124" s="21" t="n">
        <f aca="false">LEN(M124)</f>
        <v>50</v>
      </c>
      <c r="O124" s="22" t="s">
        <v>1175</v>
      </c>
      <c r="P124" s="21" t="n">
        <f aca="false">LEN(O124)</f>
        <v>157</v>
      </c>
      <c r="Q124" s="22" t="s">
        <v>1176</v>
      </c>
      <c r="R124" s="22" t="s">
        <v>1177</v>
      </c>
      <c r="S124" s="18" t="s">
        <v>382</v>
      </c>
      <c r="T124" s="22"/>
    </row>
    <row r="125" customFormat="false" ht="46.25" hidden="false" customHeight="false" outlineLevel="0" collapsed="false">
      <c r="A125" s="18" t="s">
        <v>1178</v>
      </c>
      <c r="B125" s="18" t="s">
        <v>906</v>
      </c>
      <c r="C125" s="18" t="s">
        <v>1179</v>
      </c>
      <c r="D125" s="18" t="s">
        <v>434</v>
      </c>
      <c r="E125" s="18" t="s">
        <v>376</v>
      </c>
      <c r="F125" s="19" t="s">
        <v>193</v>
      </c>
      <c r="G125" s="20" t="n">
        <f aca="false">IFERROR(INDEX('Semrush Data'!$C$2:$C$5000,MATCH(F125,'Semrush Data'!$A$2:$A$5000,0)),"")</f>
        <v>18100</v>
      </c>
      <c r="H125" s="18" t="n">
        <f aca="false">IFERROR(INDEX('Semrush Data'!$D$2:$D$5000,MATCH(F125,'Semrush Data'!$A$2:$A$5000,0)),"")</f>
        <v>16</v>
      </c>
      <c r="I125" s="18" t="s">
        <v>301</v>
      </c>
      <c r="J125" s="20" t="n">
        <f aca="false">IFERROR(INDEX('Semrush Data'!$C$2:$C$5000,MATCH(I125,'Semrush Data'!$A$2:$A$5000,0)),"")</f>
        <v>140</v>
      </c>
      <c r="K125" s="18" t="s">
        <v>436</v>
      </c>
      <c r="L125" s="18" t="s">
        <v>1180</v>
      </c>
      <c r="M125" s="18" t="s">
        <v>1181</v>
      </c>
      <c r="N125" s="21" t="n">
        <f aca="false">LEN(M125)</f>
        <v>51</v>
      </c>
      <c r="O125" s="22" t="s">
        <v>1182</v>
      </c>
      <c r="P125" s="21" t="n">
        <f aca="false">LEN(O125)</f>
        <v>147</v>
      </c>
      <c r="Q125" s="22" t="s">
        <v>1183</v>
      </c>
      <c r="R125" s="22" t="s">
        <v>1184</v>
      </c>
      <c r="S125" s="18" t="s">
        <v>382</v>
      </c>
      <c r="T125" s="22"/>
    </row>
    <row r="126" customFormat="false" ht="46.25" hidden="false" customHeight="false" outlineLevel="0" collapsed="false">
      <c r="A126" s="18" t="s">
        <v>1185</v>
      </c>
      <c r="B126" s="18" t="s">
        <v>906</v>
      </c>
      <c r="C126" s="18" t="s">
        <v>1186</v>
      </c>
      <c r="D126" s="18" t="s">
        <v>1105</v>
      </c>
      <c r="E126" s="18" t="s">
        <v>621</v>
      </c>
      <c r="F126" s="19" t="s">
        <v>156</v>
      </c>
      <c r="G126" s="20" t="n">
        <f aca="false">IFERROR(INDEX('Semrush Data'!$C$2:$C$5000,MATCH(F126,'Semrush Data'!$A$2:$A$5000,0)),"")</f>
        <v>2400</v>
      </c>
      <c r="H126" s="18" t="n">
        <f aca="false">IFERROR(INDEX('Semrush Data'!$D$2:$D$5000,MATCH(F126,'Semrush Data'!$A$2:$A$5000,0)),"")</f>
        <v>13</v>
      </c>
      <c r="I126" s="18" t="s">
        <v>301</v>
      </c>
      <c r="J126" s="20" t="n">
        <f aca="false">IFERROR(INDEX('Semrush Data'!$C$2:$C$5000,MATCH(I126,'Semrush Data'!$A$2:$A$5000,0)),"")</f>
        <v>140</v>
      </c>
      <c r="K126" s="18" t="s">
        <v>474</v>
      </c>
      <c r="L126" s="18" t="s">
        <v>1187</v>
      </c>
      <c r="M126" s="18" t="s">
        <v>1188</v>
      </c>
      <c r="N126" s="21" t="n">
        <f aca="false">LEN(M126)</f>
        <v>53</v>
      </c>
      <c r="O126" s="22" t="s">
        <v>1189</v>
      </c>
      <c r="P126" s="21" t="n">
        <f aca="false">LEN(O126)</f>
        <v>160</v>
      </c>
      <c r="Q126" s="22" t="s">
        <v>1190</v>
      </c>
      <c r="R126" s="22" t="s">
        <v>1191</v>
      </c>
      <c r="S126" s="18" t="s">
        <v>382</v>
      </c>
      <c r="T126" s="22"/>
    </row>
    <row r="127" customFormat="false" ht="46.25" hidden="false" customHeight="false" outlineLevel="0" collapsed="false">
      <c r="A127" s="18" t="s">
        <v>1192</v>
      </c>
      <c r="B127" s="18" t="s">
        <v>906</v>
      </c>
      <c r="C127" s="18" t="s">
        <v>1193</v>
      </c>
      <c r="D127" s="18" t="s">
        <v>482</v>
      </c>
      <c r="E127" s="18" t="s">
        <v>473</v>
      </c>
      <c r="F127" s="19" t="s">
        <v>207</v>
      </c>
      <c r="G127" s="20" t="n">
        <f aca="false">IFERROR(INDEX('Semrush Data'!$C$2:$C$5000,MATCH(F127,'Semrush Data'!$A$2:$A$5000,0)),"")</f>
        <v>3600</v>
      </c>
      <c r="H127" s="18" t="n">
        <f aca="false">IFERROR(INDEX('Semrush Data'!$D$2:$D$5000,MATCH(F127,'Semrush Data'!$A$2:$A$5000,0)),"")</f>
        <v>21</v>
      </c>
      <c r="I127" s="18" t="s">
        <v>301</v>
      </c>
      <c r="J127" s="20" t="n">
        <f aca="false">IFERROR(INDEX('Semrush Data'!$C$2:$C$5000,MATCH(I127,'Semrush Data'!$A$2:$A$5000,0)),"")</f>
        <v>140</v>
      </c>
      <c r="K127" s="18" t="s">
        <v>483</v>
      </c>
      <c r="L127" s="18" t="s">
        <v>1194</v>
      </c>
      <c r="M127" s="18" t="s">
        <v>1195</v>
      </c>
      <c r="N127" s="21" t="n">
        <f aca="false">LEN(M127)</f>
        <v>53</v>
      </c>
      <c r="O127" s="22" t="s">
        <v>1196</v>
      </c>
      <c r="P127" s="21" t="n">
        <f aca="false">LEN(O127)</f>
        <v>160</v>
      </c>
      <c r="Q127" s="22" t="s">
        <v>1197</v>
      </c>
      <c r="R127" s="22" t="s">
        <v>1198</v>
      </c>
      <c r="S127" s="18" t="s">
        <v>382</v>
      </c>
      <c r="T127" s="22"/>
    </row>
    <row r="128" customFormat="false" ht="46.25" hidden="false" customHeight="false" outlineLevel="0" collapsed="false">
      <c r="A128" s="18" t="s">
        <v>1199</v>
      </c>
      <c r="B128" s="18" t="s">
        <v>906</v>
      </c>
      <c r="C128" s="18" t="s">
        <v>1200</v>
      </c>
      <c r="D128" s="18" t="s">
        <v>472</v>
      </c>
      <c r="E128" s="18" t="s">
        <v>473</v>
      </c>
      <c r="F128" s="19" t="s">
        <v>156</v>
      </c>
      <c r="G128" s="20" t="n">
        <f aca="false">IFERROR(INDEX('Semrush Data'!$C$2:$C$5000,MATCH(F128,'Semrush Data'!$A$2:$A$5000,0)),"")</f>
        <v>2400</v>
      </c>
      <c r="H128" s="18" t="n">
        <f aca="false">IFERROR(INDEX('Semrush Data'!$D$2:$D$5000,MATCH(F128,'Semrush Data'!$A$2:$A$5000,0)),"")</f>
        <v>13</v>
      </c>
      <c r="I128" s="18" t="s">
        <v>301</v>
      </c>
      <c r="J128" s="20" t="n">
        <f aca="false">IFERROR(INDEX('Semrush Data'!$C$2:$C$5000,MATCH(I128,'Semrush Data'!$A$2:$A$5000,0)),"")</f>
        <v>140</v>
      </c>
      <c r="K128" s="18" t="s">
        <v>474</v>
      </c>
      <c r="L128" s="18" t="s">
        <v>1201</v>
      </c>
      <c r="M128" s="18" t="s">
        <v>1202</v>
      </c>
      <c r="N128" s="21" t="n">
        <f aca="false">LEN(M128)</f>
        <v>51</v>
      </c>
      <c r="O128" s="22" t="s">
        <v>1203</v>
      </c>
      <c r="P128" s="21" t="n">
        <f aca="false">LEN(O128)</f>
        <v>158</v>
      </c>
      <c r="Q128" s="22" t="s">
        <v>1204</v>
      </c>
      <c r="R128" s="22" t="s">
        <v>1205</v>
      </c>
      <c r="S128" s="18" t="s">
        <v>382</v>
      </c>
      <c r="T128" s="22"/>
    </row>
    <row r="129" customFormat="false" ht="46.25" hidden="false" customHeight="false" outlineLevel="0" collapsed="false">
      <c r="A129" s="18" t="s">
        <v>1206</v>
      </c>
      <c r="B129" s="18" t="s">
        <v>906</v>
      </c>
      <c r="C129" s="18" t="s">
        <v>1207</v>
      </c>
      <c r="D129" s="18" t="s">
        <v>908</v>
      </c>
      <c r="E129" s="18" t="s">
        <v>435</v>
      </c>
      <c r="F129" s="19" t="s">
        <v>200</v>
      </c>
      <c r="G129" s="20" t="n">
        <f aca="false">IFERROR(INDEX('Semrush Data'!$C$2:$C$5000,MATCH(F129,'Semrush Data'!$A$2:$A$5000,0)),"")</f>
        <v>6600</v>
      </c>
      <c r="H129" s="18" t="n">
        <f aca="false">IFERROR(INDEX('Semrush Data'!$D$2:$D$5000,MATCH(F129,'Semrush Data'!$A$2:$A$5000,0)),"")</f>
        <v>12</v>
      </c>
      <c r="I129" s="18" t="s">
        <v>301</v>
      </c>
      <c r="J129" s="20" t="n">
        <f aca="false">IFERROR(INDEX('Semrush Data'!$C$2:$C$5000,MATCH(I129,'Semrush Data'!$A$2:$A$5000,0)),"")</f>
        <v>140</v>
      </c>
      <c r="K129" s="18" t="s">
        <v>909</v>
      </c>
      <c r="L129" s="18" t="s">
        <v>1208</v>
      </c>
      <c r="M129" s="18" t="s">
        <v>1209</v>
      </c>
      <c r="N129" s="21" t="n">
        <f aca="false">LEN(M129)</f>
        <v>31</v>
      </c>
      <c r="O129" s="22" t="s">
        <v>1210</v>
      </c>
      <c r="P129" s="21" t="n">
        <f aca="false">LEN(O129)</f>
        <v>159</v>
      </c>
      <c r="Q129" s="22" t="s">
        <v>1211</v>
      </c>
      <c r="R129" s="22" t="s">
        <v>1212</v>
      </c>
      <c r="S129" s="18" t="s">
        <v>382</v>
      </c>
      <c r="T129" s="22"/>
    </row>
    <row r="130" customFormat="false" ht="46.25" hidden="false" customHeight="false" outlineLevel="0" collapsed="false">
      <c r="A130" s="18" t="s">
        <v>1213</v>
      </c>
      <c r="B130" s="18" t="s">
        <v>906</v>
      </c>
      <c r="C130" s="18" t="s">
        <v>1214</v>
      </c>
      <c r="D130" s="18" t="s">
        <v>987</v>
      </c>
      <c r="E130" s="18" t="s">
        <v>407</v>
      </c>
      <c r="F130" s="19" t="s">
        <v>161</v>
      </c>
      <c r="G130" s="20" t="n">
        <f aca="false">IFERROR(INDEX('Semrush Data'!$C$2:$C$5000,MATCH(F130,'Semrush Data'!$A$2:$A$5000,0)),"")</f>
        <v>1300</v>
      </c>
      <c r="H130" s="18" t="n">
        <f aca="false">IFERROR(INDEX('Semrush Data'!$D$2:$D$5000,MATCH(F130,'Semrush Data'!$A$2:$A$5000,0)),"")</f>
        <v>11</v>
      </c>
      <c r="I130" s="18" t="s">
        <v>301</v>
      </c>
      <c r="J130" s="20" t="n">
        <f aca="false">IFERROR(INDEX('Semrush Data'!$C$2:$C$5000,MATCH(I130,'Semrush Data'!$A$2:$A$5000,0)),"")</f>
        <v>140</v>
      </c>
      <c r="K130" s="18" t="s">
        <v>506</v>
      </c>
      <c r="L130" s="18" t="s">
        <v>1215</v>
      </c>
      <c r="M130" s="18" t="s">
        <v>1216</v>
      </c>
      <c r="N130" s="21" t="n">
        <f aca="false">LEN(M130)</f>
        <v>57</v>
      </c>
      <c r="O130" s="22" t="s">
        <v>1217</v>
      </c>
      <c r="P130" s="21" t="n">
        <f aca="false">LEN(O130)</f>
        <v>153</v>
      </c>
      <c r="Q130" s="22" t="s">
        <v>1218</v>
      </c>
      <c r="R130" s="22"/>
      <c r="S130" s="18" t="s">
        <v>382</v>
      </c>
      <c r="T130" s="22"/>
    </row>
    <row r="131" customFormat="false" ht="46.25" hidden="false" customHeight="false" outlineLevel="0" collapsed="false">
      <c r="A131" s="18" t="s">
        <v>1219</v>
      </c>
      <c r="B131" s="18" t="s">
        <v>906</v>
      </c>
      <c r="C131" s="18" t="s">
        <v>1220</v>
      </c>
      <c r="D131" s="18" t="s">
        <v>482</v>
      </c>
      <c r="E131" s="18" t="s">
        <v>543</v>
      </c>
      <c r="F131" s="19" t="s">
        <v>160</v>
      </c>
      <c r="G131" s="20" t="n">
        <f aca="false">IFERROR(INDEX('Semrush Data'!$C$2:$C$5000,MATCH(F131,'Semrush Data'!$A$2:$A$5000,0)),"")</f>
        <v>1600</v>
      </c>
      <c r="H131" s="18" t="n">
        <f aca="false">IFERROR(INDEX('Semrush Data'!$D$2:$D$5000,MATCH(F131,'Semrush Data'!$A$2:$A$5000,0)),"")</f>
        <v>31</v>
      </c>
      <c r="I131" s="18" t="s">
        <v>301</v>
      </c>
      <c r="J131" s="20" t="n">
        <f aca="false">IFERROR(INDEX('Semrush Data'!$C$2:$C$5000,MATCH(I131,'Semrush Data'!$A$2:$A$5000,0)),"")</f>
        <v>140</v>
      </c>
      <c r="K131" s="18" t="s">
        <v>631</v>
      </c>
      <c r="L131" s="18" t="s">
        <v>1221</v>
      </c>
      <c r="M131" s="18" t="s">
        <v>1222</v>
      </c>
      <c r="N131" s="21" t="n">
        <f aca="false">LEN(M131)</f>
        <v>50</v>
      </c>
      <c r="O131" s="22" t="s">
        <v>1223</v>
      </c>
      <c r="P131" s="21" t="n">
        <f aca="false">LEN(O131)</f>
        <v>157</v>
      </c>
      <c r="Q131" s="22" t="s">
        <v>1224</v>
      </c>
      <c r="R131" s="22" t="s">
        <v>1225</v>
      </c>
      <c r="S131" s="18" t="s">
        <v>382</v>
      </c>
      <c r="T131" s="22"/>
    </row>
    <row r="132" customFormat="false" ht="35.05" hidden="false" customHeight="false" outlineLevel="0" collapsed="false">
      <c r="A132" s="18" t="s">
        <v>1226</v>
      </c>
      <c r="B132" s="18" t="s">
        <v>906</v>
      </c>
      <c r="C132" s="18" t="s">
        <v>1227</v>
      </c>
      <c r="D132" s="18" t="s">
        <v>456</v>
      </c>
      <c r="E132" s="18" t="s">
        <v>646</v>
      </c>
      <c r="F132" s="19" t="s">
        <v>201</v>
      </c>
      <c r="G132" s="20" t="n">
        <f aca="false">IFERROR(INDEX('Semrush Data'!$C$2:$C$5000,MATCH(F132,'Semrush Data'!$A$2:$A$5000,0)),"")</f>
        <v>5400</v>
      </c>
      <c r="H132" s="18" t="n">
        <f aca="false">IFERROR(INDEX('Semrush Data'!$D$2:$D$5000,MATCH(F132,'Semrush Data'!$A$2:$A$5000,0)),"")</f>
        <v>16</v>
      </c>
      <c r="I132" s="18" t="s">
        <v>301</v>
      </c>
      <c r="J132" s="20" t="n">
        <f aca="false">IFERROR(INDEX('Semrush Data'!$C$2:$C$5000,MATCH(I132,'Semrush Data'!$A$2:$A$5000,0)),"")</f>
        <v>140</v>
      </c>
      <c r="K132" s="18" t="s">
        <v>647</v>
      </c>
      <c r="L132" s="18" t="s">
        <v>1228</v>
      </c>
      <c r="M132" s="18" t="s">
        <v>1229</v>
      </c>
      <c r="N132" s="21" t="n">
        <f aca="false">LEN(M132)</f>
        <v>38</v>
      </c>
      <c r="O132" s="22" t="s">
        <v>1230</v>
      </c>
      <c r="P132" s="21" t="n">
        <f aca="false">LEN(O132)</f>
        <v>145</v>
      </c>
      <c r="Q132" s="22" t="s">
        <v>1231</v>
      </c>
      <c r="R132" s="22"/>
      <c r="S132" s="18" t="s">
        <v>382</v>
      </c>
      <c r="T132" s="22"/>
    </row>
    <row r="133" customFormat="false" ht="46.25" hidden="false" customHeight="false" outlineLevel="0" collapsed="false">
      <c r="A133" s="18" t="s">
        <v>1232</v>
      </c>
      <c r="B133" s="18" t="s">
        <v>906</v>
      </c>
      <c r="C133" s="18" t="s">
        <v>1233</v>
      </c>
      <c r="D133" s="18" t="s">
        <v>456</v>
      </c>
      <c r="E133" s="18" t="s">
        <v>457</v>
      </c>
      <c r="F133" s="19" t="s">
        <v>163</v>
      </c>
      <c r="G133" s="20" t="n">
        <f aca="false">IFERROR(INDEX('Semrush Data'!$C$2:$C$5000,MATCH(F133,'Semrush Data'!$A$2:$A$5000,0)),"")</f>
        <v>1000</v>
      </c>
      <c r="H133" s="18" t="n">
        <f aca="false">IFERROR(INDEX('Semrush Data'!$D$2:$D$5000,MATCH(F133,'Semrush Data'!$A$2:$A$5000,0)),"")</f>
        <v>41</v>
      </c>
      <c r="I133" s="18" t="s">
        <v>301</v>
      </c>
      <c r="J133" s="20" t="n">
        <f aca="false">IFERROR(INDEX('Semrush Data'!$C$2:$C$5000,MATCH(I133,'Semrush Data'!$A$2:$A$5000,0)),"")</f>
        <v>140</v>
      </c>
      <c r="K133" s="18" t="s">
        <v>458</v>
      </c>
      <c r="L133" s="18" t="s">
        <v>1234</v>
      </c>
      <c r="M133" s="18" t="s">
        <v>1235</v>
      </c>
      <c r="N133" s="21" t="n">
        <f aca="false">LEN(M133)</f>
        <v>55</v>
      </c>
      <c r="O133" s="22" t="s">
        <v>1236</v>
      </c>
      <c r="P133" s="21" t="n">
        <f aca="false">LEN(O133)</f>
        <v>158</v>
      </c>
      <c r="Q133" s="22" t="s">
        <v>1237</v>
      </c>
      <c r="R133" s="22" t="s">
        <v>1238</v>
      </c>
      <c r="S133" s="18" t="s">
        <v>382</v>
      </c>
      <c r="T133" s="22"/>
    </row>
    <row r="134" customFormat="false" ht="46.25" hidden="false" customHeight="false" outlineLevel="0" collapsed="false">
      <c r="A134" s="18" t="s">
        <v>1239</v>
      </c>
      <c r="B134" s="18" t="s">
        <v>906</v>
      </c>
      <c r="C134" s="18" t="s">
        <v>1240</v>
      </c>
      <c r="D134" s="18" t="s">
        <v>434</v>
      </c>
      <c r="E134" s="18" t="s">
        <v>376</v>
      </c>
      <c r="F134" s="19" t="s">
        <v>153</v>
      </c>
      <c r="G134" s="20" t="n">
        <f aca="false">IFERROR(INDEX('Semrush Data'!$C$2:$C$5000,MATCH(F134,'Semrush Data'!$A$2:$A$5000,0)),"")</f>
        <v>2900</v>
      </c>
      <c r="H134" s="18" t="n">
        <f aca="false">IFERROR(INDEX('Semrush Data'!$D$2:$D$5000,MATCH(F134,'Semrush Data'!$A$2:$A$5000,0)),"")</f>
        <v>29</v>
      </c>
      <c r="I134" s="18" t="s">
        <v>301</v>
      </c>
      <c r="J134" s="20" t="n">
        <f aca="false">IFERROR(INDEX('Semrush Data'!$C$2:$C$5000,MATCH(I134,'Semrush Data'!$A$2:$A$5000,0)),"")</f>
        <v>140</v>
      </c>
      <c r="K134" s="18" t="s">
        <v>436</v>
      </c>
      <c r="L134" s="18" t="s">
        <v>1241</v>
      </c>
      <c r="M134" s="18" t="s">
        <v>1242</v>
      </c>
      <c r="N134" s="21" t="n">
        <f aca="false">LEN(M134)</f>
        <v>59</v>
      </c>
      <c r="O134" s="22" t="s">
        <v>1243</v>
      </c>
      <c r="P134" s="21" t="n">
        <f aca="false">LEN(O134)</f>
        <v>155</v>
      </c>
      <c r="Q134" s="22" t="s">
        <v>1244</v>
      </c>
      <c r="R134" s="22" t="s">
        <v>1245</v>
      </c>
      <c r="S134" s="18" t="s">
        <v>382</v>
      </c>
      <c r="T134" s="22"/>
    </row>
    <row r="135" customFormat="false" ht="35.05" hidden="false" customHeight="false" outlineLevel="0" collapsed="false">
      <c r="A135" s="18" t="s">
        <v>1246</v>
      </c>
      <c r="B135" s="18" t="s">
        <v>906</v>
      </c>
      <c r="C135" s="18" t="s">
        <v>1247</v>
      </c>
      <c r="D135" s="18" t="s">
        <v>561</v>
      </c>
      <c r="E135" s="18" t="s">
        <v>586</v>
      </c>
      <c r="F135" s="19" t="s">
        <v>188</v>
      </c>
      <c r="G135" s="20" t="n">
        <f aca="false">IFERROR(INDEX('Semrush Data'!$C$2:$C$5000,MATCH(F135,'Semrush Data'!$A$2:$A$5000,0)),"")</f>
        <v>33100</v>
      </c>
      <c r="H135" s="18" t="n">
        <f aca="false">IFERROR(INDEX('Semrush Data'!$D$2:$D$5000,MATCH(F135,'Semrush Data'!$A$2:$A$5000,0)),"")</f>
        <v>44</v>
      </c>
      <c r="I135" s="18" t="s">
        <v>301</v>
      </c>
      <c r="J135" s="20" t="n">
        <f aca="false">IFERROR(INDEX('Semrush Data'!$C$2:$C$5000,MATCH(I135,'Semrush Data'!$A$2:$A$5000,0)),"")</f>
        <v>140</v>
      </c>
      <c r="K135" s="18" t="s">
        <v>1248</v>
      </c>
      <c r="L135" s="18" t="s">
        <v>1249</v>
      </c>
      <c r="M135" s="18" t="s">
        <v>1250</v>
      </c>
      <c r="N135" s="21" t="n">
        <f aca="false">LEN(M135)</f>
        <v>59</v>
      </c>
      <c r="O135" s="22" t="s">
        <v>1251</v>
      </c>
      <c r="P135" s="21" t="n">
        <f aca="false">LEN(O135)</f>
        <v>155</v>
      </c>
      <c r="Q135" s="22" t="s">
        <v>1252</v>
      </c>
      <c r="R135" s="22" t="s">
        <v>1253</v>
      </c>
      <c r="S135" s="18" t="s">
        <v>382</v>
      </c>
      <c r="T135" s="22" t="s">
        <v>393</v>
      </c>
    </row>
    <row r="136" customFormat="false" ht="57.45" hidden="false" customHeight="false" outlineLevel="0" collapsed="false">
      <c r="A136" s="18" t="s">
        <v>1254</v>
      </c>
      <c r="B136" s="18" t="s">
        <v>906</v>
      </c>
      <c r="C136" s="18" t="s">
        <v>1255</v>
      </c>
      <c r="D136" s="18" t="s">
        <v>947</v>
      </c>
      <c r="E136" s="18" t="s">
        <v>376</v>
      </c>
      <c r="F136" s="19" t="s">
        <v>196</v>
      </c>
      <c r="G136" s="20" t="n">
        <f aca="false">IFERROR(INDEX('Semrush Data'!$C$2:$C$5000,MATCH(F136,'Semrush Data'!$A$2:$A$5000,0)),"")</f>
        <v>9900</v>
      </c>
      <c r="H136" s="18" t="n">
        <f aca="false">IFERROR(INDEX('Semrush Data'!$D$2:$D$5000,MATCH(F136,'Semrush Data'!$A$2:$A$5000,0)),"")</f>
        <v>30</v>
      </c>
      <c r="I136" s="18" t="s">
        <v>301</v>
      </c>
      <c r="J136" s="20" t="n">
        <f aca="false">IFERROR(INDEX('Semrush Data'!$C$2:$C$5000,MATCH(I136,'Semrush Data'!$A$2:$A$5000,0)),"")</f>
        <v>140</v>
      </c>
      <c r="K136" s="18" t="s">
        <v>563</v>
      </c>
      <c r="L136" s="18" t="s">
        <v>1256</v>
      </c>
      <c r="M136" s="18" t="s">
        <v>1257</v>
      </c>
      <c r="N136" s="21" t="n">
        <f aca="false">LEN(M136)</f>
        <v>58</v>
      </c>
      <c r="O136" s="22" t="s">
        <v>1258</v>
      </c>
      <c r="P136" s="21" t="n">
        <f aca="false">LEN(O136)</f>
        <v>154</v>
      </c>
      <c r="Q136" s="22" t="s">
        <v>1259</v>
      </c>
      <c r="R136" s="22"/>
      <c r="S136" s="18" t="s">
        <v>382</v>
      </c>
      <c r="T136" s="22" t="s">
        <v>393</v>
      </c>
    </row>
    <row r="137" customFormat="false" ht="46.25" hidden="false" customHeight="false" outlineLevel="0" collapsed="false">
      <c r="A137" s="18" t="s">
        <v>1260</v>
      </c>
      <c r="B137" s="18" t="s">
        <v>906</v>
      </c>
      <c r="C137" s="18" t="s">
        <v>1261</v>
      </c>
      <c r="D137" s="18" t="s">
        <v>719</v>
      </c>
      <c r="E137" s="18" t="s">
        <v>457</v>
      </c>
      <c r="F137" s="19" t="s">
        <v>163</v>
      </c>
      <c r="G137" s="20" t="n">
        <f aca="false">IFERROR(INDEX('Semrush Data'!$C$2:$C$5000,MATCH(F137,'Semrush Data'!$A$2:$A$5000,0)),"")</f>
        <v>1000</v>
      </c>
      <c r="H137" s="18" t="n">
        <f aca="false">IFERROR(INDEX('Semrush Data'!$D$2:$D$5000,MATCH(F137,'Semrush Data'!$A$2:$A$5000,0)),"")</f>
        <v>41</v>
      </c>
      <c r="I137" s="18" t="s">
        <v>301</v>
      </c>
      <c r="J137" s="20" t="n">
        <f aca="false">IFERROR(INDEX('Semrush Data'!$C$2:$C$5000,MATCH(I137,'Semrush Data'!$A$2:$A$5000,0)),"")</f>
        <v>140</v>
      </c>
      <c r="K137" s="18" t="s">
        <v>458</v>
      </c>
      <c r="L137" s="18" t="s">
        <v>1262</v>
      </c>
      <c r="M137" s="18" t="s">
        <v>1263</v>
      </c>
      <c r="N137" s="21" t="n">
        <f aca="false">LEN(M137)</f>
        <v>55</v>
      </c>
      <c r="O137" s="22" t="s">
        <v>1264</v>
      </c>
      <c r="P137" s="21" t="n">
        <f aca="false">LEN(O137)</f>
        <v>151</v>
      </c>
      <c r="Q137" s="22" t="s">
        <v>1265</v>
      </c>
      <c r="R137" s="22"/>
      <c r="S137" s="18" t="s">
        <v>382</v>
      </c>
      <c r="T137" s="22" t="s">
        <v>393</v>
      </c>
    </row>
    <row r="138" customFormat="false" ht="46.25" hidden="false" customHeight="false" outlineLevel="0" collapsed="false">
      <c r="A138" s="18" t="s">
        <v>1266</v>
      </c>
      <c r="B138" s="18" t="s">
        <v>906</v>
      </c>
      <c r="C138" s="18" t="s">
        <v>1267</v>
      </c>
      <c r="D138" s="18" t="s">
        <v>719</v>
      </c>
      <c r="E138" s="18" t="s">
        <v>407</v>
      </c>
      <c r="F138" s="19" t="s">
        <v>161</v>
      </c>
      <c r="G138" s="20" t="n">
        <f aca="false">IFERROR(INDEX('Semrush Data'!$C$2:$C$5000,MATCH(F138,'Semrush Data'!$A$2:$A$5000,0)),"")</f>
        <v>1300</v>
      </c>
      <c r="H138" s="18" t="n">
        <f aca="false">IFERROR(INDEX('Semrush Data'!$D$2:$D$5000,MATCH(F138,'Semrush Data'!$A$2:$A$5000,0)),"")</f>
        <v>11</v>
      </c>
      <c r="I138" s="18" t="s">
        <v>301</v>
      </c>
      <c r="J138" s="20" t="n">
        <f aca="false">IFERROR(INDEX('Semrush Data'!$C$2:$C$5000,MATCH(I138,'Semrush Data'!$A$2:$A$5000,0)),"")</f>
        <v>140</v>
      </c>
      <c r="K138" s="18" t="s">
        <v>506</v>
      </c>
      <c r="L138" s="18" t="s">
        <v>1268</v>
      </c>
      <c r="M138" s="18" t="s">
        <v>1269</v>
      </c>
      <c r="N138" s="21" t="n">
        <f aca="false">LEN(M138)</f>
        <v>59</v>
      </c>
      <c r="O138" s="22" t="s">
        <v>1270</v>
      </c>
      <c r="P138" s="21" t="n">
        <f aca="false">LEN(O138)</f>
        <v>148</v>
      </c>
      <c r="Q138" s="22" t="s">
        <v>1271</v>
      </c>
      <c r="R138" s="22"/>
      <c r="S138" s="18" t="s">
        <v>382</v>
      </c>
      <c r="T138" s="22" t="s">
        <v>393</v>
      </c>
    </row>
    <row r="139" customFormat="false" ht="57.45" hidden="false" customHeight="false" outlineLevel="0" collapsed="false">
      <c r="A139" s="18" t="s">
        <v>1272</v>
      </c>
      <c r="B139" s="18" t="s">
        <v>906</v>
      </c>
      <c r="C139" s="18" t="s">
        <v>1273</v>
      </c>
      <c r="D139" s="18" t="s">
        <v>719</v>
      </c>
      <c r="E139" s="18" t="s">
        <v>749</v>
      </c>
      <c r="F139" s="19" t="s">
        <v>159</v>
      </c>
      <c r="G139" s="20" t="n">
        <f aca="false">IFERROR(INDEX('Semrush Data'!$C$2:$C$5000,MATCH(F139,'Semrush Data'!$A$2:$A$5000,0)),"")</f>
        <v>1600</v>
      </c>
      <c r="H139" s="18" t="n">
        <f aca="false">IFERROR(INDEX('Semrush Data'!$D$2:$D$5000,MATCH(F139,'Semrush Data'!$A$2:$A$5000,0)),"")</f>
        <v>33</v>
      </c>
      <c r="I139" s="18" t="s">
        <v>301</v>
      </c>
      <c r="J139" s="20" t="n">
        <f aca="false">IFERROR(INDEX('Semrush Data'!$C$2:$C$5000,MATCH(I139,'Semrush Data'!$A$2:$A$5000,0)),"")</f>
        <v>140</v>
      </c>
      <c r="K139" s="18" t="s">
        <v>426</v>
      </c>
      <c r="L139" s="18" t="s">
        <v>1274</v>
      </c>
      <c r="M139" s="18" t="s">
        <v>1275</v>
      </c>
      <c r="N139" s="21" t="n">
        <f aca="false">LEN(M139)</f>
        <v>60</v>
      </c>
      <c r="O139" s="22" t="s">
        <v>1276</v>
      </c>
      <c r="P139" s="21" t="n">
        <f aca="false">LEN(O139)</f>
        <v>156</v>
      </c>
      <c r="Q139" s="22" t="s">
        <v>1277</v>
      </c>
      <c r="R139" s="22"/>
      <c r="S139" s="18" t="s">
        <v>382</v>
      </c>
      <c r="T139" s="22" t="s">
        <v>393</v>
      </c>
    </row>
    <row r="140" customFormat="false" ht="57.45" hidden="false" customHeight="false" outlineLevel="0" collapsed="false">
      <c r="A140" s="18" t="s">
        <v>1278</v>
      </c>
      <c r="B140" s="18" t="s">
        <v>906</v>
      </c>
      <c r="C140" s="18" t="s">
        <v>1279</v>
      </c>
      <c r="D140" s="18" t="s">
        <v>719</v>
      </c>
      <c r="E140" s="18" t="s">
        <v>749</v>
      </c>
      <c r="F140" s="19" t="s">
        <v>159</v>
      </c>
      <c r="G140" s="20" t="n">
        <f aca="false">IFERROR(INDEX('Semrush Data'!$C$2:$C$5000,MATCH(F140,'Semrush Data'!$A$2:$A$5000,0)),"")</f>
        <v>1600</v>
      </c>
      <c r="H140" s="18" t="n">
        <f aca="false">IFERROR(INDEX('Semrush Data'!$D$2:$D$5000,MATCH(F140,'Semrush Data'!$A$2:$A$5000,0)),"")</f>
        <v>33</v>
      </c>
      <c r="I140" s="18" t="s">
        <v>301</v>
      </c>
      <c r="J140" s="20" t="n">
        <f aca="false">IFERROR(INDEX('Semrush Data'!$C$2:$C$5000,MATCH(I140,'Semrush Data'!$A$2:$A$5000,0)),"")</f>
        <v>140</v>
      </c>
      <c r="K140" s="18" t="s">
        <v>426</v>
      </c>
      <c r="L140" s="18" t="s">
        <v>1280</v>
      </c>
      <c r="M140" s="18" t="s">
        <v>1281</v>
      </c>
      <c r="N140" s="21" t="n">
        <f aca="false">LEN(M140)</f>
        <v>52</v>
      </c>
      <c r="O140" s="22" t="s">
        <v>1282</v>
      </c>
      <c r="P140" s="21" t="n">
        <f aca="false">LEN(O140)</f>
        <v>159</v>
      </c>
      <c r="Q140" s="22" t="s">
        <v>1283</v>
      </c>
      <c r="R140" s="22"/>
      <c r="S140" s="18" t="s">
        <v>382</v>
      </c>
      <c r="T140" s="22"/>
    </row>
    <row r="141" customFormat="false" ht="46.25" hidden="false" customHeight="false" outlineLevel="0" collapsed="false">
      <c r="A141" s="18" t="s">
        <v>1284</v>
      </c>
      <c r="B141" s="18" t="s">
        <v>906</v>
      </c>
      <c r="C141" s="18" t="s">
        <v>1285</v>
      </c>
      <c r="D141" s="18" t="s">
        <v>719</v>
      </c>
      <c r="E141" s="18" t="s">
        <v>435</v>
      </c>
      <c r="F141" s="19" t="s">
        <v>224</v>
      </c>
      <c r="G141" s="20" t="n">
        <f aca="false">IFERROR(INDEX('Semrush Data'!$C$2:$C$5000,MATCH(F141,'Semrush Data'!$A$2:$A$5000,0)),"")</f>
        <v>1300</v>
      </c>
      <c r="H141" s="18" t="n">
        <f aca="false">IFERROR(INDEX('Semrush Data'!$D$2:$D$5000,MATCH(F141,'Semrush Data'!$A$2:$A$5000,0)),"")</f>
        <v>16</v>
      </c>
      <c r="I141" s="18" t="s">
        <v>301</v>
      </c>
      <c r="J141" s="20" t="n">
        <f aca="false">IFERROR(INDEX('Semrush Data'!$C$2:$C$5000,MATCH(I141,'Semrush Data'!$A$2:$A$5000,0)),"")</f>
        <v>140</v>
      </c>
      <c r="K141" s="18" t="s">
        <v>720</v>
      </c>
      <c r="L141" s="18" t="s">
        <v>1286</v>
      </c>
      <c r="M141" s="18" t="s">
        <v>1287</v>
      </c>
      <c r="N141" s="21" t="n">
        <f aca="false">LEN(M141)</f>
        <v>60</v>
      </c>
      <c r="O141" s="22" t="s">
        <v>1288</v>
      </c>
      <c r="P141" s="21" t="n">
        <f aca="false">LEN(O141)</f>
        <v>154</v>
      </c>
      <c r="Q141" s="22" t="s">
        <v>1289</v>
      </c>
      <c r="R141" s="22"/>
      <c r="S141" s="18" t="s">
        <v>382</v>
      </c>
      <c r="T141" s="22"/>
    </row>
    <row r="142" customFormat="false" ht="46.25" hidden="false" customHeight="false" outlineLevel="0" collapsed="false">
      <c r="A142" s="18" t="s">
        <v>1290</v>
      </c>
      <c r="B142" s="18" t="s">
        <v>906</v>
      </c>
      <c r="C142" s="18" t="s">
        <v>1291</v>
      </c>
      <c r="D142" s="18" t="s">
        <v>719</v>
      </c>
      <c r="E142" s="18" t="s">
        <v>407</v>
      </c>
      <c r="F142" s="19" t="s">
        <v>161</v>
      </c>
      <c r="G142" s="20" t="n">
        <f aca="false">IFERROR(INDEX('Semrush Data'!$C$2:$C$5000,MATCH(F142,'Semrush Data'!$A$2:$A$5000,0)),"")</f>
        <v>1300</v>
      </c>
      <c r="H142" s="18" t="n">
        <f aca="false">IFERROR(INDEX('Semrush Data'!$D$2:$D$5000,MATCH(F142,'Semrush Data'!$A$2:$A$5000,0)),"")</f>
        <v>11</v>
      </c>
      <c r="I142" s="18" t="s">
        <v>301</v>
      </c>
      <c r="J142" s="20" t="n">
        <f aca="false">IFERROR(INDEX('Semrush Data'!$C$2:$C$5000,MATCH(I142,'Semrush Data'!$A$2:$A$5000,0)),"")</f>
        <v>140</v>
      </c>
      <c r="K142" s="18" t="s">
        <v>506</v>
      </c>
      <c r="L142" s="18" t="s">
        <v>1292</v>
      </c>
      <c r="M142" s="18" t="s">
        <v>1293</v>
      </c>
      <c r="N142" s="21" t="n">
        <f aca="false">LEN(M142)</f>
        <v>52</v>
      </c>
      <c r="O142" s="22" t="s">
        <v>1294</v>
      </c>
      <c r="P142" s="21" t="n">
        <f aca="false">LEN(O142)</f>
        <v>159</v>
      </c>
      <c r="Q142" s="22" t="s">
        <v>1295</v>
      </c>
      <c r="R142" s="22"/>
      <c r="S142" s="18" t="s">
        <v>382</v>
      </c>
      <c r="T142" s="22"/>
    </row>
    <row r="143" customFormat="false" ht="46.25" hidden="false" customHeight="false" outlineLevel="0" collapsed="false">
      <c r="A143" s="18" t="s">
        <v>1296</v>
      </c>
      <c r="B143" s="18" t="s">
        <v>906</v>
      </c>
      <c r="C143" s="18" t="s">
        <v>1297</v>
      </c>
      <c r="D143" s="18" t="s">
        <v>719</v>
      </c>
      <c r="E143" s="18" t="s">
        <v>435</v>
      </c>
      <c r="F143" s="19" t="s">
        <v>224</v>
      </c>
      <c r="G143" s="20" t="n">
        <f aca="false">IFERROR(INDEX('Semrush Data'!$C$2:$C$5000,MATCH(F143,'Semrush Data'!$A$2:$A$5000,0)),"")</f>
        <v>1300</v>
      </c>
      <c r="H143" s="18" t="n">
        <f aca="false">IFERROR(INDEX('Semrush Data'!$D$2:$D$5000,MATCH(F143,'Semrush Data'!$A$2:$A$5000,0)),"")</f>
        <v>16</v>
      </c>
      <c r="I143" s="18" t="s">
        <v>301</v>
      </c>
      <c r="J143" s="20" t="n">
        <f aca="false">IFERROR(INDEX('Semrush Data'!$C$2:$C$5000,MATCH(I143,'Semrush Data'!$A$2:$A$5000,0)),"")</f>
        <v>140</v>
      </c>
      <c r="K143" s="18" t="s">
        <v>720</v>
      </c>
      <c r="L143" s="18" t="s">
        <v>1298</v>
      </c>
      <c r="M143" s="18" t="s">
        <v>1299</v>
      </c>
      <c r="N143" s="21" t="n">
        <f aca="false">LEN(M143)</f>
        <v>55</v>
      </c>
      <c r="O143" s="22" t="s">
        <v>1300</v>
      </c>
      <c r="P143" s="21" t="n">
        <f aca="false">LEN(O143)</f>
        <v>149</v>
      </c>
      <c r="Q143" s="22" t="s">
        <v>1301</v>
      </c>
      <c r="R143" s="22"/>
      <c r="S143" s="18" t="s">
        <v>382</v>
      </c>
      <c r="T143" s="22"/>
    </row>
    <row r="144" customFormat="false" ht="46.25" hidden="false" customHeight="false" outlineLevel="0" collapsed="false">
      <c r="A144" s="18" t="s">
        <v>1302</v>
      </c>
      <c r="B144" s="18" t="s">
        <v>906</v>
      </c>
      <c r="C144" s="18" t="s">
        <v>1303</v>
      </c>
      <c r="D144" s="18" t="s">
        <v>719</v>
      </c>
      <c r="E144" s="18" t="s">
        <v>407</v>
      </c>
      <c r="F144" s="19" t="s">
        <v>161</v>
      </c>
      <c r="G144" s="20" t="n">
        <f aca="false">IFERROR(INDEX('Semrush Data'!$C$2:$C$5000,MATCH(F144,'Semrush Data'!$A$2:$A$5000,0)),"")</f>
        <v>1300</v>
      </c>
      <c r="H144" s="18" t="n">
        <f aca="false">IFERROR(INDEX('Semrush Data'!$D$2:$D$5000,MATCH(F144,'Semrush Data'!$A$2:$A$5000,0)),"")</f>
        <v>11</v>
      </c>
      <c r="I144" s="18" t="s">
        <v>301</v>
      </c>
      <c r="J144" s="20" t="n">
        <f aca="false">IFERROR(INDEX('Semrush Data'!$C$2:$C$5000,MATCH(I144,'Semrush Data'!$A$2:$A$5000,0)),"")</f>
        <v>140</v>
      </c>
      <c r="K144" s="18" t="s">
        <v>506</v>
      </c>
      <c r="L144" s="18" t="s">
        <v>1304</v>
      </c>
      <c r="M144" s="18" t="s">
        <v>1305</v>
      </c>
      <c r="N144" s="21" t="n">
        <f aca="false">LEN(M144)</f>
        <v>59</v>
      </c>
      <c r="O144" s="22" t="s">
        <v>1306</v>
      </c>
      <c r="P144" s="21" t="n">
        <f aca="false">LEN(O144)</f>
        <v>148</v>
      </c>
      <c r="Q144" s="22" t="s">
        <v>1307</v>
      </c>
      <c r="R144" s="22"/>
      <c r="S144" s="18" t="s">
        <v>382</v>
      </c>
      <c r="T144" s="22" t="s">
        <v>393</v>
      </c>
    </row>
    <row r="145" customFormat="false" ht="46.25" hidden="false" customHeight="false" outlineLevel="0" collapsed="false">
      <c r="A145" s="18" t="s">
        <v>1308</v>
      </c>
      <c r="B145" s="18" t="s">
        <v>906</v>
      </c>
      <c r="C145" s="18" t="s">
        <v>1309</v>
      </c>
      <c r="D145" s="18" t="s">
        <v>719</v>
      </c>
      <c r="E145" s="18" t="s">
        <v>621</v>
      </c>
      <c r="F145" s="19" t="s">
        <v>156</v>
      </c>
      <c r="G145" s="20" t="n">
        <f aca="false">IFERROR(INDEX('Semrush Data'!$C$2:$C$5000,MATCH(F145,'Semrush Data'!$A$2:$A$5000,0)),"")</f>
        <v>2400</v>
      </c>
      <c r="H145" s="18" t="n">
        <f aca="false">IFERROR(INDEX('Semrush Data'!$D$2:$D$5000,MATCH(F145,'Semrush Data'!$A$2:$A$5000,0)),"")</f>
        <v>13</v>
      </c>
      <c r="I145" s="18" t="s">
        <v>301</v>
      </c>
      <c r="J145" s="20" t="n">
        <f aca="false">IFERROR(INDEX('Semrush Data'!$C$2:$C$5000,MATCH(I145,'Semrush Data'!$A$2:$A$5000,0)),"")</f>
        <v>140</v>
      </c>
      <c r="K145" s="18" t="s">
        <v>474</v>
      </c>
      <c r="L145" s="18" t="s">
        <v>1310</v>
      </c>
      <c r="M145" s="18" t="s">
        <v>1311</v>
      </c>
      <c r="N145" s="21" t="n">
        <f aca="false">LEN(M145)</f>
        <v>55</v>
      </c>
      <c r="O145" s="22" t="s">
        <v>1312</v>
      </c>
      <c r="P145" s="21" t="n">
        <f aca="false">LEN(O145)</f>
        <v>158</v>
      </c>
      <c r="Q145" s="22" t="s">
        <v>1313</v>
      </c>
      <c r="R145" s="22"/>
      <c r="S145" s="18" t="s">
        <v>382</v>
      </c>
      <c r="T145" s="22"/>
    </row>
    <row r="146" customFormat="false" ht="46.25" hidden="false" customHeight="false" outlineLevel="0" collapsed="false">
      <c r="A146" s="18" t="s">
        <v>1314</v>
      </c>
      <c r="B146" s="18" t="s">
        <v>906</v>
      </c>
      <c r="C146" s="18" t="s">
        <v>1315</v>
      </c>
      <c r="D146" s="18" t="s">
        <v>719</v>
      </c>
      <c r="E146" s="18" t="s">
        <v>621</v>
      </c>
      <c r="F146" s="19" t="s">
        <v>156</v>
      </c>
      <c r="G146" s="20" t="n">
        <f aca="false">IFERROR(INDEX('Semrush Data'!$C$2:$C$5000,MATCH(F146,'Semrush Data'!$A$2:$A$5000,0)),"")</f>
        <v>2400</v>
      </c>
      <c r="H146" s="18" t="n">
        <f aca="false">IFERROR(INDEX('Semrush Data'!$D$2:$D$5000,MATCH(F146,'Semrush Data'!$A$2:$A$5000,0)),"")</f>
        <v>13</v>
      </c>
      <c r="I146" s="18" t="s">
        <v>301</v>
      </c>
      <c r="J146" s="20" t="n">
        <f aca="false">IFERROR(INDEX('Semrush Data'!$C$2:$C$5000,MATCH(I146,'Semrush Data'!$A$2:$A$5000,0)),"")</f>
        <v>140</v>
      </c>
      <c r="K146" s="18" t="s">
        <v>474</v>
      </c>
      <c r="L146" s="18" t="s">
        <v>1316</v>
      </c>
      <c r="M146" s="18" t="s">
        <v>1317</v>
      </c>
      <c r="N146" s="21" t="n">
        <f aca="false">LEN(M146)</f>
        <v>55</v>
      </c>
      <c r="O146" s="22" t="s">
        <v>1318</v>
      </c>
      <c r="P146" s="21" t="n">
        <f aca="false">LEN(O146)</f>
        <v>155</v>
      </c>
      <c r="Q146" s="22" t="s">
        <v>1319</v>
      </c>
      <c r="R146" s="22"/>
      <c r="S146" s="18" t="s">
        <v>382</v>
      </c>
      <c r="T146" s="22"/>
    </row>
    <row r="147" customFormat="false" ht="46.25" hidden="false" customHeight="false" outlineLevel="0" collapsed="false">
      <c r="A147" s="18" t="s">
        <v>1320</v>
      </c>
      <c r="B147" s="18" t="s">
        <v>906</v>
      </c>
      <c r="C147" s="18" t="s">
        <v>1321</v>
      </c>
      <c r="D147" s="18" t="s">
        <v>719</v>
      </c>
      <c r="E147" s="18" t="s">
        <v>407</v>
      </c>
      <c r="F147" s="19" t="s">
        <v>161</v>
      </c>
      <c r="G147" s="20" t="n">
        <f aca="false">IFERROR(INDEX('Semrush Data'!$C$2:$C$5000,MATCH(F147,'Semrush Data'!$A$2:$A$5000,0)),"")</f>
        <v>1300</v>
      </c>
      <c r="H147" s="18" t="n">
        <f aca="false">IFERROR(INDEX('Semrush Data'!$D$2:$D$5000,MATCH(F147,'Semrush Data'!$A$2:$A$5000,0)),"")</f>
        <v>11</v>
      </c>
      <c r="I147" s="18" t="s">
        <v>301</v>
      </c>
      <c r="J147" s="20" t="n">
        <f aca="false">IFERROR(INDEX('Semrush Data'!$C$2:$C$5000,MATCH(I147,'Semrush Data'!$A$2:$A$5000,0)),"")</f>
        <v>140</v>
      </c>
      <c r="K147" s="18" t="s">
        <v>506</v>
      </c>
      <c r="L147" s="18" t="s">
        <v>1322</v>
      </c>
      <c r="M147" s="18" t="s">
        <v>1323</v>
      </c>
      <c r="N147" s="21" t="n">
        <f aca="false">LEN(M147)</f>
        <v>60</v>
      </c>
      <c r="O147" s="22" t="s">
        <v>1324</v>
      </c>
      <c r="P147" s="21" t="n">
        <f aca="false">LEN(O147)</f>
        <v>156</v>
      </c>
      <c r="Q147" s="22" t="s">
        <v>1325</v>
      </c>
      <c r="R147" s="22"/>
      <c r="S147" s="18" t="s">
        <v>382</v>
      </c>
      <c r="T147" s="22"/>
    </row>
    <row r="148" customFormat="false" ht="46.25" hidden="false" customHeight="false" outlineLevel="0" collapsed="false">
      <c r="A148" s="18" t="s">
        <v>1326</v>
      </c>
      <c r="B148" s="18" t="s">
        <v>906</v>
      </c>
      <c r="C148" s="18" t="s">
        <v>1327</v>
      </c>
      <c r="D148" s="18" t="s">
        <v>719</v>
      </c>
      <c r="E148" s="18" t="s">
        <v>621</v>
      </c>
      <c r="F148" s="19" t="s">
        <v>156</v>
      </c>
      <c r="G148" s="20" t="n">
        <f aca="false">IFERROR(INDEX('Semrush Data'!$C$2:$C$5000,MATCH(F148,'Semrush Data'!$A$2:$A$5000,0)),"")</f>
        <v>2400</v>
      </c>
      <c r="H148" s="18" t="n">
        <f aca="false">IFERROR(INDEX('Semrush Data'!$D$2:$D$5000,MATCH(F148,'Semrush Data'!$A$2:$A$5000,0)),"")</f>
        <v>13</v>
      </c>
      <c r="I148" s="18" t="s">
        <v>301</v>
      </c>
      <c r="J148" s="20" t="n">
        <f aca="false">IFERROR(INDEX('Semrush Data'!$C$2:$C$5000,MATCH(I148,'Semrush Data'!$A$2:$A$5000,0)),"")</f>
        <v>140</v>
      </c>
      <c r="K148" s="18" t="s">
        <v>474</v>
      </c>
      <c r="L148" s="18" t="s">
        <v>1328</v>
      </c>
      <c r="M148" s="18" t="s">
        <v>1329</v>
      </c>
      <c r="N148" s="21" t="n">
        <f aca="false">LEN(M148)</f>
        <v>51</v>
      </c>
      <c r="O148" s="22" t="s">
        <v>1330</v>
      </c>
      <c r="P148" s="21" t="n">
        <f aca="false">LEN(O148)</f>
        <v>158</v>
      </c>
      <c r="Q148" s="22" t="s">
        <v>1331</v>
      </c>
      <c r="R148" s="22"/>
      <c r="S148" s="18" t="s">
        <v>382</v>
      </c>
      <c r="T148" s="22"/>
    </row>
    <row r="149" customFormat="false" ht="46.25" hidden="false" customHeight="false" outlineLevel="0" collapsed="false">
      <c r="A149" s="18" t="s">
        <v>1332</v>
      </c>
      <c r="B149" s="18" t="s">
        <v>906</v>
      </c>
      <c r="C149" s="18" t="s">
        <v>1333</v>
      </c>
      <c r="D149" s="18" t="s">
        <v>719</v>
      </c>
      <c r="E149" s="18" t="s">
        <v>742</v>
      </c>
      <c r="F149" s="19" t="s">
        <v>211</v>
      </c>
      <c r="G149" s="20" t="n">
        <f aca="false">IFERROR(INDEX('Semrush Data'!$C$2:$C$5000,MATCH(F149,'Semrush Data'!$A$2:$A$5000,0)),"")</f>
        <v>3600</v>
      </c>
      <c r="H149" s="18" t="n">
        <f aca="false">IFERROR(INDEX('Semrush Data'!$D$2:$D$5000,MATCH(F149,'Semrush Data'!$A$2:$A$5000,0)),"")</f>
        <v>22</v>
      </c>
      <c r="I149" s="18" t="s">
        <v>301</v>
      </c>
      <c r="J149" s="20" t="n">
        <f aca="false">IFERROR(INDEX('Semrush Data'!$C$2:$C$5000,MATCH(I149,'Semrush Data'!$A$2:$A$5000,0)),"")</f>
        <v>140</v>
      </c>
      <c r="K149" s="18" t="s">
        <v>743</v>
      </c>
      <c r="L149" s="18" t="s">
        <v>1334</v>
      </c>
      <c r="M149" s="18" t="s">
        <v>1335</v>
      </c>
      <c r="N149" s="21" t="n">
        <f aca="false">LEN(M149)</f>
        <v>55</v>
      </c>
      <c r="O149" s="22" t="s">
        <v>1336</v>
      </c>
      <c r="P149" s="21" t="n">
        <f aca="false">LEN(O149)</f>
        <v>149</v>
      </c>
      <c r="Q149" s="22" t="s">
        <v>1337</v>
      </c>
      <c r="R149" s="22"/>
      <c r="S149" s="18" t="s">
        <v>382</v>
      </c>
      <c r="T149" s="22"/>
    </row>
    <row r="150" customFormat="false" ht="46.25" hidden="false" customHeight="false" outlineLevel="0" collapsed="false">
      <c r="A150" s="18" t="s">
        <v>1338</v>
      </c>
      <c r="B150" s="18" t="s">
        <v>906</v>
      </c>
      <c r="C150" s="18" t="s">
        <v>1339</v>
      </c>
      <c r="D150" s="18" t="s">
        <v>719</v>
      </c>
      <c r="E150" s="18" t="s">
        <v>407</v>
      </c>
      <c r="F150" s="19" t="s">
        <v>161</v>
      </c>
      <c r="G150" s="20" t="n">
        <f aca="false">IFERROR(INDEX('Semrush Data'!$C$2:$C$5000,MATCH(F150,'Semrush Data'!$A$2:$A$5000,0)),"")</f>
        <v>1300</v>
      </c>
      <c r="H150" s="18" t="n">
        <f aca="false">IFERROR(INDEX('Semrush Data'!$D$2:$D$5000,MATCH(F150,'Semrush Data'!$A$2:$A$5000,0)),"")</f>
        <v>11</v>
      </c>
      <c r="I150" s="18" t="s">
        <v>301</v>
      </c>
      <c r="J150" s="20" t="n">
        <f aca="false">IFERROR(INDEX('Semrush Data'!$C$2:$C$5000,MATCH(I150,'Semrush Data'!$A$2:$A$5000,0)),"")</f>
        <v>140</v>
      </c>
      <c r="K150" s="18" t="s">
        <v>506</v>
      </c>
      <c r="L150" s="18" t="s">
        <v>1340</v>
      </c>
      <c r="M150" s="18" t="s">
        <v>1341</v>
      </c>
      <c r="N150" s="21" t="n">
        <f aca="false">LEN(M150)</f>
        <v>51</v>
      </c>
      <c r="O150" s="22" t="s">
        <v>1342</v>
      </c>
      <c r="P150" s="21" t="n">
        <f aca="false">LEN(O150)</f>
        <v>158</v>
      </c>
      <c r="Q150" s="22" t="s">
        <v>1343</v>
      </c>
      <c r="R150" s="22"/>
      <c r="S150" s="18" t="s">
        <v>382</v>
      </c>
      <c r="T150" s="22"/>
    </row>
    <row r="151" customFormat="false" ht="46.25" hidden="false" customHeight="false" outlineLevel="0" collapsed="false">
      <c r="A151" s="18" t="s">
        <v>1344</v>
      </c>
      <c r="B151" s="18" t="s">
        <v>906</v>
      </c>
      <c r="C151" s="18" t="s">
        <v>1345</v>
      </c>
      <c r="D151" s="18" t="s">
        <v>719</v>
      </c>
      <c r="E151" s="18" t="s">
        <v>435</v>
      </c>
      <c r="F151" s="19" t="s">
        <v>224</v>
      </c>
      <c r="G151" s="20" t="n">
        <f aca="false">IFERROR(INDEX('Semrush Data'!$C$2:$C$5000,MATCH(F151,'Semrush Data'!$A$2:$A$5000,0)),"")</f>
        <v>1300</v>
      </c>
      <c r="H151" s="18" t="n">
        <f aca="false">IFERROR(INDEX('Semrush Data'!$D$2:$D$5000,MATCH(F151,'Semrush Data'!$A$2:$A$5000,0)),"")</f>
        <v>16</v>
      </c>
      <c r="I151" s="18" t="s">
        <v>301</v>
      </c>
      <c r="J151" s="20" t="n">
        <f aca="false">IFERROR(INDEX('Semrush Data'!$C$2:$C$5000,MATCH(I151,'Semrush Data'!$A$2:$A$5000,0)),"")</f>
        <v>140</v>
      </c>
      <c r="K151" s="18" t="s">
        <v>720</v>
      </c>
      <c r="L151" s="18" t="s">
        <v>1346</v>
      </c>
      <c r="M151" s="18" t="s">
        <v>1347</v>
      </c>
      <c r="N151" s="21" t="n">
        <f aca="false">LEN(M151)</f>
        <v>58</v>
      </c>
      <c r="O151" s="22" t="s">
        <v>1348</v>
      </c>
      <c r="P151" s="21" t="n">
        <f aca="false">LEN(O151)</f>
        <v>159</v>
      </c>
      <c r="Q151" s="22" t="s">
        <v>1349</v>
      </c>
      <c r="R151" s="22"/>
      <c r="S151" s="18" t="s">
        <v>382</v>
      </c>
      <c r="T151" s="22"/>
    </row>
    <row r="152" customFormat="false" ht="46.25" hidden="false" customHeight="false" outlineLevel="0" collapsed="false">
      <c r="A152" s="18" t="s">
        <v>1350</v>
      </c>
      <c r="B152" s="18" t="s">
        <v>906</v>
      </c>
      <c r="C152" s="18" t="s">
        <v>1351</v>
      </c>
      <c r="D152" s="18" t="s">
        <v>719</v>
      </c>
      <c r="E152" s="18" t="s">
        <v>621</v>
      </c>
      <c r="F152" s="19" t="s">
        <v>156</v>
      </c>
      <c r="G152" s="20" t="n">
        <f aca="false">IFERROR(INDEX('Semrush Data'!$C$2:$C$5000,MATCH(F152,'Semrush Data'!$A$2:$A$5000,0)),"")</f>
        <v>2400</v>
      </c>
      <c r="H152" s="18" t="n">
        <f aca="false">IFERROR(INDEX('Semrush Data'!$D$2:$D$5000,MATCH(F152,'Semrush Data'!$A$2:$A$5000,0)),"")</f>
        <v>13</v>
      </c>
      <c r="I152" s="18" t="s">
        <v>301</v>
      </c>
      <c r="J152" s="20" t="n">
        <f aca="false">IFERROR(INDEX('Semrush Data'!$C$2:$C$5000,MATCH(I152,'Semrush Data'!$A$2:$A$5000,0)),"")</f>
        <v>140</v>
      </c>
      <c r="K152" s="18" t="s">
        <v>474</v>
      </c>
      <c r="L152" s="18" t="s">
        <v>1352</v>
      </c>
      <c r="M152" s="18" t="s">
        <v>1353</v>
      </c>
      <c r="N152" s="21" t="n">
        <f aca="false">LEN(M152)</f>
        <v>55</v>
      </c>
      <c r="O152" s="22" t="s">
        <v>1354</v>
      </c>
      <c r="P152" s="21" t="n">
        <f aca="false">LEN(O152)</f>
        <v>151</v>
      </c>
      <c r="Q152" s="22" t="s">
        <v>1355</v>
      </c>
      <c r="R152" s="22" t="s">
        <v>1356</v>
      </c>
      <c r="S152" s="18" t="s">
        <v>382</v>
      </c>
      <c r="T152" s="22" t="s">
        <v>393</v>
      </c>
    </row>
    <row r="153" customFormat="false" ht="46.25" hidden="false" customHeight="false" outlineLevel="0" collapsed="false">
      <c r="A153" s="18" t="s">
        <v>1357</v>
      </c>
      <c r="B153" s="18" t="s">
        <v>906</v>
      </c>
      <c r="C153" s="18" t="s">
        <v>1358</v>
      </c>
      <c r="D153" s="18" t="s">
        <v>719</v>
      </c>
      <c r="E153" s="18" t="s">
        <v>858</v>
      </c>
      <c r="F153" s="19" t="s">
        <v>211</v>
      </c>
      <c r="G153" s="20" t="n">
        <f aca="false">IFERROR(INDEX('Semrush Data'!$C$2:$C$5000,MATCH(F153,'Semrush Data'!$A$2:$A$5000,0)),"")</f>
        <v>3600</v>
      </c>
      <c r="H153" s="18" t="n">
        <f aca="false">IFERROR(INDEX('Semrush Data'!$D$2:$D$5000,MATCH(F153,'Semrush Data'!$A$2:$A$5000,0)),"")</f>
        <v>22</v>
      </c>
      <c r="I153" s="18" t="s">
        <v>301</v>
      </c>
      <c r="J153" s="20" t="n">
        <f aca="false">IFERROR(INDEX('Semrush Data'!$C$2:$C$5000,MATCH(I153,'Semrush Data'!$A$2:$A$5000,0)),"")</f>
        <v>140</v>
      </c>
      <c r="K153" s="18" t="s">
        <v>743</v>
      </c>
      <c r="L153" s="18" t="s">
        <v>1359</v>
      </c>
      <c r="M153" s="18" t="s">
        <v>1360</v>
      </c>
      <c r="N153" s="21" t="n">
        <f aca="false">LEN(M153)</f>
        <v>59</v>
      </c>
      <c r="O153" s="22" t="s">
        <v>1361</v>
      </c>
      <c r="P153" s="21" t="n">
        <f aca="false">LEN(O153)</f>
        <v>153</v>
      </c>
      <c r="Q153" s="22" t="s">
        <v>1362</v>
      </c>
      <c r="R153" s="22"/>
      <c r="S153" s="18" t="s">
        <v>382</v>
      </c>
      <c r="T153" s="22"/>
    </row>
    <row r="154" customFormat="false" ht="46.25" hidden="false" customHeight="false" outlineLevel="0" collapsed="false">
      <c r="A154" s="18" t="s">
        <v>1363</v>
      </c>
      <c r="B154" s="18" t="s">
        <v>906</v>
      </c>
      <c r="C154" s="18" t="s">
        <v>1364</v>
      </c>
      <c r="D154" s="18" t="s">
        <v>719</v>
      </c>
      <c r="E154" s="18" t="s">
        <v>457</v>
      </c>
      <c r="F154" s="19" t="s">
        <v>163</v>
      </c>
      <c r="G154" s="20" t="n">
        <f aca="false">IFERROR(INDEX('Semrush Data'!$C$2:$C$5000,MATCH(F154,'Semrush Data'!$A$2:$A$5000,0)),"")</f>
        <v>1000</v>
      </c>
      <c r="H154" s="18" t="n">
        <f aca="false">IFERROR(INDEX('Semrush Data'!$D$2:$D$5000,MATCH(F154,'Semrush Data'!$A$2:$A$5000,0)),"")</f>
        <v>41</v>
      </c>
      <c r="I154" s="18" t="s">
        <v>301</v>
      </c>
      <c r="J154" s="20" t="n">
        <f aca="false">IFERROR(INDEX('Semrush Data'!$C$2:$C$5000,MATCH(I154,'Semrush Data'!$A$2:$A$5000,0)),"")</f>
        <v>140</v>
      </c>
      <c r="K154" s="18" t="s">
        <v>458</v>
      </c>
      <c r="L154" s="18" t="s">
        <v>1365</v>
      </c>
      <c r="M154" s="18" t="s">
        <v>1366</v>
      </c>
      <c r="N154" s="21" t="n">
        <f aca="false">LEN(M154)</f>
        <v>52</v>
      </c>
      <c r="O154" s="22" t="s">
        <v>1367</v>
      </c>
      <c r="P154" s="21" t="n">
        <f aca="false">LEN(O154)</f>
        <v>159</v>
      </c>
      <c r="Q154" s="22" t="s">
        <v>1368</v>
      </c>
      <c r="R154" s="22"/>
      <c r="S154" s="18" t="s">
        <v>382</v>
      </c>
      <c r="T154" s="22" t="s">
        <v>393</v>
      </c>
    </row>
    <row r="155" customFormat="false" ht="46.25" hidden="false" customHeight="false" outlineLevel="0" collapsed="false">
      <c r="A155" s="18" t="s">
        <v>1369</v>
      </c>
      <c r="B155" s="18" t="s">
        <v>906</v>
      </c>
      <c r="C155" s="18" t="s">
        <v>1370</v>
      </c>
      <c r="D155" s="18" t="s">
        <v>719</v>
      </c>
      <c r="E155" s="18" t="s">
        <v>621</v>
      </c>
      <c r="F155" s="19" t="s">
        <v>156</v>
      </c>
      <c r="G155" s="20" t="n">
        <f aca="false">IFERROR(INDEX('Semrush Data'!$C$2:$C$5000,MATCH(F155,'Semrush Data'!$A$2:$A$5000,0)),"")</f>
        <v>2400</v>
      </c>
      <c r="H155" s="18" t="n">
        <f aca="false">IFERROR(INDEX('Semrush Data'!$D$2:$D$5000,MATCH(F155,'Semrush Data'!$A$2:$A$5000,0)),"")</f>
        <v>13</v>
      </c>
      <c r="I155" s="18" t="s">
        <v>301</v>
      </c>
      <c r="J155" s="20" t="n">
        <f aca="false">IFERROR(INDEX('Semrush Data'!$C$2:$C$5000,MATCH(I155,'Semrush Data'!$A$2:$A$5000,0)),"")</f>
        <v>140</v>
      </c>
      <c r="K155" s="18" t="s">
        <v>474</v>
      </c>
      <c r="L155" s="18" t="s">
        <v>1371</v>
      </c>
      <c r="M155" s="18" t="s">
        <v>1372</v>
      </c>
      <c r="N155" s="21" t="n">
        <f aca="false">LEN(M155)</f>
        <v>52</v>
      </c>
      <c r="O155" s="22" t="s">
        <v>1373</v>
      </c>
      <c r="P155" s="21" t="n">
        <f aca="false">LEN(O155)</f>
        <v>159</v>
      </c>
      <c r="Q155" s="22" t="s">
        <v>1374</v>
      </c>
      <c r="R155" s="22"/>
      <c r="S155" s="18" t="s">
        <v>382</v>
      </c>
      <c r="T155" s="22" t="s">
        <v>393</v>
      </c>
    </row>
    <row r="156" customFormat="false" ht="46.25" hidden="false" customHeight="false" outlineLevel="0" collapsed="false">
      <c r="A156" s="18" t="s">
        <v>1375</v>
      </c>
      <c r="B156" s="18" t="s">
        <v>906</v>
      </c>
      <c r="C156" s="18" t="s">
        <v>1376</v>
      </c>
      <c r="D156" s="18" t="s">
        <v>719</v>
      </c>
      <c r="E156" s="18" t="s">
        <v>435</v>
      </c>
      <c r="F156" s="19" t="s">
        <v>224</v>
      </c>
      <c r="G156" s="20" t="n">
        <f aca="false">IFERROR(INDEX('Semrush Data'!$C$2:$C$5000,MATCH(F156,'Semrush Data'!$A$2:$A$5000,0)),"")</f>
        <v>1300</v>
      </c>
      <c r="H156" s="18" t="n">
        <f aca="false">IFERROR(INDEX('Semrush Data'!$D$2:$D$5000,MATCH(F156,'Semrush Data'!$A$2:$A$5000,0)),"")</f>
        <v>16</v>
      </c>
      <c r="I156" s="18" t="s">
        <v>301</v>
      </c>
      <c r="J156" s="20" t="n">
        <f aca="false">IFERROR(INDEX('Semrush Data'!$C$2:$C$5000,MATCH(I156,'Semrush Data'!$A$2:$A$5000,0)),"")</f>
        <v>140</v>
      </c>
      <c r="K156" s="18" t="s">
        <v>720</v>
      </c>
      <c r="L156" s="18" t="s">
        <v>1377</v>
      </c>
      <c r="M156" s="18" t="s">
        <v>1378</v>
      </c>
      <c r="N156" s="21" t="n">
        <f aca="false">LEN(M156)</f>
        <v>50</v>
      </c>
      <c r="O156" s="22" t="s">
        <v>1379</v>
      </c>
      <c r="P156" s="21" t="n">
        <f aca="false">LEN(O156)</f>
        <v>155</v>
      </c>
      <c r="Q156" s="22" t="s">
        <v>1380</v>
      </c>
      <c r="R156" s="22"/>
      <c r="S156" s="18" t="s">
        <v>382</v>
      </c>
      <c r="T156" s="22"/>
    </row>
    <row r="157" customFormat="false" ht="46.25" hidden="false" customHeight="false" outlineLevel="0" collapsed="false">
      <c r="A157" s="18" t="s">
        <v>1381</v>
      </c>
      <c r="B157" s="18" t="s">
        <v>906</v>
      </c>
      <c r="C157" s="18" t="s">
        <v>1382</v>
      </c>
      <c r="D157" s="18" t="s">
        <v>719</v>
      </c>
      <c r="E157" s="18" t="s">
        <v>457</v>
      </c>
      <c r="F157" s="19" t="s">
        <v>163</v>
      </c>
      <c r="G157" s="20" t="n">
        <f aca="false">IFERROR(INDEX('Semrush Data'!$C$2:$C$5000,MATCH(F157,'Semrush Data'!$A$2:$A$5000,0)),"")</f>
        <v>1000</v>
      </c>
      <c r="H157" s="18" t="n">
        <f aca="false">IFERROR(INDEX('Semrush Data'!$D$2:$D$5000,MATCH(F157,'Semrush Data'!$A$2:$A$5000,0)),"")</f>
        <v>41</v>
      </c>
      <c r="I157" s="18" t="s">
        <v>301</v>
      </c>
      <c r="J157" s="20" t="n">
        <f aca="false">IFERROR(INDEX('Semrush Data'!$C$2:$C$5000,MATCH(I157,'Semrush Data'!$A$2:$A$5000,0)),"")</f>
        <v>140</v>
      </c>
      <c r="K157" s="18" t="s">
        <v>458</v>
      </c>
      <c r="L157" s="18" t="s">
        <v>1383</v>
      </c>
      <c r="M157" s="18" t="s">
        <v>1384</v>
      </c>
      <c r="N157" s="21" t="n">
        <f aca="false">LEN(M157)</f>
        <v>54</v>
      </c>
      <c r="O157" s="22" t="s">
        <v>1385</v>
      </c>
      <c r="P157" s="21" t="n">
        <f aca="false">LEN(O157)</f>
        <v>157</v>
      </c>
      <c r="Q157" s="22" t="s">
        <v>1386</v>
      </c>
      <c r="R157" s="22"/>
      <c r="S157" s="18" t="s">
        <v>382</v>
      </c>
      <c r="T157" s="22"/>
    </row>
    <row r="158" customFormat="false" ht="46.25" hidden="false" customHeight="false" outlineLevel="0" collapsed="false">
      <c r="A158" s="18" t="s">
        <v>1387</v>
      </c>
      <c r="B158" s="18" t="s">
        <v>906</v>
      </c>
      <c r="C158" s="18" t="s">
        <v>1388</v>
      </c>
      <c r="D158" s="18" t="s">
        <v>719</v>
      </c>
      <c r="E158" s="18" t="s">
        <v>416</v>
      </c>
      <c r="F158" s="19" t="s">
        <v>206</v>
      </c>
      <c r="G158" s="20" t="n">
        <f aca="false">IFERROR(INDEX('Semrush Data'!$C$2:$C$5000,MATCH(F158,'Semrush Data'!$A$2:$A$5000,0)),"")</f>
        <v>3600</v>
      </c>
      <c r="H158" s="18" t="n">
        <f aca="false">IFERROR(INDEX('Semrush Data'!$D$2:$D$5000,MATCH(F158,'Semrush Data'!$A$2:$A$5000,0)),"")</f>
        <v>24</v>
      </c>
      <c r="I158" s="18" t="s">
        <v>301</v>
      </c>
      <c r="J158" s="20" t="n">
        <f aca="false">IFERROR(INDEX('Semrush Data'!$C$2:$C$5000,MATCH(I158,'Semrush Data'!$A$2:$A$5000,0)),"")</f>
        <v>140</v>
      </c>
      <c r="K158" s="18" t="s">
        <v>417</v>
      </c>
      <c r="L158" s="18" t="s">
        <v>1389</v>
      </c>
      <c r="M158" s="18" t="s">
        <v>1390</v>
      </c>
      <c r="N158" s="21" t="n">
        <f aca="false">LEN(M158)</f>
        <v>52</v>
      </c>
      <c r="O158" s="22" t="s">
        <v>1391</v>
      </c>
      <c r="P158" s="21" t="n">
        <f aca="false">LEN(O158)</f>
        <v>151</v>
      </c>
      <c r="Q158" s="22" t="s">
        <v>1392</v>
      </c>
      <c r="R158" s="22"/>
      <c r="S158" s="18" t="s">
        <v>382</v>
      </c>
      <c r="T158" s="22"/>
    </row>
    <row r="159" customFormat="false" ht="46.25" hidden="false" customHeight="false" outlineLevel="0" collapsed="false">
      <c r="A159" s="18" t="s">
        <v>1393</v>
      </c>
      <c r="B159" s="18" t="s">
        <v>906</v>
      </c>
      <c r="C159" s="18" t="s">
        <v>1394</v>
      </c>
      <c r="D159" s="18" t="s">
        <v>719</v>
      </c>
      <c r="E159" s="18" t="s">
        <v>407</v>
      </c>
      <c r="F159" s="19" t="s">
        <v>161</v>
      </c>
      <c r="G159" s="20" t="n">
        <f aca="false">IFERROR(INDEX('Semrush Data'!$C$2:$C$5000,MATCH(F159,'Semrush Data'!$A$2:$A$5000,0)),"")</f>
        <v>1300</v>
      </c>
      <c r="H159" s="18" t="n">
        <f aca="false">IFERROR(INDEX('Semrush Data'!$D$2:$D$5000,MATCH(F159,'Semrush Data'!$A$2:$A$5000,0)),"")</f>
        <v>11</v>
      </c>
      <c r="I159" s="18" t="s">
        <v>301</v>
      </c>
      <c r="J159" s="20" t="n">
        <f aca="false">IFERROR(INDEX('Semrush Data'!$C$2:$C$5000,MATCH(I159,'Semrush Data'!$A$2:$A$5000,0)),"")</f>
        <v>140</v>
      </c>
      <c r="K159" s="18" t="s">
        <v>506</v>
      </c>
      <c r="L159" s="18" t="s">
        <v>1395</v>
      </c>
      <c r="M159" s="18" t="s">
        <v>1396</v>
      </c>
      <c r="N159" s="21" t="n">
        <f aca="false">LEN(M159)</f>
        <v>59</v>
      </c>
      <c r="O159" s="22" t="s">
        <v>1397</v>
      </c>
      <c r="P159" s="21" t="n">
        <f aca="false">LEN(O159)</f>
        <v>148</v>
      </c>
      <c r="Q159" s="22" t="s">
        <v>1398</v>
      </c>
      <c r="R159" s="22"/>
      <c r="S159" s="18" t="s">
        <v>382</v>
      </c>
      <c r="T159" s="22"/>
    </row>
    <row r="160" customFormat="false" ht="46.25" hidden="false" customHeight="false" outlineLevel="0" collapsed="false">
      <c r="A160" s="18" t="s">
        <v>1399</v>
      </c>
      <c r="B160" s="18" t="s">
        <v>906</v>
      </c>
      <c r="C160" s="18" t="s">
        <v>1400</v>
      </c>
      <c r="D160" s="18" t="s">
        <v>719</v>
      </c>
      <c r="E160" s="18" t="s">
        <v>621</v>
      </c>
      <c r="F160" s="19" t="s">
        <v>156</v>
      </c>
      <c r="G160" s="20" t="n">
        <f aca="false">IFERROR(INDEX('Semrush Data'!$C$2:$C$5000,MATCH(F160,'Semrush Data'!$A$2:$A$5000,0)),"")</f>
        <v>2400</v>
      </c>
      <c r="H160" s="18" t="n">
        <f aca="false">IFERROR(INDEX('Semrush Data'!$D$2:$D$5000,MATCH(F160,'Semrush Data'!$A$2:$A$5000,0)),"")</f>
        <v>13</v>
      </c>
      <c r="I160" s="18" t="s">
        <v>301</v>
      </c>
      <c r="J160" s="20" t="n">
        <f aca="false">IFERROR(INDEX('Semrush Data'!$C$2:$C$5000,MATCH(I160,'Semrush Data'!$A$2:$A$5000,0)),"")</f>
        <v>140</v>
      </c>
      <c r="K160" s="18" t="s">
        <v>474</v>
      </c>
      <c r="L160" s="18" t="s">
        <v>1401</v>
      </c>
      <c r="M160" s="18" t="s">
        <v>1402</v>
      </c>
      <c r="N160" s="21" t="n">
        <f aca="false">LEN(M160)</f>
        <v>57</v>
      </c>
      <c r="O160" s="22" t="s">
        <v>1403</v>
      </c>
      <c r="P160" s="21" t="n">
        <f aca="false">LEN(O160)</f>
        <v>160</v>
      </c>
      <c r="Q160" s="22" t="s">
        <v>1404</v>
      </c>
      <c r="R160" s="22"/>
      <c r="S160" s="18" t="s">
        <v>382</v>
      </c>
      <c r="T160" s="22"/>
    </row>
  </sheetData>
  <autoFilter ref="A1:T160"/>
  <conditionalFormatting sqref="N2:N160">
    <cfRule type="expression" priority="2" aboveAverage="0" equalAverage="0" bottom="0" percent="0" rank="0" text="" dxfId="7">
      <formula>OR(N2&lt;50,N2&gt;60)</formula>
    </cfRule>
  </conditionalFormatting>
  <conditionalFormatting sqref="P2:P160">
    <cfRule type="expression" priority="3" aboveAverage="0" equalAverage="0" bottom="0" percent="0" rank="0" text="" dxfId="7">
      <formula>OR(P2&lt;140,P2&gt;160)</formula>
    </cfRule>
  </conditionalFormatting>
  <conditionalFormatting sqref="T2:T160">
    <cfRule type="expression" priority="4" aboveAverage="0" equalAverage="0" bottom="0" percent="0" rank="0" text="" dxfId="8">
      <formula>T2&lt;&gt;""</formula>
    </cfRule>
  </conditionalFormatting>
  <conditionalFormatting sqref="S2:S160">
    <cfRule type="expression" priority="5" aboveAverage="0" equalAverage="0" bottom="0" percent="0" rank="0" text="" dxfId="8">
      <formula>S2&lt;&gt;"Matched"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5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5"/>
    <col collapsed="false" customWidth="true" hidden="false" outlineLevel="0" max="3" min="3" style="1" width="6"/>
    <col collapsed="false" customWidth="true" hidden="false" outlineLevel="0" max="4" min="4" style="1" width="18"/>
    <col collapsed="false" customWidth="true" hidden="false" outlineLevel="0" max="5" min="5" style="1" width="24"/>
    <col collapsed="false" customWidth="true" hidden="false" outlineLevel="0" max="6" min="6" style="1" width="11"/>
    <col collapsed="false" customWidth="true" hidden="false" outlineLevel="0" max="7" min="7" style="1" width="18"/>
    <col collapsed="false" customWidth="true" hidden="false" outlineLevel="0" max="8" min="8" style="1" width="22"/>
    <col collapsed="false" customWidth="true" hidden="false" outlineLevel="0" max="9" min="9" style="1" width="44"/>
    <col collapsed="false" customWidth="true" hidden="false" outlineLevel="0" max="11" min="10" style="1" width="8"/>
    <col collapsed="false" customWidth="true" hidden="false" outlineLevel="0" max="13" min="12" style="1" width="34"/>
    <col collapsed="false" customWidth="true" hidden="false" outlineLevel="0" max="14" min="14" style="1" width="38"/>
    <col collapsed="false" customWidth="true" hidden="false" outlineLevel="0" max="15" min="15" style="1" width="34"/>
    <col collapsed="false" customWidth="true" hidden="false" outlineLevel="0" max="16" min="16" style="1" width="40"/>
    <col collapsed="false" customWidth="true" hidden="false" outlineLevel="0" max="21" min="17" style="1" width="9"/>
    <col collapsed="false" customWidth="true" hidden="false" outlineLevel="0" max="22" min="22" style="1" width="36"/>
    <col collapsed="false" customWidth="true" hidden="false" outlineLevel="0" max="23" min="23" style="1" width="9"/>
    <col collapsed="false" customWidth="true" hidden="false" outlineLevel="0" max="25" min="24" style="1" width="8"/>
    <col collapsed="false" customWidth="true" hidden="false" outlineLevel="0" max="26" min="26" style="1" width="46"/>
    <col collapsed="false" customWidth="true" hidden="false" outlineLevel="0" max="27" min="27" style="1" width="60"/>
    <col collapsed="false" customWidth="true" hidden="false" outlineLevel="0" max="28" min="28" style="1" width="46"/>
    <col collapsed="false" customWidth="true" hidden="false" outlineLevel="0" max="29" min="29" style="1" width="60"/>
    <col collapsed="false" customWidth="true" hidden="false" outlineLevel="0" max="30" min="30" style="1" width="8"/>
    <col collapsed="false" customWidth="true" hidden="false" outlineLevel="0" max="31" min="31" style="1" width="80"/>
    <col collapsed="false" customWidth="true" hidden="false" outlineLevel="0" max="32" min="32" style="1" width="8"/>
  </cols>
  <sheetData>
    <row r="1" customFormat="false" ht="31.5" hidden="false" customHeight="true" outlineLevel="0" collapsed="false">
      <c r="A1" s="16" t="s">
        <v>40</v>
      </c>
      <c r="B1" s="16" t="s">
        <v>1405</v>
      </c>
      <c r="C1" s="16" t="s">
        <v>1406</v>
      </c>
      <c r="D1" s="16" t="s">
        <v>296</v>
      </c>
      <c r="E1" s="16" t="s">
        <v>1407</v>
      </c>
      <c r="F1" s="16" t="s">
        <v>1408</v>
      </c>
      <c r="G1" s="16" t="s">
        <v>152</v>
      </c>
      <c r="H1" s="16" t="s">
        <v>1409</v>
      </c>
      <c r="I1" s="16" t="s">
        <v>1410</v>
      </c>
      <c r="J1" s="16" t="s">
        <v>1411</v>
      </c>
      <c r="K1" s="16" t="s">
        <v>1412</v>
      </c>
      <c r="L1" s="16" t="s">
        <v>1413</v>
      </c>
      <c r="M1" s="16" t="s">
        <v>1414</v>
      </c>
      <c r="N1" s="16" t="s">
        <v>1415</v>
      </c>
      <c r="O1" s="16" t="s">
        <v>249</v>
      </c>
      <c r="P1" s="16" t="s">
        <v>1416</v>
      </c>
      <c r="Q1" s="17" t="s">
        <v>1417</v>
      </c>
      <c r="R1" s="17" t="s">
        <v>1418</v>
      </c>
      <c r="S1" s="17" t="s">
        <v>1419</v>
      </c>
      <c r="T1" s="17" t="s">
        <v>1420</v>
      </c>
      <c r="U1" s="17" t="s">
        <v>1421</v>
      </c>
      <c r="V1" s="17" t="s">
        <v>42</v>
      </c>
      <c r="W1" s="17" t="s">
        <v>1422</v>
      </c>
      <c r="X1" s="17" t="s">
        <v>1423</v>
      </c>
      <c r="Y1" s="17" t="s">
        <v>1424</v>
      </c>
      <c r="Z1" s="16" t="s">
        <v>1425</v>
      </c>
      <c r="AA1" s="16" t="s">
        <v>1426</v>
      </c>
      <c r="AB1" s="16" t="s">
        <v>1427</v>
      </c>
      <c r="AC1" s="16" t="s">
        <v>1428</v>
      </c>
      <c r="AD1" s="16" t="s">
        <v>1429</v>
      </c>
      <c r="AE1" s="16" t="s">
        <v>1430</v>
      </c>
      <c r="AF1" s="16" t="s">
        <v>1431</v>
      </c>
    </row>
    <row r="2" customFormat="false" ht="15" hidden="false" customHeight="true" outlineLevel="0" collapsed="false">
      <c r="A2" s="23" t="s">
        <v>372</v>
      </c>
      <c r="B2" s="23" t="s">
        <v>1432</v>
      </c>
      <c r="C2" s="23" t="n">
        <v>1</v>
      </c>
      <c r="D2" s="23" t="s">
        <v>373</v>
      </c>
      <c r="E2" s="23"/>
      <c r="F2" s="23" t="s">
        <v>1433</v>
      </c>
      <c r="G2" s="23" t="s">
        <v>375</v>
      </c>
      <c r="H2" s="23" t="s">
        <v>376</v>
      </c>
      <c r="I2" s="23" t="s">
        <v>374</v>
      </c>
      <c r="J2" s="23" t="s">
        <v>1434</v>
      </c>
      <c r="K2" s="23" t="n">
        <v>16.99</v>
      </c>
      <c r="L2" s="23" t="s">
        <v>1435</v>
      </c>
      <c r="M2" s="23" t="s">
        <v>1436</v>
      </c>
      <c r="N2" s="23" t="s">
        <v>1437</v>
      </c>
      <c r="O2" s="23" t="s">
        <v>1438</v>
      </c>
      <c r="P2" s="23"/>
      <c r="Q2" s="24" t="n">
        <f aca="false">IF(L2="","",IFERROR(INDEX('Semrush Data'!$A$1:$Z$20000,MATCH(L2,'Semrush Data'!$A$1:$A$20000,0),MATCH("Volume",'Semrush Data'!$A$1:$Z$1,0)),""))</f>
        <v>0</v>
      </c>
      <c r="R2" s="24" t="str">
        <f aca="false">IF(M2="","",IFERROR(INDEX('Semrush Data'!$A$1:$Z$20000,MATCH(M2,'Semrush Data'!$A$1:$A$20000,0),MATCH("Volume",'Semrush Data'!$A$1:$Z$1,0)),""))</f>
        <v/>
      </c>
      <c r="S2" s="24" t="str">
        <f aca="false">IF(N2="","",IFERROR(INDEX('Semrush Data'!$A$1:$Z$20000,MATCH(N2,'Semrush Data'!$A$1:$A$20000,0),MATCH("Volume",'Semrush Data'!$A$1:$Z$1,0)),""))</f>
        <v/>
      </c>
      <c r="T2" s="24" t="str">
        <f aca="false">IF(O2="","",IFERROR(INDEX('Semrush Data'!$A$1:$Z$20000,MATCH(O2,'Semrush Data'!$A$1:$A$20000,0),MATCH("Volume",'Semrush Data'!$A$1:$Z$1,0)),""))</f>
        <v/>
      </c>
      <c r="U2" s="24" t="str">
        <f aca="false">IF(P2="","",IFERROR(INDEX('Semrush Data'!$A$1:$Z$20000,MATCH(P2,'Semrush Data'!$A$1:$A$20000,0),MATCH("Volume",'Semrush Data'!$A$1:$Z$1,0)),""))</f>
        <v/>
      </c>
      <c r="V2" s="25" t="str">
        <f aca="false">IF(COUNT(Q2:U2)=0,L2,IF(MAX(Q2:U2)=0,L2,INDEX(L2:P2,MATCH(MAX(Q2:U2),Q2:U2,0))))</f>
        <v>vilvah rosewater facial toner</v>
      </c>
      <c r="W2" s="24" t="n">
        <f aca="false">IFERROR(INDEX('Semrush Data'!$A$1:$Z$20000,MATCH(V2,'Semrush Data'!$A$1:$A$20000,0),MATCH("Volume",'Semrush Data'!$A$1:$Z$1,0)),"")</f>
        <v>0</v>
      </c>
      <c r="X2" s="24" t="n">
        <f aca="false">IFERROR(INDEX('Semrush Data'!$A$1:$Z$20000,MATCH(V2,'Semrush Data'!$A$1:$A$20000,0),MATCH("Keyword Difficulty*",'Semrush Data'!$A$1:$Z$1,0)),"")</f>
        <v>16</v>
      </c>
      <c r="Y2" s="26" t="n">
        <f aca="false">IFERROR(INDEX('Semrush Data'!$A$1:$Z$20000,MATCH(V2,'Semrush Data'!$A$1:$A$20000,0),MATCH("CPC*",'Semrush Data'!$A$1:$Z$1,0)),"")</f>
        <v>0</v>
      </c>
      <c r="Z2" s="23" t="s">
        <v>1439</v>
      </c>
      <c r="AA2" s="23"/>
      <c r="AB2" s="23" t="s">
        <v>378</v>
      </c>
      <c r="AC2" s="23" t="s">
        <v>1440</v>
      </c>
      <c r="AD2" s="27" t="n">
        <f aca="false">LEN(AC2)</f>
        <v>56</v>
      </c>
      <c r="AE2" s="23" t="s">
        <v>1441</v>
      </c>
      <c r="AF2" s="27" t="n">
        <f aca="false">LEN(AE2)</f>
        <v>160</v>
      </c>
    </row>
    <row r="3" customFormat="false" ht="15" hidden="false" customHeight="true" outlineLevel="0" collapsed="false">
      <c r="A3" s="23" t="s">
        <v>383</v>
      </c>
      <c r="B3" s="23" t="s">
        <v>1432</v>
      </c>
      <c r="C3" s="23" t="n">
        <v>2</v>
      </c>
      <c r="D3" s="23" t="s">
        <v>373</v>
      </c>
      <c r="E3" s="23"/>
      <c r="F3" s="23" t="s">
        <v>1442</v>
      </c>
      <c r="G3" s="23" t="s">
        <v>385</v>
      </c>
      <c r="H3" s="23" t="s">
        <v>386</v>
      </c>
      <c r="I3" s="23" t="s">
        <v>384</v>
      </c>
      <c r="J3" s="23" t="s">
        <v>1443</v>
      </c>
      <c r="K3" s="23" t="n">
        <v>9.99</v>
      </c>
      <c r="L3" s="23" t="s">
        <v>1444</v>
      </c>
      <c r="M3" s="23" t="s">
        <v>1445</v>
      </c>
      <c r="N3" s="23" t="s">
        <v>1446</v>
      </c>
      <c r="O3" s="23" t="s">
        <v>1447</v>
      </c>
      <c r="P3" s="23"/>
      <c r="Q3" s="24" t="n">
        <f aca="false">IF(L3="","",IFERROR(INDEX('Semrush Data'!$A$1:$Z$20000,MATCH(L3,'Semrush Data'!$A$1:$A$20000,0),MATCH("Volume",'Semrush Data'!$A$1:$Z$1,0)),""))</f>
        <v>20</v>
      </c>
      <c r="R3" s="24" t="str">
        <f aca="false">IF(M3="","",IFERROR(INDEX('Semrush Data'!$A$1:$Z$20000,MATCH(M3,'Semrush Data'!$A$1:$A$20000,0),MATCH("Volume",'Semrush Data'!$A$1:$Z$1,0)),""))</f>
        <v/>
      </c>
      <c r="S3" s="24" t="str">
        <f aca="false">IF(N3="","",IFERROR(INDEX('Semrush Data'!$A$1:$Z$20000,MATCH(N3,'Semrush Data'!$A$1:$A$20000,0),MATCH("Volume",'Semrush Data'!$A$1:$Z$1,0)),""))</f>
        <v/>
      </c>
      <c r="T3" s="24" t="str">
        <f aca="false">IF(O3="","",IFERROR(INDEX('Semrush Data'!$A$1:$Z$20000,MATCH(O3,'Semrush Data'!$A$1:$A$20000,0),MATCH("Volume",'Semrush Data'!$A$1:$Z$1,0)),""))</f>
        <v/>
      </c>
      <c r="U3" s="24" t="str">
        <f aca="false">IF(P3="","",IFERROR(INDEX('Semrush Data'!$A$1:$Z$20000,MATCH(P3,'Semrush Data'!$A$1:$A$20000,0),MATCH("Volume",'Semrush Data'!$A$1:$Z$1,0)),""))</f>
        <v/>
      </c>
      <c r="V3" s="25" t="str">
        <f aca="false">IF(COUNT(Q3:U3)=0,L3,IF(MAX(Q3:U3)=0,L3,INDEX(L3:P3,MATCH(MAX(Q3:U3),Q3:U3,0))))</f>
        <v>vilvah hair growth oil</v>
      </c>
      <c r="W3" s="24" t="n">
        <f aca="false">IFERROR(INDEX('Semrush Data'!$A$1:$Z$20000,MATCH(V3,'Semrush Data'!$A$1:$A$20000,0),MATCH("Volume",'Semrush Data'!$A$1:$Z$1,0)),"")</f>
        <v>20</v>
      </c>
      <c r="X3" s="24" t="n">
        <f aca="false">IFERROR(INDEX('Semrush Data'!$A$1:$Z$20000,MATCH(V3,'Semrush Data'!$A$1:$A$20000,0),MATCH("Keyword Difficulty*",'Semrush Data'!$A$1:$Z$1,0)),"")</f>
        <v>26</v>
      </c>
      <c r="Y3" s="26" t="n">
        <f aca="false">IFERROR(INDEX('Semrush Data'!$A$1:$Z$20000,MATCH(V3,'Semrush Data'!$A$1:$A$20000,0),MATCH("CPC*",'Semrush Data'!$A$1:$Z$1,0)),"")</f>
        <v>0.55</v>
      </c>
      <c r="Z3" s="23" t="s">
        <v>1448</v>
      </c>
      <c r="AA3" s="23" t="s">
        <v>392</v>
      </c>
      <c r="AB3" s="23" t="s">
        <v>388</v>
      </c>
      <c r="AC3" s="23" t="s">
        <v>1449</v>
      </c>
      <c r="AD3" s="27" t="n">
        <f aca="false">LEN(AC3)</f>
        <v>54</v>
      </c>
      <c r="AE3" s="23" t="s">
        <v>1450</v>
      </c>
      <c r="AF3" s="27" t="n">
        <f aca="false">LEN(AE3)</f>
        <v>158</v>
      </c>
    </row>
    <row r="4" customFormat="false" ht="15" hidden="false" customHeight="true" outlineLevel="0" collapsed="false">
      <c r="A4" s="23" t="s">
        <v>394</v>
      </c>
      <c r="B4" s="23" t="s">
        <v>1432</v>
      </c>
      <c r="C4" s="23" t="n">
        <v>3</v>
      </c>
      <c r="D4" s="23" t="s">
        <v>373</v>
      </c>
      <c r="E4" s="23"/>
      <c r="F4" s="23" t="s">
        <v>1451</v>
      </c>
      <c r="G4" s="23" t="s">
        <v>396</v>
      </c>
      <c r="H4" s="23" t="s">
        <v>397</v>
      </c>
      <c r="I4" s="23" t="s">
        <v>395</v>
      </c>
      <c r="J4" s="23" t="s">
        <v>1452</v>
      </c>
      <c r="K4" s="23" t="n">
        <v>9.99</v>
      </c>
      <c r="L4" s="23" t="s">
        <v>1453</v>
      </c>
      <c r="M4" s="23" t="s">
        <v>1454</v>
      </c>
      <c r="N4" s="23" t="s">
        <v>1455</v>
      </c>
      <c r="O4" s="23" t="s">
        <v>1456</v>
      </c>
      <c r="P4" s="23"/>
      <c r="Q4" s="24" t="n">
        <f aca="false">IF(L4="","",IFERROR(INDEX('Semrush Data'!$A$1:$Z$20000,MATCH(L4,'Semrush Data'!$A$1:$A$20000,0),MATCH("Volume",'Semrush Data'!$A$1:$Z$1,0)),""))</f>
        <v>0</v>
      </c>
      <c r="R4" s="24" t="str">
        <f aca="false">IF(M4="","",IFERROR(INDEX('Semrush Data'!$A$1:$Z$20000,MATCH(M4,'Semrush Data'!$A$1:$A$20000,0),MATCH("Volume",'Semrush Data'!$A$1:$Z$1,0)),""))</f>
        <v/>
      </c>
      <c r="S4" s="24" t="str">
        <f aca="false">IF(N4="","",IFERROR(INDEX('Semrush Data'!$A$1:$Z$20000,MATCH(N4,'Semrush Data'!$A$1:$A$20000,0),MATCH("Volume",'Semrush Data'!$A$1:$Z$1,0)),""))</f>
        <v/>
      </c>
      <c r="T4" s="24" t="str">
        <f aca="false">IF(O4="","",IFERROR(INDEX('Semrush Data'!$A$1:$Z$20000,MATCH(O4,'Semrush Data'!$A$1:$A$20000,0),MATCH("Volume",'Semrush Data'!$A$1:$Z$1,0)),""))</f>
        <v/>
      </c>
      <c r="U4" s="24" t="str">
        <f aca="false">IF(P4="","",IFERROR(INDEX('Semrush Data'!$A$1:$Z$20000,MATCH(P4,'Semrush Data'!$A$1:$A$20000,0),MATCH("Volume",'Semrush Data'!$A$1:$Z$1,0)),""))</f>
        <v/>
      </c>
      <c r="V4" s="25" t="str">
        <f aca="false">IF(COUNT(Q4:U4)=0,L4,IF(MAX(Q4:U4)=0,L4,INDEX(L4:P4,MATCH(MAX(Q4:U4),Q4:U4,0))))</f>
        <v>vilvah classic goatmilk soap</v>
      </c>
      <c r="W4" s="24" t="n">
        <f aca="false">IFERROR(INDEX('Semrush Data'!$A$1:$Z$20000,MATCH(V4,'Semrush Data'!$A$1:$A$20000,0),MATCH("Volume",'Semrush Data'!$A$1:$Z$1,0)),"")</f>
        <v>0</v>
      </c>
      <c r="X4" s="24" t="n">
        <f aca="false">IFERROR(INDEX('Semrush Data'!$A$1:$Z$20000,MATCH(V4,'Semrush Data'!$A$1:$A$20000,0),MATCH("Keyword Difficulty*",'Semrush Data'!$A$1:$Z$1,0)),"")</f>
        <v>20</v>
      </c>
      <c r="Y4" s="26" t="n">
        <f aca="false">IFERROR(INDEX('Semrush Data'!$A$1:$Z$20000,MATCH(V4,'Semrush Data'!$A$1:$A$20000,0),MATCH("CPC*",'Semrush Data'!$A$1:$Z$1,0)),"")</f>
        <v>0</v>
      </c>
      <c r="Z4" s="23" t="s">
        <v>1457</v>
      </c>
      <c r="AA4" s="23"/>
      <c r="AB4" s="23" t="s">
        <v>399</v>
      </c>
      <c r="AC4" s="23" t="s">
        <v>1458</v>
      </c>
      <c r="AD4" s="27" t="n">
        <f aca="false">LEN(AC4)</f>
        <v>55</v>
      </c>
      <c r="AE4" s="23" t="s">
        <v>1459</v>
      </c>
      <c r="AF4" s="27" t="n">
        <f aca="false">LEN(AE4)</f>
        <v>155</v>
      </c>
    </row>
    <row r="5" customFormat="false" ht="15" hidden="false" customHeight="true" outlineLevel="0" collapsed="false">
      <c r="A5" s="23" t="s">
        <v>404</v>
      </c>
      <c r="B5" s="23" t="s">
        <v>1432</v>
      </c>
      <c r="C5" s="23" t="n">
        <v>4</v>
      </c>
      <c r="D5" s="23" t="s">
        <v>373</v>
      </c>
      <c r="E5" s="23"/>
      <c r="F5" s="23" t="s">
        <v>1451</v>
      </c>
      <c r="G5" s="23" t="s">
        <v>406</v>
      </c>
      <c r="H5" s="23" t="s">
        <v>407</v>
      </c>
      <c r="I5" s="23" t="s">
        <v>405</v>
      </c>
      <c r="J5" s="23" t="s">
        <v>1460</v>
      </c>
      <c r="K5" s="23" t="n">
        <v>9.99</v>
      </c>
      <c r="L5" s="23" t="s">
        <v>1461</v>
      </c>
      <c r="M5" s="23" t="s">
        <v>1462</v>
      </c>
      <c r="N5" s="23" t="s">
        <v>1463</v>
      </c>
      <c r="O5" s="23" t="s">
        <v>1464</v>
      </c>
      <c r="P5" s="23"/>
      <c r="Q5" s="24" t="n">
        <f aca="false">IF(L5="","",IFERROR(INDEX('Semrush Data'!$A$1:$Z$20000,MATCH(L5,'Semrush Data'!$A$1:$A$20000,0),MATCH("Volume",'Semrush Data'!$A$1:$Z$1,0)),""))</f>
        <v>0</v>
      </c>
      <c r="R5" s="24" t="str">
        <f aca="false">IF(M5="","",IFERROR(INDEX('Semrush Data'!$A$1:$Z$20000,MATCH(M5,'Semrush Data'!$A$1:$A$20000,0),MATCH("Volume",'Semrush Data'!$A$1:$Z$1,0)),""))</f>
        <v/>
      </c>
      <c r="S5" s="24" t="str">
        <f aca="false">IF(N5="","",IFERROR(INDEX('Semrush Data'!$A$1:$Z$20000,MATCH(N5,'Semrush Data'!$A$1:$A$20000,0),MATCH("Volume",'Semrush Data'!$A$1:$Z$1,0)),""))</f>
        <v/>
      </c>
      <c r="T5" s="24" t="str">
        <f aca="false">IF(O5="","",IFERROR(INDEX('Semrush Data'!$A$1:$Z$20000,MATCH(O5,'Semrush Data'!$A$1:$A$20000,0),MATCH("Volume",'Semrush Data'!$A$1:$Z$1,0)),""))</f>
        <v/>
      </c>
      <c r="U5" s="24" t="str">
        <f aca="false">IF(P5="","",IFERROR(INDEX('Semrush Data'!$A$1:$Z$20000,MATCH(P5,'Semrush Data'!$A$1:$A$20000,0),MATCH("Volume",'Semrush Data'!$A$1:$Z$1,0)),""))</f>
        <v/>
      </c>
      <c r="V5" s="25" t="str">
        <f aca="false">IF(COUNT(Q5:U5)=0,L5,IF(MAX(Q5:U5)=0,L5,INDEX(L5:P5,MATCH(MAX(Q5:U5),Q5:U5,0))))</f>
        <v>vilvah deo shot - rose and vanilla</v>
      </c>
      <c r="W5" s="24" t="n">
        <f aca="false">IFERROR(INDEX('Semrush Data'!$A$1:$Z$20000,MATCH(V5,'Semrush Data'!$A$1:$A$20000,0),MATCH("Volume",'Semrush Data'!$A$1:$Z$1,0)),"")</f>
        <v>0</v>
      </c>
      <c r="X5" s="24" t="n">
        <f aca="false">IFERROR(INDEX('Semrush Data'!$A$1:$Z$20000,MATCH(V5,'Semrush Data'!$A$1:$A$20000,0),MATCH("Keyword Difficulty*",'Semrush Data'!$A$1:$Z$1,0)),"")</f>
        <v>18</v>
      </c>
      <c r="Y5" s="26" t="n">
        <f aca="false">IFERROR(INDEX('Semrush Data'!$A$1:$Z$20000,MATCH(V5,'Semrush Data'!$A$1:$A$20000,0),MATCH("CPC*",'Semrush Data'!$A$1:$Z$1,0)),"")</f>
        <v>0</v>
      </c>
      <c r="Z5" s="23" t="s">
        <v>1465</v>
      </c>
      <c r="AA5" s="23"/>
      <c r="AB5" s="23" t="s">
        <v>409</v>
      </c>
      <c r="AC5" s="23" t="s">
        <v>1466</v>
      </c>
      <c r="AD5" s="27" t="n">
        <f aca="false">LEN(AC5)</f>
        <v>48</v>
      </c>
      <c r="AE5" s="23" t="s">
        <v>1467</v>
      </c>
      <c r="AF5" s="27" t="n">
        <f aca="false">LEN(AE5)</f>
        <v>160</v>
      </c>
    </row>
    <row r="6" customFormat="false" ht="15" hidden="false" customHeight="true" outlineLevel="0" collapsed="false">
      <c r="A6" s="23" t="s">
        <v>413</v>
      </c>
      <c r="B6" s="23" t="s">
        <v>1432</v>
      </c>
      <c r="C6" s="23" t="n">
        <v>5</v>
      </c>
      <c r="D6" s="23" t="s">
        <v>373</v>
      </c>
      <c r="E6" s="23"/>
      <c r="F6" s="23" t="s">
        <v>1433</v>
      </c>
      <c r="G6" s="23" t="s">
        <v>415</v>
      </c>
      <c r="H6" s="23" t="s">
        <v>416</v>
      </c>
      <c r="I6" s="23" t="s">
        <v>414</v>
      </c>
      <c r="J6" s="23" t="s">
        <v>1468</v>
      </c>
      <c r="K6" s="23" t="n">
        <v>17.99</v>
      </c>
      <c r="L6" s="23" t="s">
        <v>1469</v>
      </c>
      <c r="M6" s="23" t="s">
        <v>1470</v>
      </c>
      <c r="N6" s="23" t="s">
        <v>1471</v>
      </c>
      <c r="O6" s="23" t="s">
        <v>1472</v>
      </c>
      <c r="P6" s="23"/>
      <c r="Q6" s="24" t="n">
        <f aca="false">IF(L6="","",IFERROR(INDEX('Semrush Data'!$A$1:$Z$20000,MATCH(L6,'Semrush Data'!$A$1:$A$20000,0),MATCH("Volume",'Semrush Data'!$A$1:$Z$1,0)),""))</f>
        <v>0</v>
      </c>
      <c r="R6" s="24" t="str">
        <f aca="false">IF(M6="","",IFERROR(INDEX('Semrush Data'!$A$1:$Z$20000,MATCH(M6,'Semrush Data'!$A$1:$A$20000,0),MATCH("Volume",'Semrush Data'!$A$1:$Z$1,0)),""))</f>
        <v/>
      </c>
      <c r="S6" s="24" t="str">
        <f aca="false">IF(N6="","",IFERROR(INDEX('Semrush Data'!$A$1:$Z$20000,MATCH(N6,'Semrush Data'!$A$1:$A$20000,0),MATCH("Volume",'Semrush Data'!$A$1:$Z$1,0)),""))</f>
        <v/>
      </c>
      <c r="T6" s="24" t="str">
        <f aca="false">IF(O6="","",IFERROR(INDEX('Semrush Data'!$A$1:$Z$20000,MATCH(O6,'Semrush Data'!$A$1:$A$20000,0),MATCH("Volume",'Semrush Data'!$A$1:$Z$1,0)),""))</f>
        <v/>
      </c>
      <c r="U6" s="24" t="str">
        <f aca="false">IF(P6="","",IFERROR(INDEX('Semrush Data'!$A$1:$Z$20000,MATCH(P6,'Semrush Data'!$A$1:$A$20000,0),MATCH("Volume",'Semrush Data'!$A$1:$Z$1,0)),""))</f>
        <v/>
      </c>
      <c r="V6" s="25" t="str">
        <f aca="false">IF(COUNT(Q6:U6)=0,L6,IF(MAX(Q6:U6)=0,L6,INDEX(L6:P6,MATCH(MAX(Q6:U6),Q6:U6,0))))</f>
        <v>vilvah skin finish sunscreen spf 50</v>
      </c>
      <c r="W6" s="24" t="n">
        <f aca="false">IFERROR(INDEX('Semrush Data'!$A$1:$Z$20000,MATCH(V6,'Semrush Data'!$A$1:$A$20000,0),MATCH("Volume",'Semrush Data'!$A$1:$Z$1,0)),"")</f>
        <v>0</v>
      </c>
      <c r="X6" s="24" t="n">
        <f aca="false">IFERROR(INDEX('Semrush Data'!$A$1:$Z$20000,MATCH(V6,'Semrush Data'!$A$1:$A$20000,0),MATCH("Keyword Difficulty*",'Semrush Data'!$A$1:$Z$1,0)),"")</f>
        <v>25</v>
      </c>
      <c r="Y6" s="26" t="n">
        <f aca="false">IFERROR(INDEX('Semrush Data'!$A$1:$Z$20000,MATCH(V6,'Semrush Data'!$A$1:$A$20000,0),MATCH("CPC*",'Semrush Data'!$A$1:$Z$1,0)),"")</f>
        <v>0</v>
      </c>
      <c r="Z6" s="23" t="s">
        <v>1473</v>
      </c>
      <c r="AA6" s="23"/>
      <c r="AB6" s="23" t="s">
        <v>418</v>
      </c>
      <c r="AC6" s="23" t="s">
        <v>1474</v>
      </c>
      <c r="AD6" s="27" t="n">
        <f aca="false">LEN(AC6)</f>
        <v>49</v>
      </c>
      <c r="AE6" s="23" t="s">
        <v>1475</v>
      </c>
      <c r="AF6" s="27" t="n">
        <f aca="false">LEN(AE6)</f>
        <v>152</v>
      </c>
    </row>
    <row r="7" customFormat="false" ht="15" hidden="false" customHeight="true" outlineLevel="0" collapsed="false">
      <c r="A7" s="23" t="s">
        <v>423</v>
      </c>
      <c r="B7" s="23" t="s">
        <v>1432</v>
      </c>
      <c r="C7" s="23" t="n">
        <v>6</v>
      </c>
      <c r="D7" s="23" t="s">
        <v>373</v>
      </c>
      <c r="E7" s="23"/>
      <c r="F7" s="23" t="s">
        <v>1433</v>
      </c>
      <c r="G7" s="23" t="s">
        <v>425</v>
      </c>
      <c r="H7" s="23" t="s">
        <v>376</v>
      </c>
      <c r="I7" s="23" t="s">
        <v>424</v>
      </c>
      <c r="J7" s="23" t="s">
        <v>1476</v>
      </c>
      <c r="K7" s="23" t="n">
        <v>13.99</v>
      </c>
      <c r="L7" s="23" t="s">
        <v>1477</v>
      </c>
      <c r="M7" s="23" t="s">
        <v>1478</v>
      </c>
      <c r="N7" s="23" t="s">
        <v>1479</v>
      </c>
      <c r="O7" s="23" t="s">
        <v>1480</v>
      </c>
      <c r="P7" s="23"/>
      <c r="Q7" s="24" t="n">
        <f aca="false">IF(L7="","",IFERROR(INDEX('Semrush Data'!$A$1:$Z$20000,MATCH(L7,'Semrush Data'!$A$1:$A$20000,0),MATCH("Volume",'Semrush Data'!$A$1:$Z$1,0)),""))</f>
        <v>20</v>
      </c>
      <c r="R7" s="24" t="str">
        <f aca="false">IF(M7="","",IFERROR(INDEX('Semrush Data'!$A$1:$Z$20000,MATCH(M7,'Semrush Data'!$A$1:$A$20000,0),MATCH("Volume",'Semrush Data'!$A$1:$Z$1,0)),""))</f>
        <v/>
      </c>
      <c r="S7" s="24" t="str">
        <f aca="false">IF(N7="","",IFERROR(INDEX('Semrush Data'!$A$1:$Z$20000,MATCH(N7,'Semrush Data'!$A$1:$A$20000,0),MATCH("Volume",'Semrush Data'!$A$1:$Z$1,0)),""))</f>
        <v/>
      </c>
      <c r="T7" s="24" t="str">
        <f aca="false">IF(O7="","",IFERROR(INDEX('Semrush Data'!$A$1:$Z$20000,MATCH(O7,'Semrush Data'!$A$1:$A$20000,0),MATCH("Volume",'Semrush Data'!$A$1:$Z$1,0)),""))</f>
        <v/>
      </c>
      <c r="U7" s="24" t="str">
        <f aca="false">IF(P7="","",IFERROR(INDEX('Semrush Data'!$A$1:$Z$20000,MATCH(P7,'Semrush Data'!$A$1:$A$20000,0),MATCH("Volume",'Semrush Data'!$A$1:$Z$1,0)),""))</f>
        <v/>
      </c>
      <c r="V7" s="25" t="str">
        <f aca="false">IF(COUNT(Q7:U7)=0,L7,IF(MAX(Q7:U7)=0,L7,INDEX(L7:P7,MATCH(MAX(Q7:U7),Q7:U7,0))))</f>
        <v>vilvah milk powder face wash</v>
      </c>
      <c r="W7" s="24" t="n">
        <f aca="false">IFERROR(INDEX('Semrush Data'!$A$1:$Z$20000,MATCH(V7,'Semrush Data'!$A$1:$A$20000,0),MATCH("Volume",'Semrush Data'!$A$1:$Z$1,0)),"")</f>
        <v>20</v>
      </c>
      <c r="X7" s="24" t="n">
        <f aca="false">IFERROR(INDEX('Semrush Data'!$A$1:$Z$20000,MATCH(V7,'Semrush Data'!$A$1:$A$20000,0),MATCH("Keyword Difficulty*",'Semrush Data'!$A$1:$Z$1,0)),"")</f>
        <v>17</v>
      </c>
      <c r="Y7" s="26" t="n">
        <f aca="false">IFERROR(INDEX('Semrush Data'!$A$1:$Z$20000,MATCH(V7,'Semrush Data'!$A$1:$A$20000,0),MATCH("CPC*",'Semrush Data'!$A$1:$Z$1,0)),"")</f>
        <v>0.34</v>
      </c>
      <c r="Z7" s="23" t="s">
        <v>1481</v>
      </c>
      <c r="AA7" s="23" t="s">
        <v>431</v>
      </c>
      <c r="AB7" s="23" t="s">
        <v>427</v>
      </c>
      <c r="AC7" s="23" t="s">
        <v>1482</v>
      </c>
      <c r="AD7" s="27" t="n">
        <f aca="false">LEN(AC7)</f>
        <v>55</v>
      </c>
      <c r="AE7" s="23" t="s">
        <v>1483</v>
      </c>
      <c r="AF7" s="27" t="n">
        <f aca="false">LEN(AE7)</f>
        <v>160</v>
      </c>
    </row>
    <row r="8" customFormat="false" ht="15" hidden="false" customHeight="true" outlineLevel="0" collapsed="false">
      <c r="A8" s="23" t="s">
        <v>432</v>
      </c>
      <c r="B8" s="23" t="s">
        <v>1432</v>
      </c>
      <c r="C8" s="23" t="n">
        <v>7</v>
      </c>
      <c r="D8" s="23" t="s">
        <v>373</v>
      </c>
      <c r="E8" s="23"/>
      <c r="F8" s="23" t="s">
        <v>1433</v>
      </c>
      <c r="G8" s="23" t="s">
        <v>434</v>
      </c>
      <c r="H8" s="23" t="s">
        <v>435</v>
      </c>
      <c r="I8" s="23" t="s">
        <v>433</v>
      </c>
      <c r="J8" s="23" t="s">
        <v>1443</v>
      </c>
      <c r="K8" s="23" t="n">
        <v>25.99</v>
      </c>
      <c r="L8" s="23" t="s">
        <v>1484</v>
      </c>
      <c r="M8" s="23" t="s">
        <v>1485</v>
      </c>
      <c r="N8" s="23" t="s">
        <v>1486</v>
      </c>
      <c r="O8" s="23" t="s">
        <v>1487</v>
      </c>
      <c r="P8" s="23"/>
      <c r="Q8" s="24" t="n">
        <f aca="false">IF(L8="","",IFERROR(INDEX('Semrush Data'!$A$1:$Z$20000,MATCH(L8,'Semrush Data'!$A$1:$A$20000,0),MATCH("Volume",'Semrush Data'!$A$1:$Z$1,0)),""))</f>
        <v>0</v>
      </c>
      <c r="R8" s="24" t="str">
        <f aca="false">IF(M8="","",IFERROR(INDEX('Semrush Data'!$A$1:$Z$20000,MATCH(M8,'Semrush Data'!$A$1:$A$20000,0),MATCH("Volume",'Semrush Data'!$A$1:$Z$1,0)),""))</f>
        <v/>
      </c>
      <c r="S8" s="24" t="str">
        <f aca="false">IF(N8="","",IFERROR(INDEX('Semrush Data'!$A$1:$Z$20000,MATCH(N8,'Semrush Data'!$A$1:$A$20000,0),MATCH("Volume",'Semrush Data'!$A$1:$Z$1,0)),""))</f>
        <v/>
      </c>
      <c r="T8" s="24" t="str">
        <f aca="false">IF(O8="","",IFERROR(INDEX('Semrush Data'!$A$1:$Z$20000,MATCH(O8,'Semrush Data'!$A$1:$A$20000,0),MATCH("Volume",'Semrush Data'!$A$1:$Z$1,0)),""))</f>
        <v/>
      </c>
      <c r="U8" s="24" t="str">
        <f aca="false">IF(P8="","",IFERROR(INDEX('Semrush Data'!$A$1:$Z$20000,MATCH(P8,'Semrush Data'!$A$1:$A$20000,0),MATCH("Volume",'Semrush Data'!$A$1:$Z$1,0)),""))</f>
        <v/>
      </c>
      <c r="V8" s="25" t="str">
        <f aca="false">IF(COUNT(Q8:U8)=0,L8,IF(MAX(Q8:U8)=0,L8,INDEX(L8:P8,MATCH(MAX(Q8:U8),Q8:U8,0))))</f>
        <v>vilvah ultra moisturising cream</v>
      </c>
      <c r="W8" s="24" t="n">
        <f aca="false">IFERROR(INDEX('Semrush Data'!$A$1:$Z$20000,MATCH(V8,'Semrush Data'!$A$1:$A$20000,0),MATCH("Volume",'Semrush Data'!$A$1:$Z$1,0)),"")</f>
        <v>0</v>
      </c>
      <c r="X8" s="24" t="n">
        <f aca="false">IFERROR(INDEX('Semrush Data'!$A$1:$Z$20000,MATCH(V8,'Semrush Data'!$A$1:$A$20000,0),MATCH("Keyword Difficulty*",'Semrush Data'!$A$1:$Z$1,0)),"")</f>
        <v>20</v>
      </c>
      <c r="Y8" s="26" t="n">
        <f aca="false">IFERROR(INDEX('Semrush Data'!$A$1:$Z$20000,MATCH(V8,'Semrush Data'!$A$1:$A$20000,0),MATCH("CPC*",'Semrush Data'!$A$1:$Z$1,0)),"")</f>
        <v>0</v>
      </c>
      <c r="Z8" s="23" t="s">
        <v>1488</v>
      </c>
      <c r="AA8" s="23"/>
      <c r="AB8" s="23" t="s">
        <v>437</v>
      </c>
      <c r="AC8" s="23" t="s">
        <v>1489</v>
      </c>
      <c r="AD8" s="27" t="n">
        <f aca="false">LEN(AC8)</f>
        <v>58</v>
      </c>
      <c r="AE8" s="23" t="s">
        <v>1490</v>
      </c>
      <c r="AF8" s="27" t="n">
        <f aca="false">LEN(AE8)</f>
        <v>160</v>
      </c>
    </row>
    <row r="9" customFormat="false" ht="15" hidden="false" customHeight="true" outlineLevel="0" collapsed="false">
      <c r="A9" s="23" t="s">
        <v>441</v>
      </c>
      <c r="B9" s="23" t="s">
        <v>1432</v>
      </c>
      <c r="C9" s="23" t="n">
        <v>8</v>
      </c>
      <c r="D9" s="23" t="s">
        <v>373</v>
      </c>
      <c r="E9" s="23"/>
      <c r="F9" s="23" t="s">
        <v>1451</v>
      </c>
      <c r="G9" s="23" t="s">
        <v>396</v>
      </c>
      <c r="H9" s="23" t="s">
        <v>397</v>
      </c>
      <c r="I9" s="23" t="s">
        <v>442</v>
      </c>
      <c r="J9" s="23" t="s">
        <v>1452</v>
      </c>
      <c r="K9" s="23" t="n">
        <v>9.99</v>
      </c>
      <c r="L9" s="23" t="s">
        <v>1491</v>
      </c>
      <c r="M9" s="23" t="s">
        <v>1492</v>
      </c>
      <c r="N9" s="23" t="s">
        <v>1493</v>
      </c>
      <c r="O9" s="23" t="s">
        <v>1494</v>
      </c>
      <c r="P9" s="23"/>
      <c r="Q9" s="24" t="n">
        <f aca="false">IF(L9="","",IFERROR(INDEX('Semrush Data'!$A$1:$Z$20000,MATCH(L9,'Semrush Data'!$A$1:$A$20000,0),MATCH("Volume",'Semrush Data'!$A$1:$Z$1,0)),""))</f>
        <v>0</v>
      </c>
      <c r="R9" s="24" t="str">
        <f aca="false">IF(M9="","",IFERROR(INDEX('Semrush Data'!$A$1:$Z$20000,MATCH(M9,'Semrush Data'!$A$1:$A$20000,0),MATCH("Volume",'Semrush Data'!$A$1:$Z$1,0)),""))</f>
        <v/>
      </c>
      <c r="S9" s="24" t="str">
        <f aca="false">IF(N9="","",IFERROR(INDEX('Semrush Data'!$A$1:$Z$20000,MATCH(N9,'Semrush Data'!$A$1:$A$20000,0),MATCH("Volume",'Semrush Data'!$A$1:$Z$1,0)),""))</f>
        <v/>
      </c>
      <c r="T9" s="24" t="str">
        <f aca="false">IF(O9="","",IFERROR(INDEX('Semrush Data'!$A$1:$Z$20000,MATCH(O9,'Semrush Data'!$A$1:$A$20000,0),MATCH("Volume",'Semrush Data'!$A$1:$Z$1,0)),""))</f>
        <v/>
      </c>
      <c r="U9" s="24" t="str">
        <f aca="false">IF(P9="","",IFERROR(INDEX('Semrush Data'!$A$1:$Z$20000,MATCH(P9,'Semrush Data'!$A$1:$A$20000,0),MATCH("Volume",'Semrush Data'!$A$1:$Z$1,0)),""))</f>
        <v/>
      </c>
      <c r="V9" s="25" t="str">
        <f aca="false">IF(COUNT(Q9:U9)=0,L9,IF(MAX(Q9:U9)=0,L9,INDEX(L9:P9,MATCH(MAX(Q9:U9),Q9:U9,0))))</f>
        <v>vilvah classic rose goatmilk soap</v>
      </c>
      <c r="W9" s="24" t="n">
        <f aca="false">IFERROR(INDEX('Semrush Data'!$A$1:$Z$20000,MATCH(V9,'Semrush Data'!$A$1:$A$20000,0),MATCH("Volume",'Semrush Data'!$A$1:$Z$1,0)),"")</f>
        <v>0</v>
      </c>
      <c r="X9" s="24" t="n">
        <f aca="false">IFERROR(INDEX('Semrush Data'!$A$1:$Z$20000,MATCH(V9,'Semrush Data'!$A$1:$A$20000,0),MATCH("Keyword Difficulty*",'Semrush Data'!$A$1:$Z$1,0)),"")</f>
        <v>12</v>
      </c>
      <c r="Y9" s="26" t="n">
        <f aca="false">IFERROR(INDEX('Semrush Data'!$A$1:$Z$20000,MATCH(V9,'Semrush Data'!$A$1:$A$20000,0),MATCH("CPC*",'Semrush Data'!$A$1:$Z$1,0)),"")</f>
        <v>0</v>
      </c>
      <c r="Z9" s="23" t="s">
        <v>1457</v>
      </c>
      <c r="AA9" s="23"/>
      <c r="AB9" s="23" t="s">
        <v>443</v>
      </c>
      <c r="AC9" s="23" t="s">
        <v>1495</v>
      </c>
      <c r="AD9" s="27" t="n">
        <f aca="false">LEN(AC9)</f>
        <v>60</v>
      </c>
      <c r="AE9" s="23" t="s">
        <v>1496</v>
      </c>
      <c r="AF9" s="27" t="n">
        <f aca="false">LEN(AE9)</f>
        <v>160</v>
      </c>
    </row>
    <row r="10" customFormat="false" ht="15" hidden="false" customHeight="true" outlineLevel="0" collapsed="false">
      <c r="A10" s="23" t="s">
        <v>447</v>
      </c>
      <c r="B10" s="23" t="s">
        <v>1432</v>
      </c>
      <c r="C10" s="23" t="n">
        <v>9</v>
      </c>
      <c r="D10" s="23" t="s">
        <v>373</v>
      </c>
      <c r="E10" s="23"/>
      <c r="F10" s="23" t="s">
        <v>1451</v>
      </c>
      <c r="G10" s="23" t="s">
        <v>396</v>
      </c>
      <c r="H10" s="23" t="s">
        <v>397</v>
      </c>
      <c r="I10" s="23" t="s">
        <v>448</v>
      </c>
      <c r="J10" s="23" t="s">
        <v>1497</v>
      </c>
      <c r="K10" s="23" t="n">
        <v>15.99</v>
      </c>
      <c r="L10" s="23" t="s">
        <v>1498</v>
      </c>
      <c r="M10" s="23" t="s">
        <v>1499</v>
      </c>
      <c r="N10" s="23" t="s">
        <v>1500</v>
      </c>
      <c r="O10" s="23" t="s">
        <v>1501</v>
      </c>
      <c r="P10" s="23"/>
      <c r="Q10" s="24" t="n">
        <f aca="false">IF(L10="","",IFERROR(INDEX('Semrush Data'!$A$1:$Z$20000,MATCH(L10,'Semrush Data'!$A$1:$A$20000,0),MATCH("Volume",'Semrush Data'!$A$1:$Z$1,0)),""))</f>
        <v>0</v>
      </c>
      <c r="R10" s="24" t="str">
        <f aca="false">IF(M10="","",IFERROR(INDEX('Semrush Data'!$A$1:$Z$20000,MATCH(M10,'Semrush Data'!$A$1:$A$20000,0),MATCH("Volume",'Semrush Data'!$A$1:$Z$1,0)),""))</f>
        <v/>
      </c>
      <c r="S10" s="24" t="str">
        <f aca="false">IF(N10="","",IFERROR(INDEX('Semrush Data'!$A$1:$Z$20000,MATCH(N10,'Semrush Data'!$A$1:$A$20000,0),MATCH("Volume",'Semrush Data'!$A$1:$Z$1,0)),""))</f>
        <v/>
      </c>
      <c r="T10" s="24" t="str">
        <f aca="false">IF(O10="","",IFERROR(INDEX('Semrush Data'!$A$1:$Z$20000,MATCH(O10,'Semrush Data'!$A$1:$A$20000,0),MATCH("Volume",'Semrush Data'!$A$1:$Z$1,0)),""))</f>
        <v/>
      </c>
      <c r="U10" s="24" t="str">
        <f aca="false">IF(P10="","",IFERROR(INDEX('Semrush Data'!$A$1:$Z$20000,MATCH(P10,'Semrush Data'!$A$1:$A$20000,0),MATCH("Volume",'Semrush Data'!$A$1:$Z$1,0)),""))</f>
        <v/>
      </c>
      <c r="V10" s="25" t="str">
        <f aca="false">IF(COUNT(Q10:U10)=0,L10,IF(MAX(Q10:U10)=0,L10,INDEX(L10:P10,MATCH(MAX(Q10:U10),Q10:U10,0))))</f>
        <v>vilvah goat milk body wash</v>
      </c>
      <c r="W10" s="24" t="n">
        <f aca="false">IFERROR(INDEX('Semrush Data'!$A$1:$Z$20000,MATCH(V10,'Semrush Data'!$A$1:$A$20000,0),MATCH("Volume",'Semrush Data'!$A$1:$Z$1,0)),"")</f>
        <v>0</v>
      </c>
      <c r="X10" s="24" t="n">
        <f aca="false">IFERROR(INDEX('Semrush Data'!$A$1:$Z$20000,MATCH(V10,'Semrush Data'!$A$1:$A$20000,0),MATCH("Keyword Difficulty*",'Semrush Data'!$A$1:$Z$1,0)),"")</f>
        <v>11</v>
      </c>
      <c r="Y10" s="26" t="n">
        <f aca="false">IFERROR(INDEX('Semrush Data'!$A$1:$Z$20000,MATCH(V10,'Semrush Data'!$A$1:$A$20000,0),MATCH("CPC*",'Semrush Data'!$A$1:$Z$1,0)),"")</f>
        <v>0</v>
      </c>
      <c r="Z10" s="23" t="s">
        <v>1457</v>
      </c>
      <c r="AA10" s="23" t="s">
        <v>453</v>
      </c>
      <c r="AB10" s="23" t="s">
        <v>449</v>
      </c>
      <c r="AC10" s="23" t="s">
        <v>1502</v>
      </c>
      <c r="AD10" s="27" t="n">
        <f aca="false">LEN(AC10)</f>
        <v>53</v>
      </c>
      <c r="AE10" s="23" t="s">
        <v>1503</v>
      </c>
      <c r="AF10" s="27" t="n">
        <f aca="false">LEN(AE10)</f>
        <v>153</v>
      </c>
    </row>
    <row r="11" customFormat="false" ht="15" hidden="false" customHeight="true" outlineLevel="0" collapsed="false">
      <c r="A11" s="23" t="s">
        <v>454</v>
      </c>
      <c r="B11" s="23" t="s">
        <v>1432</v>
      </c>
      <c r="C11" s="23" t="n">
        <v>10</v>
      </c>
      <c r="D11" s="23" t="s">
        <v>373</v>
      </c>
      <c r="E11" s="23"/>
      <c r="F11" s="23" t="s">
        <v>1433</v>
      </c>
      <c r="G11" s="23" t="s">
        <v>456</v>
      </c>
      <c r="H11" s="23" t="s">
        <v>457</v>
      </c>
      <c r="I11" s="23" t="s">
        <v>455</v>
      </c>
      <c r="J11" s="23" t="s">
        <v>1504</v>
      </c>
      <c r="K11" s="23" t="n">
        <v>9.99</v>
      </c>
      <c r="L11" s="23" t="s">
        <v>1505</v>
      </c>
      <c r="M11" s="23" t="s">
        <v>1506</v>
      </c>
      <c r="N11" s="23" t="s">
        <v>1507</v>
      </c>
      <c r="O11" s="23" t="s">
        <v>1508</v>
      </c>
      <c r="P11" s="23"/>
      <c r="Q11" s="24" t="n">
        <f aca="false">IF(L11="","",IFERROR(INDEX('Semrush Data'!$A$1:$Z$20000,MATCH(L11,'Semrush Data'!$A$1:$A$20000,0),MATCH("Volume",'Semrush Data'!$A$1:$Z$1,0)),""))</f>
        <v>0</v>
      </c>
      <c r="R11" s="24" t="str">
        <f aca="false">IF(M11="","",IFERROR(INDEX('Semrush Data'!$A$1:$Z$20000,MATCH(M11,'Semrush Data'!$A$1:$A$20000,0),MATCH("Volume",'Semrush Data'!$A$1:$Z$1,0)),""))</f>
        <v/>
      </c>
      <c r="S11" s="24" t="str">
        <f aca="false">IF(N11="","",IFERROR(INDEX('Semrush Data'!$A$1:$Z$20000,MATCH(N11,'Semrush Data'!$A$1:$A$20000,0),MATCH("Volume",'Semrush Data'!$A$1:$Z$1,0)),""))</f>
        <v/>
      </c>
      <c r="T11" s="24" t="str">
        <f aca="false">IF(O11="","",IFERROR(INDEX('Semrush Data'!$A$1:$Z$20000,MATCH(O11,'Semrush Data'!$A$1:$A$20000,0),MATCH("Volume",'Semrush Data'!$A$1:$Z$1,0)),""))</f>
        <v/>
      </c>
      <c r="U11" s="24" t="str">
        <f aca="false">IF(P11="","",IFERROR(INDEX('Semrush Data'!$A$1:$Z$20000,MATCH(P11,'Semrush Data'!$A$1:$A$20000,0),MATCH("Volume",'Semrush Data'!$A$1:$Z$1,0)),""))</f>
        <v/>
      </c>
      <c r="V11" s="25" t="str">
        <f aca="false">IF(COUNT(Q11:U11)=0,L11,IF(MAX(Q11:U11)=0,L11,INDEX(L11:P11,MATCH(MAX(Q11:U11),Q11:U11,0))))</f>
        <v>vilvah rose milk lip balm</v>
      </c>
      <c r="W11" s="24" t="n">
        <f aca="false">IFERROR(INDEX('Semrush Data'!$A$1:$Z$20000,MATCH(V11,'Semrush Data'!$A$1:$A$20000,0),MATCH("Volume",'Semrush Data'!$A$1:$Z$1,0)),"")</f>
        <v>0</v>
      </c>
      <c r="X11" s="24" t="n">
        <f aca="false">IFERROR(INDEX('Semrush Data'!$A$1:$Z$20000,MATCH(V11,'Semrush Data'!$A$1:$A$20000,0),MATCH("Keyword Difficulty*",'Semrush Data'!$A$1:$Z$1,0)),"")</f>
        <v>22</v>
      </c>
      <c r="Y11" s="26" t="n">
        <f aca="false">IFERROR(INDEX('Semrush Data'!$A$1:$Z$20000,MATCH(V11,'Semrush Data'!$A$1:$A$20000,0),MATCH("CPC*",'Semrush Data'!$A$1:$Z$1,0)),"")</f>
        <v>0</v>
      </c>
      <c r="Z11" s="23" t="s">
        <v>1509</v>
      </c>
      <c r="AA11" s="23" t="s">
        <v>463</v>
      </c>
      <c r="AB11" s="23" t="s">
        <v>459</v>
      </c>
      <c r="AC11" s="23" t="s">
        <v>1510</v>
      </c>
      <c r="AD11" s="27" t="n">
        <f aca="false">LEN(AC11)</f>
        <v>52</v>
      </c>
      <c r="AE11" s="23" t="s">
        <v>1511</v>
      </c>
      <c r="AF11" s="27" t="n">
        <f aca="false">LEN(AE11)</f>
        <v>159</v>
      </c>
    </row>
    <row r="12" customFormat="false" ht="15" hidden="false" customHeight="true" outlineLevel="0" collapsed="false">
      <c r="A12" s="23" t="s">
        <v>464</v>
      </c>
      <c r="B12" s="23" t="s">
        <v>1432</v>
      </c>
      <c r="C12" s="23" t="n">
        <v>11</v>
      </c>
      <c r="D12" s="23" t="s">
        <v>373</v>
      </c>
      <c r="E12" s="23"/>
      <c r="F12" s="23" t="s">
        <v>1451</v>
      </c>
      <c r="G12" s="23" t="s">
        <v>396</v>
      </c>
      <c r="H12" s="23" t="s">
        <v>397</v>
      </c>
      <c r="I12" s="23" t="s">
        <v>465</v>
      </c>
      <c r="J12" s="23" t="s">
        <v>1452</v>
      </c>
      <c r="K12" s="23" t="n">
        <v>9.99</v>
      </c>
      <c r="L12" s="23" t="s">
        <v>1512</v>
      </c>
      <c r="M12" s="23" t="s">
        <v>1513</v>
      </c>
      <c r="N12" s="23" t="s">
        <v>1514</v>
      </c>
      <c r="O12" s="23" t="s">
        <v>1515</v>
      </c>
      <c r="P12" s="23"/>
      <c r="Q12" s="24" t="n">
        <f aca="false">IF(L12="","",IFERROR(INDEX('Semrush Data'!$A$1:$Z$20000,MATCH(L12,'Semrush Data'!$A$1:$A$20000,0),MATCH("Volume",'Semrush Data'!$A$1:$Z$1,0)),""))</f>
        <v>0</v>
      </c>
      <c r="R12" s="24" t="str">
        <f aca="false">IF(M12="","",IFERROR(INDEX('Semrush Data'!$A$1:$Z$20000,MATCH(M12,'Semrush Data'!$A$1:$A$20000,0),MATCH("Volume",'Semrush Data'!$A$1:$Z$1,0)),""))</f>
        <v/>
      </c>
      <c r="S12" s="24" t="str">
        <f aca="false">IF(N12="","",IFERROR(INDEX('Semrush Data'!$A$1:$Z$20000,MATCH(N12,'Semrush Data'!$A$1:$A$20000,0),MATCH("Volume",'Semrush Data'!$A$1:$Z$1,0)),""))</f>
        <v/>
      </c>
      <c r="T12" s="24" t="str">
        <f aca="false">IF(O12="","",IFERROR(INDEX('Semrush Data'!$A$1:$Z$20000,MATCH(O12,'Semrush Data'!$A$1:$A$20000,0),MATCH("Volume",'Semrush Data'!$A$1:$Z$1,0)),""))</f>
        <v/>
      </c>
      <c r="U12" s="24" t="str">
        <f aca="false">IF(P12="","",IFERROR(INDEX('Semrush Data'!$A$1:$Z$20000,MATCH(P12,'Semrush Data'!$A$1:$A$20000,0),MATCH("Volume",'Semrush Data'!$A$1:$Z$1,0)),""))</f>
        <v/>
      </c>
      <c r="V12" s="25" t="str">
        <f aca="false">IF(COUNT(Q12:U12)=0,L12,IF(MAX(Q12:U12)=0,L12,INDEX(L12:P12,MATCH(MAX(Q12:U12),Q12:U12,0))))</f>
        <v>vilvah charcoal goatmilk soap</v>
      </c>
      <c r="W12" s="24" t="n">
        <f aca="false">IFERROR(INDEX('Semrush Data'!$A$1:$Z$20000,MATCH(V12,'Semrush Data'!$A$1:$A$20000,0),MATCH("Volume",'Semrush Data'!$A$1:$Z$1,0)),"")</f>
        <v>0</v>
      </c>
      <c r="X12" s="24" t="n">
        <f aca="false">IFERROR(INDEX('Semrush Data'!$A$1:$Z$20000,MATCH(V12,'Semrush Data'!$A$1:$A$20000,0),MATCH("Keyword Difficulty*",'Semrush Data'!$A$1:$Z$1,0)),"")</f>
        <v>20</v>
      </c>
      <c r="Y12" s="26" t="n">
        <f aca="false">IFERROR(INDEX('Semrush Data'!$A$1:$Z$20000,MATCH(V12,'Semrush Data'!$A$1:$A$20000,0),MATCH("CPC*",'Semrush Data'!$A$1:$Z$1,0)),"")</f>
        <v>0</v>
      </c>
      <c r="Z12" s="23" t="s">
        <v>1457</v>
      </c>
      <c r="AA12" s="23"/>
      <c r="AB12" s="23" t="s">
        <v>466</v>
      </c>
      <c r="AC12" s="23" t="s">
        <v>1516</v>
      </c>
      <c r="AD12" s="27" t="n">
        <f aca="false">LEN(AC12)</f>
        <v>56</v>
      </c>
      <c r="AE12" s="23" t="s">
        <v>1517</v>
      </c>
      <c r="AF12" s="27" t="n">
        <f aca="false">LEN(AE12)</f>
        <v>156</v>
      </c>
    </row>
    <row r="13" customFormat="false" ht="15" hidden="false" customHeight="true" outlineLevel="0" collapsed="false">
      <c r="A13" s="23" t="s">
        <v>470</v>
      </c>
      <c r="B13" s="23" t="s">
        <v>1432</v>
      </c>
      <c r="C13" s="23" t="n">
        <v>12</v>
      </c>
      <c r="D13" s="23" t="s">
        <v>373</v>
      </c>
      <c r="E13" s="23"/>
      <c r="F13" s="23" t="s">
        <v>1442</v>
      </c>
      <c r="G13" s="23" t="s">
        <v>472</v>
      </c>
      <c r="H13" s="23" t="s">
        <v>473</v>
      </c>
      <c r="I13" s="23" t="s">
        <v>471</v>
      </c>
      <c r="J13" s="23" t="s">
        <v>1518</v>
      </c>
      <c r="K13" s="23" t="n">
        <v>15.99</v>
      </c>
      <c r="L13" s="23" t="s">
        <v>1519</v>
      </c>
      <c r="M13" s="23" t="s">
        <v>1520</v>
      </c>
      <c r="N13" s="23" t="s">
        <v>1521</v>
      </c>
      <c r="O13" s="23" t="s">
        <v>1522</v>
      </c>
      <c r="P13" s="23"/>
      <c r="Q13" s="24" t="n">
        <f aca="false">IF(L13="","",IFERROR(INDEX('Semrush Data'!$A$1:$Z$20000,MATCH(L13,'Semrush Data'!$A$1:$A$20000,0),MATCH("Volume",'Semrush Data'!$A$1:$Z$1,0)),""))</f>
        <v>10</v>
      </c>
      <c r="R13" s="24" t="str">
        <f aca="false">IF(M13="","",IFERROR(INDEX('Semrush Data'!$A$1:$Z$20000,MATCH(M13,'Semrush Data'!$A$1:$A$20000,0),MATCH("Volume",'Semrush Data'!$A$1:$Z$1,0)),""))</f>
        <v/>
      </c>
      <c r="S13" s="24" t="str">
        <f aca="false">IF(N13="","",IFERROR(INDEX('Semrush Data'!$A$1:$Z$20000,MATCH(N13,'Semrush Data'!$A$1:$A$20000,0),MATCH("Volume",'Semrush Data'!$A$1:$Z$1,0)),""))</f>
        <v/>
      </c>
      <c r="T13" s="24" t="str">
        <f aca="false">IF(O13="","",IFERROR(INDEX('Semrush Data'!$A$1:$Z$20000,MATCH(O13,'Semrush Data'!$A$1:$A$20000,0),MATCH("Volume",'Semrush Data'!$A$1:$Z$1,0)),""))</f>
        <v/>
      </c>
      <c r="U13" s="24" t="str">
        <f aca="false">IF(P13="","",IFERROR(INDEX('Semrush Data'!$A$1:$Z$20000,MATCH(P13,'Semrush Data'!$A$1:$A$20000,0),MATCH("Volume",'Semrush Data'!$A$1:$Z$1,0)),""))</f>
        <v/>
      </c>
      <c r="V13" s="25" t="str">
        <f aca="false">IF(COUNT(Q13:U13)=0,L13,IF(MAX(Q13:U13)=0,L13,INDEX(L13:P13,MATCH(MAX(Q13:U13),Q13:U13,0))))</f>
        <v>vilvah cream conditioner</v>
      </c>
      <c r="W13" s="24" t="n">
        <f aca="false">IFERROR(INDEX('Semrush Data'!$A$1:$Z$20000,MATCH(V13,'Semrush Data'!$A$1:$A$20000,0),MATCH("Volume",'Semrush Data'!$A$1:$Z$1,0)),"")</f>
        <v>10</v>
      </c>
      <c r="X13" s="24" t="n">
        <f aca="false">IFERROR(INDEX('Semrush Data'!$A$1:$Z$20000,MATCH(V13,'Semrush Data'!$A$1:$A$20000,0),MATCH("Keyword Difficulty*",'Semrush Data'!$A$1:$Z$1,0)),"")</f>
        <v>16</v>
      </c>
      <c r="Y13" s="26" t="n">
        <f aca="false">IFERROR(INDEX('Semrush Data'!$A$1:$Z$20000,MATCH(V13,'Semrush Data'!$A$1:$A$20000,0),MATCH("CPC*",'Semrush Data'!$A$1:$Z$1,0)),"")</f>
        <v>0</v>
      </c>
      <c r="Z13" s="23" t="s">
        <v>1523</v>
      </c>
      <c r="AA13" s="23" t="s">
        <v>479</v>
      </c>
      <c r="AB13" s="23" t="s">
        <v>475</v>
      </c>
      <c r="AC13" s="23" t="s">
        <v>1524</v>
      </c>
      <c r="AD13" s="27" t="n">
        <f aca="false">LEN(AC13)</f>
        <v>51</v>
      </c>
      <c r="AE13" s="23" t="s">
        <v>1525</v>
      </c>
      <c r="AF13" s="27" t="n">
        <f aca="false">LEN(AE13)</f>
        <v>158</v>
      </c>
    </row>
    <row r="14" customFormat="false" ht="15" hidden="false" customHeight="true" outlineLevel="0" collapsed="false">
      <c r="A14" s="23" t="s">
        <v>480</v>
      </c>
      <c r="B14" s="23" t="s">
        <v>1432</v>
      </c>
      <c r="C14" s="23" t="n">
        <v>13</v>
      </c>
      <c r="D14" s="23" t="s">
        <v>373</v>
      </c>
      <c r="E14" s="23"/>
      <c r="F14" s="23" t="s">
        <v>1442</v>
      </c>
      <c r="G14" s="23" t="s">
        <v>482</v>
      </c>
      <c r="H14" s="23" t="s">
        <v>435</v>
      </c>
      <c r="I14" s="23" t="s">
        <v>481</v>
      </c>
      <c r="J14" s="23" t="s">
        <v>1518</v>
      </c>
      <c r="K14" s="23" t="n">
        <v>15.99</v>
      </c>
      <c r="L14" s="23" t="s">
        <v>1526</v>
      </c>
      <c r="M14" s="23" t="s">
        <v>1527</v>
      </c>
      <c r="N14" s="23" t="s">
        <v>1528</v>
      </c>
      <c r="O14" s="23" t="s">
        <v>1529</v>
      </c>
      <c r="P14" s="23"/>
      <c r="Q14" s="24" t="n">
        <f aca="false">IF(L14="","",IFERROR(INDEX('Semrush Data'!$A$1:$Z$20000,MATCH(L14,'Semrush Data'!$A$1:$A$20000,0),MATCH("Volume",'Semrush Data'!$A$1:$Z$1,0)),""))</f>
        <v>20</v>
      </c>
      <c r="R14" s="24" t="str">
        <f aca="false">IF(M14="","",IFERROR(INDEX('Semrush Data'!$A$1:$Z$20000,MATCH(M14,'Semrush Data'!$A$1:$A$20000,0),MATCH("Volume",'Semrush Data'!$A$1:$Z$1,0)),""))</f>
        <v/>
      </c>
      <c r="S14" s="24" t="str">
        <f aca="false">IF(N14="","",IFERROR(INDEX('Semrush Data'!$A$1:$Z$20000,MATCH(N14,'Semrush Data'!$A$1:$A$20000,0),MATCH("Volume",'Semrush Data'!$A$1:$Z$1,0)),""))</f>
        <v/>
      </c>
      <c r="T14" s="24" t="str">
        <f aca="false">IF(O14="","",IFERROR(INDEX('Semrush Data'!$A$1:$Z$20000,MATCH(O14,'Semrush Data'!$A$1:$A$20000,0),MATCH("Volume",'Semrush Data'!$A$1:$Z$1,0)),""))</f>
        <v/>
      </c>
      <c r="U14" s="24" t="str">
        <f aca="false">IF(P14="","",IFERROR(INDEX('Semrush Data'!$A$1:$Z$20000,MATCH(P14,'Semrush Data'!$A$1:$A$20000,0),MATCH("Volume",'Semrush Data'!$A$1:$Z$1,0)),""))</f>
        <v/>
      </c>
      <c r="V14" s="25" t="str">
        <f aca="false">IF(COUNT(Q14:U14)=0,L14,IF(MAX(Q14:U14)=0,L14,INDEX(L14:P14,MATCH(MAX(Q14:U14),Q14:U14,0))))</f>
        <v>vilvah goat milk shampoo</v>
      </c>
      <c r="W14" s="24" t="n">
        <f aca="false">IFERROR(INDEX('Semrush Data'!$A$1:$Z$20000,MATCH(V14,'Semrush Data'!$A$1:$A$20000,0),MATCH("Volume",'Semrush Data'!$A$1:$Z$1,0)),"")</f>
        <v>20</v>
      </c>
      <c r="X14" s="24" t="n">
        <f aca="false">IFERROR(INDEX('Semrush Data'!$A$1:$Z$20000,MATCH(V14,'Semrush Data'!$A$1:$A$20000,0),MATCH("Keyword Difficulty*",'Semrush Data'!$A$1:$Z$1,0)),"")</f>
        <v>9</v>
      </c>
      <c r="Y14" s="26" t="n">
        <f aca="false">IFERROR(INDEX('Semrush Data'!$A$1:$Z$20000,MATCH(V14,'Semrush Data'!$A$1:$A$20000,0),MATCH("CPC*",'Semrush Data'!$A$1:$Z$1,0)),"")</f>
        <v>0.3</v>
      </c>
      <c r="Z14" s="23" t="s">
        <v>1530</v>
      </c>
      <c r="AA14" s="23" t="s">
        <v>488</v>
      </c>
      <c r="AB14" s="23" t="s">
        <v>484</v>
      </c>
      <c r="AC14" s="23" t="s">
        <v>1531</v>
      </c>
      <c r="AD14" s="27" t="n">
        <f aca="false">LEN(AC14)</f>
        <v>51</v>
      </c>
      <c r="AE14" s="23" t="s">
        <v>1532</v>
      </c>
      <c r="AF14" s="27" t="n">
        <f aca="false">LEN(AE14)</f>
        <v>157</v>
      </c>
    </row>
    <row r="15" customFormat="false" ht="15" hidden="false" customHeight="true" outlineLevel="0" collapsed="false">
      <c r="A15" s="23" t="s">
        <v>489</v>
      </c>
      <c r="B15" s="23" t="s">
        <v>1432</v>
      </c>
      <c r="C15" s="23" t="n">
        <v>14</v>
      </c>
      <c r="D15" s="23" t="s">
        <v>373</v>
      </c>
      <c r="E15" s="23"/>
      <c r="F15" s="23" t="s">
        <v>1433</v>
      </c>
      <c r="G15" s="23" t="s">
        <v>425</v>
      </c>
      <c r="H15" s="23" t="s">
        <v>376</v>
      </c>
      <c r="I15" s="23" t="s">
        <v>490</v>
      </c>
      <c r="J15" s="23" t="s">
        <v>1434</v>
      </c>
      <c r="K15" s="23" t="n">
        <v>12.99</v>
      </c>
      <c r="L15" s="23" t="s">
        <v>1533</v>
      </c>
      <c r="M15" s="23" t="s">
        <v>1534</v>
      </c>
      <c r="N15" s="23" t="s">
        <v>1535</v>
      </c>
      <c r="O15" s="23" t="s">
        <v>1536</v>
      </c>
      <c r="P15" s="23"/>
      <c r="Q15" s="24" t="n">
        <f aca="false">IF(L15="","",IFERROR(INDEX('Semrush Data'!$A$1:$Z$20000,MATCH(L15,'Semrush Data'!$A$1:$A$20000,0),MATCH("Volume",'Semrush Data'!$A$1:$Z$1,0)),""))</f>
        <v>0</v>
      </c>
      <c r="R15" s="24" t="str">
        <f aca="false">IF(M15="","",IFERROR(INDEX('Semrush Data'!$A$1:$Z$20000,MATCH(M15,'Semrush Data'!$A$1:$A$20000,0),MATCH("Volume",'Semrush Data'!$A$1:$Z$1,0)),""))</f>
        <v/>
      </c>
      <c r="S15" s="24" t="str">
        <f aca="false">IF(N15="","",IFERROR(INDEX('Semrush Data'!$A$1:$Z$20000,MATCH(N15,'Semrush Data'!$A$1:$A$20000,0),MATCH("Volume",'Semrush Data'!$A$1:$Z$1,0)),""))</f>
        <v/>
      </c>
      <c r="T15" s="24" t="str">
        <f aca="false">IF(O15="","",IFERROR(INDEX('Semrush Data'!$A$1:$Z$20000,MATCH(O15,'Semrush Data'!$A$1:$A$20000,0),MATCH("Volume",'Semrush Data'!$A$1:$Z$1,0)),""))</f>
        <v/>
      </c>
      <c r="U15" s="24" t="str">
        <f aca="false">IF(P15="","",IFERROR(INDEX('Semrush Data'!$A$1:$Z$20000,MATCH(P15,'Semrush Data'!$A$1:$A$20000,0),MATCH("Volume",'Semrush Data'!$A$1:$Z$1,0)),""))</f>
        <v/>
      </c>
      <c r="V15" s="25" t="str">
        <f aca="false">IF(COUNT(Q15:U15)=0,L15,IF(MAX(Q15:U15)=0,L15,INDEX(L15:P15,MATCH(MAX(Q15:U15),Q15:U15,0))))</f>
        <v>vilvah honey fix face wash</v>
      </c>
      <c r="W15" s="24" t="n">
        <f aca="false">IFERROR(INDEX('Semrush Data'!$A$1:$Z$20000,MATCH(V15,'Semrush Data'!$A$1:$A$20000,0),MATCH("Volume",'Semrush Data'!$A$1:$Z$1,0)),"")</f>
        <v>0</v>
      </c>
      <c r="X15" s="24" t="n">
        <f aca="false">IFERROR(INDEX('Semrush Data'!$A$1:$Z$20000,MATCH(V15,'Semrush Data'!$A$1:$A$20000,0),MATCH("Keyword Difficulty*",'Semrush Data'!$A$1:$Z$1,0)),"")</f>
        <v>23</v>
      </c>
      <c r="Y15" s="26" t="n">
        <f aca="false">IFERROR(INDEX('Semrush Data'!$A$1:$Z$20000,MATCH(V15,'Semrush Data'!$A$1:$A$20000,0),MATCH("CPC*",'Semrush Data'!$A$1:$Z$1,0)),"")</f>
        <v>0</v>
      </c>
      <c r="Z15" s="23" t="s">
        <v>1481</v>
      </c>
      <c r="AA15" s="23" t="s">
        <v>495</v>
      </c>
      <c r="AB15" s="23" t="s">
        <v>491</v>
      </c>
      <c r="AC15" s="23" t="s">
        <v>1537</v>
      </c>
      <c r="AD15" s="27" t="n">
        <f aca="false">LEN(AC15)</f>
        <v>53</v>
      </c>
      <c r="AE15" s="23" t="s">
        <v>1538</v>
      </c>
      <c r="AF15" s="27" t="n">
        <f aca="false">LEN(AE15)</f>
        <v>158</v>
      </c>
    </row>
    <row r="16" customFormat="false" ht="15" hidden="false" customHeight="true" outlineLevel="0" collapsed="false">
      <c r="A16" s="23" t="s">
        <v>496</v>
      </c>
      <c r="B16" s="23" t="s">
        <v>1432</v>
      </c>
      <c r="C16" s="23" t="n">
        <v>15</v>
      </c>
      <c r="D16" s="23" t="s">
        <v>373</v>
      </c>
      <c r="E16" s="23"/>
      <c r="F16" s="23" t="s">
        <v>1433</v>
      </c>
      <c r="G16" s="23" t="s">
        <v>456</v>
      </c>
      <c r="H16" s="23" t="s">
        <v>457</v>
      </c>
      <c r="I16" s="23" t="s">
        <v>497</v>
      </c>
      <c r="J16" s="23" t="s">
        <v>1504</v>
      </c>
      <c r="K16" s="23" t="n">
        <v>6.99</v>
      </c>
      <c r="L16" s="23" t="s">
        <v>1539</v>
      </c>
      <c r="M16" s="23" t="s">
        <v>1540</v>
      </c>
      <c r="N16" s="23" t="s">
        <v>1541</v>
      </c>
      <c r="O16" s="23" t="s">
        <v>1542</v>
      </c>
      <c r="P16" s="23"/>
      <c r="Q16" s="24" t="n">
        <f aca="false">IF(L16="","",IFERROR(INDEX('Semrush Data'!$A$1:$Z$20000,MATCH(L16,'Semrush Data'!$A$1:$A$20000,0),MATCH("Volume",'Semrush Data'!$A$1:$Z$1,0)),""))</f>
        <v>0</v>
      </c>
      <c r="R16" s="24" t="str">
        <f aca="false">IF(M16="","",IFERROR(INDEX('Semrush Data'!$A$1:$Z$20000,MATCH(M16,'Semrush Data'!$A$1:$A$20000,0),MATCH("Volume",'Semrush Data'!$A$1:$Z$1,0)),""))</f>
        <v/>
      </c>
      <c r="S16" s="24" t="str">
        <f aca="false">IF(N16="","",IFERROR(INDEX('Semrush Data'!$A$1:$Z$20000,MATCH(N16,'Semrush Data'!$A$1:$A$20000,0),MATCH("Volume",'Semrush Data'!$A$1:$Z$1,0)),""))</f>
        <v/>
      </c>
      <c r="T16" s="24" t="str">
        <f aca="false">IF(O16="","",IFERROR(INDEX('Semrush Data'!$A$1:$Z$20000,MATCH(O16,'Semrush Data'!$A$1:$A$20000,0),MATCH("Volume",'Semrush Data'!$A$1:$Z$1,0)),""))</f>
        <v/>
      </c>
      <c r="U16" s="24" t="str">
        <f aca="false">IF(P16="","",IFERROR(INDEX('Semrush Data'!$A$1:$Z$20000,MATCH(P16,'Semrush Data'!$A$1:$A$20000,0),MATCH("Volume",'Semrush Data'!$A$1:$Z$1,0)),""))</f>
        <v/>
      </c>
      <c r="V16" s="25" t="str">
        <f aca="false">IF(COUNT(Q16:U16)=0,L16,IF(MAX(Q16:U16)=0,L16,INDEX(L16:P16,MATCH(MAX(Q16:U16),Q16:U16,0))))</f>
        <v>vilvah lip balm - lemon</v>
      </c>
      <c r="W16" s="24" t="n">
        <f aca="false">IFERROR(INDEX('Semrush Data'!$A$1:$Z$20000,MATCH(V16,'Semrush Data'!$A$1:$A$20000,0),MATCH("Volume",'Semrush Data'!$A$1:$Z$1,0)),"")</f>
        <v>0</v>
      </c>
      <c r="X16" s="24" t="n">
        <f aca="false">IFERROR(INDEX('Semrush Data'!$A$1:$Z$20000,MATCH(V16,'Semrush Data'!$A$1:$A$20000,0),MATCH("Keyword Difficulty*",'Semrush Data'!$A$1:$Z$1,0)),"")</f>
        <v>28</v>
      </c>
      <c r="Y16" s="26" t="n">
        <f aca="false">IFERROR(INDEX('Semrush Data'!$A$1:$Z$20000,MATCH(V16,'Semrush Data'!$A$1:$A$20000,0),MATCH("CPC*",'Semrush Data'!$A$1:$Z$1,0)),"")</f>
        <v>0</v>
      </c>
      <c r="Z16" s="23" t="s">
        <v>1509</v>
      </c>
      <c r="AA16" s="23" t="s">
        <v>502</v>
      </c>
      <c r="AB16" s="23" t="s">
        <v>498</v>
      </c>
      <c r="AC16" s="23" t="s">
        <v>1543</v>
      </c>
      <c r="AD16" s="27" t="n">
        <f aca="false">LEN(AC16)</f>
        <v>50</v>
      </c>
      <c r="AE16" s="23" t="s">
        <v>1544</v>
      </c>
      <c r="AF16" s="27" t="n">
        <f aca="false">LEN(AE16)</f>
        <v>157</v>
      </c>
    </row>
    <row r="17" customFormat="false" ht="15" hidden="false" customHeight="true" outlineLevel="0" collapsed="false">
      <c r="A17" s="23" t="s">
        <v>503</v>
      </c>
      <c r="B17" s="23" t="s">
        <v>1432</v>
      </c>
      <c r="C17" s="23" t="n">
        <v>16</v>
      </c>
      <c r="D17" s="23" t="s">
        <v>373</v>
      </c>
      <c r="E17" s="23"/>
      <c r="F17" s="23" t="s">
        <v>1451</v>
      </c>
      <c r="G17" s="23" t="s">
        <v>505</v>
      </c>
      <c r="H17" s="23" t="s">
        <v>435</v>
      </c>
      <c r="I17" s="23" t="s">
        <v>504</v>
      </c>
      <c r="J17" s="23" t="s">
        <v>1518</v>
      </c>
      <c r="K17" s="23" t="n">
        <v>25.99</v>
      </c>
      <c r="L17" s="23" t="s">
        <v>1545</v>
      </c>
      <c r="M17" s="23" t="s">
        <v>1546</v>
      </c>
      <c r="N17" s="23" t="s">
        <v>1547</v>
      </c>
      <c r="O17" s="23" t="s">
        <v>1548</v>
      </c>
      <c r="P17" s="23"/>
      <c r="Q17" s="24" t="n">
        <f aca="false">IF(L17="","",IFERROR(INDEX('Semrush Data'!$A$1:$Z$20000,MATCH(L17,'Semrush Data'!$A$1:$A$20000,0),MATCH("Volume",'Semrush Data'!$A$1:$Z$1,0)),""))</f>
        <v>10</v>
      </c>
      <c r="R17" s="24" t="str">
        <f aca="false">IF(M17="","",IFERROR(INDEX('Semrush Data'!$A$1:$Z$20000,MATCH(M17,'Semrush Data'!$A$1:$A$20000,0),MATCH("Volume",'Semrush Data'!$A$1:$Z$1,0)),""))</f>
        <v/>
      </c>
      <c r="S17" s="24" t="str">
        <f aca="false">IF(N17="","",IFERROR(INDEX('Semrush Data'!$A$1:$Z$20000,MATCH(N17,'Semrush Data'!$A$1:$A$20000,0),MATCH("Volume",'Semrush Data'!$A$1:$Z$1,0)),""))</f>
        <v/>
      </c>
      <c r="T17" s="24" t="str">
        <f aca="false">IF(O17="","",IFERROR(INDEX('Semrush Data'!$A$1:$Z$20000,MATCH(O17,'Semrush Data'!$A$1:$A$20000,0),MATCH("Volume",'Semrush Data'!$A$1:$Z$1,0)),""))</f>
        <v/>
      </c>
      <c r="U17" s="24" t="str">
        <f aca="false">IF(P17="","",IFERROR(INDEX('Semrush Data'!$A$1:$Z$20000,MATCH(P17,'Semrush Data'!$A$1:$A$20000,0),MATCH("Volume",'Semrush Data'!$A$1:$Z$1,0)),""))</f>
        <v/>
      </c>
      <c r="V17" s="25" t="str">
        <f aca="false">IF(COUNT(Q17:U17)=0,L17,IF(MAX(Q17:U17)=0,L17,INDEX(L17:P17,MATCH(MAX(Q17:U17),Q17:U17,0))))</f>
        <v>vilvah milk body lotion</v>
      </c>
      <c r="W17" s="24" t="n">
        <f aca="false">IFERROR(INDEX('Semrush Data'!$A$1:$Z$20000,MATCH(V17,'Semrush Data'!$A$1:$A$20000,0),MATCH("Volume",'Semrush Data'!$A$1:$Z$1,0)),"")</f>
        <v>10</v>
      </c>
      <c r="X17" s="24" t="n">
        <f aca="false">IFERROR(INDEX('Semrush Data'!$A$1:$Z$20000,MATCH(V17,'Semrush Data'!$A$1:$A$20000,0),MATCH("Keyword Difficulty*",'Semrush Data'!$A$1:$Z$1,0)),"")</f>
        <v>7</v>
      </c>
      <c r="Y17" s="26" t="n">
        <f aca="false">IFERROR(INDEX('Semrush Data'!$A$1:$Z$20000,MATCH(V17,'Semrush Data'!$A$1:$A$20000,0),MATCH("CPC*",'Semrush Data'!$A$1:$Z$1,0)),"")</f>
        <v>0</v>
      </c>
      <c r="Z17" s="23" t="s">
        <v>1549</v>
      </c>
      <c r="AA17" s="23" t="s">
        <v>511</v>
      </c>
      <c r="AB17" s="23" t="s">
        <v>507</v>
      </c>
      <c r="AC17" s="23" t="s">
        <v>1550</v>
      </c>
      <c r="AD17" s="27" t="n">
        <f aca="false">LEN(AC17)</f>
        <v>50</v>
      </c>
      <c r="AE17" s="23" t="s">
        <v>1551</v>
      </c>
      <c r="AF17" s="27" t="n">
        <f aca="false">LEN(AE17)</f>
        <v>160</v>
      </c>
    </row>
    <row r="18" customFormat="false" ht="15" hidden="false" customHeight="true" outlineLevel="0" collapsed="false">
      <c r="A18" s="23" t="s">
        <v>512</v>
      </c>
      <c r="B18" s="23" t="s">
        <v>1432</v>
      </c>
      <c r="C18" s="23" t="n">
        <v>17</v>
      </c>
      <c r="D18" s="23" t="s">
        <v>373</v>
      </c>
      <c r="E18" s="23"/>
      <c r="F18" s="23" t="s">
        <v>1433</v>
      </c>
      <c r="G18" s="23" t="s">
        <v>375</v>
      </c>
      <c r="H18" s="23" t="s">
        <v>435</v>
      </c>
      <c r="I18" s="23" t="s">
        <v>513</v>
      </c>
      <c r="J18" s="23" t="s">
        <v>1434</v>
      </c>
      <c r="K18" s="23" t="n">
        <v>19.99</v>
      </c>
      <c r="L18" s="23" t="s">
        <v>1552</v>
      </c>
      <c r="M18" s="23" t="s">
        <v>1553</v>
      </c>
      <c r="N18" s="23" t="s">
        <v>1554</v>
      </c>
      <c r="O18" s="23" t="s">
        <v>1555</v>
      </c>
      <c r="P18" s="23"/>
      <c r="Q18" s="24" t="n">
        <f aca="false">IF(L18="","",IFERROR(INDEX('Semrush Data'!$A$1:$Z$20000,MATCH(L18,'Semrush Data'!$A$1:$A$20000,0),MATCH("Volume",'Semrush Data'!$A$1:$Z$1,0)),""))</f>
        <v>0</v>
      </c>
      <c r="R18" s="24" t="str">
        <f aca="false">IF(M18="","",IFERROR(INDEX('Semrush Data'!$A$1:$Z$20000,MATCH(M18,'Semrush Data'!$A$1:$A$20000,0),MATCH("Volume",'Semrush Data'!$A$1:$Z$1,0)),""))</f>
        <v/>
      </c>
      <c r="S18" s="24" t="str">
        <f aca="false">IF(N18="","",IFERROR(INDEX('Semrush Data'!$A$1:$Z$20000,MATCH(N18,'Semrush Data'!$A$1:$A$20000,0),MATCH("Volume",'Semrush Data'!$A$1:$Z$1,0)),""))</f>
        <v/>
      </c>
      <c r="T18" s="24" t="str">
        <f aca="false">IF(O18="","",IFERROR(INDEX('Semrush Data'!$A$1:$Z$20000,MATCH(O18,'Semrush Data'!$A$1:$A$20000,0),MATCH("Volume",'Semrush Data'!$A$1:$Z$1,0)),""))</f>
        <v/>
      </c>
      <c r="U18" s="24" t="str">
        <f aca="false">IF(P18="","",IFERROR(INDEX('Semrush Data'!$A$1:$Z$20000,MATCH(P18,'Semrush Data'!$A$1:$A$20000,0),MATCH("Volume",'Semrush Data'!$A$1:$Z$1,0)),""))</f>
        <v/>
      </c>
      <c r="V18" s="25" t="str">
        <f aca="false">IF(COUNT(Q18:U18)=0,L18,IF(MAX(Q18:U18)=0,L18,INDEX(L18:P18,MATCH(MAX(Q18:U18),Q18:U18,0))))</f>
        <v>vilvah milk face toner</v>
      </c>
      <c r="W18" s="24" t="n">
        <f aca="false">IFERROR(INDEX('Semrush Data'!$A$1:$Z$20000,MATCH(V18,'Semrush Data'!$A$1:$A$20000,0),MATCH("Volume",'Semrush Data'!$A$1:$Z$1,0)),"")</f>
        <v>0</v>
      </c>
      <c r="X18" s="24" t="n">
        <f aca="false">IFERROR(INDEX('Semrush Data'!$A$1:$Z$20000,MATCH(V18,'Semrush Data'!$A$1:$A$20000,0),MATCH("Keyword Difficulty*",'Semrush Data'!$A$1:$Z$1,0)),"")</f>
        <v>20</v>
      </c>
      <c r="Y18" s="26" t="n">
        <f aca="false">IFERROR(INDEX('Semrush Data'!$A$1:$Z$20000,MATCH(V18,'Semrush Data'!$A$1:$A$20000,0),MATCH("CPC*",'Semrush Data'!$A$1:$Z$1,0)),"")</f>
        <v>0</v>
      </c>
      <c r="Z18" s="23" t="s">
        <v>1556</v>
      </c>
      <c r="AA18" s="23" t="s">
        <v>518</v>
      </c>
      <c r="AB18" s="23" t="s">
        <v>514</v>
      </c>
      <c r="AC18" s="23" t="s">
        <v>1557</v>
      </c>
      <c r="AD18" s="27" t="n">
        <f aca="false">LEN(AC18)</f>
        <v>55</v>
      </c>
      <c r="AE18" s="23" t="s">
        <v>1558</v>
      </c>
      <c r="AF18" s="27" t="n">
        <f aca="false">LEN(AE18)</f>
        <v>160</v>
      </c>
    </row>
    <row r="19" customFormat="false" ht="15" hidden="false" customHeight="true" outlineLevel="0" collapsed="false">
      <c r="A19" s="23" t="s">
        <v>519</v>
      </c>
      <c r="B19" s="23" t="s">
        <v>1432</v>
      </c>
      <c r="C19" s="23" t="n">
        <v>18</v>
      </c>
      <c r="D19" s="23" t="s">
        <v>373</v>
      </c>
      <c r="E19" s="23"/>
      <c r="F19" s="23" t="s">
        <v>1433</v>
      </c>
      <c r="G19" s="23" t="s">
        <v>521</v>
      </c>
      <c r="H19" s="23" t="s">
        <v>376</v>
      </c>
      <c r="I19" s="23" t="s">
        <v>520</v>
      </c>
      <c r="J19" s="23" t="s">
        <v>1443</v>
      </c>
      <c r="K19" s="23" t="n">
        <v>19.99</v>
      </c>
      <c r="L19" s="23" t="s">
        <v>1559</v>
      </c>
      <c r="M19" s="23" t="s">
        <v>1560</v>
      </c>
      <c r="N19" s="23" t="s">
        <v>1561</v>
      </c>
      <c r="O19" s="23" t="s">
        <v>1562</v>
      </c>
      <c r="P19" s="23"/>
      <c r="Q19" s="24" t="n">
        <f aca="false">IF(L19="","",IFERROR(INDEX('Semrush Data'!$A$1:$Z$20000,MATCH(L19,'Semrush Data'!$A$1:$A$20000,0),MATCH("Volume",'Semrush Data'!$A$1:$Z$1,0)),""))</f>
        <v>20</v>
      </c>
      <c r="R19" s="24" t="str">
        <f aca="false">IF(M19="","",IFERROR(INDEX('Semrush Data'!$A$1:$Z$20000,MATCH(M19,'Semrush Data'!$A$1:$A$20000,0),MATCH("Volume",'Semrush Data'!$A$1:$Z$1,0)),""))</f>
        <v/>
      </c>
      <c r="S19" s="24" t="str">
        <f aca="false">IF(N19="","",IFERROR(INDEX('Semrush Data'!$A$1:$Z$20000,MATCH(N19,'Semrush Data'!$A$1:$A$20000,0),MATCH("Volume",'Semrush Data'!$A$1:$Z$1,0)),""))</f>
        <v/>
      </c>
      <c r="T19" s="24" t="str">
        <f aca="false">IF(O19="","",IFERROR(INDEX('Semrush Data'!$A$1:$Z$20000,MATCH(O19,'Semrush Data'!$A$1:$A$20000,0),MATCH("Volume",'Semrush Data'!$A$1:$Z$1,0)),""))</f>
        <v/>
      </c>
      <c r="U19" s="24" t="str">
        <f aca="false">IF(P19="","",IFERROR(INDEX('Semrush Data'!$A$1:$Z$20000,MATCH(P19,'Semrush Data'!$A$1:$A$20000,0),MATCH("Volume",'Semrush Data'!$A$1:$Z$1,0)),""))</f>
        <v/>
      </c>
      <c r="V19" s="25" t="str">
        <f aca="false">IF(COUNT(Q19:U19)=0,L19,IF(MAX(Q19:U19)=0,L19,INDEX(L19:P19,MATCH(MAX(Q19:U19),Q19:U19,0))))</f>
        <v>vilvah milk mud mask</v>
      </c>
      <c r="W19" s="24" t="n">
        <f aca="false">IFERROR(INDEX('Semrush Data'!$A$1:$Z$20000,MATCH(V19,'Semrush Data'!$A$1:$A$20000,0),MATCH("Volume",'Semrush Data'!$A$1:$Z$1,0)),"")</f>
        <v>20</v>
      </c>
      <c r="X19" s="24" t="n">
        <f aca="false">IFERROR(INDEX('Semrush Data'!$A$1:$Z$20000,MATCH(V19,'Semrush Data'!$A$1:$A$20000,0),MATCH("Keyword Difficulty*",'Semrush Data'!$A$1:$Z$1,0)),"")</f>
        <v>10</v>
      </c>
      <c r="Y19" s="26" t="n">
        <f aca="false">IFERROR(INDEX('Semrush Data'!$A$1:$Z$20000,MATCH(V19,'Semrush Data'!$A$1:$A$20000,0),MATCH("CPC*",'Semrush Data'!$A$1:$Z$1,0)),"")</f>
        <v>0</v>
      </c>
      <c r="Z19" s="23" t="s">
        <v>1563</v>
      </c>
      <c r="AA19" s="23" t="s">
        <v>527</v>
      </c>
      <c r="AB19" s="23" t="s">
        <v>523</v>
      </c>
      <c r="AC19" s="23" t="s">
        <v>1564</v>
      </c>
      <c r="AD19" s="27" t="n">
        <f aca="false">LEN(AC19)</f>
        <v>52</v>
      </c>
      <c r="AE19" s="23" t="s">
        <v>1565</v>
      </c>
      <c r="AF19" s="27" t="n">
        <f aca="false">LEN(AE19)</f>
        <v>158</v>
      </c>
    </row>
    <row r="20" customFormat="false" ht="15" hidden="false" customHeight="true" outlineLevel="0" collapsed="false">
      <c r="A20" s="23" t="s">
        <v>528</v>
      </c>
      <c r="B20" s="23" t="s">
        <v>1432</v>
      </c>
      <c r="C20" s="23" t="n">
        <v>19</v>
      </c>
      <c r="D20" s="23" t="s">
        <v>373</v>
      </c>
      <c r="E20" s="23"/>
      <c r="F20" s="23" t="s">
        <v>1433</v>
      </c>
      <c r="G20" s="23" t="s">
        <v>521</v>
      </c>
      <c r="H20" s="23" t="s">
        <v>376</v>
      </c>
      <c r="I20" s="23" t="s">
        <v>529</v>
      </c>
      <c r="J20" s="23" t="s">
        <v>1566</v>
      </c>
      <c r="K20" s="23" t="n">
        <v>11.99</v>
      </c>
      <c r="L20" s="23" t="s">
        <v>1567</v>
      </c>
      <c r="M20" s="23" t="s">
        <v>1568</v>
      </c>
      <c r="N20" s="23" t="s">
        <v>1569</v>
      </c>
      <c r="O20" s="23" t="s">
        <v>1570</v>
      </c>
      <c r="P20" s="23"/>
      <c r="Q20" s="24" t="n">
        <f aca="false">IF(L20="","",IFERROR(INDEX('Semrush Data'!$A$1:$Z$20000,MATCH(L20,'Semrush Data'!$A$1:$A$20000,0),MATCH("Volume",'Semrush Data'!$A$1:$Z$1,0)),""))</f>
        <v>0</v>
      </c>
      <c r="R20" s="24" t="str">
        <f aca="false">IF(M20="","",IFERROR(INDEX('Semrush Data'!$A$1:$Z$20000,MATCH(M20,'Semrush Data'!$A$1:$A$20000,0),MATCH("Volume",'Semrush Data'!$A$1:$Z$1,0)),""))</f>
        <v/>
      </c>
      <c r="S20" s="24" t="str">
        <f aca="false">IF(N20="","",IFERROR(INDEX('Semrush Data'!$A$1:$Z$20000,MATCH(N20,'Semrush Data'!$A$1:$A$20000,0),MATCH("Volume",'Semrush Data'!$A$1:$Z$1,0)),""))</f>
        <v/>
      </c>
      <c r="T20" s="24" t="str">
        <f aca="false">IF(O20="","",IFERROR(INDEX('Semrush Data'!$A$1:$Z$20000,MATCH(O20,'Semrush Data'!$A$1:$A$20000,0),MATCH("Volume",'Semrush Data'!$A$1:$Z$1,0)),""))</f>
        <v/>
      </c>
      <c r="U20" s="24" t="str">
        <f aca="false">IF(P20="","",IFERROR(INDEX('Semrush Data'!$A$1:$Z$20000,MATCH(P20,'Semrush Data'!$A$1:$A$20000,0),MATCH("Volume",'Semrush Data'!$A$1:$Z$1,0)),""))</f>
        <v/>
      </c>
      <c r="V20" s="25" t="str">
        <f aca="false">IF(COUNT(Q20:U20)=0,L20,IF(MAX(Q20:U20)=0,L20,INDEX(L20:P20,MATCH(MAX(Q20:U20),Q20:U20,0))))</f>
        <v>vilvah wild rose facemask</v>
      </c>
      <c r="W20" s="24" t="n">
        <f aca="false">IFERROR(INDEX('Semrush Data'!$A$1:$Z$20000,MATCH(V20,'Semrush Data'!$A$1:$A$20000,0),MATCH("Volume",'Semrush Data'!$A$1:$Z$1,0)),"")</f>
        <v>0</v>
      </c>
      <c r="X20" s="24" t="n">
        <f aca="false">IFERROR(INDEX('Semrush Data'!$A$1:$Z$20000,MATCH(V20,'Semrush Data'!$A$1:$A$20000,0),MATCH("Keyword Difficulty*",'Semrush Data'!$A$1:$Z$1,0)),"")</f>
        <v>20</v>
      </c>
      <c r="Y20" s="26" t="n">
        <f aca="false">IFERROR(INDEX('Semrush Data'!$A$1:$Z$20000,MATCH(V20,'Semrush Data'!$A$1:$A$20000,0),MATCH("CPC*",'Semrush Data'!$A$1:$Z$1,0)),"")</f>
        <v>0</v>
      </c>
      <c r="Z20" s="23" t="s">
        <v>1563</v>
      </c>
      <c r="AA20" s="23"/>
      <c r="AB20" s="23" t="s">
        <v>530</v>
      </c>
      <c r="AC20" s="23" t="s">
        <v>1571</v>
      </c>
      <c r="AD20" s="27" t="n">
        <f aca="false">LEN(AC20)</f>
        <v>52</v>
      </c>
      <c r="AE20" s="23" t="s">
        <v>1572</v>
      </c>
      <c r="AF20" s="27" t="n">
        <f aca="false">LEN(AE20)</f>
        <v>160</v>
      </c>
    </row>
    <row r="21" customFormat="false" ht="15" hidden="false" customHeight="true" outlineLevel="0" collapsed="false">
      <c r="A21" s="23" t="s">
        <v>534</v>
      </c>
      <c r="B21" s="23" t="s">
        <v>1432</v>
      </c>
      <c r="C21" s="23" t="n">
        <v>20</v>
      </c>
      <c r="D21" s="23" t="s">
        <v>373</v>
      </c>
      <c r="E21" s="23"/>
      <c r="F21" s="23" t="s">
        <v>1433</v>
      </c>
      <c r="G21" s="23" t="s">
        <v>434</v>
      </c>
      <c r="H21" s="23" t="s">
        <v>376</v>
      </c>
      <c r="I21" s="23" t="s">
        <v>535</v>
      </c>
      <c r="J21" s="23" t="s">
        <v>1434</v>
      </c>
      <c r="K21" s="23" t="n">
        <v>9.99</v>
      </c>
      <c r="L21" s="23" t="s">
        <v>1573</v>
      </c>
      <c r="M21" s="23" t="s">
        <v>1574</v>
      </c>
      <c r="N21" s="23" t="s">
        <v>1575</v>
      </c>
      <c r="O21" s="23" t="s">
        <v>1576</v>
      </c>
      <c r="P21" s="23"/>
      <c r="Q21" s="24" t="n">
        <f aca="false">IF(L21="","",IFERROR(INDEX('Semrush Data'!$A$1:$Z$20000,MATCH(L21,'Semrush Data'!$A$1:$A$20000,0),MATCH("Volume",'Semrush Data'!$A$1:$Z$1,0)),""))</f>
        <v>20</v>
      </c>
      <c r="R21" s="24" t="str">
        <f aca="false">IF(M21="","",IFERROR(INDEX('Semrush Data'!$A$1:$Z$20000,MATCH(M21,'Semrush Data'!$A$1:$A$20000,0),MATCH("Volume",'Semrush Data'!$A$1:$Z$1,0)),""))</f>
        <v/>
      </c>
      <c r="S21" s="24" t="str">
        <f aca="false">IF(N21="","",IFERROR(INDEX('Semrush Data'!$A$1:$Z$20000,MATCH(N21,'Semrush Data'!$A$1:$A$20000,0),MATCH("Volume",'Semrush Data'!$A$1:$Z$1,0)),""))</f>
        <v/>
      </c>
      <c r="T21" s="24" t="str">
        <f aca="false">IF(O21="","",IFERROR(INDEX('Semrush Data'!$A$1:$Z$20000,MATCH(O21,'Semrush Data'!$A$1:$A$20000,0),MATCH("Volume",'Semrush Data'!$A$1:$Z$1,0)),""))</f>
        <v/>
      </c>
      <c r="U21" s="24" t="str">
        <f aca="false">IF(P21="","",IFERROR(INDEX('Semrush Data'!$A$1:$Z$20000,MATCH(P21,'Semrush Data'!$A$1:$A$20000,0),MATCH("Volume",'Semrush Data'!$A$1:$Z$1,0)),""))</f>
        <v/>
      </c>
      <c r="V21" s="25" t="str">
        <f aca="false">IF(COUNT(Q21:U21)=0,L21,IF(MAX(Q21:U21)=0,L21,INDEX(L21:P21,MATCH(MAX(Q21:U21),Q21:U21,0))))</f>
        <v>vilvah aloe vera gel</v>
      </c>
      <c r="W21" s="24" t="n">
        <f aca="false">IFERROR(INDEX('Semrush Data'!$A$1:$Z$20000,MATCH(V21,'Semrush Data'!$A$1:$A$20000,0),MATCH("Volume",'Semrush Data'!$A$1:$Z$1,0)),"")</f>
        <v>20</v>
      </c>
      <c r="X21" s="24" t="n">
        <f aca="false">IFERROR(INDEX('Semrush Data'!$A$1:$Z$20000,MATCH(V21,'Semrush Data'!$A$1:$A$20000,0),MATCH("Keyword Difficulty*",'Semrush Data'!$A$1:$Z$1,0)),"")</f>
        <v>22</v>
      </c>
      <c r="Y21" s="26" t="n">
        <f aca="false">IFERROR(INDEX('Semrush Data'!$A$1:$Z$20000,MATCH(V21,'Semrush Data'!$A$1:$A$20000,0),MATCH("CPC*",'Semrush Data'!$A$1:$Z$1,0)),"")</f>
        <v>0</v>
      </c>
      <c r="Z21" s="23" t="s">
        <v>1577</v>
      </c>
      <c r="AA21" s="23" t="s">
        <v>540</v>
      </c>
      <c r="AB21" s="23" t="s">
        <v>536</v>
      </c>
      <c r="AC21" s="23" t="s">
        <v>1578</v>
      </c>
      <c r="AD21" s="27" t="n">
        <f aca="false">LEN(AC21)</f>
        <v>53</v>
      </c>
      <c r="AE21" s="23" t="s">
        <v>1579</v>
      </c>
      <c r="AF21" s="27" t="n">
        <f aca="false">LEN(AE21)</f>
        <v>160</v>
      </c>
    </row>
    <row r="22" customFormat="false" ht="15" hidden="false" customHeight="true" outlineLevel="0" collapsed="false">
      <c r="A22" s="23" t="s">
        <v>541</v>
      </c>
      <c r="B22" s="23" t="s">
        <v>1432</v>
      </c>
      <c r="C22" s="23" t="n">
        <v>21</v>
      </c>
      <c r="D22" s="23" t="s">
        <v>373</v>
      </c>
      <c r="E22" s="23"/>
      <c r="F22" s="23" t="s">
        <v>1442</v>
      </c>
      <c r="G22" s="23" t="s">
        <v>385</v>
      </c>
      <c r="H22" s="23" t="s">
        <v>543</v>
      </c>
      <c r="I22" s="23" t="s">
        <v>542</v>
      </c>
      <c r="J22" s="23" t="s">
        <v>1434</v>
      </c>
      <c r="K22" s="23" t="n">
        <v>19.99</v>
      </c>
      <c r="L22" s="23" t="s">
        <v>1580</v>
      </c>
      <c r="M22" s="23" t="s">
        <v>1581</v>
      </c>
      <c r="N22" s="23" t="s">
        <v>1582</v>
      </c>
      <c r="O22" s="23" t="s">
        <v>1583</v>
      </c>
      <c r="P22" s="23"/>
      <c r="Q22" s="24" t="n">
        <f aca="false">IF(L22="","",IFERROR(INDEX('Semrush Data'!$A$1:$Z$20000,MATCH(L22,'Semrush Data'!$A$1:$A$20000,0),MATCH("Volume",'Semrush Data'!$A$1:$Z$1,0)),""))</f>
        <v>0</v>
      </c>
      <c r="R22" s="24" t="str">
        <f aca="false">IF(M22="","",IFERROR(INDEX('Semrush Data'!$A$1:$Z$20000,MATCH(M22,'Semrush Data'!$A$1:$A$20000,0),MATCH("Volume",'Semrush Data'!$A$1:$Z$1,0)),""))</f>
        <v/>
      </c>
      <c r="S22" s="24" t="str">
        <f aca="false">IF(N22="","",IFERROR(INDEX('Semrush Data'!$A$1:$Z$20000,MATCH(N22,'Semrush Data'!$A$1:$A$20000,0),MATCH("Volume",'Semrush Data'!$A$1:$Z$1,0)),""))</f>
        <v/>
      </c>
      <c r="T22" s="24" t="str">
        <f aca="false">IF(O22="","",IFERROR(INDEX('Semrush Data'!$A$1:$Z$20000,MATCH(O22,'Semrush Data'!$A$1:$A$20000,0),MATCH("Volume",'Semrush Data'!$A$1:$Z$1,0)),""))</f>
        <v/>
      </c>
      <c r="U22" s="24" t="str">
        <f aca="false">IF(P22="","",IFERROR(INDEX('Semrush Data'!$A$1:$Z$20000,MATCH(P22,'Semrush Data'!$A$1:$A$20000,0),MATCH("Volume",'Semrush Data'!$A$1:$Z$1,0)),""))</f>
        <v/>
      </c>
      <c r="V22" s="25" t="str">
        <f aca="false">IF(COUNT(Q22:U22)=0,L22,IF(MAX(Q22:U22)=0,L22,INDEX(L22:P22,MATCH(MAX(Q22:U22),Q22:U22,0))))</f>
        <v>vilvah anti-dandruff hair oil</v>
      </c>
      <c r="W22" s="24" t="n">
        <f aca="false">IFERROR(INDEX('Semrush Data'!$A$1:$Z$20000,MATCH(V22,'Semrush Data'!$A$1:$A$20000,0),MATCH("Volume",'Semrush Data'!$A$1:$Z$1,0)),"")</f>
        <v>0</v>
      </c>
      <c r="X22" s="24" t="n">
        <f aca="false">IFERROR(INDEX('Semrush Data'!$A$1:$Z$20000,MATCH(V22,'Semrush Data'!$A$1:$A$20000,0),MATCH("Keyword Difficulty*",'Semrush Data'!$A$1:$Z$1,0)),"")</f>
        <v>24</v>
      </c>
      <c r="Y22" s="26" t="n">
        <f aca="false">IFERROR(INDEX('Semrush Data'!$A$1:$Z$20000,MATCH(V22,'Semrush Data'!$A$1:$A$20000,0),MATCH("CPC*",'Semrush Data'!$A$1:$Z$1,0)),"")</f>
        <v>0</v>
      </c>
      <c r="Z22" s="23" t="s">
        <v>1584</v>
      </c>
      <c r="AA22" s="23" t="s">
        <v>548</v>
      </c>
      <c r="AB22" s="23" t="s">
        <v>544</v>
      </c>
      <c r="AC22" s="23" t="s">
        <v>1585</v>
      </c>
      <c r="AD22" s="27" t="n">
        <f aca="false">LEN(AC22)</f>
        <v>56</v>
      </c>
      <c r="AE22" s="23" t="s">
        <v>1586</v>
      </c>
      <c r="AF22" s="27" t="n">
        <f aca="false">LEN(AE22)</f>
        <v>155</v>
      </c>
    </row>
    <row r="23" customFormat="false" ht="15" hidden="false" customHeight="true" outlineLevel="0" collapsed="false">
      <c r="A23" s="23" t="s">
        <v>549</v>
      </c>
      <c r="B23" s="23" t="s">
        <v>1432</v>
      </c>
      <c r="C23" s="23" t="n">
        <v>22</v>
      </c>
      <c r="D23" s="23" t="s">
        <v>373</v>
      </c>
      <c r="E23" s="23"/>
      <c r="F23" s="23" t="s">
        <v>1442</v>
      </c>
      <c r="G23" s="23" t="s">
        <v>551</v>
      </c>
      <c r="H23" s="23" t="s">
        <v>552</v>
      </c>
      <c r="I23" s="23" t="s">
        <v>550</v>
      </c>
      <c r="J23" s="23" t="s">
        <v>1587</v>
      </c>
      <c r="K23" s="23" t="n">
        <v>29.99</v>
      </c>
      <c r="L23" s="23" t="s">
        <v>1588</v>
      </c>
      <c r="M23" s="23" t="s">
        <v>1589</v>
      </c>
      <c r="N23" s="23" t="s">
        <v>1590</v>
      </c>
      <c r="O23" s="23" t="s">
        <v>1591</v>
      </c>
      <c r="P23" s="23"/>
      <c r="Q23" s="24" t="n">
        <f aca="false">IF(L23="","",IFERROR(INDEX('Semrush Data'!$A$1:$Z$20000,MATCH(L23,'Semrush Data'!$A$1:$A$20000,0),MATCH("Volume",'Semrush Data'!$A$1:$Z$1,0)),""))</f>
        <v>0</v>
      </c>
      <c r="R23" s="24" t="str">
        <f aca="false">IF(M23="","",IFERROR(INDEX('Semrush Data'!$A$1:$Z$20000,MATCH(M23,'Semrush Data'!$A$1:$A$20000,0),MATCH("Volume",'Semrush Data'!$A$1:$Z$1,0)),""))</f>
        <v/>
      </c>
      <c r="S23" s="24" t="str">
        <f aca="false">IF(N23="","",IFERROR(INDEX('Semrush Data'!$A$1:$Z$20000,MATCH(N23,'Semrush Data'!$A$1:$A$20000,0),MATCH("Volume",'Semrush Data'!$A$1:$Z$1,0)),""))</f>
        <v/>
      </c>
      <c r="T23" s="24" t="str">
        <f aca="false">IF(O23="","",IFERROR(INDEX('Semrush Data'!$A$1:$Z$20000,MATCH(O23,'Semrush Data'!$A$1:$A$20000,0),MATCH("Volume",'Semrush Data'!$A$1:$Z$1,0)),""))</f>
        <v/>
      </c>
      <c r="U23" s="24" t="str">
        <f aca="false">IF(P23="","",IFERROR(INDEX('Semrush Data'!$A$1:$Z$20000,MATCH(P23,'Semrush Data'!$A$1:$A$20000,0),MATCH("Volume",'Semrush Data'!$A$1:$Z$1,0)),""))</f>
        <v/>
      </c>
      <c r="V23" s="25" t="str">
        <f aca="false">IF(COUNT(Q23:U23)=0,L23,IF(MAX(Q23:U23)=0,L23,INDEX(L23:P23,MATCH(MAX(Q23:U23),Q23:U23,0))))</f>
        <v>vilvah anti-frizz hair serum</v>
      </c>
      <c r="W23" s="24" t="n">
        <f aca="false">IFERROR(INDEX('Semrush Data'!$A$1:$Z$20000,MATCH(V23,'Semrush Data'!$A$1:$A$20000,0),MATCH("Volume",'Semrush Data'!$A$1:$Z$1,0)),"")</f>
        <v>0</v>
      </c>
      <c r="X23" s="24" t="n">
        <f aca="false">IFERROR(INDEX('Semrush Data'!$A$1:$Z$20000,MATCH(V23,'Semrush Data'!$A$1:$A$20000,0),MATCH("Keyword Difficulty*",'Semrush Data'!$A$1:$Z$1,0)),"")</f>
        <v>11</v>
      </c>
      <c r="Y23" s="26" t="n">
        <f aca="false">IFERROR(INDEX('Semrush Data'!$A$1:$Z$20000,MATCH(V23,'Semrush Data'!$A$1:$A$20000,0),MATCH("CPC*",'Semrush Data'!$A$1:$Z$1,0)),"")</f>
        <v>0</v>
      </c>
      <c r="Z23" s="23" t="s">
        <v>1592</v>
      </c>
      <c r="AA23" s="23" t="s">
        <v>558</v>
      </c>
      <c r="AB23" s="23" t="s">
        <v>554</v>
      </c>
      <c r="AC23" s="23" t="s">
        <v>1593</v>
      </c>
      <c r="AD23" s="27" t="n">
        <f aca="false">LEN(AC23)</f>
        <v>55</v>
      </c>
      <c r="AE23" s="23" t="s">
        <v>1594</v>
      </c>
      <c r="AF23" s="27" t="n">
        <f aca="false">LEN(AE23)</f>
        <v>158</v>
      </c>
    </row>
    <row r="24" customFormat="false" ht="15" hidden="false" customHeight="true" outlineLevel="0" collapsed="false">
      <c r="A24" s="23" t="s">
        <v>559</v>
      </c>
      <c r="B24" s="23" t="s">
        <v>1432</v>
      </c>
      <c r="C24" s="23" t="n">
        <v>23</v>
      </c>
      <c r="D24" s="23" t="s">
        <v>373</v>
      </c>
      <c r="E24" s="23"/>
      <c r="F24" s="23" t="s">
        <v>1433</v>
      </c>
      <c r="G24" s="23" t="s">
        <v>561</v>
      </c>
      <c r="H24" s="23" t="s">
        <v>562</v>
      </c>
      <c r="I24" s="23" t="s">
        <v>560</v>
      </c>
      <c r="J24" s="23" t="s">
        <v>1595</v>
      </c>
      <c r="K24" s="23" t="n">
        <v>28.99</v>
      </c>
      <c r="L24" s="23" t="s">
        <v>1596</v>
      </c>
      <c r="M24" s="23" t="s">
        <v>1597</v>
      </c>
      <c r="N24" s="23" t="s">
        <v>1598</v>
      </c>
      <c r="O24" s="23" t="s">
        <v>1599</v>
      </c>
      <c r="P24" s="23"/>
      <c r="Q24" s="24" t="n">
        <f aca="false">IF(L24="","",IFERROR(INDEX('Semrush Data'!$A$1:$Z$20000,MATCH(L24,'Semrush Data'!$A$1:$A$20000,0),MATCH("Volume",'Semrush Data'!$A$1:$Z$1,0)),""))</f>
        <v>20</v>
      </c>
      <c r="R24" s="24" t="str">
        <f aca="false">IF(M24="","",IFERROR(INDEX('Semrush Data'!$A$1:$Z$20000,MATCH(M24,'Semrush Data'!$A$1:$A$20000,0),MATCH("Volume",'Semrush Data'!$A$1:$Z$1,0)),""))</f>
        <v/>
      </c>
      <c r="S24" s="24" t="str">
        <f aca="false">IF(N24="","",IFERROR(INDEX('Semrush Data'!$A$1:$Z$20000,MATCH(N24,'Semrush Data'!$A$1:$A$20000,0),MATCH("Volume",'Semrush Data'!$A$1:$Z$1,0)),""))</f>
        <v/>
      </c>
      <c r="T24" s="24" t="str">
        <f aca="false">IF(O24="","",IFERROR(INDEX('Semrush Data'!$A$1:$Z$20000,MATCH(O24,'Semrush Data'!$A$1:$A$20000,0),MATCH("Volume",'Semrush Data'!$A$1:$Z$1,0)),""))</f>
        <v/>
      </c>
      <c r="U24" s="24" t="str">
        <f aca="false">IF(P24="","",IFERROR(INDEX('Semrush Data'!$A$1:$Z$20000,MATCH(P24,'Semrush Data'!$A$1:$A$20000,0),MATCH("Volume",'Semrush Data'!$A$1:$Z$1,0)),""))</f>
        <v/>
      </c>
      <c r="V24" s="25" t="str">
        <f aca="false">IF(COUNT(Q24:U24)=0,L24,IF(MAX(Q24:U24)=0,L24,INDEX(L24:P24,MATCH(MAX(Q24:U24),Q24:U24,0))))</f>
        <v>vilvah better ageing serum</v>
      </c>
      <c r="W24" s="24" t="n">
        <f aca="false">IFERROR(INDEX('Semrush Data'!$A$1:$Z$20000,MATCH(V24,'Semrush Data'!$A$1:$A$20000,0),MATCH("Volume",'Semrush Data'!$A$1:$Z$1,0)),"")</f>
        <v>20</v>
      </c>
      <c r="X24" s="24" t="n">
        <f aca="false">IFERROR(INDEX('Semrush Data'!$A$1:$Z$20000,MATCH(V24,'Semrush Data'!$A$1:$A$20000,0),MATCH("Keyword Difficulty*",'Semrush Data'!$A$1:$Z$1,0)),"")</f>
        <v>14</v>
      </c>
      <c r="Y24" s="26" t="n">
        <f aca="false">IFERROR(INDEX('Semrush Data'!$A$1:$Z$20000,MATCH(V24,'Semrush Data'!$A$1:$A$20000,0),MATCH("CPC*",'Semrush Data'!$A$1:$Z$1,0)),"")</f>
        <v>0</v>
      </c>
      <c r="Z24" s="23" t="s">
        <v>1600</v>
      </c>
      <c r="AA24" s="23" t="s">
        <v>568</v>
      </c>
      <c r="AB24" s="23" t="s">
        <v>564</v>
      </c>
      <c r="AC24" s="23" t="s">
        <v>1601</v>
      </c>
      <c r="AD24" s="27" t="n">
        <f aca="false">LEN(AC24)</f>
        <v>53</v>
      </c>
      <c r="AE24" s="23" t="s">
        <v>1602</v>
      </c>
      <c r="AF24" s="27" t="n">
        <f aca="false">LEN(AE24)</f>
        <v>157</v>
      </c>
    </row>
    <row r="25" customFormat="false" ht="15" hidden="false" customHeight="true" outlineLevel="0" collapsed="false">
      <c r="A25" s="23" t="s">
        <v>569</v>
      </c>
      <c r="B25" s="23" t="s">
        <v>1432</v>
      </c>
      <c r="C25" s="23" t="n">
        <v>24</v>
      </c>
      <c r="D25" s="23" t="s">
        <v>373</v>
      </c>
      <c r="E25" s="23"/>
      <c r="F25" s="23" t="s">
        <v>1433</v>
      </c>
      <c r="G25" s="23" t="s">
        <v>521</v>
      </c>
      <c r="H25" s="23" t="s">
        <v>571</v>
      </c>
      <c r="I25" s="23" t="s">
        <v>570</v>
      </c>
      <c r="J25" s="23" t="s">
        <v>1434</v>
      </c>
      <c r="K25" s="23" t="n">
        <v>12.99</v>
      </c>
      <c r="L25" s="23" t="s">
        <v>1603</v>
      </c>
      <c r="M25" s="23" t="s">
        <v>1604</v>
      </c>
      <c r="N25" s="23" t="s">
        <v>1605</v>
      </c>
      <c r="O25" s="23" t="s">
        <v>1606</v>
      </c>
      <c r="P25" s="23"/>
      <c r="Q25" s="24" t="n">
        <f aca="false">IF(L25="","",IFERROR(INDEX('Semrush Data'!$A$1:$Z$20000,MATCH(L25,'Semrush Data'!$A$1:$A$20000,0),MATCH("Volume",'Semrush Data'!$A$1:$Z$1,0)),""))</f>
        <v>0</v>
      </c>
      <c r="R25" s="24" t="str">
        <f aca="false">IF(M25="","",IFERROR(INDEX('Semrush Data'!$A$1:$Z$20000,MATCH(M25,'Semrush Data'!$A$1:$A$20000,0),MATCH("Volume",'Semrush Data'!$A$1:$Z$1,0)),""))</f>
        <v/>
      </c>
      <c r="S25" s="24" t="str">
        <f aca="false">IF(N25="","",IFERROR(INDEX('Semrush Data'!$A$1:$Z$20000,MATCH(N25,'Semrush Data'!$A$1:$A$20000,0),MATCH("Volume",'Semrush Data'!$A$1:$Z$1,0)),""))</f>
        <v/>
      </c>
      <c r="T25" s="24" t="str">
        <f aca="false">IF(O25="","",IFERROR(INDEX('Semrush Data'!$A$1:$Z$20000,MATCH(O25,'Semrush Data'!$A$1:$A$20000,0),MATCH("Volume",'Semrush Data'!$A$1:$Z$1,0)),""))</f>
        <v/>
      </c>
      <c r="U25" s="24" t="str">
        <f aca="false">IF(P25="","",IFERROR(INDEX('Semrush Data'!$A$1:$Z$20000,MATCH(P25,'Semrush Data'!$A$1:$A$20000,0),MATCH("Volume",'Semrush Data'!$A$1:$Z$1,0)),""))</f>
        <v/>
      </c>
      <c r="V25" s="25" t="str">
        <f aca="false">IF(COUNT(Q25:U25)=0,L25,IF(MAX(Q25:U25)=0,L25,INDEX(L25:P25,MATCH(MAX(Q25:U25),Q25:U25,0))))</f>
        <v>vilvah charcoal facemask</v>
      </c>
      <c r="W25" s="24" t="n">
        <f aca="false">IFERROR(INDEX('Semrush Data'!$A$1:$Z$20000,MATCH(V25,'Semrush Data'!$A$1:$A$20000,0),MATCH("Volume",'Semrush Data'!$A$1:$Z$1,0)),"")</f>
        <v>0</v>
      </c>
      <c r="X25" s="24" t="n">
        <f aca="false">IFERROR(INDEX('Semrush Data'!$A$1:$Z$20000,MATCH(V25,'Semrush Data'!$A$1:$A$20000,0),MATCH("Keyword Difficulty*",'Semrush Data'!$A$1:$Z$1,0)),"")</f>
        <v>31</v>
      </c>
      <c r="Y25" s="26" t="n">
        <f aca="false">IFERROR(INDEX('Semrush Data'!$A$1:$Z$20000,MATCH(V25,'Semrush Data'!$A$1:$A$20000,0),MATCH("CPC*",'Semrush Data'!$A$1:$Z$1,0)),"")</f>
        <v>0</v>
      </c>
      <c r="Z25" s="23" t="s">
        <v>1607</v>
      </c>
      <c r="AA25" s="23"/>
      <c r="AB25" s="23" t="s">
        <v>573</v>
      </c>
      <c r="AC25" s="23" t="s">
        <v>1608</v>
      </c>
      <c r="AD25" s="27" t="n">
        <f aca="false">LEN(AC25)</f>
        <v>51</v>
      </c>
      <c r="AE25" s="23" t="s">
        <v>1609</v>
      </c>
      <c r="AF25" s="27" t="n">
        <f aca="false">LEN(AE25)</f>
        <v>159</v>
      </c>
    </row>
    <row r="26" customFormat="false" ht="15" hidden="false" customHeight="true" outlineLevel="0" collapsed="false">
      <c r="A26" s="23" t="s">
        <v>577</v>
      </c>
      <c r="B26" s="23" t="s">
        <v>1432</v>
      </c>
      <c r="C26" s="23" t="n">
        <v>25</v>
      </c>
      <c r="D26" s="23" t="s">
        <v>373</v>
      </c>
      <c r="E26" s="23"/>
      <c r="F26" s="23" t="s">
        <v>1451</v>
      </c>
      <c r="G26" s="23" t="s">
        <v>505</v>
      </c>
      <c r="H26" s="23" t="s">
        <v>435</v>
      </c>
      <c r="I26" s="23" t="s">
        <v>578</v>
      </c>
      <c r="J26" s="23" t="s">
        <v>1497</v>
      </c>
      <c r="K26" s="23" t="n">
        <v>22.99</v>
      </c>
      <c r="L26" s="23" t="s">
        <v>1610</v>
      </c>
      <c r="M26" s="23" t="s">
        <v>1611</v>
      </c>
      <c r="N26" s="23" t="s">
        <v>1612</v>
      </c>
      <c r="O26" s="23" t="s">
        <v>1613</v>
      </c>
      <c r="P26" s="23"/>
      <c r="Q26" s="24" t="n">
        <f aca="false">IF(L26="","",IFERROR(INDEX('Semrush Data'!$A$1:$Z$20000,MATCH(L26,'Semrush Data'!$A$1:$A$20000,0),MATCH("Volume",'Semrush Data'!$A$1:$Z$1,0)),""))</f>
        <v>0</v>
      </c>
      <c r="R26" s="24" t="str">
        <f aca="false">IF(M26="","",IFERROR(INDEX('Semrush Data'!$A$1:$Z$20000,MATCH(M26,'Semrush Data'!$A$1:$A$20000,0),MATCH("Volume",'Semrush Data'!$A$1:$Z$1,0)),""))</f>
        <v/>
      </c>
      <c r="S26" s="24" t="str">
        <f aca="false">IF(N26="","",IFERROR(INDEX('Semrush Data'!$A$1:$Z$20000,MATCH(N26,'Semrush Data'!$A$1:$A$20000,0),MATCH("Volume",'Semrush Data'!$A$1:$Z$1,0)),""))</f>
        <v/>
      </c>
      <c r="T26" s="24" t="str">
        <f aca="false">IF(O26="","",IFERROR(INDEX('Semrush Data'!$A$1:$Z$20000,MATCH(O26,'Semrush Data'!$A$1:$A$20000,0),MATCH("Volume",'Semrush Data'!$A$1:$Z$1,0)),""))</f>
        <v/>
      </c>
      <c r="U26" s="24" t="str">
        <f aca="false">IF(P26="","",IFERROR(INDEX('Semrush Data'!$A$1:$Z$20000,MATCH(P26,'Semrush Data'!$A$1:$A$20000,0),MATCH("Volume",'Semrush Data'!$A$1:$Z$1,0)),""))</f>
        <v/>
      </c>
      <c r="V26" s="25" t="str">
        <f aca="false">IF(COUNT(Q26:U26)=0,L26,IF(MAX(Q26:U26)=0,L26,INDEX(L26:P26,MATCH(MAX(Q26:U26),Q26:U26,0))))</f>
        <v>vilvah cookie n cream body mask</v>
      </c>
      <c r="W26" s="24" t="n">
        <f aca="false">IFERROR(INDEX('Semrush Data'!$A$1:$Z$20000,MATCH(V26,'Semrush Data'!$A$1:$A$20000,0),MATCH("Volume",'Semrush Data'!$A$1:$Z$1,0)),"")</f>
        <v>0</v>
      </c>
      <c r="X26" s="24" t="n">
        <f aca="false">IFERROR(INDEX('Semrush Data'!$A$1:$Z$20000,MATCH(V26,'Semrush Data'!$A$1:$A$20000,0),MATCH("Keyword Difficulty*",'Semrush Data'!$A$1:$Z$1,0)),"")</f>
        <v>18</v>
      </c>
      <c r="Y26" s="26" t="n">
        <f aca="false">IFERROR(INDEX('Semrush Data'!$A$1:$Z$20000,MATCH(V26,'Semrush Data'!$A$1:$A$20000,0),MATCH("CPC*",'Semrush Data'!$A$1:$Z$1,0)),"")</f>
        <v>0</v>
      </c>
      <c r="Z26" s="23" t="s">
        <v>1549</v>
      </c>
      <c r="AA26" s="23"/>
      <c r="AB26" s="23" t="s">
        <v>579</v>
      </c>
      <c r="AC26" s="23" t="s">
        <v>1614</v>
      </c>
      <c r="AD26" s="27" t="n">
        <f aca="false">LEN(AC26)</f>
        <v>58</v>
      </c>
      <c r="AE26" s="23" t="s">
        <v>1615</v>
      </c>
      <c r="AF26" s="27" t="n">
        <f aca="false">LEN(AE26)</f>
        <v>160</v>
      </c>
    </row>
    <row r="27" customFormat="false" ht="15" hidden="false" customHeight="true" outlineLevel="0" collapsed="false">
      <c r="A27" s="23" t="s">
        <v>583</v>
      </c>
      <c r="B27" s="23" t="s">
        <v>1432</v>
      </c>
      <c r="C27" s="23" t="n">
        <v>26</v>
      </c>
      <c r="D27" s="23" t="s">
        <v>373</v>
      </c>
      <c r="E27" s="23"/>
      <c r="F27" s="23" t="s">
        <v>1451</v>
      </c>
      <c r="G27" s="23" t="s">
        <v>585</v>
      </c>
      <c r="H27" s="23" t="s">
        <v>586</v>
      </c>
      <c r="I27" s="23" t="s">
        <v>584</v>
      </c>
      <c r="J27" s="23" t="s">
        <v>1497</v>
      </c>
      <c r="K27" s="23" t="n">
        <v>22.99</v>
      </c>
      <c r="L27" s="23" t="s">
        <v>1616</v>
      </c>
      <c r="M27" s="23" t="s">
        <v>1617</v>
      </c>
      <c r="N27" s="23" t="s">
        <v>1618</v>
      </c>
      <c r="O27" s="23" t="s">
        <v>1619</v>
      </c>
      <c r="P27" s="23"/>
      <c r="Q27" s="24" t="n">
        <f aca="false">IF(L27="","",IFERROR(INDEX('Semrush Data'!$A$1:$Z$20000,MATCH(L27,'Semrush Data'!$A$1:$A$20000,0),MATCH("Volume",'Semrush Data'!$A$1:$Z$1,0)),""))</f>
        <v>0</v>
      </c>
      <c r="R27" s="24" t="str">
        <f aca="false">IF(M27="","",IFERROR(INDEX('Semrush Data'!$A$1:$Z$20000,MATCH(M27,'Semrush Data'!$A$1:$A$20000,0),MATCH("Volume",'Semrush Data'!$A$1:$Z$1,0)),""))</f>
        <v/>
      </c>
      <c r="S27" s="24" t="str">
        <f aca="false">IF(N27="","",IFERROR(INDEX('Semrush Data'!$A$1:$Z$20000,MATCH(N27,'Semrush Data'!$A$1:$A$20000,0),MATCH("Volume",'Semrush Data'!$A$1:$Z$1,0)),""))</f>
        <v/>
      </c>
      <c r="T27" s="24" t="str">
        <f aca="false">IF(O27="","",IFERROR(INDEX('Semrush Data'!$A$1:$Z$20000,MATCH(O27,'Semrush Data'!$A$1:$A$20000,0),MATCH("Volume",'Semrush Data'!$A$1:$Z$1,0)),""))</f>
        <v/>
      </c>
      <c r="U27" s="24" t="str">
        <f aca="false">IF(P27="","",IFERROR(INDEX('Semrush Data'!$A$1:$Z$20000,MATCH(P27,'Semrush Data'!$A$1:$A$20000,0),MATCH("Volume",'Semrush Data'!$A$1:$Z$1,0)),""))</f>
        <v/>
      </c>
      <c r="V27" s="25" t="str">
        <f aca="false">IF(COUNT(Q27:U27)=0,L27,IF(MAX(Q27:U27)=0,L27,INDEX(L27:P27,MATCH(MAX(Q27:U27),Q27:U27,0))))</f>
        <v>vilvah cookie n cream body polish</v>
      </c>
      <c r="W27" s="24" t="n">
        <f aca="false">IFERROR(INDEX('Semrush Data'!$A$1:$Z$20000,MATCH(V27,'Semrush Data'!$A$1:$A$20000,0),MATCH("Volume",'Semrush Data'!$A$1:$Z$1,0)),"")</f>
        <v>0</v>
      </c>
      <c r="X27" s="24" t="n">
        <f aca="false">IFERROR(INDEX('Semrush Data'!$A$1:$Z$20000,MATCH(V27,'Semrush Data'!$A$1:$A$20000,0),MATCH("Keyword Difficulty*",'Semrush Data'!$A$1:$Z$1,0)),"")</f>
        <v>11</v>
      </c>
      <c r="Y27" s="26" t="n">
        <f aca="false">IFERROR(INDEX('Semrush Data'!$A$1:$Z$20000,MATCH(V27,'Semrush Data'!$A$1:$A$20000,0),MATCH("CPC*",'Semrush Data'!$A$1:$Z$1,0)),"")</f>
        <v>0</v>
      </c>
      <c r="Z27" s="23" t="s">
        <v>1620</v>
      </c>
      <c r="AA27" s="23"/>
      <c r="AB27" s="23" t="s">
        <v>588</v>
      </c>
      <c r="AC27" s="23" t="s">
        <v>1621</v>
      </c>
      <c r="AD27" s="27" t="n">
        <f aca="false">LEN(AC27)</f>
        <v>60</v>
      </c>
      <c r="AE27" s="23" t="s">
        <v>1622</v>
      </c>
      <c r="AF27" s="27" t="n">
        <f aca="false">LEN(AE27)</f>
        <v>159</v>
      </c>
    </row>
    <row r="28" customFormat="false" ht="15" hidden="false" customHeight="true" outlineLevel="0" collapsed="false">
      <c r="A28" s="23" t="s">
        <v>592</v>
      </c>
      <c r="B28" s="23" t="s">
        <v>1432</v>
      </c>
      <c r="C28" s="23" t="n">
        <v>27</v>
      </c>
      <c r="D28" s="23" t="s">
        <v>373</v>
      </c>
      <c r="E28" s="23"/>
      <c r="F28" s="23" t="s">
        <v>1433</v>
      </c>
      <c r="G28" s="23" t="s">
        <v>425</v>
      </c>
      <c r="H28" s="23" t="s">
        <v>376</v>
      </c>
      <c r="I28" s="23" t="s">
        <v>593</v>
      </c>
      <c r="J28" s="23" t="s">
        <v>1434</v>
      </c>
      <c r="K28" s="23" t="n">
        <v>9.99</v>
      </c>
      <c r="L28" s="23" t="s">
        <v>1623</v>
      </c>
      <c r="M28" s="23" t="s">
        <v>1624</v>
      </c>
      <c r="N28" s="23" t="s">
        <v>1625</v>
      </c>
      <c r="O28" s="23" t="s">
        <v>1626</v>
      </c>
      <c r="P28" s="23"/>
      <c r="Q28" s="24" t="n">
        <f aca="false">IF(L28="","",IFERROR(INDEX('Semrush Data'!$A$1:$Z$20000,MATCH(L28,'Semrush Data'!$A$1:$A$20000,0),MATCH("Volume",'Semrush Data'!$A$1:$Z$1,0)),""))</f>
        <v>0</v>
      </c>
      <c r="R28" s="24" t="str">
        <f aca="false">IF(M28="","",IFERROR(INDEX('Semrush Data'!$A$1:$Z$20000,MATCH(M28,'Semrush Data'!$A$1:$A$20000,0),MATCH("Volume",'Semrush Data'!$A$1:$Z$1,0)),""))</f>
        <v/>
      </c>
      <c r="S28" s="24" t="str">
        <f aca="false">IF(N28="","",IFERROR(INDEX('Semrush Data'!$A$1:$Z$20000,MATCH(N28,'Semrush Data'!$A$1:$A$20000,0),MATCH("Volume",'Semrush Data'!$A$1:$Z$1,0)),""))</f>
        <v/>
      </c>
      <c r="T28" s="24" t="str">
        <f aca="false">IF(O28="","",IFERROR(INDEX('Semrush Data'!$A$1:$Z$20000,MATCH(O28,'Semrush Data'!$A$1:$A$20000,0),MATCH("Volume",'Semrush Data'!$A$1:$Z$1,0)),""))</f>
        <v/>
      </c>
      <c r="U28" s="24" t="str">
        <f aca="false">IF(P28="","",IFERROR(INDEX('Semrush Data'!$A$1:$Z$20000,MATCH(P28,'Semrush Data'!$A$1:$A$20000,0),MATCH("Volume",'Semrush Data'!$A$1:$Z$1,0)),""))</f>
        <v/>
      </c>
      <c r="V28" s="25" t="str">
        <f aca="false">IF(COUNT(Q28:U28)=0,L28,IF(MAX(Q28:U28)=0,L28,INDEX(L28:P28,MATCH(MAX(Q28:U28),Q28:U28,0))))</f>
        <v>vilvah cream face wash (fragrance free)</v>
      </c>
      <c r="W28" s="24" t="n">
        <f aca="false">IFERROR(INDEX('Semrush Data'!$A$1:$Z$20000,MATCH(V28,'Semrush Data'!$A$1:$A$20000,0),MATCH("Volume",'Semrush Data'!$A$1:$Z$1,0)),"")</f>
        <v>0</v>
      </c>
      <c r="X28" s="24" t="n">
        <f aca="false">IFERROR(INDEX('Semrush Data'!$A$1:$Z$20000,MATCH(V28,'Semrush Data'!$A$1:$A$20000,0),MATCH("Keyword Difficulty*",'Semrush Data'!$A$1:$Z$1,0)),"")</f>
        <v>11</v>
      </c>
      <c r="Y28" s="26" t="n">
        <f aca="false">IFERROR(INDEX('Semrush Data'!$A$1:$Z$20000,MATCH(V28,'Semrush Data'!$A$1:$A$20000,0),MATCH("CPC*",'Semrush Data'!$A$1:$Z$1,0)),"")</f>
        <v>0</v>
      </c>
      <c r="Z28" s="23" t="s">
        <v>1481</v>
      </c>
      <c r="AA28" s="23"/>
      <c r="AB28" s="23" t="s">
        <v>595</v>
      </c>
      <c r="AC28" s="23" t="s">
        <v>596</v>
      </c>
      <c r="AD28" s="27" t="n">
        <f aca="false">LEN(AC28)</f>
        <v>53</v>
      </c>
      <c r="AE28" s="23" t="s">
        <v>1627</v>
      </c>
      <c r="AF28" s="27" t="n">
        <f aca="false">LEN(AE28)</f>
        <v>156</v>
      </c>
    </row>
    <row r="29" customFormat="false" ht="15" hidden="false" customHeight="true" outlineLevel="0" collapsed="false">
      <c r="A29" s="23" t="s">
        <v>599</v>
      </c>
      <c r="B29" s="23" t="s">
        <v>1432</v>
      </c>
      <c r="C29" s="23" t="n">
        <v>28</v>
      </c>
      <c r="D29" s="23" t="s">
        <v>373</v>
      </c>
      <c r="E29" s="23"/>
      <c r="F29" s="23" t="s">
        <v>1451</v>
      </c>
      <c r="G29" s="23" t="s">
        <v>396</v>
      </c>
      <c r="H29" s="23" t="s">
        <v>397</v>
      </c>
      <c r="I29" s="23" t="s">
        <v>600</v>
      </c>
      <c r="J29" s="23" t="s">
        <v>1452</v>
      </c>
      <c r="K29" s="23" t="n">
        <v>9.99</v>
      </c>
      <c r="L29" s="23" t="s">
        <v>1628</v>
      </c>
      <c r="M29" s="23" t="s">
        <v>1629</v>
      </c>
      <c r="N29" s="23" t="s">
        <v>1630</v>
      </c>
      <c r="O29" s="23" t="s">
        <v>1631</v>
      </c>
      <c r="P29" s="23"/>
      <c r="Q29" s="24" t="n">
        <f aca="false">IF(L29="","",IFERROR(INDEX('Semrush Data'!$A$1:$Z$20000,MATCH(L29,'Semrush Data'!$A$1:$A$20000,0),MATCH("Volume",'Semrush Data'!$A$1:$Z$1,0)),""))</f>
        <v>0</v>
      </c>
      <c r="R29" s="24" t="str">
        <f aca="false">IF(M29="","",IFERROR(INDEX('Semrush Data'!$A$1:$Z$20000,MATCH(M29,'Semrush Data'!$A$1:$A$20000,0),MATCH("Volume",'Semrush Data'!$A$1:$Z$1,0)),""))</f>
        <v/>
      </c>
      <c r="S29" s="24" t="str">
        <f aca="false">IF(N29="","",IFERROR(INDEX('Semrush Data'!$A$1:$Z$20000,MATCH(N29,'Semrush Data'!$A$1:$A$20000,0),MATCH("Volume",'Semrush Data'!$A$1:$Z$1,0)),""))</f>
        <v/>
      </c>
      <c r="T29" s="24" t="str">
        <f aca="false">IF(O29="","",IFERROR(INDEX('Semrush Data'!$A$1:$Z$20000,MATCH(O29,'Semrush Data'!$A$1:$A$20000,0),MATCH("Volume",'Semrush Data'!$A$1:$Z$1,0)),""))</f>
        <v/>
      </c>
      <c r="U29" s="24" t="str">
        <f aca="false">IF(P29="","",IFERROR(INDEX('Semrush Data'!$A$1:$Z$20000,MATCH(P29,'Semrush Data'!$A$1:$A$20000,0),MATCH("Volume",'Semrush Data'!$A$1:$Z$1,0)),""))</f>
        <v/>
      </c>
      <c r="V29" s="25" t="str">
        <f aca="false">IF(COUNT(Q29:U29)=0,L29,IF(MAX(Q29:U29)=0,L29,INDEX(L29:P29,MATCH(MAX(Q29:U29),Q29:U29,0))))</f>
        <v>vilvah cucumber, curd &amp; mint soap</v>
      </c>
      <c r="W29" s="24" t="n">
        <f aca="false">IFERROR(INDEX('Semrush Data'!$A$1:$Z$20000,MATCH(V29,'Semrush Data'!$A$1:$A$20000,0),MATCH("Volume",'Semrush Data'!$A$1:$Z$1,0)),"")</f>
        <v>0</v>
      </c>
      <c r="X29" s="24" t="n">
        <f aca="false">IFERROR(INDEX('Semrush Data'!$A$1:$Z$20000,MATCH(V29,'Semrush Data'!$A$1:$A$20000,0),MATCH("Keyword Difficulty*",'Semrush Data'!$A$1:$Z$1,0)),"")</f>
        <v>21</v>
      </c>
      <c r="Y29" s="26" t="n">
        <f aca="false">IFERROR(INDEX('Semrush Data'!$A$1:$Z$20000,MATCH(V29,'Semrush Data'!$A$1:$A$20000,0),MATCH("CPC*",'Semrush Data'!$A$1:$Z$1,0)),"")</f>
        <v>0</v>
      </c>
      <c r="Z29" s="23" t="s">
        <v>1457</v>
      </c>
      <c r="AA29" s="23"/>
      <c r="AB29" s="23" t="s">
        <v>601</v>
      </c>
      <c r="AC29" s="23" t="s">
        <v>1632</v>
      </c>
      <c r="AD29" s="27" t="n">
        <f aca="false">LEN(AC29)</f>
        <v>60</v>
      </c>
      <c r="AE29" s="23" t="s">
        <v>1633</v>
      </c>
      <c r="AF29" s="27" t="n">
        <f aca="false">LEN(AE29)</f>
        <v>160</v>
      </c>
    </row>
    <row r="30" customFormat="false" ht="15" hidden="false" customHeight="true" outlineLevel="0" collapsed="false">
      <c r="A30" s="23" t="s">
        <v>605</v>
      </c>
      <c r="B30" s="23" t="s">
        <v>1432</v>
      </c>
      <c r="C30" s="23" t="n">
        <v>29</v>
      </c>
      <c r="D30" s="23" t="s">
        <v>373</v>
      </c>
      <c r="E30" s="23"/>
      <c r="F30" s="23" t="s">
        <v>1451</v>
      </c>
      <c r="G30" s="23" t="s">
        <v>406</v>
      </c>
      <c r="H30" s="23" t="s">
        <v>407</v>
      </c>
      <c r="I30" s="23" t="s">
        <v>606</v>
      </c>
      <c r="J30" s="23" t="s">
        <v>1460</v>
      </c>
      <c r="K30" s="23" t="n">
        <v>9.99</v>
      </c>
      <c r="L30" s="23" t="s">
        <v>1634</v>
      </c>
      <c r="M30" s="23" t="s">
        <v>1635</v>
      </c>
      <c r="N30" s="23" t="s">
        <v>1636</v>
      </c>
      <c r="O30" s="23" t="s">
        <v>1637</v>
      </c>
      <c r="P30" s="23"/>
      <c r="Q30" s="24" t="n">
        <f aca="false">IF(L30="","",IFERROR(INDEX('Semrush Data'!$A$1:$Z$20000,MATCH(L30,'Semrush Data'!$A$1:$A$20000,0),MATCH("Volume",'Semrush Data'!$A$1:$Z$1,0)),""))</f>
        <v>0</v>
      </c>
      <c r="R30" s="24" t="str">
        <f aca="false">IF(M30="","",IFERROR(INDEX('Semrush Data'!$A$1:$Z$20000,MATCH(M30,'Semrush Data'!$A$1:$A$20000,0),MATCH("Volume",'Semrush Data'!$A$1:$Z$1,0)),""))</f>
        <v/>
      </c>
      <c r="S30" s="24" t="str">
        <f aca="false">IF(N30="","",IFERROR(INDEX('Semrush Data'!$A$1:$Z$20000,MATCH(N30,'Semrush Data'!$A$1:$A$20000,0),MATCH("Volume",'Semrush Data'!$A$1:$Z$1,0)),""))</f>
        <v/>
      </c>
      <c r="T30" s="24" t="str">
        <f aca="false">IF(O30="","",IFERROR(INDEX('Semrush Data'!$A$1:$Z$20000,MATCH(O30,'Semrush Data'!$A$1:$A$20000,0),MATCH("Volume",'Semrush Data'!$A$1:$Z$1,0)),""))</f>
        <v/>
      </c>
      <c r="U30" s="24" t="str">
        <f aca="false">IF(P30="","",IFERROR(INDEX('Semrush Data'!$A$1:$Z$20000,MATCH(P30,'Semrush Data'!$A$1:$A$20000,0),MATCH("Volume",'Semrush Data'!$A$1:$Z$1,0)),""))</f>
        <v/>
      </c>
      <c r="V30" s="25" t="str">
        <f aca="false">IF(COUNT(Q30:U30)=0,L30,IF(MAX(Q30:U30)=0,L30,INDEX(L30:P30,MATCH(MAX(Q30:U30),Q30:U30,0))))</f>
        <v>vilvah deo shot - lavender and sage</v>
      </c>
      <c r="W30" s="24" t="n">
        <f aca="false">IFERROR(INDEX('Semrush Data'!$A$1:$Z$20000,MATCH(V30,'Semrush Data'!$A$1:$A$20000,0),MATCH("Volume",'Semrush Data'!$A$1:$Z$1,0)),"")</f>
        <v>0</v>
      </c>
      <c r="X30" s="24" t="n">
        <f aca="false">IFERROR(INDEX('Semrush Data'!$A$1:$Z$20000,MATCH(V30,'Semrush Data'!$A$1:$A$20000,0),MATCH("Keyword Difficulty*",'Semrush Data'!$A$1:$Z$1,0)),"")</f>
        <v>18</v>
      </c>
      <c r="Y30" s="26" t="n">
        <f aca="false">IFERROR(INDEX('Semrush Data'!$A$1:$Z$20000,MATCH(V30,'Semrush Data'!$A$1:$A$20000,0),MATCH("CPC*",'Semrush Data'!$A$1:$Z$1,0)),"")</f>
        <v>0</v>
      </c>
      <c r="Z30" s="23" t="s">
        <v>1465</v>
      </c>
      <c r="AA30" s="23"/>
      <c r="AB30" s="23" t="s">
        <v>607</v>
      </c>
      <c r="AC30" s="23" t="s">
        <v>1638</v>
      </c>
      <c r="AD30" s="27" t="n">
        <f aca="false">LEN(AC30)</f>
        <v>49</v>
      </c>
      <c r="AE30" s="23" t="s">
        <v>1639</v>
      </c>
      <c r="AF30" s="27" t="n">
        <f aca="false">LEN(AE30)</f>
        <v>152</v>
      </c>
    </row>
    <row r="31" customFormat="false" ht="15" hidden="false" customHeight="true" outlineLevel="0" collapsed="false">
      <c r="A31" s="23" t="s">
        <v>611</v>
      </c>
      <c r="B31" s="23" t="s">
        <v>1432</v>
      </c>
      <c r="C31" s="23" t="n">
        <v>30</v>
      </c>
      <c r="D31" s="23" t="s">
        <v>373</v>
      </c>
      <c r="E31" s="23"/>
      <c r="F31" s="23" t="s">
        <v>1451</v>
      </c>
      <c r="G31" s="23" t="s">
        <v>505</v>
      </c>
      <c r="H31" s="23" t="s">
        <v>435</v>
      </c>
      <c r="I31" s="23" t="s">
        <v>612</v>
      </c>
      <c r="J31" s="23" t="s">
        <v>1434</v>
      </c>
      <c r="K31" s="23" t="n">
        <v>15.99</v>
      </c>
      <c r="L31" s="23" t="s">
        <v>1640</v>
      </c>
      <c r="M31" s="23" t="s">
        <v>1641</v>
      </c>
      <c r="N31" s="23" t="s">
        <v>1642</v>
      </c>
      <c r="O31" s="23" t="s">
        <v>1643</v>
      </c>
      <c r="P31" s="23"/>
      <c r="Q31" s="24" t="n">
        <f aca="false">IF(L31="","",IFERROR(INDEX('Semrush Data'!$A$1:$Z$20000,MATCH(L31,'Semrush Data'!$A$1:$A$20000,0),MATCH("Volume",'Semrush Data'!$A$1:$Z$1,0)),""))</f>
        <v>0</v>
      </c>
      <c r="R31" s="24" t="str">
        <f aca="false">IF(M31="","",IFERROR(INDEX('Semrush Data'!$A$1:$Z$20000,MATCH(M31,'Semrush Data'!$A$1:$A$20000,0),MATCH("Volume",'Semrush Data'!$A$1:$Z$1,0)),""))</f>
        <v/>
      </c>
      <c r="S31" s="24" t="str">
        <f aca="false">IF(N31="","",IFERROR(INDEX('Semrush Data'!$A$1:$Z$20000,MATCH(N31,'Semrush Data'!$A$1:$A$20000,0),MATCH("Volume",'Semrush Data'!$A$1:$Z$1,0)),""))</f>
        <v/>
      </c>
      <c r="T31" s="24" t="str">
        <f aca="false">IF(O31="","",IFERROR(INDEX('Semrush Data'!$A$1:$Z$20000,MATCH(O31,'Semrush Data'!$A$1:$A$20000,0),MATCH("Volume",'Semrush Data'!$A$1:$Z$1,0)),""))</f>
        <v/>
      </c>
      <c r="U31" s="24" t="str">
        <f aca="false">IF(P31="","",IFERROR(INDEX('Semrush Data'!$A$1:$Z$20000,MATCH(P31,'Semrush Data'!$A$1:$A$20000,0),MATCH("Volume",'Semrush Data'!$A$1:$Z$1,0)),""))</f>
        <v/>
      </c>
      <c r="V31" s="25" t="str">
        <f aca="false">IF(COUNT(Q31:U31)=0,L31,IF(MAX(Q31:U31)=0,L31,INDEX(L31:P31,MATCH(MAX(Q31:U31),Q31:U31,0))))</f>
        <v>vilvah foot cream</v>
      </c>
      <c r="W31" s="24" t="n">
        <f aca="false">IFERROR(INDEX('Semrush Data'!$A$1:$Z$20000,MATCH(V31,'Semrush Data'!$A$1:$A$20000,0),MATCH("Volume",'Semrush Data'!$A$1:$Z$1,0)),"")</f>
        <v>0</v>
      </c>
      <c r="X31" s="24" t="n">
        <f aca="false">IFERROR(INDEX('Semrush Data'!$A$1:$Z$20000,MATCH(V31,'Semrush Data'!$A$1:$A$20000,0),MATCH("Keyword Difficulty*",'Semrush Data'!$A$1:$Z$1,0)),"")</f>
        <v>33</v>
      </c>
      <c r="Y31" s="26" t="n">
        <f aca="false">IFERROR(INDEX('Semrush Data'!$A$1:$Z$20000,MATCH(V31,'Semrush Data'!$A$1:$A$20000,0),MATCH("CPC*",'Semrush Data'!$A$1:$Z$1,0)),"")</f>
        <v>0</v>
      </c>
      <c r="Z31" s="23" t="s">
        <v>1549</v>
      </c>
      <c r="AA31" s="23" t="s">
        <v>617</v>
      </c>
      <c r="AB31" s="23" t="s">
        <v>613</v>
      </c>
      <c r="AC31" s="23" t="s">
        <v>1644</v>
      </c>
      <c r="AD31" s="27" t="n">
        <f aca="false">LEN(AC31)</f>
        <v>50</v>
      </c>
      <c r="AE31" s="23" t="s">
        <v>1645</v>
      </c>
      <c r="AF31" s="27" t="n">
        <f aca="false">LEN(AE31)</f>
        <v>154</v>
      </c>
    </row>
    <row r="32" customFormat="false" ht="15" hidden="false" customHeight="true" outlineLevel="0" collapsed="false">
      <c r="A32" s="23" t="s">
        <v>618</v>
      </c>
      <c r="B32" s="23" t="s">
        <v>1432</v>
      </c>
      <c r="C32" s="23" t="n">
        <v>31</v>
      </c>
      <c r="D32" s="23" t="s">
        <v>373</v>
      </c>
      <c r="E32" s="23"/>
      <c r="F32" s="23" t="s">
        <v>1442</v>
      </c>
      <c r="G32" s="23" t="s">
        <v>620</v>
      </c>
      <c r="H32" s="23" t="s">
        <v>621</v>
      </c>
      <c r="I32" s="23" t="s">
        <v>619</v>
      </c>
      <c r="J32" s="23" t="s">
        <v>1646</v>
      </c>
      <c r="K32" s="23" t="n">
        <v>31.99</v>
      </c>
      <c r="L32" s="23" t="s">
        <v>1647</v>
      </c>
      <c r="M32" s="23" t="s">
        <v>1648</v>
      </c>
      <c r="N32" s="23" t="s">
        <v>1649</v>
      </c>
      <c r="O32" s="23" t="s">
        <v>1650</v>
      </c>
      <c r="P32" s="23"/>
      <c r="Q32" s="24" t="n">
        <f aca="false">IF(L32="","",IFERROR(INDEX('Semrush Data'!$A$1:$Z$20000,MATCH(L32,'Semrush Data'!$A$1:$A$20000,0),MATCH("Volume",'Semrush Data'!$A$1:$Z$1,0)),""))</f>
        <v>0</v>
      </c>
      <c r="R32" s="24" t="str">
        <f aca="false">IF(M32="","",IFERROR(INDEX('Semrush Data'!$A$1:$Z$20000,MATCH(M32,'Semrush Data'!$A$1:$A$20000,0),MATCH("Volume",'Semrush Data'!$A$1:$Z$1,0)),""))</f>
        <v/>
      </c>
      <c r="S32" s="24" t="str">
        <f aca="false">IF(N32="","",IFERROR(INDEX('Semrush Data'!$A$1:$Z$20000,MATCH(N32,'Semrush Data'!$A$1:$A$20000,0),MATCH("Volume",'Semrush Data'!$A$1:$Z$1,0)),""))</f>
        <v/>
      </c>
      <c r="T32" s="24" t="str">
        <f aca="false">IF(O32="","",IFERROR(INDEX('Semrush Data'!$A$1:$Z$20000,MATCH(O32,'Semrush Data'!$A$1:$A$20000,0),MATCH("Volume",'Semrush Data'!$A$1:$Z$1,0)),""))</f>
        <v/>
      </c>
      <c r="U32" s="24" t="str">
        <f aca="false">IF(P32="","",IFERROR(INDEX('Semrush Data'!$A$1:$Z$20000,MATCH(P32,'Semrush Data'!$A$1:$A$20000,0),MATCH("Volume",'Semrush Data'!$A$1:$Z$1,0)),""))</f>
        <v/>
      </c>
      <c r="V32" s="25" t="str">
        <f aca="false">IF(COUNT(Q32:U32)=0,L32,IF(MAX(Q32:U32)=0,L32,INDEX(L32:P32,MATCH(MAX(Q32:U32),Q32:U32,0))))</f>
        <v>vilvah goat milk hair mask</v>
      </c>
      <c r="W32" s="24" t="n">
        <f aca="false">IFERROR(INDEX('Semrush Data'!$A$1:$Z$20000,MATCH(V32,'Semrush Data'!$A$1:$A$20000,0),MATCH("Volume",'Semrush Data'!$A$1:$Z$1,0)),"")</f>
        <v>0</v>
      </c>
      <c r="X32" s="24" t="n">
        <f aca="false">IFERROR(INDEX('Semrush Data'!$A$1:$Z$20000,MATCH(V32,'Semrush Data'!$A$1:$A$20000,0),MATCH("Keyword Difficulty*",'Semrush Data'!$A$1:$Z$1,0)),"")</f>
        <v>35</v>
      </c>
      <c r="Y32" s="26" t="n">
        <f aca="false">IFERROR(INDEX('Semrush Data'!$A$1:$Z$20000,MATCH(V32,'Semrush Data'!$A$1:$A$20000,0),MATCH("CPC*",'Semrush Data'!$A$1:$Z$1,0)),"")</f>
        <v>0</v>
      </c>
      <c r="Z32" s="23" t="s">
        <v>1651</v>
      </c>
      <c r="AA32" s="23" t="s">
        <v>626</v>
      </c>
      <c r="AB32" s="23" t="s">
        <v>622</v>
      </c>
      <c r="AC32" s="23" t="s">
        <v>1652</v>
      </c>
      <c r="AD32" s="27" t="n">
        <f aca="false">LEN(AC32)</f>
        <v>53</v>
      </c>
      <c r="AE32" s="23" t="s">
        <v>1653</v>
      </c>
      <c r="AF32" s="27" t="n">
        <f aca="false">LEN(AE32)</f>
        <v>153</v>
      </c>
    </row>
    <row r="33" customFormat="false" ht="15" hidden="false" customHeight="true" outlineLevel="0" collapsed="false">
      <c r="A33" s="23" t="s">
        <v>627</v>
      </c>
      <c r="B33" s="23" t="s">
        <v>1432</v>
      </c>
      <c r="C33" s="23" t="n">
        <v>32</v>
      </c>
      <c r="D33" s="23" t="s">
        <v>373</v>
      </c>
      <c r="E33" s="23"/>
      <c r="F33" s="23" t="s">
        <v>1442</v>
      </c>
      <c r="G33" s="23" t="s">
        <v>385</v>
      </c>
      <c r="H33" s="23" t="s">
        <v>386</v>
      </c>
      <c r="I33" s="23" t="s">
        <v>384</v>
      </c>
      <c r="J33" s="23" t="s">
        <v>1434</v>
      </c>
      <c r="K33" s="23" t="n">
        <v>19.99</v>
      </c>
      <c r="L33" s="23" t="s">
        <v>1444</v>
      </c>
      <c r="M33" s="23" t="s">
        <v>1445</v>
      </c>
      <c r="N33" s="23" t="s">
        <v>1446</v>
      </c>
      <c r="O33" s="23" t="s">
        <v>1447</v>
      </c>
      <c r="P33" s="23"/>
      <c r="Q33" s="24" t="n">
        <f aca="false">IF(L33="","",IFERROR(INDEX('Semrush Data'!$A$1:$Z$20000,MATCH(L33,'Semrush Data'!$A$1:$A$20000,0),MATCH("Volume",'Semrush Data'!$A$1:$Z$1,0)),""))</f>
        <v>20</v>
      </c>
      <c r="R33" s="24" t="str">
        <f aca="false">IF(M33="","",IFERROR(INDEX('Semrush Data'!$A$1:$Z$20000,MATCH(M33,'Semrush Data'!$A$1:$A$20000,0),MATCH("Volume",'Semrush Data'!$A$1:$Z$1,0)),""))</f>
        <v/>
      </c>
      <c r="S33" s="24" t="str">
        <f aca="false">IF(N33="","",IFERROR(INDEX('Semrush Data'!$A$1:$Z$20000,MATCH(N33,'Semrush Data'!$A$1:$A$20000,0),MATCH("Volume",'Semrush Data'!$A$1:$Z$1,0)),""))</f>
        <v/>
      </c>
      <c r="T33" s="24" t="str">
        <f aca="false">IF(O33="","",IFERROR(INDEX('Semrush Data'!$A$1:$Z$20000,MATCH(O33,'Semrush Data'!$A$1:$A$20000,0),MATCH("Volume",'Semrush Data'!$A$1:$Z$1,0)),""))</f>
        <v/>
      </c>
      <c r="U33" s="24" t="str">
        <f aca="false">IF(P33="","",IFERROR(INDEX('Semrush Data'!$A$1:$Z$20000,MATCH(P33,'Semrush Data'!$A$1:$A$20000,0),MATCH("Volume",'Semrush Data'!$A$1:$Z$1,0)),""))</f>
        <v/>
      </c>
      <c r="V33" s="25" t="str">
        <f aca="false">IF(COUNT(Q33:U33)=0,L33,IF(MAX(Q33:U33)=0,L33,INDEX(L33:P33,MATCH(MAX(Q33:U33),Q33:U33,0))))</f>
        <v>vilvah hair growth oil</v>
      </c>
      <c r="W33" s="24" t="n">
        <f aca="false">IFERROR(INDEX('Semrush Data'!$A$1:$Z$20000,MATCH(V33,'Semrush Data'!$A$1:$A$20000,0),MATCH("Volume",'Semrush Data'!$A$1:$Z$1,0)),"")</f>
        <v>20</v>
      </c>
      <c r="X33" s="24" t="n">
        <f aca="false">IFERROR(INDEX('Semrush Data'!$A$1:$Z$20000,MATCH(V33,'Semrush Data'!$A$1:$A$20000,0),MATCH("Keyword Difficulty*",'Semrush Data'!$A$1:$Z$1,0)),"")</f>
        <v>26</v>
      </c>
      <c r="Y33" s="26" t="n">
        <f aca="false">IFERROR(INDEX('Semrush Data'!$A$1:$Z$20000,MATCH(V33,'Semrush Data'!$A$1:$A$20000,0),MATCH("CPC*",'Semrush Data'!$A$1:$Z$1,0)),"")</f>
        <v>0.55</v>
      </c>
      <c r="Z33" s="23" t="s">
        <v>1448</v>
      </c>
      <c r="AA33" s="23" t="s">
        <v>392</v>
      </c>
      <c r="AB33" s="23" t="s">
        <v>388</v>
      </c>
      <c r="AC33" s="23" t="s">
        <v>1654</v>
      </c>
      <c r="AD33" s="27" t="n">
        <f aca="false">LEN(AC33)</f>
        <v>55</v>
      </c>
      <c r="AE33" s="23" t="s">
        <v>1450</v>
      </c>
      <c r="AF33" s="27" t="n">
        <f aca="false">LEN(AE33)</f>
        <v>158</v>
      </c>
    </row>
    <row r="34" customFormat="false" ht="15" hidden="false" customHeight="true" outlineLevel="0" collapsed="false">
      <c r="A34" s="23" t="s">
        <v>628</v>
      </c>
      <c r="B34" s="23" t="s">
        <v>1432</v>
      </c>
      <c r="C34" s="23" t="n">
        <v>33</v>
      </c>
      <c r="D34" s="23" t="s">
        <v>373</v>
      </c>
      <c r="E34" s="23"/>
      <c r="F34" s="23" t="s">
        <v>1442</v>
      </c>
      <c r="G34" s="23" t="s">
        <v>385</v>
      </c>
      <c r="H34" s="23" t="s">
        <v>386</v>
      </c>
      <c r="I34" s="23" t="s">
        <v>384</v>
      </c>
      <c r="J34" s="23" t="s">
        <v>1497</v>
      </c>
      <c r="K34" s="23" t="n">
        <v>31.99</v>
      </c>
      <c r="L34" s="23" t="s">
        <v>1444</v>
      </c>
      <c r="M34" s="23" t="s">
        <v>1445</v>
      </c>
      <c r="N34" s="23" t="s">
        <v>1446</v>
      </c>
      <c r="O34" s="23" t="s">
        <v>1447</v>
      </c>
      <c r="P34" s="23"/>
      <c r="Q34" s="24" t="n">
        <f aca="false">IF(L34="","",IFERROR(INDEX('Semrush Data'!$A$1:$Z$20000,MATCH(L34,'Semrush Data'!$A$1:$A$20000,0),MATCH("Volume",'Semrush Data'!$A$1:$Z$1,0)),""))</f>
        <v>20</v>
      </c>
      <c r="R34" s="24" t="str">
        <f aca="false">IF(M34="","",IFERROR(INDEX('Semrush Data'!$A$1:$Z$20000,MATCH(M34,'Semrush Data'!$A$1:$A$20000,0),MATCH("Volume",'Semrush Data'!$A$1:$Z$1,0)),""))</f>
        <v/>
      </c>
      <c r="S34" s="24" t="str">
        <f aca="false">IF(N34="","",IFERROR(INDEX('Semrush Data'!$A$1:$Z$20000,MATCH(N34,'Semrush Data'!$A$1:$A$20000,0),MATCH("Volume",'Semrush Data'!$A$1:$Z$1,0)),""))</f>
        <v/>
      </c>
      <c r="T34" s="24" t="str">
        <f aca="false">IF(O34="","",IFERROR(INDEX('Semrush Data'!$A$1:$Z$20000,MATCH(O34,'Semrush Data'!$A$1:$A$20000,0),MATCH("Volume",'Semrush Data'!$A$1:$Z$1,0)),""))</f>
        <v/>
      </c>
      <c r="U34" s="24" t="str">
        <f aca="false">IF(P34="","",IFERROR(INDEX('Semrush Data'!$A$1:$Z$20000,MATCH(P34,'Semrush Data'!$A$1:$A$20000,0),MATCH("Volume",'Semrush Data'!$A$1:$Z$1,0)),""))</f>
        <v/>
      </c>
      <c r="V34" s="25" t="str">
        <f aca="false">IF(COUNT(Q34:U34)=0,L34,IF(MAX(Q34:U34)=0,L34,INDEX(L34:P34,MATCH(MAX(Q34:U34),Q34:U34,0))))</f>
        <v>vilvah hair growth oil</v>
      </c>
      <c r="W34" s="24" t="n">
        <f aca="false">IFERROR(INDEX('Semrush Data'!$A$1:$Z$20000,MATCH(V34,'Semrush Data'!$A$1:$A$20000,0),MATCH("Volume",'Semrush Data'!$A$1:$Z$1,0)),"")</f>
        <v>20</v>
      </c>
      <c r="X34" s="24" t="n">
        <f aca="false">IFERROR(INDEX('Semrush Data'!$A$1:$Z$20000,MATCH(V34,'Semrush Data'!$A$1:$A$20000,0),MATCH("Keyword Difficulty*",'Semrush Data'!$A$1:$Z$1,0)),"")</f>
        <v>26</v>
      </c>
      <c r="Y34" s="26" t="n">
        <f aca="false">IFERROR(INDEX('Semrush Data'!$A$1:$Z$20000,MATCH(V34,'Semrush Data'!$A$1:$A$20000,0),MATCH("CPC*",'Semrush Data'!$A$1:$Z$1,0)),"")</f>
        <v>0.55</v>
      </c>
      <c r="Z34" s="23" t="s">
        <v>1448</v>
      </c>
      <c r="AA34" s="23" t="s">
        <v>392</v>
      </c>
      <c r="AB34" s="23" t="s">
        <v>388</v>
      </c>
      <c r="AC34" s="23" t="s">
        <v>1655</v>
      </c>
      <c r="AD34" s="27" t="n">
        <f aca="false">LEN(AC34)</f>
        <v>55</v>
      </c>
      <c r="AE34" s="23" t="s">
        <v>1450</v>
      </c>
      <c r="AF34" s="27" t="n">
        <f aca="false">LEN(AE34)</f>
        <v>158</v>
      </c>
    </row>
    <row r="35" customFormat="false" ht="15" hidden="false" customHeight="true" outlineLevel="0" collapsed="false">
      <c r="A35" s="23" t="s">
        <v>629</v>
      </c>
      <c r="B35" s="23" t="s">
        <v>1432</v>
      </c>
      <c r="C35" s="23" t="n">
        <v>34</v>
      </c>
      <c r="D35" s="23" t="s">
        <v>373</v>
      </c>
      <c r="E35" s="23"/>
      <c r="F35" s="23" t="s">
        <v>1442</v>
      </c>
      <c r="G35" s="23" t="s">
        <v>482</v>
      </c>
      <c r="H35" s="23" t="s">
        <v>543</v>
      </c>
      <c r="I35" s="23" t="s">
        <v>630</v>
      </c>
      <c r="J35" s="23" t="s">
        <v>1518</v>
      </c>
      <c r="K35" s="23" t="n">
        <v>15.99</v>
      </c>
      <c r="L35" s="23" t="s">
        <v>1656</v>
      </c>
      <c r="M35" s="23" t="s">
        <v>1657</v>
      </c>
      <c r="N35" s="23" t="s">
        <v>1658</v>
      </c>
      <c r="O35" s="23" t="s">
        <v>1659</v>
      </c>
      <c r="P35" s="23"/>
      <c r="Q35" s="24" t="n">
        <f aca="false">IF(L35="","",IFERROR(INDEX('Semrush Data'!$A$1:$Z$20000,MATCH(L35,'Semrush Data'!$A$1:$A$20000,0),MATCH("Volume",'Semrush Data'!$A$1:$Z$1,0)),""))</f>
        <v>0</v>
      </c>
      <c r="R35" s="24" t="str">
        <f aca="false">IF(M35="","",IFERROR(INDEX('Semrush Data'!$A$1:$Z$20000,MATCH(M35,'Semrush Data'!$A$1:$A$20000,0),MATCH("Volume",'Semrush Data'!$A$1:$Z$1,0)),""))</f>
        <v/>
      </c>
      <c r="S35" s="24" t="str">
        <f aca="false">IF(N35="","",IFERROR(INDEX('Semrush Data'!$A$1:$Z$20000,MATCH(N35,'Semrush Data'!$A$1:$A$20000,0),MATCH("Volume",'Semrush Data'!$A$1:$Z$1,0)),""))</f>
        <v/>
      </c>
      <c r="T35" s="24" t="str">
        <f aca="false">IF(O35="","",IFERROR(INDEX('Semrush Data'!$A$1:$Z$20000,MATCH(O35,'Semrush Data'!$A$1:$A$20000,0),MATCH("Volume",'Semrush Data'!$A$1:$Z$1,0)),""))</f>
        <v/>
      </c>
      <c r="U35" s="24" t="str">
        <f aca="false">IF(P35="","",IFERROR(INDEX('Semrush Data'!$A$1:$Z$20000,MATCH(P35,'Semrush Data'!$A$1:$A$20000,0),MATCH("Volume",'Semrush Data'!$A$1:$Z$1,0)),""))</f>
        <v/>
      </c>
      <c r="V35" s="25" t="str">
        <f aca="false">IF(COUNT(Q35:U35)=0,L35,IF(MAX(Q35:U35)=0,L35,INDEX(L35:P35,MATCH(MAX(Q35:U35),Q35:U35,0))))</f>
        <v>vilvah herbal shampoo (dandruff control)</v>
      </c>
      <c r="W35" s="24" t="n">
        <f aca="false">IFERROR(INDEX('Semrush Data'!$A$1:$Z$20000,MATCH(V35,'Semrush Data'!$A$1:$A$20000,0),MATCH("Volume",'Semrush Data'!$A$1:$Z$1,0)),"")</f>
        <v>0</v>
      </c>
      <c r="X35" s="24" t="n">
        <f aca="false">IFERROR(INDEX('Semrush Data'!$A$1:$Z$20000,MATCH(V35,'Semrush Data'!$A$1:$A$20000,0),MATCH("Keyword Difficulty*",'Semrush Data'!$A$1:$Z$1,0)),"")</f>
        <v>12</v>
      </c>
      <c r="Y35" s="26" t="n">
        <f aca="false">IFERROR(INDEX('Semrush Data'!$A$1:$Z$20000,MATCH(V35,'Semrush Data'!$A$1:$A$20000,0),MATCH("CPC*",'Semrush Data'!$A$1:$Z$1,0)),"")</f>
        <v>0</v>
      </c>
      <c r="Z35" s="23" t="s">
        <v>1660</v>
      </c>
      <c r="AA35" s="23" t="s">
        <v>636</v>
      </c>
      <c r="AB35" s="23" t="s">
        <v>632</v>
      </c>
      <c r="AC35" s="23" t="s">
        <v>633</v>
      </c>
      <c r="AD35" s="27" t="n">
        <f aca="false">LEN(AC35)</f>
        <v>54</v>
      </c>
      <c r="AE35" s="23" t="s">
        <v>1661</v>
      </c>
      <c r="AF35" s="27" t="n">
        <f aca="false">LEN(AE35)</f>
        <v>156</v>
      </c>
    </row>
    <row r="36" customFormat="false" ht="15" hidden="false" customHeight="true" outlineLevel="0" collapsed="false">
      <c r="A36" s="23" t="s">
        <v>637</v>
      </c>
      <c r="B36" s="23" t="s">
        <v>1432</v>
      </c>
      <c r="C36" s="23" t="n">
        <v>35</v>
      </c>
      <c r="D36" s="23" t="s">
        <v>373</v>
      </c>
      <c r="E36" s="23"/>
      <c r="F36" s="23" t="s">
        <v>1433</v>
      </c>
      <c r="G36" s="23" t="s">
        <v>456</v>
      </c>
      <c r="H36" s="23" t="s">
        <v>457</v>
      </c>
      <c r="I36" s="23" t="s">
        <v>638</v>
      </c>
      <c r="J36" s="23" t="s">
        <v>1504</v>
      </c>
      <c r="K36" s="23" t="n">
        <v>6.99</v>
      </c>
      <c r="L36" s="23" t="s">
        <v>1662</v>
      </c>
      <c r="M36" s="23" t="s">
        <v>1663</v>
      </c>
      <c r="N36" s="23" t="s">
        <v>1664</v>
      </c>
      <c r="O36" s="23" t="s">
        <v>1665</v>
      </c>
      <c r="P36" s="23"/>
      <c r="Q36" s="24" t="n">
        <f aca="false">IF(L36="","",IFERROR(INDEX('Semrush Data'!$A$1:$Z$20000,MATCH(L36,'Semrush Data'!$A$1:$A$20000,0),MATCH("Volume",'Semrush Data'!$A$1:$Z$1,0)),""))</f>
        <v>0</v>
      </c>
      <c r="R36" s="24" t="str">
        <f aca="false">IF(M36="","",IFERROR(INDEX('Semrush Data'!$A$1:$Z$20000,MATCH(M36,'Semrush Data'!$A$1:$A$20000,0),MATCH("Volume",'Semrush Data'!$A$1:$Z$1,0)),""))</f>
        <v/>
      </c>
      <c r="S36" s="24" t="str">
        <f aca="false">IF(N36="","",IFERROR(INDEX('Semrush Data'!$A$1:$Z$20000,MATCH(N36,'Semrush Data'!$A$1:$A$20000,0),MATCH("Volume",'Semrush Data'!$A$1:$Z$1,0)),""))</f>
        <v/>
      </c>
      <c r="T36" s="24" t="str">
        <f aca="false">IF(O36="","",IFERROR(INDEX('Semrush Data'!$A$1:$Z$20000,MATCH(O36,'Semrush Data'!$A$1:$A$20000,0),MATCH("Volume",'Semrush Data'!$A$1:$Z$1,0)),""))</f>
        <v/>
      </c>
      <c r="U36" s="24" t="str">
        <f aca="false">IF(P36="","",IFERROR(INDEX('Semrush Data'!$A$1:$Z$20000,MATCH(P36,'Semrush Data'!$A$1:$A$20000,0),MATCH("Volume",'Semrush Data'!$A$1:$Z$1,0)),""))</f>
        <v/>
      </c>
      <c r="V36" s="25" t="str">
        <f aca="false">IF(COUNT(Q36:U36)=0,L36,IF(MAX(Q36:U36)=0,L36,INDEX(L36:P36,MATCH(MAX(Q36:U36),Q36:U36,0))))</f>
        <v>vilvah lip balm - grapefruit</v>
      </c>
      <c r="W36" s="24" t="n">
        <f aca="false">IFERROR(INDEX('Semrush Data'!$A$1:$Z$20000,MATCH(V36,'Semrush Data'!$A$1:$A$20000,0),MATCH("Volume",'Semrush Data'!$A$1:$Z$1,0)),"")</f>
        <v>0</v>
      </c>
      <c r="X36" s="24" t="n">
        <f aca="false">IFERROR(INDEX('Semrush Data'!$A$1:$Z$20000,MATCH(V36,'Semrush Data'!$A$1:$A$20000,0),MATCH("Keyword Difficulty*",'Semrush Data'!$A$1:$Z$1,0)),"")</f>
        <v>30</v>
      </c>
      <c r="Y36" s="26" t="n">
        <f aca="false">IFERROR(INDEX('Semrush Data'!$A$1:$Z$20000,MATCH(V36,'Semrush Data'!$A$1:$A$20000,0),MATCH("CPC*",'Semrush Data'!$A$1:$Z$1,0)),"")</f>
        <v>0</v>
      </c>
      <c r="Z36" s="23" t="s">
        <v>1509</v>
      </c>
      <c r="AA36" s="23" t="s">
        <v>643</v>
      </c>
      <c r="AB36" s="23" t="s">
        <v>639</v>
      </c>
      <c r="AC36" s="23" t="s">
        <v>1666</v>
      </c>
      <c r="AD36" s="27" t="n">
        <f aca="false">LEN(AC36)</f>
        <v>55</v>
      </c>
      <c r="AE36" s="23" t="s">
        <v>1667</v>
      </c>
      <c r="AF36" s="27" t="n">
        <f aca="false">LEN(AE36)</f>
        <v>159</v>
      </c>
    </row>
    <row r="37" customFormat="false" ht="15" hidden="false" customHeight="true" outlineLevel="0" collapsed="false">
      <c r="A37" s="23" t="s">
        <v>644</v>
      </c>
      <c r="B37" s="23" t="s">
        <v>1432</v>
      </c>
      <c r="C37" s="23" t="n">
        <v>36</v>
      </c>
      <c r="D37" s="23" t="s">
        <v>373</v>
      </c>
      <c r="E37" s="23"/>
      <c r="F37" s="23" t="s">
        <v>1433</v>
      </c>
      <c r="G37" s="23" t="s">
        <v>456</v>
      </c>
      <c r="H37" s="23" t="s">
        <v>646</v>
      </c>
      <c r="I37" s="23" t="s">
        <v>645</v>
      </c>
      <c r="J37" s="23" t="s">
        <v>1504</v>
      </c>
      <c r="K37" s="23" t="n">
        <v>6.99</v>
      </c>
      <c r="L37" s="23" t="s">
        <v>1668</v>
      </c>
      <c r="M37" s="23" t="s">
        <v>1669</v>
      </c>
      <c r="N37" s="23" t="s">
        <v>1670</v>
      </c>
      <c r="O37" s="23" t="s">
        <v>1671</v>
      </c>
      <c r="P37" s="23"/>
      <c r="Q37" s="24" t="n">
        <f aca="false">IF(L37="","",IFERROR(INDEX('Semrush Data'!$A$1:$Z$20000,MATCH(L37,'Semrush Data'!$A$1:$A$20000,0),MATCH("Volume",'Semrush Data'!$A$1:$Z$1,0)),""))</f>
        <v>0</v>
      </c>
      <c r="R37" s="24" t="str">
        <f aca="false">IF(M37="","",IFERROR(INDEX('Semrush Data'!$A$1:$Z$20000,MATCH(M37,'Semrush Data'!$A$1:$A$20000,0),MATCH("Volume",'Semrush Data'!$A$1:$Z$1,0)),""))</f>
        <v/>
      </c>
      <c r="S37" s="24" t="str">
        <f aca="false">IF(N37="","",IFERROR(INDEX('Semrush Data'!$A$1:$Z$20000,MATCH(N37,'Semrush Data'!$A$1:$A$20000,0),MATCH("Volume",'Semrush Data'!$A$1:$Z$1,0)),""))</f>
        <v/>
      </c>
      <c r="T37" s="24" t="str">
        <f aca="false">IF(O37="","",IFERROR(INDEX('Semrush Data'!$A$1:$Z$20000,MATCH(O37,'Semrush Data'!$A$1:$A$20000,0),MATCH("Volume",'Semrush Data'!$A$1:$Z$1,0)),""))</f>
        <v/>
      </c>
      <c r="U37" s="24" t="str">
        <f aca="false">IF(P37="","",IFERROR(INDEX('Semrush Data'!$A$1:$Z$20000,MATCH(P37,'Semrush Data'!$A$1:$A$20000,0),MATCH("Volume",'Semrush Data'!$A$1:$Z$1,0)),""))</f>
        <v/>
      </c>
      <c r="V37" s="25" t="str">
        <f aca="false">IF(COUNT(Q37:U37)=0,L37,IF(MAX(Q37:U37)=0,L37,INDEX(L37:P37,MATCH(MAX(Q37:U37),Q37:U37,0))))</f>
        <v>vilvah lip scrub</v>
      </c>
      <c r="W37" s="24" t="n">
        <f aca="false">IFERROR(INDEX('Semrush Data'!$A$1:$Z$20000,MATCH(V37,'Semrush Data'!$A$1:$A$20000,0),MATCH("Volume",'Semrush Data'!$A$1:$Z$1,0)),"")</f>
        <v>0</v>
      </c>
      <c r="X37" s="24" t="n">
        <f aca="false">IFERROR(INDEX('Semrush Data'!$A$1:$Z$20000,MATCH(V37,'Semrush Data'!$A$1:$A$20000,0),MATCH("Keyword Difficulty*",'Semrush Data'!$A$1:$Z$1,0)),"")</f>
        <v>5</v>
      </c>
      <c r="Y37" s="26" t="n">
        <f aca="false">IFERROR(INDEX('Semrush Data'!$A$1:$Z$20000,MATCH(V37,'Semrush Data'!$A$1:$A$20000,0),MATCH("CPC*",'Semrush Data'!$A$1:$Z$1,0)),"")</f>
        <v>0</v>
      </c>
      <c r="Z37" s="23" t="s">
        <v>1672</v>
      </c>
      <c r="AA37" s="23" t="s">
        <v>652</v>
      </c>
      <c r="AB37" s="23" t="s">
        <v>648</v>
      </c>
      <c r="AC37" s="23" t="s">
        <v>1673</v>
      </c>
      <c r="AD37" s="27" t="n">
        <f aca="false">LEN(AC37)</f>
        <v>49</v>
      </c>
      <c r="AE37" s="23" t="s">
        <v>1674</v>
      </c>
      <c r="AF37" s="27" t="n">
        <f aca="false">LEN(AE37)</f>
        <v>160</v>
      </c>
    </row>
    <row r="38" customFormat="false" ht="15" hidden="false" customHeight="true" outlineLevel="0" collapsed="false">
      <c r="A38" s="23" t="s">
        <v>653</v>
      </c>
      <c r="B38" s="23" t="s">
        <v>1432</v>
      </c>
      <c r="C38" s="23" t="n">
        <v>37</v>
      </c>
      <c r="D38" s="23" t="s">
        <v>373</v>
      </c>
      <c r="E38" s="23"/>
      <c r="F38" s="23" t="s">
        <v>1442</v>
      </c>
      <c r="G38" s="23" t="s">
        <v>655</v>
      </c>
      <c r="H38" s="23" t="s">
        <v>416</v>
      </c>
      <c r="I38" s="23" t="s">
        <v>654</v>
      </c>
      <c r="J38" s="23" t="s">
        <v>1675</v>
      </c>
      <c r="K38" s="23" t="n">
        <v>9.99</v>
      </c>
      <c r="L38" s="23" t="s">
        <v>1676</v>
      </c>
      <c r="M38" s="23" t="s">
        <v>1677</v>
      </c>
      <c r="N38" s="23" t="s">
        <v>1678</v>
      </c>
      <c r="O38" s="23" t="s">
        <v>1679</v>
      </c>
      <c r="P38" s="23"/>
      <c r="Q38" s="24" t="n">
        <f aca="false">IF(L38="","",IFERROR(INDEX('Semrush Data'!$A$1:$Z$20000,MATCH(L38,'Semrush Data'!$A$1:$A$20000,0),MATCH("Volume",'Semrush Data'!$A$1:$Z$1,0)),""))</f>
        <v>0</v>
      </c>
      <c r="R38" s="24" t="str">
        <f aca="false">IF(M38="","",IFERROR(INDEX('Semrush Data'!$A$1:$Z$20000,MATCH(M38,'Semrush Data'!$A$1:$A$20000,0),MATCH("Volume",'Semrush Data'!$A$1:$Z$1,0)),""))</f>
        <v/>
      </c>
      <c r="S38" s="24" t="str">
        <f aca="false">IF(N38="","",IFERROR(INDEX('Semrush Data'!$A$1:$Z$20000,MATCH(N38,'Semrush Data'!$A$1:$A$20000,0),MATCH("Volume",'Semrush Data'!$A$1:$Z$1,0)),""))</f>
        <v/>
      </c>
      <c r="T38" s="24" t="str">
        <f aca="false">IF(O38="","",IFERROR(INDEX('Semrush Data'!$A$1:$Z$20000,MATCH(O38,'Semrush Data'!$A$1:$A$20000,0),MATCH("Volume",'Semrush Data'!$A$1:$Z$1,0)),""))</f>
        <v/>
      </c>
      <c r="U38" s="24" t="str">
        <f aca="false">IF(P38="","",IFERROR(INDEX('Semrush Data'!$A$1:$Z$20000,MATCH(P38,'Semrush Data'!$A$1:$A$20000,0),MATCH("Volume",'Semrush Data'!$A$1:$Z$1,0)),""))</f>
        <v/>
      </c>
      <c r="V38" s="25" t="str">
        <f aca="false">IF(COUNT(Q38:U38)=0,L38,IF(MAX(Q38:U38)=0,L38,INDEX(L38:P38,MATCH(MAX(Q38:U38),Q38:U38,0))))</f>
        <v>vilvah men's comb / detangling comb</v>
      </c>
      <c r="W38" s="24" t="n">
        <f aca="false">IFERROR(INDEX('Semrush Data'!$A$1:$Z$20000,MATCH(V38,'Semrush Data'!$A$1:$A$20000,0),MATCH("Volume",'Semrush Data'!$A$1:$Z$1,0)),"")</f>
        <v>0</v>
      </c>
      <c r="X38" s="24" t="n">
        <f aca="false">IFERROR(INDEX('Semrush Data'!$A$1:$Z$20000,MATCH(V38,'Semrush Data'!$A$1:$A$20000,0),MATCH("Keyword Difficulty*",'Semrush Data'!$A$1:$Z$1,0)),"")</f>
        <v>20</v>
      </c>
      <c r="Y38" s="26" t="n">
        <f aca="false">IFERROR(INDEX('Semrush Data'!$A$1:$Z$20000,MATCH(V38,'Semrush Data'!$A$1:$A$20000,0),MATCH("CPC*",'Semrush Data'!$A$1:$Z$1,0)),"")</f>
        <v>0</v>
      </c>
      <c r="Z38" s="23" t="s">
        <v>1680</v>
      </c>
      <c r="AA38" s="23"/>
      <c r="AB38" s="23" t="s">
        <v>657</v>
      </c>
      <c r="AC38" s="23" t="s">
        <v>1681</v>
      </c>
      <c r="AD38" s="27" t="n">
        <f aca="false">LEN(AC38)</f>
        <v>49</v>
      </c>
      <c r="AE38" s="23" t="s">
        <v>1682</v>
      </c>
      <c r="AF38" s="27" t="n">
        <f aca="false">LEN(AE38)</f>
        <v>159</v>
      </c>
    </row>
    <row r="39" customFormat="false" ht="15" hidden="false" customHeight="true" outlineLevel="0" collapsed="false">
      <c r="A39" s="23" t="s">
        <v>661</v>
      </c>
      <c r="B39" s="23" t="s">
        <v>1432</v>
      </c>
      <c r="C39" s="23" t="n">
        <v>38</v>
      </c>
      <c r="D39" s="23" t="s">
        <v>373</v>
      </c>
      <c r="E39" s="23"/>
      <c r="F39" s="23" t="s">
        <v>1433</v>
      </c>
      <c r="G39" s="23" t="s">
        <v>561</v>
      </c>
      <c r="H39" s="23" t="s">
        <v>586</v>
      </c>
      <c r="I39" s="23" t="s">
        <v>662</v>
      </c>
      <c r="J39" s="23" t="s">
        <v>1595</v>
      </c>
      <c r="K39" s="23" t="n">
        <v>20.99</v>
      </c>
      <c r="L39" s="23" t="s">
        <v>1683</v>
      </c>
      <c r="M39" s="23" t="s">
        <v>1684</v>
      </c>
      <c r="N39" s="23" t="s">
        <v>1685</v>
      </c>
      <c r="O39" s="23" t="s">
        <v>1686</v>
      </c>
      <c r="P39" s="23"/>
      <c r="Q39" s="24" t="n">
        <f aca="false">IF(L39="","",IFERROR(INDEX('Semrush Data'!$A$1:$Z$20000,MATCH(L39,'Semrush Data'!$A$1:$A$20000,0),MATCH("Volume",'Semrush Data'!$A$1:$Z$1,0)),""))</f>
        <v>0</v>
      </c>
      <c r="R39" s="24" t="str">
        <f aca="false">IF(M39="","",IFERROR(INDEX('Semrush Data'!$A$1:$Z$20000,MATCH(M39,'Semrush Data'!$A$1:$A$20000,0),MATCH("Volume",'Semrush Data'!$A$1:$Z$1,0)),""))</f>
        <v/>
      </c>
      <c r="S39" s="24" t="str">
        <f aca="false">IF(N39="","",IFERROR(INDEX('Semrush Data'!$A$1:$Z$20000,MATCH(N39,'Semrush Data'!$A$1:$A$20000,0),MATCH("Volume",'Semrush Data'!$A$1:$Z$1,0)),""))</f>
        <v/>
      </c>
      <c r="T39" s="24" t="str">
        <f aca="false">IF(O39="","",IFERROR(INDEX('Semrush Data'!$A$1:$Z$20000,MATCH(O39,'Semrush Data'!$A$1:$A$20000,0),MATCH("Volume",'Semrush Data'!$A$1:$Z$1,0)),""))</f>
        <v/>
      </c>
      <c r="U39" s="24" t="str">
        <f aca="false">IF(P39="","",IFERROR(INDEX('Semrush Data'!$A$1:$Z$20000,MATCH(P39,'Semrush Data'!$A$1:$A$20000,0),MATCH("Volume",'Semrush Data'!$A$1:$Z$1,0)),""))</f>
        <v/>
      </c>
      <c r="V39" s="25" t="str">
        <f aca="false">IF(COUNT(Q39:U39)=0,L39,IF(MAX(Q39:U39)=0,L39,INDEX(L39:P39,MATCH(MAX(Q39:U39),Q39:U39,0))))</f>
        <v>vilvah milk drops brightening serum</v>
      </c>
      <c r="W39" s="24" t="n">
        <f aca="false">IFERROR(INDEX('Semrush Data'!$A$1:$Z$20000,MATCH(V39,'Semrush Data'!$A$1:$A$20000,0),MATCH("Volume",'Semrush Data'!$A$1:$Z$1,0)),"")</f>
        <v>0</v>
      </c>
      <c r="X39" s="24" t="n">
        <f aca="false">IFERROR(INDEX('Semrush Data'!$A$1:$Z$20000,MATCH(V39,'Semrush Data'!$A$1:$A$20000,0),MATCH("Keyword Difficulty*",'Semrush Data'!$A$1:$Z$1,0)),"")</f>
        <v>22</v>
      </c>
      <c r="Y39" s="26" t="n">
        <f aca="false">IFERROR(INDEX('Semrush Data'!$A$1:$Z$20000,MATCH(V39,'Semrush Data'!$A$1:$A$20000,0),MATCH("CPC*",'Semrush Data'!$A$1:$Z$1,0)),"")</f>
        <v>0</v>
      </c>
      <c r="Z39" s="23" t="s">
        <v>1687</v>
      </c>
      <c r="AA39" s="23" t="s">
        <v>668</v>
      </c>
      <c r="AB39" s="23" t="s">
        <v>664</v>
      </c>
      <c r="AC39" s="23" t="s">
        <v>1688</v>
      </c>
      <c r="AD39" s="27" t="n">
        <f aca="false">LEN(AC39)</f>
        <v>49</v>
      </c>
      <c r="AE39" s="23" t="s">
        <v>1689</v>
      </c>
      <c r="AF39" s="27" t="n">
        <f aca="false">LEN(AE39)</f>
        <v>158</v>
      </c>
    </row>
    <row r="40" customFormat="false" ht="15" hidden="false" customHeight="true" outlineLevel="0" collapsed="false">
      <c r="A40" s="23" t="s">
        <v>669</v>
      </c>
      <c r="B40" s="23" t="s">
        <v>1432</v>
      </c>
      <c r="C40" s="23" t="n">
        <v>39</v>
      </c>
      <c r="D40" s="23" t="s">
        <v>373</v>
      </c>
      <c r="E40" s="23"/>
      <c r="F40" s="23" t="s">
        <v>1433</v>
      </c>
      <c r="G40" s="23" t="s">
        <v>561</v>
      </c>
      <c r="H40" s="23" t="s">
        <v>586</v>
      </c>
      <c r="I40" s="23" t="s">
        <v>670</v>
      </c>
      <c r="J40" s="23" t="s">
        <v>1690</v>
      </c>
      <c r="K40" s="23" t="n">
        <v>29.99</v>
      </c>
      <c r="L40" s="23" t="s">
        <v>1683</v>
      </c>
      <c r="M40" s="23" t="s">
        <v>1684</v>
      </c>
      <c r="N40" s="23" t="s">
        <v>1685</v>
      </c>
      <c r="O40" s="23" t="s">
        <v>1686</v>
      </c>
      <c r="P40" s="23"/>
      <c r="Q40" s="24" t="n">
        <f aca="false">IF(L40="","",IFERROR(INDEX('Semrush Data'!$A$1:$Z$20000,MATCH(L40,'Semrush Data'!$A$1:$A$20000,0),MATCH("Volume",'Semrush Data'!$A$1:$Z$1,0)),""))</f>
        <v>0</v>
      </c>
      <c r="R40" s="24" t="str">
        <f aca="false">IF(M40="","",IFERROR(INDEX('Semrush Data'!$A$1:$Z$20000,MATCH(M40,'Semrush Data'!$A$1:$A$20000,0),MATCH("Volume",'Semrush Data'!$A$1:$Z$1,0)),""))</f>
        <v/>
      </c>
      <c r="S40" s="24" t="str">
        <f aca="false">IF(N40="","",IFERROR(INDEX('Semrush Data'!$A$1:$Z$20000,MATCH(N40,'Semrush Data'!$A$1:$A$20000,0),MATCH("Volume",'Semrush Data'!$A$1:$Z$1,0)),""))</f>
        <v/>
      </c>
      <c r="T40" s="24" t="str">
        <f aca="false">IF(O40="","",IFERROR(INDEX('Semrush Data'!$A$1:$Z$20000,MATCH(O40,'Semrush Data'!$A$1:$A$20000,0),MATCH("Volume",'Semrush Data'!$A$1:$Z$1,0)),""))</f>
        <v/>
      </c>
      <c r="U40" s="24" t="str">
        <f aca="false">IF(P40="","",IFERROR(INDEX('Semrush Data'!$A$1:$Z$20000,MATCH(P40,'Semrush Data'!$A$1:$A$20000,0),MATCH("Volume",'Semrush Data'!$A$1:$Z$1,0)),""))</f>
        <v/>
      </c>
      <c r="V40" s="25" t="str">
        <f aca="false">IF(COUNT(Q40:U40)=0,L40,IF(MAX(Q40:U40)=0,L40,INDEX(L40:P40,MATCH(MAX(Q40:U40),Q40:U40,0))))</f>
        <v>vilvah milk drops brightening serum</v>
      </c>
      <c r="W40" s="24" t="n">
        <f aca="false">IFERROR(INDEX('Semrush Data'!$A$1:$Z$20000,MATCH(V40,'Semrush Data'!$A$1:$A$20000,0),MATCH("Volume",'Semrush Data'!$A$1:$Z$1,0)),"")</f>
        <v>0</v>
      </c>
      <c r="X40" s="24" t="n">
        <f aca="false">IFERROR(INDEX('Semrush Data'!$A$1:$Z$20000,MATCH(V40,'Semrush Data'!$A$1:$A$20000,0),MATCH("Keyword Difficulty*",'Semrush Data'!$A$1:$Z$1,0)),"")</f>
        <v>22</v>
      </c>
      <c r="Y40" s="26" t="n">
        <f aca="false">IFERROR(INDEX('Semrush Data'!$A$1:$Z$20000,MATCH(V40,'Semrush Data'!$A$1:$A$20000,0),MATCH("CPC*",'Semrush Data'!$A$1:$Z$1,0)),"")</f>
        <v>0</v>
      </c>
      <c r="Z40" s="23" t="s">
        <v>1687</v>
      </c>
      <c r="AA40" s="23" t="s">
        <v>668</v>
      </c>
      <c r="AB40" s="23" t="s">
        <v>664</v>
      </c>
      <c r="AC40" s="23" t="s">
        <v>1688</v>
      </c>
      <c r="AD40" s="27" t="n">
        <f aca="false">LEN(AC40)</f>
        <v>49</v>
      </c>
      <c r="AE40" s="23" t="s">
        <v>1689</v>
      </c>
      <c r="AF40" s="27" t="n">
        <f aca="false">LEN(AE40)</f>
        <v>158</v>
      </c>
    </row>
    <row r="41" customFormat="false" ht="15" hidden="false" customHeight="true" outlineLevel="0" collapsed="false">
      <c r="A41" s="23" t="s">
        <v>671</v>
      </c>
      <c r="B41" s="23" t="s">
        <v>1432</v>
      </c>
      <c r="C41" s="23" t="n">
        <v>40</v>
      </c>
      <c r="D41" s="23" t="s">
        <v>373</v>
      </c>
      <c r="E41" s="23"/>
      <c r="F41" s="23" t="s">
        <v>1433</v>
      </c>
      <c r="G41" s="23" t="s">
        <v>456</v>
      </c>
      <c r="H41" s="23" t="s">
        <v>457</v>
      </c>
      <c r="I41" s="23" t="s">
        <v>672</v>
      </c>
      <c r="J41" s="23" t="s">
        <v>1691</v>
      </c>
      <c r="K41" s="23" t="n">
        <v>9.99</v>
      </c>
      <c r="L41" s="23" t="s">
        <v>1692</v>
      </c>
      <c r="M41" s="23" t="s">
        <v>1693</v>
      </c>
      <c r="N41" s="23" t="s">
        <v>1694</v>
      </c>
      <c r="O41" s="23" t="s">
        <v>1695</v>
      </c>
      <c r="P41" s="23"/>
      <c r="Q41" s="24" t="n">
        <f aca="false">IF(L41="","",IFERROR(INDEX('Semrush Data'!$A$1:$Z$20000,MATCH(L41,'Semrush Data'!$A$1:$A$20000,0),MATCH("Volume",'Semrush Data'!$A$1:$Z$1,0)),""))</f>
        <v>0</v>
      </c>
      <c r="R41" s="24" t="str">
        <f aca="false">IF(M41="","",IFERROR(INDEX('Semrush Data'!$A$1:$Z$20000,MATCH(M41,'Semrush Data'!$A$1:$A$20000,0),MATCH("Volume",'Semrush Data'!$A$1:$Z$1,0)),""))</f>
        <v/>
      </c>
      <c r="S41" s="24" t="str">
        <f aca="false">IF(N41="","",IFERROR(INDEX('Semrush Data'!$A$1:$Z$20000,MATCH(N41,'Semrush Data'!$A$1:$A$20000,0),MATCH("Volume",'Semrush Data'!$A$1:$Z$1,0)),""))</f>
        <v/>
      </c>
      <c r="T41" s="24" t="str">
        <f aca="false">IF(O41="","",IFERROR(INDEX('Semrush Data'!$A$1:$Z$20000,MATCH(O41,'Semrush Data'!$A$1:$A$20000,0),MATCH("Volume",'Semrush Data'!$A$1:$Z$1,0)),""))</f>
        <v/>
      </c>
      <c r="U41" s="24" t="str">
        <f aca="false">IF(P41="","",IFERROR(INDEX('Semrush Data'!$A$1:$Z$20000,MATCH(P41,'Semrush Data'!$A$1:$A$20000,0),MATCH("Volume",'Semrush Data'!$A$1:$Z$1,0)),""))</f>
        <v/>
      </c>
      <c r="V41" s="25" t="str">
        <f aca="false">IF(COUNT(Q41:U41)=0,L41,IF(MAX(Q41:U41)=0,L41,INDEX(L41:P41,MATCH(MAX(Q41:U41),Q41:U41,0))))</f>
        <v>vilvah milk lip balm spf 30 pa+++</v>
      </c>
      <c r="W41" s="24" t="n">
        <f aca="false">IFERROR(INDEX('Semrush Data'!$A$1:$Z$20000,MATCH(V41,'Semrush Data'!$A$1:$A$20000,0),MATCH("Volume",'Semrush Data'!$A$1:$Z$1,0)),"")</f>
        <v>0</v>
      </c>
      <c r="X41" s="24" t="n">
        <f aca="false">IFERROR(INDEX('Semrush Data'!$A$1:$Z$20000,MATCH(V41,'Semrush Data'!$A$1:$A$20000,0),MATCH("Keyword Difficulty*",'Semrush Data'!$A$1:$Z$1,0)),"")</f>
        <v>22</v>
      </c>
      <c r="Y41" s="26" t="n">
        <f aca="false">IFERROR(INDEX('Semrush Data'!$A$1:$Z$20000,MATCH(V41,'Semrush Data'!$A$1:$A$20000,0),MATCH("CPC*",'Semrush Data'!$A$1:$Z$1,0)),"")</f>
        <v>0</v>
      </c>
      <c r="Z41" s="23" t="s">
        <v>1509</v>
      </c>
      <c r="AA41" s="23"/>
      <c r="AB41" s="23" t="s">
        <v>673</v>
      </c>
      <c r="AC41" s="23" t="s">
        <v>1696</v>
      </c>
      <c r="AD41" s="27" t="n">
        <f aca="false">LEN(AC41)</f>
        <v>57</v>
      </c>
      <c r="AE41" s="23" t="s">
        <v>1697</v>
      </c>
      <c r="AF41" s="27" t="n">
        <f aca="false">LEN(AE41)</f>
        <v>156</v>
      </c>
    </row>
    <row r="42" customFormat="false" ht="15" hidden="false" customHeight="true" outlineLevel="0" collapsed="false">
      <c r="A42" s="23" t="s">
        <v>677</v>
      </c>
      <c r="B42" s="23" t="s">
        <v>1432</v>
      </c>
      <c r="C42" s="23" t="n">
        <v>41</v>
      </c>
      <c r="D42" s="23" t="s">
        <v>373</v>
      </c>
      <c r="E42" s="23"/>
      <c r="F42" s="23" t="s">
        <v>1442</v>
      </c>
      <c r="G42" s="23" t="s">
        <v>655</v>
      </c>
      <c r="H42" s="23" t="s">
        <v>473</v>
      </c>
      <c r="I42" s="23" t="s">
        <v>678</v>
      </c>
      <c r="J42" s="23" t="s">
        <v>1675</v>
      </c>
      <c r="K42" s="23" t="n">
        <v>9.99</v>
      </c>
      <c r="L42" s="23" t="s">
        <v>1698</v>
      </c>
      <c r="M42" s="23" t="s">
        <v>1699</v>
      </c>
      <c r="N42" s="23" t="s">
        <v>1700</v>
      </c>
      <c r="O42" s="23" t="s">
        <v>1701</v>
      </c>
      <c r="P42" s="23"/>
      <c r="Q42" s="24" t="n">
        <f aca="false">IF(L42="","",IFERROR(INDEX('Semrush Data'!$A$1:$Z$20000,MATCH(L42,'Semrush Data'!$A$1:$A$20000,0),MATCH("Volume",'Semrush Data'!$A$1:$Z$1,0)),""))</f>
        <v>0</v>
      </c>
      <c r="R42" s="24" t="str">
        <f aca="false">IF(M42="","",IFERROR(INDEX('Semrush Data'!$A$1:$Z$20000,MATCH(M42,'Semrush Data'!$A$1:$A$20000,0),MATCH("Volume",'Semrush Data'!$A$1:$Z$1,0)),""))</f>
        <v/>
      </c>
      <c r="S42" s="24" t="str">
        <f aca="false">IF(N42="","",IFERROR(INDEX('Semrush Data'!$A$1:$Z$20000,MATCH(N42,'Semrush Data'!$A$1:$A$20000,0),MATCH("Volume",'Semrush Data'!$A$1:$Z$1,0)),""))</f>
        <v/>
      </c>
      <c r="T42" s="24" t="str">
        <f aca="false">IF(O42="","",IFERROR(INDEX('Semrush Data'!$A$1:$Z$20000,MATCH(O42,'Semrush Data'!$A$1:$A$20000,0),MATCH("Volume",'Semrush Data'!$A$1:$Z$1,0)),""))</f>
        <v/>
      </c>
      <c r="U42" s="24" t="str">
        <f aca="false">IF(P42="","",IFERROR(INDEX('Semrush Data'!$A$1:$Z$20000,MATCH(P42,'Semrush Data'!$A$1:$A$20000,0),MATCH("Volume",'Semrush Data'!$A$1:$Z$1,0)),""))</f>
        <v/>
      </c>
      <c r="V42" s="25" t="str">
        <f aca="false">IF(COUNT(Q42:U42)=0,L42,IF(MAX(Q42:U42)=0,L42,INDEX(L42:P42,MATCH(MAX(Q42:U42),Q42:U42,0))))</f>
        <v>vilvah neem wood comb (with handle)</v>
      </c>
      <c r="W42" s="24" t="n">
        <f aca="false">IFERROR(INDEX('Semrush Data'!$A$1:$Z$20000,MATCH(V42,'Semrush Data'!$A$1:$A$20000,0),MATCH("Volume",'Semrush Data'!$A$1:$Z$1,0)),"")</f>
        <v>0</v>
      </c>
      <c r="X42" s="24" t="n">
        <f aca="false">IFERROR(INDEX('Semrush Data'!$A$1:$Z$20000,MATCH(V42,'Semrush Data'!$A$1:$A$20000,0),MATCH("Keyword Difficulty*",'Semrush Data'!$A$1:$Z$1,0)),"")</f>
        <v>27</v>
      </c>
      <c r="Y42" s="26" t="n">
        <f aca="false">IFERROR(INDEX('Semrush Data'!$A$1:$Z$20000,MATCH(V42,'Semrush Data'!$A$1:$A$20000,0),MATCH("CPC*",'Semrush Data'!$A$1:$Z$1,0)),"")</f>
        <v>0</v>
      </c>
      <c r="Z42" s="23" t="s">
        <v>1702</v>
      </c>
      <c r="AA42" s="23"/>
      <c r="AB42" s="23" t="s">
        <v>679</v>
      </c>
      <c r="AC42" s="23" t="s">
        <v>1703</v>
      </c>
      <c r="AD42" s="27" t="n">
        <f aca="false">LEN(AC42)</f>
        <v>49</v>
      </c>
      <c r="AE42" s="23" t="s">
        <v>1704</v>
      </c>
      <c r="AF42" s="27" t="n">
        <f aca="false">LEN(AE42)</f>
        <v>159</v>
      </c>
    </row>
    <row r="43" customFormat="false" ht="15" hidden="false" customHeight="true" outlineLevel="0" collapsed="false">
      <c r="A43" s="23" t="s">
        <v>683</v>
      </c>
      <c r="B43" s="23" t="s">
        <v>1432</v>
      </c>
      <c r="C43" s="23" t="n">
        <v>42</v>
      </c>
      <c r="D43" s="23" t="s">
        <v>373</v>
      </c>
      <c r="E43" s="23"/>
      <c r="F43" s="23" t="s">
        <v>1442</v>
      </c>
      <c r="G43" s="23" t="s">
        <v>655</v>
      </c>
      <c r="H43" s="23" t="s">
        <v>473</v>
      </c>
      <c r="I43" s="23" t="s">
        <v>684</v>
      </c>
      <c r="J43" s="23" t="s">
        <v>1675</v>
      </c>
      <c r="K43" s="23" t="n">
        <v>9.99</v>
      </c>
      <c r="L43" s="23" t="s">
        <v>1705</v>
      </c>
      <c r="M43" s="23" t="s">
        <v>1706</v>
      </c>
      <c r="N43" s="23" t="s">
        <v>1707</v>
      </c>
      <c r="O43" s="23" t="s">
        <v>1708</v>
      </c>
      <c r="P43" s="23"/>
      <c r="Q43" s="24" t="n">
        <f aca="false">IF(L43="","",IFERROR(INDEX('Semrush Data'!$A$1:$Z$20000,MATCH(L43,'Semrush Data'!$A$1:$A$20000,0),MATCH("Volume",'Semrush Data'!$A$1:$Z$1,0)),""))</f>
        <v>0</v>
      </c>
      <c r="R43" s="24" t="str">
        <f aca="false">IF(M43="","",IFERROR(INDEX('Semrush Data'!$A$1:$Z$20000,MATCH(M43,'Semrush Data'!$A$1:$A$20000,0),MATCH("Volume",'Semrush Data'!$A$1:$Z$1,0)),""))</f>
        <v/>
      </c>
      <c r="S43" s="24" t="str">
        <f aca="false">IF(N43="","",IFERROR(INDEX('Semrush Data'!$A$1:$Z$20000,MATCH(N43,'Semrush Data'!$A$1:$A$20000,0),MATCH("Volume",'Semrush Data'!$A$1:$Z$1,0)),""))</f>
        <v/>
      </c>
      <c r="T43" s="24" t="str">
        <f aca="false">IF(O43="","",IFERROR(INDEX('Semrush Data'!$A$1:$Z$20000,MATCH(O43,'Semrush Data'!$A$1:$A$20000,0),MATCH("Volume",'Semrush Data'!$A$1:$Z$1,0)),""))</f>
        <v/>
      </c>
      <c r="U43" s="24" t="str">
        <f aca="false">IF(P43="","",IFERROR(INDEX('Semrush Data'!$A$1:$Z$20000,MATCH(P43,'Semrush Data'!$A$1:$A$20000,0),MATCH("Volume",'Semrush Data'!$A$1:$Z$1,0)),""))</f>
        <v/>
      </c>
      <c r="V43" s="25" t="str">
        <f aca="false">IF(COUNT(Q43:U43)=0,L43,IF(MAX(Q43:U43)=0,L43,INDEX(L43:P43,MATCH(MAX(Q43:U43),Q43:U43,0))))</f>
        <v>vilvah neem wood comb(fine and wide tooth)</v>
      </c>
      <c r="W43" s="24" t="n">
        <f aca="false">IFERROR(INDEX('Semrush Data'!$A$1:$Z$20000,MATCH(V43,'Semrush Data'!$A$1:$A$20000,0),MATCH("Volume",'Semrush Data'!$A$1:$Z$1,0)),"")</f>
        <v>0</v>
      </c>
      <c r="X43" s="24" t="n">
        <f aca="false">IFERROR(INDEX('Semrush Data'!$A$1:$Z$20000,MATCH(V43,'Semrush Data'!$A$1:$A$20000,0),MATCH("Keyword Difficulty*",'Semrush Data'!$A$1:$Z$1,0)),"")</f>
        <v>10</v>
      </c>
      <c r="Y43" s="26" t="n">
        <f aca="false">IFERROR(INDEX('Semrush Data'!$A$1:$Z$20000,MATCH(V43,'Semrush Data'!$A$1:$A$20000,0),MATCH("CPC*",'Semrush Data'!$A$1:$Z$1,0)),"")</f>
        <v>0</v>
      </c>
      <c r="Z43" s="23" t="s">
        <v>1702</v>
      </c>
      <c r="AA43" s="23"/>
      <c r="AB43" s="23" t="s">
        <v>685</v>
      </c>
      <c r="AC43" s="23" t="s">
        <v>686</v>
      </c>
      <c r="AD43" s="27" t="n">
        <f aca="false">LEN(AC43)</f>
        <v>56</v>
      </c>
      <c r="AE43" s="23" t="s">
        <v>1709</v>
      </c>
      <c r="AF43" s="27" t="n">
        <f aca="false">LEN(AE43)</f>
        <v>160</v>
      </c>
    </row>
    <row r="44" customFormat="false" ht="15" hidden="false" customHeight="true" outlineLevel="0" collapsed="false">
      <c r="A44" s="23" t="s">
        <v>689</v>
      </c>
      <c r="B44" s="23" t="s">
        <v>1432</v>
      </c>
      <c r="C44" s="23" t="n">
        <v>43</v>
      </c>
      <c r="D44" s="23" t="s">
        <v>373</v>
      </c>
      <c r="E44" s="23"/>
      <c r="F44" s="23" t="s">
        <v>1433</v>
      </c>
      <c r="G44" s="23" t="s">
        <v>434</v>
      </c>
      <c r="H44" s="23" t="s">
        <v>691</v>
      </c>
      <c r="I44" s="23" t="s">
        <v>690</v>
      </c>
      <c r="J44" s="23" t="s">
        <v>1595</v>
      </c>
      <c r="K44" s="23" t="n">
        <v>19.99</v>
      </c>
      <c r="L44" s="23" t="s">
        <v>1710</v>
      </c>
      <c r="M44" s="23" t="s">
        <v>1711</v>
      </c>
      <c r="N44" s="23" t="s">
        <v>1712</v>
      </c>
      <c r="O44" s="23" t="s">
        <v>1713</v>
      </c>
      <c r="P44" s="23"/>
      <c r="Q44" s="24" t="n">
        <f aca="false">IF(L44="","",IFERROR(INDEX('Semrush Data'!$A$1:$Z$20000,MATCH(L44,'Semrush Data'!$A$1:$A$20000,0),MATCH("Volume",'Semrush Data'!$A$1:$Z$1,0)),""))</f>
        <v>0</v>
      </c>
      <c r="R44" s="24" t="str">
        <f aca="false">IF(M44="","",IFERROR(INDEX('Semrush Data'!$A$1:$Z$20000,MATCH(M44,'Semrush Data'!$A$1:$A$20000,0),MATCH("Volume",'Semrush Data'!$A$1:$Z$1,0)),""))</f>
        <v/>
      </c>
      <c r="S44" s="24" t="str">
        <f aca="false">IF(N44="","",IFERROR(INDEX('Semrush Data'!$A$1:$Z$20000,MATCH(N44,'Semrush Data'!$A$1:$A$20000,0),MATCH("Volume",'Semrush Data'!$A$1:$Z$1,0)),""))</f>
        <v/>
      </c>
      <c r="T44" s="24" t="str">
        <f aca="false">IF(O44="","",IFERROR(INDEX('Semrush Data'!$A$1:$Z$20000,MATCH(O44,'Semrush Data'!$A$1:$A$20000,0),MATCH("Volume",'Semrush Data'!$A$1:$Z$1,0)),""))</f>
        <v/>
      </c>
      <c r="U44" s="24" t="str">
        <f aca="false">IF(P44="","",IFERROR(INDEX('Semrush Data'!$A$1:$Z$20000,MATCH(P44,'Semrush Data'!$A$1:$A$20000,0),MATCH("Volume",'Semrush Data'!$A$1:$Z$1,0)),""))</f>
        <v/>
      </c>
      <c r="V44" s="25" t="str">
        <f aca="false">IF(COUNT(Q44:U44)=0,L44,IF(MAX(Q44:U44)=0,L44,INDEX(L44:P44,MATCH(MAX(Q44:U44),Q44:U44,0))))</f>
        <v>vilvah under eye cream (dark circles control)</v>
      </c>
      <c r="W44" s="24" t="n">
        <f aca="false">IFERROR(INDEX('Semrush Data'!$A$1:$Z$20000,MATCH(V44,'Semrush Data'!$A$1:$A$20000,0),MATCH("Volume",'Semrush Data'!$A$1:$Z$1,0)),"")</f>
        <v>0</v>
      </c>
      <c r="X44" s="24" t="n">
        <f aca="false">IFERROR(INDEX('Semrush Data'!$A$1:$Z$20000,MATCH(V44,'Semrush Data'!$A$1:$A$20000,0),MATCH("Keyword Difficulty*",'Semrush Data'!$A$1:$Z$1,0)),"")</f>
        <v>32</v>
      </c>
      <c r="Y44" s="26" t="n">
        <f aca="false">IFERROR(INDEX('Semrush Data'!$A$1:$Z$20000,MATCH(V44,'Semrush Data'!$A$1:$A$20000,0),MATCH("CPC*",'Semrush Data'!$A$1:$Z$1,0)),"")</f>
        <v>0</v>
      </c>
      <c r="Z44" s="23" t="s">
        <v>1714</v>
      </c>
      <c r="AA44" s="23" t="s">
        <v>696</v>
      </c>
      <c r="AB44" s="23" t="s">
        <v>692</v>
      </c>
      <c r="AC44" s="23" t="s">
        <v>693</v>
      </c>
      <c r="AD44" s="27" t="n">
        <f aca="false">LEN(AC44)</f>
        <v>59</v>
      </c>
      <c r="AE44" s="23" t="s">
        <v>1715</v>
      </c>
      <c r="AF44" s="27" t="n">
        <f aca="false">LEN(AE44)</f>
        <v>158</v>
      </c>
    </row>
    <row r="45" customFormat="false" ht="15" hidden="false" customHeight="true" outlineLevel="0" collapsed="false">
      <c r="A45" s="23" t="s">
        <v>697</v>
      </c>
      <c r="B45" s="23" t="s">
        <v>1432</v>
      </c>
      <c r="C45" s="23" t="n">
        <v>44</v>
      </c>
      <c r="D45" s="23" t="s">
        <v>373</v>
      </c>
      <c r="E45" s="23"/>
      <c r="F45" s="23" t="s">
        <v>1433</v>
      </c>
      <c r="G45" s="23" t="s">
        <v>456</v>
      </c>
      <c r="H45" s="23" t="s">
        <v>457</v>
      </c>
      <c r="I45" s="23" t="s">
        <v>698</v>
      </c>
      <c r="J45" s="23" t="s">
        <v>1504</v>
      </c>
      <c r="K45" s="23" t="n">
        <v>9.99</v>
      </c>
      <c r="L45" s="23" t="s">
        <v>1716</v>
      </c>
      <c r="M45" s="23" t="s">
        <v>1717</v>
      </c>
      <c r="N45" s="23" t="s">
        <v>1718</v>
      </c>
      <c r="O45" s="23" t="s">
        <v>1719</v>
      </c>
      <c r="P45" s="23"/>
      <c r="Q45" s="24" t="n">
        <f aca="false">IF(L45="","",IFERROR(INDEX('Semrush Data'!$A$1:$Z$20000,MATCH(L45,'Semrush Data'!$A$1:$A$20000,0),MATCH("Volume",'Semrush Data'!$A$1:$Z$1,0)),""))</f>
        <v>0</v>
      </c>
      <c r="R45" s="24" t="str">
        <f aca="false">IF(M45="","",IFERROR(INDEX('Semrush Data'!$A$1:$Z$20000,MATCH(M45,'Semrush Data'!$A$1:$A$20000,0),MATCH("Volume",'Semrush Data'!$A$1:$Z$1,0)),""))</f>
        <v/>
      </c>
      <c r="S45" s="24" t="str">
        <f aca="false">IF(N45="","",IFERROR(INDEX('Semrush Data'!$A$1:$Z$20000,MATCH(N45,'Semrush Data'!$A$1:$A$20000,0),MATCH("Volume",'Semrush Data'!$A$1:$Z$1,0)),""))</f>
        <v/>
      </c>
      <c r="T45" s="24" t="str">
        <f aca="false">IF(O45="","",IFERROR(INDEX('Semrush Data'!$A$1:$Z$20000,MATCH(O45,'Semrush Data'!$A$1:$A$20000,0),MATCH("Volume",'Semrush Data'!$A$1:$Z$1,0)),""))</f>
        <v/>
      </c>
      <c r="U45" s="24" t="str">
        <f aca="false">IF(P45="","",IFERROR(INDEX('Semrush Data'!$A$1:$Z$20000,MATCH(P45,'Semrush Data'!$A$1:$A$20000,0),MATCH("Volume",'Semrush Data'!$A$1:$Z$1,0)),""))</f>
        <v/>
      </c>
      <c r="V45" s="25" t="str">
        <f aca="false">IF(COUNT(Q45:U45)=0,L45,IF(MAX(Q45:U45)=0,L45,INDEX(L45:P45,MATCH(MAX(Q45:U45),Q45:U45,0))))</f>
        <v>vilvah filter kaapi lip balm</v>
      </c>
      <c r="W45" s="24" t="n">
        <f aca="false">IFERROR(INDEX('Semrush Data'!$A$1:$Z$20000,MATCH(V45,'Semrush Data'!$A$1:$A$20000,0),MATCH("Volume",'Semrush Data'!$A$1:$Z$1,0)),"")</f>
        <v>0</v>
      </c>
      <c r="X45" s="24" t="n">
        <f aca="false">IFERROR(INDEX('Semrush Data'!$A$1:$Z$20000,MATCH(V45,'Semrush Data'!$A$1:$A$20000,0),MATCH("Keyword Difficulty*",'Semrush Data'!$A$1:$Z$1,0)),"")</f>
        <v>23</v>
      </c>
      <c r="Y45" s="26" t="n">
        <f aca="false">IFERROR(INDEX('Semrush Data'!$A$1:$Z$20000,MATCH(V45,'Semrush Data'!$A$1:$A$20000,0),MATCH("CPC*",'Semrush Data'!$A$1:$Z$1,0)),"")</f>
        <v>0</v>
      </c>
      <c r="Z45" s="23" t="s">
        <v>1509</v>
      </c>
      <c r="AA45" s="23" t="s">
        <v>703</v>
      </c>
      <c r="AB45" s="23" t="s">
        <v>699</v>
      </c>
      <c r="AC45" s="23" t="s">
        <v>1720</v>
      </c>
      <c r="AD45" s="27" t="n">
        <f aca="false">LEN(AC45)</f>
        <v>55</v>
      </c>
      <c r="AE45" s="23" t="s">
        <v>1721</v>
      </c>
      <c r="AF45" s="27" t="n">
        <f aca="false">LEN(AE45)</f>
        <v>159</v>
      </c>
    </row>
    <row r="46" customFormat="false" ht="15" hidden="false" customHeight="true" outlineLevel="0" collapsed="false">
      <c r="A46" s="23" t="s">
        <v>704</v>
      </c>
      <c r="B46" s="23" t="s">
        <v>1432</v>
      </c>
      <c r="C46" s="23" t="n">
        <v>45</v>
      </c>
      <c r="D46" s="23" t="s">
        <v>373</v>
      </c>
      <c r="E46" s="23"/>
      <c r="F46" s="23" t="s">
        <v>1433</v>
      </c>
      <c r="G46" s="23" t="s">
        <v>456</v>
      </c>
      <c r="H46" s="23" t="s">
        <v>457</v>
      </c>
      <c r="I46" s="23" t="s">
        <v>705</v>
      </c>
      <c r="J46" s="23" t="s">
        <v>1722</v>
      </c>
      <c r="K46" s="23" t="n">
        <v>9.99</v>
      </c>
      <c r="L46" s="23" t="s">
        <v>1723</v>
      </c>
      <c r="M46" s="23" t="s">
        <v>1724</v>
      </c>
      <c r="N46" s="23" t="s">
        <v>1725</v>
      </c>
      <c r="O46" s="23" t="s">
        <v>1726</v>
      </c>
      <c r="P46" s="23"/>
      <c r="Q46" s="24" t="n">
        <f aca="false">IF(L46="","",IFERROR(INDEX('Semrush Data'!$A$1:$Z$20000,MATCH(L46,'Semrush Data'!$A$1:$A$20000,0),MATCH("Volume",'Semrush Data'!$A$1:$Z$1,0)),""))</f>
        <v>0</v>
      </c>
      <c r="R46" s="24" t="str">
        <f aca="false">IF(M46="","",IFERROR(INDEX('Semrush Data'!$A$1:$Z$20000,MATCH(M46,'Semrush Data'!$A$1:$A$20000,0),MATCH("Volume",'Semrush Data'!$A$1:$Z$1,0)),""))</f>
        <v/>
      </c>
      <c r="S46" s="24" t="str">
        <f aca="false">IF(N46="","",IFERROR(INDEX('Semrush Data'!$A$1:$Z$20000,MATCH(N46,'Semrush Data'!$A$1:$A$20000,0),MATCH("Volume",'Semrush Data'!$A$1:$Z$1,0)),""))</f>
        <v/>
      </c>
      <c r="T46" s="24" t="str">
        <f aca="false">IF(O46="","",IFERROR(INDEX('Semrush Data'!$A$1:$Z$20000,MATCH(O46,'Semrush Data'!$A$1:$A$20000,0),MATCH("Volume",'Semrush Data'!$A$1:$Z$1,0)),""))</f>
        <v/>
      </c>
      <c r="U46" s="24" t="str">
        <f aca="false">IF(P46="","",IFERROR(INDEX('Semrush Data'!$A$1:$Z$20000,MATCH(P46,'Semrush Data'!$A$1:$A$20000,0),MATCH("Volume",'Semrush Data'!$A$1:$Z$1,0)),""))</f>
        <v/>
      </c>
      <c r="V46" s="25" t="str">
        <f aca="false">IF(COUNT(Q46:U46)=0,L46,IF(MAX(Q46:U46)=0,L46,INDEX(L46:P46,MATCH(MAX(Q46:U46),Q46:U46,0))))</f>
        <v>vilvah mango shake lip balm</v>
      </c>
      <c r="W46" s="24" t="n">
        <f aca="false">IFERROR(INDEX('Semrush Data'!$A$1:$Z$20000,MATCH(V46,'Semrush Data'!$A$1:$A$20000,0),MATCH("Volume",'Semrush Data'!$A$1:$Z$1,0)),"")</f>
        <v>0</v>
      </c>
      <c r="X46" s="24" t="n">
        <f aca="false">IFERROR(INDEX('Semrush Data'!$A$1:$Z$20000,MATCH(V46,'Semrush Data'!$A$1:$A$20000,0),MATCH("Keyword Difficulty*",'Semrush Data'!$A$1:$Z$1,0)),"")</f>
        <v>17</v>
      </c>
      <c r="Y46" s="26" t="n">
        <f aca="false">IFERROR(INDEX('Semrush Data'!$A$1:$Z$20000,MATCH(V46,'Semrush Data'!$A$1:$A$20000,0),MATCH("CPC*",'Semrush Data'!$A$1:$Z$1,0)),"")</f>
        <v>0</v>
      </c>
      <c r="Z46" s="23" t="s">
        <v>1509</v>
      </c>
      <c r="AA46" s="23" t="s">
        <v>703</v>
      </c>
      <c r="AB46" s="23" t="s">
        <v>706</v>
      </c>
      <c r="AC46" s="23" t="s">
        <v>1727</v>
      </c>
      <c r="AD46" s="27" t="n">
        <f aca="false">LEN(AC46)</f>
        <v>54</v>
      </c>
      <c r="AE46" s="23" t="s">
        <v>1728</v>
      </c>
      <c r="AF46" s="27" t="n">
        <f aca="false">LEN(AE46)</f>
        <v>158</v>
      </c>
    </row>
    <row r="47" customFormat="false" ht="15" hidden="false" customHeight="true" outlineLevel="0" collapsed="false">
      <c r="A47" s="23" t="s">
        <v>710</v>
      </c>
      <c r="B47" s="23" t="s">
        <v>1432</v>
      </c>
      <c r="C47" s="23" t="n">
        <v>46</v>
      </c>
      <c r="D47" s="23" t="s">
        <v>373</v>
      </c>
      <c r="E47" s="23"/>
      <c r="F47" s="23" t="s">
        <v>1433</v>
      </c>
      <c r="G47" s="23" t="s">
        <v>456</v>
      </c>
      <c r="H47" s="23" t="s">
        <v>457</v>
      </c>
      <c r="I47" s="23" t="s">
        <v>711</v>
      </c>
      <c r="J47" s="23" t="s">
        <v>1722</v>
      </c>
      <c r="K47" s="23" t="n">
        <v>9.99</v>
      </c>
      <c r="L47" s="23" t="s">
        <v>1729</v>
      </c>
      <c r="M47" s="23" t="s">
        <v>1730</v>
      </c>
      <c r="N47" s="23" t="s">
        <v>1731</v>
      </c>
      <c r="O47" s="23" t="s">
        <v>1732</v>
      </c>
      <c r="P47" s="23"/>
      <c r="Q47" s="24" t="n">
        <f aca="false">IF(L47="","",IFERROR(INDEX('Semrush Data'!$A$1:$Z$20000,MATCH(L47,'Semrush Data'!$A$1:$A$20000,0),MATCH("Volume",'Semrush Data'!$A$1:$Z$1,0)),""))</f>
        <v>0</v>
      </c>
      <c r="R47" s="24" t="str">
        <f aca="false">IF(M47="","",IFERROR(INDEX('Semrush Data'!$A$1:$Z$20000,MATCH(M47,'Semrush Data'!$A$1:$A$20000,0),MATCH("Volume",'Semrush Data'!$A$1:$Z$1,0)),""))</f>
        <v/>
      </c>
      <c r="S47" s="24" t="str">
        <f aca="false">IF(N47="","",IFERROR(INDEX('Semrush Data'!$A$1:$Z$20000,MATCH(N47,'Semrush Data'!$A$1:$A$20000,0),MATCH("Volume",'Semrush Data'!$A$1:$Z$1,0)),""))</f>
        <v/>
      </c>
      <c r="T47" s="24" t="str">
        <f aca="false">IF(O47="","",IFERROR(INDEX('Semrush Data'!$A$1:$Z$20000,MATCH(O47,'Semrush Data'!$A$1:$A$20000,0),MATCH("Volume",'Semrush Data'!$A$1:$Z$1,0)),""))</f>
        <v/>
      </c>
      <c r="U47" s="24" t="str">
        <f aca="false">IF(P47="","",IFERROR(INDEX('Semrush Data'!$A$1:$Z$20000,MATCH(P47,'Semrush Data'!$A$1:$A$20000,0),MATCH("Volume",'Semrush Data'!$A$1:$Z$1,0)),""))</f>
        <v/>
      </c>
      <c r="V47" s="25" t="str">
        <f aca="false">IF(COUNT(Q47:U47)=0,L47,IF(MAX(Q47:U47)=0,L47,INDEX(L47:P47,MATCH(MAX(Q47:U47),Q47:U47,0))))</f>
        <v>vilvah cream bun lip balm</v>
      </c>
      <c r="W47" s="24" t="n">
        <f aca="false">IFERROR(INDEX('Semrush Data'!$A$1:$Z$20000,MATCH(V47,'Semrush Data'!$A$1:$A$20000,0),MATCH("Volume",'Semrush Data'!$A$1:$Z$1,0)),"")</f>
        <v>0</v>
      </c>
      <c r="X47" s="24" t="n">
        <f aca="false">IFERROR(INDEX('Semrush Data'!$A$1:$Z$20000,MATCH(V47,'Semrush Data'!$A$1:$A$20000,0),MATCH("Keyword Difficulty*",'Semrush Data'!$A$1:$Z$1,0)),"")</f>
        <v>19</v>
      </c>
      <c r="Y47" s="26" t="n">
        <f aca="false">IFERROR(INDEX('Semrush Data'!$A$1:$Z$20000,MATCH(V47,'Semrush Data'!$A$1:$A$20000,0),MATCH("CPC*",'Semrush Data'!$A$1:$Z$1,0)),"")</f>
        <v>0</v>
      </c>
      <c r="Z47" s="23" t="s">
        <v>1509</v>
      </c>
      <c r="AA47" s="23" t="s">
        <v>716</v>
      </c>
      <c r="AB47" s="23" t="s">
        <v>712</v>
      </c>
      <c r="AC47" s="23" t="s">
        <v>1733</v>
      </c>
      <c r="AD47" s="27" t="n">
        <f aca="false">LEN(AC47)</f>
        <v>52</v>
      </c>
      <c r="AE47" s="23" t="s">
        <v>1734</v>
      </c>
      <c r="AF47" s="27" t="n">
        <f aca="false">LEN(AE47)</f>
        <v>159</v>
      </c>
    </row>
    <row r="48" customFormat="false" ht="15" hidden="false" customHeight="true" outlineLevel="0" collapsed="false">
      <c r="A48" s="23" t="s">
        <v>717</v>
      </c>
      <c r="B48" s="23" t="s">
        <v>1432</v>
      </c>
      <c r="C48" s="23" t="n">
        <v>47</v>
      </c>
      <c r="D48" s="23" t="s">
        <v>373</v>
      </c>
      <c r="E48" s="23"/>
      <c r="F48" s="23" t="s">
        <v>1735</v>
      </c>
      <c r="G48" s="23" t="s">
        <v>719</v>
      </c>
      <c r="H48" s="23" t="s">
        <v>435</v>
      </c>
      <c r="I48" s="23" t="s">
        <v>718</v>
      </c>
      <c r="J48" s="23"/>
      <c r="K48" s="23" t="n">
        <v>44.99</v>
      </c>
      <c r="L48" s="23" t="s">
        <v>1736</v>
      </c>
      <c r="M48" s="23" t="s">
        <v>1737</v>
      </c>
      <c r="N48" s="23" t="s">
        <v>1738</v>
      </c>
      <c r="O48" s="23" t="s">
        <v>1739</v>
      </c>
      <c r="P48" s="23"/>
      <c r="Q48" s="24" t="n">
        <f aca="false">IF(L48="","",IFERROR(INDEX('Semrush Data'!$A$1:$Z$20000,MATCH(L48,'Semrush Data'!$A$1:$A$20000,0),MATCH("Volume",'Semrush Data'!$A$1:$Z$1,0)),""))</f>
        <v>0</v>
      </c>
      <c r="R48" s="24" t="str">
        <f aca="false">IF(M48="","",IFERROR(INDEX('Semrush Data'!$A$1:$Z$20000,MATCH(M48,'Semrush Data'!$A$1:$A$20000,0),MATCH("Volume",'Semrush Data'!$A$1:$Z$1,0)),""))</f>
        <v/>
      </c>
      <c r="S48" s="24" t="str">
        <f aca="false">IF(N48="","",IFERROR(INDEX('Semrush Data'!$A$1:$Z$20000,MATCH(N48,'Semrush Data'!$A$1:$A$20000,0),MATCH("Volume",'Semrush Data'!$A$1:$Z$1,0)),""))</f>
        <v/>
      </c>
      <c r="T48" s="24" t="str">
        <f aca="false">IF(O48="","",IFERROR(INDEX('Semrush Data'!$A$1:$Z$20000,MATCH(O48,'Semrush Data'!$A$1:$A$20000,0),MATCH("Volume",'Semrush Data'!$A$1:$Z$1,0)),""))</f>
        <v/>
      </c>
      <c r="U48" s="24" t="str">
        <f aca="false">IF(P48="","",IFERROR(INDEX('Semrush Data'!$A$1:$Z$20000,MATCH(P48,'Semrush Data'!$A$1:$A$20000,0),MATCH("Volume",'Semrush Data'!$A$1:$Z$1,0)),""))</f>
        <v/>
      </c>
      <c r="V48" s="25" t="str">
        <f aca="false">IF(COUNT(Q48:U48)=0,L48,IF(MAX(Q48:U48)=0,L48,INDEX(L48:P48,MATCH(MAX(Q48:U48),Q48:U48,0))))</f>
        <v>vilvah milk body kit</v>
      </c>
      <c r="W48" s="24" t="n">
        <f aca="false">IFERROR(INDEX('Semrush Data'!$A$1:$Z$20000,MATCH(V48,'Semrush Data'!$A$1:$A$20000,0),MATCH("Volume",'Semrush Data'!$A$1:$Z$1,0)),"")</f>
        <v>0</v>
      </c>
      <c r="X48" s="24" t="n">
        <f aca="false">IFERROR(INDEX('Semrush Data'!$A$1:$Z$20000,MATCH(V48,'Semrush Data'!$A$1:$A$20000,0),MATCH("Keyword Difficulty*",'Semrush Data'!$A$1:$Z$1,0)),"")</f>
        <v>30</v>
      </c>
      <c r="Y48" s="26" t="n">
        <f aca="false">IFERROR(INDEX('Semrush Data'!$A$1:$Z$20000,MATCH(V48,'Semrush Data'!$A$1:$A$20000,0),MATCH("CPC*",'Semrush Data'!$A$1:$Z$1,0)),"")</f>
        <v>0</v>
      </c>
      <c r="Z48" s="23" t="s">
        <v>1740</v>
      </c>
      <c r="AA48" s="23"/>
      <c r="AB48" s="23" t="s">
        <v>718</v>
      </c>
      <c r="AC48" s="23" t="s">
        <v>1741</v>
      </c>
      <c r="AD48" s="27" t="n">
        <f aca="false">LEN(AC48)</f>
        <v>53</v>
      </c>
      <c r="AE48" s="23" t="s">
        <v>1742</v>
      </c>
      <c r="AF48" s="27" t="n">
        <f aca="false">LEN(AE48)</f>
        <v>154</v>
      </c>
    </row>
    <row r="49" customFormat="false" ht="15" hidden="false" customHeight="true" outlineLevel="0" collapsed="false">
      <c r="A49" s="23" t="s">
        <v>724</v>
      </c>
      <c r="B49" s="23" t="s">
        <v>1432</v>
      </c>
      <c r="C49" s="23" t="n">
        <v>48</v>
      </c>
      <c r="D49" s="23" t="s">
        <v>373</v>
      </c>
      <c r="E49" s="23"/>
      <c r="F49" s="23" t="s">
        <v>1735</v>
      </c>
      <c r="G49" s="23" t="s">
        <v>719</v>
      </c>
      <c r="H49" s="23" t="s">
        <v>435</v>
      </c>
      <c r="I49" s="23" t="s">
        <v>725</v>
      </c>
      <c r="J49" s="23"/>
      <c r="K49" s="23" t="n">
        <v>39.99</v>
      </c>
      <c r="L49" s="23" t="s">
        <v>1743</v>
      </c>
      <c r="M49" s="23" t="s">
        <v>1744</v>
      </c>
      <c r="N49" s="23" t="s">
        <v>1745</v>
      </c>
      <c r="O49" s="23" t="s">
        <v>1746</v>
      </c>
      <c r="P49" s="23"/>
      <c r="Q49" s="24" t="n">
        <f aca="false">IF(L49="","",IFERROR(INDEX('Semrush Data'!$A$1:$Z$20000,MATCH(L49,'Semrush Data'!$A$1:$A$20000,0),MATCH("Volume",'Semrush Data'!$A$1:$Z$1,0)),""))</f>
        <v>0</v>
      </c>
      <c r="R49" s="24" t="str">
        <f aca="false">IF(M49="","",IFERROR(INDEX('Semrush Data'!$A$1:$Z$20000,MATCH(M49,'Semrush Data'!$A$1:$A$20000,0),MATCH("Volume",'Semrush Data'!$A$1:$Z$1,0)),""))</f>
        <v/>
      </c>
      <c r="S49" s="24" t="str">
        <f aca="false">IF(N49="","",IFERROR(INDEX('Semrush Data'!$A$1:$Z$20000,MATCH(N49,'Semrush Data'!$A$1:$A$20000,0),MATCH("Volume",'Semrush Data'!$A$1:$Z$1,0)),""))</f>
        <v/>
      </c>
      <c r="T49" s="24" t="str">
        <f aca="false">IF(O49="","",IFERROR(INDEX('Semrush Data'!$A$1:$Z$20000,MATCH(O49,'Semrush Data'!$A$1:$A$20000,0),MATCH("Volume",'Semrush Data'!$A$1:$Z$1,0)),""))</f>
        <v/>
      </c>
      <c r="U49" s="24" t="str">
        <f aca="false">IF(P49="","",IFERROR(INDEX('Semrush Data'!$A$1:$Z$20000,MATCH(P49,'Semrush Data'!$A$1:$A$20000,0),MATCH("Volume",'Semrush Data'!$A$1:$Z$1,0)),""))</f>
        <v/>
      </c>
      <c r="V49" s="25" t="str">
        <f aca="false">IF(COUNT(Q49:U49)=0,L49,IF(MAX(Q49:U49)=0,L49,INDEX(L49:P49,MATCH(MAX(Q49:U49),Q49:U49,0))))</f>
        <v>vilvah foot cream and body lotion kit</v>
      </c>
      <c r="W49" s="24" t="n">
        <f aca="false">IFERROR(INDEX('Semrush Data'!$A$1:$Z$20000,MATCH(V49,'Semrush Data'!$A$1:$A$20000,0),MATCH("Volume",'Semrush Data'!$A$1:$Z$1,0)),"")</f>
        <v>0</v>
      </c>
      <c r="X49" s="24" t="n">
        <f aca="false">IFERROR(INDEX('Semrush Data'!$A$1:$Z$20000,MATCH(V49,'Semrush Data'!$A$1:$A$20000,0),MATCH("Keyword Difficulty*",'Semrush Data'!$A$1:$Z$1,0)),"")</f>
        <v>18</v>
      </c>
      <c r="Y49" s="26" t="n">
        <f aca="false">IFERROR(INDEX('Semrush Data'!$A$1:$Z$20000,MATCH(V49,'Semrush Data'!$A$1:$A$20000,0),MATCH("CPC*",'Semrush Data'!$A$1:$Z$1,0)),"")</f>
        <v>0</v>
      </c>
      <c r="Z49" s="23" t="s">
        <v>1740</v>
      </c>
      <c r="AA49" s="23"/>
      <c r="AB49" s="23" t="s">
        <v>725</v>
      </c>
      <c r="AC49" s="23" t="s">
        <v>1747</v>
      </c>
      <c r="AD49" s="27" t="n">
        <f aca="false">LEN(AC49)</f>
        <v>51</v>
      </c>
      <c r="AE49" s="23" t="s">
        <v>1748</v>
      </c>
      <c r="AF49" s="27" t="n">
        <f aca="false">LEN(AE49)</f>
        <v>153</v>
      </c>
    </row>
    <row r="50" customFormat="false" ht="15" hidden="false" customHeight="true" outlineLevel="0" collapsed="false">
      <c r="A50" s="23" t="s">
        <v>729</v>
      </c>
      <c r="B50" s="23" t="s">
        <v>1432</v>
      </c>
      <c r="C50" s="23" t="n">
        <v>49</v>
      </c>
      <c r="D50" s="23" t="s">
        <v>373</v>
      </c>
      <c r="E50" s="23"/>
      <c r="F50" s="23" t="s">
        <v>1735</v>
      </c>
      <c r="G50" s="23" t="s">
        <v>719</v>
      </c>
      <c r="H50" s="23" t="s">
        <v>435</v>
      </c>
      <c r="I50" s="23" t="s">
        <v>730</v>
      </c>
      <c r="J50" s="23"/>
      <c r="K50" s="23" t="n">
        <v>45.99</v>
      </c>
      <c r="L50" s="23" t="s">
        <v>1749</v>
      </c>
      <c r="M50" s="23" t="s">
        <v>1750</v>
      </c>
      <c r="N50" s="23" t="s">
        <v>1751</v>
      </c>
      <c r="O50" s="23" t="s">
        <v>1752</v>
      </c>
      <c r="P50" s="23"/>
      <c r="Q50" s="24" t="n">
        <f aca="false">IF(L50="","",IFERROR(INDEX('Semrush Data'!$A$1:$Z$20000,MATCH(L50,'Semrush Data'!$A$1:$A$20000,0),MATCH("Volume",'Semrush Data'!$A$1:$Z$1,0)),""))</f>
        <v>0</v>
      </c>
      <c r="R50" s="24" t="str">
        <f aca="false">IF(M50="","",IFERROR(INDEX('Semrush Data'!$A$1:$Z$20000,MATCH(M50,'Semrush Data'!$A$1:$A$20000,0),MATCH("Volume",'Semrush Data'!$A$1:$Z$1,0)),""))</f>
        <v/>
      </c>
      <c r="S50" s="24" t="str">
        <f aca="false">IF(N50="","",IFERROR(INDEX('Semrush Data'!$A$1:$Z$20000,MATCH(N50,'Semrush Data'!$A$1:$A$20000,0),MATCH("Volume",'Semrush Data'!$A$1:$Z$1,0)),""))</f>
        <v/>
      </c>
      <c r="T50" s="24" t="str">
        <f aca="false">IF(O50="","",IFERROR(INDEX('Semrush Data'!$A$1:$Z$20000,MATCH(O50,'Semrush Data'!$A$1:$A$20000,0),MATCH("Volume",'Semrush Data'!$A$1:$Z$1,0)),""))</f>
        <v/>
      </c>
      <c r="U50" s="24" t="str">
        <f aca="false">IF(P50="","",IFERROR(INDEX('Semrush Data'!$A$1:$Z$20000,MATCH(P50,'Semrush Data'!$A$1:$A$20000,0),MATCH("Volume",'Semrush Data'!$A$1:$Z$1,0)),""))</f>
        <v/>
      </c>
      <c r="V50" s="25" t="str">
        <f aca="false">IF(COUNT(Q50:U50)=0,L50,IF(MAX(Q50:U50)=0,L50,INDEX(L50:P50,MATCH(MAX(Q50:U50),Q50:U50,0))))</f>
        <v>vilvah milk face kit</v>
      </c>
      <c r="W50" s="24" t="n">
        <f aca="false">IFERROR(INDEX('Semrush Data'!$A$1:$Z$20000,MATCH(V50,'Semrush Data'!$A$1:$A$20000,0),MATCH("Volume",'Semrush Data'!$A$1:$Z$1,0)),"")</f>
        <v>0</v>
      </c>
      <c r="X50" s="24" t="n">
        <f aca="false">IFERROR(INDEX('Semrush Data'!$A$1:$Z$20000,MATCH(V50,'Semrush Data'!$A$1:$A$20000,0),MATCH("Keyword Difficulty*",'Semrush Data'!$A$1:$Z$1,0)),"")</f>
        <v>14</v>
      </c>
      <c r="Y50" s="26" t="n">
        <f aca="false">IFERROR(INDEX('Semrush Data'!$A$1:$Z$20000,MATCH(V50,'Semrush Data'!$A$1:$A$20000,0),MATCH("CPC*",'Semrush Data'!$A$1:$Z$1,0)),"")</f>
        <v>0</v>
      </c>
      <c r="Z50" s="23" t="s">
        <v>1740</v>
      </c>
      <c r="AA50" s="23"/>
      <c r="AB50" s="23" t="s">
        <v>730</v>
      </c>
      <c r="AC50" s="23" t="s">
        <v>1753</v>
      </c>
      <c r="AD50" s="27" t="n">
        <f aca="false">LEN(AC50)</f>
        <v>53</v>
      </c>
      <c r="AE50" s="23" t="s">
        <v>1754</v>
      </c>
      <c r="AF50" s="27" t="n">
        <f aca="false">LEN(AE50)</f>
        <v>154</v>
      </c>
    </row>
    <row r="51" customFormat="false" ht="15" hidden="false" customHeight="true" outlineLevel="0" collapsed="false">
      <c r="A51" s="23" t="s">
        <v>734</v>
      </c>
      <c r="B51" s="23" t="s">
        <v>1432</v>
      </c>
      <c r="C51" s="23" t="n">
        <v>50</v>
      </c>
      <c r="D51" s="23" t="s">
        <v>373</v>
      </c>
      <c r="E51" s="23"/>
      <c r="F51" s="23" t="s">
        <v>1735</v>
      </c>
      <c r="G51" s="23" t="s">
        <v>719</v>
      </c>
      <c r="H51" s="23" t="s">
        <v>571</v>
      </c>
      <c r="I51" s="23" t="s">
        <v>735</v>
      </c>
      <c r="J51" s="23"/>
      <c r="K51" s="23" t="n">
        <v>32.99</v>
      </c>
      <c r="L51" s="23" t="s">
        <v>1755</v>
      </c>
      <c r="M51" s="23" t="s">
        <v>1756</v>
      </c>
      <c r="N51" s="23" t="s">
        <v>1757</v>
      </c>
      <c r="O51" s="23" t="s">
        <v>1758</v>
      </c>
      <c r="P51" s="23"/>
      <c r="Q51" s="24" t="n">
        <f aca="false">IF(L51="","",IFERROR(INDEX('Semrush Data'!$A$1:$Z$20000,MATCH(L51,'Semrush Data'!$A$1:$A$20000,0),MATCH("Volume",'Semrush Data'!$A$1:$Z$1,0)),""))</f>
        <v>0</v>
      </c>
      <c r="R51" s="24" t="str">
        <f aca="false">IF(M51="","",IFERROR(INDEX('Semrush Data'!$A$1:$Z$20000,MATCH(M51,'Semrush Data'!$A$1:$A$20000,0),MATCH("Volume",'Semrush Data'!$A$1:$Z$1,0)),""))</f>
        <v/>
      </c>
      <c r="S51" s="24" t="str">
        <f aca="false">IF(N51="","",IFERROR(INDEX('Semrush Data'!$A$1:$Z$20000,MATCH(N51,'Semrush Data'!$A$1:$A$20000,0),MATCH("Volume",'Semrush Data'!$A$1:$Z$1,0)),""))</f>
        <v/>
      </c>
      <c r="T51" s="24" t="str">
        <f aca="false">IF(O51="","",IFERROR(INDEX('Semrush Data'!$A$1:$Z$20000,MATCH(O51,'Semrush Data'!$A$1:$A$20000,0),MATCH("Volume",'Semrush Data'!$A$1:$Z$1,0)),""))</f>
        <v/>
      </c>
      <c r="U51" s="24" t="str">
        <f aca="false">IF(P51="","",IFERROR(INDEX('Semrush Data'!$A$1:$Z$20000,MATCH(P51,'Semrush Data'!$A$1:$A$20000,0),MATCH("Volume",'Semrush Data'!$A$1:$Z$1,0)),""))</f>
        <v/>
      </c>
      <c r="V51" s="25" t="str">
        <f aca="false">IF(COUNT(Q51:U51)=0,L51,IF(MAX(Q51:U51)=0,L51,INDEX(L51:P51,MATCH(MAX(Q51:U51),Q51:U51,0))))</f>
        <v>vilvah oil control kit</v>
      </c>
      <c r="W51" s="24" t="n">
        <f aca="false">IFERROR(INDEX('Semrush Data'!$A$1:$Z$20000,MATCH(V51,'Semrush Data'!$A$1:$A$20000,0),MATCH("Volume",'Semrush Data'!$A$1:$Z$1,0)),"")</f>
        <v>0</v>
      </c>
      <c r="X51" s="24" t="n">
        <f aca="false">IFERROR(INDEX('Semrush Data'!$A$1:$Z$20000,MATCH(V51,'Semrush Data'!$A$1:$A$20000,0),MATCH("Keyword Difficulty*",'Semrush Data'!$A$1:$Z$1,0)),"")</f>
        <v>12</v>
      </c>
      <c r="Y51" s="26" t="n">
        <f aca="false">IFERROR(INDEX('Semrush Data'!$A$1:$Z$20000,MATCH(V51,'Semrush Data'!$A$1:$A$20000,0),MATCH("CPC*",'Semrush Data'!$A$1:$Z$1,0)),"")</f>
        <v>0</v>
      </c>
      <c r="Z51" s="23" t="s">
        <v>1740</v>
      </c>
      <c r="AA51" s="23"/>
      <c r="AB51" s="23" t="s">
        <v>736</v>
      </c>
      <c r="AC51" s="23" t="s">
        <v>1759</v>
      </c>
      <c r="AD51" s="27" t="n">
        <f aca="false">LEN(AC51)</f>
        <v>55</v>
      </c>
      <c r="AE51" s="23" t="s">
        <v>1760</v>
      </c>
      <c r="AF51" s="27" t="n">
        <f aca="false">LEN(AE51)</f>
        <v>156</v>
      </c>
    </row>
    <row r="52" customFormat="false" ht="15" hidden="false" customHeight="true" outlineLevel="0" collapsed="false">
      <c r="A52" s="23" t="s">
        <v>740</v>
      </c>
      <c r="B52" s="23" t="s">
        <v>1432</v>
      </c>
      <c r="C52" s="23" t="n">
        <v>51</v>
      </c>
      <c r="D52" s="23" t="s">
        <v>373</v>
      </c>
      <c r="E52" s="23"/>
      <c r="F52" s="23" t="s">
        <v>1735</v>
      </c>
      <c r="G52" s="23" t="s">
        <v>719</v>
      </c>
      <c r="H52" s="23" t="s">
        <v>742</v>
      </c>
      <c r="I52" s="23" t="s">
        <v>741</v>
      </c>
      <c r="J52" s="23"/>
      <c r="K52" s="23" t="n">
        <v>24.99</v>
      </c>
      <c r="L52" s="23" t="s">
        <v>1761</v>
      </c>
      <c r="M52" s="23" t="s">
        <v>1762</v>
      </c>
      <c r="N52" s="23" t="s">
        <v>1763</v>
      </c>
      <c r="O52" s="23" t="s">
        <v>1764</v>
      </c>
      <c r="P52" s="23"/>
      <c r="Q52" s="24" t="n">
        <f aca="false">IF(L52="","",IFERROR(INDEX('Semrush Data'!$A$1:$Z$20000,MATCH(L52,'Semrush Data'!$A$1:$A$20000,0),MATCH("Volume",'Semrush Data'!$A$1:$Z$1,0)),""))</f>
        <v>0</v>
      </c>
      <c r="R52" s="24" t="str">
        <f aca="false">IF(M52="","",IFERROR(INDEX('Semrush Data'!$A$1:$Z$20000,MATCH(M52,'Semrush Data'!$A$1:$A$20000,0),MATCH("Volume",'Semrush Data'!$A$1:$Z$1,0)),""))</f>
        <v/>
      </c>
      <c r="S52" s="24" t="str">
        <f aca="false">IF(N52="","",IFERROR(INDEX('Semrush Data'!$A$1:$Z$20000,MATCH(N52,'Semrush Data'!$A$1:$A$20000,0),MATCH("Volume",'Semrush Data'!$A$1:$Z$1,0)),""))</f>
        <v/>
      </c>
      <c r="T52" s="24" t="str">
        <f aca="false">IF(O52="","",IFERROR(INDEX('Semrush Data'!$A$1:$Z$20000,MATCH(O52,'Semrush Data'!$A$1:$A$20000,0),MATCH("Volume",'Semrush Data'!$A$1:$Z$1,0)),""))</f>
        <v/>
      </c>
      <c r="U52" s="24" t="str">
        <f aca="false">IF(P52="","",IFERROR(INDEX('Semrush Data'!$A$1:$Z$20000,MATCH(P52,'Semrush Data'!$A$1:$A$20000,0),MATCH("Volume",'Semrush Data'!$A$1:$Z$1,0)),""))</f>
        <v/>
      </c>
      <c r="V52" s="25" t="str">
        <f aca="false">IF(COUNT(Q52:U52)=0,L52,IF(MAX(Q52:U52)=0,L52,INDEX(L52:P52,MATCH(MAX(Q52:U52),Q52:U52,0))))</f>
        <v>vilvah sensitive skin kit</v>
      </c>
      <c r="W52" s="24" t="n">
        <f aca="false">IFERROR(INDEX('Semrush Data'!$A$1:$Z$20000,MATCH(V52,'Semrush Data'!$A$1:$A$20000,0),MATCH("Volume",'Semrush Data'!$A$1:$Z$1,0)),"")</f>
        <v>0</v>
      </c>
      <c r="X52" s="24" t="n">
        <f aca="false">IFERROR(INDEX('Semrush Data'!$A$1:$Z$20000,MATCH(V52,'Semrush Data'!$A$1:$A$20000,0),MATCH("Keyword Difficulty*",'Semrush Data'!$A$1:$Z$1,0)),"")</f>
        <v>12</v>
      </c>
      <c r="Y52" s="26" t="n">
        <f aca="false">IFERROR(INDEX('Semrush Data'!$A$1:$Z$20000,MATCH(V52,'Semrush Data'!$A$1:$A$20000,0),MATCH("CPC*",'Semrush Data'!$A$1:$Z$1,0)),"")</f>
        <v>0</v>
      </c>
      <c r="Z52" s="23" t="s">
        <v>1740</v>
      </c>
      <c r="AA52" s="23"/>
      <c r="AB52" s="23" t="s">
        <v>741</v>
      </c>
      <c r="AC52" s="23" t="s">
        <v>1765</v>
      </c>
      <c r="AD52" s="27" t="n">
        <f aca="false">LEN(AC52)</f>
        <v>52</v>
      </c>
      <c r="AE52" s="23" t="s">
        <v>1766</v>
      </c>
      <c r="AF52" s="27" t="n">
        <f aca="false">LEN(AE52)</f>
        <v>159</v>
      </c>
    </row>
    <row r="53" customFormat="false" ht="15" hidden="false" customHeight="true" outlineLevel="0" collapsed="false">
      <c r="A53" s="23" t="s">
        <v>747</v>
      </c>
      <c r="B53" s="23" t="s">
        <v>1432</v>
      </c>
      <c r="C53" s="23" t="n">
        <v>52</v>
      </c>
      <c r="D53" s="23" t="s">
        <v>373</v>
      </c>
      <c r="E53" s="23"/>
      <c r="F53" s="23" t="s">
        <v>1735</v>
      </c>
      <c r="G53" s="23" t="s">
        <v>719</v>
      </c>
      <c r="H53" s="23" t="s">
        <v>749</v>
      </c>
      <c r="I53" s="23" t="s">
        <v>748</v>
      </c>
      <c r="J53" s="23"/>
      <c r="K53" s="23" t="n">
        <v>26.99</v>
      </c>
      <c r="L53" s="23" t="s">
        <v>1767</v>
      </c>
      <c r="M53" s="23" t="s">
        <v>1768</v>
      </c>
      <c r="N53" s="23" t="s">
        <v>1769</v>
      </c>
      <c r="O53" s="23" t="s">
        <v>1770</v>
      </c>
      <c r="P53" s="23"/>
      <c r="Q53" s="24" t="n">
        <f aca="false">IF(L53="","",IFERROR(INDEX('Semrush Data'!$A$1:$Z$20000,MATCH(L53,'Semrush Data'!$A$1:$A$20000,0),MATCH("Volume",'Semrush Data'!$A$1:$Z$1,0)),""))</f>
        <v>0</v>
      </c>
      <c r="R53" s="24" t="str">
        <f aca="false">IF(M53="","",IFERROR(INDEX('Semrush Data'!$A$1:$Z$20000,MATCH(M53,'Semrush Data'!$A$1:$A$20000,0),MATCH("Volume",'Semrush Data'!$A$1:$Z$1,0)),""))</f>
        <v/>
      </c>
      <c r="S53" s="24" t="str">
        <f aca="false">IF(N53="","",IFERROR(INDEX('Semrush Data'!$A$1:$Z$20000,MATCH(N53,'Semrush Data'!$A$1:$A$20000,0),MATCH("Volume",'Semrush Data'!$A$1:$Z$1,0)),""))</f>
        <v/>
      </c>
      <c r="T53" s="24" t="str">
        <f aca="false">IF(O53="","",IFERROR(INDEX('Semrush Data'!$A$1:$Z$20000,MATCH(O53,'Semrush Data'!$A$1:$A$20000,0),MATCH("Volume",'Semrush Data'!$A$1:$Z$1,0)),""))</f>
        <v/>
      </c>
      <c r="U53" s="24" t="str">
        <f aca="false">IF(P53="","",IFERROR(INDEX('Semrush Data'!$A$1:$Z$20000,MATCH(P53,'Semrush Data'!$A$1:$A$20000,0),MATCH("Volume",'Semrush Data'!$A$1:$Z$1,0)),""))</f>
        <v/>
      </c>
      <c r="V53" s="25" t="str">
        <f aca="false">IF(COUNT(Q53:U53)=0,L53,IF(MAX(Q53:U53)=0,L53,INDEX(L53:P53,MATCH(MAX(Q53:U53),Q53:U53,0))))</f>
        <v>vilvah anti‑acne kit</v>
      </c>
      <c r="W53" s="24" t="n">
        <f aca="false">IFERROR(INDEX('Semrush Data'!$A$1:$Z$20000,MATCH(V53,'Semrush Data'!$A$1:$A$20000,0),MATCH("Volume",'Semrush Data'!$A$1:$Z$1,0)),"")</f>
        <v>0</v>
      </c>
      <c r="X53" s="24" t="n">
        <f aca="false">IFERROR(INDEX('Semrush Data'!$A$1:$Z$20000,MATCH(V53,'Semrush Data'!$A$1:$A$20000,0),MATCH("Keyword Difficulty*",'Semrush Data'!$A$1:$Z$1,0)),"")</f>
        <v>29</v>
      </c>
      <c r="Y53" s="26" t="n">
        <f aca="false">IFERROR(INDEX('Semrush Data'!$A$1:$Z$20000,MATCH(V53,'Semrush Data'!$A$1:$A$20000,0),MATCH("CPC*",'Semrush Data'!$A$1:$Z$1,0)),"")</f>
        <v>0</v>
      </c>
      <c r="Z53" s="23" t="s">
        <v>1740</v>
      </c>
      <c r="AA53" s="23"/>
      <c r="AB53" s="23" t="s">
        <v>748</v>
      </c>
      <c r="AC53" s="23" t="s">
        <v>1771</v>
      </c>
      <c r="AD53" s="27" t="n">
        <f aca="false">LEN(AC53)</f>
        <v>53</v>
      </c>
      <c r="AE53" s="23" t="s">
        <v>1772</v>
      </c>
      <c r="AF53" s="27" t="n">
        <f aca="false">LEN(AE53)</f>
        <v>155</v>
      </c>
    </row>
    <row r="54" customFormat="false" ht="15" hidden="false" customHeight="true" outlineLevel="0" collapsed="false">
      <c r="A54" s="23" t="s">
        <v>753</v>
      </c>
      <c r="B54" s="23" t="s">
        <v>1432</v>
      </c>
      <c r="C54" s="23" t="n">
        <v>53</v>
      </c>
      <c r="D54" s="23" t="s">
        <v>373</v>
      </c>
      <c r="E54" s="23"/>
      <c r="F54" s="23" t="s">
        <v>1735</v>
      </c>
      <c r="G54" s="23" t="s">
        <v>719</v>
      </c>
      <c r="H54" s="23" t="s">
        <v>543</v>
      </c>
      <c r="I54" s="23" t="s">
        <v>754</v>
      </c>
      <c r="J54" s="23"/>
      <c r="K54" s="23" t="n">
        <v>27.99</v>
      </c>
      <c r="L54" s="23" t="s">
        <v>1773</v>
      </c>
      <c r="M54" s="23" t="s">
        <v>1774</v>
      </c>
      <c r="N54" s="23" t="s">
        <v>1775</v>
      </c>
      <c r="O54" s="23" t="s">
        <v>1776</v>
      </c>
      <c r="P54" s="23"/>
      <c r="Q54" s="24" t="n">
        <f aca="false">IF(L54="","",IFERROR(INDEX('Semrush Data'!$A$1:$Z$20000,MATCH(L54,'Semrush Data'!$A$1:$A$20000,0),MATCH("Volume",'Semrush Data'!$A$1:$Z$1,0)),""))</f>
        <v>0</v>
      </c>
      <c r="R54" s="24" t="str">
        <f aca="false">IF(M54="","",IFERROR(INDEX('Semrush Data'!$A$1:$Z$20000,MATCH(M54,'Semrush Data'!$A$1:$A$20000,0),MATCH("Volume",'Semrush Data'!$A$1:$Z$1,0)),""))</f>
        <v/>
      </c>
      <c r="S54" s="24" t="str">
        <f aca="false">IF(N54="","",IFERROR(INDEX('Semrush Data'!$A$1:$Z$20000,MATCH(N54,'Semrush Data'!$A$1:$A$20000,0),MATCH("Volume",'Semrush Data'!$A$1:$Z$1,0)),""))</f>
        <v/>
      </c>
      <c r="T54" s="24" t="str">
        <f aca="false">IF(O54="","",IFERROR(INDEX('Semrush Data'!$A$1:$Z$20000,MATCH(O54,'Semrush Data'!$A$1:$A$20000,0),MATCH("Volume",'Semrush Data'!$A$1:$Z$1,0)),""))</f>
        <v/>
      </c>
      <c r="U54" s="24" t="str">
        <f aca="false">IF(P54="","",IFERROR(INDEX('Semrush Data'!$A$1:$Z$20000,MATCH(P54,'Semrush Data'!$A$1:$A$20000,0),MATCH("Volume",'Semrush Data'!$A$1:$Z$1,0)),""))</f>
        <v/>
      </c>
      <c r="V54" s="25" t="str">
        <f aca="false">IF(COUNT(Q54:U54)=0,L54,IF(MAX(Q54:U54)=0,L54,INDEX(L54:P54,MATCH(MAX(Q54:U54),Q54:U54,0))))</f>
        <v>vilvah anti‑dandruff haircare kit</v>
      </c>
      <c r="W54" s="24" t="n">
        <f aca="false">IFERROR(INDEX('Semrush Data'!$A$1:$Z$20000,MATCH(V54,'Semrush Data'!$A$1:$A$20000,0),MATCH("Volume",'Semrush Data'!$A$1:$Z$1,0)),"")</f>
        <v>0</v>
      </c>
      <c r="X54" s="24" t="n">
        <f aca="false">IFERROR(INDEX('Semrush Data'!$A$1:$Z$20000,MATCH(V54,'Semrush Data'!$A$1:$A$20000,0),MATCH("Keyword Difficulty*",'Semrush Data'!$A$1:$Z$1,0)),"")</f>
        <v>12</v>
      </c>
      <c r="Y54" s="26" t="n">
        <f aca="false">IFERROR(INDEX('Semrush Data'!$A$1:$Z$20000,MATCH(V54,'Semrush Data'!$A$1:$A$20000,0),MATCH("CPC*",'Semrush Data'!$A$1:$Z$1,0)),"")</f>
        <v>0</v>
      </c>
      <c r="Z54" s="23" t="s">
        <v>1740</v>
      </c>
      <c r="AA54" s="23"/>
      <c r="AB54" s="23" t="s">
        <v>754</v>
      </c>
      <c r="AC54" s="23" t="s">
        <v>1777</v>
      </c>
      <c r="AD54" s="27" t="n">
        <f aca="false">LEN(AC54)</f>
        <v>60</v>
      </c>
      <c r="AE54" s="23" t="s">
        <v>1778</v>
      </c>
      <c r="AF54" s="27" t="n">
        <f aca="false">LEN(AE54)</f>
        <v>159</v>
      </c>
    </row>
    <row r="55" customFormat="false" ht="15" hidden="false" customHeight="true" outlineLevel="0" collapsed="false">
      <c r="A55" s="23" t="s">
        <v>758</v>
      </c>
      <c r="B55" s="23" t="s">
        <v>1432</v>
      </c>
      <c r="C55" s="23" t="n">
        <v>54</v>
      </c>
      <c r="D55" s="23" t="s">
        <v>373</v>
      </c>
      <c r="E55" s="23"/>
      <c r="F55" s="23" t="s">
        <v>1735</v>
      </c>
      <c r="G55" s="23" t="s">
        <v>719</v>
      </c>
      <c r="H55" s="23" t="s">
        <v>416</v>
      </c>
      <c r="I55" s="23" t="s">
        <v>759</v>
      </c>
      <c r="J55" s="23"/>
      <c r="K55" s="23" t="n">
        <v>34.99</v>
      </c>
      <c r="L55" s="23" t="s">
        <v>1779</v>
      </c>
      <c r="M55" s="23" t="s">
        <v>1780</v>
      </c>
      <c r="N55" s="23" t="s">
        <v>1781</v>
      </c>
      <c r="O55" s="23" t="s">
        <v>1782</v>
      </c>
      <c r="P55" s="23"/>
      <c r="Q55" s="24" t="n">
        <f aca="false">IF(L55="","",IFERROR(INDEX('Semrush Data'!$A$1:$Z$20000,MATCH(L55,'Semrush Data'!$A$1:$A$20000,0),MATCH("Volume",'Semrush Data'!$A$1:$Z$1,0)),""))</f>
        <v>0</v>
      </c>
      <c r="R55" s="24" t="str">
        <f aca="false">IF(M55="","",IFERROR(INDEX('Semrush Data'!$A$1:$Z$20000,MATCH(M55,'Semrush Data'!$A$1:$A$20000,0),MATCH("Volume",'Semrush Data'!$A$1:$Z$1,0)),""))</f>
        <v/>
      </c>
      <c r="S55" s="24" t="str">
        <f aca="false">IF(N55="","",IFERROR(INDEX('Semrush Data'!$A$1:$Z$20000,MATCH(N55,'Semrush Data'!$A$1:$A$20000,0),MATCH("Volume",'Semrush Data'!$A$1:$Z$1,0)),""))</f>
        <v/>
      </c>
      <c r="T55" s="24" t="str">
        <f aca="false">IF(O55="","",IFERROR(INDEX('Semrush Data'!$A$1:$Z$20000,MATCH(O55,'Semrush Data'!$A$1:$A$20000,0),MATCH("Volume",'Semrush Data'!$A$1:$Z$1,0)),""))</f>
        <v/>
      </c>
      <c r="U55" s="24" t="str">
        <f aca="false">IF(P55="","",IFERROR(INDEX('Semrush Data'!$A$1:$Z$20000,MATCH(P55,'Semrush Data'!$A$1:$A$20000,0),MATCH("Volume",'Semrush Data'!$A$1:$Z$1,0)),""))</f>
        <v/>
      </c>
      <c r="V55" s="25" t="str">
        <f aca="false">IF(COUNT(Q55:U55)=0,L55,IF(MAX(Q55:U55)=0,L55,INDEX(L55:P55,MATCH(MAX(Q55:U55),Q55:U55,0))))</f>
        <v>vilvah sun protection kit</v>
      </c>
      <c r="W55" s="24" t="n">
        <f aca="false">IFERROR(INDEX('Semrush Data'!$A$1:$Z$20000,MATCH(V55,'Semrush Data'!$A$1:$A$20000,0),MATCH("Volume",'Semrush Data'!$A$1:$Z$1,0)),"")</f>
        <v>0</v>
      </c>
      <c r="X55" s="24" t="n">
        <f aca="false">IFERROR(INDEX('Semrush Data'!$A$1:$Z$20000,MATCH(V55,'Semrush Data'!$A$1:$A$20000,0),MATCH("Keyword Difficulty*",'Semrush Data'!$A$1:$Z$1,0)),"")</f>
        <v>12</v>
      </c>
      <c r="Y55" s="26" t="n">
        <f aca="false">IFERROR(INDEX('Semrush Data'!$A$1:$Z$20000,MATCH(V55,'Semrush Data'!$A$1:$A$20000,0),MATCH("CPC*",'Semrush Data'!$A$1:$Z$1,0)),"")</f>
        <v>0</v>
      </c>
      <c r="Z55" s="23" t="s">
        <v>1740</v>
      </c>
      <c r="AA55" s="23"/>
      <c r="AB55" s="23" t="s">
        <v>759</v>
      </c>
      <c r="AC55" s="23" t="s">
        <v>1783</v>
      </c>
      <c r="AD55" s="27" t="n">
        <f aca="false">LEN(AC55)</f>
        <v>52</v>
      </c>
      <c r="AE55" s="23" t="s">
        <v>1784</v>
      </c>
      <c r="AF55" s="27" t="n">
        <f aca="false">LEN(AE55)</f>
        <v>159</v>
      </c>
    </row>
    <row r="56" customFormat="false" ht="15" hidden="false" customHeight="true" outlineLevel="0" collapsed="false">
      <c r="A56" s="23" t="s">
        <v>763</v>
      </c>
      <c r="B56" s="23" t="s">
        <v>1432</v>
      </c>
      <c r="C56" s="23" t="n">
        <v>55</v>
      </c>
      <c r="D56" s="23" t="s">
        <v>373</v>
      </c>
      <c r="E56" s="23"/>
      <c r="F56" s="23" t="s">
        <v>1735</v>
      </c>
      <c r="G56" s="23" t="s">
        <v>719</v>
      </c>
      <c r="H56" s="23" t="s">
        <v>586</v>
      </c>
      <c r="I56" s="23" t="s">
        <v>764</v>
      </c>
      <c r="J56" s="23"/>
      <c r="K56" s="23" t="n">
        <v>29.99</v>
      </c>
      <c r="L56" s="23" t="s">
        <v>1785</v>
      </c>
      <c r="M56" s="23" t="s">
        <v>1786</v>
      </c>
      <c r="N56" s="23" t="s">
        <v>1787</v>
      </c>
      <c r="O56" s="23" t="s">
        <v>1788</v>
      </c>
      <c r="P56" s="23"/>
      <c r="Q56" s="24" t="n">
        <f aca="false">IF(L56="","",IFERROR(INDEX('Semrush Data'!$A$1:$Z$20000,MATCH(L56,'Semrush Data'!$A$1:$A$20000,0),MATCH("Volume",'Semrush Data'!$A$1:$Z$1,0)),""))</f>
        <v>0</v>
      </c>
      <c r="R56" s="24" t="str">
        <f aca="false">IF(M56="","",IFERROR(INDEX('Semrush Data'!$A$1:$Z$20000,MATCH(M56,'Semrush Data'!$A$1:$A$20000,0),MATCH("Volume",'Semrush Data'!$A$1:$Z$1,0)),""))</f>
        <v/>
      </c>
      <c r="S56" s="24" t="str">
        <f aca="false">IF(N56="","",IFERROR(INDEX('Semrush Data'!$A$1:$Z$20000,MATCH(N56,'Semrush Data'!$A$1:$A$20000,0),MATCH("Volume",'Semrush Data'!$A$1:$Z$1,0)),""))</f>
        <v/>
      </c>
      <c r="T56" s="24" t="str">
        <f aca="false">IF(O56="","",IFERROR(INDEX('Semrush Data'!$A$1:$Z$20000,MATCH(O56,'Semrush Data'!$A$1:$A$20000,0),MATCH("Volume",'Semrush Data'!$A$1:$Z$1,0)),""))</f>
        <v/>
      </c>
      <c r="U56" s="24" t="str">
        <f aca="false">IF(P56="","",IFERROR(INDEX('Semrush Data'!$A$1:$Z$20000,MATCH(P56,'Semrush Data'!$A$1:$A$20000,0),MATCH("Volume",'Semrush Data'!$A$1:$Z$1,0)),""))</f>
        <v/>
      </c>
      <c r="V56" s="25" t="str">
        <f aca="false">IF(COUNT(Q56:U56)=0,L56,IF(MAX(Q56:U56)=0,L56,INDEX(L56:P56,MATCH(MAX(Q56:U56),Q56:U56,0))))</f>
        <v>vilvah skin brightening kit</v>
      </c>
      <c r="W56" s="24" t="n">
        <f aca="false">IFERROR(INDEX('Semrush Data'!$A$1:$Z$20000,MATCH(V56,'Semrush Data'!$A$1:$A$20000,0),MATCH("Volume",'Semrush Data'!$A$1:$Z$1,0)),"")</f>
        <v>0</v>
      </c>
      <c r="X56" s="24" t="n">
        <f aca="false">IFERROR(INDEX('Semrush Data'!$A$1:$Z$20000,MATCH(V56,'Semrush Data'!$A$1:$A$20000,0),MATCH("Keyword Difficulty*",'Semrush Data'!$A$1:$Z$1,0)),"")</f>
        <v>30</v>
      </c>
      <c r="Y56" s="26" t="n">
        <f aca="false">IFERROR(INDEX('Semrush Data'!$A$1:$Z$20000,MATCH(V56,'Semrush Data'!$A$1:$A$20000,0),MATCH("CPC*",'Semrush Data'!$A$1:$Z$1,0)),"")</f>
        <v>0</v>
      </c>
      <c r="Z56" s="23" t="s">
        <v>1740</v>
      </c>
      <c r="AA56" s="23"/>
      <c r="AB56" s="23" t="s">
        <v>764</v>
      </c>
      <c r="AC56" s="23" t="s">
        <v>1789</v>
      </c>
      <c r="AD56" s="27" t="n">
        <f aca="false">LEN(AC56)</f>
        <v>54</v>
      </c>
      <c r="AE56" s="23" t="s">
        <v>1790</v>
      </c>
      <c r="AF56" s="27" t="n">
        <f aca="false">LEN(AE56)</f>
        <v>159</v>
      </c>
    </row>
    <row r="57" customFormat="false" ht="15" hidden="false" customHeight="true" outlineLevel="0" collapsed="false">
      <c r="A57" s="23" t="s">
        <v>768</v>
      </c>
      <c r="B57" s="23" t="s">
        <v>1432</v>
      </c>
      <c r="C57" s="23" t="n">
        <v>56</v>
      </c>
      <c r="D57" s="23" t="s">
        <v>373</v>
      </c>
      <c r="E57" s="23"/>
      <c r="F57" s="23" t="s">
        <v>1735</v>
      </c>
      <c r="G57" s="23" t="s">
        <v>719</v>
      </c>
      <c r="H57" s="23" t="s">
        <v>770</v>
      </c>
      <c r="I57" s="23" t="s">
        <v>769</v>
      </c>
      <c r="J57" s="23"/>
      <c r="K57" s="23" t="n">
        <v>39.99</v>
      </c>
      <c r="L57" s="23" t="s">
        <v>1791</v>
      </c>
      <c r="M57" s="23" t="s">
        <v>1792</v>
      </c>
      <c r="N57" s="23" t="s">
        <v>1793</v>
      </c>
      <c r="O57" s="23" t="s">
        <v>1794</v>
      </c>
      <c r="P57" s="23"/>
      <c r="Q57" s="24" t="n">
        <f aca="false">IF(L57="","",IFERROR(INDEX('Semrush Data'!$A$1:$Z$20000,MATCH(L57,'Semrush Data'!$A$1:$A$20000,0),MATCH("Volume",'Semrush Data'!$A$1:$Z$1,0)),""))</f>
        <v>0</v>
      </c>
      <c r="R57" s="24" t="str">
        <f aca="false">IF(M57="","",IFERROR(INDEX('Semrush Data'!$A$1:$Z$20000,MATCH(M57,'Semrush Data'!$A$1:$A$20000,0),MATCH("Volume",'Semrush Data'!$A$1:$Z$1,0)),""))</f>
        <v/>
      </c>
      <c r="S57" s="24" t="str">
        <f aca="false">IF(N57="","",IFERROR(INDEX('Semrush Data'!$A$1:$Z$20000,MATCH(N57,'Semrush Data'!$A$1:$A$20000,0),MATCH("Volume",'Semrush Data'!$A$1:$Z$1,0)),""))</f>
        <v/>
      </c>
      <c r="T57" s="24" t="str">
        <f aca="false">IF(O57="","",IFERROR(INDEX('Semrush Data'!$A$1:$Z$20000,MATCH(O57,'Semrush Data'!$A$1:$A$20000,0),MATCH("Volume",'Semrush Data'!$A$1:$Z$1,0)),""))</f>
        <v/>
      </c>
      <c r="U57" s="24" t="str">
        <f aca="false">IF(P57="","",IFERROR(INDEX('Semrush Data'!$A$1:$Z$20000,MATCH(P57,'Semrush Data'!$A$1:$A$20000,0),MATCH("Volume",'Semrush Data'!$A$1:$Z$1,0)),""))</f>
        <v/>
      </c>
      <c r="V57" s="25" t="str">
        <f aca="false">IF(COUNT(Q57:U57)=0,L57,IF(MAX(Q57:U57)=0,L57,INDEX(L57:P57,MATCH(MAX(Q57:U57),Q57:U57,0))))</f>
        <v>vilvah night repair kit</v>
      </c>
      <c r="W57" s="24" t="n">
        <f aca="false">IFERROR(INDEX('Semrush Data'!$A$1:$Z$20000,MATCH(V57,'Semrush Data'!$A$1:$A$20000,0),MATCH("Volume",'Semrush Data'!$A$1:$Z$1,0)),"")</f>
        <v>0</v>
      </c>
      <c r="X57" s="24" t="n">
        <f aca="false">IFERROR(INDEX('Semrush Data'!$A$1:$Z$20000,MATCH(V57,'Semrush Data'!$A$1:$A$20000,0),MATCH("Keyword Difficulty*",'Semrush Data'!$A$1:$Z$1,0)),"")</f>
        <v>12</v>
      </c>
      <c r="Y57" s="26" t="n">
        <f aca="false">IFERROR(INDEX('Semrush Data'!$A$1:$Z$20000,MATCH(V57,'Semrush Data'!$A$1:$A$20000,0),MATCH("CPC*",'Semrush Data'!$A$1:$Z$1,0)),"")</f>
        <v>0</v>
      </c>
      <c r="Z57" s="23" t="s">
        <v>1740</v>
      </c>
      <c r="AA57" s="23"/>
      <c r="AB57" s="23" t="s">
        <v>769</v>
      </c>
      <c r="AC57" s="23" t="s">
        <v>1795</v>
      </c>
      <c r="AD57" s="27" t="n">
        <f aca="false">LEN(AC57)</f>
        <v>50</v>
      </c>
      <c r="AE57" s="23" t="s">
        <v>1796</v>
      </c>
      <c r="AF57" s="27" t="n">
        <f aca="false">LEN(AE57)</f>
        <v>157</v>
      </c>
    </row>
    <row r="58" customFormat="false" ht="15" hidden="false" customHeight="true" outlineLevel="0" collapsed="false">
      <c r="A58" s="23" t="s">
        <v>774</v>
      </c>
      <c r="B58" s="23" t="s">
        <v>1432</v>
      </c>
      <c r="C58" s="23" t="n">
        <v>57</v>
      </c>
      <c r="D58" s="23" t="s">
        <v>373</v>
      </c>
      <c r="E58" s="23"/>
      <c r="F58" s="23" t="s">
        <v>1735</v>
      </c>
      <c r="G58" s="23" t="s">
        <v>719</v>
      </c>
      <c r="H58" s="23" t="s">
        <v>586</v>
      </c>
      <c r="I58" s="23" t="s">
        <v>775</v>
      </c>
      <c r="J58" s="23"/>
      <c r="K58" s="23" t="n">
        <v>47.99</v>
      </c>
      <c r="L58" s="23" t="s">
        <v>1797</v>
      </c>
      <c r="M58" s="23" t="s">
        <v>1798</v>
      </c>
      <c r="N58" s="23" t="s">
        <v>1799</v>
      </c>
      <c r="O58" s="23" t="s">
        <v>1800</v>
      </c>
      <c r="P58" s="23"/>
      <c r="Q58" s="24" t="n">
        <f aca="false">IF(L58="","",IFERROR(INDEX('Semrush Data'!$A$1:$Z$20000,MATCH(L58,'Semrush Data'!$A$1:$A$20000,0),MATCH("Volume",'Semrush Data'!$A$1:$Z$1,0)),""))</f>
        <v>0</v>
      </c>
      <c r="R58" s="24" t="str">
        <f aca="false">IF(M58="","",IFERROR(INDEX('Semrush Data'!$A$1:$Z$20000,MATCH(M58,'Semrush Data'!$A$1:$A$20000,0),MATCH("Volume",'Semrush Data'!$A$1:$Z$1,0)),""))</f>
        <v/>
      </c>
      <c r="S58" s="24" t="str">
        <f aca="false">IF(N58="","",IFERROR(INDEX('Semrush Data'!$A$1:$Z$20000,MATCH(N58,'Semrush Data'!$A$1:$A$20000,0),MATCH("Volume",'Semrush Data'!$A$1:$Z$1,0)),""))</f>
        <v/>
      </c>
      <c r="T58" s="24" t="str">
        <f aca="false">IF(O58="","",IFERROR(INDEX('Semrush Data'!$A$1:$Z$20000,MATCH(O58,'Semrush Data'!$A$1:$A$20000,0),MATCH("Volume",'Semrush Data'!$A$1:$Z$1,0)),""))</f>
        <v/>
      </c>
      <c r="U58" s="24" t="str">
        <f aca="false">IF(P58="","",IFERROR(INDEX('Semrush Data'!$A$1:$Z$20000,MATCH(P58,'Semrush Data'!$A$1:$A$20000,0),MATCH("Volume",'Semrush Data'!$A$1:$Z$1,0)),""))</f>
        <v/>
      </c>
      <c r="V58" s="25" t="str">
        <f aca="false">IF(COUNT(Q58:U58)=0,L58,IF(MAX(Q58:U58)=0,L58,INDEX(L58:P58,MATCH(MAX(Q58:U58),Q58:U58,0))))</f>
        <v>vilvah am pm serum kit</v>
      </c>
      <c r="W58" s="24" t="n">
        <f aca="false">IFERROR(INDEX('Semrush Data'!$A$1:$Z$20000,MATCH(V58,'Semrush Data'!$A$1:$A$20000,0),MATCH("Volume",'Semrush Data'!$A$1:$Z$1,0)),"")</f>
        <v>0</v>
      </c>
      <c r="X58" s="24" t="n">
        <f aca="false">IFERROR(INDEX('Semrush Data'!$A$1:$Z$20000,MATCH(V58,'Semrush Data'!$A$1:$A$20000,0),MATCH("Keyword Difficulty*",'Semrush Data'!$A$1:$Z$1,0)),"")</f>
        <v>19</v>
      </c>
      <c r="Y58" s="26" t="n">
        <f aca="false">IFERROR(INDEX('Semrush Data'!$A$1:$Z$20000,MATCH(V58,'Semrush Data'!$A$1:$A$20000,0),MATCH("CPC*",'Semrush Data'!$A$1:$Z$1,0)),"")</f>
        <v>0</v>
      </c>
      <c r="Z58" s="23" t="s">
        <v>1740</v>
      </c>
      <c r="AA58" s="23"/>
      <c r="AB58" s="23" t="s">
        <v>775</v>
      </c>
      <c r="AC58" s="23" t="s">
        <v>1801</v>
      </c>
      <c r="AD58" s="27" t="n">
        <f aca="false">LEN(AC58)</f>
        <v>55</v>
      </c>
      <c r="AE58" s="23" t="s">
        <v>1802</v>
      </c>
      <c r="AF58" s="27" t="n">
        <f aca="false">LEN(AE58)</f>
        <v>156</v>
      </c>
    </row>
    <row r="59" customFormat="false" ht="15" hidden="false" customHeight="true" outlineLevel="0" collapsed="false">
      <c r="A59" s="23" t="s">
        <v>779</v>
      </c>
      <c r="B59" s="23" t="s">
        <v>1432</v>
      </c>
      <c r="C59" s="23" t="n">
        <v>58</v>
      </c>
      <c r="D59" s="23" t="s">
        <v>373</v>
      </c>
      <c r="E59" s="23"/>
      <c r="F59" s="23" t="s">
        <v>1735</v>
      </c>
      <c r="G59" s="23" t="s">
        <v>719</v>
      </c>
      <c r="H59" s="23" t="s">
        <v>562</v>
      </c>
      <c r="I59" s="23" t="s">
        <v>780</v>
      </c>
      <c r="J59" s="23"/>
      <c r="K59" s="23" t="n">
        <v>49.99</v>
      </c>
      <c r="L59" s="23" t="s">
        <v>1803</v>
      </c>
      <c r="M59" s="23" t="s">
        <v>1804</v>
      </c>
      <c r="N59" s="23" t="s">
        <v>1805</v>
      </c>
      <c r="O59" s="23" t="s">
        <v>1806</v>
      </c>
      <c r="P59" s="23"/>
      <c r="Q59" s="24" t="n">
        <f aca="false">IF(L59="","",IFERROR(INDEX('Semrush Data'!$A$1:$Z$20000,MATCH(L59,'Semrush Data'!$A$1:$A$20000,0),MATCH("Volume",'Semrush Data'!$A$1:$Z$1,0)),""))</f>
        <v>0</v>
      </c>
      <c r="R59" s="24" t="str">
        <f aca="false">IF(M59="","",IFERROR(INDEX('Semrush Data'!$A$1:$Z$20000,MATCH(M59,'Semrush Data'!$A$1:$A$20000,0),MATCH("Volume",'Semrush Data'!$A$1:$Z$1,0)),""))</f>
        <v/>
      </c>
      <c r="S59" s="24" t="str">
        <f aca="false">IF(N59="","",IFERROR(INDEX('Semrush Data'!$A$1:$Z$20000,MATCH(N59,'Semrush Data'!$A$1:$A$20000,0),MATCH("Volume",'Semrush Data'!$A$1:$Z$1,0)),""))</f>
        <v/>
      </c>
      <c r="T59" s="24" t="str">
        <f aca="false">IF(O59="","",IFERROR(INDEX('Semrush Data'!$A$1:$Z$20000,MATCH(O59,'Semrush Data'!$A$1:$A$20000,0),MATCH("Volume",'Semrush Data'!$A$1:$Z$1,0)),""))</f>
        <v/>
      </c>
      <c r="U59" s="24" t="str">
        <f aca="false">IF(P59="","",IFERROR(INDEX('Semrush Data'!$A$1:$Z$20000,MATCH(P59,'Semrush Data'!$A$1:$A$20000,0),MATCH("Volume",'Semrush Data'!$A$1:$Z$1,0)),""))</f>
        <v/>
      </c>
      <c r="V59" s="25" t="str">
        <f aca="false">IF(COUNT(Q59:U59)=0,L59,IF(MAX(Q59:U59)=0,L59,INDEX(L59:P59,MATCH(MAX(Q59:U59),Q59:U59,0))))</f>
        <v>vilvah better ageing kit</v>
      </c>
      <c r="W59" s="24" t="n">
        <f aca="false">IFERROR(INDEX('Semrush Data'!$A$1:$Z$20000,MATCH(V59,'Semrush Data'!$A$1:$A$20000,0),MATCH("Volume",'Semrush Data'!$A$1:$Z$1,0)),"")</f>
        <v>0</v>
      </c>
      <c r="X59" s="24" t="n">
        <f aca="false">IFERROR(INDEX('Semrush Data'!$A$1:$Z$20000,MATCH(V59,'Semrush Data'!$A$1:$A$20000,0),MATCH("Keyword Difficulty*",'Semrush Data'!$A$1:$Z$1,0)),"")</f>
        <v>15</v>
      </c>
      <c r="Y59" s="26" t="n">
        <f aca="false">IFERROR(INDEX('Semrush Data'!$A$1:$Z$20000,MATCH(V59,'Semrush Data'!$A$1:$A$20000,0),MATCH("CPC*",'Semrush Data'!$A$1:$Z$1,0)),"")</f>
        <v>0</v>
      </c>
      <c r="Z59" s="23" t="s">
        <v>1740</v>
      </c>
      <c r="AA59" s="23"/>
      <c r="AB59" s="23" t="s">
        <v>780</v>
      </c>
      <c r="AC59" s="23" t="s">
        <v>1807</v>
      </c>
      <c r="AD59" s="27" t="n">
        <f aca="false">LEN(AC59)</f>
        <v>51</v>
      </c>
      <c r="AE59" s="23" t="s">
        <v>1808</v>
      </c>
      <c r="AF59" s="27" t="n">
        <f aca="false">LEN(AE59)</f>
        <v>158</v>
      </c>
    </row>
    <row r="60" customFormat="false" ht="15" hidden="false" customHeight="true" outlineLevel="0" collapsed="false">
      <c r="A60" s="23" t="s">
        <v>784</v>
      </c>
      <c r="B60" s="23" t="s">
        <v>1432</v>
      </c>
      <c r="C60" s="23" t="n">
        <v>59</v>
      </c>
      <c r="D60" s="23" t="s">
        <v>373</v>
      </c>
      <c r="E60" s="23"/>
      <c r="F60" s="23" t="s">
        <v>1735</v>
      </c>
      <c r="G60" s="23" t="s">
        <v>719</v>
      </c>
      <c r="H60" s="23" t="s">
        <v>586</v>
      </c>
      <c r="I60" s="23" t="s">
        <v>785</v>
      </c>
      <c r="J60" s="23"/>
      <c r="K60" s="23" t="n">
        <v>44.99</v>
      </c>
      <c r="L60" s="23" t="s">
        <v>1809</v>
      </c>
      <c r="M60" s="23" t="s">
        <v>1810</v>
      </c>
      <c r="N60" s="23" t="s">
        <v>1811</v>
      </c>
      <c r="O60" s="23" t="s">
        <v>1812</v>
      </c>
      <c r="P60" s="23"/>
      <c r="Q60" s="24" t="n">
        <f aca="false">IF(L60="","",IFERROR(INDEX('Semrush Data'!$A$1:$Z$20000,MATCH(L60,'Semrush Data'!$A$1:$A$20000,0),MATCH("Volume",'Semrush Data'!$A$1:$Z$1,0)),""))</f>
        <v>0</v>
      </c>
      <c r="R60" s="24" t="str">
        <f aca="false">IF(M60="","",IFERROR(INDEX('Semrush Data'!$A$1:$Z$20000,MATCH(M60,'Semrush Data'!$A$1:$A$20000,0),MATCH("Volume",'Semrush Data'!$A$1:$Z$1,0)),""))</f>
        <v/>
      </c>
      <c r="S60" s="24" t="str">
        <f aca="false">IF(N60="","",IFERROR(INDEX('Semrush Data'!$A$1:$Z$20000,MATCH(N60,'Semrush Data'!$A$1:$A$20000,0),MATCH("Volume",'Semrush Data'!$A$1:$Z$1,0)),""))</f>
        <v/>
      </c>
      <c r="T60" s="24" t="str">
        <f aca="false">IF(O60="","",IFERROR(INDEX('Semrush Data'!$A$1:$Z$20000,MATCH(O60,'Semrush Data'!$A$1:$A$20000,0),MATCH("Volume",'Semrush Data'!$A$1:$Z$1,0)),""))</f>
        <v/>
      </c>
      <c r="U60" s="24" t="str">
        <f aca="false">IF(P60="","",IFERROR(INDEX('Semrush Data'!$A$1:$Z$20000,MATCH(P60,'Semrush Data'!$A$1:$A$20000,0),MATCH("Volume",'Semrush Data'!$A$1:$Z$1,0)),""))</f>
        <v/>
      </c>
      <c r="V60" s="25" t="str">
        <f aca="false">IF(COUNT(Q60:U60)=0,L60,IF(MAX(Q60:U60)=0,L60,INDEX(L60:P60,MATCH(MAX(Q60:U60),Q60:U60,0))))</f>
        <v>vilvah am brightening kit</v>
      </c>
      <c r="W60" s="24" t="n">
        <f aca="false">IFERROR(INDEX('Semrush Data'!$A$1:$Z$20000,MATCH(V60,'Semrush Data'!$A$1:$A$20000,0),MATCH("Volume",'Semrush Data'!$A$1:$Z$1,0)),"")</f>
        <v>0</v>
      </c>
      <c r="X60" s="24" t="n">
        <f aca="false">IFERROR(INDEX('Semrush Data'!$A$1:$Z$20000,MATCH(V60,'Semrush Data'!$A$1:$A$20000,0),MATCH("Keyword Difficulty*",'Semrush Data'!$A$1:$Z$1,0)),"")</f>
        <v>18</v>
      </c>
      <c r="Y60" s="26" t="n">
        <f aca="false">IFERROR(INDEX('Semrush Data'!$A$1:$Z$20000,MATCH(V60,'Semrush Data'!$A$1:$A$20000,0),MATCH("CPC*",'Semrush Data'!$A$1:$Z$1,0)),"")</f>
        <v>0</v>
      </c>
      <c r="Z60" s="23" t="s">
        <v>1740</v>
      </c>
      <c r="AA60" s="23"/>
      <c r="AB60" s="23" t="s">
        <v>786</v>
      </c>
      <c r="AC60" s="23" t="s">
        <v>1813</v>
      </c>
      <c r="AD60" s="27" t="n">
        <f aca="false">LEN(AC60)</f>
        <v>52</v>
      </c>
      <c r="AE60" s="23" t="s">
        <v>1814</v>
      </c>
      <c r="AF60" s="27" t="n">
        <f aca="false">LEN(AE60)</f>
        <v>159</v>
      </c>
    </row>
    <row r="61" customFormat="false" ht="15" hidden="false" customHeight="true" outlineLevel="0" collapsed="false">
      <c r="A61" s="23" t="s">
        <v>790</v>
      </c>
      <c r="B61" s="23" t="s">
        <v>1432</v>
      </c>
      <c r="C61" s="23" t="n">
        <v>60</v>
      </c>
      <c r="D61" s="23" t="s">
        <v>373</v>
      </c>
      <c r="E61" s="23"/>
      <c r="F61" s="23" t="s">
        <v>1735</v>
      </c>
      <c r="G61" s="23" t="s">
        <v>719</v>
      </c>
      <c r="H61" s="23" t="s">
        <v>416</v>
      </c>
      <c r="I61" s="23" t="s">
        <v>791</v>
      </c>
      <c r="J61" s="23"/>
      <c r="K61" s="23" t="n">
        <v>38.99</v>
      </c>
      <c r="L61" s="23" t="s">
        <v>1815</v>
      </c>
      <c r="M61" s="23" t="s">
        <v>1816</v>
      </c>
      <c r="N61" s="23" t="s">
        <v>1817</v>
      </c>
      <c r="O61" s="23" t="s">
        <v>1818</v>
      </c>
      <c r="P61" s="23"/>
      <c r="Q61" s="24" t="n">
        <f aca="false">IF(L61="","",IFERROR(INDEX('Semrush Data'!$A$1:$Z$20000,MATCH(L61,'Semrush Data'!$A$1:$A$20000,0),MATCH("Volume",'Semrush Data'!$A$1:$Z$1,0)),""))</f>
        <v>0</v>
      </c>
      <c r="R61" s="24" t="str">
        <f aca="false">IF(M61="","",IFERROR(INDEX('Semrush Data'!$A$1:$Z$20000,MATCH(M61,'Semrush Data'!$A$1:$A$20000,0),MATCH("Volume",'Semrush Data'!$A$1:$Z$1,0)),""))</f>
        <v/>
      </c>
      <c r="S61" s="24" t="str">
        <f aca="false">IF(N61="","",IFERROR(INDEX('Semrush Data'!$A$1:$Z$20000,MATCH(N61,'Semrush Data'!$A$1:$A$20000,0),MATCH("Volume",'Semrush Data'!$A$1:$Z$1,0)),""))</f>
        <v/>
      </c>
      <c r="T61" s="24" t="str">
        <f aca="false">IF(O61="","",IFERROR(INDEX('Semrush Data'!$A$1:$Z$20000,MATCH(O61,'Semrush Data'!$A$1:$A$20000,0),MATCH("Volume",'Semrush Data'!$A$1:$Z$1,0)),""))</f>
        <v/>
      </c>
      <c r="U61" s="24" t="str">
        <f aca="false">IF(P61="","",IFERROR(INDEX('Semrush Data'!$A$1:$Z$20000,MATCH(P61,'Semrush Data'!$A$1:$A$20000,0),MATCH("Volume",'Semrush Data'!$A$1:$Z$1,0)),""))</f>
        <v/>
      </c>
      <c r="V61" s="25" t="str">
        <f aca="false">IF(COUNT(Q61:U61)=0,L61,IF(MAX(Q61:U61)=0,L61,INDEX(L61:P61,MATCH(MAX(Q61:U61),Q61:U61,0))))</f>
        <v>vilvah tan protection kit</v>
      </c>
      <c r="W61" s="24" t="n">
        <f aca="false">IFERROR(INDEX('Semrush Data'!$A$1:$Z$20000,MATCH(V61,'Semrush Data'!$A$1:$A$20000,0),MATCH("Volume",'Semrush Data'!$A$1:$Z$1,0)),"")</f>
        <v>0</v>
      </c>
      <c r="X61" s="24" t="n">
        <f aca="false">IFERROR(INDEX('Semrush Data'!$A$1:$Z$20000,MATCH(V61,'Semrush Data'!$A$1:$A$20000,0),MATCH("Keyword Difficulty*",'Semrush Data'!$A$1:$Z$1,0)),"")</f>
        <v>12</v>
      </c>
      <c r="Y61" s="26" t="n">
        <f aca="false">IFERROR(INDEX('Semrush Data'!$A$1:$Z$20000,MATCH(V61,'Semrush Data'!$A$1:$A$20000,0),MATCH("CPC*",'Semrush Data'!$A$1:$Z$1,0)),"")</f>
        <v>0</v>
      </c>
      <c r="Z61" s="23" t="s">
        <v>1740</v>
      </c>
      <c r="AA61" s="23"/>
      <c r="AB61" s="23" t="s">
        <v>792</v>
      </c>
      <c r="AC61" s="23" t="s">
        <v>1819</v>
      </c>
      <c r="AD61" s="27" t="n">
        <f aca="false">LEN(AC61)</f>
        <v>52</v>
      </c>
      <c r="AE61" s="23" t="s">
        <v>1820</v>
      </c>
      <c r="AF61" s="27" t="n">
        <f aca="false">LEN(AE61)</f>
        <v>159</v>
      </c>
    </row>
    <row r="62" customFormat="false" ht="15" hidden="false" customHeight="true" outlineLevel="0" collapsed="false">
      <c r="A62" s="23" t="s">
        <v>796</v>
      </c>
      <c r="B62" s="23" t="s">
        <v>1432</v>
      </c>
      <c r="C62" s="23" t="n">
        <v>61</v>
      </c>
      <c r="D62" s="23" t="s">
        <v>373</v>
      </c>
      <c r="E62" s="23"/>
      <c r="F62" s="23" t="s">
        <v>1735</v>
      </c>
      <c r="G62" s="23" t="s">
        <v>719</v>
      </c>
      <c r="H62" s="23" t="s">
        <v>586</v>
      </c>
      <c r="I62" s="23" t="s">
        <v>797</v>
      </c>
      <c r="J62" s="23"/>
      <c r="K62" s="23" t="n">
        <v>44.99</v>
      </c>
      <c r="L62" s="23" t="s">
        <v>1821</v>
      </c>
      <c r="M62" s="23" t="s">
        <v>1822</v>
      </c>
      <c r="N62" s="23" t="s">
        <v>1823</v>
      </c>
      <c r="O62" s="23" t="s">
        <v>1824</v>
      </c>
      <c r="P62" s="23"/>
      <c r="Q62" s="24" t="n">
        <f aca="false">IF(L62="","",IFERROR(INDEX('Semrush Data'!$A$1:$Z$20000,MATCH(L62,'Semrush Data'!$A$1:$A$20000,0),MATCH("Volume",'Semrush Data'!$A$1:$Z$1,0)),""))</f>
        <v>0</v>
      </c>
      <c r="R62" s="24" t="str">
        <f aca="false">IF(M62="","",IFERROR(INDEX('Semrush Data'!$A$1:$Z$20000,MATCH(M62,'Semrush Data'!$A$1:$A$20000,0),MATCH("Volume",'Semrush Data'!$A$1:$Z$1,0)),""))</f>
        <v/>
      </c>
      <c r="S62" s="24" t="str">
        <f aca="false">IF(N62="","",IFERROR(INDEX('Semrush Data'!$A$1:$Z$20000,MATCH(N62,'Semrush Data'!$A$1:$A$20000,0),MATCH("Volume",'Semrush Data'!$A$1:$Z$1,0)),""))</f>
        <v/>
      </c>
      <c r="T62" s="24" t="str">
        <f aca="false">IF(O62="","",IFERROR(INDEX('Semrush Data'!$A$1:$Z$20000,MATCH(O62,'Semrush Data'!$A$1:$A$20000,0),MATCH("Volume",'Semrush Data'!$A$1:$Z$1,0)),""))</f>
        <v/>
      </c>
      <c r="U62" s="24" t="str">
        <f aca="false">IF(P62="","",IFERROR(INDEX('Semrush Data'!$A$1:$Z$20000,MATCH(P62,'Semrush Data'!$A$1:$A$20000,0),MATCH("Volume",'Semrush Data'!$A$1:$Z$1,0)),""))</f>
        <v/>
      </c>
      <c r="V62" s="25" t="str">
        <f aca="false">IF(COUNT(Q62:U62)=0,L62,IF(MAX(Q62:U62)=0,L62,INDEX(L62:P62,MATCH(MAX(Q62:U62),Q62:U62,0))))</f>
        <v>vilvah skin radiance kit</v>
      </c>
      <c r="W62" s="24" t="n">
        <f aca="false">IFERROR(INDEX('Semrush Data'!$A$1:$Z$20000,MATCH(V62,'Semrush Data'!$A$1:$A$20000,0),MATCH("Volume",'Semrush Data'!$A$1:$Z$1,0)),"")</f>
        <v>0</v>
      </c>
      <c r="X62" s="24" t="n">
        <f aca="false">IFERROR(INDEX('Semrush Data'!$A$1:$Z$20000,MATCH(V62,'Semrush Data'!$A$1:$A$20000,0),MATCH("Keyword Difficulty*",'Semrush Data'!$A$1:$Z$1,0)),"")</f>
        <v>14</v>
      </c>
      <c r="Y62" s="26" t="n">
        <f aca="false">IFERROR(INDEX('Semrush Data'!$A$1:$Z$20000,MATCH(V62,'Semrush Data'!$A$1:$A$20000,0),MATCH("CPC*",'Semrush Data'!$A$1:$Z$1,0)),"")</f>
        <v>0</v>
      </c>
      <c r="Z62" s="23" t="s">
        <v>1740</v>
      </c>
      <c r="AA62" s="23"/>
      <c r="AB62" s="23" t="s">
        <v>798</v>
      </c>
      <c r="AC62" s="23" t="s">
        <v>1825</v>
      </c>
      <c r="AD62" s="27" t="n">
        <f aca="false">LEN(AC62)</f>
        <v>51</v>
      </c>
      <c r="AE62" s="23" t="s">
        <v>1826</v>
      </c>
      <c r="AF62" s="27" t="n">
        <f aca="false">LEN(AE62)</f>
        <v>158</v>
      </c>
    </row>
    <row r="63" customFormat="false" ht="15" hidden="false" customHeight="true" outlineLevel="0" collapsed="false">
      <c r="A63" s="23" t="s">
        <v>802</v>
      </c>
      <c r="B63" s="23" t="s">
        <v>1432</v>
      </c>
      <c r="C63" s="23" t="n">
        <v>62</v>
      </c>
      <c r="D63" s="23" t="s">
        <v>373</v>
      </c>
      <c r="E63" s="23"/>
      <c r="F63" s="23" t="s">
        <v>1735</v>
      </c>
      <c r="G63" s="23" t="s">
        <v>719</v>
      </c>
      <c r="H63" s="23" t="s">
        <v>804</v>
      </c>
      <c r="I63" s="23" t="s">
        <v>803</v>
      </c>
      <c r="J63" s="23"/>
      <c r="K63" s="23" t="n">
        <v>32.99</v>
      </c>
      <c r="L63" s="23" t="s">
        <v>1827</v>
      </c>
      <c r="M63" s="23" t="s">
        <v>1828</v>
      </c>
      <c r="N63" s="23" t="s">
        <v>1829</v>
      </c>
      <c r="O63" s="23" t="s">
        <v>1830</v>
      </c>
      <c r="P63" s="23"/>
      <c r="Q63" s="24" t="n">
        <f aca="false">IF(L63="","",IFERROR(INDEX('Semrush Data'!$A$1:$Z$20000,MATCH(L63,'Semrush Data'!$A$1:$A$20000,0),MATCH("Volume",'Semrush Data'!$A$1:$Z$1,0)),""))</f>
        <v>0</v>
      </c>
      <c r="R63" s="24" t="str">
        <f aca="false">IF(M63="","",IFERROR(INDEX('Semrush Data'!$A$1:$Z$20000,MATCH(M63,'Semrush Data'!$A$1:$A$20000,0),MATCH("Volume",'Semrush Data'!$A$1:$Z$1,0)),""))</f>
        <v/>
      </c>
      <c r="S63" s="24" t="str">
        <f aca="false">IF(N63="","",IFERROR(INDEX('Semrush Data'!$A$1:$Z$20000,MATCH(N63,'Semrush Data'!$A$1:$A$20000,0),MATCH("Volume",'Semrush Data'!$A$1:$Z$1,0)),""))</f>
        <v/>
      </c>
      <c r="T63" s="24" t="str">
        <f aca="false">IF(O63="","",IFERROR(INDEX('Semrush Data'!$A$1:$Z$20000,MATCH(O63,'Semrush Data'!$A$1:$A$20000,0),MATCH("Volume",'Semrush Data'!$A$1:$Z$1,0)),""))</f>
        <v/>
      </c>
      <c r="U63" s="24" t="str">
        <f aca="false">IF(P63="","",IFERROR(INDEX('Semrush Data'!$A$1:$Z$20000,MATCH(P63,'Semrush Data'!$A$1:$A$20000,0),MATCH("Volume",'Semrush Data'!$A$1:$Z$1,0)),""))</f>
        <v/>
      </c>
      <c r="V63" s="25" t="str">
        <f aca="false">IF(COUNT(Q63:U63)=0,L63,IF(MAX(Q63:U63)=0,L63,INDEX(L63:P63,MATCH(MAX(Q63:U63),Q63:U63,0))))</f>
        <v>vilvah pore minimising kit</v>
      </c>
      <c r="W63" s="24" t="n">
        <f aca="false">IFERROR(INDEX('Semrush Data'!$A$1:$Z$20000,MATCH(V63,'Semrush Data'!$A$1:$A$20000,0),MATCH("Volume",'Semrush Data'!$A$1:$Z$1,0)),"")</f>
        <v>0</v>
      </c>
      <c r="X63" s="24" t="n">
        <f aca="false">IFERROR(INDEX('Semrush Data'!$A$1:$Z$20000,MATCH(V63,'Semrush Data'!$A$1:$A$20000,0),MATCH("Keyword Difficulty*",'Semrush Data'!$A$1:$Z$1,0)),"")</f>
        <v>12</v>
      </c>
      <c r="Y63" s="26" t="n">
        <f aca="false">IFERROR(INDEX('Semrush Data'!$A$1:$Z$20000,MATCH(V63,'Semrush Data'!$A$1:$A$20000,0),MATCH("CPC*",'Semrush Data'!$A$1:$Z$1,0)),"")</f>
        <v>0</v>
      </c>
      <c r="Z63" s="23" t="s">
        <v>1740</v>
      </c>
      <c r="AA63" s="23"/>
      <c r="AB63" s="23" t="s">
        <v>803</v>
      </c>
      <c r="AC63" s="23" t="s">
        <v>1831</v>
      </c>
      <c r="AD63" s="27" t="n">
        <f aca="false">LEN(AC63)</f>
        <v>53</v>
      </c>
      <c r="AE63" s="23" t="s">
        <v>1832</v>
      </c>
      <c r="AF63" s="27" t="n">
        <f aca="false">LEN(AE63)</f>
        <v>160</v>
      </c>
    </row>
    <row r="64" customFormat="false" ht="15" hidden="false" customHeight="true" outlineLevel="0" collapsed="false">
      <c r="A64" s="23" t="s">
        <v>808</v>
      </c>
      <c r="B64" s="23" t="s">
        <v>1432</v>
      </c>
      <c r="C64" s="23" t="n">
        <v>63</v>
      </c>
      <c r="D64" s="23" t="s">
        <v>373</v>
      </c>
      <c r="E64" s="23"/>
      <c r="F64" s="23" t="s">
        <v>1735</v>
      </c>
      <c r="G64" s="23" t="s">
        <v>719</v>
      </c>
      <c r="H64" s="23" t="s">
        <v>586</v>
      </c>
      <c r="I64" s="23" t="s">
        <v>809</v>
      </c>
      <c r="J64" s="23"/>
      <c r="K64" s="23" t="n">
        <v>42.99</v>
      </c>
      <c r="L64" s="23" t="s">
        <v>1833</v>
      </c>
      <c r="M64" s="23" t="s">
        <v>1834</v>
      </c>
      <c r="N64" s="23" t="s">
        <v>1835</v>
      </c>
      <c r="O64" s="23" t="s">
        <v>1836</v>
      </c>
      <c r="P64" s="23"/>
      <c r="Q64" s="24" t="n">
        <f aca="false">IF(L64="","",IFERROR(INDEX('Semrush Data'!$A$1:$Z$20000,MATCH(L64,'Semrush Data'!$A$1:$A$20000,0),MATCH("Volume",'Semrush Data'!$A$1:$Z$1,0)),""))</f>
        <v>0</v>
      </c>
      <c r="R64" s="24" t="str">
        <f aca="false">IF(M64="","",IFERROR(INDEX('Semrush Data'!$A$1:$Z$20000,MATCH(M64,'Semrush Data'!$A$1:$A$20000,0),MATCH("Volume",'Semrush Data'!$A$1:$Z$1,0)),""))</f>
        <v/>
      </c>
      <c r="S64" s="24" t="str">
        <f aca="false">IF(N64="","",IFERROR(INDEX('Semrush Data'!$A$1:$Z$20000,MATCH(N64,'Semrush Data'!$A$1:$A$20000,0),MATCH("Volume",'Semrush Data'!$A$1:$Z$1,0)),""))</f>
        <v/>
      </c>
      <c r="T64" s="24" t="str">
        <f aca="false">IF(O64="","",IFERROR(INDEX('Semrush Data'!$A$1:$Z$20000,MATCH(O64,'Semrush Data'!$A$1:$A$20000,0),MATCH("Volume",'Semrush Data'!$A$1:$Z$1,0)),""))</f>
        <v/>
      </c>
      <c r="U64" s="24" t="str">
        <f aca="false">IF(P64="","",IFERROR(INDEX('Semrush Data'!$A$1:$Z$20000,MATCH(P64,'Semrush Data'!$A$1:$A$20000,0),MATCH("Volume",'Semrush Data'!$A$1:$Z$1,0)),""))</f>
        <v/>
      </c>
      <c r="V64" s="25" t="str">
        <f aca="false">IF(COUNT(Q64:U64)=0,L64,IF(MAX(Q64:U64)=0,L64,INDEX(L64:P64,MATCH(MAX(Q64:U64),Q64:U64,0))))</f>
        <v>vilvah face brightening kit large</v>
      </c>
      <c r="W64" s="24" t="n">
        <f aca="false">IFERROR(INDEX('Semrush Data'!$A$1:$Z$20000,MATCH(V64,'Semrush Data'!$A$1:$A$20000,0),MATCH("Volume",'Semrush Data'!$A$1:$Z$1,0)),"")</f>
        <v>0</v>
      </c>
      <c r="X64" s="24" t="n">
        <f aca="false">IFERROR(INDEX('Semrush Data'!$A$1:$Z$20000,MATCH(V64,'Semrush Data'!$A$1:$A$20000,0),MATCH("Keyword Difficulty*",'Semrush Data'!$A$1:$Z$1,0)),"")</f>
        <v>12</v>
      </c>
      <c r="Y64" s="26" t="n">
        <f aca="false">IFERROR(INDEX('Semrush Data'!$A$1:$Z$20000,MATCH(V64,'Semrush Data'!$A$1:$A$20000,0),MATCH("CPC*",'Semrush Data'!$A$1:$Z$1,0)),"")</f>
        <v>0</v>
      </c>
      <c r="Z64" s="23" t="s">
        <v>1740</v>
      </c>
      <c r="AA64" s="23"/>
      <c r="AB64" s="23" t="s">
        <v>809</v>
      </c>
      <c r="AC64" s="23" t="s">
        <v>1837</v>
      </c>
      <c r="AD64" s="27" t="n">
        <f aca="false">LEN(AC64)</f>
        <v>60</v>
      </c>
      <c r="AE64" s="23" t="s">
        <v>1838</v>
      </c>
      <c r="AF64" s="27" t="n">
        <f aca="false">LEN(AE64)</f>
        <v>159</v>
      </c>
    </row>
    <row r="65" customFormat="false" ht="15" hidden="false" customHeight="true" outlineLevel="0" collapsed="false">
      <c r="A65" s="23" t="s">
        <v>813</v>
      </c>
      <c r="B65" s="23" t="s">
        <v>1432</v>
      </c>
      <c r="C65" s="23" t="n">
        <v>64</v>
      </c>
      <c r="D65" s="23" t="s">
        <v>373</v>
      </c>
      <c r="E65" s="23"/>
      <c r="F65" s="23" t="s">
        <v>1735</v>
      </c>
      <c r="G65" s="23" t="s">
        <v>719</v>
      </c>
      <c r="H65" s="23" t="s">
        <v>586</v>
      </c>
      <c r="I65" s="23" t="s">
        <v>814</v>
      </c>
      <c r="J65" s="23"/>
      <c r="K65" s="23" t="n">
        <v>37.99</v>
      </c>
      <c r="L65" s="23" t="s">
        <v>1839</v>
      </c>
      <c r="M65" s="23" t="s">
        <v>1840</v>
      </c>
      <c r="N65" s="23" t="s">
        <v>1841</v>
      </c>
      <c r="O65" s="23" t="s">
        <v>1842</v>
      </c>
      <c r="P65" s="23"/>
      <c r="Q65" s="24" t="n">
        <f aca="false">IF(L65="","",IFERROR(INDEX('Semrush Data'!$A$1:$Z$20000,MATCH(L65,'Semrush Data'!$A$1:$A$20000,0),MATCH("Volume",'Semrush Data'!$A$1:$Z$1,0)),""))</f>
        <v>0</v>
      </c>
      <c r="R65" s="24" t="str">
        <f aca="false">IF(M65="","",IFERROR(INDEX('Semrush Data'!$A$1:$Z$20000,MATCH(M65,'Semrush Data'!$A$1:$A$20000,0),MATCH("Volume",'Semrush Data'!$A$1:$Z$1,0)),""))</f>
        <v/>
      </c>
      <c r="S65" s="24" t="str">
        <f aca="false">IF(N65="","",IFERROR(INDEX('Semrush Data'!$A$1:$Z$20000,MATCH(N65,'Semrush Data'!$A$1:$A$20000,0),MATCH("Volume",'Semrush Data'!$A$1:$Z$1,0)),""))</f>
        <v/>
      </c>
      <c r="T65" s="24" t="str">
        <f aca="false">IF(O65="","",IFERROR(INDEX('Semrush Data'!$A$1:$Z$20000,MATCH(O65,'Semrush Data'!$A$1:$A$20000,0),MATCH("Volume",'Semrush Data'!$A$1:$Z$1,0)),""))</f>
        <v/>
      </c>
      <c r="U65" s="24" t="str">
        <f aca="false">IF(P65="","",IFERROR(INDEX('Semrush Data'!$A$1:$Z$20000,MATCH(P65,'Semrush Data'!$A$1:$A$20000,0),MATCH("Volume",'Semrush Data'!$A$1:$Z$1,0)),""))</f>
        <v/>
      </c>
      <c r="V65" s="25" t="str">
        <f aca="false">IF(COUNT(Q65:U65)=0,L65,IF(MAX(Q65:U65)=0,L65,INDEX(L65:P65,MATCH(MAX(Q65:U65),Q65:U65,0))))</f>
        <v>vilvah face brightening kit</v>
      </c>
      <c r="W65" s="24" t="n">
        <f aca="false">IFERROR(INDEX('Semrush Data'!$A$1:$Z$20000,MATCH(V65,'Semrush Data'!$A$1:$A$20000,0),MATCH("Volume",'Semrush Data'!$A$1:$Z$1,0)),"")</f>
        <v>0</v>
      </c>
      <c r="X65" s="24" t="n">
        <f aca="false">IFERROR(INDEX('Semrush Data'!$A$1:$Z$20000,MATCH(V65,'Semrush Data'!$A$1:$A$20000,0),MATCH("Keyword Difficulty*",'Semrush Data'!$A$1:$Z$1,0)),"")</f>
        <v>20</v>
      </c>
      <c r="Y65" s="26" t="n">
        <f aca="false">IFERROR(INDEX('Semrush Data'!$A$1:$Z$20000,MATCH(V65,'Semrush Data'!$A$1:$A$20000,0),MATCH("CPC*",'Semrush Data'!$A$1:$Z$1,0)),"")</f>
        <v>0</v>
      </c>
      <c r="Z65" s="23" t="s">
        <v>1740</v>
      </c>
      <c r="AA65" s="23"/>
      <c r="AB65" s="23" t="s">
        <v>814</v>
      </c>
      <c r="AC65" s="23" t="s">
        <v>1843</v>
      </c>
      <c r="AD65" s="27" t="n">
        <f aca="false">LEN(AC65)</f>
        <v>54</v>
      </c>
      <c r="AE65" s="23" t="s">
        <v>1844</v>
      </c>
      <c r="AF65" s="27" t="n">
        <f aca="false">LEN(AE65)</f>
        <v>159</v>
      </c>
    </row>
    <row r="66" customFormat="false" ht="15" hidden="false" customHeight="true" outlineLevel="0" collapsed="false">
      <c r="A66" s="23" t="s">
        <v>818</v>
      </c>
      <c r="B66" s="23" t="s">
        <v>1432</v>
      </c>
      <c r="C66" s="23" t="n">
        <v>65</v>
      </c>
      <c r="D66" s="23" t="s">
        <v>373</v>
      </c>
      <c r="E66" s="23"/>
      <c r="F66" s="23" t="s">
        <v>1735</v>
      </c>
      <c r="G66" s="23" t="s">
        <v>719</v>
      </c>
      <c r="H66" s="23" t="s">
        <v>435</v>
      </c>
      <c r="I66" s="23" t="s">
        <v>819</v>
      </c>
      <c r="J66" s="23"/>
      <c r="K66" s="23" t="n">
        <v>21.99</v>
      </c>
      <c r="L66" s="23" t="s">
        <v>1845</v>
      </c>
      <c r="M66" s="23" t="s">
        <v>1846</v>
      </c>
      <c r="N66" s="23" t="s">
        <v>1847</v>
      </c>
      <c r="O66" s="23" t="s">
        <v>1848</v>
      </c>
      <c r="P66" s="23"/>
      <c r="Q66" s="24" t="n">
        <f aca="false">IF(L66="","",IFERROR(INDEX('Semrush Data'!$A$1:$Z$20000,MATCH(L66,'Semrush Data'!$A$1:$A$20000,0),MATCH("Volume",'Semrush Data'!$A$1:$Z$1,0)),""))</f>
        <v>0</v>
      </c>
      <c r="R66" s="24" t="str">
        <f aca="false">IF(M66="","",IFERROR(INDEX('Semrush Data'!$A$1:$Z$20000,MATCH(M66,'Semrush Data'!$A$1:$A$20000,0),MATCH("Volume",'Semrush Data'!$A$1:$Z$1,0)),""))</f>
        <v/>
      </c>
      <c r="S66" s="24" t="str">
        <f aca="false">IF(N66="","",IFERROR(INDEX('Semrush Data'!$A$1:$Z$20000,MATCH(N66,'Semrush Data'!$A$1:$A$20000,0),MATCH("Volume",'Semrush Data'!$A$1:$Z$1,0)),""))</f>
        <v/>
      </c>
      <c r="T66" s="24" t="str">
        <f aca="false">IF(O66="","",IFERROR(INDEX('Semrush Data'!$A$1:$Z$20000,MATCH(O66,'Semrush Data'!$A$1:$A$20000,0),MATCH("Volume",'Semrush Data'!$A$1:$Z$1,0)),""))</f>
        <v/>
      </c>
      <c r="U66" s="24" t="str">
        <f aca="false">IF(P66="","",IFERROR(INDEX('Semrush Data'!$A$1:$Z$20000,MATCH(P66,'Semrush Data'!$A$1:$A$20000,0),MATCH("Volume",'Semrush Data'!$A$1:$Z$1,0)),""))</f>
        <v/>
      </c>
      <c r="V66" s="25" t="str">
        <f aca="false">IF(COUNT(Q66:U66)=0,L66,IF(MAX(Q66:U66)=0,L66,INDEX(L66:P66,MATCH(MAX(Q66:U66),Q66:U66,0))))</f>
        <v>vilvah budget skincare combo</v>
      </c>
      <c r="W66" s="24" t="n">
        <f aca="false">IFERROR(INDEX('Semrush Data'!$A$1:$Z$20000,MATCH(V66,'Semrush Data'!$A$1:$A$20000,0),MATCH("Volume",'Semrush Data'!$A$1:$Z$1,0)),"")</f>
        <v>0</v>
      </c>
      <c r="X66" s="24" t="n">
        <f aca="false">IFERROR(INDEX('Semrush Data'!$A$1:$Z$20000,MATCH(V66,'Semrush Data'!$A$1:$A$20000,0),MATCH("Keyword Difficulty*",'Semrush Data'!$A$1:$Z$1,0)),"")</f>
        <v>14</v>
      </c>
      <c r="Y66" s="26" t="n">
        <f aca="false">IFERROR(INDEX('Semrush Data'!$A$1:$Z$20000,MATCH(V66,'Semrush Data'!$A$1:$A$20000,0),MATCH("CPC*",'Semrush Data'!$A$1:$Z$1,0)),"")</f>
        <v>0</v>
      </c>
      <c r="Z66" s="23" t="s">
        <v>1740</v>
      </c>
      <c r="AA66" s="23"/>
      <c r="AB66" s="23" t="s">
        <v>820</v>
      </c>
      <c r="AC66" s="23" t="s">
        <v>1849</v>
      </c>
      <c r="AD66" s="27" t="n">
        <f aca="false">LEN(AC66)</f>
        <v>55</v>
      </c>
      <c r="AE66" s="23" t="s">
        <v>1850</v>
      </c>
      <c r="AF66" s="27" t="n">
        <f aca="false">LEN(AE66)</f>
        <v>159</v>
      </c>
    </row>
    <row r="67" customFormat="false" ht="15" hidden="false" customHeight="true" outlineLevel="0" collapsed="false">
      <c r="A67" s="23" t="s">
        <v>824</v>
      </c>
      <c r="B67" s="23" t="s">
        <v>1432</v>
      </c>
      <c r="C67" s="23" t="n">
        <v>66</v>
      </c>
      <c r="D67" s="23" t="s">
        <v>373</v>
      </c>
      <c r="E67" s="23"/>
      <c r="F67" s="23" t="s">
        <v>1735</v>
      </c>
      <c r="G67" s="23" t="s">
        <v>719</v>
      </c>
      <c r="H67" s="23" t="s">
        <v>562</v>
      </c>
      <c r="I67" s="23" t="s">
        <v>825</v>
      </c>
      <c r="J67" s="23"/>
      <c r="K67" s="23" t="n">
        <v>35.99</v>
      </c>
      <c r="L67" s="23" t="s">
        <v>1851</v>
      </c>
      <c r="M67" s="23" t="s">
        <v>1852</v>
      </c>
      <c r="N67" s="23" t="s">
        <v>1853</v>
      </c>
      <c r="O67" s="23" t="s">
        <v>1854</v>
      </c>
      <c r="P67" s="23"/>
      <c r="Q67" s="24" t="n">
        <f aca="false">IF(L67="","",IFERROR(INDEX('Semrush Data'!$A$1:$Z$20000,MATCH(L67,'Semrush Data'!$A$1:$A$20000,0),MATCH("Volume",'Semrush Data'!$A$1:$Z$1,0)),""))</f>
        <v>0</v>
      </c>
      <c r="R67" s="24" t="str">
        <f aca="false">IF(M67="","",IFERROR(INDEX('Semrush Data'!$A$1:$Z$20000,MATCH(M67,'Semrush Data'!$A$1:$A$20000,0),MATCH("Volume",'Semrush Data'!$A$1:$Z$1,0)),""))</f>
        <v/>
      </c>
      <c r="S67" s="24" t="str">
        <f aca="false">IF(N67="","",IFERROR(INDEX('Semrush Data'!$A$1:$Z$20000,MATCH(N67,'Semrush Data'!$A$1:$A$20000,0),MATCH("Volume",'Semrush Data'!$A$1:$Z$1,0)),""))</f>
        <v/>
      </c>
      <c r="T67" s="24" t="str">
        <f aca="false">IF(O67="","",IFERROR(INDEX('Semrush Data'!$A$1:$Z$20000,MATCH(O67,'Semrush Data'!$A$1:$A$20000,0),MATCH("Volume",'Semrush Data'!$A$1:$Z$1,0)),""))</f>
        <v/>
      </c>
      <c r="U67" s="24" t="str">
        <f aca="false">IF(P67="","",IFERROR(INDEX('Semrush Data'!$A$1:$Z$20000,MATCH(P67,'Semrush Data'!$A$1:$A$20000,0),MATCH("Volume",'Semrush Data'!$A$1:$Z$1,0)),""))</f>
        <v/>
      </c>
      <c r="V67" s="25" t="str">
        <f aca="false">IF(COUNT(Q67:U67)=0,L67,IF(MAX(Q67:U67)=0,L67,INDEX(L67:P67,MATCH(MAX(Q67:U67),Q67:U67,0))))</f>
        <v>vilvah face lift kit</v>
      </c>
      <c r="W67" s="24" t="n">
        <f aca="false">IFERROR(INDEX('Semrush Data'!$A$1:$Z$20000,MATCH(V67,'Semrush Data'!$A$1:$A$20000,0),MATCH("Volume",'Semrush Data'!$A$1:$Z$1,0)),"")</f>
        <v>0</v>
      </c>
      <c r="X67" s="24" t="n">
        <f aca="false">IFERROR(INDEX('Semrush Data'!$A$1:$Z$20000,MATCH(V67,'Semrush Data'!$A$1:$A$20000,0),MATCH("Keyword Difficulty*",'Semrush Data'!$A$1:$Z$1,0)),"")</f>
        <v>14</v>
      </c>
      <c r="Y67" s="26" t="n">
        <f aca="false">IFERROR(INDEX('Semrush Data'!$A$1:$Z$20000,MATCH(V67,'Semrush Data'!$A$1:$A$20000,0),MATCH("CPC*",'Semrush Data'!$A$1:$Z$1,0)),"")</f>
        <v>0</v>
      </c>
      <c r="Z67" s="23" t="s">
        <v>1740</v>
      </c>
      <c r="AA67" s="23"/>
      <c r="AB67" s="23" t="s">
        <v>825</v>
      </c>
      <c r="AC67" s="23" t="s">
        <v>1855</v>
      </c>
      <c r="AD67" s="27" t="n">
        <f aca="false">LEN(AC67)</f>
        <v>53</v>
      </c>
      <c r="AE67" s="23" t="s">
        <v>1856</v>
      </c>
      <c r="AF67" s="27" t="n">
        <f aca="false">LEN(AE67)</f>
        <v>154</v>
      </c>
    </row>
    <row r="68" customFormat="false" ht="15" hidden="false" customHeight="true" outlineLevel="0" collapsed="false">
      <c r="A68" s="23" t="s">
        <v>829</v>
      </c>
      <c r="B68" s="23" t="s">
        <v>1432</v>
      </c>
      <c r="C68" s="23" t="n">
        <v>67</v>
      </c>
      <c r="D68" s="23" t="s">
        <v>373</v>
      </c>
      <c r="E68" s="23"/>
      <c r="F68" s="23" t="s">
        <v>1735</v>
      </c>
      <c r="G68" s="23" t="s">
        <v>719</v>
      </c>
      <c r="H68" s="23" t="s">
        <v>407</v>
      </c>
      <c r="I68" s="23" t="s">
        <v>830</v>
      </c>
      <c r="J68" s="23"/>
      <c r="K68" s="23" t="n">
        <v>20.99</v>
      </c>
      <c r="L68" s="23" t="s">
        <v>1857</v>
      </c>
      <c r="M68" s="23" t="s">
        <v>1858</v>
      </c>
      <c r="N68" s="23" t="s">
        <v>1859</v>
      </c>
      <c r="O68" s="23" t="s">
        <v>1860</v>
      </c>
      <c r="P68" s="23"/>
      <c r="Q68" s="24" t="n">
        <f aca="false">IF(L68="","",IFERROR(INDEX('Semrush Data'!$A$1:$Z$20000,MATCH(L68,'Semrush Data'!$A$1:$A$20000,0),MATCH("Volume",'Semrush Data'!$A$1:$Z$1,0)),""))</f>
        <v>0</v>
      </c>
      <c r="R68" s="24" t="str">
        <f aca="false">IF(M68="","",IFERROR(INDEX('Semrush Data'!$A$1:$Z$20000,MATCH(M68,'Semrush Data'!$A$1:$A$20000,0),MATCH("Volume",'Semrush Data'!$A$1:$Z$1,0)),""))</f>
        <v/>
      </c>
      <c r="S68" s="24" t="str">
        <f aca="false">IF(N68="","",IFERROR(INDEX('Semrush Data'!$A$1:$Z$20000,MATCH(N68,'Semrush Data'!$A$1:$A$20000,0),MATCH("Volume",'Semrush Data'!$A$1:$Z$1,0)),""))</f>
        <v/>
      </c>
      <c r="T68" s="24" t="str">
        <f aca="false">IF(O68="","",IFERROR(INDEX('Semrush Data'!$A$1:$Z$20000,MATCH(O68,'Semrush Data'!$A$1:$A$20000,0),MATCH("Volume",'Semrush Data'!$A$1:$Z$1,0)),""))</f>
        <v/>
      </c>
      <c r="U68" s="24" t="str">
        <f aca="false">IF(P68="","",IFERROR(INDEX('Semrush Data'!$A$1:$Z$20000,MATCH(P68,'Semrush Data'!$A$1:$A$20000,0),MATCH("Volume",'Semrush Data'!$A$1:$Z$1,0)),""))</f>
        <v/>
      </c>
      <c r="V68" s="25" t="str">
        <f aca="false">IF(COUNT(Q68:U68)=0,L68,IF(MAX(Q68:U68)=0,L68,INDEX(L68:P68,MATCH(MAX(Q68:U68),Q68:U68,0))))</f>
        <v>vilvah x annapoorna gift box</v>
      </c>
      <c r="W68" s="24" t="n">
        <f aca="false">IFERROR(INDEX('Semrush Data'!$A$1:$Z$20000,MATCH(V68,'Semrush Data'!$A$1:$A$20000,0),MATCH("Volume",'Semrush Data'!$A$1:$Z$1,0)),"")</f>
        <v>0</v>
      </c>
      <c r="X68" s="24" t="n">
        <f aca="false">IFERROR(INDEX('Semrush Data'!$A$1:$Z$20000,MATCH(V68,'Semrush Data'!$A$1:$A$20000,0),MATCH("Keyword Difficulty*",'Semrush Data'!$A$1:$Z$1,0)),"")</f>
        <v>12</v>
      </c>
      <c r="Y68" s="26" t="n">
        <f aca="false">IFERROR(INDEX('Semrush Data'!$A$1:$Z$20000,MATCH(V68,'Semrush Data'!$A$1:$A$20000,0),MATCH("CPC*",'Semrush Data'!$A$1:$Z$1,0)),"")</f>
        <v>0</v>
      </c>
      <c r="Z68" s="23" t="s">
        <v>1740</v>
      </c>
      <c r="AA68" s="23"/>
      <c r="AB68" s="23" t="s">
        <v>831</v>
      </c>
      <c r="AC68" s="23" t="s">
        <v>1861</v>
      </c>
      <c r="AD68" s="27" t="n">
        <f aca="false">LEN(AC68)</f>
        <v>55</v>
      </c>
      <c r="AE68" s="23" t="s">
        <v>1862</v>
      </c>
      <c r="AF68" s="27" t="n">
        <f aca="false">LEN(AE68)</f>
        <v>154</v>
      </c>
    </row>
    <row r="69" customFormat="false" ht="15" hidden="false" customHeight="true" outlineLevel="0" collapsed="false">
      <c r="A69" s="23" t="s">
        <v>835</v>
      </c>
      <c r="B69" s="23" t="s">
        <v>1432</v>
      </c>
      <c r="C69" s="23" t="n">
        <v>68</v>
      </c>
      <c r="D69" s="23" t="s">
        <v>373</v>
      </c>
      <c r="E69" s="23"/>
      <c r="F69" s="23" t="s">
        <v>1735</v>
      </c>
      <c r="G69" s="23" t="s">
        <v>719</v>
      </c>
      <c r="H69" s="23" t="s">
        <v>457</v>
      </c>
      <c r="I69" s="23" t="s">
        <v>836</v>
      </c>
      <c r="J69" s="23"/>
      <c r="K69" s="23" t="n">
        <v>16.99</v>
      </c>
      <c r="L69" s="23" t="s">
        <v>1863</v>
      </c>
      <c r="M69" s="23" t="s">
        <v>1864</v>
      </c>
      <c r="N69" s="23" t="s">
        <v>1865</v>
      </c>
      <c r="O69" s="23" t="s">
        <v>1866</v>
      </c>
      <c r="P69" s="23"/>
      <c r="Q69" s="24" t="n">
        <f aca="false">IF(L69="","",IFERROR(INDEX('Semrush Data'!$A$1:$Z$20000,MATCH(L69,'Semrush Data'!$A$1:$A$20000,0),MATCH("Volume",'Semrush Data'!$A$1:$Z$1,0)),""))</f>
        <v>0</v>
      </c>
      <c r="R69" s="24" t="str">
        <f aca="false">IF(M69="","",IFERROR(INDEX('Semrush Data'!$A$1:$Z$20000,MATCH(M69,'Semrush Data'!$A$1:$A$20000,0),MATCH("Volume",'Semrush Data'!$A$1:$Z$1,0)),""))</f>
        <v/>
      </c>
      <c r="S69" s="24" t="str">
        <f aca="false">IF(N69="","",IFERROR(INDEX('Semrush Data'!$A$1:$Z$20000,MATCH(N69,'Semrush Data'!$A$1:$A$20000,0),MATCH("Volume",'Semrush Data'!$A$1:$Z$1,0)),""))</f>
        <v/>
      </c>
      <c r="T69" s="24" t="str">
        <f aca="false">IF(O69="","",IFERROR(INDEX('Semrush Data'!$A$1:$Z$20000,MATCH(O69,'Semrush Data'!$A$1:$A$20000,0),MATCH("Volume",'Semrush Data'!$A$1:$Z$1,0)),""))</f>
        <v/>
      </c>
      <c r="U69" s="24" t="str">
        <f aca="false">IF(P69="","",IFERROR(INDEX('Semrush Data'!$A$1:$Z$20000,MATCH(P69,'Semrush Data'!$A$1:$A$20000,0),MATCH("Volume",'Semrush Data'!$A$1:$Z$1,0)),""))</f>
        <v/>
      </c>
      <c r="V69" s="25" t="str">
        <f aca="false">IF(COUNT(Q69:U69)=0,L69,IF(MAX(Q69:U69)=0,L69,INDEX(L69:P69,MATCH(MAX(Q69:U69),Q69:U69,0))))</f>
        <v>vilvah tinted lip balm kit</v>
      </c>
      <c r="W69" s="24" t="n">
        <f aca="false">IFERROR(INDEX('Semrush Data'!$A$1:$Z$20000,MATCH(V69,'Semrush Data'!$A$1:$A$20000,0),MATCH("Volume",'Semrush Data'!$A$1:$Z$1,0)),"")</f>
        <v>0</v>
      </c>
      <c r="X69" s="24" t="n">
        <f aca="false">IFERROR(INDEX('Semrush Data'!$A$1:$Z$20000,MATCH(V69,'Semrush Data'!$A$1:$A$20000,0),MATCH("Keyword Difficulty*",'Semrush Data'!$A$1:$Z$1,0)),"")</f>
        <v>17</v>
      </c>
      <c r="Y69" s="26" t="n">
        <f aca="false">IFERROR(INDEX('Semrush Data'!$A$1:$Z$20000,MATCH(V69,'Semrush Data'!$A$1:$A$20000,0),MATCH("CPC*",'Semrush Data'!$A$1:$Z$1,0)),"")</f>
        <v>0</v>
      </c>
      <c r="Z69" s="23" t="s">
        <v>1740</v>
      </c>
      <c r="AA69" s="23"/>
      <c r="AB69" s="23" t="s">
        <v>837</v>
      </c>
      <c r="AC69" s="23" t="s">
        <v>1867</v>
      </c>
      <c r="AD69" s="27" t="n">
        <f aca="false">LEN(AC69)</f>
        <v>53</v>
      </c>
      <c r="AE69" s="23" t="s">
        <v>1868</v>
      </c>
      <c r="AF69" s="27" t="n">
        <f aca="false">LEN(AE69)</f>
        <v>160</v>
      </c>
    </row>
    <row r="70" customFormat="false" ht="15" hidden="false" customHeight="true" outlineLevel="0" collapsed="false">
      <c r="A70" s="23" t="s">
        <v>841</v>
      </c>
      <c r="B70" s="23" t="s">
        <v>1432</v>
      </c>
      <c r="C70" s="23" t="n">
        <v>69</v>
      </c>
      <c r="D70" s="23" t="s">
        <v>373</v>
      </c>
      <c r="E70" s="23"/>
      <c r="F70" s="23" t="s">
        <v>1735</v>
      </c>
      <c r="G70" s="23" t="s">
        <v>719</v>
      </c>
      <c r="H70" s="23" t="s">
        <v>552</v>
      </c>
      <c r="I70" s="23" t="s">
        <v>842</v>
      </c>
      <c r="J70" s="23"/>
      <c r="K70" s="23" t="n">
        <v>35.99</v>
      </c>
      <c r="L70" s="23" t="s">
        <v>1869</v>
      </c>
      <c r="M70" s="23" t="s">
        <v>1870</v>
      </c>
      <c r="N70" s="23" t="s">
        <v>1871</v>
      </c>
      <c r="O70" s="23" t="s">
        <v>1872</v>
      </c>
      <c r="P70" s="23"/>
      <c r="Q70" s="24" t="n">
        <f aca="false">IF(L70="","",IFERROR(INDEX('Semrush Data'!$A$1:$Z$20000,MATCH(L70,'Semrush Data'!$A$1:$A$20000,0),MATCH("Volume",'Semrush Data'!$A$1:$Z$1,0)),""))</f>
        <v>0</v>
      </c>
      <c r="R70" s="24" t="str">
        <f aca="false">IF(M70="","",IFERROR(INDEX('Semrush Data'!$A$1:$Z$20000,MATCH(M70,'Semrush Data'!$A$1:$A$20000,0),MATCH("Volume",'Semrush Data'!$A$1:$Z$1,0)),""))</f>
        <v/>
      </c>
      <c r="S70" s="24" t="str">
        <f aca="false">IF(N70="","",IFERROR(INDEX('Semrush Data'!$A$1:$Z$20000,MATCH(N70,'Semrush Data'!$A$1:$A$20000,0),MATCH("Volume",'Semrush Data'!$A$1:$Z$1,0)),""))</f>
        <v/>
      </c>
      <c r="T70" s="24" t="str">
        <f aca="false">IF(O70="","",IFERROR(INDEX('Semrush Data'!$A$1:$Z$20000,MATCH(O70,'Semrush Data'!$A$1:$A$20000,0),MATCH("Volume",'Semrush Data'!$A$1:$Z$1,0)),""))</f>
        <v/>
      </c>
      <c r="U70" s="24" t="str">
        <f aca="false">IF(P70="","",IFERROR(INDEX('Semrush Data'!$A$1:$Z$20000,MATCH(P70,'Semrush Data'!$A$1:$A$20000,0),MATCH("Volume",'Semrush Data'!$A$1:$Z$1,0)),""))</f>
        <v/>
      </c>
      <c r="V70" s="25" t="str">
        <f aca="false">IF(COUNT(Q70:U70)=0,L70,IF(MAX(Q70:U70)=0,L70,INDEX(L70:P70,MATCH(MAX(Q70:U70),Q70:U70,0))))</f>
        <v>vilvah store frizz free hair combo</v>
      </c>
      <c r="W70" s="24" t="n">
        <f aca="false">IFERROR(INDEX('Semrush Data'!$A$1:$Z$20000,MATCH(V70,'Semrush Data'!$A$1:$A$20000,0),MATCH("Volume",'Semrush Data'!$A$1:$Z$1,0)),"")</f>
        <v>0</v>
      </c>
      <c r="X70" s="24" t="n">
        <f aca="false">IFERROR(INDEX('Semrush Data'!$A$1:$Z$20000,MATCH(V70,'Semrush Data'!$A$1:$A$20000,0),MATCH("Keyword Difficulty*",'Semrush Data'!$A$1:$Z$1,0)),"")</f>
        <v>11</v>
      </c>
      <c r="Y70" s="26" t="n">
        <f aca="false">IFERROR(INDEX('Semrush Data'!$A$1:$Z$20000,MATCH(V70,'Semrush Data'!$A$1:$A$20000,0),MATCH("CPC*",'Semrush Data'!$A$1:$Z$1,0)),"")</f>
        <v>0</v>
      </c>
      <c r="Z70" s="23" t="s">
        <v>1740</v>
      </c>
      <c r="AA70" s="23"/>
      <c r="AB70" s="23" t="s">
        <v>842</v>
      </c>
      <c r="AC70" s="23" t="s">
        <v>1873</v>
      </c>
      <c r="AD70" s="27" t="n">
        <f aca="false">LEN(AC70)</f>
        <v>48</v>
      </c>
      <c r="AE70" s="23" t="s">
        <v>1874</v>
      </c>
      <c r="AF70" s="27" t="n">
        <f aca="false">LEN(AE70)</f>
        <v>160</v>
      </c>
    </row>
    <row r="71" customFormat="false" ht="15" hidden="false" customHeight="true" outlineLevel="0" collapsed="false">
      <c r="A71" s="23" t="s">
        <v>846</v>
      </c>
      <c r="B71" s="23" t="s">
        <v>1432</v>
      </c>
      <c r="C71" s="23" t="n">
        <v>70</v>
      </c>
      <c r="D71" s="23" t="s">
        <v>373</v>
      </c>
      <c r="E71" s="23"/>
      <c r="F71" s="23" t="s">
        <v>1735</v>
      </c>
      <c r="G71" s="23" t="s">
        <v>719</v>
      </c>
      <c r="H71" s="23" t="s">
        <v>621</v>
      </c>
      <c r="I71" s="23" t="s">
        <v>847</v>
      </c>
      <c r="J71" s="23"/>
      <c r="K71" s="23" t="n">
        <v>27.99</v>
      </c>
      <c r="L71" s="23" t="s">
        <v>1875</v>
      </c>
      <c r="M71" s="23" t="s">
        <v>1876</v>
      </c>
      <c r="N71" s="23" t="s">
        <v>1877</v>
      </c>
      <c r="O71" s="23" t="s">
        <v>1878</v>
      </c>
      <c r="P71" s="23"/>
      <c r="Q71" s="24" t="n">
        <f aca="false">IF(L71="","",IFERROR(INDEX('Semrush Data'!$A$1:$Z$20000,MATCH(L71,'Semrush Data'!$A$1:$A$20000,0),MATCH("Volume",'Semrush Data'!$A$1:$Z$1,0)),""))</f>
        <v>0</v>
      </c>
      <c r="R71" s="24" t="str">
        <f aca="false">IF(M71="","",IFERROR(INDEX('Semrush Data'!$A$1:$Z$20000,MATCH(M71,'Semrush Data'!$A$1:$A$20000,0),MATCH("Volume",'Semrush Data'!$A$1:$Z$1,0)),""))</f>
        <v/>
      </c>
      <c r="S71" s="24" t="str">
        <f aca="false">IF(N71="","",IFERROR(INDEX('Semrush Data'!$A$1:$Z$20000,MATCH(N71,'Semrush Data'!$A$1:$A$20000,0),MATCH("Volume",'Semrush Data'!$A$1:$Z$1,0)),""))</f>
        <v/>
      </c>
      <c r="T71" s="24" t="str">
        <f aca="false">IF(O71="","",IFERROR(INDEX('Semrush Data'!$A$1:$Z$20000,MATCH(O71,'Semrush Data'!$A$1:$A$20000,0),MATCH("Volume",'Semrush Data'!$A$1:$Z$1,0)),""))</f>
        <v/>
      </c>
      <c r="U71" s="24" t="str">
        <f aca="false">IF(P71="","",IFERROR(INDEX('Semrush Data'!$A$1:$Z$20000,MATCH(P71,'Semrush Data'!$A$1:$A$20000,0),MATCH("Volume",'Semrush Data'!$A$1:$Z$1,0)),""))</f>
        <v/>
      </c>
      <c r="V71" s="25" t="str">
        <f aca="false">IF(COUNT(Q71:U71)=0,L71,IF(MAX(Q71:U71)=0,L71,INDEX(L71:P71,MATCH(MAX(Q71:U71),Q71:U71,0))))</f>
        <v>vilvah bestseller hair kit</v>
      </c>
      <c r="W71" s="24" t="n">
        <f aca="false">IFERROR(INDEX('Semrush Data'!$A$1:$Z$20000,MATCH(V71,'Semrush Data'!$A$1:$A$20000,0),MATCH("Volume",'Semrush Data'!$A$1:$Z$1,0)),"")</f>
        <v>0</v>
      </c>
      <c r="X71" s="24" t="n">
        <f aca="false">IFERROR(INDEX('Semrush Data'!$A$1:$Z$20000,MATCH(V71,'Semrush Data'!$A$1:$A$20000,0),MATCH("Keyword Difficulty*",'Semrush Data'!$A$1:$Z$1,0)),"")</f>
        <v>19</v>
      </c>
      <c r="Y71" s="26" t="n">
        <f aca="false">IFERROR(INDEX('Semrush Data'!$A$1:$Z$20000,MATCH(V71,'Semrush Data'!$A$1:$A$20000,0),MATCH("CPC*",'Semrush Data'!$A$1:$Z$1,0)),"")</f>
        <v>0</v>
      </c>
      <c r="Z71" s="23" t="s">
        <v>1740</v>
      </c>
      <c r="AA71" s="23"/>
      <c r="AB71" s="23" t="s">
        <v>847</v>
      </c>
      <c r="AC71" s="23" t="s">
        <v>1879</v>
      </c>
      <c r="AD71" s="27" t="n">
        <f aca="false">LEN(AC71)</f>
        <v>53</v>
      </c>
      <c r="AE71" s="23" t="s">
        <v>1880</v>
      </c>
      <c r="AF71" s="27" t="n">
        <f aca="false">LEN(AE71)</f>
        <v>160</v>
      </c>
    </row>
    <row r="72" customFormat="false" ht="15" hidden="false" customHeight="true" outlineLevel="0" collapsed="false">
      <c r="A72" s="23" t="s">
        <v>851</v>
      </c>
      <c r="B72" s="23" t="s">
        <v>1432</v>
      </c>
      <c r="C72" s="23" t="n">
        <v>71</v>
      </c>
      <c r="D72" s="23" t="s">
        <v>373</v>
      </c>
      <c r="E72" s="23"/>
      <c r="F72" s="23" t="s">
        <v>1735</v>
      </c>
      <c r="G72" s="23" t="s">
        <v>719</v>
      </c>
      <c r="H72" s="23" t="s">
        <v>621</v>
      </c>
      <c r="I72" s="23" t="s">
        <v>852</v>
      </c>
      <c r="J72" s="23"/>
      <c r="K72" s="23" t="n">
        <v>25.99</v>
      </c>
      <c r="L72" s="23" t="s">
        <v>1881</v>
      </c>
      <c r="M72" s="23" t="s">
        <v>1882</v>
      </c>
      <c r="N72" s="23" t="s">
        <v>1883</v>
      </c>
      <c r="O72" s="23" t="s">
        <v>1884</v>
      </c>
      <c r="P72" s="23"/>
      <c r="Q72" s="24" t="n">
        <f aca="false">IF(L72="","",IFERROR(INDEX('Semrush Data'!$A$1:$Z$20000,MATCH(L72,'Semrush Data'!$A$1:$A$20000,0),MATCH("Volume",'Semrush Data'!$A$1:$Z$1,0)),""))</f>
        <v>0</v>
      </c>
      <c r="R72" s="24" t="str">
        <f aca="false">IF(M72="","",IFERROR(INDEX('Semrush Data'!$A$1:$Z$20000,MATCH(M72,'Semrush Data'!$A$1:$A$20000,0),MATCH("Volume",'Semrush Data'!$A$1:$Z$1,0)),""))</f>
        <v/>
      </c>
      <c r="S72" s="24" t="str">
        <f aca="false">IF(N72="","",IFERROR(INDEX('Semrush Data'!$A$1:$Z$20000,MATCH(N72,'Semrush Data'!$A$1:$A$20000,0),MATCH("Volume",'Semrush Data'!$A$1:$Z$1,0)),""))</f>
        <v/>
      </c>
      <c r="T72" s="24" t="str">
        <f aca="false">IF(O72="","",IFERROR(INDEX('Semrush Data'!$A$1:$Z$20000,MATCH(O72,'Semrush Data'!$A$1:$A$20000,0),MATCH("Volume",'Semrush Data'!$A$1:$Z$1,0)),""))</f>
        <v/>
      </c>
      <c r="U72" s="24" t="str">
        <f aca="false">IF(P72="","",IFERROR(INDEX('Semrush Data'!$A$1:$Z$20000,MATCH(P72,'Semrush Data'!$A$1:$A$20000,0),MATCH("Volume",'Semrush Data'!$A$1:$Z$1,0)),""))</f>
        <v/>
      </c>
      <c r="V72" s="25" t="str">
        <f aca="false">IF(COUNT(Q72:U72)=0,L72,IF(MAX(Q72:U72)=0,L72,INDEX(L72:P72,MATCH(MAX(Q72:U72),Q72:U72,0))))</f>
        <v>vilvah shampoo and hair serum kit</v>
      </c>
      <c r="W72" s="24" t="n">
        <f aca="false">IFERROR(INDEX('Semrush Data'!$A$1:$Z$20000,MATCH(V72,'Semrush Data'!$A$1:$A$20000,0),MATCH("Volume",'Semrush Data'!$A$1:$Z$1,0)),"")</f>
        <v>0</v>
      </c>
      <c r="X72" s="24" t="n">
        <f aca="false">IFERROR(INDEX('Semrush Data'!$A$1:$Z$20000,MATCH(V72,'Semrush Data'!$A$1:$A$20000,0),MATCH("Keyword Difficulty*",'Semrush Data'!$A$1:$Z$1,0)),"")</f>
        <v>15</v>
      </c>
      <c r="Y72" s="26" t="n">
        <f aca="false">IFERROR(INDEX('Semrush Data'!$A$1:$Z$20000,MATCH(V72,'Semrush Data'!$A$1:$A$20000,0),MATCH("CPC*",'Semrush Data'!$A$1:$Z$1,0)),"")</f>
        <v>0</v>
      </c>
      <c r="Z72" s="23" t="s">
        <v>1740</v>
      </c>
      <c r="AA72" s="23"/>
      <c r="AB72" s="23" t="s">
        <v>852</v>
      </c>
      <c r="AC72" s="23" t="s">
        <v>1885</v>
      </c>
      <c r="AD72" s="27" t="n">
        <f aca="false">LEN(AC72)</f>
        <v>60</v>
      </c>
      <c r="AE72" s="23" t="s">
        <v>1886</v>
      </c>
      <c r="AF72" s="27" t="n">
        <f aca="false">LEN(AE72)</f>
        <v>159</v>
      </c>
    </row>
    <row r="73" customFormat="false" ht="15" hidden="false" customHeight="true" outlineLevel="0" collapsed="false">
      <c r="A73" s="23" t="s">
        <v>856</v>
      </c>
      <c r="B73" s="23" t="s">
        <v>1432</v>
      </c>
      <c r="C73" s="23" t="n">
        <v>72</v>
      </c>
      <c r="D73" s="23" t="s">
        <v>373</v>
      </c>
      <c r="E73" s="23"/>
      <c r="F73" s="23" t="s">
        <v>1735</v>
      </c>
      <c r="G73" s="23" t="s">
        <v>719</v>
      </c>
      <c r="H73" s="23" t="s">
        <v>858</v>
      </c>
      <c r="I73" s="23" t="s">
        <v>857</v>
      </c>
      <c r="J73" s="23"/>
      <c r="K73" s="23" t="n">
        <v>34.99</v>
      </c>
      <c r="L73" s="23" t="s">
        <v>1887</v>
      </c>
      <c r="M73" s="23" t="s">
        <v>1888</v>
      </c>
      <c r="N73" s="23" t="s">
        <v>1889</v>
      </c>
      <c r="O73" s="23" t="s">
        <v>1890</v>
      </c>
      <c r="P73" s="23"/>
      <c r="Q73" s="24" t="n">
        <f aca="false">IF(L73="","",IFERROR(INDEX('Semrush Data'!$A$1:$Z$20000,MATCH(L73,'Semrush Data'!$A$1:$A$20000,0),MATCH("Volume",'Semrush Data'!$A$1:$Z$1,0)),""))</f>
        <v>0</v>
      </c>
      <c r="R73" s="24" t="str">
        <f aca="false">IF(M73="","",IFERROR(INDEX('Semrush Data'!$A$1:$Z$20000,MATCH(M73,'Semrush Data'!$A$1:$A$20000,0),MATCH("Volume",'Semrush Data'!$A$1:$Z$1,0)),""))</f>
        <v/>
      </c>
      <c r="S73" s="24" t="str">
        <f aca="false">IF(N73="","",IFERROR(INDEX('Semrush Data'!$A$1:$Z$20000,MATCH(N73,'Semrush Data'!$A$1:$A$20000,0),MATCH("Volume",'Semrush Data'!$A$1:$Z$1,0)),""))</f>
        <v/>
      </c>
      <c r="T73" s="24" t="str">
        <f aca="false">IF(O73="","",IFERROR(INDEX('Semrush Data'!$A$1:$Z$20000,MATCH(O73,'Semrush Data'!$A$1:$A$20000,0),MATCH("Volume",'Semrush Data'!$A$1:$Z$1,0)),""))</f>
        <v/>
      </c>
      <c r="U73" s="24" t="str">
        <f aca="false">IF(P73="","",IFERROR(INDEX('Semrush Data'!$A$1:$Z$20000,MATCH(P73,'Semrush Data'!$A$1:$A$20000,0),MATCH("Volume",'Semrush Data'!$A$1:$Z$1,0)),""))</f>
        <v/>
      </c>
      <c r="V73" s="25" t="str">
        <f aca="false">IF(COUNT(Q73:U73)=0,L73,IF(MAX(Q73:U73)=0,L73,INDEX(L73:P73,MATCH(MAX(Q73:U73),Q73:U73,0))))</f>
        <v>vilvah hair strengthening kit</v>
      </c>
      <c r="W73" s="24" t="n">
        <f aca="false">IFERROR(INDEX('Semrush Data'!$A$1:$Z$20000,MATCH(V73,'Semrush Data'!$A$1:$A$20000,0),MATCH("Volume",'Semrush Data'!$A$1:$Z$1,0)),"")</f>
        <v>0</v>
      </c>
      <c r="X73" s="24" t="n">
        <f aca="false">IFERROR(INDEX('Semrush Data'!$A$1:$Z$20000,MATCH(V73,'Semrush Data'!$A$1:$A$20000,0),MATCH("Keyword Difficulty*",'Semrush Data'!$A$1:$Z$1,0)),"")</f>
        <v>20</v>
      </c>
      <c r="Y73" s="26" t="n">
        <f aca="false">IFERROR(INDEX('Semrush Data'!$A$1:$Z$20000,MATCH(V73,'Semrush Data'!$A$1:$A$20000,0),MATCH("CPC*",'Semrush Data'!$A$1:$Z$1,0)),"")</f>
        <v>0</v>
      </c>
      <c r="Z73" s="23" t="s">
        <v>1740</v>
      </c>
      <c r="AA73" s="23"/>
      <c r="AB73" s="23" t="s">
        <v>857</v>
      </c>
      <c r="AC73" s="23" t="s">
        <v>1891</v>
      </c>
      <c r="AD73" s="27" t="n">
        <f aca="false">LEN(AC73)</f>
        <v>56</v>
      </c>
      <c r="AE73" s="23" t="s">
        <v>1892</v>
      </c>
      <c r="AF73" s="27" t="n">
        <f aca="false">LEN(AE73)</f>
        <v>155</v>
      </c>
    </row>
    <row r="74" customFormat="false" ht="15" hidden="false" customHeight="true" outlineLevel="0" collapsed="false">
      <c r="A74" s="23" t="s">
        <v>862</v>
      </c>
      <c r="B74" s="23" t="s">
        <v>1432</v>
      </c>
      <c r="C74" s="23" t="n">
        <v>73</v>
      </c>
      <c r="D74" s="23" t="s">
        <v>373</v>
      </c>
      <c r="E74" s="23"/>
      <c r="F74" s="23" t="s">
        <v>1735</v>
      </c>
      <c r="G74" s="23" t="s">
        <v>719</v>
      </c>
      <c r="H74" s="23" t="s">
        <v>864</v>
      </c>
      <c r="I74" s="23" t="s">
        <v>863</v>
      </c>
      <c r="J74" s="23"/>
      <c r="K74" s="23" t="n">
        <v>12.99</v>
      </c>
      <c r="L74" s="23" t="s">
        <v>1893</v>
      </c>
      <c r="M74" s="23" t="s">
        <v>1894</v>
      </c>
      <c r="N74" s="23" t="s">
        <v>1895</v>
      </c>
      <c r="O74" s="23" t="s">
        <v>1896</v>
      </c>
      <c r="P74" s="23"/>
      <c r="Q74" s="24" t="n">
        <f aca="false">IF(L74="","",IFERROR(INDEX('Semrush Data'!$A$1:$Z$20000,MATCH(L74,'Semrush Data'!$A$1:$A$20000,0),MATCH("Volume",'Semrush Data'!$A$1:$Z$1,0)),""))</f>
        <v>0</v>
      </c>
      <c r="R74" s="24" t="str">
        <f aca="false">IF(M74="","",IFERROR(INDEX('Semrush Data'!$A$1:$Z$20000,MATCH(M74,'Semrush Data'!$A$1:$A$20000,0),MATCH("Volume",'Semrush Data'!$A$1:$Z$1,0)),""))</f>
        <v/>
      </c>
      <c r="S74" s="24" t="str">
        <f aca="false">IF(N74="","",IFERROR(INDEX('Semrush Data'!$A$1:$Z$20000,MATCH(N74,'Semrush Data'!$A$1:$A$20000,0),MATCH("Volume",'Semrush Data'!$A$1:$Z$1,0)),""))</f>
        <v/>
      </c>
      <c r="T74" s="24" t="str">
        <f aca="false">IF(O74="","",IFERROR(INDEX('Semrush Data'!$A$1:$Z$20000,MATCH(O74,'Semrush Data'!$A$1:$A$20000,0),MATCH("Volume",'Semrush Data'!$A$1:$Z$1,0)),""))</f>
        <v/>
      </c>
      <c r="U74" s="24" t="str">
        <f aca="false">IF(P74="","",IFERROR(INDEX('Semrush Data'!$A$1:$Z$20000,MATCH(P74,'Semrush Data'!$A$1:$A$20000,0),MATCH("Volume",'Semrush Data'!$A$1:$Z$1,0)),""))</f>
        <v/>
      </c>
      <c r="V74" s="25" t="str">
        <f aca="false">IF(COUNT(Q74:U74)=0,L74,IF(MAX(Q74:U74)=0,L74,INDEX(L74:P74,MATCH(MAX(Q74:U74),Q74:U74,0))))</f>
        <v>vilvah lip lightening kit</v>
      </c>
      <c r="W74" s="24" t="n">
        <f aca="false">IFERROR(INDEX('Semrush Data'!$A$1:$Z$20000,MATCH(V74,'Semrush Data'!$A$1:$A$20000,0),MATCH("Volume",'Semrush Data'!$A$1:$Z$1,0)),"")</f>
        <v>0</v>
      </c>
      <c r="X74" s="24" t="n">
        <f aca="false">IFERROR(INDEX('Semrush Data'!$A$1:$Z$20000,MATCH(V74,'Semrush Data'!$A$1:$A$20000,0),MATCH("Keyword Difficulty*",'Semrush Data'!$A$1:$Z$1,0)),"")</f>
        <v>14</v>
      </c>
      <c r="Y74" s="26" t="n">
        <f aca="false">IFERROR(INDEX('Semrush Data'!$A$1:$Z$20000,MATCH(V74,'Semrush Data'!$A$1:$A$20000,0),MATCH("CPC*",'Semrush Data'!$A$1:$Z$1,0)),"")</f>
        <v>0</v>
      </c>
      <c r="Z74" s="23" t="s">
        <v>1740</v>
      </c>
      <c r="AA74" s="23"/>
      <c r="AB74" s="23" t="s">
        <v>863</v>
      </c>
      <c r="AC74" s="23" t="s">
        <v>1897</v>
      </c>
      <c r="AD74" s="27" t="n">
        <f aca="false">LEN(AC74)</f>
        <v>52</v>
      </c>
      <c r="AE74" s="23" t="s">
        <v>1898</v>
      </c>
      <c r="AF74" s="27" t="n">
        <f aca="false">LEN(AE74)</f>
        <v>159</v>
      </c>
    </row>
    <row r="75" customFormat="false" ht="15" hidden="false" customHeight="true" outlineLevel="0" collapsed="false">
      <c r="A75" s="23" t="s">
        <v>868</v>
      </c>
      <c r="B75" s="23" t="s">
        <v>1432</v>
      </c>
      <c r="C75" s="23" t="n">
        <v>74</v>
      </c>
      <c r="D75" s="23" t="s">
        <v>373</v>
      </c>
      <c r="E75" s="23"/>
      <c r="F75" s="23" t="s">
        <v>1735</v>
      </c>
      <c r="G75" s="23" t="s">
        <v>719</v>
      </c>
      <c r="H75" s="23" t="s">
        <v>435</v>
      </c>
      <c r="I75" s="23" t="s">
        <v>869</v>
      </c>
      <c r="J75" s="23"/>
      <c r="K75" s="23" t="n">
        <v>45.99</v>
      </c>
      <c r="L75" s="23" t="s">
        <v>1899</v>
      </c>
      <c r="M75" s="23" t="s">
        <v>1900</v>
      </c>
      <c r="N75" s="23" t="s">
        <v>1901</v>
      </c>
      <c r="O75" s="23" t="s">
        <v>1902</v>
      </c>
      <c r="P75" s="23"/>
      <c r="Q75" s="24" t="n">
        <f aca="false">IF(L75="","",IFERROR(INDEX('Semrush Data'!$A$1:$Z$20000,MATCH(L75,'Semrush Data'!$A$1:$A$20000,0),MATCH("Volume",'Semrush Data'!$A$1:$Z$1,0)),""))</f>
        <v>0</v>
      </c>
      <c r="R75" s="24" t="str">
        <f aca="false">IF(M75="","",IFERROR(INDEX('Semrush Data'!$A$1:$Z$20000,MATCH(M75,'Semrush Data'!$A$1:$A$20000,0),MATCH("Volume",'Semrush Data'!$A$1:$Z$1,0)),""))</f>
        <v/>
      </c>
      <c r="S75" s="24" t="str">
        <f aca="false">IF(N75="","",IFERROR(INDEX('Semrush Data'!$A$1:$Z$20000,MATCH(N75,'Semrush Data'!$A$1:$A$20000,0),MATCH("Volume",'Semrush Data'!$A$1:$Z$1,0)),""))</f>
        <v/>
      </c>
      <c r="T75" s="24" t="str">
        <f aca="false">IF(O75="","",IFERROR(INDEX('Semrush Data'!$A$1:$Z$20000,MATCH(O75,'Semrush Data'!$A$1:$A$20000,0),MATCH("Volume",'Semrush Data'!$A$1:$Z$1,0)),""))</f>
        <v/>
      </c>
      <c r="U75" s="24" t="str">
        <f aca="false">IF(P75="","",IFERROR(INDEX('Semrush Data'!$A$1:$Z$20000,MATCH(P75,'Semrush Data'!$A$1:$A$20000,0),MATCH("Volume",'Semrush Data'!$A$1:$Z$1,0)),""))</f>
        <v/>
      </c>
      <c r="V75" s="25" t="str">
        <f aca="false">IF(COUNT(Q75:U75)=0,L75,IF(MAX(Q75:U75)=0,L75,INDEX(L75:P75,MATCH(MAX(Q75:U75),Q75:U75,0))))</f>
        <v>vilvah skin hydration kit</v>
      </c>
      <c r="W75" s="24" t="n">
        <f aca="false">IFERROR(INDEX('Semrush Data'!$A$1:$Z$20000,MATCH(V75,'Semrush Data'!$A$1:$A$20000,0),MATCH("Volume",'Semrush Data'!$A$1:$Z$1,0)),"")</f>
        <v>0</v>
      </c>
      <c r="X75" s="24" t="n">
        <f aca="false">IFERROR(INDEX('Semrush Data'!$A$1:$Z$20000,MATCH(V75,'Semrush Data'!$A$1:$A$20000,0),MATCH("Keyword Difficulty*",'Semrush Data'!$A$1:$Z$1,0)),"")</f>
        <v>12</v>
      </c>
      <c r="Y75" s="26" t="n">
        <f aca="false">IFERROR(INDEX('Semrush Data'!$A$1:$Z$20000,MATCH(V75,'Semrush Data'!$A$1:$A$20000,0),MATCH("CPC*",'Semrush Data'!$A$1:$Z$1,0)),"")</f>
        <v>0</v>
      </c>
      <c r="Z75" s="23" t="s">
        <v>1740</v>
      </c>
      <c r="AA75" s="23"/>
      <c r="AB75" s="23" t="s">
        <v>869</v>
      </c>
      <c r="AC75" s="23" t="s">
        <v>1903</v>
      </c>
      <c r="AD75" s="27" t="n">
        <f aca="false">LEN(AC75)</f>
        <v>52</v>
      </c>
      <c r="AE75" s="23" t="s">
        <v>1904</v>
      </c>
      <c r="AF75" s="27" t="n">
        <f aca="false">LEN(AE75)</f>
        <v>159</v>
      </c>
    </row>
    <row r="76" customFormat="false" ht="15" hidden="false" customHeight="true" outlineLevel="0" collapsed="false">
      <c r="A76" s="23" t="s">
        <v>873</v>
      </c>
      <c r="B76" s="23" t="s">
        <v>1432</v>
      </c>
      <c r="C76" s="23" t="n">
        <v>75</v>
      </c>
      <c r="D76" s="23" t="s">
        <v>373</v>
      </c>
      <c r="E76" s="23"/>
      <c r="F76" s="23" t="s">
        <v>1735</v>
      </c>
      <c r="G76" s="23" t="s">
        <v>719</v>
      </c>
      <c r="H76" s="23" t="s">
        <v>552</v>
      </c>
      <c r="I76" s="23" t="s">
        <v>874</v>
      </c>
      <c r="J76" s="23"/>
      <c r="K76" s="23" t="n">
        <v>35.99</v>
      </c>
      <c r="L76" s="23" t="s">
        <v>1905</v>
      </c>
      <c r="M76" s="23" t="s">
        <v>1906</v>
      </c>
      <c r="N76" s="23" t="s">
        <v>1907</v>
      </c>
      <c r="O76" s="23" t="s">
        <v>1908</v>
      </c>
      <c r="P76" s="23"/>
      <c r="Q76" s="24" t="n">
        <f aca="false">IF(L76="","",IFERROR(INDEX('Semrush Data'!$A$1:$Z$20000,MATCH(L76,'Semrush Data'!$A$1:$A$20000,0),MATCH("Volume",'Semrush Data'!$A$1:$Z$1,0)),""))</f>
        <v>0</v>
      </c>
      <c r="R76" s="24" t="str">
        <f aca="false">IF(M76="","",IFERROR(INDEX('Semrush Data'!$A$1:$Z$20000,MATCH(M76,'Semrush Data'!$A$1:$A$20000,0),MATCH("Volume",'Semrush Data'!$A$1:$Z$1,0)),""))</f>
        <v/>
      </c>
      <c r="S76" s="24" t="str">
        <f aca="false">IF(N76="","",IFERROR(INDEX('Semrush Data'!$A$1:$Z$20000,MATCH(N76,'Semrush Data'!$A$1:$A$20000,0),MATCH("Volume",'Semrush Data'!$A$1:$Z$1,0)),""))</f>
        <v/>
      </c>
      <c r="T76" s="24" t="str">
        <f aca="false">IF(O76="","",IFERROR(INDEX('Semrush Data'!$A$1:$Z$20000,MATCH(O76,'Semrush Data'!$A$1:$A$20000,0),MATCH("Volume",'Semrush Data'!$A$1:$Z$1,0)),""))</f>
        <v/>
      </c>
      <c r="U76" s="24" t="str">
        <f aca="false">IF(P76="","",IFERROR(INDEX('Semrush Data'!$A$1:$Z$20000,MATCH(P76,'Semrush Data'!$A$1:$A$20000,0),MATCH("Volume",'Semrush Data'!$A$1:$Z$1,0)),""))</f>
        <v/>
      </c>
      <c r="V76" s="25" t="str">
        <f aca="false">IF(COUNT(Q76:U76)=0,L76,IF(MAX(Q76:U76)=0,L76,INDEX(L76:P76,MATCH(MAX(Q76:U76),Q76:U76,0))))</f>
        <v>vilvah anti frizz hair kit</v>
      </c>
      <c r="W76" s="24" t="n">
        <f aca="false">IFERROR(INDEX('Semrush Data'!$A$1:$Z$20000,MATCH(V76,'Semrush Data'!$A$1:$A$20000,0),MATCH("Volume",'Semrush Data'!$A$1:$Z$1,0)),"")</f>
        <v>0</v>
      </c>
      <c r="X76" s="24" t="n">
        <f aca="false">IFERROR(INDEX('Semrush Data'!$A$1:$Z$20000,MATCH(V76,'Semrush Data'!$A$1:$A$20000,0),MATCH("Keyword Difficulty*",'Semrush Data'!$A$1:$Z$1,0)),"")</f>
        <v>16</v>
      </c>
      <c r="Y76" s="26" t="n">
        <f aca="false">IFERROR(INDEX('Semrush Data'!$A$1:$Z$20000,MATCH(V76,'Semrush Data'!$A$1:$A$20000,0),MATCH("CPC*",'Semrush Data'!$A$1:$Z$1,0)),"")</f>
        <v>0</v>
      </c>
      <c r="Z76" s="23" t="s">
        <v>1740</v>
      </c>
      <c r="AA76" s="23"/>
      <c r="AB76" s="23" t="s">
        <v>874</v>
      </c>
      <c r="AC76" s="23" t="s">
        <v>1909</v>
      </c>
      <c r="AD76" s="27" t="n">
        <f aca="false">LEN(AC76)</f>
        <v>53</v>
      </c>
      <c r="AE76" s="23" t="s">
        <v>1910</v>
      </c>
      <c r="AF76" s="27" t="n">
        <f aca="false">LEN(AE76)</f>
        <v>160</v>
      </c>
    </row>
    <row r="77" customFormat="false" ht="15" hidden="false" customHeight="true" outlineLevel="0" collapsed="false">
      <c r="A77" s="23" t="s">
        <v>878</v>
      </c>
      <c r="B77" s="23" t="s">
        <v>1432</v>
      </c>
      <c r="C77" s="23" t="n">
        <v>76</v>
      </c>
      <c r="D77" s="23" t="s">
        <v>373</v>
      </c>
      <c r="E77" s="23"/>
      <c r="F77" s="23" t="s">
        <v>1735</v>
      </c>
      <c r="G77" s="23" t="s">
        <v>719</v>
      </c>
      <c r="H77" s="23" t="s">
        <v>586</v>
      </c>
      <c r="I77" s="23" t="s">
        <v>879</v>
      </c>
      <c r="J77" s="23"/>
      <c r="K77" s="23" t="n">
        <v>48.99</v>
      </c>
      <c r="L77" s="23" t="s">
        <v>1911</v>
      </c>
      <c r="M77" s="23" t="s">
        <v>1912</v>
      </c>
      <c r="N77" s="23" t="s">
        <v>1913</v>
      </c>
      <c r="O77" s="23" t="s">
        <v>1914</v>
      </c>
      <c r="P77" s="23"/>
      <c r="Q77" s="24" t="n">
        <f aca="false">IF(L77="","",IFERROR(INDEX('Semrush Data'!$A$1:$Z$20000,MATCH(L77,'Semrush Data'!$A$1:$A$20000,0),MATCH("Volume",'Semrush Data'!$A$1:$Z$1,0)),""))</f>
        <v>0</v>
      </c>
      <c r="R77" s="24" t="str">
        <f aca="false">IF(M77="","",IFERROR(INDEX('Semrush Data'!$A$1:$Z$20000,MATCH(M77,'Semrush Data'!$A$1:$A$20000,0),MATCH("Volume",'Semrush Data'!$A$1:$Z$1,0)),""))</f>
        <v/>
      </c>
      <c r="S77" s="24" t="str">
        <f aca="false">IF(N77="","",IFERROR(INDEX('Semrush Data'!$A$1:$Z$20000,MATCH(N77,'Semrush Data'!$A$1:$A$20000,0),MATCH("Volume",'Semrush Data'!$A$1:$Z$1,0)),""))</f>
        <v/>
      </c>
      <c r="T77" s="24" t="str">
        <f aca="false">IF(O77="","",IFERROR(INDEX('Semrush Data'!$A$1:$Z$20000,MATCH(O77,'Semrush Data'!$A$1:$A$20000,0),MATCH("Volume",'Semrush Data'!$A$1:$Z$1,0)),""))</f>
        <v/>
      </c>
      <c r="U77" s="24" t="str">
        <f aca="false">IF(P77="","",IFERROR(INDEX('Semrush Data'!$A$1:$Z$20000,MATCH(P77,'Semrush Data'!$A$1:$A$20000,0),MATCH("Volume",'Semrush Data'!$A$1:$Z$1,0)),""))</f>
        <v/>
      </c>
      <c r="V77" s="25" t="str">
        <f aca="false">IF(COUNT(Q77:U77)=0,L77,IF(MAX(Q77:U77)=0,L77,INDEX(L77:P77,MATCH(MAX(Q77:U77),Q77:U77,0))))</f>
        <v>vilvah body polishing kit</v>
      </c>
      <c r="W77" s="24" t="n">
        <f aca="false">IFERROR(INDEX('Semrush Data'!$A$1:$Z$20000,MATCH(V77,'Semrush Data'!$A$1:$A$20000,0),MATCH("Volume",'Semrush Data'!$A$1:$Z$1,0)),"")</f>
        <v>0</v>
      </c>
      <c r="X77" s="24" t="n">
        <f aca="false">IFERROR(INDEX('Semrush Data'!$A$1:$Z$20000,MATCH(V77,'Semrush Data'!$A$1:$A$20000,0),MATCH("Keyword Difficulty*",'Semrush Data'!$A$1:$Z$1,0)),"")</f>
        <v>22</v>
      </c>
      <c r="Y77" s="26" t="n">
        <f aca="false">IFERROR(INDEX('Semrush Data'!$A$1:$Z$20000,MATCH(V77,'Semrush Data'!$A$1:$A$20000,0),MATCH("CPC*",'Semrush Data'!$A$1:$Z$1,0)),"")</f>
        <v>0</v>
      </c>
      <c r="Z77" s="23" t="s">
        <v>1740</v>
      </c>
      <c r="AA77" s="23"/>
      <c r="AB77" s="23" t="s">
        <v>879</v>
      </c>
      <c r="AC77" s="23" t="s">
        <v>1915</v>
      </c>
      <c r="AD77" s="27" t="n">
        <f aca="false">LEN(AC77)</f>
        <v>52</v>
      </c>
      <c r="AE77" s="23" t="s">
        <v>1916</v>
      </c>
      <c r="AF77" s="27" t="n">
        <f aca="false">LEN(AE77)</f>
        <v>159</v>
      </c>
    </row>
    <row r="78" customFormat="false" ht="15" hidden="false" customHeight="true" outlineLevel="0" collapsed="false">
      <c r="A78" s="23" t="s">
        <v>883</v>
      </c>
      <c r="B78" s="23" t="s">
        <v>1432</v>
      </c>
      <c r="C78" s="23" t="n">
        <v>77</v>
      </c>
      <c r="D78" s="23" t="s">
        <v>373</v>
      </c>
      <c r="E78" s="23"/>
      <c r="F78" s="23" t="s">
        <v>1735</v>
      </c>
      <c r="G78" s="23" t="s">
        <v>719</v>
      </c>
      <c r="H78" s="23" t="s">
        <v>386</v>
      </c>
      <c r="I78" s="23" t="s">
        <v>884</v>
      </c>
      <c r="J78" s="23"/>
      <c r="K78" s="23" t="n">
        <v>34.99</v>
      </c>
      <c r="L78" s="23" t="s">
        <v>1917</v>
      </c>
      <c r="M78" s="23" t="s">
        <v>1918</v>
      </c>
      <c r="N78" s="23" t="s">
        <v>1919</v>
      </c>
      <c r="O78" s="23" t="s">
        <v>1920</v>
      </c>
      <c r="P78" s="23"/>
      <c r="Q78" s="24" t="n">
        <f aca="false">IF(L78="","",IFERROR(INDEX('Semrush Data'!$A$1:$Z$20000,MATCH(L78,'Semrush Data'!$A$1:$A$20000,0),MATCH("Volume",'Semrush Data'!$A$1:$Z$1,0)),""))</f>
        <v>0</v>
      </c>
      <c r="R78" s="24" t="str">
        <f aca="false">IF(M78="","",IFERROR(INDEX('Semrush Data'!$A$1:$Z$20000,MATCH(M78,'Semrush Data'!$A$1:$A$20000,0),MATCH("Volume",'Semrush Data'!$A$1:$Z$1,0)),""))</f>
        <v/>
      </c>
      <c r="S78" s="24" t="str">
        <f aca="false">IF(N78="","",IFERROR(INDEX('Semrush Data'!$A$1:$Z$20000,MATCH(N78,'Semrush Data'!$A$1:$A$20000,0),MATCH("Volume",'Semrush Data'!$A$1:$Z$1,0)),""))</f>
        <v/>
      </c>
      <c r="T78" s="24" t="str">
        <f aca="false">IF(O78="","",IFERROR(INDEX('Semrush Data'!$A$1:$Z$20000,MATCH(O78,'Semrush Data'!$A$1:$A$20000,0),MATCH("Volume",'Semrush Data'!$A$1:$Z$1,0)),""))</f>
        <v/>
      </c>
      <c r="U78" s="24" t="str">
        <f aca="false">IF(P78="","",IFERROR(INDEX('Semrush Data'!$A$1:$Z$20000,MATCH(P78,'Semrush Data'!$A$1:$A$20000,0),MATCH("Volume",'Semrush Data'!$A$1:$Z$1,0)),""))</f>
        <v/>
      </c>
      <c r="V78" s="25" t="str">
        <f aca="false">IF(COUNT(Q78:U78)=0,L78,IF(MAX(Q78:U78)=0,L78,INDEX(L78:P78,MATCH(MAX(Q78:U78),Q78:U78,0))))</f>
        <v>vilvah hairfall control kit</v>
      </c>
      <c r="W78" s="24" t="n">
        <f aca="false">IFERROR(INDEX('Semrush Data'!$A$1:$Z$20000,MATCH(V78,'Semrush Data'!$A$1:$A$20000,0),MATCH("Volume",'Semrush Data'!$A$1:$Z$1,0)),"")</f>
        <v>0</v>
      </c>
      <c r="X78" s="24" t="n">
        <f aca="false">IFERROR(INDEX('Semrush Data'!$A$1:$Z$20000,MATCH(V78,'Semrush Data'!$A$1:$A$20000,0),MATCH("Keyword Difficulty*",'Semrush Data'!$A$1:$Z$1,0)),"")</f>
        <v>14</v>
      </c>
      <c r="Y78" s="26" t="n">
        <f aca="false">IFERROR(INDEX('Semrush Data'!$A$1:$Z$20000,MATCH(V78,'Semrush Data'!$A$1:$A$20000,0),MATCH("CPC*",'Semrush Data'!$A$1:$Z$1,0)),"")</f>
        <v>0</v>
      </c>
      <c r="Z78" s="23" t="s">
        <v>1740</v>
      </c>
      <c r="AA78" s="23"/>
      <c r="AB78" s="23" t="s">
        <v>884</v>
      </c>
      <c r="AC78" s="23" t="s">
        <v>1921</v>
      </c>
      <c r="AD78" s="27" t="n">
        <f aca="false">LEN(AC78)</f>
        <v>54</v>
      </c>
      <c r="AE78" s="23" t="s">
        <v>1922</v>
      </c>
      <c r="AF78" s="27" t="n">
        <f aca="false">LEN(AE78)</f>
        <v>157</v>
      </c>
    </row>
    <row r="79" customFormat="false" ht="15" hidden="false" customHeight="true" outlineLevel="0" collapsed="false">
      <c r="A79" s="23" t="s">
        <v>889</v>
      </c>
      <c r="B79" s="23" t="s">
        <v>1432</v>
      </c>
      <c r="C79" s="23" t="n">
        <v>78</v>
      </c>
      <c r="D79" s="23" t="s">
        <v>373</v>
      </c>
      <c r="E79" s="23"/>
      <c r="F79" s="23" t="s">
        <v>1735</v>
      </c>
      <c r="G79" s="23" t="s">
        <v>719</v>
      </c>
      <c r="H79" s="23" t="s">
        <v>543</v>
      </c>
      <c r="I79" s="23" t="s">
        <v>754</v>
      </c>
      <c r="J79" s="23"/>
      <c r="K79" s="23" t="n">
        <v>27.99</v>
      </c>
      <c r="L79" s="23" t="s">
        <v>1773</v>
      </c>
      <c r="M79" s="23" t="s">
        <v>1774</v>
      </c>
      <c r="N79" s="23" t="s">
        <v>1775</v>
      </c>
      <c r="O79" s="23" t="s">
        <v>1776</v>
      </c>
      <c r="P79" s="23"/>
      <c r="Q79" s="24" t="n">
        <f aca="false">IF(L79="","",IFERROR(INDEX('Semrush Data'!$A$1:$Z$20000,MATCH(L79,'Semrush Data'!$A$1:$A$20000,0),MATCH("Volume",'Semrush Data'!$A$1:$Z$1,0)),""))</f>
        <v>0</v>
      </c>
      <c r="R79" s="24" t="str">
        <f aca="false">IF(M79="","",IFERROR(INDEX('Semrush Data'!$A$1:$Z$20000,MATCH(M79,'Semrush Data'!$A$1:$A$20000,0),MATCH("Volume",'Semrush Data'!$A$1:$Z$1,0)),""))</f>
        <v/>
      </c>
      <c r="S79" s="24" t="str">
        <f aca="false">IF(N79="","",IFERROR(INDEX('Semrush Data'!$A$1:$Z$20000,MATCH(N79,'Semrush Data'!$A$1:$A$20000,0),MATCH("Volume",'Semrush Data'!$A$1:$Z$1,0)),""))</f>
        <v/>
      </c>
      <c r="T79" s="24" t="str">
        <f aca="false">IF(O79="","",IFERROR(INDEX('Semrush Data'!$A$1:$Z$20000,MATCH(O79,'Semrush Data'!$A$1:$A$20000,0),MATCH("Volume",'Semrush Data'!$A$1:$Z$1,0)),""))</f>
        <v/>
      </c>
      <c r="U79" s="24" t="str">
        <f aca="false">IF(P79="","",IFERROR(INDEX('Semrush Data'!$A$1:$Z$20000,MATCH(P79,'Semrush Data'!$A$1:$A$20000,0),MATCH("Volume",'Semrush Data'!$A$1:$Z$1,0)),""))</f>
        <v/>
      </c>
      <c r="V79" s="25" t="str">
        <f aca="false">IF(COUNT(Q79:U79)=0,L79,IF(MAX(Q79:U79)=0,L79,INDEX(L79:P79,MATCH(MAX(Q79:U79),Q79:U79,0))))</f>
        <v>vilvah anti‑dandruff haircare kit</v>
      </c>
      <c r="W79" s="24" t="n">
        <f aca="false">IFERROR(INDEX('Semrush Data'!$A$1:$Z$20000,MATCH(V79,'Semrush Data'!$A$1:$A$20000,0),MATCH("Volume",'Semrush Data'!$A$1:$Z$1,0)),"")</f>
        <v>0</v>
      </c>
      <c r="X79" s="24" t="n">
        <f aca="false">IFERROR(INDEX('Semrush Data'!$A$1:$Z$20000,MATCH(V79,'Semrush Data'!$A$1:$A$20000,0),MATCH("Keyword Difficulty*",'Semrush Data'!$A$1:$Z$1,0)),"")</f>
        <v>12</v>
      </c>
      <c r="Y79" s="26" t="n">
        <f aca="false">IFERROR(INDEX('Semrush Data'!$A$1:$Z$20000,MATCH(V79,'Semrush Data'!$A$1:$A$20000,0),MATCH("CPC*",'Semrush Data'!$A$1:$Z$1,0)),"")</f>
        <v>0</v>
      </c>
      <c r="Z79" s="23" t="s">
        <v>1740</v>
      </c>
      <c r="AA79" s="23"/>
      <c r="AB79" s="23" t="s">
        <v>754</v>
      </c>
      <c r="AC79" s="23" t="s">
        <v>1777</v>
      </c>
      <c r="AD79" s="27" t="n">
        <f aca="false">LEN(AC79)</f>
        <v>60</v>
      </c>
      <c r="AE79" s="23" t="s">
        <v>1778</v>
      </c>
      <c r="AF79" s="27" t="n">
        <f aca="false">LEN(AE79)</f>
        <v>159</v>
      </c>
    </row>
    <row r="80" customFormat="false" ht="15" hidden="false" customHeight="true" outlineLevel="0" collapsed="false">
      <c r="A80" s="23" t="s">
        <v>890</v>
      </c>
      <c r="B80" s="23" t="s">
        <v>1432</v>
      </c>
      <c r="C80" s="23" t="n">
        <v>79</v>
      </c>
      <c r="D80" s="23" t="s">
        <v>373</v>
      </c>
      <c r="E80" s="23"/>
      <c r="F80" s="23" t="s">
        <v>1735</v>
      </c>
      <c r="G80" s="23" t="s">
        <v>719</v>
      </c>
      <c r="H80" s="23" t="s">
        <v>621</v>
      </c>
      <c r="I80" s="23" t="s">
        <v>891</v>
      </c>
      <c r="J80" s="23"/>
      <c r="K80" s="23" t="n">
        <v>34.99</v>
      </c>
      <c r="L80" s="23" t="s">
        <v>1923</v>
      </c>
      <c r="M80" s="23" t="s">
        <v>1924</v>
      </c>
      <c r="N80" s="23" t="s">
        <v>1925</v>
      </c>
      <c r="O80" s="23" t="s">
        <v>1926</v>
      </c>
      <c r="P80" s="23"/>
      <c r="Q80" s="24" t="n">
        <f aca="false">IF(L80="","",IFERROR(INDEX('Semrush Data'!$A$1:$Z$20000,MATCH(L80,'Semrush Data'!$A$1:$A$20000,0),MATCH("Volume",'Semrush Data'!$A$1:$Z$1,0)),""))</f>
        <v>0</v>
      </c>
      <c r="R80" s="24" t="str">
        <f aca="false">IF(M80="","",IFERROR(INDEX('Semrush Data'!$A$1:$Z$20000,MATCH(M80,'Semrush Data'!$A$1:$A$20000,0),MATCH("Volume",'Semrush Data'!$A$1:$Z$1,0)),""))</f>
        <v/>
      </c>
      <c r="S80" s="24" t="str">
        <f aca="false">IF(N80="","",IFERROR(INDEX('Semrush Data'!$A$1:$Z$20000,MATCH(N80,'Semrush Data'!$A$1:$A$20000,0),MATCH("Volume",'Semrush Data'!$A$1:$Z$1,0)),""))</f>
        <v/>
      </c>
      <c r="T80" s="24" t="str">
        <f aca="false">IF(O80="","",IFERROR(INDEX('Semrush Data'!$A$1:$Z$20000,MATCH(O80,'Semrush Data'!$A$1:$A$20000,0),MATCH("Volume",'Semrush Data'!$A$1:$Z$1,0)),""))</f>
        <v/>
      </c>
      <c r="U80" s="24" t="str">
        <f aca="false">IF(P80="","",IFERROR(INDEX('Semrush Data'!$A$1:$Z$20000,MATCH(P80,'Semrush Data'!$A$1:$A$20000,0),MATCH("Volume",'Semrush Data'!$A$1:$Z$1,0)),""))</f>
        <v/>
      </c>
      <c r="V80" s="25" t="str">
        <f aca="false">IF(COUNT(Q80:U80)=0,L80,IF(MAX(Q80:U80)=0,L80,INDEX(L80:P80,MATCH(MAX(Q80:U80),Q80:U80,0))))</f>
        <v>vilvah goat milk hair kit</v>
      </c>
      <c r="W80" s="24" t="n">
        <f aca="false">IFERROR(INDEX('Semrush Data'!$A$1:$Z$20000,MATCH(V80,'Semrush Data'!$A$1:$A$20000,0),MATCH("Volume",'Semrush Data'!$A$1:$Z$1,0)),"")</f>
        <v>0</v>
      </c>
      <c r="X80" s="24" t="n">
        <f aca="false">IFERROR(INDEX('Semrush Data'!$A$1:$Z$20000,MATCH(V80,'Semrush Data'!$A$1:$A$20000,0),MATCH("Keyword Difficulty*",'Semrush Data'!$A$1:$Z$1,0)),"")</f>
        <v>19</v>
      </c>
      <c r="Y80" s="26" t="n">
        <f aca="false">IFERROR(INDEX('Semrush Data'!$A$1:$Z$20000,MATCH(V80,'Semrush Data'!$A$1:$A$20000,0),MATCH("CPC*",'Semrush Data'!$A$1:$Z$1,0)),"")</f>
        <v>0</v>
      </c>
      <c r="Z80" s="23" t="s">
        <v>1740</v>
      </c>
      <c r="AA80" s="23"/>
      <c r="AB80" s="23" t="s">
        <v>891</v>
      </c>
      <c r="AC80" s="23" t="s">
        <v>1927</v>
      </c>
      <c r="AD80" s="27" t="n">
        <f aca="false">LEN(AC80)</f>
        <v>52</v>
      </c>
      <c r="AE80" s="23" t="s">
        <v>1928</v>
      </c>
      <c r="AF80" s="27" t="n">
        <f aca="false">LEN(AE80)</f>
        <v>159</v>
      </c>
    </row>
    <row r="81" customFormat="false" ht="15" hidden="false" customHeight="true" outlineLevel="0" collapsed="false">
      <c r="A81" s="23" t="s">
        <v>895</v>
      </c>
      <c r="B81" s="23" t="s">
        <v>1432</v>
      </c>
      <c r="C81" s="23" t="n">
        <v>80</v>
      </c>
      <c r="D81" s="23" t="s">
        <v>373</v>
      </c>
      <c r="E81" s="23"/>
      <c r="F81" s="23" t="s">
        <v>1735</v>
      </c>
      <c r="G81" s="23" t="s">
        <v>719</v>
      </c>
      <c r="H81" s="23" t="s">
        <v>407</v>
      </c>
      <c r="I81" s="23" t="s">
        <v>896</v>
      </c>
      <c r="J81" s="23"/>
      <c r="K81" s="23" t="n">
        <v>48.99</v>
      </c>
      <c r="L81" s="23" t="s">
        <v>1929</v>
      </c>
      <c r="M81" s="23" t="s">
        <v>1930</v>
      </c>
      <c r="N81" s="23" t="s">
        <v>1931</v>
      </c>
      <c r="O81" s="23" t="s">
        <v>1932</v>
      </c>
      <c r="P81" s="23"/>
      <c r="Q81" s="24" t="n">
        <f aca="false">IF(L81="","",IFERROR(INDEX('Semrush Data'!$A$1:$Z$20000,MATCH(L81,'Semrush Data'!$A$1:$A$20000,0),MATCH("Volume",'Semrush Data'!$A$1:$Z$1,0)),""))</f>
        <v>0</v>
      </c>
      <c r="R81" s="24" t="str">
        <f aca="false">IF(M81="","",IFERROR(INDEX('Semrush Data'!$A$1:$Z$20000,MATCH(M81,'Semrush Data'!$A$1:$A$20000,0),MATCH("Volume",'Semrush Data'!$A$1:$Z$1,0)),""))</f>
        <v/>
      </c>
      <c r="S81" s="24" t="str">
        <f aca="false">IF(N81="","",IFERROR(INDEX('Semrush Data'!$A$1:$Z$20000,MATCH(N81,'Semrush Data'!$A$1:$A$20000,0),MATCH("Volume",'Semrush Data'!$A$1:$Z$1,0)),""))</f>
        <v/>
      </c>
      <c r="T81" s="24" t="str">
        <f aca="false">IF(O81="","",IFERROR(INDEX('Semrush Data'!$A$1:$Z$20000,MATCH(O81,'Semrush Data'!$A$1:$A$20000,0),MATCH("Volume",'Semrush Data'!$A$1:$Z$1,0)),""))</f>
        <v/>
      </c>
      <c r="U81" s="24" t="str">
        <f aca="false">IF(P81="","",IFERROR(INDEX('Semrush Data'!$A$1:$Z$20000,MATCH(P81,'Semrush Data'!$A$1:$A$20000,0),MATCH("Volume",'Semrush Data'!$A$1:$Z$1,0)),""))</f>
        <v/>
      </c>
      <c r="V81" s="25" t="str">
        <f aca="false">IF(COUNT(Q81:U81)=0,L81,IF(MAX(Q81:U81)=0,L81,INDEX(L81:P81,MATCH(MAX(Q81:U81),Q81:U81,0))))</f>
        <v>vilvah everyday care milk kit</v>
      </c>
      <c r="W81" s="24" t="n">
        <f aca="false">IFERROR(INDEX('Semrush Data'!$A$1:$Z$20000,MATCH(V81,'Semrush Data'!$A$1:$A$20000,0),MATCH("Volume",'Semrush Data'!$A$1:$Z$1,0)),"")</f>
        <v>0</v>
      </c>
      <c r="X81" s="24" t="n">
        <f aca="false">IFERROR(INDEX('Semrush Data'!$A$1:$Z$20000,MATCH(V81,'Semrush Data'!$A$1:$A$20000,0),MATCH("Keyword Difficulty*",'Semrush Data'!$A$1:$Z$1,0)),"")</f>
        <v>13</v>
      </c>
      <c r="Y81" s="26" t="n">
        <f aca="false">IFERROR(INDEX('Semrush Data'!$A$1:$Z$20000,MATCH(V81,'Semrush Data'!$A$1:$A$20000,0),MATCH("CPC*",'Semrush Data'!$A$1:$Z$1,0)),"")</f>
        <v>0</v>
      </c>
      <c r="Z81" s="23" t="s">
        <v>1740</v>
      </c>
      <c r="AA81" s="23"/>
      <c r="AB81" s="23" t="s">
        <v>896</v>
      </c>
      <c r="AC81" s="23" t="s">
        <v>1933</v>
      </c>
      <c r="AD81" s="27" t="n">
        <f aca="false">LEN(AC81)</f>
        <v>56</v>
      </c>
      <c r="AE81" s="23" t="s">
        <v>1934</v>
      </c>
      <c r="AF81" s="27" t="n">
        <f aca="false">LEN(AE81)</f>
        <v>155</v>
      </c>
    </row>
    <row r="82" customFormat="false" ht="15" hidden="false" customHeight="true" outlineLevel="0" collapsed="false">
      <c r="A82" s="23" t="s">
        <v>900</v>
      </c>
      <c r="B82" s="23" t="s">
        <v>1432</v>
      </c>
      <c r="C82" s="23" t="n">
        <v>81</v>
      </c>
      <c r="D82" s="23" t="s">
        <v>373</v>
      </c>
      <c r="E82" s="23"/>
      <c r="F82" s="23" t="s">
        <v>1735</v>
      </c>
      <c r="G82" s="23" t="s">
        <v>719</v>
      </c>
      <c r="H82" s="23" t="s">
        <v>457</v>
      </c>
      <c r="I82" s="23" t="s">
        <v>901</v>
      </c>
      <c r="J82" s="23"/>
      <c r="K82" s="23" t="n">
        <v>13.99</v>
      </c>
      <c r="L82" s="23" t="s">
        <v>1935</v>
      </c>
      <c r="M82" s="23" t="s">
        <v>1936</v>
      </c>
      <c r="N82" s="23" t="s">
        <v>1937</v>
      </c>
      <c r="O82" s="23" t="s">
        <v>1938</v>
      </c>
      <c r="P82" s="23"/>
      <c r="Q82" s="24" t="n">
        <f aca="false">IF(L82="","",IFERROR(INDEX('Semrush Data'!$A$1:$Z$20000,MATCH(L82,'Semrush Data'!$A$1:$A$20000,0),MATCH("Volume",'Semrush Data'!$A$1:$Z$1,0)),""))</f>
        <v>0</v>
      </c>
      <c r="R82" s="24" t="str">
        <f aca="false">IF(M82="","",IFERROR(INDEX('Semrush Data'!$A$1:$Z$20000,MATCH(M82,'Semrush Data'!$A$1:$A$20000,0),MATCH("Volume",'Semrush Data'!$A$1:$Z$1,0)),""))</f>
        <v/>
      </c>
      <c r="S82" s="24" t="str">
        <f aca="false">IF(N82="","",IFERROR(INDEX('Semrush Data'!$A$1:$Z$20000,MATCH(N82,'Semrush Data'!$A$1:$A$20000,0),MATCH("Volume",'Semrush Data'!$A$1:$Z$1,0)),""))</f>
        <v/>
      </c>
      <c r="T82" s="24" t="str">
        <f aca="false">IF(O82="","",IFERROR(INDEX('Semrush Data'!$A$1:$Z$20000,MATCH(O82,'Semrush Data'!$A$1:$A$20000,0),MATCH("Volume",'Semrush Data'!$A$1:$Z$1,0)),""))</f>
        <v/>
      </c>
      <c r="U82" s="24" t="str">
        <f aca="false">IF(P82="","",IFERROR(INDEX('Semrush Data'!$A$1:$Z$20000,MATCH(P82,'Semrush Data'!$A$1:$A$20000,0),MATCH("Volume",'Semrush Data'!$A$1:$Z$1,0)),""))</f>
        <v/>
      </c>
      <c r="V82" s="25" t="str">
        <f aca="false">IF(COUNT(Q82:U82)=0,L82,IF(MAX(Q82:U82)=0,L82,INDEX(L82:P82,MATCH(MAX(Q82:U82),Q82:U82,0))))</f>
        <v>vilvah lip nourishing kit</v>
      </c>
      <c r="W82" s="24" t="n">
        <f aca="false">IFERROR(INDEX('Semrush Data'!$A$1:$Z$20000,MATCH(V82,'Semrush Data'!$A$1:$A$20000,0),MATCH("Volume",'Semrush Data'!$A$1:$Z$1,0)),"")</f>
        <v>0</v>
      </c>
      <c r="X82" s="24" t="n">
        <f aca="false">IFERROR(INDEX('Semrush Data'!$A$1:$Z$20000,MATCH(V82,'Semrush Data'!$A$1:$A$20000,0),MATCH("Keyword Difficulty*",'Semrush Data'!$A$1:$Z$1,0)),"")</f>
        <v>12</v>
      </c>
      <c r="Y82" s="26" t="n">
        <f aca="false">IFERROR(INDEX('Semrush Data'!$A$1:$Z$20000,MATCH(V82,'Semrush Data'!$A$1:$A$20000,0),MATCH("CPC*",'Semrush Data'!$A$1:$Z$1,0)),"")</f>
        <v>0</v>
      </c>
      <c r="Z82" s="23" t="s">
        <v>1740</v>
      </c>
      <c r="AA82" s="23"/>
      <c r="AB82" s="23" t="s">
        <v>901</v>
      </c>
      <c r="AC82" s="23" t="s">
        <v>1939</v>
      </c>
      <c r="AD82" s="27" t="n">
        <f aca="false">LEN(AC82)</f>
        <v>52</v>
      </c>
      <c r="AE82" s="23" t="s">
        <v>1940</v>
      </c>
      <c r="AF82" s="27" t="n">
        <f aca="false">LEN(AE82)</f>
        <v>159</v>
      </c>
    </row>
    <row r="83" customFormat="false" ht="15" hidden="false" customHeight="true" outlineLevel="0" collapsed="false">
      <c r="A83" s="23" t="s">
        <v>905</v>
      </c>
      <c r="B83" s="23" t="s">
        <v>1432</v>
      </c>
      <c r="C83" s="23" t="n">
        <v>82</v>
      </c>
      <c r="D83" s="23" t="s">
        <v>906</v>
      </c>
      <c r="E83" s="23"/>
      <c r="F83" s="23" t="s">
        <v>1451</v>
      </c>
      <c r="G83" s="23" t="s">
        <v>908</v>
      </c>
      <c r="H83" s="23" t="s">
        <v>435</v>
      </c>
      <c r="I83" s="23" t="s">
        <v>907</v>
      </c>
      <c r="J83" s="23" t="s">
        <v>1941</v>
      </c>
      <c r="K83" s="23" t="n">
        <v>15.99</v>
      </c>
      <c r="L83" s="23" t="s">
        <v>1942</v>
      </c>
      <c r="M83" s="23" t="s">
        <v>1943</v>
      </c>
      <c r="N83" s="23" t="s">
        <v>1944</v>
      </c>
      <c r="O83" s="23" t="s">
        <v>1945</v>
      </c>
      <c r="P83" s="23"/>
      <c r="Q83" s="24" t="n">
        <f aca="false">IF(L83="","",IFERROR(INDEX('Semrush Data'!$A$1:$Z$20000,MATCH(L83,'Semrush Data'!$A$1:$A$20000,0),MATCH("Volume",'Semrush Data'!$A$1:$Z$1,0)),""))</f>
        <v>0</v>
      </c>
      <c r="R83" s="24" t="str">
        <f aca="false">IF(M83="","",IFERROR(INDEX('Semrush Data'!$A$1:$Z$20000,MATCH(M83,'Semrush Data'!$A$1:$A$20000,0),MATCH("Volume",'Semrush Data'!$A$1:$Z$1,0)),""))</f>
        <v/>
      </c>
      <c r="S83" s="24" t="str">
        <f aca="false">IF(N83="","",IFERROR(INDEX('Semrush Data'!$A$1:$Z$20000,MATCH(N83,'Semrush Data'!$A$1:$A$20000,0),MATCH("Volume",'Semrush Data'!$A$1:$Z$1,0)),""))</f>
        <v/>
      </c>
      <c r="T83" s="24" t="str">
        <f aca="false">IF(O83="","",IFERROR(INDEX('Semrush Data'!$A$1:$Z$20000,MATCH(O83,'Semrush Data'!$A$1:$A$20000,0),MATCH("Volume",'Semrush Data'!$A$1:$Z$1,0)),""))</f>
        <v/>
      </c>
      <c r="U83" s="24" t="str">
        <f aca="false">IF(P83="","",IFERROR(INDEX('Semrush Data'!$A$1:$Z$20000,MATCH(P83,'Semrush Data'!$A$1:$A$20000,0),MATCH("Volume",'Semrush Data'!$A$1:$Z$1,0)),""))</f>
        <v/>
      </c>
      <c r="V83" s="25" t="str">
        <f aca="false">IF(COUNT(Q83:U83)=0,L83,IF(MAX(Q83:U83)=0,L83,INDEX(L83:P83,MATCH(MAX(Q83:U83),Q83:U83,0))))</f>
        <v>deyga chocolate body butter</v>
      </c>
      <c r="W83" s="24" t="n">
        <f aca="false">IFERROR(INDEX('Semrush Data'!$A$1:$Z$20000,MATCH(V83,'Semrush Data'!$A$1:$A$20000,0),MATCH("Volume",'Semrush Data'!$A$1:$Z$1,0)),"")</f>
        <v>0</v>
      </c>
      <c r="X83" s="24" t="n">
        <f aca="false">IFERROR(INDEX('Semrush Data'!$A$1:$Z$20000,MATCH(V83,'Semrush Data'!$A$1:$A$20000,0),MATCH("Keyword Difficulty*",'Semrush Data'!$A$1:$Z$1,0)),"")</f>
        <v>14</v>
      </c>
      <c r="Y83" s="26" t="n">
        <f aca="false">IFERROR(INDEX('Semrush Data'!$A$1:$Z$20000,MATCH(V83,'Semrush Data'!$A$1:$A$20000,0),MATCH("CPC*",'Semrush Data'!$A$1:$Z$1,0)),"")</f>
        <v>0</v>
      </c>
      <c r="Z83" s="23" t="s">
        <v>1946</v>
      </c>
      <c r="AA83" s="23"/>
      <c r="AB83" s="23" t="s">
        <v>910</v>
      </c>
      <c r="AC83" s="23" t="s">
        <v>1947</v>
      </c>
      <c r="AD83" s="27" t="n">
        <f aca="false">LEN(AC83)</f>
        <v>54</v>
      </c>
      <c r="AE83" s="23" t="s">
        <v>1948</v>
      </c>
      <c r="AF83" s="27" t="n">
        <f aca="false">LEN(AE83)</f>
        <v>160</v>
      </c>
    </row>
    <row r="84" customFormat="false" ht="15" hidden="false" customHeight="true" outlineLevel="0" collapsed="false">
      <c r="A84" s="23" t="s">
        <v>914</v>
      </c>
      <c r="B84" s="23" t="s">
        <v>1432</v>
      </c>
      <c r="C84" s="23" t="n">
        <v>83</v>
      </c>
      <c r="D84" s="23" t="s">
        <v>906</v>
      </c>
      <c r="E84" s="23"/>
      <c r="F84" s="23" t="s">
        <v>1433</v>
      </c>
      <c r="G84" s="23" t="s">
        <v>521</v>
      </c>
      <c r="H84" s="23" t="s">
        <v>571</v>
      </c>
      <c r="I84" s="23" t="s">
        <v>915</v>
      </c>
      <c r="J84" s="23" t="s">
        <v>1941</v>
      </c>
      <c r="K84" s="23" t="n">
        <v>15.99</v>
      </c>
      <c r="L84" s="23" t="s">
        <v>1949</v>
      </c>
      <c r="M84" s="23" t="s">
        <v>1950</v>
      </c>
      <c r="N84" s="23" t="s">
        <v>1951</v>
      </c>
      <c r="O84" s="23" t="s">
        <v>1952</v>
      </c>
      <c r="P84" s="23"/>
      <c r="Q84" s="24" t="n">
        <f aca="false">IF(L84="","",IFERROR(INDEX('Semrush Data'!$A$1:$Z$20000,MATCH(L84,'Semrush Data'!$A$1:$A$20000,0),MATCH("Volume",'Semrush Data'!$A$1:$Z$1,0)),""))</f>
        <v>0</v>
      </c>
      <c r="R84" s="24" t="str">
        <f aca="false">IF(M84="","",IFERROR(INDEX('Semrush Data'!$A$1:$Z$20000,MATCH(M84,'Semrush Data'!$A$1:$A$20000,0),MATCH("Volume",'Semrush Data'!$A$1:$Z$1,0)),""))</f>
        <v/>
      </c>
      <c r="S84" s="24" t="str">
        <f aca="false">IF(N84="","",IFERROR(INDEX('Semrush Data'!$A$1:$Z$20000,MATCH(N84,'Semrush Data'!$A$1:$A$20000,0),MATCH("Volume",'Semrush Data'!$A$1:$Z$1,0)),""))</f>
        <v/>
      </c>
      <c r="T84" s="24" t="str">
        <f aca="false">IF(O84="","",IFERROR(INDEX('Semrush Data'!$A$1:$Z$20000,MATCH(O84,'Semrush Data'!$A$1:$A$20000,0),MATCH("Volume",'Semrush Data'!$A$1:$Z$1,0)),""))</f>
        <v/>
      </c>
      <c r="U84" s="24" t="str">
        <f aca="false">IF(P84="","",IFERROR(INDEX('Semrush Data'!$A$1:$Z$20000,MATCH(P84,'Semrush Data'!$A$1:$A$20000,0),MATCH("Volume",'Semrush Data'!$A$1:$Z$1,0)),""))</f>
        <v/>
      </c>
      <c r="V84" s="25" t="str">
        <f aca="false">IF(COUNT(Q84:U84)=0,L84,IF(MAX(Q84:U84)=0,L84,INDEX(L84:P84,MATCH(MAX(Q84:U84),Q84:U84,0))))</f>
        <v>deyga charcoal detox face mask</v>
      </c>
      <c r="W84" s="24" t="n">
        <f aca="false">IFERROR(INDEX('Semrush Data'!$A$1:$Z$20000,MATCH(V84,'Semrush Data'!$A$1:$A$20000,0),MATCH("Volume",'Semrush Data'!$A$1:$Z$1,0)),"")</f>
        <v>0</v>
      </c>
      <c r="X84" s="24" t="n">
        <f aca="false">IFERROR(INDEX('Semrush Data'!$A$1:$Z$20000,MATCH(V84,'Semrush Data'!$A$1:$A$20000,0),MATCH("Keyword Difficulty*",'Semrush Data'!$A$1:$Z$1,0)),"")</f>
        <v>15</v>
      </c>
      <c r="Y84" s="26" t="n">
        <f aca="false">IFERROR(INDEX('Semrush Data'!$A$1:$Z$20000,MATCH(V84,'Semrush Data'!$A$1:$A$20000,0),MATCH("CPC*",'Semrush Data'!$A$1:$Z$1,0)),"")</f>
        <v>0</v>
      </c>
      <c r="Z84" s="23" t="s">
        <v>1953</v>
      </c>
      <c r="AA84" s="23"/>
      <c r="AB84" s="23" t="s">
        <v>916</v>
      </c>
      <c r="AC84" s="23" t="s">
        <v>1954</v>
      </c>
      <c r="AD84" s="27" t="n">
        <f aca="false">LEN(AC84)</f>
        <v>57</v>
      </c>
      <c r="AE84" s="23" t="s">
        <v>1955</v>
      </c>
      <c r="AF84" s="27" t="n">
        <f aca="false">LEN(AE84)</f>
        <v>156</v>
      </c>
    </row>
    <row r="85" customFormat="false" ht="15" hidden="false" customHeight="true" outlineLevel="0" collapsed="false">
      <c r="A85" s="23" t="s">
        <v>920</v>
      </c>
      <c r="B85" s="23" t="s">
        <v>1432</v>
      </c>
      <c r="C85" s="23" t="n">
        <v>84</v>
      </c>
      <c r="D85" s="23" t="s">
        <v>906</v>
      </c>
      <c r="E85" s="23"/>
      <c r="F85" s="23" t="s">
        <v>1451</v>
      </c>
      <c r="G85" s="23" t="s">
        <v>396</v>
      </c>
      <c r="H85" s="23" t="s">
        <v>397</v>
      </c>
      <c r="I85" s="23" t="s">
        <v>921</v>
      </c>
      <c r="J85" s="23" t="s">
        <v>1956</v>
      </c>
      <c r="K85" s="23" t="n">
        <v>15.99</v>
      </c>
      <c r="L85" s="23" t="s">
        <v>1957</v>
      </c>
      <c r="M85" s="23" t="s">
        <v>1958</v>
      </c>
      <c r="N85" s="23" t="s">
        <v>1959</v>
      </c>
      <c r="O85" s="23" t="s">
        <v>1960</v>
      </c>
      <c r="P85" s="23"/>
      <c r="Q85" s="24" t="n">
        <f aca="false">IF(L85="","",IFERROR(INDEX('Semrush Data'!$A$1:$Z$20000,MATCH(L85,'Semrush Data'!$A$1:$A$20000,0),MATCH("Volume",'Semrush Data'!$A$1:$Z$1,0)),""))</f>
        <v>0</v>
      </c>
      <c r="R85" s="24" t="str">
        <f aca="false">IF(M85="","",IFERROR(INDEX('Semrush Data'!$A$1:$Z$20000,MATCH(M85,'Semrush Data'!$A$1:$A$20000,0),MATCH("Volume",'Semrush Data'!$A$1:$Z$1,0)),""))</f>
        <v/>
      </c>
      <c r="S85" s="24" t="str">
        <f aca="false">IF(N85="","",IFERROR(INDEX('Semrush Data'!$A$1:$Z$20000,MATCH(N85,'Semrush Data'!$A$1:$A$20000,0),MATCH("Volume",'Semrush Data'!$A$1:$Z$1,0)),""))</f>
        <v/>
      </c>
      <c r="T85" s="24" t="str">
        <f aca="false">IF(O85="","",IFERROR(INDEX('Semrush Data'!$A$1:$Z$20000,MATCH(O85,'Semrush Data'!$A$1:$A$20000,0),MATCH("Volume",'Semrush Data'!$A$1:$Z$1,0)),""))</f>
        <v/>
      </c>
      <c r="U85" s="24" t="str">
        <f aca="false">IF(P85="","",IFERROR(INDEX('Semrush Data'!$A$1:$Z$20000,MATCH(P85,'Semrush Data'!$A$1:$A$20000,0),MATCH("Volume",'Semrush Data'!$A$1:$Z$1,0)),""))</f>
        <v/>
      </c>
      <c r="V85" s="25" t="str">
        <f aca="false">IF(COUNT(Q85:U85)=0,L85,IF(MAX(Q85:U85)=0,L85,INDEX(L85:P85,MATCH(MAX(Q85:U85),Q85:U85,0))))</f>
        <v>deyga activated charcoal body wash</v>
      </c>
      <c r="W85" s="24" t="n">
        <f aca="false">IFERROR(INDEX('Semrush Data'!$A$1:$Z$20000,MATCH(V85,'Semrush Data'!$A$1:$A$20000,0),MATCH("Volume",'Semrush Data'!$A$1:$Z$1,0)),"")</f>
        <v>0</v>
      </c>
      <c r="X85" s="24" t="n">
        <f aca="false">IFERROR(INDEX('Semrush Data'!$A$1:$Z$20000,MATCH(V85,'Semrush Data'!$A$1:$A$20000,0),MATCH("Keyword Difficulty*",'Semrush Data'!$A$1:$Z$1,0)),"")</f>
        <v>13</v>
      </c>
      <c r="Y85" s="26" t="n">
        <f aca="false">IFERROR(INDEX('Semrush Data'!$A$1:$Z$20000,MATCH(V85,'Semrush Data'!$A$1:$A$20000,0),MATCH("CPC*",'Semrush Data'!$A$1:$Z$1,0)),"")</f>
        <v>0</v>
      </c>
      <c r="Z85" s="23" t="s">
        <v>1961</v>
      </c>
      <c r="AA85" s="23"/>
      <c r="AB85" s="23" t="s">
        <v>922</v>
      </c>
      <c r="AC85" s="23" t="s">
        <v>1962</v>
      </c>
      <c r="AD85" s="27" t="n">
        <f aca="false">LEN(AC85)</f>
        <v>48</v>
      </c>
      <c r="AE85" s="23" t="s">
        <v>1963</v>
      </c>
      <c r="AF85" s="27" t="n">
        <f aca="false">LEN(AE85)</f>
        <v>160</v>
      </c>
    </row>
    <row r="86" customFormat="false" ht="15" hidden="false" customHeight="true" outlineLevel="0" collapsed="false">
      <c r="A86" s="23" t="s">
        <v>926</v>
      </c>
      <c r="B86" s="23" t="s">
        <v>1432</v>
      </c>
      <c r="C86" s="23" t="n">
        <v>85</v>
      </c>
      <c r="D86" s="23" t="s">
        <v>906</v>
      </c>
      <c r="E86" s="23"/>
      <c r="F86" s="23" t="s">
        <v>1451</v>
      </c>
      <c r="G86" s="23" t="s">
        <v>585</v>
      </c>
      <c r="H86" s="23" t="s">
        <v>435</v>
      </c>
      <c r="I86" s="23" t="s">
        <v>927</v>
      </c>
      <c r="J86" s="23" t="s">
        <v>1941</v>
      </c>
      <c r="K86" s="23" t="n">
        <v>16.99</v>
      </c>
      <c r="L86" s="23" t="s">
        <v>1964</v>
      </c>
      <c r="M86" s="23" t="s">
        <v>1965</v>
      </c>
      <c r="N86" s="23" t="s">
        <v>1966</v>
      </c>
      <c r="O86" s="23" t="s">
        <v>1967</v>
      </c>
      <c r="P86" s="23"/>
      <c r="Q86" s="24" t="n">
        <f aca="false">IF(L86="","",IFERROR(INDEX('Semrush Data'!$A$1:$Z$20000,MATCH(L86,'Semrush Data'!$A$1:$A$20000,0),MATCH("Volume",'Semrush Data'!$A$1:$Z$1,0)),""))</f>
        <v>0</v>
      </c>
      <c r="R86" s="24" t="str">
        <f aca="false">IF(M86="","",IFERROR(INDEX('Semrush Data'!$A$1:$Z$20000,MATCH(M86,'Semrush Data'!$A$1:$A$20000,0),MATCH("Volume",'Semrush Data'!$A$1:$Z$1,0)),""))</f>
        <v/>
      </c>
      <c r="S86" s="24" t="str">
        <f aca="false">IF(N86="","",IFERROR(INDEX('Semrush Data'!$A$1:$Z$20000,MATCH(N86,'Semrush Data'!$A$1:$A$20000,0),MATCH("Volume",'Semrush Data'!$A$1:$Z$1,0)),""))</f>
        <v/>
      </c>
      <c r="T86" s="24" t="str">
        <f aca="false">IF(O86="","",IFERROR(INDEX('Semrush Data'!$A$1:$Z$20000,MATCH(O86,'Semrush Data'!$A$1:$A$20000,0),MATCH("Volume",'Semrush Data'!$A$1:$Z$1,0)),""))</f>
        <v/>
      </c>
      <c r="U86" s="24" t="str">
        <f aca="false">IF(P86="","",IFERROR(INDEX('Semrush Data'!$A$1:$Z$20000,MATCH(P86,'Semrush Data'!$A$1:$A$20000,0),MATCH("Volume",'Semrush Data'!$A$1:$Z$1,0)),""))</f>
        <v/>
      </c>
      <c r="V86" s="25" t="str">
        <f aca="false">IF(COUNT(Q86:U86)=0,L86,IF(MAX(Q86:U86)=0,L86,INDEX(L86:P86,MATCH(MAX(Q86:U86),Q86:U86,0))))</f>
        <v>deyga body scrub</v>
      </c>
      <c r="W86" s="24" t="n">
        <f aca="false">IFERROR(INDEX('Semrush Data'!$A$1:$Z$20000,MATCH(V86,'Semrush Data'!$A$1:$A$20000,0),MATCH("Volume",'Semrush Data'!$A$1:$Z$1,0)),"")</f>
        <v>0</v>
      </c>
      <c r="X86" s="24" t="n">
        <f aca="false">IFERROR(INDEX('Semrush Data'!$A$1:$Z$20000,MATCH(V86,'Semrush Data'!$A$1:$A$20000,0),MATCH("Keyword Difficulty*",'Semrush Data'!$A$1:$Z$1,0)),"")</f>
        <v>14</v>
      </c>
      <c r="Y86" s="26" t="n">
        <f aca="false">IFERROR(INDEX('Semrush Data'!$A$1:$Z$20000,MATCH(V86,'Semrush Data'!$A$1:$A$20000,0),MATCH("CPC*",'Semrush Data'!$A$1:$Z$1,0)),"")</f>
        <v>0</v>
      </c>
      <c r="Z86" s="23" t="s">
        <v>1968</v>
      </c>
      <c r="AA86" s="23" t="s">
        <v>932</v>
      </c>
      <c r="AB86" s="23" t="s">
        <v>928</v>
      </c>
      <c r="AC86" s="23" t="s">
        <v>1969</v>
      </c>
      <c r="AD86" s="27" t="n">
        <f aca="false">LEN(AC86)</f>
        <v>49</v>
      </c>
      <c r="AE86" s="23" t="s">
        <v>1970</v>
      </c>
      <c r="AF86" s="27" t="n">
        <f aca="false">LEN(AE86)</f>
        <v>158</v>
      </c>
    </row>
    <row r="87" customFormat="false" ht="15" hidden="false" customHeight="true" outlineLevel="0" collapsed="false">
      <c r="A87" s="23" t="s">
        <v>933</v>
      </c>
      <c r="B87" s="23" t="s">
        <v>1432</v>
      </c>
      <c r="C87" s="23" t="n">
        <v>86</v>
      </c>
      <c r="D87" s="23" t="s">
        <v>906</v>
      </c>
      <c r="E87" s="23"/>
      <c r="F87" s="23" t="s">
        <v>1433</v>
      </c>
      <c r="G87" s="23" t="s">
        <v>434</v>
      </c>
      <c r="H87" s="23" t="s">
        <v>435</v>
      </c>
      <c r="I87" s="23" t="s">
        <v>934</v>
      </c>
      <c r="J87" s="23" t="s">
        <v>1971</v>
      </c>
      <c r="K87" s="23" t="n">
        <v>18.99</v>
      </c>
      <c r="L87" s="23" t="s">
        <v>1972</v>
      </c>
      <c r="M87" s="23" t="s">
        <v>1973</v>
      </c>
      <c r="N87" s="23" t="s">
        <v>1974</v>
      </c>
      <c r="O87" s="23" t="s">
        <v>1975</v>
      </c>
      <c r="P87" s="23"/>
      <c r="Q87" s="24" t="n">
        <f aca="false">IF(L87="","",IFERROR(INDEX('Semrush Data'!$A$1:$Z$20000,MATCH(L87,'Semrush Data'!$A$1:$A$20000,0),MATCH("Volume",'Semrush Data'!$A$1:$Z$1,0)),""))</f>
        <v>0</v>
      </c>
      <c r="R87" s="24" t="str">
        <f aca="false">IF(M87="","",IFERROR(INDEX('Semrush Data'!$A$1:$Z$20000,MATCH(M87,'Semrush Data'!$A$1:$A$20000,0),MATCH("Volume",'Semrush Data'!$A$1:$Z$1,0)),""))</f>
        <v/>
      </c>
      <c r="S87" s="24" t="str">
        <f aca="false">IF(N87="","",IFERROR(INDEX('Semrush Data'!$A$1:$Z$20000,MATCH(N87,'Semrush Data'!$A$1:$A$20000,0),MATCH("Volume",'Semrush Data'!$A$1:$Z$1,0)),""))</f>
        <v/>
      </c>
      <c r="T87" s="24" t="str">
        <f aca="false">IF(O87="","",IFERROR(INDEX('Semrush Data'!$A$1:$Z$20000,MATCH(O87,'Semrush Data'!$A$1:$A$20000,0),MATCH("Volume",'Semrush Data'!$A$1:$Z$1,0)),""))</f>
        <v/>
      </c>
      <c r="U87" s="24" t="str">
        <f aca="false">IF(P87="","",IFERROR(INDEX('Semrush Data'!$A$1:$Z$20000,MATCH(P87,'Semrush Data'!$A$1:$A$20000,0),MATCH("Volume",'Semrush Data'!$A$1:$Z$1,0)),""))</f>
        <v/>
      </c>
      <c r="V87" s="25" t="str">
        <f aca="false">IF(COUNT(Q87:U87)=0,L87,IF(MAX(Q87:U87)=0,L87,INDEX(L87:P87,MATCH(MAX(Q87:U87),Q87:U87,0))))</f>
        <v>deyga deep moisturising face cream</v>
      </c>
      <c r="W87" s="24" t="n">
        <f aca="false">IFERROR(INDEX('Semrush Data'!$A$1:$Z$20000,MATCH(V87,'Semrush Data'!$A$1:$A$20000,0),MATCH("Volume",'Semrush Data'!$A$1:$Z$1,0)),"")</f>
        <v>0</v>
      </c>
      <c r="X87" s="24" t="n">
        <f aca="false">IFERROR(INDEX('Semrush Data'!$A$1:$Z$20000,MATCH(V87,'Semrush Data'!$A$1:$A$20000,0),MATCH("Keyword Difficulty*",'Semrush Data'!$A$1:$Z$1,0)),"")</f>
        <v>19</v>
      </c>
      <c r="Y87" s="26" t="n">
        <f aca="false">IFERROR(INDEX('Semrush Data'!$A$1:$Z$20000,MATCH(V87,'Semrush Data'!$A$1:$A$20000,0),MATCH("CPC*",'Semrush Data'!$A$1:$Z$1,0)),"")</f>
        <v>0</v>
      </c>
      <c r="Z87" s="23" t="s">
        <v>1976</v>
      </c>
      <c r="AA87" s="23"/>
      <c r="AB87" s="23" t="s">
        <v>935</v>
      </c>
      <c r="AC87" s="23" t="s">
        <v>1977</v>
      </c>
      <c r="AD87" s="27" t="n">
        <f aca="false">LEN(AC87)</f>
        <v>48</v>
      </c>
      <c r="AE87" s="23" t="s">
        <v>1978</v>
      </c>
      <c r="AF87" s="27" t="n">
        <f aca="false">LEN(AE87)</f>
        <v>159</v>
      </c>
    </row>
    <row r="88" customFormat="false" ht="15" hidden="false" customHeight="true" outlineLevel="0" collapsed="false">
      <c r="A88" s="23" t="s">
        <v>939</v>
      </c>
      <c r="B88" s="23" t="s">
        <v>1432</v>
      </c>
      <c r="C88" s="23" t="n">
        <v>87</v>
      </c>
      <c r="D88" s="23" t="s">
        <v>906</v>
      </c>
      <c r="E88" s="23"/>
      <c r="F88" s="23" t="s">
        <v>1433</v>
      </c>
      <c r="G88" s="23" t="s">
        <v>561</v>
      </c>
      <c r="H88" s="23" t="s">
        <v>586</v>
      </c>
      <c r="I88" s="23" t="s">
        <v>940</v>
      </c>
      <c r="J88" s="23" t="s">
        <v>1979</v>
      </c>
      <c r="K88" s="23" t="n">
        <v>22.99</v>
      </c>
      <c r="L88" s="23" t="s">
        <v>1980</v>
      </c>
      <c r="M88" s="23" t="s">
        <v>1981</v>
      </c>
      <c r="N88" s="23" t="s">
        <v>1982</v>
      </c>
      <c r="O88" s="23" t="s">
        <v>1983</v>
      </c>
      <c r="P88" s="23"/>
      <c r="Q88" s="24" t="n">
        <f aca="false">IF(L88="","",IFERROR(INDEX('Semrush Data'!$A$1:$Z$20000,MATCH(L88,'Semrush Data'!$A$1:$A$20000,0),MATCH("Volume",'Semrush Data'!$A$1:$Z$1,0)),""))</f>
        <v>0</v>
      </c>
      <c r="R88" s="24" t="n">
        <f aca="false">IF(M88="","",IFERROR(INDEX('Semrush Data'!$A$1:$Z$20000,MATCH(M88,'Semrush Data'!$A$1:$A$20000,0),MATCH("Volume",'Semrush Data'!$A$1:$Z$1,0)),""))</f>
        <v>0</v>
      </c>
      <c r="S88" s="24" t="str">
        <f aca="false">IF(N88="","",IFERROR(INDEX('Semrush Data'!$A$1:$Z$20000,MATCH(N88,'Semrush Data'!$A$1:$A$20000,0),MATCH("Volume",'Semrush Data'!$A$1:$Z$1,0)),""))</f>
        <v/>
      </c>
      <c r="T88" s="24" t="str">
        <f aca="false">IF(O88="","",IFERROR(INDEX('Semrush Data'!$A$1:$Z$20000,MATCH(O88,'Semrush Data'!$A$1:$A$20000,0),MATCH("Volume",'Semrush Data'!$A$1:$Z$1,0)),""))</f>
        <v/>
      </c>
      <c r="U88" s="24" t="str">
        <f aca="false">IF(P88="","",IFERROR(INDEX('Semrush Data'!$A$1:$Z$20000,MATCH(P88,'Semrush Data'!$A$1:$A$20000,0),MATCH("Volume",'Semrush Data'!$A$1:$Z$1,0)),""))</f>
        <v/>
      </c>
      <c r="V88" s="25" t="str">
        <f aca="false">IF(COUNT(Q88:U88)=0,L88,IF(MAX(Q88:U88)=0,L88,INDEX(L88:P88,MATCH(MAX(Q88:U88),Q88:U88,0))))</f>
        <v>deyga 2% hyaluronic acid serum</v>
      </c>
      <c r="W88" s="24" t="n">
        <f aca="false">IFERROR(INDEX('Semrush Data'!$A$1:$Z$20000,MATCH(V88,'Semrush Data'!$A$1:$A$20000,0),MATCH("Volume",'Semrush Data'!$A$1:$Z$1,0)),"")</f>
        <v>0</v>
      </c>
      <c r="X88" s="24" t="n">
        <f aca="false">IFERROR(INDEX('Semrush Data'!$A$1:$Z$20000,MATCH(V88,'Semrush Data'!$A$1:$A$20000,0),MATCH("Keyword Difficulty*",'Semrush Data'!$A$1:$Z$1,0)),"")</f>
        <v>18</v>
      </c>
      <c r="Y88" s="26" t="n">
        <f aca="false">IFERROR(INDEX('Semrush Data'!$A$1:$Z$20000,MATCH(V88,'Semrush Data'!$A$1:$A$20000,0),MATCH("CPC*",'Semrush Data'!$A$1:$Z$1,0)),"")</f>
        <v>0</v>
      </c>
      <c r="Z88" s="23" t="s">
        <v>1984</v>
      </c>
      <c r="AA88" s="23"/>
      <c r="AB88" s="23" t="s">
        <v>941</v>
      </c>
      <c r="AC88" s="23" t="s">
        <v>1985</v>
      </c>
      <c r="AD88" s="27" t="n">
        <f aca="false">LEN(AC88)</f>
        <v>57</v>
      </c>
      <c r="AE88" s="23" t="s">
        <v>1986</v>
      </c>
      <c r="AF88" s="27" t="n">
        <f aca="false">LEN(AE88)</f>
        <v>160</v>
      </c>
    </row>
    <row r="89" customFormat="false" ht="15" hidden="false" customHeight="true" outlineLevel="0" collapsed="false">
      <c r="A89" s="23" t="s">
        <v>945</v>
      </c>
      <c r="B89" s="23" t="s">
        <v>1432</v>
      </c>
      <c r="C89" s="23" t="n">
        <v>88</v>
      </c>
      <c r="D89" s="23" t="s">
        <v>906</v>
      </c>
      <c r="E89" s="23"/>
      <c r="F89" s="23" t="s">
        <v>1433</v>
      </c>
      <c r="G89" s="23" t="s">
        <v>947</v>
      </c>
      <c r="H89" s="23" t="s">
        <v>376</v>
      </c>
      <c r="I89" s="23" t="s">
        <v>946</v>
      </c>
      <c r="J89" s="23" t="s">
        <v>1941</v>
      </c>
      <c r="K89" s="23" t="n">
        <v>19.99</v>
      </c>
      <c r="L89" s="23" t="s">
        <v>1987</v>
      </c>
      <c r="M89" s="23" t="s">
        <v>1988</v>
      </c>
      <c r="N89" s="23" t="s">
        <v>1989</v>
      </c>
      <c r="O89" s="23" t="s">
        <v>1990</v>
      </c>
      <c r="P89" s="23"/>
      <c r="Q89" s="24" t="n">
        <f aca="false">IF(L89="","",IFERROR(INDEX('Semrush Data'!$A$1:$Z$20000,MATCH(L89,'Semrush Data'!$A$1:$A$20000,0),MATCH("Volume",'Semrush Data'!$A$1:$Z$1,0)),""))</f>
        <v>0</v>
      </c>
      <c r="R89" s="24" t="str">
        <f aca="false">IF(M89="","",IFERROR(INDEX('Semrush Data'!$A$1:$Z$20000,MATCH(M89,'Semrush Data'!$A$1:$A$20000,0),MATCH("Volume",'Semrush Data'!$A$1:$Z$1,0)),""))</f>
        <v/>
      </c>
      <c r="S89" s="24" t="str">
        <f aca="false">IF(N89="","",IFERROR(INDEX('Semrush Data'!$A$1:$Z$20000,MATCH(N89,'Semrush Data'!$A$1:$A$20000,0),MATCH("Volume",'Semrush Data'!$A$1:$Z$1,0)),""))</f>
        <v/>
      </c>
      <c r="T89" s="24" t="str">
        <f aca="false">IF(O89="","",IFERROR(INDEX('Semrush Data'!$A$1:$Z$20000,MATCH(O89,'Semrush Data'!$A$1:$A$20000,0),MATCH("Volume",'Semrush Data'!$A$1:$Z$1,0)),""))</f>
        <v/>
      </c>
      <c r="U89" s="24" t="str">
        <f aca="false">IF(P89="","",IFERROR(INDEX('Semrush Data'!$A$1:$Z$20000,MATCH(P89,'Semrush Data'!$A$1:$A$20000,0),MATCH("Volume",'Semrush Data'!$A$1:$Z$1,0)),""))</f>
        <v/>
      </c>
      <c r="V89" s="25" t="str">
        <f aca="false">IF(COUNT(Q89:U89)=0,L89,IF(MAX(Q89:U89)=0,L89,INDEX(L89:P89,MATCH(MAX(Q89:U89),Q89:U89,0))))</f>
        <v>deyga orange &amp; almond face pack powder</v>
      </c>
      <c r="W89" s="24" t="n">
        <f aca="false">IFERROR(INDEX('Semrush Data'!$A$1:$Z$20000,MATCH(V89,'Semrush Data'!$A$1:$A$20000,0),MATCH("Volume",'Semrush Data'!$A$1:$Z$1,0)),"")</f>
        <v>0</v>
      </c>
      <c r="X89" s="24" t="n">
        <f aca="false">IFERROR(INDEX('Semrush Data'!$A$1:$Z$20000,MATCH(V89,'Semrush Data'!$A$1:$A$20000,0),MATCH("Keyword Difficulty*",'Semrush Data'!$A$1:$Z$1,0)),"")</f>
        <v>13</v>
      </c>
      <c r="Y89" s="26" t="n">
        <f aca="false">IFERROR(INDEX('Semrush Data'!$A$1:$Z$20000,MATCH(V89,'Semrush Data'!$A$1:$A$20000,0),MATCH("CPC*",'Semrush Data'!$A$1:$Z$1,0)),"")</f>
        <v>0</v>
      </c>
      <c r="Z89" s="23" t="s">
        <v>1991</v>
      </c>
      <c r="AA89" s="23"/>
      <c r="AB89" s="23" t="s">
        <v>948</v>
      </c>
      <c r="AC89" s="23" t="s">
        <v>1992</v>
      </c>
      <c r="AD89" s="27" t="n">
        <f aca="false">LEN(AC89)</f>
        <v>52</v>
      </c>
      <c r="AE89" s="23" t="s">
        <v>1993</v>
      </c>
      <c r="AF89" s="27" t="n">
        <f aca="false">LEN(AE89)</f>
        <v>157</v>
      </c>
    </row>
    <row r="90" customFormat="false" ht="15" hidden="false" customHeight="true" outlineLevel="0" collapsed="false">
      <c r="A90" s="23" t="s">
        <v>952</v>
      </c>
      <c r="B90" s="23" t="s">
        <v>1432</v>
      </c>
      <c r="C90" s="23" t="n">
        <v>89</v>
      </c>
      <c r="D90" s="23" t="s">
        <v>906</v>
      </c>
      <c r="E90" s="23"/>
      <c r="F90" s="23" t="s">
        <v>1442</v>
      </c>
      <c r="G90" s="23" t="s">
        <v>385</v>
      </c>
      <c r="H90" s="23" t="s">
        <v>621</v>
      </c>
      <c r="I90" s="23" t="s">
        <v>953</v>
      </c>
      <c r="J90" s="23" t="s">
        <v>1994</v>
      </c>
      <c r="K90" s="23" t="n">
        <v>18.99</v>
      </c>
      <c r="L90" s="23" t="s">
        <v>1995</v>
      </c>
      <c r="M90" s="23" t="s">
        <v>1996</v>
      </c>
      <c r="N90" s="23" t="s">
        <v>1997</v>
      </c>
      <c r="O90" s="23" t="s">
        <v>1998</v>
      </c>
      <c r="P90" s="23"/>
      <c r="Q90" s="24" t="n">
        <f aca="false">IF(L90="","",IFERROR(INDEX('Semrush Data'!$A$1:$Z$20000,MATCH(L90,'Semrush Data'!$A$1:$A$20000,0),MATCH("Volume",'Semrush Data'!$A$1:$Z$1,0)),""))</f>
        <v>0</v>
      </c>
      <c r="R90" s="24" t="str">
        <f aca="false">IF(M90="","",IFERROR(INDEX('Semrush Data'!$A$1:$Z$20000,MATCH(M90,'Semrush Data'!$A$1:$A$20000,0),MATCH("Volume",'Semrush Data'!$A$1:$Z$1,0)),""))</f>
        <v/>
      </c>
      <c r="S90" s="24" t="str">
        <f aca="false">IF(N90="","",IFERROR(INDEX('Semrush Data'!$A$1:$Z$20000,MATCH(N90,'Semrush Data'!$A$1:$A$20000,0),MATCH("Volume",'Semrush Data'!$A$1:$Z$1,0)),""))</f>
        <v/>
      </c>
      <c r="T90" s="24" t="str">
        <f aca="false">IF(O90="","",IFERROR(INDEX('Semrush Data'!$A$1:$Z$20000,MATCH(O90,'Semrush Data'!$A$1:$A$20000,0),MATCH("Volume",'Semrush Data'!$A$1:$Z$1,0)),""))</f>
        <v/>
      </c>
      <c r="U90" s="24" t="str">
        <f aca="false">IF(P90="","",IFERROR(INDEX('Semrush Data'!$A$1:$Z$20000,MATCH(P90,'Semrush Data'!$A$1:$A$20000,0),MATCH("Volume",'Semrush Data'!$A$1:$Z$1,0)),""))</f>
        <v/>
      </c>
      <c r="V90" s="25" t="str">
        <f aca="false">IF(COUNT(Q90:U90)=0,L90,IF(MAX(Q90:U90)=0,L90,INDEX(L90:P90,MATCH(MAX(Q90:U90),Q90:U90,0))))</f>
        <v>deyga premature greying hair oil</v>
      </c>
      <c r="W90" s="24" t="n">
        <f aca="false">IFERROR(INDEX('Semrush Data'!$A$1:$Z$20000,MATCH(V90,'Semrush Data'!$A$1:$A$20000,0),MATCH("Volume",'Semrush Data'!$A$1:$Z$1,0)),"")</f>
        <v>0</v>
      </c>
      <c r="X90" s="24" t="n">
        <f aca="false">IFERROR(INDEX('Semrush Data'!$A$1:$Z$20000,MATCH(V90,'Semrush Data'!$A$1:$A$20000,0),MATCH("Keyword Difficulty*",'Semrush Data'!$A$1:$Z$1,0)),"")</f>
        <v>13</v>
      </c>
      <c r="Y90" s="26" t="n">
        <f aca="false">IFERROR(INDEX('Semrush Data'!$A$1:$Z$20000,MATCH(V90,'Semrush Data'!$A$1:$A$20000,0),MATCH("CPC*",'Semrush Data'!$A$1:$Z$1,0)),"")</f>
        <v>0</v>
      </c>
      <c r="Z90" s="23" t="s">
        <v>1999</v>
      </c>
      <c r="AA90" s="23"/>
      <c r="AB90" s="23" t="s">
        <v>954</v>
      </c>
      <c r="AC90" s="23" t="s">
        <v>2000</v>
      </c>
      <c r="AD90" s="27" t="n">
        <f aca="false">LEN(AC90)</f>
        <v>59</v>
      </c>
      <c r="AE90" s="23" t="s">
        <v>2001</v>
      </c>
      <c r="AF90" s="27" t="n">
        <f aca="false">LEN(AE90)</f>
        <v>157</v>
      </c>
    </row>
    <row r="91" customFormat="false" ht="15" hidden="false" customHeight="true" outlineLevel="0" collapsed="false">
      <c r="A91" s="23" t="s">
        <v>958</v>
      </c>
      <c r="B91" s="23" t="s">
        <v>1432</v>
      </c>
      <c r="C91" s="23" t="n">
        <v>90</v>
      </c>
      <c r="D91" s="23" t="s">
        <v>906</v>
      </c>
      <c r="E91" s="23"/>
      <c r="F91" s="23" t="s">
        <v>1442</v>
      </c>
      <c r="G91" s="23" t="s">
        <v>385</v>
      </c>
      <c r="H91" s="23" t="s">
        <v>543</v>
      </c>
      <c r="I91" s="23" t="s">
        <v>959</v>
      </c>
      <c r="J91" s="23" t="s">
        <v>1994</v>
      </c>
      <c r="K91" s="23"/>
      <c r="L91" s="23" t="s">
        <v>2002</v>
      </c>
      <c r="M91" s="23" t="s">
        <v>2003</v>
      </c>
      <c r="N91" s="23" t="s">
        <v>2004</v>
      </c>
      <c r="O91" s="23" t="s">
        <v>2005</v>
      </c>
      <c r="P91" s="23"/>
      <c r="Q91" s="24" t="n">
        <f aca="false">IF(L91="","",IFERROR(INDEX('Semrush Data'!$A$1:$Z$20000,MATCH(L91,'Semrush Data'!$A$1:$A$20000,0),MATCH("Volume",'Semrush Data'!$A$1:$Z$1,0)),""))</f>
        <v>0</v>
      </c>
      <c r="R91" s="24" t="str">
        <f aca="false">IF(M91="","",IFERROR(INDEX('Semrush Data'!$A$1:$Z$20000,MATCH(M91,'Semrush Data'!$A$1:$A$20000,0),MATCH("Volume",'Semrush Data'!$A$1:$Z$1,0)),""))</f>
        <v/>
      </c>
      <c r="S91" s="24" t="str">
        <f aca="false">IF(N91="","",IFERROR(INDEX('Semrush Data'!$A$1:$Z$20000,MATCH(N91,'Semrush Data'!$A$1:$A$20000,0),MATCH("Volume",'Semrush Data'!$A$1:$Z$1,0)),""))</f>
        <v/>
      </c>
      <c r="T91" s="24" t="str">
        <f aca="false">IF(O91="","",IFERROR(INDEX('Semrush Data'!$A$1:$Z$20000,MATCH(O91,'Semrush Data'!$A$1:$A$20000,0),MATCH("Volume",'Semrush Data'!$A$1:$Z$1,0)),""))</f>
        <v/>
      </c>
      <c r="U91" s="24" t="str">
        <f aca="false">IF(P91="","",IFERROR(INDEX('Semrush Data'!$A$1:$Z$20000,MATCH(P91,'Semrush Data'!$A$1:$A$20000,0),MATCH("Volume",'Semrush Data'!$A$1:$Z$1,0)),""))</f>
        <v/>
      </c>
      <c r="V91" s="25" t="str">
        <f aca="false">IF(COUNT(Q91:U91)=0,L91,IF(MAX(Q91:U91)=0,L91,INDEX(L91:P91,MATCH(MAX(Q91:U91),Q91:U91,0))))</f>
        <v>deyga anti-dandruff oil</v>
      </c>
      <c r="W91" s="24" t="n">
        <f aca="false">IFERROR(INDEX('Semrush Data'!$A$1:$Z$20000,MATCH(V91,'Semrush Data'!$A$1:$A$20000,0),MATCH("Volume",'Semrush Data'!$A$1:$Z$1,0)),"")</f>
        <v>0</v>
      </c>
      <c r="X91" s="24" t="n">
        <f aca="false">IFERROR(INDEX('Semrush Data'!$A$1:$Z$20000,MATCH(V91,'Semrush Data'!$A$1:$A$20000,0),MATCH("Keyword Difficulty*",'Semrush Data'!$A$1:$Z$1,0)),"")</f>
        <v>14</v>
      </c>
      <c r="Y91" s="26" t="n">
        <f aca="false">IFERROR(INDEX('Semrush Data'!$A$1:$Z$20000,MATCH(V91,'Semrush Data'!$A$1:$A$20000,0),MATCH("CPC*",'Semrush Data'!$A$1:$Z$1,0)),"")</f>
        <v>0</v>
      </c>
      <c r="Z91" s="23" t="s">
        <v>2006</v>
      </c>
      <c r="AA91" s="23" t="s">
        <v>964</v>
      </c>
      <c r="AB91" s="23" t="s">
        <v>960</v>
      </c>
      <c r="AC91" s="23" t="s">
        <v>2007</v>
      </c>
      <c r="AD91" s="27" t="n">
        <f aca="false">LEN(AC91)</f>
        <v>50</v>
      </c>
      <c r="AE91" s="23" t="s">
        <v>2008</v>
      </c>
      <c r="AF91" s="27" t="n">
        <f aca="false">LEN(AE91)</f>
        <v>157</v>
      </c>
    </row>
    <row r="92" customFormat="false" ht="15" hidden="false" customHeight="true" outlineLevel="0" collapsed="false">
      <c r="A92" s="23" t="s">
        <v>965</v>
      </c>
      <c r="B92" s="23" t="s">
        <v>1432</v>
      </c>
      <c r="C92" s="23" t="n">
        <v>91</v>
      </c>
      <c r="D92" s="23" t="s">
        <v>906</v>
      </c>
      <c r="E92" s="23"/>
      <c r="F92" s="23" t="s">
        <v>1451</v>
      </c>
      <c r="G92" s="23" t="s">
        <v>908</v>
      </c>
      <c r="H92" s="23" t="s">
        <v>435</v>
      </c>
      <c r="I92" s="23" t="s">
        <v>966</v>
      </c>
      <c r="J92" s="23" t="s">
        <v>2009</v>
      </c>
      <c r="K92" s="23" t="n">
        <v>15.99</v>
      </c>
      <c r="L92" s="23" t="s">
        <v>2010</v>
      </c>
      <c r="M92" s="23" t="s">
        <v>2011</v>
      </c>
      <c r="N92" s="23" t="s">
        <v>2012</v>
      </c>
      <c r="O92" s="23" t="s">
        <v>2013</v>
      </c>
      <c r="P92" s="23"/>
      <c r="Q92" s="24" t="n">
        <f aca="false">IF(L92="","",IFERROR(INDEX('Semrush Data'!$A$1:$Z$20000,MATCH(L92,'Semrush Data'!$A$1:$A$20000,0),MATCH("Volume",'Semrush Data'!$A$1:$Z$1,0)),""))</f>
        <v>0</v>
      </c>
      <c r="R92" s="24" t="str">
        <f aca="false">IF(M92="","",IFERROR(INDEX('Semrush Data'!$A$1:$Z$20000,MATCH(M92,'Semrush Data'!$A$1:$A$20000,0),MATCH("Volume",'Semrush Data'!$A$1:$Z$1,0)),""))</f>
        <v/>
      </c>
      <c r="S92" s="24" t="str">
        <f aca="false">IF(N92="","",IFERROR(INDEX('Semrush Data'!$A$1:$Z$20000,MATCH(N92,'Semrush Data'!$A$1:$A$20000,0),MATCH("Volume",'Semrush Data'!$A$1:$Z$1,0)),""))</f>
        <v/>
      </c>
      <c r="T92" s="24" t="str">
        <f aca="false">IF(O92="","",IFERROR(INDEX('Semrush Data'!$A$1:$Z$20000,MATCH(O92,'Semrush Data'!$A$1:$A$20000,0),MATCH("Volume",'Semrush Data'!$A$1:$Z$1,0)),""))</f>
        <v/>
      </c>
      <c r="U92" s="24" t="str">
        <f aca="false">IF(P92="","",IFERROR(INDEX('Semrush Data'!$A$1:$Z$20000,MATCH(P92,'Semrush Data'!$A$1:$A$20000,0),MATCH("Volume",'Semrush Data'!$A$1:$Z$1,0)),""))</f>
        <v/>
      </c>
      <c r="V92" s="25" t="str">
        <f aca="false">IF(COUNT(Q92:U92)=0,L92,IF(MAX(Q92:U92)=0,L92,INDEX(L92:P92,MATCH(MAX(Q92:U92),Q92:U92,0))))</f>
        <v>deyga rose &amp; geranium body butter</v>
      </c>
      <c r="W92" s="24" t="n">
        <f aca="false">IFERROR(INDEX('Semrush Data'!$A$1:$Z$20000,MATCH(V92,'Semrush Data'!$A$1:$A$20000,0),MATCH("Volume",'Semrush Data'!$A$1:$Z$1,0)),"")</f>
        <v>0</v>
      </c>
      <c r="X92" s="24" t="n">
        <f aca="false">IFERROR(INDEX('Semrush Data'!$A$1:$Z$20000,MATCH(V92,'Semrush Data'!$A$1:$A$20000,0),MATCH("Keyword Difficulty*",'Semrush Data'!$A$1:$Z$1,0)),"")</f>
        <v>12</v>
      </c>
      <c r="Y92" s="26" t="n">
        <f aca="false">IFERROR(INDEX('Semrush Data'!$A$1:$Z$20000,MATCH(V92,'Semrush Data'!$A$1:$A$20000,0),MATCH("CPC*",'Semrush Data'!$A$1:$Z$1,0)),"")</f>
        <v>0</v>
      </c>
      <c r="Z92" s="23" t="s">
        <v>1946</v>
      </c>
      <c r="AA92" s="23"/>
      <c r="AB92" s="23" t="s">
        <v>967</v>
      </c>
      <c r="AC92" s="23" t="s">
        <v>2014</v>
      </c>
      <c r="AD92" s="27" t="n">
        <f aca="false">LEN(AC92)</f>
        <v>60</v>
      </c>
      <c r="AE92" s="23" t="s">
        <v>2015</v>
      </c>
      <c r="AF92" s="27" t="n">
        <f aca="false">LEN(AE92)</f>
        <v>160</v>
      </c>
    </row>
    <row r="93" customFormat="false" ht="15" hidden="false" customHeight="true" outlineLevel="0" collapsed="false">
      <c r="A93" s="23" t="s">
        <v>971</v>
      </c>
      <c r="B93" s="23" t="s">
        <v>1432</v>
      </c>
      <c r="C93" s="23" t="n">
        <v>92</v>
      </c>
      <c r="D93" s="23" t="s">
        <v>906</v>
      </c>
      <c r="E93" s="23"/>
      <c r="F93" s="23" t="s">
        <v>1433</v>
      </c>
      <c r="G93" s="23" t="s">
        <v>561</v>
      </c>
      <c r="H93" s="23" t="s">
        <v>586</v>
      </c>
      <c r="I93" s="23" t="s">
        <v>972</v>
      </c>
      <c r="J93" s="23" t="s">
        <v>2016</v>
      </c>
      <c r="K93" s="23" t="n">
        <v>17.99</v>
      </c>
      <c r="L93" s="23" t="s">
        <v>2017</v>
      </c>
      <c r="M93" s="23" t="s">
        <v>2018</v>
      </c>
      <c r="N93" s="23" t="s">
        <v>2019</v>
      </c>
      <c r="O93" s="23" t="s">
        <v>2020</v>
      </c>
      <c r="P93" s="23"/>
      <c r="Q93" s="24" t="n">
        <f aca="false">IF(L93="","",IFERROR(INDEX('Semrush Data'!$A$1:$Z$20000,MATCH(L93,'Semrush Data'!$A$1:$A$20000,0),MATCH("Volume",'Semrush Data'!$A$1:$Z$1,0)),""))</f>
        <v>0</v>
      </c>
      <c r="R93" s="24" t="str">
        <f aca="false">IF(M93="","",IFERROR(INDEX('Semrush Data'!$A$1:$Z$20000,MATCH(M93,'Semrush Data'!$A$1:$A$20000,0),MATCH("Volume",'Semrush Data'!$A$1:$Z$1,0)),""))</f>
        <v/>
      </c>
      <c r="S93" s="24" t="str">
        <f aca="false">IF(N93="","",IFERROR(INDEX('Semrush Data'!$A$1:$Z$20000,MATCH(N93,'Semrush Data'!$A$1:$A$20000,0),MATCH("Volume",'Semrush Data'!$A$1:$Z$1,0)),""))</f>
        <v/>
      </c>
      <c r="T93" s="24" t="str">
        <f aca="false">IF(O93="","",IFERROR(INDEX('Semrush Data'!$A$1:$Z$20000,MATCH(O93,'Semrush Data'!$A$1:$A$20000,0),MATCH("Volume",'Semrush Data'!$A$1:$Z$1,0)),""))</f>
        <v/>
      </c>
      <c r="U93" s="24" t="str">
        <f aca="false">IF(P93="","",IFERROR(INDEX('Semrush Data'!$A$1:$Z$20000,MATCH(P93,'Semrush Data'!$A$1:$A$20000,0),MATCH("Volume",'Semrush Data'!$A$1:$Z$1,0)),""))</f>
        <v/>
      </c>
      <c r="V93" s="25" t="str">
        <f aca="false">IF(COUNT(Q93:U93)=0,L93,IF(MAX(Q93:U93)=0,L93,INDEX(L93:P93,MATCH(MAX(Q93:U93),Q93:U93,0))))</f>
        <v>deyga rose glow serum</v>
      </c>
      <c r="W93" s="24" t="n">
        <f aca="false">IFERROR(INDEX('Semrush Data'!$A$1:$Z$20000,MATCH(V93,'Semrush Data'!$A$1:$A$20000,0),MATCH("Volume",'Semrush Data'!$A$1:$Z$1,0)),"")</f>
        <v>0</v>
      </c>
      <c r="X93" s="24" t="n">
        <f aca="false">IFERROR(INDEX('Semrush Data'!$A$1:$Z$20000,MATCH(V93,'Semrush Data'!$A$1:$A$20000,0),MATCH("Keyword Difficulty*",'Semrush Data'!$A$1:$Z$1,0)),"")</f>
        <v>13</v>
      </c>
      <c r="Y93" s="26" t="n">
        <f aca="false">IFERROR(INDEX('Semrush Data'!$A$1:$Z$20000,MATCH(V93,'Semrush Data'!$A$1:$A$20000,0),MATCH("CPC*",'Semrush Data'!$A$1:$Z$1,0)),"")</f>
        <v>0</v>
      </c>
      <c r="Z93" s="23" t="s">
        <v>1984</v>
      </c>
      <c r="AA93" s="23" t="s">
        <v>977</v>
      </c>
      <c r="AB93" s="23" t="s">
        <v>973</v>
      </c>
      <c r="AC93" s="23" t="s">
        <v>2021</v>
      </c>
      <c r="AD93" s="27" t="n">
        <f aca="false">LEN(AC93)</f>
        <v>53</v>
      </c>
      <c r="AE93" s="23" t="s">
        <v>2022</v>
      </c>
      <c r="AF93" s="27" t="n">
        <f aca="false">LEN(AE93)</f>
        <v>159</v>
      </c>
    </row>
    <row r="94" customFormat="false" ht="15" hidden="false" customHeight="true" outlineLevel="0" collapsed="false">
      <c r="A94" s="23" t="s">
        <v>978</v>
      </c>
      <c r="B94" s="23" t="s">
        <v>1432</v>
      </c>
      <c r="C94" s="23" t="n">
        <v>93</v>
      </c>
      <c r="D94" s="23" t="s">
        <v>906</v>
      </c>
      <c r="E94" s="23"/>
      <c r="F94" s="23" t="s">
        <v>1433</v>
      </c>
      <c r="G94" s="23" t="s">
        <v>434</v>
      </c>
      <c r="H94" s="23" t="s">
        <v>435</v>
      </c>
      <c r="I94" s="23" t="s">
        <v>979</v>
      </c>
      <c r="J94" s="23" t="s">
        <v>1971</v>
      </c>
      <c r="K94" s="23" t="n">
        <v>18.99</v>
      </c>
      <c r="L94" s="23" t="s">
        <v>2023</v>
      </c>
      <c r="M94" s="23" t="s">
        <v>2024</v>
      </c>
      <c r="N94" s="23" t="s">
        <v>2025</v>
      </c>
      <c r="O94" s="23" t="s">
        <v>2026</v>
      </c>
      <c r="P94" s="23"/>
      <c r="Q94" s="24" t="n">
        <f aca="false">IF(L94="","",IFERROR(INDEX('Semrush Data'!$A$1:$Z$20000,MATCH(L94,'Semrush Data'!$A$1:$A$20000,0),MATCH("Volume",'Semrush Data'!$A$1:$Z$1,0)),""))</f>
        <v>0</v>
      </c>
      <c r="R94" s="24" t="str">
        <f aca="false">IF(M94="","",IFERROR(INDEX('Semrush Data'!$A$1:$Z$20000,MATCH(M94,'Semrush Data'!$A$1:$A$20000,0),MATCH("Volume",'Semrush Data'!$A$1:$Z$1,0)),""))</f>
        <v/>
      </c>
      <c r="S94" s="24" t="str">
        <f aca="false">IF(N94="","",IFERROR(INDEX('Semrush Data'!$A$1:$Z$20000,MATCH(N94,'Semrush Data'!$A$1:$A$20000,0),MATCH("Volume",'Semrush Data'!$A$1:$Z$1,0)),""))</f>
        <v/>
      </c>
      <c r="T94" s="24" t="str">
        <f aca="false">IF(O94="","",IFERROR(INDEX('Semrush Data'!$A$1:$Z$20000,MATCH(O94,'Semrush Data'!$A$1:$A$20000,0),MATCH("Volume",'Semrush Data'!$A$1:$Z$1,0)),""))</f>
        <v/>
      </c>
      <c r="U94" s="24" t="str">
        <f aca="false">IF(P94="","",IFERROR(INDEX('Semrush Data'!$A$1:$Z$20000,MATCH(P94,'Semrush Data'!$A$1:$A$20000,0),MATCH("Volume",'Semrush Data'!$A$1:$Z$1,0)),""))</f>
        <v/>
      </c>
      <c r="V94" s="25" t="str">
        <f aca="false">IF(COUNT(Q94:U94)=0,L94,IF(MAX(Q94:U94)=0,L94,INDEX(L94:P94,MATCH(MAX(Q94:U94),Q94:U94,0))))</f>
        <v>deyga light moisturising face cream</v>
      </c>
      <c r="W94" s="24" t="n">
        <f aca="false">IFERROR(INDEX('Semrush Data'!$A$1:$Z$20000,MATCH(V94,'Semrush Data'!$A$1:$A$20000,0),MATCH("Volume",'Semrush Data'!$A$1:$Z$1,0)),"")</f>
        <v>0</v>
      </c>
      <c r="X94" s="24" t="n">
        <f aca="false">IFERROR(INDEX('Semrush Data'!$A$1:$Z$20000,MATCH(V94,'Semrush Data'!$A$1:$A$20000,0),MATCH("Keyword Difficulty*",'Semrush Data'!$A$1:$Z$1,0)),"")</f>
        <v>22</v>
      </c>
      <c r="Y94" s="26" t="n">
        <f aca="false">IFERROR(INDEX('Semrush Data'!$A$1:$Z$20000,MATCH(V94,'Semrush Data'!$A$1:$A$20000,0),MATCH("CPC*",'Semrush Data'!$A$1:$Z$1,0)),"")</f>
        <v>0</v>
      </c>
      <c r="Z94" s="23" t="s">
        <v>1976</v>
      </c>
      <c r="AA94" s="23"/>
      <c r="AB94" s="23" t="s">
        <v>981</v>
      </c>
      <c r="AC94" s="23" t="s">
        <v>2027</v>
      </c>
      <c r="AD94" s="27" t="n">
        <f aca="false">LEN(AC94)</f>
        <v>49</v>
      </c>
      <c r="AE94" s="23" t="s">
        <v>2028</v>
      </c>
      <c r="AF94" s="27" t="n">
        <f aca="false">LEN(AE94)</f>
        <v>160</v>
      </c>
    </row>
    <row r="95" customFormat="false" ht="15" hidden="false" customHeight="true" outlineLevel="0" collapsed="false">
      <c r="A95" s="23" t="s">
        <v>985</v>
      </c>
      <c r="B95" s="23" t="s">
        <v>1432</v>
      </c>
      <c r="C95" s="23" t="n">
        <v>94</v>
      </c>
      <c r="D95" s="23" t="s">
        <v>906</v>
      </c>
      <c r="E95" s="23"/>
      <c r="F95" s="23" t="s">
        <v>1451</v>
      </c>
      <c r="G95" s="23" t="s">
        <v>987</v>
      </c>
      <c r="H95" s="23" t="s">
        <v>435</v>
      </c>
      <c r="I95" s="23" t="s">
        <v>986</v>
      </c>
      <c r="J95" s="23" t="s">
        <v>2029</v>
      </c>
      <c r="K95" s="23" t="n">
        <v>16.99</v>
      </c>
      <c r="L95" s="23" t="s">
        <v>2030</v>
      </c>
      <c r="M95" s="23" t="s">
        <v>2031</v>
      </c>
      <c r="N95" s="23" t="s">
        <v>2032</v>
      </c>
      <c r="O95" s="23" t="s">
        <v>2033</v>
      </c>
      <c r="P95" s="23"/>
      <c r="Q95" s="24" t="n">
        <f aca="false">IF(L95="","",IFERROR(INDEX('Semrush Data'!$A$1:$Z$20000,MATCH(L95,'Semrush Data'!$A$1:$A$20000,0),MATCH("Volume",'Semrush Data'!$A$1:$Z$1,0)),""))</f>
        <v>0</v>
      </c>
      <c r="R95" s="24" t="str">
        <f aca="false">IF(M95="","",IFERROR(INDEX('Semrush Data'!$A$1:$Z$20000,MATCH(M95,'Semrush Data'!$A$1:$A$20000,0),MATCH("Volume",'Semrush Data'!$A$1:$Z$1,0)),""))</f>
        <v/>
      </c>
      <c r="S95" s="24" t="str">
        <f aca="false">IF(N95="","",IFERROR(INDEX('Semrush Data'!$A$1:$Z$20000,MATCH(N95,'Semrush Data'!$A$1:$A$20000,0),MATCH("Volume",'Semrush Data'!$A$1:$Z$1,0)),""))</f>
        <v/>
      </c>
      <c r="T95" s="24" t="str">
        <f aca="false">IF(O95="","",IFERROR(INDEX('Semrush Data'!$A$1:$Z$20000,MATCH(O95,'Semrush Data'!$A$1:$A$20000,0),MATCH("Volume",'Semrush Data'!$A$1:$Z$1,0)),""))</f>
        <v/>
      </c>
      <c r="U95" s="24" t="str">
        <f aca="false">IF(P95="","",IFERROR(INDEX('Semrush Data'!$A$1:$Z$20000,MATCH(P95,'Semrush Data'!$A$1:$A$20000,0),MATCH("Volume",'Semrush Data'!$A$1:$Z$1,0)),""))</f>
        <v/>
      </c>
      <c r="V95" s="25" t="str">
        <f aca="false">IF(COUNT(Q95:U95)=0,L95,IF(MAX(Q95:U95)=0,L95,INDEX(L95:P95,MATCH(MAX(Q95:U95),Q95:U95,0))))</f>
        <v>deyga foot soak powder</v>
      </c>
      <c r="W95" s="24" t="n">
        <f aca="false">IFERROR(INDEX('Semrush Data'!$A$1:$Z$20000,MATCH(V95,'Semrush Data'!$A$1:$A$20000,0),MATCH("Volume",'Semrush Data'!$A$1:$Z$1,0)),"")</f>
        <v>0</v>
      </c>
      <c r="X95" s="24" t="n">
        <f aca="false">IFERROR(INDEX('Semrush Data'!$A$1:$Z$20000,MATCH(V95,'Semrush Data'!$A$1:$A$20000,0),MATCH("Keyword Difficulty*",'Semrush Data'!$A$1:$Z$1,0)),"")</f>
        <v>14</v>
      </c>
      <c r="Y95" s="26" t="n">
        <f aca="false">IFERROR(INDEX('Semrush Data'!$A$1:$Z$20000,MATCH(V95,'Semrush Data'!$A$1:$A$20000,0),MATCH("CPC*",'Semrush Data'!$A$1:$Z$1,0)),"")</f>
        <v>0</v>
      </c>
      <c r="Z95" s="23" t="s">
        <v>2034</v>
      </c>
      <c r="AA95" s="23"/>
      <c r="AB95" s="23" t="s">
        <v>988</v>
      </c>
      <c r="AC95" s="23" t="s">
        <v>2035</v>
      </c>
      <c r="AD95" s="27" t="n">
        <f aca="false">LEN(AC95)</f>
        <v>54</v>
      </c>
      <c r="AE95" s="23" t="s">
        <v>2036</v>
      </c>
      <c r="AF95" s="27" t="n">
        <f aca="false">LEN(AE95)</f>
        <v>156</v>
      </c>
    </row>
    <row r="96" customFormat="false" ht="15" hidden="false" customHeight="true" outlineLevel="0" collapsed="false">
      <c r="A96" s="23" t="s">
        <v>992</v>
      </c>
      <c r="B96" s="23" t="s">
        <v>1432</v>
      </c>
      <c r="C96" s="23" t="n">
        <v>95</v>
      </c>
      <c r="D96" s="23" t="s">
        <v>906</v>
      </c>
      <c r="E96" s="23"/>
      <c r="F96" s="23" t="s">
        <v>1433</v>
      </c>
      <c r="G96" s="23" t="s">
        <v>425</v>
      </c>
      <c r="H96" s="23" t="s">
        <v>376</v>
      </c>
      <c r="I96" s="23" t="s">
        <v>993</v>
      </c>
      <c r="J96" s="23" t="s">
        <v>1994</v>
      </c>
      <c r="K96" s="23" t="n">
        <v>15.99</v>
      </c>
      <c r="L96" s="23" t="s">
        <v>2037</v>
      </c>
      <c r="M96" s="23" t="s">
        <v>2038</v>
      </c>
      <c r="N96" s="23" t="s">
        <v>2039</v>
      </c>
      <c r="O96" s="23" t="s">
        <v>2040</v>
      </c>
      <c r="P96" s="23"/>
      <c r="Q96" s="24" t="n">
        <f aca="false">IF(L96="","",IFERROR(INDEX('Semrush Data'!$A$1:$Z$20000,MATCH(L96,'Semrush Data'!$A$1:$A$20000,0),MATCH("Volume",'Semrush Data'!$A$1:$Z$1,0)),""))</f>
        <v>0</v>
      </c>
      <c r="R96" s="24" t="str">
        <f aca="false">IF(M96="","",IFERROR(INDEX('Semrush Data'!$A$1:$Z$20000,MATCH(M96,'Semrush Data'!$A$1:$A$20000,0),MATCH("Volume",'Semrush Data'!$A$1:$Z$1,0)),""))</f>
        <v/>
      </c>
      <c r="S96" s="24" t="str">
        <f aca="false">IF(N96="","",IFERROR(INDEX('Semrush Data'!$A$1:$Z$20000,MATCH(N96,'Semrush Data'!$A$1:$A$20000,0),MATCH("Volume",'Semrush Data'!$A$1:$Z$1,0)),""))</f>
        <v/>
      </c>
      <c r="T96" s="24" t="str">
        <f aca="false">IF(O96="","",IFERROR(INDEX('Semrush Data'!$A$1:$Z$20000,MATCH(O96,'Semrush Data'!$A$1:$A$20000,0),MATCH("Volume",'Semrush Data'!$A$1:$Z$1,0)),""))</f>
        <v/>
      </c>
      <c r="U96" s="24" t="str">
        <f aca="false">IF(P96="","",IFERROR(INDEX('Semrush Data'!$A$1:$Z$20000,MATCH(P96,'Semrush Data'!$A$1:$A$20000,0),MATCH("Volume",'Semrush Data'!$A$1:$Z$1,0)),""))</f>
        <v/>
      </c>
      <c r="V96" s="25" t="str">
        <f aca="false">IF(COUNT(Q96:U96)=0,L96,IF(MAX(Q96:U96)=0,L96,INDEX(L96:P96,MATCH(MAX(Q96:U96),Q96:U96,0))))</f>
        <v>deyga vitamin c foaming face wash</v>
      </c>
      <c r="W96" s="24" t="n">
        <f aca="false">IFERROR(INDEX('Semrush Data'!$A$1:$Z$20000,MATCH(V96,'Semrush Data'!$A$1:$A$20000,0),MATCH("Volume",'Semrush Data'!$A$1:$Z$1,0)),"")</f>
        <v>0</v>
      </c>
      <c r="X96" s="24" t="n">
        <f aca="false">IFERROR(INDEX('Semrush Data'!$A$1:$Z$20000,MATCH(V96,'Semrush Data'!$A$1:$A$20000,0),MATCH("Keyword Difficulty*",'Semrush Data'!$A$1:$Z$1,0)),"")</f>
        <v>15</v>
      </c>
      <c r="Y96" s="26" t="n">
        <f aca="false">IFERROR(INDEX('Semrush Data'!$A$1:$Z$20000,MATCH(V96,'Semrush Data'!$A$1:$A$20000,0),MATCH("CPC*",'Semrush Data'!$A$1:$Z$1,0)),"")</f>
        <v>0</v>
      </c>
      <c r="Z96" s="23" t="s">
        <v>2041</v>
      </c>
      <c r="AA96" s="23" t="s">
        <v>998</v>
      </c>
      <c r="AB96" s="23" t="s">
        <v>994</v>
      </c>
      <c r="AC96" s="23" t="s">
        <v>2042</v>
      </c>
      <c r="AD96" s="27" t="n">
        <f aca="false">LEN(AC96)</f>
        <v>60</v>
      </c>
      <c r="AE96" s="23" t="s">
        <v>2043</v>
      </c>
      <c r="AF96" s="27" t="n">
        <f aca="false">LEN(AE96)</f>
        <v>159</v>
      </c>
    </row>
    <row r="97" customFormat="false" ht="15" hidden="false" customHeight="true" outlineLevel="0" collapsed="false">
      <c r="A97" s="23" t="s">
        <v>999</v>
      </c>
      <c r="B97" s="23" t="s">
        <v>1432</v>
      </c>
      <c r="C97" s="23" t="n">
        <v>96</v>
      </c>
      <c r="D97" s="23" t="s">
        <v>906</v>
      </c>
      <c r="E97" s="23"/>
      <c r="F97" s="23" t="s">
        <v>1451</v>
      </c>
      <c r="G97" s="23" t="s">
        <v>396</v>
      </c>
      <c r="H97" s="23" t="s">
        <v>397</v>
      </c>
      <c r="I97" s="23" t="s">
        <v>1000</v>
      </c>
      <c r="J97" s="23" t="s">
        <v>1956</v>
      </c>
      <c r="K97" s="23" t="n">
        <v>16.99</v>
      </c>
      <c r="L97" s="23" t="s">
        <v>2044</v>
      </c>
      <c r="M97" s="23" t="s">
        <v>2045</v>
      </c>
      <c r="N97" s="23" t="s">
        <v>2046</v>
      </c>
      <c r="O97" s="23" t="s">
        <v>2047</v>
      </c>
      <c r="P97" s="23"/>
      <c r="Q97" s="24" t="n">
        <f aca="false">IF(L97="","",IFERROR(INDEX('Semrush Data'!$A$1:$Z$20000,MATCH(L97,'Semrush Data'!$A$1:$A$20000,0),MATCH("Volume",'Semrush Data'!$A$1:$Z$1,0)),""))</f>
        <v>0</v>
      </c>
      <c r="R97" s="24" t="str">
        <f aca="false">IF(M97="","",IFERROR(INDEX('Semrush Data'!$A$1:$Z$20000,MATCH(M97,'Semrush Data'!$A$1:$A$20000,0),MATCH("Volume",'Semrush Data'!$A$1:$Z$1,0)),""))</f>
        <v/>
      </c>
      <c r="S97" s="24" t="str">
        <f aca="false">IF(N97="","",IFERROR(INDEX('Semrush Data'!$A$1:$Z$20000,MATCH(N97,'Semrush Data'!$A$1:$A$20000,0),MATCH("Volume",'Semrush Data'!$A$1:$Z$1,0)),""))</f>
        <v/>
      </c>
      <c r="T97" s="24" t="str">
        <f aca="false">IF(O97="","",IFERROR(INDEX('Semrush Data'!$A$1:$Z$20000,MATCH(O97,'Semrush Data'!$A$1:$A$20000,0),MATCH("Volume",'Semrush Data'!$A$1:$Z$1,0)),""))</f>
        <v/>
      </c>
      <c r="U97" s="24" t="str">
        <f aca="false">IF(P97="","",IFERROR(INDEX('Semrush Data'!$A$1:$Z$20000,MATCH(P97,'Semrush Data'!$A$1:$A$20000,0),MATCH("Volume",'Semrush Data'!$A$1:$Z$1,0)),""))</f>
        <v/>
      </c>
      <c r="V97" s="25" t="str">
        <f aca="false">IF(COUNT(Q97:U97)=0,L97,IF(MAX(Q97:U97)=0,L97,INDEX(L97:P97,MATCH(MAX(Q97:U97),Q97:U97,0))))</f>
        <v>deyga wild berry body wash</v>
      </c>
      <c r="W97" s="24" t="n">
        <f aca="false">IFERROR(INDEX('Semrush Data'!$A$1:$Z$20000,MATCH(V97,'Semrush Data'!$A$1:$A$20000,0),MATCH("Volume",'Semrush Data'!$A$1:$Z$1,0)),"")</f>
        <v>0</v>
      </c>
      <c r="X97" s="24" t="n">
        <f aca="false">IFERROR(INDEX('Semrush Data'!$A$1:$Z$20000,MATCH(V97,'Semrush Data'!$A$1:$A$20000,0),MATCH("Keyword Difficulty*",'Semrush Data'!$A$1:$Z$1,0)),"")</f>
        <v>16</v>
      </c>
      <c r="Y97" s="26" t="n">
        <f aca="false">IFERROR(INDEX('Semrush Data'!$A$1:$Z$20000,MATCH(V97,'Semrush Data'!$A$1:$A$20000,0),MATCH("CPC*",'Semrush Data'!$A$1:$Z$1,0)),"")</f>
        <v>0</v>
      </c>
      <c r="Z97" s="23" t="s">
        <v>1961</v>
      </c>
      <c r="AA97" s="23" t="s">
        <v>1005</v>
      </c>
      <c r="AB97" s="23" t="s">
        <v>1001</v>
      </c>
      <c r="AC97" s="23" t="s">
        <v>2048</v>
      </c>
      <c r="AD97" s="27" t="n">
        <f aca="false">LEN(AC97)</f>
        <v>53</v>
      </c>
      <c r="AE97" s="23" t="s">
        <v>2049</v>
      </c>
      <c r="AF97" s="27" t="n">
        <f aca="false">LEN(AE97)</f>
        <v>160</v>
      </c>
    </row>
    <row r="98" customFormat="false" ht="15" hidden="false" customHeight="true" outlineLevel="0" collapsed="false">
      <c r="A98" s="23" t="s">
        <v>1006</v>
      </c>
      <c r="B98" s="23" t="s">
        <v>1432</v>
      </c>
      <c r="C98" s="23" t="n">
        <v>97</v>
      </c>
      <c r="D98" s="23" t="s">
        <v>906</v>
      </c>
      <c r="E98" s="23"/>
      <c r="F98" s="23" t="s">
        <v>1451</v>
      </c>
      <c r="G98" s="23" t="s">
        <v>1008</v>
      </c>
      <c r="H98" s="23" t="s">
        <v>407</v>
      </c>
      <c r="I98" s="23" t="s">
        <v>1007</v>
      </c>
      <c r="J98" s="23" t="s">
        <v>2016</v>
      </c>
      <c r="K98" s="23" t="n">
        <v>14.99</v>
      </c>
      <c r="L98" s="23" t="s">
        <v>2050</v>
      </c>
      <c r="M98" s="23" t="s">
        <v>2051</v>
      </c>
      <c r="N98" s="23" t="s">
        <v>2052</v>
      </c>
      <c r="O98" s="23" t="s">
        <v>2053</v>
      </c>
      <c r="P98" s="23"/>
      <c r="Q98" s="24" t="n">
        <f aca="false">IF(L98="","",IFERROR(INDEX('Semrush Data'!$A$1:$Z$20000,MATCH(L98,'Semrush Data'!$A$1:$A$20000,0),MATCH("Volume",'Semrush Data'!$A$1:$Z$1,0)),""))</f>
        <v>0</v>
      </c>
      <c r="R98" s="24" t="str">
        <f aca="false">IF(M98="","",IFERROR(INDEX('Semrush Data'!$A$1:$Z$20000,MATCH(M98,'Semrush Data'!$A$1:$A$20000,0),MATCH("Volume",'Semrush Data'!$A$1:$Z$1,0)),""))</f>
        <v/>
      </c>
      <c r="S98" s="24" t="str">
        <f aca="false">IF(N98="","",IFERROR(INDEX('Semrush Data'!$A$1:$Z$20000,MATCH(N98,'Semrush Data'!$A$1:$A$20000,0),MATCH("Volume",'Semrush Data'!$A$1:$Z$1,0)),""))</f>
        <v/>
      </c>
      <c r="T98" s="24" t="str">
        <f aca="false">IF(O98="","",IFERROR(INDEX('Semrush Data'!$A$1:$Z$20000,MATCH(O98,'Semrush Data'!$A$1:$A$20000,0),MATCH("Volume",'Semrush Data'!$A$1:$Z$1,0)),""))</f>
        <v/>
      </c>
      <c r="U98" s="24" t="str">
        <f aca="false">IF(P98="","",IFERROR(INDEX('Semrush Data'!$A$1:$Z$20000,MATCH(P98,'Semrush Data'!$A$1:$A$20000,0),MATCH("Volume",'Semrush Data'!$A$1:$Z$1,0)),""))</f>
        <v/>
      </c>
      <c r="V98" s="25" t="str">
        <f aca="false">IF(COUNT(Q98:U98)=0,L98,IF(MAX(Q98:U98)=0,L98,INDEX(L98:P98,MATCH(MAX(Q98:U98),Q98:U98,0))))</f>
        <v>deyga neem seed oil</v>
      </c>
      <c r="W98" s="24" t="n">
        <f aca="false">IFERROR(INDEX('Semrush Data'!$A$1:$Z$20000,MATCH(V98,'Semrush Data'!$A$1:$A$20000,0),MATCH("Volume",'Semrush Data'!$A$1:$Z$1,0)),"")</f>
        <v>0</v>
      </c>
      <c r="X98" s="24" t="n">
        <f aca="false">IFERROR(INDEX('Semrush Data'!$A$1:$Z$20000,MATCH(V98,'Semrush Data'!$A$1:$A$20000,0),MATCH("Keyword Difficulty*",'Semrush Data'!$A$1:$Z$1,0)),"")</f>
        <v>16</v>
      </c>
      <c r="Y98" s="26" t="n">
        <f aca="false">IFERROR(INDEX('Semrush Data'!$A$1:$Z$20000,MATCH(V98,'Semrush Data'!$A$1:$A$20000,0),MATCH("CPC*",'Semrush Data'!$A$1:$Z$1,0)),"")</f>
        <v>0</v>
      </c>
      <c r="Z98" s="23" t="s">
        <v>2054</v>
      </c>
      <c r="AA98" s="23" t="s">
        <v>1013</v>
      </c>
      <c r="AB98" s="23" t="s">
        <v>1009</v>
      </c>
      <c r="AC98" s="23" t="s">
        <v>2055</v>
      </c>
      <c r="AD98" s="27" t="n">
        <f aca="false">LEN(AC98)</f>
        <v>51</v>
      </c>
      <c r="AE98" s="23" t="s">
        <v>2056</v>
      </c>
      <c r="AF98" s="27" t="n">
        <f aca="false">LEN(AE98)</f>
        <v>160</v>
      </c>
    </row>
    <row r="99" customFormat="false" ht="15" hidden="false" customHeight="true" outlineLevel="0" collapsed="false">
      <c r="A99" s="23" t="s">
        <v>1014</v>
      </c>
      <c r="B99" s="23" t="s">
        <v>1432</v>
      </c>
      <c r="C99" s="23" t="n">
        <v>98</v>
      </c>
      <c r="D99" s="23" t="s">
        <v>906</v>
      </c>
      <c r="E99" s="23"/>
      <c r="F99" s="23" t="s">
        <v>1433</v>
      </c>
      <c r="G99" s="23" t="s">
        <v>947</v>
      </c>
      <c r="H99" s="23" t="s">
        <v>376</v>
      </c>
      <c r="I99" s="23" t="s">
        <v>1015</v>
      </c>
      <c r="J99" s="23" t="s">
        <v>2057</v>
      </c>
      <c r="K99" s="23" t="n">
        <v>15.99</v>
      </c>
      <c r="L99" s="23" t="s">
        <v>2058</v>
      </c>
      <c r="M99" s="23" t="s">
        <v>2059</v>
      </c>
      <c r="N99" s="23" t="s">
        <v>2060</v>
      </c>
      <c r="O99" s="23" t="s">
        <v>2061</v>
      </c>
      <c r="P99" s="23"/>
      <c r="Q99" s="24" t="n">
        <f aca="false">IF(L99="","",IFERROR(INDEX('Semrush Data'!$A$1:$Z$20000,MATCH(L99,'Semrush Data'!$A$1:$A$20000,0),MATCH("Volume",'Semrush Data'!$A$1:$Z$1,0)),""))</f>
        <v>0</v>
      </c>
      <c r="R99" s="24" t="str">
        <f aca="false">IF(M99="","",IFERROR(INDEX('Semrush Data'!$A$1:$Z$20000,MATCH(M99,'Semrush Data'!$A$1:$A$20000,0),MATCH("Volume",'Semrush Data'!$A$1:$Z$1,0)),""))</f>
        <v/>
      </c>
      <c r="S99" s="24" t="str">
        <f aca="false">IF(N99="","",IFERROR(INDEX('Semrush Data'!$A$1:$Z$20000,MATCH(N99,'Semrush Data'!$A$1:$A$20000,0),MATCH("Volume",'Semrush Data'!$A$1:$Z$1,0)),""))</f>
        <v/>
      </c>
      <c r="T99" s="24" t="str">
        <f aca="false">IF(O99="","",IFERROR(INDEX('Semrush Data'!$A$1:$Z$20000,MATCH(O99,'Semrush Data'!$A$1:$A$20000,0),MATCH("Volume",'Semrush Data'!$A$1:$Z$1,0)),""))</f>
        <v/>
      </c>
      <c r="U99" s="24" t="str">
        <f aca="false">IF(P99="","",IFERROR(INDEX('Semrush Data'!$A$1:$Z$20000,MATCH(P99,'Semrush Data'!$A$1:$A$20000,0),MATCH("Volume",'Semrush Data'!$A$1:$Z$1,0)),""))</f>
        <v/>
      </c>
      <c r="V99" s="25" t="str">
        <f aca="false">IF(COUNT(Q99:U99)=0,L99,IF(MAX(Q99:U99)=0,L99,INDEX(L99:P99,MATCH(MAX(Q99:U99),Q99:U99,0))))</f>
        <v>deyga under eye mask</v>
      </c>
      <c r="W99" s="24" t="n">
        <f aca="false">IFERROR(INDEX('Semrush Data'!$A$1:$Z$20000,MATCH(V99,'Semrush Data'!$A$1:$A$20000,0),MATCH("Volume",'Semrush Data'!$A$1:$Z$1,0)),"")</f>
        <v>0</v>
      </c>
      <c r="X99" s="24" t="n">
        <f aca="false">IFERROR(INDEX('Semrush Data'!$A$1:$Z$20000,MATCH(V99,'Semrush Data'!$A$1:$A$20000,0),MATCH("Keyword Difficulty*",'Semrush Data'!$A$1:$Z$1,0)),"")</f>
        <v>19</v>
      </c>
      <c r="Y99" s="26" t="n">
        <f aca="false">IFERROR(INDEX('Semrush Data'!$A$1:$Z$20000,MATCH(V99,'Semrush Data'!$A$1:$A$20000,0),MATCH("CPC*",'Semrush Data'!$A$1:$Z$1,0)),"")</f>
        <v>0</v>
      </c>
      <c r="Z99" s="23" t="s">
        <v>1991</v>
      </c>
      <c r="AA99" s="23" t="s">
        <v>1020</v>
      </c>
      <c r="AB99" s="23" t="s">
        <v>1016</v>
      </c>
      <c r="AC99" s="23" t="s">
        <v>2062</v>
      </c>
      <c r="AD99" s="27" t="n">
        <f aca="false">LEN(AC99)</f>
        <v>51</v>
      </c>
      <c r="AE99" s="23" t="s">
        <v>2063</v>
      </c>
      <c r="AF99" s="27" t="n">
        <f aca="false">LEN(AE99)</f>
        <v>160</v>
      </c>
    </row>
    <row r="100" customFormat="false" ht="15" hidden="false" customHeight="true" outlineLevel="0" collapsed="false">
      <c r="A100" s="23" t="s">
        <v>1021</v>
      </c>
      <c r="B100" s="23" t="s">
        <v>1432</v>
      </c>
      <c r="C100" s="23" t="n">
        <v>99</v>
      </c>
      <c r="D100" s="23" t="s">
        <v>906</v>
      </c>
      <c r="E100" s="23"/>
      <c r="F100" s="23" t="s">
        <v>1433</v>
      </c>
      <c r="G100" s="23" t="s">
        <v>947</v>
      </c>
      <c r="H100" s="23" t="s">
        <v>376</v>
      </c>
      <c r="I100" s="23" t="s">
        <v>1022</v>
      </c>
      <c r="J100" s="23" t="s">
        <v>2064</v>
      </c>
      <c r="K100" s="23" t="n">
        <v>17.99</v>
      </c>
      <c r="L100" s="23" t="s">
        <v>2065</v>
      </c>
      <c r="M100" s="23" t="s">
        <v>2066</v>
      </c>
      <c r="N100" s="23" t="s">
        <v>2067</v>
      </c>
      <c r="O100" s="23" t="s">
        <v>2068</v>
      </c>
      <c r="P100" s="23"/>
      <c r="Q100" s="24" t="n">
        <f aca="false">IF(L100="","",IFERROR(INDEX('Semrush Data'!$A$1:$Z$20000,MATCH(L100,'Semrush Data'!$A$1:$A$20000,0),MATCH("Volume",'Semrush Data'!$A$1:$Z$1,0)),""))</f>
        <v>0</v>
      </c>
      <c r="R100" s="24" t="str">
        <f aca="false">IF(M100="","",IFERROR(INDEX('Semrush Data'!$A$1:$Z$20000,MATCH(M100,'Semrush Data'!$A$1:$A$20000,0),MATCH("Volume",'Semrush Data'!$A$1:$Z$1,0)),""))</f>
        <v/>
      </c>
      <c r="S100" s="24" t="str">
        <f aca="false">IF(N100="","",IFERROR(INDEX('Semrush Data'!$A$1:$Z$20000,MATCH(N100,'Semrush Data'!$A$1:$A$20000,0),MATCH("Volume",'Semrush Data'!$A$1:$Z$1,0)),""))</f>
        <v/>
      </c>
      <c r="T100" s="24" t="str">
        <f aca="false">IF(O100="","",IFERROR(INDEX('Semrush Data'!$A$1:$Z$20000,MATCH(O100,'Semrush Data'!$A$1:$A$20000,0),MATCH("Volume",'Semrush Data'!$A$1:$Z$1,0)),""))</f>
        <v/>
      </c>
      <c r="U100" s="24" t="str">
        <f aca="false">IF(P100="","",IFERROR(INDEX('Semrush Data'!$A$1:$Z$20000,MATCH(P100,'Semrush Data'!$A$1:$A$20000,0),MATCH("Volume",'Semrush Data'!$A$1:$Z$1,0)),""))</f>
        <v/>
      </c>
      <c r="V100" s="25" t="str">
        <f aca="false">IF(COUNT(Q100:U100)=0,L100,IF(MAX(Q100:U100)=0,L100,INDEX(L100:P100,MATCH(MAX(Q100:U100),Q100:U100,0))))</f>
        <v>deyga spirulina matcha face pack</v>
      </c>
      <c r="W100" s="24" t="n">
        <f aca="false">IFERROR(INDEX('Semrush Data'!$A$1:$Z$20000,MATCH(V100,'Semrush Data'!$A$1:$A$20000,0),MATCH("Volume",'Semrush Data'!$A$1:$Z$1,0)),"")</f>
        <v>0</v>
      </c>
      <c r="X100" s="24" t="n">
        <f aca="false">IFERROR(INDEX('Semrush Data'!$A$1:$Z$20000,MATCH(V100,'Semrush Data'!$A$1:$A$20000,0),MATCH("Keyword Difficulty*",'Semrush Data'!$A$1:$Z$1,0)),"")</f>
        <v>20</v>
      </c>
      <c r="Y100" s="26" t="n">
        <f aca="false">IFERROR(INDEX('Semrush Data'!$A$1:$Z$20000,MATCH(V100,'Semrush Data'!$A$1:$A$20000,0),MATCH("CPC*",'Semrush Data'!$A$1:$Z$1,0)),"")</f>
        <v>0</v>
      </c>
      <c r="Z100" s="23" t="s">
        <v>1991</v>
      </c>
      <c r="AA100" s="23"/>
      <c r="AB100" s="23" t="s">
        <v>1023</v>
      </c>
      <c r="AC100" s="23" t="s">
        <v>2069</v>
      </c>
      <c r="AD100" s="27" t="n">
        <f aca="false">LEN(AC100)</f>
        <v>59</v>
      </c>
      <c r="AE100" s="23" t="s">
        <v>2070</v>
      </c>
      <c r="AF100" s="27" t="n">
        <f aca="false">LEN(AE100)</f>
        <v>157</v>
      </c>
    </row>
    <row r="101" customFormat="false" ht="15" hidden="false" customHeight="true" outlineLevel="0" collapsed="false">
      <c r="A101" s="23" t="s">
        <v>1027</v>
      </c>
      <c r="B101" s="23" t="s">
        <v>1432</v>
      </c>
      <c r="C101" s="23" t="n">
        <v>100</v>
      </c>
      <c r="D101" s="23" t="s">
        <v>906</v>
      </c>
      <c r="E101" s="23"/>
      <c r="F101" s="23" t="s">
        <v>1433</v>
      </c>
      <c r="G101" s="23" t="s">
        <v>375</v>
      </c>
      <c r="H101" s="23" t="s">
        <v>376</v>
      </c>
      <c r="I101" s="23" t="s">
        <v>1028</v>
      </c>
      <c r="J101" s="23" t="s">
        <v>1994</v>
      </c>
      <c r="K101" s="23" t="n">
        <v>14.99</v>
      </c>
      <c r="L101" s="23" t="s">
        <v>2071</v>
      </c>
      <c r="M101" s="23" t="s">
        <v>2072</v>
      </c>
      <c r="N101" s="23" t="s">
        <v>2073</v>
      </c>
      <c r="O101" s="23" t="s">
        <v>2074</v>
      </c>
      <c r="P101" s="23"/>
      <c r="Q101" s="24" t="n">
        <f aca="false">IF(L101="","",IFERROR(INDEX('Semrush Data'!$A$1:$Z$20000,MATCH(L101,'Semrush Data'!$A$1:$A$20000,0),MATCH("Volume",'Semrush Data'!$A$1:$Z$1,0)),""))</f>
        <v>0</v>
      </c>
      <c r="R101" s="24" t="str">
        <f aca="false">IF(M101="","",IFERROR(INDEX('Semrush Data'!$A$1:$Z$20000,MATCH(M101,'Semrush Data'!$A$1:$A$20000,0),MATCH("Volume",'Semrush Data'!$A$1:$Z$1,0)),""))</f>
        <v/>
      </c>
      <c r="S101" s="24" t="str">
        <f aca="false">IF(N101="","",IFERROR(INDEX('Semrush Data'!$A$1:$Z$20000,MATCH(N101,'Semrush Data'!$A$1:$A$20000,0),MATCH("Volume",'Semrush Data'!$A$1:$Z$1,0)),""))</f>
        <v/>
      </c>
      <c r="T101" s="24" t="str">
        <f aca="false">IF(O101="","",IFERROR(INDEX('Semrush Data'!$A$1:$Z$20000,MATCH(O101,'Semrush Data'!$A$1:$A$20000,0),MATCH("Volume",'Semrush Data'!$A$1:$Z$1,0)),""))</f>
        <v/>
      </c>
      <c r="U101" s="24" t="str">
        <f aca="false">IF(P101="","",IFERROR(INDEX('Semrush Data'!$A$1:$Z$20000,MATCH(P101,'Semrush Data'!$A$1:$A$20000,0),MATCH("Volume",'Semrush Data'!$A$1:$Z$1,0)),""))</f>
        <v/>
      </c>
      <c r="V101" s="25" t="str">
        <f aca="false">IF(COUNT(Q101:U101)=0,L101,IF(MAX(Q101:U101)=0,L101,INDEX(L101:P101,MATCH(MAX(Q101:U101),Q101:U101,0))))</f>
        <v>deyga tea tree facial toner</v>
      </c>
      <c r="W101" s="24" t="n">
        <f aca="false">IFERROR(INDEX('Semrush Data'!$A$1:$Z$20000,MATCH(V101,'Semrush Data'!$A$1:$A$20000,0),MATCH("Volume",'Semrush Data'!$A$1:$Z$1,0)),"")</f>
        <v>0</v>
      </c>
      <c r="X101" s="24" t="n">
        <f aca="false">IFERROR(INDEX('Semrush Data'!$A$1:$Z$20000,MATCH(V101,'Semrush Data'!$A$1:$A$20000,0),MATCH("Keyword Difficulty*",'Semrush Data'!$A$1:$Z$1,0)),"")</f>
        <v>13</v>
      </c>
      <c r="Y101" s="26" t="n">
        <f aca="false">IFERROR(INDEX('Semrush Data'!$A$1:$Z$20000,MATCH(V101,'Semrush Data'!$A$1:$A$20000,0),MATCH("CPC*",'Semrush Data'!$A$1:$Z$1,0)),"")</f>
        <v>0</v>
      </c>
      <c r="Z101" s="23" t="s">
        <v>2075</v>
      </c>
      <c r="AA101" s="23"/>
      <c r="AB101" s="23" t="s">
        <v>1029</v>
      </c>
      <c r="AC101" s="23" t="s">
        <v>2076</v>
      </c>
      <c r="AD101" s="27" t="n">
        <f aca="false">LEN(AC101)</f>
        <v>54</v>
      </c>
      <c r="AE101" s="23" t="s">
        <v>2077</v>
      </c>
      <c r="AF101" s="27" t="n">
        <f aca="false">LEN(AE101)</f>
        <v>160</v>
      </c>
    </row>
    <row r="102" customFormat="false" ht="15" hidden="false" customHeight="true" outlineLevel="0" collapsed="false">
      <c r="A102" s="23" t="s">
        <v>1033</v>
      </c>
      <c r="B102" s="23" t="s">
        <v>1432</v>
      </c>
      <c r="C102" s="23" t="n">
        <v>101</v>
      </c>
      <c r="D102" s="23" t="s">
        <v>906</v>
      </c>
      <c r="E102" s="23"/>
      <c r="F102" s="23" t="s">
        <v>1433</v>
      </c>
      <c r="G102" s="23" t="s">
        <v>947</v>
      </c>
      <c r="H102" s="23" t="s">
        <v>416</v>
      </c>
      <c r="I102" s="23" t="s">
        <v>1034</v>
      </c>
      <c r="J102" s="23" t="s">
        <v>1971</v>
      </c>
      <c r="K102" s="23" t="n">
        <v>15.99</v>
      </c>
      <c r="L102" s="23" t="s">
        <v>2078</v>
      </c>
      <c r="M102" s="23" t="s">
        <v>2079</v>
      </c>
      <c r="N102" s="23" t="s">
        <v>2080</v>
      </c>
      <c r="O102" s="23" t="s">
        <v>2081</v>
      </c>
      <c r="P102" s="23"/>
      <c r="Q102" s="24" t="n">
        <f aca="false">IF(L102="","",IFERROR(INDEX('Semrush Data'!$A$1:$Z$20000,MATCH(L102,'Semrush Data'!$A$1:$A$20000,0),MATCH("Volume",'Semrush Data'!$A$1:$Z$1,0)),""))</f>
        <v>0</v>
      </c>
      <c r="R102" s="24" t="str">
        <f aca="false">IF(M102="","",IFERROR(INDEX('Semrush Data'!$A$1:$Z$20000,MATCH(M102,'Semrush Data'!$A$1:$A$20000,0),MATCH("Volume",'Semrush Data'!$A$1:$Z$1,0)),""))</f>
        <v/>
      </c>
      <c r="S102" s="24" t="str">
        <f aca="false">IF(N102="","",IFERROR(INDEX('Semrush Data'!$A$1:$Z$20000,MATCH(N102,'Semrush Data'!$A$1:$A$20000,0),MATCH("Volume",'Semrush Data'!$A$1:$Z$1,0)),""))</f>
        <v/>
      </c>
      <c r="T102" s="24" t="str">
        <f aca="false">IF(O102="","",IFERROR(INDEX('Semrush Data'!$A$1:$Z$20000,MATCH(O102,'Semrush Data'!$A$1:$A$20000,0),MATCH("Volume",'Semrush Data'!$A$1:$Z$1,0)),""))</f>
        <v/>
      </c>
      <c r="U102" s="24" t="str">
        <f aca="false">IF(P102="","",IFERROR(INDEX('Semrush Data'!$A$1:$Z$20000,MATCH(P102,'Semrush Data'!$A$1:$A$20000,0),MATCH("Volume",'Semrush Data'!$A$1:$Z$1,0)),""))</f>
        <v/>
      </c>
      <c r="V102" s="25" t="str">
        <f aca="false">IF(COUNT(Q102:U102)=0,L102,IF(MAX(Q102:U102)=0,L102,INDEX(L102:P102,MATCH(MAX(Q102:U102),Q102:U102,0))))</f>
        <v>deyga tangerine cleansing balm for makeup removal</v>
      </c>
      <c r="W102" s="24" t="n">
        <f aca="false">IFERROR(INDEX('Semrush Data'!$A$1:$Z$20000,MATCH(V102,'Semrush Data'!$A$1:$A$20000,0),MATCH("Volume",'Semrush Data'!$A$1:$Z$1,0)),"")</f>
        <v>0</v>
      </c>
      <c r="X102" s="24" t="n">
        <f aca="false">IFERROR(INDEX('Semrush Data'!$A$1:$Z$20000,MATCH(V102,'Semrush Data'!$A$1:$A$20000,0),MATCH("Keyword Difficulty*",'Semrush Data'!$A$1:$Z$1,0)),"")</f>
        <v>12</v>
      </c>
      <c r="Y102" s="26" t="n">
        <f aca="false">IFERROR(INDEX('Semrush Data'!$A$1:$Z$20000,MATCH(V102,'Semrush Data'!$A$1:$A$20000,0),MATCH("CPC*",'Semrush Data'!$A$1:$Z$1,0)),"")</f>
        <v>0</v>
      </c>
      <c r="Z102" s="23" t="s">
        <v>2082</v>
      </c>
      <c r="AA102" s="23"/>
      <c r="AB102" s="23" t="s">
        <v>1035</v>
      </c>
      <c r="AC102" s="23" t="s">
        <v>2083</v>
      </c>
      <c r="AD102" s="27" t="n">
        <f aca="false">LEN(AC102)</f>
        <v>55</v>
      </c>
      <c r="AE102" s="23" t="s">
        <v>2084</v>
      </c>
      <c r="AF102" s="27" t="n">
        <f aca="false">LEN(AE102)</f>
        <v>158</v>
      </c>
    </row>
    <row r="103" customFormat="false" ht="15" hidden="false" customHeight="true" outlineLevel="0" collapsed="false">
      <c r="A103" s="23" t="s">
        <v>1039</v>
      </c>
      <c r="B103" s="23" t="s">
        <v>1432</v>
      </c>
      <c r="C103" s="23" t="n">
        <v>102</v>
      </c>
      <c r="D103" s="23" t="s">
        <v>906</v>
      </c>
      <c r="E103" s="23"/>
      <c r="F103" s="23" t="s">
        <v>1451</v>
      </c>
      <c r="G103" s="23" t="s">
        <v>987</v>
      </c>
      <c r="H103" s="23" t="s">
        <v>435</v>
      </c>
      <c r="I103" s="23" t="s">
        <v>1040</v>
      </c>
      <c r="J103" s="23" t="s">
        <v>2085</v>
      </c>
      <c r="K103" s="23" t="n">
        <v>12.99</v>
      </c>
      <c r="L103" s="23" t="s">
        <v>2086</v>
      </c>
      <c r="M103" s="23" t="s">
        <v>2087</v>
      </c>
      <c r="N103" s="23" t="s">
        <v>2088</v>
      </c>
      <c r="O103" s="23" t="s">
        <v>2089</v>
      </c>
      <c r="P103" s="23"/>
      <c r="Q103" s="24" t="n">
        <f aca="false">IF(L103="","",IFERROR(INDEX('Semrush Data'!$A$1:$Z$20000,MATCH(L103,'Semrush Data'!$A$1:$A$20000,0),MATCH("Volume",'Semrush Data'!$A$1:$Z$1,0)),""))</f>
        <v>0</v>
      </c>
      <c r="R103" s="24" t="str">
        <f aca="false">IF(M103="","",IFERROR(INDEX('Semrush Data'!$A$1:$Z$20000,MATCH(M103,'Semrush Data'!$A$1:$A$20000,0),MATCH("Volume",'Semrush Data'!$A$1:$Z$1,0)),""))</f>
        <v/>
      </c>
      <c r="S103" s="24" t="str">
        <f aca="false">IF(N103="","",IFERROR(INDEX('Semrush Data'!$A$1:$Z$20000,MATCH(N103,'Semrush Data'!$A$1:$A$20000,0),MATCH("Volume",'Semrush Data'!$A$1:$Z$1,0)),""))</f>
        <v/>
      </c>
      <c r="T103" s="24" t="str">
        <f aca="false">IF(O103="","",IFERROR(INDEX('Semrush Data'!$A$1:$Z$20000,MATCH(O103,'Semrush Data'!$A$1:$A$20000,0),MATCH("Volume",'Semrush Data'!$A$1:$Z$1,0)),""))</f>
        <v/>
      </c>
      <c r="U103" s="24" t="str">
        <f aca="false">IF(P103="","",IFERROR(INDEX('Semrush Data'!$A$1:$Z$20000,MATCH(P103,'Semrush Data'!$A$1:$A$20000,0),MATCH("Volume",'Semrush Data'!$A$1:$Z$1,0)),""))</f>
        <v/>
      </c>
      <c r="V103" s="25" t="str">
        <f aca="false">IF(COUNT(Q103:U103)=0,L103,IF(MAX(Q103:U103)=0,L103,INDEX(L103:P103,MATCH(MAX(Q103:U103),Q103:U103,0))))</f>
        <v>deyga organic loofah for body exfoliation</v>
      </c>
      <c r="W103" s="24" t="n">
        <f aca="false">IFERROR(INDEX('Semrush Data'!$A$1:$Z$20000,MATCH(V103,'Semrush Data'!$A$1:$A$20000,0),MATCH("Volume",'Semrush Data'!$A$1:$Z$1,0)),"")</f>
        <v>0</v>
      </c>
      <c r="X103" s="24" t="n">
        <f aca="false">IFERROR(INDEX('Semrush Data'!$A$1:$Z$20000,MATCH(V103,'Semrush Data'!$A$1:$A$20000,0),MATCH("Keyword Difficulty*",'Semrush Data'!$A$1:$Z$1,0)),"")</f>
        <v>12</v>
      </c>
      <c r="Y103" s="26" t="n">
        <f aca="false">IFERROR(INDEX('Semrush Data'!$A$1:$Z$20000,MATCH(V103,'Semrush Data'!$A$1:$A$20000,0),MATCH("CPC*",'Semrush Data'!$A$1:$Z$1,0)),"")</f>
        <v>0</v>
      </c>
      <c r="Z103" s="23" t="s">
        <v>2034</v>
      </c>
      <c r="AA103" s="23"/>
      <c r="AB103" s="23" t="s">
        <v>1041</v>
      </c>
      <c r="AC103" s="23" t="s">
        <v>1042</v>
      </c>
      <c r="AD103" s="27" t="n">
        <f aca="false">LEN(AC103)</f>
        <v>55</v>
      </c>
      <c r="AE103" s="23" t="s">
        <v>2090</v>
      </c>
      <c r="AF103" s="27" t="n">
        <f aca="false">LEN(AE103)</f>
        <v>157</v>
      </c>
    </row>
    <row r="104" customFormat="false" ht="15" hidden="false" customHeight="true" outlineLevel="0" collapsed="false">
      <c r="A104" s="23" t="s">
        <v>1045</v>
      </c>
      <c r="B104" s="23" t="s">
        <v>1432</v>
      </c>
      <c r="C104" s="23" t="n">
        <v>103</v>
      </c>
      <c r="D104" s="23" t="s">
        <v>906</v>
      </c>
      <c r="E104" s="23"/>
      <c r="F104" s="23" t="s">
        <v>1451</v>
      </c>
      <c r="G104" s="23" t="s">
        <v>585</v>
      </c>
      <c r="H104" s="23" t="s">
        <v>435</v>
      </c>
      <c r="I104" s="23" t="s">
        <v>1046</v>
      </c>
      <c r="J104" s="23" t="s">
        <v>1941</v>
      </c>
      <c r="K104" s="23" t="n">
        <v>17.99</v>
      </c>
      <c r="L104" s="23" t="s">
        <v>2091</v>
      </c>
      <c r="M104" s="23" t="s">
        <v>2092</v>
      </c>
      <c r="N104" s="23" t="s">
        <v>2093</v>
      </c>
      <c r="O104" s="23" t="s">
        <v>2094</v>
      </c>
      <c r="P104" s="23"/>
      <c r="Q104" s="24" t="n">
        <f aca="false">IF(L104="","",IFERROR(INDEX('Semrush Data'!$A$1:$Z$20000,MATCH(L104,'Semrush Data'!$A$1:$A$20000,0),MATCH("Volume",'Semrush Data'!$A$1:$Z$1,0)),""))</f>
        <v>0</v>
      </c>
      <c r="R104" s="24" t="str">
        <f aca="false">IF(M104="","",IFERROR(INDEX('Semrush Data'!$A$1:$Z$20000,MATCH(M104,'Semrush Data'!$A$1:$A$20000,0),MATCH("Volume",'Semrush Data'!$A$1:$Z$1,0)),""))</f>
        <v/>
      </c>
      <c r="S104" s="24" t="str">
        <f aca="false">IF(N104="","",IFERROR(INDEX('Semrush Data'!$A$1:$Z$20000,MATCH(N104,'Semrush Data'!$A$1:$A$20000,0),MATCH("Volume",'Semrush Data'!$A$1:$Z$1,0)),""))</f>
        <v/>
      </c>
      <c r="T104" s="24" t="str">
        <f aca="false">IF(O104="","",IFERROR(INDEX('Semrush Data'!$A$1:$Z$20000,MATCH(O104,'Semrush Data'!$A$1:$A$20000,0),MATCH("Volume",'Semrush Data'!$A$1:$Z$1,0)),""))</f>
        <v/>
      </c>
      <c r="U104" s="24" t="str">
        <f aca="false">IF(P104="","",IFERROR(INDEX('Semrush Data'!$A$1:$Z$20000,MATCH(P104,'Semrush Data'!$A$1:$A$20000,0),MATCH("Volume",'Semrush Data'!$A$1:$Z$1,0)),""))</f>
        <v/>
      </c>
      <c r="V104" s="25" t="str">
        <f aca="false">IF(COUNT(Q104:U104)=0,L104,IF(MAX(Q104:U104)=0,L104,INDEX(L104:P104,MATCH(MAX(Q104:U104),Q104:U104,0))))</f>
        <v>deyga foot scrub</v>
      </c>
      <c r="W104" s="24" t="n">
        <f aca="false">IFERROR(INDEX('Semrush Data'!$A$1:$Z$20000,MATCH(V104,'Semrush Data'!$A$1:$A$20000,0),MATCH("Volume",'Semrush Data'!$A$1:$Z$1,0)),"")</f>
        <v>0</v>
      </c>
      <c r="X104" s="24" t="n">
        <f aca="false">IFERROR(INDEX('Semrush Data'!$A$1:$Z$20000,MATCH(V104,'Semrush Data'!$A$1:$A$20000,0),MATCH("Keyword Difficulty*",'Semrush Data'!$A$1:$Z$1,0)),"")</f>
        <v>16</v>
      </c>
      <c r="Y104" s="26" t="n">
        <f aca="false">IFERROR(INDEX('Semrush Data'!$A$1:$Z$20000,MATCH(V104,'Semrush Data'!$A$1:$A$20000,0),MATCH("CPC*",'Semrush Data'!$A$1:$Z$1,0)),"")</f>
        <v>0</v>
      </c>
      <c r="Z104" s="23" t="s">
        <v>1968</v>
      </c>
      <c r="AA104" s="23" t="s">
        <v>1051</v>
      </c>
      <c r="AB104" s="23" t="s">
        <v>1047</v>
      </c>
      <c r="AC104" s="23" t="s">
        <v>2095</v>
      </c>
      <c r="AD104" s="27" t="n">
        <f aca="false">LEN(AC104)</f>
        <v>49</v>
      </c>
      <c r="AE104" s="23" t="s">
        <v>2096</v>
      </c>
      <c r="AF104" s="27" t="n">
        <f aca="false">LEN(AE104)</f>
        <v>158</v>
      </c>
    </row>
    <row r="105" customFormat="false" ht="15" hidden="false" customHeight="true" outlineLevel="0" collapsed="false">
      <c r="A105" s="23" t="s">
        <v>1052</v>
      </c>
      <c r="B105" s="23" t="s">
        <v>1432</v>
      </c>
      <c r="C105" s="23" t="n">
        <v>104</v>
      </c>
      <c r="D105" s="23" t="s">
        <v>906</v>
      </c>
      <c r="E105" s="23"/>
      <c r="F105" s="23" t="s">
        <v>1433</v>
      </c>
      <c r="G105" s="23" t="s">
        <v>947</v>
      </c>
      <c r="H105" s="23" t="s">
        <v>376</v>
      </c>
      <c r="I105" s="23" t="s">
        <v>1053</v>
      </c>
      <c r="J105" s="23" t="s">
        <v>2016</v>
      </c>
      <c r="K105" s="23" t="n">
        <v>22.99</v>
      </c>
      <c r="L105" s="23" t="s">
        <v>2097</v>
      </c>
      <c r="M105" s="23" t="s">
        <v>2098</v>
      </c>
      <c r="N105" s="23" t="s">
        <v>2099</v>
      </c>
      <c r="O105" s="23" t="s">
        <v>2100</v>
      </c>
      <c r="P105" s="23"/>
      <c r="Q105" s="24" t="n">
        <f aca="false">IF(L105="","",IFERROR(INDEX('Semrush Data'!$A$1:$Z$20000,MATCH(L105,'Semrush Data'!$A$1:$A$20000,0),MATCH("Volume",'Semrush Data'!$A$1:$Z$1,0)),""))</f>
        <v>0</v>
      </c>
      <c r="R105" s="24" t="str">
        <f aca="false">IF(M105="","",IFERROR(INDEX('Semrush Data'!$A$1:$Z$20000,MATCH(M105,'Semrush Data'!$A$1:$A$20000,0),MATCH("Volume",'Semrush Data'!$A$1:$Z$1,0)),""))</f>
        <v/>
      </c>
      <c r="S105" s="24" t="str">
        <f aca="false">IF(N105="","",IFERROR(INDEX('Semrush Data'!$A$1:$Z$20000,MATCH(N105,'Semrush Data'!$A$1:$A$20000,0),MATCH("Volume",'Semrush Data'!$A$1:$Z$1,0)),""))</f>
        <v/>
      </c>
      <c r="T105" s="24" t="str">
        <f aca="false">IF(O105="","",IFERROR(INDEX('Semrush Data'!$A$1:$Z$20000,MATCH(O105,'Semrush Data'!$A$1:$A$20000,0),MATCH("Volume",'Semrush Data'!$A$1:$Z$1,0)),""))</f>
        <v/>
      </c>
      <c r="U105" s="24" t="str">
        <f aca="false">IF(P105="","",IFERROR(INDEX('Semrush Data'!$A$1:$Z$20000,MATCH(P105,'Semrush Data'!$A$1:$A$20000,0),MATCH("Volume",'Semrush Data'!$A$1:$Z$1,0)),""))</f>
        <v/>
      </c>
      <c r="V105" s="25" t="str">
        <f aca="false">IF(COUNT(Q105:U105)=0,L105,IF(MAX(Q105:U105)=0,L105,INDEX(L105:P105,MATCH(MAX(Q105:U105),Q105:U105,0))))</f>
        <v>deyga eyebrow growth oil</v>
      </c>
      <c r="W105" s="24" t="n">
        <f aca="false">IFERROR(INDEX('Semrush Data'!$A$1:$Z$20000,MATCH(V105,'Semrush Data'!$A$1:$A$20000,0),MATCH("Volume",'Semrush Data'!$A$1:$Z$1,0)),"")</f>
        <v>0</v>
      </c>
      <c r="X105" s="24" t="n">
        <f aca="false">IFERROR(INDEX('Semrush Data'!$A$1:$Z$20000,MATCH(V105,'Semrush Data'!$A$1:$A$20000,0),MATCH("Keyword Difficulty*",'Semrush Data'!$A$1:$Z$1,0)),"")</f>
        <v>6</v>
      </c>
      <c r="Y105" s="26" t="n">
        <f aca="false">IFERROR(INDEX('Semrush Data'!$A$1:$Z$20000,MATCH(V105,'Semrush Data'!$A$1:$A$20000,0),MATCH("CPC*",'Semrush Data'!$A$1:$Z$1,0)),"")</f>
        <v>0</v>
      </c>
      <c r="Z105" s="23" t="s">
        <v>1991</v>
      </c>
      <c r="AA105" s="23" t="s">
        <v>1058</v>
      </c>
      <c r="AB105" s="23" t="s">
        <v>1054</v>
      </c>
      <c r="AC105" s="23" t="s">
        <v>2101</v>
      </c>
      <c r="AD105" s="27" t="n">
        <f aca="false">LEN(AC105)</f>
        <v>51</v>
      </c>
      <c r="AE105" s="23" t="s">
        <v>2102</v>
      </c>
      <c r="AF105" s="27" t="n">
        <f aca="false">LEN(AE105)</f>
        <v>159</v>
      </c>
    </row>
    <row r="106" customFormat="false" ht="15" hidden="false" customHeight="true" outlineLevel="0" collapsed="false">
      <c r="A106" s="23" t="s">
        <v>1059</v>
      </c>
      <c r="B106" s="23" t="s">
        <v>1432</v>
      </c>
      <c r="C106" s="23" t="n">
        <v>105</v>
      </c>
      <c r="D106" s="23" t="s">
        <v>906</v>
      </c>
      <c r="E106" s="23"/>
      <c r="F106" s="23" t="s">
        <v>1433</v>
      </c>
      <c r="G106" s="23" t="s">
        <v>415</v>
      </c>
      <c r="H106" s="23" t="s">
        <v>416</v>
      </c>
      <c r="I106" s="23" t="s">
        <v>1060</v>
      </c>
      <c r="J106" s="23" t="s">
        <v>1468</v>
      </c>
      <c r="K106" s="23" t="n">
        <v>16.99</v>
      </c>
      <c r="L106" s="23" t="s">
        <v>2103</v>
      </c>
      <c r="M106" s="23" t="s">
        <v>2104</v>
      </c>
      <c r="N106" s="23" t="s">
        <v>2105</v>
      </c>
      <c r="O106" s="23" t="s">
        <v>2106</v>
      </c>
      <c r="P106" s="23"/>
      <c r="Q106" s="24" t="n">
        <f aca="false">IF(L106="","",IFERROR(INDEX('Semrush Data'!$A$1:$Z$20000,MATCH(L106,'Semrush Data'!$A$1:$A$20000,0),MATCH("Volume",'Semrush Data'!$A$1:$Z$1,0)),""))</f>
        <v>10</v>
      </c>
      <c r="R106" s="24" t="str">
        <f aca="false">IF(M106="","",IFERROR(INDEX('Semrush Data'!$A$1:$Z$20000,MATCH(M106,'Semrush Data'!$A$1:$A$20000,0),MATCH("Volume",'Semrush Data'!$A$1:$Z$1,0)),""))</f>
        <v/>
      </c>
      <c r="S106" s="24" t="str">
        <f aca="false">IF(N106="","",IFERROR(INDEX('Semrush Data'!$A$1:$Z$20000,MATCH(N106,'Semrush Data'!$A$1:$A$20000,0),MATCH("Volume",'Semrush Data'!$A$1:$Z$1,0)),""))</f>
        <v/>
      </c>
      <c r="T106" s="24" t="str">
        <f aca="false">IF(O106="","",IFERROR(INDEX('Semrush Data'!$A$1:$Z$20000,MATCH(O106,'Semrush Data'!$A$1:$A$20000,0),MATCH("Volume",'Semrush Data'!$A$1:$Z$1,0)),""))</f>
        <v/>
      </c>
      <c r="U106" s="24" t="str">
        <f aca="false">IF(P106="","",IFERROR(INDEX('Semrush Data'!$A$1:$Z$20000,MATCH(P106,'Semrush Data'!$A$1:$A$20000,0),MATCH("Volume",'Semrush Data'!$A$1:$Z$1,0)),""))</f>
        <v/>
      </c>
      <c r="V106" s="25" t="str">
        <f aca="false">IF(COUNT(Q106:U106)=0,L106,IF(MAX(Q106:U106)=0,L106,INDEX(L106:P106,MATCH(MAX(Q106:U106),Q106:U106,0))))</f>
        <v>deyga sunscreen</v>
      </c>
      <c r="W106" s="24" t="n">
        <f aca="false">IFERROR(INDEX('Semrush Data'!$A$1:$Z$20000,MATCH(V106,'Semrush Data'!$A$1:$A$20000,0),MATCH("Volume",'Semrush Data'!$A$1:$Z$1,0)),"")</f>
        <v>10</v>
      </c>
      <c r="X106" s="24" t="n">
        <f aca="false">IFERROR(INDEX('Semrush Data'!$A$1:$Z$20000,MATCH(V106,'Semrush Data'!$A$1:$A$20000,0),MATCH("Keyword Difficulty*",'Semrush Data'!$A$1:$Z$1,0)),"")</f>
        <v>9</v>
      </c>
      <c r="Y106" s="26" t="n">
        <f aca="false">IFERROR(INDEX('Semrush Data'!$A$1:$Z$20000,MATCH(V106,'Semrush Data'!$A$1:$A$20000,0),MATCH("CPC*",'Semrush Data'!$A$1:$Z$1,0)),"")</f>
        <v>0</v>
      </c>
      <c r="Z106" s="23" t="s">
        <v>2107</v>
      </c>
      <c r="AA106" s="23" t="s">
        <v>1065</v>
      </c>
      <c r="AB106" s="23" t="s">
        <v>1061</v>
      </c>
      <c r="AC106" s="23" t="s">
        <v>2108</v>
      </c>
      <c r="AD106" s="27" t="n">
        <f aca="false">LEN(AC106)</f>
        <v>48</v>
      </c>
      <c r="AE106" s="23" t="s">
        <v>2109</v>
      </c>
      <c r="AF106" s="27" t="n">
        <f aca="false">LEN(AE106)</f>
        <v>159</v>
      </c>
    </row>
    <row r="107" customFormat="false" ht="15" hidden="false" customHeight="true" outlineLevel="0" collapsed="false">
      <c r="A107" s="23" t="s">
        <v>1066</v>
      </c>
      <c r="B107" s="23" t="s">
        <v>1432</v>
      </c>
      <c r="C107" s="23" t="n">
        <v>106</v>
      </c>
      <c r="D107" s="23" t="s">
        <v>906</v>
      </c>
      <c r="E107" s="23"/>
      <c r="F107" s="23" t="s">
        <v>1433</v>
      </c>
      <c r="G107" s="23" t="s">
        <v>456</v>
      </c>
      <c r="H107" s="23" t="s">
        <v>457</v>
      </c>
      <c r="I107" s="23" t="s">
        <v>1067</v>
      </c>
      <c r="J107" s="23" t="s">
        <v>2110</v>
      </c>
      <c r="K107" s="23" t="n">
        <v>9.99</v>
      </c>
      <c r="L107" s="23" t="s">
        <v>2111</v>
      </c>
      <c r="M107" s="23" t="s">
        <v>2112</v>
      </c>
      <c r="N107" s="23" t="s">
        <v>2113</v>
      </c>
      <c r="O107" s="23" t="s">
        <v>2114</v>
      </c>
      <c r="P107" s="23"/>
      <c r="Q107" s="24" t="n">
        <f aca="false">IF(L107="","",IFERROR(INDEX('Semrush Data'!$A$1:$Z$20000,MATCH(L107,'Semrush Data'!$A$1:$A$20000,0),MATCH("Volume",'Semrush Data'!$A$1:$Z$1,0)),""))</f>
        <v>0</v>
      </c>
      <c r="R107" s="24" t="str">
        <f aca="false">IF(M107="","",IFERROR(INDEX('Semrush Data'!$A$1:$Z$20000,MATCH(M107,'Semrush Data'!$A$1:$A$20000,0),MATCH("Volume",'Semrush Data'!$A$1:$Z$1,0)),""))</f>
        <v/>
      </c>
      <c r="S107" s="24" t="str">
        <f aca="false">IF(N107="","",IFERROR(INDEX('Semrush Data'!$A$1:$Z$20000,MATCH(N107,'Semrush Data'!$A$1:$A$20000,0),MATCH("Volume",'Semrush Data'!$A$1:$Z$1,0)),""))</f>
        <v/>
      </c>
      <c r="T107" s="24" t="str">
        <f aca="false">IF(O107="","",IFERROR(INDEX('Semrush Data'!$A$1:$Z$20000,MATCH(O107,'Semrush Data'!$A$1:$A$20000,0),MATCH("Volume",'Semrush Data'!$A$1:$Z$1,0)),""))</f>
        <v/>
      </c>
      <c r="U107" s="24" t="str">
        <f aca="false">IF(P107="","",IFERROR(INDEX('Semrush Data'!$A$1:$Z$20000,MATCH(P107,'Semrush Data'!$A$1:$A$20000,0),MATCH("Volume",'Semrush Data'!$A$1:$Z$1,0)),""))</f>
        <v/>
      </c>
      <c r="V107" s="25" t="str">
        <f aca="false">IF(COUNT(Q107:U107)=0,L107,IF(MAX(Q107:U107)=0,L107,INDEX(L107:P107,MATCH(MAX(Q107:U107),Q107:U107,0))))</f>
        <v>deyga natural lip balm</v>
      </c>
      <c r="W107" s="24" t="n">
        <f aca="false">IFERROR(INDEX('Semrush Data'!$A$1:$Z$20000,MATCH(V107,'Semrush Data'!$A$1:$A$20000,0),MATCH("Volume",'Semrush Data'!$A$1:$Z$1,0)),"")</f>
        <v>0</v>
      </c>
      <c r="X107" s="24" t="n">
        <f aca="false">IFERROR(INDEX('Semrush Data'!$A$1:$Z$20000,MATCH(V107,'Semrush Data'!$A$1:$A$20000,0),MATCH("Keyword Difficulty*",'Semrush Data'!$A$1:$Z$1,0)),"")</f>
        <v>18</v>
      </c>
      <c r="Y107" s="26" t="n">
        <f aca="false">IFERROR(INDEX('Semrush Data'!$A$1:$Z$20000,MATCH(V107,'Semrush Data'!$A$1:$A$20000,0),MATCH("CPC*",'Semrush Data'!$A$1:$Z$1,0)),"")</f>
        <v>0</v>
      </c>
      <c r="Z107" s="23" t="s">
        <v>2115</v>
      </c>
      <c r="AA107" s="23" t="s">
        <v>1072</v>
      </c>
      <c r="AB107" s="23" t="s">
        <v>1068</v>
      </c>
      <c r="AC107" s="23" t="s">
        <v>2116</v>
      </c>
      <c r="AD107" s="27" t="n">
        <f aca="false">LEN(AC107)</f>
        <v>52</v>
      </c>
      <c r="AE107" s="23" t="s">
        <v>2117</v>
      </c>
      <c r="AF107" s="27" t="n">
        <f aca="false">LEN(AE107)</f>
        <v>155</v>
      </c>
    </row>
    <row r="108" customFormat="false" ht="15" hidden="false" customHeight="true" outlineLevel="0" collapsed="false">
      <c r="A108" s="23" t="s">
        <v>1073</v>
      </c>
      <c r="B108" s="23" t="s">
        <v>1432</v>
      </c>
      <c r="C108" s="23" t="n">
        <v>107</v>
      </c>
      <c r="D108" s="23" t="s">
        <v>906</v>
      </c>
      <c r="E108" s="23"/>
      <c r="F108" s="23" t="s">
        <v>1451</v>
      </c>
      <c r="G108" s="23" t="s">
        <v>987</v>
      </c>
      <c r="H108" s="23" t="s">
        <v>407</v>
      </c>
      <c r="I108" s="23" t="s">
        <v>1074</v>
      </c>
      <c r="J108" s="23" t="s">
        <v>1941</v>
      </c>
      <c r="K108" s="23" t="n">
        <v>14.99</v>
      </c>
      <c r="L108" s="23" t="s">
        <v>2118</v>
      </c>
      <c r="M108" s="23" t="s">
        <v>2119</v>
      </c>
      <c r="N108" s="23" t="s">
        <v>2120</v>
      </c>
      <c r="O108" s="23" t="s">
        <v>2121</v>
      </c>
      <c r="P108" s="23"/>
      <c r="Q108" s="24" t="n">
        <f aca="false">IF(L108="","",IFERROR(INDEX('Semrush Data'!$A$1:$Z$20000,MATCH(L108,'Semrush Data'!$A$1:$A$20000,0),MATCH("Volume",'Semrush Data'!$A$1:$Z$1,0)),""))</f>
        <v>0</v>
      </c>
      <c r="R108" s="24" t="str">
        <f aca="false">IF(M108="","",IFERROR(INDEX('Semrush Data'!$A$1:$Z$20000,MATCH(M108,'Semrush Data'!$A$1:$A$20000,0),MATCH("Volume",'Semrush Data'!$A$1:$Z$1,0)),""))</f>
        <v/>
      </c>
      <c r="S108" s="24" t="str">
        <f aca="false">IF(N108="","",IFERROR(INDEX('Semrush Data'!$A$1:$Z$20000,MATCH(N108,'Semrush Data'!$A$1:$A$20000,0),MATCH("Volume",'Semrush Data'!$A$1:$Z$1,0)),""))</f>
        <v/>
      </c>
      <c r="T108" s="24" t="str">
        <f aca="false">IF(O108="","",IFERROR(INDEX('Semrush Data'!$A$1:$Z$20000,MATCH(O108,'Semrush Data'!$A$1:$A$20000,0),MATCH("Volume",'Semrush Data'!$A$1:$Z$1,0)),""))</f>
        <v/>
      </c>
      <c r="U108" s="24" t="str">
        <f aca="false">IF(P108="","",IFERROR(INDEX('Semrush Data'!$A$1:$Z$20000,MATCH(P108,'Semrush Data'!$A$1:$A$20000,0),MATCH("Volume",'Semrush Data'!$A$1:$Z$1,0)),""))</f>
        <v/>
      </c>
      <c r="V108" s="25" t="str">
        <f aca="false">IF(COUNT(Q108:U108)=0,L108,IF(MAX(Q108:U108)=0,L108,INDEX(L108:P108,MATCH(MAX(Q108:U108),Q108:U108,0))))</f>
        <v>deyga spinach &amp; cucumber bath bar</v>
      </c>
      <c r="W108" s="24" t="n">
        <f aca="false">IFERROR(INDEX('Semrush Data'!$A$1:$Z$20000,MATCH(V108,'Semrush Data'!$A$1:$A$20000,0),MATCH("Volume",'Semrush Data'!$A$1:$Z$1,0)),"")</f>
        <v>0</v>
      </c>
      <c r="X108" s="24" t="n">
        <f aca="false">IFERROR(INDEX('Semrush Data'!$A$1:$Z$20000,MATCH(V108,'Semrush Data'!$A$1:$A$20000,0),MATCH("Keyword Difficulty*",'Semrush Data'!$A$1:$Z$1,0)),"")</f>
        <v>12</v>
      </c>
      <c r="Y108" s="26" t="n">
        <f aca="false">IFERROR(INDEX('Semrush Data'!$A$1:$Z$20000,MATCH(V108,'Semrush Data'!$A$1:$A$20000,0),MATCH("CPC*",'Semrush Data'!$A$1:$Z$1,0)),"")</f>
        <v>0</v>
      </c>
      <c r="Z108" s="23" t="s">
        <v>2122</v>
      </c>
      <c r="AA108" s="23"/>
      <c r="AB108" s="23" t="s">
        <v>1075</v>
      </c>
      <c r="AC108" s="23" t="s">
        <v>2123</v>
      </c>
      <c r="AD108" s="27" t="n">
        <f aca="false">LEN(AC108)</f>
        <v>60</v>
      </c>
      <c r="AE108" s="23" t="s">
        <v>2124</v>
      </c>
      <c r="AF108" s="27" t="n">
        <f aca="false">LEN(AE108)</f>
        <v>159</v>
      </c>
    </row>
    <row r="109" customFormat="false" ht="15" hidden="false" customHeight="true" outlineLevel="0" collapsed="false">
      <c r="A109" s="23" t="s">
        <v>1079</v>
      </c>
      <c r="B109" s="23" t="s">
        <v>1432</v>
      </c>
      <c r="C109" s="23" t="n">
        <v>108</v>
      </c>
      <c r="D109" s="23" t="s">
        <v>906</v>
      </c>
      <c r="E109" s="23"/>
      <c r="F109" s="23" t="s">
        <v>1451</v>
      </c>
      <c r="G109" s="23" t="s">
        <v>987</v>
      </c>
      <c r="H109" s="23" t="s">
        <v>407</v>
      </c>
      <c r="I109" s="23" t="s">
        <v>1080</v>
      </c>
      <c r="J109" s="23" t="s">
        <v>1941</v>
      </c>
      <c r="K109" s="23" t="n">
        <v>15.99</v>
      </c>
      <c r="L109" s="23" t="s">
        <v>2125</v>
      </c>
      <c r="M109" s="23" t="s">
        <v>2126</v>
      </c>
      <c r="N109" s="23" t="s">
        <v>2127</v>
      </c>
      <c r="O109" s="23" t="s">
        <v>2128</v>
      </c>
      <c r="P109" s="23"/>
      <c r="Q109" s="24" t="n">
        <f aca="false">IF(L109="","",IFERROR(INDEX('Semrush Data'!$A$1:$Z$20000,MATCH(L109,'Semrush Data'!$A$1:$A$20000,0),MATCH("Volume",'Semrush Data'!$A$1:$Z$1,0)),""))</f>
        <v>0</v>
      </c>
      <c r="R109" s="24" t="str">
        <f aca="false">IF(M109="","",IFERROR(INDEX('Semrush Data'!$A$1:$Z$20000,MATCH(M109,'Semrush Data'!$A$1:$A$20000,0),MATCH("Volume",'Semrush Data'!$A$1:$Z$1,0)),""))</f>
        <v/>
      </c>
      <c r="S109" s="24" t="str">
        <f aca="false">IF(N109="","",IFERROR(INDEX('Semrush Data'!$A$1:$Z$20000,MATCH(N109,'Semrush Data'!$A$1:$A$20000,0),MATCH("Volume",'Semrush Data'!$A$1:$Z$1,0)),""))</f>
        <v/>
      </c>
      <c r="T109" s="24" t="str">
        <f aca="false">IF(O109="","",IFERROR(INDEX('Semrush Data'!$A$1:$Z$20000,MATCH(O109,'Semrush Data'!$A$1:$A$20000,0),MATCH("Volume",'Semrush Data'!$A$1:$Z$1,0)),""))</f>
        <v/>
      </c>
      <c r="U109" s="24" t="str">
        <f aca="false">IF(P109="","",IFERROR(INDEX('Semrush Data'!$A$1:$Z$20000,MATCH(P109,'Semrush Data'!$A$1:$A$20000,0),MATCH("Volume",'Semrush Data'!$A$1:$Z$1,0)),""))</f>
        <v/>
      </c>
      <c r="V109" s="25" t="str">
        <f aca="false">IF(COUNT(Q109:U109)=0,L109,IF(MAX(Q109:U109)=0,L109,INDEX(L109:P109,MATCH(MAX(Q109:U109),Q109:U109,0))))</f>
        <v>deyga shea saffron bath bar</v>
      </c>
      <c r="W109" s="24" t="n">
        <f aca="false">IFERROR(INDEX('Semrush Data'!$A$1:$Z$20000,MATCH(V109,'Semrush Data'!$A$1:$A$20000,0),MATCH("Volume",'Semrush Data'!$A$1:$Z$1,0)),"")</f>
        <v>0</v>
      </c>
      <c r="X109" s="24" t="n">
        <f aca="false">IFERROR(INDEX('Semrush Data'!$A$1:$Z$20000,MATCH(V109,'Semrush Data'!$A$1:$A$20000,0),MATCH("Keyword Difficulty*",'Semrush Data'!$A$1:$Z$1,0)),"")</f>
        <v>22</v>
      </c>
      <c r="Y109" s="26" t="n">
        <f aca="false">IFERROR(INDEX('Semrush Data'!$A$1:$Z$20000,MATCH(V109,'Semrush Data'!$A$1:$A$20000,0),MATCH("CPC*",'Semrush Data'!$A$1:$Z$1,0)),"")</f>
        <v>0</v>
      </c>
      <c r="Z109" s="23" t="s">
        <v>2122</v>
      </c>
      <c r="AA109" s="23"/>
      <c r="AB109" s="23" t="s">
        <v>1081</v>
      </c>
      <c r="AC109" s="23" t="s">
        <v>2129</v>
      </c>
      <c r="AD109" s="27" t="n">
        <f aca="false">LEN(AC109)</f>
        <v>54</v>
      </c>
      <c r="AE109" s="23" t="s">
        <v>2130</v>
      </c>
      <c r="AF109" s="27" t="n">
        <f aca="false">LEN(AE109)</f>
        <v>153</v>
      </c>
    </row>
    <row r="110" customFormat="false" ht="15" hidden="false" customHeight="true" outlineLevel="0" collapsed="false">
      <c r="A110" s="23" t="s">
        <v>1085</v>
      </c>
      <c r="B110" s="23" t="s">
        <v>1432</v>
      </c>
      <c r="C110" s="23" t="n">
        <v>109</v>
      </c>
      <c r="D110" s="23" t="s">
        <v>906</v>
      </c>
      <c r="E110" s="23"/>
      <c r="F110" s="23" t="s">
        <v>1451</v>
      </c>
      <c r="G110" s="23" t="s">
        <v>987</v>
      </c>
      <c r="H110" s="23" t="s">
        <v>407</v>
      </c>
      <c r="I110" s="23" t="s">
        <v>1086</v>
      </c>
      <c r="J110" s="23" t="s">
        <v>1941</v>
      </c>
      <c r="K110" s="23" t="n">
        <v>14.99</v>
      </c>
      <c r="L110" s="23" t="s">
        <v>2131</v>
      </c>
      <c r="M110" s="23" t="s">
        <v>2132</v>
      </c>
      <c r="N110" s="23" t="s">
        <v>2133</v>
      </c>
      <c r="O110" s="23" t="s">
        <v>2134</v>
      </c>
      <c r="P110" s="23"/>
      <c r="Q110" s="24" t="n">
        <f aca="false">IF(L110="","",IFERROR(INDEX('Semrush Data'!$A$1:$Z$20000,MATCH(L110,'Semrush Data'!$A$1:$A$20000,0),MATCH("Volume",'Semrush Data'!$A$1:$Z$1,0)),""))</f>
        <v>0</v>
      </c>
      <c r="R110" s="24" t="str">
        <f aca="false">IF(M110="","",IFERROR(INDEX('Semrush Data'!$A$1:$Z$20000,MATCH(M110,'Semrush Data'!$A$1:$A$20000,0),MATCH("Volume",'Semrush Data'!$A$1:$Z$1,0)),""))</f>
        <v/>
      </c>
      <c r="S110" s="24" t="str">
        <f aca="false">IF(N110="","",IFERROR(INDEX('Semrush Data'!$A$1:$Z$20000,MATCH(N110,'Semrush Data'!$A$1:$A$20000,0),MATCH("Volume",'Semrush Data'!$A$1:$Z$1,0)),""))</f>
        <v/>
      </c>
      <c r="T110" s="24" t="str">
        <f aca="false">IF(O110="","",IFERROR(INDEX('Semrush Data'!$A$1:$Z$20000,MATCH(O110,'Semrush Data'!$A$1:$A$20000,0),MATCH("Volume",'Semrush Data'!$A$1:$Z$1,0)),""))</f>
        <v/>
      </c>
      <c r="U110" s="24" t="str">
        <f aca="false">IF(P110="","",IFERROR(INDEX('Semrush Data'!$A$1:$Z$20000,MATCH(P110,'Semrush Data'!$A$1:$A$20000,0),MATCH("Volume",'Semrush Data'!$A$1:$Z$1,0)),""))</f>
        <v/>
      </c>
      <c r="V110" s="25" t="str">
        <f aca="false">IF(COUNT(Q110:U110)=0,L110,IF(MAX(Q110:U110)=0,L110,INDEX(L110:P110,MATCH(MAX(Q110:U110),Q110:U110,0))))</f>
        <v>deyga rose pink clay bath bar</v>
      </c>
      <c r="W110" s="24" t="n">
        <f aca="false">IFERROR(INDEX('Semrush Data'!$A$1:$Z$20000,MATCH(V110,'Semrush Data'!$A$1:$A$20000,0),MATCH("Volume",'Semrush Data'!$A$1:$Z$1,0)),"")</f>
        <v>0</v>
      </c>
      <c r="X110" s="24" t="n">
        <f aca="false">IFERROR(INDEX('Semrush Data'!$A$1:$Z$20000,MATCH(V110,'Semrush Data'!$A$1:$A$20000,0),MATCH("Keyword Difficulty*",'Semrush Data'!$A$1:$Z$1,0)),"")</f>
        <v>12</v>
      </c>
      <c r="Y110" s="26" t="n">
        <f aca="false">IFERROR(INDEX('Semrush Data'!$A$1:$Z$20000,MATCH(V110,'Semrush Data'!$A$1:$A$20000,0),MATCH("CPC*",'Semrush Data'!$A$1:$Z$1,0)),"")</f>
        <v>0</v>
      </c>
      <c r="Z110" s="23" t="s">
        <v>2122</v>
      </c>
      <c r="AA110" s="23"/>
      <c r="AB110" s="23" t="s">
        <v>1087</v>
      </c>
      <c r="AC110" s="23" t="s">
        <v>2135</v>
      </c>
      <c r="AD110" s="27" t="n">
        <f aca="false">LEN(AC110)</f>
        <v>56</v>
      </c>
      <c r="AE110" s="23" t="s">
        <v>2136</v>
      </c>
      <c r="AF110" s="27" t="n">
        <f aca="false">LEN(AE110)</f>
        <v>155</v>
      </c>
    </row>
    <row r="111" customFormat="false" ht="15" hidden="false" customHeight="true" outlineLevel="0" collapsed="false">
      <c r="A111" s="23" t="s">
        <v>1091</v>
      </c>
      <c r="B111" s="23" t="s">
        <v>1432</v>
      </c>
      <c r="C111" s="23" t="n">
        <v>110</v>
      </c>
      <c r="D111" s="23" t="s">
        <v>906</v>
      </c>
      <c r="E111" s="23"/>
      <c r="F111" s="23" t="s">
        <v>1451</v>
      </c>
      <c r="G111" s="23" t="s">
        <v>987</v>
      </c>
      <c r="H111" s="23" t="s">
        <v>407</v>
      </c>
      <c r="I111" s="23" t="s">
        <v>1092</v>
      </c>
      <c r="J111" s="23" t="s">
        <v>1941</v>
      </c>
      <c r="K111" s="23" t="n">
        <v>14.99</v>
      </c>
      <c r="L111" s="23" t="s">
        <v>2137</v>
      </c>
      <c r="M111" s="23" t="s">
        <v>2138</v>
      </c>
      <c r="N111" s="23" t="s">
        <v>2139</v>
      </c>
      <c r="O111" s="23" t="s">
        <v>2140</v>
      </c>
      <c r="P111" s="23"/>
      <c r="Q111" s="24" t="n">
        <f aca="false">IF(L111="","",IFERROR(INDEX('Semrush Data'!$A$1:$Z$20000,MATCH(L111,'Semrush Data'!$A$1:$A$20000,0),MATCH("Volume",'Semrush Data'!$A$1:$Z$1,0)),""))</f>
        <v>0</v>
      </c>
      <c r="R111" s="24" t="str">
        <f aca="false">IF(M111="","",IFERROR(INDEX('Semrush Data'!$A$1:$Z$20000,MATCH(M111,'Semrush Data'!$A$1:$A$20000,0),MATCH("Volume",'Semrush Data'!$A$1:$Z$1,0)),""))</f>
        <v/>
      </c>
      <c r="S111" s="24" t="str">
        <f aca="false">IF(N111="","",IFERROR(INDEX('Semrush Data'!$A$1:$Z$20000,MATCH(N111,'Semrush Data'!$A$1:$A$20000,0),MATCH("Volume",'Semrush Data'!$A$1:$Z$1,0)),""))</f>
        <v/>
      </c>
      <c r="T111" s="24" t="str">
        <f aca="false">IF(O111="","",IFERROR(INDEX('Semrush Data'!$A$1:$Z$20000,MATCH(O111,'Semrush Data'!$A$1:$A$20000,0),MATCH("Volume",'Semrush Data'!$A$1:$Z$1,0)),""))</f>
        <v/>
      </c>
      <c r="U111" s="24" t="str">
        <f aca="false">IF(P111="","",IFERROR(INDEX('Semrush Data'!$A$1:$Z$20000,MATCH(P111,'Semrush Data'!$A$1:$A$20000,0),MATCH("Volume",'Semrush Data'!$A$1:$Z$1,0)),""))</f>
        <v/>
      </c>
      <c r="V111" s="25" t="str">
        <f aca="false">IF(COUNT(Q111:U111)=0,L111,IF(MAX(Q111:U111)=0,L111,INDEX(L111:P111,MATCH(MAX(Q111:U111),Q111:U111,0))))</f>
        <v>deyga neem &amp; turmeric bath bar</v>
      </c>
      <c r="W111" s="24" t="n">
        <f aca="false">IFERROR(INDEX('Semrush Data'!$A$1:$Z$20000,MATCH(V111,'Semrush Data'!$A$1:$A$20000,0),MATCH("Volume",'Semrush Data'!$A$1:$Z$1,0)),"")</f>
        <v>0</v>
      </c>
      <c r="X111" s="24" t="n">
        <f aca="false">IFERROR(INDEX('Semrush Data'!$A$1:$Z$20000,MATCH(V111,'Semrush Data'!$A$1:$A$20000,0),MATCH("Keyword Difficulty*",'Semrush Data'!$A$1:$Z$1,0)),"")</f>
        <v>13</v>
      </c>
      <c r="Y111" s="26" t="n">
        <f aca="false">IFERROR(INDEX('Semrush Data'!$A$1:$Z$20000,MATCH(V111,'Semrush Data'!$A$1:$A$20000,0),MATCH("CPC*",'Semrush Data'!$A$1:$Z$1,0)),"")</f>
        <v>0</v>
      </c>
      <c r="Z111" s="23" t="s">
        <v>2122</v>
      </c>
      <c r="AA111" s="23"/>
      <c r="AB111" s="23" t="s">
        <v>1093</v>
      </c>
      <c r="AC111" s="23" t="s">
        <v>2141</v>
      </c>
      <c r="AD111" s="27" t="n">
        <f aca="false">LEN(AC111)</f>
        <v>57</v>
      </c>
      <c r="AE111" s="23" t="s">
        <v>2142</v>
      </c>
      <c r="AF111" s="27" t="n">
        <f aca="false">LEN(AE111)</f>
        <v>156</v>
      </c>
    </row>
    <row r="112" customFormat="false" ht="15" hidden="false" customHeight="true" outlineLevel="0" collapsed="false">
      <c r="A112" s="23" t="s">
        <v>1097</v>
      </c>
      <c r="B112" s="23" t="s">
        <v>1432</v>
      </c>
      <c r="C112" s="23" t="n">
        <v>111</v>
      </c>
      <c r="D112" s="23" t="s">
        <v>906</v>
      </c>
      <c r="E112" s="23"/>
      <c r="F112" s="23" t="s">
        <v>1433</v>
      </c>
      <c r="G112" s="23" t="s">
        <v>456</v>
      </c>
      <c r="H112" s="23" t="s">
        <v>646</v>
      </c>
      <c r="I112" s="23" t="s">
        <v>1098</v>
      </c>
      <c r="J112" s="23" t="s">
        <v>2143</v>
      </c>
      <c r="K112" s="23" t="n">
        <v>12.99</v>
      </c>
      <c r="L112" s="23" t="s">
        <v>2144</v>
      </c>
      <c r="M112" s="23" t="s">
        <v>2145</v>
      </c>
      <c r="N112" s="23" t="s">
        <v>2146</v>
      </c>
      <c r="O112" s="23" t="s">
        <v>2147</v>
      </c>
      <c r="P112" s="23"/>
      <c r="Q112" s="24" t="n">
        <f aca="false">IF(L112="","",IFERROR(INDEX('Semrush Data'!$A$1:$Z$20000,MATCH(L112,'Semrush Data'!$A$1:$A$20000,0),MATCH("Volume",'Semrush Data'!$A$1:$Z$1,0)),""))</f>
        <v>0</v>
      </c>
      <c r="R112" s="24" t="str">
        <f aca="false">IF(M112="","",IFERROR(INDEX('Semrush Data'!$A$1:$Z$20000,MATCH(M112,'Semrush Data'!$A$1:$A$20000,0),MATCH("Volume",'Semrush Data'!$A$1:$Z$1,0)),""))</f>
        <v/>
      </c>
      <c r="S112" s="24" t="str">
        <f aca="false">IF(N112="","",IFERROR(INDEX('Semrush Data'!$A$1:$Z$20000,MATCH(N112,'Semrush Data'!$A$1:$A$20000,0),MATCH("Volume",'Semrush Data'!$A$1:$Z$1,0)),""))</f>
        <v/>
      </c>
      <c r="T112" s="24" t="str">
        <f aca="false">IF(O112="","",IFERROR(INDEX('Semrush Data'!$A$1:$Z$20000,MATCH(O112,'Semrush Data'!$A$1:$A$20000,0),MATCH("Volume",'Semrush Data'!$A$1:$Z$1,0)),""))</f>
        <v/>
      </c>
      <c r="U112" s="24" t="str">
        <f aca="false">IF(P112="","",IFERROR(INDEX('Semrush Data'!$A$1:$Z$20000,MATCH(P112,'Semrush Data'!$A$1:$A$20000,0),MATCH("Volume",'Semrush Data'!$A$1:$Z$1,0)),""))</f>
        <v/>
      </c>
      <c r="V112" s="25" t="str">
        <f aca="false">IF(COUNT(Q112:U112)=0,L112,IF(MAX(Q112:U112)=0,L112,INDEX(L112:P112,MATCH(MAX(Q112:U112),Q112:U112,0))))</f>
        <v>deyga mint lip scrub</v>
      </c>
      <c r="W112" s="24" t="n">
        <f aca="false">IFERROR(INDEX('Semrush Data'!$A$1:$Z$20000,MATCH(V112,'Semrush Data'!$A$1:$A$20000,0),MATCH("Volume",'Semrush Data'!$A$1:$Z$1,0)),"")</f>
        <v>0</v>
      </c>
      <c r="X112" s="24" t="n">
        <f aca="false">IFERROR(INDEX('Semrush Data'!$A$1:$Z$20000,MATCH(V112,'Semrush Data'!$A$1:$A$20000,0),MATCH("Keyword Difficulty*",'Semrush Data'!$A$1:$Z$1,0)),"")</f>
        <v>18</v>
      </c>
      <c r="Y112" s="26" t="n">
        <f aca="false">IFERROR(INDEX('Semrush Data'!$A$1:$Z$20000,MATCH(V112,'Semrush Data'!$A$1:$A$20000,0),MATCH("CPC*",'Semrush Data'!$A$1:$Z$1,0)),"")</f>
        <v>0</v>
      </c>
      <c r="Z112" s="23" t="s">
        <v>2148</v>
      </c>
      <c r="AA112" s="23"/>
      <c r="AB112" s="23" t="s">
        <v>1099</v>
      </c>
      <c r="AC112" s="23" t="s">
        <v>2149</v>
      </c>
      <c r="AD112" s="27" t="n">
        <f aca="false">LEN(AC112)</f>
        <v>51</v>
      </c>
      <c r="AE112" s="23" t="s">
        <v>2150</v>
      </c>
      <c r="AF112" s="27" t="n">
        <f aca="false">LEN(AE112)</f>
        <v>153</v>
      </c>
    </row>
    <row r="113" customFormat="false" ht="15" hidden="false" customHeight="true" outlineLevel="0" collapsed="false">
      <c r="A113" s="23" t="s">
        <v>1103</v>
      </c>
      <c r="B113" s="23" t="s">
        <v>1432</v>
      </c>
      <c r="C113" s="23" t="n">
        <v>112</v>
      </c>
      <c r="D113" s="23" t="s">
        <v>906</v>
      </c>
      <c r="E113" s="23"/>
      <c r="F113" s="23" t="s">
        <v>1442</v>
      </c>
      <c r="G113" s="23" t="s">
        <v>1105</v>
      </c>
      <c r="H113" s="23" t="s">
        <v>621</v>
      </c>
      <c r="I113" s="23" t="s">
        <v>1104</v>
      </c>
      <c r="J113" s="23" t="s">
        <v>1941</v>
      </c>
      <c r="K113" s="23" t="n">
        <v>13.99</v>
      </c>
      <c r="L113" s="23" t="s">
        <v>2151</v>
      </c>
      <c r="M113" s="23" t="s">
        <v>2152</v>
      </c>
      <c r="N113" s="23" t="s">
        <v>2153</v>
      </c>
      <c r="O113" s="23" t="s">
        <v>2154</v>
      </c>
      <c r="P113" s="23"/>
      <c r="Q113" s="24" t="n">
        <f aca="false">IF(L113="","",IFERROR(INDEX('Semrush Data'!$A$1:$Z$20000,MATCH(L113,'Semrush Data'!$A$1:$A$20000,0),MATCH("Volume",'Semrush Data'!$A$1:$Z$1,0)),""))</f>
        <v>20</v>
      </c>
      <c r="R113" s="24" t="str">
        <f aca="false">IF(M113="","",IFERROR(INDEX('Semrush Data'!$A$1:$Z$20000,MATCH(M113,'Semrush Data'!$A$1:$A$20000,0),MATCH("Volume",'Semrush Data'!$A$1:$Z$1,0)),""))</f>
        <v/>
      </c>
      <c r="S113" s="24" t="str">
        <f aca="false">IF(N113="","",IFERROR(INDEX('Semrush Data'!$A$1:$Z$20000,MATCH(N113,'Semrush Data'!$A$1:$A$20000,0),MATCH("Volume",'Semrush Data'!$A$1:$Z$1,0)),""))</f>
        <v/>
      </c>
      <c r="T113" s="24" t="str">
        <f aca="false">IF(O113="","",IFERROR(INDEX('Semrush Data'!$A$1:$Z$20000,MATCH(O113,'Semrush Data'!$A$1:$A$20000,0),MATCH("Volume",'Semrush Data'!$A$1:$Z$1,0)),""))</f>
        <v/>
      </c>
      <c r="U113" s="24" t="str">
        <f aca="false">IF(P113="","",IFERROR(INDEX('Semrush Data'!$A$1:$Z$20000,MATCH(P113,'Semrush Data'!$A$1:$A$20000,0),MATCH("Volume",'Semrush Data'!$A$1:$Z$1,0)),""))</f>
        <v/>
      </c>
      <c r="V113" s="25" t="str">
        <f aca="false">IF(COUNT(Q113:U113)=0,L113,IF(MAX(Q113:U113)=0,L113,INDEX(L113:P113,MATCH(MAX(Q113:U113),Q113:U113,0))))</f>
        <v>deyga hair removal powder</v>
      </c>
      <c r="W113" s="24" t="n">
        <f aca="false">IFERROR(INDEX('Semrush Data'!$A$1:$Z$20000,MATCH(V113,'Semrush Data'!$A$1:$A$20000,0),MATCH("Volume",'Semrush Data'!$A$1:$Z$1,0)),"")</f>
        <v>20</v>
      </c>
      <c r="X113" s="24" t="n">
        <f aca="false">IFERROR(INDEX('Semrush Data'!$A$1:$Z$20000,MATCH(V113,'Semrush Data'!$A$1:$A$20000,0),MATCH("Keyword Difficulty*",'Semrush Data'!$A$1:$Z$1,0)),"")</f>
        <v>16</v>
      </c>
      <c r="Y113" s="26" t="n">
        <f aca="false">IFERROR(INDEX('Semrush Data'!$A$1:$Z$20000,MATCH(V113,'Semrush Data'!$A$1:$A$20000,0),MATCH("CPC*",'Semrush Data'!$A$1:$Z$1,0)),"")</f>
        <v>0</v>
      </c>
      <c r="Z113" s="23" t="s">
        <v>2155</v>
      </c>
      <c r="AA113" s="23" t="s">
        <v>1110</v>
      </c>
      <c r="AB113" s="23" t="s">
        <v>1106</v>
      </c>
      <c r="AC113" s="23" t="s">
        <v>2156</v>
      </c>
      <c r="AD113" s="27" t="n">
        <f aca="false">LEN(AC113)</f>
        <v>52</v>
      </c>
      <c r="AE113" s="23" t="s">
        <v>2157</v>
      </c>
      <c r="AF113" s="27" t="n">
        <f aca="false">LEN(AE113)</f>
        <v>156</v>
      </c>
    </row>
    <row r="114" customFormat="false" ht="15" hidden="false" customHeight="true" outlineLevel="0" collapsed="false">
      <c r="A114" s="23" t="s">
        <v>1111</v>
      </c>
      <c r="B114" s="23" t="s">
        <v>1432</v>
      </c>
      <c r="C114" s="23" t="n">
        <v>113</v>
      </c>
      <c r="D114" s="23" t="s">
        <v>906</v>
      </c>
      <c r="E114" s="23"/>
      <c r="F114" s="23" t="s">
        <v>1433</v>
      </c>
      <c r="G114" s="23" t="s">
        <v>425</v>
      </c>
      <c r="H114" s="23" t="s">
        <v>435</v>
      </c>
      <c r="I114" s="23" t="s">
        <v>1112</v>
      </c>
      <c r="J114" s="23" t="s">
        <v>1994</v>
      </c>
      <c r="K114" s="23" t="n">
        <v>12.99</v>
      </c>
      <c r="L114" s="23" t="s">
        <v>2158</v>
      </c>
      <c r="M114" s="23" t="s">
        <v>2159</v>
      </c>
      <c r="N114" s="23" t="s">
        <v>2160</v>
      </c>
      <c r="O114" s="23" t="s">
        <v>2161</v>
      </c>
      <c r="P114" s="23"/>
      <c r="Q114" s="24" t="n">
        <f aca="false">IF(L114="","",IFERROR(INDEX('Semrush Data'!$A$1:$Z$20000,MATCH(L114,'Semrush Data'!$A$1:$A$20000,0),MATCH("Volume",'Semrush Data'!$A$1:$Z$1,0)),""))</f>
        <v>10</v>
      </c>
      <c r="R114" s="24" t="str">
        <f aca="false">IF(M114="","",IFERROR(INDEX('Semrush Data'!$A$1:$Z$20000,MATCH(M114,'Semrush Data'!$A$1:$A$20000,0),MATCH("Volume",'Semrush Data'!$A$1:$Z$1,0)),""))</f>
        <v/>
      </c>
      <c r="S114" s="24" t="str">
        <f aca="false">IF(N114="","",IFERROR(INDEX('Semrush Data'!$A$1:$Z$20000,MATCH(N114,'Semrush Data'!$A$1:$A$20000,0),MATCH("Volume",'Semrush Data'!$A$1:$Z$1,0)),""))</f>
        <v/>
      </c>
      <c r="T114" s="24" t="str">
        <f aca="false">IF(O114="","",IFERROR(INDEX('Semrush Data'!$A$1:$Z$20000,MATCH(O114,'Semrush Data'!$A$1:$A$20000,0),MATCH("Volume",'Semrush Data'!$A$1:$Z$1,0)),""))</f>
        <v/>
      </c>
      <c r="U114" s="24" t="str">
        <f aca="false">IF(P114="","",IFERROR(INDEX('Semrush Data'!$A$1:$Z$20000,MATCH(P114,'Semrush Data'!$A$1:$A$20000,0),MATCH("Volume",'Semrush Data'!$A$1:$Z$1,0)),""))</f>
        <v/>
      </c>
      <c r="V114" s="25" t="str">
        <f aca="false">IF(COUNT(Q114:U114)=0,L114,IF(MAX(Q114:U114)=0,L114,INDEX(L114:P114,MATCH(MAX(Q114:U114),Q114:U114,0))))</f>
        <v>deyga oat milk face wash</v>
      </c>
      <c r="W114" s="24" t="n">
        <f aca="false">IFERROR(INDEX('Semrush Data'!$A$1:$Z$20000,MATCH(V114,'Semrush Data'!$A$1:$A$20000,0),MATCH("Volume",'Semrush Data'!$A$1:$Z$1,0)),"")</f>
        <v>10</v>
      </c>
      <c r="X114" s="24" t="n">
        <f aca="false">IFERROR(INDEX('Semrush Data'!$A$1:$Z$20000,MATCH(V114,'Semrush Data'!$A$1:$A$20000,0),MATCH("Keyword Difficulty*",'Semrush Data'!$A$1:$Z$1,0)),"")</f>
        <v>22</v>
      </c>
      <c r="Y114" s="26" t="n">
        <f aca="false">IFERROR(INDEX('Semrush Data'!$A$1:$Z$20000,MATCH(V114,'Semrush Data'!$A$1:$A$20000,0),MATCH("CPC*",'Semrush Data'!$A$1:$Z$1,0)),"")</f>
        <v>0</v>
      </c>
      <c r="Z114" s="23" t="s">
        <v>2162</v>
      </c>
      <c r="AA114" s="23"/>
      <c r="AB114" s="23" t="s">
        <v>1113</v>
      </c>
      <c r="AC114" s="23" t="s">
        <v>2163</v>
      </c>
      <c r="AD114" s="27" t="n">
        <f aca="false">LEN(AC114)</f>
        <v>51</v>
      </c>
      <c r="AE114" s="23" t="s">
        <v>2164</v>
      </c>
      <c r="AF114" s="27" t="n">
        <f aca="false">LEN(AE114)</f>
        <v>158</v>
      </c>
    </row>
    <row r="115" customFormat="false" ht="15" hidden="false" customHeight="true" outlineLevel="0" collapsed="false">
      <c r="A115" s="23" t="s">
        <v>1117</v>
      </c>
      <c r="B115" s="23" t="s">
        <v>1432</v>
      </c>
      <c r="C115" s="23" t="n">
        <v>114</v>
      </c>
      <c r="D115" s="23" t="s">
        <v>906</v>
      </c>
      <c r="E115" s="23"/>
      <c r="F115" s="23" t="s">
        <v>1451</v>
      </c>
      <c r="G115" s="23" t="s">
        <v>505</v>
      </c>
      <c r="H115" s="23" t="s">
        <v>435</v>
      </c>
      <c r="I115" s="23" t="s">
        <v>1118</v>
      </c>
      <c r="J115" s="23" t="s">
        <v>1994</v>
      </c>
      <c r="K115" s="23" t="n">
        <v>14.99</v>
      </c>
      <c r="L115" s="23" t="s">
        <v>2165</v>
      </c>
      <c r="M115" s="23" t="s">
        <v>2166</v>
      </c>
      <c r="N115" s="23" t="s">
        <v>2167</v>
      </c>
      <c r="O115" s="23" t="s">
        <v>2168</v>
      </c>
      <c r="P115" s="23"/>
      <c r="Q115" s="24" t="n">
        <f aca="false">IF(L115="","",IFERROR(INDEX('Semrush Data'!$A$1:$Z$20000,MATCH(L115,'Semrush Data'!$A$1:$A$20000,0),MATCH("Volume",'Semrush Data'!$A$1:$Z$1,0)),""))</f>
        <v>0</v>
      </c>
      <c r="R115" s="24" t="str">
        <f aca="false">IF(M115="","",IFERROR(INDEX('Semrush Data'!$A$1:$Z$20000,MATCH(M115,'Semrush Data'!$A$1:$A$20000,0),MATCH("Volume",'Semrush Data'!$A$1:$Z$1,0)),""))</f>
        <v/>
      </c>
      <c r="S115" s="24" t="str">
        <f aca="false">IF(N115="","",IFERROR(INDEX('Semrush Data'!$A$1:$Z$20000,MATCH(N115,'Semrush Data'!$A$1:$A$20000,0),MATCH("Volume",'Semrush Data'!$A$1:$Z$1,0)),""))</f>
        <v/>
      </c>
      <c r="T115" s="24" t="str">
        <f aca="false">IF(O115="","",IFERROR(INDEX('Semrush Data'!$A$1:$Z$20000,MATCH(O115,'Semrush Data'!$A$1:$A$20000,0),MATCH("Volume",'Semrush Data'!$A$1:$Z$1,0)),""))</f>
        <v/>
      </c>
      <c r="U115" s="24" t="str">
        <f aca="false">IF(P115="","",IFERROR(INDEX('Semrush Data'!$A$1:$Z$20000,MATCH(P115,'Semrush Data'!$A$1:$A$20000,0),MATCH("Volume",'Semrush Data'!$A$1:$Z$1,0)),""))</f>
        <v/>
      </c>
      <c r="V115" s="25" t="str">
        <f aca="false">IF(COUNT(Q115:U115)=0,L115,IF(MAX(Q115:U115)=0,L115,INDEX(L115:P115,MATCH(MAX(Q115:U115),Q115:U115,0))))</f>
        <v>deyga almond milk body lotion</v>
      </c>
      <c r="W115" s="24" t="n">
        <f aca="false">IFERROR(INDEX('Semrush Data'!$A$1:$Z$20000,MATCH(V115,'Semrush Data'!$A$1:$A$20000,0),MATCH("Volume",'Semrush Data'!$A$1:$Z$1,0)),"")</f>
        <v>0</v>
      </c>
      <c r="X115" s="24" t="n">
        <f aca="false">IFERROR(INDEX('Semrush Data'!$A$1:$Z$20000,MATCH(V115,'Semrush Data'!$A$1:$A$20000,0),MATCH("Keyword Difficulty*",'Semrush Data'!$A$1:$Z$1,0)),"")</f>
        <v>15</v>
      </c>
      <c r="Y115" s="26" t="n">
        <f aca="false">IFERROR(INDEX('Semrush Data'!$A$1:$Z$20000,MATCH(V115,'Semrush Data'!$A$1:$A$20000,0),MATCH("CPC*",'Semrush Data'!$A$1:$Z$1,0)),"")</f>
        <v>0</v>
      </c>
      <c r="Z115" s="23" t="s">
        <v>2169</v>
      </c>
      <c r="AA115" s="23"/>
      <c r="AB115" s="23" t="s">
        <v>1119</v>
      </c>
      <c r="AC115" s="23" t="s">
        <v>2170</v>
      </c>
      <c r="AD115" s="27" t="n">
        <f aca="false">LEN(AC115)</f>
        <v>56</v>
      </c>
      <c r="AE115" s="23" t="s">
        <v>2171</v>
      </c>
      <c r="AF115" s="27" t="n">
        <f aca="false">LEN(AE115)</f>
        <v>157</v>
      </c>
    </row>
    <row r="116" customFormat="false" ht="15" hidden="false" customHeight="true" outlineLevel="0" collapsed="false">
      <c r="A116" s="23" t="s">
        <v>1123</v>
      </c>
      <c r="B116" s="23" t="s">
        <v>1432</v>
      </c>
      <c r="C116" s="23" t="n">
        <v>115</v>
      </c>
      <c r="D116" s="23" t="s">
        <v>906</v>
      </c>
      <c r="E116" s="23"/>
      <c r="F116" s="23" t="s">
        <v>1433</v>
      </c>
      <c r="G116" s="23" t="s">
        <v>375</v>
      </c>
      <c r="H116" s="23" t="s">
        <v>376</v>
      </c>
      <c r="I116" s="23" t="s">
        <v>1124</v>
      </c>
      <c r="J116" s="23" t="s">
        <v>1994</v>
      </c>
      <c r="K116" s="23" t="n">
        <v>11.99</v>
      </c>
      <c r="L116" s="23" t="s">
        <v>2172</v>
      </c>
      <c r="M116" s="23" t="s">
        <v>2173</v>
      </c>
      <c r="N116" s="23" t="s">
        <v>2174</v>
      </c>
      <c r="O116" s="23" t="s">
        <v>2175</v>
      </c>
      <c r="P116" s="23"/>
      <c r="Q116" s="24" t="n">
        <f aca="false">IF(L116="","",IFERROR(INDEX('Semrush Data'!$A$1:$Z$20000,MATCH(L116,'Semrush Data'!$A$1:$A$20000,0),MATCH("Volume",'Semrush Data'!$A$1:$Z$1,0)),""))</f>
        <v>0</v>
      </c>
      <c r="R116" s="24" t="str">
        <f aca="false">IF(M116="","",IFERROR(INDEX('Semrush Data'!$A$1:$Z$20000,MATCH(M116,'Semrush Data'!$A$1:$A$20000,0),MATCH("Volume",'Semrush Data'!$A$1:$Z$1,0)),""))</f>
        <v/>
      </c>
      <c r="S116" s="24" t="str">
        <f aca="false">IF(N116="","",IFERROR(INDEX('Semrush Data'!$A$1:$Z$20000,MATCH(N116,'Semrush Data'!$A$1:$A$20000,0),MATCH("Volume",'Semrush Data'!$A$1:$Z$1,0)),""))</f>
        <v/>
      </c>
      <c r="T116" s="24" t="str">
        <f aca="false">IF(O116="","",IFERROR(INDEX('Semrush Data'!$A$1:$Z$20000,MATCH(O116,'Semrush Data'!$A$1:$A$20000,0),MATCH("Volume",'Semrush Data'!$A$1:$Z$1,0)),""))</f>
        <v/>
      </c>
      <c r="U116" s="24" t="str">
        <f aca="false">IF(P116="","",IFERROR(INDEX('Semrush Data'!$A$1:$Z$20000,MATCH(P116,'Semrush Data'!$A$1:$A$20000,0),MATCH("Volume",'Semrush Data'!$A$1:$Z$1,0)),""))</f>
        <v/>
      </c>
      <c r="V116" s="25" t="str">
        <f aca="false">IF(COUNT(Q116:U116)=0,L116,IF(MAX(Q116:U116)=0,L116,INDEX(L116:P116,MATCH(MAX(Q116:U116),Q116:U116,0))))</f>
        <v>deyga pure rose water toner</v>
      </c>
      <c r="W116" s="24" t="n">
        <f aca="false">IFERROR(INDEX('Semrush Data'!$A$1:$Z$20000,MATCH(V116,'Semrush Data'!$A$1:$A$20000,0),MATCH("Volume",'Semrush Data'!$A$1:$Z$1,0)),"")</f>
        <v>0</v>
      </c>
      <c r="X116" s="24" t="n">
        <f aca="false">IFERROR(INDEX('Semrush Data'!$A$1:$Z$20000,MATCH(V116,'Semrush Data'!$A$1:$A$20000,0),MATCH("Keyword Difficulty*",'Semrush Data'!$A$1:$Z$1,0)),"")</f>
        <v>13</v>
      </c>
      <c r="Y116" s="26" t="n">
        <f aca="false">IFERROR(INDEX('Semrush Data'!$A$1:$Z$20000,MATCH(V116,'Semrush Data'!$A$1:$A$20000,0),MATCH("CPC*",'Semrush Data'!$A$1:$Z$1,0)),"")</f>
        <v>0</v>
      </c>
      <c r="Z116" s="23" t="s">
        <v>2075</v>
      </c>
      <c r="AA116" s="23"/>
      <c r="AB116" s="23" t="s">
        <v>1125</v>
      </c>
      <c r="AC116" s="23" t="s">
        <v>2176</v>
      </c>
      <c r="AD116" s="27" t="n">
        <f aca="false">LEN(AC116)</f>
        <v>54</v>
      </c>
      <c r="AE116" s="23" t="s">
        <v>2177</v>
      </c>
      <c r="AF116" s="27" t="n">
        <f aca="false">LEN(AE116)</f>
        <v>160</v>
      </c>
    </row>
    <row r="117" customFormat="false" ht="15" hidden="false" customHeight="true" outlineLevel="0" collapsed="false">
      <c r="A117" s="23" t="s">
        <v>1129</v>
      </c>
      <c r="B117" s="23" t="s">
        <v>1432</v>
      </c>
      <c r="C117" s="23" t="n">
        <v>116</v>
      </c>
      <c r="D117" s="23" t="s">
        <v>906</v>
      </c>
      <c r="E117" s="23"/>
      <c r="F117" s="23" t="s">
        <v>1433</v>
      </c>
      <c r="G117" s="23" t="s">
        <v>947</v>
      </c>
      <c r="H117" s="23" t="s">
        <v>586</v>
      </c>
      <c r="I117" s="23" t="s">
        <v>1130</v>
      </c>
      <c r="J117" s="23" t="s">
        <v>2178</v>
      </c>
      <c r="K117" s="23" t="n">
        <v>15.99</v>
      </c>
      <c r="L117" s="23" t="s">
        <v>2179</v>
      </c>
      <c r="M117" s="23" t="s">
        <v>2180</v>
      </c>
      <c r="N117" s="23" t="s">
        <v>2181</v>
      </c>
      <c r="O117" s="23" t="s">
        <v>2182</v>
      </c>
      <c r="P117" s="23"/>
      <c r="Q117" s="24" t="n">
        <f aca="false">IF(L117="","",IFERROR(INDEX('Semrush Data'!$A$1:$Z$20000,MATCH(L117,'Semrush Data'!$A$1:$A$20000,0),MATCH("Volume",'Semrush Data'!$A$1:$Z$1,0)),""))</f>
        <v>0</v>
      </c>
      <c r="R117" s="24" t="str">
        <f aca="false">IF(M117="","",IFERROR(INDEX('Semrush Data'!$A$1:$Z$20000,MATCH(M117,'Semrush Data'!$A$1:$A$20000,0),MATCH("Volume",'Semrush Data'!$A$1:$Z$1,0)),""))</f>
        <v/>
      </c>
      <c r="S117" s="24" t="str">
        <f aca="false">IF(N117="","",IFERROR(INDEX('Semrush Data'!$A$1:$Z$20000,MATCH(N117,'Semrush Data'!$A$1:$A$20000,0),MATCH("Volume",'Semrush Data'!$A$1:$Z$1,0)),""))</f>
        <v/>
      </c>
      <c r="T117" s="24" t="str">
        <f aca="false">IF(O117="","",IFERROR(INDEX('Semrush Data'!$A$1:$Z$20000,MATCH(O117,'Semrush Data'!$A$1:$A$20000,0),MATCH("Volume",'Semrush Data'!$A$1:$Z$1,0)),""))</f>
        <v/>
      </c>
      <c r="U117" s="24" t="str">
        <f aca="false">IF(P117="","",IFERROR(INDEX('Semrush Data'!$A$1:$Z$20000,MATCH(P117,'Semrush Data'!$A$1:$A$20000,0),MATCH("Volume",'Semrush Data'!$A$1:$Z$1,0)),""))</f>
        <v/>
      </c>
      <c r="V117" s="25" t="str">
        <f aca="false">IF(COUNT(Q117:U117)=0,L117,IF(MAX(Q117:U117)=0,L117,INDEX(L117:P117,MATCH(MAX(Q117:U117),Q117:U117,0))))</f>
        <v>deyga rose &amp; mulethi skin brightening pack</v>
      </c>
      <c r="W117" s="24" t="n">
        <f aca="false">IFERROR(INDEX('Semrush Data'!$A$1:$Z$20000,MATCH(V117,'Semrush Data'!$A$1:$A$20000,0),MATCH("Volume",'Semrush Data'!$A$1:$Z$1,0)),"")</f>
        <v>0</v>
      </c>
      <c r="X117" s="24" t="n">
        <f aca="false">IFERROR(INDEX('Semrush Data'!$A$1:$Z$20000,MATCH(V117,'Semrush Data'!$A$1:$A$20000,0),MATCH("Keyword Difficulty*",'Semrush Data'!$A$1:$Z$1,0)),"")</f>
        <v>15</v>
      </c>
      <c r="Y117" s="26" t="n">
        <f aca="false">IFERROR(INDEX('Semrush Data'!$A$1:$Z$20000,MATCH(V117,'Semrush Data'!$A$1:$A$20000,0),MATCH("CPC*",'Semrush Data'!$A$1:$Z$1,0)),"")</f>
        <v>0</v>
      </c>
      <c r="Z117" s="23" t="s">
        <v>2183</v>
      </c>
      <c r="AA117" s="23"/>
      <c r="AB117" s="23" t="s">
        <v>1131</v>
      </c>
      <c r="AC117" s="23" t="s">
        <v>1132</v>
      </c>
      <c r="AD117" s="27" t="n">
        <f aca="false">LEN(AC117)</f>
        <v>56</v>
      </c>
      <c r="AE117" s="23" t="s">
        <v>2184</v>
      </c>
      <c r="AF117" s="27" t="n">
        <f aca="false">LEN(AE117)</f>
        <v>157</v>
      </c>
    </row>
    <row r="118" customFormat="false" ht="15" hidden="false" customHeight="true" outlineLevel="0" collapsed="false">
      <c r="A118" s="23" t="s">
        <v>1135</v>
      </c>
      <c r="B118" s="23" t="s">
        <v>1432</v>
      </c>
      <c r="C118" s="23" t="n">
        <v>117</v>
      </c>
      <c r="D118" s="23" t="s">
        <v>906</v>
      </c>
      <c r="E118" s="23"/>
      <c r="F118" s="23" t="s">
        <v>1433</v>
      </c>
      <c r="G118" s="23" t="s">
        <v>456</v>
      </c>
      <c r="H118" s="23" t="s">
        <v>457</v>
      </c>
      <c r="I118" s="23" t="s">
        <v>1136</v>
      </c>
      <c r="J118" s="23" t="s">
        <v>2185</v>
      </c>
      <c r="K118" s="23" t="n">
        <v>26.99</v>
      </c>
      <c r="L118" s="23" t="s">
        <v>2186</v>
      </c>
      <c r="M118" s="23" t="s">
        <v>2187</v>
      </c>
      <c r="N118" s="23" t="s">
        <v>2188</v>
      </c>
      <c r="O118" s="23" t="s">
        <v>2189</v>
      </c>
      <c r="P118" s="23"/>
      <c r="Q118" s="24" t="n">
        <f aca="false">IF(L118="","",IFERROR(INDEX('Semrush Data'!$A$1:$Z$20000,MATCH(L118,'Semrush Data'!$A$1:$A$20000,0),MATCH("Volume",'Semrush Data'!$A$1:$Z$1,0)),""))</f>
        <v>0</v>
      </c>
      <c r="R118" s="24" t="str">
        <f aca="false">IF(M118="","",IFERROR(INDEX('Semrush Data'!$A$1:$Z$20000,MATCH(M118,'Semrush Data'!$A$1:$A$20000,0),MATCH("Volume",'Semrush Data'!$A$1:$Z$1,0)),""))</f>
        <v/>
      </c>
      <c r="S118" s="24" t="str">
        <f aca="false">IF(N118="","",IFERROR(INDEX('Semrush Data'!$A$1:$Z$20000,MATCH(N118,'Semrush Data'!$A$1:$A$20000,0),MATCH("Volume",'Semrush Data'!$A$1:$Z$1,0)),""))</f>
        <v/>
      </c>
      <c r="T118" s="24" t="str">
        <f aca="false">IF(O118="","",IFERROR(INDEX('Semrush Data'!$A$1:$Z$20000,MATCH(O118,'Semrush Data'!$A$1:$A$20000,0),MATCH("Volume",'Semrush Data'!$A$1:$Z$1,0)),""))</f>
        <v/>
      </c>
      <c r="U118" s="24" t="str">
        <f aca="false">IF(P118="","",IFERROR(INDEX('Semrush Data'!$A$1:$Z$20000,MATCH(P118,'Semrush Data'!$A$1:$A$20000,0),MATCH("Volume",'Semrush Data'!$A$1:$Z$1,0)),""))</f>
        <v/>
      </c>
      <c r="V118" s="25" t="str">
        <f aca="false">IF(COUNT(Q118:U118)=0,L118,IF(MAX(Q118:U118)=0,L118,INDEX(L118:P118,MATCH(MAX(Q118:U118),Q118:U118,0))))</f>
        <v>deyga beetroot lip balm stick</v>
      </c>
      <c r="W118" s="24" t="n">
        <f aca="false">IFERROR(INDEX('Semrush Data'!$A$1:$Z$20000,MATCH(V118,'Semrush Data'!$A$1:$A$20000,0),MATCH("Volume",'Semrush Data'!$A$1:$Z$1,0)),"")</f>
        <v>0</v>
      </c>
      <c r="X118" s="24" t="n">
        <f aca="false">IFERROR(INDEX('Semrush Data'!$A$1:$Z$20000,MATCH(V118,'Semrush Data'!$A$1:$A$20000,0),MATCH("Keyword Difficulty*",'Semrush Data'!$A$1:$Z$1,0)),"")</f>
        <v>18</v>
      </c>
      <c r="Y118" s="26" t="n">
        <f aca="false">IFERROR(INDEX('Semrush Data'!$A$1:$Z$20000,MATCH(V118,'Semrush Data'!$A$1:$A$20000,0),MATCH("CPC*",'Semrush Data'!$A$1:$Z$1,0)),"")</f>
        <v>0</v>
      </c>
      <c r="Z118" s="23" t="s">
        <v>2115</v>
      </c>
      <c r="AA118" s="23" t="s">
        <v>1141</v>
      </c>
      <c r="AB118" s="23" t="s">
        <v>1137</v>
      </c>
      <c r="AC118" s="23" t="s">
        <v>2190</v>
      </c>
      <c r="AD118" s="27" t="n">
        <f aca="false">LEN(AC118)</f>
        <v>56</v>
      </c>
      <c r="AE118" s="23" t="s">
        <v>2191</v>
      </c>
      <c r="AF118" s="27" t="n">
        <f aca="false">LEN(AE118)</f>
        <v>159</v>
      </c>
    </row>
    <row r="119" customFormat="false" ht="15" hidden="false" customHeight="true" outlineLevel="0" collapsed="false">
      <c r="A119" s="23" t="s">
        <v>1142</v>
      </c>
      <c r="B119" s="23" t="s">
        <v>1432</v>
      </c>
      <c r="C119" s="23" t="n">
        <v>118</v>
      </c>
      <c r="D119" s="23" t="s">
        <v>906</v>
      </c>
      <c r="E119" s="23"/>
      <c r="F119" s="23" t="s">
        <v>1451</v>
      </c>
      <c r="G119" s="23" t="s">
        <v>987</v>
      </c>
      <c r="H119" s="23" t="s">
        <v>435</v>
      </c>
      <c r="I119" s="23" t="s">
        <v>1143</v>
      </c>
      <c r="J119" s="23" t="s">
        <v>2178</v>
      </c>
      <c r="K119" s="23" t="n">
        <v>15.99</v>
      </c>
      <c r="L119" s="23" t="s">
        <v>2192</v>
      </c>
      <c r="M119" s="23" t="s">
        <v>2193</v>
      </c>
      <c r="N119" s="23" t="s">
        <v>2194</v>
      </c>
      <c r="O119" s="23" t="s">
        <v>2195</v>
      </c>
      <c r="P119" s="23"/>
      <c r="Q119" s="24" t="n">
        <f aca="false">IF(L119="","",IFERROR(INDEX('Semrush Data'!$A$1:$Z$20000,MATCH(L119,'Semrush Data'!$A$1:$A$20000,0),MATCH("Volume",'Semrush Data'!$A$1:$Z$1,0)),""))</f>
        <v>0</v>
      </c>
      <c r="R119" s="24" t="str">
        <f aca="false">IF(M119="","",IFERROR(INDEX('Semrush Data'!$A$1:$Z$20000,MATCH(M119,'Semrush Data'!$A$1:$A$20000,0),MATCH("Volume",'Semrush Data'!$A$1:$Z$1,0)),""))</f>
        <v/>
      </c>
      <c r="S119" s="24" t="str">
        <f aca="false">IF(N119="","",IFERROR(INDEX('Semrush Data'!$A$1:$Z$20000,MATCH(N119,'Semrush Data'!$A$1:$A$20000,0),MATCH("Volume",'Semrush Data'!$A$1:$Z$1,0)),""))</f>
        <v/>
      </c>
      <c r="T119" s="24" t="str">
        <f aca="false">IF(O119="","",IFERROR(INDEX('Semrush Data'!$A$1:$Z$20000,MATCH(O119,'Semrush Data'!$A$1:$A$20000,0),MATCH("Volume",'Semrush Data'!$A$1:$Z$1,0)),""))</f>
        <v/>
      </c>
      <c r="U119" s="24" t="str">
        <f aca="false">IF(P119="","",IFERROR(INDEX('Semrush Data'!$A$1:$Z$20000,MATCH(P119,'Semrush Data'!$A$1:$A$20000,0),MATCH("Volume",'Semrush Data'!$A$1:$Z$1,0)),""))</f>
        <v/>
      </c>
      <c r="V119" s="25" t="str">
        <f aca="false">IF(COUNT(Q119:U119)=0,L119,IF(MAX(Q119:U119)=0,L119,INDEX(L119:P119,MATCH(MAX(Q119:U119),Q119:U119,0))))</f>
        <v>deyga face &amp; body exfoliator powder</v>
      </c>
      <c r="W119" s="24" t="n">
        <f aca="false">IFERROR(INDEX('Semrush Data'!$A$1:$Z$20000,MATCH(V119,'Semrush Data'!$A$1:$A$20000,0),MATCH("Volume",'Semrush Data'!$A$1:$Z$1,0)),"")</f>
        <v>0</v>
      </c>
      <c r="X119" s="24" t="n">
        <f aca="false">IFERROR(INDEX('Semrush Data'!$A$1:$Z$20000,MATCH(V119,'Semrush Data'!$A$1:$A$20000,0),MATCH("Keyword Difficulty*",'Semrush Data'!$A$1:$Z$1,0)),"")</f>
        <v>13</v>
      </c>
      <c r="Y119" s="26" t="n">
        <f aca="false">IFERROR(INDEX('Semrush Data'!$A$1:$Z$20000,MATCH(V119,'Semrush Data'!$A$1:$A$20000,0),MATCH("CPC*",'Semrush Data'!$A$1:$Z$1,0)),"")</f>
        <v>0</v>
      </c>
      <c r="Z119" s="23" t="s">
        <v>2034</v>
      </c>
      <c r="AA119" s="23"/>
      <c r="AB119" s="23" t="s">
        <v>1144</v>
      </c>
      <c r="AC119" s="23" t="s">
        <v>2196</v>
      </c>
      <c r="AD119" s="27" t="n">
        <f aca="false">LEN(AC119)</f>
        <v>49</v>
      </c>
      <c r="AE119" s="23" t="s">
        <v>2197</v>
      </c>
      <c r="AF119" s="27" t="n">
        <f aca="false">LEN(AE119)</f>
        <v>160</v>
      </c>
    </row>
    <row r="120" customFormat="false" ht="15" hidden="false" customHeight="true" outlineLevel="0" collapsed="false">
      <c r="A120" s="23" t="s">
        <v>1148</v>
      </c>
      <c r="B120" s="23" t="s">
        <v>1432</v>
      </c>
      <c r="C120" s="23" t="n">
        <v>119</v>
      </c>
      <c r="D120" s="23" t="s">
        <v>906</v>
      </c>
      <c r="E120" s="23"/>
      <c r="F120" s="23" t="s">
        <v>1433</v>
      </c>
      <c r="G120" s="23" t="s">
        <v>947</v>
      </c>
      <c r="H120" s="23" t="s">
        <v>586</v>
      </c>
      <c r="I120" s="23" t="s">
        <v>1149</v>
      </c>
      <c r="J120" s="23" t="s">
        <v>2178</v>
      </c>
      <c r="K120" s="23" t="n">
        <v>21.99</v>
      </c>
      <c r="L120" s="23" t="s">
        <v>2179</v>
      </c>
      <c r="M120" s="23" t="s">
        <v>2180</v>
      </c>
      <c r="N120" s="23" t="s">
        <v>2181</v>
      </c>
      <c r="O120" s="23" t="s">
        <v>2182</v>
      </c>
      <c r="P120" s="23"/>
      <c r="Q120" s="24" t="n">
        <f aca="false">IF(L120="","",IFERROR(INDEX('Semrush Data'!$A$1:$Z$20000,MATCH(L120,'Semrush Data'!$A$1:$A$20000,0),MATCH("Volume",'Semrush Data'!$A$1:$Z$1,0)),""))</f>
        <v>0</v>
      </c>
      <c r="R120" s="24" t="str">
        <f aca="false">IF(M120="","",IFERROR(INDEX('Semrush Data'!$A$1:$Z$20000,MATCH(M120,'Semrush Data'!$A$1:$A$20000,0),MATCH("Volume",'Semrush Data'!$A$1:$Z$1,0)),""))</f>
        <v/>
      </c>
      <c r="S120" s="24" t="str">
        <f aca="false">IF(N120="","",IFERROR(INDEX('Semrush Data'!$A$1:$Z$20000,MATCH(N120,'Semrush Data'!$A$1:$A$20000,0),MATCH("Volume",'Semrush Data'!$A$1:$Z$1,0)),""))</f>
        <v/>
      </c>
      <c r="T120" s="24" t="str">
        <f aca="false">IF(O120="","",IFERROR(INDEX('Semrush Data'!$A$1:$Z$20000,MATCH(O120,'Semrush Data'!$A$1:$A$20000,0),MATCH("Volume",'Semrush Data'!$A$1:$Z$1,0)),""))</f>
        <v/>
      </c>
      <c r="U120" s="24" t="str">
        <f aca="false">IF(P120="","",IFERROR(INDEX('Semrush Data'!$A$1:$Z$20000,MATCH(P120,'Semrush Data'!$A$1:$A$20000,0),MATCH("Volume",'Semrush Data'!$A$1:$Z$1,0)),""))</f>
        <v/>
      </c>
      <c r="V120" s="25" t="str">
        <f aca="false">IF(COUNT(Q120:U120)=0,L120,IF(MAX(Q120:U120)=0,L120,INDEX(L120:P120,MATCH(MAX(Q120:U120),Q120:U120,0))))</f>
        <v>deyga rose &amp; mulethi skin brightening pack</v>
      </c>
      <c r="W120" s="24" t="n">
        <f aca="false">IFERROR(INDEX('Semrush Data'!$A$1:$Z$20000,MATCH(V120,'Semrush Data'!$A$1:$A$20000,0),MATCH("Volume",'Semrush Data'!$A$1:$Z$1,0)),"")</f>
        <v>0</v>
      </c>
      <c r="X120" s="24" t="n">
        <f aca="false">IFERROR(INDEX('Semrush Data'!$A$1:$Z$20000,MATCH(V120,'Semrush Data'!$A$1:$A$20000,0),MATCH("Keyword Difficulty*",'Semrush Data'!$A$1:$Z$1,0)),"")</f>
        <v>15</v>
      </c>
      <c r="Y120" s="26" t="n">
        <f aca="false">IFERROR(INDEX('Semrush Data'!$A$1:$Z$20000,MATCH(V120,'Semrush Data'!$A$1:$A$20000,0),MATCH("CPC*",'Semrush Data'!$A$1:$Z$1,0)),"")</f>
        <v>0</v>
      </c>
      <c r="Z120" s="23" t="s">
        <v>2183</v>
      </c>
      <c r="AA120" s="23"/>
      <c r="AB120" s="23" t="s">
        <v>1131</v>
      </c>
      <c r="AC120" s="23" t="s">
        <v>1132</v>
      </c>
      <c r="AD120" s="27" t="n">
        <f aca="false">LEN(AC120)</f>
        <v>56</v>
      </c>
      <c r="AE120" s="23" t="s">
        <v>2184</v>
      </c>
      <c r="AF120" s="27" t="n">
        <f aca="false">LEN(AE120)</f>
        <v>157</v>
      </c>
    </row>
    <row r="121" customFormat="false" ht="15" hidden="false" customHeight="true" outlineLevel="0" collapsed="false">
      <c r="A121" s="23" t="s">
        <v>1150</v>
      </c>
      <c r="B121" s="23" t="s">
        <v>1432</v>
      </c>
      <c r="C121" s="23" t="n">
        <v>120</v>
      </c>
      <c r="D121" s="23" t="s">
        <v>906</v>
      </c>
      <c r="E121" s="23"/>
      <c r="F121" s="23" t="s">
        <v>1433</v>
      </c>
      <c r="G121" s="23" t="s">
        <v>561</v>
      </c>
      <c r="H121" s="23" t="s">
        <v>586</v>
      </c>
      <c r="I121" s="23" t="s">
        <v>1151</v>
      </c>
      <c r="J121" s="23" t="s">
        <v>2016</v>
      </c>
      <c r="K121" s="23" t="n">
        <v>17.99</v>
      </c>
      <c r="L121" s="23" t="s">
        <v>2198</v>
      </c>
      <c r="M121" s="23" t="s">
        <v>2199</v>
      </c>
      <c r="N121" s="23" t="s">
        <v>2200</v>
      </c>
      <c r="O121" s="23" t="s">
        <v>2201</v>
      </c>
      <c r="P121" s="23"/>
      <c r="Q121" s="24" t="n">
        <f aca="false">IF(L121="","",IFERROR(INDEX('Semrush Data'!$A$1:$Z$20000,MATCH(L121,'Semrush Data'!$A$1:$A$20000,0),MATCH("Volume",'Semrush Data'!$A$1:$Z$1,0)),""))</f>
        <v>0</v>
      </c>
      <c r="R121" s="24" t="str">
        <f aca="false">IF(M121="","",IFERROR(INDEX('Semrush Data'!$A$1:$Z$20000,MATCH(M121,'Semrush Data'!$A$1:$A$20000,0),MATCH("Volume",'Semrush Data'!$A$1:$Z$1,0)),""))</f>
        <v/>
      </c>
      <c r="S121" s="24" t="str">
        <f aca="false">IF(N121="","",IFERROR(INDEX('Semrush Data'!$A$1:$Z$20000,MATCH(N121,'Semrush Data'!$A$1:$A$20000,0),MATCH("Volume",'Semrush Data'!$A$1:$Z$1,0)),""))</f>
        <v/>
      </c>
      <c r="T121" s="24" t="str">
        <f aca="false">IF(O121="","",IFERROR(INDEX('Semrush Data'!$A$1:$Z$20000,MATCH(O121,'Semrush Data'!$A$1:$A$20000,0),MATCH("Volume",'Semrush Data'!$A$1:$Z$1,0)),""))</f>
        <v/>
      </c>
      <c r="U121" s="24" t="str">
        <f aca="false">IF(P121="","",IFERROR(INDEX('Semrush Data'!$A$1:$Z$20000,MATCH(P121,'Semrush Data'!$A$1:$A$20000,0),MATCH("Volume",'Semrush Data'!$A$1:$Z$1,0)),""))</f>
        <v/>
      </c>
      <c r="V121" s="25" t="str">
        <f aca="false">IF(COUNT(Q121:U121)=0,L121,IF(MAX(Q121:U121)=0,L121,INDEX(L121:P121,MATCH(MAX(Q121:U121),Q121:U121,0))))</f>
        <v>deyga beautifying serum</v>
      </c>
      <c r="W121" s="24" t="n">
        <f aca="false">IFERROR(INDEX('Semrush Data'!$A$1:$Z$20000,MATCH(V121,'Semrush Data'!$A$1:$A$20000,0),MATCH("Volume",'Semrush Data'!$A$1:$Z$1,0)),"")</f>
        <v>0</v>
      </c>
      <c r="X121" s="24" t="n">
        <f aca="false">IFERROR(INDEX('Semrush Data'!$A$1:$Z$20000,MATCH(V121,'Semrush Data'!$A$1:$A$20000,0),MATCH("Keyword Difficulty*",'Semrush Data'!$A$1:$Z$1,0)),"")</f>
        <v>16</v>
      </c>
      <c r="Y121" s="26" t="n">
        <f aca="false">IFERROR(INDEX('Semrush Data'!$A$1:$Z$20000,MATCH(V121,'Semrush Data'!$A$1:$A$20000,0),MATCH("CPC*",'Semrush Data'!$A$1:$Z$1,0)),"")</f>
        <v>0</v>
      </c>
      <c r="Z121" s="23" t="s">
        <v>1984</v>
      </c>
      <c r="AA121" s="23" t="s">
        <v>1156</v>
      </c>
      <c r="AB121" s="23" t="s">
        <v>1152</v>
      </c>
      <c r="AC121" s="23" t="s">
        <v>2202</v>
      </c>
      <c r="AD121" s="27" t="n">
        <f aca="false">LEN(AC121)</f>
        <v>50</v>
      </c>
      <c r="AE121" s="23" t="s">
        <v>2203</v>
      </c>
      <c r="AF121" s="27" t="n">
        <f aca="false">LEN(AE121)</f>
        <v>153</v>
      </c>
    </row>
    <row r="122" customFormat="false" ht="15" hidden="false" customHeight="true" outlineLevel="0" collapsed="false">
      <c r="A122" s="23" t="s">
        <v>1157</v>
      </c>
      <c r="B122" s="23" t="s">
        <v>1432</v>
      </c>
      <c r="C122" s="23" t="n">
        <v>121</v>
      </c>
      <c r="D122" s="23" t="s">
        <v>906</v>
      </c>
      <c r="E122" s="23"/>
      <c r="F122" s="23" t="s">
        <v>1451</v>
      </c>
      <c r="G122" s="23" t="s">
        <v>987</v>
      </c>
      <c r="H122" s="23" t="s">
        <v>407</v>
      </c>
      <c r="I122" s="23" t="s">
        <v>1158</v>
      </c>
      <c r="J122" s="23" t="s">
        <v>2204</v>
      </c>
      <c r="K122" s="23" t="n">
        <v>10.99</v>
      </c>
      <c r="L122" s="23" t="s">
        <v>2205</v>
      </c>
      <c r="M122" s="23" t="s">
        <v>2206</v>
      </c>
      <c r="N122" s="23" t="s">
        <v>2207</v>
      </c>
      <c r="O122" s="23" t="s">
        <v>2208</v>
      </c>
      <c r="P122" s="23"/>
      <c r="Q122" s="24" t="n">
        <f aca="false">IF(L122="","",IFERROR(INDEX('Semrush Data'!$A$1:$Z$20000,MATCH(L122,'Semrush Data'!$A$1:$A$20000,0),MATCH("Volume",'Semrush Data'!$A$1:$Z$1,0)),""))</f>
        <v>0</v>
      </c>
      <c r="R122" s="24" t="str">
        <f aca="false">IF(M122="","",IFERROR(INDEX('Semrush Data'!$A$1:$Z$20000,MATCH(M122,'Semrush Data'!$A$1:$A$20000,0),MATCH("Volume",'Semrush Data'!$A$1:$Z$1,0)),""))</f>
        <v/>
      </c>
      <c r="S122" s="24" t="str">
        <f aca="false">IF(N122="","",IFERROR(INDEX('Semrush Data'!$A$1:$Z$20000,MATCH(N122,'Semrush Data'!$A$1:$A$20000,0),MATCH("Volume",'Semrush Data'!$A$1:$Z$1,0)),""))</f>
        <v/>
      </c>
      <c r="T122" s="24" t="str">
        <f aca="false">IF(O122="","",IFERROR(INDEX('Semrush Data'!$A$1:$Z$20000,MATCH(O122,'Semrush Data'!$A$1:$A$20000,0),MATCH("Volume",'Semrush Data'!$A$1:$Z$1,0)),""))</f>
        <v/>
      </c>
      <c r="U122" s="24" t="str">
        <f aca="false">IF(P122="","",IFERROR(INDEX('Semrush Data'!$A$1:$Z$20000,MATCH(P122,'Semrush Data'!$A$1:$A$20000,0),MATCH("Volume",'Semrush Data'!$A$1:$Z$1,0)),""))</f>
        <v/>
      </c>
      <c r="V122" s="25" t="str">
        <f aca="false">IF(COUNT(Q122:U122)=0,L122,IF(MAX(Q122:U122)=0,L122,INDEX(L122:P122,MATCH(MAX(Q122:U122),Q122:U122,0))))</f>
        <v>deyga charcoal bath bar</v>
      </c>
      <c r="W122" s="24" t="n">
        <f aca="false">IFERROR(INDEX('Semrush Data'!$A$1:$Z$20000,MATCH(V122,'Semrush Data'!$A$1:$A$20000,0),MATCH("Volume",'Semrush Data'!$A$1:$Z$1,0)),"")</f>
        <v>0</v>
      </c>
      <c r="X122" s="24" t="n">
        <f aca="false">IFERROR(INDEX('Semrush Data'!$A$1:$Z$20000,MATCH(V122,'Semrush Data'!$A$1:$A$20000,0),MATCH("Keyword Difficulty*",'Semrush Data'!$A$1:$Z$1,0)),"")</f>
        <v>22</v>
      </c>
      <c r="Y122" s="26" t="n">
        <f aca="false">IFERROR(INDEX('Semrush Data'!$A$1:$Z$20000,MATCH(V122,'Semrush Data'!$A$1:$A$20000,0),MATCH("CPC*",'Semrush Data'!$A$1:$Z$1,0)),"")</f>
        <v>0</v>
      </c>
      <c r="Z122" s="23" t="s">
        <v>2122</v>
      </c>
      <c r="AA122" s="23" t="s">
        <v>1163</v>
      </c>
      <c r="AB122" s="23" t="s">
        <v>1159</v>
      </c>
      <c r="AC122" s="23" t="s">
        <v>2209</v>
      </c>
      <c r="AD122" s="27" t="n">
        <f aca="false">LEN(AC122)</f>
        <v>50</v>
      </c>
      <c r="AE122" s="23" t="s">
        <v>2210</v>
      </c>
      <c r="AF122" s="27" t="n">
        <f aca="false">LEN(AE122)</f>
        <v>159</v>
      </c>
    </row>
    <row r="123" customFormat="false" ht="15" hidden="false" customHeight="true" outlineLevel="0" collapsed="false">
      <c r="A123" s="23" t="s">
        <v>1164</v>
      </c>
      <c r="B123" s="23" t="s">
        <v>1432</v>
      </c>
      <c r="C123" s="23" t="n">
        <v>122</v>
      </c>
      <c r="D123" s="23" t="s">
        <v>906</v>
      </c>
      <c r="E123" s="23"/>
      <c r="F123" s="23" t="s">
        <v>1442</v>
      </c>
      <c r="G123" s="23" t="s">
        <v>385</v>
      </c>
      <c r="H123" s="23" t="s">
        <v>386</v>
      </c>
      <c r="I123" s="23" t="s">
        <v>1165</v>
      </c>
      <c r="J123" s="23" t="s">
        <v>1994</v>
      </c>
      <c r="K123" s="23" t="n">
        <v>14.99</v>
      </c>
      <c r="L123" s="23" t="s">
        <v>2211</v>
      </c>
      <c r="M123" s="23" t="s">
        <v>2212</v>
      </c>
      <c r="N123" s="23" t="s">
        <v>2213</v>
      </c>
      <c r="O123" s="23" t="s">
        <v>2214</v>
      </c>
      <c r="P123" s="23"/>
      <c r="Q123" s="24" t="n">
        <f aca="false">IF(L123="","",IFERROR(INDEX('Semrush Data'!$A$1:$Z$20000,MATCH(L123,'Semrush Data'!$A$1:$A$20000,0),MATCH("Volume",'Semrush Data'!$A$1:$Z$1,0)),""))</f>
        <v>20</v>
      </c>
      <c r="R123" s="24" t="str">
        <f aca="false">IF(M123="","",IFERROR(INDEX('Semrush Data'!$A$1:$Z$20000,MATCH(M123,'Semrush Data'!$A$1:$A$20000,0),MATCH("Volume",'Semrush Data'!$A$1:$Z$1,0)),""))</f>
        <v/>
      </c>
      <c r="S123" s="24" t="str">
        <f aca="false">IF(N123="","",IFERROR(INDEX('Semrush Data'!$A$1:$Z$20000,MATCH(N123,'Semrush Data'!$A$1:$A$20000,0),MATCH("Volume",'Semrush Data'!$A$1:$Z$1,0)),""))</f>
        <v/>
      </c>
      <c r="T123" s="24" t="str">
        <f aca="false">IF(O123="","",IFERROR(INDEX('Semrush Data'!$A$1:$Z$20000,MATCH(O123,'Semrush Data'!$A$1:$A$20000,0),MATCH("Volume",'Semrush Data'!$A$1:$Z$1,0)),""))</f>
        <v/>
      </c>
      <c r="U123" s="24" t="str">
        <f aca="false">IF(P123="","",IFERROR(INDEX('Semrush Data'!$A$1:$Z$20000,MATCH(P123,'Semrush Data'!$A$1:$A$20000,0),MATCH("Volume",'Semrush Data'!$A$1:$Z$1,0)),""))</f>
        <v/>
      </c>
      <c r="V123" s="25" t="str">
        <f aca="false">IF(COUNT(Q123:U123)=0,L123,IF(MAX(Q123:U123)=0,L123,INDEX(L123:P123,MATCH(MAX(Q123:U123),Q123:U123,0))))</f>
        <v>deyga hair growth oil</v>
      </c>
      <c r="W123" s="24" t="n">
        <f aca="false">IFERROR(INDEX('Semrush Data'!$A$1:$Z$20000,MATCH(V123,'Semrush Data'!$A$1:$A$20000,0),MATCH("Volume",'Semrush Data'!$A$1:$Z$1,0)),"")</f>
        <v>20</v>
      </c>
      <c r="X123" s="24" t="n">
        <f aca="false">IFERROR(INDEX('Semrush Data'!$A$1:$Z$20000,MATCH(V123,'Semrush Data'!$A$1:$A$20000,0),MATCH("Keyword Difficulty*",'Semrush Data'!$A$1:$Z$1,0)),"")</f>
        <v>9</v>
      </c>
      <c r="Y123" s="26" t="n">
        <f aca="false">IFERROR(INDEX('Semrush Data'!$A$1:$Z$20000,MATCH(V123,'Semrush Data'!$A$1:$A$20000,0),MATCH("CPC*",'Semrush Data'!$A$1:$Z$1,0)),"")</f>
        <v>0</v>
      </c>
      <c r="Z123" s="23" t="s">
        <v>2215</v>
      </c>
      <c r="AA123" s="23" t="s">
        <v>1170</v>
      </c>
      <c r="AB123" s="23" t="s">
        <v>1166</v>
      </c>
      <c r="AC123" s="23" t="s">
        <v>2216</v>
      </c>
      <c r="AD123" s="27" t="n">
        <f aca="false">LEN(AC123)</f>
        <v>54</v>
      </c>
      <c r="AE123" s="23" t="s">
        <v>2217</v>
      </c>
      <c r="AF123" s="27" t="n">
        <f aca="false">LEN(AE123)</f>
        <v>156</v>
      </c>
    </row>
    <row r="124" customFormat="false" ht="15" hidden="false" customHeight="true" outlineLevel="0" collapsed="false">
      <c r="A124" s="23" t="s">
        <v>1171</v>
      </c>
      <c r="B124" s="23" t="s">
        <v>1432</v>
      </c>
      <c r="C124" s="23" t="n">
        <v>123</v>
      </c>
      <c r="D124" s="23" t="s">
        <v>906</v>
      </c>
      <c r="E124" s="23"/>
      <c r="F124" s="23" t="s">
        <v>1433</v>
      </c>
      <c r="G124" s="23" t="s">
        <v>425</v>
      </c>
      <c r="H124" s="23" t="s">
        <v>571</v>
      </c>
      <c r="I124" s="23" t="s">
        <v>1172</v>
      </c>
      <c r="J124" s="23" t="s">
        <v>1994</v>
      </c>
      <c r="K124" s="23" t="n">
        <v>25.99</v>
      </c>
      <c r="L124" s="23" t="s">
        <v>2218</v>
      </c>
      <c r="M124" s="23" t="s">
        <v>2219</v>
      </c>
      <c r="N124" s="23" t="s">
        <v>2220</v>
      </c>
      <c r="O124" s="23" t="s">
        <v>2221</v>
      </c>
      <c r="P124" s="23"/>
      <c r="Q124" s="24" t="n">
        <f aca="false">IF(L124="","",IFERROR(INDEX('Semrush Data'!$A$1:$Z$20000,MATCH(L124,'Semrush Data'!$A$1:$A$20000,0),MATCH("Volume",'Semrush Data'!$A$1:$Z$1,0)),""))</f>
        <v>10</v>
      </c>
      <c r="R124" s="24" t="str">
        <f aca="false">IF(M124="","",IFERROR(INDEX('Semrush Data'!$A$1:$Z$20000,MATCH(M124,'Semrush Data'!$A$1:$A$20000,0),MATCH("Volume",'Semrush Data'!$A$1:$Z$1,0)),""))</f>
        <v/>
      </c>
      <c r="S124" s="24" t="str">
        <f aca="false">IF(N124="","",IFERROR(INDEX('Semrush Data'!$A$1:$Z$20000,MATCH(N124,'Semrush Data'!$A$1:$A$20000,0),MATCH("Volume",'Semrush Data'!$A$1:$Z$1,0)),""))</f>
        <v/>
      </c>
      <c r="T124" s="24" t="str">
        <f aca="false">IF(O124="","",IFERROR(INDEX('Semrush Data'!$A$1:$Z$20000,MATCH(O124,'Semrush Data'!$A$1:$A$20000,0),MATCH("Volume",'Semrush Data'!$A$1:$Z$1,0)),""))</f>
        <v/>
      </c>
      <c r="U124" s="24" t="str">
        <f aca="false">IF(P124="","",IFERROR(INDEX('Semrush Data'!$A$1:$Z$20000,MATCH(P124,'Semrush Data'!$A$1:$A$20000,0),MATCH("Volume",'Semrush Data'!$A$1:$Z$1,0)),""))</f>
        <v/>
      </c>
      <c r="V124" s="25" t="str">
        <f aca="false">IF(COUNT(Q124:U124)=0,L124,IF(MAX(Q124:U124)=0,L124,INDEX(L124:P124,MATCH(MAX(Q124:U124),Q124:U124,0))))</f>
        <v>deyga charcoal face wash</v>
      </c>
      <c r="W124" s="24" t="n">
        <f aca="false">IFERROR(INDEX('Semrush Data'!$A$1:$Z$20000,MATCH(V124,'Semrush Data'!$A$1:$A$20000,0),MATCH("Volume",'Semrush Data'!$A$1:$Z$1,0)),"")</f>
        <v>10</v>
      </c>
      <c r="X124" s="24" t="n">
        <f aca="false">IFERROR(INDEX('Semrush Data'!$A$1:$Z$20000,MATCH(V124,'Semrush Data'!$A$1:$A$20000,0),MATCH("Keyword Difficulty*",'Semrush Data'!$A$1:$Z$1,0)),"")</f>
        <v>8</v>
      </c>
      <c r="Y124" s="26" t="n">
        <f aca="false">IFERROR(INDEX('Semrush Data'!$A$1:$Z$20000,MATCH(V124,'Semrush Data'!$A$1:$A$20000,0),MATCH("CPC*",'Semrush Data'!$A$1:$Z$1,0)),"")</f>
        <v>0</v>
      </c>
      <c r="Z124" s="23" t="s">
        <v>2222</v>
      </c>
      <c r="AA124" s="23" t="s">
        <v>1177</v>
      </c>
      <c r="AB124" s="23" t="s">
        <v>1173</v>
      </c>
      <c r="AC124" s="23" t="s">
        <v>2223</v>
      </c>
      <c r="AD124" s="27" t="n">
        <f aca="false">LEN(AC124)</f>
        <v>51</v>
      </c>
      <c r="AE124" s="23" t="s">
        <v>2224</v>
      </c>
      <c r="AF124" s="27" t="n">
        <f aca="false">LEN(AE124)</f>
        <v>158</v>
      </c>
    </row>
    <row r="125" customFormat="false" ht="15" hidden="false" customHeight="true" outlineLevel="0" collapsed="false">
      <c r="A125" s="23" t="s">
        <v>1178</v>
      </c>
      <c r="B125" s="23" t="s">
        <v>1432</v>
      </c>
      <c r="C125" s="23" t="n">
        <v>124</v>
      </c>
      <c r="D125" s="23" t="s">
        <v>906</v>
      </c>
      <c r="E125" s="23"/>
      <c r="F125" s="23" t="s">
        <v>1433</v>
      </c>
      <c r="G125" s="23" t="s">
        <v>434</v>
      </c>
      <c r="H125" s="23" t="s">
        <v>376</v>
      </c>
      <c r="I125" s="23" t="s">
        <v>1179</v>
      </c>
      <c r="J125" s="23" t="s">
        <v>1941</v>
      </c>
      <c r="K125" s="23" t="n">
        <v>22.99</v>
      </c>
      <c r="L125" s="23" t="s">
        <v>2225</v>
      </c>
      <c r="M125" s="23" t="s">
        <v>2226</v>
      </c>
      <c r="N125" s="23" t="s">
        <v>2227</v>
      </c>
      <c r="O125" s="23" t="s">
        <v>2228</v>
      </c>
      <c r="P125" s="23"/>
      <c r="Q125" s="24" t="n">
        <f aca="false">IF(L125="","",IFERROR(INDEX('Semrush Data'!$A$1:$Z$20000,MATCH(L125,'Semrush Data'!$A$1:$A$20000,0),MATCH("Volume",'Semrush Data'!$A$1:$Z$1,0)),""))</f>
        <v>0</v>
      </c>
      <c r="R125" s="24" t="str">
        <f aca="false">IF(M125="","",IFERROR(INDEX('Semrush Data'!$A$1:$Z$20000,MATCH(M125,'Semrush Data'!$A$1:$A$20000,0),MATCH("Volume",'Semrush Data'!$A$1:$Z$1,0)),""))</f>
        <v/>
      </c>
      <c r="S125" s="24" t="str">
        <f aca="false">IF(N125="","",IFERROR(INDEX('Semrush Data'!$A$1:$Z$20000,MATCH(N125,'Semrush Data'!$A$1:$A$20000,0),MATCH("Volume",'Semrush Data'!$A$1:$Z$1,0)),""))</f>
        <v/>
      </c>
      <c r="T125" s="24" t="str">
        <f aca="false">IF(O125="","",IFERROR(INDEX('Semrush Data'!$A$1:$Z$20000,MATCH(O125,'Semrush Data'!$A$1:$A$20000,0),MATCH("Volume",'Semrush Data'!$A$1:$Z$1,0)),""))</f>
        <v/>
      </c>
      <c r="U125" s="24" t="str">
        <f aca="false">IF(P125="","",IFERROR(INDEX('Semrush Data'!$A$1:$Z$20000,MATCH(P125,'Semrush Data'!$A$1:$A$20000,0),MATCH("Volume",'Semrush Data'!$A$1:$Z$1,0)),""))</f>
        <v/>
      </c>
      <c r="V125" s="25" t="str">
        <f aca="false">IF(COUNT(Q125:U125)=0,L125,IF(MAX(Q125:U125)=0,L125,INDEX(L125:P125,MATCH(MAX(Q125:U125),Q125:U125,0))))</f>
        <v>deyga pure aloe vera gel</v>
      </c>
      <c r="W125" s="24" t="n">
        <f aca="false">IFERROR(INDEX('Semrush Data'!$A$1:$Z$20000,MATCH(V125,'Semrush Data'!$A$1:$A$20000,0),MATCH("Volume",'Semrush Data'!$A$1:$Z$1,0)),"")</f>
        <v>0</v>
      </c>
      <c r="X125" s="24" t="n">
        <f aca="false">IFERROR(INDEX('Semrush Data'!$A$1:$Z$20000,MATCH(V125,'Semrush Data'!$A$1:$A$20000,0),MATCH("Keyword Difficulty*",'Semrush Data'!$A$1:$Z$1,0)),"")</f>
        <v>22</v>
      </c>
      <c r="Y125" s="26" t="n">
        <f aca="false">IFERROR(INDEX('Semrush Data'!$A$1:$Z$20000,MATCH(V125,'Semrush Data'!$A$1:$A$20000,0),MATCH("CPC*",'Semrush Data'!$A$1:$Z$1,0)),"")</f>
        <v>0</v>
      </c>
      <c r="Z125" s="23" t="s">
        <v>2229</v>
      </c>
      <c r="AA125" s="23" t="s">
        <v>1184</v>
      </c>
      <c r="AB125" s="23" t="s">
        <v>1180</v>
      </c>
      <c r="AC125" s="23" t="s">
        <v>2230</v>
      </c>
      <c r="AD125" s="27" t="n">
        <f aca="false">LEN(AC125)</f>
        <v>51</v>
      </c>
      <c r="AE125" s="23" t="s">
        <v>2231</v>
      </c>
      <c r="AF125" s="27" t="n">
        <f aca="false">LEN(AE125)</f>
        <v>160</v>
      </c>
    </row>
    <row r="126" customFormat="false" ht="15" hidden="false" customHeight="true" outlineLevel="0" collapsed="false">
      <c r="A126" s="23" t="s">
        <v>1185</v>
      </c>
      <c r="B126" s="23" t="s">
        <v>1432</v>
      </c>
      <c r="C126" s="23" t="n">
        <v>125</v>
      </c>
      <c r="D126" s="23" t="s">
        <v>906</v>
      </c>
      <c r="E126" s="23"/>
      <c r="F126" s="23" t="s">
        <v>1442</v>
      </c>
      <c r="G126" s="23" t="s">
        <v>1105</v>
      </c>
      <c r="H126" s="23" t="s">
        <v>621</v>
      </c>
      <c r="I126" s="23" t="s">
        <v>1186</v>
      </c>
      <c r="J126" s="23" t="s">
        <v>2085</v>
      </c>
      <c r="K126" s="23" t="n">
        <v>16.99</v>
      </c>
      <c r="L126" s="23" t="s">
        <v>2232</v>
      </c>
      <c r="M126" s="23" t="s">
        <v>2233</v>
      </c>
      <c r="N126" s="23" t="s">
        <v>2234</v>
      </c>
      <c r="O126" s="23" t="s">
        <v>2235</v>
      </c>
      <c r="P126" s="23"/>
      <c r="Q126" s="24" t="n">
        <f aca="false">IF(L126="","",IFERROR(INDEX('Semrush Data'!$A$1:$Z$20000,MATCH(L126,'Semrush Data'!$A$1:$A$20000,0),MATCH("Volume",'Semrush Data'!$A$1:$Z$1,0)),""))</f>
        <v>0</v>
      </c>
      <c r="R126" s="24" t="str">
        <f aca="false">IF(M126="","",IFERROR(INDEX('Semrush Data'!$A$1:$Z$20000,MATCH(M126,'Semrush Data'!$A$1:$A$20000,0),MATCH("Volume",'Semrush Data'!$A$1:$Z$1,0)),""))</f>
        <v/>
      </c>
      <c r="S126" s="24" t="str">
        <f aca="false">IF(N126="","",IFERROR(INDEX('Semrush Data'!$A$1:$Z$20000,MATCH(N126,'Semrush Data'!$A$1:$A$20000,0),MATCH("Volume",'Semrush Data'!$A$1:$Z$1,0)),""))</f>
        <v/>
      </c>
      <c r="T126" s="24" t="str">
        <f aca="false">IF(O126="","",IFERROR(INDEX('Semrush Data'!$A$1:$Z$20000,MATCH(O126,'Semrush Data'!$A$1:$A$20000,0),MATCH("Volume",'Semrush Data'!$A$1:$Z$1,0)),""))</f>
        <v/>
      </c>
      <c r="U126" s="24" t="str">
        <f aca="false">IF(P126="","",IFERROR(INDEX('Semrush Data'!$A$1:$Z$20000,MATCH(P126,'Semrush Data'!$A$1:$A$20000,0),MATCH("Volume",'Semrush Data'!$A$1:$Z$1,0)),""))</f>
        <v/>
      </c>
      <c r="V126" s="25" t="str">
        <f aca="false">IF(COUNT(Q126:U126)=0,L126,IF(MAX(Q126:U126)=0,L126,INDEX(L126:P126,MATCH(MAX(Q126:U126),Q126:U126,0))))</f>
        <v>deyga plant based hair color – black</v>
      </c>
      <c r="W126" s="24" t="n">
        <f aca="false">IFERROR(INDEX('Semrush Data'!$A$1:$Z$20000,MATCH(V126,'Semrush Data'!$A$1:$A$20000,0),MATCH("Volume",'Semrush Data'!$A$1:$Z$1,0)),"")</f>
        <v>0</v>
      </c>
      <c r="X126" s="24" t="n">
        <f aca="false">IFERROR(INDEX('Semrush Data'!$A$1:$Z$20000,MATCH(V126,'Semrush Data'!$A$1:$A$20000,0),MATCH("Keyword Difficulty*",'Semrush Data'!$A$1:$Z$1,0)),"")</f>
        <v>14</v>
      </c>
      <c r="Y126" s="26" t="n">
        <f aca="false">IFERROR(INDEX('Semrush Data'!$A$1:$Z$20000,MATCH(V126,'Semrush Data'!$A$1:$A$20000,0),MATCH("CPC*",'Semrush Data'!$A$1:$Z$1,0)),"")</f>
        <v>0</v>
      </c>
      <c r="Z126" s="23" t="s">
        <v>2155</v>
      </c>
      <c r="AA126" s="23" t="s">
        <v>1191</v>
      </c>
      <c r="AB126" s="23" t="s">
        <v>1187</v>
      </c>
      <c r="AC126" s="23" t="s">
        <v>2236</v>
      </c>
      <c r="AD126" s="27" t="n">
        <f aca="false">LEN(AC126)</f>
        <v>55</v>
      </c>
      <c r="AE126" s="23" t="s">
        <v>2237</v>
      </c>
      <c r="AF126" s="27" t="n">
        <f aca="false">LEN(AE126)</f>
        <v>159</v>
      </c>
    </row>
    <row r="127" customFormat="false" ht="15" hidden="false" customHeight="true" outlineLevel="0" collapsed="false">
      <c r="A127" s="23" t="s">
        <v>1192</v>
      </c>
      <c r="B127" s="23" t="s">
        <v>1432</v>
      </c>
      <c r="C127" s="23" t="n">
        <v>126</v>
      </c>
      <c r="D127" s="23" t="s">
        <v>906</v>
      </c>
      <c r="E127" s="23"/>
      <c r="F127" s="23" t="s">
        <v>1442</v>
      </c>
      <c r="G127" s="23" t="s">
        <v>482</v>
      </c>
      <c r="H127" s="23" t="s">
        <v>473</v>
      </c>
      <c r="I127" s="23" t="s">
        <v>1193</v>
      </c>
      <c r="J127" s="23" t="s">
        <v>1956</v>
      </c>
      <c r="K127" s="23" t="n">
        <v>13.99</v>
      </c>
      <c r="L127" s="23" t="s">
        <v>2238</v>
      </c>
      <c r="M127" s="23" t="s">
        <v>2239</v>
      </c>
      <c r="N127" s="23" t="s">
        <v>2240</v>
      </c>
      <c r="O127" s="23" t="s">
        <v>2241</v>
      </c>
      <c r="P127" s="23"/>
      <c r="Q127" s="24" t="n">
        <f aca="false">IF(L127="","",IFERROR(INDEX('Semrush Data'!$A$1:$Z$20000,MATCH(L127,'Semrush Data'!$A$1:$A$20000,0),MATCH("Volume",'Semrush Data'!$A$1:$Z$1,0)),""))</f>
        <v>30</v>
      </c>
      <c r="R127" s="24" t="str">
        <f aca="false">IF(M127="","",IFERROR(INDEX('Semrush Data'!$A$1:$Z$20000,MATCH(M127,'Semrush Data'!$A$1:$A$20000,0),MATCH("Volume",'Semrush Data'!$A$1:$Z$1,0)),""))</f>
        <v/>
      </c>
      <c r="S127" s="24" t="str">
        <f aca="false">IF(N127="","",IFERROR(INDEX('Semrush Data'!$A$1:$Z$20000,MATCH(N127,'Semrush Data'!$A$1:$A$20000,0),MATCH("Volume",'Semrush Data'!$A$1:$Z$1,0)),""))</f>
        <v/>
      </c>
      <c r="T127" s="24" t="str">
        <f aca="false">IF(O127="","",IFERROR(INDEX('Semrush Data'!$A$1:$Z$20000,MATCH(O127,'Semrush Data'!$A$1:$A$20000,0),MATCH("Volume",'Semrush Data'!$A$1:$Z$1,0)),""))</f>
        <v/>
      </c>
      <c r="U127" s="24" t="str">
        <f aca="false">IF(P127="","",IFERROR(INDEX('Semrush Data'!$A$1:$Z$20000,MATCH(P127,'Semrush Data'!$A$1:$A$20000,0),MATCH("Volume",'Semrush Data'!$A$1:$Z$1,0)),""))</f>
        <v/>
      </c>
      <c r="V127" s="25" t="str">
        <f aca="false">IF(COUNT(Q127:U127)=0,L127,IF(MAX(Q127:U127)=0,L127,INDEX(L127:P127,MATCH(MAX(Q127:U127),Q127:U127,0))))</f>
        <v>deyga rice water shampoo</v>
      </c>
      <c r="W127" s="24" t="n">
        <f aca="false">IFERROR(INDEX('Semrush Data'!$A$1:$Z$20000,MATCH(V127,'Semrush Data'!$A$1:$A$20000,0),MATCH("Volume",'Semrush Data'!$A$1:$Z$1,0)),"")</f>
        <v>30</v>
      </c>
      <c r="X127" s="24" t="n">
        <f aca="false">IFERROR(INDEX('Semrush Data'!$A$1:$Z$20000,MATCH(V127,'Semrush Data'!$A$1:$A$20000,0),MATCH("Keyword Difficulty*",'Semrush Data'!$A$1:$Z$1,0)),"")</f>
        <v>18</v>
      </c>
      <c r="Y127" s="26" t="n">
        <f aca="false">IFERROR(INDEX('Semrush Data'!$A$1:$Z$20000,MATCH(V127,'Semrush Data'!$A$1:$A$20000,0),MATCH("CPC*",'Semrush Data'!$A$1:$Z$1,0)),"")</f>
        <v>0</v>
      </c>
      <c r="Z127" s="23" t="s">
        <v>2242</v>
      </c>
      <c r="AA127" s="23" t="s">
        <v>1198</v>
      </c>
      <c r="AB127" s="23" t="s">
        <v>1194</v>
      </c>
      <c r="AC127" s="23" t="s">
        <v>2243</v>
      </c>
      <c r="AD127" s="27" t="n">
        <f aca="false">LEN(AC127)</f>
        <v>51</v>
      </c>
      <c r="AE127" s="23" t="s">
        <v>2244</v>
      </c>
      <c r="AF127" s="27" t="n">
        <f aca="false">LEN(AE127)</f>
        <v>159</v>
      </c>
    </row>
    <row r="128" customFormat="false" ht="15" hidden="false" customHeight="true" outlineLevel="0" collapsed="false">
      <c r="A128" s="23" t="s">
        <v>1199</v>
      </c>
      <c r="B128" s="23" t="s">
        <v>1432</v>
      </c>
      <c r="C128" s="23" t="n">
        <v>127</v>
      </c>
      <c r="D128" s="23" t="s">
        <v>906</v>
      </c>
      <c r="E128" s="23"/>
      <c r="F128" s="23" t="s">
        <v>1442</v>
      </c>
      <c r="G128" s="23" t="s">
        <v>472</v>
      </c>
      <c r="H128" s="23" t="s">
        <v>473</v>
      </c>
      <c r="I128" s="23" t="s">
        <v>1200</v>
      </c>
      <c r="J128" s="23" t="s">
        <v>1956</v>
      </c>
      <c r="K128" s="23" t="n">
        <v>14.99</v>
      </c>
      <c r="L128" s="23" t="s">
        <v>2245</v>
      </c>
      <c r="M128" s="23" t="s">
        <v>2246</v>
      </c>
      <c r="N128" s="23" t="s">
        <v>2247</v>
      </c>
      <c r="O128" s="23" t="s">
        <v>2248</v>
      </c>
      <c r="P128" s="23"/>
      <c r="Q128" s="24" t="n">
        <f aca="false">IF(L128="","",IFERROR(INDEX('Semrush Data'!$A$1:$Z$20000,MATCH(L128,'Semrush Data'!$A$1:$A$20000,0),MATCH("Volume",'Semrush Data'!$A$1:$Z$1,0)),""))</f>
        <v>0</v>
      </c>
      <c r="R128" s="24" t="str">
        <f aca="false">IF(M128="","",IFERROR(INDEX('Semrush Data'!$A$1:$Z$20000,MATCH(M128,'Semrush Data'!$A$1:$A$20000,0),MATCH("Volume",'Semrush Data'!$A$1:$Z$1,0)),""))</f>
        <v/>
      </c>
      <c r="S128" s="24" t="str">
        <f aca="false">IF(N128="","",IFERROR(INDEX('Semrush Data'!$A$1:$Z$20000,MATCH(N128,'Semrush Data'!$A$1:$A$20000,0),MATCH("Volume",'Semrush Data'!$A$1:$Z$1,0)),""))</f>
        <v/>
      </c>
      <c r="T128" s="24" t="str">
        <f aca="false">IF(O128="","",IFERROR(INDEX('Semrush Data'!$A$1:$Z$20000,MATCH(O128,'Semrush Data'!$A$1:$A$20000,0),MATCH("Volume",'Semrush Data'!$A$1:$Z$1,0)),""))</f>
        <v/>
      </c>
      <c r="U128" s="24" t="str">
        <f aca="false">IF(P128="","",IFERROR(INDEX('Semrush Data'!$A$1:$Z$20000,MATCH(P128,'Semrush Data'!$A$1:$A$20000,0),MATCH("Volume",'Semrush Data'!$A$1:$Z$1,0)),""))</f>
        <v/>
      </c>
      <c r="V128" s="25" t="str">
        <f aca="false">IF(COUNT(Q128:U128)=0,L128,IF(MAX(Q128:U128)=0,L128,INDEX(L128:P128,MATCH(MAX(Q128:U128),Q128:U128,0))))</f>
        <v>deyga soy milk conditioner</v>
      </c>
      <c r="W128" s="24" t="n">
        <f aca="false">IFERROR(INDEX('Semrush Data'!$A$1:$Z$20000,MATCH(V128,'Semrush Data'!$A$1:$A$20000,0),MATCH("Volume",'Semrush Data'!$A$1:$Z$1,0)),"")</f>
        <v>0</v>
      </c>
      <c r="X128" s="24" t="n">
        <f aca="false">IFERROR(INDEX('Semrush Data'!$A$1:$Z$20000,MATCH(V128,'Semrush Data'!$A$1:$A$20000,0),MATCH("Keyword Difficulty*",'Semrush Data'!$A$1:$Z$1,0)),"")</f>
        <v>29</v>
      </c>
      <c r="Y128" s="26" t="n">
        <f aca="false">IFERROR(INDEX('Semrush Data'!$A$1:$Z$20000,MATCH(V128,'Semrush Data'!$A$1:$A$20000,0),MATCH("CPC*",'Semrush Data'!$A$1:$Z$1,0)),"")</f>
        <v>0</v>
      </c>
      <c r="Z128" s="23" t="s">
        <v>2249</v>
      </c>
      <c r="AA128" s="23" t="s">
        <v>1205</v>
      </c>
      <c r="AB128" s="23" t="s">
        <v>1201</v>
      </c>
      <c r="AC128" s="23" t="s">
        <v>2250</v>
      </c>
      <c r="AD128" s="27" t="n">
        <f aca="false">LEN(AC128)</f>
        <v>53</v>
      </c>
      <c r="AE128" s="23" t="s">
        <v>2251</v>
      </c>
      <c r="AF128" s="27" t="n">
        <f aca="false">LEN(AE128)</f>
        <v>159</v>
      </c>
    </row>
    <row r="129" customFormat="false" ht="15" hidden="false" customHeight="true" outlineLevel="0" collapsed="false">
      <c r="A129" s="23" t="s">
        <v>1206</v>
      </c>
      <c r="B129" s="23" t="s">
        <v>1432</v>
      </c>
      <c r="C129" s="23" t="n">
        <v>128</v>
      </c>
      <c r="D129" s="23" t="s">
        <v>906</v>
      </c>
      <c r="E129" s="23"/>
      <c r="F129" s="23" t="s">
        <v>1451</v>
      </c>
      <c r="G129" s="23" t="s">
        <v>908</v>
      </c>
      <c r="H129" s="23" t="s">
        <v>435</v>
      </c>
      <c r="I129" s="23" t="s">
        <v>1207</v>
      </c>
      <c r="J129" s="23" t="s">
        <v>2009</v>
      </c>
      <c r="K129" s="23" t="n">
        <v>12.99</v>
      </c>
      <c r="L129" s="23" t="s">
        <v>2252</v>
      </c>
      <c r="M129" s="23" t="s">
        <v>2253</v>
      </c>
      <c r="N129" s="23" t="s">
        <v>2254</v>
      </c>
      <c r="O129" s="23" t="s">
        <v>2255</v>
      </c>
      <c r="P129" s="23"/>
      <c r="Q129" s="24" t="n">
        <f aca="false">IF(L129="","",IFERROR(INDEX('Semrush Data'!$A$1:$Z$20000,MATCH(L129,'Semrush Data'!$A$1:$A$20000,0),MATCH("Volume",'Semrush Data'!$A$1:$Z$1,0)),""))</f>
        <v>0</v>
      </c>
      <c r="R129" s="24" t="str">
        <f aca="false">IF(M129="","",IFERROR(INDEX('Semrush Data'!$A$1:$Z$20000,MATCH(M129,'Semrush Data'!$A$1:$A$20000,0),MATCH("Volume",'Semrush Data'!$A$1:$Z$1,0)),""))</f>
        <v/>
      </c>
      <c r="S129" s="24" t="str">
        <f aca="false">IF(N129="","",IFERROR(INDEX('Semrush Data'!$A$1:$Z$20000,MATCH(N129,'Semrush Data'!$A$1:$A$20000,0),MATCH("Volume",'Semrush Data'!$A$1:$Z$1,0)),""))</f>
        <v/>
      </c>
      <c r="T129" s="24" t="str">
        <f aca="false">IF(O129="","",IFERROR(INDEX('Semrush Data'!$A$1:$Z$20000,MATCH(O129,'Semrush Data'!$A$1:$A$20000,0),MATCH("Volume",'Semrush Data'!$A$1:$Z$1,0)),""))</f>
        <v/>
      </c>
      <c r="U129" s="24" t="str">
        <f aca="false">IF(P129="","",IFERROR(INDEX('Semrush Data'!$A$1:$Z$20000,MATCH(P129,'Semrush Data'!$A$1:$A$20000,0),MATCH("Volume",'Semrush Data'!$A$1:$Z$1,0)),""))</f>
        <v/>
      </c>
      <c r="V129" s="25" t="str">
        <f aca="false">IF(COUNT(Q129:U129)=0,L129,IF(MAX(Q129:U129)=0,L129,INDEX(L129:P129,MATCH(MAX(Q129:U129),Q129:U129,0))))</f>
        <v>deyga foot butter</v>
      </c>
      <c r="W129" s="24" t="n">
        <f aca="false">IFERROR(INDEX('Semrush Data'!$A$1:$Z$20000,MATCH(V129,'Semrush Data'!$A$1:$A$20000,0),MATCH("Volume",'Semrush Data'!$A$1:$Z$1,0)),"")</f>
        <v>0</v>
      </c>
      <c r="X129" s="24" t="n">
        <f aca="false">IFERROR(INDEX('Semrush Data'!$A$1:$Z$20000,MATCH(V129,'Semrush Data'!$A$1:$A$20000,0),MATCH("Keyword Difficulty*",'Semrush Data'!$A$1:$Z$1,0)),"")</f>
        <v>13</v>
      </c>
      <c r="Y129" s="26" t="n">
        <f aca="false">IFERROR(INDEX('Semrush Data'!$A$1:$Z$20000,MATCH(V129,'Semrush Data'!$A$1:$A$20000,0),MATCH("CPC*",'Semrush Data'!$A$1:$Z$1,0)),"")</f>
        <v>0</v>
      </c>
      <c r="Z129" s="23" t="s">
        <v>1946</v>
      </c>
      <c r="AA129" s="23" t="s">
        <v>1212</v>
      </c>
      <c r="AB129" s="23" t="s">
        <v>1208</v>
      </c>
      <c r="AC129" s="23" t="s">
        <v>2256</v>
      </c>
      <c r="AD129" s="27" t="n">
        <f aca="false">LEN(AC129)</f>
        <v>50</v>
      </c>
      <c r="AE129" s="23" t="s">
        <v>2257</v>
      </c>
      <c r="AF129" s="27" t="n">
        <f aca="false">LEN(AE129)</f>
        <v>160</v>
      </c>
    </row>
    <row r="130" customFormat="false" ht="15" hidden="false" customHeight="true" outlineLevel="0" collapsed="false">
      <c r="A130" s="23" t="s">
        <v>1213</v>
      </c>
      <c r="B130" s="23" t="s">
        <v>1432</v>
      </c>
      <c r="C130" s="23" t="n">
        <v>129</v>
      </c>
      <c r="D130" s="23" t="s">
        <v>906</v>
      </c>
      <c r="E130" s="23"/>
      <c r="F130" s="23" t="s">
        <v>1451</v>
      </c>
      <c r="G130" s="23" t="s">
        <v>987</v>
      </c>
      <c r="H130" s="23" t="s">
        <v>407</v>
      </c>
      <c r="I130" s="23" t="s">
        <v>1214</v>
      </c>
      <c r="J130" s="23" t="s">
        <v>2258</v>
      </c>
      <c r="K130" s="23"/>
      <c r="L130" s="23" t="s">
        <v>2259</v>
      </c>
      <c r="M130" s="23" t="s">
        <v>2260</v>
      </c>
      <c r="N130" s="23" t="s">
        <v>2261</v>
      </c>
      <c r="O130" s="23" t="s">
        <v>2262</v>
      </c>
      <c r="P130" s="23"/>
      <c r="Q130" s="24" t="n">
        <f aca="false">IF(L130="","",IFERROR(INDEX('Semrush Data'!$A$1:$Z$20000,MATCH(L130,'Semrush Data'!$A$1:$A$20000,0),MATCH("Volume",'Semrush Data'!$A$1:$Z$1,0)),""))</f>
        <v>0</v>
      </c>
      <c r="R130" s="24" t="str">
        <f aca="false">IF(M130="","",IFERROR(INDEX('Semrush Data'!$A$1:$Z$20000,MATCH(M130,'Semrush Data'!$A$1:$A$20000,0),MATCH("Volume",'Semrush Data'!$A$1:$Z$1,0)),""))</f>
        <v/>
      </c>
      <c r="S130" s="24" t="str">
        <f aca="false">IF(N130="","",IFERROR(INDEX('Semrush Data'!$A$1:$Z$20000,MATCH(N130,'Semrush Data'!$A$1:$A$20000,0),MATCH("Volume",'Semrush Data'!$A$1:$Z$1,0)),""))</f>
        <v/>
      </c>
      <c r="T130" s="24" t="str">
        <f aca="false">IF(O130="","",IFERROR(INDEX('Semrush Data'!$A$1:$Z$20000,MATCH(O130,'Semrush Data'!$A$1:$A$20000,0),MATCH("Volume",'Semrush Data'!$A$1:$Z$1,0)),""))</f>
        <v/>
      </c>
      <c r="U130" s="24" t="str">
        <f aca="false">IF(P130="","",IFERROR(INDEX('Semrush Data'!$A$1:$Z$20000,MATCH(P130,'Semrush Data'!$A$1:$A$20000,0),MATCH("Volume",'Semrush Data'!$A$1:$Z$1,0)),""))</f>
        <v/>
      </c>
      <c r="V130" s="25" t="str">
        <f aca="false">IF(COUNT(Q130:U130)=0,L130,IF(MAX(Q130:U130)=0,L130,INDEX(L130:P130,MATCH(MAX(Q130:U130),Q130:U130,0))))</f>
        <v>deyga baby bath bar</v>
      </c>
      <c r="W130" s="24" t="n">
        <f aca="false">IFERROR(INDEX('Semrush Data'!$A$1:$Z$20000,MATCH(V130,'Semrush Data'!$A$1:$A$20000,0),MATCH("Volume",'Semrush Data'!$A$1:$Z$1,0)),"")</f>
        <v>0</v>
      </c>
      <c r="X130" s="24" t="n">
        <f aca="false">IFERROR(INDEX('Semrush Data'!$A$1:$Z$20000,MATCH(V130,'Semrush Data'!$A$1:$A$20000,0),MATCH("Keyword Difficulty*",'Semrush Data'!$A$1:$Z$1,0)),"")</f>
        <v>14</v>
      </c>
      <c r="Y130" s="26" t="n">
        <f aca="false">IFERROR(INDEX('Semrush Data'!$A$1:$Z$20000,MATCH(V130,'Semrush Data'!$A$1:$A$20000,0),MATCH("CPC*",'Semrush Data'!$A$1:$Z$1,0)),"")</f>
        <v>0</v>
      </c>
      <c r="Z130" s="23" t="s">
        <v>2122</v>
      </c>
      <c r="AA130" s="23"/>
      <c r="AB130" s="23" t="s">
        <v>1215</v>
      </c>
      <c r="AC130" s="23" t="s">
        <v>2263</v>
      </c>
      <c r="AD130" s="27" t="n">
        <f aca="false">LEN(AC130)</f>
        <v>51</v>
      </c>
      <c r="AE130" s="23" t="s">
        <v>2264</v>
      </c>
      <c r="AF130" s="27" t="n">
        <f aca="false">LEN(AE130)</f>
        <v>155</v>
      </c>
    </row>
    <row r="131" customFormat="false" ht="15" hidden="false" customHeight="true" outlineLevel="0" collapsed="false">
      <c r="A131" s="23" t="s">
        <v>1219</v>
      </c>
      <c r="B131" s="23" t="s">
        <v>1432</v>
      </c>
      <c r="C131" s="23" t="n">
        <v>130</v>
      </c>
      <c r="D131" s="23" t="s">
        <v>906</v>
      </c>
      <c r="E131" s="23"/>
      <c r="F131" s="23" t="s">
        <v>1442</v>
      </c>
      <c r="G131" s="23" t="s">
        <v>482</v>
      </c>
      <c r="H131" s="23" t="s">
        <v>543</v>
      </c>
      <c r="I131" s="23" t="s">
        <v>1220</v>
      </c>
      <c r="J131" s="23" t="s">
        <v>1956</v>
      </c>
      <c r="K131" s="23" t="n">
        <v>14.99</v>
      </c>
      <c r="L131" s="23" t="s">
        <v>2265</v>
      </c>
      <c r="M131" s="23" t="s">
        <v>2266</v>
      </c>
      <c r="N131" s="23" t="s">
        <v>2267</v>
      </c>
      <c r="O131" s="23" t="s">
        <v>2268</v>
      </c>
      <c r="P131" s="23"/>
      <c r="Q131" s="24" t="n">
        <f aca="false">IF(L131="","",IFERROR(INDEX('Semrush Data'!$A$1:$Z$20000,MATCH(L131,'Semrush Data'!$A$1:$A$20000,0),MATCH("Volume",'Semrush Data'!$A$1:$Z$1,0)),""))</f>
        <v>20</v>
      </c>
      <c r="R131" s="24" t="str">
        <f aca="false">IF(M131="","",IFERROR(INDEX('Semrush Data'!$A$1:$Z$20000,MATCH(M131,'Semrush Data'!$A$1:$A$20000,0),MATCH("Volume",'Semrush Data'!$A$1:$Z$1,0)),""))</f>
        <v/>
      </c>
      <c r="S131" s="24" t="str">
        <f aca="false">IF(N131="","",IFERROR(INDEX('Semrush Data'!$A$1:$Z$20000,MATCH(N131,'Semrush Data'!$A$1:$A$20000,0),MATCH("Volume",'Semrush Data'!$A$1:$Z$1,0)),""))</f>
        <v/>
      </c>
      <c r="T131" s="24" t="str">
        <f aca="false">IF(O131="","",IFERROR(INDEX('Semrush Data'!$A$1:$Z$20000,MATCH(O131,'Semrush Data'!$A$1:$A$20000,0),MATCH("Volume",'Semrush Data'!$A$1:$Z$1,0)),""))</f>
        <v/>
      </c>
      <c r="U131" s="24" t="str">
        <f aca="false">IF(P131="","",IFERROR(INDEX('Semrush Data'!$A$1:$Z$20000,MATCH(P131,'Semrush Data'!$A$1:$A$20000,0),MATCH("Volume",'Semrush Data'!$A$1:$Z$1,0)),""))</f>
        <v/>
      </c>
      <c r="V131" s="25" t="str">
        <f aca="false">IF(COUNT(Q131:U131)=0,L131,IF(MAX(Q131:U131)=0,L131,INDEX(L131:P131,MATCH(MAX(Q131:U131),Q131:U131,0))))</f>
        <v>deyga anti dandruff shampoo</v>
      </c>
      <c r="W131" s="24" t="n">
        <f aca="false">IFERROR(INDEX('Semrush Data'!$A$1:$Z$20000,MATCH(V131,'Semrush Data'!$A$1:$A$20000,0),MATCH("Volume",'Semrush Data'!$A$1:$Z$1,0)),"")</f>
        <v>20</v>
      </c>
      <c r="X131" s="24" t="n">
        <f aca="false">IFERROR(INDEX('Semrush Data'!$A$1:$Z$20000,MATCH(V131,'Semrush Data'!$A$1:$A$20000,0),MATCH("Keyword Difficulty*",'Semrush Data'!$A$1:$Z$1,0)),"")</f>
        <v>9</v>
      </c>
      <c r="Y131" s="26" t="n">
        <f aca="false">IFERROR(INDEX('Semrush Data'!$A$1:$Z$20000,MATCH(V131,'Semrush Data'!$A$1:$A$20000,0),MATCH("CPC*",'Semrush Data'!$A$1:$Z$1,0)),"")</f>
        <v>0</v>
      </c>
      <c r="Z131" s="23" t="s">
        <v>2269</v>
      </c>
      <c r="AA131" s="23" t="s">
        <v>1225</v>
      </c>
      <c r="AB131" s="23" t="s">
        <v>1221</v>
      </c>
      <c r="AC131" s="23" t="s">
        <v>2270</v>
      </c>
      <c r="AD131" s="27" t="n">
        <f aca="false">LEN(AC131)</f>
        <v>54</v>
      </c>
      <c r="AE131" s="23" t="s">
        <v>2271</v>
      </c>
      <c r="AF131" s="27" t="n">
        <f aca="false">LEN(AE131)</f>
        <v>160</v>
      </c>
    </row>
    <row r="132" customFormat="false" ht="15" hidden="false" customHeight="true" outlineLevel="0" collapsed="false">
      <c r="A132" s="23" t="s">
        <v>1226</v>
      </c>
      <c r="B132" s="23" t="s">
        <v>1432</v>
      </c>
      <c r="C132" s="23" t="n">
        <v>131</v>
      </c>
      <c r="D132" s="23" t="s">
        <v>906</v>
      </c>
      <c r="E132" s="23"/>
      <c r="F132" s="23" t="s">
        <v>1433</v>
      </c>
      <c r="G132" s="23" t="s">
        <v>456</v>
      </c>
      <c r="H132" s="23" t="s">
        <v>646</v>
      </c>
      <c r="I132" s="23" t="s">
        <v>1227</v>
      </c>
      <c r="J132" s="23" t="s">
        <v>2143</v>
      </c>
      <c r="K132" s="23" t="n">
        <v>10.99</v>
      </c>
      <c r="L132" s="23" t="s">
        <v>2272</v>
      </c>
      <c r="M132" s="23" t="s">
        <v>2273</v>
      </c>
      <c r="N132" s="23" t="s">
        <v>2274</v>
      </c>
      <c r="O132" s="23" t="s">
        <v>2275</v>
      </c>
      <c r="P132" s="23"/>
      <c r="Q132" s="24" t="n">
        <f aca="false">IF(L132="","",IFERROR(INDEX('Semrush Data'!$A$1:$Z$20000,MATCH(L132,'Semrush Data'!$A$1:$A$20000,0),MATCH("Volume",'Semrush Data'!$A$1:$Z$1,0)),""))</f>
        <v>0</v>
      </c>
      <c r="R132" s="24" t="str">
        <f aca="false">IF(M132="","",IFERROR(INDEX('Semrush Data'!$A$1:$Z$20000,MATCH(M132,'Semrush Data'!$A$1:$A$20000,0),MATCH("Volume",'Semrush Data'!$A$1:$Z$1,0)),""))</f>
        <v/>
      </c>
      <c r="S132" s="24" t="str">
        <f aca="false">IF(N132="","",IFERROR(INDEX('Semrush Data'!$A$1:$Z$20000,MATCH(N132,'Semrush Data'!$A$1:$A$20000,0),MATCH("Volume",'Semrush Data'!$A$1:$Z$1,0)),""))</f>
        <v/>
      </c>
      <c r="T132" s="24" t="str">
        <f aca="false">IF(O132="","",IFERROR(INDEX('Semrush Data'!$A$1:$Z$20000,MATCH(O132,'Semrush Data'!$A$1:$A$20000,0),MATCH("Volume",'Semrush Data'!$A$1:$Z$1,0)),""))</f>
        <v/>
      </c>
      <c r="U132" s="24" t="str">
        <f aca="false">IF(P132="","",IFERROR(INDEX('Semrush Data'!$A$1:$Z$20000,MATCH(P132,'Semrush Data'!$A$1:$A$20000,0),MATCH("Volume",'Semrush Data'!$A$1:$Z$1,0)),""))</f>
        <v/>
      </c>
      <c r="V132" s="25" t="str">
        <f aca="false">IF(COUNT(Q132:U132)=0,L132,IF(MAX(Q132:U132)=0,L132,INDEX(L132:P132,MATCH(MAX(Q132:U132),Q132:U132,0))))</f>
        <v>deyga strawberry lip scrub</v>
      </c>
      <c r="W132" s="24" t="n">
        <f aca="false">IFERROR(INDEX('Semrush Data'!$A$1:$Z$20000,MATCH(V132,'Semrush Data'!$A$1:$A$20000,0),MATCH("Volume",'Semrush Data'!$A$1:$Z$1,0)),"")</f>
        <v>0</v>
      </c>
      <c r="X132" s="24" t="n">
        <f aca="false">IFERROR(INDEX('Semrush Data'!$A$1:$Z$20000,MATCH(V132,'Semrush Data'!$A$1:$A$20000,0),MATCH("Keyword Difficulty*",'Semrush Data'!$A$1:$Z$1,0)),"")</f>
        <v>6</v>
      </c>
      <c r="Y132" s="26" t="n">
        <f aca="false">IFERROR(INDEX('Semrush Data'!$A$1:$Z$20000,MATCH(V132,'Semrush Data'!$A$1:$A$20000,0),MATCH("CPC*",'Semrush Data'!$A$1:$Z$1,0)),"")</f>
        <v>0</v>
      </c>
      <c r="Z132" s="23" t="s">
        <v>2148</v>
      </c>
      <c r="AA132" s="23"/>
      <c r="AB132" s="23" t="s">
        <v>1228</v>
      </c>
      <c r="AC132" s="23" t="s">
        <v>2276</v>
      </c>
      <c r="AD132" s="27" t="n">
        <f aca="false">LEN(AC132)</f>
        <v>53</v>
      </c>
      <c r="AE132" s="23" t="s">
        <v>2277</v>
      </c>
      <c r="AF132" s="27" t="n">
        <f aca="false">LEN(AE132)</f>
        <v>159</v>
      </c>
    </row>
    <row r="133" customFormat="false" ht="15" hidden="false" customHeight="true" outlineLevel="0" collapsed="false">
      <c r="A133" s="23" t="s">
        <v>1232</v>
      </c>
      <c r="B133" s="23" t="s">
        <v>1432</v>
      </c>
      <c r="C133" s="23" t="n">
        <v>132</v>
      </c>
      <c r="D133" s="23" t="s">
        <v>906</v>
      </c>
      <c r="E133" s="23"/>
      <c r="F133" s="23" t="s">
        <v>1433</v>
      </c>
      <c r="G133" s="23" t="s">
        <v>456</v>
      </c>
      <c r="H133" s="23" t="s">
        <v>457</v>
      </c>
      <c r="I133" s="23" t="s">
        <v>1233</v>
      </c>
      <c r="J133" s="23" t="s">
        <v>1722</v>
      </c>
      <c r="K133" s="23" t="n">
        <v>10.99</v>
      </c>
      <c r="L133" s="23" t="s">
        <v>2278</v>
      </c>
      <c r="M133" s="23" t="s">
        <v>2279</v>
      </c>
      <c r="N133" s="23" t="s">
        <v>2280</v>
      </c>
      <c r="O133" s="23" t="s">
        <v>2281</v>
      </c>
      <c r="P133" s="23"/>
      <c r="Q133" s="24" t="n">
        <f aca="false">IF(L133="","",IFERROR(INDEX('Semrush Data'!$A$1:$Z$20000,MATCH(L133,'Semrush Data'!$A$1:$A$20000,0),MATCH("Volume",'Semrush Data'!$A$1:$Z$1,0)),""))</f>
        <v>0</v>
      </c>
      <c r="R133" s="24" t="str">
        <f aca="false">IF(M133="","",IFERROR(INDEX('Semrush Data'!$A$1:$Z$20000,MATCH(M133,'Semrush Data'!$A$1:$A$20000,0),MATCH("Volume",'Semrush Data'!$A$1:$Z$1,0)),""))</f>
        <v/>
      </c>
      <c r="S133" s="24" t="str">
        <f aca="false">IF(N133="","",IFERROR(INDEX('Semrush Data'!$A$1:$Z$20000,MATCH(N133,'Semrush Data'!$A$1:$A$20000,0),MATCH("Volume",'Semrush Data'!$A$1:$Z$1,0)),""))</f>
        <v/>
      </c>
      <c r="T133" s="24" t="str">
        <f aca="false">IF(O133="","",IFERROR(INDEX('Semrush Data'!$A$1:$Z$20000,MATCH(O133,'Semrush Data'!$A$1:$A$20000,0),MATCH("Volume",'Semrush Data'!$A$1:$Z$1,0)),""))</f>
        <v/>
      </c>
      <c r="U133" s="24" t="str">
        <f aca="false">IF(P133="","",IFERROR(INDEX('Semrush Data'!$A$1:$Z$20000,MATCH(P133,'Semrush Data'!$A$1:$A$20000,0),MATCH("Volume",'Semrush Data'!$A$1:$Z$1,0)),""))</f>
        <v/>
      </c>
      <c r="V133" s="25" t="str">
        <f aca="false">IF(COUNT(Q133:U133)=0,L133,IF(MAX(Q133:U133)=0,L133,INDEX(L133:P133,MATCH(MAX(Q133:U133),Q133:U133,0))))</f>
        <v>deyga beetroot lip balm classic</v>
      </c>
      <c r="W133" s="24" t="n">
        <f aca="false">IFERROR(INDEX('Semrush Data'!$A$1:$Z$20000,MATCH(V133,'Semrush Data'!$A$1:$A$20000,0),MATCH("Volume",'Semrush Data'!$A$1:$Z$1,0)),"")</f>
        <v>0</v>
      </c>
      <c r="X133" s="24" t="n">
        <f aca="false">IFERROR(INDEX('Semrush Data'!$A$1:$Z$20000,MATCH(V133,'Semrush Data'!$A$1:$A$20000,0),MATCH("Keyword Difficulty*",'Semrush Data'!$A$1:$Z$1,0)),"")</f>
        <v>22</v>
      </c>
      <c r="Y133" s="26" t="n">
        <f aca="false">IFERROR(INDEX('Semrush Data'!$A$1:$Z$20000,MATCH(V133,'Semrush Data'!$A$1:$A$20000,0),MATCH("CPC*",'Semrush Data'!$A$1:$Z$1,0)),"")</f>
        <v>0</v>
      </c>
      <c r="Z133" s="23" t="s">
        <v>2115</v>
      </c>
      <c r="AA133" s="23" t="s">
        <v>1238</v>
      </c>
      <c r="AB133" s="23" t="s">
        <v>1234</v>
      </c>
      <c r="AC133" s="23" t="s">
        <v>2282</v>
      </c>
      <c r="AD133" s="27" t="n">
        <f aca="false">LEN(AC133)</f>
        <v>58</v>
      </c>
      <c r="AE133" s="23" t="s">
        <v>2283</v>
      </c>
      <c r="AF133" s="27" t="n">
        <f aca="false">LEN(AE133)</f>
        <v>156</v>
      </c>
    </row>
    <row r="134" customFormat="false" ht="15" hidden="false" customHeight="true" outlineLevel="0" collapsed="false">
      <c r="A134" s="23" t="s">
        <v>1239</v>
      </c>
      <c r="B134" s="23" t="s">
        <v>1432</v>
      </c>
      <c r="C134" s="23" t="n">
        <v>133</v>
      </c>
      <c r="D134" s="23" t="s">
        <v>906</v>
      </c>
      <c r="E134" s="23"/>
      <c r="F134" s="23" t="s">
        <v>1433</v>
      </c>
      <c r="G134" s="23" t="s">
        <v>434</v>
      </c>
      <c r="H134" s="23" t="s">
        <v>376</v>
      </c>
      <c r="I134" s="23" t="s">
        <v>1240</v>
      </c>
      <c r="J134" s="23" t="s">
        <v>2284</v>
      </c>
      <c r="K134" s="23" t="n">
        <v>45.98</v>
      </c>
      <c r="L134" s="23" t="s">
        <v>2285</v>
      </c>
      <c r="M134" s="23" t="s">
        <v>2286</v>
      </c>
      <c r="N134" s="23" t="s">
        <v>2287</v>
      </c>
      <c r="O134" s="23" t="s">
        <v>2288</v>
      </c>
      <c r="P134" s="23"/>
      <c r="Q134" s="24" t="n">
        <f aca="false">IF(L134="","",IFERROR(INDEX('Semrush Data'!$A$1:$Z$20000,MATCH(L134,'Semrush Data'!$A$1:$A$20000,0),MATCH("Volume",'Semrush Data'!$A$1:$Z$1,0)),""))</f>
        <v>20</v>
      </c>
      <c r="R134" s="24" t="str">
        <f aca="false">IF(M134="","",IFERROR(INDEX('Semrush Data'!$A$1:$Z$20000,MATCH(M134,'Semrush Data'!$A$1:$A$20000,0),MATCH("Volume",'Semrush Data'!$A$1:$Z$1,0)),""))</f>
        <v/>
      </c>
      <c r="S134" s="24" t="str">
        <f aca="false">IF(N134="","",IFERROR(INDEX('Semrush Data'!$A$1:$Z$20000,MATCH(N134,'Semrush Data'!$A$1:$A$20000,0),MATCH("Volume",'Semrush Data'!$A$1:$Z$1,0)),""))</f>
        <v/>
      </c>
      <c r="T134" s="24" t="str">
        <f aca="false">IF(O134="","",IFERROR(INDEX('Semrush Data'!$A$1:$Z$20000,MATCH(O134,'Semrush Data'!$A$1:$A$20000,0),MATCH("Volume",'Semrush Data'!$A$1:$Z$1,0)),""))</f>
        <v/>
      </c>
      <c r="U134" s="24" t="str">
        <f aca="false">IF(P134="","",IFERROR(INDEX('Semrush Data'!$A$1:$Z$20000,MATCH(P134,'Semrush Data'!$A$1:$A$20000,0),MATCH("Volume",'Semrush Data'!$A$1:$Z$1,0)),""))</f>
        <v/>
      </c>
      <c r="V134" s="25" t="str">
        <f aca="false">IF(COUNT(Q134:U134)=0,L134,IF(MAX(Q134:U134)=0,L134,INDEX(L134:P134,MATCH(MAX(Q134:U134),Q134:U134,0))))</f>
        <v>deyga under eye cream</v>
      </c>
      <c r="W134" s="24" t="n">
        <f aca="false">IFERROR(INDEX('Semrush Data'!$A$1:$Z$20000,MATCH(V134,'Semrush Data'!$A$1:$A$20000,0),MATCH("Volume",'Semrush Data'!$A$1:$Z$1,0)),"")</f>
        <v>20</v>
      </c>
      <c r="X134" s="24" t="n">
        <f aca="false">IFERROR(INDEX('Semrush Data'!$A$1:$Z$20000,MATCH(V134,'Semrush Data'!$A$1:$A$20000,0),MATCH("Keyword Difficulty*",'Semrush Data'!$A$1:$Z$1,0)),"")</f>
        <v>14</v>
      </c>
      <c r="Y134" s="26" t="n">
        <f aca="false">IFERROR(INDEX('Semrush Data'!$A$1:$Z$20000,MATCH(V134,'Semrush Data'!$A$1:$A$20000,0),MATCH("CPC*",'Semrush Data'!$A$1:$Z$1,0)),"")</f>
        <v>0</v>
      </c>
      <c r="Z134" s="23" t="s">
        <v>2229</v>
      </c>
      <c r="AA134" s="23" t="s">
        <v>1245</v>
      </c>
      <c r="AB134" s="23" t="s">
        <v>1241</v>
      </c>
      <c r="AC134" s="23" t="s">
        <v>2289</v>
      </c>
      <c r="AD134" s="27" t="n">
        <f aca="false">LEN(AC134)</f>
        <v>52</v>
      </c>
      <c r="AE134" s="23" t="s">
        <v>2290</v>
      </c>
      <c r="AF134" s="27" t="n">
        <f aca="false">LEN(AE134)</f>
        <v>160</v>
      </c>
    </row>
    <row r="135" customFormat="false" ht="15" hidden="false" customHeight="true" outlineLevel="0" collapsed="false">
      <c r="A135" s="23" t="s">
        <v>1246</v>
      </c>
      <c r="B135" s="23" t="s">
        <v>1432</v>
      </c>
      <c r="C135" s="23" t="n">
        <v>134</v>
      </c>
      <c r="D135" s="23" t="s">
        <v>906</v>
      </c>
      <c r="E135" s="23"/>
      <c r="F135" s="23" t="s">
        <v>1433</v>
      </c>
      <c r="G135" s="23" t="s">
        <v>561</v>
      </c>
      <c r="H135" s="23" t="s">
        <v>586</v>
      </c>
      <c r="I135" s="23" t="s">
        <v>1247</v>
      </c>
      <c r="J135" s="23" t="s">
        <v>1979</v>
      </c>
      <c r="K135" s="23" t="n">
        <v>50.99</v>
      </c>
      <c r="L135" s="23" t="s">
        <v>2291</v>
      </c>
      <c r="M135" s="23" t="s">
        <v>2292</v>
      </c>
      <c r="N135" s="23" t="s">
        <v>2293</v>
      </c>
      <c r="O135" s="23" t="s">
        <v>2294</v>
      </c>
      <c r="P135" s="23"/>
      <c r="Q135" s="24" t="n">
        <f aca="false">IF(L135="","",IFERROR(INDEX('Semrush Data'!$A$1:$Z$20000,MATCH(L135,'Semrush Data'!$A$1:$A$20000,0),MATCH("Volume",'Semrush Data'!$A$1:$Z$1,0)),""))</f>
        <v>0</v>
      </c>
      <c r="R135" s="24" t="n">
        <f aca="false">IF(M135="","",IFERROR(INDEX('Semrush Data'!$A$1:$Z$20000,MATCH(M135,'Semrush Data'!$A$1:$A$20000,0),MATCH("Volume",'Semrush Data'!$A$1:$Z$1,0)),""))</f>
        <v>0</v>
      </c>
      <c r="S135" s="24" t="str">
        <f aca="false">IF(N135="","",IFERROR(INDEX('Semrush Data'!$A$1:$Z$20000,MATCH(N135,'Semrush Data'!$A$1:$A$20000,0),MATCH("Volume",'Semrush Data'!$A$1:$Z$1,0)),""))</f>
        <v/>
      </c>
      <c r="T135" s="24" t="str">
        <f aca="false">IF(O135="","",IFERROR(INDEX('Semrush Data'!$A$1:$Z$20000,MATCH(O135,'Semrush Data'!$A$1:$A$20000,0),MATCH("Volume",'Semrush Data'!$A$1:$Z$1,0)),""))</f>
        <v/>
      </c>
      <c r="U135" s="24" t="str">
        <f aca="false">IF(P135="","",IFERROR(INDEX('Semrush Data'!$A$1:$Z$20000,MATCH(P135,'Semrush Data'!$A$1:$A$20000,0),MATCH("Volume",'Semrush Data'!$A$1:$Z$1,0)),""))</f>
        <v/>
      </c>
      <c r="V135" s="25" t="str">
        <f aca="false">IF(COUNT(Q135:U135)=0,L135,IF(MAX(Q135:U135)=0,L135,INDEX(L135:P135,MATCH(MAX(Q135:U135),Q135:U135,0))))</f>
        <v>deyga 10% vitamin c face serum</v>
      </c>
      <c r="W135" s="24" t="n">
        <f aca="false">IFERROR(INDEX('Semrush Data'!$A$1:$Z$20000,MATCH(V135,'Semrush Data'!$A$1:$A$20000,0),MATCH("Volume",'Semrush Data'!$A$1:$Z$1,0)),"")</f>
        <v>0</v>
      </c>
      <c r="X135" s="24" t="n">
        <f aca="false">IFERROR(INDEX('Semrush Data'!$A$1:$Z$20000,MATCH(V135,'Semrush Data'!$A$1:$A$20000,0),MATCH("Keyword Difficulty*",'Semrush Data'!$A$1:$Z$1,0)),"")</f>
        <v>14</v>
      </c>
      <c r="Y135" s="26" t="n">
        <f aca="false">IFERROR(INDEX('Semrush Data'!$A$1:$Z$20000,MATCH(V135,'Semrush Data'!$A$1:$A$20000,0),MATCH("CPC*",'Semrush Data'!$A$1:$Z$1,0)),"")</f>
        <v>0</v>
      </c>
      <c r="Z135" s="23" t="s">
        <v>1984</v>
      </c>
      <c r="AA135" s="23" t="s">
        <v>1253</v>
      </c>
      <c r="AB135" s="23" t="s">
        <v>1249</v>
      </c>
      <c r="AC135" s="23" t="s">
        <v>2295</v>
      </c>
      <c r="AD135" s="27" t="n">
        <f aca="false">LEN(AC135)</f>
        <v>57</v>
      </c>
      <c r="AE135" s="23" t="s">
        <v>2296</v>
      </c>
      <c r="AF135" s="27" t="n">
        <f aca="false">LEN(AE135)</f>
        <v>160</v>
      </c>
    </row>
    <row r="136" customFormat="false" ht="15" hidden="false" customHeight="true" outlineLevel="0" collapsed="false">
      <c r="A136" s="23" t="s">
        <v>1254</v>
      </c>
      <c r="B136" s="23" t="s">
        <v>1432</v>
      </c>
      <c r="C136" s="23" t="n">
        <v>135</v>
      </c>
      <c r="D136" s="23" t="s">
        <v>906</v>
      </c>
      <c r="E136" s="23"/>
      <c r="F136" s="23" t="s">
        <v>1433</v>
      </c>
      <c r="G136" s="23" t="s">
        <v>947</v>
      </c>
      <c r="H136" s="23" t="s">
        <v>376</v>
      </c>
      <c r="I136" s="23" t="s">
        <v>1255</v>
      </c>
      <c r="J136" s="23" t="s">
        <v>2297</v>
      </c>
      <c r="K136" s="23" t="n">
        <v>19.99</v>
      </c>
      <c r="L136" s="23" t="s">
        <v>2298</v>
      </c>
      <c r="M136" s="23" t="s">
        <v>2299</v>
      </c>
      <c r="N136" s="23" t="s">
        <v>2300</v>
      </c>
      <c r="O136" s="23" t="s">
        <v>2301</v>
      </c>
      <c r="P136" s="23"/>
      <c r="Q136" s="24" t="n">
        <f aca="false">IF(L136="","",IFERROR(INDEX('Semrush Data'!$A$1:$Z$20000,MATCH(L136,'Semrush Data'!$A$1:$A$20000,0),MATCH("Volume",'Semrush Data'!$A$1:$Z$1,0)),""))</f>
        <v>0</v>
      </c>
      <c r="R136" s="24" t="str">
        <f aca="false">IF(M136="","",IFERROR(INDEX('Semrush Data'!$A$1:$Z$20000,MATCH(M136,'Semrush Data'!$A$1:$A$20000,0),MATCH("Volume",'Semrush Data'!$A$1:$Z$1,0)),""))</f>
        <v/>
      </c>
      <c r="S136" s="24" t="str">
        <f aca="false">IF(N136="","",IFERROR(INDEX('Semrush Data'!$A$1:$Z$20000,MATCH(N136,'Semrush Data'!$A$1:$A$20000,0),MATCH("Volume",'Semrush Data'!$A$1:$Z$1,0)),""))</f>
        <v/>
      </c>
      <c r="T136" s="24" t="str">
        <f aca="false">IF(O136="","",IFERROR(INDEX('Semrush Data'!$A$1:$Z$20000,MATCH(O136,'Semrush Data'!$A$1:$A$20000,0),MATCH("Volume",'Semrush Data'!$A$1:$Z$1,0)),""))</f>
        <v/>
      </c>
      <c r="U136" s="24" t="str">
        <f aca="false">IF(P136="","",IFERROR(INDEX('Semrush Data'!$A$1:$Z$20000,MATCH(P136,'Semrush Data'!$A$1:$A$20000,0),MATCH("Volume",'Semrush Data'!$A$1:$Z$1,0)),""))</f>
        <v/>
      </c>
      <c r="V136" s="25" t="str">
        <f aca="false">IF(COUNT(Q136:U136)=0,L136,IF(MAX(Q136:U136)=0,L136,INDEX(L136:P136,MATCH(MAX(Q136:U136),Q136:U136,0))))</f>
        <v>deyga natural loose setting powder</v>
      </c>
      <c r="W136" s="24" t="n">
        <f aca="false">IFERROR(INDEX('Semrush Data'!$A$1:$Z$20000,MATCH(V136,'Semrush Data'!$A$1:$A$20000,0),MATCH("Volume",'Semrush Data'!$A$1:$Z$1,0)),"")</f>
        <v>0</v>
      </c>
      <c r="X136" s="24" t="n">
        <f aca="false">IFERROR(INDEX('Semrush Data'!$A$1:$Z$20000,MATCH(V136,'Semrush Data'!$A$1:$A$20000,0),MATCH("Keyword Difficulty*",'Semrush Data'!$A$1:$Z$1,0)),"")</f>
        <v>13</v>
      </c>
      <c r="Y136" s="26" t="n">
        <f aca="false">IFERROR(INDEX('Semrush Data'!$A$1:$Z$20000,MATCH(V136,'Semrush Data'!$A$1:$A$20000,0),MATCH("CPC*",'Semrush Data'!$A$1:$Z$1,0)),"")</f>
        <v>0</v>
      </c>
      <c r="Z136" s="23" t="s">
        <v>1991</v>
      </c>
      <c r="AA136" s="23"/>
      <c r="AB136" s="23" t="s">
        <v>1256</v>
      </c>
      <c r="AC136" s="23" t="s">
        <v>2302</v>
      </c>
      <c r="AD136" s="27" t="n">
        <f aca="false">LEN(AC136)</f>
        <v>48</v>
      </c>
      <c r="AE136" s="23" t="s">
        <v>2303</v>
      </c>
      <c r="AF136" s="27" t="n">
        <f aca="false">LEN(AE136)</f>
        <v>159</v>
      </c>
    </row>
    <row r="137" customFormat="false" ht="15" hidden="false" customHeight="true" outlineLevel="0" collapsed="false">
      <c r="A137" s="23" t="s">
        <v>1260</v>
      </c>
      <c r="B137" s="23" t="s">
        <v>1432</v>
      </c>
      <c r="C137" s="23" t="n">
        <v>136</v>
      </c>
      <c r="D137" s="23" t="s">
        <v>906</v>
      </c>
      <c r="E137" s="23"/>
      <c r="F137" s="23" t="s">
        <v>1735</v>
      </c>
      <c r="G137" s="23" t="s">
        <v>719</v>
      </c>
      <c r="H137" s="23" t="s">
        <v>457</v>
      </c>
      <c r="I137" s="23" t="s">
        <v>1261</v>
      </c>
      <c r="J137" s="23"/>
      <c r="K137" s="23" t="n">
        <v>17.99</v>
      </c>
      <c r="L137" s="23" t="s">
        <v>2304</v>
      </c>
      <c r="M137" s="23" t="s">
        <v>2305</v>
      </c>
      <c r="N137" s="23" t="s">
        <v>2306</v>
      </c>
      <c r="O137" s="23" t="s">
        <v>2307</v>
      </c>
      <c r="P137" s="23"/>
      <c r="Q137" s="24" t="n">
        <f aca="false">IF(L137="","",IFERROR(INDEX('Semrush Data'!$A$1:$Z$20000,MATCH(L137,'Semrush Data'!$A$1:$A$20000,0),MATCH("Volume",'Semrush Data'!$A$1:$Z$1,0)),""))</f>
        <v>0</v>
      </c>
      <c r="R137" s="24" t="str">
        <f aca="false">IF(M137="","",IFERROR(INDEX('Semrush Data'!$A$1:$Z$20000,MATCH(M137,'Semrush Data'!$A$1:$A$20000,0),MATCH("Volume",'Semrush Data'!$A$1:$Z$1,0)),""))</f>
        <v/>
      </c>
      <c r="S137" s="24" t="str">
        <f aca="false">IF(N137="","",IFERROR(INDEX('Semrush Data'!$A$1:$Z$20000,MATCH(N137,'Semrush Data'!$A$1:$A$20000,0),MATCH("Volume",'Semrush Data'!$A$1:$Z$1,0)),""))</f>
        <v/>
      </c>
      <c r="T137" s="24" t="str">
        <f aca="false">IF(O137="","",IFERROR(INDEX('Semrush Data'!$A$1:$Z$20000,MATCH(O137,'Semrush Data'!$A$1:$A$20000,0),MATCH("Volume",'Semrush Data'!$A$1:$Z$1,0)),""))</f>
        <v/>
      </c>
      <c r="U137" s="24" t="str">
        <f aca="false">IF(P137="","",IFERROR(INDEX('Semrush Data'!$A$1:$Z$20000,MATCH(P137,'Semrush Data'!$A$1:$A$20000,0),MATCH("Volume",'Semrush Data'!$A$1:$Z$1,0)),""))</f>
        <v/>
      </c>
      <c r="V137" s="25" t="str">
        <f aca="false">IF(COUNT(Q137:U137)=0,L137,IF(MAX(Q137:U137)=0,L137,INDEX(L137:P137,MATCH(MAX(Q137:U137),Q137:U137,0))))</f>
        <v>deyga soft lip combo</v>
      </c>
      <c r="W137" s="24" t="n">
        <f aca="false">IFERROR(INDEX('Semrush Data'!$A$1:$Z$20000,MATCH(V137,'Semrush Data'!$A$1:$A$20000,0),MATCH("Volume",'Semrush Data'!$A$1:$Z$1,0)),"")</f>
        <v>0</v>
      </c>
      <c r="X137" s="24" t="n">
        <f aca="false">IFERROR(INDEX('Semrush Data'!$A$1:$Z$20000,MATCH(V137,'Semrush Data'!$A$1:$A$20000,0),MATCH("Keyword Difficulty*",'Semrush Data'!$A$1:$Z$1,0)),"")</f>
        <v>14</v>
      </c>
      <c r="Y137" s="26" t="n">
        <f aca="false">IFERROR(INDEX('Semrush Data'!$A$1:$Z$20000,MATCH(V137,'Semrush Data'!$A$1:$A$20000,0),MATCH("CPC*",'Semrush Data'!$A$1:$Z$1,0)),"")</f>
        <v>0</v>
      </c>
      <c r="Z137" s="23" t="s">
        <v>2308</v>
      </c>
      <c r="AA137" s="23"/>
      <c r="AB137" s="23" t="s">
        <v>1262</v>
      </c>
      <c r="AC137" s="23" t="s">
        <v>2309</v>
      </c>
      <c r="AD137" s="27" t="n">
        <f aca="false">LEN(AC137)</f>
        <v>53</v>
      </c>
      <c r="AE137" s="23" t="s">
        <v>2310</v>
      </c>
      <c r="AF137" s="27" t="n">
        <f aca="false">LEN(AE137)</f>
        <v>160</v>
      </c>
    </row>
    <row r="138" customFormat="false" ht="15" hidden="false" customHeight="true" outlineLevel="0" collapsed="false">
      <c r="A138" s="23" t="s">
        <v>1266</v>
      </c>
      <c r="B138" s="23" t="s">
        <v>1432</v>
      </c>
      <c r="C138" s="23" t="n">
        <v>137</v>
      </c>
      <c r="D138" s="23" t="s">
        <v>906</v>
      </c>
      <c r="E138" s="23"/>
      <c r="F138" s="23" t="s">
        <v>1735</v>
      </c>
      <c r="G138" s="23" t="s">
        <v>719</v>
      </c>
      <c r="H138" s="23" t="s">
        <v>407</v>
      </c>
      <c r="I138" s="23" t="s">
        <v>1267</v>
      </c>
      <c r="J138" s="23"/>
      <c r="K138" s="23" t="n">
        <v>30.99</v>
      </c>
      <c r="L138" s="23" t="s">
        <v>2311</v>
      </c>
      <c r="M138" s="23" t="s">
        <v>2312</v>
      </c>
      <c r="N138" s="23" t="s">
        <v>2313</v>
      </c>
      <c r="O138" s="23" t="s">
        <v>2314</v>
      </c>
      <c r="P138" s="23"/>
      <c r="Q138" s="24" t="n">
        <f aca="false">IF(L138="","",IFERROR(INDEX('Semrush Data'!$A$1:$Z$20000,MATCH(L138,'Semrush Data'!$A$1:$A$20000,0),MATCH("Volume",'Semrush Data'!$A$1:$Z$1,0)),""))</f>
        <v>0</v>
      </c>
      <c r="R138" s="24" t="str">
        <f aca="false">IF(M138="","",IFERROR(INDEX('Semrush Data'!$A$1:$Z$20000,MATCH(M138,'Semrush Data'!$A$1:$A$20000,0),MATCH("Volume",'Semrush Data'!$A$1:$Z$1,0)),""))</f>
        <v/>
      </c>
      <c r="S138" s="24" t="str">
        <f aca="false">IF(N138="","",IFERROR(INDEX('Semrush Data'!$A$1:$Z$20000,MATCH(N138,'Semrush Data'!$A$1:$A$20000,0),MATCH("Volume",'Semrush Data'!$A$1:$Z$1,0)),""))</f>
        <v/>
      </c>
      <c r="T138" s="24" t="str">
        <f aca="false">IF(O138="","",IFERROR(INDEX('Semrush Data'!$A$1:$Z$20000,MATCH(O138,'Semrush Data'!$A$1:$A$20000,0),MATCH("Volume",'Semrush Data'!$A$1:$Z$1,0)),""))</f>
        <v/>
      </c>
      <c r="U138" s="24" t="str">
        <f aca="false">IF(P138="","",IFERROR(INDEX('Semrush Data'!$A$1:$Z$20000,MATCH(P138,'Semrush Data'!$A$1:$A$20000,0),MATCH("Volume",'Semrush Data'!$A$1:$Z$1,0)),""))</f>
        <v/>
      </c>
      <c r="V138" s="25" t="str">
        <f aca="false">IF(COUNT(Q138:U138)=0,L138,IF(MAX(Q138:U138)=0,L138,INDEX(L138:P138,MATCH(MAX(Q138:U138),Q138:U138,0))))</f>
        <v>deyga vitamin c daily glow combo</v>
      </c>
      <c r="W138" s="24" t="n">
        <f aca="false">IFERROR(INDEX('Semrush Data'!$A$1:$Z$20000,MATCH(V138,'Semrush Data'!$A$1:$A$20000,0),MATCH("Volume",'Semrush Data'!$A$1:$Z$1,0)),"")</f>
        <v>0</v>
      </c>
      <c r="X138" s="24" t="n">
        <f aca="false">IFERROR(INDEX('Semrush Data'!$A$1:$Z$20000,MATCH(V138,'Semrush Data'!$A$1:$A$20000,0),MATCH("Keyword Difficulty*",'Semrush Data'!$A$1:$Z$1,0)),"")</f>
        <v>28</v>
      </c>
      <c r="Y138" s="26" t="n">
        <f aca="false">IFERROR(INDEX('Semrush Data'!$A$1:$Z$20000,MATCH(V138,'Semrush Data'!$A$1:$A$20000,0),MATCH("CPC*",'Semrush Data'!$A$1:$Z$1,0)),"")</f>
        <v>0</v>
      </c>
      <c r="Z138" s="23" t="s">
        <v>2308</v>
      </c>
      <c r="AA138" s="23"/>
      <c r="AB138" s="23" t="s">
        <v>1268</v>
      </c>
      <c r="AC138" s="23" t="s">
        <v>2315</v>
      </c>
      <c r="AD138" s="27" t="n">
        <f aca="false">LEN(AC138)</f>
        <v>59</v>
      </c>
      <c r="AE138" s="23" t="s">
        <v>2316</v>
      </c>
      <c r="AF138" s="27" t="n">
        <f aca="false">LEN(AE138)</f>
        <v>157</v>
      </c>
    </row>
    <row r="139" customFormat="false" ht="15" hidden="false" customHeight="true" outlineLevel="0" collapsed="false">
      <c r="A139" s="23" t="s">
        <v>1272</v>
      </c>
      <c r="B139" s="23" t="s">
        <v>1432</v>
      </c>
      <c r="C139" s="23" t="n">
        <v>138</v>
      </c>
      <c r="D139" s="23" t="s">
        <v>906</v>
      </c>
      <c r="E139" s="23"/>
      <c r="F139" s="23" t="s">
        <v>1735</v>
      </c>
      <c r="G139" s="23" t="s">
        <v>719</v>
      </c>
      <c r="H139" s="23" t="s">
        <v>749</v>
      </c>
      <c r="I139" s="23" t="s">
        <v>1273</v>
      </c>
      <c r="J139" s="23"/>
      <c r="K139" s="23" t="n">
        <v>29.99</v>
      </c>
      <c r="L139" s="23" t="s">
        <v>2317</v>
      </c>
      <c r="M139" s="23" t="s">
        <v>2318</v>
      </c>
      <c r="N139" s="23" t="s">
        <v>2319</v>
      </c>
      <c r="O139" s="23" t="s">
        <v>2320</v>
      </c>
      <c r="P139" s="23"/>
      <c r="Q139" s="24" t="n">
        <f aca="false">IF(L139="","",IFERROR(INDEX('Semrush Data'!$A$1:$Z$20000,MATCH(L139,'Semrush Data'!$A$1:$A$20000,0),MATCH("Volume",'Semrush Data'!$A$1:$Z$1,0)),""))</f>
        <v>0</v>
      </c>
      <c r="R139" s="24" t="str">
        <f aca="false">IF(M139="","",IFERROR(INDEX('Semrush Data'!$A$1:$Z$20000,MATCH(M139,'Semrush Data'!$A$1:$A$20000,0),MATCH("Volume",'Semrush Data'!$A$1:$Z$1,0)),""))</f>
        <v/>
      </c>
      <c r="S139" s="24" t="str">
        <f aca="false">IF(N139="","",IFERROR(INDEX('Semrush Data'!$A$1:$Z$20000,MATCH(N139,'Semrush Data'!$A$1:$A$20000,0),MATCH("Volume",'Semrush Data'!$A$1:$Z$1,0)),""))</f>
        <v/>
      </c>
      <c r="T139" s="24" t="str">
        <f aca="false">IF(O139="","",IFERROR(INDEX('Semrush Data'!$A$1:$Z$20000,MATCH(O139,'Semrush Data'!$A$1:$A$20000,0),MATCH("Volume",'Semrush Data'!$A$1:$Z$1,0)),""))</f>
        <v/>
      </c>
      <c r="U139" s="24" t="str">
        <f aca="false">IF(P139="","",IFERROR(INDEX('Semrush Data'!$A$1:$Z$20000,MATCH(P139,'Semrush Data'!$A$1:$A$20000,0),MATCH("Volume",'Semrush Data'!$A$1:$Z$1,0)),""))</f>
        <v/>
      </c>
      <c r="V139" s="25" t="str">
        <f aca="false">IF(COUNT(Q139:U139)=0,L139,IF(MAX(Q139:U139)=0,L139,INDEX(L139:P139,MATCH(MAX(Q139:U139),Q139:U139,0))))</f>
        <v>deyga acne relief combo</v>
      </c>
      <c r="W139" s="24" t="n">
        <f aca="false">IFERROR(INDEX('Semrush Data'!$A$1:$Z$20000,MATCH(V139,'Semrush Data'!$A$1:$A$20000,0),MATCH("Volume",'Semrush Data'!$A$1:$Z$1,0)),"")</f>
        <v>0</v>
      </c>
      <c r="X139" s="24" t="n">
        <f aca="false">IFERROR(INDEX('Semrush Data'!$A$1:$Z$20000,MATCH(V139,'Semrush Data'!$A$1:$A$20000,0),MATCH("Keyword Difficulty*",'Semrush Data'!$A$1:$Z$1,0)),"")</f>
        <v>14</v>
      </c>
      <c r="Y139" s="26" t="n">
        <f aca="false">IFERROR(INDEX('Semrush Data'!$A$1:$Z$20000,MATCH(V139,'Semrush Data'!$A$1:$A$20000,0),MATCH("CPC*",'Semrush Data'!$A$1:$Z$1,0)),"")</f>
        <v>0</v>
      </c>
      <c r="Z139" s="23" t="s">
        <v>2308</v>
      </c>
      <c r="AA139" s="23"/>
      <c r="AB139" s="23" t="s">
        <v>1274</v>
      </c>
      <c r="AC139" s="23" t="s">
        <v>2321</v>
      </c>
      <c r="AD139" s="27" t="n">
        <f aca="false">LEN(AC139)</f>
        <v>50</v>
      </c>
      <c r="AE139" s="23" t="s">
        <v>2322</v>
      </c>
      <c r="AF139" s="27" t="n">
        <f aca="false">LEN(AE139)</f>
        <v>157</v>
      </c>
    </row>
    <row r="140" customFormat="false" ht="15" hidden="false" customHeight="true" outlineLevel="0" collapsed="false">
      <c r="A140" s="23" t="s">
        <v>1278</v>
      </c>
      <c r="B140" s="23" t="s">
        <v>1432</v>
      </c>
      <c r="C140" s="23" t="n">
        <v>139</v>
      </c>
      <c r="D140" s="23" t="s">
        <v>906</v>
      </c>
      <c r="E140" s="23"/>
      <c r="F140" s="23" t="s">
        <v>1735</v>
      </c>
      <c r="G140" s="23" t="s">
        <v>719</v>
      </c>
      <c r="H140" s="23" t="s">
        <v>749</v>
      </c>
      <c r="I140" s="23" t="s">
        <v>1279</v>
      </c>
      <c r="J140" s="23"/>
      <c r="K140" s="23" t="n">
        <v>34.99</v>
      </c>
      <c r="L140" s="23" t="s">
        <v>2323</v>
      </c>
      <c r="M140" s="23" t="s">
        <v>2324</v>
      </c>
      <c r="N140" s="23" t="s">
        <v>2325</v>
      </c>
      <c r="O140" s="23" t="s">
        <v>2326</v>
      </c>
      <c r="P140" s="23"/>
      <c r="Q140" s="24" t="n">
        <f aca="false">IF(L140="","",IFERROR(INDEX('Semrush Data'!$A$1:$Z$20000,MATCH(L140,'Semrush Data'!$A$1:$A$20000,0),MATCH("Volume",'Semrush Data'!$A$1:$Z$1,0)),""))</f>
        <v>0</v>
      </c>
      <c r="R140" s="24" t="str">
        <f aca="false">IF(M140="","",IFERROR(INDEX('Semrush Data'!$A$1:$Z$20000,MATCH(M140,'Semrush Data'!$A$1:$A$20000,0),MATCH("Volume",'Semrush Data'!$A$1:$Z$1,0)),""))</f>
        <v/>
      </c>
      <c r="S140" s="24" t="str">
        <f aca="false">IF(N140="","",IFERROR(INDEX('Semrush Data'!$A$1:$Z$20000,MATCH(N140,'Semrush Data'!$A$1:$A$20000,0),MATCH("Volume",'Semrush Data'!$A$1:$Z$1,0)),""))</f>
        <v/>
      </c>
      <c r="T140" s="24" t="str">
        <f aca="false">IF(O140="","",IFERROR(INDEX('Semrush Data'!$A$1:$Z$20000,MATCH(O140,'Semrush Data'!$A$1:$A$20000,0),MATCH("Volume",'Semrush Data'!$A$1:$Z$1,0)),""))</f>
        <v/>
      </c>
      <c r="U140" s="24" t="str">
        <f aca="false">IF(P140="","",IFERROR(INDEX('Semrush Data'!$A$1:$Z$20000,MATCH(P140,'Semrush Data'!$A$1:$A$20000,0),MATCH("Volume",'Semrush Data'!$A$1:$Z$1,0)),""))</f>
        <v/>
      </c>
      <c r="V140" s="25" t="str">
        <f aca="false">IF(COUNT(Q140:U140)=0,L140,IF(MAX(Q140:U140)=0,L140,INDEX(L140:P140,MATCH(MAX(Q140:U140),Q140:U140,0))))</f>
        <v>deyga acne vanishing combo</v>
      </c>
      <c r="W140" s="24" t="n">
        <f aca="false">IFERROR(INDEX('Semrush Data'!$A$1:$Z$20000,MATCH(V140,'Semrush Data'!$A$1:$A$20000,0),MATCH("Volume",'Semrush Data'!$A$1:$Z$1,0)),"")</f>
        <v>0</v>
      </c>
      <c r="X140" s="24" t="n">
        <f aca="false">IFERROR(INDEX('Semrush Data'!$A$1:$Z$20000,MATCH(V140,'Semrush Data'!$A$1:$A$20000,0),MATCH("Keyword Difficulty*",'Semrush Data'!$A$1:$Z$1,0)),"")</f>
        <v>14</v>
      </c>
      <c r="Y140" s="26" t="n">
        <f aca="false">IFERROR(INDEX('Semrush Data'!$A$1:$Z$20000,MATCH(V140,'Semrush Data'!$A$1:$A$20000,0),MATCH("CPC*",'Semrush Data'!$A$1:$Z$1,0)),"")</f>
        <v>0</v>
      </c>
      <c r="Z140" s="23" t="s">
        <v>2308</v>
      </c>
      <c r="AA140" s="23"/>
      <c r="AB140" s="23" t="s">
        <v>1280</v>
      </c>
      <c r="AC140" s="23" t="s">
        <v>2327</v>
      </c>
      <c r="AD140" s="27" t="n">
        <f aca="false">LEN(AC140)</f>
        <v>53</v>
      </c>
      <c r="AE140" s="23" t="s">
        <v>2328</v>
      </c>
      <c r="AF140" s="27" t="n">
        <f aca="false">LEN(AE140)</f>
        <v>160</v>
      </c>
    </row>
    <row r="141" customFormat="false" ht="15" hidden="false" customHeight="true" outlineLevel="0" collapsed="false">
      <c r="A141" s="23" t="s">
        <v>1284</v>
      </c>
      <c r="B141" s="23" t="s">
        <v>1432</v>
      </c>
      <c r="C141" s="23" t="n">
        <v>140</v>
      </c>
      <c r="D141" s="23" t="s">
        <v>906</v>
      </c>
      <c r="E141" s="23"/>
      <c r="F141" s="23" t="s">
        <v>1735</v>
      </c>
      <c r="G141" s="23" t="s">
        <v>719</v>
      </c>
      <c r="H141" s="23" t="s">
        <v>435</v>
      </c>
      <c r="I141" s="23" t="s">
        <v>1285</v>
      </c>
      <c r="J141" s="23"/>
      <c r="K141" s="23" t="n">
        <v>37.99</v>
      </c>
      <c r="L141" s="23" t="s">
        <v>2329</v>
      </c>
      <c r="M141" s="23" t="s">
        <v>2330</v>
      </c>
      <c r="N141" s="23" t="s">
        <v>2331</v>
      </c>
      <c r="O141" s="23" t="s">
        <v>2332</v>
      </c>
      <c r="P141" s="23"/>
      <c r="Q141" s="24" t="n">
        <f aca="false">IF(L141="","",IFERROR(INDEX('Semrush Data'!$A$1:$Z$20000,MATCH(L141,'Semrush Data'!$A$1:$A$20000,0),MATCH("Volume",'Semrush Data'!$A$1:$Z$1,0)),""))</f>
        <v>0</v>
      </c>
      <c r="R141" s="24" t="str">
        <f aca="false">IF(M141="","",IFERROR(INDEX('Semrush Data'!$A$1:$Z$20000,MATCH(M141,'Semrush Data'!$A$1:$A$20000,0),MATCH("Volume",'Semrush Data'!$A$1:$Z$1,0)),""))</f>
        <v/>
      </c>
      <c r="S141" s="24" t="str">
        <f aca="false">IF(N141="","",IFERROR(INDEX('Semrush Data'!$A$1:$Z$20000,MATCH(N141,'Semrush Data'!$A$1:$A$20000,0),MATCH("Volume",'Semrush Data'!$A$1:$Z$1,0)),""))</f>
        <v/>
      </c>
      <c r="T141" s="24" t="str">
        <f aca="false">IF(O141="","",IFERROR(INDEX('Semrush Data'!$A$1:$Z$20000,MATCH(O141,'Semrush Data'!$A$1:$A$20000,0),MATCH("Volume",'Semrush Data'!$A$1:$Z$1,0)),""))</f>
        <v/>
      </c>
      <c r="U141" s="24" t="str">
        <f aca="false">IF(P141="","",IFERROR(INDEX('Semrush Data'!$A$1:$Z$20000,MATCH(P141,'Semrush Data'!$A$1:$A$20000,0),MATCH("Volume",'Semrush Data'!$A$1:$Z$1,0)),""))</f>
        <v/>
      </c>
      <c r="V141" s="25" t="str">
        <f aca="false">IF(COUNT(Q141:U141)=0,L141,IF(MAX(Q141:U141)=0,L141,INDEX(L141:P141,MATCH(MAX(Q141:U141),Q141:U141,0))))</f>
        <v>deyga mini foot spa combo</v>
      </c>
      <c r="W141" s="24" t="n">
        <f aca="false">IFERROR(INDEX('Semrush Data'!$A$1:$Z$20000,MATCH(V141,'Semrush Data'!$A$1:$A$20000,0),MATCH("Volume",'Semrush Data'!$A$1:$Z$1,0)),"")</f>
        <v>0</v>
      </c>
      <c r="X141" s="24" t="n">
        <f aca="false">IFERROR(INDEX('Semrush Data'!$A$1:$Z$20000,MATCH(V141,'Semrush Data'!$A$1:$A$20000,0),MATCH("Keyword Difficulty*",'Semrush Data'!$A$1:$Z$1,0)),"")</f>
        <v>13</v>
      </c>
      <c r="Y141" s="26" t="n">
        <f aca="false">IFERROR(INDEX('Semrush Data'!$A$1:$Z$20000,MATCH(V141,'Semrush Data'!$A$1:$A$20000,0),MATCH("CPC*",'Semrush Data'!$A$1:$Z$1,0)),"")</f>
        <v>0</v>
      </c>
      <c r="Z141" s="23" t="s">
        <v>2308</v>
      </c>
      <c r="AA141" s="23"/>
      <c r="AB141" s="23" t="s">
        <v>1286</v>
      </c>
      <c r="AC141" s="23" t="s">
        <v>2333</v>
      </c>
      <c r="AD141" s="27" t="n">
        <f aca="false">LEN(AC141)</f>
        <v>52</v>
      </c>
      <c r="AE141" s="23" t="s">
        <v>2334</v>
      </c>
      <c r="AF141" s="27" t="n">
        <f aca="false">LEN(AE141)</f>
        <v>158</v>
      </c>
    </row>
    <row r="142" customFormat="false" ht="15" hidden="false" customHeight="true" outlineLevel="0" collapsed="false">
      <c r="A142" s="23" t="s">
        <v>1290</v>
      </c>
      <c r="B142" s="23" t="s">
        <v>1432</v>
      </c>
      <c r="C142" s="23" t="n">
        <v>141</v>
      </c>
      <c r="D142" s="23" t="s">
        <v>906</v>
      </c>
      <c r="E142" s="23"/>
      <c r="F142" s="23" t="s">
        <v>1735</v>
      </c>
      <c r="G142" s="23" t="s">
        <v>719</v>
      </c>
      <c r="H142" s="23" t="s">
        <v>407</v>
      </c>
      <c r="I142" s="23" t="s">
        <v>1291</v>
      </c>
      <c r="J142" s="23"/>
      <c r="K142" s="23" t="n">
        <v>14.99</v>
      </c>
      <c r="L142" s="23" t="s">
        <v>2335</v>
      </c>
      <c r="M142" s="23" t="s">
        <v>2336</v>
      </c>
      <c r="N142" s="23" t="s">
        <v>2337</v>
      </c>
      <c r="O142" s="23" t="s">
        <v>2338</v>
      </c>
      <c r="P142" s="23"/>
      <c r="Q142" s="24" t="n">
        <f aca="false">IF(L142="","",IFERROR(INDEX('Semrush Data'!$A$1:$Z$20000,MATCH(L142,'Semrush Data'!$A$1:$A$20000,0),MATCH("Volume",'Semrush Data'!$A$1:$Z$1,0)),""))</f>
        <v>0</v>
      </c>
      <c r="R142" s="24" t="str">
        <f aca="false">IF(M142="","",IFERROR(INDEX('Semrush Data'!$A$1:$Z$20000,MATCH(M142,'Semrush Data'!$A$1:$A$20000,0),MATCH("Volume",'Semrush Data'!$A$1:$Z$1,0)),""))</f>
        <v/>
      </c>
      <c r="S142" s="24" t="str">
        <f aca="false">IF(N142="","",IFERROR(INDEX('Semrush Data'!$A$1:$Z$20000,MATCH(N142,'Semrush Data'!$A$1:$A$20000,0),MATCH("Volume",'Semrush Data'!$A$1:$Z$1,0)),""))</f>
        <v/>
      </c>
      <c r="T142" s="24" t="str">
        <f aca="false">IF(O142="","",IFERROR(INDEX('Semrush Data'!$A$1:$Z$20000,MATCH(O142,'Semrush Data'!$A$1:$A$20000,0),MATCH("Volume",'Semrush Data'!$A$1:$Z$1,0)),""))</f>
        <v/>
      </c>
      <c r="U142" s="24" t="str">
        <f aca="false">IF(P142="","",IFERROR(INDEX('Semrush Data'!$A$1:$Z$20000,MATCH(P142,'Semrush Data'!$A$1:$A$20000,0),MATCH("Volume",'Semrush Data'!$A$1:$Z$1,0)),""))</f>
        <v/>
      </c>
      <c r="V142" s="25" t="str">
        <f aca="false">IF(COUNT(Q142:U142)=0,L142,IF(MAX(Q142:U142)=0,L142,INDEX(L142:P142,MATCH(MAX(Q142:U142),Q142:U142,0))))</f>
        <v>deyga daily essential kit</v>
      </c>
      <c r="W142" s="24" t="n">
        <f aca="false">IFERROR(INDEX('Semrush Data'!$A$1:$Z$20000,MATCH(V142,'Semrush Data'!$A$1:$A$20000,0),MATCH("Volume",'Semrush Data'!$A$1:$Z$1,0)),"")</f>
        <v>0</v>
      </c>
      <c r="X142" s="24" t="n">
        <f aca="false">IFERROR(INDEX('Semrush Data'!$A$1:$Z$20000,MATCH(V142,'Semrush Data'!$A$1:$A$20000,0),MATCH("Keyword Difficulty*",'Semrush Data'!$A$1:$Z$1,0)),"")</f>
        <v>15</v>
      </c>
      <c r="Y142" s="26" t="n">
        <f aca="false">IFERROR(INDEX('Semrush Data'!$A$1:$Z$20000,MATCH(V142,'Semrush Data'!$A$1:$A$20000,0),MATCH("CPC*",'Semrush Data'!$A$1:$Z$1,0)),"")</f>
        <v>0</v>
      </c>
      <c r="Z142" s="23" t="s">
        <v>2308</v>
      </c>
      <c r="AA142" s="23"/>
      <c r="AB142" s="23" t="s">
        <v>1292</v>
      </c>
      <c r="AC142" s="23" t="s">
        <v>2339</v>
      </c>
      <c r="AD142" s="27" t="n">
        <f aca="false">LEN(AC142)</f>
        <v>52</v>
      </c>
      <c r="AE142" s="23" t="s">
        <v>2340</v>
      </c>
      <c r="AF142" s="27" t="n">
        <f aca="false">LEN(AE142)</f>
        <v>160</v>
      </c>
    </row>
    <row r="143" customFormat="false" ht="15" hidden="false" customHeight="true" outlineLevel="0" collapsed="false">
      <c r="A143" s="23" t="s">
        <v>1296</v>
      </c>
      <c r="B143" s="23" t="s">
        <v>1432</v>
      </c>
      <c r="C143" s="23" t="n">
        <v>142</v>
      </c>
      <c r="D143" s="23" t="s">
        <v>906</v>
      </c>
      <c r="E143" s="23"/>
      <c r="F143" s="23" t="s">
        <v>1735</v>
      </c>
      <c r="G143" s="23" t="s">
        <v>719</v>
      </c>
      <c r="H143" s="23" t="s">
        <v>435</v>
      </c>
      <c r="I143" s="23" t="s">
        <v>1297</v>
      </c>
      <c r="J143" s="23"/>
      <c r="K143" s="23" t="n">
        <v>14.99</v>
      </c>
      <c r="L143" s="23" t="s">
        <v>2341</v>
      </c>
      <c r="M143" s="23" t="s">
        <v>2342</v>
      </c>
      <c r="N143" s="23" t="s">
        <v>2343</v>
      </c>
      <c r="O143" s="23" t="s">
        <v>2344</v>
      </c>
      <c r="P143" s="23"/>
      <c r="Q143" s="24" t="n">
        <f aca="false">IF(L143="","",IFERROR(INDEX('Semrush Data'!$A$1:$Z$20000,MATCH(L143,'Semrush Data'!$A$1:$A$20000,0),MATCH("Volume",'Semrush Data'!$A$1:$Z$1,0)),""))</f>
        <v>0</v>
      </c>
      <c r="R143" s="24" t="str">
        <f aca="false">IF(M143="","",IFERROR(INDEX('Semrush Data'!$A$1:$Z$20000,MATCH(M143,'Semrush Data'!$A$1:$A$20000,0),MATCH("Volume",'Semrush Data'!$A$1:$Z$1,0)),""))</f>
        <v/>
      </c>
      <c r="S143" s="24" t="str">
        <f aca="false">IF(N143="","",IFERROR(INDEX('Semrush Data'!$A$1:$Z$20000,MATCH(N143,'Semrush Data'!$A$1:$A$20000,0),MATCH("Volume",'Semrush Data'!$A$1:$Z$1,0)),""))</f>
        <v/>
      </c>
      <c r="T143" s="24" t="str">
        <f aca="false">IF(O143="","",IFERROR(INDEX('Semrush Data'!$A$1:$Z$20000,MATCH(O143,'Semrush Data'!$A$1:$A$20000,0),MATCH("Volume",'Semrush Data'!$A$1:$Z$1,0)),""))</f>
        <v/>
      </c>
      <c r="U143" s="24" t="str">
        <f aca="false">IF(P143="","",IFERROR(INDEX('Semrush Data'!$A$1:$Z$20000,MATCH(P143,'Semrush Data'!$A$1:$A$20000,0),MATCH("Volume",'Semrush Data'!$A$1:$Z$1,0)),""))</f>
        <v/>
      </c>
      <c r="V143" s="25" t="str">
        <f aca="false">IF(COUNT(Q143:U143)=0,L143,IF(MAX(Q143:U143)=0,L143,INDEX(L143:P143,MATCH(MAX(Q143:U143),Q143:U143,0))))</f>
        <v>deyga clear skin kit</v>
      </c>
      <c r="W143" s="24" t="n">
        <f aca="false">IFERROR(INDEX('Semrush Data'!$A$1:$Z$20000,MATCH(V143,'Semrush Data'!$A$1:$A$20000,0),MATCH("Volume",'Semrush Data'!$A$1:$Z$1,0)),"")</f>
        <v>0</v>
      </c>
      <c r="X143" s="24" t="n">
        <f aca="false">IFERROR(INDEX('Semrush Data'!$A$1:$Z$20000,MATCH(V143,'Semrush Data'!$A$1:$A$20000,0),MATCH("Keyword Difficulty*",'Semrush Data'!$A$1:$Z$1,0)),"")</f>
        <v>18</v>
      </c>
      <c r="Y143" s="26" t="n">
        <f aca="false">IFERROR(INDEX('Semrush Data'!$A$1:$Z$20000,MATCH(V143,'Semrush Data'!$A$1:$A$20000,0),MATCH("CPC*",'Semrush Data'!$A$1:$Z$1,0)),"")</f>
        <v>0</v>
      </c>
      <c r="Z143" s="23" t="s">
        <v>2308</v>
      </c>
      <c r="AA143" s="23"/>
      <c r="AB143" s="23" t="s">
        <v>1298</v>
      </c>
      <c r="AC143" s="23" t="s">
        <v>2345</v>
      </c>
      <c r="AD143" s="27" t="n">
        <f aca="false">LEN(AC143)</f>
        <v>53</v>
      </c>
      <c r="AE143" s="23" t="s">
        <v>2346</v>
      </c>
      <c r="AF143" s="27" t="n">
        <f aca="false">LEN(AE143)</f>
        <v>160</v>
      </c>
    </row>
    <row r="144" customFormat="false" ht="15" hidden="false" customHeight="true" outlineLevel="0" collapsed="false">
      <c r="A144" s="23" t="s">
        <v>1302</v>
      </c>
      <c r="B144" s="23" t="s">
        <v>1432</v>
      </c>
      <c r="C144" s="23" t="n">
        <v>143</v>
      </c>
      <c r="D144" s="23" t="s">
        <v>906</v>
      </c>
      <c r="E144" s="23"/>
      <c r="F144" s="23" t="s">
        <v>1735</v>
      </c>
      <c r="G144" s="23" t="s">
        <v>719</v>
      </c>
      <c r="H144" s="23" t="s">
        <v>407</v>
      </c>
      <c r="I144" s="23" t="s">
        <v>1303</v>
      </c>
      <c r="J144" s="23"/>
      <c r="K144" s="23" t="n">
        <v>28.99</v>
      </c>
      <c r="L144" s="23" t="s">
        <v>2347</v>
      </c>
      <c r="M144" s="23" t="s">
        <v>2348</v>
      </c>
      <c r="N144" s="23" t="s">
        <v>2349</v>
      </c>
      <c r="O144" s="23" t="s">
        <v>2350</v>
      </c>
      <c r="P144" s="23"/>
      <c r="Q144" s="24" t="n">
        <f aca="false">IF(L144="","",IFERROR(INDEX('Semrush Data'!$A$1:$Z$20000,MATCH(L144,'Semrush Data'!$A$1:$A$20000,0),MATCH("Volume",'Semrush Data'!$A$1:$Z$1,0)),""))</f>
        <v>0</v>
      </c>
      <c r="R144" s="24" t="str">
        <f aca="false">IF(M144="","",IFERROR(INDEX('Semrush Data'!$A$1:$Z$20000,MATCH(M144,'Semrush Data'!$A$1:$A$20000,0),MATCH("Volume",'Semrush Data'!$A$1:$Z$1,0)),""))</f>
        <v/>
      </c>
      <c r="S144" s="24" t="str">
        <f aca="false">IF(N144="","",IFERROR(INDEX('Semrush Data'!$A$1:$Z$20000,MATCH(N144,'Semrush Data'!$A$1:$A$20000,0),MATCH("Volume",'Semrush Data'!$A$1:$Z$1,0)),""))</f>
        <v/>
      </c>
      <c r="T144" s="24" t="str">
        <f aca="false">IF(O144="","",IFERROR(INDEX('Semrush Data'!$A$1:$Z$20000,MATCH(O144,'Semrush Data'!$A$1:$A$20000,0),MATCH("Volume",'Semrush Data'!$A$1:$Z$1,0)),""))</f>
        <v/>
      </c>
      <c r="U144" s="24" t="str">
        <f aca="false">IF(P144="","",IFERROR(INDEX('Semrush Data'!$A$1:$Z$20000,MATCH(P144,'Semrush Data'!$A$1:$A$20000,0),MATCH("Volume",'Semrush Data'!$A$1:$Z$1,0)),""))</f>
        <v/>
      </c>
      <c r="V144" s="25" t="str">
        <f aca="false">IF(COUNT(Q144:U144)=0,L144,IF(MAX(Q144:U144)=0,L144,INDEX(L144:P144,MATCH(MAX(Q144:U144),Q144:U144,0))))</f>
        <v>deyga best selling face care kit</v>
      </c>
      <c r="W144" s="24" t="n">
        <f aca="false">IFERROR(INDEX('Semrush Data'!$A$1:$Z$20000,MATCH(V144,'Semrush Data'!$A$1:$A$20000,0),MATCH("Volume",'Semrush Data'!$A$1:$Z$1,0)),"")</f>
        <v>0</v>
      </c>
      <c r="X144" s="24" t="n">
        <f aca="false">IFERROR(INDEX('Semrush Data'!$A$1:$Z$20000,MATCH(V144,'Semrush Data'!$A$1:$A$20000,0),MATCH("Keyword Difficulty*",'Semrush Data'!$A$1:$Z$1,0)),"")</f>
        <v>15</v>
      </c>
      <c r="Y144" s="26" t="n">
        <f aca="false">IFERROR(INDEX('Semrush Data'!$A$1:$Z$20000,MATCH(V144,'Semrush Data'!$A$1:$A$20000,0),MATCH("CPC*",'Semrush Data'!$A$1:$Z$1,0)),"")</f>
        <v>0</v>
      </c>
      <c r="Z144" s="23" t="s">
        <v>2308</v>
      </c>
      <c r="AA144" s="23"/>
      <c r="AB144" s="23" t="s">
        <v>1304</v>
      </c>
      <c r="AC144" s="23" t="s">
        <v>2351</v>
      </c>
      <c r="AD144" s="27" t="n">
        <f aca="false">LEN(AC144)</f>
        <v>59</v>
      </c>
      <c r="AE144" s="23" t="s">
        <v>2352</v>
      </c>
      <c r="AF144" s="27" t="n">
        <f aca="false">LEN(AE144)</f>
        <v>157</v>
      </c>
    </row>
    <row r="145" customFormat="false" ht="15" hidden="false" customHeight="true" outlineLevel="0" collapsed="false">
      <c r="A145" s="23" t="s">
        <v>1308</v>
      </c>
      <c r="B145" s="23" t="s">
        <v>1432</v>
      </c>
      <c r="C145" s="23" t="n">
        <v>144</v>
      </c>
      <c r="D145" s="23" t="s">
        <v>906</v>
      </c>
      <c r="E145" s="23"/>
      <c r="F145" s="23" t="s">
        <v>1735</v>
      </c>
      <c r="G145" s="23" t="s">
        <v>719</v>
      </c>
      <c r="H145" s="23" t="s">
        <v>621</v>
      </c>
      <c r="I145" s="23" t="s">
        <v>1309</v>
      </c>
      <c r="J145" s="23"/>
      <c r="K145" s="23" t="n">
        <v>16.99</v>
      </c>
      <c r="L145" s="23" t="s">
        <v>2353</v>
      </c>
      <c r="M145" s="23" t="s">
        <v>2354</v>
      </c>
      <c r="N145" s="23" t="s">
        <v>2355</v>
      </c>
      <c r="O145" s="23" t="s">
        <v>2356</v>
      </c>
      <c r="P145" s="23"/>
      <c r="Q145" s="24" t="n">
        <f aca="false">IF(L145="","",IFERROR(INDEX('Semrush Data'!$A$1:$Z$20000,MATCH(L145,'Semrush Data'!$A$1:$A$20000,0),MATCH("Volume",'Semrush Data'!$A$1:$Z$1,0)),""))</f>
        <v>0</v>
      </c>
      <c r="R145" s="24" t="str">
        <f aca="false">IF(M145="","",IFERROR(INDEX('Semrush Data'!$A$1:$Z$20000,MATCH(M145,'Semrush Data'!$A$1:$A$20000,0),MATCH("Volume",'Semrush Data'!$A$1:$Z$1,0)),""))</f>
        <v/>
      </c>
      <c r="S145" s="24" t="str">
        <f aca="false">IF(N145="","",IFERROR(INDEX('Semrush Data'!$A$1:$Z$20000,MATCH(N145,'Semrush Data'!$A$1:$A$20000,0),MATCH("Volume",'Semrush Data'!$A$1:$Z$1,0)),""))</f>
        <v/>
      </c>
      <c r="T145" s="24" t="str">
        <f aca="false">IF(O145="","",IFERROR(INDEX('Semrush Data'!$A$1:$Z$20000,MATCH(O145,'Semrush Data'!$A$1:$A$20000,0),MATCH("Volume",'Semrush Data'!$A$1:$Z$1,0)),""))</f>
        <v/>
      </c>
      <c r="U145" s="24" t="str">
        <f aca="false">IF(P145="","",IFERROR(INDEX('Semrush Data'!$A$1:$Z$20000,MATCH(P145,'Semrush Data'!$A$1:$A$20000,0),MATCH("Volume",'Semrush Data'!$A$1:$Z$1,0)),""))</f>
        <v/>
      </c>
      <c r="V145" s="25" t="str">
        <f aca="false">IF(COUNT(Q145:U145)=0,L145,IF(MAX(Q145:U145)=0,L145,INDEX(L145:P145,MATCH(MAX(Q145:U145),Q145:U145,0))))</f>
        <v>deyga instant hair removal kit</v>
      </c>
      <c r="W145" s="24" t="n">
        <f aca="false">IFERROR(INDEX('Semrush Data'!$A$1:$Z$20000,MATCH(V145,'Semrush Data'!$A$1:$A$20000,0),MATCH("Volume",'Semrush Data'!$A$1:$Z$1,0)),"")</f>
        <v>0</v>
      </c>
      <c r="X145" s="24" t="n">
        <f aca="false">IFERROR(INDEX('Semrush Data'!$A$1:$Z$20000,MATCH(V145,'Semrush Data'!$A$1:$A$20000,0),MATCH("Keyword Difficulty*",'Semrush Data'!$A$1:$Z$1,0)),"")</f>
        <v>20</v>
      </c>
      <c r="Y145" s="26" t="n">
        <f aca="false">IFERROR(INDEX('Semrush Data'!$A$1:$Z$20000,MATCH(V145,'Semrush Data'!$A$1:$A$20000,0),MATCH("CPC*",'Semrush Data'!$A$1:$Z$1,0)),"")</f>
        <v>0</v>
      </c>
      <c r="Z145" s="23" t="s">
        <v>2308</v>
      </c>
      <c r="AA145" s="23"/>
      <c r="AB145" s="23" t="s">
        <v>1310</v>
      </c>
      <c r="AC145" s="23" t="s">
        <v>2357</v>
      </c>
      <c r="AD145" s="27" t="n">
        <f aca="false">LEN(AC145)</f>
        <v>57</v>
      </c>
      <c r="AE145" s="23" t="s">
        <v>2358</v>
      </c>
      <c r="AF145" s="27" t="n">
        <f aca="false">LEN(AE145)</f>
        <v>155</v>
      </c>
    </row>
    <row r="146" customFormat="false" ht="15" hidden="false" customHeight="true" outlineLevel="0" collapsed="false">
      <c r="A146" s="23" t="s">
        <v>1314</v>
      </c>
      <c r="B146" s="23" t="s">
        <v>1432</v>
      </c>
      <c r="C146" s="23" t="n">
        <v>145</v>
      </c>
      <c r="D146" s="23" t="s">
        <v>906</v>
      </c>
      <c r="E146" s="23"/>
      <c r="F146" s="23" t="s">
        <v>1735</v>
      </c>
      <c r="G146" s="23" t="s">
        <v>719</v>
      </c>
      <c r="H146" s="23" t="s">
        <v>621</v>
      </c>
      <c r="I146" s="23" t="s">
        <v>1315</v>
      </c>
      <c r="J146" s="23"/>
      <c r="K146" s="23" t="n">
        <v>22.99</v>
      </c>
      <c r="L146" s="23" t="s">
        <v>2359</v>
      </c>
      <c r="M146" s="23" t="s">
        <v>2360</v>
      </c>
      <c r="N146" s="23" t="s">
        <v>2361</v>
      </c>
      <c r="O146" s="23" t="s">
        <v>2362</v>
      </c>
      <c r="P146" s="23"/>
      <c r="Q146" s="24" t="n">
        <f aca="false">IF(L146="","",IFERROR(INDEX('Semrush Data'!$A$1:$Z$20000,MATCH(L146,'Semrush Data'!$A$1:$A$20000,0),MATCH("Volume",'Semrush Data'!$A$1:$Z$1,0)),""))</f>
        <v>0</v>
      </c>
      <c r="R146" s="24" t="str">
        <f aca="false">IF(M146="","",IFERROR(INDEX('Semrush Data'!$A$1:$Z$20000,MATCH(M146,'Semrush Data'!$A$1:$A$20000,0),MATCH("Volume",'Semrush Data'!$A$1:$Z$1,0)),""))</f>
        <v/>
      </c>
      <c r="S146" s="24" t="str">
        <f aca="false">IF(N146="","",IFERROR(INDEX('Semrush Data'!$A$1:$Z$20000,MATCH(N146,'Semrush Data'!$A$1:$A$20000,0),MATCH("Volume",'Semrush Data'!$A$1:$Z$1,0)),""))</f>
        <v/>
      </c>
      <c r="T146" s="24" t="str">
        <f aca="false">IF(O146="","",IFERROR(INDEX('Semrush Data'!$A$1:$Z$20000,MATCH(O146,'Semrush Data'!$A$1:$A$20000,0),MATCH("Volume",'Semrush Data'!$A$1:$Z$1,0)),""))</f>
        <v/>
      </c>
      <c r="U146" s="24" t="str">
        <f aca="false">IF(P146="","",IFERROR(INDEX('Semrush Data'!$A$1:$Z$20000,MATCH(P146,'Semrush Data'!$A$1:$A$20000,0),MATCH("Volume",'Semrush Data'!$A$1:$Z$1,0)),""))</f>
        <v/>
      </c>
      <c r="V146" s="25" t="str">
        <f aca="false">IF(COUNT(Q146:U146)=0,L146,IF(MAX(Q146:U146)=0,L146,INDEX(L146:P146,MATCH(MAX(Q146:U146),Q146:U146,0))))</f>
        <v>deyga instant hair removal kit with toner</v>
      </c>
      <c r="W146" s="24" t="n">
        <f aca="false">IFERROR(INDEX('Semrush Data'!$A$1:$Z$20000,MATCH(V146,'Semrush Data'!$A$1:$A$20000,0),MATCH("Volume",'Semrush Data'!$A$1:$Z$1,0)),"")</f>
        <v>0</v>
      </c>
      <c r="X146" s="24" t="n">
        <f aca="false">IFERROR(INDEX('Semrush Data'!$A$1:$Z$20000,MATCH(V146,'Semrush Data'!$A$1:$A$20000,0),MATCH("Keyword Difficulty*",'Semrush Data'!$A$1:$Z$1,0)),"")</f>
        <v>27</v>
      </c>
      <c r="Y146" s="26" t="n">
        <f aca="false">IFERROR(INDEX('Semrush Data'!$A$1:$Z$20000,MATCH(V146,'Semrush Data'!$A$1:$A$20000,0),MATCH("CPC*",'Semrush Data'!$A$1:$Z$1,0)),"")</f>
        <v>0</v>
      </c>
      <c r="Z146" s="23" t="s">
        <v>2308</v>
      </c>
      <c r="AA146" s="23"/>
      <c r="AB146" s="23" t="s">
        <v>1316</v>
      </c>
      <c r="AC146" s="23" t="s">
        <v>1317</v>
      </c>
      <c r="AD146" s="27" t="n">
        <f aca="false">LEN(AC146)</f>
        <v>55</v>
      </c>
      <c r="AE146" s="23" t="s">
        <v>2363</v>
      </c>
      <c r="AF146" s="27" t="n">
        <f aca="false">LEN(AE146)</f>
        <v>156</v>
      </c>
    </row>
    <row r="147" customFormat="false" ht="15" hidden="false" customHeight="true" outlineLevel="0" collapsed="false">
      <c r="A147" s="23" t="s">
        <v>1320</v>
      </c>
      <c r="B147" s="23" t="s">
        <v>1432</v>
      </c>
      <c r="C147" s="23" t="n">
        <v>146</v>
      </c>
      <c r="D147" s="23" t="s">
        <v>906</v>
      </c>
      <c r="E147" s="23"/>
      <c r="F147" s="23" t="s">
        <v>1735</v>
      </c>
      <c r="G147" s="23" t="s">
        <v>719</v>
      </c>
      <c r="H147" s="23" t="s">
        <v>407</v>
      </c>
      <c r="I147" s="23" t="s">
        <v>1321</v>
      </c>
      <c r="J147" s="23"/>
      <c r="K147" s="23" t="n">
        <v>19.99</v>
      </c>
      <c r="L147" s="23" t="s">
        <v>2364</v>
      </c>
      <c r="M147" s="23" t="s">
        <v>2365</v>
      </c>
      <c r="N147" s="23" t="s">
        <v>2366</v>
      </c>
      <c r="O147" s="23" t="s">
        <v>2367</v>
      </c>
      <c r="P147" s="23"/>
      <c r="Q147" s="24" t="n">
        <f aca="false">IF(L147="","",IFERROR(INDEX('Semrush Data'!$A$1:$Z$20000,MATCH(L147,'Semrush Data'!$A$1:$A$20000,0),MATCH("Volume",'Semrush Data'!$A$1:$Z$1,0)),""))</f>
        <v>0</v>
      </c>
      <c r="R147" s="24" t="str">
        <f aca="false">IF(M147="","",IFERROR(INDEX('Semrush Data'!$A$1:$Z$20000,MATCH(M147,'Semrush Data'!$A$1:$A$20000,0),MATCH("Volume",'Semrush Data'!$A$1:$Z$1,0)),""))</f>
        <v/>
      </c>
      <c r="S147" s="24" t="str">
        <f aca="false">IF(N147="","",IFERROR(INDEX('Semrush Data'!$A$1:$Z$20000,MATCH(N147,'Semrush Data'!$A$1:$A$20000,0),MATCH("Volume",'Semrush Data'!$A$1:$Z$1,0)),""))</f>
        <v/>
      </c>
      <c r="T147" s="24" t="str">
        <f aca="false">IF(O147="","",IFERROR(INDEX('Semrush Data'!$A$1:$Z$20000,MATCH(O147,'Semrush Data'!$A$1:$A$20000,0),MATCH("Volume",'Semrush Data'!$A$1:$Z$1,0)),""))</f>
        <v/>
      </c>
      <c r="U147" s="24" t="str">
        <f aca="false">IF(P147="","",IFERROR(INDEX('Semrush Data'!$A$1:$Z$20000,MATCH(P147,'Semrush Data'!$A$1:$A$20000,0),MATCH("Volume",'Semrush Data'!$A$1:$Z$1,0)),""))</f>
        <v/>
      </c>
      <c r="V147" s="25" t="str">
        <f aca="false">IF(COUNT(Q147:U147)=0,L147,IF(MAX(Q147:U147)=0,L147,INDEX(L147:P147,MATCH(MAX(Q147:U147),Q147:U147,0))))</f>
        <v>deyga healthy glow kit</v>
      </c>
      <c r="W147" s="24" t="n">
        <f aca="false">IFERROR(INDEX('Semrush Data'!$A$1:$Z$20000,MATCH(V147,'Semrush Data'!$A$1:$A$20000,0),MATCH("Volume",'Semrush Data'!$A$1:$Z$1,0)),"")</f>
        <v>0</v>
      </c>
      <c r="X147" s="24" t="n">
        <f aca="false">IFERROR(INDEX('Semrush Data'!$A$1:$Z$20000,MATCH(V147,'Semrush Data'!$A$1:$A$20000,0),MATCH("Keyword Difficulty*",'Semrush Data'!$A$1:$Z$1,0)),"")</f>
        <v>14</v>
      </c>
      <c r="Y147" s="26" t="n">
        <f aca="false">IFERROR(INDEX('Semrush Data'!$A$1:$Z$20000,MATCH(V147,'Semrush Data'!$A$1:$A$20000,0),MATCH("CPC*",'Semrush Data'!$A$1:$Z$1,0)),"")</f>
        <v>0</v>
      </c>
      <c r="Z147" s="23" t="s">
        <v>2308</v>
      </c>
      <c r="AA147" s="23"/>
      <c r="AB147" s="23" t="s">
        <v>1322</v>
      </c>
      <c r="AC147" s="23" t="s">
        <v>2368</v>
      </c>
      <c r="AD147" s="27" t="n">
        <f aca="false">LEN(AC147)</f>
        <v>55</v>
      </c>
      <c r="AE147" s="23" t="s">
        <v>2369</v>
      </c>
      <c r="AF147" s="27" t="n">
        <f aca="false">LEN(AE147)</f>
        <v>157</v>
      </c>
    </row>
    <row r="148" customFormat="false" ht="15" hidden="false" customHeight="true" outlineLevel="0" collapsed="false">
      <c r="A148" s="23" t="s">
        <v>1326</v>
      </c>
      <c r="B148" s="23" t="s">
        <v>1432</v>
      </c>
      <c r="C148" s="23" t="n">
        <v>147</v>
      </c>
      <c r="D148" s="23" t="s">
        <v>906</v>
      </c>
      <c r="E148" s="23"/>
      <c r="F148" s="23" t="s">
        <v>1735</v>
      </c>
      <c r="G148" s="23" t="s">
        <v>719</v>
      </c>
      <c r="H148" s="23" t="s">
        <v>621</v>
      </c>
      <c r="I148" s="23" t="s">
        <v>1327</v>
      </c>
      <c r="J148" s="23"/>
      <c r="K148" s="23" t="n">
        <v>25.99</v>
      </c>
      <c r="L148" s="23" t="s">
        <v>2370</v>
      </c>
      <c r="M148" s="23" t="s">
        <v>2371</v>
      </c>
      <c r="N148" s="23" t="s">
        <v>2372</v>
      </c>
      <c r="O148" s="23" t="s">
        <v>2373</v>
      </c>
      <c r="P148" s="23"/>
      <c r="Q148" s="24" t="n">
        <f aca="false">IF(L148="","",IFERROR(INDEX('Semrush Data'!$A$1:$Z$20000,MATCH(L148,'Semrush Data'!$A$1:$A$20000,0),MATCH("Volume",'Semrush Data'!$A$1:$Z$1,0)),""))</f>
        <v>0</v>
      </c>
      <c r="R148" s="24" t="str">
        <f aca="false">IF(M148="","",IFERROR(INDEX('Semrush Data'!$A$1:$Z$20000,MATCH(M148,'Semrush Data'!$A$1:$A$20000,0),MATCH("Volume",'Semrush Data'!$A$1:$Z$1,0)),""))</f>
        <v/>
      </c>
      <c r="S148" s="24" t="str">
        <f aca="false">IF(N148="","",IFERROR(INDEX('Semrush Data'!$A$1:$Z$20000,MATCH(N148,'Semrush Data'!$A$1:$A$20000,0),MATCH("Volume",'Semrush Data'!$A$1:$Z$1,0)),""))</f>
        <v/>
      </c>
      <c r="T148" s="24" t="str">
        <f aca="false">IF(O148="","",IFERROR(INDEX('Semrush Data'!$A$1:$Z$20000,MATCH(O148,'Semrush Data'!$A$1:$A$20000,0),MATCH("Volume",'Semrush Data'!$A$1:$Z$1,0)),""))</f>
        <v/>
      </c>
      <c r="U148" s="24" t="str">
        <f aca="false">IF(P148="","",IFERROR(INDEX('Semrush Data'!$A$1:$Z$20000,MATCH(P148,'Semrush Data'!$A$1:$A$20000,0),MATCH("Volume",'Semrush Data'!$A$1:$Z$1,0)),""))</f>
        <v/>
      </c>
      <c r="V148" s="25" t="str">
        <f aca="false">IF(COUNT(Q148:U148)=0,L148,IF(MAX(Q148:U148)=0,L148,INDEX(L148:P148,MATCH(MAX(Q148:U148),Q148:U148,0))))</f>
        <v>deyga hair nourishment kit</v>
      </c>
      <c r="W148" s="24" t="n">
        <f aca="false">IFERROR(INDEX('Semrush Data'!$A$1:$Z$20000,MATCH(V148,'Semrush Data'!$A$1:$A$20000,0),MATCH("Volume",'Semrush Data'!$A$1:$Z$1,0)),"")</f>
        <v>0</v>
      </c>
      <c r="X148" s="24" t="n">
        <f aca="false">IFERROR(INDEX('Semrush Data'!$A$1:$Z$20000,MATCH(V148,'Semrush Data'!$A$1:$A$20000,0),MATCH("Keyword Difficulty*",'Semrush Data'!$A$1:$Z$1,0)),"")</f>
        <v>16</v>
      </c>
      <c r="Y148" s="26" t="n">
        <f aca="false">IFERROR(INDEX('Semrush Data'!$A$1:$Z$20000,MATCH(V148,'Semrush Data'!$A$1:$A$20000,0),MATCH("CPC*",'Semrush Data'!$A$1:$Z$1,0)),"")</f>
        <v>0</v>
      </c>
      <c r="Z148" s="23" t="s">
        <v>2308</v>
      </c>
      <c r="AA148" s="23"/>
      <c r="AB148" s="23" t="s">
        <v>1328</v>
      </c>
      <c r="AC148" s="23" t="s">
        <v>2374</v>
      </c>
      <c r="AD148" s="27" t="n">
        <f aca="false">LEN(AC148)</f>
        <v>53</v>
      </c>
      <c r="AE148" s="23" t="s">
        <v>2375</v>
      </c>
      <c r="AF148" s="27" t="n">
        <f aca="false">LEN(AE148)</f>
        <v>159</v>
      </c>
    </row>
    <row r="149" customFormat="false" ht="15" hidden="false" customHeight="true" outlineLevel="0" collapsed="false">
      <c r="A149" s="23" t="s">
        <v>1332</v>
      </c>
      <c r="B149" s="23" t="s">
        <v>1432</v>
      </c>
      <c r="C149" s="23" t="n">
        <v>148</v>
      </c>
      <c r="D149" s="23" t="s">
        <v>906</v>
      </c>
      <c r="E149" s="23"/>
      <c r="F149" s="23" t="s">
        <v>1735</v>
      </c>
      <c r="G149" s="23" t="s">
        <v>719</v>
      </c>
      <c r="H149" s="23" t="s">
        <v>742</v>
      </c>
      <c r="I149" s="23" t="s">
        <v>1333</v>
      </c>
      <c r="J149" s="23"/>
      <c r="K149" s="23" t="n">
        <v>16.99</v>
      </c>
      <c r="L149" s="23" t="s">
        <v>2376</v>
      </c>
      <c r="M149" s="23" t="s">
        <v>2377</v>
      </c>
      <c r="N149" s="23" t="s">
        <v>2378</v>
      </c>
      <c r="O149" s="23" t="s">
        <v>2379</v>
      </c>
      <c r="P149" s="23"/>
      <c r="Q149" s="24" t="n">
        <f aca="false">IF(L149="","",IFERROR(INDEX('Semrush Data'!$A$1:$Z$20000,MATCH(L149,'Semrush Data'!$A$1:$A$20000,0),MATCH("Volume",'Semrush Data'!$A$1:$Z$1,0)),""))</f>
        <v>0</v>
      </c>
      <c r="R149" s="24" t="str">
        <f aca="false">IF(M149="","",IFERROR(INDEX('Semrush Data'!$A$1:$Z$20000,MATCH(M149,'Semrush Data'!$A$1:$A$20000,0),MATCH("Volume",'Semrush Data'!$A$1:$Z$1,0)),""))</f>
        <v/>
      </c>
      <c r="S149" s="24" t="str">
        <f aca="false">IF(N149="","",IFERROR(INDEX('Semrush Data'!$A$1:$Z$20000,MATCH(N149,'Semrush Data'!$A$1:$A$20000,0),MATCH("Volume",'Semrush Data'!$A$1:$Z$1,0)),""))</f>
        <v/>
      </c>
      <c r="T149" s="24" t="str">
        <f aca="false">IF(O149="","",IFERROR(INDEX('Semrush Data'!$A$1:$Z$20000,MATCH(O149,'Semrush Data'!$A$1:$A$20000,0),MATCH("Volume",'Semrush Data'!$A$1:$Z$1,0)),""))</f>
        <v/>
      </c>
      <c r="U149" s="24" t="str">
        <f aca="false">IF(P149="","",IFERROR(INDEX('Semrush Data'!$A$1:$Z$20000,MATCH(P149,'Semrush Data'!$A$1:$A$20000,0),MATCH("Volume",'Semrush Data'!$A$1:$Z$1,0)),""))</f>
        <v/>
      </c>
      <c r="V149" s="25" t="str">
        <f aca="false">IF(COUNT(Q149:U149)=0,L149,IF(MAX(Q149:U149)=0,L149,INDEX(L149:P149,MATCH(MAX(Q149:U149),Q149:U149,0))))</f>
        <v>deyga sensitive skin kit</v>
      </c>
      <c r="W149" s="24" t="n">
        <f aca="false">IFERROR(INDEX('Semrush Data'!$A$1:$Z$20000,MATCH(V149,'Semrush Data'!$A$1:$A$20000,0),MATCH("Volume",'Semrush Data'!$A$1:$Z$1,0)),"")</f>
        <v>0</v>
      </c>
      <c r="X149" s="24" t="n">
        <f aca="false">IFERROR(INDEX('Semrush Data'!$A$1:$Z$20000,MATCH(V149,'Semrush Data'!$A$1:$A$20000,0),MATCH("Keyword Difficulty*",'Semrush Data'!$A$1:$Z$1,0)),"")</f>
        <v>14</v>
      </c>
      <c r="Y149" s="26" t="n">
        <f aca="false">IFERROR(INDEX('Semrush Data'!$A$1:$Z$20000,MATCH(V149,'Semrush Data'!$A$1:$A$20000,0),MATCH("CPC*",'Semrush Data'!$A$1:$Z$1,0)),"")</f>
        <v>0</v>
      </c>
      <c r="Z149" s="23" t="s">
        <v>2308</v>
      </c>
      <c r="AA149" s="23"/>
      <c r="AB149" s="23" t="s">
        <v>1334</v>
      </c>
      <c r="AC149" s="23" t="s">
        <v>2380</v>
      </c>
      <c r="AD149" s="27" t="n">
        <f aca="false">LEN(AC149)</f>
        <v>51</v>
      </c>
      <c r="AE149" s="23" t="s">
        <v>2381</v>
      </c>
      <c r="AF149" s="27" t="n">
        <f aca="false">LEN(AE149)</f>
        <v>157</v>
      </c>
    </row>
    <row r="150" customFormat="false" ht="15" hidden="false" customHeight="true" outlineLevel="0" collapsed="false">
      <c r="A150" s="23" t="s">
        <v>1338</v>
      </c>
      <c r="B150" s="23" t="s">
        <v>1432</v>
      </c>
      <c r="C150" s="23" t="n">
        <v>149</v>
      </c>
      <c r="D150" s="23" t="s">
        <v>906</v>
      </c>
      <c r="E150" s="23"/>
      <c r="F150" s="23" t="s">
        <v>1735</v>
      </c>
      <c r="G150" s="23" t="s">
        <v>719</v>
      </c>
      <c r="H150" s="23" t="s">
        <v>407</v>
      </c>
      <c r="I150" s="23" t="s">
        <v>1339</v>
      </c>
      <c r="J150" s="23"/>
      <c r="K150" s="23" t="n">
        <v>22.99</v>
      </c>
      <c r="L150" s="23" t="s">
        <v>2382</v>
      </c>
      <c r="M150" s="23" t="s">
        <v>2383</v>
      </c>
      <c r="N150" s="23" t="s">
        <v>2384</v>
      </c>
      <c r="O150" s="23" t="s">
        <v>2385</v>
      </c>
      <c r="P150" s="23"/>
      <c r="Q150" s="24" t="n">
        <f aca="false">IF(L150="","",IFERROR(INDEX('Semrush Data'!$A$1:$Z$20000,MATCH(L150,'Semrush Data'!$A$1:$A$20000,0),MATCH("Volume",'Semrush Data'!$A$1:$Z$1,0)),""))</f>
        <v>0</v>
      </c>
      <c r="R150" s="24" t="str">
        <f aca="false">IF(M150="","",IFERROR(INDEX('Semrush Data'!$A$1:$Z$20000,MATCH(M150,'Semrush Data'!$A$1:$A$20000,0),MATCH("Volume",'Semrush Data'!$A$1:$Z$1,0)),""))</f>
        <v/>
      </c>
      <c r="S150" s="24" t="str">
        <f aca="false">IF(N150="","",IFERROR(INDEX('Semrush Data'!$A$1:$Z$20000,MATCH(N150,'Semrush Data'!$A$1:$A$20000,0),MATCH("Volume",'Semrush Data'!$A$1:$Z$1,0)),""))</f>
        <v/>
      </c>
      <c r="T150" s="24" t="str">
        <f aca="false">IF(O150="","",IFERROR(INDEX('Semrush Data'!$A$1:$Z$20000,MATCH(O150,'Semrush Data'!$A$1:$A$20000,0),MATCH("Volume",'Semrush Data'!$A$1:$Z$1,0)),""))</f>
        <v/>
      </c>
      <c r="U150" s="24" t="str">
        <f aca="false">IF(P150="","",IFERROR(INDEX('Semrush Data'!$A$1:$Z$20000,MATCH(P150,'Semrush Data'!$A$1:$A$20000,0),MATCH("Volume",'Semrush Data'!$A$1:$Z$1,0)),""))</f>
        <v/>
      </c>
      <c r="V150" s="25" t="str">
        <f aca="false">IF(COUNT(Q150:U150)=0,L150,IF(MAX(Q150:U150)=0,L150,INDEX(L150:P150,MATCH(MAX(Q150:U150),Q150:U150,0))))</f>
        <v>deyga abc kit</v>
      </c>
      <c r="W150" s="24" t="n">
        <f aca="false">IFERROR(INDEX('Semrush Data'!$A$1:$Z$20000,MATCH(V150,'Semrush Data'!$A$1:$A$20000,0),MATCH("Volume",'Semrush Data'!$A$1:$Z$1,0)),"")</f>
        <v>0</v>
      </c>
      <c r="X150" s="24" t="n">
        <f aca="false">IFERROR(INDEX('Semrush Data'!$A$1:$Z$20000,MATCH(V150,'Semrush Data'!$A$1:$A$20000,0),MATCH("Keyword Difficulty*",'Semrush Data'!$A$1:$Z$1,0)),"")</f>
        <v>14</v>
      </c>
      <c r="Y150" s="26" t="n">
        <f aca="false">IFERROR(INDEX('Semrush Data'!$A$1:$Z$20000,MATCH(V150,'Semrush Data'!$A$1:$A$20000,0),MATCH("CPC*",'Semrush Data'!$A$1:$Z$1,0)),"")</f>
        <v>0</v>
      </c>
      <c r="Z150" s="23" t="s">
        <v>2308</v>
      </c>
      <c r="AA150" s="23"/>
      <c r="AB150" s="23" t="s">
        <v>1340</v>
      </c>
      <c r="AC150" s="23" t="s">
        <v>2386</v>
      </c>
      <c r="AD150" s="27" t="n">
        <f aca="false">LEN(AC150)</f>
        <v>46</v>
      </c>
      <c r="AE150" s="23" t="s">
        <v>2387</v>
      </c>
      <c r="AF150" s="27" t="n">
        <f aca="false">LEN(AE150)</f>
        <v>156</v>
      </c>
    </row>
    <row r="151" customFormat="false" ht="15" hidden="false" customHeight="true" outlineLevel="0" collapsed="false">
      <c r="A151" s="23" t="s">
        <v>1344</v>
      </c>
      <c r="B151" s="23" t="s">
        <v>1432</v>
      </c>
      <c r="C151" s="23" t="n">
        <v>150</v>
      </c>
      <c r="D151" s="23" t="s">
        <v>906</v>
      </c>
      <c r="E151" s="23"/>
      <c r="F151" s="23" t="s">
        <v>1735</v>
      </c>
      <c r="G151" s="23" t="s">
        <v>719</v>
      </c>
      <c r="H151" s="23" t="s">
        <v>435</v>
      </c>
      <c r="I151" s="23" t="s">
        <v>1345</v>
      </c>
      <c r="J151" s="23"/>
      <c r="K151" s="23" t="n">
        <v>14.99</v>
      </c>
      <c r="L151" s="23" t="s">
        <v>2388</v>
      </c>
      <c r="M151" s="23" t="s">
        <v>2389</v>
      </c>
      <c r="N151" s="23" t="s">
        <v>2390</v>
      </c>
      <c r="O151" s="23" t="s">
        <v>2391</v>
      </c>
      <c r="P151" s="23"/>
      <c r="Q151" s="24" t="n">
        <f aca="false">IF(L151="","",IFERROR(INDEX('Semrush Data'!$A$1:$Z$20000,MATCH(L151,'Semrush Data'!$A$1:$A$20000,0),MATCH("Volume",'Semrush Data'!$A$1:$Z$1,0)),""))</f>
        <v>0</v>
      </c>
      <c r="R151" s="24" t="str">
        <f aca="false">IF(M151="","",IFERROR(INDEX('Semrush Data'!$A$1:$Z$20000,MATCH(M151,'Semrush Data'!$A$1:$A$20000,0),MATCH("Volume",'Semrush Data'!$A$1:$Z$1,0)),""))</f>
        <v/>
      </c>
      <c r="S151" s="24" t="str">
        <f aca="false">IF(N151="","",IFERROR(INDEX('Semrush Data'!$A$1:$Z$20000,MATCH(N151,'Semrush Data'!$A$1:$A$20000,0),MATCH("Volume",'Semrush Data'!$A$1:$Z$1,0)),""))</f>
        <v/>
      </c>
      <c r="T151" s="24" t="str">
        <f aca="false">IF(O151="","",IFERROR(INDEX('Semrush Data'!$A$1:$Z$20000,MATCH(O151,'Semrush Data'!$A$1:$A$20000,0),MATCH("Volume",'Semrush Data'!$A$1:$Z$1,0)),""))</f>
        <v/>
      </c>
      <c r="U151" s="24" t="str">
        <f aca="false">IF(P151="","",IFERROR(INDEX('Semrush Data'!$A$1:$Z$20000,MATCH(P151,'Semrush Data'!$A$1:$A$20000,0),MATCH("Volume",'Semrush Data'!$A$1:$Z$1,0)),""))</f>
        <v/>
      </c>
      <c r="V151" s="25" t="str">
        <f aca="false">IF(COUNT(Q151:U151)=0,L151,IF(MAX(Q151:U151)=0,L151,INDEX(L151:P151,MATCH(MAX(Q151:U151),Q151:U151,0))))</f>
        <v>deyga hydro boosting skin care kit</v>
      </c>
      <c r="W151" s="24" t="n">
        <f aca="false">IFERROR(INDEX('Semrush Data'!$A$1:$Z$20000,MATCH(V151,'Semrush Data'!$A$1:$A$20000,0),MATCH("Volume",'Semrush Data'!$A$1:$Z$1,0)),"")</f>
        <v>0</v>
      </c>
      <c r="X151" s="24" t="n">
        <f aca="false">IFERROR(INDEX('Semrush Data'!$A$1:$Z$20000,MATCH(V151,'Semrush Data'!$A$1:$A$20000,0),MATCH("Keyword Difficulty*",'Semrush Data'!$A$1:$Z$1,0)),"")</f>
        <v>14</v>
      </c>
      <c r="Y151" s="26" t="n">
        <f aca="false">IFERROR(INDEX('Semrush Data'!$A$1:$Z$20000,MATCH(V151,'Semrush Data'!$A$1:$A$20000,0),MATCH("CPC*",'Semrush Data'!$A$1:$Z$1,0)),"")</f>
        <v>0</v>
      </c>
      <c r="Z151" s="23" t="s">
        <v>2308</v>
      </c>
      <c r="AA151" s="23"/>
      <c r="AB151" s="23" t="s">
        <v>1346</v>
      </c>
      <c r="AC151" s="23" t="s">
        <v>2392</v>
      </c>
      <c r="AD151" s="27" t="n">
        <f aca="false">LEN(AC151)</f>
        <v>48</v>
      </c>
      <c r="AE151" s="23" t="s">
        <v>2393</v>
      </c>
      <c r="AF151" s="27" t="n">
        <f aca="false">LEN(AE151)</f>
        <v>159</v>
      </c>
    </row>
    <row r="152" customFormat="false" ht="15" hidden="false" customHeight="true" outlineLevel="0" collapsed="false">
      <c r="A152" s="23" t="s">
        <v>1350</v>
      </c>
      <c r="B152" s="23" t="s">
        <v>1432</v>
      </c>
      <c r="C152" s="23" t="n">
        <v>151</v>
      </c>
      <c r="D152" s="23" t="s">
        <v>906</v>
      </c>
      <c r="E152" s="23"/>
      <c r="F152" s="23" t="s">
        <v>1735</v>
      </c>
      <c r="G152" s="23" t="s">
        <v>719</v>
      </c>
      <c r="H152" s="23" t="s">
        <v>621</v>
      </c>
      <c r="I152" s="23" t="s">
        <v>1351</v>
      </c>
      <c r="J152" s="23"/>
      <c r="K152" s="23" t="n">
        <v>18.99</v>
      </c>
      <c r="L152" s="23" t="s">
        <v>2394</v>
      </c>
      <c r="M152" s="23" t="s">
        <v>2395</v>
      </c>
      <c r="N152" s="23" t="s">
        <v>2396</v>
      </c>
      <c r="O152" s="23" t="s">
        <v>2397</v>
      </c>
      <c r="P152" s="23"/>
      <c r="Q152" s="24" t="n">
        <f aca="false">IF(L152="","",IFERROR(INDEX('Semrush Data'!$A$1:$Z$20000,MATCH(L152,'Semrush Data'!$A$1:$A$20000,0),MATCH("Volume",'Semrush Data'!$A$1:$Z$1,0)),""))</f>
        <v>0</v>
      </c>
      <c r="R152" s="24" t="str">
        <f aca="false">IF(M152="","",IFERROR(INDEX('Semrush Data'!$A$1:$Z$20000,MATCH(M152,'Semrush Data'!$A$1:$A$20000,0),MATCH("Volume",'Semrush Data'!$A$1:$Z$1,0)),""))</f>
        <v/>
      </c>
      <c r="S152" s="24" t="str">
        <f aca="false">IF(N152="","",IFERROR(INDEX('Semrush Data'!$A$1:$Z$20000,MATCH(N152,'Semrush Data'!$A$1:$A$20000,0),MATCH("Volume",'Semrush Data'!$A$1:$Z$1,0)),""))</f>
        <v/>
      </c>
      <c r="T152" s="24" t="str">
        <f aca="false">IF(O152="","",IFERROR(INDEX('Semrush Data'!$A$1:$Z$20000,MATCH(O152,'Semrush Data'!$A$1:$A$20000,0),MATCH("Volume",'Semrush Data'!$A$1:$Z$1,0)),""))</f>
        <v/>
      </c>
      <c r="U152" s="24" t="str">
        <f aca="false">IF(P152="","",IFERROR(INDEX('Semrush Data'!$A$1:$Z$20000,MATCH(P152,'Semrush Data'!$A$1:$A$20000,0),MATCH("Volume",'Semrush Data'!$A$1:$Z$1,0)),""))</f>
        <v/>
      </c>
      <c r="V152" s="25" t="str">
        <f aca="false">IF(COUNT(Q152:U152)=0,L152,IF(MAX(Q152:U152)=0,L152,INDEX(L152:P152,MATCH(MAX(Q152:U152),Q152:U152,0))))</f>
        <v>deyga hair care kit</v>
      </c>
      <c r="W152" s="24" t="n">
        <f aca="false">IFERROR(INDEX('Semrush Data'!$A$1:$Z$20000,MATCH(V152,'Semrush Data'!$A$1:$A$20000,0),MATCH("Volume",'Semrush Data'!$A$1:$Z$1,0)),"")</f>
        <v>0</v>
      </c>
      <c r="X152" s="24" t="n">
        <f aca="false">IFERROR(INDEX('Semrush Data'!$A$1:$Z$20000,MATCH(V152,'Semrush Data'!$A$1:$A$20000,0),MATCH("Keyword Difficulty*",'Semrush Data'!$A$1:$Z$1,0)),"")</f>
        <v>12</v>
      </c>
      <c r="Y152" s="26" t="n">
        <f aca="false">IFERROR(INDEX('Semrush Data'!$A$1:$Z$20000,MATCH(V152,'Semrush Data'!$A$1:$A$20000,0),MATCH("CPC*",'Semrush Data'!$A$1:$Z$1,0)),"")</f>
        <v>0</v>
      </c>
      <c r="Z152" s="23" t="s">
        <v>2308</v>
      </c>
      <c r="AA152" s="23" t="s">
        <v>1356</v>
      </c>
      <c r="AB152" s="23" t="s">
        <v>1352</v>
      </c>
      <c r="AC152" s="23" t="s">
        <v>2398</v>
      </c>
      <c r="AD152" s="27" t="n">
        <f aca="false">LEN(AC152)</f>
        <v>52</v>
      </c>
      <c r="AE152" s="23" t="s">
        <v>2399</v>
      </c>
      <c r="AF152" s="27" t="n">
        <f aca="false">LEN(AE152)</f>
        <v>152</v>
      </c>
    </row>
    <row r="153" customFormat="false" ht="15" hidden="false" customHeight="true" outlineLevel="0" collapsed="false">
      <c r="A153" s="23" t="s">
        <v>1357</v>
      </c>
      <c r="B153" s="23" t="s">
        <v>1432</v>
      </c>
      <c r="C153" s="23" t="n">
        <v>152</v>
      </c>
      <c r="D153" s="23" t="s">
        <v>906</v>
      </c>
      <c r="E153" s="23"/>
      <c r="F153" s="23" t="s">
        <v>1735</v>
      </c>
      <c r="G153" s="23" t="s">
        <v>719</v>
      </c>
      <c r="H153" s="23" t="s">
        <v>858</v>
      </c>
      <c r="I153" s="23" t="s">
        <v>1358</v>
      </c>
      <c r="J153" s="23"/>
      <c r="K153" s="23" t="n">
        <v>48.99</v>
      </c>
      <c r="L153" s="23" t="s">
        <v>2400</v>
      </c>
      <c r="M153" s="23" t="s">
        <v>2401</v>
      </c>
      <c r="N153" s="23" t="s">
        <v>2402</v>
      </c>
      <c r="O153" s="23" t="s">
        <v>2403</v>
      </c>
      <c r="P153" s="23"/>
      <c r="Q153" s="24" t="n">
        <f aca="false">IF(L153="","",IFERROR(INDEX('Semrush Data'!$A$1:$Z$20000,MATCH(L153,'Semrush Data'!$A$1:$A$20000,0),MATCH("Volume",'Semrush Data'!$A$1:$Z$1,0)),""))</f>
        <v>0</v>
      </c>
      <c r="R153" s="24" t="str">
        <f aca="false">IF(M153="","",IFERROR(INDEX('Semrush Data'!$A$1:$Z$20000,MATCH(M153,'Semrush Data'!$A$1:$A$20000,0),MATCH("Volume",'Semrush Data'!$A$1:$Z$1,0)),""))</f>
        <v/>
      </c>
      <c r="S153" s="24" t="str">
        <f aca="false">IF(N153="","",IFERROR(INDEX('Semrush Data'!$A$1:$Z$20000,MATCH(N153,'Semrush Data'!$A$1:$A$20000,0),MATCH("Volume",'Semrush Data'!$A$1:$Z$1,0)),""))</f>
        <v/>
      </c>
      <c r="T153" s="24" t="str">
        <f aca="false">IF(O153="","",IFERROR(INDEX('Semrush Data'!$A$1:$Z$20000,MATCH(O153,'Semrush Data'!$A$1:$A$20000,0),MATCH("Volume",'Semrush Data'!$A$1:$Z$1,0)),""))</f>
        <v/>
      </c>
      <c r="U153" s="24" t="str">
        <f aca="false">IF(P153="","",IFERROR(INDEX('Semrush Data'!$A$1:$Z$20000,MATCH(P153,'Semrush Data'!$A$1:$A$20000,0),MATCH("Volume",'Semrush Data'!$A$1:$Z$1,0)),""))</f>
        <v/>
      </c>
      <c r="V153" s="25" t="str">
        <f aca="false">IF(COUNT(Q153:U153)=0,L153,IF(MAX(Q153:U153)=0,L153,INDEX(L153:P153,MATCH(MAX(Q153:U153),Q153:U153,0))))</f>
        <v>deyga hair strengthening kit</v>
      </c>
      <c r="W153" s="24" t="n">
        <f aca="false">IFERROR(INDEX('Semrush Data'!$A$1:$Z$20000,MATCH(V153,'Semrush Data'!$A$1:$A$20000,0),MATCH("Volume",'Semrush Data'!$A$1:$Z$1,0)),"")</f>
        <v>0</v>
      </c>
      <c r="X153" s="24" t="n">
        <f aca="false">IFERROR(INDEX('Semrush Data'!$A$1:$Z$20000,MATCH(V153,'Semrush Data'!$A$1:$A$20000,0),MATCH("Keyword Difficulty*",'Semrush Data'!$A$1:$Z$1,0)),"")</f>
        <v>20</v>
      </c>
      <c r="Y153" s="26" t="n">
        <f aca="false">IFERROR(INDEX('Semrush Data'!$A$1:$Z$20000,MATCH(V153,'Semrush Data'!$A$1:$A$20000,0),MATCH("CPC*",'Semrush Data'!$A$1:$Z$1,0)),"")</f>
        <v>0</v>
      </c>
      <c r="Z153" s="23" t="s">
        <v>2308</v>
      </c>
      <c r="AA153" s="23"/>
      <c r="AB153" s="23" t="s">
        <v>1359</v>
      </c>
      <c r="AC153" s="23" t="s">
        <v>2404</v>
      </c>
      <c r="AD153" s="27" t="n">
        <f aca="false">LEN(AC153)</f>
        <v>55</v>
      </c>
      <c r="AE153" s="23" t="s">
        <v>2405</v>
      </c>
      <c r="AF153" s="27" t="n">
        <f aca="false">LEN(AE153)</f>
        <v>153</v>
      </c>
    </row>
    <row r="154" customFormat="false" ht="15" hidden="false" customHeight="true" outlineLevel="0" collapsed="false">
      <c r="A154" s="23" t="s">
        <v>1363</v>
      </c>
      <c r="B154" s="23" t="s">
        <v>1432</v>
      </c>
      <c r="C154" s="23" t="n">
        <v>153</v>
      </c>
      <c r="D154" s="23" t="s">
        <v>906</v>
      </c>
      <c r="E154" s="23"/>
      <c r="F154" s="23" t="s">
        <v>1735</v>
      </c>
      <c r="G154" s="23" t="s">
        <v>719</v>
      </c>
      <c r="H154" s="23" t="s">
        <v>457</v>
      </c>
      <c r="I154" s="23" t="s">
        <v>1364</v>
      </c>
      <c r="J154" s="23"/>
      <c r="K154" s="23" t="n">
        <v>25.99</v>
      </c>
      <c r="L154" s="23" t="s">
        <v>2406</v>
      </c>
      <c r="M154" s="23" t="s">
        <v>2407</v>
      </c>
      <c r="N154" s="23" t="s">
        <v>2408</v>
      </c>
      <c r="O154" s="23" t="s">
        <v>2409</v>
      </c>
      <c r="P154" s="23"/>
      <c r="Q154" s="24" t="n">
        <f aca="false">IF(L154="","",IFERROR(INDEX('Semrush Data'!$A$1:$Z$20000,MATCH(L154,'Semrush Data'!$A$1:$A$20000,0),MATCH("Volume",'Semrush Data'!$A$1:$Z$1,0)),""))</f>
        <v>0</v>
      </c>
      <c r="R154" s="24" t="str">
        <f aca="false">IF(M154="","",IFERROR(INDEX('Semrush Data'!$A$1:$Z$20000,MATCH(M154,'Semrush Data'!$A$1:$A$20000,0),MATCH("Volume",'Semrush Data'!$A$1:$Z$1,0)),""))</f>
        <v/>
      </c>
      <c r="S154" s="24" t="str">
        <f aca="false">IF(N154="","",IFERROR(INDEX('Semrush Data'!$A$1:$Z$20000,MATCH(N154,'Semrush Data'!$A$1:$A$20000,0),MATCH("Volume",'Semrush Data'!$A$1:$Z$1,0)),""))</f>
        <v/>
      </c>
      <c r="T154" s="24" t="str">
        <f aca="false">IF(O154="","",IFERROR(INDEX('Semrush Data'!$A$1:$Z$20000,MATCH(O154,'Semrush Data'!$A$1:$A$20000,0),MATCH("Volume",'Semrush Data'!$A$1:$Z$1,0)),""))</f>
        <v/>
      </c>
      <c r="U154" s="24" t="str">
        <f aca="false">IF(P154="","",IFERROR(INDEX('Semrush Data'!$A$1:$Z$20000,MATCH(P154,'Semrush Data'!$A$1:$A$20000,0),MATCH("Volume",'Semrush Data'!$A$1:$Z$1,0)),""))</f>
        <v/>
      </c>
      <c r="V154" s="25" t="str">
        <f aca="false">IF(COUNT(Q154:U154)=0,L154,IF(MAX(Q154:U154)=0,L154,INDEX(L154:P154,MATCH(MAX(Q154:U154),Q154:U154,0))))</f>
        <v>deyga nourished lip care kit</v>
      </c>
      <c r="W154" s="24" t="n">
        <f aca="false">IFERROR(INDEX('Semrush Data'!$A$1:$Z$20000,MATCH(V154,'Semrush Data'!$A$1:$A$20000,0),MATCH("Volume",'Semrush Data'!$A$1:$Z$1,0)),"")</f>
        <v>0</v>
      </c>
      <c r="X154" s="24" t="n">
        <f aca="false">IFERROR(INDEX('Semrush Data'!$A$1:$Z$20000,MATCH(V154,'Semrush Data'!$A$1:$A$20000,0),MATCH("Keyword Difficulty*",'Semrush Data'!$A$1:$Z$1,0)),"")</f>
        <v>17</v>
      </c>
      <c r="Y154" s="26" t="n">
        <f aca="false">IFERROR(INDEX('Semrush Data'!$A$1:$Z$20000,MATCH(V154,'Semrush Data'!$A$1:$A$20000,0),MATCH("CPC*",'Semrush Data'!$A$1:$Z$1,0)),"")</f>
        <v>0</v>
      </c>
      <c r="Z154" s="23" t="s">
        <v>2308</v>
      </c>
      <c r="AA154" s="23"/>
      <c r="AB154" s="23" t="s">
        <v>1365</v>
      </c>
      <c r="AC154" s="23" t="s">
        <v>2410</v>
      </c>
      <c r="AD154" s="27" t="n">
        <f aca="false">LEN(AC154)</f>
        <v>55</v>
      </c>
      <c r="AE154" s="23" t="s">
        <v>2411</v>
      </c>
      <c r="AF154" s="27" t="n">
        <f aca="false">LEN(AE154)</f>
        <v>158</v>
      </c>
    </row>
    <row r="155" customFormat="false" ht="15" hidden="false" customHeight="true" outlineLevel="0" collapsed="false">
      <c r="A155" s="23" t="s">
        <v>1369</v>
      </c>
      <c r="B155" s="23" t="s">
        <v>1432</v>
      </c>
      <c r="C155" s="23" t="n">
        <v>154</v>
      </c>
      <c r="D155" s="23" t="s">
        <v>906</v>
      </c>
      <c r="E155" s="23"/>
      <c r="F155" s="23" t="s">
        <v>1735</v>
      </c>
      <c r="G155" s="23" t="s">
        <v>719</v>
      </c>
      <c r="H155" s="23" t="s">
        <v>621</v>
      </c>
      <c r="I155" s="23" t="s">
        <v>1370</v>
      </c>
      <c r="J155" s="23"/>
      <c r="K155" s="23" t="n">
        <v>24.99</v>
      </c>
      <c r="L155" s="23" t="s">
        <v>2412</v>
      </c>
      <c r="M155" s="23" t="s">
        <v>2413</v>
      </c>
      <c r="N155" s="23" t="s">
        <v>2414</v>
      </c>
      <c r="O155" s="23" t="s">
        <v>2415</v>
      </c>
      <c r="P155" s="23"/>
      <c r="Q155" s="24" t="n">
        <f aca="false">IF(L155="","",IFERROR(INDEX('Semrush Data'!$A$1:$Z$20000,MATCH(L155,'Semrush Data'!$A$1:$A$20000,0),MATCH("Volume",'Semrush Data'!$A$1:$Z$1,0)),""))</f>
        <v>0</v>
      </c>
      <c r="R155" s="24" t="str">
        <f aca="false">IF(M155="","",IFERROR(INDEX('Semrush Data'!$A$1:$Z$20000,MATCH(M155,'Semrush Data'!$A$1:$A$20000,0),MATCH("Volume",'Semrush Data'!$A$1:$Z$1,0)),""))</f>
        <v/>
      </c>
      <c r="S155" s="24" t="str">
        <f aca="false">IF(N155="","",IFERROR(INDEX('Semrush Data'!$A$1:$Z$20000,MATCH(N155,'Semrush Data'!$A$1:$A$20000,0),MATCH("Volume",'Semrush Data'!$A$1:$Z$1,0)),""))</f>
        <v/>
      </c>
      <c r="T155" s="24" t="str">
        <f aca="false">IF(O155="","",IFERROR(INDEX('Semrush Data'!$A$1:$Z$20000,MATCH(O155,'Semrush Data'!$A$1:$A$20000,0),MATCH("Volume",'Semrush Data'!$A$1:$Z$1,0)),""))</f>
        <v/>
      </c>
      <c r="U155" s="24" t="str">
        <f aca="false">IF(P155="","",IFERROR(INDEX('Semrush Data'!$A$1:$Z$20000,MATCH(P155,'Semrush Data'!$A$1:$A$20000,0),MATCH("Volume",'Semrush Data'!$A$1:$Z$1,0)),""))</f>
        <v/>
      </c>
      <c r="V155" s="25" t="str">
        <f aca="false">IF(COUNT(Q155:U155)=0,L155,IF(MAX(Q155:U155)=0,L155,INDEX(L155:P155,MATCH(MAX(Q155:U155),Q155:U155,0))))</f>
        <v>deyga natural hair care kit</v>
      </c>
      <c r="W155" s="24" t="n">
        <f aca="false">IFERROR(INDEX('Semrush Data'!$A$1:$Z$20000,MATCH(V155,'Semrush Data'!$A$1:$A$20000,0),MATCH("Volume",'Semrush Data'!$A$1:$Z$1,0)),"")</f>
        <v>0</v>
      </c>
      <c r="X155" s="24" t="n">
        <f aca="false">IFERROR(INDEX('Semrush Data'!$A$1:$Z$20000,MATCH(V155,'Semrush Data'!$A$1:$A$20000,0),MATCH("Keyword Difficulty*",'Semrush Data'!$A$1:$Z$1,0)),"")</f>
        <v>21</v>
      </c>
      <c r="Y155" s="26" t="n">
        <f aca="false">IFERROR(INDEX('Semrush Data'!$A$1:$Z$20000,MATCH(V155,'Semrush Data'!$A$1:$A$20000,0),MATCH("CPC*",'Semrush Data'!$A$1:$Z$1,0)),"")</f>
        <v>0</v>
      </c>
      <c r="Z155" s="23" t="s">
        <v>2308</v>
      </c>
      <c r="AA155" s="23"/>
      <c r="AB155" s="23" t="s">
        <v>1371</v>
      </c>
      <c r="AC155" s="23" t="s">
        <v>2416</v>
      </c>
      <c r="AD155" s="27" t="n">
        <f aca="false">LEN(AC155)</f>
        <v>54</v>
      </c>
      <c r="AE155" s="23" t="s">
        <v>2417</v>
      </c>
      <c r="AF155" s="27" t="n">
        <f aca="false">LEN(AE155)</f>
        <v>160</v>
      </c>
    </row>
    <row r="156" customFormat="false" ht="15" hidden="false" customHeight="true" outlineLevel="0" collapsed="false">
      <c r="A156" s="23" t="s">
        <v>1375</v>
      </c>
      <c r="B156" s="23" t="s">
        <v>1432</v>
      </c>
      <c r="C156" s="23" t="n">
        <v>155</v>
      </c>
      <c r="D156" s="23" t="s">
        <v>906</v>
      </c>
      <c r="E156" s="23"/>
      <c r="F156" s="23" t="s">
        <v>1735</v>
      </c>
      <c r="G156" s="23" t="s">
        <v>719</v>
      </c>
      <c r="H156" s="23" t="s">
        <v>435</v>
      </c>
      <c r="I156" s="23" t="s">
        <v>1376</v>
      </c>
      <c r="J156" s="23"/>
      <c r="K156" s="23" t="n">
        <v>14.99</v>
      </c>
      <c r="L156" s="23" t="s">
        <v>2418</v>
      </c>
      <c r="M156" s="23" t="s">
        <v>2419</v>
      </c>
      <c r="N156" s="23" t="s">
        <v>2420</v>
      </c>
      <c r="O156" s="23" t="s">
        <v>2421</v>
      </c>
      <c r="P156" s="23"/>
      <c r="Q156" s="24" t="n">
        <f aca="false">IF(L156="","",IFERROR(INDEX('Semrush Data'!$A$1:$Z$20000,MATCH(L156,'Semrush Data'!$A$1:$A$20000,0),MATCH("Volume",'Semrush Data'!$A$1:$Z$1,0)),""))</f>
        <v>0</v>
      </c>
      <c r="R156" s="24" t="str">
        <f aca="false">IF(M156="","",IFERROR(INDEX('Semrush Data'!$A$1:$Z$20000,MATCH(M156,'Semrush Data'!$A$1:$A$20000,0),MATCH("Volume",'Semrush Data'!$A$1:$Z$1,0)),""))</f>
        <v/>
      </c>
      <c r="S156" s="24" t="str">
        <f aca="false">IF(N156="","",IFERROR(INDEX('Semrush Data'!$A$1:$Z$20000,MATCH(N156,'Semrush Data'!$A$1:$A$20000,0),MATCH("Volume",'Semrush Data'!$A$1:$Z$1,0)),""))</f>
        <v/>
      </c>
      <c r="T156" s="24" t="str">
        <f aca="false">IF(O156="","",IFERROR(INDEX('Semrush Data'!$A$1:$Z$20000,MATCH(O156,'Semrush Data'!$A$1:$A$20000,0),MATCH("Volume",'Semrush Data'!$A$1:$Z$1,0)),""))</f>
        <v/>
      </c>
      <c r="U156" s="24" t="str">
        <f aca="false">IF(P156="","",IFERROR(INDEX('Semrush Data'!$A$1:$Z$20000,MATCH(P156,'Semrush Data'!$A$1:$A$20000,0),MATCH("Volume",'Semrush Data'!$A$1:$Z$1,0)),""))</f>
        <v/>
      </c>
      <c r="V156" s="25" t="str">
        <f aca="false">IF(COUNT(Q156:U156)=0,L156,IF(MAX(Q156:U156)=0,L156,INDEX(L156:P156,MATCH(MAX(Q156:U156),Q156:U156,0))))</f>
        <v>deyga double hydration kit</v>
      </c>
      <c r="W156" s="24" t="n">
        <f aca="false">IFERROR(INDEX('Semrush Data'!$A$1:$Z$20000,MATCH(V156,'Semrush Data'!$A$1:$A$20000,0),MATCH("Volume",'Semrush Data'!$A$1:$Z$1,0)),"")</f>
        <v>0</v>
      </c>
      <c r="X156" s="24" t="n">
        <f aca="false">IFERROR(INDEX('Semrush Data'!$A$1:$Z$20000,MATCH(V156,'Semrush Data'!$A$1:$A$20000,0),MATCH("Keyword Difficulty*",'Semrush Data'!$A$1:$Z$1,0)),"")</f>
        <v>14</v>
      </c>
      <c r="Y156" s="26" t="n">
        <f aca="false">IFERROR(INDEX('Semrush Data'!$A$1:$Z$20000,MATCH(V156,'Semrush Data'!$A$1:$A$20000,0),MATCH("CPC*",'Semrush Data'!$A$1:$Z$1,0)),"")</f>
        <v>0</v>
      </c>
      <c r="Z156" s="23" t="s">
        <v>2308</v>
      </c>
      <c r="AA156" s="23"/>
      <c r="AB156" s="23" t="s">
        <v>1377</v>
      </c>
      <c r="AC156" s="23" t="s">
        <v>2422</v>
      </c>
      <c r="AD156" s="27" t="n">
        <f aca="false">LEN(AC156)</f>
        <v>53</v>
      </c>
      <c r="AE156" s="23" t="s">
        <v>2423</v>
      </c>
      <c r="AF156" s="27" t="n">
        <f aca="false">LEN(AE156)</f>
        <v>159</v>
      </c>
    </row>
    <row r="157" customFormat="false" ht="15" hidden="false" customHeight="true" outlineLevel="0" collapsed="false">
      <c r="A157" s="23" t="s">
        <v>1381</v>
      </c>
      <c r="B157" s="23" t="s">
        <v>1432</v>
      </c>
      <c r="C157" s="23" t="n">
        <v>156</v>
      </c>
      <c r="D157" s="23" t="s">
        <v>906</v>
      </c>
      <c r="E157" s="23"/>
      <c r="F157" s="23" t="s">
        <v>1735</v>
      </c>
      <c r="G157" s="23" t="s">
        <v>719</v>
      </c>
      <c r="H157" s="23" t="s">
        <v>457</v>
      </c>
      <c r="I157" s="23" t="s">
        <v>1382</v>
      </c>
      <c r="J157" s="23"/>
      <c r="K157" s="23" t="n">
        <v>27.99</v>
      </c>
      <c r="L157" s="23" t="s">
        <v>2424</v>
      </c>
      <c r="M157" s="23" t="s">
        <v>2425</v>
      </c>
      <c r="N157" s="23" t="s">
        <v>2426</v>
      </c>
      <c r="O157" s="23" t="s">
        <v>2427</v>
      </c>
      <c r="P157" s="23"/>
      <c r="Q157" s="24" t="n">
        <f aca="false">IF(L157="","",IFERROR(INDEX('Semrush Data'!$A$1:$Z$20000,MATCH(L157,'Semrush Data'!$A$1:$A$20000,0),MATCH("Volume",'Semrush Data'!$A$1:$Z$1,0)),""))</f>
        <v>0</v>
      </c>
      <c r="R157" s="24" t="str">
        <f aca="false">IF(M157="","",IFERROR(INDEX('Semrush Data'!$A$1:$Z$20000,MATCH(M157,'Semrush Data'!$A$1:$A$20000,0),MATCH("Volume",'Semrush Data'!$A$1:$Z$1,0)),""))</f>
        <v/>
      </c>
      <c r="S157" s="24" t="str">
        <f aca="false">IF(N157="","",IFERROR(INDEX('Semrush Data'!$A$1:$Z$20000,MATCH(N157,'Semrush Data'!$A$1:$A$20000,0),MATCH("Volume",'Semrush Data'!$A$1:$Z$1,0)),""))</f>
        <v/>
      </c>
      <c r="T157" s="24" t="str">
        <f aca="false">IF(O157="","",IFERROR(INDEX('Semrush Data'!$A$1:$Z$20000,MATCH(O157,'Semrush Data'!$A$1:$A$20000,0),MATCH("Volume",'Semrush Data'!$A$1:$Z$1,0)),""))</f>
        <v/>
      </c>
      <c r="U157" s="24" t="str">
        <f aca="false">IF(P157="","",IFERROR(INDEX('Semrush Data'!$A$1:$Z$20000,MATCH(P157,'Semrush Data'!$A$1:$A$20000,0),MATCH("Volume",'Semrush Data'!$A$1:$Z$1,0)),""))</f>
        <v/>
      </c>
      <c r="V157" s="25" t="str">
        <f aca="false">IF(COUNT(Q157:U157)=0,L157,IF(MAX(Q157:U157)=0,L157,INDEX(L157:P157,MATCH(MAX(Q157:U157),Q157:U157,0))))</f>
        <v>deyga nourished lips stick kit</v>
      </c>
      <c r="W157" s="24" t="n">
        <f aca="false">IFERROR(INDEX('Semrush Data'!$A$1:$Z$20000,MATCH(V157,'Semrush Data'!$A$1:$A$20000,0),MATCH("Volume",'Semrush Data'!$A$1:$Z$1,0)),"")</f>
        <v>0</v>
      </c>
      <c r="X157" s="24" t="n">
        <f aca="false">IFERROR(INDEX('Semrush Data'!$A$1:$Z$20000,MATCH(V157,'Semrush Data'!$A$1:$A$20000,0),MATCH("Keyword Difficulty*",'Semrush Data'!$A$1:$Z$1,0)),"")</f>
        <v>14</v>
      </c>
      <c r="Y157" s="26" t="n">
        <f aca="false">IFERROR(INDEX('Semrush Data'!$A$1:$Z$20000,MATCH(V157,'Semrush Data'!$A$1:$A$20000,0),MATCH("CPC*",'Semrush Data'!$A$1:$Z$1,0)),"")</f>
        <v>0</v>
      </c>
      <c r="Z157" s="23" t="s">
        <v>2308</v>
      </c>
      <c r="AA157" s="23"/>
      <c r="AB157" s="23" t="s">
        <v>1383</v>
      </c>
      <c r="AC157" s="23" t="s">
        <v>2428</v>
      </c>
      <c r="AD157" s="27" t="n">
        <f aca="false">LEN(AC157)</f>
        <v>57</v>
      </c>
      <c r="AE157" s="23" t="s">
        <v>2429</v>
      </c>
      <c r="AF157" s="27" t="n">
        <f aca="false">LEN(AE157)</f>
        <v>160</v>
      </c>
    </row>
    <row r="158" customFormat="false" ht="15" hidden="false" customHeight="true" outlineLevel="0" collapsed="false">
      <c r="A158" s="23" t="s">
        <v>1387</v>
      </c>
      <c r="B158" s="23" t="s">
        <v>1432</v>
      </c>
      <c r="C158" s="23" t="n">
        <v>157</v>
      </c>
      <c r="D158" s="23" t="s">
        <v>906</v>
      </c>
      <c r="E158" s="23"/>
      <c r="F158" s="23" t="s">
        <v>1735</v>
      </c>
      <c r="G158" s="23" t="s">
        <v>719</v>
      </c>
      <c r="H158" s="23" t="s">
        <v>416</v>
      </c>
      <c r="I158" s="23" t="s">
        <v>1388</v>
      </c>
      <c r="J158" s="23"/>
      <c r="K158" s="23" t="n">
        <v>34.99</v>
      </c>
      <c r="L158" s="23" t="s">
        <v>2430</v>
      </c>
      <c r="M158" s="23" t="s">
        <v>2431</v>
      </c>
      <c r="N158" s="23" t="s">
        <v>2432</v>
      </c>
      <c r="O158" s="23" t="s">
        <v>2433</v>
      </c>
      <c r="P158" s="23"/>
      <c r="Q158" s="24" t="n">
        <f aca="false">IF(L158="","",IFERROR(INDEX('Semrush Data'!$A$1:$Z$20000,MATCH(L158,'Semrush Data'!$A$1:$A$20000,0),MATCH("Volume",'Semrush Data'!$A$1:$Z$1,0)),""))</f>
        <v>0</v>
      </c>
      <c r="R158" s="24" t="str">
        <f aca="false">IF(M158="","",IFERROR(INDEX('Semrush Data'!$A$1:$Z$20000,MATCH(M158,'Semrush Data'!$A$1:$A$20000,0),MATCH("Volume",'Semrush Data'!$A$1:$Z$1,0)),""))</f>
        <v/>
      </c>
      <c r="S158" s="24" t="str">
        <f aca="false">IF(N158="","",IFERROR(INDEX('Semrush Data'!$A$1:$Z$20000,MATCH(N158,'Semrush Data'!$A$1:$A$20000,0),MATCH("Volume",'Semrush Data'!$A$1:$Z$1,0)),""))</f>
        <v/>
      </c>
      <c r="T158" s="24" t="str">
        <f aca="false">IF(O158="","",IFERROR(INDEX('Semrush Data'!$A$1:$Z$20000,MATCH(O158,'Semrush Data'!$A$1:$A$20000,0),MATCH("Volume",'Semrush Data'!$A$1:$Z$1,0)),""))</f>
        <v/>
      </c>
      <c r="U158" s="24" t="str">
        <f aca="false">IF(P158="","",IFERROR(INDEX('Semrush Data'!$A$1:$Z$20000,MATCH(P158,'Semrush Data'!$A$1:$A$20000,0),MATCH("Volume",'Semrush Data'!$A$1:$Z$1,0)),""))</f>
        <v/>
      </c>
      <c r="V158" s="25" t="str">
        <f aca="false">IF(COUNT(Q158:U158)=0,L158,IF(MAX(Q158:U158)=0,L158,INDEX(L158:P158,MATCH(MAX(Q158:U158),Q158:U158,0))))</f>
        <v>deyga de- tan &amp; pigmentation kit</v>
      </c>
      <c r="W158" s="24" t="n">
        <f aca="false">IFERROR(INDEX('Semrush Data'!$A$1:$Z$20000,MATCH(V158,'Semrush Data'!$A$1:$A$20000,0),MATCH("Volume",'Semrush Data'!$A$1:$Z$1,0)),"")</f>
        <v>0</v>
      </c>
      <c r="X158" s="24" t="n">
        <f aca="false">IFERROR(INDEX('Semrush Data'!$A$1:$Z$20000,MATCH(V158,'Semrush Data'!$A$1:$A$20000,0),MATCH("Keyword Difficulty*",'Semrush Data'!$A$1:$Z$1,0)),"")</f>
        <v>20</v>
      </c>
      <c r="Y158" s="26" t="n">
        <f aca="false">IFERROR(INDEX('Semrush Data'!$A$1:$Z$20000,MATCH(V158,'Semrush Data'!$A$1:$A$20000,0),MATCH("CPC*",'Semrush Data'!$A$1:$Z$1,0)),"")</f>
        <v>0</v>
      </c>
      <c r="Z158" s="23" t="s">
        <v>2308</v>
      </c>
      <c r="AA158" s="23"/>
      <c r="AB158" s="23" t="s">
        <v>1389</v>
      </c>
      <c r="AC158" s="23" t="s">
        <v>2434</v>
      </c>
      <c r="AD158" s="27" t="n">
        <f aca="false">LEN(AC158)</f>
        <v>59</v>
      </c>
      <c r="AE158" s="23" t="s">
        <v>2435</v>
      </c>
      <c r="AF158" s="27" t="n">
        <f aca="false">LEN(AE158)</f>
        <v>158</v>
      </c>
    </row>
    <row r="159" customFormat="false" ht="15" hidden="false" customHeight="true" outlineLevel="0" collapsed="false">
      <c r="A159" s="23" t="s">
        <v>1393</v>
      </c>
      <c r="B159" s="23" t="s">
        <v>1432</v>
      </c>
      <c r="C159" s="23" t="n">
        <v>158</v>
      </c>
      <c r="D159" s="23" t="s">
        <v>906</v>
      </c>
      <c r="E159" s="23"/>
      <c r="F159" s="23" t="s">
        <v>1735</v>
      </c>
      <c r="G159" s="23" t="s">
        <v>719</v>
      </c>
      <c r="H159" s="23" t="s">
        <v>407</v>
      </c>
      <c r="I159" s="23" t="s">
        <v>1394</v>
      </c>
      <c r="J159" s="23"/>
      <c r="K159" s="23" t="n">
        <v>16.99</v>
      </c>
      <c r="L159" s="23" t="s">
        <v>2436</v>
      </c>
      <c r="M159" s="23" t="s">
        <v>2437</v>
      </c>
      <c r="N159" s="23" t="s">
        <v>2438</v>
      </c>
      <c r="O159" s="23" t="s">
        <v>2439</v>
      </c>
      <c r="P159" s="23"/>
      <c r="Q159" s="24" t="n">
        <f aca="false">IF(L159="","",IFERROR(INDEX('Semrush Data'!$A$1:$Z$20000,MATCH(L159,'Semrush Data'!$A$1:$A$20000,0),MATCH("Volume",'Semrush Data'!$A$1:$Z$1,0)),""))</f>
        <v>0</v>
      </c>
      <c r="R159" s="24" t="str">
        <f aca="false">IF(M159="","",IFERROR(INDEX('Semrush Data'!$A$1:$Z$20000,MATCH(M159,'Semrush Data'!$A$1:$A$20000,0),MATCH("Volume",'Semrush Data'!$A$1:$Z$1,0)),""))</f>
        <v/>
      </c>
      <c r="S159" s="24" t="str">
        <f aca="false">IF(N159="","",IFERROR(INDEX('Semrush Data'!$A$1:$Z$20000,MATCH(N159,'Semrush Data'!$A$1:$A$20000,0),MATCH("Volume",'Semrush Data'!$A$1:$Z$1,0)),""))</f>
        <v/>
      </c>
      <c r="T159" s="24" t="str">
        <f aca="false">IF(O159="","",IFERROR(INDEX('Semrush Data'!$A$1:$Z$20000,MATCH(O159,'Semrush Data'!$A$1:$A$20000,0),MATCH("Volume",'Semrush Data'!$A$1:$Z$1,0)),""))</f>
        <v/>
      </c>
      <c r="U159" s="24" t="str">
        <f aca="false">IF(P159="","",IFERROR(INDEX('Semrush Data'!$A$1:$Z$20000,MATCH(P159,'Semrush Data'!$A$1:$A$20000,0),MATCH("Volume",'Semrush Data'!$A$1:$Z$1,0)),""))</f>
        <v/>
      </c>
      <c r="V159" s="25" t="str">
        <f aca="false">IF(COUNT(Q159:U159)=0,L159,IF(MAX(Q159:U159)=0,L159,INDEX(L159:P159,MATCH(MAX(Q159:U159),Q159:U159,0))))</f>
        <v>deyga game changer face care kit</v>
      </c>
      <c r="W159" s="24" t="n">
        <f aca="false">IFERROR(INDEX('Semrush Data'!$A$1:$Z$20000,MATCH(V159,'Semrush Data'!$A$1:$A$20000,0),MATCH("Volume",'Semrush Data'!$A$1:$Z$1,0)),"")</f>
        <v>0</v>
      </c>
      <c r="X159" s="24" t="n">
        <f aca="false">IFERROR(INDEX('Semrush Data'!$A$1:$Z$20000,MATCH(V159,'Semrush Data'!$A$1:$A$20000,0),MATCH("Keyword Difficulty*",'Semrush Data'!$A$1:$Z$1,0)),"")</f>
        <v>27</v>
      </c>
      <c r="Y159" s="26" t="n">
        <f aca="false">IFERROR(INDEX('Semrush Data'!$A$1:$Z$20000,MATCH(V159,'Semrush Data'!$A$1:$A$20000,0),MATCH("CPC*",'Semrush Data'!$A$1:$Z$1,0)),"")</f>
        <v>0</v>
      </c>
      <c r="Z159" s="23" t="s">
        <v>2308</v>
      </c>
      <c r="AA159" s="23"/>
      <c r="AB159" s="23" t="s">
        <v>1395</v>
      </c>
      <c r="AC159" s="23" t="s">
        <v>2440</v>
      </c>
      <c r="AD159" s="27" t="n">
        <f aca="false">LEN(AC159)</f>
        <v>59</v>
      </c>
      <c r="AE159" s="23" t="s">
        <v>2441</v>
      </c>
      <c r="AF159" s="27" t="n">
        <f aca="false">LEN(AE159)</f>
        <v>157</v>
      </c>
    </row>
    <row r="160" customFormat="false" ht="15" hidden="false" customHeight="true" outlineLevel="0" collapsed="false">
      <c r="A160" s="23" t="s">
        <v>1399</v>
      </c>
      <c r="B160" s="23" t="s">
        <v>1432</v>
      </c>
      <c r="C160" s="23" t="n">
        <v>159</v>
      </c>
      <c r="D160" s="23" t="s">
        <v>906</v>
      </c>
      <c r="E160" s="23"/>
      <c r="F160" s="23" t="s">
        <v>1735</v>
      </c>
      <c r="G160" s="23" t="s">
        <v>719</v>
      </c>
      <c r="H160" s="23" t="s">
        <v>621</v>
      </c>
      <c r="I160" s="23" t="s">
        <v>1400</v>
      </c>
      <c r="J160" s="23"/>
      <c r="K160" s="23" t="n">
        <v>11.99</v>
      </c>
      <c r="L160" s="23" t="s">
        <v>2442</v>
      </c>
      <c r="M160" s="23" t="s">
        <v>2443</v>
      </c>
      <c r="N160" s="23" t="s">
        <v>2444</v>
      </c>
      <c r="O160" s="23" t="s">
        <v>2445</v>
      </c>
      <c r="P160" s="23"/>
      <c r="Q160" s="24" t="n">
        <f aca="false">IF(L160="","",IFERROR(INDEX('Semrush Data'!$A$1:$Z$20000,MATCH(L160,'Semrush Data'!$A$1:$A$20000,0),MATCH("Volume",'Semrush Data'!$A$1:$Z$1,0)),""))</f>
        <v>0</v>
      </c>
      <c r="R160" s="24" t="str">
        <f aca="false">IF(M160="","",IFERROR(INDEX('Semrush Data'!$A$1:$Z$20000,MATCH(M160,'Semrush Data'!$A$1:$A$20000,0),MATCH("Volume",'Semrush Data'!$A$1:$Z$1,0)),""))</f>
        <v/>
      </c>
      <c r="S160" s="24" t="str">
        <f aca="false">IF(N160="","",IFERROR(INDEX('Semrush Data'!$A$1:$Z$20000,MATCH(N160,'Semrush Data'!$A$1:$A$20000,0),MATCH("Volume",'Semrush Data'!$A$1:$Z$1,0)),""))</f>
        <v/>
      </c>
      <c r="T160" s="24" t="str">
        <f aca="false">IF(O160="","",IFERROR(INDEX('Semrush Data'!$A$1:$Z$20000,MATCH(O160,'Semrush Data'!$A$1:$A$20000,0),MATCH("Volume",'Semrush Data'!$A$1:$Z$1,0)),""))</f>
        <v/>
      </c>
      <c r="U160" s="24" t="str">
        <f aca="false">IF(P160="","",IFERROR(INDEX('Semrush Data'!$A$1:$Z$20000,MATCH(P160,'Semrush Data'!$A$1:$A$20000,0),MATCH("Volume",'Semrush Data'!$A$1:$Z$1,0)),""))</f>
        <v/>
      </c>
      <c r="V160" s="25" t="str">
        <f aca="false">IF(COUNT(Q160:U160)=0,L160,IF(MAX(Q160:U160)=0,L160,INDEX(L160:P160,MATCH(MAX(Q160:U160),Q160:U160,0))))</f>
        <v>deyga daily use healthy hair kit</v>
      </c>
      <c r="W160" s="24" t="n">
        <f aca="false">IFERROR(INDEX('Semrush Data'!$A$1:$Z$20000,MATCH(V160,'Semrush Data'!$A$1:$A$20000,0),MATCH("Volume",'Semrush Data'!$A$1:$Z$1,0)),"")</f>
        <v>0</v>
      </c>
      <c r="X160" s="24" t="n">
        <f aca="false">IFERROR(INDEX('Semrush Data'!$A$1:$Z$20000,MATCH(V160,'Semrush Data'!$A$1:$A$20000,0),MATCH("Keyword Difficulty*",'Semrush Data'!$A$1:$Z$1,0)),"")</f>
        <v>12</v>
      </c>
      <c r="Y160" s="26" t="n">
        <f aca="false">IFERROR(INDEX('Semrush Data'!$A$1:$Z$20000,MATCH(V160,'Semrush Data'!$A$1:$A$20000,0),MATCH("CPC*",'Semrush Data'!$A$1:$Z$1,0)),"")</f>
        <v>0</v>
      </c>
      <c r="Z160" s="23" t="s">
        <v>2308</v>
      </c>
      <c r="AA160" s="23"/>
      <c r="AB160" s="23" t="s">
        <v>1401</v>
      </c>
      <c r="AC160" s="23" t="s">
        <v>2446</v>
      </c>
      <c r="AD160" s="27" t="n">
        <f aca="false">LEN(AC160)</f>
        <v>59</v>
      </c>
      <c r="AE160" s="23" t="s">
        <v>2447</v>
      </c>
      <c r="AF160" s="27" t="n">
        <f aca="false">LEN(AE160)</f>
        <v>157</v>
      </c>
    </row>
    <row r="161" customFormat="false" ht="15" hidden="false" customHeight="true" outlineLevel="0" collapsed="false">
      <c r="A161" s="23" t="s">
        <v>2448</v>
      </c>
      <c r="B161" s="23" t="s">
        <v>2449</v>
      </c>
      <c r="C161" s="23" t="n">
        <v>1</v>
      </c>
      <c r="D161" s="23" t="s">
        <v>2450</v>
      </c>
      <c r="E161" s="23" t="s">
        <v>2451</v>
      </c>
      <c r="F161" s="23" t="s">
        <v>2452</v>
      </c>
      <c r="G161" s="23" t="s">
        <v>2453</v>
      </c>
      <c r="H161" s="23" t="s">
        <v>2454</v>
      </c>
      <c r="I161" s="23" t="s">
        <v>2455</v>
      </c>
      <c r="J161" s="23" t="s">
        <v>1994</v>
      </c>
      <c r="K161" s="23" t="n">
        <v>24.99</v>
      </c>
      <c r="L161" s="23" t="s">
        <v>2456</v>
      </c>
      <c r="M161" s="23" t="s">
        <v>2457</v>
      </c>
      <c r="N161" s="23" t="s">
        <v>2458</v>
      </c>
      <c r="O161" s="23" t="s">
        <v>2459</v>
      </c>
      <c r="P161" s="23" t="s">
        <v>2460</v>
      </c>
      <c r="Q161" s="24" t="n">
        <f aca="false">IF(L161="","",IFERROR(INDEX('Semrush Data'!$A$1:$Z$20000,MATCH(L161,'Semrush Data'!$A$1:$A$20000,0),MATCH("Volume",'Semrush Data'!$A$1:$Z$1,0)),""))</f>
        <v>20</v>
      </c>
      <c r="R161" s="24" t="n">
        <f aca="false">IF(M161="","",IFERROR(INDEX('Semrush Data'!$A$1:$Z$20000,MATCH(M161,'Semrush Data'!$A$1:$A$20000,0),MATCH("Volume",'Semrush Data'!$A$1:$Z$1,0)),""))</f>
        <v>0</v>
      </c>
      <c r="S161" s="24" t="str">
        <f aca="false">IF(N161="","",IFERROR(INDEX('Semrush Data'!$A$1:$Z$20000,MATCH(N161,'Semrush Data'!$A$1:$A$20000,0),MATCH("Volume",'Semrush Data'!$A$1:$Z$1,0)),""))</f>
        <v/>
      </c>
      <c r="T161" s="24" t="str">
        <f aca="false">IF(O161="","",IFERROR(INDEX('Semrush Data'!$A$1:$Z$20000,MATCH(O161,'Semrush Data'!$A$1:$A$20000,0),MATCH("Volume",'Semrush Data'!$A$1:$Z$1,0)),""))</f>
        <v/>
      </c>
      <c r="U161" s="24" t="str">
        <f aca="false">IF(P161="","",IFERROR(INDEX('Semrush Data'!$A$1:$Z$20000,MATCH(P161,'Semrush Data'!$A$1:$A$20000,0),MATCH("Volume",'Semrush Data'!$A$1:$Z$1,0)),""))</f>
        <v/>
      </c>
      <c r="V161" s="25" t="str">
        <f aca="false">IF(COUNT(Q161:U161)=0,L161,IF(MAX(Q161:U161)=0,L161,INDEX(L161:P161,MATCH(MAX(Q161:U161),Q161:U161,0))))</f>
        <v>abercrombie &amp; fitch first instinct together</v>
      </c>
      <c r="W161" s="24" t="n">
        <f aca="false">IFERROR(INDEX('Semrush Data'!$A$1:$Z$20000,MATCH(V161,'Semrush Data'!$A$1:$A$20000,0),MATCH("Volume",'Semrush Data'!$A$1:$Z$1,0)),"")</f>
        <v>20</v>
      </c>
      <c r="X161" s="24" t="n">
        <f aca="false">IFERROR(INDEX('Semrush Data'!$A$1:$Z$20000,MATCH(V161,'Semrush Data'!$A$1:$A$20000,0),MATCH("Keyword Difficulty*",'Semrush Data'!$A$1:$Z$1,0)),"")</f>
        <v>19</v>
      </c>
      <c r="Y161" s="26" t="n">
        <f aca="false">IFERROR(INDEX('Semrush Data'!$A$1:$Z$20000,MATCH(V161,'Semrush Data'!$A$1:$A$20000,0),MATCH("CPC*",'Semrush Data'!$A$1:$Z$1,0)),"")</f>
        <v>0</v>
      </c>
      <c r="Z161" s="23" t="s">
        <v>2461</v>
      </c>
      <c r="AA161" s="23" t="s">
        <v>2462</v>
      </c>
      <c r="AB161" s="23" t="s">
        <v>2463</v>
      </c>
      <c r="AC161" s="23" t="s">
        <v>2464</v>
      </c>
      <c r="AD161" s="27" t="n">
        <f aca="false">LEN(AC161)</f>
        <v>57</v>
      </c>
      <c r="AE161" s="23" t="s">
        <v>2465</v>
      </c>
      <c r="AF161" s="27" t="n">
        <f aca="false">LEN(AE161)</f>
        <v>159</v>
      </c>
    </row>
    <row r="162" customFormat="false" ht="15" hidden="false" customHeight="true" outlineLevel="0" collapsed="false">
      <c r="A162" s="23" t="s">
        <v>2466</v>
      </c>
      <c r="B162" s="23" t="s">
        <v>2449</v>
      </c>
      <c r="C162" s="23" t="n">
        <v>2</v>
      </c>
      <c r="D162" s="23" t="s">
        <v>2450</v>
      </c>
      <c r="E162" s="23" t="s">
        <v>2451</v>
      </c>
      <c r="F162" s="23" t="s">
        <v>2452</v>
      </c>
      <c r="G162" s="23" t="s">
        <v>2453</v>
      </c>
      <c r="H162" s="23" t="s">
        <v>2454</v>
      </c>
      <c r="I162" s="23" t="s">
        <v>2467</v>
      </c>
      <c r="J162" s="23" t="s">
        <v>1468</v>
      </c>
      <c r="K162" s="23" t="n">
        <v>19.99</v>
      </c>
      <c r="L162" s="23" t="s">
        <v>2468</v>
      </c>
      <c r="M162" s="23" t="s">
        <v>2469</v>
      </c>
      <c r="N162" s="23" t="s">
        <v>2470</v>
      </c>
      <c r="O162" s="23" t="s">
        <v>2471</v>
      </c>
      <c r="P162" s="23" t="s">
        <v>2472</v>
      </c>
      <c r="Q162" s="24" t="n">
        <f aca="false">IF(L162="","",IFERROR(INDEX('Semrush Data'!$A$1:$Z$20000,MATCH(L162,'Semrush Data'!$A$1:$A$20000,0),MATCH("Volume",'Semrush Data'!$A$1:$Z$1,0)),""))</f>
        <v>20</v>
      </c>
      <c r="R162" s="24" t="n">
        <f aca="false">IF(M162="","",IFERROR(INDEX('Semrush Data'!$A$1:$Z$20000,MATCH(M162,'Semrush Data'!$A$1:$A$20000,0),MATCH("Volume",'Semrush Data'!$A$1:$Z$1,0)),""))</f>
        <v>0</v>
      </c>
      <c r="S162" s="24" t="str">
        <f aca="false">IF(N162="","",IFERROR(INDEX('Semrush Data'!$A$1:$Z$20000,MATCH(N162,'Semrush Data'!$A$1:$A$20000,0),MATCH("Volume",'Semrush Data'!$A$1:$Z$1,0)),""))</f>
        <v/>
      </c>
      <c r="T162" s="24" t="str">
        <f aca="false">IF(O162="","",IFERROR(INDEX('Semrush Data'!$A$1:$Z$20000,MATCH(O162,'Semrush Data'!$A$1:$A$20000,0),MATCH("Volume",'Semrush Data'!$A$1:$Z$1,0)),""))</f>
        <v/>
      </c>
      <c r="U162" s="24" t="str">
        <f aca="false">IF(P162="","",IFERROR(INDEX('Semrush Data'!$A$1:$Z$20000,MATCH(P162,'Semrush Data'!$A$1:$A$20000,0),MATCH("Volume",'Semrush Data'!$A$1:$Z$1,0)),""))</f>
        <v/>
      </c>
      <c r="V162" s="25" t="str">
        <f aca="false">IF(COUNT(Q162:U162)=0,L162,IF(MAX(Q162:U162)=0,L162,INDEX(L162:P162,MATCH(MAX(Q162:U162),Q162:U162,0))))</f>
        <v>abercrombie &amp; fitch naturally fierce</v>
      </c>
      <c r="W162" s="24" t="n">
        <f aca="false">IFERROR(INDEX('Semrush Data'!$A$1:$Z$20000,MATCH(V162,'Semrush Data'!$A$1:$A$20000,0),MATCH("Volume",'Semrush Data'!$A$1:$Z$1,0)),"")</f>
        <v>20</v>
      </c>
      <c r="X162" s="24" t="n">
        <f aca="false">IFERROR(INDEX('Semrush Data'!$A$1:$Z$20000,MATCH(V162,'Semrush Data'!$A$1:$A$20000,0),MATCH("Keyword Difficulty*",'Semrush Data'!$A$1:$Z$1,0)),"")</f>
        <v>16</v>
      </c>
      <c r="Y162" s="26" t="n">
        <f aca="false">IFERROR(INDEX('Semrush Data'!$A$1:$Z$20000,MATCH(V162,'Semrush Data'!$A$1:$A$20000,0),MATCH("CPC*",'Semrush Data'!$A$1:$Z$1,0)),"")</f>
        <v>0</v>
      </c>
      <c r="Z162" s="23" t="s">
        <v>2461</v>
      </c>
      <c r="AA162" s="23" t="s">
        <v>2473</v>
      </c>
      <c r="AB162" s="23" t="s">
        <v>2474</v>
      </c>
      <c r="AC162" s="23" t="s">
        <v>2475</v>
      </c>
      <c r="AD162" s="27" t="n">
        <f aca="false">LEN(AC162)</f>
        <v>59</v>
      </c>
      <c r="AE162" s="23" t="s">
        <v>2476</v>
      </c>
      <c r="AF162" s="27" t="n">
        <f aca="false">LEN(AE162)</f>
        <v>159</v>
      </c>
    </row>
    <row r="163" customFormat="false" ht="15" hidden="false" customHeight="true" outlineLevel="0" collapsed="false">
      <c r="A163" s="23" t="s">
        <v>2477</v>
      </c>
      <c r="B163" s="23" t="s">
        <v>2449</v>
      </c>
      <c r="C163" s="23" t="n">
        <v>3</v>
      </c>
      <c r="D163" s="23" t="s">
        <v>2478</v>
      </c>
      <c r="E163" s="23"/>
      <c r="F163" s="23" t="s">
        <v>2452</v>
      </c>
      <c r="G163" s="23" t="s">
        <v>2479</v>
      </c>
      <c r="H163" s="23" t="s">
        <v>2480</v>
      </c>
      <c r="I163" s="23" t="s">
        <v>2481</v>
      </c>
      <c r="J163" s="23" t="s">
        <v>1979</v>
      </c>
      <c r="K163" s="23" t="n">
        <v>32.99</v>
      </c>
      <c r="L163" s="23" t="s">
        <v>2482</v>
      </c>
      <c r="M163" s="23" t="s">
        <v>2483</v>
      </c>
      <c r="N163" s="23" t="s">
        <v>2484</v>
      </c>
      <c r="O163" s="23" t="s">
        <v>2485</v>
      </c>
      <c r="P163" s="23" t="s">
        <v>2486</v>
      </c>
      <c r="Q163" s="24" t="n">
        <f aca="false">IF(L163="","",IFERROR(INDEX('Semrush Data'!$A$1:$Z$20000,MATCH(L163,'Semrush Data'!$A$1:$A$20000,0),MATCH("Volume",'Semrush Data'!$A$1:$Z$1,0)),""))</f>
        <v>260</v>
      </c>
      <c r="R163" s="24" t="n">
        <f aca="false">IF(M163="","",IFERROR(INDEX('Semrush Data'!$A$1:$Z$20000,MATCH(M163,'Semrush Data'!$A$1:$A$20000,0),MATCH("Volume",'Semrush Data'!$A$1:$Z$1,0)),""))</f>
        <v>10</v>
      </c>
      <c r="S163" s="24" t="str">
        <f aca="false">IF(N163="","",IFERROR(INDEX('Semrush Data'!$A$1:$Z$20000,MATCH(N163,'Semrush Data'!$A$1:$A$20000,0),MATCH("Volume",'Semrush Data'!$A$1:$Z$1,0)),""))</f>
        <v/>
      </c>
      <c r="T163" s="24" t="str">
        <f aca="false">IF(O163="","",IFERROR(INDEX('Semrush Data'!$A$1:$Z$20000,MATCH(O163,'Semrush Data'!$A$1:$A$20000,0),MATCH("Volume",'Semrush Data'!$A$1:$Z$1,0)),""))</f>
        <v/>
      </c>
      <c r="U163" s="24" t="n">
        <f aca="false">IF(P163="","",IFERROR(INDEX('Semrush Data'!$A$1:$Z$20000,MATCH(P163,'Semrush Data'!$A$1:$A$20000,0),MATCH("Volume",'Semrush Data'!$A$1:$Z$1,0)),""))</f>
        <v>30</v>
      </c>
      <c r="V163" s="25" t="str">
        <f aca="false">IF(COUNT(Q163:U163)=0,L163,IF(MAX(Q163:U163)=0,L163,INDEX(L163:P163,MATCH(MAX(Q163:U163),Q163:U163,0))))</f>
        <v>acqua di parma colonia pura</v>
      </c>
      <c r="W163" s="24" t="n">
        <f aca="false">IFERROR(INDEX('Semrush Data'!$A$1:$Z$20000,MATCH(V163,'Semrush Data'!$A$1:$A$20000,0),MATCH("Volume",'Semrush Data'!$A$1:$Z$1,0)),"")</f>
        <v>260</v>
      </c>
      <c r="X163" s="24" t="n">
        <f aca="false">IFERROR(INDEX('Semrush Data'!$A$1:$Z$20000,MATCH(V163,'Semrush Data'!$A$1:$A$20000,0),MATCH("Keyword Difficulty*",'Semrush Data'!$A$1:$Z$1,0)),"")</f>
        <v>12</v>
      </c>
      <c r="Y163" s="26" t="n">
        <f aca="false">IFERROR(INDEX('Semrush Data'!$A$1:$Z$20000,MATCH(V163,'Semrush Data'!$A$1:$A$20000,0),MATCH("CPC*",'Semrush Data'!$A$1:$Z$1,0)),"")</f>
        <v>0.48</v>
      </c>
      <c r="Z163" s="23" t="s">
        <v>2487</v>
      </c>
      <c r="AA163" s="23" t="s">
        <v>2488</v>
      </c>
      <c r="AB163" s="23" t="s">
        <v>2489</v>
      </c>
      <c r="AC163" s="23" t="s">
        <v>2490</v>
      </c>
      <c r="AD163" s="27" t="n">
        <f aca="false">LEN(AC163)</f>
        <v>53</v>
      </c>
      <c r="AE163" s="23" t="s">
        <v>2491</v>
      </c>
      <c r="AF163" s="27" t="n">
        <f aca="false">LEN(AE163)</f>
        <v>159</v>
      </c>
    </row>
    <row r="164" customFormat="false" ht="15" hidden="false" customHeight="true" outlineLevel="0" collapsed="false">
      <c r="A164" s="23" t="s">
        <v>2492</v>
      </c>
      <c r="B164" s="23" t="s">
        <v>2449</v>
      </c>
      <c r="C164" s="23" t="n">
        <v>4</v>
      </c>
      <c r="D164" s="23" t="s">
        <v>2478</v>
      </c>
      <c r="E164" s="23"/>
      <c r="F164" s="23" t="s">
        <v>2452</v>
      </c>
      <c r="G164" s="23" t="s">
        <v>406</v>
      </c>
      <c r="H164" s="23" t="s">
        <v>2480</v>
      </c>
      <c r="I164" s="23" t="s">
        <v>2493</v>
      </c>
      <c r="J164" s="23" t="s">
        <v>2494</v>
      </c>
      <c r="K164" s="23" t="n">
        <v>32.99</v>
      </c>
      <c r="L164" s="23" t="s">
        <v>2495</v>
      </c>
      <c r="M164" s="23" t="s">
        <v>2496</v>
      </c>
      <c r="N164" s="23" t="s">
        <v>2497</v>
      </c>
      <c r="O164" s="23" t="s">
        <v>2498</v>
      </c>
      <c r="P164" s="23"/>
      <c r="Q164" s="24" t="n">
        <f aca="false">IF(L164="","",IFERROR(INDEX('Semrush Data'!$A$1:$Z$20000,MATCH(L164,'Semrush Data'!$A$1:$A$20000,0),MATCH("Volume",'Semrush Data'!$A$1:$Z$1,0)),""))</f>
        <v>20</v>
      </c>
      <c r="R164" s="24" t="n">
        <f aca="false">IF(M164="","",IFERROR(INDEX('Semrush Data'!$A$1:$Z$20000,MATCH(M164,'Semrush Data'!$A$1:$A$20000,0),MATCH("Volume",'Semrush Data'!$A$1:$Z$1,0)),""))</f>
        <v>0</v>
      </c>
      <c r="S164" s="24" t="str">
        <f aca="false">IF(N164="","",IFERROR(INDEX('Semrush Data'!$A$1:$Z$20000,MATCH(N164,'Semrush Data'!$A$1:$A$20000,0),MATCH("Volume",'Semrush Data'!$A$1:$Z$1,0)),""))</f>
        <v/>
      </c>
      <c r="T164" s="24" t="str">
        <f aca="false">IF(O164="","",IFERROR(INDEX('Semrush Data'!$A$1:$Z$20000,MATCH(O164,'Semrush Data'!$A$1:$A$20000,0),MATCH("Volume",'Semrush Data'!$A$1:$Z$1,0)),""))</f>
        <v/>
      </c>
      <c r="U164" s="24" t="str">
        <f aca="false">IF(P164="","",IFERROR(INDEX('Semrush Data'!$A$1:$Z$20000,MATCH(P164,'Semrush Data'!$A$1:$A$20000,0),MATCH("Volume",'Semrush Data'!$A$1:$Z$1,0)),""))</f>
        <v/>
      </c>
      <c r="V164" s="25" t="str">
        <f aca="false">IF(COUNT(Q164:U164)=0,L164,IF(MAX(Q164:U164)=0,L164,INDEX(L164:P164,MATCH(MAX(Q164:U164),Q164:U164,0))))</f>
        <v>acqua di parma colonia essenza deodorant stick</v>
      </c>
      <c r="W164" s="24" t="n">
        <f aca="false">IFERROR(INDEX('Semrush Data'!$A$1:$Z$20000,MATCH(V164,'Semrush Data'!$A$1:$A$20000,0),MATCH("Volume",'Semrush Data'!$A$1:$Z$1,0)),"")</f>
        <v>20</v>
      </c>
      <c r="X164" s="24" t="n">
        <f aca="false">IFERROR(INDEX('Semrush Data'!$A$1:$Z$20000,MATCH(V164,'Semrush Data'!$A$1:$A$20000,0),MATCH("Keyword Difficulty*",'Semrush Data'!$A$1:$Z$1,0)),"")</f>
        <v>15</v>
      </c>
      <c r="Y164" s="26" t="n">
        <f aca="false">IFERROR(INDEX('Semrush Data'!$A$1:$Z$20000,MATCH(V164,'Semrush Data'!$A$1:$A$20000,0),MATCH("CPC*",'Semrush Data'!$A$1:$Z$1,0)),"")</f>
        <v>0</v>
      </c>
      <c r="Z164" s="23" t="s">
        <v>2487</v>
      </c>
      <c r="AA164" s="23" t="s">
        <v>2499</v>
      </c>
      <c r="AB164" s="23" t="s">
        <v>2500</v>
      </c>
      <c r="AC164" s="23" t="s">
        <v>2501</v>
      </c>
      <c r="AD164" s="27" t="n">
        <f aca="false">LEN(AC164)</f>
        <v>60</v>
      </c>
      <c r="AE164" s="23" t="s">
        <v>2502</v>
      </c>
      <c r="AF164" s="27" t="n">
        <f aca="false">LEN(AE164)</f>
        <v>156</v>
      </c>
    </row>
    <row r="165" customFormat="false" ht="15" hidden="false" customHeight="true" outlineLevel="0" collapsed="false">
      <c r="A165" s="23" t="s">
        <v>2503</v>
      </c>
      <c r="B165" s="23" t="s">
        <v>2449</v>
      </c>
      <c r="C165" s="23" t="n">
        <v>5</v>
      </c>
      <c r="D165" s="23" t="s">
        <v>2478</v>
      </c>
      <c r="E165" s="23"/>
      <c r="F165" s="23" t="s">
        <v>2452</v>
      </c>
      <c r="G165" s="23" t="s">
        <v>2453</v>
      </c>
      <c r="H165" s="23" t="s">
        <v>2504</v>
      </c>
      <c r="I165" s="23" t="s">
        <v>2505</v>
      </c>
      <c r="J165" s="23" t="s">
        <v>1979</v>
      </c>
      <c r="K165" s="23" t="n">
        <v>40.99</v>
      </c>
      <c r="L165" s="23" t="s">
        <v>2506</v>
      </c>
      <c r="M165" s="23" t="s">
        <v>2507</v>
      </c>
      <c r="N165" s="23" t="s">
        <v>2508</v>
      </c>
      <c r="O165" s="23" t="s">
        <v>2509</v>
      </c>
      <c r="P165" s="23" t="s">
        <v>2510</v>
      </c>
      <c r="Q165" s="24" t="n">
        <f aca="false">IF(L165="","",IFERROR(INDEX('Semrush Data'!$A$1:$Z$20000,MATCH(L165,'Semrush Data'!$A$1:$A$20000,0),MATCH("Volume",'Semrush Data'!$A$1:$Z$1,0)),""))</f>
        <v>70</v>
      </c>
      <c r="R165" s="24" t="n">
        <f aca="false">IF(M165="","",IFERROR(INDEX('Semrush Data'!$A$1:$Z$20000,MATCH(M165,'Semrush Data'!$A$1:$A$20000,0),MATCH("Volume",'Semrush Data'!$A$1:$Z$1,0)),""))</f>
        <v>0</v>
      </c>
      <c r="S165" s="24" t="str">
        <f aca="false">IF(N165="","",IFERROR(INDEX('Semrush Data'!$A$1:$Z$20000,MATCH(N165,'Semrush Data'!$A$1:$A$20000,0),MATCH("Volume",'Semrush Data'!$A$1:$Z$1,0)),""))</f>
        <v/>
      </c>
      <c r="T165" s="24" t="str">
        <f aca="false">IF(O165="","",IFERROR(INDEX('Semrush Data'!$A$1:$Z$20000,MATCH(O165,'Semrush Data'!$A$1:$A$20000,0),MATCH("Volume",'Semrush Data'!$A$1:$Z$1,0)),""))</f>
        <v/>
      </c>
      <c r="U165" s="24" t="n">
        <f aca="false">IF(P165="","",IFERROR(INDEX('Semrush Data'!$A$1:$Z$20000,MATCH(P165,'Semrush Data'!$A$1:$A$20000,0),MATCH("Volume",'Semrush Data'!$A$1:$Z$1,0)),""))</f>
        <v>0</v>
      </c>
      <c r="V165" s="25" t="str">
        <f aca="false">IF(COUNT(Q165:U165)=0,L165,IF(MAX(Q165:U165)=0,L165,INDEX(L165:P165,MATCH(MAX(Q165:U165),Q165:U165,0))))</f>
        <v>acqua di parma oud &amp; spice</v>
      </c>
      <c r="W165" s="24" t="n">
        <f aca="false">IFERROR(INDEX('Semrush Data'!$A$1:$Z$20000,MATCH(V165,'Semrush Data'!$A$1:$A$20000,0),MATCH("Volume",'Semrush Data'!$A$1:$Z$1,0)),"")</f>
        <v>70</v>
      </c>
      <c r="X165" s="24" t="n">
        <f aca="false">IFERROR(INDEX('Semrush Data'!$A$1:$Z$20000,MATCH(V165,'Semrush Data'!$A$1:$A$20000,0),MATCH("Keyword Difficulty*",'Semrush Data'!$A$1:$Z$1,0)),"")</f>
        <v>13</v>
      </c>
      <c r="Y165" s="26" t="n">
        <f aca="false">IFERROR(INDEX('Semrush Data'!$A$1:$Z$20000,MATCH(V165,'Semrush Data'!$A$1:$A$20000,0),MATCH("CPC*",'Semrush Data'!$A$1:$Z$1,0)),"")</f>
        <v>0.5</v>
      </c>
      <c r="Z165" s="23" t="s">
        <v>2511</v>
      </c>
      <c r="AA165" s="23" t="s">
        <v>2512</v>
      </c>
      <c r="AB165" s="23" t="s">
        <v>2513</v>
      </c>
      <c r="AC165" s="23" t="s">
        <v>2514</v>
      </c>
      <c r="AD165" s="27" t="n">
        <f aca="false">LEN(AC165)</f>
        <v>52</v>
      </c>
      <c r="AE165" s="23" t="s">
        <v>2515</v>
      </c>
      <c r="AF165" s="27" t="n">
        <f aca="false">LEN(AE165)</f>
        <v>155</v>
      </c>
    </row>
    <row r="166" customFormat="false" ht="15" hidden="false" customHeight="true" outlineLevel="0" collapsed="false">
      <c r="A166" s="23" t="s">
        <v>141</v>
      </c>
      <c r="B166" s="23" t="s">
        <v>2449</v>
      </c>
      <c r="C166" s="23" t="n">
        <v>6</v>
      </c>
      <c r="D166" s="23" t="s">
        <v>2478</v>
      </c>
      <c r="E166" s="23"/>
      <c r="F166" s="23" t="s">
        <v>2452</v>
      </c>
      <c r="G166" s="23" t="s">
        <v>2453</v>
      </c>
      <c r="H166" s="23" t="s">
        <v>2516</v>
      </c>
      <c r="I166" s="23" t="s">
        <v>142</v>
      </c>
      <c r="J166" s="23" t="s">
        <v>1979</v>
      </c>
      <c r="K166" s="23" t="n">
        <v>40.99</v>
      </c>
      <c r="L166" s="23" t="s">
        <v>2517</v>
      </c>
      <c r="M166" s="23" t="s">
        <v>2518</v>
      </c>
      <c r="N166" s="23" t="s">
        <v>2519</v>
      </c>
      <c r="O166" s="23" t="s">
        <v>2520</v>
      </c>
      <c r="P166" s="23" t="s">
        <v>2521</v>
      </c>
      <c r="Q166" s="24" t="n">
        <f aca="false">IF(L166="","",IFERROR(INDEX('Semrush Data'!$A$1:$Z$20000,MATCH(L166,'Semrush Data'!$A$1:$A$20000,0),MATCH("Volume",'Semrush Data'!$A$1:$Z$1,0)),""))</f>
        <v>320</v>
      </c>
      <c r="R166" s="24" t="n">
        <f aca="false">IF(M166="","",IFERROR(INDEX('Semrush Data'!$A$1:$Z$20000,MATCH(M166,'Semrush Data'!$A$1:$A$20000,0),MATCH("Volume",'Semrush Data'!$A$1:$Z$1,0)),""))</f>
        <v>20</v>
      </c>
      <c r="S166" s="24" t="str">
        <f aca="false">IF(N166="","",IFERROR(INDEX('Semrush Data'!$A$1:$Z$20000,MATCH(N166,'Semrush Data'!$A$1:$A$20000,0),MATCH("Volume",'Semrush Data'!$A$1:$Z$1,0)),""))</f>
        <v/>
      </c>
      <c r="T166" s="24" t="str">
        <f aca="false">IF(O166="","",IFERROR(INDEX('Semrush Data'!$A$1:$Z$20000,MATCH(O166,'Semrush Data'!$A$1:$A$20000,0),MATCH("Volume",'Semrush Data'!$A$1:$Z$1,0)),""))</f>
        <v/>
      </c>
      <c r="U166" s="24" t="n">
        <f aca="false">IF(P166="","",IFERROR(INDEX('Semrush Data'!$A$1:$Z$20000,MATCH(P166,'Semrush Data'!$A$1:$A$20000,0),MATCH("Volume",'Semrush Data'!$A$1:$Z$1,0)),""))</f>
        <v>20</v>
      </c>
      <c r="V166" s="25" t="str">
        <f aca="false">IF(COUNT(Q166:U166)=0,L166,IF(MAX(Q166:U166)=0,L166,INDEX(L166:P166,MATCH(MAX(Q166:U166),Q166:U166,0))))</f>
        <v>acqua di parma rosa nobile</v>
      </c>
      <c r="W166" s="24" t="n">
        <f aca="false">IFERROR(INDEX('Semrush Data'!$A$1:$Z$20000,MATCH(V166,'Semrush Data'!$A$1:$A$20000,0),MATCH("Volume",'Semrush Data'!$A$1:$Z$1,0)),"")</f>
        <v>320</v>
      </c>
      <c r="X166" s="24" t="n">
        <f aca="false">IFERROR(INDEX('Semrush Data'!$A$1:$Z$20000,MATCH(V166,'Semrush Data'!$A$1:$A$20000,0),MATCH("Keyword Difficulty*",'Semrush Data'!$A$1:$Z$1,0)),"")</f>
        <v>11</v>
      </c>
      <c r="Y166" s="26" t="n">
        <f aca="false">IFERROR(INDEX('Semrush Data'!$A$1:$Z$20000,MATCH(V166,'Semrush Data'!$A$1:$A$20000,0),MATCH("CPC*",'Semrush Data'!$A$1:$Z$1,0)),"")</f>
        <v>0.45</v>
      </c>
      <c r="Z166" s="23" t="s">
        <v>2522</v>
      </c>
      <c r="AA166" s="23" t="s">
        <v>2523</v>
      </c>
      <c r="AB166" s="23" t="s">
        <v>2524</v>
      </c>
      <c r="AC166" s="23" t="s">
        <v>2525</v>
      </c>
      <c r="AD166" s="27" t="n">
        <f aca="false">LEN(AC166)</f>
        <v>54</v>
      </c>
      <c r="AE166" s="23" t="s">
        <v>2526</v>
      </c>
      <c r="AF166" s="27" t="n">
        <f aca="false">LEN(AE166)</f>
        <v>160</v>
      </c>
    </row>
    <row r="167" customFormat="false" ht="15" hidden="false" customHeight="true" outlineLevel="0" collapsed="false">
      <c r="A167" s="23" t="s">
        <v>135</v>
      </c>
      <c r="B167" s="23" t="s">
        <v>2449</v>
      </c>
      <c r="C167" s="23" t="n">
        <v>7</v>
      </c>
      <c r="D167" s="23" t="s">
        <v>2478</v>
      </c>
      <c r="E167" s="23"/>
      <c r="F167" s="23" t="s">
        <v>2452</v>
      </c>
      <c r="G167" s="23" t="s">
        <v>2453</v>
      </c>
      <c r="H167" s="23" t="s">
        <v>2527</v>
      </c>
      <c r="I167" s="23" t="s">
        <v>136</v>
      </c>
      <c r="J167" s="23" t="s">
        <v>1979</v>
      </c>
      <c r="K167" s="23" t="n">
        <v>40.99</v>
      </c>
      <c r="L167" s="23" t="s">
        <v>2528</v>
      </c>
      <c r="M167" s="23" t="s">
        <v>2529</v>
      </c>
      <c r="N167" s="23" t="s">
        <v>2530</v>
      </c>
      <c r="O167" s="23" t="s">
        <v>2531</v>
      </c>
      <c r="P167" s="23" t="s">
        <v>2532</v>
      </c>
      <c r="Q167" s="24" t="n">
        <f aca="false">IF(L167="","",IFERROR(INDEX('Semrush Data'!$A$1:$Z$20000,MATCH(L167,'Semrush Data'!$A$1:$A$20000,0),MATCH("Volume",'Semrush Data'!$A$1:$Z$1,0)),""))</f>
        <v>390</v>
      </c>
      <c r="R167" s="24" t="n">
        <f aca="false">IF(M167="","",IFERROR(INDEX('Semrush Data'!$A$1:$Z$20000,MATCH(M167,'Semrush Data'!$A$1:$A$20000,0),MATCH("Volume",'Semrush Data'!$A$1:$Z$1,0)),""))</f>
        <v>0</v>
      </c>
      <c r="S167" s="24" t="str">
        <f aca="false">IF(N167="","",IFERROR(INDEX('Semrush Data'!$A$1:$Z$20000,MATCH(N167,'Semrush Data'!$A$1:$A$20000,0),MATCH("Volume",'Semrush Data'!$A$1:$Z$1,0)),""))</f>
        <v/>
      </c>
      <c r="T167" s="24" t="str">
        <f aca="false">IF(O167="","",IFERROR(INDEX('Semrush Data'!$A$1:$Z$20000,MATCH(O167,'Semrush Data'!$A$1:$A$20000,0),MATCH("Volume",'Semrush Data'!$A$1:$Z$1,0)),""))</f>
        <v/>
      </c>
      <c r="U167" s="24" t="n">
        <f aca="false">IF(P167="","",IFERROR(INDEX('Semrush Data'!$A$1:$Z$20000,MATCH(P167,'Semrush Data'!$A$1:$A$20000,0),MATCH("Volume",'Semrush Data'!$A$1:$Z$1,0)),""))</f>
        <v>20</v>
      </c>
      <c r="V167" s="25" t="str">
        <f aca="false">IF(COUNT(Q167:U167)=0,L167,IF(MAX(Q167:U167)=0,L167,INDEX(L167:P167,MATCH(MAX(Q167:U167),Q167:U167,0))))</f>
        <v>acqua di parma sakura</v>
      </c>
      <c r="W167" s="24" t="n">
        <f aca="false">IFERROR(INDEX('Semrush Data'!$A$1:$Z$20000,MATCH(V167,'Semrush Data'!$A$1:$A$20000,0),MATCH("Volume",'Semrush Data'!$A$1:$Z$1,0)),"")</f>
        <v>390</v>
      </c>
      <c r="X167" s="24" t="n">
        <f aca="false">IFERROR(INDEX('Semrush Data'!$A$1:$Z$20000,MATCH(V167,'Semrush Data'!$A$1:$A$20000,0),MATCH("Keyword Difficulty*",'Semrush Data'!$A$1:$Z$1,0)),"")</f>
        <v>17</v>
      </c>
      <c r="Y167" s="26" t="n">
        <f aca="false">IFERROR(INDEX('Semrush Data'!$A$1:$Z$20000,MATCH(V167,'Semrush Data'!$A$1:$A$20000,0),MATCH("CPC*",'Semrush Data'!$A$1:$Z$1,0)),"")</f>
        <v>0.36</v>
      </c>
      <c r="Z167" s="23" t="s">
        <v>2533</v>
      </c>
      <c r="AA167" s="23" t="s">
        <v>2534</v>
      </c>
      <c r="AB167" s="23" t="s">
        <v>2535</v>
      </c>
      <c r="AC167" s="23" t="s">
        <v>2536</v>
      </c>
      <c r="AD167" s="27" t="n">
        <f aca="false">LEN(AC167)</f>
        <v>54</v>
      </c>
      <c r="AE167" s="23" t="s">
        <v>2537</v>
      </c>
      <c r="AF167" s="27" t="n">
        <f aca="false">LEN(AE167)</f>
        <v>160</v>
      </c>
    </row>
    <row r="168" customFormat="false" ht="15" hidden="false" customHeight="true" outlineLevel="0" collapsed="false">
      <c r="A168" s="23" t="s">
        <v>117</v>
      </c>
      <c r="B168" s="23" t="s">
        <v>2449</v>
      </c>
      <c r="C168" s="23" t="n">
        <v>8</v>
      </c>
      <c r="D168" s="23" t="s">
        <v>2478</v>
      </c>
      <c r="E168" s="23"/>
      <c r="F168" s="23" t="s">
        <v>2452</v>
      </c>
      <c r="G168" s="23" t="s">
        <v>2453</v>
      </c>
      <c r="H168" s="23" t="s">
        <v>2538</v>
      </c>
      <c r="I168" s="23" t="s">
        <v>118</v>
      </c>
      <c r="J168" s="23" t="s">
        <v>1979</v>
      </c>
      <c r="K168" s="23" t="n">
        <v>40.99</v>
      </c>
      <c r="L168" s="23" t="s">
        <v>2539</v>
      </c>
      <c r="M168" s="23" t="s">
        <v>2540</v>
      </c>
      <c r="N168" s="23" t="s">
        <v>2541</v>
      </c>
      <c r="O168" s="23" t="s">
        <v>2542</v>
      </c>
      <c r="P168" s="23" t="s">
        <v>2543</v>
      </c>
      <c r="Q168" s="24" t="n">
        <f aca="false">IF(L168="","",IFERROR(INDEX('Semrush Data'!$A$1:$Z$20000,MATCH(L168,'Semrush Data'!$A$1:$A$20000,0),MATCH("Volume",'Semrush Data'!$A$1:$Z$1,0)),""))</f>
        <v>480</v>
      </c>
      <c r="R168" s="24" t="n">
        <f aca="false">IF(M168="","",IFERROR(INDEX('Semrush Data'!$A$1:$Z$20000,MATCH(M168,'Semrush Data'!$A$1:$A$20000,0),MATCH("Volume",'Semrush Data'!$A$1:$Z$1,0)),""))</f>
        <v>20</v>
      </c>
      <c r="S168" s="24" t="str">
        <f aca="false">IF(N168="","",IFERROR(INDEX('Semrush Data'!$A$1:$Z$20000,MATCH(N168,'Semrush Data'!$A$1:$A$20000,0),MATCH("Volume",'Semrush Data'!$A$1:$Z$1,0)),""))</f>
        <v/>
      </c>
      <c r="T168" s="24" t="str">
        <f aca="false">IF(O168="","",IFERROR(INDEX('Semrush Data'!$A$1:$Z$20000,MATCH(O168,'Semrush Data'!$A$1:$A$20000,0),MATCH("Volume",'Semrush Data'!$A$1:$Z$1,0)),""))</f>
        <v/>
      </c>
      <c r="U168" s="24" t="n">
        <f aca="false">IF(P168="","",IFERROR(INDEX('Semrush Data'!$A$1:$Z$20000,MATCH(P168,'Semrush Data'!$A$1:$A$20000,0),MATCH("Volume",'Semrush Data'!$A$1:$Z$1,0)),""))</f>
        <v>20</v>
      </c>
      <c r="V168" s="25" t="str">
        <f aca="false">IF(COUNT(Q168:U168)=0,L168,IF(MAX(Q168:U168)=0,L168,INDEX(L168:P168,MATCH(MAX(Q168:U168),Q168:U168,0))))</f>
        <v>acqua di parma sandalo</v>
      </c>
      <c r="W168" s="24" t="n">
        <f aca="false">IFERROR(INDEX('Semrush Data'!$A$1:$Z$20000,MATCH(V168,'Semrush Data'!$A$1:$A$20000,0),MATCH("Volume",'Semrush Data'!$A$1:$Z$1,0)),"")</f>
        <v>480</v>
      </c>
      <c r="X168" s="24" t="n">
        <f aca="false">IFERROR(INDEX('Semrush Data'!$A$1:$Z$20000,MATCH(V168,'Semrush Data'!$A$1:$A$20000,0),MATCH("Keyword Difficulty*",'Semrush Data'!$A$1:$Z$1,0)),"")</f>
        <v>13</v>
      </c>
      <c r="Y168" s="26" t="n">
        <f aca="false">IFERROR(INDEX('Semrush Data'!$A$1:$Z$20000,MATCH(V168,'Semrush Data'!$A$1:$A$20000,0),MATCH("CPC*",'Semrush Data'!$A$1:$Z$1,0)),"")</f>
        <v>0.55</v>
      </c>
      <c r="Z168" s="23" t="s">
        <v>2544</v>
      </c>
      <c r="AA168" s="23" t="s">
        <v>2545</v>
      </c>
      <c r="AB168" s="23" t="s">
        <v>2546</v>
      </c>
      <c r="AC168" s="23" t="s">
        <v>2547</v>
      </c>
      <c r="AD168" s="27" t="n">
        <f aca="false">LEN(AC168)</f>
        <v>60</v>
      </c>
      <c r="AE168" s="23" t="s">
        <v>2548</v>
      </c>
      <c r="AF168" s="27" t="n">
        <f aca="false">LEN(AE168)</f>
        <v>153</v>
      </c>
    </row>
    <row r="169" customFormat="false" ht="15" hidden="false" customHeight="true" outlineLevel="0" collapsed="false">
      <c r="A169" s="23" t="s">
        <v>2549</v>
      </c>
      <c r="B169" s="23" t="s">
        <v>2449</v>
      </c>
      <c r="C169" s="23" t="n">
        <v>9</v>
      </c>
      <c r="D169" s="23" t="s">
        <v>2478</v>
      </c>
      <c r="E169" s="23"/>
      <c r="F169" s="23" t="s">
        <v>1735</v>
      </c>
      <c r="G169" s="23" t="s">
        <v>2550</v>
      </c>
      <c r="H169" s="23" t="s">
        <v>2538</v>
      </c>
      <c r="I169" s="23" t="s">
        <v>2551</v>
      </c>
      <c r="J169" s="23" t="s">
        <v>2552</v>
      </c>
      <c r="K169" s="23" t="n">
        <v>44.99</v>
      </c>
      <c r="L169" s="23" t="s">
        <v>2553</v>
      </c>
      <c r="M169" s="23" t="s">
        <v>2554</v>
      </c>
      <c r="N169" s="23" t="s">
        <v>2555</v>
      </c>
      <c r="O169" s="23" t="s">
        <v>2556</v>
      </c>
      <c r="P169" s="23"/>
      <c r="Q169" s="24" t="n">
        <f aca="false">IF(L169="","",IFERROR(INDEX('Semrush Data'!$A$1:$Z$20000,MATCH(L169,'Semrush Data'!$A$1:$A$20000,0),MATCH("Volume",'Semrush Data'!$A$1:$Z$1,0)),""))</f>
        <v>20</v>
      </c>
      <c r="R169" s="24" t="n">
        <f aca="false">IF(M169="","",IFERROR(INDEX('Semrush Data'!$A$1:$Z$20000,MATCH(M169,'Semrush Data'!$A$1:$A$20000,0),MATCH("Volume",'Semrush Data'!$A$1:$Z$1,0)),""))</f>
        <v>0</v>
      </c>
      <c r="S169" s="24" t="str">
        <f aca="false">IF(N169="","",IFERROR(INDEX('Semrush Data'!$A$1:$Z$20000,MATCH(N169,'Semrush Data'!$A$1:$A$20000,0),MATCH("Volume",'Semrush Data'!$A$1:$Z$1,0)),""))</f>
        <v/>
      </c>
      <c r="T169" s="24" t="str">
        <f aca="false">IF(O169="","",IFERROR(INDEX('Semrush Data'!$A$1:$Z$20000,MATCH(O169,'Semrush Data'!$A$1:$A$20000,0),MATCH("Volume",'Semrush Data'!$A$1:$Z$1,0)),""))</f>
        <v/>
      </c>
      <c r="U169" s="24" t="str">
        <f aca="false">IF(P169="","",IFERROR(INDEX('Semrush Data'!$A$1:$Z$20000,MATCH(P169,'Semrush Data'!$A$1:$A$20000,0),MATCH("Volume",'Semrush Data'!$A$1:$Z$1,0)),""))</f>
        <v/>
      </c>
      <c r="V169" s="25" t="str">
        <f aca="false">IF(COUNT(Q169:U169)=0,L169,IF(MAX(Q169:U169)=0,L169,INDEX(L169:P169,MATCH(MAX(Q169:U169),Q169:U169,0))))</f>
        <v>acqua di parma blu mediterraneo discovery set</v>
      </c>
      <c r="W169" s="24" t="n">
        <f aca="false">IFERROR(INDEX('Semrush Data'!$A$1:$Z$20000,MATCH(V169,'Semrush Data'!$A$1:$A$20000,0),MATCH("Volume",'Semrush Data'!$A$1:$Z$1,0)),"")</f>
        <v>20</v>
      </c>
      <c r="X169" s="24" t="n">
        <f aca="false">IFERROR(INDEX('Semrush Data'!$A$1:$Z$20000,MATCH(V169,'Semrush Data'!$A$1:$A$20000,0),MATCH("Keyword Difficulty*",'Semrush Data'!$A$1:$Z$1,0)),"")</f>
        <v>12</v>
      </c>
      <c r="Y169" s="26" t="n">
        <f aca="false">IFERROR(INDEX('Semrush Data'!$A$1:$Z$20000,MATCH(V169,'Semrush Data'!$A$1:$A$20000,0),MATCH("CPC*",'Semrush Data'!$A$1:$Z$1,0)),"")</f>
        <v>0</v>
      </c>
      <c r="Z169" s="23" t="s">
        <v>2544</v>
      </c>
      <c r="AA169" s="23" t="s">
        <v>2557</v>
      </c>
      <c r="AB169" s="23" t="s">
        <v>2551</v>
      </c>
      <c r="AC169" s="23" t="s">
        <v>2558</v>
      </c>
      <c r="AD169" s="27" t="n">
        <f aca="false">LEN(AC169)</f>
        <v>59</v>
      </c>
      <c r="AE169" s="23" t="s">
        <v>2559</v>
      </c>
      <c r="AF169" s="27" t="n">
        <f aca="false">LEN(AE169)</f>
        <v>156</v>
      </c>
    </row>
    <row r="170" customFormat="false" ht="15" hidden="false" customHeight="true" outlineLevel="0" collapsed="false">
      <c r="A170" s="23" t="s">
        <v>2560</v>
      </c>
      <c r="B170" s="23" t="s">
        <v>2449</v>
      </c>
      <c r="C170" s="23" t="n">
        <v>10</v>
      </c>
      <c r="D170" s="23" t="s">
        <v>2478</v>
      </c>
      <c r="E170" s="23"/>
      <c r="F170" s="23" t="s">
        <v>1735</v>
      </c>
      <c r="G170" s="23" t="s">
        <v>2453</v>
      </c>
      <c r="H170" s="23" t="s">
        <v>2538</v>
      </c>
      <c r="I170" s="23" t="s">
        <v>2561</v>
      </c>
      <c r="J170" s="23" t="s">
        <v>2562</v>
      </c>
      <c r="K170" s="23" t="n">
        <v>65.99</v>
      </c>
      <c r="L170" s="23" t="s">
        <v>2563</v>
      </c>
      <c r="M170" s="23" t="s">
        <v>2564</v>
      </c>
      <c r="N170" s="23" t="s">
        <v>2565</v>
      </c>
      <c r="O170" s="23" t="s">
        <v>2566</v>
      </c>
      <c r="P170" s="23"/>
      <c r="Q170" s="24" t="n">
        <f aca="false">IF(L170="","",IFERROR(INDEX('Semrush Data'!$A$1:$Z$20000,MATCH(L170,'Semrush Data'!$A$1:$A$20000,0),MATCH("Volume",'Semrush Data'!$A$1:$Z$1,0)),""))</f>
        <v>10</v>
      </c>
      <c r="R170" s="24" t="n">
        <f aca="false">IF(M170="","",IFERROR(INDEX('Semrush Data'!$A$1:$Z$20000,MATCH(M170,'Semrush Data'!$A$1:$A$20000,0),MATCH("Volume",'Semrush Data'!$A$1:$Z$1,0)),""))</f>
        <v>0</v>
      </c>
      <c r="S170" s="24" t="str">
        <f aca="false">IF(N170="","",IFERROR(INDEX('Semrush Data'!$A$1:$Z$20000,MATCH(N170,'Semrush Data'!$A$1:$A$20000,0),MATCH("Volume",'Semrush Data'!$A$1:$Z$1,0)),""))</f>
        <v/>
      </c>
      <c r="T170" s="24" t="str">
        <f aca="false">IF(O170="","",IFERROR(INDEX('Semrush Data'!$A$1:$Z$20000,MATCH(O170,'Semrush Data'!$A$1:$A$20000,0),MATCH("Volume",'Semrush Data'!$A$1:$Z$1,0)),""))</f>
        <v/>
      </c>
      <c r="U170" s="24" t="str">
        <f aca="false">IF(P170="","",IFERROR(INDEX('Semrush Data'!$A$1:$Z$20000,MATCH(P170,'Semrush Data'!$A$1:$A$20000,0),MATCH("Volume",'Semrush Data'!$A$1:$Z$1,0)),""))</f>
        <v/>
      </c>
      <c r="V170" s="25" t="str">
        <f aca="false">IF(COUNT(Q170:U170)=0,L170,IF(MAX(Q170:U170)=0,L170,INDEX(L170:P170,MATCH(MAX(Q170:U170),Q170:U170,0))))</f>
        <v>acqua di parma holiday discovery set</v>
      </c>
      <c r="W170" s="24" t="n">
        <f aca="false">IFERROR(INDEX('Semrush Data'!$A$1:$Z$20000,MATCH(V170,'Semrush Data'!$A$1:$A$20000,0),MATCH("Volume",'Semrush Data'!$A$1:$Z$1,0)),"")</f>
        <v>10</v>
      </c>
      <c r="X170" s="24" t="n">
        <f aca="false">IFERROR(INDEX('Semrush Data'!$A$1:$Z$20000,MATCH(V170,'Semrush Data'!$A$1:$A$20000,0),MATCH("Keyword Difficulty*",'Semrush Data'!$A$1:$Z$1,0)),"")</f>
        <v>9</v>
      </c>
      <c r="Y170" s="26" t="n">
        <f aca="false">IFERROR(INDEX('Semrush Data'!$A$1:$Z$20000,MATCH(V170,'Semrush Data'!$A$1:$A$20000,0),MATCH("CPC*",'Semrush Data'!$A$1:$Z$1,0)),"")</f>
        <v>0</v>
      </c>
      <c r="Z170" s="23" t="s">
        <v>2544</v>
      </c>
      <c r="AA170" s="23"/>
      <c r="AB170" s="23" t="s">
        <v>2561</v>
      </c>
      <c r="AC170" s="23" t="s">
        <v>2567</v>
      </c>
      <c r="AD170" s="27" t="n">
        <f aca="false">LEN(AC170)</f>
        <v>57</v>
      </c>
      <c r="AE170" s="23" t="s">
        <v>2568</v>
      </c>
      <c r="AF170" s="27" t="n">
        <f aca="false">LEN(AE170)</f>
        <v>155</v>
      </c>
    </row>
    <row r="171" customFormat="false" ht="15" hidden="false" customHeight="true" outlineLevel="0" collapsed="false">
      <c r="A171" s="23" t="s">
        <v>2569</v>
      </c>
      <c r="B171" s="23" t="s">
        <v>2449</v>
      </c>
      <c r="C171" s="23" t="n">
        <v>11</v>
      </c>
      <c r="D171" s="23" t="s">
        <v>2570</v>
      </c>
      <c r="E171" s="23"/>
      <c r="F171" s="23" t="s">
        <v>2452</v>
      </c>
      <c r="G171" s="23" t="s">
        <v>2453</v>
      </c>
      <c r="H171" s="23" t="s">
        <v>2538</v>
      </c>
      <c r="I171" s="23" t="s">
        <v>2571</v>
      </c>
      <c r="J171" s="23" t="s">
        <v>1994</v>
      </c>
      <c r="K171" s="23" t="n">
        <v>39.99</v>
      </c>
      <c r="L171" s="23" t="s">
        <v>2572</v>
      </c>
      <c r="M171" s="23" t="s">
        <v>2573</v>
      </c>
      <c r="N171" s="23" t="s">
        <v>2574</v>
      </c>
      <c r="O171" s="23" t="s">
        <v>2575</v>
      </c>
      <c r="P171" s="23" t="s">
        <v>2576</v>
      </c>
      <c r="Q171" s="24" t="n">
        <f aca="false">IF(L171="","",IFERROR(INDEX('Semrush Data'!$A$1:$Z$20000,MATCH(L171,'Semrush Data'!$A$1:$A$20000,0),MATCH("Volume",'Semrush Data'!$A$1:$Z$1,0)),""))</f>
        <v>20</v>
      </c>
      <c r="R171" s="24" t="n">
        <f aca="false">IF(M171="","",IFERROR(INDEX('Semrush Data'!$A$1:$Z$20000,MATCH(M171,'Semrush Data'!$A$1:$A$20000,0),MATCH("Volume",'Semrush Data'!$A$1:$Z$1,0)),""))</f>
        <v>0</v>
      </c>
      <c r="S171" s="24" t="str">
        <f aca="false">IF(N171="","",IFERROR(INDEX('Semrush Data'!$A$1:$Z$20000,MATCH(N171,'Semrush Data'!$A$1:$A$20000,0),MATCH("Volume",'Semrush Data'!$A$1:$Z$1,0)),""))</f>
        <v/>
      </c>
      <c r="T171" s="24" t="str">
        <f aca="false">IF(O171="","",IFERROR(INDEX('Semrush Data'!$A$1:$Z$20000,MATCH(O171,'Semrush Data'!$A$1:$A$20000,0),MATCH("Volume",'Semrush Data'!$A$1:$Z$1,0)),""))</f>
        <v/>
      </c>
      <c r="U171" s="24" t="str">
        <f aca="false">IF(P171="","",IFERROR(INDEX('Semrush Data'!$A$1:$Z$20000,MATCH(P171,'Semrush Data'!$A$1:$A$20000,0),MATCH("Volume",'Semrush Data'!$A$1:$Z$1,0)),""))</f>
        <v/>
      </c>
      <c r="V171" s="25" t="str">
        <f aca="false">IF(COUNT(Q171:U171)=0,L171,IF(MAX(Q171:U171)=0,L171,INDEX(L171:P171,MATCH(MAX(Q171:U171),Q171:U171,0))))</f>
        <v>al haramain amber musk</v>
      </c>
      <c r="W171" s="24" t="n">
        <f aca="false">IFERROR(INDEX('Semrush Data'!$A$1:$Z$20000,MATCH(V171,'Semrush Data'!$A$1:$A$20000,0),MATCH("Volume",'Semrush Data'!$A$1:$Z$1,0)),"")</f>
        <v>20</v>
      </c>
      <c r="X171" s="24" t="n">
        <f aca="false">IFERROR(INDEX('Semrush Data'!$A$1:$Z$20000,MATCH(V171,'Semrush Data'!$A$1:$A$20000,0),MATCH("Keyword Difficulty*",'Semrush Data'!$A$1:$Z$1,0)),"")</f>
        <v>5</v>
      </c>
      <c r="Y171" s="26" t="n">
        <f aca="false">IFERROR(INDEX('Semrush Data'!$A$1:$Z$20000,MATCH(V171,'Semrush Data'!$A$1:$A$20000,0),MATCH("CPC*",'Semrush Data'!$A$1:$Z$1,0)),"")</f>
        <v>0</v>
      </c>
      <c r="Z171" s="23" t="s">
        <v>2577</v>
      </c>
      <c r="AA171" s="23" t="s">
        <v>2578</v>
      </c>
      <c r="AB171" s="23" t="s">
        <v>2579</v>
      </c>
      <c r="AC171" s="23" t="s">
        <v>2580</v>
      </c>
      <c r="AD171" s="27" t="n">
        <f aca="false">LEN(AC171)</f>
        <v>59</v>
      </c>
      <c r="AE171" s="23" t="s">
        <v>2581</v>
      </c>
      <c r="AF171" s="27" t="n">
        <f aca="false">LEN(AE171)</f>
        <v>157</v>
      </c>
    </row>
    <row r="172" customFormat="false" ht="15" hidden="false" customHeight="true" outlineLevel="0" collapsed="false">
      <c r="A172" s="23" t="s">
        <v>2582</v>
      </c>
      <c r="B172" s="23" t="s">
        <v>2449</v>
      </c>
      <c r="C172" s="23" t="n">
        <v>12</v>
      </c>
      <c r="D172" s="23" t="s">
        <v>2570</v>
      </c>
      <c r="E172" s="23"/>
      <c r="F172" s="23" t="s">
        <v>2452</v>
      </c>
      <c r="G172" s="23" t="s">
        <v>2453</v>
      </c>
      <c r="H172" s="23" t="s">
        <v>2583</v>
      </c>
      <c r="I172" s="23" t="s">
        <v>2584</v>
      </c>
      <c r="J172" s="23" t="s">
        <v>1994</v>
      </c>
      <c r="K172" s="23" t="n">
        <v>41.99</v>
      </c>
      <c r="L172" s="23" t="s">
        <v>2585</v>
      </c>
      <c r="M172" s="23" t="s">
        <v>2586</v>
      </c>
      <c r="N172" s="23" t="s">
        <v>2587</v>
      </c>
      <c r="O172" s="23" t="s">
        <v>2588</v>
      </c>
      <c r="P172" s="23" t="s">
        <v>2589</v>
      </c>
      <c r="Q172" s="24" t="n">
        <f aca="false">IF(L172="","",IFERROR(INDEX('Semrush Data'!$A$1:$Z$20000,MATCH(L172,'Semrush Data'!$A$1:$A$20000,0),MATCH("Volume",'Semrush Data'!$A$1:$Z$1,0)),""))</f>
        <v>20</v>
      </c>
      <c r="R172" s="24" t="n">
        <f aca="false">IF(M172="","",IFERROR(INDEX('Semrush Data'!$A$1:$Z$20000,MATCH(M172,'Semrush Data'!$A$1:$A$20000,0),MATCH("Volume",'Semrush Data'!$A$1:$Z$1,0)),""))</f>
        <v>0</v>
      </c>
      <c r="S172" s="24" t="str">
        <f aca="false">IF(N172="","",IFERROR(INDEX('Semrush Data'!$A$1:$Z$20000,MATCH(N172,'Semrush Data'!$A$1:$A$20000,0),MATCH("Volume",'Semrush Data'!$A$1:$Z$1,0)),""))</f>
        <v/>
      </c>
      <c r="T172" s="24" t="str">
        <f aca="false">IF(O172="","",IFERROR(INDEX('Semrush Data'!$A$1:$Z$20000,MATCH(O172,'Semrush Data'!$A$1:$A$20000,0),MATCH("Volume",'Semrush Data'!$A$1:$Z$1,0)),""))</f>
        <v/>
      </c>
      <c r="U172" s="24" t="str">
        <f aca="false">IF(P172="","",IFERROR(INDEX('Semrush Data'!$A$1:$Z$20000,MATCH(P172,'Semrush Data'!$A$1:$A$20000,0),MATCH("Volume",'Semrush Data'!$A$1:$Z$1,0)),""))</f>
        <v/>
      </c>
      <c r="V172" s="25" t="str">
        <f aca="false">IF(COUNT(Q172:U172)=0,L172,IF(MAX(Q172:U172)=0,L172,INDEX(L172:P172,MATCH(MAX(Q172:U172),Q172:U172,0))))</f>
        <v>al haramain amber oud black edition</v>
      </c>
      <c r="W172" s="24" t="n">
        <f aca="false">IFERROR(INDEX('Semrush Data'!$A$1:$Z$20000,MATCH(V172,'Semrush Data'!$A$1:$A$20000,0),MATCH("Volume",'Semrush Data'!$A$1:$Z$1,0)),"")</f>
        <v>20</v>
      </c>
      <c r="X172" s="24" t="n">
        <f aca="false">IFERROR(INDEX('Semrush Data'!$A$1:$Z$20000,MATCH(V172,'Semrush Data'!$A$1:$A$20000,0),MATCH("Keyword Difficulty*",'Semrush Data'!$A$1:$Z$1,0)),"")</f>
        <v>12</v>
      </c>
      <c r="Y172" s="26" t="n">
        <f aca="false">IFERROR(INDEX('Semrush Data'!$A$1:$Z$20000,MATCH(V172,'Semrush Data'!$A$1:$A$20000,0),MATCH("CPC*",'Semrush Data'!$A$1:$Z$1,0)),"")</f>
        <v>0</v>
      </c>
      <c r="Z172" s="23" t="s">
        <v>2590</v>
      </c>
      <c r="AA172" s="23" t="s">
        <v>2591</v>
      </c>
      <c r="AB172" s="23" t="s">
        <v>2592</v>
      </c>
      <c r="AC172" s="23" t="s">
        <v>2593</v>
      </c>
      <c r="AD172" s="27" t="n">
        <f aca="false">LEN(AC172)</f>
        <v>59</v>
      </c>
      <c r="AE172" s="23" t="s">
        <v>2594</v>
      </c>
      <c r="AF172" s="27" t="n">
        <f aca="false">LEN(AE172)</f>
        <v>156</v>
      </c>
    </row>
    <row r="173" customFormat="false" ht="15" hidden="false" customHeight="true" outlineLevel="0" collapsed="false">
      <c r="A173" s="23" t="s">
        <v>2595</v>
      </c>
      <c r="B173" s="23" t="s">
        <v>2449</v>
      </c>
      <c r="C173" s="23" t="n">
        <v>13</v>
      </c>
      <c r="D173" s="23" t="s">
        <v>2570</v>
      </c>
      <c r="E173" s="23"/>
      <c r="F173" s="23" t="s">
        <v>2452</v>
      </c>
      <c r="G173" s="23" t="s">
        <v>2453</v>
      </c>
      <c r="H173" s="23" t="s">
        <v>2583</v>
      </c>
      <c r="I173" s="23" t="s">
        <v>2596</v>
      </c>
      <c r="J173" s="23" t="s">
        <v>2597</v>
      </c>
      <c r="K173" s="23" t="n">
        <v>35.99</v>
      </c>
      <c r="L173" s="23" t="s">
        <v>2598</v>
      </c>
      <c r="M173" s="23" t="s">
        <v>2599</v>
      </c>
      <c r="N173" s="23" t="s">
        <v>2600</v>
      </c>
      <c r="O173" s="23" t="s">
        <v>2601</v>
      </c>
      <c r="P173" s="23" t="s">
        <v>2602</v>
      </c>
      <c r="Q173" s="24" t="n">
        <f aca="false">IF(L173="","",IFERROR(INDEX('Semrush Data'!$A$1:$Z$20000,MATCH(L173,'Semrush Data'!$A$1:$A$20000,0),MATCH("Volume",'Semrush Data'!$A$1:$Z$1,0)),""))</f>
        <v>110</v>
      </c>
      <c r="R173" s="24" t="n">
        <f aca="false">IF(M173="","",IFERROR(INDEX('Semrush Data'!$A$1:$Z$20000,MATCH(M173,'Semrush Data'!$A$1:$A$20000,0),MATCH("Volume",'Semrush Data'!$A$1:$Z$1,0)),""))</f>
        <v>0</v>
      </c>
      <c r="S173" s="24" t="str">
        <f aca="false">IF(N173="","",IFERROR(INDEX('Semrush Data'!$A$1:$Z$20000,MATCH(N173,'Semrush Data'!$A$1:$A$20000,0),MATCH("Volume",'Semrush Data'!$A$1:$Z$1,0)),""))</f>
        <v/>
      </c>
      <c r="T173" s="24" t="str">
        <f aca="false">IF(O173="","",IFERROR(INDEX('Semrush Data'!$A$1:$Z$20000,MATCH(O173,'Semrush Data'!$A$1:$A$20000,0),MATCH("Volume",'Semrush Data'!$A$1:$Z$1,0)),""))</f>
        <v/>
      </c>
      <c r="U173" s="24" t="n">
        <f aca="false">IF(P173="","",IFERROR(INDEX('Semrush Data'!$A$1:$Z$20000,MATCH(P173,'Semrush Data'!$A$1:$A$20000,0),MATCH("Volume",'Semrush Data'!$A$1:$Z$1,0)),""))</f>
        <v>20</v>
      </c>
      <c r="V173" s="25" t="str">
        <f aca="false">IF(COUNT(Q173:U173)=0,L173,IF(MAX(Q173:U173)=0,L173,INDEX(L173:P173,MATCH(MAX(Q173:U173),Q173:U173,0))))</f>
        <v>al haramain amber oud bleu edition</v>
      </c>
      <c r="W173" s="24" t="n">
        <f aca="false">IFERROR(INDEX('Semrush Data'!$A$1:$Z$20000,MATCH(V173,'Semrush Data'!$A$1:$A$20000,0),MATCH("Volume",'Semrush Data'!$A$1:$Z$1,0)),"")</f>
        <v>110</v>
      </c>
      <c r="X173" s="24" t="n">
        <f aca="false">IFERROR(INDEX('Semrush Data'!$A$1:$Z$20000,MATCH(V173,'Semrush Data'!$A$1:$A$20000,0),MATCH("Keyword Difficulty*",'Semrush Data'!$A$1:$Z$1,0)),"")</f>
        <v>19</v>
      </c>
      <c r="Y173" s="26" t="n">
        <f aca="false">IFERROR(INDEX('Semrush Data'!$A$1:$Z$20000,MATCH(V173,'Semrush Data'!$A$1:$A$20000,0),MATCH("CPC*",'Semrush Data'!$A$1:$Z$1,0)),"")</f>
        <v>0</v>
      </c>
      <c r="Z173" s="23" t="s">
        <v>2590</v>
      </c>
      <c r="AA173" s="23" t="s">
        <v>2603</v>
      </c>
      <c r="AB173" s="23" t="s">
        <v>2604</v>
      </c>
      <c r="AC173" s="23" t="s">
        <v>2605</v>
      </c>
      <c r="AD173" s="27" t="n">
        <f aca="false">LEN(AC173)</f>
        <v>57</v>
      </c>
      <c r="AE173" s="23" t="s">
        <v>2606</v>
      </c>
      <c r="AF173" s="27" t="n">
        <f aca="false">LEN(AE173)</f>
        <v>155</v>
      </c>
    </row>
    <row r="174" customFormat="false" ht="15" hidden="false" customHeight="true" outlineLevel="0" collapsed="false">
      <c r="A174" s="23" t="s">
        <v>2607</v>
      </c>
      <c r="B174" s="23" t="s">
        <v>2449</v>
      </c>
      <c r="C174" s="23" t="n">
        <v>14</v>
      </c>
      <c r="D174" s="23" t="s">
        <v>2570</v>
      </c>
      <c r="E174" s="23"/>
      <c r="F174" s="23" t="s">
        <v>2452</v>
      </c>
      <c r="G174" s="23" t="s">
        <v>2453</v>
      </c>
      <c r="H174" s="23" t="s">
        <v>2608</v>
      </c>
      <c r="I174" s="23" t="s">
        <v>2609</v>
      </c>
      <c r="J174" s="23" t="s">
        <v>2597</v>
      </c>
      <c r="K174" s="23" t="n">
        <v>34.99</v>
      </c>
      <c r="L174" s="23" t="s">
        <v>2610</v>
      </c>
      <c r="M174" s="23" t="s">
        <v>2611</v>
      </c>
      <c r="N174" s="23" t="s">
        <v>2612</v>
      </c>
      <c r="O174" s="23" t="s">
        <v>2613</v>
      </c>
      <c r="P174" s="23" t="s">
        <v>2614</v>
      </c>
      <c r="Q174" s="24" t="n">
        <f aca="false">IF(L174="","",IFERROR(INDEX('Semrush Data'!$A$1:$Z$20000,MATCH(L174,'Semrush Data'!$A$1:$A$20000,0),MATCH("Volume",'Semrush Data'!$A$1:$Z$1,0)),""))</f>
        <v>110</v>
      </c>
      <c r="R174" s="24" t="n">
        <f aca="false">IF(M174="","",IFERROR(INDEX('Semrush Data'!$A$1:$Z$20000,MATCH(M174,'Semrush Data'!$A$1:$A$20000,0),MATCH("Volume",'Semrush Data'!$A$1:$Z$1,0)),""))</f>
        <v>0</v>
      </c>
      <c r="S174" s="24" t="str">
        <f aca="false">IF(N174="","",IFERROR(INDEX('Semrush Data'!$A$1:$Z$20000,MATCH(N174,'Semrush Data'!$A$1:$A$20000,0),MATCH("Volume",'Semrush Data'!$A$1:$Z$1,0)),""))</f>
        <v/>
      </c>
      <c r="T174" s="24" t="str">
        <f aca="false">IF(O174="","",IFERROR(INDEX('Semrush Data'!$A$1:$Z$20000,MATCH(O174,'Semrush Data'!$A$1:$A$20000,0),MATCH("Volume",'Semrush Data'!$A$1:$Z$1,0)),""))</f>
        <v/>
      </c>
      <c r="U174" s="24" t="n">
        <f aca="false">IF(P174="","",IFERROR(INDEX('Semrush Data'!$A$1:$Z$20000,MATCH(P174,'Semrush Data'!$A$1:$A$20000,0),MATCH("Volume",'Semrush Data'!$A$1:$Z$1,0)),""))</f>
        <v>20</v>
      </c>
      <c r="V174" s="25" t="str">
        <f aca="false">IF(COUNT(Q174:U174)=0,L174,IF(MAX(Q174:U174)=0,L174,INDEX(L174:P174,MATCH(MAX(Q174:U174),Q174:U174,0))))</f>
        <v>al haramain amber oud carbon edition</v>
      </c>
      <c r="W174" s="24" t="n">
        <f aca="false">IFERROR(INDEX('Semrush Data'!$A$1:$Z$20000,MATCH(V174,'Semrush Data'!$A$1:$A$20000,0),MATCH("Volume",'Semrush Data'!$A$1:$Z$1,0)),"")</f>
        <v>110</v>
      </c>
      <c r="X174" s="24" t="n">
        <f aca="false">IFERROR(INDEX('Semrush Data'!$A$1:$Z$20000,MATCH(V174,'Semrush Data'!$A$1:$A$20000,0),MATCH("Keyword Difficulty*",'Semrush Data'!$A$1:$Z$1,0)),"")</f>
        <v>9</v>
      </c>
      <c r="Y174" s="26" t="n">
        <f aca="false">IFERROR(INDEX('Semrush Data'!$A$1:$Z$20000,MATCH(V174,'Semrush Data'!$A$1:$A$20000,0),MATCH("CPC*",'Semrush Data'!$A$1:$Z$1,0)),"")</f>
        <v>0</v>
      </c>
      <c r="Z174" s="23" t="s">
        <v>2615</v>
      </c>
      <c r="AA174" s="23" t="s">
        <v>2616</v>
      </c>
      <c r="AB174" s="23" t="s">
        <v>2617</v>
      </c>
      <c r="AC174" s="23" t="s">
        <v>2618</v>
      </c>
      <c r="AD174" s="27" t="n">
        <f aca="false">LEN(AC174)</f>
        <v>59</v>
      </c>
      <c r="AE174" s="23" t="s">
        <v>2619</v>
      </c>
      <c r="AF174" s="27" t="n">
        <f aca="false">LEN(AE174)</f>
        <v>156</v>
      </c>
    </row>
    <row r="175" customFormat="false" ht="15" hidden="false" customHeight="true" outlineLevel="0" collapsed="false">
      <c r="A175" s="23" t="s">
        <v>75</v>
      </c>
      <c r="B175" s="23" t="s">
        <v>2449</v>
      </c>
      <c r="C175" s="23" t="n">
        <v>15</v>
      </c>
      <c r="D175" s="23" t="s">
        <v>2570</v>
      </c>
      <c r="E175" s="23"/>
      <c r="F175" s="23" t="s">
        <v>2452</v>
      </c>
      <c r="G175" s="23" t="s">
        <v>2453</v>
      </c>
      <c r="H175" s="23" t="s">
        <v>2583</v>
      </c>
      <c r="I175" s="23" t="s">
        <v>76</v>
      </c>
      <c r="J175" s="23" t="s">
        <v>2597</v>
      </c>
      <c r="K175" s="23" t="n">
        <v>34.99</v>
      </c>
      <c r="L175" s="23" t="s">
        <v>2620</v>
      </c>
      <c r="M175" s="23" t="s">
        <v>2621</v>
      </c>
      <c r="N175" s="23" t="s">
        <v>2622</v>
      </c>
      <c r="O175" s="23" t="s">
        <v>2623</v>
      </c>
      <c r="P175" s="23" t="s">
        <v>2624</v>
      </c>
      <c r="Q175" s="24" t="n">
        <f aca="false">IF(L175="","",IFERROR(INDEX('Semrush Data'!$A$1:$Z$20000,MATCH(L175,'Semrush Data'!$A$1:$A$20000,0),MATCH("Volume",'Semrush Data'!$A$1:$Z$1,0)),""))</f>
        <v>2400</v>
      </c>
      <c r="R175" s="24" t="n">
        <f aca="false">IF(M175="","",IFERROR(INDEX('Semrush Data'!$A$1:$Z$20000,MATCH(M175,'Semrush Data'!$A$1:$A$20000,0),MATCH("Volume",'Semrush Data'!$A$1:$Z$1,0)),""))</f>
        <v>20</v>
      </c>
      <c r="S175" s="24" t="n">
        <f aca="false">IF(N175="","",IFERROR(INDEX('Semrush Data'!$A$1:$Z$20000,MATCH(N175,'Semrush Data'!$A$1:$A$20000,0),MATCH("Volume",'Semrush Data'!$A$1:$Z$1,0)),""))</f>
        <v>0</v>
      </c>
      <c r="T175" s="24" t="n">
        <f aca="false">IF(O175="","",IFERROR(INDEX('Semrush Data'!$A$1:$Z$20000,MATCH(O175,'Semrush Data'!$A$1:$A$20000,0),MATCH("Volume",'Semrush Data'!$A$1:$Z$1,0)),""))</f>
        <v>20</v>
      </c>
      <c r="U175" s="24" t="n">
        <f aca="false">IF(P175="","",IFERROR(INDEX('Semrush Data'!$A$1:$Z$20000,MATCH(P175,'Semrush Data'!$A$1:$A$20000,0),MATCH("Volume",'Semrush Data'!$A$1:$Z$1,0)),""))</f>
        <v>20</v>
      </c>
      <c r="V175" s="25" t="str">
        <f aca="false">IF(COUNT(Q175:U175)=0,L175,IF(MAX(Q175:U175)=0,L175,INDEX(L175:P175,MATCH(MAX(Q175:U175),Q175:U175,0))))</f>
        <v>al haramain amber oud</v>
      </c>
      <c r="W175" s="24" t="n">
        <f aca="false">IFERROR(INDEX('Semrush Data'!$A$1:$Z$20000,MATCH(V175,'Semrush Data'!$A$1:$A$20000,0),MATCH("Volume",'Semrush Data'!$A$1:$Z$1,0)),"")</f>
        <v>2400</v>
      </c>
      <c r="X175" s="24" t="n">
        <f aca="false">IFERROR(INDEX('Semrush Data'!$A$1:$Z$20000,MATCH(V175,'Semrush Data'!$A$1:$A$20000,0),MATCH("Keyword Difficulty*",'Semrush Data'!$A$1:$Z$1,0)),"")</f>
        <v>16</v>
      </c>
      <c r="Y175" s="26" t="n">
        <f aca="false">IFERROR(INDEX('Semrush Data'!$A$1:$Z$20000,MATCH(V175,'Semrush Data'!$A$1:$A$20000,0),MATCH("CPC*",'Semrush Data'!$A$1:$Z$1,0)),"")</f>
        <v>0.27</v>
      </c>
      <c r="Z175" s="23" t="s">
        <v>2590</v>
      </c>
      <c r="AA175" s="23"/>
      <c r="AB175" s="23" t="s">
        <v>2625</v>
      </c>
      <c r="AC175" s="23" t="s">
        <v>2626</v>
      </c>
      <c r="AD175" s="27" t="n">
        <f aca="false">LEN(AC175)</f>
        <v>57</v>
      </c>
      <c r="AE175" s="23" t="s">
        <v>2627</v>
      </c>
      <c r="AF175" s="27" t="n">
        <f aca="false">LEN(AE175)</f>
        <v>154</v>
      </c>
    </row>
    <row r="176" customFormat="false" ht="15" hidden="false" customHeight="true" outlineLevel="0" collapsed="false">
      <c r="A176" s="23" t="s">
        <v>109</v>
      </c>
      <c r="B176" s="23" t="s">
        <v>2449</v>
      </c>
      <c r="C176" s="23" t="n">
        <v>16</v>
      </c>
      <c r="D176" s="23" t="s">
        <v>2570</v>
      </c>
      <c r="E176" s="23"/>
      <c r="F176" s="23" t="s">
        <v>2452</v>
      </c>
      <c r="G176" s="23" t="s">
        <v>2453</v>
      </c>
      <c r="H176" s="23" t="s">
        <v>2538</v>
      </c>
      <c r="I176" s="23" t="s">
        <v>110</v>
      </c>
      <c r="J176" s="23" t="s">
        <v>2597</v>
      </c>
      <c r="K176" s="23" t="n">
        <v>29.99</v>
      </c>
      <c r="L176" s="23" t="s">
        <v>2628</v>
      </c>
      <c r="M176" s="23" t="s">
        <v>2629</v>
      </c>
      <c r="N176" s="23" t="s">
        <v>2630</v>
      </c>
      <c r="O176" s="23" t="s">
        <v>2631</v>
      </c>
      <c r="P176" s="23" t="s">
        <v>2632</v>
      </c>
      <c r="Q176" s="24" t="n">
        <f aca="false">IF(L176="","",IFERROR(INDEX('Semrush Data'!$A$1:$Z$20000,MATCH(L176,'Semrush Data'!$A$1:$A$20000,0),MATCH("Volume",'Semrush Data'!$A$1:$Z$1,0)),""))</f>
        <v>590</v>
      </c>
      <c r="R176" s="24" t="n">
        <f aca="false">IF(M176="","",IFERROR(INDEX('Semrush Data'!$A$1:$Z$20000,MATCH(M176,'Semrush Data'!$A$1:$A$20000,0),MATCH("Volume",'Semrush Data'!$A$1:$Z$1,0)),""))</f>
        <v>20</v>
      </c>
      <c r="S176" s="24" t="str">
        <f aca="false">IF(N176="","",IFERROR(INDEX('Semrush Data'!$A$1:$Z$20000,MATCH(N176,'Semrush Data'!$A$1:$A$20000,0),MATCH("Volume",'Semrush Data'!$A$1:$Z$1,0)),""))</f>
        <v/>
      </c>
      <c r="T176" s="24" t="str">
        <f aca="false">IF(O176="","",IFERROR(INDEX('Semrush Data'!$A$1:$Z$20000,MATCH(O176,'Semrush Data'!$A$1:$A$20000,0),MATCH("Volume",'Semrush Data'!$A$1:$Z$1,0)),""))</f>
        <v/>
      </c>
      <c r="U176" s="24" t="n">
        <f aca="false">IF(P176="","",IFERROR(INDEX('Semrush Data'!$A$1:$Z$20000,MATCH(P176,'Semrush Data'!$A$1:$A$20000,0),MATCH("Volume",'Semrush Data'!$A$1:$Z$1,0)),""))</f>
        <v>20</v>
      </c>
      <c r="V176" s="25" t="str">
        <f aca="false">IF(COUNT(Q176:U176)=0,L176,IF(MAX(Q176:U176)=0,L176,INDEX(L176:P176,MATCH(MAX(Q176:U176),Q176:U176,0))))</f>
        <v>al haramain amber oud gold edition</v>
      </c>
      <c r="W176" s="24" t="n">
        <f aca="false">IFERROR(INDEX('Semrush Data'!$A$1:$Z$20000,MATCH(V176,'Semrush Data'!$A$1:$A$20000,0),MATCH("Volume",'Semrush Data'!$A$1:$Z$1,0)),"")</f>
        <v>590</v>
      </c>
      <c r="X176" s="24" t="n">
        <f aca="false">IFERROR(INDEX('Semrush Data'!$A$1:$Z$20000,MATCH(V176,'Semrush Data'!$A$1:$A$20000,0),MATCH("Keyword Difficulty*",'Semrush Data'!$A$1:$Z$1,0)),"")</f>
        <v>12</v>
      </c>
      <c r="Y176" s="26" t="n">
        <f aca="false">IFERROR(INDEX('Semrush Data'!$A$1:$Z$20000,MATCH(V176,'Semrush Data'!$A$1:$A$20000,0),MATCH("CPC*",'Semrush Data'!$A$1:$Z$1,0)),"")</f>
        <v>0.32</v>
      </c>
      <c r="Z176" s="23" t="s">
        <v>2577</v>
      </c>
      <c r="AA176" s="23" t="s">
        <v>2633</v>
      </c>
      <c r="AB176" s="23" t="s">
        <v>2634</v>
      </c>
      <c r="AC176" s="23" t="s">
        <v>2635</v>
      </c>
      <c r="AD176" s="27" t="n">
        <f aca="false">LEN(AC176)</f>
        <v>57</v>
      </c>
      <c r="AE176" s="23" t="s">
        <v>2636</v>
      </c>
      <c r="AF176" s="27" t="n">
        <f aca="false">LEN(AE176)</f>
        <v>156</v>
      </c>
    </row>
    <row r="177" customFormat="false" ht="15" hidden="false" customHeight="true" outlineLevel="0" collapsed="false">
      <c r="A177" s="23" t="s">
        <v>2637</v>
      </c>
      <c r="B177" s="23" t="s">
        <v>2449</v>
      </c>
      <c r="C177" s="23" t="n">
        <v>17</v>
      </c>
      <c r="D177" s="23" t="s">
        <v>2570</v>
      </c>
      <c r="E177" s="23"/>
      <c r="F177" s="23" t="s">
        <v>2452</v>
      </c>
      <c r="G177" s="23" t="s">
        <v>2453</v>
      </c>
      <c r="H177" s="23" t="s">
        <v>2527</v>
      </c>
      <c r="I177" s="23" t="s">
        <v>2638</v>
      </c>
      <c r="J177" s="23" t="s">
        <v>2597</v>
      </c>
      <c r="K177" s="23" t="n">
        <v>41.99</v>
      </c>
      <c r="L177" s="23" t="s">
        <v>2639</v>
      </c>
      <c r="M177" s="23" t="s">
        <v>2640</v>
      </c>
      <c r="N177" s="23" t="s">
        <v>2641</v>
      </c>
      <c r="O177" s="23" t="s">
        <v>2642</v>
      </c>
      <c r="P177" s="23" t="s">
        <v>2643</v>
      </c>
      <c r="Q177" s="24" t="n">
        <f aca="false">IF(L177="","",IFERROR(INDEX('Semrush Data'!$A$1:$Z$20000,MATCH(L177,'Semrush Data'!$A$1:$A$20000,0),MATCH("Volume",'Semrush Data'!$A$1:$Z$1,0)),""))</f>
        <v>140</v>
      </c>
      <c r="R177" s="24" t="n">
        <f aca="false">IF(M177="","",IFERROR(INDEX('Semrush Data'!$A$1:$Z$20000,MATCH(M177,'Semrush Data'!$A$1:$A$20000,0),MATCH("Volume",'Semrush Data'!$A$1:$Z$1,0)),""))</f>
        <v>0</v>
      </c>
      <c r="S177" s="24" t="str">
        <f aca="false">IF(N177="","",IFERROR(INDEX('Semrush Data'!$A$1:$Z$20000,MATCH(N177,'Semrush Data'!$A$1:$A$20000,0),MATCH("Volume",'Semrush Data'!$A$1:$Z$1,0)),""))</f>
        <v/>
      </c>
      <c r="T177" s="24" t="str">
        <f aca="false">IF(O177="","",IFERROR(INDEX('Semrush Data'!$A$1:$Z$20000,MATCH(O177,'Semrush Data'!$A$1:$A$20000,0),MATCH("Volume",'Semrush Data'!$A$1:$Z$1,0)),""))</f>
        <v/>
      </c>
      <c r="U177" s="24" t="n">
        <f aca="false">IF(P177="","",IFERROR(INDEX('Semrush Data'!$A$1:$Z$20000,MATCH(P177,'Semrush Data'!$A$1:$A$20000,0),MATCH("Volume",'Semrush Data'!$A$1:$Z$1,0)),""))</f>
        <v>20</v>
      </c>
      <c r="V177" s="25" t="str">
        <f aca="false">IF(COUNT(Q177:U177)=0,L177,IF(MAX(Q177:U177)=0,L177,INDEX(L177:P177,MATCH(MAX(Q177:U177),Q177:U177,0))))</f>
        <v>al haramain amber oud ruby edition</v>
      </c>
      <c r="W177" s="24" t="n">
        <f aca="false">IFERROR(INDEX('Semrush Data'!$A$1:$Z$20000,MATCH(V177,'Semrush Data'!$A$1:$A$20000,0),MATCH("Volume",'Semrush Data'!$A$1:$Z$1,0)),"")</f>
        <v>140</v>
      </c>
      <c r="X177" s="24" t="n">
        <f aca="false">IFERROR(INDEX('Semrush Data'!$A$1:$Z$20000,MATCH(V177,'Semrush Data'!$A$1:$A$20000,0),MATCH("Keyword Difficulty*",'Semrush Data'!$A$1:$Z$1,0)),"")</f>
        <v>10</v>
      </c>
      <c r="Y177" s="26" t="n">
        <f aca="false">IFERROR(INDEX('Semrush Data'!$A$1:$Z$20000,MATCH(V177,'Semrush Data'!$A$1:$A$20000,0),MATCH("CPC*",'Semrush Data'!$A$1:$Z$1,0)),"")</f>
        <v>0.61</v>
      </c>
      <c r="Z177" s="23" t="s">
        <v>2644</v>
      </c>
      <c r="AA177" s="23" t="s">
        <v>2645</v>
      </c>
      <c r="AB177" s="23" t="s">
        <v>2646</v>
      </c>
      <c r="AC177" s="23" t="s">
        <v>2647</v>
      </c>
      <c r="AD177" s="27" t="n">
        <f aca="false">LEN(AC177)</f>
        <v>57</v>
      </c>
      <c r="AE177" s="23" t="s">
        <v>2648</v>
      </c>
      <c r="AF177" s="27" t="n">
        <f aca="false">LEN(AE177)</f>
        <v>156</v>
      </c>
    </row>
    <row r="178" customFormat="false" ht="15" hidden="false" customHeight="true" outlineLevel="0" collapsed="false">
      <c r="A178" s="23" t="s">
        <v>119</v>
      </c>
      <c r="B178" s="23" t="s">
        <v>2449</v>
      </c>
      <c r="C178" s="23" t="n">
        <v>18</v>
      </c>
      <c r="D178" s="23" t="s">
        <v>2570</v>
      </c>
      <c r="E178" s="23"/>
      <c r="F178" s="23" t="s">
        <v>2452</v>
      </c>
      <c r="G178" s="23" t="s">
        <v>2453</v>
      </c>
      <c r="H178" s="23" t="s">
        <v>2538</v>
      </c>
      <c r="I178" s="23" t="s">
        <v>120</v>
      </c>
      <c r="J178" s="23" t="s">
        <v>2597</v>
      </c>
      <c r="K178" s="23" t="n">
        <v>34.99</v>
      </c>
      <c r="L178" s="23" t="s">
        <v>2649</v>
      </c>
      <c r="M178" s="23" t="s">
        <v>2650</v>
      </c>
      <c r="N178" s="23" t="s">
        <v>2651</v>
      </c>
      <c r="O178" s="23" t="s">
        <v>2652</v>
      </c>
      <c r="P178" s="23" t="s">
        <v>2653</v>
      </c>
      <c r="Q178" s="24" t="n">
        <f aca="false">IF(L178="","",IFERROR(INDEX('Semrush Data'!$A$1:$Z$20000,MATCH(L178,'Semrush Data'!$A$1:$A$20000,0),MATCH("Volume",'Semrush Data'!$A$1:$Z$1,0)),""))</f>
        <v>480</v>
      </c>
      <c r="R178" s="24" t="n">
        <f aca="false">IF(M178="","",IFERROR(INDEX('Semrush Data'!$A$1:$Z$20000,MATCH(M178,'Semrush Data'!$A$1:$A$20000,0),MATCH("Volume",'Semrush Data'!$A$1:$Z$1,0)),""))</f>
        <v>20</v>
      </c>
      <c r="S178" s="24" t="str">
        <f aca="false">IF(N178="","",IFERROR(INDEX('Semrush Data'!$A$1:$Z$20000,MATCH(N178,'Semrush Data'!$A$1:$A$20000,0),MATCH("Volume",'Semrush Data'!$A$1:$Z$1,0)),""))</f>
        <v/>
      </c>
      <c r="T178" s="24" t="str">
        <f aca="false">IF(O178="","",IFERROR(INDEX('Semrush Data'!$A$1:$Z$20000,MATCH(O178,'Semrush Data'!$A$1:$A$20000,0),MATCH("Volume",'Semrush Data'!$A$1:$Z$1,0)),""))</f>
        <v/>
      </c>
      <c r="U178" s="24" t="n">
        <f aca="false">IF(P178="","",IFERROR(INDEX('Semrush Data'!$A$1:$Z$20000,MATCH(P178,'Semrush Data'!$A$1:$A$20000,0),MATCH("Volume",'Semrush Data'!$A$1:$Z$1,0)),""))</f>
        <v>20</v>
      </c>
      <c r="V178" s="25" t="str">
        <f aca="false">IF(COUNT(Q178:U178)=0,L178,IF(MAX(Q178:U178)=0,L178,INDEX(L178:P178,MATCH(MAX(Q178:U178),Q178:U178,0))))</f>
        <v>al haramain amber oud tobacco edition</v>
      </c>
      <c r="W178" s="24" t="n">
        <f aca="false">IFERROR(INDEX('Semrush Data'!$A$1:$Z$20000,MATCH(V178,'Semrush Data'!$A$1:$A$20000,0),MATCH("Volume",'Semrush Data'!$A$1:$Z$1,0)),"")</f>
        <v>480</v>
      </c>
      <c r="X178" s="24" t="n">
        <f aca="false">IFERROR(INDEX('Semrush Data'!$A$1:$Z$20000,MATCH(V178,'Semrush Data'!$A$1:$A$20000,0),MATCH("Keyword Difficulty*",'Semrush Data'!$A$1:$Z$1,0)),"")</f>
        <v>15</v>
      </c>
      <c r="Y178" s="26" t="n">
        <f aca="false">IFERROR(INDEX('Semrush Data'!$A$1:$Z$20000,MATCH(V178,'Semrush Data'!$A$1:$A$20000,0),MATCH("CPC*",'Semrush Data'!$A$1:$Z$1,0)),"")</f>
        <v>0.33</v>
      </c>
      <c r="Z178" s="23" t="s">
        <v>2577</v>
      </c>
      <c r="AA178" s="23" t="s">
        <v>2654</v>
      </c>
      <c r="AB178" s="23" t="s">
        <v>2655</v>
      </c>
      <c r="AC178" s="23" t="s">
        <v>2656</v>
      </c>
      <c r="AD178" s="27" t="n">
        <f aca="false">LEN(AC178)</f>
        <v>60</v>
      </c>
      <c r="AE178" s="23" t="s">
        <v>2657</v>
      </c>
      <c r="AF178" s="27" t="n">
        <f aca="false">LEN(AE178)</f>
        <v>159</v>
      </c>
    </row>
    <row r="179" customFormat="false" ht="15" hidden="false" customHeight="true" outlineLevel="0" collapsed="false">
      <c r="A179" s="23" t="s">
        <v>2658</v>
      </c>
      <c r="B179" s="23" t="s">
        <v>2449</v>
      </c>
      <c r="C179" s="23" t="n">
        <v>19</v>
      </c>
      <c r="D179" s="23" t="s">
        <v>2570</v>
      </c>
      <c r="E179" s="23"/>
      <c r="F179" s="23" t="s">
        <v>2452</v>
      </c>
      <c r="G179" s="23" t="s">
        <v>2453</v>
      </c>
      <c r="H179" s="23" t="s">
        <v>2454</v>
      </c>
      <c r="I179" s="23" t="s">
        <v>2659</v>
      </c>
      <c r="J179" s="23" t="s">
        <v>2597</v>
      </c>
      <c r="K179" s="23" t="n">
        <v>34.99</v>
      </c>
      <c r="L179" s="23" t="s">
        <v>2660</v>
      </c>
      <c r="M179" s="23" t="s">
        <v>2661</v>
      </c>
      <c r="N179" s="23" t="s">
        <v>2662</v>
      </c>
      <c r="O179" s="23" t="s">
        <v>2663</v>
      </c>
      <c r="P179" s="23" t="s">
        <v>2664</v>
      </c>
      <c r="Q179" s="24" t="n">
        <f aca="false">IF(L179="","",IFERROR(INDEX('Semrush Data'!$A$1:$Z$20000,MATCH(L179,'Semrush Data'!$A$1:$A$20000,0),MATCH("Volume",'Semrush Data'!$A$1:$Z$1,0)),""))</f>
        <v>20</v>
      </c>
      <c r="R179" s="24" t="n">
        <f aca="false">IF(M179="","",IFERROR(INDEX('Semrush Data'!$A$1:$Z$20000,MATCH(M179,'Semrush Data'!$A$1:$A$20000,0),MATCH("Volume",'Semrush Data'!$A$1:$Z$1,0)),""))</f>
        <v>0</v>
      </c>
      <c r="S179" s="24" t="str">
        <f aca="false">IF(N179="","",IFERROR(INDEX('Semrush Data'!$A$1:$Z$20000,MATCH(N179,'Semrush Data'!$A$1:$A$20000,0),MATCH("Volume",'Semrush Data'!$A$1:$Z$1,0)),""))</f>
        <v/>
      </c>
      <c r="T179" s="24" t="str">
        <f aca="false">IF(O179="","",IFERROR(INDEX('Semrush Data'!$A$1:$Z$20000,MATCH(O179,'Semrush Data'!$A$1:$A$20000,0),MATCH("Volume",'Semrush Data'!$A$1:$Z$1,0)),""))</f>
        <v/>
      </c>
      <c r="U179" s="24" t="str">
        <f aca="false">IF(P179="","",IFERROR(INDEX('Semrush Data'!$A$1:$Z$20000,MATCH(P179,'Semrush Data'!$A$1:$A$20000,0),MATCH("Volume",'Semrush Data'!$A$1:$Z$1,0)),""))</f>
        <v/>
      </c>
      <c r="V179" s="25" t="str">
        <f aca="false">IF(COUNT(Q179:U179)=0,L179,IF(MAX(Q179:U179)=0,L179,INDEX(L179:P179,MATCH(MAX(Q179:U179),Q179:U179,0))))</f>
        <v>al haramain amber oud white edition</v>
      </c>
      <c r="W179" s="24" t="n">
        <f aca="false">IFERROR(INDEX('Semrush Data'!$A$1:$Z$20000,MATCH(V179,'Semrush Data'!$A$1:$A$20000,0),MATCH("Volume",'Semrush Data'!$A$1:$Z$1,0)),"")</f>
        <v>20</v>
      </c>
      <c r="X179" s="24" t="n">
        <f aca="false">IFERROR(INDEX('Semrush Data'!$A$1:$Z$20000,MATCH(V179,'Semrush Data'!$A$1:$A$20000,0),MATCH("Keyword Difficulty*",'Semrush Data'!$A$1:$Z$1,0)),"")</f>
        <v>17</v>
      </c>
      <c r="Y179" s="26" t="n">
        <f aca="false">IFERROR(INDEX('Semrush Data'!$A$1:$Z$20000,MATCH(V179,'Semrush Data'!$A$1:$A$20000,0),MATCH("CPC*",'Semrush Data'!$A$1:$Z$1,0)),"")</f>
        <v>0</v>
      </c>
      <c r="Z179" s="23" t="s">
        <v>2665</v>
      </c>
      <c r="AA179" s="23" t="s">
        <v>2666</v>
      </c>
      <c r="AB179" s="23" t="s">
        <v>2667</v>
      </c>
      <c r="AC179" s="23" t="s">
        <v>2668</v>
      </c>
      <c r="AD179" s="27" t="n">
        <f aca="false">LEN(AC179)</f>
        <v>58</v>
      </c>
      <c r="AE179" s="23" t="s">
        <v>2669</v>
      </c>
      <c r="AF179" s="27" t="n">
        <f aca="false">LEN(AE179)</f>
        <v>158</v>
      </c>
    </row>
    <row r="180" customFormat="false" ht="15" hidden="false" customHeight="true" outlineLevel="0" collapsed="false">
      <c r="A180" s="23" t="s">
        <v>2670</v>
      </c>
      <c r="B180" s="23" t="s">
        <v>2449</v>
      </c>
      <c r="C180" s="23" t="n">
        <v>20</v>
      </c>
      <c r="D180" s="23" t="s">
        <v>2570</v>
      </c>
      <c r="E180" s="23"/>
      <c r="F180" s="23" t="s">
        <v>2452</v>
      </c>
      <c r="G180" s="23" t="s">
        <v>2453</v>
      </c>
      <c r="H180" s="23" t="s">
        <v>2538</v>
      </c>
      <c r="I180" s="23" t="s">
        <v>2671</v>
      </c>
      <c r="J180" s="23" t="s">
        <v>1994</v>
      </c>
      <c r="K180" s="23" t="n">
        <v>19.99</v>
      </c>
      <c r="L180" s="23" t="s">
        <v>2672</v>
      </c>
      <c r="M180" s="23" t="s">
        <v>2673</v>
      </c>
      <c r="N180" s="23" t="s">
        <v>2674</v>
      </c>
      <c r="O180" s="23" t="s">
        <v>2675</v>
      </c>
      <c r="P180" s="23" t="s">
        <v>2676</v>
      </c>
      <c r="Q180" s="24" t="n">
        <f aca="false">IF(L180="","",IFERROR(INDEX('Semrush Data'!$A$1:$Z$20000,MATCH(L180,'Semrush Data'!$A$1:$A$20000,0),MATCH("Volume",'Semrush Data'!$A$1:$Z$1,0)),""))</f>
        <v>320</v>
      </c>
      <c r="R180" s="24" t="n">
        <f aca="false">IF(M180="","",IFERROR(INDEX('Semrush Data'!$A$1:$Z$20000,MATCH(M180,'Semrush Data'!$A$1:$A$20000,0),MATCH("Volume",'Semrush Data'!$A$1:$Z$1,0)),""))</f>
        <v>20</v>
      </c>
      <c r="S180" s="24" t="str">
        <f aca="false">IF(N180="","",IFERROR(INDEX('Semrush Data'!$A$1:$Z$20000,MATCH(N180,'Semrush Data'!$A$1:$A$20000,0),MATCH("Volume",'Semrush Data'!$A$1:$Z$1,0)),""))</f>
        <v/>
      </c>
      <c r="T180" s="24" t="str">
        <f aca="false">IF(O180="","",IFERROR(INDEX('Semrush Data'!$A$1:$Z$20000,MATCH(O180,'Semrush Data'!$A$1:$A$20000,0),MATCH("Volume",'Semrush Data'!$A$1:$Z$1,0)),""))</f>
        <v/>
      </c>
      <c r="U180" s="24" t="n">
        <f aca="false">IF(P180="","",IFERROR(INDEX('Semrush Data'!$A$1:$Z$20000,MATCH(P180,'Semrush Data'!$A$1:$A$20000,0),MATCH("Volume",'Semrush Data'!$A$1:$Z$1,0)),""))</f>
        <v>30</v>
      </c>
      <c r="V180" s="25" t="str">
        <f aca="false">IF(COUNT(Q180:U180)=0,L180,IF(MAX(Q180:U180)=0,L180,INDEX(L180:P180,MATCH(MAX(Q180:U180),Q180:U180,0))))</f>
        <v>al haramain detour noir</v>
      </c>
      <c r="W180" s="24" t="n">
        <f aca="false">IFERROR(INDEX('Semrush Data'!$A$1:$Z$20000,MATCH(V180,'Semrush Data'!$A$1:$A$20000,0),MATCH("Volume",'Semrush Data'!$A$1:$Z$1,0)),"")</f>
        <v>320</v>
      </c>
      <c r="X180" s="24" t="n">
        <f aca="false">IFERROR(INDEX('Semrush Data'!$A$1:$Z$20000,MATCH(V180,'Semrush Data'!$A$1:$A$20000,0),MATCH("Keyword Difficulty*",'Semrush Data'!$A$1:$Z$1,0)),"")</f>
        <v>25</v>
      </c>
      <c r="Y180" s="26" t="n">
        <f aca="false">IFERROR(INDEX('Semrush Data'!$A$1:$Z$20000,MATCH(V180,'Semrush Data'!$A$1:$A$20000,0),MATCH("CPC*",'Semrush Data'!$A$1:$Z$1,0)),"")</f>
        <v>0.28</v>
      </c>
      <c r="Z180" s="23" t="s">
        <v>2577</v>
      </c>
      <c r="AA180" s="23" t="s">
        <v>2677</v>
      </c>
      <c r="AB180" s="23" t="s">
        <v>2678</v>
      </c>
      <c r="AC180" s="23" t="s">
        <v>2679</v>
      </c>
      <c r="AD180" s="27" t="n">
        <f aca="false">LEN(AC180)</f>
        <v>60</v>
      </c>
      <c r="AE180" s="23" t="s">
        <v>2680</v>
      </c>
      <c r="AF180" s="27" t="n">
        <f aca="false">LEN(AE180)</f>
        <v>158</v>
      </c>
    </row>
    <row r="181" customFormat="false" ht="15" hidden="false" customHeight="true" outlineLevel="0" collapsed="false">
      <c r="A181" s="23" t="s">
        <v>2681</v>
      </c>
      <c r="B181" s="23" t="s">
        <v>2449</v>
      </c>
      <c r="C181" s="23" t="n">
        <v>21</v>
      </c>
      <c r="D181" s="23" t="s">
        <v>2570</v>
      </c>
      <c r="E181" s="23"/>
      <c r="F181" s="23" t="s">
        <v>2452</v>
      </c>
      <c r="G181" s="23" t="s">
        <v>2453</v>
      </c>
      <c r="H181" s="23" t="s">
        <v>2527</v>
      </c>
      <c r="I181" s="23" t="s">
        <v>2682</v>
      </c>
      <c r="J181" s="23" t="s">
        <v>1994</v>
      </c>
      <c r="K181" s="23" t="n">
        <v>24.99</v>
      </c>
      <c r="L181" s="23" t="s">
        <v>2683</v>
      </c>
      <c r="M181" s="23" t="s">
        <v>2684</v>
      </c>
      <c r="N181" s="23" t="s">
        <v>2685</v>
      </c>
      <c r="O181" s="23" t="s">
        <v>2686</v>
      </c>
      <c r="P181" s="23" t="s">
        <v>2687</v>
      </c>
      <c r="Q181" s="24" t="n">
        <f aca="false">IF(L181="","",IFERROR(INDEX('Semrush Data'!$A$1:$Z$20000,MATCH(L181,'Semrush Data'!$A$1:$A$20000,0),MATCH("Volume",'Semrush Data'!$A$1:$Z$1,0)),""))</f>
        <v>10</v>
      </c>
      <c r="R181" s="24" t="n">
        <f aca="false">IF(M181="","",IFERROR(INDEX('Semrush Data'!$A$1:$Z$20000,MATCH(M181,'Semrush Data'!$A$1:$A$20000,0),MATCH("Volume",'Semrush Data'!$A$1:$Z$1,0)),""))</f>
        <v>0</v>
      </c>
      <c r="S181" s="24" t="str">
        <f aca="false">IF(N181="","",IFERROR(INDEX('Semrush Data'!$A$1:$Z$20000,MATCH(N181,'Semrush Data'!$A$1:$A$20000,0),MATCH("Volume",'Semrush Data'!$A$1:$Z$1,0)),""))</f>
        <v/>
      </c>
      <c r="T181" s="24" t="str">
        <f aca="false">IF(O181="","",IFERROR(INDEX('Semrush Data'!$A$1:$Z$20000,MATCH(O181,'Semrush Data'!$A$1:$A$20000,0),MATCH("Volume",'Semrush Data'!$A$1:$Z$1,0)),""))</f>
        <v/>
      </c>
      <c r="U181" s="24" t="str">
        <f aca="false">IF(P181="","",IFERROR(INDEX('Semrush Data'!$A$1:$Z$20000,MATCH(P181,'Semrush Data'!$A$1:$A$20000,0),MATCH("Volume",'Semrush Data'!$A$1:$Z$1,0)),""))</f>
        <v/>
      </c>
      <c r="V181" s="25" t="str">
        <f aca="false">IF(COUNT(Q181:U181)=0,L181,IF(MAX(Q181:U181)=0,L181,INDEX(L181:P181,MATCH(MAX(Q181:U181),Q181:U181,0))))</f>
        <v>al haramain l'aventure blanche</v>
      </c>
      <c r="W181" s="24" t="n">
        <f aca="false">IFERROR(INDEX('Semrush Data'!$A$1:$Z$20000,MATCH(V181,'Semrush Data'!$A$1:$A$20000,0),MATCH("Volume",'Semrush Data'!$A$1:$Z$1,0)),"")</f>
        <v>10</v>
      </c>
      <c r="X181" s="24" t="n">
        <f aca="false">IFERROR(INDEX('Semrush Data'!$A$1:$Z$20000,MATCH(V181,'Semrush Data'!$A$1:$A$20000,0),MATCH("Keyword Difficulty*",'Semrush Data'!$A$1:$Z$1,0)),"")</f>
        <v>7</v>
      </c>
      <c r="Y181" s="26" t="n">
        <f aca="false">IFERROR(INDEX('Semrush Data'!$A$1:$Z$20000,MATCH(V181,'Semrush Data'!$A$1:$A$20000,0),MATCH("CPC*",'Semrush Data'!$A$1:$Z$1,0)),"")</f>
        <v>0</v>
      </c>
      <c r="Z181" s="23" t="s">
        <v>2644</v>
      </c>
      <c r="AA181" s="23" t="s">
        <v>2688</v>
      </c>
      <c r="AB181" s="23" t="s">
        <v>2689</v>
      </c>
      <c r="AC181" s="23" t="s">
        <v>2690</v>
      </c>
      <c r="AD181" s="27" t="n">
        <f aca="false">LEN(AC181)</f>
        <v>58</v>
      </c>
      <c r="AE181" s="23" t="s">
        <v>2691</v>
      </c>
      <c r="AF181" s="27" t="n">
        <f aca="false">LEN(AE181)</f>
        <v>159</v>
      </c>
    </row>
    <row r="182" customFormat="false" ht="15" hidden="false" customHeight="true" outlineLevel="0" collapsed="false">
      <c r="A182" s="23" t="s">
        <v>95</v>
      </c>
      <c r="B182" s="23" t="s">
        <v>2449</v>
      </c>
      <c r="C182" s="23" t="n">
        <v>22</v>
      </c>
      <c r="D182" s="23" t="s">
        <v>2570</v>
      </c>
      <c r="E182" s="23"/>
      <c r="F182" s="23" t="s">
        <v>2452</v>
      </c>
      <c r="G182" s="23" t="s">
        <v>2453</v>
      </c>
      <c r="H182" s="23" t="s">
        <v>2608</v>
      </c>
      <c r="I182" s="23" t="s">
        <v>96</v>
      </c>
      <c r="J182" s="23" t="s">
        <v>1994</v>
      </c>
      <c r="K182" s="23" t="n">
        <v>27.99</v>
      </c>
      <c r="L182" s="23" t="s">
        <v>2692</v>
      </c>
      <c r="M182" s="23" t="s">
        <v>2693</v>
      </c>
      <c r="N182" s="23" t="s">
        <v>2694</v>
      </c>
      <c r="O182" s="23" t="s">
        <v>2695</v>
      </c>
      <c r="P182" s="23" t="s">
        <v>2696</v>
      </c>
      <c r="Q182" s="24" t="n">
        <f aca="false">IF(L182="","",IFERROR(INDEX('Semrush Data'!$A$1:$Z$20000,MATCH(L182,'Semrush Data'!$A$1:$A$20000,0),MATCH("Volume",'Semrush Data'!$A$1:$Z$1,0)),""))</f>
        <v>880</v>
      </c>
      <c r="R182" s="24" t="n">
        <f aca="false">IF(M182="","",IFERROR(INDEX('Semrush Data'!$A$1:$Z$20000,MATCH(M182,'Semrush Data'!$A$1:$A$20000,0),MATCH("Volume",'Semrush Data'!$A$1:$Z$1,0)),""))</f>
        <v>10</v>
      </c>
      <c r="S182" s="24" t="str">
        <f aca="false">IF(N182="","",IFERROR(INDEX('Semrush Data'!$A$1:$Z$20000,MATCH(N182,'Semrush Data'!$A$1:$A$20000,0),MATCH("Volume",'Semrush Data'!$A$1:$Z$1,0)),""))</f>
        <v/>
      </c>
      <c r="T182" s="24" t="str">
        <f aca="false">IF(O182="","",IFERROR(INDEX('Semrush Data'!$A$1:$Z$20000,MATCH(O182,'Semrush Data'!$A$1:$A$20000,0),MATCH("Volume",'Semrush Data'!$A$1:$Z$1,0)),""))</f>
        <v/>
      </c>
      <c r="U182" s="24" t="n">
        <f aca="false">IF(P182="","",IFERROR(INDEX('Semrush Data'!$A$1:$Z$20000,MATCH(P182,'Semrush Data'!$A$1:$A$20000,0),MATCH("Volume",'Semrush Data'!$A$1:$Z$1,0)),""))</f>
        <v>10</v>
      </c>
      <c r="V182" s="25" t="str">
        <f aca="false">IF(COUNT(Q182:U182)=0,L182,IF(MAX(Q182:U182)=0,L182,INDEX(L182:P182,MATCH(MAX(Q182:U182),Q182:U182,0))))</f>
        <v>al haramain l'aventure</v>
      </c>
      <c r="W182" s="24" t="n">
        <f aca="false">IFERROR(INDEX('Semrush Data'!$A$1:$Z$20000,MATCH(V182,'Semrush Data'!$A$1:$A$20000,0),MATCH("Volume",'Semrush Data'!$A$1:$Z$1,0)),"")</f>
        <v>880</v>
      </c>
      <c r="X182" s="24" t="n">
        <f aca="false">IFERROR(INDEX('Semrush Data'!$A$1:$Z$20000,MATCH(V182,'Semrush Data'!$A$1:$A$20000,0),MATCH("Keyword Difficulty*",'Semrush Data'!$A$1:$Z$1,0)),"")</f>
        <v>21</v>
      </c>
      <c r="Y182" s="26" t="n">
        <f aca="false">IFERROR(INDEX('Semrush Data'!$A$1:$Z$20000,MATCH(V182,'Semrush Data'!$A$1:$A$20000,0),MATCH("CPC*",'Semrush Data'!$A$1:$Z$1,0)),"")</f>
        <v>0.27</v>
      </c>
      <c r="Z182" s="23" t="s">
        <v>2615</v>
      </c>
      <c r="AA182" s="23" t="s">
        <v>2697</v>
      </c>
      <c r="AB182" s="23" t="s">
        <v>2698</v>
      </c>
      <c r="AC182" s="23" t="s">
        <v>2699</v>
      </c>
      <c r="AD182" s="27" t="n">
        <f aca="false">LEN(AC182)</f>
        <v>59</v>
      </c>
      <c r="AE182" s="23" t="s">
        <v>2700</v>
      </c>
      <c r="AF182" s="27" t="n">
        <f aca="false">LEN(AE182)</f>
        <v>155</v>
      </c>
    </row>
    <row r="183" customFormat="false" ht="15" hidden="false" customHeight="true" outlineLevel="0" collapsed="false">
      <c r="A183" s="23" t="s">
        <v>2701</v>
      </c>
      <c r="B183" s="23" t="s">
        <v>2449</v>
      </c>
      <c r="C183" s="23" t="n">
        <v>23</v>
      </c>
      <c r="D183" s="23" t="s">
        <v>2570</v>
      </c>
      <c r="E183" s="23"/>
      <c r="F183" s="23" t="s">
        <v>2452</v>
      </c>
      <c r="G183" s="23" t="s">
        <v>2453</v>
      </c>
      <c r="H183" s="23" t="s">
        <v>2454</v>
      </c>
      <c r="I183" s="23" t="s">
        <v>2702</v>
      </c>
      <c r="J183" s="23" t="s">
        <v>1994</v>
      </c>
      <c r="K183" s="23" t="n">
        <v>28.99</v>
      </c>
      <c r="L183" s="23" t="s">
        <v>2703</v>
      </c>
      <c r="M183" s="23" t="s">
        <v>2704</v>
      </c>
      <c r="N183" s="23" t="s">
        <v>2705</v>
      </c>
      <c r="O183" s="23" t="s">
        <v>2706</v>
      </c>
      <c r="P183" s="23" t="s">
        <v>2707</v>
      </c>
      <c r="Q183" s="24" t="n">
        <f aca="false">IF(L183="","",IFERROR(INDEX('Semrush Data'!$A$1:$Z$20000,MATCH(L183,'Semrush Data'!$A$1:$A$20000,0),MATCH("Volume",'Semrush Data'!$A$1:$Z$1,0)),""))</f>
        <v>70</v>
      </c>
      <c r="R183" s="24" t="n">
        <f aca="false">IF(M183="","",IFERROR(INDEX('Semrush Data'!$A$1:$Z$20000,MATCH(M183,'Semrush Data'!$A$1:$A$20000,0),MATCH("Volume",'Semrush Data'!$A$1:$Z$1,0)),""))</f>
        <v>0</v>
      </c>
      <c r="S183" s="24" t="str">
        <f aca="false">IF(N183="","",IFERROR(INDEX('Semrush Data'!$A$1:$Z$20000,MATCH(N183,'Semrush Data'!$A$1:$A$20000,0),MATCH("Volume",'Semrush Data'!$A$1:$Z$1,0)),""))</f>
        <v/>
      </c>
      <c r="T183" s="24" t="str">
        <f aca="false">IF(O183="","",IFERROR(INDEX('Semrush Data'!$A$1:$Z$20000,MATCH(O183,'Semrush Data'!$A$1:$A$20000,0),MATCH("Volume",'Semrush Data'!$A$1:$Z$1,0)),""))</f>
        <v/>
      </c>
      <c r="U183" s="24" t="n">
        <f aca="false">IF(P183="","",IFERROR(INDEX('Semrush Data'!$A$1:$Z$20000,MATCH(P183,'Semrush Data'!$A$1:$A$20000,0),MATCH("Volume",'Semrush Data'!$A$1:$Z$1,0)),""))</f>
        <v>0</v>
      </c>
      <c r="V183" s="25" t="str">
        <f aca="false">IF(COUNT(Q183:U183)=0,L183,IF(MAX(Q183:U183)=0,L183,INDEX(L183:P183,MATCH(MAX(Q183:U183),Q183:U183,0))))</f>
        <v>al haramain l'aventure femme</v>
      </c>
      <c r="W183" s="24" t="n">
        <f aca="false">IFERROR(INDEX('Semrush Data'!$A$1:$Z$20000,MATCH(V183,'Semrush Data'!$A$1:$A$20000,0),MATCH("Volume",'Semrush Data'!$A$1:$Z$1,0)),"")</f>
        <v>70</v>
      </c>
      <c r="X183" s="24" t="n">
        <f aca="false">IFERROR(INDEX('Semrush Data'!$A$1:$Z$20000,MATCH(V183,'Semrush Data'!$A$1:$A$20000,0),MATCH("Keyword Difficulty*",'Semrush Data'!$A$1:$Z$1,0)),"")</f>
        <v>19</v>
      </c>
      <c r="Y183" s="26" t="n">
        <f aca="false">IFERROR(INDEX('Semrush Data'!$A$1:$Z$20000,MATCH(V183,'Semrush Data'!$A$1:$A$20000,0),MATCH("CPC*",'Semrush Data'!$A$1:$Z$1,0)),"")</f>
        <v>0</v>
      </c>
      <c r="Z183" s="23" t="s">
        <v>2665</v>
      </c>
      <c r="AA183" s="23" t="s">
        <v>2708</v>
      </c>
      <c r="AB183" s="23" t="s">
        <v>2709</v>
      </c>
      <c r="AC183" s="23" t="s">
        <v>2710</v>
      </c>
      <c r="AD183" s="27" t="n">
        <f aca="false">LEN(AC183)</f>
        <v>56</v>
      </c>
      <c r="AE183" s="23" t="s">
        <v>2711</v>
      </c>
      <c r="AF183" s="27" t="n">
        <f aca="false">LEN(AE183)</f>
        <v>158</v>
      </c>
    </row>
    <row r="184" customFormat="false" ht="15" hidden="false" customHeight="true" outlineLevel="0" collapsed="false">
      <c r="A184" s="23" t="s">
        <v>2712</v>
      </c>
      <c r="B184" s="23" t="s">
        <v>2449</v>
      </c>
      <c r="C184" s="23" t="n">
        <v>24</v>
      </c>
      <c r="D184" s="23" t="s">
        <v>2570</v>
      </c>
      <c r="E184" s="23"/>
      <c r="F184" s="23" t="s">
        <v>2452</v>
      </c>
      <c r="G184" s="23" t="s">
        <v>2453</v>
      </c>
      <c r="H184" s="23" t="s">
        <v>2454</v>
      </c>
      <c r="I184" s="23" t="s">
        <v>2713</v>
      </c>
      <c r="J184" s="23" t="s">
        <v>1994</v>
      </c>
      <c r="K184" s="23" t="n">
        <v>28.99</v>
      </c>
      <c r="L184" s="23" t="s">
        <v>2714</v>
      </c>
      <c r="M184" s="23" t="s">
        <v>2715</v>
      </c>
      <c r="N184" s="23" t="s">
        <v>2716</v>
      </c>
      <c r="O184" s="23" t="s">
        <v>2717</v>
      </c>
      <c r="P184" s="23" t="s">
        <v>2718</v>
      </c>
      <c r="Q184" s="24" t="n">
        <f aca="false">IF(L184="","",IFERROR(INDEX('Semrush Data'!$A$1:$Z$20000,MATCH(L184,'Semrush Data'!$A$1:$A$20000,0),MATCH("Volume",'Semrush Data'!$A$1:$Z$1,0)),""))</f>
        <v>20</v>
      </c>
      <c r="R184" s="24" t="n">
        <f aca="false">IF(M184="","",IFERROR(INDEX('Semrush Data'!$A$1:$Z$20000,MATCH(M184,'Semrush Data'!$A$1:$A$20000,0),MATCH("Volume",'Semrush Data'!$A$1:$Z$1,0)),""))</f>
        <v>0</v>
      </c>
      <c r="S184" s="24" t="str">
        <f aca="false">IF(N184="","",IFERROR(INDEX('Semrush Data'!$A$1:$Z$20000,MATCH(N184,'Semrush Data'!$A$1:$A$20000,0),MATCH("Volume",'Semrush Data'!$A$1:$Z$1,0)),""))</f>
        <v/>
      </c>
      <c r="T184" s="24" t="str">
        <f aca="false">IF(O184="","",IFERROR(INDEX('Semrush Data'!$A$1:$Z$20000,MATCH(O184,'Semrush Data'!$A$1:$A$20000,0),MATCH("Volume",'Semrush Data'!$A$1:$Z$1,0)),""))</f>
        <v/>
      </c>
      <c r="U184" s="24" t="str">
        <f aca="false">IF(P184="","",IFERROR(INDEX('Semrush Data'!$A$1:$Z$20000,MATCH(P184,'Semrush Data'!$A$1:$A$20000,0),MATCH("Volume",'Semrush Data'!$A$1:$Z$1,0)),""))</f>
        <v/>
      </c>
      <c r="V184" s="25" t="str">
        <f aca="false">IF(COUNT(Q184:U184)=0,L184,IF(MAX(Q184:U184)=0,L184,INDEX(L184:P184,MATCH(MAX(Q184:U184),Q184:U184,0))))</f>
        <v>al haramain l'aventure gold</v>
      </c>
      <c r="W184" s="24" t="n">
        <f aca="false">IFERROR(INDEX('Semrush Data'!$A$1:$Z$20000,MATCH(V184,'Semrush Data'!$A$1:$A$20000,0),MATCH("Volume",'Semrush Data'!$A$1:$Z$1,0)),"")</f>
        <v>20</v>
      </c>
      <c r="X184" s="24" t="n">
        <f aca="false">IFERROR(INDEX('Semrush Data'!$A$1:$Z$20000,MATCH(V184,'Semrush Data'!$A$1:$A$20000,0),MATCH("Keyword Difficulty*",'Semrush Data'!$A$1:$Z$1,0)),"")</f>
        <v>6</v>
      </c>
      <c r="Y184" s="26" t="n">
        <f aca="false">IFERROR(INDEX('Semrush Data'!$A$1:$Z$20000,MATCH(V184,'Semrush Data'!$A$1:$A$20000,0),MATCH("CPC*",'Semrush Data'!$A$1:$Z$1,0)),"")</f>
        <v>0</v>
      </c>
      <c r="Z184" s="23" t="s">
        <v>2665</v>
      </c>
      <c r="AA184" s="23" t="s">
        <v>2719</v>
      </c>
      <c r="AB184" s="23" t="s">
        <v>2720</v>
      </c>
      <c r="AC184" s="23" t="s">
        <v>2721</v>
      </c>
      <c r="AD184" s="27" t="n">
        <f aca="false">LEN(AC184)</f>
        <v>55</v>
      </c>
      <c r="AE184" s="23" t="s">
        <v>2722</v>
      </c>
      <c r="AF184" s="27" t="n">
        <f aca="false">LEN(AE184)</f>
        <v>157</v>
      </c>
    </row>
    <row r="185" customFormat="false" ht="15" hidden="false" customHeight="true" outlineLevel="0" collapsed="false">
      <c r="A185" s="23" t="s">
        <v>2723</v>
      </c>
      <c r="B185" s="23" t="s">
        <v>2449</v>
      </c>
      <c r="C185" s="23" t="n">
        <v>25</v>
      </c>
      <c r="D185" s="23" t="s">
        <v>2570</v>
      </c>
      <c r="E185" s="23"/>
      <c r="F185" s="23" t="s">
        <v>2452</v>
      </c>
      <c r="G185" s="23" t="s">
        <v>2453</v>
      </c>
      <c r="H185" s="23" t="s">
        <v>2608</v>
      </c>
      <c r="I185" s="23" t="s">
        <v>2724</v>
      </c>
      <c r="J185" s="23" t="s">
        <v>1994</v>
      </c>
      <c r="K185" s="23" t="n">
        <v>30.99</v>
      </c>
      <c r="L185" s="23" t="s">
        <v>2725</v>
      </c>
      <c r="M185" s="23" t="s">
        <v>2726</v>
      </c>
      <c r="N185" s="23" t="s">
        <v>2727</v>
      </c>
      <c r="O185" s="23" t="s">
        <v>2728</v>
      </c>
      <c r="P185" s="23" t="s">
        <v>2729</v>
      </c>
      <c r="Q185" s="24" t="n">
        <f aca="false">IF(L185="","",IFERROR(INDEX('Semrush Data'!$A$1:$Z$20000,MATCH(L185,'Semrush Data'!$A$1:$A$20000,0),MATCH("Volume",'Semrush Data'!$A$1:$Z$1,0)),""))</f>
        <v>110</v>
      </c>
      <c r="R185" s="24" t="n">
        <f aca="false">IF(M185="","",IFERROR(INDEX('Semrush Data'!$A$1:$Z$20000,MATCH(M185,'Semrush Data'!$A$1:$A$20000,0),MATCH("Volume",'Semrush Data'!$A$1:$Z$1,0)),""))</f>
        <v>10</v>
      </c>
      <c r="S185" s="24" t="str">
        <f aca="false">IF(N185="","",IFERROR(INDEX('Semrush Data'!$A$1:$Z$20000,MATCH(N185,'Semrush Data'!$A$1:$A$20000,0),MATCH("Volume",'Semrush Data'!$A$1:$Z$1,0)),""))</f>
        <v/>
      </c>
      <c r="T185" s="24" t="str">
        <f aca="false">IF(O185="","",IFERROR(INDEX('Semrush Data'!$A$1:$Z$20000,MATCH(O185,'Semrush Data'!$A$1:$A$20000,0),MATCH("Volume",'Semrush Data'!$A$1:$Z$1,0)),""))</f>
        <v/>
      </c>
      <c r="U185" s="24" t="n">
        <f aca="false">IF(P185="","",IFERROR(INDEX('Semrush Data'!$A$1:$Z$20000,MATCH(P185,'Semrush Data'!$A$1:$A$20000,0),MATCH("Volume",'Semrush Data'!$A$1:$Z$1,0)),""))</f>
        <v>10</v>
      </c>
      <c r="V185" s="25" t="str">
        <f aca="false">IF(COUNT(Q185:U185)=0,L185,IF(MAX(Q185:U185)=0,L185,INDEX(L185:P185,MATCH(MAX(Q185:U185),Q185:U185,0))))</f>
        <v>al haramain l'aventure intense</v>
      </c>
      <c r="W185" s="24" t="n">
        <f aca="false">IFERROR(INDEX('Semrush Data'!$A$1:$Z$20000,MATCH(V185,'Semrush Data'!$A$1:$A$20000,0),MATCH("Volume",'Semrush Data'!$A$1:$Z$1,0)),"")</f>
        <v>110</v>
      </c>
      <c r="X185" s="24" t="n">
        <f aca="false">IFERROR(INDEX('Semrush Data'!$A$1:$Z$20000,MATCH(V185,'Semrush Data'!$A$1:$A$20000,0),MATCH("Keyword Difficulty*",'Semrush Data'!$A$1:$Z$1,0)),"")</f>
        <v>22</v>
      </c>
      <c r="Y185" s="26" t="n">
        <f aca="false">IFERROR(INDEX('Semrush Data'!$A$1:$Z$20000,MATCH(V185,'Semrush Data'!$A$1:$A$20000,0),MATCH("CPC*",'Semrush Data'!$A$1:$Z$1,0)),"")</f>
        <v>0.41</v>
      </c>
      <c r="Z185" s="23" t="s">
        <v>2615</v>
      </c>
      <c r="AA185" s="23" t="s">
        <v>2730</v>
      </c>
      <c r="AB185" s="23" t="s">
        <v>2731</v>
      </c>
      <c r="AC185" s="23" t="s">
        <v>2732</v>
      </c>
      <c r="AD185" s="27" t="n">
        <f aca="false">LEN(AC185)</f>
        <v>58</v>
      </c>
      <c r="AE185" s="23" t="s">
        <v>2733</v>
      </c>
      <c r="AF185" s="27" t="n">
        <f aca="false">LEN(AE185)</f>
        <v>157</v>
      </c>
    </row>
    <row r="186" customFormat="false" ht="15" hidden="false" customHeight="true" outlineLevel="0" collapsed="false">
      <c r="A186" s="23" t="s">
        <v>2734</v>
      </c>
      <c r="B186" s="23" t="s">
        <v>2449</v>
      </c>
      <c r="C186" s="23" t="n">
        <v>26</v>
      </c>
      <c r="D186" s="23" t="s">
        <v>2570</v>
      </c>
      <c r="E186" s="23"/>
      <c r="F186" s="23" t="s">
        <v>2452</v>
      </c>
      <c r="G186" s="23" t="s">
        <v>2735</v>
      </c>
      <c r="H186" s="23" t="s">
        <v>2538</v>
      </c>
      <c r="I186" s="23" t="s">
        <v>2736</v>
      </c>
      <c r="J186" s="23" t="s">
        <v>2597</v>
      </c>
      <c r="K186" s="23" t="n">
        <v>37.99</v>
      </c>
      <c r="L186" s="23" t="s">
        <v>2737</v>
      </c>
      <c r="M186" s="23" t="s">
        <v>2738</v>
      </c>
      <c r="N186" s="23" t="s">
        <v>2739</v>
      </c>
      <c r="O186" s="23" t="s">
        <v>2740</v>
      </c>
      <c r="P186" s="23" t="s">
        <v>2741</v>
      </c>
      <c r="Q186" s="24" t="n">
        <f aca="false">IF(L186="","",IFERROR(INDEX('Semrush Data'!$A$1:$Z$20000,MATCH(L186,'Semrush Data'!$A$1:$A$20000,0),MATCH("Volume",'Semrush Data'!$A$1:$Z$1,0)),""))</f>
        <v>20</v>
      </c>
      <c r="R186" s="24" t="n">
        <f aca="false">IF(M186="","",IFERROR(INDEX('Semrush Data'!$A$1:$Z$20000,MATCH(M186,'Semrush Data'!$A$1:$A$20000,0),MATCH("Volume",'Semrush Data'!$A$1:$Z$1,0)),""))</f>
        <v>0</v>
      </c>
      <c r="S186" s="24" t="str">
        <f aca="false">IF(N186="","",IFERROR(INDEX('Semrush Data'!$A$1:$Z$20000,MATCH(N186,'Semrush Data'!$A$1:$A$20000,0),MATCH("Volume",'Semrush Data'!$A$1:$Z$1,0)),""))</f>
        <v/>
      </c>
      <c r="T186" s="24" t="str">
        <f aca="false">IF(O186="","",IFERROR(INDEX('Semrush Data'!$A$1:$Z$20000,MATCH(O186,'Semrush Data'!$A$1:$A$20000,0),MATCH("Volume",'Semrush Data'!$A$1:$Z$1,0)),""))</f>
        <v/>
      </c>
      <c r="U186" s="24" t="str">
        <f aca="false">IF(P186="","",IFERROR(INDEX('Semrush Data'!$A$1:$Z$20000,MATCH(P186,'Semrush Data'!$A$1:$A$20000,0),MATCH("Volume",'Semrush Data'!$A$1:$Z$1,0)),""))</f>
        <v/>
      </c>
      <c r="V186" s="25" t="str">
        <f aca="false">IF(COUNT(Q186:U186)=0,L186,IF(MAX(Q186:U186)=0,L186,INDEX(L186:P186,MATCH(MAX(Q186:U186),Q186:U186,0))))</f>
        <v>al haramain amber oud extreme gold edition</v>
      </c>
      <c r="W186" s="24" t="n">
        <f aca="false">IFERROR(INDEX('Semrush Data'!$A$1:$Z$20000,MATCH(V186,'Semrush Data'!$A$1:$A$20000,0),MATCH("Volume",'Semrush Data'!$A$1:$Z$1,0)),"")</f>
        <v>20</v>
      </c>
      <c r="X186" s="24" t="n">
        <f aca="false">IFERROR(INDEX('Semrush Data'!$A$1:$Z$20000,MATCH(V186,'Semrush Data'!$A$1:$A$20000,0),MATCH("Keyword Difficulty*",'Semrush Data'!$A$1:$Z$1,0)),"")</f>
        <v>13</v>
      </c>
      <c r="Y186" s="26" t="n">
        <f aca="false">IFERROR(INDEX('Semrush Data'!$A$1:$Z$20000,MATCH(V186,'Semrush Data'!$A$1:$A$20000,0),MATCH("CPC*",'Semrush Data'!$A$1:$Z$1,0)),"")</f>
        <v>0</v>
      </c>
      <c r="Z186" s="23" t="s">
        <v>2577</v>
      </c>
      <c r="AA186" s="23" t="s">
        <v>2742</v>
      </c>
      <c r="AB186" s="23" t="s">
        <v>2743</v>
      </c>
      <c r="AC186" s="23" t="s">
        <v>2744</v>
      </c>
      <c r="AD186" s="27" t="n">
        <f aca="false">LEN(AC186)</f>
        <v>56</v>
      </c>
      <c r="AE186" s="23" t="s">
        <v>2745</v>
      </c>
      <c r="AF186" s="27" t="n">
        <f aca="false">LEN(AE186)</f>
        <v>158</v>
      </c>
    </row>
    <row r="187" customFormat="false" ht="15" hidden="false" customHeight="true" outlineLevel="0" collapsed="false">
      <c r="A187" s="23" t="s">
        <v>2746</v>
      </c>
      <c r="B187" s="23" t="s">
        <v>2449</v>
      </c>
      <c r="C187" s="23" t="n">
        <v>27</v>
      </c>
      <c r="D187" s="23" t="s">
        <v>2747</v>
      </c>
      <c r="E187" s="23" t="s">
        <v>2748</v>
      </c>
      <c r="F187" s="23" t="s">
        <v>2452</v>
      </c>
      <c r="G187" s="23" t="s">
        <v>2453</v>
      </c>
      <c r="H187" s="23" t="s">
        <v>2538</v>
      </c>
      <c r="I187" s="23" t="s">
        <v>2749</v>
      </c>
      <c r="J187" s="23" t="s">
        <v>1994</v>
      </c>
      <c r="K187" s="23" t="n">
        <v>125</v>
      </c>
      <c r="L187" s="23" t="s">
        <v>2750</v>
      </c>
      <c r="M187" s="23" t="s">
        <v>2751</v>
      </c>
      <c r="N187" s="23" t="s">
        <v>2752</v>
      </c>
      <c r="O187" s="23" t="s">
        <v>2753</v>
      </c>
      <c r="P187" s="23" t="s">
        <v>2754</v>
      </c>
      <c r="Q187" s="24" t="n">
        <f aca="false">IF(L187="","",IFERROR(INDEX('Semrush Data'!$A$1:$Z$20000,MATCH(L187,'Semrush Data'!$A$1:$A$20000,0),MATCH("Volume",'Semrush Data'!$A$1:$Z$1,0)),""))</f>
        <v>0</v>
      </c>
      <c r="R187" s="24" t="n">
        <f aca="false">IF(M187="","",IFERROR(INDEX('Semrush Data'!$A$1:$Z$20000,MATCH(M187,'Semrush Data'!$A$1:$A$20000,0),MATCH("Volume",'Semrush Data'!$A$1:$Z$1,0)),""))</f>
        <v>0</v>
      </c>
      <c r="S187" s="24" t="str">
        <f aca="false">IF(N187="","",IFERROR(INDEX('Semrush Data'!$A$1:$Z$20000,MATCH(N187,'Semrush Data'!$A$1:$A$20000,0),MATCH("Volume",'Semrush Data'!$A$1:$Z$1,0)),""))</f>
        <v/>
      </c>
      <c r="T187" s="24" t="str">
        <f aca="false">IF(O187="","",IFERROR(INDEX('Semrush Data'!$A$1:$Z$20000,MATCH(O187,'Semrush Data'!$A$1:$A$20000,0),MATCH("Volume",'Semrush Data'!$A$1:$Z$1,0)),""))</f>
        <v/>
      </c>
      <c r="U187" s="24" t="str">
        <f aca="false">IF(P187="","",IFERROR(INDEX('Semrush Data'!$A$1:$Z$20000,MATCH(P187,'Semrush Data'!$A$1:$A$20000,0),MATCH("Volume",'Semrush Data'!$A$1:$Z$1,0)),""))</f>
        <v/>
      </c>
      <c r="V187" s="25" t="str">
        <f aca="false">IF(COUNT(Q187:U187)=0,L187,IF(MAX(Q187:U187)=0,L187,INDEX(L187:P187,MATCH(MAX(Q187:U187),Q187:U187,0))))</f>
        <v>anatome balance</v>
      </c>
      <c r="W187" s="24" t="n">
        <f aca="false">IFERROR(INDEX('Semrush Data'!$A$1:$Z$20000,MATCH(V187,'Semrush Data'!$A$1:$A$20000,0),MATCH("Volume",'Semrush Data'!$A$1:$Z$1,0)),"")</f>
        <v>0</v>
      </c>
      <c r="X187" s="24" t="n">
        <f aca="false">IFERROR(INDEX('Semrush Data'!$A$1:$Z$20000,MATCH(V187,'Semrush Data'!$A$1:$A$20000,0),MATCH("Keyword Difficulty*",'Semrush Data'!$A$1:$Z$1,0)),"")</f>
        <v>17</v>
      </c>
      <c r="Y187" s="26" t="n">
        <f aca="false">IFERROR(INDEX('Semrush Data'!$A$1:$Z$20000,MATCH(V187,'Semrush Data'!$A$1:$A$20000,0),MATCH("CPC*",'Semrush Data'!$A$1:$Z$1,0)),"")</f>
        <v>0</v>
      </c>
      <c r="Z187" s="23" t="s">
        <v>2755</v>
      </c>
      <c r="AA187" s="23" t="s">
        <v>2756</v>
      </c>
      <c r="AB187" s="23" t="s">
        <v>2757</v>
      </c>
      <c r="AC187" s="23" t="s">
        <v>2758</v>
      </c>
      <c r="AD187" s="27" t="n">
        <f aca="false">LEN(AC187)</f>
        <v>54</v>
      </c>
      <c r="AE187" s="23" t="s">
        <v>2759</v>
      </c>
      <c r="AF187" s="27" t="n">
        <f aca="false">LEN(AE187)</f>
        <v>142</v>
      </c>
    </row>
    <row r="188" customFormat="false" ht="15" hidden="false" customHeight="true" outlineLevel="0" collapsed="false">
      <c r="A188" s="23" t="s">
        <v>2760</v>
      </c>
      <c r="B188" s="23" t="s">
        <v>2449</v>
      </c>
      <c r="C188" s="23" t="n">
        <v>28</v>
      </c>
      <c r="D188" s="23" t="s">
        <v>2747</v>
      </c>
      <c r="E188" s="23" t="s">
        <v>2748</v>
      </c>
      <c r="F188" s="23" t="s">
        <v>2452</v>
      </c>
      <c r="G188" s="23" t="s">
        <v>2453</v>
      </c>
      <c r="H188" s="23" t="s">
        <v>2538</v>
      </c>
      <c r="I188" s="23" t="s">
        <v>2749</v>
      </c>
      <c r="J188" s="23" t="s">
        <v>1994</v>
      </c>
      <c r="K188" s="23" t="n">
        <v>28</v>
      </c>
      <c r="L188" s="23" t="s">
        <v>2750</v>
      </c>
      <c r="M188" s="23" t="s">
        <v>2751</v>
      </c>
      <c r="N188" s="23" t="s">
        <v>2752</v>
      </c>
      <c r="O188" s="23" t="s">
        <v>2753</v>
      </c>
      <c r="P188" s="23" t="s">
        <v>2754</v>
      </c>
      <c r="Q188" s="24" t="n">
        <f aca="false">IF(L188="","",IFERROR(INDEX('Semrush Data'!$A$1:$Z$20000,MATCH(L188,'Semrush Data'!$A$1:$A$20000,0),MATCH("Volume",'Semrush Data'!$A$1:$Z$1,0)),""))</f>
        <v>0</v>
      </c>
      <c r="R188" s="24" t="n">
        <f aca="false">IF(M188="","",IFERROR(INDEX('Semrush Data'!$A$1:$Z$20000,MATCH(M188,'Semrush Data'!$A$1:$A$20000,0),MATCH("Volume",'Semrush Data'!$A$1:$Z$1,0)),""))</f>
        <v>0</v>
      </c>
      <c r="S188" s="24" t="str">
        <f aca="false">IF(N188="","",IFERROR(INDEX('Semrush Data'!$A$1:$Z$20000,MATCH(N188,'Semrush Data'!$A$1:$A$20000,0),MATCH("Volume",'Semrush Data'!$A$1:$Z$1,0)),""))</f>
        <v/>
      </c>
      <c r="T188" s="24" t="str">
        <f aca="false">IF(O188="","",IFERROR(INDEX('Semrush Data'!$A$1:$Z$20000,MATCH(O188,'Semrush Data'!$A$1:$A$20000,0),MATCH("Volume",'Semrush Data'!$A$1:$Z$1,0)),""))</f>
        <v/>
      </c>
      <c r="U188" s="24" t="str">
        <f aca="false">IF(P188="","",IFERROR(INDEX('Semrush Data'!$A$1:$Z$20000,MATCH(P188,'Semrush Data'!$A$1:$A$20000,0),MATCH("Volume",'Semrush Data'!$A$1:$Z$1,0)),""))</f>
        <v/>
      </c>
      <c r="V188" s="25" t="str">
        <f aca="false">IF(COUNT(Q188:U188)=0,L188,IF(MAX(Q188:U188)=0,L188,INDEX(L188:P188,MATCH(MAX(Q188:U188),Q188:U188,0))))</f>
        <v>anatome balance</v>
      </c>
      <c r="W188" s="24" t="n">
        <f aca="false">IFERROR(INDEX('Semrush Data'!$A$1:$Z$20000,MATCH(V188,'Semrush Data'!$A$1:$A$20000,0),MATCH("Volume",'Semrush Data'!$A$1:$Z$1,0)),"")</f>
        <v>0</v>
      </c>
      <c r="X188" s="24" t="n">
        <f aca="false">IFERROR(INDEX('Semrush Data'!$A$1:$Z$20000,MATCH(V188,'Semrush Data'!$A$1:$A$20000,0),MATCH("Keyword Difficulty*",'Semrush Data'!$A$1:$Z$1,0)),"")</f>
        <v>17</v>
      </c>
      <c r="Y188" s="26" t="n">
        <f aca="false">IFERROR(INDEX('Semrush Data'!$A$1:$Z$20000,MATCH(V188,'Semrush Data'!$A$1:$A$20000,0),MATCH("CPC*",'Semrush Data'!$A$1:$Z$1,0)),"")</f>
        <v>0</v>
      </c>
      <c r="Z188" s="23" t="s">
        <v>2755</v>
      </c>
      <c r="AA188" s="23" t="s">
        <v>2756</v>
      </c>
      <c r="AB188" s="23" t="s">
        <v>2757</v>
      </c>
      <c r="AC188" s="23" t="s">
        <v>2758</v>
      </c>
      <c r="AD188" s="27" t="n">
        <f aca="false">LEN(AC188)</f>
        <v>54</v>
      </c>
      <c r="AE188" s="23" t="s">
        <v>2759</v>
      </c>
      <c r="AF188" s="27" t="n">
        <f aca="false">LEN(AE188)</f>
        <v>142</v>
      </c>
    </row>
    <row r="189" customFormat="false" ht="15" hidden="false" customHeight="true" outlineLevel="0" collapsed="false">
      <c r="A189" s="23" t="s">
        <v>2761</v>
      </c>
      <c r="B189" s="23" t="s">
        <v>2449</v>
      </c>
      <c r="C189" s="23" t="n">
        <v>29</v>
      </c>
      <c r="D189" s="23" t="s">
        <v>2747</v>
      </c>
      <c r="E189" s="23" t="s">
        <v>2748</v>
      </c>
      <c r="F189" s="23" t="s">
        <v>2452</v>
      </c>
      <c r="G189" s="23" t="s">
        <v>2453</v>
      </c>
      <c r="H189" s="23" t="s">
        <v>2538</v>
      </c>
      <c r="I189" s="23" t="s">
        <v>2749</v>
      </c>
      <c r="J189" s="23" t="s">
        <v>1994</v>
      </c>
      <c r="K189" s="23" t="n">
        <v>68</v>
      </c>
      <c r="L189" s="23" t="s">
        <v>2750</v>
      </c>
      <c r="M189" s="23" t="s">
        <v>2751</v>
      </c>
      <c r="N189" s="23" t="s">
        <v>2752</v>
      </c>
      <c r="O189" s="23" t="s">
        <v>2753</v>
      </c>
      <c r="P189" s="23" t="s">
        <v>2754</v>
      </c>
      <c r="Q189" s="24" t="n">
        <f aca="false">IF(L189="","",IFERROR(INDEX('Semrush Data'!$A$1:$Z$20000,MATCH(L189,'Semrush Data'!$A$1:$A$20000,0),MATCH("Volume",'Semrush Data'!$A$1:$Z$1,0)),""))</f>
        <v>0</v>
      </c>
      <c r="R189" s="24" t="n">
        <f aca="false">IF(M189="","",IFERROR(INDEX('Semrush Data'!$A$1:$Z$20000,MATCH(M189,'Semrush Data'!$A$1:$A$20000,0),MATCH("Volume",'Semrush Data'!$A$1:$Z$1,0)),""))</f>
        <v>0</v>
      </c>
      <c r="S189" s="24" t="str">
        <f aca="false">IF(N189="","",IFERROR(INDEX('Semrush Data'!$A$1:$Z$20000,MATCH(N189,'Semrush Data'!$A$1:$A$20000,0),MATCH("Volume",'Semrush Data'!$A$1:$Z$1,0)),""))</f>
        <v/>
      </c>
      <c r="T189" s="24" t="str">
        <f aca="false">IF(O189="","",IFERROR(INDEX('Semrush Data'!$A$1:$Z$20000,MATCH(O189,'Semrush Data'!$A$1:$A$20000,0),MATCH("Volume",'Semrush Data'!$A$1:$Z$1,0)),""))</f>
        <v/>
      </c>
      <c r="U189" s="24" t="str">
        <f aca="false">IF(P189="","",IFERROR(INDEX('Semrush Data'!$A$1:$Z$20000,MATCH(P189,'Semrush Data'!$A$1:$A$20000,0),MATCH("Volume",'Semrush Data'!$A$1:$Z$1,0)),""))</f>
        <v/>
      </c>
      <c r="V189" s="25" t="str">
        <f aca="false">IF(COUNT(Q189:U189)=0,L189,IF(MAX(Q189:U189)=0,L189,INDEX(L189:P189,MATCH(MAX(Q189:U189),Q189:U189,0))))</f>
        <v>anatome balance</v>
      </c>
      <c r="W189" s="24" t="n">
        <f aca="false">IFERROR(INDEX('Semrush Data'!$A$1:$Z$20000,MATCH(V189,'Semrush Data'!$A$1:$A$20000,0),MATCH("Volume",'Semrush Data'!$A$1:$Z$1,0)),"")</f>
        <v>0</v>
      </c>
      <c r="X189" s="24" t="n">
        <f aca="false">IFERROR(INDEX('Semrush Data'!$A$1:$Z$20000,MATCH(V189,'Semrush Data'!$A$1:$A$20000,0),MATCH("Keyword Difficulty*",'Semrush Data'!$A$1:$Z$1,0)),"")</f>
        <v>17</v>
      </c>
      <c r="Y189" s="26" t="n">
        <f aca="false">IFERROR(INDEX('Semrush Data'!$A$1:$Z$20000,MATCH(V189,'Semrush Data'!$A$1:$A$20000,0),MATCH("CPC*",'Semrush Data'!$A$1:$Z$1,0)),"")</f>
        <v>0</v>
      </c>
      <c r="Z189" s="23" t="s">
        <v>2755</v>
      </c>
      <c r="AA189" s="23" t="s">
        <v>2756</v>
      </c>
      <c r="AB189" s="23" t="s">
        <v>2757</v>
      </c>
      <c r="AC189" s="23" t="s">
        <v>2758</v>
      </c>
      <c r="AD189" s="27" t="n">
        <f aca="false">LEN(AC189)</f>
        <v>54</v>
      </c>
      <c r="AE189" s="23" t="s">
        <v>2759</v>
      </c>
      <c r="AF189" s="27" t="n">
        <f aca="false">LEN(AE189)</f>
        <v>142</v>
      </c>
    </row>
    <row r="190" customFormat="false" ht="15" hidden="false" customHeight="true" outlineLevel="0" collapsed="false">
      <c r="A190" s="23" t="s">
        <v>2762</v>
      </c>
      <c r="B190" s="23" t="s">
        <v>2449</v>
      </c>
      <c r="C190" s="23" t="n">
        <v>30</v>
      </c>
      <c r="D190" s="23" t="s">
        <v>2747</v>
      </c>
      <c r="E190" s="23" t="s">
        <v>2748</v>
      </c>
      <c r="F190" s="23" t="s">
        <v>2452</v>
      </c>
      <c r="G190" s="23" t="s">
        <v>2453</v>
      </c>
      <c r="H190" s="23" t="s">
        <v>2538</v>
      </c>
      <c r="I190" s="23" t="s">
        <v>2763</v>
      </c>
      <c r="J190" s="23" t="s">
        <v>1994</v>
      </c>
      <c r="K190" s="23" t="n">
        <v>125</v>
      </c>
      <c r="L190" s="23" t="s">
        <v>2764</v>
      </c>
      <c r="M190" s="23" t="s">
        <v>2765</v>
      </c>
      <c r="N190" s="23" t="s">
        <v>2766</v>
      </c>
      <c r="O190" s="23" t="s">
        <v>2767</v>
      </c>
      <c r="P190" s="23" t="s">
        <v>2768</v>
      </c>
      <c r="Q190" s="24" t="n">
        <f aca="false">IF(L190="","",IFERROR(INDEX('Semrush Data'!$A$1:$Z$20000,MATCH(L190,'Semrush Data'!$A$1:$A$20000,0),MATCH("Volume",'Semrush Data'!$A$1:$Z$1,0)),""))</f>
        <v>0</v>
      </c>
      <c r="R190" s="24" t="n">
        <f aca="false">IF(M190="","",IFERROR(INDEX('Semrush Data'!$A$1:$Z$20000,MATCH(M190,'Semrush Data'!$A$1:$A$20000,0),MATCH("Volume",'Semrush Data'!$A$1:$Z$1,0)),""))</f>
        <v>0</v>
      </c>
      <c r="S190" s="24" t="str">
        <f aca="false">IF(N190="","",IFERROR(INDEX('Semrush Data'!$A$1:$Z$20000,MATCH(N190,'Semrush Data'!$A$1:$A$20000,0),MATCH("Volume",'Semrush Data'!$A$1:$Z$1,0)),""))</f>
        <v/>
      </c>
      <c r="T190" s="24" t="str">
        <f aca="false">IF(O190="","",IFERROR(INDEX('Semrush Data'!$A$1:$Z$20000,MATCH(O190,'Semrush Data'!$A$1:$A$20000,0),MATCH("Volume",'Semrush Data'!$A$1:$Z$1,0)),""))</f>
        <v/>
      </c>
      <c r="U190" s="24" t="str">
        <f aca="false">IF(P190="","",IFERROR(INDEX('Semrush Data'!$A$1:$Z$20000,MATCH(P190,'Semrush Data'!$A$1:$A$20000,0),MATCH("Volume",'Semrush Data'!$A$1:$Z$1,0)),""))</f>
        <v/>
      </c>
      <c r="V190" s="25" t="str">
        <f aca="false">IF(COUNT(Q190:U190)=0,L190,IF(MAX(Q190:U190)=0,L190,INDEX(L190:P190,MATCH(MAX(Q190:U190),Q190:U190,0))))</f>
        <v>anatome energy</v>
      </c>
      <c r="W190" s="24" t="n">
        <f aca="false">IFERROR(INDEX('Semrush Data'!$A$1:$Z$20000,MATCH(V190,'Semrush Data'!$A$1:$A$20000,0),MATCH("Volume",'Semrush Data'!$A$1:$Z$1,0)),"")</f>
        <v>0</v>
      </c>
      <c r="X190" s="24" t="n">
        <f aca="false">IFERROR(INDEX('Semrush Data'!$A$1:$Z$20000,MATCH(V190,'Semrush Data'!$A$1:$A$20000,0),MATCH("Keyword Difficulty*",'Semrush Data'!$A$1:$Z$1,0)),"")</f>
        <v>12</v>
      </c>
      <c r="Y190" s="26" t="n">
        <f aca="false">IFERROR(INDEX('Semrush Data'!$A$1:$Z$20000,MATCH(V190,'Semrush Data'!$A$1:$A$20000,0),MATCH("CPC*",'Semrush Data'!$A$1:$Z$1,0)),"")</f>
        <v>0</v>
      </c>
      <c r="Z190" s="23" t="s">
        <v>2755</v>
      </c>
      <c r="AA190" s="23" t="s">
        <v>2769</v>
      </c>
      <c r="AB190" s="23" t="s">
        <v>2770</v>
      </c>
      <c r="AC190" s="23" t="s">
        <v>2771</v>
      </c>
      <c r="AD190" s="27" t="n">
        <f aca="false">LEN(AC190)</f>
        <v>53</v>
      </c>
      <c r="AE190" s="23" t="s">
        <v>2772</v>
      </c>
      <c r="AF190" s="27" t="n">
        <f aca="false">LEN(AE190)</f>
        <v>141</v>
      </c>
    </row>
    <row r="191" customFormat="false" ht="15" hidden="false" customHeight="true" outlineLevel="0" collapsed="false">
      <c r="A191" s="23" t="s">
        <v>2773</v>
      </c>
      <c r="B191" s="23" t="s">
        <v>2449</v>
      </c>
      <c r="C191" s="23" t="n">
        <v>31</v>
      </c>
      <c r="D191" s="23" t="s">
        <v>2747</v>
      </c>
      <c r="E191" s="23" t="s">
        <v>2748</v>
      </c>
      <c r="F191" s="23" t="s">
        <v>2452</v>
      </c>
      <c r="G191" s="23" t="s">
        <v>2453</v>
      </c>
      <c r="H191" s="23" t="s">
        <v>2538</v>
      </c>
      <c r="I191" s="23" t="s">
        <v>2763</v>
      </c>
      <c r="J191" s="23" t="s">
        <v>1994</v>
      </c>
      <c r="K191" s="23" t="n">
        <v>28</v>
      </c>
      <c r="L191" s="23" t="s">
        <v>2764</v>
      </c>
      <c r="M191" s="23" t="s">
        <v>2765</v>
      </c>
      <c r="N191" s="23" t="s">
        <v>2766</v>
      </c>
      <c r="O191" s="23" t="s">
        <v>2767</v>
      </c>
      <c r="P191" s="23" t="s">
        <v>2768</v>
      </c>
      <c r="Q191" s="24" t="n">
        <f aca="false">IF(L191="","",IFERROR(INDEX('Semrush Data'!$A$1:$Z$20000,MATCH(L191,'Semrush Data'!$A$1:$A$20000,0),MATCH("Volume",'Semrush Data'!$A$1:$Z$1,0)),""))</f>
        <v>0</v>
      </c>
      <c r="R191" s="24" t="n">
        <f aca="false">IF(M191="","",IFERROR(INDEX('Semrush Data'!$A$1:$Z$20000,MATCH(M191,'Semrush Data'!$A$1:$A$20000,0),MATCH("Volume",'Semrush Data'!$A$1:$Z$1,0)),""))</f>
        <v>0</v>
      </c>
      <c r="S191" s="24" t="str">
        <f aca="false">IF(N191="","",IFERROR(INDEX('Semrush Data'!$A$1:$Z$20000,MATCH(N191,'Semrush Data'!$A$1:$A$20000,0),MATCH("Volume",'Semrush Data'!$A$1:$Z$1,0)),""))</f>
        <v/>
      </c>
      <c r="T191" s="24" t="str">
        <f aca="false">IF(O191="","",IFERROR(INDEX('Semrush Data'!$A$1:$Z$20000,MATCH(O191,'Semrush Data'!$A$1:$A$20000,0),MATCH("Volume",'Semrush Data'!$A$1:$Z$1,0)),""))</f>
        <v/>
      </c>
      <c r="U191" s="24" t="str">
        <f aca="false">IF(P191="","",IFERROR(INDEX('Semrush Data'!$A$1:$Z$20000,MATCH(P191,'Semrush Data'!$A$1:$A$20000,0),MATCH("Volume",'Semrush Data'!$A$1:$Z$1,0)),""))</f>
        <v/>
      </c>
      <c r="V191" s="25" t="str">
        <f aca="false">IF(COUNT(Q191:U191)=0,L191,IF(MAX(Q191:U191)=0,L191,INDEX(L191:P191,MATCH(MAX(Q191:U191),Q191:U191,0))))</f>
        <v>anatome energy</v>
      </c>
      <c r="W191" s="24" t="n">
        <f aca="false">IFERROR(INDEX('Semrush Data'!$A$1:$Z$20000,MATCH(V191,'Semrush Data'!$A$1:$A$20000,0),MATCH("Volume",'Semrush Data'!$A$1:$Z$1,0)),"")</f>
        <v>0</v>
      </c>
      <c r="X191" s="24" t="n">
        <f aca="false">IFERROR(INDEX('Semrush Data'!$A$1:$Z$20000,MATCH(V191,'Semrush Data'!$A$1:$A$20000,0),MATCH("Keyword Difficulty*",'Semrush Data'!$A$1:$Z$1,0)),"")</f>
        <v>12</v>
      </c>
      <c r="Y191" s="26" t="n">
        <f aca="false">IFERROR(INDEX('Semrush Data'!$A$1:$Z$20000,MATCH(V191,'Semrush Data'!$A$1:$A$20000,0),MATCH("CPC*",'Semrush Data'!$A$1:$Z$1,0)),"")</f>
        <v>0</v>
      </c>
      <c r="Z191" s="23" t="s">
        <v>2755</v>
      </c>
      <c r="AA191" s="23" t="s">
        <v>2769</v>
      </c>
      <c r="AB191" s="23" t="s">
        <v>2770</v>
      </c>
      <c r="AC191" s="23" t="s">
        <v>2771</v>
      </c>
      <c r="AD191" s="27" t="n">
        <f aca="false">LEN(AC191)</f>
        <v>53</v>
      </c>
      <c r="AE191" s="23" t="s">
        <v>2772</v>
      </c>
      <c r="AF191" s="27" t="n">
        <f aca="false">LEN(AE191)</f>
        <v>141</v>
      </c>
    </row>
    <row r="192" customFormat="false" ht="15" hidden="false" customHeight="true" outlineLevel="0" collapsed="false">
      <c r="A192" s="23" t="s">
        <v>2774</v>
      </c>
      <c r="B192" s="23" t="s">
        <v>2449</v>
      </c>
      <c r="C192" s="23" t="n">
        <v>32</v>
      </c>
      <c r="D192" s="23" t="s">
        <v>2747</v>
      </c>
      <c r="E192" s="23" t="s">
        <v>2748</v>
      </c>
      <c r="F192" s="23" t="s">
        <v>2452</v>
      </c>
      <c r="G192" s="23" t="s">
        <v>2453</v>
      </c>
      <c r="H192" s="23" t="s">
        <v>2538</v>
      </c>
      <c r="I192" s="23" t="s">
        <v>2763</v>
      </c>
      <c r="J192" s="23" t="s">
        <v>1994</v>
      </c>
      <c r="K192" s="23" t="n">
        <v>68</v>
      </c>
      <c r="L192" s="23" t="s">
        <v>2764</v>
      </c>
      <c r="M192" s="23" t="s">
        <v>2765</v>
      </c>
      <c r="N192" s="23" t="s">
        <v>2766</v>
      </c>
      <c r="O192" s="23" t="s">
        <v>2767</v>
      </c>
      <c r="P192" s="23" t="s">
        <v>2768</v>
      </c>
      <c r="Q192" s="24" t="n">
        <f aca="false">IF(L192="","",IFERROR(INDEX('Semrush Data'!$A$1:$Z$20000,MATCH(L192,'Semrush Data'!$A$1:$A$20000,0),MATCH("Volume",'Semrush Data'!$A$1:$Z$1,0)),""))</f>
        <v>0</v>
      </c>
      <c r="R192" s="24" t="n">
        <f aca="false">IF(M192="","",IFERROR(INDEX('Semrush Data'!$A$1:$Z$20000,MATCH(M192,'Semrush Data'!$A$1:$A$20000,0),MATCH("Volume",'Semrush Data'!$A$1:$Z$1,0)),""))</f>
        <v>0</v>
      </c>
      <c r="S192" s="24" t="str">
        <f aca="false">IF(N192="","",IFERROR(INDEX('Semrush Data'!$A$1:$Z$20000,MATCH(N192,'Semrush Data'!$A$1:$A$20000,0),MATCH("Volume",'Semrush Data'!$A$1:$Z$1,0)),""))</f>
        <v/>
      </c>
      <c r="T192" s="24" t="str">
        <f aca="false">IF(O192="","",IFERROR(INDEX('Semrush Data'!$A$1:$Z$20000,MATCH(O192,'Semrush Data'!$A$1:$A$20000,0),MATCH("Volume",'Semrush Data'!$A$1:$Z$1,0)),""))</f>
        <v/>
      </c>
      <c r="U192" s="24" t="str">
        <f aca="false">IF(P192="","",IFERROR(INDEX('Semrush Data'!$A$1:$Z$20000,MATCH(P192,'Semrush Data'!$A$1:$A$20000,0),MATCH("Volume",'Semrush Data'!$A$1:$Z$1,0)),""))</f>
        <v/>
      </c>
      <c r="V192" s="25" t="str">
        <f aca="false">IF(COUNT(Q192:U192)=0,L192,IF(MAX(Q192:U192)=0,L192,INDEX(L192:P192,MATCH(MAX(Q192:U192),Q192:U192,0))))</f>
        <v>anatome energy</v>
      </c>
      <c r="W192" s="24" t="n">
        <f aca="false">IFERROR(INDEX('Semrush Data'!$A$1:$Z$20000,MATCH(V192,'Semrush Data'!$A$1:$A$20000,0),MATCH("Volume",'Semrush Data'!$A$1:$Z$1,0)),"")</f>
        <v>0</v>
      </c>
      <c r="X192" s="24" t="n">
        <f aca="false">IFERROR(INDEX('Semrush Data'!$A$1:$Z$20000,MATCH(V192,'Semrush Data'!$A$1:$A$20000,0),MATCH("Keyword Difficulty*",'Semrush Data'!$A$1:$Z$1,0)),"")</f>
        <v>12</v>
      </c>
      <c r="Y192" s="26" t="n">
        <f aca="false">IFERROR(INDEX('Semrush Data'!$A$1:$Z$20000,MATCH(V192,'Semrush Data'!$A$1:$A$20000,0),MATCH("CPC*",'Semrush Data'!$A$1:$Z$1,0)),"")</f>
        <v>0</v>
      </c>
      <c r="Z192" s="23" t="s">
        <v>2755</v>
      </c>
      <c r="AA192" s="23" t="s">
        <v>2769</v>
      </c>
      <c r="AB192" s="23" t="s">
        <v>2770</v>
      </c>
      <c r="AC192" s="23" t="s">
        <v>2771</v>
      </c>
      <c r="AD192" s="27" t="n">
        <f aca="false">LEN(AC192)</f>
        <v>53</v>
      </c>
      <c r="AE192" s="23" t="s">
        <v>2772</v>
      </c>
      <c r="AF192" s="27" t="n">
        <f aca="false">LEN(AE192)</f>
        <v>141</v>
      </c>
    </row>
    <row r="193" customFormat="false" ht="15" hidden="false" customHeight="true" outlineLevel="0" collapsed="false">
      <c r="A193" s="23" t="s">
        <v>2775</v>
      </c>
      <c r="B193" s="23" t="s">
        <v>2449</v>
      </c>
      <c r="C193" s="23" t="n">
        <v>33</v>
      </c>
      <c r="D193" s="23" t="s">
        <v>2747</v>
      </c>
      <c r="E193" s="23" t="s">
        <v>2748</v>
      </c>
      <c r="F193" s="23" t="s">
        <v>2452</v>
      </c>
      <c r="G193" s="23" t="s">
        <v>2453</v>
      </c>
      <c r="H193" s="23" t="s">
        <v>2538</v>
      </c>
      <c r="I193" s="23" t="s">
        <v>2776</v>
      </c>
      <c r="J193" s="23" t="s">
        <v>1994</v>
      </c>
      <c r="K193" s="23" t="n">
        <v>125</v>
      </c>
      <c r="L193" s="23" t="s">
        <v>2777</v>
      </c>
      <c r="M193" s="23" t="s">
        <v>2778</v>
      </c>
      <c r="N193" s="23" t="s">
        <v>2779</v>
      </c>
      <c r="O193" s="23" t="s">
        <v>2780</v>
      </c>
      <c r="P193" s="23" t="s">
        <v>2781</v>
      </c>
      <c r="Q193" s="24" t="n">
        <f aca="false">IF(L193="","",IFERROR(INDEX('Semrush Data'!$A$1:$Z$20000,MATCH(L193,'Semrush Data'!$A$1:$A$20000,0),MATCH("Volume",'Semrush Data'!$A$1:$Z$1,0)),""))</f>
        <v>0</v>
      </c>
      <c r="R193" s="24" t="n">
        <f aca="false">IF(M193="","",IFERROR(INDEX('Semrush Data'!$A$1:$Z$20000,MATCH(M193,'Semrush Data'!$A$1:$A$20000,0),MATCH("Volume",'Semrush Data'!$A$1:$Z$1,0)),""))</f>
        <v>0</v>
      </c>
      <c r="S193" s="24" t="str">
        <f aca="false">IF(N193="","",IFERROR(INDEX('Semrush Data'!$A$1:$Z$20000,MATCH(N193,'Semrush Data'!$A$1:$A$20000,0),MATCH("Volume",'Semrush Data'!$A$1:$Z$1,0)),""))</f>
        <v/>
      </c>
      <c r="T193" s="24" t="str">
        <f aca="false">IF(O193="","",IFERROR(INDEX('Semrush Data'!$A$1:$Z$20000,MATCH(O193,'Semrush Data'!$A$1:$A$20000,0),MATCH("Volume",'Semrush Data'!$A$1:$Z$1,0)),""))</f>
        <v/>
      </c>
      <c r="U193" s="24" t="str">
        <f aca="false">IF(P193="","",IFERROR(INDEX('Semrush Data'!$A$1:$Z$20000,MATCH(P193,'Semrush Data'!$A$1:$A$20000,0),MATCH("Volume",'Semrush Data'!$A$1:$Z$1,0)),""))</f>
        <v/>
      </c>
      <c r="V193" s="25" t="str">
        <f aca="false">IF(COUNT(Q193:U193)=0,L193,IF(MAX(Q193:U193)=0,L193,INDEX(L193:P193,MATCH(MAX(Q193:U193),Q193:U193,0))))</f>
        <v>anatome expression</v>
      </c>
      <c r="W193" s="24" t="n">
        <f aca="false">IFERROR(INDEX('Semrush Data'!$A$1:$Z$20000,MATCH(V193,'Semrush Data'!$A$1:$A$20000,0),MATCH("Volume",'Semrush Data'!$A$1:$Z$1,0)),"")</f>
        <v>0</v>
      </c>
      <c r="X193" s="24" t="n">
        <f aca="false">IFERROR(INDEX('Semrush Data'!$A$1:$Z$20000,MATCH(V193,'Semrush Data'!$A$1:$A$20000,0),MATCH("Keyword Difficulty*",'Semrush Data'!$A$1:$Z$1,0)),"")</f>
        <v>3</v>
      </c>
      <c r="Y193" s="26" t="n">
        <f aca="false">IFERROR(INDEX('Semrush Data'!$A$1:$Z$20000,MATCH(V193,'Semrush Data'!$A$1:$A$20000,0),MATCH("CPC*",'Semrush Data'!$A$1:$Z$1,0)),"")</f>
        <v>0</v>
      </c>
      <c r="Z193" s="23" t="s">
        <v>2755</v>
      </c>
      <c r="AA193" s="23"/>
      <c r="AB193" s="23" t="s">
        <v>2782</v>
      </c>
      <c r="AC193" s="23" t="s">
        <v>2783</v>
      </c>
      <c r="AD193" s="27" t="n">
        <f aca="false">LEN(AC193)</f>
        <v>51</v>
      </c>
      <c r="AE193" s="23" t="s">
        <v>2784</v>
      </c>
      <c r="AF193" s="27" t="n">
        <f aca="false">LEN(AE193)</f>
        <v>145</v>
      </c>
    </row>
    <row r="194" customFormat="false" ht="15" hidden="false" customHeight="true" outlineLevel="0" collapsed="false">
      <c r="A194" s="23" t="s">
        <v>2785</v>
      </c>
      <c r="B194" s="23" t="s">
        <v>2449</v>
      </c>
      <c r="C194" s="23" t="n">
        <v>34</v>
      </c>
      <c r="D194" s="23" t="s">
        <v>2747</v>
      </c>
      <c r="E194" s="23" t="s">
        <v>2748</v>
      </c>
      <c r="F194" s="23" t="s">
        <v>2452</v>
      </c>
      <c r="G194" s="23" t="s">
        <v>2453</v>
      </c>
      <c r="H194" s="23" t="s">
        <v>2538</v>
      </c>
      <c r="I194" s="23" t="s">
        <v>2776</v>
      </c>
      <c r="J194" s="23" t="s">
        <v>1994</v>
      </c>
      <c r="K194" s="23" t="n">
        <v>28</v>
      </c>
      <c r="L194" s="23" t="s">
        <v>2777</v>
      </c>
      <c r="M194" s="23" t="s">
        <v>2778</v>
      </c>
      <c r="N194" s="23" t="s">
        <v>2779</v>
      </c>
      <c r="O194" s="23" t="s">
        <v>2780</v>
      </c>
      <c r="P194" s="23" t="s">
        <v>2781</v>
      </c>
      <c r="Q194" s="24" t="n">
        <f aca="false">IF(L194="","",IFERROR(INDEX('Semrush Data'!$A$1:$Z$20000,MATCH(L194,'Semrush Data'!$A$1:$A$20000,0),MATCH("Volume",'Semrush Data'!$A$1:$Z$1,0)),""))</f>
        <v>0</v>
      </c>
      <c r="R194" s="24" t="n">
        <f aca="false">IF(M194="","",IFERROR(INDEX('Semrush Data'!$A$1:$Z$20000,MATCH(M194,'Semrush Data'!$A$1:$A$20000,0),MATCH("Volume",'Semrush Data'!$A$1:$Z$1,0)),""))</f>
        <v>0</v>
      </c>
      <c r="S194" s="24" t="str">
        <f aca="false">IF(N194="","",IFERROR(INDEX('Semrush Data'!$A$1:$Z$20000,MATCH(N194,'Semrush Data'!$A$1:$A$20000,0),MATCH("Volume",'Semrush Data'!$A$1:$Z$1,0)),""))</f>
        <v/>
      </c>
      <c r="T194" s="24" t="str">
        <f aca="false">IF(O194="","",IFERROR(INDEX('Semrush Data'!$A$1:$Z$20000,MATCH(O194,'Semrush Data'!$A$1:$A$20000,0),MATCH("Volume",'Semrush Data'!$A$1:$Z$1,0)),""))</f>
        <v/>
      </c>
      <c r="U194" s="24" t="str">
        <f aca="false">IF(P194="","",IFERROR(INDEX('Semrush Data'!$A$1:$Z$20000,MATCH(P194,'Semrush Data'!$A$1:$A$20000,0),MATCH("Volume",'Semrush Data'!$A$1:$Z$1,0)),""))</f>
        <v/>
      </c>
      <c r="V194" s="25" t="str">
        <f aca="false">IF(COUNT(Q194:U194)=0,L194,IF(MAX(Q194:U194)=0,L194,INDEX(L194:P194,MATCH(MAX(Q194:U194),Q194:U194,0))))</f>
        <v>anatome expression</v>
      </c>
      <c r="W194" s="24" t="n">
        <f aca="false">IFERROR(INDEX('Semrush Data'!$A$1:$Z$20000,MATCH(V194,'Semrush Data'!$A$1:$A$20000,0),MATCH("Volume",'Semrush Data'!$A$1:$Z$1,0)),"")</f>
        <v>0</v>
      </c>
      <c r="X194" s="24" t="n">
        <f aca="false">IFERROR(INDEX('Semrush Data'!$A$1:$Z$20000,MATCH(V194,'Semrush Data'!$A$1:$A$20000,0),MATCH("Keyword Difficulty*",'Semrush Data'!$A$1:$Z$1,0)),"")</f>
        <v>3</v>
      </c>
      <c r="Y194" s="26" t="n">
        <f aca="false">IFERROR(INDEX('Semrush Data'!$A$1:$Z$20000,MATCH(V194,'Semrush Data'!$A$1:$A$20000,0),MATCH("CPC*",'Semrush Data'!$A$1:$Z$1,0)),"")</f>
        <v>0</v>
      </c>
      <c r="Z194" s="23" t="s">
        <v>2755</v>
      </c>
      <c r="AA194" s="23"/>
      <c r="AB194" s="23" t="s">
        <v>2782</v>
      </c>
      <c r="AC194" s="23" t="s">
        <v>2783</v>
      </c>
      <c r="AD194" s="27" t="n">
        <f aca="false">LEN(AC194)</f>
        <v>51</v>
      </c>
      <c r="AE194" s="23" t="s">
        <v>2784</v>
      </c>
      <c r="AF194" s="27" t="n">
        <f aca="false">LEN(AE194)</f>
        <v>145</v>
      </c>
    </row>
    <row r="195" customFormat="false" ht="15" hidden="false" customHeight="true" outlineLevel="0" collapsed="false">
      <c r="A195" s="23" t="s">
        <v>2786</v>
      </c>
      <c r="B195" s="23" t="s">
        <v>2449</v>
      </c>
      <c r="C195" s="23" t="n">
        <v>35</v>
      </c>
      <c r="D195" s="23" t="s">
        <v>2747</v>
      </c>
      <c r="E195" s="23" t="s">
        <v>2748</v>
      </c>
      <c r="F195" s="23" t="s">
        <v>2452</v>
      </c>
      <c r="G195" s="23" t="s">
        <v>2453</v>
      </c>
      <c r="H195" s="23" t="s">
        <v>2538</v>
      </c>
      <c r="I195" s="23" t="s">
        <v>2776</v>
      </c>
      <c r="J195" s="23" t="s">
        <v>1994</v>
      </c>
      <c r="K195" s="23" t="n">
        <v>68</v>
      </c>
      <c r="L195" s="23" t="s">
        <v>2777</v>
      </c>
      <c r="M195" s="23" t="s">
        <v>2778</v>
      </c>
      <c r="N195" s="23" t="s">
        <v>2779</v>
      </c>
      <c r="O195" s="23" t="s">
        <v>2780</v>
      </c>
      <c r="P195" s="23" t="s">
        <v>2781</v>
      </c>
      <c r="Q195" s="24" t="n">
        <f aca="false">IF(L195="","",IFERROR(INDEX('Semrush Data'!$A$1:$Z$20000,MATCH(L195,'Semrush Data'!$A$1:$A$20000,0),MATCH("Volume",'Semrush Data'!$A$1:$Z$1,0)),""))</f>
        <v>0</v>
      </c>
      <c r="R195" s="24" t="n">
        <f aca="false">IF(M195="","",IFERROR(INDEX('Semrush Data'!$A$1:$Z$20000,MATCH(M195,'Semrush Data'!$A$1:$A$20000,0),MATCH("Volume",'Semrush Data'!$A$1:$Z$1,0)),""))</f>
        <v>0</v>
      </c>
      <c r="S195" s="24" t="str">
        <f aca="false">IF(N195="","",IFERROR(INDEX('Semrush Data'!$A$1:$Z$20000,MATCH(N195,'Semrush Data'!$A$1:$A$20000,0),MATCH("Volume",'Semrush Data'!$A$1:$Z$1,0)),""))</f>
        <v/>
      </c>
      <c r="T195" s="24" t="str">
        <f aca="false">IF(O195="","",IFERROR(INDEX('Semrush Data'!$A$1:$Z$20000,MATCH(O195,'Semrush Data'!$A$1:$A$20000,0),MATCH("Volume",'Semrush Data'!$A$1:$Z$1,0)),""))</f>
        <v/>
      </c>
      <c r="U195" s="24" t="str">
        <f aca="false">IF(P195="","",IFERROR(INDEX('Semrush Data'!$A$1:$Z$20000,MATCH(P195,'Semrush Data'!$A$1:$A$20000,0),MATCH("Volume",'Semrush Data'!$A$1:$Z$1,0)),""))</f>
        <v/>
      </c>
      <c r="V195" s="25" t="str">
        <f aca="false">IF(COUNT(Q195:U195)=0,L195,IF(MAX(Q195:U195)=0,L195,INDEX(L195:P195,MATCH(MAX(Q195:U195),Q195:U195,0))))</f>
        <v>anatome expression</v>
      </c>
      <c r="W195" s="24" t="n">
        <f aca="false">IFERROR(INDEX('Semrush Data'!$A$1:$Z$20000,MATCH(V195,'Semrush Data'!$A$1:$A$20000,0),MATCH("Volume",'Semrush Data'!$A$1:$Z$1,0)),"")</f>
        <v>0</v>
      </c>
      <c r="X195" s="24" t="n">
        <f aca="false">IFERROR(INDEX('Semrush Data'!$A$1:$Z$20000,MATCH(V195,'Semrush Data'!$A$1:$A$20000,0),MATCH("Keyword Difficulty*",'Semrush Data'!$A$1:$Z$1,0)),"")</f>
        <v>3</v>
      </c>
      <c r="Y195" s="26" t="n">
        <f aca="false">IFERROR(INDEX('Semrush Data'!$A$1:$Z$20000,MATCH(V195,'Semrush Data'!$A$1:$A$20000,0),MATCH("CPC*",'Semrush Data'!$A$1:$Z$1,0)),"")</f>
        <v>0</v>
      </c>
      <c r="Z195" s="23" t="s">
        <v>2755</v>
      </c>
      <c r="AA195" s="23"/>
      <c r="AB195" s="23" t="s">
        <v>2782</v>
      </c>
      <c r="AC195" s="23" t="s">
        <v>2783</v>
      </c>
      <c r="AD195" s="27" t="n">
        <f aca="false">LEN(AC195)</f>
        <v>51</v>
      </c>
      <c r="AE195" s="23" t="s">
        <v>2784</v>
      </c>
      <c r="AF195" s="27" t="n">
        <f aca="false">LEN(AE195)</f>
        <v>145</v>
      </c>
    </row>
    <row r="196" customFormat="false" ht="15" hidden="false" customHeight="true" outlineLevel="0" collapsed="false">
      <c r="A196" s="23" t="s">
        <v>2787</v>
      </c>
      <c r="B196" s="23" t="s">
        <v>2449</v>
      </c>
      <c r="C196" s="23" t="n">
        <v>36</v>
      </c>
      <c r="D196" s="23" t="s">
        <v>2747</v>
      </c>
      <c r="E196" s="23" t="s">
        <v>2748</v>
      </c>
      <c r="F196" s="23" t="s">
        <v>2452</v>
      </c>
      <c r="G196" s="23" t="s">
        <v>2453</v>
      </c>
      <c r="H196" s="23" t="s">
        <v>2538</v>
      </c>
      <c r="I196" s="23" t="s">
        <v>2788</v>
      </c>
      <c r="J196" s="23" t="s">
        <v>1994</v>
      </c>
      <c r="K196" s="23" t="n">
        <v>125</v>
      </c>
      <c r="L196" s="23" t="s">
        <v>2789</v>
      </c>
      <c r="M196" s="23" t="s">
        <v>2790</v>
      </c>
      <c r="N196" s="23" t="s">
        <v>2791</v>
      </c>
      <c r="O196" s="23" t="s">
        <v>2792</v>
      </c>
      <c r="P196" s="23" t="s">
        <v>2793</v>
      </c>
      <c r="Q196" s="24" t="n">
        <f aca="false">IF(L196="","",IFERROR(INDEX('Semrush Data'!$A$1:$Z$20000,MATCH(L196,'Semrush Data'!$A$1:$A$20000,0),MATCH("Volume",'Semrush Data'!$A$1:$Z$1,0)),""))</f>
        <v>0</v>
      </c>
      <c r="R196" s="24" t="n">
        <f aca="false">IF(M196="","",IFERROR(INDEX('Semrush Data'!$A$1:$Z$20000,MATCH(M196,'Semrush Data'!$A$1:$A$20000,0),MATCH("Volume",'Semrush Data'!$A$1:$Z$1,0)),""))</f>
        <v>0</v>
      </c>
      <c r="S196" s="24" t="str">
        <f aca="false">IF(N196="","",IFERROR(INDEX('Semrush Data'!$A$1:$Z$20000,MATCH(N196,'Semrush Data'!$A$1:$A$20000,0),MATCH("Volume",'Semrush Data'!$A$1:$Z$1,0)),""))</f>
        <v/>
      </c>
      <c r="T196" s="24" t="str">
        <f aca="false">IF(O196="","",IFERROR(INDEX('Semrush Data'!$A$1:$Z$20000,MATCH(O196,'Semrush Data'!$A$1:$A$20000,0),MATCH("Volume",'Semrush Data'!$A$1:$Z$1,0)),""))</f>
        <v/>
      </c>
      <c r="U196" s="24" t="str">
        <f aca="false">IF(P196="","",IFERROR(INDEX('Semrush Data'!$A$1:$Z$20000,MATCH(P196,'Semrush Data'!$A$1:$A$20000,0),MATCH("Volume",'Semrush Data'!$A$1:$Z$1,0)),""))</f>
        <v/>
      </c>
      <c r="V196" s="25" t="str">
        <f aca="false">IF(COUNT(Q196:U196)=0,L196,IF(MAX(Q196:U196)=0,L196,INDEX(L196:P196,MATCH(MAX(Q196:U196),Q196:U196,0))))</f>
        <v>anatome focus</v>
      </c>
      <c r="W196" s="24" t="n">
        <f aca="false">IFERROR(INDEX('Semrush Data'!$A$1:$Z$20000,MATCH(V196,'Semrush Data'!$A$1:$A$20000,0),MATCH("Volume",'Semrush Data'!$A$1:$Z$1,0)),"")</f>
        <v>0</v>
      </c>
      <c r="X196" s="24" t="n">
        <f aca="false">IFERROR(INDEX('Semrush Data'!$A$1:$Z$20000,MATCH(V196,'Semrush Data'!$A$1:$A$20000,0),MATCH("Keyword Difficulty*",'Semrush Data'!$A$1:$Z$1,0)),"")</f>
        <v>12</v>
      </c>
      <c r="Y196" s="26" t="n">
        <f aca="false">IFERROR(INDEX('Semrush Data'!$A$1:$Z$20000,MATCH(V196,'Semrush Data'!$A$1:$A$20000,0),MATCH("CPC*",'Semrush Data'!$A$1:$Z$1,0)),"")</f>
        <v>0</v>
      </c>
      <c r="Z196" s="23" t="s">
        <v>2755</v>
      </c>
      <c r="AA196" s="23" t="s">
        <v>2794</v>
      </c>
      <c r="AB196" s="23" t="s">
        <v>2795</v>
      </c>
      <c r="AC196" s="23" t="s">
        <v>2796</v>
      </c>
      <c r="AD196" s="27" t="n">
        <f aca="false">LEN(AC196)</f>
        <v>52</v>
      </c>
      <c r="AE196" s="23" t="s">
        <v>2797</v>
      </c>
      <c r="AF196" s="27" t="n">
        <f aca="false">LEN(AE196)</f>
        <v>140</v>
      </c>
    </row>
    <row r="197" customFormat="false" ht="15" hidden="false" customHeight="true" outlineLevel="0" collapsed="false">
      <c r="A197" s="23" t="s">
        <v>2798</v>
      </c>
      <c r="B197" s="23" t="s">
        <v>2449</v>
      </c>
      <c r="C197" s="23" t="n">
        <v>37</v>
      </c>
      <c r="D197" s="23" t="s">
        <v>2747</v>
      </c>
      <c r="E197" s="23" t="s">
        <v>2748</v>
      </c>
      <c r="F197" s="23" t="s">
        <v>2452</v>
      </c>
      <c r="G197" s="23" t="s">
        <v>2453</v>
      </c>
      <c r="H197" s="23" t="s">
        <v>2538</v>
      </c>
      <c r="I197" s="23" t="s">
        <v>2788</v>
      </c>
      <c r="J197" s="23" t="s">
        <v>1994</v>
      </c>
      <c r="K197" s="23" t="n">
        <v>28</v>
      </c>
      <c r="L197" s="23" t="s">
        <v>2789</v>
      </c>
      <c r="M197" s="23" t="s">
        <v>2790</v>
      </c>
      <c r="N197" s="23" t="s">
        <v>2791</v>
      </c>
      <c r="O197" s="23" t="s">
        <v>2792</v>
      </c>
      <c r="P197" s="23" t="s">
        <v>2793</v>
      </c>
      <c r="Q197" s="24" t="n">
        <f aca="false">IF(L197="","",IFERROR(INDEX('Semrush Data'!$A$1:$Z$20000,MATCH(L197,'Semrush Data'!$A$1:$A$20000,0),MATCH("Volume",'Semrush Data'!$A$1:$Z$1,0)),""))</f>
        <v>0</v>
      </c>
      <c r="R197" s="24" t="n">
        <f aca="false">IF(M197="","",IFERROR(INDEX('Semrush Data'!$A$1:$Z$20000,MATCH(M197,'Semrush Data'!$A$1:$A$20000,0),MATCH("Volume",'Semrush Data'!$A$1:$Z$1,0)),""))</f>
        <v>0</v>
      </c>
      <c r="S197" s="24" t="str">
        <f aca="false">IF(N197="","",IFERROR(INDEX('Semrush Data'!$A$1:$Z$20000,MATCH(N197,'Semrush Data'!$A$1:$A$20000,0),MATCH("Volume",'Semrush Data'!$A$1:$Z$1,0)),""))</f>
        <v/>
      </c>
      <c r="T197" s="24" t="str">
        <f aca="false">IF(O197="","",IFERROR(INDEX('Semrush Data'!$A$1:$Z$20000,MATCH(O197,'Semrush Data'!$A$1:$A$20000,0),MATCH("Volume",'Semrush Data'!$A$1:$Z$1,0)),""))</f>
        <v/>
      </c>
      <c r="U197" s="24" t="str">
        <f aca="false">IF(P197="","",IFERROR(INDEX('Semrush Data'!$A$1:$Z$20000,MATCH(P197,'Semrush Data'!$A$1:$A$20000,0),MATCH("Volume",'Semrush Data'!$A$1:$Z$1,0)),""))</f>
        <v/>
      </c>
      <c r="V197" s="25" t="str">
        <f aca="false">IF(COUNT(Q197:U197)=0,L197,IF(MAX(Q197:U197)=0,L197,INDEX(L197:P197,MATCH(MAX(Q197:U197),Q197:U197,0))))</f>
        <v>anatome focus</v>
      </c>
      <c r="W197" s="24" t="n">
        <f aca="false">IFERROR(INDEX('Semrush Data'!$A$1:$Z$20000,MATCH(V197,'Semrush Data'!$A$1:$A$20000,0),MATCH("Volume",'Semrush Data'!$A$1:$Z$1,0)),"")</f>
        <v>0</v>
      </c>
      <c r="X197" s="24" t="n">
        <f aca="false">IFERROR(INDEX('Semrush Data'!$A$1:$Z$20000,MATCH(V197,'Semrush Data'!$A$1:$A$20000,0),MATCH("Keyword Difficulty*",'Semrush Data'!$A$1:$Z$1,0)),"")</f>
        <v>12</v>
      </c>
      <c r="Y197" s="26" t="n">
        <f aca="false">IFERROR(INDEX('Semrush Data'!$A$1:$Z$20000,MATCH(V197,'Semrush Data'!$A$1:$A$20000,0),MATCH("CPC*",'Semrush Data'!$A$1:$Z$1,0)),"")</f>
        <v>0</v>
      </c>
      <c r="Z197" s="23" t="s">
        <v>2755</v>
      </c>
      <c r="AA197" s="23" t="s">
        <v>2794</v>
      </c>
      <c r="AB197" s="23" t="s">
        <v>2795</v>
      </c>
      <c r="AC197" s="23" t="s">
        <v>2796</v>
      </c>
      <c r="AD197" s="27" t="n">
        <f aca="false">LEN(AC197)</f>
        <v>52</v>
      </c>
      <c r="AE197" s="23" t="s">
        <v>2797</v>
      </c>
      <c r="AF197" s="27" t="n">
        <f aca="false">LEN(AE197)</f>
        <v>140</v>
      </c>
    </row>
    <row r="198" customFormat="false" ht="15" hidden="false" customHeight="true" outlineLevel="0" collapsed="false">
      <c r="A198" s="23" t="s">
        <v>2799</v>
      </c>
      <c r="B198" s="23" t="s">
        <v>2449</v>
      </c>
      <c r="C198" s="23" t="n">
        <v>38</v>
      </c>
      <c r="D198" s="23" t="s">
        <v>2747</v>
      </c>
      <c r="E198" s="23" t="s">
        <v>2748</v>
      </c>
      <c r="F198" s="23" t="s">
        <v>2452</v>
      </c>
      <c r="G198" s="23" t="s">
        <v>2453</v>
      </c>
      <c r="H198" s="23" t="s">
        <v>2538</v>
      </c>
      <c r="I198" s="23" t="s">
        <v>2788</v>
      </c>
      <c r="J198" s="23" t="s">
        <v>1994</v>
      </c>
      <c r="K198" s="23" t="n">
        <v>68</v>
      </c>
      <c r="L198" s="23" t="s">
        <v>2789</v>
      </c>
      <c r="M198" s="23" t="s">
        <v>2790</v>
      </c>
      <c r="N198" s="23" t="s">
        <v>2791</v>
      </c>
      <c r="O198" s="23" t="s">
        <v>2792</v>
      </c>
      <c r="P198" s="23" t="s">
        <v>2793</v>
      </c>
      <c r="Q198" s="24" t="n">
        <f aca="false">IF(L198="","",IFERROR(INDEX('Semrush Data'!$A$1:$Z$20000,MATCH(L198,'Semrush Data'!$A$1:$A$20000,0),MATCH("Volume",'Semrush Data'!$A$1:$Z$1,0)),""))</f>
        <v>0</v>
      </c>
      <c r="R198" s="24" t="n">
        <f aca="false">IF(M198="","",IFERROR(INDEX('Semrush Data'!$A$1:$Z$20000,MATCH(M198,'Semrush Data'!$A$1:$A$20000,0),MATCH("Volume",'Semrush Data'!$A$1:$Z$1,0)),""))</f>
        <v>0</v>
      </c>
      <c r="S198" s="24" t="str">
        <f aca="false">IF(N198="","",IFERROR(INDEX('Semrush Data'!$A$1:$Z$20000,MATCH(N198,'Semrush Data'!$A$1:$A$20000,0),MATCH("Volume",'Semrush Data'!$A$1:$Z$1,0)),""))</f>
        <v/>
      </c>
      <c r="T198" s="24" t="str">
        <f aca="false">IF(O198="","",IFERROR(INDEX('Semrush Data'!$A$1:$Z$20000,MATCH(O198,'Semrush Data'!$A$1:$A$20000,0),MATCH("Volume",'Semrush Data'!$A$1:$Z$1,0)),""))</f>
        <v/>
      </c>
      <c r="U198" s="24" t="str">
        <f aca="false">IF(P198="","",IFERROR(INDEX('Semrush Data'!$A$1:$Z$20000,MATCH(P198,'Semrush Data'!$A$1:$A$20000,0),MATCH("Volume",'Semrush Data'!$A$1:$Z$1,0)),""))</f>
        <v/>
      </c>
      <c r="V198" s="25" t="str">
        <f aca="false">IF(COUNT(Q198:U198)=0,L198,IF(MAX(Q198:U198)=0,L198,INDEX(L198:P198,MATCH(MAX(Q198:U198),Q198:U198,0))))</f>
        <v>anatome focus</v>
      </c>
      <c r="W198" s="24" t="n">
        <f aca="false">IFERROR(INDEX('Semrush Data'!$A$1:$Z$20000,MATCH(V198,'Semrush Data'!$A$1:$A$20000,0),MATCH("Volume",'Semrush Data'!$A$1:$Z$1,0)),"")</f>
        <v>0</v>
      </c>
      <c r="X198" s="24" t="n">
        <f aca="false">IFERROR(INDEX('Semrush Data'!$A$1:$Z$20000,MATCH(V198,'Semrush Data'!$A$1:$A$20000,0),MATCH("Keyword Difficulty*",'Semrush Data'!$A$1:$Z$1,0)),"")</f>
        <v>12</v>
      </c>
      <c r="Y198" s="26" t="n">
        <f aca="false">IFERROR(INDEX('Semrush Data'!$A$1:$Z$20000,MATCH(V198,'Semrush Data'!$A$1:$A$20000,0),MATCH("CPC*",'Semrush Data'!$A$1:$Z$1,0)),"")</f>
        <v>0</v>
      </c>
      <c r="Z198" s="23" t="s">
        <v>2755</v>
      </c>
      <c r="AA198" s="23" t="s">
        <v>2794</v>
      </c>
      <c r="AB198" s="23" t="s">
        <v>2795</v>
      </c>
      <c r="AC198" s="23" t="s">
        <v>2796</v>
      </c>
      <c r="AD198" s="27" t="n">
        <f aca="false">LEN(AC198)</f>
        <v>52</v>
      </c>
      <c r="AE198" s="23" t="s">
        <v>2797</v>
      </c>
      <c r="AF198" s="27" t="n">
        <f aca="false">LEN(AE198)</f>
        <v>140</v>
      </c>
    </row>
    <row r="199" customFormat="false" ht="15" hidden="false" customHeight="true" outlineLevel="0" collapsed="false">
      <c r="A199" s="23" t="s">
        <v>2800</v>
      </c>
      <c r="B199" s="23" t="s">
        <v>2449</v>
      </c>
      <c r="C199" s="23" t="n">
        <v>39</v>
      </c>
      <c r="D199" s="23" t="s">
        <v>2747</v>
      </c>
      <c r="E199" s="23" t="s">
        <v>2748</v>
      </c>
      <c r="F199" s="23" t="s">
        <v>2452</v>
      </c>
      <c r="G199" s="23" t="s">
        <v>2453</v>
      </c>
      <c r="H199" s="23" t="s">
        <v>2538</v>
      </c>
      <c r="I199" s="23" t="s">
        <v>2801</v>
      </c>
      <c r="J199" s="23" t="s">
        <v>2562</v>
      </c>
      <c r="K199" s="23" t="n">
        <v>125</v>
      </c>
      <c r="L199" s="23" t="s">
        <v>2802</v>
      </c>
      <c r="M199" s="23" t="s">
        <v>2803</v>
      </c>
      <c r="N199" s="23" t="s">
        <v>2804</v>
      </c>
      <c r="O199" s="23" t="s">
        <v>2805</v>
      </c>
      <c r="P199" s="23" t="s">
        <v>2806</v>
      </c>
      <c r="Q199" s="24" t="n">
        <f aca="false">IF(L199="","",IFERROR(INDEX('Semrush Data'!$A$1:$Z$20000,MATCH(L199,'Semrush Data'!$A$1:$A$20000,0),MATCH("Volume",'Semrush Data'!$A$1:$Z$1,0)),""))</f>
        <v>0</v>
      </c>
      <c r="R199" s="24" t="n">
        <f aca="false">IF(M199="","",IFERROR(INDEX('Semrush Data'!$A$1:$Z$20000,MATCH(M199,'Semrush Data'!$A$1:$A$20000,0),MATCH("Volume",'Semrush Data'!$A$1:$Z$1,0)),""))</f>
        <v>0</v>
      </c>
      <c r="S199" s="24" t="str">
        <f aca="false">IF(N199="","",IFERROR(INDEX('Semrush Data'!$A$1:$Z$20000,MATCH(N199,'Semrush Data'!$A$1:$A$20000,0),MATCH("Volume",'Semrush Data'!$A$1:$Z$1,0)),""))</f>
        <v/>
      </c>
      <c r="T199" s="24" t="str">
        <f aca="false">IF(O199="","",IFERROR(INDEX('Semrush Data'!$A$1:$Z$20000,MATCH(O199,'Semrush Data'!$A$1:$A$20000,0),MATCH("Volume",'Semrush Data'!$A$1:$Z$1,0)),""))</f>
        <v/>
      </c>
      <c r="U199" s="24" t="str">
        <f aca="false">IF(P199="","",IFERROR(INDEX('Semrush Data'!$A$1:$Z$20000,MATCH(P199,'Semrush Data'!$A$1:$A$20000,0),MATCH("Volume",'Semrush Data'!$A$1:$Z$1,0)),""))</f>
        <v/>
      </c>
      <c r="V199" s="25" t="str">
        <f aca="false">IF(COUNT(Q199:U199)=0,L199,IF(MAX(Q199:U199)=0,L199,INDEX(L199:P199,MATCH(MAX(Q199:U199),Q199:U199,0))))</f>
        <v>anatome support</v>
      </c>
      <c r="W199" s="24" t="n">
        <f aca="false">IFERROR(INDEX('Semrush Data'!$A$1:$Z$20000,MATCH(V199,'Semrush Data'!$A$1:$A$20000,0),MATCH("Volume",'Semrush Data'!$A$1:$Z$1,0)),"")</f>
        <v>0</v>
      </c>
      <c r="X199" s="24" t="n">
        <f aca="false">IFERROR(INDEX('Semrush Data'!$A$1:$Z$20000,MATCH(V199,'Semrush Data'!$A$1:$A$20000,0),MATCH("Keyword Difficulty*",'Semrush Data'!$A$1:$Z$1,0)),"")</f>
        <v>12</v>
      </c>
      <c r="Y199" s="26" t="n">
        <f aca="false">IFERROR(INDEX('Semrush Data'!$A$1:$Z$20000,MATCH(V199,'Semrush Data'!$A$1:$A$20000,0),MATCH("CPC*",'Semrush Data'!$A$1:$Z$1,0)),"")</f>
        <v>0</v>
      </c>
      <c r="Z199" s="23" t="s">
        <v>2755</v>
      </c>
      <c r="AA199" s="23"/>
      <c r="AB199" s="23" t="s">
        <v>2807</v>
      </c>
      <c r="AC199" s="23" t="s">
        <v>2808</v>
      </c>
      <c r="AD199" s="27" t="n">
        <f aca="false">LEN(AC199)</f>
        <v>51</v>
      </c>
      <c r="AE199" s="23" t="s">
        <v>2809</v>
      </c>
      <c r="AF199" s="27" t="n">
        <f aca="false">LEN(AE199)</f>
        <v>149</v>
      </c>
    </row>
    <row r="200" customFormat="false" ht="15" hidden="false" customHeight="true" outlineLevel="0" collapsed="false">
      <c r="A200" s="23" t="s">
        <v>2810</v>
      </c>
      <c r="B200" s="23" t="s">
        <v>2449</v>
      </c>
      <c r="C200" s="23" t="n">
        <v>40</v>
      </c>
      <c r="D200" s="23" t="s">
        <v>2747</v>
      </c>
      <c r="E200" s="23" t="s">
        <v>2748</v>
      </c>
      <c r="F200" s="23" t="s">
        <v>2452</v>
      </c>
      <c r="G200" s="23" t="s">
        <v>2453</v>
      </c>
      <c r="H200" s="23" t="s">
        <v>2538</v>
      </c>
      <c r="I200" s="23" t="s">
        <v>2801</v>
      </c>
      <c r="J200" s="23" t="s">
        <v>2562</v>
      </c>
      <c r="K200" s="23" t="n">
        <v>28</v>
      </c>
      <c r="L200" s="23" t="s">
        <v>2802</v>
      </c>
      <c r="M200" s="23" t="s">
        <v>2803</v>
      </c>
      <c r="N200" s="23" t="s">
        <v>2804</v>
      </c>
      <c r="O200" s="23" t="s">
        <v>2805</v>
      </c>
      <c r="P200" s="23" t="s">
        <v>2806</v>
      </c>
      <c r="Q200" s="24" t="n">
        <f aca="false">IF(L200="","",IFERROR(INDEX('Semrush Data'!$A$1:$Z$20000,MATCH(L200,'Semrush Data'!$A$1:$A$20000,0),MATCH("Volume",'Semrush Data'!$A$1:$Z$1,0)),""))</f>
        <v>0</v>
      </c>
      <c r="R200" s="24" t="n">
        <f aca="false">IF(M200="","",IFERROR(INDEX('Semrush Data'!$A$1:$Z$20000,MATCH(M200,'Semrush Data'!$A$1:$A$20000,0),MATCH("Volume",'Semrush Data'!$A$1:$Z$1,0)),""))</f>
        <v>0</v>
      </c>
      <c r="S200" s="24" t="str">
        <f aca="false">IF(N200="","",IFERROR(INDEX('Semrush Data'!$A$1:$Z$20000,MATCH(N200,'Semrush Data'!$A$1:$A$20000,0),MATCH("Volume",'Semrush Data'!$A$1:$Z$1,0)),""))</f>
        <v/>
      </c>
      <c r="T200" s="24" t="str">
        <f aca="false">IF(O200="","",IFERROR(INDEX('Semrush Data'!$A$1:$Z$20000,MATCH(O200,'Semrush Data'!$A$1:$A$20000,0),MATCH("Volume",'Semrush Data'!$A$1:$Z$1,0)),""))</f>
        <v/>
      </c>
      <c r="U200" s="24" t="str">
        <f aca="false">IF(P200="","",IFERROR(INDEX('Semrush Data'!$A$1:$Z$20000,MATCH(P200,'Semrush Data'!$A$1:$A$20000,0),MATCH("Volume",'Semrush Data'!$A$1:$Z$1,0)),""))</f>
        <v/>
      </c>
      <c r="V200" s="25" t="str">
        <f aca="false">IF(COUNT(Q200:U200)=0,L200,IF(MAX(Q200:U200)=0,L200,INDEX(L200:P200,MATCH(MAX(Q200:U200),Q200:U200,0))))</f>
        <v>anatome support</v>
      </c>
      <c r="W200" s="24" t="n">
        <f aca="false">IFERROR(INDEX('Semrush Data'!$A$1:$Z$20000,MATCH(V200,'Semrush Data'!$A$1:$A$20000,0),MATCH("Volume",'Semrush Data'!$A$1:$Z$1,0)),"")</f>
        <v>0</v>
      </c>
      <c r="X200" s="24" t="n">
        <f aca="false">IFERROR(INDEX('Semrush Data'!$A$1:$Z$20000,MATCH(V200,'Semrush Data'!$A$1:$A$20000,0),MATCH("Keyword Difficulty*",'Semrush Data'!$A$1:$Z$1,0)),"")</f>
        <v>12</v>
      </c>
      <c r="Y200" s="26" t="n">
        <f aca="false">IFERROR(INDEX('Semrush Data'!$A$1:$Z$20000,MATCH(V200,'Semrush Data'!$A$1:$A$20000,0),MATCH("CPC*",'Semrush Data'!$A$1:$Z$1,0)),"")</f>
        <v>0</v>
      </c>
      <c r="Z200" s="23" t="s">
        <v>2755</v>
      </c>
      <c r="AA200" s="23"/>
      <c r="AB200" s="23" t="s">
        <v>2807</v>
      </c>
      <c r="AC200" s="23" t="s">
        <v>2808</v>
      </c>
      <c r="AD200" s="27" t="n">
        <f aca="false">LEN(AC200)</f>
        <v>51</v>
      </c>
      <c r="AE200" s="23" t="s">
        <v>2809</v>
      </c>
      <c r="AF200" s="27" t="n">
        <f aca="false">LEN(AE200)</f>
        <v>149</v>
      </c>
    </row>
    <row r="201" customFormat="false" ht="15" hidden="false" customHeight="true" outlineLevel="0" collapsed="false">
      <c r="A201" s="23" t="s">
        <v>2811</v>
      </c>
      <c r="B201" s="23" t="s">
        <v>2449</v>
      </c>
      <c r="C201" s="23" t="n">
        <v>41</v>
      </c>
      <c r="D201" s="23" t="s">
        <v>2747</v>
      </c>
      <c r="E201" s="23" t="s">
        <v>2748</v>
      </c>
      <c r="F201" s="23" t="s">
        <v>2452</v>
      </c>
      <c r="G201" s="23" t="s">
        <v>2453</v>
      </c>
      <c r="H201" s="23" t="s">
        <v>2538</v>
      </c>
      <c r="I201" s="23" t="s">
        <v>2801</v>
      </c>
      <c r="J201" s="23" t="s">
        <v>2562</v>
      </c>
      <c r="K201" s="23" t="n">
        <v>68</v>
      </c>
      <c r="L201" s="23" t="s">
        <v>2802</v>
      </c>
      <c r="M201" s="23" t="s">
        <v>2803</v>
      </c>
      <c r="N201" s="23" t="s">
        <v>2804</v>
      </c>
      <c r="O201" s="23" t="s">
        <v>2805</v>
      </c>
      <c r="P201" s="23" t="s">
        <v>2806</v>
      </c>
      <c r="Q201" s="24" t="n">
        <f aca="false">IF(L201="","",IFERROR(INDEX('Semrush Data'!$A$1:$Z$20000,MATCH(L201,'Semrush Data'!$A$1:$A$20000,0),MATCH("Volume",'Semrush Data'!$A$1:$Z$1,0)),""))</f>
        <v>0</v>
      </c>
      <c r="R201" s="24" t="n">
        <f aca="false">IF(M201="","",IFERROR(INDEX('Semrush Data'!$A$1:$Z$20000,MATCH(M201,'Semrush Data'!$A$1:$A$20000,0),MATCH("Volume",'Semrush Data'!$A$1:$Z$1,0)),""))</f>
        <v>0</v>
      </c>
      <c r="S201" s="24" t="str">
        <f aca="false">IF(N201="","",IFERROR(INDEX('Semrush Data'!$A$1:$Z$20000,MATCH(N201,'Semrush Data'!$A$1:$A$20000,0),MATCH("Volume",'Semrush Data'!$A$1:$Z$1,0)),""))</f>
        <v/>
      </c>
      <c r="T201" s="24" t="str">
        <f aca="false">IF(O201="","",IFERROR(INDEX('Semrush Data'!$A$1:$Z$20000,MATCH(O201,'Semrush Data'!$A$1:$A$20000,0),MATCH("Volume",'Semrush Data'!$A$1:$Z$1,0)),""))</f>
        <v/>
      </c>
      <c r="U201" s="24" t="str">
        <f aca="false">IF(P201="","",IFERROR(INDEX('Semrush Data'!$A$1:$Z$20000,MATCH(P201,'Semrush Data'!$A$1:$A$20000,0),MATCH("Volume",'Semrush Data'!$A$1:$Z$1,0)),""))</f>
        <v/>
      </c>
      <c r="V201" s="25" t="str">
        <f aca="false">IF(COUNT(Q201:U201)=0,L201,IF(MAX(Q201:U201)=0,L201,INDEX(L201:P201,MATCH(MAX(Q201:U201),Q201:U201,0))))</f>
        <v>anatome support</v>
      </c>
      <c r="W201" s="24" t="n">
        <f aca="false">IFERROR(INDEX('Semrush Data'!$A$1:$Z$20000,MATCH(V201,'Semrush Data'!$A$1:$A$20000,0),MATCH("Volume",'Semrush Data'!$A$1:$Z$1,0)),"")</f>
        <v>0</v>
      </c>
      <c r="X201" s="24" t="n">
        <f aca="false">IFERROR(INDEX('Semrush Data'!$A$1:$Z$20000,MATCH(V201,'Semrush Data'!$A$1:$A$20000,0),MATCH("Keyword Difficulty*",'Semrush Data'!$A$1:$Z$1,0)),"")</f>
        <v>12</v>
      </c>
      <c r="Y201" s="26" t="n">
        <f aca="false">IFERROR(INDEX('Semrush Data'!$A$1:$Z$20000,MATCH(V201,'Semrush Data'!$A$1:$A$20000,0),MATCH("CPC*",'Semrush Data'!$A$1:$Z$1,0)),"")</f>
        <v>0</v>
      </c>
      <c r="Z201" s="23" t="s">
        <v>2755</v>
      </c>
      <c r="AA201" s="23"/>
      <c r="AB201" s="23" t="s">
        <v>2807</v>
      </c>
      <c r="AC201" s="23" t="s">
        <v>2808</v>
      </c>
      <c r="AD201" s="27" t="n">
        <f aca="false">LEN(AC201)</f>
        <v>51</v>
      </c>
      <c r="AE201" s="23" t="s">
        <v>2809</v>
      </c>
      <c r="AF201" s="27" t="n">
        <f aca="false">LEN(AE201)</f>
        <v>149</v>
      </c>
    </row>
    <row r="202" customFormat="false" ht="15" hidden="false" customHeight="true" outlineLevel="0" collapsed="false">
      <c r="A202" s="23" t="s">
        <v>2812</v>
      </c>
      <c r="B202" s="23" t="s">
        <v>2449</v>
      </c>
      <c r="C202" s="23" t="n">
        <v>42</v>
      </c>
      <c r="D202" s="23" t="s">
        <v>2747</v>
      </c>
      <c r="E202" s="23" t="s">
        <v>2748</v>
      </c>
      <c r="F202" s="23" t="s">
        <v>2452</v>
      </c>
      <c r="G202" s="23" t="s">
        <v>2453</v>
      </c>
      <c r="H202" s="23" t="s">
        <v>2538</v>
      </c>
      <c r="I202" s="23" t="s">
        <v>2813</v>
      </c>
      <c r="J202" s="23" t="s">
        <v>2814</v>
      </c>
      <c r="K202" s="23" t="n">
        <v>28</v>
      </c>
      <c r="L202" s="23" t="s">
        <v>2802</v>
      </c>
      <c r="M202" s="23" t="s">
        <v>2803</v>
      </c>
      <c r="N202" s="23" t="s">
        <v>2804</v>
      </c>
      <c r="O202" s="23" t="s">
        <v>2805</v>
      </c>
      <c r="P202" s="23" t="s">
        <v>2806</v>
      </c>
      <c r="Q202" s="24" t="n">
        <f aca="false">IF(L202="","",IFERROR(INDEX('Semrush Data'!$A$1:$Z$20000,MATCH(L202,'Semrush Data'!$A$1:$A$20000,0),MATCH("Volume",'Semrush Data'!$A$1:$Z$1,0)),""))</f>
        <v>0</v>
      </c>
      <c r="R202" s="24" t="n">
        <f aca="false">IF(M202="","",IFERROR(INDEX('Semrush Data'!$A$1:$Z$20000,MATCH(M202,'Semrush Data'!$A$1:$A$20000,0),MATCH("Volume",'Semrush Data'!$A$1:$Z$1,0)),""))</f>
        <v>0</v>
      </c>
      <c r="S202" s="24" t="str">
        <f aca="false">IF(N202="","",IFERROR(INDEX('Semrush Data'!$A$1:$Z$20000,MATCH(N202,'Semrush Data'!$A$1:$A$20000,0),MATCH("Volume",'Semrush Data'!$A$1:$Z$1,0)),""))</f>
        <v/>
      </c>
      <c r="T202" s="24" t="str">
        <f aca="false">IF(O202="","",IFERROR(INDEX('Semrush Data'!$A$1:$Z$20000,MATCH(O202,'Semrush Data'!$A$1:$A$20000,0),MATCH("Volume",'Semrush Data'!$A$1:$Z$1,0)),""))</f>
        <v/>
      </c>
      <c r="U202" s="24" t="str">
        <f aca="false">IF(P202="","",IFERROR(INDEX('Semrush Data'!$A$1:$Z$20000,MATCH(P202,'Semrush Data'!$A$1:$A$20000,0),MATCH("Volume",'Semrush Data'!$A$1:$Z$1,0)),""))</f>
        <v/>
      </c>
      <c r="V202" s="25" t="str">
        <f aca="false">IF(COUNT(Q202:U202)=0,L202,IF(MAX(Q202:U202)=0,L202,INDEX(L202:P202,MATCH(MAX(Q202:U202),Q202:U202,0))))</f>
        <v>anatome support</v>
      </c>
      <c r="W202" s="24" t="n">
        <f aca="false">IFERROR(INDEX('Semrush Data'!$A$1:$Z$20000,MATCH(V202,'Semrush Data'!$A$1:$A$20000,0),MATCH("Volume",'Semrush Data'!$A$1:$Z$1,0)),"")</f>
        <v>0</v>
      </c>
      <c r="X202" s="24" t="n">
        <f aca="false">IFERROR(INDEX('Semrush Data'!$A$1:$Z$20000,MATCH(V202,'Semrush Data'!$A$1:$A$20000,0),MATCH("Keyword Difficulty*",'Semrush Data'!$A$1:$Z$1,0)),"")</f>
        <v>12</v>
      </c>
      <c r="Y202" s="26" t="n">
        <f aca="false">IFERROR(INDEX('Semrush Data'!$A$1:$Z$20000,MATCH(V202,'Semrush Data'!$A$1:$A$20000,0),MATCH("CPC*",'Semrush Data'!$A$1:$Z$1,0)),"")</f>
        <v>0</v>
      </c>
      <c r="Z202" s="23" t="s">
        <v>2755</v>
      </c>
      <c r="AA202" s="23"/>
      <c r="AB202" s="23" t="s">
        <v>2807</v>
      </c>
      <c r="AC202" s="23" t="s">
        <v>2815</v>
      </c>
      <c r="AD202" s="27" t="n">
        <f aca="false">LEN(AC202)</f>
        <v>53</v>
      </c>
      <c r="AE202" s="23" t="s">
        <v>2816</v>
      </c>
      <c r="AF202" s="27" t="n">
        <f aca="false">LEN(AE202)</f>
        <v>141</v>
      </c>
    </row>
    <row r="203" customFormat="false" ht="15" hidden="false" customHeight="true" outlineLevel="0" collapsed="false">
      <c r="A203" s="23" t="s">
        <v>139</v>
      </c>
      <c r="B203" s="23" t="s">
        <v>2449</v>
      </c>
      <c r="C203" s="23" t="n">
        <v>43</v>
      </c>
      <c r="D203" s="23" t="s">
        <v>2817</v>
      </c>
      <c r="E203" s="23"/>
      <c r="F203" s="23" t="s">
        <v>2452</v>
      </c>
      <c r="G203" s="23" t="s">
        <v>2818</v>
      </c>
      <c r="H203" s="23" t="s">
        <v>2454</v>
      </c>
      <c r="I203" s="23" t="s">
        <v>140</v>
      </c>
      <c r="J203" s="23" t="s">
        <v>2016</v>
      </c>
      <c r="K203" s="23" t="n">
        <v>18.99</v>
      </c>
      <c r="L203" s="23" t="s">
        <v>2819</v>
      </c>
      <c r="M203" s="23" t="s">
        <v>2820</v>
      </c>
      <c r="N203" s="23" t="s">
        <v>2821</v>
      </c>
      <c r="O203" s="23" t="s">
        <v>2822</v>
      </c>
      <c r="P203" s="23" t="s">
        <v>2823</v>
      </c>
      <c r="Q203" s="24" t="n">
        <f aca="false">IF(L203="","",IFERROR(INDEX('Semrush Data'!$A$1:$Z$20000,MATCH(L203,'Semrush Data'!$A$1:$A$20000,0),MATCH("Volume",'Semrush Data'!$A$1:$Z$1,0)),""))</f>
        <v>390</v>
      </c>
      <c r="R203" s="24" t="n">
        <f aca="false">IF(M203="","",IFERROR(INDEX('Semrush Data'!$A$1:$Z$20000,MATCH(M203,'Semrush Data'!$A$1:$A$20000,0),MATCH("Volume",'Semrush Data'!$A$1:$Z$1,0)),""))</f>
        <v>0</v>
      </c>
      <c r="S203" s="24" t="str">
        <f aca="false">IF(N203="","",IFERROR(INDEX('Semrush Data'!$A$1:$Z$20000,MATCH(N203,'Semrush Data'!$A$1:$A$20000,0),MATCH("Volume",'Semrush Data'!$A$1:$Z$1,0)),""))</f>
        <v/>
      </c>
      <c r="T203" s="24" t="str">
        <f aca="false">IF(O203="","",IFERROR(INDEX('Semrush Data'!$A$1:$Z$20000,MATCH(O203,'Semrush Data'!$A$1:$A$20000,0),MATCH("Volume",'Semrush Data'!$A$1:$Z$1,0)),""))</f>
        <v/>
      </c>
      <c r="U203" s="24" t="n">
        <f aca="false">IF(P203="","",IFERROR(INDEX('Semrush Data'!$A$1:$Z$20000,MATCH(P203,'Semrush Data'!$A$1:$A$20000,0),MATCH("Volume",'Semrush Data'!$A$1:$Z$1,0)),""))</f>
        <v>20</v>
      </c>
      <c r="V203" s="25" t="str">
        <f aca="false">IF(COUNT(Q203:U203)=0,L203,IF(MAX(Q203:U203)=0,L203,INDEX(L203:P203,MATCH(MAX(Q203:U203),Q203:U203,0))))</f>
        <v>anna sui sky</v>
      </c>
      <c r="W203" s="24" t="n">
        <f aca="false">IFERROR(INDEX('Semrush Data'!$A$1:$Z$20000,MATCH(V203,'Semrush Data'!$A$1:$A$20000,0),MATCH("Volume",'Semrush Data'!$A$1:$Z$1,0)),"")</f>
        <v>390</v>
      </c>
      <c r="X203" s="24" t="n">
        <f aca="false">IFERROR(INDEX('Semrush Data'!$A$1:$Z$20000,MATCH(V203,'Semrush Data'!$A$1:$A$20000,0),MATCH("Keyword Difficulty*",'Semrush Data'!$A$1:$Z$1,0)),"")</f>
        <v>19</v>
      </c>
      <c r="Y203" s="26" t="n">
        <f aca="false">IFERROR(INDEX('Semrush Data'!$A$1:$Z$20000,MATCH(V203,'Semrush Data'!$A$1:$A$20000,0),MATCH("CPC*",'Semrush Data'!$A$1:$Z$1,0)),"")</f>
        <v>0.33</v>
      </c>
      <c r="Z203" s="23" t="s">
        <v>2824</v>
      </c>
      <c r="AA203" s="23" t="s">
        <v>2825</v>
      </c>
      <c r="AB203" s="23" t="s">
        <v>2826</v>
      </c>
      <c r="AC203" s="23" t="s">
        <v>2827</v>
      </c>
      <c r="AD203" s="27" t="n">
        <f aca="false">LEN(AC203)</f>
        <v>55</v>
      </c>
      <c r="AE203" s="23" t="s">
        <v>2828</v>
      </c>
      <c r="AF203" s="27" t="n">
        <f aca="false">LEN(AE203)</f>
        <v>151</v>
      </c>
    </row>
    <row r="204" customFormat="false" ht="15" hidden="false" customHeight="true" outlineLevel="0" collapsed="false">
      <c r="A204" s="23" t="s">
        <v>2829</v>
      </c>
      <c r="B204" s="23" t="s">
        <v>2449</v>
      </c>
      <c r="C204" s="23" t="n">
        <v>44</v>
      </c>
      <c r="D204" s="23" t="s">
        <v>2830</v>
      </c>
      <c r="E204" s="23" t="s">
        <v>2831</v>
      </c>
      <c r="F204" s="23" t="s">
        <v>2452</v>
      </c>
      <c r="G204" s="23" t="s">
        <v>2453</v>
      </c>
      <c r="H204" s="23" t="s">
        <v>2583</v>
      </c>
      <c r="I204" s="23" t="s">
        <v>2832</v>
      </c>
      <c r="J204" s="23" t="s">
        <v>2833</v>
      </c>
      <c r="K204" s="23" t="n">
        <v>63.99</v>
      </c>
      <c r="L204" s="23" t="s">
        <v>2834</v>
      </c>
      <c r="M204" s="23" t="s">
        <v>2835</v>
      </c>
      <c r="N204" s="23" t="s">
        <v>2836</v>
      </c>
      <c r="O204" s="23" t="s">
        <v>2837</v>
      </c>
      <c r="P204" s="23" t="s">
        <v>2838</v>
      </c>
      <c r="Q204" s="24" t="n">
        <f aca="false">IF(L204="","",IFERROR(INDEX('Semrush Data'!$A$1:$Z$20000,MATCH(L204,'Semrush Data'!$A$1:$A$20000,0),MATCH("Volume",'Semrush Data'!$A$1:$Z$1,0)),""))</f>
        <v>0</v>
      </c>
      <c r="R204" s="24" t="n">
        <f aca="false">IF(M204="","",IFERROR(INDEX('Semrush Data'!$A$1:$Z$20000,MATCH(M204,'Semrush Data'!$A$1:$A$20000,0),MATCH("Volume",'Semrush Data'!$A$1:$Z$1,0)),""))</f>
        <v>0</v>
      </c>
      <c r="S204" s="24" t="str">
        <f aca="false">IF(N204="","",IFERROR(INDEX('Semrush Data'!$A$1:$Z$20000,MATCH(N204,'Semrush Data'!$A$1:$A$20000,0),MATCH("Volume",'Semrush Data'!$A$1:$Z$1,0)),""))</f>
        <v/>
      </c>
      <c r="T204" s="24" t="str">
        <f aca="false">IF(O204="","",IFERROR(INDEX('Semrush Data'!$A$1:$Z$20000,MATCH(O204,'Semrush Data'!$A$1:$A$20000,0),MATCH("Volume",'Semrush Data'!$A$1:$Z$1,0)),""))</f>
        <v/>
      </c>
      <c r="U204" s="24" t="str">
        <f aca="false">IF(P204="","",IFERROR(INDEX('Semrush Data'!$A$1:$Z$20000,MATCH(P204,'Semrush Data'!$A$1:$A$20000,0),MATCH("Volume",'Semrush Data'!$A$1:$Z$1,0)),""))</f>
        <v/>
      </c>
      <c r="V204" s="25" t="str">
        <f aca="false">IF(COUNT(Q204:U204)=0,L204,IF(MAX(Q204:U204)=0,L204,INDEX(L204:P204,MATCH(MAX(Q204:U204),Q204:U204,0))))</f>
        <v>antonio banderas boucheron patchouli d'angkor</v>
      </c>
      <c r="W204" s="24" t="n">
        <f aca="false">IFERROR(INDEX('Semrush Data'!$A$1:$Z$20000,MATCH(V204,'Semrush Data'!$A$1:$A$20000,0),MATCH("Volume",'Semrush Data'!$A$1:$Z$1,0)),"")</f>
        <v>0</v>
      </c>
      <c r="X204" s="24" t="n">
        <f aca="false">IFERROR(INDEX('Semrush Data'!$A$1:$Z$20000,MATCH(V204,'Semrush Data'!$A$1:$A$20000,0),MATCH("Keyword Difficulty*",'Semrush Data'!$A$1:$Z$1,0)),"")</f>
        <v>9</v>
      </c>
      <c r="Y204" s="26" t="n">
        <f aca="false">IFERROR(INDEX('Semrush Data'!$A$1:$Z$20000,MATCH(V204,'Semrush Data'!$A$1:$A$20000,0),MATCH("CPC*",'Semrush Data'!$A$1:$Z$1,0)),"")</f>
        <v>0</v>
      </c>
      <c r="Z204" s="23" t="s">
        <v>2839</v>
      </c>
      <c r="AA204" s="23"/>
      <c r="AB204" s="23" t="s">
        <v>2840</v>
      </c>
      <c r="AC204" s="23" t="s">
        <v>2841</v>
      </c>
      <c r="AD204" s="27" t="n">
        <f aca="false">LEN(AC204)</f>
        <v>56</v>
      </c>
      <c r="AE204" s="23" t="s">
        <v>2842</v>
      </c>
      <c r="AF204" s="27" t="n">
        <f aca="false">LEN(AE204)</f>
        <v>156</v>
      </c>
    </row>
    <row r="205" customFormat="false" ht="15" hidden="false" customHeight="true" outlineLevel="0" collapsed="false">
      <c r="A205" s="23" t="s">
        <v>2843</v>
      </c>
      <c r="B205" s="23" t="s">
        <v>2449</v>
      </c>
      <c r="C205" s="23" t="n">
        <v>45</v>
      </c>
      <c r="D205" s="23" t="s">
        <v>2830</v>
      </c>
      <c r="E205" s="23" t="s">
        <v>2831</v>
      </c>
      <c r="F205" s="23" t="s">
        <v>2452</v>
      </c>
      <c r="G205" s="23" t="s">
        <v>2453</v>
      </c>
      <c r="H205" s="23" t="s">
        <v>2538</v>
      </c>
      <c r="I205" s="23" t="s">
        <v>2844</v>
      </c>
      <c r="J205" s="23" t="s">
        <v>2833</v>
      </c>
      <c r="K205" s="23" t="n">
        <v>63.99</v>
      </c>
      <c r="L205" s="23" t="s">
        <v>2845</v>
      </c>
      <c r="M205" s="23" t="s">
        <v>2846</v>
      </c>
      <c r="N205" s="23" t="s">
        <v>2847</v>
      </c>
      <c r="O205" s="23" t="s">
        <v>2848</v>
      </c>
      <c r="P205" s="23" t="s">
        <v>2849</v>
      </c>
      <c r="Q205" s="24" t="n">
        <f aca="false">IF(L205="","",IFERROR(INDEX('Semrush Data'!$A$1:$Z$20000,MATCH(L205,'Semrush Data'!$A$1:$A$20000,0),MATCH("Volume",'Semrush Data'!$A$1:$Z$1,0)),""))</f>
        <v>0</v>
      </c>
      <c r="R205" s="24" t="n">
        <f aca="false">IF(M205="","",IFERROR(INDEX('Semrush Data'!$A$1:$Z$20000,MATCH(M205,'Semrush Data'!$A$1:$A$20000,0),MATCH("Volume",'Semrush Data'!$A$1:$Z$1,0)),""))</f>
        <v>0</v>
      </c>
      <c r="S205" s="24" t="str">
        <f aca="false">IF(N205="","",IFERROR(INDEX('Semrush Data'!$A$1:$Z$20000,MATCH(N205,'Semrush Data'!$A$1:$A$20000,0),MATCH("Volume",'Semrush Data'!$A$1:$Z$1,0)),""))</f>
        <v/>
      </c>
      <c r="T205" s="24" t="str">
        <f aca="false">IF(O205="","",IFERROR(INDEX('Semrush Data'!$A$1:$Z$20000,MATCH(O205,'Semrush Data'!$A$1:$A$20000,0),MATCH("Volume",'Semrush Data'!$A$1:$Z$1,0)),""))</f>
        <v/>
      </c>
      <c r="U205" s="24" t="str">
        <f aca="false">IF(P205="","",IFERROR(INDEX('Semrush Data'!$A$1:$Z$20000,MATCH(P205,'Semrush Data'!$A$1:$A$20000,0),MATCH("Volume",'Semrush Data'!$A$1:$Z$1,0)),""))</f>
        <v/>
      </c>
      <c r="V205" s="25" t="str">
        <f aca="false">IF(COUNT(Q205:U205)=0,L205,IF(MAX(Q205:U205)=0,L205,INDEX(L205:P205,MATCH(MAX(Q205:U205),Q205:U205,0))))</f>
        <v>antonio banderas boucheron rose d'isparta</v>
      </c>
      <c r="W205" s="24" t="n">
        <f aca="false">IFERROR(INDEX('Semrush Data'!$A$1:$Z$20000,MATCH(V205,'Semrush Data'!$A$1:$A$20000,0),MATCH("Volume",'Semrush Data'!$A$1:$Z$1,0)),"")</f>
        <v>0</v>
      </c>
      <c r="X205" s="24" t="n">
        <f aca="false">IFERROR(INDEX('Semrush Data'!$A$1:$Z$20000,MATCH(V205,'Semrush Data'!$A$1:$A$20000,0),MATCH("Keyword Difficulty*",'Semrush Data'!$A$1:$Z$1,0)),"")</f>
        <v>17</v>
      </c>
      <c r="Y205" s="26" t="n">
        <f aca="false">IFERROR(INDEX('Semrush Data'!$A$1:$Z$20000,MATCH(V205,'Semrush Data'!$A$1:$A$20000,0),MATCH("CPC*",'Semrush Data'!$A$1:$Z$1,0)),"")</f>
        <v>0</v>
      </c>
      <c r="Z205" s="23" t="s">
        <v>2850</v>
      </c>
      <c r="AA205" s="23"/>
      <c r="AB205" s="23" t="s">
        <v>2851</v>
      </c>
      <c r="AC205" s="23" t="s">
        <v>2852</v>
      </c>
      <c r="AD205" s="27" t="n">
        <f aca="false">LEN(AC205)</f>
        <v>52</v>
      </c>
      <c r="AE205" s="23" t="s">
        <v>2853</v>
      </c>
      <c r="AF205" s="27" t="n">
        <f aca="false">LEN(AE205)</f>
        <v>159</v>
      </c>
    </row>
    <row r="206" customFormat="false" ht="15" hidden="false" customHeight="true" outlineLevel="0" collapsed="false">
      <c r="A206" s="23" t="s">
        <v>2854</v>
      </c>
      <c r="B206" s="23" t="s">
        <v>2449</v>
      </c>
      <c r="C206" s="23" t="n">
        <v>46</v>
      </c>
      <c r="D206" s="23" t="s">
        <v>2830</v>
      </c>
      <c r="E206" s="23" t="s">
        <v>2831</v>
      </c>
      <c r="F206" s="23" t="s">
        <v>2452</v>
      </c>
      <c r="G206" s="23" t="s">
        <v>2818</v>
      </c>
      <c r="H206" s="23" t="s">
        <v>2608</v>
      </c>
      <c r="I206" s="23" t="s">
        <v>2855</v>
      </c>
      <c r="J206" s="23" t="s">
        <v>1994</v>
      </c>
      <c r="K206" s="23" t="n">
        <v>19.99</v>
      </c>
      <c r="L206" s="23" t="s">
        <v>2856</v>
      </c>
      <c r="M206" s="23" t="s">
        <v>2857</v>
      </c>
      <c r="N206" s="23" t="s">
        <v>2858</v>
      </c>
      <c r="O206" s="23" t="s">
        <v>2859</v>
      </c>
      <c r="P206" s="23" t="s">
        <v>2860</v>
      </c>
      <c r="Q206" s="24" t="n">
        <f aca="false">IF(L206="","",IFERROR(INDEX('Semrush Data'!$A$1:$Z$20000,MATCH(L206,'Semrush Data'!$A$1:$A$20000,0),MATCH("Volume",'Semrush Data'!$A$1:$Z$1,0)),""))</f>
        <v>20</v>
      </c>
      <c r="R206" s="24" t="n">
        <f aca="false">IF(M206="","",IFERROR(INDEX('Semrush Data'!$A$1:$Z$20000,MATCH(M206,'Semrush Data'!$A$1:$A$20000,0),MATCH("Volume",'Semrush Data'!$A$1:$Z$1,0)),""))</f>
        <v>0</v>
      </c>
      <c r="S206" s="24" t="str">
        <f aca="false">IF(N206="","",IFERROR(INDEX('Semrush Data'!$A$1:$Z$20000,MATCH(N206,'Semrush Data'!$A$1:$A$20000,0),MATCH("Volume",'Semrush Data'!$A$1:$Z$1,0)),""))</f>
        <v/>
      </c>
      <c r="T206" s="24" t="str">
        <f aca="false">IF(O206="","",IFERROR(INDEX('Semrush Data'!$A$1:$Z$20000,MATCH(O206,'Semrush Data'!$A$1:$A$20000,0),MATCH("Volume",'Semrush Data'!$A$1:$Z$1,0)),""))</f>
        <v/>
      </c>
      <c r="U206" s="24" t="str">
        <f aca="false">IF(P206="","",IFERROR(INDEX('Semrush Data'!$A$1:$Z$20000,MATCH(P206,'Semrush Data'!$A$1:$A$20000,0),MATCH("Volume",'Semrush Data'!$A$1:$Z$1,0)),""))</f>
        <v/>
      </c>
      <c r="V206" s="25" t="str">
        <f aca="false">IF(COUNT(Q206:U206)=0,L206,IF(MAX(Q206:U206)=0,L206,INDEX(L206:P206,MATCH(MAX(Q206:U206),Q206:U206,0))))</f>
        <v>antonio banderas diavolo</v>
      </c>
      <c r="W206" s="24" t="n">
        <f aca="false">IFERROR(INDEX('Semrush Data'!$A$1:$Z$20000,MATCH(V206,'Semrush Data'!$A$1:$A$20000,0),MATCH("Volume",'Semrush Data'!$A$1:$Z$1,0)),"")</f>
        <v>20</v>
      </c>
      <c r="X206" s="24" t="n">
        <f aca="false">IFERROR(INDEX('Semrush Data'!$A$1:$Z$20000,MATCH(V206,'Semrush Data'!$A$1:$A$20000,0),MATCH("Keyword Difficulty*",'Semrush Data'!$A$1:$Z$1,0)),"")</f>
        <v>7</v>
      </c>
      <c r="Y206" s="26" t="n">
        <f aca="false">IFERROR(INDEX('Semrush Data'!$A$1:$Z$20000,MATCH(V206,'Semrush Data'!$A$1:$A$20000,0),MATCH("CPC*",'Semrush Data'!$A$1:$Z$1,0)),"")</f>
        <v>0</v>
      </c>
      <c r="Z206" s="23" t="s">
        <v>2861</v>
      </c>
      <c r="AA206" s="23" t="s">
        <v>2862</v>
      </c>
      <c r="AB206" s="23" t="s">
        <v>2863</v>
      </c>
      <c r="AC206" s="23" t="s">
        <v>2864</v>
      </c>
      <c r="AD206" s="27" t="n">
        <f aca="false">LEN(AC206)</f>
        <v>54</v>
      </c>
      <c r="AE206" s="23" t="s">
        <v>2865</v>
      </c>
      <c r="AF206" s="27" t="n">
        <f aca="false">LEN(AE206)</f>
        <v>155</v>
      </c>
    </row>
    <row r="207" customFormat="false" ht="15" hidden="false" customHeight="true" outlineLevel="0" collapsed="false">
      <c r="A207" s="23" t="s">
        <v>2866</v>
      </c>
      <c r="B207" s="23" t="s">
        <v>2449</v>
      </c>
      <c r="C207" s="23" t="n">
        <v>47</v>
      </c>
      <c r="D207" s="23" t="s">
        <v>2830</v>
      </c>
      <c r="E207" s="23" t="s">
        <v>2831</v>
      </c>
      <c r="F207" s="23" t="s">
        <v>2452</v>
      </c>
      <c r="G207" s="23" t="s">
        <v>2818</v>
      </c>
      <c r="H207" s="23" t="s">
        <v>2454</v>
      </c>
      <c r="I207" s="23" t="s">
        <v>2867</v>
      </c>
      <c r="J207" s="23" t="s">
        <v>2868</v>
      </c>
      <c r="K207" s="23" t="n">
        <v>20.99</v>
      </c>
      <c r="L207" s="23" t="s">
        <v>2869</v>
      </c>
      <c r="M207" s="23" t="s">
        <v>2870</v>
      </c>
      <c r="N207" s="23" t="s">
        <v>2871</v>
      </c>
      <c r="O207" s="23" t="s">
        <v>2872</v>
      </c>
      <c r="P207" s="23" t="s">
        <v>2873</v>
      </c>
      <c r="Q207" s="24" t="n">
        <f aca="false">IF(L207="","",IFERROR(INDEX('Semrush Data'!$A$1:$Z$20000,MATCH(L207,'Semrush Data'!$A$1:$A$20000,0),MATCH("Volume",'Semrush Data'!$A$1:$Z$1,0)),""))</f>
        <v>20</v>
      </c>
      <c r="R207" s="24" t="n">
        <f aca="false">IF(M207="","",IFERROR(INDEX('Semrush Data'!$A$1:$Z$20000,MATCH(M207,'Semrush Data'!$A$1:$A$20000,0),MATCH("Volume",'Semrush Data'!$A$1:$Z$1,0)),""))</f>
        <v>0</v>
      </c>
      <c r="S207" s="24" t="str">
        <f aca="false">IF(N207="","",IFERROR(INDEX('Semrush Data'!$A$1:$Z$20000,MATCH(N207,'Semrush Data'!$A$1:$A$20000,0),MATCH("Volume",'Semrush Data'!$A$1:$Z$1,0)),""))</f>
        <v/>
      </c>
      <c r="T207" s="24" t="str">
        <f aca="false">IF(O207="","",IFERROR(INDEX('Semrush Data'!$A$1:$Z$20000,MATCH(O207,'Semrush Data'!$A$1:$A$20000,0),MATCH("Volume",'Semrush Data'!$A$1:$Z$1,0)),""))</f>
        <v/>
      </c>
      <c r="U207" s="24" t="str">
        <f aca="false">IF(P207="","",IFERROR(INDEX('Semrush Data'!$A$1:$Z$20000,MATCH(P207,'Semrush Data'!$A$1:$A$20000,0),MATCH("Volume",'Semrush Data'!$A$1:$Z$1,0)),""))</f>
        <v/>
      </c>
      <c r="V207" s="25" t="str">
        <f aca="false">IF(COUNT(Q207:U207)=0,L207,IF(MAX(Q207:U207)=0,L207,INDEX(L207:P207,MATCH(MAX(Q207:U207),Q207:U207,0))))</f>
        <v>antonio banderas her secret desire</v>
      </c>
      <c r="W207" s="24" t="n">
        <f aca="false">IFERROR(INDEX('Semrush Data'!$A$1:$Z$20000,MATCH(V207,'Semrush Data'!$A$1:$A$20000,0),MATCH("Volume",'Semrush Data'!$A$1:$Z$1,0)),"")</f>
        <v>20</v>
      </c>
      <c r="X207" s="24" t="n">
        <f aca="false">IFERROR(INDEX('Semrush Data'!$A$1:$Z$20000,MATCH(V207,'Semrush Data'!$A$1:$A$20000,0),MATCH("Keyword Difficulty*",'Semrush Data'!$A$1:$Z$1,0)),"")</f>
        <v>16</v>
      </c>
      <c r="Y207" s="26" t="n">
        <f aca="false">IFERROR(INDEX('Semrush Data'!$A$1:$Z$20000,MATCH(V207,'Semrush Data'!$A$1:$A$20000,0),MATCH("CPC*",'Semrush Data'!$A$1:$Z$1,0)),"")</f>
        <v>0</v>
      </c>
      <c r="Z207" s="23" t="s">
        <v>2874</v>
      </c>
      <c r="AA207" s="23" t="s">
        <v>2875</v>
      </c>
      <c r="AB207" s="23" t="s">
        <v>2876</v>
      </c>
      <c r="AC207" s="23" t="s">
        <v>2877</v>
      </c>
      <c r="AD207" s="27" t="n">
        <f aca="false">LEN(AC207)</f>
        <v>57</v>
      </c>
      <c r="AE207" s="23" t="s">
        <v>2878</v>
      </c>
      <c r="AF207" s="27" t="n">
        <f aca="false">LEN(AE207)</f>
        <v>159</v>
      </c>
    </row>
    <row r="208" customFormat="false" ht="15" hidden="false" customHeight="true" outlineLevel="0" collapsed="false">
      <c r="A208" s="23" t="s">
        <v>2879</v>
      </c>
      <c r="B208" s="23" t="s">
        <v>2449</v>
      </c>
      <c r="C208" s="23" t="n">
        <v>48</v>
      </c>
      <c r="D208" s="23" t="s">
        <v>2830</v>
      </c>
      <c r="E208" s="23" t="s">
        <v>2831</v>
      </c>
      <c r="F208" s="23" t="s">
        <v>2452</v>
      </c>
      <c r="G208" s="23" t="s">
        <v>2818</v>
      </c>
      <c r="H208" s="23" t="s">
        <v>2454</v>
      </c>
      <c r="I208" s="23" t="s">
        <v>2880</v>
      </c>
      <c r="J208" s="23" t="s">
        <v>2868</v>
      </c>
      <c r="K208" s="23" t="n">
        <v>20.99</v>
      </c>
      <c r="L208" s="23" t="s">
        <v>2881</v>
      </c>
      <c r="M208" s="23" t="s">
        <v>2882</v>
      </c>
      <c r="N208" s="23" t="s">
        <v>2883</v>
      </c>
      <c r="O208" s="23" t="s">
        <v>2884</v>
      </c>
      <c r="P208" s="23" t="s">
        <v>2885</v>
      </c>
      <c r="Q208" s="24" t="n">
        <f aca="false">IF(L208="","",IFERROR(INDEX('Semrush Data'!$A$1:$Z$20000,MATCH(L208,'Semrush Data'!$A$1:$A$20000,0),MATCH("Volume",'Semrush Data'!$A$1:$Z$1,0)),""))</f>
        <v>20</v>
      </c>
      <c r="R208" s="24" t="n">
        <f aca="false">IF(M208="","",IFERROR(INDEX('Semrush Data'!$A$1:$Z$20000,MATCH(M208,'Semrush Data'!$A$1:$A$20000,0),MATCH("Volume",'Semrush Data'!$A$1:$Z$1,0)),""))</f>
        <v>0</v>
      </c>
      <c r="S208" s="24" t="str">
        <f aca="false">IF(N208="","",IFERROR(INDEX('Semrush Data'!$A$1:$Z$20000,MATCH(N208,'Semrush Data'!$A$1:$A$20000,0),MATCH("Volume",'Semrush Data'!$A$1:$Z$1,0)),""))</f>
        <v/>
      </c>
      <c r="T208" s="24" t="str">
        <f aca="false">IF(O208="","",IFERROR(INDEX('Semrush Data'!$A$1:$Z$20000,MATCH(O208,'Semrush Data'!$A$1:$A$20000,0),MATCH("Volume",'Semrush Data'!$A$1:$Z$1,0)),""))</f>
        <v/>
      </c>
      <c r="U208" s="24" t="str">
        <f aca="false">IF(P208="","",IFERROR(INDEX('Semrush Data'!$A$1:$Z$20000,MATCH(P208,'Semrush Data'!$A$1:$A$20000,0),MATCH("Volume",'Semrush Data'!$A$1:$Z$1,0)),""))</f>
        <v/>
      </c>
      <c r="V208" s="25" t="str">
        <f aca="false">IF(COUNT(Q208:U208)=0,L208,IF(MAX(Q208:U208)=0,L208,INDEX(L208:P208,MATCH(MAX(Q208:U208),Q208:U208,0))))</f>
        <v>antonio banderas her secret temptation</v>
      </c>
      <c r="W208" s="24" t="n">
        <f aca="false">IFERROR(INDEX('Semrush Data'!$A$1:$Z$20000,MATCH(V208,'Semrush Data'!$A$1:$A$20000,0),MATCH("Volume",'Semrush Data'!$A$1:$Z$1,0)),"")</f>
        <v>20</v>
      </c>
      <c r="X208" s="24" t="n">
        <f aca="false">IFERROR(INDEX('Semrush Data'!$A$1:$Z$20000,MATCH(V208,'Semrush Data'!$A$1:$A$20000,0),MATCH("Keyword Difficulty*",'Semrush Data'!$A$1:$Z$1,0)),"")</f>
        <v>9</v>
      </c>
      <c r="Y208" s="26" t="n">
        <f aca="false">IFERROR(INDEX('Semrush Data'!$A$1:$Z$20000,MATCH(V208,'Semrush Data'!$A$1:$A$20000,0),MATCH("CPC*",'Semrush Data'!$A$1:$Z$1,0)),"")</f>
        <v>0</v>
      </c>
      <c r="Z208" s="23" t="s">
        <v>2874</v>
      </c>
      <c r="AA208" s="23" t="s">
        <v>2886</v>
      </c>
      <c r="AB208" s="23" t="s">
        <v>2887</v>
      </c>
      <c r="AC208" s="23" t="s">
        <v>2888</v>
      </c>
      <c r="AD208" s="27" t="n">
        <f aca="false">LEN(AC208)</f>
        <v>57</v>
      </c>
      <c r="AE208" s="23" t="s">
        <v>2889</v>
      </c>
      <c r="AF208" s="27" t="n">
        <f aca="false">LEN(AE208)</f>
        <v>157</v>
      </c>
    </row>
    <row r="209" customFormat="false" ht="15" hidden="false" customHeight="true" outlineLevel="0" collapsed="false">
      <c r="A209" s="23" t="s">
        <v>2890</v>
      </c>
      <c r="B209" s="23" t="s">
        <v>2449</v>
      </c>
      <c r="C209" s="23" t="n">
        <v>49</v>
      </c>
      <c r="D209" s="23" t="s">
        <v>2830</v>
      </c>
      <c r="E209" s="23" t="s">
        <v>2831</v>
      </c>
      <c r="F209" s="23" t="s">
        <v>2452</v>
      </c>
      <c r="G209" s="23" t="s">
        <v>2818</v>
      </c>
      <c r="H209" s="23" t="s">
        <v>2891</v>
      </c>
      <c r="I209" s="23" t="s">
        <v>2892</v>
      </c>
      <c r="J209" s="23" t="s">
        <v>1468</v>
      </c>
      <c r="K209" s="23" t="n">
        <v>16.99</v>
      </c>
      <c r="L209" s="23" t="s">
        <v>2893</v>
      </c>
      <c r="M209" s="23" t="s">
        <v>2894</v>
      </c>
      <c r="N209" s="23" t="s">
        <v>2895</v>
      </c>
      <c r="O209" s="23" t="s">
        <v>2896</v>
      </c>
      <c r="P209" s="23" t="s">
        <v>2897</v>
      </c>
      <c r="Q209" s="24" t="n">
        <f aca="false">IF(L209="","",IFERROR(INDEX('Semrush Data'!$A$1:$Z$20000,MATCH(L209,'Semrush Data'!$A$1:$A$20000,0),MATCH("Volume",'Semrush Data'!$A$1:$Z$1,0)),""))</f>
        <v>20</v>
      </c>
      <c r="R209" s="24" t="n">
        <f aca="false">IF(M209="","",IFERROR(INDEX('Semrush Data'!$A$1:$Z$20000,MATCH(M209,'Semrush Data'!$A$1:$A$20000,0),MATCH("Volume",'Semrush Data'!$A$1:$Z$1,0)),""))</f>
        <v>0</v>
      </c>
      <c r="S209" s="24" t="str">
        <f aca="false">IF(N209="","",IFERROR(INDEX('Semrush Data'!$A$1:$Z$20000,MATCH(N209,'Semrush Data'!$A$1:$A$20000,0),MATCH("Volume",'Semrush Data'!$A$1:$Z$1,0)),""))</f>
        <v/>
      </c>
      <c r="T209" s="24" t="str">
        <f aca="false">IF(O209="","",IFERROR(INDEX('Semrush Data'!$A$1:$Z$20000,MATCH(O209,'Semrush Data'!$A$1:$A$20000,0),MATCH("Volume",'Semrush Data'!$A$1:$Z$1,0)),""))</f>
        <v/>
      </c>
      <c r="U209" s="24" t="str">
        <f aca="false">IF(P209="","",IFERROR(INDEX('Semrush Data'!$A$1:$Z$20000,MATCH(P209,'Semrush Data'!$A$1:$A$20000,0),MATCH("Volume",'Semrush Data'!$A$1:$Z$1,0)),""))</f>
        <v/>
      </c>
      <c r="V209" s="25" t="str">
        <f aca="false">IF(COUNT(Q209:U209)=0,L209,IF(MAX(Q209:U209)=0,L209,INDEX(L209:P209,MATCH(MAX(Q209:U209),Q209:U209,0))))</f>
        <v>antonio banderas power of seduction</v>
      </c>
      <c r="W209" s="24" t="n">
        <f aca="false">IFERROR(INDEX('Semrush Data'!$A$1:$Z$20000,MATCH(V209,'Semrush Data'!$A$1:$A$20000,0),MATCH("Volume",'Semrush Data'!$A$1:$Z$1,0)),"")</f>
        <v>20</v>
      </c>
      <c r="X209" s="24" t="n">
        <f aca="false">IFERROR(INDEX('Semrush Data'!$A$1:$Z$20000,MATCH(V209,'Semrush Data'!$A$1:$A$20000,0),MATCH("Keyword Difficulty*",'Semrush Data'!$A$1:$Z$1,0)),"")</f>
        <v>9</v>
      </c>
      <c r="Y209" s="26" t="n">
        <f aca="false">IFERROR(INDEX('Semrush Data'!$A$1:$Z$20000,MATCH(V209,'Semrush Data'!$A$1:$A$20000,0),MATCH("CPC*",'Semrush Data'!$A$1:$Z$1,0)),"")</f>
        <v>0</v>
      </c>
      <c r="Z209" s="23" t="s">
        <v>2898</v>
      </c>
      <c r="AA209" s="23" t="s">
        <v>2899</v>
      </c>
      <c r="AB209" s="23" t="s">
        <v>2900</v>
      </c>
      <c r="AC209" s="23" t="s">
        <v>2901</v>
      </c>
      <c r="AD209" s="27" t="n">
        <f aca="false">LEN(AC209)</f>
        <v>58</v>
      </c>
      <c r="AE209" s="23" t="s">
        <v>2902</v>
      </c>
      <c r="AF209" s="27" t="n">
        <f aca="false">LEN(AE209)</f>
        <v>159</v>
      </c>
    </row>
    <row r="210" customFormat="false" ht="15" hidden="false" customHeight="true" outlineLevel="0" collapsed="false">
      <c r="A210" s="23" t="s">
        <v>2903</v>
      </c>
      <c r="B210" s="23" t="s">
        <v>2449</v>
      </c>
      <c r="C210" s="23" t="n">
        <v>50</v>
      </c>
      <c r="D210" s="23" t="s">
        <v>2904</v>
      </c>
      <c r="E210" s="23"/>
      <c r="F210" s="23" t="s">
        <v>2452</v>
      </c>
      <c r="G210" s="23" t="s">
        <v>2453</v>
      </c>
      <c r="H210" s="23" t="s">
        <v>2454</v>
      </c>
      <c r="I210" s="23" t="s">
        <v>2905</v>
      </c>
      <c r="J210" s="23" t="s">
        <v>1994</v>
      </c>
      <c r="K210" s="23" t="n">
        <v>43.99</v>
      </c>
      <c r="L210" s="23" t="s">
        <v>2906</v>
      </c>
      <c r="M210" s="23" t="s">
        <v>2907</v>
      </c>
      <c r="N210" s="23" t="s">
        <v>2908</v>
      </c>
      <c r="O210" s="23" t="s">
        <v>2909</v>
      </c>
      <c r="P210" s="23" t="s">
        <v>2910</v>
      </c>
      <c r="Q210" s="24" t="n">
        <f aca="false">IF(L210="","",IFERROR(INDEX('Semrush Data'!$A$1:$Z$20000,MATCH(L210,'Semrush Data'!$A$1:$A$20000,0),MATCH("Volume",'Semrush Data'!$A$1:$Z$1,0)),""))</f>
        <v>30</v>
      </c>
      <c r="R210" s="24" t="n">
        <f aca="false">IF(M210="","",IFERROR(INDEX('Semrush Data'!$A$1:$Z$20000,MATCH(M210,'Semrush Data'!$A$1:$A$20000,0),MATCH("Volume",'Semrush Data'!$A$1:$Z$1,0)),""))</f>
        <v>30</v>
      </c>
      <c r="S210" s="24" t="str">
        <f aca="false">IF(N210="","",IFERROR(INDEX('Semrush Data'!$A$1:$Z$20000,MATCH(N210,'Semrush Data'!$A$1:$A$20000,0),MATCH("Volume",'Semrush Data'!$A$1:$Z$1,0)),""))</f>
        <v/>
      </c>
      <c r="T210" s="24" t="str">
        <f aca="false">IF(O210="","",IFERROR(INDEX('Semrush Data'!$A$1:$Z$20000,MATCH(O210,'Semrush Data'!$A$1:$A$20000,0),MATCH("Volume",'Semrush Data'!$A$1:$Z$1,0)),""))</f>
        <v/>
      </c>
      <c r="U210" s="24" t="str">
        <f aca="false">IF(P210="","",IFERROR(INDEX('Semrush Data'!$A$1:$Z$20000,MATCH(P210,'Semrush Data'!$A$1:$A$20000,0),MATCH("Volume",'Semrush Data'!$A$1:$Z$1,0)),""))</f>
        <v/>
      </c>
      <c r="V210" s="25" t="str">
        <f aca="false">IF(COUNT(Q210:U210)=0,L210,IF(MAX(Q210:U210)=0,L210,INDEX(L210:P210,MATCH(MAX(Q210:U210),Q210:U210,0))))</f>
        <v>ariana grande thank u, next</v>
      </c>
      <c r="W210" s="24" t="n">
        <f aca="false">IFERROR(INDEX('Semrush Data'!$A$1:$Z$20000,MATCH(V210,'Semrush Data'!$A$1:$A$20000,0),MATCH("Volume",'Semrush Data'!$A$1:$Z$1,0)),"")</f>
        <v>30</v>
      </c>
      <c r="X210" s="24" t="n">
        <f aca="false">IFERROR(INDEX('Semrush Data'!$A$1:$Z$20000,MATCH(V210,'Semrush Data'!$A$1:$A$20000,0),MATCH("Keyword Difficulty*",'Semrush Data'!$A$1:$Z$1,0)),"")</f>
        <v>47</v>
      </c>
      <c r="Y210" s="26" t="n">
        <f aca="false">IFERROR(INDEX('Semrush Data'!$A$1:$Z$20000,MATCH(V210,'Semrush Data'!$A$1:$A$20000,0),MATCH("CPC*",'Semrush Data'!$A$1:$Z$1,0)),"")</f>
        <v>0</v>
      </c>
      <c r="Z210" s="23" t="s">
        <v>2911</v>
      </c>
      <c r="AA210" s="23" t="s">
        <v>2912</v>
      </c>
      <c r="AB210" s="23" t="s">
        <v>2913</v>
      </c>
      <c r="AC210" s="23" t="s">
        <v>2914</v>
      </c>
      <c r="AD210" s="27" t="n">
        <f aca="false">LEN(AC210)</f>
        <v>55</v>
      </c>
      <c r="AE210" s="23" t="s">
        <v>2915</v>
      </c>
      <c r="AF210" s="27" t="n">
        <f aca="false">LEN(AE210)</f>
        <v>157</v>
      </c>
    </row>
    <row r="211" customFormat="false" ht="15" hidden="false" customHeight="true" outlineLevel="0" collapsed="false">
      <c r="A211" s="23" t="s">
        <v>2916</v>
      </c>
      <c r="B211" s="23" t="s">
        <v>2449</v>
      </c>
      <c r="C211" s="23" t="n">
        <v>51</v>
      </c>
      <c r="D211" s="23" t="s">
        <v>2917</v>
      </c>
      <c r="E211" s="23"/>
      <c r="F211" s="23" t="s">
        <v>2452</v>
      </c>
      <c r="G211" s="23" t="s">
        <v>2453</v>
      </c>
      <c r="H211" s="23" t="s">
        <v>2608</v>
      </c>
      <c r="I211" s="23" t="s">
        <v>2918</v>
      </c>
      <c r="J211" s="23" t="s">
        <v>1994</v>
      </c>
      <c r="K211" s="23" t="n">
        <v>22.99</v>
      </c>
      <c r="L211" s="23" t="s">
        <v>2919</v>
      </c>
      <c r="M211" s="23" t="s">
        <v>2920</v>
      </c>
      <c r="N211" s="23" t="s">
        <v>2921</v>
      </c>
      <c r="O211" s="23" t="s">
        <v>2922</v>
      </c>
      <c r="P211" s="23" t="s">
        <v>2923</v>
      </c>
      <c r="Q211" s="24" t="n">
        <f aca="false">IF(L211="","",IFERROR(INDEX('Semrush Data'!$A$1:$Z$20000,MATCH(L211,'Semrush Data'!$A$1:$A$20000,0),MATCH("Volume",'Semrush Data'!$A$1:$Z$1,0)),""))</f>
        <v>90</v>
      </c>
      <c r="R211" s="24" t="n">
        <f aca="false">IF(M211="","",IFERROR(INDEX('Semrush Data'!$A$1:$Z$20000,MATCH(M211,'Semrush Data'!$A$1:$A$20000,0),MATCH("Volume",'Semrush Data'!$A$1:$Z$1,0)),""))</f>
        <v>0</v>
      </c>
      <c r="S211" s="24" t="str">
        <f aca="false">IF(N211="","",IFERROR(INDEX('Semrush Data'!$A$1:$Z$20000,MATCH(N211,'Semrush Data'!$A$1:$A$20000,0),MATCH("Volume",'Semrush Data'!$A$1:$Z$1,0)),""))</f>
        <v/>
      </c>
      <c r="T211" s="24" t="str">
        <f aca="false">IF(O211="","",IFERROR(INDEX('Semrush Data'!$A$1:$Z$20000,MATCH(O211,'Semrush Data'!$A$1:$A$20000,0),MATCH("Volume",'Semrush Data'!$A$1:$Z$1,0)),""))</f>
        <v/>
      </c>
      <c r="U211" s="24" t="n">
        <f aca="false">IF(P211="","",IFERROR(INDEX('Semrush Data'!$A$1:$Z$20000,MATCH(P211,'Semrush Data'!$A$1:$A$20000,0),MATCH("Volume",'Semrush Data'!$A$1:$Z$1,0)),""))</f>
        <v>20</v>
      </c>
      <c r="V211" s="25" t="str">
        <f aca="false">IF(COUNT(Q211:U211)=0,L211,IF(MAX(Q211:U211)=0,L211,INDEX(L211:P211,MATCH(MAX(Q211:U211),Q211:U211,0))))</f>
        <v>armaf hunter</v>
      </c>
      <c r="W211" s="24" t="n">
        <f aca="false">IFERROR(INDEX('Semrush Data'!$A$1:$Z$20000,MATCH(V211,'Semrush Data'!$A$1:$A$20000,0),MATCH("Volume",'Semrush Data'!$A$1:$Z$1,0)),"")</f>
        <v>90</v>
      </c>
      <c r="X211" s="24" t="n">
        <f aca="false">IFERROR(INDEX('Semrush Data'!$A$1:$Z$20000,MATCH(V211,'Semrush Data'!$A$1:$A$20000,0),MATCH("Keyword Difficulty*",'Semrush Data'!$A$1:$Z$1,0)),"")</f>
        <v>10</v>
      </c>
      <c r="Y211" s="26" t="n">
        <f aca="false">IFERROR(INDEX('Semrush Data'!$A$1:$Z$20000,MATCH(V211,'Semrush Data'!$A$1:$A$20000,0),MATCH("CPC*",'Semrush Data'!$A$1:$Z$1,0)),"")</f>
        <v>0</v>
      </c>
      <c r="Z211" s="23" t="s">
        <v>2924</v>
      </c>
      <c r="AA211" s="23" t="s">
        <v>2925</v>
      </c>
      <c r="AB211" s="23" t="s">
        <v>2926</v>
      </c>
      <c r="AC211" s="23" t="s">
        <v>2927</v>
      </c>
      <c r="AD211" s="27" t="n">
        <f aca="false">LEN(AC211)</f>
        <v>53</v>
      </c>
      <c r="AE211" s="23" t="s">
        <v>2928</v>
      </c>
      <c r="AF211" s="27" t="n">
        <f aca="false">LEN(AE211)</f>
        <v>145</v>
      </c>
    </row>
    <row r="212" customFormat="false" ht="15" hidden="false" customHeight="true" outlineLevel="0" collapsed="false">
      <c r="A212" s="23" t="s">
        <v>2929</v>
      </c>
      <c r="B212" s="23" t="s">
        <v>2449</v>
      </c>
      <c r="C212" s="23" t="n">
        <v>52</v>
      </c>
      <c r="D212" s="23" t="s">
        <v>2930</v>
      </c>
      <c r="E212" s="23" t="s">
        <v>2931</v>
      </c>
      <c r="F212" s="23" t="s">
        <v>2452</v>
      </c>
      <c r="G212" s="23" t="s">
        <v>406</v>
      </c>
      <c r="H212" s="23" t="s">
        <v>2932</v>
      </c>
      <c r="I212" s="23" t="s">
        <v>2933</v>
      </c>
      <c r="J212" s="23" t="s">
        <v>2934</v>
      </c>
      <c r="K212" s="23" t="n">
        <v>22.99</v>
      </c>
      <c r="L212" s="23" t="s">
        <v>2935</v>
      </c>
      <c r="M212" s="23" t="s">
        <v>2936</v>
      </c>
      <c r="N212" s="23" t="s">
        <v>2937</v>
      </c>
      <c r="O212" s="23" t="s">
        <v>2938</v>
      </c>
      <c r="P212" s="23"/>
      <c r="Q212" s="24" t="n">
        <f aca="false">IF(L212="","",IFERROR(INDEX('Semrush Data'!$A$1:$Z$20000,MATCH(L212,'Semrush Data'!$A$1:$A$20000,0),MATCH("Volume",'Semrush Data'!$A$1:$Z$1,0)),""))</f>
        <v>0</v>
      </c>
      <c r="R212" s="24" t="n">
        <f aca="false">IF(M212="","",IFERROR(INDEX('Semrush Data'!$A$1:$Z$20000,MATCH(M212,'Semrush Data'!$A$1:$A$20000,0),MATCH("Volume",'Semrush Data'!$A$1:$Z$1,0)),""))</f>
        <v>0</v>
      </c>
      <c r="S212" s="24" t="str">
        <f aca="false">IF(N212="","",IFERROR(INDEX('Semrush Data'!$A$1:$Z$20000,MATCH(N212,'Semrush Data'!$A$1:$A$20000,0),MATCH("Volume",'Semrush Data'!$A$1:$Z$1,0)),""))</f>
        <v/>
      </c>
      <c r="T212" s="24" t="str">
        <f aca="false">IF(O212="","",IFERROR(INDEX('Semrush Data'!$A$1:$Z$20000,MATCH(O212,'Semrush Data'!$A$1:$A$20000,0),MATCH("Volume",'Semrush Data'!$A$1:$Z$1,0)),""))</f>
        <v/>
      </c>
      <c r="U212" s="24" t="str">
        <f aca="false">IF(P212="","",IFERROR(INDEX('Semrush Data'!$A$1:$Z$20000,MATCH(P212,'Semrush Data'!$A$1:$A$20000,0),MATCH("Volume",'Semrush Data'!$A$1:$Z$1,0)),""))</f>
        <v/>
      </c>
      <c r="V212" s="25" t="str">
        <f aca="false">IF(COUNT(Q212:U212)=0,L212,IF(MAX(Q212:U212)=0,L212,INDEX(L212:P212,MATCH(MAX(Q212:U212),Q212:U212,0))))</f>
        <v>bentley azzaro pour homme deodorant</v>
      </c>
      <c r="W212" s="24" t="n">
        <f aca="false">IFERROR(INDEX('Semrush Data'!$A$1:$Z$20000,MATCH(V212,'Semrush Data'!$A$1:$A$20000,0),MATCH("Volume",'Semrush Data'!$A$1:$Z$1,0)),"")</f>
        <v>0</v>
      </c>
      <c r="X212" s="24" t="n">
        <f aca="false">IFERROR(INDEX('Semrush Data'!$A$1:$Z$20000,MATCH(V212,'Semrush Data'!$A$1:$A$20000,0),MATCH("Keyword Difficulty*",'Semrush Data'!$A$1:$Z$1,0)),"")</f>
        <v>13</v>
      </c>
      <c r="Y212" s="26" t="n">
        <f aca="false">IFERROR(INDEX('Semrush Data'!$A$1:$Z$20000,MATCH(V212,'Semrush Data'!$A$1:$A$20000,0),MATCH("CPC*",'Semrush Data'!$A$1:$Z$1,0)),"")</f>
        <v>0</v>
      </c>
      <c r="Z212" s="23" t="s">
        <v>2939</v>
      </c>
      <c r="AA212" s="23"/>
      <c r="AB212" s="23" t="s">
        <v>2940</v>
      </c>
      <c r="AC212" s="23" t="s">
        <v>2941</v>
      </c>
      <c r="AD212" s="27" t="n">
        <f aca="false">LEN(AC212)</f>
        <v>60</v>
      </c>
      <c r="AE212" s="23" t="s">
        <v>2942</v>
      </c>
      <c r="AF212" s="27" t="n">
        <f aca="false">LEN(AE212)</f>
        <v>152</v>
      </c>
    </row>
    <row r="213" customFormat="false" ht="15" hidden="false" customHeight="true" outlineLevel="0" collapsed="false">
      <c r="A213" s="23" t="s">
        <v>2943</v>
      </c>
      <c r="B213" s="23" t="s">
        <v>2449</v>
      </c>
      <c r="C213" s="23" t="n">
        <v>53</v>
      </c>
      <c r="D213" s="23" t="s">
        <v>2930</v>
      </c>
      <c r="E213" s="23"/>
      <c r="F213" s="23" t="s">
        <v>2452</v>
      </c>
      <c r="G213" s="23" t="s">
        <v>2453</v>
      </c>
      <c r="H213" s="23" t="s">
        <v>2608</v>
      </c>
      <c r="I213" s="23" t="s">
        <v>2944</v>
      </c>
      <c r="J213" s="23" t="s">
        <v>1994</v>
      </c>
      <c r="K213" s="23" t="n">
        <v>40.99</v>
      </c>
      <c r="L213" s="23" t="s">
        <v>2945</v>
      </c>
      <c r="M213" s="23" t="s">
        <v>2946</v>
      </c>
      <c r="N213" s="23" t="s">
        <v>2947</v>
      </c>
      <c r="O213" s="23" t="s">
        <v>2948</v>
      </c>
      <c r="P213" s="23" t="s">
        <v>2949</v>
      </c>
      <c r="Q213" s="24" t="n">
        <f aca="false">IF(L213="","",IFERROR(INDEX('Semrush Data'!$A$1:$Z$20000,MATCH(L213,'Semrush Data'!$A$1:$A$20000,0),MATCH("Volume",'Semrush Data'!$A$1:$Z$1,0)),""))</f>
        <v>50</v>
      </c>
      <c r="R213" s="24" t="n">
        <f aca="false">IF(M213="","",IFERROR(INDEX('Semrush Data'!$A$1:$Z$20000,MATCH(M213,'Semrush Data'!$A$1:$A$20000,0),MATCH("Volume",'Semrush Data'!$A$1:$Z$1,0)),""))</f>
        <v>0</v>
      </c>
      <c r="S213" s="24" t="str">
        <f aca="false">IF(N213="","",IFERROR(INDEX('Semrush Data'!$A$1:$Z$20000,MATCH(N213,'Semrush Data'!$A$1:$A$20000,0),MATCH("Volume",'Semrush Data'!$A$1:$Z$1,0)),""))</f>
        <v/>
      </c>
      <c r="T213" s="24" t="str">
        <f aca="false">IF(O213="","",IFERROR(INDEX('Semrush Data'!$A$1:$Z$20000,MATCH(O213,'Semrush Data'!$A$1:$A$20000,0),MATCH("Volume",'Semrush Data'!$A$1:$Z$1,0)),""))</f>
        <v/>
      </c>
      <c r="U213" s="24" t="n">
        <f aca="false">IF(P213="","",IFERROR(INDEX('Semrush Data'!$A$1:$Z$20000,MATCH(P213,'Semrush Data'!$A$1:$A$20000,0),MATCH("Volume",'Semrush Data'!$A$1:$Z$1,0)),""))</f>
        <v>20</v>
      </c>
      <c r="V213" s="25" t="str">
        <f aca="false">IF(COUNT(Q213:U213)=0,L213,IF(MAX(Q213:U213)=0,L213,INDEX(L213:P213,MATCH(MAX(Q213:U213),Q213:U213,0))))</f>
        <v>bentley become</v>
      </c>
      <c r="W213" s="24" t="n">
        <f aca="false">IFERROR(INDEX('Semrush Data'!$A$1:$Z$20000,MATCH(V213,'Semrush Data'!$A$1:$A$20000,0),MATCH("Volume",'Semrush Data'!$A$1:$Z$1,0)),"")</f>
        <v>50</v>
      </c>
      <c r="X213" s="24" t="n">
        <f aca="false">IFERROR(INDEX('Semrush Data'!$A$1:$Z$20000,MATCH(V213,'Semrush Data'!$A$1:$A$20000,0),MATCH("Keyword Difficulty*",'Semrush Data'!$A$1:$Z$1,0)),"")</f>
        <v>15</v>
      </c>
      <c r="Y213" s="26" t="n">
        <f aca="false">IFERROR(INDEX('Semrush Data'!$A$1:$Z$20000,MATCH(V213,'Semrush Data'!$A$1:$A$20000,0),MATCH("CPC*",'Semrush Data'!$A$1:$Z$1,0)),"")</f>
        <v>0</v>
      </c>
      <c r="Z213" s="23" t="s">
        <v>2950</v>
      </c>
      <c r="AA213" s="23" t="s">
        <v>2951</v>
      </c>
      <c r="AB213" s="23" t="s">
        <v>2952</v>
      </c>
      <c r="AC213" s="23" t="s">
        <v>2953</v>
      </c>
      <c r="AD213" s="27" t="n">
        <f aca="false">LEN(AC213)</f>
        <v>55</v>
      </c>
      <c r="AE213" s="23" t="s">
        <v>2954</v>
      </c>
      <c r="AF213" s="27" t="n">
        <f aca="false">LEN(AE213)</f>
        <v>147</v>
      </c>
    </row>
    <row r="214" customFormat="false" ht="15" hidden="false" customHeight="true" outlineLevel="0" collapsed="false">
      <c r="A214" s="23" t="s">
        <v>2955</v>
      </c>
      <c r="B214" s="23" t="s">
        <v>2449</v>
      </c>
      <c r="C214" s="23" t="n">
        <v>54</v>
      </c>
      <c r="D214" s="23" t="s">
        <v>2930</v>
      </c>
      <c r="E214" s="23"/>
      <c r="F214" s="23" t="s">
        <v>2452</v>
      </c>
      <c r="G214" s="23" t="s">
        <v>2453</v>
      </c>
      <c r="H214" s="23" t="s">
        <v>2608</v>
      </c>
      <c r="I214" s="23" t="s">
        <v>2956</v>
      </c>
      <c r="J214" s="23" t="s">
        <v>1994</v>
      </c>
      <c r="K214" s="23" t="n">
        <v>31.99</v>
      </c>
      <c r="L214" s="23" t="s">
        <v>2957</v>
      </c>
      <c r="M214" s="23" t="s">
        <v>2958</v>
      </c>
      <c r="N214" s="23" t="s">
        <v>2959</v>
      </c>
      <c r="O214" s="23" t="s">
        <v>2960</v>
      </c>
      <c r="P214" s="23" t="s">
        <v>2961</v>
      </c>
      <c r="Q214" s="24" t="n">
        <f aca="false">IF(L214="","",IFERROR(INDEX('Semrush Data'!$A$1:$Z$20000,MATCH(L214,'Semrush Data'!$A$1:$A$20000,0),MATCH("Volume",'Semrush Data'!$A$1:$Z$1,0)),""))</f>
        <v>140</v>
      </c>
      <c r="R214" s="24" t="n">
        <f aca="false">IF(M214="","",IFERROR(INDEX('Semrush Data'!$A$1:$Z$20000,MATCH(M214,'Semrush Data'!$A$1:$A$20000,0),MATCH("Volume",'Semrush Data'!$A$1:$Z$1,0)),""))</f>
        <v>0</v>
      </c>
      <c r="S214" s="24" t="str">
        <f aca="false">IF(N214="","",IFERROR(INDEX('Semrush Data'!$A$1:$Z$20000,MATCH(N214,'Semrush Data'!$A$1:$A$20000,0),MATCH("Volume",'Semrush Data'!$A$1:$Z$1,0)),""))</f>
        <v/>
      </c>
      <c r="T214" s="24" t="str">
        <f aca="false">IF(O214="","",IFERROR(INDEX('Semrush Data'!$A$1:$Z$20000,MATCH(O214,'Semrush Data'!$A$1:$A$20000,0),MATCH("Volume",'Semrush Data'!$A$1:$Z$1,0)),""))</f>
        <v/>
      </c>
      <c r="U214" s="24" t="n">
        <f aca="false">IF(P214="","",IFERROR(INDEX('Semrush Data'!$A$1:$Z$20000,MATCH(P214,'Semrush Data'!$A$1:$A$20000,0),MATCH("Volume",'Semrush Data'!$A$1:$Z$1,0)),""))</f>
        <v>20</v>
      </c>
      <c r="V214" s="25" t="str">
        <f aca="false">IF(COUNT(Q214:U214)=0,L214,IF(MAX(Q214:U214)=0,L214,INDEX(L214:P214,MATCH(MAX(Q214:U214),Q214:U214,0))))</f>
        <v>bentley absolute</v>
      </c>
      <c r="W214" s="24" t="n">
        <f aca="false">IFERROR(INDEX('Semrush Data'!$A$1:$Z$20000,MATCH(V214,'Semrush Data'!$A$1:$A$20000,0),MATCH("Volume",'Semrush Data'!$A$1:$Z$1,0)),"")</f>
        <v>140</v>
      </c>
      <c r="X214" s="24" t="n">
        <f aca="false">IFERROR(INDEX('Semrush Data'!$A$1:$Z$20000,MATCH(V214,'Semrush Data'!$A$1:$A$20000,0),MATCH("Keyword Difficulty*",'Semrush Data'!$A$1:$Z$1,0)),"")</f>
        <v>29</v>
      </c>
      <c r="Y214" s="26" t="n">
        <f aca="false">IFERROR(INDEX('Semrush Data'!$A$1:$Z$20000,MATCH(V214,'Semrush Data'!$A$1:$A$20000,0),MATCH("CPC*",'Semrush Data'!$A$1:$Z$1,0)),"")</f>
        <v>0</v>
      </c>
      <c r="Z214" s="23" t="s">
        <v>2950</v>
      </c>
      <c r="AA214" s="23" t="s">
        <v>2962</v>
      </c>
      <c r="AB214" s="23" t="s">
        <v>2963</v>
      </c>
      <c r="AC214" s="23" t="s">
        <v>2964</v>
      </c>
      <c r="AD214" s="27" t="n">
        <f aca="false">LEN(AC214)</f>
        <v>52</v>
      </c>
      <c r="AE214" s="23" t="s">
        <v>2965</v>
      </c>
      <c r="AF214" s="27" t="n">
        <f aca="false">LEN(AE214)</f>
        <v>157</v>
      </c>
    </row>
    <row r="215" customFormat="false" ht="15" hidden="false" customHeight="true" outlineLevel="0" collapsed="false">
      <c r="A215" s="23" t="s">
        <v>2966</v>
      </c>
      <c r="B215" s="23" t="s">
        <v>2449</v>
      </c>
      <c r="C215" s="23" t="n">
        <v>55</v>
      </c>
      <c r="D215" s="23" t="s">
        <v>2930</v>
      </c>
      <c r="E215" s="23"/>
      <c r="F215" s="23" t="s">
        <v>2452</v>
      </c>
      <c r="G215" s="23" t="s">
        <v>2453</v>
      </c>
      <c r="H215" s="23" t="s">
        <v>2608</v>
      </c>
      <c r="I215" s="23" t="s">
        <v>2967</v>
      </c>
      <c r="J215" s="23" t="s">
        <v>1994</v>
      </c>
      <c r="K215" s="23" t="n">
        <v>32.99</v>
      </c>
      <c r="L215" s="23" t="s">
        <v>2968</v>
      </c>
      <c r="M215" s="23" t="s">
        <v>2969</v>
      </c>
      <c r="N215" s="23" t="s">
        <v>2970</v>
      </c>
      <c r="O215" s="23" t="s">
        <v>2971</v>
      </c>
      <c r="P215" s="23" t="s">
        <v>2972</v>
      </c>
      <c r="Q215" s="24" t="n">
        <f aca="false">IF(L215="","",IFERROR(INDEX('Semrush Data'!$A$1:$Z$20000,MATCH(L215,'Semrush Data'!$A$1:$A$20000,0),MATCH("Volume",'Semrush Data'!$A$1:$Z$1,0)),""))</f>
        <v>260</v>
      </c>
      <c r="R215" s="24" t="n">
        <f aca="false">IF(M215="","",IFERROR(INDEX('Semrush Data'!$A$1:$Z$20000,MATCH(M215,'Semrush Data'!$A$1:$A$20000,0),MATCH("Volume",'Semrush Data'!$A$1:$Z$1,0)),""))</f>
        <v>20</v>
      </c>
      <c r="S215" s="24" t="str">
        <f aca="false">IF(N215="","",IFERROR(INDEX('Semrush Data'!$A$1:$Z$20000,MATCH(N215,'Semrush Data'!$A$1:$A$20000,0),MATCH("Volume",'Semrush Data'!$A$1:$Z$1,0)),""))</f>
        <v/>
      </c>
      <c r="T215" s="24" t="str">
        <f aca="false">IF(O215="","",IFERROR(INDEX('Semrush Data'!$A$1:$Z$20000,MATCH(O215,'Semrush Data'!$A$1:$A$20000,0),MATCH("Volume",'Semrush Data'!$A$1:$Z$1,0)),""))</f>
        <v/>
      </c>
      <c r="U215" s="24" t="n">
        <f aca="false">IF(P215="","",IFERROR(INDEX('Semrush Data'!$A$1:$Z$20000,MATCH(P215,'Semrush Data'!$A$1:$A$20000,0),MATCH("Volume",'Semrush Data'!$A$1:$Z$1,0)),""))</f>
        <v>20</v>
      </c>
      <c r="V215" s="25" t="str">
        <f aca="false">IF(COUNT(Q215:U215)=0,L215,IF(MAX(Q215:U215)=0,L215,INDEX(L215:P215,MATCH(MAX(Q215:U215),Q215:U215,0))))</f>
        <v>bentley silverlake</v>
      </c>
      <c r="W215" s="24" t="n">
        <f aca="false">IFERROR(INDEX('Semrush Data'!$A$1:$Z$20000,MATCH(V215,'Semrush Data'!$A$1:$A$20000,0),MATCH("Volume",'Semrush Data'!$A$1:$Z$1,0)),"")</f>
        <v>260</v>
      </c>
      <c r="X215" s="24" t="n">
        <f aca="false">IFERROR(INDEX('Semrush Data'!$A$1:$Z$20000,MATCH(V215,'Semrush Data'!$A$1:$A$20000,0),MATCH("Keyword Difficulty*",'Semrush Data'!$A$1:$Z$1,0)),"")</f>
        <v>16</v>
      </c>
      <c r="Y215" s="26" t="n">
        <f aca="false">IFERROR(INDEX('Semrush Data'!$A$1:$Z$20000,MATCH(V215,'Semrush Data'!$A$1:$A$20000,0),MATCH("CPC*",'Semrush Data'!$A$1:$Z$1,0)),"")</f>
        <v>0.99</v>
      </c>
      <c r="Z215" s="23" t="s">
        <v>2950</v>
      </c>
      <c r="AA215" s="23" t="s">
        <v>2973</v>
      </c>
      <c r="AB215" s="23" t="s">
        <v>2974</v>
      </c>
      <c r="AC215" s="23" t="s">
        <v>2975</v>
      </c>
      <c r="AD215" s="27" t="n">
        <f aca="false">LEN(AC215)</f>
        <v>54</v>
      </c>
      <c r="AE215" s="23" t="s">
        <v>2976</v>
      </c>
      <c r="AF215" s="27" t="n">
        <f aca="false">LEN(AE215)</f>
        <v>159</v>
      </c>
    </row>
    <row r="216" customFormat="false" ht="15" hidden="false" customHeight="true" outlineLevel="0" collapsed="false">
      <c r="A216" s="23" t="s">
        <v>2977</v>
      </c>
      <c r="B216" s="23" t="s">
        <v>2449</v>
      </c>
      <c r="C216" s="23" t="n">
        <v>56</v>
      </c>
      <c r="D216" s="23" t="s">
        <v>2930</v>
      </c>
      <c r="E216" s="23" t="s">
        <v>2931</v>
      </c>
      <c r="F216" s="23" t="s">
        <v>2452</v>
      </c>
      <c r="G216" s="23" t="s">
        <v>2818</v>
      </c>
      <c r="H216" s="23" t="s">
        <v>2891</v>
      </c>
      <c r="I216" s="23" t="s">
        <v>2978</v>
      </c>
      <c r="J216" s="23" t="s">
        <v>2833</v>
      </c>
      <c r="K216" s="23" t="n">
        <v>33.99</v>
      </c>
      <c r="L216" s="23" t="s">
        <v>2979</v>
      </c>
      <c r="M216" s="23" t="s">
        <v>2980</v>
      </c>
      <c r="N216" s="23" t="s">
        <v>2981</v>
      </c>
      <c r="O216" s="23" t="s">
        <v>2982</v>
      </c>
      <c r="P216" s="23" t="s">
        <v>2983</v>
      </c>
      <c r="Q216" s="24" t="n">
        <f aca="false">IF(L216="","",IFERROR(INDEX('Semrush Data'!$A$1:$Z$20000,MATCH(L216,'Semrush Data'!$A$1:$A$20000,0),MATCH("Volume",'Semrush Data'!$A$1:$Z$1,0)),""))</f>
        <v>0</v>
      </c>
      <c r="R216" s="24" t="n">
        <f aca="false">IF(M216="","",IFERROR(INDEX('Semrush Data'!$A$1:$Z$20000,MATCH(M216,'Semrush Data'!$A$1:$A$20000,0),MATCH("Volume",'Semrush Data'!$A$1:$Z$1,0)),""))</f>
        <v>0</v>
      </c>
      <c r="S216" s="24" t="str">
        <f aca="false">IF(N216="","",IFERROR(INDEX('Semrush Data'!$A$1:$Z$20000,MATCH(N216,'Semrush Data'!$A$1:$A$20000,0),MATCH("Volume",'Semrush Data'!$A$1:$Z$1,0)),""))</f>
        <v/>
      </c>
      <c r="T216" s="24" t="str">
        <f aca="false">IF(O216="","",IFERROR(INDEX('Semrush Data'!$A$1:$Z$20000,MATCH(O216,'Semrush Data'!$A$1:$A$20000,0),MATCH("Volume",'Semrush Data'!$A$1:$Z$1,0)),""))</f>
        <v/>
      </c>
      <c r="U216" s="24" t="str">
        <f aca="false">IF(P216="","",IFERROR(INDEX('Semrush Data'!$A$1:$Z$20000,MATCH(P216,'Semrush Data'!$A$1:$A$20000,0),MATCH("Volume",'Semrush Data'!$A$1:$Z$1,0)),""))</f>
        <v/>
      </c>
      <c r="V216" s="25" t="str">
        <f aca="false">IF(COUNT(Q216:U216)=0,L216,IF(MAX(Q216:U216)=0,L216,INDEX(L216:P216,MATCH(MAX(Q216:U216),Q216:U216,0))))</f>
        <v>bentley azzaro chrome legend</v>
      </c>
      <c r="W216" s="24" t="n">
        <f aca="false">IFERROR(INDEX('Semrush Data'!$A$1:$Z$20000,MATCH(V216,'Semrush Data'!$A$1:$A$20000,0),MATCH("Volume",'Semrush Data'!$A$1:$Z$1,0)),"")</f>
        <v>0</v>
      </c>
      <c r="X216" s="24" t="n">
        <f aca="false">IFERROR(INDEX('Semrush Data'!$A$1:$Z$20000,MATCH(V216,'Semrush Data'!$A$1:$A$20000,0),MATCH("Keyword Difficulty*",'Semrush Data'!$A$1:$Z$1,0)),"")</f>
        <v>23</v>
      </c>
      <c r="Y216" s="26" t="n">
        <f aca="false">IFERROR(INDEX('Semrush Data'!$A$1:$Z$20000,MATCH(V216,'Semrush Data'!$A$1:$A$20000,0),MATCH("CPC*",'Semrush Data'!$A$1:$Z$1,0)),"")</f>
        <v>0</v>
      </c>
      <c r="Z216" s="23" t="s">
        <v>2984</v>
      </c>
      <c r="AA216" s="23"/>
      <c r="AB216" s="23" t="s">
        <v>2985</v>
      </c>
      <c r="AC216" s="23" t="s">
        <v>2986</v>
      </c>
      <c r="AD216" s="27" t="n">
        <f aca="false">LEN(AC216)</f>
        <v>57</v>
      </c>
      <c r="AE216" s="23" t="s">
        <v>2987</v>
      </c>
      <c r="AF216" s="27" t="n">
        <f aca="false">LEN(AE216)</f>
        <v>157</v>
      </c>
    </row>
    <row r="217" customFormat="false" ht="15" hidden="false" customHeight="true" outlineLevel="0" collapsed="false">
      <c r="A217" s="23" t="s">
        <v>2988</v>
      </c>
      <c r="B217" s="23" t="s">
        <v>2449</v>
      </c>
      <c r="C217" s="23" t="n">
        <v>57</v>
      </c>
      <c r="D217" s="23" t="s">
        <v>2930</v>
      </c>
      <c r="E217" s="23" t="s">
        <v>2931</v>
      </c>
      <c r="F217" s="23" t="s">
        <v>2452</v>
      </c>
      <c r="G217" s="23" t="s">
        <v>2818</v>
      </c>
      <c r="H217" s="23" t="s">
        <v>2891</v>
      </c>
      <c r="I217" s="23" t="s">
        <v>2989</v>
      </c>
      <c r="J217" s="23" t="s">
        <v>2494</v>
      </c>
      <c r="K217" s="23" t="n">
        <v>27.99</v>
      </c>
      <c r="L217" s="23" t="s">
        <v>2979</v>
      </c>
      <c r="M217" s="23" t="s">
        <v>2980</v>
      </c>
      <c r="N217" s="23" t="s">
        <v>2981</v>
      </c>
      <c r="O217" s="23" t="s">
        <v>2982</v>
      </c>
      <c r="P217" s="23" t="s">
        <v>2983</v>
      </c>
      <c r="Q217" s="24" t="n">
        <f aca="false">IF(L217="","",IFERROR(INDEX('Semrush Data'!$A$1:$Z$20000,MATCH(L217,'Semrush Data'!$A$1:$A$20000,0),MATCH("Volume",'Semrush Data'!$A$1:$Z$1,0)),""))</f>
        <v>0</v>
      </c>
      <c r="R217" s="24" t="n">
        <f aca="false">IF(M217="","",IFERROR(INDEX('Semrush Data'!$A$1:$Z$20000,MATCH(M217,'Semrush Data'!$A$1:$A$20000,0),MATCH("Volume",'Semrush Data'!$A$1:$Z$1,0)),""))</f>
        <v>0</v>
      </c>
      <c r="S217" s="24" t="str">
        <f aca="false">IF(N217="","",IFERROR(INDEX('Semrush Data'!$A$1:$Z$20000,MATCH(N217,'Semrush Data'!$A$1:$A$20000,0),MATCH("Volume",'Semrush Data'!$A$1:$Z$1,0)),""))</f>
        <v/>
      </c>
      <c r="T217" s="24" t="str">
        <f aca="false">IF(O217="","",IFERROR(INDEX('Semrush Data'!$A$1:$Z$20000,MATCH(O217,'Semrush Data'!$A$1:$A$20000,0),MATCH("Volume",'Semrush Data'!$A$1:$Z$1,0)),""))</f>
        <v/>
      </c>
      <c r="U217" s="24" t="str">
        <f aca="false">IF(P217="","",IFERROR(INDEX('Semrush Data'!$A$1:$Z$20000,MATCH(P217,'Semrush Data'!$A$1:$A$20000,0),MATCH("Volume",'Semrush Data'!$A$1:$Z$1,0)),""))</f>
        <v/>
      </c>
      <c r="V217" s="25" t="str">
        <f aca="false">IF(COUNT(Q217:U217)=0,L217,IF(MAX(Q217:U217)=0,L217,INDEX(L217:P217,MATCH(MAX(Q217:U217),Q217:U217,0))))</f>
        <v>bentley azzaro chrome legend</v>
      </c>
      <c r="W217" s="24" t="n">
        <f aca="false">IFERROR(INDEX('Semrush Data'!$A$1:$Z$20000,MATCH(V217,'Semrush Data'!$A$1:$A$20000,0),MATCH("Volume",'Semrush Data'!$A$1:$Z$1,0)),"")</f>
        <v>0</v>
      </c>
      <c r="X217" s="24" t="n">
        <f aca="false">IFERROR(INDEX('Semrush Data'!$A$1:$Z$20000,MATCH(V217,'Semrush Data'!$A$1:$A$20000,0),MATCH("Keyword Difficulty*",'Semrush Data'!$A$1:$Z$1,0)),"")</f>
        <v>23</v>
      </c>
      <c r="Y217" s="26" t="n">
        <f aca="false">IFERROR(INDEX('Semrush Data'!$A$1:$Z$20000,MATCH(V217,'Semrush Data'!$A$1:$A$20000,0),MATCH("CPC*",'Semrush Data'!$A$1:$Z$1,0)),"")</f>
        <v>0</v>
      </c>
      <c r="Z217" s="23" t="s">
        <v>2984</v>
      </c>
      <c r="AA217" s="23"/>
      <c r="AB217" s="23" t="s">
        <v>2985</v>
      </c>
      <c r="AC217" s="23" t="s">
        <v>2990</v>
      </c>
      <c r="AD217" s="27" t="n">
        <f aca="false">LEN(AC217)</f>
        <v>56</v>
      </c>
      <c r="AE217" s="23" t="s">
        <v>2991</v>
      </c>
      <c r="AF217" s="27" t="n">
        <f aca="false">LEN(AE217)</f>
        <v>156</v>
      </c>
    </row>
    <row r="218" customFormat="false" ht="15" hidden="false" customHeight="true" outlineLevel="0" collapsed="false">
      <c r="A218" s="23" t="s">
        <v>87</v>
      </c>
      <c r="B218" s="23" t="s">
        <v>2449</v>
      </c>
      <c r="C218" s="23" t="n">
        <v>58</v>
      </c>
      <c r="D218" s="23" t="s">
        <v>2930</v>
      </c>
      <c r="E218" s="23"/>
      <c r="F218" s="23" t="s">
        <v>2452</v>
      </c>
      <c r="G218" s="23" t="s">
        <v>2818</v>
      </c>
      <c r="H218" s="23" t="s">
        <v>2608</v>
      </c>
      <c r="I218" s="23" t="s">
        <v>88</v>
      </c>
      <c r="J218" s="23" t="s">
        <v>1994</v>
      </c>
      <c r="K218" s="23" t="n">
        <v>31.99</v>
      </c>
      <c r="L218" s="23" t="s">
        <v>2992</v>
      </c>
      <c r="M218" s="23" t="s">
        <v>2993</v>
      </c>
      <c r="N218" s="23" t="s">
        <v>2994</v>
      </c>
      <c r="O218" s="23" t="s">
        <v>269</v>
      </c>
      <c r="P218" s="23" t="s">
        <v>2995</v>
      </c>
      <c r="Q218" s="24" t="n">
        <f aca="false">IF(L218="","",IFERROR(INDEX('Semrush Data'!$A$1:$Z$20000,MATCH(L218,'Semrush Data'!$A$1:$A$20000,0),MATCH("Volume",'Semrush Data'!$A$1:$Z$1,0)),""))</f>
        <v>1300</v>
      </c>
      <c r="R218" s="24" t="n">
        <f aca="false">IF(M218="","",IFERROR(INDEX('Semrush Data'!$A$1:$Z$20000,MATCH(M218,'Semrush Data'!$A$1:$A$20000,0),MATCH("Volume",'Semrush Data'!$A$1:$Z$1,0)),""))</f>
        <v>0</v>
      </c>
      <c r="S218" s="24" t="n">
        <f aca="false">IF(N218="","",IFERROR(INDEX('Semrush Data'!$A$1:$Z$20000,MATCH(N218,'Semrush Data'!$A$1:$A$20000,0),MATCH("Volume",'Semrush Data'!$A$1:$Z$1,0)),""))</f>
        <v>0</v>
      </c>
      <c r="T218" s="24" t="n">
        <f aca="false">IF(O218="","",IFERROR(INDEX('Semrush Data'!$A$1:$Z$20000,MATCH(O218,'Semrush Data'!$A$1:$A$20000,0),MATCH("Volume",'Semrush Data'!$A$1:$Z$1,0)),""))</f>
        <v>40</v>
      </c>
      <c r="U218" s="24" t="n">
        <f aca="false">IF(P218="","",IFERROR(INDEX('Semrush Data'!$A$1:$Z$20000,MATCH(P218,'Semrush Data'!$A$1:$A$20000,0),MATCH("Volume",'Semrush Data'!$A$1:$Z$1,0)),""))</f>
        <v>20</v>
      </c>
      <c r="V218" s="25" t="str">
        <f aca="false">IF(COUNT(Q218:U218)=0,L218,IF(MAX(Q218:U218)=0,L218,INDEX(L218:P218,MATCH(MAX(Q218:U218),Q218:U218,0))))</f>
        <v>bentley azure</v>
      </c>
      <c r="W218" s="24" t="n">
        <f aca="false">IFERROR(INDEX('Semrush Data'!$A$1:$Z$20000,MATCH(V218,'Semrush Data'!$A$1:$A$20000,0),MATCH("Volume",'Semrush Data'!$A$1:$Z$1,0)),"")</f>
        <v>1300</v>
      </c>
      <c r="X218" s="24" t="n">
        <f aca="false">IFERROR(INDEX('Semrush Data'!$A$1:$Z$20000,MATCH(V218,'Semrush Data'!$A$1:$A$20000,0),MATCH("Keyword Difficulty*",'Semrush Data'!$A$1:$Z$1,0)),"")</f>
        <v>19</v>
      </c>
      <c r="Y218" s="26" t="n">
        <f aca="false">IFERROR(INDEX('Semrush Data'!$A$1:$Z$20000,MATCH(V218,'Semrush Data'!$A$1:$A$20000,0),MATCH("CPC*",'Semrush Data'!$A$1:$Z$1,0)),"")</f>
        <v>0.34</v>
      </c>
      <c r="Z218" s="23" t="s">
        <v>2950</v>
      </c>
      <c r="AA218" s="23" t="s">
        <v>2996</v>
      </c>
      <c r="AB218" s="23" t="s">
        <v>2997</v>
      </c>
      <c r="AC218" s="23" t="s">
        <v>2998</v>
      </c>
      <c r="AD218" s="27" t="n">
        <f aca="false">LEN(AC218)</f>
        <v>58</v>
      </c>
      <c r="AE218" s="23" t="s">
        <v>2999</v>
      </c>
      <c r="AF218" s="27" t="n">
        <f aca="false">LEN(AE218)</f>
        <v>158</v>
      </c>
    </row>
    <row r="219" customFormat="false" ht="15" hidden="false" customHeight="true" outlineLevel="0" collapsed="false">
      <c r="A219" s="23" t="s">
        <v>3000</v>
      </c>
      <c r="B219" s="23" t="s">
        <v>2449</v>
      </c>
      <c r="C219" s="23" t="n">
        <v>59</v>
      </c>
      <c r="D219" s="23" t="s">
        <v>2930</v>
      </c>
      <c r="E219" s="23"/>
      <c r="F219" s="23" t="s">
        <v>2452</v>
      </c>
      <c r="G219" s="23" t="s">
        <v>2818</v>
      </c>
      <c r="H219" s="23" t="s">
        <v>2608</v>
      </c>
      <c r="I219" s="23" t="s">
        <v>3001</v>
      </c>
      <c r="J219" s="23" t="s">
        <v>1994</v>
      </c>
      <c r="K219" s="23" t="n">
        <v>30.99</v>
      </c>
      <c r="L219" s="23" t="s">
        <v>3002</v>
      </c>
      <c r="M219" s="23" t="s">
        <v>3003</v>
      </c>
      <c r="N219" s="23" t="s">
        <v>3004</v>
      </c>
      <c r="O219" s="23" t="s">
        <v>3005</v>
      </c>
      <c r="P219" s="23" t="s">
        <v>3006</v>
      </c>
      <c r="Q219" s="24" t="n">
        <f aca="false">IF(L219="","",IFERROR(INDEX('Semrush Data'!$A$1:$Z$20000,MATCH(L219,'Semrush Data'!$A$1:$A$20000,0),MATCH("Volume",'Semrush Data'!$A$1:$Z$1,0)),""))</f>
        <v>30</v>
      </c>
      <c r="R219" s="24" t="n">
        <f aca="false">IF(M219="","",IFERROR(INDEX('Semrush Data'!$A$1:$Z$20000,MATCH(M219,'Semrush Data'!$A$1:$A$20000,0),MATCH("Volume",'Semrush Data'!$A$1:$Z$1,0)),""))</f>
        <v>0</v>
      </c>
      <c r="S219" s="24" t="str">
        <f aca="false">IF(N219="","",IFERROR(INDEX('Semrush Data'!$A$1:$Z$20000,MATCH(N219,'Semrush Data'!$A$1:$A$20000,0),MATCH("Volume",'Semrush Data'!$A$1:$Z$1,0)),""))</f>
        <v/>
      </c>
      <c r="T219" s="24" t="str">
        <f aca="false">IF(O219="","",IFERROR(INDEX('Semrush Data'!$A$1:$Z$20000,MATCH(O219,'Semrush Data'!$A$1:$A$20000,0),MATCH("Volume",'Semrush Data'!$A$1:$Z$1,0)),""))</f>
        <v/>
      </c>
      <c r="U219" s="24" t="str">
        <f aca="false">IF(P219="","",IFERROR(INDEX('Semrush Data'!$A$1:$Z$20000,MATCH(P219,'Semrush Data'!$A$1:$A$20000,0),MATCH("Volume",'Semrush Data'!$A$1:$Z$1,0)),""))</f>
        <v/>
      </c>
      <c r="V219" s="25" t="str">
        <f aca="false">IF(COUNT(Q219:U219)=0,L219,IF(MAX(Q219:U219)=0,L219,INDEX(L219:P219,MATCH(MAX(Q219:U219),Q219:U219,0))))</f>
        <v>bentley infinite</v>
      </c>
      <c r="W219" s="24" t="n">
        <f aca="false">IFERROR(INDEX('Semrush Data'!$A$1:$Z$20000,MATCH(V219,'Semrush Data'!$A$1:$A$20000,0),MATCH("Volume",'Semrush Data'!$A$1:$Z$1,0)),"")</f>
        <v>30</v>
      </c>
      <c r="X219" s="24" t="n">
        <f aca="false">IFERROR(INDEX('Semrush Data'!$A$1:$Z$20000,MATCH(V219,'Semrush Data'!$A$1:$A$20000,0),MATCH("Keyword Difficulty*",'Semrush Data'!$A$1:$Z$1,0)),"")</f>
        <v>9</v>
      </c>
      <c r="Y219" s="26" t="n">
        <f aca="false">IFERROR(INDEX('Semrush Data'!$A$1:$Z$20000,MATCH(V219,'Semrush Data'!$A$1:$A$20000,0),MATCH("CPC*",'Semrush Data'!$A$1:$Z$1,0)),"")</f>
        <v>0.59</v>
      </c>
      <c r="Z219" s="23" t="s">
        <v>2950</v>
      </c>
      <c r="AA219" s="23" t="s">
        <v>3007</v>
      </c>
      <c r="AB219" s="23" t="s">
        <v>3008</v>
      </c>
      <c r="AC219" s="23" t="s">
        <v>3009</v>
      </c>
      <c r="AD219" s="27" t="n">
        <f aca="false">LEN(AC219)</f>
        <v>59</v>
      </c>
      <c r="AE219" s="23" t="s">
        <v>3010</v>
      </c>
      <c r="AF219" s="27" t="n">
        <f aca="false">LEN(AE219)</f>
        <v>153</v>
      </c>
    </row>
    <row r="220" customFormat="false" ht="15" hidden="false" customHeight="true" outlineLevel="0" collapsed="false">
      <c r="A220" s="23" t="s">
        <v>3011</v>
      </c>
      <c r="B220" s="23" t="s">
        <v>2449</v>
      </c>
      <c r="C220" s="23" t="n">
        <v>60</v>
      </c>
      <c r="D220" s="23" t="s">
        <v>2930</v>
      </c>
      <c r="E220" s="23"/>
      <c r="F220" s="23" t="s">
        <v>2452</v>
      </c>
      <c r="G220" s="23" t="s">
        <v>2818</v>
      </c>
      <c r="H220" s="23" t="s">
        <v>2608</v>
      </c>
      <c r="I220" s="23" t="s">
        <v>3012</v>
      </c>
      <c r="J220" s="23" t="s">
        <v>1994</v>
      </c>
      <c r="K220" s="23" t="n">
        <v>31.99</v>
      </c>
      <c r="L220" s="23" t="s">
        <v>3013</v>
      </c>
      <c r="M220" s="23" t="s">
        <v>3014</v>
      </c>
      <c r="N220" s="23" t="s">
        <v>3015</v>
      </c>
      <c r="O220" s="23" t="s">
        <v>3016</v>
      </c>
      <c r="P220" s="23" t="s">
        <v>3017</v>
      </c>
      <c r="Q220" s="24" t="n">
        <f aca="false">IF(L220="","",IFERROR(INDEX('Semrush Data'!$A$1:$Z$20000,MATCH(L220,'Semrush Data'!$A$1:$A$20000,0),MATCH("Volume",'Semrush Data'!$A$1:$Z$1,0)),""))</f>
        <v>30</v>
      </c>
      <c r="R220" s="24" t="n">
        <f aca="false">IF(M220="","",IFERROR(INDEX('Semrush Data'!$A$1:$Z$20000,MATCH(M220,'Semrush Data'!$A$1:$A$20000,0),MATCH("Volume",'Semrush Data'!$A$1:$Z$1,0)),""))</f>
        <v>0</v>
      </c>
      <c r="S220" s="24" t="str">
        <f aca="false">IF(N220="","",IFERROR(INDEX('Semrush Data'!$A$1:$Z$20000,MATCH(N220,'Semrush Data'!$A$1:$A$20000,0),MATCH("Volume",'Semrush Data'!$A$1:$Z$1,0)),""))</f>
        <v/>
      </c>
      <c r="T220" s="24" t="str">
        <f aca="false">IF(O220="","",IFERROR(INDEX('Semrush Data'!$A$1:$Z$20000,MATCH(O220,'Semrush Data'!$A$1:$A$20000,0),MATCH("Volume",'Semrush Data'!$A$1:$Z$1,0)),""))</f>
        <v/>
      </c>
      <c r="U220" s="24" t="str">
        <f aca="false">IF(P220="","",IFERROR(INDEX('Semrush Data'!$A$1:$Z$20000,MATCH(P220,'Semrush Data'!$A$1:$A$20000,0),MATCH("Volume",'Semrush Data'!$A$1:$Z$1,0)),""))</f>
        <v/>
      </c>
      <c r="V220" s="25" t="str">
        <f aca="false">IF(COUNT(Q220:U220)=0,L220,IF(MAX(Q220:U220)=0,L220,INDEX(L220:P220,MATCH(MAX(Q220:U220),Q220:U220,0))))</f>
        <v>bentley momentum unlimited</v>
      </c>
      <c r="W220" s="24" t="n">
        <f aca="false">IFERROR(INDEX('Semrush Data'!$A$1:$Z$20000,MATCH(V220,'Semrush Data'!$A$1:$A$20000,0),MATCH("Volume",'Semrush Data'!$A$1:$Z$1,0)),"")</f>
        <v>30</v>
      </c>
      <c r="X220" s="24" t="n">
        <f aca="false">IFERROR(INDEX('Semrush Data'!$A$1:$Z$20000,MATCH(V220,'Semrush Data'!$A$1:$A$20000,0),MATCH("Keyword Difficulty*",'Semrush Data'!$A$1:$Z$1,0)),"")</f>
        <v>19</v>
      </c>
      <c r="Y220" s="26" t="n">
        <f aca="false">IFERROR(INDEX('Semrush Data'!$A$1:$Z$20000,MATCH(V220,'Semrush Data'!$A$1:$A$20000,0),MATCH("CPC*",'Semrush Data'!$A$1:$Z$1,0)),"")</f>
        <v>0</v>
      </c>
      <c r="Z220" s="23" t="s">
        <v>2950</v>
      </c>
      <c r="AA220" s="23" t="s">
        <v>3018</v>
      </c>
      <c r="AB220" s="23" t="s">
        <v>3019</v>
      </c>
      <c r="AC220" s="23" t="s">
        <v>3020</v>
      </c>
      <c r="AD220" s="27" t="n">
        <f aca="false">LEN(AC220)</f>
        <v>56</v>
      </c>
      <c r="AE220" s="23" t="s">
        <v>3021</v>
      </c>
      <c r="AF220" s="27" t="n">
        <f aca="false">LEN(AE220)</f>
        <v>157</v>
      </c>
    </row>
    <row r="221" customFormat="false" ht="15" hidden="false" customHeight="true" outlineLevel="0" collapsed="false">
      <c r="A221" s="23" t="s">
        <v>3022</v>
      </c>
      <c r="B221" s="23" t="s">
        <v>2449</v>
      </c>
      <c r="C221" s="23" t="n">
        <v>61</v>
      </c>
      <c r="D221" s="23" t="s">
        <v>2930</v>
      </c>
      <c r="E221" s="23" t="s">
        <v>2931</v>
      </c>
      <c r="F221" s="23" t="s">
        <v>1735</v>
      </c>
      <c r="G221" s="23" t="s">
        <v>2818</v>
      </c>
      <c r="H221" s="23" t="s">
        <v>2608</v>
      </c>
      <c r="I221" s="23" t="s">
        <v>3023</v>
      </c>
      <c r="J221" s="23" t="s">
        <v>1994</v>
      </c>
      <c r="K221" s="23" t="n">
        <v>68.99</v>
      </c>
      <c r="L221" s="23" t="s">
        <v>3024</v>
      </c>
      <c r="M221" s="23" t="s">
        <v>3025</v>
      </c>
      <c r="N221" s="23" t="s">
        <v>3026</v>
      </c>
      <c r="O221" s="23" t="s">
        <v>3027</v>
      </c>
      <c r="P221" s="23"/>
      <c r="Q221" s="24" t="n">
        <f aca="false">IF(L221="","",IFERROR(INDEX('Semrush Data'!$A$1:$Z$20000,MATCH(L221,'Semrush Data'!$A$1:$A$20000,0),MATCH("Volume",'Semrush Data'!$A$1:$Z$1,0)),""))</f>
        <v>0</v>
      </c>
      <c r="R221" s="24" t="n">
        <f aca="false">IF(M221="","",IFERROR(INDEX('Semrush Data'!$A$1:$Z$20000,MATCH(M221,'Semrush Data'!$A$1:$A$20000,0),MATCH("Volume",'Semrush Data'!$A$1:$Z$1,0)),""))</f>
        <v>0</v>
      </c>
      <c r="S221" s="24" t="str">
        <f aca="false">IF(N221="","",IFERROR(INDEX('Semrush Data'!$A$1:$Z$20000,MATCH(N221,'Semrush Data'!$A$1:$A$20000,0),MATCH("Volume",'Semrush Data'!$A$1:$Z$1,0)),""))</f>
        <v/>
      </c>
      <c r="T221" s="24" t="str">
        <f aca="false">IF(O221="","",IFERROR(INDEX('Semrush Data'!$A$1:$Z$20000,MATCH(O221,'Semrush Data'!$A$1:$A$20000,0),MATCH("Volume",'Semrush Data'!$A$1:$Z$1,0)),""))</f>
        <v/>
      </c>
      <c r="U221" s="24" t="str">
        <f aca="false">IF(P221="","",IFERROR(INDEX('Semrush Data'!$A$1:$Z$20000,MATCH(P221,'Semrush Data'!$A$1:$A$20000,0),MATCH("Volume",'Semrush Data'!$A$1:$Z$1,0)),""))</f>
        <v/>
      </c>
      <c r="V221" s="25" t="str">
        <f aca="false">IF(COUNT(Q221:U221)=0,L221,IF(MAX(Q221:U221)=0,L221,INDEX(L221:P221,MATCH(MAX(Q221:U221),Q221:U221,0))))</f>
        <v>bentley azzaro the most wanted intense gift set</v>
      </c>
      <c r="W221" s="24" t="n">
        <f aca="false">IFERROR(INDEX('Semrush Data'!$A$1:$Z$20000,MATCH(V221,'Semrush Data'!$A$1:$A$20000,0),MATCH("Volume",'Semrush Data'!$A$1:$Z$1,0)),"")</f>
        <v>0</v>
      </c>
      <c r="X221" s="24" t="n">
        <f aca="false">IFERROR(INDEX('Semrush Data'!$A$1:$Z$20000,MATCH(V221,'Semrush Data'!$A$1:$A$20000,0),MATCH("Keyword Difficulty*",'Semrush Data'!$A$1:$Z$1,0)),"")</f>
        <v>13</v>
      </c>
      <c r="Y221" s="26" t="n">
        <f aca="false">IFERROR(INDEX('Semrush Data'!$A$1:$Z$20000,MATCH(V221,'Semrush Data'!$A$1:$A$20000,0),MATCH("CPC*",'Semrush Data'!$A$1:$Z$1,0)),"")</f>
        <v>0</v>
      </c>
      <c r="Z221" s="23" t="s">
        <v>2950</v>
      </c>
      <c r="AA221" s="23"/>
      <c r="AB221" s="23" t="s">
        <v>3028</v>
      </c>
      <c r="AC221" s="23" t="s">
        <v>3029</v>
      </c>
      <c r="AD221" s="27" t="n">
        <f aca="false">LEN(AC221)</f>
        <v>59</v>
      </c>
      <c r="AE221" s="23" t="s">
        <v>3030</v>
      </c>
      <c r="AF221" s="27" t="n">
        <f aca="false">LEN(AE221)</f>
        <v>156</v>
      </c>
    </row>
    <row r="222" customFormat="false" ht="15" hidden="false" customHeight="true" outlineLevel="0" collapsed="false">
      <c r="A222" s="23" t="s">
        <v>3031</v>
      </c>
      <c r="B222" s="23" t="s">
        <v>2449</v>
      </c>
      <c r="C222" s="23" t="n">
        <v>62</v>
      </c>
      <c r="D222" s="23" t="s">
        <v>2930</v>
      </c>
      <c r="E222" s="23" t="s">
        <v>2931</v>
      </c>
      <c r="F222" s="23" t="s">
        <v>2452</v>
      </c>
      <c r="G222" s="23" t="s">
        <v>3032</v>
      </c>
      <c r="H222" s="23" t="s">
        <v>3033</v>
      </c>
      <c r="I222" s="23" t="s">
        <v>3034</v>
      </c>
      <c r="J222" s="23" t="s">
        <v>1994</v>
      </c>
      <c r="K222" s="23" t="n">
        <v>60.99</v>
      </c>
      <c r="L222" s="23" t="s">
        <v>3035</v>
      </c>
      <c r="M222" s="23" t="s">
        <v>3036</v>
      </c>
      <c r="N222" s="23" t="s">
        <v>3037</v>
      </c>
      <c r="O222" s="23" t="s">
        <v>3038</v>
      </c>
      <c r="P222" s="23" t="s">
        <v>3039</v>
      </c>
      <c r="Q222" s="24" t="n">
        <f aca="false">IF(L222="","",IFERROR(INDEX('Semrush Data'!$A$1:$Z$20000,MATCH(L222,'Semrush Data'!$A$1:$A$20000,0),MATCH("Volume",'Semrush Data'!$A$1:$Z$1,0)),""))</f>
        <v>0</v>
      </c>
      <c r="R222" s="24" t="n">
        <f aca="false">IF(M222="","",IFERROR(INDEX('Semrush Data'!$A$1:$Z$20000,MATCH(M222,'Semrush Data'!$A$1:$A$20000,0),MATCH("Volume",'Semrush Data'!$A$1:$Z$1,0)),""))</f>
        <v>0</v>
      </c>
      <c r="S222" s="24" t="str">
        <f aca="false">IF(N222="","",IFERROR(INDEX('Semrush Data'!$A$1:$Z$20000,MATCH(N222,'Semrush Data'!$A$1:$A$20000,0),MATCH("Volume",'Semrush Data'!$A$1:$Z$1,0)),""))</f>
        <v/>
      </c>
      <c r="T222" s="24" t="str">
        <f aca="false">IF(O222="","",IFERROR(INDEX('Semrush Data'!$A$1:$Z$20000,MATCH(O222,'Semrush Data'!$A$1:$A$20000,0),MATCH("Volume",'Semrush Data'!$A$1:$Z$1,0)),""))</f>
        <v/>
      </c>
      <c r="U222" s="24" t="str">
        <f aca="false">IF(P222="","",IFERROR(INDEX('Semrush Data'!$A$1:$Z$20000,MATCH(P222,'Semrush Data'!$A$1:$A$20000,0),MATCH("Volume",'Semrush Data'!$A$1:$Z$1,0)),""))</f>
        <v/>
      </c>
      <c r="V222" s="25" t="str">
        <f aca="false">IF(COUNT(Q222:U222)=0,L222,IF(MAX(Q222:U222)=0,L222,INDEX(L222:P222,MATCH(MAX(Q222:U222),Q222:U222,0))))</f>
        <v>bentley azzaro the most wanted</v>
      </c>
      <c r="W222" s="24" t="n">
        <f aca="false">IFERROR(INDEX('Semrush Data'!$A$1:$Z$20000,MATCH(V222,'Semrush Data'!$A$1:$A$20000,0),MATCH("Volume",'Semrush Data'!$A$1:$Z$1,0)),"")</f>
        <v>0</v>
      </c>
      <c r="X222" s="24" t="n">
        <f aca="false">IFERROR(INDEX('Semrush Data'!$A$1:$Z$20000,MATCH(V222,'Semrush Data'!$A$1:$A$20000,0),MATCH("Keyword Difficulty*",'Semrush Data'!$A$1:$Z$1,0)),"")</f>
        <v>13</v>
      </c>
      <c r="Y222" s="26" t="n">
        <f aca="false">IFERROR(INDEX('Semrush Data'!$A$1:$Z$20000,MATCH(V222,'Semrush Data'!$A$1:$A$20000,0),MATCH("CPC*",'Semrush Data'!$A$1:$Z$1,0)),"")</f>
        <v>0</v>
      </c>
      <c r="Z222" s="23" t="s">
        <v>3040</v>
      </c>
      <c r="AA222" s="23"/>
      <c r="AB222" s="23" t="s">
        <v>3041</v>
      </c>
      <c r="AC222" s="23" t="s">
        <v>3042</v>
      </c>
      <c r="AD222" s="27" t="n">
        <f aca="false">LEN(AC222)</f>
        <v>56</v>
      </c>
      <c r="AE222" s="23" t="s">
        <v>3043</v>
      </c>
      <c r="AF222" s="27" t="n">
        <f aca="false">LEN(AE222)</f>
        <v>142</v>
      </c>
    </row>
    <row r="223" customFormat="false" ht="15" hidden="false" customHeight="true" outlineLevel="0" collapsed="false">
      <c r="A223" s="23" t="s">
        <v>3044</v>
      </c>
      <c r="B223" s="23" t="s">
        <v>2449</v>
      </c>
      <c r="C223" s="23" t="n">
        <v>63</v>
      </c>
      <c r="D223" s="23" t="s">
        <v>3045</v>
      </c>
      <c r="E223" s="23"/>
      <c r="F223" s="23" t="s">
        <v>2452</v>
      </c>
      <c r="G223" s="23" t="s">
        <v>2453</v>
      </c>
      <c r="H223" s="23" t="s">
        <v>2454</v>
      </c>
      <c r="I223" s="23" t="s">
        <v>3046</v>
      </c>
      <c r="J223" s="23" t="s">
        <v>1468</v>
      </c>
      <c r="K223" s="23" t="n">
        <v>48.99</v>
      </c>
      <c r="L223" s="23" t="s">
        <v>3047</v>
      </c>
      <c r="M223" s="23" t="s">
        <v>3048</v>
      </c>
      <c r="N223" s="23" t="s">
        <v>3049</v>
      </c>
      <c r="O223" s="23" t="s">
        <v>3050</v>
      </c>
      <c r="P223" s="23" t="s">
        <v>3051</v>
      </c>
      <c r="Q223" s="24" t="n">
        <f aca="false">IF(L223="","",IFERROR(INDEX('Semrush Data'!$A$1:$Z$20000,MATCH(L223,'Semrush Data'!$A$1:$A$20000,0),MATCH("Volume",'Semrush Data'!$A$1:$Z$1,0)),""))</f>
        <v>170</v>
      </c>
      <c r="R223" s="24" t="n">
        <f aca="false">IF(M223="","",IFERROR(INDEX('Semrush Data'!$A$1:$Z$20000,MATCH(M223,'Semrush Data'!$A$1:$A$20000,0),MATCH("Volume",'Semrush Data'!$A$1:$Z$1,0)),""))</f>
        <v>0</v>
      </c>
      <c r="S223" s="24" t="str">
        <f aca="false">IF(N223="","",IFERROR(INDEX('Semrush Data'!$A$1:$Z$20000,MATCH(N223,'Semrush Data'!$A$1:$A$20000,0),MATCH("Volume",'Semrush Data'!$A$1:$Z$1,0)),""))</f>
        <v/>
      </c>
      <c r="T223" s="24" t="str">
        <f aca="false">IF(O223="","",IFERROR(INDEX('Semrush Data'!$A$1:$Z$20000,MATCH(O223,'Semrush Data'!$A$1:$A$20000,0),MATCH("Volume",'Semrush Data'!$A$1:$Z$1,0)),""))</f>
        <v/>
      </c>
      <c r="U223" s="24" t="n">
        <f aca="false">IF(P223="","",IFERROR(INDEX('Semrush Data'!$A$1:$Z$20000,MATCH(P223,'Semrush Data'!$A$1:$A$20000,0),MATCH("Volume",'Semrush Data'!$A$1:$Z$1,0)),""))</f>
        <v>30</v>
      </c>
      <c r="V223" s="25" t="str">
        <f aca="false">IF(COUNT(Q223:U223)=0,L223,IF(MAX(Q223:U223)=0,L223,INDEX(L223:P223,MATCH(MAX(Q223:U223),Q223:U223,0))))</f>
        <v>burberry my burberry</v>
      </c>
      <c r="W223" s="24" t="n">
        <f aca="false">IFERROR(INDEX('Semrush Data'!$A$1:$Z$20000,MATCH(V223,'Semrush Data'!$A$1:$A$20000,0),MATCH("Volume",'Semrush Data'!$A$1:$Z$1,0)),"")</f>
        <v>170</v>
      </c>
      <c r="X223" s="24" t="n">
        <f aca="false">IFERROR(INDEX('Semrush Data'!$A$1:$Z$20000,MATCH(V223,'Semrush Data'!$A$1:$A$20000,0),MATCH("Keyword Difficulty*",'Semrush Data'!$A$1:$Z$1,0)),"")</f>
        <v>24</v>
      </c>
      <c r="Y223" s="26" t="n">
        <f aca="false">IFERROR(INDEX('Semrush Data'!$A$1:$Z$20000,MATCH(V223,'Semrush Data'!$A$1:$A$20000,0),MATCH("CPC*",'Semrush Data'!$A$1:$Z$1,0)),"")</f>
        <v>0.62</v>
      </c>
      <c r="Z223" s="23" t="s">
        <v>3052</v>
      </c>
      <c r="AA223" s="23" t="s">
        <v>3053</v>
      </c>
      <c r="AB223" s="23" t="s">
        <v>3054</v>
      </c>
      <c r="AC223" s="23" t="s">
        <v>3055</v>
      </c>
      <c r="AD223" s="27" t="n">
        <f aca="false">LEN(AC223)</f>
        <v>56</v>
      </c>
      <c r="AE223" s="23" t="s">
        <v>3056</v>
      </c>
      <c r="AF223" s="27" t="n">
        <f aca="false">LEN(AE223)</f>
        <v>155</v>
      </c>
    </row>
    <row r="224" customFormat="false" ht="15" hidden="false" customHeight="true" outlineLevel="0" collapsed="false">
      <c r="A224" s="23" t="s">
        <v>3057</v>
      </c>
      <c r="B224" s="23" t="s">
        <v>2449</v>
      </c>
      <c r="C224" s="23" t="n">
        <v>64</v>
      </c>
      <c r="D224" s="23" t="s">
        <v>3045</v>
      </c>
      <c r="E224" s="23"/>
      <c r="F224" s="23" t="s">
        <v>2452</v>
      </c>
      <c r="G224" s="23" t="s">
        <v>2453</v>
      </c>
      <c r="H224" s="23" t="s">
        <v>2454</v>
      </c>
      <c r="I224" s="23" t="s">
        <v>3058</v>
      </c>
      <c r="J224" s="23" t="s">
        <v>3059</v>
      </c>
      <c r="K224" s="23" t="n">
        <v>58.99</v>
      </c>
      <c r="L224" s="23" t="s">
        <v>3047</v>
      </c>
      <c r="M224" s="23" t="s">
        <v>3048</v>
      </c>
      <c r="N224" s="23" t="s">
        <v>3049</v>
      </c>
      <c r="O224" s="23" t="s">
        <v>3050</v>
      </c>
      <c r="P224" s="23" t="s">
        <v>3051</v>
      </c>
      <c r="Q224" s="24" t="n">
        <f aca="false">IF(L224="","",IFERROR(INDEX('Semrush Data'!$A$1:$Z$20000,MATCH(L224,'Semrush Data'!$A$1:$A$20000,0),MATCH("Volume",'Semrush Data'!$A$1:$Z$1,0)),""))</f>
        <v>170</v>
      </c>
      <c r="R224" s="24" t="n">
        <f aca="false">IF(M224="","",IFERROR(INDEX('Semrush Data'!$A$1:$Z$20000,MATCH(M224,'Semrush Data'!$A$1:$A$20000,0),MATCH("Volume",'Semrush Data'!$A$1:$Z$1,0)),""))</f>
        <v>0</v>
      </c>
      <c r="S224" s="24" t="str">
        <f aca="false">IF(N224="","",IFERROR(INDEX('Semrush Data'!$A$1:$Z$20000,MATCH(N224,'Semrush Data'!$A$1:$A$20000,0),MATCH("Volume",'Semrush Data'!$A$1:$Z$1,0)),""))</f>
        <v/>
      </c>
      <c r="T224" s="24" t="str">
        <f aca="false">IF(O224="","",IFERROR(INDEX('Semrush Data'!$A$1:$Z$20000,MATCH(O224,'Semrush Data'!$A$1:$A$20000,0),MATCH("Volume",'Semrush Data'!$A$1:$Z$1,0)),""))</f>
        <v/>
      </c>
      <c r="U224" s="24" t="n">
        <f aca="false">IF(P224="","",IFERROR(INDEX('Semrush Data'!$A$1:$Z$20000,MATCH(P224,'Semrush Data'!$A$1:$A$20000,0),MATCH("Volume",'Semrush Data'!$A$1:$Z$1,0)),""))</f>
        <v>30</v>
      </c>
      <c r="V224" s="25" t="str">
        <f aca="false">IF(COUNT(Q224:U224)=0,L224,IF(MAX(Q224:U224)=0,L224,INDEX(L224:P224,MATCH(MAX(Q224:U224),Q224:U224,0))))</f>
        <v>burberry my burberry</v>
      </c>
      <c r="W224" s="24" t="n">
        <f aca="false">IFERROR(INDEX('Semrush Data'!$A$1:$Z$20000,MATCH(V224,'Semrush Data'!$A$1:$A$20000,0),MATCH("Volume",'Semrush Data'!$A$1:$Z$1,0)),"")</f>
        <v>170</v>
      </c>
      <c r="X224" s="24" t="n">
        <f aca="false">IFERROR(INDEX('Semrush Data'!$A$1:$Z$20000,MATCH(V224,'Semrush Data'!$A$1:$A$20000,0),MATCH("Keyword Difficulty*",'Semrush Data'!$A$1:$Z$1,0)),"")</f>
        <v>24</v>
      </c>
      <c r="Y224" s="26" t="n">
        <f aca="false">IFERROR(INDEX('Semrush Data'!$A$1:$Z$20000,MATCH(V224,'Semrush Data'!$A$1:$A$20000,0),MATCH("CPC*",'Semrush Data'!$A$1:$Z$1,0)),"")</f>
        <v>0.62</v>
      </c>
      <c r="Z224" s="23" t="s">
        <v>3052</v>
      </c>
      <c r="AA224" s="23" t="s">
        <v>3053</v>
      </c>
      <c r="AB224" s="23" t="s">
        <v>3054</v>
      </c>
      <c r="AC224" s="23" t="s">
        <v>3060</v>
      </c>
      <c r="AD224" s="27" t="n">
        <f aca="false">LEN(AC224)</f>
        <v>56</v>
      </c>
      <c r="AE224" s="23" t="s">
        <v>3061</v>
      </c>
      <c r="AF224" s="27" t="n">
        <f aca="false">LEN(AE224)</f>
        <v>155</v>
      </c>
    </row>
    <row r="225" customFormat="false" ht="15" hidden="false" customHeight="true" outlineLevel="0" collapsed="false">
      <c r="A225" s="23" t="s">
        <v>3062</v>
      </c>
      <c r="B225" s="23" t="s">
        <v>2449</v>
      </c>
      <c r="C225" s="23" t="n">
        <v>65</v>
      </c>
      <c r="D225" s="23" t="s">
        <v>3045</v>
      </c>
      <c r="E225" s="23"/>
      <c r="F225" s="23" t="s">
        <v>1735</v>
      </c>
      <c r="G225" s="23" t="s">
        <v>2453</v>
      </c>
      <c r="H225" s="23" t="s">
        <v>2516</v>
      </c>
      <c r="I225" s="23" t="s">
        <v>3063</v>
      </c>
      <c r="J225" s="23" t="s">
        <v>3064</v>
      </c>
      <c r="K225" s="23" t="n">
        <v>45.99</v>
      </c>
      <c r="L225" s="23" t="s">
        <v>3065</v>
      </c>
      <c r="M225" s="23" t="s">
        <v>3066</v>
      </c>
      <c r="N225" s="23" t="s">
        <v>3067</v>
      </c>
      <c r="O225" s="23" t="s">
        <v>3068</v>
      </c>
      <c r="P225" s="23"/>
      <c r="Q225" s="24" t="n">
        <f aca="false">IF(L225="","",IFERROR(INDEX('Semrush Data'!$A$1:$Z$20000,MATCH(L225,'Semrush Data'!$A$1:$A$20000,0),MATCH("Volume",'Semrush Data'!$A$1:$Z$1,0)),""))</f>
        <v>20</v>
      </c>
      <c r="R225" s="24" t="n">
        <f aca="false">IF(M225="","",IFERROR(INDEX('Semrush Data'!$A$1:$Z$20000,MATCH(M225,'Semrush Data'!$A$1:$A$20000,0),MATCH("Volume",'Semrush Data'!$A$1:$Z$1,0)),""))</f>
        <v>0</v>
      </c>
      <c r="S225" s="24" t="str">
        <f aca="false">IF(N225="","",IFERROR(INDEX('Semrush Data'!$A$1:$Z$20000,MATCH(N225,'Semrush Data'!$A$1:$A$20000,0),MATCH("Volume",'Semrush Data'!$A$1:$Z$1,0)),""))</f>
        <v/>
      </c>
      <c r="T225" s="24" t="str">
        <f aca="false">IF(O225="","",IFERROR(INDEX('Semrush Data'!$A$1:$Z$20000,MATCH(O225,'Semrush Data'!$A$1:$A$20000,0),MATCH("Volume",'Semrush Data'!$A$1:$Z$1,0)),""))</f>
        <v/>
      </c>
      <c r="U225" s="24" t="str">
        <f aca="false">IF(P225="","",IFERROR(INDEX('Semrush Data'!$A$1:$Z$20000,MATCH(P225,'Semrush Data'!$A$1:$A$20000,0),MATCH("Volume",'Semrush Data'!$A$1:$Z$1,0)),""))</f>
        <v/>
      </c>
      <c r="V225" s="25" t="str">
        <f aca="false">IF(COUNT(Q225:U225)=0,L225,IF(MAX(Q225:U225)=0,L225,INDEX(L225:P225,MATCH(MAX(Q225:U225),Q225:U225,0))))</f>
        <v>burberry miniature set</v>
      </c>
      <c r="W225" s="24" t="n">
        <f aca="false">IFERROR(INDEX('Semrush Data'!$A$1:$Z$20000,MATCH(V225,'Semrush Data'!$A$1:$A$20000,0),MATCH("Volume",'Semrush Data'!$A$1:$Z$1,0)),"")</f>
        <v>20</v>
      </c>
      <c r="X225" s="24" t="n">
        <f aca="false">IFERROR(INDEX('Semrush Data'!$A$1:$Z$20000,MATCH(V225,'Semrush Data'!$A$1:$A$20000,0),MATCH("Keyword Difficulty*",'Semrush Data'!$A$1:$Z$1,0)),"")</f>
        <v>20</v>
      </c>
      <c r="Y225" s="26" t="n">
        <f aca="false">IFERROR(INDEX('Semrush Data'!$A$1:$Z$20000,MATCH(V225,'Semrush Data'!$A$1:$A$20000,0),MATCH("CPC*",'Semrush Data'!$A$1:$Z$1,0)),"")</f>
        <v>0</v>
      </c>
      <c r="Z225" s="23" t="s">
        <v>3069</v>
      </c>
      <c r="AA225" s="23" t="s">
        <v>3070</v>
      </c>
      <c r="AB225" s="23" t="s">
        <v>3071</v>
      </c>
      <c r="AC225" s="23" t="s">
        <v>3072</v>
      </c>
      <c r="AD225" s="27" t="n">
        <f aca="false">LEN(AC225)</f>
        <v>58</v>
      </c>
      <c r="AE225" s="23" t="s">
        <v>3073</v>
      </c>
      <c r="AF225" s="27" t="n">
        <f aca="false">LEN(AE225)</f>
        <v>159</v>
      </c>
    </row>
    <row r="226" customFormat="false" ht="15" hidden="false" customHeight="true" outlineLevel="0" collapsed="false">
      <c r="A226" s="23" t="s">
        <v>3074</v>
      </c>
      <c r="B226" s="23" t="s">
        <v>2449</v>
      </c>
      <c r="C226" s="23" t="n">
        <v>66</v>
      </c>
      <c r="D226" s="23" t="s">
        <v>3045</v>
      </c>
      <c r="E226" s="23"/>
      <c r="F226" s="23" t="s">
        <v>2452</v>
      </c>
      <c r="G226" s="23" t="s">
        <v>3032</v>
      </c>
      <c r="H226" s="23" t="s">
        <v>2454</v>
      </c>
      <c r="I226" s="23" t="s">
        <v>3075</v>
      </c>
      <c r="J226" s="23" t="s">
        <v>1468</v>
      </c>
      <c r="K226" s="23" t="n">
        <v>48.99</v>
      </c>
      <c r="L226" s="23" t="s">
        <v>3076</v>
      </c>
      <c r="M226" s="23" t="s">
        <v>3077</v>
      </c>
      <c r="N226" s="23" t="s">
        <v>3078</v>
      </c>
      <c r="O226" s="23" t="s">
        <v>3079</v>
      </c>
      <c r="P226" s="23" t="s">
        <v>3080</v>
      </c>
      <c r="Q226" s="24" t="n">
        <f aca="false">IF(L226="","",IFERROR(INDEX('Semrush Data'!$A$1:$Z$20000,MATCH(L226,'Semrush Data'!$A$1:$A$20000,0),MATCH("Volume",'Semrush Data'!$A$1:$Z$1,0)),""))</f>
        <v>210</v>
      </c>
      <c r="R226" s="24" t="n">
        <f aca="false">IF(M226="","",IFERROR(INDEX('Semrush Data'!$A$1:$Z$20000,MATCH(M226,'Semrush Data'!$A$1:$A$20000,0),MATCH("Volume",'Semrush Data'!$A$1:$Z$1,0)),""))</f>
        <v>0</v>
      </c>
      <c r="S226" s="24" t="str">
        <f aca="false">IF(N226="","",IFERROR(INDEX('Semrush Data'!$A$1:$Z$20000,MATCH(N226,'Semrush Data'!$A$1:$A$20000,0),MATCH("Volume",'Semrush Data'!$A$1:$Z$1,0)),""))</f>
        <v/>
      </c>
      <c r="T226" s="24" t="str">
        <f aca="false">IF(O226="","",IFERROR(INDEX('Semrush Data'!$A$1:$Z$20000,MATCH(O226,'Semrush Data'!$A$1:$A$20000,0),MATCH("Volume",'Semrush Data'!$A$1:$Z$1,0)),""))</f>
        <v/>
      </c>
      <c r="U226" s="24" t="n">
        <f aca="false">IF(P226="","",IFERROR(INDEX('Semrush Data'!$A$1:$Z$20000,MATCH(P226,'Semrush Data'!$A$1:$A$20000,0),MATCH("Volume",'Semrush Data'!$A$1:$Z$1,0)),""))</f>
        <v>140</v>
      </c>
      <c r="V226" s="25" t="str">
        <f aca="false">IF(COUNT(Q226:U226)=0,L226,IF(MAX(Q226:U226)=0,L226,INDEX(L226:P226,MATCH(MAX(Q226:U226),Q226:U226,0))))</f>
        <v>burberry my burberry black</v>
      </c>
      <c r="W226" s="24" t="n">
        <f aca="false">IFERROR(INDEX('Semrush Data'!$A$1:$Z$20000,MATCH(V226,'Semrush Data'!$A$1:$A$20000,0),MATCH("Volume",'Semrush Data'!$A$1:$Z$1,0)),"")</f>
        <v>210</v>
      </c>
      <c r="X226" s="24" t="n">
        <f aca="false">IFERROR(INDEX('Semrush Data'!$A$1:$Z$20000,MATCH(V226,'Semrush Data'!$A$1:$A$20000,0),MATCH("Keyword Difficulty*",'Semrush Data'!$A$1:$Z$1,0)),"")</f>
        <v>18</v>
      </c>
      <c r="Y226" s="26" t="n">
        <f aca="false">IFERROR(INDEX('Semrush Data'!$A$1:$Z$20000,MATCH(V226,'Semrush Data'!$A$1:$A$20000,0),MATCH("CPC*",'Semrush Data'!$A$1:$Z$1,0)),"")</f>
        <v>1.28</v>
      </c>
      <c r="Z226" s="23" t="s">
        <v>3052</v>
      </c>
      <c r="AA226" s="23" t="s">
        <v>3081</v>
      </c>
      <c r="AB226" s="23" t="s">
        <v>3082</v>
      </c>
      <c r="AC226" s="23" t="s">
        <v>3083</v>
      </c>
      <c r="AD226" s="27" t="n">
        <f aca="false">LEN(AC226)</f>
        <v>60</v>
      </c>
      <c r="AE226" s="23" t="s">
        <v>3084</v>
      </c>
      <c r="AF226" s="27" t="n">
        <f aca="false">LEN(AE226)</f>
        <v>147</v>
      </c>
    </row>
    <row r="227" customFormat="false" ht="15" hidden="false" customHeight="true" outlineLevel="0" collapsed="false">
      <c r="A227" s="23" t="s">
        <v>3085</v>
      </c>
      <c r="B227" s="23" t="s">
        <v>2449</v>
      </c>
      <c r="C227" s="23" t="n">
        <v>67</v>
      </c>
      <c r="D227" s="23" t="s">
        <v>3045</v>
      </c>
      <c r="E227" s="23"/>
      <c r="F227" s="23" t="s">
        <v>2452</v>
      </c>
      <c r="G227" s="23" t="s">
        <v>3032</v>
      </c>
      <c r="H227" s="23" t="s">
        <v>2454</v>
      </c>
      <c r="I227" s="23" t="s">
        <v>3086</v>
      </c>
      <c r="J227" s="23" t="s">
        <v>3059</v>
      </c>
      <c r="K227" s="23" t="n">
        <v>58.99</v>
      </c>
      <c r="L227" s="23" t="s">
        <v>3076</v>
      </c>
      <c r="M227" s="23" t="s">
        <v>3077</v>
      </c>
      <c r="N227" s="23" t="s">
        <v>3078</v>
      </c>
      <c r="O227" s="23" t="s">
        <v>3079</v>
      </c>
      <c r="P227" s="23" t="s">
        <v>3080</v>
      </c>
      <c r="Q227" s="24" t="n">
        <f aca="false">IF(L227="","",IFERROR(INDEX('Semrush Data'!$A$1:$Z$20000,MATCH(L227,'Semrush Data'!$A$1:$A$20000,0),MATCH("Volume",'Semrush Data'!$A$1:$Z$1,0)),""))</f>
        <v>210</v>
      </c>
      <c r="R227" s="24" t="n">
        <f aca="false">IF(M227="","",IFERROR(INDEX('Semrush Data'!$A$1:$Z$20000,MATCH(M227,'Semrush Data'!$A$1:$A$20000,0),MATCH("Volume",'Semrush Data'!$A$1:$Z$1,0)),""))</f>
        <v>0</v>
      </c>
      <c r="S227" s="24" t="str">
        <f aca="false">IF(N227="","",IFERROR(INDEX('Semrush Data'!$A$1:$Z$20000,MATCH(N227,'Semrush Data'!$A$1:$A$20000,0),MATCH("Volume",'Semrush Data'!$A$1:$Z$1,0)),""))</f>
        <v/>
      </c>
      <c r="T227" s="24" t="str">
        <f aca="false">IF(O227="","",IFERROR(INDEX('Semrush Data'!$A$1:$Z$20000,MATCH(O227,'Semrush Data'!$A$1:$A$20000,0),MATCH("Volume",'Semrush Data'!$A$1:$Z$1,0)),""))</f>
        <v/>
      </c>
      <c r="U227" s="24" t="n">
        <f aca="false">IF(P227="","",IFERROR(INDEX('Semrush Data'!$A$1:$Z$20000,MATCH(P227,'Semrush Data'!$A$1:$A$20000,0),MATCH("Volume",'Semrush Data'!$A$1:$Z$1,0)),""))</f>
        <v>140</v>
      </c>
      <c r="V227" s="25" t="str">
        <f aca="false">IF(COUNT(Q227:U227)=0,L227,IF(MAX(Q227:U227)=0,L227,INDEX(L227:P227,MATCH(MAX(Q227:U227),Q227:U227,0))))</f>
        <v>burberry my burberry black</v>
      </c>
      <c r="W227" s="24" t="n">
        <f aca="false">IFERROR(INDEX('Semrush Data'!$A$1:$Z$20000,MATCH(V227,'Semrush Data'!$A$1:$A$20000,0),MATCH("Volume",'Semrush Data'!$A$1:$Z$1,0)),"")</f>
        <v>210</v>
      </c>
      <c r="X227" s="24" t="n">
        <f aca="false">IFERROR(INDEX('Semrush Data'!$A$1:$Z$20000,MATCH(V227,'Semrush Data'!$A$1:$A$20000,0),MATCH("Keyword Difficulty*",'Semrush Data'!$A$1:$Z$1,0)),"")</f>
        <v>18</v>
      </c>
      <c r="Y227" s="26" t="n">
        <f aca="false">IFERROR(INDEX('Semrush Data'!$A$1:$Z$20000,MATCH(V227,'Semrush Data'!$A$1:$A$20000,0),MATCH("CPC*",'Semrush Data'!$A$1:$Z$1,0)),"")</f>
        <v>1.28</v>
      </c>
      <c r="Z227" s="23" t="s">
        <v>3052</v>
      </c>
      <c r="AA227" s="23" t="s">
        <v>3081</v>
      </c>
      <c r="AB227" s="23" t="s">
        <v>3082</v>
      </c>
      <c r="AC227" s="23" t="s">
        <v>3083</v>
      </c>
      <c r="AD227" s="27" t="n">
        <f aca="false">LEN(AC227)</f>
        <v>60</v>
      </c>
      <c r="AE227" s="23" t="s">
        <v>3087</v>
      </c>
      <c r="AF227" s="27" t="n">
        <f aca="false">LEN(AE227)</f>
        <v>147</v>
      </c>
    </row>
    <row r="228" customFormat="false" ht="15" hidden="false" customHeight="true" outlineLevel="0" collapsed="false">
      <c r="A228" s="23" t="s">
        <v>79</v>
      </c>
      <c r="B228" s="23" t="s">
        <v>2449</v>
      </c>
      <c r="C228" s="23" t="n">
        <v>68</v>
      </c>
      <c r="D228" s="23" t="s">
        <v>3088</v>
      </c>
      <c r="E228" s="23"/>
      <c r="F228" s="23" t="s">
        <v>2452</v>
      </c>
      <c r="G228" s="23" t="s">
        <v>2453</v>
      </c>
      <c r="H228" s="23" t="s">
        <v>2608</v>
      </c>
      <c r="I228" s="23" t="s">
        <v>80</v>
      </c>
      <c r="J228" s="23" t="s">
        <v>1994</v>
      </c>
      <c r="K228" s="23" t="n">
        <v>64.99</v>
      </c>
      <c r="L228" s="23" t="s">
        <v>3089</v>
      </c>
      <c r="M228" s="23" t="s">
        <v>3090</v>
      </c>
      <c r="N228" s="23" t="s">
        <v>3091</v>
      </c>
      <c r="O228" s="23" t="s">
        <v>3092</v>
      </c>
      <c r="P228" s="23" t="s">
        <v>3093</v>
      </c>
      <c r="Q228" s="24" t="n">
        <f aca="false">IF(L228="","",IFERROR(INDEX('Semrush Data'!$A$1:$Z$20000,MATCH(L228,'Semrush Data'!$A$1:$A$20000,0),MATCH("Volume",'Semrush Data'!$A$1:$Z$1,0)),""))</f>
        <v>1900</v>
      </c>
      <c r="R228" s="24" t="n">
        <f aca="false">IF(M228="","",IFERROR(INDEX('Semrush Data'!$A$1:$Z$20000,MATCH(M228,'Semrush Data'!$A$1:$A$20000,0),MATCH("Volume",'Semrush Data'!$A$1:$Z$1,0)),""))</f>
        <v>20</v>
      </c>
      <c r="S228" s="24" t="n">
        <f aca="false">IF(N228="","",IFERROR(INDEX('Semrush Data'!$A$1:$Z$20000,MATCH(N228,'Semrush Data'!$A$1:$A$20000,0),MATCH("Volume",'Semrush Data'!$A$1:$Z$1,0)),""))</f>
        <v>0</v>
      </c>
      <c r="T228" s="24" t="n">
        <f aca="false">IF(O228="","",IFERROR(INDEX('Semrush Data'!$A$1:$Z$20000,MATCH(O228,'Semrush Data'!$A$1:$A$20000,0),MATCH("Volume",'Semrush Data'!$A$1:$Z$1,0)),""))</f>
        <v>20</v>
      </c>
      <c r="U228" s="24" t="n">
        <f aca="false">IF(P228="","",IFERROR(INDEX('Semrush Data'!$A$1:$Z$20000,MATCH(P228,'Semrush Data'!$A$1:$A$20000,0),MATCH("Volume",'Semrush Data'!$A$1:$Z$1,0)),""))</f>
        <v>110</v>
      </c>
      <c r="V228" s="25" t="str">
        <f aca="false">IF(COUNT(Q228:U228)=0,L228,IF(MAX(Q228:U228)=0,L228,INDEX(L228:P228,MATCH(MAX(Q228:U228),Q228:U228,0))))</f>
        <v>bvlgari man in black</v>
      </c>
      <c r="W228" s="24" t="n">
        <f aca="false">IFERROR(INDEX('Semrush Data'!$A$1:$Z$20000,MATCH(V228,'Semrush Data'!$A$1:$A$20000,0),MATCH("Volume",'Semrush Data'!$A$1:$Z$1,0)),"")</f>
        <v>1900</v>
      </c>
      <c r="X228" s="24" t="n">
        <f aca="false">IFERROR(INDEX('Semrush Data'!$A$1:$Z$20000,MATCH(V228,'Semrush Data'!$A$1:$A$20000,0),MATCH("Keyword Difficulty*",'Semrush Data'!$A$1:$Z$1,0)),"")</f>
        <v>16</v>
      </c>
      <c r="Y228" s="26" t="n">
        <f aca="false">IFERROR(INDEX('Semrush Data'!$A$1:$Z$20000,MATCH(V228,'Semrush Data'!$A$1:$A$20000,0),MATCH("CPC*",'Semrush Data'!$A$1:$Z$1,0)),"")</f>
        <v>0.41</v>
      </c>
      <c r="Z228" s="23" t="s">
        <v>3094</v>
      </c>
      <c r="AA228" s="23" t="s">
        <v>3095</v>
      </c>
      <c r="AB228" s="23" t="s">
        <v>3096</v>
      </c>
      <c r="AC228" s="23" t="s">
        <v>3097</v>
      </c>
      <c r="AD228" s="27" t="n">
        <f aca="false">LEN(AC228)</f>
        <v>57</v>
      </c>
      <c r="AE228" s="23" t="s">
        <v>3098</v>
      </c>
      <c r="AF228" s="27" t="n">
        <f aca="false">LEN(AE228)</f>
        <v>153</v>
      </c>
    </row>
    <row r="229" customFormat="false" ht="15" hidden="false" customHeight="true" outlineLevel="0" collapsed="false">
      <c r="A229" s="23" t="s">
        <v>3099</v>
      </c>
      <c r="B229" s="23" t="s">
        <v>2449</v>
      </c>
      <c r="C229" s="23" t="n">
        <v>69</v>
      </c>
      <c r="D229" s="23" t="s">
        <v>3088</v>
      </c>
      <c r="E229" s="23"/>
      <c r="F229" s="23" t="s">
        <v>2452</v>
      </c>
      <c r="G229" s="23" t="s">
        <v>2453</v>
      </c>
      <c r="H229" s="23" t="s">
        <v>2454</v>
      </c>
      <c r="I229" s="23" t="s">
        <v>3100</v>
      </c>
      <c r="J229" s="23" t="s">
        <v>1994</v>
      </c>
      <c r="K229" s="23" t="n">
        <v>54.99</v>
      </c>
      <c r="L229" s="23" t="s">
        <v>3101</v>
      </c>
      <c r="M229" s="23" t="s">
        <v>3102</v>
      </c>
      <c r="N229" s="23" t="s">
        <v>3103</v>
      </c>
      <c r="O229" s="23" t="s">
        <v>3104</v>
      </c>
      <c r="P229" s="23" t="s">
        <v>3105</v>
      </c>
      <c r="Q229" s="24" t="n">
        <f aca="false">IF(L229="","",IFERROR(INDEX('Semrush Data'!$A$1:$Z$20000,MATCH(L229,'Semrush Data'!$A$1:$A$20000,0),MATCH("Volume",'Semrush Data'!$A$1:$Z$1,0)),""))</f>
        <v>30</v>
      </c>
      <c r="R229" s="24" t="n">
        <f aca="false">IF(M229="","",IFERROR(INDEX('Semrush Data'!$A$1:$Z$20000,MATCH(M229,'Semrush Data'!$A$1:$A$20000,0),MATCH("Volume",'Semrush Data'!$A$1:$Z$1,0)),""))</f>
        <v>0</v>
      </c>
      <c r="S229" s="24" t="str">
        <f aca="false">IF(N229="","",IFERROR(INDEX('Semrush Data'!$A$1:$Z$20000,MATCH(N229,'Semrush Data'!$A$1:$A$20000,0),MATCH("Volume",'Semrush Data'!$A$1:$Z$1,0)),""))</f>
        <v/>
      </c>
      <c r="T229" s="24" t="str">
        <f aca="false">IF(O229="","",IFERROR(INDEX('Semrush Data'!$A$1:$Z$20000,MATCH(O229,'Semrush Data'!$A$1:$A$20000,0),MATCH("Volume",'Semrush Data'!$A$1:$Z$1,0)),""))</f>
        <v/>
      </c>
      <c r="U229" s="24" t="str">
        <f aca="false">IF(P229="","",IFERROR(INDEX('Semrush Data'!$A$1:$Z$20000,MATCH(P229,'Semrush Data'!$A$1:$A$20000,0),MATCH("Volume",'Semrush Data'!$A$1:$Z$1,0)),""))</f>
        <v/>
      </c>
      <c r="V229" s="25" t="str">
        <f aca="false">IF(COUNT(Q229:U229)=0,L229,IF(MAX(Q229:U229)=0,L229,INDEX(L229:P229,MATCH(MAX(Q229:U229),Q229:U229,0))))</f>
        <v>bvlgari splendida tubereuse mystique</v>
      </c>
      <c r="W229" s="24" t="n">
        <f aca="false">IFERROR(INDEX('Semrush Data'!$A$1:$Z$20000,MATCH(V229,'Semrush Data'!$A$1:$A$20000,0),MATCH("Volume",'Semrush Data'!$A$1:$Z$1,0)),"")</f>
        <v>30</v>
      </c>
      <c r="X229" s="24" t="n">
        <f aca="false">IFERROR(INDEX('Semrush Data'!$A$1:$Z$20000,MATCH(V229,'Semrush Data'!$A$1:$A$20000,0),MATCH("Keyword Difficulty*",'Semrush Data'!$A$1:$Z$1,0)),"")</f>
        <v>20</v>
      </c>
      <c r="Y229" s="26" t="n">
        <f aca="false">IFERROR(INDEX('Semrush Data'!$A$1:$Z$20000,MATCH(V229,'Semrush Data'!$A$1:$A$20000,0),MATCH("CPC*",'Semrush Data'!$A$1:$Z$1,0)),"")</f>
        <v>0</v>
      </c>
      <c r="Z229" s="23" t="s">
        <v>3106</v>
      </c>
      <c r="AA229" s="23" t="s">
        <v>3107</v>
      </c>
      <c r="AB229" s="23" t="s">
        <v>3108</v>
      </c>
      <c r="AC229" s="23" t="s">
        <v>3109</v>
      </c>
      <c r="AD229" s="27" t="n">
        <f aca="false">LEN(AC229)</f>
        <v>60</v>
      </c>
      <c r="AE229" s="23" t="s">
        <v>3110</v>
      </c>
      <c r="AF229" s="27" t="n">
        <f aca="false">LEN(AE229)</f>
        <v>159</v>
      </c>
    </row>
    <row r="230" customFormat="false" ht="15" hidden="false" customHeight="true" outlineLevel="0" collapsed="false">
      <c r="A230" s="23" t="s">
        <v>145</v>
      </c>
      <c r="B230" s="23" t="s">
        <v>2449</v>
      </c>
      <c r="C230" s="23" t="n">
        <v>70</v>
      </c>
      <c r="D230" s="23" t="s">
        <v>3088</v>
      </c>
      <c r="E230" s="23"/>
      <c r="F230" s="23" t="s">
        <v>2452</v>
      </c>
      <c r="G230" s="23" t="s">
        <v>2818</v>
      </c>
      <c r="H230" s="23" t="s">
        <v>2454</v>
      </c>
      <c r="I230" s="23" t="s">
        <v>146</v>
      </c>
      <c r="J230" s="23" t="s">
        <v>3111</v>
      </c>
      <c r="K230" s="23" t="n">
        <v>34.99</v>
      </c>
      <c r="L230" s="23" t="s">
        <v>3112</v>
      </c>
      <c r="M230" s="23" t="s">
        <v>3113</v>
      </c>
      <c r="N230" s="23" t="s">
        <v>3114</v>
      </c>
      <c r="O230" s="23" t="s">
        <v>3115</v>
      </c>
      <c r="P230" s="23" t="s">
        <v>3116</v>
      </c>
      <c r="Q230" s="24" t="n">
        <f aca="false">IF(L230="","",IFERROR(INDEX('Semrush Data'!$A$1:$Z$20000,MATCH(L230,'Semrush Data'!$A$1:$A$20000,0),MATCH("Volume",'Semrush Data'!$A$1:$Z$1,0)),""))</f>
        <v>320</v>
      </c>
      <c r="R230" s="24" t="n">
        <f aca="false">IF(M230="","",IFERROR(INDEX('Semrush Data'!$A$1:$Z$20000,MATCH(M230,'Semrush Data'!$A$1:$A$20000,0),MATCH("Volume",'Semrush Data'!$A$1:$Z$1,0)),""))</f>
        <v>20</v>
      </c>
      <c r="S230" s="24" t="str">
        <f aca="false">IF(N230="","",IFERROR(INDEX('Semrush Data'!$A$1:$Z$20000,MATCH(N230,'Semrush Data'!$A$1:$A$20000,0),MATCH("Volume",'Semrush Data'!$A$1:$Z$1,0)),""))</f>
        <v/>
      </c>
      <c r="T230" s="24" t="str">
        <f aca="false">IF(O230="","",IFERROR(INDEX('Semrush Data'!$A$1:$Z$20000,MATCH(O230,'Semrush Data'!$A$1:$A$20000,0),MATCH("Volume",'Semrush Data'!$A$1:$Z$1,0)),""))</f>
        <v/>
      </c>
      <c r="U230" s="24" t="n">
        <f aca="false">IF(P230="","",IFERROR(INDEX('Semrush Data'!$A$1:$Z$20000,MATCH(P230,'Semrush Data'!$A$1:$A$20000,0),MATCH("Volume",'Semrush Data'!$A$1:$Z$1,0)),""))</f>
        <v>10</v>
      </c>
      <c r="V230" s="25" t="str">
        <f aca="false">IF(COUNT(Q230:U230)=0,L230,IF(MAX(Q230:U230)=0,L230,INDEX(L230:P230,MATCH(MAX(Q230:U230),Q230:U230,0))))</f>
        <v>bvlgari omnia amethyste</v>
      </c>
      <c r="W230" s="24" t="n">
        <f aca="false">IFERROR(INDEX('Semrush Data'!$A$1:$Z$20000,MATCH(V230,'Semrush Data'!$A$1:$A$20000,0),MATCH("Volume",'Semrush Data'!$A$1:$Z$1,0)),"")</f>
        <v>320</v>
      </c>
      <c r="X230" s="24" t="n">
        <f aca="false">IFERROR(INDEX('Semrush Data'!$A$1:$Z$20000,MATCH(V230,'Semrush Data'!$A$1:$A$20000,0),MATCH("Keyword Difficulty*",'Semrush Data'!$A$1:$Z$1,0)),"")</f>
        <v>18</v>
      </c>
      <c r="Y230" s="26" t="n">
        <f aca="false">IFERROR(INDEX('Semrush Data'!$A$1:$Z$20000,MATCH(V230,'Semrush Data'!$A$1:$A$20000,0),MATCH("CPC*",'Semrush Data'!$A$1:$Z$1,0)),"")</f>
        <v>0.41</v>
      </c>
      <c r="Z230" s="23" t="s">
        <v>3106</v>
      </c>
      <c r="AA230" s="23" t="s">
        <v>3117</v>
      </c>
      <c r="AB230" s="23" t="s">
        <v>3118</v>
      </c>
      <c r="AC230" s="23" t="s">
        <v>3119</v>
      </c>
      <c r="AD230" s="27" t="n">
        <f aca="false">LEN(AC230)</f>
        <v>59</v>
      </c>
      <c r="AE230" s="23" t="s">
        <v>3120</v>
      </c>
      <c r="AF230" s="27" t="n">
        <f aca="false">LEN(AE230)</f>
        <v>156</v>
      </c>
    </row>
    <row r="231" customFormat="false" ht="15" hidden="false" customHeight="true" outlineLevel="0" collapsed="false">
      <c r="A231" s="23" t="s">
        <v>3121</v>
      </c>
      <c r="B231" s="23" t="s">
        <v>2449</v>
      </c>
      <c r="C231" s="23" t="n">
        <v>71</v>
      </c>
      <c r="D231" s="23" t="s">
        <v>3088</v>
      </c>
      <c r="E231" s="23"/>
      <c r="F231" s="23" t="s">
        <v>1735</v>
      </c>
      <c r="G231" s="23" t="s">
        <v>2453</v>
      </c>
      <c r="H231" s="23" t="s">
        <v>2608</v>
      </c>
      <c r="I231" s="23" t="s">
        <v>3122</v>
      </c>
      <c r="J231" s="23" t="s">
        <v>1994</v>
      </c>
      <c r="K231" s="23" t="n">
        <v>69.99</v>
      </c>
      <c r="L231" s="23" t="s">
        <v>3123</v>
      </c>
      <c r="M231" s="23" t="s">
        <v>3124</v>
      </c>
      <c r="N231" s="23" t="s">
        <v>3125</v>
      </c>
      <c r="O231" s="23" t="s">
        <v>3126</v>
      </c>
      <c r="P231" s="23"/>
      <c r="Q231" s="24" t="n">
        <f aca="false">IF(L231="","",IFERROR(INDEX('Semrush Data'!$A$1:$Z$20000,MATCH(L231,'Semrush Data'!$A$1:$A$20000,0),MATCH("Volume",'Semrush Data'!$A$1:$Z$1,0)),""))</f>
        <v>20</v>
      </c>
      <c r="R231" s="24" t="n">
        <f aca="false">IF(M231="","",IFERROR(INDEX('Semrush Data'!$A$1:$Z$20000,MATCH(M231,'Semrush Data'!$A$1:$A$20000,0),MATCH("Volume",'Semrush Data'!$A$1:$Z$1,0)),""))</f>
        <v>0</v>
      </c>
      <c r="S231" s="24" t="str">
        <f aca="false">IF(N231="","",IFERROR(INDEX('Semrush Data'!$A$1:$Z$20000,MATCH(N231,'Semrush Data'!$A$1:$A$20000,0),MATCH("Volume",'Semrush Data'!$A$1:$Z$1,0)),""))</f>
        <v/>
      </c>
      <c r="T231" s="24" t="str">
        <f aca="false">IF(O231="","",IFERROR(INDEX('Semrush Data'!$A$1:$Z$20000,MATCH(O231,'Semrush Data'!$A$1:$A$20000,0),MATCH("Volume",'Semrush Data'!$A$1:$Z$1,0)),""))</f>
        <v/>
      </c>
      <c r="U231" s="24" t="str">
        <f aca="false">IF(P231="","",IFERROR(INDEX('Semrush Data'!$A$1:$Z$20000,MATCH(P231,'Semrush Data'!$A$1:$A$20000,0),MATCH("Volume",'Semrush Data'!$A$1:$Z$1,0)),""))</f>
        <v/>
      </c>
      <c r="V231" s="25" t="str">
        <f aca="false">IF(COUNT(Q231:U231)=0,L231,IF(MAX(Q231:U231)=0,L231,INDEX(L231:P231,MATCH(MAX(Q231:U231),Q231:U231,0))))</f>
        <v>bvlgari man glacial essence gift set</v>
      </c>
      <c r="W231" s="24" t="n">
        <f aca="false">IFERROR(INDEX('Semrush Data'!$A$1:$Z$20000,MATCH(V231,'Semrush Data'!$A$1:$A$20000,0),MATCH("Volume",'Semrush Data'!$A$1:$Z$1,0)),"")</f>
        <v>20</v>
      </c>
      <c r="X231" s="24" t="n">
        <f aca="false">IFERROR(INDEX('Semrush Data'!$A$1:$Z$20000,MATCH(V231,'Semrush Data'!$A$1:$A$20000,0),MATCH("Keyword Difficulty*",'Semrush Data'!$A$1:$Z$1,0)),"")</f>
        <v>12</v>
      </c>
      <c r="Y231" s="26" t="n">
        <f aca="false">IFERROR(INDEX('Semrush Data'!$A$1:$Z$20000,MATCH(V231,'Semrush Data'!$A$1:$A$20000,0),MATCH("CPC*",'Semrush Data'!$A$1:$Z$1,0)),"")</f>
        <v>0</v>
      </c>
      <c r="Z231" s="23" t="s">
        <v>3094</v>
      </c>
      <c r="AA231" s="23" t="s">
        <v>3127</v>
      </c>
      <c r="AB231" s="23" t="s">
        <v>3128</v>
      </c>
      <c r="AC231" s="23" t="s">
        <v>3129</v>
      </c>
      <c r="AD231" s="27" t="n">
        <f aca="false">LEN(AC231)</f>
        <v>54</v>
      </c>
      <c r="AE231" s="23" t="s">
        <v>3130</v>
      </c>
      <c r="AF231" s="27" t="n">
        <f aca="false">LEN(AE231)</f>
        <v>159</v>
      </c>
    </row>
    <row r="232" customFormat="false" ht="15" hidden="false" customHeight="true" outlineLevel="0" collapsed="false">
      <c r="A232" s="23" t="s">
        <v>3131</v>
      </c>
      <c r="B232" s="23" t="s">
        <v>2449</v>
      </c>
      <c r="C232" s="23" t="n">
        <v>72</v>
      </c>
      <c r="D232" s="23" t="s">
        <v>3088</v>
      </c>
      <c r="E232" s="23"/>
      <c r="F232" s="23" t="s">
        <v>1735</v>
      </c>
      <c r="G232" s="23" t="s">
        <v>2453</v>
      </c>
      <c r="H232" s="23" t="s">
        <v>2608</v>
      </c>
      <c r="I232" s="23" t="s">
        <v>3132</v>
      </c>
      <c r="J232" s="23" t="s">
        <v>1994</v>
      </c>
      <c r="K232" s="23" t="n">
        <v>54.99</v>
      </c>
      <c r="L232" s="23" t="s">
        <v>3133</v>
      </c>
      <c r="M232" s="23" t="s">
        <v>3134</v>
      </c>
      <c r="N232" s="23" t="s">
        <v>3135</v>
      </c>
      <c r="O232" s="23" t="s">
        <v>3136</v>
      </c>
      <c r="P232" s="23"/>
      <c r="Q232" s="24" t="n">
        <f aca="false">IF(L232="","",IFERROR(INDEX('Semrush Data'!$A$1:$Z$20000,MATCH(L232,'Semrush Data'!$A$1:$A$20000,0),MATCH("Volume",'Semrush Data'!$A$1:$Z$1,0)),""))</f>
        <v>20</v>
      </c>
      <c r="R232" s="24" t="n">
        <f aca="false">IF(M232="","",IFERROR(INDEX('Semrush Data'!$A$1:$Z$20000,MATCH(M232,'Semrush Data'!$A$1:$A$20000,0),MATCH("Volume",'Semrush Data'!$A$1:$Z$1,0)),""))</f>
        <v>0</v>
      </c>
      <c r="S232" s="24" t="str">
        <f aca="false">IF(N232="","",IFERROR(INDEX('Semrush Data'!$A$1:$Z$20000,MATCH(N232,'Semrush Data'!$A$1:$A$20000,0),MATCH("Volume",'Semrush Data'!$A$1:$Z$1,0)),""))</f>
        <v/>
      </c>
      <c r="T232" s="24" t="str">
        <f aca="false">IF(O232="","",IFERROR(INDEX('Semrush Data'!$A$1:$Z$20000,MATCH(O232,'Semrush Data'!$A$1:$A$20000,0),MATCH("Volume",'Semrush Data'!$A$1:$Z$1,0)),""))</f>
        <v/>
      </c>
      <c r="U232" s="24" t="str">
        <f aca="false">IF(P232="","",IFERROR(INDEX('Semrush Data'!$A$1:$Z$20000,MATCH(P232,'Semrush Data'!$A$1:$A$20000,0),MATCH("Volume",'Semrush Data'!$A$1:$Z$1,0)),""))</f>
        <v/>
      </c>
      <c r="V232" s="25" t="str">
        <f aca="false">IF(COUNT(Q232:U232)=0,L232,IF(MAX(Q232:U232)=0,L232,INDEX(L232:P232,MATCH(MAX(Q232:U232),Q232:U232,0))))</f>
        <v>bvlgari man rain essence gift set</v>
      </c>
      <c r="W232" s="24" t="n">
        <f aca="false">IFERROR(INDEX('Semrush Data'!$A$1:$Z$20000,MATCH(V232,'Semrush Data'!$A$1:$A$20000,0),MATCH("Volume",'Semrush Data'!$A$1:$Z$1,0)),"")</f>
        <v>20</v>
      </c>
      <c r="X232" s="24" t="n">
        <f aca="false">IFERROR(INDEX('Semrush Data'!$A$1:$Z$20000,MATCH(V232,'Semrush Data'!$A$1:$A$20000,0),MATCH("Keyword Difficulty*",'Semrush Data'!$A$1:$Z$1,0)),"")</f>
        <v>16</v>
      </c>
      <c r="Y232" s="26" t="n">
        <f aca="false">IFERROR(INDEX('Semrush Data'!$A$1:$Z$20000,MATCH(V232,'Semrush Data'!$A$1:$A$20000,0),MATCH("CPC*",'Semrush Data'!$A$1:$Z$1,0)),"")</f>
        <v>0</v>
      </c>
      <c r="Z232" s="23" t="s">
        <v>3094</v>
      </c>
      <c r="AA232" s="23" t="s">
        <v>3137</v>
      </c>
      <c r="AB232" s="23" t="s">
        <v>3138</v>
      </c>
      <c r="AC232" s="23" t="s">
        <v>3139</v>
      </c>
      <c r="AD232" s="27" t="n">
        <f aca="false">LEN(AC232)</f>
        <v>57</v>
      </c>
      <c r="AE232" s="23" t="s">
        <v>3140</v>
      </c>
      <c r="AF232" s="27" t="n">
        <f aca="false">LEN(AE232)</f>
        <v>160</v>
      </c>
    </row>
    <row r="233" customFormat="false" ht="15" hidden="false" customHeight="true" outlineLevel="0" collapsed="false">
      <c r="A233" s="23" t="s">
        <v>3141</v>
      </c>
      <c r="B233" s="23" t="s">
        <v>2449</v>
      </c>
      <c r="C233" s="23" t="n">
        <v>73</v>
      </c>
      <c r="D233" s="23" t="s">
        <v>3088</v>
      </c>
      <c r="E233" s="23"/>
      <c r="F233" s="23" t="s">
        <v>1735</v>
      </c>
      <c r="G233" s="23" t="s">
        <v>2453</v>
      </c>
      <c r="H233" s="23" t="s">
        <v>2608</v>
      </c>
      <c r="I233" s="23" t="s">
        <v>3142</v>
      </c>
      <c r="J233" s="23" t="s">
        <v>1994</v>
      </c>
      <c r="K233" s="23" t="n">
        <v>69.99</v>
      </c>
      <c r="L233" s="23" t="s">
        <v>3143</v>
      </c>
      <c r="M233" s="23" t="s">
        <v>3144</v>
      </c>
      <c r="N233" s="23" t="s">
        <v>3145</v>
      </c>
      <c r="O233" s="23" t="s">
        <v>3146</v>
      </c>
      <c r="P233" s="23"/>
      <c r="Q233" s="24" t="n">
        <f aca="false">IF(L233="","",IFERROR(INDEX('Semrush Data'!$A$1:$Z$20000,MATCH(L233,'Semrush Data'!$A$1:$A$20000,0),MATCH("Volume",'Semrush Data'!$A$1:$Z$1,0)),""))</f>
        <v>20</v>
      </c>
      <c r="R233" s="24" t="n">
        <f aca="false">IF(M233="","",IFERROR(INDEX('Semrush Data'!$A$1:$Z$20000,MATCH(M233,'Semrush Data'!$A$1:$A$20000,0),MATCH("Volume",'Semrush Data'!$A$1:$Z$1,0)),""))</f>
        <v>0</v>
      </c>
      <c r="S233" s="24" t="str">
        <f aca="false">IF(N233="","",IFERROR(INDEX('Semrush Data'!$A$1:$Z$20000,MATCH(N233,'Semrush Data'!$A$1:$A$20000,0),MATCH("Volume",'Semrush Data'!$A$1:$Z$1,0)),""))</f>
        <v/>
      </c>
      <c r="T233" s="24" t="str">
        <f aca="false">IF(O233="","",IFERROR(INDEX('Semrush Data'!$A$1:$Z$20000,MATCH(O233,'Semrush Data'!$A$1:$A$20000,0),MATCH("Volume",'Semrush Data'!$A$1:$Z$1,0)),""))</f>
        <v/>
      </c>
      <c r="U233" s="24" t="str">
        <f aca="false">IF(P233="","",IFERROR(INDEX('Semrush Data'!$A$1:$Z$20000,MATCH(P233,'Semrush Data'!$A$1:$A$20000,0),MATCH("Volume",'Semrush Data'!$A$1:$Z$1,0)),""))</f>
        <v/>
      </c>
      <c r="V233" s="25" t="str">
        <f aca="false">IF(COUNT(Q233:U233)=0,L233,IF(MAX(Q233:U233)=0,L233,INDEX(L233:P233,MATCH(MAX(Q233:U233),Q233:U233,0))))</f>
        <v>bvlgari man terrae essence gift set</v>
      </c>
      <c r="W233" s="24" t="n">
        <f aca="false">IFERROR(INDEX('Semrush Data'!$A$1:$Z$20000,MATCH(V233,'Semrush Data'!$A$1:$A$20000,0),MATCH("Volume",'Semrush Data'!$A$1:$Z$1,0)),"")</f>
        <v>20</v>
      </c>
      <c r="X233" s="24" t="n">
        <f aca="false">IFERROR(INDEX('Semrush Data'!$A$1:$Z$20000,MATCH(V233,'Semrush Data'!$A$1:$A$20000,0),MATCH("Keyword Difficulty*",'Semrush Data'!$A$1:$Z$1,0)),"")</f>
        <v>11</v>
      </c>
      <c r="Y233" s="26" t="n">
        <f aca="false">IFERROR(INDEX('Semrush Data'!$A$1:$Z$20000,MATCH(V233,'Semrush Data'!$A$1:$A$20000,0),MATCH("CPC*",'Semrush Data'!$A$1:$Z$1,0)),"")</f>
        <v>0</v>
      </c>
      <c r="Z233" s="23" t="s">
        <v>3094</v>
      </c>
      <c r="AA233" s="23" t="s">
        <v>3147</v>
      </c>
      <c r="AB233" s="23" t="s">
        <v>3148</v>
      </c>
      <c r="AC233" s="23" t="s">
        <v>3149</v>
      </c>
      <c r="AD233" s="27" t="n">
        <f aca="false">LEN(AC233)</f>
        <v>59</v>
      </c>
      <c r="AE233" s="23" t="s">
        <v>3150</v>
      </c>
      <c r="AF233" s="27" t="n">
        <f aca="false">LEN(AE233)</f>
        <v>155</v>
      </c>
    </row>
    <row r="234" customFormat="false" ht="15" hidden="false" customHeight="true" outlineLevel="0" collapsed="false">
      <c r="A234" s="23" t="s">
        <v>3151</v>
      </c>
      <c r="B234" s="23" t="s">
        <v>2449</v>
      </c>
      <c r="C234" s="23" t="n">
        <v>74</v>
      </c>
      <c r="D234" s="23" t="s">
        <v>3088</v>
      </c>
      <c r="E234" s="23"/>
      <c r="F234" s="23" t="s">
        <v>1735</v>
      </c>
      <c r="G234" s="23" t="s">
        <v>2453</v>
      </c>
      <c r="H234" s="23" t="s">
        <v>2608</v>
      </c>
      <c r="I234" s="23" t="s">
        <v>3152</v>
      </c>
      <c r="J234" s="23" t="s">
        <v>1994</v>
      </c>
      <c r="K234" s="23" t="n">
        <v>64.99</v>
      </c>
      <c r="L234" s="23" t="s">
        <v>3153</v>
      </c>
      <c r="M234" s="23" t="s">
        <v>3154</v>
      </c>
      <c r="N234" s="23" t="s">
        <v>3155</v>
      </c>
      <c r="O234" s="23" t="s">
        <v>3156</v>
      </c>
      <c r="P234" s="23"/>
      <c r="Q234" s="24" t="n">
        <f aca="false">IF(L234="","",IFERROR(INDEX('Semrush Data'!$A$1:$Z$20000,MATCH(L234,'Semrush Data'!$A$1:$A$20000,0),MATCH("Volume",'Semrush Data'!$A$1:$Z$1,0)),""))</f>
        <v>20</v>
      </c>
      <c r="R234" s="24" t="n">
        <f aca="false">IF(M234="","",IFERROR(INDEX('Semrush Data'!$A$1:$Z$20000,MATCH(M234,'Semrush Data'!$A$1:$A$20000,0),MATCH("Volume",'Semrush Data'!$A$1:$Z$1,0)),""))</f>
        <v>0</v>
      </c>
      <c r="S234" s="24" t="str">
        <f aca="false">IF(N234="","",IFERROR(INDEX('Semrush Data'!$A$1:$Z$20000,MATCH(N234,'Semrush Data'!$A$1:$A$20000,0),MATCH("Volume",'Semrush Data'!$A$1:$Z$1,0)),""))</f>
        <v/>
      </c>
      <c r="T234" s="24" t="str">
        <f aca="false">IF(O234="","",IFERROR(INDEX('Semrush Data'!$A$1:$Z$20000,MATCH(O234,'Semrush Data'!$A$1:$A$20000,0),MATCH("Volume",'Semrush Data'!$A$1:$Z$1,0)),""))</f>
        <v/>
      </c>
      <c r="U234" s="24" t="str">
        <f aca="false">IF(P234="","",IFERROR(INDEX('Semrush Data'!$A$1:$Z$20000,MATCH(P234,'Semrush Data'!$A$1:$A$20000,0),MATCH("Volume",'Semrush Data'!$A$1:$Z$1,0)),""))</f>
        <v/>
      </c>
      <c r="V234" s="25" t="str">
        <f aca="false">IF(COUNT(Q234:U234)=0,L234,IF(MAX(Q234:U234)=0,L234,INDEX(L234:P234,MATCH(MAX(Q234:U234),Q234:U234,0))))</f>
        <v>bvlgari man wood essence gift set</v>
      </c>
      <c r="W234" s="24" t="n">
        <f aca="false">IFERROR(INDEX('Semrush Data'!$A$1:$Z$20000,MATCH(V234,'Semrush Data'!$A$1:$A$20000,0),MATCH("Volume",'Semrush Data'!$A$1:$Z$1,0)),"")</f>
        <v>20</v>
      </c>
      <c r="X234" s="24" t="n">
        <f aca="false">IFERROR(INDEX('Semrush Data'!$A$1:$Z$20000,MATCH(V234,'Semrush Data'!$A$1:$A$20000,0),MATCH("Keyword Difficulty*",'Semrush Data'!$A$1:$Z$1,0)),"")</f>
        <v>14</v>
      </c>
      <c r="Y234" s="26" t="n">
        <f aca="false">IFERROR(INDEX('Semrush Data'!$A$1:$Z$20000,MATCH(V234,'Semrush Data'!$A$1:$A$20000,0),MATCH("CPC*",'Semrush Data'!$A$1:$Z$1,0)),"")</f>
        <v>0.48</v>
      </c>
      <c r="Z234" s="23" t="s">
        <v>3094</v>
      </c>
      <c r="AA234" s="23" t="s">
        <v>3157</v>
      </c>
      <c r="AB234" s="23" t="s">
        <v>3158</v>
      </c>
      <c r="AC234" s="23" t="s">
        <v>3159</v>
      </c>
      <c r="AD234" s="27" t="n">
        <f aca="false">LEN(AC234)</f>
        <v>57</v>
      </c>
      <c r="AE234" s="23" t="s">
        <v>3160</v>
      </c>
      <c r="AF234" s="27" t="n">
        <f aca="false">LEN(AE234)</f>
        <v>160</v>
      </c>
    </row>
    <row r="235" customFormat="false" ht="15" hidden="false" customHeight="true" outlineLevel="0" collapsed="false">
      <c r="A235" s="23" t="s">
        <v>3161</v>
      </c>
      <c r="B235" s="23" t="s">
        <v>2449</v>
      </c>
      <c r="C235" s="23" t="n">
        <v>75</v>
      </c>
      <c r="D235" s="23" t="s">
        <v>3088</v>
      </c>
      <c r="E235" s="23"/>
      <c r="F235" s="23" t="s">
        <v>1735</v>
      </c>
      <c r="G235" s="23" t="s">
        <v>2453</v>
      </c>
      <c r="H235" s="23" t="s">
        <v>2454</v>
      </c>
      <c r="I235" s="23" t="s">
        <v>3162</v>
      </c>
      <c r="J235" s="23" t="s">
        <v>2494</v>
      </c>
      <c r="K235" s="23" t="n">
        <v>79.99</v>
      </c>
      <c r="L235" s="23" t="s">
        <v>3163</v>
      </c>
      <c r="M235" s="23" t="s">
        <v>3164</v>
      </c>
      <c r="N235" s="23" t="s">
        <v>3165</v>
      </c>
      <c r="O235" s="23" t="s">
        <v>3166</v>
      </c>
      <c r="P235" s="23"/>
      <c r="Q235" s="24" t="n">
        <f aca="false">IF(L235="","",IFERROR(INDEX('Semrush Data'!$A$1:$Z$20000,MATCH(L235,'Semrush Data'!$A$1:$A$20000,0),MATCH("Volume",'Semrush Data'!$A$1:$Z$1,0)),""))</f>
        <v>20</v>
      </c>
      <c r="R235" s="24" t="n">
        <f aca="false">IF(M235="","",IFERROR(INDEX('Semrush Data'!$A$1:$Z$20000,MATCH(M235,'Semrush Data'!$A$1:$A$20000,0),MATCH("Volume",'Semrush Data'!$A$1:$Z$1,0)),""))</f>
        <v>0</v>
      </c>
      <c r="S235" s="24" t="str">
        <f aca="false">IF(N235="","",IFERROR(INDEX('Semrush Data'!$A$1:$Z$20000,MATCH(N235,'Semrush Data'!$A$1:$A$20000,0),MATCH("Volume",'Semrush Data'!$A$1:$Z$1,0)),""))</f>
        <v/>
      </c>
      <c r="T235" s="24" t="str">
        <f aca="false">IF(O235="","",IFERROR(INDEX('Semrush Data'!$A$1:$Z$20000,MATCH(O235,'Semrush Data'!$A$1:$A$20000,0),MATCH("Volume",'Semrush Data'!$A$1:$Z$1,0)),""))</f>
        <v/>
      </c>
      <c r="U235" s="24" t="str">
        <f aca="false">IF(P235="","",IFERROR(INDEX('Semrush Data'!$A$1:$Z$20000,MATCH(P235,'Semrush Data'!$A$1:$A$20000,0),MATCH("Volume",'Semrush Data'!$A$1:$Z$1,0)),""))</f>
        <v/>
      </c>
      <c r="V235" s="25" t="str">
        <f aca="false">IF(COUNT(Q235:U235)=0,L235,IF(MAX(Q235:U235)=0,L235,INDEX(L235:P235,MATCH(MAX(Q235:U235),Q235:U235,0))))</f>
        <v>bvlgari rose goldea blossom delight gift set</v>
      </c>
      <c r="W235" s="24" t="n">
        <f aca="false">IFERROR(INDEX('Semrush Data'!$A$1:$Z$20000,MATCH(V235,'Semrush Data'!$A$1:$A$20000,0),MATCH("Volume",'Semrush Data'!$A$1:$Z$1,0)),"")</f>
        <v>20</v>
      </c>
      <c r="X235" s="24" t="n">
        <f aca="false">IFERROR(INDEX('Semrush Data'!$A$1:$Z$20000,MATCH(V235,'Semrush Data'!$A$1:$A$20000,0),MATCH("Keyword Difficulty*",'Semrush Data'!$A$1:$Z$1,0)),"")</f>
        <v>12</v>
      </c>
      <c r="Y235" s="26" t="n">
        <f aca="false">IFERROR(INDEX('Semrush Data'!$A$1:$Z$20000,MATCH(V235,'Semrush Data'!$A$1:$A$20000,0),MATCH("CPC*",'Semrush Data'!$A$1:$Z$1,0)),"")</f>
        <v>0</v>
      </c>
      <c r="Z235" s="23" t="s">
        <v>3106</v>
      </c>
      <c r="AA235" s="23" t="s">
        <v>3167</v>
      </c>
      <c r="AB235" s="23" t="s">
        <v>3168</v>
      </c>
      <c r="AC235" s="23" t="s">
        <v>3169</v>
      </c>
      <c r="AD235" s="27" t="n">
        <f aca="false">LEN(AC235)</f>
        <v>58</v>
      </c>
      <c r="AE235" s="23" t="s">
        <v>3170</v>
      </c>
      <c r="AF235" s="27" t="n">
        <f aca="false">LEN(AE235)</f>
        <v>159</v>
      </c>
    </row>
    <row r="236" customFormat="false" ht="15" hidden="false" customHeight="true" outlineLevel="0" collapsed="false">
      <c r="A236" s="23" t="s">
        <v>3171</v>
      </c>
      <c r="B236" s="23" t="s">
        <v>2449</v>
      </c>
      <c r="C236" s="23" t="n">
        <v>76</v>
      </c>
      <c r="D236" s="23" t="s">
        <v>3172</v>
      </c>
      <c r="E236" s="23"/>
      <c r="F236" s="23" t="s">
        <v>2452</v>
      </c>
      <c r="G236" s="23" t="s">
        <v>2453</v>
      </c>
      <c r="H236" s="23" t="s">
        <v>2608</v>
      </c>
      <c r="I236" s="23" t="s">
        <v>3173</v>
      </c>
      <c r="J236" s="23" t="s">
        <v>2814</v>
      </c>
      <c r="K236" s="23" t="n">
        <v>18.99</v>
      </c>
      <c r="L236" s="23" t="s">
        <v>3174</v>
      </c>
      <c r="M236" s="23" t="s">
        <v>3175</v>
      </c>
      <c r="N236" s="23" t="s">
        <v>3176</v>
      </c>
      <c r="O236" s="23" t="s">
        <v>3177</v>
      </c>
      <c r="P236" s="23" t="s">
        <v>3178</v>
      </c>
      <c r="Q236" s="24" t="n">
        <f aca="false">IF(L236="","",IFERROR(INDEX('Semrush Data'!$A$1:$Z$20000,MATCH(L236,'Semrush Data'!$A$1:$A$20000,0),MATCH("Volume",'Semrush Data'!$A$1:$Z$1,0)),""))</f>
        <v>0</v>
      </c>
      <c r="R236" s="24" t="n">
        <f aca="false">IF(M236="","",IFERROR(INDEX('Semrush Data'!$A$1:$Z$20000,MATCH(M236,'Semrush Data'!$A$1:$A$20000,0),MATCH("Volume",'Semrush Data'!$A$1:$Z$1,0)),""))</f>
        <v>0</v>
      </c>
      <c r="S236" s="24" t="str">
        <f aca="false">IF(N236="","",IFERROR(INDEX('Semrush Data'!$A$1:$Z$20000,MATCH(N236,'Semrush Data'!$A$1:$A$20000,0),MATCH("Volume",'Semrush Data'!$A$1:$Z$1,0)),""))</f>
        <v/>
      </c>
      <c r="T236" s="24" t="str">
        <f aca="false">IF(O236="","",IFERROR(INDEX('Semrush Data'!$A$1:$Z$20000,MATCH(O236,'Semrush Data'!$A$1:$A$20000,0),MATCH("Volume",'Semrush Data'!$A$1:$Z$1,0)),""))</f>
        <v/>
      </c>
      <c r="U236" s="24" t="str">
        <f aca="false">IF(P236="","",IFERROR(INDEX('Semrush Data'!$A$1:$Z$20000,MATCH(P236,'Semrush Data'!$A$1:$A$20000,0),MATCH("Volume",'Semrush Data'!$A$1:$Z$1,0)),""))</f>
        <v/>
      </c>
      <c r="V236" s="25" t="str">
        <f aca="false">IF(COUNT(Q236:U236)=0,L236,IF(MAX(Q236:U236)=0,L236,INDEX(L236:P236,MATCH(MAX(Q236:U236),Q236:U236,0))))</f>
        <v>calvin klein defy miniature</v>
      </c>
      <c r="W236" s="24" t="n">
        <f aca="false">IFERROR(INDEX('Semrush Data'!$A$1:$Z$20000,MATCH(V236,'Semrush Data'!$A$1:$A$20000,0),MATCH("Volume",'Semrush Data'!$A$1:$Z$1,0)),"")</f>
        <v>0</v>
      </c>
      <c r="X236" s="24" t="n">
        <f aca="false">IFERROR(INDEX('Semrush Data'!$A$1:$Z$20000,MATCH(V236,'Semrush Data'!$A$1:$A$20000,0),MATCH("Keyword Difficulty*",'Semrush Data'!$A$1:$Z$1,0)),"")</f>
        <v>19</v>
      </c>
      <c r="Y236" s="26" t="n">
        <f aca="false">IFERROR(INDEX('Semrush Data'!$A$1:$Z$20000,MATCH(V236,'Semrush Data'!$A$1:$A$20000,0),MATCH("CPC*",'Semrush Data'!$A$1:$Z$1,0)),"")</f>
        <v>0</v>
      </c>
      <c r="Z236" s="23" t="s">
        <v>3179</v>
      </c>
      <c r="AA236" s="23"/>
      <c r="AB236" s="23" t="s">
        <v>3180</v>
      </c>
      <c r="AC236" s="23" t="s">
        <v>3181</v>
      </c>
      <c r="AD236" s="27" t="n">
        <f aca="false">LEN(AC236)</f>
        <v>55</v>
      </c>
      <c r="AE236" s="23" t="s">
        <v>3182</v>
      </c>
      <c r="AF236" s="27" t="n">
        <f aca="false">LEN(AE236)</f>
        <v>159</v>
      </c>
    </row>
    <row r="237" customFormat="false" ht="15" hidden="false" customHeight="true" outlineLevel="0" collapsed="false">
      <c r="A237" s="23" t="s">
        <v>63</v>
      </c>
      <c r="B237" s="23" t="s">
        <v>2449</v>
      </c>
      <c r="C237" s="23" t="n">
        <v>77</v>
      </c>
      <c r="D237" s="23" t="s">
        <v>3172</v>
      </c>
      <c r="E237" s="23"/>
      <c r="F237" s="23" t="s">
        <v>2452</v>
      </c>
      <c r="G237" s="23" t="s">
        <v>2453</v>
      </c>
      <c r="H237" s="23" t="s">
        <v>2454</v>
      </c>
      <c r="I237" s="23" t="s">
        <v>64</v>
      </c>
      <c r="J237" s="23" t="s">
        <v>2016</v>
      </c>
      <c r="K237" s="23" t="n">
        <v>28.99</v>
      </c>
      <c r="L237" s="23" t="s">
        <v>3183</v>
      </c>
      <c r="M237" s="23" t="s">
        <v>3184</v>
      </c>
      <c r="N237" s="23" t="s">
        <v>3185</v>
      </c>
      <c r="O237" s="23" t="s">
        <v>3186</v>
      </c>
      <c r="P237" s="23" t="s">
        <v>3187</v>
      </c>
      <c r="Q237" s="24" t="n">
        <f aca="false">IF(L237="","",IFERROR(INDEX('Semrush Data'!$A$1:$Z$20000,MATCH(L237,'Semrush Data'!$A$1:$A$20000,0),MATCH("Volume",'Semrush Data'!$A$1:$Z$1,0)),""))</f>
        <v>4400</v>
      </c>
      <c r="R237" s="24" t="n">
        <f aca="false">IF(M237="","",IFERROR(INDEX('Semrush Data'!$A$1:$Z$20000,MATCH(M237,'Semrush Data'!$A$1:$A$20000,0),MATCH("Volume",'Semrush Data'!$A$1:$Z$1,0)),""))</f>
        <v>20</v>
      </c>
      <c r="S237" s="24" t="n">
        <f aca="false">IF(N237="","",IFERROR(INDEX('Semrush Data'!$A$1:$Z$20000,MATCH(N237,'Semrush Data'!$A$1:$A$20000,0),MATCH("Volume",'Semrush Data'!$A$1:$Z$1,0)),""))</f>
        <v>0</v>
      </c>
      <c r="T237" s="24" t="n">
        <f aca="false">IF(O237="","",IFERROR(INDEX('Semrush Data'!$A$1:$Z$20000,MATCH(O237,'Semrush Data'!$A$1:$A$20000,0),MATCH("Volume",'Semrush Data'!$A$1:$Z$1,0)),""))</f>
        <v>20</v>
      </c>
      <c r="U237" s="24" t="n">
        <f aca="false">IF(P237="","",IFERROR(INDEX('Semrush Data'!$A$1:$Z$20000,MATCH(P237,'Semrush Data'!$A$1:$A$20000,0),MATCH("Volume",'Semrush Data'!$A$1:$Z$1,0)),""))</f>
        <v>210</v>
      </c>
      <c r="V237" s="25" t="str">
        <f aca="false">IF(COUNT(Q237:U237)=0,L237,IF(MAX(Q237:U237)=0,L237,INDEX(L237:P237,MATCH(MAX(Q237:U237),Q237:U237,0))))</f>
        <v>calvin klein eternity</v>
      </c>
      <c r="W237" s="24" t="n">
        <f aca="false">IFERROR(INDEX('Semrush Data'!$A$1:$Z$20000,MATCH(V237,'Semrush Data'!$A$1:$A$20000,0),MATCH("Volume",'Semrush Data'!$A$1:$Z$1,0)),"")</f>
        <v>4400</v>
      </c>
      <c r="X237" s="24" t="n">
        <f aca="false">IFERROR(INDEX('Semrush Data'!$A$1:$Z$20000,MATCH(V237,'Semrush Data'!$A$1:$A$20000,0),MATCH("Keyword Difficulty*",'Semrush Data'!$A$1:$Z$1,0)),"")</f>
        <v>21</v>
      </c>
      <c r="Y237" s="26" t="n">
        <f aca="false">IFERROR(INDEX('Semrush Data'!$A$1:$Z$20000,MATCH(V237,'Semrush Data'!$A$1:$A$20000,0),MATCH("CPC*",'Semrush Data'!$A$1:$Z$1,0)),"")</f>
        <v>0.37</v>
      </c>
      <c r="Z237" s="23" t="s">
        <v>3188</v>
      </c>
      <c r="AA237" s="23" t="s">
        <v>3189</v>
      </c>
      <c r="AB237" s="23" t="s">
        <v>3190</v>
      </c>
      <c r="AC237" s="23" t="s">
        <v>3191</v>
      </c>
      <c r="AD237" s="27" t="n">
        <f aca="false">LEN(AC237)</f>
        <v>57</v>
      </c>
      <c r="AE237" s="23" t="s">
        <v>3192</v>
      </c>
      <c r="AF237" s="27" t="n">
        <f aca="false">LEN(AE237)</f>
        <v>156</v>
      </c>
    </row>
    <row r="238" customFormat="false" ht="15" hidden="false" customHeight="true" outlineLevel="0" collapsed="false">
      <c r="A238" s="23" t="s">
        <v>3193</v>
      </c>
      <c r="B238" s="23" t="s">
        <v>2449</v>
      </c>
      <c r="C238" s="23" t="n">
        <v>78</v>
      </c>
      <c r="D238" s="23" t="s">
        <v>3172</v>
      </c>
      <c r="E238" s="23"/>
      <c r="F238" s="23" t="s">
        <v>2452</v>
      </c>
      <c r="G238" s="23" t="s">
        <v>2453</v>
      </c>
      <c r="H238" s="23" t="s">
        <v>2454</v>
      </c>
      <c r="I238" s="23" t="s">
        <v>3194</v>
      </c>
      <c r="J238" s="23" t="s">
        <v>2814</v>
      </c>
      <c r="K238" s="23" t="n">
        <v>18.99</v>
      </c>
      <c r="L238" s="23" t="s">
        <v>3195</v>
      </c>
      <c r="M238" s="23" t="s">
        <v>3196</v>
      </c>
      <c r="N238" s="23" t="s">
        <v>3197</v>
      </c>
      <c r="O238" s="23" t="s">
        <v>3198</v>
      </c>
      <c r="P238" s="23" t="s">
        <v>3199</v>
      </c>
      <c r="Q238" s="24" t="n">
        <f aca="false">IF(L238="","",IFERROR(INDEX('Semrush Data'!$A$1:$Z$20000,MATCH(L238,'Semrush Data'!$A$1:$A$20000,0),MATCH("Volume",'Semrush Data'!$A$1:$Z$1,0)),""))</f>
        <v>0</v>
      </c>
      <c r="R238" s="24" t="n">
        <f aca="false">IF(M238="","",IFERROR(INDEX('Semrush Data'!$A$1:$Z$20000,MATCH(M238,'Semrush Data'!$A$1:$A$20000,0),MATCH("Volume",'Semrush Data'!$A$1:$Z$1,0)),""))</f>
        <v>0</v>
      </c>
      <c r="S238" s="24" t="str">
        <f aca="false">IF(N238="","",IFERROR(INDEX('Semrush Data'!$A$1:$Z$20000,MATCH(N238,'Semrush Data'!$A$1:$A$20000,0),MATCH("Volume",'Semrush Data'!$A$1:$Z$1,0)),""))</f>
        <v/>
      </c>
      <c r="T238" s="24" t="str">
        <f aca="false">IF(O238="","",IFERROR(INDEX('Semrush Data'!$A$1:$Z$20000,MATCH(O238,'Semrush Data'!$A$1:$A$20000,0),MATCH("Volume",'Semrush Data'!$A$1:$Z$1,0)),""))</f>
        <v/>
      </c>
      <c r="U238" s="24" t="str">
        <f aca="false">IF(P238="","",IFERROR(INDEX('Semrush Data'!$A$1:$Z$20000,MATCH(P238,'Semrush Data'!$A$1:$A$20000,0),MATCH("Volume",'Semrush Data'!$A$1:$Z$1,0)),""))</f>
        <v/>
      </c>
      <c r="V238" s="25" t="str">
        <f aca="false">IF(COUNT(Q238:U238)=0,L238,IF(MAX(Q238:U238)=0,L238,INDEX(L238:P238,MATCH(MAX(Q238:U238),Q238:U238,0))))</f>
        <v>calvin klein my euphoria miniature</v>
      </c>
      <c r="W238" s="24" t="n">
        <f aca="false">IFERROR(INDEX('Semrush Data'!$A$1:$Z$20000,MATCH(V238,'Semrush Data'!$A$1:$A$20000,0),MATCH("Volume",'Semrush Data'!$A$1:$Z$1,0)),"")</f>
        <v>0</v>
      </c>
      <c r="X238" s="24" t="n">
        <f aca="false">IFERROR(INDEX('Semrush Data'!$A$1:$Z$20000,MATCH(V238,'Semrush Data'!$A$1:$A$20000,0),MATCH("Keyword Difficulty*",'Semrush Data'!$A$1:$Z$1,0)),"")</f>
        <v>17</v>
      </c>
      <c r="Y238" s="26" t="n">
        <f aca="false">IFERROR(INDEX('Semrush Data'!$A$1:$Z$20000,MATCH(V238,'Semrush Data'!$A$1:$A$20000,0),MATCH("CPC*",'Semrush Data'!$A$1:$Z$1,0)),"")</f>
        <v>0</v>
      </c>
      <c r="Z238" s="23" t="s">
        <v>3188</v>
      </c>
      <c r="AA238" s="23"/>
      <c r="AB238" s="23" t="s">
        <v>3200</v>
      </c>
      <c r="AC238" s="23" t="s">
        <v>3201</v>
      </c>
      <c r="AD238" s="27" t="n">
        <f aca="false">LEN(AC238)</f>
        <v>57</v>
      </c>
      <c r="AE238" s="23" t="s">
        <v>3202</v>
      </c>
      <c r="AF238" s="27" t="n">
        <f aca="false">LEN(AE238)</f>
        <v>157</v>
      </c>
    </row>
    <row r="239" customFormat="false" ht="15" hidden="false" customHeight="true" outlineLevel="0" collapsed="false">
      <c r="A239" s="23" t="s">
        <v>3203</v>
      </c>
      <c r="B239" s="23" t="s">
        <v>2449</v>
      </c>
      <c r="C239" s="23" t="n">
        <v>79</v>
      </c>
      <c r="D239" s="23" t="s">
        <v>3172</v>
      </c>
      <c r="E239" s="23"/>
      <c r="F239" s="23" t="s">
        <v>2452</v>
      </c>
      <c r="G239" s="23" t="s">
        <v>2818</v>
      </c>
      <c r="H239" s="23" t="s">
        <v>2891</v>
      </c>
      <c r="I239" s="23" t="s">
        <v>3204</v>
      </c>
      <c r="J239" s="23" t="s">
        <v>1994</v>
      </c>
      <c r="K239" s="23" t="n">
        <v>38.99</v>
      </c>
      <c r="L239" s="23" t="s">
        <v>3183</v>
      </c>
      <c r="M239" s="23" t="s">
        <v>3184</v>
      </c>
      <c r="N239" s="23" t="s">
        <v>3185</v>
      </c>
      <c r="O239" s="23" t="s">
        <v>3186</v>
      </c>
      <c r="P239" s="23" t="s">
        <v>3205</v>
      </c>
      <c r="Q239" s="24" t="n">
        <f aca="false">IF(L239="","",IFERROR(INDEX('Semrush Data'!$A$1:$Z$20000,MATCH(L239,'Semrush Data'!$A$1:$A$20000,0),MATCH("Volume",'Semrush Data'!$A$1:$Z$1,0)),""))</f>
        <v>4400</v>
      </c>
      <c r="R239" s="24" t="n">
        <f aca="false">IF(M239="","",IFERROR(INDEX('Semrush Data'!$A$1:$Z$20000,MATCH(M239,'Semrush Data'!$A$1:$A$20000,0),MATCH("Volume",'Semrush Data'!$A$1:$Z$1,0)),""))</f>
        <v>20</v>
      </c>
      <c r="S239" s="24" t="n">
        <f aca="false">IF(N239="","",IFERROR(INDEX('Semrush Data'!$A$1:$Z$20000,MATCH(N239,'Semrush Data'!$A$1:$A$20000,0),MATCH("Volume",'Semrush Data'!$A$1:$Z$1,0)),""))</f>
        <v>0</v>
      </c>
      <c r="T239" s="24" t="n">
        <f aca="false">IF(O239="","",IFERROR(INDEX('Semrush Data'!$A$1:$Z$20000,MATCH(O239,'Semrush Data'!$A$1:$A$20000,0),MATCH("Volume",'Semrush Data'!$A$1:$Z$1,0)),""))</f>
        <v>20</v>
      </c>
      <c r="U239" s="24" t="str">
        <f aca="false">IF(P239="","",IFERROR(INDEX('Semrush Data'!$A$1:$Z$20000,MATCH(P239,'Semrush Data'!$A$1:$A$20000,0),MATCH("Volume",'Semrush Data'!$A$1:$Z$1,0)),""))</f>
        <v/>
      </c>
      <c r="V239" s="25" t="str">
        <f aca="false">IF(COUNT(Q239:U239)=0,L239,IF(MAX(Q239:U239)=0,L239,INDEX(L239:P239,MATCH(MAX(Q239:U239),Q239:U239,0))))</f>
        <v>calvin klein eternity</v>
      </c>
      <c r="W239" s="24" t="n">
        <f aca="false">IFERROR(INDEX('Semrush Data'!$A$1:$Z$20000,MATCH(V239,'Semrush Data'!$A$1:$A$20000,0),MATCH("Volume",'Semrush Data'!$A$1:$Z$1,0)),"")</f>
        <v>4400</v>
      </c>
      <c r="X239" s="24" t="n">
        <f aca="false">IFERROR(INDEX('Semrush Data'!$A$1:$Z$20000,MATCH(V239,'Semrush Data'!$A$1:$A$20000,0),MATCH("Keyword Difficulty*",'Semrush Data'!$A$1:$Z$1,0)),"")</f>
        <v>21</v>
      </c>
      <c r="Y239" s="26" t="n">
        <f aca="false">IFERROR(INDEX('Semrush Data'!$A$1:$Z$20000,MATCH(V239,'Semrush Data'!$A$1:$A$20000,0),MATCH("CPC*",'Semrush Data'!$A$1:$Z$1,0)),"")</f>
        <v>0.37</v>
      </c>
      <c r="Z239" s="23" t="s">
        <v>3206</v>
      </c>
      <c r="AA239" s="23" t="s">
        <v>3189</v>
      </c>
      <c r="AB239" s="23" t="s">
        <v>3207</v>
      </c>
      <c r="AC239" s="23" t="s">
        <v>3208</v>
      </c>
      <c r="AD239" s="27" t="n">
        <f aca="false">LEN(AC239)</f>
        <v>59</v>
      </c>
      <c r="AE239" s="23" t="s">
        <v>3209</v>
      </c>
      <c r="AF239" s="27" t="n">
        <f aca="false">LEN(AE239)</f>
        <v>160</v>
      </c>
    </row>
    <row r="240" customFormat="false" ht="15" hidden="false" customHeight="true" outlineLevel="0" collapsed="false">
      <c r="A240" s="23" t="s">
        <v>3210</v>
      </c>
      <c r="B240" s="23" t="s">
        <v>2449</v>
      </c>
      <c r="C240" s="23" t="n">
        <v>80</v>
      </c>
      <c r="D240" s="23" t="s">
        <v>3172</v>
      </c>
      <c r="E240" s="23"/>
      <c r="F240" s="23" t="s">
        <v>1735</v>
      </c>
      <c r="G240" s="23" t="s">
        <v>2550</v>
      </c>
      <c r="H240" s="23" t="s">
        <v>2516</v>
      </c>
      <c r="I240" s="23" t="s">
        <v>3211</v>
      </c>
      <c r="J240" s="23" t="s">
        <v>3212</v>
      </c>
      <c r="K240" s="23" t="n">
        <v>33.99</v>
      </c>
      <c r="L240" s="23" t="s">
        <v>3213</v>
      </c>
      <c r="M240" s="23" t="s">
        <v>3214</v>
      </c>
      <c r="N240" s="23" t="s">
        <v>3215</v>
      </c>
      <c r="O240" s="23" t="s">
        <v>3216</v>
      </c>
      <c r="P240" s="23"/>
      <c r="Q240" s="24" t="n">
        <f aca="false">IF(L240="","",IFERROR(INDEX('Semrush Data'!$A$1:$Z$20000,MATCH(L240,'Semrush Data'!$A$1:$A$20000,0),MATCH("Volume",'Semrush Data'!$A$1:$Z$1,0)),""))</f>
        <v>20</v>
      </c>
      <c r="R240" s="24" t="n">
        <f aca="false">IF(M240="","",IFERROR(INDEX('Semrush Data'!$A$1:$Z$20000,MATCH(M240,'Semrush Data'!$A$1:$A$20000,0),MATCH("Volume",'Semrush Data'!$A$1:$Z$1,0)),""))</f>
        <v>0</v>
      </c>
      <c r="S240" s="24" t="str">
        <f aca="false">IF(N240="","",IFERROR(INDEX('Semrush Data'!$A$1:$Z$20000,MATCH(N240,'Semrush Data'!$A$1:$A$20000,0),MATCH("Volume",'Semrush Data'!$A$1:$Z$1,0)),""))</f>
        <v/>
      </c>
      <c r="T240" s="24" t="str">
        <f aca="false">IF(O240="","",IFERROR(INDEX('Semrush Data'!$A$1:$Z$20000,MATCH(O240,'Semrush Data'!$A$1:$A$20000,0),MATCH("Volume",'Semrush Data'!$A$1:$Z$1,0)),""))</f>
        <v/>
      </c>
      <c r="U240" s="24" t="str">
        <f aca="false">IF(P240="","",IFERROR(INDEX('Semrush Data'!$A$1:$Z$20000,MATCH(P240,'Semrush Data'!$A$1:$A$20000,0),MATCH("Volume",'Semrush Data'!$A$1:$Z$1,0)),""))</f>
        <v/>
      </c>
      <c r="V240" s="25" t="str">
        <f aca="false">IF(COUNT(Q240:U240)=0,L240,IF(MAX(Q240:U240)=0,L240,INDEX(L240:P240,MATCH(MAX(Q240:U240),Q240:U240,0))))</f>
        <v>calvin klein miniature set</v>
      </c>
      <c r="W240" s="24" t="n">
        <f aca="false">IFERROR(INDEX('Semrush Data'!$A$1:$Z$20000,MATCH(V240,'Semrush Data'!$A$1:$A$20000,0),MATCH("Volume",'Semrush Data'!$A$1:$Z$1,0)),"")</f>
        <v>20</v>
      </c>
      <c r="X240" s="24" t="n">
        <f aca="false">IFERROR(INDEX('Semrush Data'!$A$1:$Z$20000,MATCH(V240,'Semrush Data'!$A$1:$A$20000,0),MATCH("Keyword Difficulty*",'Semrush Data'!$A$1:$Z$1,0)),"")</f>
        <v>13</v>
      </c>
      <c r="Y240" s="26" t="n">
        <f aca="false">IFERROR(INDEX('Semrush Data'!$A$1:$Z$20000,MATCH(V240,'Semrush Data'!$A$1:$A$20000,0),MATCH("CPC*",'Semrush Data'!$A$1:$Z$1,0)),"")</f>
        <v>0</v>
      </c>
      <c r="Z240" s="23" t="s">
        <v>3217</v>
      </c>
      <c r="AA240" s="23" t="s">
        <v>3218</v>
      </c>
      <c r="AB240" s="23" t="s">
        <v>3219</v>
      </c>
      <c r="AC240" s="23" t="s">
        <v>3220</v>
      </c>
      <c r="AD240" s="27" t="n">
        <f aca="false">LEN(AC240)</f>
        <v>58</v>
      </c>
      <c r="AE240" s="23" t="s">
        <v>3221</v>
      </c>
      <c r="AF240" s="27" t="n">
        <f aca="false">LEN(AE240)</f>
        <v>155</v>
      </c>
    </row>
    <row r="241" customFormat="false" ht="15" hidden="false" customHeight="true" outlineLevel="0" collapsed="false">
      <c r="A241" s="23" t="s">
        <v>3222</v>
      </c>
      <c r="B241" s="23" t="s">
        <v>2449</v>
      </c>
      <c r="C241" s="23" t="n">
        <v>81</v>
      </c>
      <c r="D241" s="23" t="s">
        <v>3172</v>
      </c>
      <c r="E241" s="23"/>
      <c r="F241" s="23" t="s">
        <v>2452</v>
      </c>
      <c r="G241" s="23" t="s">
        <v>3032</v>
      </c>
      <c r="H241" s="23" t="s">
        <v>2608</v>
      </c>
      <c r="I241" s="23" t="s">
        <v>3223</v>
      </c>
      <c r="J241" s="23" t="s">
        <v>2814</v>
      </c>
      <c r="K241" s="23" t="n">
        <v>18.99</v>
      </c>
      <c r="L241" s="23" t="s">
        <v>3224</v>
      </c>
      <c r="M241" s="23" t="s">
        <v>3225</v>
      </c>
      <c r="N241" s="23" t="s">
        <v>3226</v>
      </c>
      <c r="O241" s="23" t="s">
        <v>3227</v>
      </c>
      <c r="P241" s="23" t="s">
        <v>3228</v>
      </c>
      <c r="Q241" s="24" t="n">
        <f aca="false">IF(L241="","",IFERROR(INDEX('Semrush Data'!$A$1:$Z$20000,MATCH(L241,'Semrush Data'!$A$1:$A$20000,0),MATCH("Volume",'Semrush Data'!$A$1:$Z$1,0)),""))</f>
        <v>0</v>
      </c>
      <c r="R241" s="24" t="n">
        <f aca="false">IF(M241="","",IFERROR(INDEX('Semrush Data'!$A$1:$Z$20000,MATCH(M241,'Semrush Data'!$A$1:$A$20000,0),MATCH("Volume",'Semrush Data'!$A$1:$Z$1,0)),""))</f>
        <v>0</v>
      </c>
      <c r="S241" s="24" t="str">
        <f aca="false">IF(N241="","",IFERROR(INDEX('Semrush Data'!$A$1:$Z$20000,MATCH(N241,'Semrush Data'!$A$1:$A$20000,0),MATCH("Volume",'Semrush Data'!$A$1:$Z$1,0)),""))</f>
        <v/>
      </c>
      <c r="T241" s="24" t="str">
        <f aca="false">IF(O241="","",IFERROR(INDEX('Semrush Data'!$A$1:$Z$20000,MATCH(O241,'Semrush Data'!$A$1:$A$20000,0),MATCH("Volume",'Semrush Data'!$A$1:$Z$1,0)),""))</f>
        <v/>
      </c>
      <c r="U241" s="24" t="str">
        <f aca="false">IF(P241="","",IFERROR(INDEX('Semrush Data'!$A$1:$Z$20000,MATCH(P241,'Semrush Data'!$A$1:$A$20000,0),MATCH("Volume",'Semrush Data'!$A$1:$Z$1,0)),""))</f>
        <v/>
      </c>
      <c r="V241" s="25" t="str">
        <f aca="false">IF(COUNT(Q241:U241)=0,L241,IF(MAX(Q241:U241)=0,L241,INDEX(L241:P241,MATCH(MAX(Q241:U241),Q241:U241,0))))</f>
        <v>calvin klein defy parfum miniature</v>
      </c>
      <c r="W241" s="24" t="n">
        <f aca="false">IFERROR(INDEX('Semrush Data'!$A$1:$Z$20000,MATCH(V241,'Semrush Data'!$A$1:$A$20000,0),MATCH("Volume",'Semrush Data'!$A$1:$Z$1,0)),"")</f>
        <v>0</v>
      </c>
      <c r="X241" s="24" t="n">
        <f aca="false">IFERROR(INDEX('Semrush Data'!$A$1:$Z$20000,MATCH(V241,'Semrush Data'!$A$1:$A$20000,0),MATCH("Keyword Difficulty*",'Semrush Data'!$A$1:$Z$1,0)),"")</f>
        <v>22</v>
      </c>
      <c r="Y241" s="26" t="n">
        <f aca="false">IFERROR(INDEX('Semrush Data'!$A$1:$Z$20000,MATCH(V241,'Semrush Data'!$A$1:$A$20000,0),MATCH("CPC*",'Semrush Data'!$A$1:$Z$1,0)),"")</f>
        <v>0</v>
      </c>
      <c r="Z241" s="23" t="s">
        <v>3179</v>
      </c>
      <c r="AA241" s="23"/>
      <c r="AB241" s="23" t="s">
        <v>3229</v>
      </c>
      <c r="AC241" s="23" t="s">
        <v>3230</v>
      </c>
      <c r="AD241" s="27" t="n">
        <f aca="false">LEN(AC241)</f>
        <v>53</v>
      </c>
      <c r="AE241" s="23" t="s">
        <v>3231</v>
      </c>
      <c r="AF241" s="27" t="n">
        <f aca="false">LEN(AE241)</f>
        <v>145</v>
      </c>
    </row>
    <row r="242" customFormat="false" ht="15" hidden="false" customHeight="true" outlineLevel="0" collapsed="false">
      <c r="A242" s="23" t="s">
        <v>91</v>
      </c>
      <c r="B242" s="23" t="s">
        <v>2449</v>
      </c>
      <c r="C242" s="23" t="n">
        <v>82</v>
      </c>
      <c r="D242" s="23" t="s">
        <v>3172</v>
      </c>
      <c r="E242" s="23"/>
      <c r="F242" s="23" t="s">
        <v>2452</v>
      </c>
      <c r="G242" s="23" t="s">
        <v>3032</v>
      </c>
      <c r="H242" s="23" t="s">
        <v>2608</v>
      </c>
      <c r="I242" s="23" t="s">
        <v>92</v>
      </c>
      <c r="J242" s="23" t="s">
        <v>3232</v>
      </c>
      <c r="K242" s="23" t="n">
        <v>22.99</v>
      </c>
      <c r="L242" s="23" t="s">
        <v>3233</v>
      </c>
      <c r="M242" s="23" t="s">
        <v>3234</v>
      </c>
      <c r="N242" s="23" t="s">
        <v>3235</v>
      </c>
      <c r="O242" s="23" t="s">
        <v>3236</v>
      </c>
      <c r="P242" s="23" t="s">
        <v>3237</v>
      </c>
      <c r="Q242" s="24" t="n">
        <f aca="false">IF(L242="","",IFERROR(INDEX('Semrush Data'!$A$1:$Z$20000,MATCH(L242,'Semrush Data'!$A$1:$A$20000,0),MATCH("Volume",'Semrush Data'!$A$1:$Z$1,0)),""))</f>
        <v>1000</v>
      </c>
      <c r="R242" s="24" t="n">
        <f aca="false">IF(M242="","",IFERROR(INDEX('Semrush Data'!$A$1:$Z$20000,MATCH(M242,'Semrush Data'!$A$1:$A$20000,0),MATCH("Volume",'Semrush Data'!$A$1:$Z$1,0)),""))</f>
        <v>20</v>
      </c>
      <c r="S242" s="24" t="str">
        <f aca="false">IF(N242="","",IFERROR(INDEX('Semrush Data'!$A$1:$Z$20000,MATCH(N242,'Semrush Data'!$A$1:$A$20000,0),MATCH("Volume",'Semrush Data'!$A$1:$Z$1,0)),""))</f>
        <v/>
      </c>
      <c r="T242" s="24" t="str">
        <f aca="false">IF(O242="","",IFERROR(INDEX('Semrush Data'!$A$1:$Z$20000,MATCH(O242,'Semrush Data'!$A$1:$A$20000,0),MATCH("Volume",'Semrush Data'!$A$1:$Z$1,0)),""))</f>
        <v/>
      </c>
      <c r="U242" s="24" t="n">
        <f aca="false">IF(P242="","",IFERROR(INDEX('Semrush Data'!$A$1:$Z$20000,MATCH(P242,'Semrush Data'!$A$1:$A$20000,0),MATCH("Volume",'Semrush Data'!$A$1:$Z$1,0)),""))</f>
        <v>210</v>
      </c>
      <c r="V242" s="25" t="str">
        <f aca="false">IF(COUNT(Q242:U242)=0,L242,IF(MAX(Q242:U242)=0,L242,INDEX(L242:P242,MATCH(MAX(Q242:U242),Q242:U242,0))))</f>
        <v>calvin klein defy</v>
      </c>
      <c r="W242" s="24" t="n">
        <f aca="false">IFERROR(INDEX('Semrush Data'!$A$1:$Z$20000,MATCH(V242,'Semrush Data'!$A$1:$A$20000,0),MATCH("Volume",'Semrush Data'!$A$1:$Z$1,0)),"")</f>
        <v>1000</v>
      </c>
      <c r="X242" s="24" t="n">
        <f aca="false">IFERROR(INDEX('Semrush Data'!$A$1:$Z$20000,MATCH(V242,'Semrush Data'!$A$1:$A$20000,0),MATCH("Keyword Difficulty*",'Semrush Data'!$A$1:$Z$1,0)),"")</f>
        <v>18</v>
      </c>
      <c r="Y242" s="26" t="n">
        <f aca="false">IFERROR(INDEX('Semrush Data'!$A$1:$Z$20000,MATCH(V242,'Semrush Data'!$A$1:$A$20000,0),MATCH("CPC*",'Semrush Data'!$A$1:$Z$1,0)),"")</f>
        <v>0.42</v>
      </c>
      <c r="Z242" s="23" t="s">
        <v>3179</v>
      </c>
      <c r="AA242" s="23" t="s">
        <v>3238</v>
      </c>
      <c r="AB242" s="23" t="s">
        <v>3239</v>
      </c>
      <c r="AC242" s="23" t="s">
        <v>3240</v>
      </c>
      <c r="AD242" s="27" t="n">
        <f aca="false">LEN(AC242)</f>
        <v>51</v>
      </c>
      <c r="AE242" s="23" t="s">
        <v>3241</v>
      </c>
      <c r="AF242" s="27" t="n">
        <f aca="false">LEN(AE242)</f>
        <v>136</v>
      </c>
    </row>
    <row r="243" customFormat="false" ht="15" hidden="false" customHeight="true" outlineLevel="0" collapsed="false">
      <c r="A243" s="23" t="s">
        <v>3242</v>
      </c>
      <c r="B243" s="23" t="s">
        <v>2449</v>
      </c>
      <c r="C243" s="23" t="n">
        <v>83</v>
      </c>
      <c r="D243" s="23" t="s">
        <v>3172</v>
      </c>
      <c r="E243" s="23"/>
      <c r="F243" s="23" t="s">
        <v>2452</v>
      </c>
      <c r="G243" s="23" t="s">
        <v>3032</v>
      </c>
      <c r="H243" s="23" t="s">
        <v>2608</v>
      </c>
      <c r="I243" s="23" t="s">
        <v>92</v>
      </c>
      <c r="J243" s="23" t="s">
        <v>3232</v>
      </c>
      <c r="K243" s="23" t="n">
        <v>34.99</v>
      </c>
      <c r="L243" s="23" t="s">
        <v>3233</v>
      </c>
      <c r="M243" s="23" t="s">
        <v>3234</v>
      </c>
      <c r="N243" s="23" t="s">
        <v>3235</v>
      </c>
      <c r="O243" s="23" t="s">
        <v>3236</v>
      </c>
      <c r="P243" s="23" t="s">
        <v>3237</v>
      </c>
      <c r="Q243" s="24" t="n">
        <f aca="false">IF(L243="","",IFERROR(INDEX('Semrush Data'!$A$1:$Z$20000,MATCH(L243,'Semrush Data'!$A$1:$A$20000,0),MATCH("Volume",'Semrush Data'!$A$1:$Z$1,0)),""))</f>
        <v>1000</v>
      </c>
      <c r="R243" s="24" t="n">
        <f aca="false">IF(M243="","",IFERROR(INDEX('Semrush Data'!$A$1:$Z$20000,MATCH(M243,'Semrush Data'!$A$1:$A$20000,0),MATCH("Volume",'Semrush Data'!$A$1:$Z$1,0)),""))</f>
        <v>20</v>
      </c>
      <c r="S243" s="24" t="str">
        <f aca="false">IF(N243="","",IFERROR(INDEX('Semrush Data'!$A$1:$Z$20000,MATCH(N243,'Semrush Data'!$A$1:$A$20000,0),MATCH("Volume",'Semrush Data'!$A$1:$Z$1,0)),""))</f>
        <v/>
      </c>
      <c r="T243" s="24" t="str">
        <f aca="false">IF(O243="","",IFERROR(INDEX('Semrush Data'!$A$1:$Z$20000,MATCH(O243,'Semrush Data'!$A$1:$A$20000,0),MATCH("Volume",'Semrush Data'!$A$1:$Z$1,0)),""))</f>
        <v/>
      </c>
      <c r="U243" s="24" t="n">
        <f aca="false">IF(P243="","",IFERROR(INDEX('Semrush Data'!$A$1:$Z$20000,MATCH(P243,'Semrush Data'!$A$1:$A$20000,0),MATCH("Volume",'Semrush Data'!$A$1:$Z$1,0)),""))</f>
        <v>210</v>
      </c>
      <c r="V243" s="25" t="str">
        <f aca="false">IF(COUNT(Q243:U243)=0,L243,IF(MAX(Q243:U243)=0,L243,INDEX(L243:P243,MATCH(MAX(Q243:U243),Q243:U243,0))))</f>
        <v>calvin klein defy</v>
      </c>
      <c r="W243" s="24" t="n">
        <f aca="false">IFERROR(INDEX('Semrush Data'!$A$1:$Z$20000,MATCH(V243,'Semrush Data'!$A$1:$A$20000,0),MATCH("Volume",'Semrush Data'!$A$1:$Z$1,0)),"")</f>
        <v>1000</v>
      </c>
      <c r="X243" s="24" t="n">
        <f aca="false">IFERROR(INDEX('Semrush Data'!$A$1:$Z$20000,MATCH(V243,'Semrush Data'!$A$1:$A$20000,0),MATCH("Keyword Difficulty*",'Semrush Data'!$A$1:$Z$1,0)),"")</f>
        <v>18</v>
      </c>
      <c r="Y243" s="26" t="n">
        <f aca="false">IFERROR(INDEX('Semrush Data'!$A$1:$Z$20000,MATCH(V243,'Semrush Data'!$A$1:$A$20000,0),MATCH("CPC*",'Semrush Data'!$A$1:$Z$1,0)),"")</f>
        <v>0.42</v>
      </c>
      <c r="Z243" s="23" t="s">
        <v>3179</v>
      </c>
      <c r="AA243" s="23" t="s">
        <v>3238</v>
      </c>
      <c r="AB243" s="23" t="s">
        <v>3239</v>
      </c>
      <c r="AC243" s="23" t="s">
        <v>3240</v>
      </c>
      <c r="AD243" s="27" t="n">
        <f aca="false">LEN(AC243)</f>
        <v>51</v>
      </c>
      <c r="AE243" s="23" t="s">
        <v>3241</v>
      </c>
      <c r="AF243" s="27" t="n">
        <f aca="false">LEN(AE243)</f>
        <v>136</v>
      </c>
    </row>
    <row r="244" customFormat="false" ht="15" hidden="false" customHeight="true" outlineLevel="0" collapsed="false">
      <c r="A244" s="23" t="s">
        <v>3243</v>
      </c>
      <c r="B244" s="23" t="s">
        <v>2449</v>
      </c>
      <c r="C244" s="23" t="n">
        <v>84</v>
      </c>
      <c r="D244" s="23" t="s">
        <v>3172</v>
      </c>
      <c r="E244" s="23"/>
      <c r="F244" s="23" t="s">
        <v>2452</v>
      </c>
      <c r="G244" s="23" t="s">
        <v>3032</v>
      </c>
      <c r="H244" s="23" t="s">
        <v>2608</v>
      </c>
      <c r="I244" s="23" t="s">
        <v>3244</v>
      </c>
      <c r="J244" s="23" t="s">
        <v>2814</v>
      </c>
      <c r="K244" s="23" t="n">
        <v>18.99</v>
      </c>
      <c r="L244" s="23" t="s">
        <v>3245</v>
      </c>
      <c r="M244" s="23" t="s">
        <v>3246</v>
      </c>
      <c r="N244" s="23" t="s">
        <v>3247</v>
      </c>
      <c r="O244" s="23" t="s">
        <v>3248</v>
      </c>
      <c r="P244" s="23" t="s">
        <v>3249</v>
      </c>
      <c r="Q244" s="24" t="n">
        <f aca="false">IF(L244="","",IFERROR(INDEX('Semrush Data'!$A$1:$Z$20000,MATCH(L244,'Semrush Data'!$A$1:$A$20000,0),MATCH("Volume",'Semrush Data'!$A$1:$Z$1,0)),""))</f>
        <v>0</v>
      </c>
      <c r="R244" s="24" t="n">
        <f aca="false">IF(M244="","",IFERROR(INDEX('Semrush Data'!$A$1:$Z$20000,MATCH(M244,'Semrush Data'!$A$1:$A$20000,0),MATCH("Volume",'Semrush Data'!$A$1:$Z$1,0)),""))</f>
        <v>0</v>
      </c>
      <c r="S244" s="24" t="str">
        <f aca="false">IF(N244="","",IFERROR(INDEX('Semrush Data'!$A$1:$Z$20000,MATCH(N244,'Semrush Data'!$A$1:$A$20000,0),MATCH("Volume",'Semrush Data'!$A$1:$Z$1,0)),""))</f>
        <v/>
      </c>
      <c r="T244" s="24" t="str">
        <f aca="false">IF(O244="","",IFERROR(INDEX('Semrush Data'!$A$1:$Z$20000,MATCH(O244,'Semrush Data'!$A$1:$A$20000,0),MATCH("Volume",'Semrush Data'!$A$1:$Z$1,0)),""))</f>
        <v/>
      </c>
      <c r="U244" s="24" t="str">
        <f aca="false">IF(P244="","",IFERROR(INDEX('Semrush Data'!$A$1:$Z$20000,MATCH(P244,'Semrush Data'!$A$1:$A$20000,0),MATCH("Volume",'Semrush Data'!$A$1:$Z$1,0)),""))</f>
        <v/>
      </c>
      <c r="V244" s="25" t="str">
        <f aca="false">IF(COUNT(Q244:U244)=0,L244,IF(MAX(Q244:U244)=0,L244,INDEX(L244:P244,MATCH(MAX(Q244:U244),Q244:U244,0))))</f>
        <v>calvin klein eternity aromatic essence parfum intense miniature</v>
      </c>
      <c r="W244" s="24" t="n">
        <f aca="false">IFERROR(INDEX('Semrush Data'!$A$1:$Z$20000,MATCH(V244,'Semrush Data'!$A$1:$A$20000,0),MATCH("Volume",'Semrush Data'!$A$1:$Z$1,0)),"")</f>
        <v>0</v>
      </c>
      <c r="X244" s="24" t="n">
        <f aca="false">IFERROR(INDEX('Semrush Data'!$A$1:$Z$20000,MATCH(V244,'Semrush Data'!$A$1:$A$20000,0),MATCH("Keyword Difficulty*",'Semrush Data'!$A$1:$Z$1,0)),"")</f>
        <v>17</v>
      </c>
      <c r="Y244" s="26" t="n">
        <f aca="false">IFERROR(INDEX('Semrush Data'!$A$1:$Z$20000,MATCH(V244,'Semrush Data'!$A$1:$A$20000,0),MATCH("CPC*",'Semrush Data'!$A$1:$Z$1,0)),"")</f>
        <v>0</v>
      </c>
      <c r="Z244" s="23" t="s">
        <v>3179</v>
      </c>
      <c r="AA244" s="23"/>
      <c r="AB244" s="23" t="s">
        <v>3250</v>
      </c>
      <c r="AC244" s="23" t="s">
        <v>3251</v>
      </c>
      <c r="AD244" s="27" t="n">
        <f aca="false">LEN(AC244)</f>
        <v>52</v>
      </c>
      <c r="AE244" s="23" t="s">
        <v>3252</v>
      </c>
      <c r="AF244" s="27" t="n">
        <f aca="false">LEN(AE244)</f>
        <v>160</v>
      </c>
    </row>
    <row r="245" customFormat="false" ht="15" hidden="false" customHeight="true" outlineLevel="0" collapsed="false">
      <c r="A245" s="23" t="s">
        <v>3253</v>
      </c>
      <c r="B245" s="23" t="s">
        <v>2449</v>
      </c>
      <c r="C245" s="23" t="n">
        <v>85</v>
      </c>
      <c r="D245" s="23" t="s">
        <v>3172</v>
      </c>
      <c r="E245" s="23"/>
      <c r="F245" s="23" t="s">
        <v>2452</v>
      </c>
      <c r="G245" s="23" t="s">
        <v>3032</v>
      </c>
      <c r="H245" s="23" t="s">
        <v>2454</v>
      </c>
      <c r="I245" s="23" t="s">
        <v>3254</v>
      </c>
      <c r="J245" s="23" t="s">
        <v>2814</v>
      </c>
      <c r="K245" s="23" t="n">
        <v>18.99</v>
      </c>
      <c r="L245" s="23" t="s">
        <v>3245</v>
      </c>
      <c r="M245" s="23" t="s">
        <v>3246</v>
      </c>
      <c r="N245" s="23" t="s">
        <v>3247</v>
      </c>
      <c r="O245" s="23" t="s">
        <v>3248</v>
      </c>
      <c r="P245" s="23" t="s">
        <v>3249</v>
      </c>
      <c r="Q245" s="24" t="n">
        <f aca="false">IF(L245="","",IFERROR(INDEX('Semrush Data'!$A$1:$Z$20000,MATCH(L245,'Semrush Data'!$A$1:$A$20000,0),MATCH("Volume",'Semrush Data'!$A$1:$Z$1,0)),""))</f>
        <v>0</v>
      </c>
      <c r="R245" s="24" t="n">
        <f aca="false">IF(M245="","",IFERROR(INDEX('Semrush Data'!$A$1:$Z$20000,MATCH(M245,'Semrush Data'!$A$1:$A$20000,0),MATCH("Volume",'Semrush Data'!$A$1:$Z$1,0)),""))</f>
        <v>0</v>
      </c>
      <c r="S245" s="24" t="str">
        <f aca="false">IF(N245="","",IFERROR(INDEX('Semrush Data'!$A$1:$Z$20000,MATCH(N245,'Semrush Data'!$A$1:$A$20000,0),MATCH("Volume",'Semrush Data'!$A$1:$Z$1,0)),""))</f>
        <v/>
      </c>
      <c r="T245" s="24" t="str">
        <f aca="false">IF(O245="","",IFERROR(INDEX('Semrush Data'!$A$1:$Z$20000,MATCH(O245,'Semrush Data'!$A$1:$A$20000,0),MATCH("Volume",'Semrush Data'!$A$1:$Z$1,0)),""))</f>
        <v/>
      </c>
      <c r="U245" s="24" t="str">
        <f aca="false">IF(P245="","",IFERROR(INDEX('Semrush Data'!$A$1:$Z$20000,MATCH(P245,'Semrush Data'!$A$1:$A$20000,0),MATCH("Volume",'Semrush Data'!$A$1:$Z$1,0)),""))</f>
        <v/>
      </c>
      <c r="V245" s="25" t="str">
        <f aca="false">IF(COUNT(Q245:U245)=0,L245,IF(MAX(Q245:U245)=0,L245,INDEX(L245:P245,MATCH(MAX(Q245:U245),Q245:U245,0))))</f>
        <v>calvin klein eternity aromatic essence parfum intense miniature</v>
      </c>
      <c r="W245" s="24" t="n">
        <f aca="false">IFERROR(INDEX('Semrush Data'!$A$1:$Z$20000,MATCH(V245,'Semrush Data'!$A$1:$A$20000,0),MATCH("Volume",'Semrush Data'!$A$1:$Z$1,0)),"")</f>
        <v>0</v>
      </c>
      <c r="X245" s="24" t="n">
        <f aca="false">IFERROR(INDEX('Semrush Data'!$A$1:$Z$20000,MATCH(V245,'Semrush Data'!$A$1:$A$20000,0),MATCH("Keyword Difficulty*",'Semrush Data'!$A$1:$Z$1,0)),"")</f>
        <v>17</v>
      </c>
      <c r="Y245" s="26" t="n">
        <f aca="false">IFERROR(INDEX('Semrush Data'!$A$1:$Z$20000,MATCH(V245,'Semrush Data'!$A$1:$A$20000,0),MATCH("CPC*",'Semrush Data'!$A$1:$Z$1,0)),"")</f>
        <v>0</v>
      </c>
      <c r="Z245" s="23" t="s">
        <v>3188</v>
      </c>
      <c r="AA245" s="23"/>
      <c r="AB245" s="23" t="s">
        <v>3250</v>
      </c>
      <c r="AC245" s="23" t="s">
        <v>3251</v>
      </c>
      <c r="AD245" s="27" t="n">
        <f aca="false">LEN(AC245)</f>
        <v>52</v>
      </c>
      <c r="AE245" s="23" t="s">
        <v>3255</v>
      </c>
      <c r="AF245" s="27" t="n">
        <f aca="false">LEN(AE245)</f>
        <v>157</v>
      </c>
    </row>
    <row r="246" customFormat="false" ht="15" hidden="false" customHeight="true" outlineLevel="0" collapsed="false">
      <c r="A246" s="23" t="s">
        <v>3256</v>
      </c>
      <c r="B246" s="23" t="s">
        <v>2449</v>
      </c>
      <c r="C246" s="23" t="n">
        <v>86</v>
      </c>
      <c r="D246" s="23" t="s">
        <v>3172</v>
      </c>
      <c r="E246" s="23"/>
      <c r="F246" s="23" t="s">
        <v>2452</v>
      </c>
      <c r="G246" s="23" t="s">
        <v>3032</v>
      </c>
      <c r="H246" s="23" t="s">
        <v>2932</v>
      </c>
      <c r="I246" s="23" t="s">
        <v>3257</v>
      </c>
      <c r="J246" s="23" t="s">
        <v>2814</v>
      </c>
      <c r="K246" s="23" t="n">
        <v>18.99</v>
      </c>
      <c r="L246" s="23" t="s">
        <v>3258</v>
      </c>
      <c r="M246" s="23" t="s">
        <v>3259</v>
      </c>
      <c r="N246" s="23" t="s">
        <v>3260</v>
      </c>
      <c r="O246" s="23" t="s">
        <v>3261</v>
      </c>
      <c r="P246" s="23" t="s">
        <v>3262</v>
      </c>
      <c r="Q246" s="24" t="n">
        <f aca="false">IF(L246="","",IFERROR(INDEX('Semrush Data'!$A$1:$Z$20000,MATCH(L246,'Semrush Data'!$A$1:$A$20000,0),MATCH("Volume",'Semrush Data'!$A$1:$Z$1,0)),""))</f>
        <v>0</v>
      </c>
      <c r="R246" s="24" t="n">
        <f aca="false">IF(M246="","",IFERROR(INDEX('Semrush Data'!$A$1:$Z$20000,MATCH(M246,'Semrush Data'!$A$1:$A$20000,0),MATCH("Volume",'Semrush Data'!$A$1:$Z$1,0)),""))</f>
        <v>0</v>
      </c>
      <c r="S246" s="24" t="str">
        <f aca="false">IF(N246="","",IFERROR(INDEX('Semrush Data'!$A$1:$Z$20000,MATCH(N246,'Semrush Data'!$A$1:$A$20000,0),MATCH("Volume",'Semrush Data'!$A$1:$Z$1,0)),""))</f>
        <v/>
      </c>
      <c r="T246" s="24" t="str">
        <f aca="false">IF(O246="","",IFERROR(INDEX('Semrush Data'!$A$1:$Z$20000,MATCH(O246,'Semrush Data'!$A$1:$A$20000,0),MATCH("Volume",'Semrush Data'!$A$1:$Z$1,0)),""))</f>
        <v/>
      </c>
      <c r="U246" s="24" t="str">
        <f aca="false">IF(P246="","",IFERROR(INDEX('Semrush Data'!$A$1:$Z$20000,MATCH(P246,'Semrush Data'!$A$1:$A$20000,0),MATCH("Volume",'Semrush Data'!$A$1:$Z$1,0)),""))</f>
        <v/>
      </c>
      <c r="V246" s="25" t="str">
        <f aca="false">IF(COUNT(Q246:U246)=0,L246,IF(MAX(Q246:U246)=0,L246,INDEX(L246:P246,MATCH(MAX(Q246:U246),Q246:U246,0))))</f>
        <v>calvin klein eternity parfum miniature</v>
      </c>
      <c r="W246" s="24" t="n">
        <f aca="false">IFERROR(INDEX('Semrush Data'!$A$1:$Z$20000,MATCH(V246,'Semrush Data'!$A$1:$A$20000,0),MATCH("Volume",'Semrush Data'!$A$1:$Z$1,0)),"")</f>
        <v>0</v>
      </c>
      <c r="X246" s="24" t="n">
        <f aca="false">IFERROR(INDEX('Semrush Data'!$A$1:$Z$20000,MATCH(V246,'Semrush Data'!$A$1:$A$20000,0),MATCH("Keyword Difficulty*",'Semrush Data'!$A$1:$Z$1,0)),"")</f>
        <v>16</v>
      </c>
      <c r="Y246" s="26" t="n">
        <f aca="false">IFERROR(INDEX('Semrush Data'!$A$1:$Z$20000,MATCH(V246,'Semrush Data'!$A$1:$A$20000,0),MATCH("CPC*",'Semrush Data'!$A$1:$Z$1,0)),"")</f>
        <v>0</v>
      </c>
      <c r="Z246" s="23" t="s">
        <v>3263</v>
      </c>
      <c r="AA246" s="23" t="s">
        <v>3264</v>
      </c>
      <c r="AB246" s="23" t="s">
        <v>3265</v>
      </c>
      <c r="AC246" s="23" t="s">
        <v>3266</v>
      </c>
      <c r="AD246" s="27" t="n">
        <f aca="false">LEN(AC246)</f>
        <v>52</v>
      </c>
      <c r="AE246" s="23" t="s">
        <v>3267</v>
      </c>
      <c r="AF246" s="27" t="n">
        <f aca="false">LEN(AE246)</f>
        <v>153</v>
      </c>
    </row>
    <row r="247" customFormat="false" ht="15" hidden="false" customHeight="true" outlineLevel="0" collapsed="false">
      <c r="A247" s="23" t="s">
        <v>3268</v>
      </c>
      <c r="B247" s="23" t="s">
        <v>2449</v>
      </c>
      <c r="C247" s="23" t="n">
        <v>87</v>
      </c>
      <c r="D247" s="23" t="s">
        <v>3269</v>
      </c>
      <c r="E247" s="23"/>
      <c r="F247" s="23" t="s">
        <v>2452</v>
      </c>
      <c r="G247" s="23" t="s">
        <v>2453</v>
      </c>
      <c r="H247" s="23" t="s">
        <v>2454</v>
      </c>
      <c r="I247" s="23" t="s">
        <v>3270</v>
      </c>
      <c r="J247" s="23" t="s">
        <v>2833</v>
      </c>
      <c r="K247" s="23" t="n">
        <v>74.99</v>
      </c>
      <c r="L247" s="23" t="s">
        <v>3271</v>
      </c>
      <c r="M247" s="23" t="s">
        <v>3272</v>
      </c>
      <c r="N247" s="23" t="s">
        <v>3273</v>
      </c>
      <c r="O247" s="23" t="s">
        <v>3274</v>
      </c>
      <c r="P247" s="23" t="s">
        <v>3275</v>
      </c>
      <c r="Q247" s="24" t="n">
        <f aca="false">IF(L247="","",IFERROR(INDEX('Semrush Data'!$A$1:$Z$20000,MATCH(L247,'Semrush Data'!$A$1:$A$20000,0),MATCH("Volume",'Semrush Data'!$A$1:$Z$1,0)),""))</f>
        <v>260</v>
      </c>
      <c r="R247" s="24" t="n">
        <f aca="false">IF(M247="","",IFERROR(INDEX('Semrush Data'!$A$1:$Z$20000,MATCH(M247,'Semrush Data'!$A$1:$A$20000,0),MATCH("Volume",'Semrush Data'!$A$1:$Z$1,0)),""))</f>
        <v>0</v>
      </c>
      <c r="S247" s="24" t="str">
        <f aca="false">IF(N247="","",IFERROR(INDEX('Semrush Data'!$A$1:$Z$20000,MATCH(N247,'Semrush Data'!$A$1:$A$20000,0),MATCH("Volume",'Semrush Data'!$A$1:$Z$1,0)),""))</f>
        <v/>
      </c>
      <c r="T247" s="24" t="str">
        <f aca="false">IF(O247="","",IFERROR(INDEX('Semrush Data'!$A$1:$Z$20000,MATCH(O247,'Semrush Data'!$A$1:$A$20000,0),MATCH("Volume",'Semrush Data'!$A$1:$Z$1,0)),""))</f>
        <v/>
      </c>
      <c r="U247" s="24" t="n">
        <f aca="false">IF(P247="","",IFERROR(INDEX('Semrush Data'!$A$1:$Z$20000,MATCH(P247,'Semrush Data'!$A$1:$A$20000,0),MATCH("Volume",'Semrush Data'!$A$1:$Z$1,0)),""))</f>
        <v>20</v>
      </c>
      <c r="V247" s="25" t="str">
        <f aca="false">IF(COUNT(Q247:U247)=0,L247,IF(MAX(Q247:U247)=0,L247,INDEX(L247:P247,MATCH(MAX(Q247:U247),Q247:U247,0))))</f>
        <v>carolina herrera 212 vip rose</v>
      </c>
      <c r="W247" s="24" t="n">
        <f aca="false">IFERROR(INDEX('Semrush Data'!$A$1:$Z$20000,MATCH(V247,'Semrush Data'!$A$1:$A$20000,0),MATCH("Volume",'Semrush Data'!$A$1:$Z$1,0)),"")</f>
        <v>260</v>
      </c>
      <c r="X247" s="24" t="n">
        <f aca="false">IFERROR(INDEX('Semrush Data'!$A$1:$Z$20000,MATCH(V247,'Semrush Data'!$A$1:$A$20000,0),MATCH("Keyword Difficulty*",'Semrush Data'!$A$1:$Z$1,0)),"")</f>
        <v>16</v>
      </c>
      <c r="Y247" s="26" t="n">
        <f aca="false">IFERROR(INDEX('Semrush Data'!$A$1:$Z$20000,MATCH(V247,'Semrush Data'!$A$1:$A$20000,0),MATCH("CPC*",'Semrush Data'!$A$1:$Z$1,0)),"")</f>
        <v>0.39</v>
      </c>
      <c r="Z247" s="23" t="s">
        <v>3276</v>
      </c>
      <c r="AA247" s="23" t="s">
        <v>3277</v>
      </c>
      <c r="AB247" s="23" t="s">
        <v>3278</v>
      </c>
      <c r="AC247" s="23" t="s">
        <v>3279</v>
      </c>
      <c r="AD247" s="27" t="n">
        <f aca="false">LEN(AC247)</f>
        <v>57</v>
      </c>
      <c r="AE247" s="23" t="s">
        <v>3280</v>
      </c>
      <c r="AF247" s="27" t="n">
        <f aca="false">LEN(AE247)</f>
        <v>159</v>
      </c>
    </row>
    <row r="248" customFormat="false" ht="15" hidden="false" customHeight="true" outlineLevel="0" collapsed="false">
      <c r="A248" s="23" t="s">
        <v>137</v>
      </c>
      <c r="B248" s="23" t="s">
        <v>2449</v>
      </c>
      <c r="C248" s="23" t="n">
        <v>88</v>
      </c>
      <c r="D248" s="23" t="s">
        <v>3269</v>
      </c>
      <c r="E248" s="23"/>
      <c r="F248" s="23" t="s">
        <v>2452</v>
      </c>
      <c r="G248" s="23" t="s">
        <v>2453</v>
      </c>
      <c r="H248" s="23" t="s">
        <v>3033</v>
      </c>
      <c r="I248" s="23" t="s">
        <v>138</v>
      </c>
      <c r="J248" s="23" t="s">
        <v>1468</v>
      </c>
      <c r="K248" s="23" t="n">
        <v>19.99</v>
      </c>
      <c r="L248" s="23" t="s">
        <v>3281</v>
      </c>
      <c r="M248" s="23" t="s">
        <v>3282</v>
      </c>
      <c r="N248" s="23" t="s">
        <v>3283</v>
      </c>
      <c r="O248" s="23" t="s">
        <v>3284</v>
      </c>
      <c r="P248" s="23" t="s">
        <v>3285</v>
      </c>
      <c r="Q248" s="24" t="n">
        <f aca="false">IF(L248="","",IFERROR(INDEX('Semrush Data'!$A$1:$Z$20000,MATCH(L248,'Semrush Data'!$A$1:$A$20000,0),MATCH("Volume",'Semrush Data'!$A$1:$Z$1,0)),""))</f>
        <v>390</v>
      </c>
      <c r="R248" s="24" t="n">
        <f aca="false">IF(M248="","",IFERROR(INDEX('Semrush Data'!$A$1:$Z$20000,MATCH(M248,'Semrush Data'!$A$1:$A$20000,0),MATCH("Volume",'Semrush Data'!$A$1:$Z$1,0)),""))</f>
        <v>0</v>
      </c>
      <c r="S248" s="24" t="str">
        <f aca="false">IF(N248="","",IFERROR(INDEX('Semrush Data'!$A$1:$Z$20000,MATCH(N248,'Semrush Data'!$A$1:$A$20000,0),MATCH("Volume",'Semrush Data'!$A$1:$Z$1,0)),""))</f>
        <v/>
      </c>
      <c r="T248" s="24" t="str">
        <f aca="false">IF(O248="","",IFERROR(INDEX('Semrush Data'!$A$1:$Z$20000,MATCH(O248,'Semrush Data'!$A$1:$A$20000,0),MATCH("Volume",'Semrush Data'!$A$1:$Z$1,0)),""))</f>
        <v/>
      </c>
      <c r="U248" s="24" t="n">
        <f aca="false">IF(P248="","",IFERROR(INDEX('Semrush Data'!$A$1:$Z$20000,MATCH(P248,'Semrush Data'!$A$1:$A$20000,0),MATCH("Volume",'Semrush Data'!$A$1:$Z$1,0)),""))</f>
        <v>20</v>
      </c>
      <c r="V248" s="25" t="str">
        <f aca="false">IF(COUNT(Q248:U248)=0,L248,IF(MAX(Q248:U248)=0,L248,INDEX(L248:P248,MATCH(MAX(Q248:U248),Q248:U248,0))))</f>
        <v>carolina herrera bad boy extreme</v>
      </c>
      <c r="W248" s="24" t="n">
        <f aca="false">IFERROR(INDEX('Semrush Data'!$A$1:$Z$20000,MATCH(V248,'Semrush Data'!$A$1:$A$20000,0),MATCH("Volume",'Semrush Data'!$A$1:$Z$1,0)),"")</f>
        <v>390</v>
      </c>
      <c r="X248" s="24" t="n">
        <f aca="false">IFERROR(INDEX('Semrush Data'!$A$1:$Z$20000,MATCH(V248,'Semrush Data'!$A$1:$A$20000,0),MATCH("Keyword Difficulty*",'Semrush Data'!$A$1:$Z$1,0)),"")</f>
        <v>17</v>
      </c>
      <c r="Y248" s="26" t="n">
        <f aca="false">IFERROR(INDEX('Semrush Data'!$A$1:$Z$20000,MATCH(V248,'Semrush Data'!$A$1:$A$20000,0),MATCH("CPC*",'Semrush Data'!$A$1:$Z$1,0)),"")</f>
        <v>0.62</v>
      </c>
      <c r="Z248" s="23" t="s">
        <v>3286</v>
      </c>
      <c r="AA248" s="23" t="s">
        <v>3287</v>
      </c>
      <c r="AB248" s="23" t="s">
        <v>3288</v>
      </c>
      <c r="AC248" s="23" t="s">
        <v>3289</v>
      </c>
      <c r="AD248" s="27" t="n">
        <f aca="false">LEN(AC248)</f>
        <v>60</v>
      </c>
      <c r="AE248" s="23" t="s">
        <v>3290</v>
      </c>
      <c r="AF248" s="27" t="n">
        <f aca="false">LEN(AE248)</f>
        <v>159</v>
      </c>
    </row>
    <row r="249" customFormat="false" ht="15" hidden="false" customHeight="true" outlineLevel="0" collapsed="false">
      <c r="A249" s="23" t="s">
        <v>3291</v>
      </c>
      <c r="B249" s="23" t="s">
        <v>2449</v>
      </c>
      <c r="C249" s="23" t="n">
        <v>89</v>
      </c>
      <c r="D249" s="23" t="s">
        <v>3269</v>
      </c>
      <c r="E249" s="23"/>
      <c r="F249" s="23" t="s">
        <v>2452</v>
      </c>
      <c r="G249" s="23" t="s">
        <v>2453</v>
      </c>
      <c r="H249" s="23" t="s">
        <v>3033</v>
      </c>
      <c r="I249" s="23" t="s">
        <v>138</v>
      </c>
      <c r="J249" s="23" t="s">
        <v>1468</v>
      </c>
      <c r="K249" s="23" t="n">
        <v>50.99</v>
      </c>
      <c r="L249" s="23" t="s">
        <v>3281</v>
      </c>
      <c r="M249" s="23" t="s">
        <v>3282</v>
      </c>
      <c r="N249" s="23" t="s">
        <v>3283</v>
      </c>
      <c r="O249" s="23" t="s">
        <v>3284</v>
      </c>
      <c r="P249" s="23" t="s">
        <v>3285</v>
      </c>
      <c r="Q249" s="24" t="n">
        <f aca="false">IF(L249="","",IFERROR(INDEX('Semrush Data'!$A$1:$Z$20000,MATCH(L249,'Semrush Data'!$A$1:$A$20000,0),MATCH("Volume",'Semrush Data'!$A$1:$Z$1,0)),""))</f>
        <v>390</v>
      </c>
      <c r="R249" s="24" t="n">
        <f aca="false">IF(M249="","",IFERROR(INDEX('Semrush Data'!$A$1:$Z$20000,MATCH(M249,'Semrush Data'!$A$1:$A$20000,0),MATCH("Volume",'Semrush Data'!$A$1:$Z$1,0)),""))</f>
        <v>0</v>
      </c>
      <c r="S249" s="24" t="str">
        <f aca="false">IF(N249="","",IFERROR(INDEX('Semrush Data'!$A$1:$Z$20000,MATCH(N249,'Semrush Data'!$A$1:$A$20000,0),MATCH("Volume",'Semrush Data'!$A$1:$Z$1,0)),""))</f>
        <v/>
      </c>
      <c r="T249" s="24" t="str">
        <f aca="false">IF(O249="","",IFERROR(INDEX('Semrush Data'!$A$1:$Z$20000,MATCH(O249,'Semrush Data'!$A$1:$A$20000,0),MATCH("Volume",'Semrush Data'!$A$1:$Z$1,0)),""))</f>
        <v/>
      </c>
      <c r="U249" s="24" t="n">
        <f aca="false">IF(P249="","",IFERROR(INDEX('Semrush Data'!$A$1:$Z$20000,MATCH(P249,'Semrush Data'!$A$1:$A$20000,0),MATCH("Volume",'Semrush Data'!$A$1:$Z$1,0)),""))</f>
        <v>20</v>
      </c>
      <c r="V249" s="25" t="str">
        <f aca="false">IF(COUNT(Q249:U249)=0,L249,IF(MAX(Q249:U249)=0,L249,INDEX(L249:P249,MATCH(MAX(Q249:U249),Q249:U249,0))))</f>
        <v>carolina herrera bad boy extreme</v>
      </c>
      <c r="W249" s="24" t="n">
        <f aca="false">IFERROR(INDEX('Semrush Data'!$A$1:$Z$20000,MATCH(V249,'Semrush Data'!$A$1:$A$20000,0),MATCH("Volume",'Semrush Data'!$A$1:$Z$1,0)),"")</f>
        <v>390</v>
      </c>
      <c r="X249" s="24" t="n">
        <f aca="false">IFERROR(INDEX('Semrush Data'!$A$1:$Z$20000,MATCH(V249,'Semrush Data'!$A$1:$A$20000,0),MATCH("Keyword Difficulty*",'Semrush Data'!$A$1:$Z$1,0)),"")</f>
        <v>17</v>
      </c>
      <c r="Y249" s="26" t="n">
        <f aca="false">IFERROR(INDEX('Semrush Data'!$A$1:$Z$20000,MATCH(V249,'Semrush Data'!$A$1:$A$20000,0),MATCH("CPC*",'Semrush Data'!$A$1:$Z$1,0)),"")</f>
        <v>0.62</v>
      </c>
      <c r="Z249" s="23" t="s">
        <v>3286</v>
      </c>
      <c r="AA249" s="23" t="s">
        <v>3287</v>
      </c>
      <c r="AB249" s="23" t="s">
        <v>3288</v>
      </c>
      <c r="AC249" s="23" t="s">
        <v>3289</v>
      </c>
      <c r="AD249" s="27" t="n">
        <f aca="false">LEN(AC249)</f>
        <v>60</v>
      </c>
      <c r="AE249" s="23" t="s">
        <v>3290</v>
      </c>
      <c r="AF249" s="27" t="n">
        <f aca="false">LEN(AE249)</f>
        <v>159</v>
      </c>
    </row>
    <row r="250" customFormat="false" ht="15" hidden="false" customHeight="true" outlineLevel="0" collapsed="false">
      <c r="A250" s="23" t="s">
        <v>3292</v>
      </c>
      <c r="B250" s="23" t="s">
        <v>2449</v>
      </c>
      <c r="C250" s="23" t="n">
        <v>90</v>
      </c>
      <c r="D250" s="23" t="s">
        <v>3269</v>
      </c>
      <c r="E250" s="23"/>
      <c r="F250" s="23" t="s">
        <v>2452</v>
      </c>
      <c r="G250" s="23" t="s">
        <v>2453</v>
      </c>
      <c r="H250" s="23" t="s">
        <v>2608</v>
      </c>
      <c r="I250" s="23" t="s">
        <v>3293</v>
      </c>
      <c r="J250" s="23" t="s">
        <v>2814</v>
      </c>
      <c r="K250" s="23" t="n">
        <v>19.99</v>
      </c>
      <c r="L250" s="23" t="s">
        <v>3294</v>
      </c>
      <c r="M250" s="23" t="s">
        <v>3295</v>
      </c>
      <c r="N250" s="23" t="s">
        <v>3296</v>
      </c>
      <c r="O250" s="23" t="s">
        <v>3297</v>
      </c>
      <c r="P250" s="23" t="s">
        <v>3298</v>
      </c>
      <c r="Q250" s="24" t="n">
        <f aca="false">IF(L250="","",IFERROR(INDEX('Semrush Data'!$A$1:$Z$20000,MATCH(L250,'Semrush Data'!$A$1:$A$20000,0),MATCH("Volume",'Semrush Data'!$A$1:$Z$1,0)),""))</f>
        <v>0</v>
      </c>
      <c r="R250" s="24" t="n">
        <f aca="false">IF(M250="","",IFERROR(INDEX('Semrush Data'!$A$1:$Z$20000,MATCH(M250,'Semrush Data'!$A$1:$A$20000,0),MATCH("Volume",'Semrush Data'!$A$1:$Z$1,0)),""))</f>
        <v>0</v>
      </c>
      <c r="S250" s="24" t="str">
        <f aca="false">IF(N250="","",IFERROR(INDEX('Semrush Data'!$A$1:$Z$20000,MATCH(N250,'Semrush Data'!$A$1:$A$20000,0),MATCH("Volume",'Semrush Data'!$A$1:$Z$1,0)),""))</f>
        <v/>
      </c>
      <c r="T250" s="24" t="str">
        <f aca="false">IF(O250="","",IFERROR(INDEX('Semrush Data'!$A$1:$Z$20000,MATCH(O250,'Semrush Data'!$A$1:$A$20000,0),MATCH("Volume",'Semrush Data'!$A$1:$Z$1,0)),""))</f>
        <v/>
      </c>
      <c r="U250" s="24" t="str">
        <f aca="false">IF(P250="","",IFERROR(INDEX('Semrush Data'!$A$1:$Z$20000,MATCH(P250,'Semrush Data'!$A$1:$A$20000,0),MATCH("Volume",'Semrush Data'!$A$1:$Z$1,0)),""))</f>
        <v/>
      </c>
      <c r="V250" s="25" t="str">
        <f aca="false">IF(COUNT(Q250:U250)=0,L250,IF(MAX(Q250:U250)=0,L250,INDEX(L250:P250,MATCH(MAX(Q250:U250),Q250:U250,0))))</f>
        <v>carolina herrera bad boy le</v>
      </c>
      <c r="W250" s="24" t="n">
        <f aca="false">IFERROR(INDEX('Semrush Data'!$A$1:$Z$20000,MATCH(V250,'Semrush Data'!$A$1:$A$20000,0),MATCH("Volume",'Semrush Data'!$A$1:$Z$1,0)),"")</f>
        <v>0</v>
      </c>
      <c r="X250" s="24" t="n">
        <f aca="false">IFERROR(INDEX('Semrush Data'!$A$1:$Z$20000,MATCH(V250,'Semrush Data'!$A$1:$A$20000,0),MATCH("Keyword Difficulty*",'Semrush Data'!$A$1:$Z$1,0)),"")</f>
        <v>9</v>
      </c>
      <c r="Y250" s="26" t="n">
        <f aca="false">IFERROR(INDEX('Semrush Data'!$A$1:$Z$20000,MATCH(V250,'Semrush Data'!$A$1:$A$20000,0),MATCH("CPC*",'Semrush Data'!$A$1:$Z$1,0)),"")</f>
        <v>0</v>
      </c>
      <c r="Z250" s="23" t="s">
        <v>3299</v>
      </c>
      <c r="AA250" s="23" t="s">
        <v>3300</v>
      </c>
      <c r="AB250" s="23" t="s">
        <v>3301</v>
      </c>
      <c r="AC250" s="23" t="s">
        <v>3302</v>
      </c>
      <c r="AD250" s="27" t="n">
        <f aca="false">LEN(AC250)</f>
        <v>50</v>
      </c>
      <c r="AE250" s="23" t="s">
        <v>3303</v>
      </c>
      <c r="AF250" s="27" t="n">
        <f aca="false">LEN(AE250)</f>
        <v>160</v>
      </c>
    </row>
    <row r="251" customFormat="false" ht="15" hidden="false" customHeight="true" outlineLevel="0" collapsed="false">
      <c r="A251" s="23" t="s">
        <v>3304</v>
      </c>
      <c r="B251" s="23" t="s">
        <v>2449</v>
      </c>
      <c r="C251" s="23" t="n">
        <v>91</v>
      </c>
      <c r="D251" s="23" t="s">
        <v>3269</v>
      </c>
      <c r="E251" s="23"/>
      <c r="F251" s="23" t="s">
        <v>2452</v>
      </c>
      <c r="G251" s="23" t="s">
        <v>2453</v>
      </c>
      <c r="H251" s="23" t="s">
        <v>2608</v>
      </c>
      <c r="I251" s="23" t="s">
        <v>3305</v>
      </c>
      <c r="J251" s="23" t="s">
        <v>2934</v>
      </c>
      <c r="K251" s="23" t="n">
        <v>76.99</v>
      </c>
      <c r="L251" s="23" t="s">
        <v>3294</v>
      </c>
      <c r="M251" s="23" t="s">
        <v>3295</v>
      </c>
      <c r="N251" s="23" t="s">
        <v>3296</v>
      </c>
      <c r="O251" s="23" t="s">
        <v>3297</v>
      </c>
      <c r="P251" s="23" t="s">
        <v>3298</v>
      </c>
      <c r="Q251" s="24" t="n">
        <f aca="false">IF(L251="","",IFERROR(INDEX('Semrush Data'!$A$1:$Z$20000,MATCH(L251,'Semrush Data'!$A$1:$A$20000,0),MATCH("Volume",'Semrush Data'!$A$1:$Z$1,0)),""))</f>
        <v>0</v>
      </c>
      <c r="R251" s="24" t="n">
        <f aca="false">IF(M251="","",IFERROR(INDEX('Semrush Data'!$A$1:$Z$20000,MATCH(M251,'Semrush Data'!$A$1:$A$20000,0),MATCH("Volume",'Semrush Data'!$A$1:$Z$1,0)),""))</f>
        <v>0</v>
      </c>
      <c r="S251" s="24" t="str">
        <f aca="false">IF(N251="","",IFERROR(INDEX('Semrush Data'!$A$1:$Z$20000,MATCH(N251,'Semrush Data'!$A$1:$A$20000,0),MATCH("Volume",'Semrush Data'!$A$1:$Z$1,0)),""))</f>
        <v/>
      </c>
      <c r="T251" s="24" t="str">
        <f aca="false">IF(O251="","",IFERROR(INDEX('Semrush Data'!$A$1:$Z$20000,MATCH(O251,'Semrush Data'!$A$1:$A$20000,0),MATCH("Volume",'Semrush Data'!$A$1:$Z$1,0)),""))</f>
        <v/>
      </c>
      <c r="U251" s="24" t="str">
        <f aca="false">IF(P251="","",IFERROR(INDEX('Semrush Data'!$A$1:$Z$20000,MATCH(P251,'Semrush Data'!$A$1:$A$20000,0),MATCH("Volume",'Semrush Data'!$A$1:$Z$1,0)),""))</f>
        <v/>
      </c>
      <c r="V251" s="25" t="str">
        <f aca="false">IF(COUNT(Q251:U251)=0,L251,IF(MAX(Q251:U251)=0,L251,INDEX(L251:P251,MATCH(MAX(Q251:U251),Q251:U251,0))))</f>
        <v>carolina herrera bad boy le</v>
      </c>
      <c r="W251" s="24" t="n">
        <f aca="false">IFERROR(INDEX('Semrush Data'!$A$1:$Z$20000,MATCH(V251,'Semrush Data'!$A$1:$A$20000,0),MATCH("Volume",'Semrush Data'!$A$1:$Z$1,0)),"")</f>
        <v>0</v>
      </c>
      <c r="X251" s="24" t="n">
        <f aca="false">IFERROR(INDEX('Semrush Data'!$A$1:$Z$20000,MATCH(V251,'Semrush Data'!$A$1:$A$20000,0),MATCH("Keyword Difficulty*",'Semrush Data'!$A$1:$Z$1,0)),"")</f>
        <v>9</v>
      </c>
      <c r="Y251" s="26" t="n">
        <f aca="false">IFERROR(INDEX('Semrush Data'!$A$1:$Z$20000,MATCH(V251,'Semrush Data'!$A$1:$A$20000,0),MATCH("CPC*",'Semrush Data'!$A$1:$Z$1,0)),"")</f>
        <v>0</v>
      </c>
      <c r="Z251" s="23" t="s">
        <v>3299</v>
      </c>
      <c r="AA251" s="23" t="s">
        <v>3300</v>
      </c>
      <c r="AB251" s="23" t="s">
        <v>3301</v>
      </c>
      <c r="AC251" s="23" t="s">
        <v>3306</v>
      </c>
      <c r="AD251" s="27" t="n">
        <f aca="false">LEN(AC251)</f>
        <v>51</v>
      </c>
      <c r="AE251" s="23" t="s">
        <v>3307</v>
      </c>
      <c r="AF251" s="27" t="n">
        <f aca="false">LEN(AE251)</f>
        <v>160</v>
      </c>
    </row>
    <row r="252" customFormat="false" ht="15" hidden="false" customHeight="true" outlineLevel="0" collapsed="false">
      <c r="A252" s="23" t="s">
        <v>3308</v>
      </c>
      <c r="B252" s="23" t="s">
        <v>2449</v>
      </c>
      <c r="C252" s="23" t="n">
        <v>92</v>
      </c>
      <c r="D252" s="23" t="s">
        <v>3269</v>
      </c>
      <c r="E252" s="23"/>
      <c r="F252" s="23" t="s">
        <v>2452</v>
      </c>
      <c r="G252" s="23" t="s">
        <v>2818</v>
      </c>
      <c r="H252" s="23" t="s">
        <v>3309</v>
      </c>
      <c r="I252" s="23" t="s">
        <v>3310</v>
      </c>
      <c r="J252" s="23" t="s">
        <v>1994</v>
      </c>
      <c r="K252" s="23" t="n">
        <v>54.99</v>
      </c>
      <c r="L252" s="23" t="s">
        <v>3311</v>
      </c>
      <c r="M252" s="23" t="s">
        <v>3312</v>
      </c>
      <c r="N252" s="23" t="s">
        <v>3313</v>
      </c>
      <c r="O252" s="23" t="s">
        <v>3314</v>
      </c>
      <c r="P252" s="23" t="s">
        <v>3315</v>
      </c>
      <c r="Q252" s="24" t="n">
        <f aca="false">IF(L252="","",IFERROR(INDEX('Semrush Data'!$A$1:$Z$20000,MATCH(L252,'Semrush Data'!$A$1:$A$20000,0),MATCH("Volume",'Semrush Data'!$A$1:$Z$1,0)),""))</f>
        <v>210</v>
      </c>
      <c r="R252" s="24" t="n">
        <f aca="false">IF(M252="","",IFERROR(INDEX('Semrush Data'!$A$1:$Z$20000,MATCH(M252,'Semrush Data'!$A$1:$A$20000,0),MATCH("Volume",'Semrush Data'!$A$1:$Z$1,0)),""))</f>
        <v>0</v>
      </c>
      <c r="S252" s="24" t="str">
        <f aca="false">IF(N252="","",IFERROR(INDEX('Semrush Data'!$A$1:$Z$20000,MATCH(N252,'Semrush Data'!$A$1:$A$20000,0),MATCH("Volume",'Semrush Data'!$A$1:$Z$1,0)),""))</f>
        <v/>
      </c>
      <c r="T252" s="24" t="str">
        <f aca="false">IF(O252="","",IFERROR(INDEX('Semrush Data'!$A$1:$Z$20000,MATCH(O252,'Semrush Data'!$A$1:$A$20000,0),MATCH("Volume",'Semrush Data'!$A$1:$Z$1,0)),""))</f>
        <v/>
      </c>
      <c r="U252" s="24" t="n">
        <f aca="false">IF(P252="","",IFERROR(INDEX('Semrush Data'!$A$1:$Z$20000,MATCH(P252,'Semrush Data'!$A$1:$A$20000,0),MATCH("Volume",'Semrush Data'!$A$1:$Z$1,0)),""))</f>
        <v>20</v>
      </c>
      <c r="V252" s="25" t="str">
        <f aca="false">IF(COUNT(Q252:U252)=0,L252,IF(MAX(Q252:U252)=0,L252,INDEX(L252:P252,MATCH(MAX(Q252:U252),Q252:U252,0))))</f>
        <v>carolina herrera 212 sexy men</v>
      </c>
      <c r="W252" s="24" t="n">
        <f aca="false">IFERROR(INDEX('Semrush Data'!$A$1:$Z$20000,MATCH(V252,'Semrush Data'!$A$1:$A$20000,0),MATCH("Volume",'Semrush Data'!$A$1:$Z$1,0)),"")</f>
        <v>210</v>
      </c>
      <c r="X252" s="24" t="n">
        <f aca="false">IFERROR(INDEX('Semrush Data'!$A$1:$Z$20000,MATCH(V252,'Semrush Data'!$A$1:$A$20000,0),MATCH("Keyword Difficulty*",'Semrush Data'!$A$1:$Z$1,0)),"")</f>
        <v>14</v>
      </c>
      <c r="Y252" s="26" t="n">
        <f aca="false">IFERROR(INDEX('Semrush Data'!$A$1:$Z$20000,MATCH(V252,'Semrush Data'!$A$1:$A$20000,0),MATCH("CPC*",'Semrush Data'!$A$1:$Z$1,0)),"")</f>
        <v>0.45</v>
      </c>
      <c r="Z252" s="23" t="s">
        <v>3316</v>
      </c>
      <c r="AA252" s="23"/>
      <c r="AB252" s="23" t="s">
        <v>3317</v>
      </c>
      <c r="AC252" s="23" t="s">
        <v>3318</v>
      </c>
      <c r="AD252" s="27" t="n">
        <f aca="false">LEN(AC252)</f>
        <v>59</v>
      </c>
      <c r="AE252" s="23" t="s">
        <v>3319</v>
      </c>
      <c r="AF252" s="27" t="n">
        <f aca="false">LEN(AE252)</f>
        <v>160</v>
      </c>
    </row>
    <row r="253" customFormat="false" ht="15" hidden="false" customHeight="true" outlineLevel="0" collapsed="false">
      <c r="A253" s="23" t="s">
        <v>131</v>
      </c>
      <c r="B253" s="23" t="s">
        <v>2449</v>
      </c>
      <c r="C253" s="23" t="n">
        <v>93</v>
      </c>
      <c r="D253" s="23" t="s">
        <v>3269</v>
      </c>
      <c r="E253" s="23"/>
      <c r="F253" s="23" t="s">
        <v>2452</v>
      </c>
      <c r="G253" s="23" t="s">
        <v>2818</v>
      </c>
      <c r="H253" s="23" t="s">
        <v>2608</v>
      </c>
      <c r="I253" s="23" t="s">
        <v>132</v>
      </c>
      <c r="J253" s="23" t="s">
        <v>1994</v>
      </c>
      <c r="K253" s="23" t="n">
        <v>55.99</v>
      </c>
      <c r="L253" s="23" t="s">
        <v>3320</v>
      </c>
      <c r="M253" s="23" t="s">
        <v>3321</v>
      </c>
      <c r="N253" s="23" t="s">
        <v>3322</v>
      </c>
      <c r="O253" s="23" t="s">
        <v>3323</v>
      </c>
      <c r="P253" s="23" t="s">
        <v>3324</v>
      </c>
      <c r="Q253" s="24" t="n">
        <f aca="false">IF(L253="","",IFERROR(INDEX('Semrush Data'!$A$1:$Z$20000,MATCH(L253,'Semrush Data'!$A$1:$A$20000,0),MATCH("Volume",'Semrush Data'!$A$1:$Z$1,0)),""))</f>
        <v>390</v>
      </c>
      <c r="R253" s="24" t="n">
        <f aca="false">IF(M253="","",IFERROR(INDEX('Semrush Data'!$A$1:$Z$20000,MATCH(M253,'Semrush Data'!$A$1:$A$20000,0),MATCH("Volume",'Semrush Data'!$A$1:$Z$1,0)),""))</f>
        <v>0</v>
      </c>
      <c r="S253" s="24" t="str">
        <f aca="false">IF(N253="","",IFERROR(INDEX('Semrush Data'!$A$1:$Z$20000,MATCH(N253,'Semrush Data'!$A$1:$A$20000,0),MATCH("Volume",'Semrush Data'!$A$1:$Z$1,0)),""))</f>
        <v/>
      </c>
      <c r="T253" s="24" t="str">
        <f aca="false">IF(O253="","",IFERROR(INDEX('Semrush Data'!$A$1:$Z$20000,MATCH(O253,'Semrush Data'!$A$1:$A$20000,0),MATCH("Volume",'Semrush Data'!$A$1:$Z$1,0)),""))</f>
        <v/>
      </c>
      <c r="U253" s="24" t="n">
        <f aca="false">IF(P253="","",IFERROR(INDEX('Semrush Data'!$A$1:$Z$20000,MATCH(P253,'Semrush Data'!$A$1:$A$20000,0),MATCH("Volume",'Semrush Data'!$A$1:$Z$1,0)),""))</f>
        <v>20</v>
      </c>
      <c r="V253" s="25" t="str">
        <f aca="false">IF(COUNT(Q253:U253)=0,L253,IF(MAX(Q253:U253)=0,L253,INDEX(L253:P253,MATCH(MAX(Q253:U253),Q253:U253,0))))</f>
        <v>carolina herrera 212 vip men</v>
      </c>
      <c r="W253" s="24" t="n">
        <f aca="false">IFERROR(INDEX('Semrush Data'!$A$1:$Z$20000,MATCH(V253,'Semrush Data'!$A$1:$A$20000,0),MATCH("Volume",'Semrush Data'!$A$1:$Z$1,0)),"")</f>
        <v>390</v>
      </c>
      <c r="X253" s="24" t="n">
        <f aca="false">IFERROR(INDEX('Semrush Data'!$A$1:$Z$20000,MATCH(V253,'Semrush Data'!$A$1:$A$20000,0),MATCH("Keyword Difficulty*",'Semrush Data'!$A$1:$Z$1,0)),"")</f>
        <v>16</v>
      </c>
      <c r="Y253" s="26" t="n">
        <f aca="false">IFERROR(INDEX('Semrush Data'!$A$1:$Z$20000,MATCH(V253,'Semrush Data'!$A$1:$A$20000,0),MATCH("CPC*",'Semrush Data'!$A$1:$Z$1,0)),"")</f>
        <v>0.44</v>
      </c>
      <c r="Z253" s="23" t="s">
        <v>3299</v>
      </c>
      <c r="AA253" s="23" t="s">
        <v>3325</v>
      </c>
      <c r="AB253" s="23" t="s">
        <v>3326</v>
      </c>
      <c r="AC253" s="23" t="s">
        <v>3327</v>
      </c>
      <c r="AD253" s="27" t="n">
        <f aca="false">LEN(AC253)</f>
        <v>58</v>
      </c>
      <c r="AE253" s="23" t="s">
        <v>3328</v>
      </c>
      <c r="AF253" s="27" t="n">
        <f aca="false">LEN(AE253)</f>
        <v>159</v>
      </c>
    </row>
    <row r="254" customFormat="false" ht="15" hidden="false" customHeight="true" outlineLevel="0" collapsed="false">
      <c r="A254" s="23" t="s">
        <v>147</v>
      </c>
      <c r="B254" s="23" t="s">
        <v>2449</v>
      </c>
      <c r="C254" s="23" t="n">
        <v>94</v>
      </c>
      <c r="D254" s="23" t="s">
        <v>3269</v>
      </c>
      <c r="E254" s="23"/>
      <c r="F254" s="23" t="s">
        <v>2452</v>
      </c>
      <c r="G254" s="23" t="s">
        <v>3032</v>
      </c>
      <c r="H254" s="23" t="s">
        <v>2454</v>
      </c>
      <c r="I254" s="23" t="s">
        <v>148</v>
      </c>
      <c r="J254" s="23" t="s">
        <v>1468</v>
      </c>
      <c r="K254" s="23" t="n">
        <v>62.99</v>
      </c>
      <c r="L254" s="23" t="s">
        <v>3329</v>
      </c>
      <c r="M254" s="23" t="s">
        <v>3330</v>
      </c>
      <c r="N254" s="23" t="s">
        <v>3331</v>
      </c>
      <c r="O254" s="23" t="s">
        <v>3332</v>
      </c>
      <c r="P254" s="23" t="s">
        <v>3333</v>
      </c>
      <c r="Q254" s="24" t="n">
        <f aca="false">IF(L254="","",IFERROR(INDEX('Semrush Data'!$A$1:$Z$20000,MATCH(L254,'Semrush Data'!$A$1:$A$20000,0),MATCH("Volume",'Semrush Data'!$A$1:$Z$1,0)),""))</f>
        <v>320</v>
      </c>
      <c r="R254" s="24" t="n">
        <f aca="false">IF(M254="","",IFERROR(INDEX('Semrush Data'!$A$1:$Z$20000,MATCH(M254,'Semrush Data'!$A$1:$A$20000,0),MATCH("Volume",'Semrush Data'!$A$1:$Z$1,0)),""))</f>
        <v>0</v>
      </c>
      <c r="S254" s="24" t="str">
        <f aca="false">IF(N254="","",IFERROR(INDEX('Semrush Data'!$A$1:$Z$20000,MATCH(N254,'Semrush Data'!$A$1:$A$20000,0),MATCH("Volume",'Semrush Data'!$A$1:$Z$1,0)),""))</f>
        <v/>
      </c>
      <c r="T254" s="24" t="str">
        <f aca="false">IF(O254="","",IFERROR(INDEX('Semrush Data'!$A$1:$Z$20000,MATCH(O254,'Semrush Data'!$A$1:$A$20000,0),MATCH("Volume",'Semrush Data'!$A$1:$Z$1,0)),""))</f>
        <v/>
      </c>
      <c r="U254" s="24" t="n">
        <f aca="false">IF(P254="","",IFERROR(INDEX('Semrush Data'!$A$1:$Z$20000,MATCH(P254,'Semrush Data'!$A$1:$A$20000,0),MATCH("Volume",'Semrush Data'!$A$1:$Z$1,0)),""))</f>
        <v>10</v>
      </c>
      <c r="V254" s="25" t="str">
        <f aca="false">IF(COUNT(Q254:U254)=0,L254,IF(MAX(Q254:U254)=0,L254,INDEX(L254:P254,MATCH(MAX(Q254:U254),Q254:U254,0))))</f>
        <v>carolina herrera very good girl glam</v>
      </c>
      <c r="W254" s="24" t="n">
        <f aca="false">IFERROR(INDEX('Semrush Data'!$A$1:$Z$20000,MATCH(V254,'Semrush Data'!$A$1:$A$20000,0),MATCH("Volume",'Semrush Data'!$A$1:$Z$1,0)),"")</f>
        <v>320</v>
      </c>
      <c r="X254" s="24" t="n">
        <f aca="false">IFERROR(INDEX('Semrush Data'!$A$1:$Z$20000,MATCH(V254,'Semrush Data'!$A$1:$A$20000,0),MATCH("Keyword Difficulty*",'Semrush Data'!$A$1:$Z$1,0)),"")</f>
        <v>20</v>
      </c>
      <c r="Y254" s="26" t="n">
        <f aca="false">IFERROR(INDEX('Semrush Data'!$A$1:$Z$20000,MATCH(V254,'Semrush Data'!$A$1:$A$20000,0),MATCH("CPC*",'Semrush Data'!$A$1:$Z$1,0)),"")</f>
        <v>0</v>
      </c>
      <c r="Z254" s="23" t="s">
        <v>3276</v>
      </c>
      <c r="AA254" s="23" t="s">
        <v>3334</v>
      </c>
      <c r="AB254" s="23" t="s">
        <v>3335</v>
      </c>
      <c r="AC254" s="23" t="s">
        <v>3336</v>
      </c>
      <c r="AD254" s="27" t="n">
        <f aca="false">LEN(AC254)</f>
        <v>57</v>
      </c>
      <c r="AE254" s="23" t="s">
        <v>3337</v>
      </c>
      <c r="AF254" s="27" t="n">
        <f aca="false">LEN(AE254)</f>
        <v>157</v>
      </c>
    </row>
    <row r="255" customFormat="false" ht="15" hidden="false" customHeight="true" outlineLevel="0" collapsed="false">
      <c r="A255" s="23" t="s">
        <v>71</v>
      </c>
      <c r="B255" s="23" t="s">
        <v>2449</v>
      </c>
      <c r="C255" s="23" t="n">
        <v>95</v>
      </c>
      <c r="D255" s="23" t="s">
        <v>3338</v>
      </c>
      <c r="E255" s="23" t="s">
        <v>3339</v>
      </c>
      <c r="F255" s="23" t="s">
        <v>2452</v>
      </c>
      <c r="G255" s="23" t="s">
        <v>2453</v>
      </c>
      <c r="H255" s="23" t="s">
        <v>2454</v>
      </c>
      <c r="I255" s="23" t="s">
        <v>72</v>
      </c>
      <c r="J255" s="23" t="s">
        <v>1468</v>
      </c>
      <c r="K255" s="23" t="n">
        <v>51.99</v>
      </c>
      <c r="L255" s="23" t="s">
        <v>3340</v>
      </c>
      <c r="M255" s="23" t="s">
        <v>3341</v>
      </c>
      <c r="N255" s="23" t="s">
        <v>3342</v>
      </c>
      <c r="O255" s="23" t="s">
        <v>3343</v>
      </c>
      <c r="P255" s="23" t="s">
        <v>3344</v>
      </c>
      <c r="Q255" s="24" t="n">
        <f aca="false">IF(L255="","",IFERROR(INDEX('Semrush Data'!$A$1:$Z$20000,MATCH(L255,'Semrush Data'!$A$1:$A$20000,0),MATCH("Volume",'Semrush Data'!$A$1:$Z$1,0)),""))</f>
        <v>2900</v>
      </c>
      <c r="R255" s="24" t="n">
        <f aca="false">IF(M255="","",IFERROR(INDEX('Semrush Data'!$A$1:$Z$20000,MATCH(M255,'Semrush Data'!$A$1:$A$20000,0),MATCH("Volume",'Semrush Data'!$A$1:$Z$1,0)),""))</f>
        <v>20</v>
      </c>
      <c r="S255" s="24" t="n">
        <f aca="false">IF(N255="","",IFERROR(INDEX('Semrush Data'!$A$1:$Z$20000,MATCH(N255,'Semrush Data'!$A$1:$A$20000,0),MATCH("Volume",'Semrush Data'!$A$1:$Z$1,0)),""))</f>
        <v>0</v>
      </c>
      <c r="T255" s="24" t="n">
        <f aca="false">IF(O255="","",IFERROR(INDEX('Semrush Data'!$A$1:$Z$20000,MATCH(O255,'Semrush Data'!$A$1:$A$20000,0),MATCH("Volume",'Semrush Data'!$A$1:$Z$1,0)),""))</f>
        <v>20</v>
      </c>
      <c r="U255" s="24" t="n">
        <f aca="false">IF(P255="","",IFERROR(INDEX('Semrush Data'!$A$1:$Z$20000,MATCH(P255,'Semrush Data'!$A$1:$A$20000,0),MATCH("Volume",'Semrush Data'!$A$1:$Z$1,0)),""))</f>
        <v>170</v>
      </c>
      <c r="V255" s="25" t="str">
        <f aca="false">IF(COUNT(Q255:U255)=0,L255,IF(MAX(Q255:U255)=0,L255,INDEX(L255:P255,MATCH(MAX(Q255:U255),Q255:U255,0))))</f>
        <v>chloe nomade</v>
      </c>
      <c r="W255" s="24" t="n">
        <f aca="false">IFERROR(INDEX('Semrush Data'!$A$1:$Z$20000,MATCH(V255,'Semrush Data'!$A$1:$A$20000,0),MATCH("Volume",'Semrush Data'!$A$1:$Z$1,0)),"")</f>
        <v>2900</v>
      </c>
      <c r="X255" s="24" t="n">
        <f aca="false">IFERROR(INDEX('Semrush Data'!$A$1:$Z$20000,MATCH(V255,'Semrush Data'!$A$1:$A$20000,0),MATCH("Keyword Difficulty*",'Semrush Data'!$A$1:$Z$1,0)),"")</f>
        <v>22</v>
      </c>
      <c r="Y255" s="26" t="n">
        <f aca="false">IFERROR(INDEX('Semrush Data'!$A$1:$Z$20000,MATCH(V255,'Semrush Data'!$A$1:$A$20000,0),MATCH("CPC*",'Semrush Data'!$A$1:$Z$1,0)),"")</f>
        <v>0.47</v>
      </c>
      <c r="Z255" s="23" t="s">
        <v>3345</v>
      </c>
      <c r="AA255" s="23" t="s">
        <v>3346</v>
      </c>
      <c r="AB255" s="23" t="s">
        <v>3347</v>
      </c>
      <c r="AC255" s="23" t="s">
        <v>3348</v>
      </c>
      <c r="AD255" s="27" t="n">
        <f aca="false">LEN(AC255)</f>
        <v>53</v>
      </c>
      <c r="AE255" s="23" t="s">
        <v>3349</v>
      </c>
      <c r="AF255" s="27" t="n">
        <f aca="false">LEN(AE255)</f>
        <v>147</v>
      </c>
    </row>
    <row r="256" customFormat="false" ht="15" hidden="false" customHeight="true" outlineLevel="0" collapsed="false">
      <c r="A256" s="23" t="s">
        <v>3350</v>
      </c>
      <c r="B256" s="23" t="s">
        <v>2449</v>
      </c>
      <c r="C256" s="23" t="n">
        <v>96</v>
      </c>
      <c r="D256" s="23" t="s">
        <v>3338</v>
      </c>
      <c r="E256" s="23" t="s">
        <v>3339</v>
      </c>
      <c r="F256" s="23" t="s">
        <v>2452</v>
      </c>
      <c r="G256" s="23" t="s">
        <v>2453</v>
      </c>
      <c r="H256" s="23" t="s">
        <v>2454</v>
      </c>
      <c r="I256" s="23" t="s">
        <v>3351</v>
      </c>
      <c r="J256" s="23" t="s">
        <v>1468</v>
      </c>
      <c r="K256" s="23" t="n">
        <v>43.99</v>
      </c>
      <c r="L256" s="23" t="s">
        <v>3352</v>
      </c>
      <c r="M256" s="23" t="s">
        <v>3353</v>
      </c>
      <c r="N256" s="23" t="s">
        <v>3354</v>
      </c>
      <c r="O256" s="23" t="s">
        <v>3355</v>
      </c>
      <c r="P256" s="23" t="s">
        <v>3356</v>
      </c>
      <c r="Q256" s="24" t="n">
        <f aca="false">IF(L256="","",IFERROR(INDEX('Semrush Data'!$A$1:$Z$20000,MATCH(L256,'Semrush Data'!$A$1:$A$20000,0),MATCH("Volume",'Semrush Data'!$A$1:$Z$1,0)),""))</f>
        <v>50</v>
      </c>
      <c r="R256" s="24" t="n">
        <f aca="false">IF(M256="","",IFERROR(INDEX('Semrush Data'!$A$1:$Z$20000,MATCH(M256,'Semrush Data'!$A$1:$A$20000,0),MATCH("Volume",'Semrush Data'!$A$1:$Z$1,0)),""))</f>
        <v>0</v>
      </c>
      <c r="S256" s="24" t="str">
        <f aca="false">IF(N256="","",IFERROR(INDEX('Semrush Data'!$A$1:$Z$20000,MATCH(N256,'Semrush Data'!$A$1:$A$20000,0),MATCH("Volume",'Semrush Data'!$A$1:$Z$1,0)),""))</f>
        <v/>
      </c>
      <c r="T256" s="24" t="str">
        <f aca="false">IF(O256="","",IFERROR(INDEX('Semrush Data'!$A$1:$Z$20000,MATCH(O256,'Semrush Data'!$A$1:$A$20000,0),MATCH("Volume",'Semrush Data'!$A$1:$Z$1,0)),""))</f>
        <v/>
      </c>
      <c r="U256" s="24" t="n">
        <f aca="false">IF(P256="","",IFERROR(INDEX('Semrush Data'!$A$1:$Z$20000,MATCH(P256,'Semrush Data'!$A$1:$A$20000,0),MATCH("Volume",'Semrush Data'!$A$1:$Z$1,0)),""))</f>
        <v>0</v>
      </c>
      <c r="V256" s="25" t="str">
        <f aca="false">IF(COUNT(Q256:U256)=0,L256,IF(MAX(Q256:U256)=0,L256,INDEX(L256:P256,MATCH(MAX(Q256:U256),Q256:U256,0))))</f>
        <v>chloe nomade jasmin naturel intense</v>
      </c>
      <c r="W256" s="24" t="n">
        <f aca="false">IFERROR(INDEX('Semrush Data'!$A$1:$Z$20000,MATCH(V256,'Semrush Data'!$A$1:$A$20000,0),MATCH("Volume",'Semrush Data'!$A$1:$Z$1,0)),"")</f>
        <v>50</v>
      </c>
      <c r="X256" s="24" t="n">
        <f aca="false">IFERROR(INDEX('Semrush Data'!$A$1:$Z$20000,MATCH(V256,'Semrush Data'!$A$1:$A$20000,0),MATCH("Keyword Difficulty*",'Semrush Data'!$A$1:$Z$1,0)),"")</f>
        <v>14</v>
      </c>
      <c r="Y256" s="26" t="n">
        <f aca="false">IFERROR(INDEX('Semrush Data'!$A$1:$Z$20000,MATCH(V256,'Semrush Data'!$A$1:$A$20000,0),MATCH("CPC*",'Semrush Data'!$A$1:$Z$1,0)),"")</f>
        <v>0.4</v>
      </c>
      <c r="Z256" s="23" t="s">
        <v>3345</v>
      </c>
      <c r="AA256" s="23" t="s">
        <v>3357</v>
      </c>
      <c r="AB256" s="23" t="s">
        <v>3358</v>
      </c>
      <c r="AC256" s="23" t="s">
        <v>3359</v>
      </c>
      <c r="AD256" s="27" t="n">
        <f aca="false">LEN(AC256)</f>
        <v>58</v>
      </c>
      <c r="AE256" s="23" t="s">
        <v>3360</v>
      </c>
      <c r="AF256" s="27" t="n">
        <f aca="false">LEN(AE256)</f>
        <v>158</v>
      </c>
    </row>
    <row r="257" customFormat="false" ht="15" hidden="false" customHeight="true" outlineLevel="0" collapsed="false">
      <c r="A257" s="23" t="s">
        <v>3361</v>
      </c>
      <c r="B257" s="23" t="s">
        <v>2449</v>
      </c>
      <c r="C257" s="23" t="n">
        <v>97</v>
      </c>
      <c r="D257" s="23" t="s">
        <v>3338</v>
      </c>
      <c r="E257" s="23" t="s">
        <v>3339</v>
      </c>
      <c r="F257" s="23" t="s">
        <v>2452</v>
      </c>
      <c r="G257" s="23" t="s">
        <v>2453</v>
      </c>
      <c r="H257" s="23" t="s">
        <v>2454</v>
      </c>
      <c r="I257" s="23" t="s">
        <v>3362</v>
      </c>
      <c r="J257" s="23" t="s">
        <v>1468</v>
      </c>
      <c r="K257" s="23" t="n">
        <v>55.99</v>
      </c>
      <c r="L257" s="23" t="s">
        <v>3363</v>
      </c>
      <c r="M257" s="23" t="s">
        <v>3364</v>
      </c>
      <c r="N257" s="23" t="s">
        <v>3365</v>
      </c>
      <c r="O257" s="23" t="s">
        <v>3366</v>
      </c>
      <c r="P257" s="23" t="s">
        <v>3367</v>
      </c>
      <c r="Q257" s="24" t="n">
        <f aca="false">IF(L257="","",IFERROR(INDEX('Semrush Data'!$A$1:$Z$20000,MATCH(L257,'Semrush Data'!$A$1:$A$20000,0),MATCH("Volume",'Semrush Data'!$A$1:$Z$1,0)),""))</f>
        <v>320</v>
      </c>
      <c r="R257" s="24" t="n">
        <f aca="false">IF(M257="","",IFERROR(INDEX('Semrush Data'!$A$1:$Z$20000,MATCH(M257,'Semrush Data'!$A$1:$A$20000,0),MATCH("Volume",'Semrush Data'!$A$1:$Z$1,0)),""))</f>
        <v>0</v>
      </c>
      <c r="S257" s="24" t="str">
        <f aca="false">IF(N257="","",IFERROR(INDEX('Semrush Data'!$A$1:$Z$20000,MATCH(N257,'Semrush Data'!$A$1:$A$20000,0),MATCH("Volume",'Semrush Data'!$A$1:$Z$1,0)),""))</f>
        <v/>
      </c>
      <c r="T257" s="24" t="str">
        <f aca="false">IF(O257="","",IFERROR(INDEX('Semrush Data'!$A$1:$Z$20000,MATCH(O257,'Semrush Data'!$A$1:$A$20000,0),MATCH("Volume",'Semrush Data'!$A$1:$Z$1,0)),""))</f>
        <v/>
      </c>
      <c r="U257" s="24" t="n">
        <f aca="false">IF(P257="","",IFERROR(INDEX('Semrush Data'!$A$1:$Z$20000,MATCH(P257,'Semrush Data'!$A$1:$A$20000,0),MATCH("Volume",'Semrush Data'!$A$1:$Z$1,0)),""))</f>
        <v>10</v>
      </c>
      <c r="V257" s="25" t="str">
        <f aca="false">IF(COUNT(Q257:U257)=0,L257,IF(MAX(Q257:U257)=0,L257,INDEX(L257:P257,MATCH(MAX(Q257:U257),Q257:U257,0))))</f>
        <v>chloe nomade nuit d'egypte</v>
      </c>
      <c r="W257" s="24" t="n">
        <f aca="false">IFERROR(INDEX('Semrush Data'!$A$1:$Z$20000,MATCH(V257,'Semrush Data'!$A$1:$A$20000,0),MATCH("Volume",'Semrush Data'!$A$1:$Z$1,0)),"")</f>
        <v>320</v>
      </c>
      <c r="X257" s="24" t="n">
        <f aca="false">IFERROR(INDEX('Semrush Data'!$A$1:$Z$20000,MATCH(V257,'Semrush Data'!$A$1:$A$20000,0),MATCH("Keyword Difficulty*",'Semrush Data'!$A$1:$Z$1,0)),"")</f>
        <v>21</v>
      </c>
      <c r="Y257" s="26" t="n">
        <f aca="false">IFERROR(INDEX('Semrush Data'!$A$1:$Z$20000,MATCH(V257,'Semrush Data'!$A$1:$A$20000,0),MATCH("CPC*",'Semrush Data'!$A$1:$Z$1,0)),"")</f>
        <v>0.55</v>
      </c>
      <c r="Z257" s="23" t="s">
        <v>3345</v>
      </c>
      <c r="AA257" s="23" t="s">
        <v>3368</v>
      </c>
      <c r="AB257" s="23" t="s">
        <v>3369</v>
      </c>
      <c r="AC257" s="23" t="s">
        <v>3370</v>
      </c>
      <c r="AD257" s="27" t="n">
        <f aca="false">LEN(AC257)</f>
        <v>54</v>
      </c>
      <c r="AE257" s="23" t="s">
        <v>3371</v>
      </c>
      <c r="AF257" s="27" t="n">
        <f aca="false">LEN(AE257)</f>
        <v>155</v>
      </c>
    </row>
    <row r="258" customFormat="false" ht="15" hidden="false" customHeight="true" outlineLevel="0" collapsed="false">
      <c r="A258" s="23" t="s">
        <v>3372</v>
      </c>
      <c r="B258" s="23" t="s">
        <v>2449</v>
      </c>
      <c r="C258" s="23" t="n">
        <v>98</v>
      </c>
      <c r="D258" s="23" t="s">
        <v>3338</v>
      </c>
      <c r="E258" s="23" t="s">
        <v>3339</v>
      </c>
      <c r="F258" s="23" t="s">
        <v>2452</v>
      </c>
      <c r="G258" s="23" t="s">
        <v>2453</v>
      </c>
      <c r="H258" s="23" t="s">
        <v>2454</v>
      </c>
      <c r="I258" s="23" t="s">
        <v>3373</v>
      </c>
      <c r="J258" s="23" t="s">
        <v>1468</v>
      </c>
      <c r="K258" s="23" t="n">
        <v>43.99</v>
      </c>
      <c r="L258" s="23" t="s">
        <v>3374</v>
      </c>
      <c r="M258" s="23" t="s">
        <v>3375</v>
      </c>
      <c r="N258" s="23" t="s">
        <v>3376</v>
      </c>
      <c r="O258" s="23" t="s">
        <v>3377</v>
      </c>
      <c r="P258" s="23" t="s">
        <v>3378</v>
      </c>
      <c r="Q258" s="24" t="n">
        <f aca="false">IF(L258="","",IFERROR(INDEX('Semrush Data'!$A$1:$Z$20000,MATCH(L258,'Semrush Data'!$A$1:$A$20000,0),MATCH("Volume",'Semrush Data'!$A$1:$Z$1,0)),""))</f>
        <v>70</v>
      </c>
      <c r="R258" s="24" t="n">
        <f aca="false">IF(M258="","",IFERROR(INDEX('Semrush Data'!$A$1:$Z$20000,MATCH(M258,'Semrush Data'!$A$1:$A$20000,0),MATCH("Volume",'Semrush Data'!$A$1:$Z$1,0)),""))</f>
        <v>0</v>
      </c>
      <c r="S258" s="24" t="str">
        <f aca="false">IF(N258="","",IFERROR(INDEX('Semrush Data'!$A$1:$Z$20000,MATCH(N258,'Semrush Data'!$A$1:$A$20000,0),MATCH("Volume",'Semrush Data'!$A$1:$Z$1,0)),""))</f>
        <v/>
      </c>
      <c r="T258" s="24" t="str">
        <f aca="false">IF(O258="","",IFERROR(INDEX('Semrush Data'!$A$1:$Z$20000,MATCH(O258,'Semrush Data'!$A$1:$A$20000,0),MATCH("Volume",'Semrush Data'!$A$1:$Z$1,0)),""))</f>
        <v/>
      </c>
      <c r="U258" s="24" t="n">
        <f aca="false">IF(P258="","",IFERROR(INDEX('Semrush Data'!$A$1:$Z$20000,MATCH(P258,'Semrush Data'!$A$1:$A$20000,0),MATCH("Volume",'Semrush Data'!$A$1:$Z$1,0)),""))</f>
        <v>10</v>
      </c>
      <c r="V258" s="25" t="str">
        <f aca="false">IF(COUNT(Q258:U258)=0,L258,IF(MAX(Q258:U258)=0,L258,INDEX(L258:P258,MATCH(MAX(Q258:U258),Q258:U258,0))))</f>
        <v>chloe rose naturelle intense</v>
      </c>
      <c r="W258" s="24" t="n">
        <f aca="false">IFERROR(INDEX('Semrush Data'!$A$1:$Z$20000,MATCH(V258,'Semrush Data'!$A$1:$A$20000,0),MATCH("Volume",'Semrush Data'!$A$1:$Z$1,0)),"")</f>
        <v>70</v>
      </c>
      <c r="X258" s="24" t="n">
        <f aca="false">IFERROR(INDEX('Semrush Data'!$A$1:$Z$20000,MATCH(V258,'Semrush Data'!$A$1:$A$20000,0),MATCH("Keyword Difficulty*",'Semrush Data'!$A$1:$Z$1,0)),"")</f>
        <v>19</v>
      </c>
      <c r="Y258" s="26" t="n">
        <f aca="false">IFERROR(INDEX('Semrush Data'!$A$1:$Z$20000,MATCH(V258,'Semrush Data'!$A$1:$A$20000,0),MATCH("CPC*",'Semrush Data'!$A$1:$Z$1,0)),"")</f>
        <v>0.34</v>
      </c>
      <c r="Z258" s="23" t="s">
        <v>3345</v>
      </c>
      <c r="AA258" s="23" t="s">
        <v>3379</v>
      </c>
      <c r="AB258" s="23" t="s">
        <v>3380</v>
      </c>
      <c r="AC258" s="23" t="s">
        <v>3381</v>
      </c>
      <c r="AD258" s="27" t="n">
        <f aca="false">LEN(AC258)</f>
        <v>56</v>
      </c>
      <c r="AE258" s="23" t="s">
        <v>3382</v>
      </c>
      <c r="AF258" s="27" t="n">
        <f aca="false">LEN(AE258)</f>
        <v>157</v>
      </c>
    </row>
    <row r="259" customFormat="false" ht="15" hidden="false" customHeight="true" outlineLevel="0" collapsed="false">
      <c r="A259" s="23" t="s">
        <v>3383</v>
      </c>
      <c r="B259" s="23" t="s">
        <v>2449</v>
      </c>
      <c r="C259" s="23" t="n">
        <v>99</v>
      </c>
      <c r="D259" s="23" t="s">
        <v>3338</v>
      </c>
      <c r="E259" s="23" t="s">
        <v>3339</v>
      </c>
      <c r="F259" s="23" t="s">
        <v>1735</v>
      </c>
      <c r="G259" s="23" t="s">
        <v>2453</v>
      </c>
      <c r="H259" s="23" t="s">
        <v>2454</v>
      </c>
      <c r="I259" s="23" t="s">
        <v>3384</v>
      </c>
      <c r="J259" s="23" t="s">
        <v>2494</v>
      </c>
      <c r="K259" s="23" t="n">
        <v>66.99</v>
      </c>
      <c r="L259" s="23" t="s">
        <v>3385</v>
      </c>
      <c r="M259" s="23" t="s">
        <v>3386</v>
      </c>
      <c r="N259" s="23" t="s">
        <v>3387</v>
      </c>
      <c r="O259" s="23" t="s">
        <v>3388</v>
      </c>
      <c r="P259" s="23"/>
      <c r="Q259" s="24" t="n">
        <f aca="false">IF(L259="","",IFERROR(INDEX('Semrush Data'!$A$1:$Z$20000,MATCH(L259,'Semrush Data'!$A$1:$A$20000,0),MATCH("Volume",'Semrush Data'!$A$1:$Z$1,0)),""))</f>
        <v>110</v>
      </c>
      <c r="R259" s="24" t="n">
        <f aca="false">IF(M259="","",IFERROR(INDEX('Semrush Data'!$A$1:$Z$20000,MATCH(M259,'Semrush Data'!$A$1:$A$20000,0),MATCH("Volume",'Semrush Data'!$A$1:$Z$1,0)),""))</f>
        <v>0</v>
      </c>
      <c r="S259" s="24" t="str">
        <f aca="false">IF(N259="","",IFERROR(INDEX('Semrush Data'!$A$1:$Z$20000,MATCH(N259,'Semrush Data'!$A$1:$A$20000,0),MATCH("Volume",'Semrush Data'!$A$1:$Z$1,0)),""))</f>
        <v/>
      </c>
      <c r="T259" s="24" t="str">
        <f aca="false">IF(O259="","",IFERROR(INDEX('Semrush Data'!$A$1:$Z$20000,MATCH(O259,'Semrush Data'!$A$1:$A$20000,0),MATCH("Volume",'Semrush Data'!$A$1:$Z$1,0)),""))</f>
        <v/>
      </c>
      <c r="U259" s="24" t="str">
        <f aca="false">IF(P259="","",IFERROR(INDEX('Semrush Data'!$A$1:$Z$20000,MATCH(P259,'Semrush Data'!$A$1:$A$20000,0),MATCH("Volume",'Semrush Data'!$A$1:$Z$1,0)),""))</f>
        <v/>
      </c>
      <c r="V259" s="25" t="str">
        <f aca="false">IF(COUNT(Q259:U259)=0,L259,IF(MAX(Q259:U259)=0,L259,INDEX(L259:P259,MATCH(MAX(Q259:U259),Q259:U259,0))))</f>
        <v>chloe nomade gift set</v>
      </c>
      <c r="W259" s="24" t="n">
        <f aca="false">IFERROR(INDEX('Semrush Data'!$A$1:$Z$20000,MATCH(V259,'Semrush Data'!$A$1:$A$20000,0),MATCH("Volume",'Semrush Data'!$A$1:$Z$1,0)),"")</f>
        <v>110</v>
      </c>
      <c r="X259" s="24" t="n">
        <f aca="false">IFERROR(INDEX('Semrush Data'!$A$1:$Z$20000,MATCH(V259,'Semrush Data'!$A$1:$A$20000,0),MATCH("Keyword Difficulty*",'Semrush Data'!$A$1:$Z$1,0)),"")</f>
        <v>13</v>
      </c>
      <c r="Y259" s="26" t="n">
        <f aca="false">IFERROR(INDEX('Semrush Data'!$A$1:$Z$20000,MATCH(V259,'Semrush Data'!$A$1:$A$20000,0),MATCH("CPC*",'Semrush Data'!$A$1:$Z$1,0)),"")</f>
        <v>0.5</v>
      </c>
      <c r="Z259" s="23" t="s">
        <v>3345</v>
      </c>
      <c r="AA259" s="23" t="s">
        <v>3389</v>
      </c>
      <c r="AB259" s="23" t="s">
        <v>3390</v>
      </c>
      <c r="AC259" s="23" t="s">
        <v>3391</v>
      </c>
      <c r="AD259" s="27" t="n">
        <f aca="false">LEN(AC259)</f>
        <v>57</v>
      </c>
      <c r="AE259" s="23" t="s">
        <v>3392</v>
      </c>
      <c r="AF259" s="27" t="n">
        <f aca="false">LEN(AE259)</f>
        <v>156</v>
      </c>
    </row>
    <row r="260" customFormat="false" ht="15" hidden="false" customHeight="true" outlineLevel="0" collapsed="false">
      <c r="A260" s="23" t="s">
        <v>3393</v>
      </c>
      <c r="B260" s="23" t="s">
        <v>2449</v>
      </c>
      <c r="C260" s="23" t="n">
        <v>100</v>
      </c>
      <c r="D260" s="23" t="s">
        <v>3338</v>
      </c>
      <c r="E260" s="23" t="s">
        <v>3339</v>
      </c>
      <c r="F260" s="23" t="s">
        <v>1735</v>
      </c>
      <c r="G260" s="23" t="s">
        <v>2453</v>
      </c>
      <c r="H260" s="23" t="s">
        <v>2516</v>
      </c>
      <c r="I260" s="23" t="s">
        <v>3394</v>
      </c>
      <c r="J260" s="23" t="s">
        <v>1979</v>
      </c>
      <c r="K260" s="23" t="n">
        <v>48.99</v>
      </c>
      <c r="L260" s="23" t="s">
        <v>3395</v>
      </c>
      <c r="M260" s="23" t="s">
        <v>3396</v>
      </c>
      <c r="N260" s="23" t="s">
        <v>3397</v>
      </c>
      <c r="O260" s="23" t="s">
        <v>3398</v>
      </c>
      <c r="P260" s="23"/>
      <c r="Q260" s="24" t="n">
        <f aca="false">IF(L260="","",IFERROR(INDEX('Semrush Data'!$A$1:$Z$20000,MATCH(L260,'Semrush Data'!$A$1:$A$20000,0),MATCH("Volume",'Semrush Data'!$A$1:$Z$1,0)),""))</f>
        <v>0</v>
      </c>
      <c r="R260" s="24" t="n">
        <f aca="false">IF(M260="","",IFERROR(INDEX('Semrush Data'!$A$1:$Z$20000,MATCH(M260,'Semrush Data'!$A$1:$A$20000,0),MATCH("Volume",'Semrush Data'!$A$1:$Z$1,0)),""))</f>
        <v>0</v>
      </c>
      <c r="S260" s="24" t="str">
        <f aca="false">IF(N260="","",IFERROR(INDEX('Semrush Data'!$A$1:$Z$20000,MATCH(N260,'Semrush Data'!$A$1:$A$20000,0),MATCH("Volume",'Semrush Data'!$A$1:$Z$1,0)),""))</f>
        <v/>
      </c>
      <c r="T260" s="24" t="str">
        <f aca="false">IF(O260="","",IFERROR(INDEX('Semrush Data'!$A$1:$Z$20000,MATCH(O260,'Semrush Data'!$A$1:$A$20000,0),MATCH("Volume",'Semrush Data'!$A$1:$Z$1,0)),""))</f>
        <v/>
      </c>
      <c r="U260" s="24" t="str">
        <f aca="false">IF(P260="","",IFERROR(INDEX('Semrush Data'!$A$1:$Z$20000,MATCH(P260,'Semrush Data'!$A$1:$A$20000,0),MATCH("Volume",'Semrush Data'!$A$1:$Z$1,0)),""))</f>
        <v/>
      </c>
      <c r="V260" s="25" t="str">
        <f aca="false">IF(COUNT(Q260:U260)=0,L260,IF(MAX(Q260:U260)=0,L260,INDEX(L260:P260,MATCH(MAX(Q260:U260),Q260:U260,0))))</f>
        <v>chloe miniature gift set</v>
      </c>
      <c r="W260" s="24" t="n">
        <f aca="false">IFERROR(INDEX('Semrush Data'!$A$1:$Z$20000,MATCH(V260,'Semrush Data'!$A$1:$A$20000,0),MATCH("Volume",'Semrush Data'!$A$1:$Z$1,0)),"")</f>
        <v>0</v>
      </c>
      <c r="X260" s="24" t="n">
        <f aca="false">IFERROR(INDEX('Semrush Data'!$A$1:$Z$20000,MATCH(V260,'Semrush Data'!$A$1:$A$20000,0),MATCH("Keyword Difficulty*",'Semrush Data'!$A$1:$Z$1,0)),"")</f>
        <v>18</v>
      </c>
      <c r="Y260" s="26" t="n">
        <f aca="false">IFERROR(INDEX('Semrush Data'!$A$1:$Z$20000,MATCH(V260,'Semrush Data'!$A$1:$A$20000,0),MATCH("CPC*",'Semrush Data'!$A$1:$Z$1,0)),"")</f>
        <v>0</v>
      </c>
      <c r="Z260" s="23" t="s">
        <v>3399</v>
      </c>
      <c r="AA260" s="23" t="s">
        <v>3400</v>
      </c>
      <c r="AB260" s="23" t="s">
        <v>3401</v>
      </c>
      <c r="AC260" s="23" t="s">
        <v>3402</v>
      </c>
      <c r="AD260" s="27" t="n">
        <f aca="false">LEN(AC260)</f>
        <v>60</v>
      </c>
      <c r="AE260" s="23" t="s">
        <v>3403</v>
      </c>
      <c r="AF260" s="27" t="n">
        <f aca="false">LEN(AE260)</f>
        <v>160</v>
      </c>
    </row>
    <row r="261" customFormat="false" ht="15" hidden="false" customHeight="true" outlineLevel="0" collapsed="false">
      <c r="A261" s="23" t="s">
        <v>3404</v>
      </c>
      <c r="B261" s="23" t="s">
        <v>2449</v>
      </c>
      <c r="C261" s="23" t="n">
        <v>101</v>
      </c>
      <c r="D261" s="23" t="s">
        <v>3338</v>
      </c>
      <c r="E261" s="23" t="s">
        <v>3339</v>
      </c>
      <c r="F261" s="23" t="s">
        <v>1735</v>
      </c>
      <c r="G261" s="23" t="s">
        <v>2453</v>
      </c>
      <c r="H261" s="23" t="s">
        <v>2454</v>
      </c>
      <c r="I261" s="23" t="s">
        <v>3405</v>
      </c>
      <c r="J261" s="23" t="s">
        <v>3064</v>
      </c>
      <c r="K261" s="23" t="n">
        <v>45.99</v>
      </c>
      <c r="L261" s="23" t="s">
        <v>3406</v>
      </c>
      <c r="M261" s="23" t="s">
        <v>3407</v>
      </c>
      <c r="N261" s="23" t="s">
        <v>3408</v>
      </c>
      <c r="O261" s="23" t="s">
        <v>3409</v>
      </c>
      <c r="P261" s="23"/>
      <c r="Q261" s="24" t="n">
        <f aca="false">IF(L261="","",IFERROR(INDEX('Semrush Data'!$A$1:$Z$20000,MATCH(L261,'Semrush Data'!$A$1:$A$20000,0),MATCH("Volume",'Semrush Data'!$A$1:$Z$1,0)),""))</f>
        <v>30</v>
      </c>
      <c r="R261" s="24" t="n">
        <f aca="false">IF(M261="","",IFERROR(INDEX('Semrush Data'!$A$1:$Z$20000,MATCH(M261,'Semrush Data'!$A$1:$A$20000,0),MATCH("Volume",'Semrush Data'!$A$1:$Z$1,0)),""))</f>
        <v>0</v>
      </c>
      <c r="S261" s="24" t="str">
        <f aca="false">IF(N261="","",IFERROR(INDEX('Semrush Data'!$A$1:$Z$20000,MATCH(N261,'Semrush Data'!$A$1:$A$20000,0),MATCH("Volume",'Semrush Data'!$A$1:$Z$1,0)),""))</f>
        <v/>
      </c>
      <c r="T261" s="24" t="str">
        <f aca="false">IF(O261="","",IFERROR(INDEX('Semrush Data'!$A$1:$Z$20000,MATCH(O261,'Semrush Data'!$A$1:$A$20000,0),MATCH("Volume",'Semrush Data'!$A$1:$Z$1,0)),""))</f>
        <v/>
      </c>
      <c r="U261" s="24" t="str">
        <f aca="false">IF(P261="","",IFERROR(INDEX('Semrush Data'!$A$1:$Z$20000,MATCH(P261,'Semrush Data'!$A$1:$A$20000,0),MATCH("Volume",'Semrush Data'!$A$1:$Z$1,0)),""))</f>
        <v/>
      </c>
      <c r="V261" s="25" t="str">
        <f aca="false">IF(COUNT(Q261:U261)=0,L261,IF(MAX(Q261:U261)=0,L261,INDEX(L261:P261,MATCH(MAX(Q261:U261),Q261:U261,0))))</f>
        <v>chloe miniature set</v>
      </c>
      <c r="W261" s="24" t="n">
        <f aca="false">IFERROR(INDEX('Semrush Data'!$A$1:$Z$20000,MATCH(V261,'Semrush Data'!$A$1:$A$20000,0),MATCH("Volume",'Semrush Data'!$A$1:$Z$1,0)),"")</f>
        <v>30</v>
      </c>
      <c r="X261" s="24" t="n">
        <f aca="false">IFERROR(INDEX('Semrush Data'!$A$1:$Z$20000,MATCH(V261,'Semrush Data'!$A$1:$A$20000,0),MATCH("Keyword Difficulty*",'Semrush Data'!$A$1:$Z$1,0)),"")</f>
        <v>12</v>
      </c>
      <c r="Y261" s="26" t="n">
        <f aca="false">IFERROR(INDEX('Semrush Data'!$A$1:$Z$20000,MATCH(V261,'Semrush Data'!$A$1:$A$20000,0),MATCH("CPC*",'Semrush Data'!$A$1:$Z$1,0)),"")</f>
        <v>0</v>
      </c>
      <c r="Z261" s="23" t="s">
        <v>3345</v>
      </c>
      <c r="AA261" s="23" t="s">
        <v>3410</v>
      </c>
      <c r="AB261" s="23" t="s">
        <v>3411</v>
      </c>
      <c r="AC261" s="23" t="s">
        <v>3412</v>
      </c>
      <c r="AD261" s="27" t="n">
        <f aca="false">LEN(AC261)</f>
        <v>55</v>
      </c>
      <c r="AE261" s="23" t="s">
        <v>3413</v>
      </c>
      <c r="AF261" s="27" t="n">
        <f aca="false">LEN(AE261)</f>
        <v>157</v>
      </c>
    </row>
    <row r="262" customFormat="false" ht="15" hidden="false" customHeight="true" outlineLevel="0" collapsed="false">
      <c r="A262" s="23" t="s">
        <v>3414</v>
      </c>
      <c r="B262" s="23" t="s">
        <v>2449</v>
      </c>
      <c r="C262" s="23" t="n">
        <v>102</v>
      </c>
      <c r="D262" s="23" t="s">
        <v>3415</v>
      </c>
      <c r="E262" s="23"/>
      <c r="F262" s="23" t="s">
        <v>2452</v>
      </c>
      <c r="G262" s="23" t="s">
        <v>2453</v>
      </c>
      <c r="H262" s="23" t="s">
        <v>2538</v>
      </c>
      <c r="I262" s="23" t="s">
        <v>3416</v>
      </c>
      <c r="J262" s="23" t="s">
        <v>2868</v>
      </c>
      <c r="K262" s="23" t="n">
        <v>49.99</v>
      </c>
      <c r="L262" s="23" t="s">
        <v>3417</v>
      </c>
      <c r="M262" s="23" t="s">
        <v>3418</v>
      </c>
      <c r="N262" s="23" t="s">
        <v>3419</v>
      </c>
      <c r="O262" s="23" t="s">
        <v>3420</v>
      </c>
      <c r="P262" s="23" t="s">
        <v>3421</v>
      </c>
      <c r="Q262" s="24" t="n">
        <f aca="false">IF(L262="","",IFERROR(INDEX('Semrush Data'!$A$1:$Z$20000,MATCH(L262,'Semrush Data'!$A$1:$A$20000,0),MATCH("Volume",'Semrush Data'!$A$1:$Z$1,0)),""))</f>
        <v>50</v>
      </c>
      <c r="R262" s="24" t="n">
        <f aca="false">IF(M262="","",IFERROR(INDEX('Semrush Data'!$A$1:$Z$20000,MATCH(M262,'Semrush Data'!$A$1:$A$20000,0),MATCH("Volume",'Semrush Data'!$A$1:$Z$1,0)),""))</f>
        <v>0</v>
      </c>
      <c r="S262" s="24" t="str">
        <f aca="false">IF(N262="","",IFERROR(INDEX('Semrush Data'!$A$1:$Z$20000,MATCH(N262,'Semrush Data'!$A$1:$A$20000,0),MATCH("Volume",'Semrush Data'!$A$1:$Z$1,0)),""))</f>
        <v/>
      </c>
      <c r="T262" s="24" t="str">
        <f aca="false">IF(O262="","",IFERROR(INDEX('Semrush Data'!$A$1:$Z$20000,MATCH(O262,'Semrush Data'!$A$1:$A$20000,0),MATCH("Volume",'Semrush Data'!$A$1:$Z$1,0)),""))</f>
        <v/>
      </c>
      <c r="U262" s="24" t="n">
        <f aca="false">IF(P262="","",IFERROR(INDEX('Semrush Data'!$A$1:$Z$20000,MATCH(P262,'Semrush Data'!$A$1:$A$20000,0),MATCH("Volume",'Semrush Data'!$A$1:$Z$1,0)),""))</f>
        <v>20</v>
      </c>
      <c r="V262" s="25" t="str">
        <f aca="false">IF(COUNT(Q262:U262)=0,L262,IF(MAX(Q262:U262)=0,L262,INDEX(L262:P262,MATCH(MAX(Q262:U262),Q262:U262,0))))</f>
        <v>chopard amber malaki</v>
      </c>
      <c r="W262" s="24" t="n">
        <f aca="false">IFERROR(INDEX('Semrush Data'!$A$1:$Z$20000,MATCH(V262,'Semrush Data'!$A$1:$A$20000,0),MATCH("Volume",'Semrush Data'!$A$1:$Z$1,0)),"")</f>
        <v>50</v>
      </c>
      <c r="X262" s="24" t="n">
        <f aca="false">IFERROR(INDEX('Semrush Data'!$A$1:$Z$20000,MATCH(V262,'Semrush Data'!$A$1:$A$20000,0),MATCH("Keyword Difficulty*",'Semrush Data'!$A$1:$Z$1,0)),"")</f>
        <v>15</v>
      </c>
      <c r="Y262" s="26" t="n">
        <f aca="false">IFERROR(INDEX('Semrush Data'!$A$1:$Z$20000,MATCH(V262,'Semrush Data'!$A$1:$A$20000,0),MATCH("CPC*",'Semrush Data'!$A$1:$Z$1,0)),"")</f>
        <v>0</v>
      </c>
      <c r="Z262" s="23" t="s">
        <v>3422</v>
      </c>
      <c r="AA262" s="23" t="s">
        <v>3423</v>
      </c>
      <c r="AB262" s="23" t="s">
        <v>3424</v>
      </c>
      <c r="AC262" s="23" t="s">
        <v>3425</v>
      </c>
      <c r="AD262" s="27" t="n">
        <f aca="false">LEN(AC262)</f>
        <v>56</v>
      </c>
      <c r="AE262" s="23" t="s">
        <v>3426</v>
      </c>
      <c r="AF262" s="27" t="n">
        <f aca="false">LEN(AE262)</f>
        <v>154</v>
      </c>
    </row>
    <row r="263" customFormat="false" ht="15" hidden="false" customHeight="true" outlineLevel="0" collapsed="false">
      <c r="A263" s="23" t="s">
        <v>3427</v>
      </c>
      <c r="B263" s="23" t="s">
        <v>2449</v>
      </c>
      <c r="C263" s="23" t="n">
        <v>103</v>
      </c>
      <c r="D263" s="23" t="s">
        <v>3415</v>
      </c>
      <c r="E263" s="23"/>
      <c r="F263" s="23" t="s">
        <v>2452</v>
      </c>
      <c r="G263" s="23" t="s">
        <v>2453</v>
      </c>
      <c r="H263" s="23" t="s">
        <v>2538</v>
      </c>
      <c r="I263" s="23" t="s">
        <v>3428</v>
      </c>
      <c r="J263" s="23" t="s">
        <v>2868</v>
      </c>
      <c r="K263" s="23" t="n">
        <v>42.99</v>
      </c>
      <c r="L263" s="23" t="s">
        <v>3429</v>
      </c>
      <c r="M263" s="23" t="s">
        <v>3430</v>
      </c>
      <c r="N263" s="23" t="s">
        <v>3431</v>
      </c>
      <c r="O263" s="23" t="s">
        <v>3432</v>
      </c>
      <c r="P263" s="23" t="s">
        <v>3433</v>
      </c>
      <c r="Q263" s="24" t="n">
        <f aca="false">IF(L263="","",IFERROR(INDEX('Semrush Data'!$A$1:$Z$20000,MATCH(L263,'Semrush Data'!$A$1:$A$20000,0),MATCH("Volume",'Semrush Data'!$A$1:$Z$1,0)),""))</f>
        <v>110</v>
      </c>
      <c r="R263" s="24" t="n">
        <f aca="false">IF(M263="","",IFERROR(INDEX('Semrush Data'!$A$1:$Z$20000,MATCH(M263,'Semrush Data'!$A$1:$A$20000,0),MATCH("Volume",'Semrush Data'!$A$1:$Z$1,0)),""))</f>
        <v>0</v>
      </c>
      <c r="S263" s="24" t="str">
        <f aca="false">IF(N263="","",IFERROR(INDEX('Semrush Data'!$A$1:$Z$20000,MATCH(N263,'Semrush Data'!$A$1:$A$20000,0),MATCH("Volume",'Semrush Data'!$A$1:$Z$1,0)),""))</f>
        <v/>
      </c>
      <c r="T263" s="24" t="str">
        <f aca="false">IF(O263="","",IFERROR(INDEX('Semrush Data'!$A$1:$Z$20000,MATCH(O263,'Semrush Data'!$A$1:$A$20000,0),MATCH("Volume",'Semrush Data'!$A$1:$Z$1,0)),""))</f>
        <v/>
      </c>
      <c r="U263" s="24" t="n">
        <f aca="false">IF(P263="","",IFERROR(INDEX('Semrush Data'!$A$1:$Z$20000,MATCH(P263,'Semrush Data'!$A$1:$A$20000,0),MATCH("Volume",'Semrush Data'!$A$1:$Z$1,0)),""))</f>
        <v>20</v>
      </c>
      <c r="V263" s="25" t="str">
        <f aca="false">IF(COUNT(Q263:U263)=0,L263,IF(MAX(Q263:U263)=0,L263,INDEX(L263:P263,MATCH(MAX(Q263:U263),Q263:U263,0))))</f>
        <v>chopard black incense malaki</v>
      </c>
      <c r="W263" s="24" t="n">
        <f aca="false">IFERROR(INDEX('Semrush Data'!$A$1:$Z$20000,MATCH(V263,'Semrush Data'!$A$1:$A$20000,0),MATCH("Volume",'Semrush Data'!$A$1:$Z$1,0)),"")</f>
        <v>110</v>
      </c>
      <c r="X263" s="24" t="n">
        <f aca="false">IFERROR(INDEX('Semrush Data'!$A$1:$Z$20000,MATCH(V263,'Semrush Data'!$A$1:$A$20000,0),MATCH("Keyword Difficulty*",'Semrush Data'!$A$1:$Z$1,0)),"")</f>
        <v>20</v>
      </c>
      <c r="Y263" s="26" t="n">
        <f aca="false">IFERROR(INDEX('Semrush Data'!$A$1:$Z$20000,MATCH(V263,'Semrush Data'!$A$1:$A$20000,0),MATCH("CPC*",'Semrush Data'!$A$1:$Z$1,0)),"")</f>
        <v>0.6</v>
      </c>
      <c r="Z263" s="23" t="s">
        <v>3422</v>
      </c>
      <c r="AA263" s="23" t="s">
        <v>3434</v>
      </c>
      <c r="AB263" s="23" t="s">
        <v>3435</v>
      </c>
      <c r="AC263" s="23" t="s">
        <v>3436</v>
      </c>
      <c r="AD263" s="27" t="n">
        <f aca="false">LEN(AC263)</f>
        <v>56</v>
      </c>
      <c r="AE263" s="23" t="s">
        <v>3437</v>
      </c>
      <c r="AF263" s="27" t="n">
        <f aca="false">LEN(AE263)</f>
        <v>156</v>
      </c>
    </row>
    <row r="264" customFormat="false" ht="15" hidden="false" customHeight="true" outlineLevel="0" collapsed="false">
      <c r="A264" s="23" t="s">
        <v>3438</v>
      </c>
      <c r="B264" s="23" t="s">
        <v>2449</v>
      </c>
      <c r="C264" s="23" t="n">
        <v>104</v>
      </c>
      <c r="D264" s="23" t="s">
        <v>3415</v>
      </c>
      <c r="E264" s="23"/>
      <c r="F264" s="23" t="s">
        <v>2452</v>
      </c>
      <c r="G264" s="23" t="s">
        <v>2453</v>
      </c>
      <c r="H264" s="23" t="s">
        <v>2454</v>
      </c>
      <c r="I264" s="23" t="s">
        <v>3439</v>
      </c>
      <c r="J264" s="23" t="s">
        <v>1994</v>
      </c>
      <c r="K264" s="23" t="n">
        <v>42.99</v>
      </c>
      <c r="L264" s="23" t="s">
        <v>3440</v>
      </c>
      <c r="M264" s="23" t="s">
        <v>3441</v>
      </c>
      <c r="N264" s="23" t="s">
        <v>3442</v>
      </c>
      <c r="O264" s="23" t="s">
        <v>3443</v>
      </c>
      <c r="P264" s="23" t="s">
        <v>3444</v>
      </c>
      <c r="Q264" s="24" t="n">
        <f aca="false">IF(L264="","",IFERROR(INDEX('Semrush Data'!$A$1:$Z$20000,MATCH(L264,'Semrush Data'!$A$1:$A$20000,0),MATCH("Volume",'Semrush Data'!$A$1:$Z$1,0)),""))</f>
        <v>20</v>
      </c>
      <c r="R264" s="24" t="n">
        <f aca="false">IF(M264="","",IFERROR(INDEX('Semrush Data'!$A$1:$Z$20000,MATCH(M264,'Semrush Data'!$A$1:$A$20000,0),MATCH("Volume",'Semrush Data'!$A$1:$Z$1,0)),""))</f>
        <v>0</v>
      </c>
      <c r="S264" s="24" t="str">
        <f aca="false">IF(N264="","",IFERROR(INDEX('Semrush Data'!$A$1:$Z$20000,MATCH(N264,'Semrush Data'!$A$1:$A$20000,0),MATCH("Volume",'Semrush Data'!$A$1:$Z$1,0)),""))</f>
        <v/>
      </c>
      <c r="T264" s="24" t="str">
        <f aca="false">IF(O264="","",IFERROR(INDEX('Semrush Data'!$A$1:$Z$20000,MATCH(O264,'Semrush Data'!$A$1:$A$20000,0),MATCH("Volume",'Semrush Data'!$A$1:$Z$1,0)),""))</f>
        <v/>
      </c>
      <c r="U264" s="24" t="str">
        <f aca="false">IF(P264="","",IFERROR(INDEX('Semrush Data'!$A$1:$Z$20000,MATCH(P264,'Semrush Data'!$A$1:$A$20000,0),MATCH("Volume",'Semrush Data'!$A$1:$Z$1,0)),""))</f>
        <v/>
      </c>
      <c r="V264" s="25" t="str">
        <f aca="false">IF(COUNT(Q264:U264)=0,L264,IF(MAX(Q264:U264)=0,L264,INDEX(L264:P264,MATCH(MAX(Q264:U264),Q264:U264,0))))</f>
        <v>chopard imperiale iris malika</v>
      </c>
      <c r="W264" s="24" t="n">
        <f aca="false">IFERROR(INDEX('Semrush Data'!$A$1:$Z$20000,MATCH(V264,'Semrush Data'!$A$1:$A$20000,0),MATCH("Volume",'Semrush Data'!$A$1:$Z$1,0)),"")</f>
        <v>20</v>
      </c>
      <c r="X264" s="24" t="n">
        <f aca="false">IFERROR(INDEX('Semrush Data'!$A$1:$Z$20000,MATCH(V264,'Semrush Data'!$A$1:$A$20000,0),MATCH("Keyword Difficulty*",'Semrush Data'!$A$1:$Z$1,0)),"")</f>
        <v>16</v>
      </c>
      <c r="Y264" s="26" t="n">
        <f aca="false">IFERROR(INDEX('Semrush Data'!$A$1:$Z$20000,MATCH(V264,'Semrush Data'!$A$1:$A$20000,0),MATCH("CPC*",'Semrush Data'!$A$1:$Z$1,0)),"")</f>
        <v>0</v>
      </c>
      <c r="Z264" s="23" t="s">
        <v>3445</v>
      </c>
      <c r="AA264" s="23" t="s">
        <v>3446</v>
      </c>
      <c r="AB264" s="23" t="s">
        <v>3447</v>
      </c>
      <c r="AC264" s="23" t="s">
        <v>3448</v>
      </c>
      <c r="AD264" s="27" t="n">
        <f aca="false">LEN(AC264)</f>
        <v>57</v>
      </c>
      <c r="AE264" s="23" t="s">
        <v>3449</v>
      </c>
      <c r="AF264" s="27" t="n">
        <f aca="false">LEN(AE264)</f>
        <v>159</v>
      </c>
    </row>
    <row r="265" customFormat="false" ht="15" hidden="false" customHeight="true" outlineLevel="0" collapsed="false">
      <c r="A265" s="23" t="s">
        <v>111</v>
      </c>
      <c r="B265" s="23" t="s">
        <v>2449</v>
      </c>
      <c r="C265" s="23" t="n">
        <v>105</v>
      </c>
      <c r="D265" s="23" t="s">
        <v>3415</v>
      </c>
      <c r="E265" s="23"/>
      <c r="F265" s="23" t="s">
        <v>2452</v>
      </c>
      <c r="G265" s="23" t="s">
        <v>2453</v>
      </c>
      <c r="H265" s="23" t="s">
        <v>2504</v>
      </c>
      <c r="I265" s="23" t="s">
        <v>112</v>
      </c>
      <c r="J265" s="23" t="s">
        <v>2868</v>
      </c>
      <c r="K265" s="23" t="n">
        <v>48.99</v>
      </c>
      <c r="L265" s="23" t="s">
        <v>3450</v>
      </c>
      <c r="M265" s="23" t="s">
        <v>3451</v>
      </c>
      <c r="N265" s="23" t="s">
        <v>3452</v>
      </c>
      <c r="O265" s="23" t="s">
        <v>3453</v>
      </c>
      <c r="P265" s="23" t="s">
        <v>3454</v>
      </c>
      <c r="Q265" s="24" t="n">
        <f aca="false">IF(L265="","",IFERROR(INDEX('Semrush Data'!$A$1:$Z$20000,MATCH(L265,'Semrush Data'!$A$1:$A$20000,0),MATCH("Volume",'Semrush Data'!$A$1:$Z$1,0)),""))</f>
        <v>590</v>
      </c>
      <c r="R265" s="24" t="n">
        <f aca="false">IF(M265="","",IFERROR(INDEX('Semrush Data'!$A$1:$Z$20000,MATCH(M265,'Semrush Data'!$A$1:$A$20000,0),MATCH("Volume",'Semrush Data'!$A$1:$Z$1,0)),""))</f>
        <v>20</v>
      </c>
      <c r="S265" s="24" t="str">
        <f aca="false">IF(N265="","",IFERROR(INDEX('Semrush Data'!$A$1:$Z$20000,MATCH(N265,'Semrush Data'!$A$1:$A$20000,0),MATCH("Volume",'Semrush Data'!$A$1:$Z$1,0)),""))</f>
        <v/>
      </c>
      <c r="T265" s="24" t="str">
        <f aca="false">IF(O265="","",IFERROR(INDEX('Semrush Data'!$A$1:$Z$20000,MATCH(O265,'Semrush Data'!$A$1:$A$20000,0),MATCH("Volume",'Semrush Data'!$A$1:$Z$1,0)),""))</f>
        <v/>
      </c>
      <c r="U265" s="24" t="n">
        <f aca="false">IF(P265="","",IFERROR(INDEX('Semrush Data'!$A$1:$Z$20000,MATCH(P265,'Semrush Data'!$A$1:$A$20000,0),MATCH("Volume",'Semrush Data'!$A$1:$Z$1,0)),""))</f>
        <v>20</v>
      </c>
      <c r="V265" s="25" t="str">
        <f aca="false">IF(COUNT(Q265:U265)=0,L265,IF(MAX(Q265:U265)=0,L265,INDEX(L265:P265,MATCH(MAX(Q265:U265),Q265:U265,0))))</f>
        <v>chopard oud malaki</v>
      </c>
      <c r="W265" s="24" t="n">
        <f aca="false">IFERROR(INDEX('Semrush Data'!$A$1:$Z$20000,MATCH(V265,'Semrush Data'!$A$1:$A$20000,0),MATCH("Volume",'Semrush Data'!$A$1:$Z$1,0)),"")</f>
        <v>590</v>
      </c>
      <c r="X265" s="24" t="n">
        <f aca="false">IFERROR(INDEX('Semrush Data'!$A$1:$Z$20000,MATCH(V265,'Semrush Data'!$A$1:$A$20000,0),MATCH("Keyword Difficulty*",'Semrush Data'!$A$1:$Z$1,0)),"")</f>
        <v>17</v>
      </c>
      <c r="Y265" s="26" t="n">
        <f aca="false">IFERROR(INDEX('Semrush Data'!$A$1:$Z$20000,MATCH(V265,'Semrush Data'!$A$1:$A$20000,0),MATCH("CPC*",'Semrush Data'!$A$1:$Z$1,0)),"")</f>
        <v>0.6</v>
      </c>
      <c r="Z265" s="23" t="s">
        <v>3455</v>
      </c>
      <c r="AA265" s="23" t="s">
        <v>3456</v>
      </c>
      <c r="AB265" s="23" t="s">
        <v>3457</v>
      </c>
      <c r="AC265" s="23" t="s">
        <v>3458</v>
      </c>
      <c r="AD265" s="27" t="n">
        <f aca="false">LEN(AC265)</f>
        <v>59</v>
      </c>
      <c r="AE265" s="23" t="s">
        <v>3459</v>
      </c>
      <c r="AF265" s="27" t="n">
        <f aca="false">LEN(AE265)</f>
        <v>149</v>
      </c>
    </row>
    <row r="266" customFormat="false" ht="15" hidden="false" customHeight="true" outlineLevel="0" collapsed="false">
      <c r="A266" s="23" t="s">
        <v>3460</v>
      </c>
      <c r="B266" s="23" t="s">
        <v>2449</v>
      </c>
      <c r="C266" s="23" t="n">
        <v>106</v>
      </c>
      <c r="D266" s="23" t="s">
        <v>3415</v>
      </c>
      <c r="E266" s="23"/>
      <c r="F266" s="23" t="s">
        <v>1735</v>
      </c>
      <c r="G266" s="23" t="s">
        <v>2453</v>
      </c>
      <c r="H266" s="23" t="s">
        <v>2538</v>
      </c>
      <c r="I266" s="23" t="s">
        <v>3461</v>
      </c>
      <c r="J266" s="23" t="s">
        <v>2562</v>
      </c>
      <c r="K266" s="23" t="n">
        <v>59.99</v>
      </c>
      <c r="L266" s="23" t="s">
        <v>3462</v>
      </c>
      <c r="M266" s="23" t="s">
        <v>3463</v>
      </c>
      <c r="N266" s="23" t="s">
        <v>3464</v>
      </c>
      <c r="O266" s="23" t="s">
        <v>3465</v>
      </c>
      <c r="P266" s="23"/>
      <c r="Q266" s="24" t="n">
        <f aca="false">IF(L266="","",IFERROR(INDEX('Semrush Data'!$A$1:$Z$20000,MATCH(L266,'Semrush Data'!$A$1:$A$20000,0),MATCH("Volume",'Semrush Data'!$A$1:$Z$1,0)),""))</f>
        <v>0</v>
      </c>
      <c r="R266" s="24" t="n">
        <f aca="false">IF(M266="","",IFERROR(INDEX('Semrush Data'!$A$1:$Z$20000,MATCH(M266,'Semrush Data'!$A$1:$A$20000,0),MATCH("Volume",'Semrush Data'!$A$1:$Z$1,0)),""))</f>
        <v>0</v>
      </c>
      <c r="S266" s="24" t="str">
        <f aca="false">IF(N266="","",IFERROR(INDEX('Semrush Data'!$A$1:$Z$20000,MATCH(N266,'Semrush Data'!$A$1:$A$20000,0),MATCH("Volume",'Semrush Data'!$A$1:$Z$1,0)),""))</f>
        <v/>
      </c>
      <c r="T266" s="24" t="str">
        <f aca="false">IF(O266="","",IFERROR(INDEX('Semrush Data'!$A$1:$Z$20000,MATCH(O266,'Semrush Data'!$A$1:$A$20000,0),MATCH("Volume",'Semrush Data'!$A$1:$Z$1,0)),""))</f>
        <v/>
      </c>
      <c r="U266" s="24" t="str">
        <f aca="false">IF(P266="","",IFERROR(INDEX('Semrush Data'!$A$1:$Z$20000,MATCH(P266,'Semrush Data'!$A$1:$A$20000,0),MATCH("Volume",'Semrush Data'!$A$1:$Z$1,0)),""))</f>
        <v/>
      </c>
      <c r="V266" s="25" t="str">
        <f aca="false">IF(COUNT(Q266:U266)=0,L266,IF(MAX(Q266:U266)=0,L266,INDEX(L266:P266,MATCH(MAX(Q266:U266),Q266:U266,0))))</f>
        <v>chopard gardens of paradise discovery set</v>
      </c>
      <c r="W266" s="24" t="n">
        <f aca="false">IFERROR(INDEX('Semrush Data'!$A$1:$Z$20000,MATCH(V266,'Semrush Data'!$A$1:$A$20000,0),MATCH("Volume",'Semrush Data'!$A$1:$Z$1,0)),"")</f>
        <v>0</v>
      </c>
      <c r="X266" s="24" t="n">
        <f aca="false">IFERROR(INDEX('Semrush Data'!$A$1:$Z$20000,MATCH(V266,'Semrush Data'!$A$1:$A$20000,0),MATCH("Keyword Difficulty*",'Semrush Data'!$A$1:$Z$1,0)),"")</f>
        <v>8</v>
      </c>
      <c r="Y266" s="26" t="n">
        <f aca="false">IFERROR(INDEX('Semrush Data'!$A$1:$Z$20000,MATCH(V266,'Semrush Data'!$A$1:$A$20000,0),MATCH("CPC*",'Semrush Data'!$A$1:$Z$1,0)),"")</f>
        <v>0</v>
      </c>
      <c r="Z266" s="23" t="s">
        <v>3422</v>
      </c>
      <c r="AA266" s="23"/>
      <c r="AB266" s="23" t="s">
        <v>3466</v>
      </c>
      <c r="AC266" s="23" t="s">
        <v>3467</v>
      </c>
      <c r="AD266" s="27" t="n">
        <f aca="false">LEN(AC266)</f>
        <v>55</v>
      </c>
      <c r="AE266" s="23" t="s">
        <v>3468</v>
      </c>
      <c r="AF266" s="27" t="n">
        <f aca="false">LEN(AE266)</f>
        <v>156</v>
      </c>
    </row>
    <row r="267" customFormat="false" ht="15" hidden="false" customHeight="true" outlineLevel="0" collapsed="false">
      <c r="A267" s="23" t="s">
        <v>3469</v>
      </c>
      <c r="B267" s="23" t="s">
        <v>2449</v>
      </c>
      <c r="C267" s="23" t="n">
        <v>107</v>
      </c>
      <c r="D267" s="23" t="s">
        <v>3470</v>
      </c>
      <c r="E267" s="23"/>
      <c r="F267" s="23" t="s">
        <v>2452</v>
      </c>
      <c r="G267" s="23" t="s">
        <v>2453</v>
      </c>
      <c r="H267" s="23" t="s">
        <v>2608</v>
      </c>
      <c r="I267" s="23" t="s">
        <v>3471</v>
      </c>
      <c r="J267" s="23" t="s">
        <v>1994</v>
      </c>
      <c r="K267" s="23" t="n">
        <v>14.5</v>
      </c>
      <c r="L267" s="23" t="s">
        <v>3472</v>
      </c>
      <c r="M267" s="23" t="s">
        <v>3473</v>
      </c>
      <c r="N267" s="23" t="s">
        <v>3474</v>
      </c>
      <c r="O267" s="23" t="s">
        <v>3475</v>
      </c>
      <c r="P267" s="23" t="s">
        <v>3476</v>
      </c>
      <c r="Q267" s="24" t="n">
        <f aca="false">IF(L267="","",IFERROR(INDEX('Semrush Data'!$A$1:$Z$20000,MATCH(L267,'Semrush Data'!$A$1:$A$20000,0),MATCH("Volume",'Semrush Data'!$A$1:$Z$1,0)),""))</f>
        <v>0</v>
      </c>
      <c r="R267" s="24" t="n">
        <f aca="false">IF(M267="","",IFERROR(INDEX('Semrush Data'!$A$1:$Z$20000,MATCH(M267,'Semrush Data'!$A$1:$A$20000,0),MATCH("Volume",'Semrush Data'!$A$1:$Z$1,0)),""))</f>
        <v>0</v>
      </c>
      <c r="S267" s="24" t="str">
        <f aca="false">IF(N267="","",IFERROR(INDEX('Semrush Data'!$A$1:$Z$20000,MATCH(N267,'Semrush Data'!$A$1:$A$20000,0),MATCH("Volume",'Semrush Data'!$A$1:$Z$1,0)),""))</f>
        <v/>
      </c>
      <c r="T267" s="24" t="str">
        <f aca="false">IF(O267="","",IFERROR(INDEX('Semrush Data'!$A$1:$Z$20000,MATCH(O267,'Semrush Data'!$A$1:$A$20000,0),MATCH("Volume",'Semrush Data'!$A$1:$Z$1,0)),""))</f>
        <v/>
      </c>
      <c r="U267" s="24" t="str">
        <f aca="false">IF(P267="","",IFERROR(INDEX('Semrush Data'!$A$1:$Z$20000,MATCH(P267,'Semrush Data'!$A$1:$A$20000,0),MATCH("Volume",'Semrush Data'!$A$1:$Z$1,0)),""))</f>
        <v/>
      </c>
      <c r="V267" s="25" t="str">
        <f aca="false">IF(COUNT(Q267:U267)=0,L267,IF(MAX(Q267:U267)=0,L267,INDEX(L267:P267,MATCH(MAX(Q267:U267),Q267:U267,0))))</f>
        <v>chris adams ca dx 77 pour homme</v>
      </c>
      <c r="W267" s="24" t="n">
        <f aca="false">IFERROR(INDEX('Semrush Data'!$A$1:$Z$20000,MATCH(V267,'Semrush Data'!$A$1:$A$20000,0),MATCH("Volume",'Semrush Data'!$A$1:$Z$1,0)),"")</f>
        <v>0</v>
      </c>
      <c r="X267" s="24" t="n">
        <f aca="false">IFERROR(INDEX('Semrush Data'!$A$1:$Z$20000,MATCH(V267,'Semrush Data'!$A$1:$A$20000,0),MATCH("Keyword Difficulty*",'Semrush Data'!$A$1:$Z$1,0)),"")</f>
        <v>28</v>
      </c>
      <c r="Y267" s="26" t="n">
        <f aca="false">IFERROR(INDEX('Semrush Data'!$A$1:$Z$20000,MATCH(V267,'Semrush Data'!$A$1:$A$20000,0),MATCH("CPC*",'Semrush Data'!$A$1:$Z$1,0)),"")</f>
        <v>0</v>
      </c>
      <c r="Z267" s="23" t="s">
        <v>3477</v>
      </c>
      <c r="AA267" s="23"/>
      <c r="AB267" s="23" t="s">
        <v>3478</v>
      </c>
      <c r="AC267" s="23" t="s">
        <v>3479</v>
      </c>
      <c r="AD267" s="27" t="n">
        <f aca="false">LEN(AC267)</f>
        <v>57</v>
      </c>
      <c r="AE267" s="23" t="s">
        <v>3480</v>
      </c>
      <c r="AF267" s="27" t="n">
        <f aca="false">LEN(AE267)</f>
        <v>156</v>
      </c>
    </row>
    <row r="268" customFormat="false" ht="15" hidden="false" customHeight="true" outlineLevel="0" collapsed="false">
      <c r="A268" s="23" t="s">
        <v>3481</v>
      </c>
      <c r="B268" s="23" t="s">
        <v>2449</v>
      </c>
      <c r="C268" s="23" t="n">
        <v>108</v>
      </c>
      <c r="D268" s="23" t="s">
        <v>3470</v>
      </c>
      <c r="E268" s="23"/>
      <c r="F268" s="23" t="s">
        <v>2452</v>
      </c>
      <c r="G268" s="23" t="s">
        <v>2818</v>
      </c>
      <c r="H268" s="23" t="s">
        <v>2608</v>
      </c>
      <c r="I268" s="23" t="s">
        <v>3482</v>
      </c>
      <c r="J268" s="23" t="s">
        <v>1994</v>
      </c>
      <c r="K268" s="23" t="n">
        <v>11.94</v>
      </c>
      <c r="L268" s="23" t="s">
        <v>3483</v>
      </c>
      <c r="M268" s="23" t="s">
        <v>3484</v>
      </c>
      <c r="N268" s="23" t="s">
        <v>3485</v>
      </c>
      <c r="O268" s="23" t="s">
        <v>3486</v>
      </c>
      <c r="P268" s="23" t="s">
        <v>3487</v>
      </c>
      <c r="Q268" s="24" t="n">
        <f aca="false">IF(L268="","",IFERROR(INDEX('Semrush Data'!$A$1:$Z$20000,MATCH(L268,'Semrush Data'!$A$1:$A$20000,0),MATCH("Volume",'Semrush Data'!$A$1:$Z$1,0)),""))</f>
        <v>0</v>
      </c>
      <c r="R268" s="24" t="n">
        <f aca="false">IF(M268="","",IFERROR(INDEX('Semrush Data'!$A$1:$Z$20000,MATCH(M268,'Semrush Data'!$A$1:$A$20000,0),MATCH("Volume",'Semrush Data'!$A$1:$Z$1,0)),""))</f>
        <v>0</v>
      </c>
      <c r="S268" s="24" t="str">
        <f aca="false">IF(N268="","",IFERROR(INDEX('Semrush Data'!$A$1:$Z$20000,MATCH(N268,'Semrush Data'!$A$1:$A$20000,0),MATCH("Volume",'Semrush Data'!$A$1:$Z$1,0)),""))</f>
        <v/>
      </c>
      <c r="T268" s="24" t="str">
        <f aca="false">IF(O268="","",IFERROR(INDEX('Semrush Data'!$A$1:$Z$20000,MATCH(O268,'Semrush Data'!$A$1:$A$20000,0),MATCH("Volume",'Semrush Data'!$A$1:$Z$1,0)),""))</f>
        <v/>
      </c>
      <c r="U268" s="24" t="str">
        <f aca="false">IF(P268="","",IFERROR(INDEX('Semrush Data'!$A$1:$Z$20000,MATCH(P268,'Semrush Data'!$A$1:$A$20000,0),MATCH("Volume",'Semrush Data'!$A$1:$Z$1,0)),""))</f>
        <v/>
      </c>
      <c r="V268" s="25" t="str">
        <f aca="false">IF(COUNT(Q268:U268)=0,L268,IF(MAX(Q268:U268)=0,L268,INDEX(L268:P268,MATCH(MAX(Q268:U268),Q268:U268,0))))</f>
        <v>chris adams black shadow pour homme</v>
      </c>
      <c r="W268" s="24" t="n">
        <f aca="false">IFERROR(INDEX('Semrush Data'!$A$1:$Z$20000,MATCH(V268,'Semrush Data'!$A$1:$A$20000,0),MATCH("Volume",'Semrush Data'!$A$1:$Z$1,0)),"")</f>
        <v>0</v>
      </c>
      <c r="X268" s="24" t="n">
        <f aca="false">IFERROR(INDEX('Semrush Data'!$A$1:$Z$20000,MATCH(V268,'Semrush Data'!$A$1:$A$20000,0),MATCH("Keyword Difficulty*",'Semrush Data'!$A$1:$Z$1,0)),"")</f>
        <v>10</v>
      </c>
      <c r="Y268" s="26" t="n">
        <f aca="false">IFERROR(INDEX('Semrush Data'!$A$1:$Z$20000,MATCH(V268,'Semrush Data'!$A$1:$A$20000,0),MATCH("CPC*",'Semrush Data'!$A$1:$Z$1,0)),"")</f>
        <v>0</v>
      </c>
      <c r="Z268" s="23" t="s">
        <v>3477</v>
      </c>
      <c r="AA268" s="23"/>
      <c r="AB268" s="23" t="s">
        <v>3488</v>
      </c>
      <c r="AC268" s="23" t="s">
        <v>3489</v>
      </c>
      <c r="AD268" s="27" t="n">
        <f aca="false">LEN(AC268)</f>
        <v>57</v>
      </c>
      <c r="AE268" s="23" t="s">
        <v>3490</v>
      </c>
      <c r="AF268" s="27" t="n">
        <f aca="false">LEN(AE268)</f>
        <v>160</v>
      </c>
    </row>
    <row r="269" customFormat="false" ht="15" hidden="false" customHeight="true" outlineLevel="0" collapsed="false">
      <c r="A269" s="23" t="s">
        <v>3491</v>
      </c>
      <c r="B269" s="23" t="s">
        <v>2449</v>
      </c>
      <c r="C269" s="23" t="n">
        <v>109</v>
      </c>
      <c r="D269" s="23" t="s">
        <v>3492</v>
      </c>
      <c r="E269" s="23"/>
      <c r="F269" s="23" t="s">
        <v>2452</v>
      </c>
      <c r="G269" s="23" t="s">
        <v>2453</v>
      </c>
      <c r="H269" s="23" t="s">
        <v>2454</v>
      </c>
      <c r="I269" s="23" t="s">
        <v>3493</v>
      </c>
      <c r="J269" s="23" t="s">
        <v>1468</v>
      </c>
      <c r="K269" s="23" t="n">
        <v>18.99</v>
      </c>
      <c r="L269" s="23" t="s">
        <v>3494</v>
      </c>
      <c r="M269" s="23" t="s">
        <v>3495</v>
      </c>
      <c r="N269" s="23" t="s">
        <v>3496</v>
      </c>
      <c r="O269" s="23" t="s">
        <v>3497</v>
      </c>
      <c r="P269" s="23" t="s">
        <v>3498</v>
      </c>
      <c r="Q269" s="24" t="n">
        <f aca="false">IF(L269="","",IFERROR(INDEX('Semrush Data'!$A$1:$Z$20000,MATCH(L269,'Semrush Data'!$A$1:$A$20000,0),MATCH("Volume",'Semrush Data'!$A$1:$Z$1,0)),""))</f>
        <v>20</v>
      </c>
      <c r="R269" s="24" t="n">
        <f aca="false">IF(M269="","",IFERROR(INDEX('Semrush Data'!$A$1:$Z$20000,MATCH(M269,'Semrush Data'!$A$1:$A$20000,0),MATCH("Volume",'Semrush Data'!$A$1:$Z$1,0)),""))</f>
        <v>0</v>
      </c>
      <c r="S269" s="24" t="str">
        <f aca="false">IF(N269="","",IFERROR(INDEX('Semrush Data'!$A$1:$Z$20000,MATCH(N269,'Semrush Data'!$A$1:$A$20000,0),MATCH("Volume",'Semrush Data'!$A$1:$Z$1,0)),""))</f>
        <v/>
      </c>
      <c r="T269" s="24" t="str">
        <f aca="false">IF(O269="","",IFERROR(INDEX('Semrush Data'!$A$1:$Z$20000,MATCH(O269,'Semrush Data'!$A$1:$A$20000,0),MATCH("Volume",'Semrush Data'!$A$1:$Z$1,0)),""))</f>
        <v/>
      </c>
      <c r="U269" s="24" t="str">
        <f aca="false">IF(P269="","",IFERROR(INDEX('Semrush Data'!$A$1:$Z$20000,MATCH(P269,'Semrush Data'!$A$1:$A$20000,0),MATCH("Volume",'Semrush Data'!$A$1:$Z$1,0)),""))</f>
        <v/>
      </c>
      <c r="V269" s="25" t="str">
        <f aca="false">IF(COUNT(Q269:U269)=0,L269,IF(MAX(Q269:U269)=0,L269,INDEX(L269:P269,MATCH(MAX(Q269:U269),Q269:U269,0))))</f>
        <v>davidoff cool water reborn intense</v>
      </c>
      <c r="W269" s="24" t="n">
        <f aca="false">IFERROR(INDEX('Semrush Data'!$A$1:$Z$20000,MATCH(V269,'Semrush Data'!$A$1:$A$20000,0),MATCH("Volume",'Semrush Data'!$A$1:$Z$1,0)),"")</f>
        <v>20</v>
      </c>
      <c r="X269" s="24" t="n">
        <f aca="false">IFERROR(INDEX('Semrush Data'!$A$1:$Z$20000,MATCH(V269,'Semrush Data'!$A$1:$A$20000,0),MATCH("Keyword Difficulty*",'Semrush Data'!$A$1:$Z$1,0)),"")</f>
        <v>9</v>
      </c>
      <c r="Y269" s="26" t="n">
        <f aca="false">IFERROR(INDEX('Semrush Data'!$A$1:$Z$20000,MATCH(V269,'Semrush Data'!$A$1:$A$20000,0),MATCH("CPC*",'Semrush Data'!$A$1:$Z$1,0)),"")</f>
        <v>0.38</v>
      </c>
      <c r="Z269" s="23" t="s">
        <v>3499</v>
      </c>
      <c r="AA269" s="23" t="s">
        <v>3500</v>
      </c>
      <c r="AB269" s="23" t="s">
        <v>3501</v>
      </c>
      <c r="AC269" s="23" t="s">
        <v>3502</v>
      </c>
      <c r="AD269" s="27" t="n">
        <f aca="false">LEN(AC269)</f>
        <v>57</v>
      </c>
      <c r="AE269" s="23" t="s">
        <v>3503</v>
      </c>
      <c r="AF269" s="27" t="n">
        <f aca="false">LEN(AE269)</f>
        <v>157</v>
      </c>
    </row>
    <row r="270" customFormat="false" ht="15" hidden="false" customHeight="true" outlineLevel="0" collapsed="false">
      <c r="A270" s="23" t="s">
        <v>121</v>
      </c>
      <c r="B270" s="23" t="s">
        <v>2449</v>
      </c>
      <c r="C270" s="23" t="n">
        <v>110</v>
      </c>
      <c r="D270" s="23" t="s">
        <v>3492</v>
      </c>
      <c r="E270" s="23"/>
      <c r="F270" s="23" t="s">
        <v>2452</v>
      </c>
      <c r="G270" s="23" t="s">
        <v>2818</v>
      </c>
      <c r="H270" s="23" t="s">
        <v>2608</v>
      </c>
      <c r="I270" s="23" t="s">
        <v>122</v>
      </c>
      <c r="J270" s="23" t="s">
        <v>3059</v>
      </c>
      <c r="K270" s="23" t="n">
        <v>23.99</v>
      </c>
      <c r="L270" s="23" t="s">
        <v>3504</v>
      </c>
      <c r="M270" s="23" t="s">
        <v>3505</v>
      </c>
      <c r="N270" s="23" t="s">
        <v>3506</v>
      </c>
      <c r="O270" s="23" t="s">
        <v>3507</v>
      </c>
      <c r="P270" s="23" t="s">
        <v>3508</v>
      </c>
      <c r="Q270" s="24" t="n">
        <f aca="false">IF(L270="","",IFERROR(INDEX('Semrush Data'!$A$1:$Z$20000,MATCH(L270,'Semrush Data'!$A$1:$A$20000,0),MATCH("Volume",'Semrush Data'!$A$1:$Z$1,0)),""))</f>
        <v>480</v>
      </c>
      <c r="R270" s="24" t="n">
        <f aca="false">IF(M270="","",IFERROR(INDEX('Semrush Data'!$A$1:$Z$20000,MATCH(M270,'Semrush Data'!$A$1:$A$20000,0),MATCH("Volume",'Semrush Data'!$A$1:$Z$1,0)),""))</f>
        <v>10</v>
      </c>
      <c r="S270" s="24" t="str">
        <f aca="false">IF(N270="","",IFERROR(INDEX('Semrush Data'!$A$1:$Z$20000,MATCH(N270,'Semrush Data'!$A$1:$A$20000,0),MATCH("Volume",'Semrush Data'!$A$1:$Z$1,0)),""))</f>
        <v/>
      </c>
      <c r="T270" s="24" t="str">
        <f aca="false">IF(O270="","",IFERROR(INDEX('Semrush Data'!$A$1:$Z$20000,MATCH(O270,'Semrush Data'!$A$1:$A$20000,0),MATCH("Volume",'Semrush Data'!$A$1:$Z$1,0)),""))</f>
        <v/>
      </c>
      <c r="U270" s="24" t="n">
        <f aca="false">IF(P270="","",IFERROR(INDEX('Semrush Data'!$A$1:$Z$20000,MATCH(P270,'Semrush Data'!$A$1:$A$20000,0),MATCH("Volume",'Semrush Data'!$A$1:$Z$1,0)),""))</f>
        <v>20</v>
      </c>
      <c r="V270" s="25" t="str">
        <f aca="false">IF(COUNT(Q270:U270)=0,L270,IF(MAX(Q270:U270)=0,L270,INDEX(L270:P270,MATCH(MAX(Q270:U270),Q270:U270,0))))</f>
        <v>davidoff champion</v>
      </c>
      <c r="W270" s="24" t="n">
        <f aca="false">IFERROR(INDEX('Semrush Data'!$A$1:$Z$20000,MATCH(V270,'Semrush Data'!$A$1:$A$20000,0),MATCH("Volume",'Semrush Data'!$A$1:$Z$1,0)),"")</f>
        <v>480</v>
      </c>
      <c r="X270" s="24" t="n">
        <f aca="false">IFERROR(INDEX('Semrush Data'!$A$1:$Z$20000,MATCH(V270,'Semrush Data'!$A$1:$A$20000,0),MATCH("Keyword Difficulty*",'Semrush Data'!$A$1:$Z$1,0)),"")</f>
        <v>20</v>
      </c>
      <c r="Y270" s="26" t="n">
        <f aca="false">IFERROR(INDEX('Semrush Data'!$A$1:$Z$20000,MATCH(V270,'Semrush Data'!$A$1:$A$20000,0),MATCH("CPC*",'Semrush Data'!$A$1:$Z$1,0)),"")</f>
        <v>0.46</v>
      </c>
      <c r="Z270" s="23" t="s">
        <v>3509</v>
      </c>
      <c r="AA270" s="23" t="s">
        <v>3510</v>
      </c>
      <c r="AB270" s="23" t="s">
        <v>3511</v>
      </c>
      <c r="AC270" s="23" t="s">
        <v>3512</v>
      </c>
      <c r="AD270" s="27" t="n">
        <f aca="false">LEN(AC270)</f>
        <v>60</v>
      </c>
      <c r="AE270" s="23" t="s">
        <v>3513</v>
      </c>
      <c r="AF270" s="27" t="n">
        <f aca="false">LEN(AE270)</f>
        <v>153</v>
      </c>
    </row>
    <row r="271" customFormat="false" ht="15" hidden="false" customHeight="true" outlineLevel="0" collapsed="false">
      <c r="A271" s="23" t="s">
        <v>3514</v>
      </c>
      <c r="B271" s="23" t="s">
        <v>2449</v>
      </c>
      <c r="C271" s="23" t="n">
        <v>111</v>
      </c>
      <c r="D271" s="23" t="s">
        <v>3492</v>
      </c>
      <c r="E271" s="23"/>
      <c r="F271" s="23" t="s">
        <v>2452</v>
      </c>
      <c r="G271" s="23" t="s">
        <v>2818</v>
      </c>
      <c r="H271" s="23" t="s">
        <v>2932</v>
      </c>
      <c r="I271" s="23" t="s">
        <v>3515</v>
      </c>
      <c r="J271" s="23" t="s">
        <v>3516</v>
      </c>
      <c r="K271" s="23" t="n">
        <v>21.99</v>
      </c>
      <c r="L271" s="23" t="s">
        <v>3517</v>
      </c>
      <c r="M271" s="23" t="s">
        <v>3518</v>
      </c>
      <c r="N271" s="23" t="s">
        <v>3519</v>
      </c>
      <c r="O271" s="23" t="s">
        <v>3520</v>
      </c>
      <c r="P271" s="23" t="s">
        <v>3521</v>
      </c>
      <c r="Q271" s="24" t="n">
        <f aca="false">IF(L271="","",IFERROR(INDEX('Semrush Data'!$A$1:$Z$20000,MATCH(L271,'Semrush Data'!$A$1:$A$20000,0),MATCH("Volume",'Semrush Data'!$A$1:$Z$1,0)),""))</f>
        <v>260</v>
      </c>
      <c r="R271" s="24" t="n">
        <f aca="false">IF(M271="","",IFERROR(INDEX('Semrush Data'!$A$1:$Z$20000,MATCH(M271,'Semrush Data'!$A$1:$A$20000,0),MATCH("Volume",'Semrush Data'!$A$1:$Z$1,0)),""))</f>
        <v>20</v>
      </c>
      <c r="S271" s="24" t="str">
        <f aca="false">IF(N271="","",IFERROR(INDEX('Semrush Data'!$A$1:$Z$20000,MATCH(N271,'Semrush Data'!$A$1:$A$20000,0),MATCH("Volume",'Semrush Data'!$A$1:$Z$1,0)),""))</f>
        <v/>
      </c>
      <c r="T271" s="24" t="str">
        <f aca="false">IF(O271="","",IFERROR(INDEX('Semrush Data'!$A$1:$Z$20000,MATCH(O271,'Semrush Data'!$A$1:$A$20000,0),MATCH("Volume",'Semrush Data'!$A$1:$Z$1,0)),""))</f>
        <v/>
      </c>
      <c r="U271" s="24" t="n">
        <f aca="false">IF(P271="","",IFERROR(INDEX('Semrush Data'!$A$1:$Z$20000,MATCH(P271,'Semrush Data'!$A$1:$A$20000,0),MATCH("Volume",'Semrush Data'!$A$1:$Z$1,0)),""))</f>
        <v>10</v>
      </c>
      <c r="V271" s="25" t="str">
        <f aca="false">IF(COUNT(Q271:U271)=0,L271,IF(MAX(Q271:U271)=0,L271,INDEX(L271:P271,MATCH(MAX(Q271:U271),Q271:U271,0))))</f>
        <v>davidoff indigo</v>
      </c>
      <c r="W271" s="24" t="n">
        <f aca="false">IFERROR(INDEX('Semrush Data'!$A$1:$Z$20000,MATCH(V271,'Semrush Data'!$A$1:$A$20000,0),MATCH("Volume",'Semrush Data'!$A$1:$Z$1,0)),"")</f>
        <v>260</v>
      </c>
      <c r="X271" s="24" t="n">
        <f aca="false">IFERROR(INDEX('Semrush Data'!$A$1:$Z$20000,MATCH(V271,'Semrush Data'!$A$1:$A$20000,0),MATCH("Keyword Difficulty*",'Semrush Data'!$A$1:$Z$1,0)),"")</f>
        <v>9</v>
      </c>
      <c r="Y271" s="26" t="n">
        <f aca="false">IFERROR(INDEX('Semrush Data'!$A$1:$Z$20000,MATCH(V271,'Semrush Data'!$A$1:$A$20000,0),MATCH("CPC*",'Semrush Data'!$A$1:$Z$1,0)),"")</f>
        <v>0</v>
      </c>
      <c r="Z271" s="23" t="s">
        <v>3522</v>
      </c>
      <c r="AA271" s="23" t="s">
        <v>3523</v>
      </c>
      <c r="AB271" s="23" t="s">
        <v>3524</v>
      </c>
      <c r="AC271" s="23" t="s">
        <v>3525</v>
      </c>
      <c r="AD271" s="27" t="n">
        <f aca="false">LEN(AC271)</f>
        <v>58</v>
      </c>
      <c r="AE271" s="23" t="s">
        <v>3526</v>
      </c>
      <c r="AF271" s="27" t="n">
        <f aca="false">LEN(AE271)</f>
        <v>156</v>
      </c>
    </row>
    <row r="272" customFormat="false" ht="15" hidden="false" customHeight="true" outlineLevel="0" collapsed="false">
      <c r="A272" s="23" t="s">
        <v>93</v>
      </c>
      <c r="B272" s="23" t="s">
        <v>2449</v>
      </c>
      <c r="C272" s="23" t="n">
        <v>112</v>
      </c>
      <c r="D272" s="23" t="s">
        <v>3492</v>
      </c>
      <c r="E272" s="23"/>
      <c r="F272" s="23" t="s">
        <v>2452</v>
      </c>
      <c r="G272" s="23" t="s">
        <v>2818</v>
      </c>
      <c r="H272" s="23" t="s">
        <v>2608</v>
      </c>
      <c r="I272" s="23" t="s">
        <v>94</v>
      </c>
      <c r="J272" s="23" t="s">
        <v>1994</v>
      </c>
      <c r="K272" s="23" t="n">
        <v>27.99</v>
      </c>
      <c r="L272" s="23" t="s">
        <v>3527</v>
      </c>
      <c r="M272" s="23" t="s">
        <v>3528</v>
      </c>
      <c r="N272" s="23" t="s">
        <v>3529</v>
      </c>
      <c r="O272" s="23" t="s">
        <v>3530</v>
      </c>
      <c r="P272" s="23" t="s">
        <v>3531</v>
      </c>
      <c r="Q272" s="24" t="n">
        <f aca="false">IF(L272="","",IFERROR(INDEX('Semrush Data'!$A$1:$Z$20000,MATCH(L272,'Semrush Data'!$A$1:$A$20000,0),MATCH("Volume",'Semrush Data'!$A$1:$Z$1,0)),""))</f>
        <v>880</v>
      </c>
      <c r="R272" s="24" t="n">
        <f aca="false">IF(M272="","",IFERROR(INDEX('Semrush Data'!$A$1:$Z$20000,MATCH(M272,'Semrush Data'!$A$1:$A$20000,0),MATCH("Volume",'Semrush Data'!$A$1:$Z$1,0)),""))</f>
        <v>0</v>
      </c>
      <c r="S272" s="24" t="str">
        <f aca="false">IF(N272="","",IFERROR(INDEX('Semrush Data'!$A$1:$Z$20000,MATCH(N272,'Semrush Data'!$A$1:$A$20000,0),MATCH("Volume",'Semrush Data'!$A$1:$Z$1,0)),""))</f>
        <v/>
      </c>
      <c r="T272" s="24" t="str">
        <f aca="false">IF(O272="","",IFERROR(INDEX('Semrush Data'!$A$1:$Z$20000,MATCH(O272,'Semrush Data'!$A$1:$A$20000,0),MATCH("Volume",'Semrush Data'!$A$1:$Z$1,0)),""))</f>
        <v/>
      </c>
      <c r="U272" s="24" t="n">
        <f aca="false">IF(P272="","",IFERROR(INDEX('Semrush Data'!$A$1:$Z$20000,MATCH(P272,'Semrush Data'!$A$1:$A$20000,0),MATCH("Volume",'Semrush Data'!$A$1:$Z$1,0)),""))</f>
        <v>20</v>
      </c>
      <c r="V272" s="25" t="str">
        <f aca="false">IF(COUNT(Q272:U272)=0,L272,IF(MAX(Q272:U272)=0,L272,INDEX(L272:P272,MATCH(MAX(Q272:U272),Q272:U272,0))))</f>
        <v>davidoff the game</v>
      </c>
      <c r="W272" s="24" t="n">
        <f aca="false">IFERROR(INDEX('Semrush Data'!$A$1:$Z$20000,MATCH(V272,'Semrush Data'!$A$1:$A$20000,0),MATCH("Volume",'Semrush Data'!$A$1:$Z$1,0)),"")</f>
        <v>880</v>
      </c>
      <c r="X272" s="24" t="n">
        <f aca="false">IFERROR(INDEX('Semrush Data'!$A$1:$Z$20000,MATCH(V272,'Semrush Data'!$A$1:$A$20000,0),MATCH("Keyword Difficulty*",'Semrush Data'!$A$1:$Z$1,0)),"")</f>
        <v>16</v>
      </c>
      <c r="Y272" s="26" t="n">
        <f aca="false">IFERROR(INDEX('Semrush Data'!$A$1:$Z$20000,MATCH(V272,'Semrush Data'!$A$1:$A$20000,0),MATCH("CPC*",'Semrush Data'!$A$1:$Z$1,0)),"")</f>
        <v>0.42</v>
      </c>
      <c r="Z272" s="23" t="s">
        <v>3509</v>
      </c>
      <c r="AA272" s="23" t="s">
        <v>3532</v>
      </c>
      <c r="AB272" s="23" t="s">
        <v>3533</v>
      </c>
      <c r="AC272" s="23" t="s">
        <v>3534</v>
      </c>
      <c r="AD272" s="27" t="n">
        <f aca="false">LEN(AC272)</f>
        <v>60</v>
      </c>
      <c r="AE272" s="23" t="s">
        <v>3535</v>
      </c>
      <c r="AF272" s="27" t="n">
        <f aca="false">LEN(AE272)</f>
        <v>154</v>
      </c>
    </row>
    <row r="273" customFormat="false" ht="15" hidden="false" customHeight="true" outlineLevel="0" collapsed="false">
      <c r="A273" s="23" t="s">
        <v>3536</v>
      </c>
      <c r="B273" s="23" t="s">
        <v>2449</v>
      </c>
      <c r="C273" s="23" t="n">
        <v>113</v>
      </c>
      <c r="D273" s="23" t="s">
        <v>3537</v>
      </c>
      <c r="E273" s="23"/>
      <c r="F273" s="23" t="s">
        <v>2452</v>
      </c>
      <c r="G273" s="23" t="s">
        <v>2453</v>
      </c>
      <c r="H273" s="23" t="s">
        <v>2516</v>
      </c>
      <c r="I273" s="23" t="s">
        <v>3538</v>
      </c>
      <c r="J273" s="23" t="s">
        <v>1979</v>
      </c>
      <c r="K273" s="23" t="n">
        <v>51.99</v>
      </c>
      <c r="L273" s="23" t="s">
        <v>3539</v>
      </c>
      <c r="M273" s="23" t="s">
        <v>3540</v>
      </c>
      <c r="N273" s="23" t="s">
        <v>3541</v>
      </c>
      <c r="O273" s="23" t="s">
        <v>3542</v>
      </c>
      <c r="P273" s="23" t="s">
        <v>3543</v>
      </c>
      <c r="Q273" s="24" t="n">
        <f aca="false">IF(L273="","",IFERROR(INDEX('Semrush Data'!$A$1:$Z$20000,MATCH(L273,'Semrush Data'!$A$1:$A$20000,0),MATCH("Volume",'Semrush Data'!$A$1:$Z$1,0)),""))</f>
        <v>20</v>
      </c>
      <c r="R273" s="24" t="str">
        <f aca="false">IF(M273="","",IFERROR(INDEX('Semrush Data'!$A$1:$Z$20000,MATCH(M273,'Semrush Data'!$A$1:$A$20000,0),MATCH("Volume",'Semrush Data'!$A$1:$Z$1,0)),""))</f>
        <v/>
      </c>
      <c r="S273" s="24" t="str">
        <f aca="false">IF(N273="","",IFERROR(INDEX('Semrush Data'!$A$1:$Z$20000,MATCH(N273,'Semrush Data'!$A$1:$A$20000,0),MATCH("Volume",'Semrush Data'!$A$1:$Z$1,0)),""))</f>
        <v/>
      </c>
      <c r="T273" s="24" t="str">
        <f aca="false">IF(O273="","",IFERROR(INDEX('Semrush Data'!$A$1:$Z$20000,MATCH(O273,'Semrush Data'!$A$1:$A$20000,0),MATCH("Volume",'Semrush Data'!$A$1:$Z$1,0)),""))</f>
        <v/>
      </c>
      <c r="U273" s="24" t="str">
        <f aca="false">IF(P273="","",IFERROR(INDEX('Semrush Data'!$A$1:$Z$20000,MATCH(P273,'Semrush Data'!$A$1:$A$20000,0),MATCH("Volume",'Semrush Data'!$A$1:$Z$1,0)),""))</f>
        <v/>
      </c>
      <c r="V273" s="25" t="str">
        <f aca="false">IF(COUNT(Q273:U273)=0,L273,IF(MAX(Q273:U273)=0,L273,INDEX(L273:P273,MATCH(MAX(Q273:U273),Q273:U273,0))))</f>
        <v>dior miss dior roller-pearl</v>
      </c>
      <c r="W273" s="24" t="n">
        <f aca="false">IFERROR(INDEX('Semrush Data'!$A$1:$Z$20000,MATCH(V273,'Semrush Data'!$A$1:$A$20000,0),MATCH("Volume",'Semrush Data'!$A$1:$Z$1,0)),"")</f>
        <v>20</v>
      </c>
      <c r="X273" s="24" t="n">
        <f aca="false">IFERROR(INDEX('Semrush Data'!$A$1:$Z$20000,MATCH(V273,'Semrush Data'!$A$1:$A$20000,0),MATCH("Keyword Difficulty*",'Semrush Data'!$A$1:$Z$1,0)),"")</f>
        <v>15</v>
      </c>
      <c r="Y273" s="26" t="n">
        <f aca="false">IFERROR(INDEX('Semrush Data'!$A$1:$Z$20000,MATCH(V273,'Semrush Data'!$A$1:$A$20000,0),MATCH("CPC*",'Semrush Data'!$A$1:$Z$1,0)),"")</f>
        <v>0</v>
      </c>
      <c r="Z273" s="23" t="s">
        <v>3544</v>
      </c>
      <c r="AA273" s="23" t="s">
        <v>3545</v>
      </c>
      <c r="AB273" s="23" t="s">
        <v>3546</v>
      </c>
      <c r="AC273" s="23" t="s">
        <v>3547</v>
      </c>
      <c r="AD273" s="27" t="n">
        <f aca="false">LEN(AC273)</f>
        <v>60</v>
      </c>
      <c r="AE273" s="23" t="s">
        <v>3548</v>
      </c>
      <c r="AF273" s="27" t="n">
        <f aca="false">LEN(AE273)</f>
        <v>160</v>
      </c>
    </row>
    <row r="274" customFormat="false" ht="15" hidden="false" customHeight="true" outlineLevel="0" collapsed="false">
      <c r="A274" s="23" t="s">
        <v>3549</v>
      </c>
      <c r="B274" s="23" t="s">
        <v>2449</v>
      </c>
      <c r="C274" s="23" t="n">
        <v>114</v>
      </c>
      <c r="D274" s="23" t="s">
        <v>3537</v>
      </c>
      <c r="E274" s="23"/>
      <c r="F274" s="23" t="s">
        <v>1735</v>
      </c>
      <c r="G274" s="23" t="s">
        <v>2550</v>
      </c>
      <c r="H274" s="23" t="s">
        <v>2538</v>
      </c>
      <c r="I274" s="23" t="s">
        <v>3550</v>
      </c>
      <c r="J274" s="23" t="s">
        <v>3551</v>
      </c>
      <c r="K274" s="23" t="n">
        <v>92.99</v>
      </c>
      <c r="L274" s="23" t="s">
        <v>3552</v>
      </c>
      <c r="M274" s="23" t="s">
        <v>3553</v>
      </c>
      <c r="N274" s="23" t="s">
        <v>3554</v>
      </c>
      <c r="O274" s="23" t="s">
        <v>3555</v>
      </c>
      <c r="P274" s="23"/>
      <c r="Q274" s="24" t="n">
        <f aca="false">IF(L274="","",IFERROR(INDEX('Semrush Data'!$A$1:$Z$20000,MATCH(L274,'Semrush Data'!$A$1:$A$20000,0),MATCH("Volume",'Semrush Data'!$A$1:$Z$1,0)),""))</f>
        <v>0</v>
      </c>
      <c r="R274" s="24" t="str">
        <f aca="false">IF(M274="","",IFERROR(INDEX('Semrush Data'!$A$1:$Z$20000,MATCH(M274,'Semrush Data'!$A$1:$A$20000,0),MATCH("Volume",'Semrush Data'!$A$1:$Z$1,0)),""))</f>
        <v/>
      </c>
      <c r="S274" s="24" t="str">
        <f aca="false">IF(N274="","",IFERROR(INDEX('Semrush Data'!$A$1:$Z$20000,MATCH(N274,'Semrush Data'!$A$1:$A$20000,0),MATCH("Volume",'Semrush Data'!$A$1:$Z$1,0)),""))</f>
        <v/>
      </c>
      <c r="T274" s="24" t="str">
        <f aca="false">IF(O274="","",IFERROR(INDEX('Semrush Data'!$A$1:$Z$20000,MATCH(O274,'Semrush Data'!$A$1:$A$20000,0),MATCH("Volume",'Semrush Data'!$A$1:$Z$1,0)),""))</f>
        <v/>
      </c>
      <c r="U274" s="24" t="str">
        <f aca="false">IF(P274="","",IFERROR(INDEX('Semrush Data'!$A$1:$Z$20000,MATCH(P274,'Semrush Data'!$A$1:$A$20000,0),MATCH("Volume",'Semrush Data'!$A$1:$Z$1,0)),""))</f>
        <v/>
      </c>
      <c r="V274" s="25" t="str">
        <f aca="false">IF(COUNT(Q274:U274)=0,L274,IF(MAX(Q274:U274)=0,L274,INDEX(L274:P274,MATCH(MAX(Q274:U274),Q274:U274,0))))</f>
        <v>dior iconics mini discovery set</v>
      </c>
      <c r="W274" s="24" t="n">
        <f aca="false">IFERROR(INDEX('Semrush Data'!$A$1:$Z$20000,MATCH(V274,'Semrush Data'!$A$1:$A$20000,0),MATCH("Volume",'Semrush Data'!$A$1:$Z$1,0)),"")</f>
        <v>0</v>
      </c>
      <c r="X274" s="24" t="n">
        <f aca="false">IFERROR(INDEX('Semrush Data'!$A$1:$Z$20000,MATCH(V274,'Semrush Data'!$A$1:$A$20000,0),MATCH("Keyword Difficulty*",'Semrush Data'!$A$1:$Z$1,0)),"")</f>
        <v>24</v>
      </c>
      <c r="Y274" s="26" t="n">
        <f aca="false">IFERROR(INDEX('Semrush Data'!$A$1:$Z$20000,MATCH(V274,'Semrush Data'!$A$1:$A$20000,0),MATCH("CPC*",'Semrush Data'!$A$1:$Z$1,0)),"")</f>
        <v>0</v>
      </c>
      <c r="Z274" s="23" t="s">
        <v>3556</v>
      </c>
      <c r="AA274" s="23"/>
      <c r="AB274" s="23" t="s">
        <v>3557</v>
      </c>
      <c r="AC274" s="23" t="s">
        <v>3558</v>
      </c>
      <c r="AD274" s="27" t="n">
        <f aca="false">LEN(AC274)</f>
        <v>57</v>
      </c>
      <c r="AE274" s="23" t="s">
        <v>3559</v>
      </c>
      <c r="AF274" s="27" t="n">
        <f aca="false">LEN(AE274)</f>
        <v>158</v>
      </c>
    </row>
    <row r="275" customFormat="false" ht="15" hidden="false" customHeight="true" outlineLevel="0" collapsed="false">
      <c r="A275" s="23" t="s">
        <v>48</v>
      </c>
      <c r="B275" s="23" t="s">
        <v>2449</v>
      </c>
      <c r="C275" s="23" t="n">
        <v>115</v>
      </c>
      <c r="D275" s="23" t="s">
        <v>3537</v>
      </c>
      <c r="E275" s="23"/>
      <c r="F275" s="23" t="s">
        <v>1735</v>
      </c>
      <c r="G275" s="23" t="s">
        <v>2453</v>
      </c>
      <c r="H275" s="23" t="s">
        <v>2608</v>
      </c>
      <c r="I275" s="23" t="s">
        <v>49</v>
      </c>
      <c r="J275" s="23" t="s">
        <v>1994</v>
      </c>
      <c r="K275" s="23" t="n">
        <v>144</v>
      </c>
      <c r="L275" s="23" t="s">
        <v>3560</v>
      </c>
      <c r="M275" s="23" t="s">
        <v>3561</v>
      </c>
      <c r="N275" s="23" t="s">
        <v>3562</v>
      </c>
      <c r="O275" s="23" t="s">
        <v>248</v>
      </c>
      <c r="P275" s="23" t="s">
        <v>3563</v>
      </c>
      <c r="Q275" s="24" t="n">
        <f aca="false">IF(L275="","",IFERROR(INDEX('Semrush Data'!$A$1:$Z$20000,MATCH(L275,'Semrush Data'!$A$1:$A$20000,0),MATCH("Volume",'Semrush Data'!$A$1:$Z$1,0)),""))</f>
        <v>60500</v>
      </c>
      <c r="R275" s="24" t="n">
        <f aca="false">IF(M275="","",IFERROR(INDEX('Semrush Data'!$A$1:$Z$20000,MATCH(M275,'Semrush Data'!$A$1:$A$20000,0),MATCH("Volume",'Semrush Data'!$A$1:$Z$1,0)),""))</f>
        <v>170</v>
      </c>
      <c r="S275" s="24" t="n">
        <f aca="false">IF(N275="","",IFERROR(INDEX('Semrush Data'!$A$1:$Z$20000,MATCH(N275,'Semrush Data'!$A$1:$A$20000,0),MATCH("Volume",'Semrush Data'!$A$1:$Z$1,0)),""))</f>
        <v>10</v>
      </c>
      <c r="T275" s="24" t="n">
        <f aca="false">IF(O275="","",IFERROR(INDEX('Semrush Data'!$A$1:$Z$20000,MATCH(O275,'Semrush Data'!$A$1:$A$20000,0),MATCH("Volume",'Semrush Data'!$A$1:$Z$1,0)),""))</f>
        <v>590</v>
      </c>
      <c r="U275" s="24" t="n">
        <f aca="false">IF(P275="","",IFERROR(INDEX('Semrush Data'!$A$1:$Z$20000,MATCH(P275,'Semrush Data'!$A$1:$A$20000,0),MATCH("Volume",'Semrush Data'!$A$1:$Z$1,0)),""))</f>
        <v>4400</v>
      </c>
      <c r="V275" s="25" t="str">
        <f aca="false">IF(COUNT(Q275:U275)=0,L275,IF(MAX(Q275:U275)=0,L275,INDEX(L275:P275,MATCH(MAX(Q275:U275),Q275:U275,0))))</f>
        <v>dior sauvage</v>
      </c>
      <c r="W275" s="24" t="n">
        <f aca="false">IFERROR(INDEX('Semrush Data'!$A$1:$Z$20000,MATCH(V275,'Semrush Data'!$A$1:$A$20000,0),MATCH("Volume",'Semrush Data'!$A$1:$Z$1,0)),"")</f>
        <v>60500</v>
      </c>
      <c r="X275" s="24" t="n">
        <f aca="false">IFERROR(INDEX('Semrush Data'!$A$1:$Z$20000,MATCH(V275,'Semrush Data'!$A$1:$A$20000,0),MATCH("Keyword Difficulty*",'Semrush Data'!$A$1:$Z$1,0)),"")</f>
        <v>38</v>
      </c>
      <c r="Y275" s="26" t="n">
        <f aca="false">IFERROR(INDEX('Semrush Data'!$A$1:$Z$20000,MATCH(V275,'Semrush Data'!$A$1:$A$20000,0),MATCH("CPC*",'Semrush Data'!$A$1:$Z$1,0)),"")</f>
        <v>0.57</v>
      </c>
      <c r="Z275" s="23" t="s">
        <v>3564</v>
      </c>
      <c r="AA275" s="23" t="s">
        <v>3565</v>
      </c>
      <c r="AB275" s="23" t="s">
        <v>3566</v>
      </c>
      <c r="AC275" s="23" t="s">
        <v>3567</v>
      </c>
      <c r="AD275" s="27" t="n">
        <f aca="false">LEN(AC275)</f>
        <v>53</v>
      </c>
      <c r="AE275" s="23" t="s">
        <v>3568</v>
      </c>
      <c r="AF275" s="27" t="n">
        <f aca="false">LEN(AE275)</f>
        <v>145</v>
      </c>
    </row>
    <row r="276" customFormat="false" ht="15" hidden="false" customHeight="true" outlineLevel="0" collapsed="false">
      <c r="A276" s="23" t="s">
        <v>3569</v>
      </c>
      <c r="B276" s="23" t="s">
        <v>2449</v>
      </c>
      <c r="C276" s="23" t="n">
        <v>116</v>
      </c>
      <c r="D276" s="23" t="s">
        <v>3570</v>
      </c>
      <c r="E276" s="23"/>
      <c r="F276" s="23" t="s">
        <v>2452</v>
      </c>
      <c r="G276" s="23" t="s">
        <v>2453</v>
      </c>
      <c r="H276" s="23" t="s">
        <v>2454</v>
      </c>
      <c r="I276" s="23" t="s">
        <v>3571</v>
      </c>
      <c r="J276" s="23" t="s">
        <v>1994</v>
      </c>
      <c r="K276" s="23" t="n">
        <v>28.99</v>
      </c>
      <c r="L276" s="23" t="s">
        <v>3572</v>
      </c>
      <c r="M276" s="23" t="s">
        <v>3573</v>
      </c>
      <c r="N276" s="23" t="s">
        <v>3574</v>
      </c>
      <c r="O276" s="23" t="s">
        <v>3575</v>
      </c>
      <c r="P276" s="23" t="s">
        <v>3576</v>
      </c>
      <c r="Q276" s="24" t="n">
        <f aca="false">IF(L276="","",IFERROR(INDEX('Semrush Data'!$A$1:$Z$20000,MATCH(L276,'Semrush Data'!$A$1:$A$20000,0),MATCH("Volume",'Semrush Data'!$A$1:$Z$1,0)),""))</f>
        <v>50</v>
      </c>
      <c r="R276" s="24" t="n">
        <f aca="false">IF(M276="","",IFERROR(INDEX('Semrush Data'!$A$1:$Z$20000,MATCH(M276,'Semrush Data'!$A$1:$A$20000,0),MATCH("Volume",'Semrush Data'!$A$1:$Z$1,0)),""))</f>
        <v>0</v>
      </c>
      <c r="S276" s="24" t="str">
        <f aca="false">IF(N276="","",IFERROR(INDEX('Semrush Data'!$A$1:$Z$20000,MATCH(N276,'Semrush Data'!$A$1:$A$20000,0),MATCH("Volume",'Semrush Data'!$A$1:$Z$1,0)),""))</f>
        <v/>
      </c>
      <c r="T276" s="24" t="str">
        <f aca="false">IF(O276="","",IFERROR(INDEX('Semrush Data'!$A$1:$Z$20000,MATCH(O276,'Semrush Data'!$A$1:$A$20000,0),MATCH("Volume",'Semrush Data'!$A$1:$Z$1,0)),""))</f>
        <v/>
      </c>
      <c r="U276" s="24" t="n">
        <f aca="false">IF(P276="","",IFERROR(INDEX('Semrush Data'!$A$1:$Z$20000,MATCH(P276,'Semrush Data'!$A$1:$A$20000,0),MATCH("Volume",'Semrush Data'!$A$1:$Z$1,0)),""))</f>
        <v>30</v>
      </c>
      <c r="V276" s="25" t="str">
        <f aca="false">IF(COUNT(Q276:U276)=0,L276,IF(MAX(Q276:U276)=0,L276,INDEX(L276:P276,MATCH(MAX(Q276:U276),Q276:U276,0))))</f>
        <v>dkny be delicious orchard street</v>
      </c>
      <c r="W276" s="24" t="n">
        <f aca="false">IFERROR(INDEX('Semrush Data'!$A$1:$Z$20000,MATCH(V276,'Semrush Data'!$A$1:$A$20000,0),MATCH("Volume",'Semrush Data'!$A$1:$Z$1,0)),"")</f>
        <v>50</v>
      </c>
      <c r="X276" s="24" t="n">
        <f aca="false">IFERROR(INDEX('Semrush Data'!$A$1:$Z$20000,MATCH(V276,'Semrush Data'!$A$1:$A$20000,0),MATCH("Keyword Difficulty*",'Semrush Data'!$A$1:$Z$1,0)),"")</f>
        <v>15</v>
      </c>
      <c r="Y276" s="26" t="n">
        <f aca="false">IFERROR(INDEX('Semrush Data'!$A$1:$Z$20000,MATCH(V276,'Semrush Data'!$A$1:$A$20000,0),MATCH("CPC*",'Semrush Data'!$A$1:$Z$1,0)),"")</f>
        <v>0.33</v>
      </c>
      <c r="Z276" s="23" t="s">
        <v>3577</v>
      </c>
      <c r="AA276" s="23" t="s">
        <v>3578</v>
      </c>
      <c r="AB276" s="23" t="s">
        <v>3579</v>
      </c>
      <c r="AC276" s="23" t="s">
        <v>3580</v>
      </c>
      <c r="AD276" s="27" t="n">
        <f aca="false">LEN(AC276)</f>
        <v>60</v>
      </c>
      <c r="AE276" s="23" t="s">
        <v>3581</v>
      </c>
      <c r="AF276" s="27" t="n">
        <f aca="false">LEN(AE276)</f>
        <v>155</v>
      </c>
    </row>
    <row r="277" customFormat="false" ht="15" hidden="false" customHeight="true" outlineLevel="0" collapsed="false">
      <c r="A277" s="23" t="s">
        <v>133</v>
      </c>
      <c r="B277" s="23" t="s">
        <v>2449</v>
      </c>
      <c r="C277" s="23" t="n">
        <v>117</v>
      </c>
      <c r="D277" s="23" t="s">
        <v>3570</v>
      </c>
      <c r="E277" s="23"/>
      <c r="F277" s="23" t="s">
        <v>2452</v>
      </c>
      <c r="G277" s="23" t="s">
        <v>2453</v>
      </c>
      <c r="H277" s="23" t="s">
        <v>2454</v>
      </c>
      <c r="I277" s="23" t="s">
        <v>134</v>
      </c>
      <c r="J277" s="23" t="s">
        <v>1994</v>
      </c>
      <c r="K277" s="23" t="n">
        <v>39.99</v>
      </c>
      <c r="L277" s="23" t="s">
        <v>3582</v>
      </c>
      <c r="M277" s="23" t="s">
        <v>3583</v>
      </c>
      <c r="N277" s="23" t="s">
        <v>3584</v>
      </c>
      <c r="O277" s="23" t="s">
        <v>3585</v>
      </c>
      <c r="P277" s="23" t="s">
        <v>3586</v>
      </c>
      <c r="Q277" s="24" t="n">
        <f aca="false">IF(L277="","",IFERROR(INDEX('Semrush Data'!$A$1:$Z$20000,MATCH(L277,'Semrush Data'!$A$1:$A$20000,0),MATCH("Volume",'Semrush Data'!$A$1:$Z$1,0)),""))</f>
        <v>390</v>
      </c>
      <c r="R277" s="24" t="n">
        <f aca="false">IF(M277="","",IFERROR(INDEX('Semrush Data'!$A$1:$Z$20000,MATCH(M277,'Semrush Data'!$A$1:$A$20000,0),MATCH("Volume",'Semrush Data'!$A$1:$Z$1,0)),""))</f>
        <v>0</v>
      </c>
      <c r="S277" s="24" t="str">
        <f aca="false">IF(N277="","",IFERROR(INDEX('Semrush Data'!$A$1:$Z$20000,MATCH(N277,'Semrush Data'!$A$1:$A$20000,0),MATCH("Volume",'Semrush Data'!$A$1:$Z$1,0)),""))</f>
        <v/>
      </c>
      <c r="T277" s="24" t="str">
        <f aca="false">IF(O277="","",IFERROR(INDEX('Semrush Data'!$A$1:$Z$20000,MATCH(O277,'Semrush Data'!$A$1:$A$20000,0),MATCH("Volume",'Semrush Data'!$A$1:$Z$1,0)),""))</f>
        <v/>
      </c>
      <c r="U277" s="24" t="n">
        <f aca="false">IF(P277="","",IFERROR(INDEX('Semrush Data'!$A$1:$Z$20000,MATCH(P277,'Semrush Data'!$A$1:$A$20000,0),MATCH("Volume",'Semrush Data'!$A$1:$Z$1,0)),""))</f>
        <v>20</v>
      </c>
      <c r="V277" s="25" t="str">
        <f aca="false">IF(COUNT(Q277:U277)=0,L277,IF(MAX(Q277:U277)=0,L277,INDEX(L277:P277,MATCH(MAX(Q277:U277),Q277:U277,0))))</f>
        <v>dkny be tempted</v>
      </c>
      <c r="W277" s="24" t="n">
        <f aca="false">IFERROR(INDEX('Semrush Data'!$A$1:$Z$20000,MATCH(V277,'Semrush Data'!$A$1:$A$20000,0),MATCH("Volume",'Semrush Data'!$A$1:$Z$1,0)),"")</f>
        <v>390</v>
      </c>
      <c r="X277" s="24" t="n">
        <f aca="false">IFERROR(INDEX('Semrush Data'!$A$1:$Z$20000,MATCH(V277,'Semrush Data'!$A$1:$A$20000,0),MATCH("Keyword Difficulty*",'Semrush Data'!$A$1:$Z$1,0)),"")</f>
        <v>16</v>
      </c>
      <c r="Y277" s="26" t="n">
        <f aca="false">IFERROR(INDEX('Semrush Data'!$A$1:$Z$20000,MATCH(V277,'Semrush Data'!$A$1:$A$20000,0),MATCH("CPC*",'Semrush Data'!$A$1:$Z$1,0)),"")</f>
        <v>0.47</v>
      </c>
      <c r="Z277" s="23" t="s">
        <v>3577</v>
      </c>
      <c r="AA277" s="23" t="s">
        <v>3587</v>
      </c>
      <c r="AB277" s="23" t="s">
        <v>3588</v>
      </c>
      <c r="AC277" s="23" t="s">
        <v>3589</v>
      </c>
      <c r="AD277" s="27" t="n">
        <f aca="false">LEN(AC277)</f>
        <v>56</v>
      </c>
      <c r="AE277" s="23" t="s">
        <v>3590</v>
      </c>
      <c r="AF277" s="27" t="n">
        <f aca="false">LEN(AE277)</f>
        <v>151</v>
      </c>
    </row>
    <row r="278" customFormat="false" ht="15" hidden="false" customHeight="true" outlineLevel="0" collapsed="false">
      <c r="A278" s="23" t="s">
        <v>3591</v>
      </c>
      <c r="B278" s="23" t="s">
        <v>2449</v>
      </c>
      <c r="C278" s="23" t="n">
        <v>118</v>
      </c>
      <c r="D278" s="23" t="s">
        <v>3570</v>
      </c>
      <c r="E278" s="23"/>
      <c r="F278" s="23" t="s">
        <v>1735</v>
      </c>
      <c r="G278" s="23" t="s">
        <v>2453</v>
      </c>
      <c r="H278" s="23" t="s">
        <v>3592</v>
      </c>
      <c r="I278" s="23" t="s">
        <v>3593</v>
      </c>
      <c r="J278" s="23" t="s">
        <v>3594</v>
      </c>
      <c r="K278" s="23" t="n">
        <v>41.99</v>
      </c>
      <c r="L278" s="23" t="s">
        <v>3595</v>
      </c>
      <c r="M278" s="23" t="s">
        <v>3596</v>
      </c>
      <c r="N278" s="23" t="s">
        <v>3597</v>
      </c>
      <c r="O278" s="23" t="s">
        <v>3598</v>
      </c>
      <c r="P278" s="23"/>
      <c r="Q278" s="24" t="n">
        <f aca="false">IF(L278="","",IFERROR(INDEX('Semrush Data'!$A$1:$Z$20000,MATCH(L278,'Semrush Data'!$A$1:$A$20000,0),MATCH("Volume",'Semrush Data'!$A$1:$Z$1,0)),""))</f>
        <v>0</v>
      </c>
      <c r="R278" s="24" t="str">
        <f aca="false">IF(M278="","",IFERROR(INDEX('Semrush Data'!$A$1:$Z$20000,MATCH(M278,'Semrush Data'!$A$1:$A$20000,0),MATCH("Volume",'Semrush Data'!$A$1:$Z$1,0)),""))</f>
        <v/>
      </c>
      <c r="S278" s="24" t="str">
        <f aca="false">IF(N278="","",IFERROR(INDEX('Semrush Data'!$A$1:$Z$20000,MATCH(N278,'Semrush Data'!$A$1:$A$20000,0),MATCH("Volume",'Semrush Data'!$A$1:$Z$1,0)),""))</f>
        <v/>
      </c>
      <c r="T278" s="24" t="str">
        <f aca="false">IF(O278="","",IFERROR(INDEX('Semrush Data'!$A$1:$Z$20000,MATCH(O278,'Semrush Data'!$A$1:$A$20000,0),MATCH("Volume",'Semrush Data'!$A$1:$Z$1,0)),""))</f>
        <v/>
      </c>
      <c r="U278" s="24" t="str">
        <f aca="false">IF(P278="","",IFERROR(INDEX('Semrush Data'!$A$1:$Z$20000,MATCH(P278,'Semrush Data'!$A$1:$A$20000,0),MATCH("Volume",'Semrush Data'!$A$1:$Z$1,0)),""))</f>
        <v/>
      </c>
      <c r="V278" s="25" t="str">
        <f aca="false">IF(COUNT(Q278:U278)=0,L278,IF(MAX(Q278:U278)=0,L278,INDEX(L278:P278,MATCH(MAX(Q278:U278),Q278:U278,0))))</f>
        <v>dkny be delicious &amp; be delicious fresh blossom gift set</v>
      </c>
      <c r="W278" s="24" t="n">
        <f aca="false">IFERROR(INDEX('Semrush Data'!$A$1:$Z$20000,MATCH(V278,'Semrush Data'!$A$1:$A$20000,0),MATCH("Volume",'Semrush Data'!$A$1:$Z$1,0)),"")</f>
        <v>0</v>
      </c>
      <c r="X278" s="24" t="n">
        <f aca="false">IFERROR(INDEX('Semrush Data'!$A$1:$Z$20000,MATCH(V278,'Semrush Data'!$A$1:$A$20000,0),MATCH("Keyword Difficulty*",'Semrush Data'!$A$1:$Z$1,0)),"")</f>
        <v>14</v>
      </c>
      <c r="Y278" s="26" t="n">
        <f aca="false">IFERROR(INDEX('Semrush Data'!$A$1:$Z$20000,MATCH(V278,'Semrush Data'!$A$1:$A$20000,0),MATCH("CPC*",'Semrush Data'!$A$1:$Z$1,0)),"")</f>
        <v>0</v>
      </c>
      <c r="Z278" s="23" t="s">
        <v>3599</v>
      </c>
      <c r="AA278" s="23" t="s">
        <v>3600</v>
      </c>
      <c r="AB278" s="23" t="s">
        <v>3601</v>
      </c>
      <c r="AC278" s="23" t="s">
        <v>3602</v>
      </c>
      <c r="AD278" s="27" t="n">
        <f aca="false">LEN(AC278)</f>
        <v>52</v>
      </c>
      <c r="AE278" s="23" t="s">
        <v>3603</v>
      </c>
      <c r="AF278" s="27" t="n">
        <f aca="false">LEN(AE278)</f>
        <v>160</v>
      </c>
    </row>
    <row r="279" customFormat="false" ht="15" hidden="false" customHeight="true" outlineLevel="0" collapsed="false">
      <c r="A279" s="23" t="s">
        <v>3604</v>
      </c>
      <c r="B279" s="23" t="s">
        <v>2449</v>
      </c>
      <c r="C279" s="23" t="n">
        <v>119</v>
      </c>
      <c r="D279" s="23" t="s">
        <v>3570</v>
      </c>
      <c r="E279" s="23"/>
      <c r="F279" s="23" t="s">
        <v>1735</v>
      </c>
      <c r="G279" s="23" t="s">
        <v>2453</v>
      </c>
      <c r="H279" s="23" t="s">
        <v>2516</v>
      </c>
      <c r="I279" s="23" t="s">
        <v>3605</v>
      </c>
      <c r="J279" s="23" t="s">
        <v>3606</v>
      </c>
      <c r="K279" s="23" t="n">
        <v>35.99</v>
      </c>
      <c r="L279" s="23" t="s">
        <v>3607</v>
      </c>
      <c r="M279" s="23" t="s">
        <v>3608</v>
      </c>
      <c r="N279" s="23" t="s">
        <v>3609</v>
      </c>
      <c r="O279" s="23" t="s">
        <v>3610</v>
      </c>
      <c r="P279" s="23"/>
      <c r="Q279" s="24" t="n">
        <f aca="false">IF(L279="","",IFERROR(INDEX('Semrush Data'!$A$1:$Z$20000,MATCH(L279,'Semrush Data'!$A$1:$A$20000,0),MATCH("Volume",'Semrush Data'!$A$1:$Z$1,0)),""))</f>
        <v>30</v>
      </c>
      <c r="R279" s="24" t="str">
        <f aca="false">IF(M279="","",IFERROR(INDEX('Semrush Data'!$A$1:$Z$20000,MATCH(M279,'Semrush Data'!$A$1:$A$20000,0),MATCH("Volume",'Semrush Data'!$A$1:$Z$1,0)),""))</f>
        <v/>
      </c>
      <c r="S279" s="24" t="str">
        <f aca="false">IF(N279="","",IFERROR(INDEX('Semrush Data'!$A$1:$Z$20000,MATCH(N279,'Semrush Data'!$A$1:$A$20000,0),MATCH("Volume",'Semrush Data'!$A$1:$Z$1,0)),""))</f>
        <v/>
      </c>
      <c r="T279" s="24" t="str">
        <f aca="false">IF(O279="","",IFERROR(INDEX('Semrush Data'!$A$1:$Z$20000,MATCH(O279,'Semrush Data'!$A$1:$A$20000,0),MATCH("Volume",'Semrush Data'!$A$1:$Z$1,0)),""))</f>
        <v/>
      </c>
      <c r="U279" s="24" t="str">
        <f aca="false">IF(P279="","",IFERROR(INDEX('Semrush Data'!$A$1:$Z$20000,MATCH(P279,'Semrush Data'!$A$1:$A$20000,0),MATCH("Volume",'Semrush Data'!$A$1:$Z$1,0)),""))</f>
        <v/>
      </c>
      <c r="V279" s="25" t="str">
        <f aca="false">IF(COUNT(Q279:U279)=0,L279,IF(MAX(Q279:U279)=0,L279,INDEX(L279:P279,MATCH(MAX(Q279:U279),Q279:U279,0))))</f>
        <v>dkny miniature set</v>
      </c>
      <c r="W279" s="24" t="n">
        <f aca="false">IFERROR(INDEX('Semrush Data'!$A$1:$Z$20000,MATCH(V279,'Semrush Data'!$A$1:$A$20000,0),MATCH("Volume",'Semrush Data'!$A$1:$Z$1,0)),"")</f>
        <v>30</v>
      </c>
      <c r="X279" s="24" t="n">
        <f aca="false">IFERROR(INDEX('Semrush Data'!$A$1:$Z$20000,MATCH(V279,'Semrush Data'!$A$1:$A$20000,0),MATCH("Keyword Difficulty*",'Semrush Data'!$A$1:$Z$1,0)),"")</f>
        <v>10</v>
      </c>
      <c r="Y279" s="26" t="n">
        <f aca="false">IFERROR(INDEX('Semrush Data'!$A$1:$Z$20000,MATCH(V279,'Semrush Data'!$A$1:$A$20000,0),MATCH("CPC*",'Semrush Data'!$A$1:$Z$1,0)),"")</f>
        <v>0</v>
      </c>
      <c r="Z279" s="23" t="s">
        <v>3611</v>
      </c>
      <c r="AA279" s="23" t="s">
        <v>3612</v>
      </c>
      <c r="AB279" s="23" t="s">
        <v>3613</v>
      </c>
      <c r="AC279" s="23" t="s">
        <v>3614</v>
      </c>
      <c r="AD279" s="27" t="n">
        <f aca="false">LEN(AC279)</f>
        <v>60</v>
      </c>
      <c r="AE279" s="23" t="s">
        <v>3615</v>
      </c>
      <c r="AF279" s="27" t="n">
        <f aca="false">LEN(AE279)</f>
        <v>160</v>
      </c>
    </row>
    <row r="280" customFormat="false" ht="15" hidden="false" customHeight="true" outlineLevel="0" collapsed="false">
      <c r="A280" s="23" t="s">
        <v>3616</v>
      </c>
      <c r="B280" s="23" t="s">
        <v>2449</v>
      </c>
      <c r="C280" s="23" t="n">
        <v>120</v>
      </c>
      <c r="D280" s="23" t="s">
        <v>3617</v>
      </c>
      <c r="E280" s="23"/>
      <c r="F280" s="23" t="s">
        <v>2452</v>
      </c>
      <c r="G280" s="23" t="s">
        <v>2453</v>
      </c>
      <c r="H280" s="23" t="s">
        <v>3618</v>
      </c>
      <c r="I280" s="23" t="s">
        <v>3619</v>
      </c>
      <c r="J280" s="23" t="s">
        <v>1994</v>
      </c>
      <c r="K280" s="23" t="n">
        <v>54.99</v>
      </c>
      <c r="L280" s="23" t="s">
        <v>3620</v>
      </c>
      <c r="M280" s="23" t="s">
        <v>3621</v>
      </c>
      <c r="N280" s="23" t="s">
        <v>3622</v>
      </c>
      <c r="O280" s="23" t="s">
        <v>3623</v>
      </c>
      <c r="P280" s="23" t="s">
        <v>3624</v>
      </c>
      <c r="Q280" s="24" t="n">
        <f aca="false">IF(L280="","",IFERROR(INDEX('Semrush Data'!$A$1:$Z$20000,MATCH(L280,'Semrush Data'!$A$1:$A$20000,0),MATCH("Volume",'Semrush Data'!$A$1:$Z$1,0)),""))</f>
        <v>260</v>
      </c>
      <c r="R280" s="24" t="n">
        <f aca="false">IF(M280="","",IFERROR(INDEX('Semrush Data'!$A$1:$Z$20000,MATCH(M280,'Semrush Data'!$A$1:$A$20000,0),MATCH("Volume",'Semrush Data'!$A$1:$Z$1,0)),""))</f>
        <v>20</v>
      </c>
      <c r="S280" s="24" t="str">
        <f aca="false">IF(N280="","",IFERROR(INDEX('Semrush Data'!$A$1:$Z$20000,MATCH(N280,'Semrush Data'!$A$1:$A$20000,0),MATCH("Volume",'Semrush Data'!$A$1:$Z$1,0)),""))</f>
        <v/>
      </c>
      <c r="T280" s="24" t="str">
        <f aca="false">IF(O280="","",IFERROR(INDEX('Semrush Data'!$A$1:$Z$20000,MATCH(O280,'Semrush Data'!$A$1:$A$20000,0),MATCH("Volume",'Semrush Data'!$A$1:$Z$1,0)),""))</f>
        <v/>
      </c>
      <c r="U280" s="24" t="n">
        <f aca="false">IF(P280="","",IFERROR(INDEX('Semrush Data'!$A$1:$Z$20000,MATCH(P280,'Semrush Data'!$A$1:$A$20000,0),MATCH("Volume",'Semrush Data'!$A$1:$Z$1,0)),""))</f>
        <v>110</v>
      </c>
      <c r="V280" s="25" t="str">
        <f aca="false">IF(COUNT(Q280:U280)=0,L280,IF(MAX(Q280:U280)=0,L280,INDEX(L280:P280,MATCH(MAX(Q280:U280),Q280:U280,0))))</f>
        <v>dolce &amp; gabbana devotion</v>
      </c>
      <c r="W280" s="24" t="n">
        <f aca="false">IFERROR(INDEX('Semrush Data'!$A$1:$Z$20000,MATCH(V280,'Semrush Data'!$A$1:$A$20000,0),MATCH("Volume",'Semrush Data'!$A$1:$Z$1,0)),"")</f>
        <v>260</v>
      </c>
      <c r="X280" s="24" t="n">
        <f aca="false">IFERROR(INDEX('Semrush Data'!$A$1:$Z$20000,MATCH(V280,'Semrush Data'!$A$1:$A$20000,0),MATCH("Keyword Difficulty*",'Semrush Data'!$A$1:$Z$1,0)),"")</f>
        <v>17</v>
      </c>
      <c r="Y280" s="26" t="n">
        <f aca="false">IFERROR(INDEX('Semrush Data'!$A$1:$Z$20000,MATCH(V280,'Semrush Data'!$A$1:$A$20000,0),MATCH("CPC*",'Semrush Data'!$A$1:$Z$1,0)),"")</f>
        <v>0.39</v>
      </c>
      <c r="Z280" s="23" t="s">
        <v>3625</v>
      </c>
      <c r="AA280" s="23" t="s">
        <v>3626</v>
      </c>
      <c r="AB280" s="23" t="s">
        <v>3627</v>
      </c>
      <c r="AC280" s="23" t="s">
        <v>3628</v>
      </c>
      <c r="AD280" s="27" t="n">
        <f aca="false">LEN(AC280)</f>
        <v>52</v>
      </c>
      <c r="AE280" s="23" t="s">
        <v>3629</v>
      </c>
      <c r="AF280" s="27" t="n">
        <f aca="false">LEN(AE280)</f>
        <v>156</v>
      </c>
    </row>
    <row r="281" customFormat="false" ht="15" hidden="false" customHeight="true" outlineLevel="0" collapsed="false">
      <c r="A281" s="23" t="s">
        <v>3630</v>
      </c>
      <c r="B281" s="23" t="s">
        <v>2449</v>
      </c>
      <c r="C281" s="23" t="n">
        <v>121</v>
      </c>
      <c r="D281" s="23" t="s">
        <v>3617</v>
      </c>
      <c r="E281" s="23"/>
      <c r="F281" s="23" t="s">
        <v>2452</v>
      </c>
      <c r="G281" s="23" t="s">
        <v>2453</v>
      </c>
      <c r="H281" s="23" t="s">
        <v>2454</v>
      </c>
      <c r="I281" s="23" t="s">
        <v>3631</v>
      </c>
      <c r="J281" s="23" t="s">
        <v>1994</v>
      </c>
      <c r="K281" s="23" t="n">
        <v>53.99</v>
      </c>
      <c r="L281" s="23" t="s">
        <v>3632</v>
      </c>
      <c r="M281" s="23" t="s">
        <v>3633</v>
      </c>
      <c r="N281" s="23" t="s">
        <v>3634</v>
      </c>
      <c r="O281" s="23" t="s">
        <v>3635</v>
      </c>
      <c r="P281" s="23" t="s">
        <v>3636</v>
      </c>
      <c r="Q281" s="24" t="n">
        <f aca="false">IF(L281="","",IFERROR(INDEX('Semrush Data'!$A$1:$Z$20000,MATCH(L281,'Semrush Data'!$A$1:$A$20000,0),MATCH("Volume",'Semrush Data'!$A$1:$Z$1,0)),""))</f>
        <v>20</v>
      </c>
      <c r="R281" s="24" t="str">
        <f aca="false">IF(M281="","",IFERROR(INDEX('Semrush Data'!$A$1:$Z$20000,MATCH(M281,'Semrush Data'!$A$1:$A$20000,0),MATCH("Volume",'Semrush Data'!$A$1:$Z$1,0)),""))</f>
        <v/>
      </c>
      <c r="S281" s="24" t="str">
        <f aca="false">IF(N281="","",IFERROR(INDEX('Semrush Data'!$A$1:$Z$20000,MATCH(N281,'Semrush Data'!$A$1:$A$20000,0),MATCH("Volume",'Semrush Data'!$A$1:$Z$1,0)),""))</f>
        <v/>
      </c>
      <c r="T281" s="24" t="str">
        <f aca="false">IF(O281="","",IFERROR(INDEX('Semrush Data'!$A$1:$Z$20000,MATCH(O281,'Semrush Data'!$A$1:$A$20000,0),MATCH("Volume",'Semrush Data'!$A$1:$Z$1,0)),""))</f>
        <v/>
      </c>
      <c r="U281" s="24" t="str">
        <f aca="false">IF(P281="","",IFERROR(INDEX('Semrush Data'!$A$1:$Z$20000,MATCH(P281,'Semrush Data'!$A$1:$A$20000,0),MATCH("Volume",'Semrush Data'!$A$1:$Z$1,0)),""))</f>
        <v/>
      </c>
      <c r="V281" s="25" t="str">
        <f aca="false">IF(COUNT(Q281:U281)=0,L281,IF(MAX(Q281:U281)=0,L281,INDEX(L281:P281,MATCH(MAX(Q281:U281),Q281:U281,0))))</f>
        <v>dolce &amp; gabbana q</v>
      </c>
      <c r="W281" s="24" t="n">
        <f aca="false">IFERROR(INDEX('Semrush Data'!$A$1:$Z$20000,MATCH(V281,'Semrush Data'!$A$1:$A$20000,0),MATCH("Volume",'Semrush Data'!$A$1:$Z$1,0)),"")</f>
        <v>20</v>
      </c>
      <c r="X281" s="24" t="n">
        <f aca="false">IFERROR(INDEX('Semrush Data'!$A$1:$Z$20000,MATCH(V281,'Semrush Data'!$A$1:$A$20000,0),MATCH("Keyword Difficulty*",'Semrush Data'!$A$1:$Z$1,0)),"")</f>
        <v>19</v>
      </c>
      <c r="Y281" s="26" t="n">
        <f aca="false">IFERROR(INDEX('Semrush Data'!$A$1:$Z$20000,MATCH(V281,'Semrush Data'!$A$1:$A$20000,0),MATCH("CPC*",'Semrush Data'!$A$1:$Z$1,0)),"")</f>
        <v>0.45</v>
      </c>
      <c r="Z281" s="23" t="s">
        <v>3637</v>
      </c>
      <c r="AA281" s="23" t="s">
        <v>3638</v>
      </c>
      <c r="AB281" s="23" t="s">
        <v>3639</v>
      </c>
      <c r="AC281" s="23" t="s">
        <v>3640</v>
      </c>
      <c r="AD281" s="27" t="n">
        <f aca="false">LEN(AC281)</f>
        <v>58</v>
      </c>
      <c r="AE281" s="23" t="s">
        <v>3641</v>
      </c>
      <c r="AF281" s="27" t="n">
        <f aca="false">LEN(AE281)</f>
        <v>153</v>
      </c>
    </row>
    <row r="282" customFormat="false" ht="15" hidden="false" customHeight="true" outlineLevel="0" collapsed="false">
      <c r="A282" s="23" t="s">
        <v>101</v>
      </c>
      <c r="B282" s="23" t="s">
        <v>2449</v>
      </c>
      <c r="C282" s="23" t="n">
        <v>122</v>
      </c>
      <c r="D282" s="23" t="s">
        <v>3617</v>
      </c>
      <c r="E282" s="23"/>
      <c r="F282" s="23" t="s">
        <v>2452</v>
      </c>
      <c r="G282" s="23" t="s">
        <v>2453</v>
      </c>
      <c r="H282" s="23" t="s">
        <v>2608</v>
      </c>
      <c r="I282" s="23" t="s">
        <v>102</v>
      </c>
      <c r="J282" s="23" t="s">
        <v>1994</v>
      </c>
      <c r="K282" s="23" t="n">
        <v>54.99</v>
      </c>
      <c r="L282" s="23" t="s">
        <v>3642</v>
      </c>
      <c r="M282" s="23" t="s">
        <v>3643</v>
      </c>
      <c r="N282" s="23" t="s">
        <v>3644</v>
      </c>
      <c r="O282" s="23" t="s">
        <v>3645</v>
      </c>
      <c r="P282" s="23" t="s">
        <v>3646</v>
      </c>
      <c r="Q282" s="24" t="n">
        <f aca="false">IF(L282="","",IFERROR(INDEX('Semrush Data'!$A$1:$Z$20000,MATCH(L282,'Semrush Data'!$A$1:$A$20000,0),MATCH("Volume",'Semrush Data'!$A$1:$Z$1,0)),""))</f>
        <v>720</v>
      </c>
      <c r="R282" s="24" t="n">
        <f aca="false">IF(M282="","",IFERROR(INDEX('Semrush Data'!$A$1:$Z$20000,MATCH(M282,'Semrush Data'!$A$1:$A$20000,0),MATCH("Volume",'Semrush Data'!$A$1:$Z$1,0)),""))</f>
        <v>20</v>
      </c>
      <c r="S282" s="24" t="str">
        <f aca="false">IF(N282="","",IFERROR(INDEX('Semrush Data'!$A$1:$Z$20000,MATCH(N282,'Semrush Data'!$A$1:$A$20000,0),MATCH("Volume",'Semrush Data'!$A$1:$Z$1,0)),""))</f>
        <v/>
      </c>
      <c r="T282" s="24" t="str">
        <f aca="false">IF(O282="","",IFERROR(INDEX('Semrush Data'!$A$1:$Z$20000,MATCH(O282,'Semrush Data'!$A$1:$A$20000,0),MATCH("Volume",'Semrush Data'!$A$1:$Z$1,0)),""))</f>
        <v/>
      </c>
      <c r="U282" s="24" t="n">
        <f aca="false">IF(P282="","",IFERROR(INDEX('Semrush Data'!$A$1:$Z$20000,MATCH(P282,'Semrush Data'!$A$1:$A$20000,0),MATCH("Volume",'Semrush Data'!$A$1:$Z$1,0)),""))</f>
        <v>140</v>
      </c>
      <c r="V282" s="25" t="str">
        <f aca="false">IF(COUNT(Q282:U282)=0,L282,IF(MAX(Q282:U282)=0,L282,INDEX(L282:P282,MATCH(MAX(Q282:U282),Q282:U282,0))))</f>
        <v>dolce &amp; gabbana the one</v>
      </c>
      <c r="W282" s="24" t="n">
        <f aca="false">IFERROR(INDEX('Semrush Data'!$A$1:$Z$20000,MATCH(V282,'Semrush Data'!$A$1:$A$20000,0),MATCH("Volume",'Semrush Data'!$A$1:$Z$1,0)),"")</f>
        <v>720</v>
      </c>
      <c r="X282" s="24" t="n">
        <f aca="false">IFERROR(INDEX('Semrush Data'!$A$1:$Z$20000,MATCH(V282,'Semrush Data'!$A$1:$A$20000,0),MATCH("Keyword Difficulty*",'Semrush Data'!$A$1:$Z$1,0)),"")</f>
        <v>17</v>
      </c>
      <c r="Y282" s="26" t="n">
        <f aca="false">IFERROR(INDEX('Semrush Data'!$A$1:$Z$20000,MATCH(V282,'Semrush Data'!$A$1:$A$20000,0),MATCH("CPC*",'Semrush Data'!$A$1:$Z$1,0)),"")</f>
        <v>0.39</v>
      </c>
      <c r="Z282" s="23" t="s">
        <v>3647</v>
      </c>
      <c r="AA282" s="23" t="s">
        <v>3648</v>
      </c>
      <c r="AB282" s="23" t="s">
        <v>3649</v>
      </c>
      <c r="AC282" s="23" t="s">
        <v>3650</v>
      </c>
      <c r="AD282" s="27" t="n">
        <f aca="false">LEN(AC282)</f>
        <v>59</v>
      </c>
      <c r="AE282" s="23" t="s">
        <v>3651</v>
      </c>
      <c r="AF282" s="27" t="n">
        <f aca="false">LEN(AE282)</f>
        <v>158</v>
      </c>
    </row>
    <row r="283" customFormat="false" ht="15" hidden="false" customHeight="true" outlineLevel="0" collapsed="false">
      <c r="A283" s="23" t="s">
        <v>3652</v>
      </c>
      <c r="B283" s="23" t="s">
        <v>2449</v>
      </c>
      <c r="C283" s="23" t="n">
        <v>123</v>
      </c>
      <c r="D283" s="23" t="s">
        <v>3617</v>
      </c>
      <c r="E283" s="23"/>
      <c r="F283" s="23" t="s">
        <v>2452</v>
      </c>
      <c r="G283" s="23" t="s">
        <v>2453</v>
      </c>
      <c r="H283" s="23" t="s">
        <v>2608</v>
      </c>
      <c r="I283" s="23" t="s">
        <v>3653</v>
      </c>
      <c r="J283" s="23" t="s">
        <v>2934</v>
      </c>
      <c r="K283" s="23" t="n">
        <v>69.99</v>
      </c>
      <c r="L283" s="23" t="s">
        <v>3642</v>
      </c>
      <c r="M283" s="23" t="s">
        <v>3643</v>
      </c>
      <c r="N283" s="23" t="s">
        <v>3644</v>
      </c>
      <c r="O283" s="23" t="s">
        <v>3645</v>
      </c>
      <c r="P283" s="23" t="s">
        <v>3646</v>
      </c>
      <c r="Q283" s="24" t="n">
        <f aca="false">IF(L283="","",IFERROR(INDEX('Semrush Data'!$A$1:$Z$20000,MATCH(L283,'Semrush Data'!$A$1:$A$20000,0),MATCH("Volume",'Semrush Data'!$A$1:$Z$1,0)),""))</f>
        <v>720</v>
      </c>
      <c r="R283" s="24" t="n">
        <f aca="false">IF(M283="","",IFERROR(INDEX('Semrush Data'!$A$1:$Z$20000,MATCH(M283,'Semrush Data'!$A$1:$A$20000,0),MATCH("Volume",'Semrush Data'!$A$1:$Z$1,0)),""))</f>
        <v>20</v>
      </c>
      <c r="S283" s="24" t="str">
        <f aca="false">IF(N283="","",IFERROR(INDEX('Semrush Data'!$A$1:$Z$20000,MATCH(N283,'Semrush Data'!$A$1:$A$20000,0),MATCH("Volume",'Semrush Data'!$A$1:$Z$1,0)),""))</f>
        <v/>
      </c>
      <c r="T283" s="24" t="str">
        <f aca="false">IF(O283="","",IFERROR(INDEX('Semrush Data'!$A$1:$Z$20000,MATCH(O283,'Semrush Data'!$A$1:$A$20000,0),MATCH("Volume",'Semrush Data'!$A$1:$Z$1,0)),""))</f>
        <v/>
      </c>
      <c r="U283" s="24" t="n">
        <f aca="false">IF(P283="","",IFERROR(INDEX('Semrush Data'!$A$1:$Z$20000,MATCH(P283,'Semrush Data'!$A$1:$A$20000,0),MATCH("Volume",'Semrush Data'!$A$1:$Z$1,0)),""))</f>
        <v>140</v>
      </c>
      <c r="V283" s="25" t="str">
        <f aca="false">IF(COUNT(Q283:U283)=0,L283,IF(MAX(Q283:U283)=0,L283,INDEX(L283:P283,MATCH(MAX(Q283:U283),Q283:U283,0))))</f>
        <v>dolce &amp; gabbana the one</v>
      </c>
      <c r="W283" s="24" t="n">
        <f aca="false">IFERROR(INDEX('Semrush Data'!$A$1:$Z$20000,MATCH(V283,'Semrush Data'!$A$1:$A$20000,0),MATCH("Volume",'Semrush Data'!$A$1:$Z$1,0)),"")</f>
        <v>720</v>
      </c>
      <c r="X283" s="24" t="n">
        <f aca="false">IFERROR(INDEX('Semrush Data'!$A$1:$Z$20000,MATCH(V283,'Semrush Data'!$A$1:$A$20000,0),MATCH("Keyword Difficulty*",'Semrush Data'!$A$1:$Z$1,0)),"")</f>
        <v>17</v>
      </c>
      <c r="Y283" s="26" t="n">
        <f aca="false">IFERROR(INDEX('Semrush Data'!$A$1:$Z$20000,MATCH(V283,'Semrush Data'!$A$1:$A$20000,0),MATCH("CPC*",'Semrush Data'!$A$1:$Z$1,0)),"")</f>
        <v>0.39</v>
      </c>
      <c r="Z283" s="23" t="s">
        <v>3647</v>
      </c>
      <c r="AA283" s="23" t="s">
        <v>3648</v>
      </c>
      <c r="AB283" s="23" t="s">
        <v>3649</v>
      </c>
      <c r="AC283" s="23" t="s">
        <v>3650</v>
      </c>
      <c r="AD283" s="27" t="n">
        <f aca="false">LEN(AC283)</f>
        <v>59</v>
      </c>
      <c r="AE283" s="23" t="s">
        <v>3654</v>
      </c>
      <c r="AF283" s="27" t="n">
        <f aca="false">LEN(AE283)</f>
        <v>158</v>
      </c>
    </row>
    <row r="284" customFormat="false" ht="15" hidden="false" customHeight="true" outlineLevel="0" collapsed="false">
      <c r="A284" s="23" t="s">
        <v>3655</v>
      </c>
      <c r="B284" s="23" t="s">
        <v>2449</v>
      </c>
      <c r="C284" s="23" t="n">
        <v>124</v>
      </c>
      <c r="D284" s="23" t="s">
        <v>3617</v>
      </c>
      <c r="E284" s="23"/>
      <c r="F284" s="23" t="s">
        <v>2452</v>
      </c>
      <c r="G284" s="23" t="s">
        <v>2453</v>
      </c>
      <c r="H284" s="23" t="s">
        <v>2608</v>
      </c>
      <c r="I284" s="23" t="s">
        <v>3656</v>
      </c>
      <c r="J284" s="23" t="s">
        <v>1994</v>
      </c>
      <c r="K284" s="23" t="n">
        <v>54.99</v>
      </c>
      <c r="L284" s="23" t="s">
        <v>3657</v>
      </c>
      <c r="M284" s="23" t="s">
        <v>3658</v>
      </c>
      <c r="N284" s="23" t="s">
        <v>3659</v>
      </c>
      <c r="O284" s="23" t="s">
        <v>3660</v>
      </c>
      <c r="P284" s="23" t="s">
        <v>3661</v>
      </c>
      <c r="Q284" s="24" t="n">
        <f aca="false">IF(L284="","",IFERROR(INDEX('Semrush Data'!$A$1:$Z$20000,MATCH(L284,'Semrush Data'!$A$1:$A$20000,0),MATCH("Volume",'Semrush Data'!$A$1:$Z$1,0)),""))</f>
        <v>70</v>
      </c>
      <c r="R284" s="24" t="n">
        <f aca="false">IF(M284="","",IFERROR(INDEX('Semrush Data'!$A$1:$Z$20000,MATCH(M284,'Semrush Data'!$A$1:$A$20000,0),MATCH("Volume",'Semrush Data'!$A$1:$Z$1,0)),""))</f>
        <v>0</v>
      </c>
      <c r="S284" s="24" t="str">
        <f aca="false">IF(N284="","",IFERROR(INDEX('Semrush Data'!$A$1:$Z$20000,MATCH(N284,'Semrush Data'!$A$1:$A$20000,0),MATCH("Volume",'Semrush Data'!$A$1:$Z$1,0)),""))</f>
        <v/>
      </c>
      <c r="T284" s="24" t="str">
        <f aca="false">IF(O284="","",IFERROR(INDEX('Semrush Data'!$A$1:$Z$20000,MATCH(O284,'Semrush Data'!$A$1:$A$20000,0),MATCH("Volume",'Semrush Data'!$A$1:$Z$1,0)),""))</f>
        <v/>
      </c>
      <c r="U284" s="24" t="n">
        <f aca="false">IF(P284="","",IFERROR(INDEX('Semrush Data'!$A$1:$Z$20000,MATCH(P284,'Semrush Data'!$A$1:$A$20000,0),MATCH("Volume",'Semrush Data'!$A$1:$Z$1,0)),""))</f>
        <v>20</v>
      </c>
      <c r="V284" s="25" t="str">
        <f aca="false">IF(COUNT(Q284:U284)=0,L284,IF(MAX(Q284:U284)=0,L284,INDEX(L284:P284,MATCH(MAX(Q284:U284),Q284:U284,0))))</f>
        <v>dolce &amp; gabbana the one intense</v>
      </c>
      <c r="W284" s="24" t="n">
        <f aca="false">IFERROR(INDEX('Semrush Data'!$A$1:$Z$20000,MATCH(V284,'Semrush Data'!$A$1:$A$20000,0),MATCH("Volume",'Semrush Data'!$A$1:$Z$1,0)),"")</f>
        <v>70</v>
      </c>
      <c r="X284" s="24" t="n">
        <f aca="false">IFERROR(INDEX('Semrush Data'!$A$1:$Z$20000,MATCH(V284,'Semrush Data'!$A$1:$A$20000,0),MATCH("Keyword Difficulty*",'Semrush Data'!$A$1:$Z$1,0)),"")</f>
        <v>21</v>
      </c>
      <c r="Y284" s="26" t="n">
        <f aca="false">IFERROR(INDEX('Semrush Data'!$A$1:$Z$20000,MATCH(V284,'Semrush Data'!$A$1:$A$20000,0),MATCH("CPC*",'Semrush Data'!$A$1:$Z$1,0)),"")</f>
        <v>0</v>
      </c>
      <c r="Z284" s="23" t="s">
        <v>3647</v>
      </c>
      <c r="AA284" s="23" t="s">
        <v>3662</v>
      </c>
      <c r="AB284" s="23" t="s">
        <v>3663</v>
      </c>
      <c r="AC284" s="23" t="s">
        <v>3664</v>
      </c>
      <c r="AD284" s="27" t="n">
        <f aca="false">LEN(AC284)</f>
        <v>59</v>
      </c>
      <c r="AE284" s="23" t="s">
        <v>3665</v>
      </c>
      <c r="AF284" s="27" t="n">
        <f aca="false">LEN(AE284)</f>
        <v>159</v>
      </c>
    </row>
    <row r="285" customFormat="false" ht="15" hidden="false" customHeight="true" outlineLevel="0" collapsed="false">
      <c r="A285" s="23" t="s">
        <v>3666</v>
      </c>
      <c r="B285" s="23" t="s">
        <v>2449</v>
      </c>
      <c r="C285" s="23" t="n">
        <v>125</v>
      </c>
      <c r="D285" s="23" t="s">
        <v>3617</v>
      </c>
      <c r="E285" s="23"/>
      <c r="F285" s="23" t="s">
        <v>2452</v>
      </c>
      <c r="G285" s="23" t="s">
        <v>2453</v>
      </c>
      <c r="H285" s="23" t="s">
        <v>2608</v>
      </c>
      <c r="I285" s="23" t="s">
        <v>3667</v>
      </c>
      <c r="J285" s="23" t="s">
        <v>1994</v>
      </c>
      <c r="K285" s="23" t="n">
        <v>54.99</v>
      </c>
      <c r="L285" s="23" t="s">
        <v>3668</v>
      </c>
      <c r="M285" s="23" t="s">
        <v>3669</v>
      </c>
      <c r="N285" s="23" t="s">
        <v>3670</v>
      </c>
      <c r="O285" s="23" t="s">
        <v>3671</v>
      </c>
      <c r="P285" s="23" t="s">
        <v>3672</v>
      </c>
      <c r="Q285" s="24" t="n">
        <f aca="false">IF(L285="","",IFERROR(INDEX('Semrush Data'!$A$1:$Z$20000,MATCH(L285,'Semrush Data'!$A$1:$A$20000,0),MATCH("Volume",'Semrush Data'!$A$1:$Z$1,0)),""))</f>
        <v>0</v>
      </c>
      <c r="R285" s="24" t="str">
        <f aca="false">IF(M285="","",IFERROR(INDEX('Semrush Data'!$A$1:$Z$20000,MATCH(M285,'Semrush Data'!$A$1:$A$20000,0),MATCH("Volume",'Semrush Data'!$A$1:$Z$1,0)),""))</f>
        <v/>
      </c>
      <c r="S285" s="24" t="str">
        <f aca="false">IF(N285="","",IFERROR(INDEX('Semrush Data'!$A$1:$Z$20000,MATCH(N285,'Semrush Data'!$A$1:$A$20000,0),MATCH("Volume",'Semrush Data'!$A$1:$Z$1,0)),""))</f>
        <v/>
      </c>
      <c r="T285" s="24" t="str">
        <f aca="false">IF(O285="","",IFERROR(INDEX('Semrush Data'!$A$1:$Z$20000,MATCH(O285,'Semrush Data'!$A$1:$A$20000,0),MATCH("Volume",'Semrush Data'!$A$1:$Z$1,0)),""))</f>
        <v/>
      </c>
      <c r="U285" s="24" t="str">
        <f aca="false">IF(P285="","",IFERROR(INDEX('Semrush Data'!$A$1:$Z$20000,MATCH(P285,'Semrush Data'!$A$1:$A$20000,0),MATCH("Volume",'Semrush Data'!$A$1:$Z$1,0)),""))</f>
        <v/>
      </c>
      <c r="V285" s="25" t="str">
        <f aca="false">IF(COUNT(Q285:U285)=0,L285,IF(MAX(Q285:U285)=0,L285,INDEX(L285:P285,MATCH(MAX(Q285:U285),Q285:U285,0))))</f>
        <v>dolce &amp; gabbana the one gold intense</v>
      </c>
      <c r="W285" s="24" t="n">
        <f aca="false">IFERROR(INDEX('Semrush Data'!$A$1:$Z$20000,MATCH(V285,'Semrush Data'!$A$1:$A$20000,0),MATCH("Volume",'Semrush Data'!$A$1:$Z$1,0)),"")</f>
        <v>0</v>
      </c>
      <c r="X285" s="24" t="n">
        <f aca="false">IFERROR(INDEX('Semrush Data'!$A$1:$Z$20000,MATCH(V285,'Semrush Data'!$A$1:$A$20000,0),MATCH("Keyword Difficulty*",'Semrush Data'!$A$1:$Z$1,0)),"")</f>
        <v>11</v>
      </c>
      <c r="Y285" s="26" t="n">
        <f aca="false">IFERROR(INDEX('Semrush Data'!$A$1:$Z$20000,MATCH(V285,'Semrush Data'!$A$1:$A$20000,0),MATCH("CPC*",'Semrush Data'!$A$1:$Z$1,0)),"")</f>
        <v>0</v>
      </c>
      <c r="Z285" s="23" t="s">
        <v>3647</v>
      </c>
      <c r="AA285" s="23" t="s">
        <v>3673</v>
      </c>
      <c r="AB285" s="23" t="s">
        <v>3674</v>
      </c>
      <c r="AC285" s="23" t="s">
        <v>3675</v>
      </c>
      <c r="AD285" s="27" t="n">
        <f aca="false">LEN(AC285)</f>
        <v>58</v>
      </c>
      <c r="AE285" s="23" t="s">
        <v>3676</v>
      </c>
      <c r="AF285" s="27" t="n">
        <f aca="false">LEN(AE285)</f>
        <v>157</v>
      </c>
    </row>
    <row r="286" customFormat="false" ht="15" hidden="false" customHeight="true" outlineLevel="0" collapsed="false">
      <c r="A286" s="23" t="s">
        <v>3677</v>
      </c>
      <c r="B286" s="23" t="s">
        <v>2449</v>
      </c>
      <c r="C286" s="23" t="n">
        <v>126</v>
      </c>
      <c r="D286" s="23" t="s">
        <v>3617</v>
      </c>
      <c r="E286" s="23"/>
      <c r="F286" s="23" t="s">
        <v>2452</v>
      </c>
      <c r="G286" s="23" t="s">
        <v>2818</v>
      </c>
      <c r="H286" s="23" t="s">
        <v>2454</v>
      </c>
      <c r="I286" s="23" t="s">
        <v>3678</v>
      </c>
      <c r="J286" s="23" t="s">
        <v>1994</v>
      </c>
      <c r="K286" s="23" t="n">
        <v>34.99</v>
      </c>
      <c r="L286" s="23" t="s">
        <v>3679</v>
      </c>
      <c r="M286" s="23" t="s">
        <v>3680</v>
      </c>
      <c r="N286" s="23" t="s">
        <v>3681</v>
      </c>
      <c r="O286" s="23" t="s">
        <v>3682</v>
      </c>
      <c r="P286" s="23" t="s">
        <v>3683</v>
      </c>
      <c r="Q286" s="24" t="n">
        <f aca="false">IF(L286="","",IFERROR(INDEX('Semrush Data'!$A$1:$Z$20000,MATCH(L286,'Semrush Data'!$A$1:$A$20000,0),MATCH("Volume",'Semrush Data'!$A$1:$Z$1,0)),""))</f>
        <v>170</v>
      </c>
      <c r="R286" s="24" t="n">
        <f aca="false">IF(M286="","",IFERROR(INDEX('Semrush Data'!$A$1:$Z$20000,MATCH(M286,'Semrush Data'!$A$1:$A$20000,0),MATCH("Volume",'Semrush Data'!$A$1:$Z$1,0)),""))</f>
        <v>0</v>
      </c>
      <c r="S286" s="24" t="str">
        <f aca="false">IF(N286="","",IFERROR(INDEX('Semrush Data'!$A$1:$Z$20000,MATCH(N286,'Semrush Data'!$A$1:$A$20000,0),MATCH("Volume",'Semrush Data'!$A$1:$Z$1,0)),""))</f>
        <v/>
      </c>
      <c r="T286" s="24" t="str">
        <f aca="false">IF(O286="","",IFERROR(INDEX('Semrush Data'!$A$1:$Z$20000,MATCH(O286,'Semrush Data'!$A$1:$A$20000,0),MATCH("Volume",'Semrush Data'!$A$1:$Z$1,0)),""))</f>
        <v/>
      </c>
      <c r="U286" s="24" t="n">
        <f aca="false">IF(P286="","",IFERROR(INDEX('Semrush Data'!$A$1:$Z$20000,MATCH(P286,'Semrush Data'!$A$1:$A$20000,0),MATCH("Volume",'Semrush Data'!$A$1:$Z$1,0)),""))</f>
        <v>40</v>
      </c>
      <c r="V286" s="25" t="str">
        <f aca="false">IF(COUNT(Q286:U286)=0,L286,IF(MAX(Q286:U286)=0,L286,INDEX(L286:P286,MATCH(MAX(Q286:U286),Q286:U286,0))))</f>
        <v>dolce &amp; gabbana l'imperatrice</v>
      </c>
      <c r="W286" s="24" t="n">
        <f aca="false">IFERROR(INDEX('Semrush Data'!$A$1:$Z$20000,MATCH(V286,'Semrush Data'!$A$1:$A$20000,0),MATCH("Volume",'Semrush Data'!$A$1:$Z$1,0)),"")</f>
        <v>170</v>
      </c>
      <c r="X286" s="24" t="n">
        <f aca="false">IFERROR(INDEX('Semrush Data'!$A$1:$Z$20000,MATCH(V286,'Semrush Data'!$A$1:$A$20000,0),MATCH("Keyword Difficulty*",'Semrush Data'!$A$1:$Z$1,0)),"")</f>
        <v>22</v>
      </c>
      <c r="Y286" s="26" t="n">
        <f aca="false">IFERROR(INDEX('Semrush Data'!$A$1:$Z$20000,MATCH(V286,'Semrush Data'!$A$1:$A$20000,0),MATCH("CPC*",'Semrush Data'!$A$1:$Z$1,0)),"")</f>
        <v>0.5</v>
      </c>
      <c r="Z286" s="23" t="s">
        <v>3637</v>
      </c>
      <c r="AA286" s="23" t="s">
        <v>3684</v>
      </c>
      <c r="AB286" s="23" t="s">
        <v>3685</v>
      </c>
      <c r="AC286" s="23" t="s">
        <v>3686</v>
      </c>
      <c r="AD286" s="27" t="n">
        <f aca="false">LEN(AC286)</f>
        <v>59</v>
      </c>
      <c r="AE286" s="23" t="s">
        <v>3687</v>
      </c>
      <c r="AF286" s="27" t="n">
        <f aca="false">LEN(AE286)</f>
        <v>156</v>
      </c>
    </row>
    <row r="287" customFormat="false" ht="15" hidden="false" customHeight="true" outlineLevel="0" collapsed="false">
      <c r="A287" s="23" t="s">
        <v>3688</v>
      </c>
      <c r="B287" s="23" t="s">
        <v>2449</v>
      </c>
      <c r="C287" s="23" t="n">
        <v>127</v>
      </c>
      <c r="D287" s="23" t="s">
        <v>3617</v>
      </c>
      <c r="E287" s="23"/>
      <c r="F287" s="23" t="s">
        <v>1735</v>
      </c>
      <c r="G287" s="23" t="s">
        <v>2453</v>
      </c>
      <c r="H287" s="23" t="s">
        <v>2516</v>
      </c>
      <c r="I287" s="23" t="s">
        <v>3689</v>
      </c>
      <c r="J287" s="23" t="s">
        <v>1468</v>
      </c>
      <c r="K287" s="23" t="n">
        <v>54.99</v>
      </c>
      <c r="L287" s="23" t="s">
        <v>3690</v>
      </c>
      <c r="M287" s="23" t="s">
        <v>3691</v>
      </c>
      <c r="N287" s="23" t="s">
        <v>3692</v>
      </c>
      <c r="O287" s="23" t="s">
        <v>3693</v>
      </c>
      <c r="P287" s="23"/>
      <c r="Q287" s="24" t="n">
        <f aca="false">IF(L287="","",IFERROR(INDEX('Semrush Data'!$A$1:$Z$20000,MATCH(L287,'Semrush Data'!$A$1:$A$20000,0),MATCH("Volume",'Semrush Data'!$A$1:$Z$1,0)),""))</f>
        <v>10</v>
      </c>
      <c r="R287" s="24" t="str">
        <f aca="false">IF(M287="","",IFERROR(INDEX('Semrush Data'!$A$1:$Z$20000,MATCH(M287,'Semrush Data'!$A$1:$A$20000,0),MATCH("Volume",'Semrush Data'!$A$1:$Z$1,0)),""))</f>
        <v/>
      </c>
      <c r="S287" s="24" t="str">
        <f aca="false">IF(N287="","",IFERROR(INDEX('Semrush Data'!$A$1:$Z$20000,MATCH(N287,'Semrush Data'!$A$1:$A$20000,0),MATCH("Volume",'Semrush Data'!$A$1:$Z$1,0)),""))</f>
        <v/>
      </c>
      <c r="T287" s="24" t="str">
        <f aca="false">IF(O287="","",IFERROR(INDEX('Semrush Data'!$A$1:$Z$20000,MATCH(O287,'Semrush Data'!$A$1:$A$20000,0),MATCH("Volume",'Semrush Data'!$A$1:$Z$1,0)),""))</f>
        <v/>
      </c>
      <c r="U287" s="24" t="str">
        <f aca="false">IF(P287="","",IFERROR(INDEX('Semrush Data'!$A$1:$Z$20000,MATCH(P287,'Semrush Data'!$A$1:$A$20000,0),MATCH("Volume",'Semrush Data'!$A$1:$Z$1,0)),""))</f>
        <v/>
      </c>
      <c r="V287" s="25" t="str">
        <f aca="false">IF(COUNT(Q287:U287)=0,L287,IF(MAX(Q287:U287)=0,L287,INDEX(L287:P287,MATCH(MAX(Q287:U287),Q287:U287,0))))</f>
        <v>dolce &amp; gabbana devotion gift set</v>
      </c>
      <c r="W287" s="24" t="n">
        <f aca="false">IFERROR(INDEX('Semrush Data'!$A$1:$Z$20000,MATCH(V287,'Semrush Data'!$A$1:$A$20000,0),MATCH("Volume",'Semrush Data'!$A$1:$Z$1,0)),"")</f>
        <v>10</v>
      </c>
      <c r="X287" s="24" t="n">
        <f aca="false">IFERROR(INDEX('Semrush Data'!$A$1:$Z$20000,MATCH(V287,'Semrush Data'!$A$1:$A$20000,0),MATCH("Keyword Difficulty*",'Semrush Data'!$A$1:$Z$1,0)),"")</f>
        <v>11</v>
      </c>
      <c r="Y287" s="26" t="n">
        <f aca="false">IFERROR(INDEX('Semrush Data'!$A$1:$Z$20000,MATCH(V287,'Semrush Data'!$A$1:$A$20000,0),MATCH("CPC*",'Semrush Data'!$A$1:$Z$1,0)),"")</f>
        <v>0</v>
      </c>
      <c r="Z287" s="23" t="s">
        <v>3694</v>
      </c>
      <c r="AA287" s="23" t="s">
        <v>3695</v>
      </c>
      <c r="AB287" s="23" t="s">
        <v>3696</v>
      </c>
      <c r="AC287" s="23" t="s">
        <v>3697</v>
      </c>
      <c r="AD287" s="27" t="n">
        <f aca="false">LEN(AC287)</f>
        <v>56</v>
      </c>
      <c r="AE287" s="23" t="s">
        <v>3698</v>
      </c>
      <c r="AF287" s="27" t="n">
        <f aca="false">LEN(AE287)</f>
        <v>155</v>
      </c>
    </row>
    <row r="288" customFormat="false" ht="15" hidden="false" customHeight="true" outlineLevel="0" collapsed="false">
      <c r="A288" s="23" t="s">
        <v>3699</v>
      </c>
      <c r="B288" s="23" t="s">
        <v>2449</v>
      </c>
      <c r="C288" s="23" t="n">
        <v>128</v>
      </c>
      <c r="D288" s="23" t="s">
        <v>3617</v>
      </c>
      <c r="E288" s="23"/>
      <c r="F288" s="23" t="s">
        <v>1735</v>
      </c>
      <c r="G288" s="23" t="s">
        <v>2453</v>
      </c>
      <c r="H288" s="23" t="s">
        <v>2608</v>
      </c>
      <c r="I288" s="23" t="s">
        <v>3700</v>
      </c>
      <c r="J288" s="23" t="s">
        <v>1468</v>
      </c>
      <c r="K288" s="23" t="n">
        <v>54.99</v>
      </c>
      <c r="L288" s="23" t="s">
        <v>3701</v>
      </c>
      <c r="M288" s="23" t="s">
        <v>3702</v>
      </c>
      <c r="N288" s="23" t="s">
        <v>3703</v>
      </c>
      <c r="O288" s="23" t="s">
        <v>3704</v>
      </c>
      <c r="P288" s="23"/>
      <c r="Q288" s="24" t="n">
        <f aca="false">IF(L288="","",IFERROR(INDEX('Semrush Data'!$A$1:$Z$20000,MATCH(L288,'Semrush Data'!$A$1:$A$20000,0),MATCH("Volume",'Semrush Data'!$A$1:$Z$1,0)),""))</f>
        <v>30</v>
      </c>
      <c r="R288" s="24" t="str">
        <f aca="false">IF(M288="","",IFERROR(INDEX('Semrush Data'!$A$1:$Z$20000,MATCH(M288,'Semrush Data'!$A$1:$A$20000,0),MATCH("Volume",'Semrush Data'!$A$1:$Z$1,0)),""))</f>
        <v/>
      </c>
      <c r="S288" s="24" t="str">
        <f aca="false">IF(N288="","",IFERROR(INDEX('Semrush Data'!$A$1:$Z$20000,MATCH(N288,'Semrush Data'!$A$1:$A$20000,0),MATCH("Volume",'Semrush Data'!$A$1:$Z$1,0)),""))</f>
        <v/>
      </c>
      <c r="T288" s="24" t="str">
        <f aca="false">IF(O288="","",IFERROR(INDEX('Semrush Data'!$A$1:$Z$20000,MATCH(O288,'Semrush Data'!$A$1:$A$20000,0),MATCH("Volume",'Semrush Data'!$A$1:$Z$1,0)),""))</f>
        <v/>
      </c>
      <c r="U288" s="24" t="str">
        <f aca="false">IF(P288="","",IFERROR(INDEX('Semrush Data'!$A$1:$Z$20000,MATCH(P288,'Semrush Data'!$A$1:$A$20000,0),MATCH("Volume",'Semrush Data'!$A$1:$Z$1,0)),""))</f>
        <v/>
      </c>
      <c r="V288" s="25" t="str">
        <f aca="false">IF(COUNT(Q288:U288)=0,L288,IF(MAX(Q288:U288)=0,L288,INDEX(L288:P288,MATCH(MAX(Q288:U288),Q288:U288,0))))</f>
        <v>dolce &amp; gabbana k gift set</v>
      </c>
      <c r="W288" s="24" t="n">
        <f aca="false">IFERROR(INDEX('Semrush Data'!$A$1:$Z$20000,MATCH(V288,'Semrush Data'!$A$1:$A$20000,0),MATCH("Volume",'Semrush Data'!$A$1:$Z$1,0)),"")</f>
        <v>30</v>
      </c>
      <c r="X288" s="24" t="n">
        <f aca="false">IFERROR(INDEX('Semrush Data'!$A$1:$Z$20000,MATCH(V288,'Semrush Data'!$A$1:$A$20000,0),MATCH("Keyword Difficulty*",'Semrush Data'!$A$1:$Z$1,0)),"")</f>
        <v>12</v>
      </c>
      <c r="Y288" s="26" t="n">
        <f aca="false">IFERROR(INDEX('Semrush Data'!$A$1:$Z$20000,MATCH(V288,'Semrush Data'!$A$1:$A$20000,0),MATCH("CPC*",'Semrush Data'!$A$1:$Z$1,0)),"")</f>
        <v>0</v>
      </c>
      <c r="Z288" s="23" t="s">
        <v>3647</v>
      </c>
      <c r="AA288" s="23" t="s">
        <v>3705</v>
      </c>
      <c r="AB288" s="23" t="s">
        <v>3706</v>
      </c>
      <c r="AC288" s="23" t="s">
        <v>3707</v>
      </c>
      <c r="AD288" s="27" t="n">
        <f aca="false">LEN(AC288)</f>
        <v>54</v>
      </c>
      <c r="AE288" s="23" t="s">
        <v>3708</v>
      </c>
      <c r="AF288" s="27" t="n">
        <f aca="false">LEN(AE288)</f>
        <v>158</v>
      </c>
    </row>
    <row r="289" customFormat="false" ht="15" hidden="false" customHeight="true" outlineLevel="0" collapsed="false">
      <c r="A289" s="23" t="s">
        <v>3709</v>
      </c>
      <c r="B289" s="23" t="s">
        <v>2449</v>
      </c>
      <c r="C289" s="23" t="n">
        <v>129</v>
      </c>
      <c r="D289" s="23" t="s">
        <v>3617</v>
      </c>
      <c r="E289" s="23"/>
      <c r="F289" s="23" t="s">
        <v>1735</v>
      </c>
      <c r="G289" s="23" t="s">
        <v>2453</v>
      </c>
      <c r="H289" s="23" t="s">
        <v>2891</v>
      </c>
      <c r="I289" s="23" t="s">
        <v>3710</v>
      </c>
      <c r="J289" s="23" t="s">
        <v>3064</v>
      </c>
      <c r="K289" s="23" t="n">
        <v>34.99</v>
      </c>
      <c r="L289" s="23" t="s">
        <v>3711</v>
      </c>
      <c r="M289" s="23" t="s">
        <v>3712</v>
      </c>
      <c r="N289" s="23" t="s">
        <v>3713</v>
      </c>
      <c r="O289" s="23" t="s">
        <v>3714</v>
      </c>
      <c r="P289" s="23"/>
      <c r="Q289" s="24" t="n">
        <f aca="false">IF(L289="","",IFERROR(INDEX('Semrush Data'!$A$1:$Z$20000,MATCH(L289,'Semrush Data'!$A$1:$A$20000,0),MATCH("Volume",'Semrush Data'!$A$1:$Z$1,0)),""))</f>
        <v>20</v>
      </c>
      <c r="R289" s="24" t="str">
        <f aca="false">IF(M289="","",IFERROR(INDEX('Semrush Data'!$A$1:$Z$20000,MATCH(M289,'Semrush Data'!$A$1:$A$20000,0),MATCH("Volume",'Semrush Data'!$A$1:$Z$1,0)),""))</f>
        <v/>
      </c>
      <c r="S289" s="24" t="str">
        <f aca="false">IF(N289="","",IFERROR(INDEX('Semrush Data'!$A$1:$Z$20000,MATCH(N289,'Semrush Data'!$A$1:$A$20000,0),MATCH("Volume",'Semrush Data'!$A$1:$Z$1,0)),""))</f>
        <v/>
      </c>
      <c r="T289" s="24" t="str">
        <f aca="false">IF(O289="","",IFERROR(INDEX('Semrush Data'!$A$1:$Z$20000,MATCH(O289,'Semrush Data'!$A$1:$A$20000,0),MATCH("Volume",'Semrush Data'!$A$1:$Z$1,0)),""))</f>
        <v/>
      </c>
      <c r="U289" s="24" t="str">
        <f aca="false">IF(P289="","",IFERROR(INDEX('Semrush Data'!$A$1:$Z$20000,MATCH(P289,'Semrush Data'!$A$1:$A$20000,0),MATCH("Volume",'Semrush Data'!$A$1:$Z$1,0)),""))</f>
        <v/>
      </c>
      <c r="V289" s="25" t="str">
        <f aca="false">IF(COUNT(Q289:U289)=0,L289,IF(MAX(Q289:U289)=0,L289,INDEX(L289:P289,MATCH(MAX(Q289:U289),Q289:U289,0))))</f>
        <v>dolce &amp; gabbana miniature set</v>
      </c>
      <c r="W289" s="24" t="n">
        <f aca="false">IFERROR(INDEX('Semrush Data'!$A$1:$Z$20000,MATCH(V289,'Semrush Data'!$A$1:$A$20000,0),MATCH("Volume",'Semrush Data'!$A$1:$Z$1,0)),"")</f>
        <v>20</v>
      </c>
      <c r="X289" s="24" t="n">
        <f aca="false">IFERROR(INDEX('Semrush Data'!$A$1:$Z$20000,MATCH(V289,'Semrush Data'!$A$1:$A$20000,0),MATCH("Keyword Difficulty*",'Semrush Data'!$A$1:$Z$1,0)),"")</f>
        <v>13</v>
      </c>
      <c r="Y289" s="26" t="n">
        <f aca="false">IFERROR(INDEX('Semrush Data'!$A$1:$Z$20000,MATCH(V289,'Semrush Data'!$A$1:$A$20000,0),MATCH("CPC*",'Semrush Data'!$A$1:$Z$1,0)),"")</f>
        <v>0</v>
      </c>
      <c r="Z289" s="23" t="s">
        <v>3715</v>
      </c>
      <c r="AA289" s="23" t="s">
        <v>3716</v>
      </c>
      <c r="AB289" s="23" t="s">
        <v>3717</v>
      </c>
      <c r="AC289" s="23" t="s">
        <v>3718</v>
      </c>
      <c r="AD289" s="27" t="n">
        <f aca="false">LEN(AC289)</f>
        <v>59</v>
      </c>
      <c r="AE289" s="23" t="s">
        <v>3719</v>
      </c>
      <c r="AF289" s="27" t="n">
        <f aca="false">LEN(AE289)</f>
        <v>158</v>
      </c>
    </row>
    <row r="290" customFormat="false" ht="15" hidden="false" customHeight="true" outlineLevel="0" collapsed="false">
      <c r="A290" s="23" t="s">
        <v>3720</v>
      </c>
      <c r="B290" s="23" t="s">
        <v>2449</v>
      </c>
      <c r="C290" s="23" t="n">
        <v>130</v>
      </c>
      <c r="D290" s="23" t="s">
        <v>3617</v>
      </c>
      <c r="E290" s="23"/>
      <c r="F290" s="23" t="s">
        <v>1735</v>
      </c>
      <c r="G290" s="23" t="s">
        <v>2453</v>
      </c>
      <c r="H290" s="23" t="s">
        <v>2516</v>
      </c>
      <c r="I290" s="23" t="s">
        <v>3721</v>
      </c>
      <c r="J290" s="23" t="s">
        <v>1468</v>
      </c>
      <c r="K290" s="23" t="n">
        <v>64.99</v>
      </c>
      <c r="L290" s="23" t="s">
        <v>3722</v>
      </c>
      <c r="M290" s="23" t="s">
        <v>3723</v>
      </c>
      <c r="N290" s="23" t="s">
        <v>3724</v>
      </c>
      <c r="O290" s="23" t="s">
        <v>3725</v>
      </c>
      <c r="P290" s="23"/>
      <c r="Q290" s="24" t="n">
        <f aca="false">IF(L290="","",IFERROR(INDEX('Semrush Data'!$A$1:$Z$20000,MATCH(L290,'Semrush Data'!$A$1:$A$20000,0),MATCH("Volume",'Semrush Data'!$A$1:$Z$1,0)),""))</f>
        <v>50</v>
      </c>
      <c r="R290" s="24" t="n">
        <f aca="false">IF(M290="","",IFERROR(INDEX('Semrush Data'!$A$1:$Z$20000,MATCH(M290,'Semrush Data'!$A$1:$A$20000,0),MATCH("Volume",'Semrush Data'!$A$1:$Z$1,0)),""))</f>
        <v>0</v>
      </c>
      <c r="S290" s="24" t="str">
        <f aca="false">IF(N290="","",IFERROR(INDEX('Semrush Data'!$A$1:$Z$20000,MATCH(N290,'Semrush Data'!$A$1:$A$20000,0),MATCH("Volume",'Semrush Data'!$A$1:$Z$1,0)),""))</f>
        <v/>
      </c>
      <c r="T290" s="24" t="str">
        <f aca="false">IF(O290="","",IFERROR(INDEX('Semrush Data'!$A$1:$Z$20000,MATCH(O290,'Semrush Data'!$A$1:$A$20000,0),MATCH("Volume",'Semrush Data'!$A$1:$Z$1,0)),""))</f>
        <v/>
      </c>
      <c r="U290" s="24" t="str">
        <f aca="false">IF(P290="","",IFERROR(INDEX('Semrush Data'!$A$1:$Z$20000,MATCH(P290,'Semrush Data'!$A$1:$A$20000,0),MATCH("Volume",'Semrush Data'!$A$1:$Z$1,0)),""))</f>
        <v/>
      </c>
      <c r="V290" s="25" t="str">
        <f aca="false">IF(COUNT(Q290:U290)=0,L290,IF(MAX(Q290:U290)=0,L290,INDEX(L290:P290,MATCH(MAX(Q290:U290),Q290:U290,0))))</f>
        <v>dolce &amp; gabbana the one gift set</v>
      </c>
      <c r="W290" s="24" t="n">
        <f aca="false">IFERROR(INDEX('Semrush Data'!$A$1:$Z$20000,MATCH(V290,'Semrush Data'!$A$1:$A$20000,0),MATCH("Volume",'Semrush Data'!$A$1:$Z$1,0)),"")</f>
        <v>50</v>
      </c>
      <c r="X290" s="24" t="n">
        <f aca="false">IFERROR(INDEX('Semrush Data'!$A$1:$Z$20000,MATCH(V290,'Semrush Data'!$A$1:$A$20000,0),MATCH("Keyword Difficulty*",'Semrush Data'!$A$1:$Z$1,0)),"")</f>
        <v>14</v>
      </c>
      <c r="Y290" s="26" t="n">
        <f aca="false">IFERROR(INDEX('Semrush Data'!$A$1:$Z$20000,MATCH(V290,'Semrush Data'!$A$1:$A$20000,0),MATCH("CPC*",'Semrush Data'!$A$1:$Z$1,0)),"")</f>
        <v>0.44</v>
      </c>
      <c r="Z290" s="23" t="s">
        <v>3694</v>
      </c>
      <c r="AA290" s="23" t="s">
        <v>3726</v>
      </c>
      <c r="AB290" s="23" t="s">
        <v>3727</v>
      </c>
      <c r="AC290" s="23" t="s">
        <v>3728</v>
      </c>
      <c r="AD290" s="27" t="n">
        <f aca="false">LEN(AC290)</f>
        <v>56</v>
      </c>
      <c r="AE290" s="23" t="s">
        <v>3729</v>
      </c>
      <c r="AF290" s="27" t="n">
        <f aca="false">LEN(AE290)</f>
        <v>160</v>
      </c>
    </row>
    <row r="291" customFormat="false" ht="15" hidden="false" customHeight="true" outlineLevel="0" collapsed="false">
      <c r="A291" s="23" t="s">
        <v>3730</v>
      </c>
      <c r="B291" s="23" t="s">
        <v>2449</v>
      </c>
      <c r="C291" s="23" t="n">
        <v>131</v>
      </c>
      <c r="D291" s="23" t="s">
        <v>3617</v>
      </c>
      <c r="E291" s="23"/>
      <c r="F291" s="23" t="s">
        <v>1735</v>
      </c>
      <c r="G291" s="23" t="s">
        <v>2550</v>
      </c>
      <c r="H291" s="23" t="s">
        <v>2454</v>
      </c>
      <c r="I291" s="23" t="s">
        <v>3731</v>
      </c>
      <c r="J291" s="23" t="s">
        <v>3064</v>
      </c>
      <c r="K291" s="23" t="n">
        <v>39.99</v>
      </c>
      <c r="L291" s="23" t="s">
        <v>3711</v>
      </c>
      <c r="M291" s="23" t="s">
        <v>3712</v>
      </c>
      <c r="N291" s="23" t="s">
        <v>3713</v>
      </c>
      <c r="O291" s="23" t="s">
        <v>3714</v>
      </c>
      <c r="P291" s="23"/>
      <c r="Q291" s="24" t="n">
        <f aca="false">IF(L291="","",IFERROR(INDEX('Semrush Data'!$A$1:$Z$20000,MATCH(L291,'Semrush Data'!$A$1:$A$20000,0),MATCH("Volume",'Semrush Data'!$A$1:$Z$1,0)),""))</f>
        <v>20</v>
      </c>
      <c r="R291" s="24" t="str">
        <f aca="false">IF(M291="","",IFERROR(INDEX('Semrush Data'!$A$1:$Z$20000,MATCH(M291,'Semrush Data'!$A$1:$A$20000,0),MATCH("Volume",'Semrush Data'!$A$1:$Z$1,0)),""))</f>
        <v/>
      </c>
      <c r="S291" s="24" t="str">
        <f aca="false">IF(N291="","",IFERROR(INDEX('Semrush Data'!$A$1:$Z$20000,MATCH(N291,'Semrush Data'!$A$1:$A$20000,0),MATCH("Volume",'Semrush Data'!$A$1:$Z$1,0)),""))</f>
        <v/>
      </c>
      <c r="T291" s="24" t="str">
        <f aca="false">IF(O291="","",IFERROR(INDEX('Semrush Data'!$A$1:$Z$20000,MATCH(O291,'Semrush Data'!$A$1:$A$20000,0),MATCH("Volume",'Semrush Data'!$A$1:$Z$1,0)),""))</f>
        <v/>
      </c>
      <c r="U291" s="24" t="str">
        <f aca="false">IF(P291="","",IFERROR(INDEX('Semrush Data'!$A$1:$Z$20000,MATCH(P291,'Semrush Data'!$A$1:$A$20000,0),MATCH("Volume",'Semrush Data'!$A$1:$Z$1,0)),""))</f>
        <v/>
      </c>
      <c r="V291" s="25" t="str">
        <f aca="false">IF(COUNT(Q291:U291)=0,L291,IF(MAX(Q291:U291)=0,L291,INDEX(L291:P291,MATCH(MAX(Q291:U291),Q291:U291,0))))</f>
        <v>dolce &amp; gabbana miniature set</v>
      </c>
      <c r="W291" s="24" t="n">
        <f aca="false">IFERROR(INDEX('Semrush Data'!$A$1:$Z$20000,MATCH(V291,'Semrush Data'!$A$1:$A$20000,0),MATCH("Volume",'Semrush Data'!$A$1:$Z$1,0)),"")</f>
        <v>20</v>
      </c>
      <c r="X291" s="24" t="n">
        <f aca="false">IFERROR(INDEX('Semrush Data'!$A$1:$Z$20000,MATCH(V291,'Semrush Data'!$A$1:$A$20000,0),MATCH("Keyword Difficulty*",'Semrush Data'!$A$1:$Z$1,0)),"")</f>
        <v>13</v>
      </c>
      <c r="Y291" s="26" t="n">
        <f aca="false">IFERROR(INDEX('Semrush Data'!$A$1:$Z$20000,MATCH(V291,'Semrush Data'!$A$1:$A$20000,0),MATCH("CPC*",'Semrush Data'!$A$1:$Z$1,0)),"")</f>
        <v>0</v>
      </c>
      <c r="Z291" s="23" t="s">
        <v>3637</v>
      </c>
      <c r="AA291" s="23" t="s">
        <v>3716</v>
      </c>
      <c r="AB291" s="23" t="s">
        <v>3732</v>
      </c>
      <c r="AC291" s="23" t="s">
        <v>3733</v>
      </c>
      <c r="AD291" s="27" t="n">
        <f aca="false">LEN(AC291)</f>
        <v>57</v>
      </c>
      <c r="AE291" s="23" t="s">
        <v>3734</v>
      </c>
      <c r="AF291" s="27" t="n">
        <f aca="false">LEN(AE291)</f>
        <v>159</v>
      </c>
    </row>
    <row r="292" customFormat="false" ht="15" hidden="false" customHeight="true" outlineLevel="0" collapsed="false">
      <c r="A292" s="23" t="s">
        <v>3735</v>
      </c>
      <c r="B292" s="23" t="s">
        <v>2449</v>
      </c>
      <c r="C292" s="23" t="n">
        <v>132</v>
      </c>
      <c r="D292" s="23" t="s">
        <v>3736</v>
      </c>
      <c r="E292" s="23"/>
      <c r="F292" s="23" t="s">
        <v>2452</v>
      </c>
      <c r="G292" s="23" t="s">
        <v>2453</v>
      </c>
      <c r="H292" s="23" t="s">
        <v>2608</v>
      </c>
      <c r="I292" s="23" t="s">
        <v>3737</v>
      </c>
      <c r="J292" s="23" t="s">
        <v>1994</v>
      </c>
      <c r="K292" s="23" t="n">
        <v>45.99</v>
      </c>
      <c r="L292" s="23" t="s">
        <v>3738</v>
      </c>
      <c r="M292" s="23" t="s">
        <v>3739</v>
      </c>
      <c r="N292" s="23" t="s">
        <v>3740</v>
      </c>
      <c r="O292" s="23" t="s">
        <v>3741</v>
      </c>
      <c r="P292" s="23" t="s">
        <v>3742</v>
      </c>
      <c r="Q292" s="24" t="n">
        <f aca="false">IF(L292="","",IFERROR(INDEX('Semrush Data'!$A$1:$Z$20000,MATCH(L292,'Semrush Data'!$A$1:$A$20000,0),MATCH("Volume",'Semrush Data'!$A$1:$Z$1,0)),""))</f>
        <v>20</v>
      </c>
      <c r="R292" s="24" t="str">
        <f aca="false">IF(M292="","",IFERROR(INDEX('Semrush Data'!$A$1:$Z$20000,MATCH(M292,'Semrush Data'!$A$1:$A$20000,0),MATCH("Volume",'Semrush Data'!$A$1:$Z$1,0)),""))</f>
        <v/>
      </c>
      <c r="S292" s="24" t="str">
        <f aca="false">IF(N292="","",IFERROR(INDEX('Semrush Data'!$A$1:$Z$20000,MATCH(N292,'Semrush Data'!$A$1:$A$20000,0),MATCH("Volume",'Semrush Data'!$A$1:$Z$1,0)),""))</f>
        <v/>
      </c>
      <c r="T292" s="24" t="str">
        <f aca="false">IF(O292="","",IFERROR(INDEX('Semrush Data'!$A$1:$Z$20000,MATCH(O292,'Semrush Data'!$A$1:$A$20000,0),MATCH("Volume",'Semrush Data'!$A$1:$Z$1,0)),""))</f>
        <v/>
      </c>
      <c r="U292" s="24" t="str">
        <f aca="false">IF(P292="","",IFERROR(INDEX('Semrush Data'!$A$1:$Z$20000,MATCH(P292,'Semrush Data'!$A$1:$A$20000,0),MATCH("Volume",'Semrush Data'!$A$1:$Z$1,0)),""))</f>
        <v/>
      </c>
      <c r="V292" s="25" t="str">
        <f aca="false">IF(COUNT(Q292:U292)=0,L292,IF(MAX(Q292:U292)=0,L292,INDEX(L292:P292,MATCH(MAX(Q292:U292),Q292:U292,0))))</f>
        <v>dunhill signature collection agar wood</v>
      </c>
      <c r="W292" s="24" t="n">
        <f aca="false">IFERROR(INDEX('Semrush Data'!$A$1:$Z$20000,MATCH(V292,'Semrush Data'!$A$1:$A$20000,0),MATCH("Volume",'Semrush Data'!$A$1:$Z$1,0)),"")</f>
        <v>20</v>
      </c>
      <c r="X292" s="24" t="n">
        <f aca="false">IFERROR(INDEX('Semrush Data'!$A$1:$Z$20000,MATCH(V292,'Semrush Data'!$A$1:$A$20000,0),MATCH("Keyword Difficulty*",'Semrush Data'!$A$1:$Z$1,0)),"")</f>
        <v>16</v>
      </c>
      <c r="Y292" s="26" t="n">
        <f aca="false">IFERROR(INDEX('Semrush Data'!$A$1:$Z$20000,MATCH(V292,'Semrush Data'!$A$1:$A$20000,0),MATCH("CPC*",'Semrush Data'!$A$1:$Z$1,0)),"")</f>
        <v>0</v>
      </c>
      <c r="Z292" s="23" t="s">
        <v>3743</v>
      </c>
      <c r="AA292" s="23" t="s">
        <v>3744</v>
      </c>
      <c r="AB292" s="23" t="s">
        <v>3745</v>
      </c>
      <c r="AC292" s="23" t="s">
        <v>3746</v>
      </c>
      <c r="AD292" s="27" t="n">
        <f aca="false">LEN(AC292)</f>
        <v>58</v>
      </c>
      <c r="AE292" s="23" t="s">
        <v>3747</v>
      </c>
      <c r="AF292" s="27" t="n">
        <f aca="false">LEN(AE292)</f>
        <v>158</v>
      </c>
    </row>
    <row r="293" customFormat="false" ht="15" hidden="false" customHeight="true" outlineLevel="0" collapsed="false">
      <c r="A293" s="23" t="s">
        <v>3748</v>
      </c>
      <c r="B293" s="23" t="s">
        <v>2449</v>
      </c>
      <c r="C293" s="23" t="n">
        <v>133</v>
      </c>
      <c r="D293" s="23" t="s">
        <v>3736</v>
      </c>
      <c r="E293" s="23"/>
      <c r="F293" s="23" t="s">
        <v>2452</v>
      </c>
      <c r="G293" s="23" t="s">
        <v>2453</v>
      </c>
      <c r="H293" s="23" t="s">
        <v>3749</v>
      </c>
      <c r="I293" s="23" t="s">
        <v>3750</v>
      </c>
      <c r="J293" s="23" t="s">
        <v>1994</v>
      </c>
      <c r="K293" s="23" t="n">
        <v>45.99</v>
      </c>
      <c r="L293" s="23" t="s">
        <v>3751</v>
      </c>
      <c r="M293" s="23" t="s">
        <v>3752</v>
      </c>
      <c r="N293" s="23" t="s">
        <v>3753</v>
      </c>
      <c r="O293" s="23" t="s">
        <v>3754</v>
      </c>
      <c r="P293" s="23" t="s">
        <v>3755</v>
      </c>
      <c r="Q293" s="24" t="n">
        <f aca="false">IF(L293="","",IFERROR(INDEX('Semrush Data'!$A$1:$Z$20000,MATCH(L293,'Semrush Data'!$A$1:$A$20000,0),MATCH("Volume",'Semrush Data'!$A$1:$Z$1,0)),""))</f>
        <v>20</v>
      </c>
      <c r="R293" s="24" t="str">
        <f aca="false">IF(M293="","",IFERROR(INDEX('Semrush Data'!$A$1:$Z$20000,MATCH(M293,'Semrush Data'!$A$1:$A$20000,0),MATCH("Volume",'Semrush Data'!$A$1:$Z$1,0)),""))</f>
        <v/>
      </c>
      <c r="S293" s="24" t="str">
        <f aca="false">IF(N293="","",IFERROR(INDEX('Semrush Data'!$A$1:$Z$20000,MATCH(N293,'Semrush Data'!$A$1:$A$20000,0),MATCH("Volume",'Semrush Data'!$A$1:$Z$1,0)),""))</f>
        <v/>
      </c>
      <c r="T293" s="24" t="str">
        <f aca="false">IF(O293="","",IFERROR(INDEX('Semrush Data'!$A$1:$Z$20000,MATCH(O293,'Semrush Data'!$A$1:$A$20000,0),MATCH("Volume",'Semrush Data'!$A$1:$Z$1,0)),""))</f>
        <v/>
      </c>
      <c r="U293" s="24" t="str">
        <f aca="false">IF(P293="","",IFERROR(INDEX('Semrush Data'!$A$1:$Z$20000,MATCH(P293,'Semrush Data'!$A$1:$A$20000,0),MATCH("Volume",'Semrush Data'!$A$1:$Z$1,0)),""))</f>
        <v/>
      </c>
      <c r="V293" s="25" t="str">
        <f aca="false">IF(COUNT(Q293:U293)=0,L293,IF(MAX(Q293:U293)=0,L293,INDEX(L293:P293,MATCH(MAX(Q293:U293),Q293:U293,0))))</f>
        <v>dunhill signature collection amalfi citrus</v>
      </c>
      <c r="W293" s="24" t="n">
        <f aca="false">IFERROR(INDEX('Semrush Data'!$A$1:$Z$20000,MATCH(V293,'Semrush Data'!$A$1:$A$20000,0),MATCH("Volume",'Semrush Data'!$A$1:$Z$1,0)),"")</f>
        <v>20</v>
      </c>
      <c r="X293" s="24" t="n">
        <f aca="false">IFERROR(INDEX('Semrush Data'!$A$1:$Z$20000,MATCH(V293,'Semrush Data'!$A$1:$A$20000,0),MATCH("Keyword Difficulty*",'Semrush Data'!$A$1:$Z$1,0)),"")</f>
        <v>22</v>
      </c>
      <c r="Y293" s="26" t="n">
        <f aca="false">IFERROR(INDEX('Semrush Data'!$A$1:$Z$20000,MATCH(V293,'Semrush Data'!$A$1:$A$20000,0),MATCH("CPC*",'Semrush Data'!$A$1:$Z$1,0)),"")</f>
        <v>0</v>
      </c>
      <c r="Z293" s="23" t="s">
        <v>3756</v>
      </c>
      <c r="AA293" s="23" t="s">
        <v>3757</v>
      </c>
      <c r="AB293" s="23" t="s">
        <v>3758</v>
      </c>
      <c r="AC293" s="23" t="s">
        <v>3759</v>
      </c>
      <c r="AD293" s="27" t="n">
        <f aca="false">LEN(AC293)</f>
        <v>56</v>
      </c>
      <c r="AE293" s="23" t="s">
        <v>3760</v>
      </c>
      <c r="AF293" s="27" t="n">
        <f aca="false">LEN(AE293)</f>
        <v>156</v>
      </c>
    </row>
    <row r="294" customFormat="false" ht="15" hidden="false" customHeight="true" outlineLevel="0" collapsed="false">
      <c r="A294" s="23" t="s">
        <v>3761</v>
      </c>
      <c r="B294" s="23" t="s">
        <v>2449</v>
      </c>
      <c r="C294" s="23" t="n">
        <v>134</v>
      </c>
      <c r="D294" s="23" t="s">
        <v>3736</v>
      </c>
      <c r="E294" s="23"/>
      <c r="F294" s="23" t="s">
        <v>2452</v>
      </c>
      <c r="G294" s="23" t="s">
        <v>2453</v>
      </c>
      <c r="H294" s="23" t="s">
        <v>2608</v>
      </c>
      <c r="I294" s="23" t="s">
        <v>3762</v>
      </c>
      <c r="J294" s="23" t="s">
        <v>1994</v>
      </c>
      <c r="K294" s="23" t="n">
        <v>45.99</v>
      </c>
      <c r="L294" s="23" t="s">
        <v>3763</v>
      </c>
      <c r="M294" s="23" t="s">
        <v>3764</v>
      </c>
      <c r="N294" s="23" t="s">
        <v>3765</v>
      </c>
      <c r="O294" s="23" t="s">
        <v>3766</v>
      </c>
      <c r="P294" s="23" t="s">
        <v>3767</v>
      </c>
      <c r="Q294" s="24" t="n">
        <f aca="false">IF(L294="","",IFERROR(INDEX('Semrush Data'!$A$1:$Z$20000,MATCH(L294,'Semrush Data'!$A$1:$A$20000,0),MATCH("Volume",'Semrush Data'!$A$1:$Z$1,0)),""))</f>
        <v>20</v>
      </c>
      <c r="R294" s="24" t="str">
        <f aca="false">IF(M294="","",IFERROR(INDEX('Semrush Data'!$A$1:$Z$20000,MATCH(M294,'Semrush Data'!$A$1:$A$20000,0),MATCH("Volume",'Semrush Data'!$A$1:$Z$1,0)),""))</f>
        <v/>
      </c>
      <c r="S294" s="24" t="str">
        <f aca="false">IF(N294="","",IFERROR(INDEX('Semrush Data'!$A$1:$Z$20000,MATCH(N294,'Semrush Data'!$A$1:$A$20000,0),MATCH("Volume",'Semrush Data'!$A$1:$Z$1,0)),""))</f>
        <v/>
      </c>
      <c r="T294" s="24" t="str">
        <f aca="false">IF(O294="","",IFERROR(INDEX('Semrush Data'!$A$1:$Z$20000,MATCH(O294,'Semrush Data'!$A$1:$A$20000,0),MATCH("Volume",'Semrush Data'!$A$1:$Z$1,0)),""))</f>
        <v/>
      </c>
      <c r="U294" s="24" t="str">
        <f aca="false">IF(P294="","",IFERROR(INDEX('Semrush Data'!$A$1:$Z$20000,MATCH(P294,'Semrush Data'!$A$1:$A$20000,0),MATCH("Volume",'Semrush Data'!$A$1:$Z$1,0)),""))</f>
        <v/>
      </c>
      <c r="V294" s="25" t="str">
        <f aca="false">IF(COUNT(Q294:U294)=0,L294,IF(MAX(Q294:U294)=0,L294,INDEX(L294:P294,MATCH(MAX(Q294:U294),Q294:U294,0))))</f>
        <v>dunhill signature collection arabian desert</v>
      </c>
      <c r="W294" s="24" t="n">
        <f aca="false">IFERROR(INDEX('Semrush Data'!$A$1:$Z$20000,MATCH(V294,'Semrush Data'!$A$1:$A$20000,0),MATCH("Volume",'Semrush Data'!$A$1:$Z$1,0)),"")</f>
        <v>20</v>
      </c>
      <c r="X294" s="24" t="n">
        <f aca="false">IFERROR(INDEX('Semrush Data'!$A$1:$Z$20000,MATCH(V294,'Semrush Data'!$A$1:$A$20000,0),MATCH("Keyword Difficulty*",'Semrush Data'!$A$1:$Z$1,0)),"")</f>
        <v>16</v>
      </c>
      <c r="Y294" s="26" t="n">
        <f aca="false">IFERROR(INDEX('Semrush Data'!$A$1:$Z$20000,MATCH(V294,'Semrush Data'!$A$1:$A$20000,0),MATCH("CPC*",'Semrush Data'!$A$1:$Z$1,0)),"")</f>
        <v>0</v>
      </c>
      <c r="Z294" s="23" t="s">
        <v>3743</v>
      </c>
      <c r="AA294" s="23" t="s">
        <v>3768</v>
      </c>
      <c r="AB294" s="23" t="s">
        <v>3769</v>
      </c>
      <c r="AC294" s="23" t="s">
        <v>3770</v>
      </c>
      <c r="AD294" s="27" t="n">
        <f aca="false">LEN(AC294)</f>
        <v>57</v>
      </c>
      <c r="AE294" s="23" t="s">
        <v>3771</v>
      </c>
      <c r="AF294" s="27" t="n">
        <f aca="false">LEN(AE294)</f>
        <v>156</v>
      </c>
    </row>
    <row r="295" customFormat="false" ht="15" hidden="false" customHeight="true" outlineLevel="0" collapsed="false">
      <c r="A295" s="23" t="s">
        <v>3772</v>
      </c>
      <c r="B295" s="23" t="s">
        <v>2449</v>
      </c>
      <c r="C295" s="23" t="n">
        <v>135</v>
      </c>
      <c r="D295" s="23" t="s">
        <v>3736</v>
      </c>
      <c r="E295" s="23"/>
      <c r="F295" s="23" t="s">
        <v>2452</v>
      </c>
      <c r="G295" s="23" t="s">
        <v>2453</v>
      </c>
      <c r="H295" s="23" t="s">
        <v>2608</v>
      </c>
      <c r="I295" s="23" t="s">
        <v>3773</v>
      </c>
      <c r="J295" s="23" t="s">
        <v>1994</v>
      </c>
      <c r="K295" s="23" t="n">
        <v>45.99</v>
      </c>
      <c r="L295" s="23" t="s">
        <v>3774</v>
      </c>
      <c r="M295" s="23" t="s">
        <v>3775</v>
      </c>
      <c r="N295" s="23" t="s">
        <v>3776</v>
      </c>
      <c r="O295" s="23" t="s">
        <v>3777</v>
      </c>
      <c r="P295" s="23" t="s">
        <v>3778</v>
      </c>
      <c r="Q295" s="24" t="n">
        <f aca="false">IF(L295="","",IFERROR(INDEX('Semrush Data'!$A$1:$Z$20000,MATCH(L295,'Semrush Data'!$A$1:$A$20000,0),MATCH("Volume",'Semrush Data'!$A$1:$Z$1,0)),""))</f>
        <v>20</v>
      </c>
      <c r="R295" s="24" t="str">
        <f aca="false">IF(M295="","",IFERROR(INDEX('Semrush Data'!$A$1:$Z$20000,MATCH(M295,'Semrush Data'!$A$1:$A$20000,0),MATCH("Volume",'Semrush Data'!$A$1:$Z$1,0)),""))</f>
        <v/>
      </c>
      <c r="S295" s="24" t="str">
        <f aca="false">IF(N295="","",IFERROR(INDEX('Semrush Data'!$A$1:$Z$20000,MATCH(N295,'Semrush Data'!$A$1:$A$20000,0),MATCH("Volume",'Semrush Data'!$A$1:$Z$1,0)),""))</f>
        <v/>
      </c>
      <c r="T295" s="24" t="str">
        <f aca="false">IF(O295="","",IFERROR(INDEX('Semrush Data'!$A$1:$Z$20000,MATCH(O295,'Semrush Data'!$A$1:$A$20000,0),MATCH("Volume",'Semrush Data'!$A$1:$Z$1,0)),""))</f>
        <v/>
      </c>
      <c r="U295" s="24" t="str">
        <f aca="false">IF(P295="","",IFERROR(INDEX('Semrush Data'!$A$1:$Z$20000,MATCH(P295,'Semrush Data'!$A$1:$A$20000,0),MATCH("Volume",'Semrush Data'!$A$1:$Z$1,0)),""))</f>
        <v/>
      </c>
      <c r="V295" s="25" t="str">
        <f aca="false">IF(COUNT(Q295:U295)=0,L295,IF(MAX(Q295:U295)=0,L295,INDEX(L295:P295,MATCH(MAX(Q295:U295),Q295:U295,0))))</f>
        <v>dunhill signature collection british leather</v>
      </c>
      <c r="W295" s="24" t="n">
        <f aca="false">IFERROR(INDEX('Semrush Data'!$A$1:$Z$20000,MATCH(V295,'Semrush Data'!$A$1:$A$20000,0),MATCH("Volume",'Semrush Data'!$A$1:$Z$1,0)),"")</f>
        <v>20</v>
      </c>
      <c r="X295" s="24" t="n">
        <f aca="false">IFERROR(INDEX('Semrush Data'!$A$1:$Z$20000,MATCH(V295,'Semrush Data'!$A$1:$A$20000,0),MATCH("Keyword Difficulty*",'Semrush Data'!$A$1:$Z$1,0)),"")</f>
        <v>9</v>
      </c>
      <c r="Y295" s="26" t="n">
        <f aca="false">IFERROR(INDEX('Semrush Data'!$A$1:$Z$20000,MATCH(V295,'Semrush Data'!$A$1:$A$20000,0),MATCH("CPC*",'Semrush Data'!$A$1:$Z$1,0)),"")</f>
        <v>0</v>
      </c>
      <c r="Z295" s="23" t="s">
        <v>3743</v>
      </c>
      <c r="AA295" s="23" t="s">
        <v>3779</v>
      </c>
      <c r="AB295" s="23" t="s">
        <v>3780</v>
      </c>
      <c r="AC295" s="23" t="s">
        <v>3781</v>
      </c>
      <c r="AD295" s="27" t="n">
        <f aca="false">LEN(AC295)</f>
        <v>58</v>
      </c>
      <c r="AE295" s="23" t="s">
        <v>3782</v>
      </c>
      <c r="AF295" s="27" t="n">
        <f aca="false">LEN(AE295)</f>
        <v>157</v>
      </c>
    </row>
    <row r="296" customFormat="false" ht="15" hidden="false" customHeight="true" outlineLevel="0" collapsed="false">
      <c r="A296" s="23" t="s">
        <v>3783</v>
      </c>
      <c r="B296" s="23" t="s">
        <v>2449</v>
      </c>
      <c r="C296" s="23" t="n">
        <v>136</v>
      </c>
      <c r="D296" s="23" t="s">
        <v>3736</v>
      </c>
      <c r="E296" s="23"/>
      <c r="F296" s="23" t="s">
        <v>2452</v>
      </c>
      <c r="G296" s="23" t="s">
        <v>2453</v>
      </c>
      <c r="H296" s="23" t="s">
        <v>3033</v>
      </c>
      <c r="I296" s="23" t="s">
        <v>3784</v>
      </c>
      <c r="J296" s="23" t="s">
        <v>1994</v>
      </c>
      <c r="K296" s="23" t="n">
        <v>45.99</v>
      </c>
      <c r="L296" s="23" t="s">
        <v>3785</v>
      </c>
      <c r="M296" s="23" t="s">
        <v>3786</v>
      </c>
      <c r="N296" s="23" t="s">
        <v>3787</v>
      </c>
      <c r="O296" s="23" t="s">
        <v>3788</v>
      </c>
      <c r="P296" s="23" t="s">
        <v>3789</v>
      </c>
      <c r="Q296" s="24" t="n">
        <f aca="false">IF(L296="","",IFERROR(INDEX('Semrush Data'!$A$1:$Z$20000,MATCH(L296,'Semrush Data'!$A$1:$A$20000,0),MATCH("Volume",'Semrush Data'!$A$1:$Z$1,0)),""))</f>
        <v>20</v>
      </c>
      <c r="R296" s="24" t="str">
        <f aca="false">IF(M296="","",IFERROR(INDEX('Semrush Data'!$A$1:$Z$20000,MATCH(M296,'Semrush Data'!$A$1:$A$20000,0),MATCH("Volume",'Semrush Data'!$A$1:$Z$1,0)),""))</f>
        <v/>
      </c>
      <c r="S296" s="24" t="str">
        <f aca="false">IF(N296="","",IFERROR(INDEX('Semrush Data'!$A$1:$Z$20000,MATCH(N296,'Semrush Data'!$A$1:$A$20000,0),MATCH("Volume",'Semrush Data'!$A$1:$Z$1,0)),""))</f>
        <v/>
      </c>
      <c r="T296" s="24" t="str">
        <f aca="false">IF(O296="","",IFERROR(INDEX('Semrush Data'!$A$1:$Z$20000,MATCH(O296,'Semrush Data'!$A$1:$A$20000,0),MATCH("Volume",'Semrush Data'!$A$1:$Z$1,0)),""))</f>
        <v/>
      </c>
      <c r="U296" s="24" t="str">
        <f aca="false">IF(P296="","",IFERROR(INDEX('Semrush Data'!$A$1:$Z$20000,MATCH(P296,'Semrush Data'!$A$1:$A$20000,0),MATCH("Volume",'Semrush Data'!$A$1:$Z$1,0)),""))</f>
        <v/>
      </c>
      <c r="V296" s="25" t="str">
        <f aca="false">IF(COUNT(Q296:U296)=0,L296,IF(MAX(Q296:U296)=0,L296,INDEX(L296:P296,MATCH(MAX(Q296:U296),Q296:U296,0))))</f>
        <v>dunhill signature collection egyptian smoke</v>
      </c>
      <c r="W296" s="24" t="n">
        <f aca="false">IFERROR(INDEX('Semrush Data'!$A$1:$Z$20000,MATCH(V296,'Semrush Data'!$A$1:$A$20000,0),MATCH("Volume",'Semrush Data'!$A$1:$Z$1,0)),"")</f>
        <v>20</v>
      </c>
      <c r="X296" s="24" t="n">
        <f aca="false">IFERROR(INDEX('Semrush Data'!$A$1:$Z$20000,MATCH(V296,'Semrush Data'!$A$1:$A$20000,0),MATCH("Keyword Difficulty*",'Semrush Data'!$A$1:$Z$1,0)),"")</f>
        <v>22</v>
      </c>
      <c r="Y296" s="26" t="n">
        <f aca="false">IFERROR(INDEX('Semrush Data'!$A$1:$Z$20000,MATCH(V296,'Semrush Data'!$A$1:$A$20000,0),MATCH("CPC*",'Semrush Data'!$A$1:$Z$1,0)),"")</f>
        <v>0</v>
      </c>
      <c r="Z296" s="23" t="s">
        <v>3790</v>
      </c>
      <c r="AA296" s="23" t="s">
        <v>3791</v>
      </c>
      <c r="AB296" s="23" t="s">
        <v>3792</v>
      </c>
      <c r="AC296" s="23" t="s">
        <v>3793</v>
      </c>
      <c r="AD296" s="27" t="n">
        <f aca="false">LEN(AC296)</f>
        <v>57</v>
      </c>
      <c r="AE296" s="23" t="s">
        <v>3794</v>
      </c>
      <c r="AF296" s="27" t="n">
        <f aca="false">LEN(AE296)</f>
        <v>157</v>
      </c>
    </row>
    <row r="297" customFormat="false" ht="15" hidden="false" customHeight="true" outlineLevel="0" collapsed="false">
      <c r="A297" s="23" t="s">
        <v>3795</v>
      </c>
      <c r="B297" s="23" t="s">
        <v>2449</v>
      </c>
      <c r="C297" s="23" t="n">
        <v>137</v>
      </c>
      <c r="D297" s="23" t="s">
        <v>3736</v>
      </c>
      <c r="E297" s="23"/>
      <c r="F297" s="23" t="s">
        <v>2452</v>
      </c>
      <c r="G297" s="23" t="s">
        <v>2453</v>
      </c>
      <c r="H297" s="23" t="s">
        <v>2608</v>
      </c>
      <c r="I297" s="23" t="s">
        <v>3796</v>
      </c>
      <c r="J297" s="23" t="s">
        <v>1994</v>
      </c>
      <c r="K297" s="23" t="n">
        <v>45.99</v>
      </c>
      <c r="L297" s="23" t="s">
        <v>3797</v>
      </c>
      <c r="M297" s="23" t="s">
        <v>3798</v>
      </c>
      <c r="N297" s="23" t="s">
        <v>3799</v>
      </c>
      <c r="O297" s="23" t="s">
        <v>3800</v>
      </c>
      <c r="P297" s="23" t="s">
        <v>3801</v>
      </c>
      <c r="Q297" s="24" t="n">
        <f aca="false">IF(L297="","",IFERROR(INDEX('Semrush Data'!$A$1:$Z$20000,MATCH(L297,'Semrush Data'!$A$1:$A$20000,0),MATCH("Volume",'Semrush Data'!$A$1:$Z$1,0)),""))</f>
        <v>20</v>
      </c>
      <c r="R297" s="24" t="str">
        <f aca="false">IF(M297="","",IFERROR(INDEX('Semrush Data'!$A$1:$Z$20000,MATCH(M297,'Semrush Data'!$A$1:$A$20000,0),MATCH("Volume",'Semrush Data'!$A$1:$Z$1,0)),""))</f>
        <v/>
      </c>
      <c r="S297" s="24" t="str">
        <f aca="false">IF(N297="","",IFERROR(INDEX('Semrush Data'!$A$1:$Z$20000,MATCH(N297,'Semrush Data'!$A$1:$A$20000,0),MATCH("Volume",'Semrush Data'!$A$1:$Z$1,0)),""))</f>
        <v/>
      </c>
      <c r="T297" s="24" t="str">
        <f aca="false">IF(O297="","",IFERROR(INDEX('Semrush Data'!$A$1:$Z$20000,MATCH(O297,'Semrush Data'!$A$1:$A$20000,0),MATCH("Volume",'Semrush Data'!$A$1:$Z$1,0)),""))</f>
        <v/>
      </c>
      <c r="U297" s="24" t="str">
        <f aca="false">IF(P297="","",IFERROR(INDEX('Semrush Data'!$A$1:$Z$20000,MATCH(P297,'Semrush Data'!$A$1:$A$20000,0),MATCH("Volume",'Semrush Data'!$A$1:$Z$1,0)),""))</f>
        <v/>
      </c>
      <c r="V297" s="25" t="str">
        <f aca="false">IF(COUNT(Q297:U297)=0,L297,IF(MAX(Q297:U297)=0,L297,INDEX(L297:P297,MATCH(MAX(Q297:U297),Q297:U297,0))))</f>
        <v>dunhill signature collection indian sandalwood</v>
      </c>
      <c r="W297" s="24" t="n">
        <f aca="false">IFERROR(INDEX('Semrush Data'!$A$1:$Z$20000,MATCH(V297,'Semrush Data'!$A$1:$A$20000,0),MATCH("Volume",'Semrush Data'!$A$1:$Z$1,0)),"")</f>
        <v>20</v>
      </c>
      <c r="X297" s="24" t="n">
        <f aca="false">IFERROR(INDEX('Semrush Data'!$A$1:$Z$20000,MATCH(V297,'Semrush Data'!$A$1:$A$20000,0),MATCH("Keyword Difficulty*",'Semrush Data'!$A$1:$Z$1,0)),"")</f>
        <v>16</v>
      </c>
      <c r="Y297" s="26" t="n">
        <f aca="false">IFERROR(INDEX('Semrush Data'!$A$1:$Z$20000,MATCH(V297,'Semrush Data'!$A$1:$A$20000,0),MATCH("CPC*",'Semrush Data'!$A$1:$Z$1,0)),"")</f>
        <v>0</v>
      </c>
      <c r="Z297" s="23" t="s">
        <v>3743</v>
      </c>
      <c r="AA297" s="23" t="s">
        <v>3802</v>
      </c>
      <c r="AB297" s="23" t="s">
        <v>3803</v>
      </c>
      <c r="AC297" s="23" t="s">
        <v>3804</v>
      </c>
      <c r="AD297" s="27" t="n">
        <f aca="false">LEN(AC297)</f>
        <v>60</v>
      </c>
      <c r="AE297" s="23" t="s">
        <v>3805</v>
      </c>
      <c r="AF297" s="27" t="n">
        <f aca="false">LEN(AE297)</f>
        <v>159</v>
      </c>
    </row>
    <row r="298" customFormat="false" ht="15" hidden="false" customHeight="true" outlineLevel="0" collapsed="false">
      <c r="A298" s="23" t="s">
        <v>3806</v>
      </c>
      <c r="B298" s="23" t="s">
        <v>2449</v>
      </c>
      <c r="C298" s="23" t="n">
        <v>138</v>
      </c>
      <c r="D298" s="23" t="s">
        <v>3736</v>
      </c>
      <c r="E298" s="23"/>
      <c r="F298" s="23" t="s">
        <v>2452</v>
      </c>
      <c r="G298" s="23" t="s">
        <v>2453</v>
      </c>
      <c r="H298" s="23" t="s">
        <v>2608</v>
      </c>
      <c r="I298" s="23" t="s">
        <v>3807</v>
      </c>
      <c r="J298" s="23" t="s">
        <v>1994</v>
      </c>
      <c r="K298" s="23" t="n">
        <v>45.99</v>
      </c>
      <c r="L298" s="23" t="s">
        <v>3808</v>
      </c>
      <c r="M298" s="23" t="s">
        <v>3809</v>
      </c>
      <c r="N298" s="23" t="s">
        <v>3810</v>
      </c>
      <c r="O298" s="23" t="s">
        <v>3811</v>
      </c>
      <c r="P298" s="23" t="s">
        <v>3812</v>
      </c>
      <c r="Q298" s="24" t="n">
        <f aca="false">IF(L298="","",IFERROR(INDEX('Semrush Data'!$A$1:$Z$20000,MATCH(L298,'Semrush Data'!$A$1:$A$20000,0),MATCH("Volume",'Semrush Data'!$A$1:$Z$1,0)),""))</f>
        <v>20</v>
      </c>
      <c r="R298" s="24" t="str">
        <f aca="false">IF(M298="","",IFERROR(INDEX('Semrush Data'!$A$1:$Z$20000,MATCH(M298,'Semrush Data'!$A$1:$A$20000,0),MATCH("Volume",'Semrush Data'!$A$1:$Z$1,0)),""))</f>
        <v/>
      </c>
      <c r="S298" s="24" t="str">
        <f aca="false">IF(N298="","",IFERROR(INDEX('Semrush Data'!$A$1:$Z$20000,MATCH(N298,'Semrush Data'!$A$1:$A$20000,0),MATCH("Volume",'Semrush Data'!$A$1:$Z$1,0)),""))</f>
        <v/>
      </c>
      <c r="T298" s="24" t="str">
        <f aca="false">IF(O298="","",IFERROR(INDEX('Semrush Data'!$A$1:$Z$20000,MATCH(O298,'Semrush Data'!$A$1:$A$20000,0),MATCH("Volume",'Semrush Data'!$A$1:$Z$1,0)),""))</f>
        <v/>
      </c>
      <c r="U298" s="24" t="str">
        <f aca="false">IF(P298="","",IFERROR(INDEX('Semrush Data'!$A$1:$Z$20000,MATCH(P298,'Semrush Data'!$A$1:$A$20000,0),MATCH("Volume",'Semrush Data'!$A$1:$Z$1,0)),""))</f>
        <v/>
      </c>
      <c r="V298" s="25" t="str">
        <f aca="false">IF(COUNT(Q298:U298)=0,L298,IF(MAX(Q298:U298)=0,L298,INDEX(L298:P298,MATCH(MAX(Q298:U298),Q298:U298,0))))</f>
        <v>dunhill signature collection mongolian cashmere</v>
      </c>
      <c r="W298" s="24" t="n">
        <f aca="false">IFERROR(INDEX('Semrush Data'!$A$1:$Z$20000,MATCH(V298,'Semrush Data'!$A$1:$A$20000,0),MATCH("Volume",'Semrush Data'!$A$1:$Z$1,0)),"")</f>
        <v>20</v>
      </c>
      <c r="X298" s="24" t="n">
        <f aca="false">IFERROR(INDEX('Semrush Data'!$A$1:$Z$20000,MATCH(V298,'Semrush Data'!$A$1:$A$20000,0),MATCH("Keyword Difficulty*",'Semrush Data'!$A$1:$Z$1,0)),"")</f>
        <v>14</v>
      </c>
      <c r="Y298" s="26" t="n">
        <f aca="false">IFERROR(INDEX('Semrush Data'!$A$1:$Z$20000,MATCH(V298,'Semrush Data'!$A$1:$A$20000,0),MATCH("CPC*",'Semrush Data'!$A$1:$Z$1,0)),"")</f>
        <v>0</v>
      </c>
      <c r="Z298" s="23" t="s">
        <v>3743</v>
      </c>
      <c r="AA298" s="23" t="s">
        <v>3813</v>
      </c>
      <c r="AB298" s="23" t="s">
        <v>3814</v>
      </c>
      <c r="AC298" s="23" t="s">
        <v>3815</v>
      </c>
      <c r="AD298" s="27" t="n">
        <f aca="false">LEN(AC298)</f>
        <v>52</v>
      </c>
      <c r="AE298" s="23" t="s">
        <v>3816</v>
      </c>
      <c r="AF298" s="27" t="n">
        <f aca="false">LEN(AE298)</f>
        <v>160</v>
      </c>
    </row>
    <row r="299" customFormat="false" ht="15" hidden="false" customHeight="true" outlineLevel="0" collapsed="false">
      <c r="A299" s="23" t="s">
        <v>3817</v>
      </c>
      <c r="B299" s="23" t="s">
        <v>2449</v>
      </c>
      <c r="C299" s="23" t="n">
        <v>139</v>
      </c>
      <c r="D299" s="23" t="s">
        <v>3736</v>
      </c>
      <c r="E299" s="23"/>
      <c r="F299" s="23" t="s">
        <v>2452</v>
      </c>
      <c r="G299" s="23" t="s">
        <v>2453</v>
      </c>
      <c r="H299" s="23" t="s">
        <v>3033</v>
      </c>
      <c r="I299" s="23" t="s">
        <v>3818</v>
      </c>
      <c r="J299" s="23" t="s">
        <v>1994</v>
      </c>
      <c r="K299" s="23" t="n">
        <v>45.99</v>
      </c>
      <c r="L299" s="23" t="s">
        <v>3819</v>
      </c>
      <c r="M299" s="23" t="s">
        <v>3820</v>
      </c>
      <c r="N299" s="23" t="s">
        <v>3821</v>
      </c>
      <c r="O299" s="23" t="s">
        <v>3822</v>
      </c>
      <c r="P299" s="23" t="s">
        <v>3823</v>
      </c>
      <c r="Q299" s="24" t="n">
        <f aca="false">IF(L299="","",IFERROR(INDEX('Semrush Data'!$A$1:$Z$20000,MATCH(L299,'Semrush Data'!$A$1:$A$20000,0),MATCH("Volume",'Semrush Data'!$A$1:$Z$1,0)),""))</f>
        <v>20</v>
      </c>
      <c r="R299" s="24" t="str">
        <f aca="false">IF(M299="","",IFERROR(INDEX('Semrush Data'!$A$1:$Z$20000,MATCH(M299,'Semrush Data'!$A$1:$A$20000,0),MATCH("Volume",'Semrush Data'!$A$1:$Z$1,0)),""))</f>
        <v/>
      </c>
      <c r="S299" s="24" t="str">
        <f aca="false">IF(N299="","",IFERROR(INDEX('Semrush Data'!$A$1:$Z$20000,MATCH(N299,'Semrush Data'!$A$1:$A$20000,0),MATCH("Volume",'Semrush Data'!$A$1:$Z$1,0)),""))</f>
        <v/>
      </c>
      <c r="T299" s="24" t="str">
        <f aca="false">IF(O299="","",IFERROR(INDEX('Semrush Data'!$A$1:$Z$20000,MATCH(O299,'Semrush Data'!$A$1:$A$20000,0),MATCH("Volume",'Semrush Data'!$A$1:$Z$1,0)),""))</f>
        <v/>
      </c>
      <c r="U299" s="24" t="str">
        <f aca="false">IF(P299="","",IFERROR(INDEX('Semrush Data'!$A$1:$Z$20000,MATCH(P299,'Semrush Data'!$A$1:$A$20000,0),MATCH("Volume",'Semrush Data'!$A$1:$Z$1,0)),""))</f>
        <v/>
      </c>
      <c r="V299" s="25" t="str">
        <f aca="false">IF(COUNT(Q299:U299)=0,L299,IF(MAX(Q299:U299)=0,L299,INDEX(L299:P299,MATCH(MAX(Q299:U299),Q299:U299,0))))</f>
        <v>dunhill signature collection moroccan amber</v>
      </c>
      <c r="W299" s="24" t="n">
        <f aca="false">IFERROR(INDEX('Semrush Data'!$A$1:$Z$20000,MATCH(V299,'Semrush Data'!$A$1:$A$20000,0),MATCH("Volume",'Semrush Data'!$A$1:$Z$1,0)),"")</f>
        <v>20</v>
      </c>
      <c r="X299" s="24" t="n">
        <f aca="false">IFERROR(INDEX('Semrush Data'!$A$1:$Z$20000,MATCH(V299,'Semrush Data'!$A$1:$A$20000,0),MATCH("Keyword Difficulty*",'Semrush Data'!$A$1:$Z$1,0)),"")</f>
        <v>14</v>
      </c>
      <c r="Y299" s="26" t="n">
        <f aca="false">IFERROR(INDEX('Semrush Data'!$A$1:$Z$20000,MATCH(V299,'Semrush Data'!$A$1:$A$20000,0),MATCH("CPC*",'Semrush Data'!$A$1:$Z$1,0)),"")</f>
        <v>0</v>
      </c>
      <c r="Z299" s="23" t="s">
        <v>3790</v>
      </c>
      <c r="AA299" s="23" t="s">
        <v>3824</v>
      </c>
      <c r="AB299" s="23" t="s">
        <v>3825</v>
      </c>
      <c r="AC299" s="23" t="s">
        <v>3826</v>
      </c>
      <c r="AD299" s="27" t="n">
        <f aca="false">LEN(AC299)</f>
        <v>57</v>
      </c>
      <c r="AE299" s="23" t="s">
        <v>3827</v>
      </c>
      <c r="AF299" s="27" t="n">
        <f aca="false">LEN(AE299)</f>
        <v>157</v>
      </c>
    </row>
    <row r="300" customFormat="false" ht="15" hidden="false" customHeight="true" outlineLevel="0" collapsed="false">
      <c r="A300" s="23" t="s">
        <v>3828</v>
      </c>
      <c r="B300" s="23" t="s">
        <v>2449</v>
      </c>
      <c r="C300" s="23" t="n">
        <v>140</v>
      </c>
      <c r="D300" s="23" t="s">
        <v>3736</v>
      </c>
      <c r="E300" s="23"/>
      <c r="F300" s="23" t="s">
        <v>2452</v>
      </c>
      <c r="G300" s="23" t="s">
        <v>2453</v>
      </c>
      <c r="H300" s="23" t="s">
        <v>2608</v>
      </c>
      <c r="I300" s="23" t="s">
        <v>3829</v>
      </c>
      <c r="J300" s="23" t="s">
        <v>1994</v>
      </c>
      <c r="K300" s="23" t="n">
        <v>45.99</v>
      </c>
      <c r="L300" s="23" t="s">
        <v>3830</v>
      </c>
      <c r="M300" s="23" t="s">
        <v>3831</v>
      </c>
      <c r="N300" s="23" t="s">
        <v>3832</v>
      </c>
      <c r="O300" s="23" t="s">
        <v>3833</v>
      </c>
      <c r="P300" s="23" t="s">
        <v>3834</v>
      </c>
      <c r="Q300" s="24" t="n">
        <f aca="false">IF(L300="","",IFERROR(INDEX('Semrush Data'!$A$1:$Z$20000,MATCH(L300,'Semrush Data'!$A$1:$A$20000,0),MATCH("Volume",'Semrush Data'!$A$1:$Z$1,0)),""))</f>
        <v>20</v>
      </c>
      <c r="R300" s="24" t="str">
        <f aca="false">IF(M300="","",IFERROR(INDEX('Semrush Data'!$A$1:$Z$20000,MATCH(M300,'Semrush Data'!$A$1:$A$20000,0),MATCH("Volume",'Semrush Data'!$A$1:$Z$1,0)),""))</f>
        <v/>
      </c>
      <c r="S300" s="24" t="str">
        <f aca="false">IF(N300="","",IFERROR(INDEX('Semrush Data'!$A$1:$Z$20000,MATCH(N300,'Semrush Data'!$A$1:$A$20000,0),MATCH("Volume",'Semrush Data'!$A$1:$Z$1,0)),""))</f>
        <v/>
      </c>
      <c r="T300" s="24" t="str">
        <f aca="false">IF(O300="","",IFERROR(INDEX('Semrush Data'!$A$1:$Z$20000,MATCH(O300,'Semrush Data'!$A$1:$A$20000,0),MATCH("Volume",'Semrush Data'!$A$1:$Z$1,0)),""))</f>
        <v/>
      </c>
      <c r="U300" s="24" t="str">
        <f aca="false">IF(P300="","",IFERROR(INDEX('Semrush Data'!$A$1:$Z$20000,MATCH(P300,'Semrush Data'!$A$1:$A$20000,0),MATCH("Volume",'Semrush Data'!$A$1:$Z$1,0)),""))</f>
        <v/>
      </c>
      <c r="V300" s="25" t="str">
        <f aca="false">IF(COUNT(Q300:U300)=0,L300,IF(MAX(Q300:U300)=0,L300,INDEX(L300:P300,MATCH(MAX(Q300:U300),Q300:U300,0))))</f>
        <v>dunhill signature collection nordic fougere</v>
      </c>
      <c r="W300" s="24" t="n">
        <f aca="false">IFERROR(INDEX('Semrush Data'!$A$1:$Z$20000,MATCH(V300,'Semrush Data'!$A$1:$A$20000,0),MATCH("Volume",'Semrush Data'!$A$1:$Z$1,0)),"")</f>
        <v>20</v>
      </c>
      <c r="X300" s="24" t="n">
        <f aca="false">IFERROR(INDEX('Semrush Data'!$A$1:$Z$20000,MATCH(V300,'Semrush Data'!$A$1:$A$20000,0),MATCH("Keyword Difficulty*",'Semrush Data'!$A$1:$Z$1,0)),"")</f>
        <v>18</v>
      </c>
      <c r="Y300" s="26" t="n">
        <f aca="false">IFERROR(INDEX('Semrush Data'!$A$1:$Z$20000,MATCH(V300,'Semrush Data'!$A$1:$A$20000,0),MATCH("CPC*",'Semrush Data'!$A$1:$Z$1,0)),"")</f>
        <v>0</v>
      </c>
      <c r="Z300" s="23" t="s">
        <v>3743</v>
      </c>
      <c r="AA300" s="23" t="s">
        <v>3835</v>
      </c>
      <c r="AB300" s="23" t="s">
        <v>3836</v>
      </c>
      <c r="AC300" s="23" t="s">
        <v>3837</v>
      </c>
      <c r="AD300" s="27" t="n">
        <f aca="false">LEN(AC300)</f>
        <v>57</v>
      </c>
      <c r="AE300" s="23" t="s">
        <v>3838</v>
      </c>
      <c r="AF300" s="27" t="n">
        <f aca="false">LEN(AE300)</f>
        <v>156</v>
      </c>
    </row>
    <row r="301" customFormat="false" ht="15" hidden="false" customHeight="true" outlineLevel="0" collapsed="false">
      <c r="A301" s="23" t="s">
        <v>3839</v>
      </c>
      <c r="B301" s="23" t="s">
        <v>2449</v>
      </c>
      <c r="C301" s="23" t="n">
        <v>141</v>
      </c>
      <c r="D301" s="23" t="s">
        <v>3736</v>
      </c>
      <c r="E301" s="23"/>
      <c r="F301" s="23" t="s">
        <v>2452</v>
      </c>
      <c r="G301" s="23" t="s">
        <v>2453</v>
      </c>
      <c r="H301" s="23" t="s">
        <v>2932</v>
      </c>
      <c r="I301" s="23" t="s">
        <v>3840</v>
      </c>
      <c r="J301" s="23" t="s">
        <v>1994</v>
      </c>
      <c r="K301" s="23" t="n">
        <v>45.99</v>
      </c>
      <c r="L301" s="23" t="s">
        <v>3841</v>
      </c>
      <c r="M301" s="23" t="s">
        <v>3842</v>
      </c>
      <c r="N301" s="23" t="s">
        <v>3843</v>
      </c>
      <c r="O301" s="23" t="s">
        <v>3844</v>
      </c>
      <c r="P301" s="23" t="s">
        <v>3845</v>
      </c>
      <c r="Q301" s="24" t="n">
        <f aca="false">IF(L301="","",IFERROR(INDEX('Semrush Data'!$A$1:$Z$20000,MATCH(L301,'Semrush Data'!$A$1:$A$20000,0),MATCH("Volume",'Semrush Data'!$A$1:$Z$1,0)),""))</f>
        <v>20</v>
      </c>
      <c r="R301" s="24" t="str">
        <f aca="false">IF(M301="","",IFERROR(INDEX('Semrush Data'!$A$1:$Z$20000,MATCH(M301,'Semrush Data'!$A$1:$A$20000,0),MATCH("Volume",'Semrush Data'!$A$1:$Z$1,0)),""))</f>
        <v/>
      </c>
      <c r="S301" s="24" t="str">
        <f aca="false">IF(N301="","",IFERROR(INDEX('Semrush Data'!$A$1:$Z$20000,MATCH(N301,'Semrush Data'!$A$1:$A$20000,0),MATCH("Volume",'Semrush Data'!$A$1:$Z$1,0)),""))</f>
        <v/>
      </c>
      <c r="T301" s="24" t="str">
        <f aca="false">IF(O301="","",IFERROR(INDEX('Semrush Data'!$A$1:$Z$20000,MATCH(O301,'Semrush Data'!$A$1:$A$20000,0),MATCH("Volume",'Semrush Data'!$A$1:$Z$1,0)),""))</f>
        <v/>
      </c>
      <c r="U301" s="24" t="str">
        <f aca="false">IF(P301="","",IFERROR(INDEX('Semrush Data'!$A$1:$Z$20000,MATCH(P301,'Semrush Data'!$A$1:$A$20000,0),MATCH("Volume",'Semrush Data'!$A$1:$Z$1,0)),""))</f>
        <v/>
      </c>
      <c r="V301" s="25" t="str">
        <f aca="false">IF(COUNT(Q301:U301)=0,L301,IF(MAX(Q301:U301)=0,L301,INDEX(L301:P301,MATCH(MAX(Q301:U301),Q301:U301,0))))</f>
        <v>dunhill signature collection valensole lavender</v>
      </c>
      <c r="W301" s="24" t="n">
        <f aca="false">IFERROR(INDEX('Semrush Data'!$A$1:$Z$20000,MATCH(V301,'Semrush Data'!$A$1:$A$20000,0),MATCH("Volume",'Semrush Data'!$A$1:$Z$1,0)),"")</f>
        <v>20</v>
      </c>
      <c r="X301" s="24" t="n">
        <f aca="false">IFERROR(INDEX('Semrush Data'!$A$1:$Z$20000,MATCH(V301,'Semrush Data'!$A$1:$A$20000,0),MATCH("Keyword Difficulty*",'Semrush Data'!$A$1:$Z$1,0)),"")</f>
        <v>13</v>
      </c>
      <c r="Y301" s="26" t="n">
        <f aca="false">IFERROR(INDEX('Semrush Data'!$A$1:$Z$20000,MATCH(V301,'Semrush Data'!$A$1:$A$20000,0),MATCH("CPC*",'Semrush Data'!$A$1:$Z$1,0)),"")</f>
        <v>0</v>
      </c>
      <c r="Z301" s="23" t="s">
        <v>3846</v>
      </c>
      <c r="AA301" s="23" t="s">
        <v>3847</v>
      </c>
      <c r="AB301" s="23" t="s">
        <v>3848</v>
      </c>
      <c r="AC301" s="23" t="s">
        <v>3849</v>
      </c>
      <c r="AD301" s="27" t="n">
        <f aca="false">LEN(AC301)</f>
        <v>52</v>
      </c>
      <c r="AE301" s="23" t="s">
        <v>3850</v>
      </c>
      <c r="AF301" s="27" t="n">
        <f aca="false">LEN(AE301)</f>
        <v>157</v>
      </c>
    </row>
    <row r="302" customFormat="false" ht="15" hidden="false" customHeight="true" outlineLevel="0" collapsed="false">
      <c r="A302" s="23" t="s">
        <v>3851</v>
      </c>
      <c r="B302" s="23" t="s">
        <v>2449</v>
      </c>
      <c r="C302" s="23" t="n">
        <v>142</v>
      </c>
      <c r="D302" s="23" t="s">
        <v>3736</v>
      </c>
      <c r="E302" s="23"/>
      <c r="F302" s="23" t="s">
        <v>2452</v>
      </c>
      <c r="G302" s="23" t="s">
        <v>2818</v>
      </c>
      <c r="H302" s="23" t="s">
        <v>2608</v>
      </c>
      <c r="I302" s="23" t="s">
        <v>3852</v>
      </c>
      <c r="J302" s="23" t="s">
        <v>1994</v>
      </c>
      <c r="K302" s="23" t="n">
        <v>28.99</v>
      </c>
      <c r="L302" s="23" t="s">
        <v>3853</v>
      </c>
      <c r="M302" s="23" t="s">
        <v>3854</v>
      </c>
      <c r="N302" s="23" t="s">
        <v>3855</v>
      </c>
      <c r="O302" s="23" t="s">
        <v>3856</v>
      </c>
      <c r="P302" s="23" t="s">
        <v>3857</v>
      </c>
      <c r="Q302" s="24" t="n">
        <f aca="false">IF(L302="","",IFERROR(INDEX('Semrush Data'!$A$1:$Z$20000,MATCH(L302,'Semrush Data'!$A$1:$A$20000,0),MATCH("Volume",'Semrush Data'!$A$1:$Z$1,0)),""))</f>
        <v>40</v>
      </c>
      <c r="R302" s="24" t="str">
        <f aca="false">IF(M302="","",IFERROR(INDEX('Semrush Data'!$A$1:$Z$20000,MATCH(M302,'Semrush Data'!$A$1:$A$20000,0),MATCH("Volume",'Semrush Data'!$A$1:$Z$1,0)),""))</f>
        <v/>
      </c>
      <c r="S302" s="24" t="str">
        <f aca="false">IF(N302="","",IFERROR(INDEX('Semrush Data'!$A$1:$Z$20000,MATCH(N302,'Semrush Data'!$A$1:$A$20000,0),MATCH("Volume",'Semrush Data'!$A$1:$Z$1,0)),""))</f>
        <v/>
      </c>
      <c r="T302" s="24" t="str">
        <f aca="false">IF(O302="","",IFERROR(INDEX('Semrush Data'!$A$1:$Z$20000,MATCH(O302,'Semrush Data'!$A$1:$A$20000,0),MATCH("Volume",'Semrush Data'!$A$1:$Z$1,0)),""))</f>
        <v/>
      </c>
      <c r="U302" s="24" t="str">
        <f aca="false">IF(P302="","",IFERROR(INDEX('Semrush Data'!$A$1:$Z$20000,MATCH(P302,'Semrush Data'!$A$1:$A$20000,0),MATCH("Volume",'Semrush Data'!$A$1:$Z$1,0)),""))</f>
        <v/>
      </c>
      <c r="V302" s="25" t="str">
        <f aca="false">IF(COUNT(Q302:U302)=0,L302,IF(MAX(Q302:U302)=0,L302,INDEX(L302:P302,MATCH(MAX(Q302:U302),Q302:U302,0))))</f>
        <v>dunhill desire black</v>
      </c>
      <c r="W302" s="24" t="n">
        <f aca="false">IFERROR(INDEX('Semrush Data'!$A$1:$Z$20000,MATCH(V302,'Semrush Data'!$A$1:$A$20000,0),MATCH("Volume",'Semrush Data'!$A$1:$Z$1,0)),"")</f>
        <v>40</v>
      </c>
      <c r="X302" s="24" t="n">
        <f aca="false">IFERROR(INDEX('Semrush Data'!$A$1:$Z$20000,MATCH(V302,'Semrush Data'!$A$1:$A$20000,0),MATCH("Keyword Difficulty*",'Semrush Data'!$A$1:$Z$1,0)),"")</f>
        <v>9</v>
      </c>
      <c r="Y302" s="26" t="n">
        <f aca="false">IFERROR(INDEX('Semrush Data'!$A$1:$Z$20000,MATCH(V302,'Semrush Data'!$A$1:$A$20000,0),MATCH("CPC*",'Semrush Data'!$A$1:$Z$1,0)),"")</f>
        <v>0</v>
      </c>
      <c r="Z302" s="23" t="s">
        <v>3743</v>
      </c>
      <c r="AA302" s="23" t="s">
        <v>3858</v>
      </c>
      <c r="AB302" s="23" t="s">
        <v>3859</v>
      </c>
      <c r="AC302" s="23" t="s">
        <v>3860</v>
      </c>
      <c r="AD302" s="27" t="n">
        <f aca="false">LEN(AC302)</f>
        <v>57</v>
      </c>
      <c r="AE302" s="23" t="s">
        <v>3861</v>
      </c>
      <c r="AF302" s="27" t="n">
        <f aca="false">LEN(AE302)</f>
        <v>157</v>
      </c>
    </row>
    <row r="303" customFormat="false" ht="15" hidden="false" customHeight="true" outlineLevel="0" collapsed="false">
      <c r="A303" s="23" t="s">
        <v>3862</v>
      </c>
      <c r="B303" s="23" t="s">
        <v>2449</v>
      </c>
      <c r="C303" s="23" t="n">
        <v>143</v>
      </c>
      <c r="D303" s="23" t="s">
        <v>3736</v>
      </c>
      <c r="E303" s="23"/>
      <c r="F303" s="23" t="s">
        <v>2452</v>
      </c>
      <c r="G303" s="23" t="s">
        <v>2818</v>
      </c>
      <c r="H303" s="23" t="s">
        <v>2891</v>
      </c>
      <c r="I303" s="23" t="s">
        <v>3863</v>
      </c>
      <c r="J303" s="23" t="s">
        <v>1994</v>
      </c>
      <c r="K303" s="23" t="n">
        <v>28.99</v>
      </c>
      <c r="L303" s="23" t="s">
        <v>3864</v>
      </c>
      <c r="M303" s="23" t="s">
        <v>3865</v>
      </c>
      <c r="N303" s="23" t="s">
        <v>3866</v>
      </c>
      <c r="O303" s="23" t="s">
        <v>3867</v>
      </c>
      <c r="P303" s="23" t="s">
        <v>3868</v>
      </c>
      <c r="Q303" s="24" t="n">
        <f aca="false">IF(L303="","",IFERROR(INDEX('Semrush Data'!$A$1:$Z$20000,MATCH(L303,'Semrush Data'!$A$1:$A$20000,0),MATCH("Volume",'Semrush Data'!$A$1:$Z$1,0)),""))</f>
        <v>140</v>
      </c>
      <c r="R303" s="24" t="n">
        <f aca="false">IF(M303="","",IFERROR(INDEX('Semrush Data'!$A$1:$Z$20000,MATCH(M303,'Semrush Data'!$A$1:$A$20000,0),MATCH("Volume",'Semrush Data'!$A$1:$Z$1,0)),""))</f>
        <v>20</v>
      </c>
      <c r="S303" s="24" t="str">
        <f aca="false">IF(N303="","",IFERROR(INDEX('Semrush Data'!$A$1:$Z$20000,MATCH(N303,'Semrush Data'!$A$1:$A$20000,0),MATCH("Volume",'Semrush Data'!$A$1:$Z$1,0)),""))</f>
        <v/>
      </c>
      <c r="T303" s="24" t="str">
        <f aca="false">IF(O303="","",IFERROR(INDEX('Semrush Data'!$A$1:$Z$20000,MATCH(O303,'Semrush Data'!$A$1:$A$20000,0),MATCH("Volume",'Semrush Data'!$A$1:$Z$1,0)),""))</f>
        <v/>
      </c>
      <c r="U303" s="24" t="n">
        <f aca="false">IF(P303="","",IFERROR(INDEX('Semrush Data'!$A$1:$Z$20000,MATCH(P303,'Semrush Data'!$A$1:$A$20000,0),MATCH("Volume",'Semrush Data'!$A$1:$Z$1,0)),""))</f>
        <v>20</v>
      </c>
      <c r="V303" s="25" t="str">
        <f aca="false">IF(COUNT(Q303:U303)=0,L303,IF(MAX(Q303:U303)=0,L303,INDEX(L303:P303,MATCH(MAX(Q303:U303),Q303:U303,0))))</f>
        <v>dunhill desire blue</v>
      </c>
      <c r="W303" s="24" t="n">
        <f aca="false">IFERROR(INDEX('Semrush Data'!$A$1:$Z$20000,MATCH(V303,'Semrush Data'!$A$1:$A$20000,0),MATCH("Volume",'Semrush Data'!$A$1:$Z$1,0)),"")</f>
        <v>140</v>
      </c>
      <c r="X303" s="24" t="n">
        <f aca="false">IFERROR(INDEX('Semrush Data'!$A$1:$Z$20000,MATCH(V303,'Semrush Data'!$A$1:$A$20000,0),MATCH("Keyword Difficulty*",'Semrush Data'!$A$1:$Z$1,0)),"")</f>
        <v>19</v>
      </c>
      <c r="Y303" s="26" t="n">
        <f aca="false">IFERROR(INDEX('Semrush Data'!$A$1:$Z$20000,MATCH(V303,'Semrush Data'!$A$1:$A$20000,0),MATCH("CPC*",'Semrush Data'!$A$1:$Z$1,0)),"")</f>
        <v>0.34</v>
      </c>
      <c r="Z303" s="23" t="s">
        <v>3869</v>
      </c>
      <c r="AA303" s="23" t="s">
        <v>3870</v>
      </c>
      <c r="AB303" s="23" t="s">
        <v>3871</v>
      </c>
      <c r="AC303" s="23" t="s">
        <v>3872</v>
      </c>
      <c r="AD303" s="27" t="n">
        <f aca="false">LEN(AC303)</f>
        <v>56</v>
      </c>
      <c r="AE303" s="23" t="s">
        <v>3873</v>
      </c>
      <c r="AF303" s="27" t="n">
        <f aca="false">LEN(AE303)</f>
        <v>156</v>
      </c>
    </row>
    <row r="304" customFormat="false" ht="15" hidden="false" customHeight="true" outlineLevel="0" collapsed="false">
      <c r="A304" s="23" t="s">
        <v>3874</v>
      </c>
      <c r="B304" s="23" t="s">
        <v>2449</v>
      </c>
      <c r="C304" s="23" t="n">
        <v>144</v>
      </c>
      <c r="D304" s="23" t="s">
        <v>3736</v>
      </c>
      <c r="E304" s="23"/>
      <c r="F304" s="23" t="s">
        <v>2452</v>
      </c>
      <c r="G304" s="23" t="s">
        <v>2818</v>
      </c>
      <c r="H304" s="23" t="s">
        <v>2608</v>
      </c>
      <c r="I304" s="23" t="s">
        <v>3875</v>
      </c>
      <c r="J304" s="23" t="s">
        <v>1994</v>
      </c>
      <c r="K304" s="23" t="n">
        <v>28.99</v>
      </c>
      <c r="L304" s="23" t="s">
        <v>3876</v>
      </c>
      <c r="M304" s="23" t="s">
        <v>3877</v>
      </c>
      <c r="N304" s="23" t="s">
        <v>3878</v>
      </c>
      <c r="O304" s="23" t="s">
        <v>3879</v>
      </c>
      <c r="P304" s="23" t="s">
        <v>3880</v>
      </c>
      <c r="Q304" s="24" t="n">
        <f aca="false">IF(L304="","",IFERROR(INDEX('Semrush Data'!$A$1:$Z$20000,MATCH(L304,'Semrush Data'!$A$1:$A$20000,0),MATCH("Volume",'Semrush Data'!$A$1:$Z$1,0)),""))</f>
        <v>20</v>
      </c>
      <c r="R304" s="24" t="str">
        <f aca="false">IF(M304="","",IFERROR(INDEX('Semrush Data'!$A$1:$Z$20000,MATCH(M304,'Semrush Data'!$A$1:$A$20000,0),MATCH("Volume",'Semrush Data'!$A$1:$Z$1,0)),""))</f>
        <v/>
      </c>
      <c r="S304" s="24" t="str">
        <f aca="false">IF(N304="","",IFERROR(INDEX('Semrush Data'!$A$1:$Z$20000,MATCH(N304,'Semrush Data'!$A$1:$A$20000,0),MATCH("Volume",'Semrush Data'!$A$1:$Z$1,0)),""))</f>
        <v/>
      </c>
      <c r="T304" s="24" t="str">
        <f aca="false">IF(O304="","",IFERROR(INDEX('Semrush Data'!$A$1:$Z$20000,MATCH(O304,'Semrush Data'!$A$1:$A$20000,0),MATCH("Volume",'Semrush Data'!$A$1:$Z$1,0)),""))</f>
        <v/>
      </c>
      <c r="U304" s="24" t="str">
        <f aca="false">IF(P304="","",IFERROR(INDEX('Semrush Data'!$A$1:$Z$20000,MATCH(P304,'Semrush Data'!$A$1:$A$20000,0),MATCH("Volume",'Semrush Data'!$A$1:$Z$1,0)),""))</f>
        <v/>
      </c>
      <c r="V304" s="25" t="str">
        <f aca="false">IF(COUNT(Q304:U304)=0,L304,IF(MAX(Q304:U304)=0,L304,INDEX(L304:P304,MATCH(MAX(Q304:U304),Q304:U304,0))))</f>
        <v>dunhill desire gold</v>
      </c>
      <c r="W304" s="24" t="n">
        <f aca="false">IFERROR(INDEX('Semrush Data'!$A$1:$Z$20000,MATCH(V304,'Semrush Data'!$A$1:$A$20000,0),MATCH("Volume",'Semrush Data'!$A$1:$Z$1,0)),"")</f>
        <v>20</v>
      </c>
      <c r="X304" s="24" t="n">
        <f aca="false">IFERROR(INDEX('Semrush Data'!$A$1:$Z$20000,MATCH(V304,'Semrush Data'!$A$1:$A$20000,0),MATCH("Keyword Difficulty*",'Semrush Data'!$A$1:$Z$1,0)),"")</f>
        <v>17</v>
      </c>
      <c r="Y304" s="26" t="n">
        <f aca="false">IFERROR(INDEX('Semrush Data'!$A$1:$Z$20000,MATCH(V304,'Semrush Data'!$A$1:$A$20000,0),MATCH("CPC*",'Semrush Data'!$A$1:$Z$1,0)),"")</f>
        <v>0</v>
      </c>
      <c r="Z304" s="23" t="s">
        <v>3743</v>
      </c>
      <c r="AA304" s="23" t="s">
        <v>3881</v>
      </c>
      <c r="AB304" s="23" t="s">
        <v>3882</v>
      </c>
      <c r="AC304" s="23" t="s">
        <v>3883</v>
      </c>
      <c r="AD304" s="27" t="n">
        <f aca="false">LEN(AC304)</f>
        <v>56</v>
      </c>
      <c r="AE304" s="23" t="s">
        <v>3884</v>
      </c>
      <c r="AF304" s="27" t="n">
        <f aca="false">LEN(AE304)</f>
        <v>156</v>
      </c>
    </row>
    <row r="305" customFormat="false" ht="15" hidden="false" customHeight="true" outlineLevel="0" collapsed="false">
      <c r="A305" s="23" t="s">
        <v>3885</v>
      </c>
      <c r="B305" s="23" t="s">
        <v>2449</v>
      </c>
      <c r="C305" s="23" t="n">
        <v>145</v>
      </c>
      <c r="D305" s="23" t="s">
        <v>3736</v>
      </c>
      <c r="E305" s="23"/>
      <c r="F305" s="23" t="s">
        <v>2452</v>
      </c>
      <c r="G305" s="23" t="s">
        <v>2818</v>
      </c>
      <c r="H305" s="23" t="s">
        <v>2608</v>
      </c>
      <c r="I305" s="23" t="s">
        <v>3886</v>
      </c>
      <c r="J305" s="23" t="s">
        <v>1994</v>
      </c>
      <c r="K305" s="23" t="n">
        <v>28.99</v>
      </c>
      <c r="L305" s="23" t="s">
        <v>3887</v>
      </c>
      <c r="M305" s="23" t="s">
        <v>3888</v>
      </c>
      <c r="N305" s="23" t="s">
        <v>3889</v>
      </c>
      <c r="O305" s="23" t="s">
        <v>3890</v>
      </c>
      <c r="P305" s="23" t="s">
        <v>3891</v>
      </c>
      <c r="Q305" s="24" t="n">
        <f aca="false">IF(L305="","",IFERROR(INDEX('Semrush Data'!$A$1:$Z$20000,MATCH(L305,'Semrush Data'!$A$1:$A$20000,0),MATCH("Volume",'Semrush Data'!$A$1:$Z$1,0)),""))</f>
        <v>20</v>
      </c>
      <c r="R305" s="24" t="str">
        <f aca="false">IF(M305="","",IFERROR(INDEX('Semrush Data'!$A$1:$Z$20000,MATCH(M305,'Semrush Data'!$A$1:$A$20000,0),MATCH("Volume",'Semrush Data'!$A$1:$Z$1,0)),""))</f>
        <v/>
      </c>
      <c r="S305" s="24" t="str">
        <f aca="false">IF(N305="","",IFERROR(INDEX('Semrush Data'!$A$1:$Z$20000,MATCH(N305,'Semrush Data'!$A$1:$A$20000,0),MATCH("Volume",'Semrush Data'!$A$1:$Z$1,0)),""))</f>
        <v/>
      </c>
      <c r="T305" s="24" t="str">
        <f aca="false">IF(O305="","",IFERROR(INDEX('Semrush Data'!$A$1:$Z$20000,MATCH(O305,'Semrush Data'!$A$1:$A$20000,0),MATCH("Volume",'Semrush Data'!$A$1:$Z$1,0)),""))</f>
        <v/>
      </c>
      <c r="U305" s="24" t="str">
        <f aca="false">IF(P305="","",IFERROR(INDEX('Semrush Data'!$A$1:$Z$20000,MATCH(P305,'Semrush Data'!$A$1:$A$20000,0),MATCH("Volume",'Semrush Data'!$A$1:$Z$1,0)),""))</f>
        <v/>
      </c>
      <c r="V305" s="25" t="str">
        <f aca="false">IF(COUNT(Q305:U305)=0,L305,IF(MAX(Q305:U305)=0,L305,INDEX(L305:P305,MATCH(MAX(Q305:U305),Q305:U305,0))))</f>
        <v>dunhill desire silver</v>
      </c>
      <c r="W305" s="24" t="n">
        <f aca="false">IFERROR(INDEX('Semrush Data'!$A$1:$Z$20000,MATCH(V305,'Semrush Data'!$A$1:$A$20000,0),MATCH("Volume",'Semrush Data'!$A$1:$Z$1,0)),"")</f>
        <v>20</v>
      </c>
      <c r="X305" s="24" t="n">
        <f aca="false">IFERROR(INDEX('Semrush Data'!$A$1:$Z$20000,MATCH(V305,'Semrush Data'!$A$1:$A$20000,0),MATCH("Keyword Difficulty*",'Semrush Data'!$A$1:$Z$1,0)),"")</f>
        <v>17</v>
      </c>
      <c r="Y305" s="26" t="n">
        <f aca="false">IFERROR(INDEX('Semrush Data'!$A$1:$Z$20000,MATCH(V305,'Semrush Data'!$A$1:$A$20000,0),MATCH("CPC*",'Semrush Data'!$A$1:$Z$1,0)),"")</f>
        <v>0</v>
      </c>
      <c r="Z305" s="23" t="s">
        <v>3743</v>
      </c>
      <c r="AA305" s="23" t="s">
        <v>3892</v>
      </c>
      <c r="AB305" s="23" t="s">
        <v>3893</v>
      </c>
      <c r="AC305" s="23" t="s">
        <v>3894</v>
      </c>
      <c r="AD305" s="27" t="n">
        <f aca="false">LEN(AC305)</f>
        <v>58</v>
      </c>
      <c r="AE305" s="23" t="s">
        <v>3895</v>
      </c>
      <c r="AF305" s="27" t="n">
        <f aca="false">LEN(AE305)</f>
        <v>158</v>
      </c>
    </row>
    <row r="306" customFormat="false" ht="15" hidden="false" customHeight="true" outlineLevel="0" collapsed="false">
      <c r="A306" s="23" t="s">
        <v>123</v>
      </c>
      <c r="B306" s="23" t="s">
        <v>2449</v>
      </c>
      <c r="C306" s="23" t="n">
        <v>146</v>
      </c>
      <c r="D306" s="23" t="s">
        <v>3896</v>
      </c>
      <c r="E306" s="23"/>
      <c r="F306" s="23" t="s">
        <v>2452</v>
      </c>
      <c r="G306" s="23" t="s">
        <v>2453</v>
      </c>
      <c r="H306" s="23" t="s">
        <v>2454</v>
      </c>
      <c r="I306" s="23" t="s">
        <v>124</v>
      </c>
      <c r="J306" s="23" t="s">
        <v>1468</v>
      </c>
      <c r="K306" s="23" t="n">
        <v>31.99</v>
      </c>
      <c r="L306" s="23" t="s">
        <v>3897</v>
      </c>
      <c r="M306" s="23" t="s">
        <v>3898</v>
      </c>
      <c r="N306" s="23" t="s">
        <v>3899</v>
      </c>
      <c r="O306" s="23" t="s">
        <v>3900</v>
      </c>
      <c r="P306" s="23" t="s">
        <v>3901</v>
      </c>
      <c r="Q306" s="24" t="n">
        <f aca="false">IF(L306="","",IFERROR(INDEX('Semrush Data'!$A$1:$Z$20000,MATCH(L306,'Semrush Data'!$A$1:$A$20000,0),MATCH("Volume",'Semrush Data'!$A$1:$Z$1,0)),""))</f>
        <v>480</v>
      </c>
      <c r="R306" s="24" t="n">
        <f aca="false">IF(M306="","",IFERROR(INDEX('Semrush Data'!$A$1:$Z$20000,MATCH(M306,'Semrush Data'!$A$1:$A$20000,0),MATCH("Volume",'Semrush Data'!$A$1:$Z$1,0)),""))</f>
        <v>0</v>
      </c>
      <c r="S306" s="24" t="str">
        <f aca="false">IF(N306="","",IFERROR(INDEX('Semrush Data'!$A$1:$Z$20000,MATCH(N306,'Semrush Data'!$A$1:$A$20000,0),MATCH("Volume",'Semrush Data'!$A$1:$Z$1,0)),""))</f>
        <v/>
      </c>
      <c r="T306" s="24" t="str">
        <f aca="false">IF(O306="","",IFERROR(INDEX('Semrush Data'!$A$1:$Z$20000,MATCH(O306,'Semrush Data'!$A$1:$A$20000,0),MATCH("Volume",'Semrush Data'!$A$1:$Z$1,0)),""))</f>
        <v/>
      </c>
      <c r="U306" s="24" t="n">
        <f aca="false">IF(P306="","",IFERROR(INDEX('Semrush Data'!$A$1:$Z$20000,MATCH(P306,'Semrush Data'!$A$1:$A$20000,0),MATCH("Volume",'Semrush Data'!$A$1:$Z$1,0)),""))</f>
        <v>20</v>
      </c>
      <c r="V306" s="25" t="str">
        <f aca="false">IF(COUNT(Q306:U306)=0,L306,IF(MAX(Q306:U306)=0,L306,INDEX(L306:P306,MATCH(MAX(Q306:U306),Q306:U306,0))))</f>
        <v>elie saab elixir</v>
      </c>
      <c r="W306" s="24" t="n">
        <f aca="false">IFERROR(INDEX('Semrush Data'!$A$1:$Z$20000,MATCH(V306,'Semrush Data'!$A$1:$A$20000,0),MATCH("Volume",'Semrush Data'!$A$1:$Z$1,0)),"")</f>
        <v>480</v>
      </c>
      <c r="X306" s="24" t="n">
        <f aca="false">IFERROR(INDEX('Semrush Data'!$A$1:$Z$20000,MATCH(V306,'Semrush Data'!$A$1:$A$20000,0),MATCH("Keyword Difficulty*",'Semrush Data'!$A$1:$Z$1,0)),"")</f>
        <v>22</v>
      </c>
      <c r="Y306" s="26" t="n">
        <f aca="false">IFERROR(INDEX('Semrush Data'!$A$1:$Z$20000,MATCH(V306,'Semrush Data'!$A$1:$A$20000,0),MATCH("CPC*",'Semrush Data'!$A$1:$Z$1,0)),"")</f>
        <v>0.51</v>
      </c>
      <c r="Z306" s="23" t="s">
        <v>3902</v>
      </c>
      <c r="AA306" s="23" t="s">
        <v>3903</v>
      </c>
      <c r="AB306" s="23" t="s">
        <v>3904</v>
      </c>
      <c r="AC306" s="23" t="s">
        <v>3905</v>
      </c>
      <c r="AD306" s="27" t="n">
        <f aca="false">LEN(AC306)</f>
        <v>57</v>
      </c>
      <c r="AE306" s="23" t="s">
        <v>3906</v>
      </c>
      <c r="AF306" s="27" t="n">
        <f aca="false">LEN(AE306)</f>
        <v>151</v>
      </c>
    </row>
    <row r="307" customFormat="false" ht="15" hidden="false" customHeight="true" outlineLevel="0" collapsed="false">
      <c r="A307" s="23" t="s">
        <v>3907</v>
      </c>
      <c r="B307" s="23" t="s">
        <v>2449</v>
      </c>
      <c r="C307" s="23" t="n">
        <v>147</v>
      </c>
      <c r="D307" s="23" t="s">
        <v>3896</v>
      </c>
      <c r="E307" s="23"/>
      <c r="F307" s="23" t="s">
        <v>2452</v>
      </c>
      <c r="G307" s="23" t="s">
        <v>2453</v>
      </c>
      <c r="H307" s="23" t="s">
        <v>2527</v>
      </c>
      <c r="I307" s="23" t="s">
        <v>3908</v>
      </c>
      <c r="J307" s="23" t="s">
        <v>1994</v>
      </c>
      <c r="K307" s="23" t="n">
        <v>45.99</v>
      </c>
      <c r="L307" s="23" t="s">
        <v>3909</v>
      </c>
      <c r="M307" s="23" t="s">
        <v>3910</v>
      </c>
      <c r="N307" s="23" t="s">
        <v>3911</v>
      </c>
      <c r="O307" s="23" t="s">
        <v>3912</v>
      </c>
      <c r="P307" s="23" t="s">
        <v>3913</v>
      </c>
      <c r="Q307" s="24" t="n">
        <f aca="false">IF(L307="","",IFERROR(INDEX('Semrush Data'!$A$1:$Z$20000,MATCH(L307,'Semrush Data'!$A$1:$A$20000,0),MATCH("Volume",'Semrush Data'!$A$1:$Z$1,0)),""))</f>
        <v>0</v>
      </c>
      <c r="R307" s="24" t="str">
        <f aca="false">IF(M307="","",IFERROR(INDEX('Semrush Data'!$A$1:$Z$20000,MATCH(M307,'Semrush Data'!$A$1:$A$20000,0),MATCH("Volume",'Semrush Data'!$A$1:$Z$1,0)),""))</f>
        <v/>
      </c>
      <c r="S307" s="24" t="str">
        <f aca="false">IF(N307="","",IFERROR(INDEX('Semrush Data'!$A$1:$Z$20000,MATCH(N307,'Semrush Data'!$A$1:$A$20000,0),MATCH("Volume",'Semrush Data'!$A$1:$Z$1,0)),""))</f>
        <v/>
      </c>
      <c r="T307" s="24" t="str">
        <f aca="false">IF(O307="","",IFERROR(INDEX('Semrush Data'!$A$1:$Z$20000,MATCH(O307,'Semrush Data'!$A$1:$A$20000,0),MATCH("Volume",'Semrush Data'!$A$1:$Z$1,0)),""))</f>
        <v/>
      </c>
      <c r="U307" s="24" t="str">
        <f aca="false">IF(P307="","",IFERROR(INDEX('Semrush Data'!$A$1:$Z$20000,MATCH(P307,'Semrush Data'!$A$1:$A$20000,0),MATCH("Volume",'Semrush Data'!$A$1:$Z$1,0)),""))</f>
        <v/>
      </c>
      <c r="V307" s="25" t="str">
        <f aca="false">IF(COUNT(Q307:U307)=0,L307,IF(MAX(Q307:U307)=0,L307,INDEX(L307:P307,MATCH(MAX(Q307:U307),Q307:U307,0))))</f>
        <v>elie saab la collection des essences no. 1 rose</v>
      </c>
      <c r="W307" s="24" t="n">
        <f aca="false">IFERROR(INDEX('Semrush Data'!$A$1:$Z$20000,MATCH(V307,'Semrush Data'!$A$1:$A$20000,0),MATCH("Volume",'Semrush Data'!$A$1:$Z$1,0)),"")</f>
        <v>0</v>
      </c>
      <c r="X307" s="24" t="n">
        <f aca="false">IFERROR(INDEX('Semrush Data'!$A$1:$Z$20000,MATCH(V307,'Semrush Data'!$A$1:$A$20000,0),MATCH("Keyword Difficulty*",'Semrush Data'!$A$1:$Z$1,0)),"")</f>
        <v>12</v>
      </c>
      <c r="Y307" s="26" t="n">
        <f aca="false">IFERROR(INDEX('Semrush Data'!$A$1:$Z$20000,MATCH(V307,'Semrush Data'!$A$1:$A$20000,0),MATCH("CPC*",'Semrush Data'!$A$1:$Z$1,0)),"")</f>
        <v>0</v>
      </c>
      <c r="Z307" s="23" t="s">
        <v>3914</v>
      </c>
      <c r="AA307" s="23"/>
      <c r="AB307" s="23" t="s">
        <v>3915</v>
      </c>
      <c r="AC307" s="23" t="s">
        <v>3916</v>
      </c>
      <c r="AD307" s="27" t="n">
        <f aca="false">LEN(AC307)</f>
        <v>56</v>
      </c>
      <c r="AE307" s="23" t="s">
        <v>3917</v>
      </c>
      <c r="AF307" s="27" t="n">
        <f aca="false">LEN(AE307)</f>
        <v>160</v>
      </c>
    </row>
    <row r="308" customFormat="false" ht="15" hidden="false" customHeight="true" outlineLevel="0" collapsed="false">
      <c r="A308" s="23" t="s">
        <v>3918</v>
      </c>
      <c r="B308" s="23" t="s">
        <v>2449</v>
      </c>
      <c r="C308" s="23" t="n">
        <v>148</v>
      </c>
      <c r="D308" s="23" t="s">
        <v>3896</v>
      </c>
      <c r="E308" s="23"/>
      <c r="F308" s="23" t="s">
        <v>2452</v>
      </c>
      <c r="G308" s="23" t="s">
        <v>2453</v>
      </c>
      <c r="H308" s="23" t="s">
        <v>3919</v>
      </c>
      <c r="I308" s="23" t="s">
        <v>3920</v>
      </c>
      <c r="J308" s="23" t="s">
        <v>1994</v>
      </c>
      <c r="K308" s="23" t="n">
        <v>51.99</v>
      </c>
      <c r="L308" s="23" t="s">
        <v>3921</v>
      </c>
      <c r="M308" s="23" t="s">
        <v>3922</v>
      </c>
      <c r="N308" s="23" t="s">
        <v>3923</v>
      </c>
      <c r="O308" s="23" t="s">
        <v>3924</v>
      </c>
      <c r="P308" s="23" t="s">
        <v>3925</v>
      </c>
      <c r="Q308" s="24" t="n">
        <f aca="false">IF(L308="","",IFERROR(INDEX('Semrush Data'!$A$1:$Z$20000,MATCH(L308,'Semrush Data'!$A$1:$A$20000,0),MATCH("Volume",'Semrush Data'!$A$1:$Z$1,0)),""))</f>
        <v>0</v>
      </c>
      <c r="R308" s="24" t="str">
        <f aca="false">IF(M308="","",IFERROR(INDEX('Semrush Data'!$A$1:$Z$20000,MATCH(M308,'Semrush Data'!$A$1:$A$20000,0),MATCH("Volume",'Semrush Data'!$A$1:$Z$1,0)),""))</f>
        <v/>
      </c>
      <c r="S308" s="24" t="str">
        <f aca="false">IF(N308="","",IFERROR(INDEX('Semrush Data'!$A$1:$Z$20000,MATCH(N308,'Semrush Data'!$A$1:$A$20000,0),MATCH("Volume",'Semrush Data'!$A$1:$Z$1,0)),""))</f>
        <v/>
      </c>
      <c r="T308" s="24" t="str">
        <f aca="false">IF(O308="","",IFERROR(INDEX('Semrush Data'!$A$1:$Z$20000,MATCH(O308,'Semrush Data'!$A$1:$A$20000,0),MATCH("Volume",'Semrush Data'!$A$1:$Z$1,0)),""))</f>
        <v/>
      </c>
      <c r="U308" s="24" t="str">
        <f aca="false">IF(P308="","",IFERROR(INDEX('Semrush Data'!$A$1:$Z$20000,MATCH(P308,'Semrush Data'!$A$1:$A$20000,0),MATCH("Volume",'Semrush Data'!$A$1:$Z$1,0)),""))</f>
        <v/>
      </c>
      <c r="V308" s="25" t="str">
        <f aca="false">IF(COUNT(Q308:U308)=0,L308,IF(MAX(Q308:U308)=0,L308,INDEX(L308:P308,MATCH(MAX(Q308:U308),Q308:U308,0))))</f>
        <v>elie saab la collection des essences no. 4 oud</v>
      </c>
      <c r="W308" s="24" t="n">
        <f aca="false">IFERROR(INDEX('Semrush Data'!$A$1:$Z$20000,MATCH(V308,'Semrush Data'!$A$1:$A$20000,0),MATCH("Volume",'Semrush Data'!$A$1:$Z$1,0)),"")</f>
        <v>0</v>
      </c>
      <c r="X308" s="24" t="n">
        <f aca="false">IFERROR(INDEX('Semrush Data'!$A$1:$Z$20000,MATCH(V308,'Semrush Data'!$A$1:$A$20000,0),MATCH("Keyword Difficulty*",'Semrush Data'!$A$1:$Z$1,0)),"")</f>
        <v>17</v>
      </c>
      <c r="Y308" s="26" t="n">
        <f aca="false">IFERROR(INDEX('Semrush Data'!$A$1:$Z$20000,MATCH(V308,'Semrush Data'!$A$1:$A$20000,0),MATCH("CPC*",'Semrush Data'!$A$1:$Z$1,0)),"")</f>
        <v>0</v>
      </c>
      <c r="Z308" s="23" t="s">
        <v>3926</v>
      </c>
      <c r="AA308" s="23"/>
      <c r="AB308" s="23" t="s">
        <v>3927</v>
      </c>
      <c r="AC308" s="23" t="s">
        <v>3928</v>
      </c>
      <c r="AD308" s="27" t="n">
        <f aca="false">LEN(AC308)</f>
        <v>60</v>
      </c>
      <c r="AE308" s="23" t="s">
        <v>3929</v>
      </c>
      <c r="AF308" s="27" t="n">
        <f aca="false">LEN(AE308)</f>
        <v>159</v>
      </c>
    </row>
    <row r="309" customFormat="false" ht="15" hidden="false" customHeight="true" outlineLevel="0" collapsed="false">
      <c r="A309" s="23" t="s">
        <v>3930</v>
      </c>
      <c r="B309" s="23" t="s">
        <v>2449</v>
      </c>
      <c r="C309" s="23" t="n">
        <v>149</v>
      </c>
      <c r="D309" s="23" t="s">
        <v>3896</v>
      </c>
      <c r="E309" s="23"/>
      <c r="F309" s="23" t="s">
        <v>2452</v>
      </c>
      <c r="G309" s="23" t="s">
        <v>2453</v>
      </c>
      <c r="H309" s="23" t="s">
        <v>2454</v>
      </c>
      <c r="I309" s="23" t="s">
        <v>3931</v>
      </c>
      <c r="J309" s="23" t="s">
        <v>3059</v>
      </c>
      <c r="K309" s="23" t="n">
        <v>44.99</v>
      </c>
      <c r="L309" s="23" t="s">
        <v>3932</v>
      </c>
      <c r="M309" s="23" t="s">
        <v>3933</v>
      </c>
      <c r="N309" s="23" t="s">
        <v>3934</v>
      </c>
      <c r="O309" s="23" t="s">
        <v>3935</v>
      </c>
      <c r="P309" s="23" t="s">
        <v>3936</v>
      </c>
      <c r="Q309" s="24" t="n">
        <f aca="false">IF(L309="","",IFERROR(INDEX('Semrush Data'!$A$1:$Z$20000,MATCH(L309,'Semrush Data'!$A$1:$A$20000,0),MATCH("Volume",'Semrush Data'!$A$1:$Z$1,0)),""))</f>
        <v>40</v>
      </c>
      <c r="R309" s="24" t="str">
        <f aca="false">IF(M309="","",IFERROR(INDEX('Semrush Data'!$A$1:$Z$20000,MATCH(M309,'Semrush Data'!$A$1:$A$20000,0),MATCH("Volume",'Semrush Data'!$A$1:$Z$1,0)),""))</f>
        <v/>
      </c>
      <c r="S309" s="24" t="str">
        <f aca="false">IF(N309="","",IFERROR(INDEX('Semrush Data'!$A$1:$Z$20000,MATCH(N309,'Semrush Data'!$A$1:$A$20000,0),MATCH("Volume",'Semrush Data'!$A$1:$Z$1,0)),""))</f>
        <v/>
      </c>
      <c r="T309" s="24" t="str">
        <f aca="false">IF(O309="","",IFERROR(INDEX('Semrush Data'!$A$1:$Z$20000,MATCH(O309,'Semrush Data'!$A$1:$A$20000,0),MATCH("Volume",'Semrush Data'!$A$1:$Z$1,0)),""))</f>
        <v/>
      </c>
      <c r="U309" s="24" t="str">
        <f aca="false">IF(P309="","",IFERROR(INDEX('Semrush Data'!$A$1:$Z$20000,MATCH(P309,'Semrush Data'!$A$1:$A$20000,0),MATCH("Volume",'Semrush Data'!$A$1:$Z$1,0)),""))</f>
        <v/>
      </c>
      <c r="V309" s="25" t="str">
        <f aca="false">IF(COUNT(Q309:U309)=0,L309,IF(MAX(Q309:U309)=0,L309,INDEX(L309:P309,MATCH(MAX(Q309:U309),Q309:U309,0))))</f>
        <v>elie saab le parfum bridal</v>
      </c>
      <c r="W309" s="24" t="n">
        <f aca="false">IFERROR(INDEX('Semrush Data'!$A$1:$Z$20000,MATCH(V309,'Semrush Data'!$A$1:$A$20000,0),MATCH("Volume",'Semrush Data'!$A$1:$Z$1,0)),"")</f>
        <v>40</v>
      </c>
      <c r="X309" s="24" t="n">
        <f aca="false">IFERROR(INDEX('Semrush Data'!$A$1:$Z$20000,MATCH(V309,'Semrush Data'!$A$1:$A$20000,0),MATCH("Keyword Difficulty*",'Semrush Data'!$A$1:$Z$1,0)),"")</f>
        <v>19</v>
      </c>
      <c r="Y309" s="26" t="n">
        <f aca="false">IFERROR(INDEX('Semrush Data'!$A$1:$Z$20000,MATCH(V309,'Semrush Data'!$A$1:$A$20000,0),MATCH("CPC*",'Semrush Data'!$A$1:$Z$1,0)),"")</f>
        <v>0.52</v>
      </c>
      <c r="Z309" s="23" t="s">
        <v>3902</v>
      </c>
      <c r="AA309" s="23" t="s">
        <v>3937</v>
      </c>
      <c r="AB309" s="23" t="s">
        <v>3938</v>
      </c>
      <c r="AC309" s="23" t="s">
        <v>3939</v>
      </c>
      <c r="AD309" s="27" t="n">
        <f aca="false">LEN(AC309)</f>
        <v>55</v>
      </c>
      <c r="AE309" s="23" t="s">
        <v>3940</v>
      </c>
      <c r="AF309" s="27" t="n">
        <f aca="false">LEN(AE309)</f>
        <v>155</v>
      </c>
    </row>
    <row r="310" customFormat="false" ht="15" hidden="false" customHeight="true" outlineLevel="0" collapsed="false">
      <c r="A310" s="23" t="s">
        <v>3941</v>
      </c>
      <c r="B310" s="23" t="s">
        <v>2449</v>
      </c>
      <c r="C310" s="23" t="n">
        <v>150</v>
      </c>
      <c r="D310" s="23" t="s">
        <v>3896</v>
      </c>
      <c r="E310" s="23"/>
      <c r="F310" s="23" t="s">
        <v>2452</v>
      </c>
      <c r="G310" s="23" t="s">
        <v>2453</v>
      </c>
      <c r="H310" s="23" t="s">
        <v>2454</v>
      </c>
      <c r="I310" s="23" t="s">
        <v>3942</v>
      </c>
      <c r="J310" s="23" t="s">
        <v>1468</v>
      </c>
      <c r="K310" s="23" t="n">
        <v>45.99</v>
      </c>
      <c r="L310" s="23" t="s">
        <v>3943</v>
      </c>
      <c r="M310" s="23" t="s">
        <v>3944</v>
      </c>
      <c r="N310" s="23" t="s">
        <v>3945</v>
      </c>
      <c r="O310" s="23" t="s">
        <v>3946</v>
      </c>
      <c r="P310" s="23" t="s">
        <v>3947</v>
      </c>
      <c r="Q310" s="24" t="n">
        <f aca="false">IF(L310="","",IFERROR(INDEX('Semrush Data'!$A$1:$Z$20000,MATCH(L310,'Semrush Data'!$A$1:$A$20000,0),MATCH("Volume",'Semrush Data'!$A$1:$Z$1,0)),""))</f>
        <v>20</v>
      </c>
      <c r="R310" s="24" t="str">
        <f aca="false">IF(M310="","",IFERROR(INDEX('Semrush Data'!$A$1:$Z$20000,MATCH(M310,'Semrush Data'!$A$1:$A$20000,0),MATCH("Volume",'Semrush Data'!$A$1:$Z$1,0)),""))</f>
        <v/>
      </c>
      <c r="S310" s="24" t="str">
        <f aca="false">IF(N310="","",IFERROR(INDEX('Semrush Data'!$A$1:$Z$20000,MATCH(N310,'Semrush Data'!$A$1:$A$20000,0),MATCH("Volume",'Semrush Data'!$A$1:$Z$1,0)),""))</f>
        <v/>
      </c>
      <c r="T310" s="24" t="str">
        <f aca="false">IF(O310="","",IFERROR(INDEX('Semrush Data'!$A$1:$Z$20000,MATCH(O310,'Semrush Data'!$A$1:$A$20000,0),MATCH("Volume",'Semrush Data'!$A$1:$Z$1,0)),""))</f>
        <v/>
      </c>
      <c r="U310" s="24" t="str">
        <f aca="false">IF(P310="","",IFERROR(INDEX('Semrush Data'!$A$1:$Z$20000,MATCH(P310,'Semrush Data'!$A$1:$A$20000,0),MATCH("Volume",'Semrush Data'!$A$1:$Z$1,0)),""))</f>
        <v/>
      </c>
      <c r="V310" s="25" t="str">
        <f aca="false">IF(COUNT(Q310:U310)=0,L310,IF(MAX(Q310:U310)=0,L310,INDEX(L310:P310,MATCH(MAX(Q310:U310),Q310:U310,0))))</f>
        <v>elie saab le</v>
      </c>
      <c r="W310" s="24" t="n">
        <f aca="false">IFERROR(INDEX('Semrush Data'!$A$1:$Z$20000,MATCH(V310,'Semrush Data'!$A$1:$A$20000,0),MATCH("Volume",'Semrush Data'!$A$1:$Z$1,0)),"")</f>
        <v>20</v>
      </c>
      <c r="X310" s="24" t="n">
        <f aca="false">IFERROR(INDEX('Semrush Data'!$A$1:$Z$20000,MATCH(V310,'Semrush Data'!$A$1:$A$20000,0),MATCH("Keyword Difficulty*",'Semrush Data'!$A$1:$Z$1,0)),"")</f>
        <v>12</v>
      </c>
      <c r="Y310" s="26" t="n">
        <f aca="false">IFERROR(INDEX('Semrush Data'!$A$1:$Z$20000,MATCH(V310,'Semrush Data'!$A$1:$A$20000,0),MATCH("CPC*",'Semrush Data'!$A$1:$Z$1,0)),"")</f>
        <v>0</v>
      </c>
      <c r="Z310" s="23" t="s">
        <v>3902</v>
      </c>
      <c r="AA310" s="23" t="s">
        <v>3948</v>
      </c>
      <c r="AB310" s="23" t="s">
        <v>3949</v>
      </c>
      <c r="AC310" s="23" t="s">
        <v>3950</v>
      </c>
      <c r="AD310" s="27" t="n">
        <f aca="false">LEN(AC310)</f>
        <v>60</v>
      </c>
      <c r="AE310" s="23" t="s">
        <v>3951</v>
      </c>
      <c r="AF310" s="27" t="n">
        <f aca="false">LEN(AE310)</f>
        <v>154</v>
      </c>
    </row>
    <row r="311" customFormat="false" ht="15" hidden="false" customHeight="true" outlineLevel="0" collapsed="false">
      <c r="A311" s="23" t="s">
        <v>3952</v>
      </c>
      <c r="B311" s="23" t="s">
        <v>2449</v>
      </c>
      <c r="C311" s="23" t="n">
        <v>151</v>
      </c>
      <c r="D311" s="23" t="s">
        <v>3896</v>
      </c>
      <c r="E311" s="23"/>
      <c r="F311" s="23" t="s">
        <v>2452</v>
      </c>
      <c r="G311" s="23" t="s">
        <v>2453</v>
      </c>
      <c r="H311" s="23" t="s">
        <v>2454</v>
      </c>
      <c r="I311" s="23" t="s">
        <v>3953</v>
      </c>
      <c r="J311" s="23" t="s">
        <v>3059</v>
      </c>
      <c r="K311" s="23" t="n">
        <v>49.99</v>
      </c>
      <c r="L311" s="23" t="s">
        <v>3954</v>
      </c>
      <c r="M311" s="23" t="s">
        <v>3955</v>
      </c>
      <c r="N311" s="23" t="s">
        <v>3956</v>
      </c>
      <c r="O311" s="23" t="s">
        <v>3957</v>
      </c>
      <c r="P311" s="23" t="s">
        <v>3958</v>
      </c>
      <c r="Q311" s="24" t="n">
        <f aca="false">IF(L311="","",IFERROR(INDEX('Semrush Data'!$A$1:$Z$20000,MATCH(L311,'Semrush Data'!$A$1:$A$20000,0),MATCH("Volume",'Semrush Data'!$A$1:$Z$1,0)),""))</f>
        <v>30</v>
      </c>
      <c r="R311" s="24" t="str">
        <f aca="false">IF(M311="","",IFERROR(INDEX('Semrush Data'!$A$1:$Z$20000,MATCH(M311,'Semrush Data'!$A$1:$A$20000,0),MATCH("Volume",'Semrush Data'!$A$1:$Z$1,0)),""))</f>
        <v/>
      </c>
      <c r="S311" s="24" t="str">
        <f aca="false">IF(N311="","",IFERROR(INDEX('Semrush Data'!$A$1:$Z$20000,MATCH(N311,'Semrush Data'!$A$1:$A$20000,0),MATCH("Volume",'Semrush Data'!$A$1:$Z$1,0)),""))</f>
        <v/>
      </c>
      <c r="T311" s="24" t="str">
        <f aca="false">IF(O311="","",IFERROR(INDEX('Semrush Data'!$A$1:$Z$20000,MATCH(O311,'Semrush Data'!$A$1:$A$20000,0),MATCH("Volume",'Semrush Data'!$A$1:$Z$1,0)),""))</f>
        <v/>
      </c>
      <c r="U311" s="24" t="str">
        <f aca="false">IF(P311="","",IFERROR(INDEX('Semrush Data'!$A$1:$Z$20000,MATCH(P311,'Semrush Data'!$A$1:$A$20000,0),MATCH("Volume",'Semrush Data'!$A$1:$Z$1,0)),""))</f>
        <v/>
      </c>
      <c r="V311" s="25" t="str">
        <f aca="false">IF(COUNT(Q311:U311)=0,L311,IF(MAX(Q311:U311)=0,L311,INDEX(L311:P311,MATCH(MAX(Q311:U311),Q311:U311,0))))</f>
        <v>elie saab le parfum intense</v>
      </c>
      <c r="W311" s="24" t="n">
        <f aca="false">IFERROR(INDEX('Semrush Data'!$A$1:$Z$20000,MATCH(V311,'Semrush Data'!$A$1:$A$20000,0),MATCH("Volume",'Semrush Data'!$A$1:$Z$1,0)),"")</f>
        <v>30</v>
      </c>
      <c r="X311" s="24" t="n">
        <f aca="false">IFERROR(INDEX('Semrush Data'!$A$1:$Z$20000,MATCH(V311,'Semrush Data'!$A$1:$A$20000,0),MATCH("Keyword Difficulty*",'Semrush Data'!$A$1:$Z$1,0)),"")</f>
        <v>7</v>
      </c>
      <c r="Y311" s="26" t="n">
        <f aca="false">IFERROR(INDEX('Semrush Data'!$A$1:$Z$20000,MATCH(V311,'Semrush Data'!$A$1:$A$20000,0),MATCH("CPC*",'Semrush Data'!$A$1:$Z$1,0)),"")</f>
        <v>0</v>
      </c>
      <c r="Z311" s="23" t="s">
        <v>3902</v>
      </c>
      <c r="AA311" s="23" t="s">
        <v>3959</v>
      </c>
      <c r="AB311" s="23" t="s">
        <v>3960</v>
      </c>
      <c r="AC311" s="23" t="s">
        <v>3961</v>
      </c>
      <c r="AD311" s="27" t="n">
        <f aca="false">LEN(AC311)</f>
        <v>56</v>
      </c>
      <c r="AE311" s="23" t="s">
        <v>3962</v>
      </c>
      <c r="AF311" s="27" t="n">
        <f aca="false">LEN(AE311)</f>
        <v>156</v>
      </c>
    </row>
    <row r="312" customFormat="false" ht="15" hidden="false" customHeight="true" outlineLevel="0" collapsed="false">
      <c r="A312" s="23" t="s">
        <v>3963</v>
      </c>
      <c r="B312" s="23" t="s">
        <v>2449</v>
      </c>
      <c r="C312" s="23" t="n">
        <v>152</v>
      </c>
      <c r="D312" s="23" t="s">
        <v>3896</v>
      </c>
      <c r="E312" s="23"/>
      <c r="F312" s="23" t="s">
        <v>2452</v>
      </c>
      <c r="G312" s="23" t="s">
        <v>2453</v>
      </c>
      <c r="H312" s="23" t="s">
        <v>2454</v>
      </c>
      <c r="I312" s="23" t="s">
        <v>3964</v>
      </c>
      <c r="J312" s="23" t="s">
        <v>3059</v>
      </c>
      <c r="K312" s="23" t="n">
        <v>37.99</v>
      </c>
      <c r="L312" s="23" t="s">
        <v>3965</v>
      </c>
      <c r="M312" s="23" t="s">
        <v>3966</v>
      </c>
      <c r="N312" s="23" t="s">
        <v>3967</v>
      </c>
      <c r="O312" s="23" t="s">
        <v>3968</v>
      </c>
      <c r="P312" s="23" t="s">
        <v>3969</v>
      </c>
      <c r="Q312" s="24" t="n">
        <f aca="false">IF(L312="","",IFERROR(INDEX('Semrush Data'!$A$1:$Z$20000,MATCH(L312,'Semrush Data'!$A$1:$A$20000,0),MATCH("Volume",'Semrush Data'!$A$1:$Z$1,0)),""))</f>
        <v>50</v>
      </c>
      <c r="R312" s="24" t="n">
        <f aca="false">IF(M312="","",IFERROR(INDEX('Semrush Data'!$A$1:$Z$20000,MATCH(M312,'Semrush Data'!$A$1:$A$20000,0),MATCH("Volume",'Semrush Data'!$A$1:$Z$1,0)),""))</f>
        <v>20</v>
      </c>
      <c r="S312" s="24" t="str">
        <f aca="false">IF(N312="","",IFERROR(INDEX('Semrush Data'!$A$1:$Z$20000,MATCH(N312,'Semrush Data'!$A$1:$A$20000,0),MATCH("Volume",'Semrush Data'!$A$1:$Z$1,0)),""))</f>
        <v/>
      </c>
      <c r="T312" s="24" t="str">
        <f aca="false">IF(O312="","",IFERROR(INDEX('Semrush Data'!$A$1:$Z$20000,MATCH(O312,'Semrush Data'!$A$1:$A$20000,0),MATCH("Volume",'Semrush Data'!$A$1:$Z$1,0)),""))</f>
        <v/>
      </c>
      <c r="U312" s="24" t="n">
        <f aca="false">IF(P312="","",IFERROR(INDEX('Semrush Data'!$A$1:$Z$20000,MATCH(P312,'Semrush Data'!$A$1:$A$20000,0),MATCH("Volume",'Semrush Data'!$A$1:$Z$1,0)),""))</f>
        <v>20</v>
      </c>
      <c r="V312" s="25" t="str">
        <f aca="false">IF(COUNT(Q312:U312)=0,L312,IF(MAX(Q312:U312)=0,L312,INDEX(L312:P312,MATCH(MAX(Q312:U312),Q312:U312,0))))</f>
        <v>elie saab nuit noor</v>
      </c>
      <c r="W312" s="24" t="n">
        <f aca="false">IFERROR(INDEX('Semrush Data'!$A$1:$Z$20000,MATCH(V312,'Semrush Data'!$A$1:$A$20000,0),MATCH("Volume",'Semrush Data'!$A$1:$Z$1,0)),"")</f>
        <v>50</v>
      </c>
      <c r="X312" s="24" t="n">
        <f aca="false">IFERROR(INDEX('Semrush Data'!$A$1:$Z$20000,MATCH(V312,'Semrush Data'!$A$1:$A$20000,0),MATCH("Keyword Difficulty*",'Semrush Data'!$A$1:$Z$1,0)),"")</f>
        <v>9</v>
      </c>
      <c r="Y312" s="26" t="n">
        <f aca="false">IFERROR(INDEX('Semrush Data'!$A$1:$Z$20000,MATCH(V312,'Semrush Data'!$A$1:$A$20000,0),MATCH("CPC*",'Semrush Data'!$A$1:$Z$1,0)),"")</f>
        <v>0.48</v>
      </c>
      <c r="Z312" s="23" t="s">
        <v>3902</v>
      </c>
      <c r="AA312" s="23" t="s">
        <v>3970</v>
      </c>
      <c r="AB312" s="23" t="s">
        <v>3971</v>
      </c>
      <c r="AC312" s="23" t="s">
        <v>3972</v>
      </c>
      <c r="AD312" s="27" t="n">
        <f aca="false">LEN(AC312)</f>
        <v>60</v>
      </c>
      <c r="AE312" s="23" t="s">
        <v>3973</v>
      </c>
      <c r="AF312" s="27" t="n">
        <f aca="false">LEN(AE312)</f>
        <v>154</v>
      </c>
    </row>
    <row r="313" customFormat="false" ht="15" hidden="false" customHeight="true" outlineLevel="0" collapsed="false">
      <c r="A313" s="23" t="s">
        <v>3974</v>
      </c>
      <c r="B313" s="23" t="s">
        <v>2449</v>
      </c>
      <c r="C313" s="23" t="n">
        <v>153</v>
      </c>
      <c r="D313" s="23" t="s">
        <v>3896</v>
      </c>
      <c r="E313" s="23"/>
      <c r="F313" s="23" t="s">
        <v>1735</v>
      </c>
      <c r="G313" s="23" t="s">
        <v>2453</v>
      </c>
      <c r="H313" s="23" t="s">
        <v>2516</v>
      </c>
      <c r="I313" s="23" t="s">
        <v>3975</v>
      </c>
      <c r="J313" s="23" t="s">
        <v>1468</v>
      </c>
      <c r="K313" s="23" t="n">
        <v>38.99</v>
      </c>
      <c r="L313" s="23" t="s">
        <v>3976</v>
      </c>
      <c r="M313" s="23" t="s">
        <v>3977</v>
      </c>
      <c r="N313" s="23" t="s">
        <v>3978</v>
      </c>
      <c r="O313" s="23" t="s">
        <v>3979</v>
      </c>
      <c r="P313" s="23"/>
      <c r="Q313" s="24" t="n">
        <f aca="false">IF(L313="","",IFERROR(INDEX('Semrush Data'!$A$1:$Z$20000,MATCH(L313,'Semrush Data'!$A$1:$A$20000,0),MATCH("Volume",'Semrush Data'!$A$1:$Z$1,0)),""))</f>
        <v>0</v>
      </c>
      <c r="R313" s="24" t="str">
        <f aca="false">IF(M313="","",IFERROR(INDEX('Semrush Data'!$A$1:$Z$20000,MATCH(M313,'Semrush Data'!$A$1:$A$20000,0),MATCH("Volume",'Semrush Data'!$A$1:$Z$1,0)),""))</f>
        <v/>
      </c>
      <c r="S313" s="24" t="str">
        <f aca="false">IF(N313="","",IFERROR(INDEX('Semrush Data'!$A$1:$Z$20000,MATCH(N313,'Semrush Data'!$A$1:$A$20000,0),MATCH("Volume",'Semrush Data'!$A$1:$Z$1,0)),""))</f>
        <v/>
      </c>
      <c r="T313" s="24" t="str">
        <f aca="false">IF(O313="","",IFERROR(INDEX('Semrush Data'!$A$1:$Z$20000,MATCH(O313,'Semrush Data'!$A$1:$A$20000,0),MATCH("Volume",'Semrush Data'!$A$1:$Z$1,0)),""))</f>
        <v/>
      </c>
      <c r="U313" s="24" t="str">
        <f aca="false">IF(P313="","",IFERROR(INDEX('Semrush Data'!$A$1:$Z$20000,MATCH(P313,'Semrush Data'!$A$1:$A$20000,0),MATCH("Volume",'Semrush Data'!$A$1:$Z$1,0)),""))</f>
        <v/>
      </c>
      <c r="V313" s="25" t="str">
        <f aca="false">IF(COUNT(Q313:U313)=0,L313,IF(MAX(Q313:U313)=0,L313,INDEX(L313:P313,MATCH(MAX(Q313:U313),Q313:U313,0))))</f>
        <v>elie saab girl of now lovely gift set</v>
      </c>
      <c r="W313" s="24" t="n">
        <f aca="false">IFERROR(INDEX('Semrush Data'!$A$1:$Z$20000,MATCH(V313,'Semrush Data'!$A$1:$A$20000,0),MATCH("Volume",'Semrush Data'!$A$1:$Z$1,0)),"")</f>
        <v>0</v>
      </c>
      <c r="X313" s="24" t="n">
        <f aca="false">IFERROR(INDEX('Semrush Data'!$A$1:$Z$20000,MATCH(V313,'Semrush Data'!$A$1:$A$20000,0),MATCH("Keyword Difficulty*",'Semrush Data'!$A$1:$Z$1,0)),"")</f>
        <v>9</v>
      </c>
      <c r="Y313" s="26" t="n">
        <f aca="false">IFERROR(INDEX('Semrush Data'!$A$1:$Z$20000,MATCH(V313,'Semrush Data'!$A$1:$A$20000,0),MATCH("CPC*",'Semrush Data'!$A$1:$Z$1,0)),"")</f>
        <v>0</v>
      </c>
      <c r="Z313" s="23" t="s">
        <v>3980</v>
      </c>
      <c r="AA313" s="23" t="s">
        <v>3981</v>
      </c>
      <c r="AB313" s="23" t="s">
        <v>3982</v>
      </c>
      <c r="AC313" s="23" t="s">
        <v>3983</v>
      </c>
      <c r="AD313" s="27" t="n">
        <f aca="false">LEN(AC313)</f>
        <v>60</v>
      </c>
      <c r="AE313" s="23" t="s">
        <v>3984</v>
      </c>
      <c r="AF313" s="27" t="n">
        <f aca="false">LEN(AE313)</f>
        <v>159</v>
      </c>
    </row>
    <row r="314" customFormat="false" ht="15" hidden="false" customHeight="true" outlineLevel="0" collapsed="false">
      <c r="A314" s="23" t="s">
        <v>3985</v>
      </c>
      <c r="B314" s="23" t="s">
        <v>2449</v>
      </c>
      <c r="C314" s="23" t="n">
        <v>154</v>
      </c>
      <c r="D314" s="23" t="s">
        <v>3896</v>
      </c>
      <c r="E314" s="23"/>
      <c r="F314" s="23" t="s">
        <v>1735</v>
      </c>
      <c r="G314" s="23" t="s">
        <v>2453</v>
      </c>
      <c r="H314" s="23" t="s">
        <v>2516</v>
      </c>
      <c r="I314" s="23" t="s">
        <v>3986</v>
      </c>
      <c r="J314" s="23" t="s">
        <v>3059</v>
      </c>
      <c r="K314" s="23" t="n">
        <v>52.99</v>
      </c>
      <c r="L314" s="23" t="s">
        <v>3987</v>
      </c>
      <c r="M314" s="23" t="s">
        <v>3988</v>
      </c>
      <c r="N314" s="23" t="s">
        <v>3989</v>
      </c>
      <c r="O314" s="23" t="s">
        <v>3990</v>
      </c>
      <c r="P314" s="23"/>
      <c r="Q314" s="24" t="n">
        <f aca="false">IF(L314="","",IFERROR(INDEX('Semrush Data'!$A$1:$Z$20000,MATCH(L314,'Semrush Data'!$A$1:$A$20000,0),MATCH("Volume",'Semrush Data'!$A$1:$Z$1,0)),""))</f>
        <v>30</v>
      </c>
      <c r="R314" s="24" t="str">
        <f aca="false">IF(M314="","",IFERROR(INDEX('Semrush Data'!$A$1:$Z$20000,MATCH(M314,'Semrush Data'!$A$1:$A$20000,0),MATCH("Volume",'Semrush Data'!$A$1:$Z$1,0)),""))</f>
        <v/>
      </c>
      <c r="S314" s="24" t="str">
        <f aca="false">IF(N314="","",IFERROR(INDEX('Semrush Data'!$A$1:$Z$20000,MATCH(N314,'Semrush Data'!$A$1:$A$20000,0),MATCH("Volume",'Semrush Data'!$A$1:$Z$1,0)),""))</f>
        <v/>
      </c>
      <c r="T314" s="24" t="str">
        <f aca="false">IF(O314="","",IFERROR(INDEX('Semrush Data'!$A$1:$Z$20000,MATCH(O314,'Semrush Data'!$A$1:$A$20000,0),MATCH("Volume",'Semrush Data'!$A$1:$Z$1,0)),""))</f>
        <v/>
      </c>
      <c r="U314" s="24" t="str">
        <f aca="false">IF(P314="","",IFERROR(INDEX('Semrush Data'!$A$1:$Z$20000,MATCH(P314,'Semrush Data'!$A$1:$A$20000,0),MATCH("Volume",'Semrush Data'!$A$1:$Z$1,0)),""))</f>
        <v/>
      </c>
      <c r="V314" s="25" t="str">
        <f aca="false">IF(COUNT(Q314:U314)=0,L314,IF(MAX(Q314:U314)=0,L314,INDEX(L314:P314,MATCH(MAX(Q314:U314),Q314:U314,0))))</f>
        <v>elie saab le parfum gift set</v>
      </c>
      <c r="W314" s="24" t="n">
        <f aca="false">IFERROR(INDEX('Semrush Data'!$A$1:$Z$20000,MATCH(V314,'Semrush Data'!$A$1:$A$20000,0),MATCH("Volume",'Semrush Data'!$A$1:$Z$1,0)),"")</f>
        <v>30</v>
      </c>
      <c r="X314" s="24" t="n">
        <f aca="false">IFERROR(INDEX('Semrush Data'!$A$1:$Z$20000,MATCH(V314,'Semrush Data'!$A$1:$A$20000,0),MATCH("Keyword Difficulty*",'Semrush Data'!$A$1:$Z$1,0)),"")</f>
        <v>11</v>
      </c>
      <c r="Y314" s="26" t="n">
        <f aca="false">IFERROR(INDEX('Semrush Data'!$A$1:$Z$20000,MATCH(V314,'Semrush Data'!$A$1:$A$20000,0),MATCH("CPC*",'Semrush Data'!$A$1:$Z$1,0)),"")</f>
        <v>0.34</v>
      </c>
      <c r="Z314" s="23" t="s">
        <v>3980</v>
      </c>
      <c r="AA314" s="23" t="s">
        <v>3991</v>
      </c>
      <c r="AB314" s="23" t="s">
        <v>3992</v>
      </c>
      <c r="AC314" s="23" t="s">
        <v>3993</v>
      </c>
      <c r="AD314" s="27" t="n">
        <f aca="false">LEN(AC314)</f>
        <v>57</v>
      </c>
      <c r="AE314" s="23" t="s">
        <v>3994</v>
      </c>
      <c r="AF314" s="27" t="n">
        <f aca="false">LEN(AE314)</f>
        <v>156</v>
      </c>
    </row>
    <row r="315" customFormat="false" ht="15" hidden="false" customHeight="true" outlineLevel="0" collapsed="false">
      <c r="A315" s="23" t="s">
        <v>3995</v>
      </c>
      <c r="B315" s="23" t="s">
        <v>2449</v>
      </c>
      <c r="C315" s="23" t="n">
        <v>155</v>
      </c>
      <c r="D315" s="23" t="s">
        <v>3896</v>
      </c>
      <c r="E315" s="23"/>
      <c r="F315" s="23" t="s">
        <v>1735</v>
      </c>
      <c r="G315" s="23" t="s">
        <v>2453</v>
      </c>
      <c r="H315" s="23" t="s">
        <v>2516</v>
      </c>
      <c r="I315" s="23" t="s">
        <v>3996</v>
      </c>
      <c r="J315" s="23" t="s">
        <v>3059</v>
      </c>
      <c r="K315" s="23" t="n">
        <v>48.99</v>
      </c>
      <c r="L315" s="23" t="s">
        <v>3997</v>
      </c>
      <c r="M315" s="23" t="s">
        <v>3998</v>
      </c>
      <c r="N315" s="23" t="s">
        <v>3999</v>
      </c>
      <c r="O315" s="23" t="s">
        <v>4000</v>
      </c>
      <c r="P315" s="23"/>
      <c r="Q315" s="24" t="n">
        <f aca="false">IF(L315="","",IFERROR(INDEX('Semrush Data'!$A$1:$Z$20000,MATCH(L315,'Semrush Data'!$A$1:$A$20000,0),MATCH("Volume",'Semrush Data'!$A$1:$Z$1,0)),""))</f>
        <v>20</v>
      </c>
      <c r="R315" s="24" t="str">
        <f aca="false">IF(M315="","",IFERROR(INDEX('Semrush Data'!$A$1:$Z$20000,MATCH(M315,'Semrush Data'!$A$1:$A$20000,0),MATCH("Volume",'Semrush Data'!$A$1:$Z$1,0)),""))</f>
        <v/>
      </c>
      <c r="S315" s="24" t="str">
        <f aca="false">IF(N315="","",IFERROR(INDEX('Semrush Data'!$A$1:$Z$20000,MATCH(N315,'Semrush Data'!$A$1:$A$20000,0),MATCH("Volume",'Semrush Data'!$A$1:$Z$1,0)),""))</f>
        <v/>
      </c>
      <c r="T315" s="24" t="str">
        <f aca="false">IF(O315="","",IFERROR(INDEX('Semrush Data'!$A$1:$Z$20000,MATCH(O315,'Semrush Data'!$A$1:$A$20000,0),MATCH("Volume",'Semrush Data'!$A$1:$Z$1,0)),""))</f>
        <v/>
      </c>
      <c r="U315" s="24" t="str">
        <f aca="false">IF(P315="","",IFERROR(INDEX('Semrush Data'!$A$1:$Z$20000,MATCH(P315,'Semrush Data'!$A$1:$A$20000,0),MATCH("Volume",'Semrush Data'!$A$1:$Z$1,0)),""))</f>
        <v/>
      </c>
      <c r="V315" s="25" t="str">
        <f aca="false">IF(COUNT(Q315:U315)=0,L315,IF(MAX(Q315:U315)=0,L315,INDEX(L315:P315,MATCH(MAX(Q315:U315),Q315:U315,0))))</f>
        <v>elie saab le parfum lumiere gift set</v>
      </c>
      <c r="W315" s="24" t="n">
        <f aca="false">IFERROR(INDEX('Semrush Data'!$A$1:$Z$20000,MATCH(V315,'Semrush Data'!$A$1:$A$20000,0),MATCH("Volume",'Semrush Data'!$A$1:$Z$1,0)),"")</f>
        <v>20</v>
      </c>
      <c r="X315" s="24" t="n">
        <f aca="false">IFERROR(INDEX('Semrush Data'!$A$1:$Z$20000,MATCH(V315,'Semrush Data'!$A$1:$A$20000,0),MATCH("Keyword Difficulty*",'Semrush Data'!$A$1:$Z$1,0)),"")</f>
        <v>12</v>
      </c>
      <c r="Y315" s="26" t="n">
        <f aca="false">IFERROR(INDEX('Semrush Data'!$A$1:$Z$20000,MATCH(V315,'Semrush Data'!$A$1:$A$20000,0),MATCH("CPC*",'Semrush Data'!$A$1:$Z$1,0)),"")</f>
        <v>0</v>
      </c>
      <c r="Z315" s="23" t="s">
        <v>3980</v>
      </c>
      <c r="AA315" s="23" t="s">
        <v>4001</v>
      </c>
      <c r="AB315" s="23" t="s">
        <v>4002</v>
      </c>
      <c r="AC315" s="23" t="s">
        <v>4003</v>
      </c>
      <c r="AD315" s="27" t="n">
        <f aca="false">LEN(AC315)</f>
        <v>52</v>
      </c>
      <c r="AE315" s="23" t="s">
        <v>4004</v>
      </c>
      <c r="AF315" s="27" t="n">
        <f aca="false">LEN(AE315)</f>
        <v>158</v>
      </c>
    </row>
    <row r="316" customFormat="false" ht="15" hidden="false" customHeight="true" outlineLevel="0" collapsed="false">
      <c r="A316" s="23" t="s">
        <v>4005</v>
      </c>
      <c r="B316" s="23" t="s">
        <v>2449</v>
      </c>
      <c r="C316" s="23" t="n">
        <v>156</v>
      </c>
      <c r="D316" s="23" t="s">
        <v>4006</v>
      </c>
      <c r="E316" s="23"/>
      <c r="F316" s="23" t="s">
        <v>2452</v>
      </c>
      <c r="G316" s="23" t="s">
        <v>2453</v>
      </c>
      <c r="H316" s="23" t="s">
        <v>2454</v>
      </c>
      <c r="I316" s="23" t="s">
        <v>4007</v>
      </c>
      <c r="J316" s="23" t="s">
        <v>1994</v>
      </c>
      <c r="K316" s="23" t="n">
        <v>16.99</v>
      </c>
      <c r="L316" s="23" t="s">
        <v>4008</v>
      </c>
      <c r="M316" s="23" t="s">
        <v>4009</v>
      </c>
      <c r="N316" s="23" t="s">
        <v>4010</v>
      </c>
      <c r="O316" s="23" t="s">
        <v>4011</v>
      </c>
      <c r="P316" s="23" t="s">
        <v>4012</v>
      </c>
      <c r="Q316" s="24" t="n">
        <f aca="false">IF(L316="","",IFERROR(INDEX('Semrush Data'!$A$1:$Z$20000,MATCH(L316,'Semrush Data'!$A$1:$A$20000,0),MATCH("Volume",'Semrush Data'!$A$1:$Z$1,0)),""))</f>
        <v>170</v>
      </c>
      <c r="R316" s="24" t="n">
        <f aca="false">IF(M316="","",IFERROR(INDEX('Semrush Data'!$A$1:$Z$20000,MATCH(M316,'Semrush Data'!$A$1:$A$20000,0),MATCH("Volume",'Semrush Data'!$A$1:$Z$1,0)),""))</f>
        <v>0</v>
      </c>
      <c r="S316" s="24" t="str">
        <f aca="false">IF(N316="","",IFERROR(INDEX('Semrush Data'!$A$1:$Z$20000,MATCH(N316,'Semrush Data'!$A$1:$A$20000,0),MATCH("Volume",'Semrush Data'!$A$1:$Z$1,0)),""))</f>
        <v/>
      </c>
      <c r="T316" s="24" t="str">
        <f aca="false">IF(O316="","",IFERROR(INDEX('Semrush Data'!$A$1:$Z$20000,MATCH(O316,'Semrush Data'!$A$1:$A$20000,0),MATCH("Volume",'Semrush Data'!$A$1:$Z$1,0)),""))</f>
        <v/>
      </c>
      <c r="U316" s="24" t="n">
        <f aca="false">IF(P316="","",IFERROR(INDEX('Semrush Data'!$A$1:$Z$20000,MATCH(P316,'Semrush Data'!$A$1:$A$20000,0),MATCH("Volume",'Semrush Data'!$A$1:$Z$1,0)),""))</f>
        <v>20</v>
      </c>
      <c r="V316" s="25" t="str">
        <f aca="false">IF(COUNT(Q316:U316)=0,L316,IF(MAX(Q316:U316)=0,L316,INDEX(L316:P316,MATCH(MAX(Q316:U316),Q316:U316,0))))</f>
        <v>elizabeth arden beauty</v>
      </c>
      <c r="W316" s="24" t="n">
        <f aca="false">IFERROR(INDEX('Semrush Data'!$A$1:$Z$20000,MATCH(V316,'Semrush Data'!$A$1:$A$20000,0),MATCH("Volume",'Semrush Data'!$A$1:$Z$1,0)),"")</f>
        <v>170</v>
      </c>
      <c r="X316" s="24" t="n">
        <f aca="false">IFERROR(INDEX('Semrush Data'!$A$1:$Z$20000,MATCH(V316,'Semrush Data'!$A$1:$A$20000,0),MATCH("Keyword Difficulty*",'Semrush Data'!$A$1:$Z$1,0)),"")</f>
        <v>21</v>
      </c>
      <c r="Y316" s="26" t="n">
        <f aca="false">IFERROR(INDEX('Semrush Data'!$A$1:$Z$20000,MATCH(V316,'Semrush Data'!$A$1:$A$20000,0),MATCH("CPC*",'Semrush Data'!$A$1:$Z$1,0)),"")</f>
        <v>0.55</v>
      </c>
      <c r="Z316" s="23" t="s">
        <v>4013</v>
      </c>
      <c r="AA316" s="23" t="s">
        <v>4014</v>
      </c>
      <c r="AB316" s="23" t="s">
        <v>4015</v>
      </c>
      <c r="AC316" s="23" t="s">
        <v>4016</v>
      </c>
      <c r="AD316" s="27" t="n">
        <f aca="false">LEN(AC316)</f>
        <v>59</v>
      </c>
      <c r="AE316" s="23" t="s">
        <v>4017</v>
      </c>
      <c r="AF316" s="27" t="n">
        <f aca="false">LEN(AE316)</f>
        <v>158</v>
      </c>
    </row>
    <row r="317" customFormat="false" ht="15" hidden="false" customHeight="true" outlineLevel="0" collapsed="false">
      <c r="A317" s="23" t="s">
        <v>4018</v>
      </c>
      <c r="B317" s="23" t="s">
        <v>2449</v>
      </c>
      <c r="C317" s="23" t="n">
        <v>157</v>
      </c>
      <c r="D317" s="23" t="s">
        <v>4019</v>
      </c>
      <c r="E317" s="23"/>
      <c r="F317" s="23" t="s">
        <v>2452</v>
      </c>
      <c r="G317" s="23" t="s">
        <v>2453</v>
      </c>
      <c r="H317" s="23" t="s">
        <v>2454</v>
      </c>
      <c r="I317" s="23" t="s">
        <v>4020</v>
      </c>
      <c r="J317" s="23" t="s">
        <v>2494</v>
      </c>
      <c r="K317" s="23" t="n">
        <v>32.99</v>
      </c>
      <c r="L317" s="23" t="s">
        <v>4021</v>
      </c>
      <c r="M317" s="23" t="s">
        <v>4022</v>
      </c>
      <c r="N317" s="23" t="s">
        <v>4023</v>
      </c>
      <c r="O317" s="23" t="s">
        <v>4024</v>
      </c>
      <c r="P317" s="23" t="s">
        <v>4025</v>
      </c>
      <c r="Q317" s="24" t="n">
        <f aca="false">IF(L317="","",IFERROR(INDEX('Semrush Data'!$A$1:$Z$20000,MATCH(L317,'Semrush Data'!$A$1:$A$20000,0),MATCH("Volume",'Semrush Data'!$A$1:$Z$1,0)),""))</f>
        <v>10</v>
      </c>
      <c r="R317" s="24" t="str">
        <f aca="false">IF(M317="","",IFERROR(INDEX('Semrush Data'!$A$1:$Z$20000,MATCH(M317,'Semrush Data'!$A$1:$A$20000,0),MATCH("Volume",'Semrush Data'!$A$1:$Z$1,0)),""))</f>
        <v/>
      </c>
      <c r="S317" s="24" t="str">
        <f aca="false">IF(N317="","",IFERROR(INDEX('Semrush Data'!$A$1:$Z$20000,MATCH(N317,'Semrush Data'!$A$1:$A$20000,0),MATCH("Volume",'Semrush Data'!$A$1:$Z$1,0)),""))</f>
        <v/>
      </c>
      <c r="T317" s="24" t="str">
        <f aca="false">IF(O317="","",IFERROR(INDEX('Semrush Data'!$A$1:$Z$20000,MATCH(O317,'Semrush Data'!$A$1:$A$20000,0),MATCH("Volume",'Semrush Data'!$A$1:$Z$1,0)),""))</f>
        <v/>
      </c>
      <c r="U317" s="24" t="str">
        <f aca="false">IF(P317="","",IFERROR(INDEX('Semrush Data'!$A$1:$Z$20000,MATCH(P317,'Semrush Data'!$A$1:$A$20000,0),MATCH("Volume",'Semrush Data'!$A$1:$Z$1,0)),""))</f>
        <v/>
      </c>
      <c r="V317" s="25" t="str">
        <f aca="false">IF(COUNT(Q317:U317)=0,L317,IF(MAX(Q317:U317)=0,L317,INDEX(L317:P317,MATCH(MAX(Q317:U317),Q317:U317,0))))</f>
        <v>escada magnetic dream</v>
      </c>
      <c r="W317" s="24" t="n">
        <f aca="false">IFERROR(INDEX('Semrush Data'!$A$1:$Z$20000,MATCH(V317,'Semrush Data'!$A$1:$A$20000,0),MATCH("Volume",'Semrush Data'!$A$1:$Z$1,0)),"")</f>
        <v>10</v>
      </c>
      <c r="X317" s="24" t="n">
        <f aca="false">IFERROR(INDEX('Semrush Data'!$A$1:$Z$20000,MATCH(V317,'Semrush Data'!$A$1:$A$20000,0),MATCH("Keyword Difficulty*",'Semrush Data'!$A$1:$Z$1,0)),"")</f>
        <v>12</v>
      </c>
      <c r="Y317" s="26" t="n">
        <f aca="false">IFERROR(INDEX('Semrush Data'!$A$1:$Z$20000,MATCH(V317,'Semrush Data'!$A$1:$A$20000,0),MATCH("CPC*",'Semrush Data'!$A$1:$Z$1,0)),"")</f>
        <v>0</v>
      </c>
      <c r="Z317" s="23" t="s">
        <v>4026</v>
      </c>
      <c r="AA317" s="23" t="s">
        <v>4027</v>
      </c>
      <c r="AB317" s="23" t="s">
        <v>4028</v>
      </c>
      <c r="AC317" s="23" t="s">
        <v>4029</v>
      </c>
      <c r="AD317" s="27" t="n">
        <f aca="false">LEN(AC317)</f>
        <v>57</v>
      </c>
      <c r="AE317" s="23" t="s">
        <v>4030</v>
      </c>
      <c r="AF317" s="27" t="n">
        <f aca="false">LEN(AE317)</f>
        <v>156</v>
      </c>
    </row>
    <row r="318" customFormat="false" ht="15" hidden="false" customHeight="true" outlineLevel="0" collapsed="false">
      <c r="A318" s="23" t="s">
        <v>129</v>
      </c>
      <c r="B318" s="23" t="s">
        <v>2449</v>
      </c>
      <c r="C318" s="23" t="n">
        <v>158</v>
      </c>
      <c r="D318" s="23" t="s">
        <v>4019</v>
      </c>
      <c r="E318" s="23"/>
      <c r="F318" s="23" t="s">
        <v>2452</v>
      </c>
      <c r="G318" s="23" t="s">
        <v>2453</v>
      </c>
      <c r="H318" s="23" t="s">
        <v>2454</v>
      </c>
      <c r="I318" s="23" t="s">
        <v>130</v>
      </c>
      <c r="J318" s="23" t="s">
        <v>3111</v>
      </c>
      <c r="K318" s="23" t="n">
        <v>17.99</v>
      </c>
      <c r="L318" s="23" t="s">
        <v>4031</v>
      </c>
      <c r="M318" s="23" t="s">
        <v>4032</v>
      </c>
      <c r="N318" s="23" t="s">
        <v>4033</v>
      </c>
      <c r="O318" s="23" t="s">
        <v>4034</v>
      </c>
      <c r="P318" s="23" t="s">
        <v>4035</v>
      </c>
      <c r="Q318" s="24" t="n">
        <f aca="false">IF(L318="","",IFERROR(INDEX('Semrush Data'!$A$1:$Z$20000,MATCH(L318,'Semrush Data'!$A$1:$A$20000,0),MATCH("Volume",'Semrush Data'!$A$1:$Z$1,0)),""))</f>
        <v>390</v>
      </c>
      <c r="R318" s="24" t="n">
        <f aca="false">IF(M318="","",IFERROR(INDEX('Semrush Data'!$A$1:$Z$20000,MATCH(M318,'Semrush Data'!$A$1:$A$20000,0),MATCH("Volume",'Semrush Data'!$A$1:$Z$1,0)),""))</f>
        <v>20</v>
      </c>
      <c r="S318" s="24" t="str">
        <f aca="false">IF(N318="","",IFERROR(INDEX('Semrush Data'!$A$1:$Z$20000,MATCH(N318,'Semrush Data'!$A$1:$A$20000,0),MATCH("Volume",'Semrush Data'!$A$1:$Z$1,0)),""))</f>
        <v/>
      </c>
      <c r="T318" s="24" t="str">
        <f aca="false">IF(O318="","",IFERROR(INDEX('Semrush Data'!$A$1:$Z$20000,MATCH(O318,'Semrush Data'!$A$1:$A$20000,0),MATCH("Volume",'Semrush Data'!$A$1:$Z$1,0)),""))</f>
        <v/>
      </c>
      <c r="U318" s="24" t="n">
        <f aca="false">IF(P318="","",IFERROR(INDEX('Semrush Data'!$A$1:$Z$20000,MATCH(P318,'Semrush Data'!$A$1:$A$20000,0),MATCH("Volume",'Semrush Data'!$A$1:$Z$1,0)),""))</f>
        <v>20</v>
      </c>
      <c r="V318" s="25" t="str">
        <f aca="false">IF(COUNT(Q318:U318)=0,L318,IF(MAX(Q318:U318)=0,L318,INDEX(L318:P318,MATCH(MAX(Q318:U318),Q318:U318,0))))</f>
        <v>escada magnetism</v>
      </c>
      <c r="W318" s="24" t="n">
        <f aca="false">IFERROR(INDEX('Semrush Data'!$A$1:$Z$20000,MATCH(V318,'Semrush Data'!$A$1:$A$20000,0),MATCH("Volume",'Semrush Data'!$A$1:$Z$1,0)),"")</f>
        <v>390</v>
      </c>
      <c r="X318" s="24" t="n">
        <f aca="false">IFERROR(INDEX('Semrush Data'!$A$1:$Z$20000,MATCH(V318,'Semrush Data'!$A$1:$A$20000,0),MATCH("Keyword Difficulty*",'Semrush Data'!$A$1:$Z$1,0)),"")</f>
        <v>15</v>
      </c>
      <c r="Y318" s="26" t="n">
        <f aca="false">IFERROR(INDEX('Semrush Data'!$A$1:$Z$20000,MATCH(V318,'Semrush Data'!$A$1:$A$20000,0),MATCH("CPC*",'Semrush Data'!$A$1:$Z$1,0)),"")</f>
        <v>0.36</v>
      </c>
      <c r="Z318" s="23" t="s">
        <v>4026</v>
      </c>
      <c r="AA318" s="23" t="s">
        <v>4036</v>
      </c>
      <c r="AB318" s="23" t="s">
        <v>4037</v>
      </c>
      <c r="AC318" s="23" t="s">
        <v>4038</v>
      </c>
      <c r="AD318" s="27" t="n">
        <f aca="false">LEN(AC318)</f>
        <v>57</v>
      </c>
      <c r="AE318" s="23" t="s">
        <v>4039</v>
      </c>
      <c r="AF318" s="27" t="n">
        <f aca="false">LEN(AE318)</f>
        <v>151</v>
      </c>
    </row>
    <row r="319" customFormat="false" ht="15" hidden="false" customHeight="true" outlineLevel="0" collapsed="false">
      <c r="A319" s="23" t="s">
        <v>4040</v>
      </c>
      <c r="B319" s="23" t="s">
        <v>2449</v>
      </c>
      <c r="C319" s="23" t="n">
        <v>159</v>
      </c>
      <c r="D319" s="23" t="s">
        <v>4019</v>
      </c>
      <c r="E319" s="23"/>
      <c r="F319" s="23" t="s">
        <v>2452</v>
      </c>
      <c r="G319" s="23" t="s">
        <v>2453</v>
      </c>
      <c r="H319" s="23" t="s">
        <v>4041</v>
      </c>
      <c r="I319" s="23" t="s">
        <v>4042</v>
      </c>
      <c r="J319" s="23" t="s">
        <v>1994</v>
      </c>
      <c r="K319" s="23" t="n">
        <v>23.99</v>
      </c>
      <c r="L319" s="23" t="s">
        <v>4043</v>
      </c>
      <c r="M319" s="23" t="s">
        <v>4044</v>
      </c>
      <c r="N319" s="23" t="s">
        <v>4045</v>
      </c>
      <c r="O319" s="23" t="s">
        <v>4046</v>
      </c>
      <c r="P319" s="23" t="s">
        <v>4047</v>
      </c>
      <c r="Q319" s="24" t="n">
        <f aca="false">IF(L319="","",IFERROR(INDEX('Semrush Data'!$A$1:$Z$20000,MATCH(L319,'Semrush Data'!$A$1:$A$20000,0),MATCH("Volume",'Semrush Data'!$A$1:$Z$1,0)),""))</f>
        <v>70</v>
      </c>
      <c r="R319" s="24" t="n">
        <f aca="false">IF(M319="","",IFERROR(INDEX('Semrush Data'!$A$1:$Z$20000,MATCH(M319,'Semrush Data'!$A$1:$A$20000,0),MATCH("Volume",'Semrush Data'!$A$1:$Z$1,0)),""))</f>
        <v>0</v>
      </c>
      <c r="S319" s="24" t="str">
        <f aca="false">IF(N319="","",IFERROR(INDEX('Semrush Data'!$A$1:$Z$20000,MATCH(N319,'Semrush Data'!$A$1:$A$20000,0),MATCH("Volume",'Semrush Data'!$A$1:$Z$1,0)),""))</f>
        <v/>
      </c>
      <c r="T319" s="24" t="str">
        <f aca="false">IF(O319="","",IFERROR(INDEX('Semrush Data'!$A$1:$Z$20000,MATCH(O319,'Semrush Data'!$A$1:$A$20000,0),MATCH("Volume",'Semrush Data'!$A$1:$Z$1,0)),""))</f>
        <v/>
      </c>
      <c r="U319" s="24" t="n">
        <f aca="false">IF(P319="","",IFERROR(INDEX('Semrush Data'!$A$1:$Z$20000,MATCH(P319,'Semrush Data'!$A$1:$A$20000,0),MATCH("Volume",'Semrush Data'!$A$1:$Z$1,0)),""))</f>
        <v>20</v>
      </c>
      <c r="V319" s="25" t="str">
        <f aca="false">IF(COUNT(Q319:U319)=0,L319,IF(MAX(Q319:U319)=0,L319,INDEX(L319:P319,MATCH(MAX(Q319:U319),Q319:U319,0))))</f>
        <v>escada party love</v>
      </c>
      <c r="W319" s="24" t="n">
        <f aca="false">IFERROR(INDEX('Semrush Data'!$A$1:$Z$20000,MATCH(V319,'Semrush Data'!$A$1:$A$20000,0),MATCH("Volume",'Semrush Data'!$A$1:$Z$1,0)),"")</f>
        <v>70</v>
      </c>
      <c r="X319" s="24" t="n">
        <f aca="false">IFERROR(INDEX('Semrush Data'!$A$1:$Z$20000,MATCH(V319,'Semrush Data'!$A$1:$A$20000,0),MATCH("Keyword Difficulty*",'Semrush Data'!$A$1:$Z$1,0)),"")</f>
        <v>20</v>
      </c>
      <c r="Y319" s="26" t="n">
        <f aca="false">IFERROR(INDEX('Semrush Data'!$A$1:$Z$20000,MATCH(V319,'Semrush Data'!$A$1:$A$20000,0),MATCH("CPC*",'Semrush Data'!$A$1:$Z$1,0)),"")</f>
        <v>0.44</v>
      </c>
      <c r="Z319" s="23" t="s">
        <v>4048</v>
      </c>
      <c r="AA319" s="23" t="s">
        <v>4049</v>
      </c>
      <c r="AB319" s="23" t="s">
        <v>4050</v>
      </c>
      <c r="AC319" s="23" t="s">
        <v>4051</v>
      </c>
      <c r="AD319" s="27" t="n">
        <f aca="false">LEN(AC319)</f>
        <v>58</v>
      </c>
      <c r="AE319" s="23" t="s">
        <v>4052</v>
      </c>
      <c r="AF319" s="27" t="n">
        <f aca="false">LEN(AE319)</f>
        <v>153</v>
      </c>
    </row>
    <row r="320" customFormat="false" ht="15" hidden="false" customHeight="true" outlineLevel="0" collapsed="false">
      <c r="A320" s="23" t="s">
        <v>4053</v>
      </c>
      <c r="B320" s="23" t="s">
        <v>2449</v>
      </c>
      <c r="C320" s="23" t="n">
        <v>160</v>
      </c>
      <c r="D320" s="23" t="s">
        <v>4054</v>
      </c>
      <c r="E320" s="23"/>
      <c r="F320" s="23" t="s">
        <v>2452</v>
      </c>
      <c r="G320" s="23" t="s">
        <v>2453</v>
      </c>
      <c r="H320" s="23" t="s">
        <v>2454</v>
      </c>
      <c r="I320" s="23" t="s">
        <v>4055</v>
      </c>
      <c r="J320" s="23" t="s">
        <v>1468</v>
      </c>
      <c r="K320" s="23" t="n">
        <v>49.99</v>
      </c>
      <c r="L320" s="23" t="s">
        <v>4056</v>
      </c>
      <c r="M320" s="23" t="s">
        <v>4057</v>
      </c>
      <c r="N320" s="23" t="s">
        <v>4058</v>
      </c>
      <c r="O320" s="23" t="s">
        <v>4059</v>
      </c>
      <c r="P320" s="23" t="s">
        <v>4060</v>
      </c>
      <c r="Q320" s="24" t="n">
        <f aca="false">IF(L320="","",IFERROR(INDEX('Semrush Data'!$A$1:$Z$20000,MATCH(L320,'Semrush Data'!$A$1:$A$20000,0),MATCH("Volume",'Semrush Data'!$A$1:$Z$1,0)),""))</f>
        <v>320</v>
      </c>
      <c r="R320" s="24" t="n">
        <f aca="false">IF(M320="","",IFERROR(INDEX('Semrush Data'!$A$1:$Z$20000,MATCH(M320,'Semrush Data'!$A$1:$A$20000,0),MATCH("Volume",'Semrush Data'!$A$1:$Z$1,0)),""))</f>
        <v>0</v>
      </c>
      <c r="S320" s="24" t="str">
        <f aca="false">IF(N320="","",IFERROR(INDEX('Semrush Data'!$A$1:$Z$20000,MATCH(N320,'Semrush Data'!$A$1:$A$20000,0),MATCH("Volume",'Semrush Data'!$A$1:$Z$1,0)),""))</f>
        <v/>
      </c>
      <c r="T320" s="24" t="str">
        <f aca="false">IF(O320="","",IFERROR(INDEX('Semrush Data'!$A$1:$Z$20000,MATCH(O320,'Semrush Data'!$A$1:$A$20000,0),MATCH("Volume",'Semrush Data'!$A$1:$Z$1,0)),""))</f>
        <v/>
      </c>
      <c r="U320" s="24" t="n">
        <f aca="false">IF(P320="","",IFERROR(INDEX('Semrush Data'!$A$1:$Z$20000,MATCH(P320,'Semrush Data'!$A$1:$A$20000,0),MATCH("Volume",'Semrush Data'!$A$1:$Z$1,0)),""))</f>
        <v>20</v>
      </c>
      <c r="V320" s="25" t="str">
        <f aca="false">IF(COUNT(Q320:U320)=0,L320,IF(MAX(Q320:U320)=0,L320,INDEX(L320:P320,MATCH(MAX(Q320:U320),Q320:U320,0))))</f>
        <v>estee lauder spellbound</v>
      </c>
      <c r="W320" s="24" t="n">
        <f aca="false">IFERROR(INDEX('Semrush Data'!$A$1:$Z$20000,MATCH(V320,'Semrush Data'!$A$1:$A$20000,0),MATCH("Volume",'Semrush Data'!$A$1:$Z$1,0)),"")</f>
        <v>320</v>
      </c>
      <c r="X320" s="24" t="n">
        <f aca="false">IFERROR(INDEX('Semrush Data'!$A$1:$Z$20000,MATCH(V320,'Semrush Data'!$A$1:$A$20000,0),MATCH("Keyword Difficulty*",'Semrush Data'!$A$1:$Z$1,0)),"")</f>
        <v>25</v>
      </c>
      <c r="Y320" s="26" t="n">
        <f aca="false">IFERROR(INDEX('Semrush Data'!$A$1:$Z$20000,MATCH(V320,'Semrush Data'!$A$1:$A$20000,0),MATCH("CPC*",'Semrush Data'!$A$1:$Z$1,0)),"")</f>
        <v>0.63</v>
      </c>
      <c r="Z320" s="23" t="s">
        <v>4061</v>
      </c>
      <c r="AA320" s="23" t="s">
        <v>4062</v>
      </c>
      <c r="AB320" s="23" t="s">
        <v>4063</v>
      </c>
      <c r="AC320" s="23" t="s">
        <v>4064</v>
      </c>
      <c r="AD320" s="27" t="n">
        <f aca="false">LEN(AC320)</f>
        <v>59</v>
      </c>
      <c r="AE320" s="23" t="s">
        <v>4065</v>
      </c>
      <c r="AF320" s="27" t="n">
        <f aca="false">LEN(AE320)</f>
        <v>158</v>
      </c>
    </row>
    <row r="321" customFormat="false" ht="15" hidden="false" customHeight="true" outlineLevel="0" collapsed="false">
      <c r="A321" s="23" t="s">
        <v>4066</v>
      </c>
      <c r="B321" s="23" t="s">
        <v>2449</v>
      </c>
      <c r="C321" s="23" t="n">
        <v>161</v>
      </c>
      <c r="D321" s="23" t="s">
        <v>4067</v>
      </c>
      <c r="E321" s="23"/>
      <c r="F321" s="23" t="s">
        <v>2452</v>
      </c>
      <c r="G321" s="23" t="s">
        <v>2818</v>
      </c>
      <c r="H321" s="23" t="s">
        <v>2608</v>
      </c>
      <c r="I321" s="23" t="s">
        <v>4068</v>
      </c>
      <c r="J321" s="23" t="s">
        <v>1994</v>
      </c>
      <c r="K321" s="23" t="n">
        <v>32.99</v>
      </c>
      <c r="L321" s="23" t="s">
        <v>4069</v>
      </c>
      <c r="M321" s="23" t="s">
        <v>4070</v>
      </c>
      <c r="N321" s="23" t="s">
        <v>4071</v>
      </c>
      <c r="O321" s="23" t="s">
        <v>4072</v>
      </c>
      <c r="P321" s="23" t="s">
        <v>4073</v>
      </c>
      <c r="Q321" s="24" t="n">
        <f aca="false">IF(L321="","",IFERROR(INDEX('Semrush Data'!$A$1:$Z$20000,MATCH(L321,'Semrush Data'!$A$1:$A$20000,0),MATCH("Volume",'Semrush Data'!$A$1:$Z$1,0)),""))</f>
        <v>0</v>
      </c>
      <c r="R321" s="24" t="str">
        <f aca="false">IF(M321="","",IFERROR(INDEX('Semrush Data'!$A$1:$Z$20000,MATCH(M321,'Semrush Data'!$A$1:$A$20000,0),MATCH("Volume",'Semrush Data'!$A$1:$Z$1,0)),""))</f>
        <v/>
      </c>
      <c r="S321" s="24" t="str">
        <f aca="false">IF(N321="","",IFERROR(INDEX('Semrush Data'!$A$1:$Z$20000,MATCH(N321,'Semrush Data'!$A$1:$A$20000,0),MATCH("Volume",'Semrush Data'!$A$1:$Z$1,0)),""))</f>
        <v/>
      </c>
      <c r="T321" s="24" t="str">
        <f aca="false">IF(O321="","",IFERROR(INDEX('Semrush Data'!$A$1:$Z$20000,MATCH(O321,'Semrush Data'!$A$1:$A$20000,0),MATCH("Volume",'Semrush Data'!$A$1:$Z$1,0)),""))</f>
        <v/>
      </c>
      <c r="U321" s="24" t="str">
        <f aca="false">IF(P321="","",IFERROR(INDEX('Semrush Data'!$A$1:$Z$20000,MATCH(P321,'Semrush Data'!$A$1:$A$20000,0),MATCH("Volume",'Semrush Data'!$A$1:$Z$1,0)),""))</f>
        <v/>
      </c>
      <c r="V321" s="25" t="str">
        <f aca="false">IF(COUNT(Q321:U321)=0,L321,IF(MAX(Q321:U321)=0,L321,INDEX(L321:P321,MATCH(MAX(Q321:U321),Q321:U321,0))))</f>
        <v>etienne aigner first class explorer</v>
      </c>
      <c r="W321" s="24" t="n">
        <f aca="false">IFERROR(INDEX('Semrush Data'!$A$1:$Z$20000,MATCH(V321,'Semrush Data'!$A$1:$A$20000,0),MATCH("Volume",'Semrush Data'!$A$1:$Z$1,0)),"")</f>
        <v>0</v>
      </c>
      <c r="X321" s="24" t="n">
        <f aca="false">IFERROR(INDEX('Semrush Data'!$A$1:$Z$20000,MATCH(V321,'Semrush Data'!$A$1:$A$20000,0),MATCH("Keyword Difficulty*",'Semrush Data'!$A$1:$Z$1,0)),"")</f>
        <v>13</v>
      </c>
      <c r="Y321" s="26" t="n">
        <f aca="false">IFERROR(INDEX('Semrush Data'!$A$1:$Z$20000,MATCH(V321,'Semrush Data'!$A$1:$A$20000,0),MATCH("CPC*",'Semrush Data'!$A$1:$Z$1,0)),"")</f>
        <v>0</v>
      </c>
      <c r="Z321" s="23" t="s">
        <v>4074</v>
      </c>
      <c r="AA321" s="23" t="s">
        <v>4075</v>
      </c>
      <c r="AB321" s="23" t="s">
        <v>4076</v>
      </c>
      <c r="AC321" s="23" t="s">
        <v>4077</v>
      </c>
      <c r="AD321" s="27" t="n">
        <f aca="false">LEN(AC321)</f>
        <v>59</v>
      </c>
      <c r="AE321" s="23" t="s">
        <v>4078</v>
      </c>
      <c r="AF321" s="27" t="n">
        <f aca="false">LEN(AE321)</f>
        <v>159</v>
      </c>
    </row>
    <row r="322" customFormat="false" ht="15" hidden="false" customHeight="true" outlineLevel="0" collapsed="false">
      <c r="A322" s="23" t="s">
        <v>4079</v>
      </c>
      <c r="B322" s="23" t="s">
        <v>2449</v>
      </c>
      <c r="C322" s="23" t="n">
        <v>162</v>
      </c>
      <c r="D322" s="23" t="s">
        <v>4067</v>
      </c>
      <c r="E322" s="23"/>
      <c r="F322" s="23" t="s">
        <v>2452</v>
      </c>
      <c r="G322" s="23" t="s">
        <v>2818</v>
      </c>
      <c r="H322" s="23" t="s">
        <v>2608</v>
      </c>
      <c r="I322" s="23" t="s">
        <v>4080</v>
      </c>
      <c r="J322" s="23" t="s">
        <v>1994</v>
      </c>
      <c r="K322" s="23" t="n">
        <v>27.99</v>
      </c>
      <c r="L322" s="23" t="s">
        <v>4081</v>
      </c>
      <c r="M322" s="23" t="s">
        <v>4082</v>
      </c>
      <c r="N322" s="23" t="s">
        <v>4083</v>
      </c>
      <c r="O322" s="23" t="s">
        <v>4084</v>
      </c>
      <c r="P322" s="23" t="s">
        <v>4085</v>
      </c>
      <c r="Q322" s="24" t="n">
        <f aca="false">IF(L322="","",IFERROR(INDEX('Semrush Data'!$A$1:$Z$20000,MATCH(L322,'Semrush Data'!$A$1:$A$20000,0),MATCH("Volume",'Semrush Data'!$A$1:$Z$1,0)),""))</f>
        <v>20</v>
      </c>
      <c r="R322" s="24" t="str">
        <f aca="false">IF(M322="","",IFERROR(INDEX('Semrush Data'!$A$1:$Z$20000,MATCH(M322,'Semrush Data'!$A$1:$A$20000,0),MATCH("Volume",'Semrush Data'!$A$1:$Z$1,0)),""))</f>
        <v/>
      </c>
      <c r="S322" s="24" t="str">
        <f aca="false">IF(N322="","",IFERROR(INDEX('Semrush Data'!$A$1:$Z$20000,MATCH(N322,'Semrush Data'!$A$1:$A$20000,0),MATCH("Volume",'Semrush Data'!$A$1:$Z$1,0)),""))</f>
        <v/>
      </c>
      <c r="T322" s="24" t="str">
        <f aca="false">IF(O322="","",IFERROR(INDEX('Semrush Data'!$A$1:$Z$20000,MATCH(O322,'Semrush Data'!$A$1:$A$20000,0),MATCH("Volume",'Semrush Data'!$A$1:$Z$1,0)),""))</f>
        <v/>
      </c>
      <c r="U322" s="24" t="str">
        <f aca="false">IF(P322="","",IFERROR(INDEX('Semrush Data'!$A$1:$Z$20000,MATCH(P322,'Semrush Data'!$A$1:$A$20000,0),MATCH("Volume",'Semrush Data'!$A$1:$Z$1,0)),""))</f>
        <v/>
      </c>
      <c r="V322" s="25" t="str">
        <f aca="false">IF(COUNT(Q322:U322)=0,L322,IF(MAX(Q322:U322)=0,L322,INDEX(L322:P322,MATCH(MAX(Q322:U322),Q322:U322,0))))</f>
        <v>etienne aigner no. 1 intense</v>
      </c>
      <c r="W322" s="24" t="n">
        <f aca="false">IFERROR(INDEX('Semrush Data'!$A$1:$Z$20000,MATCH(V322,'Semrush Data'!$A$1:$A$20000,0),MATCH("Volume",'Semrush Data'!$A$1:$Z$1,0)),"")</f>
        <v>20</v>
      </c>
      <c r="X322" s="24" t="n">
        <f aca="false">IFERROR(INDEX('Semrush Data'!$A$1:$Z$20000,MATCH(V322,'Semrush Data'!$A$1:$A$20000,0),MATCH("Keyword Difficulty*",'Semrush Data'!$A$1:$Z$1,0)),"")</f>
        <v>9</v>
      </c>
      <c r="Y322" s="26" t="n">
        <f aca="false">IFERROR(INDEX('Semrush Data'!$A$1:$Z$20000,MATCH(V322,'Semrush Data'!$A$1:$A$20000,0),MATCH("CPC*",'Semrush Data'!$A$1:$Z$1,0)),"")</f>
        <v>0</v>
      </c>
      <c r="Z322" s="23" t="s">
        <v>4074</v>
      </c>
      <c r="AA322" s="23" t="s">
        <v>4086</v>
      </c>
      <c r="AB322" s="23" t="s">
        <v>4087</v>
      </c>
      <c r="AC322" s="23" t="s">
        <v>4088</v>
      </c>
      <c r="AD322" s="27" t="n">
        <f aca="false">LEN(AC322)</f>
        <v>58</v>
      </c>
      <c r="AE322" s="23" t="s">
        <v>4089</v>
      </c>
      <c r="AF322" s="27" t="n">
        <f aca="false">LEN(AE322)</f>
        <v>159</v>
      </c>
    </row>
    <row r="323" customFormat="false" ht="15" hidden="false" customHeight="true" outlineLevel="0" collapsed="false">
      <c r="A323" s="23" t="s">
        <v>4090</v>
      </c>
      <c r="B323" s="23" t="s">
        <v>2449</v>
      </c>
      <c r="C323" s="23" t="n">
        <v>163</v>
      </c>
      <c r="D323" s="23" t="s">
        <v>4091</v>
      </c>
      <c r="E323" s="23"/>
      <c r="F323" s="23" t="s">
        <v>2452</v>
      </c>
      <c r="G323" s="23" t="s">
        <v>2453</v>
      </c>
      <c r="H323" s="23" t="s">
        <v>2538</v>
      </c>
      <c r="I323" s="23" t="s">
        <v>4092</v>
      </c>
      <c r="J323" s="23" t="s">
        <v>1994</v>
      </c>
      <c r="K323" s="23" t="n">
        <v>23</v>
      </c>
      <c r="L323" s="23" t="s">
        <v>4093</v>
      </c>
      <c r="M323" s="23" t="s">
        <v>4094</v>
      </c>
      <c r="N323" s="23" t="s">
        <v>4095</v>
      </c>
      <c r="O323" s="23" t="s">
        <v>4096</v>
      </c>
      <c r="P323" s="23" t="s">
        <v>4097</v>
      </c>
      <c r="Q323" s="24" t="n">
        <f aca="false">IF(L323="","",IFERROR(INDEX('Semrush Data'!$A$1:$Z$20000,MATCH(L323,'Semrush Data'!$A$1:$A$20000,0),MATCH("Volume",'Semrush Data'!$A$1:$Z$1,0)),""))</f>
        <v>0</v>
      </c>
      <c r="R323" s="24" t="str">
        <f aca="false">IF(M323="","",IFERROR(INDEX('Semrush Data'!$A$1:$Z$20000,MATCH(M323,'Semrush Data'!$A$1:$A$20000,0),MATCH("Volume",'Semrush Data'!$A$1:$Z$1,0)),""))</f>
        <v/>
      </c>
      <c r="S323" s="24" t="str">
        <f aca="false">IF(N323="","",IFERROR(INDEX('Semrush Data'!$A$1:$Z$20000,MATCH(N323,'Semrush Data'!$A$1:$A$20000,0),MATCH("Volume",'Semrush Data'!$A$1:$Z$1,0)),""))</f>
        <v/>
      </c>
      <c r="T323" s="24" t="str">
        <f aca="false">IF(O323="","",IFERROR(INDEX('Semrush Data'!$A$1:$Z$20000,MATCH(O323,'Semrush Data'!$A$1:$A$20000,0),MATCH("Volume",'Semrush Data'!$A$1:$Z$1,0)),""))</f>
        <v/>
      </c>
      <c r="U323" s="24" t="str">
        <f aca="false">IF(P323="","",IFERROR(INDEX('Semrush Data'!$A$1:$Z$20000,MATCH(P323,'Semrush Data'!$A$1:$A$20000,0),MATCH("Volume",'Semrush Data'!$A$1:$Z$1,0)),""))</f>
        <v/>
      </c>
      <c r="V323" s="25" t="str">
        <f aca="false">IF(COUNT(Q323:U323)=0,L323,IF(MAX(Q323:U323)=0,L323,INDEX(L323:P323,MATCH(MAX(Q323:U323),Q323:U323,0))))</f>
        <v>fumeri 540</v>
      </c>
      <c r="W323" s="24" t="n">
        <f aca="false">IFERROR(INDEX('Semrush Data'!$A$1:$Z$20000,MATCH(V323,'Semrush Data'!$A$1:$A$20000,0),MATCH("Volume",'Semrush Data'!$A$1:$Z$1,0)),"")</f>
        <v>0</v>
      </c>
      <c r="X323" s="24" t="n">
        <f aca="false">IFERROR(INDEX('Semrush Data'!$A$1:$Z$20000,MATCH(V323,'Semrush Data'!$A$1:$A$20000,0),MATCH("Keyword Difficulty*",'Semrush Data'!$A$1:$Z$1,0)),"")</f>
        <v>15</v>
      </c>
      <c r="Y323" s="26" t="n">
        <f aca="false">IFERROR(INDEX('Semrush Data'!$A$1:$Z$20000,MATCH(V323,'Semrush Data'!$A$1:$A$20000,0),MATCH("CPC*",'Semrush Data'!$A$1:$Z$1,0)),"")</f>
        <v>0</v>
      </c>
      <c r="Z323" s="23" t="s">
        <v>4098</v>
      </c>
      <c r="AA323" s="23" t="s">
        <v>4099</v>
      </c>
      <c r="AB323" s="23" t="s">
        <v>4100</v>
      </c>
      <c r="AC323" s="23" t="s">
        <v>4101</v>
      </c>
      <c r="AD323" s="27" t="n">
        <f aca="false">LEN(AC323)</f>
        <v>58</v>
      </c>
      <c r="AE323" s="23" t="s">
        <v>4102</v>
      </c>
      <c r="AF323" s="27" t="n">
        <f aca="false">LEN(AE323)</f>
        <v>152</v>
      </c>
    </row>
    <row r="324" customFormat="false" ht="15" hidden="false" customHeight="true" outlineLevel="0" collapsed="false">
      <c r="A324" s="23" t="s">
        <v>4103</v>
      </c>
      <c r="B324" s="23" t="s">
        <v>2449</v>
      </c>
      <c r="C324" s="23" t="n">
        <v>164</v>
      </c>
      <c r="D324" s="23" t="s">
        <v>4091</v>
      </c>
      <c r="E324" s="23"/>
      <c r="F324" s="23" t="s">
        <v>2452</v>
      </c>
      <c r="G324" s="23" t="s">
        <v>2453</v>
      </c>
      <c r="H324" s="23" t="s">
        <v>2538</v>
      </c>
      <c r="I324" s="23" t="s">
        <v>4104</v>
      </c>
      <c r="J324" s="23" t="s">
        <v>1994</v>
      </c>
      <c r="K324" s="23" t="n">
        <v>37.95</v>
      </c>
      <c r="L324" s="23" t="s">
        <v>4105</v>
      </c>
      <c r="M324" s="23" t="s">
        <v>4106</v>
      </c>
      <c r="N324" s="23" t="s">
        <v>4107</v>
      </c>
      <c r="O324" s="23" t="s">
        <v>4108</v>
      </c>
      <c r="P324" s="23" t="s">
        <v>4109</v>
      </c>
      <c r="Q324" s="24" t="n">
        <f aca="false">IF(L324="","",IFERROR(INDEX('Semrush Data'!$A$1:$Z$20000,MATCH(L324,'Semrush Data'!$A$1:$A$20000,0),MATCH("Volume",'Semrush Data'!$A$1:$Z$1,0)),""))</f>
        <v>0</v>
      </c>
      <c r="R324" s="24" t="str">
        <f aca="false">IF(M324="","",IFERROR(INDEX('Semrush Data'!$A$1:$Z$20000,MATCH(M324,'Semrush Data'!$A$1:$A$20000,0),MATCH("Volume",'Semrush Data'!$A$1:$Z$1,0)),""))</f>
        <v/>
      </c>
      <c r="S324" s="24" t="str">
        <f aca="false">IF(N324="","",IFERROR(INDEX('Semrush Data'!$A$1:$Z$20000,MATCH(N324,'Semrush Data'!$A$1:$A$20000,0),MATCH("Volume",'Semrush Data'!$A$1:$Z$1,0)),""))</f>
        <v/>
      </c>
      <c r="T324" s="24" t="str">
        <f aca="false">IF(O324="","",IFERROR(INDEX('Semrush Data'!$A$1:$Z$20000,MATCH(O324,'Semrush Data'!$A$1:$A$20000,0),MATCH("Volume",'Semrush Data'!$A$1:$Z$1,0)),""))</f>
        <v/>
      </c>
      <c r="U324" s="24" t="str">
        <f aca="false">IF(P324="","",IFERROR(INDEX('Semrush Data'!$A$1:$Z$20000,MATCH(P324,'Semrush Data'!$A$1:$A$20000,0),MATCH("Volume",'Semrush Data'!$A$1:$Z$1,0)),""))</f>
        <v/>
      </c>
      <c r="V324" s="25" t="str">
        <f aca="false">IF(COUNT(Q324:U324)=0,L324,IF(MAX(Q324:U324)=0,L324,INDEX(L324:P324,MATCH(MAX(Q324:U324),Q324:U324,0))))</f>
        <v>fumeri adore</v>
      </c>
      <c r="W324" s="24" t="n">
        <f aca="false">IFERROR(INDEX('Semrush Data'!$A$1:$Z$20000,MATCH(V324,'Semrush Data'!$A$1:$A$20000,0),MATCH("Volume",'Semrush Data'!$A$1:$Z$1,0)),"")</f>
        <v>0</v>
      </c>
      <c r="X324" s="24" t="n">
        <f aca="false">IFERROR(INDEX('Semrush Data'!$A$1:$Z$20000,MATCH(V324,'Semrush Data'!$A$1:$A$20000,0),MATCH("Keyword Difficulty*",'Semrush Data'!$A$1:$Z$1,0)),"")</f>
        <v>16</v>
      </c>
      <c r="Y324" s="26" t="n">
        <f aca="false">IFERROR(INDEX('Semrush Data'!$A$1:$Z$20000,MATCH(V324,'Semrush Data'!$A$1:$A$20000,0),MATCH("CPC*",'Semrush Data'!$A$1:$Z$1,0)),"")</f>
        <v>0</v>
      </c>
      <c r="Z324" s="23" t="s">
        <v>4098</v>
      </c>
      <c r="AA324" s="23" t="s">
        <v>4110</v>
      </c>
      <c r="AB324" s="23" t="s">
        <v>4111</v>
      </c>
      <c r="AC324" s="23" t="s">
        <v>4112</v>
      </c>
      <c r="AD324" s="27" t="n">
        <f aca="false">LEN(AC324)</f>
        <v>50</v>
      </c>
      <c r="AE324" s="23" t="s">
        <v>4113</v>
      </c>
      <c r="AF324" s="27" t="n">
        <f aca="false">LEN(AE324)</f>
        <v>144</v>
      </c>
    </row>
    <row r="325" customFormat="false" ht="15" hidden="false" customHeight="true" outlineLevel="0" collapsed="false">
      <c r="A325" s="23" t="s">
        <v>4114</v>
      </c>
      <c r="B325" s="23" t="s">
        <v>2449</v>
      </c>
      <c r="C325" s="23" t="n">
        <v>165</v>
      </c>
      <c r="D325" s="23" t="s">
        <v>4091</v>
      </c>
      <c r="E325" s="23"/>
      <c r="F325" s="23" t="s">
        <v>2452</v>
      </c>
      <c r="G325" s="23" t="s">
        <v>2453</v>
      </c>
      <c r="H325" s="23" t="s">
        <v>2538</v>
      </c>
      <c r="I325" s="23" t="s">
        <v>4115</v>
      </c>
      <c r="J325" s="23" t="s">
        <v>1994</v>
      </c>
      <c r="K325" s="23" t="n">
        <v>23.95</v>
      </c>
      <c r="L325" s="23" t="s">
        <v>4116</v>
      </c>
      <c r="M325" s="23" t="s">
        <v>4117</v>
      </c>
      <c r="N325" s="23" t="s">
        <v>4118</v>
      </c>
      <c r="O325" s="23" t="s">
        <v>4119</v>
      </c>
      <c r="P325" s="23" t="s">
        <v>4120</v>
      </c>
      <c r="Q325" s="24" t="n">
        <f aca="false">IF(L325="","",IFERROR(INDEX('Semrush Data'!$A$1:$Z$20000,MATCH(L325,'Semrush Data'!$A$1:$A$20000,0),MATCH("Volume",'Semrush Data'!$A$1:$Z$1,0)),""))</f>
        <v>10</v>
      </c>
      <c r="R325" s="24" t="str">
        <f aca="false">IF(M325="","",IFERROR(INDEX('Semrush Data'!$A$1:$Z$20000,MATCH(M325,'Semrush Data'!$A$1:$A$20000,0),MATCH("Volume",'Semrush Data'!$A$1:$Z$1,0)),""))</f>
        <v/>
      </c>
      <c r="S325" s="24" t="str">
        <f aca="false">IF(N325="","",IFERROR(INDEX('Semrush Data'!$A$1:$Z$20000,MATCH(N325,'Semrush Data'!$A$1:$A$20000,0),MATCH("Volume",'Semrush Data'!$A$1:$Z$1,0)),""))</f>
        <v/>
      </c>
      <c r="T325" s="24" t="str">
        <f aca="false">IF(O325="","",IFERROR(INDEX('Semrush Data'!$A$1:$Z$20000,MATCH(O325,'Semrush Data'!$A$1:$A$20000,0),MATCH("Volume",'Semrush Data'!$A$1:$Z$1,0)),""))</f>
        <v/>
      </c>
      <c r="U325" s="24" t="str">
        <f aca="false">IF(P325="","",IFERROR(INDEX('Semrush Data'!$A$1:$Z$20000,MATCH(P325,'Semrush Data'!$A$1:$A$20000,0),MATCH("Volume",'Semrush Data'!$A$1:$Z$1,0)),""))</f>
        <v/>
      </c>
      <c r="V325" s="25" t="str">
        <f aca="false">IF(COUNT(Q325:U325)=0,L325,IF(MAX(Q325:U325)=0,L325,INDEX(L325:P325,MATCH(MAX(Q325:U325),Q325:U325,0))))</f>
        <v>fumeri ambre night</v>
      </c>
      <c r="W325" s="24" t="n">
        <f aca="false">IFERROR(INDEX('Semrush Data'!$A$1:$Z$20000,MATCH(V325,'Semrush Data'!$A$1:$A$20000,0),MATCH("Volume",'Semrush Data'!$A$1:$Z$1,0)),"")</f>
        <v>10</v>
      </c>
      <c r="X325" s="24" t="n">
        <f aca="false">IFERROR(INDEX('Semrush Data'!$A$1:$Z$20000,MATCH(V325,'Semrush Data'!$A$1:$A$20000,0),MATCH("Keyword Difficulty*",'Semrush Data'!$A$1:$Z$1,0)),"")</f>
        <v>25</v>
      </c>
      <c r="Y325" s="26" t="n">
        <f aca="false">IFERROR(INDEX('Semrush Data'!$A$1:$Z$20000,MATCH(V325,'Semrush Data'!$A$1:$A$20000,0),MATCH("CPC*",'Semrush Data'!$A$1:$Z$1,0)),"")</f>
        <v>0</v>
      </c>
      <c r="Z325" s="23" t="s">
        <v>4098</v>
      </c>
      <c r="AA325" s="23" t="s">
        <v>4121</v>
      </c>
      <c r="AB325" s="23" t="s">
        <v>4122</v>
      </c>
      <c r="AC325" s="23" t="s">
        <v>4123</v>
      </c>
      <c r="AD325" s="27" t="n">
        <f aca="false">LEN(AC325)</f>
        <v>56</v>
      </c>
      <c r="AE325" s="23" t="s">
        <v>4124</v>
      </c>
      <c r="AF325" s="27" t="n">
        <f aca="false">LEN(AE325)</f>
        <v>150</v>
      </c>
    </row>
    <row r="326" customFormat="false" ht="15" hidden="false" customHeight="true" outlineLevel="0" collapsed="false">
      <c r="A326" s="23" t="s">
        <v>4125</v>
      </c>
      <c r="B326" s="23" t="s">
        <v>2449</v>
      </c>
      <c r="C326" s="23" t="n">
        <v>166</v>
      </c>
      <c r="D326" s="23" t="s">
        <v>4091</v>
      </c>
      <c r="E326" s="23"/>
      <c r="F326" s="23" t="s">
        <v>2452</v>
      </c>
      <c r="G326" s="23" t="s">
        <v>2453</v>
      </c>
      <c r="H326" s="23" t="s">
        <v>2516</v>
      </c>
      <c r="I326" s="23" t="s">
        <v>4126</v>
      </c>
      <c r="J326" s="23" t="s">
        <v>1994</v>
      </c>
      <c r="K326" s="23" t="n">
        <v>37.95</v>
      </c>
      <c r="L326" s="23" t="s">
        <v>4127</v>
      </c>
      <c r="M326" s="23" t="s">
        <v>4128</v>
      </c>
      <c r="N326" s="23" t="s">
        <v>4129</v>
      </c>
      <c r="O326" s="23" t="s">
        <v>4130</v>
      </c>
      <c r="P326" s="23" t="s">
        <v>4131</v>
      </c>
      <c r="Q326" s="24" t="n">
        <f aca="false">IF(L326="","",IFERROR(INDEX('Semrush Data'!$A$1:$Z$20000,MATCH(L326,'Semrush Data'!$A$1:$A$20000,0),MATCH("Volume",'Semrush Data'!$A$1:$Z$1,0)),""))</f>
        <v>0</v>
      </c>
      <c r="R326" s="24" t="str">
        <f aca="false">IF(M326="","",IFERROR(INDEX('Semrush Data'!$A$1:$Z$20000,MATCH(M326,'Semrush Data'!$A$1:$A$20000,0),MATCH("Volume",'Semrush Data'!$A$1:$Z$1,0)),""))</f>
        <v/>
      </c>
      <c r="S326" s="24" t="str">
        <f aca="false">IF(N326="","",IFERROR(INDEX('Semrush Data'!$A$1:$Z$20000,MATCH(N326,'Semrush Data'!$A$1:$A$20000,0),MATCH("Volume",'Semrush Data'!$A$1:$Z$1,0)),""))</f>
        <v/>
      </c>
      <c r="T326" s="24" t="str">
        <f aca="false">IF(O326="","",IFERROR(INDEX('Semrush Data'!$A$1:$Z$20000,MATCH(O326,'Semrush Data'!$A$1:$A$20000,0),MATCH("Volume",'Semrush Data'!$A$1:$Z$1,0)),""))</f>
        <v/>
      </c>
      <c r="U326" s="24" t="str">
        <f aca="false">IF(P326="","",IFERROR(INDEX('Semrush Data'!$A$1:$Z$20000,MATCH(P326,'Semrush Data'!$A$1:$A$20000,0),MATCH("Volume",'Semrush Data'!$A$1:$Z$1,0)),""))</f>
        <v/>
      </c>
      <c r="V326" s="25" t="str">
        <f aca="false">IF(COUNT(Q326:U326)=0,L326,IF(MAX(Q326:U326)=0,L326,INDEX(L326:P326,MATCH(MAX(Q326:U326),Q326:U326,0))))</f>
        <v>fumeri angel</v>
      </c>
      <c r="W326" s="24" t="n">
        <f aca="false">IFERROR(INDEX('Semrush Data'!$A$1:$Z$20000,MATCH(V326,'Semrush Data'!$A$1:$A$20000,0),MATCH("Volume",'Semrush Data'!$A$1:$Z$1,0)),"")</f>
        <v>0</v>
      </c>
      <c r="X326" s="24" t="n">
        <f aca="false">IFERROR(INDEX('Semrush Data'!$A$1:$Z$20000,MATCH(V326,'Semrush Data'!$A$1:$A$20000,0),MATCH("Keyword Difficulty*",'Semrush Data'!$A$1:$Z$1,0)),"")</f>
        <v>14</v>
      </c>
      <c r="Y326" s="26" t="n">
        <f aca="false">IFERROR(INDEX('Semrush Data'!$A$1:$Z$20000,MATCH(V326,'Semrush Data'!$A$1:$A$20000,0),MATCH("CPC*",'Semrush Data'!$A$1:$Z$1,0)),"")</f>
        <v>0</v>
      </c>
      <c r="Z326" s="23" t="s">
        <v>4132</v>
      </c>
      <c r="AA326" s="23" t="s">
        <v>4133</v>
      </c>
      <c r="AB326" s="23" t="s">
        <v>4134</v>
      </c>
      <c r="AC326" s="23" t="s">
        <v>4135</v>
      </c>
      <c r="AD326" s="27" t="n">
        <f aca="false">LEN(AC326)</f>
        <v>53</v>
      </c>
      <c r="AE326" s="23" t="s">
        <v>4136</v>
      </c>
      <c r="AF326" s="27" t="n">
        <f aca="false">LEN(AE326)</f>
        <v>147</v>
      </c>
    </row>
    <row r="327" customFormat="false" ht="15" hidden="false" customHeight="true" outlineLevel="0" collapsed="false">
      <c r="A327" s="23" t="s">
        <v>4137</v>
      </c>
      <c r="B327" s="23" t="s">
        <v>2449</v>
      </c>
      <c r="C327" s="23" t="n">
        <v>167</v>
      </c>
      <c r="D327" s="23" t="s">
        <v>4091</v>
      </c>
      <c r="E327" s="23"/>
      <c r="F327" s="23" t="s">
        <v>2452</v>
      </c>
      <c r="G327" s="23" t="s">
        <v>2453</v>
      </c>
      <c r="H327" s="23" t="s">
        <v>2891</v>
      </c>
      <c r="I327" s="23" t="s">
        <v>4138</v>
      </c>
      <c r="J327" s="23" t="s">
        <v>1994</v>
      </c>
      <c r="K327" s="23" t="n">
        <v>23.95</v>
      </c>
      <c r="L327" s="23" t="s">
        <v>4139</v>
      </c>
      <c r="M327" s="23" t="s">
        <v>4140</v>
      </c>
      <c r="N327" s="23" t="s">
        <v>4141</v>
      </c>
      <c r="O327" s="23" t="s">
        <v>4142</v>
      </c>
      <c r="P327" s="23" t="s">
        <v>4143</v>
      </c>
      <c r="Q327" s="24" t="n">
        <f aca="false">IF(L327="","",IFERROR(INDEX('Semrush Data'!$A$1:$Z$20000,MATCH(L327,'Semrush Data'!$A$1:$A$20000,0),MATCH("Volume",'Semrush Data'!$A$1:$Z$1,0)),""))</f>
        <v>0</v>
      </c>
      <c r="R327" s="24" t="str">
        <f aca="false">IF(M327="","",IFERROR(INDEX('Semrush Data'!$A$1:$Z$20000,MATCH(M327,'Semrush Data'!$A$1:$A$20000,0),MATCH("Volume",'Semrush Data'!$A$1:$Z$1,0)),""))</f>
        <v/>
      </c>
      <c r="S327" s="24" t="str">
        <f aca="false">IF(N327="","",IFERROR(INDEX('Semrush Data'!$A$1:$Z$20000,MATCH(N327,'Semrush Data'!$A$1:$A$20000,0),MATCH("Volume",'Semrush Data'!$A$1:$Z$1,0)),""))</f>
        <v/>
      </c>
      <c r="T327" s="24" t="str">
        <f aca="false">IF(O327="","",IFERROR(INDEX('Semrush Data'!$A$1:$Z$20000,MATCH(O327,'Semrush Data'!$A$1:$A$20000,0),MATCH("Volume",'Semrush Data'!$A$1:$Z$1,0)),""))</f>
        <v/>
      </c>
      <c r="U327" s="24" t="str">
        <f aca="false">IF(P327="","",IFERROR(INDEX('Semrush Data'!$A$1:$Z$20000,MATCH(P327,'Semrush Data'!$A$1:$A$20000,0),MATCH("Volume",'Semrush Data'!$A$1:$Z$1,0)),""))</f>
        <v/>
      </c>
      <c r="V327" s="25" t="str">
        <f aca="false">IF(COUNT(Q327:U327)=0,L327,IF(MAX(Q327:U327)=0,L327,INDEX(L327:P327,MATCH(MAX(Q327:U327),Q327:U327,0))))</f>
        <v>fumeri blue</v>
      </c>
      <c r="W327" s="24" t="n">
        <f aca="false">IFERROR(INDEX('Semrush Data'!$A$1:$Z$20000,MATCH(V327,'Semrush Data'!$A$1:$A$20000,0),MATCH("Volume",'Semrush Data'!$A$1:$Z$1,0)),"")</f>
        <v>0</v>
      </c>
      <c r="X327" s="24" t="n">
        <f aca="false">IFERROR(INDEX('Semrush Data'!$A$1:$Z$20000,MATCH(V327,'Semrush Data'!$A$1:$A$20000,0),MATCH("Keyword Difficulty*",'Semrush Data'!$A$1:$Z$1,0)),"")</f>
        <v>19</v>
      </c>
      <c r="Y327" s="26" t="n">
        <f aca="false">IFERROR(INDEX('Semrush Data'!$A$1:$Z$20000,MATCH(V327,'Semrush Data'!$A$1:$A$20000,0),MATCH("CPC*",'Semrush Data'!$A$1:$Z$1,0)),"")</f>
        <v>0</v>
      </c>
      <c r="Z327" s="23" t="s">
        <v>4144</v>
      </c>
      <c r="AA327" s="23" t="s">
        <v>4145</v>
      </c>
      <c r="AB327" s="23" t="s">
        <v>4146</v>
      </c>
      <c r="AC327" s="23" t="s">
        <v>4147</v>
      </c>
      <c r="AD327" s="27" t="n">
        <f aca="false">LEN(AC327)</f>
        <v>50</v>
      </c>
      <c r="AE327" s="23" t="s">
        <v>4148</v>
      </c>
      <c r="AF327" s="27" t="n">
        <f aca="false">LEN(AE327)</f>
        <v>142</v>
      </c>
    </row>
    <row r="328" customFormat="false" ht="15" hidden="false" customHeight="true" outlineLevel="0" collapsed="false">
      <c r="A328" s="23" t="s">
        <v>4149</v>
      </c>
      <c r="B328" s="23" t="s">
        <v>2449</v>
      </c>
      <c r="C328" s="23" t="n">
        <v>168</v>
      </c>
      <c r="D328" s="23" t="s">
        <v>4091</v>
      </c>
      <c r="E328" s="23"/>
      <c r="F328" s="23" t="s">
        <v>2452</v>
      </c>
      <c r="G328" s="23" t="s">
        <v>2453</v>
      </c>
      <c r="H328" s="23" t="s">
        <v>2538</v>
      </c>
      <c r="I328" s="23" t="s">
        <v>4150</v>
      </c>
      <c r="J328" s="23" t="s">
        <v>1994</v>
      </c>
      <c r="K328" s="23" t="n">
        <v>37.95</v>
      </c>
      <c r="L328" s="23" t="s">
        <v>4151</v>
      </c>
      <c r="M328" s="23" t="s">
        <v>4152</v>
      </c>
      <c r="N328" s="23" t="s">
        <v>4153</v>
      </c>
      <c r="O328" s="23" t="s">
        <v>4154</v>
      </c>
      <c r="P328" s="23" t="s">
        <v>4155</v>
      </c>
      <c r="Q328" s="24" t="n">
        <f aca="false">IF(L328="","",IFERROR(INDEX('Semrush Data'!$A$1:$Z$20000,MATCH(L328,'Semrush Data'!$A$1:$A$20000,0),MATCH("Volume",'Semrush Data'!$A$1:$Z$1,0)),""))</f>
        <v>0</v>
      </c>
      <c r="R328" s="24" t="str">
        <f aca="false">IF(M328="","",IFERROR(INDEX('Semrush Data'!$A$1:$Z$20000,MATCH(M328,'Semrush Data'!$A$1:$A$20000,0),MATCH("Volume",'Semrush Data'!$A$1:$Z$1,0)),""))</f>
        <v/>
      </c>
      <c r="S328" s="24" t="str">
        <f aca="false">IF(N328="","",IFERROR(INDEX('Semrush Data'!$A$1:$Z$20000,MATCH(N328,'Semrush Data'!$A$1:$A$20000,0),MATCH("Volume",'Semrush Data'!$A$1:$Z$1,0)),""))</f>
        <v/>
      </c>
      <c r="T328" s="24" t="str">
        <f aca="false">IF(O328="","",IFERROR(INDEX('Semrush Data'!$A$1:$Z$20000,MATCH(O328,'Semrush Data'!$A$1:$A$20000,0),MATCH("Volume",'Semrush Data'!$A$1:$Z$1,0)),""))</f>
        <v/>
      </c>
      <c r="U328" s="24" t="str">
        <f aca="false">IF(P328="","",IFERROR(INDEX('Semrush Data'!$A$1:$Z$20000,MATCH(P328,'Semrush Data'!$A$1:$A$20000,0),MATCH("Volume",'Semrush Data'!$A$1:$Z$1,0)),""))</f>
        <v/>
      </c>
      <c r="V328" s="25" t="str">
        <f aca="false">IF(COUNT(Q328:U328)=0,L328,IF(MAX(Q328:U328)=0,L328,INDEX(L328:P328,MATCH(MAX(Q328:U328),Q328:U328,0))))</f>
        <v>fumeri elixir</v>
      </c>
      <c r="W328" s="24" t="n">
        <f aca="false">IFERROR(INDEX('Semrush Data'!$A$1:$Z$20000,MATCH(V328,'Semrush Data'!$A$1:$A$20000,0),MATCH("Volume",'Semrush Data'!$A$1:$Z$1,0)),"")</f>
        <v>0</v>
      </c>
      <c r="X328" s="24" t="n">
        <f aca="false">IFERROR(INDEX('Semrush Data'!$A$1:$Z$20000,MATCH(V328,'Semrush Data'!$A$1:$A$20000,0),MATCH("Keyword Difficulty*",'Semrush Data'!$A$1:$Z$1,0)),"")</f>
        <v>21</v>
      </c>
      <c r="Y328" s="26" t="n">
        <f aca="false">IFERROR(INDEX('Semrush Data'!$A$1:$Z$20000,MATCH(V328,'Semrush Data'!$A$1:$A$20000,0),MATCH("CPC*",'Semrush Data'!$A$1:$Z$1,0)),"")</f>
        <v>0</v>
      </c>
      <c r="Z328" s="23" t="s">
        <v>4098</v>
      </c>
      <c r="AA328" s="23" t="s">
        <v>4156</v>
      </c>
      <c r="AB328" s="23" t="s">
        <v>4157</v>
      </c>
      <c r="AC328" s="23" t="s">
        <v>4158</v>
      </c>
      <c r="AD328" s="27" t="n">
        <f aca="false">LEN(AC328)</f>
        <v>51</v>
      </c>
      <c r="AE328" s="23" t="s">
        <v>4159</v>
      </c>
      <c r="AF328" s="27" t="n">
        <f aca="false">LEN(AE328)</f>
        <v>145</v>
      </c>
    </row>
    <row r="329" customFormat="false" ht="15" hidden="false" customHeight="true" outlineLevel="0" collapsed="false">
      <c r="A329" s="23" t="s">
        <v>4160</v>
      </c>
      <c r="B329" s="23" t="s">
        <v>2449</v>
      </c>
      <c r="C329" s="23" t="n">
        <v>169</v>
      </c>
      <c r="D329" s="23" t="s">
        <v>4091</v>
      </c>
      <c r="E329" s="23"/>
      <c r="F329" s="23" t="s">
        <v>2452</v>
      </c>
      <c r="G329" s="23" t="s">
        <v>2453</v>
      </c>
      <c r="H329" s="23" t="s">
        <v>2538</v>
      </c>
      <c r="I329" s="23" t="s">
        <v>4161</v>
      </c>
      <c r="J329" s="23" t="s">
        <v>1994</v>
      </c>
      <c r="K329" s="23" t="n">
        <v>37.95</v>
      </c>
      <c r="L329" s="23" t="s">
        <v>4162</v>
      </c>
      <c r="M329" s="23" t="s">
        <v>4163</v>
      </c>
      <c r="N329" s="23" t="s">
        <v>4164</v>
      </c>
      <c r="O329" s="23" t="s">
        <v>4165</v>
      </c>
      <c r="P329" s="23" t="s">
        <v>4166</v>
      </c>
      <c r="Q329" s="24" t="n">
        <f aca="false">IF(L329="","",IFERROR(INDEX('Semrush Data'!$A$1:$Z$20000,MATCH(L329,'Semrush Data'!$A$1:$A$20000,0),MATCH("Volume",'Semrush Data'!$A$1:$Z$1,0)),""))</f>
        <v>0</v>
      </c>
      <c r="R329" s="24" t="str">
        <f aca="false">IF(M329="","",IFERROR(INDEX('Semrush Data'!$A$1:$Z$20000,MATCH(M329,'Semrush Data'!$A$1:$A$20000,0),MATCH("Volume",'Semrush Data'!$A$1:$Z$1,0)),""))</f>
        <v/>
      </c>
      <c r="S329" s="24" t="str">
        <f aca="false">IF(N329="","",IFERROR(INDEX('Semrush Data'!$A$1:$Z$20000,MATCH(N329,'Semrush Data'!$A$1:$A$20000,0),MATCH("Volume",'Semrush Data'!$A$1:$Z$1,0)),""))</f>
        <v/>
      </c>
      <c r="T329" s="24" t="str">
        <f aca="false">IF(O329="","",IFERROR(INDEX('Semrush Data'!$A$1:$Z$20000,MATCH(O329,'Semrush Data'!$A$1:$A$20000,0),MATCH("Volume",'Semrush Data'!$A$1:$Z$1,0)),""))</f>
        <v/>
      </c>
      <c r="U329" s="24" t="str">
        <f aca="false">IF(P329="","",IFERROR(INDEX('Semrush Data'!$A$1:$Z$20000,MATCH(P329,'Semrush Data'!$A$1:$A$20000,0),MATCH("Volume",'Semrush Data'!$A$1:$Z$1,0)),""))</f>
        <v/>
      </c>
      <c r="V329" s="25" t="str">
        <f aca="false">IF(COUNT(Q329:U329)=0,L329,IF(MAX(Q329:U329)=0,L329,INDEX(L329:P329,MATCH(MAX(Q329:U329),Q329:U329,0))))</f>
        <v>fumeri flirt</v>
      </c>
      <c r="W329" s="24" t="n">
        <f aca="false">IFERROR(INDEX('Semrush Data'!$A$1:$Z$20000,MATCH(V329,'Semrush Data'!$A$1:$A$20000,0),MATCH("Volume",'Semrush Data'!$A$1:$Z$1,0)),"")</f>
        <v>0</v>
      </c>
      <c r="X329" s="24" t="n">
        <f aca="false">IFERROR(INDEX('Semrush Data'!$A$1:$Z$20000,MATCH(V329,'Semrush Data'!$A$1:$A$20000,0),MATCH("Keyword Difficulty*",'Semrush Data'!$A$1:$Z$1,0)),"")</f>
        <v>9</v>
      </c>
      <c r="Y329" s="26" t="n">
        <f aca="false">IFERROR(INDEX('Semrush Data'!$A$1:$Z$20000,MATCH(V329,'Semrush Data'!$A$1:$A$20000,0),MATCH("CPC*",'Semrush Data'!$A$1:$Z$1,0)),"")</f>
        <v>0</v>
      </c>
      <c r="Z329" s="23" t="s">
        <v>4098</v>
      </c>
      <c r="AA329" s="23"/>
      <c r="AB329" s="23" t="s">
        <v>4167</v>
      </c>
      <c r="AC329" s="23" t="s">
        <v>4168</v>
      </c>
      <c r="AD329" s="27" t="n">
        <f aca="false">LEN(AC329)</f>
        <v>53</v>
      </c>
      <c r="AE329" s="23" t="s">
        <v>4169</v>
      </c>
      <c r="AF329" s="27" t="n">
        <f aca="false">LEN(AE329)</f>
        <v>147</v>
      </c>
    </row>
    <row r="330" customFormat="false" ht="15" hidden="false" customHeight="true" outlineLevel="0" collapsed="false">
      <c r="A330" s="23" t="s">
        <v>4170</v>
      </c>
      <c r="B330" s="23" t="s">
        <v>2449</v>
      </c>
      <c r="C330" s="23" t="n">
        <v>170</v>
      </c>
      <c r="D330" s="23" t="s">
        <v>4091</v>
      </c>
      <c r="E330" s="23"/>
      <c r="F330" s="23" t="s">
        <v>2452</v>
      </c>
      <c r="G330" s="23" t="s">
        <v>2453</v>
      </c>
      <c r="H330" s="23" t="s">
        <v>2538</v>
      </c>
      <c r="I330" s="23" t="s">
        <v>4171</v>
      </c>
      <c r="J330" s="23" t="s">
        <v>1994</v>
      </c>
      <c r="K330" s="23" t="n">
        <v>37.95</v>
      </c>
      <c r="L330" s="23" t="s">
        <v>4172</v>
      </c>
      <c r="M330" s="23" t="s">
        <v>4173</v>
      </c>
      <c r="N330" s="23" t="s">
        <v>4174</v>
      </c>
      <c r="O330" s="23" t="s">
        <v>4175</v>
      </c>
      <c r="P330" s="23" t="s">
        <v>4176</v>
      </c>
      <c r="Q330" s="24" t="n">
        <f aca="false">IF(L330="","",IFERROR(INDEX('Semrush Data'!$A$1:$Z$20000,MATCH(L330,'Semrush Data'!$A$1:$A$20000,0),MATCH("Volume",'Semrush Data'!$A$1:$Z$1,0)),""))</f>
        <v>0</v>
      </c>
      <c r="R330" s="24" t="str">
        <f aca="false">IF(M330="","",IFERROR(INDEX('Semrush Data'!$A$1:$Z$20000,MATCH(M330,'Semrush Data'!$A$1:$A$20000,0),MATCH("Volume",'Semrush Data'!$A$1:$Z$1,0)),""))</f>
        <v/>
      </c>
      <c r="S330" s="24" t="str">
        <f aca="false">IF(N330="","",IFERROR(INDEX('Semrush Data'!$A$1:$Z$20000,MATCH(N330,'Semrush Data'!$A$1:$A$20000,0),MATCH("Volume",'Semrush Data'!$A$1:$Z$1,0)),""))</f>
        <v/>
      </c>
      <c r="T330" s="24" t="str">
        <f aca="false">IF(O330="","",IFERROR(INDEX('Semrush Data'!$A$1:$Z$20000,MATCH(O330,'Semrush Data'!$A$1:$A$20000,0),MATCH("Volume",'Semrush Data'!$A$1:$Z$1,0)),""))</f>
        <v/>
      </c>
      <c r="U330" s="24" t="str">
        <f aca="false">IF(P330="","",IFERROR(INDEX('Semrush Data'!$A$1:$Z$20000,MATCH(P330,'Semrush Data'!$A$1:$A$20000,0),MATCH("Volume",'Semrush Data'!$A$1:$Z$1,0)),""))</f>
        <v/>
      </c>
      <c r="V330" s="25" t="str">
        <f aca="false">IF(COUNT(Q330:U330)=0,L330,IF(MAX(Q330:U330)=0,L330,INDEX(L330:P330,MATCH(MAX(Q330:U330),Q330:U330,0))))</f>
        <v>fumeri gabriella</v>
      </c>
      <c r="W330" s="24" t="n">
        <f aca="false">IFERROR(INDEX('Semrush Data'!$A$1:$Z$20000,MATCH(V330,'Semrush Data'!$A$1:$A$20000,0),MATCH("Volume",'Semrush Data'!$A$1:$Z$1,0)),"")</f>
        <v>0</v>
      </c>
      <c r="X330" s="24" t="n">
        <f aca="false">IFERROR(INDEX('Semrush Data'!$A$1:$Z$20000,MATCH(V330,'Semrush Data'!$A$1:$A$20000,0),MATCH("Keyword Difficulty*",'Semrush Data'!$A$1:$Z$1,0)),"")</f>
        <v>19</v>
      </c>
      <c r="Y330" s="26" t="n">
        <f aca="false">IFERROR(INDEX('Semrush Data'!$A$1:$Z$20000,MATCH(V330,'Semrush Data'!$A$1:$A$20000,0),MATCH("CPC*",'Semrush Data'!$A$1:$Z$1,0)),"")</f>
        <v>0</v>
      </c>
      <c r="Z330" s="23" t="s">
        <v>4098</v>
      </c>
      <c r="AA330" s="23"/>
      <c r="AB330" s="23" t="s">
        <v>4177</v>
      </c>
      <c r="AC330" s="23" t="s">
        <v>4178</v>
      </c>
      <c r="AD330" s="27" t="n">
        <f aca="false">LEN(AC330)</f>
        <v>57</v>
      </c>
      <c r="AE330" s="23" t="s">
        <v>4179</v>
      </c>
      <c r="AF330" s="27" t="n">
        <f aca="false">LEN(AE330)</f>
        <v>151</v>
      </c>
    </row>
    <row r="331" customFormat="false" ht="15" hidden="false" customHeight="true" outlineLevel="0" collapsed="false">
      <c r="A331" s="23" t="s">
        <v>4180</v>
      </c>
      <c r="B331" s="23" t="s">
        <v>2449</v>
      </c>
      <c r="C331" s="23" t="n">
        <v>171</v>
      </c>
      <c r="D331" s="23" t="s">
        <v>4091</v>
      </c>
      <c r="E331" s="23"/>
      <c r="F331" s="23" t="s">
        <v>2452</v>
      </c>
      <c r="G331" s="23" t="s">
        <v>2453</v>
      </c>
      <c r="H331" s="23" t="s">
        <v>2538</v>
      </c>
      <c r="I331" s="23" t="s">
        <v>4181</v>
      </c>
      <c r="J331" s="23" t="s">
        <v>1994</v>
      </c>
      <c r="K331" s="23" t="n">
        <v>37.95</v>
      </c>
      <c r="L331" s="23" t="s">
        <v>4182</v>
      </c>
      <c r="M331" s="23" t="s">
        <v>4183</v>
      </c>
      <c r="N331" s="23" t="s">
        <v>4184</v>
      </c>
      <c r="O331" s="23" t="s">
        <v>4185</v>
      </c>
      <c r="P331" s="23" t="s">
        <v>4186</v>
      </c>
      <c r="Q331" s="24" t="n">
        <f aca="false">IF(L331="","",IFERROR(INDEX('Semrush Data'!$A$1:$Z$20000,MATCH(L331,'Semrush Data'!$A$1:$A$20000,0),MATCH("Volume",'Semrush Data'!$A$1:$Z$1,0)),""))</f>
        <v>0</v>
      </c>
      <c r="R331" s="24" t="str">
        <f aca="false">IF(M331="","",IFERROR(INDEX('Semrush Data'!$A$1:$Z$20000,MATCH(M331,'Semrush Data'!$A$1:$A$20000,0),MATCH("Volume",'Semrush Data'!$A$1:$Z$1,0)),""))</f>
        <v/>
      </c>
      <c r="S331" s="24" t="str">
        <f aca="false">IF(N331="","",IFERROR(INDEX('Semrush Data'!$A$1:$Z$20000,MATCH(N331,'Semrush Data'!$A$1:$A$20000,0),MATCH("Volume",'Semrush Data'!$A$1:$Z$1,0)),""))</f>
        <v/>
      </c>
      <c r="T331" s="24" t="str">
        <f aca="false">IF(O331="","",IFERROR(INDEX('Semrush Data'!$A$1:$Z$20000,MATCH(O331,'Semrush Data'!$A$1:$A$20000,0),MATCH("Volume",'Semrush Data'!$A$1:$Z$1,0)),""))</f>
        <v/>
      </c>
      <c r="U331" s="24" t="str">
        <f aca="false">IF(P331="","",IFERROR(INDEX('Semrush Data'!$A$1:$Z$20000,MATCH(P331,'Semrush Data'!$A$1:$A$20000,0),MATCH("Volume",'Semrush Data'!$A$1:$Z$1,0)),""))</f>
        <v/>
      </c>
      <c r="V331" s="25" t="str">
        <f aca="false">IF(COUNT(Q331:U331)=0,L331,IF(MAX(Q331:U331)=0,L331,INDEX(L331:P331,MATCH(MAX(Q331:U331),Q331:U331,0))))</f>
        <v>fumeri gris</v>
      </c>
      <c r="W331" s="24" t="n">
        <f aca="false">IFERROR(INDEX('Semrush Data'!$A$1:$Z$20000,MATCH(V331,'Semrush Data'!$A$1:$A$20000,0),MATCH("Volume",'Semrush Data'!$A$1:$Z$1,0)),"")</f>
        <v>0</v>
      </c>
      <c r="X331" s="24" t="n">
        <f aca="false">IFERROR(INDEX('Semrush Data'!$A$1:$Z$20000,MATCH(V331,'Semrush Data'!$A$1:$A$20000,0),MATCH("Keyword Difficulty*",'Semrush Data'!$A$1:$Z$1,0)),"")</f>
        <v>13</v>
      </c>
      <c r="Y331" s="26" t="n">
        <f aca="false">IFERROR(INDEX('Semrush Data'!$A$1:$Z$20000,MATCH(V331,'Semrush Data'!$A$1:$A$20000,0),MATCH("CPC*",'Semrush Data'!$A$1:$Z$1,0)),"")</f>
        <v>0</v>
      </c>
      <c r="Z331" s="23" t="s">
        <v>4098</v>
      </c>
      <c r="AA331" s="23" t="s">
        <v>4187</v>
      </c>
      <c r="AB331" s="23" t="s">
        <v>4188</v>
      </c>
      <c r="AC331" s="23" t="s">
        <v>4189</v>
      </c>
      <c r="AD331" s="27" t="n">
        <f aca="false">LEN(AC331)</f>
        <v>59</v>
      </c>
      <c r="AE331" s="23" t="s">
        <v>4190</v>
      </c>
      <c r="AF331" s="27" t="n">
        <f aca="false">LEN(AE331)</f>
        <v>153</v>
      </c>
    </row>
    <row r="332" customFormat="false" ht="15" hidden="false" customHeight="true" outlineLevel="0" collapsed="false">
      <c r="A332" s="23" t="s">
        <v>4191</v>
      </c>
      <c r="B332" s="23" t="s">
        <v>2449</v>
      </c>
      <c r="C332" s="23" t="n">
        <v>172</v>
      </c>
      <c r="D332" s="23" t="s">
        <v>4091</v>
      </c>
      <c r="E332" s="23"/>
      <c r="F332" s="23" t="s">
        <v>2452</v>
      </c>
      <c r="G332" s="23" t="s">
        <v>2453</v>
      </c>
      <c r="H332" s="23" t="s">
        <v>2516</v>
      </c>
      <c r="I332" s="23" t="s">
        <v>4192</v>
      </c>
      <c r="J332" s="23" t="s">
        <v>1994</v>
      </c>
      <c r="K332" s="23" t="n">
        <v>23.95</v>
      </c>
      <c r="L332" s="23" t="s">
        <v>4193</v>
      </c>
      <c r="M332" s="23" t="s">
        <v>4194</v>
      </c>
      <c r="N332" s="23" t="s">
        <v>4195</v>
      </c>
      <c r="O332" s="23" t="s">
        <v>4196</v>
      </c>
      <c r="P332" s="23" t="s">
        <v>4197</v>
      </c>
      <c r="Q332" s="24" t="n">
        <f aca="false">IF(L332="","",IFERROR(INDEX('Semrush Data'!$A$1:$Z$20000,MATCH(L332,'Semrush Data'!$A$1:$A$20000,0),MATCH("Volume",'Semrush Data'!$A$1:$Z$1,0)),""))</f>
        <v>0</v>
      </c>
      <c r="R332" s="24" t="str">
        <f aca="false">IF(M332="","",IFERROR(INDEX('Semrush Data'!$A$1:$Z$20000,MATCH(M332,'Semrush Data'!$A$1:$A$20000,0),MATCH("Volume",'Semrush Data'!$A$1:$Z$1,0)),""))</f>
        <v/>
      </c>
      <c r="S332" s="24" t="str">
        <f aca="false">IF(N332="","",IFERROR(INDEX('Semrush Data'!$A$1:$Z$20000,MATCH(N332,'Semrush Data'!$A$1:$A$20000,0),MATCH("Volume",'Semrush Data'!$A$1:$Z$1,0)),""))</f>
        <v/>
      </c>
      <c r="T332" s="24" t="str">
        <f aca="false">IF(O332="","",IFERROR(INDEX('Semrush Data'!$A$1:$Z$20000,MATCH(O332,'Semrush Data'!$A$1:$A$20000,0),MATCH("Volume",'Semrush Data'!$A$1:$Z$1,0)),""))</f>
        <v/>
      </c>
      <c r="U332" s="24" t="str">
        <f aca="false">IF(P332="","",IFERROR(INDEX('Semrush Data'!$A$1:$Z$20000,MATCH(P332,'Semrush Data'!$A$1:$A$20000,0),MATCH("Volume",'Semrush Data'!$A$1:$Z$1,0)),""))</f>
        <v/>
      </c>
      <c r="V332" s="25" t="str">
        <f aca="false">IF(COUNT(Q332:U332)=0,L332,IF(MAX(Q332:U332)=0,L332,INDEX(L332:P332,MATCH(MAX(Q332:U332),Q332:U332,0))))</f>
        <v>fumeri orchid noir</v>
      </c>
      <c r="W332" s="24" t="n">
        <f aca="false">IFERROR(INDEX('Semrush Data'!$A$1:$Z$20000,MATCH(V332,'Semrush Data'!$A$1:$A$20000,0),MATCH("Volume",'Semrush Data'!$A$1:$Z$1,0)),"")</f>
        <v>0</v>
      </c>
      <c r="X332" s="24" t="n">
        <f aca="false">IFERROR(INDEX('Semrush Data'!$A$1:$Z$20000,MATCH(V332,'Semrush Data'!$A$1:$A$20000,0),MATCH("Keyword Difficulty*",'Semrush Data'!$A$1:$Z$1,0)),"")</f>
        <v>5</v>
      </c>
      <c r="Y332" s="26" t="n">
        <f aca="false">IFERROR(INDEX('Semrush Data'!$A$1:$Z$20000,MATCH(V332,'Semrush Data'!$A$1:$A$20000,0),MATCH("CPC*",'Semrush Data'!$A$1:$Z$1,0)),"")</f>
        <v>0</v>
      </c>
      <c r="Z332" s="23" t="s">
        <v>4132</v>
      </c>
      <c r="AA332" s="23" t="s">
        <v>4198</v>
      </c>
      <c r="AB332" s="23" t="s">
        <v>4199</v>
      </c>
      <c r="AC332" s="23" t="s">
        <v>4200</v>
      </c>
      <c r="AD332" s="27" t="n">
        <f aca="false">LEN(AC332)</f>
        <v>56</v>
      </c>
      <c r="AE332" s="23" t="s">
        <v>4201</v>
      </c>
      <c r="AF332" s="27" t="n">
        <f aca="false">LEN(AE332)</f>
        <v>157</v>
      </c>
    </row>
    <row r="333" customFormat="false" ht="15" hidden="false" customHeight="true" outlineLevel="0" collapsed="false">
      <c r="A333" s="23" t="s">
        <v>4202</v>
      </c>
      <c r="B333" s="23" t="s">
        <v>2449</v>
      </c>
      <c r="C333" s="23" t="n">
        <v>173</v>
      </c>
      <c r="D333" s="23" t="s">
        <v>4091</v>
      </c>
      <c r="E333" s="23"/>
      <c r="F333" s="23" t="s">
        <v>2452</v>
      </c>
      <c r="G333" s="23" t="s">
        <v>2453</v>
      </c>
      <c r="H333" s="23" t="s">
        <v>2538</v>
      </c>
      <c r="I333" s="23" t="s">
        <v>4203</v>
      </c>
      <c r="J333" s="23" t="s">
        <v>1994</v>
      </c>
      <c r="K333" s="23" t="n">
        <v>37.95</v>
      </c>
      <c r="L333" s="23" t="s">
        <v>4204</v>
      </c>
      <c r="M333" s="23" t="s">
        <v>4205</v>
      </c>
      <c r="N333" s="23" t="s">
        <v>4206</v>
      </c>
      <c r="O333" s="23" t="s">
        <v>4207</v>
      </c>
      <c r="P333" s="23" t="s">
        <v>4208</v>
      </c>
      <c r="Q333" s="24" t="n">
        <f aca="false">IF(L333="","",IFERROR(INDEX('Semrush Data'!$A$1:$Z$20000,MATCH(L333,'Semrush Data'!$A$1:$A$20000,0),MATCH("Volume",'Semrush Data'!$A$1:$Z$1,0)),""))</f>
        <v>0</v>
      </c>
      <c r="R333" s="24" t="str">
        <f aca="false">IF(M333="","",IFERROR(INDEX('Semrush Data'!$A$1:$Z$20000,MATCH(M333,'Semrush Data'!$A$1:$A$20000,0),MATCH("Volume",'Semrush Data'!$A$1:$Z$1,0)),""))</f>
        <v/>
      </c>
      <c r="S333" s="24" t="str">
        <f aca="false">IF(N333="","",IFERROR(INDEX('Semrush Data'!$A$1:$Z$20000,MATCH(N333,'Semrush Data'!$A$1:$A$20000,0),MATCH("Volume",'Semrush Data'!$A$1:$Z$1,0)),""))</f>
        <v/>
      </c>
      <c r="T333" s="24" t="str">
        <f aca="false">IF(O333="","",IFERROR(INDEX('Semrush Data'!$A$1:$Z$20000,MATCH(O333,'Semrush Data'!$A$1:$A$20000,0),MATCH("Volume",'Semrush Data'!$A$1:$Z$1,0)),""))</f>
        <v/>
      </c>
      <c r="U333" s="24" t="str">
        <f aca="false">IF(P333="","",IFERROR(INDEX('Semrush Data'!$A$1:$Z$20000,MATCH(P333,'Semrush Data'!$A$1:$A$20000,0),MATCH("Volume",'Semrush Data'!$A$1:$Z$1,0)),""))</f>
        <v/>
      </c>
      <c r="V333" s="25" t="str">
        <f aca="false">IF(COUNT(Q333:U333)=0,L333,IF(MAX(Q333:U333)=0,L333,INDEX(L333:P333,MATCH(MAX(Q333:U333),Q333:U333,0))))</f>
        <v>fumeri orpheon</v>
      </c>
      <c r="W333" s="24" t="n">
        <f aca="false">IFERROR(INDEX('Semrush Data'!$A$1:$Z$20000,MATCH(V333,'Semrush Data'!$A$1:$A$20000,0),MATCH("Volume",'Semrush Data'!$A$1:$Z$1,0)),"")</f>
        <v>0</v>
      </c>
      <c r="X333" s="24" t="n">
        <f aca="false">IFERROR(INDEX('Semrush Data'!$A$1:$Z$20000,MATCH(V333,'Semrush Data'!$A$1:$A$20000,0),MATCH("Keyword Difficulty*",'Semrush Data'!$A$1:$Z$1,0)),"")</f>
        <v>10</v>
      </c>
      <c r="Y333" s="26" t="n">
        <f aca="false">IFERROR(INDEX('Semrush Data'!$A$1:$Z$20000,MATCH(V333,'Semrush Data'!$A$1:$A$20000,0),MATCH("CPC*",'Semrush Data'!$A$1:$Z$1,0)),"")</f>
        <v>0</v>
      </c>
      <c r="Z333" s="23" t="s">
        <v>4098</v>
      </c>
      <c r="AA333" s="23"/>
      <c r="AB333" s="23" t="s">
        <v>4209</v>
      </c>
      <c r="AC333" s="23" t="s">
        <v>4210</v>
      </c>
      <c r="AD333" s="27" t="n">
        <f aca="false">LEN(AC333)</f>
        <v>58</v>
      </c>
      <c r="AE333" s="23" t="s">
        <v>4211</v>
      </c>
      <c r="AF333" s="27" t="n">
        <f aca="false">LEN(AE333)</f>
        <v>156</v>
      </c>
    </row>
    <row r="334" customFormat="false" ht="15" hidden="false" customHeight="true" outlineLevel="0" collapsed="false">
      <c r="A334" s="23" t="s">
        <v>4212</v>
      </c>
      <c r="B334" s="23" t="s">
        <v>2449</v>
      </c>
      <c r="C334" s="23" t="n">
        <v>174</v>
      </c>
      <c r="D334" s="23" t="s">
        <v>4091</v>
      </c>
      <c r="E334" s="23"/>
      <c r="F334" s="23" t="s">
        <v>2452</v>
      </c>
      <c r="G334" s="23" t="s">
        <v>2453</v>
      </c>
      <c r="H334" s="23" t="s">
        <v>2504</v>
      </c>
      <c r="I334" s="23" t="s">
        <v>4213</v>
      </c>
      <c r="J334" s="23" t="s">
        <v>1994</v>
      </c>
      <c r="K334" s="23" t="n">
        <v>23.95</v>
      </c>
      <c r="L334" s="23" t="s">
        <v>4214</v>
      </c>
      <c r="M334" s="23" t="s">
        <v>4215</v>
      </c>
      <c r="N334" s="23" t="s">
        <v>4216</v>
      </c>
      <c r="O334" s="23" t="s">
        <v>4217</v>
      </c>
      <c r="P334" s="23" t="s">
        <v>4218</v>
      </c>
      <c r="Q334" s="24" t="n">
        <f aca="false">IF(L334="","",IFERROR(INDEX('Semrush Data'!$A$1:$Z$20000,MATCH(L334,'Semrush Data'!$A$1:$A$20000,0),MATCH("Volume",'Semrush Data'!$A$1:$Z$1,0)),""))</f>
        <v>0</v>
      </c>
      <c r="R334" s="24" t="str">
        <f aca="false">IF(M334="","",IFERROR(INDEX('Semrush Data'!$A$1:$Z$20000,MATCH(M334,'Semrush Data'!$A$1:$A$20000,0),MATCH("Volume",'Semrush Data'!$A$1:$Z$1,0)),""))</f>
        <v/>
      </c>
      <c r="S334" s="24" t="str">
        <f aca="false">IF(N334="","",IFERROR(INDEX('Semrush Data'!$A$1:$Z$20000,MATCH(N334,'Semrush Data'!$A$1:$A$20000,0),MATCH("Volume",'Semrush Data'!$A$1:$Z$1,0)),""))</f>
        <v/>
      </c>
      <c r="T334" s="24" t="str">
        <f aca="false">IF(O334="","",IFERROR(INDEX('Semrush Data'!$A$1:$Z$20000,MATCH(O334,'Semrush Data'!$A$1:$A$20000,0),MATCH("Volume",'Semrush Data'!$A$1:$Z$1,0)),""))</f>
        <v/>
      </c>
      <c r="U334" s="24" t="str">
        <f aca="false">IF(P334="","",IFERROR(INDEX('Semrush Data'!$A$1:$Z$20000,MATCH(P334,'Semrush Data'!$A$1:$A$20000,0),MATCH("Volume",'Semrush Data'!$A$1:$Z$1,0)),""))</f>
        <v/>
      </c>
      <c r="V334" s="25" t="str">
        <f aca="false">IF(COUNT(Q334:U334)=0,L334,IF(MAX(Q334:U334)=0,L334,INDEX(L334:P334,MATCH(MAX(Q334:U334),Q334:U334,0))))</f>
        <v>fumeri oud saffron</v>
      </c>
      <c r="W334" s="24" t="n">
        <f aca="false">IFERROR(INDEX('Semrush Data'!$A$1:$Z$20000,MATCH(V334,'Semrush Data'!$A$1:$A$20000,0),MATCH("Volume",'Semrush Data'!$A$1:$Z$1,0)),"")</f>
        <v>0</v>
      </c>
      <c r="X334" s="24" t="n">
        <f aca="false">IFERROR(INDEX('Semrush Data'!$A$1:$Z$20000,MATCH(V334,'Semrush Data'!$A$1:$A$20000,0),MATCH("Keyword Difficulty*",'Semrush Data'!$A$1:$Z$1,0)),"")</f>
        <v>18</v>
      </c>
      <c r="Y334" s="26" t="n">
        <f aca="false">IFERROR(INDEX('Semrush Data'!$A$1:$Z$20000,MATCH(V334,'Semrush Data'!$A$1:$A$20000,0),MATCH("CPC*",'Semrush Data'!$A$1:$Z$1,0)),"")</f>
        <v>0</v>
      </c>
      <c r="Z334" s="23" t="s">
        <v>4219</v>
      </c>
      <c r="AA334" s="23" t="s">
        <v>4220</v>
      </c>
      <c r="AB334" s="23" t="s">
        <v>4221</v>
      </c>
      <c r="AC334" s="23" t="s">
        <v>4222</v>
      </c>
      <c r="AD334" s="27" t="n">
        <f aca="false">LEN(AC334)</f>
        <v>54</v>
      </c>
      <c r="AE334" s="23" t="s">
        <v>4223</v>
      </c>
      <c r="AF334" s="27" t="n">
        <f aca="false">LEN(AE334)</f>
        <v>158</v>
      </c>
    </row>
    <row r="335" customFormat="false" ht="15" hidden="false" customHeight="true" outlineLevel="0" collapsed="false">
      <c r="A335" s="23" t="s">
        <v>4224</v>
      </c>
      <c r="B335" s="23" t="s">
        <v>2449</v>
      </c>
      <c r="C335" s="23" t="n">
        <v>175</v>
      </c>
      <c r="D335" s="23" t="s">
        <v>4091</v>
      </c>
      <c r="E335" s="23"/>
      <c r="F335" s="23" t="s">
        <v>2452</v>
      </c>
      <c r="G335" s="23" t="s">
        <v>2453</v>
      </c>
      <c r="H335" s="23" t="s">
        <v>4225</v>
      </c>
      <c r="I335" s="23" t="s">
        <v>4226</v>
      </c>
      <c r="J335" s="23" t="s">
        <v>1994</v>
      </c>
      <c r="K335" s="23" t="n">
        <v>37.95</v>
      </c>
      <c r="L335" s="23" t="s">
        <v>4227</v>
      </c>
      <c r="M335" s="23" t="s">
        <v>4228</v>
      </c>
      <c r="N335" s="23" t="s">
        <v>4229</v>
      </c>
      <c r="O335" s="23" t="s">
        <v>4230</v>
      </c>
      <c r="P335" s="23" t="s">
        <v>4231</v>
      </c>
      <c r="Q335" s="24" t="n">
        <f aca="false">IF(L335="","",IFERROR(INDEX('Semrush Data'!$A$1:$Z$20000,MATCH(L335,'Semrush Data'!$A$1:$A$20000,0),MATCH("Volume",'Semrush Data'!$A$1:$Z$1,0)),""))</f>
        <v>0</v>
      </c>
      <c r="R335" s="24" t="str">
        <f aca="false">IF(M335="","",IFERROR(INDEX('Semrush Data'!$A$1:$Z$20000,MATCH(M335,'Semrush Data'!$A$1:$A$20000,0),MATCH("Volume",'Semrush Data'!$A$1:$Z$1,0)),""))</f>
        <v/>
      </c>
      <c r="S335" s="24" t="str">
        <f aca="false">IF(N335="","",IFERROR(INDEX('Semrush Data'!$A$1:$Z$20000,MATCH(N335,'Semrush Data'!$A$1:$A$20000,0),MATCH("Volume",'Semrush Data'!$A$1:$Z$1,0)),""))</f>
        <v/>
      </c>
      <c r="T335" s="24" t="str">
        <f aca="false">IF(O335="","",IFERROR(INDEX('Semrush Data'!$A$1:$Z$20000,MATCH(O335,'Semrush Data'!$A$1:$A$20000,0),MATCH("Volume",'Semrush Data'!$A$1:$Z$1,0)),""))</f>
        <v/>
      </c>
      <c r="U335" s="24" t="str">
        <f aca="false">IF(P335="","",IFERROR(INDEX('Semrush Data'!$A$1:$Z$20000,MATCH(P335,'Semrush Data'!$A$1:$A$20000,0),MATCH("Volume",'Semrush Data'!$A$1:$Z$1,0)),""))</f>
        <v/>
      </c>
      <c r="V335" s="25" t="str">
        <f aca="false">IF(COUNT(Q335:U335)=0,L335,IF(MAX(Q335:U335)=0,L335,INDEX(L335:P335,MATCH(MAX(Q335:U335),Q335:U335,0))))</f>
        <v>fumeri peach</v>
      </c>
      <c r="W335" s="24" t="n">
        <f aca="false">IFERROR(INDEX('Semrush Data'!$A$1:$Z$20000,MATCH(V335,'Semrush Data'!$A$1:$A$20000,0),MATCH("Volume",'Semrush Data'!$A$1:$Z$1,0)),"")</f>
        <v>0</v>
      </c>
      <c r="X335" s="24" t="n">
        <f aca="false">IFERROR(INDEX('Semrush Data'!$A$1:$Z$20000,MATCH(V335,'Semrush Data'!$A$1:$A$20000,0),MATCH("Keyword Difficulty*",'Semrush Data'!$A$1:$Z$1,0)),"")</f>
        <v>18</v>
      </c>
      <c r="Y335" s="26" t="n">
        <f aca="false">IFERROR(INDEX('Semrush Data'!$A$1:$Z$20000,MATCH(V335,'Semrush Data'!$A$1:$A$20000,0),MATCH("CPC*",'Semrush Data'!$A$1:$Z$1,0)),"")</f>
        <v>0</v>
      </c>
      <c r="Z335" s="23" t="s">
        <v>4232</v>
      </c>
      <c r="AA335" s="23" t="s">
        <v>4233</v>
      </c>
      <c r="AB335" s="23" t="s">
        <v>4234</v>
      </c>
      <c r="AC335" s="23" t="s">
        <v>4235</v>
      </c>
      <c r="AD335" s="27" t="n">
        <f aca="false">LEN(AC335)</f>
        <v>60</v>
      </c>
      <c r="AE335" s="23" t="s">
        <v>4236</v>
      </c>
      <c r="AF335" s="27" t="n">
        <f aca="false">LEN(AE335)</f>
        <v>154</v>
      </c>
    </row>
    <row r="336" customFormat="false" ht="15" hidden="false" customHeight="true" outlineLevel="0" collapsed="false">
      <c r="A336" s="23" t="s">
        <v>4237</v>
      </c>
      <c r="B336" s="23" t="s">
        <v>2449</v>
      </c>
      <c r="C336" s="23" t="n">
        <v>176</v>
      </c>
      <c r="D336" s="23" t="s">
        <v>4091</v>
      </c>
      <c r="E336" s="23"/>
      <c r="F336" s="23" t="s">
        <v>2452</v>
      </c>
      <c r="G336" s="23" t="s">
        <v>2453</v>
      </c>
      <c r="H336" s="23" t="s">
        <v>4238</v>
      </c>
      <c r="I336" s="23" t="s">
        <v>4239</v>
      </c>
      <c r="J336" s="23" t="s">
        <v>1994</v>
      </c>
      <c r="K336" s="23" t="n">
        <v>23.95</v>
      </c>
      <c r="L336" s="23" t="s">
        <v>4240</v>
      </c>
      <c r="M336" s="23" t="s">
        <v>4241</v>
      </c>
      <c r="N336" s="23" t="s">
        <v>4242</v>
      </c>
      <c r="O336" s="23" t="s">
        <v>4243</v>
      </c>
      <c r="P336" s="23" t="s">
        <v>4244</v>
      </c>
      <c r="Q336" s="24" t="n">
        <f aca="false">IF(L336="","",IFERROR(INDEX('Semrush Data'!$A$1:$Z$20000,MATCH(L336,'Semrush Data'!$A$1:$A$20000,0),MATCH("Volume",'Semrush Data'!$A$1:$Z$1,0)),""))</f>
        <v>0</v>
      </c>
      <c r="R336" s="24" t="str">
        <f aca="false">IF(M336="","",IFERROR(INDEX('Semrush Data'!$A$1:$Z$20000,MATCH(M336,'Semrush Data'!$A$1:$A$20000,0),MATCH("Volume",'Semrush Data'!$A$1:$Z$1,0)),""))</f>
        <v/>
      </c>
      <c r="S336" s="24" t="str">
        <f aca="false">IF(N336="","",IFERROR(INDEX('Semrush Data'!$A$1:$Z$20000,MATCH(N336,'Semrush Data'!$A$1:$A$20000,0),MATCH("Volume",'Semrush Data'!$A$1:$Z$1,0)),""))</f>
        <v/>
      </c>
      <c r="T336" s="24" t="str">
        <f aca="false">IF(O336="","",IFERROR(INDEX('Semrush Data'!$A$1:$Z$20000,MATCH(O336,'Semrush Data'!$A$1:$A$20000,0),MATCH("Volume",'Semrush Data'!$A$1:$Z$1,0)),""))</f>
        <v/>
      </c>
      <c r="U336" s="24" t="str">
        <f aca="false">IF(P336="","",IFERROR(INDEX('Semrush Data'!$A$1:$Z$20000,MATCH(P336,'Semrush Data'!$A$1:$A$20000,0),MATCH("Volume",'Semrush Data'!$A$1:$Z$1,0)),""))</f>
        <v/>
      </c>
      <c r="V336" s="25" t="str">
        <f aca="false">IF(COUNT(Q336:U336)=0,L336,IF(MAX(Q336:U336)=0,L336,INDEX(L336:P336,MATCH(MAX(Q336:U336),Q336:U336,0))))</f>
        <v>fumeri smokey leather</v>
      </c>
      <c r="W336" s="24" t="n">
        <f aca="false">IFERROR(INDEX('Semrush Data'!$A$1:$Z$20000,MATCH(V336,'Semrush Data'!$A$1:$A$20000,0),MATCH("Volume",'Semrush Data'!$A$1:$Z$1,0)),"")</f>
        <v>0</v>
      </c>
      <c r="X336" s="24" t="n">
        <f aca="false">IFERROR(INDEX('Semrush Data'!$A$1:$Z$20000,MATCH(V336,'Semrush Data'!$A$1:$A$20000,0),MATCH("Keyword Difficulty*",'Semrush Data'!$A$1:$Z$1,0)),"")</f>
        <v>19</v>
      </c>
      <c r="Y336" s="26" t="n">
        <f aca="false">IFERROR(INDEX('Semrush Data'!$A$1:$Z$20000,MATCH(V336,'Semrush Data'!$A$1:$A$20000,0),MATCH("CPC*",'Semrush Data'!$A$1:$Z$1,0)),"")</f>
        <v>0</v>
      </c>
      <c r="Z336" s="23" t="s">
        <v>4245</v>
      </c>
      <c r="AA336" s="23"/>
      <c r="AB336" s="23" t="s">
        <v>4246</v>
      </c>
      <c r="AC336" s="23" t="s">
        <v>4247</v>
      </c>
      <c r="AD336" s="27" t="n">
        <f aca="false">LEN(AC336)</f>
        <v>56</v>
      </c>
      <c r="AE336" s="23" t="s">
        <v>4248</v>
      </c>
      <c r="AF336" s="27" t="n">
        <f aca="false">LEN(AE336)</f>
        <v>158</v>
      </c>
    </row>
    <row r="337" customFormat="false" ht="15" hidden="false" customHeight="true" outlineLevel="0" collapsed="false">
      <c r="A337" s="23" t="s">
        <v>4249</v>
      </c>
      <c r="B337" s="23" t="s">
        <v>2449</v>
      </c>
      <c r="C337" s="23" t="n">
        <v>177</v>
      </c>
      <c r="D337" s="23" t="s">
        <v>4091</v>
      </c>
      <c r="E337" s="23"/>
      <c r="F337" s="23" t="s">
        <v>2452</v>
      </c>
      <c r="G337" s="23" t="s">
        <v>2453</v>
      </c>
      <c r="H337" s="23" t="s">
        <v>2538</v>
      </c>
      <c r="I337" s="23" t="s">
        <v>4250</v>
      </c>
      <c r="J337" s="23" t="s">
        <v>1994</v>
      </c>
      <c r="K337" s="23" t="n">
        <v>37.95</v>
      </c>
      <c r="L337" s="23" t="s">
        <v>4251</v>
      </c>
      <c r="M337" s="23" t="s">
        <v>4252</v>
      </c>
      <c r="N337" s="23" t="s">
        <v>4253</v>
      </c>
      <c r="O337" s="23" t="s">
        <v>4254</v>
      </c>
      <c r="P337" s="23" t="s">
        <v>4255</v>
      </c>
      <c r="Q337" s="24" t="n">
        <f aca="false">IF(L337="","",IFERROR(INDEX('Semrush Data'!$A$1:$Z$20000,MATCH(L337,'Semrush Data'!$A$1:$A$20000,0),MATCH("Volume",'Semrush Data'!$A$1:$Z$1,0)),""))</f>
        <v>10</v>
      </c>
      <c r="R337" s="24" t="str">
        <f aca="false">IF(M337="","",IFERROR(INDEX('Semrush Data'!$A$1:$Z$20000,MATCH(M337,'Semrush Data'!$A$1:$A$20000,0),MATCH("Volume",'Semrush Data'!$A$1:$Z$1,0)),""))</f>
        <v/>
      </c>
      <c r="S337" s="24" t="str">
        <f aca="false">IF(N337="","",IFERROR(INDEX('Semrush Data'!$A$1:$Z$20000,MATCH(N337,'Semrush Data'!$A$1:$A$20000,0),MATCH("Volume",'Semrush Data'!$A$1:$Z$1,0)),""))</f>
        <v/>
      </c>
      <c r="T337" s="24" t="str">
        <f aca="false">IF(O337="","",IFERROR(INDEX('Semrush Data'!$A$1:$Z$20000,MATCH(O337,'Semrush Data'!$A$1:$A$20000,0),MATCH("Volume",'Semrush Data'!$A$1:$Z$1,0)),""))</f>
        <v/>
      </c>
      <c r="U337" s="24" t="str">
        <f aca="false">IF(P337="","",IFERROR(INDEX('Semrush Data'!$A$1:$Z$20000,MATCH(P337,'Semrush Data'!$A$1:$A$20000,0),MATCH("Volume",'Semrush Data'!$A$1:$Z$1,0)),""))</f>
        <v/>
      </c>
      <c r="V337" s="25" t="str">
        <f aca="false">IF(COUNT(Q337:U337)=0,L337,IF(MAX(Q337:U337)=0,L337,INDEX(L337:P337,MATCH(MAX(Q337:U337),Q337:U337,0))))</f>
        <v>fumeri style 33</v>
      </c>
      <c r="W337" s="24" t="n">
        <f aca="false">IFERROR(INDEX('Semrush Data'!$A$1:$Z$20000,MATCH(V337,'Semrush Data'!$A$1:$A$20000,0),MATCH("Volume",'Semrush Data'!$A$1:$Z$1,0)),"")</f>
        <v>10</v>
      </c>
      <c r="X337" s="24" t="n">
        <f aca="false">IFERROR(INDEX('Semrush Data'!$A$1:$Z$20000,MATCH(V337,'Semrush Data'!$A$1:$A$20000,0),MATCH("Keyword Difficulty*",'Semrush Data'!$A$1:$Z$1,0)),"")</f>
        <v>1</v>
      </c>
      <c r="Y337" s="26" t="n">
        <f aca="false">IFERROR(INDEX('Semrush Data'!$A$1:$Z$20000,MATCH(V337,'Semrush Data'!$A$1:$A$20000,0),MATCH("CPC*",'Semrush Data'!$A$1:$Z$1,0)),"")</f>
        <v>0</v>
      </c>
      <c r="Z337" s="23" t="s">
        <v>4098</v>
      </c>
      <c r="AA337" s="23" t="s">
        <v>4256</v>
      </c>
      <c r="AB337" s="23" t="s">
        <v>4257</v>
      </c>
      <c r="AC337" s="23" t="s">
        <v>4258</v>
      </c>
      <c r="AD337" s="27" t="n">
        <f aca="false">LEN(AC337)</f>
        <v>59</v>
      </c>
      <c r="AE337" s="23" t="s">
        <v>4259</v>
      </c>
      <c r="AF337" s="27" t="n">
        <f aca="false">LEN(AE337)</f>
        <v>157</v>
      </c>
    </row>
    <row r="338" customFormat="false" ht="15" hidden="false" customHeight="true" outlineLevel="0" collapsed="false">
      <c r="A338" s="23" t="s">
        <v>4260</v>
      </c>
      <c r="B338" s="23" t="s">
        <v>2449</v>
      </c>
      <c r="C338" s="23" t="n">
        <v>178</v>
      </c>
      <c r="D338" s="23" t="s">
        <v>4091</v>
      </c>
      <c r="E338" s="23"/>
      <c r="F338" s="23" t="s">
        <v>2452</v>
      </c>
      <c r="G338" s="23" t="s">
        <v>2453</v>
      </c>
      <c r="H338" s="23" t="s">
        <v>2608</v>
      </c>
      <c r="I338" s="23" t="s">
        <v>4261</v>
      </c>
      <c r="J338" s="23" t="s">
        <v>1994</v>
      </c>
      <c r="K338" s="23" t="n">
        <v>23.95</v>
      </c>
      <c r="L338" s="23" t="s">
        <v>4262</v>
      </c>
      <c r="M338" s="23" t="s">
        <v>4263</v>
      </c>
      <c r="N338" s="23" t="s">
        <v>4264</v>
      </c>
      <c r="O338" s="23" t="s">
        <v>4265</v>
      </c>
      <c r="P338" s="23" t="s">
        <v>4266</v>
      </c>
      <c r="Q338" s="24" t="n">
        <f aca="false">IF(L338="","",IFERROR(INDEX('Semrush Data'!$A$1:$Z$20000,MATCH(L338,'Semrush Data'!$A$1:$A$20000,0),MATCH("Volume",'Semrush Data'!$A$1:$Z$1,0)),""))</f>
        <v>0</v>
      </c>
      <c r="R338" s="24" t="str">
        <f aca="false">IF(M338="","",IFERROR(INDEX('Semrush Data'!$A$1:$Z$20000,MATCH(M338,'Semrush Data'!$A$1:$A$20000,0),MATCH("Volume",'Semrush Data'!$A$1:$Z$1,0)),""))</f>
        <v/>
      </c>
      <c r="S338" s="24" t="str">
        <f aca="false">IF(N338="","",IFERROR(INDEX('Semrush Data'!$A$1:$Z$20000,MATCH(N338,'Semrush Data'!$A$1:$A$20000,0),MATCH("Volume",'Semrush Data'!$A$1:$Z$1,0)),""))</f>
        <v/>
      </c>
      <c r="T338" s="24" t="str">
        <f aca="false">IF(O338="","",IFERROR(INDEX('Semrush Data'!$A$1:$Z$20000,MATCH(O338,'Semrush Data'!$A$1:$A$20000,0),MATCH("Volume",'Semrush Data'!$A$1:$Z$1,0)),""))</f>
        <v/>
      </c>
      <c r="U338" s="24" t="str">
        <f aca="false">IF(P338="","",IFERROR(INDEX('Semrush Data'!$A$1:$Z$20000,MATCH(P338,'Semrush Data'!$A$1:$A$20000,0),MATCH("Volume",'Semrush Data'!$A$1:$Z$1,0)),""))</f>
        <v/>
      </c>
      <c r="V338" s="25" t="str">
        <f aca="false">IF(COUNT(Q338:U338)=0,L338,IF(MAX(Q338:U338)=0,L338,INDEX(L338:P338,MATCH(MAX(Q338:U338),Q338:U338,0))))</f>
        <v>fumeri victorious</v>
      </c>
      <c r="W338" s="24" t="n">
        <f aca="false">IFERROR(INDEX('Semrush Data'!$A$1:$Z$20000,MATCH(V338,'Semrush Data'!$A$1:$A$20000,0),MATCH("Volume",'Semrush Data'!$A$1:$Z$1,0)),"")</f>
        <v>0</v>
      </c>
      <c r="X338" s="24" t="n">
        <f aca="false">IFERROR(INDEX('Semrush Data'!$A$1:$Z$20000,MATCH(V338,'Semrush Data'!$A$1:$A$20000,0),MATCH("Keyword Difficulty*",'Semrush Data'!$A$1:$Z$1,0)),"")</f>
        <v>15</v>
      </c>
      <c r="Y338" s="26" t="n">
        <f aca="false">IFERROR(INDEX('Semrush Data'!$A$1:$Z$20000,MATCH(V338,'Semrush Data'!$A$1:$A$20000,0),MATCH("CPC*",'Semrush Data'!$A$1:$Z$1,0)),"")</f>
        <v>0</v>
      </c>
      <c r="Z338" s="23" t="s">
        <v>4267</v>
      </c>
      <c r="AA338" s="23" t="s">
        <v>4268</v>
      </c>
      <c r="AB338" s="23" t="s">
        <v>4269</v>
      </c>
      <c r="AC338" s="23" t="s">
        <v>4270</v>
      </c>
      <c r="AD338" s="27" t="n">
        <f aca="false">LEN(AC338)</f>
        <v>53</v>
      </c>
      <c r="AE338" s="23" t="s">
        <v>4271</v>
      </c>
      <c r="AF338" s="27" t="n">
        <f aca="false">LEN(AE338)</f>
        <v>158</v>
      </c>
    </row>
    <row r="339" customFormat="false" ht="15" hidden="false" customHeight="true" outlineLevel="0" collapsed="false">
      <c r="A339" s="23" t="s">
        <v>4272</v>
      </c>
      <c r="B339" s="23" t="s">
        <v>2449</v>
      </c>
      <c r="C339" s="23" t="n">
        <v>179</v>
      </c>
      <c r="D339" s="23" t="s">
        <v>4091</v>
      </c>
      <c r="E339" s="23"/>
      <c r="F339" s="23" t="s">
        <v>2452</v>
      </c>
      <c r="G339" s="23" t="s">
        <v>2453</v>
      </c>
      <c r="H339" s="23" t="s">
        <v>2538</v>
      </c>
      <c r="I339" s="23" t="s">
        <v>4273</v>
      </c>
      <c r="J339" s="23" t="s">
        <v>1994</v>
      </c>
      <c r="K339" s="23" t="n">
        <v>37.95</v>
      </c>
      <c r="L339" s="23" t="s">
        <v>4274</v>
      </c>
      <c r="M339" s="23" t="s">
        <v>4275</v>
      </c>
      <c r="N339" s="23" t="s">
        <v>4276</v>
      </c>
      <c r="O339" s="23" t="s">
        <v>4277</v>
      </c>
      <c r="P339" s="23" t="s">
        <v>4278</v>
      </c>
      <c r="Q339" s="24" t="n">
        <f aca="false">IF(L339="","",IFERROR(INDEX('Semrush Data'!$A$1:$Z$20000,MATCH(L339,'Semrush Data'!$A$1:$A$20000,0),MATCH("Volume",'Semrush Data'!$A$1:$Z$1,0)),""))</f>
        <v>0</v>
      </c>
      <c r="R339" s="24" t="str">
        <f aca="false">IF(M339="","",IFERROR(INDEX('Semrush Data'!$A$1:$Z$20000,MATCH(M339,'Semrush Data'!$A$1:$A$20000,0),MATCH("Volume",'Semrush Data'!$A$1:$Z$1,0)),""))</f>
        <v/>
      </c>
      <c r="S339" s="24" t="str">
        <f aca="false">IF(N339="","",IFERROR(INDEX('Semrush Data'!$A$1:$Z$20000,MATCH(N339,'Semrush Data'!$A$1:$A$20000,0),MATCH("Volume",'Semrush Data'!$A$1:$Z$1,0)),""))</f>
        <v/>
      </c>
      <c r="T339" s="24" t="str">
        <f aca="false">IF(O339="","",IFERROR(INDEX('Semrush Data'!$A$1:$Z$20000,MATCH(O339,'Semrush Data'!$A$1:$A$20000,0),MATCH("Volume",'Semrush Data'!$A$1:$Z$1,0)),""))</f>
        <v/>
      </c>
      <c r="U339" s="24" t="str">
        <f aca="false">IF(P339="","",IFERROR(INDEX('Semrush Data'!$A$1:$Z$20000,MATCH(P339,'Semrush Data'!$A$1:$A$20000,0),MATCH("Volume",'Semrush Data'!$A$1:$Z$1,0)),""))</f>
        <v/>
      </c>
      <c r="V339" s="25" t="str">
        <f aca="false">IF(COUNT(Q339:U339)=0,L339,IF(MAX(Q339:U339)=0,L339,INDEX(L339:P339,MATCH(MAX(Q339:U339),Q339:U339,0))))</f>
        <v>fumeri wild</v>
      </c>
      <c r="W339" s="24" t="n">
        <f aca="false">IFERROR(INDEX('Semrush Data'!$A$1:$Z$20000,MATCH(V339,'Semrush Data'!$A$1:$A$20000,0),MATCH("Volume",'Semrush Data'!$A$1:$Z$1,0)),"")</f>
        <v>0</v>
      </c>
      <c r="X339" s="24" t="n">
        <f aca="false">IFERROR(INDEX('Semrush Data'!$A$1:$Z$20000,MATCH(V339,'Semrush Data'!$A$1:$A$20000,0),MATCH("Keyword Difficulty*",'Semrush Data'!$A$1:$Z$1,0)),"")</f>
        <v>16</v>
      </c>
      <c r="Y339" s="26" t="n">
        <f aca="false">IFERROR(INDEX('Semrush Data'!$A$1:$Z$20000,MATCH(V339,'Semrush Data'!$A$1:$A$20000,0),MATCH("CPC*",'Semrush Data'!$A$1:$Z$1,0)),"")</f>
        <v>0</v>
      </c>
      <c r="Z339" s="23" t="s">
        <v>4098</v>
      </c>
      <c r="AA339" s="23" t="s">
        <v>4279</v>
      </c>
      <c r="AB339" s="23" t="s">
        <v>4280</v>
      </c>
      <c r="AC339" s="23" t="s">
        <v>4281</v>
      </c>
      <c r="AD339" s="27" t="n">
        <f aca="false">LEN(AC339)</f>
        <v>59</v>
      </c>
      <c r="AE339" s="23" t="s">
        <v>4282</v>
      </c>
      <c r="AF339" s="27" t="n">
        <f aca="false">LEN(AE339)</f>
        <v>153</v>
      </c>
    </row>
    <row r="340" customFormat="false" ht="15" hidden="false" customHeight="true" outlineLevel="0" collapsed="false">
      <c r="A340" s="23" t="s">
        <v>4283</v>
      </c>
      <c r="B340" s="23" t="s">
        <v>2449</v>
      </c>
      <c r="C340" s="23" t="n">
        <v>180</v>
      </c>
      <c r="D340" s="23" t="s">
        <v>4284</v>
      </c>
      <c r="E340" s="23" t="s">
        <v>4285</v>
      </c>
      <c r="F340" s="23" t="s">
        <v>2452</v>
      </c>
      <c r="G340" s="23" t="s">
        <v>2453</v>
      </c>
      <c r="H340" s="23" t="s">
        <v>2608</v>
      </c>
      <c r="I340" s="23" t="s">
        <v>4286</v>
      </c>
      <c r="J340" s="23" t="s">
        <v>1994</v>
      </c>
      <c r="K340" s="23" t="n">
        <v>84.99</v>
      </c>
      <c r="L340" s="23" t="s">
        <v>4287</v>
      </c>
      <c r="M340" s="23" t="s">
        <v>4288</v>
      </c>
      <c r="N340" s="23" t="s">
        <v>4289</v>
      </c>
      <c r="O340" s="23" t="s">
        <v>4290</v>
      </c>
      <c r="P340" s="23" t="s">
        <v>4291</v>
      </c>
      <c r="Q340" s="24" t="n">
        <f aca="false">IF(L340="","",IFERROR(INDEX('Semrush Data'!$A$1:$Z$20000,MATCH(L340,'Semrush Data'!$A$1:$A$20000,0),MATCH("Volume",'Semrush Data'!$A$1:$Z$1,0)),""))</f>
        <v>170</v>
      </c>
      <c r="R340" s="24" t="n">
        <f aca="false">IF(M340="","",IFERROR(INDEX('Semrush Data'!$A$1:$Z$20000,MATCH(M340,'Semrush Data'!$A$1:$A$20000,0),MATCH("Volume",'Semrush Data'!$A$1:$Z$1,0)),""))</f>
        <v>0</v>
      </c>
      <c r="S340" s="24" t="str">
        <f aca="false">IF(N340="","",IFERROR(INDEX('Semrush Data'!$A$1:$Z$20000,MATCH(N340,'Semrush Data'!$A$1:$A$20000,0),MATCH("Volume",'Semrush Data'!$A$1:$Z$1,0)),""))</f>
        <v/>
      </c>
      <c r="T340" s="24" t="str">
        <f aca="false">IF(O340="","",IFERROR(INDEX('Semrush Data'!$A$1:$Z$20000,MATCH(O340,'Semrush Data'!$A$1:$A$20000,0),MATCH("Volume",'Semrush Data'!$A$1:$Z$1,0)),""))</f>
        <v/>
      </c>
      <c r="U340" s="24" t="n">
        <f aca="false">IF(P340="","",IFERROR(INDEX('Semrush Data'!$A$1:$Z$20000,MATCH(P340,'Semrush Data'!$A$1:$A$20000,0),MATCH("Volume",'Semrush Data'!$A$1:$Z$1,0)),""))</f>
        <v>0</v>
      </c>
      <c r="V340" s="25" t="str">
        <f aca="false">IF(COUNT(Q340:U340)=0,L340,IF(MAX(Q340:U340)=0,L340,INDEX(L340:P340,MATCH(MAX(Q340:U340),Q340:U340,0))))</f>
        <v>game of spades bid</v>
      </c>
      <c r="W340" s="24" t="n">
        <f aca="false">IFERROR(INDEX('Semrush Data'!$A$1:$Z$20000,MATCH(V340,'Semrush Data'!$A$1:$A$20000,0),MATCH("Volume",'Semrush Data'!$A$1:$Z$1,0)),"")</f>
        <v>170</v>
      </c>
      <c r="X340" s="24" t="n">
        <f aca="false">IFERROR(INDEX('Semrush Data'!$A$1:$Z$20000,MATCH(V340,'Semrush Data'!$A$1:$A$20000,0),MATCH("Keyword Difficulty*",'Semrush Data'!$A$1:$Z$1,0)),"")</f>
        <v>17</v>
      </c>
      <c r="Y340" s="26" t="n">
        <f aca="false">IFERROR(INDEX('Semrush Data'!$A$1:$Z$20000,MATCH(V340,'Semrush Data'!$A$1:$A$20000,0),MATCH("CPC*",'Semrush Data'!$A$1:$Z$1,0)),"")</f>
        <v>0</v>
      </c>
      <c r="Z340" s="23" t="s">
        <v>4292</v>
      </c>
      <c r="AA340" s="23" t="s">
        <v>4293</v>
      </c>
      <c r="AB340" s="23" t="s">
        <v>4294</v>
      </c>
      <c r="AC340" s="23" t="s">
        <v>4295</v>
      </c>
      <c r="AD340" s="27" t="n">
        <f aca="false">LEN(AC340)</f>
        <v>53</v>
      </c>
      <c r="AE340" s="23" t="s">
        <v>4296</v>
      </c>
      <c r="AF340" s="27" t="n">
        <f aca="false">LEN(AE340)</f>
        <v>145</v>
      </c>
    </row>
    <row r="341" customFormat="false" ht="15" hidden="false" customHeight="true" outlineLevel="0" collapsed="false">
      <c r="A341" s="23" t="s">
        <v>4297</v>
      </c>
      <c r="B341" s="23" t="s">
        <v>2449</v>
      </c>
      <c r="C341" s="23" t="n">
        <v>181</v>
      </c>
      <c r="D341" s="23" t="s">
        <v>4284</v>
      </c>
      <c r="E341" s="23" t="s">
        <v>4285</v>
      </c>
      <c r="F341" s="23" t="s">
        <v>2452</v>
      </c>
      <c r="G341" s="23" t="s">
        <v>2453</v>
      </c>
      <c r="H341" s="23" t="s">
        <v>2583</v>
      </c>
      <c r="I341" s="23" t="s">
        <v>4298</v>
      </c>
      <c r="J341" s="23" t="s">
        <v>1994</v>
      </c>
      <c r="K341" s="23" t="n">
        <v>89.99</v>
      </c>
      <c r="L341" s="23" t="s">
        <v>4299</v>
      </c>
      <c r="M341" s="23" t="s">
        <v>4300</v>
      </c>
      <c r="N341" s="23" t="s">
        <v>4301</v>
      </c>
      <c r="O341" s="23" t="s">
        <v>4302</v>
      </c>
      <c r="P341" s="23" t="s">
        <v>4303</v>
      </c>
      <c r="Q341" s="24" t="n">
        <f aca="false">IF(L341="","",IFERROR(INDEX('Semrush Data'!$A$1:$Z$20000,MATCH(L341,'Semrush Data'!$A$1:$A$20000,0),MATCH("Volume",'Semrush Data'!$A$1:$Z$1,0)),""))</f>
        <v>10</v>
      </c>
      <c r="R341" s="24" t="str">
        <f aca="false">IF(M341="","",IFERROR(INDEX('Semrush Data'!$A$1:$Z$20000,MATCH(M341,'Semrush Data'!$A$1:$A$20000,0),MATCH("Volume",'Semrush Data'!$A$1:$Z$1,0)),""))</f>
        <v/>
      </c>
      <c r="S341" s="24" t="str">
        <f aca="false">IF(N341="","",IFERROR(INDEX('Semrush Data'!$A$1:$Z$20000,MATCH(N341,'Semrush Data'!$A$1:$A$20000,0),MATCH("Volume",'Semrush Data'!$A$1:$Z$1,0)),""))</f>
        <v/>
      </c>
      <c r="T341" s="24" t="str">
        <f aca="false">IF(O341="","",IFERROR(INDEX('Semrush Data'!$A$1:$Z$20000,MATCH(O341,'Semrush Data'!$A$1:$A$20000,0),MATCH("Volume",'Semrush Data'!$A$1:$Z$1,0)),""))</f>
        <v/>
      </c>
      <c r="U341" s="24" t="str">
        <f aca="false">IF(P341="","",IFERROR(INDEX('Semrush Data'!$A$1:$Z$20000,MATCH(P341,'Semrush Data'!$A$1:$A$20000,0),MATCH("Volume",'Semrush Data'!$A$1:$Z$1,0)),""))</f>
        <v/>
      </c>
      <c r="V341" s="25" t="str">
        <f aca="false">IF(COUNT(Q341:U341)=0,L341,IF(MAX(Q341:U341)=0,L341,INDEX(L341:P341,MATCH(MAX(Q341:U341),Q341:U341,0))))</f>
        <v>game of spades blind-bid</v>
      </c>
      <c r="W341" s="24" t="n">
        <f aca="false">IFERROR(INDEX('Semrush Data'!$A$1:$Z$20000,MATCH(V341,'Semrush Data'!$A$1:$A$20000,0),MATCH("Volume",'Semrush Data'!$A$1:$Z$1,0)),"")</f>
        <v>10</v>
      </c>
      <c r="X341" s="24" t="n">
        <f aca="false">IFERROR(INDEX('Semrush Data'!$A$1:$Z$20000,MATCH(V341,'Semrush Data'!$A$1:$A$20000,0),MATCH("Keyword Difficulty*",'Semrush Data'!$A$1:$Z$1,0)),"")</f>
        <v>22</v>
      </c>
      <c r="Y341" s="26" t="n">
        <f aca="false">IFERROR(INDEX('Semrush Data'!$A$1:$Z$20000,MATCH(V341,'Semrush Data'!$A$1:$A$20000,0),MATCH("CPC*",'Semrush Data'!$A$1:$Z$1,0)),"")</f>
        <v>0</v>
      </c>
      <c r="Z341" s="23" t="s">
        <v>4304</v>
      </c>
      <c r="AA341" s="23" t="s">
        <v>4305</v>
      </c>
      <c r="AB341" s="23" t="s">
        <v>4306</v>
      </c>
      <c r="AC341" s="23" t="s">
        <v>4307</v>
      </c>
      <c r="AD341" s="27" t="n">
        <f aca="false">LEN(AC341)</f>
        <v>51</v>
      </c>
      <c r="AE341" s="23" t="s">
        <v>4308</v>
      </c>
      <c r="AF341" s="27" t="n">
        <f aca="false">LEN(AE341)</f>
        <v>144</v>
      </c>
    </row>
    <row r="342" customFormat="false" ht="15" hidden="false" customHeight="true" outlineLevel="0" collapsed="false">
      <c r="A342" s="23" t="s">
        <v>4309</v>
      </c>
      <c r="B342" s="23" t="s">
        <v>2449</v>
      </c>
      <c r="C342" s="23" t="n">
        <v>182</v>
      </c>
      <c r="D342" s="23" t="s">
        <v>4284</v>
      </c>
      <c r="E342" s="23" t="s">
        <v>4285</v>
      </c>
      <c r="F342" s="23" t="s">
        <v>2452</v>
      </c>
      <c r="G342" s="23" t="s">
        <v>2453</v>
      </c>
      <c r="H342" s="23" t="s">
        <v>2608</v>
      </c>
      <c r="I342" s="23" t="s">
        <v>4310</v>
      </c>
      <c r="J342" s="23" t="s">
        <v>1994</v>
      </c>
      <c r="K342" s="23" t="n">
        <v>89.99</v>
      </c>
      <c r="L342" s="23" t="s">
        <v>4311</v>
      </c>
      <c r="M342" s="23" t="s">
        <v>4312</v>
      </c>
      <c r="N342" s="23" t="s">
        <v>4313</v>
      </c>
      <c r="O342" s="23" t="s">
        <v>4314</v>
      </c>
      <c r="P342" s="23" t="s">
        <v>4315</v>
      </c>
      <c r="Q342" s="24" t="n">
        <f aca="false">IF(L342="","",IFERROR(INDEX('Semrush Data'!$A$1:$Z$20000,MATCH(L342,'Semrush Data'!$A$1:$A$20000,0),MATCH("Volume",'Semrush Data'!$A$1:$Z$1,0)),""))</f>
        <v>40</v>
      </c>
      <c r="R342" s="24" t="str">
        <f aca="false">IF(M342="","",IFERROR(INDEX('Semrush Data'!$A$1:$Z$20000,MATCH(M342,'Semrush Data'!$A$1:$A$20000,0),MATCH("Volume",'Semrush Data'!$A$1:$Z$1,0)),""))</f>
        <v/>
      </c>
      <c r="S342" s="24" t="str">
        <f aca="false">IF(N342="","",IFERROR(INDEX('Semrush Data'!$A$1:$Z$20000,MATCH(N342,'Semrush Data'!$A$1:$A$20000,0),MATCH("Volume",'Semrush Data'!$A$1:$Z$1,0)),""))</f>
        <v/>
      </c>
      <c r="T342" s="24" t="str">
        <f aca="false">IF(O342="","",IFERROR(INDEX('Semrush Data'!$A$1:$Z$20000,MATCH(O342,'Semrush Data'!$A$1:$A$20000,0),MATCH("Volume",'Semrush Data'!$A$1:$Z$1,0)),""))</f>
        <v/>
      </c>
      <c r="U342" s="24" t="str">
        <f aca="false">IF(P342="","",IFERROR(INDEX('Semrush Data'!$A$1:$Z$20000,MATCH(P342,'Semrush Data'!$A$1:$A$20000,0),MATCH("Volume",'Semrush Data'!$A$1:$Z$1,0)),""))</f>
        <v/>
      </c>
      <c r="V342" s="25" t="str">
        <f aca="false">IF(COUNT(Q342:U342)=0,L342,IF(MAX(Q342:U342)=0,L342,INDEX(L342:P342,MATCH(MAX(Q342:U342),Q342:U342,0))))</f>
        <v>game of spades boston</v>
      </c>
      <c r="W342" s="24" t="n">
        <f aca="false">IFERROR(INDEX('Semrush Data'!$A$1:$Z$20000,MATCH(V342,'Semrush Data'!$A$1:$A$20000,0),MATCH("Volume",'Semrush Data'!$A$1:$Z$1,0)),"")</f>
        <v>40</v>
      </c>
      <c r="X342" s="24" t="n">
        <f aca="false">IFERROR(INDEX('Semrush Data'!$A$1:$Z$20000,MATCH(V342,'Semrush Data'!$A$1:$A$20000,0),MATCH("Keyword Difficulty*",'Semrush Data'!$A$1:$Z$1,0)),"")</f>
        <v>22</v>
      </c>
      <c r="Y342" s="26" t="n">
        <f aca="false">IFERROR(INDEX('Semrush Data'!$A$1:$Z$20000,MATCH(V342,'Semrush Data'!$A$1:$A$20000,0),MATCH("CPC*",'Semrush Data'!$A$1:$Z$1,0)),"")</f>
        <v>0</v>
      </c>
      <c r="Z342" s="23" t="s">
        <v>4292</v>
      </c>
      <c r="AA342" s="23" t="s">
        <v>4316</v>
      </c>
      <c r="AB342" s="23" t="s">
        <v>4317</v>
      </c>
      <c r="AC342" s="23" t="s">
        <v>4318</v>
      </c>
      <c r="AD342" s="27" t="n">
        <f aca="false">LEN(AC342)</f>
        <v>56</v>
      </c>
      <c r="AE342" s="23" t="s">
        <v>4319</v>
      </c>
      <c r="AF342" s="27" t="n">
        <f aca="false">LEN(AE342)</f>
        <v>148</v>
      </c>
    </row>
    <row r="343" customFormat="false" ht="15" hidden="false" customHeight="true" outlineLevel="0" collapsed="false">
      <c r="A343" s="23" t="s">
        <v>4320</v>
      </c>
      <c r="B343" s="23" t="s">
        <v>2449</v>
      </c>
      <c r="C343" s="23" t="n">
        <v>183</v>
      </c>
      <c r="D343" s="23" t="s">
        <v>4284</v>
      </c>
      <c r="E343" s="23" t="s">
        <v>4285</v>
      </c>
      <c r="F343" s="23" t="s">
        <v>2452</v>
      </c>
      <c r="G343" s="23" t="s">
        <v>2453</v>
      </c>
      <c r="H343" s="23" t="s">
        <v>2608</v>
      </c>
      <c r="I343" s="23" t="s">
        <v>4321</v>
      </c>
      <c r="J343" s="23" t="s">
        <v>1994</v>
      </c>
      <c r="K343" s="23" t="n">
        <v>85.99</v>
      </c>
      <c r="L343" s="23" t="s">
        <v>4322</v>
      </c>
      <c r="M343" s="23" t="s">
        <v>4323</v>
      </c>
      <c r="N343" s="23" t="s">
        <v>4324</v>
      </c>
      <c r="O343" s="23" t="s">
        <v>4325</v>
      </c>
      <c r="P343" s="23" t="s">
        <v>4326</v>
      </c>
      <c r="Q343" s="24" t="n">
        <f aca="false">IF(L343="","",IFERROR(INDEX('Semrush Data'!$A$1:$Z$20000,MATCH(L343,'Semrush Data'!$A$1:$A$20000,0),MATCH("Volume",'Semrush Data'!$A$1:$Z$1,0)),""))</f>
        <v>30</v>
      </c>
      <c r="R343" s="24" t="str">
        <f aca="false">IF(M343="","",IFERROR(INDEX('Semrush Data'!$A$1:$Z$20000,MATCH(M343,'Semrush Data'!$A$1:$A$20000,0),MATCH("Volume",'Semrush Data'!$A$1:$Z$1,0)),""))</f>
        <v/>
      </c>
      <c r="S343" s="24" t="str">
        <f aca="false">IF(N343="","",IFERROR(INDEX('Semrush Data'!$A$1:$Z$20000,MATCH(N343,'Semrush Data'!$A$1:$A$20000,0),MATCH("Volume",'Semrush Data'!$A$1:$Z$1,0)),""))</f>
        <v/>
      </c>
      <c r="T343" s="24" t="str">
        <f aca="false">IF(O343="","",IFERROR(INDEX('Semrush Data'!$A$1:$Z$20000,MATCH(O343,'Semrush Data'!$A$1:$A$20000,0),MATCH("Volume",'Semrush Data'!$A$1:$Z$1,0)),""))</f>
        <v/>
      </c>
      <c r="U343" s="24" t="str">
        <f aca="false">IF(P343="","",IFERROR(INDEX('Semrush Data'!$A$1:$Z$20000,MATCH(P343,'Semrush Data'!$A$1:$A$20000,0),MATCH("Volume",'Semrush Data'!$A$1:$Z$1,0)),""))</f>
        <v/>
      </c>
      <c r="V343" s="25" t="str">
        <f aca="false">IF(COUNT(Q343:U343)=0,L343,IF(MAX(Q343:U343)=0,L343,INDEX(L343:P343,MATCH(MAX(Q343:U343),Q343:U343,0))))</f>
        <v>game of spades diamond</v>
      </c>
      <c r="W343" s="24" t="n">
        <f aca="false">IFERROR(INDEX('Semrush Data'!$A$1:$Z$20000,MATCH(V343,'Semrush Data'!$A$1:$A$20000,0),MATCH("Volume",'Semrush Data'!$A$1:$Z$1,0)),"")</f>
        <v>30</v>
      </c>
      <c r="X343" s="24" t="n">
        <f aca="false">IFERROR(INDEX('Semrush Data'!$A$1:$Z$20000,MATCH(V343,'Semrush Data'!$A$1:$A$20000,0),MATCH("Keyword Difficulty*",'Semrush Data'!$A$1:$Z$1,0)),"")</f>
        <v>12</v>
      </c>
      <c r="Y343" s="26" t="n">
        <f aca="false">IFERROR(INDEX('Semrush Data'!$A$1:$Z$20000,MATCH(V343,'Semrush Data'!$A$1:$A$20000,0),MATCH("CPC*",'Semrush Data'!$A$1:$Z$1,0)),"")</f>
        <v>0</v>
      </c>
      <c r="Z343" s="23" t="s">
        <v>4292</v>
      </c>
      <c r="AA343" s="23" t="s">
        <v>4327</v>
      </c>
      <c r="AB343" s="23" t="s">
        <v>4328</v>
      </c>
      <c r="AC343" s="23" t="s">
        <v>4329</v>
      </c>
      <c r="AD343" s="27" t="n">
        <f aca="false">LEN(AC343)</f>
        <v>56</v>
      </c>
      <c r="AE343" s="23" t="s">
        <v>4330</v>
      </c>
      <c r="AF343" s="27" t="n">
        <f aca="false">LEN(AE343)</f>
        <v>155</v>
      </c>
    </row>
    <row r="344" customFormat="false" ht="15" hidden="false" customHeight="true" outlineLevel="0" collapsed="false">
      <c r="A344" s="23" t="s">
        <v>83</v>
      </c>
      <c r="B344" s="23" t="s">
        <v>2449</v>
      </c>
      <c r="C344" s="23" t="n">
        <v>184</v>
      </c>
      <c r="D344" s="23" t="s">
        <v>4284</v>
      </c>
      <c r="E344" s="23" t="s">
        <v>4285</v>
      </c>
      <c r="F344" s="23" t="s">
        <v>2452</v>
      </c>
      <c r="G344" s="23" t="s">
        <v>2453</v>
      </c>
      <c r="H344" s="23" t="s">
        <v>2538</v>
      </c>
      <c r="I344" s="23" t="s">
        <v>84</v>
      </c>
      <c r="J344" s="23" t="s">
        <v>1994</v>
      </c>
      <c r="K344" s="23" t="n">
        <v>92.99</v>
      </c>
      <c r="L344" s="23" t="s">
        <v>4331</v>
      </c>
      <c r="M344" s="23" t="s">
        <v>4332</v>
      </c>
      <c r="N344" s="23" t="s">
        <v>4333</v>
      </c>
      <c r="O344" s="23" t="s">
        <v>4334</v>
      </c>
      <c r="P344" s="23" t="s">
        <v>4335</v>
      </c>
      <c r="Q344" s="24" t="n">
        <f aca="false">IF(L344="","",IFERROR(INDEX('Semrush Data'!$A$1:$Z$20000,MATCH(L344,'Semrush Data'!$A$1:$A$20000,0),MATCH("Volume",'Semrush Data'!$A$1:$Z$1,0)),""))</f>
        <v>1600</v>
      </c>
      <c r="R344" s="24" t="n">
        <f aca="false">IF(M344="","",IFERROR(INDEX('Semrush Data'!$A$1:$Z$20000,MATCH(M344,'Semrush Data'!$A$1:$A$20000,0),MATCH("Volume",'Semrush Data'!$A$1:$Z$1,0)),""))</f>
        <v>110</v>
      </c>
      <c r="S344" s="24" t="n">
        <f aca="false">IF(N344="","",IFERROR(INDEX('Semrush Data'!$A$1:$Z$20000,MATCH(N344,'Semrush Data'!$A$1:$A$20000,0),MATCH("Volume",'Semrush Data'!$A$1:$Z$1,0)),""))</f>
        <v>0</v>
      </c>
      <c r="T344" s="24" t="n">
        <f aca="false">IF(O344="","",IFERROR(INDEX('Semrush Data'!$A$1:$Z$20000,MATCH(O344,'Semrush Data'!$A$1:$A$20000,0),MATCH("Volume",'Semrush Data'!$A$1:$Z$1,0)),""))</f>
        <v>20</v>
      </c>
      <c r="U344" s="24" t="n">
        <f aca="false">IF(P344="","",IFERROR(INDEX('Semrush Data'!$A$1:$Z$20000,MATCH(P344,'Semrush Data'!$A$1:$A$20000,0),MATCH("Volume",'Semrush Data'!$A$1:$Z$1,0)),""))</f>
        <v>0</v>
      </c>
      <c r="V344" s="25" t="str">
        <f aca="false">IF(COUNT(Q344:U344)=0,L344,IF(MAX(Q344:U344)=0,L344,INDEX(L344:P344,MATCH(MAX(Q344:U344),Q344:U344,0))))</f>
        <v>game of spades full house</v>
      </c>
      <c r="W344" s="24" t="n">
        <f aca="false">IFERROR(INDEX('Semrush Data'!$A$1:$Z$20000,MATCH(V344,'Semrush Data'!$A$1:$A$20000,0),MATCH("Volume",'Semrush Data'!$A$1:$Z$1,0)),"")</f>
        <v>1600</v>
      </c>
      <c r="X344" s="24" t="n">
        <f aca="false">IFERROR(INDEX('Semrush Data'!$A$1:$Z$20000,MATCH(V344,'Semrush Data'!$A$1:$A$20000,0),MATCH("Keyword Difficulty*",'Semrush Data'!$A$1:$Z$1,0)),"")</f>
        <v>29</v>
      </c>
      <c r="Y344" s="26" t="n">
        <f aca="false">IFERROR(INDEX('Semrush Data'!$A$1:$Z$20000,MATCH(V344,'Semrush Data'!$A$1:$A$20000,0),MATCH("CPC*",'Semrush Data'!$A$1:$Z$1,0)),"")</f>
        <v>0.55</v>
      </c>
      <c r="Z344" s="23" t="s">
        <v>4336</v>
      </c>
      <c r="AA344" s="23" t="s">
        <v>4337</v>
      </c>
      <c r="AB344" s="23" t="s">
        <v>4338</v>
      </c>
      <c r="AC344" s="23" t="s">
        <v>4339</v>
      </c>
      <c r="AD344" s="27" t="n">
        <f aca="false">LEN(AC344)</f>
        <v>60</v>
      </c>
      <c r="AE344" s="23" t="s">
        <v>4340</v>
      </c>
      <c r="AF344" s="27" t="n">
        <f aca="false">LEN(AE344)</f>
        <v>160</v>
      </c>
    </row>
    <row r="345" customFormat="false" ht="15" hidden="false" customHeight="true" outlineLevel="0" collapsed="false">
      <c r="A345" s="23" t="s">
        <v>4341</v>
      </c>
      <c r="B345" s="23" t="s">
        <v>2449</v>
      </c>
      <c r="C345" s="23" t="n">
        <v>185</v>
      </c>
      <c r="D345" s="23" t="s">
        <v>4284</v>
      </c>
      <c r="E345" s="23" t="s">
        <v>4285</v>
      </c>
      <c r="F345" s="23" t="s">
        <v>2452</v>
      </c>
      <c r="G345" s="23" t="s">
        <v>2453</v>
      </c>
      <c r="H345" s="23" t="s">
        <v>2538</v>
      </c>
      <c r="I345" s="23" t="s">
        <v>4342</v>
      </c>
      <c r="J345" s="23" t="s">
        <v>1994</v>
      </c>
      <c r="K345" s="23" t="n">
        <v>109.99</v>
      </c>
      <c r="L345" s="23" t="s">
        <v>4343</v>
      </c>
      <c r="M345" s="23" t="s">
        <v>4344</v>
      </c>
      <c r="N345" s="23" t="s">
        <v>4345</v>
      </c>
      <c r="O345" s="23" t="s">
        <v>4346</v>
      </c>
      <c r="P345" s="23" t="s">
        <v>4347</v>
      </c>
      <c r="Q345" s="24" t="n">
        <f aca="false">IF(L345="","",IFERROR(INDEX('Semrush Data'!$A$1:$Z$20000,MATCH(L345,'Semrush Data'!$A$1:$A$20000,0),MATCH("Volume",'Semrush Data'!$A$1:$Z$1,0)),""))</f>
        <v>20</v>
      </c>
      <c r="R345" s="24" t="str">
        <f aca="false">IF(M345="","",IFERROR(INDEX('Semrush Data'!$A$1:$Z$20000,MATCH(M345,'Semrush Data'!$A$1:$A$20000,0),MATCH("Volume",'Semrush Data'!$A$1:$Z$1,0)),""))</f>
        <v/>
      </c>
      <c r="S345" s="24" t="str">
        <f aca="false">IF(N345="","",IFERROR(INDEX('Semrush Data'!$A$1:$Z$20000,MATCH(N345,'Semrush Data'!$A$1:$A$20000,0),MATCH("Volume",'Semrush Data'!$A$1:$Z$1,0)),""))</f>
        <v/>
      </c>
      <c r="T345" s="24" t="str">
        <f aca="false">IF(O345="","",IFERROR(INDEX('Semrush Data'!$A$1:$Z$20000,MATCH(O345,'Semrush Data'!$A$1:$A$20000,0),MATCH("Volume",'Semrush Data'!$A$1:$Z$1,0)),""))</f>
        <v/>
      </c>
      <c r="U345" s="24" t="str">
        <f aca="false">IF(P345="","",IFERROR(INDEX('Semrush Data'!$A$1:$Z$20000,MATCH(P345,'Semrush Data'!$A$1:$A$20000,0),MATCH("Volume",'Semrush Data'!$A$1:$Z$1,0)),""))</f>
        <v/>
      </c>
      <c r="V345" s="25" t="str">
        <f aca="false">IF(COUNT(Q345:U345)=0,L345,IF(MAX(Q345:U345)=0,L345,INDEX(L345:P345,MATCH(MAX(Q345:U345),Q345:U345,0))))</f>
        <v>game of spades high roller</v>
      </c>
      <c r="W345" s="24" t="n">
        <f aca="false">IFERROR(INDEX('Semrush Data'!$A$1:$Z$20000,MATCH(V345,'Semrush Data'!$A$1:$A$20000,0),MATCH("Volume",'Semrush Data'!$A$1:$Z$1,0)),"")</f>
        <v>20</v>
      </c>
      <c r="X345" s="24" t="n">
        <f aca="false">IFERROR(INDEX('Semrush Data'!$A$1:$Z$20000,MATCH(V345,'Semrush Data'!$A$1:$A$20000,0),MATCH("Keyword Difficulty*",'Semrush Data'!$A$1:$Z$1,0)),"")</f>
        <v>25</v>
      </c>
      <c r="Y345" s="26" t="n">
        <f aca="false">IFERROR(INDEX('Semrush Data'!$A$1:$Z$20000,MATCH(V345,'Semrush Data'!$A$1:$A$20000,0),MATCH("CPC*",'Semrush Data'!$A$1:$Z$1,0)),"")</f>
        <v>0</v>
      </c>
      <c r="Z345" s="23" t="s">
        <v>4336</v>
      </c>
      <c r="AA345" s="23" t="s">
        <v>4348</v>
      </c>
      <c r="AB345" s="23" t="s">
        <v>4349</v>
      </c>
      <c r="AC345" s="23" t="s">
        <v>4350</v>
      </c>
      <c r="AD345" s="27" t="n">
        <f aca="false">LEN(AC345)</f>
        <v>57</v>
      </c>
      <c r="AE345" s="23" t="s">
        <v>4351</v>
      </c>
      <c r="AF345" s="27" t="n">
        <f aca="false">LEN(AE345)</f>
        <v>155</v>
      </c>
    </row>
    <row r="346" customFormat="false" ht="15" hidden="false" customHeight="true" outlineLevel="0" collapsed="false">
      <c r="A346" s="23" t="s">
        <v>4352</v>
      </c>
      <c r="B346" s="23" t="s">
        <v>2449</v>
      </c>
      <c r="C346" s="23" t="n">
        <v>186</v>
      </c>
      <c r="D346" s="23" t="s">
        <v>4284</v>
      </c>
      <c r="E346" s="23" t="s">
        <v>4285</v>
      </c>
      <c r="F346" s="23" t="s">
        <v>2452</v>
      </c>
      <c r="G346" s="23" t="s">
        <v>2453</v>
      </c>
      <c r="H346" s="23" t="s">
        <v>2583</v>
      </c>
      <c r="I346" s="23" t="s">
        <v>4353</v>
      </c>
      <c r="J346" s="23" t="s">
        <v>1994</v>
      </c>
      <c r="K346" s="23" t="n">
        <v>79.99</v>
      </c>
      <c r="L346" s="23" t="s">
        <v>4354</v>
      </c>
      <c r="M346" s="23" t="s">
        <v>4355</v>
      </c>
      <c r="N346" s="23" t="s">
        <v>4356</v>
      </c>
      <c r="O346" s="23" t="s">
        <v>4357</v>
      </c>
      <c r="P346" s="23" t="s">
        <v>4358</v>
      </c>
      <c r="Q346" s="24" t="n">
        <f aca="false">IF(L346="","",IFERROR(INDEX('Semrush Data'!$A$1:$Z$20000,MATCH(L346,'Semrush Data'!$A$1:$A$20000,0),MATCH("Volume",'Semrush Data'!$A$1:$Z$1,0)),""))</f>
        <v>20</v>
      </c>
      <c r="R346" s="24" t="str">
        <f aca="false">IF(M346="","",IFERROR(INDEX('Semrush Data'!$A$1:$Z$20000,MATCH(M346,'Semrush Data'!$A$1:$A$20000,0),MATCH("Volume",'Semrush Data'!$A$1:$Z$1,0)),""))</f>
        <v/>
      </c>
      <c r="S346" s="24" t="str">
        <f aca="false">IF(N346="","",IFERROR(INDEX('Semrush Data'!$A$1:$Z$20000,MATCH(N346,'Semrush Data'!$A$1:$A$20000,0),MATCH("Volume",'Semrush Data'!$A$1:$Z$1,0)),""))</f>
        <v/>
      </c>
      <c r="T346" s="24" t="str">
        <f aca="false">IF(O346="","",IFERROR(INDEX('Semrush Data'!$A$1:$Z$20000,MATCH(O346,'Semrush Data'!$A$1:$A$20000,0),MATCH("Volume",'Semrush Data'!$A$1:$Z$1,0)),""))</f>
        <v/>
      </c>
      <c r="U346" s="24" t="str">
        <f aca="false">IF(P346="","",IFERROR(INDEX('Semrush Data'!$A$1:$Z$20000,MATCH(P346,'Semrush Data'!$A$1:$A$20000,0),MATCH("Volume",'Semrush Data'!$A$1:$Z$1,0)),""))</f>
        <v/>
      </c>
      <c r="V346" s="25" t="str">
        <f aca="false">IF(COUNT(Q346:U346)=0,L346,IF(MAX(Q346:U346)=0,L346,INDEX(L346:P346,MATCH(MAX(Q346:U346),Q346:U346,0))))</f>
        <v>game of spades jackpot</v>
      </c>
      <c r="W346" s="24" t="n">
        <f aca="false">IFERROR(INDEX('Semrush Data'!$A$1:$Z$20000,MATCH(V346,'Semrush Data'!$A$1:$A$20000,0),MATCH("Volume",'Semrush Data'!$A$1:$Z$1,0)),"")</f>
        <v>20</v>
      </c>
      <c r="X346" s="24" t="n">
        <f aca="false">IFERROR(INDEX('Semrush Data'!$A$1:$Z$20000,MATCH(V346,'Semrush Data'!$A$1:$A$20000,0),MATCH("Keyword Difficulty*",'Semrush Data'!$A$1:$Z$1,0)),"")</f>
        <v>15</v>
      </c>
      <c r="Y346" s="26" t="n">
        <f aca="false">IFERROR(INDEX('Semrush Data'!$A$1:$Z$20000,MATCH(V346,'Semrush Data'!$A$1:$A$20000,0),MATCH("CPC*",'Semrush Data'!$A$1:$Z$1,0)),"")</f>
        <v>0</v>
      </c>
      <c r="Z346" s="23" t="s">
        <v>4304</v>
      </c>
      <c r="AA346" s="23" t="s">
        <v>4359</v>
      </c>
      <c r="AB346" s="23" t="s">
        <v>4360</v>
      </c>
      <c r="AC346" s="23" t="s">
        <v>4361</v>
      </c>
      <c r="AD346" s="27" t="n">
        <f aca="false">LEN(AC346)</f>
        <v>55</v>
      </c>
      <c r="AE346" s="23" t="s">
        <v>4362</v>
      </c>
      <c r="AF346" s="27" t="n">
        <f aca="false">LEN(AE346)</f>
        <v>142</v>
      </c>
    </row>
    <row r="347" customFormat="false" ht="15" hidden="false" customHeight="true" outlineLevel="0" collapsed="false">
      <c r="A347" s="23" t="s">
        <v>4363</v>
      </c>
      <c r="B347" s="23" t="s">
        <v>2449</v>
      </c>
      <c r="C347" s="23" t="n">
        <v>187</v>
      </c>
      <c r="D347" s="23" t="s">
        <v>4284</v>
      </c>
      <c r="E347" s="23" t="s">
        <v>4285</v>
      </c>
      <c r="F347" s="23" t="s">
        <v>2452</v>
      </c>
      <c r="G347" s="23" t="s">
        <v>2453</v>
      </c>
      <c r="H347" s="23" t="s">
        <v>2583</v>
      </c>
      <c r="I347" s="23" t="s">
        <v>4364</v>
      </c>
      <c r="J347" s="23" t="s">
        <v>1994</v>
      </c>
      <c r="K347" s="23" t="n">
        <v>73.99</v>
      </c>
      <c r="L347" s="23" t="s">
        <v>4365</v>
      </c>
      <c r="M347" s="23" t="s">
        <v>4366</v>
      </c>
      <c r="N347" s="23" t="s">
        <v>4367</v>
      </c>
      <c r="O347" s="23" t="s">
        <v>4368</v>
      </c>
      <c r="P347" s="23" t="s">
        <v>4369</v>
      </c>
      <c r="Q347" s="24" t="n">
        <f aca="false">IF(L347="","",IFERROR(INDEX('Semrush Data'!$A$1:$Z$20000,MATCH(L347,'Semrush Data'!$A$1:$A$20000,0),MATCH("Volume",'Semrush Data'!$A$1:$Z$1,0)),""))</f>
        <v>10</v>
      </c>
      <c r="R347" s="24" t="str">
        <f aca="false">IF(M347="","",IFERROR(INDEX('Semrush Data'!$A$1:$Z$20000,MATCH(M347,'Semrush Data'!$A$1:$A$20000,0),MATCH("Volume",'Semrush Data'!$A$1:$Z$1,0)),""))</f>
        <v/>
      </c>
      <c r="S347" s="24" t="str">
        <f aca="false">IF(N347="","",IFERROR(INDEX('Semrush Data'!$A$1:$Z$20000,MATCH(N347,'Semrush Data'!$A$1:$A$20000,0),MATCH("Volume",'Semrush Data'!$A$1:$Z$1,0)),""))</f>
        <v/>
      </c>
      <c r="T347" s="24" t="str">
        <f aca="false">IF(O347="","",IFERROR(INDEX('Semrush Data'!$A$1:$Z$20000,MATCH(O347,'Semrush Data'!$A$1:$A$20000,0),MATCH("Volume",'Semrush Data'!$A$1:$Z$1,0)),""))</f>
        <v/>
      </c>
      <c r="U347" s="24" t="str">
        <f aca="false">IF(P347="","",IFERROR(INDEX('Semrush Data'!$A$1:$Z$20000,MATCH(P347,'Semrush Data'!$A$1:$A$20000,0),MATCH("Volume",'Semrush Data'!$A$1:$Z$1,0)),""))</f>
        <v/>
      </c>
      <c r="V347" s="25" t="str">
        <f aca="false">IF(COUNT(Q347:U347)=0,L347,IF(MAX(Q347:U347)=0,L347,INDEX(L347:P347,MATCH(MAX(Q347:U347),Q347:U347,0))))</f>
        <v>game of spades king</v>
      </c>
      <c r="W347" s="24" t="n">
        <f aca="false">IFERROR(INDEX('Semrush Data'!$A$1:$Z$20000,MATCH(V347,'Semrush Data'!$A$1:$A$20000,0),MATCH("Volume",'Semrush Data'!$A$1:$Z$1,0)),"")</f>
        <v>10</v>
      </c>
      <c r="X347" s="24" t="n">
        <f aca="false">IFERROR(INDEX('Semrush Data'!$A$1:$Z$20000,MATCH(V347,'Semrush Data'!$A$1:$A$20000,0),MATCH("Keyword Difficulty*",'Semrush Data'!$A$1:$Z$1,0)),"")</f>
        <v>14</v>
      </c>
      <c r="Y347" s="26" t="n">
        <f aca="false">IFERROR(INDEX('Semrush Data'!$A$1:$Z$20000,MATCH(V347,'Semrush Data'!$A$1:$A$20000,0),MATCH("CPC*",'Semrush Data'!$A$1:$Z$1,0)),"")</f>
        <v>0</v>
      </c>
      <c r="Z347" s="23" t="s">
        <v>4304</v>
      </c>
      <c r="AA347" s="23" t="s">
        <v>4370</v>
      </c>
      <c r="AB347" s="23" t="s">
        <v>4371</v>
      </c>
      <c r="AC347" s="23" t="s">
        <v>4372</v>
      </c>
      <c r="AD347" s="27" t="n">
        <f aca="false">LEN(AC347)</f>
        <v>60</v>
      </c>
      <c r="AE347" s="23" t="s">
        <v>4373</v>
      </c>
      <c r="AF347" s="27" t="n">
        <f aca="false">LEN(AE347)</f>
        <v>153</v>
      </c>
    </row>
    <row r="348" customFormat="false" ht="15" hidden="false" customHeight="true" outlineLevel="0" collapsed="false">
      <c r="A348" s="23" t="s">
        <v>4374</v>
      </c>
      <c r="B348" s="23" t="s">
        <v>2449</v>
      </c>
      <c r="C348" s="23" t="n">
        <v>188</v>
      </c>
      <c r="D348" s="23" t="s">
        <v>4284</v>
      </c>
      <c r="E348" s="23" t="s">
        <v>4285</v>
      </c>
      <c r="F348" s="23" t="s">
        <v>2452</v>
      </c>
      <c r="G348" s="23" t="s">
        <v>2453</v>
      </c>
      <c r="H348" s="23" t="s">
        <v>2583</v>
      </c>
      <c r="I348" s="23" t="s">
        <v>4375</v>
      </c>
      <c r="J348" s="23" t="s">
        <v>1994</v>
      </c>
      <c r="K348" s="23" t="n">
        <v>85.99</v>
      </c>
      <c r="L348" s="23" t="s">
        <v>4376</v>
      </c>
      <c r="M348" s="23" t="s">
        <v>4377</v>
      </c>
      <c r="N348" s="23" t="s">
        <v>4378</v>
      </c>
      <c r="O348" s="23" t="s">
        <v>4379</v>
      </c>
      <c r="P348" s="23" t="s">
        <v>4380</v>
      </c>
      <c r="Q348" s="24" t="n">
        <f aca="false">IF(L348="","",IFERROR(INDEX('Semrush Data'!$A$1:$Z$20000,MATCH(L348,'Semrush Data'!$A$1:$A$20000,0),MATCH("Volume",'Semrush Data'!$A$1:$Z$1,0)),""))</f>
        <v>210</v>
      </c>
      <c r="R348" s="24" t="n">
        <f aca="false">IF(M348="","",IFERROR(INDEX('Semrush Data'!$A$1:$Z$20000,MATCH(M348,'Semrush Data'!$A$1:$A$20000,0),MATCH("Volume",'Semrush Data'!$A$1:$Z$1,0)),""))</f>
        <v>0</v>
      </c>
      <c r="S348" s="24" t="str">
        <f aca="false">IF(N348="","",IFERROR(INDEX('Semrush Data'!$A$1:$Z$20000,MATCH(N348,'Semrush Data'!$A$1:$A$20000,0),MATCH("Volume",'Semrush Data'!$A$1:$Z$1,0)),""))</f>
        <v/>
      </c>
      <c r="T348" s="24" t="str">
        <f aca="false">IF(O348="","",IFERROR(INDEX('Semrush Data'!$A$1:$Z$20000,MATCH(O348,'Semrush Data'!$A$1:$A$20000,0),MATCH("Volume",'Semrush Data'!$A$1:$Z$1,0)),""))</f>
        <v/>
      </c>
      <c r="U348" s="24" t="n">
        <f aca="false">IF(P348="","",IFERROR(INDEX('Semrush Data'!$A$1:$Z$20000,MATCH(P348,'Semrush Data'!$A$1:$A$20000,0),MATCH("Volume",'Semrush Data'!$A$1:$Z$1,0)),""))</f>
        <v>0</v>
      </c>
      <c r="V348" s="25" t="str">
        <f aca="false">IF(COUNT(Q348:U348)=0,L348,IF(MAX(Q348:U348)=0,L348,INDEX(L348:P348,MATCH(MAX(Q348:U348),Q348:U348,0))))</f>
        <v>game of spades moon</v>
      </c>
      <c r="W348" s="24" t="n">
        <f aca="false">IFERROR(INDEX('Semrush Data'!$A$1:$Z$20000,MATCH(V348,'Semrush Data'!$A$1:$A$20000,0),MATCH("Volume",'Semrush Data'!$A$1:$Z$1,0)),"")</f>
        <v>210</v>
      </c>
      <c r="X348" s="24" t="n">
        <f aca="false">IFERROR(INDEX('Semrush Data'!$A$1:$Z$20000,MATCH(V348,'Semrush Data'!$A$1:$A$20000,0),MATCH("Keyword Difficulty*",'Semrush Data'!$A$1:$Z$1,0)),"")</f>
        <v>28</v>
      </c>
      <c r="Y348" s="26" t="n">
        <f aca="false">IFERROR(INDEX('Semrush Data'!$A$1:$Z$20000,MATCH(V348,'Semrush Data'!$A$1:$A$20000,0),MATCH("CPC*",'Semrush Data'!$A$1:$Z$1,0)),"")</f>
        <v>0</v>
      </c>
      <c r="Z348" s="23" t="s">
        <v>4304</v>
      </c>
      <c r="AA348" s="23" t="s">
        <v>4381</v>
      </c>
      <c r="AB348" s="23" t="s">
        <v>4382</v>
      </c>
      <c r="AC348" s="23" t="s">
        <v>4383</v>
      </c>
      <c r="AD348" s="27" t="n">
        <f aca="false">LEN(AC348)</f>
        <v>53</v>
      </c>
      <c r="AE348" s="23" t="s">
        <v>4384</v>
      </c>
      <c r="AF348" s="27" t="n">
        <f aca="false">LEN(AE348)</f>
        <v>146</v>
      </c>
    </row>
    <row r="349" customFormat="false" ht="15" hidden="false" customHeight="true" outlineLevel="0" collapsed="false">
      <c r="A349" s="23" t="s">
        <v>4385</v>
      </c>
      <c r="B349" s="23" t="s">
        <v>2449</v>
      </c>
      <c r="C349" s="23" t="n">
        <v>189</v>
      </c>
      <c r="D349" s="23" t="s">
        <v>4284</v>
      </c>
      <c r="E349" s="23" t="s">
        <v>4285</v>
      </c>
      <c r="F349" s="23" t="s">
        <v>2452</v>
      </c>
      <c r="G349" s="23" t="s">
        <v>2453</v>
      </c>
      <c r="H349" s="23" t="s">
        <v>2527</v>
      </c>
      <c r="I349" s="23" t="s">
        <v>4386</v>
      </c>
      <c r="J349" s="23" t="s">
        <v>1434</v>
      </c>
      <c r="K349" s="23" t="n">
        <v>109.99</v>
      </c>
      <c r="L349" s="23" t="s">
        <v>4387</v>
      </c>
      <c r="M349" s="23" t="s">
        <v>4388</v>
      </c>
      <c r="N349" s="23" t="s">
        <v>4389</v>
      </c>
      <c r="O349" s="23" t="s">
        <v>4390</v>
      </c>
      <c r="P349" s="23" t="s">
        <v>4391</v>
      </c>
      <c r="Q349" s="24" t="n">
        <f aca="false">IF(L349="","",IFERROR(INDEX('Semrush Data'!$A$1:$Z$20000,MATCH(L349,'Semrush Data'!$A$1:$A$20000,0),MATCH("Volume",'Semrush Data'!$A$1:$Z$1,0)),""))</f>
        <v>50</v>
      </c>
      <c r="R349" s="24" t="n">
        <f aca="false">IF(M349="","",IFERROR(INDEX('Semrush Data'!$A$1:$Z$20000,MATCH(M349,'Semrush Data'!$A$1:$A$20000,0),MATCH("Volume",'Semrush Data'!$A$1:$Z$1,0)),""))</f>
        <v>0</v>
      </c>
      <c r="S349" s="24" t="str">
        <f aca="false">IF(N349="","",IFERROR(INDEX('Semrush Data'!$A$1:$Z$20000,MATCH(N349,'Semrush Data'!$A$1:$A$20000,0),MATCH("Volume",'Semrush Data'!$A$1:$Z$1,0)),""))</f>
        <v/>
      </c>
      <c r="T349" s="24" t="str">
        <f aca="false">IF(O349="","",IFERROR(INDEX('Semrush Data'!$A$1:$Z$20000,MATCH(O349,'Semrush Data'!$A$1:$A$20000,0),MATCH("Volume",'Semrush Data'!$A$1:$Z$1,0)),""))</f>
        <v/>
      </c>
      <c r="U349" s="24" t="n">
        <f aca="false">IF(P349="","",IFERROR(INDEX('Semrush Data'!$A$1:$Z$20000,MATCH(P349,'Semrush Data'!$A$1:$A$20000,0),MATCH("Volume",'Semrush Data'!$A$1:$Z$1,0)),""))</f>
        <v>0</v>
      </c>
      <c r="V349" s="25" t="str">
        <f aca="false">IF(COUNT(Q349:U349)=0,L349,IF(MAX(Q349:U349)=0,L349,INDEX(L349:P349,MATCH(MAX(Q349:U349),Q349:U349,0))))</f>
        <v>game of spades opal</v>
      </c>
      <c r="W349" s="24" t="n">
        <f aca="false">IFERROR(INDEX('Semrush Data'!$A$1:$Z$20000,MATCH(V349,'Semrush Data'!$A$1:$A$20000,0),MATCH("Volume",'Semrush Data'!$A$1:$Z$1,0)),"")</f>
        <v>50</v>
      </c>
      <c r="X349" s="24" t="n">
        <f aca="false">IFERROR(INDEX('Semrush Data'!$A$1:$Z$20000,MATCH(V349,'Semrush Data'!$A$1:$A$20000,0),MATCH("Keyword Difficulty*",'Semrush Data'!$A$1:$Z$1,0)),"")</f>
        <v>17</v>
      </c>
      <c r="Y349" s="26" t="n">
        <f aca="false">IFERROR(INDEX('Semrush Data'!$A$1:$Z$20000,MATCH(V349,'Semrush Data'!$A$1:$A$20000,0),MATCH("CPC*",'Semrush Data'!$A$1:$Z$1,0)),"")</f>
        <v>0</v>
      </c>
      <c r="Z349" s="23" t="s">
        <v>4392</v>
      </c>
      <c r="AA349" s="23" t="s">
        <v>4393</v>
      </c>
      <c r="AB349" s="23" t="s">
        <v>4394</v>
      </c>
      <c r="AC349" s="23" t="s">
        <v>4395</v>
      </c>
      <c r="AD349" s="27" t="n">
        <f aca="false">LEN(AC349)</f>
        <v>53</v>
      </c>
      <c r="AE349" s="23" t="s">
        <v>4396</v>
      </c>
      <c r="AF349" s="27" t="n">
        <f aca="false">LEN(AE349)</f>
        <v>160</v>
      </c>
    </row>
    <row r="350" customFormat="false" ht="15" hidden="false" customHeight="true" outlineLevel="0" collapsed="false">
      <c r="A350" s="23" t="s">
        <v>4397</v>
      </c>
      <c r="B350" s="23" t="s">
        <v>2449</v>
      </c>
      <c r="C350" s="23" t="n">
        <v>190</v>
      </c>
      <c r="D350" s="23" t="s">
        <v>4284</v>
      </c>
      <c r="E350" s="23" t="s">
        <v>4285</v>
      </c>
      <c r="F350" s="23" t="s">
        <v>2452</v>
      </c>
      <c r="G350" s="23" t="s">
        <v>2453</v>
      </c>
      <c r="H350" s="23" t="s">
        <v>2538</v>
      </c>
      <c r="I350" s="23" t="s">
        <v>4398</v>
      </c>
      <c r="J350" s="23" t="s">
        <v>1994</v>
      </c>
      <c r="K350" s="23" t="n">
        <v>85.99</v>
      </c>
      <c r="L350" s="23" t="s">
        <v>4399</v>
      </c>
      <c r="M350" s="23" t="s">
        <v>4400</v>
      </c>
      <c r="N350" s="23" t="s">
        <v>4401</v>
      </c>
      <c r="O350" s="23" t="s">
        <v>4402</v>
      </c>
      <c r="P350" s="23" t="s">
        <v>4403</v>
      </c>
      <c r="Q350" s="24" t="n">
        <f aca="false">IF(L350="","",IFERROR(INDEX('Semrush Data'!$A$1:$Z$20000,MATCH(L350,'Semrush Data'!$A$1:$A$20000,0),MATCH("Volume",'Semrush Data'!$A$1:$Z$1,0)),""))</f>
        <v>50</v>
      </c>
      <c r="R350" s="24" t="n">
        <f aca="false">IF(M350="","",IFERROR(INDEX('Semrush Data'!$A$1:$Z$20000,MATCH(M350,'Semrush Data'!$A$1:$A$20000,0),MATCH("Volume",'Semrush Data'!$A$1:$Z$1,0)),""))</f>
        <v>0</v>
      </c>
      <c r="S350" s="24" t="str">
        <f aca="false">IF(N350="","",IFERROR(INDEX('Semrush Data'!$A$1:$Z$20000,MATCH(N350,'Semrush Data'!$A$1:$A$20000,0),MATCH("Volume",'Semrush Data'!$A$1:$Z$1,0)),""))</f>
        <v/>
      </c>
      <c r="T350" s="24" t="str">
        <f aca="false">IF(O350="","",IFERROR(INDEX('Semrush Data'!$A$1:$Z$20000,MATCH(O350,'Semrush Data'!$A$1:$A$20000,0),MATCH("Volume",'Semrush Data'!$A$1:$Z$1,0)),""))</f>
        <v/>
      </c>
      <c r="U350" s="24" t="n">
        <f aca="false">IF(P350="","",IFERROR(INDEX('Semrush Data'!$A$1:$Z$20000,MATCH(P350,'Semrush Data'!$A$1:$A$20000,0),MATCH("Volume",'Semrush Data'!$A$1:$Z$1,0)),""))</f>
        <v>0</v>
      </c>
      <c r="V350" s="25" t="str">
        <f aca="false">IF(COUNT(Q350:U350)=0,L350,IF(MAX(Q350:U350)=0,L350,INDEX(L350:P350,MATCH(MAX(Q350:U350),Q350:U350,0))))</f>
        <v>game of spades rouge</v>
      </c>
      <c r="W350" s="24" t="n">
        <f aca="false">IFERROR(INDEX('Semrush Data'!$A$1:$Z$20000,MATCH(V350,'Semrush Data'!$A$1:$A$20000,0),MATCH("Volume",'Semrush Data'!$A$1:$Z$1,0)),"")</f>
        <v>50</v>
      </c>
      <c r="X350" s="24" t="n">
        <f aca="false">IFERROR(INDEX('Semrush Data'!$A$1:$Z$20000,MATCH(V350,'Semrush Data'!$A$1:$A$20000,0),MATCH("Keyword Difficulty*",'Semrush Data'!$A$1:$Z$1,0)),"")</f>
        <v>23</v>
      </c>
      <c r="Y350" s="26" t="n">
        <f aca="false">IFERROR(INDEX('Semrush Data'!$A$1:$Z$20000,MATCH(V350,'Semrush Data'!$A$1:$A$20000,0),MATCH("CPC*",'Semrush Data'!$A$1:$Z$1,0)),"")</f>
        <v>0</v>
      </c>
      <c r="Z350" s="23" t="s">
        <v>4336</v>
      </c>
      <c r="AA350" s="23" t="s">
        <v>4404</v>
      </c>
      <c r="AB350" s="23" t="s">
        <v>4405</v>
      </c>
      <c r="AC350" s="23" t="s">
        <v>4406</v>
      </c>
      <c r="AD350" s="27" t="n">
        <f aca="false">LEN(AC350)</f>
        <v>55</v>
      </c>
      <c r="AE350" s="23" t="s">
        <v>4407</v>
      </c>
      <c r="AF350" s="27" t="n">
        <f aca="false">LEN(AE350)</f>
        <v>156</v>
      </c>
    </row>
    <row r="351" customFormat="false" ht="15" hidden="false" customHeight="true" outlineLevel="0" collapsed="false">
      <c r="A351" s="23" t="s">
        <v>4408</v>
      </c>
      <c r="B351" s="23" t="s">
        <v>2449</v>
      </c>
      <c r="C351" s="23" t="n">
        <v>191</v>
      </c>
      <c r="D351" s="23" t="s">
        <v>4284</v>
      </c>
      <c r="E351" s="23" t="s">
        <v>4285</v>
      </c>
      <c r="F351" s="23" t="s">
        <v>2452</v>
      </c>
      <c r="G351" s="23" t="s">
        <v>2453</v>
      </c>
      <c r="H351" s="23" t="s">
        <v>2538</v>
      </c>
      <c r="I351" s="23" t="s">
        <v>4409</v>
      </c>
      <c r="J351" s="23" t="s">
        <v>1994</v>
      </c>
      <c r="K351" s="23" t="n">
        <v>85.99</v>
      </c>
      <c r="L351" s="23" t="s">
        <v>4410</v>
      </c>
      <c r="M351" s="23" t="s">
        <v>4411</v>
      </c>
      <c r="N351" s="23" t="s">
        <v>4412</v>
      </c>
      <c r="O351" s="23" t="s">
        <v>4413</v>
      </c>
      <c r="P351" s="23" t="s">
        <v>4414</v>
      </c>
      <c r="Q351" s="24" t="n">
        <f aca="false">IF(L351="","",IFERROR(INDEX('Semrush Data'!$A$1:$Z$20000,MATCH(L351,'Semrush Data'!$A$1:$A$20000,0),MATCH("Volume",'Semrush Data'!$A$1:$Z$1,0)),""))</f>
        <v>70</v>
      </c>
      <c r="R351" s="24" t="n">
        <f aca="false">IF(M351="","",IFERROR(INDEX('Semrush Data'!$A$1:$Z$20000,MATCH(M351,'Semrush Data'!$A$1:$A$20000,0),MATCH("Volume",'Semrush Data'!$A$1:$Z$1,0)),""))</f>
        <v>0</v>
      </c>
      <c r="S351" s="24" t="str">
        <f aca="false">IF(N351="","",IFERROR(INDEX('Semrush Data'!$A$1:$Z$20000,MATCH(N351,'Semrush Data'!$A$1:$A$20000,0),MATCH("Volume",'Semrush Data'!$A$1:$Z$1,0)),""))</f>
        <v/>
      </c>
      <c r="T351" s="24" t="str">
        <f aca="false">IF(O351="","",IFERROR(INDEX('Semrush Data'!$A$1:$Z$20000,MATCH(O351,'Semrush Data'!$A$1:$A$20000,0),MATCH("Volume",'Semrush Data'!$A$1:$Z$1,0)),""))</f>
        <v/>
      </c>
      <c r="U351" s="24" t="n">
        <f aca="false">IF(P351="","",IFERROR(INDEX('Semrush Data'!$A$1:$Z$20000,MATCH(P351,'Semrush Data'!$A$1:$A$20000,0),MATCH("Volume",'Semrush Data'!$A$1:$Z$1,0)),""))</f>
        <v>0</v>
      </c>
      <c r="V351" s="25" t="str">
        <f aca="false">IF(COUNT(Q351:U351)=0,L351,IF(MAX(Q351:U351)=0,L351,INDEX(L351:P351,MATCH(MAX(Q351:U351),Q351:U351,0))))</f>
        <v>game of spades royale</v>
      </c>
      <c r="W351" s="24" t="n">
        <f aca="false">IFERROR(INDEX('Semrush Data'!$A$1:$Z$20000,MATCH(V351,'Semrush Data'!$A$1:$A$20000,0),MATCH("Volume",'Semrush Data'!$A$1:$Z$1,0)),"")</f>
        <v>70</v>
      </c>
      <c r="X351" s="24" t="n">
        <f aca="false">IFERROR(INDEX('Semrush Data'!$A$1:$Z$20000,MATCH(V351,'Semrush Data'!$A$1:$A$20000,0),MATCH("Keyword Difficulty*",'Semrush Data'!$A$1:$Z$1,0)),"")</f>
        <v>27</v>
      </c>
      <c r="Y351" s="26" t="n">
        <f aca="false">IFERROR(INDEX('Semrush Data'!$A$1:$Z$20000,MATCH(V351,'Semrush Data'!$A$1:$A$20000,0),MATCH("CPC*",'Semrush Data'!$A$1:$Z$1,0)),"")</f>
        <v>0</v>
      </c>
      <c r="Z351" s="23" t="s">
        <v>4336</v>
      </c>
      <c r="AA351" s="23" t="s">
        <v>4415</v>
      </c>
      <c r="AB351" s="23" t="s">
        <v>4416</v>
      </c>
      <c r="AC351" s="23" t="s">
        <v>4417</v>
      </c>
      <c r="AD351" s="27" t="n">
        <f aca="false">LEN(AC351)</f>
        <v>56</v>
      </c>
      <c r="AE351" s="23" t="s">
        <v>4418</v>
      </c>
      <c r="AF351" s="27" t="n">
        <f aca="false">LEN(AE351)</f>
        <v>157</v>
      </c>
    </row>
    <row r="352" customFormat="false" ht="15" hidden="false" customHeight="true" outlineLevel="0" collapsed="false">
      <c r="A352" s="23" t="s">
        <v>4419</v>
      </c>
      <c r="B352" s="23" t="s">
        <v>2449</v>
      </c>
      <c r="C352" s="23" t="n">
        <v>192</v>
      </c>
      <c r="D352" s="23" t="s">
        <v>4284</v>
      </c>
      <c r="E352" s="23" t="s">
        <v>4285</v>
      </c>
      <c r="F352" s="23" t="s">
        <v>2452</v>
      </c>
      <c r="G352" s="23" t="s">
        <v>2453</v>
      </c>
      <c r="H352" s="23" t="s">
        <v>2538</v>
      </c>
      <c r="I352" s="23" t="s">
        <v>4420</v>
      </c>
      <c r="J352" s="23" t="s">
        <v>1994</v>
      </c>
      <c r="K352" s="23" t="n">
        <v>89.99</v>
      </c>
      <c r="L352" s="23" t="s">
        <v>4421</v>
      </c>
      <c r="M352" s="23" t="s">
        <v>4422</v>
      </c>
      <c r="N352" s="23" t="s">
        <v>4423</v>
      </c>
      <c r="O352" s="23" t="s">
        <v>4424</v>
      </c>
      <c r="P352" s="23" t="s">
        <v>4425</v>
      </c>
      <c r="Q352" s="24" t="n">
        <f aca="false">IF(L352="","",IFERROR(INDEX('Semrush Data'!$A$1:$Z$20000,MATCH(L352,'Semrush Data'!$A$1:$A$20000,0),MATCH("Volume",'Semrush Data'!$A$1:$Z$1,0)),""))</f>
        <v>20</v>
      </c>
      <c r="R352" s="24" t="str">
        <f aca="false">IF(M352="","",IFERROR(INDEX('Semrush Data'!$A$1:$Z$20000,MATCH(M352,'Semrush Data'!$A$1:$A$20000,0),MATCH("Volume",'Semrush Data'!$A$1:$Z$1,0)),""))</f>
        <v/>
      </c>
      <c r="S352" s="24" t="str">
        <f aca="false">IF(N352="","",IFERROR(INDEX('Semrush Data'!$A$1:$Z$20000,MATCH(N352,'Semrush Data'!$A$1:$A$20000,0),MATCH("Volume",'Semrush Data'!$A$1:$Z$1,0)),""))</f>
        <v/>
      </c>
      <c r="T352" s="24" t="str">
        <f aca="false">IF(O352="","",IFERROR(INDEX('Semrush Data'!$A$1:$Z$20000,MATCH(O352,'Semrush Data'!$A$1:$A$20000,0),MATCH("Volume",'Semrush Data'!$A$1:$Z$1,0)),""))</f>
        <v/>
      </c>
      <c r="U352" s="24" t="str">
        <f aca="false">IF(P352="","",IFERROR(INDEX('Semrush Data'!$A$1:$Z$20000,MATCH(P352,'Semrush Data'!$A$1:$A$20000,0),MATCH("Volume",'Semrush Data'!$A$1:$Z$1,0)),""))</f>
        <v/>
      </c>
      <c r="V352" s="25" t="str">
        <f aca="false">IF(COUNT(Q352:U352)=0,L352,IF(MAX(Q352:U352)=0,L352,INDEX(L352:P352,MATCH(MAX(Q352:U352),Q352:U352,0))))</f>
        <v>game of spades ruby</v>
      </c>
      <c r="W352" s="24" t="n">
        <f aca="false">IFERROR(INDEX('Semrush Data'!$A$1:$Z$20000,MATCH(V352,'Semrush Data'!$A$1:$A$20000,0),MATCH("Volume",'Semrush Data'!$A$1:$Z$1,0)),"")</f>
        <v>20</v>
      </c>
      <c r="X352" s="24" t="n">
        <f aca="false">IFERROR(INDEX('Semrush Data'!$A$1:$Z$20000,MATCH(V352,'Semrush Data'!$A$1:$A$20000,0),MATCH("Keyword Difficulty*",'Semrush Data'!$A$1:$Z$1,0)),"")</f>
        <v>21</v>
      </c>
      <c r="Y352" s="26" t="n">
        <f aca="false">IFERROR(INDEX('Semrush Data'!$A$1:$Z$20000,MATCH(V352,'Semrush Data'!$A$1:$A$20000,0),MATCH("CPC*",'Semrush Data'!$A$1:$Z$1,0)),"")</f>
        <v>0</v>
      </c>
      <c r="Z352" s="23" t="s">
        <v>4336</v>
      </c>
      <c r="AA352" s="23" t="s">
        <v>4426</v>
      </c>
      <c r="AB352" s="23" t="s">
        <v>4427</v>
      </c>
      <c r="AC352" s="23" t="s">
        <v>4428</v>
      </c>
      <c r="AD352" s="27" t="n">
        <f aca="false">LEN(AC352)</f>
        <v>54</v>
      </c>
      <c r="AE352" s="23" t="s">
        <v>4429</v>
      </c>
      <c r="AF352" s="27" t="n">
        <f aca="false">LEN(AE352)</f>
        <v>155</v>
      </c>
    </row>
    <row r="353" customFormat="false" ht="15" hidden="false" customHeight="true" outlineLevel="0" collapsed="false">
      <c r="A353" s="23" t="s">
        <v>99</v>
      </c>
      <c r="B353" s="23" t="s">
        <v>2449</v>
      </c>
      <c r="C353" s="23" t="n">
        <v>193</v>
      </c>
      <c r="D353" s="23" t="s">
        <v>4284</v>
      </c>
      <c r="E353" s="23" t="s">
        <v>4285</v>
      </c>
      <c r="F353" s="23" t="s">
        <v>2452</v>
      </c>
      <c r="G353" s="23" t="s">
        <v>2453</v>
      </c>
      <c r="H353" s="23" t="s">
        <v>2538</v>
      </c>
      <c r="I353" s="23" t="s">
        <v>100</v>
      </c>
      <c r="J353" s="23" t="s">
        <v>1994</v>
      </c>
      <c r="K353" s="23" t="n">
        <v>94.99</v>
      </c>
      <c r="L353" s="23" t="s">
        <v>4430</v>
      </c>
      <c r="M353" s="23" t="s">
        <v>4431</v>
      </c>
      <c r="N353" s="23" t="s">
        <v>4432</v>
      </c>
      <c r="O353" s="23" t="s">
        <v>4433</v>
      </c>
      <c r="P353" s="23" t="s">
        <v>4434</v>
      </c>
      <c r="Q353" s="24" t="n">
        <f aca="false">IF(L353="","",IFERROR(INDEX('Semrush Data'!$A$1:$Z$20000,MATCH(L353,'Semrush Data'!$A$1:$A$20000,0),MATCH("Volume",'Semrush Data'!$A$1:$Z$1,0)),""))</f>
        <v>880</v>
      </c>
      <c r="R353" s="24" t="n">
        <f aca="false">IF(M353="","",IFERROR(INDEX('Semrush Data'!$A$1:$Z$20000,MATCH(M353,'Semrush Data'!$A$1:$A$20000,0),MATCH("Volume",'Semrush Data'!$A$1:$Z$1,0)),""))</f>
        <v>20</v>
      </c>
      <c r="S353" s="24" t="str">
        <f aca="false">IF(N353="","",IFERROR(INDEX('Semrush Data'!$A$1:$Z$20000,MATCH(N353,'Semrush Data'!$A$1:$A$20000,0),MATCH("Volume",'Semrush Data'!$A$1:$Z$1,0)),""))</f>
        <v/>
      </c>
      <c r="T353" s="24" t="str">
        <f aca="false">IF(O353="","",IFERROR(INDEX('Semrush Data'!$A$1:$Z$20000,MATCH(O353,'Semrush Data'!$A$1:$A$20000,0),MATCH("Volume",'Semrush Data'!$A$1:$Z$1,0)),""))</f>
        <v/>
      </c>
      <c r="U353" s="24" t="n">
        <f aca="false">IF(P353="","",IFERROR(INDEX('Semrush Data'!$A$1:$Z$20000,MATCH(P353,'Semrush Data'!$A$1:$A$20000,0),MATCH("Volume",'Semrush Data'!$A$1:$Z$1,0)),""))</f>
        <v>0</v>
      </c>
      <c r="V353" s="25" t="str">
        <f aca="false">IF(COUNT(Q353:U353)=0,L353,IF(MAX(Q353:U353)=0,L353,INDEX(L353:P353,MATCH(MAX(Q353:U353),Q353:U353,0))))</f>
        <v>game of spades wildcard</v>
      </c>
      <c r="W353" s="24" t="n">
        <f aca="false">IFERROR(INDEX('Semrush Data'!$A$1:$Z$20000,MATCH(V353,'Semrush Data'!$A$1:$A$20000,0),MATCH("Volume",'Semrush Data'!$A$1:$Z$1,0)),"")</f>
        <v>880</v>
      </c>
      <c r="X353" s="24" t="n">
        <f aca="false">IFERROR(INDEX('Semrush Data'!$A$1:$Z$20000,MATCH(V353,'Semrush Data'!$A$1:$A$20000,0),MATCH("Keyword Difficulty*",'Semrush Data'!$A$1:$Z$1,0)),"")</f>
        <v>29</v>
      </c>
      <c r="Y353" s="26" t="n">
        <f aca="false">IFERROR(INDEX('Semrush Data'!$A$1:$Z$20000,MATCH(V353,'Semrush Data'!$A$1:$A$20000,0),MATCH("CPC*",'Semrush Data'!$A$1:$Z$1,0)),"")</f>
        <v>0.56</v>
      </c>
      <c r="Z353" s="23" t="s">
        <v>4336</v>
      </c>
      <c r="AA353" s="23" t="s">
        <v>4435</v>
      </c>
      <c r="AB353" s="23" t="s">
        <v>4436</v>
      </c>
      <c r="AC353" s="23" t="s">
        <v>4437</v>
      </c>
      <c r="AD353" s="27" t="n">
        <f aca="false">LEN(AC353)</f>
        <v>58</v>
      </c>
      <c r="AE353" s="23" t="s">
        <v>4438</v>
      </c>
      <c r="AF353" s="27" t="n">
        <f aca="false">LEN(AE353)</f>
        <v>159</v>
      </c>
    </row>
    <row r="354" customFormat="false" ht="15" hidden="false" customHeight="true" outlineLevel="0" collapsed="false">
      <c r="A354" s="23" t="s">
        <v>4439</v>
      </c>
      <c r="B354" s="23" t="s">
        <v>2449</v>
      </c>
      <c r="C354" s="23" t="n">
        <v>194</v>
      </c>
      <c r="D354" s="23" t="s">
        <v>4284</v>
      </c>
      <c r="E354" s="23" t="s">
        <v>4285</v>
      </c>
      <c r="F354" s="23" t="s">
        <v>2452</v>
      </c>
      <c r="G354" s="23" t="s">
        <v>2453</v>
      </c>
      <c r="H354" s="23" t="s">
        <v>2608</v>
      </c>
      <c r="I354" s="23" t="s">
        <v>4440</v>
      </c>
      <c r="J354" s="23" t="s">
        <v>1994</v>
      </c>
      <c r="K354" s="23" t="n">
        <v>79.99</v>
      </c>
      <c r="L354" s="23" t="s">
        <v>4441</v>
      </c>
      <c r="M354" s="23" t="s">
        <v>4442</v>
      </c>
      <c r="N354" s="23" t="s">
        <v>4443</v>
      </c>
      <c r="O354" s="23" t="s">
        <v>4444</v>
      </c>
      <c r="P354" s="23" t="s">
        <v>4445</v>
      </c>
      <c r="Q354" s="24" t="n">
        <f aca="false">IF(L354="","",IFERROR(INDEX('Semrush Data'!$A$1:$Z$20000,MATCH(L354,'Semrush Data'!$A$1:$A$20000,0),MATCH("Volume",'Semrush Data'!$A$1:$Z$1,0)),""))</f>
        <v>110</v>
      </c>
      <c r="R354" s="24" t="n">
        <f aca="false">IF(M354="","",IFERROR(INDEX('Semrush Data'!$A$1:$Z$20000,MATCH(M354,'Semrush Data'!$A$1:$A$20000,0),MATCH("Volume",'Semrush Data'!$A$1:$Z$1,0)),""))</f>
        <v>0</v>
      </c>
      <c r="S354" s="24" t="str">
        <f aca="false">IF(N354="","",IFERROR(INDEX('Semrush Data'!$A$1:$Z$20000,MATCH(N354,'Semrush Data'!$A$1:$A$20000,0),MATCH("Volume",'Semrush Data'!$A$1:$Z$1,0)),""))</f>
        <v/>
      </c>
      <c r="T354" s="24" t="str">
        <f aca="false">IF(O354="","",IFERROR(INDEX('Semrush Data'!$A$1:$Z$20000,MATCH(O354,'Semrush Data'!$A$1:$A$20000,0),MATCH("Volume",'Semrush Data'!$A$1:$Z$1,0)),""))</f>
        <v/>
      </c>
      <c r="U354" s="24" t="n">
        <f aca="false">IF(P354="","",IFERROR(INDEX('Semrush Data'!$A$1:$Z$20000,MATCH(P354,'Semrush Data'!$A$1:$A$20000,0),MATCH("Volume",'Semrush Data'!$A$1:$Z$1,0)),""))</f>
        <v>0</v>
      </c>
      <c r="V354" s="25" t="str">
        <f aca="false">IF(COUNT(Q354:U354)=0,L354,IF(MAX(Q354:U354)=0,L354,INDEX(L354:P354,MATCH(MAX(Q354:U354),Q354:U354,0))))</f>
        <v>game of spades win</v>
      </c>
      <c r="W354" s="24" t="n">
        <f aca="false">IFERROR(INDEX('Semrush Data'!$A$1:$Z$20000,MATCH(V354,'Semrush Data'!$A$1:$A$20000,0),MATCH("Volume",'Semrush Data'!$A$1:$Z$1,0)),"")</f>
        <v>110</v>
      </c>
      <c r="X354" s="24" t="n">
        <f aca="false">IFERROR(INDEX('Semrush Data'!$A$1:$Z$20000,MATCH(V354,'Semrush Data'!$A$1:$A$20000,0),MATCH("Keyword Difficulty*",'Semrush Data'!$A$1:$Z$1,0)),"")</f>
        <v>25</v>
      </c>
      <c r="Y354" s="26" t="n">
        <f aca="false">IFERROR(INDEX('Semrush Data'!$A$1:$Z$20000,MATCH(V354,'Semrush Data'!$A$1:$A$20000,0),MATCH("CPC*",'Semrush Data'!$A$1:$Z$1,0)),"")</f>
        <v>0</v>
      </c>
      <c r="Z354" s="23" t="s">
        <v>4292</v>
      </c>
      <c r="AA354" s="23" t="s">
        <v>4446</v>
      </c>
      <c r="AB354" s="23" t="s">
        <v>4447</v>
      </c>
      <c r="AC354" s="23" t="s">
        <v>4448</v>
      </c>
      <c r="AD354" s="27" t="n">
        <f aca="false">LEN(AC354)</f>
        <v>51</v>
      </c>
      <c r="AE354" s="23" t="s">
        <v>4449</v>
      </c>
      <c r="AF354" s="27" t="n">
        <f aca="false">LEN(AE354)</f>
        <v>137</v>
      </c>
    </row>
    <row r="355" customFormat="false" ht="15" hidden="false" customHeight="true" outlineLevel="0" collapsed="false">
      <c r="A355" s="23" t="s">
        <v>4450</v>
      </c>
      <c r="B355" s="23" t="s">
        <v>2449</v>
      </c>
      <c r="C355" s="23" t="n">
        <v>195</v>
      </c>
      <c r="D355" s="23" t="s">
        <v>4284</v>
      </c>
      <c r="E355" s="23" t="s">
        <v>4285</v>
      </c>
      <c r="F355" s="23" t="s">
        <v>2452</v>
      </c>
      <c r="G355" s="23" t="s">
        <v>2453</v>
      </c>
      <c r="H355" s="23" t="s">
        <v>2538</v>
      </c>
      <c r="I355" s="23" t="s">
        <v>4451</v>
      </c>
      <c r="J355" s="23" t="s">
        <v>1994</v>
      </c>
      <c r="K355" s="23" t="n">
        <v>76.99</v>
      </c>
      <c r="L355" s="23" t="s">
        <v>4452</v>
      </c>
      <c r="M355" s="23" t="s">
        <v>4453</v>
      </c>
      <c r="N355" s="23" t="s">
        <v>4454</v>
      </c>
      <c r="O355" s="23" t="s">
        <v>4455</v>
      </c>
      <c r="P355" s="23" t="s">
        <v>4456</v>
      </c>
      <c r="Q355" s="24" t="n">
        <f aca="false">IF(L355="","",IFERROR(INDEX('Semrush Data'!$A$1:$Z$20000,MATCH(L355,'Semrush Data'!$A$1:$A$20000,0),MATCH("Volume",'Semrush Data'!$A$1:$Z$1,0)),""))</f>
        <v>20</v>
      </c>
      <c r="R355" s="24" t="str">
        <f aca="false">IF(M355="","",IFERROR(INDEX('Semrush Data'!$A$1:$Z$20000,MATCH(M355,'Semrush Data'!$A$1:$A$20000,0),MATCH("Volume",'Semrush Data'!$A$1:$Z$1,0)),""))</f>
        <v/>
      </c>
      <c r="S355" s="24" t="str">
        <f aca="false">IF(N355="","",IFERROR(INDEX('Semrush Data'!$A$1:$Z$20000,MATCH(N355,'Semrush Data'!$A$1:$A$20000,0),MATCH("Volume",'Semrush Data'!$A$1:$Z$1,0)),""))</f>
        <v/>
      </c>
      <c r="T355" s="24" t="str">
        <f aca="false">IF(O355="","",IFERROR(INDEX('Semrush Data'!$A$1:$Z$20000,MATCH(O355,'Semrush Data'!$A$1:$A$20000,0),MATCH("Volume",'Semrush Data'!$A$1:$Z$1,0)),""))</f>
        <v/>
      </c>
      <c r="U355" s="24" t="str">
        <f aca="false">IF(P355="","",IFERROR(INDEX('Semrush Data'!$A$1:$Z$20000,MATCH(P355,'Semrush Data'!$A$1:$A$20000,0),MATCH("Volume",'Semrush Data'!$A$1:$Z$1,0)),""))</f>
        <v/>
      </c>
      <c r="V355" s="25" t="str">
        <f aca="false">IF(COUNT(Q355:U355)=0,L355,IF(MAX(Q355:U355)=0,L355,INDEX(L355:P355,MATCH(MAX(Q355:U355),Q355:U355,0))))</f>
        <v>game of spades yellow sapphire</v>
      </c>
      <c r="W355" s="24" t="n">
        <f aca="false">IFERROR(INDEX('Semrush Data'!$A$1:$Z$20000,MATCH(V355,'Semrush Data'!$A$1:$A$20000,0),MATCH("Volume",'Semrush Data'!$A$1:$Z$1,0)),"")</f>
        <v>20</v>
      </c>
      <c r="X355" s="24" t="n">
        <f aca="false">IFERROR(INDEX('Semrush Data'!$A$1:$Z$20000,MATCH(V355,'Semrush Data'!$A$1:$A$20000,0),MATCH("Keyword Difficulty*",'Semrush Data'!$A$1:$Z$1,0)),"")</f>
        <v>22</v>
      </c>
      <c r="Y355" s="26" t="n">
        <f aca="false">IFERROR(INDEX('Semrush Data'!$A$1:$Z$20000,MATCH(V355,'Semrush Data'!$A$1:$A$20000,0),MATCH("CPC*",'Semrush Data'!$A$1:$Z$1,0)),"")</f>
        <v>0</v>
      </c>
      <c r="Z355" s="23" t="s">
        <v>4336</v>
      </c>
      <c r="AA355" s="23" t="s">
        <v>4457</v>
      </c>
      <c r="AB355" s="23" t="s">
        <v>4458</v>
      </c>
      <c r="AC355" s="23" t="s">
        <v>4459</v>
      </c>
      <c r="AD355" s="27" t="n">
        <f aca="false">LEN(AC355)</f>
        <v>57</v>
      </c>
      <c r="AE355" s="23" t="s">
        <v>4460</v>
      </c>
      <c r="AF355" s="27" t="n">
        <f aca="false">LEN(AE355)</f>
        <v>159</v>
      </c>
    </row>
    <row r="356" customFormat="false" ht="15" hidden="false" customHeight="true" outlineLevel="0" collapsed="false">
      <c r="A356" s="23" t="s">
        <v>4461</v>
      </c>
      <c r="B356" s="23" t="s">
        <v>2449</v>
      </c>
      <c r="C356" s="23" t="n">
        <v>196</v>
      </c>
      <c r="D356" s="23" t="s">
        <v>4284</v>
      </c>
      <c r="E356" s="23" t="s">
        <v>4285</v>
      </c>
      <c r="F356" s="23" t="s">
        <v>2452</v>
      </c>
      <c r="G356" s="23" t="s">
        <v>2453</v>
      </c>
      <c r="H356" s="23" t="s">
        <v>2608</v>
      </c>
      <c r="I356" s="23" t="s">
        <v>4462</v>
      </c>
      <c r="J356" s="23" t="s">
        <v>1994</v>
      </c>
      <c r="K356" s="23" t="n">
        <v>17.99</v>
      </c>
      <c r="L356" s="23" t="s">
        <v>4463</v>
      </c>
      <c r="M356" s="23" t="s">
        <v>4464</v>
      </c>
      <c r="N356" s="23" t="s">
        <v>4465</v>
      </c>
      <c r="O356" s="23" t="s">
        <v>4466</v>
      </c>
      <c r="P356" s="23" t="s">
        <v>4467</v>
      </c>
      <c r="Q356" s="24" t="n">
        <f aca="false">IF(L356="","",IFERROR(INDEX('Semrush Data'!$A$1:$Z$20000,MATCH(L356,'Semrush Data'!$A$1:$A$20000,0),MATCH("Volume",'Semrush Data'!$A$1:$Z$1,0)),""))</f>
        <v>0</v>
      </c>
      <c r="R356" s="24" t="str">
        <f aca="false">IF(M356="","",IFERROR(INDEX('Semrush Data'!$A$1:$Z$20000,MATCH(M356,'Semrush Data'!$A$1:$A$20000,0),MATCH("Volume",'Semrush Data'!$A$1:$Z$1,0)),""))</f>
        <v/>
      </c>
      <c r="S356" s="24" t="str">
        <f aca="false">IF(N356="","",IFERROR(INDEX('Semrush Data'!$A$1:$Z$20000,MATCH(N356,'Semrush Data'!$A$1:$A$20000,0),MATCH("Volume",'Semrush Data'!$A$1:$Z$1,0)),""))</f>
        <v/>
      </c>
      <c r="T356" s="24" t="str">
        <f aca="false">IF(O356="","",IFERROR(INDEX('Semrush Data'!$A$1:$Z$20000,MATCH(O356,'Semrush Data'!$A$1:$A$20000,0),MATCH("Volume",'Semrush Data'!$A$1:$Z$1,0)),""))</f>
        <v/>
      </c>
      <c r="U356" s="24" t="str">
        <f aca="false">IF(P356="","",IFERROR(INDEX('Semrush Data'!$A$1:$Z$20000,MATCH(P356,'Semrush Data'!$A$1:$A$20000,0),MATCH("Volume",'Semrush Data'!$A$1:$Z$1,0)),""))</f>
        <v/>
      </c>
      <c r="V356" s="25" t="str">
        <f aca="false">IF(COUNT(Q356:U356)=0,L356,IF(MAX(Q356:U356)=0,L356,INDEX(L356:P356,MATCH(MAX(Q356:U356),Q356:U356,0))))</f>
        <v>maison de milan amalfi bleu</v>
      </c>
      <c r="W356" s="24" t="n">
        <f aca="false">IFERROR(INDEX('Semrush Data'!$A$1:$Z$20000,MATCH(V356,'Semrush Data'!$A$1:$A$20000,0),MATCH("Volume",'Semrush Data'!$A$1:$Z$1,0)),"")</f>
        <v>0</v>
      </c>
      <c r="X356" s="24" t="n">
        <f aca="false">IFERROR(INDEX('Semrush Data'!$A$1:$Z$20000,MATCH(V356,'Semrush Data'!$A$1:$A$20000,0),MATCH("Keyword Difficulty*",'Semrush Data'!$A$1:$Z$1,0)),"")</f>
        <v>27</v>
      </c>
      <c r="Y356" s="26" t="n">
        <f aca="false">IFERROR(INDEX('Semrush Data'!$A$1:$Z$20000,MATCH(V356,'Semrush Data'!$A$1:$A$20000,0),MATCH("CPC*",'Semrush Data'!$A$1:$Z$1,0)),"")</f>
        <v>0</v>
      </c>
      <c r="Z356" s="23" t="s">
        <v>4292</v>
      </c>
      <c r="AA356" s="23"/>
      <c r="AB356" s="23" t="s">
        <v>4468</v>
      </c>
      <c r="AC356" s="23" t="s">
        <v>4469</v>
      </c>
      <c r="AD356" s="27" t="n">
        <f aca="false">LEN(AC356)</f>
        <v>54</v>
      </c>
      <c r="AE356" s="23" t="s">
        <v>4470</v>
      </c>
      <c r="AF356" s="27" t="n">
        <f aca="false">LEN(AE356)</f>
        <v>146</v>
      </c>
    </row>
    <row r="357" customFormat="false" ht="15" hidden="false" customHeight="true" outlineLevel="0" collapsed="false">
      <c r="A357" s="23" t="s">
        <v>4471</v>
      </c>
      <c r="B357" s="23" t="s">
        <v>2449</v>
      </c>
      <c r="C357" s="23" t="n">
        <v>197</v>
      </c>
      <c r="D357" s="23" t="s">
        <v>4284</v>
      </c>
      <c r="E357" s="23" t="s">
        <v>4285</v>
      </c>
      <c r="F357" s="23" t="s">
        <v>2452</v>
      </c>
      <c r="G357" s="23" t="s">
        <v>2453</v>
      </c>
      <c r="H357" s="23" t="s">
        <v>2516</v>
      </c>
      <c r="I357" s="23" t="s">
        <v>4472</v>
      </c>
      <c r="J357" s="23" t="s">
        <v>1994</v>
      </c>
      <c r="K357" s="23" t="n">
        <v>17.99</v>
      </c>
      <c r="L357" s="23" t="s">
        <v>4473</v>
      </c>
      <c r="M357" s="23" t="s">
        <v>4474</v>
      </c>
      <c r="N357" s="23" t="s">
        <v>4475</v>
      </c>
      <c r="O357" s="23" t="s">
        <v>4476</v>
      </c>
      <c r="P357" s="23" t="s">
        <v>4477</v>
      </c>
      <c r="Q357" s="24" t="n">
        <f aca="false">IF(L357="","",IFERROR(INDEX('Semrush Data'!$A$1:$Z$20000,MATCH(L357,'Semrush Data'!$A$1:$A$20000,0),MATCH("Volume",'Semrush Data'!$A$1:$Z$1,0)),""))</f>
        <v>0</v>
      </c>
      <c r="R357" s="24" t="str">
        <f aca="false">IF(M357="","",IFERROR(INDEX('Semrush Data'!$A$1:$Z$20000,MATCH(M357,'Semrush Data'!$A$1:$A$20000,0),MATCH("Volume",'Semrush Data'!$A$1:$Z$1,0)),""))</f>
        <v/>
      </c>
      <c r="S357" s="24" t="str">
        <f aca="false">IF(N357="","",IFERROR(INDEX('Semrush Data'!$A$1:$Z$20000,MATCH(N357,'Semrush Data'!$A$1:$A$20000,0),MATCH("Volume",'Semrush Data'!$A$1:$Z$1,0)),""))</f>
        <v/>
      </c>
      <c r="T357" s="24" t="str">
        <f aca="false">IF(O357="","",IFERROR(INDEX('Semrush Data'!$A$1:$Z$20000,MATCH(O357,'Semrush Data'!$A$1:$A$20000,0),MATCH("Volume",'Semrush Data'!$A$1:$Z$1,0)),""))</f>
        <v/>
      </c>
      <c r="U357" s="24" t="str">
        <f aca="false">IF(P357="","",IFERROR(INDEX('Semrush Data'!$A$1:$Z$20000,MATCH(P357,'Semrush Data'!$A$1:$A$20000,0),MATCH("Volume",'Semrush Data'!$A$1:$Z$1,0)),""))</f>
        <v/>
      </c>
      <c r="V357" s="25" t="str">
        <f aca="false">IF(COUNT(Q357:U357)=0,L357,IF(MAX(Q357:U357)=0,L357,INDEX(L357:P357,MATCH(MAX(Q357:U357),Q357:U357,0))))</f>
        <v>maison de milan bliss rouge</v>
      </c>
      <c r="W357" s="24" t="n">
        <f aca="false">IFERROR(INDEX('Semrush Data'!$A$1:$Z$20000,MATCH(V357,'Semrush Data'!$A$1:$A$20000,0),MATCH("Volume",'Semrush Data'!$A$1:$Z$1,0)),"")</f>
        <v>0</v>
      </c>
      <c r="X357" s="24" t="n">
        <f aca="false">IFERROR(INDEX('Semrush Data'!$A$1:$Z$20000,MATCH(V357,'Semrush Data'!$A$1:$A$20000,0),MATCH("Keyword Difficulty*",'Semrush Data'!$A$1:$Z$1,0)),"")</f>
        <v>14</v>
      </c>
      <c r="Y357" s="26" t="n">
        <f aca="false">IFERROR(INDEX('Semrush Data'!$A$1:$Z$20000,MATCH(V357,'Semrush Data'!$A$1:$A$20000,0),MATCH("CPC*",'Semrush Data'!$A$1:$Z$1,0)),"")</f>
        <v>0</v>
      </c>
      <c r="Z357" s="23" t="s">
        <v>4478</v>
      </c>
      <c r="AA357" s="23"/>
      <c r="AB357" s="23" t="s">
        <v>4479</v>
      </c>
      <c r="AC357" s="23" t="s">
        <v>4480</v>
      </c>
      <c r="AD357" s="27" t="n">
        <f aca="false">LEN(AC357)</f>
        <v>54</v>
      </c>
      <c r="AE357" s="23" t="s">
        <v>4481</v>
      </c>
      <c r="AF357" s="27" t="n">
        <f aca="false">LEN(AE357)</f>
        <v>148</v>
      </c>
    </row>
    <row r="358" customFormat="false" ht="15" hidden="false" customHeight="true" outlineLevel="0" collapsed="false">
      <c r="A358" s="23" t="s">
        <v>4482</v>
      </c>
      <c r="B358" s="23" t="s">
        <v>2449</v>
      </c>
      <c r="C358" s="23" t="n">
        <v>198</v>
      </c>
      <c r="D358" s="23" t="s">
        <v>4284</v>
      </c>
      <c r="E358" s="23" t="s">
        <v>4285</v>
      </c>
      <c r="F358" s="23" t="s">
        <v>2452</v>
      </c>
      <c r="G358" s="23" t="s">
        <v>2453</v>
      </c>
      <c r="H358" s="23" t="s">
        <v>2583</v>
      </c>
      <c r="I358" s="23" t="s">
        <v>4483</v>
      </c>
      <c r="J358" s="23" t="s">
        <v>1994</v>
      </c>
      <c r="K358" s="23" t="n">
        <v>17.99</v>
      </c>
      <c r="L358" s="23" t="s">
        <v>4484</v>
      </c>
      <c r="M358" s="23" t="s">
        <v>4485</v>
      </c>
      <c r="N358" s="23" t="s">
        <v>4486</v>
      </c>
      <c r="O358" s="23" t="s">
        <v>4487</v>
      </c>
      <c r="P358" s="23" t="s">
        <v>4488</v>
      </c>
      <c r="Q358" s="24" t="n">
        <f aca="false">IF(L358="","",IFERROR(INDEX('Semrush Data'!$A$1:$Z$20000,MATCH(L358,'Semrush Data'!$A$1:$A$20000,0),MATCH("Volume",'Semrush Data'!$A$1:$Z$1,0)),""))</f>
        <v>0</v>
      </c>
      <c r="R358" s="24" t="str">
        <f aca="false">IF(M358="","",IFERROR(INDEX('Semrush Data'!$A$1:$Z$20000,MATCH(M358,'Semrush Data'!$A$1:$A$20000,0),MATCH("Volume",'Semrush Data'!$A$1:$Z$1,0)),""))</f>
        <v/>
      </c>
      <c r="S358" s="24" t="str">
        <f aca="false">IF(N358="","",IFERROR(INDEX('Semrush Data'!$A$1:$Z$20000,MATCH(N358,'Semrush Data'!$A$1:$A$20000,0),MATCH("Volume",'Semrush Data'!$A$1:$Z$1,0)),""))</f>
        <v/>
      </c>
      <c r="T358" s="24" t="str">
        <f aca="false">IF(O358="","",IFERROR(INDEX('Semrush Data'!$A$1:$Z$20000,MATCH(O358,'Semrush Data'!$A$1:$A$20000,0),MATCH("Volume",'Semrush Data'!$A$1:$Z$1,0)),""))</f>
        <v/>
      </c>
      <c r="U358" s="24" t="str">
        <f aca="false">IF(P358="","",IFERROR(INDEX('Semrush Data'!$A$1:$Z$20000,MATCH(P358,'Semrush Data'!$A$1:$A$20000,0),MATCH("Volume",'Semrush Data'!$A$1:$Z$1,0)),""))</f>
        <v/>
      </c>
      <c r="V358" s="25" t="str">
        <f aca="false">IF(COUNT(Q358:U358)=0,L358,IF(MAX(Q358:U358)=0,L358,INDEX(L358:P358,MATCH(MAX(Q358:U358),Q358:U358,0))))</f>
        <v>maison de milan brave lad</v>
      </c>
      <c r="W358" s="24" t="n">
        <f aca="false">IFERROR(INDEX('Semrush Data'!$A$1:$Z$20000,MATCH(V358,'Semrush Data'!$A$1:$A$20000,0),MATCH("Volume",'Semrush Data'!$A$1:$Z$1,0)),"")</f>
        <v>0</v>
      </c>
      <c r="X358" s="24" t="n">
        <f aca="false">IFERROR(INDEX('Semrush Data'!$A$1:$Z$20000,MATCH(V358,'Semrush Data'!$A$1:$A$20000,0),MATCH("Keyword Difficulty*",'Semrush Data'!$A$1:$Z$1,0)),"")</f>
        <v>22</v>
      </c>
      <c r="Y358" s="26" t="n">
        <f aca="false">IFERROR(INDEX('Semrush Data'!$A$1:$Z$20000,MATCH(V358,'Semrush Data'!$A$1:$A$20000,0),MATCH("CPC*",'Semrush Data'!$A$1:$Z$1,0)),"")</f>
        <v>0</v>
      </c>
      <c r="Z358" s="23" t="s">
        <v>4304</v>
      </c>
      <c r="AA358" s="23"/>
      <c r="AB358" s="23" t="s">
        <v>4489</v>
      </c>
      <c r="AC358" s="23" t="s">
        <v>4490</v>
      </c>
      <c r="AD358" s="27" t="n">
        <f aca="false">LEN(AC358)</f>
        <v>52</v>
      </c>
      <c r="AE358" s="23" t="s">
        <v>4491</v>
      </c>
      <c r="AF358" s="27" t="n">
        <f aca="false">LEN(AE358)</f>
        <v>145</v>
      </c>
    </row>
    <row r="359" customFormat="false" ht="15" hidden="false" customHeight="true" outlineLevel="0" collapsed="false">
      <c r="A359" s="23" t="s">
        <v>4492</v>
      </c>
      <c r="B359" s="23" t="s">
        <v>2449</v>
      </c>
      <c r="C359" s="23" t="n">
        <v>199</v>
      </c>
      <c r="D359" s="23" t="s">
        <v>4284</v>
      </c>
      <c r="E359" s="23" t="s">
        <v>4285</v>
      </c>
      <c r="F359" s="23" t="s">
        <v>2452</v>
      </c>
      <c r="G359" s="23" t="s">
        <v>2453</v>
      </c>
      <c r="H359" s="23" t="s">
        <v>2516</v>
      </c>
      <c r="I359" s="23" t="s">
        <v>4493</v>
      </c>
      <c r="J359" s="23" t="s">
        <v>1994</v>
      </c>
      <c r="K359" s="23" t="n">
        <v>17.99</v>
      </c>
      <c r="L359" s="23" t="s">
        <v>4494</v>
      </c>
      <c r="M359" s="23" t="s">
        <v>4495</v>
      </c>
      <c r="N359" s="23" t="s">
        <v>4496</v>
      </c>
      <c r="O359" s="23" t="s">
        <v>4497</v>
      </c>
      <c r="P359" s="23" t="s">
        <v>4498</v>
      </c>
      <c r="Q359" s="24" t="n">
        <f aca="false">IF(L359="","",IFERROR(INDEX('Semrush Data'!$A$1:$Z$20000,MATCH(L359,'Semrush Data'!$A$1:$A$20000,0),MATCH("Volume",'Semrush Data'!$A$1:$Z$1,0)),""))</f>
        <v>0</v>
      </c>
      <c r="R359" s="24" t="str">
        <f aca="false">IF(M359="","",IFERROR(INDEX('Semrush Data'!$A$1:$Z$20000,MATCH(M359,'Semrush Data'!$A$1:$A$20000,0),MATCH("Volume",'Semrush Data'!$A$1:$Z$1,0)),""))</f>
        <v/>
      </c>
      <c r="S359" s="24" t="str">
        <f aca="false">IF(N359="","",IFERROR(INDEX('Semrush Data'!$A$1:$Z$20000,MATCH(N359,'Semrush Data'!$A$1:$A$20000,0),MATCH("Volume",'Semrush Data'!$A$1:$Z$1,0)),""))</f>
        <v/>
      </c>
      <c r="T359" s="24" t="str">
        <f aca="false">IF(O359="","",IFERROR(INDEX('Semrush Data'!$A$1:$Z$20000,MATCH(O359,'Semrush Data'!$A$1:$A$20000,0),MATCH("Volume",'Semrush Data'!$A$1:$Z$1,0)),""))</f>
        <v/>
      </c>
      <c r="U359" s="24" t="str">
        <f aca="false">IF(P359="","",IFERROR(INDEX('Semrush Data'!$A$1:$Z$20000,MATCH(P359,'Semrush Data'!$A$1:$A$20000,0),MATCH("Volume",'Semrush Data'!$A$1:$Z$1,0)),""))</f>
        <v/>
      </c>
      <c r="V359" s="25" t="str">
        <f aca="false">IF(COUNT(Q359:U359)=0,L359,IF(MAX(Q359:U359)=0,L359,INDEX(L359:P359,MATCH(MAX(Q359:U359),Q359:U359,0))))</f>
        <v>maison de milan delight pour femme</v>
      </c>
      <c r="W359" s="24" t="n">
        <f aca="false">IFERROR(INDEX('Semrush Data'!$A$1:$Z$20000,MATCH(V359,'Semrush Data'!$A$1:$A$20000,0),MATCH("Volume",'Semrush Data'!$A$1:$Z$1,0)),"")</f>
        <v>0</v>
      </c>
      <c r="X359" s="24" t="n">
        <f aca="false">IFERROR(INDEX('Semrush Data'!$A$1:$Z$20000,MATCH(V359,'Semrush Data'!$A$1:$A$20000,0),MATCH("Keyword Difficulty*",'Semrush Data'!$A$1:$Z$1,0)),"")</f>
        <v>24</v>
      </c>
      <c r="Y359" s="26" t="n">
        <f aca="false">IFERROR(INDEX('Semrush Data'!$A$1:$Z$20000,MATCH(V359,'Semrush Data'!$A$1:$A$20000,0),MATCH("CPC*",'Semrush Data'!$A$1:$Z$1,0)),"")</f>
        <v>0</v>
      </c>
      <c r="Z359" s="23" t="s">
        <v>4478</v>
      </c>
      <c r="AA359" s="23"/>
      <c r="AB359" s="23" t="s">
        <v>4499</v>
      </c>
      <c r="AC359" s="23" t="s">
        <v>4500</v>
      </c>
      <c r="AD359" s="27" t="n">
        <f aca="false">LEN(AC359)</f>
        <v>58</v>
      </c>
      <c r="AE359" s="23" t="s">
        <v>4501</v>
      </c>
      <c r="AF359" s="27" t="n">
        <f aca="false">LEN(AE359)</f>
        <v>155</v>
      </c>
    </row>
    <row r="360" customFormat="false" ht="15" hidden="false" customHeight="true" outlineLevel="0" collapsed="false">
      <c r="A360" s="23" t="s">
        <v>4502</v>
      </c>
      <c r="B360" s="23" t="s">
        <v>2449</v>
      </c>
      <c r="C360" s="23" t="n">
        <v>200</v>
      </c>
      <c r="D360" s="23" t="s">
        <v>4284</v>
      </c>
      <c r="E360" s="23" t="s">
        <v>4285</v>
      </c>
      <c r="F360" s="23" t="s">
        <v>2452</v>
      </c>
      <c r="G360" s="23" t="s">
        <v>2453</v>
      </c>
      <c r="H360" s="23" t="s">
        <v>2516</v>
      </c>
      <c r="I360" s="23" t="s">
        <v>4503</v>
      </c>
      <c r="J360" s="23" t="s">
        <v>1994</v>
      </c>
      <c r="K360" s="23" t="n">
        <v>17.99</v>
      </c>
      <c r="L360" s="23" t="s">
        <v>4504</v>
      </c>
      <c r="M360" s="23" t="s">
        <v>4505</v>
      </c>
      <c r="N360" s="23" t="s">
        <v>4506</v>
      </c>
      <c r="O360" s="23" t="s">
        <v>4507</v>
      </c>
      <c r="P360" s="23" t="s">
        <v>4508</v>
      </c>
      <c r="Q360" s="24" t="n">
        <f aca="false">IF(L360="","",IFERROR(INDEX('Semrush Data'!$A$1:$Z$20000,MATCH(L360,'Semrush Data'!$A$1:$A$20000,0),MATCH("Volume",'Semrush Data'!$A$1:$Z$1,0)),""))</f>
        <v>0</v>
      </c>
      <c r="R360" s="24" t="str">
        <f aca="false">IF(M360="","",IFERROR(INDEX('Semrush Data'!$A$1:$Z$20000,MATCH(M360,'Semrush Data'!$A$1:$A$20000,0),MATCH("Volume",'Semrush Data'!$A$1:$Z$1,0)),""))</f>
        <v/>
      </c>
      <c r="S360" s="24" t="str">
        <f aca="false">IF(N360="","",IFERROR(INDEX('Semrush Data'!$A$1:$Z$20000,MATCH(N360,'Semrush Data'!$A$1:$A$20000,0),MATCH("Volume",'Semrush Data'!$A$1:$Z$1,0)),""))</f>
        <v/>
      </c>
      <c r="T360" s="24" t="str">
        <f aca="false">IF(O360="","",IFERROR(INDEX('Semrush Data'!$A$1:$Z$20000,MATCH(O360,'Semrush Data'!$A$1:$A$20000,0),MATCH("Volume",'Semrush Data'!$A$1:$Z$1,0)),""))</f>
        <v/>
      </c>
      <c r="U360" s="24" t="str">
        <f aca="false">IF(P360="","",IFERROR(INDEX('Semrush Data'!$A$1:$Z$20000,MATCH(P360,'Semrush Data'!$A$1:$A$20000,0),MATCH("Volume",'Semrush Data'!$A$1:$Z$1,0)),""))</f>
        <v/>
      </c>
      <c r="V360" s="25" t="str">
        <f aca="false">IF(COUNT(Q360:U360)=0,L360,IF(MAX(Q360:U360)=0,L360,INDEX(L360:P360,MATCH(MAX(Q360:U360),Q360:U360,0))))</f>
        <v>maison de milan elegance pour femme</v>
      </c>
      <c r="W360" s="24" t="n">
        <f aca="false">IFERROR(INDEX('Semrush Data'!$A$1:$Z$20000,MATCH(V360,'Semrush Data'!$A$1:$A$20000,0),MATCH("Volume",'Semrush Data'!$A$1:$Z$1,0)),"")</f>
        <v>0</v>
      </c>
      <c r="X360" s="24" t="n">
        <f aca="false">IFERROR(INDEX('Semrush Data'!$A$1:$Z$20000,MATCH(V360,'Semrush Data'!$A$1:$A$20000,0),MATCH("Keyword Difficulty*",'Semrush Data'!$A$1:$Z$1,0)),"")</f>
        <v>28</v>
      </c>
      <c r="Y360" s="26" t="n">
        <f aca="false">IFERROR(INDEX('Semrush Data'!$A$1:$Z$20000,MATCH(V360,'Semrush Data'!$A$1:$A$20000,0),MATCH("CPC*",'Semrush Data'!$A$1:$Z$1,0)),"")</f>
        <v>0</v>
      </c>
      <c r="Z360" s="23" t="s">
        <v>4478</v>
      </c>
      <c r="AA360" s="23"/>
      <c r="AB360" s="23" t="s">
        <v>4509</v>
      </c>
      <c r="AC360" s="23" t="s">
        <v>4510</v>
      </c>
      <c r="AD360" s="27" t="n">
        <f aca="false">LEN(AC360)</f>
        <v>59</v>
      </c>
      <c r="AE360" s="23" t="s">
        <v>4511</v>
      </c>
      <c r="AF360" s="27" t="n">
        <f aca="false">LEN(AE360)</f>
        <v>156</v>
      </c>
    </row>
    <row r="361" customFormat="false" ht="15" hidden="false" customHeight="true" outlineLevel="0" collapsed="false">
      <c r="A361" s="23" t="s">
        <v>4512</v>
      </c>
      <c r="B361" s="23" t="s">
        <v>2449</v>
      </c>
      <c r="C361" s="23" t="n">
        <v>201</v>
      </c>
      <c r="D361" s="23" t="s">
        <v>4284</v>
      </c>
      <c r="E361" s="23" t="s">
        <v>4285</v>
      </c>
      <c r="F361" s="23" t="s">
        <v>2452</v>
      </c>
      <c r="G361" s="23" t="s">
        <v>2453</v>
      </c>
      <c r="H361" s="23" t="s">
        <v>2516</v>
      </c>
      <c r="I361" s="23" t="s">
        <v>4513</v>
      </c>
      <c r="J361" s="23" t="s">
        <v>1994</v>
      </c>
      <c r="K361" s="23" t="n">
        <v>17.99</v>
      </c>
      <c r="L361" s="23" t="s">
        <v>4514</v>
      </c>
      <c r="M361" s="23" t="s">
        <v>4515</v>
      </c>
      <c r="N361" s="23" t="s">
        <v>4516</v>
      </c>
      <c r="O361" s="23" t="s">
        <v>4517</v>
      </c>
      <c r="P361" s="23" t="s">
        <v>4518</v>
      </c>
      <c r="Q361" s="24" t="n">
        <f aca="false">IF(L361="","",IFERROR(INDEX('Semrush Data'!$A$1:$Z$20000,MATCH(L361,'Semrush Data'!$A$1:$A$20000,0),MATCH("Volume",'Semrush Data'!$A$1:$Z$1,0)),""))</f>
        <v>0</v>
      </c>
      <c r="R361" s="24" t="str">
        <f aca="false">IF(M361="","",IFERROR(INDEX('Semrush Data'!$A$1:$Z$20000,MATCH(M361,'Semrush Data'!$A$1:$A$20000,0),MATCH("Volume",'Semrush Data'!$A$1:$Z$1,0)),""))</f>
        <v/>
      </c>
      <c r="S361" s="24" t="str">
        <f aca="false">IF(N361="","",IFERROR(INDEX('Semrush Data'!$A$1:$Z$20000,MATCH(N361,'Semrush Data'!$A$1:$A$20000,0),MATCH("Volume",'Semrush Data'!$A$1:$Z$1,0)),""))</f>
        <v/>
      </c>
      <c r="T361" s="24" t="str">
        <f aca="false">IF(O361="","",IFERROR(INDEX('Semrush Data'!$A$1:$Z$20000,MATCH(O361,'Semrush Data'!$A$1:$A$20000,0),MATCH("Volume",'Semrush Data'!$A$1:$Z$1,0)),""))</f>
        <v/>
      </c>
      <c r="U361" s="24" t="str">
        <f aca="false">IF(P361="","",IFERROR(INDEX('Semrush Data'!$A$1:$Z$20000,MATCH(P361,'Semrush Data'!$A$1:$A$20000,0),MATCH("Volume",'Semrush Data'!$A$1:$Z$1,0)),""))</f>
        <v/>
      </c>
      <c r="V361" s="25" t="str">
        <f aca="false">IF(COUNT(Q361:U361)=0,L361,IF(MAX(Q361:U361)=0,L361,INDEX(L361:P361,MATCH(MAX(Q361:U361),Q361:U361,0))))</f>
        <v>maison de milan gossip pour femme</v>
      </c>
      <c r="W361" s="24" t="n">
        <f aca="false">IFERROR(INDEX('Semrush Data'!$A$1:$Z$20000,MATCH(V361,'Semrush Data'!$A$1:$A$20000,0),MATCH("Volume",'Semrush Data'!$A$1:$Z$1,0)),"")</f>
        <v>0</v>
      </c>
      <c r="X361" s="24" t="n">
        <f aca="false">IFERROR(INDEX('Semrush Data'!$A$1:$Z$20000,MATCH(V361,'Semrush Data'!$A$1:$A$20000,0),MATCH("Keyword Difficulty*",'Semrush Data'!$A$1:$Z$1,0)),"")</f>
        <v>24</v>
      </c>
      <c r="Y361" s="26" t="n">
        <f aca="false">IFERROR(INDEX('Semrush Data'!$A$1:$Z$20000,MATCH(V361,'Semrush Data'!$A$1:$A$20000,0),MATCH("CPC*",'Semrush Data'!$A$1:$Z$1,0)),"")</f>
        <v>0</v>
      </c>
      <c r="Z361" s="23" t="s">
        <v>4478</v>
      </c>
      <c r="AA361" s="23"/>
      <c r="AB361" s="23" t="s">
        <v>4519</v>
      </c>
      <c r="AC361" s="23" t="s">
        <v>4520</v>
      </c>
      <c r="AD361" s="27" t="n">
        <f aca="false">LEN(AC361)</f>
        <v>60</v>
      </c>
      <c r="AE361" s="23" t="s">
        <v>4521</v>
      </c>
      <c r="AF361" s="27" t="n">
        <f aca="false">LEN(AE361)</f>
        <v>154</v>
      </c>
    </row>
    <row r="362" customFormat="false" ht="15" hidden="false" customHeight="true" outlineLevel="0" collapsed="false">
      <c r="A362" s="23" t="s">
        <v>4522</v>
      </c>
      <c r="B362" s="23" t="s">
        <v>2449</v>
      </c>
      <c r="C362" s="23" t="n">
        <v>202</v>
      </c>
      <c r="D362" s="23" t="s">
        <v>4284</v>
      </c>
      <c r="E362" s="23" t="s">
        <v>4285</v>
      </c>
      <c r="F362" s="23" t="s">
        <v>2452</v>
      </c>
      <c r="G362" s="23" t="s">
        <v>2453</v>
      </c>
      <c r="H362" s="23" t="s">
        <v>2516</v>
      </c>
      <c r="I362" s="23" t="s">
        <v>4523</v>
      </c>
      <c r="J362" s="23" t="s">
        <v>1994</v>
      </c>
      <c r="K362" s="23" t="n">
        <v>17.99</v>
      </c>
      <c r="L362" s="23" t="s">
        <v>4524</v>
      </c>
      <c r="M362" s="23" t="s">
        <v>4525</v>
      </c>
      <c r="N362" s="23" t="s">
        <v>4526</v>
      </c>
      <c r="O362" s="23" t="s">
        <v>4527</v>
      </c>
      <c r="P362" s="23" t="s">
        <v>4528</v>
      </c>
      <c r="Q362" s="24" t="n">
        <f aca="false">IF(L362="","",IFERROR(INDEX('Semrush Data'!$A$1:$Z$20000,MATCH(L362,'Semrush Data'!$A$1:$A$20000,0),MATCH("Volume",'Semrush Data'!$A$1:$Z$1,0)),""))</f>
        <v>0</v>
      </c>
      <c r="R362" s="24" t="str">
        <f aca="false">IF(M362="","",IFERROR(INDEX('Semrush Data'!$A$1:$Z$20000,MATCH(M362,'Semrush Data'!$A$1:$A$20000,0),MATCH("Volume",'Semrush Data'!$A$1:$Z$1,0)),""))</f>
        <v/>
      </c>
      <c r="S362" s="24" t="str">
        <f aca="false">IF(N362="","",IFERROR(INDEX('Semrush Data'!$A$1:$Z$20000,MATCH(N362,'Semrush Data'!$A$1:$A$20000,0),MATCH("Volume",'Semrush Data'!$A$1:$Z$1,0)),""))</f>
        <v/>
      </c>
      <c r="T362" s="24" t="str">
        <f aca="false">IF(O362="","",IFERROR(INDEX('Semrush Data'!$A$1:$Z$20000,MATCH(O362,'Semrush Data'!$A$1:$A$20000,0),MATCH("Volume",'Semrush Data'!$A$1:$Z$1,0)),""))</f>
        <v/>
      </c>
      <c r="U362" s="24" t="str">
        <f aca="false">IF(P362="","",IFERROR(INDEX('Semrush Data'!$A$1:$Z$20000,MATCH(P362,'Semrush Data'!$A$1:$A$20000,0),MATCH("Volume",'Semrush Data'!$A$1:$Z$1,0)),""))</f>
        <v/>
      </c>
      <c r="V362" s="25" t="str">
        <f aca="false">IF(COUNT(Q362:U362)=0,L362,IF(MAX(Q362:U362)=0,L362,INDEX(L362:P362,MATCH(MAX(Q362:U362),Q362:U362,0))))</f>
        <v>maison de milan invincible</v>
      </c>
      <c r="W362" s="24" t="n">
        <f aca="false">IFERROR(INDEX('Semrush Data'!$A$1:$Z$20000,MATCH(V362,'Semrush Data'!$A$1:$A$20000,0),MATCH("Volume",'Semrush Data'!$A$1:$Z$1,0)),"")</f>
        <v>0</v>
      </c>
      <c r="X362" s="24" t="n">
        <f aca="false">IFERROR(INDEX('Semrush Data'!$A$1:$Z$20000,MATCH(V362,'Semrush Data'!$A$1:$A$20000,0),MATCH("Keyword Difficulty*",'Semrush Data'!$A$1:$Z$1,0)),"")</f>
        <v>35</v>
      </c>
      <c r="Y362" s="26" t="n">
        <f aca="false">IFERROR(INDEX('Semrush Data'!$A$1:$Z$20000,MATCH(V362,'Semrush Data'!$A$1:$A$20000,0),MATCH("CPC*",'Semrush Data'!$A$1:$Z$1,0)),"")</f>
        <v>0</v>
      </c>
      <c r="Z362" s="23" t="s">
        <v>4478</v>
      </c>
      <c r="AA362" s="23" t="s">
        <v>4529</v>
      </c>
      <c r="AB362" s="23" t="s">
        <v>4530</v>
      </c>
      <c r="AC362" s="23" t="s">
        <v>4531</v>
      </c>
      <c r="AD362" s="27" t="n">
        <f aca="false">LEN(AC362)</f>
        <v>53</v>
      </c>
      <c r="AE362" s="23" t="s">
        <v>4532</v>
      </c>
      <c r="AF362" s="27" t="n">
        <f aca="false">LEN(AE362)</f>
        <v>147</v>
      </c>
    </row>
    <row r="363" customFormat="false" ht="15" hidden="false" customHeight="true" outlineLevel="0" collapsed="false">
      <c r="A363" s="23" t="s">
        <v>4533</v>
      </c>
      <c r="B363" s="23" t="s">
        <v>2449</v>
      </c>
      <c r="C363" s="23" t="n">
        <v>203</v>
      </c>
      <c r="D363" s="23" t="s">
        <v>4284</v>
      </c>
      <c r="E363" s="23" t="s">
        <v>4285</v>
      </c>
      <c r="F363" s="23" t="s">
        <v>2452</v>
      </c>
      <c r="G363" s="23" t="s">
        <v>2453</v>
      </c>
      <c r="H363" s="23" t="s">
        <v>2608</v>
      </c>
      <c r="I363" s="23" t="s">
        <v>4534</v>
      </c>
      <c r="J363" s="23" t="s">
        <v>1994</v>
      </c>
      <c r="K363" s="23" t="n">
        <v>17.99</v>
      </c>
      <c r="L363" s="23" t="s">
        <v>4535</v>
      </c>
      <c r="M363" s="23" t="s">
        <v>4536</v>
      </c>
      <c r="N363" s="23" t="s">
        <v>4537</v>
      </c>
      <c r="O363" s="23" t="s">
        <v>4538</v>
      </c>
      <c r="P363" s="23" t="s">
        <v>4539</v>
      </c>
      <c r="Q363" s="24" t="n">
        <f aca="false">IF(L363="","",IFERROR(INDEX('Semrush Data'!$A$1:$Z$20000,MATCH(L363,'Semrush Data'!$A$1:$A$20000,0),MATCH("Volume",'Semrush Data'!$A$1:$Z$1,0)),""))</f>
        <v>0</v>
      </c>
      <c r="R363" s="24" t="str">
        <f aca="false">IF(M363="","",IFERROR(INDEX('Semrush Data'!$A$1:$Z$20000,MATCH(M363,'Semrush Data'!$A$1:$A$20000,0),MATCH("Volume",'Semrush Data'!$A$1:$Z$1,0)),""))</f>
        <v/>
      </c>
      <c r="S363" s="24" t="str">
        <f aca="false">IF(N363="","",IFERROR(INDEX('Semrush Data'!$A$1:$Z$20000,MATCH(N363,'Semrush Data'!$A$1:$A$20000,0),MATCH("Volume",'Semrush Data'!$A$1:$Z$1,0)),""))</f>
        <v/>
      </c>
      <c r="T363" s="24" t="str">
        <f aca="false">IF(O363="","",IFERROR(INDEX('Semrush Data'!$A$1:$Z$20000,MATCH(O363,'Semrush Data'!$A$1:$A$20000,0),MATCH("Volume",'Semrush Data'!$A$1:$Z$1,0)),""))</f>
        <v/>
      </c>
      <c r="U363" s="24" t="str">
        <f aca="false">IF(P363="","",IFERROR(INDEX('Semrush Data'!$A$1:$Z$20000,MATCH(P363,'Semrush Data'!$A$1:$A$20000,0),MATCH("Volume",'Semrush Data'!$A$1:$Z$1,0)),""))</f>
        <v/>
      </c>
      <c r="V363" s="25" t="str">
        <f aca="false">IF(COUNT(Q363:U363)=0,L363,IF(MAX(Q363:U363)=0,L363,INDEX(L363:P363,MATCH(MAX(Q363:U363),Q363:U363,0))))</f>
        <v>maison de milan l'homme suave</v>
      </c>
      <c r="W363" s="24" t="n">
        <f aca="false">IFERROR(INDEX('Semrush Data'!$A$1:$Z$20000,MATCH(V363,'Semrush Data'!$A$1:$A$20000,0),MATCH("Volume",'Semrush Data'!$A$1:$Z$1,0)),"")</f>
        <v>0</v>
      </c>
      <c r="X363" s="24" t="n">
        <f aca="false">IFERROR(INDEX('Semrush Data'!$A$1:$Z$20000,MATCH(V363,'Semrush Data'!$A$1:$A$20000,0),MATCH("Keyword Difficulty*",'Semrush Data'!$A$1:$Z$1,0)),"")</f>
        <v>34</v>
      </c>
      <c r="Y363" s="26" t="n">
        <f aca="false">IFERROR(INDEX('Semrush Data'!$A$1:$Z$20000,MATCH(V363,'Semrush Data'!$A$1:$A$20000,0),MATCH("CPC*",'Semrush Data'!$A$1:$Z$1,0)),"")</f>
        <v>0</v>
      </c>
      <c r="Z363" s="23" t="s">
        <v>4292</v>
      </c>
      <c r="AA363" s="23"/>
      <c r="AB363" s="23" t="s">
        <v>4540</v>
      </c>
      <c r="AC363" s="23" t="s">
        <v>4541</v>
      </c>
      <c r="AD363" s="27" t="n">
        <f aca="false">LEN(AC363)</f>
        <v>56</v>
      </c>
      <c r="AE363" s="23" t="s">
        <v>4542</v>
      </c>
      <c r="AF363" s="27" t="n">
        <f aca="false">LEN(AE363)</f>
        <v>148</v>
      </c>
    </row>
    <row r="364" customFormat="false" ht="15" hidden="false" customHeight="true" outlineLevel="0" collapsed="false">
      <c r="A364" s="23" t="s">
        <v>4543</v>
      </c>
      <c r="B364" s="23" t="s">
        <v>2449</v>
      </c>
      <c r="C364" s="23" t="n">
        <v>204</v>
      </c>
      <c r="D364" s="23" t="s">
        <v>4284</v>
      </c>
      <c r="E364" s="23" t="s">
        <v>4285</v>
      </c>
      <c r="F364" s="23" t="s">
        <v>2452</v>
      </c>
      <c r="G364" s="23" t="s">
        <v>2453</v>
      </c>
      <c r="H364" s="23" t="s">
        <v>2583</v>
      </c>
      <c r="I364" s="23" t="s">
        <v>4544</v>
      </c>
      <c r="J364" s="23" t="s">
        <v>1434</v>
      </c>
      <c r="K364" s="23" t="n">
        <v>17.99</v>
      </c>
      <c r="L364" s="23" t="s">
        <v>4545</v>
      </c>
      <c r="M364" s="23" t="s">
        <v>4546</v>
      </c>
      <c r="N364" s="23" t="s">
        <v>4547</v>
      </c>
      <c r="O364" s="23" t="s">
        <v>4548</v>
      </c>
      <c r="P364" s="23" t="s">
        <v>4549</v>
      </c>
      <c r="Q364" s="24" t="n">
        <f aca="false">IF(L364="","",IFERROR(INDEX('Semrush Data'!$A$1:$Z$20000,MATCH(L364,'Semrush Data'!$A$1:$A$20000,0),MATCH("Volume",'Semrush Data'!$A$1:$Z$1,0)),""))</f>
        <v>0</v>
      </c>
      <c r="R364" s="24" t="str">
        <f aca="false">IF(M364="","",IFERROR(INDEX('Semrush Data'!$A$1:$Z$20000,MATCH(M364,'Semrush Data'!$A$1:$A$20000,0),MATCH("Volume",'Semrush Data'!$A$1:$Z$1,0)),""))</f>
        <v/>
      </c>
      <c r="S364" s="24" t="str">
        <f aca="false">IF(N364="","",IFERROR(INDEX('Semrush Data'!$A$1:$Z$20000,MATCH(N364,'Semrush Data'!$A$1:$A$20000,0),MATCH("Volume",'Semrush Data'!$A$1:$Z$1,0)),""))</f>
        <v/>
      </c>
      <c r="T364" s="24" t="str">
        <f aca="false">IF(O364="","",IFERROR(INDEX('Semrush Data'!$A$1:$Z$20000,MATCH(O364,'Semrush Data'!$A$1:$A$20000,0),MATCH("Volume",'Semrush Data'!$A$1:$Z$1,0)),""))</f>
        <v/>
      </c>
      <c r="U364" s="24" t="str">
        <f aca="false">IF(P364="","",IFERROR(INDEX('Semrush Data'!$A$1:$Z$20000,MATCH(P364,'Semrush Data'!$A$1:$A$20000,0),MATCH("Volume",'Semrush Data'!$A$1:$Z$1,0)),""))</f>
        <v/>
      </c>
      <c r="V364" s="25" t="str">
        <f aca="false">IF(COUNT(Q364:U364)=0,L364,IF(MAX(Q364:U364)=0,L364,INDEX(L364:P364,MATCH(MAX(Q364:U364),Q364:U364,0))))</f>
        <v>maison de milan m</v>
      </c>
      <c r="W364" s="24" t="n">
        <f aca="false">IFERROR(INDEX('Semrush Data'!$A$1:$Z$20000,MATCH(V364,'Semrush Data'!$A$1:$A$20000,0),MATCH("Volume",'Semrush Data'!$A$1:$Z$1,0)),"")</f>
        <v>0</v>
      </c>
      <c r="X364" s="24" t="n">
        <f aca="false">IFERROR(INDEX('Semrush Data'!$A$1:$Z$20000,MATCH(V364,'Semrush Data'!$A$1:$A$20000,0),MATCH("Keyword Difficulty*",'Semrush Data'!$A$1:$Z$1,0)),"")</f>
        <v>28</v>
      </c>
      <c r="Y364" s="26" t="n">
        <f aca="false">IFERROR(INDEX('Semrush Data'!$A$1:$Z$20000,MATCH(V364,'Semrush Data'!$A$1:$A$20000,0),MATCH("CPC*",'Semrush Data'!$A$1:$Z$1,0)),"")</f>
        <v>0</v>
      </c>
      <c r="Z364" s="23" t="s">
        <v>4304</v>
      </c>
      <c r="AA364" s="23"/>
      <c r="AB364" s="23" t="s">
        <v>4550</v>
      </c>
      <c r="AC364" s="23" t="s">
        <v>4551</v>
      </c>
      <c r="AD364" s="27" t="n">
        <f aca="false">LEN(AC364)</f>
        <v>50</v>
      </c>
      <c r="AE364" s="23" t="s">
        <v>4552</v>
      </c>
      <c r="AF364" s="27" t="n">
        <f aca="false">LEN(AE364)</f>
        <v>137</v>
      </c>
    </row>
    <row r="365" customFormat="false" ht="15" hidden="false" customHeight="true" outlineLevel="0" collapsed="false">
      <c r="A365" s="23" t="s">
        <v>4553</v>
      </c>
      <c r="B365" s="23" t="s">
        <v>2449</v>
      </c>
      <c r="C365" s="23" t="n">
        <v>205</v>
      </c>
      <c r="D365" s="23" t="s">
        <v>4284</v>
      </c>
      <c r="E365" s="23" t="s">
        <v>4285</v>
      </c>
      <c r="F365" s="23" t="s">
        <v>2452</v>
      </c>
      <c r="G365" s="23" t="s">
        <v>2453</v>
      </c>
      <c r="H365" s="23" t="s">
        <v>2516</v>
      </c>
      <c r="I365" s="23" t="s">
        <v>4554</v>
      </c>
      <c r="J365" s="23" t="s">
        <v>1434</v>
      </c>
      <c r="K365" s="23" t="n">
        <v>17.99</v>
      </c>
      <c r="L365" s="23" t="s">
        <v>4555</v>
      </c>
      <c r="M365" s="23" t="s">
        <v>4556</v>
      </c>
      <c r="N365" s="23" t="s">
        <v>4557</v>
      </c>
      <c r="O365" s="23" t="s">
        <v>4558</v>
      </c>
      <c r="P365" s="23" t="s">
        <v>4559</v>
      </c>
      <c r="Q365" s="24" t="n">
        <f aca="false">IF(L365="","",IFERROR(INDEX('Semrush Data'!$A$1:$Z$20000,MATCH(L365,'Semrush Data'!$A$1:$A$20000,0),MATCH("Volume",'Semrush Data'!$A$1:$Z$1,0)),""))</f>
        <v>0</v>
      </c>
      <c r="R365" s="24" t="str">
        <f aca="false">IF(M365="","",IFERROR(INDEX('Semrush Data'!$A$1:$Z$20000,MATCH(M365,'Semrush Data'!$A$1:$A$20000,0),MATCH("Volume",'Semrush Data'!$A$1:$Z$1,0)),""))</f>
        <v/>
      </c>
      <c r="S365" s="24" t="str">
        <f aca="false">IF(N365="","",IFERROR(INDEX('Semrush Data'!$A$1:$Z$20000,MATCH(N365,'Semrush Data'!$A$1:$A$20000,0),MATCH("Volume",'Semrush Data'!$A$1:$Z$1,0)),""))</f>
        <v/>
      </c>
      <c r="T365" s="24" t="str">
        <f aca="false">IF(O365="","",IFERROR(INDEX('Semrush Data'!$A$1:$Z$20000,MATCH(O365,'Semrush Data'!$A$1:$A$20000,0),MATCH("Volume",'Semrush Data'!$A$1:$Z$1,0)),""))</f>
        <v/>
      </c>
      <c r="U365" s="24" t="str">
        <f aca="false">IF(P365="","",IFERROR(INDEX('Semrush Data'!$A$1:$Z$20000,MATCH(P365,'Semrush Data'!$A$1:$A$20000,0),MATCH("Volume",'Semrush Data'!$A$1:$Z$1,0)),""))</f>
        <v/>
      </c>
      <c r="V365" s="25" t="str">
        <f aca="false">IF(COUNT(Q365:U365)=0,L365,IF(MAX(Q365:U365)=0,L365,INDEX(L365:P365,MATCH(MAX(Q365:U365),Q365:U365,0))))</f>
        <v>maison de milan milano girl black</v>
      </c>
      <c r="W365" s="24" t="n">
        <f aca="false">IFERROR(INDEX('Semrush Data'!$A$1:$Z$20000,MATCH(V365,'Semrush Data'!$A$1:$A$20000,0),MATCH("Volume",'Semrush Data'!$A$1:$Z$1,0)),"")</f>
        <v>0</v>
      </c>
      <c r="X365" s="24" t="n">
        <f aca="false">IFERROR(INDEX('Semrush Data'!$A$1:$Z$20000,MATCH(V365,'Semrush Data'!$A$1:$A$20000,0),MATCH("Keyword Difficulty*",'Semrush Data'!$A$1:$Z$1,0)),"")</f>
        <v>10</v>
      </c>
      <c r="Y365" s="26" t="n">
        <f aca="false">IFERROR(INDEX('Semrush Data'!$A$1:$Z$20000,MATCH(V365,'Semrush Data'!$A$1:$A$20000,0),MATCH("CPC*",'Semrush Data'!$A$1:$Z$1,0)),"")</f>
        <v>0</v>
      </c>
      <c r="Z365" s="23" t="s">
        <v>4478</v>
      </c>
      <c r="AA365" s="23"/>
      <c r="AB365" s="23" t="s">
        <v>4560</v>
      </c>
      <c r="AC365" s="23" t="s">
        <v>4561</v>
      </c>
      <c r="AD365" s="27" t="n">
        <f aca="false">LEN(AC365)</f>
        <v>60</v>
      </c>
      <c r="AE365" s="23" t="s">
        <v>4562</v>
      </c>
      <c r="AF365" s="27" t="n">
        <f aca="false">LEN(AE365)</f>
        <v>154</v>
      </c>
    </row>
    <row r="366" customFormat="false" ht="15" hidden="false" customHeight="true" outlineLevel="0" collapsed="false">
      <c r="A366" s="23" t="s">
        <v>4563</v>
      </c>
      <c r="B366" s="23" t="s">
        <v>2449</v>
      </c>
      <c r="C366" s="23" t="n">
        <v>206</v>
      </c>
      <c r="D366" s="23" t="s">
        <v>4284</v>
      </c>
      <c r="E366" s="23" t="s">
        <v>4285</v>
      </c>
      <c r="F366" s="23" t="s">
        <v>2452</v>
      </c>
      <c r="G366" s="23" t="s">
        <v>2453</v>
      </c>
      <c r="H366" s="23" t="s">
        <v>2516</v>
      </c>
      <c r="I366" s="23" t="s">
        <v>4564</v>
      </c>
      <c r="J366" s="23" t="s">
        <v>1994</v>
      </c>
      <c r="K366" s="23" t="n">
        <v>19.99</v>
      </c>
      <c r="L366" s="23" t="s">
        <v>4565</v>
      </c>
      <c r="M366" s="23" t="s">
        <v>4566</v>
      </c>
      <c r="N366" s="23" t="s">
        <v>4567</v>
      </c>
      <c r="O366" s="23" t="s">
        <v>4568</v>
      </c>
      <c r="P366" s="23" t="s">
        <v>4569</v>
      </c>
      <c r="Q366" s="24" t="n">
        <f aca="false">IF(L366="","",IFERROR(INDEX('Semrush Data'!$A$1:$Z$20000,MATCH(L366,'Semrush Data'!$A$1:$A$20000,0),MATCH("Volume",'Semrush Data'!$A$1:$Z$1,0)),""))</f>
        <v>0</v>
      </c>
      <c r="R366" s="24" t="str">
        <f aca="false">IF(M366="","",IFERROR(INDEX('Semrush Data'!$A$1:$Z$20000,MATCH(M366,'Semrush Data'!$A$1:$A$20000,0),MATCH("Volume",'Semrush Data'!$A$1:$Z$1,0)),""))</f>
        <v/>
      </c>
      <c r="S366" s="24" t="str">
        <f aca="false">IF(N366="","",IFERROR(INDEX('Semrush Data'!$A$1:$Z$20000,MATCH(N366,'Semrush Data'!$A$1:$A$20000,0),MATCH("Volume",'Semrush Data'!$A$1:$Z$1,0)),""))</f>
        <v/>
      </c>
      <c r="T366" s="24" t="str">
        <f aca="false">IF(O366="","",IFERROR(INDEX('Semrush Data'!$A$1:$Z$20000,MATCH(O366,'Semrush Data'!$A$1:$A$20000,0),MATCH("Volume",'Semrush Data'!$A$1:$Z$1,0)),""))</f>
        <v/>
      </c>
      <c r="U366" s="24" t="str">
        <f aca="false">IF(P366="","",IFERROR(INDEX('Semrush Data'!$A$1:$Z$20000,MATCH(P366,'Semrush Data'!$A$1:$A$20000,0),MATCH("Volume",'Semrush Data'!$A$1:$Z$1,0)),""))</f>
        <v/>
      </c>
      <c r="V366" s="25" t="str">
        <f aca="false">IF(COUNT(Q366:U366)=0,L366,IF(MAX(Q366:U366)=0,L366,INDEX(L366:P366,MATCH(MAX(Q366:U366),Q366:U366,0))))</f>
        <v>maison de milan milano girl red</v>
      </c>
      <c r="W366" s="24" t="n">
        <f aca="false">IFERROR(INDEX('Semrush Data'!$A$1:$Z$20000,MATCH(V366,'Semrush Data'!$A$1:$A$20000,0),MATCH("Volume",'Semrush Data'!$A$1:$Z$1,0)),"")</f>
        <v>0</v>
      </c>
      <c r="X366" s="24" t="n">
        <f aca="false">IFERROR(INDEX('Semrush Data'!$A$1:$Z$20000,MATCH(V366,'Semrush Data'!$A$1:$A$20000,0),MATCH("Keyword Difficulty*",'Semrush Data'!$A$1:$Z$1,0)),"")</f>
        <v>24</v>
      </c>
      <c r="Y366" s="26" t="n">
        <f aca="false">IFERROR(INDEX('Semrush Data'!$A$1:$Z$20000,MATCH(V366,'Semrush Data'!$A$1:$A$20000,0),MATCH("CPC*",'Semrush Data'!$A$1:$Z$1,0)),"")</f>
        <v>0</v>
      </c>
      <c r="Z366" s="23" t="s">
        <v>4478</v>
      </c>
      <c r="AA366" s="23"/>
      <c r="AB366" s="23" t="s">
        <v>4570</v>
      </c>
      <c r="AC366" s="23" t="s">
        <v>4571</v>
      </c>
      <c r="AD366" s="27" t="n">
        <f aca="false">LEN(AC366)</f>
        <v>58</v>
      </c>
      <c r="AE366" s="23" t="s">
        <v>4572</v>
      </c>
      <c r="AF366" s="27" t="n">
        <f aca="false">LEN(AE366)</f>
        <v>152</v>
      </c>
    </row>
    <row r="367" customFormat="false" ht="15" hidden="false" customHeight="true" outlineLevel="0" collapsed="false">
      <c r="A367" s="23" t="s">
        <v>4573</v>
      </c>
      <c r="B367" s="23" t="s">
        <v>2449</v>
      </c>
      <c r="C367" s="23" t="n">
        <v>207</v>
      </c>
      <c r="D367" s="23" t="s">
        <v>4284</v>
      </c>
      <c r="E367" s="23" t="s">
        <v>4285</v>
      </c>
      <c r="F367" s="23" t="s">
        <v>2452</v>
      </c>
      <c r="G367" s="23" t="s">
        <v>2453</v>
      </c>
      <c r="H367" s="23" t="s">
        <v>2516</v>
      </c>
      <c r="I367" s="23" t="s">
        <v>4574</v>
      </c>
      <c r="J367" s="23" t="s">
        <v>1994</v>
      </c>
      <c r="K367" s="23" t="n">
        <v>19.99</v>
      </c>
      <c r="L367" s="23" t="s">
        <v>4575</v>
      </c>
      <c r="M367" s="23" t="s">
        <v>4576</v>
      </c>
      <c r="N367" s="23" t="s">
        <v>4577</v>
      </c>
      <c r="O367" s="23" t="s">
        <v>4578</v>
      </c>
      <c r="P367" s="23" t="s">
        <v>4579</v>
      </c>
      <c r="Q367" s="24" t="n">
        <f aca="false">IF(L367="","",IFERROR(INDEX('Semrush Data'!$A$1:$Z$20000,MATCH(L367,'Semrush Data'!$A$1:$A$20000,0),MATCH("Volume",'Semrush Data'!$A$1:$Z$1,0)),""))</f>
        <v>0</v>
      </c>
      <c r="R367" s="24" t="str">
        <f aca="false">IF(M367="","",IFERROR(INDEX('Semrush Data'!$A$1:$Z$20000,MATCH(M367,'Semrush Data'!$A$1:$A$20000,0),MATCH("Volume",'Semrush Data'!$A$1:$Z$1,0)),""))</f>
        <v/>
      </c>
      <c r="S367" s="24" t="str">
        <f aca="false">IF(N367="","",IFERROR(INDEX('Semrush Data'!$A$1:$Z$20000,MATCH(N367,'Semrush Data'!$A$1:$A$20000,0),MATCH("Volume",'Semrush Data'!$A$1:$Z$1,0)),""))</f>
        <v/>
      </c>
      <c r="T367" s="24" t="str">
        <f aca="false">IF(O367="","",IFERROR(INDEX('Semrush Data'!$A$1:$Z$20000,MATCH(O367,'Semrush Data'!$A$1:$A$20000,0),MATCH("Volume",'Semrush Data'!$A$1:$Z$1,0)),""))</f>
        <v/>
      </c>
      <c r="U367" s="24" t="str">
        <f aca="false">IF(P367="","",IFERROR(INDEX('Semrush Data'!$A$1:$Z$20000,MATCH(P367,'Semrush Data'!$A$1:$A$20000,0),MATCH("Volume",'Semrush Data'!$A$1:$Z$1,0)),""))</f>
        <v/>
      </c>
      <c r="V367" s="25" t="str">
        <f aca="false">IF(COUNT(Q367:U367)=0,L367,IF(MAX(Q367:U367)=0,L367,INDEX(L367:P367,MATCH(MAX(Q367:U367),Q367:U367,0))))</f>
        <v>maison de milan milano girl white</v>
      </c>
      <c r="W367" s="24" t="n">
        <f aca="false">IFERROR(INDEX('Semrush Data'!$A$1:$Z$20000,MATCH(V367,'Semrush Data'!$A$1:$A$20000,0),MATCH("Volume",'Semrush Data'!$A$1:$Z$1,0)),"")</f>
        <v>0</v>
      </c>
      <c r="X367" s="24" t="n">
        <f aca="false">IFERROR(INDEX('Semrush Data'!$A$1:$Z$20000,MATCH(V367,'Semrush Data'!$A$1:$A$20000,0),MATCH("Keyword Difficulty*",'Semrush Data'!$A$1:$Z$1,0)),"")</f>
        <v>24</v>
      </c>
      <c r="Y367" s="26" t="n">
        <f aca="false">IFERROR(INDEX('Semrush Data'!$A$1:$Z$20000,MATCH(V367,'Semrush Data'!$A$1:$A$20000,0),MATCH("CPC*",'Semrush Data'!$A$1:$Z$1,0)),"")</f>
        <v>0</v>
      </c>
      <c r="Z367" s="23" t="s">
        <v>4478</v>
      </c>
      <c r="AA367" s="23"/>
      <c r="AB367" s="23" t="s">
        <v>4580</v>
      </c>
      <c r="AC367" s="23" t="s">
        <v>4581</v>
      </c>
      <c r="AD367" s="27" t="n">
        <f aca="false">LEN(AC367)</f>
        <v>60</v>
      </c>
      <c r="AE367" s="23" t="s">
        <v>4582</v>
      </c>
      <c r="AF367" s="27" t="n">
        <f aca="false">LEN(AE367)</f>
        <v>154</v>
      </c>
    </row>
    <row r="368" customFormat="false" ht="15" hidden="false" customHeight="true" outlineLevel="0" collapsed="false">
      <c r="A368" s="23" t="s">
        <v>4583</v>
      </c>
      <c r="B368" s="23" t="s">
        <v>2449</v>
      </c>
      <c r="C368" s="23" t="n">
        <v>208</v>
      </c>
      <c r="D368" s="23" t="s">
        <v>4284</v>
      </c>
      <c r="E368" s="23" t="s">
        <v>4285</v>
      </c>
      <c r="F368" s="23" t="s">
        <v>2452</v>
      </c>
      <c r="G368" s="23" t="s">
        <v>2453</v>
      </c>
      <c r="H368" s="23" t="s">
        <v>2583</v>
      </c>
      <c r="I368" s="23" t="s">
        <v>4584</v>
      </c>
      <c r="J368" s="23" t="s">
        <v>1994</v>
      </c>
      <c r="K368" s="23" t="n">
        <v>17.99</v>
      </c>
      <c r="L368" s="23" t="s">
        <v>4585</v>
      </c>
      <c r="M368" s="23" t="s">
        <v>4586</v>
      </c>
      <c r="N368" s="23" t="s">
        <v>4587</v>
      </c>
      <c r="O368" s="23" t="s">
        <v>4588</v>
      </c>
      <c r="P368" s="23" t="s">
        <v>4589</v>
      </c>
      <c r="Q368" s="24" t="n">
        <f aca="false">IF(L368="","",IFERROR(INDEX('Semrush Data'!$A$1:$Z$20000,MATCH(L368,'Semrush Data'!$A$1:$A$20000,0),MATCH("Volume",'Semrush Data'!$A$1:$Z$1,0)),""))</f>
        <v>0</v>
      </c>
      <c r="R368" s="24" t="str">
        <f aca="false">IF(M368="","",IFERROR(INDEX('Semrush Data'!$A$1:$Z$20000,MATCH(M368,'Semrush Data'!$A$1:$A$20000,0),MATCH("Volume",'Semrush Data'!$A$1:$Z$1,0)),""))</f>
        <v/>
      </c>
      <c r="S368" s="24" t="str">
        <f aca="false">IF(N368="","",IFERROR(INDEX('Semrush Data'!$A$1:$Z$20000,MATCH(N368,'Semrush Data'!$A$1:$A$20000,0),MATCH("Volume",'Semrush Data'!$A$1:$Z$1,0)),""))</f>
        <v/>
      </c>
      <c r="T368" s="24" t="str">
        <f aca="false">IF(O368="","",IFERROR(INDEX('Semrush Data'!$A$1:$Z$20000,MATCH(O368,'Semrush Data'!$A$1:$A$20000,0),MATCH("Volume",'Semrush Data'!$A$1:$Z$1,0)),""))</f>
        <v/>
      </c>
      <c r="U368" s="24" t="str">
        <f aca="false">IF(P368="","",IFERROR(INDEX('Semrush Data'!$A$1:$Z$20000,MATCH(P368,'Semrush Data'!$A$1:$A$20000,0),MATCH("Volume",'Semrush Data'!$A$1:$Z$1,0)),""))</f>
        <v/>
      </c>
      <c r="V368" s="25" t="str">
        <f aca="false">IF(COUNT(Q368:U368)=0,L368,IF(MAX(Q368:U368)=0,L368,INDEX(L368:P368,MATCH(MAX(Q368:U368),Q368:U368,0))))</f>
        <v>maison de milan opulent gold</v>
      </c>
      <c r="W368" s="24" t="n">
        <f aca="false">IFERROR(INDEX('Semrush Data'!$A$1:$Z$20000,MATCH(V368,'Semrush Data'!$A$1:$A$20000,0),MATCH("Volume",'Semrush Data'!$A$1:$Z$1,0)),"")</f>
        <v>0</v>
      </c>
      <c r="X368" s="24" t="n">
        <f aca="false">IFERROR(INDEX('Semrush Data'!$A$1:$Z$20000,MATCH(V368,'Semrush Data'!$A$1:$A$20000,0),MATCH("Keyword Difficulty*",'Semrush Data'!$A$1:$Z$1,0)),"")</f>
        <v>16</v>
      </c>
      <c r="Y368" s="26" t="n">
        <f aca="false">IFERROR(INDEX('Semrush Data'!$A$1:$Z$20000,MATCH(V368,'Semrush Data'!$A$1:$A$20000,0),MATCH("CPC*",'Semrush Data'!$A$1:$Z$1,0)),"")</f>
        <v>0</v>
      </c>
      <c r="Z368" s="23" t="s">
        <v>4304</v>
      </c>
      <c r="AA368" s="23"/>
      <c r="AB368" s="23" t="s">
        <v>4590</v>
      </c>
      <c r="AC368" s="23" t="s">
        <v>4591</v>
      </c>
      <c r="AD368" s="27" t="n">
        <f aca="false">LEN(AC368)</f>
        <v>55</v>
      </c>
      <c r="AE368" s="23" t="s">
        <v>4592</v>
      </c>
      <c r="AF368" s="27" t="n">
        <f aca="false">LEN(AE368)</f>
        <v>148</v>
      </c>
    </row>
    <row r="369" customFormat="false" ht="15" hidden="false" customHeight="true" outlineLevel="0" collapsed="false">
      <c r="A369" s="23" t="s">
        <v>4593</v>
      </c>
      <c r="B369" s="23" t="s">
        <v>2449</v>
      </c>
      <c r="C369" s="23" t="n">
        <v>209</v>
      </c>
      <c r="D369" s="23" t="s">
        <v>4284</v>
      </c>
      <c r="E369" s="23" t="s">
        <v>4285</v>
      </c>
      <c r="F369" s="23" t="s">
        <v>2452</v>
      </c>
      <c r="G369" s="23" t="s">
        <v>2453</v>
      </c>
      <c r="H369" s="23" t="s">
        <v>2583</v>
      </c>
      <c r="I369" s="23" t="s">
        <v>4594</v>
      </c>
      <c r="J369" s="23" t="s">
        <v>1994</v>
      </c>
      <c r="K369" s="23" t="n">
        <v>17.99</v>
      </c>
      <c r="L369" s="23" t="s">
        <v>4595</v>
      </c>
      <c r="M369" s="23" t="s">
        <v>4596</v>
      </c>
      <c r="N369" s="23" t="s">
        <v>4597</v>
      </c>
      <c r="O369" s="23" t="s">
        <v>4598</v>
      </c>
      <c r="P369" s="23" t="s">
        <v>4599</v>
      </c>
      <c r="Q369" s="24" t="n">
        <f aca="false">IF(L369="","",IFERROR(INDEX('Semrush Data'!$A$1:$Z$20000,MATCH(L369,'Semrush Data'!$A$1:$A$20000,0),MATCH("Volume",'Semrush Data'!$A$1:$Z$1,0)),""))</f>
        <v>0</v>
      </c>
      <c r="R369" s="24" t="str">
        <f aca="false">IF(M369="","",IFERROR(INDEX('Semrush Data'!$A$1:$Z$20000,MATCH(M369,'Semrush Data'!$A$1:$A$20000,0),MATCH("Volume",'Semrush Data'!$A$1:$Z$1,0)),""))</f>
        <v/>
      </c>
      <c r="S369" s="24" t="str">
        <f aca="false">IF(N369="","",IFERROR(INDEX('Semrush Data'!$A$1:$Z$20000,MATCH(N369,'Semrush Data'!$A$1:$A$20000,0),MATCH("Volume",'Semrush Data'!$A$1:$Z$1,0)),""))</f>
        <v/>
      </c>
      <c r="T369" s="24" t="str">
        <f aca="false">IF(O369="","",IFERROR(INDEX('Semrush Data'!$A$1:$Z$20000,MATCH(O369,'Semrush Data'!$A$1:$A$20000,0),MATCH("Volume",'Semrush Data'!$A$1:$Z$1,0)),""))</f>
        <v/>
      </c>
      <c r="U369" s="24" t="str">
        <f aca="false">IF(P369="","",IFERROR(INDEX('Semrush Data'!$A$1:$Z$20000,MATCH(P369,'Semrush Data'!$A$1:$A$20000,0),MATCH("Volume",'Semrush Data'!$A$1:$Z$1,0)),""))</f>
        <v/>
      </c>
      <c r="V369" s="25" t="str">
        <f aca="false">IF(COUNT(Q369:U369)=0,L369,IF(MAX(Q369:U369)=0,L369,INDEX(L369:P369,MATCH(MAX(Q369:U369),Q369:U369,0))))</f>
        <v>maison de milan valiant pour homme</v>
      </c>
      <c r="W369" s="24" t="n">
        <f aca="false">IFERROR(INDEX('Semrush Data'!$A$1:$Z$20000,MATCH(V369,'Semrush Data'!$A$1:$A$20000,0),MATCH("Volume",'Semrush Data'!$A$1:$Z$1,0)),"")</f>
        <v>0</v>
      </c>
      <c r="X369" s="24" t="n">
        <f aca="false">IFERROR(INDEX('Semrush Data'!$A$1:$Z$20000,MATCH(V369,'Semrush Data'!$A$1:$A$20000,0),MATCH("Keyword Difficulty*",'Semrush Data'!$A$1:$Z$1,0)),"")</f>
        <v>28</v>
      </c>
      <c r="Y369" s="26" t="n">
        <f aca="false">IFERROR(INDEX('Semrush Data'!$A$1:$Z$20000,MATCH(V369,'Semrush Data'!$A$1:$A$20000,0),MATCH("CPC*",'Semrush Data'!$A$1:$Z$1,0)),"")</f>
        <v>0</v>
      </c>
      <c r="Z369" s="23" t="s">
        <v>4304</v>
      </c>
      <c r="AA369" s="23"/>
      <c r="AB369" s="23" t="s">
        <v>4600</v>
      </c>
      <c r="AC369" s="23" t="s">
        <v>4601</v>
      </c>
      <c r="AD369" s="27" t="n">
        <f aca="false">LEN(AC369)</f>
        <v>58</v>
      </c>
      <c r="AE369" s="23" t="s">
        <v>4602</v>
      </c>
      <c r="AF369" s="27" t="n">
        <f aca="false">LEN(AE369)</f>
        <v>154</v>
      </c>
    </row>
    <row r="370" customFormat="false" ht="15" hidden="false" customHeight="true" outlineLevel="0" collapsed="false">
      <c r="A370" s="23" t="s">
        <v>4603</v>
      </c>
      <c r="B370" s="23" t="s">
        <v>2449</v>
      </c>
      <c r="C370" s="23" t="n">
        <v>210</v>
      </c>
      <c r="D370" s="23" t="s">
        <v>4284</v>
      </c>
      <c r="E370" s="23" t="s">
        <v>4285</v>
      </c>
      <c r="F370" s="23" t="s">
        <v>2452</v>
      </c>
      <c r="G370" s="23" t="s">
        <v>2453</v>
      </c>
      <c r="H370" s="23" t="s">
        <v>2538</v>
      </c>
      <c r="I370" s="23" t="s">
        <v>4604</v>
      </c>
      <c r="J370" s="23" t="s">
        <v>1994</v>
      </c>
      <c r="K370" s="23" t="n">
        <v>99.99</v>
      </c>
      <c r="L370" s="23" t="s">
        <v>4605</v>
      </c>
      <c r="M370" s="23" t="s">
        <v>4606</v>
      </c>
      <c r="N370" s="23" t="s">
        <v>4607</v>
      </c>
      <c r="O370" s="23" t="s">
        <v>4608</v>
      </c>
      <c r="P370" s="23" t="s">
        <v>4609</v>
      </c>
      <c r="Q370" s="24" t="n">
        <f aca="false">IF(L370="","",IFERROR(INDEX('Semrush Data'!$A$1:$Z$20000,MATCH(L370,'Semrush Data'!$A$1:$A$20000,0),MATCH("Volume",'Semrush Data'!$A$1:$Z$1,0)),""))</f>
        <v>20</v>
      </c>
      <c r="R370" s="24" t="str">
        <f aca="false">IF(M370="","",IFERROR(INDEX('Semrush Data'!$A$1:$Z$20000,MATCH(M370,'Semrush Data'!$A$1:$A$20000,0),MATCH("Volume",'Semrush Data'!$A$1:$Z$1,0)),""))</f>
        <v/>
      </c>
      <c r="S370" s="24" t="str">
        <f aca="false">IF(N370="","",IFERROR(INDEX('Semrush Data'!$A$1:$Z$20000,MATCH(N370,'Semrush Data'!$A$1:$A$20000,0),MATCH("Volume",'Semrush Data'!$A$1:$Z$1,0)),""))</f>
        <v/>
      </c>
      <c r="T370" s="24" t="str">
        <f aca="false">IF(O370="","",IFERROR(INDEX('Semrush Data'!$A$1:$Z$20000,MATCH(O370,'Semrush Data'!$A$1:$A$20000,0),MATCH("Volume",'Semrush Data'!$A$1:$Z$1,0)),""))</f>
        <v/>
      </c>
      <c r="U370" s="24" t="str">
        <f aca="false">IF(P370="","",IFERROR(INDEX('Semrush Data'!$A$1:$Z$20000,MATCH(P370,'Semrush Data'!$A$1:$A$20000,0),MATCH("Volume",'Semrush Data'!$A$1:$Z$1,0)),""))</f>
        <v/>
      </c>
      <c r="V370" s="25" t="str">
        <f aca="false">IF(COUNT(Q370:U370)=0,L370,IF(MAX(Q370:U370)=0,L370,INDEX(L370:P370,MATCH(MAX(Q370:U370),Q370:U370,0))))</f>
        <v>roll it 1</v>
      </c>
      <c r="W370" s="24" t="n">
        <f aca="false">IFERROR(INDEX('Semrush Data'!$A$1:$Z$20000,MATCH(V370,'Semrush Data'!$A$1:$A$20000,0),MATCH("Volume",'Semrush Data'!$A$1:$Z$1,0)),"")</f>
        <v>20</v>
      </c>
      <c r="X370" s="24" t="n">
        <f aca="false">IFERROR(INDEX('Semrush Data'!$A$1:$Z$20000,MATCH(V370,'Semrush Data'!$A$1:$A$20000,0),MATCH("Keyword Difficulty*",'Semrush Data'!$A$1:$Z$1,0)),"")</f>
        <v>20</v>
      </c>
      <c r="Y370" s="26" t="n">
        <f aca="false">IFERROR(INDEX('Semrush Data'!$A$1:$Z$20000,MATCH(V370,'Semrush Data'!$A$1:$A$20000,0),MATCH("CPC*",'Semrush Data'!$A$1:$Z$1,0)),"")</f>
        <v>0</v>
      </c>
      <c r="Z370" s="23" t="s">
        <v>4336</v>
      </c>
      <c r="AA370" s="23" t="s">
        <v>4610</v>
      </c>
      <c r="AB370" s="23" t="s">
        <v>4611</v>
      </c>
      <c r="AC370" s="23" t="s">
        <v>4612</v>
      </c>
      <c r="AD370" s="27" t="n">
        <f aca="false">LEN(AC370)</f>
        <v>57</v>
      </c>
      <c r="AE370" s="23" t="s">
        <v>4613</v>
      </c>
      <c r="AF370" s="27" t="n">
        <f aca="false">LEN(AE370)</f>
        <v>151</v>
      </c>
    </row>
    <row r="371" customFormat="false" ht="15" hidden="false" customHeight="true" outlineLevel="0" collapsed="false">
      <c r="A371" s="23" t="s">
        <v>4614</v>
      </c>
      <c r="B371" s="23" t="s">
        <v>2449</v>
      </c>
      <c r="C371" s="23" t="n">
        <v>211</v>
      </c>
      <c r="D371" s="23" t="s">
        <v>4284</v>
      </c>
      <c r="E371" s="23" t="s">
        <v>4285</v>
      </c>
      <c r="F371" s="23" t="s">
        <v>2452</v>
      </c>
      <c r="G371" s="23" t="s">
        <v>4615</v>
      </c>
      <c r="H371" s="23" t="s">
        <v>2583</v>
      </c>
      <c r="I371" s="23" t="s">
        <v>4616</v>
      </c>
      <c r="J371" s="23" t="s">
        <v>1994</v>
      </c>
      <c r="K371" s="23" t="n">
        <v>85.99</v>
      </c>
      <c r="L371" s="23" t="s">
        <v>4617</v>
      </c>
      <c r="M371" s="23" t="s">
        <v>4618</v>
      </c>
      <c r="N371" s="23" t="s">
        <v>4619</v>
      </c>
      <c r="O371" s="23" t="s">
        <v>4620</v>
      </c>
      <c r="P371" s="23"/>
      <c r="Q371" s="24" t="n">
        <f aca="false">IF(L371="","",IFERROR(INDEX('Semrush Data'!$A$1:$Z$20000,MATCH(L371,'Semrush Data'!$A$1:$A$20000,0),MATCH("Volume",'Semrush Data'!$A$1:$Z$1,0)),""))</f>
        <v>20</v>
      </c>
      <c r="R371" s="24" t="str">
        <f aca="false">IF(M371="","",IFERROR(INDEX('Semrush Data'!$A$1:$Z$20000,MATCH(M371,'Semrush Data'!$A$1:$A$20000,0),MATCH("Volume",'Semrush Data'!$A$1:$Z$1,0)),""))</f>
        <v/>
      </c>
      <c r="S371" s="24" t="str">
        <f aca="false">IF(N371="","",IFERROR(INDEX('Semrush Data'!$A$1:$Z$20000,MATCH(N371,'Semrush Data'!$A$1:$A$20000,0),MATCH("Volume",'Semrush Data'!$A$1:$Z$1,0)),""))</f>
        <v/>
      </c>
      <c r="T371" s="24" t="str">
        <f aca="false">IF(O371="","",IFERROR(INDEX('Semrush Data'!$A$1:$Z$20000,MATCH(O371,'Semrush Data'!$A$1:$A$20000,0),MATCH("Volume",'Semrush Data'!$A$1:$Z$1,0)),""))</f>
        <v/>
      </c>
      <c r="U371" s="24" t="str">
        <f aca="false">IF(P371="","",IFERROR(INDEX('Semrush Data'!$A$1:$Z$20000,MATCH(P371,'Semrush Data'!$A$1:$A$20000,0),MATCH("Volume",'Semrush Data'!$A$1:$Z$1,0)),""))</f>
        <v/>
      </c>
      <c r="V371" s="25" t="str">
        <f aca="false">IF(COUNT(Q371:U371)=0,L371,IF(MAX(Q371:U371)=0,L371,INDEX(L371:P371,MATCH(MAX(Q371:U371),Q371:U371,0))))</f>
        <v>game of spades rouge extrait</v>
      </c>
      <c r="W371" s="24" t="n">
        <f aca="false">IFERROR(INDEX('Semrush Data'!$A$1:$Z$20000,MATCH(V371,'Semrush Data'!$A$1:$A$20000,0),MATCH("Volume",'Semrush Data'!$A$1:$Z$1,0)),"")</f>
        <v>20</v>
      </c>
      <c r="X371" s="24" t="n">
        <f aca="false">IFERROR(INDEX('Semrush Data'!$A$1:$Z$20000,MATCH(V371,'Semrush Data'!$A$1:$A$20000,0),MATCH("Keyword Difficulty*",'Semrush Data'!$A$1:$Z$1,0)),"")</f>
        <v>20</v>
      </c>
      <c r="Y371" s="26" t="n">
        <f aca="false">IFERROR(INDEX('Semrush Data'!$A$1:$Z$20000,MATCH(V371,'Semrush Data'!$A$1:$A$20000,0),MATCH("CPC*",'Semrush Data'!$A$1:$Z$1,0)),"")</f>
        <v>0</v>
      </c>
      <c r="Z371" s="23" t="s">
        <v>4304</v>
      </c>
      <c r="AA371" s="23" t="s">
        <v>4621</v>
      </c>
      <c r="AB371" s="23" t="s">
        <v>4622</v>
      </c>
      <c r="AC371" s="23" t="s">
        <v>4623</v>
      </c>
      <c r="AD371" s="27" t="n">
        <f aca="false">LEN(AC371)</f>
        <v>55</v>
      </c>
      <c r="AE371" s="23" t="s">
        <v>4624</v>
      </c>
      <c r="AF371" s="27" t="n">
        <f aca="false">LEN(AE371)</f>
        <v>144</v>
      </c>
    </row>
    <row r="372" customFormat="false" ht="15" hidden="false" customHeight="true" outlineLevel="0" collapsed="false">
      <c r="A372" s="23" t="s">
        <v>4625</v>
      </c>
      <c r="B372" s="23" t="s">
        <v>2449</v>
      </c>
      <c r="C372" s="23" t="n">
        <v>212</v>
      </c>
      <c r="D372" s="23" t="s">
        <v>4626</v>
      </c>
      <c r="E372" s="23"/>
      <c r="F372" s="23" t="s">
        <v>2452</v>
      </c>
      <c r="G372" s="23" t="s">
        <v>2818</v>
      </c>
      <c r="H372" s="23" t="s">
        <v>2608</v>
      </c>
      <c r="I372" s="23" t="s">
        <v>4627</v>
      </c>
      <c r="J372" s="23" t="s">
        <v>2833</v>
      </c>
      <c r="K372" s="23" t="n">
        <v>84.99</v>
      </c>
      <c r="L372" s="23" t="s">
        <v>4628</v>
      </c>
      <c r="M372" s="23" t="s">
        <v>4629</v>
      </c>
      <c r="N372" s="23" t="s">
        <v>4630</v>
      </c>
      <c r="O372" s="23" t="s">
        <v>4631</v>
      </c>
      <c r="P372" s="23" t="s">
        <v>4632</v>
      </c>
      <c r="Q372" s="24" t="n">
        <f aca="false">IF(L372="","",IFERROR(INDEX('Semrush Data'!$A$1:$Z$20000,MATCH(L372,'Semrush Data'!$A$1:$A$20000,0),MATCH("Volume",'Semrush Data'!$A$1:$Z$1,0)),""))</f>
        <v>0</v>
      </c>
      <c r="R372" s="24" t="str">
        <f aca="false">IF(M372="","",IFERROR(INDEX('Semrush Data'!$A$1:$Z$20000,MATCH(M372,'Semrush Data'!$A$1:$A$20000,0),MATCH("Volume",'Semrush Data'!$A$1:$Z$1,0)),""))</f>
        <v/>
      </c>
      <c r="S372" s="24" t="str">
        <f aca="false">IF(N372="","",IFERROR(INDEX('Semrush Data'!$A$1:$Z$20000,MATCH(N372,'Semrush Data'!$A$1:$A$20000,0),MATCH("Volume",'Semrush Data'!$A$1:$Z$1,0)),""))</f>
        <v/>
      </c>
      <c r="T372" s="24" t="str">
        <f aca="false">IF(O372="","",IFERROR(INDEX('Semrush Data'!$A$1:$Z$20000,MATCH(O372,'Semrush Data'!$A$1:$A$20000,0),MATCH("Volume",'Semrush Data'!$A$1:$Z$1,0)),""))</f>
        <v/>
      </c>
      <c r="U372" s="24" t="str">
        <f aca="false">IF(P372="","",IFERROR(INDEX('Semrush Data'!$A$1:$Z$20000,MATCH(P372,'Semrush Data'!$A$1:$A$20000,0),MATCH("Volume",'Semrush Data'!$A$1:$Z$1,0)),""))</f>
        <v/>
      </c>
      <c r="V372" s="25" t="str">
        <f aca="false">IF(COUNT(Q372:U372)=0,L372,IF(MAX(Q372:U372)=0,L372,INDEX(L372:P372,MATCH(MAX(Q372:U372),Q372:U372,0))))</f>
        <v>giorgia armani giorgio armani code refillable</v>
      </c>
      <c r="W372" s="24" t="n">
        <f aca="false">IFERROR(INDEX('Semrush Data'!$A$1:$Z$20000,MATCH(V372,'Semrush Data'!$A$1:$A$20000,0),MATCH("Volume",'Semrush Data'!$A$1:$Z$1,0)),"")</f>
        <v>0</v>
      </c>
      <c r="X372" s="24" t="n">
        <f aca="false">IFERROR(INDEX('Semrush Data'!$A$1:$Z$20000,MATCH(V372,'Semrush Data'!$A$1:$A$20000,0),MATCH("Keyword Difficulty*",'Semrush Data'!$A$1:$Z$1,0)),"")</f>
        <v>16</v>
      </c>
      <c r="Y372" s="26" t="n">
        <f aca="false">IFERROR(INDEX('Semrush Data'!$A$1:$Z$20000,MATCH(V372,'Semrush Data'!$A$1:$A$20000,0),MATCH("CPC*",'Semrush Data'!$A$1:$Z$1,0)),"")</f>
        <v>0</v>
      </c>
      <c r="Z372" s="23" t="s">
        <v>4633</v>
      </c>
      <c r="AA372" s="23"/>
      <c r="AB372" s="23" t="s">
        <v>4634</v>
      </c>
      <c r="AC372" s="23" t="s">
        <v>4635</v>
      </c>
      <c r="AD372" s="27" t="n">
        <f aca="false">LEN(AC372)</f>
        <v>56</v>
      </c>
      <c r="AE372" s="23" t="s">
        <v>4636</v>
      </c>
      <c r="AF372" s="27" t="n">
        <f aca="false">LEN(AE372)</f>
        <v>157</v>
      </c>
    </row>
    <row r="373" customFormat="false" ht="15" hidden="false" customHeight="true" outlineLevel="0" collapsed="false">
      <c r="A373" s="23" t="s">
        <v>4637</v>
      </c>
      <c r="B373" s="23" t="s">
        <v>2449</v>
      </c>
      <c r="C373" s="23" t="n">
        <v>213</v>
      </c>
      <c r="D373" s="23" t="s">
        <v>4638</v>
      </c>
      <c r="E373" s="23"/>
      <c r="F373" s="23" t="s">
        <v>2452</v>
      </c>
      <c r="G373" s="23" t="s">
        <v>2818</v>
      </c>
      <c r="H373" s="23" t="s">
        <v>2608</v>
      </c>
      <c r="I373" s="23" t="s">
        <v>4639</v>
      </c>
      <c r="J373" s="23" t="s">
        <v>2833</v>
      </c>
      <c r="K373" s="23" t="n">
        <v>66.99</v>
      </c>
      <c r="L373" s="23" t="s">
        <v>4640</v>
      </c>
      <c r="M373" s="23" t="s">
        <v>4641</v>
      </c>
      <c r="N373" s="23" t="s">
        <v>4642</v>
      </c>
      <c r="O373" s="23" t="s">
        <v>4643</v>
      </c>
      <c r="P373" s="23" t="s">
        <v>4644</v>
      </c>
      <c r="Q373" s="24" t="n">
        <f aca="false">IF(L373="","",IFERROR(INDEX('Semrush Data'!$A$1:$Z$20000,MATCH(L373,'Semrush Data'!$A$1:$A$20000,0),MATCH("Volume",'Semrush Data'!$A$1:$Z$1,0)),""))</f>
        <v>20</v>
      </c>
      <c r="R373" s="24" t="str">
        <f aca="false">IF(M373="","",IFERROR(INDEX('Semrush Data'!$A$1:$Z$20000,MATCH(M373,'Semrush Data'!$A$1:$A$20000,0),MATCH("Volume",'Semrush Data'!$A$1:$Z$1,0)),""))</f>
        <v/>
      </c>
      <c r="S373" s="24" t="str">
        <f aca="false">IF(N373="","",IFERROR(INDEX('Semrush Data'!$A$1:$Z$20000,MATCH(N373,'Semrush Data'!$A$1:$A$20000,0),MATCH("Volume",'Semrush Data'!$A$1:$Z$1,0)),""))</f>
        <v/>
      </c>
      <c r="T373" s="24" t="str">
        <f aca="false">IF(O373="","",IFERROR(INDEX('Semrush Data'!$A$1:$Z$20000,MATCH(O373,'Semrush Data'!$A$1:$A$20000,0),MATCH("Volume",'Semrush Data'!$A$1:$Z$1,0)),""))</f>
        <v/>
      </c>
      <c r="U373" s="24" t="str">
        <f aca="false">IF(P373="","",IFERROR(INDEX('Semrush Data'!$A$1:$Z$20000,MATCH(P373,'Semrush Data'!$A$1:$A$20000,0),MATCH("Volume",'Semrush Data'!$A$1:$Z$1,0)),""))</f>
        <v/>
      </c>
      <c r="V373" s="25" t="str">
        <f aca="false">IF(COUNT(Q373:U373)=0,L373,IF(MAX(Q373:U373)=0,L373,INDEX(L373:P373,MATCH(MAX(Q373:U373),Q373:U373,0))))</f>
        <v>giorgio armani code refillable</v>
      </c>
      <c r="W373" s="24" t="n">
        <f aca="false">IFERROR(INDEX('Semrush Data'!$A$1:$Z$20000,MATCH(V373,'Semrush Data'!$A$1:$A$20000,0),MATCH("Volume",'Semrush Data'!$A$1:$Z$1,0)),"")</f>
        <v>20</v>
      </c>
      <c r="X373" s="24" t="n">
        <f aca="false">IFERROR(INDEX('Semrush Data'!$A$1:$Z$20000,MATCH(V373,'Semrush Data'!$A$1:$A$20000,0),MATCH("Keyword Difficulty*",'Semrush Data'!$A$1:$Z$1,0)),"")</f>
        <v>13</v>
      </c>
      <c r="Y373" s="26" t="n">
        <f aca="false">IFERROR(INDEX('Semrush Data'!$A$1:$Z$20000,MATCH(V373,'Semrush Data'!$A$1:$A$20000,0),MATCH("CPC*",'Semrush Data'!$A$1:$Z$1,0)),"")</f>
        <v>0.33</v>
      </c>
      <c r="Z373" s="23" t="s">
        <v>4645</v>
      </c>
      <c r="AA373" s="23" t="s">
        <v>4646</v>
      </c>
      <c r="AB373" s="23" t="s">
        <v>4647</v>
      </c>
      <c r="AC373" s="23" t="s">
        <v>4648</v>
      </c>
      <c r="AD373" s="27" t="n">
        <f aca="false">LEN(AC373)</f>
        <v>60</v>
      </c>
      <c r="AE373" s="23" t="s">
        <v>4649</v>
      </c>
      <c r="AF373" s="27" t="n">
        <f aca="false">LEN(AE373)</f>
        <v>160</v>
      </c>
    </row>
    <row r="374" customFormat="false" ht="15" hidden="false" customHeight="true" outlineLevel="0" collapsed="false">
      <c r="A374" s="23" t="s">
        <v>115</v>
      </c>
      <c r="B374" s="23" t="s">
        <v>2449</v>
      </c>
      <c r="C374" s="23" t="n">
        <v>214</v>
      </c>
      <c r="D374" s="23" t="s">
        <v>4650</v>
      </c>
      <c r="E374" s="23"/>
      <c r="F374" s="23" t="s">
        <v>2452</v>
      </c>
      <c r="G374" s="23" t="s">
        <v>2818</v>
      </c>
      <c r="H374" s="23" t="s">
        <v>2454</v>
      </c>
      <c r="I374" s="23" t="s">
        <v>116</v>
      </c>
      <c r="J374" s="23" t="s">
        <v>1994</v>
      </c>
      <c r="K374" s="23" t="n">
        <v>52.99</v>
      </c>
      <c r="L374" s="23" t="s">
        <v>4651</v>
      </c>
      <c r="M374" s="23" t="s">
        <v>4652</v>
      </c>
      <c r="N374" s="23" t="s">
        <v>4653</v>
      </c>
      <c r="O374" s="23" t="s">
        <v>4654</v>
      </c>
      <c r="P374" s="23" t="s">
        <v>4655</v>
      </c>
      <c r="Q374" s="24" t="n">
        <f aca="false">IF(L374="","",IFERROR(INDEX('Semrush Data'!$A$1:$Z$20000,MATCH(L374,'Semrush Data'!$A$1:$A$20000,0),MATCH("Volume",'Semrush Data'!$A$1:$Z$1,0)),""))</f>
        <v>590</v>
      </c>
      <c r="R374" s="24" t="n">
        <f aca="false">IF(M374="","",IFERROR(INDEX('Semrush Data'!$A$1:$Z$20000,MATCH(M374,'Semrush Data'!$A$1:$A$20000,0),MATCH("Volume",'Semrush Data'!$A$1:$Z$1,0)),""))</f>
        <v>0</v>
      </c>
      <c r="S374" s="24" t="str">
        <f aca="false">IF(N374="","",IFERROR(INDEX('Semrush Data'!$A$1:$Z$20000,MATCH(N374,'Semrush Data'!$A$1:$A$20000,0),MATCH("Volume",'Semrush Data'!$A$1:$Z$1,0)),""))</f>
        <v/>
      </c>
      <c r="T374" s="24" t="str">
        <f aca="false">IF(O374="","",IFERROR(INDEX('Semrush Data'!$A$1:$Z$20000,MATCH(O374,'Semrush Data'!$A$1:$A$20000,0),MATCH("Volume",'Semrush Data'!$A$1:$Z$1,0)),""))</f>
        <v/>
      </c>
      <c r="U374" s="24" t="n">
        <f aca="false">IF(P374="","",IFERROR(INDEX('Semrush Data'!$A$1:$Z$20000,MATCH(P374,'Semrush Data'!$A$1:$A$20000,0),MATCH("Volume",'Semrush Data'!$A$1:$Z$1,0)),""))</f>
        <v>40</v>
      </c>
      <c r="V374" s="25" t="str">
        <f aca="false">IF(COUNT(Q374:U374)=0,L374,IF(MAX(Q374:U374)=0,L374,INDEX(L374:P374,MATCH(MAX(Q374:U374),Q374:U374,0))))</f>
        <v>givenchy amarige</v>
      </c>
      <c r="W374" s="24" t="n">
        <f aca="false">IFERROR(INDEX('Semrush Data'!$A$1:$Z$20000,MATCH(V374,'Semrush Data'!$A$1:$A$20000,0),MATCH("Volume",'Semrush Data'!$A$1:$Z$1,0)),"")</f>
        <v>590</v>
      </c>
      <c r="X374" s="24" t="n">
        <f aca="false">IFERROR(INDEX('Semrush Data'!$A$1:$Z$20000,MATCH(V374,'Semrush Data'!$A$1:$A$20000,0),MATCH("Keyword Difficulty*",'Semrush Data'!$A$1:$Z$1,0)),"")</f>
        <v>28</v>
      </c>
      <c r="Y374" s="26" t="n">
        <f aca="false">IFERROR(INDEX('Semrush Data'!$A$1:$Z$20000,MATCH(V374,'Semrush Data'!$A$1:$A$20000,0),MATCH("CPC*",'Semrush Data'!$A$1:$Z$1,0)),"")</f>
        <v>0.51</v>
      </c>
      <c r="Z374" s="23" t="s">
        <v>4656</v>
      </c>
      <c r="AA374" s="23" t="s">
        <v>4657</v>
      </c>
      <c r="AB374" s="23" t="s">
        <v>4658</v>
      </c>
      <c r="AC374" s="23" t="s">
        <v>4659</v>
      </c>
      <c r="AD374" s="27" t="n">
        <f aca="false">LEN(AC374)</f>
        <v>59</v>
      </c>
      <c r="AE374" s="23" t="s">
        <v>4660</v>
      </c>
      <c r="AF374" s="27" t="n">
        <f aca="false">LEN(AE374)</f>
        <v>156</v>
      </c>
    </row>
    <row r="375" customFormat="false" ht="15" hidden="false" customHeight="true" outlineLevel="0" collapsed="false">
      <c r="A375" s="23" t="s">
        <v>4661</v>
      </c>
      <c r="B375" s="23" t="s">
        <v>2449</v>
      </c>
      <c r="C375" s="23" t="n">
        <v>215</v>
      </c>
      <c r="D375" s="23" t="s">
        <v>4650</v>
      </c>
      <c r="E375" s="23"/>
      <c r="F375" s="23" t="s">
        <v>2452</v>
      </c>
      <c r="G375" s="23" t="s">
        <v>2818</v>
      </c>
      <c r="H375" s="23" t="s">
        <v>2608</v>
      </c>
      <c r="I375" s="23" t="s">
        <v>4662</v>
      </c>
      <c r="J375" s="23" t="s">
        <v>1994</v>
      </c>
      <c r="K375" s="23" t="n">
        <v>49.99</v>
      </c>
      <c r="L375" s="23" t="s">
        <v>4663</v>
      </c>
      <c r="M375" s="23" t="s">
        <v>4664</v>
      </c>
      <c r="N375" s="23" t="s">
        <v>4665</v>
      </c>
      <c r="O375" s="23" t="s">
        <v>4666</v>
      </c>
      <c r="P375" s="23" t="s">
        <v>4667</v>
      </c>
      <c r="Q375" s="24" t="n">
        <f aca="false">IF(L375="","",IFERROR(INDEX('Semrush Data'!$A$1:$Z$20000,MATCH(L375,'Semrush Data'!$A$1:$A$20000,0),MATCH("Volume",'Semrush Data'!$A$1:$Z$1,0)),""))</f>
        <v>20</v>
      </c>
      <c r="R375" s="24" t="str">
        <f aca="false">IF(M375="","",IFERROR(INDEX('Semrush Data'!$A$1:$Z$20000,MATCH(M375,'Semrush Data'!$A$1:$A$20000,0),MATCH("Volume",'Semrush Data'!$A$1:$Z$1,0)),""))</f>
        <v/>
      </c>
      <c r="S375" s="24" t="str">
        <f aca="false">IF(N375="","",IFERROR(INDEX('Semrush Data'!$A$1:$Z$20000,MATCH(N375,'Semrush Data'!$A$1:$A$20000,0),MATCH("Volume",'Semrush Data'!$A$1:$Z$1,0)),""))</f>
        <v/>
      </c>
      <c r="T375" s="24" t="str">
        <f aca="false">IF(O375="","",IFERROR(INDEX('Semrush Data'!$A$1:$Z$20000,MATCH(O375,'Semrush Data'!$A$1:$A$20000,0),MATCH("Volume",'Semrush Data'!$A$1:$Z$1,0)),""))</f>
        <v/>
      </c>
      <c r="U375" s="24" t="str">
        <f aca="false">IF(P375="","",IFERROR(INDEX('Semrush Data'!$A$1:$Z$20000,MATCH(P375,'Semrush Data'!$A$1:$A$20000,0),MATCH("Volume",'Semrush Data'!$A$1:$Z$1,0)),""))</f>
        <v/>
      </c>
      <c r="V375" s="25" t="str">
        <f aca="false">IF(COUNT(Q375:U375)=0,L375,IF(MAX(Q375:U375)=0,L375,INDEX(L375:P375,MATCH(MAX(Q375:U375),Q375:U375,0))))</f>
        <v>givenchy gentleman originale</v>
      </c>
      <c r="W375" s="24" t="n">
        <f aca="false">IFERROR(INDEX('Semrush Data'!$A$1:$Z$20000,MATCH(V375,'Semrush Data'!$A$1:$A$20000,0),MATCH("Volume",'Semrush Data'!$A$1:$Z$1,0)),"")</f>
        <v>20</v>
      </c>
      <c r="X375" s="24" t="n">
        <f aca="false">IFERROR(INDEX('Semrush Data'!$A$1:$Z$20000,MATCH(V375,'Semrush Data'!$A$1:$A$20000,0),MATCH("Keyword Difficulty*",'Semrush Data'!$A$1:$Z$1,0)),"")</f>
        <v>18</v>
      </c>
      <c r="Y375" s="26" t="n">
        <f aca="false">IFERROR(INDEX('Semrush Data'!$A$1:$Z$20000,MATCH(V375,'Semrush Data'!$A$1:$A$20000,0),MATCH("CPC*",'Semrush Data'!$A$1:$Z$1,0)),"")</f>
        <v>0.63</v>
      </c>
      <c r="Z375" s="23" t="s">
        <v>4668</v>
      </c>
      <c r="AA375" s="23" t="s">
        <v>4669</v>
      </c>
      <c r="AB375" s="23" t="s">
        <v>4670</v>
      </c>
      <c r="AC375" s="23" t="s">
        <v>4671</v>
      </c>
      <c r="AD375" s="27" t="n">
        <f aca="false">LEN(AC375)</f>
        <v>58</v>
      </c>
      <c r="AE375" s="23" t="s">
        <v>4672</v>
      </c>
      <c r="AF375" s="27" t="n">
        <f aca="false">LEN(AE375)</f>
        <v>159</v>
      </c>
    </row>
    <row r="376" customFormat="false" ht="15" hidden="false" customHeight="true" outlineLevel="0" collapsed="false">
      <c r="A376" s="23" t="s">
        <v>4673</v>
      </c>
      <c r="B376" s="23" t="s">
        <v>2449</v>
      </c>
      <c r="C376" s="23" t="n">
        <v>216</v>
      </c>
      <c r="D376" s="23" t="s">
        <v>4674</v>
      </c>
      <c r="E376" s="23"/>
      <c r="F376" s="23" t="s">
        <v>2452</v>
      </c>
      <c r="G376" s="23" t="s">
        <v>2453</v>
      </c>
      <c r="H376" s="23" t="s">
        <v>2454</v>
      </c>
      <c r="I376" s="23" t="s">
        <v>4675</v>
      </c>
      <c r="J376" s="23" t="s">
        <v>2814</v>
      </c>
      <c r="K376" s="23" t="n">
        <v>16.95</v>
      </c>
      <c r="L376" s="23" t="s">
        <v>4676</v>
      </c>
      <c r="M376" s="23" t="s">
        <v>4677</v>
      </c>
      <c r="N376" s="23" t="s">
        <v>4678</v>
      </c>
      <c r="O376" s="23" t="s">
        <v>4679</v>
      </c>
      <c r="P376" s="23" t="s">
        <v>4680</v>
      </c>
      <c r="Q376" s="24" t="n">
        <f aca="false">IF(L376="","",IFERROR(INDEX('Semrush Data'!$A$1:$Z$20000,MATCH(L376,'Semrush Data'!$A$1:$A$20000,0),MATCH("Volume",'Semrush Data'!$A$1:$Z$1,0)),""))</f>
        <v>0</v>
      </c>
      <c r="R376" s="24" t="str">
        <f aca="false">IF(M376="","",IFERROR(INDEX('Semrush Data'!$A$1:$Z$20000,MATCH(M376,'Semrush Data'!$A$1:$A$20000,0),MATCH("Volume",'Semrush Data'!$A$1:$Z$1,0)),""))</f>
        <v/>
      </c>
      <c r="S376" s="24" t="str">
        <f aca="false">IF(N376="","",IFERROR(INDEX('Semrush Data'!$A$1:$Z$20000,MATCH(N376,'Semrush Data'!$A$1:$A$20000,0),MATCH("Volume",'Semrush Data'!$A$1:$Z$1,0)),""))</f>
        <v/>
      </c>
      <c r="T376" s="24" t="str">
        <f aca="false">IF(O376="","",IFERROR(INDEX('Semrush Data'!$A$1:$Z$20000,MATCH(O376,'Semrush Data'!$A$1:$A$20000,0),MATCH("Volume",'Semrush Data'!$A$1:$Z$1,0)),""))</f>
        <v/>
      </c>
      <c r="U376" s="24" t="str">
        <f aca="false">IF(P376="","",IFERROR(INDEX('Semrush Data'!$A$1:$Z$20000,MATCH(P376,'Semrush Data'!$A$1:$A$20000,0),MATCH("Volume",'Semrush Data'!$A$1:$Z$1,0)),""))</f>
        <v/>
      </c>
      <c r="V376" s="25" t="str">
        <f aca="false">IF(COUNT(Q376:U376)=0,L376,IF(MAX(Q376:U376)=0,L376,INDEX(L376:P376,MATCH(MAX(Q376:U376),Q376:U376,0))))</f>
        <v>gucci bloom profumo di fiori pen</v>
      </c>
      <c r="W376" s="24" t="n">
        <f aca="false">IFERROR(INDEX('Semrush Data'!$A$1:$Z$20000,MATCH(V376,'Semrush Data'!$A$1:$A$20000,0),MATCH("Volume",'Semrush Data'!$A$1:$Z$1,0)),"")</f>
        <v>0</v>
      </c>
      <c r="X376" s="24" t="n">
        <f aca="false">IFERROR(INDEX('Semrush Data'!$A$1:$Z$20000,MATCH(V376,'Semrush Data'!$A$1:$A$20000,0),MATCH("Keyword Difficulty*",'Semrush Data'!$A$1:$Z$1,0)),"")</f>
        <v>17</v>
      </c>
      <c r="Y376" s="26" t="n">
        <f aca="false">IFERROR(INDEX('Semrush Data'!$A$1:$Z$20000,MATCH(V376,'Semrush Data'!$A$1:$A$20000,0),MATCH("CPC*",'Semrush Data'!$A$1:$Z$1,0)),"")</f>
        <v>0</v>
      </c>
      <c r="Z376" s="23" t="s">
        <v>4681</v>
      </c>
      <c r="AA376" s="23"/>
      <c r="AB376" s="23" t="s">
        <v>4682</v>
      </c>
      <c r="AC376" s="23" t="s">
        <v>4683</v>
      </c>
      <c r="AD376" s="27" t="n">
        <f aca="false">LEN(AC376)</f>
        <v>57</v>
      </c>
      <c r="AE376" s="23" t="s">
        <v>4684</v>
      </c>
      <c r="AF376" s="27" t="n">
        <f aca="false">LEN(AE376)</f>
        <v>159</v>
      </c>
    </row>
    <row r="377" customFormat="false" ht="15" hidden="false" customHeight="true" outlineLevel="0" collapsed="false">
      <c r="A377" s="23" t="s">
        <v>67</v>
      </c>
      <c r="B377" s="23" t="s">
        <v>2449</v>
      </c>
      <c r="C377" s="23" t="n">
        <v>217</v>
      </c>
      <c r="D377" s="23" t="s">
        <v>4674</v>
      </c>
      <c r="E377" s="23"/>
      <c r="F377" s="23" t="s">
        <v>2452</v>
      </c>
      <c r="G377" s="23" t="s">
        <v>2453</v>
      </c>
      <c r="H377" s="23" t="s">
        <v>2454</v>
      </c>
      <c r="I377" s="23" t="s">
        <v>68</v>
      </c>
      <c r="J377" s="23" t="s">
        <v>1468</v>
      </c>
      <c r="K377" s="23" t="n">
        <v>59.99</v>
      </c>
      <c r="L377" s="23" t="s">
        <v>4685</v>
      </c>
      <c r="M377" s="23" t="s">
        <v>4686</v>
      </c>
      <c r="N377" s="23" t="s">
        <v>4687</v>
      </c>
      <c r="O377" s="23" t="s">
        <v>4688</v>
      </c>
      <c r="P377" s="23" t="s">
        <v>4689</v>
      </c>
      <c r="Q377" s="24" t="n">
        <f aca="false">IF(L377="","",IFERROR(INDEX('Semrush Data'!$A$1:$Z$20000,MATCH(L377,'Semrush Data'!$A$1:$A$20000,0),MATCH("Volume",'Semrush Data'!$A$1:$Z$1,0)),""))</f>
        <v>4400</v>
      </c>
      <c r="R377" s="24" t="n">
        <f aca="false">IF(M377="","",IFERROR(INDEX('Semrush Data'!$A$1:$Z$20000,MATCH(M377,'Semrush Data'!$A$1:$A$20000,0),MATCH("Volume",'Semrush Data'!$A$1:$Z$1,0)),""))</f>
        <v>20</v>
      </c>
      <c r="S377" s="24" t="n">
        <f aca="false">IF(N377="","",IFERROR(INDEX('Semrush Data'!$A$1:$Z$20000,MATCH(N377,'Semrush Data'!$A$1:$A$20000,0),MATCH("Volume",'Semrush Data'!$A$1:$Z$1,0)),""))</f>
        <v>0</v>
      </c>
      <c r="T377" s="24" t="n">
        <f aca="false">IF(O377="","",IFERROR(INDEX('Semrush Data'!$A$1:$Z$20000,MATCH(O377,'Semrush Data'!$A$1:$A$20000,0),MATCH("Volume",'Semrush Data'!$A$1:$Z$1,0)),""))</f>
        <v>20</v>
      </c>
      <c r="U377" s="24" t="n">
        <f aca="false">IF(P377="","",IFERROR(INDEX('Semrush Data'!$A$1:$Z$20000,MATCH(P377,'Semrush Data'!$A$1:$A$20000,0),MATCH("Volume",'Semrush Data'!$A$1:$Z$1,0)),""))</f>
        <v>260</v>
      </c>
      <c r="V377" s="25" t="str">
        <f aca="false">IF(COUNT(Q377:U377)=0,L377,IF(MAX(Q377:U377)=0,L377,INDEX(L377:P377,MATCH(MAX(Q377:U377),Q377:U377,0))))</f>
        <v>gucci flora gorgeous gardenia</v>
      </c>
      <c r="W377" s="24" t="n">
        <f aca="false">IFERROR(INDEX('Semrush Data'!$A$1:$Z$20000,MATCH(V377,'Semrush Data'!$A$1:$A$20000,0),MATCH("Volume",'Semrush Data'!$A$1:$Z$1,0)),"")</f>
        <v>4400</v>
      </c>
      <c r="X377" s="24" t="n">
        <f aca="false">IFERROR(INDEX('Semrush Data'!$A$1:$Z$20000,MATCH(V377,'Semrush Data'!$A$1:$A$20000,0),MATCH("Keyword Difficulty*",'Semrush Data'!$A$1:$Z$1,0)),"")</f>
        <v>29</v>
      </c>
      <c r="Y377" s="26" t="n">
        <f aca="false">IFERROR(INDEX('Semrush Data'!$A$1:$Z$20000,MATCH(V377,'Semrush Data'!$A$1:$A$20000,0),MATCH("CPC*",'Semrush Data'!$A$1:$Z$1,0)),"")</f>
        <v>0.43</v>
      </c>
      <c r="Z377" s="23" t="s">
        <v>4681</v>
      </c>
      <c r="AA377" s="23" t="s">
        <v>4690</v>
      </c>
      <c r="AB377" s="23" t="s">
        <v>4691</v>
      </c>
      <c r="AC377" s="23" t="s">
        <v>4692</v>
      </c>
      <c r="AD377" s="27" t="n">
        <f aca="false">LEN(AC377)</f>
        <v>57</v>
      </c>
      <c r="AE377" s="23" t="s">
        <v>4693</v>
      </c>
      <c r="AF377" s="27" t="n">
        <f aca="false">LEN(AE377)</f>
        <v>158</v>
      </c>
    </row>
    <row r="378" customFormat="false" ht="15" hidden="false" customHeight="true" outlineLevel="0" collapsed="false">
      <c r="A378" s="23" t="s">
        <v>4694</v>
      </c>
      <c r="B378" s="23" t="s">
        <v>2449</v>
      </c>
      <c r="C378" s="23" t="n">
        <v>218</v>
      </c>
      <c r="D378" s="23" t="s">
        <v>4674</v>
      </c>
      <c r="E378" s="23"/>
      <c r="F378" s="23" t="s">
        <v>2452</v>
      </c>
      <c r="G378" s="23" t="s">
        <v>2453</v>
      </c>
      <c r="H378" s="23" t="s">
        <v>2454</v>
      </c>
      <c r="I378" s="23" t="s">
        <v>4695</v>
      </c>
      <c r="J378" s="23" t="s">
        <v>2814</v>
      </c>
      <c r="K378" s="23" t="n">
        <v>17.99</v>
      </c>
      <c r="L378" s="23" t="s">
        <v>4696</v>
      </c>
      <c r="M378" s="23" t="s">
        <v>4697</v>
      </c>
      <c r="N378" s="23" t="s">
        <v>4698</v>
      </c>
      <c r="O378" s="23" t="s">
        <v>4699</v>
      </c>
      <c r="P378" s="23" t="s">
        <v>4700</v>
      </c>
      <c r="Q378" s="24" t="n">
        <f aca="false">IF(L378="","",IFERROR(INDEX('Semrush Data'!$A$1:$Z$20000,MATCH(L378,'Semrush Data'!$A$1:$A$20000,0),MATCH("Volume",'Semrush Data'!$A$1:$Z$1,0)),""))</f>
        <v>0</v>
      </c>
      <c r="R378" s="24" t="str">
        <f aca="false">IF(M378="","",IFERROR(INDEX('Semrush Data'!$A$1:$Z$20000,MATCH(M378,'Semrush Data'!$A$1:$A$20000,0),MATCH("Volume",'Semrush Data'!$A$1:$Z$1,0)),""))</f>
        <v/>
      </c>
      <c r="S378" s="24" t="str">
        <f aca="false">IF(N378="","",IFERROR(INDEX('Semrush Data'!$A$1:$Z$20000,MATCH(N378,'Semrush Data'!$A$1:$A$20000,0),MATCH("Volume",'Semrush Data'!$A$1:$Z$1,0)),""))</f>
        <v/>
      </c>
      <c r="T378" s="24" t="str">
        <f aca="false">IF(O378="","",IFERROR(INDEX('Semrush Data'!$A$1:$Z$20000,MATCH(O378,'Semrush Data'!$A$1:$A$20000,0),MATCH("Volume",'Semrush Data'!$A$1:$Z$1,0)),""))</f>
        <v/>
      </c>
      <c r="U378" s="24" t="str">
        <f aca="false">IF(P378="","",IFERROR(INDEX('Semrush Data'!$A$1:$Z$20000,MATCH(P378,'Semrush Data'!$A$1:$A$20000,0),MATCH("Volume",'Semrush Data'!$A$1:$Z$1,0)),""))</f>
        <v/>
      </c>
      <c r="V378" s="25" t="str">
        <f aca="false">IF(COUNT(Q378:U378)=0,L378,IF(MAX(Q378:U378)=0,L378,INDEX(L378:P378,MATCH(MAX(Q378:U378),Q378:U378,0))))</f>
        <v>gucci flora gorgeous orchid miniature</v>
      </c>
      <c r="W378" s="24" t="n">
        <f aca="false">IFERROR(INDEX('Semrush Data'!$A$1:$Z$20000,MATCH(V378,'Semrush Data'!$A$1:$A$20000,0),MATCH("Volume",'Semrush Data'!$A$1:$Z$1,0)),"")</f>
        <v>0</v>
      </c>
      <c r="X378" s="24" t="n">
        <f aca="false">IFERROR(INDEX('Semrush Data'!$A$1:$Z$20000,MATCH(V378,'Semrush Data'!$A$1:$A$20000,0),MATCH("Keyword Difficulty*",'Semrush Data'!$A$1:$Z$1,0)),"")</f>
        <v>20</v>
      </c>
      <c r="Y378" s="26" t="n">
        <f aca="false">IFERROR(INDEX('Semrush Data'!$A$1:$Z$20000,MATCH(V378,'Semrush Data'!$A$1:$A$20000,0),MATCH("CPC*",'Semrush Data'!$A$1:$Z$1,0)),"")</f>
        <v>0</v>
      </c>
      <c r="Z378" s="23" t="s">
        <v>4681</v>
      </c>
      <c r="AA378" s="23"/>
      <c r="AB378" s="23" t="s">
        <v>4701</v>
      </c>
      <c r="AC378" s="23" t="s">
        <v>4702</v>
      </c>
      <c r="AD378" s="27" t="n">
        <f aca="false">LEN(AC378)</f>
        <v>60</v>
      </c>
      <c r="AE378" s="23" t="s">
        <v>4703</v>
      </c>
      <c r="AF378" s="27" t="n">
        <f aca="false">LEN(AE378)</f>
        <v>160</v>
      </c>
    </row>
    <row r="379" customFormat="false" ht="15" hidden="false" customHeight="true" outlineLevel="0" collapsed="false">
      <c r="A379" s="23" t="s">
        <v>4704</v>
      </c>
      <c r="B379" s="23" t="s">
        <v>2449</v>
      </c>
      <c r="C379" s="23" t="n">
        <v>219</v>
      </c>
      <c r="D379" s="23" t="s">
        <v>4674</v>
      </c>
      <c r="E379" s="23"/>
      <c r="F379" s="23" t="s">
        <v>2452</v>
      </c>
      <c r="G379" s="23" t="s">
        <v>2453</v>
      </c>
      <c r="H379" s="23" t="s">
        <v>2516</v>
      </c>
      <c r="I379" s="23" t="s">
        <v>4705</v>
      </c>
      <c r="J379" s="23" t="s">
        <v>2814</v>
      </c>
      <c r="K379" s="23" t="n">
        <v>19.99</v>
      </c>
      <c r="L379" s="23" t="s">
        <v>4706</v>
      </c>
      <c r="M379" s="23" t="s">
        <v>4707</v>
      </c>
      <c r="N379" s="23" t="s">
        <v>4708</v>
      </c>
      <c r="O379" s="23" t="s">
        <v>4709</v>
      </c>
      <c r="P379" s="23" t="s">
        <v>4710</v>
      </c>
      <c r="Q379" s="24" t="n">
        <f aca="false">IF(L379="","",IFERROR(INDEX('Semrush Data'!$A$1:$Z$20000,MATCH(L379,'Semrush Data'!$A$1:$A$20000,0),MATCH("Volume",'Semrush Data'!$A$1:$Z$1,0)),""))</f>
        <v>0</v>
      </c>
      <c r="R379" s="24" t="str">
        <f aca="false">IF(M379="","",IFERROR(INDEX('Semrush Data'!$A$1:$Z$20000,MATCH(M379,'Semrush Data'!$A$1:$A$20000,0),MATCH("Volume",'Semrush Data'!$A$1:$Z$1,0)),""))</f>
        <v/>
      </c>
      <c r="S379" s="24" t="str">
        <f aca="false">IF(N379="","",IFERROR(INDEX('Semrush Data'!$A$1:$Z$20000,MATCH(N379,'Semrush Data'!$A$1:$A$20000,0),MATCH("Volume",'Semrush Data'!$A$1:$Z$1,0)),""))</f>
        <v/>
      </c>
      <c r="T379" s="24" t="str">
        <f aca="false">IF(O379="","",IFERROR(INDEX('Semrush Data'!$A$1:$Z$20000,MATCH(O379,'Semrush Data'!$A$1:$A$20000,0),MATCH("Volume",'Semrush Data'!$A$1:$Z$1,0)),""))</f>
        <v/>
      </c>
      <c r="U379" s="24" t="str">
        <f aca="false">IF(P379="","",IFERROR(INDEX('Semrush Data'!$A$1:$Z$20000,MATCH(P379,'Semrush Data'!$A$1:$A$20000,0),MATCH("Volume",'Semrush Data'!$A$1:$Z$1,0)),""))</f>
        <v/>
      </c>
      <c r="V379" s="25" t="str">
        <f aca="false">IF(COUNT(Q379:U379)=0,L379,IF(MAX(Q379:U379)=0,L379,INDEX(L379:P379,MATCH(MAX(Q379:U379),Q379:U379,0))))</f>
        <v>gucci guilty pour femme miniature</v>
      </c>
      <c r="W379" s="24" t="n">
        <f aca="false">IFERROR(INDEX('Semrush Data'!$A$1:$Z$20000,MATCH(V379,'Semrush Data'!$A$1:$A$20000,0),MATCH("Volume",'Semrush Data'!$A$1:$Z$1,0)),"")</f>
        <v>0</v>
      </c>
      <c r="X379" s="24" t="n">
        <f aca="false">IFERROR(INDEX('Semrush Data'!$A$1:$Z$20000,MATCH(V379,'Semrush Data'!$A$1:$A$20000,0),MATCH("Keyword Difficulty*",'Semrush Data'!$A$1:$Z$1,0)),"")</f>
        <v>20</v>
      </c>
      <c r="Y379" s="26" t="n">
        <f aca="false">IFERROR(INDEX('Semrush Data'!$A$1:$Z$20000,MATCH(V379,'Semrush Data'!$A$1:$A$20000,0),MATCH("CPC*",'Semrush Data'!$A$1:$Z$1,0)),"")</f>
        <v>0</v>
      </c>
      <c r="Z379" s="23" t="s">
        <v>4711</v>
      </c>
      <c r="AA379" s="23" t="s">
        <v>4712</v>
      </c>
      <c r="AB379" s="23" t="s">
        <v>4713</v>
      </c>
      <c r="AC379" s="23" t="s">
        <v>4714</v>
      </c>
      <c r="AD379" s="27" t="n">
        <f aca="false">LEN(AC379)</f>
        <v>55</v>
      </c>
      <c r="AE379" s="23" t="s">
        <v>4715</v>
      </c>
      <c r="AF379" s="27" t="n">
        <f aca="false">LEN(AE379)</f>
        <v>159</v>
      </c>
    </row>
    <row r="380" customFormat="false" ht="15" hidden="false" customHeight="true" outlineLevel="0" collapsed="false">
      <c r="A380" s="23" t="s">
        <v>59</v>
      </c>
      <c r="B380" s="23" t="s">
        <v>2449</v>
      </c>
      <c r="C380" s="23" t="n">
        <v>220</v>
      </c>
      <c r="D380" s="23" t="s">
        <v>4674</v>
      </c>
      <c r="E380" s="23"/>
      <c r="F380" s="23" t="s">
        <v>2452</v>
      </c>
      <c r="G380" s="23" t="s">
        <v>2453</v>
      </c>
      <c r="H380" s="23" t="s">
        <v>3919</v>
      </c>
      <c r="I380" s="23" t="s">
        <v>60</v>
      </c>
      <c r="J380" s="23" t="s">
        <v>3059</v>
      </c>
      <c r="K380" s="23" t="n">
        <v>73.99</v>
      </c>
      <c r="L380" s="23" t="s">
        <v>4716</v>
      </c>
      <c r="M380" s="23" t="s">
        <v>4717</v>
      </c>
      <c r="N380" s="23" t="s">
        <v>4718</v>
      </c>
      <c r="O380" s="23" t="s">
        <v>261</v>
      </c>
      <c r="P380" s="23" t="s">
        <v>4719</v>
      </c>
      <c r="Q380" s="24" t="n">
        <f aca="false">IF(L380="","",IFERROR(INDEX('Semrush Data'!$A$1:$Z$20000,MATCH(L380,'Semrush Data'!$A$1:$A$20000,0),MATCH("Volume",'Semrush Data'!$A$1:$Z$1,0)),""))</f>
        <v>6600</v>
      </c>
      <c r="R380" s="24" t="n">
        <f aca="false">IF(M380="","",IFERROR(INDEX('Semrush Data'!$A$1:$Z$20000,MATCH(M380,'Semrush Data'!$A$1:$A$20000,0),MATCH("Volume",'Semrush Data'!$A$1:$Z$1,0)),""))</f>
        <v>20</v>
      </c>
      <c r="S380" s="24" t="n">
        <f aca="false">IF(N380="","",IFERROR(INDEX('Semrush Data'!$A$1:$Z$20000,MATCH(N380,'Semrush Data'!$A$1:$A$20000,0),MATCH("Volume",'Semrush Data'!$A$1:$Z$1,0)),""))</f>
        <v>0</v>
      </c>
      <c r="T380" s="24" t="n">
        <f aca="false">IF(O380="","",IFERROR(INDEX('Semrush Data'!$A$1:$Z$20000,MATCH(O380,'Semrush Data'!$A$1:$A$20000,0),MATCH("Volume",'Semrush Data'!$A$1:$Z$1,0)),""))</f>
        <v>110</v>
      </c>
      <c r="U380" s="24" t="n">
        <f aca="false">IF(P380="","",IFERROR(INDEX('Semrush Data'!$A$1:$Z$20000,MATCH(P380,'Semrush Data'!$A$1:$A$20000,0),MATCH("Volume",'Semrush Data'!$A$1:$Z$1,0)),""))</f>
        <v>110</v>
      </c>
      <c r="V380" s="25" t="str">
        <f aca="false">IF(COUNT(Q380:U380)=0,L380,IF(MAX(Q380:U380)=0,L380,INDEX(L380:P380,MATCH(MAX(Q380:U380),Q380:U380,0))))</f>
        <v>gucci intense oud</v>
      </c>
      <c r="W380" s="24" t="n">
        <f aca="false">IFERROR(INDEX('Semrush Data'!$A$1:$Z$20000,MATCH(V380,'Semrush Data'!$A$1:$A$20000,0),MATCH("Volume",'Semrush Data'!$A$1:$Z$1,0)),"")</f>
        <v>6600</v>
      </c>
      <c r="X380" s="24" t="n">
        <f aca="false">IFERROR(INDEX('Semrush Data'!$A$1:$Z$20000,MATCH(V380,'Semrush Data'!$A$1:$A$20000,0),MATCH("Keyword Difficulty*",'Semrush Data'!$A$1:$Z$1,0)),"")</f>
        <v>21</v>
      </c>
      <c r="Y380" s="26" t="n">
        <f aca="false">IFERROR(INDEX('Semrush Data'!$A$1:$Z$20000,MATCH(V380,'Semrush Data'!$A$1:$A$20000,0),MATCH("CPC*",'Semrush Data'!$A$1:$Z$1,0)),"")</f>
        <v>0.44</v>
      </c>
      <c r="Z380" s="23" t="s">
        <v>4720</v>
      </c>
      <c r="AA380" s="23" t="s">
        <v>4721</v>
      </c>
      <c r="AB380" s="23" t="s">
        <v>4722</v>
      </c>
      <c r="AC380" s="23" t="s">
        <v>4723</v>
      </c>
      <c r="AD380" s="27" t="n">
        <f aca="false">LEN(AC380)</f>
        <v>59</v>
      </c>
      <c r="AE380" s="23" t="s">
        <v>4724</v>
      </c>
      <c r="AF380" s="27" t="n">
        <f aca="false">LEN(AE380)</f>
        <v>155</v>
      </c>
    </row>
    <row r="381" customFormat="false" ht="15" hidden="false" customHeight="true" outlineLevel="0" collapsed="false">
      <c r="A381" s="23" t="s">
        <v>4725</v>
      </c>
      <c r="B381" s="23" t="s">
        <v>2449</v>
      </c>
      <c r="C381" s="23" t="n">
        <v>221</v>
      </c>
      <c r="D381" s="23" t="s">
        <v>4674</v>
      </c>
      <c r="E381" s="23"/>
      <c r="F381" s="23" t="s">
        <v>2452</v>
      </c>
      <c r="G381" s="23" t="s">
        <v>2818</v>
      </c>
      <c r="H381" s="23" t="s">
        <v>2454</v>
      </c>
      <c r="I381" s="23" t="s">
        <v>4726</v>
      </c>
      <c r="J381" s="23" t="s">
        <v>2814</v>
      </c>
      <c r="K381" s="23" t="n">
        <v>18.95</v>
      </c>
      <c r="L381" s="23" t="s">
        <v>4727</v>
      </c>
      <c r="M381" s="23" t="s">
        <v>4728</v>
      </c>
      <c r="N381" s="23" t="s">
        <v>4729</v>
      </c>
      <c r="O381" s="23" t="s">
        <v>4730</v>
      </c>
      <c r="P381" s="23" t="s">
        <v>4731</v>
      </c>
      <c r="Q381" s="24" t="n">
        <f aca="false">IF(L381="","",IFERROR(INDEX('Semrush Data'!$A$1:$Z$20000,MATCH(L381,'Semrush Data'!$A$1:$A$20000,0),MATCH("Volume",'Semrush Data'!$A$1:$Z$1,0)),""))</f>
        <v>0</v>
      </c>
      <c r="R381" s="24" t="str">
        <f aca="false">IF(M381="","",IFERROR(INDEX('Semrush Data'!$A$1:$Z$20000,MATCH(M381,'Semrush Data'!$A$1:$A$20000,0),MATCH("Volume",'Semrush Data'!$A$1:$Z$1,0)),""))</f>
        <v/>
      </c>
      <c r="S381" s="24" t="str">
        <f aca="false">IF(N381="","",IFERROR(INDEX('Semrush Data'!$A$1:$Z$20000,MATCH(N381,'Semrush Data'!$A$1:$A$20000,0),MATCH("Volume",'Semrush Data'!$A$1:$Z$1,0)),""))</f>
        <v/>
      </c>
      <c r="T381" s="24" t="str">
        <f aca="false">IF(O381="","",IFERROR(INDEX('Semrush Data'!$A$1:$Z$20000,MATCH(O381,'Semrush Data'!$A$1:$A$20000,0),MATCH("Volume",'Semrush Data'!$A$1:$Z$1,0)),""))</f>
        <v/>
      </c>
      <c r="U381" s="24" t="str">
        <f aca="false">IF(P381="","",IFERROR(INDEX('Semrush Data'!$A$1:$Z$20000,MATCH(P381,'Semrush Data'!$A$1:$A$20000,0),MATCH("Volume",'Semrush Data'!$A$1:$Z$1,0)),""))</f>
        <v/>
      </c>
      <c r="V381" s="25" t="str">
        <f aca="false">IF(COUNT(Q381:U381)=0,L381,IF(MAX(Q381:U381)=0,L381,INDEX(L381:P381,MATCH(MAX(Q381:U381),Q381:U381,0))))</f>
        <v>gucci bloom miniature</v>
      </c>
      <c r="W381" s="24" t="n">
        <f aca="false">IFERROR(INDEX('Semrush Data'!$A$1:$Z$20000,MATCH(V381,'Semrush Data'!$A$1:$A$20000,0),MATCH("Volume",'Semrush Data'!$A$1:$Z$1,0)),"")</f>
        <v>0</v>
      </c>
      <c r="X381" s="24" t="n">
        <f aca="false">IFERROR(INDEX('Semrush Data'!$A$1:$Z$20000,MATCH(V381,'Semrush Data'!$A$1:$A$20000,0),MATCH("Keyword Difficulty*",'Semrush Data'!$A$1:$Z$1,0)),"")</f>
        <v>11</v>
      </c>
      <c r="Y381" s="26" t="n">
        <f aca="false">IFERROR(INDEX('Semrush Data'!$A$1:$Z$20000,MATCH(V381,'Semrush Data'!$A$1:$A$20000,0),MATCH("CPC*",'Semrush Data'!$A$1:$Z$1,0)),"")</f>
        <v>0</v>
      </c>
      <c r="Z381" s="23" t="s">
        <v>4681</v>
      </c>
      <c r="AA381" s="23" t="s">
        <v>4732</v>
      </c>
      <c r="AB381" s="23" t="s">
        <v>4733</v>
      </c>
      <c r="AC381" s="23" t="s">
        <v>4734</v>
      </c>
      <c r="AD381" s="27" t="n">
        <f aca="false">LEN(AC381)</f>
        <v>57</v>
      </c>
      <c r="AE381" s="23" t="s">
        <v>4735</v>
      </c>
      <c r="AF381" s="27" t="n">
        <f aca="false">LEN(AE381)</f>
        <v>160</v>
      </c>
    </row>
    <row r="382" customFormat="false" ht="15" hidden="false" customHeight="true" outlineLevel="0" collapsed="false">
      <c r="A382" s="23" t="s">
        <v>81</v>
      </c>
      <c r="B382" s="23" t="s">
        <v>2449</v>
      </c>
      <c r="C382" s="23" t="n">
        <v>222</v>
      </c>
      <c r="D382" s="23" t="s">
        <v>4674</v>
      </c>
      <c r="E382" s="23"/>
      <c r="F382" s="23" t="s">
        <v>2452</v>
      </c>
      <c r="G382" s="23" t="s">
        <v>2818</v>
      </c>
      <c r="H382" s="23" t="s">
        <v>2608</v>
      </c>
      <c r="I382" s="23" t="s">
        <v>82</v>
      </c>
      <c r="J382" s="23" t="s">
        <v>3059</v>
      </c>
      <c r="K382" s="23" t="n">
        <v>59.99</v>
      </c>
      <c r="L382" s="23" t="s">
        <v>4736</v>
      </c>
      <c r="M382" s="23" t="s">
        <v>4737</v>
      </c>
      <c r="N382" s="23" t="s">
        <v>4738</v>
      </c>
      <c r="O382" s="23" t="s">
        <v>4739</v>
      </c>
      <c r="P382" s="23" t="s">
        <v>4740</v>
      </c>
      <c r="Q382" s="24" t="n">
        <f aca="false">IF(L382="","",IFERROR(INDEX('Semrush Data'!$A$1:$Z$20000,MATCH(L382,'Semrush Data'!$A$1:$A$20000,0),MATCH("Volume",'Semrush Data'!$A$1:$Z$1,0)),""))</f>
        <v>1600</v>
      </c>
      <c r="R382" s="24" t="n">
        <f aca="false">IF(M382="","",IFERROR(INDEX('Semrush Data'!$A$1:$Z$20000,MATCH(M382,'Semrush Data'!$A$1:$A$20000,0),MATCH("Volume",'Semrush Data'!$A$1:$Z$1,0)),""))</f>
        <v>0</v>
      </c>
      <c r="S382" s="24" t="n">
        <f aca="false">IF(N382="","",IFERROR(INDEX('Semrush Data'!$A$1:$Z$20000,MATCH(N382,'Semrush Data'!$A$1:$A$20000,0),MATCH("Volume",'Semrush Data'!$A$1:$Z$1,0)),""))</f>
        <v>0</v>
      </c>
      <c r="T382" s="24" t="n">
        <f aca="false">IF(O382="","",IFERROR(INDEX('Semrush Data'!$A$1:$Z$20000,MATCH(O382,'Semrush Data'!$A$1:$A$20000,0),MATCH("Volume",'Semrush Data'!$A$1:$Z$1,0)),""))</f>
        <v>20</v>
      </c>
      <c r="U382" s="24" t="n">
        <f aca="false">IF(P382="","",IFERROR(INDEX('Semrush Data'!$A$1:$Z$20000,MATCH(P382,'Semrush Data'!$A$1:$A$20000,0),MATCH("Volume",'Semrush Data'!$A$1:$Z$1,0)),""))</f>
        <v>140</v>
      </c>
      <c r="V382" s="25" t="str">
        <f aca="false">IF(COUNT(Q382:U382)=0,L382,IF(MAX(Q382:U382)=0,L382,INDEX(L382:P382,MATCH(MAX(Q382:U382),Q382:U382,0))))</f>
        <v>gucci guilty pour homme</v>
      </c>
      <c r="W382" s="24" t="n">
        <f aca="false">IFERROR(INDEX('Semrush Data'!$A$1:$Z$20000,MATCH(V382,'Semrush Data'!$A$1:$A$20000,0),MATCH("Volume",'Semrush Data'!$A$1:$Z$1,0)),"")</f>
        <v>1600</v>
      </c>
      <c r="X382" s="24" t="n">
        <f aca="false">IFERROR(INDEX('Semrush Data'!$A$1:$Z$20000,MATCH(V382,'Semrush Data'!$A$1:$A$20000,0),MATCH("Keyword Difficulty*",'Semrush Data'!$A$1:$Z$1,0)),"")</f>
        <v>23</v>
      </c>
      <c r="Y382" s="26" t="n">
        <f aca="false">IFERROR(INDEX('Semrush Data'!$A$1:$Z$20000,MATCH(V382,'Semrush Data'!$A$1:$A$20000,0),MATCH("CPC*",'Semrush Data'!$A$1:$Z$1,0)),"")</f>
        <v>0.42</v>
      </c>
      <c r="Z382" s="23" t="s">
        <v>4741</v>
      </c>
      <c r="AA382" s="23" t="s">
        <v>4742</v>
      </c>
      <c r="AB382" s="23" t="s">
        <v>4743</v>
      </c>
      <c r="AC382" s="23" t="s">
        <v>4744</v>
      </c>
      <c r="AD382" s="27" t="n">
        <f aca="false">LEN(AC382)</f>
        <v>59</v>
      </c>
      <c r="AE382" s="23" t="s">
        <v>4745</v>
      </c>
      <c r="AF382" s="27" t="n">
        <f aca="false">LEN(AE382)</f>
        <v>159</v>
      </c>
    </row>
    <row r="383" customFormat="false" ht="15" hidden="false" customHeight="true" outlineLevel="0" collapsed="false">
      <c r="A383" s="23" t="s">
        <v>4746</v>
      </c>
      <c r="B383" s="23" t="s">
        <v>2449</v>
      </c>
      <c r="C383" s="23" t="n">
        <v>223</v>
      </c>
      <c r="D383" s="23" t="s">
        <v>4674</v>
      </c>
      <c r="E383" s="23"/>
      <c r="F383" s="23" t="s">
        <v>1735</v>
      </c>
      <c r="G383" s="23" t="s">
        <v>2453</v>
      </c>
      <c r="H383" s="23" t="s">
        <v>2516</v>
      </c>
      <c r="I383" s="23" t="s">
        <v>4747</v>
      </c>
      <c r="J383" s="23" t="s">
        <v>1994</v>
      </c>
      <c r="K383" s="23" t="n">
        <v>84.99</v>
      </c>
      <c r="L383" s="23" t="s">
        <v>4748</v>
      </c>
      <c r="M383" s="23" t="s">
        <v>4749</v>
      </c>
      <c r="N383" s="23" t="s">
        <v>4750</v>
      </c>
      <c r="O383" s="23" t="s">
        <v>4751</v>
      </c>
      <c r="P383" s="23"/>
      <c r="Q383" s="24" t="n">
        <f aca="false">IF(L383="","",IFERROR(INDEX('Semrush Data'!$A$1:$Z$20000,MATCH(L383,'Semrush Data'!$A$1:$A$20000,0),MATCH("Volume",'Semrush Data'!$A$1:$Z$1,0)),""))</f>
        <v>260</v>
      </c>
      <c r="R383" s="24" t="n">
        <f aca="false">IF(M383="","",IFERROR(INDEX('Semrush Data'!$A$1:$Z$20000,MATCH(M383,'Semrush Data'!$A$1:$A$20000,0),MATCH("Volume",'Semrush Data'!$A$1:$Z$1,0)),""))</f>
        <v>0</v>
      </c>
      <c r="S383" s="24" t="str">
        <f aca="false">IF(N383="","",IFERROR(INDEX('Semrush Data'!$A$1:$Z$20000,MATCH(N383,'Semrush Data'!$A$1:$A$20000,0),MATCH("Volume",'Semrush Data'!$A$1:$Z$1,0)),""))</f>
        <v/>
      </c>
      <c r="T383" s="24" t="str">
        <f aca="false">IF(O383="","",IFERROR(INDEX('Semrush Data'!$A$1:$Z$20000,MATCH(O383,'Semrush Data'!$A$1:$A$20000,0),MATCH("Volume",'Semrush Data'!$A$1:$Z$1,0)),""))</f>
        <v/>
      </c>
      <c r="U383" s="24" t="str">
        <f aca="false">IF(P383="","",IFERROR(INDEX('Semrush Data'!$A$1:$Z$20000,MATCH(P383,'Semrush Data'!$A$1:$A$20000,0),MATCH("Volume",'Semrush Data'!$A$1:$Z$1,0)),""))</f>
        <v/>
      </c>
      <c r="V383" s="25" t="str">
        <f aca="false">IF(COUNT(Q383:U383)=0,L383,IF(MAX(Q383:U383)=0,L383,INDEX(L383:P383,MATCH(MAX(Q383:U383),Q383:U383,0))))</f>
        <v>gucci bloom gift set</v>
      </c>
      <c r="W383" s="24" t="n">
        <f aca="false">IFERROR(INDEX('Semrush Data'!$A$1:$Z$20000,MATCH(V383,'Semrush Data'!$A$1:$A$20000,0),MATCH("Volume",'Semrush Data'!$A$1:$Z$1,0)),"")</f>
        <v>260</v>
      </c>
      <c r="X383" s="24" t="n">
        <f aca="false">IFERROR(INDEX('Semrush Data'!$A$1:$Z$20000,MATCH(V383,'Semrush Data'!$A$1:$A$20000,0),MATCH("Keyword Difficulty*",'Semrush Data'!$A$1:$Z$1,0)),"")</f>
        <v>18</v>
      </c>
      <c r="Y383" s="26" t="n">
        <f aca="false">IFERROR(INDEX('Semrush Data'!$A$1:$Z$20000,MATCH(V383,'Semrush Data'!$A$1:$A$20000,0),MATCH("CPC*",'Semrush Data'!$A$1:$Z$1,0)),"")</f>
        <v>0.5</v>
      </c>
      <c r="Z383" s="23" t="s">
        <v>4711</v>
      </c>
      <c r="AA383" s="23" t="s">
        <v>4752</v>
      </c>
      <c r="AB383" s="23" t="s">
        <v>4753</v>
      </c>
      <c r="AC383" s="23" t="s">
        <v>4754</v>
      </c>
      <c r="AD383" s="27" t="n">
        <f aca="false">LEN(AC383)</f>
        <v>57</v>
      </c>
      <c r="AE383" s="23" t="s">
        <v>4755</v>
      </c>
      <c r="AF383" s="27" t="n">
        <f aca="false">LEN(AE383)</f>
        <v>155</v>
      </c>
    </row>
    <row r="384" customFormat="false" ht="15" hidden="false" customHeight="true" outlineLevel="0" collapsed="false">
      <c r="A384" s="23" t="s">
        <v>4756</v>
      </c>
      <c r="B384" s="23" t="s">
        <v>2449</v>
      </c>
      <c r="C384" s="23" t="n">
        <v>224</v>
      </c>
      <c r="D384" s="23" t="s">
        <v>4674</v>
      </c>
      <c r="E384" s="23"/>
      <c r="F384" s="23" t="s">
        <v>1735</v>
      </c>
      <c r="G384" s="23" t="s">
        <v>2550</v>
      </c>
      <c r="H384" s="23" t="s">
        <v>2538</v>
      </c>
      <c r="I384" s="23" t="s">
        <v>4757</v>
      </c>
      <c r="J384" s="23" t="s">
        <v>4758</v>
      </c>
      <c r="K384" s="23" t="n">
        <v>44.99</v>
      </c>
      <c r="L384" s="23" t="s">
        <v>4759</v>
      </c>
      <c r="M384" s="23" t="s">
        <v>4760</v>
      </c>
      <c r="N384" s="23" t="s">
        <v>4761</v>
      </c>
      <c r="O384" s="23" t="s">
        <v>4762</v>
      </c>
      <c r="P384" s="23"/>
      <c r="Q384" s="24" t="n">
        <f aca="false">IF(L384="","",IFERROR(INDEX('Semrush Data'!$A$1:$Z$20000,MATCH(L384,'Semrush Data'!$A$1:$A$20000,0),MATCH("Volume",'Semrush Data'!$A$1:$Z$1,0)),""))</f>
        <v>0</v>
      </c>
      <c r="R384" s="24" t="str">
        <f aca="false">IF(M384="","",IFERROR(INDEX('Semrush Data'!$A$1:$Z$20000,MATCH(M384,'Semrush Data'!$A$1:$A$20000,0),MATCH("Volume",'Semrush Data'!$A$1:$Z$1,0)),""))</f>
        <v/>
      </c>
      <c r="S384" s="24" t="str">
        <f aca="false">IF(N384="","",IFERROR(INDEX('Semrush Data'!$A$1:$Z$20000,MATCH(N384,'Semrush Data'!$A$1:$A$20000,0),MATCH("Volume",'Semrush Data'!$A$1:$Z$1,0)),""))</f>
        <v/>
      </c>
      <c r="T384" s="24" t="str">
        <f aca="false">IF(O384="","",IFERROR(INDEX('Semrush Data'!$A$1:$Z$20000,MATCH(O384,'Semrush Data'!$A$1:$A$20000,0),MATCH("Volume",'Semrush Data'!$A$1:$Z$1,0)),""))</f>
        <v/>
      </c>
      <c r="U384" s="24" t="str">
        <f aca="false">IF(P384="","",IFERROR(INDEX('Semrush Data'!$A$1:$Z$20000,MATCH(P384,'Semrush Data'!$A$1:$A$20000,0),MATCH("Volume",'Semrush Data'!$A$1:$Z$1,0)),""))</f>
        <v/>
      </c>
      <c r="V384" s="25" t="str">
        <f aca="false">IF(COUNT(Q384:U384)=0,L384,IF(MAX(Q384:U384)=0,L384,INDEX(L384:P384,MATCH(MAX(Q384:U384),Q384:U384,0))))</f>
        <v>gucci flora gorgeous miniature set</v>
      </c>
      <c r="W384" s="24" t="n">
        <f aca="false">IFERROR(INDEX('Semrush Data'!$A$1:$Z$20000,MATCH(V384,'Semrush Data'!$A$1:$A$20000,0),MATCH("Volume",'Semrush Data'!$A$1:$Z$1,0)),"")</f>
        <v>0</v>
      </c>
      <c r="X384" s="24" t="n">
        <f aca="false">IFERROR(INDEX('Semrush Data'!$A$1:$Z$20000,MATCH(V384,'Semrush Data'!$A$1:$A$20000,0),MATCH("Keyword Difficulty*",'Semrush Data'!$A$1:$Z$1,0)),"")</f>
        <v>17</v>
      </c>
      <c r="Y384" s="26" t="n">
        <f aca="false">IFERROR(INDEX('Semrush Data'!$A$1:$Z$20000,MATCH(V384,'Semrush Data'!$A$1:$A$20000,0),MATCH("CPC*",'Semrush Data'!$A$1:$Z$1,0)),"")</f>
        <v>0</v>
      </c>
      <c r="Z384" s="23" t="s">
        <v>4763</v>
      </c>
      <c r="AA384" s="23" t="s">
        <v>4764</v>
      </c>
      <c r="AB384" s="23" t="s">
        <v>4765</v>
      </c>
      <c r="AC384" s="23" t="s">
        <v>4766</v>
      </c>
      <c r="AD384" s="27" t="n">
        <f aca="false">LEN(AC384)</f>
        <v>56</v>
      </c>
      <c r="AE384" s="23" t="s">
        <v>4767</v>
      </c>
      <c r="AF384" s="27" t="n">
        <f aca="false">LEN(AE384)</f>
        <v>159</v>
      </c>
    </row>
    <row r="385" customFormat="false" ht="15" hidden="false" customHeight="true" outlineLevel="0" collapsed="false">
      <c r="A385" s="23" t="s">
        <v>4768</v>
      </c>
      <c r="B385" s="23" t="s">
        <v>2449</v>
      </c>
      <c r="C385" s="23" t="n">
        <v>225</v>
      </c>
      <c r="D385" s="23" t="s">
        <v>4674</v>
      </c>
      <c r="E385" s="23"/>
      <c r="F385" s="23" t="s">
        <v>1735</v>
      </c>
      <c r="G385" s="23" t="s">
        <v>2453</v>
      </c>
      <c r="H385" s="23" t="s">
        <v>2516</v>
      </c>
      <c r="I385" s="23" t="s">
        <v>4769</v>
      </c>
      <c r="J385" s="23" t="s">
        <v>1468</v>
      </c>
      <c r="K385" s="23" t="n">
        <v>47.99</v>
      </c>
      <c r="L385" s="23" t="s">
        <v>4770</v>
      </c>
      <c r="M385" s="23" t="s">
        <v>4771</v>
      </c>
      <c r="N385" s="23" t="s">
        <v>4772</v>
      </c>
      <c r="O385" s="23" t="s">
        <v>4773</v>
      </c>
      <c r="P385" s="23"/>
      <c r="Q385" s="24" t="n">
        <f aca="false">IF(L385="","",IFERROR(INDEX('Semrush Data'!$A$1:$Z$20000,MATCH(L385,'Semrush Data'!$A$1:$A$20000,0),MATCH("Volume",'Semrush Data'!$A$1:$Z$1,0)),""))</f>
        <v>30</v>
      </c>
      <c r="R385" s="24" t="str">
        <f aca="false">IF(M385="","",IFERROR(INDEX('Semrush Data'!$A$1:$Z$20000,MATCH(M385,'Semrush Data'!$A$1:$A$20000,0),MATCH("Volume",'Semrush Data'!$A$1:$Z$1,0)),""))</f>
        <v/>
      </c>
      <c r="S385" s="24" t="str">
        <f aca="false">IF(N385="","",IFERROR(INDEX('Semrush Data'!$A$1:$Z$20000,MATCH(N385,'Semrush Data'!$A$1:$A$20000,0),MATCH("Volume",'Semrush Data'!$A$1:$Z$1,0)),""))</f>
        <v/>
      </c>
      <c r="T385" s="24" t="str">
        <f aca="false">IF(O385="","",IFERROR(INDEX('Semrush Data'!$A$1:$Z$20000,MATCH(O385,'Semrush Data'!$A$1:$A$20000,0),MATCH("Volume",'Semrush Data'!$A$1:$Z$1,0)),""))</f>
        <v/>
      </c>
      <c r="U385" s="24" t="str">
        <f aca="false">IF(P385="","",IFERROR(INDEX('Semrush Data'!$A$1:$Z$20000,MATCH(P385,'Semrush Data'!$A$1:$A$20000,0),MATCH("Volume",'Semrush Data'!$A$1:$Z$1,0)),""))</f>
        <v/>
      </c>
      <c r="V385" s="25" t="str">
        <f aca="false">IF(COUNT(Q385:U385)=0,L385,IF(MAX(Q385:U385)=0,L385,INDEX(L385:P385,MATCH(MAX(Q385:U385),Q385:U385,0))))</f>
        <v>gucci guilty pour femme gift set</v>
      </c>
      <c r="W385" s="24" t="n">
        <f aca="false">IFERROR(INDEX('Semrush Data'!$A$1:$Z$20000,MATCH(V385,'Semrush Data'!$A$1:$A$20000,0),MATCH("Volume",'Semrush Data'!$A$1:$Z$1,0)),"")</f>
        <v>30</v>
      </c>
      <c r="X385" s="24" t="n">
        <f aca="false">IFERROR(INDEX('Semrush Data'!$A$1:$Z$20000,MATCH(V385,'Semrush Data'!$A$1:$A$20000,0),MATCH("Keyword Difficulty*",'Semrush Data'!$A$1:$Z$1,0)),"")</f>
        <v>12</v>
      </c>
      <c r="Y385" s="26" t="n">
        <f aca="false">IFERROR(INDEX('Semrush Data'!$A$1:$Z$20000,MATCH(V385,'Semrush Data'!$A$1:$A$20000,0),MATCH("CPC*",'Semrush Data'!$A$1:$Z$1,0)),"")</f>
        <v>0.78</v>
      </c>
      <c r="Z385" s="23" t="s">
        <v>4711</v>
      </c>
      <c r="AA385" s="23" t="s">
        <v>4774</v>
      </c>
      <c r="AB385" s="23" t="s">
        <v>4775</v>
      </c>
      <c r="AC385" s="23" t="s">
        <v>4776</v>
      </c>
      <c r="AD385" s="27" t="n">
        <f aca="false">LEN(AC385)</f>
        <v>60</v>
      </c>
      <c r="AE385" s="23" t="s">
        <v>4777</v>
      </c>
      <c r="AF385" s="27" t="n">
        <f aca="false">LEN(AE385)</f>
        <v>160</v>
      </c>
    </row>
    <row r="386" customFormat="false" ht="15" hidden="false" customHeight="true" outlineLevel="0" collapsed="false">
      <c r="A386" s="23" t="s">
        <v>4778</v>
      </c>
      <c r="B386" s="23" t="s">
        <v>2449</v>
      </c>
      <c r="C386" s="23" t="n">
        <v>226</v>
      </c>
      <c r="D386" s="23" t="s">
        <v>4674</v>
      </c>
      <c r="E386" s="23"/>
      <c r="F386" s="23" t="s">
        <v>1735</v>
      </c>
      <c r="G386" s="23" t="s">
        <v>2453</v>
      </c>
      <c r="H386" s="23" t="s">
        <v>2516</v>
      </c>
      <c r="I386" s="23" t="s">
        <v>4779</v>
      </c>
      <c r="J386" s="23" t="s">
        <v>2562</v>
      </c>
      <c r="K386" s="23" t="n">
        <v>39.99</v>
      </c>
      <c r="L386" s="23" t="s">
        <v>4780</v>
      </c>
      <c r="M386" s="23" t="s">
        <v>4781</v>
      </c>
      <c r="N386" s="23" t="s">
        <v>4782</v>
      </c>
      <c r="O386" s="23" t="s">
        <v>4783</v>
      </c>
      <c r="P386" s="23"/>
      <c r="Q386" s="24" t="n">
        <f aca="false">IF(L386="","",IFERROR(INDEX('Semrush Data'!$A$1:$Z$20000,MATCH(L386,'Semrush Data'!$A$1:$A$20000,0),MATCH("Volume",'Semrush Data'!$A$1:$Z$1,0)),""))</f>
        <v>30</v>
      </c>
      <c r="R386" s="24" t="str">
        <f aca="false">IF(M386="","",IFERROR(INDEX('Semrush Data'!$A$1:$Z$20000,MATCH(M386,'Semrush Data'!$A$1:$A$20000,0),MATCH("Volume",'Semrush Data'!$A$1:$Z$1,0)),""))</f>
        <v/>
      </c>
      <c r="S386" s="24" t="str">
        <f aca="false">IF(N386="","",IFERROR(INDEX('Semrush Data'!$A$1:$Z$20000,MATCH(N386,'Semrush Data'!$A$1:$A$20000,0),MATCH("Volume",'Semrush Data'!$A$1:$Z$1,0)),""))</f>
        <v/>
      </c>
      <c r="T386" s="24" t="str">
        <f aca="false">IF(O386="","",IFERROR(INDEX('Semrush Data'!$A$1:$Z$20000,MATCH(O386,'Semrush Data'!$A$1:$A$20000,0),MATCH("Volume",'Semrush Data'!$A$1:$Z$1,0)),""))</f>
        <v/>
      </c>
      <c r="U386" s="24" t="str">
        <f aca="false">IF(P386="","",IFERROR(INDEX('Semrush Data'!$A$1:$Z$20000,MATCH(P386,'Semrush Data'!$A$1:$A$20000,0),MATCH("Volume",'Semrush Data'!$A$1:$Z$1,0)),""))</f>
        <v/>
      </c>
      <c r="V386" s="25" t="str">
        <f aca="false">IF(COUNT(Q386:U386)=0,L386,IF(MAX(Q386:U386)=0,L386,INDEX(L386:P386,MATCH(MAX(Q386:U386),Q386:U386,0))))</f>
        <v>gucci miniature set</v>
      </c>
      <c r="W386" s="24" t="n">
        <f aca="false">IFERROR(INDEX('Semrush Data'!$A$1:$Z$20000,MATCH(V386,'Semrush Data'!$A$1:$A$20000,0),MATCH("Volume",'Semrush Data'!$A$1:$Z$1,0)),"")</f>
        <v>30</v>
      </c>
      <c r="X386" s="24" t="n">
        <f aca="false">IFERROR(INDEX('Semrush Data'!$A$1:$Z$20000,MATCH(V386,'Semrush Data'!$A$1:$A$20000,0),MATCH("Keyword Difficulty*",'Semrush Data'!$A$1:$Z$1,0)),"")</f>
        <v>17</v>
      </c>
      <c r="Y386" s="26" t="n">
        <f aca="false">IFERROR(INDEX('Semrush Data'!$A$1:$Z$20000,MATCH(V386,'Semrush Data'!$A$1:$A$20000,0),MATCH("CPC*",'Semrush Data'!$A$1:$Z$1,0)),"")</f>
        <v>0</v>
      </c>
      <c r="Z386" s="23" t="s">
        <v>4711</v>
      </c>
      <c r="AA386" s="23" t="s">
        <v>4784</v>
      </c>
      <c r="AB386" s="23" t="s">
        <v>4785</v>
      </c>
      <c r="AC386" s="23" t="s">
        <v>4786</v>
      </c>
      <c r="AD386" s="27" t="n">
        <f aca="false">LEN(AC386)</f>
        <v>55</v>
      </c>
      <c r="AE386" s="23" t="s">
        <v>4787</v>
      </c>
      <c r="AF386" s="27" t="n">
        <f aca="false">LEN(AE386)</f>
        <v>155</v>
      </c>
    </row>
    <row r="387" customFormat="false" ht="15" hidden="false" customHeight="true" outlineLevel="0" collapsed="false">
      <c r="A387" s="23" t="s">
        <v>4788</v>
      </c>
      <c r="B387" s="23" t="s">
        <v>2449</v>
      </c>
      <c r="C387" s="23" t="n">
        <v>227</v>
      </c>
      <c r="D387" s="23" t="s">
        <v>4674</v>
      </c>
      <c r="E387" s="23"/>
      <c r="F387" s="23" t="s">
        <v>1735</v>
      </c>
      <c r="G387" s="23" t="s">
        <v>2818</v>
      </c>
      <c r="H387" s="23" t="s">
        <v>2516</v>
      </c>
      <c r="I387" s="23" t="s">
        <v>4789</v>
      </c>
      <c r="J387" s="23" t="s">
        <v>3064</v>
      </c>
      <c r="K387" s="23" t="n">
        <v>37.99</v>
      </c>
      <c r="L387" s="23" t="s">
        <v>4790</v>
      </c>
      <c r="M387" s="23" t="s">
        <v>4791</v>
      </c>
      <c r="N387" s="23" t="s">
        <v>4792</v>
      </c>
      <c r="O387" s="23" t="s">
        <v>4793</v>
      </c>
      <c r="P387" s="23"/>
      <c r="Q387" s="24" t="n">
        <f aca="false">IF(L387="","",IFERROR(INDEX('Semrush Data'!$A$1:$Z$20000,MATCH(L387,'Semrush Data'!$A$1:$A$20000,0),MATCH("Volume",'Semrush Data'!$A$1:$Z$1,0)),""))</f>
        <v>170</v>
      </c>
      <c r="R387" s="24" t="n">
        <f aca="false">IF(M387="","",IFERROR(INDEX('Semrush Data'!$A$1:$Z$20000,MATCH(M387,'Semrush Data'!$A$1:$A$20000,0),MATCH("Volume",'Semrush Data'!$A$1:$Z$1,0)),""))</f>
        <v>0</v>
      </c>
      <c r="S387" s="24" t="str">
        <f aca="false">IF(N387="","",IFERROR(INDEX('Semrush Data'!$A$1:$Z$20000,MATCH(N387,'Semrush Data'!$A$1:$A$20000,0),MATCH("Volume",'Semrush Data'!$A$1:$Z$1,0)),""))</f>
        <v/>
      </c>
      <c r="T387" s="24" t="str">
        <f aca="false">IF(O387="","",IFERROR(INDEX('Semrush Data'!$A$1:$Z$20000,MATCH(O387,'Semrush Data'!$A$1:$A$20000,0),MATCH("Volume",'Semrush Data'!$A$1:$Z$1,0)),""))</f>
        <v/>
      </c>
      <c r="U387" s="24" t="str">
        <f aca="false">IF(P387="","",IFERROR(INDEX('Semrush Data'!$A$1:$Z$20000,MATCH(P387,'Semrush Data'!$A$1:$A$20000,0),MATCH("Volume",'Semrush Data'!$A$1:$Z$1,0)),""))</f>
        <v/>
      </c>
      <c r="V387" s="25" t="str">
        <f aca="false">IF(COUNT(Q387:U387)=0,L387,IF(MAX(Q387:U387)=0,L387,INDEX(L387:P387,MATCH(MAX(Q387:U387),Q387:U387,0))))</f>
        <v>gucci set</v>
      </c>
      <c r="W387" s="24" t="n">
        <f aca="false">IFERROR(INDEX('Semrush Data'!$A$1:$Z$20000,MATCH(V387,'Semrush Data'!$A$1:$A$20000,0),MATCH("Volume",'Semrush Data'!$A$1:$Z$1,0)),"")</f>
        <v>170</v>
      </c>
      <c r="X387" s="24" t="n">
        <f aca="false">IFERROR(INDEX('Semrush Data'!$A$1:$Z$20000,MATCH(V387,'Semrush Data'!$A$1:$A$20000,0),MATCH("Keyword Difficulty*",'Semrush Data'!$A$1:$Z$1,0)),"")</f>
        <v>24</v>
      </c>
      <c r="Y387" s="26" t="n">
        <f aca="false">IFERROR(INDEX('Semrush Data'!$A$1:$Z$20000,MATCH(V387,'Semrush Data'!$A$1:$A$20000,0),MATCH("CPC*",'Semrush Data'!$A$1:$Z$1,0)),"")</f>
        <v>0.53</v>
      </c>
      <c r="Z387" s="23" t="s">
        <v>4711</v>
      </c>
      <c r="AA387" s="23" t="s">
        <v>4794</v>
      </c>
      <c r="AB387" s="23" t="s">
        <v>4795</v>
      </c>
      <c r="AC387" s="23" t="s">
        <v>4796</v>
      </c>
      <c r="AD387" s="27" t="n">
        <f aca="false">LEN(AC387)</f>
        <v>58</v>
      </c>
      <c r="AE387" s="23" t="s">
        <v>4797</v>
      </c>
      <c r="AF387" s="27" t="n">
        <f aca="false">LEN(AE387)</f>
        <v>154</v>
      </c>
    </row>
    <row r="388" customFormat="false" ht="15" hidden="false" customHeight="true" outlineLevel="0" collapsed="false">
      <c r="A388" s="23" t="s">
        <v>4798</v>
      </c>
      <c r="B388" s="23" t="s">
        <v>2449</v>
      </c>
      <c r="C388" s="23" t="n">
        <v>228</v>
      </c>
      <c r="D388" s="23" t="s">
        <v>4674</v>
      </c>
      <c r="E388" s="23"/>
      <c r="F388" s="23" t="s">
        <v>2452</v>
      </c>
      <c r="G388" s="23" t="s">
        <v>3032</v>
      </c>
      <c r="H388" s="23" t="s">
        <v>2454</v>
      </c>
      <c r="I388" s="23" t="s">
        <v>4799</v>
      </c>
      <c r="J388" s="23" t="s">
        <v>2814</v>
      </c>
      <c r="K388" s="23" t="n">
        <v>19.99</v>
      </c>
      <c r="L388" s="23" t="s">
        <v>4800</v>
      </c>
      <c r="M388" s="23" t="s">
        <v>4801</v>
      </c>
      <c r="N388" s="23" t="s">
        <v>4802</v>
      </c>
      <c r="O388" s="23" t="s">
        <v>4803</v>
      </c>
      <c r="P388" s="23" t="s">
        <v>4804</v>
      </c>
      <c r="Q388" s="24" t="n">
        <f aca="false">IF(L388="","",IFERROR(INDEX('Semrush Data'!$A$1:$Z$20000,MATCH(L388,'Semrush Data'!$A$1:$A$20000,0),MATCH("Volume",'Semrush Data'!$A$1:$Z$1,0)),""))</f>
        <v>0</v>
      </c>
      <c r="R388" s="24" t="str">
        <f aca="false">IF(M388="","",IFERROR(INDEX('Semrush Data'!$A$1:$Z$20000,MATCH(M388,'Semrush Data'!$A$1:$A$20000,0),MATCH("Volume",'Semrush Data'!$A$1:$Z$1,0)),""))</f>
        <v/>
      </c>
      <c r="S388" s="24" t="str">
        <f aca="false">IF(N388="","",IFERROR(INDEX('Semrush Data'!$A$1:$Z$20000,MATCH(N388,'Semrush Data'!$A$1:$A$20000,0),MATCH("Volume",'Semrush Data'!$A$1:$Z$1,0)),""))</f>
        <v/>
      </c>
      <c r="T388" s="24" t="str">
        <f aca="false">IF(O388="","",IFERROR(INDEX('Semrush Data'!$A$1:$Z$20000,MATCH(O388,'Semrush Data'!$A$1:$A$20000,0),MATCH("Volume",'Semrush Data'!$A$1:$Z$1,0)),""))</f>
        <v/>
      </c>
      <c r="U388" s="24" t="str">
        <f aca="false">IF(P388="","",IFERROR(INDEX('Semrush Data'!$A$1:$Z$20000,MATCH(P388,'Semrush Data'!$A$1:$A$20000,0),MATCH("Volume",'Semrush Data'!$A$1:$Z$1,0)),""))</f>
        <v/>
      </c>
      <c r="V388" s="25" t="str">
        <f aca="false">IF(COUNT(Q388:U388)=0,L388,IF(MAX(Q388:U388)=0,L388,INDEX(L388:P388,MATCH(MAX(Q388:U388),Q388:U388,0))))</f>
        <v>gucci bloom parfum miniature</v>
      </c>
      <c r="W388" s="24" t="n">
        <f aca="false">IFERROR(INDEX('Semrush Data'!$A$1:$Z$20000,MATCH(V388,'Semrush Data'!$A$1:$A$20000,0),MATCH("Volume",'Semrush Data'!$A$1:$Z$1,0)),"")</f>
        <v>0</v>
      </c>
      <c r="X388" s="24" t="n">
        <f aca="false">IFERROR(INDEX('Semrush Data'!$A$1:$Z$20000,MATCH(V388,'Semrush Data'!$A$1:$A$20000,0),MATCH("Keyword Difficulty*",'Semrush Data'!$A$1:$Z$1,0)),"")</f>
        <v>17</v>
      </c>
      <c r="Y388" s="26" t="n">
        <f aca="false">IFERROR(INDEX('Semrush Data'!$A$1:$Z$20000,MATCH(V388,'Semrush Data'!$A$1:$A$20000,0),MATCH("CPC*",'Semrush Data'!$A$1:$Z$1,0)),"")</f>
        <v>0</v>
      </c>
      <c r="Z388" s="23" t="s">
        <v>4681</v>
      </c>
      <c r="AA388" s="23" t="s">
        <v>4805</v>
      </c>
      <c r="AB388" s="23" t="s">
        <v>4806</v>
      </c>
      <c r="AC388" s="23" t="s">
        <v>4807</v>
      </c>
      <c r="AD388" s="27" t="n">
        <f aca="false">LEN(AC388)</f>
        <v>53</v>
      </c>
      <c r="AE388" s="23" t="s">
        <v>4808</v>
      </c>
      <c r="AF388" s="27" t="n">
        <f aca="false">LEN(AE388)</f>
        <v>148</v>
      </c>
    </row>
    <row r="389" customFormat="false" ht="15" hidden="false" customHeight="true" outlineLevel="0" collapsed="false">
      <c r="A389" s="23" t="s">
        <v>125</v>
      </c>
      <c r="B389" s="23" t="s">
        <v>2449</v>
      </c>
      <c r="C389" s="23" t="n">
        <v>229</v>
      </c>
      <c r="D389" s="23" t="s">
        <v>4809</v>
      </c>
      <c r="E389" s="23"/>
      <c r="F389" s="23" t="s">
        <v>2452</v>
      </c>
      <c r="G389" s="23" t="s">
        <v>2453</v>
      </c>
      <c r="H389" s="23" t="s">
        <v>2608</v>
      </c>
      <c r="I389" s="23" t="s">
        <v>126</v>
      </c>
      <c r="J389" s="23" t="s">
        <v>1994</v>
      </c>
      <c r="K389" s="23" t="n">
        <v>64.99</v>
      </c>
      <c r="L389" s="23" t="s">
        <v>4810</v>
      </c>
      <c r="M389" s="23" t="s">
        <v>4811</v>
      </c>
      <c r="N389" s="23" t="s">
        <v>4812</v>
      </c>
      <c r="O389" s="23" t="s">
        <v>4813</v>
      </c>
      <c r="P389" s="23" t="s">
        <v>4814</v>
      </c>
      <c r="Q389" s="24" t="n">
        <f aca="false">IF(L389="","",IFERROR(INDEX('Semrush Data'!$A$1:$Z$20000,MATCH(L389,'Semrush Data'!$A$1:$A$20000,0),MATCH("Volume",'Semrush Data'!$A$1:$Z$1,0)),""))</f>
        <v>480</v>
      </c>
      <c r="R389" s="24" t="n">
        <f aca="false">IF(M389="","",IFERROR(INDEX('Semrush Data'!$A$1:$Z$20000,MATCH(M389,'Semrush Data'!$A$1:$A$20000,0),MATCH("Volume",'Semrush Data'!$A$1:$Z$1,0)),""))</f>
        <v>0</v>
      </c>
      <c r="S389" s="24" t="str">
        <f aca="false">IF(N389="","",IFERROR(INDEX('Semrush Data'!$A$1:$Z$20000,MATCH(N389,'Semrush Data'!$A$1:$A$20000,0),MATCH("Volume",'Semrush Data'!$A$1:$Z$1,0)),""))</f>
        <v/>
      </c>
      <c r="T389" s="24" t="str">
        <f aca="false">IF(O389="","",IFERROR(INDEX('Semrush Data'!$A$1:$Z$20000,MATCH(O389,'Semrush Data'!$A$1:$A$20000,0),MATCH("Volume",'Semrush Data'!$A$1:$Z$1,0)),""))</f>
        <v/>
      </c>
      <c r="U389" s="24" t="n">
        <f aca="false">IF(P389="","",IFERROR(INDEX('Semrush Data'!$A$1:$Z$20000,MATCH(P389,'Semrush Data'!$A$1:$A$20000,0),MATCH("Volume",'Semrush Data'!$A$1:$Z$1,0)),""))</f>
        <v>40</v>
      </c>
      <c r="V389" s="25" t="str">
        <f aca="false">IF(COUNT(Q389:U389)=0,L389,IF(MAX(Q389:U389)=0,L389,INDEX(L389:P389,MATCH(MAX(Q389:U389),Q389:U389,0))))</f>
        <v>guerlain habit rouge</v>
      </c>
      <c r="W389" s="24" t="n">
        <f aca="false">IFERROR(INDEX('Semrush Data'!$A$1:$Z$20000,MATCH(V389,'Semrush Data'!$A$1:$A$20000,0),MATCH("Volume",'Semrush Data'!$A$1:$Z$1,0)),"")</f>
        <v>480</v>
      </c>
      <c r="X389" s="24" t="n">
        <f aca="false">IFERROR(INDEX('Semrush Data'!$A$1:$Z$20000,MATCH(V389,'Semrush Data'!$A$1:$A$20000,0),MATCH("Keyword Difficulty*",'Semrush Data'!$A$1:$Z$1,0)),"")</f>
        <v>23</v>
      </c>
      <c r="Y389" s="26" t="n">
        <f aca="false">IFERROR(INDEX('Semrush Data'!$A$1:$Z$20000,MATCH(V389,'Semrush Data'!$A$1:$A$20000,0),MATCH("CPC*",'Semrush Data'!$A$1:$Z$1,0)),"")</f>
        <v>0.9</v>
      </c>
      <c r="Z389" s="23" t="s">
        <v>4815</v>
      </c>
      <c r="AA389" s="23" t="s">
        <v>4816</v>
      </c>
      <c r="AB389" s="23" t="s">
        <v>4817</v>
      </c>
      <c r="AC389" s="23" t="s">
        <v>4818</v>
      </c>
      <c r="AD389" s="27" t="n">
        <f aca="false">LEN(AC389)</f>
        <v>57</v>
      </c>
      <c r="AE389" s="23" t="s">
        <v>4819</v>
      </c>
      <c r="AF389" s="27" t="n">
        <f aca="false">LEN(AE389)</f>
        <v>153</v>
      </c>
    </row>
    <row r="390" customFormat="false" ht="15" hidden="false" customHeight="true" outlineLevel="0" collapsed="false">
      <c r="A390" s="23" t="s">
        <v>4820</v>
      </c>
      <c r="B390" s="23" t="s">
        <v>2449</v>
      </c>
      <c r="C390" s="23" t="n">
        <v>230</v>
      </c>
      <c r="D390" s="23" t="s">
        <v>4809</v>
      </c>
      <c r="E390" s="23"/>
      <c r="F390" s="23" t="s">
        <v>2452</v>
      </c>
      <c r="G390" s="23" t="s">
        <v>2453</v>
      </c>
      <c r="H390" s="23" t="s">
        <v>2454</v>
      </c>
      <c r="I390" s="23" t="s">
        <v>4821</v>
      </c>
      <c r="J390" s="23" t="s">
        <v>2494</v>
      </c>
      <c r="K390" s="23" t="n">
        <v>64.99</v>
      </c>
      <c r="L390" s="23" t="s">
        <v>4822</v>
      </c>
      <c r="M390" s="23" t="s">
        <v>4823</v>
      </c>
      <c r="N390" s="23" t="s">
        <v>4824</v>
      </c>
      <c r="O390" s="23" t="s">
        <v>4825</v>
      </c>
      <c r="P390" s="23" t="s">
        <v>4826</v>
      </c>
      <c r="Q390" s="24" t="n">
        <f aca="false">IF(L390="","",IFERROR(INDEX('Semrush Data'!$A$1:$Z$20000,MATCH(L390,'Semrush Data'!$A$1:$A$20000,0),MATCH("Volume",'Semrush Data'!$A$1:$Z$1,0)),""))</f>
        <v>10</v>
      </c>
      <c r="R390" s="24" t="str">
        <f aca="false">IF(M390="","",IFERROR(INDEX('Semrush Data'!$A$1:$Z$20000,MATCH(M390,'Semrush Data'!$A$1:$A$20000,0),MATCH("Volume",'Semrush Data'!$A$1:$Z$1,0)),""))</f>
        <v/>
      </c>
      <c r="S390" s="24" t="str">
        <f aca="false">IF(N390="","",IFERROR(INDEX('Semrush Data'!$A$1:$Z$20000,MATCH(N390,'Semrush Data'!$A$1:$A$20000,0),MATCH("Volume",'Semrush Data'!$A$1:$Z$1,0)),""))</f>
        <v/>
      </c>
      <c r="T390" s="24" t="str">
        <f aca="false">IF(O390="","",IFERROR(INDEX('Semrush Data'!$A$1:$Z$20000,MATCH(O390,'Semrush Data'!$A$1:$A$20000,0),MATCH("Volume",'Semrush Data'!$A$1:$Z$1,0)),""))</f>
        <v/>
      </c>
      <c r="U390" s="24" t="str">
        <f aca="false">IF(P390="","",IFERROR(INDEX('Semrush Data'!$A$1:$Z$20000,MATCH(P390,'Semrush Data'!$A$1:$A$20000,0),MATCH("Volume",'Semrush Data'!$A$1:$Z$1,0)),""))</f>
        <v/>
      </c>
      <c r="V390" s="25" t="str">
        <f aca="false">IF(COUNT(Q390:U390)=0,L390,IF(MAX(Q390:U390)=0,L390,INDEX(L390:P390,MATCH(MAX(Q390:U390),Q390:U390,0))))</f>
        <v>guerlain l'instant de guerlain</v>
      </c>
      <c r="W390" s="24" t="n">
        <f aca="false">IFERROR(INDEX('Semrush Data'!$A$1:$Z$20000,MATCH(V390,'Semrush Data'!$A$1:$A$20000,0),MATCH("Volume",'Semrush Data'!$A$1:$Z$1,0)),"")</f>
        <v>10</v>
      </c>
      <c r="X390" s="24" t="n">
        <f aca="false">IFERROR(INDEX('Semrush Data'!$A$1:$Z$20000,MATCH(V390,'Semrush Data'!$A$1:$A$20000,0),MATCH("Keyword Difficulty*",'Semrush Data'!$A$1:$Z$1,0)),"")</f>
        <v>13</v>
      </c>
      <c r="Y390" s="26" t="n">
        <f aca="false">IFERROR(INDEX('Semrush Data'!$A$1:$Z$20000,MATCH(V390,'Semrush Data'!$A$1:$A$20000,0),MATCH("CPC*",'Semrush Data'!$A$1:$Z$1,0)),"")</f>
        <v>0.84</v>
      </c>
      <c r="Z390" s="23" t="s">
        <v>4827</v>
      </c>
      <c r="AA390" s="23" t="s">
        <v>4828</v>
      </c>
      <c r="AB390" s="23" t="s">
        <v>4829</v>
      </c>
      <c r="AC390" s="23" t="s">
        <v>4830</v>
      </c>
      <c r="AD390" s="27" t="n">
        <f aca="false">LEN(AC390)</f>
        <v>58</v>
      </c>
      <c r="AE390" s="23" t="s">
        <v>4831</v>
      </c>
      <c r="AF390" s="27" t="n">
        <f aca="false">LEN(AE390)</f>
        <v>159</v>
      </c>
    </row>
    <row r="391" customFormat="false" ht="15" hidden="false" customHeight="true" outlineLevel="0" collapsed="false">
      <c r="A391" s="23" t="s">
        <v>4832</v>
      </c>
      <c r="B391" s="23" t="s">
        <v>2449</v>
      </c>
      <c r="C391" s="23" t="n">
        <v>231</v>
      </c>
      <c r="D391" s="23" t="s">
        <v>4809</v>
      </c>
      <c r="E391" s="23"/>
      <c r="F391" s="23" t="s">
        <v>2452</v>
      </c>
      <c r="G391" s="23" t="s">
        <v>2453</v>
      </c>
      <c r="H391" s="23" t="s">
        <v>2583</v>
      </c>
      <c r="I391" s="23" t="s">
        <v>4833</v>
      </c>
      <c r="J391" s="23" t="s">
        <v>2833</v>
      </c>
      <c r="K391" s="23" t="n">
        <v>74.99</v>
      </c>
      <c r="L391" s="23" t="s">
        <v>4834</v>
      </c>
      <c r="M391" s="23" t="s">
        <v>4835</v>
      </c>
      <c r="N391" s="23" t="s">
        <v>4836</v>
      </c>
      <c r="O391" s="23" t="s">
        <v>4837</v>
      </c>
      <c r="P391" s="23" t="s">
        <v>4838</v>
      </c>
      <c r="Q391" s="24" t="n">
        <f aca="false">IF(L391="","",IFERROR(INDEX('Semrush Data'!$A$1:$Z$20000,MATCH(L391,'Semrush Data'!$A$1:$A$20000,0),MATCH("Volume",'Semrush Data'!$A$1:$Z$1,0)),""))</f>
        <v>30</v>
      </c>
      <c r="R391" s="24" t="str">
        <f aca="false">IF(M391="","",IFERROR(INDEX('Semrush Data'!$A$1:$Z$20000,MATCH(M391,'Semrush Data'!$A$1:$A$20000,0),MATCH("Volume",'Semrush Data'!$A$1:$Z$1,0)),""))</f>
        <v/>
      </c>
      <c r="S391" s="24" t="str">
        <f aca="false">IF(N391="","",IFERROR(INDEX('Semrush Data'!$A$1:$Z$20000,MATCH(N391,'Semrush Data'!$A$1:$A$20000,0),MATCH("Volume",'Semrush Data'!$A$1:$Z$1,0)),""))</f>
        <v/>
      </c>
      <c r="T391" s="24" t="str">
        <f aca="false">IF(O391="","",IFERROR(INDEX('Semrush Data'!$A$1:$Z$20000,MATCH(O391,'Semrush Data'!$A$1:$A$20000,0),MATCH("Volume",'Semrush Data'!$A$1:$Z$1,0)),""))</f>
        <v/>
      </c>
      <c r="U391" s="24" t="str">
        <f aca="false">IF(P391="","",IFERROR(INDEX('Semrush Data'!$A$1:$Z$20000,MATCH(P391,'Semrush Data'!$A$1:$A$20000,0),MATCH("Volume",'Semrush Data'!$A$1:$Z$1,0)),""))</f>
        <v/>
      </c>
      <c r="V391" s="25" t="str">
        <f aca="false">IF(COUNT(Q391:U391)=0,L391,IF(MAX(Q391:U391)=0,L391,INDEX(L391:P391,MATCH(MAX(Q391:U391),Q391:U391,0))))</f>
        <v>guerlain musc noble</v>
      </c>
      <c r="W391" s="24" t="n">
        <f aca="false">IFERROR(INDEX('Semrush Data'!$A$1:$Z$20000,MATCH(V391,'Semrush Data'!$A$1:$A$20000,0),MATCH("Volume",'Semrush Data'!$A$1:$Z$1,0)),"")</f>
        <v>30</v>
      </c>
      <c r="X391" s="24" t="n">
        <f aca="false">IFERROR(INDEX('Semrush Data'!$A$1:$Z$20000,MATCH(V391,'Semrush Data'!$A$1:$A$20000,0),MATCH("Keyword Difficulty*",'Semrush Data'!$A$1:$Z$1,0)),"")</f>
        <v>16</v>
      </c>
      <c r="Y391" s="26" t="n">
        <f aca="false">IFERROR(INDEX('Semrush Data'!$A$1:$Z$20000,MATCH(V391,'Semrush Data'!$A$1:$A$20000,0),MATCH("CPC*",'Semrush Data'!$A$1:$Z$1,0)),"")</f>
        <v>0.58</v>
      </c>
      <c r="Z391" s="23" t="s">
        <v>4839</v>
      </c>
      <c r="AA391" s="23" t="s">
        <v>4840</v>
      </c>
      <c r="AB391" s="23" t="s">
        <v>4841</v>
      </c>
      <c r="AC391" s="23" t="s">
        <v>4842</v>
      </c>
      <c r="AD391" s="27" t="n">
        <f aca="false">LEN(AC391)</f>
        <v>60</v>
      </c>
      <c r="AE391" s="23" t="s">
        <v>4843</v>
      </c>
      <c r="AF391" s="27" t="n">
        <f aca="false">LEN(AE391)</f>
        <v>153</v>
      </c>
    </row>
    <row r="392" customFormat="false" ht="15" hidden="false" customHeight="true" outlineLevel="0" collapsed="false">
      <c r="A392" s="23" t="s">
        <v>113</v>
      </c>
      <c r="B392" s="23" t="s">
        <v>2449</v>
      </c>
      <c r="C392" s="23" t="n">
        <v>232</v>
      </c>
      <c r="D392" s="23" t="s">
        <v>4809</v>
      </c>
      <c r="E392" s="23"/>
      <c r="F392" s="23" t="s">
        <v>2452</v>
      </c>
      <c r="G392" s="23" t="s">
        <v>2453</v>
      </c>
      <c r="H392" s="23" t="s">
        <v>2583</v>
      </c>
      <c r="I392" s="23" t="s">
        <v>114</v>
      </c>
      <c r="J392" s="23" t="s">
        <v>2833</v>
      </c>
      <c r="K392" s="23" t="n">
        <v>94.99</v>
      </c>
      <c r="L392" s="23" t="s">
        <v>4844</v>
      </c>
      <c r="M392" s="23" t="s">
        <v>4845</v>
      </c>
      <c r="N392" s="23" t="s">
        <v>4846</v>
      </c>
      <c r="O392" s="23" t="s">
        <v>4847</v>
      </c>
      <c r="P392" s="23" t="s">
        <v>4848</v>
      </c>
      <c r="Q392" s="24" t="n">
        <f aca="false">IF(L392="","",IFERROR(INDEX('Semrush Data'!$A$1:$Z$20000,MATCH(L392,'Semrush Data'!$A$1:$A$20000,0),MATCH("Volume",'Semrush Data'!$A$1:$Z$1,0)),""))</f>
        <v>590</v>
      </c>
      <c r="R392" s="24" t="n">
        <f aca="false">IF(M392="","",IFERROR(INDEX('Semrush Data'!$A$1:$Z$20000,MATCH(M392,'Semrush Data'!$A$1:$A$20000,0),MATCH("Volume",'Semrush Data'!$A$1:$Z$1,0)),""))</f>
        <v>20</v>
      </c>
      <c r="S392" s="24" t="str">
        <f aca="false">IF(N392="","",IFERROR(INDEX('Semrush Data'!$A$1:$Z$20000,MATCH(N392,'Semrush Data'!$A$1:$A$20000,0),MATCH("Volume",'Semrush Data'!$A$1:$Z$1,0)),""))</f>
        <v/>
      </c>
      <c r="T392" s="24" t="str">
        <f aca="false">IF(O392="","",IFERROR(INDEX('Semrush Data'!$A$1:$Z$20000,MATCH(O392,'Semrush Data'!$A$1:$A$20000,0),MATCH("Volume",'Semrush Data'!$A$1:$Z$1,0)),""))</f>
        <v/>
      </c>
      <c r="U392" s="24" t="n">
        <f aca="false">IF(P392="","",IFERROR(INDEX('Semrush Data'!$A$1:$Z$20000,MATCH(P392,'Semrush Data'!$A$1:$A$20000,0),MATCH("Volume",'Semrush Data'!$A$1:$Z$1,0)),""))</f>
        <v>20</v>
      </c>
      <c r="V392" s="25" t="str">
        <f aca="false">IF(COUNT(Q392:U392)=0,L392,IF(MAX(Q392:U392)=0,L392,INDEX(L392:P392,MATCH(MAX(Q392:U392),Q392:U392,0))))</f>
        <v>guerlain oud essentiel</v>
      </c>
      <c r="W392" s="24" t="n">
        <f aca="false">IFERROR(INDEX('Semrush Data'!$A$1:$Z$20000,MATCH(V392,'Semrush Data'!$A$1:$A$20000,0),MATCH("Volume",'Semrush Data'!$A$1:$Z$1,0)),"")</f>
        <v>590</v>
      </c>
      <c r="X392" s="24" t="n">
        <f aca="false">IFERROR(INDEX('Semrush Data'!$A$1:$Z$20000,MATCH(V392,'Semrush Data'!$A$1:$A$20000,0),MATCH("Keyword Difficulty*",'Semrush Data'!$A$1:$Z$1,0)),"")</f>
        <v>19</v>
      </c>
      <c r="Y392" s="26" t="n">
        <f aca="false">IFERROR(INDEX('Semrush Data'!$A$1:$Z$20000,MATCH(V392,'Semrush Data'!$A$1:$A$20000,0),MATCH("CPC*",'Semrush Data'!$A$1:$Z$1,0)),"")</f>
        <v>0.68</v>
      </c>
      <c r="Z392" s="23" t="s">
        <v>4839</v>
      </c>
      <c r="AA392" s="23" t="s">
        <v>4849</v>
      </c>
      <c r="AB392" s="23" t="s">
        <v>4850</v>
      </c>
      <c r="AC392" s="23" t="s">
        <v>4851</v>
      </c>
      <c r="AD392" s="27" t="n">
        <f aca="false">LEN(AC392)</f>
        <v>59</v>
      </c>
      <c r="AE392" s="23" t="s">
        <v>4852</v>
      </c>
      <c r="AF392" s="27" t="n">
        <f aca="false">LEN(AE392)</f>
        <v>156</v>
      </c>
    </row>
    <row r="393" customFormat="false" ht="15" hidden="false" customHeight="true" outlineLevel="0" collapsed="false">
      <c r="A393" s="23" t="s">
        <v>127</v>
      </c>
      <c r="B393" s="23" t="s">
        <v>2449</v>
      </c>
      <c r="C393" s="23" t="n">
        <v>233</v>
      </c>
      <c r="D393" s="23" t="s">
        <v>4809</v>
      </c>
      <c r="E393" s="23"/>
      <c r="F393" s="23" t="s">
        <v>2452</v>
      </c>
      <c r="G393" s="23" t="s">
        <v>2453</v>
      </c>
      <c r="H393" s="23" t="s">
        <v>2454</v>
      </c>
      <c r="I393" s="23" t="s">
        <v>128</v>
      </c>
      <c r="J393" s="23" t="s">
        <v>2494</v>
      </c>
      <c r="K393" s="23" t="n">
        <v>69.99</v>
      </c>
      <c r="L393" s="23" t="s">
        <v>4853</v>
      </c>
      <c r="M393" s="23" t="s">
        <v>4854</v>
      </c>
      <c r="N393" s="23" t="s">
        <v>4855</v>
      </c>
      <c r="O393" s="23" t="s">
        <v>4856</v>
      </c>
      <c r="P393" s="23" t="s">
        <v>4857</v>
      </c>
      <c r="Q393" s="24" t="n">
        <f aca="false">IF(L393="","",IFERROR(INDEX('Semrush Data'!$A$1:$Z$20000,MATCH(L393,'Semrush Data'!$A$1:$A$20000,0),MATCH("Volume",'Semrush Data'!$A$1:$Z$1,0)),""))</f>
        <v>480</v>
      </c>
      <c r="R393" s="24" t="n">
        <f aca="false">IF(M393="","",IFERROR(INDEX('Semrush Data'!$A$1:$Z$20000,MATCH(M393,'Semrush Data'!$A$1:$A$20000,0),MATCH("Volume",'Semrush Data'!$A$1:$Z$1,0)),""))</f>
        <v>0</v>
      </c>
      <c r="S393" s="24" t="str">
        <f aca="false">IF(N393="","",IFERROR(INDEX('Semrush Data'!$A$1:$Z$20000,MATCH(N393,'Semrush Data'!$A$1:$A$20000,0),MATCH("Volume",'Semrush Data'!$A$1:$Z$1,0)),""))</f>
        <v/>
      </c>
      <c r="T393" s="24" t="str">
        <f aca="false">IF(O393="","",IFERROR(INDEX('Semrush Data'!$A$1:$Z$20000,MATCH(O393,'Semrush Data'!$A$1:$A$20000,0),MATCH("Volume",'Semrush Data'!$A$1:$Z$1,0)),""))</f>
        <v/>
      </c>
      <c r="U393" s="24" t="n">
        <f aca="false">IF(P393="","",IFERROR(INDEX('Semrush Data'!$A$1:$Z$20000,MATCH(P393,'Semrush Data'!$A$1:$A$20000,0),MATCH("Volume",'Semrush Data'!$A$1:$Z$1,0)),""))</f>
        <v>70</v>
      </c>
      <c r="V393" s="25" t="str">
        <f aca="false">IF(COUNT(Q393:U393)=0,L393,IF(MAX(Q393:U393)=0,L393,INDEX(L393:P393,MATCH(MAX(Q393:U393),Q393:U393,0))))</f>
        <v>guerlain samsara</v>
      </c>
      <c r="W393" s="24" t="n">
        <f aca="false">IFERROR(INDEX('Semrush Data'!$A$1:$Z$20000,MATCH(V393,'Semrush Data'!$A$1:$A$20000,0),MATCH("Volume",'Semrush Data'!$A$1:$Z$1,0)),"")</f>
        <v>480</v>
      </c>
      <c r="X393" s="24" t="n">
        <f aca="false">IFERROR(INDEX('Semrush Data'!$A$1:$Z$20000,MATCH(V393,'Semrush Data'!$A$1:$A$20000,0),MATCH("Keyword Difficulty*",'Semrush Data'!$A$1:$Z$1,0)),"")</f>
        <v>28</v>
      </c>
      <c r="Y393" s="26" t="n">
        <f aca="false">IFERROR(INDEX('Semrush Data'!$A$1:$Z$20000,MATCH(V393,'Semrush Data'!$A$1:$A$20000,0),MATCH("CPC*",'Semrush Data'!$A$1:$Z$1,0)),"")</f>
        <v>0.68</v>
      </c>
      <c r="Z393" s="23" t="s">
        <v>4827</v>
      </c>
      <c r="AA393" s="23" t="s">
        <v>4858</v>
      </c>
      <c r="AB393" s="23" t="s">
        <v>4859</v>
      </c>
      <c r="AC393" s="23" t="s">
        <v>4860</v>
      </c>
      <c r="AD393" s="27" t="n">
        <f aca="false">LEN(AC393)</f>
        <v>57</v>
      </c>
      <c r="AE393" s="23" t="s">
        <v>4861</v>
      </c>
      <c r="AF393" s="27" t="n">
        <f aca="false">LEN(AE393)</f>
        <v>151</v>
      </c>
    </row>
    <row r="394" customFormat="false" ht="15" hidden="false" customHeight="true" outlineLevel="0" collapsed="false">
      <c r="A394" s="23" t="s">
        <v>4862</v>
      </c>
      <c r="B394" s="23" t="s">
        <v>2449</v>
      </c>
      <c r="C394" s="23" t="n">
        <v>234</v>
      </c>
      <c r="D394" s="23" t="s">
        <v>4809</v>
      </c>
      <c r="E394" s="23"/>
      <c r="F394" s="23" t="s">
        <v>2452</v>
      </c>
      <c r="G394" s="23" t="s">
        <v>2453</v>
      </c>
      <c r="H394" s="23" t="s">
        <v>2583</v>
      </c>
      <c r="I394" s="23" t="s">
        <v>4863</v>
      </c>
      <c r="J394" s="23" t="s">
        <v>2833</v>
      </c>
      <c r="K394" s="23" t="n">
        <v>86.99</v>
      </c>
      <c r="L394" s="23" t="s">
        <v>4864</v>
      </c>
      <c r="M394" s="23" t="s">
        <v>4865</v>
      </c>
      <c r="N394" s="23" t="s">
        <v>4866</v>
      </c>
      <c r="O394" s="23" t="s">
        <v>4867</v>
      </c>
      <c r="P394" s="23" t="s">
        <v>4868</v>
      </c>
      <c r="Q394" s="24" t="n">
        <f aca="false">IF(L394="","",IFERROR(INDEX('Semrush Data'!$A$1:$Z$20000,MATCH(L394,'Semrush Data'!$A$1:$A$20000,0),MATCH("Volume",'Semrush Data'!$A$1:$Z$1,0)),""))</f>
        <v>90</v>
      </c>
      <c r="R394" s="24" t="n">
        <f aca="false">IF(M394="","",IFERROR(INDEX('Semrush Data'!$A$1:$Z$20000,MATCH(M394,'Semrush Data'!$A$1:$A$20000,0),MATCH("Volume",'Semrush Data'!$A$1:$Z$1,0)),""))</f>
        <v>0</v>
      </c>
      <c r="S394" s="24" t="str">
        <f aca="false">IF(N394="","",IFERROR(INDEX('Semrush Data'!$A$1:$Z$20000,MATCH(N394,'Semrush Data'!$A$1:$A$20000,0),MATCH("Volume",'Semrush Data'!$A$1:$Z$1,0)),""))</f>
        <v/>
      </c>
      <c r="T394" s="24" t="str">
        <f aca="false">IF(O394="","",IFERROR(INDEX('Semrush Data'!$A$1:$Z$20000,MATCH(O394,'Semrush Data'!$A$1:$A$20000,0),MATCH("Volume",'Semrush Data'!$A$1:$Z$1,0)),""))</f>
        <v/>
      </c>
      <c r="U394" s="24" t="n">
        <f aca="false">IF(P394="","",IFERROR(INDEX('Semrush Data'!$A$1:$Z$20000,MATCH(P394,'Semrush Data'!$A$1:$A$20000,0),MATCH("Volume",'Semrush Data'!$A$1:$Z$1,0)),""))</f>
        <v>20</v>
      </c>
      <c r="V394" s="25" t="str">
        <f aca="false">IF(COUNT(Q394:U394)=0,L394,IF(MAX(Q394:U394)=0,L394,INDEX(L394:P394,MATCH(MAX(Q394:U394),Q394:U394,0))))</f>
        <v>guerlain epices exquises</v>
      </c>
      <c r="W394" s="24" t="n">
        <f aca="false">IFERROR(INDEX('Semrush Data'!$A$1:$Z$20000,MATCH(V394,'Semrush Data'!$A$1:$A$20000,0),MATCH("Volume",'Semrush Data'!$A$1:$Z$1,0)),"")</f>
        <v>90</v>
      </c>
      <c r="X394" s="24" t="n">
        <f aca="false">IFERROR(INDEX('Semrush Data'!$A$1:$Z$20000,MATCH(V394,'Semrush Data'!$A$1:$A$20000,0),MATCH("Keyword Difficulty*",'Semrush Data'!$A$1:$Z$1,0)),"")</f>
        <v>20</v>
      </c>
      <c r="Y394" s="26" t="n">
        <f aca="false">IFERROR(INDEX('Semrush Data'!$A$1:$Z$20000,MATCH(V394,'Semrush Data'!$A$1:$A$20000,0),MATCH("CPC*",'Semrush Data'!$A$1:$Z$1,0)),"")</f>
        <v>0.78</v>
      </c>
      <c r="Z394" s="23" t="s">
        <v>4839</v>
      </c>
      <c r="AA394" s="23" t="s">
        <v>4869</v>
      </c>
      <c r="AB394" s="23" t="s">
        <v>4870</v>
      </c>
      <c r="AC394" s="23" t="s">
        <v>4871</v>
      </c>
      <c r="AD394" s="27" t="n">
        <f aca="false">LEN(AC394)</f>
        <v>52</v>
      </c>
      <c r="AE394" s="23" t="s">
        <v>4872</v>
      </c>
      <c r="AF394" s="27" t="n">
        <f aca="false">LEN(AE394)</f>
        <v>158</v>
      </c>
    </row>
    <row r="395" customFormat="false" ht="15" hidden="false" customHeight="true" outlineLevel="0" collapsed="false">
      <c r="A395" s="23" t="s">
        <v>4873</v>
      </c>
      <c r="B395" s="23" t="s">
        <v>2449</v>
      </c>
      <c r="C395" s="23" t="n">
        <v>235</v>
      </c>
      <c r="D395" s="23" t="s">
        <v>4809</v>
      </c>
      <c r="E395" s="23"/>
      <c r="F395" s="23" t="s">
        <v>2452</v>
      </c>
      <c r="G395" s="23" t="s">
        <v>2818</v>
      </c>
      <c r="H395" s="23" t="s">
        <v>2454</v>
      </c>
      <c r="I395" s="23" t="s">
        <v>4874</v>
      </c>
      <c r="J395" s="23" t="s">
        <v>1994</v>
      </c>
      <c r="K395" s="23" t="n">
        <v>49.99</v>
      </c>
      <c r="L395" s="23" t="s">
        <v>4875</v>
      </c>
      <c r="M395" s="23" t="s">
        <v>4876</v>
      </c>
      <c r="N395" s="23" t="s">
        <v>4877</v>
      </c>
      <c r="O395" s="23" t="s">
        <v>4878</v>
      </c>
      <c r="P395" s="23" t="s">
        <v>4879</v>
      </c>
      <c r="Q395" s="24" t="n">
        <f aca="false">IF(L395="","",IFERROR(INDEX('Semrush Data'!$A$1:$Z$20000,MATCH(L395,'Semrush Data'!$A$1:$A$20000,0),MATCH("Volume",'Semrush Data'!$A$1:$Z$1,0)),""))</f>
        <v>0</v>
      </c>
      <c r="R395" s="24" t="str">
        <f aca="false">IF(M395="","",IFERROR(INDEX('Semrush Data'!$A$1:$Z$20000,MATCH(M395,'Semrush Data'!$A$1:$A$20000,0),MATCH("Volume",'Semrush Data'!$A$1:$Z$1,0)),""))</f>
        <v/>
      </c>
      <c r="S395" s="24" t="str">
        <f aca="false">IF(N395="","",IFERROR(INDEX('Semrush Data'!$A$1:$Z$20000,MATCH(N395,'Semrush Data'!$A$1:$A$20000,0),MATCH("Volume",'Semrush Data'!$A$1:$Z$1,0)),""))</f>
        <v/>
      </c>
      <c r="T395" s="24" t="str">
        <f aca="false">IF(O395="","",IFERROR(INDEX('Semrush Data'!$A$1:$Z$20000,MATCH(O395,'Semrush Data'!$A$1:$A$20000,0),MATCH("Volume",'Semrush Data'!$A$1:$Z$1,0)),""))</f>
        <v/>
      </c>
      <c r="U395" s="24" t="str">
        <f aca="false">IF(P395="","",IFERROR(INDEX('Semrush Data'!$A$1:$Z$20000,MATCH(P395,'Semrush Data'!$A$1:$A$20000,0),MATCH("Volume",'Semrush Data'!$A$1:$Z$1,0)),""))</f>
        <v/>
      </c>
      <c r="V395" s="25" t="str">
        <f aca="false">IF(COUNT(Q395:U395)=0,L395,IF(MAX(Q395:U395)=0,L395,INDEX(L395:P395,MATCH(MAX(Q395:U395),Q395:U395,0))))</f>
        <v>guerlain la petite robe noire ma robe cocktail</v>
      </c>
      <c r="W395" s="24" t="n">
        <f aca="false">IFERROR(INDEX('Semrush Data'!$A$1:$Z$20000,MATCH(V395,'Semrush Data'!$A$1:$A$20000,0),MATCH("Volume",'Semrush Data'!$A$1:$Z$1,0)),"")</f>
        <v>0</v>
      </c>
      <c r="X395" s="24" t="n">
        <f aca="false">IFERROR(INDEX('Semrush Data'!$A$1:$Z$20000,MATCH(V395,'Semrush Data'!$A$1:$A$20000,0),MATCH("Keyword Difficulty*",'Semrush Data'!$A$1:$Z$1,0)),"")</f>
        <v>14</v>
      </c>
      <c r="Y395" s="26" t="n">
        <f aca="false">IFERROR(INDEX('Semrush Data'!$A$1:$Z$20000,MATCH(V395,'Semrush Data'!$A$1:$A$20000,0),MATCH("CPC*",'Semrush Data'!$A$1:$Z$1,0)),"")</f>
        <v>0</v>
      </c>
      <c r="Z395" s="23" t="s">
        <v>4827</v>
      </c>
      <c r="AA395" s="23" t="s">
        <v>4880</v>
      </c>
      <c r="AB395" s="23" t="s">
        <v>4881</v>
      </c>
      <c r="AC395" s="23" t="s">
        <v>4882</v>
      </c>
      <c r="AD395" s="27" t="n">
        <f aca="false">LEN(AC395)</f>
        <v>60</v>
      </c>
      <c r="AE395" s="23" t="s">
        <v>4883</v>
      </c>
      <c r="AF395" s="27" t="n">
        <f aca="false">LEN(AE395)</f>
        <v>159</v>
      </c>
    </row>
    <row r="396" customFormat="false" ht="15" hidden="false" customHeight="true" outlineLevel="0" collapsed="false">
      <c r="A396" s="23" t="s">
        <v>4884</v>
      </c>
      <c r="B396" s="23" t="s">
        <v>2449</v>
      </c>
      <c r="C396" s="23" t="n">
        <v>236</v>
      </c>
      <c r="D396" s="23" t="s">
        <v>4809</v>
      </c>
      <c r="E396" s="23"/>
      <c r="F396" s="23" t="s">
        <v>1735</v>
      </c>
      <c r="G396" s="23" t="s">
        <v>2550</v>
      </c>
      <c r="H396" s="23" t="s">
        <v>2516</v>
      </c>
      <c r="I396" s="23" t="s">
        <v>4885</v>
      </c>
      <c r="J396" s="23" t="s">
        <v>2562</v>
      </c>
      <c r="K396" s="23" t="n">
        <v>44.99</v>
      </c>
      <c r="L396" s="23" t="s">
        <v>4886</v>
      </c>
      <c r="M396" s="23" t="s">
        <v>4887</v>
      </c>
      <c r="N396" s="23" t="s">
        <v>4888</v>
      </c>
      <c r="O396" s="23" t="s">
        <v>4889</v>
      </c>
      <c r="P396" s="23"/>
      <c r="Q396" s="24" t="n">
        <f aca="false">IF(L396="","",IFERROR(INDEX('Semrush Data'!$A$1:$Z$20000,MATCH(L396,'Semrush Data'!$A$1:$A$20000,0),MATCH("Volume",'Semrush Data'!$A$1:$Z$1,0)),""))</f>
        <v>0</v>
      </c>
      <c r="R396" s="24" t="str">
        <f aca="false">IF(M396="","",IFERROR(INDEX('Semrush Data'!$A$1:$Z$20000,MATCH(M396,'Semrush Data'!$A$1:$A$20000,0),MATCH("Volume",'Semrush Data'!$A$1:$Z$1,0)),""))</f>
        <v/>
      </c>
      <c r="S396" s="24" t="str">
        <f aca="false">IF(N396="","",IFERROR(INDEX('Semrush Data'!$A$1:$Z$20000,MATCH(N396,'Semrush Data'!$A$1:$A$20000,0),MATCH("Volume",'Semrush Data'!$A$1:$Z$1,0)),""))</f>
        <v/>
      </c>
      <c r="T396" s="24" t="str">
        <f aca="false">IF(O396="","",IFERROR(INDEX('Semrush Data'!$A$1:$Z$20000,MATCH(O396,'Semrush Data'!$A$1:$A$20000,0),MATCH("Volume",'Semrush Data'!$A$1:$Z$1,0)),""))</f>
        <v/>
      </c>
      <c r="U396" s="24" t="str">
        <f aca="false">IF(P396="","",IFERROR(INDEX('Semrush Data'!$A$1:$Z$20000,MATCH(P396,'Semrush Data'!$A$1:$A$20000,0),MATCH("Volume",'Semrush Data'!$A$1:$Z$1,0)),""))</f>
        <v/>
      </c>
      <c r="V396" s="25" t="str">
        <f aca="false">IF(COUNT(Q396:U396)=0,L396,IF(MAX(Q396:U396)=0,L396,INDEX(L396:P396,MATCH(MAX(Q396:U396),Q396:U396,0))))</f>
        <v>guerlain mon guerlain miniature gift set</v>
      </c>
      <c r="W396" s="24" t="n">
        <f aca="false">IFERROR(INDEX('Semrush Data'!$A$1:$Z$20000,MATCH(V396,'Semrush Data'!$A$1:$A$20000,0),MATCH("Volume",'Semrush Data'!$A$1:$Z$1,0)),"")</f>
        <v>0</v>
      </c>
      <c r="X396" s="24" t="n">
        <f aca="false">IFERROR(INDEX('Semrush Data'!$A$1:$Z$20000,MATCH(V396,'Semrush Data'!$A$1:$A$20000,0),MATCH("Keyword Difficulty*",'Semrush Data'!$A$1:$Z$1,0)),"")</f>
        <v>19</v>
      </c>
      <c r="Y396" s="26" t="n">
        <f aca="false">IFERROR(INDEX('Semrush Data'!$A$1:$Z$20000,MATCH(V396,'Semrush Data'!$A$1:$A$20000,0),MATCH("CPC*",'Semrush Data'!$A$1:$Z$1,0)),"")</f>
        <v>0</v>
      </c>
      <c r="Z396" s="23" t="s">
        <v>4890</v>
      </c>
      <c r="AA396" s="23"/>
      <c r="AB396" s="23" t="s">
        <v>4891</v>
      </c>
      <c r="AC396" s="23" t="s">
        <v>4892</v>
      </c>
      <c r="AD396" s="27" t="n">
        <f aca="false">LEN(AC396)</f>
        <v>58</v>
      </c>
      <c r="AE396" s="23" t="s">
        <v>4893</v>
      </c>
      <c r="AF396" s="27" t="n">
        <f aca="false">LEN(AE396)</f>
        <v>158</v>
      </c>
    </row>
    <row r="397" customFormat="false" ht="15" hidden="false" customHeight="true" outlineLevel="0" collapsed="false">
      <c r="A397" s="23" t="s">
        <v>4894</v>
      </c>
      <c r="B397" s="23" t="s">
        <v>2449</v>
      </c>
      <c r="C397" s="23" t="n">
        <v>237</v>
      </c>
      <c r="D397" s="23" t="s">
        <v>4895</v>
      </c>
      <c r="E397" s="23"/>
      <c r="F397" s="23" t="s">
        <v>2452</v>
      </c>
      <c r="G397" s="23" t="s">
        <v>2453</v>
      </c>
      <c r="H397" s="23" t="s">
        <v>2527</v>
      </c>
      <c r="I397" s="23" t="s">
        <v>4896</v>
      </c>
      <c r="J397" s="23" t="s">
        <v>1994</v>
      </c>
      <c r="K397" s="23" t="n">
        <v>61.99</v>
      </c>
      <c r="L397" s="23" t="s">
        <v>4897</v>
      </c>
      <c r="M397" s="23" t="s">
        <v>4898</v>
      </c>
      <c r="N397" s="23" t="s">
        <v>4899</v>
      </c>
      <c r="O397" s="23" t="s">
        <v>4900</v>
      </c>
      <c r="P397" s="23" t="s">
        <v>4901</v>
      </c>
      <c r="Q397" s="24" t="n">
        <f aca="false">IF(L397="","",IFERROR(INDEX('Semrush Data'!$A$1:$Z$20000,MATCH(L397,'Semrush Data'!$A$1:$A$20000,0),MATCH("Volume",'Semrush Data'!$A$1:$Z$1,0)),""))</f>
        <v>0</v>
      </c>
      <c r="R397" s="24" t="str">
        <f aca="false">IF(M397="","",IFERROR(INDEX('Semrush Data'!$A$1:$Z$20000,MATCH(M397,'Semrush Data'!$A$1:$A$20000,0),MATCH("Volume",'Semrush Data'!$A$1:$Z$1,0)),""))</f>
        <v/>
      </c>
      <c r="S397" s="24" t="str">
        <f aca="false">IF(N397="","",IFERROR(INDEX('Semrush Data'!$A$1:$Z$20000,MATCH(N397,'Semrush Data'!$A$1:$A$20000,0),MATCH("Volume",'Semrush Data'!$A$1:$Z$1,0)),""))</f>
        <v/>
      </c>
      <c r="T397" s="24" t="str">
        <f aca="false">IF(O397="","",IFERROR(INDEX('Semrush Data'!$A$1:$Z$20000,MATCH(O397,'Semrush Data'!$A$1:$A$20000,0),MATCH("Volume",'Semrush Data'!$A$1:$Z$1,0)),""))</f>
        <v/>
      </c>
      <c r="U397" s="24" t="str">
        <f aca="false">IF(P397="","",IFERROR(INDEX('Semrush Data'!$A$1:$Z$20000,MATCH(P397,'Semrush Data'!$A$1:$A$20000,0),MATCH("Volume",'Semrush Data'!$A$1:$Z$1,0)),""))</f>
        <v/>
      </c>
      <c r="V397" s="25" t="str">
        <f aca="false">IF(COUNT(Q397:U397)=0,L397,IF(MAX(Q397:U397)=0,L397,INDEX(L397:P397,MATCH(MAX(Q397:U397),Q397:U397,0))))</f>
        <v>hemel amethyst dream</v>
      </c>
      <c r="W397" s="24" t="n">
        <f aca="false">IFERROR(INDEX('Semrush Data'!$A$1:$Z$20000,MATCH(V397,'Semrush Data'!$A$1:$A$20000,0),MATCH("Volume",'Semrush Data'!$A$1:$Z$1,0)),"")</f>
        <v>0</v>
      </c>
      <c r="X397" s="24" t="n">
        <f aca="false">IFERROR(INDEX('Semrush Data'!$A$1:$Z$20000,MATCH(V397,'Semrush Data'!$A$1:$A$20000,0),MATCH("Keyword Difficulty*",'Semrush Data'!$A$1:$Z$1,0)),"")</f>
        <v>21</v>
      </c>
      <c r="Y397" s="26" t="n">
        <f aca="false">IFERROR(INDEX('Semrush Data'!$A$1:$Z$20000,MATCH(V397,'Semrush Data'!$A$1:$A$20000,0),MATCH("CPC*",'Semrush Data'!$A$1:$Z$1,0)),"")</f>
        <v>0</v>
      </c>
      <c r="Z397" s="23" t="s">
        <v>4902</v>
      </c>
      <c r="AA397" s="23"/>
      <c r="AB397" s="23" t="s">
        <v>4903</v>
      </c>
      <c r="AC397" s="23" t="s">
        <v>4904</v>
      </c>
      <c r="AD397" s="27" t="n">
        <f aca="false">LEN(AC397)</f>
        <v>57</v>
      </c>
      <c r="AE397" s="23" t="s">
        <v>4905</v>
      </c>
      <c r="AF397" s="27" t="n">
        <f aca="false">LEN(AE397)</f>
        <v>155</v>
      </c>
    </row>
    <row r="398" customFormat="false" ht="15" hidden="false" customHeight="true" outlineLevel="0" collapsed="false">
      <c r="A398" s="23" t="s">
        <v>4906</v>
      </c>
      <c r="B398" s="23" t="s">
        <v>2449</v>
      </c>
      <c r="C398" s="23" t="n">
        <v>238</v>
      </c>
      <c r="D398" s="23" t="s">
        <v>4895</v>
      </c>
      <c r="E398" s="23"/>
      <c r="F398" s="23" t="s">
        <v>2452</v>
      </c>
      <c r="G398" s="23" t="s">
        <v>2453</v>
      </c>
      <c r="H398" s="23" t="s">
        <v>2538</v>
      </c>
      <c r="I398" s="23" t="s">
        <v>4907</v>
      </c>
      <c r="J398" s="23" t="s">
        <v>1994</v>
      </c>
      <c r="K398" s="23" t="n">
        <v>87.95</v>
      </c>
      <c r="L398" s="23" t="s">
        <v>4897</v>
      </c>
      <c r="M398" s="23" t="s">
        <v>4898</v>
      </c>
      <c r="N398" s="23" t="s">
        <v>4899</v>
      </c>
      <c r="O398" s="23" t="s">
        <v>4900</v>
      </c>
      <c r="P398" s="23" t="s">
        <v>4908</v>
      </c>
      <c r="Q398" s="24" t="n">
        <f aca="false">IF(L398="","",IFERROR(INDEX('Semrush Data'!$A$1:$Z$20000,MATCH(L398,'Semrush Data'!$A$1:$A$20000,0),MATCH("Volume",'Semrush Data'!$A$1:$Z$1,0)),""))</f>
        <v>0</v>
      </c>
      <c r="R398" s="24" t="str">
        <f aca="false">IF(M398="","",IFERROR(INDEX('Semrush Data'!$A$1:$Z$20000,MATCH(M398,'Semrush Data'!$A$1:$A$20000,0),MATCH("Volume",'Semrush Data'!$A$1:$Z$1,0)),""))</f>
        <v/>
      </c>
      <c r="S398" s="24" t="str">
        <f aca="false">IF(N398="","",IFERROR(INDEX('Semrush Data'!$A$1:$Z$20000,MATCH(N398,'Semrush Data'!$A$1:$A$20000,0),MATCH("Volume",'Semrush Data'!$A$1:$Z$1,0)),""))</f>
        <v/>
      </c>
      <c r="T398" s="24" t="str">
        <f aca="false">IF(O398="","",IFERROR(INDEX('Semrush Data'!$A$1:$Z$20000,MATCH(O398,'Semrush Data'!$A$1:$A$20000,0),MATCH("Volume",'Semrush Data'!$A$1:$Z$1,0)),""))</f>
        <v/>
      </c>
      <c r="U398" s="24" t="str">
        <f aca="false">IF(P398="","",IFERROR(INDEX('Semrush Data'!$A$1:$Z$20000,MATCH(P398,'Semrush Data'!$A$1:$A$20000,0),MATCH("Volume",'Semrush Data'!$A$1:$Z$1,0)),""))</f>
        <v/>
      </c>
      <c r="V398" s="25" t="str">
        <f aca="false">IF(COUNT(Q398:U398)=0,L398,IF(MAX(Q398:U398)=0,L398,INDEX(L398:P398,MATCH(MAX(Q398:U398),Q398:U398,0))))</f>
        <v>hemel amethyst dream</v>
      </c>
      <c r="W398" s="24" t="n">
        <f aca="false">IFERROR(INDEX('Semrush Data'!$A$1:$Z$20000,MATCH(V398,'Semrush Data'!$A$1:$A$20000,0),MATCH("Volume",'Semrush Data'!$A$1:$Z$1,0)),"")</f>
        <v>0</v>
      </c>
      <c r="X398" s="24" t="n">
        <f aca="false">IFERROR(INDEX('Semrush Data'!$A$1:$Z$20000,MATCH(V398,'Semrush Data'!$A$1:$A$20000,0),MATCH("Keyword Difficulty*",'Semrush Data'!$A$1:$Z$1,0)),"")</f>
        <v>21</v>
      </c>
      <c r="Y398" s="26" t="n">
        <f aca="false">IFERROR(INDEX('Semrush Data'!$A$1:$Z$20000,MATCH(V398,'Semrush Data'!$A$1:$A$20000,0),MATCH("CPC*",'Semrush Data'!$A$1:$Z$1,0)),"")</f>
        <v>0</v>
      </c>
      <c r="Z398" s="23" t="s">
        <v>4909</v>
      </c>
      <c r="AA398" s="23"/>
      <c r="AB398" s="23" t="s">
        <v>4910</v>
      </c>
      <c r="AC398" s="23" t="s">
        <v>4911</v>
      </c>
      <c r="AD398" s="27" t="n">
        <f aca="false">LEN(AC398)</f>
        <v>58</v>
      </c>
      <c r="AE398" s="23" t="s">
        <v>4912</v>
      </c>
      <c r="AF398" s="27" t="n">
        <f aca="false">LEN(AE398)</f>
        <v>152</v>
      </c>
    </row>
    <row r="399" customFormat="false" ht="15" hidden="false" customHeight="true" outlineLevel="0" collapsed="false">
      <c r="A399" s="23" t="s">
        <v>4913</v>
      </c>
      <c r="B399" s="23" t="s">
        <v>2449</v>
      </c>
      <c r="C399" s="23" t="n">
        <v>239</v>
      </c>
      <c r="D399" s="23" t="s">
        <v>4895</v>
      </c>
      <c r="E399" s="23"/>
      <c r="F399" s="23" t="s">
        <v>2452</v>
      </c>
      <c r="G399" s="23" t="s">
        <v>2453</v>
      </c>
      <c r="H399" s="23" t="s">
        <v>2538</v>
      </c>
      <c r="I399" s="23" t="s">
        <v>4914</v>
      </c>
      <c r="J399" s="23" t="s">
        <v>1994</v>
      </c>
      <c r="K399" s="23" t="n">
        <v>49.99</v>
      </c>
      <c r="L399" s="23" t="s">
        <v>4915</v>
      </c>
      <c r="M399" s="23" t="s">
        <v>4916</v>
      </c>
      <c r="N399" s="23" t="s">
        <v>4917</v>
      </c>
      <c r="O399" s="23" t="s">
        <v>4918</v>
      </c>
      <c r="P399" s="23" t="s">
        <v>4919</v>
      </c>
      <c r="Q399" s="24" t="n">
        <f aca="false">IF(L399="","",IFERROR(INDEX('Semrush Data'!$A$1:$Z$20000,MATCH(L399,'Semrush Data'!$A$1:$A$20000,0),MATCH("Volume",'Semrush Data'!$A$1:$Z$1,0)),""))</f>
        <v>0</v>
      </c>
      <c r="R399" s="24" t="str">
        <f aca="false">IF(M399="","",IFERROR(INDEX('Semrush Data'!$A$1:$Z$20000,MATCH(M399,'Semrush Data'!$A$1:$A$20000,0),MATCH("Volume",'Semrush Data'!$A$1:$Z$1,0)),""))</f>
        <v/>
      </c>
      <c r="S399" s="24" t="str">
        <f aca="false">IF(N399="","",IFERROR(INDEX('Semrush Data'!$A$1:$Z$20000,MATCH(N399,'Semrush Data'!$A$1:$A$20000,0),MATCH("Volume",'Semrush Data'!$A$1:$Z$1,0)),""))</f>
        <v/>
      </c>
      <c r="T399" s="24" t="str">
        <f aca="false">IF(O399="","",IFERROR(INDEX('Semrush Data'!$A$1:$Z$20000,MATCH(O399,'Semrush Data'!$A$1:$A$20000,0),MATCH("Volume",'Semrush Data'!$A$1:$Z$1,0)),""))</f>
        <v/>
      </c>
      <c r="U399" s="24" t="str">
        <f aca="false">IF(P399="","",IFERROR(INDEX('Semrush Data'!$A$1:$Z$20000,MATCH(P399,'Semrush Data'!$A$1:$A$20000,0),MATCH("Volume",'Semrush Data'!$A$1:$Z$1,0)),""))</f>
        <v/>
      </c>
      <c r="V399" s="25" t="str">
        <f aca="false">IF(COUNT(Q399:U399)=0,L399,IF(MAX(Q399:U399)=0,L399,INDEX(L399:P399,MATCH(MAX(Q399:U399),Q399:U399,0))))</f>
        <v>hemel dorado</v>
      </c>
      <c r="W399" s="24" t="n">
        <f aca="false">IFERROR(INDEX('Semrush Data'!$A$1:$Z$20000,MATCH(V399,'Semrush Data'!$A$1:$A$20000,0),MATCH("Volume",'Semrush Data'!$A$1:$Z$1,0)),"")</f>
        <v>0</v>
      </c>
      <c r="X399" s="24" t="n">
        <f aca="false">IFERROR(INDEX('Semrush Data'!$A$1:$Z$20000,MATCH(V399,'Semrush Data'!$A$1:$A$20000,0),MATCH("Keyword Difficulty*",'Semrush Data'!$A$1:$Z$1,0)),"")</f>
        <v>23</v>
      </c>
      <c r="Y399" s="26" t="n">
        <f aca="false">IFERROR(INDEX('Semrush Data'!$A$1:$Z$20000,MATCH(V399,'Semrush Data'!$A$1:$A$20000,0),MATCH("CPC*",'Semrush Data'!$A$1:$Z$1,0)),"")</f>
        <v>0</v>
      </c>
      <c r="Z399" s="23" t="s">
        <v>4909</v>
      </c>
      <c r="AA399" s="23" t="s">
        <v>4920</v>
      </c>
      <c r="AB399" s="23" t="s">
        <v>4921</v>
      </c>
      <c r="AC399" s="23" t="s">
        <v>4922</v>
      </c>
      <c r="AD399" s="27" t="n">
        <f aca="false">LEN(AC399)</f>
        <v>53</v>
      </c>
      <c r="AE399" s="23" t="s">
        <v>4923</v>
      </c>
      <c r="AF399" s="27" t="n">
        <f aca="false">LEN(AE399)</f>
        <v>147</v>
      </c>
    </row>
    <row r="400" customFormat="false" ht="15" hidden="false" customHeight="true" outlineLevel="0" collapsed="false">
      <c r="A400" s="23" t="s">
        <v>4924</v>
      </c>
      <c r="B400" s="23" t="s">
        <v>2449</v>
      </c>
      <c r="C400" s="23" t="n">
        <v>240</v>
      </c>
      <c r="D400" s="23" t="s">
        <v>4895</v>
      </c>
      <c r="E400" s="23"/>
      <c r="F400" s="23" t="s">
        <v>2452</v>
      </c>
      <c r="G400" s="23" t="s">
        <v>2453</v>
      </c>
      <c r="H400" s="23" t="s">
        <v>2538</v>
      </c>
      <c r="I400" s="23" t="s">
        <v>4925</v>
      </c>
      <c r="J400" s="23" t="s">
        <v>1994</v>
      </c>
      <c r="K400" s="23" t="n">
        <v>61.99</v>
      </c>
      <c r="L400" s="23" t="s">
        <v>4926</v>
      </c>
      <c r="M400" s="23" t="s">
        <v>4927</v>
      </c>
      <c r="N400" s="23" t="s">
        <v>4928</v>
      </c>
      <c r="O400" s="23" t="s">
        <v>4929</v>
      </c>
      <c r="P400" s="23" t="s">
        <v>4930</v>
      </c>
      <c r="Q400" s="24" t="n">
        <f aca="false">IF(L400="","",IFERROR(INDEX('Semrush Data'!$A$1:$Z$20000,MATCH(L400,'Semrush Data'!$A$1:$A$20000,0),MATCH("Volume",'Semrush Data'!$A$1:$Z$1,0)),""))</f>
        <v>10</v>
      </c>
      <c r="R400" s="24" t="str">
        <f aca="false">IF(M400="","",IFERROR(INDEX('Semrush Data'!$A$1:$Z$20000,MATCH(M400,'Semrush Data'!$A$1:$A$20000,0),MATCH("Volume",'Semrush Data'!$A$1:$Z$1,0)),""))</f>
        <v/>
      </c>
      <c r="S400" s="24" t="str">
        <f aca="false">IF(N400="","",IFERROR(INDEX('Semrush Data'!$A$1:$Z$20000,MATCH(N400,'Semrush Data'!$A$1:$A$20000,0),MATCH("Volume",'Semrush Data'!$A$1:$Z$1,0)),""))</f>
        <v/>
      </c>
      <c r="T400" s="24" t="str">
        <f aca="false">IF(O400="","",IFERROR(INDEX('Semrush Data'!$A$1:$Z$20000,MATCH(O400,'Semrush Data'!$A$1:$A$20000,0),MATCH("Volume",'Semrush Data'!$A$1:$Z$1,0)),""))</f>
        <v/>
      </c>
      <c r="U400" s="24" t="str">
        <f aca="false">IF(P400="","",IFERROR(INDEX('Semrush Data'!$A$1:$Z$20000,MATCH(P400,'Semrush Data'!$A$1:$A$20000,0),MATCH("Volume",'Semrush Data'!$A$1:$Z$1,0)),""))</f>
        <v/>
      </c>
      <c r="V400" s="25" t="str">
        <f aca="false">IF(COUNT(Q400:U400)=0,L400,IF(MAX(Q400:U400)=0,L400,INDEX(L400:P400,MATCH(MAX(Q400:U400),Q400:U400,0))))</f>
        <v>hemel favourite black</v>
      </c>
      <c r="W400" s="24" t="n">
        <f aca="false">IFERROR(INDEX('Semrush Data'!$A$1:$Z$20000,MATCH(V400,'Semrush Data'!$A$1:$A$20000,0),MATCH("Volume",'Semrush Data'!$A$1:$Z$1,0)),"")</f>
        <v>10</v>
      </c>
      <c r="X400" s="24" t="n">
        <f aca="false">IFERROR(INDEX('Semrush Data'!$A$1:$Z$20000,MATCH(V400,'Semrush Data'!$A$1:$A$20000,0),MATCH("Keyword Difficulty*",'Semrush Data'!$A$1:$Z$1,0)),"")</f>
        <v>8</v>
      </c>
      <c r="Y400" s="26" t="n">
        <f aca="false">IFERROR(INDEX('Semrush Data'!$A$1:$Z$20000,MATCH(V400,'Semrush Data'!$A$1:$A$20000,0),MATCH("CPC*",'Semrush Data'!$A$1:$Z$1,0)),"")</f>
        <v>0</v>
      </c>
      <c r="Z400" s="23" t="s">
        <v>4909</v>
      </c>
      <c r="AA400" s="23"/>
      <c r="AB400" s="23" t="s">
        <v>4931</v>
      </c>
      <c r="AC400" s="23" t="s">
        <v>4932</v>
      </c>
      <c r="AD400" s="27" t="n">
        <f aca="false">LEN(AC400)</f>
        <v>58</v>
      </c>
      <c r="AE400" s="23" t="s">
        <v>4933</v>
      </c>
      <c r="AF400" s="27" t="n">
        <f aca="false">LEN(AE400)</f>
        <v>156</v>
      </c>
    </row>
    <row r="401" customFormat="false" ht="15" hidden="false" customHeight="true" outlineLevel="0" collapsed="false">
      <c r="A401" s="23" t="s">
        <v>4934</v>
      </c>
      <c r="B401" s="23" t="s">
        <v>2449</v>
      </c>
      <c r="C401" s="23" t="n">
        <v>241</v>
      </c>
      <c r="D401" s="23" t="s">
        <v>4895</v>
      </c>
      <c r="E401" s="23"/>
      <c r="F401" s="23" t="s">
        <v>2452</v>
      </c>
      <c r="G401" s="23" t="s">
        <v>2453</v>
      </c>
      <c r="H401" s="23" t="s">
        <v>2538</v>
      </c>
      <c r="I401" s="23" t="s">
        <v>4935</v>
      </c>
      <c r="J401" s="23" t="s">
        <v>1994</v>
      </c>
      <c r="K401" s="23" t="n">
        <v>87.95</v>
      </c>
      <c r="L401" s="23" t="s">
        <v>4926</v>
      </c>
      <c r="M401" s="23" t="s">
        <v>4927</v>
      </c>
      <c r="N401" s="23" t="s">
        <v>4928</v>
      </c>
      <c r="O401" s="23" t="s">
        <v>4929</v>
      </c>
      <c r="P401" s="23" t="s">
        <v>4930</v>
      </c>
      <c r="Q401" s="24" t="n">
        <f aca="false">IF(L401="","",IFERROR(INDEX('Semrush Data'!$A$1:$Z$20000,MATCH(L401,'Semrush Data'!$A$1:$A$20000,0),MATCH("Volume",'Semrush Data'!$A$1:$Z$1,0)),""))</f>
        <v>10</v>
      </c>
      <c r="R401" s="24" t="str">
        <f aca="false">IF(M401="","",IFERROR(INDEX('Semrush Data'!$A$1:$Z$20000,MATCH(M401,'Semrush Data'!$A$1:$A$20000,0),MATCH("Volume",'Semrush Data'!$A$1:$Z$1,0)),""))</f>
        <v/>
      </c>
      <c r="S401" s="24" t="str">
        <f aca="false">IF(N401="","",IFERROR(INDEX('Semrush Data'!$A$1:$Z$20000,MATCH(N401,'Semrush Data'!$A$1:$A$20000,0),MATCH("Volume",'Semrush Data'!$A$1:$Z$1,0)),""))</f>
        <v/>
      </c>
      <c r="T401" s="24" t="str">
        <f aca="false">IF(O401="","",IFERROR(INDEX('Semrush Data'!$A$1:$Z$20000,MATCH(O401,'Semrush Data'!$A$1:$A$20000,0),MATCH("Volume",'Semrush Data'!$A$1:$Z$1,0)),""))</f>
        <v/>
      </c>
      <c r="U401" s="24" t="str">
        <f aca="false">IF(P401="","",IFERROR(INDEX('Semrush Data'!$A$1:$Z$20000,MATCH(P401,'Semrush Data'!$A$1:$A$20000,0),MATCH("Volume",'Semrush Data'!$A$1:$Z$1,0)),""))</f>
        <v/>
      </c>
      <c r="V401" s="25" t="str">
        <f aca="false">IF(COUNT(Q401:U401)=0,L401,IF(MAX(Q401:U401)=0,L401,INDEX(L401:P401,MATCH(MAX(Q401:U401),Q401:U401,0))))</f>
        <v>hemel favourite black</v>
      </c>
      <c r="W401" s="24" t="n">
        <f aca="false">IFERROR(INDEX('Semrush Data'!$A$1:$Z$20000,MATCH(V401,'Semrush Data'!$A$1:$A$20000,0),MATCH("Volume",'Semrush Data'!$A$1:$Z$1,0)),"")</f>
        <v>10</v>
      </c>
      <c r="X401" s="24" t="n">
        <f aca="false">IFERROR(INDEX('Semrush Data'!$A$1:$Z$20000,MATCH(V401,'Semrush Data'!$A$1:$A$20000,0),MATCH("Keyword Difficulty*",'Semrush Data'!$A$1:$Z$1,0)),"")</f>
        <v>8</v>
      </c>
      <c r="Y401" s="26" t="n">
        <f aca="false">IFERROR(INDEX('Semrush Data'!$A$1:$Z$20000,MATCH(V401,'Semrush Data'!$A$1:$A$20000,0),MATCH("CPC*",'Semrush Data'!$A$1:$Z$1,0)),"")</f>
        <v>0</v>
      </c>
      <c r="Z401" s="23" t="s">
        <v>4909</v>
      </c>
      <c r="AA401" s="23"/>
      <c r="AB401" s="23" t="s">
        <v>4936</v>
      </c>
      <c r="AC401" s="23" t="s">
        <v>4937</v>
      </c>
      <c r="AD401" s="27" t="n">
        <f aca="false">LEN(AC401)</f>
        <v>56</v>
      </c>
      <c r="AE401" s="23" t="s">
        <v>4938</v>
      </c>
      <c r="AF401" s="27" t="n">
        <f aca="false">LEN(AE401)</f>
        <v>157</v>
      </c>
    </row>
    <row r="402" customFormat="false" ht="15" hidden="false" customHeight="true" outlineLevel="0" collapsed="false">
      <c r="A402" s="23" t="s">
        <v>4939</v>
      </c>
      <c r="B402" s="23" t="s">
        <v>2449</v>
      </c>
      <c r="C402" s="23" t="n">
        <v>242</v>
      </c>
      <c r="D402" s="23" t="s">
        <v>4895</v>
      </c>
      <c r="E402" s="23"/>
      <c r="F402" s="23" t="s">
        <v>2452</v>
      </c>
      <c r="G402" s="23" t="s">
        <v>2453</v>
      </c>
      <c r="H402" s="23" t="s">
        <v>2527</v>
      </c>
      <c r="I402" s="23" t="s">
        <v>4940</v>
      </c>
      <c r="J402" s="23" t="s">
        <v>1994</v>
      </c>
      <c r="K402" s="23" t="n">
        <v>61.99</v>
      </c>
      <c r="L402" s="23" t="s">
        <v>4941</v>
      </c>
      <c r="M402" s="23" t="s">
        <v>4942</v>
      </c>
      <c r="N402" s="23" t="s">
        <v>4943</v>
      </c>
      <c r="O402" s="23" t="s">
        <v>4944</v>
      </c>
      <c r="P402" s="23" t="s">
        <v>4945</v>
      </c>
      <c r="Q402" s="24" t="n">
        <f aca="false">IF(L402="","",IFERROR(INDEX('Semrush Data'!$A$1:$Z$20000,MATCH(L402,'Semrush Data'!$A$1:$A$20000,0),MATCH("Volume",'Semrush Data'!$A$1:$Z$1,0)),""))</f>
        <v>0</v>
      </c>
      <c r="R402" s="24" t="str">
        <f aca="false">IF(M402="","",IFERROR(INDEX('Semrush Data'!$A$1:$Z$20000,MATCH(M402,'Semrush Data'!$A$1:$A$20000,0),MATCH("Volume",'Semrush Data'!$A$1:$Z$1,0)),""))</f>
        <v/>
      </c>
      <c r="S402" s="24" t="str">
        <f aca="false">IF(N402="","",IFERROR(INDEX('Semrush Data'!$A$1:$Z$20000,MATCH(N402,'Semrush Data'!$A$1:$A$20000,0),MATCH("Volume",'Semrush Data'!$A$1:$Z$1,0)),""))</f>
        <v/>
      </c>
      <c r="T402" s="24" t="str">
        <f aca="false">IF(O402="","",IFERROR(INDEX('Semrush Data'!$A$1:$Z$20000,MATCH(O402,'Semrush Data'!$A$1:$A$20000,0),MATCH("Volume",'Semrush Data'!$A$1:$Z$1,0)),""))</f>
        <v/>
      </c>
      <c r="U402" s="24" t="str">
        <f aca="false">IF(P402="","",IFERROR(INDEX('Semrush Data'!$A$1:$Z$20000,MATCH(P402,'Semrush Data'!$A$1:$A$20000,0),MATCH("Volume",'Semrush Data'!$A$1:$Z$1,0)),""))</f>
        <v/>
      </c>
      <c r="V402" s="25" t="str">
        <f aca="false">IF(COUNT(Q402:U402)=0,L402,IF(MAX(Q402:U402)=0,L402,INDEX(L402:P402,MATCH(MAX(Q402:U402),Q402:U402,0))))</f>
        <v>hemel affair</v>
      </c>
      <c r="W402" s="24" t="n">
        <f aca="false">IFERROR(INDEX('Semrush Data'!$A$1:$Z$20000,MATCH(V402,'Semrush Data'!$A$1:$A$20000,0),MATCH("Volume",'Semrush Data'!$A$1:$Z$1,0)),"")</f>
        <v>0</v>
      </c>
      <c r="X402" s="24" t="n">
        <f aca="false">IFERROR(INDEX('Semrush Data'!$A$1:$Z$20000,MATCH(V402,'Semrush Data'!$A$1:$A$20000,0),MATCH("Keyword Difficulty*",'Semrush Data'!$A$1:$Z$1,0)),"")</f>
        <v>25</v>
      </c>
      <c r="Y402" s="26" t="n">
        <f aca="false">IFERROR(INDEX('Semrush Data'!$A$1:$Z$20000,MATCH(V402,'Semrush Data'!$A$1:$A$20000,0),MATCH("CPC*",'Semrush Data'!$A$1:$Z$1,0)),"")</f>
        <v>0</v>
      </c>
      <c r="Z402" s="23" t="s">
        <v>4902</v>
      </c>
      <c r="AA402" s="23"/>
      <c r="AB402" s="23" t="s">
        <v>4946</v>
      </c>
      <c r="AC402" s="23" t="s">
        <v>4947</v>
      </c>
      <c r="AD402" s="27" t="n">
        <f aca="false">LEN(AC402)</f>
        <v>59</v>
      </c>
      <c r="AE402" s="23" t="s">
        <v>4948</v>
      </c>
      <c r="AF402" s="27" t="n">
        <f aca="false">LEN(AE402)</f>
        <v>157</v>
      </c>
    </row>
    <row r="403" customFormat="false" ht="15" hidden="false" customHeight="true" outlineLevel="0" collapsed="false">
      <c r="A403" s="23" t="s">
        <v>4949</v>
      </c>
      <c r="B403" s="23" t="s">
        <v>2449</v>
      </c>
      <c r="C403" s="23" t="n">
        <v>243</v>
      </c>
      <c r="D403" s="23" t="s">
        <v>4895</v>
      </c>
      <c r="E403" s="23"/>
      <c r="F403" s="23" t="s">
        <v>2452</v>
      </c>
      <c r="G403" s="23" t="s">
        <v>2453</v>
      </c>
      <c r="H403" s="23" t="s">
        <v>2538</v>
      </c>
      <c r="I403" s="23" t="s">
        <v>4950</v>
      </c>
      <c r="J403" s="23" t="s">
        <v>1994</v>
      </c>
      <c r="K403" s="23" t="n">
        <v>87.95</v>
      </c>
      <c r="L403" s="23" t="s">
        <v>4941</v>
      </c>
      <c r="M403" s="23" t="s">
        <v>4942</v>
      </c>
      <c r="N403" s="23" t="s">
        <v>4943</v>
      </c>
      <c r="O403" s="23" t="s">
        <v>4944</v>
      </c>
      <c r="P403" s="23" t="s">
        <v>4945</v>
      </c>
      <c r="Q403" s="24" t="n">
        <f aca="false">IF(L403="","",IFERROR(INDEX('Semrush Data'!$A$1:$Z$20000,MATCH(L403,'Semrush Data'!$A$1:$A$20000,0),MATCH("Volume",'Semrush Data'!$A$1:$Z$1,0)),""))</f>
        <v>0</v>
      </c>
      <c r="R403" s="24" t="str">
        <f aca="false">IF(M403="","",IFERROR(INDEX('Semrush Data'!$A$1:$Z$20000,MATCH(M403,'Semrush Data'!$A$1:$A$20000,0),MATCH("Volume",'Semrush Data'!$A$1:$Z$1,0)),""))</f>
        <v/>
      </c>
      <c r="S403" s="24" t="str">
        <f aca="false">IF(N403="","",IFERROR(INDEX('Semrush Data'!$A$1:$Z$20000,MATCH(N403,'Semrush Data'!$A$1:$A$20000,0),MATCH("Volume",'Semrush Data'!$A$1:$Z$1,0)),""))</f>
        <v/>
      </c>
      <c r="T403" s="24" t="str">
        <f aca="false">IF(O403="","",IFERROR(INDEX('Semrush Data'!$A$1:$Z$20000,MATCH(O403,'Semrush Data'!$A$1:$A$20000,0),MATCH("Volume",'Semrush Data'!$A$1:$Z$1,0)),""))</f>
        <v/>
      </c>
      <c r="U403" s="24" t="str">
        <f aca="false">IF(P403="","",IFERROR(INDEX('Semrush Data'!$A$1:$Z$20000,MATCH(P403,'Semrush Data'!$A$1:$A$20000,0),MATCH("Volume",'Semrush Data'!$A$1:$Z$1,0)),""))</f>
        <v/>
      </c>
      <c r="V403" s="25" t="str">
        <f aca="false">IF(COUNT(Q403:U403)=0,L403,IF(MAX(Q403:U403)=0,L403,INDEX(L403:P403,MATCH(MAX(Q403:U403),Q403:U403,0))))</f>
        <v>hemel affair</v>
      </c>
      <c r="W403" s="24" t="n">
        <f aca="false">IFERROR(INDEX('Semrush Data'!$A$1:$Z$20000,MATCH(V403,'Semrush Data'!$A$1:$A$20000,0),MATCH("Volume",'Semrush Data'!$A$1:$Z$1,0)),"")</f>
        <v>0</v>
      </c>
      <c r="X403" s="24" t="n">
        <f aca="false">IFERROR(INDEX('Semrush Data'!$A$1:$Z$20000,MATCH(V403,'Semrush Data'!$A$1:$A$20000,0),MATCH("Keyword Difficulty*",'Semrush Data'!$A$1:$Z$1,0)),"")</f>
        <v>25</v>
      </c>
      <c r="Y403" s="26" t="n">
        <f aca="false">IFERROR(INDEX('Semrush Data'!$A$1:$Z$20000,MATCH(V403,'Semrush Data'!$A$1:$A$20000,0),MATCH("CPC*",'Semrush Data'!$A$1:$Z$1,0)),"")</f>
        <v>0</v>
      </c>
      <c r="Z403" s="23" t="s">
        <v>4909</v>
      </c>
      <c r="AA403" s="23"/>
      <c r="AB403" s="23" t="s">
        <v>4951</v>
      </c>
      <c r="AC403" s="23" t="s">
        <v>4952</v>
      </c>
      <c r="AD403" s="27" t="n">
        <f aca="false">LEN(AC403)</f>
        <v>57</v>
      </c>
      <c r="AE403" s="23" t="s">
        <v>4953</v>
      </c>
      <c r="AF403" s="27" t="n">
        <f aca="false">LEN(AE403)</f>
        <v>158</v>
      </c>
    </row>
    <row r="404" customFormat="false" ht="15" hidden="false" customHeight="true" outlineLevel="0" collapsed="false">
      <c r="A404" s="23" t="s">
        <v>4954</v>
      </c>
      <c r="B404" s="23" t="s">
        <v>2449</v>
      </c>
      <c r="C404" s="23" t="n">
        <v>244</v>
      </c>
      <c r="D404" s="23" t="s">
        <v>4895</v>
      </c>
      <c r="E404" s="23"/>
      <c r="F404" s="23" t="s">
        <v>2452</v>
      </c>
      <c r="G404" s="23" t="s">
        <v>2453</v>
      </c>
      <c r="H404" s="23" t="s">
        <v>2583</v>
      </c>
      <c r="I404" s="23" t="s">
        <v>4955</v>
      </c>
      <c r="J404" s="23" t="s">
        <v>1994</v>
      </c>
      <c r="K404" s="23" t="n">
        <v>49.99</v>
      </c>
      <c r="L404" s="23" t="s">
        <v>4956</v>
      </c>
      <c r="M404" s="23" t="s">
        <v>4957</v>
      </c>
      <c r="N404" s="23" t="s">
        <v>4958</v>
      </c>
      <c r="O404" s="23" t="s">
        <v>4959</v>
      </c>
      <c r="P404" s="23" t="s">
        <v>4960</v>
      </c>
      <c r="Q404" s="24" t="n">
        <f aca="false">IF(L404="","",IFERROR(INDEX('Semrush Data'!$A$1:$Z$20000,MATCH(L404,'Semrush Data'!$A$1:$A$20000,0),MATCH("Volume",'Semrush Data'!$A$1:$Z$1,0)),""))</f>
        <v>0</v>
      </c>
      <c r="R404" s="24" t="str">
        <f aca="false">IF(M404="","",IFERROR(INDEX('Semrush Data'!$A$1:$Z$20000,MATCH(M404,'Semrush Data'!$A$1:$A$20000,0),MATCH("Volume",'Semrush Data'!$A$1:$Z$1,0)),""))</f>
        <v/>
      </c>
      <c r="S404" s="24" t="str">
        <f aca="false">IF(N404="","",IFERROR(INDEX('Semrush Data'!$A$1:$Z$20000,MATCH(N404,'Semrush Data'!$A$1:$A$20000,0),MATCH("Volume",'Semrush Data'!$A$1:$Z$1,0)),""))</f>
        <v/>
      </c>
      <c r="T404" s="24" t="str">
        <f aca="false">IF(O404="","",IFERROR(INDEX('Semrush Data'!$A$1:$Z$20000,MATCH(O404,'Semrush Data'!$A$1:$A$20000,0),MATCH("Volume",'Semrush Data'!$A$1:$Z$1,0)),""))</f>
        <v/>
      </c>
      <c r="U404" s="24" t="str">
        <f aca="false">IF(P404="","",IFERROR(INDEX('Semrush Data'!$A$1:$Z$20000,MATCH(P404,'Semrush Data'!$A$1:$A$20000,0),MATCH("Volume",'Semrush Data'!$A$1:$Z$1,0)),""))</f>
        <v/>
      </c>
      <c r="V404" s="25" t="str">
        <f aca="false">IF(COUNT(Q404:U404)=0,L404,IF(MAX(Q404:U404)=0,L404,INDEX(L404:P404,MATCH(MAX(Q404:U404),Q404:U404,0))))</f>
        <v>hemel gris</v>
      </c>
      <c r="W404" s="24" t="n">
        <f aca="false">IFERROR(INDEX('Semrush Data'!$A$1:$Z$20000,MATCH(V404,'Semrush Data'!$A$1:$A$20000,0),MATCH("Volume",'Semrush Data'!$A$1:$Z$1,0)),"")</f>
        <v>0</v>
      </c>
      <c r="X404" s="24" t="n">
        <f aca="false">IFERROR(INDEX('Semrush Data'!$A$1:$Z$20000,MATCH(V404,'Semrush Data'!$A$1:$A$20000,0),MATCH("Keyword Difficulty*",'Semrush Data'!$A$1:$Z$1,0)),"")</f>
        <v>10</v>
      </c>
      <c r="Y404" s="26" t="n">
        <f aca="false">IFERROR(INDEX('Semrush Data'!$A$1:$Z$20000,MATCH(V404,'Semrush Data'!$A$1:$A$20000,0),MATCH("CPC*",'Semrush Data'!$A$1:$Z$1,0)),"")</f>
        <v>0</v>
      </c>
      <c r="Z404" s="23" t="s">
        <v>4961</v>
      </c>
      <c r="AA404" s="23" t="s">
        <v>4962</v>
      </c>
      <c r="AB404" s="23" t="s">
        <v>4963</v>
      </c>
      <c r="AC404" s="23" t="s">
        <v>4964</v>
      </c>
      <c r="AD404" s="27" t="n">
        <f aca="false">LEN(AC404)</f>
        <v>51</v>
      </c>
      <c r="AE404" s="23" t="s">
        <v>4965</v>
      </c>
      <c r="AF404" s="27" t="n">
        <f aca="false">LEN(AE404)</f>
        <v>144</v>
      </c>
    </row>
    <row r="405" customFormat="false" ht="15" hidden="false" customHeight="true" outlineLevel="0" collapsed="false">
      <c r="A405" s="23" t="s">
        <v>4966</v>
      </c>
      <c r="B405" s="23" t="s">
        <v>2449</v>
      </c>
      <c r="C405" s="23" t="n">
        <v>245</v>
      </c>
      <c r="D405" s="23" t="s">
        <v>4895</v>
      </c>
      <c r="E405" s="23"/>
      <c r="F405" s="23" t="s">
        <v>2452</v>
      </c>
      <c r="G405" s="23" t="s">
        <v>2453</v>
      </c>
      <c r="H405" s="23" t="s">
        <v>2538</v>
      </c>
      <c r="I405" s="23" t="s">
        <v>4967</v>
      </c>
      <c r="J405" s="23" t="s">
        <v>1994</v>
      </c>
      <c r="K405" s="23" t="n">
        <v>87.95</v>
      </c>
      <c r="L405" s="23" t="s">
        <v>4968</v>
      </c>
      <c r="M405" s="23" t="s">
        <v>4969</v>
      </c>
      <c r="N405" s="23" t="s">
        <v>4970</v>
      </c>
      <c r="O405" s="23" t="s">
        <v>4971</v>
      </c>
      <c r="P405" s="23" t="s">
        <v>4972</v>
      </c>
      <c r="Q405" s="24" t="n">
        <f aca="false">IF(L405="","",IFERROR(INDEX('Semrush Data'!$A$1:$Z$20000,MATCH(L405,'Semrush Data'!$A$1:$A$20000,0),MATCH("Volume",'Semrush Data'!$A$1:$Z$1,0)),""))</f>
        <v>0</v>
      </c>
      <c r="R405" s="24" t="str">
        <f aca="false">IF(M405="","",IFERROR(INDEX('Semrush Data'!$A$1:$Z$20000,MATCH(M405,'Semrush Data'!$A$1:$A$20000,0),MATCH("Volume",'Semrush Data'!$A$1:$Z$1,0)),""))</f>
        <v/>
      </c>
      <c r="S405" s="24" t="str">
        <f aca="false">IF(N405="","",IFERROR(INDEX('Semrush Data'!$A$1:$Z$20000,MATCH(N405,'Semrush Data'!$A$1:$A$20000,0),MATCH("Volume",'Semrush Data'!$A$1:$Z$1,0)),""))</f>
        <v/>
      </c>
      <c r="T405" s="24" t="str">
        <f aca="false">IF(O405="","",IFERROR(INDEX('Semrush Data'!$A$1:$Z$20000,MATCH(O405,'Semrush Data'!$A$1:$A$20000,0),MATCH("Volume",'Semrush Data'!$A$1:$Z$1,0)),""))</f>
        <v/>
      </c>
      <c r="U405" s="24" t="str">
        <f aca="false">IF(P405="","",IFERROR(INDEX('Semrush Data'!$A$1:$Z$20000,MATCH(P405,'Semrush Data'!$A$1:$A$20000,0),MATCH("Volume",'Semrush Data'!$A$1:$Z$1,0)),""))</f>
        <v/>
      </c>
      <c r="V405" s="25" t="str">
        <f aca="false">IF(COUNT(Q405:U405)=0,L405,IF(MAX(Q405:U405)=0,L405,INDEX(L405:P405,MATCH(MAX(Q405:U405),Q405:U405,0))))</f>
        <v>hemel paris dorado</v>
      </c>
      <c r="W405" s="24" t="n">
        <f aca="false">IFERROR(INDEX('Semrush Data'!$A$1:$Z$20000,MATCH(V405,'Semrush Data'!$A$1:$A$20000,0),MATCH("Volume",'Semrush Data'!$A$1:$Z$1,0)),"")</f>
        <v>0</v>
      </c>
      <c r="X405" s="24" t="n">
        <f aca="false">IFERROR(INDEX('Semrush Data'!$A$1:$Z$20000,MATCH(V405,'Semrush Data'!$A$1:$A$20000,0),MATCH("Keyword Difficulty*",'Semrush Data'!$A$1:$Z$1,0)),"")</f>
        <v>24</v>
      </c>
      <c r="Y405" s="26" t="n">
        <f aca="false">IFERROR(INDEX('Semrush Data'!$A$1:$Z$20000,MATCH(V405,'Semrush Data'!$A$1:$A$20000,0),MATCH("CPC*",'Semrush Data'!$A$1:$Z$1,0)),"")</f>
        <v>0</v>
      </c>
      <c r="Z405" s="23" t="s">
        <v>4909</v>
      </c>
      <c r="AA405" s="23"/>
      <c r="AB405" s="23" t="s">
        <v>4973</v>
      </c>
      <c r="AC405" s="23" t="s">
        <v>4974</v>
      </c>
      <c r="AD405" s="27" t="n">
        <f aca="false">LEN(AC405)</f>
        <v>56</v>
      </c>
      <c r="AE405" s="23" t="s">
        <v>4975</v>
      </c>
      <c r="AF405" s="27" t="n">
        <f aca="false">LEN(AE405)</f>
        <v>150</v>
      </c>
    </row>
    <row r="406" customFormat="false" ht="15" hidden="false" customHeight="true" outlineLevel="0" collapsed="false">
      <c r="A406" s="23" t="s">
        <v>4976</v>
      </c>
      <c r="B406" s="23" t="s">
        <v>2449</v>
      </c>
      <c r="C406" s="23" t="n">
        <v>246</v>
      </c>
      <c r="D406" s="23" t="s">
        <v>4895</v>
      </c>
      <c r="E406" s="23"/>
      <c r="F406" s="23" t="s">
        <v>2452</v>
      </c>
      <c r="G406" s="23" t="s">
        <v>2453</v>
      </c>
      <c r="H406" s="23" t="s">
        <v>2538</v>
      </c>
      <c r="I406" s="23" t="s">
        <v>4977</v>
      </c>
      <c r="J406" s="23" t="s">
        <v>1994</v>
      </c>
      <c r="K406" s="23" t="n">
        <v>87.95</v>
      </c>
      <c r="L406" s="23" t="s">
        <v>4978</v>
      </c>
      <c r="M406" s="23" t="s">
        <v>4979</v>
      </c>
      <c r="N406" s="23" t="s">
        <v>4980</v>
      </c>
      <c r="O406" s="23" t="s">
        <v>4981</v>
      </c>
      <c r="P406" s="23" t="s">
        <v>4982</v>
      </c>
      <c r="Q406" s="24" t="n">
        <f aca="false">IF(L406="","",IFERROR(INDEX('Semrush Data'!$A$1:$Z$20000,MATCH(L406,'Semrush Data'!$A$1:$A$20000,0),MATCH("Volume",'Semrush Data'!$A$1:$Z$1,0)),""))</f>
        <v>0</v>
      </c>
      <c r="R406" s="24" t="str">
        <f aca="false">IF(M406="","",IFERROR(INDEX('Semrush Data'!$A$1:$Z$20000,MATCH(M406,'Semrush Data'!$A$1:$A$20000,0),MATCH("Volume",'Semrush Data'!$A$1:$Z$1,0)),""))</f>
        <v/>
      </c>
      <c r="S406" s="24" t="str">
        <f aca="false">IF(N406="","",IFERROR(INDEX('Semrush Data'!$A$1:$Z$20000,MATCH(N406,'Semrush Data'!$A$1:$A$20000,0),MATCH("Volume",'Semrush Data'!$A$1:$Z$1,0)),""))</f>
        <v/>
      </c>
      <c r="T406" s="24" t="str">
        <f aca="false">IF(O406="","",IFERROR(INDEX('Semrush Data'!$A$1:$Z$20000,MATCH(O406,'Semrush Data'!$A$1:$A$20000,0),MATCH("Volume",'Semrush Data'!$A$1:$Z$1,0)),""))</f>
        <v/>
      </c>
      <c r="U406" s="24" t="str">
        <f aca="false">IF(P406="","",IFERROR(INDEX('Semrush Data'!$A$1:$Z$20000,MATCH(P406,'Semrush Data'!$A$1:$A$20000,0),MATCH("Volume",'Semrush Data'!$A$1:$Z$1,0)),""))</f>
        <v/>
      </c>
      <c r="V406" s="25" t="str">
        <f aca="false">IF(COUNT(Q406:U406)=0,L406,IF(MAX(Q406:U406)=0,L406,INDEX(L406:P406,MATCH(MAX(Q406:U406),Q406:U406,0))))</f>
        <v>hemel paris gris for all</v>
      </c>
      <c r="W406" s="24" t="n">
        <f aca="false">IFERROR(INDEX('Semrush Data'!$A$1:$Z$20000,MATCH(V406,'Semrush Data'!$A$1:$A$20000,0),MATCH("Volume",'Semrush Data'!$A$1:$Z$1,0)),"")</f>
        <v>0</v>
      </c>
      <c r="X406" s="24" t="n">
        <f aca="false">IFERROR(INDEX('Semrush Data'!$A$1:$Z$20000,MATCH(V406,'Semrush Data'!$A$1:$A$20000,0),MATCH("Keyword Difficulty*",'Semrush Data'!$A$1:$Z$1,0)),"")</f>
        <v>16</v>
      </c>
      <c r="Y406" s="26" t="n">
        <f aca="false">IFERROR(INDEX('Semrush Data'!$A$1:$Z$20000,MATCH(V406,'Semrush Data'!$A$1:$A$20000,0),MATCH("CPC*",'Semrush Data'!$A$1:$Z$1,0)),"")</f>
        <v>0</v>
      </c>
      <c r="Z406" s="23" t="s">
        <v>4909</v>
      </c>
      <c r="AA406" s="23"/>
      <c r="AB406" s="23" t="s">
        <v>4983</v>
      </c>
      <c r="AC406" s="23" t="s">
        <v>4984</v>
      </c>
      <c r="AD406" s="27" t="n">
        <f aca="false">LEN(AC406)</f>
        <v>52</v>
      </c>
      <c r="AE406" s="23" t="s">
        <v>4985</v>
      </c>
      <c r="AF406" s="27" t="n">
        <f aca="false">LEN(AE406)</f>
        <v>159</v>
      </c>
    </row>
    <row r="407" customFormat="false" ht="15" hidden="false" customHeight="true" outlineLevel="0" collapsed="false">
      <c r="A407" s="23" t="s">
        <v>4986</v>
      </c>
      <c r="B407" s="23" t="s">
        <v>2449</v>
      </c>
      <c r="C407" s="23" t="n">
        <v>247</v>
      </c>
      <c r="D407" s="23" t="s">
        <v>4895</v>
      </c>
      <c r="E407" s="23"/>
      <c r="F407" s="23" t="s">
        <v>2452</v>
      </c>
      <c r="G407" s="23" t="s">
        <v>2453</v>
      </c>
      <c r="H407" s="23" t="s">
        <v>2583</v>
      </c>
      <c r="I407" s="23" t="s">
        <v>4987</v>
      </c>
      <c r="J407" s="23" t="s">
        <v>1994</v>
      </c>
      <c r="K407" s="23" t="n">
        <v>87.95</v>
      </c>
      <c r="L407" s="23" t="s">
        <v>4988</v>
      </c>
      <c r="M407" s="23" t="s">
        <v>4989</v>
      </c>
      <c r="N407" s="23" t="s">
        <v>4990</v>
      </c>
      <c r="O407" s="23" t="s">
        <v>4991</v>
      </c>
      <c r="P407" s="23" t="s">
        <v>4992</v>
      </c>
      <c r="Q407" s="24" t="n">
        <f aca="false">IF(L407="","",IFERROR(INDEX('Semrush Data'!$A$1:$Z$20000,MATCH(L407,'Semrush Data'!$A$1:$A$20000,0),MATCH("Volume",'Semrush Data'!$A$1:$Z$1,0)),""))</f>
        <v>20</v>
      </c>
      <c r="R407" s="24" t="str">
        <f aca="false">IF(M407="","",IFERROR(INDEX('Semrush Data'!$A$1:$Z$20000,MATCH(M407,'Semrush Data'!$A$1:$A$20000,0),MATCH("Volume",'Semrush Data'!$A$1:$Z$1,0)),""))</f>
        <v/>
      </c>
      <c r="S407" s="24" t="str">
        <f aca="false">IF(N407="","",IFERROR(INDEX('Semrush Data'!$A$1:$Z$20000,MATCH(N407,'Semrush Data'!$A$1:$A$20000,0),MATCH("Volume",'Semrush Data'!$A$1:$Z$1,0)),""))</f>
        <v/>
      </c>
      <c r="T407" s="24" t="str">
        <f aca="false">IF(O407="","",IFERROR(INDEX('Semrush Data'!$A$1:$Z$20000,MATCH(O407,'Semrush Data'!$A$1:$A$20000,0),MATCH("Volume",'Semrush Data'!$A$1:$Z$1,0)),""))</f>
        <v/>
      </c>
      <c r="U407" s="24" t="str">
        <f aca="false">IF(P407="","",IFERROR(INDEX('Semrush Data'!$A$1:$Z$20000,MATCH(P407,'Semrush Data'!$A$1:$A$20000,0),MATCH("Volume",'Semrush Data'!$A$1:$Z$1,0)),""))</f>
        <v/>
      </c>
      <c r="V407" s="25" t="str">
        <f aca="false">IF(COUNT(Q407:U407)=0,L407,IF(MAX(Q407:U407)=0,L407,INDEX(L407:P407,MATCH(MAX(Q407:U407),Q407:U407,0))))</f>
        <v>hemel patchouli for all</v>
      </c>
      <c r="W407" s="24" t="n">
        <f aca="false">IFERROR(INDEX('Semrush Data'!$A$1:$Z$20000,MATCH(V407,'Semrush Data'!$A$1:$A$20000,0),MATCH("Volume",'Semrush Data'!$A$1:$Z$1,0)),"")</f>
        <v>20</v>
      </c>
      <c r="X407" s="24" t="n">
        <f aca="false">IFERROR(INDEX('Semrush Data'!$A$1:$Z$20000,MATCH(V407,'Semrush Data'!$A$1:$A$20000,0),MATCH("Keyword Difficulty*",'Semrush Data'!$A$1:$Z$1,0)),"")</f>
        <v>21</v>
      </c>
      <c r="Y407" s="26" t="n">
        <f aca="false">IFERROR(INDEX('Semrush Data'!$A$1:$Z$20000,MATCH(V407,'Semrush Data'!$A$1:$A$20000,0),MATCH("CPC*",'Semrush Data'!$A$1:$Z$1,0)),"")</f>
        <v>0</v>
      </c>
      <c r="Z407" s="23" t="s">
        <v>4961</v>
      </c>
      <c r="AA407" s="23" t="s">
        <v>4993</v>
      </c>
      <c r="AB407" s="23" t="s">
        <v>4994</v>
      </c>
      <c r="AC407" s="23" t="s">
        <v>4995</v>
      </c>
      <c r="AD407" s="27" t="n">
        <f aca="false">LEN(AC407)</f>
        <v>60</v>
      </c>
      <c r="AE407" s="23" t="s">
        <v>4996</v>
      </c>
      <c r="AF407" s="27" t="n">
        <f aca="false">LEN(AE407)</f>
        <v>157</v>
      </c>
    </row>
    <row r="408" customFormat="false" ht="15" hidden="false" customHeight="true" outlineLevel="0" collapsed="false">
      <c r="A408" s="23" t="s">
        <v>4997</v>
      </c>
      <c r="B408" s="23" t="s">
        <v>2449</v>
      </c>
      <c r="C408" s="23" t="n">
        <v>248</v>
      </c>
      <c r="D408" s="23" t="s">
        <v>4895</v>
      </c>
      <c r="E408" s="23"/>
      <c r="F408" s="23" t="s">
        <v>2452</v>
      </c>
      <c r="G408" s="23" t="s">
        <v>2453</v>
      </c>
      <c r="H408" s="23" t="s">
        <v>2583</v>
      </c>
      <c r="I408" s="23" t="s">
        <v>4998</v>
      </c>
      <c r="J408" s="23" t="s">
        <v>1994</v>
      </c>
      <c r="K408" s="23" t="n">
        <v>61.99</v>
      </c>
      <c r="L408" s="23" t="s">
        <v>4988</v>
      </c>
      <c r="M408" s="23" t="s">
        <v>4989</v>
      </c>
      <c r="N408" s="23" t="s">
        <v>4990</v>
      </c>
      <c r="O408" s="23" t="s">
        <v>4991</v>
      </c>
      <c r="P408" s="23" t="s">
        <v>4992</v>
      </c>
      <c r="Q408" s="24" t="n">
        <f aca="false">IF(L408="","",IFERROR(INDEX('Semrush Data'!$A$1:$Z$20000,MATCH(L408,'Semrush Data'!$A$1:$A$20000,0),MATCH("Volume",'Semrush Data'!$A$1:$Z$1,0)),""))</f>
        <v>20</v>
      </c>
      <c r="R408" s="24" t="str">
        <f aca="false">IF(M408="","",IFERROR(INDEX('Semrush Data'!$A$1:$Z$20000,MATCH(M408,'Semrush Data'!$A$1:$A$20000,0),MATCH("Volume",'Semrush Data'!$A$1:$Z$1,0)),""))</f>
        <v/>
      </c>
      <c r="S408" s="24" t="str">
        <f aca="false">IF(N408="","",IFERROR(INDEX('Semrush Data'!$A$1:$Z$20000,MATCH(N408,'Semrush Data'!$A$1:$A$20000,0),MATCH("Volume",'Semrush Data'!$A$1:$Z$1,0)),""))</f>
        <v/>
      </c>
      <c r="T408" s="24" t="str">
        <f aca="false">IF(O408="","",IFERROR(INDEX('Semrush Data'!$A$1:$Z$20000,MATCH(O408,'Semrush Data'!$A$1:$A$20000,0),MATCH("Volume",'Semrush Data'!$A$1:$Z$1,0)),""))</f>
        <v/>
      </c>
      <c r="U408" s="24" t="str">
        <f aca="false">IF(P408="","",IFERROR(INDEX('Semrush Data'!$A$1:$Z$20000,MATCH(P408,'Semrush Data'!$A$1:$A$20000,0),MATCH("Volume",'Semrush Data'!$A$1:$Z$1,0)),""))</f>
        <v/>
      </c>
      <c r="V408" s="25" t="str">
        <f aca="false">IF(COUNT(Q408:U408)=0,L408,IF(MAX(Q408:U408)=0,L408,INDEX(L408:P408,MATCH(MAX(Q408:U408),Q408:U408,0))))</f>
        <v>hemel patchouli for all</v>
      </c>
      <c r="W408" s="24" t="n">
        <f aca="false">IFERROR(INDEX('Semrush Data'!$A$1:$Z$20000,MATCH(V408,'Semrush Data'!$A$1:$A$20000,0),MATCH("Volume",'Semrush Data'!$A$1:$Z$1,0)),"")</f>
        <v>20</v>
      </c>
      <c r="X408" s="24" t="n">
        <f aca="false">IFERROR(INDEX('Semrush Data'!$A$1:$Z$20000,MATCH(V408,'Semrush Data'!$A$1:$A$20000,0),MATCH("Keyword Difficulty*",'Semrush Data'!$A$1:$Z$1,0)),"")</f>
        <v>21</v>
      </c>
      <c r="Y408" s="26" t="n">
        <f aca="false">IFERROR(INDEX('Semrush Data'!$A$1:$Z$20000,MATCH(V408,'Semrush Data'!$A$1:$A$20000,0),MATCH("CPC*",'Semrush Data'!$A$1:$Z$1,0)),"")</f>
        <v>0</v>
      </c>
      <c r="Z408" s="23" t="s">
        <v>4961</v>
      </c>
      <c r="AA408" s="23" t="s">
        <v>4993</v>
      </c>
      <c r="AB408" s="23" t="s">
        <v>4999</v>
      </c>
      <c r="AC408" s="23" t="s">
        <v>4995</v>
      </c>
      <c r="AD408" s="27" t="n">
        <f aca="false">LEN(AC408)</f>
        <v>60</v>
      </c>
      <c r="AE408" s="23" t="s">
        <v>5000</v>
      </c>
      <c r="AF408" s="27" t="n">
        <f aca="false">LEN(AE408)</f>
        <v>157</v>
      </c>
    </row>
    <row r="409" customFormat="false" ht="15" hidden="false" customHeight="true" outlineLevel="0" collapsed="false">
      <c r="A409" s="23" t="s">
        <v>5001</v>
      </c>
      <c r="B409" s="23" t="s">
        <v>2449</v>
      </c>
      <c r="C409" s="23" t="n">
        <v>249</v>
      </c>
      <c r="D409" s="23" t="s">
        <v>4895</v>
      </c>
      <c r="E409" s="23"/>
      <c r="F409" s="23" t="s">
        <v>2452</v>
      </c>
      <c r="G409" s="23" t="s">
        <v>2453</v>
      </c>
      <c r="H409" s="23" t="s">
        <v>2583</v>
      </c>
      <c r="I409" s="23" t="s">
        <v>5002</v>
      </c>
      <c r="J409" s="23" t="s">
        <v>1994</v>
      </c>
      <c r="K409" s="23" t="n">
        <v>49.99</v>
      </c>
      <c r="L409" s="23" t="s">
        <v>5003</v>
      </c>
      <c r="M409" s="23" t="s">
        <v>5004</v>
      </c>
      <c r="N409" s="23" t="s">
        <v>5005</v>
      </c>
      <c r="O409" s="23" t="s">
        <v>5006</v>
      </c>
      <c r="P409" s="23" t="s">
        <v>5007</v>
      </c>
      <c r="Q409" s="24" t="n">
        <f aca="false">IF(L409="","",IFERROR(INDEX('Semrush Data'!$A$1:$Z$20000,MATCH(L409,'Semrush Data'!$A$1:$A$20000,0),MATCH("Volume",'Semrush Data'!$A$1:$Z$1,0)),""))</f>
        <v>0</v>
      </c>
      <c r="R409" s="24" t="str">
        <f aca="false">IF(M409="","",IFERROR(INDEX('Semrush Data'!$A$1:$Z$20000,MATCH(M409,'Semrush Data'!$A$1:$A$20000,0),MATCH("Volume",'Semrush Data'!$A$1:$Z$1,0)),""))</f>
        <v/>
      </c>
      <c r="S409" s="24" t="str">
        <f aca="false">IF(N409="","",IFERROR(INDEX('Semrush Data'!$A$1:$Z$20000,MATCH(N409,'Semrush Data'!$A$1:$A$20000,0),MATCH("Volume",'Semrush Data'!$A$1:$Z$1,0)),""))</f>
        <v/>
      </c>
      <c r="T409" s="24" t="str">
        <f aca="false">IF(O409="","",IFERROR(INDEX('Semrush Data'!$A$1:$Z$20000,MATCH(O409,'Semrush Data'!$A$1:$A$20000,0),MATCH("Volume",'Semrush Data'!$A$1:$Z$1,0)),""))</f>
        <v/>
      </c>
      <c r="U409" s="24" t="str">
        <f aca="false">IF(P409="","",IFERROR(INDEX('Semrush Data'!$A$1:$Z$20000,MATCH(P409,'Semrush Data'!$A$1:$A$20000,0),MATCH("Volume",'Semrush Data'!$A$1:$Z$1,0)),""))</f>
        <v/>
      </c>
      <c r="V409" s="25" t="str">
        <f aca="false">IF(COUNT(Q409:U409)=0,L409,IF(MAX(Q409:U409)=0,L409,INDEX(L409:P409,MATCH(MAX(Q409:U409),Q409:U409,0))))</f>
        <v>hemel plateado</v>
      </c>
      <c r="W409" s="24" t="n">
        <f aca="false">IFERROR(INDEX('Semrush Data'!$A$1:$Z$20000,MATCH(V409,'Semrush Data'!$A$1:$A$20000,0),MATCH("Volume",'Semrush Data'!$A$1:$Z$1,0)),"")</f>
        <v>0</v>
      </c>
      <c r="X409" s="24" t="n">
        <f aca="false">IFERROR(INDEX('Semrush Data'!$A$1:$Z$20000,MATCH(V409,'Semrush Data'!$A$1:$A$20000,0),MATCH("Keyword Difficulty*",'Semrush Data'!$A$1:$Z$1,0)),"")</f>
        <v>10</v>
      </c>
      <c r="Y409" s="26" t="n">
        <f aca="false">IFERROR(INDEX('Semrush Data'!$A$1:$Z$20000,MATCH(V409,'Semrush Data'!$A$1:$A$20000,0),MATCH("CPC*",'Semrush Data'!$A$1:$Z$1,0)),"")</f>
        <v>0</v>
      </c>
      <c r="Z409" s="23" t="s">
        <v>4961</v>
      </c>
      <c r="AA409" s="23"/>
      <c r="AB409" s="23" t="s">
        <v>5008</v>
      </c>
      <c r="AC409" s="23" t="s">
        <v>5009</v>
      </c>
      <c r="AD409" s="27" t="n">
        <f aca="false">LEN(AC409)</f>
        <v>55</v>
      </c>
      <c r="AE409" s="23" t="s">
        <v>5010</v>
      </c>
      <c r="AF409" s="27" t="n">
        <f aca="false">LEN(AE409)</f>
        <v>148</v>
      </c>
    </row>
    <row r="410" customFormat="false" ht="15" hidden="false" customHeight="true" outlineLevel="0" collapsed="false">
      <c r="A410" s="23" t="s">
        <v>5011</v>
      </c>
      <c r="B410" s="23" t="s">
        <v>2449</v>
      </c>
      <c r="C410" s="23" t="n">
        <v>250</v>
      </c>
      <c r="D410" s="23" t="s">
        <v>4895</v>
      </c>
      <c r="E410" s="23"/>
      <c r="F410" s="23" t="s">
        <v>2452</v>
      </c>
      <c r="G410" s="23" t="s">
        <v>2453</v>
      </c>
      <c r="H410" s="23" t="s">
        <v>2538</v>
      </c>
      <c r="I410" s="23" t="s">
        <v>5012</v>
      </c>
      <c r="J410" s="23" t="s">
        <v>1994</v>
      </c>
      <c r="K410" s="23" t="n">
        <v>87.95</v>
      </c>
      <c r="L410" s="23" t="s">
        <v>5003</v>
      </c>
      <c r="M410" s="23" t="s">
        <v>5004</v>
      </c>
      <c r="N410" s="23" t="s">
        <v>5005</v>
      </c>
      <c r="O410" s="23" t="s">
        <v>5006</v>
      </c>
      <c r="P410" s="23" t="s">
        <v>5007</v>
      </c>
      <c r="Q410" s="24" t="n">
        <f aca="false">IF(L410="","",IFERROR(INDEX('Semrush Data'!$A$1:$Z$20000,MATCH(L410,'Semrush Data'!$A$1:$A$20000,0),MATCH("Volume",'Semrush Data'!$A$1:$Z$1,0)),""))</f>
        <v>0</v>
      </c>
      <c r="R410" s="24" t="str">
        <f aca="false">IF(M410="","",IFERROR(INDEX('Semrush Data'!$A$1:$Z$20000,MATCH(M410,'Semrush Data'!$A$1:$A$20000,0),MATCH("Volume",'Semrush Data'!$A$1:$Z$1,0)),""))</f>
        <v/>
      </c>
      <c r="S410" s="24" t="str">
        <f aca="false">IF(N410="","",IFERROR(INDEX('Semrush Data'!$A$1:$Z$20000,MATCH(N410,'Semrush Data'!$A$1:$A$20000,0),MATCH("Volume",'Semrush Data'!$A$1:$Z$1,0)),""))</f>
        <v/>
      </c>
      <c r="T410" s="24" t="str">
        <f aca="false">IF(O410="","",IFERROR(INDEX('Semrush Data'!$A$1:$Z$20000,MATCH(O410,'Semrush Data'!$A$1:$A$20000,0),MATCH("Volume",'Semrush Data'!$A$1:$Z$1,0)),""))</f>
        <v/>
      </c>
      <c r="U410" s="24" t="str">
        <f aca="false">IF(P410="","",IFERROR(INDEX('Semrush Data'!$A$1:$Z$20000,MATCH(P410,'Semrush Data'!$A$1:$A$20000,0),MATCH("Volume",'Semrush Data'!$A$1:$Z$1,0)),""))</f>
        <v/>
      </c>
      <c r="V410" s="25" t="str">
        <f aca="false">IF(COUNT(Q410:U410)=0,L410,IF(MAX(Q410:U410)=0,L410,INDEX(L410:P410,MATCH(MAX(Q410:U410),Q410:U410,0))))</f>
        <v>hemel plateado</v>
      </c>
      <c r="W410" s="24" t="n">
        <f aca="false">IFERROR(INDEX('Semrush Data'!$A$1:$Z$20000,MATCH(V410,'Semrush Data'!$A$1:$A$20000,0),MATCH("Volume",'Semrush Data'!$A$1:$Z$1,0)),"")</f>
        <v>0</v>
      </c>
      <c r="X410" s="24" t="n">
        <f aca="false">IFERROR(INDEX('Semrush Data'!$A$1:$Z$20000,MATCH(V410,'Semrush Data'!$A$1:$A$20000,0),MATCH("Keyword Difficulty*",'Semrush Data'!$A$1:$Z$1,0)),"")</f>
        <v>10</v>
      </c>
      <c r="Y410" s="26" t="n">
        <f aca="false">IFERROR(INDEX('Semrush Data'!$A$1:$Z$20000,MATCH(V410,'Semrush Data'!$A$1:$A$20000,0),MATCH("CPC*",'Semrush Data'!$A$1:$Z$1,0)),"")</f>
        <v>0</v>
      </c>
      <c r="Z410" s="23" t="s">
        <v>4909</v>
      </c>
      <c r="AA410" s="23"/>
      <c r="AB410" s="23" t="s">
        <v>5013</v>
      </c>
      <c r="AC410" s="23" t="s">
        <v>5014</v>
      </c>
      <c r="AD410" s="27" t="n">
        <f aca="false">LEN(AC410)</f>
        <v>58</v>
      </c>
      <c r="AE410" s="23" t="s">
        <v>5015</v>
      </c>
      <c r="AF410" s="27" t="n">
        <f aca="false">LEN(AE410)</f>
        <v>156</v>
      </c>
    </row>
    <row r="411" customFormat="false" ht="15" hidden="false" customHeight="true" outlineLevel="0" collapsed="false">
      <c r="A411" s="23" t="s">
        <v>5016</v>
      </c>
      <c r="B411" s="23" t="s">
        <v>2449</v>
      </c>
      <c r="C411" s="23" t="n">
        <v>251</v>
      </c>
      <c r="D411" s="23" t="s">
        <v>4895</v>
      </c>
      <c r="E411" s="23"/>
      <c r="F411" s="23" t="s">
        <v>2452</v>
      </c>
      <c r="G411" s="23" t="s">
        <v>2453</v>
      </c>
      <c r="H411" s="23" t="s">
        <v>2527</v>
      </c>
      <c r="I411" s="23" t="s">
        <v>5017</v>
      </c>
      <c r="J411" s="23" t="s">
        <v>1994</v>
      </c>
      <c r="K411" s="23" t="n">
        <v>49.99</v>
      </c>
      <c r="L411" s="23" t="s">
        <v>5018</v>
      </c>
      <c r="M411" s="23" t="s">
        <v>5019</v>
      </c>
      <c r="N411" s="23" t="s">
        <v>5020</v>
      </c>
      <c r="O411" s="23" t="s">
        <v>5021</v>
      </c>
      <c r="P411" s="23" t="s">
        <v>5022</v>
      </c>
      <c r="Q411" s="24" t="n">
        <f aca="false">IF(L411="","",IFERROR(INDEX('Semrush Data'!$A$1:$Z$20000,MATCH(L411,'Semrush Data'!$A$1:$A$20000,0),MATCH("Volume",'Semrush Data'!$A$1:$Z$1,0)),""))</f>
        <v>0</v>
      </c>
      <c r="R411" s="24" t="str">
        <f aca="false">IF(M411="","",IFERROR(INDEX('Semrush Data'!$A$1:$Z$20000,MATCH(M411,'Semrush Data'!$A$1:$A$20000,0),MATCH("Volume",'Semrush Data'!$A$1:$Z$1,0)),""))</f>
        <v/>
      </c>
      <c r="S411" s="24" t="str">
        <f aca="false">IF(N411="","",IFERROR(INDEX('Semrush Data'!$A$1:$Z$20000,MATCH(N411,'Semrush Data'!$A$1:$A$20000,0),MATCH("Volume",'Semrush Data'!$A$1:$Z$1,0)),""))</f>
        <v/>
      </c>
      <c r="T411" s="24" t="str">
        <f aca="false">IF(O411="","",IFERROR(INDEX('Semrush Data'!$A$1:$Z$20000,MATCH(O411,'Semrush Data'!$A$1:$A$20000,0),MATCH("Volume",'Semrush Data'!$A$1:$Z$1,0)),""))</f>
        <v/>
      </c>
      <c r="U411" s="24" t="str">
        <f aca="false">IF(P411="","",IFERROR(INDEX('Semrush Data'!$A$1:$Z$20000,MATCH(P411,'Semrush Data'!$A$1:$A$20000,0),MATCH("Volume",'Semrush Data'!$A$1:$Z$1,0)),""))</f>
        <v/>
      </c>
      <c r="V411" s="25" t="str">
        <f aca="false">IF(COUNT(Q411:U411)=0,L411,IF(MAX(Q411:U411)=0,L411,INDEX(L411:P411,MATCH(MAX(Q411:U411),Q411:U411,0))))</f>
        <v>hemel rosado</v>
      </c>
      <c r="W411" s="24" t="n">
        <f aca="false">IFERROR(INDEX('Semrush Data'!$A$1:$Z$20000,MATCH(V411,'Semrush Data'!$A$1:$A$20000,0),MATCH("Volume",'Semrush Data'!$A$1:$Z$1,0)),"")</f>
        <v>0</v>
      </c>
      <c r="X411" s="24" t="n">
        <f aca="false">IFERROR(INDEX('Semrush Data'!$A$1:$Z$20000,MATCH(V411,'Semrush Data'!$A$1:$A$20000,0),MATCH("Keyword Difficulty*",'Semrush Data'!$A$1:$Z$1,0)),"")</f>
        <v>23</v>
      </c>
      <c r="Y411" s="26" t="n">
        <f aca="false">IFERROR(INDEX('Semrush Data'!$A$1:$Z$20000,MATCH(V411,'Semrush Data'!$A$1:$A$20000,0),MATCH("CPC*",'Semrush Data'!$A$1:$Z$1,0)),"")</f>
        <v>0</v>
      </c>
      <c r="Z411" s="23" t="s">
        <v>4902</v>
      </c>
      <c r="AA411" s="23" t="s">
        <v>5023</v>
      </c>
      <c r="AB411" s="23" t="s">
        <v>5024</v>
      </c>
      <c r="AC411" s="23" t="s">
        <v>5025</v>
      </c>
      <c r="AD411" s="27" t="n">
        <f aca="false">LEN(AC411)</f>
        <v>53</v>
      </c>
      <c r="AE411" s="23" t="s">
        <v>5026</v>
      </c>
      <c r="AF411" s="27" t="n">
        <f aca="false">LEN(AE411)</f>
        <v>147</v>
      </c>
    </row>
    <row r="412" customFormat="false" ht="15" hidden="false" customHeight="true" outlineLevel="0" collapsed="false">
      <c r="A412" s="23" t="s">
        <v>5027</v>
      </c>
      <c r="B412" s="23" t="s">
        <v>2449</v>
      </c>
      <c r="C412" s="23" t="n">
        <v>252</v>
      </c>
      <c r="D412" s="23" t="s">
        <v>4895</v>
      </c>
      <c r="E412" s="23"/>
      <c r="F412" s="23" t="s">
        <v>2452</v>
      </c>
      <c r="G412" s="23" t="s">
        <v>2453</v>
      </c>
      <c r="H412" s="23" t="s">
        <v>2538</v>
      </c>
      <c r="I412" s="23" t="s">
        <v>5028</v>
      </c>
      <c r="J412" s="23" t="s">
        <v>1994</v>
      </c>
      <c r="K412" s="23" t="n">
        <v>87.95</v>
      </c>
      <c r="L412" s="23" t="s">
        <v>5018</v>
      </c>
      <c r="M412" s="23" t="s">
        <v>5019</v>
      </c>
      <c r="N412" s="23" t="s">
        <v>5020</v>
      </c>
      <c r="O412" s="23" t="s">
        <v>5021</v>
      </c>
      <c r="P412" s="23" t="s">
        <v>5022</v>
      </c>
      <c r="Q412" s="24" t="n">
        <f aca="false">IF(L412="","",IFERROR(INDEX('Semrush Data'!$A$1:$Z$20000,MATCH(L412,'Semrush Data'!$A$1:$A$20000,0),MATCH("Volume",'Semrush Data'!$A$1:$Z$1,0)),""))</f>
        <v>0</v>
      </c>
      <c r="R412" s="24" t="str">
        <f aca="false">IF(M412="","",IFERROR(INDEX('Semrush Data'!$A$1:$Z$20000,MATCH(M412,'Semrush Data'!$A$1:$A$20000,0),MATCH("Volume",'Semrush Data'!$A$1:$Z$1,0)),""))</f>
        <v/>
      </c>
      <c r="S412" s="24" t="str">
        <f aca="false">IF(N412="","",IFERROR(INDEX('Semrush Data'!$A$1:$Z$20000,MATCH(N412,'Semrush Data'!$A$1:$A$20000,0),MATCH("Volume",'Semrush Data'!$A$1:$Z$1,0)),""))</f>
        <v/>
      </c>
      <c r="T412" s="24" t="str">
        <f aca="false">IF(O412="","",IFERROR(INDEX('Semrush Data'!$A$1:$Z$20000,MATCH(O412,'Semrush Data'!$A$1:$A$20000,0),MATCH("Volume",'Semrush Data'!$A$1:$Z$1,0)),""))</f>
        <v/>
      </c>
      <c r="U412" s="24" t="str">
        <f aca="false">IF(P412="","",IFERROR(INDEX('Semrush Data'!$A$1:$Z$20000,MATCH(P412,'Semrush Data'!$A$1:$A$20000,0),MATCH("Volume",'Semrush Data'!$A$1:$Z$1,0)),""))</f>
        <v/>
      </c>
      <c r="V412" s="25" t="str">
        <f aca="false">IF(COUNT(Q412:U412)=0,L412,IF(MAX(Q412:U412)=0,L412,INDEX(L412:P412,MATCH(MAX(Q412:U412),Q412:U412,0))))</f>
        <v>hemel rosado</v>
      </c>
      <c r="W412" s="24" t="n">
        <f aca="false">IFERROR(INDEX('Semrush Data'!$A$1:$Z$20000,MATCH(V412,'Semrush Data'!$A$1:$A$20000,0),MATCH("Volume",'Semrush Data'!$A$1:$Z$1,0)),"")</f>
        <v>0</v>
      </c>
      <c r="X412" s="24" t="n">
        <f aca="false">IFERROR(INDEX('Semrush Data'!$A$1:$Z$20000,MATCH(V412,'Semrush Data'!$A$1:$A$20000,0),MATCH("Keyword Difficulty*",'Semrush Data'!$A$1:$Z$1,0)),"")</f>
        <v>23</v>
      </c>
      <c r="Y412" s="26" t="n">
        <f aca="false">IFERROR(INDEX('Semrush Data'!$A$1:$Z$20000,MATCH(V412,'Semrush Data'!$A$1:$A$20000,0),MATCH("CPC*",'Semrush Data'!$A$1:$Z$1,0)),"")</f>
        <v>0</v>
      </c>
      <c r="Z412" s="23" t="s">
        <v>4909</v>
      </c>
      <c r="AA412" s="23" t="s">
        <v>5023</v>
      </c>
      <c r="AB412" s="23" t="s">
        <v>5029</v>
      </c>
      <c r="AC412" s="23" t="s">
        <v>5030</v>
      </c>
      <c r="AD412" s="27" t="n">
        <f aca="false">LEN(AC412)</f>
        <v>60</v>
      </c>
      <c r="AE412" s="23" t="s">
        <v>5031</v>
      </c>
      <c r="AF412" s="27" t="n">
        <f aca="false">LEN(AE412)</f>
        <v>154</v>
      </c>
    </row>
    <row r="413" customFormat="false" ht="15" hidden="false" customHeight="true" outlineLevel="0" collapsed="false">
      <c r="A413" s="23" t="s">
        <v>5032</v>
      </c>
      <c r="B413" s="23" t="s">
        <v>2449</v>
      </c>
      <c r="C413" s="23" t="n">
        <v>253</v>
      </c>
      <c r="D413" s="23" t="s">
        <v>4895</v>
      </c>
      <c r="E413" s="23"/>
      <c r="F413" s="23" t="s">
        <v>2452</v>
      </c>
      <c r="G413" s="23" t="s">
        <v>2453</v>
      </c>
      <c r="H413" s="23" t="s">
        <v>2527</v>
      </c>
      <c r="I413" s="23" t="s">
        <v>5033</v>
      </c>
      <c r="J413" s="23" t="s">
        <v>1994</v>
      </c>
      <c r="K413" s="23" t="n">
        <v>61.99</v>
      </c>
      <c r="L413" s="23" t="s">
        <v>5034</v>
      </c>
      <c r="M413" s="23" t="s">
        <v>5035</v>
      </c>
      <c r="N413" s="23" t="s">
        <v>5036</v>
      </c>
      <c r="O413" s="23" t="s">
        <v>5037</v>
      </c>
      <c r="P413" s="23" t="s">
        <v>5038</v>
      </c>
      <c r="Q413" s="24" t="n">
        <f aca="false">IF(L413="","",IFERROR(INDEX('Semrush Data'!$A$1:$Z$20000,MATCH(L413,'Semrush Data'!$A$1:$A$20000,0),MATCH("Volume",'Semrush Data'!$A$1:$Z$1,0)),""))</f>
        <v>10</v>
      </c>
      <c r="R413" s="24" t="str">
        <f aca="false">IF(M413="","",IFERROR(INDEX('Semrush Data'!$A$1:$Z$20000,MATCH(M413,'Semrush Data'!$A$1:$A$20000,0),MATCH("Volume",'Semrush Data'!$A$1:$Z$1,0)),""))</f>
        <v/>
      </c>
      <c r="S413" s="24" t="str">
        <f aca="false">IF(N413="","",IFERROR(INDEX('Semrush Data'!$A$1:$Z$20000,MATCH(N413,'Semrush Data'!$A$1:$A$20000,0),MATCH("Volume",'Semrush Data'!$A$1:$Z$1,0)),""))</f>
        <v/>
      </c>
      <c r="T413" s="24" t="str">
        <f aca="false">IF(O413="","",IFERROR(INDEX('Semrush Data'!$A$1:$Z$20000,MATCH(O413,'Semrush Data'!$A$1:$A$20000,0),MATCH("Volume",'Semrush Data'!$A$1:$Z$1,0)),""))</f>
        <v/>
      </c>
      <c r="U413" s="24" t="str">
        <f aca="false">IF(P413="","",IFERROR(INDEX('Semrush Data'!$A$1:$Z$20000,MATCH(P413,'Semrush Data'!$A$1:$A$20000,0),MATCH("Volume",'Semrush Data'!$A$1:$Z$1,0)),""))</f>
        <v/>
      </c>
      <c r="V413" s="25" t="str">
        <f aca="false">IF(COUNT(Q413:U413)=0,L413,IF(MAX(Q413:U413)=0,L413,INDEX(L413:P413,MATCH(MAX(Q413:U413),Q413:U413,0))))</f>
        <v>hemel valley of diamond</v>
      </c>
      <c r="W413" s="24" t="n">
        <f aca="false">IFERROR(INDEX('Semrush Data'!$A$1:$Z$20000,MATCH(V413,'Semrush Data'!$A$1:$A$20000,0),MATCH("Volume",'Semrush Data'!$A$1:$Z$1,0)),"")</f>
        <v>10</v>
      </c>
      <c r="X413" s="24" t="n">
        <f aca="false">IFERROR(INDEX('Semrush Data'!$A$1:$Z$20000,MATCH(V413,'Semrush Data'!$A$1:$A$20000,0),MATCH("Keyword Difficulty*",'Semrush Data'!$A$1:$Z$1,0)),"")</f>
        <v>9</v>
      </c>
      <c r="Y413" s="26" t="n">
        <f aca="false">IFERROR(INDEX('Semrush Data'!$A$1:$Z$20000,MATCH(V413,'Semrush Data'!$A$1:$A$20000,0),MATCH("CPC*",'Semrush Data'!$A$1:$Z$1,0)),"")</f>
        <v>0</v>
      </c>
      <c r="Z413" s="23" t="s">
        <v>4902</v>
      </c>
      <c r="AA413" s="23" t="s">
        <v>5039</v>
      </c>
      <c r="AB413" s="23" t="s">
        <v>5040</v>
      </c>
      <c r="AC413" s="23" t="s">
        <v>5041</v>
      </c>
      <c r="AD413" s="27" t="n">
        <f aca="false">LEN(AC413)</f>
        <v>60</v>
      </c>
      <c r="AE413" s="23" t="s">
        <v>5042</v>
      </c>
      <c r="AF413" s="27" t="n">
        <f aca="false">LEN(AE413)</f>
        <v>158</v>
      </c>
    </row>
    <row r="414" customFormat="false" ht="15" hidden="false" customHeight="true" outlineLevel="0" collapsed="false">
      <c r="A414" s="23" t="s">
        <v>5043</v>
      </c>
      <c r="B414" s="23" t="s">
        <v>2449</v>
      </c>
      <c r="C414" s="23" t="n">
        <v>254</v>
      </c>
      <c r="D414" s="23" t="s">
        <v>4895</v>
      </c>
      <c r="E414" s="23"/>
      <c r="F414" s="23" t="s">
        <v>2452</v>
      </c>
      <c r="G414" s="23" t="s">
        <v>2453</v>
      </c>
      <c r="H414" s="23" t="s">
        <v>2538</v>
      </c>
      <c r="I414" s="23" t="s">
        <v>5044</v>
      </c>
      <c r="J414" s="23" t="s">
        <v>1994</v>
      </c>
      <c r="K414" s="23" t="n">
        <v>87.95</v>
      </c>
      <c r="L414" s="23" t="s">
        <v>5034</v>
      </c>
      <c r="M414" s="23" t="s">
        <v>5035</v>
      </c>
      <c r="N414" s="23" t="s">
        <v>5036</v>
      </c>
      <c r="O414" s="23" t="s">
        <v>5037</v>
      </c>
      <c r="P414" s="23" t="s">
        <v>5038</v>
      </c>
      <c r="Q414" s="24" t="n">
        <f aca="false">IF(L414="","",IFERROR(INDEX('Semrush Data'!$A$1:$Z$20000,MATCH(L414,'Semrush Data'!$A$1:$A$20000,0),MATCH("Volume",'Semrush Data'!$A$1:$Z$1,0)),""))</f>
        <v>10</v>
      </c>
      <c r="R414" s="24" t="str">
        <f aca="false">IF(M414="","",IFERROR(INDEX('Semrush Data'!$A$1:$Z$20000,MATCH(M414,'Semrush Data'!$A$1:$A$20000,0),MATCH("Volume",'Semrush Data'!$A$1:$Z$1,0)),""))</f>
        <v/>
      </c>
      <c r="S414" s="24" t="str">
        <f aca="false">IF(N414="","",IFERROR(INDEX('Semrush Data'!$A$1:$Z$20000,MATCH(N414,'Semrush Data'!$A$1:$A$20000,0),MATCH("Volume",'Semrush Data'!$A$1:$Z$1,0)),""))</f>
        <v/>
      </c>
      <c r="T414" s="24" t="str">
        <f aca="false">IF(O414="","",IFERROR(INDEX('Semrush Data'!$A$1:$Z$20000,MATCH(O414,'Semrush Data'!$A$1:$A$20000,0),MATCH("Volume",'Semrush Data'!$A$1:$Z$1,0)),""))</f>
        <v/>
      </c>
      <c r="U414" s="24" t="str">
        <f aca="false">IF(P414="","",IFERROR(INDEX('Semrush Data'!$A$1:$Z$20000,MATCH(P414,'Semrush Data'!$A$1:$A$20000,0),MATCH("Volume",'Semrush Data'!$A$1:$Z$1,0)),""))</f>
        <v/>
      </c>
      <c r="V414" s="25" t="str">
        <f aca="false">IF(COUNT(Q414:U414)=0,L414,IF(MAX(Q414:U414)=0,L414,INDEX(L414:P414,MATCH(MAX(Q414:U414),Q414:U414,0))))</f>
        <v>hemel valley of diamond</v>
      </c>
      <c r="W414" s="24" t="n">
        <f aca="false">IFERROR(INDEX('Semrush Data'!$A$1:$Z$20000,MATCH(V414,'Semrush Data'!$A$1:$A$20000,0),MATCH("Volume",'Semrush Data'!$A$1:$Z$1,0)),"")</f>
        <v>10</v>
      </c>
      <c r="X414" s="24" t="n">
        <f aca="false">IFERROR(INDEX('Semrush Data'!$A$1:$Z$20000,MATCH(V414,'Semrush Data'!$A$1:$A$20000,0),MATCH("Keyword Difficulty*",'Semrush Data'!$A$1:$Z$1,0)),"")</f>
        <v>9</v>
      </c>
      <c r="Y414" s="26" t="n">
        <f aca="false">IFERROR(INDEX('Semrush Data'!$A$1:$Z$20000,MATCH(V414,'Semrush Data'!$A$1:$A$20000,0),MATCH("CPC*",'Semrush Data'!$A$1:$Z$1,0)),"")</f>
        <v>0</v>
      </c>
      <c r="Z414" s="23" t="s">
        <v>4909</v>
      </c>
      <c r="AA414" s="23" t="s">
        <v>5039</v>
      </c>
      <c r="AB414" s="23" t="s">
        <v>5045</v>
      </c>
      <c r="AC414" s="23" t="s">
        <v>5046</v>
      </c>
      <c r="AD414" s="27" t="n">
        <f aca="false">LEN(AC414)</f>
        <v>58</v>
      </c>
      <c r="AE414" s="23" t="s">
        <v>5047</v>
      </c>
      <c r="AF414" s="27" t="n">
        <f aca="false">LEN(AE414)</f>
        <v>159</v>
      </c>
    </row>
    <row r="415" customFormat="false" ht="15" hidden="false" customHeight="true" outlineLevel="0" collapsed="false">
      <c r="A415" s="23" t="s">
        <v>5048</v>
      </c>
      <c r="B415" s="23" t="s">
        <v>2449</v>
      </c>
      <c r="C415" s="23" t="n">
        <v>255</v>
      </c>
      <c r="D415" s="23" t="s">
        <v>5049</v>
      </c>
      <c r="E415" s="23"/>
      <c r="F415" s="23" t="s">
        <v>2452</v>
      </c>
      <c r="G415" s="23" t="s">
        <v>2818</v>
      </c>
      <c r="H415" s="23" t="s">
        <v>2538</v>
      </c>
      <c r="I415" s="23" t="s">
        <v>5050</v>
      </c>
      <c r="J415" s="23" t="s">
        <v>5051</v>
      </c>
      <c r="K415" s="23" t="n">
        <v>25.99</v>
      </c>
      <c r="L415" s="23" t="s">
        <v>5052</v>
      </c>
      <c r="M415" s="23" t="s">
        <v>5053</v>
      </c>
      <c r="N415" s="23" t="s">
        <v>5054</v>
      </c>
      <c r="O415" s="23" t="s">
        <v>5055</v>
      </c>
      <c r="P415" s="23" t="s">
        <v>5056</v>
      </c>
      <c r="Q415" s="24" t="n">
        <f aca="false">IF(L415="","",IFERROR(INDEX('Semrush Data'!$A$1:$Z$20000,MATCH(L415,'Semrush Data'!$A$1:$A$20000,0),MATCH("Volume",'Semrush Data'!$A$1:$Z$1,0)),""))</f>
        <v>0</v>
      </c>
      <c r="R415" s="24" t="str">
        <f aca="false">IF(M415="","",IFERROR(INDEX('Semrush Data'!$A$1:$Z$20000,MATCH(M415,'Semrush Data'!$A$1:$A$20000,0),MATCH("Volume",'Semrush Data'!$A$1:$Z$1,0)),""))</f>
        <v/>
      </c>
      <c r="S415" s="24" t="str">
        <f aca="false">IF(N415="","",IFERROR(INDEX('Semrush Data'!$A$1:$Z$20000,MATCH(N415,'Semrush Data'!$A$1:$A$20000,0),MATCH("Volume",'Semrush Data'!$A$1:$Z$1,0)),""))</f>
        <v/>
      </c>
      <c r="T415" s="24" t="str">
        <f aca="false">IF(O415="","",IFERROR(INDEX('Semrush Data'!$A$1:$Z$20000,MATCH(O415,'Semrush Data'!$A$1:$A$20000,0),MATCH("Volume",'Semrush Data'!$A$1:$Z$1,0)),""))</f>
        <v/>
      </c>
      <c r="U415" s="24" t="str">
        <f aca="false">IF(P415="","",IFERROR(INDEX('Semrush Data'!$A$1:$Z$20000,MATCH(P415,'Semrush Data'!$A$1:$A$20000,0),MATCH("Volume",'Semrush Data'!$A$1:$Z$1,0)),""))</f>
        <v/>
      </c>
      <c r="V415" s="25" t="str">
        <f aca="false">IF(COUNT(Q415:U415)=0,L415,IF(MAX(Q415:U415)=0,L415,INDEX(L415:P415,MATCH(MAX(Q415:U415),Q415:U415,0))))</f>
        <v>hermes hermes un jardin a cythere miniature</v>
      </c>
      <c r="W415" s="24" t="n">
        <f aca="false">IFERROR(INDEX('Semrush Data'!$A$1:$Z$20000,MATCH(V415,'Semrush Data'!$A$1:$A$20000,0),MATCH("Volume",'Semrush Data'!$A$1:$Z$1,0)),"")</f>
        <v>0</v>
      </c>
      <c r="X415" s="24" t="n">
        <f aca="false">IFERROR(INDEX('Semrush Data'!$A$1:$Z$20000,MATCH(V415,'Semrush Data'!$A$1:$A$20000,0),MATCH("Keyword Difficulty*",'Semrush Data'!$A$1:$Z$1,0)),"")</f>
        <v>19</v>
      </c>
      <c r="Y415" s="26" t="n">
        <f aca="false">IFERROR(INDEX('Semrush Data'!$A$1:$Z$20000,MATCH(V415,'Semrush Data'!$A$1:$A$20000,0),MATCH("CPC*",'Semrush Data'!$A$1:$Z$1,0)),"")</f>
        <v>0</v>
      </c>
      <c r="Z415" s="23" t="s">
        <v>5057</v>
      </c>
      <c r="AA415" s="23"/>
      <c r="AB415" s="23" t="s">
        <v>5058</v>
      </c>
      <c r="AC415" s="23" t="s">
        <v>5059</v>
      </c>
      <c r="AD415" s="27" t="n">
        <f aca="false">LEN(AC415)</f>
        <v>57</v>
      </c>
      <c r="AE415" s="23" t="s">
        <v>5060</v>
      </c>
      <c r="AF415" s="27" t="n">
        <f aca="false">LEN(AE415)</f>
        <v>157</v>
      </c>
    </row>
    <row r="416" customFormat="false" ht="15" hidden="false" customHeight="true" outlineLevel="0" collapsed="false">
      <c r="A416" s="23" t="s">
        <v>5061</v>
      </c>
      <c r="B416" s="23" t="s">
        <v>2449</v>
      </c>
      <c r="C416" s="23" t="n">
        <v>256</v>
      </c>
      <c r="D416" s="23" t="s">
        <v>5062</v>
      </c>
      <c r="E416" s="23"/>
      <c r="F416" s="23" t="s">
        <v>2452</v>
      </c>
      <c r="G416" s="23" t="s">
        <v>2818</v>
      </c>
      <c r="H416" s="23" t="s">
        <v>2932</v>
      </c>
      <c r="I416" s="23" t="s">
        <v>5063</v>
      </c>
      <c r="J416" s="23" t="s">
        <v>1994</v>
      </c>
      <c r="K416" s="23" t="n">
        <v>21.99</v>
      </c>
      <c r="L416" s="23" t="s">
        <v>5064</v>
      </c>
      <c r="M416" s="23" t="s">
        <v>5065</v>
      </c>
      <c r="N416" s="23" t="s">
        <v>5066</v>
      </c>
      <c r="O416" s="23" t="s">
        <v>5067</v>
      </c>
      <c r="P416" s="23" t="s">
        <v>5068</v>
      </c>
      <c r="Q416" s="24" t="n">
        <f aca="false">IF(L416="","",IFERROR(INDEX('Semrush Data'!$A$1:$Z$20000,MATCH(L416,'Semrush Data'!$A$1:$A$20000,0),MATCH("Volume",'Semrush Data'!$A$1:$Z$1,0)),""))</f>
        <v>70</v>
      </c>
      <c r="R416" s="24" t="n">
        <f aca="false">IF(M416="","",IFERROR(INDEX('Semrush Data'!$A$1:$Z$20000,MATCH(M416,'Semrush Data'!$A$1:$A$20000,0),MATCH("Volume",'Semrush Data'!$A$1:$Z$1,0)),""))</f>
        <v>0</v>
      </c>
      <c r="S416" s="24" t="str">
        <f aca="false">IF(N416="","",IFERROR(INDEX('Semrush Data'!$A$1:$Z$20000,MATCH(N416,'Semrush Data'!$A$1:$A$20000,0),MATCH("Volume",'Semrush Data'!$A$1:$Z$1,0)),""))</f>
        <v/>
      </c>
      <c r="T416" s="24" t="str">
        <f aca="false">IF(O416="","",IFERROR(INDEX('Semrush Data'!$A$1:$Z$20000,MATCH(O416,'Semrush Data'!$A$1:$A$20000,0),MATCH("Volume",'Semrush Data'!$A$1:$Z$1,0)),""))</f>
        <v/>
      </c>
      <c r="U416" s="24" t="n">
        <f aca="false">IF(P416="","",IFERROR(INDEX('Semrush Data'!$A$1:$Z$20000,MATCH(P416,'Semrush Data'!$A$1:$A$20000,0),MATCH("Volume",'Semrush Data'!$A$1:$Z$1,0)),""))</f>
        <v>0</v>
      </c>
      <c r="V416" s="25" t="str">
        <f aca="false">IF(COUNT(Q416:U416)=0,L416,IF(MAX(Q416:U416)=0,L416,INDEX(L416:P416,MATCH(MAX(Q416:U416),Q416:U416,0))))</f>
        <v>hollister festival vibes</v>
      </c>
      <c r="W416" s="24" t="n">
        <f aca="false">IFERROR(INDEX('Semrush Data'!$A$1:$Z$20000,MATCH(V416,'Semrush Data'!$A$1:$A$20000,0),MATCH("Volume",'Semrush Data'!$A$1:$Z$1,0)),"")</f>
        <v>70</v>
      </c>
      <c r="X416" s="24" t="n">
        <f aca="false">IFERROR(INDEX('Semrush Data'!$A$1:$Z$20000,MATCH(V416,'Semrush Data'!$A$1:$A$20000,0),MATCH("Keyword Difficulty*",'Semrush Data'!$A$1:$Z$1,0)),"")</f>
        <v>17</v>
      </c>
      <c r="Y416" s="26" t="n">
        <f aca="false">IFERROR(INDEX('Semrush Data'!$A$1:$Z$20000,MATCH(V416,'Semrush Data'!$A$1:$A$20000,0),MATCH("CPC*",'Semrush Data'!$A$1:$Z$1,0)),"")</f>
        <v>0.18</v>
      </c>
      <c r="Z416" s="23" t="s">
        <v>5069</v>
      </c>
      <c r="AA416" s="23" t="s">
        <v>5070</v>
      </c>
      <c r="AB416" s="23" t="s">
        <v>5071</v>
      </c>
      <c r="AC416" s="23" t="s">
        <v>5072</v>
      </c>
      <c r="AD416" s="27" t="n">
        <f aca="false">LEN(AC416)</f>
        <v>56</v>
      </c>
      <c r="AE416" s="23" t="s">
        <v>5073</v>
      </c>
      <c r="AF416" s="27" t="n">
        <f aca="false">LEN(AE416)</f>
        <v>160</v>
      </c>
    </row>
    <row r="417" customFormat="false" ht="15" hidden="false" customHeight="true" outlineLevel="0" collapsed="false">
      <c r="A417" s="23" t="s">
        <v>65</v>
      </c>
      <c r="B417" s="23" t="s">
        <v>2449</v>
      </c>
      <c r="C417" s="23" t="n">
        <v>257</v>
      </c>
      <c r="D417" s="23" t="s">
        <v>5074</v>
      </c>
      <c r="E417" s="23" t="s">
        <v>5075</v>
      </c>
      <c r="F417" s="23" t="s">
        <v>2452</v>
      </c>
      <c r="G417" s="23" t="s">
        <v>2453</v>
      </c>
      <c r="H417" s="23" t="s">
        <v>2608</v>
      </c>
      <c r="I417" s="23" t="s">
        <v>66</v>
      </c>
      <c r="J417" s="23" t="s">
        <v>3232</v>
      </c>
      <c r="K417" s="23" t="n">
        <v>63.99</v>
      </c>
      <c r="L417" s="23" t="s">
        <v>5076</v>
      </c>
      <c r="M417" s="23" t="s">
        <v>5077</v>
      </c>
      <c r="N417" s="23" t="s">
        <v>5078</v>
      </c>
      <c r="O417" s="23" t="s">
        <v>5079</v>
      </c>
      <c r="P417" s="23" t="s">
        <v>5080</v>
      </c>
      <c r="Q417" s="24" t="n">
        <f aca="false">IF(L417="","",IFERROR(INDEX('Semrush Data'!$A$1:$Z$20000,MATCH(L417,'Semrush Data'!$A$1:$A$20000,0),MATCH("Volume",'Semrush Data'!$A$1:$Z$1,0)),""))</f>
        <v>4400</v>
      </c>
      <c r="R417" s="24" t="n">
        <f aca="false">IF(M417="","",IFERROR(INDEX('Semrush Data'!$A$1:$Z$20000,MATCH(M417,'Semrush Data'!$A$1:$A$20000,0),MATCH("Volume",'Semrush Data'!$A$1:$Z$1,0)),""))</f>
        <v>20</v>
      </c>
      <c r="S417" s="24" t="n">
        <f aca="false">IF(N417="","",IFERROR(INDEX('Semrush Data'!$A$1:$Z$20000,MATCH(N417,'Semrush Data'!$A$1:$A$20000,0),MATCH("Volume",'Semrush Data'!$A$1:$Z$1,0)),""))</f>
        <v>0</v>
      </c>
      <c r="T417" s="24" t="n">
        <f aca="false">IF(O417="","",IFERROR(INDEX('Semrush Data'!$A$1:$Z$20000,MATCH(O417,'Semrush Data'!$A$1:$A$20000,0),MATCH("Volume",'Semrush Data'!$A$1:$Z$1,0)),""))</f>
        <v>20</v>
      </c>
      <c r="U417" s="24" t="n">
        <f aca="false">IF(P417="","",IFERROR(INDEX('Semrush Data'!$A$1:$Z$20000,MATCH(P417,'Semrush Data'!$A$1:$A$20000,0),MATCH("Volume",'Semrush Data'!$A$1:$Z$1,0)),""))</f>
        <v>170</v>
      </c>
      <c r="V417" s="25" t="str">
        <f aca="false">IF(COUNT(Q417:U417)=0,L417,IF(MAX(Q417:U417)=0,L417,INDEX(L417:P417,MATCH(MAX(Q417:U417),Q417:U417,0))))</f>
        <v>hugo boss bottled</v>
      </c>
      <c r="W417" s="24" t="n">
        <f aca="false">IFERROR(INDEX('Semrush Data'!$A$1:$Z$20000,MATCH(V417,'Semrush Data'!$A$1:$A$20000,0),MATCH("Volume",'Semrush Data'!$A$1:$Z$1,0)),"")</f>
        <v>4400</v>
      </c>
      <c r="X417" s="24" t="n">
        <f aca="false">IFERROR(INDEX('Semrush Data'!$A$1:$Z$20000,MATCH(V417,'Semrush Data'!$A$1:$A$20000,0),MATCH("Keyword Difficulty*",'Semrush Data'!$A$1:$Z$1,0)),"")</f>
        <v>28</v>
      </c>
      <c r="Y417" s="26" t="n">
        <f aca="false">IFERROR(INDEX('Semrush Data'!$A$1:$Z$20000,MATCH(V417,'Semrush Data'!$A$1:$A$20000,0),MATCH("CPC*",'Semrush Data'!$A$1:$Z$1,0)),"")</f>
        <v>0.45</v>
      </c>
      <c r="Z417" s="23" t="s">
        <v>5081</v>
      </c>
      <c r="AA417" s="23"/>
      <c r="AB417" s="23" t="s">
        <v>5082</v>
      </c>
      <c r="AC417" s="23" t="s">
        <v>5083</v>
      </c>
      <c r="AD417" s="27" t="n">
        <f aca="false">LEN(AC417)</f>
        <v>53</v>
      </c>
      <c r="AE417" s="23" t="s">
        <v>5084</v>
      </c>
      <c r="AF417" s="27" t="n">
        <f aca="false">LEN(AE417)</f>
        <v>158</v>
      </c>
    </row>
    <row r="418" customFormat="false" ht="15" hidden="false" customHeight="true" outlineLevel="0" collapsed="false">
      <c r="A418" s="23" t="s">
        <v>5085</v>
      </c>
      <c r="B418" s="23" t="s">
        <v>2449</v>
      </c>
      <c r="C418" s="23" t="n">
        <v>258</v>
      </c>
      <c r="D418" s="23" t="s">
        <v>5074</v>
      </c>
      <c r="E418" s="23" t="s">
        <v>5075</v>
      </c>
      <c r="F418" s="23" t="s">
        <v>2452</v>
      </c>
      <c r="G418" s="23" t="s">
        <v>2453</v>
      </c>
      <c r="H418" s="23" t="s">
        <v>2504</v>
      </c>
      <c r="I418" s="23" t="s">
        <v>5086</v>
      </c>
      <c r="J418" s="23" t="s">
        <v>1994</v>
      </c>
      <c r="K418" s="23" t="n">
        <v>70.99</v>
      </c>
      <c r="L418" s="23" t="s">
        <v>5087</v>
      </c>
      <c r="M418" s="23" t="s">
        <v>5088</v>
      </c>
      <c r="N418" s="23" t="s">
        <v>5089</v>
      </c>
      <c r="O418" s="23" t="s">
        <v>5090</v>
      </c>
      <c r="P418" s="23" t="s">
        <v>5091</v>
      </c>
      <c r="Q418" s="24" t="n">
        <f aca="false">IF(L418="","",IFERROR(INDEX('Semrush Data'!$A$1:$Z$20000,MATCH(L418,'Semrush Data'!$A$1:$A$20000,0),MATCH("Volume",'Semrush Data'!$A$1:$Z$1,0)),""))</f>
        <v>0</v>
      </c>
      <c r="R418" s="24" t="str">
        <f aca="false">IF(M418="","",IFERROR(INDEX('Semrush Data'!$A$1:$Z$20000,MATCH(M418,'Semrush Data'!$A$1:$A$20000,0),MATCH("Volume",'Semrush Data'!$A$1:$Z$1,0)),""))</f>
        <v/>
      </c>
      <c r="S418" s="24" t="str">
        <f aca="false">IF(N418="","",IFERROR(INDEX('Semrush Data'!$A$1:$Z$20000,MATCH(N418,'Semrush Data'!$A$1:$A$20000,0),MATCH("Volume",'Semrush Data'!$A$1:$Z$1,0)),""))</f>
        <v/>
      </c>
      <c r="T418" s="24" t="str">
        <f aca="false">IF(O418="","",IFERROR(INDEX('Semrush Data'!$A$1:$Z$20000,MATCH(O418,'Semrush Data'!$A$1:$A$20000,0),MATCH("Volume",'Semrush Data'!$A$1:$Z$1,0)),""))</f>
        <v/>
      </c>
      <c r="U418" s="24" t="str">
        <f aca="false">IF(P418="","",IFERROR(INDEX('Semrush Data'!$A$1:$Z$20000,MATCH(P418,'Semrush Data'!$A$1:$A$20000,0),MATCH("Volume",'Semrush Data'!$A$1:$Z$1,0)),""))</f>
        <v/>
      </c>
      <c r="V418" s="25" t="str">
        <f aca="false">IF(COUNT(Q418:U418)=0,L418,IF(MAX(Q418:U418)=0,L418,INDEX(L418:P418,MATCH(MAX(Q418:U418),Q418:U418,0))))</f>
        <v>hugo boss the collection confident oud intense</v>
      </c>
      <c r="W418" s="24" t="n">
        <f aca="false">IFERROR(INDEX('Semrush Data'!$A$1:$Z$20000,MATCH(V418,'Semrush Data'!$A$1:$A$20000,0),MATCH("Volume",'Semrush Data'!$A$1:$Z$1,0)),"")</f>
        <v>0</v>
      </c>
      <c r="X418" s="24" t="n">
        <f aca="false">IFERROR(INDEX('Semrush Data'!$A$1:$Z$20000,MATCH(V418,'Semrush Data'!$A$1:$A$20000,0),MATCH("Keyword Difficulty*",'Semrush Data'!$A$1:$Z$1,0)),"")</f>
        <v>19</v>
      </c>
      <c r="Y418" s="26" t="n">
        <f aca="false">IFERROR(INDEX('Semrush Data'!$A$1:$Z$20000,MATCH(V418,'Semrush Data'!$A$1:$A$20000,0),MATCH("CPC*",'Semrush Data'!$A$1:$Z$1,0)),"")</f>
        <v>0</v>
      </c>
      <c r="Z418" s="23" t="s">
        <v>5092</v>
      </c>
      <c r="AA418" s="23"/>
      <c r="AB418" s="23" t="s">
        <v>5093</v>
      </c>
      <c r="AC418" s="23" t="s">
        <v>5094</v>
      </c>
      <c r="AD418" s="27" t="n">
        <f aca="false">LEN(AC418)</f>
        <v>52</v>
      </c>
      <c r="AE418" s="23" t="s">
        <v>5095</v>
      </c>
      <c r="AF418" s="27" t="n">
        <f aca="false">LEN(AE418)</f>
        <v>159</v>
      </c>
    </row>
    <row r="419" customFormat="false" ht="15" hidden="false" customHeight="true" outlineLevel="0" collapsed="false">
      <c r="A419" s="23" t="s">
        <v>5096</v>
      </c>
      <c r="B419" s="23" t="s">
        <v>2449</v>
      </c>
      <c r="C419" s="23" t="n">
        <v>259</v>
      </c>
      <c r="D419" s="23" t="s">
        <v>5074</v>
      </c>
      <c r="E419" s="23" t="s">
        <v>5075</v>
      </c>
      <c r="F419" s="23" t="s">
        <v>2452</v>
      </c>
      <c r="G419" s="23" t="s">
        <v>2818</v>
      </c>
      <c r="H419" s="23" t="s">
        <v>3309</v>
      </c>
      <c r="I419" s="23" t="s">
        <v>5097</v>
      </c>
      <c r="J419" s="23" t="s">
        <v>1994</v>
      </c>
      <c r="K419" s="23" t="n">
        <v>58.99</v>
      </c>
      <c r="L419" s="23" t="s">
        <v>5098</v>
      </c>
      <c r="M419" s="23" t="s">
        <v>5099</v>
      </c>
      <c r="N419" s="23" t="s">
        <v>5100</v>
      </c>
      <c r="O419" s="23" t="s">
        <v>5101</v>
      </c>
      <c r="P419" s="23" t="s">
        <v>5102</v>
      </c>
      <c r="Q419" s="24" t="n">
        <f aca="false">IF(L419="","",IFERROR(INDEX('Semrush Data'!$A$1:$Z$20000,MATCH(L419,'Semrush Data'!$A$1:$A$20000,0),MATCH("Volume",'Semrush Data'!$A$1:$Z$1,0)),""))</f>
        <v>20</v>
      </c>
      <c r="R419" s="24" t="str">
        <f aca="false">IF(M419="","",IFERROR(INDEX('Semrush Data'!$A$1:$Z$20000,MATCH(M419,'Semrush Data'!$A$1:$A$20000,0),MATCH("Volume",'Semrush Data'!$A$1:$Z$1,0)),""))</f>
        <v/>
      </c>
      <c r="S419" s="24" t="str">
        <f aca="false">IF(N419="","",IFERROR(INDEX('Semrush Data'!$A$1:$Z$20000,MATCH(N419,'Semrush Data'!$A$1:$A$20000,0),MATCH("Volume",'Semrush Data'!$A$1:$Z$1,0)),""))</f>
        <v/>
      </c>
      <c r="T419" s="24" t="str">
        <f aca="false">IF(O419="","",IFERROR(INDEX('Semrush Data'!$A$1:$Z$20000,MATCH(O419,'Semrush Data'!$A$1:$A$20000,0),MATCH("Volume",'Semrush Data'!$A$1:$Z$1,0)),""))</f>
        <v/>
      </c>
      <c r="U419" s="24" t="str">
        <f aca="false">IF(P419="","",IFERROR(INDEX('Semrush Data'!$A$1:$Z$20000,MATCH(P419,'Semrush Data'!$A$1:$A$20000,0),MATCH("Volume",'Semrush Data'!$A$1:$Z$1,0)),""))</f>
        <v/>
      </c>
      <c r="V419" s="25" t="str">
        <f aca="false">IF(COUNT(Q419:U419)=0,L419,IF(MAX(Q419:U419)=0,L419,INDEX(L419:P419,MATCH(MAX(Q419:U419),Q419:U419,0))))</f>
        <v>hugo boss boss the scent tester</v>
      </c>
      <c r="W419" s="24" t="n">
        <f aca="false">IFERROR(INDEX('Semrush Data'!$A$1:$Z$20000,MATCH(V419,'Semrush Data'!$A$1:$A$20000,0),MATCH("Volume",'Semrush Data'!$A$1:$Z$1,0)),"")</f>
        <v>20</v>
      </c>
      <c r="X419" s="24" t="n">
        <f aca="false">IFERROR(INDEX('Semrush Data'!$A$1:$Z$20000,MATCH(V419,'Semrush Data'!$A$1:$A$20000,0),MATCH("Keyword Difficulty*",'Semrush Data'!$A$1:$Z$1,0)),"")</f>
        <v>4</v>
      </c>
      <c r="Y419" s="26" t="n">
        <f aca="false">IFERROR(INDEX('Semrush Data'!$A$1:$Z$20000,MATCH(V419,'Semrush Data'!$A$1:$A$20000,0),MATCH("CPC*",'Semrush Data'!$A$1:$Z$1,0)),"")</f>
        <v>0.45</v>
      </c>
      <c r="Z419" s="23" t="s">
        <v>5103</v>
      </c>
      <c r="AA419" s="23"/>
      <c r="AB419" s="23" t="s">
        <v>5104</v>
      </c>
      <c r="AC419" s="23" t="s">
        <v>5105</v>
      </c>
      <c r="AD419" s="27" t="n">
        <f aca="false">LEN(AC419)</f>
        <v>55</v>
      </c>
      <c r="AE419" s="23" t="s">
        <v>5106</v>
      </c>
      <c r="AF419" s="27" t="n">
        <f aca="false">LEN(AE419)</f>
        <v>155</v>
      </c>
    </row>
    <row r="420" customFormat="false" ht="15" hidden="false" customHeight="true" outlineLevel="0" collapsed="false">
      <c r="A420" s="23" t="s">
        <v>89</v>
      </c>
      <c r="B420" s="23" t="s">
        <v>2449</v>
      </c>
      <c r="C420" s="23" t="n">
        <v>260</v>
      </c>
      <c r="D420" s="23" t="s">
        <v>5074</v>
      </c>
      <c r="E420" s="23" t="s">
        <v>5075</v>
      </c>
      <c r="F420" s="23" t="s">
        <v>2452</v>
      </c>
      <c r="G420" s="23" t="s">
        <v>2818</v>
      </c>
      <c r="H420" s="23" t="s">
        <v>2608</v>
      </c>
      <c r="I420" s="23" t="s">
        <v>90</v>
      </c>
      <c r="J420" s="23" t="s">
        <v>2833</v>
      </c>
      <c r="K420" s="23" t="n">
        <v>40.99</v>
      </c>
      <c r="L420" s="23" t="s">
        <v>5107</v>
      </c>
      <c r="M420" s="23" t="s">
        <v>5108</v>
      </c>
      <c r="N420" s="23" t="s">
        <v>5109</v>
      </c>
      <c r="O420" s="23" t="s">
        <v>5110</v>
      </c>
      <c r="P420" s="23" t="s">
        <v>5111</v>
      </c>
      <c r="Q420" s="24" t="n">
        <f aca="false">IF(L420="","",IFERROR(INDEX('Semrush Data'!$A$1:$Z$20000,MATCH(L420,'Semrush Data'!$A$1:$A$20000,0),MATCH("Volume",'Semrush Data'!$A$1:$Z$1,0)),""))</f>
        <v>1300</v>
      </c>
      <c r="R420" s="24" t="n">
        <f aca="false">IF(M420="","",IFERROR(INDEX('Semrush Data'!$A$1:$Z$20000,MATCH(M420,'Semrush Data'!$A$1:$A$20000,0),MATCH("Volume",'Semrush Data'!$A$1:$Z$1,0)),""))</f>
        <v>0</v>
      </c>
      <c r="S420" s="24" t="str">
        <f aca="false">IF(N420="","",IFERROR(INDEX('Semrush Data'!$A$1:$Z$20000,MATCH(N420,'Semrush Data'!$A$1:$A$20000,0),MATCH("Volume",'Semrush Data'!$A$1:$Z$1,0)),""))</f>
        <v/>
      </c>
      <c r="T420" s="24" t="str">
        <f aca="false">IF(O420="","",IFERROR(INDEX('Semrush Data'!$A$1:$Z$20000,MATCH(O420,'Semrush Data'!$A$1:$A$20000,0),MATCH("Volume",'Semrush Data'!$A$1:$Z$1,0)),""))</f>
        <v/>
      </c>
      <c r="U420" s="24" t="n">
        <f aca="false">IF(P420="","",IFERROR(INDEX('Semrush Data'!$A$1:$Z$20000,MATCH(P420,'Semrush Data'!$A$1:$A$20000,0),MATCH("Volume",'Semrush Data'!$A$1:$Z$1,0)),""))</f>
        <v>90</v>
      </c>
      <c r="V420" s="25" t="str">
        <f aca="false">IF(COUNT(Q420:U420)=0,L420,IF(MAX(Q420:U420)=0,L420,INDEX(L420:P420,MATCH(MAX(Q420:U420),Q420:U420,0))))</f>
        <v>hugo boss hugo man</v>
      </c>
      <c r="W420" s="24" t="n">
        <f aca="false">IFERROR(INDEX('Semrush Data'!$A$1:$Z$20000,MATCH(V420,'Semrush Data'!$A$1:$A$20000,0),MATCH("Volume",'Semrush Data'!$A$1:$Z$1,0)),"")</f>
        <v>1300</v>
      </c>
      <c r="X420" s="24" t="n">
        <f aca="false">IFERROR(INDEX('Semrush Data'!$A$1:$Z$20000,MATCH(V420,'Semrush Data'!$A$1:$A$20000,0),MATCH("Keyword Difficulty*",'Semrush Data'!$A$1:$Z$1,0)),"")</f>
        <v>23</v>
      </c>
      <c r="Y420" s="26" t="n">
        <f aca="false">IFERROR(INDEX('Semrush Data'!$A$1:$Z$20000,MATCH(V420,'Semrush Data'!$A$1:$A$20000,0),MATCH("CPC*",'Semrush Data'!$A$1:$Z$1,0)),"")</f>
        <v>0.58</v>
      </c>
      <c r="Z420" s="23" t="s">
        <v>5081</v>
      </c>
      <c r="AA420" s="23"/>
      <c r="AB420" s="23" t="s">
        <v>5112</v>
      </c>
      <c r="AC420" s="23" t="s">
        <v>5113</v>
      </c>
      <c r="AD420" s="27" t="n">
        <f aca="false">LEN(AC420)</f>
        <v>56</v>
      </c>
      <c r="AE420" s="23" t="s">
        <v>5114</v>
      </c>
      <c r="AF420" s="27" t="n">
        <f aca="false">LEN(AE420)</f>
        <v>157</v>
      </c>
    </row>
    <row r="421" customFormat="false" ht="15" hidden="false" customHeight="true" outlineLevel="0" collapsed="false">
      <c r="A421" s="23" t="s">
        <v>107</v>
      </c>
      <c r="B421" s="23" t="s">
        <v>2449</v>
      </c>
      <c r="C421" s="23" t="n">
        <v>261</v>
      </c>
      <c r="D421" s="23" t="s">
        <v>5074</v>
      </c>
      <c r="E421" s="23" t="s">
        <v>5075</v>
      </c>
      <c r="F421" s="23" t="s">
        <v>1735</v>
      </c>
      <c r="G421" s="23" t="s">
        <v>2453</v>
      </c>
      <c r="H421" s="23" t="s">
        <v>2516</v>
      </c>
      <c r="I421" s="23" t="s">
        <v>108</v>
      </c>
      <c r="J421" s="23" t="s">
        <v>5115</v>
      </c>
      <c r="K421" s="23" t="n">
        <v>64.99</v>
      </c>
      <c r="L421" s="23" t="s">
        <v>5116</v>
      </c>
      <c r="M421" s="23" t="s">
        <v>5117</v>
      </c>
      <c r="N421" s="23" t="s">
        <v>5118</v>
      </c>
      <c r="O421" s="23" t="s">
        <v>5119</v>
      </c>
      <c r="P421" s="23" t="s">
        <v>5120</v>
      </c>
      <c r="Q421" s="24" t="n">
        <f aca="false">IF(L421="","",IFERROR(INDEX('Semrush Data'!$A$1:$Z$20000,MATCH(L421,'Semrush Data'!$A$1:$A$20000,0),MATCH("Volume",'Semrush Data'!$A$1:$Z$1,0)),""))</f>
        <v>720</v>
      </c>
      <c r="R421" s="24" t="n">
        <f aca="false">IF(M421="","",IFERROR(INDEX('Semrush Data'!$A$1:$Z$20000,MATCH(M421,'Semrush Data'!$A$1:$A$20000,0),MATCH("Volume",'Semrush Data'!$A$1:$Z$1,0)),""))</f>
        <v>0</v>
      </c>
      <c r="S421" s="24" t="str">
        <f aca="false">IF(N421="","",IFERROR(INDEX('Semrush Data'!$A$1:$Z$20000,MATCH(N421,'Semrush Data'!$A$1:$A$20000,0),MATCH("Volume",'Semrush Data'!$A$1:$Z$1,0)),""))</f>
        <v/>
      </c>
      <c r="T421" s="24" t="str">
        <f aca="false">IF(O421="","",IFERROR(INDEX('Semrush Data'!$A$1:$Z$20000,MATCH(O421,'Semrush Data'!$A$1:$A$20000,0),MATCH("Volume",'Semrush Data'!$A$1:$Z$1,0)),""))</f>
        <v/>
      </c>
      <c r="U421" s="24" t="n">
        <f aca="false">IF(P421="","",IFERROR(INDEX('Semrush Data'!$A$1:$Z$20000,MATCH(P421,'Semrush Data'!$A$1:$A$20000,0),MATCH("Volume",'Semrush Data'!$A$1:$Z$1,0)),""))</f>
        <v>20</v>
      </c>
      <c r="V421" s="25" t="str">
        <f aca="false">IF(COUNT(Q421:U421)=0,L421,IF(MAX(Q421:U421)=0,L421,INDEX(L421:P421,MATCH(MAX(Q421:U421),Q421:U421,0))))</f>
        <v>hugo boss alive</v>
      </c>
      <c r="W421" s="24" t="n">
        <f aca="false">IFERROR(INDEX('Semrush Data'!$A$1:$Z$20000,MATCH(V421,'Semrush Data'!$A$1:$A$20000,0),MATCH("Volume",'Semrush Data'!$A$1:$Z$1,0)),"")</f>
        <v>720</v>
      </c>
      <c r="X421" s="24" t="n">
        <f aca="false">IFERROR(INDEX('Semrush Data'!$A$1:$Z$20000,MATCH(V421,'Semrush Data'!$A$1:$A$20000,0),MATCH("Keyword Difficulty*",'Semrush Data'!$A$1:$Z$1,0)),"")</f>
        <v>20</v>
      </c>
      <c r="Y421" s="26" t="n">
        <f aca="false">IFERROR(INDEX('Semrush Data'!$A$1:$Z$20000,MATCH(V421,'Semrush Data'!$A$1:$A$20000,0),MATCH("CPC*",'Semrush Data'!$A$1:$Z$1,0)),"")</f>
        <v>0.44</v>
      </c>
      <c r="Z421" s="23" t="s">
        <v>5121</v>
      </c>
      <c r="AA421" s="23"/>
      <c r="AB421" s="23" t="s">
        <v>5122</v>
      </c>
      <c r="AC421" s="23" t="s">
        <v>5123</v>
      </c>
      <c r="AD421" s="27" t="n">
        <f aca="false">LEN(AC421)</f>
        <v>56</v>
      </c>
      <c r="AE421" s="23" t="s">
        <v>5124</v>
      </c>
      <c r="AF421" s="27" t="n">
        <f aca="false">LEN(AE421)</f>
        <v>154</v>
      </c>
    </row>
    <row r="422" customFormat="false" ht="15" hidden="false" customHeight="true" outlineLevel="0" collapsed="false">
      <c r="A422" s="23" t="s">
        <v>5125</v>
      </c>
      <c r="B422" s="23" t="s">
        <v>2449</v>
      </c>
      <c r="C422" s="23" t="n">
        <v>262</v>
      </c>
      <c r="D422" s="23" t="s">
        <v>5126</v>
      </c>
      <c r="E422" s="23"/>
      <c r="F422" s="23" t="s">
        <v>2452</v>
      </c>
      <c r="G422" s="23" t="s">
        <v>2453</v>
      </c>
      <c r="H422" s="23" t="s">
        <v>5127</v>
      </c>
      <c r="I422" s="23" t="s">
        <v>5128</v>
      </c>
      <c r="J422" s="23" t="s">
        <v>2868</v>
      </c>
      <c r="K422" s="23" t="n">
        <v>62.99</v>
      </c>
      <c r="L422" s="23" t="s">
        <v>5129</v>
      </c>
      <c r="M422" s="23" t="s">
        <v>5130</v>
      </c>
      <c r="N422" s="23" t="s">
        <v>5131</v>
      </c>
      <c r="O422" s="23" t="s">
        <v>5132</v>
      </c>
      <c r="P422" s="23" t="s">
        <v>5133</v>
      </c>
      <c r="Q422" s="24" t="n">
        <f aca="false">IF(L422="","",IFERROR(INDEX('Semrush Data'!$A$1:$Z$20000,MATCH(L422,'Semrush Data'!$A$1:$A$20000,0),MATCH("Volume",'Semrush Data'!$A$1:$Z$1,0)),""))</f>
        <v>20</v>
      </c>
      <c r="R422" s="24" t="str">
        <f aca="false">IF(M422="","",IFERROR(INDEX('Semrush Data'!$A$1:$Z$20000,MATCH(M422,'Semrush Data'!$A$1:$A$20000,0),MATCH("Volume",'Semrush Data'!$A$1:$Z$1,0)),""))</f>
        <v/>
      </c>
      <c r="S422" s="24" t="str">
        <f aca="false">IF(N422="","",IFERROR(INDEX('Semrush Data'!$A$1:$Z$20000,MATCH(N422,'Semrush Data'!$A$1:$A$20000,0),MATCH("Volume",'Semrush Data'!$A$1:$Z$1,0)),""))</f>
        <v/>
      </c>
      <c r="T422" s="24" t="str">
        <f aca="false">IF(O422="","",IFERROR(INDEX('Semrush Data'!$A$1:$Z$20000,MATCH(O422,'Semrush Data'!$A$1:$A$20000,0),MATCH("Volume",'Semrush Data'!$A$1:$Z$1,0)),""))</f>
        <v/>
      </c>
      <c r="U422" s="24" t="str">
        <f aca="false">IF(P422="","",IFERROR(INDEX('Semrush Data'!$A$1:$Z$20000,MATCH(P422,'Semrush Data'!$A$1:$A$20000,0),MATCH("Volume",'Semrush Data'!$A$1:$Z$1,0)),""))</f>
        <v/>
      </c>
      <c r="V422" s="25" t="str">
        <f aca="false">IF(COUNT(Q422:U422)=0,L422,IF(MAX(Q422:U422)=0,L422,INDEX(L422:P422,MATCH(MAX(Q422:U422),Q422:U422,0))))</f>
        <v>jean paul gaultier scandal gold</v>
      </c>
      <c r="W422" s="24" t="n">
        <f aca="false">IFERROR(INDEX('Semrush Data'!$A$1:$Z$20000,MATCH(V422,'Semrush Data'!$A$1:$A$20000,0),MATCH("Volume",'Semrush Data'!$A$1:$Z$1,0)),"")</f>
        <v>20</v>
      </c>
      <c r="X422" s="24" t="n">
        <f aca="false">IFERROR(INDEX('Semrush Data'!$A$1:$Z$20000,MATCH(V422,'Semrush Data'!$A$1:$A$20000,0),MATCH("Keyword Difficulty*",'Semrush Data'!$A$1:$Z$1,0)),"")</f>
        <v>16</v>
      </c>
      <c r="Y422" s="26" t="n">
        <f aca="false">IFERROR(INDEX('Semrush Data'!$A$1:$Z$20000,MATCH(V422,'Semrush Data'!$A$1:$A$20000,0),MATCH("CPC*",'Semrush Data'!$A$1:$Z$1,0)),"")</f>
        <v>0</v>
      </c>
      <c r="Z422" s="23" t="s">
        <v>5134</v>
      </c>
      <c r="AA422" s="23" t="s">
        <v>5135</v>
      </c>
      <c r="AB422" s="23" t="s">
        <v>5136</v>
      </c>
      <c r="AC422" s="23" t="s">
        <v>5137</v>
      </c>
      <c r="AD422" s="27" t="n">
        <f aca="false">LEN(AC422)</f>
        <v>59</v>
      </c>
      <c r="AE422" s="23" t="s">
        <v>5138</v>
      </c>
      <c r="AF422" s="27" t="n">
        <f aca="false">LEN(AE422)</f>
        <v>160</v>
      </c>
    </row>
    <row r="423" customFormat="false" ht="15" hidden="false" customHeight="true" outlineLevel="0" collapsed="false">
      <c r="A423" s="23" t="s">
        <v>5139</v>
      </c>
      <c r="B423" s="23" t="s">
        <v>2449</v>
      </c>
      <c r="C423" s="23" t="n">
        <v>263</v>
      </c>
      <c r="D423" s="23" t="s">
        <v>5126</v>
      </c>
      <c r="E423" s="23"/>
      <c r="F423" s="23" t="s">
        <v>2452</v>
      </c>
      <c r="G423" s="23" t="s">
        <v>5140</v>
      </c>
      <c r="H423" s="23" t="s">
        <v>2516</v>
      </c>
      <c r="I423" s="23" t="s">
        <v>5141</v>
      </c>
      <c r="J423" s="23" t="s">
        <v>3232</v>
      </c>
      <c r="K423" s="23" t="n">
        <v>22.99</v>
      </c>
      <c r="L423" s="23" t="s">
        <v>5142</v>
      </c>
      <c r="M423" s="23" t="s">
        <v>5143</v>
      </c>
      <c r="N423" s="23" t="s">
        <v>5144</v>
      </c>
      <c r="O423" s="23" t="s">
        <v>5145</v>
      </c>
      <c r="P423" s="23"/>
      <c r="Q423" s="24" t="n">
        <f aca="false">IF(L423="","",IFERROR(INDEX('Semrush Data'!$A$1:$Z$20000,MATCH(L423,'Semrush Data'!$A$1:$A$20000,0),MATCH("Volume",'Semrush Data'!$A$1:$Z$1,0)),""))</f>
        <v>0</v>
      </c>
      <c r="R423" s="24" t="str">
        <f aca="false">IF(M423="","",IFERROR(INDEX('Semrush Data'!$A$1:$Z$20000,MATCH(M423,'Semrush Data'!$A$1:$A$20000,0),MATCH("Volume",'Semrush Data'!$A$1:$Z$1,0)),""))</f>
        <v/>
      </c>
      <c r="S423" s="24" t="str">
        <f aca="false">IF(N423="","",IFERROR(INDEX('Semrush Data'!$A$1:$Z$20000,MATCH(N423,'Semrush Data'!$A$1:$A$20000,0),MATCH("Volume",'Semrush Data'!$A$1:$Z$1,0)),""))</f>
        <v/>
      </c>
      <c r="T423" s="24" t="str">
        <f aca="false">IF(O423="","",IFERROR(INDEX('Semrush Data'!$A$1:$Z$20000,MATCH(O423,'Semrush Data'!$A$1:$A$20000,0),MATCH("Volume",'Semrush Data'!$A$1:$Z$1,0)),""))</f>
        <v/>
      </c>
      <c r="U423" s="24" t="str">
        <f aca="false">IF(P423="","",IFERROR(INDEX('Semrush Data'!$A$1:$Z$20000,MATCH(P423,'Semrush Data'!$A$1:$A$20000,0),MATCH("Volume",'Semrush Data'!$A$1:$Z$1,0)),""))</f>
        <v/>
      </c>
      <c r="V423" s="25" t="str">
        <f aca="false">IF(COUNT(Q423:U423)=0,L423,IF(MAX(Q423:U423)=0,L423,INDEX(L423:P423,MATCH(MAX(Q423:U423),Q423:U423,0))))</f>
        <v>jean paul gaultier classique perfumed shower gel</v>
      </c>
      <c r="W423" s="24" t="n">
        <f aca="false">IFERROR(INDEX('Semrush Data'!$A$1:$Z$20000,MATCH(V423,'Semrush Data'!$A$1:$A$20000,0),MATCH("Volume",'Semrush Data'!$A$1:$Z$1,0)),"")</f>
        <v>0</v>
      </c>
      <c r="X423" s="24" t="n">
        <f aca="false">IFERROR(INDEX('Semrush Data'!$A$1:$Z$20000,MATCH(V423,'Semrush Data'!$A$1:$A$20000,0),MATCH("Keyword Difficulty*",'Semrush Data'!$A$1:$Z$1,0)),"")</f>
        <v>16</v>
      </c>
      <c r="Y423" s="26" t="n">
        <f aca="false">IFERROR(INDEX('Semrush Data'!$A$1:$Z$20000,MATCH(V423,'Semrush Data'!$A$1:$A$20000,0),MATCH("CPC*",'Semrush Data'!$A$1:$Z$1,0)),"")</f>
        <v>0</v>
      </c>
      <c r="Z423" s="23" t="s">
        <v>5146</v>
      </c>
      <c r="AA423" s="23" t="s">
        <v>5147</v>
      </c>
      <c r="AB423" s="23" t="s">
        <v>5148</v>
      </c>
      <c r="AC423" s="23" t="s">
        <v>5149</v>
      </c>
      <c r="AD423" s="27" t="n">
        <f aca="false">LEN(AC423)</f>
        <v>58</v>
      </c>
      <c r="AE423" s="23" t="s">
        <v>5150</v>
      </c>
      <c r="AF423" s="27" t="n">
        <f aca="false">LEN(AE423)</f>
        <v>159</v>
      </c>
    </row>
    <row r="424" customFormat="false" ht="15" hidden="false" customHeight="true" outlineLevel="0" collapsed="false">
      <c r="A424" s="23" t="s">
        <v>5151</v>
      </c>
      <c r="B424" s="23" t="s">
        <v>2449</v>
      </c>
      <c r="C424" s="23" t="n">
        <v>264</v>
      </c>
      <c r="D424" s="23" t="s">
        <v>5152</v>
      </c>
      <c r="E424" s="23"/>
      <c r="F424" s="23" t="s">
        <v>2452</v>
      </c>
      <c r="G424" s="23" t="s">
        <v>2453</v>
      </c>
      <c r="H424" s="23" t="s">
        <v>2454</v>
      </c>
      <c r="I424" s="23" t="s">
        <v>5153</v>
      </c>
      <c r="J424" s="23" t="s">
        <v>5154</v>
      </c>
      <c r="K424" s="23" t="n">
        <v>14.99</v>
      </c>
      <c r="L424" s="23" t="s">
        <v>5155</v>
      </c>
      <c r="M424" s="23" t="s">
        <v>5156</v>
      </c>
      <c r="N424" s="23" t="s">
        <v>5157</v>
      </c>
      <c r="O424" s="23" t="s">
        <v>5158</v>
      </c>
      <c r="P424" s="23" t="s">
        <v>5159</v>
      </c>
      <c r="Q424" s="24" t="n">
        <f aca="false">IF(L424="","",IFERROR(INDEX('Semrush Data'!$A$1:$Z$20000,MATCH(L424,'Semrush Data'!$A$1:$A$20000,0),MATCH("Volume",'Semrush Data'!$A$1:$Z$1,0)),""))</f>
        <v>0</v>
      </c>
      <c r="R424" s="24" t="str">
        <f aca="false">IF(M424="","",IFERROR(INDEX('Semrush Data'!$A$1:$Z$20000,MATCH(M424,'Semrush Data'!$A$1:$A$20000,0),MATCH("Volume",'Semrush Data'!$A$1:$Z$1,0)),""))</f>
        <v/>
      </c>
      <c r="S424" s="24" t="str">
        <f aca="false">IF(N424="","",IFERROR(INDEX('Semrush Data'!$A$1:$Z$20000,MATCH(N424,'Semrush Data'!$A$1:$A$20000,0),MATCH("Volume",'Semrush Data'!$A$1:$Z$1,0)),""))</f>
        <v/>
      </c>
      <c r="T424" s="24" t="str">
        <f aca="false">IF(O424="","",IFERROR(INDEX('Semrush Data'!$A$1:$Z$20000,MATCH(O424,'Semrush Data'!$A$1:$A$20000,0),MATCH("Volume",'Semrush Data'!$A$1:$Z$1,0)),""))</f>
        <v/>
      </c>
      <c r="U424" s="24" t="str">
        <f aca="false">IF(P424="","",IFERROR(INDEX('Semrush Data'!$A$1:$Z$20000,MATCH(P424,'Semrush Data'!$A$1:$A$20000,0),MATCH("Volume",'Semrush Data'!$A$1:$Z$1,0)),""))</f>
        <v/>
      </c>
      <c r="V424" s="25" t="str">
        <f aca="false">IF(COUNT(Q424:U424)=0,L424,IF(MAX(Q424:U424)=0,L424,INDEX(L424:P424,MATCH(MAX(Q424:U424),Q424:U424,0))))</f>
        <v>jimmy choo i want choo forever miniature</v>
      </c>
      <c r="W424" s="24" t="n">
        <f aca="false">IFERROR(INDEX('Semrush Data'!$A$1:$Z$20000,MATCH(V424,'Semrush Data'!$A$1:$A$20000,0),MATCH("Volume",'Semrush Data'!$A$1:$Z$1,0)),"")</f>
        <v>0</v>
      </c>
      <c r="X424" s="24" t="n">
        <f aca="false">IFERROR(INDEX('Semrush Data'!$A$1:$Z$20000,MATCH(V424,'Semrush Data'!$A$1:$A$20000,0),MATCH("Keyword Difficulty*",'Semrush Data'!$A$1:$Z$1,0)),"")</f>
        <v>16</v>
      </c>
      <c r="Y424" s="26" t="n">
        <f aca="false">IFERROR(INDEX('Semrush Data'!$A$1:$Z$20000,MATCH(V424,'Semrush Data'!$A$1:$A$20000,0),MATCH("CPC*",'Semrush Data'!$A$1:$Z$1,0)),"")</f>
        <v>0</v>
      </c>
      <c r="Z424" s="23" t="s">
        <v>5160</v>
      </c>
      <c r="AA424" s="23"/>
      <c r="AB424" s="23" t="s">
        <v>5161</v>
      </c>
      <c r="AC424" s="23" t="s">
        <v>5162</v>
      </c>
      <c r="AD424" s="27" t="n">
        <f aca="false">LEN(AC424)</f>
        <v>60</v>
      </c>
      <c r="AE424" s="23" t="s">
        <v>5163</v>
      </c>
      <c r="AF424" s="27" t="n">
        <f aca="false">LEN(AE424)</f>
        <v>159</v>
      </c>
    </row>
    <row r="425" customFormat="false" ht="15" hidden="false" customHeight="true" outlineLevel="0" collapsed="false">
      <c r="A425" s="23" t="s">
        <v>5164</v>
      </c>
      <c r="B425" s="23" t="s">
        <v>2449</v>
      </c>
      <c r="C425" s="23" t="n">
        <v>265</v>
      </c>
      <c r="D425" s="23" t="s">
        <v>5152</v>
      </c>
      <c r="E425" s="23"/>
      <c r="F425" s="23" t="s">
        <v>1735</v>
      </c>
      <c r="G425" s="23" t="s">
        <v>2550</v>
      </c>
      <c r="H425" s="23" t="s">
        <v>2516</v>
      </c>
      <c r="I425" s="23" t="s">
        <v>5165</v>
      </c>
      <c r="J425" s="23" t="s">
        <v>3551</v>
      </c>
      <c r="K425" s="23" t="n">
        <v>42.99</v>
      </c>
      <c r="L425" s="23" t="s">
        <v>5166</v>
      </c>
      <c r="M425" s="23" t="s">
        <v>5167</v>
      </c>
      <c r="N425" s="23" t="s">
        <v>5168</v>
      </c>
      <c r="O425" s="23" t="s">
        <v>5169</v>
      </c>
      <c r="P425" s="23"/>
      <c r="Q425" s="24" t="n">
        <f aca="false">IF(L425="","",IFERROR(INDEX('Semrush Data'!$A$1:$Z$20000,MATCH(L425,'Semrush Data'!$A$1:$A$20000,0),MATCH("Volume",'Semrush Data'!$A$1:$Z$1,0)),""))</f>
        <v>0</v>
      </c>
      <c r="R425" s="24" t="str">
        <f aca="false">IF(M425="","",IFERROR(INDEX('Semrush Data'!$A$1:$Z$20000,MATCH(M425,'Semrush Data'!$A$1:$A$20000,0),MATCH("Volume",'Semrush Data'!$A$1:$Z$1,0)),""))</f>
        <v/>
      </c>
      <c r="S425" s="24" t="str">
        <f aca="false">IF(N425="","",IFERROR(INDEX('Semrush Data'!$A$1:$Z$20000,MATCH(N425,'Semrush Data'!$A$1:$A$20000,0),MATCH("Volume",'Semrush Data'!$A$1:$Z$1,0)),""))</f>
        <v/>
      </c>
      <c r="T425" s="24" t="str">
        <f aca="false">IF(O425="","",IFERROR(INDEX('Semrush Data'!$A$1:$Z$20000,MATCH(O425,'Semrush Data'!$A$1:$A$20000,0),MATCH("Volume",'Semrush Data'!$A$1:$Z$1,0)),""))</f>
        <v/>
      </c>
      <c r="U425" s="24" t="str">
        <f aca="false">IF(P425="","",IFERROR(INDEX('Semrush Data'!$A$1:$Z$20000,MATCH(P425,'Semrush Data'!$A$1:$A$20000,0),MATCH("Volume",'Semrush Data'!$A$1:$Z$1,0)),""))</f>
        <v/>
      </c>
      <c r="V425" s="25" t="str">
        <f aca="false">IF(COUNT(Q425:U425)=0,L425,IF(MAX(Q425:U425)=0,L425,INDEX(L425:P425,MATCH(MAX(Q425:U425),Q425:U425,0))))</f>
        <v>jimmy choo miniature gift set 5x4.</v>
      </c>
      <c r="W425" s="24" t="n">
        <f aca="false">IFERROR(INDEX('Semrush Data'!$A$1:$Z$20000,MATCH(V425,'Semrush Data'!$A$1:$A$20000,0),MATCH("Volume",'Semrush Data'!$A$1:$Z$1,0)),"")</f>
        <v>0</v>
      </c>
      <c r="X425" s="24" t="n">
        <f aca="false">IFERROR(INDEX('Semrush Data'!$A$1:$Z$20000,MATCH(V425,'Semrush Data'!$A$1:$A$20000,0),MATCH("Keyword Difficulty*",'Semrush Data'!$A$1:$Z$1,0)),"")</f>
        <v>17</v>
      </c>
      <c r="Y425" s="26" t="n">
        <f aca="false">IFERROR(INDEX('Semrush Data'!$A$1:$Z$20000,MATCH(V425,'Semrush Data'!$A$1:$A$20000,0),MATCH("CPC*",'Semrush Data'!$A$1:$Z$1,0)),"")</f>
        <v>0</v>
      </c>
      <c r="Z425" s="23" t="s">
        <v>5170</v>
      </c>
      <c r="AA425" s="23"/>
      <c r="AB425" s="23" t="s">
        <v>5171</v>
      </c>
      <c r="AC425" s="23" t="s">
        <v>5172</v>
      </c>
      <c r="AD425" s="27" t="n">
        <f aca="false">LEN(AC425)</f>
        <v>57</v>
      </c>
      <c r="AE425" s="23" t="s">
        <v>5173</v>
      </c>
      <c r="AF425" s="27" t="n">
        <f aca="false">LEN(AE425)</f>
        <v>156</v>
      </c>
    </row>
    <row r="426" customFormat="false" ht="15" hidden="false" customHeight="true" outlineLevel="0" collapsed="false">
      <c r="A426" s="23" t="s">
        <v>5174</v>
      </c>
      <c r="B426" s="23" t="s">
        <v>2449</v>
      </c>
      <c r="C426" s="23" t="n">
        <v>266</v>
      </c>
      <c r="D426" s="23" t="s">
        <v>5175</v>
      </c>
      <c r="E426" s="23"/>
      <c r="F426" s="23" t="s">
        <v>2452</v>
      </c>
      <c r="G426" s="23" t="s">
        <v>5176</v>
      </c>
      <c r="H426" s="23" t="s">
        <v>2538</v>
      </c>
      <c r="I426" s="23" t="s">
        <v>5177</v>
      </c>
      <c r="J426" s="23" t="s">
        <v>1434</v>
      </c>
      <c r="K426" s="23" t="n">
        <v>83.99</v>
      </c>
      <c r="L426" s="23" t="s">
        <v>5178</v>
      </c>
      <c r="M426" s="23" t="s">
        <v>5179</v>
      </c>
      <c r="N426" s="23" t="s">
        <v>5180</v>
      </c>
      <c r="O426" s="23" t="s">
        <v>5181</v>
      </c>
      <c r="P426" s="23"/>
      <c r="Q426" s="24" t="n">
        <f aca="false">IF(L426="","",IFERROR(INDEX('Semrush Data'!$A$1:$Z$20000,MATCH(L426,'Semrush Data'!$A$1:$A$20000,0),MATCH("Volume",'Semrush Data'!$A$1:$Z$1,0)),""))</f>
        <v>0</v>
      </c>
      <c r="R426" s="24" t="str">
        <f aca="false">IF(M426="","",IFERROR(INDEX('Semrush Data'!$A$1:$Z$20000,MATCH(M426,'Semrush Data'!$A$1:$A$20000,0),MATCH("Volume",'Semrush Data'!$A$1:$Z$1,0)),""))</f>
        <v/>
      </c>
      <c r="S426" s="24" t="str">
        <f aca="false">IF(N426="","",IFERROR(INDEX('Semrush Data'!$A$1:$Z$20000,MATCH(N426,'Semrush Data'!$A$1:$A$20000,0),MATCH("Volume",'Semrush Data'!$A$1:$Z$1,0)),""))</f>
        <v/>
      </c>
      <c r="T426" s="24" t="str">
        <f aca="false">IF(O426="","",IFERROR(INDEX('Semrush Data'!$A$1:$Z$20000,MATCH(O426,'Semrush Data'!$A$1:$A$20000,0),MATCH("Volume",'Semrush Data'!$A$1:$Z$1,0)),""))</f>
        <v/>
      </c>
      <c r="U426" s="24" t="str">
        <f aca="false">IF(P426="","",IFERROR(INDEX('Semrush Data'!$A$1:$Z$20000,MATCH(P426,'Semrush Data'!$A$1:$A$20000,0),MATCH("Volume",'Semrush Data'!$A$1:$Z$1,0)),""))</f>
        <v/>
      </c>
      <c r="V426" s="25" t="str">
        <f aca="false">IF(COUNT(Q426:U426)=0,L426,IF(MAX(Q426:U426)=0,L426,INDEX(L426:P426,MATCH(MAX(Q426:U426),Q426:U426,0))))</f>
        <v>jo milano game of spades queen for</v>
      </c>
      <c r="W426" s="24" t="n">
        <f aca="false">IFERROR(INDEX('Semrush Data'!$A$1:$Z$20000,MATCH(V426,'Semrush Data'!$A$1:$A$20000,0),MATCH("Volume",'Semrush Data'!$A$1:$Z$1,0)),"")</f>
        <v>0</v>
      </c>
      <c r="X426" s="24" t="n">
        <f aca="false">IFERROR(INDEX('Semrush Data'!$A$1:$Z$20000,MATCH(V426,'Semrush Data'!$A$1:$A$20000,0),MATCH("Keyword Difficulty*",'Semrush Data'!$A$1:$Z$1,0)),"")</f>
        <v>23</v>
      </c>
      <c r="Y426" s="26" t="n">
        <f aca="false">IFERROR(INDEX('Semrush Data'!$A$1:$Z$20000,MATCH(V426,'Semrush Data'!$A$1:$A$20000,0),MATCH("CPC*",'Semrush Data'!$A$1:$Z$1,0)),"")</f>
        <v>0</v>
      </c>
      <c r="Z426" s="23" t="s">
        <v>5182</v>
      </c>
      <c r="AA426" s="23"/>
      <c r="AB426" s="23" t="s">
        <v>5183</v>
      </c>
      <c r="AC426" s="23" t="s">
        <v>5184</v>
      </c>
      <c r="AD426" s="27" t="n">
        <f aca="false">LEN(AC426)</f>
        <v>55</v>
      </c>
      <c r="AE426" s="23" t="s">
        <v>5185</v>
      </c>
      <c r="AF426" s="27" t="n">
        <f aca="false">LEN(AE426)</f>
        <v>159</v>
      </c>
    </row>
    <row r="427" customFormat="false" ht="15" hidden="false" customHeight="true" outlineLevel="0" collapsed="false">
      <c r="A427" s="23" t="s">
        <v>5186</v>
      </c>
      <c r="B427" s="23" t="s">
        <v>2449</v>
      </c>
      <c r="C427" s="23" t="n">
        <v>267</v>
      </c>
      <c r="D427" s="23" t="s">
        <v>5175</v>
      </c>
      <c r="E427" s="23"/>
      <c r="F427" s="23" t="s">
        <v>2452</v>
      </c>
      <c r="G427" s="23" t="s">
        <v>3032</v>
      </c>
      <c r="H427" s="23" t="s">
        <v>2538</v>
      </c>
      <c r="I427" s="23" t="s">
        <v>5187</v>
      </c>
      <c r="J427" s="23" t="s">
        <v>2562</v>
      </c>
      <c r="K427" s="23" t="n">
        <v>88.99</v>
      </c>
      <c r="L427" s="23" t="s">
        <v>5188</v>
      </c>
      <c r="M427" s="23" t="s">
        <v>5189</v>
      </c>
      <c r="N427" s="23" t="s">
        <v>5190</v>
      </c>
      <c r="O427" s="23" t="s">
        <v>5191</v>
      </c>
      <c r="P427" s="23" t="s">
        <v>5192</v>
      </c>
      <c r="Q427" s="24" t="n">
        <f aca="false">IF(L427="","",IFERROR(INDEX('Semrush Data'!$A$1:$Z$20000,MATCH(L427,'Semrush Data'!$A$1:$A$20000,0),MATCH("Volume",'Semrush Data'!$A$1:$Z$1,0)),""))</f>
        <v>0</v>
      </c>
      <c r="R427" s="24" t="str">
        <f aca="false">IF(M427="","",IFERROR(INDEX('Semrush Data'!$A$1:$Z$20000,MATCH(M427,'Semrush Data'!$A$1:$A$20000,0),MATCH("Volume",'Semrush Data'!$A$1:$Z$1,0)),""))</f>
        <v/>
      </c>
      <c r="S427" s="24" t="str">
        <f aca="false">IF(N427="","",IFERROR(INDEX('Semrush Data'!$A$1:$Z$20000,MATCH(N427,'Semrush Data'!$A$1:$A$20000,0),MATCH("Volume",'Semrush Data'!$A$1:$Z$1,0)),""))</f>
        <v/>
      </c>
      <c r="T427" s="24" t="str">
        <f aca="false">IF(O427="","",IFERROR(INDEX('Semrush Data'!$A$1:$Z$20000,MATCH(O427,'Semrush Data'!$A$1:$A$20000,0),MATCH("Volume",'Semrush Data'!$A$1:$Z$1,0)),""))</f>
        <v/>
      </c>
      <c r="U427" s="24" t="str">
        <f aca="false">IF(P427="","",IFERROR(INDEX('Semrush Data'!$A$1:$Z$20000,MATCH(P427,'Semrush Data'!$A$1:$A$20000,0),MATCH("Volume",'Semrush Data'!$A$1:$Z$1,0)),""))</f>
        <v/>
      </c>
      <c r="V427" s="25" t="str">
        <f aca="false">IF(COUNT(Q427:U427)=0,L427,IF(MAX(Q427:U427)=0,L427,INDEX(L427:P427,MATCH(MAX(Q427:U427),Q427:U427,0))))</f>
        <v>jo milano game of spades wildcard for parfum , 3.4 ounce</v>
      </c>
      <c r="W427" s="24" t="n">
        <f aca="false">IFERROR(INDEX('Semrush Data'!$A$1:$Z$20000,MATCH(V427,'Semrush Data'!$A$1:$A$20000,0),MATCH("Volume",'Semrush Data'!$A$1:$Z$1,0)),"")</f>
        <v>0</v>
      </c>
      <c r="X427" s="24" t="n">
        <f aca="false">IFERROR(INDEX('Semrush Data'!$A$1:$Z$20000,MATCH(V427,'Semrush Data'!$A$1:$A$20000,0),MATCH("Keyword Difficulty*",'Semrush Data'!$A$1:$Z$1,0)),"")</f>
        <v>34</v>
      </c>
      <c r="Y427" s="26" t="n">
        <f aca="false">IFERROR(INDEX('Semrush Data'!$A$1:$Z$20000,MATCH(V427,'Semrush Data'!$A$1:$A$20000,0),MATCH("CPC*",'Semrush Data'!$A$1:$Z$1,0)),"")</f>
        <v>0</v>
      </c>
      <c r="Z427" s="23" t="s">
        <v>5182</v>
      </c>
      <c r="AA427" s="23"/>
      <c r="AB427" s="23" t="s">
        <v>5187</v>
      </c>
      <c r="AC427" s="23" t="s">
        <v>5193</v>
      </c>
      <c r="AD427" s="27" t="n">
        <f aca="false">LEN(AC427)</f>
        <v>58</v>
      </c>
      <c r="AE427" s="23" t="s">
        <v>5194</v>
      </c>
      <c r="AF427" s="27" t="n">
        <f aca="false">LEN(AE427)</f>
        <v>159</v>
      </c>
    </row>
    <row r="428" customFormat="false" ht="15" hidden="false" customHeight="true" outlineLevel="0" collapsed="false">
      <c r="A428" s="23" t="s">
        <v>5195</v>
      </c>
      <c r="B428" s="23" t="s">
        <v>2449</v>
      </c>
      <c r="C428" s="23" t="n">
        <v>268</v>
      </c>
      <c r="D428" s="23" t="s">
        <v>5196</v>
      </c>
      <c r="E428" s="23"/>
      <c r="F428" s="23" t="s">
        <v>2452</v>
      </c>
      <c r="G428" s="23" t="s">
        <v>2818</v>
      </c>
      <c r="H428" s="23" t="s">
        <v>2608</v>
      </c>
      <c r="I428" s="23" t="s">
        <v>5197</v>
      </c>
      <c r="J428" s="23" t="s">
        <v>2494</v>
      </c>
      <c r="K428" s="23" t="n">
        <v>32.99</v>
      </c>
      <c r="L428" s="23" t="s">
        <v>5198</v>
      </c>
      <c r="M428" s="23" t="s">
        <v>5199</v>
      </c>
      <c r="N428" s="23" t="s">
        <v>5200</v>
      </c>
      <c r="O428" s="23" t="s">
        <v>5201</v>
      </c>
      <c r="P428" s="23" t="s">
        <v>5202</v>
      </c>
      <c r="Q428" s="24" t="n">
        <f aca="false">IF(L428="","",IFERROR(INDEX('Semrush Data'!$A$1:$Z$20000,MATCH(L428,'Semrush Data'!$A$1:$A$20000,0),MATCH("Volume",'Semrush Data'!$A$1:$Z$1,0)),""))</f>
        <v>210</v>
      </c>
      <c r="R428" s="24" t="n">
        <f aca="false">IF(M428="","",IFERROR(INDEX('Semrush Data'!$A$1:$Z$20000,MATCH(M428,'Semrush Data'!$A$1:$A$20000,0),MATCH("Volume",'Semrush Data'!$A$1:$Z$1,0)),""))</f>
        <v>0</v>
      </c>
      <c r="S428" s="24" t="str">
        <f aca="false">IF(N428="","",IFERROR(INDEX('Semrush Data'!$A$1:$Z$20000,MATCH(N428,'Semrush Data'!$A$1:$A$20000,0),MATCH("Volume",'Semrush Data'!$A$1:$Z$1,0)),""))</f>
        <v/>
      </c>
      <c r="T428" s="24" t="str">
        <f aca="false">IF(O428="","",IFERROR(INDEX('Semrush Data'!$A$1:$Z$20000,MATCH(O428,'Semrush Data'!$A$1:$A$20000,0),MATCH("Volume",'Semrush Data'!$A$1:$Z$1,0)),""))</f>
        <v/>
      </c>
      <c r="U428" s="24" t="n">
        <f aca="false">IF(P428="","",IFERROR(INDEX('Semrush Data'!$A$1:$Z$20000,MATCH(P428,'Semrush Data'!$A$1:$A$20000,0),MATCH("Volume",'Semrush Data'!$A$1:$Z$1,0)),""))</f>
        <v>20</v>
      </c>
      <c r="V428" s="25" t="str">
        <f aca="false">IF(COUNT(Q428:U428)=0,L428,IF(MAX(Q428:U428)=0,L428,INDEX(L428:P428,MATCH(MAX(Q428:U428),Q428:U428,0))))</f>
        <v>john varvatos artisan</v>
      </c>
      <c r="W428" s="24" t="n">
        <f aca="false">IFERROR(INDEX('Semrush Data'!$A$1:$Z$20000,MATCH(V428,'Semrush Data'!$A$1:$A$20000,0),MATCH("Volume",'Semrush Data'!$A$1:$Z$1,0)),"")</f>
        <v>210</v>
      </c>
      <c r="X428" s="24" t="n">
        <f aca="false">IFERROR(INDEX('Semrush Data'!$A$1:$Z$20000,MATCH(V428,'Semrush Data'!$A$1:$A$20000,0),MATCH("Keyword Difficulty*",'Semrush Data'!$A$1:$Z$1,0)),"")</f>
        <v>12</v>
      </c>
      <c r="Y428" s="26" t="n">
        <f aca="false">IFERROR(INDEX('Semrush Data'!$A$1:$Z$20000,MATCH(V428,'Semrush Data'!$A$1:$A$20000,0),MATCH("CPC*",'Semrush Data'!$A$1:$Z$1,0)),"")</f>
        <v>0.35</v>
      </c>
      <c r="Z428" s="23" t="s">
        <v>5203</v>
      </c>
      <c r="AA428" s="23"/>
      <c r="AB428" s="23" t="s">
        <v>5204</v>
      </c>
      <c r="AC428" s="23" t="s">
        <v>5205</v>
      </c>
      <c r="AD428" s="27" t="n">
        <f aca="false">LEN(AC428)</f>
        <v>57</v>
      </c>
      <c r="AE428" s="23" t="s">
        <v>5206</v>
      </c>
      <c r="AF428" s="27" t="n">
        <f aca="false">LEN(AE428)</f>
        <v>157</v>
      </c>
    </row>
    <row r="429" customFormat="false" ht="15" hidden="false" customHeight="true" outlineLevel="0" collapsed="false">
      <c r="A429" s="23" t="s">
        <v>55</v>
      </c>
      <c r="B429" s="23" t="s">
        <v>2449</v>
      </c>
      <c r="C429" s="23" t="n">
        <v>269</v>
      </c>
      <c r="D429" s="23" t="s">
        <v>238</v>
      </c>
      <c r="E429" s="23"/>
      <c r="F429" s="23" t="s">
        <v>2452</v>
      </c>
      <c r="G429" s="23" t="s">
        <v>2818</v>
      </c>
      <c r="H429" s="23" t="s">
        <v>3309</v>
      </c>
      <c r="I429" s="23" t="s">
        <v>56</v>
      </c>
      <c r="J429" s="23" t="s">
        <v>3232</v>
      </c>
      <c r="K429" s="23" t="n">
        <v>34.99</v>
      </c>
      <c r="L429" s="23" t="s">
        <v>5207</v>
      </c>
      <c r="M429" s="23" t="s">
        <v>5208</v>
      </c>
      <c r="N429" s="23" t="s">
        <v>5209</v>
      </c>
      <c r="O429" s="23" t="s">
        <v>275</v>
      </c>
      <c r="P429" s="23" t="s">
        <v>5210</v>
      </c>
      <c r="Q429" s="24" t="n">
        <f aca="false">IF(L429="","",IFERROR(INDEX('Semrush Data'!$A$1:$Z$20000,MATCH(L429,'Semrush Data'!$A$1:$A$20000,0),MATCH("Volume",'Semrush Data'!$A$1:$Z$1,0)),""))</f>
        <v>9900</v>
      </c>
      <c r="R429" s="24" t="n">
        <f aca="false">IF(M429="","",IFERROR(INDEX('Semrush Data'!$A$1:$Z$20000,MATCH(M429,'Semrush Data'!$A$1:$A$20000,0),MATCH("Volume",'Semrush Data'!$A$1:$Z$1,0)),""))</f>
        <v>20</v>
      </c>
      <c r="S429" s="24" t="n">
        <f aca="false">IF(N429="","",IFERROR(INDEX('Semrush Data'!$A$1:$Z$20000,MATCH(N429,'Semrush Data'!$A$1:$A$20000,0),MATCH("Volume",'Semrush Data'!$A$1:$Z$1,0)),""))</f>
        <v>0</v>
      </c>
      <c r="T429" s="24" t="n">
        <f aca="false">IF(O429="","",IFERROR(INDEX('Semrush Data'!$A$1:$Z$20000,MATCH(O429,'Semrush Data'!$A$1:$A$20000,0),MATCH("Volume",'Semrush Data'!$A$1:$Z$1,0)),""))</f>
        <v>30</v>
      </c>
      <c r="U429" s="24" t="n">
        <f aca="false">IF(P429="","",IFERROR(INDEX('Semrush Data'!$A$1:$Z$20000,MATCH(P429,'Semrush Data'!$A$1:$A$20000,0),MATCH("Volume",'Semrush Data'!$A$1:$Z$1,0)),""))</f>
        <v>210</v>
      </c>
      <c r="V429" s="25" t="str">
        <f aca="false">IF(COUNT(Q429:U429)=0,L429,IF(MAX(Q429:U429)=0,L429,INDEX(L429:P429,MATCH(MAX(Q429:U429),Q429:U429,0))))</f>
        <v>joop! homme</v>
      </c>
      <c r="W429" s="24" t="n">
        <f aca="false">IFERROR(INDEX('Semrush Data'!$A$1:$Z$20000,MATCH(V429,'Semrush Data'!$A$1:$A$20000,0),MATCH("Volume",'Semrush Data'!$A$1:$Z$1,0)),"")</f>
        <v>9900</v>
      </c>
      <c r="X429" s="24" t="n">
        <f aca="false">IFERROR(INDEX('Semrush Data'!$A$1:$Z$20000,MATCH(V429,'Semrush Data'!$A$1:$A$20000,0),MATCH("Keyword Difficulty*",'Semrush Data'!$A$1:$Z$1,0)),"")</f>
        <v>23</v>
      </c>
      <c r="Y429" s="26" t="n">
        <f aca="false">IFERROR(INDEX('Semrush Data'!$A$1:$Z$20000,MATCH(V429,'Semrush Data'!$A$1:$A$20000,0),MATCH("CPC*",'Semrush Data'!$A$1:$Z$1,0)),"")</f>
        <v>0.36</v>
      </c>
      <c r="Z429" s="23" t="s">
        <v>5211</v>
      </c>
      <c r="AA429" s="23" t="s">
        <v>5212</v>
      </c>
      <c r="AB429" s="23" t="s">
        <v>5213</v>
      </c>
      <c r="AC429" s="23" t="s">
        <v>5214</v>
      </c>
      <c r="AD429" s="27" t="n">
        <f aca="false">LEN(AC429)</f>
        <v>54</v>
      </c>
      <c r="AE429" s="23" t="s">
        <v>5215</v>
      </c>
      <c r="AF429" s="27" t="n">
        <f aca="false">LEN(AE429)</f>
        <v>148</v>
      </c>
    </row>
    <row r="430" customFormat="false" ht="15" hidden="false" customHeight="true" outlineLevel="0" collapsed="false">
      <c r="A430" s="23" t="s">
        <v>5216</v>
      </c>
      <c r="B430" s="23" t="s">
        <v>2449</v>
      </c>
      <c r="C430" s="23" t="n">
        <v>270</v>
      </c>
      <c r="D430" s="23" t="s">
        <v>238</v>
      </c>
      <c r="E430" s="23"/>
      <c r="F430" s="23" t="s">
        <v>2452</v>
      </c>
      <c r="G430" s="23" t="s">
        <v>3032</v>
      </c>
      <c r="H430" s="23" t="s">
        <v>3033</v>
      </c>
      <c r="I430" s="23" t="s">
        <v>5217</v>
      </c>
      <c r="J430" s="23" t="s">
        <v>2494</v>
      </c>
      <c r="K430" s="23" t="n">
        <v>32.99</v>
      </c>
      <c r="L430" s="23" t="s">
        <v>5218</v>
      </c>
      <c r="M430" s="23" t="s">
        <v>5219</v>
      </c>
      <c r="N430" s="23" t="s">
        <v>5220</v>
      </c>
      <c r="O430" s="23" t="s">
        <v>5221</v>
      </c>
      <c r="P430" s="23" t="s">
        <v>5222</v>
      </c>
      <c r="Q430" s="24" t="n">
        <f aca="false">IF(L430="","",IFERROR(INDEX('Semrush Data'!$A$1:$Z$20000,MATCH(L430,'Semrush Data'!$A$1:$A$20000,0),MATCH("Volume",'Semrush Data'!$A$1:$Z$1,0)),""))</f>
        <v>0</v>
      </c>
      <c r="R430" s="24" t="str">
        <f aca="false">IF(M430="","",IFERROR(INDEX('Semrush Data'!$A$1:$Z$20000,MATCH(M430,'Semrush Data'!$A$1:$A$20000,0),MATCH("Volume",'Semrush Data'!$A$1:$Z$1,0)),""))</f>
        <v/>
      </c>
      <c r="S430" s="24" t="str">
        <f aca="false">IF(N430="","",IFERROR(INDEX('Semrush Data'!$A$1:$Z$20000,MATCH(N430,'Semrush Data'!$A$1:$A$20000,0),MATCH("Volume",'Semrush Data'!$A$1:$Z$1,0)),""))</f>
        <v/>
      </c>
      <c r="T430" s="24" t="str">
        <f aca="false">IF(O430="","",IFERROR(INDEX('Semrush Data'!$A$1:$Z$20000,MATCH(O430,'Semrush Data'!$A$1:$A$20000,0),MATCH("Volume",'Semrush Data'!$A$1:$Z$1,0)),""))</f>
        <v/>
      </c>
      <c r="U430" s="24" t="str">
        <f aca="false">IF(P430="","",IFERROR(INDEX('Semrush Data'!$A$1:$Z$20000,MATCH(P430,'Semrush Data'!$A$1:$A$20000,0),MATCH("Volume",'Semrush Data'!$A$1:$Z$1,0)),""))</f>
        <v/>
      </c>
      <c r="V430" s="25" t="str">
        <f aca="false">IF(COUNT(Q430:U430)=0,L430,IF(MAX(Q430:U430)=0,L430,INDEX(L430:P430,MATCH(MAX(Q430:U430),Q430:U430,0))))</f>
        <v>joop! homme le</v>
      </c>
      <c r="W430" s="24" t="n">
        <f aca="false">IFERROR(INDEX('Semrush Data'!$A$1:$Z$20000,MATCH(V430,'Semrush Data'!$A$1:$A$20000,0),MATCH("Volume",'Semrush Data'!$A$1:$Z$1,0)),"")</f>
        <v>0</v>
      </c>
      <c r="X430" s="24" t="n">
        <f aca="false">IFERROR(INDEX('Semrush Data'!$A$1:$Z$20000,MATCH(V430,'Semrush Data'!$A$1:$A$20000,0),MATCH("Keyword Difficulty*",'Semrush Data'!$A$1:$Z$1,0)),"")</f>
        <v>21</v>
      </c>
      <c r="Y430" s="26" t="n">
        <f aca="false">IFERROR(INDEX('Semrush Data'!$A$1:$Z$20000,MATCH(V430,'Semrush Data'!$A$1:$A$20000,0),MATCH("CPC*",'Semrush Data'!$A$1:$Z$1,0)),"")</f>
        <v>0</v>
      </c>
      <c r="Z430" s="23" t="s">
        <v>5223</v>
      </c>
      <c r="AA430" s="23" t="s">
        <v>5224</v>
      </c>
      <c r="AB430" s="23" t="s">
        <v>5225</v>
      </c>
      <c r="AC430" s="23" t="s">
        <v>5226</v>
      </c>
      <c r="AD430" s="27" t="n">
        <f aca="false">LEN(AC430)</f>
        <v>53</v>
      </c>
      <c r="AE430" s="23" t="s">
        <v>5227</v>
      </c>
      <c r="AF430" s="27" t="n">
        <f aca="false">LEN(AE430)</f>
        <v>133</v>
      </c>
    </row>
    <row r="431" customFormat="false" ht="15" hidden="false" customHeight="true" outlineLevel="0" collapsed="false">
      <c r="A431" s="23" t="s">
        <v>5228</v>
      </c>
      <c r="B431" s="23" t="s">
        <v>2449</v>
      </c>
      <c r="C431" s="23" t="n">
        <v>271</v>
      </c>
      <c r="D431" s="23" t="s">
        <v>5229</v>
      </c>
      <c r="E431" s="23"/>
      <c r="F431" s="23" t="s">
        <v>2452</v>
      </c>
      <c r="G431" s="23" t="s">
        <v>2453</v>
      </c>
      <c r="H431" s="23" t="s">
        <v>2454</v>
      </c>
      <c r="I431" s="23" t="s">
        <v>5230</v>
      </c>
      <c r="J431" s="23" t="s">
        <v>1468</v>
      </c>
      <c r="K431" s="23" t="n">
        <v>31.99</v>
      </c>
      <c r="L431" s="23" t="s">
        <v>5231</v>
      </c>
      <c r="M431" s="23" t="s">
        <v>5232</v>
      </c>
      <c r="N431" s="23" t="s">
        <v>5233</v>
      </c>
      <c r="O431" s="23" t="s">
        <v>5234</v>
      </c>
      <c r="P431" s="23" t="s">
        <v>5235</v>
      </c>
      <c r="Q431" s="24" t="n">
        <f aca="false">IF(L431="","",IFERROR(INDEX('Semrush Data'!$A$1:$Z$20000,MATCH(L431,'Semrush Data'!$A$1:$A$20000,0),MATCH("Volume",'Semrush Data'!$A$1:$Z$1,0)),""))</f>
        <v>50</v>
      </c>
      <c r="R431" s="24" t="str">
        <f aca="false">IF(M431="","",IFERROR(INDEX('Semrush Data'!$A$1:$Z$20000,MATCH(M431,'Semrush Data'!$A$1:$A$20000,0),MATCH("Volume",'Semrush Data'!$A$1:$Z$1,0)),""))</f>
        <v/>
      </c>
      <c r="S431" s="24" t="str">
        <f aca="false">IF(N431="","",IFERROR(INDEX('Semrush Data'!$A$1:$Z$20000,MATCH(N431,'Semrush Data'!$A$1:$A$20000,0),MATCH("Volume",'Semrush Data'!$A$1:$Z$1,0)),""))</f>
        <v/>
      </c>
      <c r="T431" s="24" t="str">
        <f aca="false">IF(O431="","",IFERROR(INDEX('Semrush Data'!$A$1:$Z$20000,MATCH(O431,'Semrush Data'!$A$1:$A$20000,0),MATCH("Volume",'Semrush Data'!$A$1:$Z$1,0)),""))</f>
        <v/>
      </c>
      <c r="U431" s="24" t="str">
        <f aca="false">IF(P431="","",IFERROR(INDEX('Semrush Data'!$A$1:$Z$20000,MATCH(P431,'Semrush Data'!$A$1:$A$20000,0),MATCH("Volume",'Semrush Data'!$A$1:$Z$1,0)),""))</f>
        <v/>
      </c>
      <c r="V431" s="25" t="str">
        <f aca="false">IF(COUNT(Q431:U431)=0,L431,IF(MAX(Q431:U431)=0,L431,INDEX(L431:P431,MATCH(MAX(Q431:U431),Q431:U431,0))))</f>
        <v>juicy couture viva la juicy rose</v>
      </c>
      <c r="W431" s="24" t="n">
        <f aca="false">IFERROR(INDEX('Semrush Data'!$A$1:$Z$20000,MATCH(V431,'Semrush Data'!$A$1:$A$20000,0),MATCH("Volume",'Semrush Data'!$A$1:$Z$1,0)),"")</f>
        <v>50</v>
      </c>
      <c r="X431" s="24" t="n">
        <f aca="false">IFERROR(INDEX('Semrush Data'!$A$1:$Z$20000,MATCH(V431,'Semrush Data'!$A$1:$A$20000,0),MATCH("Keyword Difficulty*",'Semrush Data'!$A$1:$Z$1,0)),"")</f>
        <v>16</v>
      </c>
      <c r="Y431" s="26" t="n">
        <f aca="false">IFERROR(INDEX('Semrush Data'!$A$1:$Z$20000,MATCH(V431,'Semrush Data'!$A$1:$A$20000,0),MATCH("CPC*",'Semrush Data'!$A$1:$Z$1,0)),"")</f>
        <v>0</v>
      </c>
      <c r="Z431" s="23" t="s">
        <v>5236</v>
      </c>
      <c r="AA431" s="23" t="s">
        <v>5237</v>
      </c>
      <c r="AB431" s="23" t="s">
        <v>5238</v>
      </c>
      <c r="AC431" s="23" t="s">
        <v>5239</v>
      </c>
      <c r="AD431" s="27" t="n">
        <f aca="false">LEN(AC431)</f>
        <v>60</v>
      </c>
      <c r="AE431" s="23" t="s">
        <v>5240</v>
      </c>
      <c r="AF431" s="27" t="n">
        <f aca="false">LEN(AE431)</f>
        <v>155</v>
      </c>
    </row>
    <row r="432" customFormat="false" ht="15" hidden="false" customHeight="true" outlineLevel="0" collapsed="false">
      <c r="A432" s="23" t="s">
        <v>5241</v>
      </c>
      <c r="B432" s="23" t="s">
        <v>2449</v>
      </c>
      <c r="C432" s="23" t="n">
        <v>272</v>
      </c>
      <c r="D432" s="23" t="s">
        <v>5229</v>
      </c>
      <c r="E432" s="23"/>
      <c r="F432" s="23" t="s">
        <v>2452</v>
      </c>
      <c r="G432" s="23" t="s">
        <v>2453</v>
      </c>
      <c r="H432" s="23" t="s">
        <v>2454</v>
      </c>
      <c r="I432" s="23" t="s">
        <v>5242</v>
      </c>
      <c r="J432" s="23" t="s">
        <v>1468</v>
      </c>
      <c r="K432" s="23" t="n">
        <v>39.99</v>
      </c>
      <c r="L432" s="23" t="s">
        <v>5231</v>
      </c>
      <c r="M432" s="23" t="s">
        <v>5232</v>
      </c>
      <c r="N432" s="23" t="s">
        <v>5233</v>
      </c>
      <c r="O432" s="23" t="s">
        <v>5234</v>
      </c>
      <c r="P432" s="23" t="s">
        <v>5235</v>
      </c>
      <c r="Q432" s="24" t="n">
        <f aca="false">IF(L432="","",IFERROR(INDEX('Semrush Data'!$A$1:$Z$20000,MATCH(L432,'Semrush Data'!$A$1:$A$20000,0),MATCH("Volume",'Semrush Data'!$A$1:$Z$1,0)),""))</f>
        <v>50</v>
      </c>
      <c r="R432" s="24" t="str">
        <f aca="false">IF(M432="","",IFERROR(INDEX('Semrush Data'!$A$1:$Z$20000,MATCH(M432,'Semrush Data'!$A$1:$A$20000,0),MATCH("Volume",'Semrush Data'!$A$1:$Z$1,0)),""))</f>
        <v/>
      </c>
      <c r="S432" s="24" t="str">
        <f aca="false">IF(N432="","",IFERROR(INDEX('Semrush Data'!$A$1:$Z$20000,MATCH(N432,'Semrush Data'!$A$1:$A$20000,0),MATCH("Volume",'Semrush Data'!$A$1:$Z$1,0)),""))</f>
        <v/>
      </c>
      <c r="T432" s="24" t="str">
        <f aca="false">IF(O432="","",IFERROR(INDEX('Semrush Data'!$A$1:$Z$20000,MATCH(O432,'Semrush Data'!$A$1:$A$20000,0),MATCH("Volume",'Semrush Data'!$A$1:$Z$1,0)),""))</f>
        <v/>
      </c>
      <c r="U432" s="24" t="str">
        <f aca="false">IF(P432="","",IFERROR(INDEX('Semrush Data'!$A$1:$Z$20000,MATCH(P432,'Semrush Data'!$A$1:$A$20000,0),MATCH("Volume",'Semrush Data'!$A$1:$Z$1,0)),""))</f>
        <v/>
      </c>
      <c r="V432" s="25" t="str">
        <f aca="false">IF(COUNT(Q432:U432)=0,L432,IF(MAX(Q432:U432)=0,L432,INDEX(L432:P432,MATCH(MAX(Q432:U432),Q432:U432,0))))</f>
        <v>juicy couture viva la juicy rose</v>
      </c>
      <c r="W432" s="24" t="n">
        <f aca="false">IFERROR(INDEX('Semrush Data'!$A$1:$Z$20000,MATCH(V432,'Semrush Data'!$A$1:$A$20000,0),MATCH("Volume",'Semrush Data'!$A$1:$Z$1,0)),"")</f>
        <v>50</v>
      </c>
      <c r="X432" s="24" t="n">
        <f aca="false">IFERROR(INDEX('Semrush Data'!$A$1:$Z$20000,MATCH(V432,'Semrush Data'!$A$1:$A$20000,0),MATCH("Keyword Difficulty*",'Semrush Data'!$A$1:$Z$1,0)),"")</f>
        <v>16</v>
      </c>
      <c r="Y432" s="26" t="n">
        <f aca="false">IFERROR(INDEX('Semrush Data'!$A$1:$Z$20000,MATCH(V432,'Semrush Data'!$A$1:$A$20000,0),MATCH("CPC*",'Semrush Data'!$A$1:$Z$1,0)),"")</f>
        <v>0</v>
      </c>
      <c r="Z432" s="23" t="s">
        <v>5236</v>
      </c>
      <c r="AA432" s="23" t="s">
        <v>5237</v>
      </c>
      <c r="AB432" s="23" t="s">
        <v>5238</v>
      </c>
      <c r="AC432" s="23" t="s">
        <v>5239</v>
      </c>
      <c r="AD432" s="27" t="n">
        <f aca="false">LEN(AC432)</f>
        <v>60</v>
      </c>
      <c r="AE432" s="23" t="s">
        <v>5240</v>
      </c>
      <c r="AF432" s="27" t="n">
        <f aca="false">LEN(AE432)</f>
        <v>155</v>
      </c>
    </row>
    <row r="433" customFormat="false" ht="15" hidden="false" customHeight="true" outlineLevel="0" collapsed="false">
      <c r="A433" s="23" t="s">
        <v>5243</v>
      </c>
      <c r="B433" s="23" t="s">
        <v>2449</v>
      </c>
      <c r="C433" s="23" t="n">
        <v>273</v>
      </c>
      <c r="D433" s="23" t="s">
        <v>5229</v>
      </c>
      <c r="E433" s="23"/>
      <c r="F433" s="23" t="s">
        <v>2452</v>
      </c>
      <c r="G433" s="23" t="s">
        <v>2453</v>
      </c>
      <c r="H433" s="23" t="s">
        <v>2454</v>
      </c>
      <c r="I433" s="23" t="s">
        <v>5242</v>
      </c>
      <c r="J433" s="23" t="s">
        <v>1468</v>
      </c>
      <c r="K433" s="23" t="n">
        <v>31.99</v>
      </c>
      <c r="L433" s="23" t="s">
        <v>5231</v>
      </c>
      <c r="M433" s="23" t="s">
        <v>5232</v>
      </c>
      <c r="N433" s="23" t="s">
        <v>5233</v>
      </c>
      <c r="O433" s="23" t="s">
        <v>5234</v>
      </c>
      <c r="P433" s="23" t="s">
        <v>5235</v>
      </c>
      <c r="Q433" s="24" t="n">
        <f aca="false">IF(L433="","",IFERROR(INDEX('Semrush Data'!$A$1:$Z$20000,MATCH(L433,'Semrush Data'!$A$1:$A$20000,0),MATCH("Volume",'Semrush Data'!$A$1:$Z$1,0)),""))</f>
        <v>50</v>
      </c>
      <c r="R433" s="24" t="str">
        <f aca="false">IF(M433="","",IFERROR(INDEX('Semrush Data'!$A$1:$Z$20000,MATCH(M433,'Semrush Data'!$A$1:$A$20000,0),MATCH("Volume",'Semrush Data'!$A$1:$Z$1,0)),""))</f>
        <v/>
      </c>
      <c r="S433" s="24" t="str">
        <f aca="false">IF(N433="","",IFERROR(INDEX('Semrush Data'!$A$1:$Z$20000,MATCH(N433,'Semrush Data'!$A$1:$A$20000,0),MATCH("Volume",'Semrush Data'!$A$1:$Z$1,0)),""))</f>
        <v/>
      </c>
      <c r="T433" s="24" t="str">
        <f aca="false">IF(O433="","",IFERROR(INDEX('Semrush Data'!$A$1:$Z$20000,MATCH(O433,'Semrush Data'!$A$1:$A$20000,0),MATCH("Volume",'Semrush Data'!$A$1:$Z$1,0)),""))</f>
        <v/>
      </c>
      <c r="U433" s="24" t="str">
        <f aca="false">IF(P433="","",IFERROR(INDEX('Semrush Data'!$A$1:$Z$20000,MATCH(P433,'Semrush Data'!$A$1:$A$20000,0),MATCH("Volume",'Semrush Data'!$A$1:$Z$1,0)),""))</f>
        <v/>
      </c>
      <c r="V433" s="25" t="str">
        <f aca="false">IF(COUNT(Q433:U433)=0,L433,IF(MAX(Q433:U433)=0,L433,INDEX(L433:P433,MATCH(MAX(Q433:U433),Q433:U433,0))))</f>
        <v>juicy couture viva la juicy rose</v>
      </c>
      <c r="W433" s="24" t="n">
        <f aca="false">IFERROR(INDEX('Semrush Data'!$A$1:$Z$20000,MATCH(V433,'Semrush Data'!$A$1:$A$20000,0),MATCH("Volume",'Semrush Data'!$A$1:$Z$1,0)),"")</f>
        <v>50</v>
      </c>
      <c r="X433" s="24" t="n">
        <f aca="false">IFERROR(INDEX('Semrush Data'!$A$1:$Z$20000,MATCH(V433,'Semrush Data'!$A$1:$A$20000,0),MATCH("Keyword Difficulty*",'Semrush Data'!$A$1:$Z$1,0)),"")</f>
        <v>16</v>
      </c>
      <c r="Y433" s="26" t="n">
        <f aca="false">IFERROR(INDEX('Semrush Data'!$A$1:$Z$20000,MATCH(V433,'Semrush Data'!$A$1:$A$20000,0),MATCH("CPC*",'Semrush Data'!$A$1:$Z$1,0)),"")</f>
        <v>0</v>
      </c>
      <c r="Z433" s="23" t="s">
        <v>5236</v>
      </c>
      <c r="AA433" s="23" t="s">
        <v>5237</v>
      </c>
      <c r="AB433" s="23" t="s">
        <v>5238</v>
      </c>
      <c r="AC433" s="23" t="s">
        <v>5239</v>
      </c>
      <c r="AD433" s="27" t="n">
        <f aca="false">LEN(AC433)</f>
        <v>60</v>
      </c>
      <c r="AE433" s="23" t="s">
        <v>5240</v>
      </c>
      <c r="AF433" s="27" t="n">
        <f aca="false">LEN(AE433)</f>
        <v>155</v>
      </c>
    </row>
    <row r="434" customFormat="false" ht="15" hidden="false" customHeight="true" outlineLevel="0" collapsed="false">
      <c r="A434" s="23" t="s">
        <v>5244</v>
      </c>
      <c r="B434" s="23" t="s">
        <v>2449</v>
      </c>
      <c r="C434" s="23" t="n">
        <v>274</v>
      </c>
      <c r="D434" s="23" t="s">
        <v>5245</v>
      </c>
      <c r="E434" s="23"/>
      <c r="F434" s="23" t="s">
        <v>2452</v>
      </c>
      <c r="G434" s="23" t="s">
        <v>2818</v>
      </c>
      <c r="H434" s="23" t="s">
        <v>2608</v>
      </c>
      <c r="I434" s="23" t="s">
        <v>5246</v>
      </c>
      <c r="J434" s="23" t="s">
        <v>1994</v>
      </c>
      <c r="K434" s="23" t="n">
        <v>31.99</v>
      </c>
      <c r="L434" s="23" t="s">
        <v>5247</v>
      </c>
      <c r="M434" s="23" t="s">
        <v>5248</v>
      </c>
      <c r="N434" s="23" t="s">
        <v>5249</v>
      </c>
      <c r="O434" s="23" t="s">
        <v>5250</v>
      </c>
      <c r="P434" s="23" t="s">
        <v>5251</v>
      </c>
      <c r="Q434" s="24" t="n">
        <f aca="false">IF(L434="","",IFERROR(INDEX('Semrush Data'!$A$1:$Z$20000,MATCH(L434,'Semrush Data'!$A$1:$A$20000,0),MATCH("Volume",'Semrush Data'!$A$1:$Z$1,0)),""))</f>
        <v>20</v>
      </c>
      <c r="R434" s="24" t="str">
        <f aca="false">IF(M434="","",IFERROR(INDEX('Semrush Data'!$A$1:$Z$20000,MATCH(M434,'Semrush Data'!$A$1:$A$20000,0),MATCH("Volume",'Semrush Data'!$A$1:$Z$1,0)),""))</f>
        <v/>
      </c>
      <c r="S434" s="24" t="str">
        <f aca="false">IF(N434="","",IFERROR(INDEX('Semrush Data'!$A$1:$Z$20000,MATCH(N434,'Semrush Data'!$A$1:$A$20000,0),MATCH("Volume",'Semrush Data'!$A$1:$Z$1,0)),""))</f>
        <v/>
      </c>
      <c r="T434" s="24" t="str">
        <f aca="false">IF(O434="","",IFERROR(INDEX('Semrush Data'!$A$1:$Z$20000,MATCH(O434,'Semrush Data'!$A$1:$A$20000,0),MATCH("Volume",'Semrush Data'!$A$1:$Z$1,0)),""))</f>
        <v/>
      </c>
      <c r="U434" s="24" t="str">
        <f aca="false">IF(P434="","",IFERROR(INDEX('Semrush Data'!$A$1:$Z$20000,MATCH(P434,'Semrush Data'!$A$1:$A$20000,0),MATCH("Volume",'Semrush Data'!$A$1:$Z$1,0)),""))</f>
        <v/>
      </c>
      <c r="V434" s="25" t="str">
        <f aca="false">IF(COUNT(Q434:U434)=0,L434,IF(MAX(Q434:U434)=0,L434,INDEX(L434:P434,MATCH(MAX(Q434:U434),Q434:U434,0))))</f>
        <v>kenneth cole moonlight blue</v>
      </c>
      <c r="W434" s="24" t="n">
        <f aca="false">IFERROR(INDEX('Semrush Data'!$A$1:$Z$20000,MATCH(V434,'Semrush Data'!$A$1:$A$20000,0),MATCH("Volume",'Semrush Data'!$A$1:$Z$1,0)),"")</f>
        <v>20</v>
      </c>
      <c r="X434" s="24" t="n">
        <f aca="false">IFERROR(INDEX('Semrush Data'!$A$1:$Z$20000,MATCH(V434,'Semrush Data'!$A$1:$A$20000,0),MATCH("Keyword Difficulty*",'Semrush Data'!$A$1:$Z$1,0)),"")</f>
        <v>18</v>
      </c>
      <c r="Y434" s="26" t="n">
        <f aca="false">IFERROR(INDEX('Semrush Data'!$A$1:$Z$20000,MATCH(V434,'Semrush Data'!$A$1:$A$20000,0),MATCH("CPC*",'Semrush Data'!$A$1:$Z$1,0)),"")</f>
        <v>0</v>
      </c>
      <c r="Z434" s="23" t="s">
        <v>5252</v>
      </c>
      <c r="AA434" s="23" t="s">
        <v>5253</v>
      </c>
      <c r="AB434" s="23" t="s">
        <v>5254</v>
      </c>
      <c r="AC434" s="23" t="s">
        <v>5255</v>
      </c>
      <c r="AD434" s="27" t="n">
        <f aca="false">LEN(AC434)</f>
        <v>57</v>
      </c>
      <c r="AE434" s="23" t="s">
        <v>5256</v>
      </c>
      <c r="AF434" s="27" t="n">
        <f aca="false">LEN(AE434)</f>
        <v>158</v>
      </c>
    </row>
    <row r="435" customFormat="false" ht="15" hidden="false" customHeight="true" outlineLevel="0" collapsed="false">
      <c r="A435" s="23" t="s">
        <v>5257</v>
      </c>
      <c r="B435" s="23" t="s">
        <v>2449</v>
      </c>
      <c r="C435" s="23" t="n">
        <v>275</v>
      </c>
      <c r="D435" s="23" t="s">
        <v>5258</v>
      </c>
      <c r="E435" s="23"/>
      <c r="F435" s="23" t="s">
        <v>2452</v>
      </c>
      <c r="G435" s="23" t="s">
        <v>2453</v>
      </c>
      <c r="H435" s="23" t="s">
        <v>2538</v>
      </c>
      <c r="I435" s="23" t="s">
        <v>5259</v>
      </c>
      <c r="J435" s="23" t="s">
        <v>1994</v>
      </c>
      <c r="K435" s="23" t="n">
        <v>82.99</v>
      </c>
      <c r="L435" s="23" t="s">
        <v>5260</v>
      </c>
      <c r="M435" s="23" t="s">
        <v>5261</v>
      </c>
      <c r="N435" s="23" t="s">
        <v>5262</v>
      </c>
      <c r="O435" s="23" t="s">
        <v>5263</v>
      </c>
      <c r="P435" s="23" t="s">
        <v>5264</v>
      </c>
      <c r="Q435" s="24" t="n">
        <f aca="false">IF(L435="","",IFERROR(INDEX('Semrush Data'!$A$1:$Z$20000,MATCH(L435,'Semrush Data'!$A$1:$A$20000,0),MATCH("Volume",'Semrush Data'!$A$1:$Z$1,0)),""))</f>
        <v>20</v>
      </c>
      <c r="R435" s="24" t="str">
        <f aca="false">IF(M435="","",IFERROR(INDEX('Semrush Data'!$A$1:$Z$20000,MATCH(M435,'Semrush Data'!$A$1:$A$20000,0),MATCH("Volume",'Semrush Data'!$A$1:$Z$1,0)),""))</f>
        <v/>
      </c>
      <c r="S435" s="24" t="str">
        <f aca="false">IF(N435="","",IFERROR(INDEX('Semrush Data'!$A$1:$Z$20000,MATCH(N435,'Semrush Data'!$A$1:$A$20000,0),MATCH("Volume",'Semrush Data'!$A$1:$Z$1,0)),""))</f>
        <v/>
      </c>
      <c r="T435" s="24" t="str">
        <f aca="false">IF(O435="","",IFERROR(INDEX('Semrush Data'!$A$1:$Z$20000,MATCH(O435,'Semrush Data'!$A$1:$A$20000,0),MATCH("Volume",'Semrush Data'!$A$1:$Z$1,0)),""))</f>
        <v/>
      </c>
      <c r="U435" s="24" t="str">
        <f aca="false">IF(P435="","",IFERROR(INDEX('Semrush Data'!$A$1:$Z$20000,MATCH(P435,'Semrush Data'!$A$1:$A$20000,0),MATCH("Volume",'Semrush Data'!$A$1:$Z$1,0)),""))</f>
        <v/>
      </c>
      <c r="V435" s="25" t="str">
        <f aca="false">IF(COUNT(Q435:U435)=0,L435,IF(MAX(Q435:U435)=0,L435,INDEX(L435:P435,MATCH(MAX(Q435:U435),Q435:U435,0))))</f>
        <v>korloff cuir mythique</v>
      </c>
      <c r="W435" s="24" t="n">
        <f aca="false">IFERROR(INDEX('Semrush Data'!$A$1:$Z$20000,MATCH(V435,'Semrush Data'!$A$1:$A$20000,0),MATCH("Volume",'Semrush Data'!$A$1:$Z$1,0)),"")</f>
        <v>20</v>
      </c>
      <c r="X435" s="24" t="n">
        <f aca="false">IFERROR(INDEX('Semrush Data'!$A$1:$Z$20000,MATCH(V435,'Semrush Data'!$A$1:$A$20000,0),MATCH("Keyword Difficulty*",'Semrush Data'!$A$1:$Z$1,0)),"")</f>
        <v>9</v>
      </c>
      <c r="Y435" s="26" t="n">
        <f aca="false">IFERROR(INDEX('Semrush Data'!$A$1:$Z$20000,MATCH(V435,'Semrush Data'!$A$1:$A$20000,0),MATCH("CPC*",'Semrush Data'!$A$1:$Z$1,0)),"")</f>
        <v>0</v>
      </c>
      <c r="Z435" s="23" t="s">
        <v>5265</v>
      </c>
      <c r="AA435" s="23" t="s">
        <v>5266</v>
      </c>
      <c r="AB435" s="23" t="s">
        <v>5267</v>
      </c>
      <c r="AC435" s="23" t="s">
        <v>5268</v>
      </c>
      <c r="AD435" s="27" t="n">
        <f aca="false">LEN(AC435)</f>
        <v>58</v>
      </c>
      <c r="AE435" s="23" t="s">
        <v>5269</v>
      </c>
      <c r="AF435" s="27" t="n">
        <f aca="false">LEN(AE435)</f>
        <v>156</v>
      </c>
    </row>
    <row r="436" customFormat="false" ht="15" hidden="false" customHeight="true" outlineLevel="0" collapsed="false">
      <c r="A436" s="23" t="s">
        <v>5270</v>
      </c>
      <c r="B436" s="23" t="s">
        <v>2449</v>
      </c>
      <c r="C436" s="23" t="n">
        <v>276</v>
      </c>
      <c r="D436" s="23" t="s">
        <v>5258</v>
      </c>
      <c r="E436" s="23"/>
      <c r="F436" s="23" t="s">
        <v>2452</v>
      </c>
      <c r="G436" s="23" t="s">
        <v>2453</v>
      </c>
      <c r="H436" s="23" t="s">
        <v>2538</v>
      </c>
      <c r="I436" s="23" t="s">
        <v>5271</v>
      </c>
      <c r="J436" s="23" t="s">
        <v>5272</v>
      </c>
      <c r="K436" s="23" t="n">
        <v>26.99</v>
      </c>
      <c r="L436" s="23" t="s">
        <v>5273</v>
      </c>
      <c r="M436" s="23" t="s">
        <v>5274</v>
      </c>
      <c r="N436" s="23" t="s">
        <v>5275</v>
      </c>
      <c r="O436" s="23" t="s">
        <v>5276</v>
      </c>
      <c r="P436" s="23" t="s">
        <v>5277</v>
      </c>
      <c r="Q436" s="24" t="n">
        <f aca="false">IF(L436="","",IFERROR(INDEX('Semrush Data'!$A$1:$Z$20000,MATCH(L436,'Semrush Data'!$A$1:$A$20000,0),MATCH("Volume",'Semrush Data'!$A$1:$Z$1,0)),""))</f>
        <v>20</v>
      </c>
      <c r="R436" s="24" t="str">
        <f aca="false">IF(M436="","",IFERROR(INDEX('Semrush Data'!$A$1:$Z$20000,MATCH(M436,'Semrush Data'!$A$1:$A$20000,0),MATCH("Volume",'Semrush Data'!$A$1:$Z$1,0)),""))</f>
        <v/>
      </c>
      <c r="S436" s="24" t="str">
        <f aca="false">IF(N436="","",IFERROR(INDEX('Semrush Data'!$A$1:$Z$20000,MATCH(N436,'Semrush Data'!$A$1:$A$20000,0),MATCH("Volume",'Semrush Data'!$A$1:$Z$1,0)),""))</f>
        <v/>
      </c>
      <c r="T436" s="24" t="str">
        <f aca="false">IF(O436="","",IFERROR(INDEX('Semrush Data'!$A$1:$Z$20000,MATCH(O436,'Semrush Data'!$A$1:$A$20000,0),MATCH("Volume",'Semrush Data'!$A$1:$Z$1,0)),""))</f>
        <v/>
      </c>
      <c r="U436" s="24" t="str">
        <f aca="false">IF(P436="","",IFERROR(INDEX('Semrush Data'!$A$1:$Z$20000,MATCH(P436,'Semrush Data'!$A$1:$A$20000,0),MATCH("Volume",'Semrush Data'!$A$1:$Z$1,0)),""))</f>
        <v/>
      </c>
      <c r="V436" s="25" t="str">
        <f aca="false">IF(COUNT(Q436:U436)=0,L436,IF(MAX(Q436:U436)=0,L436,INDEX(L436:P436,MATCH(MAX(Q436:U436),Q436:U436,0))))</f>
        <v>korloff in love</v>
      </c>
      <c r="W436" s="24" t="n">
        <f aca="false">IFERROR(INDEX('Semrush Data'!$A$1:$Z$20000,MATCH(V436,'Semrush Data'!$A$1:$A$20000,0),MATCH("Volume",'Semrush Data'!$A$1:$Z$1,0)),"")</f>
        <v>20</v>
      </c>
      <c r="X436" s="24" t="n">
        <f aca="false">IFERROR(INDEX('Semrush Data'!$A$1:$Z$20000,MATCH(V436,'Semrush Data'!$A$1:$A$20000,0),MATCH("Keyword Difficulty*",'Semrush Data'!$A$1:$Z$1,0)),"")</f>
        <v>0</v>
      </c>
      <c r="Y436" s="26" t="n">
        <f aca="false">IFERROR(INDEX('Semrush Data'!$A$1:$Z$20000,MATCH(V436,'Semrush Data'!$A$1:$A$20000,0),MATCH("CPC*",'Semrush Data'!$A$1:$Z$1,0)),"")</f>
        <v>0</v>
      </c>
      <c r="Z436" s="23" t="s">
        <v>5265</v>
      </c>
      <c r="AA436" s="23" t="s">
        <v>5278</v>
      </c>
      <c r="AB436" s="23" t="s">
        <v>5279</v>
      </c>
      <c r="AC436" s="23" t="s">
        <v>5280</v>
      </c>
      <c r="AD436" s="27" t="n">
        <f aca="false">LEN(AC436)</f>
        <v>56</v>
      </c>
      <c r="AE436" s="23" t="s">
        <v>5281</v>
      </c>
      <c r="AF436" s="27" t="n">
        <f aca="false">LEN(AE436)</f>
        <v>150</v>
      </c>
    </row>
    <row r="437" customFormat="false" ht="15" hidden="false" customHeight="true" outlineLevel="0" collapsed="false">
      <c r="A437" s="23" t="s">
        <v>5282</v>
      </c>
      <c r="B437" s="23" t="s">
        <v>2449</v>
      </c>
      <c r="C437" s="23" t="n">
        <v>277</v>
      </c>
      <c r="D437" s="23" t="s">
        <v>5258</v>
      </c>
      <c r="E437" s="23"/>
      <c r="F437" s="23" t="s">
        <v>2452</v>
      </c>
      <c r="G437" s="23" t="s">
        <v>2453</v>
      </c>
      <c r="H437" s="23" t="s">
        <v>2538</v>
      </c>
      <c r="I437" s="23" t="s">
        <v>5283</v>
      </c>
      <c r="J437" s="23" t="s">
        <v>5284</v>
      </c>
      <c r="K437" s="23" t="n">
        <v>35.99</v>
      </c>
      <c r="L437" s="23" t="s">
        <v>5285</v>
      </c>
      <c r="M437" s="23" t="s">
        <v>5286</v>
      </c>
      <c r="N437" s="23" t="s">
        <v>5287</v>
      </c>
      <c r="O437" s="23" t="s">
        <v>5288</v>
      </c>
      <c r="P437" s="23" t="s">
        <v>5289</v>
      </c>
      <c r="Q437" s="24" t="n">
        <f aca="false">IF(L437="","",IFERROR(INDEX('Semrush Data'!$A$1:$Z$20000,MATCH(L437,'Semrush Data'!$A$1:$A$20000,0),MATCH("Volume",'Semrush Data'!$A$1:$Z$1,0)),""))</f>
        <v>0</v>
      </c>
      <c r="R437" s="24" t="str">
        <f aca="false">IF(M437="","",IFERROR(INDEX('Semrush Data'!$A$1:$Z$20000,MATCH(M437,'Semrush Data'!$A$1:$A$20000,0),MATCH("Volume",'Semrush Data'!$A$1:$Z$1,0)),""))</f>
        <v/>
      </c>
      <c r="S437" s="24" t="str">
        <f aca="false">IF(N437="","",IFERROR(INDEX('Semrush Data'!$A$1:$Z$20000,MATCH(N437,'Semrush Data'!$A$1:$A$20000,0),MATCH("Volume",'Semrush Data'!$A$1:$Z$1,0)),""))</f>
        <v/>
      </c>
      <c r="T437" s="24" t="str">
        <f aca="false">IF(O437="","",IFERROR(INDEX('Semrush Data'!$A$1:$Z$20000,MATCH(O437,'Semrush Data'!$A$1:$A$20000,0),MATCH("Volume",'Semrush Data'!$A$1:$Z$1,0)),""))</f>
        <v/>
      </c>
      <c r="U437" s="24" t="str">
        <f aca="false">IF(P437="","",IFERROR(INDEX('Semrush Data'!$A$1:$Z$20000,MATCH(P437,'Semrush Data'!$A$1:$A$20000,0),MATCH("Volume",'Semrush Data'!$A$1:$Z$1,0)),""))</f>
        <v/>
      </c>
      <c r="V437" s="25" t="str">
        <f aca="false">IF(COUNT(Q437:U437)=0,L437,IF(MAX(Q437:U437)=0,L437,INDEX(L437:P437,MATCH(MAX(Q437:U437),Q437:U437,0))))</f>
        <v>korloff lady intense</v>
      </c>
      <c r="W437" s="24" t="n">
        <f aca="false">IFERROR(INDEX('Semrush Data'!$A$1:$Z$20000,MATCH(V437,'Semrush Data'!$A$1:$A$20000,0),MATCH("Volume",'Semrush Data'!$A$1:$Z$1,0)),"")</f>
        <v>0</v>
      </c>
      <c r="X437" s="24" t="n">
        <f aca="false">IFERROR(INDEX('Semrush Data'!$A$1:$Z$20000,MATCH(V437,'Semrush Data'!$A$1:$A$20000,0),MATCH("Keyword Difficulty*",'Semrush Data'!$A$1:$Z$1,0)),"")</f>
        <v>13</v>
      </c>
      <c r="Y437" s="26" t="n">
        <f aca="false">IFERROR(INDEX('Semrush Data'!$A$1:$Z$20000,MATCH(V437,'Semrush Data'!$A$1:$A$20000,0),MATCH("CPC*",'Semrush Data'!$A$1:$Z$1,0)),"")</f>
        <v>0</v>
      </c>
      <c r="Z437" s="23" t="s">
        <v>5265</v>
      </c>
      <c r="AA437" s="23" t="s">
        <v>5290</v>
      </c>
      <c r="AB437" s="23" t="s">
        <v>5291</v>
      </c>
      <c r="AC437" s="23" t="s">
        <v>5292</v>
      </c>
      <c r="AD437" s="27" t="n">
        <f aca="false">LEN(AC437)</f>
        <v>56</v>
      </c>
      <c r="AE437" s="23" t="s">
        <v>5293</v>
      </c>
      <c r="AF437" s="27" t="n">
        <f aca="false">LEN(AE437)</f>
        <v>154</v>
      </c>
    </row>
    <row r="438" customFormat="false" ht="15" hidden="false" customHeight="true" outlineLevel="0" collapsed="false">
      <c r="A438" s="23" t="s">
        <v>5294</v>
      </c>
      <c r="B438" s="23" t="s">
        <v>2449</v>
      </c>
      <c r="C438" s="23" t="n">
        <v>278</v>
      </c>
      <c r="D438" s="23" t="s">
        <v>5258</v>
      </c>
      <c r="E438" s="23"/>
      <c r="F438" s="23" t="s">
        <v>2452</v>
      </c>
      <c r="G438" s="23" t="s">
        <v>2453</v>
      </c>
      <c r="H438" s="23" t="s">
        <v>2527</v>
      </c>
      <c r="I438" s="23" t="s">
        <v>5295</v>
      </c>
      <c r="J438" s="23" t="s">
        <v>5296</v>
      </c>
      <c r="K438" s="23" t="n">
        <v>47.99</v>
      </c>
      <c r="L438" s="23" t="s">
        <v>5297</v>
      </c>
      <c r="M438" s="23" t="s">
        <v>5298</v>
      </c>
      <c r="N438" s="23" t="s">
        <v>5299</v>
      </c>
      <c r="O438" s="23" t="s">
        <v>5300</v>
      </c>
      <c r="P438" s="23" t="s">
        <v>5301</v>
      </c>
      <c r="Q438" s="24" t="n">
        <f aca="false">IF(L438="","",IFERROR(INDEX('Semrush Data'!$A$1:$Z$20000,MATCH(L438,'Semrush Data'!$A$1:$A$20000,0),MATCH("Volume",'Semrush Data'!$A$1:$Z$1,0)),""))</f>
        <v>20</v>
      </c>
      <c r="R438" s="24" t="str">
        <f aca="false">IF(M438="","",IFERROR(INDEX('Semrush Data'!$A$1:$Z$20000,MATCH(M438,'Semrush Data'!$A$1:$A$20000,0),MATCH("Volume",'Semrush Data'!$A$1:$Z$1,0)),""))</f>
        <v/>
      </c>
      <c r="S438" s="24" t="str">
        <f aca="false">IF(N438="","",IFERROR(INDEX('Semrush Data'!$A$1:$Z$20000,MATCH(N438,'Semrush Data'!$A$1:$A$20000,0),MATCH("Volume",'Semrush Data'!$A$1:$Z$1,0)),""))</f>
        <v/>
      </c>
      <c r="T438" s="24" t="str">
        <f aca="false">IF(O438="","",IFERROR(INDEX('Semrush Data'!$A$1:$Z$20000,MATCH(O438,'Semrush Data'!$A$1:$A$20000,0),MATCH("Volume",'Semrush Data'!$A$1:$Z$1,0)),""))</f>
        <v/>
      </c>
      <c r="U438" s="24" t="str">
        <f aca="false">IF(P438="","",IFERROR(INDEX('Semrush Data'!$A$1:$Z$20000,MATCH(P438,'Semrush Data'!$A$1:$A$20000,0),MATCH("Volume",'Semrush Data'!$A$1:$Z$1,0)),""))</f>
        <v/>
      </c>
      <c r="V438" s="25" t="str">
        <f aca="false">IF(COUNT(Q438:U438)=0,L438,IF(MAX(Q438:U438)=0,L438,INDEX(L438:P438,MATCH(MAX(Q438:U438),Q438:U438,0))))</f>
        <v>korloff royal rose</v>
      </c>
      <c r="W438" s="24" t="n">
        <f aca="false">IFERROR(INDEX('Semrush Data'!$A$1:$Z$20000,MATCH(V438,'Semrush Data'!$A$1:$A$20000,0),MATCH("Volume",'Semrush Data'!$A$1:$Z$1,0)),"")</f>
        <v>20</v>
      </c>
      <c r="X438" s="24" t="n">
        <f aca="false">IFERROR(INDEX('Semrush Data'!$A$1:$Z$20000,MATCH(V438,'Semrush Data'!$A$1:$A$20000,0),MATCH("Keyword Difficulty*",'Semrush Data'!$A$1:$Z$1,0)),"")</f>
        <v>12</v>
      </c>
      <c r="Y438" s="26" t="n">
        <f aca="false">IFERROR(INDEX('Semrush Data'!$A$1:$Z$20000,MATCH(V438,'Semrush Data'!$A$1:$A$20000,0),MATCH("CPC*",'Semrush Data'!$A$1:$Z$1,0)),"")</f>
        <v>0</v>
      </c>
      <c r="Z438" s="23" t="s">
        <v>5302</v>
      </c>
      <c r="AA438" s="23" t="s">
        <v>5303</v>
      </c>
      <c r="AB438" s="23" t="s">
        <v>5304</v>
      </c>
      <c r="AC438" s="23" t="s">
        <v>5305</v>
      </c>
      <c r="AD438" s="27" t="n">
        <f aca="false">LEN(AC438)</f>
        <v>59</v>
      </c>
      <c r="AE438" s="23" t="s">
        <v>5306</v>
      </c>
      <c r="AF438" s="27" t="n">
        <f aca="false">LEN(AE438)</f>
        <v>152</v>
      </c>
    </row>
    <row r="439" customFormat="false" ht="15" hidden="false" customHeight="true" outlineLevel="0" collapsed="false">
      <c r="A439" s="23" t="s">
        <v>5307</v>
      </c>
      <c r="B439" s="23" t="s">
        <v>2449</v>
      </c>
      <c r="C439" s="23" t="n">
        <v>279</v>
      </c>
      <c r="D439" s="23" t="s">
        <v>5258</v>
      </c>
      <c r="E439" s="23"/>
      <c r="F439" s="23" t="s">
        <v>2452</v>
      </c>
      <c r="G439" s="23" t="s">
        <v>2453</v>
      </c>
      <c r="H439" s="23" t="s">
        <v>2538</v>
      </c>
      <c r="I439" s="23" t="s">
        <v>5308</v>
      </c>
      <c r="J439" s="23" t="s">
        <v>5272</v>
      </c>
      <c r="K439" s="23" t="n">
        <v>25.99</v>
      </c>
      <c r="L439" s="23" t="s">
        <v>5309</v>
      </c>
      <c r="M439" s="23" t="s">
        <v>5310</v>
      </c>
      <c r="N439" s="23" t="s">
        <v>5311</v>
      </c>
      <c r="O439" s="23" t="s">
        <v>5312</v>
      </c>
      <c r="P439" s="23" t="s">
        <v>5313</v>
      </c>
      <c r="Q439" s="24" t="n">
        <f aca="false">IF(L439="","",IFERROR(INDEX('Semrush Data'!$A$1:$Z$20000,MATCH(L439,'Semrush Data'!$A$1:$A$20000,0),MATCH("Volume",'Semrush Data'!$A$1:$Z$1,0)),""))</f>
        <v>10</v>
      </c>
      <c r="R439" s="24" t="str">
        <f aca="false">IF(M439="","",IFERROR(INDEX('Semrush Data'!$A$1:$Z$20000,MATCH(M439,'Semrush Data'!$A$1:$A$20000,0),MATCH("Volume",'Semrush Data'!$A$1:$Z$1,0)),""))</f>
        <v/>
      </c>
      <c r="S439" s="24" t="str">
        <f aca="false">IF(N439="","",IFERROR(INDEX('Semrush Data'!$A$1:$Z$20000,MATCH(N439,'Semrush Data'!$A$1:$A$20000,0),MATCH("Volume",'Semrush Data'!$A$1:$Z$1,0)),""))</f>
        <v/>
      </c>
      <c r="T439" s="24" t="str">
        <f aca="false">IF(O439="","",IFERROR(INDEX('Semrush Data'!$A$1:$Z$20000,MATCH(O439,'Semrush Data'!$A$1:$A$20000,0),MATCH("Volume",'Semrush Data'!$A$1:$Z$1,0)),""))</f>
        <v/>
      </c>
      <c r="U439" s="24" t="str">
        <f aca="false">IF(P439="","",IFERROR(INDEX('Semrush Data'!$A$1:$Z$20000,MATCH(P439,'Semrush Data'!$A$1:$A$20000,0),MATCH("Volume",'Semrush Data'!$A$1:$Z$1,0)),""))</f>
        <v/>
      </c>
      <c r="V439" s="25" t="str">
        <f aca="false">IF(COUNT(Q439:U439)=0,L439,IF(MAX(Q439:U439)=0,L439,INDEX(L439:P439,MATCH(MAX(Q439:U439),Q439:U439,0))))</f>
        <v>korloff un soir a paris</v>
      </c>
      <c r="W439" s="24" t="n">
        <f aca="false">IFERROR(INDEX('Semrush Data'!$A$1:$Z$20000,MATCH(V439,'Semrush Data'!$A$1:$A$20000,0),MATCH("Volume",'Semrush Data'!$A$1:$Z$1,0)),"")</f>
        <v>10</v>
      </c>
      <c r="X439" s="24" t="n">
        <f aca="false">IFERROR(INDEX('Semrush Data'!$A$1:$Z$20000,MATCH(V439,'Semrush Data'!$A$1:$A$20000,0),MATCH("Keyword Difficulty*",'Semrush Data'!$A$1:$Z$1,0)),"")</f>
        <v>6</v>
      </c>
      <c r="Y439" s="26" t="n">
        <f aca="false">IFERROR(INDEX('Semrush Data'!$A$1:$Z$20000,MATCH(V439,'Semrush Data'!$A$1:$A$20000,0),MATCH("CPC*",'Semrush Data'!$A$1:$Z$1,0)),"")</f>
        <v>0</v>
      </c>
      <c r="Z439" s="23" t="s">
        <v>5265</v>
      </c>
      <c r="AA439" s="23" t="s">
        <v>5314</v>
      </c>
      <c r="AB439" s="23" t="s">
        <v>5315</v>
      </c>
      <c r="AC439" s="23" t="s">
        <v>5316</v>
      </c>
      <c r="AD439" s="27" t="n">
        <f aca="false">LEN(AC439)</f>
        <v>60</v>
      </c>
      <c r="AE439" s="23" t="s">
        <v>5317</v>
      </c>
      <c r="AF439" s="27" t="n">
        <f aca="false">LEN(AE439)</f>
        <v>158</v>
      </c>
    </row>
    <row r="440" customFormat="false" ht="15" hidden="false" customHeight="true" outlineLevel="0" collapsed="false">
      <c r="A440" s="23" t="s">
        <v>5318</v>
      </c>
      <c r="B440" s="23" t="s">
        <v>2449</v>
      </c>
      <c r="C440" s="23" t="n">
        <v>280</v>
      </c>
      <c r="D440" s="23" t="s">
        <v>5258</v>
      </c>
      <c r="E440" s="23"/>
      <c r="F440" s="23" t="s">
        <v>2452</v>
      </c>
      <c r="G440" s="23" t="s">
        <v>2453</v>
      </c>
      <c r="H440" s="23" t="s">
        <v>2538</v>
      </c>
      <c r="I440" s="23" t="s">
        <v>5319</v>
      </c>
      <c r="J440" s="23" t="s">
        <v>5284</v>
      </c>
      <c r="K440" s="23" t="n">
        <v>35.99</v>
      </c>
      <c r="L440" s="23" t="s">
        <v>5320</v>
      </c>
      <c r="M440" s="23" t="s">
        <v>5321</v>
      </c>
      <c r="N440" s="23" t="s">
        <v>5322</v>
      </c>
      <c r="O440" s="23" t="s">
        <v>5323</v>
      </c>
      <c r="P440" s="23" t="s">
        <v>5324</v>
      </c>
      <c r="Q440" s="24" t="n">
        <f aca="false">IF(L440="","",IFERROR(INDEX('Semrush Data'!$A$1:$Z$20000,MATCH(L440,'Semrush Data'!$A$1:$A$20000,0),MATCH("Volume",'Semrush Data'!$A$1:$Z$1,0)),""))</f>
        <v>0</v>
      </c>
      <c r="R440" s="24" t="str">
        <f aca="false">IF(M440="","",IFERROR(INDEX('Semrush Data'!$A$1:$Z$20000,MATCH(M440,'Semrush Data'!$A$1:$A$20000,0),MATCH("Volume",'Semrush Data'!$A$1:$Z$1,0)),""))</f>
        <v/>
      </c>
      <c r="S440" s="24" t="str">
        <f aca="false">IF(N440="","",IFERROR(INDEX('Semrush Data'!$A$1:$Z$20000,MATCH(N440,'Semrush Data'!$A$1:$A$20000,0),MATCH("Volume",'Semrush Data'!$A$1:$Z$1,0)),""))</f>
        <v/>
      </c>
      <c r="T440" s="24" t="str">
        <f aca="false">IF(O440="","",IFERROR(INDEX('Semrush Data'!$A$1:$Z$20000,MATCH(O440,'Semrush Data'!$A$1:$A$20000,0),MATCH("Volume",'Semrush Data'!$A$1:$Z$1,0)),""))</f>
        <v/>
      </c>
      <c r="U440" s="24" t="str">
        <f aca="false">IF(P440="","",IFERROR(INDEX('Semrush Data'!$A$1:$Z$20000,MATCH(P440,'Semrush Data'!$A$1:$A$20000,0),MATCH("Volume",'Semrush Data'!$A$1:$Z$1,0)),""))</f>
        <v/>
      </c>
      <c r="V440" s="25" t="str">
        <f aca="false">IF(COUNT(Q440:U440)=0,L440,IF(MAX(Q440:U440)=0,L440,INDEX(L440:P440,MATCH(MAX(Q440:U440),Q440:U440,0))))</f>
        <v>korloff miss korloff</v>
      </c>
      <c r="W440" s="24" t="n">
        <f aca="false">IFERROR(INDEX('Semrush Data'!$A$1:$Z$20000,MATCH(V440,'Semrush Data'!$A$1:$A$20000,0),MATCH("Volume",'Semrush Data'!$A$1:$Z$1,0)),"")</f>
        <v>0</v>
      </c>
      <c r="X440" s="24" t="n">
        <f aca="false">IFERROR(INDEX('Semrush Data'!$A$1:$Z$20000,MATCH(V440,'Semrush Data'!$A$1:$A$20000,0),MATCH("Keyword Difficulty*",'Semrush Data'!$A$1:$Z$1,0)),"")</f>
        <v>6</v>
      </c>
      <c r="Y440" s="26" t="n">
        <f aca="false">IFERROR(INDEX('Semrush Data'!$A$1:$Z$20000,MATCH(V440,'Semrush Data'!$A$1:$A$20000,0),MATCH("CPC*",'Semrush Data'!$A$1:$Z$1,0)),"")</f>
        <v>0</v>
      </c>
      <c r="Z440" s="23" t="s">
        <v>5265</v>
      </c>
      <c r="AA440" s="23"/>
      <c r="AB440" s="23" t="s">
        <v>5325</v>
      </c>
      <c r="AC440" s="23" t="s">
        <v>5326</v>
      </c>
      <c r="AD440" s="27" t="n">
        <f aca="false">LEN(AC440)</f>
        <v>53</v>
      </c>
      <c r="AE440" s="23" t="s">
        <v>5327</v>
      </c>
      <c r="AF440" s="27" t="n">
        <f aca="false">LEN(AE440)</f>
        <v>146</v>
      </c>
    </row>
    <row r="441" customFormat="false" ht="15" hidden="false" customHeight="true" outlineLevel="0" collapsed="false">
      <c r="A441" s="23" t="s">
        <v>5328</v>
      </c>
      <c r="B441" s="23" t="s">
        <v>2449</v>
      </c>
      <c r="C441" s="23" t="n">
        <v>281</v>
      </c>
      <c r="D441" s="23" t="s">
        <v>5258</v>
      </c>
      <c r="E441" s="23"/>
      <c r="F441" s="23" t="s">
        <v>2452</v>
      </c>
      <c r="G441" s="23" t="s">
        <v>2453</v>
      </c>
      <c r="H441" s="23" t="s">
        <v>3919</v>
      </c>
      <c r="I441" s="23" t="s">
        <v>5329</v>
      </c>
      <c r="J441" s="23" t="s">
        <v>5284</v>
      </c>
      <c r="K441" s="23" t="n">
        <v>47.99</v>
      </c>
      <c r="L441" s="23" t="s">
        <v>5330</v>
      </c>
      <c r="M441" s="23" t="s">
        <v>5331</v>
      </c>
      <c r="N441" s="23" t="s">
        <v>5332</v>
      </c>
      <c r="O441" s="23" t="s">
        <v>5333</v>
      </c>
      <c r="P441" s="23" t="s">
        <v>5334</v>
      </c>
      <c r="Q441" s="24" t="n">
        <f aca="false">IF(L441="","",IFERROR(INDEX('Semrush Data'!$A$1:$Z$20000,MATCH(L441,'Semrush Data'!$A$1:$A$20000,0),MATCH("Volume",'Semrush Data'!$A$1:$Z$1,0)),""))</f>
        <v>0</v>
      </c>
      <c r="R441" s="24" t="str">
        <f aca="false">IF(M441="","",IFERROR(INDEX('Semrush Data'!$A$1:$Z$20000,MATCH(M441,'Semrush Data'!$A$1:$A$20000,0),MATCH("Volume",'Semrush Data'!$A$1:$Z$1,0)),""))</f>
        <v/>
      </c>
      <c r="S441" s="24" t="str">
        <f aca="false">IF(N441="","",IFERROR(INDEX('Semrush Data'!$A$1:$Z$20000,MATCH(N441,'Semrush Data'!$A$1:$A$20000,0),MATCH("Volume",'Semrush Data'!$A$1:$Z$1,0)),""))</f>
        <v/>
      </c>
      <c r="T441" s="24" t="str">
        <f aca="false">IF(O441="","",IFERROR(INDEX('Semrush Data'!$A$1:$Z$20000,MATCH(O441,'Semrush Data'!$A$1:$A$20000,0),MATCH("Volume",'Semrush Data'!$A$1:$Z$1,0)),""))</f>
        <v/>
      </c>
      <c r="U441" s="24" t="str">
        <f aca="false">IF(P441="","",IFERROR(INDEX('Semrush Data'!$A$1:$Z$20000,MATCH(P441,'Semrush Data'!$A$1:$A$20000,0),MATCH("Volume",'Semrush Data'!$A$1:$Z$1,0)),""))</f>
        <v/>
      </c>
      <c r="V441" s="25" t="str">
        <f aca="false">IF(COUNT(Q441:U441)=0,L441,IF(MAX(Q441:U441)=0,L441,INDEX(L441:P441,MATCH(MAX(Q441:U441),Q441:U441,0))))</f>
        <v>korloff royal oud korloff paris</v>
      </c>
      <c r="W441" s="24" t="n">
        <f aca="false">IFERROR(INDEX('Semrush Data'!$A$1:$Z$20000,MATCH(V441,'Semrush Data'!$A$1:$A$20000,0),MATCH("Volume",'Semrush Data'!$A$1:$Z$1,0)),"")</f>
        <v>0</v>
      </c>
      <c r="X441" s="24" t="n">
        <f aca="false">IFERROR(INDEX('Semrush Data'!$A$1:$Z$20000,MATCH(V441,'Semrush Data'!$A$1:$A$20000,0),MATCH("Keyword Difficulty*",'Semrush Data'!$A$1:$Z$1,0)),"")</f>
        <v>14</v>
      </c>
      <c r="Y441" s="26" t="n">
        <f aca="false">IFERROR(INDEX('Semrush Data'!$A$1:$Z$20000,MATCH(V441,'Semrush Data'!$A$1:$A$20000,0),MATCH("CPC*",'Semrush Data'!$A$1:$Z$1,0)),"")</f>
        <v>0</v>
      </c>
      <c r="Z441" s="23" t="s">
        <v>5335</v>
      </c>
      <c r="AA441" s="23" t="s">
        <v>5336</v>
      </c>
      <c r="AB441" s="23" t="s">
        <v>5337</v>
      </c>
      <c r="AC441" s="23" t="s">
        <v>5338</v>
      </c>
      <c r="AD441" s="27" t="n">
        <f aca="false">LEN(AC441)</f>
        <v>59</v>
      </c>
      <c r="AE441" s="23" t="s">
        <v>5339</v>
      </c>
      <c r="AF441" s="27" t="n">
        <f aca="false">LEN(AE441)</f>
        <v>155</v>
      </c>
    </row>
    <row r="442" customFormat="false" ht="15" hidden="false" customHeight="true" outlineLevel="0" collapsed="false">
      <c r="A442" s="23" t="s">
        <v>5340</v>
      </c>
      <c r="B442" s="23" t="s">
        <v>2449</v>
      </c>
      <c r="C442" s="23" t="n">
        <v>282</v>
      </c>
      <c r="D442" s="23" t="s">
        <v>5258</v>
      </c>
      <c r="E442" s="23"/>
      <c r="F442" s="23" t="s">
        <v>1735</v>
      </c>
      <c r="G442" s="23" t="s">
        <v>2453</v>
      </c>
      <c r="H442" s="23" t="s">
        <v>2538</v>
      </c>
      <c r="I442" s="23" t="s">
        <v>5341</v>
      </c>
      <c r="J442" s="23" t="s">
        <v>5342</v>
      </c>
      <c r="K442" s="23" t="n">
        <v>19.99</v>
      </c>
      <c r="L442" s="23" t="s">
        <v>5343</v>
      </c>
      <c r="M442" s="23" t="s">
        <v>5344</v>
      </c>
      <c r="N442" s="23" t="s">
        <v>5345</v>
      </c>
      <c r="O442" s="23" t="s">
        <v>5346</v>
      </c>
      <c r="P442" s="23"/>
      <c r="Q442" s="24" t="n">
        <f aca="false">IF(L442="","",IFERROR(INDEX('Semrush Data'!$A$1:$Z$20000,MATCH(L442,'Semrush Data'!$A$1:$A$20000,0),MATCH("Volume",'Semrush Data'!$A$1:$Z$1,0)),""))</f>
        <v>0</v>
      </c>
      <c r="R442" s="24" t="str">
        <f aca="false">IF(M442="","",IFERROR(INDEX('Semrush Data'!$A$1:$Z$20000,MATCH(M442,'Semrush Data'!$A$1:$A$20000,0),MATCH("Volume",'Semrush Data'!$A$1:$Z$1,0)),""))</f>
        <v/>
      </c>
      <c r="S442" s="24" t="str">
        <f aca="false">IF(N442="","",IFERROR(INDEX('Semrush Data'!$A$1:$Z$20000,MATCH(N442,'Semrush Data'!$A$1:$A$20000,0),MATCH("Volume",'Semrush Data'!$A$1:$Z$1,0)),""))</f>
        <v/>
      </c>
      <c r="T442" s="24" t="str">
        <f aca="false">IF(O442="","",IFERROR(INDEX('Semrush Data'!$A$1:$Z$20000,MATCH(O442,'Semrush Data'!$A$1:$A$20000,0),MATCH("Volume",'Semrush Data'!$A$1:$Z$1,0)),""))</f>
        <v/>
      </c>
      <c r="U442" s="24" t="str">
        <f aca="false">IF(P442="","",IFERROR(INDEX('Semrush Data'!$A$1:$Z$20000,MATCH(P442,'Semrush Data'!$A$1:$A$20000,0),MATCH("Volume",'Semrush Data'!$A$1:$Z$1,0)),""))</f>
        <v/>
      </c>
      <c r="V442" s="25" t="str">
        <f aca="false">IF(COUNT(Q442:U442)=0,L442,IF(MAX(Q442:U442)=0,L442,INDEX(L442:P442,MATCH(MAX(Q442:U442),Q442:U442,0))))</f>
        <v>korloff paris discovery set</v>
      </c>
      <c r="W442" s="24" t="n">
        <f aca="false">IFERROR(INDEX('Semrush Data'!$A$1:$Z$20000,MATCH(V442,'Semrush Data'!$A$1:$A$20000,0),MATCH("Volume",'Semrush Data'!$A$1:$Z$1,0)),"")</f>
        <v>0</v>
      </c>
      <c r="X442" s="24" t="n">
        <f aca="false">IFERROR(INDEX('Semrush Data'!$A$1:$Z$20000,MATCH(V442,'Semrush Data'!$A$1:$A$20000,0),MATCH("Keyword Difficulty*",'Semrush Data'!$A$1:$Z$1,0)),"")</f>
        <v>16</v>
      </c>
      <c r="Y442" s="26" t="n">
        <f aca="false">IFERROR(INDEX('Semrush Data'!$A$1:$Z$20000,MATCH(V442,'Semrush Data'!$A$1:$A$20000,0),MATCH("CPC*",'Semrush Data'!$A$1:$Z$1,0)),"")</f>
        <v>0</v>
      </c>
      <c r="Z442" s="23" t="s">
        <v>5265</v>
      </c>
      <c r="AA442" s="23"/>
      <c r="AB442" s="23" t="s">
        <v>5341</v>
      </c>
      <c r="AC442" s="23" t="s">
        <v>5347</v>
      </c>
      <c r="AD442" s="27" t="n">
        <f aca="false">LEN(AC442)</f>
        <v>59</v>
      </c>
      <c r="AE442" s="23" t="s">
        <v>5348</v>
      </c>
      <c r="AF442" s="27" t="n">
        <f aca="false">LEN(AE442)</f>
        <v>156</v>
      </c>
    </row>
    <row r="443" customFormat="false" ht="15" hidden="false" customHeight="true" outlineLevel="0" collapsed="false">
      <c r="A443" s="23" t="s">
        <v>5349</v>
      </c>
      <c r="B443" s="23" t="s">
        <v>2449</v>
      </c>
      <c r="C443" s="23" t="n">
        <v>283</v>
      </c>
      <c r="D443" s="23" t="s">
        <v>5350</v>
      </c>
      <c r="E443" s="23"/>
      <c r="F443" s="23" t="s">
        <v>2452</v>
      </c>
      <c r="G443" s="23" t="s">
        <v>2453</v>
      </c>
      <c r="H443" s="23" t="s">
        <v>2538</v>
      </c>
      <c r="I443" s="23" t="s">
        <v>5351</v>
      </c>
      <c r="J443" s="23" t="s">
        <v>1994</v>
      </c>
      <c r="K443" s="23" t="n">
        <v>19.99</v>
      </c>
      <c r="L443" s="23" t="s">
        <v>5352</v>
      </c>
      <c r="M443" s="23" t="s">
        <v>5353</v>
      </c>
      <c r="N443" s="23" t="s">
        <v>5354</v>
      </c>
      <c r="O443" s="23" t="s">
        <v>5355</v>
      </c>
      <c r="P443" s="23" t="s">
        <v>5356</v>
      </c>
      <c r="Q443" s="24" t="n">
        <f aca="false">IF(L443="","",IFERROR(INDEX('Semrush Data'!$A$1:$Z$20000,MATCH(L443,'Semrush Data'!$A$1:$A$20000,0),MATCH("Volume",'Semrush Data'!$A$1:$Z$1,0)),""))</f>
        <v>20</v>
      </c>
      <c r="R443" s="24" t="str">
        <f aca="false">IF(M443="","",IFERROR(INDEX('Semrush Data'!$A$1:$Z$20000,MATCH(M443,'Semrush Data'!$A$1:$A$20000,0),MATCH("Volume",'Semrush Data'!$A$1:$Z$1,0)),""))</f>
        <v/>
      </c>
      <c r="S443" s="24" t="str">
        <f aca="false">IF(N443="","",IFERROR(INDEX('Semrush Data'!$A$1:$Z$20000,MATCH(N443,'Semrush Data'!$A$1:$A$20000,0),MATCH("Volume",'Semrush Data'!$A$1:$Z$1,0)),""))</f>
        <v/>
      </c>
      <c r="T443" s="24" t="str">
        <f aca="false">IF(O443="","",IFERROR(INDEX('Semrush Data'!$A$1:$Z$20000,MATCH(O443,'Semrush Data'!$A$1:$A$20000,0),MATCH("Volume",'Semrush Data'!$A$1:$Z$1,0)),""))</f>
        <v/>
      </c>
      <c r="U443" s="24" t="str">
        <f aca="false">IF(P443="","",IFERROR(INDEX('Semrush Data'!$A$1:$Z$20000,MATCH(P443,'Semrush Data'!$A$1:$A$20000,0),MATCH("Volume",'Semrush Data'!$A$1:$Z$1,0)),""))</f>
        <v/>
      </c>
      <c r="V443" s="25" t="str">
        <f aca="false">IF(COUNT(Q443:U443)=0,L443,IF(MAX(Q443:U443)=0,L443,INDEX(L443:P443,MATCH(MAX(Q443:U443),Q443:U443,0))))</f>
        <v>la maison de la vanille absolu de vanille</v>
      </c>
      <c r="W443" s="24" t="n">
        <f aca="false">IFERROR(INDEX('Semrush Data'!$A$1:$Z$20000,MATCH(V443,'Semrush Data'!$A$1:$A$20000,0),MATCH("Volume",'Semrush Data'!$A$1:$Z$1,0)),"")</f>
        <v>20</v>
      </c>
      <c r="X443" s="24" t="n">
        <f aca="false">IFERROR(INDEX('Semrush Data'!$A$1:$Z$20000,MATCH(V443,'Semrush Data'!$A$1:$A$20000,0),MATCH("Keyword Difficulty*",'Semrush Data'!$A$1:$Z$1,0)),"")</f>
        <v>8</v>
      </c>
      <c r="Y443" s="26" t="n">
        <f aca="false">IFERROR(INDEX('Semrush Data'!$A$1:$Z$20000,MATCH(V443,'Semrush Data'!$A$1:$A$20000,0),MATCH("CPC*",'Semrush Data'!$A$1:$Z$1,0)),"")</f>
        <v>0</v>
      </c>
      <c r="Z443" s="23" t="s">
        <v>5357</v>
      </c>
      <c r="AA443" s="23" t="s">
        <v>5358</v>
      </c>
      <c r="AB443" s="23" t="s">
        <v>5359</v>
      </c>
      <c r="AC443" s="23" t="s">
        <v>5360</v>
      </c>
      <c r="AD443" s="27" t="n">
        <f aca="false">LEN(AC443)</f>
        <v>55</v>
      </c>
      <c r="AE443" s="23" t="s">
        <v>5361</v>
      </c>
      <c r="AF443" s="27" t="n">
        <f aca="false">LEN(AE443)</f>
        <v>159</v>
      </c>
    </row>
    <row r="444" customFormat="false" ht="15" hidden="false" customHeight="true" outlineLevel="0" collapsed="false">
      <c r="A444" s="23" t="s">
        <v>5362</v>
      </c>
      <c r="B444" s="23" t="s">
        <v>2449</v>
      </c>
      <c r="C444" s="23" t="n">
        <v>284</v>
      </c>
      <c r="D444" s="23" t="s">
        <v>5350</v>
      </c>
      <c r="E444" s="23"/>
      <c r="F444" s="23" t="s">
        <v>2452</v>
      </c>
      <c r="G444" s="23" t="s">
        <v>2453</v>
      </c>
      <c r="H444" s="23" t="s">
        <v>2538</v>
      </c>
      <c r="I444" s="23" t="s">
        <v>5363</v>
      </c>
      <c r="J444" s="23" t="s">
        <v>1994</v>
      </c>
      <c r="K444" s="23" t="n">
        <v>19.99</v>
      </c>
      <c r="L444" s="23" t="s">
        <v>5364</v>
      </c>
      <c r="M444" s="23" t="s">
        <v>5365</v>
      </c>
      <c r="N444" s="23" t="s">
        <v>5366</v>
      </c>
      <c r="O444" s="23" t="s">
        <v>5367</v>
      </c>
      <c r="P444" s="23" t="s">
        <v>5368</v>
      </c>
      <c r="Q444" s="24" t="n">
        <f aca="false">IF(L444="","",IFERROR(INDEX('Semrush Data'!$A$1:$Z$20000,MATCH(L444,'Semrush Data'!$A$1:$A$20000,0),MATCH("Volume",'Semrush Data'!$A$1:$Z$1,0)),""))</f>
        <v>20</v>
      </c>
      <c r="R444" s="24" t="str">
        <f aca="false">IF(M444="","",IFERROR(INDEX('Semrush Data'!$A$1:$Z$20000,MATCH(M444,'Semrush Data'!$A$1:$A$20000,0),MATCH("Volume",'Semrush Data'!$A$1:$Z$1,0)),""))</f>
        <v/>
      </c>
      <c r="S444" s="24" t="str">
        <f aca="false">IF(N444="","",IFERROR(INDEX('Semrush Data'!$A$1:$Z$20000,MATCH(N444,'Semrush Data'!$A$1:$A$20000,0),MATCH("Volume",'Semrush Data'!$A$1:$Z$1,0)),""))</f>
        <v/>
      </c>
      <c r="T444" s="24" t="str">
        <f aca="false">IF(O444="","",IFERROR(INDEX('Semrush Data'!$A$1:$Z$20000,MATCH(O444,'Semrush Data'!$A$1:$A$20000,0),MATCH("Volume",'Semrush Data'!$A$1:$Z$1,0)),""))</f>
        <v/>
      </c>
      <c r="U444" s="24" t="str">
        <f aca="false">IF(P444="","",IFERROR(INDEX('Semrush Data'!$A$1:$Z$20000,MATCH(P444,'Semrush Data'!$A$1:$A$20000,0),MATCH("Volume",'Semrush Data'!$A$1:$Z$1,0)),""))</f>
        <v/>
      </c>
      <c r="V444" s="25" t="str">
        <f aca="false">IF(COUNT(Q444:U444)=0,L444,IF(MAX(Q444:U444)=0,L444,INDEX(L444:P444,MATCH(MAX(Q444:U444),Q444:U444,0))))</f>
        <v>la maison de la vanille ambre secret</v>
      </c>
      <c r="W444" s="24" t="n">
        <f aca="false">IFERROR(INDEX('Semrush Data'!$A$1:$Z$20000,MATCH(V444,'Semrush Data'!$A$1:$A$20000,0),MATCH("Volume",'Semrush Data'!$A$1:$Z$1,0)),"")</f>
        <v>20</v>
      </c>
      <c r="X444" s="24" t="n">
        <f aca="false">IFERROR(INDEX('Semrush Data'!$A$1:$Z$20000,MATCH(V444,'Semrush Data'!$A$1:$A$20000,0),MATCH("Keyword Difficulty*",'Semrush Data'!$A$1:$Z$1,0)),"")</f>
        <v>3</v>
      </c>
      <c r="Y444" s="26" t="n">
        <f aca="false">IFERROR(INDEX('Semrush Data'!$A$1:$Z$20000,MATCH(V444,'Semrush Data'!$A$1:$A$20000,0),MATCH("CPC*",'Semrush Data'!$A$1:$Z$1,0)),"")</f>
        <v>0</v>
      </c>
      <c r="Z444" s="23" t="s">
        <v>5357</v>
      </c>
      <c r="AA444" s="23" t="s">
        <v>5369</v>
      </c>
      <c r="AB444" s="23" t="s">
        <v>5370</v>
      </c>
      <c r="AC444" s="23" t="s">
        <v>5371</v>
      </c>
      <c r="AD444" s="27" t="n">
        <f aca="false">LEN(AC444)</f>
        <v>60</v>
      </c>
      <c r="AE444" s="23" t="s">
        <v>5372</v>
      </c>
      <c r="AF444" s="27" t="n">
        <f aca="false">LEN(AE444)</f>
        <v>158</v>
      </c>
    </row>
    <row r="445" customFormat="false" ht="15" hidden="false" customHeight="true" outlineLevel="0" collapsed="false">
      <c r="A445" s="23" t="s">
        <v>5373</v>
      </c>
      <c r="B445" s="23" t="s">
        <v>2449</v>
      </c>
      <c r="C445" s="23" t="n">
        <v>285</v>
      </c>
      <c r="D445" s="23" t="s">
        <v>5350</v>
      </c>
      <c r="E445" s="23"/>
      <c r="F445" s="23" t="s">
        <v>2452</v>
      </c>
      <c r="G445" s="23" t="s">
        <v>2453</v>
      </c>
      <c r="H445" s="23" t="s">
        <v>3919</v>
      </c>
      <c r="I445" s="23" t="s">
        <v>5374</v>
      </c>
      <c r="J445" s="23" t="s">
        <v>1994</v>
      </c>
      <c r="K445" s="23" t="n">
        <v>19.99</v>
      </c>
      <c r="L445" s="23" t="s">
        <v>5375</v>
      </c>
      <c r="M445" s="23" t="s">
        <v>5376</v>
      </c>
      <c r="N445" s="23" t="s">
        <v>5377</v>
      </c>
      <c r="O445" s="23" t="s">
        <v>5378</v>
      </c>
      <c r="P445" s="23" t="s">
        <v>5379</v>
      </c>
      <c r="Q445" s="24" t="n">
        <f aca="false">IF(L445="","",IFERROR(INDEX('Semrush Data'!$A$1:$Z$20000,MATCH(L445,'Semrush Data'!$A$1:$A$20000,0),MATCH("Volume",'Semrush Data'!$A$1:$Z$1,0)),""))</f>
        <v>0</v>
      </c>
      <c r="R445" s="24" t="str">
        <f aca="false">IF(M445="","",IFERROR(INDEX('Semrush Data'!$A$1:$Z$20000,MATCH(M445,'Semrush Data'!$A$1:$A$20000,0),MATCH("Volume",'Semrush Data'!$A$1:$Z$1,0)),""))</f>
        <v/>
      </c>
      <c r="S445" s="24" t="str">
        <f aca="false">IF(N445="","",IFERROR(INDEX('Semrush Data'!$A$1:$Z$20000,MATCH(N445,'Semrush Data'!$A$1:$A$20000,0),MATCH("Volume",'Semrush Data'!$A$1:$Z$1,0)),""))</f>
        <v/>
      </c>
      <c r="T445" s="24" t="str">
        <f aca="false">IF(O445="","",IFERROR(INDEX('Semrush Data'!$A$1:$Z$20000,MATCH(O445,'Semrush Data'!$A$1:$A$20000,0),MATCH("Volume",'Semrush Data'!$A$1:$Z$1,0)),""))</f>
        <v/>
      </c>
      <c r="U445" s="24" t="str">
        <f aca="false">IF(P445="","",IFERROR(INDEX('Semrush Data'!$A$1:$Z$20000,MATCH(P445,'Semrush Data'!$A$1:$A$20000,0),MATCH("Volume",'Semrush Data'!$A$1:$Z$1,0)),""))</f>
        <v/>
      </c>
      <c r="V445" s="25" t="str">
        <f aca="false">IF(COUNT(Q445:U445)=0,L445,IF(MAX(Q445:U445)=0,L445,INDEX(L445:P445,MATCH(MAX(Q445:U445),Q445:U445,0))))</f>
        <v>la maison de la vanille royal oud</v>
      </c>
      <c r="W445" s="24" t="n">
        <f aca="false">IFERROR(INDEX('Semrush Data'!$A$1:$Z$20000,MATCH(V445,'Semrush Data'!$A$1:$A$20000,0),MATCH("Volume",'Semrush Data'!$A$1:$Z$1,0)),"")</f>
        <v>0</v>
      </c>
      <c r="X445" s="24" t="n">
        <f aca="false">IFERROR(INDEX('Semrush Data'!$A$1:$Z$20000,MATCH(V445,'Semrush Data'!$A$1:$A$20000,0),MATCH("Keyword Difficulty*",'Semrush Data'!$A$1:$Z$1,0)),"")</f>
        <v>12</v>
      </c>
      <c r="Y445" s="26" t="n">
        <f aca="false">IFERROR(INDEX('Semrush Data'!$A$1:$Z$20000,MATCH(V445,'Semrush Data'!$A$1:$A$20000,0),MATCH("CPC*",'Semrush Data'!$A$1:$Z$1,0)),"")</f>
        <v>0</v>
      </c>
      <c r="Z445" s="23" t="s">
        <v>5380</v>
      </c>
      <c r="AA445" s="23" t="s">
        <v>5381</v>
      </c>
      <c r="AB445" s="23" t="s">
        <v>5382</v>
      </c>
      <c r="AC445" s="23" t="s">
        <v>5383</v>
      </c>
      <c r="AD445" s="27" t="n">
        <f aca="false">LEN(AC445)</f>
        <v>57</v>
      </c>
      <c r="AE445" s="23" t="s">
        <v>5384</v>
      </c>
      <c r="AF445" s="27" t="n">
        <f aca="false">LEN(AE445)</f>
        <v>160</v>
      </c>
    </row>
    <row r="446" customFormat="false" ht="15" hidden="false" customHeight="true" outlineLevel="0" collapsed="false">
      <c r="A446" s="23" t="s">
        <v>5385</v>
      </c>
      <c r="B446" s="23" t="s">
        <v>2449</v>
      </c>
      <c r="C446" s="23" t="n">
        <v>286</v>
      </c>
      <c r="D446" s="23" t="s">
        <v>5350</v>
      </c>
      <c r="E446" s="23"/>
      <c r="F446" s="23" t="s">
        <v>1735</v>
      </c>
      <c r="G446" s="23" t="s">
        <v>2818</v>
      </c>
      <c r="H446" s="23" t="s">
        <v>2538</v>
      </c>
      <c r="I446" s="23" t="s">
        <v>5386</v>
      </c>
      <c r="J446" s="23" t="s">
        <v>2562</v>
      </c>
      <c r="K446" s="23" t="n">
        <v>84.99</v>
      </c>
      <c r="L446" s="23" t="s">
        <v>5387</v>
      </c>
      <c r="M446" s="23" t="s">
        <v>5388</v>
      </c>
      <c r="N446" s="23" t="s">
        <v>5389</v>
      </c>
      <c r="O446" s="23" t="s">
        <v>5390</v>
      </c>
      <c r="P446" s="23" t="s">
        <v>5391</v>
      </c>
      <c r="Q446" s="24" t="n">
        <f aca="false">IF(L446="","",IFERROR(INDEX('Semrush Data'!$A$1:$Z$20000,MATCH(L446,'Semrush Data'!$A$1:$A$20000,0),MATCH("Volume",'Semrush Data'!$A$1:$Z$1,0)),""))</f>
        <v>0</v>
      </c>
      <c r="R446" s="24" t="str">
        <f aca="false">IF(M446="","",IFERROR(INDEX('Semrush Data'!$A$1:$Z$20000,MATCH(M446,'Semrush Data'!$A$1:$A$20000,0),MATCH("Volume",'Semrush Data'!$A$1:$Z$1,0)),""))</f>
        <v/>
      </c>
      <c r="S446" s="24" t="str">
        <f aca="false">IF(N446="","",IFERROR(INDEX('Semrush Data'!$A$1:$Z$20000,MATCH(N446,'Semrush Data'!$A$1:$A$20000,0),MATCH("Volume",'Semrush Data'!$A$1:$Z$1,0)),""))</f>
        <v/>
      </c>
      <c r="T446" s="24" t="str">
        <f aca="false">IF(O446="","",IFERROR(INDEX('Semrush Data'!$A$1:$Z$20000,MATCH(O446,'Semrush Data'!$A$1:$A$20000,0),MATCH("Volume",'Semrush Data'!$A$1:$Z$1,0)),""))</f>
        <v/>
      </c>
      <c r="U446" s="24" t="str">
        <f aca="false">IF(P446="","",IFERROR(INDEX('Semrush Data'!$A$1:$Z$20000,MATCH(P446,'Semrush Data'!$A$1:$A$20000,0),MATCH("Volume",'Semrush Data'!$A$1:$Z$1,0)),""))</f>
        <v/>
      </c>
      <c r="V446" s="25" t="str">
        <f aca="false">IF(COUNT(Q446:U446)=0,L446,IF(MAX(Q446:U446)=0,L446,INDEX(L446:P446,MATCH(MAX(Q446:U446),Q446:U446,0))))</f>
        <v>la maison de la wooden coffret</v>
      </c>
      <c r="W446" s="24" t="n">
        <f aca="false">IFERROR(INDEX('Semrush Data'!$A$1:$Z$20000,MATCH(V446,'Semrush Data'!$A$1:$A$20000,0),MATCH("Volume",'Semrush Data'!$A$1:$Z$1,0)),"")</f>
        <v>0</v>
      </c>
      <c r="X446" s="24" t="n">
        <f aca="false">IFERROR(INDEX('Semrush Data'!$A$1:$Z$20000,MATCH(V446,'Semrush Data'!$A$1:$A$20000,0),MATCH("Keyword Difficulty*",'Semrush Data'!$A$1:$Z$1,0)),"")</f>
        <v>9</v>
      </c>
      <c r="Y446" s="26" t="n">
        <f aca="false">IFERROR(INDEX('Semrush Data'!$A$1:$Z$20000,MATCH(V446,'Semrush Data'!$A$1:$A$20000,0),MATCH("CPC*",'Semrush Data'!$A$1:$Z$1,0)),"")</f>
        <v>0</v>
      </c>
      <c r="Z446" s="23" t="s">
        <v>5357</v>
      </c>
      <c r="AA446" s="23"/>
      <c r="AB446" s="23" t="s">
        <v>5392</v>
      </c>
      <c r="AC446" s="23" t="s">
        <v>5393</v>
      </c>
      <c r="AD446" s="27" t="n">
        <f aca="false">LEN(AC446)</f>
        <v>55</v>
      </c>
      <c r="AE446" s="23" t="s">
        <v>5394</v>
      </c>
      <c r="AF446" s="27" t="n">
        <f aca="false">LEN(AE446)</f>
        <v>157</v>
      </c>
    </row>
    <row r="447" customFormat="false" ht="15" hidden="false" customHeight="true" outlineLevel="0" collapsed="false">
      <c r="A447" s="23" t="s">
        <v>143</v>
      </c>
      <c r="B447" s="23" t="s">
        <v>2449</v>
      </c>
      <c r="C447" s="23" t="n">
        <v>287</v>
      </c>
      <c r="D447" s="23" t="s">
        <v>5395</v>
      </c>
      <c r="E447" s="23"/>
      <c r="F447" s="23" t="s">
        <v>2452</v>
      </c>
      <c r="G447" s="23" t="s">
        <v>2453</v>
      </c>
      <c r="H447" s="23" t="s">
        <v>2454</v>
      </c>
      <c r="I447" s="23" t="s">
        <v>144</v>
      </c>
      <c r="J447" s="23" t="s">
        <v>3111</v>
      </c>
      <c r="K447" s="23" t="n">
        <v>39.99</v>
      </c>
      <c r="L447" s="23" t="s">
        <v>5396</v>
      </c>
      <c r="M447" s="23" t="s">
        <v>5397</v>
      </c>
      <c r="N447" s="23" t="s">
        <v>5398</v>
      </c>
      <c r="O447" s="23" t="s">
        <v>5399</v>
      </c>
      <c r="P447" s="23" t="s">
        <v>5400</v>
      </c>
      <c r="Q447" s="24" t="n">
        <f aca="false">IF(L447="","",IFERROR(INDEX('Semrush Data'!$A$1:$Z$20000,MATCH(L447,'Semrush Data'!$A$1:$A$20000,0),MATCH("Volume",'Semrush Data'!$A$1:$Z$1,0)),""))</f>
        <v>320</v>
      </c>
      <c r="R447" s="24" t="n">
        <f aca="false">IF(M447="","",IFERROR(INDEX('Semrush Data'!$A$1:$Z$20000,MATCH(M447,'Semrush Data'!$A$1:$A$20000,0),MATCH("Volume",'Semrush Data'!$A$1:$Z$1,0)),""))</f>
        <v>0</v>
      </c>
      <c r="S447" s="24" t="str">
        <f aca="false">IF(N447="","",IFERROR(INDEX('Semrush Data'!$A$1:$Z$20000,MATCH(N447,'Semrush Data'!$A$1:$A$20000,0),MATCH("Volume",'Semrush Data'!$A$1:$Z$1,0)),""))</f>
        <v/>
      </c>
      <c r="T447" s="24" t="str">
        <f aca="false">IF(O447="","",IFERROR(INDEX('Semrush Data'!$A$1:$Z$20000,MATCH(O447,'Semrush Data'!$A$1:$A$20000,0),MATCH("Volume",'Semrush Data'!$A$1:$Z$1,0)),""))</f>
        <v/>
      </c>
      <c r="U447" s="24" t="n">
        <f aca="false">IF(P447="","",IFERROR(INDEX('Semrush Data'!$A$1:$Z$20000,MATCH(P447,'Semrush Data'!$A$1:$A$20000,0),MATCH("Volume",'Semrush Data'!$A$1:$Z$1,0)),""))</f>
        <v>50</v>
      </c>
      <c r="V447" s="25" t="str">
        <f aca="false">IF(COUNT(Q447:U447)=0,L447,IF(MAX(Q447:U447)=0,L447,INDEX(L447:P447,MATCH(MAX(Q447:U447),Q447:U447,0))))</f>
        <v>lancome idole nectar</v>
      </c>
      <c r="W447" s="24" t="n">
        <f aca="false">IFERROR(INDEX('Semrush Data'!$A$1:$Z$20000,MATCH(V447,'Semrush Data'!$A$1:$A$20000,0),MATCH("Volume",'Semrush Data'!$A$1:$Z$1,0)),"")</f>
        <v>320</v>
      </c>
      <c r="X447" s="24" t="n">
        <f aca="false">IFERROR(INDEX('Semrush Data'!$A$1:$Z$20000,MATCH(V447,'Semrush Data'!$A$1:$A$20000,0),MATCH("Keyword Difficulty*",'Semrush Data'!$A$1:$Z$1,0)),"")</f>
        <v>16</v>
      </c>
      <c r="Y447" s="26" t="n">
        <f aca="false">IFERROR(INDEX('Semrush Data'!$A$1:$Z$20000,MATCH(V447,'Semrush Data'!$A$1:$A$20000,0),MATCH("CPC*",'Semrush Data'!$A$1:$Z$1,0)),"")</f>
        <v>0.63</v>
      </c>
      <c r="Z447" s="23" t="s">
        <v>5401</v>
      </c>
      <c r="AA447" s="23" t="s">
        <v>5402</v>
      </c>
      <c r="AB447" s="23" t="s">
        <v>5403</v>
      </c>
      <c r="AC447" s="23" t="s">
        <v>5404</v>
      </c>
      <c r="AD447" s="27" t="n">
        <f aca="false">LEN(AC447)</f>
        <v>56</v>
      </c>
      <c r="AE447" s="23" t="s">
        <v>5405</v>
      </c>
      <c r="AF447" s="27" t="n">
        <f aca="false">LEN(AE447)</f>
        <v>155</v>
      </c>
    </row>
    <row r="448" customFormat="false" ht="15" hidden="false" customHeight="true" outlineLevel="0" collapsed="false">
      <c r="A448" s="23" t="s">
        <v>5406</v>
      </c>
      <c r="B448" s="23" t="s">
        <v>2449</v>
      </c>
      <c r="C448" s="23" t="n">
        <v>288</v>
      </c>
      <c r="D448" s="23" t="s">
        <v>5395</v>
      </c>
      <c r="E448" s="23"/>
      <c r="F448" s="23" t="s">
        <v>2452</v>
      </c>
      <c r="G448" s="23" t="s">
        <v>2453</v>
      </c>
      <c r="H448" s="23" t="s">
        <v>2454</v>
      </c>
      <c r="I448" s="23" t="s">
        <v>5407</v>
      </c>
      <c r="J448" s="23" t="s">
        <v>1468</v>
      </c>
      <c r="K448" s="23" t="n">
        <v>55.99</v>
      </c>
      <c r="L448" s="23" t="s">
        <v>5408</v>
      </c>
      <c r="M448" s="23" t="s">
        <v>5409</v>
      </c>
      <c r="N448" s="23" t="s">
        <v>5410</v>
      </c>
      <c r="O448" s="23" t="s">
        <v>5411</v>
      </c>
      <c r="P448" s="23" t="s">
        <v>5412</v>
      </c>
      <c r="Q448" s="24" t="n">
        <f aca="false">IF(L448="","",IFERROR(INDEX('Semrush Data'!$A$1:$Z$20000,MATCH(L448,'Semrush Data'!$A$1:$A$20000,0),MATCH("Volume",'Semrush Data'!$A$1:$Z$1,0)),""))</f>
        <v>20</v>
      </c>
      <c r="R448" s="24" t="str">
        <f aca="false">IF(M448="","",IFERROR(INDEX('Semrush Data'!$A$1:$Z$20000,MATCH(M448,'Semrush Data'!$A$1:$A$20000,0),MATCH("Volume",'Semrush Data'!$A$1:$Z$1,0)),""))</f>
        <v/>
      </c>
      <c r="S448" s="24" t="str">
        <f aca="false">IF(N448="","",IFERROR(INDEX('Semrush Data'!$A$1:$Z$20000,MATCH(N448,'Semrush Data'!$A$1:$A$20000,0),MATCH("Volume",'Semrush Data'!$A$1:$Z$1,0)),""))</f>
        <v/>
      </c>
      <c r="T448" s="24" t="str">
        <f aca="false">IF(O448="","",IFERROR(INDEX('Semrush Data'!$A$1:$Z$20000,MATCH(O448,'Semrush Data'!$A$1:$A$20000,0),MATCH("Volume",'Semrush Data'!$A$1:$Z$1,0)),""))</f>
        <v/>
      </c>
      <c r="U448" s="24" t="str">
        <f aca="false">IF(P448="","",IFERROR(INDEX('Semrush Data'!$A$1:$Z$20000,MATCH(P448,'Semrush Data'!$A$1:$A$20000,0),MATCH("Volume",'Semrush Data'!$A$1:$Z$1,0)),""))</f>
        <v/>
      </c>
      <c r="V448" s="25" t="str">
        <f aca="false">IF(COUNT(Q448:U448)=0,L448,IF(MAX(Q448:U448)=0,L448,INDEX(L448:P448,MATCH(MAX(Q448:U448),Q448:U448,0))))</f>
        <v>lancome idole now florale</v>
      </c>
      <c r="W448" s="24" t="n">
        <f aca="false">IFERROR(INDEX('Semrush Data'!$A$1:$Z$20000,MATCH(V448,'Semrush Data'!$A$1:$A$20000,0),MATCH("Volume",'Semrush Data'!$A$1:$Z$1,0)),"")</f>
        <v>20</v>
      </c>
      <c r="X448" s="24" t="n">
        <f aca="false">IFERROR(INDEX('Semrush Data'!$A$1:$Z$20000,MATCH(V448,'Semrush Data'!$A$1:$A$20000,0),MATCH("Keyword Difficulty*",'Semrush Data'!$A$1:$Z$1,0)),"")</f>
        <v>17</v>
      </c>
      <c r="Y448" s="26" t="n">
        <f aca="false">IFERROR(INDEX('Semrush Data'!$A$1:$Z$20000,MATCH(V448,'Semrush Data'!$A$1:$A$20000,0),MATCH("CPC*",'Semrush Data'!$A$1:$Z$1,0)),"")</f>
        <v>0</v>
      </c>
      <c r="Z448" s="23" t="s">
        <v>5401</v>
      </c>
      <c r="AA448" s="23" t="s">
        <v>5413</v>
      </c>
      <c r="AB448" s="23" t="s">
        <v>5414</v>
      </c>
      <c r="AC448" s="23" t="s">
        <v>5415</v>
      </c>
      <c r="AD448" s="27" t="n">
        <f aca="false">LEN(AC448)</f>
        <v>53</v>
      </c>
      <c r="AE448" s="23" t="s">
        <v>5416</v>
      </c>
      <c r="AF448" s="27" t="n">
        <f aca="false">LEN(AE448)</f>
        <v>160</v>
      </c>
    </row>
    <row r="449" customFormat="false" ht="15" hidden="false" customHeight="true" outlineLevel="0" collapsed="false">
      <c r="A449" s="23" t="s">
        <v>5417</v>
      </c>
      <c r="B449" s="23" t="s">
        <v>2449</v>
      </c>
      <c r="C449" s="23" t="n">
        <v>289</v>
      </c>
      <c r="D449" s="23" t="s">
        <v>5418</v>
      </c>
      <c r="E449" s="23"/>
      <c r="F449" s="23" t="s">
        <v>2452</v>
      </c>
      <c r="G449" s="23" t="s">
        <v>2453</v>
      </c>
      <c r="H449" s="23" t="s">
        <v>3919</v>
      </c>
      <c r="I449" s="23" t="s">
        <v>5419</v>
      </c>
      <c r="J449" s="23" t="s">
        <v>5420</v>
      </c>
      <c r="K449" s="23" t="n">
        <v>69.99</v>
      </c>
      <c r="L449" s="23" t="s">
        <v>5421</v>
      </c>
      <c r="M449" s="23" t="s">
        <v>5422</v>
      </c>
      <c r="N449" s="23" t="s">
        <v>5423</v>
      </c>
      <c r="O449" s="23" t="s">
        <v>5424</v>
      </c>
      <c r="P449" s="23" t="s">
        <v>5425</v>
      </c>
      <c r="Q449" s="24" t="n">
        <f aca="false">IF(L449="","",IFERROR(INDEX('Semrush Data'!$A$1:$Z$20000,MATCH(L449,'Semrush Data'!$A$1:$A$20000,0),MATCH("Volume",'Semrush Data'!$A$1:$Z$1,0)),""))</f>
        <v>50</v>
      </c>
      <c r="R449" s="24" t="str">
        <f aca="false">IF(M449="","",IFERROR(INDEX('Semrush Data'!$A$1:$Z$20000,MATCH(M449,'Semrush Data'!$A$1:$A$20000,0),MATCH("Volume",'Semrush Data'!$A$1:$Z$1,0)),""))</f>
        <v/>
      </c>
      <c r="S449" s="24" t="str">
        <f aca="false">IF(N449="","",IFERROR(INDEX('Semrush Data'!$A$1:$Z$20000,MATCH(N449,'Semrush Data'!$A$1:$A$20000,0),MATCH("Volume",'Semrush Data'!$A$1:$Z$1,0)),""))</f>
        <v/>
      </c>
      <c r="T449" s="24" t="str">
        <f aca="false">IF(O449="","",IFERROR(INDEX('Semrush Data'!$A$1:$Z$20000,MATCH(O449,'Semrush Data'!$A$1:$A$20000,0),MATCH("Volume",'Semrush Data'!$A$1:$Z$1,0)),""))</f>
        <v/>
      </c>
      <c r="U449" s="24" t="str">
        <f aca="false">IF(P449="","",IFERROR(INDEX('Semrush Data'!$A$1:$Z$20000,MATCH(P449,'Semrush Data'!$A$1:$A$20000,0),MATCH("Volume",'Semrush Data'!$A$1:$Z$1,0)),""))</f>
        <v/>
      </c>
      <c r="V449" s="25" t="str">
        <f aca="false">IF(COUNT(Q449:U449)=0,L449,IF(MAX(Q449:U449)=0,L449,INDEX(L449:P449,MATCH(MAX(Q449:U449),Q449:U449,0))))</f>
        <v>mancera black noir</v>
      </c>
      <c r="W449" s="24" t="n">
        <f aca="false">IFERROR(INDEX('Semrush Data'!$A$1:$Z$20000,MATCH(V449,'Semrush Data'!$A$1:$A$20000,0),MATCH("Volume",'Semrush Data'!$A$1:$Z$1,0)),"")</f>
        <v>50</v>
      </c>
      <c r="X449" s="24" t="n">
        <f aca="false">IFERROR(INDEX('Semrush Data'!$A$1:$Z$20000,MATCH(V449,'Semrush Data'!$A$1:$A$20000,0),MATCH("Keyword Difficulty*",'Semrush Data'!$A$1:$Z$1,0)),"")</f>
        <v>20</v>
      </c>
      <c r="Y449" s="26" t="n">
        <f aca="false">IFERROR(INDEX('Semrush Data'!$A$1:$Z$20000,MATCH(V449,'Semrush Data'!$A$1:$A$20000,0),MATCH("CPC*",'Semrush Data'!$A$1:$Z$1,0)),"")</f>
        <v>0</v>
      </c>
      <c r="Z449" s="23" t="s">
        <v>5426</v>
      </c>
      <c r="AA449" s="23" t="s">
        <v>5427</v>
      </c>
      <c r="AB449" s="23" t="s">
        <v>5428</v>
      </c>
      <c r="AC449" s="23" t="s">
        <v>5429</v>
      </c>
      <c r="AD449" s="27" t="n">
        <f aca="false">LEN(AC449)</f>
        <v>59</v>
      </c>
      <c r="AE449" s="23" t="s">
        <v>5430</v>
      </c>
      <c r="AF449" s="27" t="n">
        <f aca="false">LEN(AE449)</f>
        <v>151</v>
      </c>
    </row>
    <row r="450" customFormat="false" ht="15" hidden="false" customHeight="true" outlineLevel="0" collapsed="false">
      <c r="A450" s="23" t="s">
        <v>5431</v>
      </c>
      <c r="B450" s="23" t="s">
        <v>2449</v>
      </c>
      <c r="C450" s="23" t="n">
        <v>290</v>
      </c>
      <c r="D450" s="23" t="s">
        <v>5418</v>
      </c>
      <c r="E450" s="23"/>
      <c r="F450" s="23" t="s">
        <v>2452</v>
      </c>
      <c r="G450" s="23" t="s">
        <v>2735</v>
      </c>
      <c r="H450" s="23" t="s">
        <v>5432</v>
      </c>
      <c r="I450" s="23" t="s">
        <v>5433</v>
      </c>
      <c r="J450" s="23" t="s">
        <v>5420</v>
      </c>
      <c r="K450" s="23" t="n">
        <v>79.99</v>
      </c>
      <c r="L450" s="23" t="s">
        <v>5434</v>
      </c>
      <c r="M450" s="23" t="s">
        <v>5435</v>
      </c>
      <c r="N450" s="23" t="s">
        <v>5436</v>
      </c>
      <c r="O450" s="23" t="s">
        <v>5437</v>
      </c>
      <c r="P450" s="23" t="s">
        <v>5438</v>
      </c>
      <c r="Q450" s="24" t="n">
        <f aca="false">IF(L450="","",IFERROR(INDEX('Semrush Data'!$A$1:$Z$20000,MATCH(L450,'Semrush Data'!$A$1:$A$20000,0),MATCH("Volume",'Semrush Data'!$A$1:$Z$1,0)),""))</f>
        <v>90</v>
      </c>
      <c r="R450" s="24" t="n">
        <f aca="false">IF(M450="","",IFERROR(INDEX('Semrush Data'!$A$1:$Z$20000,MATCH(M450,'Semrush Data'!$A$1:$A$20000,0),MATCH("Volume",'Semrush Data'!$A$1:$Z$1,0)),""))</f>
        <v>0</v>
      </c>
      <c r="S450" s="24" t="str">
        <f aca="false">IF(N450="","",IFERROR(INDEX('Semrush Data'!$A$1:$Z$20000,MATCH(N450,'Semrush Data'!$A$1:$A$20000,0),MATCH("Volume",'Semrush Data'!$A$1:$Z$1,0)),""))</f>
        <v/>
      </c>
      <c r="T450" s="24" t="str">
        <f aca="false">IF(O450="","",IFERROR(INDEX('Semrush Data'!$A$1:$Z$20000,MATCH(O450,'Semrush Data'!$A$1:$A$20000,0),MATCH("Volume",'Semrush Data'!$A$1:$Z$1,0)),""))</f>
        <v/>
      </c>
      <c r="U450" s="24" t="n">
        <f aca="false">IF(P450="","",IFERROR(INDEX('Semrush Data'!$A$1:$Z$20000,MATCH(P450,'Semrush Data'!$A$1:$A$20000,0),MATCH("Volume",'Semrush Data'!$A$1:$Z$1,0)),""))</f>
        <v>30</v>
      </c>
      <c r="V450" s="25" t="str">
        <f aca="false">IF(COUNT(Q450:U450)=0,L450,IF(MAX(Q450:U450)=0,L450,INDEX(L450:P450,MATCH(MAX(Q450:U450),Q450:U450,0))))</f>
        <v>mancera intense red tobacco</v>
      </c>
      <c r="W450" s="24" t="n">
        <f aca="false">IFERROR(INDEX('Semrush Data'!$A$1:$Z$20000,MATCH(V450,'Semrush Data'!$A$1:$A$20000,0),MATCH("Volume",'Semrush Data'!$A$1:$Z$1,0)),"")</f>
        <v>90</v>
      </c>
      <c r="X450" s="24" t="n">
        <f aca="false">IFERROR(INDEX('Semrush Data'!$A$1:$Z$20000,MATCH(V450,'Semrush Data'!$A$1:$A$20000,0),MATCH("Keyword Difficulty*",'Semrush Data'!$A$1:$Z$1,0)),"")</f>
        <v>14</v>
      </c>
      <c r="Y450" s="26" t="n">
        <f aca="false">IFERROR(INDEX('Semrush Data'!$A$1:$Z$20000,MATCH(V450,'Semrush Data'!$A$1:$A$20000,0),MATCH("CPC*",'Semrush Data'!$A$1:$Z$1,0)),"")</f>
        <v>0.49</v>
      </c>
      <c r="Z450" s="23" t="s">
        <v>5439</v>
      </c>
      <c r="AA450" s="23" t="s">
        <v>5440</v>
      </c>
      <c r="AB450" s="23" t="s">
        <v>5441</v>
      </c>
      <c r="AC450" s="23" t="s">
        <v>5442</v>
      </c>
      <c r="AD450" s="27" t="n">
        <f aca="false">LEN(AC450)</f>
        <v>59</v>
      </c>
      <c r="AE450" s="23" t="s">
        <v>5443</v>
      </c>
      <c r="AF450" s="27" t="n">
        <f aca="false">LEN(AE450)</f>
        <v>156</v>
      </c>
    </row>
    <row r="451" customFormat="false" ht="15" hidden="false" customHeight="true" outlineLevel="0" collapsed="false">
      <c r="A451" s="23" t="s">
        <v>77</v>
      </c>
      <c r="B451" s="23" t="s">
        <v>2449</v>
      </c>
      <c r="C451" s="23" t="n">
        <v>291</v>
      </c>
      <c r="D451" s="23" t="s">
        <v>5444</v>
      </c>
      <c r="E451" s="23"/>
      <c r="F451" s="23" t="s">
        <v>2452</v>
      </c>
      <c r="G451" s="23" t="s">
        <v>2453</v>
      </c>
      <c r="H451" s="23" t="s">
        <v>2454</v>
      </c>
      <c r="I451" s="23" t="s">
        <v>78</v>
      </c>
      <c r="J451" s="23" t="s">
        <v>1994</v>
      </c>
      <c r="K451" s="23" t="n">
        <v>35.99</v>
      </c>
      <c r="L451" s="23" t="s">
        <v>5445</v>
      </c>
      <c r="M451" s="23" t="s">
        <v>5446</v>
      </c>
      <c r="N451" s="23" t="s">
        <v>5447</v>
      </c>
      <c r="O451" s="23" t="s">
        <v>5448</v>
      </c>
      <c r="P451" s="23" t="s">
        <v>5449</v>
      </c>
      <c r="Q451" s="24" t="n">
        <f aca="false">IF(L451="","",IFERROR(INDEX('Semrush Data'!$A$1:$Z$20000,MATCH(L451,'Semrush Data'!$A$1:$A$20000,0),MATCH("Volume",'Semrush Data'!$A$1:$Z$1,0)),""))</f>
        <v>2400</v>
      </c>
      <c r="R451" s="24" t="n">
        <f aca="false">IF(M451="","",IFERROR(INDEX('Semrush Data'!$A$1:$Z$20000,MATCH(M451,'Semrush Data'!$A$1:$A$20000,0),MATCH("Volume",'Semrush Data'!$A$1:$Z$1,0)),""))</f>
        <v>20</v>
      </c>
      <c r="S451" s="24" t="n">
        <f aca="false">IF(N451="","",IFERROR(INDEX('Semrush Data'!$A$1:$Z$20000,MATCH(N451,'Semrush Data'!$A$1:$A$20000,0),MATCH("Volume",'Semrush Data'!$A$1:$Z$1,0)),""))</f>
        <v>0</v>
      </c>
      <c r="T451" s="24" t="n">
        <f aca="false">IF(O451="","",IFERROR(INDEX('Semrush Data'!$A$1:$Z$20000,MATCH(O451,'Semrush Data'!$A$1:$A$20000,0),MATCH("Volume",'Semrush Data'!$A$1:$Z$1,0)),""))</f>
        <v>20</v>
      </c>
      <c r="U451" s="24" t="n">
        <f aca="false">IF(P451="","",IFERROR(INDEX('Semrush Data'!$A$1:$Z$20000,MATCH(P451,'Semrush Data'!$A$1:$A$20000,0),MATCH("Volume",'Semrush Data'!$A$1:$Z$1,0)),""))</f>
        <v>50</v>
      </c>
      <c r="V451" s="25" t="str">
        <f aca="false">IF(COUNT(Q451:U451)=0,L451,IF(MAX(Q451:U451)=0,L451,INDEX(L451:P451,MATCH(MAX(Q451:U451),Q451:U451,0))))</f>
        <v>marc jacobs honey</v>
      </c>
      <c r="W451" s="24" t="n">
        <f aca="false">IFERROR(INDEX('Semrush Data'!$A$1:$Z$20000,MATCH(V451,'Semrush Data'!$A$1:$A$20000,0),MATCH("Volume",'Semrush Data'!$A$1:$Z$1,0)),"")</f>
        <v>2400</v>
      </c>
      <c r="X451" s="24" t="n">
        <f aca="false">IFERROR(INDEX('Semrush Data'!$A$1:$Z$20000,MATCH(V451,'Semrush Data'!$A$1:$A$20000,0),MATCH("Keyword Difficulty*",'Semrush Data'!$A$1:$Z$1,0)),"")</f>
        <v>23</v>
      </c>
      <c r="Y451" s="26" t="n">
        <f aca="false">IFERROR(INDEX('Semrush Data'!$A$1:$Z$20000,MATCH(V451,'Semrush Data'!$A$1:$A$20000,0),MATCH("CPC*",'Semrush Data'!$A$1:$Z$1,0)),"")</f>
        <v>0.38</v>
      </c>
      <c r="Z451" s="23" t="s">
        <v>5450</v>
      </c>
      <c r="AA451" s="23" t="s">
        <v>5451</v>
      </c>
      <c r="AB451" s="23" t="s">
        <v>5452</v>
      </c>
      <c r="AC451" s="23" t="s">
        <v>5453</v>
      </c>
      <c r="AD451" s="27" t="n">
        <f aca="false">LEN(AC451)</f>
        <v>58</v>
      </c>
      <c r="AE451" s="23" t="s">
        <v>5454</v>
      </c>
      <c r="AF451" s="27" t="n">
        <f aca="false">LEN(AE451)</f>
        <v>153</v>
      </c>
    </row>
    <row r="452" customFormat="false" ht="15" hidden="false" customHeight="true" outlineLevel="0" collapsed="false">
      <c r="A452" s="23" t="s">
        <v>61</v>
      </c>
      <c r="B452" s="23" t="s">
        <v>2449</v>
      </c>
      <c r="C452" s="23" t="n">
        <v>292</v>
      </c>
      <c r="D452" s="23" t="s">
        <v>5444</v>
      </c>
      <c r="E452" s="23"/>
      <c r="F452" s="23" t="s">
        <v>2452</v>
      </c>
      <c r="G452" s="23" t="s">
        <v>2453</v>
      </c>
      <c r="H452" s="23" t="s">
        <v>2454</v>
      </c>
      <c r="I452" s="23" t="s">
        <v>62</v>
      </c>
      <c r="J452" s="23" t="s">
        <v>1468</v>
      </c>
      <c r="K452" s="23" t="n">
        <v>52.99</v>
      </c>
      <c r="L452" s="23" t="s">
        <v>5455</v>
      </c>
      <c r="M452" s="23" t="s">
        <v>5456</v>
      </c>
      <c r="N452" s="23" t="s">
        <v>5457</v>
      </c>
      <c r="O452" s="23" t="s">
        <v>5458</v>
      </c>
      <c r="P452" s="23" t="s">
        <v>5459</v>
      </c>
      <c r="Q452" s="24" t="n">
        <f aca="false">IF(L452="","",IFERROR(INDEX('Semrush Data'!$A$1:$Z$20000,MATCH(L452,'Semrush Data'!$A$1:$A$20000,0),MATCH("Volume",'Semrush Data'!$A$1:$Z$1,0)),""))</f>
        <v>6600</v>
      </c>
      <c r="R452" s="24" t="n">
        <f aca="false">IF(M452="","",IFERROR(INDEX('Semrush Data'!$A$1:$Z$20000,MATCH(M452,'Semrush Data'!$A$1:$A$20000,0),MATCH("Volume",'Semrush Data'!$A$1:$Z$1,0)),""))</f>
        <v>20</v>
      </c>
      <c r="S452" s="24" t="n">
        <f aca="false">IF(N452="","",IFERROR(INDEX('Semrush Data'!$A$1:$Z$20000,MATCH(N452,'Semrush Data'!$A$1:$A$20000,0),MATCH("Volume",'Semrush Data'!$A$1:$Z$1,0)),""))</f>
        <v>0</v>
      </c>
      <c r="T452" s="24" t="n">
        <f aca="false">IF(O452="","",IFERROR(INDEX('Semrush Data'!$A$1:$Z$20000,MATCH(O452,'Semrush Data'!$A$1:$A$20000,0),MATCH("Volume",'Semrush Data'!$A$1:$Z$1,0)),""))</f>
        <v>20</v>
      </c>
      <c r="U452" s="24" t="n">
        <f aca="false">IF(P452="","",IFERROR(INDEX('Semrush Data'!$A$1:$Z$20000,MATCH(P452,'Semrush Data'!$A$1:$A$20000,0),MATCH("Volume",'Semrush Data'!$A$1:$Z$1,0)),""))</f>
        <v>210</v>
      </c>
      <c r="V452" s="25" t="str">
        <f aca="false">IF(COUNT(Q452:U452)=0,L452,IF(MAX(Q452:U452)=0,L452,INDEX(L452:P452,MATCH(MAX(Q452:U452),Q452:U452,0))))</f>
        <v>marc jacobs perfect</v>
      </c>
      <c r="W452" s="24" t="n">
        <f aca="false">IFERROR(INDEX('Semrush Data'!$A$1:$Z$20000,MATCH(V452,'Semrush Data'!$A$1:$A$20000,0),MATCH("Volume",'Semrush Data'!$A$1:$Z$1,0)),"")</f>
        <v>6600</v>
      </c>
      <c r="X452" s="24" t="n">
        <f aca="false">IFERROR(INDEX('Semrush Data'!$A$1:$Z$20000,MATCH(V452,'Semrush Data'!$A$1:$A$20000,0),MATCH("Keyword Difficulty*",'Semrush Data'!$A$1:$Z$1,0)),"")</f>
        <v>26</v>
      </c>
      <c r="Y452" s="26" t="n">
        <f aca="false">IFERROR(INDEX('Semrush Data'!$A$1:$Z$20000,MATCH(V452,'Semrush Data'!$A$1:$A$20000,0),MATCH("CPC*",'Semrush Data'!$A$1:$Z$1,0)),"")</f>
        <v>0.36</v>
      </c>
      <c r="Z452" s="23" t="s">
        <v>5450</v>
      </c>
      <c r="AA452" s="23" t="s">
        <v>5460</v>
      </c>
      <c r="AB452" s="23" t="s">
        <v>5461</v>
      </c>
      <c r="AC452" s="23" t="s">
        <v>5462</v>
      </c>
      <c r="AD452" s="27" t="n">
        <f aca="false">LEN(AC452)</f>
        <v>60</v>
      </c>
      <c r="AE452" s="23" t="s">
        <v>5463</v>
      </c>
      <c r="AF452" s="27" t="n">
        <f aca="false">LEN(AE452)</f>
        <v>154</v>
      </c>
    </row>
    <row r="453" customFormat="false" ht="15" hidden="false" customHeight="true" outlineLevel="0" collapsed="false">
      <c r="A453" s="23" t="s">
        <v>5464</v>
      </c>
      <c r="B453" s="23" t="s">
        <v>2449</v>
      </c>
      <c r="C453" s="23" t="n">
        <v>293</v>
      </c>
      <c r="D453" s="23" t="s">
        <v>5444</v>
      </c>
      <c r="E453" s="23"/>
      <c r="F453" s="23" t="s">
        <v>2452</v>
      </c>
      <c r="G453" s="23" t="s">
        <v>2453</v>
      </c>
      <c r="H453" s="23" t="s">
        <v>2454</v>
      </c>
      <c r="I453" s="23" t="s">
        <v>5465</v>
      </c>
      <c r="J453" s="23" t="s">
        <v>2814</v>
      </c>
      <c r="K453" s="23" t="n">
        <v>19.99</v>
      </c>
      <c r="L453" s="23" t="s">
        <v>5466</v>
      </c>
      <c r="M453" s="23" t="s">
        <v>5467</v>
      </c>
      <c r="N453" s="23" t="s">
        <v>5468</v>
      </c>
      <c r="O453" s="23" t="s">
        <v>5469</v>
      </c>
      <c r="P453" s="23" t="s">
        <v>5470</v>
      </c>
      <c r="Q453" s="24" t="n">
        <f aca="false">IF(L453="","",IFERROR(INDEX('Semrush Data'!$A$1:$Z$20000,MATCH(L453,'Semrush Data'!$A$1:$A$20000,0),MATCH("Volume",'Semrush Data'!$A$1:$Z$1,0)),""))</f>
        <v>0</v>
      </c>
      <c r="R453" s="24" t="str">
        <f aca="false">IF(M453="","",IFERROR(INDEX('Semrush Data'!$A$1:$Z$20000,MATCH(M453,'Semrush Data'!$A$1:$A$20000,0),MATCH("Volume",'Semrush Data'!$A$1:$Z$1,0)),""))</f>
        <v/>
      </c>
      <c r="S453" s="24" t="str">
        <f aca="false">IF(N453="","",IFERROR(INDEX('Semrush Data'!$A$1:$Z$20000,MATCH(N453,'Semrush Data'!$A$1:$A$20000,0),MATCH("Volume",'Semrush Data'!$A$1:$Z$1,0)),""))</f>
        <v/>
      </c>
      <c r="T453" s="24" t="str">
        <f aca="false">IF(O453="","",IFERROR(INDEX('Semrush Data'!$A$1:$Z$20000,MATCH(O453,'Semrush Data'!$A$1:$A$20000,0),MATCH("Volume",'Semrush Data'!$A$1:$Z$1,0)),""))</f>
        <v/>
      </c>
      <c r="U453" s="24" t="str">
        <f aca="false">IF(P453="","",IFERROR(INDEX('Semrush Data'!$A$1:$Z$20000,MATCH(P453,'Semrush Data'!$A$1:$A$20000,0),MATCH("Volume",'Semrush Data'!$A$1:$Z$1,0)),""))</f>
        <v/>
      </c>
      <c r="V453" s="25" t="str">
        <f aca="false">IF(COUNT(Q453:U453)=0,L453,IF(MAX(Q453:U453)=0,L453,INDEX(L453:P453,MATCH(MAX(Q453:U453),Q453:U453,0))))</f>
        <v>marc jacobs perfect elixir miniature</v>
      </c>
      <c r="W453" s="24" t="n">
        <f aca="false">IFERROR(INDEX('Semrush Data'!$A$1:$Z$20000,MATCH(V453,'Semrush Data'!$A$1:$A$20000,0),MATCH("Volume",'Semrush Data'!$A$1:$Z$1,0)),"")</f>
        <v>0</v>
      </c>
      <c r="X453" s="24" t="n">
        <f aca="false">IFERROR(INDEX('Semrush Data'!$A$1:$Z$20000,MATCH(V453,'Semrush Data'!$A$1:$A$20000,0),MATCH("Keyword Difficulty*",'Semrush Data'!$A$1:$Z$1,0)),"")</f>
        <v>17</v>
      </c>
      <c r="Y453" s="26" t="n">
        <f aca="false">IFERROR(INDEX('Semrush Data'!$A$1:$Z$20000,MATCH(V453,'Semrush Data'!$A$1:$A$20000,0),MATCH("CPC*",'Semrush Data'!$A$1:$Z$1,0)),"")</f>
        <v>0</v>
      </c>
      <c r="Z453" s="23" t="s">
        <v>5450</v>
      </c>
      <c r="AA453" s="23"/>
      <c r="AB453" s="23" t="s">
        <v>5471</v>
      </c>
      <c r="AC453" s="23" t="s">
        <v>5472</v>
      </c>
      <c r="AD453" s="27" t="n">
        <f aca="false">LEN(AC453)</f>
        <v>59</v>
      </c>
      <c r="AE453" s="23" t="s">
        <v>5473</v>
      </c>
      <c r="AF453" s="27" t="n">
        <f aca="false">LEN(AE453)</f>
        <v>159</v>
      </c>
    </row>
    <row r="454" customFormat="false" ht="15" hidden="false" customHeight="true" outlineLevel="0" collapsed="false">
      <c r="A454" s="23" t="s">
        <v>5474</v>
      </c>
      <c r="B454" s="23" t="s">
        <v>2449</v>
      </c>
      <c r="C454" s="23" t="n">
        <v>294</v>
      </c>
      <c r="D454" s="23" t="s">
        <v>5444</v>
      </c>
      <c r="E454" s="23"/>
      <c r="F454" s="23" t="s">
        <v>2452</v>
      </c>
      <c r="G454" s="23" t="s">
        <v>2818</v>
      </c>
      <c r="H454" s="23" t="s">
        <v>2454</v>
      </c>
      <c r="I454" s="23" t="s">
        <v>5475</v>
      </c>
      <c r="J454" s="23" t="s">
        <v>2814</v>
      </c>
      <c r="K454" s="23" t="n">
        <v>19.99</v>
      </c>
      <c r="L454" s="23" t="s">
        <v>5476</v>
      </c>
      <c r="M454" s="23" t="s">
        <v>5477</v>
      </c>
      <c r="N454" s="23" t="s">
        <v>5478</v>
      </c>
      <c r="O454" s="23" t="s">
        <v>5479</v>
      </c>
      <c r="P454" s="23" t="s">
        <v>5480</v>
      </c>
      <c r="Q454" s="24" t="n">
        <f aca="false">IF(L454="","",IFERROR(INDEX('Semrush Data'!$A$1:$Z$20000,MATCH(L454,'Semrush Data'!$A$1:$A$20000,0),MATCH("Volume",'Semrush Data'!$A$1:$Z$1,0)),""))</f>
        <v>0</v>
      </c>
      <c r="R454" s="24" t="str">
        <f aca="false">IF(M454="","",IFERROR(INDEX('Semrush Data'!$A$1:$Z$20000,MATCH(M454,'Semrush Data'!$A$1:$A$20000,0),MATCH("Volume",'Semrush Data'!$A$1:$Z$1,0)),""))</f>
        <v/>
      </c>
      <c r="S454" s="24" t="str">
        <f aca="false">IF(N454="","",IFERROR(INDEX('Semrush Data'!$A$1:$Z$20000,MATCH(N454,'Semrush Data'!$A$1:$A$20000,0),MATCH("Volume",'Semrush Data'!$A$1:$Z$1,0)),""))</f>
        <v/>
      </c>
      <c r="T454" s="24" t="str">
        <f aca="false">IF(O454="","",IFERROR(INDEX('Semrush Data'!$A$1:$Z$20000,MATCH(O454,'Semrush Data'!$A$1:$A$20000,0),MATCH("Volume",'Semrush Data'!$A$1:$Z$1,0)),""))</f>
        <v/>
      </c>
      <c r="U454" s="24" t="str">
        <f aca="false">IF(P454="","",IFERROR(INDEX('Semrush Data'!$A$1:$Z$20000,MATCH(P454,'Semrush Data'!$A$1:$A$20000,0),MATCH("Volume",'Semrush Data'!$A$1:$Z$1,0)),""))</f>
        <v/>
      </c>
      <c r="V454" s="25" t="str">
        <f aca="false">IF(COUNT(Q454:U454)=0,L454,IF(MAX(Q454:U454)=0,L454,INDEX(L454:P454,MATCH(MAX(Q454:U454),Q454:U454,0))))</f>
        <v>marc jacobs daisy love miniature</v>
      </c>
      <c r="W454" s="24" t="n">
        <f aca="false">IFERROR(INDEX('Semrush Data'!$A$1:$Z$20000,MATCH(V454,'Semrush Data'!$A$1:$A$20000,0),MATCH("Volume",'Semrush Data'!$A$1:$Z$1,0)),"")</f>
        <v>0</v>
      </c>
      <c r="X454" s="24" t="n">
        <f aca="false">IFERROR(INDEX('Semrush Data'!$A$1:$Z$20000,MATCH(V454,'Semrush Data'!$A$1:$A$20000,0),MATCH("Keyword Difficulty*",'Semrush Data'!$A$1:$Z$1,0)),"")</f>
        <v>24</v>
      </c>
      <c r="Y454" s="26" t="n">
        <f aca="false">IFERROR(INDEX('Semrush Data'!$A$1:$Z$20000,MATCH(V454,'Semrush Data'!$A$1:$A$20000,0),MATCH("CPC*",'Semrush Data'!$A$1:$Z$1,0)),"")</f>
        <v>0</v>
      </c>
      <c r="Z454" s="23" t="s">
        <v>5450</v>
      </c>
      <c r="AA454" s="23" t="s">
        <v>5481</v>
      </c>
      <c r="AB454" s="23" t="s">
        <v>5482</v>
      </c>
      <c r="AC454" s="23" t="s">
        <v>5483</v>
      </c>
      <c r="AD454" s="27" t="n">
        <f aca="false">LEN(AC454)</f>
        <v>55</v>
      </c>
      <c r="AE454" s="23" t="s">
        <v>5484</v>
      </c>
      <c r="AF454" s="27" t="n">
        <f aca="false">LEN(AE454)</f>
        <v>159</v>
      </c>
    </row>
    <row r="455" customFormat="false" ht="15" hidden="false" customHeight="true" outlineLevel="0" collapsed="false">
      <c r="A455" s="23" t="s">
        <v>5485</v>
      </c>
      <c r="B455" s="23" t="s">
        <v>2449</v>
      </c>
      <c r="C455" s="23" t="n">
        <v>295</v>
      </c>
      <c r="D455" s="23" t="s">
        <v>5444</v>
      </c>
      <c r="E455" s="23"/>
      <c r="F455" s="23" t="s">
        <v>2452</v>
      </c>
      <c r="G455" s="23" t="s">
        <v>2818</v>
      </c>
      <c r="H455" s="23" t="s">
        <v>2454</v>
      </c>
      <c r="I455" s="23" t="s">
        <v>5486</v>
      </c>
      <c r="J455" s="23" t="s">
        <v>1468</v>
      </c>
      <c r="K455" s="23" t="n">
        <v>39.99</v>
      </c>
      <c r="L455" s="23" t="s">
        <v>5487</v>
      </c>
      <c r="M455" s="23" t="s">
        <v>5488</v>
      </c>
      <c r="N455" s="23" t="s">
        <v>5489</v>
      </c>
      <c r="O455" s="23" t="s">
        <v>5490</v>
      </c>
      <c r="P455" s="23" t="s">
        <v>5491</v>
      </c>
      <c r="Q455" s="24" t="n">
        <f aca="false">IF(L455="","",IFERROR(INDEX('Semrush Data'!$A$1:$Z$20000,MATCH(L455,'Semrush Data'!$A$1:$A$20000,0),MATCH("Volume",'Semrush Data'!$A$1:$Z$1,0)),""))</f>
        <v>20</v>
      </c>
      <c r="R455" s="24" t="str">
        <f aca="false">IF(M455="","",IFERROR(INDEX('Semrush Data'!$A$1:$Z$20000,MATCH(M455,'Semrush Data'!$A$1:$A$20000,0),MATCH("Volume",'Semrush Data'!$A$1:$Z$1,0)),""))</f>
        <v/>
      </c>
      <c r="S455" s="24" t="str">
        <f aca="false">IF(N455="","",IFERROR(INDEX('Semrush Data'!$A$1:$Z$20000,MATCH(N455,'Semrush Data'!$A$1:$A$20000,0),MATCH("Volume",'Semrush Data'!$A$1:$Z$1,0)),""))</f>
        <v/>
      </c>
      <c r="T455" s="24" t="str">
        <f aca="false">IF(O455="","",IFERROR(INDEX('Semrush Data'!$A$1:$Z$20000,MATCH(O455,'Semrush Data'!$A$1:$A$20000,0),MATCH("Volume",'Semrush Data'!$A$1:$Z$1,0)),""))</f>
        <v/>
      </c>
      <c r="U455" s="24" t="str">
        <f aca="false">IF(P455="","",IFERROR(INDEX('Semrush Data'!$A$1:$Z$20000,MATCH(P455,'Semrush Data'!$A$1:$A$20000,0),MATCH("Volume",'Semrush Data'!$A$1:$Z$1,0)),""))</f>
        <v/>
      </c>
      <c r="V455" s="25" t="str">
        <f aca="false">IF(COUNT(Q455:U455)=0,L455,IF(MAX(Q455:U455)=0,L455,INDEX(L455:P455,MATCH(MAX(Q455:U455),Q455:U455,0))))</f>
        <v>marc jacobs daisy love glow limited edition</v>
      </c>
      <c r="W455" s="24" t="n">
        <f aca="false">IFERROR(INDEX('Semrush Data'!$A$1:$Z$20000,MATCH(V455,'Semrush Data'!$A$1:$A$20000,0),MATCH("Volume",'Semrush Data'!$A$1:$Z$1,0)),"")</f>
        <v>20</v>
      </c>
      <c r="X455" s="24" t="n">
        <f aca="false">IFERROR(INDEX('Semrush Data'!$A$1:$Z$20000,MATCH(V455,'Semrush Data'!$A$1:$A$20000,0),MATCH("Keyword Difficulty*",'Semrush Data'!$A$1:$Z$1,0)),"")</f>
        <v>16</v>
      </c>
      <c r="Y455" s="26" t="n">
        <f aca="false">IFERROR(INDEX('Semrush Data'!$A$1:$Z$20000,MATCH(V455,'Semrush Data'!$A$1:$A$20000,0),MATCH("CPC*",'Semrush Data'!$A$1:$Z$1,0)),"")</f>
        <v>0</v>
      </c>
      <c r="Z455" s="23" t="s">
        <v>5450</v>
      </c>
      <c r="AA455" s="23" t="s">
        <v>5492</v>
      </c>
      <c r="AB455" s="23" t="s">
        <v>5493</v>
      </c>
      <c r="AC455" s="23" t="s">
        <v>5494</v>
      </c>
      <c r="AD455" s="27" t="n">
        <f aca="false">LEN(AC455)</f>
        <v>57</v>
      </c>
      <c r="AE455" s="23" t="s">
        <v>5495</v>
      </c>
      <c r="AF455" s="27" t="n">
        <f aca="false">LEN(AE455)</f>
        <v>160</v>
      </c>
    </row>
    <row r="456" customFormat="false" ht="15" hidden="false" customHeight="true" outlineLevel="0" collapsed="false">
      <c r="A456" s="23" t="s">
        <v>5496</v>
      </c>
      <c r="B456" s="23" t="s">
        <v>2449</v>
      </c>
      <c r="C456" s="23" t="n">
        <v>296</v>
      </c>
      <c r="D456" s="23" t="s">
        <v>5444</v>
      </c>
      <c r="E456" s="23"/>
      <c r="F456" s="23" t="s">
        <v>2452</v>
      </c>
      <c r="G456" s="23" t="s">
        <v>2818</v>
      </c>
      <c r="H456" s="23" t="s">
        <v>2454</v>
      </c>
      <c r="I456" s="23" t="s">
        <v>5497</v>
      </c>
      <c r="J456" s="23" t="s">
        <v>2494</v>
      </c>
      <c r="K456" s="23" t="n">
        <v>19.99</v>
      </c>
      <c r="L456" s="23" t="s">
        <v>5498</v>
      </c>
      <c r="M456" s="23" t="s">
        <v>5499</v>
      </c>
      <c r="N456" s="23" t="s">
        <v>5500</v>
      </c>
      <c r="O456" s="23" t="s">
        <v>5501</v>
      </c>
      <c r="P456" s="23" t="s">
        <v>5502</v>
      </c>
      <c r="Q456" s="24" t="n">
        <f aca="false">IF(L456="","",IFERROR(INDEX('Semrush Data'!$A$1:$Z$20000,MATCH(L456,'Semrush Data'!$A$1:$A$20000,0),MATCH("Volume",'Semrush Data'!$A$1:$Z$1,0)),""))</f>
        <v>20</v>
      </c>
      <c r="R456" s="24" t="str">
        <f aca="false">IF(M456="","",IFERROR(INDEX('Semrush Data'!$A$1:$Z$20000,MATCH(M456,'Semrush Data'!$A$1:$A$20000,0),MATCH("Volume",'Semrush Data'!$A$1:$Z$1,0)),""))</f>
        <v/>
      </c>
      <c r="S456" s="24" t="str">
        <f aca="false">IF(N456="","",IFERROR(INDEX('Semrush Data'!$A$1:$Z$20000,MATCH(N456,'Semrush Data'!$A$1:$A$20000,0),MATCH("Volume",'Semrush Data'!$A$1:$Z$1,0)),""))</f>
        <v/>
      </c>
      <c r="T456" s="24" t="str">
        <f aca="false">IF(O456="","",IFERROR(INDEX('Semrush Data'!$A$1:$Z$20000,MATCH(O456,'Semrush Data'!$A$1:$A$20000,0),MATCH("Volume",'Semrush Data'!$A$1:$Z$1,0)),""))</f>
        <v/>
      </c>
      <c r="U456" s="24" t="str">
        <f aca="false">IF(P456="","",IFERROR(INDEX('Semrush Data'!$A$1:$Z$20000,MATCH(P456,'Semrush Data'!$A$1:$A$20000,0),MATCH("Volume",'Semrush Data'!$A$1:$Z$1,0)),""))</f>
        <v/>
      </c>
      <c r="V456" s="25" t="str">
        <f aca="false">IF(COUNT(Q456:U456)=0,L456,IF(MAX(Q456:U456)=0,L456,INDEX(L456:P456,MATCH(MAX(Q456:U456),Q456:U456,0))))</f>
        <v>marc jacobs perfect miniature</v>
      </c>
      <c r="W456" s="24" t="n">
        <f aca="false">IFERROR(INDEX('Semrush Data'!$A$1:$Z$20000,MATCH(V456,'Semrush Data'!$A$1:$A$20000,0),MATCH("Volume",'Semrush Data'!$A$1:$Z$1,0)),"")</f>
        <v>20</v>
      </c>
      <c r="X456" s="24" t="n">
        <f aca="false">IFERROR(INDEX('Semrush Data'!$A$1:$Z$20000,MATCH(V456,'Semrush Data'!$A$1:$A$20000,0),MATCH("Keyword Difficulty*",'Semrush Data'!$A$1:$Z$1,0)),"")</f>
        <v>17</v>
      </c>
      <c r="Y456" s="26" t="n">
        <f aca="false">IFERROR(INDEX('Semrush Data'!$A$1:$Z$20000,MATCH(V456,'Semrush Data'!$A$1:$A$20000,0),MATCH("CPC*",'Semrush Data'!$A$1:$Z$1,0)),"")</f>
        <v>0</v>
      </c>
      <c r="Z456" s="23" t="s">
        <v>5450</v>
      </c>
      <c r="AA456" s="23"/>
      <c r="AB456" s="23" t="s">
        <v>5503</v>
      </c>
      <c r="AC456" s="23" t="s">
        <v>5504</v>
      </c>
      <c r="AD456" s="27" t="n">
        <f aca="false">LEN(AC456)</f>
        <v>59</v>
      </c>
      <c r="AE456" s="23" t="s">
        <v>5505</v>
      </c>
      <c r="AF456" s="27" t="n">
        <f aca="false">LEN(AE456)</f>
        <v>156</v>
      </c>
    </row>
    <row r="457" customFormat="false" ht="15" hidden="false" customHeight="true" outlineLevel="0" collapsed="false">
      <c r="A457" s="23" t="s">
        <v>5506</v>
      </c>
      <c r="B457" s="23" t="s">
        <v>2449</v>
      </c>
      <c r="C457" s="23" t="n">
        <v>297</v>
      </c>
      <c r="D457" s="23" t="s">
        <v>5444</v>
      </c>
      <c r="E457" s="23"/>
      <c r="F457" s="23" t="s">
        <v>1735</v>
      </c>
      <c r="G457" s="23" t="s">
        <v>2550</v>
      </c>
      <c r="H457" s="23" t="s">
        <v>3592</v>
      </c>
      <c r="I457" s="23" t="s">
        <v>5507</v>
      </c>
      <c r="J457" s="23" t="s">
        <v>1979</v>
      </c>
      <c r="K457" s="23" t="n">
        <v>39.99</v>
      </c>
      <c r="L457" s="23" t="s">
        <v>5508</v>
      </c>
      <c r="M457" s="23" t="s">
        <v>5509</v>
      </c>
      <c r="N457" s="23" t="s">
        <v>5510</v>
      </c>
      <c r="O457" s="23" t="s">
        <v>5511</v>
      </c>
      <c r="P457" s="23"/>
      <c r="Q457" s="24" t="n">
        <f aca="false">IF(L457="","",IFERROR(INDEX('Semrush Data'!$A$1:$Z$20000,MATCH(L457,'Semrush Data'!$A$1:$A$20000,0),MATCH("Volume",'Semrush Data'!$A$1:$Z$1,0)),""))</f>
        <v>0</v>
      </c>
      <c r="R457" s="24" t="str">
        <f aca="false">IF(M457="","",IFERROR(INDEX('Semrush Data'!$A$1:$Z$20000,MATCH(M457,'Semrush Data'!$A$1:$A$20000,0),MATCH("Volume",'Semrush Data'!$A$1:$Z$1,0)),""))</f>
        <v/>
      </c>
      <c r="S457" s="24" t="str">
        <f aca="false">IF(N457="","",IFERROR(INDEX('Semrush Data'!$A$1:$Z$20000,MATCH(N457,'Semrush Data'!$A$1:$A$20000,0),MATCH("Volume",'Semrush Data'!$A$1:$Z$1,0)),""))</f>
        <v/>
      </c>
      <c r="T457" s="24" t="str">
        <f aca="false">IF(O457="","",IFERROR(INDEX('Semrush Data'!$A$1:$Z$20000,MATCH(O457,'Semrush Data'!$A$1:$A$20000,0),MATCH("Volume",'Semrush Data'!$A$1:$Z$1,0)),""))</f>
        <v/>
      </c>
      <c r="U457" s="24" t="str">
        <f aca="false">IF(P457="","",IFERROR(INDEX('Semrush Data'!$A$1:$Z$20000,MATCH(P457,'Semrush Data'!$A$1:$A$20000,0),MATCH("Volume",'Semrush Data'!$A$1:$Z$1,0)),""))</f>
        <v/>
      </c>
      <c r="V457" s="25" t="str">
        <f aca="false">IF(COUNT(Q457:U457)=0,L457,IF(MAX(Q457:U457)=0,L457,INDEX(L457:P457,MATCH(MAX(Q457:U457),Q457:U457,0))))</f>
        <v>marc jacobs miniature gift set 2025</v>
      </c>
      <c r="W457" s="24" t="n">
        <f aca="false">IFERROR(INDEX('Semrush Data'!$A$1:$Z$20000,MATCH(V457,'Semrush Data'!$A$1:$A$20000,0),MATCH("Volume",'Semrush Data'!$A$1:$Z$1,0)),"")</f>
        <v>0</v>
      </c>
      <c r="X457" s="24" t="n">
        <f aca="false">IFERROR(INDEX('Semrush Data'!$A$1:$Z$20000,MATCH(V457,'Semrush Data'!$A$1:$A$20000,0),MATCH("Keyword Difficulty*",'Semrush Data'!$A$1:$Z$1,0)),"")</f>
        <v>22</v>
      </c>
      <c r="Y457" s="26" t="n">
        <f aca="false">IFERROR(INDEX('Semrush Data'!$A$1:$Z$20000,MATCH(V457,'Semrush Data'!$A$1:$A$20000,0),MATCH("CPC*",'Semrush Data'!$A$1:$Z$1,0)),"")</f>
        <v>0</v>
      </c>
      <c r="Z457" s="23" t="s">
        <v>5512</v>
      </c>
      <c r="AA457" s="23"/>
      <c r="AB457" s="23" t="s">
        <v>5513</v>
      </c>
      <c r="AC457" s="23" t="s">
        <v>5514</v>
      </c>
      <c r="AD457" s="27" t="n">
        <f aca="false">LEN(AC457)</f>
        <v>58</v>
      </c>
      <c r="AE457" s="23" t="s">
        <v>5515</v>
      </c>
      <c r="AF457" s="27" t="n">
        <f aca="false">LEN(AE457)</f>
        <v>157</v>
      </c>
    </row>
    <row r="458" customFormat="false" ht="15" hidden="false" customHeight="true" outlineLevel="0" collapsed="false">
      <c r="A458" s="23" t="s">
        <v>5516</v>
      </c>
      <c r="B458" s="23" t="s">
        <v>2449</v>
      </c>
      <c r="C458" s="23" t="n">
        <v>298</v>
      </c>
      <c r="D458" s="23" t="s">
        <v>5517</v>
      </c>
      <c r="E458" s="23"/>
      <c r="F458" s="23" t="s">
        <v>2452</v>
      </c>
      <c r="G458" s="23" t="s">
        <v>2453</v>
      </c>
      <c r="H458" s="23" t="s">
        <v>5518</v>
      </c>
      <c r="I458" s="23" t="s">
        <v>5519</v>
      </c>
      <c r="J458" s="23" t="s">
        <v>1994</v>
      </c>
      <c r="K458" s="23" t="n">
        <v>52.99</v>
      </c>
      <c r="L458" s="23" t="s">
        <v>5520</v>
      </c>
      <c r="M458" s="23" t="s">
        <v>5521</v>
      </c>
      <c r="N458" s="23" t="s">
        <v>5522</v>
      </c>
      <c r="O458" s="23" t="s">
        <v>5523</v>
      </c>
      <c r="P458" s="23" t="s">
        <v>5524</v>
      </c>
      <c r="Q458" s="24" t="n">
        <f aca="false">IF(L458="","",IFERROR(INDEX('Semrush Data'!$A$1:$Z$20000,MATCH(L458,'Semrush Data'!$A$1:$A$20000,0),MATCH("Volume",'Semrush Data'!$A$1:$Z$1,0)),""))</f>
        <v>20</v>
      </c>
      <c r="R458" s="24" t="str">
        <f aca="false">IF(M458="","",IFERROR(INDEX('Semrush Data'!$A$1:$Z$20000,MATCH(M458,'Semrush Data'!$A$1:$A$20000,0),MATCH("Volume",'Semrush Data'!$A$1:$Z$1,0)),""))</f>
        <v/>
      </c>
      <c r="S458" s="24" t="str">
        <f aca="false">IF(N458="","",IFERROR(INDEX('Semrush Data'!$A$1:$Z$20000,MATCH(N458,'Semrush Data'!$A$1:$A$20000,0),MATCH("Volume",'Semrush Data'!$A$1:$Z$1,0)),""))</f>
        <v/>
      </c>
      <c r="T458" s="24" t="str">
        <f aca="false">IF(O458="","",IFERROR(INDEX('Semrush Data'!$A$1:$Z$20000,MATCH(O458,'Semrush Data'!$A$1:$A$20000,0),MATCH("Volume",'Semrush Data'!$A$1:$Z$1,0)),""))</f>
        <v/>
      </c>
      <c r="U458" s="24" t="str">
        <f aca="false">IF(P458="","",IFERROR(INDEX('Semrush Data'!$A$1:$Z$20000,MATCH(P458,'Semrush Data'!$A$1:$A$20000,0),MATCH("Volume",'Semrush Data'!$A$1:$Z$1,0)),""))</f>
        <v/>
      </c>
      <c r="V458" s="25" t="str">
        <f aca="false">IF(COUNT(Q458:U458)=0,L458,IF(MAX(Q458:U458)=0,L458,INDEX(L458:P458,MATCH(MAX(Q458:U458),Q458:U458,0))))</f>
        <v>montale aoud damascus</v>
      </c>
      <c r="W458" s="24" t="n">
        <f aca="false">IFERROR(INDEX('Semrush Data'!$A$1:$Z$20000,MATCH(V458,'Semrush Data'!$A$1:$A$20000,0),MATCH("Volume",'Semrush Data'!$A$1:$Z$1,0)),"")</f>
        <v>20</v>
      </c>
      <c r="X458" s="24" t="n">
        <f aca="false">IFERROR(INDEX('Semrush Data'!$A$1:$Z$20000,MATCH(V458,'Semrush Data'!$A$1:$A$20000,0),MATCH("Keyword Difficulty*",'Semrush Data'!$A$1:$Z$1,0)),"")</f>
        <v>10</v>
      </c>
      <c r="Y458" s="26" t="n">
        <f aca="false">IFERROR(INDEX('Semrush Data'!$A$1:$Z$20000,MATCH(V458,'Semrush Data'!$A$1:$A$20000,0),MATCH("CPC*",'Semrush Data'!$A$1:$Z$1,0)),"")</f>
        <v>0</v>
      </c>
      <c r="Z458" s="23" t="s">
        <v>5525</v>
      </c>
      <c r="AA458" s="23" t="s">
        <v>5526</v>
      </c>
      <c r="AB458" s="23" t="s">
        <v>5527</v>
      </c>
      <c r="AC458" s="23" t="s">
        <v>5528</v>
      </c>
      <c r="AD458" s="27" t="n">
        <f aca="false">LEN(AC458)</f>
        <v>58</v>
      </c>
      <c r="AE458" s="23" t="s">
        <v>5529</v>
      </c>
      <c r="AF458" s="27" t="n">
        <f aca="false">LEN(AE458)</f>
        <v>155</v>
      </c>
    </row>
    <row r="459" customFormat="false" ht="15" hidden="false" customHeight="true" outlineLevel="0" collapsed="false">
      <c r="A459" s="23" t="s">
        <v>5530</v>
      </c>
      <c r="B459" s="23" t="s">
        <v>2449</v>
      </c>
      <c r="C459" s="23" t="n">
        <v>299</v>
      </c>
      <c r="D459" s="23" t="s">
        <v>5517</v>
      </c>
      <c r="E459" s="23"/>
      <c r="F459" s="23" t="s">
        <v>2452</v>
      </c>
      <c r="G459" s="23" t="s">
        <v>2453</v>
      </c>
      <c r="H459" s="23" t="s">
        <v>3919</v>
      </c>
      <c r="I459" s="23" t="s">
        <v>5531</v>
      </c>
      <c r="J459" s="23" t="s">
        <v>1994</v>
      </c>
      <c r="K459" s="23" t="n">
        <v>54.99</v>
      </c>
      <c r="L459" s="23" t="s">
        <v>5532</v>
      </c>
      <c r="M459" s="23" t="s">
        <v>5533</v>
      </c>
      <c r="N459" s="23" t="s">
        <v>5534</v>
      </c>
      <c r="O459" s="23" t="s">
        <v>5535</v>
      </c>
      <c r="P459" s="23" t="s">
        <v>5536</v>
      </c>
      <c r="Q459" s="24" t="n">
        <f aca="false">IF(L459="","",IFERROR(INDEX('Semrush Data'!$A$1:$Z$20000,MATCH(L459,'Semrush Data'!$A$1:$A$20000,0),MATCH("Volume",'Semrush Data'!$A$1:$Z$1,0)),""))</f>
        <v>20</v>
      </c>
      <c r="R459" s="24" t="str">
        <f aca="false">IF(M459="","",IFERROR(INDEX('Semrush Data'!$A$1:$Z$20000,MATCH(M459,'Semrush Data'!$A$1:$A$20000,0),MATCH("Volume",'Semrush Data'!$A$1:$Z$1,0)),""))</f>
        <v/>
      </c>
      <c r="S459" s="24" t="str">
        <f aca="false">IF(N459="","",IFERROR(INDEX('Semrush Data'!$A$1:$Z$20000,MATCH(N459,'Semrush Data'!$A$1:$A$20000,0),MATCH("Volume",'Semrush Data'!$A$1:$Z$1,0)),""))</f>
        <v/>
      </c>
      <c r="T459" s="24" t="str">
        <f aca="false">IF(O459="","",IFERROR(INDEX('Semrush Data'!$A$1:$Z$20000,MATCH(O459,'Semrush Data'!$A$1:$A$20000,0),MATCH("Volume",'Semrush Data'!$A$1:$Z$1,0)),""))</f>
        <v/>
      </c>
      <c r="U459" s="24" t="str">
        <f aca="false">IF(P459="","",IFERROR(INDEX('Semrush Data'!$A$1:$Z$20000,MATCH(P459,'Semrush Data'!$A$1:$A$20000,0),MATCH("Volume",'Semrush Data'!$A$1:$Z$1,0)),""))</f>
        <v/>
      </c>
      <c r="V459" s="25" t="str">
        <f aca="false">IF(COUNT(Q459:U459)=0,L459,IF(MAX(Q459:U459)=0,L459,INDEX(L459:P459,MATCH(MAX(Q459:U459),Q459:U459,0))))</f>
        <v>montale aoud safran</v>
      </c>
      <c r="W459" s="24" t="n">
        <f aca="false">IFERROR(INDEX('Semrush Data'!$A$1:$Z$20000,MATCH(V459,'Semrush Data'!$A$1:$A$20000,0),MATCH("Volume",'Semrush Data'!$A$1:$Z$1,0)),"")</f>
        <v>20</v>
      </c>
      <c r="X459" s="24" t="n">
        <f aca="false">IFERROR(INDEX('Semrush Data'!$A$1:$Z$20000,MATCH(V459,'Semrush Data'!$A$1:$A$20000,0),MATCH("Keyword Difficulty*",'Semrush Data'!$A$1:$Z$1,0)),"")</f>
        <v>10</v>
      </c>
      <c r="Y459" s="26" t="n">
        <f aca="false">IFERROR(INDEX('Semrush Data'!$A$1:$Z$20000,MATCH(V459,'Semrush Data'!$A$1:$A$20000,0),MATCH("CPC*",'Semrush Data'!$A$1:$Z$1,0)),"")</f>
        <v>0</v>
      </c>
      <c r="Z459" s="23" t="s">
        <v>5537</v>
      </c>
      <c r="AA459" s="23" t="s">
        <v>5538</v>
      </c>
      <c r="AB459" s="23" t="s">
        <v>5539</v>
      </c>
      <c r="AC459" s="23" t="s">
        <v>5540</v>
      </c>
      <c r="AD459" s="27" t="n">
        <f aca="false">LEN(AC459)</f>
        <v>60</v>
      </c>
      <c r="AE459" s="23" t="s">
        <v>5541</v>
      </c>
      <c r="AF459" s="27" t="n">
        <f aca="false">LEN(AE459)</f>
        <v>152</v>
      </c>
    </row>
    <row r="460" customFormat="false" ht="15" hidden="false" customHeight="true" outlineLevel="0" collapsed="false">
      <c r="A460" s="23" t="s">
        <v>5542</v>
      </c>
      <c r="B460" s="23" t="s">
        <v>2449</v>
      </c>
      <c r="C460" s="23" t="n">
        <v>300</v>
      </c>
      <c r="D460" s="23" t="s">
        <v>5543</v>
      </c>
      <c r="E460" s="23"/>
      <c r="F460" s="23" t="s">
        <v>2452</v>
      </c>
      <c r="G460" s="23" t="s">
        <v>2453</v>
      </c>
      <c r="H460" s="23" t="s">
        <v>2454</v>
      </c>
      <c r="I460" s="23" t="s">
        <v>5544</v>
      </c>
      <c r="J460" s="23" t="s">
        <v>1468</v>
      </c>
      <c r="K460" s="23" t="n">
        <v>38.99</v>
      </c>
      <c r="L460" s="23" t="s">
        <v>5545</v>
      </c>
      <c r="M460" s="23" t="s">
        <v>5546</v>
      </c>
      <c r="N460" s="23" t="s">
        <v>5547</v>
      </c>
      <c r="O460" s="23" t="s">
        <v>5548</v>
      </c>
      <c r="P460" s="23" t="s">
        <v>5549</v>
      </c>
      <c r="Q460" s="24" t="n">
        <f aca="false">IF(L460="","",IFERROR(INDEX('Semrush Data'!$A$1:$Z$20000,MATCH(L460,'Semrush Data'!$A$1:$A$20000,0),MATCH("Volume",'Semrush Data'!$A$1:$Z$1,0)),""))</f>
        <v>20</v>
      </c>
      <c r="R460" s="24" t="str">
        <f aca="false">IF(M460="","",IFERROR(INDEX('Semrush Data'!$A$1:$Z$20000,MATCH(M460,'Semrush Data'!$A$1:$A$20000,0),MATCH("Volume",'Semrush Data'!$A$1:$Z$1,0)),""))</f>
        <v/>
      </c>
      <c r="S460" s="24" t="str">
        <f aca="false">IF(N460="","",IFERROR(INDEX('Semrush Data'!$A$1:$Z$20000,MATCH(N460,'Semrush Data'!$A$1:$A$20000,0),MATCH("Volume",'Semrush Data'!$A$1:$Z$1,0)),""))</f>
        <v/>
      </c>
      <c r="T460" s="24" t="str">
        <f aca="false">IF(O460="","",IFERROR(INDEX('Semrush Data'!$A$1:$Z$20000,MATCH(O460,'Semrush Data'!$A$1:$A$20000,0),MATCH("Volume",'Semrush Data'!$A$1:$Z$1,0)),""))</f>
        <v/>
      </c>
      <c r="U460" s="24" t="str">
        <f aca="false">IF(P460="","",IFERROR(INDEX('Semrush Data'!$A$1:$Z$20000,MATCH(P460,'Semrush Data'!$A$1:$A$20000,0),MATCH("Volume",'Semrush Data'!$A$1:$Z$1,0)),""))</f>
        <v/>
      </c>
      <c r="V460" s="25" t="str">
        <f aca="false">IF(COUNT(Q460:U460)=0,L460,IF(MAX(Q460:U460)=0,L460,INDEX(L460:P460,MATCH(MAX(Q460:U460),Q460:U460,0))))</f>
        <v>nina ricci nina illusion</v>
      </c>
      <c r="W460" s="24" t="n">
        <f aca="false">IFERROR(INDEX('Semrush Data'!$A$1:$Z$20000,MATCH(V460,'Semrush Data'!$A$1:$A$20000,0),MATCH("Volume",'Semrush Data'!$A$1:$Z$1,0)),"")</f>
        <v>20</v>
      </c>
      <c r="X460" s="24" t="n">
        <f aca="false">IFERROR(INDEX('Semrush Data'!$A$1:$Z$20000,MATCH(V460,'Semrush Data'!$A$1:$A$20000,0),MATCH("Keyword Difficulty*",'Semrush Data'!$A$1:$Z$1,0)),"")</f>
        <v>13</v>
      </c>
      <c r="Y460" s="26" t="n">
        <f aca="false">IFERROR(INDEX('Semrush Data'!$A$1:$Z$20000,MATCH(V460,'Semrush Data'!$A$1:$A$20000,0),MATCH("CPC*",'Semrush Data'!$A$1:$Z$1,0)),"")</f>
        <v>0</v>
      </c>
      <c r="Z460" s="23" t="s">
        <v>5550</v>
      </c>
      <c r="AA460" s="23" t="s">
        <v>5551</v>
      </c>
      <c r="AB460" s="23" t="s">
        <v>5552</v>
      </c>
      <c r="AC460" s="23" t="s">
        <v>5553</v>
      </c>
      <c r="AD460" s="27" t="n">
        <f aca="false">LEN(AC460)</f>
        <v>60</v>
      </c>
      <c r="AE460" s="23" t="s">
        <v>5554</v>
      </c>
      <c r="AF460" s="27" t="n">
        <f aca="false">LEN(AE460)</f>
        <v>159</v>
      </c>
    </row>
    <row r="461" customFormat="false" ht="15" hidden="false" customHeight="true" outlineLevel="0" collapsed="false">
      <c r="A461" s="23" t="s">
        <v>5555</v>
      </c>
      <c r="B461" s="23" t="s">
        <v>2449</v>
      </c>
      <c r="C461" s="23" t="n">
        <v>301</v>
      </c>
      <c r="D461" s="23" t="s">
        <v>5543</v>
      </c>
      <c r="E461" s="23"/>
      <c r="F461" s="23" t="s">
        <v>2452</v>
      </c>
      <c r="G461" s="23" t="s">
        <v>2453</v>
      </c>
      <c r="H461" s="23" t="s">
        <v>2454</v>
      </c>
      <c r="I461" s="23" t="s">
        <v>5556</v>
      </c>
      <c r="J461" s="23" t="s">
        <v>1468</v>
      </c>
      <c r="K461" s="23" t="n">
        <v>40.99</v>
      </c>
      <c r="L461" s="23" t="s">
        <v>5557</v>
      </c>
      <c r="M461" s="23" t="s">
        <v>5558</v>
      </c>
      <c r="N461" s="23" t="s">
        <v>5559</v>
      </c>
      <c r="O461" s="23" t="s">
        <v>5560</v>
      </c>
      <c r="P461" s="23" t="s">
        <v>5561</v>
      </c>
      <c r="Q461" s="24" t="n">
        <f aca="false">IF(L461="","",IFERROR(INDEX('Semrush Data'!$A$1:$Z$20000,MATCH(L461,'Semrush Data'!$A$1:$A$20000,0),MATCH("Volume",'Semrush Data'!$A$1:$Z$1,0)),""))</f>
        <v>0</v>
      </c>
      <c r="R461" s="24" t="str">
        <f aca="false">IF(M461="","",IFERROR(INDEX('Semrush Data'!$A$1:$Z$20000,MATCH(M461,'Semrush Data'!$A$1:$A$20000,0),MATCH("Volume",'Semrush Data'!$A$1:$Z$1,0)),""))</f>
        <v/>
      </c>
      <c r="S461" s="24" t="str">
        <f aca="false">IF(N461="","",IFERROR(INDEX('Semrush Data'!$A$1:$Z$20000,MATCH(N461,'Semrush Data'!$A$1:$A$20000,0),MATCH("Volume",'Semrush Data'!$A$1:$Z$1,0)),""))</f>
        <v/>
      </c>
      <c r="T461" s="24" t="str">
        <f aca="false">IF(O461="","",IFERROR(INDEX('Semrush Data'!$A$1:$Z$20000,MATCH(O461,'Semrush Data'!$A$1:$A$20000,0),MATCH("Volume",'Semrush Data'!$A$1:$Z$1,0)),""))</f>
        <v/>
      </c>
      <c r="U461" s="24" t="str">
        <f aca="false">IF(P461="","",IFERROR(INDEX('Semrush Data'!$A$1:$Z$20000,MATCH(P461,'Semrush Data'!$A$1:$A$20000,0),MATCH("Volume",'Semrush Data'!$A$1:$Z$1,0)),""))</f>
        <v/>
      </c>
      <c r="V461" s="25" t="str">
        <f aca="false">IF(COUNT(Q461:U461)=0,L461,IF(MAX(Q461:U461)=0,L461,INDEX(L461:P461,MATCH(MAX(Q461:U461),Q461:U461,0))))</f>
        <v>nina ricci nina precious gold</v>
      </c>
      <c r="W461" s="24" t="n">
        <f aca="false">IFERROR(INDEX('Semrush Data'!$A$1:$Z$20000,MATCH(V461,'Semrush Data'!$A$1:$A$20000,0),MATCH("Volume",'Semrush Data'!$A$1:$Z$1,0)),"")</f>
        <v>0</v>
      </c>
      <c r="X461" s="24" t="n">
        <f aca="false">IFERROR(INDEX('Semrush Data'!$A$1:$Z$20000,MATCH(V461,'Semrush Data'!$A$1:$A$20000,0),MATCH("Keyword Difficulty*",'Semrush Data'!$A$1:$Z$1,0)),"")</f>
        <v>10</v>
      </c>
      <c r="Y461" s="26" t="n">
        <f aca="false">IFERROR(INDEX('Semrush Data'!$A$1:$Z$20000,MATCH(V461,'Semrush Data'!$A$1:$A$20000,0),MATCH("CPC*",'Semrush Data'!$A$1:$Z$1,0)),"")</f>
        <v>0</v>
      </c>
      <c r="Z461" s="23" t="s">
        <v>5550</v>
      </c>
      <c r="AA461" s="23" t="s">
        <v>5562</v>
      </c>
      <c r="AB461" s="23" t="s">
        <v>5563</v>
      </c>
      <c r="AC461" s="23" t="s">
        <v>5564</v>
      </c>
      <c r="AD461" s="27" t="n">
        <f aca="false">LEN(AC461)</f>
        <v>57</v>
      </c>
      <c r="AE461" s="23" t="s">
        <v>5565</v>
      </c>
      <c r="AF461" s="27" t="n">
        <f aca="false">LEN(AE461)</f>
        <v>158</v>
      </c>
    </row>
    <row r="462" customFormat="false" ht="15" hidden="false" customHeight="true" outlineLevel="0" collapsed="false">
      <c r="A462" s="23" t="s">
        <v>85</v>
      </c>
      <c r="B462" s="23" t="s">
        <v>2449</v>
      </c>
      <c r="C462" s="23" t="n">
        <v>302</v>
      </c>
      <c r="D462" s="23" t="s">
        <v>5543</v>
      </c>
      <c r="E462" s="23"/>
      <c r="F462" s="23" t="s">
        <v>2452</v>
      </c>
      <c r="G462" s="23" t="s">
        <v>2818</v>
      </c>
      <c r="H462" s="23" t="s">
        <v>2454</v>
      </c>
      <c r="I462" s="23" t="s">
        <v>86</v>
      </c>
      <c r="J462" s="23" t="s">
        <v>1994</v>
      </c>
      <c r="K462" s="23" t="n">
        <v>43.99</v>
      </c>
      <c r="L462" s="23" t="s">
        <v>5566</v>
      </c>
      <c r="M462" s="23" t="s">
        <v>5567</v>
      </c>
      <c r="N462" s="23" t="s">
        <v>5568</v>
      </c>
      <c r="O462" s="23" t="s">
        <v>5569</v>
      </c>
      <c r="P462" s="23" t="s">
        <v>5570</v>
      </c>
      <c r="Q462" s="24" t="n">
        <f aca="false">IF(L462="","",IFERROR(INDEX('Semrush Data'!$A$1:$Z$20000,MATCH(L462,'Semrush Data'!$A$1:$A$20000,0),MATCH("Volume",'Semrush Data'!$A$1:$Z$1,0)),""))</f>
        <v>1300</v>
      </c>
      <c r="R462" s="24" t="n">
        <f aca="false">IF(M462="","",IFERROR(INDEX('Semrush Data'!$A$1:$Z$20000,MATCH(M462,'Semrush Data'!$A$1:$A$20000,0),MATCH("Volume",'Semrush Data'!$A$1:$Z$1,0)),""))</f>
        <v>0</v>
      </c>
      <c r="S462" s="24" t="n">
        <f aca="false">IF(N462="","",IFERROR(INDEX('Semrush Data'!$A$1:$Z$20000,MATCH(N462,'Semrush Data'!$A$1:$A$20000,0),MATCH("Volume",'Semrush Data'!$A$1:$Z$1,0)),""))</f>
        <v>0</v>
      </c>
      <c r="T462" s="24" t="n">
        <f aca="false">IF(O462="","",IFERROR(INDEX('Semrush Data'!$A$1:$Z$20000,MATCH(O462,'Semrush Data'!$A$1:$A$20000,0),MATCH("Volume",'Semrush Data'!$A$1:$Z$1,0)),""))</f>
        <v>0</v>
      </c>
      <c r="U462" s="24" t="n">
        <f aca="false">IF(P462="","",IFERROR(INDEX('Semrush Data'!$A$1:$Z$20000,MATCH(P462,'Semrush Data'!$A$1:$A$20000,0),MATCH("Volume",'Semrush Data'!$A$1:$Z$1,0)),""))</f>
        <v>20</v>
      </c>
      <c r="V462" s="25" t="str">
        <f aca="false">IF(COUNT(Q462:U462)=0,L462,IF(MAX(Q462:U462)=0,L462,INDEX(L462:P462,MATCH(MAX(Q462:U462),Q462:U462,0))))</f>
        <v>nina ricci l'air du temps</v>
      </c>
      <c r="W462" s="24" t="n">
        <f aca="false">IFERROR(INDEX('Semrush Data'!$A$1:$Z$20000,MATCH(V462,'Semrush Data'!$A$1:$A$20000,0),MATCH("Volume",'Semrush Data'!$A$1:$Z$1,0)),"")</f>
        <v>1300</v>
      </c>
      <c r="X462" s="24" t="n">
        <f aca="false">IFERROR(INDEX('Semrush Data'!$A$1:$Z$20000,MATCH(V462,'Semrush Data'!$A$1:$A$20000,0),MATCH("Keyword Difficulty*",'Semrush Data'!$A$1:$Z$1,0)),"")</f>
        <v>13</v>
      </c>
      <c r="Y462" s="26" t="n">
        <f aca="false">IFERROR(INDEX('Semrush Data'!$A$1:$Z$20000,MATCH(V462,'Semrush Data'!$A$1:$A$20000,0),MATCH("CPC*",'Semrush Data'!$A$1:$Z$1,0)),"")</f>
        <v>0.33</v>
      </c>
      <c r="Z462" s="23" t="s">
        <v>5550</v>
      </c>
      <c r="AA462" s="23" t="s">
        <v>5571</v>
      </c>
      <c r="AB462" s="23" t="s">
        <v>5572</v>
      </c>
      <c r="AC462" s="23" t="s">
        <v>5573</v>
      </c>
      <c r="AD462" s="27" t="n">
        <f aca="false">LEN(AC462)</f>
        <v>55</v>
      </c>
      <c r="AE462" s="23" t="s">
        <v>5574</v>
      </c>
      <c r="AF462" s="27" t="n">
        <f aca="false">LEN(AE462)</f>
        <v>159</v>
      </c>
    </row>
    <row r="463" customFormat="false" ht="15" hidden="false" customHeight="true" outlineLevel="0" collapsed="false">
      <c r="A463" s="23" t="s">
        <v>5575</v>
      </c>
      <c r="B463" s="23" t="s">
        <v>2449</v>
      </c>
      <c r="C463" s="23" t="n">
        <v>303</v>
      </c>
      <c r="D463" s="23" t="s">
        <v>5543</v>
      </c>
      <c r="E463" s="23"/>
      <c r="F463" s="23" t="s">
        <v>2452</v>
      </c>
      <c r="G463" s="23" t="s">
        <v>2818</v>
      </c>
      <c r="H463" s="23" t="s">
        <v>2454</v>
      </c>
      <c r="I463" s="23" t="s">
        <v>86</v>
      </c>
      <c r="J463" s="23" t="s">
        <v>1994</v>
      </c>
      <c r="K463" s="23" t="n">
        <v>28.99</v>
      </c>
      <c r="L463" s="23" t="s">
        <v>5566</v>
      </c>
      <c r="M463" s="23" t="s">
        <v>5567</v>
      </c>
      <c r="N463" s="23" t="s">
        <v>5568</v>
      </c>
      <c r="O463" s="23" t="s">
        <v>5569</v>
      </c>
      <c r="P463" s="23" t="s">
        <v>5570</v>
      </c>
      <c r="Q463" s="24" t="n">
        <f aca="false">IF(L463="","",IFERROR(INDEX('Semrush Data'!$A$1:$Z$20000,MATCH(L463,'Semrush Data'!$A$1:$A$20000,0),MATCH("Volume",'Semrush Data'!$A$1:$Z$1,0)),""))</f>
        <v>1300</v>
      </c>
      <c r="R463" s="24" t="n">
        <f aca="false">IF(M463="","",IFERROR(INDEX('Semrush Data'!$A$1:$Z$20000,MATCH(M463,'Semrush Data'!$A$1:$A$20000,0),MATCH("Volume",'Semrush Data'!$A$1:$Z$1,0)),""))</f>
        <v>0</v>
      </c>
      <c r="S463" s="24" t="n">
        <f aca="false">IF(N463="","",IFERROR(INDEX('Semrush Data'!$A$1:$Z$20000,MATCH(N463,'Semrush Data'!$A$1:$A$20000,0),MATCH("Volume",'Semrush Data'!$A$1:$Z$1,0)),""))</f>
        <v>0</v>
      </c>
      <c r="T463" s="24" t="n">
        <f aca="false">IF(O463="","",IFERROR(INDEX('Semrush Data'!$A$1:$Z$20000,MATCH(O463,'Semrush Data'!$A$1:$A$20000,0),MATCH("Volume",'Semrush Data'!$A$1:$Z$1,0)),""))</f>
        <v>0</v>
      </c>
      <c r="U463" s="24" t="n">
        <f aca="false">IF(P463="","",IFERROR(INDEX('Semrush Data'!$A$1:$Z$20000,MATCH(P463,'Semrush Data'!$A$1:$A$20000,0),MATCH("Volume",'Semrush Data'!$A$1:$Z$1,0)),""))</f>
        <v>20</v>
      </c>
      <c r="V463" s="25" t="str">
        <f aca="false">IF(COUNT(Q463:U463)=0,L463,IF(MAX(Q463:U463)=0,L463,INDEX(L463:P463,MATCH(MAX(Q463:U463),Q463:U463,0))))</f>
        <v>nina ricci l'air du temps</v>
      </c>
      <c r="W463" s="24" t="n">
        <f aca="false">IFERROR(INDEX('Semrush Data'!$A$1:$Z$20000,MATCH(V463,'Semrush Data'!$A$1:$A$20000,0),MATCH("Volume",'Semrush Data'!$A$1:$Z$1,0)),"")</f>
        <v>1300</v>
      </c>
      <c r="X463" s="24" t="n">
        <f aca="false">IFERROR(INDEX('Semrush Data'!$A$1:$Z$20000,MATCH(V463,'Semrush Data'!$A$1:$A$20000,0),MATCH("Keyword Difficulty*",'Semrush Data'!$A$1:$Z$1,0)),"")</f>
        <v>13</v>
      </c>
      <c r="Y463" s="26" t="n">
        <f aca="false">IFERROR(INDEX('Semrush Data'!$A$1:$Z$20000,MATCH(V463,'Semrush Data'!$A$1:$A$20000,0),MATCH("CPC*",'Semrush Data'!$A$1:$Z$1,0)),"")</f>
        <v>0.33</v>
      </c>
      <c r="Z463" s="23" t="s">
        <v>5550</v>
      </c>
      <c r="AA463" s="23" t="s">
        <v>5571</v>
      </c>
      <c r="AB463" s="23" t="s">
        <v>5572</v>
      </c>
      <c r="AC463" s="23" t="s">
        <v>5573</v>
      </c>
      <c r="AD463" s="27" t="n">
        <f aca="false">LEN(AC463)</f>
        <v>55</v>
      </c>
      <c r="AE463" s="23" t="s">
        <v>5574</v>
      </c>
      <c r="AF463" s="27" t="n">
        <f aca="false">LEN(AE463)</f>
        <v>159</v>
      </c>
    </row>
    <row r="464" customFormat="false" ht="15" hidden="false" customHeight="true" outlineLevel="0" collapsed="false">
      <c r="A464" s="23" t="s">
        <v>73</v>
      </c>
      <c r="B464" s="23" t="s">
        <v>2449</v>
      </c>
      <c r="C464" s="23" t="n">
        <v>304</v>
      </c>
      <c r="D464" s="23" t="s">
        <v>5576</v>
      </c>
      <c r="E464" s="23"/>
      <c r="F464" s="23" t="s">
        <v>2452</v>
      </c>
      <c r="G464" s="23" t="s">
        <v>2818</v>
      </c>
      <c r="H464" s="23" t="s">
        <v>2454</v>
      </c>
      <c r="I464" s="23" t="s">
        <v>74</v>
      </c>
      <c r="J464" s="23" t="s">
        <v>1994</v>
      </c>
      <c r="K464" s="23" t="n">
        <v>37.99</v>
      </c>
      <c r="L464" s="23" t="s">
        <v>5577</v>
      </c>
      <c r="M464" s="23" t="s">
        <v>5578</v>
      </c>
      <c r="N464" s="23" t="s">
        <v>5579</v>
      </c>
      <c r="O464" s="23" t="s">
        <v>5580</v>
      </c>
      <c r="P464" s="23" t="s">
        <v>5581</v>
      </c>
      <c r="Q464" s="24" t="n">
        <f aca="false">IF(L464="","",IFERROR(INDEX('Semrush Data'!$A$1:$Z$20000,MATCH(L464,'Semrush Data'!$A$1:$A$20000,0),MATCH("Volume",'Semrush Data'!$A$1:$Z$1,0)),""))</f>
        <v>2900</v>
      </c>
      <c r="R464" s="24" t="n">
        <f aca="false">IF(M464="","",IFERROR(INDEX('Semrush Data'!$A$1:$Z$20000,MATCH(M464,'Semrush Data'!$A$1:$A$20000,0),MATCH("Volume",'Semrush Data'!$A$1:$Z$1,0)),""))</f>
        <v>0</v>
      </c>
      <c r="S464" s="24" t="n">
        <f aca="false">IF(N464="","",IFERROR(INDEX('Semrush Data'!$A$1:$Z$20000,MATCH(N464,'Semrush Data'!$A$1:$A$20000,0),MATCH("Volume",'Semrush Data'!$A$1:$Z$1,0)),""))</f>
        <v>0</v>
      </c>
      <c r="T464" s="24" t="n">
        <f aca="false">IF(O464="","",IFERROR(INDEX('Semrush Data'!$A$1:$Z$20000,MATCH(O464,'Semrush Data'!$A$1:$A$20000,0),MATCH("Volume",'Semrush Data'!$A$1:$Z$1,0)),""))</f>
        <v>20</v>
      </c>
      <c r="U464" s="24" t="n">
        <f aca="false">IF(P464="","",IFERROR(INDEX('Semrush Data'!$A$1:$Z$20000,MATCH(P464,'Semrush Data'!$A$1:$A$20000,0),MATCH("Volume",'Semrush Data'!$A$1:$Z$1,0)),""))</f>
        <v>20</v>
      </c>
      <c r="V464" s="25" t="str">
        <f aca="false">IF(COUNT(Q464:U464)=0,L464,IF(MAX(Q464:U464)=0,L464,INDEX(L464:P464,MATCH(MAX(Q464:U464),Q464:U464,0))))</f>
        <v>paloma picasso</v>
      </c>
      <c r="W464" s="24" t="n">
        <f aca="false">IFERROR(INDEX('Semrush Data'!$A$1:$Z$20000,MATCH(V464,'Semrush Data'!$A$1:$A$20000,0),MATCH("Volume",'Semrush Data'!$A$1:$Z$1,0)),"")</f>
        <v>2900</v>
      </c>
      <c r="X464" s="24" t="n">
        <f aca="false">IFERROR(INDEX('Semrush Data'!$A$1:$Z$20000,MATCH(V464,'Semrush Data'!$A$1:$A$20000,0),MATCH("Keyword Difficulty*",'Semrush Data'!$A$1:$Z$1,0)),"")</f>
        <v>30</v>
      </c>
      <c r="Y464" s="26" t="n">
        <f aca="false">IFERROR(INDEX('Semrush Data'!$A$1:$Z$20000,MATCH(V464,'Semrush Data'!$A$1:$A$20000,0),MATCH("CPC*",'Semrush Data'!$A$1:$Z$1,0)),"")</f>
        <v>0.35</v>
      </c>
      <c r="Z464" s="23" t="s">
        <v>5582</v>
      </c>
      <c r="AA464" s="23" t="s">
        <v>5583</v>
      </c>
      <c r="AB464" s="23" t="s">
        <v>5584</v>
      </c>
      <c r="AC464" s="23" t="s">
        <v>5585</v>
      </c>
      <c r="AD464" s="27" t="n">
        <f aca="false">LEN(AC464)</f>
        <v>57</v>
      </c>
      <c r="AE464" s="23" t="s">
        <v>5586</v>
      </c>
      <c r="AF464" s="27" t="n">
        <f aca="false">LEN(AE464)</f>
        <v>154</v>
      </c>
    </row>
    <row r="465" customFormat="false" ht="15" hidden="false" customHeight="true" outlineLevel="0" collapsed="false">
      <c r="A465" s="23" t="s">
        <v>5587</v>
      </c>
      <c r="B465" s="23" t="s">
        <v>2449</v>
      </c>
      <c r="C465" s="23" t="n">
        <v>305</v>
      </c>
      <c r="D465" s="23" t="s">
        <v>5588</v>
      </c>
      <c r="E465" s="23" t="s">
        <v>5589</v>
      </c>
      <c r="F465" s="23" t="s">
        <v>2452</v>
      </c>
      <c r="G465" s="23" t="s">
        <v>406</v>
      </c>
      <c r="H465" s="23" t="s">
        <v>2608</v>
      </c>
      <c r="I465" s="23" t="s">
        <v>5590</v>
      </c>
      <c r="J465" s="23" t="s">
        <v>5591</v>
      </c>
      <c r="K465" s="23" t="n">
        <v>16.99</v>
      </c>
      <c r="L465" s="23" t="s">
        <v>5592</v>
      </c>
      <c r="M465" s="23" t="s">
        <v>5593</v>
      </c>
      <c r="N465" s="23" t="s">
        <v>5594</v>
      </c>
      <c r="O465" s="23" t="s">
        <v>5595</v>
      </c>
      <c r="P465" s="23"/>
      <c r="Q465" s="24" t="n">
        <f aca="false">IF(L465="","",IFERROR(INDEX('Semrush Data'!$A$1:$Z$20000,MATCH(L465,'Semrush Data'!$A$1:$A$20000,0),MATCH("Volume",'Semrush Data'!$A$1:$Z$1,0)),""))</f>
        <v>0</v>
      </c>
      <c r="R465" s="24" t="str">
        <f aca="false">IF(M465="","",IFERROR(INDEX('Semrush Data'!$A$1:$Z$20000,MATCH(M465,'Semrush Data'!$A$1:$A$20000,0),MATCH("Volume",'Semrush Data'!$A$1:$Z$1,0)),""))</f>
        <v/>
      </c>
      <c r="S465" s="24" t="str">
        <f aca="false">IF(N465="","",IFERROR(INDEX('Semrush Data'!$A$1:$Z$20000,MATCH(N465,'Semrush Data'!$A$1:$A$20000,0),MATCH("Volume",'Semrush Data'!$A$1:$Z$1,0)),""))</f>
        <v/>
      </c>
      <c r="T465" s="24" t="str">
        <f aca="false">IF(O465="","",IFERROR(INDEX('Semrush Data'!$A$1:$Z$20000,MATCH(O465,'Semrush Data'!$A$1:$A$20000,0),MATCH("Volume",'Semrush Data'!$A$1:$Z$1,0)),""))</f>
        <v/>
      </c>
      <c r="U465" s="24" t="str">
        <f aca="false">IF(P465="","",IFERROR(INDEX('Semrush Data'!$A$1:$Z$20000,MATCH(P465,'Semrush Data'!$A$1:$A$20000,0),MATCH("Volume",'Semrush Data'!$A$1:$Z$1,0)),""))</f>
        <v/>
      </c>
      <c r="V465" s="25" t="str">
        <f aca="false">IF(COUNT(Q465:U465)=0,L465,IF(MAX(Q465:U465)=0,L465,INDEX(L465:P465,MATCH(MAX(Q465:U465),Q465:U465,0))))</f>
        <v>philipp plein no limits deodorant stick</v>
      </c>
      <c r="W465" s="24" t="n">
        <f aca="false">IFERROR(INDEX('Semrush Data'!$A$1:$Z$20000,MATCH(V465,'Semrush Data'!$A$1:$A$20000,0),MATCH("Volume",'Semrush Data'!$A$1:$Z$1,0)),"")</f>
        <v>0</v>
      </c>
      <c r="X465" s="24" t="n">
        <f aca="false">IFERROR(INDEX('Semrush Data'!$A$1:$Z$20000,MATCH(V465,'Semrush Data'!$A$1:$A$20000,0),MATCH("Keyword Difficulty*",'Semrush Data'!$A$1:$Z$1,0)),"")</f>
        <v>22</v>
      </c>
      <c r="Y465" s="26" t="n">
        <f aca="false">IFERROR(INDEX('Semrush Data'!$A$1:$Z$20000,MATCH(V465,'Semrush Data'!$A$1:$A$20000,0),MATCH("CPC*",'Semrush Data'!$A$1:$Z$1,0)),"")</f>
        <v>0</v>
      </c>
      <c r="Z465" s="23" t="s">
        <v>5596</v>
      </c>
      <c r="AA465" s="23"/>
      <c r="AB465" s="23" t="s">
        <v>5597</v>
      </c>
      <c r="AC465" s="23" t="s">
        <v>5598</v>
      </c>
      <c r="AD465" s="27" t="n">
        <f aca="false">LEN(AC465)</f>
        <v>53</v>
      </c>
      <c r="AE465" s="23" t="s">
        <v>5599</v>
      </c>
      <c r="AF465" s="27" t="n">
        <f aca="false">LEN(AE465)</f>
        <v>152</v>
      </c>
    </row>
    <row r="466" customFormat="false" ht="15" hidden="false" customHeight="true" outlineLevel="0" collapsed="false">
      <c r="A466" s="23" t="s">
        <v>5600</v>
      </c>
      <c r="B466" s="23" t="s">
        <v>2449</v>
      </c>
      <c r="C466" s="23" t="n">
        <v>306</v>
      </c>
      <c r="D466" s="23" t="s">
        <v>5588</v>
      </c>
      <c r="E466" s="23" t="s">
        <v>5589</v>
      </c>
      <c r="F466" s="23" t="s">
        <v>2452</v>
      </c>
      <c r="G466" s="23" t="s">
        <v>2818</v>
      </c>
      <c r="H466" s="23" t="s">
        <v>2608</v>
      </c>
      <c r="I466" s="23" t="s">
        <v>5601</v>
      </c>
      <c r="J466" s="23" t="s">
        <v>1468</v>
      </c>
      <c r="K466" s="23" t="n">
        <v>25.99</v>
      </c>
      <c r="L466" s="23" t="s">
        <v>5602</v>
      </c>
      <c r="M466" s="23" t="s">
        <v>5603</v>
      </c>
      <c r="N466" s="23" t="s">
        <v>5604</v>
      </c>
      <c r="O466" s="23" t="s">
        <v>5605</v>
      </c>
      <c r="P466" s="23" t="s">
        <v>5606</v>
      </c>
      <c r="Q466" s="24" t="n">
        <f aca="false">IF(L466="","",IFERROR(INDEX('Semrush Data'!$A$1:$Z$20000,MATCH(L466,'Semrush Data'!$A$1:$A$20000,0),MATCH("Volume",'Semrush Data'!$A$1:$Z$1,0)),""))</f>
        <v>20</v>
      </c>
      <c r="R466" s="24" t="str">
        <f aca="false">IF(M466="","",IFERROR(INDEX('Semrush Data'!$A$1:$Z$20000,MATCH(M466,'Semrush Data'!$A$1:$A$20000,0),MATCH("Volume",'Semrush Data'!$A$1:$Z$1,0)),""))</f>
        <v/>
      </c>
      <c r="S466" s="24" t="str">
        <f aca="false">IF(N466="","",IFERROR(INDEX('Semrush Data'!$A$1:$Z$20000,MATCH(N466,'Semrush Data'!$A$1:$A$20000,0),MATCH("Volume",'Semrush Data'!$A$1:$Z$1,0)),""))</f>
        <v/>
      </c>
      <c r="T466" s="24" t="str">
        <f aca="false">IF(O466="","",IFERROR(INDEX('Semrush Data'!$A$1:$Z$20000,MATCH(O466,'Semrush Data'!$A$1:$A$20000,0),MATCH("Volume",'Semrush Data'!$A$1:$Z$1,0)),""))</f>
        <v/>
      </c>
      <c r="U466" s="24" t="str">
        <f aca="false">IF(P466="","",IFERROR(INDEX('Semrush Data'!$A$1:$Z$20000,MATCH(P466,'Semrush Data'!$A$1:$A$20000,0),MATCH("Volume",'Semrush Data'!$A$1:$Z$1,0)),""))</f>
        <v/>
      </c>
      <c r="V466" s="25" t="str">
        <f aca="false">IF(COUNT(Q466:U466)=0,L466,IF(MAX(Q466:U466)=0,L466,INDEX(L466:P466,MATCH(MAX(Q466:U466),Q466:U466,0))))</f>
        <v>philipp plein no limits super fresh</v>
      </c>
      <c r="W466" s="24" t="n">
        <f aca="false">IFERROR(INDEX('Semrush Data'!$A$1:$Z$20000,MATCH(V466,'Semrush Data'!$A$1:$A$20000,0),MATCH("Volume",'Semrush Data'!$A$1:$Z$1,0)),"")</f>
        <v>20</v>
      </c>
      <c r="X466" s="24" t="n">
        <f aca="false">IFERROR(INDEX('Semrush Data'!$A$1:$Z$20000,MATCH(V466,'Semrush Data'!$A$1:$A$20000,0),MATCH("Keyword Difficulty*",'Semrush Data'!$A$1:$Z$1,0)),"")</f>
        <v>17</v>
      </c>
      <c r="Y466" s="26" t="n">
        <f aca="false">IFERROR(INDEX('Semrush Data'!$A$1:$Z$20000,MATCH(V466,'Semrush Data'!$A$1:$A$20000,0),MATCH("CPC*",'Semrush Data'!$A$1:$Z$1,0)),"")</f>
        <v>0</v>
      </c>
      <c r="Z466" s="23" t="s">
        <v>5596</v>
      </c>
      <c r="AA466" s="23"/>
      <c r="AB466" s="23" t="s">
        <v>5607</v>
      </c>
      <c r="AC466" s="23" t="s">
        <v>5608</v>
      </c>
      <c r="AD466" s="27" t="n">
        <f aca="false">LEN(AC466)</f>
        <v>58</v>
      </c>
      <c r="AE466" s="23" t="s">
        <v>5609</v>
      </c>
      <c r="AF466" s="27" t="n">
        <f aca="false">LEN(AE466)</f>
        <v>159</v>
      </c>
    </row>
    <row r="467" customFormat="false" ht="15" hidden="false" customHeight="true" outlineLevel="0" collapsed="false">
      <c r="A467" s="23" t="s">
        <v>5610</v>
      </c>
      <c r="B467" s="23" t="s">
        <v>2449</v>
      </c>
      <c r="C467" s="23" t="n">
        <v>307</v>
      </c>
      <c r="D467" s="23" t="s">
        <v>5588</v>
      </c>
      <c r="E467" s="23" t="s">
        <v>5589</v>
      </c>
      <c r="F467" s="23" t="s">
        <v>2452</v>
      </c>
      <c r="G467" s="23" t="s">
        <v>5611</v>
      </c>
      <c r="H467" s="23" t="s">
        <v>2608</v>
      </c>
      <c r="I467" s="23" t="s">
        <v>5612</v>
      </c>
      <c r="J467" s="23" t="s">
        <v>2934</v>
      </c>
      <c r="K467" s="23" t="n">
        <v>23.99</v>
      </c>
      <c r="L467" s="23" t="s">
        <v>5613</v>
      </c>
      <c r="M467" s="23" t="s">
        <v>5614</v>
      </c>
      <c r="N467" s="23" t="s">
        <v>5615</v>
      </c>
      <c r="O467" s="23" t="s">
        <v>5616</v>
      </c>
      <c r="P467" s="23"/>
      <c r="Q467" s="24" t="n">
        <f aca="false">IF(L467="","",IFERROR(INDEX('Semrush Data'!$A$1:$Z$20000,MATCH(L467,'Semrush Data'!$A$1:$A$20000,0),MATCH("Volume",'Semrush Data'!$A$1:$Z$1,0)),""))</f>
        <v>0</v>
      </c>
      <c r="R467" s="24" t="str">
        <f aca="false">IF(M467="","",IFERROR(INDEX('Semrush Data'!$A$1:$Z$20000,MATCH(M467,'Semrush Data'!$A$1:$A$20000,0),MATCH("Volume",'Semrush Data'!$A$1:$Z$1,0)),""))</f>
        <v/>
      </c>
      <c r="S467" s="24" t="str">
        <f aca="false">IF(N467="","",IFERROR(INDEX('Semrush Data'!$A$1:$Z$20000,MATCH(N467,'Semrush Data'!$A$1:$A$20000,0),MATCH("Volume",'Semrush Data'!$A$1:$Z$1,0)),""))</f>
        <v/>
      </c>
      <c r="T467" s="24" t="str">
        <f aca="false">IF(O467="","",IFERROR(INDEX('Semrush Data'!$A$1:$Z$20000,MATCH(O467,'Semrush Data'!$A$1:$A$20000,0),MATCH("Volume",'Semrush Data'!$A$1:$Z$1,0)),""))</f>
        <v/>
      </c>
      <c r="U467" s="24" t="str">
        <f aca="false">IF(P467="","",IFERROR(INDEX('Semrush Data'!$A$1:$Z$20000,MATCH(P467,'Semrush Data'!$A$1:$A$20000,0),MATCH("Volume",'Semrush Data'!$A$1:$Z$1,0)),""))</f>
        <v/>
      </c>
      <c r="V467" s="25" t="str">
        <f aca="false">IF(COUNT(Q467:U467)=0,L467,IF(MAX(Q467:U467)=0,L467,INDEX(L467:P467,MATCH(MAX(Q467:U467),Q467:U467,0))))</f>
        <v>philipp plein no limits after shave balm</v>
      </c>
      <c r="W467" s="24" t="n">
        <f aca="false">IFERROR(INDEX('Semrush Data'!$A$1:$Z$20000,MATCH(V467,'Semrush Data'!$A$1:$A$20000,0),MATCH("Volume",'Semrush Data'!$A$1:$Z$1,0)),"")</f>
        <v>0</v>
      </c>
      <c r="X467" s="24" t="n">
        <f aca="false">IFERROR(INDEX('Semrush Data'!$A$1:$Z$20000,MATCH(V467,'Semrush Data'!$A$1:$A$20000,0),MATCH("Keyword Difficulty*",'Semrush Data'!$A$1:$Z$1,0)),"")</f>
        <v>13</v>
      </c>
      <c r="Y467" s="26" t="n">
        <f aca="false">IFERROR(INDEX('Semrush Data'!$A$1:$Z$20000,MATCH(V467,'Semrush Data'!$A$1:$A$20000,0),MATCH("CPC*",'Semrush Data'!$A$1:$Z$1,0)),"")</f>
        <v>0</v>
      </c>
      <c r="Z467" s="23" t="s">
        <v>5596</v>
      </c>
      <c r="AA467" s="23"/>
      <c r="AB467" s="23" t="s">
        <v>5617</v>
      </c>
      <c r="AC467" s="23" t="s">
        <v>5618</v>
      </c>
      <c r="AD467" s="27" t="n">
        <f aca="false">LEN(AC467)</f>
        <v>54</v>
      </c>
      <c r="AE467" s="23" t="s">
        <v>5619</v>
      </c>
      <c r="AF467" s="27" t="n">
        <f aca="false">LEN(AE467)</f>
        <v>155</v>
      </c>
    </row>
    <row r="468" customFormat="false" ht="15" hidden="false" customHeight="true" outlineLevel="0" collapsed="false">
      <c r="A468" s="23" t="s">
        <v>5620</v>
      </c>
      <c r="B468" s="23" t="s">
        <v>2449</v>
      </c>
      <c r="C468" s="23" t="n">
        <v>308</v>
      </c>
      <c r="D468" s="23" t="s">
        <v>5621</v>
      </c>
      <c r="E468" s="23"/>
      <c r="F468" s="23" t="s">
        <v>2452</v>
      </c>
      <c r="G468" s="23" t="s">
        <v>2453</v>
      </c>
      <c r="H468" s="23" t="s">
        <v>3919</v>
      </c>
      <c r="I468" s="23" t="s">
        <v>5622</v>
      </c>
      <c r="J468" s="23" t="s">
        <v>1994</v>
      </c>
      <c r="K468" s="23" t="n">
        <v>17.99</v>
      </c>
      <c r="L468" s="23" t="s">
        <v>5623</v>
      </c>
      <c r="M468" s="23" t="s">
        <v>5624</v>
      </c>
      <c r="N468" s="23" t="s">
        <v>5625</v>
      </c>
      <c r="O468" s="23" t="s">
        <v>5626</v>
      </c>
      <c r="P468" s="23" t="s">
        <v>5627</v>
      </c>
      <c r="Q468" s="24" t="n">
        <f aca="false">IF(L468="","",IFERROR(INDEX('Semrush Data'!$A$1:$Z$20000,MATCH(L468,'Semrush Data'!$A$1:$A$20000,0),MATCH("Volume",'Semrush Data'!$A$1:$Z$1,0)),""))</f>
        <v>0</v>
      </c>
      <c r="R468" s="24" t="str">
        <f aca="false">IF(M468="","",IFERROR(INDEX('Semrush Data'!$A$1:$Z$20000,MATCH(M468,'Semrush Data'!$A$1:$A$20000,0),MATCH("Volume",'Semrush Data'!$A$1:$Z$1,0)),""))</f>
        <v/>
      </c>
      <c r="S468" s="24" t="str">
        <f aca="false">IF(N468="","",IFERROR(INDEX('Semrush Data'!$A$1:$Z$20000,MATCH(N468,'Semrush Data'!$A$1:$A$20000,0),MATCH("Volume",'Semrush Data'!$A$1:$Z$1,0)),""))</f>
        <v/>
      </c>
      <c r="T468" s="24" t="str">
        <f aca="false">IF(O468="","",IFERROR(INDEX('Semrush Data'!$A$1:$Z$20000,MATCH(O468,'Semrush Data'!$A$1:$A$20000,0),MATCH("Volume",'Semrush Data'!$A$1:$Z$1,0)),""))</f>
        <v/>
      </c>
      <c r="U468" s="24" t="str">
        <f aca="false">IF(P468="","",IFERROR(INDEX('Semrush Data'!$A$1:$Z$20000,MATCH(P468,'Semrush Data'!$A$1:$A$20000,0),MATCH("Volume",'Semrush Data'!$A$1:$Z$1,0)),""))</f>
        <v/>
      </c>
      <c r="V468" s="25" t="str">
        <f aca="false">IF(COUNT(Q468:U468)=0,L468,IF(MAX(Q468:U468)=0,L468,INDEX(L468:P468,MATCH(MAX(Q468:U468),Q468:U468,0))))</f>
        <v>rihanah ajwaa oud</v>
      </c>
      <c r="W468" s="24" t="n">
        <f aca="false">IFERROR(INDEX('Semrush Data'!$A$1:$Z$20000,MATCH(V468,'Semrush Data'!$A$1:$A$20000,0),MATCH("Volume",'Semrush Data'!$A$1:$Z$1,0)),"")</f>
        <v>0</v>
      </c>
      <c r="X468" s="24" t="n">
        <f aca="false">IFERROR(INDEX('Semrush Data'!$A$1:$Z$20000,MATCH(V468,'Semrush Data'!$A$1:$A$20000,0),MATCH("Keyword Difficulty*",'Semrush Data'!$A$1:$Z$1,0)),"")</f>
        <v>16</v>
      </c>
      <c r="Y468" s="26" t="n">
        <f aca="false">IFERROR(INDEX('Semrush Data'!$A$1:$Z$20000,MATCH(V468,'Semrush Data'!$A$1:$A$20000,0),MATCH("CPC*",'Semrush Data'!$A$1:$Z$1,0)),"")</f>
        <v>0</v>
      </c>
      <c r="Z468" s="23" t="s">
        <v>5628</v>
      </c>
      <c r="AA468" s="23"/>
      <c r="AB468" s="23" t="s">
        <v>5629</v>
      </c>
      <c r="AC468" s="23" t="s">
        <v>5630</v>
      </c>
      <c r="AD468" s="27" t="n">
        <f aca="false">LEN(AC468)</f>
        <v>60</v>
      </c>
      <c r="AE468" s="23" t="s">
        <v>5631</v>
      </c>
      <c r="AF468" s="27" t="n">
        <f aca="false">LEN(AE468)</f>
        <v>159</v>
      </c>
    </row>
    <row r="469" customFormat="false" ht="15" hidden="false" customHeight="true" outlineLevel="0" collapsed="false">
      <c r="A469" s="23" t="s">
        <v>5632</v>
      </c>
      <c r="B469" s="23" t="s">
        <v>2449</v>
      </c>
      <c r="C469" s="23" t="n">
        <v>309</v>
      </c>
      <c r="D469" s="23" t="s">
        <v>5633</v>
      </c>
      <c r="E469" s="23"/>
      <c r="F469" s="23" t="s">
        <v>2452</v>
      </c>
      <c r="G469" s="23" t="s">
        <v>2453</v>
      </c>
      <c r="H469" s="23" t="s">
        <v>2583</v>
      </c>
      <c r="I469" s="23" t="s">
        <v>5634</v>
      </c>
      <c r="J469" s="23" t="s">
        <v>1994</v>
      </c>
      <c r="K469" s="23" t="n">
        <v>43.99</v>
      </c>
      <c r="L469" s="23" t="s">
        <v>5635</v>
      </c>
      <c r="M469" s="23" t="s">
        <v>5636</v>
      </c>
      <c r="N469" s="23" t="s">
        <v>5637</v>
      </c>
      <c r="O469" s="23" t="s">
        <v>5638</v>
      </c>
      <c r="P469" s="23" t="s">
        <v>5639</v>
      </c>
      <c r="Q469" s="24" t="n">
        <f aca="false">IF(L469="","",IFERROR(INDEX('Semrush Data'!$A$1:$Z$20000,MATCH(L469,'Semrush Data'!$A$1:$A$20000,0),MATCH("Volume",'Semrush Data'!$A$1:$Z$1,0)),""))</f>
        <v>0</v>
      </c>
      <c r="R469" s="24" t="str">
        <f aca="false">IF(M469="","",IFERROR(INDEX('Semrush Data'!$A$1:$Z$20000,MATCH(M469,'Semrush Data'!$A$1:$A$20000,0),MATCH("Volume",'Semrush Data'!$A$1:$Z$1,0)),""))</f>
        <v/>
      </c>
      <c r="S469" s="24" t="str">
        <f aca="false">IF(N469="","",IFERROR(INDEX('Semrush Data'!$A$1:$Z$20000,MATCH(N469,'Semrush Data'!$A$1:$A$20000,0),MATCH("Volume",'Semrush Data'!$A$1:$Z$1,0)),""))</f>
        <v/>
      </c>
      <c r="T469" s="24" t="str">
        <f aca="false">IF(O469="","",IFERROR(INDEX('Semrush Data'!$A$1:$Z$20000,MATCH(O469,'Semrush Data'!$A$1:$A$20000,0),MATCH("Volume",'Semrush Data'!$A$1:$Z$1,0)),""))</f>
        <v/>
      </c>
      <c r="U469" s="24" t="str">
        <f aca="false">IF(P469="","",IFERROR(INDEX('Semrush Data'!$A$1:$Z$20000,MATCH(P469,'Semrush Data'!$A$1:$A$20000,0),MATCH("Volume",'Semrush Data'!$A$1:$Z$1,0)),""))</f>
        <v/>
      </c>
      <c r="V469" s="25" t="str">
        <f aca="false">IF(COUNT(Q469:U469)=0,L469,IF(MAX(Q469:U469)=0,L469,INDEX(L469:P469,MATCH(MAX(Q469:U469),Q469:U469,0))))</f>
        <v>s.t. dupont perfect tobacco</v>
      </c>
      <c r="W469" s="24" t="n">
        <f aca="false">IFERROR(INDEX('Semrush Data'!$A$1:$Z$20000,MATCH(V469,'Semrush Data'!$A$1:$A$20000,0),MATCH("Volume",'Semrush Data'!$A$1:$Z$1,0)),"")</f>
        <v>0</v>
      </c>
      <c r="X469" s="24" t="n">
        <f aca="false">IFERROR(INDEX('Semrush Data'!$A$1:$Z$20000,MATCH(V469,'Semrush Data'!$A$1:$A$20000,0),MATCH("Keyword Difficulty*",'Semrush Data'!$A$1:$Z$1,0)),"")</f>
        <v>15</v>
      </c>
      <c r="Y469" s="26" t="n">
        <f aca="false">IFERROR(INDEX('Semrush Data'!$A$1:$Z$20000,MATCH(V469,'Semrush Data'!$A$1:$A$20000,0),MATCH("CPC*",'Semrush Data'!$A$1:$Z$1,0)),"")</f>
        <v>0</v>
      </c>
      <c r="Z469" s="23" t="s">
        <v>5640</v>
      </c>
      <c r="AA469" s="23"/>
      <c r="AB469" s="23" t="s">
        <v>5641</v>
      </c>
      <c r="AC469" s="23" t="s">
        <v>5642</v>
      </c>
      <c r="AD469" s="27" t="n">
        <f aca="false">LEN(AC469)</f>
        <v>55</v>
      </c>
      <c r="AE469" s="23" t="s">
        <v>5643</v>
      </c>
      <c r="AF469" s="27" t="n">
        <f aca="false">LEN(AE469)</f>
        <v>155</v>
      </c>
    </row>
    <row r="470" customFormat="false" ht="15" hidden="false" customHeight="true" outlineLevel="0" collapsed="false">
      <c r="A470" s="23" t="s">
        <v>5644</v>
      </c>
      <c r="B470" s="23" t="s">
        <v>2449</v>
      </c>
      <c r="C470" s="23" t="n">
        <v>310</v>
      </c>
      <c r="D470" s="23" t="s">
        <v>5633</v>
      </c>
      <c r="E470" s="23"/>
      <c r="F470" s="23" t="s">
        <v>2452</v>
      </c>
      <c r="G470" s="23" t="s">
        <v>2453</v>
      </c>
      <c r="H470" s="23" t="s">
        <v>2454</v>
      </c>
      <c r="I470" s="23" t="s">
        <v>5645</v>
      </c>
      <c r="J470" s="23" t="s">
        <v>1994</v>
      </c>
      <c r="K470" s="23" t="n">
        <v>43.99</v>
      </c>
      <c r="L470" s="23" t="s">
        <v>5646</v>
      </c>
      <c r="M470" s="23" t="s">
        <v>5647</v>
      </c>
      <c r="N470" s="23" t="s">
        <v>5648</v>
      </c>
      <c r="O470" s="23" t="s">
        <v>5649</v>
      </c>
      <c r="P470" s="23" t="s">
        <v>5650</v>
      </c>
      <c r="Q470" s="24" t="n">
        <f aca="false">IF(L470="","",IFERROR(INDEX('Semrush Data'!$A$1:$Z$20000,MATCH(L470,'Semrush Data'!$A$1:$A$20000,0),MATCH("Volume",'Semrush Data'!$A$1:$Z$1,0)),""))</f>
        <v>0</v>
      </c>
      <c r="R470" s="24" t="str">
        <f aca="false">IF(M470="","",IFERROR(INDEX('Semrush Data'!$A$1:$Z$20000,MATCH(M470,'Semrush Data'!$A$1:$A$20000,0),MATCH("Volume",'Semrush Data'!$A$1:$Z$1,0)),""))</f>
        <v/>
      </c>
      <c r="S470" s="24" t="str">
        <f aca="false">IF(N470="","",IFERROR(INDEX('Semrush Data'!$A$1:$Z$20000,MATCH(N470,'Semrush Data'!$A$1:$A$20000,0),MATCH("Volume",'Semrush Data'!$A$1:$Z$1,0)),""))</f>
        <v/>
      </c>
      <c r="T470" s="24" t="str">
        <f aca="false">IF(O470="","",IFERROR(INDEX('Semrush Data'!$A$1:$Z$20000,MATCH(O470,'Semrush Data'!$A$1:$A$20000,0),MATCH("Volume",'Semrush Data'!$A$1:$Z$1,0)),""))</f>
        <v/>
      </c>
      <c r="U470" s="24" t="str">
        <f aca="false">IF(P470="","",IFERROR(INDEX('Semrush Data'!$A$1:$Z$20000,MATCH(P470,'Semrush Data'!$A$1:$A$20000,0),MATCH("Volume",'Semrush Data'!$A$1:$Z$1,0)),""))</f>
        <v/>
      </c>
      <c r="V470" s="25" t="str">
        <f aca="false">IF(COUNT(Q470:U470)=0,L470,IF(MAX(Q470:U470)=0,L470,INDEX(L470:P470,MATCH(MAX(Q470:U470),Q470:U470,0))))</f>
        <v>s.t. dupont pure bloom</v>
      </c>
      <c r="W470" s="24" t="n">
        <f aca="false">IFERROR(INDEX('Semrush Data'!$A$1:$Z$20000,MATCH(V470,'Semrush Data'!$A$1:$A$20000,0),MATCH("Volume",'Semrush Data'!$A$1:$Z$1,0)),"")</f>
        <v>0</v>
      </c>
      <c r="X470" s="24" t="n">
        <f aca="false">IFERROR(INDEX('Semrush Data'!$A$1:$Z$20000,MATCH(V470,'Semrush Data'!$A$1:$A$20000,0),MATCH("Keyword Difficulty*",'Semrush Data'!$A$1:$Z$1,0)),"")</f>
        <v>14</v>
      </c>
      <c r="Y470" s="26" t="n">
        <f aca="false">IFERROR(INDEX('Semrush Data'!$A$1:$Z$20000,MATCH(V470,'Semrush Data'!$A$1:$A$20000,0),MATCH("CPC*",'Semrush Data'!$A$1:$Z$1,0)),"")</f>
        <v>0</v>
      </c>
      <c r="Z470" s="23" t="s">
        <v>5651</v>
      </c>
      <c r="AA470" s="23"/>
      <c r="AB470" s="23" t="s">
        <v>5652</v>
      </c>
      <c r="AC470" s="23" t="s">
        <v>5653</v>
      </c>
      <c r="AD470" s="27" t="n">
        <f aca="false">LEN(AC470)</f>
        <v>59</v>
      </c>
      <c r="AE470" s="23" t="s">
        <v>5654</v>
      </c>
      <c r="AF470" s="27" t="n">
        <f aca="false">LEN(AE470)</f>
        <v>158</v>
      </c>
    </row>
    <row r="471" customFormat="false" ht="15" hidden="false" customHeight="true" outlineLevel="0" collapsed="false">
      <c r="A471" s="23" t="s">
        <v>5655</v>
      </c>
      <c r="B471" s="23" t="s">
        <v>2449</v>
      </c>
      <c r="C471" s="23" t="n">
        <v>311</v>
      </c>
      <c r="D471" s="23" t="s">
        <v>5633</v>
      </c>
      <c r="E471" s="23"/>
      <c r="F471" s="23" t="s">
        <v>2452</v>
      </c>
      <c r="G471" s="23" t="s">
        <v>2453</v>
      </c>
      <c r="H471" s="23" t="s">
        <v>2583</v>
      </c>
      <c r="I471" s="23" t="s">
        <v>5656</v>
      </c>
      <c r="J471" s="23" t="s">
        <v>1994</v>
      </c>
      <c r="K471" s="23" t="n">
        <v>43.99</v>
      </c>
      <c r="L471" s="23" t="s">
        <v>5657</v>
      </c>
      <c r="M471" s="23" t="s">
        <v>5658</v>
      </c>
      <c r="N471" s="23" t="s">
        <v>5659</v>
      </c>
      <c r="O471" s="23" t="s">
        <v>5660</v>
      </c>
      <c r="P471" s="23" t="s">
        <v>5661</v>
      </c>
      <c r="Q471" s="24" t="n">
        <f aca="false">IF(L471="","",IFERROR(INDEX('Semrush Data'!$A$1:$Z$20000,MATCH(L471,'Semrush Data'!$A$1:$A$20000,0),MATCH("Volume",'Semrush Data'!$A$1:$Z$1,0)),""))</f>
        <v>0</v>
      </c>
      <c r="R471" s="24" t="str">
        <f aca="false">IF(M471="","",IFERROR(INDEX('Semrush Data'!$A$1:$Z$20000,MATCH(M471,'Semrush Data'!$A$1:$A$20000,0),MATCH("Volume",'Semrush Data'!$A$1:$Z$1,0)),""))</f>
        <v/>
      </c>
      <c r="S471" s="24" t="str">
        <f aca="false">IF(N471="","",IFERROR(INDEX('Semrush Data'!$A$1:$Z$20000,MATCH(N471,'Semrush Data'!$A$1:$A$20000,0),MATCH("Volume",'Semrush Data'!$A$1:$Z$1,0)),""))</f>
        <v/>
      </c>
      <c r="T471" s="24" t="str">
        <f aca="false">IF(O471="","",IFERROR(INDEX('Semrush Data'!$A$1:$Z$20000,MATCH(O471,'Semrush Data'!$A$1:$A$20000,0),MATCH("Volume",'Semrush Data'!$A$1:$Z$1,0)),""))</f>
        <v/>
      </c>
      <c r="U471" s="24" t="str">
        <f aca="false">IF(P471="","",IFERROR(INDEX('Semrush Data'!$A$1:$Z$20000,MATCH(P471,'Semrush Data'!$A$1:$A$20000,0),MATCH("Volume",'Semrush Data'!$A$1:$Z$1,0)),""))</f>
        <v/>
      </c>
      <c r="V471" s="25" t="str">
        <f aca="false">IF(COUNT(Q471:U471)=0,L471,IF(MAX(Q471:U471)=0,L471,INDEX(L471:P471,MATCH(MAX(Q471:U471),Q471:U471,0))))</f>
        <v>s.t. dupont royal amber</v>
      </c>
      <c r="W471" s="24" t="n">
        <f aca="false">IFERROR(INDEX('Semrush Data'!$A$1:$Z$20000,MATCH(V471,'Semrush Data'!$A$1:$A$20000,0),MATCH("Volume",'Semrush Data'!$A$1:$Z$1,0)),"")</f>
        <v>0</v>
      </c>
      <c r="X471" s="24" t="n">
        <f aca="false">IFERROR(INDEX('Semrush Data'!$A$1:$Z$20000,MATCH(V471,'Semrush Data'!$A$1:$A$20000,0),MATCH("Keyword Difficulty*",'Semrush Data'!$A$1:$Z$1,0)),"")</f>
        <v>13</v>
      </c>
      <c r="Y471" s="26" t="n">
        <f aca="false">IFERROR(INDEX('Semrush Data'!$A$1:$Z$20000,MATCH(V471,'Semrush Data'!$A$1:$A$20000,0),MATCH("CPC*",'Semrush Data'!$A$1:$Z$1,0)),"")</f>
        <v>0</v>
      </c>
      <c r="Z471" s="23" t="s">
        <v>5640</v>
      </c>
      <c r="AA471" s="23"/>
      <c r="AB471" s="23" t="s">
        <v>5662</v>
      </c>
      <c r="AC471" s="23" t="s">
        <v>5663</v>
      </c>
      <c r="AD471" s="27" t="n">
        <f aca="false">LEN(AC471)</f>
        <v>60</v>
      </c>
      <c r="AE471" s="23" t="s">
        <v>5664</v>
      </c>
      <c r="AF471" s="27" t="n">
        <f aca="false">LEN(AE471)</f>
        <v>157</v>
      </c>
    </row>
    <row r="472" customFormat="false" ht="15" hidden="false" customHeight="true" outlineLevel="0" collapsed="false">
      <c r="A472" s="23" t="s">
        <v>5665</v>
      </c>
      <c r="B472" s="23" t="s">
        <v>2449</v>
      </c>
      <c r="C472" s="23" t="n">
        <v>312</v>
      </c>
      <c r="D472" s="23" t="s">
        <v>5666</v>
      </c>
      <c r="E472" s="23"/>
      <c r="F472" s="23" t="s">
        <v>2452</v>
      </c>
      <c r="G472" s="23" t="s">
        <v>2735</v>
      </c>
      <c r="H472" s="23" t="s">
        <v>2538</v>
      </c>
      <c r="I472" s="23" t="s">
        <v>5667</v>
      </c>
      <c r="J472" s="23" t="s">
        <v>1994</v>
      </c>
      <c r="K472" s="23" t="n">
        <v>37.95</v>
      </c>
      <c r="L472" s="23" t="s">
        <v>5668</v>
      </c>
      <c r="M472" s="23" t="s">
        <v>5669</v>
      </c>
      <c r="N472" s="23" t="s">
        <v>5670</v>
      </c>
      <c r="O472" s="23" t="s">
        <v>5671</v>
      </c>
      <c r="P472" s="23" t="s">
        <v>5672</v>
      </c>
      <c r="Q472" s="24" t="n">
        <f aca="false">IF(L472="","",IFERROR(INDEX('Semrush Data'!$A$1:$Z$20000,MATCH(L472,'Semrush Data'!$A$1:$A$20000,0),MATCH("Volume",'Semrush Data'!$A$1:$Z$1,0)),""))</f>
        <v>20</v>
      </c>
      <c r="R472" s="24" t="str">
        <f aca="false">IF(M472="","",IFERROR(INDEX('Semrush Data'!$A$1:$Z$20000,MATCH(M472,'Semrush Data'!$A$1:$A$20000,0),MATCH("Volume",'Semrush Data'!$A$1:$Z$1,0)),""))</f>
        <v/>
      </c>
      <c r="S472" s="24" t="str">
        <f aca="false">IF(N472="","",IFERROR(INDEX('Semrush Data'!$A$1:$Z$20000,MATCH(N472,'Semrush Data'!$A$1:$A$20000,0),MATCH("Volume",'Semrush Data'!$A$1:$Z$1,0)),""))</f>
        <v/>
      </c>
      <c r="T472" s="24" t="str">
        <f aca="false">IF(O472="","",IFERROR(INDEX('Semrush Data'!$A$1:$Z$20000,MATCH(O472,'Semrush Data'!$A$1:$A$20000,0),MATCH("Volume",'Semrush Data'!$A$1:$Z$1,0)),""))</f>
        <v/>
      </c>
      <c r="U472" s="24" t="str">
        <f aca="false">IF(P472="","",IFERROR(INDEX('Semrush Data'!$A$1:$Z$20000,MATCH(P472,'Semrush Data'!$A$1:$A$20000,0),MATCH("Volume",'Semrush Data'!$A$1:$Z$1,0)),""))</f>
        <v/>
      </c>
      <c r="V472" s="25" t="str">
        <f aca="false">IF(COUNT(Q472:U472)=0,L472,IF(MAX(Q472:U472)=0,L472,INDEX(L472:P472,MATCH(MAX(Q472:U472),Q472:U472,0))))</f>
        <v>sap le roi</v>
      </c>
      <c r="W472" s="24" t="n">
        <f aca="false">IFERROR(INDEX('Semrush Data'!$A$1:$Z$20000,MATCH(V472,'Semrush Data'!$A$1:$A$20000,0),MATCH("Volume",'Semrush Data'!$A$1:$Z$1,0)),"")</f>
        <v>20</v>
      </c>
      <c r="X472" s="24" t="n">
        <f aca="false">IFERROR(INDEX('Semrush Data'!$A$1:$Z$20000,MATCH(V472,'Semrush Data'!$A$1:$A$20000,0),MATCH("Keyword Difficulty*",'Semrush Data'!$A$1:$Z$1,0)),"")</f>
        <v>8</v>
      </c>
      <c r="Y472" s="26" t="n">
        <f aca="false">IFERROR(INDEX('Semrush Data'!$A$1:$Z$20000,MATCH(V472,'Semrush Data'!$A$1:$A$20000,0),MATCH("CPC*",'Semrush Data'!$A$1:$Z$1,0)),"")</f>
        <v>0</v>
      </c>
      <c r="Z472" s="23" t="s">
        <v>5673</v>
      </c>
      <c r="AA472" s="23" t="s">
        <v>5674</v>
      </c>
      <c r="AB472" s="23" t="s">
        <v>5675</v>
      </c>
      <c r="AC472" s="23" t="s">
        <v>5676</v>
      </c>
      <c r="AD472" s="27" t="n">
        <f aca="false">LEN(AC472)</f>
        <v>55</v>
      </c>
      <c r="AE472" s="23" t="s">
        <v>5677</v>
      </c>
      <c r="AF472" s="27" t="n">
        <f aca="false">LEN(AE472)</f>
        <v>153</v>
      </c>
    </row>
    <row r="473" customFormat="false" ht="15" hidden="false" customHeight="true" outlineLevel="0" collapsed="false">
      <c r="A473" s="23" t="s">
        <v>5678</v>
      </c>
      <c r="B473" s="23" t="s">
        <v>2449</v>
      </c>
      <c r="C473" s="23" t="n">
        <v>313</v>
      </c>
      <c r="D473" s="23" t="s">
        <v>5666</v>
      </c>
      <c r="E473" s="23"/>
      <c r="F473" s="23" t="s">
        <v>2452</v>
      </c>
      <c r="G473" s="23" t="s">
        <v>2735</v>
      </c>
      <c r="H473" s="23" t="s">
        <v>3919</v>
      </c>
      <c r="I473" s="23" t="s">
        <v>5679</v>
      </c>
      <c r="J473" s="23" t="s">
        <v>1994</v>
      </c>
      <c r="K473" s="23" t="n">
        <v>37.95</v>
      </c>
      <c r="L473" s="23" t="s">
        <v>5680</v>
      </c>
      <c r="M473" s="23" t="s">
        <v>5681</v>
      </c>
      <c r="N473" s="23" t="s">
        <v>5682</v>
      </c>
      <c r="O473" s="23" t="s">
        <v>5683</v>
      </c>
      <c r="P473" s="23" t="s">
        <v>5684</v>
      </c>
      <c r="Q473" s="24" t="n">
        <f aca="false">IF(L473="","",IFERROR(INDEX('Semrush Data'!$A$1:$Z$20000,MATCH(L473,'Semrush Data'!$A$1:$A$20000,0),MATCH("Volume",'Semrush Data'!$A$1:$Z$1,0)),""))</f>
        <v>0</v>
      </c>
      <c r="R473" s="24" t="str">
        <f aca="false">IF(M473="","",IFERROR(INDEX('Semrush Data'!$A$1:$Z$20000,MATCH(M473,'Semrush Data'!$A$1:$A$20000,0),MATCH("Volume",'Semrush Data'!$A$1:$Z$1,0)),""))</f>
        <v/>
      </c>
      <c r="S473" s="24" t="str">
        <f aca="false">IF(N473="","",IFERROR(INDEX('Semrush Data'!$A$1:$Z$20000,MATCH(N473,'Semrush Data'!$A$1:$A$20000,0),MATCH("Volume",'Semrush Data'!$A$1:$Z$1,0)),""))</f>
        <v/>
      </c>
      <c r="T473" s="24" t="str">
        <f aca="false">IF(O473="","",IFERROR(INDEX('Semrush Data'!$A$1:$Z$20000,MATCH(O473,'Semrush Data'!$A$1:$A$20000,0),MATCH("Volume",'Semrush Data'!$A$1:$Z$1,0)),""))</f>
        <v/>
      </c>
      <c r="U473" s="24" t="str">
        <f aca="false">IF(P473="","",IFERROR(INDEX('Semrush Data'!$A$1:$Z$20000,MATCH(P473,'Semrush Data'!$A$1:$A$20000,0),MATCH("Volume",'Semrush Data'!$A$1:$Z$1,0)),""))</f>
        <v/>
      </c>
      <c r="V473" s="25" t="str">
        <f aca="false">IF(COUNT(Q473:U473)=0,L473,IF(MAX(Q473:U473)=0,L473,INDEX(L473:P473,MATCH(MAX(Q473:U473),Q473:U473,0))))</f>
        <v>sap oud leopard fr</v>
      </c>
      <c r="W473" s="24" t="n">
        <f aca="false">IFERROR(INDEX('Semrush Data'!$A$1:$Z$20000,MATCH(V473,'Semrush Data'!$A$1:$A$20000,0),MATCH("Volume",'Semrush Data'!$A$1:$Z$1,0)),"")</f>
        <v>0</v>
      </c>
      <c r="X473" s="24" t="n">
        <f aca="false">IFERROR(INDEX('Semrush Data'!$A$1:$Z$20000,MATCH(V473,'Semrush Data'!$A$1:$A$20000,0),MATCH("Keyword Difficulty*",'Semrush Data'!$A$1:$Z$1,0)),"")</f>
        <v>21</v>
      </c>
      <c r="Y473" s="26" t="n">
        <f aca="false">IFERROR(INDEX('Semrush Data'!$A$1:$Z$20000,MATCH(V473,'Semrush Data'!$A$1:$A$20000,0),MATCH("CPC*",'Semrush Data'!$A$1:$Z$1,0)),"")</f>
        <v>0</v>
      </c>
      <c r="Z473" s="23" t="s">
        <v>5685</v>
      </c>
      <c r="AA473" s="23"/>
      <c r="AB473" s="23" t="s">
        <v>5686</v>
      </c>
      <c r="AC473" s="23" t="s">
        <v>5687</v>
      </c>
      <c r="AD473" s="27" t="n">
        <f aca="false">LEN(AC473)</f>
        <v>59</v>
      </c>
      <c r="AE473" s="23" t="s">
        <v>5688</v>
      </c>
      <c r="AF473" s="27" t="n">
        <f aca="false">LEN(AE473)</f>
        <v>159</v>
      </c>
    </row>
    <row r="474" customFormat="false" ht="15" hidden="false" customHeight="true" outlineLevel="0" collapsed="false">
      <c r="A474" s="23" t="s">
        <v>5689</v>
      </c>
      <c r="B474" s="23" t="s">
        <v>2449</v>
      </c>
      <c r="C474" s="23" t="n">
        <v>314</v>
      </c>
      <c r="D474" s="23" t="s">
        <v>5666</v>
      </c>
      <c r="E474" s="23"/>
      <c r="F474" s="23" t="s">
        <v>2452</v>
      </c>
      <c r="G474" s="23" t="s">
        <v>2735</v>
      </c>
      <c r="H474" s="23" t="s">
        <v>2583</v>
      </c>
      <c r="I474" s="23" t="s">
        <v>5690</v>
      </c>
      <c r="J474" s="23" t="s">
        <v>1994</v>
      </c>
      <c r="K474" s="23" t="n">
        <v>37.95</v>
      </c>
      <c r="L474" s="23" t="s">
        <v>5691</v>
      </c>
      <c r="M474" s="23" t="s">
        <v>5692</v>
      </c>
      <c r="N474" s="23" t="s">
        <v>5693</v>
      </c>
      <c r="O474" s="23" t="s">
        <v>5694</v>
      </c>
      <c r="P474" s="23" t="s">
        <v>5695</v>
      </c>
      <c r="Q474" s="24" t="n">
        <f aca="false">IF(L474="","",IFERROR(INDEX('Semrush Data'!$A$1:$Z$20000,MATCH(L474,'Semrush Data'!$A$1:$A$20000,0),MATCH("Volume",'Semrush Data'!$A$1:$Z$1,0)),""))</f>
        <v>20</v>
      </c>
      <c r="R474" s="24" t="str">
        <f aca="false">IF(M474="","",IFERROR(INDEX('Semrush Data'!$A$1:$Z$20000,MATCH(M474,'Semrush Data'!$A$1:$A$20000,0),MATCH("Volume",'Semrush Data'!$A$1:$Z$1,0)),""))</f>
        <v/>
      </c>
      <c r="S474" s="24" t="str">
        <f aca="false">IF(N474="","",IFERROR(INDEX('Semrush Data'!$A$1:$Z$20000,MATCH(N474,'Semrush Data'!$A$1:$A$20000,0),MATCH("Volume",'Semrush Data'!$A$1:$Z$1,0)),""))</f>
        <v/>
      </c>
      <c r="T474" s="24" t="str">
        <f aca="false">IF(O474="","",IFERROR(INDEX('Semrush Data'!$A$1:$Z$20000,MATCH(O474,'Semrush Data'!$A$1:$A$20000,0),MATCH("Volume",'Semrush Data'!$A$1:$Z$1,0)),""))</f>
        <v/>
      </c>
      <c r="U474" s="24" t="str">
        <f aca="false">IF(P474="","",IFERROR(INDEX('Semrush Data'!$A$1:$Z$20000,MATCH(P474,'Semrush Data'!$A$1:$A$20000,0),MATCH("Volume",'Semrush Data'!$A$1:$Z$1,0)),""))</f>
        <v/>
      </c>
      <c r="V474" s="25" t="str">
        <f aca="false">IF(COUNT(Q474:U474)=0,L474,IF(MAX(Q474:U474)=0,L474,INDEX(L474:P474,MATCH(MAX(Q474:U474),Q474:U474,0))))</f>
        <v>sap patchouli intense</v>
      </c>
      <c r="W474" s="24" t="n">
        <f aca="false">IFERROR(INDEX('Semrush Data'!$A$1:$Z$20000,MATCH(V474,'Semrush Data'!$A$1:$A$20000,0),MATCH("Volume",'Semrush Data'!$A$1:$Z$1,0)),"")</f>
        <v>20</v>
      </c>
      <c r="X474" s="24" t="n">
        <f aca="false">IFERROR(INDEX('Semrush Data'!$A$1:$Z$20000,MATCH(V474,'Semrush Data'!$A$1:$A$20000,0),MATCH("Keyword Difficulty*",'Semrush Data'!$A$1:$Z$1,0)),"")</f>
        <v>3</v>
      </c>
      <c r="Y474" s="26" t="n">
        <f aca="false">IFERROR(INDEX('Semrush Data'!$A$1:$Z$20000,MATCH(V474,'Semrush Data'!$A$1:$A$20000,0),MATCH("CPC*",'Semrush Data'!$A$1:$Z$1,0)),"")</f>
        <v>0</v>
      </c>
      <c r="Z474" s="23" t="s">
        <v>5696</v>
      </c>
      <c r="AA474" s="23" t="s">
        <v>5697</v>
      </c>
      <c r="AB474" s="23" t="s">
        <v>5698</v>
      </c>
      <c r="AC474" s="23" t="s">
        <v>5699</v>
      </c>
      <c r="AD474" s="27" t="n">
        <f aca="false">LEN(AC474)</f>
        <v>53</v>
      </c>
      <c r="AE474" s="23" t="s">
        <v>5700</v>
      </c>
      <c r="AF474" s="27" t="n">
        <f aca="false">LEN(AE474)</f>
        <v>157</v>
      </c>
    </row>
    <row r="475" customFormat="false" ht="15" hidden="false" customHeight="true" outlineLevel="0" collapsed="false">
      <c r="A475" s="23" t="s">
        <v>5701</v>
      </c>
      <c r="B475" s="23" t="s">
        <v>2449</v>
      </c>
      <c r="C475" s="23" t="n">
        <v>315</v>
      </c>
      <c r="D475" s="23" t="s">
        <v>5666</v>
      </c>
      <c r="E475" s="23"/>
      <c r="F475" s="23" t="s">
        <v>2452</v>
      </c>
      <c r="G475" s="23" t="s">
        <v>2735</v>
      </c>
      <c r="H475" s="23" t="s">
        <v>3919</v>
      </c>
      <c r="I475" s="23" t="s">
        <v>5702</v>
      </c>
      <c r="J475" s="23" t="s">
        <v>1994</v>
      </c>
      <c r="K475" s="23" t="n">
        <v>37.95</v>
      </c>
      <c r="L475" s="23" t="s">
        <v>5703</v>
      </c>
      <c r="M475" s="23" t="s">
        <v>5704</v>
      </c>
      <c r="N475" s="23" t="s">
        <v>5705</v>
      </c>
      <c r="O475" s="23" t="s">
        <v>5706</v>
      </c>
      <c r="P475" s="23" t="s">
        <v>5707</v>
      </c>
      <c r="Q475" s="24" t="n">
        <f aca="false">IF(L475="","",IFERROR(INDEX('Semrush Data'!$A$1:$Z$20000,MATCH(L475,'Semrush Data'!$A$1:$A$20000,0),MATCH("Volume",'Semrush Data'!$A$1:$Z$1,0)),""))</f>
        <v>20</v>
      </c>
      <c r="R475" s="24" t="str">
        <f aca="false">IF(M475="","",IFERROR(INDEX('Semrush Data'!$A$1:$Z$20000,MATCH(M475,'Semrush Data'!$A$1:$A$20000,0),MATCH("Volume",'Semrush Data'!$A$1:$Z$1,0)),""))</f>
        <v/>
      </c>
      <c r="S475" s="24" t="str">
        <f aca="false">IF(N475="","",IFERROR(INDEX('Semrush Data'!$A$1:$Z$20000,MATCH(N475,'Semrush Data'!$A$1:$A$20000,0),MATCH("Volume",'Semrush Data'!$A$1:$Z$1,0)),""))</f>
        <v/>
      </c>
      <c r="T475" s="24" t="str">
        <f aca="false">IF(O475="","",IFERROR(INDEX('Semrush Data'!$A$1:$Z$20000,MATCH(O475,'Semrush Data'!$A$1:$A$20000,0),MATCH("Volume",'Semrush Data'!$A$1:$Z$1,0)),""))</f>
        <v/>
      </c>
      <c r="U475" s="24" t="str">
        <f aca="false">IF(P475="","",IFERROR(INDEX('Semrush Data'!$A$1:$Z$20000,MATCH(P475,'Semrush Data'!$A$1:$A$20000,0),MATCH("Volume",'Semrush Data'!$A$1:$Z$1,0)),""))</f>
        <v/>
      </c>
      <c r="V475" s="25" t="str">
        <f aca="false">IF(COUNT(Q475:U475)=0,L475,IF(MAX(Q475:U475)=0,L475,INDEX(L475:P475,MATCH(MAX(Q475:U475),Q475:U475,0))))</f>
        <v>sap saffron oud</v>
      </c>
      <c r="W475" s="24" t="n">
        <f aca="false">IFERROR(INDEX('Semrush Data'!$A$1:$Z$20000,MATCH(V475,'Semrush Data'!$A$1:$A$20000,0),MATCH("Volume",'Semrush Data'!$A$1:$Z$1,0)),"")</f>
        <v>20</v>
      </c>
      <c r="X475" s="24" t="n">
        <f aca="false">IFERROR(INDEX('Semrush Data'!$A$1:$Z$20000,MATCH(V475,'Semrush Data'!$A$1:$A$20000,0),MATCH("Keyword Difficulty*",'Semrush Data'!$A$1:$Z$1,0)),"")</f>
        <v>15</v>
      </c>
      <c r="Y475" s="26" t="n">
        <f aca="false">IFERROR(INDEX('Semrush Data'!$A$1:$Z$20000,MATCH(V475,'Semrush Data'!$A$1:$A$20000,0),MATCH("CPC*",'Semrush Data'!$A$1:$Z$1,0)),"")</f>
        <v>0</v>
      </c>
      <c r="Z475" s="23" t="s">
        <v>5685</v>
      </c>
      <c r="AA475" s="23" t="s">
        <v>5708</v>
      </c>
      <c r="AB475" s="23" t="s">
        <v>5709</v>
      </c>
      <c r="AC475" s="23" t="s">
        <v>5710</v>
      </c>
      <c r="AD475" s="27" t="n">
        <f aca="false">LEN(AC475)</f>
        <v>60</v>
      </c>
      <c r="AE475" s="23" t="s">
        <v>5711</v>
      </c>
      <c r="AF475" s="27" t="n">
        <f aca="false">LEN(AE475)</f>
        <v>156</v>
      </c>
    </row>
    <row r="476" customFormat="false" ht="15" hidden="false" customHeight="true" outlineLevel="0" collapsed="false">
      <c r="A476" s="23" t="s">
        <v>5712</v>
      </c>
      <c r="B476" s="23" t="s">
        <v>2449</v>
      </c>
      <c r="C476" s="23" t="n">
        <v>316</v>
      </c>
      <c r="D476" s="23" t="s">
        <v>5666</v>
      </c>
      <c r="E476" s="23"/>
      <c r="F476" s="23" t="s">
        <v>2452</v>
      </c>
      <c r="G476" s="23" t="s">
        <v>2735</v>
      </c>
      <c r="H476" s="23" t="s">
        <v>2538</v>
      </c>
      <c r="I476" s="23" t="s">
        <v>5713</v>
      </c>
      <c r="J476" s="23" t="s">
        <v>1994</v>
      </c>
      <c r="K476" s="23" t="n">
        <v>37.95</v>
      </c>
      <c r="L476" s="23" t="s">
        <v>5714</v>
      </c>
      <c r="M476" s="23" t="s">
        <v>5715</v>
      </c>
      <c r="N476" s="23" t="s">
        <v>5716</v>
      </c>
      <c r="O476" s="23" t="s">
        <v>5717</v>
      </c>
      <c r="P476" s="23" t="s">
        <v>5718</v>
      </c>
      <c r="Q476" s="24" t="n">
        <f aca="false">IF(L476="","",IFERROR(INDEX('Semrush Data'!$A$1:$Z$20000,MATCH(L476,'Semrush Data'!$A$1:$A$20000,0),MATCH("Volume",'Semrush Data'!$A$1:$Z$1,0)),""))</f>
        <v>10</v>
      </c>
      <c r="R476" s="24" t="str">
        <f aca="false">IF(M476="","",IFERROR(INDEX('Semrush Data'!$A$1:$Z$20000,MATCH(M476,'Semrush Data'!$A$1:$A$20000,0),MATCH("Volume",'Semrush Data'!$A$1:$Z$1,0)),""))</f>
        <v/>
      </c>
      <c r="S476" s="24" t="str">
        <f aca="false">IF(N476="","",IFERROR(INDEX('Semrush Data'!$A$1:$Z$20000,MATCH(N476,'Semrush Data'!$A$1:$A$20000,0),MATCH("Volume",'Semrush Data'!$A$1:$Z$1,0)),""))</f>
        <v/>
      </c>
      <c r="T476" s="24" t="str">
        <f aca="false">IF(O476="","",IFERROR(INDEX('Semrush Data'!$A$1:$Z$20000,MATCH(O476,'Semrush Data'!$A$1:$A$20000,0),MATCH("Volume",'Semrush Data'!$A$1:$Z$1,0)),""))</f>
        <v/>
      </c>
      <c r="U476" s="24" t="str">
        <f aca="false">IF(P476="","",IFERROR(INDEX('Semrush Data'!$A$1:$Z$20000,MATCH(P476,'Semrush Data'!$A$1:$A$20000,0),MATCH("Volume",'Semrush Data'!$A$1:$Z$1,0)),""))</f>
        <v/>
      </c>
      <c r="V476" s="25" t="str">
        <f aca="false">IF(COUNT(Q476:U476)=0,L476,IF(MAX(Q476:U476)=0,L476,INDEX(L476:P476,MATCH(MAX(Q476:U476),Q476:U476,0))))</f>
        <v>sap vert club</v>
      </c>
      <c r="W476" s="24" t="n">
        <f aca="false">IFERROR(INDEX('Semrush Data'!$A$1:$Z$20000,MATCH(V476,'Semrush Data'!$A$1:$A$20000,0),MATCH("Volume",'Semrush Data'!$A$1:$Z$1,0)),"")</f>
        <v>10</v>
      </c>
      <c r="X476" s="24" t="n">
        <f aca="false">IFERROR(INDEX('Semrush Data'!$A$1:$Z$20000,MATCH(V476,'Semrush Data'!$A$1:$A$20000,0),MATCH("Keyword Difficulty*",'Semrush Data'!$A$1:$Z$1,0)),"")</f>
        <v>5</v>
      </c>
      <c r="Y476" s="26" t="n">
        <f aca="false">IFERROR(INDEX('Semrush Data'!$A$1:$Z$20000,MATCH(V476,'Semrush Data'!$A$1:$A$20000,0),MATCH("CPC*",'Semrush Data'!$A$1:$Z$1,0)),"")</f>
        <v>0</v>
      </c>
      <c r="Z476" s="23" t="s">
        <v>5673</v>
      </c>
      <c r="AA476" s="23" t="s">
        <v>5719</v>
      </c>
      <c r="AB476" s="23" t="s">
        <v>5720</v>
      </c>
      <c r="AC476" s="23" t="s">
        <v>5721</v>
      </c>
      <c r="AD476" s="27" t="n">
        <f aca="false">LEN(AC476)</f>
        <v>58</v>
      </c>
      <c r="AE476" s="23" t="s">
        <v>5722</v>
      </c>
      <c r="AF476" s="27" t="n">
        <f aca="false">LEN(AE476)</f>
        <v>156</v>
      </c>
    </row>
    <row r="477" customFormat="false" ht="15" hidden="false" customHeight="true" outlineLevel="0" collapsed="false">
      <c r="A477" s="23" t="s">
        <v>5723</v>
      </c>
      <c r="B477" s="23" t="s">
        <v>2449</v>
      </c>
      <c r="C477" s="23" t="n">
        <v>317</v>
      </c>
      <c r="D477" s="23" t="s">
        <v>5724</v>
      </c>
      <c r="E477" s="23"/>
      <c r="F477" s="23" t="s">
        <v>2452</v>
      </c>
      <c r="G477" s="23" t="s">
        <v>2453</v>
      </c>
      <c r="H477" s="23" t="s">
        <v>2527</v>
      </c>
      <c r="I477" s="23" t="s">
        <v>5725</v>
      </c>
      <c r="J477" s="23" t="s">
        <v>1468</v>
      </c>
      <c r="K477" s="23" t="n">
        <v>44.99</v>
      </c>
      <c r="L477" s="23" t="s">
        <v>5726</v>
      </c>
      <c r="M477" s="23" t="s">
        <v>5727</v>
      </c>
      <c r="N477" s="23" t="s">
        <v>5728</v>
      </c>
      <c r="O477" s="23" t="s">
        <v>5729</v>
      </c>
      <c r="P477" s="23" t="s">
        <v>5730</v>
      </c>
      <c r="Q477" s="24" t="n">
        <f aca="false">IF(L477="","",IFERROR(INDEX('Semrush Data'!$A$1:$Z$20000,MATCH(L477,'Semrush Data'!$A$1:$A$20000,0),MATCH("Volume",'Semrush Data'!$A$1:$Z$1,0)),""))</f>
        <v>70</v>
      </c>
      <c r="R477" s="24" t="n">
        <f aca="false">IF(M477="","",IFERROR(INDEX('Semrush Data'!$A$1:$Z$20000,MATCH(M477,'Semrush Data'!$A$1:$A$20000,0),MATCH("Volume",'Semrush Data'!$A$1:$Z$1,0)),""))</f>
        <v>0</v>
      </c>
      <c r="S477" s="24" t="str">
        <f aca="false">IF(N477="","",IFERROR(INDEX('Semrush Data'!$A$1:$Z$20000,MATCH(N477,'Semrush Data'!$A$1:$A$20000,0),MATCH("Volume",'Semrush Data'!$A$1:$Z$1,0)),""))</f>
        <v/>
      </c>
      <c r="T477" s="24" t="str">
        <f aca="false">IF(O477="","",IFERROR(INDEX('Semrush Data'!$A$1:$Z$20000,MATCH(O477,'Semrush Data'!$A$1:$A$20000,0),MATCH("Volume",'Semrush Data'!$A$1:$Z$1,0)),""))</f>
        <v/>
      </c>
      <c r="U477" s="24" t="n">
        <f aca="false">IF(P477="","",IFERROR(INDEX('Semrush Data'!$A$1:$Z$20000,MATCH(P477,'Semrush Data'!$A$1:$A$20000,0),MATCH("Volume",'Semrush Data'!$A$1:$Z$1,0)),""))</f>
        <v>0</v>
      </c>
      <c r="V477" s="25" t="str">
        <f aca="false">IF(COUNT(Q477:U477)=0,L477,IF(MAX(Q477:U477)=0,L477,INDEX(L477:P477,MATCH(MAX(Q477:U477),Q477:U477,0))))</f>
        <v>serge lutens la fille de berlin</v>
      </c>
      <c r="W477" s="24" t="n">
        <f aca="false">IFERROR(INDEX('Semrush Data'!$A$1:$Z$20000,MATCH(V477,'Semrush Data'!$A$1:$A$20000,0),MATCH("Volume",'Semrush Data'!$A$1:$Z$1,0)),"")</f>
        <v>70</v>
      </c>
      <c r="X477" s="24" t="n">
        <f aca="false">IFERROR(INDEX('Semrush Data'!$A$1:$Z$20000,MATCH(V477,'Semrush Data'!$A$1:$A$20000,0),MATCH("Keyword Difficulty*",'Semrush Data'!$A$1:$Z$1,0)),"")</f>
        <v>7</v>
      </c>
      <c r="Y477" s="26" t="n">
        <f aca="false">IFERROR(INDEX('Semrush Data'!$A$1:$Z$20000,MATCH(V477,'Semrush Data'!$A$1:$A$20000,0),MATCH("CPC*",'Semrush Data'!$A$1:$Z$1,0)),"")</f>
        <v>0</v>
      </c>
      <c r="Z477" s="23" t="s">
        <v>5731</v>
      </c>
      <c r="AA477" s="23" t="s">
        <v>5732</v>
      </c>
      <c r="AB477" s="23" t="s">
        <v>5733</v>
      </c>
      <c r="AC477" s="23" t="s">
        <v>5734</v>
      </c>
      <c r="AD477" s="27" t="n">
        <f aca="false">LEN(AC477)</f>
        <v>59</v>
      </c>
      <c r="AE477" s="23" t="s">
        <v>5735</v>
      </c>
      <c r="AF477" s="27" t="n">
        <f aca="false">LEN(AE477)</f>
        <v>159</v>
      </c>
    </row>
    <row r="478" customFormat="false" ht="15" hidden="false" customHeight="true" outlineLevel="0" collapsed="false">
      <c r="A478" s="23" t="s">
        <v>5736</v>
      </c>
      <c r="B478" s="23" t="s">
        <v>2449</v>
      </c>
      <c r="C478" s="23" t="n">
        <v>318</v>
      </c>
      <c r="D478" s="23" t="s">
        <v>5737</v>
      </c>
      <c r="E478" s="23"/>
      <c r="F478" s="23" t="s">
        <v>2452</v>
      </c>
      <c r="G478" s="23" t="s">
        <v>2453</v>
      </c>
      <c r="H478" s="23" t="s">
        <v>2454</v>
      </c>
      <c r="I478" s="23" t="s">
        <v>5738</v>
      </c>
      <c r="J478" s="23" t="s">
        <v>1994</v>
      </c>
      <c r="K478" s="23" t="n">
        <v>47.99</v>
      </c>
      <c r="L478" s="23" t="s">
        <v>5739</v>
      </c>
      <c r="M478" s="23" t="s">
        <v>5740</v>
      </c>
      <c r="N478" s="23" t="s">
        <v>5741</v>
      </c>
      <c r="O478" s="23" t="s">
        <v>5742</v>
      </c>
      <c r="P478" s="23" t="s">
        <v>5743</v>
      </c>
      <c r="Q478" s="24" t="n">
        <f aca="false">IF(L478="","",IFERROR(INDEX('Semrush Data'!$A$1:$Z$20000,MATCH(L478,'Semrush Data'!$A$1:$A$20000,0),MATCH("Volume",'Semrush Data'!$A$1:$Z$1,0)),""))</f>
        <v>170</v>
      </c>
      <c r="R478" s="24" t="n">
        <f aca="false">IF(M478="","",IFERROR(INDEX('Semrush Data'!$A$1:$Z$20000,MATCH(M478,'Semrush Data'!$A$1:$A$20000,0),MATCH("Volume",'Semrush Data'!$A$1:$Z$1,0)),""))</f>
        <v>20</v>
      </c>
      <c r="S478" s="24" t="str">
        <f aca="false">IF(N478="","",IFERROR(INDEX('Semrush Data'!$A$1:$Z$20000,MATCH(N478,'Semrush Data'!$A$1:$A$20000,0),MATCH("Volume",'Semrush Data'!$A$1:$Z$1,0)),""))</f>
        <v/>
      </c>
      <c r="T478" s="24" t="str">
        <f aca="false">IF(O478="","",IFERROR(INDEX('Semrush Data'!$A$1:$Z$20000,MATCH(O478,'Semrush Data'!$A$1:$A$20000,0),MATCH("Volume",'Semrush Data'!$A$1:$Z$1,0)),""))</f>
        <v/>
      </c>
      <c r="U478" s="24" t="n">
        <f aca="false">IF(P478="","",IFERROR(INDEX('Semrush Data'!$A$1:$Z$20000,MATCH(P478,'Semrush Data'!$A$1:$A$20000,0),MATCH("Volume",'Semrush Data'!$A$1:$Z$1,0)),""))</f>
        <v>20</v>
      </c>
      <c r="V478" s="25" t="str">
        <f aca="false">IF(COUNT(Q478:U478)=0,L478,IF(MAX(Q478:U478)=0,L478,INDEX(L478:P478,MATCH(MAX(Q478:U478),Q478:U478,0))))</f>
        <v>shiseido zen</v>
      </c>
      <c r="W478" s="24" t="n">
        <f aca="false">IFERROR(INDEX('Semrush Data'!$A$1:$Z$20000,MATCH(V478,'Semrush Data'!$A$1:$A$20000,0),MATCH("Volume",'Semrush Data'!$A$1:$Z$1,0)),"")</f>
        <v>170</v>
      </c>
      <c r="X478" s="24" t="n">
        <f aca="false">IFERROR(INDEX('Semrush Data'!$A$1:$Z$20000,MATCH(V478,'Semrush Data'!$A$1:$A$20000,0),MATCH("Keyword Difficulty*",'Semrush Data'!$A$1:$Z$1,0)),"")</f>
        <v>22</v>
      </c>
      <c r="Y478" s="26" t="n">
        <f aca="false">IFERROR(INDEX('Semrush Data'!$A$1:$Z$20000,MATCH(V478,'Semrush Data'!$A$1:$A$20000,0),MATCH("CPC*",'Semrush Data'!$A$1:$Z$1,0)),"")</f>
        <v>0.52</v>
      </c>
      <c r="Z478" s="23" t="s">
        <v>5744</v>
      </c>
      <c r="AA478" s="23" t="s">
        <v>5745</v>
      </c>
      <c r="AB478" s="23" t="s">
        <v>5746</v>
      </c>
      <c r="AC478" s="23" t="s">
        <v>5747</v>
      </c>
      <c r="AD478" s="27" t="n">
        <f aca="false">LEN(AC478)</f>
        <v>53</v>
      </c>
      <c r="AE478" s="23" t="s">
        <v>5748</v>
      </c>
      <c r="AF478" s="27" t="n">
        <f aca="false">LEN(AE478)</f>
        <v>148</v>
      </c>
    </row>
    <row r="479" customFormat="false" ht="15" hidden="false" customHeight="true" outlineLevel="0" collapsed="false">
      <c r="A479" s="23" t="s">
        <v>5749</v>
      </c>
      <c r="B479" s="23" t="s">
        <v>2449</v>
      </c>
      <c r="C479" s="23" t="n">
        <v>319</v>
      </c>
      <c r="D479" s="23" t="s">
        <v>5750</v>
      </c>
      <c r="E479" s="23"/>
      <c r="F479" s="23" t="s">
        <v>2452</v>
      </c>
      <c r="G479" s="23" t="s">
        <v>2453</v>
      </c>
      <c r="H479" s="23" t="s">
        <v>2538</v>
      </c>
      <c r="I479" s="23" t="s">
        <v>5751</v>
      </c>
      <c r="J479" s="23" t="s">
        <v>1994</v>
      </c>
      <c r="K479" s="23" t="n">
        <v>65.99</v>
      </c>
      <c r="L479" s="23" t="s">
        <v>5752</v>
      </c>
      <c r="M479" s="23" t="s">
        <v>5753</v>
      </c>
      <c r="N479" s="23" t="s">
        <v>5754</v>
      </c>
      <c r="O479" s="23" t="s">
        <v>5755</v>
      </c>
      <c r="P479" s="23" t="s">
        <v>5756</v>
      </c>
      <c r="Q479" s="24" t="n">
        <f aca="false">IF(L479="","",IFERROR(INDEX('Semrush Data'!$A$1:$Z$20000,MATCH(L479,'Semrush Data'!$A$1:$A$20000,0),MATCH("Volume",'Semrush Data'!$A$1:$Z$1,0)),""))</f>
        <v>0</v>
      </c>
      <c r="R479" s="24" t="str">
        <f aca="false">IF(M479="","",IFERROR(INDEX('Semrush Data'!$A$1:$Z$20000,MATCH(M479,'Semrush Data'!$A$1:$A$20000,0),MATCH("Volume",'Semrush Data'!$A$1:$Z$1,0)),""))</f>
        <v/>
      </c>
      <c r="S479" s="24" t="str">
        <f aca="false">IF(N479="","",IFERROR(INDEX('Semrush Data'!$A$1:$Z$20000,MATCH(N479,'Semrush Data'!$A$1:$A$20000,0),MATCH("Volume",'Semrush Data'!$A$1:$Z$1,0)),""))</f>
        <v/>
      </c>
      <c r="T479" s="24" t="str">
        <f aca="false">IF(O479="","",IFERROR(INDEX('Semrush Data'!$A$1:$Z$20000,MATCH(O479,'Semrush Data'!$A$1:$A$20000,0),MATCH("Volume",'Semrush Data'!$A$1:$Z$1,0)),""))</f>
        <v/>
      </c>
      <c r="U479" s="24" t="str">
        <f aca="false">IF(P479="","",IFERROR(INDEX('Semrush Data'!$A$1:$Z$20000,MATCH(P479,'Semrush Data'!$A$1:$A$20000,0),MATCH("Volume",'Semrush Data'!$A$1:$Z$1,0)),""))</f>
        <v/>
      </c>
      <c r="V479" s="25" t="str">
        <f aca="false">IF(COUNT(Q479:U479)=0,L479,IF(MAX(Q479:U479)=0,L479,INDEX(L479:P479,MATCH(MAX(Q479:U479),Q479:U479,0))))</f>
        <v>signature ambre</v>
      </c>
      <c r="W479" s="24" t="n">
        <f aca="false">IFERROR(INDEX('Semrush Data'!$A$1:$Z$20000,MATCH(V479,'Semrush Data'!$A$1:$A$20000,0),MATCH("Volume",'Semrush Data'!$A$1:$Z$1,0)),"")</f>
        <v>0</v>
      </c>
      <c r="X479" s="24" t="n">
        <f aca="false">IFERROR(INDEX('Semrush Data'!$A$1:$Z$20000,MATCH(V479,'Semrush Data'!$A$1:$A$20000,0),MATCH("Keyword Difficulty*",'Semrush Data'!$A$1:$Z$1,0)),"")</f>
        <v>14</v>
      </c>
      <c r="Y479" s="26" t="n">
        <f aca="false">IFERROR(INDEX('Semrush Data'!$A$1:$Z$20000,MATCH(V479,'Semrush Data'!$A$1:$A$20000,0),MATCH("CPC*",'Semrush Data'!$A$1:$Z$1,0)),"")</f>
        <v>0</v>
      </c>
      <c r="Z479" s="23" t="s">
        <v>5757</v>
      </c>
      <c r="AA479" s="23" t="s">
        <v>5758</v>
      </c>
      <c r="AB479" s="23" t="s">
        <v>5759</v>
      </c>
      <c r="AC479" s="23" t="s">
        <v>5760</v>
      </c>
      <c r="AD479" s="27" t="n">
        <f aca="false">LEN(AC479)</f>
        <v>56</v>
      </c>
      <c r="AE479" s="23" t="s">
        <v>5761</v>
      </c>
      <c r="AF479" s="27" t="n">
        <f aca="false">LEN(AE479)</f>
        <v>150</v>
      </c>
    </row>
    <row r="480" customFormat="false" ht="15" hidden="false" customHeight="true" outlineLevel="0" collapsed="false">
      <c r="A480" s="23" t="s">
        <v>5762</v>
      </c>
      <c r="B480" s="23" t="s">
        <v>2449</v>
      </c>
      <c r="C480" s="23" t="n">
        <v>320</v>
      </c>
      <c r="D480" s="23" t="s">
        <v>5750</v>
      </c>
      <c r="E480" s="23"/>
      <c r="F480" s="23" t="s">
        <v>2452</v>
      </c>
      <c r="G480" s="23" t="s">
        <v>2453</v>
      </c>
      <c r="H480" s="23" t="s">
        <v>2538</v>
      </c>
      <c r="I480" s="23" t="s">
        <v>5763</v>
      </c>
      <c r="J480" s="23" t="s">
        <v>1994</v>
      </c>
      <c r="K480" s="23" t="n">
        <v>74.95</v>
      </c>
      <c r="L480" s="23" t="s">
        <v>5764</v>
      </c>
      <c r="M480" s="23" t="s">
        <v>5765</v>
      </c>
      <c r="N480" s="23" t="s">
        <v>5766</v>
      </c>
      <c r="O480" s="23" t="s">
        <v>5767</v>
      </c>
      <c r="P480" s="23" t="s">
        <v>5768</v>
      </c>
      <c r="Q480" s="24" t="n">
        <f aca="false">IF(L480="","",IFERROR(INDEX('Semrush Data'!$A$1:$Z$20000,MATCH(L480,'Semrush Data'!$A$1:$A$20000,0),MATCH("Volume",'Semrush Data'!$A$1:$Z$1,0)),""))</f>
        <v>20</v>
      </c>
      <c r="R480" s="24" t="str">
        <f aca="false">IF(M480="","",IFERROR(INDEX('Semrush Data'!$A$1:$Z$20000,MATCH(M480,'Semrush Data'!$A$1:$A$20000,0),MATCH("Volume",'Semrush Data'!$A$1:$Z$1,0)),""))</f>
        <v/>
      </c>
      <c r="S480" s="24" t="str">
        <f aca="false">IF(N480="","",IFERROR(INDEX('Semrush Data'!$A$1:$Z$20000,MATCH(N480,'Semrush Data'!$A$1:$A$20000,0),MATCH("Volume",'Semrush Data'!$A$1:$Z$1,0)),""))</f>
        <v/>
      </c>
      <c r="T480" s="24" t="str">
        <f aca="false">IF(O480="","",IFERROR(INDEX('Semrush Data'!$A$1:$Z$20000,MATCH(O480,'Semrush Data'!$A$1:$A$20000,0),MATCH("Volume",'Semrush Data'!$A$1:$Z$1,0)),""))</f>
        <v/>
      </c>
      <c r="U480" s="24" t="str">
        <f aca="false">IF(P480="","",IFERROR(INDEX('Semrush Data'!$A$1:$Z$20000,MATCH(P480,'Semrush Data'!$A$1:$A$20000,0),MATCH("Volume",'Semrush Data'!$A$1:$Z$1,0)),""))</f>
        <v/>
      </c>
      <c r="V480" s="25" t="str">
        <f aca="false">IF(COUNT(Q480:U480)=0,L480,IF(MAX(Q480:U480)=0,L480,INDEX(L480:P480,MATCH(MAX(Q480:U480),Q480:U480,0))))</f>
        <v>signature aura</v>
      </c>
      <c r="W480" s="24" t="n">
        <f aca="false">IFERROR(INDEX('Semrush Data'!$A$1:$Z$20000,MATCH(V480,'Semrush Data'!$A$1:$A$20000,0),MATCH("Volume",'Semrush Data'!$A$1:$Z$1,0)),"")</f>
        <v>20</v>
      </c>
      <c r="X480" s="24" t="n">
        <f aca="false">IFERROR(INDEX('Semrush Data'!$A$1:$Z$20000,MATCH(V480,'Semrush Data'!$A$1:$A$20000,0),MATCH("Keyword Difficulty*",'Semrush Data'!$A$1:$Z$1,0)),"")</f>
        <v>8</v>
      </c>
      <c r="Y480" s="26" t="n">
        <f aca="false">IFERROR(INDEX('Semrush Data'!$A$1:$Z$20000,MATCH(V480,'Semrush Data'!$A$1:$A$20000,0),MATCH("CPC*",'Semrush Data'!$A$1:$Z$1,0)),"")</f>
        <v>0</v>
      </c>
      <c r="Z480" s="23" t="s">
        <v>5757</v>
      </c>
      <c r="AA480" s="23" t="s">
        <v>5769</v>
      </c>
      <c r="AB480" s="23" t="s">
        <v>5770</v>
      </c>
      <c r="AC480" s="23" t="s">
        <v>5771</v>
      </c>
      <c r="AD480" s="27" t="n">
        <f aca="false">LEN(AC480)</f>
        <v>51</v>
      </c>
      <c r="AE480" s="23" t="s">
        <v>5772</v>
      </c>
      <c r="AF480" s="27" t="n">
        <f aca="false">LEN(AE480)</f>
        <v>139</v>
      </c>
    </row>
    <row r="481" customFormat="false" ht="15" hidden="false" customHeight="true" outlineLevel="0" collapsed="false">
      <c r="A481" s="23" t="s">
        <v>5773</v>
      </c>
      <c r="B481" s="23" t="s">
        <v>2449</v>
      </c>
      <c r="C481" s="23" t="n">
        <v>321</v>
      </c>
      <c r="D481" s="23" t="s">
        <v>5750</v>
      </c>
      <c r="E481" s="23"/>
      <c r="F481" s="23" t="s">
        <v>2452</v>
      </c>
      <c r="G481" s="23" t="s">
        <v>2453</v>
      </c>
      <c r="H481" s="23" t="s">
        <v>2608</v>
      </c>
      <c r="I481" s="23" t="s">
        <v>5774</v>
      </c>
      <c r="J481" s="23" t="s">
        <v>1994</v>
      </c>
      <c r="K481" s="23" t="n">
        <v>38.99</v>
      </c>
      <c r="L481" s="23" t="s">
        <v>5775</v>
      </c>
      <c r="M481" s="23" t="s">
        <v>5776</v>
      </c>
      <c r="N481" s="23" t="s">
        <v>5777</v>
      </c>
      <c r="O481" s="23" t="s">
        <v>5778</v>
      </c>
      <c r="P481" s="23" t="s">
        <v>5779</v>
      </c>
      <c r="Q481" s="24" t="n">
        <f aca="false">IF(L481="","",IFERROR(INDEX('Semrush Data'!$A$1:$Z$20000,MATCH(L481,'Semrush Data'!$A$1:$A$20000,0),MATCH("Volume",'Semrush Data'!$A$1:$Z$1,0)),""))</f>
        <v>0</v>
      </c>
      <c r="R481" s="24" t="str">
        <f aca="false">IF(M481="","",IFERROR(INDEX('Semrush Data'!$A$1:$Z$20000,MATCH(M481,'Semrush Data'!$A$1:$A$20000,0),MATCH("Volume",'Semrush Data'!$A$1:$Z$1,0)),""))</f>
        <v/>
      </c>
      <c r="S481" s="24" t="str">
        <f aca="false">IF(N481="","",IFERROR(INDEX('Semrush Data'!$A$1:$Z$20000,MATCH(N481,'Semrush Data'!$A$1:$A$20000,0),MATCH("Volume",'Semrush Data'!$A$1:$Z$1,0)),""))</f>
        <v/>
      </c>
      <c r="T481" s="24" t="str">
        <f aca="false">IF(O481="","",IFERROR(INDEX('Semrush Data'!$A$1:$Z$20000,MATCH(O481,'Semrush Data'!$A$1:$A$20000,0),MATCH("Volume",'Semrush Data'!$A$1:$Z$1,0)),""))</f>
        <v/>
      </c>
      <c r="U481" s="24" t="str">
        <f aca="false">IF(P481="","",IFERROR(INDEX('Semrush Data'!$A$1:$Z$20000,MATCH(P481,'Semrush Data'!$A$1:$A$20000,0),MATCH("Volume",'Semrush Data'!$A$1:$Z$1,0)),""))</f>
        <v/>
      </c>
      <c r="V481" s="25" t="str">
        <f aca="false">IF(COUNT(Q481:U481)=0,L481,IF(MAX(Q481:U481)=0,L481,INDEX(L481:P481,MATCH(MAX(Q481:U481),Q481:U481,0))))</f>
        <v>signature black pour homme</v>
      </c>
      <c r="W481" s="24" t="n">
        <f aca="false">IFERROR(INDEX('Semrush Data'!$A$1:$Z$20000,MATCH(V481,'Semrush Data'!$A$1:$A$20000,0),MATCH("Volume",'Semrush Data'!$A$1:$Z$1,0)),"")</f>
        <v>0</v>
      </c>
      <c r="X481" s="24" t="n">
        <f aca="false">IFERROR(INDEX('Semrush Data'!$A$1:$Z$20000,MATCH(V481,'Semrush Data'!$A$1:$A$20000,0),MATCH("Keyword Difficulty*",'Semrush Data'!$A$1:$Z$1,0)),"")</f>
        <v>23</v>
      </c>
      <c r="Y481" s="26" t="n">
        <f aca="false">IFERROR(INDEX('Semrush Data'!$A$1:$Z$20000,MATCH(V481,'Semrush Data'!$A$1:$A$20000,0),MATCH("CPC*",'Semrush Data'!$A$1:$Z$1,0)),"")</f>
        <v>0</v>
      </c>
      <c r="Z481" s="23" t="s">
        <v>5780</v>
      </c>
      <c r="AA481" s="23" t="s">
        <v>5781</v>
      </c>
      <c r="AB481" s="23" t="s">
        <v>5782</v>
      </c>
      <c r="AC481" s="23" t="s">
        <v>5783</v>
      </c>
      <c r="AD481" s="27" t="n">
        <f aca="false">LEN(AC481)</f>
        <v>57</v>
      </c>
      <c r="AE481" s="23" t="s">
        <v>5784</v>
      </c>
      <c r="AF481" s="27" t="n">
        <f aca="false">LEN(AE481)</f>
        <v>149</v>
      </c>
    </row>
    <row r="482" customFormat="false" ht="15" hidden="false" customHeight="true" outlineLevel="0" collapsed="false">
      <c r="A482" s="23" t="s">
        <v>5785</v>
      </c>
      <c r="B482" s="23" t="s">
        <v>2449</v>
      </c>
      <c r="C482" s="23" t="n">
        <v>322</v>
      </c>
      <c r="D482" s="23" t="s">
        <v>5750</v>
      </c>
      <c r="E482" s="23"/>
      <c r="F482" s="23" t="s">
        <v>2452</v>
      </c>
      <c r="G482" s="23" t="s">
        <v>2453</v>
      </c>
      <c r="H482" s="23" t="s">
        <v>2538</v>
      </c>
      <c r="I482" s="23" t="s">
        <v>5786</v>
      </c>
      <c r="J482" s="23" t="s">
        <v>1994</v>
      </c>
      <c r="K482" s="23" t="n">
        <v>74.95</v>
      </c>
      <c r="L482" s="23" t="s">
        <v>5787</v>
      </c>
      <c r="M482" s="23" t="s">
        <v>5788</v>
      </c>
      <c r="N482" s="23" t="s">
        <v>5789</v>
      </c>
      <c r="O482" s="23" t="s">
        <v>5790</v>
      </c>
      <c r="P482" s="23" t="s">
        <v>5791</v>
      </c>
      <c r="Q482" s="24" t="n">
        <f aca="false">IF(L482="","",IFERROR(INDEX('Semrush Data'!$A$1:$Z$20000,MATCH(L482,'Semrush Data'!$A$1:$A$20000,0),MATCH("Volume",'Semrush Data'!$A$1:$Z$1,0)),""))</f>
        <v>0</v>
      </c>
      <c r="R482" s="24" t="str">
        <f aca="false">IF(M482="","",IFERROR(INDEX('Semrush Data'!$A$1:$Z$20000,MATCH(M482,'Semrush Data'!$A$1:$A$20000,0),MATCH("Volume",'Semrush Data'!$A$1:$Z$1,0)),""))</f>
        <v/>
      </c>
      <c r="S482" s="24" t="str">
        <f aca="false">IF(N482="","",IFERROR(INDEX('Semrush Data'!$A$1:$Z$20000,MATCH(N482,'Semrush Data'!$A$1:$A$20000,0),MATCH("Volume",'Semrush Data'!$A$1:$Z$1,0)),""))</f>
        <v/>
      </c>
      <c r="T482" s="24" t="str">
        <f aca="false">IF(O482="","",IFERROR(INDEX('Semrush Data'!$A$1:$Z$20000,MATCH(O482,'Semrush Data'!$A$1:$A$20000,0),MATCH("Volume",'Semrush Data'!$A$1:$Z$1,0)),""))</f>
        <v/>
      </c>
      <c r="U482" s="24" t="str">
        <f aca="false">IF(P482="","",IFERROR(INDEX('Semrush Data'!$A$1:$Z$20000,MATCH(P482,'Semrush Data'!$A$1:$A$20000,0),MATCH("Volume",'Semrush Data'!$A$1:$Z$1,0)),""))</f>
        <v/>
      </c>
      <c r="V482" s="25" t="str">
        <f aca="false">IF(COUNT(Q482:U482)=0,L482,IF(MAX(Q482:U482)=0,L482,INDEX(L482:P482,MATCH(MAX(Q482:U482),Q482:U482,0))))</f>
        <v>signature charm</v>
      </c>
      <c r="W482" s="24" t="n">
        <f aca="false">IFERROR(INDEX('Semrush Data'!$A$1:$Z$20000,MATCH(V482,'Semrush Data'!$A$1:$A$20000,0),MATCH("Volume",'Semrush Data'!$A$1:$Z$1,0)),"")</f>
        <v>0</v>
      </c>
      <c r="X482" s="24" t="n">
        <f aca="false">IFERROR(INDEX('Semrush Data'!$A$1:$Z$20000,MATCH(V482,'Semrush Data'!$A$1:$A$20000,0),MATCH("Keyword Difficulty*",'Semrush Data'!$A$1:$Z$1,0)),"")</f>
        <v>3</v>
      </c>
      <c r="Y482" s="26" t="n">
        <f aca="false">IFERROR(INDEX('Semrush Data'!$A$1:$Z$20000,MATCH(V482,'Semrush Data'!$A$1:$A$20000,0),MATCH("CPC*",'Semrush Data'!$A$1:$Z$1,0)),"")</f>
        <v>0</v>
      </c>
      <c r="Z482" s="23" t="s">
        <v>5757</v>
      </c>
      <c r="AA482" s="23" t="s">
        <v>5792</v>
      </c>
      <c r="AB482" s="23" t="s">
        <v>5793</v>
      </c>
      <c r="AC482" s="23" t="s">
        <v>5794</v>
      </c>
      <c r="AD482" s="27" t="n">
        <f aca="false">LEN(AC482)</f>
        <v>52</v>
      </c>
      <c r="AE482" s="23" t="s">
        <v>5795</v>
      </c>
      <c r="AF482" s="27" t="n">
        <f aca="false">LEN(AE482)</f>
        <v>140</v>
      </c>
    </row>
    <row r="483" customFormat="false" ht="15" hidden="false" customHeight="true" outlineLevel="0" collapsed="false">
      <c r="A483" s="23" t="s">
        <v>5796</v>
      </c>
      <c r="B483" s="23" t="s">
        <v>2449</v>
      </c>
      <c r="C483" s="23" t="n">
        <v>323</v>
      </c>
      <c r="D483" s="23" t="s">
        <v>5750</v>
      </c>
      <c r="E483" s="23"/>
      <c r="F483" s="23" t="s">
        <v>2452</v>
      </c>
      <c r="G483" s="23" t="s">
        <v>2453</v>
      </c>
      <c r="H483" s="23" t="s">
        <v>2454</v>
      </c>
      <c r="I483" s="23" t="s">
        <v>5797</v>
      </c>
      <c r="J483" s="23" t="s">
        <v>1994</v>
      </c>
      <c r="K483" s="23" t="n">
        <v>42.99</v>
      </c>
      <c r="L483" s="23" t="s">
        <v>5798</v>
      </c>
      <c r="M483" s="23" t="s">
        <v>5799</v>
      </c>
      <c r="N483" s="23" t="s">
        <v>5800</v>
      </c>
      <c r="O483" s="23" t="s">
        <v>5801</v>
      </c>
      <c r="P483" s="23" t="s">
        <v>5802</v>
      </c>
      <c r="Q483" s="24" t="n">
        <f aca="false">IF(L483="","",IFERROR(INDEX('Semrush Data'!$A$1:$Z$20000,MATCH(L483,'Semrush Data'!$A$1:$A$20000,0),MATCH("Volume",'Semrush Data'!$A$1:$Z$1,0)),""))</f>
        <v>0</v>
      </c>
      <c r="R483" s="24" t="str">
        <f aca="false">IF(M483="","",IFERROR(INDEX('Semrush Data'!$A$1:$Z$20000,MATCH(M483,'Semrush Data'!$A$1:$A$20000,0),MATCH("Volume",'Semrush Data'!$A$1:$Z$1,0)),""))</f>
        <v/>
      </c>
      <c r="S483" s="24" t="str">
        <f aca="false">IF(N483="","",IFERROR(INDEX('Semrush Data'!$A$1:$Z$20000,MATCH(N483,'Semrush Data'!$A$1:$A$20000,0),MATCH("Volume",'Semrush Data'!$A$1:$Z$1,0)),""))</f>
        <v/>
      </c>
      <c r="T483" s="24" t="str">
        <f aca="false">IF(O483="","",IFERROR(INDEX('Semrush Data'!$A$1:$Z$20000,MATCH(O483,'Semrush Data'!$A$1:$A$20000,0),MATCH("Volume",'Semrush Data'!$A$1:$Z$1,0)),""))</f>
        <v/>
      </c>
      <c r="U483" s="24" t="str">
        <f aca="false">IF(P483="","",IFERROR(INDEX('Semrush Data'!$A$1:$Z$20000,MATCH(P483,'Semrush Data'!$A$1:$A$20000,0),MATCH("Volume",'Semrush Data'!$A$1:$Z$1,0)),""))</f>
        <v/>
      </c>
      <c r="V483" s="25" t="str">
        <f aca="false">IF(COUNT(Q483:U483)=0,L483,IF(MAX(Q483:U483)=0,L483,INDEX(L483:P483,MATCH(MAX(Q483:U483),Q483:U483,0))))</f>
        <v>signature le femme gold</v>
      </c>
      <c r="W483" s="24" t="n">
        <f aca="false">IFERROR(INDEX('Semrush Data'!$A$1:$Z$20000,MATCH(V483,'Semrush Data'!$A$1:$A$20000,0),MATCH("Volume",'Semrush Data'!$A$1:$Z$1,0)),"")</f>
        <v>0</v>
      </c>
      <c r="X483" s="24" t="n">
        <f aca="false">IFERROR(INDEX('Semrush Data'!$A$1:$Z$20000,MATCH(V483,'Semrush Data'!$A$1:$A$20000,0),MATCH("Keyword Difficulty*",'Semrush Data'!$A$1:$Z$1,0)),"")</f>
        <v>22</v>
      </c>
      <c r="Y483" s="26" t="n">
        <f aca="false">IFERROR(INDEX('Semrush Data'!$A$1:$Z$20000,MATCH(V483,'Semrush Data'!$A$1:$A$20000,0),MATCH("CPC*",'Semrush Data'!$A$1:$Z$1,0)),"")</f>
        <v>0</v>
      </c>
      <c r="Z483" s="23" t="s">
        <v>5803</v>
      </c>
      <c r="AA483" s="23"/>
      <c r="AB483" s="23" t="s">
        <v>5804</v>
      </c>
      <c r="AC483" s="23" t="s">
        <v>5805</v>
      </c>
      <c r="AD483" s="27" t="n">
        <f aca="false">LEN(AC483)</f>
        <v>60</v>
      </c>
      <c r="AE483" s="23" t="s">
        <v>5806</v>
      </c>
      <c r="AF483" s="27" t="n">
        <f aca="false">LEN(AE483)</f>
        <v>155</v>
      </c>
    </row>
    <row r="484" customFormat="false" ht="15" hidden="false" customHeight="true" outlineLevel="0" collapsed="false">
      <c r="A484" s="23" t="s">
        <v>5807</v>
      </c>
      <c r="B484" s="23" t="s">
        <v>2449</v>
      </c>
      <c r="C484" s="23" t="n">
        <v>324</v>
      </c>
      <c r="D484" s="23" t="s">
        <v>5750</v>
      </c>
      <c r="E484" s="23"/>
      <c r="F484" s="23" t="s">
        <v>2452</v>
      </c>
      <c r="G484" s="23" t="s">
        <v>2453</v>
      </c>
      <c r="H484" s="23" t="s">
        <v>5808</v>
      </c>
      <c r="I484" s="23" t="s">
        <v>5809</v>
      </c>
      <c r="J484" s="23" t="s">
        <v>1994</v>
      </c>
      <c r="K484" s="23" t="n">
        <v>64.99</v>
      </c>
      <c r="L484" s="23" t="s">
        <v>5810</v>
      </c>
      <c r="M484" s="23" t="s">
        <v>5811</v>
      </c>
      <c r="N484" s="23" t="s">
        <v>5812</v>
      </c>
      <c r="O484" s="23" t="s">
        <v>5813</v>
      </c>
      <c r="P484" s="23" t="s">
        <v>5814</v>
      </c>
      <c r="Q484" s="24" t="n">
        <f aca="false">IF(L484="","",IFERROR(INDEX('Semrush Data'!$A$1:$Z$20000,MATCH(L484,'Semrush Data'!$A$1:$A$20000,0),MATCH("Volume",'Semrush Data'!$A$1:$Z$1,0)),""))</f>
        <v>0</v>
      </c>
      <c r="R484" s="24" t="str">
        <f aca="false">IF(M484="","",IFERROR(INDEX('Semrush Data'!$A$1:$Z$20000,MATCH(M484,'Semrush Data'!$A$1:$A$20000,0),MATCH("Volume",'Semrush Data'!$A$1:$Z$1,0)),""))</f>
        <v/>
      </c>
      <c r="S484" s="24" t="str">
        <f aca="false">IF(N484="","",IFERROR(INDEX('Semrush Data'!$A$1:$Z$20000,MATCH(N484,'Semrush Data'!$A$1:$A$20000,0),MATCH("Volume",'Semrush Data'!$A$1:$Z$1,0)),""))</f>
        <v/>
      </c>
      <c r="T484" s="24" t="str">
        <f aca="false">IF(O484="","",IFERROR(INDEX('Semrush Data'!$A$1:$Z$20000,MATCH(O484,'Semrush Data'!$A$1:$A$20000,0),MATCH("Volume",'Semrush Data'!$A$1:$Z$1,0)),""))</f>
        <v/>
      </c>
      <c r="U484" s="24" t="str">
        <f aca="false">IF(P484="","",IFERROR(INDEX('Semrush Data'!$A$1:$Z$20000,MATCH(P484,'Semrush Data'!$A$1:$A$20000,0),MATCH("Volume",'Semrush Data'!$A$1:$Z$1,0)),""))</f>
        <v/>
      </c>
      <c r="V484" s="25" t="str">
        <f aca="false">IF(COUNT(Q484:U484)=0,L484,IF(MAX(Q484:U484)=0,L484,INDEX(L484:P484,MATCH(MAX(Q484:U484),Q484:U484,0))))</f>
        <v>signature musk</v>
      </c>
      <c r="W484" s="24" t="n">
        <f aca="false">IFERROR(INDEX('Semrush Data'!$A$1:$Z$20000,MATCH(V484,'Semrush Data'!$A$1:$A$20000,0),MATCH("Volume",'Semrush Data'!$A$1:$Z$1,0)),"")</f>
        <v>0</v>
      </c>
      <c r="X484" s="24" t="n">
        <f aca="false">IFERROR(INDEX('Semrush Data'!$A$1:$Z$20000,MATCH(V484,'Semrush Data'!$A$1:$A$20000,0),MATCH("Keyword Difficulty*",'Semrush Data'!$A$1:$Z$1,0)),"")</f>
        <v>15</v>
      </c>
      <c r="Y484" s="26" t="n">
        <f aca="false">IFERROR(INDEX('Semrush Data'!$A$1:$Z$20000,MATCH(V484,'Semrush Data'!$A$1:$A$20000,0),MATCH("CPC*",'Semrush Data'!$A$1:$Z$1,0)),"")</f>
        <v>0</v>
      </c>
      <c r="Z484" s="23" t="s">
        <v>5815</v>
      </c>
      <c r="AA484" s="23" t="s">
        <v>5816</v>
      </c>
      <c r="AB484" s="23" t="s">
        <v>5817</v>
      </c>
      <c r="AC484" s="23" t="s">
        <v>5818</v>
      </c>
      <c r="AD484" s="27" t="n">
        <f aca="false">LEN(AC484)</f>
        <v>55</v>
      </c>
      <c r="AE484" s="23" t="s">
        <v>5819</v>
      </c>
      <c r="AF484" s="27" t="n">
        <f aca="false">LEN(AE484)</f>
        <v>147</v>
      </c>
    </row>
    <row r="485" customFormat="false" ht="15" hidden="false" customHeight="true" outlineLevel="0" collapsed="false">
      <c r="A485" s="23" t="s">
        <v>5820</v>
      </c>
      <c r="B485" s="23" t="s">
        <v>2449</v>
      </c>
      <c r="C485" s="23" t="n">
        <v>325</v>
      </c>
      <c r="D485" s="23" t="s">
        <v>5750</v>
      </c>
      <c r="E485" s="23"/>
      <c r="F485" s="23" t="s">
        <v>2452</v>
      </c>
      <c r="G485" s="23" t="s">
        <v>2453</v>
      </c>
      <c r="H485" s="23" t="s">
        <v>2538</v>
      </c>
      <c r="I485" s="23" t="s">
        <v>5821</v>
      </c>
      <c r="J485" s="23" t="s">
        <v>1994</v>
      </c>
      <c r="K485" s="23" t="n">
        <v>64.99</v>
      </c>
      <c r="L485" s="23" t="s">
        <v>5822</v>
      </c>
      <c r="M485" s="23" t="s">
        <v>5823</v>
      </c>
      <c r="N485" s="23" t="s">
        <v>5824</v>
      </c>
      <c r="O485" s="23" t="s">
        <v>5825</v>
      </c>
      <c r="P485" s="23" t="s">
        <v>5826</v>
      </c>
      <c r="Q485" s="24" t="n">
        <f aca="false">IF(L485="","",IFERROR(INDEX('Semrush Data'!$A$1:$Z$20000,MATCH(L485,'Semrush Data'!$A$1:$A$20000,0),MATCH("Volume",'Semrush Data'!$A$1:$Z$1,0)),""))</f>
        <v>20</v>
      </c>
      <c r="R485" s="24" t="str">
        <f aca="false">IF(M485="","",IFERROR(INDEX('Semrush Data'!$A$1:$Z$20000,MATCH(M485,'Semrush Data'!$A$1:$A$20000,0),MATCH("Volume",'Semrush Data'!$A$1:$Z$1,0)),""))</f>
        <v/>
      </c>
      <c r="S485" s="24" t="str">
        <f aca="false">IF(N485="","",IFERROR(INDEX('Semrush Data'!$A$1:$Z$20000,MATCH(N485,'Semrush Data'!$A$1:$A$20000,0),MATCH("Volume",'Semrush Data'!$A$1:$Z$1,0)),""))</f>
        <v/>
      </c>
      <c r="T485" s="24" t="str">
        <f aca="false">IF(O485="","",IFERROR(INDEX('Semrush Data'!$A$1:$Z$20000,MATCH(O485,'Semrush Data'!$A$1:$A$20000,0),MATCH("Volume",'Semrush Data'!$A$1:$Z$1,0)),""))</f>
        <v/>
      </c>
      <c r="U485" s="24" t="str">
        <f aca="false">IF(P485="","",IFERROR(INDEX('Semrush Data'!$A$1:$Z$20000,MATCH(P485,'Semrush Data'!$A$1:$A$20000,0),MATCH("Volume",'Semrush Data'!$A$1:$Z$1,0)),""))</f>
        <v/>
      </c>
      <c r="V485" s="25" t="str">
        <f aca="false">IF(COUNT(Q485:U485)=0,L485,IF(MAX(Q485:U485)=0,L485,INDEX(L485:P485,MATCH(MAX(Q485:U485),Q485:U485,0))))</f>
        <v>signature onyx</v>
      </c>
      <c r="W485" s="24" t="n">
        <f aca="false">IFERROR(INDEX('Semrush Data'!$A$1:$Z$20000,MATCH(V485,'Semrush Data'!$A$1:$A$20000,0),MATCH("Volume",'Semrush Data'!$A$1:$Z$1,0)),"")</f>
        <v>20</v>
      </c>
      <c r="X485" s="24" t="n">
        <f aca="false">IFERROR(INDEX('Semrush Data'!$A$1:$Z$20000,MATCH(V485,'Semrush Data'!$A$1:$A$20000,0),MATCH("Keyword Difficulty*",'Semrush Data'!$A$1:$Z$1,0)),"")</f>
        <v>7</v>
      </c>
      <c r="Y485" s="26" t="n">
        <f aca="false">IFERROR(INDEX('Semrush Data'!$A$1:$Z$20000,MATCH(V485,'Semrush Data'!$A$1:$A$20000,0),MATCH("CPC*",'Semrush Data'!$A$1:$Z$1,0)),"")</f>
        <v>0</v>
      </c>
      <c r="Z485" s="23" t="s">
        <v>5757</v>
      </c>
      <c r="AA485" s="23" t="s">
        <v>5827</v>
      </c>
      <c r="AB485" s="23" t="s">
        <v>5828</v>
      </c>
      <c r="AC485" s="23" t="s">
        <v>5829</v>
      </c>
      <c r="AD485" s="27" t="n">
        <f aca="false">LEN(AC485)</f>
        <v>55</v>
      </c>
      <c r="AE485" s="23" t="s">
        <v>5830</v>
      </c>
      <c r="AF485" s="27" t="n">
        <f aca="false">LEN(AE485)</f>
        <v>149</v>
      </c>
    </row>
    <row r="486" customFormat="false" ht="15" hidden="false" customHeight="true" outlineLevel="0" collapsed="false">
      <c r="A486" s="23" t="s">
        <v>5831</v>
      </c>
      <c r="B486" s="23" t="s">
        <v>2449</v>
      </c>
      <c r="C486" s="23" t="n">
        <v>326</v>
      </c>
      <c r="D486" s="23" t="s">
        <v>5750</v>
      </c>
      <c r="E486" s="23"/>
      <c r="F486" s="23" t="s">
        <v>2452</v>
      </c>
      <c r="G486" s="23" t="s">
        <v>2453</v>
      </c>
      <c r="H486" s="23" t="s">
        <v>2538</v>
      </c>
      <c r="I486" s="23" t="s">
        <v>5832</v>
      </c>
      <c r="J486" s="23" t="s">
        <v>1994</v>
      </c>
      <c r="K486" s="23" t="n">
        <v>64.99</v>
      </c>
      <c r="L486" s="23" t="s">
        <v>5833</v>
      </c>
      <c r="M486" s="23" t="s">
        <v>5834</v>
      </c>
      <c r="N486" s="23" t="s">
        <v>5835</v>
      </c>
      <c r="O486" s="23" t="s">
        <v>5836</v>
      </c>
      <c r="P486" s="23" t="s">
        <v>5837</v>
      </c>
      <c r="Q486" s="24" t="n">
        <f aca="false">IF(L486="","",IFERROR(INDEX('Semrush Data'!$A$1:$Z$20000,MATCH(L486,'Semrush Data'!$A$1:$A$20000,0),MATCH("Volume",'Semrush Data'!$A$1:$Z$1,0)),""))</f>
        <v>20</v>
      </c>
      <c r="R486" s="24" t="str">
        <f aca="false">IF(M486="","",IFERROR(INDEX('Semrush Data'!$A$1:$Z$20000,MATCH(M486,'Semrush Data'!$A$1:$A$20000,0),MATCH("Volume",'Semrush Data'!$A$1:$Z$1,0)),""))</f>
        <v/>
      </c>
      <c r="S486" s="24" t="str">
        <f aca="false">IF(N486="","",IFERROR(INDEX('Semrush Data'!$A$1:$Z$20000,MATCH(N486,'Semrush Data'!$A$1:$A$20000,0),MATCH("Volume",'Semrush Data'!$A$1:$Z$1,0)),""))</f>
        <v/>
      </c>
      <c r="T486" s="24" t="str">
        <f aca="false">IF(O486="","",IFERROR(INDEX('Semrush Data'!$A$1:$Z$20000,MATCH(O486,'Semrush Data'!$A$1:$A$20000,0),MATCH("Volume",'Semrush Data'!$A$1:$Z$1,0)),""))</f>
        <v/>
      </c>
      <c r="U486" s="24" t="str">
        <f aca="false">IF(P486="","",IFERROR(INDEX('Semrush Data'!$A$1:$Z$20000,MATCH(P486,'Semrush Data'!$A$1:$A$20000,0),MATCH("Volume",'Semrush Data'!$A$1:$Z$1,0)),""))</f>
        <v/>
      </c>
      <c r="V486" s="25" t="str">
        <f aca="false">IF(COUNT(Q486:U486)=0,L486,IF(MAX(Q486:U486)=0,L486,INDEX(L486:P486,MATCH(MAX(Q486:U486),Q486:U486,0))))</f>
        <v>signature opal</v>
      </c>
      <c r="W486" s="24" t="n">
        <f aca="false">IFERROR(INDEX('Semrush Data'!$A$1:$Z$20000,MATCH(V486,'Semrush Data'!$A$1:$A$20000,0),MATCH("Volume",'Semrush Data'!$A$1:$Z$1,0)),"")</f>
        <v>20</v>
      </c>
      <c r="X486" s="24" t="n">
        <f aca="false">IFERROR(INDEX('Semrush Data'!$A$1:$Z$20000,MATCH(V486,'Semrush Data'!$A$1:$A$20000,0),MATCH("Keyword Difficulty*",'Semrush Data'!$A$1:$Z$1,0)),"")</f>
        <v>28</v>
      </c>
      <c r="Y486" s="26" t="n">
        <f aca="false">IFERROR(INDEX('Semrush Data'!$A$1:$Z$20000,MATCH(V486,'Semrush Data'!$A$1:$A$20000,0),MATCH("CPC*",'Semrush Data'!$A$1:$Z$1,0)),"")</f>
        <v>0</v>
      </c>
      <c r="Z486" s="23" t="s">
        <v>5757</v>
      </c>
      <c r="AA486" s="23" t="s">
        <v>5838</v>
      </c>
      <c r="AB486" s="23" t="s">
        <v>5839</v>
      </c>
      <c r="AC486" s="23" t="s">
        <v>5840</v>
      </c>
      <c r="AD486" s="27" t="n">
        <f aca="false">LEN(AC486)</f>
        <v>51</v>
      </c>
      <c r="AE486" s="23" t="s">
        <v>5841</v>
      </c>
      <c r="AF486" s="27" t="n">
        <f aca="false">LEN(AE486)</f>
        <v>135</v>
      </c>
    </row>
    <row r="487" customFormat="false" ht="15" hidden="false" customHeight="true" outlineLevel="0" collapsed="false">
      <c r="A487" s="23" t="s">
        <v>5842</v>
      </c>
      <c r="B487" s="23" t="s">
        <v>2449</v>
      </c>
      <c r="C487" s="23" t="n">
        <v>327</v>
      </c>
      <c r="D487" s="23" t="s">
        <v>5750</v>
      </c>
      <c r="E487" s="23"/>
      <c r="F487" s="23" t="s">
        <v>2452</v>
      </c>
      <c r="G487" s="23" t="s">
        <v>2453</v>
      </c>
      <c r="H487" s="23" t="s">
        <v>2538</v>
      </c>
      <c r="I487" s="23" t="s">
        <v>5843</v>
      </c>
      <c r="J487" s="23" t="s">
        <v>1994</v>
      </c>
      <c r="K487" s="23" t="n">
        <v>74.95</v>
      </c>
      <c r="L487" s="23" t="s">
        <v>5844</v>
      </c>
      <c r="M487" s="23" t="s">
        <v>5845</v>
      </c>
      <c r="N487" s="23" t="s">
        <v>5846</v>
      </c>
      <c r="O487" s="23" t="s">
        <v>5847</v>
      </c>
      <c r="P487" s="23" t="s">
        <v>5848</v>
      </c>
      <c r="Q487" s="24" t="n">
        <f aca="false">IF(L487="","",IFERROR(INDEX('Semrush Data'!$A$1:$Z$20000,MATCH(L487,'Semrush Data'!$A$1:$A$20000,0),MATCH("Volume",'Semrush Data'!$A$1:$Z$1,0)),""))</f>
        <v>10</v>
      </c>
      <c r="R487" s="24" t="str">
        <f aca="false">IF(M487="","",IFERROR(INDEX('Semrush Data'!$A$1:$Z$20000,MATCH(M487,'Semrush Data'!$A$1:$A$20000,0),MATCH("Volume",'Semrush Data'!$A$1:$Z$1,0)),""))</f>
        <v/>
      </c>
      <c r="S487" s="24" t="str">
        <f aca="false">IF(N487="","",IFERROR(INDEX('Semrush Data'!$A$1:$Z$20000,MATCH(N487,'Semrush Data'!$A$1:$A$20000,0),MATCH("Volume",'Semrush Data'!$A$1:$Z$1,0)),""))</f>
        <v/>
      </c>
      <c r="T487" s="24" t="str">
        <f aca="false">IF(O487="","",IFERROR(INDEX('Semrush Data'!$A$1:$Z$20000,MATCH(O487,'Semrush Data'!$A$1:$A$20000,0),MATCH("Volume",'Semrush Data'!$A$1:$Z$1,0)),""))</f>
        <v/>
      </c>
      <c r="U487" s="24" t="str">
        <f aca="false">IF(P487="","",IFERROR(INDEX('Semrush Data'!$A$1:$Z$20000,MATCH(P487,'Semrush Data'!$A$1:$A$20000,0),MATCH("Volume",'Semrush Data'!$A$1:$Z$1,0)),""))</f>
        <v/>
      </c>
      <c r="V487" s="25" t="str">
        <f aca="false">IF(COUNT(Q487:U487)=0,L487,IF(MAX(Q487:U487)=0,L487,INDEX(L487:P487,MATCH(MAX(Q487:U487),Q487:U487,0))))</f>
        <v>signature paradiso</v>
      </c>
      <c r="W487" s="24" t="n">
        <f aca="false">IFERROR(INDEX('Semrush Data'!$A$1:$Z$20000,MATCH(V487,'Semrush Data'!$A$1:$A$20000,0),MATCH("Volume",'Semrush Data'!$A$1:$Z$1,0)),"")</f>
        <v>10</v>
      </c>
      <c r="X487" s="24" t="n">
        <f aca="false">IFERROR(INDEX('Semrush Data'!$A$1:$Z$20000,MATCH(V487,'Semrush Data'!$A$1:$A$20000,0),MATCH("Keyword Difficulty*",'Semrush Data'!$A$1:$Z$1,0)),"")</f>
        <v>16</v>
      </c>
      <c r="Y487" s="26" t="n">
        <f aca="false">IFERROR(INDEX('Semrush Data'!$A$1:$Z$20000,MATCH(V487,'Semrush Data'!$A$1:$A$20000,0),MATCH("CPC*",'Semrush Data'!$A$1:$Z$1,0)),"")</f>
        <v>0</v>
      </c>
      <c r="Z487" s="23" t="s">
        <v>5757</v>
      </c>
      <c r="AA487" s="23" t="s">
        <v>5849</v>
      </c>
      <c r="AB487" s="23" t="s">
        <v>5850</v>
      </c>
      <c r="AC487" s="23" t="s">
        <v>5851</v>
      </c>
      <c r="AD487" s="27" t="n">
        <f aca="false">LEN(AC487)</f>
        <v>55</v>
      </c>
      <c r="AE487" s="23" t="s">
        <v>5852</v>
      </c>
      <c r="AF487" s="27" t="n">
        <f aca="false">LEN(AE487)</f>
        <v>143</v>
      </c>
    </row>
    <row r="488" customFormat="false" ht="15" hidden="false" customHeight="true" outlineLevel="0" collapsed="false">
      <c r="A488" s="23" t="s">
        <v>5853</v>
      </c>
      <c r="B488" s="23" t="s">
        <v>2449</v>
      </c>
      <c r="C488" s="23" t="n">
        <v>328</v>
      </c>
      <c r="D488" s="23" t="s">
        <v>5750</v>
      </c>
      <c r="E488" s="23"/>
      <c r="F488" s="23" t="s">
        <v>2452</v>
      </c>
      <c r="G488" s="23" t="s">
        <v>2453</v>
      </c>
      <c r="H488" s="23" t="s">
        <v>2538</v>
      </c>
      <c r="I488" s="23" t="s">
        <v>5854</v>
      </c>
      <c r="J488" s="23" t="s">
        <v>1994</v>
      </c>
      <c r="K488" s="23" t="n">
        <v>65.99</v>
      </c>
      <c r="L488" s="23" t="s">
        <v>5855</v>
      </c>
      <c r="M488" s="23" t="s">
        <v>5856</v>
      </c>
      <c r="N488" s="23" t="s">
        <v>5857</v>
      </c>
      <c r="O488" s="23" t="s">
        <v>5858</v>
      </c>
      <c r="P488" s="23" t="s">
        <v>5859</v>
      </c>
      <c r="Q488" s="24" t="n">
        <f aca="false">IF(L488="","",IFERROR(INDEX('Semrush Data'!$A$1:$Z$20000,MATCH(L488,'Semrush Data'!$A$1:$A$20000,0),MATCH("Volume",'Semrush Data'!$A$1:$Z$1,0)),""))</f>
        <v>20</v>
      </c>
      <c r="R488" s="24" t="str">
        <f aca="false">IF(M488="","",IFERROR(INDEX('Semrush Data'!$A$1:$Z$20000,MATCH(M488,'Semrush Data'!$A$1:$A$20000,0),MATCH("Volume",'Semrush Data'!$A$1:$Z$1,0)),""))</f>
        <v/>
      </c>
      <c r="S488" s="24" t="str">
        <f aca="false">IF(N488="","",IFERROR(INDEX('Semrush Data'!$A$1:$Z$20000,MATCH(N488,'Semrush Data'!$A$1:$A$20000,0),MATCH("Volume",'Semrush Data'!$A$1:$Z$1,0)),""))</f>
        <v/>
      </c>
      <c r="T488" s="24" t="str">
        <f aca="false">IF(O488="","",IFERROR(INDEX('Semrush Data'!$A$1:$Z$20000,MATCH(O488,'Semrush Data'!$A$1:$A$20000,0),MATCH("Volume",'Semrush Data'!$A$1:$Z$1,0)),""))</f>
        <v/>
      </c>
      <c r="U488" s="24" t="str">
        <f aca="false">IF(P488="","",IFERROR(INDEX('Semrush Data'!$A$1:$Z$20000,MATCH(P488,'Semrush Data'!$A$1:$A$20000,0),MATCH("Volume",'Semrush Data'!$A$1:$Z$1,0)),""))</f>
        <v/>
      </c>
      <c r="V488" s="25" t="str">
        <f aca="false">IF(COUNT(Q488:U488)=0,L488,IF(MAX(Q488:U488)=0,L488,INDEX(L488:P488,MATCH(MAX(Q488:U488),Q488:U488,0))))</f>
        <v>signature santal</v>
      </c>
      <c r="W488" s="24" t="n">
        <f aca="false">IFERROR(INDEX('Semrush Data'!$A$1:$Z$20000,MATCH(V488,'Semrush Data'!$A$1:$A$20000,0),MATCH("Volume",'Semrush Data'!$A$1:$Z$1,0)),"")</f>
        <v>20</v>
      </c>
      <c r="X488" s="24" t="n">
        <f aca="false">IFERROR(INDEX('Semrush Data'!$A$1:$Z$20000,MATCH(V488,'Semrush Data'!$A$1:$A$20000,0),MATCH("Keyword Difficulty*",'Semrush Data'!$A$1:$Z$1,0)),"")</f>
        <v>16</v>
      </c>
      <c r="Y488" s="26" t="n">
        <f aca="false">IFERROR(INDEX('Semrush Data'!$A$1:$Z$20000,MATCH(V488,'Semrush Data'!$A$1:$A$20000,0),MATCH("CPC*",'Semrush Data'!$A$1:$Z$1,0)),"")</f>
        <v>0</v>
      </c>
      <c r="Z488" s="23" t="s">
        <v>5757</v>
      </c>
      <c r="AA488" s="23" t="s">
        <v>5860</v>
      </c>
      <c r="AB488" s="23" t="s">
        <v>5861</v>
      </c>
      <c r="AC488" s="23" t="s">
        <v>5862</v>
      </c>
      <c r="AD488" s="27" t="n">
        <f aca="false">LEN(AC488)</f>
        <v>57</v>
      </c>
      <c r="AE488" s="23" t="s">
        <v>5863</v>
      </c>
      <c r="AF488" s="27" t="n">
        <f aca="false">LEN(AE488)</f>
        <v>151</v>
      </c>
    </row>
    <row r="489" customFormat="false" ht="15" hidden="false" customHeight="true" outlineLevel="0" collapsed="false">
      <c r="A489" s="23" t="s">
        <v>5864</v>
      </c>
      <c r="B489" s="23" t="s">
        <v>2449</v>
      </c>
      <c r="C489" s="23" t="n">
        <v>329</v>
      </c>
      <c r="D489" s="23" t="s">
        <v>5750</v>
      </c>
      <c r="E489" s="23"/>
      <c r="F489" s="23" t="s">
        <v>2452</v>
      </c>
      <c r="G489" s="23" t="s">
        <v>2453</v>
      </c>
      <c r="H489" s="23" t="s">
        <v>2538</v>
      </c>
      <c r="I489" s="23" t="s">
        <v>5865</v>
      </c>
      <c r="J489" s="23" t="s">
        <v>1994</v>
      </c>
      <c r="K489" s="23" t="n">
        <v>64.99</v>
      </c>
      <c r="L489" s="23" t="s">
        <v>5866</v>
      </c>
      <c r="M489" s="23" t="s">
        <v>5867</v>
      </c>
      <c r="N489" s="23" t="s">
        <v>5868</v>
      </c>
      <c r="O489" s="23" t="s">
        <v>5869</v>
      </c>
      <c r="P489" s="23" t="s">
        <v>5870</v>
      </c>
      <c r="Q489" s="24" t="n">
        <f aca="false">IF(L489="","",IFERROR(INDEX('Semrush Data'!$A$1:$Z$20000,MATCH(L489,'Semrush Data'!$A$1:$A$20000,0),MATCH("Volume",'Semrush Data'!$A$1:$Z$1,0)),""))</f>
        <v>10</v>
      </c>
      <c r="R489" s="24" t="str">
        <f aca="false">IF(M489="","",IFERROR(INDEX('Semrush Data'!$A$1:$Z$20000,MATCH(M489,'Semrush Data'!$A$1:$A$20000,0),MATCH("Volume",'Semrush Data'!$A$1:$Z$1,0)),""))</f>
        <v/>
      </c>
      <c r="S489" s="24" t="str">
        <f aca="false">IF(N489="","",IFERROR(INDEX('Semrush Data'!$A$1:$Z$20000,MATCH(N489,'Semrush Data'!$A$1:$A$20000,0),MATCH("Volume",'Semrush Data'!$A$1:$Z$1,0)),""))</f>
        <v/>
      </c>
      <c r="T489" s="24" t="str">
        <f aca="false">IF(O489="","",IFERROR(INDEX('Semrush Data'!$A$1:$Z$20000,MATCH(O489,'Semrush Data'!$A$1:$A$20000,0),MATCH("Volume",'Semrush Data'!$A$1:$Z$1,0)),""))</f>
        <v/>
      </c>
      <c r="U489" s="24" t="str">
        <f aca="false">IF(P489="","",IFERROR(INDEX('Semrush Data'!$A$1:$Z$20000,MATCH(P489,'Semrush Data'!$A$1:$A$20000,0),MATCH("Volume",'Semrush Data'!$A$1:$Z$1,0)),""))</f>
        <v/>
      </c>
      <c r="V489" s="25" t="str">
        <f aca="false">IF(COUNT(Q489:U489)=0,L489,IF(MAX(Q489:U489)=0,L489,INDEX(L489:P489,MATCH(MAX(Q489:U489),Q489:U489,0))))</f>
        <v>signature sapphire</v>
      </c>
      <c r="W489" s="24" t="n">
        <f aca="false">IFERROR(INDEX('Semrush Data'!$A$1:$Z$20000,MATCH(V489,'Semrush Data'!$A$1:$A$20000,0),MATCH("Volume",'Semrush Data'!$A$1:$Z$1,0)),"")</f>
        <v>10</v>
      </c>
      <c r="X489" s="24" t="n">
        <f aca="false">IFERROR(INDEX('Semrush Data'!$A$1:$Z$20000,MATCH(V489,'Semrush Data'!$A$1:$A$20000,0),MATCH("Keyword Difficulty*",'Semrush Data'!$A$1:$Z$1,0)),"")</f>
        <v>3</v>
      </c>
      <c r="Y489" s="26" t="n">
        <f aca="false">IFERROR(INDEX('Semrush Data'!$A$1:$Z$20000,MATCH(V489,'Semrush Data'!$A$1:$A$20000,0),MATCH("CPC*",'Semrush Data'!$A$1:$Z$1,0)),"")</f>
        <v>0</v>
      </c>
      <c r="Z489" s="23" t="s">
        <v>5757</v>
      </c>
      <c r="AA489" s="23" t="s">
        <v>5871</v>
      </c>
      <c r="AB489" s="23" t="s">
        <v>5872</v>
      </c>
      <c r="AC489" s="23" t="s">
        <v>5873</v>
      </c>
      <c r="AD489" s="27" t="n">
        <f aca="false">LEN(AC489)</f>
        <v>59</v>
      </c>
      <c r="AE489" s="23" t="s">
        <v>5874</v>
      </c>
      <c r="AF489" s="27" t="n">
        <f aca="false">LEN(AE489)</f>
        <v>153</v>
      </c>
    </row>
    <row r="490" customFormat="false" ht="15" hidden="false" customHeight="true" outlineLevel="0" collapsed="false">
      <c r="A490" s="23" t="s">
        <v>5875</v>
      </c>
      <c r="B490" s="23" t="s">
        <v>2449</v>
      </c>
      <c r="C490" s="23" t="n">
        <v>330</v>
      </c>
      <c r="D490" s="23" t="s">
        <v>5750</v>
      </c>
      <c r="E490" s="23"/>
      <c r="F490" s="23" t="s">
        <v>1735</v>
      </c>
      <c r="G490" s="23" t="s">
        <v>2453</v>
      </c>
      <c r="H490" s="23" t="s">
        <v>2538</v>
      </c>
      <c r="I490" s="23" t="s">
        <v>5876</v>
      </c>
      <c r="J490" s="23" t="s">
        <v>1994</v>
      </c>
      <c r="K490" s="23" t="n">
        <v>64.99</v>
      </c>
      <c r="L490" s="23" t="s">
        <v>5877</v>
      </c>
      <c r="M490" s="23" t="s">
        <v>5878</v>
      </c>
      <c r="N490" s="23" t="s">
        <v>5879</v>
      </c>
      <c r="O490" s="23" t="s">
        <v>5880</v>
      </c>
      <c r="P490" s="23" t="s">
        <v>5881</v>
      </c>
      <c r="Q490" s="24" t="n">
        <f aca="false">IF(L490="","",IFERROR(INDEX('Semrush Data'!$A$1:$Z$20000,MATCH(L490,'Semrush Data'!$A$1:$A$20000,0),MATCH("Volume",'Semrush Data'!$A$1:$Z$1,0)),""))</f>
        <v>10</v>
      </c>
      <c r="R490" s="24" t="str">
        <f aca="false">IF(M490="","",IFERROR(INDEX('Semrush Data'!$A$1:$Z$20000,MATCH(M490,'Semrush Data'!$A$1:$A$20000,0),MATCH("Volume",'Semrush Data'!$A$1:$Z$1,0)),""))</f>
        <v/>
      </c>
      <c r="S490" s="24" t="str">
        <f aca="false">IF(N490="","",IFERROR(INDEX('Semrush Data'!$A$1:$Z$20000,MATCH(N490,'Semrush Data'!$A$1:$A$20000,0),MATCH("Volume",'Semrush Data'!$A$1:$Z$1,0)),""))</f>
        <v/>
      </c>
      <c r="T490" s="24" t="str">
        <f aca="false">IF(O490="","",IFERROR(INDEX('Semrush Data'!$A$1:$Z$20000,MATCH(O490,'Semrush Data'!$A$1:$A$20000,0),MATCH("Volume",'Semrush Data'!$A$1:$Z$1,0)),""))</f>
        <v/>
      </c>
      <c r="U490" s="24" t="str">
        <f aca="false">IF(P490="","",IFERROR(INDEX('Semrush Data'!$A$1:$Z$20000,MATCH(P490,'Semrush Data'!$A$1:$A$20000,0),MATCH("Volume",'Semrush Data'!$A$1:$Z$1,0)),""))</f>
        <v/>
      </c>
      <c r="V490" s="25" t="str">
        <f aca="false">IF(COUNT(Q490:U490)=0,L490,IF(MAX(Q490:U490)=0,L490,INDEX(L490:P490,MATCH(MAX(Q490:U490),Q490:U490,0))))</f>
        <v>signature diamond</v>
      </c>
      <c r="W490" s="24" t="n">
        <f aca="false">IFERROR(INDEX('Semrush Data'!$A$1:$Z$20000,MATCH(V490,'Semrush Data'!$A$1:$A$20000,0),MATCH("Volume",'Semrush Data'!$A$1:$Z$1,0)),"")</f>
        <v>10</v>
      </c>
      <c r="X490" s="24" t="n">
        <f aca="false">IFERROR(INDEX('Semrush Data'!$A$1:$Z$20000,MATCH(V490,'Semrush Data'!$A$1:$A$20000,0),MATCH("Keyword Difficulty*",'Semrush Data'!$A$1:$Z$1,0)),"")</f>
        <v>16</v>
      </c>
      <c r="Y490" s="26" t="n">
        <f aca="false">IFERROR(INDEX('Semrush Data'!$A$1:$Z$20000,MATCH(V490,'Semrush Data'!$A$1:$A$20000,0),MATCH("CPC*",'Semrush Data'!$A$1:$Z$1,0)),"")</f>
        <v>0</v>
      </c>
      <c r="Z490" s="23" t="s">
        <v>5757</v>
      </c>
      <c r="AA490" s="23" t="s">
        <v>5882</v>
      </c>
      <c r="AB490" s="23" t="s">
        <v>5883</v>
      </c>
      <c r="AC490" s="23" t="s">
        <v>5884</v>
      </c>
      <c r="AD490" s="27" t="n">
        <f aca="false">LEN(AC490)</f>
        <v>50</v>
      </c>
      <c r="AE490" s="23" t="s">
        <v>5885</v>
      </c>
      <c r="AF490" s="27" t="n">
        <f aca="false">LEN(AE490)</f>
        <v>138</v>
      </c>
    </row>
    <row r="491" customFormat="false" ht="15" hidden="false" customHeight="true" outlineLevel="0" collapsed="false">
      <c r="A491" s="23" t="s">
        <v>5886</v>
      </c>
      <c r="B491" s="23" t="s">
        <v>2449</v>
      </c>
      <c r="C491" s="23" t="n">
        <v>331</v>
      </c>
      <c r="D491" s="23" t="s">
        <v>5750</v>
      </c>
      <c r="E491" s="23"/>
      <c r="F491" s="23" t="s">
        <v>1735</v>
      </c>
      <c r="G491" s="23" t="s">
        <v>2550</v>
      </c>
      <c r="H491" s="23" t="s">
        <v>2538</v>
      </c>
      <c r="I491" s="23" t="s">
        <v>5887</v>
      </c>
      <c r="J491" s="23" t="s">
        <v>5888</v>
      </c>
      <c r="K491" s="23" t="n">
        <v>75.99</v>
      </c>
      <c r="L491" s="23" t="s">
        <v>5889</v>
      </c>
      <c r="M491" s="23" t="s">
        <v>5890</v>
      </c>
      <c r="N491" s="23" t="s">
        <v>5891</v>
      </c>
      <c r="O491" s="23" t="s">
        <v>5892</v>
      </c>
      <c r="P491" s="23"/>
      <c r="Q491" s="24" t="n">
        <f aca="false">IF(L491="","",IFERROR(INDEX('Semrush Data'!$A$1:$Z$20000,MATCH(L491,'Semrush Data'!$A$1:$A$20000,0),MATCH("Volume",'Semrush Data'!$A$1:$Z$1,0)),""))</f>
        <v>20</v>
      </c>
      <c r="R491" s="24" t="str">
        <f aca="false">IF(M491="","",IFERROR(INDEX('Semrush Data'!$A$1:$Z$20000,MATCH(M491,'Semrush Data'!$A$1:$A$20000,0),MATCH("Volume",'Semrush Data'!$A$1:$Z$1,0)),""))</f>
        <v/>
      </c>
      <c r="S491" s="24" t="str">
        <f aca="false">IF(N491="","",IFERROR(INDEX('Semrush Data'!$A$1:$Z$20000,MATCH(N491,'Semrush Data'!$A$1:$A$20000,0),MATCH("Volume",'Semrush Data'!$A$1:$Z$1,0)),""))</f>
        <v/>
      </c>
      <c r="T491" s="24" t="str">
        <f aca="false">IF(O491="","",IFERROR(INDEX('Semrush Data'!$A$1:$Z$20000,MATCH(O491,'Semrush Data'!$A$1:$A$20000,0),MATCH("Volume",'Semrush Data'!$A$1:$Z$1,0)),""))</f>
        <v/>
      </c>
      <c r="U491" s="24" t="str">
        <f aca="false">IF(P491="","",IFERROR(INDEX('Semrush Data'!$A$1:$Z$20000,MATCH(P491,'Semrush Data'!$A$1:$A$20000,0),MATCH("Volume",'Semrush Data'!$A$1:$Z$1,0)),""))</f>
        <v/>
      </c>
      <c r="V491" s="25" t="str">
        <f aca="false">IF(COUNT(Q491:U491)=0,L491,IF(MAX(Q491:U491)=0,L491,INDEX(L491:P491,MATCH(MAX(Q491:U491),Q491:U491,0))))</f>
        <v>signature discovery set</v>
      </c>
      <c r="W491" s="24" t="n">
        <f aca="false">IFERROR(INDEX('Semrush Data'!$A$1:$Z$20000,MATCH(V491,'Semrush Data'!$A$1:$A$20000,0),MATCH("Volume",'Semrush Data'!$A$1:$Z$1,0)),"")</f>
        <v>20</v>
      </c>
      <c r="X491" s="24" t="n">
        <f aca="false">IFERROR(INDEX('Semrush Data'!$A$1:$Z$20000,MATCH(V491,'Semrush Data'!$A$1:$A$20000,0),MATCH("Keyword Difficulty*",'Semrush Data'!$A$1:$Z$1,0)),"")</f>
        <v>16</v>
      </c>
      <c r="Y491" s="26" t="n">
        <f aca="false">IFERROR(INDEX('Semrush Data'!$A$1:$Z$20000,MATCH(V491,'Semrush Data'!$A$1:$A$20000,0),MATCH("CPC*",'Semrush Data'!$A$1:$Z$1,0)),"")</f>
        <v>0</v>
      </c>
      <c r="Z491" s="23" t="s">
        <v>5757</v>
      </c>
      <c r="AA491" s="23" t="s">
        <v>5893</v>
      </c>
      <c r="AB491" s="23" t="s">
        <v>5887</v>
      </c>
      <c r="AC491" s="23" t="s">
        <v>5894</v>
      </c>
      <c r="AD491" s="27" t="n">
        <f aca="false">LEN(AC491)</f>
        <v>58</v>
      </c>
      <c r="AE491" s="23" t="s">
        <v>5895</v>
      </c>
      <c r="AF491" s="27" t="n">
        <f aca="false">LEN(AE491)</f>
        <v>150</v>
      </c>
    </row>
    <row r="492" customFormat="false" ht="15" hidden="false" customHeight="true" outlineLevel="0" collapsed="false">
      <c r="A492" s="23" t="s">
        <v>5896</v>
      </c>
      <c r="B492" s="23" t="s">
        <v>2449</v>
      </c>
      <c r="C492" s="23" t="n">
        <v>332</v>
      </c>
      <c r="D492" s="23" t="s">
        <v>5750</v>
      </c>
      <c r="E492" s="23"/>
      <c r="F492" s="23" t="s">
        <v>2452</v>
      </c>
      <c r="G492" s="23" t="s">
        <v>2453</v>
      </c>
      <c r="H492" s="23" t="s">
        <v>5897</v>
      </c>
      <c r="I492" s="23" t="s">
        <v>5898</v>
      </c>
      <c r="J492" s="23" t="s">
        <v>1994</v>
      </c>
      <c r="K492" s="23" t="n">
        <v>38.99</v>
      </c>
      <c r="L492" s="23" t="s">
        <v>5899</v>
      </c>
      <c r="M492" s="23" t="s">
        <v>5900</v>
      </c>
      <c r="N492" s="23" t="s">
        <v>5901</v>
      </c>
      <c r="O492" s="23" t="s">
        <v>5902</v>
      </c>
      <c r="P492" s="23" t="s">
        <v>5903</v>
      </c>
      <c r="Q492" s="24" t="n">
        <f aca="false">IF(L492="","",IFERROR(INDEX('Semrush Data'!$A$1:$Z$20000,MATCH(L492,'Semrush Data'!$A$1:$A$20000,0),MATCH("Volume",'Semrush Data'!$A$1:$Z$1,0)),""))</f>
        <v>140</v>
      </c>
      <c r="R492" s="24" t="n">
        <f aca="false">IF(M492="","",IFERROR(INDEX('Semrush Data'!$A$1:$Z$20000,MATCH(M492,'Semrush Data'!$A$1:$A$20000,0),MATCH("Volume",'Semrush Data'!$A$1:$Z$1,0)),""))</f>
        <v>0</v>
      </c>
      <c r="S492" s="24" t="str">
        <f aca="false">IF(N492="","",IFERROR(INDEX('Semrush Data'!$A$1:$Z$20000,MATCH(N492,'Semrush Data'!$A$1:$A$20000,0),MATCH("Volume",'Semrush Data'!$A$1:$Z$1,0)),""))</f>
        <v/>
      </c>
      <c r="T492" s="24" t="str">
        <f aca="false">IF(O492="","",IFERROR(INDEX('Semrush Data'!$A$1:$Z$20000,MATCH(O492,'Semrush Data'!$A$1:$A$20000,0),MATCH("Volume",'Semrush Data'!$A$1:$Z$1,0)),""))</f>
        <v/>
      </c>
      <c r="U492" s="24" t="n">
        <f aca="false">IF(P492="","",IFERROR(INDEX('Semrush Data'!$A$1:$Z$20000,MATCH(P492,'Semrush Data'!$A$1:$A$20000,0),MATCH("Volume",'Semrush Data'!$A$1:$Z$1,0)),""))</f>
        <v>0</v>
      </c>
      <c r="V492" s="25" t="str">
        <f aca="false">IF(COUNT(Q492:U492)=0,L492,IF(MAX(Q492:U492)=0,L492,INDEX(L492:P492,MATCH(MAX(Q492:U492),Q492:U492,0))))</f>
        <v>signature blue</v>
      </c>
      <c r="W492" s="24" t="n">
        <f aca="false">IFERROR(INDEX('Semrush Data'!$A$1:$Z$20000,MATCH(V492,'Semrush Data'!$A$1:$A$20000,0),MATCH("Volume",'Semrush Data'!$A$1:$Z$1,0)),"")</f>
        <v>140</v>
      </c>
      <c r="X492" s="24" t="n">
        <f aca="false">IFERROR(INDEX('Semrush Data'!$A$1:$Z$20000,MATCH(V492,'Semrush Data'!$A$1:$A$20000,0),MATCH("Keyword Difficulty*",'Semrush Data'!$A$1:$Z$1,0)),"")</f>
        <v>10</v>
      </c>
      <c r="Y492" s="26" t="n">
        <f aca="false">IFERROR(INDEX('Semrush Data'!$A$1:$Z$20000,MATCH(V492,'Semrush Data'!$A$1:$A$20000,0),MATCH("CPC*",'Semrush Data'!$A$1:$Z$1,0)),"")</f>
        <v>0</v>
      </c>
      <c r="Z492" s="23" t="s">
        <v>5904</v>
      </c>
      <c r="AA492" s="23" t="s">
        <v>5905</v>
      </c>
      <c r="AB492" s="23" t="s">
        <v>5906</v>
      </c>
      <c r="AC492" s="23" t="s">
        <v>5907</v>
      </c>
      <c r="AD492" s="27" t="n">
        <f aca="false">LEN(AC492)</f>
        <v>51</v>
      </c>
      <c r="AE492" s="23" t="s">
        <v>5908</v>
      </c>
      <c r="AF492" s="27" t="n">
        <f aca="false">LEN(AE492)</f>
        <v>138</v>
      </c>
    </row>
    <row r="493" customFormat="false" ht="15" hidden="false" customHeight="true" outlineLevel="0" collapsed="false">
      <c r="A493" s="23" t="s">
        <v>5909</v>
      </c>
      <c r="B493" s="23" t="s">
        <v>2449</v>
      </c>
      <c r="C493" s="23" t="n">
        <v>333</v>
      </c>
      <c r="D493" s="23" t="s">
        <v>5750</v>
      </c>
      <c r="E493" s="23"/>
      <c r="F493" s="23" t="s">
        <v>2452</v>
      </c>
      <c r="G493" s="23" t="s">
        <v>2453</v>
      </c>
      <c r="H493" s="23" t="s">
        <v>2538</v>
      </c>
      <c r="I493" s="23" t="s">
        <v>5910</v>
      </c>
      <c r="J493" s="23" t="s">
        <v>1994</v>
      </c>
      <c r="K493" s="23" t="n">
        <v>64.99</v>
      </c>
      <c r="L493" s="23" t="s">
        <v>5911</v>
      </c>
      <c r="M493" s="23" t="s">
        <v>5912</v>
      </c>
      <c r="N493" s="23" t="s">
        <v>5913</v>
      </c>
      <c r="O493" s="23" t="s">
        <v>5914</v>
      </c>
      <c r="P493" s="23" t="s">
        <v>5915</v>
      </c>
      <c r="Q493" s="24" t="n">
        <f aca="false">IF(L493="","",IFERROR(INDEX('Semrush Data'!$A$1:$Z$20000,MATCH(L493,'Semrush Data'!$A$1:$A$20000,0),MATCH("Volume",'Semrush Data'!$A$1:$Z$1,0)),""))</f>
        <v>20</v>
      </c>
      <c r="R493" s="24" t="str">
        <f aca="false">IF(M493="","",IFERROR(INDEX('Semrush Data'!$A$1:$Z$20000,MATCH(M493,'Semrush Data'!$A$1:$A$20000,0),MATCH("Volume",'Semrush Data'!$A$1:$Z$1,0)),""))</f>
        <v/>
      </c>
      <c r="S493" s="24" t="str">
        <f aca="false">IF(N493="","",IFERROR(INDEX('Semrush Data'!$A$1:$Z$20000,MATCH(N493,'Semrush Data'!$A$1:$A$20000,0),MATCH("Volume",'Semrush Data'!$A$1:$Z$1,0)),""))</f>
        <v/>
      </c>
      <c r="T493" s="24" t="str">
        <f aca="false">IF(O493="","",IFERROR(INDEX('Semrush Data'!$A$1:$Z$20000,MATCH(O493,'Semrush Data'!$A$1:$A$20000,0),MATCH("Volume",'Semrush Data'!$A$1:$Z$1,0)),""))</f>
        <v/>
      </c>
      <c r="U493" s="24" t="str">
        <f aca="false">IF(P493="","",IFERROR(INDEX('Semrush Data'!$A$1:$Z$20000,MATCH(P493,'Semrush Data'!$A$1:$A$20000,0),MATCH("Volume",'Semrush Data'!$A$1:$Z$1,0)),""))</f>
        <v/>
      </c>
      <c r="V493" s="25" t="str">
        <f aca="false">IF(COUNT(Q493:U493)=0,L493,IF(MAX(Q493:U493)=0,L493,INDEX(L493:P493,MATCH(MAX(Q493:U493),Q493:U493,0))))</f>
        <v>signature jade</v>
      </c>
      <c r="W493" s="24" t="n">
        <f aca="false">IFERROR(INDEX('Semrush Data'!$A$1:$Z$20000,MATCH(V493,'Semrush Data'!$A$1:$A$20000,0),MATCH("Volume",'Semrush Data'!$A$1:$Z$1,0)),"")</f>
        <v>20</v>
      </c>
      <c r="X493" s="24" t="n">
        <f aca="false">IFERROR(INDEX('Semrush Data'!$A$1:$Z$20000,MATCH(V493,'Semrush Data'!$A$1:$A$20000,0),MATCH("Keyword Difficulty*",'Semrush Data'!$A$1:$Z$1,0)),"")</f>
        <v>12</v>
      </c>
      <c r="Y493" s="26" t="n">
        <f aca="false">IFERROR(INDEX('Semrush Data'!$A$1:$Z$20000,MATCH(V493,'Semrush Data'!$A$1:$A$20000,0),MATCH("CPC*",'Semrush Data'!$A$1:$Z$1,0)),"")</f>
        <v>0</v>
      </c>
      <c r="Z493" s="23" t="s">
        <v>5757</v>
      </c>
      <c r="AA493" s="23" t="s">
        <v>5916</v>
      </c>
      <c r="AB493" s="23" t="s">
        <v>5917</v>
      </c>
      <c r="AC493" s="23" t="s">
        <v>5918</v>
      </c>
      <c r="AD493" s="27" t="n">
        <f aca="false">LEN(AC493)</f>
        <v>51</v>
      </c>
      <c r="AE493" s="23" t="s">
        <v>5919</v>
      </c>
      <c r="AF493" s="27" t="n">
        <f aca="false">LEN(AE493)</f>
        <v>139</v>
      </c>
    </row>
    <row r="494" customFormat="false" ht="15" hidden="false" customHeight="true" outlineLevel="0" collapsed="false">
      <c r="A494" s="23" t="s">
        <v>5920</v>
      </c>
      <c r="B494" s="23" t="s">
        <v>2449</v>
      </c>
      <c r="C494" s="23" t="n">
        <v>334</v>
      </c>
      <c r="D494" s="23" t="s">
        <v>5750</v>
      </c>
      <c r="E494" s="23"/>
      <c r="F494" s="23" t="s">
        <v>2452</v>
      </c>
      <c r="G494" s="23" t="s">
        <v>2453</v>
      </c>
      <c r="H494" s="23" t="s">
        <v>2527</v>
      </c>
      <c r="I494" s="23" t="s">
        <v>5921</v>
      </c>
      <c r="J494" s="23" t="s">
        <v>1994</v>
      </c>
      <c r="K494" s="23" t="n">
        <v>44.99</v>
      </c>
      <c r="L494" s="23" t="s">
        <v>5922</v>
      </c>
      <c r="M494" s="23" t="s">
        <v>5923</v>
      </c>
      <c r="N494" s="23" t="s">
        <v>5924</v>
      </c>
      <c r="O494" s="23" t="s">
        <v>5925</v>
      </c>
      <c r="P494" s="23" t="s">
        <v>5926</v>
      </c>
      <c r="Q494" s="24" t="n">
        <f aca="false">IF(L494="","",IFERROR(INDEX('Semrush Data'!$A$1:$Z$20000,MATCH(L494,'Semrush Data'!$A$1:$A$20000,0),MATCH("Volume",'Semrush Data'!$A$1:$Z$1,0)),""))</f>
        <v>20</v>
      </c>
      <c r="R494" s="24" t="str">
        <f aca="false">IF(M494="","",IFERROR(INDEX('Semrush Data'!$A$1:$Z$20000,MATCH(M494,'Semrush Data'!$A$1:$A$20000,0),MATCH("Volume",'Semrush Data'!$A$1:$Z$1,0)),""))</f>
        <v/>
      </c>
      <c r="S494" s="24" t="str">
        <f aca="false">IF(N494="","",IFERROR(INDEX('Semrush Data'!$A$1:$Z$20000,MATCH(N494,'Semrush Data'!$A$1:$A$20000,0),MATCH("Volume",'Semrush Data'!$A$1:$Z$1,0)),""))</f>
        <v/>
      </c>
      <c r="T494" s="24" t="str">
        <f aca="false">IF(O494="","",IFERROR(INDEX('Semrush Data'!$A$1:$Z$20000,MATCH(O494,'Semrush Data'!$A$1:$A$20000,0),MATCH("Volume",'Semrush Data'!$A$1:$Z$1,0)),""))</f>
        <v/>
      </c>
      <c r="U494" s="24" t="str">
        <f aca="false">IF(P494="","",IFERROR(INDEX('Semrush Data'!$A$1:$Z$20000,MATCH(P494,'Semrush Data'!$A$1:$A$20000,0),MATCH("Volume",'Semrush Data'!$A$1:$Z$1,0)),""))</f>
        <v/>
      </c>
      <c r="V494" s="25" t="str">
        <f aca="false">IF(COUNT(Q494:U494)=0,L494,IF(MAX(Q494:U494)=0,L494,INDEX(L494:P494,MATCH(MAX(Q494:U494),Q494:U494,0))))</f>
        <v>signature rose</v>
      </c>
      <c r="W494" s="24" t="n">
        <f aca="false">IFERROR(INDEX('Semrush Data'!$A$1:$Z$20000,MATCH(V494,'Semrush Data'!$A$1:$A$20000,0),MATCH("Volume",'Semrush Data'!$A$1:$Z$1,0)),"")</f>
        <v>20</v>
      </c>
      <c r="X494" s="24" t="n">
        <f aca="false">IFERROR(INDEX('Semrush Data'!$A$1:$Z$20000,MATCH(V494,'Semrush Data'!$A$1:$A$20000,0),MATCH("Keyword Difficulty*",'Semrush Data'!$A$1:$Z$1,0)),"")</f>
        <v>6</v>
      </c>
      <c r="Y494" s="26" t="n">
        <f aca="false">IFERROR(INDEX('Semrush Data'!$A$1:$Z$20000,MATCH(V494,'Semrush Data'!$A$1:$A$20000,0),MATCH("CPC*",'Semrush Data'!$A$1:$Z$1,0)),"")</f>
        <v>0</v>
      </c>
      <c r="Z494" s="23" t="s">
        <v>5927</v>
      </c>
      <c r="AA494" s="23" t="s">
        <v>5928</v>
      </c>
      <c r="AB494" s="23" t="s">
        <v>5929</v>
      </c>
      <c r="AC494" s="23" t="s">
        <v>5930</v>
      </c>
      <c r="AD494" s="27" t="n">
        <f aca="false">LEN(AC494)</f>
        <v>51</v>
      </c>
      <c r="AE494" s="23" t="s">
        <v>5931</v>
      </c>
      <c r="AF494" s="27" t="n">
        <f aca="false">LEN(AE494)</f>
        <v>139</v>
      </c>
    </row>
    <row r="495" customFormat="false" ht="15" hidden="false" customHeight="true" outlineLevel="0" collapsed="false">
      <c r="A495" s="23" t="s">
        <v>103</v>
      </c>
      <c r="B495" s="23" t="s">
        <v>2449</v>
      </c>
      <c r="C495" s="23" t="n">
        <v>335</v>
      </c>
      <c r="D495" s="23" t="s">
        <v>5932</v>
      </c>
      <c r="E495" s="23" t="s">
        <v>4285</v>
      </c>
      <c r="F495" s="23" t="s">
        <v>2452</v>
      </c>
      <c r="G495" s="23" t="s">
        <v>2453</v>
      </c>
      <c r="H495" s="23" t="s">
        <v>2538</v>
      </c>
      <c r="I495" s="23" t="s">
        <v>104</v>
      </c>
      <c r="J495" s="23" t="s">
        <v>1979</v>
      </c>
      <c r="K495" s="23" t="n">
        <v>40.99</v>
      </c>
      <c r="L495" s="23" t="s">
        <v>5933</v>
      </c>
      <c r="M495" s="23" t="s">
        <v>5934</v>
      </c>
      <c r="N495" s="23" t="s">
        <v>5935</v>
      </c>
      <c r="O495" s="23" t="s">
        <v>5936</v>
      </c>
      <c r="P495" s="23" t="s">
        <v>5937</v>
      </c>
      <c r="Q495" s="24" t="n">
        <f aca="false">IF(L495="","",IFERROR(INDEX('Semrush Data'!$A$1:$Z$20000,MATCH(L495,'Semrush Data'!$A$1:$A$20000,0),MATCH("Volume",'Semrush Data'!$A$1:$Z$1,0)),""))</f>
        <v>720</v>
      </c>
      <c r="R495" s="24" t="n">
        <f aca="false">IF(M495="","",IFERROR(INDEX('Semrush Data'!$A$1:$Z$20000,MATCH(M495,'Semrush Data'!$A$1:$A$20000,0),MATCH("Volume",'Semrush Data'!$A$1:$Z$1,0)),""))</f>
        <v>20</v>
      </c>
      <c r="S495" s="24" t="str">
        <f aca="false">IF(N495="","",IFERROR(INDEX('Semrush Data'!$A$1:$Z$20000,MATCH(N495,'Semrush Data'!$A$1:$A$20000,0),MATCH("Volume",'Semrush Data'!$A$1:$Z$1,0)),""))</f>
        <v/>
      </c>
      <c r="T495" s="24" t="str">
        <f aca="false">IF(O495="","",IFERROR(INDEX('Semrush Data'!$A$1:$Z$20000,MATCH(O495,'Semrush Data'!$A$1:$A$20000,0),MATCH("Volume",'Semrush Data'!$A$1:$Z$1,0)),""))</f>
        <v/>
      </c>
      <c r="U495" s="24" t="n">
        <f aca="false">IF(P495="","",IFERROR(INDEX('Semrush Data'!$A$1:$Z$20000,MATCH(P495,'Semrush Data'!$A$1:$A$20000,0),MATCH("Volume",'Semrush Data'!$A$1:$Z$1,0)),""))</f>
        <v>20</v>
      </c>
      <c r="V495" s="25" t="str">
        <f aca="false">IF(COUNT(Q495:U495)=0,L495,IF(MAX(Q495:U495)=0,L495,INDEX(L495:P495,MATCH(MAX(Q495:U495),Q495:U495,0))))</f>
        <v>acqua di parma zafferano</v>
      </c>
      <c r="W495" s="24" t="n">
        <f aca="false">IFERROR(INDEX('Semrush Data'!$A$1:$Z$20000,MATCH(V495,'Semrush Data'!$A$1:$A$20000,0),MATCH("Volume",'Semrush Data'!$A$1:$Z$1,0)),"")</f>
        <v>720</v>
      </c>
      <c r="X495" s="24" t="n">
        <f aca="false">IFERROR(INDEX('Semrush Data'!$A$1:$Z$20000,MATCH(V495,'Semrush Data'!$A$1:$A$20000,0),MATCH("Keyword Difficulty*",'Semrush Data'!$A$1:$Z$1,0)),"")</f>
        <v>18</v>
      </c>
      <c r="Y495" s="26" t="n">
        <f aca="false">IFERROR(INDEX('Semrush Data'!$A$1:$Z$20000,MATCH(V495,'Semrush Data'!$A$1:$A$20000,0),MATCH("CPC*",'Semrush Data'!$A$1:$Z$1,0)),"")</f>
        <v>0.47</v>
      </c>
      <c r="Z495" s="23" t="s">
        <v>4336</v>
      </c>
      <c r="AA495" s="23" t="s">
        <v>5938</v>
      </c>
      <c r="AB495" s="23" t="s">
        <v>5939</v>
      </c>
      <c r="AC495" s="23" t="s">
        <v>5940</v>
      </c>
      <c r="AD495" s="27" t="n">
        <f aca="false">LEN(AC495)</f>
        <v>54</v>
      </c>
      <c r="AE495" s="23" t="s">
        <v>5941</v>
      </c>
      <c r="AF495" s="27" t="n">
        <f aca="false">LEN(AE495)</f>
        <v>155</v>
      </c>
    </row>
    <row r="496" customFormat="false" ht="15" hidden="false" customHeight="true" outlineLevel="0" collapsed="false">
      <c r="A496" s="23" t="s">
        <v>5942</v>
      </c>
      <c r="B496" s="23" t="s">
        <v>2449</v>
      </c>
      <c r="C496" s="23" t="n">
        <v>336</v>
      </c>
      <c r="D496" s="23" t="s">
        <v>5932</v>
      </c>
      <c r="E496" s="23" t="s">
        <v>4285</v>
      </c>
      <c r="F496" s="23" t="s">
        <v>2452</v>
      </c>
      <c r="G496" s="23" t="s">
        <v>2818</v>
      </c>
      <c r="H496" s="23" t="s">
        <v>2538</v>
      </c>
      <c r="I496" s="23" t="s">
        <v>5943</v>
      </c>
      <c r="J496" s="23" t="s">
        <v>5051</v>
      </c>
      <c r="K496" s="23" t="n">
        <v>24.99</v>
      </c>
      <c r="L496" s="23" t="s">
        <v>5944</v>
      </c>
      <c r="M496" s="23" t="s">
        <v>5945</v>
      </c>
      <c r="N496" s="23" t="s">
        <v>5946</v>
      </c>
      <c r="O496" s="23" t="s">
        <v>5947</v>
      </c>
      <c r="P496" s="23" t="s">
        <v>5948</v>
      </c>
      <c r="Q496" s="24" t="n">
        <f aca="false">IF(L496="","",IFERROR(INDEX('Semrush Data'!$A$1:$Z$20000,MATCH(L496,'Semrush Data'!$A$1:$A$20000,0),MATCH("Volume",'Semrush Data'!$A$1:$Z$1,0)),""))</f>
        <v>0</v>
      </c>
      <c r="R496" s="24" t="str">
        <f aca="false">IF(M496="","",IFERROR(INDEX('Semrush Data'!$A$1:$Z$20000,MATCH(M496,'Semrush Data'!$A$1:$A$20000,0),MATCH("Volume",'Semrush Data'!$A$1:$Z$1,0)),""))</f>
        <v/>
      </c>
      <c r="S496" s="24" t="str">
        <f aca="false">IF(N496="","",IFERROR(INDEX('Semrush Data'!$A$1:$Z$20000,MATCH(N496,'Semrush Data'!$A$1:$A$20000,0),MATCH("Volume",'Semrush Data'!$A$1:$Z$1,0)),""))</f>
        <v/>
      </c>
      <c r="T496" s="24" t="str">
        <f aca="false">IF(O496="","",IFERROR(INDEX('Semrush Data'!$A$1:$Z$20000,MATCH(O496,'Semrush Data'!$A$1:$A$20000,0),MATCH("Volume",'Semrush Data'!$A$1:$Z$1,0)),""))</f>
        <v/>
      </c>
      <c r="U496" s="24" t="str">
        <f aca="false">IF(P496="","",IFERROR(INDEX('Semrush Data'!$A$1:$Z$20000,MATCH(P496,'Semrush Data'!$A$1:$A$20000,0),MATCH("Volume",'Semrush Data'!$A$1:$Z$1,0)),""))</f>
        <v/>
      </c>
      <c r="V496" s="25" t="str">
        <f aca="false">IF(COUNT(Q496:U496)=0,L496,IF(MAX(Q496:U496)=0,L496,INDEX(L496:P496,MATCH(MAX(Q496:U496),Q496:U496,0))))</f>
        <v>hermes un jardin en mediterranee miniature</v>
      </c>
      <c r="W496" s="24" t="n">
        <f aca="false">IFERROR(INDEX('Semrush Data'!$A$1:$Z$20000,MATCH(V496,'Semrush Data'!$A$1:$A$20000,0),MATCH("Volume",'Semrush Data'!$A$1:$Z$1,0)),"")</f>
        <v>0</v>
      </c>
      <c r="X496" s="24" t="n">
        <f aca="false">IFERROR(INDEX('Semrush Data'!$A$1:$Z$20000,MATCH(V496,'Semrush Data'!$A$1:$A$20000,0),MATCH("Keyword Difficulty*",'Semrush Data'!$A$1:$Z$1,0)),"")</f>
        <v>19</v>
      </c>
      <c r="Y496" s="26" t="n">
        <f aca="false">IFERROR(INDEX('Semrush Data'!$A$1:$Z$20000,MATCH(V496,'Semrush Data'!$A$1:$A$20000,0),MATCH("CPC*",'Semrush Data'!$A$1:$Z$1,0)),"")</f>
        <v>0</v>
      </c>
      <c r="Z496" s="23" t="s">
        <v>4336</v>
      </c>
      <c r="AA496" s="23"/>
      <c r="AB496" s="23" t="s">
        <v>5949</v>
      </c>
      <c r="AC496" s="23" t="s">
        <v>5950</v>
      </c>
      <c r="AD496" s="27" t="n">
        <f aca="false">LEN(AC496)</f>
        <v>56</v>
      </c>
      <c r="AE496" s="23" t="s">
        <v>5951</v>
      </c>
      <c r="AF496" s="27" t="n">
        <f aca="false">LEN(AE496)</f>
        <v>159</v>
      </c>
    </row>
    <row r="497" customFormat="false" ht="15" hidden="false" customHeight="true" outlineLevel="0" collapsed="false">
      <c r="A497" s="23" t="s">
        <v>5952</v>
      </c>
      <c r="B497" s="23" t="s">
        <v>2449</v>
      </c>
      <c r="C497" s="23" t="n">
        <v>337</v>
      </c>
      <c r="D497" s="23" t="s">
        <v>5932</v>
      </c>
      <c r="E497" s="23" t="s">
        <v>4285</v>
      </c>
      <c r="F497" s="23" t="s">
        <v>2452</v>
      </c>
      <c r="G497" s="23" t="s">
        <v>2818</v>
      </c>
      <c r="H497" s="23" t="s">
        <v>2538</v>
      </c>
      <c r="I497" s="23" t="s">
        <v>5953</v>
      </c>
      <c r="J497" s="23" t="s">
        <v>5051</v>
      </c>
      <c r="K497" s="23" t="n">
        <v>24.99</v>
      </c>
      <c r="L497" s="23" t="s">
        <v>5954</v>
      </c>
      <c r="M497" s="23" t="s">
        <v>5955</v>
      </c>
      <c r="N497" s="23" t="s">
        <v>5956</v>
      </c>
      <c r="O497" s="23" t="s">
        <v>5957</v>
      </c>
      <c r="P497" s="23" t="s">
        <v>5958</v>
      </c>
      <c r="Q497" s="24" t="n">
        <f aca="false">IF(L497="","",IFERROR(INDEX('Semrush Data'!$A$1:$Z$20000,MATCH(L497,'Semrush Data'!$A$1:$A$20000,0),MATCH("Volume",'Semrush Data'!$A$1:$Z$1,0)),""))</f>
        <v>0</v>
      </c>
      <c r="R497" s="24" t="str">
        <f aca="false">IF(M497="","",IFERROR(INDEX('Semrush Data'!$A$1:$Z$20000,MATCH(M497,'Semrush Data'!$A$1:$A$20000,0),MATCH("Volume",'Semrush Data'!$A$1:$Z$1,0)),""))</f>
        <v/>
      </c>
      <c r="S497" s="24" t="str">
        <f aca="false">IF(N497="","",IFERROR(INDEX('Semrush Data'!$A$1:$Z$20000,MATCH(N497,'Semrush Data'!$A$1:$A$20000,0),MATCH("Volume",'Semrush Data'!$A$1:$Z$1,0)),""))</f>
        <v/>
      </c>
      <c r="T497" s="24" t="str">
        <f aca="false">IF(O497="","",IFERROR(INDEX('Semrush Data'!$A$1:$Z$20000,MATCH(O497,'Semrush Data'!$A$1:$A$20000,0),MATCH("Volume",'Semrush Data'!$A$1:$Z$1,0)),""))</f>
        <v/>
      </c>
      <c r="U497" s="24" t="str">
        <f aca="false">IF(P497="","",IFERROR(INDEX('Semrush Data'!$A$1:$Z$20000,MATCH(P497,'Semrush Data'!$A$1:$A$20000,0),MATCH("Volume",'Semrush Data'!$A$1:$Z$1,0)),""))</f>
        <v/>
      </c>
      <c r="V497" s="25" t="str">
        <f aca="false">IF(COUNT(Q497:U497)=0,L497,IF(MAX(Q497:U497)=0,L497,INDEX(L497:P497,MATCH(MAX(Q497:U497),Q497:U497,0))))</f>
        <v>hermes un jardin sur le toit miniature</v>
      </c>
      <c r="W497" s="24" t="n">
        <f aca="false">IFERROR(INDEX('Semrush Data'!$A$1:$Z$20000,MATCH(V497,'Semrush Data'!$A$1:$A$20000,0),MATCH("Volume",'Semrush Data'!$A$1:$Z$1,0)),"")</f>
        <v>0</v>
      </c>
      <c r="X497" s="24" t="n">
        <f aca="false">IFERROR(INDEX('Semrush Data'!$A$1:$Z$20000,MATCH(V497,'Semrush Data'!$A$1:$A$20000,0),MATCH("Keyword Difficulty*",'Semrush Data'!$A$1:$Z$1,0)),"")</f>
        <v>12</v>
      </c>
      <c r="Y497" s="26" t="n">
        <f aca="false">IFERROR(INDEX('Semrush Data'!$A$1:$Z$20000,MATCH(V497,'Semrush Data'!$A$1:$A$20000,0),MATCH("CPC*",'Semrush Data'!$A$1:$Z$1,0)),"")</f>
        <v>0</v>
      </c>
      <c r="Z497" s="23" t="s">
        <v>4336</v>
      </c>
      <c r="AA497" s="23" t="s">
        <v>5959</v>
      </c>
      <c r="AB497" s="23" t="s">
        <v>5960</v>
      </c>
      <c r="AC497" s="23" t="s">
        <v>5961</v>
      </c>
      <c r="AD497" s="27" t="n">
        <f aca="false">LEN(AC497)</f>
        <v>59</v>
      </c>
      <c r="AE497" s="23" t="s">
        <v>5962</v>
      </c>
      <c r="AF497" s="27" t="n">
        <f aca="false">LEN(AE497)</f>
        <v>157</v>
      </c>
    </row>
    <row r="498" customFormat="false" ht="15" hidden="false" customHeight="true" outlineLevel="0" collapsed="false">
      <c r="A498" s="23" t="s">
        <v>5963</v>
      </c>
      <c r="B498" s="23" t="s">
        <v>2449</v>
      </c>
      <c r="C498" s="23" t="n">
        <v>338</v>
      </c>
      <c r="D498" s="23" t="s">
        <v>5932</v>
      </c>
      <c r="E498" s="23" t="s">
        <v>4285</v>
      </c>
      <c r="F498" s="23" t="s">
        <v>2452</v>
      </c>
      <c r="G498" s="23" t="s">
        <v>2818</v>
      </c>
      <c r="H498" s="23" t="s">
        <v>2538</v>
      </c>
      <c r="I498" s="23" t="s">
        <v>5964</v>
      </c>
      <c r="J498" s="23" t="s">
        <v>5051</v>
      </c>
      <c r="K498" s="23" t="n">
        <v>24.99</v>
      </c>
      <c r="L498" s="23" t="s">
        <v>5965</v>
      </c>
      <c r="M498" s="23" t="s">
        <v>5966</v>
      </c>
      <c r="N498" s="23" t="s">
        <v>5967</v>
      </c>
      <c r="O498" s="23" t="s">
        <v>5968</v>
      </c>
      <c r="P498" s="23" t="s">
        <v>5969</v>
      </c>
      <c r="Q498" s="24" t="n">
        <f aca="false">IF(L498="","",IFERROR(INDEX('Semrush Data'!$A$1:$Z$20000,MATCH(L498,'Semrush Data'!$A$1:$A$20000,0),MATCH("Volume",'Semrush Data'!$A$1:$Z$1,0)),""))</f>
        <v>0</v>
      </c>
      <c r="R498" s="24" t="str">
        <f aca="false">IF(M498="","",IFERROR(INDEX('Semrush Data'!$A$1:$Z$20000,MATCH(M498,'Semrush Data'!$A$1:$A$20000,0),MATCH("Volume",'Semrush Data'!$A$1:$Z$1,0)),""))</f>
        <v/>
      </c>
      <c r="S498" s="24" t="str">
        <f aca="false">IF(N498="","",IFERROR(INDEX('Semrush Data'!$A$1:$Z$20000,MATCH(N498,'Semrush Data'!$A$1:$A$20000,0),MATCH("Volume",'Semrush Data'!$A$1:$Z$1,0)),""))</f>
        <v/>
      </c>
      <c r="T498" s="24" t="str">
        <f aca="false">IF(O498="","",IFERROR(INDEX('Semrush Data'!$A$1:$Z$20000,MATCH(O498,'Semrush Data'!$A$1:$A$20000,0),MATCH("Volume",'Semrush Data'!$A$1:$Z$1,0)),""))</f>
        <v/>
      </c>
      <c r="U498" s="24" t="str">
        <f aca="false">IF(P498="","",IFERROR(INDEX('Semrush Data'!$A$1:$Z$20000,MATCH(P498,'Semrush Data'!$A$1:$A$20000,0),MATCH("Volume",'Semrush Data'!$A$1:$Z$1,0)),""))</f>
        <v/>
      </c>
      <c r="V498" s="25" t="str">
        <f aca="false">IF(COUNT(Q498:U498)=0,L498,IF(MAX(Q498:U498)=0,L498,INDEX(L498:P498,MATCH(MAX(Q498:U498),Q498:U498,0))))</f>
        <v>hermes un jardin a cythere miniature</v>
      </c>
      <c r="W498" s="24" t="n">
        <f aca="false">IFERROR(INDEX('Semrush Data'!$A$1:$Z$20000,MATCH(V498,'Semrush Data'!$A$1:$A$20000,0),MATCH("Volume",'Semrush Data'!$A$1:$Z$1,0)),"")</f>
        <v>0</v>
      </c>
      <c r="X498" s="24" t="n">
        <f aca="false">IFERROR(INDEX('Semrush Data'!$A$1:$Z$20000,MATCH(V498,'Semrush Data'!$A$1:$A$20000,0),MATCH("Keyword Difficulty*",'Semrush Data'!$A$1:$Z$1,0)),"")</f>
        <v>18</v>
      </c>
      <c r="Y498" s="26" t="n">
        <f aca="false">IFERROR(INDEX('Semrush Data'!$A$1:$Z$20000,MATCH(V498,'Semrush Data'!$A$1:$A$20000,0),MATCH("CPC*",'Semrush Data'!$A$1:$Z$1,0)),"")</f>
        <v>0</v>
      </c>
      <c r="Z498" s="23" t="s">
        <v>4336</v>
      </c>
      <c r="AA498" s="23"/>
      <c r="AB498" s="23" t="s">
        <v>5970</v>
      </c>
      <c r="AC498" s="23" t="s">
        <v>5971</v>
      </c>
      <c r="AD498" s="27" t="n">
        <f aca="false">LEN(AC498)</f>
        <v>57</v>
      </c>
      <c r="AE498" s="23" t="s">
        <v>5972</v>
      </c>
      <c r="AF498" s="27" t="n">
        <f aca="false">LEN(AE498)</f>
        <v>155</v>
      </c>
    </row>
    <row r="499" customFormat="false" ht="15" hidden="false" customHeight="true" outlineLevel="0" collapsed="false">
      <c r="A499" s="23" t="s">
        <v>5973</v>
      </c>
      <c r="B499" s="23" t="s">
        <v>2449</v>
      </c>
      <c r="C499" s="23" t="n">
        <v>339</v>
      </c>
      <c r="D499" s="23" t="s">
        <v>5932</v>
      </c>
      <c r="E499" s="23" t="s">
        <v>4285</v>
      </c>
      <c r="F499" s="23" t="s">
        <v>2452</v>
      </c>
      <c r="G499" s="23" t="s">
        <v>2818</v>
      </c>
      <c r="H499" s="23" t="s">
        <v>2538</v>
      </c>
      <c r="I499" s="23" t="s">
        <v>5974</v>
      </c>
      <c r="J499" s="23" t="s">
        <v>5284</v>
      </c>
      <c r="K499" s="23" t="n">
        <v>32.99</v>
      </c>
      <c r="L499" s="23" t="s">
        <v>5975</v>
      </c>
      <c r="M499" s="23" t="s">
        <v>5976</v>
      </c>
      <c r="N499" s="23" t="s">
        <v>5977</v>
      </c>
      <c r="O499" s="23" t="s">
        <v>5978</v>
      </c>
      <c r="P499" s="23" t="s">
        <v>5979</v>
      </c>
      <c r="Q499" s="24" t="n">
        <f aca="false">IF(L499="","",IFERROR(INDEX('Semrush Data'!$A$1:$Z$20000,MATCH(L499,'Semrush Data'!$A$1:$A$20000,0),MATCH("Volume",'Semrush Data'!$A$1:$Z$1,0)),""))</f>
        <v>20</v>
      </c>
      <c r="R499" s="24" t="str">
        <f aca="false">IF(M499="","",IFERROR(INDEX('Semrush Data'!$A$1:$Z$20000,MATCH(M499,'Semrush Data'!$A$1:$A$20000,0),MATCH("Volume",'Semrush Data'!$A$1:$Z$1,0)),""))</f>
        <v/>
      </c>
      <c r="S499" s="24" t="str">
        <f aca="false">IF(N499="","",IFERROR(INDEX('Semrush Data'!$A$1:$Z$20000,MATCH(N499,'Semrush Data'!$A$1:$A$20000,0),MATCH("Volume",'Semrush Data'!$A$1:$Z$1,0)),""))</f>
        <v/>
      </c>
      <c r="T499" s="24" t="str">
        <f aca="false">IF(O499="","",IFERROR(INDEX('Semrush Data'!$A$1:$Z$20000,MATCH(O499,'Semrush Data'!$A$1:$A$20000,0),MATCH("Volume",'Semrush Data'!$A$1:$Z$1,0)),""))</f>
        <v/>
      </c>
      <c r="U499" s="24" t="str">
        <f aca="false">IF(P499="","",IFERROR(INDEX('Semrush Data'!$A$1:$Z$20000,MATCH(P499,'Semrush Data'!$A$1:$A$20000,0),MATCH("Volume",'Semrush Data'!$A$1:$Z$1,0)),""))</f>
        <v/>
      </c>
      <c r="V499" s="25" t="str">
        <f aca="false">IF(COUNT(Q499:U499)=0,L499,IF(MAX(Q499:U499)=0,L499,INDEX(L499:P499,MATCH(MAX(Q499:U499),Q499:U499,0))))</f>
        <v>korloff in white</v>
      </c>
      <c r="W499" s="24" t="n">
        <f aca="false">IFERROR(INDEX('Semrush Data'!$A$1:$Z$20000,MATCH(V499,'Semrush Data'!$A$1:$A$20000,0),MATCH("Volume",'Semrush Data'!$A$1:$Z$1,0)),"")</f>
        <v>20</v>
      </c>
      <c r="X499" s="24" t="n">
        <f aca="false">IFERROR(INDEX('Semrush Data'!$A$1:$Z$20000,MATCH(V499,'Semrush Data'!$A$1:$A$20000,0),MATCH("Keyword Difficulty*",'Semrush Data'!$A$1:$Z$1,0)),"")</f>
        <v>19</v>
      </c>
      <c r="Y499" s="26" t="n">
        <f aca="false">IFERROR(INDEX('Semrush Data'!$A$1:$Z$20000,MATCH(V499,'Semrush Data'!$A$1:$A$20000,0),MATCH("CPC*",'Semrush Data'!$A$1:$Z$1,0)),"")</f>
        <v>0</v>
      </c>
      <c r="Z499" s="23" t="s">
        <v>4336</v>
      </c>
      <c r="AA499" s="23" t="s">
        <v>5980</v>
      </c>
      <c r="AB499" s="23" t="s">
        <v>5981</v>
      </c>
      <c r="AC499" s="23" t="s">
        <v>5982</v>
      </c>
      <c r="AD499" s="27" t="n">
        <f aca="false">LEN(AC499)</f>
        <v>59</v>
      </c>
      <c r="AE499" s="23" t="s">
        <v>5983</v>
      </c>
      <c r="AF499" s="27" t="n">
        <f aca="false">LEN(AE499)</f>
        <v>154</v>
      </c>
    </row>
    <row r="500" customFormat="false" ht="15" hidden="false" customHeight="true" outlineLevel="0" collapsed="false">
      <c r="A500" s="23" t="s">
        <v>5984</v>
      </c>
      <c r="B500" s="23" t="s">
        <v>2449</v>
      </c>
      <c r="C500" s="23" t="n">
        <v>340</v>
      </c>
      <c r="D500" s="23" t="s">
        <v>5932</v>
      </c>
      <c r="E500" s="23" t="s">
        <v>4285</v>
      </c>
      <c r="F500" s="23" t="s">
        <v>1735</v>
      </c>
      <c r="G500" s="23" t="s">
        <v>2818</v>
      </c>
      <c r="H500" s="23" t="s">
        <v>2538</v>
      </c>
      <c r="I500" s="23" t="s">
        <v>5985</v>
      </c>
      <c r="J500" s="23" t="s">
        <v>5986</v>
      </c>
      <c r="K500" s="23" t="n">
        <v>64.99</v>
      </c>
      <c r="L500" s="23" t="s">
        <v>5987</v>
      </c>
      <c r="M500" s="23" t="s">
        <v>5988</v>
      </c>
      <c r="N500" s="23" t="s">
        <v>5989</v>
      </c>
      <c r="O500" s="23" t="s">
        <v>5990</v>
      </c>
      <c r="P500" s="23"/>
      <c r="Q500" s="24" t="n">
        <f aca="false">IF(L500="","",IFERROR(INDEX('Semrush Data'!$A$1:$Z$20000,MATCH(L500,'Semrush Data'!$A$1:$A$20000,0),MATCH("Volume",'Semrush Data'!$A$1:$Z$1,0)),""))</f>
        <v>0</v>
      </c>
      <c r="R500" s="24" t="str">
        <f aca="false">IF(M500="","",IFERROR(INDEX('Semrush Data'!$A$1:$Z$20000,MATCH(M500,'Semrush Data'!$A$1:$A$20000,0),MATCH("Volume",'Semrush Data'!$A$1:$Z$1,0)),""))</f>
        <v/>
      </c>
      <c r="S500" s="24" t="str">
        <f aca="false">IF(N500="","",IFERROR(INDEX('Semrush Data'!$A$1:$Z$20000,MATCH(N500,'Semrush Data'!$A$1:$A$20000,0),MATCH("Volume",'Semrush Data'!$A$1:$Z$1,0)),""))</f>
        <v/>
      </c>
      <c r="T500" s="24" t="str">
        <f aca="false">IF(O500="","",IFERROR(INDEX('Semrush Data'!$A$1:$Z$20000,MATCH(O500,'Semrush Data'!$A$1:$A$20000,0),MATCH("Volume",'Semrush Data'!$A$1:$Z$1,0)),""))</f>
        <v/>
      </c>
      <c r="U500" s="24" t="str">
        <f aca="false">IF(P500="","",IFERROR(INDEX('Semrush Data'!$A$1:$Z$20000,MATCH(P500,'Semrush Data'!$A$1:$A$20000,0),MATCH("Volume",'Semrush Data'!$A$1:$Z$1,0)),""))</f>
        <v/>
      </c>
      <c r="V500" s="25" t="str">
        <f aca="false">IF(COUNT(Q500:U500)=0,L500,IF(MAX(Q500:U500)=0,L500,INDEX(L500:P500,MATCH(MAX(Q500:U500),Q500:U500,0))))</f>
        <v>hermes miniature gift set 4 x fragrances</v>
      </c>
      <c r="W500" s="24" t="n">
        <f aca="false">IFERROR(INDEX('Semrush Data'!$A$1:$Z$20000,MATCH(V500,'Semrush Data'!$A$1:$A$20000,0),MATCH("Volume",'Semrush Data'!$A$1:$Z$1,0)),"")</f>
        <v>0</v>
      </c>
      <c r="X500" s="24" t="n">
        <f aca="false">IFERROR(INDEX('Semrush Data'!$A$1:$Z$20000,MATCH(V500,'Semrush Data'!$A$1:$A$20000,0),MATCH("Keyword Difficulty*",'Semrush Data'!$A$1:$Z$1,0)),"")</f>
        <v>19</v>
      </c>
      <c r="Y500" s="26" t="n">
        <f aca="false">IFERROR(INDEX('Semrush Data'!$A$1:$Z$20000,MATCH(V500,'Semrush Data'!$A$1:$A$20000,0),MATCH("CPC*",'Semrush Data'!$A$1:$Z$1,0)),"")</f>
        <v>0</v>
      </c>
      <c r="Z500" s="23" t="s">
        <v>4336</v>
      </c>
      <c r="AA500" s="23"/>
      <c r="AB500" s="23" t="s">
        <v>5991</v>
      </c>
      <c r="AC500" s="23" t="s">
        <v>5992</v>
      </c>
      <c r="AD500" s="27" t="n">
        <f aca="false">LEN(AC500)</f>
        <v>50</v>
      </c>
      <c r="AE500" s="23" t="s">
        <v>5993</v>
      </c>
      <c r="AF500" s="27" t="n">
        <f aca="false">LEN(AE500)</f>
        <v>160</v>
      </c>
    </row>
    <row r="501" customFormat="false" ht="15" hidden="false" customHeight="true" outlineLevel="0" collapsed="false">
      <c r="A501" s="23" t="s">
        <v>5994</v>
      </c>
      <c r="B501" s="23" t="s">
        <v>2449</v>
      </c>
      <c r="C501" s="23" t="n">
        <v>341</v>
      </c>
      <c r="D501" s="23" t="s">
        <v>5932</v>
      </c>
      <c r="E501" s="23" t="s">
        <v>4285</v>
      </c>
      <c r="F501" s="23" t="s">
        <v>2452</v>
      </c>
      <c r="G501" s="23" t="s">
        <v>2735</v>
      </c>
      <c r="H501" s="23" t="s">
        <v>2538</v>
      </c>
      <c r="I501" s="23" t="s">
        <v>5995</v>
      </c>
      <c r="J501" s="23" t="s">
        <v>1994</v>
      </c>
      <c r="K501" s="23" t="n">
        <v>121.99</v>
      </c>
      <c r="L501" s="23" t="s">
        <v>5996</v>
      </c>
      <c r="M501" s="23" t="s">
        <v>5997</v>
      </c>
      <c r="N501" s="23" t="s">
        <v>5998</v>
      </c>
      <c r="O501" s="23" t="s">
        <v>5999</v>
      </c>
      <c r="P501" s="23" t="s">
        <v>6000</v>
      </c>
      <c r="Q501" s="24" t="n">
        <f aca="false">IF(L501="","",IFERROR(INDEX('Semrush Data'!$A$1:$Z$20000,MATCH(L501,'Semrush Data'!$A$1:$A$20000,0),MATCH("Volume",'Semrush Data'!$A$1:$Z$1,0)),""))</f>
        <v>0</v>
      </c>
      <c r="R501" s="24" t="n">
        <f aca="false">IF(M501="","",IFERROR(INDEX('Semrush Data'!$A$1:$Z$20000,MATCH(M501,'Semrush Data'!$A$1:$A$20000,0),MATCH("Volume",'Semrush Data'!$A$1:$Z$1,0)),""))</f>
        <v>0</v>
      </c>
      <c r="S501" s="24" t="str">
        <f aca="false">IF(N501="","",IFERROR(INDEX('Semrush Data'!$A$1:$Z$20000,MATCH(N501,'Semrush Data'!$A$1:$A$20000,0),MATCH("Volume",'Semrush Data'!$A$1:$Z$1,0)),""))</f>
        <v/>
      </c>
      <c r="T501" s="24" t="str">
        <f aca="false">IF(O501="","",IFERROR(INDEX('Semrush Data'!$A$1:$Z$20000,MATCH(O501,'Semrush Data'!$A$1:$A$20000,0),MATCH("Volume",'Semrush Data'!$A$1:$Z$1,0)),""))</f>
        <v/>
      </c>
      <c r="U501" s="24" t="str">
        <f aca="false">IF(P501="","",IFERROR(INDEX('Semrush Data'!$A$1:$Z$20000,MATCH(P501,'Semrush Data'!$A$1:$A$20000,0),MATCH("Volume",'Semrush Data'!$A$1:$Z$1,0)),""))</f>
        <v/>
      </c>
      <c r="V501" s="25" t="str">
        <f aca="false">IF(COUNT(Q501:U501)=0,L501,IF(MAX(Q501:U501)=0,L501,INDEX(L501:P501,MATCH(MAX(Q501:U501),Q501:U501,0))))</f>
        <v>casanova anniversary</v>
      </c>
      <c r="W501" s="24" t="n">
        <f aca="false">IFERROR(INDEX('Semrush Data'!$A$1:$Z$20000,MATCH(V501,'Semrush Data'!$A$1:$A$20000,0),MATCH("Volume",'Semrush Data'!$A$1:$Z$1,0)),"")</f>
        <v>0</v>
      </c>
      <c r="X501" s="24" t="n">
        <f aca="false">IFERROR(INDEX('Semrush Data'!$A$1:$Z$20000,MATCH(V501,'Semrush Data'!$A$1:$A$20000,0),MATCH("Keyword Difficulty*",'Semrush Data'!$A$1:$Z$1,0)),"")</f>
        <v>11</v>
      </c>
      <c r="Y501" s="26" t="n">
        <f aca="false">IFERROR(INDEX('Semrush Data'!$A$1:$Z$20000,MATCH(V501,'Semrush Data'!$A$1:$A$20000,0),MATCH("CPC*",'Semrush Data'!$A$1:$Z$1,0)),"")</f>
        <v>0</v>
      </c>
      <c r="Z501" s="23" t="s">
        <v>4336</v>
      </c>
      <c r="AA501" s="23" t="s">
        <v>6001</v>
      </c>
      <c r="AB501" s="23" t="s">
        <v>6002</v>
      </c>
      <c r="AC501" s="23" t="s">
        <v>6003</v>
      </c>
      <c r="AD501" s="27" t="n">
        <f aca="false">LEN(AC501)</f>
        <v>52</v>
      </c>
      <c r="AE501" s="23" t="s">
        <v>6004</v>
      </c>
      <c r="AF501" s="27" t="n">
        <f aca="false">LEN(AE501)</f>
        <v>157</v>
      </c>
    </row>
    <row r="502" customFormat="false" ht="15" hidden="false" customHeight="true" outlineLevel="0" collapsed="false">
      <c r="A502" s="23" t="s">
        <v>6005</v>
      </c>
      <c r="B502" s="23" t="s">
        <v>2449</v>
      </c>
      <c r="C502" s="23" t="n">
        <v>342</v>
      </c>
      <c r="D502" s="23" t="s">
        <v>6006</v>
      </c>
      <c r="E502" s="23"/>
      <c r="F502" s="23" t="s">
        <v>2452</v>
      </c>
      <c r="G502" s="23" t="s">
        <v>2453</v>
      </c>
      <c r="H502" s="23" t="s">
        <v>2538</v>
      </c>
      <c r="I502" s="23" t="s">
        <v>6007</v>
      </c>
      <c r="J502" s="23" t="s">
        <v>1994</v>
      </c>
      <c r="K502" s="23" t="n">
        <v>44.99</v>
      </c>
      <c r="L502" s="23" t="s">
        <v>6008</v>
      </c>
      <c r="M502" s="23" t="s">
        <v>6009</v>
      </c>
      <c r="N502" s="23" t="s">
        <v>6010</v>
      </c>
      <c r="O502" s="23" t="s">
        <v>6011</v>
      </c>
      <c r="P502" s="23" t="s">
        <v>6012</v>
      </c>
      <c r="Q502" s="24" t="n">
        <f aca="false">IF(L502="","",IFERROR(INDEX('Semrush Data'!$A$1:$Z$20000,MATCH(L502,'Semrush Data'!$A$1:$A$20000,0),MATCH("Volume",'Semrush Data'!$A$1:$Z$1,0)),""))</f>
        <v>20</v>
      </c>
      <c r="R502" s="24" t="str">
        <f aca="false">IF(M502="","",IFERROR(INDEX('Semrush Data'!$A$1:$Z$20000,MATCH(M502,'Semrush Data'!$A$1:$A$20000,0),MATCH("Volume",'Semrush Data'!$A$1:$Z$1,0)),""))</f>
        <v/>
      </c>
      <c r="S502" s="24" t="str">
        <f aca="false">IF(N502="","",IFERROR(INDEX('Semrush Data'!$A$1:$Z$20000,MATCH(N502,'Semrush Data'!$A$1:$A$20000,0),MATCH("Volume",'Semrush Data'!$A$1:$Z$1,0)),""))</f>
        <v/>
      </c>
      <c r="T502" s="24" t="str">
        <f aca="false">IF(O502="","",IFERROR(INDEX('Semrush Data'!$A$1:$Z$20000,MATCH(O502,'Semrush Data'!$A$1:$A$20000,0),MATCH("Volume",'Semrush Data'!$A$1:$Z$1,0)),""))</f>
        <v/>
      </c>
      <c r="U502" s="24" t="str">
        <f aca="false">IF(P502="","",IFERROR(INDEX('Semrush Data'!$A$1:$Z$20000,MATCH(P502,'Semrush Data'!$A$1:$A$20000,0),MATCH("Volume",'Semrush Data'!$A$1:$Z$1,0)),""))</f>
        <v/>
      </c>
      <c r="V502" s="25" t="str">
        <f aca="false">IF(COUNT(Q502:U502)=0,L502,IF(MAX(Q502:U502)=0,L502,INDEX(L502:P502,MATCH(MAX(Q502:U502),Q502:U502,0))))</f>
        <v>the woods collection azure</v>
      </c>
      <c r="W502" s="24" t="n">
        <f aca="false">IFERROR(INDEX('Semrush Data'!$A$1:$Z$20000,MATCH(V502,'Semrush Data'!$A$1:$A$20000,0),MATCH("Volume",'Semrush Data'!$A$1:$Z$1,0)),"")</f>
        <v>20</v>
      </c>
      <c r="X502" s="24" t="n">
        <f aca="false">IFERROR(INDEX('Semrush Data'!$A$1:$Z$20000,MATCH(V502,'Semrush Data'!$A$1:$A$20000,0),MATCH("Keyword Difficulty*",'Semrush Data'!$A$1:$Z$1,0)),"")</f>
        <v>16</v>
      </c>
      <c r="Y502" s="26" t="n">
        <f aca="false">IFERROR(INDEX('Semrush Data'!$A$1:$Z$20000,MATCH(V502,'Semrush Data'!$A$1:$A$20000,0),MATCH("CPC*",'Semrush Data'!$A$1:$Z$1,0)),"")</f>
        <v>0</v>
      </c>
      <c r="Z502" s="23" t="s">
        <v>6013</v>
      </c>
      <c r="AA502" s="23" t="s">
        <v>6014</v>
      </c>
      <c r="AB502" s="23" t="s">
        <v>6015</v>
      </c>
      <c r="AC502" s="23" t="s">
        <v>6016</v>
      </c>
      <c r="AD502" s="27" t="n">
        <f aca="false">LEN(AC502)</f>
        <v>54</v>
      </c>
      <c r="AE502" s="23" t="s">
        <v>6017</v>
      </c>
      <c r="AF502" s="27" t="n">
        <f aca="false">LEN(AE502)</f>
        <v>155</v>
      </c>
    </row>
    <row r="503" customFormat="false" ht="15" hidden="false" customHeight="true" outlineLevel="0" collapsed="false">
      <c r="A503" s="23" t="s">
        <v>6018</v>
      </c>
      <c r="B503" s="23" t="s">
        <v>2449</v>
      </c>
      <c r="C503" s="23" t="n">
        <v>343</v>
      </c>
      <c r="D503" s="23" t="s">
        <v>6006</v>
      </c>
      <c r="E503" s="23"/>
      <c r="F503" s="23" t="s">
        <v>2452</v>
      </c>
      <c r="G503" s="23" t="s">
        <v>2453</v>
      </c>
      <c r="H503" s="23" t="s">
        <v>2538</v>
      </c>
      <c r="I503" s="23" t="s">
        <v>6019</v>
      </c>
      <c r="J503" s="23" t="s">
        <v>1994</v>
      </c>
      <c r="K503" s="23" t="n">
        <v>44.99</v>
      </c>
      <c r="L503" s="23" t="s">
        <v>6020</v>
      </c>
      <c r="M503" s="23" t="s">
        <v>6021</v>
      </c>
      <c r="N503" s="23" t="s">
        <v>6022</v>
      </c>
      <c r="O503" s="23" t="s">
        <v>6023</v>
      </c>
      <c r="P503" s="23" t="s">
        <v>6024</v>
      </c>
      <c r="Q503" s="24" t="n">
        <f aca="false">IF(L503="","",IFERROR(INDEX('Semrush Data'!$A$1:$Z$20000,MATCH(L503,'Semrush Data'!$A$1:$A$20000,0),MATCH("Volume",'Semrush Data'!$A$1:$Z$1,0)),""))</f>
        <v>20</v>
      </c>
      <c r="R503" s="24" t="str">
        <f aca="false">IF(M503="","",IFERROR(INDEX('Semrush Data'!$A$1:$Z$20000,MATCH(M503,'Semrush Data'!$A$1:$A$20000,0),MATCH("Volume",'Semrush Data'!$A$1:$Z$1,0)),""))</f>
        <v/>
      </c>
      <c r="S503" s="24" t="str">
        <f aca="false">IF(N503="","",IFERROR(INDEX('Semrush Data'!$A$1:$Z$20000,MATCH(N503,'Semrush Data'!$A$1:$A$20000,0),MATCH("Volume",'Semrush Data'!$A$1:$Z$1,0)),""))</f>
        <v/>
      </c>
      <c r="T503" s="24" t="str">
        <f aca="false">IF(O503="","",IFERROR(INDEX('Semrush Data'!$A$1:$Z$20000,MATCH(O503,'Semrush Data'!$A$1:$A$20000,0),MATCH("Volume",'Semrush Data'!$A$1:$Z$1,0)),""))</f>
        <v/>
      </c>
      <c r="U503" s="24" t="str">
        <f aca="false">IF(P503="","",IFERROR(INDEX('Semrush Data'!$A$1:$Z$20000,MATCH(P503,'Semrush Data'!$A$1:$A$20000,0),MATCH("Volume",'Semrush Data'!$A$1:$Z$1,0)),""))</f>
        <v/>
      </c>
      <c r="V503" s="25" t="str">
        <f aca="false">IF(COUNT(Q503:U503)=0,L503,IF(MAX(Q503:U503)=0,L503,INDEX(L503:P503,MATCH(MAX(Q503:U503),Q503:U503,0))))</f>
        <v>the woods collection eden</v>
      </c>
      <c r="W503" s="24" t="n">
        <f aca="false">IFERROR(INDEX('Semrush Data'!$A$1:$Z$20000,MATCH(V503,'Semrush Data'!$A$1:$A$20000,0),MATCH("Volume",'Semrush Data'!$A$1:$Z$1,0)),"")</f>
        <v>20</v>
      </c>
      <c r="X503" s="24" t="n">
        <f aca="false">IFERROR(INDEX('Semrush Data'!$A$1:$Z$20000,MATCH(V503,'Semrush Data'!$A$1:$A$20000,0),MATCH("Keyword Difficulty*",'Semrush Data'!$A$1:$Z$1,0)),"")</f>
        <v>9</v>
      </c>
      <c r="Y503" s="26" t="n">
        <f aca="false">IFERROR(INDEX('Semrush Data'!$A$1:$Z$20000,MATCH(V503,'Semrush Data'!$A$1:$A$20000,0),MATCH("CPC*",'Semrush Data'!$A$1:$Z$1,0)),"")</f>
        <v>0</v>
      </c>
      <c r="Z503" s="23" t="s">
        <v>6013</v>
      </c>
      <c r="AA503" s="23" t="s">
        <v>6025</v>
      </c>
      <c r="AB503" s="23" t="s">
        <v>6026</v>
      </c>
      <c r="AC503" s="23" t="s">
        <v>6027</v>
      </c>
      <c r="AD503" s="27" t="n">
        <f aca="false">LEN(AC503)</f>
        <v>53</v>
      </c>
      <c r="AE503" s="23" t="s">
        <v>6028</v>
      </c>
      <c r="AF503" s="27" t="n">
        <f aca="false">LEN(AE503)</f>
        <v>160</v>
      </c>
    </row>
    <row r="504" customFormat="false" ht="15" hidden="false" customHeight="true" outlineLevel="0" collapsed="false">
      <c r="A504" s="23" t="s">
        <v>6029</v>
      </c>
      <c r="B504" s="23" t="s">
        <v>2449</v>
      </c>
      <c r="C504" s="23" t="n">
        <v>344</v>
      </c>
      <c r="D504" s="23" t="s">
        <v>6006</v>
      </c>
      <c r="E504" s="23"/>
      <c r="F504" s="23" t="s">
        <v>2452</v>
      </c>
      <c r="G504" s="23" t="s">
        <v>2453</v>
      </c>
      <c r="H504" s="23" t="s">
        <v>2538</v>
      </c>
      <c r="I504" s="23" t="s">
        <v>6030</v>
      </c>
      <c r="J504" s="23" t="s">
        <v>1994</v>
      </c>
      <c r="K504" s="23" t="n">
        <v>44.99</v>
      </c>
      <c r="L504" s="23" t="s">
        <v>6031</v>
      </c>
      <c r="M504" s="23" t="s">
        <v>6032</v>
      </c>
      <c r="N504" s="23" t="s">
        <v>6033</v>
      </c>
      <c r="O504" s="23" t="s">
        <v>6034</v>
      </c>
      <c r="P504" s="23" t="s">
        <v>6035</v>
      </c>
      <c r="Q504" s="24" t="n">
        <f aca="false">IF(L504="","",IFERROR(INDEX('Semrush Data'!$A$1:$Z$20000,MATCH(L504,'Semrush Data'!$A$1:$A$20000,0),MATCH("Volume",'Semrush Data'!$A$1:$Z$1,0)),""))</f>
        <v>0</v>
      </c>
      <c r="R504" s="24" t="str">
        <f aca="false">IF(M504="","",IFERROR(INDEX('Semrush Data'!$A$1:$Z$20000,MATCH(M504,'Semrush Data'!$A$1:$A$20000,0),MATCH("Volume",'Semrush Data'!$A$1:$Z$1,0)),""))</f>
        <v/>
      </c>
      <c r="S504" s="24" t="str">
        <f aca="false">IF(N504="","",IFERROR(INDEX('Semrush Data'!$A$1:$Z$20000,MATCH(N504,'Semrush Data'!$A$1:$A$20000,0),MATCH("Volume",'Semrush Data'!$A$1:$Z$1,0)),""))</f>
        <v/>
      </c>
      <c r="T504" s="24" t="str">
        <f aca="false">IF(O504="","",IFERROR(INDEX('Semrush Data'!$A$1:$Z$20000,MATCH(O504,'Semrush Data'!$A$1:$A$20000,0),MATCH("Volume",'Semrush Data'!$A$1:$Z$1,0)),""))</f>
        <v/>
      </c>
      <c r="U504" s="24" t="str">
        <f aca="false">IF(P504="","",IFERROR(INDEX('Semrush Data'!$A$1:$Z$20000,MATCH(P504,'Semrush Data'!$A$1:$A$20000,0),MATCH("Volume",'Semrush Data'!$A$1:$Z$1,0)),""))</f>
        <v/>
      </c>
      <c r="V504" s="25" t="str">
        <f aca="false">IF(COUNT(Q504:U504)=0,L504,IF(MAX(Q504:U504)=0,L504,INDEX(L504:P504,MATCH(MAX(Q504:U504),Q504:U504,0))))</f>
        <v>the woods collection elysian</v>
      </c>
      <c r="W504" s="24" t="n">
        <f aca="false">IFERROR(INDEX('Semrush Data'!$A$1:$Z$20000,MATCH(V504,'Semrush Data'!$A$1:$A$20000,0),MATCH("Volume",'Semrush Data'!$A$1:$Z$1,0)),"")</f>
        <v>0</v>
      </c>
      <c r="X504" s="24" t="n">
        <f aca="false">IFERROR(INDEX('Semrush Data'!$A$1:$Z$20000,MATCH(V504,'Semrush Data'!$A$1:$A$20000,0),MATCH("Keyword Difficulty*",'Semrush Data'!$A$1:$Z$1,0)),"")</f>
        <v>14</v>
      </c>
      <c r="Y504" s="26" t="n">
        <f aca="false">IFERROR(INDEX('Semrush Data'!$A$1:$Z$20000,MATCH(V504,'Semrush Data'!$A$1:$A$20000,0),MATCH("CPC*",'Semrush Data'!$A$1:$Z$1,0)),"")</f>
        <v>0</v>
      </c>
      <c r="Z504" s="23" t="s">
        <v>6013</v>
      </c>
      <c r="AA504" s="23"/>
      <c r="AB504" s="23" t="s">
        <v>6036</v>
      </c>
      <c r="AC504" s="23" t="s">
        <v>6037</v>
      </c>
      <c r="AD504" s="27" t="n">
        <f aca="false">LEN(AC504)</f>
        <v>56</v>
      </c>
      <c r="AE504" s="23" t="s">
        <v>6038</v>
      </c>
      <c r="AF504" s="27" t="n">
        <f aca="false">LEN(AE504)</f>
        <v>157</v>
      </c>
    </row>
    <row r="505" customFormat="false" ht="15" hidden="false" customHeight="true" outlineLevel="0" collapsed="false">
      <c r="A505" s="23" t="s">
        <v>6039</v>
      </c>
      <c r="B505" s="23" t="s">
        <v>2449</v>
      </c>
      <c r="C505" s="23" t="n">
        <v>345</v>
      </c>
      <c r="D505" s="23" t="s">
        <v>6006</v>
      </c>
      <c r="E505" s="23"/>
      <c r="F505" s="23" t="s">
        <v>2452</v>
      </c>
      <c r="G505" s="23" t="s">
        <v>2453</v>
      </c>
      <c r="H505" s="23" t="s">
        <v>6040</v>
      </c>
      <c r="I505" s="23" t="s">
        <v>6041</v>
      </c>
      <c r="J505" s="23" t="s">
        <v>1994</v>
      </c>
      <c r="K505" s="23" t="n">
        <v>44.99</v>
      </c>
      <c r="L505" s="23" t="s">
        <v>6042</v>
      </c>
      <c r="M505" s="23" t="s">
        <v>6043</v>
      </c>
      <c r="N505" s="23" t="s">
        <v>6044</v>
      </c>
      <c r="O505" s="23" t="s">
        <v>6045</v>
      </c>
      <c r="P505" s="23" t="s">
        <v>6046</v>
      </c>
      <c r="Q505" s="24" t="n">
        <f aca="false">IF(L505="","",IFERROR(INDEX('Semrush Data'!$A$1:$Z$20000,MATCH(L505,'Semrush Data'!$A$1:$A$20000,0),MATCH("Volume",'Semrush Data'!$A$1:$Z$1,0)),""))</f>
        <v>20</v>
      </c>
      <c r="R505" s="24" t="str">
        <f aca="false">IF(M505="","",IFERROR(INDEX('Semrush Data'!$A$1:$Z$20000,MATCH(M505,'Semrush Data'!$A$1:$A$20000,0),MATCH("Volume",'Semrush Data'!$A$1:$Z$1,0)),""))</f>
        <v/>
      </c>
      <c r="S505" s="24" t="str">
        <f aca="false">IF(N505="","",IFERROR(INDEX('Semrush Data'!$A$1:$Z$20000,MATCH(N505,'Semrush Data'!$A$1:$A$20000,0),MATCH("Volume",'Semrush Data'!$A$1:$Z$1,0)),""))</f>
        <v/>
      </c>
      <c r="T505" s="24" t="str">
        <f aca="false">IF(O505="","",IFERROR(INDEX('Semrush Data'!$A$1:$Z$20000,MATCH(O505,'Semrush Data'!$A$1:$A$20000,0),MATCH("Volume",'Semrush Data'!$A$1:$Z$1,0)),""))</f>
        <v/>
      </c>
      <c r="U505" s="24" t="str">
        <f aca="false">IF(P505="","",IFERROR(INDEX('Semrush Data'!$A$1:$Z$20000,MATCH(P505,'Semrush Data'!$A$1:$A$20000,0),MATCH("Volume",'Semrush Data'!$A$1:$Z$1,0)),""))</f>
        <v/>
      </c>
      <c r="V505" s="25" t="str">
        <f aca="false">IF(COUNT(Q505:U505)=0,L505,IF(MAX(Q505:U505)=0,L505,INDEX(L505:P505,MATCH(MAX(Q505:U505),Q505:U505,0))))</f>
        <v>the woods collection green walk</v>
      </c>
      <c r="W505" s="24" t="n">
        <f aca="false">IFERROR(INDEX('Semrush Data'!$A$1:$Z$20000,MATCH(V505,'Semrush Data'!$A$1:$A$20000,0),MATCH("Volume",'Semrush Data'!$A$1:$Z$1,0)),"")</f>
        <v>20</v>
      </c>
      <c r="X505" s="24" t="n">
        <f aca="false">IFERROR(INDEX('Semrush Data'!$A$1:$Z$20000,MATCH(V505,'Semrush Data'!$A$1:$A$20000,0),MATCH("Keyword Difficulty*",'Semrush Data'!$A$1:$Z$1,0)),"")</f>
        <v>19</v>
      </c>
      <c r="Y505" s="26" t="n">
        <f aca="false">IFERROR(INDEX('Semrush Data'!$A$1:$Z$20000,MATCH(V505,'Semrush Data'!$A$1:$A$20000,0),MATCH("CPC*",'Semrush Data'!$A$1:$Z$1,0)),"")</f>
        <v>0</v>
      </c>
      <c r="Z505" s="23" t="s">
        <v>6047</v>
      </c>
      <c r="AA505" s="23" t="s">
        <v>6048</v>
      </c>
      <c r="AB505" s="23" t="s">
        <v>6049</v>
      </c>
      <c r="AC505" s="23" t="s">
        <v>6050</v>
      </c>
      <c r="AD505" s="27" t="n">
        <f aca="false">LEN(AC505)</f>
        <v>59</v>
      </c>
      <c r="AE505" s="23" t="s">
        <v>6051</v>
      </c>
      <c r="AF505" s="27" t="n">
        <f aca="false">LEN(AE505)</f>
        <v>159</v>
      </c>
    </row>
    <row r="506" customFormat="false" ht="15" hidden="false" customHeight="true" outlineLevel="0" collapsed="false">
      <c r="A506" s="23" t="s">
        <v>6052</v>
      </c>
      <c r="B506" s="23" t="s">
        <v>2449</v>
      </c>
      <c r="C506" s="23" t="n">
        <v>346</v>
      </c>
      <c r="D506" s="23" t="s">
        <v>6006</v>
      </c>
      <c r="E506" s="23"/>
      <c r="F506" s="23" t="s">
        <v>2452</v>
      </c>
      <c r="G506" s="23" t="s">
        <v>2453</v>
      </c>
      <c r="H506" s="23" t="s">
        <v>2538</v>
      </c>
      <c r="I506" s="23" t="s">
        <v>6053</v>
      </c>
      <c r="J506" s="23" t="s">
        <v>1994</v>
      </c>
      <c r="K506" s="23" t="n">
        <v>44.99</v>
      </c>
      <c r="L506" s="23" t="s">
        <v>6054</v>
      </c>
      <c r="M506" s="23" t="s">
        <v>6055</v>
      </c>
      <c r="N506" s="23" t="s">
        <v>6056</v>
      </c>
      <c r="O506" s="23" t="s">
        <v>6057</v>
      </c>
      <c r="P506" s="23" t="s">
        <v>6058</v>
      </c>
      <c r="Q506" s="24" t="n">
        <f aca="false">IF(L506="","",IFERROR(INDEX('Semrush Data'!$A$1:$Z$20000,MATCH(L506,'Semrush Data'!$A$1:$A$20000,0),MATCH("Volume",'Semrush Data'!$A$1:$Z$1,0)),""))</f>
        <v>0</v>
      </c>
      <c r="R506" s="24" t="str">
        <f aca="false">IF(M506="","",IFERROR(INDEX('Semrush Data'!$A$1:$Z$20000,MATCH(M506,'Semrush Data'!$A$1:$A$20000,0),MATCH("Volume",'Semrush Data'!$A$1:$Z$1,0)),""))</f>
        <v/>
      </c>
      <c r="S506" s="24" t="str">
        <f aca="false">IF(N506="","",IFERROR(INDEX('Semrush Data'!$A$1:$Z$20000,MATCH(N506,'Semrush Data'!$A$1:$A$20000,0),MATCH("Volume",'Semrush Data'!$A$1:$Z$1,0)),""))</f>
        <v/>
      </c>
      <c r="T506" s="24" t="str">
        <f aca="false">IF(O506="","",IFERROR(INDEX('Semrush Data'!$A$1:$Z$20000,MATCH(O506,'Semrush Data'!$A$1:$A$20000,0),MATCH("Volume",'Semrush Data'!$A$1:$Z$1,0)),""))</f>
        <v/>
      </c>
      <c r="U506" s="24" t="str">
        <f aca="false">IF(P506="","",IFERROR(INDEX('Semrush Data'!$A$1:$Z$20000,MATCH(P506,'Semrush Data'!$A$1:$A$20000,0),MATCH("Volume",'Semrush Data'!$A$1:$Z$1,0)),""))</f>
        <v/>
      </c>
      <c r="V506" s="25" t="str">
        <f aca="false">IF(COUNT(Q506:U506)=0,L506,IF(MAX(Q506:U506)=0,L506,INDEX(L506:P506,MATCH(MAX(Q506:U506),Q506:U506,0))))</f>
        <v>the woods collection mirage</v>
      </c>
      <c r="W506" s="24" t="n">
        <f aca="false">IFERROR(INDEX('Semrush Data'!$A$1:$Z$20000,MATCH(V506,'Semrush Data'!$A$1:$A$20000,0),MATCH("Volume",'Semrush Data'!$A$1:$Z$1,0)),"")</f>
        <v>0</v>
      </c>
      <c r="X506" s="24" t="n">
        <f aca="false">IFERROR(INDEX('Semrush Data'!$A$1:$Z$20000,MATCH(V506,'Semrush Data'!$A$1:$A$20000,0),MATCH("Keyword Difficulty*",'Semrush Data'!$A$1:$Z$1,0)),"")</f>
        <v>7</v>
      </c>
      <c r="Y506" s="26" t="n">
        <f aca="false">IFERROR(INDEX('Semrush Data'!$A$1:$Z$20000,MATCH(V506,'Semrush Data'!$A$1:$A$20000,0),MATCH("CPC*",'Semrush Data'!$A$1:$Z$1,0)),"")</f>
        <v>0</v>
      </c>
      <c r="Z506" s="23" t="s">
        <v>6013</v>
      </c>
      <c r="AA506" s="23" t="s">
        <v>6059</v>
      </c>
      <c r="AB506" s="23" t="s">
        <v>6060</v>
      </c>
      <c r="AC506" s="23" t="s">
        <v>6061</v>
      </c>
      <c r="AD506" s="27" t="n">
        <f aca="false">LEN(AC506)</f>
        <v>55</v>
      </c>
      <c r="AE506" s="23" t="s">
        <v>6062</v>
      </c>
      <c r="AF506" s="27" t="n">
        <f aca="false">LEN(AE506)</f>
        <v>156</v>
      </c>
    </row>
    <row r="507" customFormat="false" ht="15" hidden="false" customHeight="true" outlineLevel="0" collapsed="false">
      <c r="A507" s="23" t="s">
        <v>6063</v>
      </c>
      <c r="B507" s="23" t="s">
        <v>2449</v>
      </c>
      <c r="C507" s="23" t="n">
        <v>347</v>
      </c>
      <c r="D507" s="23" t="s">
        <v>6006</v>
      </c>
      <c r="E507" s="23"/>
      <c r="F507" s="23" t="s">
        <v>2452</v>
      </c>
      <c r="G507" s="23" t="s">
        <v>2453</v>
      </c>
      <c r="H507" s="23" t="s">
        <v>2538</v>
      </c>
      <c r="I507" s="23" t="s">
        <v>6064</v>
      </c>
      <c r="J507" s="23" t="s">
        <v>1994</v>
      </c>
      <c r="K507" s="23" t="n">
        <v>44.99</v>
      </c>
      <c r="L507" s="23" t="s">
        <v>6065</v>
      </c>
      <c r="M507" s="23" t="s">
        <v>6066</v>
      </c>
      <c r="N507" s="23" t="s">
        <v>6067</v>
      </c>
      <c r="O507" s="23" t="s">
        <v>6068</v>
      </c>
      <c r="P507" s="23" t="s">
        <v>6069</v>
      </c>
      <c r="Q507" s="24" t="n">
        <f aca="false">IF(L507="","",IFERROR(INDEX('Semrush Data'!$A$1:$Z$20000,MATCH(L507,'Semrush Data'!$A$1:$A$20000,0),MATCH("Volume",'Semrush Data'!$A$1:$Z$1,0)),""))</f>
        <v>20</v>
      </c>
      <c r="R507" s="24" t="str">
        <f aca="false">IF(M507="","",IFERROR(INDEX('Semrush Data'!$A$1:$Z$20000,MATCH(M507,'Semrush Data'!$A$1:$A$20000,0),MATCH("Volume",'Semrush Data'!$A$1:$Z$1,0)),""))</f>
        <v/>
      </c>
      <c r="S507" s="24" t="str">
        <f aca="false">IF(N507="","",IFERROR(INDEX('Semrush Data'!$A$1:$Z$20000,MATCH(N507,'Semrush Data'!$A$1:$A$20000,0),MATCH("Volume",'Semrush Data'!$A$1:$Z$1,0)),""))</f>
        <v/>
      </c>
      <c r="T507" s="24" t="str">
        <f aca="false">IF(O507="","",IFERROR(INDEX('Semrush Data'!$A$1:$Z$20000,MATCH(O507,'Semrush Data'!$A$1:$A$20000,0),MATCH("Volume",'Semrush Data'!$A$1:$Z$1,0)),""))</f>
        <v/>
      </c>
      <c r="U507" s="24" t="str">
        <f aca="false">IF(P507="","",IFERROR(INDEX('Semrush Data'!$A$1:$Z$20000,MATCH(P507,'Semrush Data'!$A$1:$A$20000,0),MATCH("Volume",'Semrush Data'!$A$1:$Z$1,0)),""))</f>
        <v/>
      </c>
      <c r="V507" s="25" t="str">
        <f aca="false">IF(COUNT(Q507:U507)=0,L507,IF(MAX(Q507:U507)=0,L507,INDEX(L507:P507,MATCH(MAX(Q507:U507),Q507:U507,0))))</f>
        <v>the woods collection pure shine</v>
      </c>
      <c r="W507" s="24" t="n">
        <f aca="false">IFERROR(INDEX('Semrush Data'!$A$1:$Z$20000,MATCH(V507,'Semrush Data'!$A$1:$A$20000,0),MATCH("Volume",'Semrush Data'!$A$1:$Z$1,0)),"")</f>
        <v>20</v>
      </c>
      <c r="X507" s="24" t="n">
        <f aca="false">IFERROR(INDEX('Semrush Data'!$A$1:$Z$20000,MATCH(V507,'Semrush Data'!$A$1:$A$20000,0),MATCH("Keyword Difficulty*",'Semrush Data'!$A$1:$Z$1,0)),"")</f>
        <v>8</v>
      </c>
      <c r="Y507" s="26" t="n">
        <f aca="false">IFERROR(INDEX('Semrush Data'!$A$1:$Z$20000,MATCH(V507,'Semrush Data'!$A$1:$A$20000,0),MATCH("CPC*",'Semrush Data'!$A$1:$Z$1,0)),"")</f>
        <v>0</v>
      </c>
      <c r="Z507" s="23" t="s">
        <v>6013</v>
      </c>
      <c r="AA507" s="23" t="s">
        <v>6070</v>
      </c>
      <c r="AB507" s="23" t="s">
        <v>6071</v>
      </c>
      <c r="AC507" s="23" t="s">
        <v>6072</v>
      </c>
      <c r="AD507" s="27" t="n">
        <f aca="false">LEN(AC507)</f>
        <v>59</v>
      </c>
      <c r="AE507" s="23" t="s">
        <v>6073</v>
      </c>
      <c r="AF507" s="27" t="n">
        <f aca="false">LEN(AE507)</f>
        <v>160</v>
      </c>
    </row>
    <row r="508" customFormat="false" ht="15" hidden="false" customHeight="true" outlineLevel="0" collapsed="false">
      <c r="A508" s="23" t="s">
        <v>6074</v>
      </c>
      <c r="B508" s="23" t="s">
        <v>2449</v>
      </c>
      <c r="C508" s="23" t="n">
        <v>348</v>
      </c>
      <c r="D508" s="23" t="s">
        <v>6006</v>
      </c>
      <c r="E508" s="23"/>
      <c r="F508" s="23" t="s">
        <v>2452</v>
      </c>
      <c r="G508" s="23" t="s">
        <v>2453</v>
      </c>
      <c r="H508" s="23" t="s">
        <v>2538</v>
      </c>
      <c r="I508" s="23" t="s">
        <v>6075</v>
      </c>
      <c r="J508" s="23" t="s">
        <v>1994</v>
      </c>
      <c r="K508" s="23" t="n">
        <v>44.99</v>
      </c>
      <c r="L508" s="23" t="s">
        <v>6076</v>
      </c>
      <c r="M508" s="23" t="s">
        <v>6077</v>
      </c>
      <c r="N508" s="23" t="s">
        <v>6078</v>
      </c>
      <c r="O508" s="23" t="s">
        <v>6079</v>
      </c>
      <c r="P508" s="23" t="s">
        <v>6080</v>
      </c>
      <c r="Q508" s="24" t="n">
        <f aca="false">IF(L508="","",IFERROR(INDEX('Semrush Data'!$A$1:$Z$20000,MATCH(L508,'Semrush Data'!$A$1:$A$20000,0),MATCH("Volume",'Semrush Data'!$A$1:$Z$1,0)),""))</f>
        <v>20</v>
      </c>
      <c r="R508" s="24" t="str">
        <f aca="false">IF(M508="","",IFERROR(INDEX('Semrush Data'!$A$1:$Z$20000,MATCH(M508,'Semrush Data'!$A$1:$A$20000,0),MATCH("Volume",'Semrush Data'!$A$1:$Z$1,0)),""))</f>
        <v/>
      </c>
      <c r="S508" s="24" t="str">
        <f aca="false">IF(N508="","",IFERROR(INDEX('Semrush Data'!$A$1:$Z$20000,MATCH(N508,'Semrush Data'!$A$1:$A$20000,0),MATCH("Volume",'Semrush Data'!$A$1:$Z$1,0)),""))</f>
        <v/>
      </c>
      <c r="T508" s="24" t="str">
        <f aca="false">IF(O508="","",IFERROR(INDEX('Semrush Data'!$A$1:$Z$20000,MATCH(O508,'Semrush Data'!$A$1:$A$20000,0),MATCH("Volume",'Semrush Data'!$A$1:$Z$1,0)),""))</f>
        <v/>
      </c>
      <c r="U508" s="24" t="str">
        <f aca="false">IF(P508="","",IFERROR(INDEX('Semrush Data'!$A$1:$Z$20000,MATCH(P508,'Semrush Data'!$A$1:$A$20000,0),MATCH("Volume",'Semrush Data'!$A$1:$Z$1,0)),""))</f>
        <v/>
      </c>
      <c r="V508" s="25" t="str">
        <f aca="false">IF(COUNT(Q508:U508)=0,L508,IF(MAX(Q508:U508)=0,L508,INDEX(L508:P508,MATCH(MAX(Q508:U508),Q508:U508,0))))</f>
        <v>the woods collection secret source</v>
      </c>
      <c r="W508" s="24" t="n">
        <f aca="false">IFERROR(INDEX('Semrush Data'!$A$1:$Z$20000,MATCH(V508,'Semrush Data'!$A$1:$A$20000,0),MATCH("Volume",'Semrush Data'!$A$1:$Z$1,0)),"")</f>
        <v>20</v>
      </c>
      <c r="X508" s="24" t="n">
        <f aca="false">IFERROR(INDEX('Semrush Data'!$A$1:$Z$20000,MATCH(V508,'Semrush Data'!$A$1:$A$20000,0),MATCH("Keyword Difficulty*",'Semrush Data'!$A$1:$Z$1,0)),"")</f>
        <v>13</v>
      </c>
      <c r="Y508" s="26" t="n">
        <f aca="false">IFERROR(INDEX('Semrush Data'!$A$1:$Z$20000,MATCH(V508,'Semrush Data'!$A$1:$A$20000,0),MATCH("CPC*",'Semrush Data'!$A$1:$Z$1,0)),"")</f>
        <v>0</v>
      </c>
      <c r="Z508" s="23" t="s">
        <v>6013</v>
      </c>
      <c r="AA508" s="23" t="s">
        <v>6081</v>
      </c>
      <c r="AB508" s="23" t="s">
        <v>6082</v>
      </c>
      <c r="AC508" s="23" t="s">
        <v>6083</v>
      </c>
      <c r="AD508" s="27" t="n">
        <f aca="false">LEN(AC508)</f>
        <v>58</v>
      </c>
      <c r="AE508" s="23" t="s">
        <v>6084</v>
      </c>
      <c r="AF508" s="27" t="n">
        <f aca="false">LEN(AE508)</f>
        <v>156</v>
      </c>
    </row>
    <row r="509" customFormat="false" ht="15" hidden="false" customHeight="true" outlineLevel="0" collapsed="false">
      <c r="A509" s="23" t="s">
        <v>6085</v>
      </c>
      <c r="B509" s="23" t="s">
        <v>2449</v>
      </c>
      <c r="C509" s="23" t="n">
        <v>349</v>
      </c>
      <c r="D509" s="23" t="s">
        <v>6006</v>
      </c>
      <c r="E509" s="23"/>
      <c r="F509" s="23" t="s">
        <v>2452</v>
      </c>
      <c r="G509" s="23" t="s">
        <v>2453</v>
      </c>
      <c r="H509" s="23" t="s">
        <v>2538</v>
      </c>
      <c r="I509" s="23" t="s">
        <v>6086</v>
      </c>
      <c r="J509" s="23" t="s">
        <v>1994</v>
      </c>
      <c r="K509" s="23" t="n">
        <v>44.99</v>
      </c>
      <c r="L509" s="23" t="s">
        <v>6087</v>
      </c>
      <c r="M509" s="23" t="s">
        <v>6088</v>
      </c>
      <c r="N509" s="23" t="s">
        <v>6089</v>
      </c>
      <c r="O509" s="23" t="s">
        <v>6090</v>
      </c>
      <c r="P509" s="23" t="s">
        <v>6091</v>
      </c>
      <c r="Q509" s="24" t="n">
        <f aca="false">IF(L509="","",IFERROR(INDEX('Semrush Data'!$A$1:$Z$20000,MATCH(L509,'Semrush Data'!$A$1:$A$20000,0),MATCH("Volume",'Semrush Data'!$A$1:$Z$1,0)),""))</f>
        <v>20</v>
      </c>
      <c r="R509" s="24" t="str">
        <f aca="false">IF(M509="","",IFERROR(INDEX('Semrush Data'!$A$1:$Z$20000,MATCH(M509,'Semrush Data'!$A$1:$A$20000,0),MATCH("Volume",'Semrush Data'!$A$1:$Z$1,0)),""))</f>
        <v/>
      </c>
      <c r="S509" s="24" t="str">
        <f aca="false">IF(N509="","",IFERROR(INDEX('Semrush Data'!$A$1:$Z$20000,MATCH(N509,'Semrush Data'!$A$1:$A$20000,0),MATCH("Volume",'Semrush Data'!$A$1:$Z$1,0)),""))</f>
        <v/>
      </c>
      <c r="T509" s="24" t="str">
        <f aca="false">IF(O509="","",IFERROR(INDEX('Semrush Data'!$A$1:$Z$20000,MATCH(O509,'Semrush Data'!$A$1:$A$20000,0),MATCH("Volume",'Semrush Data'!$A$1:$Z$1,0)),""))</f>
        <v/>
      </c>
      <c r="U509" s="24" t="str">
        <f aca="false">IF(P509="","",IFERROR(INDEX('Semrush Data'!$A$1:$Z$20000,MATCH(P509,'Semrush Data'!$A$1:$A$20000,0),MATCH("Volume",'Semrush Data'!$A$1:$Z$1,0)),""))</f>
        <v/>
      </c>
      <c r="V509" s="25" t="str">
        <f aca="false">IF(COUNT(Q509:U509)=0,L509,IF(MAX(Q509:U509)=0,L509,INDEX(L509:P509,MATCH(MAX(Q509:U509),Q509:U509,0))))</f>
        <v>the woods collection sunrise</v>
      </c>
      <c r="W509" s="24" t="n">
        <f aca="false">IFERROR(INDEX('Semrush Data'!$A$1:$Z$20000,MATCH(V509,'Semrush Data'!$A$1:$A$20000,0),MATCH("Volume",'Semrush Data'!$A$1:$Z$1,0)),"")</f>
        <v>20</v>
      </c>
      <c r="X509" s="24" t="n">
        <f aca="false">IFERROR(INDEX('Semrush Data'!$A$1:$Z$20000,MATCH(V509,'Semrush Data'!$A$1:$A$20000,0),MATCH("Keyword Difficulty*",'Semrush Data'!$A$1:$Z$1,0)),"")</f>
        <v>6</v>
      </c>
      <c r="Y509" s="26" t="n">
        <f aca="false">IFERROR(INDEX('Semrush Data'!$A$1:$Z$20000,MATCH(V509,'Semrush Data'!$A$1:$A$20000,0),MATCH("CPC*",'Semrush Data'!$A$1:$Z$1,0)),"")</f>
        <v>0</v>
      </c>
      <c r="Z509" s="23" t="s">
        <v>6013</v>
      </c>
      <c r="AA509" s="23" t="s">
        <v>6092</v>
      </c>
      <c r="AB509" s="23" t="s">
        <v>6093</v>
      </c>
      <c r="AC509" s="23" t="s">
        <v>6094</v>
      </c>
      <c r="AD509" s="27" t="n">
        <f aca="false">LEN(AC509)</f>
        <v>56</v>
      </c>
      <c r="AE509" s="23" t="s">
        <v>6095</v>
      </c>
      <c r="AF509" s="27" t="n">
        <f aca="false">LEN(AE509)</f>
        <v>157</v>
      </c>
    </row>
    <row r="510" customFormat="false" ht="15" hidden="false" customHeight="true" outlineLevel="0" collapsed="false">
      <c r="A510" s="23" t="s">
        <v>6096</v>
      </c>
      <c r="B510" s="23" t="s">
        <v>2449</v>
      </c>
      <c r="C510" s="23" t="n">
        <v>350</v>
      </c>
      <c r="D510" s="23" t="s">
        <v>6006</v>
      </c>
      <c r="E510" s="23"/>
      <c r="F510" s="23" t="s">
        <v>2452</v>
      </c>
      <c r="G510" s="23" t="s">
        <v>2453</v>
      </c>
      <c r="H510" s="23" t="s">
        <v>2538</v>
      </c>
      <c r="I510" s="23" t="s">
        <v>6097</v>
      </c>
      <c r="J510" s="23" t="s">
        <v>1994</v>
      </c>
      <c r="K510" s="23" t="n">
        <v>44.99</v>
      </c>
      <c r="L510" s="23" t="s">
        <v>6098</v>
      </c>
      <c r="M510" s="23" t="s">
        <v>6099</v>
      </c>
      <c r="N510" s="23" t="s">
        <v>6100</v>
      </c>
      <c r="O510" s="23" t="s">
        <v>6101</v>
      </c>
      <c r="P510" s="23" t="s">
        <v>6102</v>
      </c>
      <c r="Q510" s="24" t="n">
        <f aca="false">IF(L510="","",IFERROR(INDEX('Semrush Data'!$A$1:$Z$20000,MATCH(L510,'Semrush Data'!$A$1:$A$20000,0),MATCH("Volume",'Semrush Data'!$A$1:$Z$1,0)),""))</f>
        <v>0</v>
      </c>
      <c r="R510" s="24" t="str">
        <f aca="false">IF(M510="","",IFERROR(INDEX('Semrush Data'!$A$1:$Z$20000,MATCH(M510,'Semrush Data'!$A$1:$A$20000,0),MATCH("Volume",'Semrush Data'!$A$1:$Z$1,0)),""))</f>
        <v/>
      </c>
      <c r="S510" s="24" t="str">
        <f aca="false">IF(N510="","",IFERROR(INDEX('Semrush Data'!$A$1:$Z$20000,MATCH(N510,'Semrush Data'!$A$1:$A$20000,0),MATCH("Volume",'Semrush Data'!$A$1:$Z$1,0)),""))</f>
        <v/>
      </c>
      <c r="T510" s="24" t="str">
        <f aca="false">IF(O510="","",IFERROR(INDEX('Semrush Data'!$A$1:$Z$20000,MATCH(O510,'Semrush Data'!$A$1:$A$20000,0),MATCH("Volume",'Semrush Data'!$A$1:$Z$1,0)),""))</f>
        <v/>
      </c>
      <c r="U510" s="24" t="str">
        <f aca="false">IF(P510="","",IFERROR(INDEX('Semrush Data'!$A$1:$Z$20000,MATCH(P510,'Semrush Data'!$A$1:$A$20000,0),MATCH("Volume",'Semrush Data'!$A$1:$Z$1,0)),""))</f>
        <v/>
      </c>
      <c r="V510" s="25" t="str">
        <f aca="false">IF(COUNT(Q510:U510)=0,L510,IF(MAX(Q510:U510)=0,L510,INDEX(L510:P510,MATCH(MAX(Q510:U510),Q510:U510,0))))</f>
        <v>the woods collection timeless sands</v>
      </c>
      <c r="W510" s="24" t="n">
        <f aca="false">IFERROR(INDEX('Semrush Data'!$A$1:$Z$20000,MATCH(V510,'Semrush Data'!$A$1:$A$20000,0),MATCH("Volume",'Semrush Data'!$A$1:$Z$1,0)),"")</f>
        <v>0</v>
      </c>
      <c r="X510" s="24" t="n">
        <f aca="false">IFERROR(INDEX('Semrush Data'!$A$1:$Z$20000,MATCH(V510,'Semrush Data'!$A$1:$A$20000,0),MATCH("Keyword Difficulty*",'Semrush Data'!$A$1:$Z$1,0)),"")</f>
        <v>16</v>
      </c>
      <c r="Y510" s="26" t="n">
        <f aca="false">IFERROR(INDEX('Semrush Data'!$A$1:$Z$20000,MATCH(V510,'Semrush Data'!$A$1:$A$20000,0),MATCH("CPC*",'Semrush Data'!$A$1:$Z$1,0)),"")</f>
        <v>0</v>
      </c>
      <c r="Z510" s="23" t="s">
        <v>6013</v>
      </c>
      <c r="AA510" s="23" t="s">
        <v>6103</v>
      </c>
      <c r="AB510" s="23" t="s">
        <v>6104</v>
      </c>
      <c r="AC510" s="23" t="s">
        <v>6105</v>
      </c>
      <c r="AD510" s="27" t="n">
        <f aca="false">LEN(AC510)</f>
        <v>59</v>
      </c>
      <c r="AE510" s="23" t="s">
        <v>6106</v>
      </c>
      <c r="AF510" s="27" t="n">
        <f aca="false">LEN(AE510)</f>
        <v>157</v>
      </c>
    </row>
    <row r="511" customFormat="false" ht="15" hidden="false" customHeight="true" outlineLevel="0" collapsed="false">
      <c r="A511" s="23" t="s">
        <v>6107</v>
      </c>
      <c r="B511" s="23" t="s">
        <v>2449</v>
      </c>
      <c r="C511" s="23" t="n">
        <v>351</v>
      </c>
      <c r="D511" s="23" t="s">
        <v>6006</v>
      </c>
      <c r="E511" s="23"/>
      <c r="F511" s="23" t="s">
        <v>2452</v>
      </c>
      <c r="G511" s="23" t="s">
        <v>2453</v>
      </c>
      <c r="H511" s="23" t="s">
        <v>2538</v>
      </c>
      <c r="I511" s="23" t="s">
        <v>6108</v>
      </c>
      <c r="J511" s="23" t="s">
        <v>1994</v>
      </c>
      <c r="K511" s="23" t="n">
        <v>44.99</v>
      </c>
      <c r="L511" s="23" t="s">
        <v>6109</v>
      </c>
      <c r="M511" s="23" t="s">
        <v>6110</v>
      </c>
      <c r="N511" s="23" t="s">
        <v>6111</v>
      </c>
      <c r="O511" s="23" t="s">
        <v>6112</v>
      </c>
      <c r="P511" s="23" t="s">
        <v>6113</v>
      </c>
      <c r="Q511" s="24" t="n">
        <f aca="false">IF(L511="","",IFERROR(INDEX('Semrush Data'!$A$1:$Z$20000,MATCH(L511,'Semrush Data'!$A$1:$A$20000,0),MATCH("Volume",'Semrush Data'!$A$1:$Z$1,0)),""))</f>
        <v>20</v>
      </c>
      <c r="R511" s="24" t="str">
        <f aca="false">IF(M511="","",IFERROR(INDEX('Semrush Data'!$A$1:$Z$20000,MATCH(M511,'Semrush Data'!$A$1:$A$20000,0),MATCH("Volume",'Semrush Data'!$A$1:$Z$1,0)),""))</f>
        <v/>
      </c>
      <c r="S511" s="24" t="str">
        <f aca="false">IF(N511="","",IFERROR(INDEX('Semrush Data'!$A$1:$Z$20000,MATCH(N511,'Semrush Data'!$A$1:$A$20000,0),MATCH("Volume",'Semrush Data'!$A$1:$Z$1,0)),""))</f>
        <v/>
      </c>
      <c r="T511" s="24" t="str">
        <f aca="false">IF(O511="","",IFERROR(INDEX('Semrush Data'!$A$1:$Z$20000,MATCH(O511,'Semrush Data'!$A$1:$A$20000,0),MATCH("Volume",'Semrush Data'!$A$1:$Z$1,0)),""))</f>
        <v/>
      </c>
      <c r="U511" s="24" t="str">
        <f aca="false">IF(P511="","",IFERROR(INDEX('Semrush Data'!$A$1:$Z$20000,MATCH(P511,'Semrush Data'!$A$1:$A$20000,0),MATCH("Volume",'Semrush Data'!$A$1:$Z$1,0)),""))</f>
        <v/>
      </c>
      <c r="V511" s="25" t="str">
        <f aca="false">IF(COUNT(Q511:U511)=0,L511,IF(MAX(Q511:U511)=0,L511,INDEX(L511:P511,MATCH(MAX(Q511:U511),Q511:U511,0))))</f>
        <v>the woods collection twilight</v>
      </c>
      <c r="W511" s="24" t="n">
        <f aca="false">IFERROR(INDEX('Semrush Data'!$A$1:$Z$20000,MATCH(V511,'Semrush Data'!$A$1:$A$20000,0),MATCH("Volume",'Semrush Data'!$A$1:$Z$1,0)),"")</f>
        <v>20</v>
      </c>
      <c r="X511" s="24" t="n">
        <f aca="false">IFERROR(INDEX('Semrush Data'!$A$1:$Z$20000,MATCH(V511,'Semrush Data'!$A$1:$A$20000,0),MATCH("Keyword Difficulty*",'Semrush Data'!$A$1:$Z$1,0)),"")</f>
        <v>7</v>
      </c>
      <c r="Y511" s="26" t="n">
        <f aca="false">IFERROR(INDEX('Semrush Data'!$A$1:$Z$20000,MATCH(V511,'Semrush Data'!$A$1:$A$20000,0),MATCH("CPC*",'Semrush Data'!$A$1:$Z$1,0)),"")</f>
        <v>0</v>
      </c>
      <c r="Z511" s="23" t="s">
        <v>6013</v>
      </c>
      <c r="AA511" s="23" t="s">
        <v>6114</v>
      </c>
      <c r="AB511" s="23" t="s">
        <v>6115</v>
      </c>
      <c r="AC511" s="23" t="s">
        <v>6116</v>
      </c>
      <c r="AD511" s="27" t="n">
        <f aca="false">LEN(AC511)</f>
        <v>57</v>
      </c>
      <c r="AE511" s="23" t="s">
        <v>6117</v>
      </c>
      <c r="AF511" s="27" t="n">
        <f aca="false">LEN(AE511)</f>
        <v>158</v>
      </c>
    </row>
    <row r="512" customFormat="false" ht="15" hidden="false" customHeight="true" outlineLevel="0" collapsed="false">
      <c r="A512" s="23" t="s">
        <v>6118</v>
      </c>
      <c r="B512" s="23" t="s">
        <v>2449</v>
      </c>
      <c r="C512" s="23" t="n">
        <v>352</v>
      </c>
      <c r="D512" s="23" t="s">
        <v>6006</v>
      </c>
      <c r="E512" s="23"/>
      <c r="F512" s="23" t="s">
        <v>2452</v>
      </c>
      <c r="G512" s="23" t="s">
        <v>2453</v>
      </c>
      <c r="H512" s="23" t="s">
        <v>2538</v>
      </c>
      <c r="I512" s="23" t="s">
        <v>6119</v>
      </c>
      <c r="J512" s="23" t="s">
        <v>1994</v>
      </c>
      <c r="K512" s="23" t="n">
        <v>44.99</v>
      </c>
      <c r="L512" s="23" t="s">
        <v>6120</v>
      </c>
      <c r="M512" s="23" t="s">
        <v>6121</v>
      </c>
      <c r="N512" s="23" t="s">
        <v>6122</v>
      </c>
      <c r="O512" s="23" t="s">
        <v>6123</v>
      </c>
      <c r="P512" s="23" t="s">
        <v>6124</v>
      </c>
      <c r="Q512" s="24" t="n">
        <f aca="false">IF(L512="","",IFERROR(INDEX('Semrush Data'!$A$1:$Z$20000,MATCH(L512,'Semrush Data'!$A$1:$A$20000,0),MATCH("Volume",'Semrush Data'!$A$1:$Z$1,0)),""))</f>
        <v>20</v>
      </c>
      <c r="R512" s="24" t="str">
        <f aca="false">IF(M512="","",IFERROR(INDEX('Semrush Data'!$A$1:$Z$20000,MATCH(M512,'Semrush Data'!$A$1:$A$20000,0),MATCH("Volume",'Semrush Data'!$A$1:$Z$1,0)),""))</f>
        <v/>
      </c>
      <c r="S512" s="24" t="str">
        <f aca="false">IF(N512="","",IFERROR(INDEX('Semrush Data'!$A$1:$Z$20000,MATCH(N512,'Semrush Data'!$A$1:$A$20000,0),MATCH("Volume",'Semrush Data'!$A$1:$Z$1,0)),""))</f>
        <v/>
      </c>
      <c r="T512" s="24" t="str">
        <f aca="false">IF(O512="","",IFERROR(INDEX('Semrush Data'!$A$1:$Z$20000,MATCH(O512,'Semrush Data'!$A$1:$A$20000,0),MATCH("Volume",'Semrush Data'!$A$1:$Z$1,0)),""))</f>
        <v/>
      </c>
      <c r="U512" s="24" t="str">
        <f aca="false">IF(P512="","",IFERROR(INDEX('Semrush Data'!$A$1:$Z$20000,MATCH(P512,'Semrush Data'!$A$1:$A$20000,0),MATCH("Volume",'Semrush Data'!$A$1:$Z$1,0)),""))</f>
        <v/>
      </c>
      <c r="V512" s="25" t="str">
        <f aca="false">IF(COUNT(Q512:U512)=0,L512,IF(MAX(Q512:U512)=0,L512,INDEX(L512:P512,MATCH(MAX(Q512:U512),Q512:U512,0))))</f>
        <v>the woods collection wild roses</v>
      </c>
      <c r="W512" s="24" t="n">
        <f aca="false">IFERROR(INDEX('Semrush Data'!$A$1:$Z$20000,MATCH(V512,'Semrush Data'!$A$1:$A$20000,0),MATCH("Volume",'Semrush Data'!$A$1:$Z$1,0)),"")</f>
        <v>20</v>
      </c>
      <c r="X512" s="24" t="n">
        <f aca="false">IFERROR(INDEX('Semrush Data'!$A$1:$Z$20000,MATCH(V512,'Semrush Data'!$A$1:$A$20000,0),MATCH("Keyword Difficulty*",'Semrush Data'!$A$1:$Z$1,0)),"")</f>
        <v>18</v>
      </c>
      <c r="Y512" s="26" t="n">
        <f aca="false">IFERROR(INDEX('Semrush Data'!$A$1:$Z$20000,MATCH(V512,'Semrush Data'!$A$1:$A$20000,0),MATCH("CPC*",'Semrush Data'!$A$1:$Z$1,0)),"")</f>
        <v>0</v>
      </c>
      <c r="Z512" s="23" t="s">
        <v>6013</v>
      </c>
      <c r="AA512" s="23" t="s">
        <v>6125</v>
      </c>
      <c r="AB512" s="23" t="s">
        <v>6126</v>
      </c>
      <c r="AC512" s="23" t="s">
        <v>6127</v>
      </c>
      <c r="AD512" s="27" t="n">
        <f aca="false">LEN(AC512)</f>
        <v>59</v>
      </c>
      <c r="AE512" s="23" t="s">
        <v>6128</v>
      </c>
      <c r="AF512" s="27" t="n">
        <f aca="false">LEN(AE512)</f>
        <v>160</v>
      </c>
    </row>
    <row r="513" customFormat="false" ht="15" hidden="false" customHeight="true" outlineLevel="0" collapsed="false">
      <c r="A513" s="23" t="s">
        <v>6129</v>
      </c>
      <c r="B513" s="23" t="s">
        <v>2449</v>
      </c>
      <c r="C513" s="23" t="n">
        <v>353</v>
      </c>
      <c r="D513" s="23" t="s">
        <v>6130</v>
      </c>
      <c r="E513" s="23"/>
      <c r="F513" s="23" t="s">
        <v>2452</v>
      </c>
      <c r="G513" s="23" t="s">
        <v>2735</v>
      </c>
      <c r="H513" s="23" t="s">
        <v>2538</v>
      </c>
      <c r="I513" s="23" t="s">
        <v>6131</v>
      </c>
      <c r="J513" s="23" t="s">
        <v>1994</v>
      </c>
      <c r="K513" s="23" t="n">
        <v>85.99</v>
      </c>
      <c r="L513" s="23" t="s">
        <v>6132</v>
      </c>
      <c r="M513" s="23" t="s">
        <v>6133</v>
      </c>
      <c r="N513" s="23" t="s">
        <v>6134</v>
      </c>
      <c r="O513" s="23" t="s">
        <v>6135</v>
      </c>
      <c r="P513" s="23" t="s">
        <v>6136</v>
      </c>
      <c r="Q513" s="24" t="n">
        <f aca="false">IF(L513="","",IFERROR(INDEX('Semrush Data'!$A$1:$Z$20000,MATCH(L513,'Semrush Data'!$A$1:$A$20000,0),MATCH("Volume",'Semrush Data'!$A$1:$Z$1,0)),""))</f>
        <v>20</v>
      </c>
      <c r="R513" s="24" t="str">
        <f aca="false">IF(M513="","",IFERROR(INDEX('Semrush Data'!$A$1:$Z$20000,MATCH(M513,'Semrush Data'!$A$1:$A$20000,0),MATCH("Volume",'Semrush Data'!$A$1:$Z$1,0)),""))</f>
        <v/>
      </c>
      <c r="S513" s="24" t="str">
        <f aca="false">IF(N513="","",IFERROR(INDEX('Semrush Data'!$A$1:$Z$20000,MATCH(N513,'Semrush Data'!$A$1:$A$20000,0),MATCH("Volume",'Semrush Data'!$A$1:$Z$1,0)),""))</f>
        <v/>
      </c>
      <c r="T513" s="24" t="str">
        <f aca="false">IF(O513="","",IFERROR(INDEX('Semrush Data'!$A$1:$Z$20000,MATCH(O513,'Semrush Data'!$A$1:$A$20000,0),MATCH("Volume",'Semrush Data'!$A$1:$Z$1,0)),""))</f>
        <v/>
      </c>
      <c r="U513" s="24" t="str">
        <f aca="false">IF(P513="","",IFERROR(INDEX('Semrush Data'!$A$1:$Z$20000,MATCH(P513,'Semrush Data'!$A$1:$A$20000,0),MATCH("Volume",'Semrush Data'!$A$1:$Z$1,0)),""))</f>
        <v/>
      </c>
      <c r="V513" s="25" t="str">
        <f aca="false">IF(COUNT(Q513:U513)=0,L513,IF(MAX(Q513:U513)=0,L513,INDEX(L513:P513,MATCH(MAX(Q513:U513),Q513:U513,0))))</f>
        <v>tiziana terenzi akragas</v>
      </c>
      <c r="W513" s="24" t="n">
        <f aca="false">IFERROR(INDEX('Semrush Data'!$A$1:$Z$20000,MATCH(V513,'Semrush Data'!$A$1:$A$20000,0),MATCH("Volume",'Semrush Data'!$A$1:$Z$1,0)),"")</f>
        <v>20</v>
      </c>
      <c r="X513" s="24" t="n">
        <f aca="false">IFERROR(INDEX('Semrush Data'!$A$1:$Z$20000,MATCH(V513,'Semrush Data'!$A$1:$A$20000,0),MATCH("Keyword Difficulty*",'Semrush Data'!$A$1:$Z$1,0)),"")</f>
        <v>12</v>
      </c>
      <c r="Y513" s="26" t="n">
        <f aca="false">IFERROR(INDEX('Semrush Data'!$A$1:$Z$20000,MATCH(V513,'Semrush Data'!$A$1:$A$20000,0),MATCH("CPC*",'Semrush Data'!$A$1:$Z$1,0)),"")</f>
        <v>0</v>
      </c>
      <c r="Z513" s="23" t="s">
        <v>6137</v>
      </c>
      <c r="AA513" s="23" t="s">
        <v>6138</v>
      </c>
      <c r="AB513" s="23" t="s">
        <v>6139</v>
      </c>
      <c r="AC513" s="23" t="s">
        <v>6140</v>
      </c>
      <c r="AD513" s="27" t="n">
        <f aca="false">LEN(AC513)</f>
        <v>52</v>
      </c>
      <c r="AE513" s="23" t="s">
        <v>6141</v>
      </c>
      <c r="AF513" s="27" t="n">
        <f aca="false">LEN(AE513)</f>
        <v>150</v>
      </c>
    </row>
    <row r="514" customFormat="false" ht="15" hidden="false" customHeight="true" outlineLevel="0" collapsed="false">
      <c r="A514" s="23" t="s">
        <v>6142</v>
      </c>
      <c r="B514" s="23" t="s">
        <v>2449</v>
      </c>
      <c r="C514" s="23" t="n">
        <v>354</v>
      </c>
      <c r="D514" s="23" t="s">
        <v>6130</v>
      </c>
      <c r="E514" s="23"/>
      <c r="F514" s="23" t="s">
        <v>2452</v>
      </c>
      <c r="G514" s="23" t="s">
        <v>2735</v>
      </c>
      <c r="H514" s="23" t="s">
        <v>2538</v>
      </c>
      <c r="I514" s="23" t="s">
        <v>6143</v>
      </c>
      <c r="J514" s="23" t="s">
        <v>1994</v>
      </c>
      <c r="K514" s="23" t="n">
        <v>109.99</v>
      </c>
      <c r="L514" s="23" t="s">
        <v>6144</v>
      </c>
      <c r="M514" s="23" t="s">
        <v>6145</v>
      </c>
      <c r="N514" s="23" t="s">
        <v>6146</v>
      </c>
      <c r="O514" s="23" t="s">
        <v>6147</v>
      </c>
      <c r="P514" s="23" t="s">
        <v>6148</v>
      </c>
      <c r="Q514" s="24" t="n">
        <f aca="false">IF(L514="","",IFERROR(INDEX('Semrush Data'!$A$1:$Z$20000,MATCH(L514,'Semrush Data'!$A$1:$A$20000,0),MATCH("Volume",'Semrush Data'!$A$1:$Z$1,0)),""))</f>
        <v>90</v>
      </c>
      <c r="R514" s="24" t="n">
        <f aca="false">IF(M514="","",IFERROR(INDEX('Semrush Data'!$A$1:$Z$20000,MATCH(M514,'Semrush Data'!$A$1:$A$20000,0),MATCH("Volume",'Semrush Data'!$A$1:$Z$1,0)),""))</f>
        <v>0</v>
      </c>
      <c r="S514" s="24" t="str">
        <f aca="false">IF(N514="","",IFERROR(INDEX('Semrush Data'!$A$1:$Z$20000,MATCH(N514,'Semrush Data'!$A$1:$A$20000,0),MATCH("Volume",'Semrush Data'!$A$1:$Z$1,0)),""))</f>
        <v/>
      </c>
      <c r="T514" s="24" t="str">
        <f aca="false">IF(O514="","",IFERROR(INDEX('Semrush Data'!$A$1:$Z$20000,MATCH(O514,'Semrush Data'!$A$1:$A$20000,0),MATCH("Volume",'Semrush Data'!$A$1:$Z$1,0)),""))</f>
        <v/>
      </c>
      <c r="U514" s="24" t="n">
        <f aca="false">IF(P514="","",IFERROR(INDEX('Semrush Data'!$A$1:$Z$20000,MATCH(P514,'Semrush Data'!$A$1:$A$20000,0),MATCH("Volume",'Semrush Data'!$A$1:$Z$1,0)),""))</f>
        <v>20</v>
      </c>
      <c r="V514" s="25" t="str">
        <f aca="false">IF(COUNT(Q514:U514)=0,L514,IF(MAX(Q514:U514)=0,L514,INDEX(L514:P514,MATCH(MAX(Q514:U514),Q514:U514,0))))</f>
        <v>tiziana terenzi andromeda</v>
      </c>
      <c r="W514" s="24" t="n">
        <f aca="false">IFERROR(INDEX('Semrush Data'!$A$1:$Z$20000,MATCH(V514,'Semrush Data'!$A$1:$A$20000,0),MATCH("Volume",'Semrush Data'!$A$1:$Z$1,0)),"")</f>
        <v>90</v>
      </c>
      <c r="X514" s="24" t="n">
        <f aca="false">IFERROR(INDEX('Semrush Data'!$A$1:$Z$20000,MATCH(V514,'Semrush Data'!$A$1:$A$20000,0),MATCH("Keyword Difficulty*",'Semrush Data'!$A$1:$Z$1,0)),"")</f>
        <v>19</v>
      </c>
      <c r="Y514" s="26" t="n">
        <f aca="false">IFERROR(INDEX('Semrush Data'!$A$1:$Z$20000,MATCH(V514,'Semrush Data'!$A$1:$A$20000,0),MATCH("CPC*",'Semrush Data'!$A$1:$Z$1,0)),"")</f>
        <v>0.55</v>
      </c>
      <c r="Z514" s="23" t="s">
        <v>6137</v>
      </c>
      <c r="AA514" s="23" t="s">
        <v>6149</v>
      </c>
      <c r="AB514" s="23" t="s">
        <v>6150</v>
      </c>
      <c r="AC514" s="23" t="s">
        <v>6151</v>
      </c>
      <c r="AD514" s="27" t="n">
        <f aca="false">LEN(AC514)</f>
        <v>54</v>
      </c>
      <c r="AE514" s="23" t="s">
        <v>6152</v>
      </c>
      <c r="AF514" s="27" t="n">
        <f aca="false">LEN(AE514)</f>
        <v>152</v>
      </c>
    </row>
    <row r="515" customFormat="false" ht="15" hidden="false" customHeight="true" outlineLevel="0" collapsed="false">
      <c r="A515" s="23" t="s">
        <v>6153</v>
      </c>
      <c r="B515" s="23" t="s">
        <v>2449</v>
      </c>
      <c r="C515" s="23" t="n">
        <v>355</v>
      </c>
      <c r="D515" s="23" t="s">
        <v>6130</v>
      </c>
      <c r="E515" s="23"/>
      <c r="F515" s="23" t="s">
        <v>2452</v>
      </c>
      <c r="G515" s="23" t="s">
        <v>2735</v>
      </c>
      <c r="H515" s="23" t="s">
        <v>2538</v>
      </c>
      <c r="I515" s="23" t="s">
        <v>6154</v>
      </c>
      <c r="J515" s="23" t="s">
        <v>1994</v>
      </c>
      <c r="K515" s="23" t="n">
        <v>132.99</v>
      </c>
      <c r="L515" s="23" t="s">
        <v>6155</v>
      </c>
      <c r="M515" s="23" t="s">
        <v>6156</v>
      </c>
      <c r="N515" s="23" t="s">
        <v>6157</v>
      </c>
      <c r="O515" s="23" t="s">
        <v>6158</v>
      </c>
      <c r="P515" s="23" t="s">
        <v>6159</v>
      </c>
      <c r="Q515" s="24" t="n">
        <f aca="false">IF(L515="","",IFERROR(INDEX('Semrush Data'!$A$1:$Z$20000,MATCH(L515,'Semrush Data'!$A$1:$A$20000,0),MATCH("Volume",'Semrush Data'!$A$1:$Z$1,0)),""))</f>
        <v>0</v>
      </c>
      <c r="R515" s="24" t="str">
        <f aca="false">IF(M515="","",IFERROR(INDEX('Semrush Data'!$A$1:$Z$20000,MATCH(M515,'Semrush Data'!$A$1:$A$20000,0),MATCH("Volume",'Semrush Data'!$A$1:$Z$1,0)),""))</f>
        <v/>
      </c>
      <c r="S515" s="24" t="str">
        <f aca="false">IF(N515="","",IFERROR(INDEX('Semrush Data'!$A$1:$Z$20000,MATCH(N515,'Semrush Data'!$A$1:$A$20000,0),MATCH("Volume",'Semrush Data'!$A$1:$Z$1,0)),""))</f>
        <v/>
      </c>
      <c r="T515" s="24" t="str">
        <f aca="false">IF(O515="","",IFERROR(INDEX('Semrush Data'!$A$1:$Z$20000,MATCH(O515,'Semrush Data'!$A$1:$A$20000,0),MATCH("Volume",'Semrush Data'!$A$1:$Z$1,0)),""))</f>
        <v/>
      </c>
      <c r="U515" s="24" t="str">
        <f aca="false">IF(P515="","",IFERROR(INDEX('Semrush Data'!$A$1:$Z$20000,MATCH(P515,'Semrush Data'!$A$1:$A$20000,0),MATCH("Volume",'Semrush Data'!$A$1:$Z$1,0)),""))</f>
        <v/>
      </c>
      <c r="V515" s="25" t="str">
        <f aca="false">IF(COUNT(Q515:U515)=0,L515,IF(MAX(Q515:U515)=0,L515,INDEX(L515:P515,MATCH(MAX(Q515:U515),Q515:U515,0))))</f>
        <v>tiziana terenzi borelli linea tt</v>
      </c>
      <c r="W515" s="24" t="n">
        <f aca="false">IFERROR(INDEX('Semrush Data'!$A$1:$Z$20000,MATCH(V515,'Semrush Data'!$A$1:$A$20000,0),MATCH("Volume",'Semrush Data'!$A$1:$Z$1,0)),"")</f>
        <v>0</v>
      </c>
      <c r="X515" s="24" t="n">
        <f aca="false">IFERROR(INDEX('Semrush Data'!$A$1:$Z$20000,MATCH(V515,'Semrush Data'!$A$1:$A$20000,0),MATCH("Keyword Difficulty*",'Semrush Data'!$A$1:$Z$1,0)),"")</f>
        <v>13</v>
      </c>
      <c r="Y515" s="26" t="n">
        <f aca="false">IFERROR(INDEX('Semrush Data'!$A$1:$Z$20000,MATCH(V515,'Semrush Data'!$A$1:$A$20000,0),MATCH("CPC*",'Semrush Data'!$A$1:$Z$1,0)),"")</f>
        <v>0</v>
      </c>
      <c r="Z515" s="23" t="s">
        <v>6137</v>
      </c>
      <c r="AA515" s="23"/>
      <c r="AB515" s="23" t="s">
        <v>6160</v>
      </c>
      <c r="AC515" s="23" t="s">
        <v>6161</v>
      </c>
      <c r="AD515" s="27" t="n">
        <f aca="false">LEN(AC515)</f>
        <v>57</v>
      </c>
      <c r="AE515" s="23" t="s">
        <v>6162</v>
      </c>
      <c r="AF515" s="27" t="n">
        <f aca="false">LEN(AE515)</f>
        <v>159</v>
      </c>
    </row>
    <row r="516" customFormat="false" ht="15" hidden="false" customHeight="true" outlineLevel="0" collapsed="false">
      <c r="A516" s="23" t="s">
        <v>6163</v>
      </c>
      <c r="B516" s="23" t="s">
        <v>2449</v>
      </c>
      <c r="C516" s="23" t="n">
        <v>356</v>
      </c>
      <c r="D516" s="23" t="s">
        <v>6130</v>
      </c>
      <c r="E516" s="23"/>
      <c r="F516" s="23" t="s">
        <v>2452</v>
      </c>
      <c r="G516" s="23" t="s">
        <v>2735</v>
      </c>
      <c r="H516" s="23" t="s">
        <v>2538</v>
      </c>
      <c r="I516" s="23" t="s">
        <v>6164</v>
      </c>
      <c r="J516" s="23" t="s">
        <v>1994</v>
      </c>
      <c r="K516" s="23" t="n">
        <v>99.99</v>
      </c>
      <c r="L516" s="23" t="s">
        <v>6165</v>
      </c>
      <c r="M516" s="23" t="s">
        <v>6166</v>
      </c>
      <c r="N516" s="23" t="s">
        <v>6167</v>
      </c>
      <c r="O516" s="23" t="s">
        <v>6168</v>
      </c>
      <c r="P516" s="23" t="s">
        <v>6169</v>
      </c>
      <c r="Q516" s="24" t="n">
        <f aca="false">IF(L516="","",IFERROR(INDEX('Semrush Data'!$A$1:$Z$20000,MATCH(L516,'Semrush Data'!$A$1:$A$20000,0),MATCH("Volume",'Semrush Data'!$A$1:$Z$1,0)),""))</f>
        <v>20</v>
      </c>
      <c r="R516" s="24" t="str">
        <f aca="false">IF(M516="","",IFERROR(INDEX('Semrush Data'!$A$1:$Z$20000,MATCH(M516,'Semrush Data'!$A$1:$A$20000,0),MATCH("Volume",'Semrush Data'!$A$1:$Z$1,0)),""))</f>
        <v/>
      </c>
      <c r="S516" s="24" t="str">
        <f aca="false">IF(N516="","",IFERROR(INDEX('Semrush Data'!$A$1:$Z$20000,MATCH(N516,'Semrush Data'!$A$1:$A$20000,0),MATCH("Volume",'Semrush Data'!$A$1:$Z$1,0)),""))</f>
        <v/>
      </c>
      <c r="T516" s="24" t="str">
        <f aca="false">IF(O516="","",IFERROR(INDEX('Semrush Data'!$A$1:$Z$20000,MATCH(O516,'Semrush Data'!$A$1:$A$20000,0),MATCH("Volume",'Semrush Data'!$A$1:$Z$1,0)),""))</f>
        <v/>
      </c>
      <c r="U516" s="24" t="str">
        <f aca="false">IF(P516="","",IFERROR(INDEX('Semrush Data'!$A$1:$Z$20000,MATCH(P516,'Semrush Data'!$A$1:$A$20000,0),MATCH("Volume",'Semrush Data'!$A$1:$Z$1,0)),""))</f>
        <v/>
      </c>
      <c r="V516" s="25" t="str">
        <f aca="false">IF(COUNT(Q516:U516)=0,L516,IF(MAX(Q516:U516)=0,L516,INDEX(L516:P516,MATCH(MAX(Q516:U516),Q516:U516,0))))</f>
        <v>tiziana terenzi caput mundi</v>
      </c>
      <c r="W516" s="24" t="n">
        <f aca="false">IFERROR(INDEX('Semrush Data'!$A$1:$Z$20000,MATCH(V516,'Semrush Data'!$A$1:$A$20000,0),MATCH("Volume",'Semrush Data'!$A$1:$Z$1,0)),"")</f>
        <v>20</v>
      </c>
      <c r="X516" s="24" t="n">
        <f aca="false">IFERROR(INDEX('Semrush Data'!$A$1:$Z$20000,MATCH(V516,'Semrush Data'!$A$1:$A$20000,0),MATCH("Keyword Difficulty*",'Semrush Data'!$A$1:$Z$1,0)),"")</f>
        <v>18</v>
      </c>
      <c r="Y516" s="26" t="n">
        <f aca="false">IFERROR(INDEX('Semrush Data'!$A$1:$Z$20000,MATCH(V516,'Semrush Data'!$A$1:$A$20000,0),MATCH("CPC*",'Semrush Data'!$A$1:$Z$1,0)),"")</f>
        <v>0</v>
      </c>
      <c r="Z516" s="23" t="s">
        <v>6137</v>
      </c>
      <c r="AA516" s="23" t="s">
        <v>6170</v>
      </c>
      <c r="AB516" s="23" t="s">
        <v>6171</v>
      </c>
      <c r="AC516" s="23" t="s">
        <v>6172</v>
      </c>
      <c r="AD516" s="27" t="n">
        <f aca="false">LEN(AC516)</f>
        <v>56</v>
      </c>
      <c r="AE516" s="23" t="s">
        <v>6173</v>
      </c>
      <c r="AF516" s="27" t="n">
        <f aca="false">LEN(AE516)</f>
        <v>154</v>
      </c>
    </row>
    <row r="517" customFormat="false" ht="15" hidden="false" customHeight="true" outlineLevel="0" collapsed="false">
      <c r="A517" s="23" t="s">
        <v>6174</v>
      </c>
      <c r="B517" s="23" t="s">
        <v>2449</v>
      </c>
      <c r="C517" s="23" t="n">
        <v>357</v>
      </c>
      <c r="D517" s="23" t="s">
        <v>6130</v>
      </c>
      <c r="E517" s="23"/>
      <c r="F517" s="23" t="s">
        <v>2452</v>
      </c>
      <c r="G517" s="23" t="s">
        <v>2735</v>
      </c>
      <c r="H517" s="23" t="s">
        <v>3919</v>
      </c>
      <c r="I517" s="23" t="s">
        <v>6175</v>
      </c>
      <c r="J517" s="23" t="s">
        <v>1994</v>
      </c>
      <c r="K517" s="23" t="n">
        <v>106.99</v>
      </c>
      <c r="L517" s="23" t="s">
        <v>6165</v>
      </c>
      <c r="M517" s="23" t="s">
        <v>6166</v>
      </c>
      <c r="N517" s="23" t="s">
        <v>6167</v>
      </c>
      <c r="O517" s="23" t="s">
        <v>6168</v>
      </c>
      <c r="P517" s="23" t="s">
        <v>6169</v>
      </c>
      <c r="Q517" s="24" t="n">
        <f aca="false">IF(L517="","",IFERROR(INDEX('Semrush Data'!$A$1:$Z$20000,MATCH(L517,'Semrush Data'!$A$1:$A$20000,0),MATCH("Volume",'Semrush Data'!$A$1:$Z$1,0)),""))</f>
        <v>20</v>
      </c>
      <c r="R517" s="24" t="str">
        <f aca="false">IF(M517="","",IFERROR(INDEX('Semrush Data'!$A$1:$Z$20000,MATCH(M517,'Semrush Data'!$A$1:$A$20000,0),MATCH("Volume",'Semrush Data'!$A$1:$Z$1,0)),""))</f>
        <v/>
      </c>
      <c r="S517" s="24" t="str">
        <f aca="false">IF(N517="","",IFERROR(INDEX('Semrush Data'!$A$1:$Z$20000,MATCH(N517,'Semrush Data'!$A$1:$A$20000,0),MATCH("Volume",'Semrush Data'!$A$1:$Z$1,0)),""))</f>
        <v/>
      </c>
      <c r="T517" s="24" t="str">
        <f aca="false">IF(O517="","",IFERROR(INDEX('Semrush Data'!$A$1:$Z$20000,MATCH(O517,'Semrush Data'!$A$1:$A$20000,0),MATCH("Volume",'Semrush Data'!$A$1:$Z$1,0)),""))</f>
        <v/>
      </c>
      <c r="U517" s="24" t="str">
        <f aca="false">IF(P517="","",IFERROR(INDEX('Semrush Data'!$A$1:$Z$20000,MATCH(P517,'Semrush Data'!$A$1:$A$20000,0),MATCH("Volume",'Semrush Data'!$A$1:$Z$1,0)),""))</f>
        <v/>
      </c>
      <c r="V517" s="25" t="str">
        <f aca="false">IF(COUNT(Q517:U517)=0,L517,IF(MAX(Q517:U517)=0,L517,INDEX(L517:P517,MATCH(MAX(Q517:U517),Q517:U517,0))))</f>
        <v>tiziana terenzi caput mundi</v>
      </c>
      <c r="W517" s="24" t="n">
        <f aca="false">IFERROR(INDEX('Semrush Data'!$A$1:$Z$20000,MATCH(V517,'Semrush Data'!$A$1:$A$20000,0),MATCH("Volume",'Semrush Data'!$A$1:$Z$1,0)),"")</f>
        <v>20</v>
      </c>
      <c r="X517" s="24" t="n">
        <f aca="false">IFERROR(INDEX('Semrush Data'!$A$1:$Z$20000,MATCH(V517,'Semrush Data'!$A$1:$A$20000,0),MATCH("Keyword Difficulty*",'Semrush Data'!$A$1:$Z$1,0)),"")</f>
        <v>18</v>
      </c>
      <c r="Y517" s="26" t="n">
        <f aca="false">IFERROR(INDEX('Semrush Data'!$A$1:$Z$20000,MATCH(V517,'Semrush Data'!$A$1:$A$20000,0),MATCH("CPC*",'Semrush Data'!$A$1:$Z$1,0)),"")</f>
        <v>0</v>
      </c>
      <c r="Z517" s="23" t="s">
        <v>6176</v>
      </c>
      <c r="AA517" s="23" t="s">
        <v>6170</v>
      </c>
      <c r="AB517" s="23" t="s">
        <v>6171</v>
      </c>
      <c r="AC517" s="23" t="s">
        <v>6172</v>
      </c>
      <c r="AD517" s="27" t="n">
        <f aca="false">LEN(AC517)</f>
        <v>56</v>
      </c>
      <c r="AE517" s="23" t="s">
        <v>6177</v>
      </c>
      <c r="AF517" s="27" t="n">
        <f aca="false">LEN(AE517)</f>
        <v>152</v>
      </c>
    </row>
    <row r="518" customFormat="false" ht="15" hidden="false" customHeight="true" outlineLevel="0" collapsed="false">
      <c r="A518" s="23" t="s">
        <v>6178</v>
      </c>
      <c r="B518" s="23" t="s">
        <v>2449</v>
      </c>
      <c r="C518" s="23" t="n">
        <v>358</v>
      </c>
      <c r="D518" s="23" t="s">
        <v>6130</v>
      </c>
      <c r="E518" s="23"/>
      <c r="F518" s="23" t="s">
        <v>2452</v>
      </c>
      <c r="G518" s="23" t="s">
        <v>2735</v>
      </c>
      <c r="H518" s="23" t="s">
        <v>2538</v>
      </c>
      <c r="I518" s="23" t="s">
        <v>6179</v>
      </c>
      <c r="J518" s="23" t="s">
        <v>1994</v>
      </c>
      <c r="K518" s="23" t="n">
        <v>119.99</v>
      </c>
      <c r="L518" s="23" t="s">
        <v>6180</v>
      </c>
      <c r="M518" s="23" t="s">
        <v>6181</v>
      </c>
      <c r="N518" s="23" t="s">
        <v>6182</v>
      </c>
      <c r="O518" s="23" t="s">
        <v>6183</v>
      </c>
      <c r="P518" s="23" t="s">
        <v>6184</v>
      </c>
      <c r="Q518" s="24" t="n">
        <f aca="false">IF(L518="","",IFERROR(INDEX('Semrush Data'!$A$1:$Z$20000,MATCH(L518,'Semrush Data'!$A$1:$A$20000,0),MATCH("Volume",'Semrush Data'!$A$1:$Z$1,0)),""))</f>
        <v>0</v>
      </c>
      <c r="R518" s="24" t="str">
        <f aca="false">IF(M518="","",IFERROR(INDEX('Semrush Data'!$A$1:$Z$20000,MATCH(M518,'Semrush Data'!$A$1:$A$20000,0),MATCH("Volume",'Semrush Data'!$A$1:$Z$1,0)),""))</f>
        <v/>
      </c>
      <c r="S518" s="24" t="str">
        <f aca="false">IF(N518="","",IFERROR(INDEX('Semrush Data'!$A$1:$Z$20000,MATCH(N518,'Semrush Data'!$A$1:$A$20000,0),MATCH("Volume",'Semrush Data'!$A$1:$Z$1,0)),""))</f>
        <v/>
      </c>
      <c r="T518" s="24" t="str">
        <f aca="false">IF(O518="","",IFERROR(INDEX('Semrush Data'!$A$1:$Z$20000,MATCH(O518,'Semrush Data'!$A$1:$A$20000,0),MATCH("Volume",'Semrush Data'!$A$1:$Z$1,0)),""))</f>
        <v/>
      </c>
      <c r="U518" s="24" t="str">
        <f aca="false">IF(P518="","",IFERROR(INDEX('Semrush Data'!$A$1:$Z$20000,MATCH(P518,'Semrush Data'!$A$1:$A$20000,0),MATCH("Volume",'Semrush Data'!$A$1:$Z$1,0)),""))</f>
        <v/>
      </c>
      <c r="V518" s="25" t="str">
        <f aca="false">IF(COUNT(Q518:U518)=0,L518,IF(MAX(Q518:U518)=0,L518,INDEX(L518:P518,MATCH(MAX(Q518:U518),Q518:U518,0))))</f>
        <v>tiziana terenzi chimaera anniversary</v>
      </c>
      <c r="W518" s="24" t="n">
        <f aca="false">IFERROR(INDEX('Semrush Data'!$A$1:$Z$20000,MATCH(V518,'Semrush Data'!$A$1:$A$20000,0),MATCH("Volume",'Semrush Data'!$A$1:$Z$1,0)),"")</f>
        <v>0</v>
      </c>
      <c r="X518" s="24" t="n">
        <f aca="false">IFERROR(INDEX('Semrush Data'!$A$1:$Z$20000,MATCH(V518,'Semrush Data'!$A$1:$A$20000,0),MATCH("Keyword Difficulty*",'Semrush Data'!$A$1:$Z$1,0)),"")</f>
        <v>25</v>
      </c>
      <c r="Y518" s="26" t="n">
        <f aca="false">IFERROR(INDEX('Semrush Data'!$A$1:$Z$20000,MATCH(V518,'Semrush Data'!$A$1:$A$20000,0),MATCH("CPC*",'Semrush Data'!$A$1:$Z$1,0)),"")</f>
        <v>0</v>
      </c>
      <c r="Z518" s="23" t="s">
        <v>6137</v>
      </c>
      <c r="AA518" s="23"/>
      <c r="AB518" s="23" t="s">
        <v>6185</v>
      </c>
      <c r="AC518" s="23" t="s">
        <v>6186</v>
      </c>
      <c r="AD518" s="27" t="n">
        <f aca="false">LEN(AC518)</f>
        <v>52</v>
      </c>
      <c r="AE518" s="23" t="s">
        <v>6187</v>
      </c>
      <c r="AF518" s="27" t="n">
        <f aca="false">LEN(AE518)</f>
        <v>157</v>
      </c>
    </row>
    <row r="519" customFormat="false" ht="15" hidden="false" customHeight="true" outlineLevel="0" collapsed="false">
      <c r="A519" s="23" t="s">
        <v>6188</v>
      </c>
      <c r="B519" s="23" t="s">
        <v>2449</v>
      </c>
      <c r="C519" s="23" t="n">
        <v>359</v>
      </c>
      <c r="D519" s="23" t="s">
        <v>6130</v>
      </c>
      <c r="E519" s="23"/>
      <c r="F519" s="23" t="s">
        <v>2452</v>
      </c>
      <c r="G519" s="23" t="s">
        <v>2735</v>
      </c>
      <c r="H519" s="23" t="s">
        <v>2538</v>
      </c>
      <c r="I519" s="23" t="s">
        <v>6189</v>
      </c>
      <c r="J519" s="23" t="s">
        <v>1994</v>
      </c>
      <c r="K519" s="23" t="n">
        <v>118.99</v>
      </c>
      <c r="L519" s="23" t="s">
        <v>6190</v>
      </c>
      <c r="M519" s="23" t="s">
        <v>6191</v>
      </c>
      <c r="N519" s="23" t="s">
        <v>6192</v>
      </c>
      <c r="O519" s="23" t="s">
        <v>6193</v>
      </c>
      <c r="P519" s="23" t="s">
        <v>6194</v>
      </c>
      <c r="Q519" s="24" t="n">
        <f aca="false">IF(L519="","",IFERROR(INDEX('Semrush Data'!$A$1:$Z$20000,MATCH(L519,'Semrush Data'!$A$1:$A$20000,0),MATCH("Volume",'Semrush Data'!$A$1:$Z$1,0)),""))</f>
        <v>20</v>
      </c>
      <c r="R519" s="24" t="str">
        <f aca="false">IF(M519="","",IFERROR(INDEX('Semrush Data'!$A$1:$Z$20000,MATCH(M519,'Semrush Data'!$A$1:$A$20000,0),MATCH("Volume",'Semrush Data'!$A$1:$Z$1,0)),""))</f>
        <v/>
      </c>
      <c r="S519" s="24" t="str">
        <f aca="false">IF(N519="","",IFERROR(INDEX('Semrush Data'!$A$1:$Z$20000,MATCH(N519,'Semrush Data'!$A$1:$A$20000,0),MATCH("Volume",'Semrush Data'!$A$1:$Z$1,0)),""))</f>
        <v/>
      </c>
      <c r="T519" s="24" t="str">
        <f aca="false">IF(O519="","",IFERROR(INDEX('Semrush Data'!$A$1:$Z$20000,MATCH(O519,'Semrush Data'!$A$1:$A$20000,0),MATCH("Volume",'Semrush Data'!$A$1:$Z$1,0)),""))</f>
        <v/>
      </c>
      <c r="U519" s="24" t="str">
        <f aca="false">IF(P519="","",IFERROR(INDEX('Semrush Data'!$A$1:$Z$20000,MATCH(P519,'Semrush Data'!$A$1:$A$20000,0),MATCH("Volume",'Semrush Data'!$A$1:$Z$1,0)),""))</f>
        <v/>
      </c>
      <c r="V519" s="25" t="str">
        <f aca="false">IF(COUNT(Q519:U519)=0,L519,IF(MAX(Q519:U519)=0,L519,INDEX(L519:P519,MATCH(MAX(Q519:U519),Q519:U519,0))))</f>
        <v>tiziana terenzi draconis</v>
      </c>
      <c r="W519" s="24" t="n">
        <f aca="false">IFERROR(INDEX('Semrush Data'!$A$1:$Z$20000,MATCH(V519,'Semrush Data'!$A$1:$A$20000,0),MATCH("Volume",'Semrush Data'!$A$1:$Z$1,0)),"")</f>
        <v>20</v>
      </c>
      <c r="X519" s="24" t="n">
        <f aca="false">IFERROR(INDEX('Semrush Data'!$A$1:$Z$20000,MATCH(V519,'Semrush Data'!$A$1:$A$20000,0),MATCH("Keyword Difficulty*",'Semrush Data'!$A$1:$Z$1,0)),"")</f>
        <v>9</v>
      </c>
      <c r="Y519" s="26" t="n">
        <f aca="false">IFERROR(INDEX('Semrush Data'!$A$1:$Z$20000,MATCH(V519,'Semrush Data'!$A$1:$A$20000,0),MATCH("CPC*",'Semrush Data'!$A$1:$Z$1,0)),"")</f>
        <v>0</v>
      </c>
      <c r="Z519" s="23" t="s">
        <v>6137</v>
      </c>
      <c r="AA519" s="23" t="s">
        <v>6195</v>
      </c>
      <c r="AB519" s="23" t="s">
        <v>6196</v>
      </c>
      <c r="AC519" s="23" t="s">
        <v>6197</v>
      </c>
      <c r="AD519" s="27" t="n">
        <f aca="false">LEN(AC519)</f>
        <v>53</v>
      </c>
      <c r="AE519" s="23" t="s">
        <v>6198</v>
      </c>
      <c r="AF519" s="27" t="n">
        <f aca="false">LEN(AE519)</f>
        <v>151</v>
      </c>
    </row>
    <row r="520" customFormat="false" ht="15" hidden="false" customHeight="true" outlineLevel="0" collapsed="false">
      <c r="A520" s="23" t="s">
        <v>6199</v>
      </c>
      <c r="B520" s="23" t="s">
        <v>2449</v>
      </c>
      <c r="C520" s="23" t="n">
        <v>360</v>
      </c>
      <c r="D520" s="23" t="s">
        <v>6130</v>
      </c>
      <c r="E520" s="23"/>
      <c r="F520" s="23" t="s">
        <v>2452</v>
      </c>
      <c r="G520" s="23" t="s">
        <v>2735</v>
      </c>
      <c r="H520" s="23" t="s">
        <v>2538</v>
      </c>
      <c r="I520" s="23" t="s">
        <v>6200</v>
      </c>
      <c r="J520" s="23" t="s">
        <v>1994</v>
      </c>
      <c r="K520" s="23" t="n">
        <v>299.99</v>
      </c>
      <c r="L520" s="23" t="s">
        <v>6201</v>
      </c>
      <c r="M520" s="23" t="s">
        <v>6202</v>
      </c>
      <c r="N520" s="23" t="s">
        <v>6203</v>
      </c>
      <c r="O520" s="23" t="s">
        <v>6204</v>
      </c>
      <c r="P520" s="23" t="s">
        <v>6205</v>
      </c>
      <c r="Q520" s="24" t="n">
        <f aca="false">IF(L520="","",IFERROR(INDEX('Semrush Data'!$A$1:$Z$20000,MATCH(L520,'Semrush Data'!$A$1:$A$20000,0),MATCH("Volume",'Semrush Data'!$A$1:$Z$1,0)),""))</f>
        <v>20</v>
      </c>
      <c r="R520" s="24" t="str">
        <f aca="false">IF(M520="","",IFERROR(INDEX('Semrush Data'!$A$1:$Z$20000,MATCH(M520,'Semrush Data'!$A$1:$A$20000,0),MATCH("Volume",'Semrush Data'!$A$1:$Z$1,0)),""))</f>
        <v/>
      </c>
      <c r="S520" s="24" t="str">
        <f aca="false">IF(N520="","",IFERROR(INDEX('Semrush Data'!$A$1:$Z$20000,MATCH(N520,'Semrush Data'!$A$1:$A$20000,0),MATCH("Volume",'Semrush Data'!$A$1:$Z$1,0)),""))</f>
        <v/>
      </c>
      <c r="T520" s="24" t="str">
        <f aca="false">IF(O520="","",IFERROR(INDEX('Semrush Data'!$A$1:$Z$20000,MATCH(O520,'Semrush Data'!$A$1:$A$20000,0),MATCH("Volume",'Semrush Data'!$A$1:$Z$1,0)),""))</f>
        <v/>
      </c>
      <c r="U520" s="24" t="str">
        <f aca="false">IF(P520="","",IFERROR(INDEX('Semrush Data'!$A$1:$Z$20000,MATCH(P520,'Semrush Data'!$A$1:$A$20000,0),MATCH("Volume",'Semrush Data'!$A$1:$Z$1,0)),""))</f>
        <v/>
      </c>
      <c r="V520" s="25" t="str">
        <f aca="false">IF(COUNT(Q520:U520)=0,L520,IF(MAX(Q520:U520)=0,L520,INDEX(L520:P520,MATCH(MAX(Q520:U520),Q520:U520,0))))</f>
        <v>tiziana terenzi dubhe assoluto</v>
      </c>
      <c r="W520" s="24" t="n">
        <f aca="false">IFERROR(INDEX('Semrush Data'!$A$1:$Z$20000,MATCH(V520,'Semrush Data'!$A$1:$A$20000,0),MATCH("Volume",'Semrush Data'!$A$1:$Z$1,0)),"")</f>
        <v>20</v>
      </c>
      <c r="X520" s="24" t="n">
        <f aca="false">IFERROR(INDEX('Semrush Data'!$A$1:$Z$20000,MATCH(V520,'Semrush Data'!$A$1:$A$20000,0),MATCH("Keyword Difficulty*",'Semrush Data'!$A$1:$Z$1,0)),"")</f>
        <v>9</v>
      </c>
      <c r="Y520" s="26" t="n">
        <f aca="false">IFERROR(INDEX('Semrush Data'!$A$1:$Z$20000,MATCH(V520,'Semrush Data'!$A$1:$A$20000,0),MATCH("CPC*",'Semrush Data'!$A$1:$Z$1,0)),"")</f>
        <v>0</v>
      </c>
      <c r="Z520" s="23" t="s">
        <v>6137</v>
      </c>
      <c r="AA520" s="23" t="s">
        <v>6205</v>
      </c>
      <c r="AB520" s="23" t="s">
        <v>6206</v>
      </c>
      <c r="AC520" s="23" t="s">
        <v>6207</v>
      </c>
      <c r="AD520" s="27" t="n">
        <f aca="false">LEN(AC520)</f>
        <v>59</v>
      </c>
      <c r="AE520" s="23" t="s">
        <v>6208</v>
      </c>
      <c r="AF520" s="27" t="n">
        <f aca="false">LEN(AE520)</f>
        <v>157</v>
      </c>
    </row>
    <row r="521" customFormat="false" ht="15" hidden="false" customHeight="true" outlineLevel="0" collapsed="false">
      <c r="A521" s="23" t="s">
        <v>6209</v>
      </c>
      <c r="B521" s="23" t="s">
        <v>2449</v>
      </c>
      <c r="C521" s="23" t="n">
        <v>361</v>
      </c>
      <c r="D521" s="23" t="s">
        <v>6130</v>
      </c>
      <c r="E521" s="23"/>
      <c r="F521" s="23" t="s">
        <v>2452</v>
      </c>
      <c r="G521" s="23" t="s">
        <v>2735</v>
      </c>
      <c r="H521" s="23" t="s">
        <v>2538</v>
      </c>
      <c r="I521" s="23" t="s">
        <v>6210</v>
      </c>
      <c r="J521" s="23" t="s">
        <v>1994</v>
      </c>
      <c r="K521" s="23" t="n">
        <v>95.99</v>
      </c>
      <c r="L521" s="23" t="s">
        <v>6211</v>
      </c>
      <c r="M521" s="23" t="s">
        <v>6212</v>
      </c>
      <c r="N521" s="23" t="s">
        <v>6213</v>
      </c>
      <c r="O521" s="23" t="s">
        <v>6214</v>
      </c>
      <c r="P521" s="23" t="s">
        <v>6215</v>
      </c>
      <c r="Q521" s="24" t="n">
        <f aca="false">IF(L521="","",IFERROR(INDEX('Semrush Data'!$A$1:$Z$20000,MATCH(L521,'Semrush Data'!$A$1:$A$20000,0),MATCH("Volume",'Semrush Data'!$A$1:$Z$1,0)),""))</f>
        <v>10</v>
      </c>
      <c r="R521" s="24" t="str">
        <f aca="false">IF(M521="","",IFERROR(INDEX('Semrush Data'!$A$1:$Z$20000,MATCH(M521,'Semrush Data'!$A$1:$A$20000,0),MATCH("Volume",'Semrush Data'!$A$1:$Z$1,0)),""))</f>
        <v/>
      </c>
      <c r="S521" s="24" t="str">
        <f aca="false">IF(N521="","",IFERROR(INDEX('Semrush Data'!$A$1:$Z$20000,MATCH(N521,'Semrush Data'!$A$1:$A$20000,0),MATCH("Volume",'Semrush Data'!$A$1:$Z$1,0)),""))</f>
        <v/>
      </c>
      <c r="T521" s="24" t="str">
        <f aca="false">IF(O521="","",IFERROR(INDEX('Semrush Data'!$A$1:$Z$20000,MATCH(O521,'Semrush Data'!$A$1:$A$20000,0),MATCH("Volume",'Semrush Data'!$A$1:$Z$1,0)),""))</f>
        <v/>
      </c>
      <c r="U521" s="24" t="str">
        <f aca="false">IF(P521="","",IFERROR(INDEX('Semrush Data'!$A$1:$Z$20000,MATCH(P521,'Semrush Data'!$A$1:$A$20000,0),MATCH("Volume",'Semrush Data'!$A$1:$Z$1,0)),""))</f>
        <v/>
      </c>
      <c r="V521" s="25" t="str">
        <f aca="false">IF(COUNT(Q521:U521)=0,L521,IF(MAX(Q521:U521)=0,L521,INDEX(L521:P521,MATCH(MAX(Q521:U521),Q521:U521,0))))</f>
        <v>tiziana terenzi ecstasy</v>
      </c>
      <c r="W521" s="24" t="n">
        <f aca="false">IFERROR(INDEX('Semrush Data'!$A$1:$Z$20000,MATCH(V521,'Semrush Data'!$A$1:$A$20000,0),MATCH("Volume",'Semrush Data'!$A$1:$Z$1,0)),"")</f>
        <v>10</v>
      </c>
      <c r="X521" s="24" t="n">
        <f aca="false">IFERROR(INDEX('Semrush Data'!$A$1:$Z$20000,MATCH(V521,'Semrush Data'!$A$1:$A$20000,0),MATCH("Keyword Difficulty*",'Semrush Data'!$A$1:$Z$1,0)),"")</f>
        <v>12</v>
      </c>
      <c r="Y521" s="26" t="n">
        <f aca="false">IFERROR(INDEX('Semrush Data'!$A$1:$Z$20000,MATCH(V521,'Semrush Data'!$A$1:$A$20000,0),MATCH("CPC*",'Semrush Data'!$A$1:$Z$1,0)),"")</f>
        <v>0</v>
      </c>
      <c r="Z521" s="23" t="s">
        <v>6137</v>
      </c>
      <c r="AA521" s="23" t="s">
        <v>6216</v>
      </c>
      <c r="AB521" s="23" t="s">
        <v>6217</v>
      </c>
      <c r="AC521" s="23" t="s">
        <v>6218</v>
      </c>
      <c r="AD521" s="27" t="n">
        <f aca="false">LEN(AC521)</f>
        <v>52</v>
      </c>
      <c r="AE521" s="23" t="s">
        <v>6219</v>
      </c>
      <c r="AF521" s="27" t="n">
        <f aca="false">LEN(AE521)</f>
        <v>150</v>
      </c>
    </row>
    <row r="522" customFormat="false" ht="15" hidden="false" customHeight="true" outlineLevel="0" collapsed="false">
      <c r="A522" s="23" t="s">
        <v>6220</v>
      </c>
      <c r="B522" s="23" t="s">
        <v>2449</v>
      </c>
      <c r="C522" s="23" t="n">
        <v>362</v>
      </c>
      <c r="D522" s="23" t="s">
        <v>6130</v>
      </c>
      <c r="E522" s="23"/>
      <c r="F522" s="23" t="s">
        <v>2452</v>
      </c>
      <c r="G522" s="23" t="s">
        <v>2735</v>
      </c>
      <c r="H522" s="23" t="s">
        <v>3919</v>
      </c>
      <c r="I522" s="23" t="s">
        <v>6221</v>
      </c>
      <c r="J522" s="23" t="s">
        <v>1994</v>
      </c>
      <c r="K522" s="23" t="n">
        <v>84.99</v>
      </c>
      <c r="L522" s="23" t="s">
        <v>6222</v>
      </c>
      <c r="M522" s="23" t="s">
        <v>6223</v>
      </c>
      <c r="N522" s="23" t="s">
        <v>6224</v>
      </c>
      <c r="O522" s="23" t="s">
        <v>6225</v>
      </c>
      <c r="P522" s="23" t="s">
        <v>6226</v>
      </c>
      <c r="Q522" s="24" t="n">
        <f aca="false">IF(L522="","",IFERROR(INDEX('Semrush Data'!$A$1:$Z$20000,MATCH(L522,'Semrush Data'!$A$1:$A$20000,0),MATCH("Volume",'Semrush Data'!$A$1:$Z$1,0)),""))</f>
        <v>90</v>
      </c>
      <c r="R522" s="24" t="n">
        <f aca="false">IF(M522="","",IFERROR(INDEX('Semrush Data'!$A$1:$Z$20000,MATCH(M522,'Semrush Data'!$A$1:$A$20000,0),MATCH("Volume",'Semrush Data'!$A$1:$Z$1,0)),""))</f>
        <v>0</v>
      </c>
      <c r="S522" s="24" t="str">
        <f aca="false">IF(N522="","",IFERROR(INDEX('Semrush Data'!$A$1:$Z$20000,MATCH(N522,'Semrush Data'!$A$1:$A$20000,0),MATCH("Volume",'Semrush Data'!$A$1:$Z$1,0)),""))</f>
        <v/>
      </c>
      <c r="T522" s="24" t="str">
        <f aca="false">IF(O522="","",IFERROR(INDEX('Semrush Data'!$A$1:$Z$20000,MATCH(O522,'Semrush Data'!$A$1:$A$20000,0),MATCH("Volume",'Semrush Data'!$A$1:$Z$1,0)),""))</f>
        <v/>
      </c>
      <c r="U522" s="24" t="n">
        <f aca="false">IF(P522="","",IFERROR(INDEX('Semrush Data'!$A$1:$Z$20000,MATCH(P522,'Semrush Data'!$A$1:$A$20000,0),MATCH("Volume",'Semrush Data'!$A$1:$Z$1,0)),""))</f>
        <v>20</v>
      </c>
      <c r="V522" s="25" t="str">
        <f aca="false">IF(COUNT(Q522:U522)=0,L522,IF(MAX(Q522:U522)=0,L522,INDEX(L522:P522,MATCH(MAX(Q522:U522),Q522:U522,0))))</f>
        <v>tiziana terenzi gold rose oudh</v>
      </c>
      <c r="W522" s="24" t="n">
        <f aca="false">IFERROR(INDEX('Semrush Data'!$A$1:$Z$20000,MATCH(V522,'Semrush Data'!$A$1:$A$20000,0),MATCH("Volume",'Semrush Data'!$A$1:$Z$1,0)),"")</f>
        <v>90</v>
      </c>
      <c r="X522" s="24" t="n">
        <f aca="false">IFERROR(INDEX('Semrush Data'!$A$1:$Z$20000,MATCH(V522,'Semrush Data'!$A$1:$A$20000,0),MATCH("Keyword Difficulty*",'Semrush Data'!$A$1:$Z$1,0)),"")</f>
        <v>15</v>
      </c>
      <c r="Y522" s="26" t="n">
        <f aca="false">IFERROR(INDEX('Semrush Data'!$A$1:$Z$20000,MATCH(V522,'Semrush Data'!$A$1:$A$20000,0),MATCH("CPC*",'Semrush Data'!$A$1:$Z$1,0)),"")</f>
        <v>0.61</v>
      </c>
      <c r="Z522" s="23" t="s">
        <v>6176</v>
      </c>
      <c r="AA522" s="23" t="s">
        <v>6227</v>
      </c>
      <c r="AB522" s="23" t="s">
        <v>6228</v>
      </c>
      <c r="AC522" s="23" t="s">
        <v>6229</v>
      </c>
      <c r="AD522" s="27" t="n">
        <f aca="false">LEN(AC522)</f>
        <v>59</v>
      </c>
      <c r="AE522" s="23" t="s">
        <v>6230</v>
      </c>
      <c r="AF522" s="27" t="n">
        <f aca="false">LEN(AE522)</f>
        <v>155</v>
      </c>
    </row>
    <row r="523" customFormat="false" ht="15" hidden="false" customHeight="true" outlineLevel="0" collapsed="false">
      <c r="A523" s="23" t="s">
        <v>6231</v>
      </c>
      <c r="B523" s="23" t="s">
        <v>2449</v>
      </c>
      <c r="C523" s="23" t="n">
        <v>363</v>
      </c>
      <c r="D523" s="23" t="s">
        <v>6130</v>
      </c>
      <c r="E523" s="23"/>
      <c r="F523" s="23" t="s">
        <v>2452</v>
      </c>
      <c r="G523" s="23" t="s">
        <v>2735</v>
      </c>
      <c r="H523" s="23" t="s">
        <v>2538</v>
      </c>
      <c r="I523" s="23" t="s">
        <v>6232</v>
      </c>
      <c r="J523" s="23" t="s">
        <v>1994</v>
      </c>
      <c r="K523" s="23" t="n">
        <v>159.99</v>
      </c>
      <c r="L523" s="23" t="s">
        <v>6233</v>
      </c>
      <c r="M523" s="23" t="s">
        <v>6234</v>
      </c>
      <c r="N523" s="23" t="s">
        <v>6235</v>
      </c>
      <c r="O523" s="23" t="s">
        <v>6236</v>
      </c>
      <c r="P523" s="23" t="s">
        <v>6237</v>
      </c>
      <c r="Q523" s="24" t="n">
        <f aca="false">IF(L523="","",IFERROR(INDEX('Semrush Data'!$A$1:$Z$20000,MATCH(L523,'Semrush Data'!$A$1:$A$20000,0),MATCH("Volume",'Semrush Data'!$A$1:$Z$1,0)),""))</f>
        <v>20</v>
      </c>
      <c r="R523" s="24" t="str">
        <f aca="false">IF(M523="","",IFERROR(INDEX('Semrush Data'!$A$1:$Z$20000,MATCH(M523,'Semrush Data'!$A$1:$A$20000,0),MATCH("Volume",'Semrush Data'!$A$1:$Z$1,0)),""))</f>
        <v/>
      </c>
      <c r="S523" s="24" t="str">
        <f aca="false">IF(N523="","",IFERROR(INDEX('Semrush Data'!$A$1:$Z$20000,MATCH(N523,'Semrush Data'!$A$1:$A$20000,0),MATCH("Volume",'Semrush Data'!$A$1:$Z$1,0)),""))</f>
        <v/>
      </c>
      <c r="T523" s="24" t="str">
        <f aca="false">IF(O523="","",IFERROR(INDEX('Semrush Data'!$A$1:$Z$20000,MATCH(O523,'Semrush Data'!$A$1:$A$20000,0),MATCH("Volume",'Semrush Data'!$A$1:$Z$1,0)),""))</f>
        <v/>
      </c>
      <c r="U523" s="24" t="str">
        <f aca="false">IF(P523="","",IFERROR(INDEX('Semrush Data'!$A$1:$Z$20000,MATCH(P523,'Semrush Data'!$A$1:$A$20000,0),MATCH("Volume",'Semrush Data'!$A$1:$Z$1,0)),""))</f>
        <v/>
      </c>
      <c r="V523" s="25" t="str">
        <f aca="false">IF(COUNT(Q523:U523)=0,L523,IF(MAX(Q523:U523)=0,L523,INDEX(L523:P523,MATCH(MAX(Q523:U523),Q523:U523,0))))</f>
        <v>tiziana terenzi gumin</v>
      </c>
      <c r="W523" s="24" t="n">
        <f aca="false">IFERROR(INDEX('Semrush Data'!$A$1:$Z$20000,MATCH(V523,'Semrush Data'!$A$1:$A$20000,0),MATCH("Volume",'Semrush Data'!$A$1:$Z$1,0)),"")</f>
        <v>20</v>
      </c>
      <c r="X523" s="24" t="n">
        <f aca="false">IFERROR(INDEX('Semrush Data'!$A$1:$Z$20000,MATCH(V523,'Semrush Data'!$A$1:$A$20000,0),MATCH("Keyword Difficulty*",'Semrush Data'!$A$1:$Z$1,0)),"")</f>
        <v>12</v>
      </c>
      <c r="Y523" s="26" t="n">
        <f aca="false">IFERROR(INDEX('Semrush Data'!$A$1:$Z$20000,MATCH(V523,'Semrush Data'!$A$1:$A$20000,0),MATCH("CPC*",'Semrush Data'!$A$1:$Z$1,0)),"")</f>
        <v>0</v>
      </c>
      <c r="Z523" s="23" t="s">
        <v>6137</v>
      </c>
      <c r="AA523" s="23" t="s">
        <v>6238</v>
      </c>
      <c r="AB523" s="23" t="s">
        <v>6239</v>
      </c>
      <c r="AC523" s="23" t="s">
        <v>6240</v>
      </c>
      <c r="AD523" s="27" t="n">
        <f aca="false">LEN(AC523)</f>
        <v>50</v>
      </c>
      <c r="AE523" s="23" t="s">
        <v>6241</v>
      </c>
      <c r="AF523" s="27" t="n">
        <f aca="false">LEN(AE523)</f>
        <v>148</v>
      </c>
    </row>
    <row r="524" customFormat="false" ht="15" hidden="false" customHeight="true" outlineLevel="0" collapsed="false">
      <c r="A524" s="23" t="s">
        <v>6242</v>
      </c>
      <c r="B524" s="23" t="s">
        <v>2449</v>
      </c>
      <c r="C524" s="23" t="n">
        <v>364</v>
      </c>
      <c r="D524" s="23" t="s">
        <v>6130</v>
      </c>
      <c r="E524" s="23"/>
      <c r="F524" s="23" t="s">
        <v>2452</v>
      </c>
      <c r="G524" s="23" t="s">
        <v>2735</v>
      </c>
      <c r="H524" s="23" t="s">
        <v>2538</v>
      </c>
      <c r="I524" s="23" t="s">
        <v>6243</v>
      </c>
      <c r="J524" s="23" t="s">
        <v>1994</v>
      </c>
      <c r="K524" s="23" t="n">
        <v>144.99</v>
      </c>
      <c r="L524" s="23" t="s">
        <v>6244</v>
      </c>
      <c r="M524" s="23" t="s">
        <v>6245</v>
      </c>
      <c r="N524" s="23" t="s">
        <v>6246</v>
      </c>
      <c r="O524" s="23" t="s">
        <v>6247</v>
      </c>
      <c r="P524" s="23" t="s">
        <v>6248</v>
      </c>
      <c r="Q524" s="24" t="n">
        <f aca="false">IF(L524="","",IFERROR(INDEX('Semrush Data'!$A$1:$Z$20000,MATCH(L524,'Semrush Data'!$A$1:$A$20000,0),MATCH("Volume",'Semrush Data'!$A$1:$Z$1,0)),""))</f>
        <v>20</v>
      </c>
      <c r="R524" s="24" t="str">
        <f aca="false">IF(M524="","",IFERROR(INDEX('Semrush Data'!$A$1:$Z$20000,MATCH(M524,'Semrush Data'!$A$1:$A$20000,0),MATCH("Volume",'Semrush Data'!$A$1:$Z$1,0)),""))</f>
        <v/>
      </c>
      <c r="S524" s="24" t="str">
        <f aca="false">IF(N524="","",IFERROR(INDEX('Semrush Data'!$A$1:$Z$20000,MATCH(N524,'Semrush Data'!$A$1:$A$20000,0),MATCH("Volume",'Semrush Data'!$A$1:$Z$1,0)),""))</f>
        <v/>
      </c>
      <c r="T524" s="24" t="str">
        <f aca="false">IF(O524="","",IFERROR(INDEX('Semrush Data'!$A$1:$Z$20000,MATCH(O524,'Semrush Data'!$A$1:$A$20000,0),MATCH("Volume",'Semrush Data'!$A$1:$Z$1,0)),""))</f>
        <v/>
      </c>
      <c r="U524" s="24" t="str">
        <f aca="false">IF(P524="","",IFERROR(INDEX('Semrush Data'!$A$1:$Z$20000,MATCH(P524,'Semrush Data'!$A$1:$A$20000,0),MATCH("Volume",'Semrush Data'!$A$1:$Z$1,0)),""))</f>
        <v/>
      </c>
      <c r="V524" s="25" t="str">
        <f aca="false">IF(COUNT(Q524:U524)=0,L524,IF(MAX(Q524:U524)=0,L524,INDEX(L524:P524,MATCH(MAX(Q524:U524),Q524:U524,0))))</f>
        <v>tiziana terenzi kaff</v>
      </c>
      <c r="W524" s="24" t="n">
        <f aca="false">IFERROR(INDEX('Semrush Data'!$A$1:$Z$20000,MATCH(V524,'Semrush Data'!$A$1:$A$20000,0),MATCH("Volume",'Semrush Data'!$A$1:$Z$1,0)),"")</f>
        <v>20</v>
      </c>
      <c r="X524" s="24" t="n">
        <f aca="false">IFERROR(INDEX('Semrush Data'!$A$1:$Z$20000,MATCH(V524,'Semrush Data'!$A$1:$A$20000,0),MATCH("Keyword Difficulty*",'Semrush Data'!$A$1:$Z$1,0)),"")</f>
        <v>10</v>
      </c>
      <c r="Y524" s="26" t="n">
        <f aca="false">IFERROR(INDEX('Semrush Data'!$A$1:$Z$20000,MATCH(V524,'Semrush Data'!$A$1:$A$20000,0),MATCH("CPC*",'Semrush Data'!$A$1:$Z$1,0)),"")</f>
        <v>0</v>
      </c>
      <c r="Z524" s="23" t="s">
        <v>6137</v>
      </c>
      <c r="AA524" s="23" t="s">
        <v>6249</v>
      </c>
      <c r="AB524" s="23" t="s">
        <v>6250</v>
      </c>
      <c r="AC524" s="23" t="s">
        <v>6251</v>
      </c>
      <c r="AD524" s="27" t="n">
        <f aca="false">LEN(AC524)</f>
        <v>55</v>
      </c>
      <c r="AE524" s="23" t="s">
        <v>6252</v>
      </c>
      <c r="AF524" s="27" t="n">
        <f aca="false">LEN(AE524)</f>
        <v>147</v>
      </c>
    </row>
    <row r="525" customFormat="false" ht="15" hidden="false" customHeight="true" outlineLevel="0" collapsed="false">
      <c r="A525" s="23" t="s">
        <v>105</v>
      </c>
      <c r="B525" s="23" t="s">
        <v>2449</v>
      </c>
      <c r="C525" s="23" t="n">
        <v>365</v>
      </c>
      <c r="D525" s="23" t="s">
        <v>6130</v>
      </c>
      <c r="E525" s="23"/>
      <c r="F525" s="23" t="s">
        <v>2452</v>
      </c>
      <c r="G525" s="23" t="s">
        <v>2735</v>
      </c>
      <c r="H525" s="23" t="s">
        <v>4225</v>
      </c>
      <c r="I525" s="23" t="s">
        <v>106</v>
      </c>
      <c r="J525" s="23" t="s">
        <v>1994</v>
      </c>
      <c r="K525" s="23" t="n">
        <v>82.99</v>
      </c>
      <c r="L525" s="23" t="s">
        <v>6253</v>
      </c>
      <c r="M525" s="23" t="s">
        <v>6254</v>
      </c>
      <c r="N525" s="23" t="s">
        <v>6255</v>
      </c>
      <c r="O525" s="23" t="s">
        <v>6256</v>
      </c>
      <c r="P525" s="23" t="s">
        <v>6257</v>
      </c>
      <c r="Q525" s="24" t="n">
        <f aca="false">IF(L525="","",IFERROR(INDEX('Semrush Data'!$A$1:$Z$20000,MATCH(L525,'Semrush Data'!$A$1:$A$20000,0),MATCH("Volume",'Semrush Data'!$A$1:$Z$1,0)),""))</f>
        <v>720</v>
      </c>
      <c r="R525" s="24" t="n">
        <f aca="false">IF(M525="","",IFERROR(INDEX('Semrush Data'!$A$1:$Z$20000,MATCH(M525,'Semrush Data'!$A$1:$A$20000,0),MATCH("Volume",'Semrush Data'!$A$1:$Z$1,0)),""))</f>
        <v>20</v>
      </c>
      <c r="S525" s="24" t="str">
        <f aca="false">IF(N525="","",IFERROR(INDEX('Semrush Data'!$A$1:$Z$20000,MATCH(N525,'Semrush Data'!$A$1:$A$20000,0),MATCH("Volume",'Semrush Data'!$A$1:$Z$1,0)),""))</f>
        <v/>
      </c>
      <c r="T525" s="24" t="str">
        <f aca="false">IF(O525="","",IFERROR(INDEX('Semrush Data'!$A$1:$Z$20000,MATCH(O525,'Semrush Data'!$A$1:$A$20000,0),MATCH("Volume",'Semrush Data'!$A$1:$Z$1,0)),""))</f>
        <v/>
      </c>
      <c r="U525" s="24" t="n">
        <f aca="false">IF(P525="","",IFERROR(INDEX('Semrush Data'!$A$1:$Z$20000,MATCH(P525,'Semrush Data'!$A$1:$A$20000,0),MATCH("Volume",'Semrush Data'!$A$1:$Z$1,0)),""))</f>
        <v>20</v>
      </c>
      <c r="V525" s="25" t="str">
        <f aca="false">IF(COUNT(Q525:U525)=0,L525,IF(MAX(Q525:U525)=0,L525,INDEX(L525:P525,MATCH(MAX(Q525:U525),Q525:U525,0))))</f>
        <v>tiziana terenzi kirke</v>
      </c>
      <c r="W525" s="24" t="n">
        <f aca="false">IFERROR(INDEX('Semrush Data'!$A$1:$Z$20000,MATCH(V525,'Semrush Data'!$A$1:$A$20000,0),MATCH("Volume",'Semrush Data'!$A$1:$Z$1,0)),"")</f>
        <v>720</v>
      </c>
      <c r="X525" s="24" t="n">
        <f aca="false">IFERROR(INDEX('Semrush Data'!$A$1:$Z$20000,MATCH(V525,'Semrush Data'!$A$1:$A$20000,0),MATCH("Keyword Difficulty*",'Semrush Data'!$A$1:$Z$1,0)),"")</f>
        <v>19</v>
      </c>
      <c r="Y525" s="26" t="n">
        <f aca="false">IFERROR(INDEX('Semrush Data'!$A$1:$Z$20000,MATCH(V525,'Semrush Data'!$A$1:$A$20000,0),MATCH("CPC*",'Semrush Data'!$A$1:$Z$1,0)),"")</f>
        <v>0.52</v>
      </c>
      <c r="Z525" s="23" t="s">
        <v>6258</v>
      </c>
      <c r="AA525" s="23" t="s">
        <v>6259</v>
      </c>
      <c r="AB525" s="23" t="s">
        <v>6260</v>
      </c>
      <c r="AC525" s="23" t="s">
        <v>6261</v>
      </c>
      <c r="AD525" s="27" t="n">
        <f aca="false">LEN(AC525)</f>
        <v>50</v>
      </c>
      <c r="AE525" s="23" t="s">
        <v>6262</v>
      </c>
      <c r="AF525" s="27" t="n">
        <f aca="false">LEN(AE525)</f>
        <v>148</v>
      </c>
    </row>
    <row r="526" customFormat="false" ht="15" hidden="false" customHeight="true" outlineLevel="0" collapsed="false">
      <c r="A526" s="23" t="s">
        <v>6263</v>
      </c>
      <c r="B526" s="23" t="s">
        <v>2449</v>
      </c>
      <c r="C526" s="23" t="n">
        <v>366</v>
      </c>
      <c r="D526" s="23" t="s">
        <v>6130</v>
      </c>
      <c r="E526" s="23"/>
      <c r="F526" s="23" t="s">
        <v>2452</v>
      </c>
      <c r="G526" s="23" t="s">
        <v>2735</v>
      </c>
      <c r="H526" s="23" t="s">
        <v>2538</v>
      </c>
      <c r="I526" s="23" t="s">
        <v>6264</v>
      </c>
      <c r="J526" s="23" t="s">
        <v>1994</v>
      </c>
      <c r="K526" s="23" t="n">
        <v>109.99</v>
      </c>
      <c r="L526" s="23" t="s">
        <v>6265</v>
      </c>
      <c r="M526" s="23" t="s">
        <v>6266</v>
      </c>
      <c r="N526" s="23" t="s">
        <v>6267</v>
      </c>
      <c r="O526" s="23" t="s">
        <v>6268</v>
      </c>
      <c r="P526" s="23" t="s">
        <v>6269</v>
      </c>
      <c r="Q526" s="24" t="n">
        <f aca="false">IF(L526="","",IFERROR(INDEX('Semrush Data'!$A$1:$Z$20000,MATCH(L526,'Semrush Data'!$A$1:$A$20000,0),MATCH("Volume",'Semrush Data'!$A$1:$Z$1,0)),""))</f>
        <v>20</v>
      </c>
      <c r="R526" s="24" t="str">
        <f aca="false">IF(M526="","",IFERROR(INDEX('Semrush Data'!$A$1:$Z$20000,MATCH(M526,'Semrush Data'!$A$1:$A$20000,0),MATCH("Volume",'Semrush Data'!$A$1:$Z$1,0)),""))</f>
        <v/>
      </c>
      <c r="S526" s="24" t="str">
        <f aca="false">IF(N526="","",IFERROR(INDEX('Semrush Data'!$A$1:$Z$20000,MATCH(N526,'Semrush Data'!$A$1:$A$20000,0),MATCH("Volume",'Semrush Data'!$A$1:$Z$1,0)),""))</f>
        <v/>
      </c>
      <c r="T526" s="24" t="str">
        <f aca="false">IF(O526="","",IFERROR(INDEX('Semrush Data'!$A$1:$Z$20000,MATCH(O526,'Semrush Data'!$A$1:$A$20000,0),MATCH("Volume",'Semrush Data'!$A$1:$Z$1,0)),""))</f>
        <v/>
      </c>
      <c r="U526" s="24" t="str">
        <f aca="false">IF(P526="","",IFERROR(INDEX('Semrush Data'!$A$1:$Z$20000,MATCH(P526,'Semrush Data'!$A$1:$A$20000,0),MATCH("Volume",'Semrush Data'!$A$1:$Z$1,0)),""))</f>
        <v/>
      </c>
      <c r="V526" s="25" t="str">
        <f aca="false">IF(COUNT(Q526:U526)=0,L526,IF(MAX(Q526:U526)=0,L526,INDEX(L526:P526,MATCH(MAX(Q526:U526),Q526:U526,0))))</f>
        <v>tiziana terenzi leo</v>
      </c>
      <c r="W526" s="24" t="n">
        <f aca="false">IFERROR(INDEX('Semrush Data'!$A$1:$Z$20000,MATCH(V526,'Semrush Data'!$A$1:$A$20000,0),MATCH("Volume",'Semrush Data'!$A$1:$Z$1,0)),"")</f>
        <v>20</v>
      </c>
      <c r="X526" s="24" t="n">
        <f aca="false">IFERROR(INDEX('Semrush Data'!$A$1:$Z$20000,MATCH(V526,'Semrush Data'!$A$1:$A$20000,0),MATCH("Keyword Difficulty*",'Semrush Data'!$A$1:$Z$1,0)),"")</f>
        <v>12</v>
      </c>
      <c r="Y526" s="26" t="n">
        <f aca="false">IFERROR(INDEX('Semrush Data'!$A$1:$Z$20000,MATCH(V526,'Semrush Data'!$A$1:$A$20000,0),MATCH("CPC*",'Semrush Data'!$A$1:$Z$1,0)),"")</f>
        <v>0</v>
      </c>
      <c r="Z526" s="23" t="s">
        <v>6137</v>
      </c>
      <c r="AA526" s="23" t="s">
        <v>6270</v>
      </c>
      <c r="AB526" s="23" t="s">
        <v>6271</v>
      </c>
      <c r="AC526" s="23" t="s">
        <v>6272</v>
      </c>
      <c r="AD526" s="27" t="n">
        <f aca="false">LEN(AC526)</f>
        <v>54</v>
      </c>
      <c r="AE526" s="23" t="s">
        <v>6273</v>
      </c>
      <c r="AF526" s="27" t="n">
        <f aca="false">LEN(AE526)</f>
        <v>146</v>
      </c>
    </row>
    <row r="527" customFormat="false" ht="15" hidden="false" customHeight="true" outlineLevel="0" collapsed="false">
      <c r="A527" s="23" t="s">
        <v>6274</v>
      </c>
      <c r="B527" s="23" t="s">
        <v>2449</v>
      </c>
      <c r="C527" s="23" t="n">
        <v>367</v>
      </c>
      <c r="D527" s="23" t="s">
        <v>6130</v>
      </c>
      <c r="E527" s="23"/>
      <c r="F527" s="23" t="s">
        <v>2452</v>
      </c>
      <c r="G527" s="23" t="s">
        <v>2735</v>
      </c>
      <c r="H527" s="23" t="s">
        <v>2538</v>
      </c>
      <c r="I527" s="23" t="s">
        <v>6275</v>
      </c>
      <c r="J527" s="23" t="s">
        <v>1994</v>
      </c>
      <c r="K527" s="23" t="n">
        <v>99.99</v>
      </c>
      <c r="L527" s="23" t="s">
        <v>6276</v>
      </c>
      <c r="M527" s="23" t="s">
        <v>6277</v>
      </c>
      <c r="N527" s="23" t="s">
        <v>6278</v>
      </c>
      <c r="O527" s="23" t="s">
        <v>6279</v>
      </c>
      <c r="P527" s="23" t="s">
        <v>6280</v>
      </c>
      <c r="Q527" s="24" t="n">
        <f aca="false">IF(L527="","",IFERROR(INDEX('Semrush Data'!$A$1:$Z$20000,MATCH(L527,'Semrush Data'!$A$1:$A$20000,0),MATCH("Volume",'Semrush Data'!$A$1:$Z$1,0)),""))</f>
        <v>20</v>
      </c>
      <c r="R527" s="24" t="str">
        <f aca="false">IF(M527="","",IFERROR(INDEX('Semrush Data'!$A$1:$Z$20000,MATCH(M527,'Semrush Data'!$A$1:$A$20000,0),MATCH("Volume",'Semrush Data'!$A$1:$Z$1,0)),""))</f>
        <v/>
      </c>
      <c r="S527" s="24" t="str">
        <f aca="false">IF(N527="","",IFERROR(INDEX('Semrush Data'!$A$1:$Z$20000,MATCH(N527,'Semrush Data'!$A$1:$A$20000,0),MATCH("Volume",'Semrush Data'!$A$1:$Z$1,0)),""))</f>
        <v/>
      </c>
      <c r="T527" s="24" t="str">
        <f aca="false">IF(O527="","",IFERROR(INDEX('Semrush Data'!$A$1:$Z$20000,MATCH(O527,'Semrush Data'!$A$1:$A$20000,0),MATCH("Volume",'Semrush Data'!$A$1:$Z$1,0)),""))</f>
        <v/>
      </c>
      <c r="U527" s="24" t="str">
        <f aca="false">IF(P527="","",IFERROR(INDEX('Semrush Data'!$A$1:$Z$20000,MATCH(P527,'Semrush Data'!$A$1:$A$20000,0),MATCH("Volume",'Semrush Data'!$A$1:$Z$1,0)),""))</f>
        <v/>
      </c>
      <c r="V527" s="25" t="str">
        <f aca="false">IF(COUNT(Q527:U527)=0,L527,IF(MAX(Q527:U527)=0,L527,INDEX(L527:P527,MATCH(MAX(Q527:U527),Q527:U527,0))))</f>
        <v>tiziana terenzi moro di venezia</v>
      </c>
      <c r="W527" s="24" t="n">
        <f aca="false">IFERROR(INDEX('Semrush Data'!$A$1:$Z$20000,MATCH(V527,'Semrush Data'!$A$1:$A$20000,0),MATCH("Volume",'Semrush Data'!$A$1:$Z$1,0)),"")</f>
        <v>20</v>
      </c>
      <c r="X527" s="24" t="n">
        <f aca="false">IFERROR(INDEX('Semrush Data'!$A$1:$Z$20000,MATCH(V527,'Semrush Data'!$A$1:$A$20000,0),MATCH("Keyword Difficulty*",'Semrush Data'!$A$1:$Z$1,0)),"")</f>
        <v>7</v>
      </c>
      <c r="Y527" s="26" t="n">
        <f aca="false">IFERROR(INDEX('Semrush Data'!$A$1:$Z$20000,MATCH(V527,'Semrush Data'!$A$1:$A$20000,0),MATCH("CPC*",'Semrush Data'!$A$1:$Z$1,0)),"")</f>
        <v>0</v>
      </c>
      <c r="Z527" s="23" t="s">
        <v>6137</v>
      </c>
      <c r="AA527" s="23" t="s">
        <v>6281</v>
      </c>
      <c r="AB527" s="23" t="s">
        <v>6282</v>
      </c>
      <c r="AC527" s="23" t="s">
        <v>6283</v>
      </c>
      <c r="AD527" s="27" t="n">
        <f aca="false">LEN(AC527)</f>
        <v>60</v>
      </c>
      <c r="AE527" s="23" t="s">
        <v>6284</v>
      </c>
      <c r="AF527" s="27" t="n">
        <f aca="false">LEN(AE527)</f>
        <v>158</v>
      </c>
    </row>
    <row r="528" customFormat="false" ht="15" hidden="false" customHeight="true" outlineLevel="0" collapsed="false">
      <c r="A528" s="23" t="s">
        <v>6285</v>
      </c>
      <c r="B528" s="23" t="s">
        <v>2449</v>
      </c>
      <c r="C528" s="23" t="n">
        <v>368</v>
      </c>
      <c r="D528" s="23" t="s">
        <v>6130</v>
      </c>
      <c r="E528" s="23"/>
      <c r="F528" s="23" t="s">
        <v>2452</v>
      </c>
      <c r="G528" s="23" t="s">
        <v>2735</v>
      </c>
      <c r="H528" s="23" t="s">
        <v>2538</v>
      </c>
      <c r="I528" s="23" t="s">
        <v>6286</v>
      </c>
      <c r="J528" s="23" t="s">
        <v>1994</v>
      </c>
      <c r="K528" s="23" t="n">
        <v>109.99</v>
      </c>
      <c r="L528" s="23" t="s">
        <v>6287</v>
      </c>
      <c r="M528" s="23" t="s">
        <v>6288</v>
      </c>
      <c r="N528" s="23" t="s">
        <v>6289</v>
      </c>
      <c r="O528" s="23" t="s">
        <v>6290</v>
      </c>
      <c r="P528" s="23" t="s">
        <v>6291</v>
      </c>
      <c r="Q528" s="24" t="n">
        <f aca="false">IF(L528="","",IFERROR(INDEX('Semrush Data'!$A$1:$Z$20000,MATCH(L528,'Semrush Data'!$A$1:$A$20000,0),MATCH("Volume",'Semrush Data'!$A$1:$Z$1,0)),""))</f>
        <v>40</v>
      </c>
      <c r="R528" s="24" t="str">
        <f aca="false">IF(M528="","",IFERROR(INDEX('Semrush Data'!$A$1:$Z$20000,MATCH(M528,'Semrush Data'!$A$1:$A$20000,0),MATCH("Volume",'Semrush Data'!$A$1:$Z$1,0)),""))</f>
        <v/>
      </c>
      <c r="S528" s="24" t="str">
        <f aca="false">IF(N528="","",IFERROR(INDEX('Semrush Data'!$A$1:$Z$20000,MATCH(N528,'Semrush Data'!$A$1:$A$20000,0),MATCH("Volume",'Semrush Data'!$A$1:$Z$1,0)),""))</f>
        <v/>
      </c>
      <c r="T528" s="24" t="str">
        <f aca="false">IF(O528="","",IFERROR(INDEX('Semrush Data'!$A$1:$Z$20000,MATCH(O528,'Semrush Data'!$A$1:$A$20000,0),MATCH("Volume",'Semrush Data'!$A$1:$Z$1,0)),""))</f>
        <v/>
      </c>
      <c r="U528" s="24" t="str">
        <f aca="false">IF(P528="","",IFERROR(INDEX('Semrush Data'!$A$1:$Z$20000,MATCH(P528,'Semrush Data'!$A$1:$A$20000,0),MATCH("Volume",'Semrush Data'!$A$1:$Z$1,0)),""))</f>
        <v/>
      </c>
      <c r="V528" s="25" t="str">
        <f aca="false">IF(COUNT(Q528:U528)=0,L528,IF(MAX(Q528:U528)=0,L528,INDEX(L528:P528,MATCH(MAX(Q528:U528),Q528:U528,0))))</f>
        <v>tiziana terenzi orion</v>
      </c>
      <c r="W528" s="24" t="n">
        <f aca="false">IFERROR(INDEX('Semrush Data'!$A$1:$Z$20000,MATCH(V528,'Semrush Data'!$A$1:$A$20000,0),MATCH("Volume",'Semrush Data'!$A$1:$Z$1,0)),"")</f>
        <v>40</v>
      </c>
      <c r="X528" s="24" t="n">
        <f aca="false">IFERROR(INDEX('Semrush Data'!$A$1:$Z$20000,MATCH(V528,'Semrush Data'!$A$1:$A$20000,0),MATCH("Keyword Difficulty*",'Semrush Data'!$A$1:$Z$1,0)),"")</f>
        <v>16</v>
      </c>
      <c r="Y528" s="26" t="n">
        <f aca="false">IFERROR(INDEX('Semrush Data'!$A$1:$Z$20000,MATCH(V528,'Semrush Data'!$A$1:$A$20000,0),MATCH("CPC*",'Semrush Data'!$A$1:$Z$1,0)),"")</f>
        <v>0</v>
      </c>
      <c r="Z528" s="23" t="s">
        <v>6137</v>
      </c>
      <c r="AA528" s="23" t="s">
        <v>6292</v>
      </c>
      <c r="AB528" s="23" t="s">
        <v>6293</v>
      </c>
      <c r="AC528" s="23" t="s">
        <v>6294</v>
      </c>
      <c r="AD528" s="27" t="n">
        <f aca="false">LEN(AC528)</f>
        <v>50</v>
      </c>
      <c r="AE528" s="23" t="s">
        <v>6295</v>
      </c>
      <c r="AF528" s="27" t="n">
        <f aca="false">LEN(AE528)</f>
        <v>148</v>
      </c>
    </row>
    <row r="529" customFormat="false" ht="15" hidden="false" customHeight="true" outlineLevel="0" collapsed="false">
      <c r="A529" s="23" t="s">
        <v>6296</v>
      </c>
      <c r="B529" s="23" t="s">
        <v>2449</v>
      </c>
      <c r="C529" s="23" t="n">
        <v>369</v>
      </c>
      <c r="D529" s="23" t="s">
        <v>6130</v>
      </c>
      <c r="E529" s="23"/>
      <c r="F529" s="23" t="s">
        <v>2452</v>
      </c>
      <c r="G529" s="23" t="s">
        <v>2735</v>
      </c>
      <c r="H529" s="23" t="s">
        <v>2538</v>
      </c>
      <c r="I529" s="23" t="s">
        <v>6297</v>
      </c>
      <c r="J529" s="23" t="s">
        <v>1994</v>
      </c>
      <c r="K529" s="23" t="n">
        <v>164.99</v>
      </c>
      <c r="L529" s="23" t="s">
        <v>6298</v>
      </c>
      <c r="M529" s="23" t="s">
        <v>6299</v>
      </c>
      <c r="N529" s="23" t="s">
        <v>6300</v>
      </c>
      <c r="O529" s="23" t="s">
        <v>6301</v>
      </c>
      <c r="P529" s="23" t="s">
        <v>6302</v>
      </c>
      <c r="Q529" s="24" t="n">
        <f aca="false">IF(L529="","",IFERROR(INDEX('Semrush Data'!$A$1:$Z$20000,MATCH(L529,'Semrush Data'!$A$1:$A$20000,0),MATCH("Volume",'Semrush Data'!$A$1:$Z$1,0)),""))</f>
        <v>0</v>
      </c>
      <c r="R529" s="24" t="str">
        <f aca="false">IF(M529="","",IFERROR(INDEX('Semrush Data'!$A$1:$Z$20000,MATCH(M529,'Semrush Data'!$A$1:$A$20000,0),MATCH("Volume",'Semrush Data'!$A$1:$Z$1,0)),""))</f>
        <v/>
      </c>
      <c r="S529" s="24" t="str">
        <f aca="false">IF(N529="","",IFERROR(INDEX('Semrush Data'!$A$1:$Z$20000,MATCH(N529,'Semrush Data'!$A$1:$A$20000,0),MATCH("Volume",'Semrush Data'!$A$1:$Z$1,0)),""))</f>
        <v/>
      </c>
      <c r="T529" s="24" t="str">
        <f aca="false">IF(O529="","",IFERROR(INDEX('Semrush Data'!$A$1:$Z$20000,MATCH(O529,'Semrush Data'!$A$1:$A$20000,0),MATCH("Volume",'Semrush Data'!$A$1:$Z$1,0)),""))</f>
        <v/>
      </c>
      <c r="U529" s="24" t="str">
        <f aca="false">IF(P529="","",IFERROR(INDEX('Semrush Data'!$A$1:$Z$20000,MATCH(P529,'Semrush Data'!$A$1:$A$20000,0),MATCH("Volume",'Semrush Data'!$A$1:$Z$1,0)),""))</f>
        <v/>
      </c>
      <c r="V529" s="25" t="str">
        <f aca="false">IF(COUNT(Q529:U529)=0,L529,IF(MAX(Q529:U529)=0,L529,INDEX(L529:P529,MATCH(MAX(Q529:U529),Q529:U529,0))))</f>
        <v>tiziana terenzi orza linea tt</v>
      </c>
      <c r="W529" s="24" t="n">
        <f aca="false">IFERROR(INDEX('Semrush Data'!$A$1:$Z$20000,MATCH(V529,'Semrush Data'!$A$1:$A$20000,0),MATCH("Volume",'Semrush Data'!$A$1:$Z$1,0)),"")</f>
        <v>0</v>
      </c>
      <c r="X529" s="24" t="n">
        <f aca="false">IFERROR(INDEX('Semrush Data'!$A$1:$Z$20000,MATCH(V529,'Semrush Data'!$A$1:$A$20000,0),MATCH("Keyword Difficulty*",'Semrush Data'!$A$1:$Z$1,0)),"")</f>
        <v>22</v>
      </c>
      <c r="Y529" s="26" t="n">
        <f aca="false">IFERROR(INDEX('Semrush Data'!$A$1:$Z$20000,MATCH(V529,'Semrush Data'!$A$1:$A$20000,0),MATCH("CPC*",'Semrush Data'!$A$1:$Z$1,0)),"")</f>
        <v>0</v>
      </c>
      <c r="Z529" s="23" t="s">
        <v>6137</v>
      </c>
      <c r="AA529" s="23"/>
      <c r="AB529" s="23" t="s">
        <v>6303</v>
      </c>
      <c r="AC529" s="23" t="s">
        <v>6304</v>
      </c>
      <c r="AD529" s="27" t="n">
        <f aca="false">LEN(AC529)</f>
        <v>58</v>
      </c>
      <c r="AE529" s="23" t="s">
        <v>6305</v>
      </c>
      <c r="AF529" s="27" t="n">
        <f aca="false">LEN(AE529)</f>
        <v>156</v>
      </c>
    </row>
    <row r="530" customFormat="false" ht="15" hidden="false" customHeight="true" outlineLevel="0" collapsed="false">
      <c r="A530" s="23" t="s">
        <v>6306</v>
      </c>
      <c r="B530" s="23" t="s">
        <v>2449</v>
      </c>
      <c r="C530" s="23" t="n">
        <v>370</v>
      </c>
      <c r="D530" s="23" t="s">
        <v>6130</v>
      </c>
      <c r="E530" s="23"/>
      <c r="F530" s="23" t="s">
        <v>2452</v>
      </c>
      <c r="G530" s="23" t="s">
        <v>2735</v>
      </c>
      <c r="H530" s="23" t="s">
        <v>2538</v>
      </c>
      <c r="I530" s="23" t="s">
        <v>6307</v>
      </c>
      <c r="J530" s="23" t="s">
        <v>1994</v>
      </c>
      <c r="K530" s="23" t="n">
        <v>99.99</v>
      </c>
      <c r="L530" s="23" t="s">
        <v>6308</v>
      </c>
      <c r="M530" s="23" t="s">
        <v>6309</v>
      </c>
      <c r="N530" s="23" t="s">
        <v>6310</v>
      </c>
      <c r="O530" s="23" t="s">
        <v>6311</v>
      </c>
      <c r="P530" s="23" t="s">
        <v>6312</v>
      </c>
      <c r="Q530" s="24" t="n">
        <f aca="false">IF(L530="","",IFERROR(INDEX('Semrush Data'!$A$1:$Z$20000,MATCH(L530,'Semrush Data'!$A$1:$A$20000,0),MATCH("Volume",'Semrush Data'!$A$1:$Z$1,0)),""))</f>
        <v>20</v>
      </c>
      <c r="R530" s="24" t="str">
        <f aca="false">IF(M530="","",IFERROR(INDEX('Semrush Data'!$A$1:$Z$20000,MATCH(M530,'Semrush Data'!$A$1:$A$20000,0),MATCH("Volume",'Semrush Data'!$A$1:$Z$1,0)),""))</f>
        <v/>
      </c>
      <c r="S530" s="24" t="str">
        <f aca="false">IF(N530="","",IFERROR(INDEX('Semrush Data'!$A$1:$Z$20000,MATCH(N530,'Semrush Data'!$A$1:$A$20000,0),MATCH("Volume",'Semrush Data'!$A$1:$Z$1,0)),""))</f>
        <v/>
      </c>
      <c r="T530" s="24" t="str">
        <f aca="false">IF(O530="","",IFERROR(INDEX('Semrush Data'!$A$1:$Z$20000,MATCH(O530,'Semrush Data'!$A$1:$A$20000,0),MATCH("Volume",'Semrush Data'!$A$1:$Z$1,0)),""))</f>
        <v/>
      </c>
      <c r="U530" s="24" t="str">
        <f aca="false">IF(P530="","",IFERROR(INDEX('Semrush Data'!$A$1:$Z$20000,MATCH(P530,'Semrush Data'!$A$1:$A$20000,0),MATCH("Volume",'Semrush Data'!$A$1:$Z$1,0)),""))</f>
        <v/>
      </c>
      <c r="V530" s="25" t="str">
        <f aca="false">IF(COUNT(Q530:U530)=0,L530,IF(MAX(Q530:U530)=0,L530,INDEX(L530:P530,MATCH(MAX(Q530:U530),Q530:U530,0))))</f>
        <v>tiziana terenzi porpora</v>
      </c>
      <c r="W530" s="24" t="n">
        <f aca="false">IFERROR(INDEX('Semrush Data'!$A$1:$Z$20000,MATCH(V530,'Semrush Data'!$A$1:$A$20000,0),MATCH("Volume",'Semrush Data'!$A$1:$Z$1,0)),"")</f>
        <v>20</v>
      </c>
      <c r="X530" s="24" t="n">
        <f aca="false">IFERROR(INDEX('Semrush Data'!$A$1:$Z$20000,MATCH(V530,'Semrush Data'!$A$1:$A$20000,0),MATCH("Keyword Difficulty*",'Semrush Data'!$A$1:$Z$1,0)),"")</f>
        <v>19</v>
      </c>
      <c r="Y530" s="26" t="n">
        <f aca="false">IFERROR(INDEX('Semrush Data'!$A$1:$Z$20000,MATCH(V530,'Semrush Data'!$A$1:$A$20000,0),MATCH("CPC*",'Semrush Data'!$A$1:$Z$1,0)),"")</f>
        <v>0</v>
      </c>
      <c r="Z530" s="23" t="s">
        <v>6137</v>
      </c>
      <c r="AA530" s="23" t="s">
        <v>6313</v>
      </c>
      <c r="AB530" s="23" t="s">
        <v>6314</v>
      </c>
      <c r="AC530" s="23" t="s">
        <v>6315</v>
      </c>
      <c r="AD530" s="27" t="n">
        <f aca="false">LEN(AC530)</f>
        <v>52</v>
      </c>
      <c r="AE530" s="23" t="s">
        <v>6316</v>
      </c>
      <c r="AF530" s="27" t="n">
        <f aca="false">LEN(AE530)</f>
        <v>150</v>
      </c>
    </row>
    <row r="531" customFormat="false" ht="15" hidden="false" customHeight="true" outlineLevel="0" collapsed="false">
      <c r="A531" s="23" t="s">
        <v>6317</v>
      </c>
      <c r="B531" s="23" t="s">
        <v>2449</v>
      </c>
      <c r="C531" s="23" t="n">
        <v>371</v>
      </c>
      <c r="D531" s="23" t="s">
        <v>6130</v>
      </c>
      <c r="E531" s="23"/>
      <c r="F531" s="23" t="s">
        <v>2452</v>
      </c>
      <c r="G531" s="23" t="s">
        <v>2735</v>
      </c>
      <c r="H531" s="23" t="s">
        <v>2538</v>
      </c>
      <c r="I531" s="23" t="s">
        <v>6318</v>
      </c>
      <c r="J531" s="23" t="s">
        <v>1994</v>
      </c>
      <c r="K531" s="23" t="n">
        <v>134.99</v>
      </c>
      <c r="L531" s="23" t="s">
        <v>6319</v>
      </c>
      <c r="M531" s="23" t="s">
        <v>6320</v>
      </c>
      <c r="N531" s="23" t="s">
        <v>6321</v>
      </c>
      <c r="O531" s="23" t="s">
        <v>6322</v>
      </c>
      <c r="P531" s="23" t="s">
        <v>6323</v>
      </c>
      <c r="Q531" s="24" t="n">
        <f aca="false">IF(L531="","",IFERROR(INDEX('Semrush Data'!$A$1:$Z$20000,MATCH(L531,'Semrush Data'!$A$1:$A$20000,0),MATCH("Volume",'Semrush Data'!$A$1:$Z$1,0)),""))</f>
        <v>20</v>
      </c>
      <c r="R531" s="24" t="str">
        <f aca="false">IF(M531="","",IFERROR(INDEX('Semrush Data'!$A$1:$Z$20000,MATCH(M531,'Semrush Data'!$A$1:$A$20000,0),MATCH("Volume",'Semrush Data'!$A$1:$Z$1,0)),""))</f>
        <v/>
      </c>
      <c r="S531" s="24" t="str">
        <f aca="false">IF(N531="","",IFERROR(INDEX('Semrush Data'!$A$1:$Z$20000,MATCH(N531,'Semrush Data'!$A$1:$A$20000,0),MATCH("Volume",'Semrush Data'!$A$1:$Z$1,0)),""))</f>
        <v/>
      </c>
      <c r="T531" s="24" t="str">
        <f aca="false">IF(O531="","",IFERROR(INDEX('Semrush Data'!$A$1:$Z$20000,MATCH(O531,'Semrush Data'!$A$1:$A$20000,0),MATCH("Volume",'Semrush Data'!$A$1:$Z$1,0)),""))</f>
        <v/>
      </c>
      <c r="U531" s="24" t="str">
        <f aca="false">IF(P531="","",IFERROR(INDEX('Semrush Data'!$A$1:$Z$20000,MATCH(P531,'Semrush Data'!$A$1:$A$20000,0),MATCH("Volume",'Semrush Data'!$A$1:$Z$1,0)),""))</f>
        <v/>
      </c>
      <c r="V531" s="25" t="str">
        <f aca="false">IF(COUNT(Q531:U531)=0,L531,IF(MAX(Q531:U531)=0,L531,INDEX(L531:P531,MATCH(MAX(Q531:U531),Q531:U531,0))))</f>
        <v>tiziana terenzi saiph</v>
      </c>
      <c r="W531" s="24" t="n">
        <f aca="false">IFERROR(INDEX('Semrush Data'!$A$1:$Z$20000,MATCH(V531,'Semrush Data'!$A$1:$A$20000,0),MATCH("Volume",'Semrush Data'!$A$1:$Z$1,0)),"")</f>
        <v>20</v>
      </c>
      <c r="X531" s="24" t="n">
        <f aca="false">IFERROR(INDEX('Semrush Data'!$A$1:$Z$20000,MATCH(V531,'Semrush Data'!$A$1:$A$20000,0),MATCH("Keyword Difficulty*",'Semrush Data'!$A$1:$Z$1,0)),"")</f>
        <v>5</v>
      </c>
      <c r="Y531" s="26" t="n">
        <f aca="false">IFERROR(INDEX('Semrush Data'!$A$1:$Z$20000,MATCH(V531,'Semrush Data'!$A$1:$A$20000,0),MATCH("CPC*",'Semrush Data'!$A$1:$Z$1,0)),"")</f>
        <v>0</v>
      </c>
      <c r="Z531" s="23" t="s">
        <v>6137</v>
      </c>
      <c r="AA531" s="23" t="s">
        <v>6324</v>
      </c>
      <c r="AB531" s="23" t="s">
        <v>6325</v>
      </c>
      <c r="AC531" s="23" t="s">
        <v>6326</v>
      </c>
      <c r="AD531" s="27" t="n">
        <f aca="false">LEN(AC531)</f>
        <v>50</v>
      </c>
      <c r="AE531" s="23" t="s">
        <v>6327</v>
      </c>
      <c r="AF531" s="27" t="n">
        <f aca="false">LEN(AE531)</f>
        <v>148</v>
      </c>
    </row>
    <row r="532" customFormat="false" ht="15" hidden="false" customHeight="true" outlineLevel="0" collapsed="false">
      <c r="A532" s="23" t="s">
        <v>6328</v>
      </c>
      <c r="B532" s="23" t="s">
        <v>2449</v>
      </c>
      <c r="C532" s="23" t="n">
        <v>372</v>
      </c>
      <c r="D532" s="23" t="s">
        <v>6130</v>
      </c>
      <c r="E532" s="23"/>
      <c r="F532" s="23" t="s">
        <v>2452</v>
      </c>
      <c r="G532" s="23" t="s">
        <v>2735</v>
      </c>
      <c r="H532" s="23" t="s">
        <v>6329</v>
      </c>
      <c r="I532" s="23" t="s">
        <v>6330</v>
      </c>
      <c r="J532" s="23" t="s">
        <v>5272</v>
      </c>
      <c r="K532" s="23" t="n">
        <v>119.99</v>
      </c>
      <c r="L532" s="23" t="s">
        <v>6331</v>
      </c>
      <c r="M532" s="23" t="s">
        <v>6332</v>
      </c>
      <c r="N532" s="23" t="s">
        <v>6333</v>
      </c>
      <c r="O532" s="23" t="s">
        <v>6334</v>
      </c>
      <c r="P532" s="23" t="s">
        <v>6335</v>
      </c>
      <c r="Q532" s="24" t="n">
        <f aca="false">IF(L532="","",IFERROR(INDEX('Semrush Data'!$A$1:$Z$20000,MATCH(L532,'Semrush Data'!$A$1:$A$20000,0),MATCH("Volume",'Semrush Data'!$A$1:$Z$1,0)),""))</f>
        <v>0</v>
      </c>
      <c r="R532" s="24" t="str">
        <f aca="false">IF(M532="","",IFERROR(INDEX('Semrush Data'!$A$1:$Z$20000,MATCH(M532,'Semrush Data'!$A$1:$A$20000,0),MATCH("Volume",'Semrush Data'!$A$1:$Z$1,0)),""))</f>
        <v/>
      </c>
      <c r="S532" s="24" t="str">
        <f aca="false">IF(N532="","",IFERROR(INDEX('Semrush Data'!$A$1:$Z$20000,MATCH(N532,'Semrush Data'!$A$1:$A$20000,0),MATCH("Volume",'Semrush Data'!$A$1:$Z$1,0)),""))</f>
        <v/>
      </c>
      <c r="T532" s="24" t="str">
        <f aca="false">IF(O532="","",IFERROR(INDEX('Semrush Data'!$A$1:$Z$20000,MATCH(O532,'Semrush Data'!$A$1:$A$20000,0),MATCH("Volume",'Semrush Data'!$A$1:$Z$1,0)),""))</f>
        <v/>
      </c>
      <c r="U532" s="24" t="str">
        <f aca="false">IF(P532="","",IFERROR(INDEX('Semrush Data'!$A$1:$Z$20000,MATCH(P532,'Semrush Data'!$A$1:$A$20000,0),MATCH("Volume",'Semrush Data'!$A$1:$Z$1,0)),""))</f>
        <v/>
      </c>
      <c r="V532" s="25" t="str">
        <f aca="false">IF(COUNT(Q532:U532)=0,L532,IF(MAX(Q532:U532)=0,L532,INDEX(L532:P532,MATCH(MAX(Q532:U532),Q532:U532,0))))</f>
        <v>tiziana terenzi sea stars collection deriva</v>
      </c>
      <c r="W532" s="24" t="n">
        <f aca="false">IFERROR(INDEX('Semrush Data'!$A$1:$Z$20000,MATCH(V532,'Semrush Data'!$A$1:$A$20000,0),MATCH("Volume",'Semrush Data'!$A$1:$Z$1,0)),"")</f>
        <v>0</v>
      </c>
      <c r="X532" s="24" t="n">
        <f aca="false">IFERROR(INDEX('Semrush Data'!$A$1:$Z$20000,MATCH(V532,'Semrush Data'!$A$1:$A$20000,0),MATCH("Keyword Difficulty*",'Semrush Data'!$A$1:$Z$1,0)),"")</f>
        <v>9</v>
      </c>
      <c r="Y532" s="26" t="n">
        <f aca="false">IFERROR(INDEX('Semrush Data'!$A$1:$Z$20000,MATCH(V532,'Semrush Data'!$A$1:$A$20000,0),MATCH("CPC*",'Semrush Data'!$A$1:$Z$1,0)),"")</f>
        <v>0</v>
      </c>
      <c r="Z532" s="23" t="s">
        <v>6336</v>
      </c>
      <c r="AA532" s="23"/>
      <c r="AB532" s="23" t="s">
        <v>6337</v>
      </c>
      <c r="AC532" s="23" t="s">
        <v>6338</v>
      </c>
      <c r="AD532" s="27" t="n">
        <f aca="false">LEN(AC532)</f>
        <v>59</v>
      </c>
      <c r="AE532" s="23" t="s">
        <v>6339</v>
      </c>
      <c r="AF532" s="27" t="n">
        <f aca="false">LEN(AE532)</f>
        <v>159</v>
      </c>
    </row>
    <row r="533" customFormat="false" ht="15" hidden="false" customHeight="true" outlineLevel="0" collapsed="false">
      <c r="A533" s="23" t="s">
        <v>6340</v>
      </c>
      <c r="B533" s="23" t="s">
        <v>2449</v>
      </c>
      <c r="C533" s="23" t="n">
        <v>373</v>
      </c>
      <c r="D533" s="23" t="s">
        <v>6130</v>
      </c>
      <c r="E533" s="23"/>
      <c r="F533" s="23" t="s">
        <v>2452</v>
      </c>
      <c r="G533" s="23" t="s">
        <v>2735</v>
      </c>
      <c r="H533" s="23" t="s">
        <v>2538</v>
      </c>
      <c r="I533" s="23" t="s">
        <v>6341</v>
      </c>
      <c r="J533" s="23" t="s">
        <v>1994</v>
      </c>
      <c r="K533" s="23" t="n">
        <v>76.99</v>
      </c>
      <c r="L533" s="23" t="s">
        <v>6342</v>
      </c>
      <c r="M533" s="23" t="s">
        <v>6343</v>
      </c>
      <c r="N533" s="23" t="s">
        <v>6344</v>
      </c>
      <c r="O533" s="23" t="s">
        <v>6345</v>
      </c>
      <c r="P533" s="23" t="s">
        <v>6346</v>
      </c>
      <c r="Q533" s="24" t="n">
        <f aca="false">IF(L533="","",IFERROR(INDEX('Semrush Data'!$A$1:$Z$20000,MATCH(L533,'Semrush Data'!$A$1:$A$20000,0),MATCH("Volume",'Semrush Data'!$A$1:$Z$1,0)),""))</f>
        <v>20</v>
      </c>
      <c r="R533" s="24" t="str">
        <f aca="false">IF(M533="","",IFERROR(INDEX('Semrush Data'!$A$1:$Z$20000,MATCH(M533,'Semrush Data'!$A$1:$A$20000,0),MATCH("Volume",'Semrush Data'!$A$1:$Z$1,0)),""))</f>
        <v/>
      </c>
      <c r="S533" s="24" t="str">
        <f aca="false">IF(N533="","",IFERROR(INDEX('Semrush Data'!$A$1:$Z$20000,MATCH(N533,'Semrush Data'!$A$1:$A$20000,0),MATCH("Volume",'Semrush Data'!$A$1:$Z$1,0)),""))</f>
        <v/>
      </c>
      <c r="T533" s="24" t="str">
        <f aca="false">IF(O533="","",IFERROR(INDEX('Semrush Data'!$A$1:$Z$20000,MATCH(O533,'Semrush Data'!$A$1:$A$20000,0),MATCH("Volume",'Semrush Data'!$A$1:$Z$1,0)),""))</f>
        <v/>
      </c>
      <c r="U533" s="24" t="str">
        <f aca="false">IF(P533="","",IFERROR(INDEX('Semrush Data'!$A$1:$Z$20000,MATCH(P533,'Semrush Data'!$A$1:$A$20000,0),MATCH("Volume",'Semrush Data'!$A$1:$Z$1,0)),""))</f>
        <v/>
      </c>
      <c r="V533" s="25" t="str">
        <f aca="false">IF(COUNT(Q533:U533)=0,L533,IF(MAX(Q533:U533)=0,L533,INDEX(L533:P533,MATCH(MAX(Q533:U533),Q533:U533,0))))</f>
        <v>tiziana terenzi white fire</v>
      </c>
      <c r="W533" s="24" t="n">
        <f aca="false">IFERROR(INDEX('Semrush Data'!$A$1:$Z$20000,MATCH(V533,'Semrush Data'!$A$1:$A$20000,0),MATCH("Volume",'Semrush Data'!$A$1:$Z$1,0)),"")</f>
        <v>20</v>
      </c>
      <c r="X533" s="24" t="n">
        <f aca="false">IFERROR(INDEX('Semrush Data'!$A$1:$Z$20000,MATCH(V533,'Semrush Data'!$A$1:$A$20000,0),MATCH("Keyword Difficulty*",'Semrush Data'!$A$1:$Z$1,0)),"")</f>
        <v>16</v>
      </c>
      <c r="Y533" s="26" t="n">
        <f aca="false">IFERROR(INDEX('Semrush Data'!$A$1:$Z$20000,MATCH(V533,'Semrush Data'!$A$1:$A$20000,0),MATCH("CPC*",'Semrush Data'!$A$1:$Z$1,0)),"")</f>
        <v>0</v>
      </c>
      <c r="Z533" s="23" t="s">
        <v>6137</v>
      </c>
      <c r="AA533" s="23" t="s">
        <v>6347</v>
      </c>
      <c r="AB533" s="23" t="s">
        <v>6348</v>
      </c>
      <c r="AC533" s="23" t="s">
        <v>6349</v>
      </c>
      <c r="AD533" s="27" t="n">
        <f aca="false">LEN(AC533)</f>
        <v>55</v>
      </c>
      <c r="AE533" s="23" t="s">
        <v>6350</v>
      </c>
      <c r="AF533" s="27" t="n">
        <f aca="false">LEN(AE533)</f>
        <v>153</v>
      </c>
    </row>
    <row r="534" customFormat="false" ht="15" hidden="false" customHeight="true" outlineLevel="0" collapsed="false">
      <c r="A534" s="23" t="s">
        <v>69</v>
      </c>
      <c r="B534" s="23" t="s">
        <v>2449</v>
      </c>
      <c r="C534" s="23" t="n">
        <v>374</v>
      </c>
      <c r="D534" s="23" t="s">
        <v>6351</v>
      </c>
      <c r="E534" s="23" t="s">
        <v>6352</v>
      </c>
      <c r="F534" s="23" t="s">
        <v>2452</v>
      </c>
      <c r="G534" s="23" t="s">
        <v>2453</v>
      </c>
      <c r="H534" s="23" t="s">
        <v>2538</v>
      </c>
      <c r="I534" s="23" t="s">
        <v>70</v>
      </c>
      <c r="J534" s="23" t="s">
        <v>1468</v>
      </c>
      <c r="K534" s="23" t="n">
        <v>164.99</v>
      </c>
      <c r="L534" s="23" t="s">
        <v>6353</v>
      </c>
      <c r="M534" s="23" t="s">
        <v>6354</v>
      </c>
      <c r="N534" s="23" t="s">
        <v>6355</v>
      </c>
      <c r="O534" s="23" t="s">
        <v>6356</v>
      </c>
      <c r="P534" s="23" t="s">
        <v>6357</v>
      </c>
      <c r="Q534" s="24" t="n">
        <f aca="false">IF(L534="","",IFERROR(INDEX('Semrush Data'!$A$1:$Z$20000,MATCH(L534,'Semrush Data'!$A$1:$A$20000,0),MATCH("Volume",'Semrush Data'!$A$1:$Z$1,0)),""))</f>
        <v>3600</v>
      </c>
      <c r="R534" s="24" t="n">
        <f aca="false">IF(M534="","",IFERROR(INDEX('Semrush Data'!$A$1:$Z$20000,MATCH(M534,'Semrush Data'!$A$1:$A$20000,0),MATCH("Volume",'Semrush Data'!$A$1:$Z$1,0)),""))</f>
        <v>20</v>
      </c>
      <c r="S534" s="24" t="n">
        <f aca="false">IF(N534="","",IFERROR(INDEX('Semrush Data'!$A$1:$Z$20000,MATCH(N534,'Semrush Data'!$A$1:$A$20000,0),MATCH("Volume",'Semrush Data'!$A$1:$Z$1,0)),""))</f>
        <v>0</v>
      </c>
      <c r="T534" s="24" t="n">
        <f aca="false">IF(O534="","",IFERROR(INDEX('Semrush Data'!$A$1:$Z$20000,MATCH(O534,'Semrush Data'!$A$1:$A$20000,0),MATCH("Volume",'Semrush Data'!$A$1:$Z$1,0)),""))</f>
        <v>20</v>
      </c>
      <c r="U534" s="24" t="n">
        <f aca="false">IF(P534="","",IFERROR(INDEX('Semrush Data'!$A$1:$Z$20000,MATCH(P534,'Semrush Data'!$A$1:$A$20000,0),MATCH("Volume",'Semrush Data'!$A$1:$Z$1,0)),""))</f>
        <v>140</v>
      </c>
      <c r="V534" s="25" t="str">
        <f aca="false">IF(COUNT(Q534:U534)=0,L534,IF(MAX(Q534:U534)=0,L534,INDEX(L534:P534,MATCH(MAX(Q534:U534),Q534:U534,0))))</f>
        <v>tom ford neroli portofino</v>
      </c>
      <c r="W534" s="24" t="n">
        <f aca="false">IFERROR(INDEX('Semrush Data'!$A$1:$Z$20000,MATCH(V534,'Semrush Data'!$A$1:$A$20000,0),MATCH("Volume",'Semrush Data'!$A$1:$Z$1,0)),"")</f>
        <v>3600</v>
      </c>
      <c r="X534" s="24" t="n">
        <f aca="false">IFERROR(INDEX('Semrush Data'!$A$1:$Z$20000,MATCH(V534,'Semrush Data'!$A$1:$A$20000,0),MATCH("Keyword Difficulty*",'Semrush Data'!$A$1:$Z$1,0)),"")</f>
        <v>14</v>
      </c>
      <c r="Y534" s="26" t="n">
        <f aca="false">IFERROR(INDEX('Semrush Data'!$A$1:$Z$20000,MATCH(V534,'Semrush Data'!$A$1:$A$20000,0),MATCH("CPC*",'Semrush Data'!$A$1:$Z$1,0)),"")</f>
        <v>0.63</v>
      </c>
      <c r="Z534" s="23" t="s">
        <v>6358</v>
      </c>
      <c r="AA534" s="23"/>
      <c r="AB534" s="23" t="s">
        <v>6359</v>
      </c>
      <c r="AC534" s="23" t="s">
        <v>6360</v>
      </c>
      <c r="AD534" s="27" t="n">
        <f aca="false">LEN(AC534)</f>
        <v>60</v>
      </c>
      <c r="AE534" s="23" t="s">
        <v>6361</v>
      </c>
      <c r="AF534" s="27" t="n">
        <f aca="false">LEN(AE534)</f>
        <v>160</v>
      </c>
    </row>
    <row r="535" customFormat="false" ht="15" hidden="false" customHeight="true" outlineLevel="0" collapsed="false">
      <c r="A535" s="23" t="s">
        <v>53</v>
      </c>
      <c r="B535" s="23" t="s">
        <v>2449</v>
      </c>
      <c r="C535" s="23" t="n">
        <v>375</v>
      </c>
      <c r="D535" s="23" t="s">
        <v>6351</v>
      </c>
      <c r="E535" s="23" t="s">
        <v>6352</v>
      </c>
      <c r="F535" s="23" t="s">
        <v>2452</v>
      </c>
      <c r="G535" s="23" t="s">
        <v>2453</v>
      </c>
      <c r="H535" s="23" t="s">
        <v>3919</v>
      </c>
      <c r="I535" s="23" t="s">
        <v>54</v>
      </c>
      <c r="J535" s="23" t="s">
        <v>1468</v>
      </c>
      <c r="K535" s="23" t="n">
        <v>124.99</v>
      </c>
      <c r="L535" s="23" t="s">
        <v>6362</v>
      </c>
      <c r="M535" s="23" t="s">
        <v>6363</v>
      </c>
      <c r="N535" s="23" t="s">
        <v>6364</v>
      </c>
      <c r="O535" s="23" t="s">
        <v>266</v>
      </c>
      <c r="P535" s="23" t="s">
        <v>6365</v>
      </c>
      <c r="Q535" s="24" t="n">
        <f aca="false">IF(L535="","",IFERROR(INDEX('Semrush Data'!$A$1:$Z$20000,MATCH(L535,'Semrush Data'!$A$1:$A$20000,0),MATCH("Volume",'Semrush Data'!$A$1:$Z$1,0)),""))</f>
        <v>18100</v>
      </c>
      <c r="R535" s="24" t="n">
        <f aca="false">IF(M535="","",IFERROR(INDEX('Semrush Data'!$A$1:$Z$20000,MATCH(M535,'Semrush Data'!$A$1:$A$20000,0),MATCH("Volume",'Semrush Data'!$A$1:$Z$1,0)),""))</f>
        <v>30</v>
      </c>
      <c r="S535" s="24" t="n">
        <f aca="false">IF(N535="","",IFERROR(INDEX('Semrush Data'!$A$1:$Z$20000,MATCH(N535,'Semrush Data'!$A$1:$A$20000,0),MATCH("Volume",'Semrush Data'!$A$1:$Z$1,0)),""))</f>
        <v>0</v>
      </c>
      <c r="T535" s="24" t="n">
        <f aca="false">IF(O535="","",IFERROR(INDEX('Semrush Data'!$A$1:$Z$20000,MATCH(O535,'Semrush Data'!$A$1:$A$20000,0),MATCH("Volume",'Semrush Data'!$A$1:$Z$1,0)),""))</f>
        <v>50</v>
      </c>
      <c r="U535" s="24" t="n">
        <f aca="false">IF(P535="","",IFERROR(INDEX('Semrush Data'!$A$1:$Z$20000,MATCH(P535,'Semrush Data'!$A$1:$A$20000,0),MATCH("Volume",'Semrush Data'!$A$1:$Z$1,0)),""))</f>
        <v>320</v>
      </c>
      <c r="V535" s="25" t="str">
        <f aca="false">IF(COUNT(Q535:U535)=0,L535,IF(MAX(Q535:U535)=0,L535,INDEX(L535:P535,MATCH(MAX(Q535:U535),Q535:U535,0))))</f>
        <v>tom ford oud wood</v>
      </c>
      <c r="W535" s="24" t="n">
        <f aca="false">IFERROR(INDEX('Semrush Data'!$A$1:$Z$20000,MATCH(V535,'Semrush Data'!$A$1:$A$20000,0),MATCH("Volume",'Semrush Data'!$A$1:$Z$1,0)),"")</f>
        <v>18100</v>
      </c>
      <c r="X535" s="24" t="n">
        <f aca="false">IFERROR(INDEX('Semrush Data'!$A$1:$Z$20000,MATCH(V535,'Semrush Data'!$A$1:$A$20000,0),MATCH("Keyword Difficulty*",'Semrush Data'!$A$1:$Z$1,0)),"")</f>
        <v>16</v>
      </c>
      <c r="Y535" s="26" t="n">
        <f aca="false">IFERROR(INDEX('Semrush Data'!$A$1:$Z$20000,MATCH(V535,'Semrush Data'!$A$1:$A$20000,0),MATCH("CPC*",'Semrush Data'!$A$1:$Z$1,0)),"")</f>
        <v>0.54</v>
      </c>
      <c r="Z535" s="23" t="s">
        <v>6366</v>
      </c>
      <c r="AA535" s="23"/>
      <c r="AB535" s="23" t="s">
        <v>6367</v>
      </c>
      <c r="AC535" s="23" t="s">
        <v>6368</v>
      </c>
      <c r="AD535" s="27" t="n">
        <f aca="false">LEN(AC535)</f>
        <v>60</v>
      </c>
      <c r="AE535" s="23" t="s">
        <v>6369</v>
      </c>
      <c r="AF535" s="27" t="n">
        <f aca="false">LEN(AE535)</f>
        <v>156</v>
      </c>
    </row>
    <row r="536" customFormat="false" ht="15" hidden="false" customHeight="true" outlineLevel="0" collapsed="false">
      <c r="A536" s="23" t="s">
        <v>6370</v>
      </c>
      <c r="B536" s="23" t="s">
        <v>2449</v>
      </c>
      <c r="C536" s="23" t="n">
        <v>376</v>
      </c>
      <c r="D536" s="23" t="s">
        <v>6351</v>
      </c>
      <c r="E536" s="23" t="s">
        <v>6352</v>
      </c>
      <c r="F536" s="23" t="s">
        <v>2452</v>
      </c>
      <c r="G536" s="23" t="s">
        <v>2453</v>
      </c>
      <c r="H536" s="23" t="s">
        <v>3919</v>
      </c>
      <c r="I536" s="23" t="s">
        <v>6367</v>
      </c>
      <c r="J536" s="23" t="s">
        <v>2562</v>
      </c>
      <c r="K536" s="23" t="n">
        <v>115.99</v>
      </c>
      <c r="L536" s="23" t="s">
        <v>6362</v>
      </c>
      <c r="M536" s="23" t="s">
        <v>6363</v>
      </c>
      <c r="N536" s="23" t="s">
        <v>6364</v>
      </c>
      <c r="O536" s="23" t="s">
        <v>266</v>
      </c>
      <c r="P536" s="23" t="s">
        <v>6365</v>
      </c>
      <c r="Q536" s="24" t="n">
        <f aca="false">IF(L536="","",IFERROR(INDEX('Semrush Data'!$A$1:$Z$20000,MATCH(L536,'Semrush Data'!$A$1:$A$20000,0),MATCH("Volume",'Semrush Data'!$A$1:$Z$1,0)),""))</f>
        <v>18100</v>
      </c>
      <c r="R536" s="24" t="n">
        <f aca="false">IF(M536="","",IFERROR(INDEX('Semrush Data'!$A$1:$Z$20000,MATCH(M536,'Semrush Data'!$A$1:$A$20000,0),MATCH("Volume",'Semrush Data'!$A$1:$Z$1,0)),""))</f>
        <v>30</v>
      </c>
      <c r="S536" s="24" t="n">
        <f aca="false">IF(N536="","",IFERROR(INDEX('Semrush Data'!$A$1:$Z$20000,MATCH(N536,'Semrush Data'!$A$1:$A$20000,0),MATCH("Volume",'Semrush Data'!$A$1:$Z$1,0)),""))</f>
        <v>0</v>
      </c>
      <c r="T536" s="24" t="n">
        <f aca="false">IF(O536="","",IFERROR(INDEX('Semrush Data'!$A$1:$Z$20000,MATCH(O536,'Semrush Data'!$A$1:$A$20000,0),MATCH("Volume",'Semrush Data'!$A$1:$Z$1,0)),""))</f>
        <v>50</v>
      </c>
      <c r="U536" s="24" t="n">
        <f aca="false">IF(P536="","",IFERROR(INDEX('Semrush Data'!$A$1:$Z$20000,MATCH(P536,'Semrush Data'!$A$1:$A$20000,0),MATCH("Volume",'Semrush Data'!$A$1:$Z$1,0)),""))</f>
        <v>320</v>
      </c>
      <c r="V536" s="25" t="str">
        <f aca="false">IF(COUNT(Q536:U536)=0,L536,IF(MAX(Q536:U536)=0,L536,INDEX(L536:P536,MATCH(MAX(Q536:U536),Q536:U536,0))))</f>
        <v>tom ford oud wood</v>
      </c>
      <c r="W536" s="24" t="n">
        <f aca="false">IFERROR(INDEX('Semrush Data'!$A$1:$Z$20000,MATCH(V536,'Semrush Data'!$A$1:$A$20000,0),MATCH("Volume",'Semrush Data'!$A$1:$Z$1,0)),"")</f>
        <v>18100</v>
      </c>
      <c r="X536" s="24" t="n">
        <f aca="false">IFERROR(INDEX('Semrush Data'!$A$1:$Z$20000,MATCH(V536,'Semrush Data'!$A$1:$A$20000,0),MATCH("Keyword Difficulty*",'Semrush Data'!$A$1:$Z$1,0)),"")</f>
        <v>16</v>
      </c>
      <c r="Y536" s="26" t="n">
        <f aca="false">IFERROR(INDEX('Semrush Data'!$A$1:$Z$20000,MATCH(V536,'Semrush Data'!$A$1:$A$20000,0),MATCH("CPC*",'Semrush Data'!$A$1:$Z$1,0)),"")</f>
        <v>0.54</v>
      </c>
      <c r="Z536" s="23" t="s">
        <v>6366</v>
      </c>
      <c r="AA536" s="23"/>
      <c r="AB536" s="23" t="s">
        <v>6367</v>
      </c>
      <c r="AC536" s="23" t="s">
        <v>6371</v>
      </c>
      <c r="AD536" s="27" t="n">
        <f aca="false">LEN(AC536)</f>
        <v>52</v>
      </c>
      <c r="AE536" s="23" t="s">
        <v>6372</v>
      </c>
      <c r="AF536" s="27" t="n">
        <f aca="false">LEN(AE536)</f>
        <v>158</v>
      </c>
    </row>
    <row r="537" customFormat="false" ht="15" hidden="false" customHeight="true" outlineLevel="0" collapsed="false">
      <c r="A537" s="23" t="s">
        <v>97</v>
      </c>
      <c r="B537" s="23" t="s">
        <v>2449</v>
      </c>
      <c r="C537" s="23" t="n">
        <v>377</v>
      </c>
      <c r="D537" s="23" t="s">
        <v>6351</v>
      </c>
      <c r="E537" s="23" t="s">
        <v>6352</v>
      </c>
      <c r="F537" s="23" t="s">
        <v>2452</v>
      </c>
      <c r="G537" s="23" t="s">
        <v>2453</v>
      </c>
      <c r="H537" s="23" t="s">
        <v>2538</v>
      </c>
      <c r="I537" s="23" t="s">
        <v>98</v>
      </c>
      <c r="J537" s="23" t="s">
        <v>1468</v>
      </c>
      <c r="K537" s="23" t="n">
        <v>184.99</v>
      </c>
      <c r="L537" s="23" t="s">
        <v>6373</v>
      </c>
      <c r="M537" s="23" t="s">
        <v>6374</v>
      </c>
      <c r="N537" s="23" t="s">
        <v>6375</v>
      </c>
      <c r="O537" s="23" t="s">
        <v>6376</v>
      </c>
      <c r="P537" s="23" t="s">
        <v>6377</v>
      </c>
      <c r="Q537" s="24" t="n">
        <f aca="false">IF(L537="","",IFERROR(INDEX('Semrush Data'!$A$1:$Z$20000,MATCH(L537,'Semrush Data'!$A$1:$A$20000,0),MATCH("Volume",'Semrush Data'!$A$1:$Z$1,0)),""))</f>
        <v>880</v>
      </c>
      <c r="R537" s="24" t="n">
        <f aca="false">IF(M537="","",IFERROR(INDEX('Semrush Data'!$A$1:$Z$20000,MATCH(M537,'Semrush Data'!$A$1:$A$20000,0),MATCH("Volume",'Semrush Data'!$A$1:$Z$1,0)),""))</f>
        <v>20</v>
      </c>
      <c r="S537" s="24" t="str">
        <f aca="false">IF(N537="","",IFERROR(INDEX('Semrush Data'!$A$1:$Z$20000,MATCH(N537,'Semrush Data'!$A$1:$A$20000,0),MATCH("Volume",'Semrush Data'!$A$1:$Z$1,0)),""))</f>
        <v/>
      </c>
      <c r="T537" s="24" t="str">
        <f aca="false">IF(O537="","",IFERROR(INDEX('Semrush Data'!$A$1:$Z$20000,MATCH(O537,'Semrush Data'!$A$1:$A$20000,0),MATCH("Volume",'Semrush Data'!$A$1:$Z$1,0)),""))</f>
        <v/>
      </c>
      <c r="U537" s="24" t="n">
        <f aca="false">IF(P537="","",IFERROR(INDEX('Semrush Data'!$A$1:$Z$20000,MATCH(P537,'Semrush Data'!$A$1:$A$20000,0),MATCH("Volume",'Semrush Data'!$A$1:$Z$1,0)),""))</f>
        <v>10</v>
      </c>
      <c r="V537" s="25" t="str">
        <f aca="false">IF(COUNT(Q537:U537)=0,L537,IF(MAX(Q537:U537)=0,L537,INDEX(L537:P537,MATCH(MAX(Q537:U537),Q537:U537,0))))</f>
        <v>tom ford ebene fume</v>
      </c>
      <c r="W537" s="24" t="n">
        <f aca="false">IFERROR(INDEX('Semrush Data'!$A$1:$Z$20000,MATCH(V537,'Semrush Data'!$A$1:$A$20000,0),MATCH("Volume",'Semrush Data'!$A$1:$Z$1,0)),"")</f>
        <v>880</v>
      </c>
      <c r="X537" s="24" t="n">
        <f aca="false">IFERROR(INDEX('Semrush Data'!$A$1:$Z$20000,MATCH(V537,'Semrush Data'!$A$1:$A$20000,0),MATCH("Keyword Difficulty*",'Semrush Data'!$A$1:$Z$1,0)),"")</f>
        <v>22</v>
      </c>
      <c r="Y537" s="26" t="n">
        <f aca="false">IFERROR(INDEX('Semrush Data'!$A$1:$Z$20000,MATCH(V537,'Semrush Data'!$A$1:$A$20000,0),MATCH("CPC*",'Semrush Data'!$A$1:$Z$1,0)),"")</f>
        <v>0.59</v>
      </c>
      <c r="Z537" s="23" t="s">
        <v>6358</v>
      </c>
      <c r="AA537" s="23"/>
      <c r="AB537" s="23" t="s">
        <v>6378</v>
      </c>
      <c r="AC537" s="23" t="s">
        <v>6379</v>
      </c>
      <c r="AD537" s="27" t="n">
        <f aca="false">LEN(AC537)</f>
        <v>54</v>
      </c>
      <c r="AE537" s="23" t="s">
        <v>6380</v>
      </c>
      <c r="AF537" s="27" t="n">
        <f aca="false">LEN(AE537)</f>
        <v>160</v>
      </c>
    </row>
    <row r="538" customFormat="false" ht="15" hidden="false" customHeight="true" outlineLevel="0" collapsed="false">
      <c r="A538" s="23" t="s">
        <v>51</v>
      </c>
      <c r="B538" s="23" t="s">
        <v>2449</v>
      </c>
      <c r="C538" s="23" t="n">
        <v>378</v>
      </c>
      <c r="D538" s="23" t="s">
        <v>6351</v>
      </c>
      <c r="E538" s="23" t="s">
        <v>6352</v>
      </c>
      <c r="F538" s="23" t="s">
        <v>2452</v>
      </c>
      <c r="G538" s="23" t="s">
        <v>3032</v>
      </c>
      <c r="H538" s="23" t="s">
        <v>2538</v>
      </c>
      <c r="I538" s="23" t="s">
        <v>52</v>
      </c>
      <c r="J538" s="23" t="s">
        <v>1994</v>
      </c>
      <c r="K538" s="23" t="n">
        <v>153.99</v>
      </c>
      <c r="L538" s="23" t="s">
        <v>6381</v>
      </c>
      <c r="M538" s="23" t="s">
        <v>6382</v>
      </c>
      <c r="N538" s="23" t="s">
        <v>6383</v>
      </c>
      <c r="O538" s="23" t="s">
        <v>265</v>
      </c>
      <c r="P538" s="23" t="s">
        <v>6384</v>
      </c>
      <c r="Q538" s="24" t="n">
        <f aca="false">IF(L538="","",IFERROR(INDEX('Semrush Data'!$A$1:$Z$20000,MATCH(L538,'Semrush Data'!$A$1:$A$20000,0),MATCH("Volume",'Semrush Data'!$A$1:$Z$1,0)),""))</f>
        <v>22200</v>
      </c>
      <c r="R538" s="24" t="n">
        <f aca="false">IF(M538="","",IFERROR(INDEX('Semrush Data'!$A$1:$Z$20000,MATCH(M538,'Semrush Data'!$A$1:$A$20000,0),MATCH("Volume",'Semrush Data'!$A$1:$Z$1,0)),""))</f>
        <v>40</v>
      </c>
      <c r="S538" s="24" t="n">
        <f aca="false">IF(N538="","",IFERROR(INDEX('Semrush Data'!$A$1:$Z$20000,MATCH(N538,'Semrush Data'!$A$1:$A$20000,0),MATCH("Volume",'Semrush Data'!$A$1:$Z$1,0)),""))</f>
        <v>0</v>
      </c>
      <c r="T538" s="24" t="n">
        <f aca="false">IF(O538="","",IFERROR(INDEX('Semrush Data'!$A$1:$Z$20000,MATCH(O538,'Semrush Data'!$A$1:$A$20000,0),MATCH("Volume",'Semrush Data'!$A$1:$Z$1,0)),""))</f>
        <v>50</v>
      </c>
      <c r="U538" s="24" t="n">
        <f aca="false">IF(P538="","",IFERROR(INDEX('Semrush Data'!$A$1:$Z$20000,MATCH(P538,'Semrush Data'!$A$1:$A$20000,0),MATCH("Volume",'Semrush Data'!$A$1:$Z$1,0)),""))</f>
        <v>720</v>
      </c>
      <c r="V538" s="25" t="str">
        <f aca="false">IF(COUNT(Q538:U538)=0,L538,IF(MAX(Q538:U538)=0,L538,INDEX(L538:P538,MATCH(MAX(Q538:U538),Q538:U538,0))))</f>
        <v>tom ford black orchid</v>
      </c>
      <c r="W538" s="24" t="n">
        <f aca="false">IFERROR(INDEX('Semrush Data'!$A$1:$Z$20000,MATCH(V538,'Semrush Data'!$A$1:$A$20000,0),MATCH("Volume",'Semrush Data'!$A$1:$Z$1,0)),"")</f>
        <v>22200</v>
      </c>
      <c r="X538" s="24" t="n">
        <f aca="false">IFERROR(INDEX('Semrush Data'!$A$1:$Z$20000,MATCH(V538,'Semrush Data'!$A$1:$A$20000,0),MATCH("Keyword Difficulty*",'Semrush Data'!$A$1:$Z$1,0)),"")</f>
        <v>22</v>
      </c>
      <c r="Y538" s="26" t="n">
        <f aca="false">IFERROR(INDEX('Semrush Data'!$A$1:$Z$20000,MATCH(V538,'Semrush Data'!$A$1:$A$20000,0),MATCH("CPC*",'Semrush Data'!$A$1:$Z$1,0)),"")</f>
        <v>0.49</v>
      </c>
      <c r="Z538" s="23" t="s">
        <v>6358</v>
      </c>
      <c r="AA538" s="23"/>
      <c r="AB538" s="23" t="s">
        <v>6385</v>
      </c>
      <c r="AC538" s="23" t="s">
        <v>6386</v>
      </c>
      <c r="AD538" s="27" t="n">
        <f aca="false">LEN(AC538)</f>
        <v>55</v>
      </c>
      <c r="AE538" s="23" t="s">
        <v>6387</v>
      </c>
      <c r="AF538" s="27" t="n">
        <f aca="false">LEN(AE538)</f>
        <v>149</v>
      </c>
    </row>
    <row r="539" customFormat="false" ht="15" hidden="false" customHeight="true" outlineLevel="0" collapsed="false">
      <c r="A539" s="23" t="s">
        <v>57</v>
      </c>
      <c r="B539" s="23" t="s">
        <v>2449</v>
      </c>
      <c r="C539" s="23" t="n">
        <v>379</v>
      </c>
      <c r="D539" s="23" t="s">
        <v>6351</v>
      </c>
      <c r="E539" s="23" t="s">
        <v>6352</v>
      </c>
      <c r="F539" s="23" t="s">
        <v>2452</v>
      </c>
      <c r="G539" s="23" t="s">
        <v>3032</v>
      </c>
      <c r="H539" s="23" t="s">
        <v>2608</v>
      </c>
      <c r="I539" s="23" t="s">
        <v>58</v>
      </c>
      <c r="J539" s="23" t="s">
        <v>1994</v>
      </c>
      <c r="K539" s="23" t="n">
        <v>144.99</v>
      </c>
      <c r="L539" s="23" t="s">
        <v>6388</v>
      </c>
      <c r="M539" s="23" t="s">
        <v>6389</v>
      </c>
      <c r="N539" s="23" t="s">
        <v>6390</v>
      </c>
      <c r="O539" s="23" t="s">
        <v>6391</v>
      </c>
      <c r="P539" s="23" t="s">
        <v>6392</v>
      </c>
      <c r="Q539" s="24" t="n">
        <f aca="false">IF(L539="","",IFERROR(INDEX('Semrush Data'!$A$1:$Z$20000,MATCH(L539,'Semrush Data'!$A$1:$A$20000,0),MATCH("Volume",'Semrush Data'!$A$1:$Z$1,0)),""))</f>
        <v>8100</v>
      </c>
      <c r="R539" s="24" t="n">
        <f aca="false">IF(M539="","",IFERROR(INDEX('Semrush Data'!$A$1:$Z$20000,MATCH(M539,'Semrush Data'!$A$1:$A$20000,0),MATCH("Volume",'Semrush Data'!$A$1:$Z$1,0)),""))</f>
        <v>20</v>
      </c>
      <c r="S539" s="24" t="n">
        <f aca="false">IF(N539="","",IFERROR(INDEX('Semrush Data'!$A$1:$Z$20000,MATCH(N539,'Semrush Data'!$A$1:$A$20000,0),MATCH("Volume",'Semrush Data'!$A$1:$Z$1,0)),""))</f>
        <v>0</v>
      </c>
      <c r="T539" s="24" t="n">
        <f aca="false">IF(O539="","",IFERROR(INDEX('Semrush Data'!$A$1:$Z$20000,MATCH(O539,'Semrush Data'!$A$1:$A$20000,0),MATCH("Volume",'Semrush Data'!$A$1:$Z$1,0)),""))</f>
        <v>20</v>
      </c>
      <c r="U539" s="24" t="n">
        <f aca="false">IF(P539="","",IFERROR(INDEX('Semrush Data'!$A$1:$Z$20000,MATCH(P539,'Semrush Data'!$A$1:$A$20000,0),MATCH("Volume",'Semrush Data'!$A$1:$Z$1,0)),""))</f>
        <v>1600</v>
      </c>
      <c r="V539" s="25" t="str">
        <f aca="false">IF(COUNT(Q539:U539)=0,L539,IF(MAX(Q539:U539)=0,L539,INDEX(L539:P539,MATCH(MAX(Q539:U539),Q539:U539,0))))</f>
        <v>tom ford noir extreme</v>
      </c>
      <c r="W539" s="24" t="n">
        <f aca="false">IFERROR(INDEX('Semrush Data'!$A$1:$Z$20000,MATCH(V539,'Semrush Data'!$A$1:$A$20000,0),MATCH("Volume",'Semrush Data'!$A$1:$Z$1,0)),"")</f>
        <v>8100</v>
      </c>
      <c r="X539" s="24" t="n">
        <f aca="false">IFERROR(INDEX('Semrush Data'!$A$1:$Z$20000,MATCH(V539,'Semrush Data'!$A$1:$A$20000,0),MATCH("Keyword Difficulty*",'Semrush Data'!$A$1:$Z$1,0)),"")</f>
        <v>15</v>
      </c>
      <c r="Y539" s="26" t="n">
        <f aca="false">IFERROR(INDEX('Semrush Data'!$A$1:$Z$20000,MATCH(V539,'Semrush Data'!$A$1:$A$20000,0),MATCH("CPC*",'Semrush Data'!$A$1:$Z$1,0)),"")</f>
        <v>0.59</v>
      </c>
      <c r="Z539" s="23" t="s">
        <v>6393</v>
      </c>
      <c r="AA539" s="23"/>
      <c r="AB539" s="23" t="s">
        <v>6394</v>
      </c>
      <c r="AC539" s="23" t="s">
        <v>6395</v>
      </c>
      <c r="AD539" s="27" t="n">
        <f aca="false">LEN(AC539)</f>
        <v>50</v>
      </c>
      <c r="AE539" s="23" t="s">
        <v>6396</v>
      </c>
      <c r="AF539" s="27" t="n">
        <f aca="false">LEN(AE539)</f>
        <v>148</v>
      </c>
    </row>
    <row r="540" customFormat="false" ht="15" hidden="false" customHeight="true" outlineLevel="0" collapsed="false">
      <c r="A540" s="23" t="s">
        <v>6397</v>
      </c>
      <c r="B540" s="23" t="s">
        <v>2449</v>
      </c>
      <c r="C540" s="23" t="n">
        <v>380</v>
      </c>
      <c r="D540" s="23" t="s">
        <v>6398</v>
      </c>
      <c r="E540" s="23"/>
      <c r="F540" s="23" t="s">
        <v>2452</v>
      </c>
      <c r="G540" s="23" t="s">
        <v>2453</v>
      </c>
      <c r="H540" s="23" t="s">
        <v>2454</v>
      </c>
      <c r="I540" s="23" t="s">
        <v>6399</v>
      </c>
      <c r="J540" s="23" t="s">
        <v>6400</v>
      </c>
      <c r="K540" s="23" t="n">
        <v>14.99</v>
      </c>
      <c r="L540" s="23" t="s">
        <v>6401</v>
      </c>
      <c r="M540" s="23" t="s">
        <v>6402</v>
      </c>
      <c r="N540" s="23" t="s">
        <v>6403</v>
      </c>
      <c r="O540" s="23" t="s">
        <v>6404</v>
      </c>
      <c r="P540" s="23" t="s">
        <v>6405</v>
      </c>
      <c r="Q540" s="24" t="n">
        <f aca="false">IF(L540="","",IFERROR(INDEX('Semrush Data'!$A$1:$Z$20000,MATCH(L540,'Semrush Data'!$A$1:$A$20000,0),MATCH("Volume",'Semrush Data'!$A$1:$Z$1,0)),""))</f>
        <v>0</v>
      </c>
      <c r="R540" s="24" t="str">
        <f aca="false">IF(M540="","",IFERROR(INDEX('Semrush Data'!$A$1:$Z$20000,MATCH(M540,'Semrush Data'!$A$1:$A$20000,0),MATCH("Volume",'Semrush Data'!$A$1:$Z$1,0)),""))</f>
        <v/>
      </c>
      <c r="S540" s="24" t="str">
        <f aca="false">IF(N540="","",IFERROR(INDEX('Semrush Data'!$A$1:$Z$20000,MATCH(N540,'Semrush Data'!$A$1:$A$20000,0),MATCH("Volume",'Semrush Data'!$A$1:$Z$1,0)),""))</f>
        <v/>
      </c>
      <c r="T540" s="24" t="str">
        <f aca="false">IF(O540="","",IFERROR(INDEX('Semrush Data'!$A$1:$Z$20000,MATCH(O540,'Semrush Data'!$A$1:$A$20000,0),MATCH("Volume",'Semrush Data'!$A$1:$Z$1,0)),""))</f>
        <v/>
      </c>
      <c r="U540" s="24" t="str">
        <f aca="false">IF(P540="","",IFERROR(INDEX('Semrush Data'!$A$1:$Z$20000,MATCH(P540,'Semrush Data'!$A$1:$A$20000,0),MATCH("Volume",'Semrush Data'!$A$1:$Z$1,0)),""))</f>
        <v/>
      </c>
      <c r="V540" s="25" t="str">
        <f aca="false">IF(COUNT(Q540:U540)=0,L540,IF(MAX(Q540:U540)=0,L540,INDEX(L540:P540,MATCH(MAX(Q540:U540),Q540:U540,0))))</f>
        <v>trussardi pure jasmine miniature</v>
      </c>
      <c r="W540" s="24" t="n">
        <f aca="false">IFERROR(INDEX('Semrush Data'!$A$1:$Z$20000,MATCH(V540,'Semrush Data'!$A$1:$A$20000,0),MATCH("Volume",'Semrush Data'!$A$1:$Z$1,0)),"")</f>
        <v>0</v>
      </c>
      <c r="X540" s="24" t="n">
        <f aca="false">IFERROR(INDEX('Semrush Data'!$A$1:$Z$20000,MATCH(V540,'Semrush Data'!$A$1:$A$20000,0),MATCH("Keyword Difficulty*",'Semrush Data'!$A$1:$Z$1,0)),"")</f>
        <v>14</v>
      </c>
      <c r="Y540" s="26" t="n">
        <f aca="false">IFERROR(INDEX('Semrush Data'!$A$1:$Z$20000,MATCH(V540,'Semrush Data'!$A$1:$A$20000,0),MATCH("CPC*",'Semrush Data'!$A$1:$Z$1,0)),"")</f>
        <v>0</v>
      </c>
      <c r="Z540" s="23" t="s">
        <v>6406</v>
      </c>
      <c r="AA540" s="23"/>
      <c r="AB540" s="23" t="s">
        <v>6407</v>
      </c>
      <c r="AC540" s="23" t="s">
        <v>6408</v>
      </c>
      <c r="AD540" s="27" t="n">
        <f aca="false">LEN(AC540)</f>
        <v>60</v>
      </c>
      <c r="AE540" s="23" t="s">
        <v>6409</v>
      </c>
      <c r="AF540" s="27" t="n">
        <f aca="false">LEN(AE540)</f>
        <v>160</v>
      </c>
    </row>
    <row r="541" customFormat="false" ht="15" hidden="false" customHeight="true" outlineLevel="0" collapsed="false">
      <c r="A541" s="23" t="s">
        <v>6410</v>
      </c>
      <c r="B541" s="23" t="s">
        <v>2449</v>
      </c>
      <c r="C541" s="23" t="n">
        <v>381</v>
      </c>
      <c r="D541" s="23" t="s">
        <v>6398</v>
      </c>
      <c r="E541" s="23"/>
      <c r="F541" s="23" t="s">
        <v>2452</v>
      </c>
      <c r="G541" s="23" t="s">
        <v>2453</v>
      </c>
      <c r="H541" s="23" t="s">
        <v>2454</v>
      </c>
      <c r="I541" s="23" t="s">
        <v>6411</v>
      </c>
      <c r="J541" s="23" t="s">
        <v>3059</v>
      </c>
      <c r="K541" s="23" t="n">
        <v>42.99</v>
      </c>
      <c r="L541" s="23" t="s">
        <v>6412</v>
      </c>
      <c r="M541" s="23" t="s">
        <v>6413</v>
      </c>
      <c r="N541" s="23" t="s">
        <v>6414</v>
      </c>
      <c r="O541" s="23" t="s">
        <v>6415</v>
      </c>
      <c r="P541" s="23" t="s">
        <v>6416</v>
      </c>
      <c r="Q541" s="24" t="n">
        <f aca="false">IF(L541="","",IFERROR(INDEX('Semrush Data'!$A$1:$Z$20000,MATCH(L541,'Semrush Data'!$A$1:$A$20000,0),MATCH("Volume",'Semrush Data'!$A$1:$Z$1,0)),""))</f>
        <v>20</v>
      </c>
      <c r="R541" s="24" t="str">
        <f aca="false">IF(M541="","",IFERROR(INDEX('Semrush Data'!$A$1:$Z$20000,MATCH(M541,'Semrush Data'!$A$1:$A$20000,0),MATCH("Volume",'Semrush Data'!$A$1:$Z$1,0)),""))</f>
        <v/>
      </c>
      <c r="S541" s="24" t="str">
        <f aca="false">IF(N541="","",IFERROR(INDEX('Semrush Data'!$A$1:$Z$20000,MATCH(N541,'Semrush Data'!$A$1:$A$20000,0),MATCH("Volume",'Semrush Data'!$A$1:$Z$1,0)),""))</f>
        <v/>
      </c>
      <c r="T541" s="24" t="str">
        <f aca="false">IF(O541="","",IFERROR(INDEX('Semrush Data'!$A$1:$Z$20000,MATCH(O541,'Semrush Data'!$A$1:$A$20000,0),MATCH("Volume",'Semrush Data'!$A$1:$Z$1,0)),""))</f>
        <v/>
      </c>
      <c r="U541" s="24" t="str">
        <f aca="false">IF(P541="","",IFERROR(INDEX('Semrush Data'!$A$1:$Z$20000,MATCH(P541,'Semrush Data'!$A$1:$A$20000,0),MATCH("Volume",'Semrush Data'!$A$1:$Z$1,0)),""))</f>
        <v/>
      </c>
      <c r="V541" s="25" t="str">
        <f aca="false">IF(COUNT(Q541:U541)=0,L541,IF(MAX(Q541:U541)=0,L541,INDEX(L541:P541,MATCH(MAX(Q541:U541),Q541:U541,0))))</f>
        <v>trussardi pure jasmine</v>
      </c>
      <c r="W541" s="24" t="n">
        <f aca="false">IFERROR(INDEX('Semrush Data'!$A$1:$Z$20000,MATCH(V541,'Semrush Data'!$A$1:$A$20000,0),MATCH("Volume",'Semrush Data'!$A$1:$Z$1,0)),"")</f>
        <v>20</v>
      </c>
      <c r="X541" s="24" t="n">
        <f aca="false">IFERROR(INDEX('Semrush Data'!$A$1:$Z$20000,MATCH(V541,'Semrush Data'!$A$1:$A$20000,0),MATCH("Keyword Difficulty*",'Semrush Data'!$A$1:$Z$1,0)),"")</f>
        <v>16</v>
      </c>
      <c r="Y541" s="26" t="n">
        <f aca="false">IFERROR(INDEX('Semrush Data'!$A$1:$Z$20000,MATCH(V541,'Semrush Data'!$A$1:$A$20000,0),MATCH("CPC*",'Semrush Data'!$A$1:$Z$1,0)),"")</f>
        <v>0</v>
      </c>
      <c r="Z541" s="23" t="s">
        <v>6406</v>
      </c>
      <c r="AA541" s="23" t="s">
        <v>6417</v>
      </c>
      <c r="AB541" s="23" t="s">
        <v>6418</v>
      </c>
      <c r="AC541" s="23" t="s">
        <v>6419</v>
      </c>
      <c r="AD541" s="27" t="n">
        <f aca="false">LEN(AC541)</f>
        <v>58</v>
      </c>
      <c r="AE541" s="23" t="s">
        <v>6420</v>
      </c>
      <c r="AF541" s="27" t="n">
        <f aca="false">LEN(AE541)</f>
        <v>157</v>
      </c>
    </row>
    <row r="542" customFormat="false" ht="15" hidden="false" customHeight="true" outlineLevel="0" collapsed="false">
      <c r="A542" s="23" t="s">
        <v>6421</v>
      </c>
      <c r="B542" s="23" t="s">
        <v>2449</v>
      </c>
      <c r="C542" s="23" t="n">
        <v>382</v>
      </c>
      <c r="D542" s="23" t="s">
        <v>6398</v>
      </c>
      <c r="E542" s="23"/>
      <c r="F542" s="23" t="s">
        <v>2452</v>
      </c>
      <c r="G542" s="23" t="s">
        <v>2818</v>
      </c>
      <c r="H542" s="23" t="s">
        <v>2608</v>
      </c>
      <c r="I542" s="23" t="s">
        <v>6422</v>
      </c>
      <c r="J542" s="23" t="s">
        <v>6400</v>
      </c>
      <c r="K542" s="23" t="n">
        <v>14.99</v>
      </c>
      <c r="L542" s="23" t="s">
        <v>6423</v>
      </c>
      <c r="M542" s="23" t="s">
        <v>6424</v>
      </c>
      <c r="N542" s="23" t="s">
        <v>6425</v>
      </c>
      <c r="O542" s="23" t="s">
        <v>6426</v>
      </c>
      <c r="P542" s="23" t="s">
        <v>6427</v>
      </c>
      <c r="Q542" s="24" t="n">
        <f aca="false">IF(L542="","",IFERROR(INDEX('Semrush Data'!$A$1:$Z$20000,MATCH(L542,'Semrush Data'!$A$1:$A$20000,0),MATCH("Volume",'Semrush Data'!$A$1:$Z$1,0)),""))</f>
        <v>0</v>
      </c>
      <c r="R542" s="24" t="str">
        <f aca="false">IF(M542="","",IFERROR(INDEX('Semrush Data'!$A$1:$Z$20000,MATCH(M542,'Semrush Data'!$A$1:$A$20000,0),MATCH("Volume",'Semrush Data'!$A$1:$Z$1,0)),""))</f>
        <v/>
      </c>
      <c r="S542" s="24" t="str">
        <f aca="false">IF(N542="","",IFERROR(INDEX('Semrush Data'!$A$1:$Z$20000,MATCH(N542,'Semrush Data'!$A$1:$A$20000,0),MATCH("Volume",'Semrush Data'!$A$1:$Z$1,0)),""))</f>
        <v/>
      </c>
      <c r="T542" s="24" t="str">
        <f aca="false">IF(O542="","",IFERROR(INDEX('Semrush Data'!$A$1:$Z$20000,MATCH(O542,'Semrush Data'!$A$1:$A$20000,0),MATCH("Volume",'Semrush Data'!$A$1:$Z$1,0)),""))</f>
        <v/>
      </c>
      <c r="U542" s="24" t="str">
        <f aca="false">IF(P542="","",IFERROR(INDEX('Semrush Data'!$A$1:$Z$20000,MATCH(P542,'Semrush Data'!$A$1:$A$20000,0),MATCH("Volume",'Semrush Data'!$A$1:$Z$1,0)),""))</f>
        <v/>
      </c>
      <c r="V542" s="25" t="str">
        <f aca="false">IF(COUNT(Q542:U542)=0,L542,IF(MAX(Q542:U542)=0,L542,INDEX(L542:P542,MATCH(MAX(Q542:U542),Q542:U542,0))))</f>
        <v>trussardi black extreme miniature</v>
      </c>
      <c r="W542" s="24" t="n">
        <f aca="false">IFERROR(INDEX('Semrush Data'!$A$1:$Z$20000,MATCH(V542,'Semrush Data'!$A$1:$A$20000,0),MATCH("Volume",'Semrush Data'!$A$1:$Z$1,0)),"")</f>
        <v>0</v>
      </c>
      <c r="X542" s="24" t="n">
        <f aca="false">IFERROR(INDEX('Semrush Data'!$A$1:$Z$20000,MATCH(V542,'Semrush Data'!$A$1:$A$20000,0),MATCH("Keyword Difficulty*",'Semrush Data'!$A$1:$Z$1,0)),"")</f>
        <v>22</v>
      </c>
      <c r="Y542" s="26" t="n">
        <f aca="false">IFERROR(INDEX('Semrush Data'!$A$1:$Z$20000,MATCH(V542,'Semrush Data'!$A$1:$A$20000,0),MATCH("CPC*",'Semrush Data'!$A$1:$Z$1,0)),"")</f>
        <v>0</v>
      </c>
      <c r="Z542" s="23" t="s">
        <v>6428</v>
      </c>
      <c r="AA542" s="23"/>
      <c r="AB542" s="23" t="s">
        <v>6429</v>
      </c>
      <c r="AC542" s="23" t="s">
        <v>6430</v>
      </c>
      <c r="AD542" s="27" t="n">
        <f aca="false">LEN(AC542)</f>
        <v>55</v>
      </c>
      <c r="AE542" s="23" t="s">
        <v>6431</v>
      </c>
      <c r="AF542" s="27" t="n">
        <f aca="false">LEN(AE542)</f>
        <v>157</v>
      </c>
    </row>
    <row r="543" customFormat="false" ht="15" hidden="false" customHeight="true" outlineLevel="0" collapsed="false">
      <c r="A543" s="23" t="s">
        <v>6432</v>
      </c>
      <c r="B543" s="23" t="s">
        <v>2449</v>
      </c>
      <c r="C543" s="23" t="n">
        <v>383</v>
      </c>
      <c r="D543" s="23" t="s">
        <v>6398</v>
      </c>
      <c r="E543" s="23"/>
      <c r="F543" s="23" t="s">
        <v>2452</v>
      </c>
      <c r="G543" s="23" t="s">
        <v>2818</v>
      </c>
      <c r="H543" s="23" t="s">
        <v>2454</v>
      </c>
      <c r="I543" s="23" t="s">
        <v>6433</v>
      </c>
      <c r="J543" s="23" t="s">
        <v>1468</v>
      </c>
      <c r="K543" s="23" t="n">
        <v>42.99</v>
      </c>
      <c r="L543" s="23" t="s">
        <v>6434</v>
      </c>
      <c r="M543" s="23" t="s">
        <v>6435</v>
      </c>
      <c r="N543" s="23" t="s">
        <v>6436</v>
      </c>
      <c r="O543" s="23" t="s">
        <v>6437</v>
      </c>
      <c r="P543" s="23" t="s">
        <v>6438</v>
      </c>
      <c r="Q543" s="24" t="n">
        <f aca="false">IF(L543="","",IFERROR(INDEX('Semrush Data'!$A$1:$Z$20000,MATCH(L543,'Semrush Data'!$A$1:$A$20000,0),MATCH("Volume",'Semrush Data'!$A$1:$Z$1,0)),""))</f>
        <v>20</v>
      </c>
      <c r="R543" s="24" t="str">
        <f aca="false">IF(M543="","",IFERROR(INDEX('Semrush Data'!$A$1:$Z$20000,MATCH(M543,'Semrush Data'!$A$1:$A$20000,0),MATCH("Volume",'Semrush Data'!$A$1:$Z$1,0)),""))</f>
        <v/>
      </c>
      <c r="S543" s="24" t="str">
        <f aca="false">IF(N543="","",IFERROR(INDEX('Semrush Data'!$A$1:$Z$20000,MATCH(N543,'Semrush Data'!$A$1:$A$20000,0),MATCH("Volume",'Semrush Data'!$A$1:$Z$1,0)),""))</f>
        <v/>
      </c>
      <c r="T543" s="24" t="str">
        <f aca="false">IF(O543="","",IFERROR(INDEX('Semrush Data'!$A$1:$Z$20000,MATCH(O543,'Semrush Data'!$A$1:$A$20000,0),MATCH("Volume",'Semrush Data'!$A$1:$Z$1,0)),""))</f>
        <v/>
      </c>
      <c r="U543" s="24" t="str">
        <f aca="false">IF(P543="","",IFERROR(INDEX('Semrush Data'!$A$1:$Z$20000,MATCH(P543,'Semrush Data'!$A$1:$A$20000,0),MATCH("Volume",'Semrush Data'!$A$1:$Z$1,0)),""))</f>
        <v/>
      </c>
      <c r="V543" s="25" t="str">
        <f aca="false">IF(COUNT(Q543:U543)=0,L543,IF(MAX(Q543:U543)=0,L543,INDEX(L543:P543,MATCH(MAX(Q543:U543),Q543:U543,0))))</f>
        <v>trussardi delicate rose</v>
      </c>
      <c r="W543" s="24" t="n">
        <f aca="false">IFERROR(INDEX('Semrush Data'!$A$1:$Z$20000,MATCH(V543,'Semrush Data'!$A$1:$A$20000,0),MATCH("Volume",'Semrush Data'!$A$1:$Z$1,0)),"")</f>
        <v>20</v>
      </c>
      <c r="X543" s="24" t="n">
        <f aca="false">IFERROR(INDEX('Semrush Data'!$A$1:$Z$20000,MATCH(V543,'Semrush Data'!$A$1:$A$20000,0),MATCH("Keyword Difficulty*",'Semrush Data'!$A$1:$Z$1,0)),"")</f>
        <v>20</v>
      </c>
      <c r="Y543" s="26" t="n">
        <f aca="false">IFERROR(INDEX('Semrush Data'!$A$1:$Z$20000,MATCH(V543,'Semrush Data'!$A$1:$A$20000,0),MATCH("CPC*",'Semrush Data'!$A$1:$Z$1,0)),"")</f>
        <v>0</v>
      </c>
      <c r="Z543" s="23" t="s">
        <v>6406</v>
      </c>
      <c r="AA543" s="23" t="s">
        <v>6439</v>
      </c>
      <c r="AB543" s="23" t="s">
        <v>6440</v>
      </c>
      <c r="AC543" s="23" t="s">
        <v>6441</v>
      </c>
      <c r="AD543" s="27" t="n">
        <f aca="false">LEN(AC543)</f>
        <v>59</v>
      </c>
      <c r="AE543" s="23" t="s">
        <v>6442</v>
      </c>
      <c r="AF543" s="27" t="n">
        <f aca="false">LEN(AE543)</f>
        <v>156</v>
      </c>
    </row>
    <row r="544" customFormat="false" ht="15" hidden="false" customHeight="true" outlineLevel="0" collapsed="false">
      <c r="A544" s="23" t="s">
        <v>6443</v>
      </c>
      <c r="B544" s="23" t="s">
        <v>2449</v>
      </c>
      <c r="C544" s="23" t="n">
        <v>384</v>
      </c>
      <c r="D544" s="23" t="s">
        <v>6398</v>
      </c>
      <c r="E544" s="23"/>
      <c r="F544" s="23" t="s">
        <v>1735</v>
      </c>
      <c r="G544" s="23" t="s">
        <v>2453</v>
      </c>
      <c r="H544" s="23" t="s">
        <v>2527</v>
      </c>
      <c r="I544" s="23" t="s">
        <v>6444</v>
      </c>
      <c r="J544" s="23" t="s">
        <v>2597</v>
      </c>
      <c r="K544" s="23" t="n">
        <v>29.99</v>
      </c>
      <c r="L544" s="23" t="s">
        <v>6445</v>
      </c>
      <c r="M544" s="23" t="s">
        <v>6446</v>
      </c>
      <c r="N544" s="23" t="s">
        <v>6447</v>
      </c>
      <c r="O544" s="23" t="s">
        <v>6448</v>
      </c>
      <c r="P544" s="23"/>
      <c r="Q544" s="24" t="n">
        <f aca="false">IF(L544="","",IFERROR(INDEX('Semrush Data'!$A$1:$Z$20000,MATCH(L544,'Semrush Data'!$A$1:$A$20000,0),MATCH("Volume",'Semrush Data'!$A$1:$Z$1,0)),""))</f>
        <v>0</v>
      </c>
      <c r="R544" s="24" t="str">
        <f aca="false">IF(M544="","",IFERROR(INDEX('Semrush Data'!$A$1:$Z$20000,MATCH(M544,'Semrush Data'!$A$1:$A$20000,0),MATCH("Volume",'Semrush Data'!$A$1:$Z$1,0)),""))</f>
        <v/>
      </c>
      <c r="S544" s="24" t="str">
        <f aca="false">IF(N544="","",IFERROR(INDEX('Semrush Data'!$A$1:$Z$20000,MATCH(N544,'Semrush Data'!$A$1:$A$20000,0),MATCH("Volume",'Semrush Data'!$A$1:$Z$1,0)),""))</f>
        <v/>
      </c>
      <c r="T544" s="24" t="str">
        <f aca="false">IF(O544="","",IFERROR(INDEX('Semrush Data'!$A$1:$Z$20000,MATCH(O544,'Semrush Data'!$A$1:$A$20000,0),MATCH("Volume",'Semrush Data'!$A$1:$Z$1,0)),""))</f>
        <v/>
      </c>
      <c r="U544" s="24" t="str">
        <f aca="false">IF(P544="","",IFERROR(INDEX('Semrush Data'!$A$1:$Z$20000,MATCH(P544,'Semrush Data'!$A$1:$A$20000,0),MATCH("Volume",'Semrush Data'!$A$1:$Z$1,0)),""))</f>
        <v/>
      </c>
      <c r="V544" s="25" t="str">
        <f aca="false">IF(COUNT(Q544:U544)=0,L544,IF(MAX(Q544:U544)=0,L544,INDEX(L544:P544,MATCH(MAX(Q544:U544),Q544:U544,0))))</f>
        <v>trussardi pure jasmine lifestyle mini gift set</v>
      </c>
      <c r="W544" s="24" t="n">
        <f aca="false">IFERROR(INDEX('Semrush Data'!$A$1:$Z$20000,MATCH(V544,'Semrush Data'!$A$1:$A$20000,0),MATCH("Volume",'Semrush Data'!$A$1:$Z$1,0)),"")</f>
        <v>0</v>
      </c>
      <c r="X544" s="24" t="n">
        <f aca="false">IFERROR(INDEX('Semrush Data'!$A$1:$Z$20000,MATCH(V544,'Semrush Data'!$A$1:$A$20000,0),MATCH("Keyword Difficulty*",'Semrush Data'!$A$1:$Z$1,0)),"")</f>
        <v>11</v>
      </c>
      <c r="Y544" s="26" t="n">
        <f aca="false">IFERROR(INDEX('Semrush Data'!$A$1:$Z$20000,MATCH(V544,'Semrush Data'!$A$1:$A$20000,0),MATCH("CPC*",'Semrush Data'!$A$1:$Z$1,0)),"")</f>
        <v>0</v>
      </c>
      <c r="Z544" s="23" t="s">
        <v>6449</v>
      </c>
      <c r="AA544" s="23"/>
      <c r="AB544" s="23" t="s">
        <v>6450</v>
      </c>
      <c r="AC544" s="23" t="s">
        <v>6451</v>
      </c>
      <c r="AD544" s="27" t="n">
        <f aca="false">LEN(AC544)</f>
        <v>60</v>
      </c>
      <c r="AE544" s="23" t="s">
        <v>6452</v>
      </c>
      <c r="AF544" s="27" t="n">
        <f aca="false">LEN(AE544)</f>
        <v>160</v>
      </c>
    </row>
    <row r="545" customFormat="false" ht="15" hidden="false" customHeight="true" outlineLevel="0" collapsed="false">
      <c r="A545" s="23" t="s">
        <v>6453</v>
      </c>
      <c r="B545" s="23" t="s">
        <v>2449</v>
      </c>
      <c r="C545" s="23" t="n">
        <v>385</v>
      </c>
      <c r="D545" s="23" t="s">
        <v>6398</v>
      </c>
      <c r="E545" s="23"/>
      <c r="F545" s="23" t="s">
        <v>1735</v>
      </c>
      <c r="G545" s="23" t="s">
        <v>2453</v>
      </c>
      <c r="H545" s="23" t="s">
        <v>2516</v>
      </c>
      <c r="I545" s="23" t="s">
        <v>6454</v>
      </c>
      <c r="J545" s="23" t="s">
        <v>2597</v>
      </c>
      <c r="K545" s="23" t="n">
        <v>29.99</v>
      </c>
      <c r="L545" s="23" t="s">
        <v>6455</v>
      </c>
      <c r="M545" s="23" t="s">
        <v>6456</v>
      </c>
      <c r="N545" s="23" t="s">
        <v>6457</v>
      </c>
      <c r="O545" s="23" t="s">
        <v>6458</v>
      </c>
      <c r="P545" s="23"/>
      <c r="Q545" s="24" t="n">
        <f aca="false">IF(L545="","",IFERROR(INDEX('Semrush Data'!$A$1:$Z$20000,MATCH(L545,'Semrush Data'!$A$1:$A$20000,0),MATCH("Volume",'Semrush Data'!$A$1:$Z$1,0)),""))</f>
        <v>0</v>
      </c>
      <c r="R545" s="24" t="str">
        <f aca="false">IF(M545="","",IFERROR(INDEX('Semrush Data'!$A$1:$Z$20000,MATCH(M545,'Semrush Data'!$A$1:$A$20000,0),MATCH("Volume",'Semrush Data'!$A$1:$Z$1,0)),""))</f>
        <v/>
      </c>
      <c r="S545" s="24" t="str">
        <f aca="false">IF(N545="","",IFERROR(INDEX('Semrush Data'!$A$1:$Z$20000,MATCH(N545,'Semrush Data'!$A$1:$A$20000,0),MATCH("Volume",'Semrush Data'!$A$1:$Z$1,0)),""))</f>
        <v/>
      </c>
      <c r="T545" s="24" t="str">
        <f aca="false">IF(O545="","",IFERROR(INDEX('Semrush Data'!$A$1:$Z$20000,MATCH(O545,'Semrush Data'!$A$1:$A$20000,0),MATCH("Volume",'Semrush Data'!$A$1:$Z$1,0)),""))</f>
        <v/>
      </c>
      <c r="U545" s="24" t="str">
        <f aca="false">IF(P545="","",IFERROR(INDEX('Semrush Data'!$A$1:$Z$20000,MATCH(P545,'Semrush Data'!$A$1:$A$20000,0),MATCH("Volume",'Semrush Data'!$A$1:$Z$1,0)),""))</f>
        <v/>
      </c>
      <c r="V545" s="25" t="str">
        <f aca="false">IF(COUNT(Q545:U545)=0,L545,IF(MAX(Q545:U545)=0,L545,INDEX(L545:P545,MATCH(MAX(Q545:U545),Q545:U545,0))))</f>
        <v>trussardi ruby red gift set</v>
      </c>
      <c r="W545" s="24" t="n">
        <f aca="false">IFERROR(INDEX('Semrush Data'!$A$1:$Z$20000,MATCH(V545,'Semrush Data'!$A$1:$A$20000,0),MATCH("Volume",'Semrush Data'!$A$1:$Z$1,0)),"")</f>
        <v>0</v>
      </c>
      <c r="X545" s="24" t="n">
        <f aca="false">IFERROR(INDEX('Semrush Data'!$A$1:$Z$20000,MATCH(V545,'Semrush Data'!$A$1:$A$20000,0),MATCH("Keyword Difficulty*",'Semrush Data'!$A$1:$Z$1,0)),"")</f>
        <v>11</v>
      </c>
      <c r="Y545" s="26" t="n">
        <f aca="false">IFERROR(INDEX('Semrush Data'!$A$1:$Z$20000,MATCH(V545,'Semrush Data'!$A$1:$A$20000,0),MATCH("CPC*",'Semrush Data'!$A$1:$Z$1,0)),"")</f>
        <v>0</v>
      </c>
      <c r="Z545" s="23" t="s">
        <v>6459</v>
      </c>
      <c r="AA545" s="23" t="s">
        <v>6460</v>
      </c>
      <c r="AB545" s="23" t="s">
        <v>6461</v>
      </c>
      <c r="AC545" s="23" t="s">
        <v>6462</v>
      </c>
      <c r="AD545" s="27" t="n">
        <f aca="false">LEN(AC545)</f>
        <v>55</v>
      </c>
      <c r="AE545" s="23" t="s">
        <v>6463</v>
      </c>
      <c r="AF545" s="27" t="n">
        <f aca="false">LEN(AE545)</f>
        <v>155</v>
      </c>
    </row>
    <row r="546" customFormat="false" ht="15" hidden="false" customHeight="true" outlineLevel="0" collapsed="false">
      <c r="A546" s="23" t="s">
        <v>6464</v>
      </c>
      <c r="B546" s="23" t="s">
        <v>2449</v>
      </c>
      <c r="C546" s="23" t="n">
        <v>386</v>
      </c>
      <c r="D546" s="23" t="s">
        <v>6465</v>
      </c>
      <c r="E546" s="23"/>
      <c r="F546" s="23" t="s">
        <v>2452</v>
      </c>
      <c r="G546" s="23" t="s">
        <v>2453</v>
      </c>
      <c r="H546" s="23" t="s">
        <v>2454</v>
      </c>
      <c r="I546" s="23" t="s">
        <v>6466</v>
      </c>
      <c r="J546" s="23" t="s">
        <v>2814</v>
      </c>
      <c r="K546" s="23" t="n">
        <v>19.99</v>
      </c>
      <c r="L546" s="23" t="s">
        <v>6467</v>
      </c>
      <c r="M546" s="23" t="s">
        <v>6468</v>
      </c>
      <c r="N546" s="23" t="s">
        <v>6469</v>
      </c>
      <c r="O546" s="23" t="s">
        <v>6470</v>
      </c>
      <c r="P546" s="23" t="s">
        <v>6471</v>
      </c>
      <c r="Q546" s="24" t="n">
        <f aca="false">IF(L546="","",IFERROR(INDEX('Semrush Data'!$A$1:$Z$20000,MATCH(L546,'Semrush Data'!$A$1:$A$20000,0),MATCH("Volume",'Semrush Data'!$A$1:$Z$1,0)),""))</f>
        <v>0</v>
      </c>
      <c r="R546" s="24" t="str">
        <f aca="false">IF(M546="","",IFERROR(INDEX('Semrush Data'!$A$1:$Z$20000,MATCH(M546,'Semrush Data'!$A$1:$A$20000,0),MATCH("Volume",'Semrush Data'!$A$1:$Z$1,0)),""))</f>
        <v/>
      </c>
      <c r="S546" s="24" t="str">
        <f aca="false">IF(N546="","",IFERROR(INDEX('Semrush Data'!$A$1:$Z$20000,MATCH(N546,'Semrush Data'!$A$1:$A$20000,0),MATCH("Volume",'Semrush Data'!$A$1:$Z$1,0)),""))</f>
        <v/>
      </c>
      <c r="T546" s="24" t="str">
        <f aca="false">IF(O546="","",IFERROR(INDEX('Semrush Data'!$A$1:$Z$20000,MATCH(O546,'Semrush Data'!$A$1:$A$20000,0),MATCH("Volume",'Semrush Data'!$A$1:$Z$1,0)),""))</f>
        <v/>
      </c>
      <c r="U546" s="24" t="str">
        <f aca="false">IF(P546="","",IFERROR(INDEX('Semrush Data'!$A$1:$Z$20000,MATCH(P546,'Semrush Data'!$A$1:$A$20000,0),MATCH("Volume",'Semrush Data'!$A$1:$Z$1,0)),""))</f>
        <v/>
      </c>
      <c r="V546" s="25" t="str">
        <f aca="false">IF(COUNT(Q546:U546)=0,L546,IF(MAX(Q546:U546)=0,L546,INDEX(L546:P546,MATCH(MAX(Q546:U546),Q546:U546,0))))</f>
        <v>viktor &amp; rolf good fortune miniature</v>
      </c>
      <c r="W546" s="24" t="n">
        <f aca="false">IFERROR(INDEX('Semrush Data'!$A$1:$Z$20000,MATCH(V546,'Semrush Data'!$A$1:$A$20000,0),MATCH("Volume",'Semrush Data'!$A$1:$Z$1,0)),"")</f>
        <v>0</v>
      </c>
      <c r="X546" s="24" t="n">
        <f aca="false">IFERROR(INDEX('Semrush Data'!$A$1:$Z$20000,MATCH(V546,'Semrush Data'!$A$1:$A$20000,0),MATCH("Keyword Difficulty*",'Semrush Data'!$A$1:$Z$1,0)),"")</f>
        <v>16</v>
      </c>
      <c r="Y546" s="26" t="n">
        <f aca="false">IFERROR(INDEX('Semrush Data'!$A$1:$Z$20000,MATCH(V546,'Semrush Data'!$A$1:$A$20000,0),MATCH("CPC*",'Semrush Data'!$A$1:$Z$1,0)),"")</f>
        <v>0</v>
      </c>
      <c r="Z546" s="23" t="s">
        <v>6472</v>
      </c>
      <c r="AA546" s="23"/>
      <c r="AB546" s="23" t="s">
        <v>6473</v>
      </c>
      <c r="AC546" s="23" t="s">
        <v>6474</v>
      </c>
      <c r="AD546" s="27" t="n">
        <f aca="false">LEN(AC546)</f>
        <v>59</v>
      </c>
      <c r="AE546" s="23" t="s">
        <v>6475</v>
      </c>
      <c r="AF546" s="27" t="n">
        <f aca="false">LEN(AE546)</f>
        <v>159</v>
      </c>
    </row>
    <row r="547" customFormat="false" ht="15" hidden="false" customHeight="true" outlineLevel="0" collapsed="false">
      <c r="A547" s="23" t="s">
        <v>6476</v>
      </c>
      <c r="B547" s="23" t="s">
        <v>2449</v>
      </c>
      <c r="C547" s="23" t="n">
        <v>387</v>
      </c>
      <c r="D547" s="23" t="s">
        <v>6477</v>
      </c>
      <c r="E547" s="23"/>
      <c r="F547" s="23" t="s">
        <v>2452</v>
      </c>
      <c r="G547" s="23" t="s">
        <v>2818</v>
      </c>
      <c r="H547" s="23" t="s">
        <v>2538</v>
      </c>
      <c r="I547" s="23" t="s">
        <v>6478</v>
      </c>
      <c r="J547" s="23" t="s">
        <v>2868</v>
      </c>
      <c r="K547" s="23" t="n">
        <v>94.99</v>
      </c>
      <c r="L547" s="23" t="s">
        <v>6479</v>
      </c>
      <c r="M547" s="23" t="s">
        <v>6480</v>
      </c>
      <c r="N547" s="23" t="s">
        <v>6481</v>
      </c>
      <c r="O547" s="23" t="s">
        <v>6482</v>
      </c>
      <c r="P547" s="23" t="s">
        <v>6483</v>
      </c>
      <c r="Q547" s="24" t="n">
        <f aca="false">IF(L547="","",IFERROR(INDEX('Semrush Data'!$A$1:$Z$20000,MATCH(L547,'Semrush Data'!$A$1:$A$20000,0),MATCH("Volume",'Semrush Data'!$A$1:$Z$1,0)),""))</f>
        <v>0</v>
      </c>
      <c r="R547" s="24" t="str">
        <f aca="false">IF(M547="","",IFERROR(INDEX('Semrush Data'!$A$1:$Z$20000,MATCH(M547,'Semrush Data'!$A$1:$A$20000,0),MATCH("Volume",'Semrush Data'!$A$1:$Z$1,0)),""))</f>
        <v/>
      </c>
      <c r="S547" s="24" t="str">
        <f aca="false">IF(N547="","",IFERROR(INDEX('Semrush Data'!$A$1:$Z$20000,MATCH(N547,'Semrush Data'!$A$1:$A$20000,0),MATCH("Volume",'Semrush Data'!$A$1:$Z$1,0)),""))</f>
        <v/>
      </c>
      <c r="T547" s="24" t="str">
        <f aca="false">IF(O547="","",IFERROR(INDEX('Semrush Data'!$A$1:$Z$20000,MATCH(O547,'Semrush Data'!$A$1:$A$20000,0),MATCH("Volume",'Semrush Data'!$A$1:$Z$1,0)),""))</f>
        <v/>
      </c>
      <c r="U547" s="24" t="str">
        <f aca="false">IF(P547="","",IFERROR(INDEX('Semrush Data'!$A$1:$Z$20000,MATCH(P547,'Semrush Data'!$A$1:$A$20000,0),MATCH("Volume",'Semrush Data'!$A$1:$Z$1,0)),""))</f>
        <v/>
      </c>
      <c r="V547" s="25" t="str">
        <f aca="false">IF(COUNT(Q547:U547)=0,L547,IF(MAX(Q547:U547)=0,L547,INDEX(L547:P547,MATCH(MAX(Q547:U547),Q547:U547,0))))</f>
        <v>ysl yves saint laurent yvresse w</v>
      </c>
      <c r="W547" s="24" t="n">
        <f aca="false">IFERROR(INDEX('Semrush Data'!$A$1:$Z$20000,MATCH(V547,'Semrush Data'!$A$1:$A$20000,0),MATCH("Volume",'Semrush Data'!$A$1:$Z$1,0)),"")</f>
        <v>0</v>
      </c>
      <c r="X547" s="24" t="n">
        <f aca="false">IFERROR(INDEX('Semrush Data'!$A$1:$Z$20000,MATCH(V547,'Semrush Data'!$A$1:$A$20000,0),MATCH("Keyword Difficulty*",'Semrush Data'!$A$1:$Z$1,0)),"")</f>
        <v>24</v>
      </c>
      <c r="Y547" s="26" t="n">
        <f aca="false">IFERROR(INDEX('Semrush Data'!$A$1:$Z$20000,MATCH(V547,'Semrush Data'!$A$1:$A$20000,0),MATCH("CPC*",'Semrush Data'!$A$1:$Z$1,0)),"")</f>
        <v>0</v>
      </c>
      <c r="Z547" s="23" t="s">
        <v>6484</v>
      </c>
      <c r="AA547" s="23"/>
      <c r="AB547" s="23" t="s">
        <v>6485</v>
      </c>
      <c r="AC547" s="23" t="s">
        <v>6486</v>
      </c>
      <c r="AD547" s="27" t="n">
        <f aca="false">LEN(AC547)</f>
        <v>60</v>
      </c>
      <c r="AE547" s="23" t="s">
        <v>6487</v>
      </c>
      <c r="AF547" s="27" t="n">
        <f aca="false">LEN(AE547)</f>
        <v>156</v>
      </c>
    </row>
  </sheetData>
  <autoFilter ref="A1:AF547"/>
  <conditionalFormatting sqref="AD2:AD547">
    <cfRule type="expression" priority="2" aboveAverage="0" equalAverage="0" bottom="0" percent="0" rank="0" text="" dxfId="9">
      <formula>OR(AD2&lt;50,AD2&gt;60)</formula>
    </cfRule>
  </conditionalFormatting>
  <conditionalFormatting sqref="AF2:AF547">
    <cfRule type="expression" priority="3" aboveAverage="0" equalAverage="0" bottom="0" percent="0" rank="0" text="" dxfId="9">
      <formula>OR(AF2&lt;140,AF2&gt;160)</formula>
    </cfRule>
  </conditionalFormatting>
  <conditionalFormatting sqref="E2:E547">
    <cfRule type="expression" priority="4" aboveAverage="0" equalAverage="0" bottom="0" percent="0" rank="0" text="" dxfId="10">
      <formula>E2&lt;&gt;""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24"/>
    <col collapsed="false" customWidth="true" hidden="false" outlineLevel="0" max="3" min="3" style="1" width="6"/>
    <col collapsed="false" customWidth="true" hidden="false" outlineLevel="0" max="5" min="4" style="1" width="9"/>
    <col collapsed="false" customWidth="true" hidden="false" outlineLevel="0" max="6" min="6" style="1" width="40"/>
    <col collapsed="false" customWidth="true" hidden="false" outlineLevel="0" max="8" min="7" style="1" width="10"/>
    <col collapsed="false" customWidth="true" hidden="false" outlineLevel="0" max="9" min="9" style="1" width="9"/>
    <col collapsed="false" customWidth="true" hidden="false" outlineLevel="0" max="10" min="10" style="1" width="16"/>
  </cols>
  <sheetData>
    <row r="1" customFormat="false" ht="31.5" hidden="false" customHeight="true" outlineLevel="0" collapsed="false">
      <c r="A1" s="16" t="s">
        <v>151</v>
      </c>
      <c r="B1" s="16" t="s">
        <v>152</v>
      </c>
      <c r="C1" s="16" t="s">
        <v>6488</v>
      </c>
      <c r="D1" s="16" t="s">
        <v>6489</v>
      </c>
      <c r="E1" s="16" t="s">
        <v>6490</v>
      </c>
      <c r="F1" s="16" t="s">
        <v>6491</v>
      </c>
      <c r="G1" s="17" t="s">
        <v>43</v>
      </c>
      <c r="H1" s="17" t="s">
        <v>6492</v>
      </c>
      <c r="I1" s="17" t="s">
        <v>45</v>
      </c>
      <c r="J1" s="17" t="s">
        <v>6493</v>
      </c>
    </row>
    <row r="2" customFormat="false" ht="15" hidden="false" customHeight="true" outlineLevel="0" collapsed="false">
      <c r="A2" s="6" t="s">
        <v>6494</v>
      </c>
      <c r="B2" s="6" t="s">
        <v>296</v>
      </c>
      <c r="C2" s="6" t="n">
        <v>1</v>
      </c>
      <c r="D2" s="6" t="n">
        <v>1</v>
      </c>
      <c r="E2" s="6" t="n">
        <v>0</v>
      </c>
      <c r="F2" s="6"/>
      <c r="G2" s="28" t="n">
        <f aca="false">IFERROR(INDEX('Semrush Data'!$A$1:$Z$20000,MATCH(A2,'Semrush Data'!$A$1:$A$20000,0),MATCH("Volume",'Semrush Data'!$A$1:$Z$1,0)),"")</f>
        <v>0</v>
      </c>
      <c r="H2" s="6" t="n">
        <f aca="false">IFERROR(INDEX('Semrush Data'!$A$1:$Z$20000,MATCH(A2,'Semrush Data'!$A$1:$A$20000,0),MATCH("Keyword Difficulty*",'Semrush Data'!$A$1:$Z$1,0)),"")</f>
        <v>14</v>
      </c>
      <c r="I2" s="29" t="n">
        <f aca="false">IFERROR(INDEX('Semrush Data'!$A$1:$Z$20000,MATCH(A2,'Semrush Data'!$A$1:$A$20000,0),MATCH("CPC*",'Semrush Data'!$A$1:$Z$1,0)),"")</f>
        <v>0</v>
      </c>
      <c r="J2" s="6" t="str">
        <f aca="false">IFERROR(INDEX('Semrush Data'!$A$1:$Z$20000,MATCH(A2,'Semrush Data'!$A$1:$A$20000,0),MATCH("Intent",'Semrush Data'!$A$1:$Z$1,0)),"")</f>
        <v>Transactional Navigational</v>
      </c>
    </row>
    <row r="3" customFormat="false" ht="15" hidden="false" customHeight="true" outlineLevel="0" collapsed="false">
      <c r="A3" s="6" t="s">
        <v>6495</v>
      </c>
      <c r="B3" s="6" t="s">
        <v>296</v>
      </c>
      <c r="C3" s="6" t="n">
        <v>1</v>
      </c>
      <c r="D3" s="6" t="n">
        <v>1</v>
      </c>
      <c r="E3" s="6" t="n">
        <v>0</v>
      </c>
      <c r="F3" s="6"/>
      <c r="G3" s="28" t="n">
        <f aca="false">IFERROR(INDEX('Semrush Data'!$A$1:$Z$20000,MATCH(A3,'Semrush Data'!$A$1:$A$20000,0),MATCH("Volume",'Semrush Data'!$A$1:$Z$1,0)),"")</f>
        <v>0</v>
      </c>
      <c r="H3" s="6" t="n">
        <f aca="false">IFERROR(INDEX('Semrush Data'!$A$1:$Z$20000,MATCH(A3,'Semrush Data'!$A$1:$A$20000,0),MATCH("Keyword Difficulty*",'Semrush Data'!$A$1:$Z$1,0)),"")</f>
        <v>19</v>
      </c>
      <c r="I3" s="29" t="n">
        <f aca="false">IFERROR(INDEX('Semrush Data'!$A$1:$Z$20000,MATCH(A3,'Semrush Data'!$A$1:$A$20000,0),MATCH("CPC*",'Semrush Data'!$A$1:$Z$1,0)),"")</f>
        <v>0</v>
      </c>
      <c r="J3" s="6" t="str">
        <f aca="false">IFERROR(INDEX('Semrush Data'!$A$1:$Z$20000,MATCH(A3,'Semrush Data'!$A$1:$A$20000,0),MATCH("Intent",'Semrush Data'!$A$1:$Z$1,0)),"")</f>
        <v>Transactional</v>
      </c>
    </row>
    <row r="4" customFormat="false" ht="15" hidden="false" customHeight="true" outlineLevel="0" collapsed="false">
      <c r="A4" s="6" t="s">
        <v>301</v>
      </c>
      <c r="B4" s="6" t="s">
        <v>296</v>
      </c>
      <c r="C4" s="6" t="n">
        <v>1</v>
      </c>
      <c r="D4" s="6" t="n">
        <v>1</v>
      </c>
      <c r="E4" s="6" t="n">
        <v>0</v>
      </c>
      <c r="F4" s="6"/>
      <c r="G4" s="28" t="n">
        <f aca="false">IFERROR(INDEX('Semrush Data'!$A$1:$Z$20000,MATCH(A4,'Semrush Data'!$A$1:$A$20000,0),MATCH("Volume",'Semrush Data'!$A$1:$Z$1,0)),"")</f>
        <v>140</v>
      </c>
      <c r="H4" s="6" t="n">
        <f aca="false">IFERROR(INDEX('Semrush Data'!$A$1:$Z$20000,MATCH(A4,'Semrush Data'!$A$1:$A$20000,0),MATCH("Keyword Difficulty*",'Semrush Data'!$A$1:$Z$1,0)),"")</f>
        <v>28</v>
      </c>
      <c r="I4" s="29" t="n">
        <f aca="false">IFERROR(INDEX('Semrush Data'!$A$1:$Z$20000,MATCH(A4,'Semrush Data'!$A$1:$A$20000,0),MATCH("CPC*",'Semrush Data'!$A$1:$Z$1,0)),"")</f>
        <v>0.3</v>
      </c>
      <c r="J4" s="6" t="str">
        <f aca="false">IFERROR(INDEX('Semrush Data'!$A$1:$Z$20000,MATCH(A4,'Semrush Data'!$A$1:$A$20000,0),MATCH("Intent",'Semrush Data'!$A$1:$Z$1,0)),"")</f>
        <v>Navigational</v>
      </c>
    </row>
    <row r="5" customFormat="false" ht="15" hidden="false" customHeight="true" outlineLevel="0" collapsed="false">
      <c r="A5" s="6" t="s">
        <v>6496</v>
      </c>
      <c r="B5" s="6" t="s">
        <v>296</v>
      </c>
      <c r="C5" s="6" t="n">
        <v>1</v>
      </c>
      <c r="D5" s="6" t="n">
        <v>1</v>
      </c>
      <c r="E5" s="6" t="n">
        <v>0</v>
      </c>
      <c r="F5" s="6"/>
      <c r="G5" s="28" t="n">
        <f aca="false">IFERROR(INDEX('Semrush Data'!$A$1:$Z$20000,MATCH(A5,'Semrush Data'!$A$1:$A$20000,0),MATCH("Volume",'Semrush Data'!$A$1:$Z$1,0)),"")</f>
        <v>0</v>
      </c>
      <c r="H5" s="6" t="n">
        <f aca="false">IFERROR(INDEX('Semrush Data'!$A$1:$Z$20000,MATCH(A5,'Semrush Data'!$A$1:$A$20000,0),MATCH("Keyword Difficulty*",'Semrush Data'!$A$1:$Z$1,0)),"")</f>
        <v>22</v>
      </c>
      <c r="I5" s="29" t="n">
        <f aca="false">IFERROR(INDEX('Semrush Data'!$A$1:$Z$20000,MATCH(A5,'Semrush Data'!$A$1:$A$20000,0),MATCH("CPC*",'Semrush Data'!$A$1:$Z$1,0)),"")</f>
        <v>0</v>
      </c>
      <c r="J5" s="6" t="str">
        <f aca="false">IFERROR(INDEX('Semrush Data'!$A$1:$Z$20000,MATCH(A5,'Semrush Data'!$A$1:$A$20000,0),MATCH("Intent",'Semrush Data'!$A$1:$Z$1,0)),"")</f>
        <v>Navigational</v>
      </c>
    </row>
    <row r="6" customFormat="false" ht="15" hidden="false" customHeight="true" outlineLevel="0" collapsed="false">
      <c r="A6" s="6" t="s">
        <v>306</v>
      </c>
      <c r="B6" s="6" t="s">
        <v>296</v>
      </c>
      <c r="C6" s="6" t="n">
        <v>1</v>
      </c>
      <c r="D6" s="6" t="n">
        <v>1</v>
      </c>
      <c r="E6" s="6" t="n">
        <v>0</v>
      </c>
      <c r="F6" s="6"/>
      <c r="G6" s="28" t="n">
        <f aca="false">IFERROR(INDEX('Semrush Data'!$A$1:$Z$20000,MATCH(A6,'Semrush Data'!$A$1:$A$20000,0),MATCH("Volume",'Semrush Data'!$A$1:$Z$1,0)),"")</f>
        <v>20</v>
      </c>
      <c r="H6" s="6" t="n">
        <f aca="false">IFERROR(INDEX('Semrush Data'!$A$1:$Z$20000,MATCH(A6,'Semrush Data'!$A$1:$A$20000,0),MATCH("Keyword Difficulty*",'Semrush Data'!$A$1:$Z$1,0)),"")</f>
        <v>12</v>
      </c>
      <c r="I6" s="29" t="n">
        <f aca="false">IFERROR(INDEX('Semrush Data'!$A$1:$Z$20000,MATCH(A6,'Semrush Data'!$A$1:$A$20000,0),MATCH("CPC*",'Semrush Data'!$A$1:$Z$1,0)),"")</f>
        <v>0</v>
      </c>
      <c r="J6" s="6" t="str">
        <f aca="false">IFERROR(INDEX('Semrush Data'!$A$1:$Z$20000,MATCH(A6,'Semrush Data'!$A$1:$A$20000,0),MATCH("Intent",'Semrush Data'!$A$1:$Z$1,0)),"")</f>
        <v>Navigational</v>
      </c>
    </row>
    <row r="7" customFormat="false" ht="15" hidden="false" customHeight="true" outlineLevel="0" collapsed="false">
      <c r="A7" s="6" t="s">
        <v>6497</v>
      </c>
      <c r="B7" s="6" t="s">
        <v>296</v>
      </c>
      <c r="C7" s="6" t="n">
        <v>1</v>
      </c>
      <c r="D7" s="6" t="n">
        <v>1</v>
      </c>
      <c r="E7" s="6" t="n">
        <v>0</v>
      </c>
      <c r="F7" s="6"/>
      <c r="G7" s="28" t="n">
        <f aca="false">IFERROR(INDEX('Semrush Data'!$A$1:$Z$20000,MATCH(A7,'Semrush Data'!$A$1:$A$20000,0),MATCH("Volume",'Semrush Data'!$A$1:$Z$1,0)),"")</f>
        <v>0</v>
      </c>
      <c r="H7" s="6" t="n">
        <f aca="false">IFERROR(INDEX('Semrush Data'!$A$1:$Z$20000,MATCH(A7,'Semrush Data'!$A$1:$A$20000,0),MATCH("Keyword Difficulty*",'Semrush Data'!$A$1:$Z$1,0)),"")</f>
        <v>16</v>
      </c>
      <c r="I7" s="29" t="n">
        <f aca="false">IFERROR(INDEX('Semrush Data'!$A$1:$Z$20000,MATCH(A7,'Semrush Data'!$A$1:$A$20000,0),MATCH("CPC*",'Semrush Data'!$A$1:$Z$1,0)),"")</f>
        <v>0</v>
      </c>
      <c r="J7" s="6" t="str">
        <f aca="false">IFERROR(INDEX('Semrush Data'!$A$1:$Z$20000,MATCH(A7,'Semrush Data'!$A$1:$A$20000,0),MATCH("Intent",'Semrush Data'!$A$1:$Z$1,0)),"")</f>
        <v>Transactional Navigational</v>
      </c>
    </row>
    <row r="8" customFormat="false" ht="15" hidden="false" customHeight="true" outlineLevel="0" collapsed="false">
      <c r="A8" s="6" t="s">
        <v>6498</v>
      </c>
      <c r="B8" s="6" t="s">
        <v>296</v>
      </c>
      <c r="C8" s="6" t="n">
        <v>1</v>
      </c>
      <c r="D8" s="6" t="n">
        <v>1</v>
      </c>
      <c r="E8" s="6" t="n">
        <v>0</v>
      </c>
      <c r="F8" s="6"/>
      <c r="G8" s="28" t="n">
        <f aca="false">IFERROR(INDEX('Semrush Data'!$A$1:$Z$20000,MATCH(A8,'Semrush Data'!$A$1:$A$20000,0),MATCH("Volume",'Semrush Data'!$A$1:$Z$1,0)),"")</f>
        <v>0</v>
      </c>
      <c r="H8" s="6" t="n">
        <f aca="false">IFERROR(INDEX('Semrush Data'!$A$1:$Z$20000,MATCH(A8,'Semrush Data'!$A$1:$A$20000,0),MATCH("Keyword Difficulty*",'Semrush Data'!$A$1:$Z$1,0)),"")</f>
        <v>30</v>
      </c>
      <c r="I8" s="29" t="n">
        <f aca="false">IFERROR(INDEX('Semrush Data'!$A$1:$Z$20000,MATCH(A8,'Semrush Data'!$A$1:$A$20000,0),MATCH("CPC*",'Semrush Data'!$A$1:$Z$1,0)),"")</f>
        <v>0</v>
      </c>
      <c r="J8" s="6" t="str">
        <f aca="false">IFERROR(INDEX('Semrush Data'!$A$1:$Z$20000,MATCH(A8,'Semrush Data'!$A$1:$A$20000,0),MATCH("Intent",'Semrush Data'!$A$1:$Z$1,0)),"")</f>
        <v>Navigational</v>
      </c>
    </row>
    <row r="9" customFormat="false" ht="15" hidden="false" customHeight="true" outlineLevel="0" collapsed="false">
      <c r="A9" s="6" t="s">
        <v>295</v>
      </c>
      <c r="B9" s="6" t="s">
        <v>296</v>
      </c>
      <c r="C9" s="6" t="n">
        <v>1</v>
      </c>
      <c r="D9" s="6" t="n">
        <v>1</v>
      </c>
      <c r="E9" s="6" t="n">
        <v>0</v>
      </c>
      <c r="F9" s="6"/>
      <c r="G9" s="28" t="n">
        <f aca="false">IFERROR(INDEX('Semrush Data'!$A$1:$Z$20000,MATCH(A9,'Semrush Data'!$A$1:$A$20000,0),MATCH("Volume",'Semrush Data'!$A$1:$Z$1,0)),"")</f>
        <v>480</v>
      </c>
      <c r="H9" s="6" t="n">
        <f aca="false">IFERROR(INDEX('Semrush Data'!$A$1:$Z$20000,MATCH(A9,'Semrush Data'!$A$1:$A$20000,0),MATCH("Keyword Difficulty*",'Semrush Data'!$A$1:$Z$1,0)),"")</f>
        <v>12</v>
      </c>
      <c r="I9" s="29" t="n">
        <f aca="false">IFERROR(INDEX('Semrush Data'!$A$1:$Z$20000,MATCH(A9,'Semrush Data'!$A$1:$A$20000,0),MATCH("CPC*",'Semrush Data'!$A$1:$Z$1,0)),"")</f>
        <v>1.03</v>
      </c>
      <c r="J9" s="6" t="str">
        <f aca="false">IFERROR(INDEX('Semrush Data'!$A$1:$Z$20000,MATCH(A9,'Semrush Data'!$A$1:$A$20000,0),MATCH("Intent",'Semrush Data'!$A$1:$Z$1,0)),"")</f>
        <v>Commercial</v>
      </c>
    </row>
    <row r="10" customFormat="false" ht="15" hidden="false" customHeight="true" outlineLevel="0" collapsed="false">
      <c r="A10" s="6" t="s">
        <v>307</v>
      </c>
      <c r="B10" s="6" t="s">
        <v>296</v>
      </c>
      <c r="C10" s="6" t="n">
        <v>1</v>
      </c>
      <c r="D10" s="6" t="n">
        <v>1</v>
      </c>
      <c r="E10" s="6" t="n">
        <v>0</v>
      </c>
      <c r="F10" s="6"/>
      <c r="G10" s="28" t="n">
        <f aca="false">IFERROR(INDEX('Semrush Data'!$A$1:$Z$20000,MATCH(A10,'Semrush Data'!$A$1:$A$20000,0),MATCH("Volume",'Semrush Data'!$A$1:$Z$1,0)),"")</f>
        <v>20</v>
      </c>
      <c r="H10" s="6" t="n">
        <f aca="false">IFERROR(INDEX('Semrush Data'!$A$1:$Z$20000,MATCH(A10,'Semrush Data'!$A$1:$A$20000,0),MATCH("Keyword Difficulty*",'Semrush Data'!$A$1:$Z$1,0)),"")</f>
        <v>33</v>
      </c>
      <c r="I10" s="29" t="n">
        <f aca="false">IFERROR(INDEX('Semrush Data'!$A$1:$Z$20000,MATCH(A10,'Semrush Data'!$A$1:$A$20000,0),MATCH("CPC*",'Semrush Data'!$A$1:$Z$1,0)),"")</f>
        <v>0</v>
      </c>
      <c r="J10" s="6" t="str">
        <f aca="false">IFERROR(INDEX('Semrush Data'!$A$1:$Z$20000,MATCH(A10,'Semrush Data'!$A$1:$A$20000,0),MATCH("Intent",'Semrush Data'!$A$1:$Z$1,0)),"")</f>
        <v>Commercial</v>
      </c>
    </row>
    <row r="11" customFormat="false" ht="15" hidden="false" customHeight="true" outlineLevel="0" collapsed="false">
      <c r="A11" s="6" t="s">
        <v>308</v>
      </c>
      <c r="B11" s="6" t="s">
        <v>296</v>
      </c>
      <c r="C11" s="6" t="n">
        <v>1</v>
      </c>
      <c r="D11" s="6" t="n">
        <v>1</v>
      </c>
      <c r="E11" s="6" t="n">
        <v>0</v>
      </c>
      <c r="F11" s="6"/>
      <c r="G11" s="28" t="n">
        <f aca="false">IFERROR(INDEX('Semrush Data'!$A$1:$Z$20000,MATCH(A11,'Semrush Data'!$A$1:$A$20000,0),MATCH("Volume",'Semrush Data'!$A$1:$Z$1,0)),"")</f>
        <v>20</v>
      </c>
      <c r="H11" s="6" t="n">
        <f aca="false">IFERROR(INDEX('Semrush Data'!$A$1:$Z$20000,MATCH(A11,'Semrush Data'!$A$1:$A$20000,0),MATCH("Keyword Difficulty*",'Semrush Data'!$A$1:$Z$1,0)),"")</f>
        <v>26</v>
      </c>
      <c r="I11" s="29" t="n">
        <f aca="false">IFERROR(INDEX('Semrush Data'!$A$1:$Z$20000,MATCH(A11,'Semrush Data'!$A$1:$A$20000,0),MATCH("CPC*",'Semrush Data'!$A$1:$Z$1,0)),"")</f>
        <v>0.36</v>
      </c>
      <c r="J11" s="6" t="str">
        <f aca="false">IFERROR(INDEX('Semrush Data'!$A$1:$Z$20000,MATCH(A11,'Semrush Data'!$A$1:$A$20000,0),MATCH("Intent",'Semrush Data'!$A$1:$Z$1,0)),"")</f>
        <v>Commercial</v>
      </c>
    </row>
    <row r="12" customFormat="false" ht="15" hidden="false" customHeight="true" outlineLevel="0" collapsed="false">
      <c r="A12" s="6" t="s">
        <v>6499</v>
      </c>
      <c r="B12" s="6" t="s">
        <v>296</v>
      </c>
      <c r="C12" s="6" t="n">
        <v>1</v>
      </c>
      <c r="D12" s="6" t="n">
        <v>1</v>
      </c>
      <c r="E12" s="6" t="n">
        <v>0</v>
      </c>
      <c r="F12" s="6"/>
      <c r="G12" s="28" t="n">
        <f aca="false">IFERROR(INDEX('Semrush Data'!$A$1:$Z$20000,MATCH(A12,'Semrush Data'!$A$1:$A$20000,0),MATCH("Volume",'Semrush Data'!$A$1:$Z$1,0)),"")</f>
        <v>0</v>
      </c>
      <c r="H12" s="6" t="n">
        <f aca="false">IFERROR(INDEX('Semrush Data'!$A$1:$Z$20000,MATCH(A12,'Semrush Data'!$A$1:$A$20000,0),MATCH("Keyword Difficulty*",'Semrush Data'!$A$1:$Z$1,0)),"")</f>
        <v>21</v>
      </c>
      <c r="I12" s="29" t="n">
        <f aca="false">IFERROR(INDEX('Semrush Data'!$A$1:$Z$20000,MATCH(A12,'Semrush Data'!$A$1:$A$20000,0),MATCH("CPC*",'Semrush Data'!$A$1:$Z$1,0)),"")</f>
        <v>0</v>
      </c>
      <c r="J12" s="6" t="str">
        <f aca="false">IFERROR(INDEX('Semrush Data'!$A$1:$Z$20000,MATCH(A12,'Semrush Data'!$A$1:$A$20000,0),MATCH("Intent",'Semrush Data'!$A$1:$Z$1,0)),"")</f>
        <v>Informational</v>
      </c>
    </row>
    <row r="13" customFormat="false" ht="15" hidden="false" customHeight="true" outlineLevel="0" collapsed="false">
      <c r="A13" s="6" t="s">
        <v>6500</v>
      </c>
      <c r="B13" s="6" t="s">
        <v>296</v>
      </c>
      <c r="C13" s="6" t="n">
        <v>1</v>
      </c>
      <c r="D13" s="6" t="n">
        <v>1</v>
      </c>
      <c r="E13" s="6" t="n">
        <v>0</v>
      </c>
      <c r="F13" s="6"/>
      <c r="G13" s="28" t="n">
        <f aca="false">IFERROR(INDEX('Semrush Data'!$A$1:$Z$20000,MATCH(A13,'Semrush Data'!$A$1:$A$20000,0),MATCH("Volume",'Semrush Data'!$A$1:$Z$1,0)),"")</f>
        <v>0</v>
      </c>
      <c r="H13" s="6" t="n">
        <f aca="false">IFERROR(INDEX('Semrush Data'!$A$1:$Z$20000,MATCH(A13,'Semrush Data'!$A$1:$A$20000,0),MATCH("Keyword Difficulty*",'Semrush Data'!$A$1:$Z$1,0)),"")</f>
        <v>33</v>
      </c>
      <c r="I13" s="29" t="n">
        <f aca="false">IFERROR(INDEX('Semrush Data'!$A$1:$Z$20000,MATCH(A13,'Semrush Data'!$A$1:$A$20000,0),MATCH("CPC*",'Semrush Data'!$A$1:$Z$1,0)),"")</f>
        <v>0</v>
      </c>
      <c r="J13" s="6" t="str">
        <f aca="false">IFERROR(INDEX('Semrush Data'!$A$1:$Z$20000,MATCH(A13,'Semrush Data'!$A$1:$A$20000,0),MATCH("Intent",'Semrush Data'!$A$1:$Z$1,0)),"")</f>
        <v>Navigational</v>
      </c>
    </row>
    <row r="14" customFormat="false" ht="15" hidden="false" customHeight="true" outlineLevel="0" collapsed="false">
      <c r="A14" s="6" t="s">
        <v>304</v>
      </c>
      <c r="B14" s="6" t="s">
        <v>296</v>
      </c>
      <c r="C14" s="6" t="n">
        <v>1</v>
      </c>
      <c r="D14" s="6" t="n">
        <v>1</v>
      </c>
      <c r="E14" s="6" t="n">
        <v>0</v>
      </c>
      <c r="F14" s="6"/>
      <c r="G14" s="28" t="n">
        <f aca="false">IFERROR(INDEX('Semrush Data'!$A$1:$Z$20000,MATCH(A14,'Semrush Data'!$A$1:$A$20000,0),MATCH("Volume",'Semrush Data'!$A$1:$Z$1,0)),"")</f>
        <v>30</v>
      </c>
      <c r="H14" s="6" t="n">
        <f aca="false">IFERROR(INDEX('Semrush Data'!$A$1:$Z$20000,MATCH(A14,'Semrush Data'!$A$1:$A$20000,0),MATCH("Keyword Difficulty*",'Semrush Data'!$A$1:$Z$1,0)),"")</f>
        <v>9</v>
      </c>
      <c r="I14" s="29" t="n">
        <f aca="false">IFERROR(INDEX('Semrush Data'!$A$1:$Z$20000,MATCH(A14,'Semrush Data'!$A$1:$A$20000,0),MATCH("CPC*",'Semrush Data'!$A$1:$Z$1,0)),"")</f>
        <v>0.78</v>
      </c>
      <c r="J14" s="6" t="str">
        <f aca="false">IFERROR(INDEX('Semrush Data'!$A$1:$Z$20000,MATCH(A14,'Semrush Data'!$A$1:$A$20000,0),MATCH("Intent",'Semrush Data'!$A$1:$Z$1,0)),"")</f>
        <v>Navigational</v>
      </c>
    </row>
    <row r="15" customFormat="false" ht="15" hidden="false" customHeight="true" outlineLevel="0" collapsed="false">
      <c r="A15" s="6" t="s">
        <v>6501</v>
      </c>
      <c r="B15" s="6" t="s">
        <v>316</v>
      </c>
      <c r="C15" s="6" t="n">
        <v>1</v>
      </c>
      <c r="D15" s="6" t="n">
        <v>1</v>
      </c>
      <c r="E15" s="6" t="n">
        <v>2</v>
      </c>
      <c r="F15" s="6" t="s">
        <v>6502</v>
      </c>
      <c r="G15" s="28" t="n">
        <f aca="false">IFERROR(INDEX('Semrush Data'!$A$1:$Z$20000,MATCH(A15,'Semrush Data'!$A$1:$A$20000,0),MATCH("Volume",'Semrush Data'!$A$1:$Z$1,0)),"")</f>
        <v>590</v>
      </c>
      <c r="H15" s="6" t="n">
        <f aca="false">IFERROR(INDEX('Semrush Data'!$A$1:$Z$20000,MATCH(A15,'Semrush Data'!$A$1:$A$20000,0),MATCH("Keyword Difficulty*",'Semrush Data'!$A$1:$Z$1,0)),"")</f>
        <v>21</v>
      </c>
      <c r="I15" s="29" t="n">
        <f aca="false">IFERROR(INDEX('Semrush Data'!$A$1:$Z$20000,MATCH(A15,'Semrush Data'!$A$1:$A$20000,0),MATCH("CPC*",'Semrush Data'!$A$1:$Z$1,0)),"")</f>
        <v>0.3</v>
      </c>
      <c r="J15" s="6" t="str">
        <f aca="false">IFERROR(INDEX('Semrush Data'!$A$1:$Z$20000,MATCH(A15,'Semrush Data'!$A$1:$A$20000,0),MATCH("Intent",'Semrush Data'!$A$1:$Z$1,0)),"")</f>
        <v>Informational Transactional</v>
      </c>
    </row>
    <row r="16" customFormat="false" ht="15" hidden="false" customHeight="true" outlineLevel="0" collapsed="false">
      <c r="A16" s="6" t="s">
        <v>6503</v>
      </c>
      <c r="B16" s="6" t="s">
        <v>316</v>
      </c>
      <c r="C16" s="6" t="n">
        <v>1</v>
      </c>
      <c r="D16" s="6" t="n">
        <v>1</v>
      </c>
      <c r="E16" s="6" t="n">
        <v>2</v>
      </c>
      <c r="F16" s="6" t="s">
        <v>6502</v>
      </c>
      <c r="G16" s="28" t="n">
        <f aca="false">IFERROR(INDEX('Semrush Data'!$A$1:$Z$20000,MATCH(A16,'Semrush Data'!$A$1:$A$20000,0),MATCH("Volume",'Semrush Data'!$A$1:$Z$1,0)),"")</f>
        <v>0</v>
      </c>
      <c r="H16" s="6" t="n">
        <f aca="false">IFERROR(INDEX('Semrush Data'!$A$1:$Z$20000,MATCH(A16,'Semrush Data'!$A$1:$A$20000,0),MATCH("Keyword Difficulty*",'Semrush Data'!$A$1:$Z$1,0)),"")</f>
        <v>20</v>
      </c>
      <c r="I16" s="29" t="n">
        <f aca="false">IFERROR(INDEX('Semrush Data'!$A$1:$Z$20000,MATCH(A16,'Semrush Data'!$A$1:$A$20000,0),MATCH("CPC*",'Semrush Data'!$A$1:$Z$1,0)),"")</f>
        <v>0</v>
      </c>
      <c r="J16" s="6" t="str">
        <f aca="false">IFERROR(INDEX('Semrush Data'!$A$1:$Z$20000,MATCH(A16,'Semrush Data'!$A$1:$A$20000,0),MATCH("Intent",'Semrush Data'!$A$1:$Z$1,0)),"")</f>
        <v>Informational Transactional</v>
      </c>
    </row>
    <row r="17" customFormat="false" ht="15" hidden="false" customHeight="true" outlineLevel="0" collapsed="false">
      <c r="A17" s="6" t="s">
        <v>350</v>
      </c>
      <c r="B17" s="6" t="s">
        <v>316</v>
      </c>
      <c r="C17" s="6" t="n">
        <v>1</v>
      </c>
      <c r="D17" s="6" t="n">
        <v>1</v>
      </c>
      <c r="E17" s="6" t="n">
        <v>8</v>
      </c>
      <c r="F17" s="6" t="s">
        <v>6504</v>
      </c>
      <c r="G17" s="28" t="n">
        <f aca="false">IFERROR(INDEX('Semrush Data'!$A$1:$Z$20000,MATCH(A17,'Semrush Data'!$A$1:$A$20000,0),MATCH("Volume",'Semrush Data'!$A$1:$Z$1,0)),"")</f>
        <v>1000</v>
      </c>
      <c r="H17" s="6" t="n">
        <f aca="false">IFERROR(INDEX('Semrush Data'!$A$1:$Z$20000,MATCH(A17,'Semrush Data'!$A$1:$A$20000,0),MATCH("Keyword Difficulty*",'Semrush Data'!$A$1:$Z$1,0)),"")</f>
        <v>34</v>
      </c>
      <c r="I17" s="29" t="n">
        <f aca="false">IFERROR(INDEX('Semrush Data'!$A$1:$Z$20000,MATCH(A17,'Semrush Data'!$A$1:$A$20000,0),MATCH("CPC*",'Semrush Data'!$A$1:$Z$1,0)),"")</f>
        <v>0.34</v>
      </c>
      <c r="J17" s="6" t="str">
        <f aca="false">IFERROR(INDEX('Semrush Data'!$A$1:$Z$20000,MATCH(A17,'Semrush Data'!$A$1:$A$20000,0),MATCH("Intent",'Semrush Data'!$A$1:$Z$1,0)),"")</f>
        <v>Informational</v>
      </c>
    </row>
    <row r="18" customFormat="false" ht="15" hidden="false" customHeight="true" outlineLevel="0" collapsed="false">
      <c r="A18" s="6" t="s">
        <v>6505</v>
      </c>
      <c r="B18" s="6" t="s">
        <v>316</v>
      </c>
      <c r="C18" s="6" t="n">
        <v>1</v>
      </c>
      <c r="D18" s="6" t="n">
        <v>1</v>
      </c>
      <c r="E18" s="6" t="n">
        <v>1</v>
      </c>
      <c r="F18" s="6" t="s">
        <v>2503</v>
      </c>
      <c r="G18" s="28" t="n">
        <f aca="false">IFERROR(INDEX('Semrush Data'!$A$1:$Z$20000,MATCH(A18,'Semrush Data'!$A$1:$A$20000,0),MATCH("Volume",'Semrush Data'!$A$1:$Z$1,0)),"")</f>
        <v>20</v>
      </c>
      <c r="H18" s="6" t="n">
        <f aca="false">IFERROR(INDEX('Semrush Data'!$A$1:$Z$20000,MATCH(A18,'Semrush Data'!$A$1:$A$20000,0),MATCH("Keyword Difficulty*",'Semrush Data'!$A$1:$Z$1,0)),"")</f>
        <v>17</v>
      </c>
      <c r="I18" s="29" t="n">
        <f aca="false">IFERROR(INDEX('Semrush Data'!$A$1:$Z$20000,MATCH(A18,'Semrush Data'!$A$1:$A$20000,0),MATCH("CPC*",'Semrush Data'!$A$1:$Z$1,0)),"")</f>
        <v>0.31</v>
      </c>
      <c r="J18" s="6" t="str">
        <f aca="false">IFERROR(INDEX('Semrush Data'!$A$1:$Z$20000,MATCH(A18,'Semrush Data'!$A$1:$A$20000,0),MATCH("Intent",'Semrush Data'!$A$1:$Z$1,0)),"")</f>
        <v>Informational</v>
      </c>
    </row>
    <row r="19" customFormat="false" ht="15" hidden="false" customHeight="true" outlineLevel="0" collapsed="false">
      <c r="A19" s="6" t="s">
        <v>6506</v>
      </c>
      <c r="B19" s="6" t="s">
        <v>316</v>
      </c>
      <c r="C19" s="6" t="n">
        <v>1</v>
      </c>
      <c r="D19" s="6" t="n">
        <v>1</v>
      </c>
      <c r="E19" s="6" t="n">
        <v>1</v>
      </c>
      <c r="F19" s="6" t="s">
        <v>141</v>
      </c>
      <c r="G19" s="28" t="n">
        <f aca="false">IFERROR(INDEX('Semrush Data'!$A$1:$Z$20000,MATCH(A19,'Semrush Data'!$A$1:$A$20000,0),MATCH("Volume",'Semrush Data'!$A$1:$Z$1,0)),"")</f>
        <v>40</v>
      </c>
      <c r="H19" s="6" t="n">
        <f aca="false">IFERROR(INDEX('Semrush Data'!$A$1:$Z$20000,MATCH(A19,'Semrush Data'!$A$1:$A$20000,0),MATCH("Keyword Difficulty*",'Semrush Data'!$A$1:$Z$1,0)),"")</f>
        <v>17</v>
      </c>
      <c r="I19" s="29" t="n">
        <f aca="false">IFERROR(INDEX('Semrush Data'!$A$1:$Z$20000,MATCH(A19,'Semrush Data'!$A$1:$A$20000,0),MATCH("CPC*",'Semrush Data'!$A$1:$Z$1,0)),"")</f>
        <v>0.3</v>
      </c>
      <c r="J19" s="6" t="str">
        <f aca="false">IFERROR(INDEX('Semrush Data'!$A$1:$Z$20000,MATCH(A19,'Semrush Data'!$A$1:$A$20000,0),MATCH("Intent",'Semrush Data'!$A$1:$Z$1,0)),"")</f>
        <v>Informational Transactional</v>
      </c>
    </row>
    <row r="20" customFormat="false" ht="15" hidden="false" customHeight="true" outlineLevel="0" collapsed="false">
      <c r="A20" s="6" t="s">
        <v>6507</v>
      </c>
      <c r="B20" s="6" t="s">
        <v>316</v>
      </c>
      <c r="C20" s="6" t="n">
        <v>1</v>
      </c>
      <c r="D20" s="6" t="n">
        <v>1</v>
      </c>
      <c r="E20" s="6" t="n">
        <v>16</v>
      </c>
      <c r="F20" s="6" t="s">
        <v>6508</v>
      </c>
      <c r="G20" s="28" t="n">
        <f aca="false">IFERROR(INDEX('Semrush Data'!$A$1:$Z$20000,MATCH(A20,'Semrush Data'!$A$1:$A$20000,0),MATCH("Volume",'Semrush Data'!$A$1:$Z$1,0)),"")</f>
        <v>390</v>
      </c>
      <c r="H20" s="6" t="n">
        <f aca="false">IFERROR(INDEX('Semrush Data'!$A$1:$Z$20000,MATCH(A20,'Semrush Data'!$A$1:$A$20000,0),MATCH("Keyword Difficulty*",'Semrush Data'!$A$1:$Z$1,0)),"")</f>
        <v>36</v>
      </c>
      <c r="I20" s="29" t="n">
        <f aca="false">IFERROR(INDEX('Semrush Data'!$A$1:$Z$20000,MATCH(A20,'Semrush Data'!$A$1:$A$20000,0),MATCH("CPC*",'Semrush Data'!$A$1:$Z$1,0)),"")</f>
        <v>0.29</v>
      </c>
      <c r="J20" s="6" t="str">
        <f aca="false">IFERROR(INDEX('Semrush Data'!$A$1:$Z$20000,MATCH(A20,'Semrush Data'!$A$1:$A$20000,0),MATCH("Intent",'Semrush Data'!$A$1:$Z$1,0)),"")</f>
        <v>Informational</v>
      </c>
    </row>
    <row r="21" customFormat="false" ht="15" hidden="false" customHeight="true" outlineLevel="0" collapsed="false">
      <c r="A21" s="6" t="s">
        <v>6509</v>
      </c>
      <c r="B21" s="6" t="s">
        <v>316</v>
      </c>
      <c r="C21" s="6" t="n">
        <v>1</v>
      </c>
      <c r="D21" s="6" t="n">
        <v>1</v>
      </c>
      <c r="E21" s="6" t="n">
        <v>3</v>
      </c>
      <c r="F21" s="6" t="s">
        <v>6510</v>
      </c>
      <c r="G21" s="28" t="n">
        <f aca="false">IFERROR(INDEX('Semrush Data'!$A$1:$Z$20000,MATCH(A21,'Semrush Data'!$A$1:$A$20000,0),MATCH("Volume",'Semrush Data'!$A$1:$Z$1,0)),"")</f>
        <v>0</v>
      </c>
      <c r="H21" s="6" t="n">
        <f aca="false">IFERROR(INDEX('Semrush Data'!$A$1:$Z$20000,MATCH(A21,'Semrush Data'!$A$1:$A$20000,0),MATCH("Keyword Difficulty*",'Semrush Data'!$A$1:$Z$1,0)),"")</f>
        <v>2</v>
      </c>
      <c r="I21" s="29" t="n">
        <f aca="false">IFERROR(INDEX('Semrush Data'!$A$1:$Z$20000,MATCH(A21,'Semrush Data'!$A$1:$A$20000,0),MATCH("CPC*",'Semrush Data'!$A$1:$Z$1,0)),"")</f>
        <v>0</v>
      </c>
      <c r="J21" s="6" t="str">
        <f aca="false">IFERROR(INDEX('Semrush Data'!$A$1:$Z$20000,MATCH(A21,'Semrush Data'!$A$1:$A$20000,0),MATCH("Intent",'Semrush Data'!$A$1:$Z$1,0)),"")</f>
        <v>Informational Transactional</v>
      </c>
    </row>
    <row r="22" customFormat="false" ht="15" hidden="false" customHeight="true" outlineLevel="0" collapsed="false">
      <c r="A22" s="6" t="s">
        <v>6511</v>
      </c>
      <c r="B22" s="6" t="s">
        <v>316</v>
      </c>
      <c r="C22" s="6" t="n">
        <v>1</v>
      </c>
      <c r="D22" s="6" t="n">
        <v>1</v>
      </c>
      <c r="E22" s="6" t="n">
        <v>3</v>
      </c>
      <c r="F22" s="6" t="s">
        <v>6512</v>
      </c>
      <c r="G22" s="28" t="n">
        <f aca="false">IFERROR(INDEX('Semrush Data'!$A$1:$Z$20000,MATCH(A22,'Semrush Data'!$A$1:$A$20000,0),MATCH("Volume",'Semrush Data'!$A$1:$Z$1,0)),"")</f>
        <v>20</v>
      </c>
      <c r="H22" s="6" t="n">
        <f aca="false">IFERROR(INDEX('Semrush Data'!$A$1:$Z$20000,MATCH(A22,'Semrush Data'!$A$1:$A$20000,0),MATCH("Keyword Difficulty*",'Semrush Data'!$A$1:$Z$1,0)),"")</f>
        <v>4</v>
      </c>
      <c r="I22" s="29" t="n">
        <f aca="false">IFERROR(INDEX('Semrush Data'!$A$1:$Z$20000,MATCH(A22,'Semrush Data'!$A$1:$A$20000,0),MATCH("CPC*",'Semrush Data'!$A$1:$Z$1,0)),"")</f>
        <v>0</v>
      </c>
      <c r="J22" s="6" t="str">
        <f aca="false">IFERROR(INDEX('Semrush Data'!$A$1:$Z$20000,MATCH(A22,'Semrush Data'!$A$1:$A$20000,0),MATCH("Intent",'Semrush Data'!$A$1:$Z$1,0)),"")</f>
        <v>Informational Transactional</v>
      </c>
    </row>
    <row r="23" customFormat="false" ht="15" hidden="false" customHeight="true" outlineLevel="0" collapsed="false">
      <c r="A23" s="6" t="s">
        <v>6513</v>
      </c>
      <c r="B23" s="6" t="s">
        <v>316</v>
      </c>
      <c r="C23" s="6" t="n">
        <v>1</v>
      </c>
      <c r="D23" s="6" t="n">
        <v>1</v>
      </c>
      <c r="E23" s="6" t="n">
        <v>6</v>
      </c>
      <c r="F23" s="6" t="s">
        <v>6514</v>
      </c>
      <c r="G23" s="28" t="n">
        <f aca="false">IFERROR(INDEX('Semrush Data'!$A$1:$Z$20000,MATCH(A23,'Semrush Data'!$A$1:$A$20000,0),MATCH("Volume",'Semrush Data'!$A$1:$Z$1,0)),"")</f>
        <v>0</v>
      </c>
      <c r="H23" s="6" t="n">
        <f aca="false">IFERROR(INDEX('Semrush Data'!$A$1:$Z$20000,MATCH(A23,'Semrush Data'!$A$1:$A$20000,0),MATCH("Keyword Difficulty*",'Semrush Data'!$A$1:$Z$1,0)),"")</f>
        <v>15</v>
      </c>
      <c r="I23" s="29" t="n">
        <f aca="false">IFERROR(INDEX('Semrush Data'!$A$1:$Z$20000,MATCH(A23,'Semrush Data'!$A$1:$A$20000,0),MATCH("CPC*",'Semrush Data'!$A$1:$Z$1,0)),"")</f>
        <v>0</v>
      </c>
      <c r="J23" s="6" t="str">
        <f aca="false">IFERROR(INDEX('Semrush Data'!$A$1:$Z$20000,MATCH(A23,'Semrush Data'!$A$1:$A$20000,0),MATCH("Intent",'Semrush Data'!$A$1:$Z$1,0)),"")</f>
        <v>Informational</v>
      </c>
    </row>
    <row r="24" customFormat="false" ht="15" hidden="false" customHeight="true" outlineLevel="0" collapsed="false">
      <c r="A24" s="6" t="s">
        <v>4336</v>
      </c>
      <c r="B24" s="6" t="s">
        <v>316</v>
      </c>
      <c r="C24" s="6" t="n">
        <v>1</v>
      </c>
      <c r="D24" s="6" t="n">
        <v>1</v>
      </c>
      <c r="E24" s="6" t="n">
        <v>121</v>
      </c>
      <c r="F24" s="6" t="s">
        <v>6515</v>
      </c>
      <c r="G24" s="28" t="n">
        <f aca="false">IFERROR(INDEX('Semrush Data'!$A$1:$Z$20000,MATCH(A24,'Semrush Data'!$A$1:$A$20000,0),MATCH("Volume",'Semrush Data'!$A$1:$Z$1,0)),"")</f>
        <v>40</v>
      </c>
      <c r="H24" s="6" t="n">
        <f aca="false">IFERROR(INDEX('Semrush Data'!$A$1:$Z$20000,MATCH(A24,'Semrush Data'!$A$1:$A$20000,0),MATCH("Keyword Difficulty*",'Semrush Data'!$A$1:$Z$1,0)),"")</f>
        <v>9</v>
      </c>
      <c r="I24" s="29" t="n">
        <f aca="false">IFERROR(INDEX('Semrush Data'!$A$1:$Z$20000,MATCH(A24,'Semrush Data'!$A$1:$A$20000,0),MATCH("CPC*",'Semrush Data'!$A$1:$Z$1,0)),"")</f>
        <v>0</v>
      </c>
      <c r="J24" s="6" t="str">
        <f aca="false">IFERROR(INDEX('Semrush Data'!$A$1:$Z$20000,MATCH(A24,'Semrush Data'!$A$1:$A$20000,0),MATCH("Intent",'Semrush Data'!$A$1:$Z$1,0)),"")</f>
        <v>Informational</v>
      </c>
    </row>
    <row r="25" customFormat="false" ht="15" hidden="false" customHeight="true" outlineLevel="0" collapsed="false">
      <c r="A25" s="6" t="s">
        <v>6516</v>
      </c>
      <c r="B25" s="6" t="s">
        <v>316</v>
      </c>
      <c r="C25" s="6" t="n">
        <v>1</v>
      </c>
      <c r="D25" s="6" t="n">
        <v>1</v>
      </c>
      <c r="E25" s="6" t="n">
        <v>16</v>
      </c>
      <c r="F25" s="6" t="s">
        <v>6517</v>
      </c>
      <c r="G25" s="28" t="n">
        <f aca="false">IFERROR(INDEX('Semrush Data'!$A$1:$Z$20000,MATCH(A25,'Semrush Data'!$A$1:$A$20000,0),MATCH("Volume",'Semrush Data'!$A$1:$Z$1,0)),"")</f>
        <v>20</v>
      </c>
      <c r="H25" s="6" t="n">
        <f aca="false">IFERROR(INDEX('Semrush Data'!$A$1:$Z$20000,MATCH(A25,'Semrush Data'!$A$1:$A$20000,0),MATCH("Keyword Difficulty*",'Semrush Data'!$A$1:$Z$1,0)),"")</f>
        <v>4</v>
      </c>
      <c r="I25" s="29" t="n">
        <f aca="false">IFERROR(INDEX('Semrush Data'!$A$1:$Z$20000,MATCH(A25,'Semrush Data'!$A$1:$A$20000,0),MATCH("CPC*",'Semrush Data'!$A$1:$Z$1,0)),"")</f>
        <v>0</v>
      </c>
      <c r="J25" s="6" t="str">
        <f aca="false">IFERROR(INDEX('Semrush Data'!$A$1:$Z$20000,MATCH(A25,'Semrush Data'!$A$1:$A$20000,0),MATCH("Intent",'Semrush Data'!$A$1:$Z$1,0)),"")</f>
        <v>Transactional Navigational</v>
      </c>
    </row>
    <row r="26" customFormat="false" ht="15" hidden="false" customHeight="true" outlineLevel="0" collapsed="false">
      <c r="A26" s="6" t="s">
        <v>342</v>
      </c>
      <c r="B26" s="6" t="s">
        <v>316</v>
      </c>
      <c r="C26" s="6" t="n">
        <v>1</v>
      </c>
      <c r="D26" s="6" t="n">
        <v>1</v>
      </c>
      <c r="E26" s="6" t="n">
        <v>1</v>
      </c>
      <c r="F26" s="6" t="s">
        <v>139</v>
      </c>
      <c r="G26" s="28" t="n">
        <f aca="false">IFERROR(INDEX('Semrush Data'!$A$1:$Z$20000,MATCH(A26,'Semrush Data'!$A$1:$A$20000,0),MATCH("Volume",'Semrush Data'!$A$1:$Z$1,0)),"")</f>
        <v>2900</v>
      </c>
      <c r="H26" s="6" t="n">
        <f aca="false">IFERROR(INDEX('Semrush Data'!$A$1:$Z$20000,MATCH(A26,'Semrush Data'!$A$1:$A$20000,0),MATCH("Keyword Difficulty*",'Semrush Data'!$A$1:$Z$1,0)),"")</f>
        <v>23</v>
      </c>
      <c r="I26" s="29" t="n">
        <f aca="false">IFERROR(INDEX('Semrush Data'!$A$1:$Z$20000,MATCH(A26,'Semrush Data'!$A$1:$A$20000,0),MATCH("CPC*",'Semrush Data'!$A$1:$Z$1,0)),"")</f>
        <v>0.31</v>
      </c>
      <c r="J26" s="6" t="str">
        <f aca="false">IFERROR(INDEX('Semrush Data'!$A$1:$Z$20000,MATCH(A26,'Semrush Data'!$A$1:$A$20000,0),MATCH("Intent",'Semrush Data'!$A$1:$Z$1,0)),"")</f>
        <v>Informational</v>
      </c>
    </row>
    <row r="27" customFormat="false" ht="15" hidden="false" customHeight="true" outlineLevel="0" collapsed="false">
      <c r="A27" s="6" t="s">
        <v>6518</v>
      </c>
      <c r="B27" s="6" t="s">
        <v>316</v>
      </c>
      <c r="C27" s="6" t="n">
        <v>1</v>
      </c>
      <c r="D27" s="6" t="n">
        <v>1</v>
      </c>
      <c r="E27" s="6" t="n">
        <v>1</v>
      </c>
      <c r="F27" s="6" t="s">
        <v>139</v>
      </c>
      <c r="G27" s="28" t="n">
        <f aca="false">IFERROR(INDEX('Semrush Data'!$A$1:$Z$20000,MATCH(A27,'Semrush Data'!$A$1:$A$20000,0),MATCH("Volume",'Semrush Data'!$A$1:$Z$1,0)),"")</f>
        <v>20</v>
      </c>
      <c r="H27" s="6" t="n">
        <f aca="false">IFERROR(INDEX('Semrush Data'!$A$1:$Z$20000,MATCH(A27,'Semrush Data'!$A$1:$A$20000,0),MATCH("Keyword Difficulty*",'Semrush Data'!$A$1:$Z$1,0)),"")</f>
        <v>16</v>
      </c>
      <c r="I27" s="29" t="n">
        <f aca="false">IFERROR(INDEX('Semrush Data'!$A$1:$Z$20000,MATCH(A27,'Semrush Data'!$A$1:$A$20000,0),MATCH("CPC*",'Semrush Data'!$A$1:$Z$1,0)),"")</f>
        <v>0</v>
      </c>
      <c r="J27" s="6" t="str">
        <f aca="false">IFERROR(INDEX('Semrush Data'!$A$1:$Z$20000,MATCH(A27,'Semrush Data'!$A$1:$A$20000,0),MATCH("Intent",'Semrush Data'!$A$1:$Z$1,0)),"")</f>
        <v>Informational</v>
      </c>
    </row>
    <row r="28" customFormat="false" ht="15" hidden="false" customHeight="true" outlineLevel="0" collapsed="false">
      <c r="A28" s="6" t="s">
        <v>6519</v>
      </c>
      <c r="B28" s="6" t="s">
        <v>316</v>
      </c>
      <c r="C28" s="6" t="n">
        <v>1</v>
      </c>
      <c r="D28" s="6" t="n">
        <v>1</v>
      </c>
      <c r="E28" s="6" t="n">
        <v>6</v>
      </c>
      <c r="F28" s="6" t="s">
        <v>6520</v>
      </c>
      <c r="G28" s="28" t="n">
        <f aca="false">IFERROR(INDEX('Semrush Data'!$A$1:$Z$20000,MATCH(A28,'Semrush Data'!$A$1:$A$20000,0),MATCH("Volume",'Semrush Data'!$A$1:$Z$1,0)),"")</f>
        <v>590</v>
      </c>
      <c r="H28" s="6" t="n">
        <f aca="false">IFERROR(INDEX('Semrush Data'!$A$1:$Z$20000,MATCH(A28,'Semrush Data'!$A$1:$A$20000,0),MATCH("Keyword Difficulty*",'Semrush Data'!$A$1:$Z$1,0)),"")</f>
        <v>18</v>
      </c>
      <c r="I28" s="29" t="n">
        <f aca="false">IFERROR(INDEX('Semrush Data'!$A$1:$Z$20000,MATCH(A28,'Semrush Data'!$A$1:$A$20000,0),MATCH("CPC*",'Semrush Data'!$A$1:$Z$1,0)),"")</f>
        <v>0.25</v>
      </c>
      <c r="J28" s="6" t="str">
        <f aca="false">IFERROR(INDEX('Semrush Data'!$A$1:$Z$20000,MATCH(A28,'Semrush Data'!$A$1:$A$20000,0),MATCH("Intent",'Semrush Data'!$A$1:$Z$1,0)),"")</f>
        <v>Informational</v>
      </c>
    </row>
    <row r="29" customFormat="false" ht="15" hidden="false" customHeight="true" outlineLevel="0" collapsed="false">
      <c r="A29" s="6" t="s">
        <v>6521</v>
      </c>
      <c r="B29" s="6" t="s">
        <v>316</v>
      </c>
      <c r="C29" s="6" t="n">
        <v>1</v>
      </c>
      <c r="D29" s="6" t="n">
        <v>1</v>
      </c>
      <c r="E29" s="6" t="n">
        <v>2</v>
      </c>
      <c r="F29" s="6" t="s">
        <v>6522</v>
      </c>
      <c r="G29" s="28" t="n">
        <f aca="false">IFERROR(INDEX('Semrush Data'!$A$1:$Z$20000,MATCH(A29,'Semrush Data'!$A$1:$A$20000,0),MATCH("Volume",'Semrush Data'!$A$1:$Z$1,0)),"")</f>
        <v>20</v>
      </c>
      <c r="H29" s="6" t="n">
        <f aca="false">IFERROR(INDEX('Semrush Data'!$A$1:$Z$20000,MATCH(A29,'Semrush Data'!$A$1:$A$20000,0),MATCH("Keyword Difficulty*",'Semrush Data'!$A$1:$Z$1,0)),"")</f>
        <v>16</v>
      </c>
      <c r="I29" s="29" t="n">
        <f aca="false">IFERROR(INDEX('Semrush Data'!$A$1:$Z$20000,MATCH(A29,'Semrush Data'!$A$1:$A$20000,0),MATCH("CPC*",'Semrush Data'!$A$1:$Z$1,0)),"")</f>
        <v>0</v>
      </c>
      <c r="J29" s="6" t="str">
        <f aca="false">IFERROR(INDEX('Semrush Data'!$A$1:$Z$20000,MATCH(A29,'Semrush Data'!$A$1:$A$20000,0),MATCH("Intent",'Semrush Data'!$A$1:$Z$1,0)),"")</f>
        <v>Informational</v>
      </c>
    </row>
    <row r="30" customFormat="false" ht="15" hidden="false" customHeight="true" outlineLevel="0" collapsed="false">
      <c r="A30" s="6" t="s">
        <v>6523</v>
      </c>
      <c r="B30" s="6" t="s">
        <v>316</v>
      </c>
      <c r="C30" s="6" t="n">
        <v>1</v>
      </c>
      <c r="D30" s="6" t="n">
        <v>1</v>
      </c>
      <c r="E30" s="6" t="n">
        <v>2</v>
      </c>
      <c r="F30" s="6" t="s">
        <v>6524</v>
      </c>
      <c r="G30" s="28" t="n">
        <f aca="false">IFERROR(INDEX('Semrush Data'!$A$1:$Z$20000,MATCH(A30,'Semrush Data'!$A$1:$A$20000,0),MATCH("Volume",'Semrush Data'!$A$1:$Z$1,0)),"")</f>
        <v>0</v>
      </c>
      <c r="H30" s="6" t="n">
        <f aca="false">IFERROR(INDEX('Semrush Data'!$A$1:$Z$20000,MATCH(A30,'Semrush Data'!$A$1:$A$20000,0),MATCH("Keyword Difficulty*",'Semrush Data'!$A$1:$Z$1,0)),"")</f>
        <v>9</v>
      </c>
      <c r="I30" s="29" t="n">
        <f aca="false">IFERROR(INDEX('Semrush Data'!$A$1:$Z$20000,MATCH(A30,'Semrush Data'!$A$1:$A$20000,0),MATCH("CPC*",'Semrush Data'!$A$1:$Z$1,0)),"")</f>
        <v>0</v>
      </c>
      <c r="J30" s="6" t="str">
        <f aca="false">IFERROR(INDEX('Semrush Data'!$A$1:$Z$20000,MATCH(A30,'Semrush Data'!$A$1:$A$20000,0),MATCH("Intent",'Semrush Data'!$A$1:$Z$1,0)),"")</f>
        <v>Informational</v>
      </c>
    </row>
    <row r="31" customFormat="false" ht="15" hidden="false" customHeight="true" outlineLevel="0" collapsed="false">
      <c r="A31" s="6" t="s">
        <v>6525</v>
      </c>
      <c r="B31" s="6" t="s">
        <v>316</v>
      </c>
      <c r="C31" s="6" t="n">
        <v>1</v>
      </c>
      <c r="D31" s="6" t="n">
        <v>1</v>
      </c>
      <c r="E31" s="6" t="n">
        <v>1</v>
      </c>
      <c r="F31" s="6" t="s">
        <v>6328</v>
      </c>
      <c r="G31" s="28" t="n">
        <f aca="false">IFERROR(INDEX('Semrush Data'!$A$1:$Z$20000,MATCH(A31,'Semrush Data'!$A$1:$A$20000,0),MATCH("Volume",'Semrush Data'!$A$1:$Z$1,0)),"")</f>
        <v>0</v>
      </c>
      <c r="H31" s="6" t="n">
        <f aca="false">IFERROR(INDEX('Semrush Data'!$A$1:$Z$20000,MATCH(A31,'Semrush Data'!$A$1:$A$20000,0),MATCH("Keyword Difficulty*",'Semrush Data'!$A$1:$Z$1,0)),"")</f>
        <v>22</v>
      </c>
      <c r="I31" s="29" t="n">
        <f aca="false">IFERROR(INDEX('Semrush Data'!$A$1:$Z$20000,MATCH(A31,'Semrush Data'!$A$1:$A$20000,0),MATCH("CPC*",'Semrush Data'!$A$1:$Z$1,0)),"")</f>
        <v>0</v>
      </c>
      <c r="J31" s="6" t="str">
        <f aca="false">IFERROR(INDEX('Semrush Data'!$A$1:$Z$20000,MATCH(A31,'Semrush Data'!$A$1:$A$20000,0),MATCH("Intent",'Semrush Data'!$A$1:$Z$1,0)),"")</f>
        <v>Commercial</v>
      </c>
    </row>
    <row r="32" customFormat="false" ht="15" hidden="false" customHeight="true" outlineLevel="0" collapsed="false">
      <c r="A32" s="6" t="s">
        <v>315</v>
      </c>
      <c r="B32" s="6" t="s">
        <v>316</v>
      </c>
      <c r="C32" s="6" t="n">
        <v>1</v>
      </c>
      <c r="D32" s="6" t="n">
        <v>1</v>
      </c>
      <c r="E32" s="6" t="n">
        <v>1</v>
      </c>
      <c r="F32" s="6" t="s">
        <v>2903</v>
      </c>
      <c r="G32" s="28" t="n">
        <f aca="false">IFERROR(INDEX('Semrush Data'!$A$1:$Z$20000,MATCH(A32,'Semrush Data'!$A$1:$A$20000,0),MATCH("Volume",'Semrush Data'!$A$1:$Z$1,0)),"")</f>
        <v>40500</v>
      </c>
      <c r="H32" s="6" t="n">
        <f aca="false">IFERROR(INDEX('Semrush Data'!$A$1:$Z$20000,MATCH(A32,'Semrush Data'!$A$1:$A$20000,0),MATCH("Keyword Difficulty*",'Semrush Data'!$A$1:$Z$1,0)),"")</f>
        <v>17</v>
      </c>
      <c r="I32" s="29" t="n">
        <f aca="false">IFERROR(INDEX('Semrush Data'!$A$1:$Z$20000,MATCH(A32,'Semrush Data'!$A$1:$A$20000,0),MATCH("CPC*",'Semrush Data'!$A$1:$Z$1,0)),"")</f>
        <v>0.34</v>
      </c>
      <c r="J32" s="6" t="str">
        <f aca="false">IFERROR(INDEX('Semrush Data'!$A$1:$Z$20000,MATCH(A32,'Semrush Data'!$A$1:$A$20000,0),MATCH("Intent",'Semrush Data'!$A$1:$Z$1,0)),"")</f>
        <v>Informational Transactional</v>
      </c>
    </row>
    <row r="33" customFormat="false" ht="15" hidden="false" customHeight="true" outlineLevel="0" collapsed="false">
      <c r="A33" s="6" t="s">
        <v>6526</v>
      </c>
      <c r="B33" s="6" t="s">
        <v>316</v>
      </c>
      <c r="C33" s="6" t="n">
        <v>1</v>
      </c>
      <c r="D33" s="6" t="n">
        <v>1</v>
      </c>
      <c r="E33" s="6" t="n">
        <v>1</v>
      </c>
      <c r="F33" s="6" t="s">
        <v>2903</v>
      </c>
      <c r="G33" s="28" t="n">
        <f aca="false">IFERROR(INDEX('Semrush Data'!$A$1:$Z$20000,MATCH(A33,'Semrush Data'!$A$1:$A$20000,0),MATCH("Volume",'Semrush Data'!$A$1:$Z$1,0)),"")</f>
        <v>10</v>
      </c>
      <c r="H33" s="6" t="n">
        <f aca="false">IFERROR(INDEX('Semrush Data'!$A$1:$Z$20000,MATCH(A33,'Semrush Data'!$A$1:$A$20000,0),MATCH("Keyword Difficulty*",'Semrush Data'!$A$1:$Z$1,0)),"")</f>
        <v>24</v>
      </c>
      <c r="I33" s="29" t="n">
        <f aca="false">IFERROR(INDEX('Semrush Data'!$A$1:$Z$20000,MATCH(A33,'Semrush Data'!$A$1:$A$20000,0),MATCH("CPC*",'Semrush Data'!$A$1:$Z$1,0)),"")</f>
        <v>0.27</v>
      </c>
      <c r="J33" s="6" t="str">
        <f aca="false">IFERROR(INDEX('Semrush Data'!$A$1:$Z$20000,MATCH(A33,'Semrush Data'!$A$1:$A$20000,0),MATCH("Intent",'Semrush Data'!$A$1:$Z$1,0)),"")</f>
        <v>Informational</v>
      </c>
    </row>
    <row r="34" customFormat="false" ht="15" hidden="false" customHeight="true" outlineLevel="0" collapsed="false">
      <c r="A34" s="6" t="s">
        <v>345</v>
      </c>
      <c r="B34" s="6" t="s">
        <v>316</v>
      </c>
      <c r="C34" s="6" t="n">
        <v>1</v>
      </c>
      <c r="D34" s="6" t="n">
        <v>1</v>
      </c>
      <c r="E34" s="6" t="n">
        <v>1</v>
      </c>
      <c r="F34" s="6" t="s">
        <v>2916</v>
      </c>
      <c r="G34" s="28" t="n">
        <f aca="false">IFERROR(INDEX('Semrush Data'!$A$1:$Z$20000,MATCH(A34,'Semrush Data'!$A$1:$A$20000,0),MATCH("Volume",'Semrush Data'!$A$1:$Z$1,0)),"")</f>
        <v>1600</v>
      </c>
      <c r="H34" s="6" t="n">
        <f aca="false">IFERROR(INDEX('Semrush Data'!$A$1:$Z$20000,MATCH(A34,'Semrush Data'!$A$1:$A$20000,0),MATCH("Keyword Difficulty*",'Semrush Data'!$A$1:$Z$1,0)),"")</f>
        <v>25</v>
      </c>
      <c r="I34" s="29" t="n">
        <f aca="false">IFERROR(INDEX('Semrush Data'!$A$1:$Z$20000,MATCH(A34,'Semrush Data'!$A$1:$A$20000,0),MATCH("CPC*",'Semrush Data'!$A$1:$Z$1,0)),"")</f>
        <v>0.31</v>
      </c>
      <c r="J34" s="6" t="str">
        <f aca="false">IFERROR(INDEX('Semrush Data'!$A$1:$Z$20000,MATCH(A34,'Semrush Data'!$A$1:$A$20000,0),MATCH("Intent",'Semrush Data'!$A$1:$Z$1,0)),"")</f>
        <v>Informational Transactional</v>
      </c>
    </row>
    <row r="35" customFormat="false" ht="15" hidden="false" customHeight="true" outlineLevel="0" collapsed="false">
      <c r="A35" s="6" t="s">
        <v>6527</v>
      </c>
      <c r="B35" s="6" t="s">
        <v>316</v>
      </c>
      <c r="C35" s="6" t="n">
        <v>1</v>
      </c>
      <c r="D35" s="6" t="n">
        <v>1</v>
      </c>
      <c r="E35" s="6" t="n">
        <v>1</v>
      </c>
      <c r="F35" s="6" t="s">
        <v>2916</v>
      </c>
      <c r="G35" s="28" t="n">
        <f aca="false">IFERROR(INDEX('Semrush Data'!$A$1:$Z$20000,MATCH(A35,'Semrush Data'!$A$1:$A$20000,0),MATCH("Volume",'Semrush Data'!$A$1:$Z$1,0)),"")</f>
        <v>70</v>
      </c>
      <c r="H35" s="6" t="n">
        <f aca="false">IFERROR(INDEX('Semrush Data'!$A$1:$Z$20000,MATCH(A35,'Semrush Data'!$A$1:$A$20000,0),MATCH("Keyword Difficulty*",'Semrush Data'!$A$1:$Z$1,0)),"")</f>
        <v>13</v>
      </c>
      <c r="I35" s="29" t="n">
        <f aca="false">IFERROR(INDEX('Semrush Data'!$A$1:$Z$20000,MATCH(A35,'Semrush Data'!$A$1:$A$20000,0),MATCH("CPC*",'Semrush Data'!$A$1:$Z$1,0)),"")</f>
        <v>0.2</v>
      </c>
      <c r="J35" s="6" t="str">
        <f aca="false">IFERROR(INDEX('Semrush Data'!$A$1:$Z$20000,MATCH(A35,'Semrush Data'!$A$1:$A$20000,0),MATCH("Intent",'Semrush Data'!$A$1:$Z$1,0)),"")</f>
        <v>Informational Transactional</v>
      </c>
    </row>
    <row r="36" customFormat="false" ht="15" hidden="false" customHeight="true" outlineLevel="0" collapsed="false">
      <c r="A36" s="6" t="s">
        <v>6528</v>
      </c>
      <c r="B36" s="6" t="s">
        <v>316</v>
      </c>
      <c r="C36" s="6" t="n">
        <v>1</v>
      </c>
      <c r="D36" s="6" t="n">
        <v>1</v>
      </c>
      <c r="E36" s="6" t="n">
        <v>5</v>
      </c>
      <c r="F36" s="6" t="s">
        <v>6529</v>
      </c>
      <c r="G36" s="28" t="n">
        <f aca="false">IFERROR(INDEX('Semrush Data'!$A$1:$Z$20000,MATCH(A36,'Semrush Data'!$A$1:$A$20000,0),MATCH("Volume",'Semrush Data'!$A$1:$Z$1,0)),"")</f>
        <v>0</v>
      </c>
      <c r="H36" s="6" t="n">
        <f aca="false">IFERROR(INDEX('Semrush Data'!$A$1:$Z$20000,MATCH(A36,'Semrush Data'!$A$1:$A$20000,0),MATCH("Keyword Difficulty*",'Semrush Data'!$A$1:$Z$1,0)),"")</f>
        <v>14</v>
      </c>
      <c r="I36" s="29" t="n">
        <f aca="false">IFERROR(INDEX('Semrush Data'!$A$1:$Z$20000,MATCH(A36,'Semrush Data'!$A$1:$A$20000,0),MATCH("CPC*",'Semrush Data'!$A$1:$Z$1,0)),"")</f>
        <v>0</v>
      </c>
      <c r="J36" s="6" t="str">
        <f aca="false">IFERROR(INDEX('Semrush Data'!$A$1:$Z$20000,MATCH(A36,'Semrush Data'!$A$1:$A$20000,0),MATCH("Intent",'Semrush Data'!$A$1:$Z$1,0)),"")</f>
        <v>Informational</v>
      </c>
    </row>
    <row r="37" customFormat="false" ht="15" hidden="false" customHeight="true" outlineLevel="0" collapsed="false">
      <c r="A37" s="6" t="s">
        <v>6530</v>
      </c>
      <c r="B37" s="6" t="s">
        <v>316</v>
      </c>
      <c r="C37" s="6" t="n">
        <v>1</v>
      </c>
      <c r="D37" s="6" t="n">
        <v>1</v>
      </c>
      <c r="E37" s="6" t="n">
        <v>11</v>
      </c>
      <c r="F37" s="6" t="s">
        <v>6531</v>
      </c>
      <c r="G37" s="28" t="n">
        <f aca="false">IFERROR(INDEX('Semrush Data'!$A$1:$Z$20000,MATCH(A37,'Semrush Data'!$A$1:$A$20000,0),MATCH("Volume",'Semrush Data'!$A$1:$Z$1,0)),"")</f>
        <v>390</v>
      </c>
      <c r="H37" s="6" t="n">
        <f aca="false">IFERROR(INDEX('Semrush Data'!$A$1:$Z$20000,MATCH(A37,'Semrush Data'!$A$1:$A$20000,0),MATCH("Keyword Difficulty*",'Semrush Data'!$A$1:$Z$1,0)),"")</f>
        <v>18</v>
      </c>
      <c r="I37" s="29" t="n">
        <f aca="false">IFERROR(INDEX('Semrush Data'!$A$1:$Z$20000,MATCH(A37,'Semrush Data'!$A$1:$A$20000,0),MATCH("CPC*",'Semrush Data'!$A$1:$Z$1,0)),"")</f>
        <v>0.53</v>
      </c>
      <c r="J37" s="6" t="str">
        <f aca="false">IFERROR(INDEX('Semrush Data'!$A$1:$Z$20000,MATCH(A37,'Semrush Data'!$A$1:$A$20000,0),MATCH("Intent",'Semrush Data'!$A$1:$Z$1,0)),"")</f>
        <v>Informational</v>
      </c>
    </row>
    <row r="38" customFormat="false" ht="15" hidden="false" customHeight="true" outlineLevel="0" collapsed="false">
      <c r="A38" s="6" t="s">
        <v>6532</v>
      </c>
      <c r="B38" s="6" t="s">
        <v>316</v>
      </c>
      <c r="C38" s="6" t="n">
        <v>1</v>
      </c>
      <c r="D38" s="6" t="n">
        <v>1</v>
      </c>
      <c r="E38" s="6" t="n">
        <v>11</v>
      </c>
      <c r="F38" s="6" t="s">
        <v>6531</v>
      </c>
      <c r="G38" s="28" t="n">
        <f aca="false">IFERROR(INDEX('Semrush Data'!$A$1:$Z$20000,MATCH(A38,'Semrush Data'!$A$1:$A$20000,0),MATCH("Volume",'Semrush Data'!$A$1:$Z$1,0)),"")</f>
        <v>170</v>
      </c>
      <c r="H38" s="6" t="n">
        <f aca="false">IFERROR(INDEX('Semrush Data'!$A$1:$Z$20000,MATCH(A38,'Semrush Data'!$A$1:$A$20000,0),MATCH("Keyword Difficulty*",'Semrush Data'!$A$1:$Z$1,0)),"")</f>
        <v>25</v>
      </c>
      <c r="I38" s="29" t="n">
        <f aca="false">IFERROR(INDEX('Semrush Data'!$A$1:$Z$20000,MATCH(A38,'Semrush Data'!$A$1:$A$20000,0),MATCH("CPC*",'Semrush Data'!$A$1:$Z$1,0)),"")</f>
        <v>0.3</v>
      </c>
      <c r="J38" s="6" t="str">
        <f aca="false">IFERROR(INDEX('Semrush Data'!$A$1:$Z$20000,MATCH(A38,'Semrush Data'!$A$1:$A$20000,0),MATCH("Intent",'Semrush Data'!$A$1:$Z$1,0)),"")</f>
        <v>Informational</v>
      </c>
    </row>
    <row r="39" customFormat="false" ht="15" hidden="false" customHeight="true" outlineLevel="0" collapsed="false">
      <c r="A39" s="6" t="s">
        <v>325</v>
      </c>
      <c r="B39" s="6" t="s">
        <v>316</v>
      </c>
      <c r="C39" s="6" t="n">
        <v>1</v>
      </c>
      <c r="D39" s="6" t="n">
        <v>1</v>
      </c>
      <c r="E39" s="6" t="n">
        <v>5</v>
      </c>
      <c r="F39" s="6" t="s">
        <v>6533</v>
      </c>
      <c r="G39" s="28" t="n">
        <f aca="false">IFERROR(INDEX('Semrush Data'!$A$1:$Z$20000,MATCH(A39,'Semrush Data'!$A$1:$A$20000,0),MATCH("Volume",'Semrush Data'!$A$1:$Z$1,0)),"")</f>
        <v>14800</v>
      </c>
      <c r="H39" s="6" t="n">
        <f aca="false">IFERROR(INDEX('Semrush Data'!$A$1:$Z$20000,MATCH(A39,'Semrush Data'!$A$1:$A$20000,0),MATCH("Keyword Difficulty*",'Semrush Data'!$A$1:$Z$1,0)),"")</f>
        <v>50</v>
      </c>
      <c r="I39" s="29" t="n">
        <f aca="false">IFERROR(INDEX('Semrush Data'!$A$1:$Z$20000,MATCH(A39,'Semrush Data'!$A$1:$A$20000,0),MATCH("CPC*",'Semrush Data'!$A$1:$Z$1,0)),"")</f>
        <v>0.32</v>
      </c>
      <c r="J39" s="6" t="str">
        <f aca="false">IFERROR(INDEX('Semrush Data'!$A$1:$Z$20000,MATCH(A39,'Semrush Data'!$A$1:$A$20000,0),MATCH("Intent",'Semrush Data'!$A$1:$Z$1,0)),"")</f>
        <v>Informational Transactional</v>
      </c>
    </row>
    <row r="40" customFormat="false" ht="15" hidden="false" customHeight="true" outlineLevel="0" collapsed="false">
      <c r="A40" s="6" t="s">
        <v>354</v>
      </c>
      <c r="B40" s="6" t="s">
        <v>316</v>
      </c>
      <c r="C40" s="6" t="n">
        <v>1</v>
      </c>
      <c r="D40" s="6" t="n">
        <v>1</v>
      </c>
      <c r="E40" s="6" t="n">
        <v>5</v>
      </c>
      <c r="F40" s="6" t="s">
        <v>6533</v>
      </c>
      <c r="G40" s="28" t="n">
        <f aca="false">IFERROR(INDEX('Semrush Data'!$A$1:$Z$20000,MATCH(A40,'Semrush Data'!$A$1:$A$20000,0),MATCH("Volume",'Semrush Data'!$A$1:$Z$1,0)),"")</f>
        <v>880</v>
      </c>
      <c r="H40" s="6" t="n">
        <f aca="false">IFERROR(INDEX('Semrush Data'!$A$1:$Z$20000,MATCH(A40,'Semrush Data'!$A$1:$A$20000,0),MATCH("Keyword Difficulty*",'Semrush Data'!$A$1:$Z$1,0)),"")</f>
        <v>31</v>
      </c>
      <c r="I40" s="29" t="n">
        <f aca="false">IFERROR(INDEX('Semrush Data'!$A$1:$Z$20000,MATCH(A40,'Semrush Data'!$A$1:$A$20000,0),MATCH("CPC*",'Semrush Data'!$A$1:$Z$1,0)),"")</f>
        <v>0.36</v>
      </c>
      <c r="J40" s="6" t="str">
        <f aca="false">IFERROR(INDEX('Semrush Data'!$A$1:$Z$20000,MATCH(A40,'Semrush Data'!$A$1:$A$20000,0),MATCH("Intent",'Semrush Data'!$A$1:$Z$1,0)),"")</f>
        <v>Informational Transactional</v>
      </c>
    </row>
    <row r="41" customFormat="false" ht="15" hidden="false" customHeight="true" outlineLevel="0" collapsed="false">
      <c r="A41" s="6" t="s">
        <v>331</v>
      </c>
      <c r="B41" s="6" t="s">
        <v>316</v>
      </c>
      <c r="C41" s="6" t="n">
        <v>1</v>
      </c>
      <c r="D41" s="6" t="n">
        <v>1</v>
      </c>
      <c r="E41" s="6" t="n">
        <v>8</v>
      </c>
      <c r="F41" s="6" t="s">
        <v>6534</v>
      </c>
      <c r="G41" s="28" t="n">
        <f aca="false">IFERROR(INDEX('Semrush Data'!$A$1:$Z$20000,MATCH(A41,'Semrush Data'!$A$1:$A$20000,0),MATCH("Volume",'Semrush Data'!$A$1:$Z$1,0)),"")</f>
        <v>8100</v>
      </c>
      <c r="H41" s="6" t="n">
        <f aca="false">IFERROR(INDEX('Semrush Data'!$A$1:$Z$20000,MATCH(A41,'Semrush Data'!$A$1:$A$20000,0),MATCH("Keyword Difficulty*",'Semrush Data'!$A$1:$Z$1,0)),"")</f>
        <v>34</v>
      </c>
      <c r="I41" s="29" t="n">
        <f aca="false">IFERROR(INDEX('Semrush Data'!$A$1:$Z$20000,MATCH(A41,'Semrush Data'!$A$1:$A$20000,0),MATCH("CPC*",'Semrush Data'!$A$1:$Z$1,0)),"")</f>
        <v>0.3</v>
      </c>
      <c r="J41" s="6" t="str">
        <f aca="false">IFERROR(INDEX('Semrush Data'!$A$1:$Z$20000,MATCH(A41,'Semrush Data'!$A$1:$A$20000,0),MATCH("Intent",'Semrush Data'!$A$1:$Z$1,0)),"")</f>
        <v>Informational</v>
      </c>
    </row>
    <row r="42" customFormat="false" ht="15" hidden="false" customHeight="true" outlineLevel="0" collapsed="false">
      <c r="A42" s="6" t="s">
        <v>6535</v>
      </c>
      <c r="B42" s="6" t="s">
        <v>316</v>
      </c>
      <c r="C42" s="6" t="n">
        <v>1</v>
      </c>
      <c r="D42" s="6" t="n">
        <v>1</v>
      </c>
      <c r="E42" s="6" t="n">
        <v>5</v>
      </c>
      <c r="F42" s="6" t="s">
        <v>6536</v>
      </c>
      <c r="G42" s="28" t="n">
        <f aca="false">IFERROR(INDEX('Semrush Data'!$A$1:$Z$20000,MATCH(A42,'Semrush Data'!$A$1:$A$20000,0),MATCH("Volume",'Semrush Data'!$A$1:$Z$1,0)),"")</f>
        <v>90</v>
      </c>
      <c r="H42" s="6" t="n">
        <f aca="false">IFERROR(INDEX('Semrush Data'!$A$1:$Z$20000,MATCH(A42,'Semrush Data'!$A$1:$A$20000,0),MATCH("Keyword Difficulty*",'Semrush Data'!$A$1:$Z$1,0)),"")</f>
        <v>24</v>
      </c>
      <c r="I42" s="29" t="n">
        <f aca="false">IFERROR(INDEX('Semrush Data'!$A$1:$Z$20000,MATCH(A42,'Semrush Data'!$A$1:$A$20000,0),MATCH("CPC*",'Semrush Data'!$A$1:$Z$1,0)),"")</f>
        <v>0.35</v>
      </c>
      <c r="J42" s="6" t="str">
        <f aca="false">IFERROR(INDEX('Semrush Data'!$A$1:$Z$20000,MATCH(A42,'Semrush Data'!$A$1:$A$20000,0),MATCH("Intent",'Semrush Data'!$A$1:$Z$1,0)),"")</f>
        <v>Informational</v>
      </c>
    </row>
    <row r="43" customFormat="false" ht="15" hidden="false" customHeight="true" outlineLevel="0" collapsed="false">
      <c r="A43" s="6" t="s">
        <v>6537</v>
      </c>
      <c r="B43" s="6" t="s">
        <v>316</v>
      </c>
      <c r="C43" s="6" t="n">
        <v>1</v>
      </c>
      <c r="D43" s="6" t="n">
        <v>1</v>
      </c>
      <c r="E43" s="6" t="n">
        <v>3</v>
      </c>
      <c r="F43" s="6" t="s">
        <v>6538</v>
      </c>
      <c r="G43" s="28" t="n">
        <f aca="false">IFERROR(INDEX('Semrush Data'!$A$1:$Z$20000,MATCH(A43,'Semrush Data'!$A$1:$A$20000,0),MATCH("Volume",'Semrush Data'!$A$1:$Z$1,0)),"")</f>
        <v>70</v>
      </c>
      <c r="H43" s="6" t="n">
        <f aca="false">IFERROR(INDEX('Semrush Data'!$A$1:$Z$20000,MATCH(A43,'Semrush Data'!$A$1:$A$20000,0),MATCH("Keyword Difficulty*",'Semrush Data'!$A$1:$Z$1,0)),"")</f>
        <v>28</v>
      </c>
      <c r="I43" s="29" t="n">
        <f aca="false">IFERROR(INDEX('Semrush Data'!$A$1:$Z$20000,MATCH(A43,'Semrush Data'!$A$1:$A$20000,0),MATCH("CPC*",'Semrush Data'!$A$1:$Z$1,0)),"")</f>
        <v>0.25</v>
      </c>
      <c r="J43" s="6" t="str">
        <f aca="false">IFERROR(INDEX('Semrush Data'!$A$1:$Z$20000,MATCH(A43,'Semrush Data'!$A$1:$A$20000,0),MATCH("Intent",'Semrush Data'!$A$1:$Z$1,0)),"")</f>
        <v>Informational</v>
      </c>
    </row>
    <row r="44" customFormat="false" ht="15" hidden="false" customHeight="true" outlineLevel="0" collapsed="false">
      <c r="A44" s="6" t="s">
        <v>329</v>
      </c>
      <c r="B44" s="6" t="s">
        <v>316</v>
      </c>
      <c r="C44" s="6" t="n">
        <v>1</v>
      </c>
      <c r="D44" s="6" t="n">
        <v>1</v>
      </c>
      <c r="E44" s="6" t="n">
        <v>11</v>
      </c>
      <c r="F44" s="6" t="s">
        <v>6539</v>
      </c>
      <c r="G44" s="28" t="n">
        <f aca="false">IFERROR(INDEX('Semrush Data'!$A$1:$Z$20000,MATCH(A44,'Semrush Data'!$A$1:$A$20000,0),MATCH("Volume",'Semrush Data'!$A$1:$Z$1,0)),"")</f>
        <v>9900</v>
      </c>
      <c r="H44" s="6" t="n">
        <f aca="false">IFERROR(INDEX('Semrush Data'!$A$1:$Z$20000,MATCH(A44,'Semrush Data'!$A$1:$A$20000,0),MATCH("Keyword Difficulty*",'Semrush Data'!$A$1:$Z$1,0)),"")</f>
        <v>34</v>
      </c>
      <c r="I44" s="29" t="n">
        <f aca="false">IFERROR(INDEX('Semrush Data'!$A$1:$Z$20000,MATCH(A44,'Semrush Data'!$A$1:$A$20000,0),MATCH("CPC*",'Semrush Data'!$A$1:$Z$1,0)),"")</f>
        <v>0.27</v>
      </c>
      <c r="J44" s="6" t="str">
        <f aca="false">IFERROR(INDEX('Semrush Data'!$A$1:$Z$20000,MATCH(A44,'Semrush Data'!$A$1:$A$20000,0),MATCH("Intent",'Semrush Data'!$A$1:$Z$1,0)),"")</f>
        <v>Informational Transactional</v>
      </c>
    </row>
    <row r="45" customFormat="false" ht="15" hidden="false" customHeight="true" outlineLevel="0" collapsed="false">
      <c r="A45" s="6" t="s">
        <v>6540</v>
      </c>
      <c r="B45" s="6" t="s">
        <v>316</v>
      </c>
      <c r="C45" s="6" t="n">
        <v>1</v>
      </c>
      <c r="D45" s="6" t="n">
        <v>1</v>
      </c>
      <c r="E45" s="6" t="n">
        <v>7</v>
      </c>
      <c r="F45" s="6" t="s">
        <v>6541</v>
      </c>
      <c r="G45" s="28" t="n">
        <f aca="false">IFERROR(INDEX('Semrush Data'!$A$1:$Z$20000,MATCH(A45,'Semrush Data'!$A$1:$A$20000,0),MATCH("Volume",'Semrush Data'!$A$1:$Z$1,0)),"")</f>
        <v>590</v>
      </c>
      <c r="H45" s="6" t="n">
        <f aca="false">IFERROR(INDEX('Semrush Data'!$A$1:$Z$20000,MATCH(A45,'Semrush Data'!$A$1:$A$20000,0),MATCH("Keyword Difficulty*",'Semrush Data'!$A$1:$Z$1,0)),"")</f>
        <v>14</v>
      </c>
      <c r="I45" s="29" t="n">
        <f aca="false">IFERROR(INDEX('Semrush Data'!$A$1:$Z$20000,MATCH(A45,'Semrush Data'!$A$1:$A$20000,0),MATCH("CPC*",'Semrush Data'!$A$1:$Z$1,0)),"")</f>
        <v>0.23</v>
      </c>
      <c r="J45" s="6" t="str">
        <f aca="false">IFERROR(INDEX('Semrush Data'!$A$1:$Z$20000,MATCH(A45,'Semrush Data'!$A$1:$A$20000,0),MATCH("Intent",'Semrush Data'!$A$1:$Z$1,0)),"")</f>
        <v>Informational</v>
      </c>
    </row>
    <row r="46" customFormat="false" ht="15" hidden="false" customHeight="true" outlineLevel="0" collapsed="false">
      <c r="A46" s="6" t="s">
        <v>6542</v>
      </c>
      <c r="B46" s="6" t="s">
        <v>316</v>
      </c>
      <c r="C46" s="6" t="n">
        <v>1</v>
      </c>
      <c r="D46" s="6" t="n">
        <v>1</v>
      </c>
      <c r="E46" s="6" t="n">
        <v>4</v>
      </c>
      <c r="F46" s="6" t="s">
        <v>6543</v>
      </c>
      <c r="G46" s="28" t="n">
        <f aca="false">IFERROR(INDEX('Semrush Data'!$A$1:$Z$20000,MATCH(A46,'Semrush Data'!$A$1:$A$20000,0),MATCH("Volume",'Semrush Data'!$A$1:$Z$1,0)),"")</f>
        <v>480</v>
      </c>
      <c r="H46" s="6" t="n">
        <f aca="false">IFERROR(INDEX('Semrush Data'!$A$1:$Z$20000,MATCH(A46,'Semrush Data'!$A$1:$A$20000,0),MATCH("Keyword Difficulty*",'Semrush Data'!$A$1:$Z$1,0)),"")</f>
        <v>21</v>
      </c>
      <c r="I46" s="29" t="n">
        <f aca="false">IFERROR(INDEX('Semrush Data'!$A$1:$Z$20000,MATCH(A46,'Semrush Data'!$A$1:$A$20000,0),MATCH("CPC*",'Semrush Data'!$A$1:$Z$1,0)),"")</f>
        <v>0.32</v>
      </c>
      <c r="J46" s="6" t="str">
        <f aca="false">IFERROR(INDEX('Semrush Data'!$A$1:$Z$20000,MATCH(A46,'Semrush Data'!$A$1:$A$20000,0),MATCH("Intent",'Semrush Data'!$A$1:$Z$1,0)),"")</f>
        <v>Informational</v>
      </c>
    </row>
    <row r="47" customFormat="false" ht="15" hidden="false" customHeight="true" outlineLevel="0" collapsed="false">
      <c r="A47" s="6" t="s">
        <v>330</v>
      </c>
      <c r="B47" s="6" t="s">
        <v>316</v>
      </c>
      <c r="C47" s="6" t="n">
        <v>1</v>
      </c>
      <c r="D47" s="6" t="n">
        <v>1</v>
      </c>
      <c r="E47" s="6" t="n">
        <v>8</v>
      </c>
      <c r="F47" s="6" t="s">
        <v>6544</v>
      </c>
      <c r="G47" s="28" t="n">
        <f aca="false">IFERROR(INDEX('Semrush Data'!$A$1:$Z$20000,MATCH(A47,'Semrush Data'!$A$1:$A$20000,0),MATCH("Volume",'Semrush Data'!$A$1:$Z$1,0)),"")</f>
        <v>9900</v>
      </c>
      <c r="H47" s="6" t="n">
        <f aca="false">IFERROR(INDEX('Semrush Data'!$A$1:$Z$20000,MATCH(A47,'Semrush Data'!$A$1:$A$20000,0),MATCH("Keyword Difficulty*",'Semrush Data'!$A$1:$Z$1,0)),"")</f>
        <v>23</v>
      </c>
      <c r="I47" s="29" t="n">
        <f aca="false">IFERROR(INDEX('Semrush Data'!$A$1:$Z$20000,MATCH(A47,'Semrush Data'!$A$1:$A$20000,0),MATCH("CPC*",'Semrush Data'!$A$1:$Z$1,0)),"")</f>
        <v>0.39</v>
      </c>
      <c r="J47" s="6" t="str">
        <f aca="false">IFERROR(INDEX('Semrush Data'!$A$1:$Z$20000,MATCH(A47,'Semrush Data'!$A$1:$A$20000,0),MATCH("Intent",'Semrush Data'!$A$1:$Z$1,0)),"")</f>
        <v>Informational</v>
      </c>
    </row>
    <row r="48" customFormat="false" ht="15" hidden="false" customHeight="true" outlineLevel="0" collapsed="false">
      <c r="A48" s="6" t="s">
        <v>6545</v>
      </c>
      <c r="B48" s="6" t="s">
        <v>316</v>
      </c>
      <c r="C48" s="6" t="n">
        <v>1</v>
      </c>
      <c r="D48" s="6" t="n">
        <v>1</v>
      </c>
      <c r="E48" s="6" t="n">
        <v>6</v>
      </c>
      <c r="F48" s="6" t="s">
        <v>6546</v>
      </c>
      <c r="G48" s="28" t="n">
        <f aca="false">IFERROR(INDEX('Semrush Data'!$A$1:$Z$20000,MATCH(A48,'Semrush Data'!$A$1:$A$20000,0),MATCH("Volume",'Semrush Data'!$A$1:$Z$1,0)),"")</f>
        <v>260</v>
      </c>
      <c r="H48" s="6" t="n">
        <f aca="false">IFERROR(INDEX('Semrush Data'!$A$1:$Z$20000,MATCH(A48,'Semrush Data'!$A$1:$A$20000,0),MATCH("Keyword Difficulty*",'Semrush Data'!$A$1:$Z$1,0)),"")</f>
        <v>15</v>
      </c>
      <c r="I48" s="29" t="n">
        <f aca="false">IFERROR(INDEX('Semrush Data'!$A$1:$Z$20000,MATCH(A48,'Semrush Data'!$A$1:$A$20000,0),MATCH("CPC*",'Semrush Data'!$A$1:$Z$1,0)),"")</f>
        <v>0.41</v>
      </c>
      <c r="J48" s="6" t="str">
        <f aca="false">IFERROR(INDEX('Semrush Data'!$A$1:$Z$20000,MATCH(A48,'Semrush Data'!$A$1:$A$20000,0),MATCH("Intent",'Semrush Data'!$A$1:$Z$1,0)),"")</f>
        <v>Informational Transactional</v>
      </c>
    </row>
    <row r="49" customFormat="false" ht="15" hidden="false" customHeight="true" outlineLevel="0" collapsed="false">
      <c r="A49" s="6" t="s">
        <v>6547</v>
      </c>
      <c r="B49" s="6" t="s">
        <v>316</v>
      </c>
      <c r="C49" s="6" t="n">
        <v>1</v>
      </c>
      <c r="D49" s="6" t="n">
        <v>1</v>
      </c>
      <c r="E49" s="6" t="n">
        <v>2</v>
      </c>
      <c r="F49" s="6" t="s">
        <v>6548</v>
      </c>
      <c r="G49" s="28" t="n">
        <f aca="false">IFERROR(INDEX('Semrush Data'!$A$1:$Z$20000,MATCH(A49,'Semrush Data'!$A$1:$A$20000,0),MATCH("Volume",'Semrush Data'!$A$1:$Z$1,0)),"")</f>
        <v>390</v>
      </c>
      <c r="H49" s="6" t="n">
        <f aca="false">IFERROR(INDEX('Semrush Data'!$A$1:$Z$20000,MATCH(A49,'Semrush Data'!$A$1:$A$20000,0),MATCH("Keyword Difficulty*",'Semrush Data'!$A$1:$Z$1,0)),"")</f>
        <v>25</v>
      </c>
      <c r="I49" s="29" t="n">
        <f aca="false">IFERROR(INDEX('Semrush Data'!$A$1:$Z$20000,MATCH(A49,'Semrush Data'!$A$1:$A$20000,0),MATCH("CPC*",'Semrush Data'!$A$1:$Z$1,0)),"")</f>
        <v>0.43</v>
      </c>
      <c r="J49" s="6" t="str">
        <f aca="false">IFERROR(INDEX('Semrush Data'!$A$1:$Z$20000,MATCH(A49,'Semrush Data'!$A$1:$A$20000,0),MATCH("Intent",'Semrush Data'!$A$1:$Z$1,0)),"")</f>
        <v>Informational Transactional</v>
      </c>
    </row>
    <row r="50" customFormat="false" ht="15" hidden="false" customHeight="true" outlineLevel="0" collapsed="false">
      <c r="A50" s="6" t="s">
        <v>322</v>
      </c>
      <c r="B50" s="6" t="s">
        <v>316</v>
      </c>
      <c r="C50" s="6" t="n">
        <v>1</v>
      </c>
      <c r="D50" s="6" t="n">
        <v>1</v>
      </c>
      <c r="E50" s="6" t="n">
        <v>7</v>
      </c>
      <c r="F50" s="6" t="s">
        <v>6549</v>
      </c>
      <c r="G50" s="28" t="n">
        <f aca="false">IFERROR(INDEX('Semrush Data'!$A$1:$Z$20000,MATCH(A50,'Semrush Data'!$A$1:$A$20000,0),MATCH("Volume",'Semrush Data'!$A$1:$Z$1,0)),"")</f>
        <v>22200</v>
      </c>
      <c r="H50" s="6" t="n">
        <f aca="false">IFERROR(INDEX('Semrush Data'!$A$1:$Z$20000,MATCH(A50,'Semrush Data'!$A$1:$A$20000,0),MATCH("Keyword Difficulty*",'Semrush Data'!$A$1:$Z$1,0)),"")</f>
        <v>16</v>
      </c>
      <c r="I50" s="29" t="n">
        <f aca="false">IFERROR(INDEX('Semrush Data'!$A$1:$Z$20000,MATCH(A50,'Semrush Data'!$A$1:$A$20000,0),MATCH("CPC*",'Semrush Data'!$A$1:$Z$1,0)),"")</f>
        <v>0.29</v>
      </c>
      <c r="J50" s="6" t="str">
        <f aca="false">IFERROR(INDEX('Semrush Data'!$A$1:$Z$20000,MATCH(A50,'Semrush Data'!$A$1:$A$20000,0),MATCH("Intent",'Semrush Data'!$A$1:$Z$1,0)),"")</f>
        <v>Informational Transactional</v>
      </c>
    </row>
    <row r="51" customFormat="false" ht="15" hidden="false" customHeight="true" outlineLevel="0" collapsed="false">
      <c r="A51" s="6" t="s">
        <v>6550</v>
      </c>
      <c r="B51" s="6" t="s">
        <v>316</v>
      </c>
      <c r="C51" s="6" t="n">
        <v>1</v>
      </c>
      <c r="D51" s="6" t="n">
        <v>1</v>
      </c>
      <c r="E51" s="6" t="n">
        <v>7</v>
      </c>
      <c r="F51" s="6" t="s">
        <v>6549</v>
      </c>
      <c r="G51" s="28" t="n">
        <f aca="false">IFERROR(INDEX('Semrush Data'!$A$1:$Z$20000,MATCH(A51,'Semrush Data'!$A$1:$A$20000,0),MATCH("Volume",'Semrush Data'!$A$1:$Z$1,0)),"")</f>
        <v>320</v>
      </c>
      <c r="H51" s="6" t="n">
        <f aca="false">IFERROR(INDEX('Semrush Data'!$A$1:$Z$20000,MATCH(A51,'Semrush Data'!$A$1:$A$20000,0),MATCH("Keyword Difficulty*",'Semrush Data'!$A$1:$Z$1,0)),"")</f>
        <v>16</v>
      </c>
      <c r="I51" s="29" t="n">
        <f aca="false">IFERROR(INDEX('Semrush Data'!$A$1:$Z$20000,MATCH(A51,'Semrush Data'!$A$1:$A$20000,0),MATCH("CPC*",'Semrush Data'!$A$1:$Z$1,0)),"")</f>
        <v>0.37</v>
      </c>
      <c r="J51" s="6" t="str">
        <f aca="false">IFERROR(INDEX('Semrush Data'!$A$1:$Z$20000,MATCH(A51,'Semrush Data'!$A$1:$A$20000,0),MATCH("Intent",'Semrush Data'!$A$1:$Z$1,0)),"")</f>
        <v>Commercial</v>
      </c>
    </row>
    <row r="52" customFormat="false" ht="15" hidden="false" customHeight="true" outlineLevel="0" collapsed="false">
      <c r="A52" s="6" t="s">
        <v>6551</v>
      </c>
      <c r="B52" s="6" t="s">
        <v>316</v>
      </c>
      <c r="C52" s="6" t="n">
        <v>1</v>
      </c>
      <c r="D52" s="6" t="n">
        <v>1</v>
      </c>
      <c r="E52" s="6" t="n">
        <v>5</v>
      </c>
      <c r="F52" s="6" t="s">
        <v>6552</v>
      </c>
      <c r="G52" s="28" t="n">
        <f aca="false">IFERROR(INDEX('Semrush Data'!$A$1:$Z$20000,MATCH(A52,'Semrush Data'!$A$1:$A$20000,0),MATCH("Volume",'Semrush Data'!$A$1:$Z$1,0)),"")</f>
        <v>720</v>
      </c>
      <c r="H52" s="6" t="n">
        <f aca="false">IFERROR(INDEX('Semrush Data'!$A$1:$Z$20000,MATCH(A52,'Semrush Data'!$A$1:$A$20000,0),MATCH("Keyword Difficulty*",'Semrush Data'!$A$1:$Z$1,0)),"")</f>
        <v>20</v>
      </c>
      <c r="I52" s="29" t="n">
        <f aca="false">IFERROR(INDEX('Semrush Data'!$A$1:$Z$20000,MATCH(A52,'Semrush Data'!$A$1:$A$20000,0),MATCH("CPC*",'Semrush Data'!$A$1:$Z$1,0)),"")</f>
        <v>0.39</v>
      </c>
      <c r="J52" s="6" t="str">
        <f aca="false">IFERROR(INDEX('Semrush Data'!$A$1:$Z$20000,MATCH(A52,'Semrush Data'!$A$1:$A$20000,0),MATCH("Intent",'Semrush Data'!$A$1:$Z$1,0)),"")</f>
        <v>Informational Transactional</v>
      </c>
    </row>
    <row r="53" customFormat="false" ht="15" hidden="false" customHeight="true" outlineLevel="0" collapsed="false">
      <c r="A53" s="6" t="s">
        <v>6553</v>
      </c>
      <c r="B53" s="6" t="s">
        <v>316</v>
      </c>
      <c r="C53" s="6" t="n">
        <v>1</v>
      </c>
      <c r="D53" s="6" t="n">
        <v>1</v>
      </c>
      <c r="E53" s="6" t="n">
        <v>1</v>
      </c>
      <c r="F53" s="6" t="s">
        <v>111</v>
      </c>
      <c r="G53" s="28" t="n">
        <f aca="false">IFERROR(INDEX('Semrush Data'!$A$1:$Z$20000,MATCH(A53,'Semrush Data'!$A$1:$A$20000,0),MATCH("Volume",'Semrush Data'!$A$1:$Z$1,0)),"")</f>
        <v>0</v>
      </c>
      <c r="H53" s="6" t="n">
        <f aca="false">IFERROR(INDEX('Semrush Data'!$A$1:$Z$20000,MATCH(A53,'Semrush Data'!$A$1:$A$20000,0),MATCH("Keyword Difficulty*",'Semrush Data'!$A$1:$Z$1,0)),"")</f>
        <v>16</v>
      </c>
      <c r="I53" s="29" t="n">
        <f aca="false">IFERROR(INDEX('Semrush Data'!$A$1:$Z$20000,MATCH(A53,'Semrush Data'!$A$1:$A$20000,0),MATCH("CPC*",'Semrush Data'!$A$1:$Z$1,0)),"")</f>
        <v>0</v>
      </c>
      <c r="J53" s="6" t="str">
        <f aca="false">IFERROR(INDEX('Semrush Data'!$A$1:$Z$20000,MATCH(A53,'Semrush Data'!$A$1:$A$20000,0),MATCH("Intent",'Semrush Data'!$A$1:$Z$1,0)),"")</f>
        <v>Informational Transactional</v>
      </c>
    </row>
    <row r="54" customFormat="false" ht="15" hidden="false" customHeight="true" outlineLevel="0" collapsed="false">
      <c r="A54" s="6" t="s">
        <v>6554</v>
      </c>
      <c r="B54" s="6" t="s">
        <v>316</v>
      </c>
      <c r="C54" s="6" t="n">
        <v>1</v>
      </c>
      <c r="D54" s="6" t="n">
        <v>1</v>
      </c>
      <c r="E54" s="6" t="n">
        <v>1</v>
      </c>
      <c r="F54" s="6" t="s">
        <v>3438</v>
      </c>
      <c r="G54" s="28" t="n">
        <f aca="false">IFERROR(INDEX('Semrush Data'!$A$1:$Z$20000,MATCH(A54,'Semrush Data'!$A$1:$A$20000,0),MATCH("Volume",'Semrush Data'!$A$1:$Z$1,0)),"")</f>
        <v>0</v>
      </c>
      <c r="H54" s="6" t="n">
        <f aca="false">IFERROR(INDEX('Semrush Data'!$A$1:$Z$20000,MATCH(A54,'Semrush Data'!$A$1:$A$20000,0),MATCH("Keyword Difficulty*",'Semrush Data'!$A$1:$Z$1,0)),"")</f>
        <v>9</v>
      </c>
      <c r="I54" s="29" t="n">
        <f aca="false">IFERROR(INDEX('Semrush Data'!$A$1:$Z$20000,MATCH(A54,'Semrush Data'!$A$1:$A$20000,0),MATCH("CPC*",'Semrush Data'!$A$1:$Z$1,0)),"")</f>
        <v>0.46</v>
      </c>
      <c r="J54" s="6" t="str">
        <f aca="false">IFERROR(INDEX('Semrush Data'!$A$1:$Z$20000,MATCH(A54,'Semrush Data'!$A$1:$A$20000,0),MATCH("Intent",'Semrush Data'!$A$1:$Z$1,0)),"")</f>
        <v>Informational Transactional</v>
      </c>
    </row>
    <row r="55" customFormat="false" ht="15" hidden="false" customHeight="true" outlineLevel="0" collapsed="false">
      <c r="A55" s="6" t="s">
        <v>6555</v>
      </c>
      <c r="B55" s="6" t="s">
        <v>316</v>
      </c>
      <c r="C55" s="6" t="n">
        <v>1</v>
      </c>
      <c r="D55" s="6" t="n">
        <v>1</v>
      </c>
      <c r="E55" s="6" t="n">
        <v>2</v>
      </c>
      <c r="F55" s="6" t="s">
        <v>6556</v>
      </c>
      <c r="G55" s="28" t="n">
        <f aca="false">IFERROR(INDEX('Semrush Data'!$A$1:$Z$20000,MATCH(A55,'Semrush Data'!$A$1:$A$20000,0),MATCH("Volume",'Semrush Data'!$A$1:$Z$1,0)),"")</f>
        <v>50</v>
      </c>
      <c r="H55" s="6" t="n">
        <f aca="false">IFERROR(INDEX('Semrush Data'!$A$1:$Z$20000,MATCH(A55,'Semrush Data'!$A$1:$A$20000,0),MATCH("Keyword Difficulty*",'Semrush Data'!$A$1:$Z$1,0)),"")</f>
        <v>24</v>
      </c>
      <c r="I55" s="29" t="n">
        <f aca="false">IFERROR(INDEX('Semrush Data'!$A$1:$Z$20000,MATCH(A55,'Semrush Data'!$A$1:$A$20000,0),MATCH("CPC*",'Semrush Data'!$A$1:$Z$1,0)),"")</f>
        <v>0.21</v>
      </c>
      <c r="J55" s="6" t="str">
        <f aca="false">IFERROR(INDEX('Semrush Data'!$A$1:$Z$20000,MATCH(A55,'Semrush Data'!$A$1:$A$20000,0),MATCH("Intent",'Semrush Data'!$A$1:$Z$1,0)),"")</f>
        <v>Informational</v>
      </c>
    </row>
    <row r="56" customFormat="false" ht="15" hidden="false" customHeight="true" outlineLevel="0" collapsed="false">
      <c r="A56" s="6" t="s">
        <v>6557</v>
      </c>
      <c r="B56" s="6" t="s">
        <v>316</v>
      </c>
      <c r="C56" s="6" t="n">
        <v>1</v>
      </c>
      <c r="D56" s="6" t="n">
        <v>1</v>
      </c>
      <c r="E56" s="6" t="n">
        <v>2</v>
      </c>
      <c r="F56" s="6" t="s">
        <v>6556</v>
      </c>
      <c r="G56" s="28" t="n">
        <f aca="false">IFERROR(INDEX('Semrush Data'!$A$1:$Z$20000,MATCH(A56,'Semrush Data'!$A$1:$A$20000,0),MATCH("Volume",'Semrush Data'!$A$1:$Z$1,0)),"")</f>
        <v>20</v>
      </c>
      <c r="H56" s="6" t="n">
        <f aca="false">IFERROR(INDEX('Semrush Data'!$A$1:$Z$20000,MATCH(A56,'Semrush Data'!$A$1:$A$20000,0),MATCH("Keyword Difficulty*",'Semrush Data'!$A$1:$Z$1,0)),"")</f>
        <v>21</v>
      </c>
      <c r="I56" s="29" t="n">
        <f aca="false">IFERROR(INDEX('Semrush Data'!$A$1:$Z$20000,MATCH(A56,'Semrush Data'!$A$1:$A$20000,0),MATCH("CPC*",'Semrush Data'!$A$1:$Z$1,0)),"")</f>
        <v>0</v>
      </c>
      <c r="J56" s="6" t="str">
        <f aca="false">IFERROR(INDEX('Semrush Data'!$A$1:$Z$20000,MATCH(A56,'Semrush Data'!$A$1:$A$20000,0),MATCH("Intent",'Semrush Data'!$A$1:$Z$1,0)),"")</f>
        <v>Informational</v>
      </c>
    </row>
    <row r="57" customFormat="false" ht="15" hidden="false" customHeight="true" outlineLevel="0" collapsed="false">
      <c r="A57" s="6" t="s">
        <v>6558</v>
      </c>
      <c r="B57" s="6" t="s">
        <v>316</v>
      </c>
      <c r="C57" s="6" t="n">
        <v>1</v>
      </c>
      <c r="D57" s="6" t="n">
        <v>1</v>
      </c>
      <c r="E57" s="6" t="n">
        <v>1</v>
      </c>
      <c r="F57" s="6" t="s">
        <v>5125</v>
      </c>
      <c r="G57" s="28" t="n">
        <f aca="false">IFERROR(INDEX('Semrush Data'!$A$1:$Z$20000,MATCH(A57,'Semrush Data'!$A$1:$A$20000,0),MATCH("Volume",'Semrush Data'!$A$1:$Z$1,0)),"")</f>
        <v>0</v>
      </c>
      <c r="H57" s="6" t="n">
        <f aca="false">IFERROR(INDEX('Semrush Data'!$A$1:$Z$20000,MATCH(A57,'Semrush Data'!$A$1:$A$20000,0),MATCH("Keyword Difficulty*",'Semrush Data'!$A$1:$Z$1,0)),"")</f>
        <v>16</v>
      </c>
      <c r="I57" s="29" t="n">
        <f aca="false">IFERROR(INDEX('Semrush Data'!$A$1:$Z$20000,MATCH(A57,'Semrush Data'!$A$1:$A$20000,0),MATCH("CPC*",'Semrush Data'!$A$1:$Z$1,0)),"")</f>
        <v>0</v>
      </c>
      <c r="J57" s="6" t="str">
        <f aca="false">IFERROR(INDEX('Semrush Data'!$A$1:$Z$20000,MATCH(A57,'Semrush Data'!$A$1:$A$20000,0),MATCH("Intent",'Semrush Data'!$A$1:$Z$1,0)),"")</f>
        <v>Informational</v>
      </c>
    </row>
    <row r="58" customFormat="false" ht="15" hidden="false" customHeight="true" outlineLevel="0" collapsed="false">
      <c r="A58" s="6" t="s">
        <v>6559</v>
      </c>
      <c r="B58" s="6" t="s">
        <v>316</v>
      </c>
      <c r="C58" s="6" t="n">
        <v>1</v>
      </c>
      <c r="D58" s="6" t="n">
        <v>1</v>
      </c>
      <c r="E58" s="6" t="n">
        <v>1</v>
      </c>
      <c r="F58" s="6" t="s">
        <v>3748</v>
      </c>
      <c r="G58" s="28" t="n">
        <f aca="false">IFERROR(INDEX('Semrush Data'!$A$1:$Z$20000,MATCH(A58,'Semrush Data'!$A$1:$A$20000,0),MATCH("Volume",'Semrush Data'!$A$1:$Z$1,0)),"")</f>
        <v>0</v>
      </c>
      <c r="H58" s="6" t="n">
        <f aca="false">IFERROR(INDEX('Semrush Data'!$A$1:$Z$20000,MATCH(A58,'Semrush Data'!$A$1:$A$20000,0),MATCH("Keyword Difficulty*",'Semrush Data'!$A$1:$Z$1,0)),"")</f>
        <v>15</v>
      </c>
      <c r="I58" s="29" t="n">
        <f aca="false">IFERROR(INDEX('Semrush Data'!$A$1:$Z$20000,MATCH(A58,'Semrush Data'!$A$1:$A$20000,0),MATCH("CPC*",'Semrush Data'!$A$1:$Z$1,0)),"")</f>
        <v>0</v>
      </c>
      <c r="J58" s="6" t="str">
        <f aca="false">IFERROR(INDEX('Semrush Data'!$A$1:$Z$20000,MATCH(A58,'Semrush Data'!$A$1:$A$20000,0),MATCH("Intent",'Semrush Data'!$A$1:$Z$1,0)),"")</f>
        <v>Informational Commercial</v>
      </c>
    </row>
    <row r="59" customFormat="false" ht="15" hidden="false" customHeight="true" outlineLevel="0" collapsed="false">
      <c r="A59" s="6" t="s">
        <v>6560</v>
      </c>
      <c r="B59" s="6" t="s">
        <v>316</v>
      </c>
      <c r="C59" s="6" t="n">
        <v>1</v>
      </c>
      <c r="D59" s="6" t="n">
        <v>1</v>
      </c>
      <c r="E59" s="6" t="n">
        <v>2</v>
      </c>
      <c r="F59" s="6" t="s">
        <v>6561</v>
      </c>
      <c r="G59" s="28" t="n">
        <f aca="false">IFERROR(INDEX('Semrush Data'!$A$1:$Z$20000,MATCH(A59,'Semrush Data'!$A$1:$A$20000,0),MATCH("Volume",'Semrush Data'!$A$1:$Z$1,0)),"")</f>
        <v>70</v>
      </c>
      <c r="H59" s="6" t="n">
        <f aca="false">IFERROR(INDEX('Semrush Data'!$A$1:$Z$20000,MATCH(A59,'Semrush Data'!$A$1:$A$20000,0),MATCH("Keyword Difficulty*",'Semrush Data'!$A$1:$Z$1,0)),"")</f>
        <v>20</v>
      </c>
      <c r="I59" s="29" t="n">
        <f aca="false">IFERROR(INDEX('Semrush Data'!$A$1:$Z$20000,MATCH(A59,'Semrush Data'!$A$1:$A$20000,0),MATCH("CPC*",'Semrush Data'!$A$1:$Z$1,0)),"")</f>
        <v>0</v>
      </c>
      <c r="J59" s="6" t="str">
        <f aca="false">IFERROR(INDEX('Semrush Data'!$A$1:$Z$20000,MATCH(A59,'Semrush Data'!$A$1:$A$20000,0),MATCH("Intent",'Semrush Data'!$A$1:$Z$1,0)),"")</f>
        <v>Informational Transactional</v>
      </c>
    </row>
    <row r="60" customFormat="false" ht="15" hidden="false" customHeight="true" outlineLevel="0" collapsed="false">
      <c r="A60" s="6" t="s">
        <v>347</v>
      </c>
      <c r="B60" s="6" t="s">
        <v>316</v>
      </c>
      <c r="C60" s="6" t="n">
        <v>1</v>
      </c>
      <c r="D60" s="6" t="n">
        <v>1</v>
      </c>
      <c r="E60" s="6" t="n">
        <v>4</v>
      </c>
      <c r="F60" s="6" t="s">
        <v>6562</v>
      </c>
      <c r="G60" s="28" t="n">
        <f aca="false">IFERROR(INDEX('Semrush Data'!$A$1:$Z$20000,MATCH(A60,'Semrush Data'!$A$1:$A$20000,0),MATCH("Volume",'Semrush Data'!$A$1:$Z$1,0)),"")</f>
        <v>1300</v>
      </c>
      <c r="H60" s="6" t="n">
        <f aca="false">IFERROR(INDEX('Semrush Data'!$A$1:$Z$20000,MATCH(A60,'Semrush Data'!$A$1:$A$20000,0),MATCH("Keyword Difficulty*",'Semrush Data'!$A$1:$Z$1,0)),"")</f>
        <v>18</v>
      </c>
      <c r="I60" s="29" t="n">
        <f aca="false">IFERROR(INDEX('Semrush Data'!$A$1:$Z$20000,MATCH(A60,'Semrush Data'!$A$1:$A$20000,0),MATCH("CPC*",'Semrush Data'!$A$1:$Z$1,0)),"")</f>
        <v>0.35</v>
      </c>
      <c r="J60" s="6" t="str">
        <f aca="false">IFERROR(INDEX('Semrush Data'!$A$1:$Z$20000,MATCH(A60,'Semrush Data'!$A$1:$A$20000,0),MATCH("Intent",'Semrush Data'!$A$1:$Z$1,0)),"")</f>
        <v>Informational</v>
      </c>
    </row>
    <row r="61" customFormat="false" ht="15" hidden="false" customHeight="true" outlineLevel="0" collapsed="false">
      <c r="A61" s="6" t="s">
        <v>6563</v>
      </c>
      <c r="B61" s="6" t="s">
        <v>316</v>
      </c>
      <c r="C61" s="6" t="n">
        <v>1</v>
      </c>
      <c r="D61" s="6" t="n">
        <v>1</v>
      </c>
      <c r="E61" s="6" t="n">
        <v>3</v>
      </c>
      <c r="F61" s="6" t="s">
        <v>6564</v>
      </c>
      <c r="G61" s="28" t="n">
        <f aca="false">IFERROR(INDEX('Semrush Data'!$A$1:$Z$20000,MATCH(A61,'Semrush Data'!$A$1:$A$20000,0),MATCH("Volume",'Semrush Data'!$A$1:$Z$1,0)),"")</f>
        <v>110</v>
      </c>
      <c r="H61" s="6" t="n">
        <f aca="false">IFERROR(INDEX('Semrush Data'!$A$1:$Z$20000,MATCH(A61,'Semrush Data'!$A$1:$A$20000,0),MATCH("Keyword Difficulty*",'Semrush Data'!$A$1:$Z$1,0)),"")</f>
        <v>16</v>
      </c>
      <c r="I61" s="29" t="n">
        <f aca="false">IFERROR(INDEX('Semrush Data'!$A$1:$Z$20000,MATCH(A61,'Semrush Data'!$A$1:$A$20000,0),MATCH("CPC*",'Semrush Data'!$A$1:$Z$1,0)),"")</f>
        <v>0.36</v>
      </c>
      <c r="J61" s="6" t="str">
        <f aca="false">IFERROR(INDEX('Semrush Data'!$A$1:$Z$20000,MATCH(A61,'Semrush Data'!$A$1:$A$20000,0),MATCH("Intent",'Semrush Data'!$A$1:$Z$1,0)),"")</f>
        <v>Informational</v>
      </c>
    </row>
    <row r="62" customFormat="false" ht="15" hidden="false" customHeight="true" outlineLevel="0" collapsed="false">
      <c r="A62" s="6" t="s">
        <v>6565</v>
      </c>
      <c r="B62" s="6" t="s">
        <v>316</v>
      </c>
      <c r="C62" s="6" t="n">
        <v>1</v>
      </c>
      <c r="D62" s="6" t="n">
        <v>1</v>
      </c>
      <c r="E62" s="6" t="n">
        <v>1</v>
      </c>
      <c r="F62" s="6" t="s">
        <v>3491</v>
      </c>
      <c r="G62" s="28" t="n">
        <f aca="false">IFERROR(INDEX('Semrush Data'!$A$1:$Z$20000,MATCH(A62,'Semrush Data'!$A$1:$A$20000,0),MATCH("Volume",'Semrush Data'!$A$1:$Z$1,0)),"")</f>
        <v>90</v>
      </c>
      <c r="H62" s="6" t="n">
        <f aca="false">IFERROR(INDEX('Semrush Data'!$A$1:$Z$20000,MATCH(A62,'Semrush Data'!$A$1:$A$20000,0),MATCH("Keyword Difficulty*",'Semrush Data'!$A$1:$Z$1,0)),"")</f>
        <v>19</v>
      </c>
      <c r="I62" s="29" t="n">
        <f aca="false">IFERROR(INDEX('Semrush Data'!$A$1:$Z$20000,MATCH(A62,'Semrush Data'!$A$1:$A$20000,0),MATCH("CPC*",'Semrush Data'!$A$1:$Z$1,0)),"")</f>
        <v>0.25</v>
      </c>
      <c r="J62" s="6" t="str">
        <f aca="false">IFERROR(INDEX('Semrush Data'!$A$1:$Z$20000,MATCH(A62,'Semrush Data'!$A$1:$A$20000,0),MATCH("Intent",'Semrush Data'!$A$1:$Z$1,0)),"")</f>
        <v>Informational</v>
      </c>
    </row>
    <row r="63" customFormat="false" ht="15" hidden="false" customHeight="true" outlineLevel="0" collapsed="false">
      <c r="A63" s="6" t="s">
        <v>320</v>
      </c>
      <c r="B63" s="6" t="s">
        <v>316</v>
      </c>
      <c r="C63" s="6" t="n">
        <v>1</v>
      </c>
      <c r="D63" s="6" t="n">
        <v>1</v>
      </c>
      <c r="E63" s="6" t="n">
        <v>3</v>
      </c>
      <c r="F63" s="6" t="s">
        <v>6566</v>
      </c>
      <c r="G63" s="28" t="n">
        <f aca="false">IFERROR(INDEX('Semrush Data'!$A$1:$Z$20000,MATCH(A63,'Semrush Data'!$A$1:$A$20000,0),MATCH("Volume",'Semrush Data'!$A$1:$Z$1,0)),"")</f>
        <v>27100</v>
      </c>
      <c r="H63" s="6" t="n">
        <f aca="false">IFERROR(INDEX('Semrush Data'!$A$1:$Z$20000,MATCH(A63,'Semrush Data'!$A$1:$A$20000,0),MATCH("Keyword Difficulty*",'Semrush Data'!$A$1:$Z$1,0)),"")</f>
        <v>42</v>
      </c>
      <c r="I63" s="29" t="n">
        <f aca="false">IFERROR(INDEX('Semrush Data'!$A$1:$Z$20000,MATCH(A63,'Semrush Data'!$A$1:$A$20000,0),MATCH("CPC*",'Semrush Data'!$A$1:$Z$1,0)),"")</f>
        <v>0.56</v>
      </c>
      <c r="J63" s="6" t="str">
        <f aca="false">IFERROR(INDEX('Semrush Data'!$A$1:$Z$20000,MATCH(A63,'Semrush Data'!$A$1:$A$20000,0),MATCH("Intent",'Semrush Data'!$A$1:$Z$1,0)),"")</f>
        <v>Informational Transactional</v>
      </c>
    </row>
    <row r="64" customFormat="false" ht="15" hidden="false" customHeight="true" outlineLevel="0" collapsed="false">
      <c r="A64" s="6" t="s">
        <v>355</v>
      </c>
      <c r="B64" s="6" t="s">
        <v>316</v>
      </c>
      <c r="C64" s="6" t="n">
        <v>1</v>
      </c>
      <c r="D64" s="6" t="n">
        <v>1</v>
      </c>
      <c r="E64" s="6" t="n">
        <v>1</v>
      </c>
      <c r="F64" s="6" t="s">
        <v>48</v>
      </c>
      <c r="G64" s="28" t="n">
        <f aca="false">IFERROR(INDEX('Semrush Data'!$A$1:$Z$20000,MATCH(A64,'Semrush Data'!$A$1:$A$20000,0),MATCH("Volume",'Semrush Data'!$A$1:$Z$1,0)),"")</f>
        <v>880</v>
      </c>
      <c r="H64" s="6" t="n">
        <f aca="false">IFERROR(INDEX('Semrush Data'!$A$1:$Z$20000,MATCH(A64,'Semrush Data'!$A$1:$A$20000,0),MATCH("Keyword Difficulty*",'Semrush Data'!$A$1:$Z$1,0)),"")</f>
        <v>28</v>
      </c>
      <c r="I64" s="29" t="n">
        <f aca="false">IFERROR(INDEX('Semrush Data'!$A$1:$Z$20000,MATCH(A64,'Semrush Data'!$A$1:$A$20000,0),MATCH("CPC*",'Semrush Data'!$A$1:$Z$1,0)),"")</f>
        <v>0.53</v>
      </c>
      <c r="J64" s="6" t="str">
        <f aca="false">IFERROR(INDEX('Semrush Data'!$A$1:$Z$20000,MATCH(A64,'Semrush Data'!$A$1:$A$20000,0),MATCH("Intent",'Semrush Data'!$A$1:$Z$1,0)),"")</f>
        <v>Informational</v>
      </c>
    </row>
    <row r="65" customFormat="false" ht="15" hidden="false" customHeight="true" outlineLevel="0" collapsed="false">
      <c r="A65" s="6" t="s">
        <v>351</v>
      </c>
      <c r="B65" s="6" t="s">
        <v>316</v>
      </c>
      <c r="C65" s="6" t="n">
        <v>1</v>
      </c>
      <c r="D65" s="6" t="n">
        <v>1</v>
      </c>
      <c r="E65" s="6" t="n">
        <v>1</v>
      </c>
      <c r="F65" s="6" t="s">
        <v>3536</v>
      </c>
      <c r="G65" s="28" t="n">
        <f aca="false">IFERROR(INDEX('Semrush Data'!$A$1:$Z$20000,MATCH(A65,'Semrush Data'!$A$1:$A$20000,0),MATCH("Volume",'Semrush Data'!$A$1:$Z$1,0)),"")</f>
        <v>1000</v>
      </c>
      <c r="H65" s="6" t="n">
        <f aca="false">IFERROR(INDEX('Semrush Data'!$A$1:$Z$20000,MATCH(A65,'Semrush Data'!$A$1:$A$20000,0),MATCH("Keyword Difficulty*",'Semrush Data'!$A$1:$Z$1,0)),"")</f>
        <v>32</v>
      </c>
      <c r="I65" s="29" t="n">
        <f aca="false">IFERROR(INDEX('Semrush Data'!$A$1:$Z$20000,MATCH(A65,'Semrush Data'!$A$1:$A$20000,0),MATCH("CPC*",'Semrush Data'!$A$1:$Z$1,0)),"")</f>
        <v>0.53</v>
      </c>
      <c r="J65" s="6" t="str">
        <f aca="false">IFERROR(INDEX('Semrush Data'!$A$1:$Z$20000,MATCH(A65,'Semrush Data'!$A$1:$A$20000,0),MATCH("Intent",'Semrush Data'!$A$1:$Z$1,0)),"")</f>
        <v>Transactional</v>
      </c>
    </row>
    <row r="66" customFormat="false" ht="15" hidden="false" customHeight="true" outlineLevel="0" collapsed="false">
      <c r="A66" s="6" t="s">
        <v>332</v>
      </c>
      <c r="B66" s="6" t="s">
        <v>316</v>
      </c>
      <c r="C66" s="6" t="n">
        <v>1</v>
      </c>
      <c r="D66" s="6" t="n">
        <v>1</v>
      </c>
      <c r="E66" s="6" t="n">
        <v>4</v>
      </c>
      <c r="F66" s="6" t="s">
        <v>6567</v>
      </c>
      <c r="G66" s="28" t="n">
        <f aca="false">IFERROR(INDEX('Semrush Data'!$A$1:$Z$20000,MATCH(A66,'Semrush Data'!$A$1:$A$20000,0),MATCH("Volume",'Semrush Data'!$A$1:$Z$1,0)),"")</f>
        <v>8100</v>
      </c>
      <c r="H66" s="6" t="n">
        <f aca="false">IFERROR(INDEX('Semrush Data'!$A$1:$Z$20000,MATCH(A66,'Semrush Data'!$A$1:$A$20000,0),MATCH("Keyword Difficulty*",'Semrush Data'!$A$1:$Z$1,0)),"")</f>
        <v>23</v>
      </c>
      <c r="I66" s="29" t="n">
        <f aca="false">IFERROR(INDEX('Semrush Data'!$A$1:$Z$20000,MATCH(A66,'Semrush Data'!$A$1:$A$20000,0),MATCH("CPC*",'Semrush Data'!$A$1:$Z$1,0)),"")</f>
        <v>0.33</v>
      </c>
      <c r="J66" s="6" t="str">
        <f aca="false">IFERROR(INDEX('Semrush Data'!$A$1:$Z$20000,MATCH(A66,'Semrush Data'!$A$1:$A$20000,0),MATCH("Intent",'Semrush Data'!$A$1:$Z$1,0)),"")</f>
        <v>Informational</v>
      </c>
    </row>
    <row r="67" customFormat="false" ht="15" hidden="false" customHeight="true" outlineLevel="0" collapsed="false">
      <c r="A67" s="6" t="s">
        <v>6568</v>
      </c>
      <c r="B67" s="6" t="s">
        <v>316</v>
      </c>
      <c r="C67" s="6" t="n">
        <v>1</v>
      </c>
      <c r="D67" s="6" t="n">
        <v>1</v>
      </c>
      <c r="E67" s="6" t="n">
        <v>4</v>
      </c>
      <c r="F67" s="6" t="s">
        <v>6567</v>
      </c>
      <c r="G67" s="28" t="n">
        <f aca="false">IFERROR(INDEX('Semrush Data'!$A$1:$Z$20000,MATCH(A67,'Semrush Data'!$A$1:$A$20000,0),MATCH("Volume",'Semrush Data'!$A$1:$Z$1,0)),"")</f>
        <v>390</v>
      </c>
      <c r="H67" s="6" t="n">
        <f aca="false">IFERROR(INDEX('Semrush Data'!$A$1:$Z$20000,MATCH(A67,'Semrush Data'!$A$1:$A$20000,0),MATCH("Keyword Difficulty*",'Semrush Data'!$A$1:$Z$1,0)),"")</f>
        <v>22</v>
      </c>
      <c r="I67" s="29" t="n">
        <f aca="false">IFERROR(INDEX('Semrush Data'!$A$1:$Z$20000,MATCH(A67,'Semrush Data'!$A$1:$A$20000,0),MATCH("CPC*",'Semrush Data'!$A$1:$Z$1,0)),"")</f>
        <v>0.4</v>
      </c>
      <c r="J67" s="6" t="str">
        <f aca="false">IFERROR(INDEX('Semrush Data'!$A$1:$Z$20000,MATCH(A67,'Semrush Data'!$A$1:$A$20000,0),MATCH("Intent",'Semrush Data'!$A$1:$Z$1,0)),"")</f>
        <v>Informational</v>
      </c>
    </row>
    <row r="68" customFormat="false" ht="15" hidden="false" customHeight="true" outlineLevel="0" collapsed="false">
      <c r="A68" s="6" t="s">
        <v>348</v>
      </c>
      <c r="B68" s="6" t="s">
        <v>316</v>
      </c>
      <c r="C68" s="6" t="n">
        <v>1</v>
      </c>
      <c r="D68" s="6" t="n">
        <v>1</v>
      </c>
      <c r="E68" s="6" t="n">
        <v>12</v>
      </c>
      <c r="F68" s="6" t="s">
        <v>6569</v>
      </c>
      <c r="G68" s="28" t="n">
        <f aca="false">IFERROR(INDEX('Semrush Data'!$A$1:$Z$20000,MATCH(A68,'Semrush Data'!$A$1:$A$20000,0),MATCH("Volume",'Semrush Data'!$A$1:$Z$1,0)),"")</f>
        <v>1300</v>
      </c>
      <c r="H68" s="6" t="n">
        <f aca="false">IFERROR(INDEX('Semrush Data'!$A$1:$Z$20000,MATCH(A68,'Semrush Data'!$A$1:$A$20000,0),MATCH("Keyword Difficulty*",'Semrush Data'!$A$1:$Z$1,0)),"")</f>
        <v>28</v>
      </c>
      <c r="I68" s="29" t="n">
        <f aca="false">IFERROR(INDEX('Semrush Data'!$A$1:$Z$20000,MATCH(A68,'Semrush Data'!$A$1:$A$20000,0),MATCH("CPC*",'Semrush Data'!$A$1:$Z$1,0)),"")</f>
        <v>0.3</v>
      </c>
      <c r="J68" s="6" t="str">
        <f aca="false">IFERROR(INDEX('Semrush Data'!$A$1:$Z$20000,MATCH(A68,'Semrush Data'!$A$1:$A$20000,0),MATCH("Intent",'Semrush Data'!$A$1:$Z$1,0)),"")</f>
        <v>Informational Transactional</v>
      </c>
    </row>
    <row r="69" customFormat="false" ht="15" hidden="false" customHeight="true" outlineLevel="0" collapsed="false">
      <c r="A69" s="6" t="s">
        <v>6570</v>
      </c>
      <c r="B69" s="6" t="s">
        <v>316</v>
      </c>
      <c r="C69" s="6" t="n">
        <v>1</v>
      </c>
      <c r="D69" s="6" t="n">
        <v>1</v>
      </c>
      <c r="E69" s="6" t="n">
        <v>6</v>
      </c>
      <c r="F69" s="6" t="s">
        <v>6571</v>
      </c>
      <c r="G69" s="28" t="n">
        <f aca="false">IFERROR(INDEX('Semrush Data'!$A$1:$Z$20000,MATCH(A69,'Semrush Data'!$A$1:$A$20000,0),MATCH("Volume",'Semrush Data'!$A$1:$Z$1,0)),"")</f>
        <v>10</v>
      </c>
      <c r="H69" s="6" t="n">
        <f aca="false">IFERROR(INDEX('Semrush Data'!$A$1:$Z$20000,MATCH(A69,'Semrush Data'!$A$1:$A$20000,0),MATCH("Keyword Difficulty*",'Semrush Data'!$A$1:$Z$1,0)),"")</f>
        <v>14</v>
      </c>
      <c r="I69" s="29" t="n">
        <f aca="false">IFERROR(INDEX('Semrush Data'!$A$1:$Z$20000,MATCH(A69,'Semrush Data'!$A$1:$A$20000,0),MATCH("CPC*",'Semrush Data'!$A$1:$Z$1,0)),"")</f>
        <v>0.34</v>
      </c>
      <c r="J69" s="6" t="str">
        <f aca="false">IFERROR(INDEX('Semrush Data'!$A$1:$Z$20000,MATCH(A69,'Semrush Data'!$A$1:$A$20000,0),MATCH("Intent",'Semrush Data'!$A$1:$Z$1,0)),"")</f>
        <v>Informational Transactional</v>
      </c>
    </row>
    <row r="70" customFormat="false" ht="15" hidden="false" customHeight="true" outlineLevel="0" collapsed="false">
      <c r="A70" s="6" t="s">
        <v>6572</v>
      </c>
      <c r="B70" s="6" t="s">
        <v>316</v>
      </c>
      <c r="C70" s="6" t="n">
        <v>1</v>
      </c>
      <c r="D70" s="6" t="n">
        <v>1</v>
      </c>
      <c r="E70" s="6" t="n">
        <v>6</v>
      </c>
      <c r="F70" s="6" t="s">
        <v>6573</v>
      </c>
      <c r="G70" s="28" t="n">
        <f aca="false">IFERROR(INDEX('Semrush Data'!$A$1:$Z$20000,MATCH(A70,'Semrush Data'!$A$1:$A$20000,0),MATCH("Volume",'Semrush Data'!$A$1:$Z$1,0)),"")</f>
        <v>20</v>
      </c>
      <c r="H70" s="6" t="n">
        <f aca="false">IFERROR(INDEX('Semrush Data'!$A$1:$Z$20000,MATCH(A70,'Semrush Data'!$A$1:$A$20000,0),MATCH("Keyword Difficulty*",'Semrush Data'!$A$1:$Z$1,0)),"")</f>
        <v>16</v>
      </c>
      <c r="I70" s="29" t="n">
        <f aca="false">IFERROR(INDEX('Semrush Data'!$A$1:$Z$20000,MATCH(A70,'Semrush Data'!$A$1:$A$20000,0),MATCH("CPC*",'Semrush Data'!$A$1:$Z$1,0)),"")</f>
        <v>0.31</v>
      </c>
      <c r="J70" s="6" t="str">
        <f aca="false">IFERROR(INDEX('Semrush Data'!$A$1:$Z$20000,MATCH(A70,'Semrush Data'!$A$1:$A$20000,0),MATCH("Intent",'Semrush Data'!$A$1:$Z$1,0)),"")</f>
        <v>Informational</v>
      </c>
    </row>
    <row r="71" customFormat="false" ht="15" hidden="false" customHeight="true" outlineLevel="0" collapsed="false">
      <c r="A71" s="6" t="s">
        <v>343</v>
      </c>
      <c r="B71" s="6" t="s">
        <v>316</v>
      </c>
      <c r="C71" s="6" t="n">
        <v>1</v>
      </c>
      <c r="D71" s="6" t="n">
        <v>1</v>
      </c>
      <c r="E71" s="6" t="n">
        <v>14</v>
      </c>
      <c r="F71" s="6" t="s">
        <v>6574</v>
      </c>
      <c r="G71" s="28" t="n">
        <f aca="false">IFERROR(INDEX('Semrush Data'!$A$1:$Z$20000,MATCH(A71,'Semrush Data'!$A$1:$A$20000,0),MATCH("Volume",'Semrush Data'!$A$1:$Z$1,0)),"")</f>
        <v>1900</v>
      </c>
      <c r="H71" s="6" t="n">
        <f aca="false">IFERROR(INDEX('Semrush Data'!$A$1:$Z$20000,MATCH(A71,'Semrush Data'!$A$1:$A$20000,0),MATCH("Keyword Difficulty*",'Semrush Data'!$A$1:$Z$1,0)),"")</f>
        <v>16</v>
      </c>
      <c r="I71" s="29" t="n">
        <f aca="false">IFERROR(INDEX('Semrush Data'!$A$1:$Z$20000,MATCH(A71,'Semrush Data'!$A$1:$A$20000,0),MATCH("CPC*",'Semrush Data'!$A$1:$Z$1,0)),"")</f>
        <v>0.4</v>
      </c>
      <c r="J71" s="6" t="str">
        <f aca="false">IFERROR(INDEX('Semrush Data'!$A$1:$Z$20000,MATCH(A71,'Semrush Data'!$A$1:$A$20000,0),MATCH("Intent",'Semrush Data'!$A$1:$Z$1,0)),"")</f>
        <v>Informational</v>
      </c>
    </row>
    <row r="72" customFormat="false" ht="15" hidden="false" customHeight="true" outlineLevel="0" collapsed="false">
      <c r="A72" s="6" t="s">
        <v>6575</v>
      </c>
      <c r="B72" s="6" t="s">
        <v>316</v>
      </c>
      <c r="C72" s="6" t="n">
        <v>1</v>
      </c>
      <c r="D72" s="6" t="n">
        <v>1</v>
      </c>
      <c r="E72" s="6" t="n">
        <v>14</v>
      </c>
      <c r="F72" s="6" t="s">
        <v>6574</v>
      </c>
      <c r="G72" s="28" t="n">
        <f aca="false">IFERROR(INDEX('Semrush Data'!$A$1:$Z$20000,MATCH(A72,'Semrush Data'!$A$1:$A$20000,0),MATCH("Volume",'Semrush Data'!$A$1:$Z$1,0)),"")</f>
        <v>140</v>
      </c>
      <c r="H72" s="6" t="n">
        <f aca="false">IFERROR(INDEX('Semrush Data'!$A$1:$Z$20000,MATCH(A72,'Semrush Data'!$A$1:$A$20000,0),MATCH("Keyword Difficulty*",'Semrush Data'!$A$1:$Z$1,0)),"")</f>
        <v>13</v>
      </c>
      <c r="I72" s="29" t="n">
        <f aca="false">IFERROR(INDEX('Semrush Data'!$A$1:$Z$20000,MATCH(A72,'Semrush Data'!$A$1:$A$20000,0),MATCH("CPC*",'Semrush Data'!$A$1:$Z$1,0)),"")</f>
        <v>0.39</v>
      </c>
      <c r="J72" s="6" t="str">
        <f aca="false">IFERROR(INDEX('Semrush Data'!$A$1:$Z$20000,MATCH(A72,'Semrush Data'!$A$1:$A$20000,0),MATCH("Intent",'Semrush Data'!$A$1:$Z$1,0)),"")</f>
        <v>Informational</v>
      </c>
    </row>
    <row r="73" customFormat="false" ht="15" hidden="false" customHeight="true" outlineLevel="0" collapsed="false">
      <c r="A73" s="6" t="s">
        <v>335</v>
      </c>
      <c r="B73" s="6" t="s">
        <v>316</v>
      </c>
      <c r="C73" s="6" t="n">
        <v>1</v>
      </c>
      <c r="D73" s="6" t="n">
        <v>1</v>
      </c>
      <c r="E73" s="6" t="n">
        <v>10</v>
      </c>
      <c r="F73" s="6" t="s">
        <v>6576</v>
      </c>
      <c r="G73" s="28" t="n">
        <f aca="false">IFERROR(INDEX('Semrush Data'!$A$1:$Z$20000,MATCH(A73,'Semrush Data'!$A$1:$A$20000,0),MATCH("Volume",'Semrush Data'!$A$1:$Z$1,0)),"")</f>
        <v>5400</v>
      </c>
      <c r="H73" s="6" t="n">
        <f aca="false">IFERROR(INDEX('Semrush Data'!$A$1:$Z$20000,MATCH(A73,'Semrush Data'!$A$1:$A$20000,0),MATCH("Keyword Difficulty*",'Semrush Data'!$A$1:$Z$1,0)),"")</f>
        <v>28</v>
      </c>
      <c r="I73" s="29" t="n">
        <f aca="false">IFERROR(INDEX('Semrush Data'!$A$1:$Z$20000,MATCH(A73,'Semrush Data'!$A$1:$A$20000,0),MATCH("CPC*",'Semrush Data'!$A$1:$Z$1,0)),"")</f>
        <v>0.41</v>
      </c>
      <c r="J73" s="6" t="str">
        <f aca="false">IFERROR(INDEX('Semrush Data'!$A$1:$Z$20000,MATCH(A73,'Semrush Data'!$A$1:$A$20000,0),MATCH("Intent",'Semrush Data'!$A$1:$Z$1,0)),"")</f>
        <v>Informational</v>
      </c>
    </row>
    <row r="74" customFormat="false" ht="15" hidden="false" customHeight="true" outlineLevel="0" collapsed="false">
      <c r="A74" s="6" t="s">
        <v>6577</v>
      </c>
      <c r="B74" s="6" t="s">
        <v>316</v>
      </c>
      <c r="C74" s="6" t="n">
        <v>1</v>
      </c>
      <c r="D74" s="6" t="n">
        <v>1</v>
      </c>
      <c r="E74" s="6" t="n">
        <v>8</v>
      </c>
      <c r="F74" s="6" t="s">
        <v>6578</v>
      </c>
      <c r="G74" s="28" t="n">
        <f aca="false">IFERROR(INDEX('Semrush Data'!$A$1:$Z$20000,MATCH(A74,'Semrush Data'!$A$1:$A$20000,0),MATCH("Volume",'Semrush Data'!$A$1:$Z$1,0)),"")</f>
        <v>0</v>
      </c>
      <c r="H74" s="6" t="n">
        <f aca="false">IFERROR(INDEX('Semrush Data'!$A$1:$Z$20000,MATCH(A74,'Semrush Data'!$A$1:$A$20000,0),MATCH("Keyword Difficulty*",'Semrush Data'!$A$1:$Z$1,0)),"")</f>
        <v>24</v>
      </c>
      <c r="I74" s="29" t="n">
        <f aca="false">IFERROR(INDEX('Semrush Data'!$A$1:$Z$20000,MATCH(A74,'Semrush Data'!$A$1:$A$20000,0),MATCH("CPC*",'Semrush Data'!$A$1:$Z$1,0)),"")</f>
        <v>0.3</v>
      </c>
      <c r="J74" s="6" t="str">
        <f aca="false">IFERROR(INDEX('Semrush Data'!$A$1:$Z$20000,MATCH(A74,'Semrush Data'!$A$1:$A$20000,0),MATCH("Intent",'Semrush Data'!$A$1:$Z$1,0)),"")</f>
        <v>Informational Transactional</v>
      </c>
    </row>
    <row r="75" customFormat="false" ht="15" hidden="false" customHeight="true" outlineLevel="0" collapsed="false">
      <c r="A75" s="6" t="s">
        <v>336</v>
      </c>
      <c r="B75" s="6" t="s">
        <v>316</v>
      </c>
      <c r="C75" s="6" t="n">
        <v>1</v>
      </c>
      <c r="D75" s="6" t="n">
        <v>1</v>
      </c>
      <c r="E75" s="6" t="n">
        <v>1</v>
      </c>
      <c r="F75" s="6" t="s">
        <v>4005</v>
      </c>
      <c r="G75" s="28" t="n">
        <f aca="false">IFERROR(INDEX('Semrush Data'!$A$1:$Z$20000,MATCH(A75,'Semrush Data'!$A$1:$A$20000,0),MATCH("Volume",'Semrush Data'!$A$1:$Z$1,0)),"")</f>
        <v>5400</v>
      </c>
      <c r="H75" s="6" t="n">
        <f aca="false">IFERROR(INDEX('Semrush Data'!$A$1:$Z$20000,MATCH(A75,'Semrush Data'!$A$1:$A$20000,0),MATCH("Keyword Difficulty*",'Semrush Data'!$A$1:$Z$1,0)),"")</f>
        <v>23</v>
      </c>
      <c r="I75" s="29" t="n">
        <f aca="false">IFERROR(INDEX('Semrush Data'!$A$1:$Z$20000,MATCH(A75,'Semrush Data'!$A$1:$A$20000,0),MATCH("CPC*",'Semrush Data'!$A$1:$Z$1,0)),"")</f>
        <v>0.41</v>
      </c>
      <c r="J75" s="6" t="str">
        <f aca="false">IFERROR(INDEX('Semrush Data'!$A$1:$Z$20000,MATCH(A75,'Semrush Data'!$A$1:$A$20000,0),MATCH("Intent",'Semrush Data'!$A$1:$Z$1,0)),"")</f>
        <v>Informational Transactional</v>
      </c>
    </row>
    <row r="76" customFormat="false" ht="15" hidden="false" customHeight="true" outlineLevel="0" collapsed="false">
      <c r="A76" s="6" t="s">
        <v>6579</v>
      </c>
      <c r="B76" s="6" t="s">
        <v>316</v>
      </c>
      <c r="C76" s="6" t="n">
        <v>1</v>
      </c>
      <c r="D76" s="6" t="n">
        <v>1</v>
      </c>
      <c r="E76" s="6" t="n">
        <v>1</v>
      </c>
      <c r="F76" s="6" t="s">
        <v>4005</v>
      </c>
      <c r="G76" s="28" t="n">
        <f aca="false">IFERROR(INDEX('Semrush Data'!$A$1:$Z$20000,MATCH(A76,'Semrush Data'!$A$1:$A$20000,0),MATCH("Volume",'Semrush Data'!$A$1:$Z$1,0)),"")</f>
        <v>0</v>
      </c>
      <c r="H76" s="6" t="n">
        <f aca="false">IFERROR(INDEX('Semrush Data'!$A$1:$Z$20000,MATCH(A76,'Semrush Data'!$A$1:$A$20000,0),MATCH("Keyword Difficulty*",'Semrush Data'!$A$1:$Z$1,0)),"")</f>
        <v>15</v>
      </c>
      <c r="I76" s="29" t="n">
        <f aca="false">IFERROR(INDEX('Semrush Data'!$A$1:$Z$20000,MATCH(A76,'Semrush Data'!$A$1:$A$20000,0),MATCH("CPC*",'Semrush Data'!$A$1:$Z$1,0)),"")</f>
        <v>0.44</v>
      </c>
      <c r="J76" s="6" t="str">
        <f aca="false">IFERROR(INDEX('Semrush Data'!$A$1:$Z$20000,MATCH(A76,'Semrush Data'!$A$1:$A$20000,0),MATCH("Intent",'Semrush Data'!$A$1:$Z$1,0)),"")</f>
        <v>Informational</v>
      </c>
    </row>
    <row r="77" customFormat="false" ht="15" hidden="false" customHeight="true" outlineLevel="0" collapsed="false">
      <c r="A77" s="6" t="s">
        <v>340</v>
      </c>
      <c r="B77" s="6" t="s">
        <v>316</v>
      </c>
      <c r="C77" s="6" t="n">
        <v>1</v>
      </c>
      <c r="D77" s="6" t="n">
        <v>1</v>
      </c>
      <c r="E77" s="6" t="n">
        <v>3</v>
      </c>
      <c r="F77" s="6" t="s">
        <v>6580</v>
      </c>
      <c r="G77" s="28" t="n">
        <f aca="false">IFERROR(INDEX('Semrush Data'!$A$1:$Z$20000,MATCH(A77,'Semrush Data'!$A$1:$A$20000,0),MATCH("Volume",'Semrush Data'!$A$1:$Z$1,0)),"")</f>
        <v>3600</v>
      </c>
      <c r="H77" s="6" t="n">
        <f aca="false">IFERROR(INDEX('Semrush Data'!$A$1:$Z$20000,MATCH(A77,'Semrush Data'!$A$1:$A$20000,0),MATCH("Keyword Difficulty*",'Semrush Data'!$A$1:$Z$1,0)),"")</f>
        <v>21</v>
      </c>
      <c r="I77" s="29" t="n">
        <f aca="false">IFERROR(INDEX('Semrush Data'!$A$1:$Z$20000,MATCH(A77,'Semrush Data'!$A$1:$A$20000,0),MATCH("CPC*",'Semrush Data'!$A$1:$Z$1,0)),"")</f>
        <v>0.35</v>
      </c>
      <c r="J77" s="6" t="str">
        <f aca="false">IFERROR(INDEX('Semrush Data'!$A$1:$Z$20000,MATCH(A77,'Semrush Data'!$A$1:$A$20000,0),MATCH("Intent",'Semrush Data'!$A$1:$Z$1,0)),"")</f>
        <v>Informational</v>
      </c>
    </row>
    <row r="78" customFormat="false" ht="15" hidden="false" customHeight="true" outlineLevel="0" collapsed="false">
      <c r="A78" s="6" t="s">
        <v>6581</v>
      </c>
      <c r="B78" s="6" t="s">
        <v>316</v>
      </c>
      <c r="C78" s="6" t="n">
        <v>1</v>
      </c>
      <c r="D78" s="6" t="n">
        <v>1</v>
      </c>
      <c r="E78" s="6" t="n">
        <v>3</v>
      </c>
      <c r="F78" s="6" t="s">
        <v>6580</v>
      </c>
      <c r="G78" s="28" t="n">
        <f aca="false">IFERROR(INDEX('Semrush Data'!$A$1:$Z$20000,MATCH(A78,'Semrush Data'!$A$1:$A$20000,0),MATCH("Volume",'Semrush Data'!$A$1:$Z$1,0)),"")</f>
        <v>40</v>
      </c>
      <c r="H78" s="6" t="n">
        <f aca="false">IFERROR(INDEX('Semrush Data'!$A$1:$Z$20000,MATCH(A78,'Semrush Data'!$A$1:$A$20000,0),MATCH("Keyword Difficulty*",'Semrush Data'!$A$1:$Z$1,0)),"")</f>
        <v>16</v>
      </c>
      <c r="I78" s="29" t="n">
        <f aca="false">IFERROR(INDEX('Semrush Data'!$A$1:$Z$20000,MATCH(A78,'Semrush Data'!$A$1:$A$20000,0),MATCH("CPC*",'Semrush Data'!$A$1:$Z$1,0)),"")</f>
        <v>0.26</v>
      </c>
      <c r="J78" s="6" t="str">
        <f aca="false">IFERROR(INDEX('Semrush Data'!$A$1:$Z$20000,MATCH(A78,'Semrush Data'!$A$1:$A$20000,0),MATCH("Intent",'Semrush Data'!$A$1:$Z$1,0)),"")</f>
        <v>Informational</v>
      </c>
    </row>
    <row r="79" customFormat="false" ht="15" hidden="false" customHeight="true" outlineLevel="0" collapsed="false">
      <c r="A79" s="6" t="s">
        <v>334</v>
      </c>
      <c r="B79" s="6" t="s">
        <v>316</v>
      </c>
      <c r="C79" s="6" t="n">
        <v>1</v>
      </c>
      <c r="D79" s="6" t="n">
        <v>1</v>
      </c>
      <c r="E79" s="6" t="n">
        <v>1</v>
      </c>
      <c r="F79" s="6" t="s">
        <v>4053</v>
      </c>
      <c r="G79" s="28" t="n">
        <f aca="false">IFERROR(INDEX('Semrush Data'!$A$1:$Z$20000,MATCH(A79,'Semrush Data'!$A$1:$A$20000,0),MATCH("Volume",'Semrush Data'!$A$1:$Z$1,0)),"")</f>
        <v>6600</v>
      </c>
      <c r="H79" s="6" t="n">
        <f aca="false">IFERROR(INDEX('Semrush Data'!$A$1:$Z$20000,MATCH(A79,'Semrush Data'!$A$1:$A$20000,0),MATCH("Keyword Difficulty*",'Semrush Data'!$A$1:$Z$1,0)),"")</f>
        <v>26</v>
      </c>
      <c r="I79" s="29" t="n">
        <f aca="false">IFERROR(INDEX('Semrush Data'!$A$1:$Z$20000,MATCH(A79,'Semrush Data'!$A$1:$A$20000,0),MATCH("CPC*",'Semrush Data'!$A$1:$Z$1,0)),"")</f>
        <v>0.37</v>
      </c>
      <c r="J79" s="6" t="str">
        <f aca="false">IFERROR(INDEX('Semrush Data'!$A$1:$Z$20000,MATCH(A79,'Semrush Data'!$A$1:$A$20000,0),MATCH("Intent",'Semrush Data'!$A$1:$Z$1,0)),"")</f>
        <v>Informational Transactional</v>
      </c>
    </row>
    <row r="80" customFormat="false" ht="15" hidden="false" customHeight="true" outlineLevel="0" collapsed="false">
      <c r="A80" s="6" t="s">
        <v>6582</v>
      </c>
      <c r="B80" s="6" t="s">
        <v>316</v>
      </c>
      <c r="C80" s="6" t="n">
        <v>1</v>
      </c>
      <c r="D80" s="6" t="n">
        <v>1</v>
      </c>
      <c r="E80" s="6" t="n">
        <v>1</v>
      </c>
      <c r="F80" s="6" t="s">
        <v>4053</v>
      </c>
      <c r="G80" s="28" t="n">
        <f aca="false">IFERROR(INDEX('Semrush Data'!$A$1:$Z$20000,MATCH(A80,'Semrush Data'!$A$1:$A$20000,0),MATCH("Volume",'Semrush Data'!$A$1:$Z$1,0)),"")</f>
        <v>90</v>
      </c>
      <c r="H80" s="6" t="n">
        <f aca="false">IFERROR(INDEX('Semrush Data'!$A$1:$Z$20000,MATCH(A80,'Semrush Data'!$A$1:$A$20000,0),MATCH("Keyword Difficulty*",'Semrush Data'!$A$1:$Z$1,0)),"")</f>
        <v>22</v>
      </c>
      <c r="I80" s="29" t="n">
        <f aca="false">IFERROR(INDEX('Semrush Data'!$A$1:$Z$20000,MATCH(A80,'Semrush Data'!$A$1:$A$20000,0),MATCH("CPC*",'Semrush Data'!$A$1:$Z$1,0)),"")</f>
        <v>0.28</v>
      </c>
      <c r="J80" s="6" t="str">
        <f aca="false">IFERROR(INDEX('Semrush Data'!$A$1:$Z$20000,MATCH(A80,'Semrush Data'!$A$1:$A$20000,0),MATCH("Intent",'Semrush Data'!$A$1:$Z$1,0)),"")</f>
        <v>Informational Transactional</v>
      </c>
    </row>
    <row r="81" customFormat="false" ht="15" hidden="false" customHeight="true" outlineLevel="0" collapsed="false">
      <c r="A81" s="6" t="s">
        <v>6583</v>
      </c>
      <c r="B81" s="6" t="s">
        <v>316</v>
      </c>
      <c r="C81" s="6" t="n">
        <v>1</v>
      </c>
      <c r="D81" s="6" t="n">
        <v>1</v>
      </c>
      <c r="E81" s="6" t="n">
        <v>2</v>
      </c>
      <c r="F81" s="6" t="s">
        <v>6584</v>
      </c>
      <c r="G81" s="28" t="n">
        <f aca="false">IFERROR(INDEX('Semrush Data'!$A$1:$Z$20000,MATCH(A81,'Semrush Data'!$A$1:$A$20000,0),MATCH("Volume",'Semrush Data'!$A$1:$Z$1,0)),"")</f>
        <v>20</v>
      </c>
      <c r="H81" s="6" t="n">
        <f aca="false">IFERROR(INDEX('Semrush Data'!$A$1:$Z$20000,MATCH(A81,'Semrush Data'!$A$1:$A$20000,0),MATCH("Keyword Difficulty*",'Semrush Data'!$A$1:$Z$1,0)),"")</f>
        <v>9</v>
      </c>
      <c r="I81" s="29" t="n">
        <f aca="false">IFERROR(INDEX('Semrush Data'!$A$1:$Z$20000,MATCH(A81,'Semrush Data'!$A$1:$A$20000,0),MATCH("CPC*",'Semrush Data'!$A$1:$Z$1,0)),"")</f>
        <v>0</v>
      </c>
      <c r="J81" s="6" t="str">
        <f aca="false">IFERROR(INDEX('Semrush Data'!$A$1:$Z$20000,MATCH(A81,'Semrush Data'!$A$1:$A$20000,0),MATCH("Intent",'Semrush Data'!$A$1:$Z$1,0)),"")</f>
        <v>Informational</v>
      </c>
    </row>
    <row r="82" customFormat="false" ht="15" hidden="false" customHeight="true" outlineLevel="0" collapsed="false">
      <c r="A82" s="6" t="s">
        <v>6585</v>
      </c>
      <c r="B82" s="6" t="s">
        <v>316</v>
      </c>
      <c r="C82" s="6" t="n">
        <v>1</v>
      </c>
      <c r="D82" s="6" t="n">
        <v>1</v>
      </c>
      <c r="E82" s="6" t="n">
        <v>2</v>
      </c>
      <c r="F82" s="6" t="s">
        <v>6584</v>
      </c>
      <c r="G82" s="28" t="n">
        <f aca="false">IFERROR(INDEX('Semrush Data'!$A$1:$Z$20000,MATCH(A82,'Semrush Data'!$A$1:$A$20000,0),MATCH("Volume",'Semrush Data'!$A$1:$Z$1,0)),"")</f>
        <v>0</v>
      </c>
      <c r="H82" s="6" t="n">
        <f aca="false">IFERROR(INDEX('Semrush Data'!$A$1:$Z$20000,MATCH(A82,'Semrush Data'!$A$1:$A$20000,0),MATCH("Keyword Difficulty*",'Semrush Data'!$A$1:$Z$1,0)),"")</f>
        <v>20</v>
      </c>
      <c r="I82" s="29" t="n">
        <f aca="false">IFERROR(INDEX('Semrush Data'!$A$1:$Z$20000,MATCH(A82,'Semrush Data'!$A$1:$A$20000,0),MATCH("CPC*",'Semrush Data'!$A$1:$Z$1,0)),"")</f>
        <v>0</v>
      </c>
      <c r="J82" s="6" t="str">
        <f aca="false">IFERROR(INDEX('Semrush Data'!$A$1:$Z$20000,MATCH(A82,'Semrush Data'!$A$1:$A$20000,0),MATCH("Intent",'Semrush Data'!$A$1:$Z$1,0)),"")</f>
        <v>Informational</v>
      </c>
    </row>
    <row r="83" customFormat="false" ht="15" hidden="false" customHeight="true" outlineLevel="0" collapsed="false">
      <c r="A83" s="6" t="s">
        <v>6586</v>
      </c>
      <c r="B83" s="6" t="s">
        <v>316</v>
      </c>
      <c r="C83" s="6" t="n">
        <v>1</v>
      </c>
      <c r="D83" s="6" t="n">
        <v>1</v>
      </c>
      <c r="E83" s="6" t="n">
        <v>76</v>
      </c>
      <c r="F83" s="6" t="s">
        <v>6587</v>
      </c>
      <c r="G83" s="28" t="n">
        <f aca="false">IFERROR(INDEX('Semrush Data'!$A$1:$Z$20000,MATCH(A83,'Semrush Data'!$A$1:$A$20000,0),MATCH("Volume",'Semrush Data'!$A$1:$Z$1,0)),"")</f>
        <v>0</v>
      </c>
      <c r="H83" s="6" t="n">
        <f aca="false">IFERROR(INDEX('Semrush Data'!$A$1:$Z$20000,MATCH(A83,'Semrush Data'!$A$1:$A$20000,0),MATCH("Keyword Difficulty*",'Semrush Data'!$A$1:$Z$1,0)),"")</f>
        <v>17</v>
      </c>
      <c r="I83" s="29" t="n">
        <f aca="false">IFERROR(INDEX('Semrush Data'!$A$1:$Z$20000,MATCH(A83,'Semrush Data'!$A$1:$A$20000,0),MATCH("CPC*",'Semrush Data'!$A$1:$Z$1,0)),"")</f>
        <v>0</v>
      </c>
      <c r="J83" s="6" t="str">
        <f aca="false">IFERROR(INDEX('Semrush Data'!$A$1:$Z$20000,MATCH(A83,'Semrush Data'!$A$1:$A$20000,0),MATCH("Intent",'Semrush Data'!$A$1:$Z$1,0)),"")</f>
        <v>Commercial</v>
      </c>
    </row>
    <row r="84" customFormat="false" ht="15" hidden="false" customHeight="true" outlineLevel="0" collapsed="false">
      <c r="A84" s="6" t="s">
        <v>4392</v>
      </c>
      <c r="B84" s="6" t="s">
        <v>316</v>
      </c>
      <c r="C84" s="6" t="n">
        <v>1</v>
      </c>
      <c r="D84" s="6" t="n">
        <v>1</v>
      </c>
      <c r="E84" s="6" t="n">
        <v>13</v>
      </c>
      <c r="F84" s="6" t="s">
        <v>6588</v>
      </c>
      <c r="G84" s="28" t="n">
        <f aca="false">IFERROR(INDEX('Semrush Data'!$A$1:$Z$20000,MATCH(A84,'Semrush Data'!$A$1:$A$20000,0),MATCH("Volume",'Semrush Data'!$A$1:$Z$1,0)),"")</f>
        <v>30</v>
      </c>
      <c r="H84" s="6" t="n">
        <f aca="false">IFERROR(INDEX('Semrush Data'!$A$1:$Z$20000,MATCH(A84,'Semrush Data'!$A$1:$A$20000,0),MATCH("Keyword Difficulty*",'Semrush Data'!$A$1:$Z$1,0)),"")</f>
        <v>16</v>
      </c>
      <c r="I84" s="29" t="n">
        <f aca="false">IFERROR(INDEX('Semrush Data'!$A$1:$Z$20000,MATCH(A84,'Semrush Data'!$A$1:$A$20000,0),MATCH("CPC*",'Semrush Data'!$A$1:$Z$1,0)),"")</f>
        <v>0.54</v>
      </c>
      <c r="J84" s="6" t="str">
        <f aca="false">IFERROR(INDEX('Semrush Data'!$A$1:$Z$20000,MATCH(A84,'Semrush Data'!$A$1:$A$20000,0),MATCH("Intent",'Semrush Data'!$A$1:$Z$1,0)),"")</f>
        <v>Informational</v>
      </c>
    </row>
    <row r="85" customFormat="false" ht="15" hidden="false" customHeight="true" outlineLevel="0" collapsed="false">
      <c r="A85" s="6" t="s">
        <v>6589</v>
      </c>
      <c r="B85" s="6" t="s">
        <v>316</v>
      </c>
      <c r="C85" s="6" t="n">
        <v>1</v>
      </c>
      <c r="D85" s="6" t="n">
        <v>1</v>
      </c>
      <c r="E85" s="6" t="n">
        <v>7</v>
      </c>
      <c r="F85" s="6" t="s">
        <v>6590</v>
      </c>
      <c r="G85" s="28" t="n">
        <f aca="false">IFERROR(INDEX('Semrush Data'!$A$1:$Z$20000,MATCH(A85,'Semrush Data'!$A$1:$A$20000,0),MATCH("Volume",'Semrush Data'!$A$1:$Z$1,0)),"")</f>
        <v>0</v>
      </c>
      <c r="H85" s="6" t="n">
        <f aca="false">IFERROR(INDEX('Semrush Data'!$A$1:$Z$20000,MATCH(A85,'Semrush Data'!$A$1:$A$20000,0),MATCH("Keyword Difficulty*",'Semrush Data'!$A$1:$Z$1,0)),"")</f>
        <v>21</v>
      </c>
      <c r="I85" s="29" t="n">
        <f aca="false">IFERROR(INDEX('Semrush Data'!$A$1:$Z$20000,MATCH(A85,'Semrush Data'!$A$1:$A$20000,0),MATCH("CPC*",'Semrush Data'!$A$1:$Z$1,0)),"")</f>
        <v>0</v>
      </c>
      <c r="J85" s="6" t="str">
        <f aca="false">IFERROR(INDEX('Semrush Data'!$A$1:$Z$20000,MATCH(A85,'Semrush Data'!$A$1:$A$20000,0),MATCH("Intent",'Semrush Data'!$A$1:$Z$1,0)),"")</f>
        <v>Informational</v>
      </c>
    </row>
    <row r="86" customFormat="false" ht="15" hidden="false" customHeight="true" outlineLevel="0" collapsed="false">
      <c r="A86" s="6" t="s">
        <v>6591</v>
      </c>
      <c r="B86" s="6" t="s">
        <v>316</v>
      </c>
      <c r="C86" s="6" t="n">
        <v>1</v>
      </c>
      <c r="D86" s="6" t="n">
        <v>1</v>
      </c>
      <c r="E86" s="6" t="n">
        <v>2</v>
      </c>
      <c r="F86" s="6" t="s">
        <v>6592</v>
      </c>
      <c r="G86" s="28" t="n">
        <f aca="false">IFERROR(INDEX('Semrush Data'!$A$1:$Z$20000,MATCH(A86,'Semrush Data'!$A$1:$A$20000,0),MATCH("Volume",'Semrush Data'!$A$1:$Z$1,0)),"")</f>
        <v>0</v>
      </c>
      <c r="H86" s="6" t="n">
        <f aca="false">IFERROR(INDEX('Semrush Data'!$A$1:$Z$20000,MATCH(A86,'Semrush Data'!$A$1:$A$20000,0),MATCH("Keyword Difficulty*",'Semrush Data'!$A$1:$Z$1,0)),"")</f>
        <v>17</v>
      </c>
      <c r="I86" s="29" t="n">
        <f aca="false">IFERROR(INDEX('Semrush Data'!$A$1:$Z$20000,MATCH(A86,'Semrush Data'!$A$1:$A$20000,0),MATCH("CPC*",'Semrush Data'!$A$1:$Z$1,0)),"")</f>
        <v>0</v>
      </c>
      <c r="J86" s="6" t="str">
        <f aca="false">IFERROR(INDEX('Semrush Data'!$A$1:$Z$20000,MATCH(A86,'Semrush Data'!$A$1:$A$20000,0),MATCH("Intent",'Semrush Data'!$A$1:$Z$1,0)),"")</f>
        <v>Informational</v>
      </c>
    </row>
    <row r="87" customFormat="false" ht="15" hidden="false" customHeight="true" outlineLevel="0" collapsed="false">
      <c r="A87" s="6" t="s">
        <v>6593</v>
      </c>
      <c r="B87" s="6" t="s">
        <v>316</v>
      </c>
      <c r="C87" s="6" t="n">
        <v>1</v>
      </c>
      <c r="D87" s="6" t="n">
        <v>1</v>
      </c>
      <c r="E87" s="6" t="n">
        <v>1</v>
      </c>
      <c r="F87" s="6" t="s">
        <v>5896</v>
      </c>
      <c r="G87" s="28" t="n">
        <f aca="false">IFERROR(INDEX('Semrush Data'!$A$1:$Z$20000,MATCH(A87,'Semrush Data'!$A$1:$A$20000,0),MATCH("Volume",'Semrush Data'!$A$1:$Z$1,0)),"")</f>
        <v>20</v>
      </c>
      <c r="H87" s="6" t="n">
        <f aca="false">IFERROR(INDEX('Semrush Data'!$A$1:$Z$20000,MATCH(A87,'Semrush Data'!$A$1:$A$20000,0),MATCH("Keyword Difficulty*",'Semrush Data'!$A$1:$Z$1,0)),"")</f>
        <v>10</v>
      </c>
      <c r="I87" s="29" t="n">
        <f aca="false">IFERROR(INDEX('Semrush Data'!$A$1:$Z$20000,MATCH(A87,'Semrush Data'!$A$1:$A$20000,0),MATCH("CPC*",'Semrush Data'!$A$1:$Z$1,0)),"")</f>
        <v>0</v>
      </c>
      <c r="J87" s="6" t="str">
        <f aca="false">IFERROR(INDEX('Semrush Data'!$A$1:$Z$20000,MATCH(A87,'Semrush Data'!$A$1:$A$20000,0),MATCH("Intent",'Semrush Data'!$A$1:$Z$1,0)),"")</f>
        <v>Informational</v>
      </c>
    </row>
    <row r="88" customFormat="false" ht="15" hidden="false" customHeight="true" outlineLevel="0" collapsed="false">
      <c r="A88" s="6" t="s">
        <v>6594</v>
      </c>
      <c r="B88" s="6" t="s">
        <v>316</v>
      </c>
      <c r="C88" s="6" t="n">
        <v>1</v>
      </c>
      <c r="D88" s="6" t="n">
        <v>1</v>
      </c>
      <c r="E88" s="6" t="n">
        <v>1</v>
      </c>
      <c r="F88" s="6" t="s">
        <v>4040</v>
      </c>
      <c r="G88" s="28" t="n">
        <f aca="false">IFERROR(INDEX('Semrush Data'!$A$1:$Z$20000,MATCH(A88,'Semrush Data'!$A$1:$A$20000,0),MATCH("Volume",'Semrush Data'!$A$1:$Z$1,0)),"")</f>
        <v>0</v>
      </c>
      <c r="H88" s="6" t="n">
        <f aca="false">IFERROR(INDEX('Semrush Data'!$A$1:$Z$20000,MATCH(A88,'Semrush Data'!$A$1:$A$20000,0),MATCH("Keyword Difficulty*",'Semrush Data'!$A$1:$Z$1,0)),"")</f>
        <v>14</v>
      </c>
      <c r="I88" s="29" t="n">
        <f aca="false">IFERROR(INDEX('Semrush Data'!$A$1:$Z$20000,MATCH(A88,'Semrush Data'!$A$1:$A$20000,0),MATCH("CPC*",'Semrush Data'!$A$1:$Z$1,0)),"")</f>
        <v>0</v>
      </c>
      <c r="J88" s="6" t="str">
        <f aca="false">IFERROR(INDEX('Semrush Data'!$A$1:$Z$20000,MATCH(A88,'Semrush Data'!$A$1:$A$20000,0),MATCH("Intent",'Semrush Data'!$A$1:$Z$1,0)),"")</f>
        <v>Informational Commercial</v>
      </c>
    </row>
    <row r="89" customFormat="false" ht="15" hidden="false" customHeight="true" outlineLevel="0" collapsed="false">
      <c r="A89" s="6" t="s">
        <v>6595</v>
      </c>
      <c r="B89" s="6" t="s">
        <v>316</v>
      </c>
      <c r="C89" s="6" t="n">
        <v>1</v>
      </c>
      <c r="D89" s="6" t="n">
        <v>1</v>
      </c>
      <c r="E89" s="6" t="n">
        <v>2</v>
      </c>
      <c r="F89" s="6" t="s">
        <v>6596</v>
      </c>
      <c r="G89" s="28" t="n">
        <f aca="false">IFERROR(INDEX('Semrush Data'!$A$1:$Z$20000,MATCH(A89,'Semrush Data'!$A$1:$A$20000,0),MATCH("Volume",'Semrush Data'!$A$1:$Z$1,0)),"")</f>
        <v>0</v>
      </c>
      <c r="H89" s="6" t="n">
        <f aca="false">IFERROR(INDEX('Semrush Data'!$A$1:$Z$20000,MATCH(A89,'Semrush Data'!$A$1:$A$20000,0),MATCH("Keyword Difficulty*",'Semrush Data'!$A$1:$Z$1,0)),"")</f>
        <v>5</v>
      </c>
      <c r="I89" s="29" t="n">
        <f aca="false">IFERROR(INDEX('Semrush Data'!$A$1:$Z$20000,MATCH(A89,'Semrush Data'!$A$1:$A$20000,0),MATCH("CPC*",'Semrush Data'!$A$1:$Z$1,0)),"")</f>
        <v>0</v>
      </c>
      <c r="J89" s="6" t="str">
        <f aca="false">IFERROR(INDEX('Semrush Data'!$A$1:$Z$20000,MATCH(A89,'Semrush Data'!$A$1:$A$20000,0),MATCH("Intent",'Semrush Data'!$A$1:$Z$1,0)),"")</f>
        <v>Commercial</v>
      </c>
    </row>
    <row r="90" customFormat="false" ht="15" hidden="false" customHeight="true" outlineLevel="0" collapsed="false">
      <c r="A90" s="6" t="s">
        <v>6597</v>
      </c>
      <c r="B90" s="6" t="s">
        <v>316</v>
      </c>
      <c r="C90" s="6" t="n">
        <v>1</v>
      </c>
      <c r="D90" s="6" t="n">
        <v>1</v>
      </c>
      <c r="E90" s="6" t="n">
        <v>17</v>
      </c>
      <c r="F90" s="6" t="s">
        <v>6598</v>
      </c>
      <c r="G90" s="28" t="n">
        <f aca="false">IFERROR(INDEX('Semrush Data'!$A$1:$Z$20000,MATCH(A90,'Semrush Data'!$A$1:$A$20000,0),MATCH("Volume",'Semrush Data'!$A$1:$Z$1,0)),"")</f>
        <v>20</v>
      </c>
      <c r="H90" s="6" t="n">
        <f aca="false">IFERROR(INDEX('Semrush Data'!$A$1:$Z$20000,MATCH(A90,'Semrush Data'!$A$1:$A$20000,0),MATCH("Keyword Difficulty*",'Semrush Data'!$A$1:$Z$1,0)),"")</f>
        <v>0</v>
      </c>
      <c r="I90" s="29" t="n">
        <f aca="false">IFERROR(INDEX('Semrush Data'!$A$1:$Z$20000,MATCH(A90,'Semrush Data'!$A$1:$A$20000,0),MATCH("CPC*",'Semrush Data'!$A$1:$Z$1,0)),"")</f>
        <v>0</v>
      </c>
      <c r="J90" s="6" t="str">
        <f aca="false">IFERROR(INDEX('Semrush Data'!$A$1:$Z$20000,MATCH(A90,'Semrush Data'!$A$1:$A$20000,0),MATCH("Intent",'Semrush Data'!$A$1:$Z$1,0)),"")</f>
        <v>Informational</v>
      </c>
    </row>
    <row r="91" customFormat="false" ht="15" hidden="false" customHeight="true" outlineLevel="0" collapsed="false">
      <c r="A91" s="6" t="s">
        <v>6599</v>
      </c>
      <c r="B91" s="6" t="s">
        <v>316</v>
      </c>
      <c r="C91" s="6" t="n">
        <v>1</v>
      </c>
      <c r="D91" s="6" t="n">
        <v>1</v>
      </c>
      <c r="E91" s="6" t="n">
        <v>3</v>
      </c>
      <c r="F91" s="6" t="s">
        <v>6600</v>
      </c>
      <c r="G91" s="28" t="n">
        <f aca="false">IFERROR(INDEX('Semrush Data'!$A$1:$Z$20000,MATCH(A91,'Semrush Data'!$A$1:$A$20000,0),MATCH("Volume",'Semrush Data'!$A$1:$Z$1,0)),"")</f>
        <v>0</v>
      </c>
      <c r="H91" s="6" t="n">
        <f aca="false">IFERROR(INDEX('Semrush Data'!$A$1:$Z$20000,MATCH(A91,'Semrush Data'!$A$1:$A$20000,0),MATCH("Keyword Difficulty*",'Semrush Data'!$A$1:$Z$1,0)),"")</f>
        <v>7</v>
      </c>
      <c r="I91" s="29" t="n">
        <f aca="false">IFERROR(INDEX('Semrush Data'!$A$1:$Z$20000,MATCH(A91,'Semrush Data'!$A$1:$A$20000,0),MATCH("CPC*",'Semrush Data'!$A$1:$Z$1,0)),"")</f>
        <v>0</v>
      </c>
      <c r="J91" s="6" t="str">
        <f aca="false">IFERROR(INDEX('Semrush Data'!$A$1:$Z$20000,MATCH(A91,'Semrush Data'!$A$1:$A$20000,0),MATCH("Intent",'Semrush Data'!$A$1:$Z$1,0)),"")</f>
        <v>Informational</v>
      </c>
    </row>
    <row r="92" customFormat="false" ht="15" hidden="false" customHeight="true" outlineLevel="0" collapsed="false">
      <c r="A92" s="6" t="s">
        <v>6601</v>
      </c>
      <c r="B92" s="6" t="s">
        <v>316</v>
      </c>
      <c r="C92" s="6" t="n">
        <v>1</v>
      </c>
      <c r="D92" s="6" t="n">
        <v>1</v>
      </c>
      <c r="E92" s="6" t="n">
        <v>2</v>
      </c>
      <c r="F92" s="6" t="s">
        <v>6602</v>
      </c>
      <c r="G92" s="28" t="n">
        <f aca="false">IFERROR(INDEX('Semrush Data'!$A$1:$Z$20000,MATCH(A92,'Semrush Data'!$A$1:$A$20000,0),MATCH("Volume",'Semrush Data'!$A$1:$Z$1,0)),"")</f>
        <v>0</v>
      </c>
      <c r="H92" s="6" t="n">
        <f aca="false">IFERROR(INDEX('Semrush Data'!$A$1:$Z$20000,MATCH(A92,'Semrush Data'!$A$1:$A$20000,0),MATCH("Keyword Difficulty*",'Semrush Data'!$A$1:$Z$1,0)),"")</f>
        <v>13</v>
      </c>
      <c r="I92" s="29" t="n">
        <f aca="false">IFERROR(INDEX('Semrush Data'!$A$1:$Z$20000,MATCH(A92,'Semrush Data'!$A$1:$A$20000,0),MATCH("CPC*",'Semrush Data'!$A$1:$Z$1,0)),"")</f>
        <v>0</v>
      </c>
      <c r="J92" s="6" t="str">
        <f aca="false">IFERROR(INDEX('Semrush Data'!$A$1:$Z$20000,MATCH(A92,'Semrush Data'!$A$1:$A$20000,0),MATCH("Intent",'Semrush Data'!$A$1:$Z$1,0)),"")</f>
        <v>Informational Transactional</v>
      </c>
    </row>
    <row r="93" customFormat="false" ht="15" hidden="false" customHeight="true" outlineLevel="0" collapsed="false">
      <c r="A93" s="6" t="s">
        <v>6603</v>
      </c>
      <c r="B93" s="6" t="s">
        <v>316</v>
      </c>
      <c r="C93" s="6" t="n">
        <v>1</v>
      </c>
      <c r="D93" s="6" t="n">
        <v>1</v>
      </c>
      <c r="E93" s="6" t="n">
        <v>1</v>
      </c>
      <c r="F93" s="6" t="s">
        <v>4625</v>
      </c>
      <c r="G93" s="28" t="n">
        <f aca="false">IFERROR(INDEX('Semrush Data'!$A$1:$Z$20000,MATCH(A93,'Semrush Data'!$A$1:$A$20000,0),MATCH("Volume",'Semrush Data'!$A$1:$Z$1,0)),"")</f>
        <v>170</v>
      </c>
      <c r="H93" s="6" t="n">
        <f aca="false">IFERROR(INDEX('Semrush Data'!$A$1:$Z$20000,MATCH(A93,'Semrush Data'!$A$1:$A$20000,0),MATCH("Keyword Difficulty*",'Semrush Data'!$A$1:$Z$1,0)),"")</f>
        <v>30</v>
      </c>
      <c r="I93" s="29" t="n">
        <f aca="false">IFERROR(INDEX('Semrush Data'!$A$1:$Z$20000,MATCH(A93,'Semrush Data'!$A$1:$A$20000,0),MATCH("CPC*",'Semrush Data'!$A$1:$Z$1,0)),"")</f>
        <v>0.38</v>
      </c>
      <c r="J93" s="6" t="str">
        <f aca="false">IFERROR(INDEX('Semrush Data'!$A$1:$Z$20000,MATCH(A93,'Semrush Data'!$A$1:$A$20000,0),MATCH("Intent",'Semrush Data'!$A$1:$Z$1,0)),"")</f>
        <v>Informational</v>
      </c>
    </row>
    <row r="94" customFormat="false" ht="15" hidden="false" customHeight="true" outlineLevel="0" collapsed="false">
      <c r="A94" s="6" t="s">
        <v>6604</v>
      </c>
      <c r="B94" s="6" t="s">
        <v>316</v>
      </c>
      <c r="C94" s="6" t="n">
        <v>1</v>
      </c>
      <c r="D94" s="6" t="n">
        <v>1</v>
      </c>
      <c r="E94" s="6" t="n">
        <v>1</v>
      </c>
      <c r="F94" s="6" t="s">
        <v>4625</v>
      </c>
      <c r="G94" s="28" t="n">
        <f aca="false">IFERROR(INDEX('Semrush Data'!$A$1:$Z$20000,MATCH(A94,'Semrush Data'!$A$1:$A$20000,0),MATCH("Volume",'Semrush Data'!$A$1:$Z$1,0)),"")</f>
        <v>0</v>
      </c>
      <c r="H94" s="6" t="n">
        <f aca="false">IFERROR(INDEX('Semrush Data'!$A$1:$Z$20000,MATCH(A94,'Semrush Data'!$A$1:$A$20000,0),MATCH("Keyword Difficulty*",'Semrush Data'!$A$1:$Z$1,0)),"")</f>
        <v>29</v>
      </c>
      <c r="I94" s="29" t="n">
        <f aca="false">IFERROR(INDEX('Semrush Data'!$A$1:$Z$20000,MATCH(A94,'Semrush Data'!$A$1:$A$20000,0),MATCH("CPC*",'Semrush Data'!$A$1:$Z$1,0)),"")</f>
        <v>0</v>
      </c>
      <c r="J94" s="6" t="str">
        <f aca="false">IFERROR(INDEX('Semrush Data'!$A$1:$Z$20000,MATCH(A94,'Semrush Data'!$A$1:$A$20000,0),MATCH("Intent",'Semrush Data'!$A$1:$Z$1,0)),"")</f>
        <v>Informational Transactional</v>
      </c>
    </row>
    <row r="95" customFormat="false" ht="15" hidden="false" customHeight="true" outlineLevel="0" collapsed="false">
      <c r="A95" s="6" t="s">
        <v>333</v>
      </c>
      <c r="B95" s="6" t="s">
        <v>316</v>
      </c>
      <c r="C95" s="6" t="n">
        <v>1</v>
      </c>
      <c r="D95" s="6" t="n">
        <v>1</v>
      </c>
      <c r="E95" s="6" t="n">
        <v>1</v>
      </c>
      <c r="F95" s="6" t="s">
        <v>4637</v>
      </c>
      <c r="G95" s="28" t="n">
        <f aca="false">IFERROR(INDEX('Semrush Data'!$A$1:$Z$20000,MATCH(A95,'Semrush Data'!$A$1:$A$20000,0),MATCH("Volume",'Semrush Data'!$A$1:$Z$1,0)),"")</f>
        <v>8100</v>
      </c>
      <c r="H95" s="6" t="n">
        <f aca="false">IFERROR(INDEX('Semrush Data'!$A$1:$Z$20000,MATCH(A95,'Semrush Data'!$A$1:$A$20000,0),MATCH("Keyword Difficulty*",'Semrush Data'!$A$1:$Z$1,0)),"")</f>
        <v>32</v>
      </c>
      <c r="I95" s="29" t="n">
        <f aca="false">IFERROR(INDEX('Semrush Data'!$A$1:$Z$20000,MATCH(A95,'Semrush Data'!$A$1:$A$20000,0),MATCH("CPC*",'Semrush Data'!$A$1:$Z$1,0)),"")</f>
        <v>0.38</v>
      </c>
      <c r="J95" s="6" t="str">
        <f aca="false">IFERROR(INDEX('Semrush Data'!$A$1:$Z$20000,MATCH(A95,'Semrush Data'!$A$1:$A$20000,0),MATCH("Intent",'Semrush Data'!$A$1:$Z$1,0)),"")</f>
        <v>Informational</v>
      </c>
    </row>
    <row r="96" customFormat="false" ht="15" hidden="false" customHeight="true" outlineLevel="0" collapsed="false">
      <c r="A96" s="6" t="s">
        <v>6605</v>
      </c>
      <c r="B96" s="6" t="s">
        <v>316</v>
      </c>
      <c r="C96" s="6" t="n">
        <v>1</v>
      </c>
      <c r="D96" s="6" t="n">
        <v>1</v>
      </c>
      <c r="E96" s="6" t="n">
        <v>1</v>
      </c>
      <c r="F96" s="6" t="s">
        <v>4637</v>
      </c>
      <c r="G96" s="28" t="n">
        <f aca="false">IFERROR(INDEX('Semrush Data'!$A$1:$Z$20000,MATCH(A96,'Semrush Data'!$A$1:$A$20000,0),MATCH("Volume",'Semrush Data'!$A$1:$Z$1,0)),"")</f>
        <v>40</v>
      </c>
      <c r="H96" s="6" t="n">
        <f aca="false">IFERROR(INDEX('Semrush Data'!$A$1:$Z$20000,MATCH(A96,'Semrush Data'!$A$1:$A$20000,0),MATCH("Keyword Difficulty*",'Semrush Data'!$A$1:$Z$1,0)),"")</f>
        <v>20</v>
      </c>
      <c r="I96" s="29" t="n">
        <f aca="false">IFERROR(INDEX('Semrush Data'!$A$1:$Z$20000,MATCH(A96,'Semrush Data'!$A$1:$A$20000,0),MATCH("CPC*",'Semrush Data'!$A$1:$Z$1,0)),"")</f>
        <v>0.38</v>
      </c>
      <c r="J96" s="6" t="str">
        <f aca="false">IFERROR(INDEX('Semrush Data'!$A$1:$Z$20000,MATCH(A96,'Semrush Data'!$A$1:$A$20000,0),MATCH("Intent",'Semrush Data'!$A$1:$Z$1,0)),"")</f>
        <v>Informational Transactional</v>
      </c>
    </row>
    <row r="97" customFormat="false" ht="15" hidden="false" customHeight="true" outlineLevel="0" collapsed="false">
      <c r="A97" s="6" t="s">
        <v>327</v>
      </c>
      <c r="B97" s="6" t="s">
        <v>316</v>
      </c>
      <c r="C97" s="6" t="n">
        <v>1</v>
      </c>
      <c r="D97" s="6" t="n">
        <v>1</v>
      </c>
      <c r="E97" s="6" t="n">
        <v>2</v>
      </c>
      <c r="F97" s="6" t="s">
        <v>6606</v>
      </c>
      <c r="G97" s="28" t="n">
        <f aca="false">IFERROR(INDEX('Semrush Data'!$A$1:$Z$20000,MATCH(A97,'Semrush Data'!$A$1:$A$20000,0),MATCH("Volume",'Semrush Data'!$A$1:$Z$1,0)),"")</f>
        <v>12100</v>
      </c>
      <c r="H97" s="6" t="n">
        <f aca="false">IFERROR(INDEX('Semrush Data'!$A$1:$Z$20000,MATCH(A97,'Semrush Data'!$A$1:$A$20000,0),MATCH("Keyword Difficulty*",'Semrush Data'!$A$1:$Z$1,0)),"")</f>
        <v>34</v>
      </c>
      <c r="I97" s="29" t="n">
        <f aca="false">IFERROR(INDEX('Semrush Data'!$A$1:$Z$20000,MATCH(A97,'Semrush Data'!$A$1:$A$20000,0),MATCH("CPC*",'Semrush Data'!$A$1:$Z$1,0)),"")</f>
        <v>0.45</v>
      </c>
      <c r="J97" s="6" t="str">
        <f aca="false">IFERROR(INDEX('Semrush Data'!$A$1:$Z$20000,MATCH(A97,'Semrush Data'!$A$1:$A$20000,0),MATCH("Intent",'Semrush Data'!$A$1:$Z$1,0)),"")</f>
        <v>Informational</v>
      </c>
    </row>
    <row r="98" customFormat="false" ht="15" hidden="false" customHeight="true" outlineLevel="0" collapsed="false">
      <c r="A98" s="6" t="s">
        <v>6607</v>
      </c>
      <c r="B98" s="6" t="s">
        <v>316</v>
      </c>
      <c r="C98" s="6" t="n">
        <v>1</v>
      </c>
      <c r="D98" s="6" t="n">
        <v>1</v>
      </c>
      <c r="E98" s="6" t="n">
        <v>1</v>
      </c>
      <c r="F98" s="6" t="s">
        <v>4661</v>
      </c>
      <c r="G98" s="28" t="n">
        <f aca="false">IFERROR(INDEX('Semrush Data'!$A$1:$Z$20000,MATCH(A98,'Semrush Data'!$A$1:$A$20000,0),MATCH("Volume",'Semrush Data'!$A$1:$Z$1,0)),"")</f>
        <v>320</v>
      </c>
      <c r="H98" s="6" t="n">
        <f aca="false">IFERROR(INDEX('Semrush Data'!$A$1:$Z$20000,MATCH(A98,'Semrush Data'!$A$1:$A$20000,0),MATCH("Keyword Difficulty*",'Semrush Data'!$A$1:$Z$1,0)),"")</f>
        <v>15</v>
      </c>
      <c r="I98" s="29" t="n">
        <f aca="false">IFERROR(INDEX('Semrush Data'!$A$1:$Z$20000,MATCH(A98,'Semrush Data'!$A$1:$A$20000,0),MATCH("CPC*",'Semrush Data'!$A$1:$Z$1,0)),"")</f>
        <v>0.33</v>
      </c>
      <c r="J98" s="6" t="str">
        <f aca="false">IFERROR(INDEX('Semrush Data'!$A$1:$Z$20000,MATCH(A98,'Semrush Data'!$A$1:$A$20000,0),MATCH("Intent",'Semrush Data'!$A$1:$Z$1,0)),"")</f>
        <v>Informational</v>
      </c>
    </row>
    <row r="99" customFormat="false" ht="15" hidden="false" customHeight="true" outlineLevel="0" collapsed="false">
      <c r="A99" s="6" t="s">
        <v>6608</v>
      </c>
      <c r="B99" s="6" t="s">
        <v>316</v>
      </c>
      <c r="C99" s="6" t="n">
        <v>1</v>
      </c>
      <c r="D99" s="6" t="n">
        <v>1</v>
      </c>
      <c r="E99" s="6" t="n">
        <v>1</v>
      </c>
      <c r="F99" s="6" t="s">
        <v>115</v>
      </c>
      <c r="G99" s="28" t="n">
        <f aca="false">IFERROR(INDEX('Semrush Data'!$A$1:$Z$20000,MATCH(A99,'Semrush Data'!$A$1:$A$20000,0),MATCH("Volume",'Semrush Data'!$A$1:$Z$1,0)),"")</f>
        <v>590</v>
      </c>
      <c r="H99" s="6" t="n">
        <f aca="false">IFERROR(INDEX('Semrush Data'!$A$1:$Z$20000,MATCH(A99,'Semrush Data'!$A$1:$A$20000,0),MATCH("Keyword Difficulty*",'Semrush Data'!$A$1:$Z$1,0)),"")</f>
        <v>26</v>
      </c>
      <c r="I99" s="29" t="n">
        <f aca="false">IFERROR(INDEX('Semrush Data'!$A$1:$Z$20000,MATCH(A99,'Semrush Data'!$A$1:$A$20000,0),MATCH("CPC*",'Semrush Data'!$A$1:$Z$1,0)),"")</f>
        <v>0.33</v>
      </c>
      <c r="J99" s="6" t="str">
        <f aca="false">IFERROR(INDEX('Semrush Data'!$A$1:$Z$20000,MATCH(A99,'Semrush Data'!$A$1:$A$20000,0),MATCH("Intent",'Semrush Data'!$A$1:$Z$1,0)),"")</f>
        <v>Informational</v>
      </c>
    </row>
    <row r="100" customFormat="false" ht="15" hidden="false" customHeight="true" outlineLevel="0" collapsed="false">
      <c r="A100" s="6" t="s">
        <v>6609</v>
      </c>
      <c r="B100" s="6" t="s">
        <v>316</v>
      </c>
      <c r="C100" s="6" t="n">
        <v>1</v>
      </c>
      <c r="D100" s="6" t="n">
        <v>1</v>
      </c>
      <c r="E100" s="6" t="n">
        <v>1</v>
      </c>
      <c r="F100" s="6" t="s">
        <v>3616</v>
      </c>
      <c r="G100" s="28" t="n">
        <f aca="false">IFERROR(INDEX('Semrush Data'!$A$1:$Z$20000,MATCH(A100,'Semrush Data'!$A$1:$A$20000,0),MATCH("Volume",'Semrush Data'!$A$1:$Z$1,0)),"")</f>
        <v>0</v>
      </c>
      <c r="H100" s="6" t="n">
        <f aca="false">IFERROR(INDEX('Semrush Data'!$A$1:$Z$20000,MATCH(A100,'Semrush Data'!$A$1:$A$20000,0),MATCH("Keyword Difficulty*",'Semrush Data'!$A$1:$Z$1,0)),"")</f>
        <v>9</v>
      </c>
      <c r="I100" s="29" t="n">
        <f aca="false">IFERROR(INDEX('Semrush Data'!$A$1:$Z$20000,MATCH(A100,'Semrush Data'!$A$1:$A$20000,0),MATCH("CPC*",'Semrush Data'!$A$1:$Z$1,0)),"")</f>
        <v>0</v>
      </c>
      <c r="J100" s="6" t="str">
        <f aca="false">IFERROR(INDEX('Semrush Data'!$A$1:$Z$20000,MATCH(A100,'Semrush Data'!$A$1:$A$20000,0),MATCH("Intent",'Semrush Data'!$A$1:$Z$1,0)),"")</f>
        <v>Informational Commercial</v>
      </c>
    </row>
    <row r="101" customFormat="false" ht="15" hidden="false" customHeight="true" outlineLevel="0" collapsed="false">
      <c r="A101" s="6" t="s">
        <v>6610</v>
      </c>
      <c r="B101" s="6" t="s">
        <v>316</v>
      </c>
      <c r="C101" s="6" t="n">
        <v>1</v>
      </c>
      <c r="D101" s="6" t="n">
        <v>1</v>
      </c>
      <c r="E101" s="6" t="n">
        <v>1</v>
      </c>
      <c r="F101" s="6" t="s">
        <v>6039</v>
      </c>
      <c r="G101" s="28" t="n">
        <f aca="false">IFERROR(INDEX('Semrush Data'!$A$1:$Z$20000,MATCH(A101,'Semrush Data'!$A$1:$A$20000,0),MATCH("Volume",'Semrush Data'!$A$1:$Z$1,0)),"")</f>
        <v>0</v>
      </c>
      <c r="H101" s="6" t="n">
        <f aca="false">IFERROR(INDEX('Semrush Data'!$A$1:$Z$20000,MATCH(A101,'Semrush Data'!$A$1:$A$20000,0),MATCH("Keyword Difficulty*",'Semrush Data'!$A$1:$Z$1,0)),"")</f>
        <v>21</v>
      </c>
      <c r="I101" s="29" t="n">
        <f aca="false">IFERROR(INDEX('Semrush Data'!$A$1:$Z$20000,MATCH(A101,'Semrush Data'!$A$1:$A$20000,0),MATCH("CPC*",'Semrush Data'!$A$1:$Z$1,0)),"")</f>
        <v>0</v>
      </c>
      <c r="J101" s="6" t="str">
        <f aca="false">IFERROR(INDEX('Semrush Data'!$A$1:$Z$20000,MATCH(A101,'Semrush Data'!$A$1:$A$20000,0),MATCH("Intent",'Semrush Data'!$A$1:$Z$1,0)),"")</f>
        <v>Informational</v>
      </c>
    </row>
    <row r="102" customFormat="false" ht="15" hidden="false" customHeight="true" outlineLevel="0" collapsed="false">
      <c r="A102" s="6" t="s">
        <v>324</v>
      </c>
      <c r="B102" s="6" t="s">
        <v>316</v>
      </c>
      <c r="C102" s="6" t="n">
        <v>1</v>
      </c>
      <c r="D102" s="6" t="n">
        <v>2</v>
      </c>
      <c r="E102" s="6" t="n">
        <v>13</v>
      </c>
      <c r="F102" s="6" t="s">
        <v>6611</v>
      </c>
      <c r="G102" s="28" t="n">
        <f aca="false">IFERROR(INDEX('Semrush Data'!$A$1:$Z$20000,MATCH(A102,'Semrush Data'!$A$1:$A$20000,0),MATCH("Volume",'Semrush Data'!$A$1:$Z$1,0)),"")</f>
        <v>18100</v>
      </c>
      <c r="H102" s="6" t="n">
        <f aca="false">IFERROR(INDEX('Semrush Data'!$A$1:$Z$20000,MATCH(A102,'Semrush Data'!$A$1:$A$20000,0),MATCH("Keyword Difficulty*",'Semrush Data'!$A$1:$Z$1,0)),"")</f>
        <v>41</v>
      </c>
      <c r="I102" s="29" t="n">
        <f aca="false">IFERROR(INDEX('Semrush Data'!$A$1:$Z$20000,MATCH(A102,'Semrush Data'!$A$1:$A$20000,0),MATCH("CPC*",'Semrush Data'!$A$1:$Z$1,0)),"")</f>
        <v>0.32</v>
      </c>
      <c r="J102" s="6" t="str">
        <f aca="false">IFERROR(INDEX('Semrush Data'!$A$1:$Z$20000,MATCH(A102,'Semrush Data'!$A$1:$A$20000,0),MATCH("Intent",'Semrush Data'!$A$1:$Z$1,0)),"")</f>
        <v>Informational Transactional</v>
      </c>
    </row>
    <row r="103" customFormat="false" ht="15" hidden="false" customHeight="true" outlineLevel="0" collapsed="false">
      <c r="A103" s="6" t="s">
        <v>6612</v>
      </c>
      <c r="B103" s="6" t="s">
        <v>316</v>
      </c>
      <c r="C103" s="6" t="n">
        <v>1</v>
      </c>
      <c r="D103" s="6" t="n">
        <v>2</v>
      </c>
      <c r="E103" s="6" t="n">
        <v>1</v>
      </c>
      <c r="F103" s="6" t="s">
        <v>81</v>
      </c>
      <c r="G103" s="28" t="n">
        <f aca="false">IFERROR(INDEX('Semrush Data'!$A$1:$Z$20000,MATCH(A103,'Semrush Data'!$A$1:$A$20000,0),MATCH("Volume",'Semrush Data'!$A$1:$Z$1,0)),"")</f>
        <v>880</v>
      </c>
      <c r="H103" s="6" t="n">
        <f aca="false">IFERROR(INDEX('Semrush Data'!$A$1:$Z$20000,MATCH(A103,'Semrush Data'!$A$1:$A$20000,0),MATCH("Keyword Difficulty*",'Semrush Data'!$A$1:$Z$1,0)),"")</f>
        <v>15</v>
      </c>
      <c r="I103" s="29" t="n">
        <f aca="false">IFERROR(INDEX('Semrush Data'!$A$1:$Z$20000,MATCH(A103,'Semrush Data'!$A$1:$A$20000,0),MATCH("CPC*",'Semrush Data'!$A$1:$Z$1,0)),"")</f>
        <v>0.38</v>
      </c>
      <c r="J103" s="6" t="str">
        <f aca="false">IFERROR(INDEX('Semrush Data'!$A$1:$Z$20000,MATCH(A103,'Semrush Data'!$A$1:$A$20000,0),MATCH("Intent",'Semrush Data'!$A$1:$Z$1,0)),"")</f>
        <v>Informational Transactional</v>
      </c>
    </row>
    <row r="104" customFormat="false" ht="15" hidden="false" customHeight="true" outlineLevel="0" collapsed="false">
      <c r="A104" s="6" t="s">
        <v>352</v>
      </c>
      <c r="B104" s="6" t="s">
        <v>316</v>
      </c>
      <c r="C104" s="6" t="n">
        <v>1</v>
      </c>
      <c r="D104" s="6" t="n">
        <v>2</v>
      </c>
      <c r="E104" s="6" t="n">
        <v>10</v>
      </c>
      <c r="F104" s="6" t="s">
        <v>6613</v>
      </c>
      <c r="G104" s="28" t="n">
        <f aca="false">IFERROR(INDEX('Semrush Data'!$A$1:$Z$20000,MATCH(A104,'Semrush Data'!$A$1:$A$20000,0),MATCH("Volume",'Semrush Data'!$A$1:$Z$1,0)),"")</f>
        <v>1000</v>
      </c>
      <c r="H104" s="6" t="n">
        <f aca="false">IFERROR(INDEX('Semrush Data'!$A$1:$Z$20000,MATCH(A104,'Semrush Data'!$A$1:$A$20000,0),MATCH("Keyword Difficulty*",'Semrush Data'!$A$1:$Z$1,0)),"")</f>
        <v>33</v>
      </c>
      <c r="I104" s="29" t="n">
        <f aca="false">IFERROR(INDEX('Semrush Data'!$A$1:$Z$20000,MATCH(A104,'Semrush Data'!$A$1:$A$20000,0),MATCH("CPC*",'Semrush Data'!$A$1:$Z$1,0)),"")</f>
        <v>0.32</v>
      </c>
      <c r="J104" s="6" t="str">
        <f aca="false">IFERROR(INDEX('Semrush Data'!$A$1:$Z$20000,MATCH(A104,'Semrush Data'!$A$1:$A$20000,0),MATCH("Intent",'Semrush Data'!$A$1:$Z$1,0)),"")</f>
        <v>Informational Transactional</v>
      </c>
    </row>
    <row r="105" customFormat="false" ht="15" hidden="false" customHeight="true" outlineLevel="0" collapsed="false">
      <c r="A105" s="6" t="s">
        <v>328</v>
      </c>
      <c r="B105" s="6" t="s">
        <v>316</v>
      </c>
      <c r="C105" s="6" t="n">
        <v>1</v>
      </c>
      <c r="D105" s="6" t="n">
        <v>2</v>
      </c>
      <c r="E105" s="6" t="n">
        <v>8</v>
      </c>
      <c r="F105" s="6" t="s">
        <v>6614</v>
      </c>
      <c r="G105" s="28" t="n">
        <f aca="false">IFERROR(INDEX('Semrush Data'!$A$1:$Z$20000,MATCH(A105,'Semrush Data'!$A$1:$A$20000,0),MATCH("Volume",'Semrush Data'!$A$1:$Z$1,0)),"")</f>
        <v>12100</v>
      </c>
      <c r="H105" s="6" t="n">
        <f aca="false">IFERROR(INDEX('Semrush Data'!$A$1:$Z$20000,MATCH(A105,'Semrush Data'!$A$1:$A$20000,0),MATCH("Keyword Difficulty*",'Semrush Data'!$A$1:$Z$1,0)),"")</f>
        <v>28</v>
      </c>
      <c r="I105" s="29" t="n">
        <f aca="false">IFERROR(INDEX('Semrush Data'!$A$1:$Z$20000,MATCH(A105,'Semrush Data'!$A$1:$A$20000,0),MATCH("CPC*",'Semrush Data'!$A$1:$Z$1,0)),"")</f>
        <v>0.55</v>
      </c>
      <c r="J105" s="6" t="str">
        <f aca="false">IFERROR(INDEX('Semrush Data'!$A$1:$Z$20000,MATCH(A105,'Semrush Data'!$A$1:$A$20000,0),MATCH("Intent",'Semrush Data'!$A$1:$Z$1,0)),"")</f>
        <v>Informational Transactional</v>
      </c>
    </row>
    <row r="106" customFormat="false" ht="15" hidden="false" customHeight="true" outlineLevel="0" collapsed="false">
      <c r="A106" s="6" t="s">
        <v>6615</v>
      </c>
      <c r="B106" s="6" t="s">
        <v>316</v>
      </c>
      <c r="C106" s="6" t="n">
        <v>1</v>
      </c>
      <c r="D106" s="6" t="n">
        <v>2</v>
      </c>
      <c r="E106" s="6" t="n">
        <v>1</v>
      </c>
      <c r="F106" s="6" t="s">
        <v>125</v>
      </c>
      <c r="G106" s="28" t="n">
        <f aca="false">IFERROR(INDEX('Semrush Data'!$A$1:$Z$20000,MATCH(A106,'Semrush Data'!$A$1:$A$20000,0),MATCH("Volume",'Semrush Data'!$A$1:$Z$1,0)),"")</f>
        <v>140</v>
      </c>
      <c r="H106" s="6" t="n">
        <f aca="false">IFERROR(INDEX('Semrush Data'!$A$1:$Z$20000,MATCH(A106,'Semrush Data'!$A$1:$A$20000,0),MATCH("Keyword Difficulty*",'Semrush Data'!$A$1:$Z$1,0)),"")</f>
        <v>15</v>
      </c>
      <c r="I106" s="29" t="n">
        <f aca="false">IFERROR(INDEX('Semrush Data'!$A$1:$Z$20000,MATCH(A106,'Semrush Data'!$A$1:$A$20000,0),MATCH("CPC*",'Semrush Data'!$A$1:$Z$1,0)),"")</f>
        <v>0.91</v>
      </c>
      <c r="J106" s="6" t="str">
        <f aca="false">IFERROR(INDEX('Semrush Data'!$A$1:$Z$20000,MATCH(A106,'Semrush Data'!$A$1:$A$20000,0),MATCH("Intent",'Semrush Data'!$A$1:$Z$1,0)),"")</f>
        <v>Commercial</v>
      </c>
    </row>
    <row r="107" customFormat="false" ht="15" hidden="false" customHeight="true" outlineLevel="0" collapsed="false">
      <c r="A107" s="6" t="s">
        <v>6616</v>
      </c>
      <c r="B107" s="6" t="s">
        <v>316</v>
      </c>
      <c r="C107" s="6" t="n">
        <v>1</v>
      </c>
      <c r="D107" s="6" t="n">
        <v>2</v>
      </c>
      <c r="E107" s="6" t="n">
        <v>4</v>
      </c>
      <c r="F107" s="6" t="s">
        <v>6617</v>
      </c>
      <c r="G107" s="28" t="n">
        <f aca="false">IFERROR(INDEX('Semrush Data'!$A$1:$Z$20000,MATCH(A107,'Semrush Data'!$A$1:$A$20000,0),MATCH("Volume",'Semrush Data'!$A$1:$Z$1,0)),"")</f>
        <v>20</v>
      </c>
      <c r="H107" s="6" t="n">
        <f aca="false">IFERROR(INDEX('Semrush Data'!$A$1:$Z$20000,MATCH(A107,'Semrush Data'!$A$1:$A$20000,0),MATCH("Keyword Difficulty*",'Semrush Data'!$A$1:$Z$1,0)),"")</f>
        <v>30</v>
      </c>
      <c r="I107" s="29" t="n">
        <f aca="false">IFERROR(INDEX('Semrush Data'!$A$1:$Z$20000,MATCH(A107,'Semrush Data'!$A$1:$A$20000,0),MATCH("CPC*",'Semrush Data'!$A$1:$Z$1,0)),"")</f>
        <v>0.43</v>
      </c>
      <c r="J107" s="6" t="str">
        <f aca="false">IFERROR(INDEX('Semrush Data'!$A$1:$Z$20000,MATCH(A107,'Semrush Data'!$A$1:$A$20000,0),MATCH("Intent",'Semrush Data'!$A$1:$Z$1,0)),"")</f>
        <v>Informational Transactional</v>
      </c>
    </row>
    <row r="108" customFormat="false" ht="15" hidden="false" customHeight="true" outlineLevel="0" collapsed="false">
      <c r="A108" s="6" t="s">
        <v>6618</v>
      </c>
      <c r="B108" s="6" t="s">
        <v>316</v>
      </c>
      <c r="C108" s="6" t="n">
        <v>1</v>
      </c>
      <c r="D108" s="6" t="n">
        <v>2</v>
      </c>
      <c r="E108" s="6" t="n">
        <v>18</v>
      </c>
      <c r="F108" s="6" t="s">
        <v>6619</v>
      </c>
      <c r="G108" s="28" t="n">
        <f aca="false">IFERROR(INDEX('Semrush Data'!$A$1:$Z$20000,MATCH(A108,'Semrush Data'!$A$1:$A$20000,0),MATCH("Volume",'Semrush Data'!$A$1:$Z$1,0)),"")</f>
        <v>20</v>
      </c>
      <c r="H108" s="6" t="n">
        <f aca="false">IFERROR(INDEX('Semrush Data'!$A$1:$Z$20000,MATCH(A108,'Semrush Data'!$A$1:$A$20000,0),MATCH("Keyword Difficulty*",'Semrush Data'!$A$1:$Z$1,0)),"")</f>
        <v>19</v>
      </c>
      <c r="I108" s="29" t="n">
        <f aca="false">IFERROR(INDEX('Semrush Data'!$A$1:$Z$20000,MATCH(A108,'Semrush Data'!$A$1:$A$20000,0),MATCH("CPC*",'Semrush Data'!$A$1:$Z$1,0)),"")</f>
        <v>0</v>
      </c>
      <c r="J108" s="6" t="str">
        <f aca="false">IFERROR(INDEX('Semrush Data'!$A$1:$Z$20000,MATCH(A108,'Semrush Data'!$A$1:$A$20000,0),MATCH("Intent",'Semrush Data'!$A$1:$Z$1,0)),"")</f>
        <v>Informational Transactional</v>
      </c>
    </row>
    <row r="109" customFormat="false" ht="15" hidden="false" customHeight="true" outlineLevel="0" collapsed="false">
      <c r="A109" s="6" t="s">
        <v>337</v>
      </c>
      <c r="B109" s="6" t="s">
        <v>316</v>
      </c>
      <c r="C109" s="6" t="n">
        <v>1</v>
      </c>
      <c r="D109" s="6" t="n">
        <v>2</v>
      </c>
      <c r="E109" s="6" t="n">
        <v>1</v>
      </c>
      <c r="F109" s="6" t="s">
        <v>5048</v>
      </c>
      <c r="G109" s="28" t="n">
        <f aca="false">IFERROR(INDEX('Semrush Data'!$A$1:$Z$20000,MATCH(A109,'Semrush Data'!$A$1:$A$20000,0),MATCH("Volume",'Semrush Data'!$A$1:$Z$1,0)),"")</f>
        <v>5400</v>
      </c>
      <c r="H109" s="6" t="n">
        <f aca="false">IFERROR(INDEX('Semrush Data'!$A$1:$Z$20000,MATCH(A109,'Semrush Data'!$A$1:$A$20000,0),MATCH("Keyword Difficulty*",'Semrush Data'!$A$1:$Z$1,0)),"")</f>
        <v>30</v>
      </c>
      <c r="I109" s="29" t="n">
        <f aca="false">IFERROR(INDEX('Semrush Data'!$A$1:$Z$20000,MATCH(A109,'Semrush Data'!$A$1:$A$20000,0),MATCH("CPC*",'Semrush Data'!$A$1:$Z$1,0)),"")</f>
        <v>0.26</v>
      </c>
      <c r="J109" s="6" t="str">
        <f aca="false">IFERROR(INDEX('Semrush Data'!$A$1:$Z$20000,MATCH(A109,'Semrush Data'!$A$1:$A$20000,0),MATCH("Intent",'Semrush Data'!$A$1:$Z$1,0)),"")</f>
        <v>Informational Transactional</v>
      </c>
    </row>
    <row r="110" customFormat="false" ht="15" hidden="false" customHeight="true" outlineLevel="0" collapsed="false">
      <c r="A110" s="6" t="s">
        <v>353</v>
      </c>
      <c r="B110" s="6" t="s">
        <v>316</v>
      </c>
      <c r="C110" s="6" t="n">
        <v>1</v>
      </c>
      <c r="D110" s="6" t="n">
        <v>2</v>
      </c>
      <c r="E110" s="6" t="n">
        <v>1</v>
      </c>
      <c r="F110" s="6" t="s">
        <v>5061</v>
      </c>
      <c r="G110" s="28" t="n">
        <f aca="false">IFERROR(INDEX('Semrush Data'!$A$1:$Z$20000,MATCH(A110,'Semrush Data'!$A$1:$A$20000,0),MATCH("Volume",'Semrush Data'!$A$1:$Z$1,0)),"")</f>
        <v>1000</v>
      </c>
      <c r="H110" s="6" t="n">
        <f aca="false">IFERROR(INDEX('Semrush Data'!$A$1:$Z$20000,MATCH(A110,'Semrush Data'!$A$1:$A$20000,0),MATCH("Keyword Difficulty*",'Semrush Data'!$A$1:$Z$1,0)),"")</f>
        <v>22</v>
      </c>
      <c r="I110" s="29" t="n">
        <f aca="false">IFERROR(INDEX('Semrush Data'!$A$1:$Z$20000,MATCH(A110,'Semrush Data'!$A$1:$A$20000,0),MATCH("CPC*",'Semrush Data'!$A$1:$Z$1,0)),"")</f>
        <v>0.29</v>
      </c>
      <c r="J110" s="6" t="str">
        <f aca="false">IFERROR(INDEX('Semrush Data'!$A$1:$Z$20000,MATCH(A110,'Semrush Data'!$A$1:$A$20000,0),MATCH("Intent",'Semrush Data'!$A$1:$Z$1,0)),"")</f>
        <v>Informational Transactional</v>
      </c>
    </row>
    <row r="111" customFormat="false" ht="15" hidden="false" customHeight="true" outlineLevel="0" collapsed="false">
      <c r="A111" s="6" t="s">
        <v>6620</v>
      </c>
      <c r="B111" s="6" t="s">
        <v>316</v>
      </c>
      <c r="C111" s="6" t="n">
        <v>1</v>
      </c>
      <c r="D111" s="6" t="n">
        <v>2</v>
      </c>
      <c r="E111" s="6" t="n">
        <v>1</v>
      </c>
      <c r="F111" s="6" t="s">
        <v>5061</v>
      </c>
      <c r="G111" s="28" t="n">
        <f aca="false">IFERROR(INDEX('Semrush Data'!$A$1:$Z$20000,MATCH(A111,'Semrush Data'!$A$1:$A$20000,0),MATCH("Volume",'Semrush Data'!$A$1:$Z$1,0)),"")</f>
        <v>0</v>
      </c>
      <c r="H111" s="6" t="n">
        <f aca="false">IFERROR(INDEX('Semrush Data'!$A$1:$Z$20000,MATCH(A111,'Semrush Data'!$A$1:$A$20000,0),MATCH("Keyword Difficulty*",'Semrush Data'!$A$1:$Z$1,0)),"")</f>
        <v>12</v>
      </c>
      <c r="I111" s="29" t="n">
        <f aca="false">IFERROR(INDEX('Semrush Data'!$A$1:$Z$20000,MATCH(A111,'Semrush Data'!$A$1:$A$20000,0),MATCH("CPC*",'Semrush Data'!$A$1:$Z$1,0)),"")</f>
        <v>0.31</v>
      </c>
      <c r="J111" s="6" t="str">
        <f aca="false">IFERROR(INDEX('Semrush Data'!$A$1:$Z$20000,MATCH(A111,'Semrush Data'!$A$1:$A$20000,0),MATCH("Intent",'Semrush Data'!$A$1:$Z$1,0)),"")</f>
        <v>Informational Transactional</v>
      </c>
    </row>
    <row r="112" customFormat="false" ht="15" hidden="false" customHeight="true" outlineLevel="0" collapsed="false">
      <c r="A112" s="6" t="s">
        <v>326</v>
      </c>
      <c r="B112" s="6" t="s">
        <v>316</v>
      </c>
      <c r="C112" s="6" t="n">
        <v>1</v>
      </c>
      <c r="D112" s="6" t="n">
        <v>2</v>
      </c>
      <c r="E112" s="6" t="n">
        <v>5</v>
      </c>
      <c r="F112" s="6" t="s">
        <v>6621</v>
      </c>
      <c r="G112" s="28" t="n">
        <f aca="false">IFERROR(INDEX('Semrush Data'!$A$1:$Z$20000,MATCH(A112,'Semrush Data'!$A$1:$A$20000,0),MATCH("Volume",'Semrush Data'!$A$1:$Z$1,0)),"")</f>
        <v>14800</v>
      </c>
      <c r="H112" s="6" t="n">
        <f aca="false">IFERROR(INDEX('Semrush Data'!$A$1:$Z$20000,MATCH(A112,'Semrush Data'!$A$1:$A$20000,0),MATCH("Keyword Difficulty*",'Semrush Data'!$A$1:$Z$1,0)),"")</f>
        <v>41</v>
      </c>
      <c r="I112" s="29" t="n">
        <f aca="false">IFERROR(INDEX('Semrush Data'!$A$1:$Z$20000,MATCH(A112,'Semrush Data'!$A$1:$A$20000,0),MATCH("CPC*",'Semrush Data'!$A$1:$Z$1,0)),"")</f>
        <v>0.32</v>
      </c>
      <c r="J112" s="6" t="str">
        <f aca="false">IFERROR(INDEX('Semrush Data'!$A$1:$Z$20000,MATCH(A112,'Semrush Data'!$A$1:$A$20000,0),MATCH("Intent",'Semrush Data'!$A$1:$Z$1,0)),"")</f>
        <v>Informational</v>
      </c>
    </row>
    <row r="113" customFormat="false" ht="15" hidden="false" customHeight="true" outlineLevel="0" collapsed="false">
      <c r="A113" s="6" t="s">
        <v>6622</v>
      </c>
      <c r="B113" s="6" t="s">
        <v>316</v>
      </c>
      <c r="C113" s="6" t="n">
        <v>1</v>
      </c>
      <c r="D113" s="6" t="n">
        <v>2</v>
      </c>
      <c r="E113" s="6" t="n">
        <v>4</v>
      </c>
      <c r="F113" s="6" t="s">
        <v>6623</v>
      </c>
      <c r="G113" s="28" t="n">
        <f aca="false">IFERROR(INDEX('Semrush Data'!$A$1:$Z$20000,MATCH(A113,'Semrush Data'!$A$1:$A$20000,0),MATCH("Volume",'Semrush Data'!$A$1:$Z$1,0)),"")</f>
        <v>720</v>
      </c>
      <c r="H113" s="6" t="n">
        <f aca="false">IFERROR(INDEX('Semrush Data'!$A$1:$Z$20000,MATCH(A113,'Semrush Data'!$A$1:$A$20000,0),MATCH("Keyword Difficulty*",'Semrush Data'!$A$1:$Z$1,0)),"")</f>
        <v>34</v>
      </c>
      <c r="I113" s="29" t="n">
        <f aca="false">IFERROR(INDEX('Semrush Data'!$A$1:$Z$20000,MATCH(A113,'Semrush Data'!$A$1:$A$20000,0),MATCH("CPC*",'Semrush Data'!$A$1:$Z$1,0)),"")</f>
        <v>0.36</v>
      </c>
      <c r="J113" s="6" t="str">
        <f aca="false">IFERROR(INDEX('Semrush Data'!$A$1:$Z$20000,MATCH(A113,'Semrush Data'!$A$1:$A$20000,0),MATCH("Intent",'Semrush Data'!$A$1:$Z$1,0)),"")</f>
        <v>Informational Transactional</v>
      </c>
    </row>
    <row r="114" customFormat="false" ht="15" hidden="false" customHeight="true" outlineLevel="0" collapsed="false">
      <c r="A114" s="6" t="s">
        <v>6624</v>
      </c>
      <c r="B114" s="6" t="s">
        <v>316</v>
      </c>
      <c r="C114" s="6" t="n">
        <v>1</v>
      </c>
      <c r="D114" s="6" t="n">
        <v>2</v>
      </c>
      <c r="E114" s="6" t="n">
        <v>1</v>
      </c>
      <c r="F114" s="6" t="s">
        <v>107</v>
      </c>
      <c r="G114" s="28" t="n">
        <f aca="false">IFERROR(INDEX('Semrush Data'!$A$1:$Z$20000,MATCH(A114,'Semrush Data'!$A$1:$A$20000,0),MATCH("Volume",'Semrush Data'!$A$1:$Z$1,0)),"")</f>
        <v>720</v>
      </c>
      <c r="H114" s="6" t="n">
        <f aca="false">IFERROR(INDEX('Semrush Data'!$A$1:$Z$20000,MATCH(A114,'Semrush Data'!$A$1:$A$20000,0),MATCH("Keyword Difficulty*",'Semrush Data'!$A$1:$Z$1,0)),"")</f>
        <v>24</v>
      </c>
      <c r="I114" s="29" t="n">
        <f aca="false">IFERROR(INDEX('Semrush Data'!$A$1:$Z$20000,MATCH(A114,'Semrush Data'!$A$1:$A$20000,0),MATCH("CPC*",'Semrush Data'!$A$1:$Z$1,0)),"")</f>
        <v>0.35</v>
      </c>
      <c r="J114" s="6" t="str">
        <f aca="false">IFERROR(INDEX('Semrush Data'!$A$1:$Z$20000,MATCH(A114,'Semrush Data'!$A$1:$A$20000,0),MATCH("Intent",'Semrush Data'!$A$1:$Z$1,0)),"")</f>
        <v>Informational Transactional</v>
      </c>
    </row>
    <row r="115" customFormat="false" ht="15" hidden="false" customHeight="true" outlineLevel="0" collapsed="false">
      <c r="A115" s="6" t="s">
        <v>344</v>
      </c>
      <c r="B115" s="6" t="s">
        <v>316</v>
      </c>
      <c r="C115" s="6" t="n">
        <v>1</v>
      </c>
      <c r="D115" s="6" t="n">
        <v>2</v>
      </c>
      <c r="E115" s="6" t="n">
        <v>2</v>
      </c>
      <c r="F115" s="6" t="s">
        <v>6625</v>
      </c>
      <c r="G115" s="28" t="n">
        <f aca="false">IFERROR(INDEX('Semrush Data'!$A$1:$Z$20000,MATCH(A115,'Semrush Data'!$A$1:$A$20000,0),MATCH("Volume",'Semrush Data'!$A$1:$Z$1,0)),"")</f>
        <v>1900</v>
      </c>
      <c r="H115" s="6" t="n">
        <f aca="false">IFERROR(INDEX('Semrush Data'!$A$1:$Z$20000,MATCH(A115,'Semrush Data'!$A$1:$A$20000,0),MATCH("Keyword Difficulty*",'Semrush Data'!$A$1:$Z$1,0)),"")</f>
        <v>26</v>
      </c>
      <c r="I115" s="29" t="n">
        <f aca="false">IFERROR(INDEX('Semrush Data'!$A$1:$Z$20000,MATCH(A115,'Semrush Data'!$A$1:$A$20000,0),MATCH("CPC*",'Semrush Data'!$A$1:$Z$1,0)),"")</f>
        <v>0.41</v>
      </c>
      <c r="J115" s="6" t="str">
        <f aca="false">IFERROR(INDEX('Semrush Data'!$A$1:$Z$20000,MATCH(A115,'Semrush Data'!$A$1:$A$20000,0),MATCH("Intent",'Semrush Data'!$A$1:$Z$1,0)),"")</f>
        <v>Informational Transactional</v>
      </c>
    </row>
    <row r="116" customFormat="false" ht="15" hidden="false" customHeight="true" outlineLevel="0" collapsed="false">
      <c r="A116" s="6" t="s">
        <v>6626</v>
      </c>
      <c r="B116" s="6" t="s">
        <v>316</v>
      </c>
      <c r="C116" s="6" t="n">
        <v>1</v>
      </c>
      <c r="D116" s="6" t="n">
        <v>2</v>
      </c>
      <c r="E116" s="6" t="n">
        <v>2</v>
      </c>
      <c r="F116" s="6" t="s">
        <v>6625</v>
      </c>
      <c r="G116" s="28" t="n">
        <f aca="false">IFERROR(INDEX('Semrush Data'!$A$1:$Z$20000,MATCH(A116,'Semrush Data'!$A$1:$A$20000,0),MATCH("Volume",'Semrush Data'!$A$1:$Z$1,0)),"")</f>
        <v>320</v>
      </c>
      <c r="H116" s="6" t="n">
        <f aca="false">IFERROR(INDEX('Semrush Data'!$A$1:$Z$20000,MATCH(A116,'Semrush Data'!$A$1:$A$20000,0),MATCH("Keyword Difficulty*",'Semrush Data'!$A$1:$Z$1,0)),"")</f>
        <v>17</v>
      </c>
      <c r="I116" s="29" t="n">
        <f aca="false">IFERROR(INDEX('Semrush Data'!$A$1:$Z$20000,MATCH(A116,'Semrush Data'!$A$1:$A$20000,0),MATCH("CPC*",'Semrush Data'!$A$1:$Z$1,0)),"")</f>
        <v>0</v>
      </c>
      <c r="J116" s="6" t="str">
        <f aca="false">IFERROR(INDEX('Semrush Data'!$A$1:$Z$20000,MATCH(A116,'Semrush Data'!$A$1:$A$20000,0),MATCH("Intent",'Semrush Data'!$A$1:$Z$1,0)),"")</f>
        <v>Informational</v>
      </c>
    </row>
    <row r="117" customFormat="false" ht="15" hidden="false" customHeight="true" outlineLevel="0" collapsed="false">
      <c r="A117" s="6" t="s">
        <v>317</v>
      </c>
      <c r="B117" s="6" t="s">
        <v>316</v>
      </c>
      <c r="C117" s="6" t="n">
        <v>1</v>
      </c>
      <c r="D117" s="6" t="n">
        <v>2</v>
      </c>
      <c r="E117" s="6" t="n">
        <v>2</v>
      </c>
      <c r="F117" s="6" t="s">
        <v>6627</v>
      </c>
      <c r="G117" s="28" t="n">
        <f aca="false">IFERROR(INDEX('Semrush Data'!$A$1:$Z$20000,MATCH(A117,'Semrush Data'!$A$1:$A$20000,0),MATCH("Volume",'Semrush Data'!$A$1:$Z$1,0)),"")</f>
        <v>40500</v>
      </c>
      <c r="H117" s="6" t="n">
        <f aca="false">IFERROR(INDEX('Semrush Data'!$A$1:$Z$20000,MATCH(A117,'Semrush Data'!$A$1:$A$20000,0),MATCH("Keyword Difficulty*",'Semrush Data'!$A$1:$Z$1,0)),"")</f>
        <v>32</v>
      </c>
      <c r="I117" s="29" t="n">
        <f aca="false">IFERROR(INDEX('Semrush Data'!$A$1:$Z$20000,MATCH(A117,'Semrush Data'!$A$1:$A$20000,0),MATCH("CPC*",'Semrush Data'!$A$1:$Z$1,0)),"")</f>
        <v>0.33</v>
      </c>
      <c r="J117" s="6" t="str">
        <f aca="false">IFERROR(INDEX('Semrush Data'!$A$1:$Z$20000,MATCH(A117,'Semrush Data'!$A$1:$A$20000,0),MATCH("Intent",'Semrush Data'!$A$1:$Z$1,0)),"")</f>
        <v>Informational</v>
      </c>
    </row>
    <row r="118" customFormat="false" ht="15" hidden="false" customHeight="true" outlineLevel="0" collapsed="false">
      <c r="A118" s="6" t="s">
        <v>6628</v>
      </c>
      <c r="B118" s="6" t="s">
        <v>316</v>
      </c>
      <c r="C118" s="6" t="n">
        <v>1</v>
      </c>
      <c r="D118" s="6" t="n">
        <v>2</v>
      </c>
      <c r="E118" s="6" t="n">
        <v>2</v>
      </c>
      <c r="F118" s="6" t="s">
        <v>6627</v>
      </c>
      <c r="G118" s="28" t="n">
        <f aca="false">IFERROR(INDEX('Semrush Data'!$A$1:$Z$20000,MATCH(A118,'Semrush Data'!$A$1:$A$20000,0),MATCH("Volume",'Semrush Data'!$A$1:$Z$1,0)),"")</f>
        <v>260</v>
      </c>
      <c r="H118" s="6" t="n">
        <f aca="false">IFERROR(INDEX('Semrush Data'!$A$1:$Z$20000,MATCH(A118,'Semrush Data'!$A$1:$A$20000,0),MATCH("Keyword Difficulty*",'Semrush Data'!$A$1:$Z$1,0)),"")</f>
        <v>28</v>
      </c>
      <c r="I118" s="29" t="n">
        <f aca="false">IFERROR(INDEX('Semrush Data'!$A$1:$Z$20000,MATCH(A118,'Semrush Data'!$A$1:$A$20000,0),MATCH("CPC*",'Semrush Data'!$A$1:$Z$1,0)),"")</f>
        <v>0.34</v>
      </c>
      <c r="J118" s="6" t="str">
        <f aca="false">IFERROR(INDEX('Semrush Data'!$A$1:$Z$20000,MATCH(A118,'Semrush Data'!$A$1:$A$20000,0),MATCH("Intent",'Semrush Data'!$A$1:$Z$1,0)),"")</f>
        <v>Informational</v>
      </c>
    </row>
    <row r="119" customFormat="false" ht="15" hidden="false" customHeight="true" outlineLevel="0" collapsed="false">
      <c r="A119" s="6" t="s">
        <v>6629</v>
      </c>
      <c r="B119" s="6" t="s">
        <v>316</v>
      </c>
      <c r="C119" s="6" t="n">
        <v>1</v>
      </c>
      <c r="D119" s="6" t="n">
        <v>2</v>
      </c>
      <c r="E119" s="6" t="n">
        <v>2</v>
      </c>
      <c r="F119" s="6" t="s">
        <v>6630</v>
      </c>
      <c r="G119" s="28" t="n">
        <f aca="false">IFERROR(INDEX('Semrush Data'!$A$1:$Z$20000,MATCH(A119,'Semrush Data'!$A$1:$A$20000,0),MATCH("Volume",'Semrush Data'!$A$1:$Z$1,0)),"")</f>
        <v>90</v>
      </c>
      <c r="H119" s="6" t="n">
        <f aca="false">IFERROR(INDEX('Semrush Data'!$A$1:$Z$20000,MATCH(A119,'Semrush Data'!$A$1:$A$20000,0),MATCH("Keyword Difficulty*",'Semrush Data'!$A$1:$Z$1,0)),"")</f>
        <v>20</v>
      </c>
      <c r="I119" s="29" t="n">
        <f aca="false">IFERROR(INDEX('Semrush Data'!$A$1:$Z$20000,MATCH(A119,'Semrush Data'!$A$1:$A$20000,0),MATCH("CPC*",'Semrush Data'!$A$1:$Z$1,0)),"")</f>
        <v>0.41</v>
      </c>
      <c r="J119" s="6" t="str">
        <f aca="false">IFERROR(INDEX('Semrush Data'!$A$1:$Z$20000,MATCH(A119,'Semrush Data'!$A$1:$A$20000,0),MATCH("Intent",'Semrush Data'!$A$1:$Z$1,0)),"")</f>
        <v>Informational</v>
      </c>
    </row>
    <row r="120" customFormat="false" ht="15" hidden="false" customHeight="true" outlineLevel="0" collapsed="false">
      <c r="A120" s="6" t="s">
        <v>6631</v>
      </c>
      <c r="B120" s="6" t="s">
        <v>316</v>
      </c>
      <c r="C120" s="6" t="n">
        <v>1</v>
      </c>
      <c r="D120" s="6" t="n">
        <v>2</v>
      </c>
      <c r="E120" s="6" t="n">
        <v>1</v>
      </c>
      <c r="F120" s="6" t="s">
        <v>5195</v>
      </c>
      <c r="G120" s="28" t="n">
        <f aca="false">IFERROR(INDEX('Semrush Data'!$A$1:$Z$20000,MATCH(A120,'Semrush Data'!$A$1:$A$20000,0),MATCH("Volume",'Semrush Data'!$A$1:$Z$1,0)),"")</f>
        <v>260</v>
      </c>
      <c r="H120" s="6" t="n">
        <f aca="false">IFERROR(INDEX('Semrush Data'!$A$1:$Z$20000,MATCH(A120,'Semrush Data'!$A$1:$A$20000,0),MATCH("Keyword Difficulty*",'Semrush Data'!$A$1:$Z$1,0)),"")</f>
        <v>17</v>
      </c>
      <c r="I120" s="29" t="n">
        <f aca="false">IFERROR(INDEX('Semrush Data'!$A$1:$Z$20000,MATCH(A120,'Semrush Data'!$A$1:$A$20000,0),MATCH("CPC*",'Semrush Data'!$A$1:$Z$1,0)),"")</f>
        <v>0.35</v>
      </c>
      <c r="J120" s="6" t="str">
        <f aca="false">IFERROR(INDEX('Semrush Data'!$A$1:$Z$20000,MATCH(A120,'Semrush Data'!$A$1:$A$20000,0),MATCH("Intent",'Semrush Data'!$A$1:$Z$1,0)),"")</f>
        <v>Informational</v>
      </c>
    </row>
    <row r="121" customFormat="false" ht="15" hidden="false" customHeight="true" outlineLevel="0" collapsed="false">
      <c r="A121" s="6" t="s">
        <v>6632</v>
      </c>
      <c r="B121" s="6" t="s">
        <v>316</v>
      </c>
      <c r="C121" s="6" t="n">
        <v>1</v>
      </c>
      <c r="D121" s="6" t="n">
        <v>2</v>
      </c>
      <c r="E121" s="6" t="n">
        <v>1</v>
      </c>
      <c r="F121" s="6" t="s">
        <v>5195</v>
      </c>
      <c r="G121" s="28" t="n">
        <f aca="false">IFERROR(INDEX('Semrush Data'!$A$1:$Z$20000,MATCH(A121,'Semrush Data'!$A$1:$A$20000,0),MATCH("Volume",'Semrush Data'!$A$1:$Z$1,0)),"")</f>
        <v>0</v>
      </c>
      <c r="H121" s="6" t="n">
        <f aca="false">IFERROR(INDEX('Semrush Data'!$A$1:$Z$20000,MATCH(A121,'Semrush Data'!$A$1:$A$20000,0),MATCH("Keyword Difficulty*",'Semrush Data'!$A$1:$Z$1,0)),"")</f>
        <v>9</v>
      </c>
      <c r="I121" s="29" t="n">
        <f aca="false">IFERROR(INDEX('Semrush Data'!$A$1:$Z$20000,MATCH(A121,'Semrush Data'!$A$1:$A$20000,0),MATCH("CPC*",'Semrush Data'!$A$1:$Z$1,0)),"")</f>
        <v>0</v>
      </c>
      <c r="J121" s="6" t="str">
        <f aca="false">IFERROR(INDEX('Semrush Data'!$A$1:$Z$20000,MATCH(A121,'Semrush Data'!$A$1:$A$20000,0),MATCH("Intent",'Semrush Data'!$A$1:$Z$1,0)),"")</f>
        <v>Informational Transactional</v>
      </c>
    </row>
    <row r="122" customFormat="false" ht="15" hidden="false" customHeight="true" outlineLevel="0" collapsed="false">
      <c r="A122" s="6" t="s">
        <v>6633</v>
      </c>
      <c r="B122" s="6" t="s">
        <v>316</v>
      </c>
      <c r="C122" s="6" t="n">
        <v>1</v>
      </c>
      <c r="D122" s="6" t="n">
        <v>2</v>
      </c>
      <c r="E122" s="6" t="n">
        <v>2</v>
      </c>
      <c r="F122" s="6" t="s">
        <v>6634</v>
      </c>
      <c r="G122" s="28" t="n">
        <f aca="false">IFERROR(INDEX('Semrush Data'!$A$1:$Z$20000,MATCH(A122,'Semrush Data'!$A$1:$A$20000,0),MATCH("Volume",'Semrush Data'!$A$1:$Z$1,0)),"")</f>
        <v>210</v>
      </c>
      <c r="H122" s="6" t="n">
        <f aca="false">IFERROR(INDEX('Semrush Data'!$A$1:$Z$20000,MATCH(A122,'Semrush Data'!$A$1:$A$20000,0),MATCH("Keyword Difficulty*",'Semrush Data'!$A$1:$Z$1,0)),"")</f>
        <v>20</v>
      </c>
      <c r="I122" s="29" t="n">
        <f aca="false">IFERROR(INDEX('Semrush Data'!$A$1:$Z$20000,MATCH(A122,'Semrush Data'!$A$1:$A$20000,0),MATCH("CPC*",'Semrush Data'!$A$1:$Z$1,0)),"")</f>
        <v>0.39</v>
      </c>
      <c r="J122" s="6" t="str">
        <f aca="false">IFERROR(INDEX('Semrush Data'!$A$1:$Z$20000,MATCH(A122,'Semrush Data'!$A$1:$A$20000,0),MATCH("Intent",'Semrush Data'!$A$1:$Z$1,0)),"")</f>
        <v>Informational</v>
      </c>
    </row>
    <row r="123" customFormat="false" ht="15" hidden="false" customHeight="true" outlineLevel="0" collapsed="false">
      <c r="A123" s="6" t="s">
        <v>6635</v>
      </c>
      <c r="B123" s="6" t="s">
        <v>316</v>
      </c>
      <c r="C123" s="6" t="n">
        <v>1</v>
      </c>
      <c r="D123" s="6" t="n">
        <v>2</v>
      </c>
      <c r="E123" s="6" t="n">
        <v>2</v>
      </c>
      <c r="F123" s="6" t="s">
        <v>6634</v>
      </c>
      <c r="G123" s="28" t="n">
        <f aca="false">IFERROR(INDEX('Semrush Data'!$A$1:$Z$20000,MATCH(A123,'Semrush Data'!$A$1:$A$20000,0),MATCH("Volume",'Semrush Data'!$A$1:$Z$1,0)),"")</f>
        <v>20</v>
      </c>
      <c r="H123" s="6" t="n">
        <f aca="false">IFERROR(INDEX('Semrush Data'!$A$1:$Z$20000,MATCH(A123,'Semrush Data'!$A$1:$A$20000,0),MATCH("Keyword Difficulty*",'Semrush Data'!$A$1:$Z$1,0)),"")</f>
        <v>15</v>
      </c>
      <c r="I123" s="29" t="n">
        <f aca="false">IFERROR(INDEX('Semrush Data'!$A$1:$Z$20000,MATCH(A123,'Semrush Data'!$A$1:$A$20000,0),MATCH("CPC*",'Semrush Data'!$A$1:$Z$1,0)),"")</f>
        <v>0.23</v>
      </c>
      <c r="J123" s="6" t="str">
        <f aca="false">IFERROR(INDEX('Semrush Data'!$A$1:$Z$20000,MATCH(A123,'Semrush Data'!$A$1:$A$20000,0),MATCH("Intent",'Semrush Data'!$A$1:$Z$1,0)),"")</f>
        <v>Informational</v>
      </c>
    </row>
    <row r="124" customFormat="false" ht="15" hidden="false" customHeight="true" outlineLevel="0" collapsed="false">
      <c r="A124" s="6" t="s">
        <v>338</v>
      </c>
      <c r="B124" s="6" t="s">
        <v>316</v>
      </c>
      <c r="C124" s="6" t="n">
        <v>1</v>
      </c>
      <c r="D124" s="6" t="n">
        <v>2</v>
      </c>
      <c r="E124" s="6" t="n">
        <v>3</v>
      </c>
      <c r="F124" s="6" t="s">
        <v>6636</v>
      </c>
      <c r="G124" s="28" t="n">
        <f aca="false">IFERROR(INDEX('Semrush Data'!$A$1:$Z$20000,MATCH(A124,'Semrush Data'!$A$1:$A$20000,0),MATCH("Volume",'Semrush Data'!$A$1:$Z$1,0)),"")</f>
        <v>5400</v>
      </c>
      <c r="H124" s="6" t="n">
        <f aca="false">IFERROR(INDEX('Semrush Data'!$A$1:$Z$20000,MATCH(A124,'Semrush Data'!$A$1:$A$20000,0),MATCH("Keyword Difficulty*",'Semrush Data'!$A$1:$Z$1,0)),"")</f>
        <v>16</v>
      </c>
      <c r="I124" s="29" t="n">
        <f aca="false">IFERROR(INDEX('Semrush Data'!$A$1:$Z$20000,MATCH(A124,'Semrush Data'!$A$1:$A$20000,0),MATCH("CPC*",'Semrush Data'!$A$1:$Z$1,0)),"")</f>
        <v>0.29</v>
      </c>
      <c r="J124" s="6" t="str">
        <f aca="false">IFERROR(INDEX('Semrush Data'!$A$1:$Z$20000,MATCH(A124,'Semrush Data'!$A$1:$A$20000,0),MATCH("Intent",'Semrush Data'!$A$1:$Z$1,0)),"")</f>
        <v>Informational Transactional</v>
      </c>
    </row>
    <row r="125" customFormat="false" ht="15" hidden="false" customHeight="true" outlineLevel="0" collapsed="false">
      <c r="A125" s="6" t="s">
        <v>6637</v>
      </c>
      <c r="B125" s="6" t="s">
        <v>316</v>
      </c>
      <c r="C125" s="6" t="n">
        <v>1</v>
      </c>
      <c r="D125" s="6" t="n">
        <v>2</v>
      </c>
      <c r="E125" s="6" t="n">
        <v>3</v>
      </c>
      <c r="F125" s="6" t="s">
        <v>6636</v>
      </c>
      <c r="G125" s="28" t="n">
        <f aca="false">IFERROR(INDEX('Semrush Data'!$A$1:$Z$20000,MATCH(A125,'Semrush Data'!$A$1:$A$20000,0),MATCH("Volume",'Semrush Data'!$A$1:$Z$1,0)),"")</f>
        <v>0</v>
      </c>
      <c r="H125" s="6" t="n">
        <f aca="false">IFERROR(INDEX('Semrush Data'!$A$1:$Z$20000,MATCH(A125,'Semrush Data'!$A$1:$A$20000,0),MATCH("Keyword Difficulty*",'Semrush Data'!$A$1:$Z$1,0)),"")</f>
        <v>12</v>
      </c>
      <c r="I125" s="29" t="n">
        <f aca="false">IFERROR(INDEX('Semrush Data'!$A$1:$Z$20000,MATCH(A125,'Semrush Data'!$A$1:$A$20000,0),MATCH("CPC*",'Semrush Data'!$A$1:$Z$1,0)),"")</f>
        <v>0.41</v>
      </c>
      <c r="J125" s="6" t="str">
        <f aca="false">IFERROR(INDEX('Semrush Data'!$A$1:$Z$20000,MATCH(A125,'Semrush Data'!$A$1:$A$20000,0),MATCH("Intent",'Semrush Data'!$A$1:$Z$1,0)),"")</f>
        <v>Informational Transactional</v>
      </c>
    </row>
    <row r="126" customFormat="false" ht="15" hidden="false" customHeight="true" outlineLevel="0" collapsed="false">
      <c r="A126" s="6" t="s">
        <v>6638</v>
      </c>
      <c r="B126" s="6" t="s">
        <v>316</v>
      </c>
      <c r="C126" s="6" t="n">
        <v>1</v>
      </c>
      <c r="D126" s="6" t="n">
        <v>2</v>
      </c>
      <c r="E126" s="6" t="n">
        <v>1</v>
      </c>
      <c r="F126" s="6" t="s">
        <v>5244</v>
      </c>
      <c r="G126" s="28" t="n">
        <f aca="false">IFERROR(INDEX('Semrush Data'!$A$1:$Z$20000,MATCH(A126,'Semrush Data'!$A$1:$A$20000,0),MATCH("Volume",'Semrush Data'!$A$1:$Z$1,0)),"")</f>
        <v>40</v>
      </c>
      <c r="H126" s="6" t="n">
        <f aca="false">IFERROR(INDEX('Semrush Data'!$A$1:$Z$20000,MATCH(A126,'Semrush Data'!$A$1:$A$20000,0),MATCH("Keyword Difficulty*",'Semrush Data'!$A$1:$Z$1,0)),"")</f>
        <v>12</v>
      </c>
      <c r="I126" s="29" t="n">
        <f aca="false">IFERROR(INDEX('Semrush Data'!$A$1:$Z$20000,MATCH(A126,'Semrush Data'!$A$1:$A$20000,0),MATCH("CPC*",'Semrush Data'!$A$1:$Z$1,0)),"")</f>
        <v>0.15</v>
      </c>
      <c r="J126" s="6" t="str">
        <f aca="false">IFERROR(INDEX('Semrush Data'!$A$1:$Z$20000,MATCH(A126,'Semrush Data'!$A$1:$A$20000,0),MATCH("Intent",'Semrush Data'!$A$1:$Z$1,0)),"")</f>
        <v>Informational</v>
      </c>
    </row>
    <row r="127" customFormat="false" ht="15" hidden="false" customHeight="true" outlineLevel="0" collapsed="false">
      <c r="A127" s="6" t="s">
        <v>6639</v>
      </c>
      <c r="B127" s="6" t="s">
        <v>316</v>
      </c>
      <c r="C127" s="6" t="n">
        <v>1</v>
      </c>
      <c r="D127" s="6" t="n">
        <v>2</v>
      </c>
      <c r="E127" s="6" t="n">
        <v>1</v>
      </c>
      <c r="F127" s="6" t="s">
        <v>5244</v>
      </c>
      <c r="G127" s="28" t="n">
        <f aca="false">IFERROR(INDEX('Semrush Data'!$A$1:$Z$20000,MATCH(A127,'Semrush Data'!$A$1:$A$20000,0),MATCH("Volume",'Semrush Data'!$A$1:$Z$1,0)),"")</f>
        <v>20</v>
      </c>
      <c r="H127" s="6" t="n">
        <f aca="false">IFERROR(INDEX('Semrush Data'!$A$1:$Z$20000,MATCH(A127,'Semrush Data'!$A$1:$A$20000,0),MATCH("Keyword Difficulty*",'Semrush Data'!$A$1:$Z$1,0)),"")</f>
        <v>9</v>
      </c>
      <c r="I127" s="29" t="n">
        <f aca="false">IFERROR(INDEX('Semrush Data'!$A$1:$Z$20000,MATCH(A127,'Semrush Data'!$A$1:$A$20000,0),MATCH("CPC*",'Semrush Data'!$A$1:$Z$1,0)),"")</f>
        <v>0</v>
      </c>
      <c r="J127" s="6" t="str">
        <f aca="false">IFERROR(INDEX('Semrush Data'!$A$1:$Z$20000,MATCH(A127,'Semrush Data'!$A$1:$A$20000,0),MATCH("Intent",'Semrush Data'!$A$1:$Z$1,0)),"")</f>
        <v>Informational</v>
      </c>
    </row>
    <row r="128" customFormat="false" ht="15" hidden="false" customHeight="true" outlineLevel="0" collapsed="false">
      <c r="A128" s="6" t="s">
        <v>6640</v>
      </c>
      <c r="B128" s="6" t="s">
        <v>316</v>
      </c>
      <c r="C128" s="6" t="n">
        <v>1</v>
      </c>
      <c r="D128" s="6" t="n">
        <v>2</v>
      </c>
      <c r="E128" s="6" t="n">
        <v>8</v>
      </c>
      <c r="F128" s="6" t="s">
        <v>6641</v>
      </c>
      <c r="G128" s="28" t="n">
        <f aca="false">IFERROR(INDEX('Semrush Data'!$A$1:$Z$20000,MATCH(A128,'Semrush Data'!$A$1:$A$20000,0),MATCH("Volume",'Semrush Data'!$A$1:$Z$1,0)),"")</f>
        <v>20</v>
      </c>
      <c r="H128" s="6" t="n">
        <f aca="false">IFERROR(INDEX('Semrush Data'!$A$1:$Z$20000,MATCH(A128,'Semrush Data'!$A$1:$A$20000,0),MATCH("Keyword Difficulty*",'Semrush Data'!$A$1:$Z$1,0)),"")</f>
        <v>9</v>
      </c>
      <c r="I128" s="29" t="n">
        <f aca="false">IFERROR(INDEX('Semrush Data'!$A$1:$Z$20000,MATCH(A128,'Semrush Data'!$A$1:$A$20000,0),MATCH("CPC*",'Semrush Data'!$A$1:$Z$1,0)),"")</f>
        <v>0</v>
      </c>
      <c r="J128" s="6" t="str">
        <f aca="false">IFERROR(INDEX('Semrush Data'!$A$1:$Z$20000,MATCH(A128,'Semrush Data'!$A$1:$A$20000,0),MATCH("Intent",'Semrush Data'!$A$1:$Z$1,0)),"")</f>
        <v>Navigational</v>
      </c>
    </row>
    <row r="129" customFormat="false" ht="15" hidden="false" customHeight="true" outlineLevel="0" collapsed="false">
      <c r="A129" s="6" t="s">
        <v>6642</v>
      </c>
      <c r="B129" s="6" t="s">
        <v>316</v>
      </c>
      <c r="C129" s="6" t="n">
        <v>1</v>
      </c>
      <c r="D129" s="6" t="n">
        <v>2</v>
      </c>
      <c r="E129" s="6" t="n">
        <v>4</v>
      </c>
      <c r="F129" s="6" t="s">
        <v>6643</v>
      </c>
      <c r="G129" s="28" t="n">
        <f aca="false">IFERROR(INDEX('Semrush Data'!$A$1:$Z$20000,MATCH(A129,'Semrush Data'!$A$1:$A$20000,0),MATCH("Volume",'Semrush Data'!$A$1:$Z$1,0)),"")</f>
        <v>40</v>
      </c>
      <c r="H129" s="6" t="n">
        <f aca="false">IFERROR(INDEX('Semrush Data'!$A$1:$Z$20000,MATCH(A129,'Semrush Data'!$A$1:$A$20000,0),MATCH("Keyword Difficulty*",'Semrush Data'!$A$1:$Z$1,0)),"")</f>
        <v>25</v>
      </c>
      <c r="I129" s="29" t="n">
        <f aca="false">IFERROR(INDEX('Semrush Data'!$A$1:$Z$20000,MATCH(A129,'Semrush Data'!$A$1:$A$20000,0),MATCH("CPC*",'Semrush Data'!$A$1:$Z$1,0)),"")</f>
        <v>0.69</v>
      </c>
      <c r="J129" s="6" t="str">
        <f aca="false">IFERROR(INDEX('Semrush Data'!$A$1:$Z$20000,MATCH(A129,'Semrush Data'!$A$1:$A$20000,0),MATCH("Intent",'Semrush Data'!$A$1:$Z$1,0)),"")</f>
        <v>Informational Commercial</v>
      </c>
    </row>
    <row r="130" customFormat="false" ht="15" hidden="false" customHeight="true" outlineLevel="0" collapsed="false">
      <c r="A130" s="6" t="s">
        <v>323</v>
      </c>
      <c r="B130" s="6" t="s">
        <v>316</v>
      </c>
      <c r="C130" s="6" t="n">
        <v>1</v>
      </c>
      <c r="D130" s="6" t="n">
        <v>2</v>
      </c>
      <c r="E130" s="6" t="n">
        <v>2</v>
      </c>
      <c r="F130" s="6" t="s">
        <v>6644</v>
      </c>
      <c r="G130" s="28" t="n">
        <f aca="false">IFERROR(INDEX('Semrush Data'!$A$1:$Z$20000,MATCH(A130,'Semrush Data'!$A$1:$A$20000,0),MATCH("Volume",'Semrush Data'!$A$1:$Z$1,0)),"")</f>
        <v>22200</v>
      </c>
      <c r="H130" s="6" t="n">
        <f aca="false">IFERROR(INDEX('Semrush Data'!$A$1:$Z$20000,MATCH(A130,'Semrush Data'!$A$1:$A$20000,0),MATCH("Keyword Difficulty*",'Semrush Data'!$A$1:$Z$1,0)),"")</f>
        <v>36</v>
      </c>
      <c r="I130" s="29" t="n">
        <f aca="false">IFERROR(INDEX('Semrush Data'!$A$1:$Z$20000,MATCH(A130,'Semrush Data'!$A$1:$A$20000,0),MATCH("CPC*",'Semrush Data'!$A$1:$Z$1,0)),"")</f>
        <v>0.44</v>
      </c>
      <c r="J130" s="6" t="str">
        <f aca="false">IFERROR(INDEX('Semrush Data'!$A$1:$Z$20000,MATCH(A130,'Semrush Data'!$A$1:$A$20000,0),MATCH("Intent",'Semrush Data'!$A$1:$Z$1,0)),"")</f>
        <v>Informational</v>
      </c>
    </row>
    <row r="131" customFormat="false" ht="15" hidden="false" customHeight="true" outlineLevel="0" collapsed="false">
      <c r="A131" s="6" t="s">
        <v>6645</v>
      </c>
      <c r="B131" s="6" t="s">
        <v>316</v>
      </c>
      <c r="C131" s="6" t="n">
        <v>1</v>
      </c>
      <c r="D131" s="6" t="n">
        <v>2</v>
      </c>
      <c r="E131" s="6" t="n">
        <v>2</v>
      </c>
      <c r="F131" s="6" t="s">
        <v>6644</v>
      </c>
      <c r="G131" s="28" t="n">
        <f aca="false">IFERROR(INDEX('Semrush Data'!$A$1:$Z$20000,MATCH(A131,'Semrush Data'!$A$1:$A$20000,0),MATCH("Volume",'Semrush Data'!$A$1:$Z$1,0)),"")</f>
        <v>720</v>
      </c>
      <c r="H131" s="6" t="n">
        <f aca="false">IFERROR(INDEX('Semrush Data'!$A$1:$Z$20000,MATCH(A131,'Semrush Data'!$A$1:$A$20000,0),MATCH("Keyword Difficulty*",'Semrush Data'!$A$1:$Z$1,0)),"")</f>
        <v>28</v>
      </c>
      <c r="I131" s="29" t="n">
        <f aca="false">IFERROR(INDEX('Semrush Data'!$A$1:$Z$20000,MATCH(A131,'Semrush Data'!$A$1:$A$20000,0),MATCH("CPC*",'Semrush Data'!$A$1:$Z$1,0)),"")</f>
        <v>0.39</v>
      </c>
      <c r="J131" s="6" t="str">
        <f aca="false">IFERROR(INDEX('Semrush Data'!$A$1:$Z$20000,MATCH(A131,'Semrush Data'!$A$1:$A$20000,0),MATCH("Intent",'Semrush Data'!$A$1:$Z$1,0)),"")</f>
        <v>Transactional</v>
      </c>
    </row>
    <row r="132" customFormat="false" ht="15" hidden="false" customHeight="true" outlineLevel="0" collapsed="false">
      <c r="A132" s="6" t="s">
        <v>6646</v>
      </c>
      <c r="B132" s="6" t="s">
        <v>316</v>
      </c>
      <c r="C132" s="6" t="n">
        <v>1</v>
      </c>
      <c r="D132" s="6" t="n">
        <v>2</v>
      </c>
      <c r="E132" s="6" t="n">
        <v>1</v>
      </c>
      <c r="F132" s="6" t="s">
        <v>4237</v>
      </c>
      <c r="G132" s="28" t="n">
        <f aca="false">IFERROR(INDEX('Semrush Data'!$A$1:$Z$20000,MATCH(A132,'Semrush Data'!$A$1:$A$20000,0),MATCH("Volume",'Semrush Data'!$A$1:$Z$1,0)),"")</f>
        <v>0</v>
      </c>
      <c r="H132" s="6" t="n">
        <f aca="false">IFERROR(INDEX('Semrush Data'!$A$1:$Z$20000,MATCH(A132,'Semrush Data'!$A$1:$A$20000,0),MATCH("Keyword Difficulty*",'Semrush Data'!$A$1:$Z$1,0)),"")</f>
        <v>15</v>
      </c>
      <c r="I132" s="29" t="n">
        <f aca="false">IFERROR(INDEX('Semrush Data'!$A$1:$Z$20000,MATCH(A132,'Semrush Data'!$A$1:$A$20000,0),MATCH("CPC*",'Semrush Data'!$A$1:$Z$1,0)),"")</f>
        <v>0</v>
      </c>
      <c r="J132" s="6" t="str">
        <f aca="false">IFERROR(INDEX('Semrush Data'!$A$1:$Z$20000,MATCH(A132,'Semrush Data'!$A$1:$A$20000,0),MATCH("Intent",'Semrush Data'!$A$1:$Z$1,0)),"")</f>
        <v>Informational</v>
      </c>
    </row>
    <row r="133" customFormat="false" ht="15" hidden="false" customHeight="true" outlineLevel="0" collapsed="false">
      <c r="A133" s="6" t="s">
        <v>349</v>
      </c>
      <c r="B133" s="6" t="s">
        <v>316</v>
      </c>
      <c r="C133" s="6" t="n">
        <v>1</v>
      </c>
      <c r="D133" s="6" t="n">
        <v>2</v>
      </c>
      <c r="E133" s="6" t="n">
        <v>2</v>
      </c>
      <c r="F133" s="6" t="s">
        <v>6647</v>
      </c>
      <c r="G133" s="28" t="n">
        <f aca="false">IFERROR(INDEX('Semrush Data'!$A$1:$Z$20000,MATCH(A133,'Semrush Data'!$A$1:$A$20000,0),MATCH("Volume",'Semrush Data'!$A$1:$Z$1,0)),"")</f>
        <v>1300</v>
      </c>
      <c r="H133" s="6" t="n">
        <f aca="false">IFERROR(INDEX('Semrush Data'!$A$1:$Z$20000,MATCH(A133,'Semrush Data'!$A$1:$A$20000,0),MATCH("Keyword Difficulty*",'Semrush Data'!$A$1:$Z$1,0)),"")</f>
        <v>22</v>
      </c>
      <c r="I133" s="29" t="n">
        <f aca="false">IFERROR(INDEX('Semrush Data'!$A$1:$Z$20000,MATCH(A133,'Semrush Data'!$A$1:$A$20000,0),MATCH("CPC*",'Semrush Data'!$A$1:$Z$1,0)),"")</f>
        <v>0.22</v>
      </c>
      <c r="J133" s="6" t="str">
        <f aca="false">IFERROR(INDEX('Semrush Data'!$A$1:$Z$20000,MATCH(A133,'Semrush Data'!$A$1:$A$20000,0),MATCH("Intent",'Semrush Data'!$A$1:$Z$1,0)),"")</f>
        <v>Informational</v>
      </c>
    </row>
    <row r="134" customFormat="false" ht="15" hidden="false" customHeight="true" outlineLevel="0" collapsed="false">
      <c r="A134" s="6" t="s">
        <v>321</v>
      </c>
      <c r="B134" s="6" t="s">
        <v>316</v>
      </c>
      <c r="C134" s="6" t="n">
        <v>1</v>
      </c>
      <c r="D134" s="6" t="n">
        <v>2</v>
      </c>
      <c r="E134" s="6" t="n">
        <v>7</v>
      </c>
      <c r="F134" s="6" t="s">
        <v>6648</v>
      </c>
      <c r="G134" s="28" t="n">
        <f aca="false">IFERROR(INDEX('Semrush Data'!$A$1:$Z$20000,MATCH(A134,'Semrush Data'!$A$1:$A$20000,0),MATCH("Volume",'Semrush Data'!$A$1:$Z$1,0)),"")</f>
        <v>27100</v>
      </c>
      <c r="H134" s="6" t="n">
        <f aca="false">IFERROR(INDEX('Semrush Data'!$A$1:$Z$20000,MATCH(A134,'Semrush Data'!$A$1:$A$20000,0),MATCH("Keyword Difficulty*",'Semrush Data'!$A$1:$Z$1,0)),"")</f>
        <v>22</v>
      </c>
      <c r="I134" s="29" t="n">
        <f aca="false">IFERROR(INDEX('Semrush Data'!$A$1:$Z$20000,MATCH(A134,'Semrush Data'!$A$1:$A$20000,0),MATCH("CPC*",'Semrush Data'!$A$1:$Z$1,0)),"")</f>
        <v>0.32</v>
      </c>
      <c r="J134" s="6" t="str">
        <f aca="false">IFERROR(INDEX('Semrush Data'!$A$1:$Z$20000,MATCH(A134,'Semrush Data'!$A$1:$A$20000,0),MATCH("Intent",'Semrush Data'!$A$1:$Z$1,0)),"")</f>
        <v>Informational</v>
      </c>
    </row>
    <row r="135" customFormat="false" ht="15" hidden="false" customHeight="true" outlineLevel="0" collapsed="false">
      <c r="A135" s="6" t="s">
        <v>6649</v>
      </c>
      <c r="B135" s="6" t="s">
        <v>316</v>
      </c>
      <c r="C135" s="6" t="n">
        <v>1</v>
      </c>
      <c r="D135" s="6" t="n">
        <v>2</v>
      </c>
      <c r="E135" s="6" t="n">
        <v>7</v>
      </c>
      <c r="F135" s="6" t="s">
        <v>6648</v>
      </c>
      <c r="G135" s="28" t="n">
        <f aca="false">IFERROR(INDEX('Semrush Data'!$A$1:$Z$20000,MATCH(A135,'Semrush Data'!$A$1:$A$20000,0),MATCH("Volume",'Semrush Data'!$A$1:$Z$1,0)),"")</f>
        <v>70</v>
      </c>
      <c r="H135" s="6" t="n">
        <f aca="false">IFERROR(INDEX('Semrush Data'!$A$1:$Z$20000,MATCH(A135,'Semrush Data'!$A$1:$A$20000,0),MATCH("Keyword Difficulty*",'Semrush Data'!$A$1:$Z$1,0)),"")</f>
        <v>26</v>
      </c>
      <c r="I135" s="29" t="n">
        <f aca="false">IFERROR(INDEX('Semrush Data'!$A$1:$Z$20000,MATCH(A135,'Semrush Data'!$A$1:$A$20000,0),MATCH("CPC*",'Semrush Data'!$A$1:$Z$1,0)),"")</f>
        <v>0.31</v>
      </c>
      <c r="J135" s="6" t="str">
        <f aca="false">IFERROR(INDEX('Semrush Data'!$A$1:$Z$20000,MATCH(A135,'Semrush Data'!$A$1:$A$20000,0),MATCH("Intent",'Semrush Data'!$A$1:$Z$1,0)),"")</f>
        <v>Informational</v>
      </c>
    </row>
    <row r="136" customFormat="false" ht="15" hidden="false" customHeight="true" outlineLevel="0" collapsed="false">
      <c r="A136" s="6" t="s">
        <v>341</v>
      </c>
      <c r="B136" s="6" t="s">
        <v>316</v>
      </c>
      <c r="C136" s="6" t="n">
        <v>1</v>
      </c>
      <c r="D136" s="6" t="n">
        <v>2</v>
      </c>
      <c r="E136" s="6" t="n">
        <v>2</v>
      </c>
      <c r="F136" s="6" t="s">
        <v>6650</v>
      </c>
      <c r="G136" s="28" t="n">
        <f aca="false">IFERROR(INDEX('Semrush Data'!$A$1:$Z$20000,MATCH(A136,'Semrush Data'!$A$1:$A$20000,0),MATCH("Volume",'Semrush Data'!$A$1:$Z$1,0)),"")</f>
        <v>3600</v>
      </c>
      <c r="H136" s="6" t="n">
        <f aca="false">IFERROR(INDEX('Semrush Data'!$A$1:$Z$20000,MATCH(A136,'Semrush Data'!$A$1:$A$20000,0),MATCH("Keyword Difficulty*",'Semrush Data'!$A$1:$Z$1,0)),"")</f>
        <v>25</v>
      </c>
      <c r="I136" s="29" t="n">
        <f aca="false">IFERROR(INDEX('Semrush Data'!$A$1:$Z$20000,MATCH(A136,'Semrush Data'!$A$1:$A$20000,0),MATCH("CPC*",'Semrush Data'!$A$1:$Z$1,0)),"")</f>
        <v>0.3</v>
      </c>
      <c r="J136" s="6" t="str">
        <f aca="false">IFERROR(INDEX('Semrush Data'!$A$1:$Z$20000,MATCH(A136,'Semrush Data'!$A$1:$A$20000,0),MATCH("Intent",'Semrush Data'!$A$1:$Z$1,0)),"")</f>
        <v>Informational</v>
      </c>
    </row>
    <row r="137" customFormat="false" ht="15" hidden="false" customHeight="true" outlineLevel="0" collapsed="false">
      <c r="A137" s="6" t="s">
        <v>6651</v>
      </c>
      <c r="B137" s="6" t="s">
        <v>316</v>
      </c>
      <c r="C137" s="6" t="n">
        <v>1</v>
      </c>
      <c r="D137" s="6" t="n">
        <v>2</v>
      </c>
      <c r="E137" s="6" t="n">
        <v>1</v>
      </c>
      <c r="F137" s="6" t="s">
        <v>5516</v>
      </c>
      <c r="G137" s="28" t="n">
        <f aca="false">IFERROR(INDEX('Semrush Data'!$A$1:$Z$20000,MATCH(A137,'Semrush Data'!$A$1:$A$20000,0),MATCH("Volume",'Semrush Data'!$A$1:$Z$1,0)),"")</f>
        <v>0</v>
      </c>
      <c r="H137" s="6" t="n">
        <f aca="false">IFERROR(INDEX('Semrush Data'!$A$1:$Z$20000,MATCH(A137,'Semrush Data'!$A$1:$A$20000,0),MATCH("Keyword Difficulty*",'Semrush Data'!$A$1:$Z$1,0)),"")</f>
        <v>11</v>
      </c>
      <c r="I137" s="29" t="n">
        <f aca="false">IFERROR(INDEX('Semrush Data'!$A$1:$Z$20000,MATCH(A137,'Semrush Data'!$A$1:$A$20000,0),MATCH("CPC*",'Semrush Data'!$A$1:$Z$1,0)),"")</f>
        <v>0.28</v>
      </c>
      <c r="J137" s="6" t="str">
        <f aca="false">IFERROR(INDEX('Semrush Data'!$A$1:$Z$20000,MATCH(A137,'Semrush Data'!$A$1:$A$20000,0),MATCH("Intent",'Semrush Data'!$A$1:$Z$1,0)),"")</f>
        <v>Commercial</v>
      </c>
    </row>
    <row r="138" customFormat="false" ht="15" hidden="false" customHeight="true" outlineLevel="0" collapsed="false">
      <c r="A138" s="6" t="s">
        <v>6652</v>
      </c>
      <c r="B138" s="6" t="s">
        <v>316</v>
      </c>
      <c r="C138" s="6" t="n">
        <v>1</v>
      </c>
      <c r="D138" s="6" t="n">
        <v>2</v>
      </c>
      <c r="E138" s="6" t="n">
        <v>1</v>
      </c>
      <c r="F138" s="6" t="s">
        <v>5807</v>
      </c>
      <c r="G138" s="28" t="n">
        <f aca="false">IFERROR(INDEX('Semrush Data'!$A$1:$Z$20000,MATCH(A138,'Semrush Data'!$A$1:$A$20000,0),MATCH("Volume",'Semrush Data'!$A$1:$Z$1,0)),"")</f>
        <v>20</v>
      </c>
      <c r="H138" s="6" t="n">
        <f aca="false">IFERROR(INDEX('Semrush Data'!$A$1:$Z$20000,MATCH(A138,'Semrush Data'!$A$1:$A$20000,0),MATCH("Keyword Difficulty*",'Semrush Data'!$A$1:$Z$1,0)),"")</f>
        <v>22</v>
      </c>
      <c r="I138" s="29" t="n">
        <f aca="false">IFERROR(INDEX('Semrush Data'!$A$1:$Z$20000,MATCH(A138,'Semrush Data'!$A$1:$A$20000,0),MATCH("CPC*",'Semrush Data'!$A$1:$Z$1,0)),"")</f>
        <v>0.63</v>
      </c>
      <c r="J138" s="6" t="str">
        <f aca="false">IFERROR(INDEX('Semrush Data'!$A$1:$Z$20000,MATCH(A138,'Semrush Data'!$A$1:$A$20000,0),MATCH("Intent",'Semrush Data'!$A$1:$Z$1,0)),"")</f>
        <v>Informational</v>
      </c>
    </row>
    <row r="139" customFormat="false" ht="15" hidden="false" customHeight="true" outlineLevel="0" collapsed="false">
      <c r="A139" s="6" t="s">
        <v>339</v>
      </c>
      <c r="B139" s="6" t="s">
        <v>316</v>
      </c>
      <c r="C139" s="6" t="n">
        <v>1</v>
      </c>
      <c r="D139" s="6" t="n">
        <v>2</v>
      </c>
      <c r="E139" s="6" t="n">
        <v>4</v>
      </c>
      <c r="F139" s="6" t="s">
        <v>6653</v>
      </c>
      <c r="G139" s="28" t="n">
        <f aca="false">IFERROR(INDEX('Semrush Data'!$A$1:$Z$20000,MATCH(A139,'Semrush Data'!$A$1:$A$20000,0),MATCH("Volume",'Semrush Data'!$A$1:$Z$1,0)),"")</f>
        <v>5400</v>
      </c>
      <c r="H139" s="6" t="n">
        <f aca="false">IFERROR(INDEX('Semrush Data'!$A$1:$Z$20000,MATCH(A139,'Semrush Data'!$A$1:$A$20000,0),MATCH("Keyword Difficulty*",'Semrush Data'!$A$1:$Z$1,0)),"")</f>
        <v>24</v>
      </c>
      <c r="I139" s="29" t="n">
        <f aca="false">IFERROR(INDEX('Semrush Data'!$A$1:$Z$20000,MATCH(A139,'Semrush Data'!$A$1:$A$20000,0),MATCH("CPC*",'Semrush Data'!$A$1:$Z$1,0)),"")</f>
        <v>0.37</v>
      </c>
      <c r="J139" s="6" t="str">
        <f aca="false">IFERROR(INDEX('Semrush Data'!$A$1:$Z$20000,MATCH(A139,'Semrush Data'!$A$1:$A$20000,0),MATCH("Intent",'Semrush Data'!$A$1:$Z$1,0)),"")</f>
        <v>Informational Transactional</v>
      </c>
    </row>
    <row r="140" customFormat="false" ht="15" hidden="false" customHeight="true" outlineLevel="0" collapsed="false">
      <c r="A140" s="6" t="s">
        <v>6654</v>
      </c>
      <c r="B140" s="6" t="s">
        <v>316</v>
      </c>
      <c r="C140" s="6" t="n">
        <v>1</v>
      </c>
      <c r="D140" s="6" t="n">
        <v>2</v>
      </c>
      <c r="E140" s="6" t="n">
        <v>4</v>
      </c>
      <c r="F140" s="6" t="s">
        <v>6653</v>
      </c>
      <c r="G140" s="28" t="n">
        <f aca="false">IFERROR(INDEX('Semrush Data'!$A$1:$Z$20000,MATCH(A140,'Semrush Data'!$A$1:$A$20000,0),MATCH("Volume",'Semrush Data'!$A$1:$Z$1,0)),"")</f>
        <v>20</v>
      </c>
      <c r="H140" s="6" t="n">
        <f aca="false">IFERROR(INDEX('Semrush Data'!$A$1:$Z$20000,MATCH(A140,'Semrush Data'!$A$1:$A$20000,0),MATCH("Keyword Difficulty*",'Semrush Data'!$A$1:$Z$1,0)),"")</f>
        <v>16</v>
      </c>
      <c r="I140" s="29" t="n">
        <f aca="false">IFERROR(INDEX('Semrush Data'!$A$1:$Z$20000,MATCH(A140,'Semrush Data'!$A$1:$A$20000,0),MATCH("CPC*",'Semrush Data'!$A$1:$Z$1,0)),"")</f>
        <v>0</v>
      </c>
      <c r="J140" s="6" t="str">
        <f aca="false">IFERROR(INDEX('Semrush Data'!$A$1:$Z$20000,MATCH(A140,'Semrush Data'!$A$1:$A$20000,0),MATCH("Intent",'Semrush Data'!$A$1:$Z$1,0)),"")</f>
        <v>Informational</v>
      </c>
    </row>
    <row r="141" customFormat="false" ht="15" hidden="false" customHeight="true" outlineLevel="0" collapsed="false">
      <c r="A141" s="6" t="s">
        <v>6655</v>
      </c>
      <c r="B141" s="6" t="s">
        <v>316</v>
      </c>
      <c r="C141" s="6" t="n">
        <v>1</v>
      </c>
      <c r="D141" s="6" t="n">
        <v>2</v>
      </c>
      <c r="E141" s="6" t="n">
        <v>4</v>
      </c>
      <c r="F141" s="6" t="s">
        <v>6656</v>
      </c>
      <c r="G141" s="28" t="n">
        <f aca="false">IFERROR(INDEX('Semrush Data'!$A$1:$Z$20000,MATCH(A141,'Semrush Data'!$A$1:$A$20000,0),MATCH("Volume",'Semrush Data'!$A$1:$Z$1,0)),"")</f>
        <v>30</v>
      </c>
      <c r="H141" s="6" t="n">
        <f aca="false">IFERROR(INDEX('Semrush Data'!$A$1:$Z$20000,MATCH(A141,'Semrush Data'!$A$1:$A$20000,0),MATCH("Keyword Difficulty*",'Semrush Data'!$A$1:$Z$1,0)),"")</f>
        <v>5</v>
      </c>
      <c r="I141" s="29" t="n">
        <f aca="false">IFERROR(INDEX('Semrush Data'!$A$1:$Z$20000,MATCH(A141,'Semrush Data'!$A$1:$A$20000,0),MATCH("CPC*",'Semrush Data'!$A$1:$Z$1,0)),"")</f>
        <v>0.54</v>
      </c>
      <c r="J141" s="6" t="str">
        <f aca="false">IFERROR(INDEX('Semrush Data'!$A$1:$Z$20000,MATCH(A141,'Semrush Data'!$A$1:$A$20000,0),MATCH("Intent",'Semrush Data'!$A$1:$Z$1,0)),"")</f>
        <v>Informational</v>
      </c>
    </row>
    <row r="142" customFormat="false" ht="15" hidden="false" customHeight="true" outlineLevel="0" collapsed="false">
      <c r="A142" s="6" t="s">
        <v>6657</v>
      </c>
      <c r="B142" s="6" t="s">
        <v>316</v>
      </c>
      <c r="C142" s="6" t="n">
        <v>1</v>
      </c>
      <c r="D142" s="6" t="n">
        <v>2</v>
      </c>
      <c r="E142" s="6" t="n">
        <v>1</v>
      </c>
      <c r="F142" s="6" t="s">
        <v>5516</v>
      </c>
      <c r="G142" s="28" t="n">
        <f aca="false">IFERROR(INDEX('Semrush Data'!$A$1:$Z$20000,MATCH(A142,'Semrush Data'!$A$1:$A$20000,0),MATCH("Volume",'Semrush Data'!$A$1:$Z$1,0)),"")</f>
        <v>50</v>
      </c>
      <c r="H142" s="6" t="n">
        <f aca="false">IFERROR(INDEX('Semrush Data'!$A$1:$Z$20000,MATCH(A142,'Semrush Data'!$A$1:$A$20000,0),MATCH("Keyword Difficulty*",'Semrush Data'!$A$1:$Z$1,0)),"")</f>
        <v>19</v>
      </c>
      <c r="I142" s="29" t="n">
        <f aca="false">IFERROR(INDEX('Semrush Data'!$A$1:$Z$20000,MATCH(A142,'Semrush Data'!$A$1:$A$20000,0),MATCH("CPC*",'Semrush Data'!$A$1:$Z$1,0)),"")</f>
        <v>0.35</v>
      </c>
      <c r="J142" s="6" t="str">
        <f aca="false">IFERROR(INDEX('Semrush Data'!$A$1:$Z$20000,MATCH(A142,'Semrush Data'!$A$1:$A$20000,0),MATCH("Intent",'Semrush Data'!$A$1:$Z$1,0)),"")</f>
        <v>Informational Commercial</v>
      </c>
    </row>
    <row r="143" customFormat="false" ht="15" hidden="false" customHeight="true" outlineLevel="0" collapsed="false">
      <c r="A143" s="6" t="s">
        <v>6658</v>
      </c>
      <c r="B143" s="6" t="s">
        <v>316</v>
      </c>
      <c r="C143" s="6" t="n">
        <v>1</v>
      </c>
      <c r="D143" s="6" t="n">
        <v>2</v>
      </c>
      <c r="E143" s="6" t="n">
        <v>13</v>
      </c>
      <c r="F143" s="6" t="s">
        <v>6659</v>
      </c>
      <c r="G143" s="28" t="n">
        <f aca="false">IFERROR(INDEX('Semrush Data'!$A$1:$Z$20000,MATCH(A143,'Semrush Data'!$A$1:$A$20000,0),MATCH("Volume",'Semrush Data'!$A$1:$Z$1,0)),"")</f>
        <v>170</v>
      </c>
      <c r="H143" s="6" t="n">
        <f aca="false">IFERROR(INDEX('Semrush Data'!$A$1:$Z$20000,MATCH(A143,'Semrush Data'!$A$1:$A$20000,0),MATCH("Keyword Difficulty*",'Semrush Data'!$A$1:$Z$1,0)),"")</f>
        <v>63</v>
      </c>
      <c r="I143" s="29" t="n">
        <f aca="false">IFERROR(INDEX('Semrush Data'!$A$1:$Z$20000,MATCH(A143,'Semrush Data'!$A$1:$A$20000,0),MATCH("CPC*",'Semrush Data'!$A$1:$Z$1,0)),"")</f>
        <v>0.58</v>
      </c>
      <c r="J143" s="6" t="str">
        <f aca="false">IFERROR(INDEX('Semrush Data'!$A$1:$Z$20000,MATCH(A143,'Semrush Data'!$A$1:$A$20000,0),MATCH("Intent",'Semrush Data'!$A$1:$Z$1,0)),"")</f>
        <v>Informational</v>
      </c>
    </row>
    <row r="144" customFormat="false" ht="15" hidden="false" customHeight="true" outlineLevel="0" collapsed="false">
      <c r="A144" s="6" t="s">
        <v>6660</v>
      </c>
      <c r="B144" s="6" t="s">
        <v>316</v>
      </c>
      <c r="C144" s="6" t="n">
        <v>1</v>
      </c>
      <c r="D144" s="6" t="n">
        <v>2</v>
      </c>
      <c r="E144" s="6" t="n">
        <v>1</v>
      </c>
      <c r="F144" s="6" t="s">
        <v>73</v>
      </c>
      <c r="G144" s="28" t="n">
        <f aca="false">IFERROR(INDEX('Semrush Data'!$A$1:$Z$20000,MATCH(A144,'Semrush Data'!$A$1:$A$20000,0),MATCH("Volume",'Semrush Data'!$A$1:$Z$1,0)),"")</f>
        <v>90</v>
      </c>
      <c r="H144" s="6" t="n">
        <f aca="false">IFERROR(INDEX('Semrush Data'!$A$1:$Z$20000,MATCH(A144,'Semrush Data'!$A$1:$A$20000,0),MATCH("Keyword Difficulty*",'Semrush Data'!$A$1:$Z$1,0)),"")</f>
        <v>13</v>
      </c>
      <c r="I144" s="29" t="n">
        <f aca="false">IFERROR(INDEX('Semrush Data'!$A$1:$Z$20000,MATCH(A144,'Semrush Data'!$A$1:$A$20000,0),MATCH("CPC*",'Semrush Data'!$A$1:$Z$1,0)),"")</f>
        <v>0.48</v>
      </c>
      <c r="J144" s="6" t="str">
        <f aca="false">IFERROR(INDEX('Semrush Data'!$A$1:$Z$20000,MATCH(A144,'Semrush Data'!$A$1:$A$20000,0),MATCH("Intent",'Semrush Data'!$A$1:$Z$1,0)),"")</f>
        <v>Informational</v>
      </c>
    </row>
    <row r="145" customFormat="false" ht="15" hidden="false" customHeight="true" outlineLevel="0" collapsed="false">
      <c r="A145" s="6" t="s">
        <v>6661</v>
      </c>
      <c r="B145" s="6" t="s">
        <v>316</v>
      </c>
      <c r="C145" s="6" t="n">
        <v>1</v>
      </c>
      <c r="D145" s="6" t="n">
        <v>2</v>
      </c>
      <c r="E145" s="6" t="n">
        <v>1</v>
      </c>
      <c r="F145" s="6" t="s">
        <v>73</v>
      </c>
      <c r="G145" s="28" t="n">
        <f aca="false">IFERROR(INDEX('Semrush Data'!$A$1:$Z$20000,MATCH(A145,'Semrush Data'!$A$1:$A$20000,0),MATCH("Volume",'Semrush Data'!$A$1:$Z$1,0)),"")</f>
        <v>0</v>
      </c>
      <c r="H145" s="6" t="n">
        <f aca="false">IFERROR(INDEX('Semrush Data'!$A$1:$Z$20000,MATCH(A145,'Semrush Data'!$A$1:$A$20000,0),MATCH("Keyword Difficulty*",'Semrush Data'!$A$1:$Z$1,0)),"")</f>
        <v>16</v>
      </c>
      <c r="I145" s="29" t="n">
        <f aca="false">IFERROR(INDEX('Semrush Data'!$A$1:$Z$20000,MATCH(A145,'Semrush Data'!$A$1:$A$20000,0),MATCH("CPC*",'Semrush Data'!$A$1:$Z$1,0)),"")</f>
        <v>0</v>
      </c>
      <c r="J145" s="6" t="str">
        <f aca="false">IFERROR(INDEX('Semrush Data'!$A$1:$Z$20000,MATCH(A145,'Semrush Data'!$A$1:$A$20000,0),MATCH("Intent",'Semrush Data'!$A$1:$Z$1,0)),"")</f>
        <v>Informational</v>
      </c>
    </row>
    <row r="146" customFormat="false" ht="15" hidden="false" customHeight="true" outlineLevel="0" collapsed="false">
      <c r="A146" s="6" t="s">
        <v>6662</v>
      </c>
      <c r="B146" s="6" t="s">
        <v>316</v>
      </c>
      <c r="C146" s="6" t="n">
        <v>1</v>
      </c>
      <c r="D146" s="6" t="n">
        <v>2</v>
      </c>
      <c r="E146" s="6" t="n">
        <v>3</v>
      </c>
      <c r="F146" s="6" t="s">
        <v>6663</v>
      </c>
      <c r="G146" s="28" t="n">
        <f aca="false">IFERROR(INDEX('Semrush Data'!$A$1:$Z$20000,MATCH(A146,'Semrush Data'!$A$1:$A$20000,0),MATCH("Volume",'Semrush Data'!$A$1:$Z$1,0)),"")</f>
        <v>110</v>
      </c>
      <c r="H146" s="6" t="n">
        <f aca="false">IFERROR(INDEX('Semrush Data'!$A$1:$Z$20000,MATCH(A146,'Semrush Data'!$A$1:$A$20000,0),MATCH("Keyword Difficulty*",'Semrush Data'!$A$1:$Z$1,0)),"")</f>
        <v>20</v>
      </c>
      <c r="I146" s="29" t="n">
        <f aca="false">IFERROR(INDEX('Semrush Data'!$A$1:$Z$20000,MATCH(A146,'Semrush Data'!$A$1:$A$20000,0),MATCH("CPC*",'Semrush Data'!$A$1:$Z$1,0)),"")</f>
        <v>0.58</v>
      </c>
      <c r="J146" s="6" t="str">
        <f aca="false">IFERROR(INDEX('Semrush Data'!$A$1:$Z$20000,MATCH(A146,'Semrush Data'!$A$1:$A$20000,0),MATCH("Intent",'Semrush Data'!$A$1:$Z$1,0)),"")</f>
        <v>Informational Transactional</v>
      </c>
    </row>
    <row r="147" customFormat="false" ht="15" hidden="false" customHeight="true" outlineLevel="0" collapsed="false">
      <c r="A147" s="6" t="s">
        <v>6664</v>
      </c>
      <c r="B147" s="6" t="s">
        <v>316</v>
      </c>
      <c r="C147" s="6" t="n">
        <v>1</v>
      </c>
      <c r="D147" s="6" t="n">
        <v>2</v>
      </c>
      <c r="E147" s="6" t="n">
        <v>3</v>
      </c>
      <c r="F147" s="6" t="s">
        <v>6663</v>
      </c>
      <c r="G147" s="28" t="n">
        <f aca="false">IFERROR(INDEX('Semrush Data'!$A$1:$Z$20000,MATCH(A147,'Semrush Data'!$A$1:$A$20000,0),MATCH("Volume",'Semrush Data'!$A$1:$Z$1,0)),"")</f>
        <v>0</v>
      </c>
      <c r="H147" s="6" t="n">
        <f aca="false">IFERROR(INDEX('Semrush Data'!$A$1:$Z$20000,MATCH(A147,'Semrush Data'!$A$1:$A$20000,0),MATCH("Keyword Difficulty*",'Semrush Data'!$A$1:$Z$1,0)),"")</f>
        <v>19</v>
      </c>
      <c r="I147" s="29" t="n">
        <f aca="false">IFERROR(INDEX('Semrush Data'!$A$1:$Z$20000,MATCH(A147,'Semrush Data'!$A$1:$A$20000,0),MATCH("CPC*",'Semrush Data'!$A$1:$Z$1,0)),"")</f>
        <v>0</v>
      </c>
      <c r="J147" s="6" t="str">
        <f aca="false">IFERROR(INDEX('Semrush Data'!$A$1:$Z$20000,MATCH(A147,'Semrush Data'!$A$1:$A$20000,0),MATCH("Intent",'Semrush Data'!$A$1:$Z$1,0)),"")</f>
        <v>Informational Transactional</v>
      </c>
    </row>
    <row r="148" customFormat="false" ht="15" hidden="false" customHeight="true" outlineLevel="0" collapsed="false">
      <c r="A148" s="6" t="s">
        <v>6665</v>
      </c>
      <c r="B148" s="6" t="s">
        <v>316</v>
      </c>
      <c r="C148" s="6" t="n">
        <v>1</v>
      </c>
      <c r="D148" s="6" t="n">
        <v>2</v>
      </c>
      <c r="E148" s="6" t="n">
        <v>1</v>
      </c>
      <c r="F148" s="6" t="s">
        <v>5620</v>
      </c>
      <c r="G148" s="28" t="n">
        <f aca="false">IFERROR(INDEX('Semrush Data'!$A$1:$Z$20000,MATCH(A148,'Semrush Data'!$A$1:$A$20000,0),MATCH("Volume",'Semrush Data'!$A$1:$Z$1,0)),"")</f>
        <v>0</v>
      </c>
      <c r="H148" s="6" t="n">
        <f aca="false">IFERROR(INDEX('Semrush Data'!$A$1:$Z$20000,MATCH(A148,'Semrush Data'!$A$1:$A$20000,0),MATCH("Keyword Difficulty*",'Semrush Data'!$A$1:$Z$1,0)),"")</f>
        <v>7</v>
      </c>
      <c r="I148" s="29" t="n">
        <f aca="false">IFERROR(INDEX('Semrush Data'!$A$1:$Z$20000,MATCH(A148,'Semrush Data'!$A$1:$A$20000,0),MATCH("CPC*",'Semrush Data'!$A$1:$Z$1,0)),"")</f>
        <v>0</v>
      </c>
      <c r="J148" s="6" t="str">
        <f aca="false">IFERROR(INDEX('Semrush Data'!$A$1:$Z$20000,MATCH(A148,'Semrush Data'!$A$1:$A$20000,0),MATCH("Intent",'Semrush Data'!$A$1:$Z$1,0)),"")</f>
        <v>Informational</v>
      </c>
    </row>
    <row r="149" customFormat="false" ht="15" hidden="false" customHeight="true" outlineLevel="0" collapsed="false">
      <c r="A149" s="6" t="s">
        <v>6666</v>
      </c>
      <c r="B149" s="6" t="s">
        <v>316</v>
      </c>
      <c r="C149" s="6" t="n">
        <v>1</v>
      </c>
      <c r="D149" s="6" t="n">
        <v>2</v>
      </c>
      <c r="E149" s="6" t="n">
        <v>3</v>
      </c>
      <c r="F149" s="6" t="s">
        <v>6667</v>
      </c>
      <c r="G149" s="28" t="n">
        <f aca="false">IFERROR(INDEX('Semrush Data'!$A$1:$Z$20000,MATCH(A149,'Semrush Data'!$A$1:$A$20000,0),MATCH("Volume",'Semrush Data'!$A$1:$Z$1,0)),"")</f>
        <v>10</v>
      </c>
      <c r="H149" s="6" t="n">
        <f aca="false">IFERROR(INDEX('Semrush Data'!$A$1:$Z$20000,MATCH(A149,'Semrush Data'!$A$1:$A$20000,0),MATCH("Keyword Difficulty*",'Semrush Data'!$A$1:$Z$1,0)),"")</f>
        <v>13</v>
      </c>
      <c r="I149" s="29" t="n">
        <f aca="false">IFERROR(INDEX('Semrush Data'!$A$1:$Z$20000,MATCH(A149,'Semrush Data'!$A$1:$A$20000,0),MATCH("CPC*",'Semrush Data'!$A$1:$Z$1,0)),"")</f>
        <v>0</v>
      </c>
      <c r="J149" s="6" t="str">
        <f aca="false">IFERROR(INDEX('Semrush Data'!$A$1:$Z$20000,MATCH(A149,'Semrush Data'!$A$1:$A$20000,0),MATCH("Intent",'Semrush Data'!$A$1:$Z$1,0)),"")</f>
        <v>Informational Transactional</v>
      </c>
    </row>
    <row r="150" customFormat="false" ht="15" hidden="false" customHeight="true" outlineLevel="0" collapsed="false">
      <c r="A150" s="6" t="s">
        <v>6668</v>
      </c>
      <c r="B150" s="6" t="s">
        <v>316</v>
      </c>
      <c r="C150" s="6" t="n">
        <v>1</v>
      </c>
      <c r="D150" s="6" t="n">
        <v>2</v>
      </c>
      <c r="E150" s="6" t="n">
        <v>1</v>
      </c>
      <c r="F150" s="6" t="s">
        <v>5644</v>
      </c>
      <c r="G150" s="28" t="n">
        <f aca="false">IFERROR(INDEX('Semrush Data'!$A$1:$Z$20000,MATCH(A150,'Semrush Data'!$A$1:$A$20000,0),MATCH("Volume",'Semrush Data'!$A$1:$Z$1,0)),"")</f>
        <v>0</v>
      </c>
      <c r="H150" s="6" t="n">
        <f aca="false">IFERROR(INDEX('Semrush Data'!$A$1:$Z$20000,MATCH(A150,'Semrush Data'!$A$1:$A$20000,0),MATCH("Keyword Difficulty*",'Semrush Data'!$A$1:$Z$1,0)),"")</f>
        <v>17</v>
      </c>
      <c r="I150" s="29" t="n">
        <f aca="false">IFERROR(INDEX('Semrush Data'!$A$1:$Z$20000,MATCH(A150,'Semrush Data'!$A$1:$A$20000,0),MATCH("CPC*",'Semrush Data'!$A$1:$Z$1,0)),"")</f>
        <v>0</v>
      </c>
      <c r="J150" s="6" t="str">
        <f aca="false">IFERROR(INDEX('Semrush Data'!$A$1:$Z$20000,MATCH(A150,'Semrush Data'!$A$1:$A$20000,0),MATCH("Intent",'Semrush Data'!$A$1:$Z$1,0)),"")</f>
        <v>Informational Transactional</v>
      </c>
    </row>
    <row r="151" customFormat="false" ht="15" hidden="false" customHeight="true" outlineLevel="0" collapsed="false">
      <c r="A151" s="6" t="s">
        <v>6669</v>
      </c>
      <c r="B151" s="6" t="s">
        <v>316</v>
      </c>
      <c r="C151" s="6" t="n">
        <v>1</v>
      </c>
      <c r="D151" s="6" t="n">
        <v>2</v>
      </c>
      <c r="E151" s="6" t="n">
        <v>5</v>
      </c>
      <c r="F151" s="6" t="s">
        <v>6670</v>
      </c>
      <c r="G151" s="28" t="n">
        <f aca="false">IFERROR(INDEX('Semrush Data'!$A$1:$Z$20000,MATCH(A151,'Semrush Data'!$A$1:$A$20000,0),MATCH("Volume",'Semrush Data'!$A$1:$Z$1,0)),"")</f>
        <v>0</v>
      </c>
      <c r="H151" s="6" t="n">
        <f aca="false">IFERROR(INDEX('Semrush Data'!$A$1:$Z$20000,MATCH(A151,'Semrush Data'!$A$1:$A$20000,0),MATCH("Keyword Difficulty*",'Semrush Data'!$A$1:$Z$1,0)),"")</f>
        <v>6</v>
      </c>
      <c r="I151" s="29" t="n">
        <f aca="false">IFERROR(INDEX('Semrush Data'!$A$1:$Z$20000,MATCH(A151,'Semrush Data'!$A$1:$A$20000,0),MATCH("CPC*",'Semrush Data'!$A$1:$Z$1,0)),"")</f>
        <v>0</v>
      </c>
      <c r="J151" s="6" t="str">
        <f aca="false">IFERROR(INDEX('Semrush Data'!$A$1:$Z$20000,MATCH(A151,'Semrush Data'!$A$1:$A$20000,0),MATCH("Intent",'Semrush Data'!$A$1:$Z$1,0)),"")</f>
        <v>Informational</v>
      </c>
    </row>
    <row r="152" customFormat="false" ht="15" hidden="false" customHeight="true" outlineLevel="0" collapsed="false">
      <c r="A152" s="6" t="s">
        <v>6671</v>
      </c>
      <c r="B152" s="6" t="s">
        <v>316</v>
      </c>
      <c r="C152" s="6" t="n">
        <v>1</v>
      </c>
      <c r="D152" s="6" t="n">
        <v>2</v>
      </c>
      <c r="E152" s="6" t="n">
        <v>1</v>
      </c>
      <c r="F152" s="6" t="s">
        <v>5723</v>
      </c>
      <c r="G152" s="28" t="n">
        <f aca="false">IFERROR(INDEX('Semrush Data'!$A$1:$Z$20000,MATCH(A152,'Semrush Data'!$A$1:$A$20000,0),MATCH("Volume",'Semrush Data'!$A$1:$Z$1,0)),"")</f>
        <v>720</v>
      </c>
      <c r="H152" s="6" t="n">
        <f aca="false">IFERROR(INDEX('Semrush Data'!$A$1:$Z$20000,MATCH(A152,'Semrush Data'!$A$1:$A$20000,0),MATCH("Keyword Difficulty*",'Semrush Data'!$A$1:$Z$1,0)),"")</f>
        <v>15</v>
      </c>
      <c r="I152" s="29" t="n">
        <f aca="false">IFERROR(INDEX('Semrush Data'!$A$1:$Z$20000,MATCH(A152,'Semrush Data'!$A$1:$A$20000,0),MATCH("CPC*",'Semrush Data'!$A$1:$Z$1,0)),"")</f>
        <v>0.31</v>
      </c>
      <c r="J152" s="6" t="str">
        <f aca="false">IFERROR(INDEX('Semrush Data'!$A$1:$Z$20000,MATCH(A152,'Semrush Data'!$A$1:$A$20000,0),MATCH("Intent",'Semrush Data'!$A$1:$Z$1,0)),"")</f>
        <v>Informational Transactional</v>
      </c>
    </row>
    <row r="153" customFormat="false" ht="15" hidden="false" customHeight="true" outlineLevel="0" collapsed="false">
      <c r="A153" s="6" t="s">
        <v>6672</v>
      </c>
      <c r="B153" s="6" t="s">
        <v>316</v>
      </c>
      <c r="C153" s="6" t="n">
        <v>1</v>
      </c>
      <c r="D153" s="6" t="n">
        <v>2</v>
      </c>
      <c r="E153" s="6" t="n">
        <v>1</v>
      </c>
      <c r="F153" s="6" t="s">
        <v>5736</v>
      </c>
      <c r="G153" s="28" t="n">
        <f aca="false">IFERROR(INDEX('Semrush Data'!$A$1:$Z$20000,MATCH(A153,'Semrush Data'!$A$1:$A$20000,0),MATCH("Volume",'Semrush Data'!$A$1:$Z$1,0)),"")</f>
        <v>390</v>
      </c>
      <c r="H153" s="6" t="n">
        <f aca="false">IFERROR(INDEX('Semrush Data'!$A$1:$Z$20000,MATCH(A153,'Semrush Data'!$A$1:$A$20000,0),MATCH("Keyword Difficulty*",'Semrush Data'!$A$1:$Z$1,0)),"")</f>
        <v>16</v>
      </c>
      <c r="I153" s="29" t="n">
        <f aca="false">IFERROR(INDEX('Semrush Data'!$A$1:$Z$20000,MATCH(A153,'Semrush Data'!$A$1:$A$20000,0),MATCH("CPC*",'Semrush Data'!$A$1:$Z$1,0)),"")</f>
        <v>0.39</v>
      </c>
      <c r="J153" s="6" t="str">
        <f aca="false">IFERROR(INDEX('Semrush Data'!$A$1:$Z$20000,MATCH(A153,'Semrush Data'!$A$1:$A$20000,0),MATCH("Intent",'Semrush Data'!$A$1:$Z$1,0)),"")</f>
        <v>Informational Transactional</v>
      </c>
    </row>
    <row r="154" customFormat="false" ht="15" hidden="false" customHeight="true" outlineLevel="0" collapsed="false">
      <c r="A154" s="6" t="s">
        <v>6673</v>
      </c>
      <c r="B154" s="6" t="s">
        <v>316</v>
      </c>
      <c r="C154" s="6" t="n">
        <v>1</v>
      </c>
      <c r="D154" s="6" t="n">
        <v>2</v>
      </c>
      <c r="E154" s="6" t="n">
        <v>1</v>
      </c>
      <c r="F154" s="6" t="s">
        <v>5736</v>
      </c>
      <c r="G154" s="28" t="n">
        <f aca="false">IFERROR(INDEX('Semrush Data'!$A$1:$Z$20000,MATCH(A154,'Semrush Data'!$A$1:$A$20000,0),MATCH("Volume",'Semrush Data'!$A$1:$Z$1,0)),"")</f>
        <v>0</v>
      </c>
      <c r="H154" s="6" t="n">
        <f aca="false">IFERROR(INDEX('Semrush Data'!$A$1:$Z$20000,MATCH(A154,'Semrush Data'!$A$1:$A$20000,0),MATCH("Keyword Difficulty*",'Semrush Data'!$A$1:$Z$1,0)),"")</f>
        <v>13</v>
      </c>
      <c r="I154" s="29" t="n">
        <f aca="false">IFERROR(INDEX('Semrush Data'!$A$1:$Z$20000,MATCH(A154,'Semrush Data'!$A$1:$A$20000,0),MATCH("CPC*",'Semrush Data'!$A$1:$Z$1,0)),"")</f>
        <v>0</v>
      </c>
      <c r="J154" s="6" t="str">
        <f aca="false">IFERROR(INDEX('Semrush Data'!$A$1:$Z$20000,MATCH(A154,'Semrush Data'!$A$1:$A$20000,0),MATCH("Intent",'Semrush Data'!$A$1:$Z$1,0)),"")</f>
        <v>Transactional Navigational</v>
      </c>
    </row>
    <row r="155" customFormat="false" ht="15" hidden="false" customHeight="true" outlineLevel="0" collapsed="false">
      <c r="A155" s="6" t="s">
        <v>6674</v>
      </c>
      <c r="B155" s="6" t="s">
        <v>316</v>
      </c>
      <c r="C155" s="6" t="n">
        <v>1</v>
      </c>
      <c r="D155" s="6" t="n">
        <v>2</v>
      </c>
      <c r="E155" s="6" t="n">
        <v>16</v>
      </c>
      <c r="F155" s="6" t="s">
        <v>6675</v>
      </c>
      <c r="G155" s="28" t="n">
        <f aca="false">IFERROR(INDEX('Semrush Data'!$A$1:$Z$20000,MATCH(A155,'Semrush Data'!$A$1:$A$20000,0),MATCH("Volume",'Semrush Data'!$A$1:$Z$1,0)),"")</f>
        <v>0</v>
      </c>
      <c r="H155" s="6" t="n">
        <f aca="false">IFERROR(INDEX('Semrush Data'!$A$1:$Z$20000,MATCH(A155,'Semrush Data'!$A$1:$A$20000,0),MATCH("Keyword Difficulty*",'Semrush Data'!$A$1:$Z$1,0)),"")</f>
        <v>13</v>
      </c>
      <c r="I155" s="29" t="n">
        <f aca="false">IFERROR(INDEX('Semrush Data'!$A$1:$Z$20000,MATCH(A155,'Semrush Data'!$A$1:$A$20000,0),MATCH("CPC*",'Semrush Data'!$A$1:$Z$1,0)),"")</f>
        <v>0</v>
      </c>
      <c r="J155" s="6" t="str">
        <f aca="false">IFERROR(INDEX('Semrush Data'!$A$1:$Z$20000,MATCH(A155,'Semrush Data'!$A$1:$A$20000,0),MATCH("Intent",'Semrush Data'!$A$1:$Z$1,0)),"")</f>
        <v>Informational</v>
      </c>
    </row>
    <row r="156" customFormat="false" ht="15" hidden="false" customHeight="true" outlineLevel="0" collapsed="false">
      <c r="A156" s="6" t="s">
        <v>6676</v>
      </c>
      <c r="B156" s="6" t="s">
        <v>316</v>
      </c>
      <c r="C156" s="6" t="n">
        <v>1</v>
      </c>
      <c r="D156" s="6" t="n">
        <v>2</v>
      </c>
      <c r="E156" s="6" t="n">
        <v>1</v>
      </c>
      <c r="F156" s="6" t="s">
        <v>5773</v>
      </c>
      <c r="G156" s="28" t="n">
        <f aca="false">IFERROR(INDEX('Semrush Data'!$A$1:$Z$20000,MATCH(A156,'Semrush Data'!$A$1:$A$20000,0),MATCH("Volume",'Semrush Data'!$A$1:$Z$1,0)),"")</f>
        <v>0</v>
      </c>
      <c r="H156" s="6" t="n">
        <f aca="false">IFERROR(INDEX('Semrush Data'!$A$1:$Z$20000,MATCH(A156,'Semrush Data'!$A$1:$A$20000,0),MATCH("Keyword Difficulty*",'Semrush Data'!$A$1:$Z$1,0)),"")</f>
        <v>12</v>
      </c>
      <c r="I156" s="29" t="n">
        <f aca="false">IFERROR(INDEX('Semrush Data'!$A$1:$Z$20000,MATCH(A156,'Semrush Data'!$A$1:$A$20000,0),MATCH("CPC*",'Semrush Data'!$A$1:$Z$1,0)),"")</f>
        <v>0</v>
      </c>
      <c r="J156" s="6" t="str">
        <f aca="false">IFERROR(INDEX('Semrush Data'!$A$1:$Z$20000,MATCH(A156,'Semrush Data'!$A$1:$A$20000,0),MATCH("Intent",'Semrush Data'!$A$1:$Z$1,0)),"")</f>
        <v>Informational</v>
      </c>
    </row>
    <row r="157" customFormat="false" ht="15" hidden="false" customHeight="true" outlineLevel="0" collapsed="false">
      <c r="A157" s="6" t="s">
        <v>6677</v>
      </c>
      <c r="B157" s="6" t="s">
        <v>316</v>
      </c>
      <c r="C157" s="6" t="n">
        <v>1</v>
      </c>
      <c r="D157" s="6" t="n">
        <v>2</v>
      </c>
      <c r="E157" s="6" t="n">
        <v>1</v>
      </c>
      <c r="F157" s="6" t="s">
        <v>5796</v>
      </c>
      <c r="G157" s="28" t="n">
        <f aca="false">IFERROR(INDEX('Semrush Data'!$A$1:$Z$20000,MATCH(A157,'Semrush Data'!$A$1:$A$20000,0),MATCH("Volume",'Semrush Data'!$A$1:$Z$1,0)),"")</f>
        <v>0</v>
      </c>
      <c r="H157" s="6" t="n">
        <f aca="false">IFERROR(INDEX('Semrush Data'!$A$1:$Z$20000,MATCH(A157,'Semrush Data'!$A$1:$A$20000,0),MATCH("Keyword Difficulty*",'Semrush Data'!$A$1:$Z$1,0)),"")</f>
        <v>18</v>
      </c>
      <c r="I157" s="29" t="n">
        <f aca="false">IFERROR(INDEX('Semrush Data'!$A$1:$Z$20000,MATCH(A157,'Semrush Data'!$A$1:$A$20000,0),MATCH("CPC*",'Semrush Data'!$A$1:$Z$1,0)),"")</f>
        <v>0</v>
      </c>
      <c r="J157" s="6" t="str">
        <f aca="false">IFERROR(INDEX('Semrush Data'!$A$1:$Z$20000,MATCH(A157,'Semrush Data'!$A$1:$A$20000,0),MATCH("Intent",'Semrush Data'!$A$1:$Z$1,0)),"")</f>
        <v>Informational</v>
      </c>
    </row>
    <row r="158" customFormat="false" ht="15" hidden="false" customHeight="true" outlineLevel="0" collapsed="false">
      <c r="A158" s="6" t="s">
        <v>6678</v>
      </c>
      <c r="B158" s="6" t="s">
        <v>316</v>
      </c>
      <c r="C158" s="6" t="n">
        <v>1</v>
      </c>
      <c r="D158" s="6" t="n">
        <v>2</v>
      </c>
      <c r="E158" s="6" t="n">
        <v>3</v>
      </c>
      <c r="F158" s="6" t="s">
        <v>6679</v>
      </c>
      <c r="G158" s="28" t="n">
        <f aca="false">IFERROR(INDEX('Semrush Data'!$A$1:$Z$20000,MATCH(A158,'Semrush Data'!$A$1:$A$20000,0),MATCH("Volume",'Semrush Data'!$A$1:$Z$1,0)),"")</f>
        <v>0</v>
      </c>
      <c r="H158" s="6" t="n">
        <f aca="false">IFERROR(INDEX('Semrush Data'!$A$1:$Z$20000,MATCH(A158,'Semrush Data'!$A$1:$A$20000,0),MATCH("Keyword Difficulty*",'Semrush Data'!$A$1:$Z$1,0)),"")</f>
        <v>19</v>
      </c>
      <c r="I158" s="29" t="n">
        <f aca="false">IFERROR(INDEX('Semrush Data'!$A$1:$Z$20000,MATCH(A158,'Semrush Data'!$A$1:$A$20000,0),MATCH("CPC*",'Semrush Data'!$A$1:$Z$1,0)),"")</f>
        <v>0</v>
      </c>
      <c r="J158" s="6" t="str">
        <f aca="false">IFERROR(INDEX('Semrush Data'!$A$1:$Z$20000,MATCH(A158,'Semrush Data'!$A$1:$A$20000,0),MATCH("Intent",'Semrush Data'!$A$1:$Z$1,0)),"")</f>
        <v>Informational</v>
      </c>
    </row>
    <row r="159" customFormat="false" ht="15" hidden="false" customHeight="true" outlineLevel="0" collapsed="false">
      <c r="A159" s="6" t="s">
        <v>6680</v>
      </c>
      <c r="B159" s="6" t="s">
        <v>316</v>
      </c>
      <c r="C159" s="6" t="n">
        <v>1</v>
      </c>
      <c r="D159" s="6" t="n">
        <v>2</v>
      </c>
      <c r="E159" s="6" t="n">
        <v>1</v>
      </c>
      <c r="F159" s="6" t="s">
        <v>5431</v>
      </c>
      <c r="G159" s="28" t="n">
        <f aca="false">IFERROR(INDEX('Semrush Data'!$A$1:$Z$20000,MATCH(A159,'Semrush Data'!$A$1:$A$20000,0),MATCH("Volume",'Semrush Data'!$A$1:$Z$1,0)),"")</f>
        <v>0</v>
      </c>
      <c r="H159" s="6" t="n">
        <f aca="false">IFERROR(INDEX('Semrush Data'!$A$1:$Z$20000,MATCH(A159,'Semrush Data'!$A$1:$A$20000,0),MATCH("Keyword Difficulty*",'Semrush Data'!$A$1:$Z$1,0)),"")</f>
        <v>19</v>
      </c>
      <c r="I159" s="29" t="n">
        <f aca="false">IFERROR(INDEX('Semrush Data'!$A$1:$Z$20000,MATCH(A159,'Semrush Data'!$A$1:$A$20000,0),MATCH("CPC*",'Semrush Data'!$A$1:$Z$1,0)),"")</f>
        <v>0</v>
      </c>
      <c r="J159" s="6" t="str">
        <f aca="false">IFERROR(INDEX('Semrush Data'!$A$1:$Z$20000,MATCH(A159,'Semrush Data'!$A$1:$A$20000,0),MATCH("Intent",'Semrush Data'!$A$1:$Z$1,0)),"")</f>
        <v>Informational</v>
      </c>
    </row>
    <row r="160" customFormat="false" ht="15" hidden="false" customHeight="true" outlineLevel="0" collapsed="false">
      <c r="A160" s="6" t="s">
        <v>6681</v>
      </c>
      <c r="B160" s="6" t="s">
        <v>316</v>
      </c>
      <c r="C160" s="6" t="n">
        <v>1</v>
      </c>
      <c r="D160" s="6" t="n">
        <v>2</v>
      </c>
      <c r="E160" s="6" t="n">
        <v>11</v>
      </c>
      <c r="F160" s="6" t="s">
        <v>6682</v>
      </c>
      <c r="G160" s="28" t="n">
        <f aca="false">IFERROR(INDEX('Semrush Data'!$A$1:$Z$20000,MATCH(A160,'Semrush Data'!$A$1:$A$20000,0),MATCH("Volume",'Semrush Data'!$A$1:$Z$1,0)),"")</f>
        <v>20</v>
      </c>
      <c r="H160" s="6" t="n">
        <f aca="false">IFERROR(INDEX('Semrush Data'!$A$1:$Z$20000,MATCH(A160,'Semrush Data'!$A$1:$A$20000,0),MATCH("Keyword Difficulty*",'Semrush Data'!$A$1:$Z$1,0)),"")</f>
        <v>16</v>
      </c>
      <c r="I160" s="29" t="n">
        <f aca="false">IFERROR(INDEX('Semrush Data'!$A$1:$Z$20000,MATCH(A160,'Semrush Data'!$A$1:$A$20000,0),MATCH("CPC*",'Semrush Data'!$A$1:$Z$1,0)),"")</f>
        <v>0</v>
      </c>
      <c r="J160" s="6" t="str">
        <f aca="false">IFERROR(INDEX('Semrush Data'!$A$1:$Z$20000,MATCH(A160,'Semrush Data'!$A$1:$A$20000,0),MATCH("Intent",'Semrush Data'!$A$1:$Z$1,0)),"")</f>
        <v>Informational</v>
      </c>
    </row>
    <row r="161" customFormat="false" ht="15" hidden="false" customHeight="true" outlineLevel="0" collapsed="false">
      <c r="A161" s="6" t="s">
        <v>6683</v>
      </c>
      <c r="B161" s="6" t="s">
        <v>316</v>
      </c>
      <c r="C161" s="6" t="n">
        <v>1</v>
      </c>
      <c r="D161" s="6" t="n">
        <v>2</v>
      </c>
      <c r="E161" s="6" t="n">
        <v>21</v>
      </c>
      <c r="F161" s="6" t="s">
        <v>6684</v>
      </c>
      <c r="G161" s="28" t="n">
        <f aca="false">IFERROR(INDEX('Semrush Data'!$A$1:$Z$20000,MATCH(A161,'Semrush Data'!$A$1:$A$20000,0),MATCH("Volume",'Semrush Data'!$A$1:$Z$1,0)),"")</f>
        <v>260</v>
      </c>
      <c r="H161" s="6" t="n">
        <f aca="false">IFERROR(INDEX('Semrush Data'!$A$1:$Z$20000,MATCH(A161,'Semrush Data'!$A$1:$A$20000,0),MATCH("Keyword Difficulty*",'Semrush Data'!$A$1:$Z$1,0)),"")</f>
        <v>16</v>
      </c>
      <c r="I161" s="29" t="n">
        <f aca="false">IFERROR(INDEX('Semrush Data'!$A$1:$Z$20000,MATCH(A161,'Semrush Data'!$A$1:$A$20000,0),MATCH("CPC*",'Semrush Data'!$A$1:$Z$1,0)),"")</f>
        <v>0.4</v>
      </c>
      <c r="J161" s="6" t="str">
        <f aca="false">IFERROR(INDEX('Semrush Data'!$A$1:$Z$20000,MATCH(A161,'Semrush Data'!$A$1:$A$20000,0),MATCH("Intent",'Semrush Data'!$A$1:$Z$1,0)),"")</f>
        <v>Informational</v>
      </c>
    </row>
    <row r="162" customFormat="false" ht="15" hidden="false" customHeight="true" outlineLevel="0" collapsed="false">
      <c r="A162" s="6" t="s">
        <v>319</v>
      </c>
      <c r="B162" s="6" t="s">
        <v>316</v>
      </c>
      <c r="C162" s="6" t="n">
        <v>1</v>
      </c>
      <c r="D162" s="6" t="n">
        <v>2</v>
      </c>
      <c r="E162" s="6" t="n">
        <v>6</v>
      </c>
      <c r="F162" s="6" t="s">
        <v>6685</v>
      </c>
      <c r="G162" s="28" t="n">
        <f aca="false">IFERROR(INDEX('Semrush Data'!$A$1:$Z$20000,MATCH(A162,'Semrush Data'!$A$1:$A$20000,0),MATCH("Volume",'Semrush Data'!$A$1:$Z$1,0)),"")</f>
        <v>33100</v>
      </c>
      <c r="H162" s="6" t="n">
        <f aca="false">IFERROR(INDEX('Semrush Data'!$A$1:$Z$20000,MATCH(A162,'Semrush Data'!$A$1:$A$20000,0),MATCH("Keyword Difficulty*",'Semrush Data'!$A$1:$Z$1,0)),"")</f>
        <v>55</v>
      </c>
      <c r="I162" s="29" t="n">
        <f aca="false">IFERROR(INDEX('Semrush Data'!$A$1:$Z$20000,MATCH(A162,'Semrush Data'!$A$1:$A$20000,0),MATCH("CPC*",'Semrush Data'!$A$1:$Z$1,0)),"")</f>
        <v>0.38</v>
      </c>
      <c r="J162" s="6" t="str">
        <f aca="false">IFERROR(INDEX('Semrush Data'!$A$1:$Z$20000,MATCH(A162,'Semrush Data'!$A$1:$A$20000,0),MATCH("Intent",'Semrush Data'!$A$1:$Z$1,0)),"")</f>
        <v>Informational Transactional</v>
      </c>
    </row>
    <row r="163" customFormat="false" ht="15" hidden="false" customHeight="true" outlineLevel="0" collapsed="false">
      <c r="A163" s="6" t="s">
        <v>346</v>
      </c>
      <c r="B163" s="6" t="s">
        <v>316</v>
      </c>
      <c r="C163" s="6" t="n">
        <v>1</v>
      </c>
      <c r="D163" s="6" t="n">
        <v>2</v>
      </c>
      <c r="E163" s="6" t="n">
        <v>1</v>
      </c>
      <c r="F163" s="6" t="s">
        <v>57</v>
      </c>
      <c r="G163" s="28" t="n">
        <f aca="false">IFERROR(INDEX('Semrush Data'!$A$1:$Z$20000,MATCH(A163,'Semrush Data'!$A$1:$A$20000,0),MATCH("Volume",'Semrush Data'!$A$1:$Z$1,0)),"")</f>
        <v>1600</v>
      </c>
      <c r="H163" s="6" t="n">
        <f aca="false">IFERROR(INDEX('Semrush Data'!$A$1:$Z$20000,MATCH(A163,'Semrush Data'!$A$1:$A$20000,0),MATCH("Keyword Difficulty*",'Semrush Data'!$A$1:$Z$1,0)),"")</f>
        <v>39</v>
      </c>
      <c r="I163" s="29" t="n">
        <f aca="false">IFERROR(INDEX('Semrush Data'!$A$1:$Z$20000,MATCH(A163,'Semrush Data'!$A$1:$A$20000,0),MATCH("CPC*",'Semrush Data'!$A$1:$Z$1,0)),"")</f>
        <v>0.35</v>
      </c>
      <c r="J163" s="6" t="str">
        <f aca="false">IFERROR(INDEX('Semrush Data'!$A$1:$Z$20000,MATCH(A163,'Semrush Data'!$A$1:$A$20000,0),MATCH("Intent",'Semrush Data'!$A$1:$Z$1,0)),"")</f>
        <v>Informational Transactional</v>
      </c>
    </row>
    <row r="164" customFormat="false" ht="15" hidden="false" customHeight="true" outlineLevel="0" collapsed="false">
      <c r="A164" s="6" t="s">
        <v>6686</v>
      </c>
      <c r="B164" s="6" t="s">
        <v>316</v>
      </c>
      <c r="C164" s="6" t="n">
        <v>1</v>
      </c>
      <c r="D164" s="6" t="n">
        <v>2</v>
      </c>
      <c r="E164" s="6" t="n">
        <v>6</v>
      </c>
      <c r="F164" s="6" t="s">
        <v>6687</v>
      </c>
      <c r="G164" s="28" t="n">
        <f aca="false">IFERROR(INDEX('Semrush Data'!$A$1:$Z$20000,MATCH(A164,'Semrush Data'!$A$1:$A$20000,0),MATCH("Volume",'Semrush Data'!$A$1:$Z$1,0)),"")</f>
        <v>720</v>
      </c>
      <c r="H164" s="6" t="n">
        <f aca="false">IFERROR(INDEX('Semrush Data'!$A$1:$Z$20000,MATCH(A164,'Semrush Data'!$A$1:$A$20000,0),MATCH("Keyword Difficulty*",'Semrush Data'!$A$1:$Z$1,0)),"")</f>
        <v>15</v>
      </c>
      <c r="I164" s="29" t="n">
        <f aca="false">IFERROR(INDEX('Semrush Data'!$A$1:$Z$20000,MATCH(A164,'Semrush Data'!$A$1:$A$20000,0),MATCH("CPC*",'Semrush Data'!$A$1:$Z$1,0)),"")</f>
        <v>0</v>
      </c>
      <c r="J164" s="6" t="str">
        <f aca="false">IFERROR(INDEX('Semrush Data'!$A$1:$Z$20000,MATCH(A164,'Semrush Data'!$A$1:$A$20000,0),MATCH("Intent",'Semrush Data'!$A$1:$Z$1,0)),"")</f>
        <v>Informational</v>
      </c>
    </row>
    <row r="165" customFormat="false" ht="15" hidden="false" customHeight="true" outlineLevel="0" collapsed="false">
      <c r="A165" s="6" t="s">
        <v>6688</v>
      </c>
      <c r="B165" s="6" t="s">
        <v>316</v>
      </c>
      <c r="C165" s="6" t="n">
        <v>1</v>
      </c>
      <c r="D165" s="6" t="n">
        <v>2</v>
      </c>
      <c r="E165" s="6" t="n">
        <v>1</v>
      </c>
      <c r="F165" s="6" t="s">
        <v>6421</v>
      </c>
      <c r="G165" s="28" t="n">
        <f aca="false">IFERROR(INDEX('Semrush Data'!$A$1:$Z$20000,MATCH(A165,'Semrush Data'!$A$1:$A$20000,0),MATCH("Volume",'Semrush Data'!$A$1:$Z$1,0)),"")</f>
        <v>0</v>
      </c>
      <c r="H165" s="6" t="n">
        <f aca="false">IFERROR(INDEX('Semrush Data'!$A$1:$Z$20000,MATCH(A165,'Semrush Data'!$A$1:$A$20000,0),MATCH("Keyword Difficulty*",'Semrush Data'!$A$1:$Z$1,0)),"")</f>
        <v>6</v>
      </c>
      <c r="I165" s="29" t="n">
        <f aca="false">IFERROR(INDEX('Semrush Data'!$A$1:$Z$20000,MATCH(A165,'Semrush Data'!$A$1:$A$20000,0),MATCH("CPC*",'Semrush Data'!$A$1:$Z$1,0)),"")</f>
        <v>0</v>
      </c>
      <c r="J165" s="6" t="str">
        <f aca="false">IFERROR(INDEX('Semrush Data'!$A$1:$Z$20000,MATCH(A165,'Semrush Data'!$A$1:$A$20000,0),MATCH("Intent",'Semrush Data'!$A$1:$Z$1,0)),"")</f>
        <v>Informational</v>
      </c>
    </row>
    <row r="166" customFormat="false" ht="15" hidden="false" customHeight="true" outlineLevel="0" collapsed="false">
      <c r="A166" s="6" t="s">
        <v>6689</v>
      </c>
      <c r="B166" s="6" t="s">
        <v>316</v>
      </c>
      <c r="C166" s="6" t="n">
        <v>1</v>
      </c>
      <c r="D166" s="6" t="n">
        <v>2</v>
      </c>
      <c r="E166" s="6" t="n">
        <v>4</v>
      </c>
      <c r="F166" s="6" t="s">
        <v>6690</v>
      </c>
      <c r="G166" s="28" t="n">
        <f aca="false">IFERROR(INDEX('Semrush Data'!$A$1:$Z$20000,MATCH(A166,'Semrush Data'!$A$1:$A$20000,0),MATCH("Volume",'Semrush Data'!$A$1:$Z$1,0)),"")</f>
        <v>0</v>
      </c>
      <c r="H166" s="6" t="n">
        <f aca="false">IFERROR(INDEX('Semrush Data'!$A$1:$Z$20000,MATCH(A166,'Semrush Data'!$A$1:$A$20000,0),MATCH("Keyword Difficulty*",'Semrush Data'!$A$1:$Z$1,0)),"")</f>
        <v>18</v>
      </c>
      <c r="I166" s="29" t="n">
        <f aca="false">IFERROR(INDEX('Semrush Data'!$A$1:$Z$20000,MATCH(A166,'Semrush Data'!$A$1:$A$20000,0),MATCH("CPC*",'Semrush Data'!$A$1:$Z$1,0)),"")</f>
        <v>0</v>
      </c>
      <c r="J166" s="6" t="str">
        <f aca="false">IFERROR(INDEX('Semrush Data'!$A$1:$Z$20000,MATCH(A166,'Semrush Data'!$A$1:$A$20000,0),MATCH("Intent",'Semrush Data'!$A$1:$Z$1,0)),"")</f>
        <v>Informational Transactional</v>
      </c>
    </row>
    <row r="167" customFormat="false" ht="15" hidden="false" customHeight="true" outlineLevel="0" collapsed="false">
      <c r="A167" s="6" t="s">
        <v>6691</v>
      </c>
      <c r="B167" s="6" t="s">
        <v>316</v>
      </c>
      <c r="C167" s="6" t="n">
        <v>1</v>
      </c>
      <c r="D167" s="6" t="n">
        <v>2</v>
      </c>
      <c r="E167" s="6" t="n">
        <v>1</v>
      </c>
      <c r="F167" s="6" t="s">
        <v>6464</v>
      </c>
      <c r="G167" s="28" t="n">
        <f aca="false">IFERROR(INDEX('Semrush Data'!$A$1:$Z$20000,MATCH(A167,'Semrush Data'!$A$1:$A$20000,0),MATCH("Volume",'Semrush Data'!$A$1:$Z$1,0)),"")</f>
        <v>320</v>
      </c>
      <c r="H167" s="6" t="n">
        <f aca="false">IFERROR(INDEX('Semrush Data'!$A$1:$Z$20000,MATCH(A167,'Semrush Data'!$A$1:$A$20000,0),MATCH("Keyword Difficulty*",'Semrush Data'!$A$1:$Z$1,0)),"")</f>
        <v>30</v>
      </c>
      <c r="I167" s="29" t="n">
        <f aca="false">IFERROR(INDEX('Semrush Data'!$A$1:$Z$20000,MATCH(A167,'Semrush Data'!$A$1:$A$20000,0),MATCH("CPC*",'Semrush Data'!$A$1:$Z$1,0)),"")</f>
        <v>0.4</v>
      </c>
      <c r="J167" s="6" t="str">
        <f aca="false">IFERROR(INDEX('Semrush Data'!$A$1:$Z$20000,MATCH(A167,'Semrush Data'!$A$1:$A$20000,0),MATCH("Intent",'Semrush Data'!$A$1:$Z$1,0)),"")</f>
        <v>Navigational</v>
      </c>
    </row>
    <row r="168" customFormat="false" ht="15" hidden="false" customHeight="true" outlineLevel="0" collapsed="false">
      <c r="A168" s="6" t="s">
        <v>6692</v>
      </c>
      <c r="B168" s="6" t="s">
        <v>316</v>
      </c>
      <c r="C168" s="6" t="n">
        <v>1</v>
      </c>
      <c r="D168" s="6" t="n">
        <v>2</v>
      </c>
      <c r="E168" s="6" t="n">
        <v>1</v>
      </c>
      <c r="F168" s="6" t="s">
        <v>6464</v>
      </c>
      <c r="G168" s="28" t="n">
        <f aca="false">IFERROR(INDEX('Semrush Data'!$A$1:$Z$20000,MATCH(A168,'Semrush Data'!$A$1:$A$20000,0),MATCH("Volume",'Semrush Data'!$A$1:$Z$1,0)),"")</f>
        <v>0</v>
      </c>
      <c r="H168" s="6" t="n">
        <f aca="false">IFERROR(INDEX('Semrush Data'!$A$1:$Z$20000,MATCH(A168,'Semrush Data'!$A$1:$A$20000,0),MATCH("Keyword Difficulty*",'Semrush Data'!$A$1:$Z$1,0)),"")</f>
        <v>28</v>
      </c>
      <c r="I168" s="29" t="n">
        <f aca="false">IFERROR(INDEX('Semrush Data'!$A$1:$Z$20000,MATCH(A168,'Semrush Data'!$A$1:$A$20000,0),MATCH("CPC*",'Semrush Data'!$A$1:$Z$1,0)),"")</f>
        <v>0</v>
      </c>
      <c r="J168" s="6" t="str">
        <f aca="false">IFERROR(INDEX('Semrush Data'!$A$1:$Z$20000,MATCH(A168,'Semrush Data'!$A$1:$A$20000,0),MATCH("Intent",'Semrush Data'!$A$1:$Z$1,0)),"")</f>
        <v>Informational</v>
      </c>
    </row>
    <row r="169" customFormat="false" ht="15" hidden="false" customHeight="true" outlineLevel="0" collapsed="false">
      <c r="A169" s="6" t="s">
        <v>4292</v>
      </c>
      <c r="B169" s="6" t="s">
        <v>316</v>
      </c>
      <c r="C169" s="6" t="n">
        <v>1</v>
      </c>
      <c r="D169" s="6" t="n">
        <v>2</v>
      </c>
      <c r="E169" s="6" t="n">
        <v>68</v>
      </c>
      <c r="F169" s="6" t="s">
        <v>6693</v>
      </c>
      <c r="G169" s="28" t="n">
        <f aca="false">IFERROR(INDEX('Semrush Data'!$A$1:$Z$20000,MATCH(A169,'Semrush Data'!$A$1:$A$20000,0),MATCH("Volume",'Semrush Data'!$A$1:$Z$1,0)),"")</f>
        <v>0</v>
      </c>
      <c r="H169" s="6" t="n">
        <f aca="false">IFERROR(INDEX('Semrush Data'!$A$1:$Z$20000,MATCH(A169,'Semrush Data'!$A$1:$A$20000,0),MATCH("Keyword Difficulty*",'Semrush Data'!$A$1:$Z$1,0)),"")</f>
        <v>14</v>
      </c>
      <c r="I169" s="29" t="n">
        <f aca="false">IFERROR(INDEX('Semrush Data'!$A$1:$Z$20000,MATCH(A169,'Semrush Data'!$A$1:$A$20000,0),MATCH("CPC*",'Semrush Data'!$A$1:$Z$1,0)),"")</f>
        <v>0</v>
      </c>
      <c r="J169" s="6" t="str">
        <f aca="false">IFERROR(INDEX('Semrush Data'!$A$1:$Z$20000,MATCH(A169,'Semrush Data'!$A$1:$A$20000,0),MATCH("Intent",'Semrush Data'!$A$1:$Z$1,0)),"")</f>
        <v>Informational</v>
      </c>
    </row>
    <row r="170" customFormat="false" ht="15" hidden="false" customHeight="true" outlineLevel="0" collapsed="false">
      <c r="A170" s="6" t="s">
        <v>4478</v>
      </c>
      <c r="B170" s="6" t="s">
        <v>316</v>
      </c>
      <c r="C170" s="6" t="n">
        <v>1</v>
      </c>
      <c r="D170" s="6" t="n">
        <v>2</v>
      </c>
      <c r="E170" s="6" t="n">
        <v>31</v>
      </c>
      <c r="F170" s="6" t="s">
        <v>6694</v>
      </c>
      <c r="G170" s="28" t="n">
        <f aca="false">IFERROR(INDEX('Semrush Data'!$A$1:$Z$20000,MATCH(A170,'Semrush Data'!$A$1:$A$20000,0),MATCH("Volume",'Semrush Data'!$A$1:$Z$1,0)),"")</f>
        <v>0</v>
      </c>
      <c r="H170" s="6" t="n">
        <f aca="false">IFERROR(INDEX('Semrush Data'!$A$1:$Z$20000,MATCH(A170,'Semrush Data'!$A$1:$A$20000,0),MATCH("Keyword Difficulty*",'Semrush Data'!$A$1:$Z$1,0)),"")</f>
        <v>21</v>
      </c>
      <c r="I170" s="29" t="n">
        <f aca="false">IFERROR(INDEX('Semrush Data'!$A$1:$Z$20000,MATCH(A170,'Semrush Data'!$A$1:$A$20000,0),MATCH("CPC*",'Semrush Data'!$A$1:$Z$1,0)),"")</f>
        <v>0</v>
      </c>
      <c r="J170" s="6" t="str">
        <f aca="false">IFERROR(INDEX('Semrush Data'!$A$1:$Z$20000,MATCH(A170,'Semrush Data'!$A$1:$A$20000,0),MATCH("Intent",'Semrush Data'!$A$1:$Z$1,0)),"")</f>
        <v>Informational</v>
      </c>
    </row>
    <row r="171" customFormat="false" ht="15" hidden="false" customHeight="true" outlineLevel="0" collapsed="false">
      <c r="A171" s="6" t="s">
        <v>4304</v>
      </c>
      <c r="B171" s="6" t="s">
        <v>316</v>
      </c>
      <c r="C171" s="6" t="n">
        <v>1</v>
      </c>
      <c r="D171" s="6" t="n">
        <v>2</v>
      </c>
      <c r="E171" s="6" t="n">
        <v>23</v>
      </c>
      <c r="F171" s="6" t="s">
        <v>6695</v>
      </c>
      <c r="G171" s="28" t="n">
        <f aca="false">IFERROR(INDEX('Semrush Data'!$A$1:$Z$20000,MATCH(A171,'Semrush Data'!$A$1:$A$20000,0),MATCH("Volume",'Semrush Data'!$A$1:$Z$1,0)),"")</f>
        <v>0</v>
      </c>
      <c r="H171" s="6" t="n">
        <f aca="false">IFERROR(INDEX('Semrush Data'!$A$1:$Z$20000,MATCH(A171,'Semrush Data'!$A$1:$A$20000,0),MATCH("Keyword Difficulty*",'Semrush Data'!$A$1:$Z$1,0)),"")</f>
        <v>17</v>
      </c>
      <c r="I171" s="29" t="n">
        <f aca="false">IFERROR(INDEX('Semrush Data'!$A$1:$Z$20000,MATCH(A171,'Semrush Data'!$A$1:$A$20000,0),MATCH("CPC*",'Semrush Data'!$A$1:$Z$1,0)),"")</f>
        <v>0</v>
      </c>
      <c r="J171" s="6" t="str">
        <f aca="false">IFERROR(INDEX('Semrush Data'!$A$1:$Z$20000,MATCH(A171,'Semrush Data'!$A$1:$A$20000,0),MATCH("Intent",'Semrush Data'!$A$1:$Z$1,0)),"")</f>
        <v>Informational</v>
      </c>
    </row>
    <row r="172" customFormat="false" ht="15" hidden="false" customHeight="true" outlineLevel="0" collapsed="false">
      <c r="A172" s="6" t="s">
        <v>318</v>
      </c>
      <c r="B172" s="6" t="s">
        <v>316</v>
      </c>
      <c r="C172" s="6" t="n">
        <v>1</v>
      </c>
      <c r="D172" s="6" t="n">
        <v>2</v>
      </c>
      <c r="E172" s="6" t="n">
        <v>1</v>
      </c>
      <c r="F172" s="6" t="s">
        <v>6476</v>
      </c>
      <c r="G172" s="28" t="n">
        <f aca="false">IFERROR(INDEX('Semrush Data'!$A$1:$Z$20000,MATCH(A172,'Semrush Data'!$A$1:$A$20000,0),MATCH("Volume",'Semrush Data'!$A$1:$Z$1,0)),"")</f>
        <v>40500</v>
      </c>
      <c r="H172" s="6" t="n">
        <f aca="false">IFERROR(INDEX('Semrush Data'!$A$1:$Z$20000,MATCH(A172,'Semrush Data'!$A$1:$A$20000,0),MATCH("Keyword Difficulty*",'Semrush Data'!$A$1:$Z$1,0)),"")</f>
        <v>33</v>
      </c>
      <c r="I172" s="29" t="n">
        <f aca="false">IFERROR(INDEX('Semrush Data'!$A$1:$Z$20000,MATCH(A172,'Semrush Data'!$A$1:$A$20000,0),MATCH("CPC*",'Semrush Data'!$A$1:$Z$1,0)),"")</f>
        <v>0.36</v>
      </c>
      <c r="J172" s="6" t="str">
        <f aca="false">IFERROR(INDEX('Semrush Data'!$A$1:$Z$20000,MATCH(A172,'Semrush Data'!$A$1:$A$20000,0),MATCH("Intent",'Semrush Data'!$A$1:$Z$1,0)),"")</f>
        <v>Informational</v>
      </c>
    </row>
    <row r="173" customFormat="false" ht="15" hidden="false" customHeight="true" outlineLevel="0" collapsed="false">
      <c r="A173" s="6" t="s">
        <v>171</v>
      </c>
      <c r="B173" s="6" t="s">
        <v>154</v>
      </c>
      <c r="C173" s="6" t="n">
        <v>1</v>
      </c>
      <c r="D173" s="6" t="n">
        <v>2</v>
      </c>
      <c r="E173" s="6" t="n">
        <v>3</v>
      </c>
      <c r="F173" s="6" t="s">
        <v>6696</v>
      </c>
      <c r="G173" s="28" t="n">
        <f aca="false">IFERROR(INDEX('Semrush Data'!$A$1:$Z$20000,MATCH(A173,'Semrush Data'!$A$1:$A$20000,0),MATCH("Volume",'Semrush Data'!$A$1:$Z$1,0)),"")</f>
        <v>260</v>
      </c>
      <c r="H173" s="6" t="n">
        <f aca="false">IFERROR(INDEX('Semrush Data'!$A$1:$Z$20000,MATCH(A173,'Semrush Data'!$A$1:$A$20000,0),MATCH("Keyword Difficulty*",'Semrush Data'!$A$1:$Z$1,0)),"")</f>
        <v>19</v>
      </c>
      <c r="I173" s="29" t="n">
        <f aca="false">IFERROR(INDEX('Semrush Data'!$A$1:$Z$20000,MATCH(A173,'Semrush Data'!$A$1:$A$20000,0),MATCH("CPC*",'Semrush Data'!$A$1:$Z$1,0)),"")</f>
        <v>0.76</v>
      </c>
      <c r="J173" s="6" t="str">
        <f aca="false">IFERROR(INDEX('Semrush Data'!$A$1:$Z$20000,MATCH(A173,'Semrush Data'!$A$1:$A$20000,0),MATCH("Intent",'Semrush Data'!$A$1:$Z$1,0)),"")</f>
        <v>Informational</v>
      </c>
    </row>
    <row r="174" customFormat="false" ht="15" hidden="false" customHeight="true" outlineLevel="0" collapsed="false">
      <c r="A174" s="6" t="s">
        <v>6697</v>
      </c>
      <c r="B174" s="6" t="s">
        <v>154</v>
      </c>
      <c r="C174" s="6" t="n">
        <v>1</v>
      </c>
      <c r="D174" s="6" t="n">
        <v>2</v>
      </c>
      <c r="E174" s="6" t="n">
        <v>6</v>
      </c>
      <c r="F174" s="6" t="s">
        <v>6698</v>
      </c>
      <c r="G174" s="28" t="n">
        <f aca="false">IFERROR(INDEX('Semrush Data'!$A$1:$Z$20000,MATCH(A174,'Semrush Data'!$A$1:$A$20000,0),MATCH("Volume",'Semrush Data'!$A$1:$Z$1,0)),"")</f>
        <v>0</v>
      </c>
      <c r="H174" s="6" t="n">
        <f aca="false">IFERROR(INDEX('Semrush Data'!$A$1:$Z$20000,MATCH(A174,'Semrush Data'!$A$1:$A$20000,0),MATCH("Keyword Difficulty*",'Semrush Data'!$A$1:$Z$1,0)),"")</f>
        <v>15</v>
      </c>
      <c r="I174" s="29" t="n">
        <f aca="false">IFERROR(INDEX('Semrush Data'!$A$1:$Z$20000,MATCH(A174,'Semrush Data'!$A$1:$A$20000,0),MATCH("CPC*",'Semrush Data'!$A$1:$Z$1,0)),"")</f>
        <v>0</v>
      </c>
      <c r="J174" s="6" t="str">
        <f aca="false">IFERROR(INDEX('Semrush Data'!$A$1:$Z$20000,MATCH(A174,'Semrush Data'!$A$1:$A$20000,0),MATCH("Intent",'Semrush Data'!$A$1:$Z$1,0)),"")</f>
        <v>Informational</v>
      </c>
    </row>
    <row r="175" customFormat="false" ht="15" hidden="false" customHeight="true" outlineLevel="0" collapsed="false">
      <c r="A175" s="6" t="s">
        <v>6699</v>
      </c>
      <c r="B175" s="6" t="s">
        <v>154</v>
      </c>
      <c r="C175" s="6" t="n">
        <v>1</v>
      </c>
      <c r="D175" s="6" t="n">
        <v>2</v>
      </c>
      <c r="E175" s="6" t="n">
        <v>3</v>
      </c>
      <c r="F175" s="6" t="s">
        <v>6700</v>
      </c>
      <c r="G175" s="28" t="n">
        <f aca="false">IFERROR(INDEX('Semrush Data'!$A$1:$Z$20000,MATCH(A175,'Semrush Data'!$A$1:$A$20000,0),MATCH("Volume",'Semrush Data'!$A$1:$Z$1,0)),"")</f>
        <v>20</v>
      </c>
      <c r="H175" s="6" t="n">
        <f aca="false">IFERROR(INDEX('Semrush Data'!$A$1:$Z$20000,MATCH(A175,'Semrush Data'!$A$1:$A$20000,0),MATCH("Keyword Difficulty*",'Semrush Data'!$A$1:$Z$1,0)),"")</f>
        <v>13</v>
      </c>
      <c r="I175" s="29" t="n">
        <f aca="false">IFERROR(INDEX('Semrush Data'!$A$1:$Z$20000,MATCH(A175,'Semrush Data'!$A$1:$A$20000,0),MATCH("CPC*",'Semrush Data'!$A$1:$Z$1,0)),"")</f>
        <v>0</v>
      </c>
      <c r="J175" s="6" t="str">
        <f aca="false">IFERROR(INDEX('Semrush Data'!$A$1:$Z$20000,MATCH(A175,'Semrush Data'!$A$1:$A$20000,0),MATCH("Intent",'Semrush Data'!$A$1:$Z$1,0)),"")</f>
        <v>Informational</v>
      </c>
    </row>
    <row r="176" customFormat="false" ht="15" hidden="false" customHeight="true" outlineLevel="0" collapsed="false">
      <c r="A176" s="6" t="s">
        <v>161</v>
      </c>
      <c r="B176" s="6" t="s">
        <v>154</v>
      </c>
      <c r="C176" s="6" t="n">
        <v>1</v>
      </c>
      <c r="D176" s="6" t="n">
        <v>2</v>
      </c>
      <c r="E176" s="6" t="n">
        <v>4</v>
      </c>
      <c r="F176" s="6" t="s">
        <v>6701</v>
      </c>
      <c r="G176" s="28" t="n">
        <f aca="false">IFERROR(INDEX('Semrush Data'!$A$1:$Z$20000,MATCH(A176,'Semrush Data'!$A$1:$A$20000,0),MATCH("Volume",'Semrush Data'!$A$1:$Z$1,0)),"")</f>
        <v>1300</v>
      </c>
      <c r="H176" s="6" t="n">
        <f aca="false">IFERROR(INDEX('Semrush Data'!$A$1:$Z$20000,MATCH(A176,'Semrush Data'!$A$1:$A$20000,0),MATCH("Keyword Difficulty*",'Semrush Data'!$A$1:$Z$1,0)),"")</f>
        <v>11</v>
      </c>
      <c r="I176" s="29" t="n">
        <f aca="false">IFERROR(INDEX('Semrush Data'!$A$1:$Z$20000,MATCH(A176,'Semrush Data'!$A$1:$A$20000,0),MATCH("CPC*",'Semrush Data'!$A$1:$Z$1,0)),"")</f>
        <v>0.77</v>
      </c>
      <c r="J176" s="6" t="str">
        <f aca="false">IFERROR(INDEX('Semrush Data'!$A$1:$Z$20000,MATCH(A176,'Semrush Data'!$A$1:$A$20000,0),MATCH("Intent",'Semrush Data'!$A$1:$Z$1,0)),"")</f>
        <v>Informational</v>
      </c>
    </row>
    <row r="177" customFormat="false" ht="15" hidden="false" customHeight="true" outlineLevel="0" collapsed="false">
      <c r="A177" s="6" t="s">
        <v>6702</v>
      </c>
      <c r="B177" s="6" t="s">
        <v>154</v>
      </c>
      <c r="C177" s="6" t="n">
        <v>1</v>
      </c>
      <c r="D177" s="6" t="n">
        <v>2</v>
      </c>
      <c r="E177" s="6" t="n">
        <v>1</v>
      </c>
      <c r="F177" s="6" t="s">
        <v>1006</v>
      </c>
      <c r="G177" s="28" t="n">
        <f aca="false">IFERROR(INDEX('Semrush Data'!$A$1:$Z$20000,MATCH(A177,'Semrush Data'!$A$1:$A$20000,0),MATCH("Volume",'Semrush Data'!$A$1:$Z$1,0)),"")</f>
        <v>0</v>
      </c>
      <c r="H177" s="6" t="n">
        <f aca="false">IFERROR(INDEX('Semrush Data'!$A$1:$Z$20000,MATCH(A177,'Semrush Data'!$A$1:$A$20000,0),MATCH("Keyword Difficulty*",'Semrush Data'!$A$1:$Z$1,0)),"")</f>
        <v>20</v>
      </c>
      <c r="I177" s="29" t="n">
        <f aca="false">IFERROR(INDEX('Semrush Data'!$A$1:$Z$20000,MATCH(A177,'Semrush Data'!$A$1:$A$20000,0),MATCH("CPC*",'Semrush Data'!$A$1:$Z$1,0)),"")</f>
        <v>0</v>
      </c>
      <c r="J177" s="6" t="str">
        <f aca="false">IFERROR(INDEX('Semrush Data'!$A$1:$Z$20000,MATCH(A177,'Semrush Data'!$A$1:$A$20000,0),MATCH("Intent",'Semrush Data'!$A$1:$Z$1,0)),"")</f>
        <v>Informational Commercial</v>
      </c>
    </row>
    <row r="178" customFormat="false" ht="15" hidden="false" customHeight="true" outlineLevel="0" collapsed="false">
      <c r="A178" s="6" t="s">
        <v>180</v>
      </c>
      <c r="B178" s="6" t="s">
        <v>154</v>
      </c>
      <c r="C178" s="6" t="n">
        <v>1</v>
      </c>
      <c r="D178" s="6" t="n">
        <v>2</v>
      </c>
      <c r="E178" s="6" t="n">
        <v>2</v>
      </c>
      <c r="F178" s="6" t="s">
        <v>6703</v>
      </c>
      <c r="G178" s="28" t="n">
        <f aca="false">IFERROR(INDEX('Semrush Data'!$A$1:$Z$20000,MATCH(A178,'Semrush Data'!$A$1:$A$20000,0),MATCH("Volume",'Semrush Data'!$A$1:$Z$1,0)),"")</f>
        <v>70</v>
      </c>
      <c r="H178" s="6" t="n">
        <f aca="false">IFERROR(INDEX('Semrush Data'!$A$1:$Z$20000,MATCH(A178,'Semrush Data'!$A$1:$A$20000,0),MATCH("Keyword Difficulty*",'Semrush Data'!$A$1:$Z$1,0)),"")</f>
        <v>36</v>
      </c>
      <c r="I178" s="29" t="n">
        <f aca="false">IFERROR(INDEX('Semrush Data'!$A$1:$Z$20000,MATCH(A178,'Semrush Data'!$A$1:$A$20000,0),MATCH("CPC*",'Semrush Data'!$A$1:$Z$1,0)),"")</f>
        <v>0.49</v>
      </c>
      <c r="J178" s="6" t="str">
        <f aca="false">IFERROR(INDEX('Semrush Data'!$A$1:$Z$20000,MATCH(A178,'Semrush Data'!$A$1:$A$20000,0),MATCH("Intent",'Semrush Data'!$A$1:$Z$1,0)),"")</f>
        <v>Informational</v>
      </c>
    </row>
    <row r="179" customFormat="false" ht="15" hidden="false" customHeight="true" outlineLevel="0" collapsed="false">
      <c r="A179" s="6" t="s">
        <v>6704</v>
      </c>
      <c r="B179" s="6" t="s">
        <v>154</v>
      </c>
      <c r="C179" s="6" t="n">
        <v>1</v>
      </c>
      <c r="D179" s="6" t="n">
        <v>2</v>
      </c>
      <c r="E179" s="6" t="n">
        <v>1</v>
      </c>
      <c r="F179" s="6" t="s">
        <v>583</v>
      </c>
      <c r="G179" s="28" t="n">
        <f aca="false">IFERROR(INDEX('Semrush Data'!$A$1:$Z$20000,MATCH(A179,'Semrush Data'!$A$1:$A$20000,0),MATCH("Volume",'Semrush Data'!$A$1:$Z$1,0)),"")</f>
        <v>0</v>
      </c>
      <c r="H179" s="6" t="n">
        <f aca="false">IFERROR(INDEX('Semrush Data'!$A$1:$Z$20000,MATCH(A179,'Semrush Data'!$A$1:$A$20000,0),MATCH("Keyword Difficulty*",'Semrush Data'!$A$1:$Z$1,0)),"")</f>
        <v>31</v>
      </c>
      <c r="I179" s="29" t="n">
        <f aca="false">IFERROR(INDEX('Semrush Data'!$A$1:$Z$20000,MATCH(A179,'Semrush Data'!$A$1:$A$20000,0),MATCH("CPC*",'Semrush Data'!$A$1:$Z$1,0)),"")</f>
        <v>0</v>
      </c>
      <c r="J179" s="6" t="str">
        <f aca="false">IFERROR(INDEX('Semrush Data'!$A$1:$Z$20000,MATCH(A179,'Semrush Data'!$A$1:$A$20000,0),MATCH("Intent",'Semrush Data'!$A$1:$Z$1,0)),"")</f>
        <v>Commercial</v>
      </c>
    </row>
    <row r="180" customFormat="false" ht="15" hidden="false" customHeight="true" outlineLevel="0" collapsed="false">
      <c r="A180" s="6" t="s">
        <v>6705</v>
      </c>
      <c r="B180" s="6" t="s">
        <v>154</v>
      </c>
      <c r="C180" s="6" t="n">
        <v>1</v>
      </c>
      <c r="D180" s="6" t="n">
        <v>2</v>
      </c>
      <c r="E180" s="6" t="n">
        <v>7</v>
      </c>
      <c r="F180" s="6" t="s">
        <v>6706</v>
      </c>
      <c r="G180" s="28" t="n">
        <f aca="false">IFERROR(INDEX('Semrush Data'!$A$1:$Z$20000,MATCH(A180,'Semrush Data'!$A$1:$A$20000,0),MATCH("Volume",'Semrush Data'!$A$1:$Z$1,0)),"")</f>
        <v>0</v>
      </c>
      <c r="H180" s="6" t="n">
        <f aca="false">IFERROR(INDEX('Semrush Data'!$A$1:$Z$20000,MATCH(A180,'Semrush Data'!$A$1:$A$20000,0),MATCH("Keyword Difficulty*",'Semrush Data'!$A$1:$Z$1,0)),"")</f>
        <v>27</v>
      </c>
      <c r="I180" s="29" t="n">
        <f aca="false">IFERROR(INDEX('Semrush Data'!$A$1:$Z$20000,MATCH(A180,'Semrush Data'!$A$1:$A$20000,0),MATCH("CPC*",'Semrush Data'!$A$1:$Z$1,0)),"")</f>
        <v>0</v>
      </c>
      <c r="J180" s="6" t="str">
        <f aca="false">IFERROR(INDEX('Semrush Data'!$A$1:$Z$20000,MATCH(A180,'Semrush Data'!$A$1:$A$20000,0),MATCH("Intent",'Semrush Data'!$A$1:$Z$1,0)),"")</f>
        <v>Informational</v>
      </c>
    </row>
    <row r="181" customFormat="false" ht="15" hidden="false" customHeight="true" outlineLevel="0" collapsed="false">
      <c r="A181" s="6" t="s">
        <v>6707</v>
      </c>
      <c r="B181" s="6" t="s">
        <v>154</v>
      </c>
      <c r="C181" s="6" t="n">
        <v>1</v>
      </c>
      <c r="D181" s="6" t="n">
        <v>2</v>
      </c>
      <c r="E181" s="6" t="n">
        <v>2</v>
      </c>
      <c r="F181" s="6" t="s">
        <v>6708</v>
      </c>
      <c r="G181" s="28" t="n">
        <f aca="false">IFERROR(INDEX('Semrush Data'!$A$1:$Z$20000,MATCH(A181,'Semrush Data'!$A$1:$A$20000,0),MATCH("Volume",'Semrush Data'!$A$1:$Z$1,0)),"")</f>
        <v>0</v>
      </c>
      <c r="H181" s="6" t="n">
        <f aca="false">IFERROR(INDEX('Semrush Data'!$A$1:$Z$20000,MATCH(A181,'Semrush Data'!$A$1:$A$20000,0),MATCH("Keyword Difficulty*",'Semrush Data'!$A$1:$Z$1,0)),"")</f>
        <v>13</v>
      </c>
      <c r="I181" s="29" t="n">
        <f aca="false">IFERROR(INDEX('Semrush Data'!$A$1:$Z$20000,MATCH(A181,'Semrush Data'!$A$1:$A$20000,0),MATCH("CPC*",'Semrush Data'!$A$1:$Z$1,0)),"")</f>
        <v>0</v>
      </c>
      <c r="J181" s="6" t="str">
        <f aca="false">IFERROR(INDEX('Semrush Data'!$A$1:$Z$20000,MATCH(A181,'Semrush Data'!$A$1:$A$20000,0),MATCH("Intent",'Semrush Data'!$A$1:$Z$1,0)),"")</f>
        <v>Commercial</v>
      </c>
    </row>
    <row r="182" customFormat="false" ht="15" hidden="false" customHeight="true" outlineLevel="0" collapsed="false">
      <c r="A182" s="6" t="s">
        <v>6709</v>
      </c>
      <c r="B182" s="6" t="s">
        <v>154</v>
      </c>
      <c r="C182" s="6" t="n">
        <v>1</v>
      </c>
      <c r="D182" s="6" t="n">
        <v>2</v>
      </c>
      <c r="E182" s="6" t="n">
        <v>3</v>
      </c>
      <c r="F182" s="6" t="s">
        <v>6696</v>
      </c>
      <c r="G182" s="28" t="n">
        <f aca="false">IFERROR(INDEX('Semrush Data'!$A$1:$Z$20000,MATCH(A182,'Semrush Data'!$A$1:$A$20000,0),MATCH("Volume",'Semrush Data'!$A$1:$Z$1,0)),"")</f>
        <v>0</v>
      </c>
      <c r="H182" s="6" t="n">
        <f aca="false">IFERROR(INDEX('Semrush Data'!$A$1:$Z$20000,MATCH(A182,'Semrush Data'!$A$1:$A$20000,0),MATCH("Keyword Difficulty*",'Semrush Data'!$A$1:$Z$1,0)),"")</f>
        <v>6</v>
      </c>
      <c r="I182" s="29" t="n">
        <f aca="false">IFERROR(INDEX('Semrush Data'!$A$1:$Z$20000,MATCH(A182,'Semrush Data'!$A$1:$A$20000,0),MATCH("CPC*",'Semrush Data'!$A$1:$Z$1,0)),"")</f>
        <v>0</v>
      </c>
      <c r="J182" s="6" t="str">
        <f aca="false">IFERROR(INDEX('Semrush Data'!$A$1:$Z$20000,MATCH(A182,'Semrush Data'!$A$1:$A$20000,0),MATCH("Intent",'Semrush Data'!$A$1:$Z$1,0)),"")</f>
        <v>Transactional Navigational</v>
      </c>
    </row>
    <row r="183" customFormat="false" ht="15" hidden="false" customHeight="true" outlineLevel="0" collapsed="false">
      <c r="A183" s="6" t="s">
        <v>6710</v>
      </c>
      <c r="B183" s="6" t="s">
        <v>154</v>
      </c>
      <c r="C183" s="6" t="n">
        <v>1</v>
      </c>
      <c r="D183" s="6" t="n">
        <v>2</v>
      </c>
      <c r="E183" s="6" t="n">
        <v>9</v>
      </c>
      <c r="F183" s="6" t="s">
        <v>6711</v>
      </c>
      <c r="G183" s="28" t="n">
        <f aca="false">IFERROR(INDEX('Semrush Data'!$A$1:$Z$20000,MATCH(A183,'Semrush Data'!$A$1:$A$20000,0),MATCH("Volume",'Semrush Data'!$A$1:$Z$1,0)),"")</f>
        <v>0</v>
      </c>
      <c r="H183" s="6" t="n">
        <f aca="false">IFERROR(INDEX('Semrush Data'!$A$1:$Z$20000,MATCH(A183,'Semrush Data'!$A$1:$A$20000,0),MATCH("Keyword Difficulty*",'Semrush Data'!$A$1:$Z$1,0)),"")</f>
        <v>17</v>
      </c>
      <c r="I183" s="29" t="n">
        <f aca="false">IFERROR(INDEX('Semrush Data'!$A$1:$Z$20000,MATCH(A183,'Semrush Data'!$A$1:$A$20000,0),MATCH("CPC*",'Semrush Data'!$A$1:$Z$1,0)),"")</f>
        <v>0</v>
      </c>
      <c r="J183" s="6" t="str">
        <f aca="false">IFERROR(INDEX('Semrush Data'!$A$1:$Z$20000,MATCH(A183,'Semrush Data'!$A$1:$A$20000,0),MATCH("Intent",'Semrush Data'!$A$1:$Z$1,0)),"")</f>
        <v>Transactional Navigational</v>
      </c>
    </row>
    <row r="184" customFormat="false" ht="15" hidden="false" customHeight="true" outlineLevel="0" collapsed="false">
      <c r="A184" s="6" t="s">
        <v>6712</v>
      </c>
      <c r="B184" s="6" t="s">
        <v>154</v>
      </c>
      <c r="C184" s="6" t="n">
        <v>1</v>
      </c>
      <c r="D184" s="6" t="n">
        <v>2</v>
      </c>
      <c r="E184" s="6" t="n">
        <v>1</v>
      </c>
      <c r="F184" s="6" t="s">
        <v>1117</v>
      </c>
      <c r="G184" s="28" t="n">
        <f aca="false">IFERROR(INDEX('Semrush Data'!$A$1:$Z$20000,MATCH(A184,'Semrush Data'!$A$1:$A$20000,0),MATCH("Volume",'Semrush Data'!$A$1:$Z$1,0)),"")</f>
        <v>0</v>
      </c>
      <c r="H184" s="6" t="n">
        <f aca="false">IFERROR(INDEX('Semrush Data'!$A$1:$Z$20000,MATCH(A184,'Semrush Data'!$A$1:$A$20000,0),MATCH("Keyword Difficulty*",'Semrush Data'!$A$1:$Z$1,0)),"")</f>
        <v>14</v>
      </c>
      <c r="I184" s="29" t="n">
        <f aca="false">IFERROR(INDEX('Semrush Data'!$A$1:$Z$20000,MATCH(A184,'Semrush Data'!$A$1:$A$20000,0),MATCH("CPC*",'Semrush Data'!$A$1:$Z$1,0)),"")</f>
        <v>0</v>
      </c>
      <c r="J184" s="6" t="str">
        <f aca="false">IFERROR(INDEX('Semrush Data'!$A$1:$Z$20000,MATCH(A184,'Semrush Data'!$A$1:$A$20000,0),MATCH("Intent",'Semrush Data'!$A$1:$Z$1,0)),"")</f>
        <v>Transactional Navigational</v>
      </c>
    </row>
    <row r="185" customFormat="false" ht="15" hidden="false" customHeight="true" outlineLevel="0" collapsed="false">
      <c r="A185" s="6" t="s">
        <v>6713</v>
      </c>
      <c r="B185" s="6" t="s">
        <v>154</v>
      </c>
      <c r="C185" s="6" t="n">
        <v>1</v>
      </c>
      <c r="D185" s="6" t="n">
        <v>2</v>
      </c>
      <c r="E185" s="6" t="n">
        <v>1</v>
      </c>
      <c r="F185" s="6" t="s">
        <v>1006</v>
      </c>
      <c r="G185" s="28" t="n">
        <f aca="false">IFERROR(INDEX('Semrush Data'!$A$1:$Z$20000,MATCH(A185,'Semrush Data'!$A$1:$A$20000,0),MATCH("Volume",'Semrush Data'!$A$1:$Z$1,0)),"")</f>
        <v>0</v>
      </c>
      <c r="H185" s="6" t="n">
        <f aca="false">IFERROR(INDEX('Semrush Data'!$A$1:$Z$20000,MATCH(A185,'Semrush Data'!$A$1:$A$20000,0),MATCH("Keyword Difficulty*",'Semrush Data'!$A$1:$Z$1,0)),"")</f>
        <v>14</v>
      </c>
      <c r="I185" s="29" t="n">
        <f aca="false">IFERROR(INDEX('Semrush Data'!$A$1:$Z$20000,MATCH(A185,'Semrush Data'!$A$1:$A$20000,0),MATCH("CPC*",'Semrush Data'!$A$1:$Z$1,0)),"")</f>
        <v>0</v>
      </c>
      <c r="J185" s="6" t="str">
        <f aca="false">IFERROR(INDEX('Semrush Data'!$A$1:$Z$20000,MATCH(A185,'Semrush Data'!$A$1:$A$20000,0),MATCH("Intent",'Semrush Data'!$A$1:$Z$1,0)),"")</f>
        <v>Transactional Navigational</v>
      </c>
    </row>
    <row r="186" customFormat="false" ht="15" hidden="false" customHeight="true" outlineLevel="0" collapsed="false">
      <c r="A186" s="6" t="s">
        <v>6714</v>
      </c>
      <c r="B186" s="6" t="s">
        <v>154</v>
      </c>
      <c r="C186" s="6" t="n">
        <v>1</v>
      </c>
      <c r="D186" s="6" t="n">
        <v>2</v>
      </c>
      <c r="E186" s="6" t="n">
        <v>3</v>
      </c>
      <c r="F186" s="6" t="s">
        <v>6715</v>
      </c>
      <c r="G186" s="28" t="n">
        <f aca="false">IFERROR(INDEX('Semrush Data'!$A$1:$Z$20000,MATCH(A186,'Semrush Data'!$A$1:$A$20000,0),MATCH("Volume",'Semrush Data'!$A$1:$Z$1,0)),"")</f>
        <v>0</v>
      </c>
      <c r="H186" s="6" t="n">
        <f aca="false">IFERROR(INDEX('Semrush Data'!$A$1:$Z$20000,MATCH(A186,'Semrush Data'!$A$1:$A$20000,0),MATCH("Keyword Difficulty*",'Semrush Data'!$A$1:$Z$1,0)),"")</f>
        <v>14</v>
      </c>
      <c r="I186" s="29" t="n">
        <f aca="false">IFERROR(INDEX('Semrush Data'!$A$1:$Z$20000,MATCH(A186,'Semrush Data'!$A$1:$A$20000,0),MATCH("CPC*",'Semrush Data'!$A$1:$Z$1,0)),"")</f>
        <v>0</v>
      </c>
      <c r="J186" s="6" t="str">
        <f aca="false">IFERROR(INDEX('Semrush Data'!$A$1:$Z$20000,MATCH(A186,'Semrush Data'!$A$1:$A$20000,0),MATCH("Intent",'Semrush Data'!$A$1:$Z$1,0)),"")</f>
        <v>Navigational</v>
      </c>
    </row>
    <row r="187" customFormat="false" ht="15" hidden="false" customHeight="true" outlineLevel="0" collapsed="false">
      <c r="A187" s="6" t="s">
        <v>6716</v>
      </c>
      <c r="B187" s="6" t="s">
        <v>154</v>
      </c>
      <c r="C187" s="6" t="n">
        <v>1</v>
      </c>
      <c r="D187" s="6" t="n">
        <v>2</v>
      </c>
      <c r="E187" s="6" t="n">
        <v>1</v>
      </c>
      <c r="F187" s="6" t="s">
        <v>1199</v>
      </c>
      <c r="G187" s="28" t="n">
        <f aca="false">IFERROR(INDEX('Semrush Data'!$A$1:$Z$20000,MATCH(A187,'Semrush Data'!$A$1:$A$20000,0),MATCH("Volume",'Semrush Data'!$A$1:$Z$1,0)),"")</f>
        <v>0</v>
      </c>
      <c r="H187" s="6" t="n">
        <f aca="false">IFERROR(INDEX('Semrush Data'!$A$1:$Z$20000,MATCH(A187,'Semrush Data'!$A$1:$A$20000,0),MATCH("Keyword Difficulty*",'Semrush Data'!$A$1:$Z$1,0)),"")</f>
        <v>30</v>
      </c>
      <c r="I187" s="29" t="n">
        <f aca="false">IFERROR(INDEX('Semrush Data'!$A$1:$Z$20000,MATCH(A187,'Semrush Data'!$A$1:$A$20000,0),MATCH("CPC*",'Semrush Data'!$A$1:$Z$1,0)),"")</f>
        <v>0</v>
      </c>
      <c r="J187" s="6" t="str">
        <f aca="false">IFERROR(INDEX('Semrush Data'!$A$1:$Z$20000,MATCH(A187,'Semrush Data'!$A$1:$A$20000,0),MATCH("Intent",'Semrush Data'!$A$1:$Z$1,0)),"")</f>
        <v>Transactional Navigational</v>
      </c>
    </row>
    <row r="188" customFormat="false" ht="15" hidden="false" customHeight="true" outlineLevel="0" collapsed="false">
      <c r="A188" s="6" t="s">
        <v>6717</v>
      </c>
      <c r="B188" s="6" t="s">
        <v>154</v>
      </c>
      <c r="C188" s="6" t="n">
        <v>1</v>
      </c>
      <c r="D188" s="6" t="n">
        <v>2</v>
      </c>
      <c r="E188" s="6" t="n">
        <v>1</v>
      </c>
      <c r="F188" s="6" t="s">
        <v>914</v>
      </c>
      <c r="G188" s="28" t="n">
        <f aca="false">IFERROR(INDEX('Semrush Data'!$A$1:$Z$20000,MATCH(A188,'Semrush Data'!$A$1:$A$20000,0),MATCH("Volume",'Semrush Data'!$A$1:$Z$1,0)),"")</f>
        <v>0</v>
      </c>
      <c r="H188" s="6" t="n">
        <f aca="false">IFERROR(INDEX('Semrush Data'!$A$1:$Z$20000,MATCH(A188,'Semrush Data'!$A$1:$A$20000,0),MATCH("Keyword Difficulty*",'Semrush Data'!$A$1:$Z$1,0)),"")</f>
        <v>14</v>
      </c>
      <c r="I188" s="29" t="n">
        <f aca="false">IFERROR(INDEX('Semrush Data'!$A$1:$Z$20000,MATCH(A188,'Semrush Data'!$A$1:$A$20000,0),MATCH("CPC*",'Semrush Data'!$A$1:$Z$1,0)),"")</f>
        <v>0</v>
      </c>
      <c r="J188" s="6" t="str">
        <f aca="false">IFERROR(INDEX('Semrush Data'!$A$1:$Z$20000,MATCH(A188,'Semrush Data'!$A$1:$A$20000,0),MATCH("Intent",'Semrush Data'!$A$1:$Z$1,0)),"")</f>
        <v>Transactional Navigational</v>
      </c>
    </row>
    <row r="189" customFormat="false" ht="15" hidden="false" customHeight="true" outlineLevel="0" collapsed="false">
      <c r="A189" s="6" t="s">
        <v>6718</v>
      </c>
      <c r="B189" s="6" t="s">
        <v>154</v>
      </c>
      <c r="C189" s="6" t="n">
        <v>1</v>
      </c>
      <c r="D189" s="6" t="n">
        <v>2</v>
      </c>
      <c r="E189" s="6" t="n">
        <v>4</v>
      </c>
      <c r="F189" s="6" t="s">
        <v>6719</v>
      </c>
      <c r="G189" s="28" t="n">
        <f aca="false">IFERROR(INDEX('Semrush Data'!$A$1:$Z$20000,MATCH(A189,'Semrush Data'!$A$1:$A$20000,0),MATCH("Volume",'Semrush Data'!$A$1:$Z$1,0)),"")</f>
        <v>20</v>
      </c>
      <c r="H189" s="6" t="n">
        <f aca="false">IFERROR(INDEX('Semrush Data'!$A$1:$Z$20000,MATCH(A189,'Semrush Data'!$A$1:$A$20000,0),MATCH("Keyword Difficulty*",'Semrush Data'!$A$1:$Z$1,0)),"")</f>
        <v>14</v>
      </c>
      <c r="I189" s="29" t="n">
        <f aca="false">IFERROR(INDEX('Semrush Data'!$A$1:$Z$20000,MATCH(A189,'Semrush Data'!$A$1:$A$20000,0),MATCH("CPC*",'Semrush Data'!$A$1:$Z$1,0)),"")</f>
        <v>0</v>
      </c>
      <c r="J189" s="6" t="str">
        <f aca="false">IFERROR(INDEX('Semrush Data'!$A$1:$Z$20000,MATCH(A189,'Semrush Data'!$A$1:$A$20000,0),MATCH("Intent",'Semrush Data'!$A$1:$Z$1,0)),"")</f>
        <v>Transactional Navigational</v>
      </c>
    </row>
    <row r="190" customFormat="false" ht="15" hidden="false" customHeight="true" outlineLevel="0" collapsed="false">
      <c r="A190" s="6" t="s">
        <v>6720</v>
      </c>
      <c r="B190" s="6" t="s">
        <v>154</v>
      </c>
      <c r="C190" s="6" t="n">
        <v>1</v>
      </c>
      <c r="D190" s="6" t="n">
        <v>2</v>
      </c>
      <c r="E190" s="6" t="n">
        <v>3</v>
      </c>
      <c r="F190" s="6" t="s">
        <v>6721</v>
      </c>
      <c r="G190" s="28" t="n">
        <f aca="false">IFERROR(INDEX('Semrush Data'!$A$1:$Z$20000,MATCH(A190,'Semrush Data'!$A$1:$A$20000,0),MATCH("Volume",'Semrush Data'!$A$1:$Z$1,0)),"")</f>
        <v>0</v>
      </c>
      <c r="H190" s="6" t="n">
        <f aca="false">IFERROR(INDEX('Semrush Data'!$A$1:$Z$20000,MATCH(A190,'Semrush Data'!$A$1:$A$20000,0),MATCH("Keyword Difficulty*",'Semrush Data'!$A$1:$Z$1,0)),"")</f>
        <v>14</v>
      </c>
      <c r="I190" s="29" t="n">
        <f aca="false">IFERROR(INDEX('Semrush Data'!$A$1:$Z$20000,MATCH(A190,'Semrush Data'!$A$1:$A$20000,0),MATCH("CPC*",'Semrush Data'!$A$1:$Z$1,0)),"")</f>
        <v>0</v>
      </c>
      <c r="J190" s="6" t="str">
        <f aca="false">IFERROR(INDEX('Semrush Data'!$A$1:$Z$20000,MATCH(A190,'Semrush Data'!$A$1:$A$20000,0),MATCH("Intent",'Semrush Data'!$A$1:$Z$1,0)),"")</f>
        <v>Transactional Navigational</v>
      </c>
    </row>
    <row r="191" customFormat="false" ht="15" hidden="false" customHeight="true" outlineLevel="0" collapsed="false">
      <c r="A191" s="6" t="s">
        <v>6722</v>
      </c>
      <c r="B191" s="6" t="s">
        <v>154</v>
      </c>
      <c r="C191" s="6" t="n">
        <v>1</v>
      </c>
      <c r="D191" s="6" t="n">
        <v>2</v>
      </c>
      <c r="E191" s="6" t="n">
        <v>3</v>
      </c>
      <c r="F191" s="6" t="s">
        <v>6723</v>
      </c>
      <c r="G191" s="28" t="n">
        <f aca="false">IFERROR(INDEX('Semrush Data'!$A$1:$Z$20000,MATCH(A191,'Semrush Data'!$A$1:$A$20000,0),MATCH("Volume",'Semrush Data'!$A$1:$Z$1,0)),"")</f>
        <v>20</v>
      </c>
      <c r="H191" s="6" t="n">
        <f aca="false">IFERROR(INDEX('Semrush Data'!$A$1:$Z$20000,MATCH(A191,'Semrush Data'!$A$1:$A$20000,0),MATCH("Keyword Difficulty*",'Semrush Data'!$A$1:$Z$1,0)),"")</f>
        <v>20</v>
      </c>
      <c r="I191" s="29" t="n">
        <f aca="false">IFERROR(INDEX('Semrush Data'!$A$1:$Z$20000,MATCH(A191,'Semrush Data'!$A$1:$A$20000,0),MATCH("CPC*",'Semrush Data'!$A$1:$Z$1,0)),"")</f>
        <v>0</v>
      </c>
      <c r="J191" s="6" t="str">
        <f aca="false">IFERROR(INDEX('Semrush Data'!$A$1:$Z$20000,MATCH(A191,'Semrush Data'!$A$1:$A$20000,0),MATCH("Intent",'Semrush Data'!$A$1:$Z$1,0)),"")</f>
        <v>Informational Transactional</v>
      </c>
    </row>
    <row r="192" customFormat="false" ht="15" hidden="false" customHeight="true" outlineLevel="0" collapsed="false">
      <c r="A192" s="6" t="s">
        <v>6724</v>
      </c>
      <c r="B192" s="6" t="s">
        <v>154</v>
      </c>
      <c r="C192" s="6" t="n">
        <v>1</v>
      </c>
      <c r="D192" s="6" t="n">
        <v>2</v>
      </c>
      <c r="E192" s="6" t="n">
        <v>2</v>
      </c>
      <c r="F192" s="6" t="s">
        <v>6725</v>
      </c>
      <c r="G192" s="28" t="n">
        <f aca="false">IFERROR(INDEX('Semrush Data'!$A$1:$Z$20000,MATCH(A192,'Semrush Data'!$A$1:$A$20000,0),MATCH("Volume",'Semrush Data'!$A$1:$Z$1,0)),"")</f>
        <v>0</v>
      </c>
      <c r="H192" s="6" t="n">
        <f aca="false">IFERROR(INDEX('Semrush Data'!$A$1:$Z$20000,MATCH(A192,'Semrush Data'!$A$1:$A$20000,0),MATCH("Keyword Difficulty*",'Semrush Data'!$A$1:$Z$1,0)),"")</f>
        <v>22</v>
      </c>
      <c r="I192" s="29" t="n">
        <f aca="false">IFERROR(INDEX('Semrush Data'!$A$1:$Z$20000,MATCH(A192,'Semrush Data'!$A$1:$A$20000,0),MATCH("CPC*",'Semrush Data'!$A$1:$Z$1,0)),"")</f>
        <v>0</v>
      </c>
      <c r="J192" s="6" t="str">
        <f aca="false">IFERROR(INDEX('Semrush Data'!$A$1:$Z$20000,MATCH(A192,'Semrush Data'!$A$1:$A$20000,0),MATCH("Intent",'Semrush Data'!$A$1:$Z$1,0)),"")</f>
        <v>Transactional Navigational</v>
      </c>
    </row>
    <row r="193" customFormat="false" ht="15" hidden="false" customHeight="true" outlineLevel="0" collapsed="false">
      <c r="A193" s="6" t="s">
        <v>181</v>
      </c>
      <c r="B193" s="6" t="s">
        <v>154</v>
      </c>
      <c r="C193" s="6" t="n">
        <v>1</v>
      </c>
      <c r="D193" s="6" t="n">
        <v>2</v>
      </c>
      <c r="E193" s="6" t="n">
        <v>5</v>
      </c>
      <c r="F193" s="6" t="s">
        <v>6726</v>
      </c>
      <c r="G193" s="28" t="n">
        <f aca="false">IFERROR(INDEX('Semrush Data'!$A$1:$Z$20000,MATCH(A193,'Semrush Data'!$A$1:$A$20000,0),MATCH("Volume",'Semrush Data'!$A$1:$Z$1,0)),"")</f>
        <v>70</v>
      </c>
      <c r="H193" s="6" t="n">
        <f aca="false">IFERROR(INDEX('Semrush Data'!$A$1:$Z$20000,MATCH(A193,'Semrush Data'!$A$1:$A$20000,0),MATCH("Keyword Difficulty*",'Semrush Data'!$A$1:$Z$1,0)),"")</f>
        <v>16</v>
      </c>
      <c r="I193" s="29" t="n">
        <f aca="false">IFERROR(INDEX('Semrush Data'!$A$1:$Z$20000,MATCH(A193,'Semrush Data'!$A$1:$A$20000,0),MATCH("CPC*",'Semrush Data'!$A$1:$Z$1,0)),"")</f>
        <v>0.35</v>
      </c>
      <c r="J193" s="6" t="str">
        <f aca="false">IFERROR(INDEX('Semrush Data'!$A$1:$Z$20000,MATCH(A193,'Semrush Data'!$A$1:$A$20000,0),MATCH("Intent",'Semrush Data'!$A$1:$Z$1,0)),"")</f>
        <v>Transactional</v>
      </c>
    </row>
    <row r="194" customFormat="false" ht="15" hidden="false" customHeight="true" outlineLevel="0" collapsed="false">
      <c r="A194" s="6" t="s">
        <v>6727</v>
      </c>
      <c r="B194" s="6" t="s">
        <v>154</v>
      </c>
      <c r="C194" s="6" t="n">
        <v>1</v>
      </c>
      <c r="D194" s="6" t="n">
        <v>2</v>
      </c>
      <c r="E194" s="6" t="n">
        <v>4</v>
      </c>
      <c r="F194" s="6" t="s">
        <v>6728</v>
      </c>
      <c r="G194" s="28" t="n">
        <f aca="false">IFERROR(INDEX('Semrush Data'!$A$1:$Z$20000,MATCH(A194,'Semrush Data'!$A$1:$A$20000,0),MATCH("Volume",'Semrush Data'!$A$1:$Z$1,0)),"")</f>
        <v>0</v>
      </c>
      <c r="H194" s="6" t="n">
        <f aca="false">IFERROR(INDEX('Semrush Data'!$A$1:$Z$20000,MATCH(A194,'Semrush Data'!$A$1:$A$20000,0),MATCH("Keyword Difficulty*",'Semrush Data'!$A$1:$Z$1,0)),"")</f>
        <v>25</v>
      </c>
      <c r="I194" s="29" t="n">
        <f aca="false">IFERROR(INDEX('Semrush Data'!$A$1:$Z$20000,MATCH(A194,'Semrush Data'!$A$1:$A$20000,0),MATCH("CPC*",'Semrush Data'!$A$1:$Z$1,0)),"")</f>
        <v>0</v>
      </c>
      <c r="J194" s="6" t="str">
        <f aca="false">IFERROR(INDEX('Semrush Data'!$A$1:$Z$20000,MATCH(A194,'Semrush Data'!$A$1:$A$20000,0),MATCH("Intent",'Semrush Data'!$A$1:$Z$1,0)),"")</f>
        <v>Transactional Navigational</v>
      </c>
    </row>
    <row r="195" customFormat="false" ht="15" hidden="false" customHeight="true" outlineLevel="0" collapsed="false">
      <c r="A195" s="6" t="s">
        <v>183</v>
      </c>
      <c r="B195" s="6" t="s">
        <v>154</v>
      </c>
      <c r="C195" s="6" t="n">
        <v>1</v>
      </c>
      <c r="D195" s="6" t="n">
        <v>2</v>
      </c>
      <c r="E195" s="6" t="n">
        <v>2</v>
      </c>
      <c r="F195" s="6" t="s">
        <v>6729</v>
      </c>
      <c r="G195" s="28" t="n">
        <f aca="false">IFERROR(INDEX('Semrush Data'!$A$1:$Z$20000,MATCH(A195,'Semrush Data'!$A$1:$A$20000,0),MATCH("Volume",'Semrush Data'!$A$1:$Z$1,0)),"")</f>
        <v>30</v>
      </c>
      <c r="H195" s="6" t="n">
        <f aca="false">IFERROR(INDEX('Semrush Data'!$A$1:$Z$20000,MATCH(A195,'Semrush Data'!$A$1:$A$20000,0),MATCH("Keyword Difficulty*",'Semrush Data'!$A$1:$Z$1,0)),"")</f>
        <v>21</v>
      </c>
      <c r="I195" s="29" t="n">
        <f aca="false">IFERROR(INDEX('Semrush Data'!$A$1:$Z$20000,MATCH(A195,'Semrush Data'!$A$1:$A$20000,0),MATCH("CPC*",'Semrush Data'!$A$1:$Z$1,0)),"")</f>
        <v>0</v>
      </c>
      <c r="J195" s="6" t="str">
        <f aca="false">IFERROR(INDEX('Semrush Data'!$A$1:$Z$20000,MATCH(A195,'Semrush Data'!$A$1:$A$20000,0),MATCH("Intent",'Semrush Data'!$A$1:$Z$1,0)),"")</f>
        <v>Transactional Navigational</v>
      </c>
    </row>
    <row r="196" customFormat="false" ht="15" hidden="false" customHeight="true" outlineLevel="0" collapsed="false">
      <c r="A196" s="6" t="s">
        <v>184</v>
      </c>
      <c r="B196" s="6" t="s">
        <v>154</v>
      </c>
      <c r="C196" s="6" t="n">
        <v>1</v>
      </c>
      <c r="D196" s="6" t="n">
        <v>2</v>
      </c>
      <c r="E196" s="6" t="n">
        <v>8</v>
      </c>
      <c r="F196" s="6" t="s">
        <v>6730</v>
      </c>
      <c r="G196" s="28" t="n">
        <f aca="false">IFERROR(INDEX('Semrush Data'!$A$1:$Z$20000,MATCH(A196,'Semrush Data'!$A$1:$A$20000,0),MATCH("Volume",'Semrush Data'!$A$1:$Z$1,0)),"")</f>
        <v>30</v>
      </c>
      <c r="H196" s="6" t="n">
        <f aca="false">IFERROR(INDEX('Semrush Data'!$A$1:$Z$20000,MATCH(A196,'Semrush Data'!$A$1:$A$20000,0),MATCH("Keyword Difficulty*",'Semrush Data'!$A$1:$Z$1,0)),"")</f>
        <v>25</v>
      </c>
      <c r="I196" s="29" t="n">
        <f aca="false">IFERROR(INDEX('Semrush Data'!$A$1:$Z$20000,MATCH(A196,'Semrush Data'!$A$1:$A$20000,0),MATCH("CPC*",'Semrush Data'!$A$1:$Z$1,0)),"")</f>
        <v>0</v>
      </c>
      <c r="J196" s="6" t="str">
        <f aca="false">IFERROR(INDEX('Semrush Data'!$A$1:$Z$20000,MATCH(A196,'Semrush Data'!$A$1:$A$20000,0),MATCH("Intent",'Semrush Data'!$A$1:$Z$1,0)),"")</f>
        <v>Navigational</v>
      </c>
    </row>
    <row r="197" customFormat="false" ht="15" hidden="false" customHeight="true" outlineLevel="0" collapsed="false">
      <c r="A197" s="6" t="s">
        <v>2308</v>
      </c>
      <c r="B197" s="6" t="s">
        <v>154</v>
      </c>
      <c r="C197" s="6" t="n">
        <v>1</v>
      </c>
      <c r="D197" s="6" t="n">
        <v>2</v>
      </c>
      <c r="E197" s="6" t="n">
        <v>24</v>
      </c>
      <c r="F197" s="6" t="s">
        <v>6731</v>
      </c>
      <c r="G197" s="28" t="n">
        <f aca="false">IFERROR(INDEX('Semrush Data'!$A$1:$Z$20000,MATCH(A197,'Semrush Data'!$A$1:$A$20000,0),MATCH("Volume",'Semrush Data'!$A$1:$Z$1,0)),"")</f>
        <v>0</v>
      </c>
      <c r="H197" s="6" t="n">
        <f aca="false">IFERROR(INDEX('Semrush Data'!$A$1:$Z$20000,MATCH(A197,'Semrush Data'!$A$1:$A$20000,0),MATCH("Keyword Difficulty*",'Semrush Data'!$A$1:$Z$1,0)),"")</f>
        <v>23</v>
      </c>
      <c r="I197" s="29" t="n">
        <f aca="false">IFERROR(INDEX('Semrush Data'!$A$1:$Z$20000,MATCH(A197,'Semrush Data'!$A$1:$A$20000,0),MATCH("CPC*",'Semrush Data'!$A$1:$Z$1,0)),"")</f>
        <v>0</v>
      </c>
      <c r="J197" s="6" t="str">
        <f aca="false">IFERROR(INDEX('Semrush Data'!$A$1:$Z$20000,MATCH(A197,'Semrush Data'!$A$1:$A$20000,0),MATCH("Intent",'Semrush Data'!$A$1:$Z$1,0)),"")</f>
        <v>Transactional Navigational</v>
      </c>
    </row>
    <row r="198" customFormat="false" ht="15" hidden="false" customHeight="true" outlineLevel="0" collapsed="false">
      <c r="A198" s="6" t="s">
        <v>6732</v>
      </c>
      <c r="B198" s="6" t="s">
        <v>154</v>
      </c>
      <c r="C198" s="6" t="n">
        <v>1</v>
      </c>
      <c r="D198" s="6" t="n">
        <v>2</v>
      </c>
      <c r="E198" s="6" t="n">
        <v>2</v>
      </c>
      <c r="F198" s="6" t="s">
        <v>6733</v>
      </c>
      <c r="G198" s="28" t="n">
        <f aca="false">IFERROR(INDEX('Semrush Data'!$A$1:$Z$20000,MATCH(A198,'Semrush Data'!$A$1:$A$20000,0),MATCH("Volume",'Semrush Data'!$A$1:$Z$1,0)),"")</f>
        <v>0</v>
      </c>
      <c r="H198" s="6" t="n">
        <f aca="false">IFERROR(INDEX('Semrush Data'!$A$1:$Z$20000,MATCH(A198,'Semrush Data'!$A$1:$A$20000,0),MATCH("Keyword Difficulty*",'Semrush Data'!$A$1:$Z$1,0)),"")</f>
        <v>18</v>
      </c>
      <c r="I198" s="29" t="n">
        <f aca="false">IFERROR(INDEX('Semrush Data'!$A$1:$Z$20000,MATCH(A198,'Semrush Data'!$A$1:$A$20000,0),MATCH("CPC*",'Semrush Data'!$A$1:$Z$1,0)),"")</f>
        <v>0</v>
      </c>
      <c r="J198" s="6" t="str">
        <f aca="false">IFERROR(INDEX('Semrush Data'!$A$1:$Z$20000,MATCH(A198,'Semrush Data'!$A$1:$A$20000,0),MATCH("Intent",'Semrush Data'!$A$1:$Z$1,0)),"")</f>
        <v>Informational Transactional</v>
      </c>
    </row>
    <row r="199" customFormat="false" ht="15" hidden="false" customHeight="true" outlineLevel="0" collapsed="false">
      <c r="A199" s="6" t="s">
        <v>173</v>
      </c>
      <c r="B199" s="6" t="s">
        <v>154</v>
      </c>
      <c r="C199" s="6" t="n">
        <v>1</v>
      </c>
      <c r="D199" s="6" t="n">
        <v>2</v>
      </c>
      <c r="E199" s="6" t="n">
        <v>2</v>
      </c>
      <c r="F199" s="6" t="s">
        <v>6734</v>
      </c>
      <c r="G199" s="28" t="n">
        <f aca="false">IFERROR(INDEX('Semrush Data'!$A$1:$Z$20000,MATCH(A199,'Semrush Data'!$A$1:$A$20000,0),MATCH("Volume",'Semrush Data'!$A$1:$Z$1,0)),"")</f>
        <v>210</v>
      </c>
      <c r="H199" s="6" t="n">
        <f aca="false">IFERROR(INDEX('Semrush Data'!$A$1:$Z$20000,MATCH(A199,'Semrush Data'!$A$1:$A$20000,0),MATCH("Keyword Difficulty*",'Semrush Data'!$A$1:$Z$1,0)),"")</f>
        <v>20</v>
      </c>
      <c r="I199" s="29" t="n">
        <f aca="false">IFERROR(INDEX('Semrush Data'!$A$1:$Z$20000,MATCH(A199,'Semrush Data'!$A$1:$A$20000,0),MATCH("CPC*",'Semrush Data'!$A$1:$Z$1,0)),"")</f>
        <v>0.67</v>
      </c>
      <c r="J199" s="6" t="str">
        <f aca="false">IFERROR(INDEX('Semrush Data'!$A$1:$Z$20000,MATCH(A199,'Semrush Data'!$A$1:$A$20000,0),MATCH("Intent",'Semrush Data'!$A$1:$Z$1,0)),"")</f>
        <v>Informational</v>
      </c>
    </row>
    <row r="200" customFormat="false" ht="15" hidden="false" customHeight="true" outlineLevel="0" collapsed="false">
      <c r="A200" s="6" t="s">
        <v>6735</v>
      </c>
      <c r="B200" s="6" t="s">
        <v>154</v>
      </c>
      <c r="C200" s="6" t="n">
        <v>1</v>
      </c>
      <c r="D200" s="6" t="n">
        <v>2</v>
      </c>
      <c r="E200" s="6" t="n">
        <v>2</v>
      </c>
      <c r="F200" s="6" t="s">
        <v>6736</v>
      </c>
      <c r="G200" s="28" t="n">
        <f aca="false">IFERROR(INDEX('Semrush Data'!$A$1:$Z$20000,MATCH(A200,'Semrush Data'!$A$1:$A$20000,0),MATCH("Volume",'Semrush Data'!$A$1:$Z$1,0)),"")</f>
        <v>0</v>
      </c>
      <c r="H200" s="6" t="n">
        <f aca="false">IFERROR(INDEX('Semrush Data'!$A$1:$Z$20000,MATCH(A200,'Semrush Data'!$A$1:$A$20000,0),MATCH("Keyword Difficulty*",'Semrush Data'!$A$1:$Z$1,0)),"")</f>
        <v>38</v>
      </c>
      <c r="I200" s="29" t="n">
        <f aca="false">IFERROR(INDEX('Semrush Data'!$A$1:$Z$20000,MATCH(A200,'Semrush Data'!$A$1:$A$20000,0),MATCH("CPC*",'Semrush Data'!$A$1:$Z$1,0)),"")</f>
        <v>0</v>
      </c>
      <c r="J200" s="6" t="str">
        <f aca="false">IFERROR(INDEX('Semrush Data'!$A$1:$Z$20000,MATCH(A200,'Semrush Data'!$A$1:$A$20000,0),MATCH("Intent",'Semrush Data'!$A$1:$Z$1,0)),"")</f>
        <v>Informational</v>
      </c>
    </row>
    <row r="201" customFormat="false" ht="15" hidden="false" customHeight="true" outlineLevel="0" collapsed="false">
      <c r="A201" s="6" t="s">
        <v>6737</v>
      </c>
      <c r="B201" s="6" t="s">
        <v>154</v>
      </c>
      <c r="C201" s="6" t="n">
        <v>1</v>
      </c>
      <c r="D201" s="6" t="n">
        <v>2</v>
      </c>
      <c r="E201" s="6" t="n">
        <v>1</v>
      </c>
      <c r="F201" s="6" t="s">
        <v>559</v>
      </c>
      <c r="G201" s="28" t="n">
        <f aca="false">IFERROR(INDEX('Semrush Data'!$A$1:$Z$20000,MATCH(A201,'Semrush Data'!$A$1:$A$20000,0),MATCH("Volume",'Semrush Data'!$A$1:$Z$1,0)),"")</f>
        <v>0</v>
      </c>
      <c r="H201" s="6" t="n">
        <f aca="false">IFERROR(INDEX('Semrush Data'!$A$1:$Z$20000,MATCH(A201,'Semrush Data'!$A$1:$A$20000,0),MATCH("Keyword Difficulty*",'Semrush Data'!$A$1:$Z$1,0)),"")</f>
        <v>31</v>
      </c>
      <c r="I201" s="29" t="n">
        <f aca="false">IFERROR(INDEX('Semrush Data'!$A$1:$Z$20000,MATCH(A201,'Semrush Data'!$A$1:$A$20000,0),MATCH("CPC*",'Semrush Data'!$A$1:$Z$1,0)),"")</f>
        <v>0</v>
      </c>
      <c r="J201" s="6" t="str">
        <f aca="false">IFERROR(INDEX('Semrush Data'!$A$1:$Z$20000,MATCH(A201,'Semrush Data'!$A$1:$A$20000,0),MATCH("Intent",'Semrush Data'!$A$1:$Z$1,0)),"")</f>
        <v>Informational Commercial</v>
      </c>
    </row>
    <row r="202" customFormat="false" ht="15" hidden="false" customHeight="true" outlineLevel="0" collapsed="false">
      <c r="A202" s="6" t="s">
        <v>6738</v>
      </c>
      <c r="B202" s="6" t="s">
        <v>154</v>
      </c>
      <c r="C202" s="6" t="n">
        <v>1</v>
      </c>
      <c r="D202" s="6" t="n">
        <v>3</v>
      </c>
      <c r="E202" s="6" t="n">
        <v>6</v>
      </c>
      <c r="F202" s="6" t="s">
        <v>6739</v>
      </c>
      <c r="G202" s="28" t="n">
        <f aca="false">IFERROR(INDEX('Semrush Data'!$A$1:$Z$20000,MATCH(A202,'Semrush Data'!$A$1:$A$20000,0),MATCH("Volume",'Semrush Data'!$A$1:$Z$1,0)),"")</f>
        <v>10</v>
      </c>
      <c r="H202" s="6" t="n">
        <f aca="false">IFERROR(INDEX('Semrush Data'!$A$1:$Z$20000,MATCH(A202,'Semrush Data'!$A$1:$A$20000,0),MATCH("Keyword Difficulty*",'Semrush Data'!$A$1:$Z$1,0)),"")</f>
        <v>16</v>
      </c>
      <c r="I202" s="29" t="n">
        <f aca="false">IFERROR(INDEX('Semrush Data'!$A$1:$Z$20000,MATCH(A202,'Semrush Data'!$A$1:$A$20000,0),MATCH("CPC*",'Semrush Data'!$A$1:$Z$1,0)),"")</f>
        <v>0</v>
      </c>
      <c r="J202" s="6" t="str">
        <f aca="false">IFERROR(INDEX('Semrush Data'!$A$1:$Z$20000,MATCH(A202,'Semrush Data'!$A$1:$A$20000,0),MATCH("Intent",'Semrush Data'!$A$1:$Z$1,0)),"")</f>
        <v>Informational</v>
      </c>
    </row>
    <row r="203" customFormat="false" ht="15" hidden="false" customHeight="true" outlineLevel="0" collapsed="false">
      <c r="A203" s="6" t="s">
        <v>158</v>
      </c>
      <c r="B203" s="6" t="s">
        <v>154</v>
      </c>
      <c r="C203" s="6" t="n">
        <v>1</v>
      </c>
      <c r="D203" s="6" t="n">
        <v>3</v>
      </c>
      <c r="E203" s="6" t="n">
        <v>1</v>
      </c>
      <c r="F203" s="6" t="s">
        <v>1111</v>
      </c>
      <c r="G203" s="28" t="n">
        <f aca="false">IFERROR(INDEX('Semrush Data'!$A$1:$Z$20000,MATCH(A203,'Semrush Data'!$A$1:$A$20000,0),MATCH("Volume",'Semrush Data'!$A$1:$Z$1,0)),"")</f>
        <v>1600</v>
      </c>
      <c r="H203" s="6" t="n">
        <f aca="false">IFERROR(INDEX('Semrush Data'!$A$1:$Z$20000,MATCH(A203,'Semrush Data'!$A$1:$A$20000,0),MATCH("Keyword Difficulty*",'Semrush Data'!$A$1:$Z$1,0)),"")</f>
        <v>29</v>
      </c>
      <c r="I203" s="29" t="n">
        <f aca="false">IFERROR(INDEX('Semrush Data'!$A$1:$Z$20000,MATCH(A203,'Semrush Data'!$A$1:$A$20000,0),MATCH("CPC*",'Semrush Data'!$A$1:$Z$1,0)),"")</f>
        <v>0.85</v>
      </c>
      <c r="J203" s="6" t="str">
        <f aca="false">IFERROR(INDEX('Semrush Data'!$A$1:$Z$20000,MATCH(A203,'Semrush Data'!$A$1:$A$20000,0),MATCH("Intent",'Semrush Data'!$A$1:$Z$1,0)),"")</f>
        <v>Informational Commercial</v>
      </c>
    </row>
    <row r="204" customFormat="false" ht="15" hidden="false" customHeight="true" outlineLevel="0" collapsed="false">
      <c r="A204" s="6" t="s">
        <v>159</v>
      </c>
      <c r="B204" s="6" t="s">
        <v>154</v>
      </c>
      <c r="C204" s="6" t="n">
        <v>1</v>
      </c>
      <c r="D204" s="6" t="n">
        <v>3</v>
      </c>
      <c r="E204" s="6" t="n">
        <v>1</v>
      </c>
      <c r="F204" s="6" t="s">
        <v>1171</v>
      </c>
      <c r="G204" s="28" t="n">
        <f aca="false">IFERROR(INDEX('Semrush Data'!$A$1:$Z$20000,MATCH(A204,'Semrush Data'!$A$1:$A$20000,0),MATCH("Volume",'Semrush Data'!$A$1:$Z$1,0)),"")</f>
        <v>1600</v>
      </c>
      <c r="H204" s="6" t="n">
        <f aca="false">IFERROR(INDEX('Semrush Data'!$A$1:$Z$20000,MATCH(A204,'Semrush Data'!$A$1:$A$20000,0),MATCH("Keyword Difficulty*",'Semrush Data'!$A$1:$Z$1,0)),"")</f>
        <v>33</v>
      </c>
      <c r="I204" s="29" t="n">
        <f aca="false">IFERROR(INDEX('Semrush Data'!$A$1:$Z$20000,MATCH(A204,'Semrush Data'!$A$1:$A$20000,0),MATCH("CPC*",'Semrush Data'!$A$1:$Z$1,0)),"")</f>
        <v>1.19</v>
      </c>
      <c r="J204" s="6" t="str">
        <f aca="false">IFERROR(INDEX('Semrush Data'!$A$1:$Z$20000,MATCH(A204,'Semrush Data'!$A$1:$A$20000,0),MATCH("Intent",'Semrush Data'!$A$1:$Z$1,0)),"")</f>
        <v>Informational</v>
      </c>
    </row>
    <row r="205" customFormat="false" ht="15" hidden="false" customHeight="true" outlineLevel="0" collapsed="false">
      <c r="A205" s="6" t="s">
        <v>6740</v>
      </c>
      <c r="B205" s="6" t="s">
        <v>154</v>
      </c>
      <c r="C205" s="6" t="n">
        <v>1</v>
      </c>
      <c r="D205" s="6" t="n">
        <v>3</v>
      </c>
      <c r="E205" s="6" t="n">
        <v>4</v>
      </c>
      <c r="F205" s="6" t="s">
        <v>6741</v>
      </c>
      <c r="G205" s="28" t="n">
        <f aca="false">IFERROR(INDEX('Semrush Data'!$A$1:$Z$20000,MATCH(A205,'Semrush Data'!$A$1:$A$20000,0),MATCH("Volume",'Semrush Data'!$A$1:$Z$1,0)),"")</f>
        <v>0</v>
      </c>
      <c r="H205" s="6" t="n">
        <f aca="false">IFERROR(INDEX('Semrush Data'!$A$1:$Z$20000,MATCH(A205,'Semrush Data'!$A$1:$A$20000,0),MATCH("Keyword Difficulty*",'Semrush Data'!$A$1:$Z$1,0)),"")</f>
        <v>36</v>
      </c>
      <c r="I205" s="29" t="n">
        <f aca="false">IFERROR(INDEX('Semrush Data'!$A$1:$Z$20000,MATCH(A205,'Semrush Data'!$A$1:$A$20000,0),MATCH("CPC*",'Semrush Data'!$A$1:$Z$1,0)),"")</f>
        <v>0</v>
      </c>
      <c r="J205" s="6" t="str">
        <f aca="false">IFERROR(INDEX('Semrush Data'!$A$1:$Z$20000,MATCH(A205,'Semrush Data'!$A$1:$A$20000,0),MATCH("Intent",'Semrush Data'!$A$1:$Z$1,0)),"")</f>
        <v>Informational</v>
      </c>
    </row>
    <row r="206" customFormat="false" ht="15" hidden="false" customHeight="true" outlineLevel="0" collapsed="false">
      <c r="A206" s="6" t="s">
        <v>6742</v>
      </c>
      <c r="B206" s="6" t="s">
        <v>154</v>
      </c>
      <c r="C206" s="6" t="n">
        <v>1</v>
      </c>
      <c r="D206" s="6" t="n">
        <v>3</v>
      </c>
      <c r="E206" s="6" t="n">
        <v>2</v>
      </c>
      <c r="F206" s="6" t="s">
        <v>6743</v>
      </c>
      <c r="G206" s="28" t="n">
        <f aca="false">IFERROR(INDEX('Semrush Data'!$A$1:$Z$20000,MATCH(A206,'Semrush Data'!$A$1:$A$20000,0),MATCH("Volume",'Semrush Data'!$A$1:$Z$1,0)),"")</f>
        <v>0</v>
      </c>
      <c r="H206" s="6" t="n">
        <f aca="false">IFERROR(INDEX('Semrush Data'!$A$1:$Z$20000,MATCH(A206,'Semrush Data'!$A$1:$A$20000,0),MATCH("Keyword Difficulty*",'Semrush Data'!$A$1:$Z$1,0)),"")</f>
        <v>15</v>
      </c>
      <c r="I206" s="29" t="n">
        <f aca="false">IFERROR(INDEX('Semrush Data'!$A$1:$Z$20000,MATCH(A206,'Semrush Data'!$A$1:$A$20000,0),MATCH("CPC*",'Semrush Data'!$A$1:$Z$1,0)),"")</f>
        <v>0</v>
      </c>
      <c r="J206" s="6" t="str">
        <f aca="false">IFERROR(INDEX('Semrush Data'!$A$1:$Z$20000,MATCH(A206,'Semrush Data'!$A$1:$A$20000,0),MATCH("Intent",'Semrush Data'!$A$1:$Z$1,0)),"")</f>
        <v>Informational</v>
      </c>
    </row>
    <row r="207" customFormat="false" ht="15" hidden="false" customHeight="true" outlineLevel="0" collapsed="false">
      <c r="A207" s="6" t="s">
        <v>156</v>
      </c>
      <c r="B207" s="6" t="s">
        <v>154</v>
      </c>
      <c r="C207" s="6" t="n">
        <v>1</v>
      </c>
      <c r="D207" s="6" t="n">
        <v>3</v>
      </c>
      <c r="E207" s="6" t="n">
        <v>1</v>
      </c>
      <c r="F207" s="6" t="s">
        <v>618</v>
      </c>
      <c r="G207" s="28" t="n">
        <f aca="false">IFERROR(INDEX('Semrush Data'!$A$1:$Z$20000,MATCH(A207,'Semrush Data'!$A$1:$A$20000,0),MATCH("Volume",'Semrush Data'!$A$1:$Z$1,0)),"")</f>
        <v>2400</v>
      </c>
      <c r="H207" s="6" t="n">
        <f aca="false">IFERROR(INDEX('Semrush Data'!$A$1:$Z$20000,MATCH(A207,'Semrush Data'!$A$1:$A$20000,0),MATCH("Keyword Difficulty*",'Semrush Data'!$A$1:$Z$1,0)),"")</f>
        <v>13</v>
      </c>
      <c r="I207" s="29" t="n">
        <f aca="false">IFERROR(INDEX('Semrush Data'!$A$1:$Z$20000,MATCH(A207,'Semrush Data'!$A$1:$A$20000,0),MATCH("CPC*",'Semrush Data'!$A$1:$Z$1,0)),"")</f>
        <v>0.75</v>
      </c>
      <c r="J207" s="6" t="str">
        <f aca="false">IFERROR(INDEX('Semrush Data'!$A$1:$Z$20000,MATCH(A207,'Semrush Data'!$A$1:$A$20000,0),MATCH("Intent",'Semrush Data'!$A$1:$Z$1,0)),"")</f>
        <v>Informational Commercial</v>
      </c>
    </row>
    <row r="208" customFormat="false" ht="15" hidden="false" customHeight="true" outlineLevel="0" collapsed="false">
      <c r="A208" s="6" t="s">
        <v>176</v>
      </c>
      <c r="B208" s="6" t="s">
        <v>154</v>
      </c>
      <c r="C208" s="6" t="n">
        <v>1</v>
      </c>
      <c r="D208" s="6" t="n">
        <v>3</v>
      </c>
      <c r="E208" s="6" t="n">
        <v>2</v>
      </c>
      <c r="F208" s="6" t="s">
        <v>6744</v>
      </c>
      <c r="G208" s="28" t="n">
        <f aca="false">IFERROR(INDEX('Semrush Data'!$A$1:$Z$20000,MATCH(A208,'Semrush Data'!$A$1:$A$20000,0),MATCH("Volume",'Semrush Data'!$A$1:$Z$1,0)),"")</f>
        <v>140</v>
      </c>
      <c r="H208" s="6" t="n">
        <f aca="false">IFERROR(INDEX('Semrush Data'!$A$1:$Z$20000,MATCH(A208,'Semrush Data'!$A$1:$A$20000,0),MATCH("Keyword Difficulty*",'Semrush Data'!$A$1:$Z$1,0)),"")</f>
        <v>22</v>
      </c>
      <c r="I208" s="29" t="n">
        <f aca="false">IFERROR(INDEX('Semrush Data'!$A$1:$Z$20000,MATCH(A208,'Semrush Data'!$A$1:$A$20000,0),MATCH("CPC*",'Semrush Data'!$A$1:$Z$1,0)),"")</f>
        <v>0.94</v>
      </c>
      <c r="J208" s="6" t="str">
        <f aca="false">IFERROR(INDEX('Semrush Data'!$A$1:$Z$20000,MATCH(A208,'Semrush Data'!$A$1:$A$20000,0),MATCH("Intent",'Semrush Data'!$A$1:$Z$1,0)),"")</f>
        <v>Informational</v>
      </c>
    </row>
    <row r="209" customFormat="false" ht="15" hidden="false" customHeight="true" outlineLevel="0" collapsed="false">
      <c r="A209" s="6" t="s">
        <v>157</v>
      </c>
      <c r="B209" s="6" t="s">
        <v>154</v>
      </c>
      <c r="C209" s="6" t="n">
        <v>1</v>
      </c>
      <c r="D209" s="6" t="n">
        <v>3</v>
      </c>
      <c r="E209" s="6" t="n">
        <v>1</v>
      </c>
      <c r="F209" s="6" t="s">
        <v>952</v>
      </c>
      <c r="G209" s="28" t="n">
        <f aca="false">IFERROR(INDEX('Semrush Data'!$A$1:$Z$20000,MATCH(A209,'Semrush Data'!$A$1:$A$20000,0),MATCH("Volume",'Semrush Data'!$A$1:$Z$1,0)),"")</f>
        <v>1900</v>
      </c>
      <c r="H209" s="6" t="n">
        <f aca="false">IFERROR(INDEX('Semrush Data'!$A$1:$Z$20000,MATCH(A209,'Semrush Data'!$A$1:$A$20000,0),MATCH("Keyword Difficulty*",'Semrush Data'!$A$1:$Z$1,0)),"")</f>
        <v>30</v>
      </c>
      <c r="I209" s="29" t="n">
        <f aca="false">IFERROR(INDEX('Semrush Data'!$A$1:$Z$20000,MATCH(A209,'Semrush Data'!$A$1:$A$20000,0),MATCH("CPC*",'Semrush Data'!$A$1:$Z$1,0)),"")</f>
        <v>0.82</v>
      </c>
      <c r="J209" s="6" t="str">
        <f aca="false">IFERROR(INDEX('Semrush Data'!$A$1:$Z$20000,MATCH(A209,'Semrush Data'!$A$1:$A$20000,0),MATCH("Intent",'Semrush Data'!$A$1:$Z$1,0)),"")</f>
        <v>Informational Commercial</v>
      </c>
    </row>
    <row r="210" customFormat="false" ht="15" hidden="false" customHeight="true" outlineLevel="0" collapsed="false">
      <c r="A210" s="6" t="s">
        <v>172</v>
      </c>
      <c r="B210" s="6" t="s">
        <v>154</v>
      </c>
      <c r="C210" s="6" t="n">
        <v>1</v>
      </c>
      <c r="D210" s="6" t="n">
        <v>3</v>
      </c>
      <c r="E210" s="6" t="n">
        <v>4</v>
      </c>
      <c r="F210" s="6" t="s">
        <v>6745</v>
      </c>
      <c r="G210" s="28" t="n">
        <f aca="false">IFERROR(INDEX('Semrush Data'!$A$1:$Z$20000,MATCH(A210,'Semrush Data'!$A$1:$A$20000,0),MATCH("Volume",'Semrush Data'!$A$1:$Z$1,0)),"")</f>
        <v>260</v>
      </c>
      <c r="H210" s="6" t="n">
        <f aca="false">IFERROR(INDEX('Semrush Data'!$A$1:$Z$20000,MATCH(A210,'Semrush Data'!$A$1:$A$20000,0),MATCH("Keyword Difficulty*",'Semrush Data'!$A$1:$Z$1,0)),"")</f>
        <v>22</v>
      </c>
      <c r="I210" s="29" t="n">
        <f aca="false">IFERROR(INDEX('Semrush Data'!$A$1:$Z$20000,MATCH(A210,'Semrush Data'!$A$1:$A$20000,0),MATCH("CPC*",'Semrush Data'!$A$1:$Z$1,0)),"")</f>
        <v>1.43</v>
      </c>
      <c r="J210" s="6" t="str">
        <f aca="false">IFERROR(INDEX('Semrush Data'!$A$1:$Z$20000,MATCH(A210,'Semrush Data'!$A$1:$A$20000,0),MATCH("Intent",'Semrush Data'!$A$1:$Z$1,0)),"")</f>
        <v>Informational Commercial</v>
      </c>
    </row>
    <row r="211" customFormat="false" ht="15" hidden="false" customHeight="true" outlineLevel="0" collapsed="false">
      <c r="A211" s="6" t="s">
        <v>162</v>
      </c>
      <c r="B211" s="6" t="s">
        <v>154</v>
      </c>
      <c r="C211" s="6" t="n">
        <v>1</v>
      </c>
      <c r="D211" s="6" t="n">
        <v>3</v>
      </c>
      <c r="E211" s="6" t="n">
        <v>1</v>
      </c>
      <c r="F211" s="6" t="s">
        <v>549</v>
      </c>
      <c r="G211" s="28" t="n">
        <f aca="false">IFERROR(INDEX('Semrush Data'!$A$1:$Z$20000,MATCH(A211,'Semrush Data'!$A$1:$A$20000,0),MATCH("Volume",'Semrush Data'!$A$1:$Z$1,0)),"")</f>
        <v>1000</v>
      </c>
      <c r="H211" s="6" t="n">
        <f aca="false">IFERROR(INDEX('Semrush Data'!$A$1:$Z$20000,MATCH(A211,'Semrush Data'!$A$1:$A$20000,0),MATCH("Keyword Difficulty*",'Semrush Data'!$A$1:$Z$1,0)),"")</f>
        <v>27</v>
      </c>
      <c r="I211" s="29" t="n">
        <f aca="false">IFERROR(INDEX('Semrush Data'!$A$1:$Z$20000,MATCH(A211,'Semrush Data'!$A$1:$A$20000,0),MATCH("CPC*",'Semrush Data'!$A$1:$Z$1,0)),"")</f>
        <v>0.72</v>
      </c>
      <c r="J211" s="6" t="str">
        <f aca="false">IFERROR(INDEX('Semrush Data'!$A$1:$Z$20000,MATCH(A211,'Semrush Data'!$A$1:$A$20000,0),MATCH("Intent",'Semrush Data'!$A$1:$Z$1,0)),"")</f>
        <v>Informational</v>
      </c>
    </row>
    <row r="212" customFormat="false" ht="15" hidden="false" customHeight="true" outlineLevel="0" collapsed="false">
      <c r="A212" s="6" t="s">
        <v>164</v>
      </c>
      <c r="B212" s="6" t="s">
        <v>154</v>
      </c>
      <c r="C212" s="6" t="n">
        <v>1</v>
      </c>
      <c r="D212" s="6" t="n">
        <v>3</v>
      </c>
      <c r="E212" s="6" t="n">
        <v>2</v>
      </c>
      <c r="F212" s="6" t="s">
        <v>6725</v>
      </c>
      <c r="G212" s="28" t="n">
        <f aca="false">IFERROR(INDEX('Semrush Data'!$A$1:$Z$20000,MATCH(A212,'Semrush Data'!$A$1:$A$20000,0),MATCH("Volume",'Semrush Data'!$A$1:$Z$1,0)),"")</f>
        <v>720</v>
      </c>
      <c r="H212" s="6" t="n">
        <f aca="false">IFERROR(INDEX('Semrush Data'!$A$1:$Z$20000,MATCH(A212,'Semrush Data'!$A$1:$A$20000,0),MATCH("Keyword Difficulty*",'Semrush Data'!$A$1:$Z$1,0)),"")</f>
        <v>25</v>
      </c>
      <c r="I212" s="29" t="n">
        <f aca="false">IFERROR(INDEX('Semrush Data'!$A$1:$Z$20000,MATCH(A212,'Semrush Data'!$A$1:$A$20000,0),MATCH("CPC*",'Semrush Data'!$A$1:$Z$1,0)),"")</f>
        <v>0.84</v>
      </c>
      <c r="J212" s="6" t="str">
        <f aca="false">IFERROR(INDEX('Semrush Data'!$A$1:$Z$20000,MATCH(A212,'Semrush Data'!$A$1:$A$20000,0),MATCH("Intent",'Semrush Data'!$A$1:$Z$1,0)),"")</f>
        <v>Informational</v>
      </c>
    </row>
    <row r="213" customFormat="false" ht="15" hidden="false" customHeight="true" outlineLevel="0" collapsed="false">
      <c r="A213" s="6" t="s">
        <v>163</v>
      </c>
      <c r="B213" s="6" t="s">
        <v>154</v>
      </c>
      <c r="C213" s="6" t="n">
        <v>1</v>
      </c>
      <c r="D213" s="6" t="n">
        <v>3</v>
      </c>
      <c r="E213" s="6" t="n">
        <v>10</v>
      </c>
      <c r="F213" s="6" t="s">
        <v>6746</v>
      </c>
      <c r="G213" s="28" t="n">
        <f aca="false">IFERROR(INDEX('Semrush Data'!$A$1:$Z$20000,MATCH(A213,'Semrush Data'!$A$1:$A$20000,0),MATCH("Volume",'Semrush Data'!$A$1:$Z$1,0)),"")</f>
        <v>1000</v>
      </c>
      <c r="H213" s="6" t="n">
        <f aca="false">IFERROR(INDEX('Semrush Data'!$A$1:$Z$20000,MATCH(A213,'Semrush Data'!$A$1:$A$20000,0),MATCH("Keyword Difficulty*",'Semrush Data'!$A$1:$Z$1,0)),"")</f>
        <v>41</v>
      </c>
      <c r="I213" s="29" t="n">
        <f aca="false">IFERROR(INDEX('Semrush Data'!$A$1:$Z$20000,MATCH(A213,'Semrush Data'!$A$1:$A$20000,0),MATCH("CPC*",'Semrush Data'!$A$1:$Z$1,0)),"")</f>
        <v>0.76</v>
      </c>
      <c r="J213" s="6" t="str">
        <f aca="false">IFERROR(INDEX('Semrush Data'!$A$1:$Z$20000,MATCH(A213,'Semrush Data'!$A$1:$A$20000,0),MATCH("Intent",'Semrush Data'!$A$1:$Z$1,0)),"")</f>
        <v>Informational Commercial</v>
      </c>
    </row>
    <row r="214" customFormat="false" ht="15" hidden="false" customHeight="true" outlineLevel="0" collapsed="false">
      <c r="A214" s="6" t="s">
        <v>6747</v>
      </c>
      <c r="B214" s="6" t="s">
        <v>154</v>
      </c>
      <c r="C214" s="6" t="n">
        <v>1</v>
      </c>
      <c r="D214" s="6" t="n">
        <v>3</v>
      </c>
      <c r="E214" s="6" t="n">
        <v>1</v>
      </c>
      <c r="F214" s="6" t="s">
        <v>689</v>
      </c>
      <c r="G214" s="28" t="n">
        <f aca="false">IFERROR(INDEX('Semrush Data'!$A$1:$Z$20000,MATCH(A214,'Semrush Data'!$A$1:$A$20000,0),MATCH("Volume",'Semrush Data'!$A$1:$Z$1,0)),"")</f>
        <v>20</v>
      </c>
      <c r="H214" s="6" t="n">
        <f aca="false">IFERROR(INDEX('Semrush Data'!$A$1:$Z$20000,MATCH(A214,'Semrush Data'!$A$1:$A$20000,0),MATCH("Keyword Difficulty*",'Semrush Data'!$A$1:$Z$1,0)),"")</f>
        <v>24</v>
      </c>
      <c r="I214" s="29" t="n">
        <f aca="false">IFERROR(INDEX('Semrush Data'!$A$1:$Z$20000,MATCH(A214,'Semrush Data'!$A$1:$A$20000,0),MATCH("CPC*",'Semrush Data'!$A$1:$Z$1,0)),"")</f>
        <v>0.73</v>
      </c>
      <c r="J214" s="6" t="str">
        <f aca="false">IFERROR(INDEX('Semrush Data'!$A$1:$Z$20000,MATCH(A214,'Semrush Data'!$A$1:$A$20000,0),MATCH("Intent",'Semrush Data'!$A$1:$Z$1,0)),"")</f>
        <v>Commercial</v>
      </c>
    </row>
    <row r="215" customFormat="false" ht="15" hidden="false" customHeight="true" outlineLevel="0" collapsed="false">
      <c r="A215" s="6" t="s">
        <v>153</v>
      </c>
      <c r="B215" s="6" t="s">
        <v>154</v>
      </c>
      <c r="C215" s="6" t="n">
        <v>1</v>
      </c>
      <c r="D215" s="6" t="n">
        <v>3</v>
      </c>
      <c r="E215" s="6" t="n">
        <v>3</v>
      </c>
      <c r="F215" s="6" t="s">
        <v>6748</v>
      </c>
      <c r="G215" s="28" t="n">
        <f aca="false">IFERROR(INDEX('Semrush Data'!$A$1:$Z$20000,MATCH(A215,'Semrush Data'!$A$1:$A$20000,0),MATCH("Volume",'Semrush Data'!$A$1:$Z$1,0)),"")</f>
        <v>2900</v>
      </c>
      <c r="H215" s="6" t="n">
        <f aca="false">IFERROR(INDEX('Semrush Data'!$A$1:$Z$20000,MATCH(A215,'Semrush Data'!$A$1:$A$20000,0),MATCH("Keyword Difficulty*",'Semrush Data'!$A$1:$Z$1,0)),"")</f>
        <v>29</v>
      </c>
      <c r="I215" s="29" t="n">
        <f aca="false">IFERROR(INDEX('Semrush Data'!$A$1:$Z$20000,MATCH(A215,'Semrush Data'!$A$1:$A$20000,0),MATCH("CPC*",'Semrush Data'!$A$1:$Z$1,0)),"")</f>
        <v>0.91</v>
      </c>
      <c r="J215" s="6" t="str">
        <f aca="false">IFERROR(INDEX('Semrush Data'!$A$1:$Z$20000,MATCH(A215,'Semrush Data'!$A$1:$A$20000,0),MATCH("Intent",'Semrush Data'!$A$1:$Z$1,0)),"")</f>
        <v>Commercial</v>
      </c>
    </row>
    <row r="216" customFormat="false" ht="15" hidden="false" customHeight="true" outlineLevel="0" collapsed="false">
      <c r="A216" s="6" t="s">
        <v>6749</v>
      </c>
      <c r="B216" s="6" t="s">
        <v>154</v>
      </c>
      <c r="C216" s="6" t="n">
        <v>1</v>
      </c>
      <c r="D216" s="6" t="n">
        <v>3</v>
      </c>
      <c r="E216" s="6" t="n">
        <v>3</v>
      </c>
      <c r="F216" s="6" t="s">
        <v>6750</v>
      </c>
      <c r="G216" s="28" t="n">
        <f aca="false">IFERROR(INDEX('Semrush Data'!$A$1:$Z$20000,MATCH(A216,'Semrush Data'!$A$1:$A$20000,0),MATCH("Volume",'Semrush Data'!$A$1:$Z$1,0)),"")</f>
        <v>0</v>
      </c>
      <c r="H216" s="6" t="n">
        <f aca="false">IFERROR(INDEX('Semrush Data'!$A$1:$Z$20000,MATCH(A216,'Semrush Data'!$A$1:$A$20000,0),MATCH("Keyword Difficulty*",'Semrush Data'!$A$1:$Z$1,0)),"")</f>
        <v>22</v>
      </c>
      <c r="I216" s="29" t="n">
        <f aca="false">IFERROR(INDEX('Semrush Data'!$A$1:$Z$20000,MATCH(A216,'Semrush Data'!$A$1:$A$20000,0),MATCH("CPC*",'Semrush Data'!$A$1:$Z$1,0)),"")</f>
        <v>0</v>
      </c>
      <c r="J216" s="6" t="str">
        <f aca="false">IFERROR(INDEX('Semrush Data'!$A$1:$Z$20000,MATCH(A216,'Semrush Data'!$A$1:$A$20000,0),MATCH("Intent",'Semrush Data'!$A$1:$Z$1,0)),"")</f>
        <v>Informational</v>
      </c>
    </row>
    <row r="217" customFormat="false" ht="15" hidden="false" customHeight="true" outlineLevel="0" collapsed="false">
      <c r="A217" s="6" t="s">
        <v>6751</v>
      </c>
      <c r="B217" s="6" t="s">
        <v>154</v>
      </c>
      <c r="C217" s="6" t="n">
        <v>1</v>
      </c>
      <c r="D217" s="6" t="n">
        <v>3</v>
      </c>
      <c r="E217" s="6" t="n">
        <v>3</v>
      </c>
      <c r="F217" s="6" t="s">
        <v>6696</v>
      </c>
      <c r="G217" s="28" t="n">
        <f aca="false">IFERROR(INDEX('Semrush Data'!$A$1:$Z$20000,MATCH(A217,'Semrush Data'!$A$1:$A$20000,0),MATCH("Volume",'Semrush Data'!$A$1:$Z$1,0)),"")</f>
        <v>20</v>
      </c>
      <c r="H217" s="6" t="n">
        <f aca="false">IFERROR(INDEX('Semrush Data'!$A$1:$Z$20000,MATCH(A217,'Semrush Data'!$A$1:$A$20000,0),MATCH("Keyword Difficulty*",'Semrush Data'!$A$1:$Z$1,0)),"")</f>
        <v>4</v>
      </c>
      <c r="I217" s="29" t="n">
        <f aca="false">IFERROR(INDEX('Semrush Data'!$A$1:$Z$20000,MATCH(A217,'Semrush Data'!$A$1:$A$20000,0),MATCH("CPC*",'Semrush Data'!$A$1:$Z$1,0)),"")</f>
        <v>0.91</v>
      </c>
      <c r="J217" s="6" t="str">
        <f aca="false">IFERROR(INDEX('Semrush Data'!$A$1:$Z$20000,MATCH(A217,'Semrush Data'!$A$1:$A$20000,0),MATCH("Intent",'Semrush Data'!$A$1:$Z$1,0)),"")</f>
        <v>Informational</v>
      </c>
    </row>
    <row r="218" customFormat="false" ht="15" hidden="false" customHeight="true" outlineLevel="0" collapsed="false">
      <c r="A218" s="6" t="s">
        <v>6752</v>
      </c>
      <c r="B218" s="6" t="s">
        <v>154</v>
      </c>
      <c r="C218" s="6" t="n">
        <v>1</v>
      </c>
      <c r="D218" s="6" t="n">
        <v>3</v>
      </c>
      <c r="E218" s="6" t="n">
        <v>9</v>
      </c>
      <c r="F218" s="6" t="s">
        <v>6711</v>
      </c>
      <c r="G218" s="28" t="n">
        <f aca="false">IFERROR(INDEX('Semrush Data'!$A$1:$Z$20000,MATCH(A218,'Semrush Data'!$A$1:$A$20000,0),MATCH("Volume",'Semrush Data'!$A$1:$Z$1,0)),"")</f>
        <v>0</v>
      </c>
      <c r="H218" s="6" t="n">
        <f aca="false">IFERROR(INDEX('Semrush Data'!$A$1:$Z$20000,MATCH(A218,'Semrush Data'!$A$1:$A$20000,0),MATCH("Keyword Difficulty*",'Semrush Data'!$A$1:$Z$1,0)),"")</f>
        <v>53</v>
      </c>
      <c r="I218" s="29" t="n">
        <f aca="false">IFERROR(INDEX('Semrush Data'!$A$1:$Z$20000,MATCH(A218,'Semrush Data'!$A$1:$A$20000,0),MATCH("CPC*",'Semrush Data'!$A$1:$Z$1,0)),"")</f>
        <v>0</v>
      </c>
      <c r="J218" s="6" t="str">
        <f aca="false">IFERROR(INDEX('Semrush Data'!$A$1:$Z$20000,MATCH(A218,'Semrush Data'!$A$1:$A$20000,0),MATCH("Intent",'Semrush Data'!$A$1:$Z$1,0)),"")</f>
        <v>Informational</v>
      </c>
    </row>
    <row r="219" customFormat="false" ht="15" hidden="false" customHeight="true" outlineLevel="0" collapsed="false">
      <c r="A219" s="6" t="s">
        <v>178</v>
      </c>
      <c r="B219" s="6" t="s">
        <v>154</v>
      </c>
      <c r="C219" s="6" t="n">
        <v>1</v>
      </c>
      <c r="D219" s="6" t="n">
        <v>3</v>
      </c>
      <c r="E219" s="6" t="n">
        <v>4</v>
      </c>
      <c r="F219" s="6" t="s">
        <v>6701</v>
      </c>
      <c r="G219" s="28" t="n">
        <f aca="false">IFERROR(INDEX('Semrush Data'!$A$1:$Z$20000,MATCH(A219,'Semrush Data'!$A$1:$A$20000,0),MATCH("Volume",'Semrush Data'!$A$1:$Z$1,0)),"")</f>
        <v>90</v>
      </c>
      <c r="H219" s="6" t="n">
        <f aca="false">IFERROR(INDEX('Semrush Data'!$A$1:$Z$20000,MATCH(A219,'Semrush Data'!$A$1:$A$20000,0),MATCH("Keyword Difficulty*",'Semrush Data'!$A$1:$Z$1,0)),"")</f>
        <v>16</v>
      </c>
      <c r="I219" s="29" t="n">
        <f aca="false">IFERROR(INDEX('Semrush Data'!$A$1:$Z$20000,MATCH(A219,'Semrush Data'!$A$1:$A$20000,0),MATCH("CPC*",'Semrush Data'!$A$1:$Z$1,0)),"")</f>
        <v>0.68</v>
      </c>
      <c r="J219" s="6" t="str">
        <f aca="false">IFERROR(INDEX('Semrush Data'!$A$1:$Z$20000,MATCH(A219,'Semrush Data'!$A$1:$A$20000,0),MATCH("Intent",'Semrush Data'!$A$1:$Z$1,0)),"")</f>
        <v>Informational</v>
      </c>
    </row>
    <row r="220" customFormat="false" ht="15" hidden="false" customHeight="true" outlineLevel="0" collapsed="false">
      <c r="A220" s="6" t="s">
        <v>6753</v>
      </c>
      <c r="B220" s="6" t="s">
        <v>154</v>
      </c>
      <c r="C220" s="6" t="n">
        <v>1</v>
      </c>
      <c r="D220" s="6" t="n">
        <v>3</v>
      </c>
      <c r="E220" s="6" t="n">
        <v>1</v>
      </c>
      <c r="F220" s="6" t="s">
        <v>1006</v>
      </c>
      <c r="G220" s="28" t="n">
        <f aca="false">IFERROR(INDEX('Semrush Data'!$A$1:$Z$20000,MATCH(A220,'Semrush Data'!$A$1:$A$20000,0),MATCH("Volume",'Semrush Data'!$A$1:$Z$1,0)),"")</f>
        <v>20</v>
      </c>
      <c r="H220" s="6" t="n">
        <f aca="false">IFERROR(INDEX('Semrush Data'!$A$1:$Z$20000,MATCH(A220,'Semrush Data'!$A$1:$A$20000,0),MATCH("Keyword Difficulty*",'Semrush Data'!$A$1:$Z$1,0)),"")</f>
        <v>6</v>
      </c>
      <c r="I220" s="29" t="n">
        <f aca="false">IFERROR(INDEX('Semrush Data'!$A$1:$Z$20000,MATCH(A220,'Semrush Data'!$A$1:$A$20000,0),MATCH("CPC*",'Semrush Data'!$A$1:$Z$1,0)),"")</f>
        <v>0</v>
      </c>
      <c r="J220" s="6" t="str">
        <f aca="false">IFERROR(INDEX('Semrush Data'!$A$1:$Z$20000,MATCH(A220,'Semrush Data'!$A$1:$A$20000,0),MATCH("Intent",'Semrush Data'!$A$1:$Z$1,0)),"")</f>
        <v>Informational</v>
      </c>
    </row>
    <row r="221" customFormat="false" ht="15" hidden="false" customHeight="true" outlineLevel="0" collapsed="false">
      <c r="A221" s="6" t="s">
        <v>185</v>
      </c>
      <c r="B221" s="6" t="s">
        <v>154</v>
      </c>
      <c r="C221" s="6" t="n">
        <v>1</v>
      </c>
      <c r="D221" s="6" t="n">
        <v>3</v>
      </c>
      <c r="E221" s="6" t="n">
        <v>3</v>
      </c>
      <c r="F221" s="6" t="s">
        <v>6754</v>
      </c>
      <c r="G221" s="28" t="n">
        <f aca="false">IFERROR(INDEX('Semrush Data'!$A$1:$Z$20000,MATCH(A221,'Semrush Data'!$A$1:$A$20000,0),MATCH("Volume",'Semrush Data'!$A$1:$Z$1,0)),"")</f>
        <v>30</v>
      </c>
      <c r="H221" s="6" t="n">
        <f aca="false">IFERROR(INDEX('Semrush Data'!$A$1:$Z$20000,MATCH(A221,'Semrush Data'!$A$1:$A$20000,0),MATCH("Keyword Difficulty*",'Semrush Data'!$A$1:$Z$1,0)),"")</f>
        <v>12</v>
      </c>
      <c r="I221" s="29" t="n">
        <f aca="false">IFERROR(INDEX('Semrush Data'!$A$1:$Z$20000,MATCH(A221,'Semrush Data'!$A$1:$A$20000,0),MATCH("CPC*",'Semrush Data'!$A$1:$Z$1,0)),"")</f>
        <v>0</v>
      </c>
      <c r="J221" s="6" t="str">
        <f aca="false">IFERROR(INDEX('Semrush Data'!$A$1:$Z$20000,MATCH(A221,'Semrush Data'!$A$1:$A$20000,0),MATCH("Intent",'Semrush Data'!$A$1:$Z$1,0)),"")</f>
        <v>Informational Commercial</v>
      </c>
    </row>
    <row r="222" customFormat="false" ht="15" hidden="false" customHeight="true" outlineLevel="0" collapsed="false">
      <c r="A222" s="6" t="s">
        <v>174</v>
      </c>
      <c r="B222" s="6" t="s">
        <v>154</v>
      </c>
      <c r="C222" s="6" t="n">
        <v>1</v>
      </c>
      <c r="D222" s="6" t="n">
        <v>3</v>
      </c>
      <c r="E222" s="6" t="n">
        <v>7</v>
      </c>
      <c r="F222" s="6" t="s">
        <v>6706</v>
      </c>
      <c r="G222" s="28" t="n">
        <f aca="false">IFERROR(INDEX('Semrush Data'!$A$1:$Z$20000,MATCH(A222,'Semrush Data'!$A$1:$A$20000,0),MATCH("Volume",'Semrush Data'!$A$1:$Z$1,0)),"")</f>
        <v>210</v>
      </c>
      <c r="H222" s="6" t="n">
        <f aca="false">IFERROR(INDEX('Semrush Data'!$A$1:$Z$20000,MATCH(A222,'Semrush Data'!$A$1:$A$20000,0),MATCH("Keyword Difficulty*",'Semrush Data'!$A$1:$Z$1,0)),"")</f>
        <v>16</v>
      </c>
      <c r="I222" s="29" t="n">
        <f aca="false">IFERROR(INDEX('Semrush Data'!$A$1:$Z$20000,MATCH(A222,'Semrush Data'!$A$1:$A$20000,0),MATCH("CPC*",'Semrush Data'!$A$1:$Z$1,0)),"")</f>
        <v>1.02</v>
      </c>
      <c r="J222" s="6" t="str">
        <f aca="false">IFERROR(INDEX('Semrush Data'!$A$1:$Z$20000,MATCH(A222,'Semrush Data'!$A$1:$A$20000,0),MATCH("Intent",'Semrush Data'!$A$1:$Z$1,0)),"")</f>
        <v>Informational</v>
      </c>
    </row>
    <row r="223" customFormat="false" ht="15" hidden="false" customHeight="true" outlineLevel="0" collapsed="false">
      <c r="A223" s="6" t="s">
        <v>6755</v>
      </c>
      <c r="B223" s="6" t="s">
        <v>154</v>
      </c>
      <c r="C223" s="6" t="n">
        <v>1</v>
      </c>
      <c r="D223" s="6" t="n">
        <v>3</v>
      </c>
      <c r="E223" s="6" t="n">
        <v>2</v>
      </c>
      <c r="F223" s="6" t="s">
        <v>6708</v>
      </c>
      <c r="G223" s="28" t="n">
        <f aca="false">IFERROR(INDEX('Semrush Data'!$A$1:$Z$20000,MATCH(A223,'Semrush Data'!$A$1:$A$20000,0),MATCH("Volume",'Semrush Data'!$A$1:$Z$1,0)),"")</f>
        <v>20</v>
      </c>
      <c r="H223" s="6" t="n">
        <f aca="false">IFERROR(INDEX('Semrush Data'!$A$1:$Z$20000,MATCH(A223,'Semrush Data'!$A$1:$A$20000,0),MATCH("Keyword Difficulty*",'Semrush Data'!$A$1:$Z$1,0)),"")</f>
        <v>7</v>
      </c>
      <c r="I223" s="29" t="n">
        <f aca="false">IFERROR(INDEX('Semrush Data'!$A$1:$Z$20000,MATCH(A223,'Semrush Data'!$A$1:$A$20000,0),MATCH("CPC*",'Semrush Data'!$A$1:$Z$1,0)),"")</f>
        <v>0</v>
      </c>
      <c r="J223" s="6" t="str">
        <f aca="false">IFERROR(INDEX('Semrush Data'!$A$1:$Z$20000,MATCH(A223,'Semrush Data'!$A$1:$A$20000,0),MATCH("Intent",'Semrush Data'!$A$1:$Z$1,0)),"")</f>
        <v>Informational</v>
      </c>
    </row>
    <row r="224" customFormat="false" ht="15" hidden="false" customHeight="true" outlineLevel="0" collapsed="false">
      <c r="A224" s="6" t="s">
        <v>6756</v>
      </c>
      <c r="B224" s="6" t="s">
        <v>154</v>
      </c>
      <c r="C224" s="6" t="n">
        <v>1</v>
      </c>
      <c r="D224" s="6" t="n">
        <v>3</v>
      </c>
      <c r="E224" s="6" t="n">
        <v>2</v>
      </c>
      <c r="F224" s="6" t="s">
        <v>6757</v>
      </c>
      <c r="G224" s="28" t="n">
        <f aca="false">IFERROR(INDEX('Semrush Data'!$A$1:$Z$20000,MATCH(A224,'Semrush Data'!$A$1:$A$20000,0),MATCH("Volume",'Semrush Data'!$A$1:$Z$1,0)),"")</f>
        <v>0</v>
      </c>
      <c r="H224" s="6" t="n">
        <f aca="false">IFERROR(INDEX('Semrush Data'!$A$1:$Z$20000,MATCH(A224,'Semrush Data'!$A$1:$A$20000,0),MATCH("Keyword Difficulty*",'Semrush Data'!$A$1:$Z$1,0)),"")</f>
        <v>29</v>
      </c>
      <c r="I224" s="29" t="n">
        <f aca="false">IFERROR(INDEX('Semrush Data'!$A$1:$Z$20000,MATCH(A224,'Semrush Data'!$A$1:$A$20000,0),MATCH("CPC*",'Semrush Data'!$A$1:$Z$1,0)),"")</f>
        <v>0</v>
      </c>
      <c r="J224" s="6" t="str">
        <f aca="false">IFERROR(INDEX('Semrush Data'!$A$1:$Z$20000,MATCH(A224,'Semrush Data'!$A$1:$A$20000,0),MATCH("Intent",'Semrush Data'!$A$1:$Z$1,0)),"")</f>
        <v>Informational</v>
      </c>
    </row>
    <row r="225" customFormat="false" ht="15" hidden="false" customHeight="true" outlineLevel="0" collapsed="false">
      <c r="A225" s="6" t="s">
        <v>6758</v>
      </c>
      <c r="B225" s="6" t="s">
        <v>154</v>
      </c>
      <c r="C225" s="6" t="n">
        <v>1</v>
      </c>
      <c r="D225" s="6" t="n">
        <v>3</v>
      </c>
      <c r="E225" s="6" t="n">
        <v>4</v>
      </c>
      <c r="F225" s="6" t="s">
        <v>6759</v>
      </c>
      <c r="G225" s="28" t="n">
        <f aca="false">IFERROR(INDEX('Semrush Data'!$A$1:$Z$20000,MATCH(A225,'Semrush Data'!$A$1:$A$20000,0),MATCH("Volume",'Semrush Data'!$A$1:$Z$1,0)),"")</f>
        <v>0</v>
      </c>
      <c r="H225" s="6" t="n">
        <f aca="false">IFERROR(INDEX('Semrush Data'!$A$1:$Z$20000,MATCH(A225,'Semrush Data'!$A$1:$A$20000,0),MATCH("Keyword Difficulty*",'Semrush Data'!$A$1:$Z$1,0)),"")</f>
        <v>11</v>
      </c>
      <c r="I225" s="29" t="n">
        <f aca="false">IFERROR(INDEX('Semrush Data'!$A$1:$Z$20000,MATCH(A225,'Semrush Data'!$A$1:$A$20000,0),MATCH("CPC*",'Semrush Data'!$A$1:$Z$1,0)),"")</f>
        <v>0</v>
      </c>
      <c r="J225" s="6" t="str">
        <f aca="false">IFERROR(INDEX('Semrush Data'!$A$1:$Z$20000,MATCH(A225,'Semrush Data'!$A$1:$A$20000,0),MATCH("Intent",'Semrush Data'!$A$1:$Z$1,0)),"")</f>
        <v>Informational</v>
      </c>
    </row>
    <row r="226" customFormat="false" ht="15" hidden="false" customHeight="true" outlineLevel="0" collapsed="false">
      <c r="A226" s="6" t="s">
        <v>6760</v>
      </c>
      <c r="B226" s="6" t="s">
        <v>154</v>
      </c>
      <c r="C226" s="6" t="n">
        <v>1</v>
      </c>
      <c r="D226" s="6" t="n">
        <v>3</v>
      </c>
      <c r="E226" s="6" t="n">
        <v>7</v>
      </c>
      <c r="F226" s="6" t="s">
        <v>6761</v>
      </c>
      <c r="G226" s="28" t="n">
        <f aca="false">IFERROR(INDEX('Semrush Data'!$A$1:$Z$20000,MATCH(A226,'Semrush Data'!$A$1:$A$20000,0),MATCH("Volume",'Semrush Data'!$A$1:$Z$1,0)),"")</f>
        <v>10</v>
      </c>
      <c r="H226" s="6" t="n">
        <f aca="false">IFERROR(INDEX('Semrush Data'!$A$1:$Z$20000,MATCH(A226,'Semrush Data'!$A$1:$A$20000,0),MATCH("Keyword Difficulty*",'Semrush Data'!$A$1:$Z$1,0)),"")</f>
        <v>6</v>
      </c>
      <c r="I226" s="29" t="n">
        <f aca="false">IFERROR(INDEX('Semrush Data'!$A$1:$Z$20000,MATCH(A226,'Semrush Data'!$A$1:$A$20000,0),MATCH("CPC*",'Semrush Data'!$A$1:$Z$1,0)),"")</f>
        <v>0</v>
      </c>
      <c r="J226" s="6" t="str">
        <f aca="false">IFERROR(INDEX('Semrush Data'!$A$1:$Z$20000,MATCH(A226,'Semrush Data'!$A$1:$A$20000,0),MATCH("Intent",'Semrush Data'!$A$1:$Z$1,0)),"")</f>
        <v>Informational</v>
      </c>
    </row>
    <row r="227" customFormat="false" ht="15" hidden="false" customHeight="true" outlineLevel="0" collapsed="false">
      <c r="A227" s="6" t="s">
        <v>182</v>
      </c>
      <c r="B227" s="6" t="s">
        <v>154</v>
      </c>
      <c r="C227" s="6" t="n">
        <v>1</v>
      </c>
      <c r="D227" s="6" t="n">
        <v>3</v>
      </c>
      <c r="E227" s="6" t="n">
        <v>6</v>
      </c>
      <c r="F227" s="6" t="s">
        <v>6762</v>
      </c>
      <c r="G227" s="28" t="n">
        <f aca="false">IFERROR(INDEX('Semrush Data'!$A$1:$Z$20000,MATCH(A227,'Semrush Data'!$A$1:$A$20000,0),MATCH("Volume",'Semrush Data'!$A$1:$Z$1,0)),"")</f>
        <v>40</v>
      </c>
      <c r="H227" s="6" t="n">
        <f aca="false">IFERROR(INDEX('Semrush Data'!$A$1:$Z$20000,MATCH(A227,'Semrush Data'!$A$1:$A$20000,0),MATCH("Keyword Difficulty*",'Semrush Data'!$A$1:$Z$1,0)),"")</f>
        <v>7</v>
      </c>
      <c r="I227" s="29" t="n">
        <f aca="false">IFERROR(INDEX('Semrush Data'!$A$1:$Z$20000,MATCH(A227,'Semrush Data'!$A$1:$A$20000,0),MATCH("CPC*",'Semrush Data'!$A$1:$Z$1,0)),"")</f>
        <v>1.16</v>
      </c>
      <c r="J227" s="6" t="str">
        <f aca="false">IFERROR(INDEX('Semrush Data'!$A$1:$Z$20000,MATCH(A227,'Semrush Data'!$A$1:$A$20000,0),MATCH("Intent",'Semrush Data'!$A$1:$Z$1,0)),"")</f>
        <v>Informational</v>
      </c>
    </row>
    <row r="228" customFormat="false" ht="15" hidden="false" customHeight="true" outlineLevel="0" collapsed="false">
      <c r="A228" s="6" t="s">
        <v>6763</v>
      </c>
      <c r="B228" s="6" t="s">
        <v>154</v>
      </c>
      <c r="C228" s="6" t="n">
        <v>1</v>
      </c>
      <c r="D228" s="6" t="n">
        <v>3</v>
      </c>
      <c r="E228" s="6" t="n">
        <v>3</v>
      </c>
      <c r="F228" s="6" t="s">
        <v>6764</v>
      </c>
      <c r="G228" s="28" t="n">
        <f aca="false">IFERROR(INDEX('Semrush Data'!$A$1:$Z$20000,MATCH(A228,'Semrush Data'!$A$1:$A$20000,0),MATCH("Volume",'Semrush Data'!$A$1:$Z$1,0)),"")</f>
        <v>0</v>
      </c>
      <c r="H228" s="6" t="n">
        <f aca="false">IFERROR(INDEX('Semrush Data'!$A$1:$Z$20000,MATCH(A228,'Semrush Data'!$A$1:$A$20000,0),MATCH("Keyword Difficulty*",'Semrush Data'!$A$1:$Z$1,0)),"")</f>
        <v>18</v>
      </c>
      <c r="I228" s="29" t="n">
        <f aca="false">IFERROR(INDEX('Semrush Data'!$A$1:$Z$20000,MATCH(A228,'Semrush Data'!$A$1:$A$20000,0),MATCH("CPC*",'Semrush Data'!$A$1:$Z$1,0)),"")</f>
        <v>0</v>
      </c>
      <c r="J228" s="6" t="str">
        <f aca="false">IFERROR(INDEX('Semrush Data'!$A$1:$Z$20000,MATCH(A228,'Semrush Data'!$A$1:$A$20000,0),MATCH("Intent",'Semrush Data'!$A$1:$Z$1,0)),"")</f>
        <v>Informational</v>
      </c>
    </row>
    <row r="229" customFormat="false" ht="15" hidden="false" customHeight="true" outlineLevel="0" collapsed="false">
      <c r="A229" s="6" t="s">
        <v>6765</v>
      </c>
      <c r="B229" s="6" t="s">
        <v>154</v>
      </c>
      <c r="C229" s="6" t="n">
        <v>1</v>
      </c>
      <c r="D229" s="6" t="n">
        <v>3</v>
      </c>
      <c r="E229" s="6" t="n">
        <v>1</v>
      </c>
      <c r="F229" s="6" t="s">
        <v>618</v>
      </c>
      <c r="G229" s="28" t="n">
        <f aca="false">IFERROR(INDEX('Semrush Data'!$A$1:$Z$20000,MATCH(A229,'Semrush Data'!$A$1:$A$20000,0),MATCH("Volume",'Semrush Data'!$A$1:$Z$1,0)),"")</f>
        <v>0</v>
      </c>
      <c r="H229" s="6" t="n">
        <f aca="false">IFERROR(INDEX('Semrush Data'!$A$1:$Z$20000,MATCH(A229,'Semrush Data'!$A$1:$A$20000,0),MATCH("Keyword Difficulty*",'Semrush Data'!$A$1:$Z$1,0)),"")</f>
        <v>11</v>
      </c>
      <c r="I229" s="29" t="n">
        <f aca="false">IFERROR(INDEX('Semrush Data'!$A$1:$Z$20000,MATCH(A229,'Semrush Data'!$A$1:$A$20000,0),MATCH("CPC*",'Semrush Data'!$A$1:$Z$1,0)),"")</f>
        <v>0</v>
      </c>
      <c r="J229" s="6" t="str">
        <f aca="false">IFERROR(INDEX('Semrush Data'!$A$1:$Z$20000,MATCH(A229,'Semrush Data'!$A$1:$A$20000,0),MATCH("Intent",'Semrush Data'!$A$1:$Z$1,0)),"")</f>
        <v>Informational Commercial</v>
      </c>
    </row>
    <row r="230" customFormat="false" ht="15" hidden="false" customHeight="true" outlineLevel="0" collapsed="false">
      <c r="A230" s="6" t="s">
        <v>6766</v>
      </c>
      <c r="B230" s="6" t="s">
        <v>154</v>
      </c>
      <c r="C230" s="6" t="n">
        <v>1</v>
      </c>
      <c r="D230" s="6" t="n">
        <v>3</v>
      </c>
      <c r="E230" s="6" t="n">
        <v>7</v>
      </c>
      <c r="F230" s="6" t="s">
        <v>6767</v>
      </c>
      <c r="G230" s="28" t="n">
        <f aca="false">IFERROR(INDEX('Semrush Data'!$A$1:$Z$20000,MATCH(A230,'Semrush Data'!$A$1:$A$20000,0),MATCH("Volume",'Semrush Data'!$A$1:$Z$1,0)),"")</f>
        <v>20</v>
      </c>
      <c r="H230" s="6" t="n">
        <f aca="false">IFERROR(INDEX('Semrush Data'!$A$1:$Z$20000,MATCH(A230,'Semrush Data'!$A$1:$A$20000,0),MATCH("Keyword Difficulty*",'Semrush Data'!$A$1:$Z$1,0)),"")</f>
        <v>8</v>
      </c>
      <c r="I230" s="29" t="n">
        <f aca="false">IFERROR(INDEX('Semrush Data'!$A$1:$Z$20000,MATCH(A230,'Semrush Data'!$A$1:$A$20000,0),MATCH("CPC*",'Semrush Data'!$A$1:$Z$1,0)),"")</f>
        <v>0</v>
      </c>
      <c r="J230" s="6" t="str">
        <f aca="false">IFERROR(INDEX('Semrush Data'!$A$1:$Z$20000,MATCH(A230,'Semrush Data'!$A$1:$A$20000,0),MATCH("Intent",'Semrush Data'!$A$1:$Z$1,0)),"")</f>
        <v>Informational Commercial</v>
      </c>
    </row>
    <row r="231" customFormat="false" ht="15" hidden="false" customHeight="true" outlineLevel="0" collapsed="false">
      <c r="A231" s="6" t="s">
        <v>6768</v>
      </c>
      <c r="B231" s="6" t="s">
        <v>154</v>
      </c>
      <c r="C231" s="6" t="n">
        <v>1</v>
      </c>
      <c r="D231" s="6" t="n">
        <v>3</v>
      </c>
      <c r="E231" s="6" t="n">
        <v>1</v>
      </c>
      <c r="F231" s="6" t="s">
        <v>549</v>
      </c>
      <c r="G231" s="28" t="n">
        <f aca="false">IFERROR(INDEX('Semrush Data'!$A$1:$Z$20000,MATCH(A231,'Semrush Data'!$A$1:$A$20000,0),MATCH("Volume",'Semrush Data'!$A$1:$Z$1,0)),"")</f>
        <v>20</v>
      </c>
      <c r="H231" s="6" t="n">
        <f aca="false">IFERROR(INDEX('Semrush Data'!$A$1:$Z$20000,MATCH(A231,'Semrush Data'!$A$1:$A$20000,0),MATCH("Keyword Difficulty*",'Semrush Data'!$A$1:$Z$1,0)),"")</f>
        <v>13</v>
      </c>
      <c r="I231" s="29" t="n">
        <f aca="false">IFERROR(INDEX('Semrush Data'!$A$1:$Z$20000,MATCH(A231,'Semrush Data'!$A$1:$A$20000,0),MATCH("CPC*",'Semrush Data'!$A$1:$Z$1,0)),"")</f>
        <v>0</v>
      </c>
      <c r="J231" s="6" t="str">
        <f aca="false">IFERROR(INDEX('Semrush Data'!$A$1:$Z$20000,MATCH(A231,'Semrush Data'!$A$1:$A$20000,0),MATCH("Intent",'Semrush Data'!$A$1:$Z$1,0)),"")</f>
        <v>Informational</v>
      </c>
    </row>
    <row r="232" customFormat="false" ht="15" hidden="false" customHeight="true" outlineLevel="0" collapsed="false">
      <c r="A232" s="6" t="s">
        <v>6769</v>
      </c>
      <c r="B232" s="6" t="s">
        <v>154</v>
      </c>
      <c r="C232" s="6" t="n">
        <v>1</v>
      </c>
      <c r="D232" s="6" t="n">
        <v>3</v>
      </c>
      <c r="E232" s="6" t="n">
        <v>2</v>
      </c>
      <c r="F232" s="6" t="s">
        <v>6725</v>
      </c>
      <c r="G232" s="28" t="n">
        <f aca="false">IFERROR(INDEX('Semrush Data'!$A$1:$Z$20000,MATCH(A232,'Semrush Data'!$A$1:$A$20000,0),MATCH("Volume",'Semrush Data'!$A$1:$Z$1,0)),"")</f>
        <v>0</v>
      </c>
      <c r="H232" s="6" t="n">
        <f aca="false">IFERROR(INDEX('Semrush Data'!$A$1:$Z$20000,MATCH(A232,'Semrush Data'!$A$1:$A$20000,0),MATCH("Keyword Difficulty*",'Semrush Data'!$A$1:$Z$1,0)),"")</f>
        <v>22</v>
      </c>
      <c r="I232" s="29" t="n">
        <f aca="false">IFERROR(INDEX('Semrush Data'!$A$1:$Z$20000,MATCH(A232,'Semrush Data'!$A$1:$A$20000,0),MATCH("CPC*",'Semrush Data'!$A$1:$Z$1,0)),"")</f>
        <v>0</v>
      </c>
      <c r="J232" s="6" t="str">
        <f aca="false">IFERROR(INDEX('Semrush Data'!$A$1:$Z$20000,MATCH(A232,'Semrush Data'!$A$1:$A$20000,0),MATCH("Intent",'Semrush Data'!$A$1:$Z$1,0)),"")</f>
        <v>Commercial</v>
      </c>
    </row>
    <row r="233" customFormat="false" ht="15" hidden="false" customHeight="true" outlineLevel="0" collapsed="false">
      <c r="A233" s="6" t="s">
        <v>175</v>
      </c>
      <c r="B233" s="6" t="s">
        <v>154</v>
      </c>
      <c r="C233" s="6" t="n">
        <v>1</v>
      </c>
      <c r="D233" s="6" t="n">
        <v>3</v>
      </c>
      <c r="E233" s="6" t="n">
        <v>13</v>
      </c>
      <c r="F233" s="6" t="s">
        <v>6770</v>
      </c>
      <c r="G233" s="28" t="n">
        <f aca="false">IFERROR(INDEX('Semrush Data'!$A$1:$Z$20000,MATCH(A233,'Semrush Data'!$A$1:$A$20000,0),MATCH("Volume",'Semrush Data'!$A$1:$Z$1,0)),"")</f>
        <v>210</v>
      </c>
      <c r="H233" s="6" t="n">
        <f aca="false">IFERROR(INDEX('Semrush Data'!$A$1:$Z$20000,MATCH(A233,'Semrush Data'!$A$1:$A$20000,0),MATCH("Keyword Difficulty*",'Semrush Data'!$A$1:$Z$1,0)),"")</f>
        <v>8</v>
      </c>
      <c r="I233" s="29" t="n">
        <f aca="false">IFERROR(INDEX('Semrush Data'!$A$1:$Z$20000,MATCH(A233,'Semrush Data'!$A$1:$A$20000,0),MATCH("CPC*",'Semrush Data'!$A$1:$Z$1,0)),"")</f>
        <v>0.69</v>
      </c>
      <c r="J233" s="6" t="str">
        <f aca="false">IFERROR(INDEX('Semrush Data'!$A$1:$Z$20000,MATCH(A233,'Semrush Data'!$A$1:$A$20000,0),MATCH("Intent",'Semrush Data'!$A$1:$Z$1,0)),"")</f>
        <v>Informational</v>
      </c>
    </row>
    <row r="234" customFormat="false" ht="15" hidden="false" customHeight="true" outlineLevel="0" collapsed="false">
      <c r="A234" s="6" t="s">
        <v>177</v>
      </c>
      <c r="B234" s="6" t="s">
        <v>154</v>
      </c>
      <c r="C234" s="6" t="n">
        <v>1</v>
      </c>
      <c r="D234" s="6" t="n">
        <v>3</v>
      </c>
      <c r="E234" s="6" t="n">
        <v>7</v>
      </c>
      <c r="F234" s="6" t="s">
        <v>6771</v>
      </c>
      <c r="G234" s="28" t="n">
        <f aca="false">IFERROR(INDEX('Semrush Data'!$A$1:$Z$20000,MATCH(A234,'Semrush Data'!$A$1:$A$20000,0),MATCH("Volume",'Semrush Data'!$A$1:$Z$1,0)),"")</f>
        <v>140</v>
      </c>
      <c r="H234" s="6" t="n">
        <f aca="false">IFERROR(INDEX('Semrush Data'!$A$1:$Z$20000,MATCH(A234,'Semrush Data'!$A$1:$A$20000,0),MATCH("Keyword Difficulty*",'Semrush Data'!$A$1:$Z$1,0)),"")</f>
        <v>16</v>
      </c>
      <c r="I234" s="29" t="n">
        <f aca="false">IFERROR(INDEX('Semrush Data'!$A$1:$Z$20000,MATCH(A234,'Semrush Data'!$A$1:$A$20000,0),MATCH("CPC*",'Semrush Data'!$A$1:$Z$1,0)),"")</f>
        <v>0.94</v>
      </c>
      <c r="J234" s="6" t="str">
        <f aca="false">IFERROR(INDEX('Semrush Data'!$A$1:$Z$20000,MATCH(A234,'Semrush Data'!$A$1:$A$20000,0),MATCH("Intent",'Semrush Data'!$A$1:$Z$1,0)),"")</f>
        <v>Informational</v>
      </c>
    </row>
    <row r="235" customFormat="false" ht="15" hidden="false" customHeight="true" outlineLevel="0" collapsed="false">
      <c r="A235" s="6" t="s">
        <v>6772</v>
      </c>
      <c r="B235" s="6" t="s">
        <v>154</v>
      </c>
      <c r="C235" s="6" t="n">
        <v>1</v>
      </c>
      <c r="D235" s="6" t="n">
        <v>3</v>
      </c>
      <c r="E235" s="6" t="n">
        <v>2</v>
      </c>
      <c r="F235" s="6" t="s">
        <v>6757</v>
      </c>
      <c r="G235" s="28" t="n">
        <f aca="false">IFERROR(INDEX('Semrush Data'!$A$1:$Z$20000,MATCH(A235,'Semrush Data'!$A$1:$A$20000,0),MATCH("Volume",'Semrush Data'!$A$1:$Z$1,0)),"")</f>
        <v>0</v>
      </c>
      <c r="H235" s="6" t="n">
        <f aca="false">IFERROR(INDEX('Semrush Data'!$A$1:$Z$20000,MATCH(A235,'Semrush Data'!$A$1:$A$20000,0),MATCH("Keyword Difficulty*",'Semrush Data'!$A$1:$Z$1,0)),"")</f>
        <v>32</v>
      </c>
      <c r="I235" s="29" t="n">
        <f aca="false">IFERROR(INDEX('Semrush Data'!$A$1:$Z$20000,MATCH(A235,'Semrush Data'!$A$1:$A$20000,0),MATCH("CPC*",'Semrush Data'!$A$1:$Z$1,0)),"")</f>
        <v>0</v>
      </c>
      <c r="J235" s="6" t="str">
        <f aca="false">IFERROR(INDEX('Semrush Data'!$A$1:$Z$20000,MATCH(A235,'Semrush Data'!$A$1:$A$20000,0),MATCH("Intent",'Semrush Data'!$A$1:$Z$1,0)),"")</f>
        <v>Informational</v>
      </c>
    </row>
    <row r="236" customFormat="false" ht="15" hidden="false" customHeight="true" outlineLevel="0" collapsed="false">
      <c r="A236" s="6" t="s">
        <v>168</v>
      </c>
      <c r="B236" s="6" t="s">
        <v>154</v>
      </c>
      <c r="C236" s="6" t="n">
        <v>1</v>
      </c>
      <c r="D236" s="6" t="n">
        <v>3</v>
      </c>
      <c r="E236" s="6" t="n">
        <v>4</v>
      </c>
      <c r="F236" s="6" t="s">
        <v>6773</v>
      </c>
      <c r="G236" s="28" t="n">
        <f aca="false">IFERROR(INDEX('Semrush Data'!$A$1:$Z$20000,MATCH(A236,'Semrush Data'!$A$1:$A$20000,0),MATCH("Volume",'Semrush Data'!$A$1:$Z$1,0)),"")</f>
        <v>480</v>
      </c>
      <c r="H236" s="6" t="n">
        <f aca="false">IFERROR(INDEX('Semrush Data'!$A$1:$Z$20000,MATCH(A236,'Semrush Data'!$A$1:$A$20000,0),MATCH("Keyword Difficulty*",'Semrush Data'!$A$1:$Z$1,0)),"")</f>
        <v>21</v>
      </c>
      <c r="I236" s="29" t="n">
        <f aca="false">IFERROR(INDEX('Semrush Data'!$A$1:$Z$20000,MATCH(A236,'Semrush Data'!$A$1:$A$20000,0),MATCH("CPC*",'Semrush Data'!$A$1:$Z$1,0)),"")</f>
        <v>1.16</v>
      </c>
      <c r="J236" s="6" t="str">
        <f aca="false">IFERROR(INDEX('Semrush Data'!$A$1:$Z$20000,MATCH(A236,'Semrush Data'!$A$1:$A$20000,0),MATCH("Intent",'Semrush Data'!$A$1:$Z$1,0)),"")</f>
        <v>Informational Commercial</v>
      </c>
    </row>
    <row r="237" customFormat="false" ht="15" hidden="false" customHeight="true" outlineLevel="0" collapsed="false">
      <c r="A237" s="6" t="s">
        <v>169</v>
      </c>
      <c r="B237" s="6" t="s">
        <v>154</v>
      </c>
      <c r="C237" s="6" t="n">
        <v>1</v>
      </c>
      <c r="D237" s="6" t="n">
        <v>3</v>
      </c>
      <c r="E237" s="6" t="n">
        <v>8</v>
      </c>
      <c r="F237" s="6" t="s">
        <v>6730</v>
      </c>
      <c r="G237" s="28" t="n">
        <f aca="false">IFERROR(INDEX('Semrush Data'!$A$1:$Z$20000,MATCH(A237,'Semrush Data'!$A$1:$A$20000,0),MATCH("Volume",'Semrush Data'!$A$1:$Z$1,0)),"")</f>
        <v>480</v>
      </c>
      <c r="H237" s="6" t="n">
        <f aca="false">IFERROR(INDEX('Semrush Data'!$A$1:$Z$20000,MATCH(A237,'Semrush Data'!$A$1:$A$20000,0),MATCH("Keyword Difficulty*",'Semrush Data'!$A$1:$Z$1,0)),"")</f>
        <v>59</v>
      </c>
      <c r="I237" s="29" t="n">
        <f aca="false">IFERROR(INDEX('Semrush Data'!$A$1:$Z$20000,MATCH(A237,'Semrush Data'!$A$1:$A$20000,0),MATCH("CPC*",'Semrush Data'!$A$1:$Z$1,0)),"")</f>
        <v>1.4</v>
      </c>
      <c r="J237" s="6" t="str">
        <f aca="false">IFERROR(INDEX('Semrush Data'!$A$1:$Z$20000,MATCH(A237,'Semrush Data'!$A$1:$A$20000,0),MATCH("Intent",'Semrush Data'!$A$1:$Z$1,0)),"")</f>
        <v>Informational</v>
      </c>
    </row>
    <row r="238" customFormat="false" ht="15" hidden="false" customHeight="true" outlineLevel="0" collapsed="false">
      <c r="A238" s="6" t="s">
        <v>165</v>
      </c>
      <c r="B238" s="6" t="s">
        <v>154</v>
      </c>
      <c r="C238" s="6" t="n">
        <v>1</v>
      </c>
      <c r="D238" s="6" t="n">
        <v>3</v>
      </c>
      <c r="E238" s="6" t="n">
        <v>2</v>
      </c>
      <c r="F238" s="6" t="s">
        <v>6774</v>
      </c>
      <c r="G238" s="28" t="n">
        <f aca="false">IFERROR(INDEX('Semrush Data'!$A$1:$Z$20000,MATCH(A238,'Semrush Data'!$A$1:$A$20000,0),MATCH("Volume",'Semrush Data'!$A$1:$Z$1,0)),"")</f>
        <v>720</v>
      </c>
      <c r="H238" s="6" t="n">
        <f aca="false">IFERROR(INDEX('Semrush Data'!$A$1:$Z$20000,MATCH(A238,'Semrush Data'!$A$1:$A$20000,0),MATCH("Keyword Difficulty*",'Semrush Data'!$A$1:$Z$1,0)),"")</f>
        <v>20</v>
      </c>
      <c r="I238" s="29" t="n">
        <f aca="false">IFERROR(INDEX('Semrush Data'!$A$1:$Z$20000,MATCH(A238,'Semrush Data'!$A$1:$A$20000,0),MATCH("CPC*",'Semrush Data'!$A$1:$Z$1,0)),"")</f>
        <v>0.57</v>
      </c>
      <c r="J238" s="6" t="str">
        <f aca="false">IFERROR(INDEX('Semrush Data'!$A$1:$Z$20000,MATCH(A238,'Semrush Data'!$A$1:$A$20000,0),MATCH("Intent",'Semrush Data'!$A$1:$Z$1,0)),"")</f>
        <v>Informational</v>
      </c>
    </row>
    <row r="239" customFormat="false" ht="15" hidden="false" customHeight="true" outlineLevel="0" collapsed="false">
      <c r="A239" s="6" t="s">
        <v>6775</v>
      </c>
      <c r="B239" s="6" t="s">
        <v>154</v>
      </c>
      <c r="C239" s="6" t="n">
        <v>1</v>
      </c>
      <c r="D239" s="6" t="n">
        <v>3</v>
      </c>
      <c r="E239" s="6" t="n">
        <v>4</v>
      </c>
      <c r="F239" s="6" t="s">
        <v>6776</v>
      </c>
      <c r="G239" s="28" t="n">
        <f aca="false">IFERROR(INDEX('Semrush Data'!$A$1:$Z$20000,MATCH(A239,'Semrush Data'!$A$1:$A$20000,0),MATCH("Volume",'Semrush Data'!$A$1:$Z$1,0)),"")</f>
        <v>0</v>
      </c>
      <c r="H239" s="6" t="n">
        <f aca="false">IFERROR(INDEX('Semrush Data'!$A$1:$Z$20000,MATCH(A239,'Semrush Data'!$A$1:$A$20000,0),MATCH("Keyword Difficulty*",'Semrush Data'!$A$1:$Z$1,0)),"")</f>
        <v>11</v>
      </c>
      <c r="I239" s="29" t="n">
        <f aca="false">IFERROR(INDEX('Semrush Data'!$A$1:$Z$20000,MATCH(A239,'Semrush Data'!$A$1:$A$20000,0),MATCH("CPC*",'Semrush Data'!$A$1:$Z$1,0)),"")</f>
        <v>0</v>
      </c>
      <c r="J239" s="6" t="str">
        <f aca="false">IFERROR(INDEX('Semrush Data'!$A$1:$Z$20000,MATCH(A239,'Semrush Data'!$A$1:$A$20000,0),MATCH("Intent",'Semrush Data'!$A$1:$Z$1,0)),"")</f>
        <v>Informational</v>
      </c>
    </row>
    <row r="240" customFormat="false" ht="15" hidden="false" customHeight="true" outlineLevel="0" collapsed="false">
      <c r="A240" s="6" t="s">
        <v>160</v>
      </c>
      <c r="B240" s="6" t="s">
        <v>154</v>
      </c>
      <c r="C240" s="6" t="n">
        <v>1</v>
      </c>
      <c r="D240" s="6" t="n">
        <v>3</v>
      </c>
      <c r="E240" s="6" t="n">
        <v>2</v>
      </c>
      <c r="F240" s="6" t="s">
        <v>6777</v>
      </c>
      <c r="G240" s="28" t="n">
        <f aca="false">IFERROR(INDEX('Semrush Data'!$A$1:$Z$20000,MATCH(A240,'Semrush Data'!$A$1:$A$20000,0),MATCH("Volume",'Semrush Data'!$A$1:$Z$1,0)),"")</f>
        <v>1600</v>
      </c>
      <c r="H240" s="6" t="n">
        <f aca="false">IFERROR(INDEX('Semrush Data'!$A$1:$Z$20000,MATCH(A240,'Semrush Data'!$A$1:$A$20000,0),MATCH("Keyword Difficulty*",'Semrush Data'!$A$1:$Z$1,0)),"")</f>
        <v>31</v>
      </c>
      <c r="I240" s="29" t="n">
        <f aca="false">IFERROR(INDEX('Semrush Data'!$A$1:$Z$20000,MATCH(A240,'Semrush Data'!$A$1:$A$20000,0),MATCH("CPC*",'Semrush Data'!$A$1:$Z$1,0)),"")</f>
        <v>1.05</v>
      </c>
      <c r="J240" s="6" t="str">
        <f aca="false">IFERROR(INDEX('Semrush Data'!$A$1:$Z$20000,MATCH(A240,'Semrush Data'!$A$1:$A$20000,0),MATCH("Intent",'Semrush Data'!$A$1:$Z$1,0)),"")</f>
        <v>Informational</v>
      </c>
    </row>
    <row r="241" customFormat="false" ht="15" hidden="false" customHeight="true" outlineLevel="0" collapsed="false">
      <c r="A241" s="6" t="s">
        <v>179</v>
      </c>
      <c r="B241" s="6" t="s">
        <v>154</v>
      </c>
      <c r="C241" s="6" t="n">
        <v>1</v>
      </c>
      <c r="D241" s="6" t="n">
        <v>3</v>
      </c>
      <c r="E241" s="6" t="n">
        <v>1</v>
      </c>
      <c r="F241" s="6" t="s">
        <v>480</v>
      </c>
      <c r="G241" s="28" t="n">
        <f aca="false">IFERROR(INDEX('Semrush Data'!$A$1:$Z$20000,MATCH(A241,'Semrush Data'!$A$1:$A$20000,0),MATCH("Volume",'Semrush Data'!$A$1:$Z$1,0)),"")</f>
        <v>90</v>
      </c>
      <c r="H241" s="6" t="n">
        <f aca="false">IFERROR(INDEX('Semrush Data'!$A$1:$Z$20000,MATCH(A241,'Semrush Data'!$A$1:$A$20000,0),MATCH("Keyword Difficulty*",'Semrush Data'!$A$1:$Z$1,0)),"")</f>
        <v>22</v>
      </c>
      <c r="I241" s="29" t="n">
        <f aca="false">IFERROR(INDEX('Semrush Data'!$A$1:$Z$20000,MATCH(A241,'Semrush Data'!$A$1:$A$20000,0),MATCH("CPC*",'Semrush Data'!$A$1:$Z$1,0)),"")</f>
        <v>0.95</v>
      </c>
      <c r="J241" s="6" t="str">
        <f aca="false">IFERROR(INDEX('Semrush Data'!$A$1:$Z$20000,MATCH(A241,'Semrush Data'!$A$1:$A$20000,0),MATCH("Intent",'Semrush Data'!$A$1:$Z$1,0)),"")</f>
        <v>Informational Commercial</v>
      </c>
    </row>
    <row r="242" customFormat="false" ht="15" hidden="false" customHeight="true" outlineLevel="0" collapsed="false">
      <c r="A242" s="6" t="s">
        <v>6778</v>
      </c>
      <c r="B242" s="6" t="s">
        <v>154</v>
      </c>
      <c r="C242" s="6" t="n">
        <v>1</v>
      </c>
      <c r="D242" s="6" t="n">
        <v>3</v>
      </c>
      <c r="E242" s="6" t="n">
        <v>1</v>
      </c>
      <c r="F242" s="6" t="s">
        <v>1192</v>
      </c>
      <c r="G242" s="28" t="n">
        <f aca="false">IFERROR(INDEX('Semrush Data'!$A$1:$Z$20000,MATCH(A242,'Semrush Data'!$A$1:$A$20000,0),MATCH("Volume",'Semrush Data'!$A$1:$Z$1,0)),"")</f>
        <v>0</v>
      </c>
      <c r="H242" s="6" t="n">
        <f aca="false">IFERROR(INDEX('Semrush Data'!$A$1:$Z$20000,MATCH(A242,'Semrush Data'!$A$1:$A$20000,0),MATCH("Keyword Difficulty*",'Semrush Data'!$A$1:$Z$1,0)),"")</f>
        <v>26</v>
      </c>
      <c r="I242" s="29" t="n">
        <f aca="false">IFERROR(INDEX('Semrush Data'!$A$1:$Z$20000,MATCH(A242,'Semrush Data'!$A$1:$A$20000,0),MATCH("CPC*",'Semrush Data'!$A$1:$Z$1,0)),"")</f>
        <v>0</v>
      </c>
      <c r="J242" s="6" t="str">
        <f aca="false">IFERROR(INDEX('Semrush Data'!$A$1:$Z$20000,MATCH(A242,'Semrush Data'!$A$1:$A$20000,0),MATCH("Intent",'Semrush Data'!$A$1:$Z$1,0)),"")</f>
        <v>Commercial</v>
      </c>
    </row>
    <row r="243" customFormat="false" ht="15" hidden="false" customHeight="true" outlineLevel="0" collapsed="false">
      <c r="A243" s="6" t="s">
        <v>170</v>
      </c>
      <c r="B243" s="6" t="s">
        <v>154</v>
      </c>
      <c r="C243" s="6" t="n">
        <v>1</v>
      </c>
      <c r="D243" s="6" t="n">
        <v>3</v>
      </c>
      <c r="E243" s="6" t="n">
        <v>2</v>
      </c>
      <c r="F243" s="6" t="s">
        <v>6779</v>
      </c>
      <c r="G243" s="28" t="n">
        <f aca="false">IFERROR(INDEX('Semrush Data'!$A$1:$Z$20000,MATCH(A243,'Semrush Data'!$A$1:$A$20000,0),MATCH("Volume",'Semrush Data'!$A$1:$Z$1,0)),"")</f>
        <v>320</v>
      </c>
      <c r="H243" s="6" t="n">
        <f aca="false">IFERROR(INDEX('Semrush Data'!$A$1:$Z$20000,MATCH(A243,'Semrush Data'!$A$1:$A$20000,0),MATCH("Keyword Difficulty*",'Semrush Data'!$A$1:$Z$1,0)),"")</f>
        <v>10</v>
      </c>
      <c r="I243" s="29" t="n">
        <f aca="false">IFERROR(INDEX('Semrush Data'!$A$1:$Z$20000,MATCH(A243,'Semrush Data'!$A$1:$A$20000,0),MATCH("CPC*",'Semrush Data'!$A$1:$Z$1,0)),"")</f>
        <v>1.92</v>
      </c>
      <c r="J243" s="6" t="str">
        <f aca="false">IFERROR(INDEX('Semrush Data'!$A$1:$Z$20000,MATCH(A243,'Semrush Data'!$A$1:$A$20000,0),MATCH("Intent",'Semrush Data'!$A$1:$Z$1,0)),"")</f>
        <v>Informational</v>
      </c>
    </row>
    <row r="244" customFormat="false" ht="15" hidden="false" customHeight="true" outlineLevel="0" collapsed="false">
      <c r="A244" s="6" t="s">
        <v>6780</v>
      </c>
      <c r="B244" s="6" t="s">
        <v>154</v>
      </c>
      <c r="C244" s="6" t="n">
        <v>1</v>
      </c>
      <c r="D244" s="6" t="n">
        <v>3</v>
      </c>
      <c r="E244" s="6" t="n">
        <v>5</v>
      </c>
      <c r="F244" s="6" t="s">
        <v>6781</v>
      </c>
      <c r="G244" s="28" t="n">
        <f aca="false">IFERROR(INDEX('Semrush Data'!$A$1:$Z$20000,MATCH(A244,'Semrush Data'!$A$1:$A$20000,0),MATCH("Volume",'Semrush Data'!$A$1:$Z$1,0)),"")</f>
        <v>0</v>
      </c>
      <c r="H244" s="6" t="n">
        <f aca="false">IFERROR(INDEX('Semrush Data'!$A$1:$Z$20000,MATCH(A244,'Semrush Data'!$A$1:$A$20000,0),MATCH("Keyword Difficulty*",'Semrush Data'!$A$1:$Z$1,0)),"")</f>
        <v>29</v>
      </c>
      <c r="I244" s="29" t="n">
        <f aca="false">IFERROR(INDEX('Semrush Data'!$A$1:$Z$20000,MATCH(A244,'Semrush Data'!$A$1:$A$20000,0),MATCH("CPC*",'Semrush Data'!$A$1:$Z$1,0)),"")</f>
        <v>0</v>
      </c>
      <c r="J244" s="6" t="str">
        <f aca="false">IFERROR(INDEX('Semrush Data'!$A$1:$Z$20000,MATCH(A244,'Semrush Data'!$A$1:$A$20000,0),MATCH("Intent",'Semrush Data'!$A$1:$Z$1,0)),"")</f>
        <v>Informational</v>
      </c>
    </row>
    <row r="245" customFormat="false" ht="15" hidden="false" customHeight="true" outlineLevel="0" collapsed="false">
      <c r="A245" s="6" t="s">
        <v>167</v>
      </c>
      <c r="B245" s="6" t="s">
        <v>154</v>
      </c>
      <c r="C245" s="6" t="n">
        <v>1</v>
      </c>
      <c r="D245" s="6" t="n">
        <v>3</v>
      </c>
      <c r="E245" s="6" t="n">
        <v>1</v>
      </c>
      <c r="F245" s="6" t="s">
        <v>512</v>
      </c>
      <c r="G245" s="28" t="n">
        <f aca="false">IFERROR(INDEX('Semrush Data'!$A$1:$Z$20000,MATCH(A245,'Semrush Data'!$A$1:$A$20000,0),MATCH("Volume",'Semrush Data'!$A$1:$Z$1,0)),"")</f>
        <v>720</v>
      </c>
      <c r="H245" s="6" t="n">
        <f aca="false">IFERROR(INDEX('Semrush Data'!$A$1:$Z$20000,MATCH(A245,'Semrush Data'!$A$1:$A$20000,0),MATCH("Keyword Difficulty*",'Semrush Data'!$A$1:$Z$1,0)),"")</f>
        <v>16</v>
      </c>
      <c r="I245" s="29" t="n">
        <f aca="false">IFERROR(INDEX('Semrush Data'!$A$1:$Z$20000,MATCH(A245,'Semrush Data'!$A$1:$A$20000,0),MATCH("CPC*",'Semrush Data'!$A$1:$Z$1,0)),"")</f>
        <v>0.77</v>
      </c>
      <c r="J245" s="6" t="str">
        <f aca="false">IFERROR(INDEX('Semrush Data'!$A$1:$Z$20000,MATCH(A245,'Semrush Data'!$A$1:$A$20000,0),MATCH("Intent",'Semrush Data'!$A$1:$Z$1,0)),"")</f>
        <v>Informational</v>
      </c>
    </row>
    <row r="246" customFormat="false" ht="15" hidden="false" customHeight="true" outlineLevel="0" collapsed="false">
      <c r="A246" s="6" t="s">
        <v>6782</v>
      </c>
      <c r="B246" s="6" t="s">
        <v>154</v>
      </c>
      <c r="C246" s="6" t="n">
        <v>1</v>
      </c>
      <c r="D246" s="6" t="n">
        <v>3</v>
      </c>
      <c r="E246" s="6" t="n">
        <v>3</v>
      </c>
      <c r="F246" s="6" t="s">
        <v>6783</v>
      </c>
      <c r="G246" s="28" t="n">
        <f aca="false">IFERROR(INDEX('Semrush Data'!$A$1:$Z$20000,MATCH(A246,'Semrush Data'!$A$1:$A$20000,0),MATCH("Volume",'Semrush Data'!$A$1:$Z$1,0)),"")</f>
        <v>0</v>
      </c>
      <c r="H246" s="6" t="n">
        <f aca="false">IFERROR(INDEX('Semrush Data'!$A$1:$Z$20000,MATCH(A246,'Semrush Data'!$A$1:$A$20000,0),MATCH("Keyword Difficulty*",'Semrush Data'!$A$1:$Z$1,0)),"")</f>
        <v>24</v>
      </c>
      <c r="I246" s="29" t="n">
        <f aca="false">IFERROR(INDEX('Semrush Data'!$A$1:$Z$20000,MATCH(A246,'Semrush Data'!$A$1:$A$20000,0),MATCH("CPC*",'Semrush Data'!$A$1:$Z$1,0)),"")</f>
        <v>0</v>
      </c>
      <c r="J246" s="6" t="str">
        <f aca="false">IFERROR(INDEX('Semrush Data'!$A$1:$Z$20000,MATCH(A246,'Semrush Data'!$A$1:$A$20000,0),MATCH("Intent",'Semrush Data'!$A$1:$Z$1,0)),"")</f>
        <v>Commercial</v>
      </c>
    </row>
    <row r="247" customFormat="false" ht="15" hidden="false" customHeight="true" outlineLevel="0" collapsed="false">
      <c r="A247" s="6" t="s">
        <v>6784</v>
      </c>
      <c r="B247" s="6" t="s">
        <v>154</v>
      </c>
      <c r="C247" s="6" t="n">
        <v>1</v>
      </c>
      <c r="D247" s="6" t="n">
        <v>3</v>
      </c>
      <c r="E247" s="6" t="n">
        <v>3</v>
      </c>
      <c r="F247" s="6" t="s">
        <v>6785</v>
      </c>
      <c r="G247" s="28" t="n">
        <f aca="false">IFERROR(INDEX('Semrush Data'!$A$1:$Z$20000,MATCH(A247,'Semrush Data'!$A$1:$A$20000,0),MATCH("Volume",'Semrush Data'!$A$1:$Z$1,0)),"")</f>
        <v>0</v>
      </c>
      <c r="H247" s="6" t="n">
        <f aca="false">IFERROR(INDEX('Semrush Data'!$A$1:$Z$20000,MATCH(A247,'Semrush Data'!$A$1:$A$20000,0),MATCH("Keyword Difficulty*",'Semrush Data'!$A$1:$Z$1,0)),"")</f>
        <v>13</v>
      </c>
      <c r="I247" s="29" t="n">
        <f aca="false">IFERROR(INDEX('Semrush Data'!$A$1:$Z$20000,MATCH(A247,'Semrush Data'!$A$1:$A$20000,0),MATCH("CPC*",'Semrush Data'!$A$1:$Z$1,0)),"")</f>
        <v>0</v>
      </c>
      <c r="J247" s="6" t="str">
        <f aca="false">IFERROR(INDEX('Semrush Data'!$A$1:$Z$20000,MATCH(A247,'Semrush Data'!$A$1:$A$20000,0),MATCH("Intent",'Semrush Data'!$A$1:$Z$1,0)),"")</f>
        <v>Transactional</v>
      </c>
    </row>
    <row r="248" customFormat="false" ht="15" hidden="false" customHeight="true" outlineLevel="0" collapsed="false">
      <c r="A248" s="6" t="s">
        <v>6786</v>
      </c>
      <c r="B248" s="6" t="s">
        <v>154</v>
      </c>
      <c r="C248" s="6" t="n">
        <v>1</v>
      </c>
      <c r="D248" s="6" t="n">
        <v>3</v>
      </c>
      <c r="E248" s="6" t="n">
        <v>1</v>
      </c>
      <c r="F248" s="6" t="s">
        <v>583</v>
      </c>
      <c r="G248" s="28" t="n">
        <f aca="false">IFERROR(INDEX('Semrush Data'!$A$1:$Z$20000,MATCH(A248,'Semrush Data'!$A$1:$A$20000,0),MATCH("Volume",'Semrush Data'!$A$1:$Z$1,0)),"")</f>
        <v>0</v>
      </c>
      <c r="H248" s="6" t="n">
        <f aca="false">IFERROR(INDEX('Semrush Data'!$A$1:$Z$20000,MATCH(A248,'Semrush Data'!$A$1:$A$20000,0),MATCH("Keyword Difficulty*",'Semrush Data'!$A$1:$Z$1,0)),"")</f>
        <v>18</v>
      </c>
      <c r="I248" s="29" t="n">
        <f aca="false">IFERROR(INDEX('Semrush Data'!$A$1:$Z$20000,MATCH(A248,'Semrush Data'!$A$1:$A$20000,0),MATCH("CPC*",'Semrush Data'!$A$1:$Z$1,0)),"")</f>
        <v>0</v>
      </c>
      <c r="J248" s="6" t="str">
        <f aca="false">IFERROR(INDEX('Semrush Data'!$A$1:$Z$20000,MATCH(A248,'Semrush Data'!$A$1:$A$20000,0),MATCH("Intent",'Semrush Data'!$A$1:$Z$1,0)),"")</f>
        <v>Transactional Navigational</v>
      </c>
    </row>
    <row r="249" customFormat="false" ht="15" hidden="false" customHeight="true" outlineLevel="0" collapsed="false">
      <c r="A249" s="6" t="s">
        <v>6787</v>
      </c>
      <c r="B249" s="6" t="s">
        <v>154</v>
      </c>
      <c r="C249" s="6" t="n">
        <v>1</v>
      </c>
      <c r="D249" s="6" t="n">
        <v>3</v>
      </c>
      <c r="E249" s="6" t="n">
        <v>5</v>
      </c>
      <c r="F249" s="6" t="s">
        <v>6788</v>
      </c>
      <c r="G249" s="28" t="n">
        <f aca="false">IFERROR(INDEX('Semrush Data'!$A$1:$Z$20000,MATCH(A249,'Semrush Data'!$A$1:$A$20000,0),MATCH("Volume",'Semrush Data'!$A$1:$Z$1,0)),"")</f>
        <v>0</v>
      </c>
      <c r="H249" s="6" t="n">
        <f aca="false">IFERROR(INDEX('Semrush Data'!$A$1:$Z$20000,MATCH(A249,'Semrush Data'!$A$1:$A$20000,0),MATCH("Keyword Difficulty*",'Semrush Data'!$A$1:$Z$1,0)),"")</f>
        <v>22</v>
      </c>
      <c r="I249" s="29" t="n">
        <f aca="false">IFERROR(INDEX('Semrush Data'!$A$1:$Z$20000,MATCH(A249,'Semrush Data'!$A$1:$A$20000,0),MATCH("CPC*",'Semrush Data'!$A$1:$Z$1,0)),"")</f>
        <v>0</v>
      </c>
      <c r="J249" s="6" t="str">
        <f aca="false">IFERROR(INDEX('Semrush Data'!$A$1:$Z$20000,MATCH(A249,'Semrush Data'!$A$1:$A$20000,0),MATCH("Intent",'Semrush Data'!$A$1:$Z$1,0)),"")</f>
        <v>Transactional</v>
      </c>
    </row>
    <row r="250" customFormat="false" ht="15" hidden="false" customHeight="true" outlineLevel="0" collapsed="false">
      <c r="A250" s="6" t="s">
        <v>6789</v>
      </c>
      <c r="B250" s="6" t="s">
        <v>154</v>
      </c>
      <c r="C250" s="6" t="n">
        <v>1</v>
      </c>
      <c r="D250" s="6" t="n">
        <v>3</v>
      </c>
      <c r="E250" s="6" t="n">
        <v>1</v>
      </c>
      <c r="F250" s="6" t="s">
        <v>470</v>
      </c>
      <c r="G250" s="28" t="n">
        <f aca="false">IFERROR(INDEX('Semrush Data'!$A$1:$Z$20000,MATCH(A250,'Semrush Data'!$A$1:$A$20000,0),MATCH("Volume",'Semrush Data'!$A$1:$Z$1,0)),"")</f>
        <v>20</v>
      </c>
      <c r="H250" s="6" t="n">
        <f aca="false">IFERROR(INDEX('Semrush Data'!$A$1:$Z$20000,MATCH(A250,'Semrush Data'!$A$1:$A$20000,0),MATCH("Keyword Difficulty*",'Semrush Data'!$A$1:$Z$1,0)),"")</f>
        <v>10</v>
      </c>
      <c r="I250" s="29" t="n">
        <f aca="false">IFERROR(INDEX('Semrush Data'!$A$1:$Z$20000,MATCH(A250,'Semrush Data'!$A$1:$A$20000,0),MATCH("CPC*",'Semrush Data'!$A$1:$Z$1,0)),"")</f>
        <v>0</v>
      </c>
      <c r="J250" s="6" t="str">
        <f aca="false">IFERROR(INDEX('Semrush Data'!$A$1:$Z$20000,MATCH(A250,'Semrush Data'!$A$1:$A$20000,0),MATCH("Intent",'Semrush Data'!$A$1:$Z$1,0)),"")</f>
        <v>Informational Transactional</v>
      </c>
    </row>
    <row r="251" customFormat="false" ht="15" hidden="false" customHeight="true" outlineLevel="0" collapsed="false">
      <c r="A251" s="6" t="s">
        <v>6790</v>
      </c>
      <c r="B251" s="6" t="s">
        <v>154</v>
      </c>
      <c r="C251" s="6" t="n">
        <v>1</v>
      </c>
      <c r="D251" s="6" t="n">
        <v>3</v>
      </c>
      <c r="E251" s="6" t="n">
        <v>3</v>
      </c>
      <c r="F251" s="6" t="s">
        <v>6791</v>
      </c>
      <c r="G251" s="28" t="n">
        <f aca="false">IFERROR(INDEX('Semrush Data'!$A$1:$Z$20000,MATCH(A251,'Semrush Data'!$A$1:$A$20000,0),MATCH("Volume",'Semrush Data'!$A$1:$Z$1,0)),"")</f>
        <v>20</v>
      </c>
      <c r="H251" s="6" t="n">
        <f aca="false">IFERROR(INDEX('Semrush Data'!$A$1:$Z$20000,MATCH(A251,'Semrush Data'!$A$1:$A$20000,0),MATCH("Keyword Difficulty*",'Semrush Data'!$A$1:$Z$1,0)),"")</f>
        <v>8</v>
      </c>
      <c r="I251" s="29" t="n">
        <f aca="false">IFERROR(INDEX('Semrush Data'!$A$1:$Z$20000,MATCH(A251,'Semrush Data'!$A$1:$A$20000,0),MATCH("CPC*",'Semrush Data'!$A$1:$Z$1,0)),"")</f>
        <v>0</v>
      </c>
      <c r="J251" s="6" t="str">
        <f aca="false">IFERROR(INDEX('Semrush Data'!$A$1:$Z$20000,MATCH(A251,'Semrush Data'!$A$1:$A$20000,0),MATCH("Intent",'Semrush Data'!$A$1:$Z$1,0)),"")</f>
        <v>Informational Transactional</v>
      </c>
    </row>
    <row r="252" customFormat="false" ht="15" hidden="false" customHeight="true" outlineLevel="0" collapsed="false">
      <c r="A252" s="6" t="s">
        <v>6792</v>
      </c>
      <c r="B252" s="6" t="s">
        <v>154</v>
      </c>
      <c r="C252" s="6" t="n">
        <v>1</v>
      </c>
      <c r="D252" s="6" t="n">
        <v>3</v>
      </c>
      <c r="E252" s="6" t="n">
        <v>3</v>
      </c>
      <c r="F252" s="6" t="s">
        <v>6793</v>
      </c>
      <c r="G252" s="28" t="n">
        <f aca="false">IFERROR(INDEX('Semrush Data'!$A$1:$Z$20000,MATCH(A252,'Semrush Data'!$A$1:$A$20000,0),MATCH("Volume",'Semrush Data'!$A$1:$Z$1,0)),"")</f>
        <v>0</v>
      </c>
      <c r="H252" s="6" t="n">
        <f aca="false">IFERROR(INDEX('Semrush Data'!$A$1:$Z$20000,MATCH(A252,'Semrush Data'!$A$1:$A$20000,0),MATCH("Keyword Difficulty*",'Semrush Data'!$A$1:$Z$1,0)),"")</f>
        <v>22</v>
      </c>
      <c r="I252" s="29" t="n">
        <f aca="false">IFERROR(INDEX('Semrush Data'!$A$1:$Z$20000,MATCH(A252,'Semrush Data'!$A$1:$A$20000,0),MATCH("CPC*",'Semrush Data'!$A$1:$Z$1,0)),"")</f>
        <v>0</v>
      </c>
      <c r="J252" s="6" t="str">
        <f aca="false">IFERROR(INDEX('Semrush Data'!$A$1:$Z$20000,MATCH(A252,'Semrush Data'!$A$1:$A$20000,0),MATCH("Intent",'Semrush Data'!$A$1:$Z$1,0)),"")</f>
        <v>Informational Transactional</v>
      </c>
    </row>
    <row r="253" customFormat="false" ht="15" hidden="false" customHeight="true" outlineLevel="0" collapsed="false">
      <c r="A253" s="6" t="s">
        <v>6794</v>
      </c>
      <c r="B253" s="6" t="s">
        <v>154</v>
      </c>
      <c r="C253" s="6" t="n">
        <v>1</v>
      </c>
      <c r="D253" s="6" t="n">
        <v>3</v>
      </c>
      <c r="E253" s="6" t="n">
        <v>3</v>
      </c>
      <c r="F253" s="6" t="s">
        <v>6795</v>
      </c>
      <c r="G253" s="28" t="n">
        <f aca="false">IFERROR(INDEX('Semrush Data'!$A$1:$Z$20000,MATCH(A253,'Semrush Data'!$A$1:$A$20000,0),MATCH("Volume",'Semrush Data'!$A$1:$Z$1,0)),"")</f>
        <v>30</v>
      </c>
      <c r="H253" s="6" t="n">
        <f aca="false">IFERROR(INDEX('Semrush Data'!$A$1:$Z$20000,MATCH(A253,'Semrush Data'!$A$1:$A$20000,0),MATCH("Keyword Difficulty*",'Semrush Data'!$A$1:$Z$1,0)),"")</f>
        <v>10</v>
      </c>
      <c r="I253" s="29" t="n">
        <f aca="false">IFERROR(INDEX('Semrush Data'!$A$1:$Z$20000,MATCH(A253,'Semrush Data'!$A$1:$A$20000,0),MATCH("CPC*",'Semrush Data'!$A$1:$Z$1,0)),"")</f>
        <v>0.57</v>
      </c>
      <c r="J253" s="6" t="str">
        <f aca="false">IFERROR(INDEX('Semrush Data'!$A$1:$Z$20000,MATCH(A253,'Semrush Data'!$A$1:$A$20000,0),MATCH("Intent",'Semrush Data'!$A$1:$Z$1,0)),"")</f>
        <v>Informational Transactional</v>
      </c>
    </row>
    <row r="254" customFormat="false" ht="15" hidden="false" customHeight="true" outlineLevel="0" collapsed="false">
      <c r="A254" s="6" t="s">
        <v>6796</v>
      </c>
      <c r="B254" s="6" t="s">
        <v>154</v>
      </c>
      <c r="C254" s="6" t="n">
        <v>1</v>
      </c>
      <c r="D254" s="6" t="n">
        <v>3</v>
      </c>
      <c r="E254" s="6" t="n">
        <v>3</v>
      </c>
      <c r="F254" s="6" t="s">
        <v>6764</v>
      </c>
      <c r="G254" s="28" t="n">
        <f aca="false">IFERROR(INDEX('Semrush Data'!$A$1:$Z$20000,MATCH(A254,'Semrush Data'!$A$1:$A$20000,0),MATCH("Volume",'Semrush Data'!$A$1:$Z$1,0)),"")</f>
        <v>0</v>
      </c>
      <c r="H254" s="6" t="n">
        <f aca="false">IFERROR(INDEX('Semrush Data'!$A$1:$Z$20000,MATCH(A254,'Semrush Data'!$A$1:$A$20000,0),MATCH("Keyword Difficulty*",'Semrush Data'!$A$1:$Z$1,0)),"")</f>
        <v>13</v>
      </c>
      <c r="I254" s="29" t="n">
        <f aca="false">IFERROR(INDEX('Semrush Data'!$A$1:$Z$20000,MATCH(A254,'Semrush Data'!$A$1:$A$20000,0),MATCH("CPC*",'Semrush Data'!$A$1:$Z$1,0)),"")</f>
        <v>0</v>
      </c>
      <c r="J254" s="6" t="str">
        <f aca="false">IFERROR(INDEX('Semrush Data'!$A$1:$Z$20000,MATCH(A254,'Semrush Data'!$A$1:$A$20000,0),MATCH("Intent",'Semrush Data'!$A$1:$Z$1,0)),"")</f>
        <v>Informational Transactional</v>
      </c>
    </row>
    <row r="255" customFormat="false" ht="15" hidden="false" customHeight="true" outlineLevel="0" collapsed="false">
      <c r="A255" s="6" t="s">
        <v>6797</v>
      </c>
      <c r="B255" s="6" t="s">
        <v>154</v>
      </c>
      <c r="C255" s="6" t="n">
        <v>1</v>
      </c>
      <c r="D255" s="6" t="n">
        <v>3</v>
      </c>
      <c r="E255" s="6" t="n">
        <v>1</v>
      </c>
      <c r="F255" s="6" t="s">
        <v>618</v>
      </c>
      <c r="G255" s="28" t="n">
        <f aca="false">IFERROR(INDEX('Semrush Data'!$A$1:$Z$20000,MATCH(A255,'Semrush Data'!$A$1:$A$20000,0),MATCH("Volume",'Semrush Data'!$A$1:$Z$1,0)),"")</f>
        <v>20</v>
      </c>
      <c r="H255" s="6" t="n">
        <f aca="false">IFERROR(INDEX('Semrush Data'!$A$1:$Z$20000,MATCH(A255,'Semrush Data'!$A$1:$A$20000,0),MATCH("Keyword Difficulty*",'Semrush Data'!$A$1:$Z$1,0)),"")</f>
        <v>8</v>
      </c>
      <c r="I255" s="29" t="n">
        <f aca="false">IFERROR(INDEX('Semrush Data'!$A$1:$Z$20000,MATCH(A255,'Semrush Data'!$A$1:$A$20000,0),MATCH("CPC*",'Semrush Data'!$A$1:$Z$1,0)),"")</f>
        <v>0</v>
      </c>
      <c r="J255" s="6" t="str">
        <f aca="false">IFERROR(INDEX('Semrush Data'!$A$1:$Z$20000,MATCH(A255,'Semrush Data'!$A$1:$A$20000,0),MATCH("Intent",'Semrush Data'!$A$1:$Z$1,0)),"")</f>
        <v>Informational Transactional</v>
      </c>
    </row>
    <row r="256" customFormat="false" ht="15" hidden="false" customHeight="true" outlineLevel="0" collapsed="false">
      <c r="A256" s="6" t="s">
        <v>6798</v>
      </c>
      <c r="B256" s="6" t="s">
        <v>154</v>
      </c>
      <c r="C256" s="6" t="n">
        <v>1</v>
      </c>
      <c r="D256" s="6" t="n">
        <v>3</v>
      </c>
      <c r="E256" s="6" t="n">
        <v>4</v>
      </c>
      <c r="F256" s="6" t="s">
        <v>6799</v>
      </c>
      <c r="G256" s="28" t="n">
        <f aca="false">IFERROR(INDEX('Semrush Data'!$A$1:$Z$20000,MATCH(A256,'Semrush Data'!$A$1:$A$20000,0),MATCH("Volume",'Semrush Data'!$A$1:$Z$1,0)),"")</f>
        <v>20</v>
      </c>
      <c r="H256" s="6" t="n">
        <f aca="false">IFERROR(INDEX('Semrush Data'!$A$1:$Z$20000,MATCH(A256,'Semrush Data'!$A$1:$A$20000,0),MATCH("Keyword Difficulty*",'Semrush Data'!$A$1:$Z$1,0)),"")</f>
        <v>25</v>
      </c>
      <c r="I256" s="29" t="n">
        <f aca="false">IFERROR(INDEX('Semrush Data'!$A$1:$Z$20000,MATCH(A256,'Semrush Data'!$A$1:$A$20000,0),MATCH("CPC*",'Semrush Data'!$A$1:$Z$1,0)),"")</f>
        <v>0</v>
      </c>
      <c r="J256" s="6" t="str">
        <f aca="false">IFERROR(INDEX('Semrush Data'!$A$1:$Z$20000,MATCH(A256,'Semrush Data'!$A$1:$A$20000,0),MATCH("Intent",'Semrush Data'!$A$1:$Z$1,0)),"")</f>
        <v>Informational Transactional</v>
      </c>
    </row>
    <row r="257" customFormat="false" ht="15" hidden="false" customHeight="true" outlineLevel="0" collapsed="false">
      <c r="A257" s="6" t="s">
        <v>6800</v>
      </c>
      <c r="B257" s="6" t="s">
        <v>154</v>
      </c>
      <c r="C257" s="6" t="n">
        <v>1</v>
      </c>
      <c r="D257" s="6" t="n">
        <v>3</v>
      </c>
      <c r="E257" s="6" t="n">
        <v>1</v>
      </c>
      <c r="F257" s="6" t="s">
        <v>549</v>
      </c>
      <c r="G257" s="28" t="n">
        <f aca="false">IFERROR(INDEX('Semrush Data'!$A$1:$Z$20000,MATCH(A257,'Semrush Data'!$A$1:$A$20000,0),MATCH("Volume",'Semrush Data'!$A$1:$Z$1,0)),"")</f>
        <v>20</v>
      </c>
      <c r="H257" s="6" t="n">
        <f aca="false">IFERROR(INDEX('Semrush Data'!$A$1:$Z$20000,MATCH(A257,'Semrush Data'!$A$1:$A$20000,0),MATCH("Keyword Difficulty*",'Semrush Data'!$A$1:$Z$1,0)),"")</f>
        <v>15</v>
      </c>
      <c r="I257" s="29" t="n">
        <f aca="false">IFERROR(INDEX('Semrush Data'!$A$1:$Z$20000,MATCH(A257,'Semrush Data'!$A$1:$A$20000,0),MATCH("CPC*",'Semrush Data'!$A$1:$Z$1,0)),"")</f>
        <v>0</v>
      </c>
      <c r="J257" s="6" t="str">
        <f aca="false">IFERROR(INDEX('Semrush Data'!$A$1:$Z$20000,MATCH(A257,'Semrush Data'!$A$1:$A$20000,0),MATCH("Intent",'Semrush Data'!$A$1:$Z$1,0)),"")</f>
        <v>Informational Transactional</v>
      </c>
    </row>
    <row r="258" customFormat="false" ht="15" hidden="false" customHeight="true" outlineLevel="0" collapsed="false">
      <c r="A258" s="6" t="s">
        <v>6801</v>
      </c>
      <c r="B258" s="6" t="s">
        <v>154</v>
      </c>
      <c r="C258" s="6" t="n">
        <v>1</v>
      </c>
      <c r="D258" s="6" t="n">
        <v>3</v>
      </c>
      <c r="E258" s="6" t="n">
        <v>8</v>
      </c>
      <c r="F258" s="6" t="s">
        <v>6802</v>
      </c>
      <c r="G258" s="28" t="n">
        <f aca="false">IFERROR(INDEX('Semrush Data'!$A$1:$Z$20000,MATCH(A258,'Semrush Data'!$A$1:$A$20000,0),MATCH("Volume",'Semrush Data'!$A$1:$Z$1,0)),"")</f>
        <v>20</v>
      </c>
      <c r="H258" s="6" t="n">
        <f aca="false">IFERROR(INDEX('Semrush Data'!$A$1:$Z$20000,MATCH(A258,'Semrush Data'!$A$1:$A$20000,0),MATCH("Keyword Difficulty*",'Semrush Data'!$A$1:$Z$1,0)),"")</f>
        <v>10</v>
      </c>
      <c r="I258" s="29" t="n">
        <f aca="false">IFERROR(INDEX('Semrush Data'!$A$1:$Z$20000,MATCH(A258,'Semrush Data'!$A$1:$A$20000,0),MATCH("CPC*",'Semrush Data'!$A$1:$Z$1,0)),"")</f>
        <v>0.29</v>
      </c>
      <c r="J258" s="6" t="str">
        <f aca="false">IFERROR(INDEX('Semrush Data'!$A$1:$Z$20000,MATCH(A258,'Semrush Data'!$A$1:$A$20000,0),MATCH("Intent",'Semrush Data'!$A$1:$Z$1,0)),"")</f>
        <v>Informational Transactional</v>
      </c>
    </row>
    <row r="259" customFormat="false" ht="15" hidden="false" customHeight="true" outlineLevel="0" collapsed="false">
      <c r="A259" s="6" t="s">
        <v>6803</v>
      </c>
      <c r="B259" s="6" t="s">
        <v>154</v>
      </c>
      <c r="C259" s="6" t="n">
        <v>1</v>
      </c>
      <c r="D259" s="6" t="n">
        <v>3</v>
      </c>
      <c r="E259" s="6" t="n">
        <v>3</v>
      </c>
      <c r="F259" s="6" t="s">
        <v>6804</v>
      </c>
      <c r="G259" s="28" t="n">
        <f aca="false">IFERROR(INDEX('Semrush Data'!$A$1:$Z$20000,MATCH(A259,'Semrush Data'!$A$1:$A$20000,0),MATCH("Volume",'Semrush Data'!$A$1:$Z$1,0)),"")</f>
        <v>0</v>
      </c>
      <c r="H259" s="6" t="n">
        <f aca="false">IFERROR(INDEX('Semrush Data'!$A$1:$Z$20000,MATCH(A259,'Semrush Data'!$A$1:$A$20000,0),MATCH("Keyword Difficulty*",'Semrush Data'!$A$1:$Z$1,0)),"")</f>
        <v>30</v>
      </c>
      <c r="I259" s="29" t="n">
        <f aca="false">IFERROR(INDEX('Semrush Data'!$A$1:$Z$20000,MATCH(A259,'Semrush Data'!$A$1:$A$20000,0),MATCH("CPC*",'Semrush Data'!$A$1:$Z$1,0)),"")</f>
        <v>0</v>
      </c>
      <c r="J259" s="6" t="str">
        <f aca="false">IFERROR(INDEX('Semrush Data'!$A$1:$Z$20000,MATCH(A259,'Semrush Data'!$A$1:$A$20000,0),MATCH("Intent",'Semrush Data'!$A$1:$Z$1,0)),"")</f>
        <v>Informational Transactional</v>
      </c>
    </row>
    <row r="260" customFormat="false" ht="15" hidden="false" customHeight="true" outlineLevel="0" collapsed="false">
      <c r="A260" s="6" t="s">
        <v>6805</v>
      </c>
      <c r="B260" s="6" t="s">
        <v>154</v>
      </c>
      <c r="C260" s="6" t="n">
        <v>1</v>
      </c>
      <c r="D260" s="6" t="n">
        <v>3</v>
      </c>
      <c r="E260" s="6" t="n">
        <v>2</v>
      </c>
      <c r="F260" s="6" t="s">
        <v>6757</v>
      </c>
      <c r="G260" s="28" t="n">
        <f aca="false">IFERROR(INDEX('Semrush Data'!$A$1:$Z$20000,MATCH(A260,'Semrush Data'!$A$1:$A$20000,0),MATCH("Volume",'Semrush Data'!$A$1:$Z$1,0)),"")</f>
        <v>0</v>
      </c>
      <c r="H260" s="6" t="n">
        <f aca="false">IFERROR(INDEX('Semrush Data'!$A$1:$Z$20000,MATCH(A260,'Semrush Data'!$A$1:$A$20000,0),MATCH("Keyword Difficulty*",'Semrush Data'!$A$1:$Z$1,0)),"")</f>
        <v>5</v>
      </c>
      <c r="I260" s="29" t="n">
        <f aca="false">IFERROR(INDEX('Semrush Data'!$A$1:$Z$20000,MATCH(A260,'Semrush Data'!$A$1:$A$20000,0),MATCH("CPC*",'Semrush Data'!$A$1:$Z$1,0)),"")</f>
        <v>0</v>
      </c>
      <c r="J260" s="6" t="str">
        <f aca="false">IFERROR(INDEX('Semrush Data'!$A$1:$Z$20000,MATCH(A260,'Semrush Data'!$A$1:$A$20000,0),MATCH("Intent",'Semrush Data'!$A$1:$Z$1,0)),"")</f>
        <v>Informational Transactional</v>
      </c>
    </row>
    <row r="261" customFormat="false" ht="15" hidden="false" customHeight="true" outlineLevel="0" collapsed="false">
      <c r="A261" s="6" t="s">
        <v>6806</v>
      </c>
      <c r="B261" s="6" t="s">
        <v>154</v>
      </c>
      <c r="C261" s="6" t="n">
        <v>1</v>
      </c>
      <c r="D261" s="6" t="n">
        <v>3</v>
      </c>
      <c r="E261" s="6" t="n">
        <v>2</v>
      </c>
      <c r="F261" s="6" t="s">
        <v>6807</v>
      </c>
      <c r="G261" s="28" t="n">
        <f aca="false">IFERROR(INDEX('Semrush Data'!$A$1:$Z$20000,MATCH(A261,'Semrush Data'!$A$1:$A$20000,0),MATCH("Volume",'Semrush Data'!$A$1:$Z$1,0)),"")</f>
        <v>20</v>
      </c>
      <c r="H261" s="6" t="n">
        <f aca="false">IFERROR(INDEX('Semrush Data'!$A$1:$Z$20000,MATCH(A261,'Semrush Data'!$A$1:$A$20000,0),MATCH("Keyword Difficulty*",'Semrush Data'!$A$1:$Z$1,0)),"")</f>
        <v>13</v>
      </c>
      <c r="I261" s="29" t="n">
        <f aca="false">IFERROR(INDEX('Semrush Data'!$A$1:$Z$20000,MATCH(A261,'Semrush Data'!$A$1:$A$20000,0),MATCH("CPC*",'Semrush Data'!$A$1:$Z$1,0)),"")</f>
        <v>0.47</v>
      </c>
      <c r="J261" s="6" t="str">
        <f aca="false">IFERROR(INDEX('Semrush Data'!$A$1:$Z$20000,MATCH(A261,'Semrush Data'!$A$1:$A$20000,0),MATCH("Intent",'Semrush Data'!$A$1:$Z$1,0)),"")</f>
        <v>Informational Transactional</v>
      </c>
    </row>
    <row r="262" customFormat="false" ht="15" hidden="false" customHeight="true" outlineLevel="0" collapsed="false">
      <c r="A262" s="6" t="s">
        <v>1740</v>
      </c>
      <c r="B262" s="6" t="s">
        <v>154</v>
      </c>
      <c r="C262" s="6" t="n">
        <v>1</v>
      </c>
      <c r="D262" s="6" t="n">
        <v>3</v>
      </c>
      <c r="E262" s="6" t="n">
        <v>35</v>
      </c>
      <c r="F262" s="6" t="s">
        <v>6808</v>
      </c>
      <c r="G262" s="28" t="n">
        <f aca="false">IFERROR(INDEX('Semrush Data'!$A$1:$Z$20000,MATCH(A262,'Semrush Data'!$A$1:$A$20000,0),MATCH("Volume",'Semrush Data'!$A$1:$Z$1,0)),"")</f>
        <v>0</v>
      </c>
      <c r="H262" s="6" t="n">
        <f aca="false">IFERROR(INDEX('Semrush Data'!$A$1:$Z$20000,MATCH(A262,'Semrush Data'!$A$1:$A$20000,0),MATCH("Keyword Difficulty*",'Semrush Data'!$A$1:$Z$1,0)),"")</f>
        <v>22</v>
      </c>
      <c r="I262" s="29" t="n">
        <f aca="false">IFERROR(INDEX('Semrush Data'!$A$1:$Z$20000,MATCH(A262,'Semrush Data'!$A$1:$A$20000,0),MATCH("CPC*",'Semrush Data'!$A$1:$Z$1,0)),"")</f>
        <v>0</v>
      </c>
      <c r="J262" s="6" t="str">
        <f aca="false">IFERROR(INDEX('Semrush Data'!$A$1:$Z$20000,MATCH(A262,'Semrush Data'!$A$1:$A$20000,0),MATCH("Intent",'Semrush Data'!$A$1:$Z$1,0)),"")</f>
        <v>Informational Transactional</v>
      </c>
    </row>
    <row r="263" customFormat="false" ht="15" hidden="false" customHeight="true" outlineLevel="0" collapsed="false">
      <c r="A263" s="6" t="s">
        <v>6809</v>
      </c>
      <c r="B263" s="6" t="s">
        <v>154</v>
      </c>
      <c r="C263" s="6" t="n">
        <v>1</v>
      </c>
      <c r="D263" s="6" t="n">
        <v>3</v>
      </c>
      <c r="E263" s="6" t="n">
        <v>1</v>
      </c>
      <c r="F263" s="6" t="s">
        <v>413</v>
      </c>
      <c r="G263" s="28" t="n">
        <f aca="false">IFERROR(INDEX('Semrush Data'!$A$1:$Z$20000,MATCH(A263,'Semrush Data'!$A$1:$A$20000,0),MATCH("Volume",'Semrush Data'!$A$1:$Z$1,0)),"")</f>
        <v>20</v>
      </c>
      <c r="H263" s="6" t="n">
        <f aca="false">IFERROR(INDEX('Semrush Data'!$A$1:$Z$20000,MATCH(A263,'Semrush Data'!$A$1:$A$20000,0),MATCH("Keyword Difficulty*",'Semrush Data'!$A$1:$Z$1,0)),"")</f>
        <v>18</v>
      </c>
      <c r="I263" s="29" t="n">
        <f aca="false">IFERROR(INDEX('Semrush Data'!$A$1:$Z$20000,MATCH(A263,'Semrush Data'!$A$1:$A$20000,0),MATCH("CPC*",'Semrush Data'!$A$1:$Z$1,0)),"")</f>
        <v>0</v>
      </c>
      <c r="J263" s="6" t="str">
        <f aca="false">IFERROR(INDEX('Semrush Data'!$A$1:$Z$20000,MATCH(A263,'Semrush Data'!$A$1:$A$20000,0),MATCH("Intent",'Semrush Data'!$A$1:$Z$1,0)),"")</f>
        <v>Informational Transactional</v>
      </c>
    </row>
    <row r="264" customFormat="false" ht="15" hidden="false" customHeight="true" outlineLevel="0" collapsed="false">
      <c r="A264" s="6" t="s">
        <v>6810</v>
      </c>
      <c r="B264" s="6" t="s">
        <v>154</v>
      </c>
      <c r="C264" s="6" t="n">
        <v>1</v>
      </c>
      <c r="D264" s="6" t="n">
        <v>3</v>
      </c>
      <c r="E264" s="6" t="n">
        <v>2</v>
      </c>
      <c r="F264" s="6" t="s">
        <v>6811</v>
      </c>
      <c r="G264" s="28" t="n">
        <f aca="false">IFERROR(INDEX('Semrush Data'!$A$1:$Z$20000,MATCH(A264,'Semrush Data'!$A$1:$A$20000,0),MATCH("Volume",'Semrush Data'!$A$1:$Z$1,0)),"")</f>
        <v>20</v>
      </c>
      <c r="H264" s="6" t="n">
        <f aca="false">IFERROR(INDEX('Semrush Data'!$A$1:$Z$20000,MATCH(A264,'Semrush Data'!$A$1:$A$20000,0),MATCH("Keyword Difficulty*",'Semrush Data'!$A$1:$Z$1,0)),"")</f>
        <v>16</v>
      </c>
      <c r="I264" s="29" t="n">
        <f aca="false">IFERROR(INDEX('Semrush Data'!$A$1:$Z$20000,MATCH(A264,'Semrush Data'!$A$1:$A$20000,0),MATCH("CPC*",'Semrush Data'!$A$1:$Z$1,0)),"")</f>
        <v>0</v>
      </c>
      <c r="J264" s="6" t="str">
        <f aca="false">IFERROR(INDEX('Semrush Data'!$A$1:$Z$20000,MATCH(A264,'Semrush Data'!$A$1:$A$20000,0),MATCH("Intent",'Semrush Data'!$A$1:$Z$1,0)),"")</f>
        <v>Informational Transactional</v>
      </c>
    </row>
    <row r="265" customFormat="false" ht="15" hidden="false" customHeight="true" outlineLevel="0" collapsed="false">
      <c r="A265" s="6" t="s">
        <v>6812</v>
      </c>
      <c r="B265" s="6" t="s">
        <v>299</v>
      </c>
      <c r="C265" s="6" t="n">
        <v>1</v>
      </c>
      <c r="D265" s="6" t="n">
        <v>3</v>
      </c>
      <c r="E265" s="6" t="n">
        <v>0</v>
      </c>
      <c r="F265" s="6"/>
      <c r="G265" s="28" t="n">
        <f aca="false">IFERROR(INDEX('Semrush Data'!$A$1:$Z$20000,MATCH(A265,'Semrush Data'!$A$1:$A$20000,0),MATCH("Volume",'Semrush Data'!$A$1:$Z$1,0)),"")</f>
        <v>0</v>
      </c>
      <c r="H265" s="6" t="n">
        <f aca="false">IFERROR(INDEX('Semrush Data'!$A$1:$Z$20000,MATCH(A265,'Semrush Data'!$A$1:$A$20000,0),MATCH("Keyword Difficulty*",'Semrush Data'!$A$1:$Z$1,0)),"")</f>
        <v>14</v>
      </c>
      <c r="I265" s="29" t="n">
        <f aca="false">IFERROR(INDEX('Semrush Data'!$A$1:$Z$20000,MATCH(A265,'Semrush Data'!$A$1:$A$20000,0),MATCH("CPC*",'Semrush Data'!$A$1:$Z$1,0)),"")</f>
        <v>0</v>
      </c>
      <c r="J265" s="6" t="str">
        <f aca="false">IFERROR(INDEX('Semrush Data'!$A$1:$Z$20000,MATCH(A265,'Semrush Data'!$A$1:$A$20000,0),MATCH("Intent",'Semrush Data'!$A$1:$Z$1,0)),"")</f>
        <v>Transactional Navigational</v>
      </c>
    </row>
    <row r="266" customFormat="false" ht="15" hidden="false" customHeight="true" outlineLevel="0" collapsed="false">
      <c r="A266" s="6" t="s">
        <v>6813</v>
      </c>
      <c r="B266" s="6" t="s">
        <v>299</v>
      </c>
      <c r="C266" s="6" t="n">
        <v>1</v>
      </c>
      <c r="D266" s="6" t="n">
        <v>3</v>
      </c>
      <c r="E266" s="6" t="n">
        <v>0</v>
      </c>
      <c r="F266" s="6"/>
      <c r="G266" s="28" t="n">
        <f aca="false">IFERROR(INDEX('Semrush Data'!$A$1:$Z$20000,MATCH(A266,'Semrush Data'!$A$1:$A$20000,0),MATCH("Volume",'Semrush Data'!$A$1:$Z$1,0)),"")</f>
        <v>0</v>
      </c>
      <c r="H266" s="6" t="n">
        <f aca="false">IFERROR(INDEX('Semrush Data'!$A$1:$Z$20000,MATCH(A266,'Semrush Data'!$A$1:$A$20000,0),MATCH("Keyword Difficulty*",'Semrush Data'!$A$1:$Z$1,0)),"")</f>
        <v>22</v>
      </c>
      <c r="I266" s="29" t="n">
        <f aca="false">IFERROR(INDEX('Semrush Data'!$A$1:$Z$20000,MATCH(A266,'Semrush Data'!$A$1:$A$20000,0),MATCH("CPC*",'Semrush Data'!$A$1:$Z$1,0)),"")</f>
        <v>0</v>
      </c>
      <c r="J266" s="6" t="str">
        <f aca="false">IFERROR(INDEX('Semrush Data'!$A$1:$Z$20000,MATCH(A266,'Semrush Data'!$A$1:$A$20000,0),MATCH("Intent",'Semrush Data'!$A$1:$Z$1,0)),"")</f>
        <v>Transactional Navigational</v>
      </c>
    </row>
    <row r="267" customFormat="false" ht="15" hidden="false" customHeight="true" outlineLevel="0" collapsed="false">
      <c r="A267" s="6" t="s">
        <v>6814</v>
      </c>
      <c r="B267" s="6" t="s">
        <v>299</v>
      </c>
      <c r="C267" s="6" t="n">
        <v>1</v>
      </c>
      <c r="D267" s="6" t="n">
        <v>3</v>
      </c>
      <c r="E267" s="6" t="n">
        <v>0</v>
      </c>
      <c r="F267" s="6"/>
      <c r="G267" s="28" t="n">
        <f aca="false">IFERROR(INDEX('Semrush Data'!$A$1:$Z$20000,MATCH(A267,'Semrush Data'!$A$1:$A$20000,0),MATCH("Volume",'Semrush Data'!$A$1:$Z$1,0)),"")</f>
        <v>0</v>
      </c>
      <c r="H267" s="6" t="n">
        <f aca="false">IFERROR(INDEX('Semrush Data'!$A$1:$Z$20000,MATCH(A267,'Semrush Data'!$A$1:$A$20000,0),MATCH("Keyword Difficulty*",'Semrush Data'!$A$1:$Z$1,0)),"")</f>
        <v>22</v>
      </c>
      <c r="I267" s="29" t="n">
        <f aca="false">IFERROR(INDEX('Semrush Data'!$A$1:$Z$20000,MATCH(A267,'Semrush Data'!$A$1:$A$20000,0),MATCH("CPC*",'Semrush Data'!$A$1:$Z$1,0)),"")</f>
        <v>0</v>
      </c>
      <c r="J267" s="6" t="str">
        <f aca="false">IFERROR(INDEX('Semrush Data'!$A$1:$Z$20000,MATCH(A267,'Semrush Data'!$A$1:$A$20000,0),MATCH("Intent",'Semrush Data'!$A$1:$Z$1,0)),"")</f>
        <v>Transactional</v>
      </c>
    </row>
    <row r="268" customFormat="false" ht="15" hidden="false" customHeight="true" outlineLevel="0" collapsed="false">
      <c r="A268" s="6" t="s">
        <v>6815</v>
      </c>
      <c r="B268" s="6" t="s">
        <v>299</v>
      </c>
      <c r="C268" s="6" t="n">
        <v>1</v>
      </c>
      <c r="D268" s="6" t="n">
        <v>3</v>
      </c>
      <c r="E268" s="6" t="n">
        <v>0</v>
      </c>
      <c r="F268" s="6"/>
      <c r="G268" s="28" t="n">
        <f aca="false">IFERROR(INDEX('Semrush Data'!$A$1:$Z$20000,MATCH(A268,'Semrush Data'!$A$1:$A$20000,0),MATCH("Volume",'Semrush Data'!$A$1:$Z$1,0)),"")</f>
        <v>0</v>
      </c>
      <c r="H268" s="6" t="n">
        <f aca="false">IFERROR(INDEX('Semrush Data'!$A$1:$Z$20000,MATCH(A268,'Semrush Data'!$A$1:$A$20000,0),MATCH("Keyword Difficulty*",'Semrush Data'!$A$1:$Z$1,0)),"")</f>
        <v>20</v>
      </c>
      <c r="I268" s="29" t="n">
        <f aca="false">IFERROR(INDEX('Semrush Data'!$A$1:$Z$20000,MATCH(A268,'Semrush Data'!$A$1:$A$20000,0),MATCH("CPC*",'Semrush Data'!$A$1:$Z$1,0)),"")</f>
        <v>0</v>
      </c>
      <c r="J268" s="6" t="str">
        <f aca="false">IFERROR(INDEX('Semrush Data'!$A$1:$Z$20000,MATCH(A268,'Semrush Data'!$A$1:$A$20000,0),MATCH("Intent",'Semrush Data'!$A$1:$Z$1,0)),"")</f>
        <v>Transactional</v>
      </c>
    </row>
    <row r="269" customFormat="false" ht="15" hidden="false" customHeight="true" outlineLevel="0" collapsed="false">
      <c r="A269" s="6" t="s">
        <v>6816</v>
      </c>
      <c r="B269" s="6" t="s">
        <v>299</v>
      </c>
      <c r="C269" s="6" t="n">
        <v>1</v>
      </c>
      <c r="D269" s="6" t="n">
        <v>3</v>
      </c>
      <c r="E269" s="6" t="n">
        <v>0</v>
      </c>
      <c r="F269" s="6"/>
      <c r="G269" s="28" t="n">
        <f aca="false">IFERROR(INDEX('Semrush Data'!$A$1:$Z$20000,MATCH(A269,'Semrush Data'!$A$1:$A$20000,0),MATCH("Volume",'Semrush Data'!$A$1:$Z$1,0)),"")</f>
        <v>0</v>
      </c>
      <c r="H269" s="6" t="n">
        <f aca="false">IFERROR(INDEX('Semrush Data'!$A$1:$Z$20000,MATCH(A269,'Semrush Data'!$A$1:$A$20000,0),MATCH("Keyword Difficulty*",'Semrush Data'!$A$1:$Z$1,0)),"")</f>
        <v>25</v>
      </c>
      <c r="I269" s="29" t="n">
        <f aca="false">IFERROR(INDEX('Semrush Data'!$A$1:$Z$20000,MATCH(A269,'Semrush Data'!$A$1:$A$20000,0),MATCH("CPC*",'Semrush Data'!$A$1:$Z$1,0)),"")</f>
        <v>0</v>
      </c>
      <c r="J269" s="6" t="str">
        <f aca="false">IFERROR(INDEX('Semrush Data'!$A$1:$Z$20000,MATCH(A269,'Semrush Data'!$A$1:$A$20000,0),MATCH("Intent",'Semrush Data'!$A$1:$Z$1,0)),"")</f>
        <v>Transactional</v>
      </c>
    </row>
    <row r="270" customFormat="false" ht="15" hidden="false" customHeight="true" outlineLevel="0" collapsed="false">
      <c r="A270" s="6" t="s">
        <v>6817</v>
      </c>
      <c r="B270" s="6" t="s">
        <v>299</v>
      </c>
      <c r="C270" s="6" t="n">
        <v>1</v>
      </c>
      <c r="D270" s="6" t="n">
        <v>3</v>
      </c>
      <c r="E270" s="6" t="n">
        <v>0</v>
      </c>
      <c r="F270" s="6"/>
      <c r="G270" s="28" t="n">
        <f aca="false">IFERROR(INDEX('Semrush Data'!$A$1:$Z$20000,MATCH(A270,'Semrush Data'!$A$1:$A$20000,0),MATCH("Volume",'Semrush Data'!$A$1:$Z$1,0)),"")</f>
        <v>0</v>
      </c>
      <c r="H270" s="6" t="n">
        <f aca="false">IFERROR(INDEX('Semrush Data'!$A$1:$Z$20000,MATCH(A270,'Semrush Data'!$A$1:$A$20000,0),MATCH("Keyword Difficulty*",'Semrush Data'!$A$1:$Z$1,0)),"")</f>
        <v>17</v>
      </c>
      <c r="I270" s="29" t="n">
        <f aca="false">IFERROR(INDEX('Semrush Data'!$A$1:$Z$20000,MATCH(A270,'Semrush Data'!$A$1:$A$20000,0),MATCH("CPC*",'Semrush Data'!$A$1:$Z$1,0)),"")</f>
        <v>0</v>
      </c>
      <c r="J270" s="6" t="str">
        <f aca="false">IFERROR(INDEX('Semrush Data'!$A$1:$Z$20000,MATCH(A270,'Semrush Data'!$A$1:$A$20000,0),MATCH("Intent",'Semrush Data'!$A$1:$Z$1,0)),"")</f>
        <v>Transactional</v>
      </c>
    </row>
    <row r="271" customFormat="false" ht="15" hidden="false" customHeight="true" outlineLevel="0" collapsed="false">
      <c r="A271" s="6" t="s">
        <v>6818</v>
      </c>
      <c r="B271" s="6" t="s">
        <v>299</v>
      </c>
      <c r="C271" s="6" t="n">
        <v>1</v>
      </c>
      <c r="D271" s="6" t="n">
        <v>3</v>
      </c>
      <c r="E271" s="6" t="n">
        <v>0</v>
      </c>
      <c r="F271" s="6"/>
      <c r="G271" s="28" t="n">
        <f aca="false">IFERROR(INDEX('Semrush Data'!$A$1:$Z$20000,MATCH(A271,'Semrush Data'!$A$1:$A$20000,0),MATCH("Volume",'Semrush Data'!$A$1:$Z$1,0)),"")</f>
        <v>0</v>
      </c>
      <c r="H271" s="6" t="n">
        <f aca="false">IFERROR(INDEX('Semrush Data'!$A$1:$Z$20000,MATCH(A271,'Semrush Data'!$A$1:$A$20000,0),MATCH("Keyword Difficulty*",'Semrush Data'!$A$1:$Z$1,0)),"")</f>
        <v>30</v>
      </c>
      <c r="I271" s="29" t="n">
        <f aca="false">IFERROR(INDEX('Semrush Data'!$A$1:$Z$20000,MATCH(A271,'Semrush Data'!$A$1:$A$20000,0),MATCH("CPC*",'Semrush Data'!$A$1:$Z$1,0)),"")</f>
        <v>0</v>
      </c>
      <c r="J271" s="6" t="str">
        <f aca="false">IFERROR(INDEX('Semrush Data'!$A$1:$Z$20000,MATCH(A271,'Semrush Data'!$A$1:$A$20000,0),MATCH("Intent",'Semrush Data'!$A$1:$Z$1,0)),"")</f>
        <v>Transactional</v>
      </c>
    </row>
    <row r="272" customFormat="false" ht="15" hidden="false" customHeight="true" outlineLevel="0" collapsed="false">
      <c r="A272" s="6" t="s">
        <v>6819</v>
      </c>
      <c r="B272" s="6" t="s">
        <v>299</v>
      </c>
      <c r="C272" s="6" t="n">
        <v>1</v>
      </c>
      <c r="D272" s="6" t="n">
        <v>3</v>
      </c>
      <c r="E272" s="6" t="n">
        <v>0</v>
      </c>
      <c r="F272" s="6"/>
      <c r="G272" s="28" t="n">
        <f aca="false">IFERROR(INDEX('Semrush Data'!$A$1:$Z$20000,MATCH(A272,'Semrush Data'!$A$1:$A$20000,0),MATCH("Volume",'Semrush Data'!$A$1:$Z$1,0)),"")</f>
        <v>0</v>
      </c>
      <c r="H272" s="6" t="n">
        <f aca="false">IFERROR(INDEX('Semrush Data'!$A$1:$Z$20000,MATCH(A272,'Semrush Data'!$A$1:$A$20000,0),MATCH("Keyword Difficulty*",'Semrush Data'!$A$1:$Z$1,0)),"")</f>
        <v>20</v>
      </c>
      <c r="I272" s="29" t="n">
        <f aca="false">IFERROR(INDEX('Semrush Data'!$A$1:$Z$20000,MATCH(A272,'Semrush Data'!$A$1:$A$20000,0),MATCH("CPC*",'Semrush Data'!$A$1:$Z$1,0)),"")</f>
        <v>0</v>
      </c>
      <c r="J272" s="6" t="str">
        <f aca="false">IFERROR(INDEX('Semrush Data'!$A$1:$Z$20000,MATCH(A272,'Semrush Data'!$A$1:$A$20000,0),MATCH("Intent",'Semrush Data'!$A$1:$Z$1,0)),"")</f>
        <v>Transactional</v>
      </c>
    </row>
    <row r="273" customFormat="false" ht="15" hidden="false" customHeight="true" outlineLevel="0" collapsed="false">
      <c r="A273" s="6" t="s">
        <v>6820</v>
      </c>
      <c r="B273" s="6" t="s">
        <v>299</v>
      </c>
      <c r="C273" s="6" t="n">
        <v>1</v>
      </c>
      <c r="D273" s="6" t="n">
        <v>3</v>
      </c>
      <c r="E273" s="6" t="n">
        <v>0</v>
      </c>
      <c r="F273" s="6"/>
      <c r="G273" s="28" t="n">
        <f aca="false">IFERROR(INDEX('Semrush Data'!$A$1:$Z$20000,MATCH(A273,'Semrush Data'!$A$1:$A$20000,0),MATCH("Volume",'Semrush Data'!$A$1:$Z$1,0)),"")</f>
        <v>0</v>
      </c>
      <c r="H273" s="6" t="n">
        <f aca="false">IFERROR(INDEX('Semrush Data'!$A$1:$Z$20000,MATCH(A273,'Semrush Data'!$A$1:$A$20000,0),MATCH("Keyword Difficulty*",'Semrush Data'!$A$1:$Z$1,0)),"")</f>
        <v>20</v>
      </c>
      <c r="I273" s="29" t="n">
        <f aca="false">IFERROR(INDEX('Semrush Data'!$A$1:$Z$20000,MATCH(A273,'Semrush Data'!$A$1:$A$20000,0),MATCH("CPC*",'Semrush Data'!$A$1:$Z$1,0)),"")</f>
        <v>0</v>
      </c>
      <c r="J273" s="6" t="str">
        <f aca="false">IFERROR(INDEX('Semrush Data'!$A$1:$Z$20000,MATCH(A273,'Semrush Data'!$A$1:$A$20000,0),MATCH("Intent",'Semrush Data'!$A$1:$Z$1,0)),"")</f>
        <v>Informational Transactional</v>
      </c>
    </row>
    <row r="274" customFormat="false" ht="15" hidden="false" customHeight="true" outlineLevel="0" collapsed="false">
      <c r="A274" s="6" t="s">
        <v>6821</v>
      </c>
      <c r="B274" s="6" t="s">
        <v>299</v>
      </c>
      <c r="C274" s="6" t="n">
        <v>1</v>
      </c>
      <c r="D274" s="6" t="n">
        <v>3</v>
      </c>
      <c r="E274" s="6" t="n">
        <v>0</v>
      </c>
      <c r="F274" s="6"/>
      <c r="G274" s="28" t="n">
        <f aca="false">IFERROR(INDEX('Semrush Data'!$A$1:$Z$20000,MATCH(A274,'Semrush Data'!$A$1:$A$20000,0),MATCH("Volume",'Semrush Data'!$A$1:$Z$1,0)),"")</f>
        <v>0</v>
      </c>
      <c r="H274" s="6" t="n">
        <f aca="false">IFERROR(INDEX('Semrush Data'!$A$1:$Z$20000,MATCH(A274,'Semrush Data'!$A$1:$A$20000,0),MATCH("Keyword Difficulty*",'Semrush Data'!$A$1:$Z$1,0)),"")</f>
        <v>35</v>
      </c>
      <c r="I274" s="29" t="n">
        <f aca="false">IFERROR(INDEX('Semrush Data'!$A$1:$Z$20000,MATCH(A274,'Semrush Data'!$A$1:$A$20000,0),MATCH("CPC*",'Semrush Data'!$A$1:$Z$1,0)),"")</f>
        <v>0</v>
      </c>
      <c r="J274" s="6" t="str">
        <f aca="false">IFERROR(INDEX('Semrush Data'!$A$1:$Z$20000,MATCH(A274,'Semrush Data'!$A$1:$A$20000,0),MATCH("Intent",'Semrush Data'!$A$1:$Z$1,0)),"")</f>
        <v>Informational Transactional</v>
      </c>
    </row>
    <row r="275" customFormat="false" ht="15" hidden="false" customHeight="true" outlineLevel="0" collapsed="false">
      <c r="A275" s="6" t="s">
        <v>6822</v>
      </c>
      <c r="B275" s="6" t="s">
        <v>299</v>
      </c>
      <c r="C275" s="6" t="n">
        <v>1</v>
      </c>
      <c r="D275" s="6" t="n">
        <v>3</v>
      </c>
      <c r="E275" s="6" t="n">
        <v>0</v>
      </c>
      <c r="F275" s="6"/>
      <c r="G275" s="28" t="n">
        <f aca="false">IFERROR(INDEX('Semrush Data'!$A$1:$Z$20000,MATCH(A275,'Semrush Data'!$A$1:$A$20000,0),MATCH("Volume",'Semrush Data'!$A$1:$Z$1,0)),"")</f>
        <v>0</v>
      </c>
      <c r="H275" s="6" t="n">
        <f aca="false">IFERROR(INDEX('Semrush Data'!$A$1:$Z$20000,MATCH(A275,'Semrush Data'!$A$1:$A$20000,0),MATCH("Keyword Difficulty*",'Semrush Data'!$A$1:$Z$1,0)),"")</f>
        <v>25</v>
      </c>
      <c r="I275" s="29" t="n">
        <f aca="false">IFERROR(INDEX('Semrush Data'!$A$1:$Z$20000,MATCH(A275,'Semrush Data'!$A$1:$A$20000,0),MATCH("CPC*",'Semrush Data'!$A$1:$Z$1,0)),"")</f>
        <v>0</v>
      </c>
      <c r="J275" s="6" t="str">
        <f aca="false">IFERROR(INDEX('Semrush Data'!$A$1:$Z$20000,MATCH(A275,'Semrush Data'!$A$1:$A$20000,0),MATCH("Intent",'Semrush Data'!$A$1:$Z$1,0)),"")</f>
        <v>Transactional</v>
      </c>
    </row>
    <row r="276" customFormat="false" ht="15" hidden="false" customHeight="true" outlineLevel="0" collapsed="false">
      <c r="A276" s="6" t="s">
        <v>6823</v>
      </c>
      <c r="B276" s="6" t="s">
        <v>299</v>
      </c>
      <c r="C276" s="6" t="n">
        <v>1</v>
      </c>
      <c r="D276" s="6" t="n">
        <v>3</v>
      </c>
      <c r="E276" s="6" t="n">
        <v>0</v>
      </c>
      <c r="F276" s="6"/>
      <c r="G276" s="28" t="n">
        <f aca="false">IFERROR(INDEX('Semrush Data'!$A$1:$Z$20000,MATCH(A276,'Semrush Data'!$A$1:$A$20000,0),MATCH("Volume",'Semrush Data'!$A$1:$Z$1,0)),"")</f>
        <v>0</v>
      </c>
      <c r="H276" s="6" t="n">
        <f aca="false">IFERROR(INDEX('Semrush Data'!$A$1:$Z$20000,MATCH(A276,'Semrush Data'!$A$1:$A$20000,0),MATCH("Keyword Difficulty*",'Semrush Data'!$A$1:$Z$1,0)),"")</f>
        <v>13</v>
      </c>
      <c r="I276" s="29" t="n">
        <f aca="false">IFERROR(INDEX('Semrush Data'!$A$1:$Z$20000,MATCH(A276,'Semrush Data'!$A$1:$A$20000,0),MATCH("CPC*",'Semrush Data'!$A$1:$Z$1,0)),"")</f>
        <v>0</v>
      </c>
      <c r="J276" s="6" t="str">
        <f aca="false">IFERROR(INDEX('Semrush Data'!$A$1:$Z$20000,MATCH(A276,'Semrush Data'!$A$1:$A$20000,0),MATCH("Intent",'Semrush Data'!$A$1:$Z$1,0)),"")</f>
        <v>Transactional</v>
      </c>
    </row>
    <row r="277" customFormat="false" ht="15" hidden="false" customHeight="true" outlineLevel="0" collapsed="false">
      <c r="A277" s="6" t="s">
        <v>6824</v>
      </c>
      <c r="B277" s="6" t="s">
        <v>299</v>
      </c>
      <c r="C277" s="6" t="n">
        <v>1</v>
      </c>
      <c r="D277" s="6" t="n">
        <v>3</v>
      </c>
      <c r="E277" s="6" t="n">
        <v>0</v>
      </c>
      <c r="F277" s="6"/>
      <c r="G277" s="28" t="n">
        <f aca="false">IFERROR(INDEX('Semrush Data'!$A$1:$Z$20000,MATCH(A277,'Semrush Data'!$A$1:$A$20000,0),MATCH("Volume",'Semrush Data'!$A$1:$Z$1,0)),"")</f>
        <v>0</v>
      </c>
      <c r="H277" s="6" t="n">
        <f aca="false">IFERROR(INDEX('Semrush Data'!$A$1:$Z$20000,MATCH(A277,'Semrush Data'!$A$1:$A$20000,0),MATCH("Keyword Difficulty*",'Semrush Data'!$A$1:$Z$1,0)),"")</f>
        <v>21</v>
      </c>
      <c r="I277" s="29" t="n">
        <f aca="false">IFERROR(INDEX('Semrush Data'!$A$1:$Z$20000,MATCH(A277,'Semrush Data'!$A$1:$A$20000,0),MATCH("CPC*",'Semrush Data'!$A$1:$Z$1,0)),"")</f>
        <v>0</v>
      </c>
      <c r="J277" s="6" t="str">
        <f aca="false">IFERROR(INDEX('Semrush Data'!$A$1:$Z$20000,MATCH(A277,'Semrush Data'!$A$1:$A$20000,0),MATCH("Intent",'Semrush Data'!$A$1:$Z$1,0)),"")</f>
        <v>Transactional</v>
      </c>
    </row>
    <row r="278" customFormat="false" ht="15" hidden="false" customHeight="true" outlineLevel="0" collapsed="false">
      <c r="A278" s="6" t="s">
        <v>309</v>
      </c>
      <c r="B278" s="6" t="s">
        <v>299</v>
      </c>
      <c r="C278" s="6" t="n">
        <v>1</v>
      </c>
      <c r="D278" s="6" t="n">
        <v>3</v>
      </c>
      <c r="E278" s="6" t="n">
        <v>0</v>
      </c>
      <c r="F278" s="6"/>
      <c r="G278" s="28" t="n">
        <f aca="false">IFERROR(INDEX('Semrush Data'!$A$1:$Z$20000,MATCH(A278,'Semrush Data'!$A$1:$A$20000,0),MATCH("Volume",'Semrush Data'!$A$1:$Z$1,0)),"")</f>
        <v>20</v>
      </c>
      <c r="H278" s="6" t="n">
        <f aca="false">IFERROR(INDEX('Semrush Data'!$A$1:$Z$20000,MATCH(A278,'Semrush Data'!$A$1:$A$20000,0),MATCH("Keyword Difficulty*",'Semrush Data'!$A$1:$Z$1,0)),"")</f>
        <v>14</v>
      </c>
      <c r="I278" s="29" t="n">
        <f aca="false">IFERROR(INDEX('Semrush Data'!$A$1:$Z$20000,MATCH(A278,'Semrush Data'!$A$1:$A$20000,0),MATCH("CPC*",'Semrush Data'!$A$1:$Z$1,0)),"")</f>
        <v>0</v>
      </c>
      <c r="J278" s="6" t="str">
        <f aca="false">IFERROR(INDEX('Semrush Data'!$A$1:$Z$20000,MATCH(A278,'Semrush Data'!$A$1:$A$20000,0),MATCH("Intent",'Semrush Data'!$A$1:$Z$1,0)),"")</f>
        <v>Informational Transactional</v>
      </c>
    </row>
    <row r="279" customFormat="false" ht="15" hidden="false" customHeight="true" outlineLevel="0" collapsed="false">
      <c r="A279" s="6" t="s">
        <v>6825</v>
      </c>
      <c r="B279" s="6" t="s">
        <v>299</v>
      </c>
      <c r="C279" s="6" t="n">
        <v>1</v>
      </c>
      <c r="D279" s="6" t="n">
        <v>3</v>
      </c>
      <c r="E279" s="6" t="n">
        <v>0</v>
      </c>
      <c r="F279" s="6"/>
      <c r="G279" s="28" t="n">
        <f aca="false">IFERROR(INDEX('Semrush Data'!$A$1:$Z$20000,MATCH(A279,'Semrush Data'!$A$1:$A$20000,0),MATCH("Volume",'Semrush Data'!$A$1:$Z$1,0)),"")</f>
        <v>0</v>
      </c>
      <c r="H279" s="6" t="n">
        <f aca="false">IFERROR(INDEX('Semrush Data'!$A$1:$Z$20000,MATCH(A279,'Semrush Data'!$A$1:$A$20000,0),MATCH("Keyword Difficulty*",'Semrush Data'!$A$1:$Z$1,0)),"")</f>
        <v>17</v>
      </c>
      <c r="I279" s="29" t="n">
        <f aca="false">IFERROR(INDEX('Semrush Data'!$A$1:$Z$20000,MATCH(A279,'Semrush Data'!$A$1:$A$20000,0),MATCH("CPC*",'Semrush Data'!$A$1:$Z$1,0)),"")</f>
        <v>0</v>
      </c>
      <c r="J279" s="6" t="str">
        <f aca="false">IFERROR(INDEX('Semrush Data'!$A$1:$Z$20000,MATCH(A279,'Semrush Data'!$A$1:$A$20000,0),MATCH("Intent",'Semrush Data'!$A$1:$Z$1,0)),"")</f>
        <v>Transactional Navigational</v>
      </c>
    </row>
    <row r="280" customFormat="false" ht="15" hidden="false" customHeight="true" outlineLevel="0" collapsed="false">
      <c r="A280" s="6" t="s">
        <v>6826</v>
      </c>
      <c r="B280" s="6" t="s">
        <v>299</v>
      </c>
      <c r="C280" s="6" t="n">
        <v>1</v>
      </c>
      <c r="D280" s="6" t="n">
        <v>3</v>
      </c>
      <c r="E280" s="6" t="n">
        <v>0</v>
      </c>
      <c r="F280" s="6"/>
      <c r="G280" s="28" t="n">
        <f aca="false">IFERROR(INDEX('Semrush Data'!$A$1:$Z$20000,MATCH(A280,'Semrush Data'!$A$1:$A$20000,0),MATCH("Volume",'Semrush Data'!$A$1:$Z$1,0)),"")</f>
        <v>0</v>
      </c>
      <c r="H280" s="6" t="n">
        <f aca="false">IFERROR(INDEX('Semrush Data'!$A$1:$Z$20000,MATCH(A280,'Semrush Data'!$A$1:$A$20000,0),MATCH("Keyword Difficulty*",'Semrush Data'!$A$1:$Z$1,0)),"")</f>
        <v>16</v>
      </c>
      <c r="I280" s="29" t="n">
        <f aca="false">IFERROR(INDEX('Semrush Data'!$A$1:$Z$20000,MATCH(A280,'Semrush Data'!$A$1:$A$20000,0),MATCH("CPC*",'Semrush Data'!$A$1:$Z$1,0)),"")</f>
        <v>0</v>
      </c>
      <c r="J280" s="6" t="str">
        <f aca="false">IFERROR(INDEX('Semrush Data'!$A$1:$Z$20000,MATCH(A280,'Semrush Data'!$A$1:$A$20000,0),MATCH("Intent",'Semrush Data'!$A$1:$Z$1,0)),"")</f>
        <v>Transactional Navigational</v>
      </c>
    </row>
    <row r="281" customFormat="false" ht="15" hidden="false" customHeight="true" outlineLevel="0" collapsed="false">
      <c r="A281" s="6" t="s">
        <v>312</v>
      </c>
      <c r="B281" s="6" t="s">
        <v>299</v>
      </c>
      <c r="C281" s="6" t="n">
        <v>1</v>
      </c>
      <c r="D281" s="6" t="n">
        <v>3</v>
      </c>
      <c r="E281" s="6" t="n">
        <v>0</v>
      </c>
      <c r="F281" s="6"/>
      <c r="G281" s="28" t="n">
        <f aca="false">IFERROR(INDEX('Semrush Data'!$A$1:$Z$20000,MATCH(A281,'Semrush Data'!$A$1:$A$20000,0),MATCH("Volume",'Semrush Data'!$A$1:$Z$1,0)),"")</f>
        <v>10</v>
      </c>
      <c r="H281" s="6" t="n">
        <f aca="false">IFERROR(INDEX('Semrush Data'!$A$1:$Z$20000,MATCH(A281,'Semrush Data'!$A$1:$A$20000,0),MATCH("Keyword Difficulty*",'Semrush Data'!$A$1:$Z$1,0)),"")</f>
        <v>15</v>
      </c>
      <c r="I281" s="29" t="n">
        <f aca="false">IFERROR(INDEX('Semrush Data'!$A$1:$Z$20000,MATCH(A281,'Semrush Data'!$A$1:$A$20000,0),MATCH("CPC*",'Semrush Data'!$A$1:$Z$1,0)),"")</f>
        <v>0</v>
      </c>
      <c r="J281" s="6" t="str">
        <f aca="false">IFERROR(INDEX('Semrush Data'!$A$1:$Z$20000,MATCH(A281,'Semrush Data'!$A$1:$A$20000,0),MATCH("Intent",'Semrush Data'!$A$1:$Z$1,0)),"")</f>
        <v>Transactional Navigational</v>
      </c>
    </row>
    <row r="282" customFormat="false" ht="15" hidden="false" customHeight="true" outlineLevel="0" collapsed="false">
      <c r="A282" s="6" t="s">
        <v>305</v>
      </c>
      <c r="B282" s="6" t="s">
        <v>299</v>
      </c>
      <c r="C282" s="6" t="n">
        <v>1</v>
      </c>
      <c r="D282" s="6" t="n">
        <v>3</v>
      </c>
      <c r="E282" s="6" t="n">
        <v>0</v>
      </c>
      <c r="F282" s="6"/>
      <c r="G282" s="28" t="n">
        <f aca="false">IFERROR(INDEX('Semrush Data'!$A$1:$Z$20000,MATCH(A282,'Semrush Data'!$A$1:$A$20000,0),MATCH("Volume",'Semrush Data'!$A$1:$Z$1,0)),"")</f>
        <v>30</v>
      </c>
      <c r="H282" s="6" t="n">
        <f aca="false">IFERROR(INDEX('Semrush Data'!$A$1:$Z$20000,MATCH(A282,'Semrush Data'!$A$1:$A$20000,0),MATCH("Keyword Difficulty*",'Semrush Data'!$A$1:$Z$1,0)),"")</f>
        <v>24</v>
      </c>
      <c r="I282" s="29" t="n">
        <f aca="false">IFERROR(INDEX('Semrush Data'!$A$1:$Z$20000,MATCH(A282,'Semrush Data'!$A$1:$A$20000,0),MATCH("CPC*",'Semrush Data'!$A$1:$Z$1,0)),"")</f>
        <v>0</v>
      </c>
      <c r="J282" s="6" t="str">
        <f aca="false">IFERROR(INDEX('Semrush Data'!$A$1:$Z$20000,MATCH(A282,'Semrush Data'!$A$1:$A$20000,0),MATCH("Intent",'Semrush Data'!$A$1:$Z$1,0)),"")</f>
        <v>Informational Transactional</v>
      </c>
    </row>
    <row r="283" customFormat="false" ht="15" hidden="false" customHeight="true" outlineLevel="0" collapsed="false">
      <c r="A283" s="6" t="s">
        <v>310</v>
      </c>
      <c r="B283" s="6" t="s">
        <v>299</v>
      </c>
      <c r="C283" s="6" t="n">
        <v>1</v>
      </c>
      <c r="D283" s="6" t="n">
        <v>3</v>
      </c>
      <c r="E283" s="6" t="n">
        <v>0</v>
      </c>
      <c r="F283" s="6"/>
      <c r="G283" s="28" t="n">
        <f aca="false">IFERROR(INDEX('Semrush Data'!$A$1:$Z$20000,MATCH(A283,'Semrush Data'!$A$1:$A$20000,0),MATCH("Volume",'Semrush Data'!$A$1:$Z$1,0)),"")</f>
        <v>20</v>
      </c>
      <c r="H283" s="6" t="n">
        <f aca="false">IFERROR(INDEX('Semrush Data'!$A$1:$Z$20000,MATCH(A283,'Semrush Data'!$A$1:$A$20000,0),MATCH("Keyword Difficulty*",'Semrush Data'!$A$1:$Z$1,0)),"")</f>
        <v>9</v>
      </c>
      <c r="I283" s="29" t="n">
        <f aca="false">IFERROR(INDEX('Semrush Data'!$A$1:$Z$20000,MATCH(A283,'Semrush Data'!$A$1:$A$20000,0),MATCH("CPC*",'Semrush Data'!$A$1:$Z$1,0)),"")</f>
        <v>0</v>
      </c>
      <c r="J283" s="6" t="str">
        <f aca="false">IFERROR(INDEX('Semrush Data'!$A$1:$Z$20000,MATCH(A283,'Semrush Data'!$A$1:$A$20000,0),MATCH("Intent",'Semrush Data'!$A$1:$Z$1,0)),"")</f>
        <v>Informational Transactional</v>
      </c>
    </row>
    <row r="284" customFormat="false" ht="15" hidden="false" customHeight="true" outlineLevel="0" collapsed="false">
      <c r="A284" s="6" t="s">
        <v>303</v>
      </c>
      <c r="B284" s="6" t="s">
        <v>299</v>
      </c>
      <c r="C284" s="6" t="n">
        <v>1</v>
      </c>
      <c r="D284" s="6" t="n">
        <v>3</v>
      </c>
      <c r="E284" s="6" t="n">
        <v>0</v>
      </c>
      <c r="F284" s="6"/>
      <c r="G284" s="28" t="n">
        <f aca="false">IFERROR(INDEX('Semrush Data'!$A$1:$Z$20000,MATCH(A284,'Semrush Data'!$A$1:$A$20000,0),MATCH("Volume",'Semrush Data'!$A$1:$Z$1,0)),"")</f>
        <v>70</v>
      </c>
      <c r="H284" s="6" t="n">
        <f aca="false">IFERROR(INDEX('Semrush Data'!$A$1:$Z$20000,MATCH(A284,'Semrush Data'!$A$1:$A$20000,0),MATCH("Keyword Difficulty*",'Semrush Data'!$A$1:$Z$1,0)),"")</f>
        <v>29</v>
      </c>
      <c r="I284" s="29" t="n">
        <f aca="false">IFERROR(INDEX('Semrush Data'!$A$1:$Z$20000,MATCH(A284,'Semrush Data'!$A$1:$A$20000,0),MATCH("CPC*",'Semrush Data'!$A$1:$Z$1,0)),"")</f>
        <v>0.62</v>
      </c>
      <c r="J284" s="6" t="str">
        <f aca="false">IFERROR(INDEX('Semrush Data'!$A$1:$Z$20000,MATCH(A284,'Semrush Data'!$A$1:$A$20000,0),MATCH("Intent",'Semrush Data'!$A$1:$Z$1,0)),"")</f>
        <v>Navigational</v>
      </c>
    </row>
    <row r="285" customFormat="false" ht="15" hidden="false" customHeight="true" outlineLevel="0" collapsed="false">
      <c r="A285" s="6" t="s">
        <v>6827</v>
      </c>
      <c r="B285" s="6" t="s">
        <v>299</v>
      </c>
      <c r="C285" s="6" t="n">
        <v>1</v>
      </c>
      <c r="D285" s="6" t="n">
        <v>3</v>
      </c>
      <c r="E285" s="6" t="n">
        <v>0</v>
      </c>
      <c r="F285" s="6"/>
      <c r="G285" s="28" t="n">
        <f aca="false">IFERROR(INDEX('Semrush Data'!$A$1:$Z$20000,MATCH(A285,'Semrush Data'!$A$1:$A$20000,0),MATCH("Volume",'Semrush Data'!$A$1:$Z$1,0)),"")</f>
        <v>0</v>
      </c>
      <c r="H285" s="6" t="n">
        <f aca="false">IFERROR(INDEX('Semrush Data'!$A$1:$Z$20000,MATCH(A285,'Semrush Data'!$A$1:$A$20000,0),MATCH("Keyword Difficulty*",'Semrush Data'!$A$1:$Z$1,0)),"")</f>
        <v>6</v>
      </c>
      <c r="I285" s="29" t="n">
        <f aca="false">IFERROR(INDEX('Semrush Data'!$A$1:$Z$20000,MATCH(A285,'Semrush Data'!$A$1:$A$20000,0),MATCH("CPC*",'Semrush Data'!$A$1:$Z$1,0)),"")</f>
        <v>0</v>
      </c>
      <c r="J285" s="6" t="str">
        <f aca="false">IFERROR(INDEX('Semrush Data'!$A$1:$Z$20000,MATCH(A285,'Semrush Data'!$A$1:$A$20000,0),MATCH("Intent",'Semrush Data'!$A$1:$Z$1,0)),"")</f>
        <v>Informational</v>
      </c>
    </row>
    <row r="286" customFormat="false" ht="15" hidden="false" customHeight="true" outlineLevel="0" collapsed="false">
      <c r="A286" s="6" t="s">
        <v>6828</v>
      </c>
      <c r="B286" s="6" t="s">
        <v>299</v>
      </c>
      <c r="C286" s="6" t="n">
        <v>1</v>
      </c>
      <c r="D286" s="6" t="n">
        <v>3</v>
      </c>
      <c r="E286" s="6" t="n">
        <v>0</v>
      </c>
      <c r="F286" s="6"/>
      <c r="G286" s="28" t="n">
        <f aca="false">IFERROR(INDEX('Semrush Data'!$A$1:$Z$20000,MATCH(A286,'Semrush Data'!$A$1:$A$20000,0),MATCH("Volume",'Semrush Data'!$A$1:$Z$1,0)),"")</f>
        <v>0</v>
      </c>
      <c r="H286" s="6" t="n">
        <f aca="false">IFERROR(INDEX('Semrush Data'!$A$1:$Z$20000,MATCH(A286,'Semrush Data'!$A$1:$A$20000,0),MATCH("Keyword Difficulty*",'Semrush Data'!$A$1:$Z$1,0)),"")</f>
        <v>23</v>
      </c>
      <c r="I286" s="29" t="n">
        <f aca="false">IFERROR(INDEX('Semrush Data'!$A$1:$Z$20000,MATCH(A286,'Semrush Data'!$A$1:$A$20000,0),MATCH("CPC*",'Semrush Data'!$A$1:$Z$1,0)),"")</f>
        <v>0</v>
      </c>
      <c r="J286" s="6" t="str">
        <f aca="false">IFERROR(INDEX('Semrush Data'!$A$1:$Z$20000,MATCH(A286,'Semrush Data'!$A$1:$A$20000,0),MATCH("Intent",'Semrush Data'!$A$1:$Z$1,0)),"")</f>
        <v>Transactional Navigational</v>
      </c>
    </row>
    <row r="287" customFormat="false" ht="15" hidden="false" customHeight="true" outlineLevel="0" collapsed="false">
      <c r="A287" s="6" t="s">
        <v>6829</v>
      </c>
      <c r="B287" s="6" t="s">
        <v>299</v>
      </c>
      <c r="C287" s="6" t="n">
        <v>1</v>
      </c>
      <c r="D287" s="6" t="n">
        <v>3</v>
      </c>
      <c r="E287" s="6" t="n">
        <v>0</v>
      </c>
      <c r="F287" s="6"/>
      <c r="G287" s="28" t="n">
        <f aca="false">IFERROR(INDEX('Semrush Data'!$A$1:$Z$20000,MATCH(A287,'Semrush Data'!$A$1:$A$20000,0),MATCH("Volume",'Semrush Data'!$A$1:$Z$1,0)),"")</f>
        <v>0</v>
      </c>
      <c r="H287" s="6" t="n">
        <f aca="false">IFERROR(INDEX('Semrush Data'!$A$1:$Z$20000,MATCH(A287,'Semrush Data'!$A$1:$A$20000,0),MATCH("Keyword Difficulty*",'Semrush Data'!$A$1:$Z$1,0)),"")</f>
        <v>21</v>
      </c>
      <c r="I287" s="29" t="n">
        <f aca="false">IFERROR(INDEX('Semrush Data'!$A$1:$Z$20000,MATCH(A287,'Semrush Data'!$A$1:$A$20000,0),MATCH("CPC*",'Semrush Data'!$A$1:$Z$1,0)),"")</f>
        <v>0</v>
      </c>
      <c r="J287" s="6" t="str">
        <f aca="false">IFERROR(INDEX('Semrush Data'!$A$1:$Z$20000,MATCH(A287,'Semrush Data'!$A$1:$A$20000,0),MATCH("Intent",'Semrush Data'!$A$1:$Z$1,0)),"")</f>
        <v>Transactional Navigational</v>
      </c>
    </row>
    <row r="288" customFormat="false" ht="15" hidden="false" customHeight="true" outlineLevel="0" collapsed="false">
      <c r="A288" s="6" t="s">
        <v>6830</v>
      </c>
      <c r="B288" s="6" t="s">
        <v>299</v>
      </c>
      <c r="C288" s="6" t="n">
        <v>1</v>
      </c>
      <c r="D288" s="6" t="n">
        <v>3</v>
      </c>
      <c r="E288" s="6" t="n">
        <v>0</v>
      </c>
      <c r="F288" s="6"/>
      <c r="G288" s="28" t="n">
        <f aca="false">IFERROR(INDEX('Semrush Data'!$A$1:$Z$20000,MATCH(A288,'Semrush Data'!$A$1:$A$20000,0),MATCH("Volume",'Semrush Data'!$A$1:$Z$1,0)),"")</f>
        <v>0</v>
      </c>
      <c r="H288" s="6" t="n">
        <f aca="false">IFERROR(INDEX('Semrush Data'!$A$1:$Z$20000,MATCH(A288,'Semrush Data'!$A$1:$A$20000,0),MATCH("Keyword Difficulty*",'Semrush Data'!$A$1:$Z$1,0)),"")</f>
        <v>16</v>
      </c>
      <c r="I288" s="29" t="n">
        <f aca="false">IFERROR(INDEX('Semrush Data'!$A$1:$Z$20000,MATCH(A288,'Semrush Data'!$A$1:$A$20000,0),MATCH("CPC*",'Semrush Data'!$A$1:$Z$1,0)),"")</f>
        <v>0</v>
      </c>
      <c r="J288" s="6" t="str">
        <f aca="false">IFERROR(INDEX('Semrush Data'!$A$1:$Z$20000,MATCH(A288,'Semrush Data'!$A$1:$A$20000,0),MATCH("Intent",'Semrush Data'!$A$1:$Z$1,0)),"")</f>
        <v>Informational Navigational</v>
      </c>
    </row>
    <row r="289" customFormat="false" ht="15" hidden="false" customHeight="true" outlineLevel="0" collapsed="false">
      <c r="A289" s="6" t="s">
        <v>298</v>
      </c>
      <c r="B289" s="6" t="s">
        <v>299</v>
      </c>
      <c r="C289" s="6" t="n">
        <v>1</v>
      </c>
      <c r="D289" s="6" t="n">
        <v>3</v>
      </c>
      <c r="E289" s="6" t="n">
        <v>0</v>
      </c>
      <c r="F289" s="6"/>
      <c r="G289" s="28" t="n">
        <f aca="false">IFERROR(INDEX('Semrush Data'!$A$1:$Z$20000,MATCH(A289,'Semrush Data'!$A$1:$A$20000,0),MATCH("Volume",'Semrush Data'!$A$1:$Z$1,0)),"")</f>
        <v>390</v>
      </c>
      <c r="H289" s="6" t="n">
        <f aca="false">IFERROR(INDEX('Semrush Data'!$A$1:$Z$20000,MATCH(A289,'Semrush Data'!$A$1:$A$20000,0),MATCH("Keyword Difficulty*",'Semrush Data'!$A$1:$Z$1,0)),"")</f>
        <v>17</v>
      </c>
      <c r="I289" s="29" t="n">
        <f aca="false">IFERROR(INDEX('Semrush Data'!$A$1:$Z$20000,MATCH(A289,'Semrush Data'!$A$1:$A$20000,0),MATCH("CPC*",'Semrush Data'!$A$1:$Z$1,0)),"")</f>
        <v>0.7</v>
      </c>
      <c r="J289" s="6" t="str">
        <f aca="false">IFERROR(INDEX('Semrush Data'!$A$1:$Z$20000,MATCH(A289,'Semrush Data'!$A$1:$A$20000,0),MATCH("Intent",'Semrush Data'!$A$1:$Z$1,0)),"")</f>
        <v>Informational Transactional</v>
      </c>
    </row>
    <row r="290" customFormat="false" ht="15" hidden="false" customHeight="true" outlineLevel="0" collapsed="false">
      <c r="A290" s="6" t="s">
        <v>6831</v>
      </c>
      <c r="B290" s="6" t="s">
        <v>299</v>
      </c>
      <c r="C290" s="6" t="n">
        <v>1</v>
      </c>
      <c r="D290" s="6" t="n">
        <v>3</v>
      </c>
      <c r="E290" s="6" t="n">
        <v>0</v>
      </c>
      <c r="F290" s="6"/>
      <c r="G290" s="28" t="n">
        <f aca="false">IFERROR(INDEX('Semrush Data'!$A$1:$Z$20000,MATCH(A290,'Semrush Data'!$A$1:$A$20000,0),MATCH("Volume",'Semrush Data'!$A$1:$Z$1,0)),"")</f>
        <v>0</v>
      </c>
      <c r="H290" s="6" t="n">
        <f aca="false">IFERROR(INDEX('Semrush Data'!$A$1:$Z$20000,MATCH(A290,'Semrush Data'!$A$1:$A$20000,0),MATCH("Keyword Difficulty*",'Semrush Data'!$A$1:$Z$1,0)),"")</f>
        <v>14</v>
      </c>
      <c r="I290" s="29" t="n">
        <f aca="false">IFERROR(INDEX('Semrush Data'!$A$1:$Z$20000,MATCH(A290,'Semrush Data'!$A$1:$A$20000,0),MATCH("CPC*",'Semrush Data'!$A$1:$Z$1,0)),"")</f>
        <v>0</v>
      </c>
      <c r="J290" s="6" t="str">
        <f aca="false">IFERROR(INDEX('Semrush Data'!$A$1:$Z$20000,MATCH(A290,'Semrush Data'!$A$1:$A$20000,0),MATCH("Intent",'Semrush Data'!$A$1:$Z$1,0)),"")</f>
        <v>Informational</v>
      </c>
    </row>
    <row r="291" customFormat="false" ht="15" hidden="false" customHeight="true" outlineLevel="0" collapsed="false">
      <c r="A291" s="6" t="s">
        <v>6832</v>
      </c>
      <c r="B291" s="6" t="s">
        <v>299</v>
      </c>
      <c r="C291" s="6" t="n">
        <v>1</v>
      </c>
      <c r="D291" s="6" t="n">
        <v>3</v>
      </c>
      <c r="E291" s="6" t="n">
        <v>0</v>
      </c>
      <c r="F291" s="6"/>
      <c r="G291" s="28" t="n">
        <f aca="false">IFERROR(INDEX('Semrush Data'!$A$1:$Z$20000,MATCH(A291,'Semrush Data'!$A$1:$A$20000,0),MATCH("Volume",'Semrush Data'!$A$1:$Z$1,0)),"")</f>
        <v>0</v>
      </c>
      <c r="H291" s="6" t="n">
        <f aca="false">IFERROR(INDEX('Semrush Data'!$A$1:$Z$20000,MATCH(A291,'Semrush Data'!$A$1:$A$20000,0),MATCH("Keyword Difficulty*",'Semrush Data'!$A$1:$Z$1,0)),"")</f>
        <v>25</v>
      </c>
      <c r="I291" s="29" t="n">
        <f aca="false">IFERROR(INDEX('Semrush Data'!$A$1:$Z$20000,MATCH(A291,'Semrush Data'!$A$1:$A$20000,0),MATCH("CPC*",'Semrush Data'!$A$1:$Z$1,0)),"")</f>
        <v>0</v>
      </c>
      <c r="J291" s="6" t="str">
        <f aca="false">IFERROR(INDEX('Semrush Data'!$A$1:$Z$20000,MATCH(A291,'Semrush Data'!$A$1:$A$20000,0),MATCH("Intent",'Semrush Data'!$A$1:$Z$1,0)),"")</f>
        <v>Informational Transactional</v>
      </c>
    </row>
    <row r="292" customFormat="false" ht="15" hidden="false" customHeight="true" outlineLevel="0" collapsed="false">
      <c r="A292" s="6" t="s">
        <v>6833</v>
      </c>
      <c r="B292" s="6" t="s">
        <v>299</v>
      </c>
      <c r="C292" s="6" t="n">
        <v>1</v>
      </c>
      <c r="D292" s="6" t="n">
        <v>3</v>
      </c>
      <c r="E292" s="6" t="n">
        <v>0</v>
      </c>
      <c r="F292" s="6"/>
      <c r="G292" s="28" t="n">
        <f aca="false">IFERROR(INDEX('Semrush Data'!$A$1:$Z$20000,MATCH(A292,'Semrush Data'!$A$1:$A$20000,0),MATCH("Volume",'Semrush Data'!$A$1:$Z$1,0)),"")</f>
        <v>0</v>
      </c>
      <c r="H292" s="6" t="n">
        <f aca="false">IFERROR(INDEX('Semrush Data'!$A$1:$Z$20000,MATCH(A292,'Semrush Data'!$A$1:$A$20000,0),MATCH("Keyword Difficulty*",'Semrush Data'!$A$1:$Z$1,0)),"")</f>
        <v>16</v>
      </c>
      <c r="I292" s="29" t="n">
        <f aca="false">IFERROR(INDEX('Semrush Data'!$A$1:$Z$20000,MATCH(A292,'Semrush Data'!$A$1:$A$20000,0),MATCH("CPC*",'Semrush Data'!$A$1:$Z$1,0)),"")</f>
        <v>0</v>
      </c>
      <c r="J292" s="6" t="str">
        <f aca="false">IFERROR(INDEX('Semrush Data'!$A$1:$Z$20000,MATCH(A292,'Semrush Data'!$A$1:$A$20000,0),MATCH("Intent",'Semrush Data'!$A$1:$Z$1,0)),"")</f>
        <v>Transactional</v>
      </c>
    </row>
    <row r="293" customFormat="false" ht="15" hidden="false" customHeight="true" outlineLevel="0" collapsed="false">
      <c r="A293" s="6" t="s">
        <v>6834</v>
      </c>
      <c r="B293" s="6" t="s">
        <v>299</v>
      </c>
      <c r="C293" s="6" t="n">
        <v>1</v>
      </c>
      <c r="D293" s="6" t="n">
        <v>3</v>
      </c>
      <c r="E293" s="6" t="n">
        <v>0</v>
      </c>
      <c r="F293" s="6"/>
      <c r="G293" s="28" t="n">
        <f aca="false">IFERROR(INDEX('Semrush Data'!$A$1:$Z$20000,MATCH(A293,'Semrush Data'!$A$1:$A$20000,0),MATCH("Volume",'Semrush Data'!$A$1:$Z$1,0)),"")</f>
        <v>0</v>
      </c>
      <c r="H293" s="6" t="n">
        <f aca="false">IFERROR(INDEX('Semrush Data'!$A$1:$Z$20000,MATCH(A293,'Semrush Data'!$A$1:$A$20000,0),MATCH("Keyword Difficulty*",'Semrush Data'!$A$1:$Z$1,0)),"")</f>
        <v>18</v>
      </c>
      <c r="I293" s="29" t="n">
        <f aca="false">IFERROR(INDEX('Semrush Data'!$A$1:$Z$20000,MATCH(A293,'Semrush Data'!$A$1:$A$20000,0),MATCH("CPC*",'Semrush Data'!$A$1:$Z$1,0)),"")</f>
        <v>0</v>
      </c>
      <c r="J293" s="6" t="str">
        <f aca="false">IFERROR(INDEX('Semrush Data'!$A$1:$Z$20000,MATCH(A293,'Semrush Data'!$A$1:$A$20000,0),MATCH("Intent",'Semrush Data'!$A$1:$Z$1,0)),"")</f>
        <v>Commercial</v>
      </c>
    </row>
    <row r="294" customFormat="false" ht="15" hidden="false" customHeight="true" outlineLevel="0" collapsed="false">
      <c r="A294" s="6" t="s">
        <v>302</v>
      </c>
      <c r="B294" s="6" t="s">
        <v>299</v>
      </c>
      <c r="C294" s="6" t="n">
        <v>1</v>
      </c>
      <c r="D294" s="6" t="n">
        <v>3</v>
      </c>
      <c r="E294" s="6" t="n">
        <v>0</v>
      </c>
      <c r="F294" s="6"/>
      <c r="G294" s="28" t="n">
        <f aca="false">IFERROR(INDEX('Semrush Data'!$A$1:$Z$20000,MATCH(A294,'Semrush Data'!$A$1:$A$20000,0),MATCH("Volume",'Semrush Data'!$A$1:$Z$1,0)),"")</f>
        <v>90</v>
      </c>
      <c r="H294" s="6" t="n">
        <f aca="false">IFERROR(INDEX('Semrush Data'!$A$1:$Z$20000,MATCH(A294,'Semrush Data'!$A$1:$A$20000,0),MATCH("Keyword Difficulty*",'Semrush Data'!$A$1:$Z$1,0)),"")</f>
        <v>36</v>
      </c>
      <c r="I294" s="29" t="n">
        <f aca="false">IFERROR(INDEX('Semrush Data'!$A$1:$Z$20000,MATCH(A294,'Semrush Data'!$A$1:$A$20000,0),MATCH("CPC*",'Semrush Data'!$A$1:$Z$1,0)),"")</f>
        <v>1.14</v>
      </c>
      <c r="J294" s="6" t="str">
        <f aca="false">IFERROR(INDEX('Semrush Data'!$A$1:$Z$20000,MATCH(A294,'Semrush Data'!$A$1:$A$20000,0),MATCH("Intent",'Semrush Data'!$A$1:$Z$1,0)),"")</f>
        <v>Navigational</v>
      </c>
    </row>
    <row r="295" customFormat="false" ht="15" hidden="false" customHeight="true" outlineLevel="0" collapsed="false">
      <c r="A295" s="6" t="s">
        <v>6835</v>
      </c>
      <c r="B295" s="6" t="s">
        <v>299</v>
      </c>
      <c r="C295" s="6" t="n">
        <v>1</v>
      </c>
      <c r="D295" s="6" t="n">
        <v>3</v>
      </c>
      <c r="E295" s="6" t="n">
        <v>0</v>
      </c>
      <c r="F295" s="6"/>
      <c r="G295" s="28" t="n">
        <f aca="false">IFERROR(INDEX('Semrush Data'!$A$1:$Z$20000,MATCH(A295,'Semrush Data'!$A$1:$A$20000,0),MATCH("Volume",'Semrush Data'!$A$1:$Z$1,0)),"")</f>
        <v>0</v>
      </c>
      <c r="H295" s="6" t="n">
        <f aca="false">IFERROR(INDEX('Semrush Data'!$A$1:$Z$20000,MATCH(A295,'Semrush Data'!$A$1:$A$20000,0),MATCH("Keyword Difficulty*",'Semrush Data'!$A$1:$Z$1,0)),"")</f>
        <v>29</v>
      </c>
      <c r="I295" s="29" t="n">
        <f aca="false">IFERROR(INDEX('Semrush Data'!$A$1:$Z$20000,MATCH(A295,'Semrush Data'!$A$1:$A$20000,0),MATCH("CPC*",'Semrush Data'!$A$1:$Z$1,0)),"")</f>
        <v>0</v>
      </c>
      <c r="J295" s="6" t="str">
        <f aca="false">IFERROR(INDEX('Semrush Data'!$A$1:$Z$20000,MATCH(A295,'Semrush Data'!$A$1:$A$20000,0),MATCH("Intent",'Semrush Data'!$A$1:$Z$1,0)),"")</f>
        <v>Informational Transactional</v>
      </c>
    </row>
    <row r="296" customFormat="false" ht="15" hidden="false" customHeight="true" outlineLevel="0" collapsed="false">
      <c r="A296" s="6" t="s">
        <v>311</v>
      </c>
      <c r="B296" s="6" t="s">
        <v>299</v>
      </c>
      <c r="C296" s="6" t="n">
        <v>1</v>
      </c>
      <c r="D296" s="6" t="n">
        <v>3</v>
      </c>
      <c r="E296" s="6" t="n">
        <v>0</v>
      </c>
      <c r="F296" s="6"/>
      <c r="G296" s="28" t="n">
        <f aca="false">IFERROR(INDEX('Semrush Data'!$A$1:$Z$20000,MATCH(A296,'Semrush Data'!$A$1:$A$20000,0),MATCH("Volume",'Semrush Data'!$A$1:$Z$1,0)),"")</f>
        <v>20</v>
      </c>
      <c r="H296" s="6" t="n">
        <f aca="false">IFERROR(INDEX('Semrush Data'!$A$1:$Z$20000,MATCH(A296,'Semrush Data'!$A$1:$A$20000,0),MATCH("Keyword Difficulty*",'Semrush Data'!$A$1:$Z$1,0)),"")</f>
        <v>26</v>
      </c>
      <c r="I296" s="29" t="n">
        <f aca="false">IFERROR(INDEX('Semrush Data'!$A$1:$Z$20000,MATCH(A296,'Semrush Data'!$A$1:$A$20000,0),MATCH("CPC*",'Semrush Data'!$A$1:$Z$1,0)),"")</f>
        <v>0.42</v>
      </c>
      <c r="J296" s="6" t="str">
        <f aca="false">IFERROR(INDEX('Semrush Data'!$A$1:$Z$20000,MATCH(A296,'Semrush Data'!$A$1:$A$20000,0),MATCH("Intent",'Semrush Data'!$A$1:$Z$1,0)),"")</f>
        <v>Informational Navigational</v>
      </c>
    </row>
    <row r="297" customFormat="false" ht="15" hidden="false" customHeight="true" outlineLevel="0" collapsed="false">
      <c r="A297" s="6" t="s">
        <v>2456</v>
      </c>
      <c r="B297" s="6" t="s">
        <v>41</v>
      </c>
      <c r="C297" s="6" t="n">
        <v>1</v>
      </c>
      <c r="D297" s="6" t="n">
        <v>3</v>
      </c>
      <c r="E297" s="6" t="n">
        <v>1</v>
      </c>
      <c r="F297" s="6" t="s">
        <v>2448</v>
      </c>
      <c r="G297" s="28" t="n">
        <f aca="false">IFERROR(INDEX('Semrush Data'!$A$1:$Z$20000,MATCH(A297,'Semrush Data'!$A$1:$A$20000,0),MATCH("Volume",'Semrush Data'!$A$1:$Z$1,0)),"")</f>
        <v>20</v>
      </c>
      <c r="H297" s="6" t="n">
        <f aca="false">IFERROR(INDEX('Semrush Data'!$A$1:$Z$20000,MATCH(A297,'Semrush Data'!$A$1:$A$20000,0),MATCH("Keyword Difficulty*",'Semrush Data'!$A$1:$Z$1,0)),"")</f>
        <v>19</v>
      </c>
      <c r="I297" s="29" t="n">
        <f aca="false">IFERROR(INDEX('Semrush Data'!$A$1:$Z$20000,MATCH(A297,'Semrush Data'!$A$1:$A$20000,0),MATCH("CPC*",'Semrush Data'!$A$1:$Z$1,0)),"")</f>
        <v>0</v>
      </c>
      <c r="J297" s="6" t="str">
        <f aca="false">IFERROR(INDEX('Semrush Data'!$A$1:$Z$20000,MATCH(A297,'Semrush Data'!$A$1:$A$20000,0),MATCH("Intent",'Semrush Data'!$A$1:$Z$1,0)),"")</f>
        <v>Informational</v>
      </c>
    </row>
    <row r="298" customFormat="false" ht="15" hidden="false" customHeight="true" outlineLevel="0" collapsed="false">
      <c r="A298" s="6" t="s">
        <v>2468</v>
      </c>
      <c r="B298" s="6" t="s">
        <v>41</v>
      </c>
      <c r="C298" s="6" t="n">
        <v>1</v>
      </c>
      <c r="D298" s="6" t="n">
        <v>3</v>
      </c>
      <c r="E298" s="6" t="n">
        <v>1</v>
      </c>
      <c r="F298" s="6" t="s">
        <v>2466</v>
      </c>
      <c r="G298" s="28" t="n">
        <f aca="false">IFERROR(INDEX('Semrush Data'!$A$1:$Z$20000,MATCH(A298,'Semrush Data'!$A$1:$A$20000,0),MATCH("Volume",'Semrush Data'!$A$1:$Z$1,0)),"")</f>
        <v>20</v>
      </c>
      <c r="H298" s="6" t="n">
        <f aca="false">IFERROR(INDEX('Semrush Data'!$A$1:$Z$20000,MATCH(A298,'Semrush Data'!$A$1:$A$20000,0),MATCH("Keyword Difficulty*",'Semrush Data'!$A$1:$Z$1,0)),"")</f>
        <v>16</v>
      </c>
      <c r="I298" s="29" t="n">
        <f aca="false">IFERROR(INDEX('Semrush Data'!$A$1:$Z$20000,MATCH(A298,'Semrush Data'!$A$1:$A$20000,0),MATCH("CPC*",'Semrush Data'!$A$1:$Z$1,0)),"")</f>
        <v>0</v>
      </c>
      <c r="J298" s="6" t="str">
        <f aca="false">IFERROR(INDEX('Semrush Data'!$A$1:$Z$20000,MATCH(A298,'Semrush Data'!$A$1:$A$20000,0),MATCH("Intent",'Semrush Data'!$A$1:$Z$1,0)),"")</f>
        <v>Informational</v>
      </c>
    </row>
    <row r="299" customFormat="false" ht="15" hidden="false" customHeight="true" outlineLevel="0" collapsed="false">
      <c r="A299" s="6" t="s">
        <v>2553</v>
      </c>
      <c r="B299" s="6" t="s">
        <v>41</v>
      </c>
      <c r="C299" s="6" t="n">
        <v>1</v>
      </c>
      <c r="D299" s="6" t="n">
        <v>3</v>
      </c>
      <c r="E299" s="6" t="n">
        <v>1</v>
      </c>
      <c r="F299" s="6" t="s">
        <v>2549</v>
      </c>
      <c r="G299" s="28" t="n">
        <f aca="false">IFERROR(INDEX('Semrush Data'!$A$1:$Z$20000,MATCH(A299,'Semrush Data'!$A$1:$A$20000,0),MATCH("Volume",'Semrush Data'!$A$1:$Z$1,0)),"")</f>
        <v>20</v>
      </c>
      <c r="H299" s="6" t="n">
        <f aca="false">IFERROR(INDEX('Semrush Data'!$A$1:$Z$20000,MATCH(A299,'Semrush Data'!$A$1:$A$20000,0),MATCH("Keyword Difficulty*",'Semrush Data'!$A$1:$Z$1,0)),"")</f>
        <v>12</v>
      </c>
      <c r="I299" s="29" t="n">
        <f aca="false">IFERROR(INDEX('Semrush Data'!$A$1:$Z$20000,MATCH(A299,'Semrush Data'!$A$1:$A$20000,0),MATCH("CPC*",'Semrush Data'!$A$1:$Z$1,0)),"")</f>
        <v>0</v>
      </c>
      <c r="J299" s="6" t="str">
        <f aca="false">IFERROR(INDEX('Semrush Data'!$A$1:$Z$20000,MATCH(A299,'Semrush Data'!$A$1:$A$20000,0),MATCH("Intent",'Semrush Data'!$A$1:$Z$1,0)),"")</f>
        <v>Informational Transactional</v>
      </c>
    </row>
    <row r="300" customFormat="false" ht="15" hidden="false" customHeight="true" outlineLevel="0" collapsed="false">
      <c r="A300" s="6" t="s">
        <v>2495</v>
      </c>
      <c r="B300" s="6" t="s">
        <v>41</v>
      </c>
      <c r="C300" s="6" t="n">
        <v>1</v>
      </c>
      <c r="D300" s="6" t="n">
        <v>3</v>
      </c>
      <c r="E300" s="6" t="n">
        <v>1</v>
      </c>
      <c r="F300" s="6" t="s">
        <v>2492</v>
      </c>
      <c r="G300" s="28" t="n">
        <f aca="false">IFERROR(INDEX('Semrush Data'!$A$1:$Z$20000,MATCH(A300,'Semrush Data'!$A$1:$A$20000,0),MATCH("Volume",'Semrush Data'!$A$1:$Z$1,0)),"")</f>
        <v>20</v>
      </c>
      <c r="H300" s="6" t="n">
        <f aca="false">IFERROR(INDEX('Semrush Data'!$A$1:$Z$20000,MATCH(A300,'Semrush Data'!$A$1:$A$20000,0),MATCH("Keyword Difficulty*",'Semrush Data'!$A$1:$Z$1,0)),"")</f>
        <v>15</v>
      </c>
      <c r="I300" s="29" t="n">
        <f aca="false">IFERROR(INDEX('Semrush Data'!$A$1:$Z$20000,MATCH(A300,'Semrush Data'!$A$1:$A$20000,0),MATCH("CPC*",'Semrush Data'!$A$1:$Z$1,0)),"")</f>
        <v>0</v>
      </c>
      <c r="J300" s="6" t="str">
        <f aca="false">IFERROR(INDEX('Semrush Data'!$A$1:$Z$20000,MATCH(A300,'Semrush Data'!$A$1:$A$20000,0),MATCH("Intent",'Semrush Data'!$A$1:$Z$1,0)),"")</f>
        <v>Navigational</v>
      </c>
    </row>
    <row r="301" customFormat="false" ht="15" hidden="false" customHeight="true" outlineLevel="0" collapsed="false">
      <c r="A301" s="6" t="s">
        <v>2482</v>
      </c>
      <c r="B301" s="6" t="s">
        <v>41</v>
      </c>
      <c r="C301" s="6" t="n">
        <v>1</v>
      </c>
      <c r="D301" s="6" t="n">
        <v>3</v>
      </c>
      <c r="E301" s="6" t="n">
        <v>1</v>
      </c>
      <c r="F301" s="6" t="s">
        <v>2477</v>
      </c>
      <c r="G301" s="28" t="n">
        <f aca="false">IFERROR(INDEX('Semrush Data'!$A$1:$Z$20000,MATCH(A301,'Semrush Data'!$A$1:$A$20000,0),MATCH("Volume",'Semrush Data'!$A$1:$Z$1,0)),"")</f>
        <v>260</v>
      </c>
      <c r="H301" s="6" t="n">
        <f aca="false">IFERROR(INDEX('Semrush Data'!$A$1:$Z$20000,MATCH(A301,'Semrush Data'!$A$1:$A$20000,0),MATCH("Keyword Difficulty*",'Semrush Data'!$A$1:$Z$1,0)),"")</f>
        <v>12</v>
      </c>
      <c r="I301" s="29" t="n">
        <f aca="false">IFERROR(INDEX('Semrush Data'!$A$1:$Z$20000,MATCH(A301,'Semrush Data'!$A$1:$A$20000,0),MATCH("CPC*",'Semrush Data'!$A$1:$Z$1,0)),"")</f>
        <v>0.48</v>
      </c>
      <c r="J301" s="6" t="str">
        <f aca="false">IFERROR(INDEX('Semrush Data'!$A$1:$Z$20000,MATCH(A301,'Semrush Data'!$A$1:$A$20000,0),MATCH("Intent",'Semrush Data'!$A$1:$Z$1,0)),"")</f>
        <v>Informational</v>
      </c>
    </row>
    <row r="302" customFormat="false" ht="15" hidden="false" customHeight="true" outlineLevel="0" collapsed="false">
      <c r="A302" s="6" t="s">
        <v>2563</v>
      </c>
      <c r="B302" s="6" t="s">
        <v>41</v>
      </c>
      <c r="C302" s="6" t="n">
        <v>1</v>
      </c>
      <c r="D302" s="6" t="n">
        <v>4</v>
      </c>
      <c r="E302" s="6" t="n">
        <v>1</v>
      </c>
      <c r="F302" s="6" t="s">
        <v>2560</v>
      </c>
      <c r="G302" s="28" t="n">
        <f aca="false">IFERROR(INDEX('Semrush Data'!$A$1:$Z$20000,MATCH(A302,'Semrush Data'!$A$1:$A$20000,0),MATCH("Volume",'Semrush Data'!$A$1:$Z$1,0)),"")</f>
        <v>10</v>
      </c>
      <c r="H302" s="6" t="n">
        <f aca="false">IFERROR(INDEX('Semrush Data'!$A$1:$Z$20000,MATCH(A302,'Semrush Data'!$A$1:$A$20000,0),MATCH("Keyword Difficulty*",'Semrush Data'!$A$1:$Z$1,0)),"")</f>
        <v>9</v>
      </c>
      <c r="I302" s="29" t="n">
        <f aca="false">IFERROR(INDEX('Semrush Data'!$A$1:$Z$20000,MATCH(A302,'Semrush Data'!$A$1:$A$20000,0),MATCH("CPC*",'Semrush Data'!$A$1:$Z$1,0)),"")</f>
        <v>0</v>
      </c>
      <c r="J302" s="6" t="str">
        <f aca="false">IFERROR(INDEX('Semrush Data'!$A$1:$Z$20000,MATCH(A302,'Semrush Data'!$A$1:$A$20000,0),MATCH("Intent",'Semrush Data'!$A$1:$Z$1,0)),"")</f>
        <v>Informational Transactional</v>
      </c>
    </row>
    <row r="303" customFormat="false" ht="15" hidden="false" customHeight="true" outlineLevel="0" collapsed="false">
      <c r="A303" s="6" t="s">
        <v>2506</v>
      </c>
      <c r="B303" s="6" t="s">
        <v>41</v>
      </c>
      <c r="C303" s="6" t="n">
        <v>1</v>
      </c>
      <c r="D303" s="6" t="n">
        <v>4</v>
      </c>
      <c r="E303" s="6" t="n">
        <v>1</v>
      </c>
      <c r="F303" s="6" t="s">
        <v>2503</v>
      </c>
      <c r="G303" s="28" t="n">
        <f aca="false">IFERROR(INDEX('Semrush Data'!$A$1:$Z$20000,MATCH(A303,'Semrush Data'!$A$1:$A$20000,0),MATCH("Volume",'Semrush Data'!$A$1:$Z$1,0)),"")</f>
        <v>70</v>
      </c>
      <c r="H303" s="6" t="n">
        <f aca="false">IFERROR(INDEX('Semrush Data'!$A$1:$Z$20000,MATCH(A303,'Semrush Data'!$A$1:$A$20000,0),MATCH("Keyword Difficulty*",'Semrush Data'!$A$1:$Z$1,0)),"")</f>
        <v>13</v>
      </c>
      <c r="I303" s="29" t="n">
        <f aca="false">IFERROR(INDEX('Semrush Data'!$A$1:$Z$20000,MATCH(A303,'Semrush Data'!$A$1:$A$20000,0),MATCH("CPC*",'Semrush Data'!$A$1:$Z$1,0)),"")</f>
        <v>0.5</v>
      </c>
      <c r="J303" s="6" t="str">
        <f aca="false">IFERROR(INDEX('Semrush Data'!$A$1:$Z$20000,MATCH(A303,'Semrush Data'!$A$1:$A$20000,0),MATCH("Intent",'Semrush Data'!$A$1:$Z$1,0)),"")</f>
        <v>Informational</v>
      </c>
    </row>
    <row r="304" customFormat="false" ht="15" hidden="false" customHeight="true" outlineLevel="0" collapsed="false">
      <c r="A304" s="6" t="s">
        <v>2517</v>
      </c>
      <c r="B304" s="6" t="s">
        <v>41</v>
      </c>
      <c r="C304" s="6" t="n">
        <v>1</v>
      </c>
      <c r="D304" s="6" t="n">
        <v>4</v>
      </c>
      <c r="E304" s="6" t="n">
        <v>1</v>
      </c>
      <c r="F304" s="6" t="s">
        <v>141</v>
      </c>
      <c r="G304" s="28" t="n">
        <f aca="false">IFERROR(INDEX('Semrush Data'!$A$1:$Z$20000,MATCH(A304,'Semrush Data'!$A$1:$A$20000,0),MATCH("Volume",'Semrush Data'!$A$1:$Z$1,0)),"")</f>
        <v>320</v>
      </c>
      <c r="H304" s="6" t="n">
        <f aca="false">IFERROR(INDEX('Semrush Data'!$A$1:$Z$20000,MATCH(A304,'Semrush Data'!$A$1:$A$20000,0),MATCH("Keyword Difficulty*",'Semrush Data'!$A$1:$Z$1,0)),"")</f>
        <v>11</v>
      </c>
      <c r="I304" s="29" t="n">
        <f aca="false">IFERROR(INDEX('Semrush Data'!$A$1:$Z$20000,MATCH(A304,'Semrush Data'!$A$1:$A$20000,0),MATCH("CPC*",'Semrush Data'!$A$1:$Z$1,0)),"")</f>
        <v>0.45</v>
      </c>
      <c r="J304" s="6" t="str">
        <f aca="false">IFERROR(INDEX('Semrush Data'!$A$1:$Z$20000,MATCH(A304,'Semrush Data'!$A$1:$A$20000,0),MATCH("Intent",'Semrush Data'!$A$1:$Z$1,0)),"")</f>
        <v>Informational</v>
      </c>
    </row>
    <row r="305" customFormat="false" ht="15" hidden="false" customHeight="true" outlineLevel="0" collapsed="false">
      <c r="A305" s="6" t="s">
        <v>2528</v>
      </c>
      <c r="B305" s="6" t="s">
        <v>41</v>
      </c>
      <c r="C305" s="6" t="n">
        <v>1</v>
      </c>
      <c r="D305" s="6" t="n">
        <v>4</v>
      </c>
      <c r="E305" s="6" t="n">
        <v>1</v>
      </c>
      <c r="F305" s="6" t="s">
        <v>135</v>
      </c>
      <c r="G305" s="28" t="n">
        <f aca="false">IFERROR(INDEX('Semrush Data'!$A$1:$Z$20000,MATCH(A305,'Semrush Data'!$A$1:$A$20000,0),MATCH("Volume",'Semrush Data'!$A$1:$Z$1,0)),"")</f>
        <v>390</v>
      </c>
      <c r="H305" s="6" t="n">
        <f aca="false">IFERROR(INDEX('Semrush Data'!$A$1:$Z$20000,MATCH(A305,'Semrush Data'!$A$1:$A$20000,0),MATCH("Keyword Difficulty*",'Semrush Data'!$A$1:$Z$1,0)),"")</f>
        <v>17</v>
      </c>
      <c r="I305" s="29" t="n">
        <f aca="false">IFERROR(INDEX('Semrush Data'!$A$1:$Z$20000,MATCH(A305,'Semrush Data'!$A$1:$A$20000,0),MATCH("CPC*",'Semrush Data'!$A$1:$Z$1,0)),"")</f>
        <v>0.36</v>
      </c>
      <c r="J305" s="6" t="str">
        <f aca="false">IFERROR(INDEX('Semrush Data'!$A$1:$Z$20000,MATCH(A305,'Semrush Data'!$A$1:$A$20000,0),MATCH("Intent",'Semrush Data'!$A$1:$Z$1,0)),"")</f>
        <v>Informational</v>
      </c>
    </row>
    <row r="306" customFormat="false" ht="15" hidden="false" customHeight="true" outlineLevel="0" collapsed="false">
      <c r="A306" s="6" t="s">
        <v>2539</v>
      </c>
      <c r="B306" s="6" t="s">
        <v>41</v>
      </c>
      <c r="C306" s="6" t="n">
        <v>1</v>
      </c>
      <c r="D306" s="6" t="n">
        <v>4</v>
      </c>
      <c r="E306" s="6" t="n">
        <v>1</v>
      </c>
      <c r="F306" s="6" t="s">
        <v>117</v>
      </c>
      <c r="G306" s="28" t="n">
        <f aca="false">IFERROR(INDEX('Semrush Data'!$A$1:$Z$20000,MATCH(A306,'Semrush Data'!$A$1:$A$20000,0),MATCH("Volume",'Semrush Data'!$A$1:$Z$1,0)),"")</f>
        <v>480</v>
      </c>
      <c r="H306" s="6" t="n">
        <f aca="false">IFERROR(INDEX('Semrush Data'!$A$1:$Z$20000,MATCH(A306,'Semrush Data'!$A$1:$A$20000,0),MATCH("Keyword Difficulty*",'Semrush Data'!$A$1:$Z$1,0)),"")</f>
        <v>13</v>
      </c>
      <c r="I306" s="29" t="n">
        <f aca="false">IFERROR(INDEX('Semrush Data'!$A$1:$Z$20000,MATCH(A306,'Semrush Data'!$A$1:$A$20000,0),MATCH("CPC*",'Semrush Data'!$A$1:$Z$1,0)),"")</f>
        <v>0.55</v>
      </c>
      <c r="J306" s="6" t="str">
        <f aca="false">IFERROR(INDEX('Semrush Data'!$A$1:$Z$20000,MATCH(A306,'Semrush Data'!$A$1:$A$20000,0),MATCH("Intent",'Semrush Data'!$A$1:$Z$1,0)),"")</f>
        <v>Informational</v>
      </c>
    </row>
    <row r="307" customFormat="false" ht="15" hidden="false" customHeight="true" outlineLevel="0" collapsed="false">
      <c r="A307" s="6" t="s">
        <v>5933</v>
      </c>
      <c r="B307" s="6" t="s">
        <v>41</v>
      </c>
      <c r="C307" s="6" t="n">
        <v>1</v>
      </c>
      <c r="D307" s="6" t="n">
        <v>4</v>
      </c>
      <c r="E307" s="6" t="n">
        <v>1</v>
      </c>
      <c r="F307" s="6" t="s">
        <v>103</v>
      </c>
      <c r="G307" s="28" t="n">
        <f aca="false">IFERROR(INDEX('Semrush Data'!$A$1:$Z$20000,MATCH(A307,'Semrush Data'!$A$1:$A$20000,0),MATCH("Volume",'Semrush Data'!$A$1:$Z$1,0)),"")</f>
        <v>720</v>
      </c>
      <c r="H307" s="6" t="n">
        <f aca="false">IFERROR(INDEX('Semrush Data'!$A$1:$Z$20000,MATCH(A307,'Semrush Data'!$A$1:$A$20000,0),MATCH("Keyword Difficulty*",'Semrush Data'!$A$1:$Z$1,0)),"")</f>
        <v>18</v>
      </c>
      <c r="I307" s="29" t="n">
        <f aca="false">IFERROR(INDEX('Semrush Data'!$A$1:$Z$20000,MATCH(A307,'Semrush Data'!$A$1:$A$20000,0),MATCH("CPC*",'Semrush Data'!$A$1:$Z$1,0)),"")</f>
        <v>0.47</v>
      </c>
      <c r="J307" s="6" t="str">
        <f aca="false">IFERROR(INDEX('Semrush Data'!$A$1:$Z$20000,MATCH(A307,'Semrush Data'!$A$1:$A$20000,0),MATCH("Intent",'Semrush Data'!$A$1:$Z$1,0)),"")</f>
        <v>Informational</v>
      </c>
    </row>
    <row r="308" customFormat="false" ht="15" hidden="false" customHeight="true" outlineLevel="0" collapsed="false">
      <c r="A308" s="6" t="s">
        <v>2572</v>
      </c>
      <c r="B308" s="6" t="s">
        <v>41</v>
      </c>
      <c r="C308" s="6" t="n">
        <v>1</v>
      </c>
      <c r="D308" s="6" t="n">
        <v>4</v>
      </c>
      <c r="E308" s="6" t="n">
        <v>1</v>
      </c>
      <c r="F308" s="6" t="s">
        <v>2569</v>
      </c>
      <c r="G308" s="28" t="n">
        <f aca="false">IFERROR(INDEX('Semrush Data'!$A$1:$Z$20000,MATCH(A308,'Semrush Data'!$A$1:$A$20000,0),MATCH("Volume",'Semrush Data'!$A$1:$Z$1,0)),"")</f>
        <v>20</v>
      </c>
      <c r="H308" s="6" t="n">
        <f aca="false">IFERROR(INDEX('Semrush Data'!$A$1:$Z$20000,MATCH(A308,'Semrush Data'!$A$1:$A$20000,0),MATCH("Keyword Difficulty*",'Semrush Data'!$A$1:$Z$1,0)),"")</f>
        <v>5</v>
      </c>
      <c r="I308" s="29" t="n">
        <f aca="false">IFERROR(INDEX('Semrush Data'!$A$1:$Z$20000,MATCH(A308,'Semrush Data'!$A$1:$A$20000,0),MATCH("CPC*",'Semrush Data'!$A$1:$Z$1,0)),"")</f>
        <v>0</v>
      </c>
      <c r="J308" s="6" t="str">
        <f aca="false">IFERROR(INDEX('Semrush Data'!$A$1:$Z$20000,MATCH(A308,'Semrush Data'!$A$1:$A$20000,0),MATCH("Intent",'Semrush Data'!$A$1:$Z$1,0)),"")</f>
        <v>Informational</v>
      </c>
    </row>
    <row r="309" customFormat="false" ht="15" hidden="false" customHeight="true" outlineLevel="0" collapsed="false">
      <c r="A309" s="6" t="s">
        <v>2620</v>
      </c>
      <c r="B309" s="6" t="s">
        <v>41</v>
      </c>
      <c r="C309" s="6" t="n">
        <v>1</v>
      </c>
      <c r="D309" s="6" t="n">
        <v>4</v>
      </c>
      <c r="E309" s="6" t="n">
        <v>1</v>
      </c>
      <c r="F309" s="6" t="s">
        <v>75</v>
      </c>
      <c r="G309" s="28" t="n">
        <f aca="false">IFERROR(INDEX('Semrush Data'!$A$1:$Z$20000,MATCH(A309,'Semrush Data'!$A$1:$A$20000,0),MATCH("Volume",'Semrush Data'!$A$1:$Z$1,0)),"")</f>
        <v>2400</v>
      </c>
      <c r="H309" s="6" t="n">
        <f aca="false">IFERROR(INDEX('Semrush Data'!$A$1:$Z$20000,MATCH(A309,'Semrush Data'!$A$1:$A$20000,0),MATCH("Keyword Difficulty*",'Semrush Data'!$A$1:$Z$1,0)),"")</f>
        <v>16</v>
      </c>
      <c r="I309" s="29" t="n">
        <f aca="false">IFERROR(INDEX('Semrush Data'!$A$1:$Z$20000,MATCH(A309,'Semrush Data'!$A$1:$A$20000,0),MATCH("CPC*",'Semrush Data'!$A$1:$Z$1,0)),"")</f>
        <v>0.27</v>
      </c>
      <c r="J309" s="6" t="str">
        <f aca="false">IFERROR(INDEX('Semrush Data'!$A$1:$Z$20000,MATCH(A309,'Semrush Data'!$A$1:$A$20000,0),MATCH("Intent",'Semrush Data'!$A$1:$Z$1,0)),"")</f>
        <v>Informational Transactional</v>
      </c>
    </row>
    <row r="310" customFormat="false" ht="15" hidden="false" customHeight="true" outlineLevel="0" collapsed="false">
      <c r="A310" s="6" t="s">
        <v>2585</v>
      </c>
      <c r="B310" s="6" t="s">
        <v>41</v>
      </c>
      <c r="C310" s="6" t="n">
        <v>1</v>
      </c>
      <c r="D310" s="6" t="n">
        <v>4</v>
      </c>
      <c r="E310" s="6" t="n">
        <v>1</v>
      </c>
      <c r="F310" s="6" t="s">
        <v>2582</v>
      </c>
      <c r="G310" s="28" t="n">
        <f aca="false">IFERROR(INDEX('Semrush Data'!$A$1:$Z$20000,MATCH(A310,'Semrush Data'!$A$1:$A$20000,0),MATCH("Volume",'Semrush Data'!$A$1:$Z$1,0)),"")</f>
        <v>20</v>
      </c>
      <c r="H310" s="6" t="n">
        <f aca="false">IFERROR(INDEX('Semrush Data'!$A$1:$Z$20000,MATCH(A310,'Semrush Data'!$A$1:$A$20000,0),MATCH("Keyword Difficulty*",'Semrush Data'!$A$1:$Z$1,0)),"")</f>
        <v>12</v>
      </c>
      <c r="I310" s="29" t="n">
        <f aca="false">IFERROR(INDEX('Semrush Data'!$A$1:$Z$20000,MATCH(A310,'Semrush Data'!$A$1:$A$20000,0),MATCH("CPC*",'Semrush Data'!$A$1:$Z$1,0)),"")</f>
        <v>0</v>
      </c>
      <c r="J310" s="6" t="str">
        <f aca="false">IFERROR(INDEX('Semrush Data'!$A$1:$Z$20000,MATCH(A310,'Semrush Data'!$A$1:$A$20000,0),MATCH("Intent",'Semrush Data'!$A$1:$Z$1,0)),"")</f>
        <v>Informational</v>
      </c>
    </row>
    <row r="311" customFormat="false" ht="15" hidden="false" customHeight="true" outlineLevel="0" collapsed="false">
      <c r="A311" s="6" t="s">
        <v>2598</v>
      </c>
      <c r="B311" s="6" t="s">
        <v>41</v>
      </c>
      <c r="C311" s="6" t="n">
        <v>1</v>
      </c>
      <c r="D311" s="6" t="n">
        <v>4</v>
      </c>
      <c r="E311" s="6" t="n">
        <v>1</v>
      </c>
      <c r="F311" s="6" t="s">
        <v>2595</v>
      </c>
      <c r="G311" s="28" t="n">
        <f aca="false">IFERROR(INDEX('Semrush Data'!$A$1:$Z$20000,MATCH(A311,'Semrush Data'!$A$1:$A$20000,0),MATCH("Volume",'Semrush Data'!$A$1:$Z$1,0)),"")</f>
        <v>110</v>
      </c>
      <c r="H311" s="6" t="n">
        <f aca="false">IFERROR(INDEX('Semrush Data'!$A$1:$Z$20000,MATCH(A311,'Semrush Data'!$A$1:$A$20000,0),MATCH("Keyword Difficulty*",'Semrush Data'!$A$1:$Z$1,0)),"")</f>
        <v>19</v>
      </c>
      <c r="I311" s="29" t="n">
        <f aca="false">IFERROR(INDEX('Semrush Data'!$A$1:$Z$20000,MATCH(A311,'Semrush Data'!$A$1:$A$20000,0),MATCH("CPC*",'Semrush Data'!$A$1:$Z$1,0)),"")</f>
        <v>0</v>
      </c>
      <c r="J311" s="6" t="str">
        <f aca="false">IFERROR(INDEX('Semrush Data'!$A$1:$Z$20000,MATCH(A311,'Semrush Data'!$A$1:$A$20000,0),MATCH("Intent",'Semrush Data'!$A$1:$Z$1,0)),"")</f>
        <v>Informational</v>
      </c>
    </row>
    <row r="312" customFormat="false" ht="15" hidden="false" customHeight="true" outlineLevel="0" collapsed="false">
      <c r="A312" s="6" t="s">
        <v>2610</v>
      </c>
      <c r="B312" s="6" t="s">
        <v>41</v>
      </c>
      <c r="C312" s="6" t="n">
        <v>1</v>
      </c>
      <c r="D312" s="6" t="n">
        <v>4</v>
      </c>
      <c r="E312" s="6" t="n">
        <v>1</v>
      </c>
      <c r="F312" s="6" t="s">
        <v>2607</v>
      </c>
      <c r="G312" s="28" t="n">
        <f aca="false">IFERROR(INDEX('Semrush Data'!$A$1:$Z$20000,MATCH(A312,'Semrush Data'!$A$1:$A$20000,0),MATCH("Volume",'Semrush Data'!$A$1:$Z$1,0)),"")</f>
        <v>110</v>
      </c>
      <c r="H312" s="6" t="n">
        <f aca="false">IFERROR(INDEX('Semrush Data'!$A$1:$Z$20000,MATCH(A312,'Semrush Data'!$A$1:$A$20000,0),MATCH("Keyword Difficulty*",'Semrush Data'!$A$1:$Z$1,0)),"")</f>
        <v>9</v>
      </c>
      <c r="I312" s="29" t="n">
        <f aca="false">IFERROR(INDEX('Semrush Data'!$A$1:$Z$20000,MATCH(A312,'Semrush Data'!$A$1:$A$20000,0),MATCH("CPC*",'Semrush Data'!$A$1:$Z$1,0)),"")</f>
        <v>0</v>
      </c>
      <c r="J312" s="6" t="str">
        <f aca="false">IFERROR(INDEX('Semrush Data'!$A$1:$Z$20000,MATCH(A312,'Semrush Data'!$A$1:$A$20000,0),MATCH("Intent",'Semrush Data'!$A$1:$Z$1,0)),"")</f>
        <v>Informational</v>
      </c>
    </row>
    <row r="313" customFormat="false" ht="15" hidden="false" customHeight="true" outlineLevel="0" collapsed="false">
      <c r="A313" s="6" t="s">
        <v>2737</v>
      </c>
      <c r="B313" s="6" t="s">
        <v>41</v>
      </c>
      <c r="C313" s="6" t="n">
        <v>1</v>
      </c>
      <c r="D313" s="6" t="n">
        <v>4</v>
      </c>
      <c r="E313" s="6" t="n">
        <v>1</v>
      </c>
      <c r="F313" s="6" t="s">
        <v>2734</v>
      </c>
      <c r="G313" s="28" t="n">
        <f aca="false">IFERROR(INDEX('Semrush Data'!$A$1:$Z$20000,MATCH(A313,'Semrush Data'!$A$1:$A$20000,0),MATCH("Volume",'Semrush Data'!$A$1:$Z$1,0)),"")</f>
        <v>20</v>
      </c>
      <c r="H313" s="6" t="n">
        <f aca="false">IFERROR(INDEX('Semrush Data'!$A$1:$Z$20000,MATCH(A313,'Semrush Data'!$A$1:$A$20000,0),MATCH("Keyword Difficulty*",'Semrush Data'!$A$1:$Z$1,0)),"")</f>
        <v>13</v>
      </c>
      <c r="I313" s="29" t="n">
        <f aca="false">IFERROR(INDEX('Semrush Data'!$A$1:$Z$20000,MATCH(A313,'Semrush Data'!$A$1:$A$20000,0),MATCH("CPC*",'Semrush Data'!$A$1:$Z$1,0)),"")</f>
        <v>0</v>
      </c>
      <c r="J313" s="6" t="str">
        <f aca="false">IFERROR(INDEX('Semrush Data'!$A$1:$Z$20000,MATCH(A313,'Semrush Data'!$A$1:$A$20000,0),MATCH("Intent",'Semrush Data'!$A$1:$Z$1,0)),"")</f>
        <v>Informational Transactional</v>
      </c>
    </row>
    <row r="314" customFormat="false" ht="15" hidden="false" customHeight="true" outlineLevel="0" collapsed="false">
      <c r="A314" s="6" t="s">
        <v>2628</v>
      </c>
      <c r="B314" s="6" t="s">
        <v>41</v>
      </c>
      <c r="C314" s="6" t="n">
        <v>1</v>
      </c>
      <c r="D314" s="6" t="n">
        <v>4</v>
      </c>
      <c r="E314" s="6" t="n">
        <v>1</v>
      </c>
      <c r="F314" s="6" t="s">
        <v>109</v>
      </c>
      <c r="G314" s="28" t="n">
        <f aca="false">IFERROR(INDEX('Semrush Data'!$A$1:$Z$20000,MATCH(A314,'Semrush Data'!$A$1:$A$20000,0),MATCH("Volume",'Semrush Data'!$A$1:$Z$1,0)),"")</f>
        <v>590</v>
      </c>
      <c r="H314" s="6" t="n">
        <f aca="false">IFERROR(INDEX('Semrush Data'!$A$1:$Z$20000,MATCH(A314,'Semrush Data'!$A$1:$A$20000,0),MATCH("Keyword Difficulty*",'Semrush Data'!$A$1:$Z$1,0)),"")</f>
        <v>12</v>
      </c>
      <c r="I314" s="29" t="n">
        <f aca="false">IFERROR(INDEX('Semrush Data'!$A$1:$Z$20000,MATCH(A314,'Semrush Data'!$A$1:$A$20000,0),MATCH("CPC*",'Semrush Data'!$A$1:$Z$1,0)),"")</f>
        <v>0.32</v>
      </c>
      <c r="J314" s="6" t="str">
        <f aca="false">IFERROR(INDEX('Semrush Data'!$A$1:$Z$20000,MATCH(A314,'Semrush Data'!$A$1:$A$20000,0),MATCH("Intent",'Semrush Data'!$A$1:$Z$1,0)),"")</f>
        <v>Informational Transactional</v>
      </c>
    </row>
    <row r="315" customFormat="false" ht="15" hidden="false" customHeight="true" outlineLevel="0" collapsed="false">
      <c r="A315" s="6" t="s">
        <v>2639</v>
      </c>
      <c r="B315" s="6" t="s">
        <v>41</v>
      </c>
      <c r="C315" s="6" t="n">
        <v>1</v>
      </c>
      <c r="D315" s="6" t="n">
        <v>4</v>
      </c>
      <c r="E315" s="6" t="n">
        <v>1</v>
      </c>
      <c r="F315" s="6" t="s">
        <v>2637</v>
      </c>
      <c r="G315" s="28" t="n">
        <f aca="false">IFERROR(INDEX('Semrush Data'!$A$1:$Z$20000,MATCH(A315,'Semrush Data'!$A$1:$A$20000,0),MATCH("Volume",'Semrush Data'!$A$1:$Z$1,0)),"")</f>
        <v>140</v>
      </c>
      <c r="H315" s="6" t="n">
        <f aca="false">IFERROR(INDEX('Semrush Data'!$A$1:$Z$20000,MATCH(A315,'Semrush Data'!$A$1:$A$20000,0),MATCH("Keyword Difficulty*",'Semrush Data'!$A$1:$Z$1,0)),"")</f>
        <v>10</v>
      </c>
      <c r="I315" s="29" t="n">
        <f aca="false">IFERROR(INDEX('Semrush Data'!$A$1:$Z$20000,MATCH(A315,'Semrush Data'!$A$1:$A$20000,0),MATCH("CPC*",'Semrush Data'!$A$1:$Z$1,0)),"")</f>
        <v>0.61</v>
      </c>
      <c r="J315" s="6" t="str">
        <f aca="false">IFERROR(INDEX('Semrush Data'!$A$1:$Z$20000,MATCH(A315,'Semrush Data'!$A$1:$A$20000,0),MATCH("Intent",'Semrush Data'!$A$1:$Z$1,0)),"")</f>
        <v>Informational Transactional</v>
      </c>
    </row>
    <row r="316" customFormat="false" ht="15" hidden="false" customHeight="true" outlineLevel="0" collapsed="false">
      <c r="A316" s="6" t="s">
        <v>2649</v>
      </c>
      <c r="B316" s="6" t="s">
        <v>41</v>
      </c>
      <c r="C316" s="6" t="n">
        <v>1</v>
      </c>
      <c r="D316" s="6" t="n">
        <v>4</v>
      </c>
      <c r="E316" s="6" t="n">
        <v>1</v>
      </c>
      <c r="F316" s="6" t="s">
        <v>119</v>
      </c>
      <c r="G316" s="28" t="n">
        <f aca="false">IFERROR(INDEX('Semrush Data'!$A$1:$Z$20000,MATCH(A316,'Semrush Data'!$A$1:$A$20000,0),MATCH("Volume",'Semrush Data'!$A$1:$Z$1,0)),"")</f>
        <v>480</v>
      </c>
      <c r="H316" s="6" t="n">
        <f aca="false">IFERROR(INDEX('Semrush Data'!$A$1:$Z$20000,MATCH(A316,'Semrush Data'!$A$1:$A$20000,0),MATCH("Keyword Difficulty*",'Semrush Data'!$A$1:$Z$1,0)),"")</f>
        <v>15</v>
      </c>
      <c r="I316" s="29" t="n">
        <f aca="false">IFERROR(INDEX('Semrush Data'!$A$1:$Z$20000,MATCH(A316,'Semrush Data'!$A$1:$A$20000,0),MATCH("CPC*",'Semrush Data'!$A$1:$Z$1,0)),"")</f>
        <v>0.33</v>
      </c>
      <c r="J316" s="6" t="str">
        <f aca="false">IFERROR(INDEX('Semrush Data'!$A$1:$Z$20000,MATCH(A316,'Semrush Data'!$A$1:$A$20000,0),MATCH("Intent",'Semrush Data'!$A$1:$Z$1,0)),"")</f>
        <v>Informational</v>
      </c>
    </row>
    <row r="317" customFormat="false" ht="15" hidden="false" customHeight="true" outlineLevel="0" collapsed="false">
      <c r="A317" s="6" t="s">
        <v>2660</v>
      </c>
      <c r="B317" s="6" t="s">
        <v>41</v>
      </c>
      <c r="C317" s="6" t="n">
        <v>1</v>
      </c>
      <c r="D317" s="6" t="n">
        <v>4</v>
      </c>
      <c r="E317" s="6" t="n">
        <v>1</v>
      </c>
      <c r="F317" s="6" t="s">
        <v>2658</v>
      </c>
      <c r="G317" s="28" t="n">
        <f aca="false">IFERROR(INDEX('Semrush Data'!$A$1:$Z$20000,MATCH(A317,'Semrush Data'!$A$1:$A$20000,0),MATCH("Volume",'Semrush Data'!$A$1:$Z$1,0)),"")</f>
        <v>20</v>
      </c>
      <c r="H317" s="6" t="n">
        <f aca="false">IFERROR(INDEX('Semrush Data'!$A$1:$Z$20000,MATCH(A317,'Semrush Data'!$A$1:$A$20000,0),MATCH("Keyword Difficulty*",'Semrush Data'!$A$1:$Z$1,0)),"")</f>
        <v>17</v>
      </c>
      <c r="I317" s="29" t="n">
        <f aca="false">IFERROR(INDEX('Semrush Data'!$A$1:$Z$20000,MATCH(A317,'Semrush Data'!$A$1:$A$20000,0),MATCH("CPC*",'Semrush Data'!$A$1:$Z$1,0)),"")</f>
        <v>0</v>
      </c>
      <c r="J317" s="6" t="str">
        <f aca="false">IFERROR(INDEX('Semrush Data'!$A$1:$Z$20000,MATCH(A317,'Semrush Data'!$A$1:$A$20000,0),MATCH("Intent",'Semrush Data'!$A$1:$Z$1,0)),"")</f>
        <v>Informational</v>
      </c>
    </row>
    <row r="318" customFormat="false" ht="15" hidden="false" customHeight="true" outlineLevel="0" collapsed="false">
      <c r="A318" s="6" t="s">
        <v>2672</v>
      </c>
      <c r="B318" s="6" t="s">
        <v>41</v>
      </c>
      <c r="C318" s="6" t="n">
        <v>1</v>
      </c>
      <c r="D318" s="6" t="n">
        <v>4</v>
      </c>
      <c r="E318" s="6" t="n">
        <v>1</v>
      </c>
      <c r="F318" s="6" t="s">
        <v>2670</v>
      </c>
      <c r="G318" s="28" t="n">
        <f aca="false">IFERROR(INDEX('Semrush Data'!$A$1:$Z$20000,MATCH(A318,'Semrush Data'!$A$1:$A$20000,0),MATCH("Volume",'Semrush Data'!$A$1:$Z$1,0)),"")</f>
        <v>320</v>
      </c>
      <c r="H318" s="6" t="n">
        <f aca="false">IFERROR(INDEX('Semrush Data'!$A$1:$Z$20000,MATCH(A318,'Semrush Data'!$A$1:$A$20000,0),MATCH("Keyword Difficulty*",'Semrush Data'!$A$1:$Z$1,0)),"")</f>
        <v>25</v>
      </c>
      <c r="I318" s="29" t="n">
        <f aca="false">IFERROR(INDEX('Semrush Data'!$A$1:$Z$20000,MATCH(A318,'Semrush Data'!$A$1:$A$20000,0),MATCH("CPC*",'Semrush Data'!$A$1:$Z$1,0)),"")</f>
        <v>0.28</v>
      </c>
      <c r="J318" s="6" t="str">
        <f aca="false">IFERROR(INDEX('Semrush Data'!$A$1:$Z$20000,MATCH(A318,'Semrush Data'!$A$1:$A$20000,0),MATCH("Intent",'Semrush Data'!$A$1:$Z$1,0)),"")</f>
        <v>Informational Transactional</v>
      </c>
    </row>
    <row r="319" customFormat="false" ht="15" hidden="false" customHeight="true" outlineLevel="0" collapsed="false">
      <c r="A319" s="6" t="s">
        <v>2692</v>
      </c>
      <c r="B319" s="6" t="s">
        <v>41</v>
      </c>
      <c r="C319" s="6" t="n">
        <v>1</v>
      </c>
      <c r="D319" s="6" t="n">
        <v>4</v>
      </c>
      <c r="E319" s="6" t="n">
        <v>1</v>
      </c>
      <c r="F319" s="6" t="s">
        <v>95</v>
      </c>
      <c r="G319" s="28" t="n">
        <f aca="false">IFERROR(INDEX('Semrush Data'!$A$1:$Z$20000,MATCH(A319,'Semrush Data'!$A$1:$A$20000,0),MATCH("Volume",'Semrush Data'!$A$1:$Z$1,0)),"")</f>
        <v>880</v>
      </c>
      <c r="H319" s="6" t="n">
        <f aca="false">IFERROR(INDEX('Semrush Data'!$A$1:$Z$20000,MATCH(A319,'Semrush Data'!$A$1:$A$20000,0),MATCH("Keyword Difficulty*",'Semrush Data'!$A$1:$Z$1,0)),"")</f>
        <v>21</v>
      </c>
      <c r="I319" s="29" t="n">
        <f aca="false">IFERROR(INDEX('Semrush Data'!$A$1:$Z$20000,MATCH(A319,'Semrush Data'!$A$1:$A$20000,0),MATCH("CPC*",'Semrush Data'!$A$1:$Z$1,0)),"")</f>
        <v>0.27</v>
      </c>
      <c r="J319" s="6" t="str">
        <f aca="false">IFERROR(INDEX('Semrush Data'!$A$1:$Z$20000,MATCH(A319,'Semrush Data'!$A$1:$A$20000,0),MATCH("Intent",'Semrush Data'!$A$1:$Z$1,0)),"")</f>
        <v>Informational Transactional</v>
      </c>
    </row>
    <row r="320" customFormat="false" ht="15" hidden="false" customHeight="true" outlineLevel="0" collapsed="false">
      <c r="A320" s="6" t="s">
        <v>2683</v>
      </c>
      <c r="B320" s="6" t="s">
        <v>41</v>
      </c>
      <c r="C320" s="6" t="n">
        <v>1</v>
      </c>
      <c r="D320" s="6" t="n">
        <v>4</v>
      </c>
      <c r="E320" s="6" t="n">
        <v>1</v>
      </c>
      <c r="F320" s="6" t="s">
        <v>2681</v>
      </c>
      <c r="G320" s="28" t="n">
        <f aca="false">IFERROR(INDEX('Semrush Data'!$A$1:$Z$20000,MATCH(A320,'Semrush Data'!$A$1:$A$20000,0),MATCH("Volume",'Semrush Data'!$A$1:$Z$1,0)),"")</f>
        <v>10</v>
      </c>
      <c r="H320" s="6" t="n">
        <f aca="false">IFERROR(INDEX('Semrush Data'!$A$1:$Z$20000,MATCH(A320,'Semrush Data'!$A$1:$A$20000,0),MATCH("Keyword Difficulty*",'Semrush Data'!$A$1:$Z$1,0)),"")</f>
        <v>7</v>
      </c>
      <c r="I320" s="29" t="n">
        <f aca="false">IFERROR(INDEX('Semrush Data'!$A$1:$Z$20000,MATCH(A320,'Semrush Data'!$A$1:$A$20000,0),MATCH("CPC*",'Semrush Data'!$A$1:$Z$1,0)),"")</f>
        <v>0</v>
      </c>
      <c r="J320" s="6" t="str">
        <f aca="false">IFERROR(INDEX('Semrush Data'!$A$1:$Z$20000,MATCH(A320,'Semrush Data'!$A$1:$A$20000,0),MATCH("Intent",'Semrush Data'!$A$1:$Z$1,0)),"")</f>
        <v>Informational Transactional</v>
      </c>
    </row>
    <row r="321" customFormat="false" ht="15" hidden="false" customHeight="true" outlineLevel="0" collapsed="false">
      <c r="A321" s="6" t="s">
        <v>2703</v>
      </c>
      <c r="B321" s="6" t="s">
        <v>41</v>
      </c>
      <c r="C321" s="6" t="n">
        <v>1</v>
      </c>
      <c r="D321" s="6" t="n">
        <v>4</v>
      </c>
      <c r="E321" s="6" t="n">
        <v>1</v>
      </c>
      <c r="F321" s="6" t="s">
        <v>2701</v>
      </c>
      <c r="G321" s="28" t="n">
        <f aca="false">IFERROR(INDEX('Semrush Data'!$A$1:$Z$20000,MATCH(A321,'Semrush Data'!$A$1:$A$20000,0),MATCH("Volume",'Semrush Data'!$A$1:$Z$1,0)),"")</f>
        <v>70</v>
      </c>
      <c r="H321" s="6" t="n">
        <f aca="false">IFERROR(INDEX('Semrush Data'!$A$1:$Z$20000,MATCH(A321,'Semrush Data'!$A$1:$A$20000,0),MATCH("Keyword Difficulty*",'Semrush Data'!$A$1:$Z$1,0)),"")</f>
        <v>19</v>
      </c>
      <c r="I321" s="29" t="n">
        <f aca="false">IFERROR(INDEX('Semrush Data'!$A$1:$Z$20000,MATCH(A321,'Semrush Data'!$A$1:$A$20000,0),MATCH("CPC*",'Semrush Data'!$A$1:$Z$1,0)),"")</f>
        <v>0</v>
      </c>
      <c r="J321" s="6" t="str">
        <f aca="false">IFERROR(INDEX('Semrush Data'!$A$1:$Z$20000,MATCH(A321,'Semrush Data'!$A$1:$A$20000,0),MATCH("Intent",'Semrush Data'!$A$1:$Z$1,0)),"")</f>
        <v>Informational</v>
      </c>
    </row>
    <row r="322" customFormat="false" ht="15" hidden="false" customHeight="true" outlineLevel="0" collapsed="false">
      <c r="A322" s="6" t="s">
        <v>2714</v>
      </c>
      <c r="B322" s="6" t="s">
        <v>41</v>
      </c>
      <c r="C322" s="6" t="n">
        <v>1</v>
      </c>
      <c r="D322" s="6" t="n">
        <v>4</v>
      </c>
      <c r="E322" s="6" t="n">
        <v>1</v>
      </c>
      <c r="F322" s="6" t="s">
        <v>2712</v>
      </c>
      <c r="G322" s="28" t="n">
        <f aca="false">IFERROR(INDEX('Semrush Data'!$A$1:$Z$20000,MATCH(A322,'Semrush Data'!$A$1:$A$20000,0),MATCH("Volume",'Semrush Data'!$A$1:$Z$1,0)),"")</f>
        <v>20</v>
      </c>
      <c r="H322" s="6" t="n">
        <f aca="false">IFERROR(INDEX('Semrush Data'!$A$1:$Z$20000,MATCH(A322,'Semrush Data'!$A$1:$A$20000,0),MATCH("Keyword Difficulty*",'Semrush Data'!$A$1:$Z$1,0)),"")</f>
        <v>6</v>
      </c>
      <c r="I322" s="29" t="n">
        <f aca="false">IFERROR(INDEX('Semrush Data'!$A$1:$Z$20000,MATCH(A322,'Semrush Data'!$A$1:$A$20000,0),MATCH("CPC*",'Semrush Data'!$A$1:$Z$1,0)),"")</f>
        <v>0</v>
      </c>
      <c r="J322" s="6" t="str">
        <f aca="false">IFERROR(INDEX('Semrush Data'!$A$1:$Z$20000,MATCH(A322,'Semrush Data'!$A$1:$A$20000,0),MATCH("Intent",'Semrush Data'!$A$1:$Z$1,0)),"")</f>
        <v>Navigational</v>
      </c>
    </row>
    <row r="323" customFormat="false" ht="15" hidden="false" customHeight="true" outlineLevel="0" collapsed="false">
      <c r="A323" s="6" t="s">
        <v>2725</v>
      </c>
      <c r="B323" s="6" t="s">
        <v>41</v>
      </c>
      <c r="C323" s="6" t="n">
        <v>1</v>
      </c>
      <c r="D323" s="6" t="n">
        <v>4</v>
      </c>
      <c r="E323" s="6" t="n">
        <v>1</v>
      </c>
      <c r="F323" s="6" t="s">
        <v>2723</v>
      </c>
      <c r="G323" s="28" t="n">
        <f aca="false">IFERROR(INDEX('Semrush Data'!$A$1:$Z$20000,MATCH(A323,'Semrush Data'!$A$1:$A$20000,0),MATCH("Volume",'Semrush Data'!$A$1:$Z$1,0)),"")</f>
        <v>110</v>
      </c>
      <c r="H323" s="6" t="n">
        <f aca="false">IFERROR(INDEX('Semrush Data'!$A$1:$Z$20000,MATCH(A323,'Semrush Data'!$A$1:$A$20000,0),MATCH("Keyword Difficulty*",'Semrush Data'!$A$1:$Z$1,0)),"")</f>
        <v>22</v>
      </c>
      <c r="I323" s="29" t="n">
        <f aca="false">IFERROR(INDEX('Semrush Data'!$A$1:$Z$20000,MATCH(A323,'Semrush Data'!$A$1:$A$20000,0),MATCH("CPC*",'Semrush Data'!$A$1:$Z$1,0)),"")</f>
        <v>0.41</v>
      </c>
      <c r="J323" s="6" t="str">
        <f aca="false">IFERROR(INDEX('Semrush Data'!$A$1:$Z$20000,MATCH(A323,'Semrush Data'!$A$1:$A$20000,0),MATCH("Intent",'Semrush Data'!$A$1:$Z$1,0)),"")</f>
        <v>Informational</v>
      </c>
    </row>
    <row r="324" customFormat="false" ht="15" hidden="false" customHeight="true" outlineLevel="0" collapsed="false">
      <c r="A324" s="6" t="s">
        <v>2750</v>
      </c>
      <c r="B324" s="6" t="s">
        <v>41</v>
      </c>
      <c r="C324" s="6" t="n">
        <v>1</v>
      </c>
      <c r="D324" s="6" t="n">
        <v>4</v>
      </c>
      <c r="E324" s="6" t="n">
        <v>3</v>
      </c>
      <c r="F324" s="6" t="s">
        <v>6836</v>
      </c>
      <c r="G324" s="28" t="n">
        <f aca="false">IFERROR(INDEX('Semrush Data'!$A$1:$Z$20000,MATCH(A324,'Semrush Data'!$A$1:$A$20000,0),MATCH("Volume",'Semrush Data'!$A$1:$Z$1,0)),"")</f>
        <v>0</v>
      </c>
      <c r="H324" s="6" t="n">
        <f aca="false">IFERROR(INDEX('Semrush Data'!$A$1:$Z$20000,MATCH(A324,'Semrush Data'!$A$1:$A$20000,0),MATCH("Keyword Difficulty*",'Semrush Data'!$A$1:$Z$1,0)),"")</f>
        <v>17</v>
      </c>
      <c r="I324" s="29" t="n">
        <f aca="false">IFERROR(INDEX('Semrush Data'!$A$1:$Z$20000,MATCH(A324,'Semrush Data'!$A$1:$A$20000,0),MATCH("CPC*",'Semrush Data'!$A$1:$Z$1,0)),"")</f>
        <v>0</v>
      </c>
      <c r="J324" s="6" t="str">
        <f aca="false">IFERROR(INDEX('Semrush Data'!$A$1:$Z$20000,MATCH(A324,'Semrush Data'!$A$1:$A$20000,0),MATCH("Intent",'Semrush Data'!$A$1:$Z$1,0)),"")</f>
        <v>Navigational</v>
      </c>
    </row>
    <row r="325" customFormat="false" ht="15" hidden="false" customHeight="true" outlineLevel="0" collapsed="false">
      <c r="A325" s="6" t="s">
        <v>2764</v>
      </c>
      <c r="B325" s="6" t="s">
        <v>41</v>
      </c>
      <c r="C325" s="6" t="n">
        <v>1</v>
      </c>
      <c r="D325" s="6" t="n">
        <v>4</v>
      </c>
      <c r="E325" s="6" t="n">
        <v>3</v>
      </c>
      <c r="F325" s="6" t="s">
        <v>6837</v>
      </c>
      <c r="G325" s="28" t="n">
        <f aca="false">IFERROR(INDEX('Semrush Data'!$A$1:$Z$20000,MATCH(A325,'Semrush Data'!$A$1:$A$20000,0),MATCH("Volume",'Semrush Data'!$A$1:$Z$1,0)),"")</f>
        <v>0</v>
      </c>
      <c r="H325" s="6" t="n">
        <f aca="false">IFERROR(INDEX('Semrush Data'!$A$1:$Z$20000,MATCH(A325,'Semrush Data'!$A$1:$A$20000,0),MATCH("Keyword Difficulty*",'Semrush Data'!$A$1:$Z$1,0)),"")</f>
        <v>12</v>
      </c>
      <c r="I325" s="29" t="n">
        <f aca="false">IFERROR(INDEX('Semrush Data'!$A$1:$Z$20000,MATCH(A325,'Semrush Data'!$A$1:$A$20000,0),MATCH("CPC*",'Semrush Data'!$A$1:$Z$1,0)),"")</f>
        <v>0</v>
      </c>
      <c r="J325" s="6" t="str">
        <f aca="false">IFERROR(INDEX('Semrush Data'!$A$1:$Z$20000,MATCH(A325,'Semrush Data'!$A$1:$A$20000,0),MATCH("Intent",'Semrush Data'!$A$1:$Z$1,0)),"")</f>
        <v>Navigational</v>
      </c>
    </row>
    <row r="326" customFormat="false" ht="15" hidden="false" customHeight="true" outlineLevel="0" collapsed="false">
      <c r="A326" s="6" t="s">
        <v>2777</v>
      </c>
      <c r="B326" s="6" t="s">
        <v>41</v>
      </c>
      <c r="C326" s="6" t="n">
        <v>1</v>
      </c>
      <c r="D326" s="6" t="n">
        <v>4</v>
      </c>
      <c r="E326" s="6" t="n">
        <v>3</v>
      </c>
      <c r="F326" s="6" t="s">
        <v>6838</v>
      </c>
      <c r="G326" s="28" t="n">
        <f aca="false">IFERROR(INDEX('Semrush Data'!$A$1:$Z$20000,MATCH(A326,'Semrush Data'!$A$1:$A$20000,0),MATCH("Volume",'Semrush Data'!$A$1:$Z$1,0)),"")</f>
        <v>0</v>
      </c>
      <c r="H326" s="6" t="n">
        <f aca="false">IFERROR(INDEX('Semrush Data'!$A$1:$Z$20000,MATCH(A326,'Semrush Data'!$A$1:$A$20000,0),MATCH("Keyword Difficulty*",'Semrush Data'!$A$1:$Z$1,0)),"")</f>
        <v>3</v>
      </c>
      <c r="I326" s="29" t="n">
        <f aca="false">IFERROR(INDEX('Semrush Data'!$A$1:$Z$20000,MATCH(A326,'Semrush Data'!$A$1:$A$20000,0),MATCH("CPC*",'Semrush Data'!$A$1:$Z$1,0)),"")</f>
        <v>0</v>
      </c>
      <c r="J326" s="6" t="str">
        <f aca="false">IFERROR(INDEX('Semrush Data'!$A$1:$Z$20000,MATCH(A326,'Semrush Data'!$A$1:$A$20000,0),MATCH("Intent",'Semrush Data'!$A$1:$Z$1,0)),"")</f>
        <v>Informational Navigational</v>
      </c>
    </row>
    <row r="327" customFormat="false" ht="15" hidden="false" customHeight="true" outlineLevel="0" collapsed="false">
      <c r="A327" s="6" t="s">
        <v>2789</v>
      </c>
      <c r="B327" s="6" t="s">
        <v>41</v>
      </c>
      <c r="C327" s="6" t="n">
        <v>1</v>
      </c>
      <c r="D327" s="6" t="n">
        <v>4</v>
      </c>
      <c r="E327" s="6" t="n">
        <v>3</v>
      </c>
      <c r="F327" s="6" t="s">
        <v>6839</v>
      </c>
      <c r="G327" s="28" t="n">
        <f aca="false">IFERROR(INDEX('Semrush Data'!$A$1:$Z$20000,MATCH(A327,'Semrush Data'!$A$1:$A$20000,0),MATCH("Volume",'Semrush Data'!$A$1:$Z$1,0)),"")</f>
        <v>0</v>
      </c>
      <c r="H327" s="6" t="n">
        <f aca="false">IFERROR(INDEX('Semrush Data'!$A$1:$Z$20000,MATCH(A327,'Semrush Data'!$A$1:$A$20000,0),MATCH("Keyword Difficulty*",'Semrush Data'!$A$1:$Z$1,0)),"")</f>
        <v>12</v>
      </c>
      <c r="I327" s="29" t="n">
        <f aca="false">IFERROR(INDEX('Semrush Data'!$A$1:$Z$20000,MATCH(A327,'Semrush Data'!$A$1:$A$20000,0),MATCH("CPC*",'Semrush Data'!$A$1:$Z$1,0)),"")</f>
        <v>0</v>
      </c>
      <c r="J327" s="6" t="str">
        <f aca="false">IFERROR(INDEX('Semrush Data'!$A$1:$Z$20000,MATCH(A327,'Semrush Data'!$A$1:$A$20000,0),MATCH("Intent",'Semrush Data'!$A$1:$Z$1,0)),"")</f>
        <v>Navigational</v>
      </c>
    </row>
    <row r="328" customFormat="false" ht="15" hidden="false" customHeight="true" outlineLevel="0" collapsed="false">
      <c r="A328" s="6" t="s">
        <v>2802</v>
      </c>
      <c r="B328" s="6" t="s">
        <v>41</v>
      </c>
      <c r="C328" s="6" t="n">
        <v>1</v>
      </c>
      <c r="D328" s="6" t="n">
        <v>4</v>
      </c>
      <c r="E328" s="6" t="n">
        <v>4</v>
      </c>
      <c r="F328" s="6" t="s">
        <v>6840</v>
      </c>
      <c r="G328" s="28" t="n">
        <f aca="false">IFERROR(INDEX('Semrush Data'!$A$1:$Z$20000,MATCH(A328,'Semrush Data'!$A$1:$A$20000,0),MATCH("Volume",'Semrush Data'!$A$1:$Z$1,0)),"")</f>
        <v>0</v>
      </c>
      <c r="H328" s="6" t="n">
        <f aca="false">IFERROR(INDEX('Semrush Data'!$A$1:$Z$20000,MATCH(A328,'Semrush Data'!$A$1:$A$20000,0),MATCH("Keyword Difficulty*",'Semrush Data'!$A$1:$Z$1,0)),"")</f>
        <v>12</v>
      </c>
      <c r="I328" s="29" t="n">
        <f aca="false">IFERROR(INDEX('Semrush Data'!$A$1:$Z$20000,MATCH(A328,'Semrush Data'!$A$1:$A$20000,0),MATCH("CPC*",'Semrush Data'!$A$1:$Z$1,0)),"")</f>
        <v>0</v>
      </c>
      <c r="J328" s="6" t="str">
        <f aca="false">IFERROR(INDEX('Semrush Data'!$A$1:$Z$20000,MATCH(A328,'Semrush Data'!$A$1:$A$20000,0),MATCH("Intent",'Semrush Data'!$A$1:$Z$1,0)),"")</f>
        <v>Navigational</v>
      </c>
    </row>
    <row r="329" customFormat="false" ht="15" hidden="false" customHeight="true" outlineLevel="0" collapsed="false">
      <c r="A329" s="6" t="s">
        <v>2819</v>
      </c>
      <c r="B329" s="6" t="s">
        <v>41</v>
      </c>
      <c r="C329" s="6" t="n">
        <v>1</v>
      </c>
      <c r="D329" s="6" t="n">
        <v>4</v>
      </c>
      <c r="E329" s="6" t="n">
        <v>1</v>
      </c>
      <c r="F329" s="6" t="s">
        <v>139</v>
      </c>
      <c r="G329" s="28" t="n">
        <f aca="false">IFERROR(INDEX('Semrush Data'!$A$1:$Z$20000,MATCH(A329,'Semrush Data'!$A$1:$A$20000,0),MATCH("Volume",'Semrush Data'!$A$1:$Z$1,0)),"")</f>
        <v>390</v>
      </c>
      <c r="H329" s="6" t="n">
        <f aca="false">IFERROR(INDEX('Semrush Data'!$A$1:$Z$20000,MATCH(A329,'Semrush Data'!$A$1:$A$20000,0),MATCH("Keyword Difficulty*",'Semrush Data'!$A$1:$Z$1,0)),"")</f>
        <v>19</v>
      </c>
      <c r="I329" s="29" t="n">
        <f aca="false">IFERROR(INDEX('Semrush Data'!$A$1:$Z$20000,MATCH(A329,'Semrush Data'!$A$1:$A$20000,0),MATCH("CPC*",'Semrush Data'!$A$1:$Z$1,0)),"")</f>
        <v>0.33</v>
      </c>
      <c r="J329" s="6" t="str">
        <f aca="false">IFERROR(INDEX('Semrush Data'!$A$1:$Z$20000,MATCH(A329,'Semrush Data'!$A$1:$A$20000,0),MATCH("Intent",'Semrush Data'!$A$1:$Z$1,0)),"")</f>
        <v>Informational</v>
      </c>
    </row>
    <row r="330" customFormat="false" ht="15" hidden="false" customHeight="true" outlineLevel="0" collapsed="false">
      <c r="A330" s="6" t="s">
        <v>2834</v>
      </c>
      <c r="B330" s="6" t="s">
        <v>41</v>
      </c>
      <c r="C330" s="6" t="n">
        <v>1</v>
      </c>
      <c r="D330" s="6" t="n">
        <v>4</v>
      </c>
      <c r="E330" s="6" t="n">
        <v>1</v>
      </c>
      <c r="F330" s="6" t="s">
        <v>2829</v>
      </c>
      <c r="G330" s="28" t="n">
        <f aca="false">IFERROR(INDEX('Semrush Data'!$A$1:$Z$20000,MATCH(A330,'Semrush Data'!$A$1:$A$20000,0),MATCH("Volume",'Semrush Data'!$A$1:$Z$1,0)),"")</f>
        <v>0</v>
      </c>
      <c r="H330" s="6" t="n">
        <f aca="false">IFERROR(INDEX('Semrush Data'!$A$1:$Z$20000,MATCH(A330,'Semrush Data'!$A$1:$A$20000,0),MATCH("Keyword Difficulty*",'Semrush Data'!$A$1:$Z$1,0)),"")</f>
        <v>9</v>
      </c>
      <c r="I330" s="29" t="n">
        <f aca="false">IFERROR(INDEX('Semrush Data'!$A$1:$Z$20000,MATCH(A330,'Semrush Data'!$A$1:$A$20000,0),MATCH("CPC*",'Semrush Data'!$A$1:$Z$1,0)),"")</f>
        <v>0</v>
      </c>
      <c r="J330" s="6" t="str">
        <f aca="false">IFERROR(INDEX('Semrush Data'!$A$1:$Z$20000,MATCH(A330,'Semrush Data'!$A$1:$A$20000,0),MATCH("Intent",'Semrush Data'!$A$1:$Z$1,0)),"")</f>
        <v>Informational</v>
      </c>
    </row>
    <row r="331" customFormat="false" ht="15" hidden="false" customHeight="true" outlineLevel="0" collapsed="false">
      <c r="A331" s="6" t="s">
        <v>2845</v>
      </c>
      <c r="B331" s="6" t="s">
        <v>41</v>
      </c>
      <c r="C331" s="6" t="n">
        <v>1</v>
      </c>
      <c r="D331" s="6" t="n">
        <v>4</v>
      </c>
      <c r="E331" s="6" t="n">
        <v>1</v>
      </c>
      <c r="F331" s="6" t="s">
        <v>2843</v>
      </c>
      <c r="G331" s="28" t="n">
        <f aca="false">IFERROR(INDEX('Semrush Data'!$A$1:$Z$20000,MATCH(A331,'Semrush Data'!$A$1:$A$20000,0),MATCH("Volume",'Semrush Data'!$A$1:$Z$1,0)),"")</f>
        <v>0</v>
      </c>
      <c r="H331" s="6" t="n">
        <f aca="false">IFERROR(INDEX('Semrush Data'!$A$1:$Z$20000,MATCH(A331,'Semrush Data'!$A$1:$A$20000,0),MATCH("Keyword Difficulty*",'Semrush Data'!$A$1:$Z$1,0)),"")</f>
        <v>17</v>
      </c>
      <c r="I331" s="29" t="n">
        <f aca="false">IFERROR(INDEX('Semrush Data'!$A$1:$Z$20000,MATCH(A331,'Semrush Data'!$A$1:$A$20000,0),MATCH("CPC*",'Semrush Data'!$A$1:$Z$1,0)),"")</f>
        <v>0</v>
      </c>
      <c r="J331" s="6" t="str">
        <f aca="false">IFERROR(INDEX('Semrush Data'!$A$1:$Z$20000,MATCH(A331,'Semrush Data'!$A$1:$A$20000,0),MATCH("Intent",'Semrush Data'!$A$1:$Z$1,0)),"")</f>
        <v>Informational</v>
      </c>
    </row>
    <row r="332" customFormat="false" ht="15" hidden="false" customHeight="true" outlineLevel="0" collapsed="false">
      <c r="A332" s="6" t="s">
        <v>2856</v>
      </c>
      <c r="B332" s="6" t="s">
        <v>41</v>
      </c>
      <c r="C332" s="6" t="n">
        <v>1</v>
      </c>
      <c r="D332" s="6" t="n">
        <v>4</v>
      </c>
      <c r="E332" s="6" t="n">
        <v>1</v>
      </c>
      <c r="F332" s="6" t="s">
        <v>2854</v>
      </c>
      <c r="G332" s="28" t="n">
        <f aca="false">IFERROR(INDEX('Semrush Data'!$A$1:$Z$20000,MATCH(A332,'Semrush Data'!$A$1:$A$20000,0),MATCH("Volume",'Semrush Data'!$A$1:$Z$1,0)),"")</f>
        <v>20</v>
      </c>
      <c r="H332" s="6" t="n">
        <f aca="false">IFERROR(INDEX('Semrush Data'!$A$1:$Z$20000,MATCH(A332,'Semrush Data'!$A$1:$A$20000,0),MATCH("Keyword Difficulty*",'Semrush Data'!$A$1:$Z$1,0)),"")</f>
        <v>7</v>
      </c>
      <c r="I332" s="29" t="n">
        <f aca="false">IFERROR(INDEX('Semrush Data'!$A$1:$Z$20000,MATCH(A332,'Semrush Data'!$A$1:$A$20000,0),MATCH("CPC*",'Semrush Data'!$A$1:$Z$1,0)),"")</f>
        <v>0</v>
      </c>
      <c r="J332" s="6" t="str">
        <f aca="false">IFERROR(INDEX('Semrush Data'!$A$1:$Z$20000,MATCH(A332,'Semrush Data'!$A$1:$A$20000,0),MATCH("Intent",'Semrush Data'!$A$1:$Z$1,0)),"")</f>
        <v>Informational Transactional</v>
      </c>
    </row>
    <row r="333" customFormat="false" ht="15" hidden="false" customHeight="true" outlineLevel="0" collapsed="false">
      <c r="A333" s="6" t="s">
        <v>2869</v>
      </c>
      <c r="B333" s="6" t="s">
        <v>41</v>
      </c>
      <c r="C333" s="6" t="n">
        <v>1</v>
      </c>
      <c r="D333" s="6" t="n">
        <v>4</v>
      </c>
      <c r="E333" s="6" t="n">
        <v>1</v>
      </c>
      <c r="F333" s="6" t="s">
        <v>2866</v>
      </c>
      <c r="G333" s="28" t="n">
        <f aca="false">IFERROR(INDEX('Semrush Data'!$A$1:$Z$20000,MATCH(A333,'Semrush Data'!$A$1:$A$20000,0),MATCH("Volume",'Semrush Data'!$A$1:$Z$1,0)),"")</f>
        <v>20</v>
      </c>
      <c r="H333" s="6" t="n">
        <f aca="false">IFERROR(INDEX('Semrush Data'!$A$1:$Z$20000,MATCH(A333,'Semrush Data'!$A$1:$A$20000,0),MATCH("Keyword Difficulty*",'Semrush Data'!$A$1:$Z$1,0)),"")</f>
        <v>16</v>
      </c>
      <c r="I333" s="29" t="n">
        <f aca="false">IFERROR(INDEX('Semrush Data'!$A$1:$Z$20000,MATCH(A333,'Semrush Data'!$A$1:$A$20000,0),MATCH("CPC*",'Semrush Data'!$A$1:$Z$1,0)),"")</f>
        <v>0</v>
      </c>
      <c r="J333" s="6" t="str">
        <f aca="false">IFERROR(INDEX('Semrush Data'!$A$1:$Z$20000,MATCH(A333,'Semrush Data'!$A$1:$A$20000,0),MATCH("Intent",'Semrush Data'!$A$1:$Z$1,0)),"")</f>
        <v>Informational Transactional</v>
      </c>
    </row>
    <row r="334" customFormat="false" ht="15" hidden="false" customHeight="true" outlineLevel="0" collapsed="false">
      <c r="A334" s="6" t="s">
        <v>2881</v>
      </c>
      <c r="B334" s="6" t="s">
        <v>41</v>
      </c>
      <c r="C334" s="6" t="n">
        <v>1</v>
      </c>
      <c r="D334" s="6" t="n">
        <v>4</v>
      </c>
      <c r="E334" s="6" t="n">
        <v>1</v>
      </c>
      <c r="F334" s="6" t="s">
        <v>2879</v>
      </c>
      <c r="G334" s="28" t="n">
        <f aca="false">IFERROR(INDEX('Semrush Data'!$A$1:$Z$20000,MATCH(A334,'Semrush Data'!$A$1:$A$20000,0),MATCH("Volume",'Semrush Data'!$A$1:$Z$1,0)),"")</f>
        <v>20</v>
      </c>
      <c r="H334" s="6" t="n">
        <f aca="false">IFERROR(INDEX('Semrush Data'!$A$1:$Z$20000,MATCH(A334,'Semrush Data'!$A$1:$A$20000,0),MATCH("Keyword Difficulty*",'Semrush Data'!$A$1:$Z$1,0)),"")</f>
        <v>9</v>
      </c>
      <c r="I334" s="29" t="n">
        <f aca="false">IFERROR(INDEX('Semrush Data'!$A$1:$Z$20000,MATCH(A334,'Semrush Data'!$A$1:$A$20000,0),MATCH("CPC*",'Semrush Data'!$A$1:$Z$1,0)),"")</f>
        <v>0</v>
      </c>
      <c r="J334" s="6" t="str">
        <f aca="false">IFERROR(INDEX('Semrush Data'!$A$1:$Z$20000,MATCH(A334,'Semrush Data'!$A$1:$A$20000,0),MATCH("Intent",'Semrush Data'!$A$1:$Z$1,0)),"")</f>
        <v>Informational Transactional</v>
      </c>
    </row>
    <row r="335" customFormat="false" ht="15" hidden="false" customHeight="true" outlineLevel="0" collapsed="false">
      <c r="A335" s="6" t="s">
        <v>2893</v>
      </c>
      <c r="B335" s="6" t="s">
        <v>41</v>
      </c>
      <c r="C335" s="6" t="n">
        <v>1</v>
      </c>
      <c r="D335" s="6" t="n">
        <v>4</v>
      </c>
      <c r="E335" s="6" t="n">
        <v>1</v>
      </c>
      <c r="F335" s="6" t="s">
        <v>2890</v>
      </c>
      <c r="G335" s="28" t="n">
        <f aca="false">IFERROR(INDEX('Semrush Data'!$A$1:$Z$20000,MATCH(A335,'Semrush Data'!$A$1:$A$20000,0),MATCH("Volume",'Semrush Data'!$A$1:$Z$1,0)),"")</f>
        <v>20</v>
      </c>
      <c r="H335" s="6" t="n">
        <f aca="false">IFERROR(INDEX('Semrush Data'!$A$1:$Z$20000,MATCH(A335,'Semrush Data'!$A$1:$A$20000,0),MATCH("Keyword Difficulty*",'Semrush Data'!$A$1:$Z$1,0)),"")</f>
        <v>9</v>
      </c>
      <c r="I335" s="29" t="n">
        <f aca="false">IFERROR(INDEX('Semrush Data'!$A$1:$Z$20000,MATCH(A335,'Semrush Data'!$A$1:$A$20000,0),MATCH("CPC*",'Semrush Data'!$A$1:$Z$1,0)),"")</f>
        <v>0</v>
      </c>
      <c r="J335" s="6" t="str">
        <f aca="false">IFERROR(INDEX('Semrush Data'!$A$1:$Z$20000,MATCH(A335,'Semrush Data'!$A$1:$A$20000,0),MATCH("Intent",'Semrush Data'!$A$1:$Z$1,0)),"")</f>
        <v>Informational</v>
      </c>
    </row>
    <row r="336" customFormat="false" ht="15" hidden="false" customHeight="true" outlineLevel="0" collapsed="false">
      <c r="A336" s="6" t="s">
        <v>2906</v>
      </c>
      <c r="B336" s="6" t="s">
        <v>41</v>
      </c>
      <c r="C336" s="6" t="n">
        <v>1</v>
      </c>
      <c r="D336" s="6" t="n">
        <v>4</v>
      </c>
      <c r="E336" s="6" t="n">
        <v>1</v>
      </c>
      <c r="F336" s="6" t="s">
        <v>2903</v>
      </c>
      <c r="G336" s="28" t="n">
        <f aca="false">IFERROR(INDEX('Semrush Data'!$A$1:$Z$20000,MATCH(A336,'Semrush Data'!$A$1:$A$20000,0),MATCH("Volume",'Semrush Data'!$A$1:$Z$1,0)),"")</f>
        <v>30</v>
      </c>
      <c r="H336" s="6" t="n">
        <f aca="false">IFERROR(INDEX('Semrush Data'!$A$1:$Z$20000,MATCH(A336,'Semrush Data'!$A$1:$A$20000,0),MATCH("Keyword Difficulty*",'Semrush Data'!$A$1:$Z$1,0)),"")</f>
        <v>47</v>
      </c>
      <c r="I336" s="29" t="n">
        <f aca="false">IFERROR(INDEX('Semrush Data'!$A$1:$Z$20000,MATCH(A336,'Semrush Data'!$A$1:$A$20000,0),MATCH("CPC*",'Semrush Data'!$A$1:$Z$1,0)),"")</f>
        <v>0</v>
      </c>
      <c r="J336" s="6" t="str">
        <f aca="false">IFERROR(INDEX('Semrush Data'!$A$1:$Z$20000,MATCH(A336,'Semrush Data'!$A$1:$A$20000,0),MATCH("Intent",'Semrush Data'!$A$1:$Z$1,0)),"")</f>
        <v>Informational</v>
      </c>
    </row>
    <row r="337" customFormat="false" ht="15" hidden="false" customHeight="true" outlineLevel="0" collapsed="false">
      <c r="A337" s="6" t="s">
        <v>2919</v>
      </c>
      <c r="B337" s="6" t="s">
        <v>41</v>
      </c>
      <c r="C337" s="6" t="n">
        <v>1</v>
      </c>
      <c r="D337" s="6" t="n">
        <v>4</v>
      </c>
      <c r="E337" s="6" t="n">
        <v>1</v>
      </c>
      <c r="F337" s="6" t="s">
        <v>2916</v>
      </c>
      <c r="G337" s="28" t="n">
        <f aca="false">IFERROR(INDEX('Semrush Data'!$A$1:$Z$20000,MATCH(A337,'Semrush Data'!$A$1:$A$20000,0),MATCH("Volume",'Semrush Data'!$A$1:$Z$1,0)),"")</f>
        <v>90</v>
      </c>
      <c r="H337" s="6" t="n">
        <f aca="false">IFERROR(INDEX('Semrush Data'!$A$1:$Z$20000,MATCH(A337,'Semrush Data'!$A$1:$A$20000,0),MATCH("Keyword Difficulty*",'Semrush Data'!$A$1:$Z$1,0)),"")</f>
        <v>10</v>
      </c>
      <c r="I337" s="29" t="n">
        <f aca="false">IFERROR(INDEX('Semrush Data'!$A$1:$Z$20000,MATCH(A337,'Semrush Data'!$A$1:$A$20000,0),MATCH("CPC*",'Semrush Data'!$A$1:$Z$1,0)),"")</f>
        <v>0</v>
      </c>
      <c r="J337" s="6" t="str">
        <f aca="false">IFERROR(INDEX('Semrush Data'!$A$1:$Z$20000,MATCH(A337,'Semrush Data'!$A$1:$A$20000,0),MATCH("Intent",'Semrush Data'!$A$1:$Z$1,0)),"")</f>
        <v>Informational</v>
      </c>
    </row>
    <row r="338" customFormat="false" ht="15" hidden="false" customHeight="true" outlineLevel="0" collapsed="false">
      <c r="A338" s="6" t="s">
        <v>2957</v>
      </c>
      <c r="B338" s="6" t="s">
        <v>41</v>
      </c>
      <c r="C338" s="6" t="n">
        <v>1</v>
      </c>
      <c r="D338" s="6" t="n">
        <v>4</v>
      </c>
      <c r="E338" s="6" t="n">
        <v>1</v>
      </c>
      <c r="F338" s="6" t="s">
        <v>2955</v>
      </c>
      <c r="G338" s="28" t="n">
        <f aca="false">IFERROR(INDEX('Semrush Data'!$A$1:$Z$20000,MATCH(A338,'Semrush Data'!$A$1:$A$20000,0),MATCH("Volume",'Semrush Data'!$A$1:$Z$1,0)),"")</f>
        <v>140</v>
      </c>
      <c r="H338" s="6" t="n">
        <f aca="false">IFERROR(INDEX('Semrush Data'!$A$1:$Z$20000,MATCH(A338,'Semrush Data'!$A$1:$A$20000,0),MATCH("Keyword Difficulty*",'Semrush Data'!$A$1:$Z$1,0)),"")</f>
        <v>29</v>
      </c>
      <c r="I338" s="29" t="n">
        <f aca="false">IFERROR(INDEX('Semrush Data'!$A$1:$Z$20000,MATCH(A338,'Semrush Data'!$A$1:$A$20000,0),MATCH("CPC*",'Semrush Data'!$A$1:$Z$1,0)),"")</f>
        <v>0</v>
      </c>
      <c r="J338" s="6" t="str">
        <f aca="false">IFERROR(INDEX('Semrush Data'!$A$1:$Z$20000,MATCH(A338,'Semrush Data'!$A$1:$A$20000,0),MATCH("Intent",'Semrush Data'!$A$1:$Z$1,0)),"")</f>
        <v>Informational</v>
      </c>
    </row>
    <row r="339" customFormat="false" ht="15" hidden="false" customHeight="true" outlineLevel="0" collapsed="false">
      <c r="A339" s="6" t="s">
        <v>2992</v>
      </c>
      <c r="B339" s="6" t="s">
        <v>41</v>
      </c>
      <c r="C339" s="6" t="n">
        <v>1</v>
      </c>
      <c r="D339" s="6" t="n">
        <v>4</v>
      </c>
      <c r="E339" s="6" t="n">
        <v>1</v>
      </c>
      <c r="F339" s="6" t="s">
        <v>87</v>
      </c>
      <c r="G339" s="28" t="n">
        <f aca="false">IFERROR(INDEX('Semrush Data'!$A$1:$Z$20000,MATCH(A339,'Semrush Data'!$A$1:$A$20000,0),MATCH("Volume",'Semrush Data'!$A$1:$Z$1,0)),"")</f>
        <v>1300</v>
      </c>
      <c r="H339" s="6" t="n">
        <f aca="false">IFERROR(INDEX('Semrush Data'!$A$1:$Z$20000,MATCH(A339,'Semrush Data'!$A$1:$A$20000,0),MATCH("Keyword Difficulty*",'Semrush Data'!$A$1:$Z$1,0)),"")</f>
        <v>19</v>
      </c>
      <c r="I339" s="29" t="n">
        <f aca="false">IFERROR(INDEX('Semrush Data'!$A$1:$Z$20000,MATCH(A339,'Semrush Data'!$A$1:$A$20000,0),MATCH("CPC*",'Semrush Data'!$A$1:$Z$1,0)),"")</f>
        <v>0.34</v>
      </c>
      <c r="J339" s="6" t="str">
        <f aca="false">IFERROR(INDEX('Semrush Data'!$A$1:$Z$20000,MATCH(A339,'Semrush Data'!$A$1:$A$20000,0),MATCH("Intent",'Semrush Data'!$A$1:$Z$1,0)),"")</f>
        <v>Informational Transactional</v>
      </c>
    </row>
    <row r="340" customFormat="false" ht="15" hidden="false" customHeight="true" outlineLevel="0" collapsed="false">
      <c r="A340" s="6" t="s">
        <v>2979</v>
      </c>
      <c r="B340" s="6" t="s">
        <v>41</v>
      </c>
      <c r="C340" s="6" t="n">
        <v>1</v>
      </c>
      <c r="D340" s="6" t="n">
        <v>4</v>
      </c>
      <c r="E340" s="6" t="n">
        <v>2</v>
      </c>
      <c r="F340" s="6" t="s">
        <v>6841</v>
      </c>
      <c r="G340" s="28" t="n">
        <f aca="false">IFERROR(INDEX('Semrush Data'!$A$1:$Z$20000,MATCH(A340,'Semrush Data'!$A$1:$A$20000,0),MATCH("Volume",'Semrush Data'!$A$1:$Z$1,0)),"")</f>
        <v>0</v>
      </c>
      <c r="H340" s="6" t="n">
        <f aca="false">IFERROR(INDEX('Semrush Data'!$A$1:$Z$20000,MATCH(A340,'Semrush Data'!$A$1:$A$20000,0),MATCH("Keyword Difficulty*",'Semrush Data'!$A$1:$Z$1,0)),"")</f>
        <v>23</v>
      </c>
      <c r="I340" s="29" t="n">
        <f aca="false">IFERROR(INDEX('Semrush Data'!$A$1:$Z$20000,MATCH(A340,'Semrush Data'!$A$1:$A$20000,0),MATCH("CPC*",'Semrush Data'!$A$1:$Z$1,0)),"")</f>
        <v>0</v>
      </c>
      <c r="J340" s="6" t="str">
        <f aca="false">IFERROR(INDEX('Semrush Data'!$A$1:$Z$20000,MATCH(A340,'Semrush Data'!$A$1:$A$20000,0),MATCH("Intent",'Semrush Data'!$A$1:$Z$1,0)),"")</f>
        <v>Informational</v>
      </c>
    </row>
    <row r="341" customFormat="false" ht="15" hidden="false" customHeight="true" outlineLevel="0" collapsed="false">
      <c r="A341" s="6" t="s">
        <v>2935</v>
      </c>
      <c r="B341" s="6" t="s">
        <v>41</v>
      </c>
      <c r="C341" s="6" t="n">
        <v>1</v>
      </c>
      <c r="D341" s="6" t="n">
        <v>4</v>
      </c>
      <c r="E341" s="6" t="n">
        <v>1</v>
      </c>
      <c r="F341" s="6" t="s">
        <v>2929</v>
      </c>
      <c r="G341" s="28" t="n">
        <f aca="false">IFERROR(INDEX('Semrush Data'!$A$1:$Z$20000,MATCH(A341,'Semrush Data'!$A$1:$A$20000,0),MATCH("Volume",'Semrush Data'!$A$1:$Z$1,0)),"")</f>
        <v>0</v>
      </c>
      <c r="H341" s="6" t="n">
        <f aca="false">IFERROR(INDEX('Semrush Data'!$A$1:$Z$20000,MATCH(A341,'Semrush Data'!$A$1:$A$20000,0),MATCH("Keyword Difficulty*",'Semrush Data'!$A$1:$Z$1,0)),"")</f>
        <v>13</v>
      </c>
      <c r="I341" s="29" t="n">
        <f aca="false">IFERROR(INDEX('Semrush Data'!$A$1:$Z$20000,MATCH(A341,'Semrush Data'!$A$1:$A$20000,0),MATCH("CPC*",'Semrush Data'!$A$1:$Z$1,0)),"")</f>
        <v>0</v>
      </c>
      <c r="J341" s="6" t="str">
        <f aca="false">IFERROR(INDEX('Semrush Data'!$A$1:$Z$20000,MATCH(A341,'Semrush Data'!$A$1:$A$20000,0),MATCH("Intent",'Semrush Data'!$A$1:$Z$1,0)),"")</f>
        <v>Informational Commercial</v>
      </c>
    </row>
    <row r="342" customFormat="false" ht="15" hidden="false" customHeight="true" outlineLevel="0" collapsed="false">
      <c r="A342" s="6" t="s">
        <v>3035</v>
      </c>
      <c r="B342" s="6" t="s">
        <v>41</v>
      </c>
      <c r="C342" s="6" t="n">
        <v>1</v>
      </c>
      <c r="D342" s="6" t="n">
        <v>4</v>
      </c>
      <c r="E342" s="6" t="n">
        <v>1</v>
      </c>
      <c r="F342" s="6" t="s">
        <v>3031</v>
      </c>
      <c r="G342" s="28" t="n">
        <f aca="false">IFERROR(INDEX('Semrush Data'!$A$1:$Z$20000,MATCH(A342,'Semrush Data'!$A$1:$A$20000,0),MATCH("Volume",'Semrush Data'!$A$1:$Z$1,0)),"")</f>
        <v>0</v>
      </c>
      <c r="H342" s="6" t="n">
        <f aca="false">IFERROR(INDEX('Semrush Data'!$A$1:$Z$20000,MATCH(A342,'Semrush Data'!$A$1:$A$20000,0),MATCH("Keyword Difficulty*",'Semrush Data'!$A$1:$Z$1,0)),"")</f>
        <v>13</v>
      </c>
      <c r="I342" s="29" t="n">
        <f aca="false">IFERROR(INDEX('Semrush Data'!$A$1:$Z$20000,MATCH(A342,'Semrush Data'!$A$1:$A$20000,0),MATCH("CPC*",'Semrush Data'!$A$1:$Z$1,0)),"")</f>
        <v>0</v>
      </c>
      <c r="J342" s="6" t="str">
        <f aca="false">IFERROR(INDEX('Semrush Data'!$A$1:$Z$20000,MATCH(A342,'Semrush Data'!$A$1:$A$20000,0),MATCH("Intent",'Semrush Data'!$A$1:$Z$1,0)),"")</f>
        <v>Informational</v>
      </c>
    </row>
    <row r="343" customFormat="false" ht="15" hidden="false" customHeight="true" outlineLevel="0" collapsed="false">
      <c r="A343" s="6" t="s">
        <v>3024</v>
      </c>
      <c r="B343" s="6" t="s">
        <v>41</v>
      </c>
      <c r="C343" s="6" t="n">
        <v>1</v>
      </c>
      <c r="D343" s="6" t="n">
        <v>4</v>
      </c>
      <c r="E343" s="6" t="n">
        <v>1</v>
      </c>
      <c r="F343" s="6" t="s">
        <v>3022</v>
      </c>
      <c r="G343" s="28" t="n">
        <f aca="false">IFERROR(INDEX('Semrush Data'!$A$1:$Z$20000,MATCH(A343,'Semrush Data'!$A$1:$A$20000,0),MATCH("Volume",'Semrush Data'!$A$1:$Z$1,0)),"")</f>
        <v>0</v>
      </c>
      <c r="H343" s="6" t="n">
        <f aca="false">IFERROR(INDEX('Semrush Data'!$A$1:$Z$20000,MATCH(A343,'Semrush Data'!$A$1:$A$20000,0),MATCH("Keyword Difficulty*",'Semrush Data'!$A$1:$Z$1,0)),"")</f>
        <v>13</v>
      </c>
      <c r="I343" s="29" t="n">
        <f aca="false">IFERROR(INDEX('Semrush Data'!$A$1:$Z$20000,MATCH(A343,'Semrush Data'!$A$1:$A$20000,0),MATCH("CPC*",'Semrush Data'!$A$1:$Z$1,0)),"")</f>
        <v>0</v>
      </c>
      <c r="J343" s="6" t="str">
        <f aca="false">IFERROR(INDEX('Semrush Data'!$A$1:$Z$20000,MATCH(A343,'Semrush Data'!$A$1:$A$20000,0),MATCH("Intent",'Semrush Data'!$A$1:$Z$1,0)),"")</f>
        <v>Transactional</v>
      </c>
    </row>
    <row r="344" customFormat="false" ht="15" hidden="false" customHeight="true" outlineLevel="0" collapsed="false">
      <c r="A344" s="6" t="s">
        <v>2945</v>
      </c>
      <c r="B344" s="6" t="s">
        <v>41</v>
      </c>
      <c r="C344" s="6" t="n">
        <v>1</v>
      </c>
      <c r="D344" s="6" t="n">
        <v>4</v>
      </c>
      <c r="E344" s="6" t="n">
        <v>1</v>
      </c>
      <c r="F344" s="6" t="s">
        <v>2943</v>
      </c>
      <c r="G344" s="28" t="n">
        <f aca="false">IFERROR(INDEX('Semrush Data'!$A$1:$Z$20000,MATCH(A344,'Semrush Data'!$A$1:$A$20000,0),MATCH("Volume",'Semrush Data'!$A$1:$Z$1,0)),"")</f>
        <v>50</v>
      </c>
      <c r="H344" s="6" t="n">
        <f aca="false">IFERROR(INDEX('Semrush Data'!$A$1:$Z$20000,MATCH(A344,'Semrush Data'!$A$1:$A$20000,0),MATCH("Keyword Difficulty*",'Semrush Data'!$A$1:$Z$1,0)),"")</f>
        <v>15</v>
      </c>
      <c r="I344" s="29" t="n">
        <f aca="false">IFERROR(INDEX('Semrush Data'!$A$1:$Z$20000,MATCH(A344,'Semrush Data'!$A$1:$A$20000,0),MATCH("CPC*",'Semrush Data'!$A$1:$Z$1,0)),"")</f>
        <v>0</v>
      </c>
      <c r="J344" s="6" t="str">
        <f aca="false">IFERROR(INDEX('Semrush Data'!$A$1:$Z$20000,MATCH(A344,'Semrush Data'!$A$1:$A$20000,0),MATCH("Intent",'Semrush Data'!$A$1:$Z$1,0)),"")</f>
        <v>Informational</v>
      </c>
    </row>
    <row r="345" customFormat="false" ht="15" hidden="false" customHeight="true" outlineLevel="0" collapsed="false">
      <c r="A345" s="6" t="s">
        <v>3002</v>
      </c>
      <c r="B345" s="6" t="s">
        <v>41</v>
      </c>
      <c r="C345" s="6" t="n">
        <v>1</v>
      </c>
      <c r="D345" s="6" t="n">
        <v>4</v>
      </c>
      <c r="E345" s="6" t="n">
        <v>1</v>
      </c>
      <c r="F345" s="6" t="s">
        <v>3000</v>
      </c>
      <c r="G345" s="28" t="n">
        <f aca="false">IFERROR(INDEX('Semrush Data'!$A$1:$Z$20000,MATCH(A345,'Semrush Data'!$A$1:$A$20000,0),MATCH("Volume",'Semrush Data'!$A$1:$Z$1,0)),"")</f>
        <v>30</v>
      </c>
      <c r="H345" s="6" t="n">
        <f aca="false">IFERROR(INDEX('Semrush Data'!$A$1:$Z$20000,MATCH(A345,'Semrush Data'!$A$1:$A$20000,0),MATCH("Keyword Difficulty*",'Semrush Data'!$A$1:$Z$1,0)),"")</f>
        <v>9</v>
      </c>
      <c r="I345" s="29" t="n">
        <f aca="false">IFERROR(INDEX('Semrush Data'!$A$1:$Z$20000,MATCH(A345,'Semrush Data'!$A$1:$A$20000,0),MATCH("CPC*",'Semrush Data'!$A$1:$Z$1,0)),"")</f>
        <v>0.59</v>
      </c>
      <c r="J345" s="6" t="str">
        <f aca="false">IFERROR(INDEX('Semrush Data'!$A$1:$Z$20000,MATCH(A345,'Semrush Data'!$A$1:$A$20000,0),MATCH("Intent",'Semrush Data'!$A$1:$Z$1,0)),"")</f>
        <v>Informational</v>
      </c>
    </row>
    <row r="346" customFormat="false" ht="15" hidden="false" customHeight="true" outlineLevel="0" collapsed="false">
      <c r="A346" s="6" t="s">
        <v>3013</v>
      </c>
      <c r="B346" s="6" t="s">
        <v>41</v>
      </c>
      <c r="C346" s="6" t="n">
        <v>1</v>
      </c>
      <c r="D346" s="6" t="n">
        <v>4</v>
      </c>
      <c r="E346" s="6" t="n">
        <v>1</v>
      </c>
      <c r="F346" s="6" t="s">
        <v>3011</v>
      </c>
      <c r="G346" s="28" t="n">
        <f aca="false">IFERROR(INDEX('Semrush Data'!$A$1:$Z$20000,MATCH(A346,'Semrush Data'!$A$1:$A$20000,0),MATCH("Volume",'Semrush Data'!$A$1:$Z$1,0)),"")</f>
        <v>30</v>
      </c>
      <c r="H346" s="6" t="n">
        <f aca="false">IFERROR(INDEX('Semrush Data'!$A$1:$Z$20000,MATCH(A346,'Semrush Data'!$A$1:$A$20000,0),MATCH("Keyword Difficulty*",'Semrush Data'!$A$1:$Z$1,0)),"")</f>
        <v>19</v>
      </c>
      <c r="I346" s="29" t="n">
        <f aca="false">IFERROR(INDEX('Semrush Data'!$A$1:$Z$20000,MATCH(A346,'Semrush Data'!$A$1:$A$20000,0),MATCH("CPC*",'Semrush Data'!$A$1:$Z$1,0)),"")</f>
        <v>0</v>
      </c>
      <c r="J346" s="6" t="str">
        <f aca="false">IFERROR(INDEX('Semrush Data'!$A$1:$Z$20000,MATCH(A346,'Semrush Data'!$A$1:$A$20000,0),MATCH("Intent",'Semrush Data'!$A$1:$Z$1,0)),"")</f>
        <v>Commercial</v>
      </c>
    </row>
    <row r="347" customFormat="false" ht="15" hidden="false" customHeight="true" outlineLevel="0" collapsed="false">
      <c r="A347" s="6" t="s">
        <v>2968</v>
      </c>
      <c r="B347" s="6" t="s">
        <v>41</v>
      </c>
      <c r="C347" s="6" t="n">
        <v>1</v>
      </c>
      <c r="D347" s="6" t="n">
        <v>4</v>
      </c>
      <c r="E347" s="6" t="n">
        <v>1</v>
      </c>
      <c r="F347" s="6" t="s">
        <v>2966</v>
      </c>
      <c r="G347" s="28" t="n">
        <f aca="false">IFERROR(INDEX('Semrush Data'!$A$1:$Z$20000,MATCH(A347,'Semrush Data'!$A$1:$A$20000,0),MATCH("Volume",'Semrush Data'!$A$1:$Z$1,0)),"")</f>
        <v>260</v>
      </c>
      <c r="H347" s="6" t="n">
        <f aca="false">IFERROR(INDEX('Semrush Data'!$A$1:$Z$20000,MATCH(A347,'Semrush Data'!$A$1:$A$20000,0),MATCH("Keyword Difficulty*",'Semrush Data'!$A$1:$Z$1,0)),"")</f>
        <v>16</v>
      </c>
      <c r="I347" s="29" t="n">
        <f aca="false">IFERROR(INDEX('Semrush Data'!$A$1:$Z$20000,MATCH(A347,'Semrush Data'!$A$1:$A$20000,0),MATCH("CPC*",'Semrush Data'!$A$1:$Z$1,0)),"")</f>
        <v>0.99</v>
      </c>
      <c r="J347" s="6" t="str">
        <f aca="false">IFERROR(INDEX('Semrush Data'!$A$1:$Z$20000,MATCH(A347,'Semrush Data'!$A$1:$A$20000,0),MATCH("Intent",'Semrush Data'!$A$1:$Z$1,0)),"")</f>
        <v>Informational Transactional</v>
      </c>
    </row>
    <row r="348" customFormat="false" ht="15" hidden="false" customHeight="true" outlineLevel="0" collapsed="false">
      <c r="A348" s="6" t="s">
        <v>3065</v>
      </c>
      <c r="B348" s="6" t="s">
        <v>41</v>
      </c>
      <c r="C348" s="6" t="n">
        <v>1</v>
      </c>
      <c r="D348" s="6" t="n">
        <v>4</v>
      </c>
      <c r="E348" s="6" t="n">
        <v>1</v>
      </c>
      <c r="F348" s="6" t="s">
        <v>3062</v>
      </c>
      <c r="G348" s="28" t="n">
        <f aca="false">IFERROR(INDEX('Semrush Data'!$A$1:$Z$20000,MATCH(A348,'Semrush Data'!$A$1:$A$20000,0),MATCH("Volume",'Semrush Data'!$A$1:$Z$1,0)),"")</f>
        <v>20</v>
      </c>
      <c r="H348" s="6" t="n">
        <f aca="false">IFERROR(INDEX('Semrush Data'!$A$1:$Z$20000,MATCH(A348,'Semrush Data'!$A$1:$A$20000,0),MATCH("Keyword Difficulty*",'Semrush Data'!$A$1:$Z$1,0)),"")</f>
        <v>20</v>
      </c>
      <c r="I348" s="29" t="n">
        <f aca="false">IFERROR(INDEX('Semrush Data'!$A$1:$Z$20000,MATCH(A348,'Semrush Data'!$A$1:$A$20000,0),MATCH("CPC*",'Semrush Data'!$A$1:$Z$1,0)),"")</f>
        <v>0</v>
      </c>
      <c r="J348" s="6" t="str">
        <f aca="false">IFERROR(INDEX('Semrush Data'!$A$1:$Z$20000,MATCH(A348,'Semrush Data'!$A$1:$A$20000,0),MATCH("Intent",'Semrush Data'!$A$1:$Z$1,0)),"")</f>
        <v>Informational</v>
      </c>
    </row>
    <row r="349" customFormat="false" ht="15" hidden="false" customHeight="true" outlineLevel="0" collapsed="false">
      <c r="A349" s="6" t="s">
        <v>3047</v>
      </c>
      <c r="B349" s="6" t="s">
        <v>41</v>
      </c>
      <c r="C349" s="6" t="n">
        <v>1</v>
      </c>
      <c r="D349" s="6" t="n">
        <v>4</v>
      </c>
      <c r="E349" s="6" t="n">
        <v>2</v>
      </c>
      <c r="F349" s="6" t="s">
        <v>6842</v>
      </c>
      <c r="G349" s="28" t="n">
        <f aca="false">IFERROR(INDEX('Semrush Data'!$A$1:$Z$20000,MATCH(A349,'Semrush Data'!$A$1:$A$20000,0),MATCH("Volume",'Semrush Data'!$A$1:$Z$1,0)),"")</f>
        <v>170</v>
      </c>
      <c r="H349" s="6" t="n">
        <f aca="false">IFERROR(INDEX('Semrush Data'!$A$1:$Z$20000,MATCH(A349,'Semrush Data'!$A$1:$A$20000,0),MATCH("Keyword Difficulty*",'Semrush Data'!$A$1:$Z$1,0)),"")</f>
        <v>24</v>
      </c>
      <c r="I349" s="29" t="n">
        <f aca="false">IFERROR(INDEX('Semrush Data'!$A$1:$Z$20000,MATCH(A349,'Semrush Data'!$A$1:$A$20000,0),MATCH("CPC*",'Semrush Data'!$A$1:$Z$1,0)),"")</f>
        <v>0.62</v>
      </c>
      <c r="J349" s="6" t="str">
        <f aca="false">IFERROR(INDEX('Semrush Data'!$A$1:$Z$20000,MATCH(A349,'Semrush Data'!$A$1:$A$20000,0),MATCH("Intent",'Semrush Data'!$A$1:$Z$1,0)),"")</f>
        <v>Informational Transactional</v>
      </c>
    </row>
    <row r="350" customFormat="false" ht="15" hidden="false" customHeight="true" outlineLevel="0" collapsed="false">
      <c r="A350" s="6" t="s">
        <v>3076</v>
      </c>
      <c r="B350" s="6" t="s">
        <v>41</v>
      </c>
      <c r="C350" s="6" t="n">
        <v>1</v>
      </c>
      <c r="D350" s="6" t="n">
        <v>4</v>
      </c>
      <c r="E350" s="6" t="n">
        <v>2</v>
      </c>
      <c r="F350" s="6" t="s">
        <v>6843</v>
      </c>
      <c r="G350" s="28" t="n">
        <f aca="false">IFERROR(INDEX('Semrush Data'!$A$1:$Z$20000,MATCH(A350,'Semrush Data'!$A$1:$A$20000,0),MATCH("Volume",'Semrush Data'!$A$1:$Z$1,0)),"")</f>
        <v>210</v>
      </c>
      <c r="H350" s="6" t="n">
        <f aca="false">IFERROR(INDEX('Semrush Data'!$A$1:$Z$20000,MATCH(A350,'Semrush Data'!$A$1:$A$20000,0),MATCH("Keyword Difficulty*",'Semrush Data'!$A$1:$Z$1,0)),"")</f>
        <v>18</v>
      </c>
      <c r="I350" s="29" t="n">
        <f aca="false">IFERROR(INDEX('Semrush Data'!$A$1:$Z$20000,MATCH(A350,'Semrush Data'!$A$1:$A$20000,0),MATCH("CPC*",'Semrush Data'!$A$1:$Z$1,0)),"")</f>
        <v>1.28</v>
      </c>
      <c r="J350" s="6" t="str">
        <f aca="false">IFERROR(INDEX('Semrush Data'!$A$1:$Z$20000,MATCH(A350,'Semrush Data'!$A$1:$A$20000,0),MATCH("Intent",'Semrush Data'!$A$1:$Z$1,0)),"")</f>
        <v>Informational Transactional</v>
      </c>
    </row>
    <row r="351" customFormat="false" ht="15" hidden="false" customHeight="true" outlineLevel="0" collapsed="false">
      <c r="A351" s="6" t="s">
        <v>3123</v>
      </c>
      <c r="B351" s="6" t="s">
        <v>41</v>
      </c>
      <c r="C351" s="6" t="n">
        <v>1</v>
      </c>
      <c r="D351" s="6" t="n">
        <v>4</v>
      </c>
      <c r="E351" s="6" t="n">
        <v>1</v>
      </c>
      <c r="F351" s="6" t="s">
        <v>3121</v>
      </c>
      <c r="G351" s="28" t="n">
        <f aca="false">IFERROR(INDEX('Semrush Data'!$A$1:$Z$20000,MATCH(A351,'Semrush Data'!$A$1:$A$20000,0),MATCH("Volume",'Semrush Data'!$A$1:$Z$1,0)),"")</f>
        <v>20</v>
      </c>
      <c r="H351" s="6" t="n">
        <f aca="false">IFERROR(INDEX('Semrush Data'!$A$1:$Z$20000,MATCH(A351,'Semrush Data'!$A$1:$A$20000,0),MATCH("Keyword Difficulty*",'Semrush Data'!$A$1:$Z$1,0)),"")</f>
        <v>12</v>
      </c>
      <c r="I351" s="29" t="n">
        <f aca="false">IFERROR(INDEX('Semrush Data'!$A$1:$Z$20000,MATCH(A351,'Semrush Data'!$A$1:$A$20000,0),MATCH("CPC*",'Semrush Data'!$A$1:$Z$1,0)),"")</f>
        <v>0</v>
      </c>
      <c r="J351" s="6" t="str">
        <f aca="false">IFERROR(INDEX('Semrush Data'!$A$1:$Z$20000,MATCH(A351,'Semrush Data'!$A$1:$A$20000,0),MATCH("Intent",'Semrush Data'!$A$1:$Z$1,0)),"")</f>
        <v>Informational</v>
      </c>
    </row>
    <row r="352" customFormat="false" ht="15" hidden="false" customHeight="true" outlineLevel="0" collapsed="false">
      <c r="A352" s="6" t="s">
        <v>3089</v>
      </c>
      <c r="B352" s="6" t="s">
        <v>41</v>
      </c>
      <c r="C352" s="6" t="n">
        <v>1</v>
      </c>
      <c r="D352" s="6" t="n">
        <v>4</v>
      </c>
      <c r="E352" s="6" t="n">
        <v>1</v>
      </c>
      <c r="F352" s="6" t="s">
        <v>79</v>
      </c>
      <c r="G352" s="28" t="n">
        <f aca="false">IFERROR(INDEX('Semrush Data'!$A$1:$Z$20000,MATCH(A352,'Semrush Data'!$A$1:$A$20000,0),MATCH("Volume",'Semrush Data'!$A$1:$Z$1,0)),"")</f>
        <v>1900</v>
      </c>
      <c r="H352" s="6" t="n">
        <f aca="false">IFERROR(INDEX('Semrush Data'!$A$1:$Z$20000,MATCH(A352,'Semrush Data'!$A$1:$A$20000,0),MATCH("Keyword Difficulty*",'Semrush Data'!$A$1:$Z$1,0)),"")</f>
        <v>16</v>
      </c>
      <c r="I352" s="29" t="n">
        <f aca="false">IFERROR(INDEX('Semrush Data'!$A$1:$Z$20000,MATCH(A352,'Semrush Data'!$A$1:$A$20000,0),MATCH("CPC*",'Semrush Data'!$A$1:$Z$1,0)),"")</f>
        <v>0.41</v>
      </c>
      <c r="J352" s="6" t="str">
        <f aca="false">IFERROR(INDEX('Semrush Data'!$A$1:$Z$20000,MATCH(A352,'Semrush Data'!$A$1:$A$20000,0),MATCH("Intent",'Semrush Data'!$A$1:$Z$1,0)),"")</f>
        <v>Informational</v>
      </c>
    </row>
    <row r="353" customFormat="false" ht="15" hidden="false" customHeight="true" outlineLevel="0" collapsed="false">
      <c r="A353" s="6" t="s">
        <v>3133</v>
      </c>
      <c r="B353" s="6" t="s">
        <v>41</v>
      </c>
      <c r="C353" s="6" t="n">
        <v>1</v>
      </c>
      <c r="D353" s="6" t="n">
        <v>4</v>
      </c>
      <c r="E353" s="6" t="n">
        <v>1</v>
      </c>
      <c r="F353" s="6" t="s">
        <v>3131</v>
      </c>
      <c r="G353" s="28" t="n">
        <f aca="false">IFERROR(INDEX('Semrush Data'!$A$1:$Z$20000,MATCH(A353,'Semrush Data'!$A$1:$A$20000,0),MATCH("Volume",'Semrush Data'!$A$1:$Z$1,0)),"")</f>
        <v>20</v>
      </c>
      <c r="H353" s="6" t="n">
        <f aca="false">IFERROR(INDEX('Semrush Data'!$A$1:$Z$20000,MATCH(A353,'Semrush Data'!$A$1:$A$20000,0),MATCH("Keyword Difficulty*",'Semrush Data'!$A$1:$Z$1,0)),"")</f>
        <v>16</v>
      </c>
      <c r="I353" s="29" t="n">
        <f aca="false">IFERROR(INDEX('Semrush Data'!$A$1:$Z$20000,MATCH(A353,'Semrush Data'!$A$1:$A$20000,0),MATCH("CPC*",'Semrush Data'!$A$1:$Z$1,0)),"")</f>
        <v>0</v>
      </c>
      <c r="J353" s="6" t="str">
        <f aca="false">IFERROR(INDEX('Semrush Data'!$A$1:$Z$20000,MATCH(A353,'Semrush Data'!$A$1:$A$20000,0),MATCH("Intent",'Semrush Data'!$A$1:$Z$1,0)),"")</f>
        <v>Informational Transactional</v>
      </c>
    </row>
    <row r="354" customFormat="false" ht="15" hidden="false" customHeight="true" outlineLevel="0" collapsed="false">
      <c r="A354" s="6" t="s">
        <v>3143</v>
      </c>
      <c r="B354" s="6" t="s">
        <v>41</v>
      </c>
      <c r="C354" s="6" t="n">
        <v>1</v>
      </c>
      <c r="D354" s="6" t="n">
        <v>4</v>
      </c>
      <c r="E354" s="6" t="n">
        <v>1</v>
      </c>
      <c r="F354" s="6" t="s">
        <v>3141</v>
      </c>
      <c r="G354" s="28" t="n">
        <f aca="false">IFERROR(INDEX('Semrush Data'!$A$1:$Z$20000,MATCH(A354,'Semrush Data'!$A$1:$A$20000,0),MATCH("Volume",'Semrush Data'!$A$1:$Z$1,0)),"")</f>
        <v>20</v>
      </c>
      <c r="H354" s="6" t="n">
        <f aca="false">IFERROR(INDEX('Semrush Data'!$A$1:$Z$20000,MATCH(A354,'Semrush Data'!$A$1:$A$20000,0),MATCH("Keyword Difficulty*",'Semrush Data'!$A$1:$Z$1,0)),"")</f>
        <v>11</v>
      </c>
      <c r="I354" s="29" t="n">
        <f aca="false">IFERROR(INDEX('Semrush Data'!$A$1:$Z$20000,MATCH(A354,'Semrush Data'!$A$1:$A$20000,0),MATCH("CPC*",'Semrush Data'!$A$1:$Z$1,0)),"")</f>
        <v>0</v>
      </c>
      <c r="J354" s="6" t="str">
        <f aca="false">IFERROR(INDEX('Semrush Data'!$A$1:$Z$20000,MATCH(A354,'Semrush Data'!$A$1:$A$20000,0),MATCH("Intent",'Semrush Data'!$A$1:$Z$1,0)),"")</f>
        <v>Informational Transactional</v>
      </c>
    </row>
    <row r="355" customFormat="false" ht="15" hidden="false" customHeight="true" outlineLevel="0" collapsed="false">
      <c r="A355" s="6" t="s">
        <v>3153</v>
      </c>
      <c r="B355" s="6" t="s">
        <v>41</v>
      </c>
      <c r="C355" s="6" t="n">
        <v>1</v>
      </c>
      <c r="D355" s="6" t="n">
        <v>4</v>
      </c>
      <c r="E355" s="6" t="n">
        <v>1</v>
      </c>
      <c r="F355" s="6" t="s">
        <v>3151</v>
      </c>
      <c r="G355" s="28" t="n">
        <f aca="false">IFERROR(INDEX('Semrush Data'!$A$1:$Z$20000,MATCH(A355,'Semrush Data'!$A$1:$A$20000,0),MATCH("Volume",'Semrush Data'!$A$1:$Z$1,0)),"")</f>
        <v>20</v>
      </c>
      <c r="H355" s="6" t="n">
        <f aca="false">IFERROR(INDEX('Semrush Data'!$A$1:$Z$20000,MATCH(A355,'Semrush Data'!$A$1:$A$20000,0),MATCH("Keyword Difficulty*",'Semrush Data'!$A$1:$Z$1,0)),"")</f>
        <v>14</v>
      </c>
      <c r="I355" s="29" t="n">
        <f aca="false">IFERROR(INDEX('Semrush Data'!$A$1:$Z$20000,MATCH(A355,'Semrush Data'!$A$1:$A$20000,0),MATCH("CPC*",'Semrush Data'!$A$1:$Z$1,0)),"")</f>
        <v>0.48</v>
      </c>
      <c r="J355" s="6" t="str">
        <f aca="false">IFERROR(INDEX('Semrush Data'!$A$1:$Z$20000,MATCH(A355,'Semrush Data'!$A$1:$A$20000,0),MATCH("Intent",'Semrush Data'!$A$1:$Z$1,0)),"")</f>
        <v>Informational Transactional</v>
      </c>
    </row>
    <row r="356" customFormat="false" ht="15" hidden="false" customHeight="true" outlineLevel="0" collapsed="false">
      <c r="A356" s="6" t="s">
        <v>3112</v>
      </c>
      <c r="B356" s="6" t="s">
        <v>41</v>
      </c>
      <c r="C356" s="6" t="n">
        <v>1</v>
      </c>
      <c r="D356" s="6" t="n">
        <v>4</v>
      </c>
      <c r="E356" s="6" t="n">
        <v>1</v>
      </c>
      <c r="F356" s="6" t="s">
        <v>145</v>
      </c>
      <c r="G356" s="28" t="n">
        <f aca="false">IFERROR(INDEX('Semrush Data'!$A$1:$Z$20000,MATCH(A356,'Semrush Data'!$A$1:$A$20000,0),MATCH("Volume",'Semrush Data'!$A$1:$Z$1,0)),"")</f>
        <v>320</v>
      </c>
      <c r="H356" s="6" t="n">
        <f aca="false">IFERROR(INDEX('Semrush Data'!$A$1:$Z$20000,MATCH(A356,'Semrush Data'!$A$1:$A$20000,0),MATCH("Keyword Difficulty*",'Semrush Data'!$A$1:$Z$1,0)),"")</f>
        <v>18</v>
      </c>
      <c r="I356" s="29" t="n">
        <f aca="false">IFERROR(INDEX('Semrush Data'!$A$1:$Z$20000,MATCH(A356,'Semrush Data'!$A$1:$A$20000,0),MATCH("CPC*",'Semrush Data'!$A$1:$Z$1,0)),"")</f>
        <v>0.41</v>
      </c>
      <c r="J356" s="6" t="str">
        <f aca="false">IFERROR(INDEX('Semrush Data'!$A$1:$Z$20000,MATCH(A356,'Semrush Data'!$A$1:$A$20000,0),MATCH("Intent",'Semrush Data'!$A$1:$Z$1,0)),"")</f>
        <v>Informational</v>
      </c>
    </row>
    <row r="357" customFormat="false" ht="15" hidden="false" customHeight="true" outlineLevel="0" collapsed="false">
      <c r="A357" s="6" t="s">
        <v>3163</v>
      </c>
      <c r="B357" s="6" t="s">
        <v>41</v>
      </c>
      <c r="C357" s="6" t="n">
        <v>1</v>
      </c>
      <c r="D357" s="6" t="n">
        <v>4</v>
      </c>
      <c r="E357" s="6" t="n">
        <v>1</v>
      </c>
      <c r="F357" s="6" t="s">
        <v>3161</v>
      </c>
      <c r="G357" s="28" t="n">
        <f aca="false">IFERROR(INDEX('Semrush Data'!$A$1:$Z$20000,MATCH(A357,'Semrush Data'!$A$1:$A$20000,0),MATCH("Volume",'Semrush Data'!$A$1:$Z$1,0)),"")</f>
        <v>20</v>
      </c>
      <c r="H357" s="6" t="n">
        <f aca="false">IFERROR(INDEX('Semrush Data'!$A$1:$Z$20000,MATCH(A357,'Semrush Data'!$A$1:$A$20000,0),MATCH("Keyword Difficulty*",'Semrush Data'!$A$1:$Z$1,0)),"")</f>
        <v>12</v>
      </c>
      <c r="I357" s="29" t="n">
        <f aca="false">IFERROR(INDEX('Semrush Data'!$A$1:$Z$20000,MATCH(A357,'Semrush Data'!$A$1:$A$20000,0),MATCH("CPC*",'Semrush Data'!$A$1:$Z$1,0)),"")</f>
        <v>0</v>
      </c>
      <c r="J357" s="6" t="str">
        <f aca="false">IFERROR(INDEX('Semrush Data'!$A$1:$Z$20000,MATCH(A357,'Semrush Data'!$A$1:$A$20000,0),MATCH("Intent",'Semrush Data'!$A$1:$Z$1,0)),"")</f>
        <v>Informational Transactional</v>
      </c>
    </row>
    <row r="358" customFormat="false" ht="15" hidden="false" customHeight="true" outlineLevel="0" collapsed="false">
      <c r="A358" s="6" t="s">
        <v>3101</v>
      </c>
      <c r="B358" s="6" t="s">
        <v>41</v>
      </c>
      <c r="C358" s="6" t="n">
        <v>1</v>
      </c>
      <c r="D358" s="6" t="n">
        <v>4</v>
      </c>
      <c r="E358" s="6" t="n">
        <v>1</v>
      </c>
      <c r="F358" s="6" t="s">
        <v>3099</v>
      </c>
      <c r="G358" s="28" t="n">
        <f aca="false">IFERROR(INDEX('Semrush Data'!$A$1:$Z$20000,MATCH(A358,'Semrush Data'!$A$1:$A$20000,0),MATCH("Volume",'Semrush Data'!$A$1:$Z$1,0)),"")</f>
        <v>30</v>
      </c>
      <c r="H358" s="6" t="n">
        <f aca="false">IFERROR(INDEX('Semrush Data'!$A$1:$Z$20000,MATCH(A358,'Semrush Data'!$A$1:$A$20000,0),MATCH("Keyword Difficulty*",'Semrush Data'!$A$1:$Z$1,0)),"")</f>
        <v>20</v>
      </c>
      <c r="I358" s="29" t="n">
        <f aca="false">IFERROR(INDEX('Semrush Data'!$A$1:$Z$20000,MATCH(A358,'Semrush Data'!$A$1:$A$20000,0),MATCH("CPC*",'Semrush Data'!$A$1:$Z$1,0)),"")</f>
        <v>0</v>
      </c>
      <c r="J358" s="6" t="str">
        <f aca="false">IFERROR(INDEX('Semrush Data'!$A$1:$Z$20000,MATCH(A358,'Semrush Data'!$A$1:$A$20000,0),MATCH("Intent",'Semrush Data'!$A$1:$Z$1,0)),"")</f>
        <v>Informational</v>
      </c>
    </row>
    <row r="359" customFormat="false" ht="15" hidden="false" customHeight="true" outlineLevel="0" collapsed="false">
      <c r="A359" s="6" t="s">
        <v>3233</v>
      </c>
      <c r="B359" s="6" t="s">
        <v>41</v>
      </c>
      <c r="C359" s="6" t="n">
        <v>1</v>
      </c>
      <c r="D359" s="6" t="n">
        <v>4</v>
      </c>
      <c r="E359" s="6" t="n">
        <v>2</v>
      </c>
      <c r="F359" s="6" t="s">
        <v>6844</v>
      </c>
      <c r="G359" s="28" t="n">
        <f aca="false">IFERROR(INDEX('Semrush Data'!$A$1:$Z$20000,MATCH(A359,'Semrush Data'!$A$1:$A$20000,0),MATCH("Volume",'Semrush Data'!$A$1:$Z$1,0)),"")</f>
        <v>1000</v>
      </c>
      <c r="H359" s="6" t="n">
        <f aca="false">IFERROR(INDEX('Semrush Data'!$A$1:$Z$20000,MATCH(A359,'Semrush Data'!$A$1:$A$20000,0),MATCH("Keyword Difficulty*",'Semrush Data'!$A$1:$Z$1,0)),"")</f>
        <v>18</v>
      </c>
      <c r="I359" s="29" t="n">
        <f aca="false">IFERROR(INDEX('Semrush Data'!$A$1:$Z$20000,MATCH(A359,'Semrush Data'!$A$1:$A$20000,0),MATCH("CPC*",'Semrush Data'!$A$1:$Z$1,0)),"")</f>
        <v>0.42</v>
      </c>
      <c r="J359" s="6" t="str">
        <f aca="false">IFERROR(INDEX('Semrush Data'!$A$1:$Z$20000,MATCH(A359,'Semrush Data'!$A$1:$A$20000,0),MATCH("Intent",'Semrush Data'!$A$1:$Z$1,0)),"")</f>
        <v>Informational</v>
      </c>
    </row>
    <row r="360" customFormat="false" ht="15" hidden="false" customHeight="true" outlineLevel="0" collapsed="false">
      <c r="A360" s="6" t="s">
        <v>3174</v>
      </c>
      <c r="B360" s="6" t="s">
        <v>41</v>
      </c>
      <c r="C360" s="6" t="n">
        <v>1</v>
      </c>
      <c r="D360" s="6" t="n">
        <v>4</v>
      </c>
      <c r="E360" s="6" t="n">
        <v>1</v>
      </c>
      <c r="F360" s="6" t="s">
        <v>3171</v>
      </c>
      <c r="G360" s="28" t="n">
        <f aca="false">IFERROR(INDEX('Semrush Data'!$A$1:$Z$20000,MATCH(A360,'Semrush Data'!$A$1:$A$20000,0),MATCH("Volume",'Semrush Data'!$A$1:$Z$1,0)),"")</f>
        <v>0</v>
      </c>
      <c r="H360" s="6" t="n">
        <f aca="false">IFERROR(INDEX('Semrush Data'!$A$1:$Z$20000,MATCH(A360,'Semrush Data'!$A$1:$A$20000,0),MATCH("Keyword Difficulty*",'Semrush Data'!$A$1:$Z$1,0)),"")</f>
        <v>19</v>
      </c>
      <c r="I360" s="29" t="n">
        <f aca="false">IFERROR(INDEX('Semrush Data'!$A$1:$Z$20000,MATCH(A360,'Semrush Data'!$A$1:$A$20000,0),MATCH("CPC*",'Semrush Data'!$A$1:$Z$1,0)),"")</f>
        <v>0</v>
      </c>
      <c r="J360" s="6" t="str">
        <f aca="false">IFERROR(INDEX('Semrush Data'!$A$1:$Z$20000,MATCH(A360,'Semrush Data'!$A$1:$A$20000,0),MATCH("Intent",'Semrush Data'!$A$1:$Z$1,0)),"")</f>
        <v>Informational Transactional</v>
      </c>
    </row>
    <row r="361" customFormat="false" ht="15" hidden="false" customHeight="true" outlineLevel="0" collapsed="false">
      <c r="A361" s="6" t="s">
        <v>3224</v>
      </c>
      <c r="B361" s="6" t="s">
        <v>41</v>
      </c>
      <c r="C361" s="6" t="n">
        <v>1</v>
      </c>
      <c r="D361" s="6" t="n">
        <v>4</v>
      </c>
      <c r="E361" s="6" t="n">
        <v>1</v>
      </c>
      <c r="F361" s="6" t="s">
        <v>3222</v>
      </c>
      <c r="G361" s="28" t="n">
        <f aca="false">IFERROR(INDEX('Semrush Data'!$A$1:$Z$20000,MATCH(A361,'Semrush Data'!$A$1:$A$20000,0),MATCH("Volume",'Semrush Data'!$A$1:$Z$1,0)),"")</f>
        <v>0</v>
      </c>
      <c r="H361" s="6" t="n">
        <f aca="false">IFERROR(INDEX('Semrush Data'!$A$1:$Z$20000,MATCH(A361,'Semrush Data'!$A$1:$A$20000,0),MATCH("Keyword Difficulty*",'Semrush Data'!$A$1:$Z$1,0)),"")</f>
        <v>22</v>
      </c>
      <c r="I361" s="29" t="n">
        <f aca="false">IFERROR(INDEX('Semrush Data'!$A$1:$Z$20000,MATCH(A361,'Semrush Data'!$A$1:$A$20000,0),MATCH("CPC*",'Semrush Data'!$A$1:$Z$1,0)),"")</f>
        <v>0</v>
      </c>
      <c r="J361" s="6" t="str">
        <f aca="false">IFERROR(INDEX('Semrush Data'!$A$1:$Z$20000,MATCH(A361,'Semrush Data'!$A$1:$A$20000,0),MATCH("Intent",'Semrush Data'!$A$1:$Z$1,0)),"")</f>
        <v>Informational</v>
      </c>
    </row>
    <row r="362" customFormat="false" ht="15" hidden="false" customHeight="true" outlineLevel="0" collapsed="false">
      <c r="A362" s="6" t="s">
        <v>3183</v>
      </c>
      <c r="B362" s="6" t="s">
        <v>41</v>
      </c>
      <c r="C362" s="6" t="n">
        <v>1</v>
      </c>
      <c r="D362" s="6" t="n">
        <v>4</v>
      </c>
      <c r="E362" s="6" t="n">
        <v>2</v>
      </c>
      <c r="F362" s="6" t="s">
        <v>6845</v>
      </c>
      <c r="G362" s="28" t="n">
        <f aca="false">IFERROR(INDEX('Semrush Data'!$A$1:$Z$20000,MATCH(A362,'Semrush Data'!$A$1:$A$20000,0),MATCH("Volume",'Semrush Data'!$A$1:$Z$1,0)),"")</f>
        <v>4400</v>
      </c>
      <c r="H362" s="6" t="n">
        <f aca="false">IFERROR(INDEX('Semrush Data'!$A$1:$Z$20000,MATCH(A362,'Semrush Data'!$A$1:$A$20000,0),MATCH("Keyword Difficulty*",'Semrush Data'!$A$1:$Z$1,0)),"")</f>
        <v>21</v>
      </c>
      <c r="I362" s="29" t="n">
        <f aca="false">IFERROR(INDEX('Semrush Data'!$A$1:$Z$20000,MATCH(A362,'Semrush Data'!$A$1:$A$20000,0),MATCH("CPC*",'Semrush Data'!$A$1:$Z$1,0)),"")</f>
        <v>0.37</v>
      </c>
      <c r="J362" s="6" t="str">
        <f aca="false">IFERROR(INDEX('Semrush Data'!$A$1:$Z$20000,MATCH(A362,'Semrush Data'!$A$1:$A$20000,0),MATCH("Intent",'Semrush Data'!$A$1:$Z$1,0)),"")</f>
        <v>Informational</v>
      </c>
    </row>
    <row r="363" customFormat="false" ht="15" hidden="false" customHeight="true" outlineLevel="0" collapsed="false">
      <c r="A363" s="6" t="s">
        <v>3245</v>
      </c>
      <c r="B363" s="6" t="s">
        <v>41</v>
      </c>
      <c r="C363" s="6" t="n">
        <v>1</v>
      </c>
      <c r="D363" s="6" t="n">
        <v>4</v>
      </c>
      <c r="E363" s="6" t="n">
        <v>2</v>
      </c>
      <c r="F363" s="6" t="s">
        <v>6846</v>
      </c>
      <c r="G363" s="28" t="n">
        <f aca="false">IFERROR(INDEX('Semrush Data'!$A$1:$Z$20000,MATCH(A363,'Semrush Data'!$A$1:$A$20000,0),MATCH("Volume",'Semrush Data'!$A$1:$Z$1,0)),"")</f>
        <v>0</v>
      </c>
      <c r="H363" s="6" t="n">
        <f aca="false">IFERROR(INDEX('Semrush Data'!$A$1:$Z$20000,MATCH(A363,'Semrush Data'!$A$1:$A$20000,0),MATCH("Keyword Difficulty*",'Semrush Data'!$A$1:$Z$1,0)),"")</f>
        <v>17</v>
      </c>
      <c r="I363" s="29" t="n">
        <f aca="false">IFERROR(INDEX('Semrush Data'!$A$1:$Z$20000,MATCH(A363,'Semrush Data'!$A$1:$A$20000,0),MATCH("CPC*",'Semrush Data'!$A$1:$Z$1,0)),"")</f>
        <v>0</v>
      </c>
      <c r="J363" s="6" t="str">
        <f aca="false">IFERROR(INDEX('Semrush Data'!$A$1:$Z$20000,MATCH(A363,'Semrush Data'!$A$1:$A$20000,0),MATCH("Intent",'Semrush Data'!$A$1:$Z$1,0)),"")</f>
        <v>Informational Transactional</v>
      </c>
    </row>
    <row r="364" customFormat="false" ht="15" hidden="false" customHeight="true" outlineLevel="0" collapsed="false">
      <c r="A364" s="6" t="s">
        <v>3258</v>
      </c>
      <c r="B364" s="6" t="s">
        <v>41</v>
      </c>
      <c r="C364" s="6" t="n">
        <v>1</v>
      </c>
      <c r="D364" s="6" t="n">
        <v>4</v>
      </c>
      <c r="E364" s="6" t="n">
        <v>1</v>
      </c>
      <c r="F364" s="6" t="s">
        <v>3256</v>
      </c>
      <c r="G364" s="28" t="n">
        <f aca="false">IFERROR(INDEX('Semrush Data'!$A$1:$Z$20000,MATCH(A364,'Semrush Data'!$A$1:$A$20000,0),MATCH("Volume",'Semrush Data'!$A$1:$Z$1,0)),"")</f>
        <v>0</v>
      </c>
      <c r="H364" s="6" t="n">
        <f aca="false">IFERROR(INDEX('Semrush Data'!$A$1:$Z$20000,MATCH(A364,'Semrush Data'!$A$1:$A$20000,0),MATCH("Keyword Difficulty*",'Semrush Data'!$A$1:$Z$1,0)),"")</f>
        <v>16</v>
      </c>
      <c r="I364" s="29" t="n">
        <f aca="false">IFERROR(INDEX('Semrush Data'!$A$1:$Z$20000,MATCH(A364,'Semrush Data'!$A$1:$A$20000,0),MATCH("CPC*",'Semrush Data'!$A$1:$Z$1,0)),"")</f>
        <v>0</v>
      </c>
      <c r="J364" s="6" t="str">
        <f aca="false">IFERROR(INDEX('Semrush Data'!$A$1:$Z$20000,MATCH(A364,'Semrush Data'!$A$1:$A$20000,0),MATCH("Intent",'Semrush Data'!$A$1:$Z$1,0)),"")</f>
        <v>Informational</v>
      </c>
    </row>
    <row r="365" customFormat="false" ht="15" hidden="false" customHeight="true" outlineLevel="0" collapsed="false">
      <c r="A365" s="6" t="s">
        <v>3213</v>
      </c>
      <c r="B365" s="6" t="s">
        <v>41</v>
      </c>
      <c r="C365" s="6" t="n">
        <v>1</v>
      </c>
      <c r="D365" s="6" t="n">
        <v>4</v>
      </c>
      <c r="E365" s="6" t="n">
        <v>1</v>
      </c>
      <c r="F365" s="6" t="s">
        <v>3210</v>
      </c>
      <c r="G365" s="28" t="n">
        <f aca="false">IFERROR(INDEX('Semrush Data'!$A$1:$Z$20000,MATCH(A365,'Semrush Data'!$A$1:$A$20000,0),MATCH("Volume",'Semrush Data'!$A$1:$Z$1,0)),"")</f>
        <v>20</v>
      </c>
      <c r="H365" s="6" t="n">
        <f aca="false">IFERROR(INDEX('Semrush Data'!$A$1:$Z$20000,MATCH(A365,'Semrush Data'!$A$1:$A$20000,0),MATCH("Keyword Difficulty*",'Semrush Data'!$A$1:$Z$1,0)),"")</f>
        <v>13</v>
      </c>
      <c r="I365" s="29" t="n">
        <f aca="false">IFERROR(INDEX('Semrush Data'!$A$1:$Z$20000,MATCH(A365,'Semrush Data'!$A$1:$A$20000,0),MATCH("CPC*",'Semrush Data'!$A$1:$Z$1,0)),"")</f>
        <v>0</v>
      </c>
      <c r="J365" s="6" t="str">
        <f aca="false">IFERROR(INDEX('Semrush Data'!$A$1:$Z$20000,MATCH(A365,'Semrush Data'!$A$1:$A$20000,0),MATCH("Intent",'Semrush Data'!$A$1:$Z$1,0)),"")</f>
        <v>Informational</v>
      </c>
    </row>
    <row r="366" customFormat="false" ht="15" hidden="false" customHeight="true" outlineLevel="0" collapsed="false">
      <c r="A366" s="6" t="s">
        <v>3195</v>
      </c>
      <c r="B366" s="6" t="s">
        <v>41</v>
      </c>
      <c r="C366" s="6" t="n">
        <v>1</v>
      </c>
      <c r="D366" s="6" t="n">
        <v>4</v>
      </c>
      <c r="E366" s="6" t="n">
        <v>1</v>
      </c>
      <c r="F366" s="6" t="s">
        <v>3193</v>
      </c>
      <c r="G366" s="28" t="n">
        <f aca="false">IFERROR(INDEX('Semrush Data'!$A$1:$Z$20000,MATCH(A366,'Semrush Data'!$A$1:$A$20000,0),MATCH("Volume",'Semrush Data'!$A$1:$Z$1,0)),"")</f>
        <v>0</v>
      </c>
      <c r="H366" s="6" t="n">
        <f aca="false">IFERROR(INDEX('Semrush Data'!$A$1:$Z$20000,MATCH(A366,'Semrush Data'!$A$1:$A$20000,0),MATCH("Keyword Difficulty*",'Semrush Data'!$A$1:$Z$1,0)),"")</f>
        <v>17</v>
      </c>
      <c r="I366" s="29" t="n">
        <f aca="false">IFERROR(INDEX('Semrush Data'!$A$1:$Z$20000,MATCH(A366,'Semrush Data'!$A$1:$A$20000,0),MATCH("CPC*",'Semrush Data'!$A$1:$Z$1,0)),"")</f>
        <v>0</v>
      </c>
      <c r="J366" s="6" t="str">
        <f aca="false">IFERROR(INDEX('Semrush Data'!$A$1:$Z$20000,MATCH(A366,'Semrush Data'!$A$1:$A$20000,0),MATCH("Intent",'Semrush Data'!$A$1:$Z$1,0)),"")</f>
        <v>Informational</v>
      </c>
    </row>
    <row r="367" customFormat="false" ht="15" hidden="false" customHeight="true" outlineLevel="0" collapsed="false">
      <c r="A367" s="6" t="s">
        <v>3311</v>
      </c>
      <c r="B367" s="6" t="s">
        <v>41</v>
      </c>
      <c r="C367" s="6" t="n">
        <v>1</v>
      </c>
      <c r="D367" s="6" t="n">
        <v>4</v>
      </c>
      <c r="E367" s="6" t="n">
        <v>1</v>
      </c>
      <c r="F367" s="6" t="s">
        <v>3308</v>
      </c>
      <c r="G367" s="28" t="n">
        <f aca="false">IFERROR(INDEX('Semrush Data'!$A$1:$Z$20000,MATCH(A367,'Semrush Data'!$A$1:$A$20000,0),MATCH("Volume",'Semrush Data'!$A$1:$Z$1,0)),"")</f>
        <v>210</v>
      </c>
      <c r="H367" s="6" t="n">
        <f aca="false">IFERROR(INDEX('Semrush Data'!$A$1:$Z$20000,MATCH(A367,'Semrush Data'!$A$1:$A$20000,0),MATCH("Keyword Difficulty*",'Semrush Data'!$A$1:$Z$1,0)),"")</f>
        <v>14</v>
      </c>
      <c r="I367" s="29" t="n">
        <f aca="false">IFERROR(INDEX('Semrush Data'!$A$1:$Z$20000,MATCH(A367,'Semrush Data'!$A$1:$A$20000,0),MATCH("CPC*",'Semrush Data'!$A$1:$Z$1,0)),"")</f>
        <v>0.45</v>
      </c>
      <c r="J367" s="6" t="str">
        <f aca="false">IFERROR(INDEX('Semrush Data'!$A$1:$Z$20000,MATCH(A367,'Semrush Data'!$A$1:$A$20000,0),MATCH("Intent",'Semrush Data'!$A$1:$Z$1,0)),"")</f>
        <v>Informational Transactional</v>
      </c>
    </row>
    <row r="368" customFormat="false" ht="15" hidden="false" customHeight="true" outlineLevel="0" collapsed="false">
      <c r="A368" s="6" t="s">
        <v>3320</v>
      </c>
      <c r="B368" s="6" t="s">
        <v>41</v>
      </c>
      <c r="C368" s="6" t="n">
        <v>1</v>
      </c>
      <c r="D368" s="6" t="n">
        <v>4</v>
      </c>
      <c r="E368" s="6" t="n">
        <v>1</v>
      </c>
      <c r="F368" s="6" t="s">
        <v>131</v>
      </c>
      <c r="G368" s="28" t="n">
        <f aca="false">IFERROR(INDEX('Semrush Data'!$A$1:$Z$20000,MATCH(A368,'Semrush Data'!$A$1:$A$20000,0),MATCH("Volume",'Semrush Data'!$A$1:$Z$1,0)),"")</f>
        <v>390</v>
      </c>
      <c r="H368" s="6" t="n">
        <f aca="false">IFERROR(INDEX('Semrush Data'!$A$1:$Z$20000,MATCH(A368,'Semrush Data'!$A$1:$A$20000,0),MATCH("Keyword Difficulty*",'Semrush Data'!$A$1:$Z$1,0)),"")</f>
        <v>16</v>
      </c>
      <c r="I368" s="29" t="n">
        <f aca="false">IFERROR(INDEX('Semrush Data'!$A$1:$Z$20000,MATCH(A368,'Semrush Data'!$A$1:$A$20000,0),MATCH("CPC*",'Semrush Data'!$A$1:$Z$1,0)),"")</f>
        <v>0.44</v>
      </c>
      <c r="J368" s="6" t="str">
        <f aca="false">IFERROR(INDEX('Semrush Data'!$A$1:$Z$20000,MATCH(A368,'Semrush Data'!$A$1:$A$20000,0),MATCH("Intent",'Semrush Data'!$A$1:$Z$1,0)),"")</f>
        <v>Informational Transactional</v>
      </c>
    </row>
    <row r="369" customFormat="false" ht="15" hidden="false" customHeight="true" outlineLevel="0" collapsed="false">
      <c r="A369" s="6" t="s">
        <v>3271</v>
      </c>
      <c r="B369" s="6" t="s">
        <v>41</v>
      </c>
      <c r="C369" s="6" t="n">
        <v>1</v>
      </c>
      <c r="D369" s="6" t="n">
        <v>4</v>
      </c>
      <c r="E369" s="6" t="n">
        <v>1</v>
      </c>
      <c r="F369" s="6" t="s">
        <v>3268</v>
      </c>
      <c r="G369" s="28" t="n">
        <f aca="false">IFERROR(INDEX('Semrush Data'!$A$1:$Z$20000,MATCH(A369,'Semrush Data'!$A$1:$A$20000,0),MATCH("Volume",'Semrush Data'!$A$1:$Z$1,0)),"")</f>
        <v>260</v>
      </c>
      <c r="H369" s="6" t="n">
        <f aca="false">IFERROR(INDEX('Semrush Data'!$A$1:$Z$20000,MATCH(A369,'Semrush Data'!$A$1:$A$20000,0),MATCH("Keyword Difficulty*",'Semrush Data'!$A$1:$Z$1,0)),"")</f>
        <v>16</v>
      </c>
      <c r="I369" s="29" t="n">
        <f aca="false">IFERROR(INDEX('Semrush Data'!$A$1:$Z$20000,MATCH(A369,'Semrush Data'!$A$1:$A$20000,0),MATCH("CPC*",'Semrush Data'!$A$1:$Z$1,0)),"")</f>
        <v>0.39</v>
      </c>
      <c r="J369" s="6" t="str">
        <f aca="false">IFERROR(INDEX('Semrush Data'!$A$1:$Z$20000,MATCH(A369,'Semrush Data'!$A$1:$A$20000,0),MATCH("Intent",'Semrush Data'!$A$1:$Z$1,0)),"")</f>
        <v>Informational Transactional</v>
      </c>
    </row>
    <row r="370" customFormat="false" ht="15" hidden="false" customHeight="true" outlineLevel="0" collapsed="false">
      <c r="A370" s="6" t="s">
        <v>3281</v>
      </c>
      <c r="B370" s="6" t="s">
        <v>41</v>
      </c>
      <c r="C370" s="6" t="n">
        <v>1</v>
      </c>
      <c r="D370" s="6" t="n">
        <v>4</v>
      </c>
      <c r="E370" s="6" t="n">
        <v>2</v>
      </c>
      <c r="F370" s="6" t="s">
        <v>6847</v>
      </c>
      <c r="G370" s="28" t="n">
        <f aca="false">IFERROR(INDEX('Semrush Data'!$A$1:$Z$20000,MATCH(A370,'Semrush Data'!$A$1:$A$20000,0),MATCH("Volume",'Semrush Data'!$A$1:$Z$1,0)),"")</f>
        <v>390</v>
      </c>
      <c r="H370" s="6" t="n">
        <f aca="false">IFERROR(INDEX('Semrush Data'!$A$1:$Z$20000,MATCH(A370,'Semrush Data'!$A$1:$A$20000,0),MATCH("Keyword Difficulty*",'Semrush Data'!$A$1:$Z$1,0)),"")</f>
        <v>17</v>
      </c>
      <c r="I370" s="29" t="n">
        <f aca="false">IFERROR(INDEX('Semrush Data'!$A$1:$Z$20000,MATCH(A370,'Semrush Data'!$A$1:$A$20000,0),MATCH("CPC*",'Semrush Data'!$A$1:$Z$1,0)),"")</f>
        <v>0.62</v>
      </c>
      <c r="J370" s="6" t="str">
        <f aca="false">IFERROR(INDEX('Semrush Data'!$A$1:$Z$20000,MATCH(A370,'Semrush Data'!$A$1:$A$20000,0),MATCH("Intent",'Semrush Data'!$A$1:$Z$1,0)),"")</f>
        <v>Informational Transactional</v>
      </c>
    </row>
    <row r="371" customFormat="false" ht="15" hidden="false" customHeight="true" outlineLevel="0" collapsed="false">
      <c r="A371" s="6" t="s">
        <v>3294</v>
      </c>
      <c r="B371" s="6" t="s">
        <v>41</v>
      </c>
      <c r="C371" s="6" t="n">
        <v>1</v>
      </c>
      <c r="D371" s="6" t="n">
        <v>4</v>
      </c>
      <c r="E371" s="6" t="n">
        <v>2</v>
      </c>
      <c r="F371" s="6" t="s">
        <v>6848</v>
      </c>
      <c r="G371" s="28" t="n">
        <f aca="false">IFERROR(INDEX('Semrush Data'!$A$1:$Z$20000,MATCH(A371,'Semrush Data'!$A$1:$A$20000,0),MATCH("Volume",'Semrush Data'!$A$1:$Z$1,0)),"")</f>
        <v>0</v>
      </c>
      <c r="H371" s="6" t="n">
        <f aca="false">IFERROR(INDEX('Semrush Data'!$A$1:$Z$20000,MATCH(A371,'Semrush Data'!$A$1:$A$20000,0),MATCH("Keyword Difficulty*",'Semrush Data'!$A$1:$Z$1,0)),"")</f>
        <v>9</v>
      </c>
      <c r="I371" s="29" t="n">
        <f aca="false">IFERROR(INDEX('Semrush Data'!$A$1:$Z$20000,MATCH(A371,'Semrush Data'!$A$1:$A$20000,0),MATCH("CPC*",'Semrush Data'!$A$1:$Z$1,0)),"")</f>
        <v>0</v>
      </c>
      <c r="J371" s="6" t="str">
        <f aca="false">IFERROR(INDEX('Semrush Data'!$A$1:$Z$20000,MATCH(A371,'Semrush Data'!$A$1:$A$20000,0),MATCH("Intent",'Semrush Data'!$A$1:$Z$1,0)),"")</f>
        <v>Informational Transactional</v>
      </c>
    </row>
    <row r="372" customFormat="false" ht="15" hidden="false" customHeight="true" outlineLevel="0" collapsed="false">
      <c r="A372" s="6" t="s">
        <v>3329</v>
      </c>
      <c r="B372" s="6" t="s">
        <v>41</v>
      </c>
      <c r="C372" s="6" t="n">
        <v>1</v>
      </c>
      <c r="D372" s="6" t="n">
        <v>4</v>
      </c>
      <c r="E372" s="6" t="n">
        <v>1</v>
      </c>
      <c r="F372" s="6" t="s">
        <v>147</v>
      </c>
      <c r="G372" s="28" t="n">
        <f aca="false">IFERROR(INDEX('Semrush Data'!$A$1:$Z$20000,MATCH(A372,'Semrush Data'!$A$1:$A$20000,0),MATCH("Volume",'Semrush Data'!$A$1:$Z$1,0)),"")</f>
        <v>320</v>
      </c>
      <c r="H372" s="6" t="n">
        <f aca="false">IFERROR(INDEX('Semrush Data'!$A$1:$Z$20000,MATCH(A372,'Semrush Data'!$A$1:$A$20000,0),MATCH("Keyword Difficulty*",'Semrush Data'!$A$1:$Z$1,0)),"")</f>
        <v>20</v>
      </c>
      <c r="I372" s="29" t="n">
        <f aca="false">IFERROR(INDEX('Semrush Data'!$A$1:$Z$20000,MATCH(A372,'Semrush Data'!$A$1:$A$20000,0),MATCH("CPC*",'Semrush Data'!$A$1:$Z$1,0)),"")</f>
        <v>0</v>
      </c>
      <c r="J372" s="6" t="str">
        <f aca="false">IFERROR(INDEX('Semrush Data'!$A$1:$Z$20000,MATCH(A372,'Semrush Data'!$A$1:$A$20000,0),MATCH("Intent",'Semrush Data'!$A$1:$Z$1,0)),"")</f>
        <v>Informational</v>
      </c>
    </row>
    <row r="373" customFormat="false" ht="15" hidden="false" customHeight="true" outlineLevel="0" collapsed="false">
      <c r="A373" s="6" t="s">
        <v>5996</v>
      </c>
      <c r="B373" s="6" t="s">
        <v>41</v>
      </c>
      <c r="C373" s="6" t="n">
        <v>1</v>
      </c>
      <c r="D373" s="6" t="n">
        <v>4</v>
      </c>
      <c r="E373" s="6" t="n">
        <v>1</v>
      </c>
      <c r="F373" s="6" t="s">
        <v>5994</v>
      </c>
      <c r="G373" s="28" t="n">
        <f aca="false">IFERROR(INDEX('Semrush Data'!$A$1:$Z$20000,MATCH(A373,'Semrush Data'!$A$1:$A$20000,0),MATCH("Volume",'Semrush Data'!$A$1:$Z$1,0)),"")</f>
        <v>0</v>
      </c>
      <c r="H373" s="6" t="n">
        <f aca="false">IFERROR(INDEX('Semrush Data'!$A$1:$Z$20000,MATCH(A373,'Semrush Data'!$A$1:$A$20000,0),MATCH("Keyword Difficulty*",'Semrush Data'!$A$1:$Z$1,0)),"")</f>
        <v>11</v>
      </c>
      <c r="I373" s="29" t="n">
        <f aca="false">IFERROR(INDEX('Semrush Data'!$A$1:$Z$20000,MATCH(A373,'Semrush Data'!$A$1:$A$20000,0),MATCH("CPC*",'Semrush Data'!$A$1:$Z$1,0)),"")</f>
        <v>0</v>
      </c>
      <c r="J373" s="6" t="str">
        <f aca="false">IFERROR(INDEX('Semrush Data'!$A$1:$Z$20000,MATCH(A373,'Semrush Data'!$A$1:$A$20000,0),MATCH("Intent",'Semrush Data'!$A$1:$Z$1,0)),"")</f>
        <v>Informational</v>
      </c>
    </row>
    <row r="374" customFormat="false" ht="15" hidden="false" customHeight="true" outlineLevel="0" collapsed="false">
      <c r="A374" s="6" t="s">
        <v>3395</v>
      </c>
      <c r="B374" s="6" t="s">
        <v>41</v>
      </c>
      <c r="C374" s="6" t="n">
        <v>1</v>
      </c>
      <c r="D374" s="6" t="n">
        <v>4</v>
      </c>
      <c r="E374" s="6" t="n">
        <v>2</v>
      </c>
      <c r="F374" s="6" t="s">
        <v>6849</v>
      </c>
      <c r="G374" s="28" t="n">
        <f aca="false">IFERROR(INDEX('Semrush Data'!$A$1:$Z$20000,MATCH(A374,'Semrush Data'!$A$1:$A$20000,0),MATCH("Volume",'Semrush Data'!$A$1:$Z$1,0)),"")</f>
        <v>0</v>
      </c>
      <c r="H374" s="6" t="n">
        <f aca="false">IFERROR(INDEX('Semrush Data'!$A$1:$Z$20000,MATCH(A374,'Semrush Data'!$A$1:$A$20000,0),MATCH("Keyword Difficulty*",'Semrush Data'!$A$1:$Z$1,0)),"")</f>
        <v>18</v>
      </c>
      <c r="I374" s="29" t="n">
        <f aca="false">IFERROR(INDEX('Semrush Data'!$A$1:$Z$20000,MATCH(A374,'Semrush Data'!$A$1:$A$20000,0),MATCH("CPC*",'Semrush Data'!$A$1:$Z$1,0)),"")</f>
        <v>0</v>
      </c>
      <c r="J374" s="6" t="str">
        <f aca="false">IFERROR(INDEX('Semrush Data'!$A$1:$Z$20000,MATCH(A374,'Semrush Data'!$A$1:$A$20000,0),MATCH("Intent",'Semrush Data'!$A$1:$Z$1,0)),"")</f>
        <v>Navigational</v>
      </c>
    </row>
    <row r="375" customFormat="false" ht="15" hidden="false" customHeight="true" outlineLevel="0" collapsed="false">
      <c r="A375" s="6" t="s">
        <v>3406</v>
      </c>
      <c r="B375" s="6" t="s">
        <v>41</v>
      </c>
      <c r="C375" s="6" t="n">
        <v>1</v>
      </c>
      <c r="D375" s="6" t="n">
        <v>4</v>
      </c>
      <c r="E375" s="6" t="n">
        <v>1</v>
      </c>
      <c r="F375" s="6" t="s">
        <v>3404</v>
      </c>
      <c r="G375" s="28" t="n">
        <f aca="false">IFERROR(INDEX('Semrush Data'!$A$1:$Z$20000,MATCH(A375,'Semrush Data'!$A$1:$A$20000,0),MATCH("Volume",'Semrush Data'!$A$1:$Z$1,0)),"")</f>
        <v>30</v>
      </c>
      <c r="H375" s="6" t="n">
        <f aca="false">IFERROR(INDEX('Semrush Data'!$A$1:$Z$20000,MATCH(A375,'Semrush Data'!$A$1:$A$20000,0),MATCH("Keyword Difficulty*",'Semrush Data'!$A$1:$Z$1,0)),"")</f>
        <v>12</v>
      </c>
      <c r="I375" s="29" t="n">
        <f aca="false">IFERROR(INDEX('Semrush Data'!$A$1:$Z$20000,MATCH(A375,'Semrush Data'!$A$1:$A$20000,0),MATCH("CPC*",'Semrush Data'!$A$1:$Z$1,0)),"")</f>
        <v>0</v>
      </c>
      <c r="J375" s="6" t="str">
        <f aca="false">IFERROR(INDEX('Semrush Data'!$A$1:$Z$20000,MATCH(A375,'Semrush Data'!$A$1:$A$20000,0),MATCH("Intent",'Semrush Data'!$A$1:$Z$1,0)),"")</f>
        <v>Informational</v>
      </c>
    </row>
    <row r="376" customFormat="false" ht="15" hidden="false" customHeight="true" outlineLevel="0" collapsed="false">
      <c r="A376" s="6" t="s">
        <v>3340</v>
      </c>
      <c r="B376" s="6" t="s">
        <v>41</v>
      </c>
      <c r="C376" s="6" t="n">
        <v>1</v>
      </c>
      <c r="D376" s="6" t="n">
        <v>4</v>
      </c>
      <c r="E376" s="6" t="n">
        <v>1</v>
      </c>
      <c r="F376" s="6" t="s">
        <v>71</v>
      </c>
      <c r="G376" s="28" t="n">
        <f aca="false">IFERROR(INDEX('Semrush Data'!$A$1:$Z$20000,MATCH(A376,'Semrush Data'!$A$1:$A$20000,0),MATCH("Volume",'Semrush Data'!$A$1:$Z$1,0)),"")</f>
        <v>2900</v>
      </c>
      <c r="H376" s="6" t="n">
        <f aca="false">IFERROR(INDEX('Semrush Data'!$A$1:$Z$20000,MATCH(A376,'Semrush Data'!$A$1:$A$20000,0),MATCH("Keyword Difficulty*",'Semrush Data'!$A$1:$Z$1,0)),"")</f>
        <v>22</v>
      </c>
      <c r="I376" s="29" t="n">
        <f aca="false">IFERROR(INDEX('Semrush Data'!$A$1:$Z$20000,MATCH(A376,'Semrush Data'!$A$1:$A$20000,0),MATCH("CPC*",'Semrush Data'!$A$1:$Z$1,0)),"")</f>
        <v>0.47</v>
      </c>
      <c r="J376" s="6" t="str">
        <f aca="false">IFERROR(INDEX('Semrush Data'!$A$1:$Z$20000,MATCH(A376,'Semrush Data'!$A$1:$A$20000,0),MATCH("Intent",'Semrush Data'!$A$1:$Z$1,0)),"")</f>
        <v>Informational</v>
      </c>
    </row>
    <row r="377" customFormat="false" ht="15" hidden="false" customHeight="true" outlineLevel="0" collapsed="false">
      <c r="A377" s="6" t="s">
        <v>3385</v>
      </c>
      <c r="B377" s="6" t="s">
        <v>41</v>
      </c>
      <c r="C377" s="6" t="n">
        <v>1</v>
      </c>
      <c r="D377" s="6" t="n">
        <v>4</v>
      </c>
      <c r="E377" s="6" t="n">
        <v>1</v>
      </c>
      <c r="F377" s="6" t="s">
        <v>3383</v>
      </c>
      <c r="G377" s="28" t="n">
        <f aca="false">IFERROR(INDEX('Semrush Data'!$A$1:$Z$20000,MATCH(A377,'Semrush Data'!$A$1:$A$20000,0),MATCH("Volume",'Semrush Data'!$A$1:$Z$1,0)),"")</f>
        <v>110</v>
      </c>
      <c r="H377" s="6" t="n">
        <f aca="false">IFERROR(INDEX('Semrush Data'!$A$1:$Z$20000,MATCH(A377,'Semrush Data'!$A$1:$A$20000,0),MATCH("Keyword Difficulty*",'Semrush Data'!$A$1:$Z$1,0)),"")</f>
        <v>13</v>
      </c>
      <c r="I377" s="29" t="n">
        <f aca="false">IFERROR(INDEX('Semrush Data'!$A$1:$Z$20000,MATCH(A377,'Semrush Data'!$A$1:$A$20000,0),MATCH("CPC*",'Semrush Data'!$A$1:$Z$1,0)),"")</f>
        <v>0.5</v>
      </c>
      <c r="J377" s="6" t="str">
        <f aca="false">IFERROR(INDEX('Semrush Data'!$A$1:$Z$20000,MATCH(A377,'Semrush Data'!$A$1:$A$20000,0),MATCH("Intent",'Semrush Data'!$A$1:$Z$1,0)),"")</f>
        <v>Informational</v>
      </c>
    </row>
    <row r="378" customFormat="false" ht="15" hidden="false" customHeight="true" outlineLevel="0" collapsed="false">
      <c r="A378" s="6" t="s">
        <v>3352</v>
      </c>
      <c r="B378" s="6" t="s">
        <v>41</v>
      </c>
      <c r="C378" s="6" t="n">
        <v>1</v>
      </c>
      <c r="D378" s="6" t="n">
        <v>4</v>
      </c>
      <c r="E378" s="6" t="n">
        <v>1</v>
      </c>
      <c r="F378" s="6" t="s">
        <v>3350</v>
      </c>
      <c r="G378" s="28" t="n">
        <f aca="false">IFERROR(INDEX('Semrush Data'!$A$1:$Z$20000,MATCH(A378,'Semrush Data'!$A$1:$A$20000,0),MATCH("Volume",'Semrush Data'!$A$1:$Z$1,0)),"")</f>
        <v>50</v>
      </c>
      <c r="H378" s="6" t="n">
        <f aca="false">IFERROR(INDEX('Semrush Data'!$A$1:$Z$20000,MATCH(A378,'Semrush Data'!$A$1:$A$20000,0),MATCH("Keyword Difficulty*",'Semrush Data'!$A$1:$Z$1,0)),"")</f>
        <v>14</v>
      </c>
      <c r="I378" s="29" t="n">
        <f aca="false">IFERROR(INDEX('Semrush Data'!$A$1:$Z$20000,MATCH(A378,'Semrush Data'!$A$1:$A$20000,0),MATCH("CPC*",'Semrush Data'!$A$1:$Z$1,0)),"")</f>
        <v>0.4</v>
      </c>
      <c r="J378" s="6" t="str">
        <f aca="false">IFERROR(INDEX('Semrush Data'!$A$1:$Z$20000,MATCH(A378,'Semrush Data'!$A$1:$A$20000,0),MATCH("Intent",'Semrush Data'!$A$1:$Z$1,0)),"")</f>
        <v>Informational Transactional</v>
      </c>
    </row>
    <row r="379" customFormat="false" ht="15" hidden="false" customHeight="true" outlineLevel="0" collapsed="false">
      <c r="A379" s="6" t="s">
        <v>3363</v>
      </c>
      <c r="B379" s="6" t="s">
        <v>41</v>
      </c>
      <c r="C379" s="6" t="n">
        <v>1</v>
      </c>
      <c r="D379" s="6" t="n">
        <v>4</v>
      </c>
      <c r="E379" s="6" t="n">
        <v>1</v>
      </c>
      <c r="F379" s="6" t="s">
        <v>3361</v>
      </c>
      <c r="G379" s="28" t="n">
        <f aca="false">IFERROR(INDEX('Semrush Data'!$A$1:$Z$20000,MATCH(A379,'Semrush Data'!$A$1:$A$20000,0),MATCH("Volume",'Semrush Data'!$A$1:$Z$1,0)),"")</f>
        <v>320</v>
      </c>
      <c r="H379" s="6" t="n">
        <f aca="false">IFERROR(INDEX('Semrush Data'!$A$1:$Z$20000,MATCH(A379,'Semrush Data'!$A$1:$A$20000,0),MATCH("Keyword Difficulty*",'Semrush Data'!$A$1:$Z$1,0)),"")</f>
        <v>21</v>
      </c>
      <c r="I379" s="29" t="n">
        <f aca="false">IFERROR(INDEX('Semrush Data'!$A$1:$Z$20000,MATCH(A379,'Semrush Data'!$A$1:$A$20000,0),MATCH("CPC*",'Semrush Data'!$A$1:$Z$1,0)),"")</f>
        <v>0.55</v>
      </c>
      <c r="J379" s="6" t="str">
        <f aca="false">IFERROR(INDEX('Semrush Data'!$A$1:$Z$20000,MATCH(A379,'Semrush Data'!$A$1:$A$20000,0),MATCH("Intent",'Semrush Data'!$A$1:$Z$1,0)),"")</f>
        <v>Informational</v>
      </c>
    </row>
    <row r="380" customFormat="false" ht="15" hidden="false" customHeight="true" outlineLevel="0" collapsed="false">
      <c r="A380" s="6" t="s">
        <v>3374</v>
      </c>
      <c r="B380" s="6" t="s">
        <v>41</v>
      </c>
      <c r="C380" s="6" t="n">
        <v>1</v>
      </c>
      <c r="D380" s="6" t="n">
        <v>4</v>
      </c>
      <c r="E380" s="6" t="n">
        <v>1</v>
      </c>
      <c r="F380" s="6" t="s">
        <v>3372</v>
      </c>
      <c r="G380" s="28" t="n">
        <f aca="false">IFERROR(INDEX('Semrush Data'!$A$1:$Z$20000,MATCH(A380,'Semrush Data'!$A$1:$A$20000,0),MATCH("Volume",'Semrush Data'!$A$1:$Z$1,0)),"")</f>
        <v>70</v>
      </c>
      <c r="H380" s="6" t="n">
        <f aca="false">IFERROR(INDEX('Semrush Data'!$A$1:$Z$20000,MATCH(A380,'Semrush Data'!$A$1:$A$20000,0),MATCH("Keyword Difficulty*",'Semrush Data'!$A$1:$Z$1,0)),"")</f>
        <v>19</v>
      </c>
      <c r="I380" s="29" t="n">
        <f aca="false">IFERROR(INDEX('Semrush Data'!$A$1:$Z$20000,MATCH(A380,'Semrush Data'!$A$1:$A$20000,0),MATCH("CPC*",'Semrush Data'!$A$1:$Z$1,0)),"")</f>
        <v>0.34</v>
      </c>
      <c r="J380" s="6" t="str">
        <f aca="false">IFERROR(INDEX('Semrush Data'!$A$1:$Z$20000,MATCH(A380,'Semrush Data'!$A$1:$A$20000,0),MATCH("Intent",'Semrush Data'!$A$1:$Z$1,0)),"")</f>
        <v>Navigational</v>
      </c>
    </row>
    <row r="381" customFormat="false" ht="15" hidden="false" customHeight="true" outlineLevel="0" collapsed="false">
      <c r="A381" s="6" t="s">
        <v>3417</v>
      </c>
      <c r="B381" s="6" t="s">
        <v>41</v>
      </c>
      <c r="C381" s="6" t="n">
        <v>1</v>
      </c>
      <c r="D381" s="6" t="n">
        <v>4</v>
      </c>
      <c r="E381" s="6" t="n">
        <v>1</v>
      </c>
      <c r="F381" s="6" t="s">
        <v>3414</v>
      </c>
      <c r="G381" s="28" t="n">
        <f aca="false">IFERROR(INDEX('Semrush Data'!$A$1:$Z$20000,MATCH(A381,'Semrush Data'!$A$1:$A$20000,0),MATCH("Volume",'Semrush Data'!$A$1:$Z$1,0)),"")</f>
        <v>50</v>
      </c>
      <c r="H381" s="6" t="n">
        <f aca="false">IFERROR(INDEX('Semrush Data'!$A$1:$Z$20000,MATCH(A381,'Semrush Data'!$A$1:$A$20000,0),MATCH("Keyword Difficulty*",'Semrush Data'!$A$1:$Z$1,0)),"")</f>
        <v>15</v>
      </c>
      <c r="I381" s="29" t="n">
        <f aca="false">IFERROR(INDEX('Semrush Data'!$A$1:$Z$20000,MATCH(A381,'Semrush Data'!$A$1:$A$20000,0),MATCH("CPC*",'Semrush Data'!$A$1:$Z$1,0)),"")</f>
        <v>0</v>
      </c>
      <c r="J381" s="6" t="str">
        <f aca="false">IFERROR(INDEX('Semrush Data'!$A$1:$Z$20000,MATCH(A381,'Semrush Data'!$A$1:$A$20000,0),MATCH("Intent",'Semrush Data'!$A$1:$Z$1,0)),"")</f>
        <v>Informational Transactional</v>
      </c>
    </row>
    <row r="382" customFormat="false" ht="15" hidden="false" customHeight="true" outlineLevel="0" collapsed="false">
      <c r="A382" s="6" t="s">
        <v>3429</v>
      </c>
      <c r="B382" s="6" t="s">
        <v>41</v>
      </c>
      <c r="C382" s="6" t="n">
        <v>1</v>
      </c>
      <c r="D382" s="6" t="n">
        <v>4</v>
      </c>
      <c r="E382" s="6" t="n">
        <v>1</v>
      </c>
      <c r="F382" s="6" t="s">
        <v>3427</v>
      </c>
      <c r="G382" s="28" t="n">
        <f aca="false">IFERROR(INDEX('Semrush Data'!$A$1:$Z$20000,MATCH(A382,'Semrush Data'!$A$1:$A$20000,0),MATCH("Volume",'Semrush Data'!$A$1:$Z$1,0)),"")</f>
        <v>110</v>
      </c>
      <c r="H382" s="6" t="n">
        <f aca="false">IFERROR(INDEX('Semrush Data'!$A$1:$Z$20000,MATCH(A382,'Semrush Data'!$A$1:$A$20000,0),MATCH("Keyword Difficulty*",'Semrush Data'!$A$1:$Z$1,0)),"")</f>
        <v>20</v>
      </c>
      <c r="I382" s="29" t="n">
        <f aca="false">IFERROR(INDEX('Semrush Data'!$A$1:$Z$20000,MATCH(A382,'Semrush Data'!$A$1:$A$20000,0),MATCH("CPC*",'Semrush Data'!$A$1:$Z$1,0)),"")</f>
        <v>0.6</v>
      </c>
      <c r="J382" s="6" t="str">
        <f aca="false">IFERROR(INDEX('Semrush Data'!$A$1:$Z$20000,MATCH(A382,'Semrush Data'!$A$1:$A$20000,0),MATCH("Intent",'Semrush Data'!$A$1:$Z$1,0)),"")</f>
        <v>Informational Transactional</v>
      </c>
    </row>
    <row r="383" customFormat="false" ht="15" hidden="false" customHeight="true" outlineLevel="0" collapsed="false">
      <c r="A383" s="6" t="s">
        <v>3462</v>
      </c>
      <c r="B383" s="6" t="s">
        <v>41</v>
      </c>
      <c r="C383" s="6" t="n">
        <v>1</v>
      </c>
      <c r="D383" s="6" t="n">
        <v>4</v>
      </c>
      <c r="E383" s="6" t="n">
        <v>1</v>
      </c>
      <c r="F383" s="6" t="s">
        <v>3460</v>
      </c>
      <c r="G383" s="28" t="n">
        <f aca="false">IFERROR(INDEX('Semrush Data'!$A$1:$Z$20000,MATCH(A383,'Semrush Data'!$A$1:$A$20000,0),MATCH("Volume",'Semrush Data'!$A$1:$Z$1,0)),"")</f>
        <v>0</v>
      </c>
      <c r="H383" s="6" t="n">
        <f aca="false">IFERROR(INDEX('Semrush Data'!$A$1:$Z$20000,MATCH(A383,'Semrush Data'!$A$1:$A$20000,0),MATCH("Keyword Difficulty*",'Semrush Data'!$A$1:$Z$1,0)),"")</f>
        <v>8</v>
      </c>
      <c r="I383" s="29" t="n">
        <f aca="false">IFERROR(INDEX('Semrush Data'!$A$1:$Z$20000,MATCH(A383,'Semrush Data'!$A$1:$A$20000,0),MATCH("CPC*",'Semrush Data'!$A$1:$Z$1,0)),"")</f>
        <v>0</v>
      </c>
      <c r="J383" s="6" t="str">
        <f aca="false">IFERROR(INDEX('Semrush Data'!$A$1:$Z$20000,MATCH(A383,'Semrush Data'!$A$1:$A$20000,0),MATCH("Intent",'Semrush Data'!$A$1:$Z$1,0)),"")</f>
        <v>Navigational</v>
      </c>
    </row>
    <row r="384" customFormat="false" ht="15" hidden="false" customHeight="true" outlineLevel="0" collapsed="false">
      <c r="A384" s="6" t="s">
        <v>3440</v>
      </c>
      <c r="B384" s="6" t="s">
        <v>41</v>
      </c>
      <c r="C384" s="6" t="n">
        <v>1</v>
      </c>
      <c r="D384" s="6" t="n">
        <v>4</v>
      </c>
      <c r="E384" s="6" t="n">
        <v>1</v>
      </c>
      <c r="F384" s="6" t="s">
        <v>3438</v>
      </c>
      <c r="G384" s="28" t="n">
        <f aca="false">IFERROR(INDEX('Semrush Data'!$A$1:$Z$20000,MATCH(A384,'Semrush Data'!$A$1:$A$20000,0),MATCH("Volume",'Semrush Data'!$A$1:$Z$1,0)),"")</f>
        <v>20</v>
      </c>
      <c r="H384" s="6" t="n">
        <f aca="false">IFERROR(INDEX('Semrush Data'!$A$1:$Z$20000,MATCH(A384,'Semrush Data'!$A$1:$A$20000,0),MATCH("Keyword Difficulty*",'Semrush Data'!$A$1:$Z$1,0)),"")</f>
        <v>16</v>
      </c>
      <c r="I384" s="29" t="n">
        <f aca="false">IFERROR(INDEX('Semrush Data'!$A$1:$Z$20000,MATCH(A384,'Semrush Data'!$A$1:$A$20000,0),MATCH("CPC*",'Semrush Data'!$A$1:$Z$1,0)),"")</f>
        <v>0</v>
      </c>
      <c r="J384" s="6" t="str">
        <f aca="false">IFERROR(INDEX('Semrush Data'!$A$1:$Z$20000,MATCH(A384,'Semrush Data'!$A$1:$A$20000,0),MATCH("Intent",'Semrush Data'!$A$1:$Z$1,0)),"")</f>
        <v>Informational</v>
      </c>
    </row>
    <row r="385" customFormat="false" ht="15" hidden="false" customHeight="true" outlineLevel="0" collapsed="false">
      <c r="A385" s="6" t="s">
        <v>3450</v>
      </c>
      <c r="B385" s="6" t="s">
        <v>41</v>
      </c>
      <c r="C385" s="6" t="n">
        <v>1</v>
      </c>
      <c r="D385" s="6" t="n">
        <v>4</v>
      </c>
      <c r="E385" s="6" t="n">
        <v>1</v>
      </c>
      <c r="F385" s="6" t="s">
        <v>111</v>
      </c>
      <c r="G385" s="28" t="n">
        <f aca="false">IFERROR(INDEX('Semrush Data'!$A$1:$Z$20000,MATCH(A385,'Semrush Data'!$A$1:$A$20000,0),MATCH("Volume",'Semrush Data'!$A$1:$Z$1,0)),"")</f>
        <v>590</v>
      </c>
      <c r="H385" s="6" t="n">
        <f aca="false">IFERROR(INDEX('Semrush Data'!$A$1:$Z$20000,MATCH(A385,'Semrush Data'!$A$1:$A$20000,0),MATCH("Keyword Difficulty*",'Semrush Data'!$A$1:$Z$1,0)),"")</f>
        <v>17</v>
      </c>
      <c r="I385" s="29" t="n">
        <f aca="false">IFERROR(INDEX('Semrush Data'!$A$1:$Z$20000,MATCH(A385,'Semrush Data'!$A$1:$A$20000,0),MATCH("CPC*",'Semrush Data'!$A$1:$Z$1,0)),"")</f>
        <v>0.6</v>
      </c>
      <c r="J385" s="6" t="str">
        <f aca="false">IFERROR(INDEX('Semrush Data'!$A$1:$Z$20000,MATCH(A385,'Semrush Data'!$A$1:$A$20000,0),MATCH("Intent",'Semrush Data'!$A$1:$Z$1,0)),"")</f>
        <v>Informational</v>
      </c>
    </row>
    <row r="386" customFormat="false" ht="15" hidden="false" customHeight="true" outlineLevel="0" collapsed="false">
      <c r="A386" s="6" t="s">
        <v>3483</v>
      </c>
      <c r="B386" s="6" t="s">
        <v>41</v>
      </c>
      <c r="C386" s="6" t="n">
        <v>1</v>
      </c>
      <c r="D386" s="6" t="n">
        <v>4</v>
      </c>
      <c r="E386" s="6" t="n">
        <v>1</v>
      </c>
      <c r="F386" s="6" t="s">
        <v>3481</v>
      </c>
      <c r="G386" s="28" t="n">
        <f aca="false">IFERROR(INDEX('Semrush Data'!$A$1:$Z$20000,MATCH(A386,'Semrush Data'!$A$1:$A$20000,0),MATCH("Volume",'Semrush Data'!$A$1:$Z$1,0)),"")</f>
        <v>0</v>
      </c>
      <c r="H386" s="6" t="n">
        <f aca="false">IFERROR(INDEX('Semrush Data'!$A$1:$Z$20000,MATCH(A386,'Semrush Data'!$A$1:$A$20000,0),MATCH("Keyword Difficulty*",'Semrush Data'!$A$1:$Z$1,0)),"")</f>
        <v>10</v>
      </c>
      <c r="I386" s="29" t="n">
        <f aca="false">IFERROR(INDEX('Semrush Data'!$A$1:$Z$20000,MATCH(A386,'Semrush Data'!$A$1:$A$20000,0),MATCH("CPC*",'Semrush Data'!$A$1:$Z$1,0)),"")</f>
        <v>0</v>
      </c>
      <c r="J386" s="6" t="str">
        <f aca="false">IFERROR(INDEX('Semrush Data'!$A$1:$Z$20000,MATCH(A386,'Semrush Data'!$A$1:$A$20000,0),MATCH("Intent",'Semrush Data'!$A$1:$Z$1,0)),"")</f>
        <v>Informational</v>
      </c>
    </row>
    <row r="387" customFormat="false" ht="15" hidden="false" customHeight="true" outlineLevel="0" collapsed="false">
      <c r="A387" s="6" t="s">
        <v>3472</v>
      </c>
      <c r="B387" s="6" t="s">
        <v>41</v>
      </c>
      <c r="C387" s="6" t="n">
        <v>1</v>
      </c>
      <c r="D387" s="6" t="n">
        <v>4</v>
      </c>
      <c r="E387" s="6" t="n">
        <v>1</v>
      </c>
      <c r="F387" s="6" t="s">
        <v>3469</v>
      </c>
      <c r="G387" s="28" t="n">
        <f aca="false">IFERROR(INDEX('Semrush Data'!$A$1:$Z$20000,MATCH(A387,'Semrush Data'!$A$1:$A$20000,0),MATCH("Volume",'Semrush Data'!$A$1:$Z$1,0)),"")</f>
        <v>0</v>
      </c>
      <c r="H387" s="6" t="n">
        <f aca="false">IFERROR(INDEX('Semrush Data'!$A$1:$Z$20000,MATCH(A387,'Semrush Data'!$A$1:$A$20000,0),MATCH("Keyword Difficulty*",'Semrush Data'!$A$1:$Z$1,0)),"")</f>
        <v>28</v>
      </c>
      <c r="I387" s="29" t="n">
        <f aca="false">IFERROR(INDEX('Semrush Data'!$A$1:$Z$20000,MATCH(A387,'Semrush Data'!$A$1:$A$20000,0),MATCH("CPC*",'Semrush Data'!$A$1:$Z$1,0)),"")</f>
        <v>0</v>
      </c>
      <c r="J387" s="6" t="str">
        <f aca="false">IFERROR(INDEX('Semrush Data'!$A$1:$Z$20000,MATCH(A387,'Semrush Data'!$A$1:$A$20000,0),MATCH("Intent",'Semrush Data'!$A$1:$Z$1,0)),"")</f>
        <v>Transactional Navigational</v>
      </c>
    </row>
    <row r="388" customFormat="false" ht="15" hidden="false" customHeight="true" outlineLevel="0" collapsed="false">
      <c r="A388" s="6" t="s">
        <v>3504</v>
      </c>
      <c r="B388" s="6" t="s">
        <v>41</v>
      </c>
      <c r="C388" s="6" t="n">
        <v>1</v>
      </c>
      <c r="D388" s="6" t="n">
        <v>4</v>
      </c>
      <c r="E388" s="6" t="n">
        <v>1</v>
      </c>
      <c r="F388" s="6" t="s">
        <v>121</v>
      </c>
      <c r="G388" s="28" t="n">
        <f aca="false">IFERROR(INDEX('Semrush Data'!$A$1:$Z$20000,MATCH(A388,'Semrush Data'!$A$1:$A$20000,0),MATCH("Volume",'Semrush Data'!$A$1:$Z$1,0)),"")</f>
        <v>480</v>
      </c>
      <c r="H388" s="6" t="n">
        <f aca="false">IFERROR(INDEX('Semrush Data'!$A$1:$Z$20000,MATCH(A388,'Semrush Data'!$A$1:$A$20000,0),MATCH("Keyword Difficulty*",'Semrush Data'!$A$1:$Z$1,0)),"")</f>
        <v>20</v>
      </c>
      <c r="I388" s="29" t="n">
        <f aca="false">IFERROR(INDEX('Semrush Data'!$A$1:$Z$20000,MATCH(A388,'Semrush Data'!$A$1:$A$20000,0),MATCH("CPC*",'Semrush Data'!$A$1:$Z$1,0)),"")</f>
        <v>0.46</v>
      </c>
      <c r="J388" s="6" t="str">
        <f aca="false">IFERROR(INDEX('Semrush Data'!$A$1:$Z$20000,MATCH(A388,'Semrush Data'!$A$1:$A$20000,0),MATCH("Intent",'Semrush Data'!$A$1:$Z$1,0)),"")</f>
        <v>Informational</v>
      </c>
    </row>
    <row r="389" customFormat="false" ht="15" hidden="false" customHeight="true" outlineLevel="0" collapsed="false">
      <c r="A389" s="6" t="s">
        <v>3494</v>
      </c>
      <c r="B389" s="6" t="s">
        <v>41</v>
      </c>
      <c r="C389" s="6" t="n">
        <v>1</v>
      </c>
      <c r="D389" s="6" t="n">
        <v>4</v>
      </c>
      <c r="E389" s="6" t="n">
        <v>1</v>
      </c>
      <c r="F389" s="6" t="s">
        <v>3491</v>
      </c>
      <c r="G389" s="28" t="n">
        <f aca="false">IFERROR(INDEX('Semrush Data'!$A$1:$Z$20000,MATCH(A389,'Semrush Data'!$A$1:$A$20000,0),MATCH("Volume",'Semrush Data'!$A$1:$Z$1,0)),"")</f>
        <v>20</v>
      </c>
      <c r="H389" s="6" t="n">
        <f aca="false">IFERROR(INDEX('Semrush Data'!$A$1:$Z$20000,MATCH(A389,'Semrush Data'!$A$1:$A$20000,0),MATCH("Keyword Difficulty*",'Semrush Data'!$A$1:$Z$1,0)),"")</f>
        <v>9</v>
      </c>
      <c r="I389" s="29" t="n">
        <f aca="false">IFERROR(INDEX('Semrush Data'!$A$1:$Z$20000,MATCH(A389,'Semrush Data'!$A$1:$A$20000,0),MATCH("CPC*",'Semrush Data'!$A$1:$Z$1,0)),"")</f>
        <v>0.38</v>
      </c>
      <c r="J389" s="6" t="str">
        <f aca="false">IFERROR(INDEX('Semrush Data'!$A$1:$Z$20000,MATCH(A389,'Semrush Data'!$A$1:$A$20000,0),MATCH("Intent",'Semrush Data'!$A$1:$Z$1,0)),"")</f>
        <v>Informational Transactional</v>
      </c>
    </row>
    <row r="390" customFormat="false" ht="15" hidden="false" customHeight="true" outlineLevel="0" collapsed="false">
      <c r="A390" s="6" t="s">
        <v>3517</v>
      </c>
      <c r="B390" s="6" t="s">
        <v>41</v>
      </c>
      <c r="C390" s="6" t="n">
        <v>1</v>
      </c>
      <c r="D390" s="6" t="n">
        <v>4</v>
      </c>
      <c r="E390" s="6" t="n">
        <v>1</v>
      </c>
      <c r="F390" s="6" t="s">
        <v>3514</v>
      </c>
      <c r="G390" s="28" t="n">
        <f aca="false">IFERROR(INDEX('Semrush Data'!$A$1:$Z$20000,MATCH(A390,'Semrush Data'!$A$1:$A$20000,0),MATCH("Volume",'Semrush Data'!$A$1:$Z$1,0)),"")</f>
        <v>260</v>
      </c>
      <c r="H390" s="6" t="n">
        <f aca="false">IFERROR(INDEX('Semrush Data'!$A$1:$Z$20000,MATCH(A390,'Semrush Data'!$A$1:$A$20000,0),MATCH("Keyword Difficulty*",'Semrush Data'!$A$1:$Z$1,0)),"")</f>
        <v>9</v>
      </c>
      <c r="I390" s="29" t="n">
        <f aca="false">IFERROR(INDEX('Semrush Data'!$A$1:$Z$20000,MATCH(A390,'Semrush Data'!$A$1:$A$20000,0),MATCH("CPC*",'Semrush Data'!$A$1:$Z$1,0)),"")</f>
        <v>0</v>
      </c>
      <c r="J390" s="6" t="str">
        <f aca="false">IFERROR(INDEX('Semrush Data'!$A$1:$Z$20000,MATCH(A390,'Semrush Data'!$A$1:$A$20000,0),MATCH("Intent",'Semrush Data'!$A$1:$Z$1,0)),"")</f>
        <v>Informational</v>
      </c>
    </row>
    <row r="391" customFormat="false" ht="15" hidden="false" customHeight="true" outlineLevel="0" collapsed="false">
      <c r="A391" s="6" t="s">
        <v>3527</v>
      </c>
      <c r="B391" s="6" t="s">
        <v>41</v>
      </c>
      <c r="C391" s="6" t="n">
        <v>1</v>
      </c>
      <c r="D391" s="6" t="n">
        <v>4</v>
      </c>
      <c r="E391" s="6" t="n">
        <v>1</v>
      </c>
      <c r="F391" s="6" t="s">
        <v>93</v>
      </c>
      <c r="G391" s="28" t="n">
        <f aca="false">IFERROR(INDEX('Semrush Data'!$A$1:$Z$20000,MATCH(A391,'Semrush Data'!$A$1:$A$20000,0),MATCH("Volume",'Semrush Data'!$A$1:$Z$1,0)),"")</f>
        <v>880</v>
      </c>
      <c r="H391" s="6" t="n">
        <f aca="false">IFERROR(INDEX('Semrush Data'!$A$1:$Z$20000,MATCH(A391,'Semrush Data'!$A$1:$A$20000,0),MATCH("Keyword Difficulty*",'Semrush Data'!$A$1:$Z$1,0)),"")</f>
        <v>16</v>
      </c>
      <c r="I391" s="29" t="n">
        <f aca="false">IFERROR(INDEX('Semrush Data'!$A$1:$Z$20000,MATCH(A391,'Semrush Data'!$A$1:$A$20000,0),MATCH("CPC*",'Semrush Data'!$A$1:$Z$1,0)),"")</f>
        <v>0.42</v>
      </c>
      <c r="J391" s="6" t="str">
        <f aca="false">IFERROR(INDEX('Semrush Data'!$A$1:$Z$20000,MATCH(A391,'Semrush Data'!$A$1:$A$20000,0),MATCH("Intent",'Semrush Data'!$A$1:$Z$1,0)),"")</f>
        <v>Informational</v>
      </c>
    </row>
    <row r="392" customFormat="false" ht="15" hidden="false" customHeight="true" outlineLevel="0" collapsed="false">
      <c r="A392" s="6" t="s">
        <v>2291</v>
      </c>
      <c r="B392" s="6" t="s">
        <v>41</v>
      </c>
      <c r="C392" s="6" t="n">
        <v>1</v>
      </c>
      <c r="D392" s="6" t="n">
        <v>4</v>
      </c>
      <c r="E392" s="6" t="n">
        <v>1</v>
      </c>
      <c r="F392" s="6" t="s">
        <v>1246</v>
      </c>
      <c r="G392" s="28" t="n">
        <f aca="false">IFERROR(INDEX('Semrush Data'!$A$1:$Z$20000,MATCH(A392,'Semrush Data'!$A$1:$A$20000,0),MATCH("Volume",'Semrush Data'!$A$1:$Z$1,0)),"")</f>
        <v>0</v>
      </c>
      <c r="H392" s="6" t="n">
        <f aca="false">IFERROR(INDEX('Semrush Data'!$A$1:$Z$20000,MATCH(A392,'Semrush Data'!$A$1:$A$20000,0),MATCH("Keyword Difficulty*",'Semrush Data'!$A$1:$Z$1,0)),"")</f>
        <v>14</v>
      </c>
      <c r="I392" s="29" t="n">
        <f aca="false">IFERROR(INDEX('Semrush Data'!$A$1:$Z$20000,MATCH(A392,'Semrush Data'!$A$1:$A$20000,0),MATCH("CPC*",'Semrush Data'!$A$1:$Z$1,0)),"")</f>
        <v>0</v>
      </c>
      <c r="J392" s="6" t="str">
        <f aca="false">IFERROR(INDEX('Semrush Data'!$A$1:$Z$20000,MATCH(A392,'Semrush Data'!$A$1:$A$20000,0),MATCH("Intent",'Semrush Data'!$A$1:$Z$1,0)),"")</f>
        <v>Informational Transactional</v>
      </c>
    </row>
    <row r="393" customFormat="false" ht="15" hidden="false" customHeight="true" outlineLevel="0" collapsed="false">
      <c r="A393" s="6" t="s">
        <v>1980</v>
      </c>
      <c r="B393" s="6" t="s">
        <v>41</v>
      </c>
      <c r="C393" s="6" t="n">
        <v>1</v>
      </c>
      <c r="D393" s="6" t="n">
        <v>4</v>
      </c>
      <c r="E393" s="6" t="n">
        <v>1</v>
      </c>
      <c r="F393" s="6" t="s">
        <v>939</v>
      </c>
      <c r="G393" s="28" t="n">
        <f aca="false">IFERROR(INDEX('Semrush Data'!$A$1:$Z$20000,MATCH(A393,'Semrush Data'!$A$1:$A$20000,0),MATCH("Volume",'Semrush Data'!$A$1:$Z$1,0)),"")</f>
        <v>0</v>
      </c>
      <c r="H393" s="6" t="n">
        <f aca="false">IFERROR(INDEX('Semrush Data'!$A$1:$Z$20000,MATCH(A393,'Semrush Data'!$A$1:$A$20000,0),MATCH("Keyword Difficulty*",'Semrush Data'!$A$1:$Z$1,0)),"")</f>
        <v>18</v>
      </c>
      <c r="I393" s="29" t="n">
        <f aca="false">IFERROR(INDEX('Semrush Data'!$A$1:$Z$20000,MATCH(A393,'Semrush Data'!$A$1:$A$20000,0),MATCH("CPC*",'Semrush Data'!$A$1:$Z$1,0)),"")</f>
        <v>0</v>
      </c>
      <c r="J393" s="6" t="str">
        <f aca="false">IFERROR(INDEX('Semrush Data'!$A$1:$Z$20000,MATCH(A393,'Semrush Data'!$A$1:$A$20000,0),MATCH("Intent",'Semrush Data'!$A$1:$Z$1,0)),"")</f>
        <v>Informational Transactional</v>
      </c>
    </row>
    <row r="394" customFormat="false" ht="15" hidden="false" customHeight="true" outlineLevel="0" collapsed="false">
      <c r="A394" s="6" t="s">
        <v>2382</v>
      </c>
      <c r="B394" s="6" t="s">
        <v>41</v>
      </c>
      <c r="C394" s="6" t="n">
        <v>1</v>
      </c>
      <c r="D394" s="6" t="n">
        <v>4</v>
      </c>
      <c r="E394" s="6" t="n">
        <v>1</v>
      </c>
      <c r="F394" s="6" t="s">
        <v>1338</v>
      </c>
      <c r="G394" s="28" t="n">
        <f aca="false">IFERROR(INDEX('Semrush Data'!$A$1:$Z$20000,MATCH(A394,'Semrush Data'!$A$1:$A$20000,0),MATCH("Volume",'Semrush Data'!$A$1:$Z$1,0)),"")</f>
        <v>0</v>
      </c>
      <c r="H394" s="6" t="n">
        <f aca="false">IFERROR(INDEX('Semrush Data'!$A$1:$Z$20000,MATCH(A394,'Semrush Data'!$A$1:$A$20000,0),MATCH("Keyword Difficulty*",'Semrush Data'!$A$1:$Z$1,0)),"")</f>
        <v>14</v>
      </c>
      <c r="I394" s="29" t="n">
        <f aca="false">IFERROR(INDEX('Semrush Data'!$A$1:$Z$20000,MATCH(A394,'Semrush Data'!$A$1:$A$20000,0),MATCH("CPC*",'Semrush Data'!$A$1:$Z$1,0)),"")</f>
        <v>0</v>
      </c>
      <c r="J394" s="6" t="str">
        <f aca="false">IFERROR(INDEX('Semrush Data'!$A$1:$Z$20000,MATCH(A394,'Semrush Data'!$A$1:$A$20000,0),MATCH("Intent",'Semrush Data'!$A$1:$Z$1,0)),"")</f>
        <v>Informational</v>
      </c>
    </row>
    <row r="395" customFormat="false" ht="15" hidden="false" customHeight="true" outlineLevel="0" collapsed="false">
      <c r="A395" s="6" t="s">
        <v>2317</v>
      </c>
      <c r="B395" s="6" t="s">
        <v>41</v>
      </c>
      <c r="C395" s="6" t="n">
        <v>1</v>
      </c>
      <c r="D395" s="6" t="n">
        <v>4</v>
      </c>
      <c r="E395" s="6" t="n">
        <v>1</v>
      </c>
      <c r="F395" s="6" t="s">
        <v>1272</v>
      </c>
      <c r="G395" s="28" t="n">
        <f aca="false">IFERROR(INDEX('Semrush Data'!$A$1:$Z$20000,MATCH(A395,'Semrush Data'!$A$1:$A$20000,0),MATCH("Volume",'Semrush Data'!$A$1:$Z$1,0)),"")</f>
        <v>0</v>
      </c>
      <c r="H395" s="6" t="n">
        <f aca="false">IFERROR(INDEX('Semrush Data'!$A$1:$Z$20000,MATCH(A395,'Semrush Data'!$A$1:$A$20000,0),MATCH("Keyword Difficulty*",'Semrush Data'!$A$1:$Z$1,0)),"")</f>
        <v>14</v>
      </c>
      <c r="I395" s="29" t="n">
        <f aca="false">IFERROR(INDEX('Semrush Data'!$A$1:$Z$20000,MATCH(A395,'Semrush Data'!$A$1:$A$20000,0),MATCH("CPC*",'Semrush Data'!$A$1:$Z$1,0)),"")</f>
        <v>0</v>
      </c>
      <c r="J395" s="6" t="str">
        <f aca="false">IFERROR(INDEX('Semrush Data'!$A$1:$Z$20000,MATCH(A395,'Semrush Data'!$A$1:$A$20000,0),MATCH("Intent",'Semrush Data'!$A$1:$Z$1,0)),"")</f>
        <v>Transactional Navigational</v>
      </c>
    </row>
    <row r="396" customFormat="false" ht="15" hidden="false" customHeight="true" outlineLevel="0" collapsed="false">
      <c r="A396" s="6" t="s">
        <v>2323</v>
      </c>
      <c r="B396" s="6" t="s">
        <v>41</v>
      </c>
      <c r="C396" s="6" t="n">
        <v>1</v>
      </c>
      <c r="D396" s="6" t="n">
        <v>4</v>
      </c>
      <c r="E396" s="6" t="n">
        <v>1</v>
      </c>
      <c r="F396" s="6" t="s">
        <v>1278</v>
      </c>
      <c r="G396" s="28" t="n">
        <f aca="false">IFERROR(INDEX('Semrush Data'!$A$1:$Z$20000,MATCH(A396,'Semrush Data'!$A$1:$A$20000,0),MATCH("Volume",'Semrush Data'!$A$1:$Z$1,0)),"")</f>
        <v>0</v>
      </c>
      <c r="H396" s="6" t="n">
        <f aca="false">IFERROR(INDEX('Semrush Data'!$A$1:$Z$20000,MATCH(A396,'Semrush Data'!$A$1:$A$20000,0),MATCH("Keyword Difficulty*",'Semrush Data'!$A$1:$Z$1,0)),"")</f>
        <v>14</v>
      </c>
      <c r="I396" s="29" t="n">
        <f aca="false">IFERROR(INDEX('Semrush Data'!$A$1:$Z$20000,MATCH(A396,'Semrush Data'!$A$1:$A$20000,0),MATCH("CPC*",'Semrush Data'!$A$1:$Z$1,0)),"")</f>
        <v>0</v>
      </c>
      <c r="J396" s="6" t="str">
        <f aca="false">IFERROR(INDEX('Semrush Data'!$A$1:$Z$20000,MATCH(A396,'Semrush Data'!$A$1:$A$20000,0),MATCH("Intent",'Semrush Data'!$A$1:$Z$1,0)),"")</f>
        <v>Transactional Navigational</v>
      </c>
    </row>
    <row r="397" customFormat="false" ht="15" hidden="false" customHeight="true" outlineLevel="0" collapsed="false">
      <c r="A397" s="6" t="s">
        <v>1957</v>
      </c>
      <c r="B397" s="6" t="s">
        <v>41</v>
      </c>
      <c r="C397" s="6" t="n">
        <v>1</v>
      </c>
      <c r="D397" s="6" t="n">
        <v>4</v>
      </c>
      <c r="E397" s="6" t="n">
        <v>1</v>
      </c>
      <c r="F397" s="6" t="s">
        <v>920</v>
      </c>
      <c r="G397" s="28" t="n">
        <f aca="false">IFERROR(INDEX('Semrush Data'!$A$1:$Z$20000,MATCH(A397,'Semrush Data'!$A$1:$A$20000,0),MATCH("Volume",'Semrush Data'!$A$1:$Z$1,0)),"")</f>
        <v>0</v>
      </c>
      <c r="H397" s="6" t="n">
        <f aca="false">IFERROR(INDEX('Semrush Data'!$A$1:$Z$20000,MATCH(A397,'Semrush Data'!$A$1:$A$20000,0),MATCH("Keyword Difficulty*",'Semrush Data'!$A$1:$Z$1,0)),"")</f>
        <v>13</v>
      </c>
      <c r="I397" s="29" t="n">
        <f aca="false">IFERROR(INDEX('Semrush Data'!$A$1:$Z$20000,MATCH(A397,'Semrush Data'!$A$1:$A$20000,0),MATCH("CPC*",'Semrush Data'!$A$1:$Z$1,0)),"")</f>
        <v>0</v>
      </c>
      <c r="J397" s="6" t="str">
        <f aca="false">IFERROR(INDEX('Semrush Data'!$A$1:$Z$20000,MATCH(A397,'Semrush Data'!$A$1:$A$20000,0),MATCH("Intent",'Semrush Data'!$A$1:$Z$1,0)),"")</f>
        <v>Informational Navigational</v>
      </c>
    </row>
    <row r="398" customFormat="false" ht="15" hidden="false" customHeight="true" outlineLevel="0" collapsed="false">
      <c r="A398" s="6" t="s">
        <v>2165</v>
      </c>
      <c r="B398" s="6" t="s">
        <v>41</v>
      </c>
      <c r="C398" s="6" t="n">
        <v>1</v>
      </c>
      <c r="D398" s="6" t="n">
        <v>4</v>
      </c>
      <c r="E398" s="6" t="n">
        <v>1</v>
      </c>
      <c r="F398" s="6" t="s">
        <v>1117</v>
      </c>
      <c r="G398" s="28" t="n">
        <f aca="false">IFERROR(INDEX('Semrush Data'!$A$1:$Z$20000,MATCH(A398,'Semrush Data'!$A$1:$A$20000,0),MATCH("Volume",'Semrush Data'!$A$1:$Z$1,0)),"")</f>
        <v>0</v>
      </c>
      <c r="H398" s="6" t="n">
        <f aca="false">IFERROR(INDEX('Semrush Data'!$A$1:$Z$20000,MATCH(A398,'Semrush Data'!$A$1:$A$20000,0),MATCH("Keyword Difficulty*",'Semrush Data'!$A$1:$Z$1,0)),"")</f>
        <v>15</v>
      </c>
      <c r="I398" s="29" t="n">
        <f aca="false">IFERROR(INDEX('Semrush Data'!$A$1:$Z$20000,MATCH(A398,'Semrush Data'!$A$1:$A$20000,0),MATCH("CPC*",'Semrush Data'!$A$1:$Z$1,0)),"")</f>
        <v>0</v>
      </c>
      <c r="J398" s="6" t="str">
        <f aca="false">IFERROR(INDEX('Semrush Data'!$A$1:$Z$20000,MATCH(A398,'Semrush Data'!$A$1:$A$20000,0),MATCH("Intent",'Semrush Data'!$A$1:$Z$1,0)),"")</f>
        <v>Informational Transactional</v>
      </c>
    </row>
    <row r="399" customFormat="false" ht="15" hidden="false" customHeight="true" outlineLevel="0" collapsed="false">
      <c r="A399" s="6" t="s">
        <v>2265</v>
      </c>
      <c r="B399" s="6" t="s">
        <v>41</v>
      </c>
      <c r="C399" s="6" t="n">
        <v>1</v>
      </c>
      <c r="D399" s="6" t="n">
        <v>4</v>
      </c>
      <c r="E399" s="6" t="n">
        <v>1</v>
      </c>
      <c r="F399" s="6" t="s">
        <v>1219</v>
      </c>
      <c r="G399" s="28" t="n">
        <f aca="false">IFERROR(INDEX('Semrush Data'!$A$1:$Z$20000,MATCH(A399,'Semrush Data'!$A$1:$A$20000,0),MATCH("Volume",'Semrush Data'!$A$1:$Z$1,0)),"")</f>
        <v>20</v>
      </c>
      <c r="H399" s="6" t="n">
        <f aca="false">IFERROR(INDEX('Semrush Data'!$A$1:$Z$20000,MATCH(A399,'Semrush Data'!$A$1:$A$20000,0),MATCH("Keyword Difficulty*",'Semrush Data'!$A$1:$Z$1,0)),"")</f>
        <v>9</v>
      </c>
      <c r="I399" s="29" t="n">
        <f aca="false">IFERROR(INDEX('Semrush Data'!$A$1:$Z$20000,MATCH(A399,'Semrush Data'!$A$1:$A$20000,0),MATCH("CPC*",'Semrush Data'!$A$1:$Z$1,0)),"")</f>
        <v>0</v>
      </c>
      <c r="J399" s="6" t="str">
        <f aca="false">IFERROR(INDEX('Semrush Data'!$A$1:$Z$20000,MATCH(A399,'Semrush Data'!$A$1:$A$20000,0),MATCH("Intent",'Semrush Data'!$A$1:$Z$1,0)),"")</f>
        <v>Transactional Navigational</v>
      </c>
    </row>
    <row r="400" customFormat="false" ht="15" hidden="false" customHeight="true" outlineLevel="0" collapsed="false">
      <c r="A400" s="6" t="s">
        <v>2002</v>
      </c>
      <c r="B400" s="6" t="s">
        <v>41</v>
      </c>
      <c r="C400" s="6" t="n">
        <v>1</v>
      </c>
      <c r="D400" s="6" t="n">
        <v>4</v>
      </c>
      <c r="E400" s="6" t="n">
        <v>1</v>
      </c>
      <c r="F400" s="6" t="s">
        <v>958</v>
      </c>
      <c r="G400" s="28" t="n">
        <f aca="false">IFERROR(INDEX('Semrush Data'!$A$1:$Z$20000,MATCH(A400,'Semrush Data'!$A$1:$A$20000,0),MATCH("Volume",'Semrush Data'!$A$1:$Z$1,0)),"")</f>
        <v>0</v>
      </c>
      <c r="H400" s="6" t="n">
        <f aca="false">IFERROR(INDEX('Semrush Data'!$A$1:$Z$20000,MATCH(A400,'Semrush Data'!$A$1:$A$20000,0),MATCH("Keyword Difficulty*",'Semrush Data'!$A$1:$Z$1,0)),"")</f>
        <v>14</v>
      </c>
      <c r="I400" s="29" t="n">
        <f aca="false">IFERROR(INDEX('Semrush Data'!$A$1:$Z$20000,MATCH(A400,'Semrush Data'!$A$1:$A$20000,0),MATCH("CPC*",'Semrush Data'!$A$1:$Z$1,0)),"")</f>
        <v>0</v>
      </c>
      <c r="J400" s="6" t="str">
        <f aca="false">IFERROR(INDEX('Semrush Data'!$A$1:$Z$20000,MATCH(A400,'Semrush Data'!$A$1:$A$20000,0),MATCH("Intent",'Semrush Data'!$A$1:$Z$1,0)),"")</f>
        <v>Transactional Navigational</v>
      </c>
    </row>
    <row r="401" customFormat="false" ht="15" hidden="false" customHeight="true" outlineLevel="0" collapsed="false">
      <c r="A401" s="6" t="s">
        <v>2259</v>
      </c>
      <c r="B401" s="6" t="s">
        <v>41</v>
      </c>
      <c r="C401" s="6" t="n">
        <v>1</v>
      </c>
      <c r="D401" s="6" t="n">
        <v>4</v>
      </c>
      <c r="E401" s="6" t="n">
        <v>1</v>
      </c>
      <c r="F401" s="6" t="s">
        <v>1213</v>
      </c>
      <c r="G401" s="28" t="n">
        <f aca="false">IFERROR(INDEX('Semrush Data'!$A$1:$Z$20000,MATCH(A401,'Semrush Data'!$A$1:$A$20000,0),MATCH("Volume",'Semrush Data'!$A$1:$Z$1,0)),"")</f>
        <v>0</v>
      </c>
      <c r="H401" s="6" t="n">
        <f aca="false">IFERROR(INDEX('Semrush Data'!$A$1:$Z$20000,MATCH(A401,'Semrush Data'!$A$1:$A$20000,0),MATCH("Keyword Difficulty*",'Semrush Data'!$A$1:$Z$1,0)),"")</f>
        <v>14</v>
      </c>
      <c r="I401" s="29" t="n">
        <f aca="false">IFERROR(INDEX('Semrush Data'!$A$1:$Z$20000,MATCH(A401,'Semrush Data'!$A$1:$A$20000,0),MATCH("CPC*",'Semrush Data'!$A$1:$Z$1,0)),"")</f>
        <v>0</v>
      </c>
      <c r="J401" s="6" t="str">
        <f aca="false">IFERROR(INDEX('Semrush Data'!$A$1:$Z$20000,MATCH(A401,'Semrush Data'!$A$1:$A$20000,0),MATCH("Intent",'Semrush Data'!$A$1:$Z$1,0)),"")</f>
        <v>Transactional Navigational</v>
      </c>
    </row>
    <row r="402" customFormat="false" ht="15" hidden="false" customHeight="true" outlineLevel="0" collapsed="false">
      <c r="A402" s="6" t="s">
        <v>2198</v>
      </c>
      <c r="B402" s="6" t="s">
        <v>41</v>
      </c>
      <c r="C402" s="6" t="n">
        <v>1</v>
      </c>
      <c r="D402" s="6" t="n">
        <v>5</v>
      </c>
      <c r="E402" s="6" t="n">
        <v>1</v>
      </c>
      <c r="F402" s="6" t="s">
        <v>1150</v>
      </c>
      <c r="G402" s="28" t="n">
        <f aca="false">IFERROR(INDEX('Semrush Data'!$A$1:$Z$20000,MATCH(A402,'Semrush Data'!$A$1:$A$20000,0),MATCH("Volume",'Semrush Data'!$A$1:$Z$1,0)),"")</f>
        <v>0</v>
      </c>
      <c r="H402" s="6" t="n">
        <f aca="false">IFERROR(INDEX('Semrush Data'!$A$1:$Z$20000,MATCH(A402,'Semrush Data'!$A$1:$A$20000,0),MATCH("Keyword Difficulty*",'Semrush Data'!$A$1:$Z$1,0)),"")</f>
        <v>16</v>
      </c>
      <c r="I402" s="29" t="n">
        <f aca="false">IFERROR(INDEX('Semrush Data'!$A$1:$Z$20000,MATCH(A402,'Semrush Data'!$A$1:$A$20000,0),MATCH("CPC*",'Semrush Data'!$A$1:$Z$1,0)),"")</f>
        <v>0</v>
      </c>
      <c r="J402" s="6" t="str">
        <f aca="false">IFERROR(INDEX('Semrush Data'!$A$1:$Z$20000,MATCH(A402,'Semrush Data'!$A$1:$A$20000,0),MATCH("Intent",'Semrush Data'!$A$1:$Z$1,0)),"")</f>
        <v>Transactional</v>
      </c>
    </row>
    <row r="403" customFormat="false" ht="15" hidden="false" customHeight="true" outlineLevel="0" collapsed="false">
      <c r="A403" s="6" t="s">
        <v>2278</v>
      </c>
      <c r="B403" s="6" t="s">
        <v>41</v>
      </c>
      <c r="C403" s="6" t="n">
        <v>1</v>
      </c>
      <c r="D403" s="6" t="n">
        <v>5</v>
      </c>
      <c r="E403" s="6" t="n">
        <v>1</v>
      </c>
      <c r="F403" s="6" t="s">
        <v>1232</v>
      </c>
      <c r="G403" s="28" t="n">
        <f aca="false">IFERROR(INDEX('Semrush Data'!$A$1:$Z$20000,MATCH(A403,'Semrush Data'!$A$1:$A$20000,0),MATCH("Volume",'Semrush Data'!$A$1:$Z$1,0)),"")</f>
        <v>0</v>
      </c>
      <c r="H403" s="6" t="n">
        <f aca="false">IFERROR(INDEX('Semrush Data'!$A$1:$Z$20000,MATCH(A403,'Semrush Data'!$A$1:$A$20000,0),MATCH("Keyword Difficulty*",'Semrush Data'!$A$1:$Z$1,0)),"")</f>
        <v>22</v>
      </c>
      <c r="I403" s="29" t="n">
        <f aca="false">IFERROR(INDEX('Semrush Data'!$A$1:$Z$20000,MATCH(A403,'Semrush Data'!$A$1:$A$20000,0),MATCH("CPC*",'Semrush Data'!$A$1:$Z$1,0)),"")</f>
        <v>0</v>
      </c>
      <c r="J403" s="6" t="str">
        <f aca="false">IFERROR(INDEX('Semrush Data'!$A$1:$Z$20000,MATCH(A403,'Semrush Data'!$A$1:$A$20000,0),MATCH("Intent",'Semrush Data'!$A$1:$Z$1,0)),"")</f>
        <v>Informational Transactional</v>
      </c>
    </row>
    <row r="404" customFormat="false" ht="15" hidden="false" customHeight="true" outlineLevel="0" collapsed="false">
      <c r="A404" s="6" t="s">
        <v>2186</v>
      </c>
      <c r="B404" s="6" t="s">
        <v>41</v>
      </c>
      <c r="C404" s="6" t="n">
        <v>1</v>
      </c>
      <c r="D404" s="6" t="n">
        <v>5</v>
      </c>
      <c r="E404" s="6" t="n">
        <v>1</v>
      </c>
      <c r="F404" s="6" t="s">
        <v>1135</v>
      </c>
      <c r="G404" s="28" t="n">
        <f aca="false">IFERROR(INDEX('Semrush Data'!$A$1:$Z$20000,MATCH(A404,'Semrush Data'!$A$1:$A$20000,0),MATCH("Volume",'Semrush Data'!$A$1:$Z$1,0)),"")</f>
        <v>0</v>
      </c>
      <c r="H404" s="6" t="n">
        <f aca="false">IFERROR(INDEX('Semrush Data'!$A$1:$Z$20000,MATCH(A404,'Semrush Data'!$A$1:$A$20000,0),MATCH("Keyword Difficulty*",'Semrush Data'!$A$1:$Z$1,0)),"")</f>
        <v>18</v>
      </c>
      <c r="I404" s="29" t="n">
        <f aca="false">IFERROR(INDEX('Semrush Data'!$A$1:$Z$20000,MATCH(A404,'Semrush Data'!$A$1:$A$20000,0),MATCH("CPC*",'Semrush Data'!$A$1:$Z$1,0)),"")</f>
        <v>0</v>
      </c>
      <c r="J404" s="6" t="str">
        <f aca="false">IFERROR(INDEX('Semrush Data'!$A$1:$Z$20000,MATCH(A404,'Semrush Data'!$A$1:$A$20000,0),MATCH("Intent",'Semrush Data'!$A$1:$Z$1,0)),"")</f>
        <v>Informational Transactional</v>
      </c>
    </row>
    <row r="405" customFormat="false" ht="15" hidden="false" customHeight="true" outlineLevel="0" collapsed="false">
      <c r="A405" s="6" t="s">
        <v>2347</v>
      </c>
      <c r="B405" s="6" t="s">
        <v>41</v>
      </c>
      <c r="C405" s="6" t="n">
        <v>1</v>
      </c>
      <c r="D405" s="6" t="n">
        <v>5</v>
      </c>
      <c r="E405" s="6" t="n">
        <v>1</v>
      </c>
      <c r="F405" s="6" t="s">
        <v>1302</v>
      </c>
      <c r="G405" s="28" t="n">
        <f aca="false">IFERROR(INDEX('Semrush Data'!$A$1:$Z$20000,MATCH(A405,'Semrush Data'!$A$1:$A$20000,0),MATCH("Volume",'Semrush Data'!$A$1:$Z$1,0)),"")</f>
        <v>0</v>
      </c>
      <c r="H405" s="6" t="n">
        <f aca="false">IFERROR(INDEX('Semrush Data'!$A$1:$Z$20000,MATCH(A405,'Semrush Data'!$A$1:$A$20000,0),MATCH("Keyword Difficulty*",'Semrush Data'!$A$1:$Z$1,0)),"")</f>
        <v>15</v>
      </c>
      <c r="I405" s="29" t="n">
        <f aca="false">IFERROR(INDEX('Semrush Data'!$A$1:$Z$20000,MATCH(A405,'Semrush Data'!$A$1:$A$20000,0),MATCH("CPC*",'Semrush Data'!$A$1:$Z$1,0)),"")</f>
        <v>0</v>
      </c>
      <c r="J405" s="6" t="str">
        <f aca="false">IFERROR(INDEX('Semrush Data'!$A$1:$Z$20000,MATCH(A405,'Semrush Data'!$A$1:$A$20000,0),MATCH("Intent",'Semrush Data'!$A$1:$Z$1,0)),"")</f>
        <v>Commercial</v>
      </c>
    </row>
    <row r="406" customFormat="false" ht="15" hidden="false" customHeight="true" outlineLevel="0" collapsed="false">
      <c r="A406" s="6" t="s">
        <v>1964</v>
      </c>
      <c r="B406" s="6" t="s">
        <v>41</v>
      </c>
      <c r="C406" s="6" t="n">
        <v>1</v>
      </c>
      <c r="D406" s="6" t="n">
        <v>5</v>
      </c>
      <c r="E406" s="6" t="n">
        <v>2</v>
      </c>
      <c r="F406" s="6" t="s">
        <v>6703</v>
      </c>
      <c r="G406" s="28" t="n">
        <f aca="false">IFERROR(INDEX('Semrush Data'!$A$1:$Z$20000,MATCH(A406,'Semrush Data'!$A$1:$A$20000,0),MATCH("Volume",'Semrush Data'!$A$1:$Z$1,0)),"")</f>
        <v>0</v>
      </c>
      <c r="H406" s="6" t="n">
        <f aca="false">IFERROR(INDEX('Semrush Data'!$A$1:$Z$20000,MATCH(A406,'Semrush Data'!$A$1:$A$20000,0),MATCH("Keyword Difficulty*",'Semrush Data'!$A$1:$Z$1,0)),"")</f>
        <v>14</v>
      </c>
      <c r="I406" s="29" t="n">
        <f aca="false">IFERROR(INDEX('Semrush Data'!$A$1:$Z$20000,MATCH(A406,'Semrush Data'!$A$1:$A$20000,0),MATCH("CPC*",'Semrush Data'!$A$1:$Z$1,0)),"")</f>
        <v>0</v>
      </c>
      <c r="J406" s="6" t="str">
        <f aca="false">IFERROR(INDEX('Semrush Data'!$A$1:$Z$20000,MATCH(A406,'Semrush Data'!$A$1:$A$20000,0),MATCH("Intent",'Semrush Data'!$A$1:$Z$1,0)),"")</f>
        <v>Transactional Navigational</v>
      </c>
    </row>
    <row r="407" customFormat="false" ht="15" hidden="false" customHeight="true" outlineLevel="0" collapsed="false">
      <c r="A407" s="6" t="s">
        <v>2205</v>
      </c>
      <c r="B407" s="6" t="s">
        <v>41</v>
      </c>
      <c r="C407" s="6" t="n">
        <v>1</v>
      </c>
      <c r="D407" s="6" t="n">
        <v>5</v>
      </c>
      <c r="E407" s="6" t="n">
        <v>1</v>
      </c>
      <c r="F407" s="6" t="s">
        <v>1157</v>
      </c>
      <c r="G407" s="28" t="n">
        <f aca="false">IFERROR(INDEX('Semrush Data'!$A$1:$Z$20000,MATCH(A407,'Semrush Data'!$A$1:$A$20000,0),MATCH("Volume",'Semrush Data'!$A$1:$Z$1,0)),"")</f>
        <v>0</v>
      </c>
      <c r="H407" s="6" t="n">
        <f aca="false">IFERROR(INDEX('Semrush Data'!$A$1:$Z$20000,MATCH(A407,'Semrush Data'!$A$1:$A$20000,0),MATCH("Keyword Difficulty*",'Semrush Data'!$A$1:$Z$1,0)),"")</f>
        <v>22</v>
      </c>
      <c r="I407" s="29" t="n">
        <f aca="false">IFERROR(INDEX('Semrush Data'!$A$1:$Z$20000,MATCH(A407,'Semrush Data'!$A$1:$A$20000,0),MATCH("CPC*",'Semrush Data'!$A$1:$Z$1,0)),"")</f>
        <v>0</v>
      </c>
      <c r="J407" s="6" t="str">
        <f aca="false">IFERROR(INDEX('Semrush Data'!$A$1:$Z$20000,MATCH(A407,'Semrush Data'!$A$1:$A$20000,0),MATCH("Intent",'Semrush Data'!$A$1:$Z$1,0)),"")</f>
        <v>Informational Navigational</v>
      </c>
    </row>
    <row r="408" customFormat="false" ht="15" hidden="false" customHeight="true" outlineLevel="0" collapsed="false">
      <c r="A408" s="6" t="s">
        <v>1949</v>
      </c>
      <c r="B408" s="6" t="s">
        <v>41</v>
      </c>
      <c r="C408" s="6" t="n">
        <v>1</v>
      </c>
      <c r="D408" s="6" t="n">
        <v>5</v>
      </c>
      <c r="E408" s="6" t="n">
        <v>1</v>
      </c>
      <c r="F408" s="6" t="s">
        <v>914</v>
      </c>
      <c r="G408" s="28" t="n">
        <f aca="false">IFERROR(INDEX('Semrush Data'!$A$1:$Z$20000,MATCH(A408,'Semrush Data'!$A$1:$A$20000,0),MATCH("Volume",'Semrush Data'!$A$1:$Z$1,0)),"")</f>
        <v>0</v>
      </c>
      <c r="H408" s="6" t="n">
        <f aca="false">IFERROR(INDEX('Semrush Data'!$A$1:$Z$20000,MATCH(A408,'Semrush Data'!$A$1:$A$20000,0),MATCH("Keyword Difficulty*",'Semrush Data'!$A$1:$Z$1,0)),"")</f>
        <v>15</v>
      </c>
      <c r="I408" s="29" t="n">
        <f aca="false">IFERROR(INDEX('Semrush Data'!$A$1:$Z$20000,MATCH(A408,'Semrush Data'!$A$1:$A$20000,0),MATCH("CPC*",'Semrush Data'!$A$1:$Z$1,0)),"")</f>
        <v>0</v>
      </c>
      <c r="J408" s="6" t="str">
        <f aca="false">IFERROR(INDEX('Semrush Data'!$A$1:$Z$20000,MATCH(A408,'Semrush Data'!$A$1:$A$20000,0),MATCH("Intent",'Semrush Data'!$A$1:$Z$1,0)),"")</f>
        <v>Transactional Navigational</v>
      </c>
    </row>
    <row r="409" customFormat="false" ht="15" hidden="false" customHeight="true" outlineLevel="0" collapsed="false">
      <c r="A409" s="6" t="s">
        <v>2218</v>
      </c>
      <c r="B409" s="6" t="s">
        <v>41</v>
      </c>
      <c r="C409" s="6" t="n">
        <v>1</v>
      </c>
      <c r="D409" s="6" t="n">
        <v>5</v>
      </c>
      <c r="E409" s="6" t="n">
        <v>1</v>
      </c>
      <c r="F409" s="6" t="s">
        <v>1171</v>
      </c>
      <c r="G409" s="28" t="n">
        <f aca="false">IFERROR(INDEX('Semrush Data'!$A$1:$Z$20000,MATCH(A409,'Semrush Data'!$A$1:$A$20000,0),MATCH("Volume",'Semrush Data'!$A$1:$Z$1,0)),"")</f>
        <v>10</v>
      </c>
      <c r="H409" s="6" t="n">
        <f aca="false">IFERROR(INDEX('Semrush Data'!$A$1:$Z$20000,MATCH(A409,'Semrush Data'!$A$1:$A$20000,0),MATCH("Keyword Difficulty*",'Semrush Data'!$A$1:$Z$1,0)),"")</f>
        <v>8</v>
      </c>
      <c r="I409" s="29" t="n">
        <f aca="false">IFERROR(INDEX('Semrush Data'!$A$1:$Z$20000,MATCH(A409,'Semrush Data'!$A$1:$A$20000,0),MATCH("CPC*",'Semrush Data'!$A$1:$Z$1,0)),"")</f>
        <v>0</v>
      </c>
      <c r="J409" s="6" t="str">
        <f aca="false">IFERROR(INDEX('Semrush Data'!$A$1:$Z$20000,MATCH(A409,'Semrush Data'!$A$1:$A$20000,0),MATCH("Intent",'Semrush Data'!$A$1:$Z$1,0)),"")</f>
        <v>Transactional Navigational</v>
      </c>
    </row>
    <row r="410" customFormat="false" ht="15" hidden="false" customHeight="true" outlineLevel="0" collapsed="false">
      <c r="A410" s="6" t="s">
        <v>1942</v>
      </c>
      <c r="B410" s="6" t="s">
        <v>41</v>
      </c>
      <c r="C410" s="6" t="n">
        <v>1</v>
      </c>
      <c r="D410" s="6" t="n">
        <v>5</v>
      </c>
      <c r="E410" s="6" t="n">
        <v>1</v>
      </c>
      <c r="F410" s="6" t="s">
        <v>905</v>
      </c>
      <c r="G410" s="28" t="n">
        <f aca="false">IFERROR(INDEX('Semrush Data'!$A$1:$Z$20000,MATCH(A410,'Semrush Data'!$A$1:$A$20000,0),MATCH("Volume",'Semrush Data'!$A$1:$Z$1,0)),"")</f>
        <v>0</v>
      </c>
      <c r="H410" s="6" t="n">
        <f aca="false">IFERROR(INDEX('Semrush Data'!$A$1:$Z$20000,MATCH(A410,'Semrush Data'!$A$1:$A$20000,0),MATCH("Keyword Difficulty*",'Semrush Data'!$A$1:$Z$1,0)),"")</f>
        <v>14</v>
      </c>
      <c r="I410" s="29" t="n">
        <f aca="false">IFERROR(INDEX('Semrush Data'!$A$1:$Z$20000,MATCH(A410,'Semrush Data'!$A$1:$A$20000,0),MATCH("CPC*",'Semrush Data'!$A$1:$Z$1,0)),"")</f>
        <v>0</v>
      </c>
      <c r="J410" s="6" t="str">
        <f aca="false">IFERROR(INDEX('Semrush Data'!$A$1:$Z$20000,MATCH(A410,'Semrush Data'!$A$1:$A$20000,0),MATCH("Intent",'Semrush Data'!$A$1:$Z$1,0)),"")</f>
        <v>Transactional Navigational</v>
      </c>
    </row>
    <row r="411" customFormat="false" ht="15" hidden="false" customHeight="true" outlineLevel="0" collapsed="false">
      <c r="A411" s="6" t="s">
        <v>2341</v>
      </c>
      <c r="B411" s="6" t="s">
        <v>41</v>
      </c>
      <c r="C411" s="6" t="n">
        <v>1</v>
      </c>
      <c r="D411" s="6" t="n">
        <v>5</v>
      </c>
      <c r="E411" s="6" t="n">
        <v>1</v>
      </c>
      <c r="F411" s="6" t="s">
        <v>1296</v>
      </c>
      <c r="G411" s="28" t="n">
        <f aca="false">IFERROR(INDEX('Semrush Data'!$A$1:$Z$20000,MATCH(A411,'Semrush Data'!$A$1:$A$20000,0),MATCH("Volume",'Semrush Data'!$A$1:$Z$1,0)),"")</f>
        <v>0</v>
      </c>
      <c r="H411" s="6" t="n">
        <f aca="false">IFERROR(INDEX('Semrush Data'!$A$1:$Z$20000,MATCH(A411,'Semrush Data'!$A$1:$A$20000,0),MATCH("Keyword Difficulty*",'Semrush Data'!$A$1:$Z$1,0)),"")</f>
        <v>18</v>
      </c>
      <c r="I411" s="29" t="n">
        <f aca="false">IFERROR(INDEX('Semrush Data'!$A$1:$Z$20000,MATCH(A411,'Semrush Data'!$A$1:$A$20000,0),MATCH("CPC*",'Semrush Data'!$A$1:$Z$1,0)),"")</f>
        <v>0</v>
      </c>
      <c r="J411" s="6" t="str">
        <f aca="false">IFERROR(INDEX('Semrush Data'!$A$1:$Z$20000,MATCH(A411,'Semrush Data'!$A$1:$A$20000,0),MATCH("Intent",'Semrush Data'!$A$1:$Z$1,0)),"")</f>
        <v>Transactional Navigational</v>
      </c>
    </row>
    <row r="412" customFormat="false" ht="15" hidden="false" customHeight="true" outlineLevel="0" collapsed="false">
      <c r="A412" s="6" t="s">
        <v>2335</v>
      </c>
      <c r="B412" s="6" t="s">
        <v>41</v>
      </c>
      <c r="C412" s="6" t="n">
        <v>1</v>
      </c>
      <c r="D412" s="6" t="n">
        <v>5</v>
      </c>
      <c r="E412" s="6" t="n">
        <v>1</v>
      </c>
      <c r="F412" s="6" t="s">
        <v>1290</v>
      </c>
      <c r="G412" s="28" t="n">
        <f aca="false">IFERROR(INDEX('Semrush Data'!$A$1:$Z$20000,MATCH(A412,'Semrush Data'!$A$1:$A$20000,0),MATCH("Volume",'Semrush Data'!$A$1:$Z$1,0)),"")</f>
        <v>0</v>
      </c>
      <c r="H412" s="6" t="n">
        <f aca="false">IFERROR(INDEX('Semrush Data'!$A$1:$Z$20000,MATCH(A412,'Semrush Data'!$A$1:$A$20000,0),MATCH("Keyword Difficulty*",'Semrush Data'!$A$1:$Z$1,0)),"")</f>
        <v>15</v>
      </c>
      <c r="I412" s="29" t="n">
        <f aca="false">IFERROR(INDEX('Semrush Data'!$A$1:$Z$20000,MATCH(A412,'Semrush Data'!$A$1:$A$20000,0),MATCH("CPC*",'Semrush Data'!$A$1:$Z$1,0)),"")</f>
        <v>0</v>
      </c>
      <c r="J412" s="6" t="str">
        <f aca="false">IFERROR(INDEX('Semrush Data'!$A$1:$Z$20000,MATCH(A412,'Semrush Data'!$A$1:$A$20000,0),MATCH("Intent",'Semrush Data'!$A$1:$Z$1,0)),"")</f>
        <v>Informational</v>
      </c>
    </row>
    <row r="413" customFormat="false" ht="15" hidden="false" customHeight="true" outlineLevel="0" collapsed="false">
      <c r="A413" s="6" t="s">
        <v>2442</v>
      </c>
      <c r="B413" s="6" t="s">
        <v>41</v>
      </c>
      <c r="C413" s="6" t="n">
        <v>1</v>
      </c>
      <c r="D413" s="6" t="n">
        <v>5</v>
      </c>
      <c r="E413" s="6" t="n">
        <v>1</v>
      </c>
      <c r="F413" s="6" t="s">
        <v>1399</v>
      </c>
      <c r="G413" s="28" t="n">
        <f aca="false">IFERROR(INDEX('Semrush Data'!$A$1:$Z$20000,MATCH(A413,'Semrush Data'!$A$1:$A$20000,0),MATCH("Volume",'Semrush Data'!$A$1:$Z$1,0)),"")</f>
        <v>0</v>
      </c>
      <c r="H413" s="6" t="n">
        <f aca="false">IFERROR(INDEX('Semrush Data'!$A$1:$Z$20000,MATCH(A413,'Semrush Data'!$A$1:$A$20000,0),MATCH("Keyword Difficulty*",'Semrush Data'!$A$1:$Z$1,0)),"")</f>
        <v>12</v>
      </c>
      <c r="I413" s="29" t="n">
        <f aca="false">IFERROR(INDEX('Semrush Data'!$A$1:$Z$20000,MATCH(A413,'Semrush Data'!$A$1:$A$20000,0),MATCH("CPC*",'Semrush Data'!$A$1:$Z$1,0)),"")</f>
        <v>0</v>
      </c>
      <c r="J413" s="6" t="str">
        <f aca="false">IFERROR(INDEX('Semrush Data'!$A$1:$Z$20000,MATCH(A413,'Semrush Data'!$A$1:$A$20000,0),MATCH("Intent",'Semrush Data'!$A$1:$Z$1,0)),"")</f>
        <v>Transactional Navigational</v>
      </c>
    </row>
    <row r="414" customFormat="false" ht="15" hidden="false" customHeight="true" outlineLevel="0" collapsed="false">
      <c r="A414" s="6" t="s">
        <v>2430</v>
      </c>
      <c r="B414" s="6" t="s">
        <v>41</v>
      </c>
      <c r="C414" s="6" t="n">
        <v>1</v>
      </c>
      <c r="D414" s="6" t="n">
        <v>5</v>
      </c>
      <c r="E414" s="6" t="n">
        <v>1</v>
      </c>
      <c r="F414" s="6" t="s">
        <v>1387</v>
      </c>
      <c r="G414" s="28" t="n">
        <f aca="false">IFERROR(INDEX('Semrush Data'!$A$1:$Z$20000,MATCH(A414,'Semrush Data'!$A$1:$A$20000,0),MATCH("Volume",'Semrush Data'!$A$1:$Z$1,0)),"")</f>
        <v>0</v>
      </c>
      <c r="H414" s="6" t="n">
        <f aca="false">IFERROR(INDEX('Semrush Data'!$A$1:$Z$20000,MATCH(A414,'Semrush Data'!$A$1:$A$20000,0),MATCH("Keyword Difficulty*",'Semrush Data'!$A$1:$Z$1,0)),"")</f>
        <v>20</v>
      </c>
      <c r="I414" s="29" t="n">
        <f aca="false">IFERROR(INDEX('Semrush Data'!$A$1:$Z$20000,MATCH(A414,'Semrush Data'!$A$1:$A$20000,0),MATCH("CPC*",'Semrush Data'!$A$1:$Z$1,0)),"")</f>
        <v>0</v>
      </c>
      <c r="J414" s="6" t="str">
        <f aca="false">IFERROR(INDEX('Semrush Data'!$A$1:$Z$20000,MATCH(A414,'Semrush Data'!$A$1:$A$20000,0),MATCH("Intent",'Semrush Data'!$A$1:$Z$1,0)),"")</f>
        <v>Informational</v>
      </c>
    </row>
    <row r="415" customFormat="false" ht="15" hidden="false" customHeight="true" outlineLevel="0" collapsed="false">
      <c r="A415" s="6" t="s">
        <v>1972</v>
      </c>
      <c r="B415" s="6" t="s">
        <v>41</v>
      </c>
      <c r="C415" s="6" t="n">
        <v>1</v>
      </c>
      <c r="D415" s="6" t="n">
        <v>5</v>
      </c>
      <c r="E415" s="6" t="n">
        <v>1</v>
      </c>
      <c r="F415" s="6" t="s">
        <v>933</v>
      </c>
      <c r="G415" s="28" t="n">
        <f aca="false">IFERROR(INDEX('Semrush Data'!$A$1:$Z$20000,MATCH(A415,'Semrush Data'!$A$1:$A$20000,0),MATCH("Volume",'Semrush Data'!$A$1:$Z$1,0)),"")</f>
        <v>0</v>
      </c>
      <c r="H415" s="6" t="n">
        <f aca="false">IFERROR(INDEX('Semrush Data'!$A$1:$Z$20000,MATCH(A415,'Semrush Data'!$A$1:$A$20000,0),MATCH("Keyword Difficulty*",'Semrush Data'!$A$1:$Z$1,0)),"")</f>
        <v>19</v>
      </c>
      <c r="I415" s="29" t="n">
        <f aca="false">IFERROR(INDEX('Semrush Data'!$A$1:$Z$20000,MATCH(A415,'Semrush Data'!$A$1:$A$20000,0),MATCH("CPC*",'Semrush Data'!$A$1:$Z$1,0)),"")</f>
        <v>0</v>
      </c>
      <c r="J415" s="6" t="str">
        <f aca="false">IFERROR(INDEX('Semrush Data'!$A$1:$Z$20000,MATCH(A415,'Semrush Data'!$A$1:$A$20000,0),MATCH("Intent",'Semrush Data'!$A$1:$Z$1,0)),"")</f>
        <v>Transactional Navigational</v>
      </c>
    </row>
    <row r="416" customFormat="false" ht="15" hidden="false" customHeight="true" outlineLevel="0" collapsed="false">
      <c r="A416" s="6" t="s">
        <v>2418</v>
      </c>
      <c r="B416" s="6" t="s">
        <v>41</v>
      </c>
      <c r="C416" s="6" t="n">
        <v>1</v>
      </c>
      <c r="D416" s="6" t="n">
        <v>5</v>
      </c>
      <c r="E416" s="6" t="n">
        <v>1</v>
      </c>
      <c r="F416" s="6" t="s">
        <v>1375</v>
      </c>
      <c r="G416" s="28" t="n">
        <f aca="false">IFERROR(INDEX('Semrush Data'!$A$1:$Z$20000,MATCH(A416,'Semrush Data'!$A$1:$A$20000,0),MATCH("Volume",'Semrush Data'!$A$1:$Z$1,0)),"")</f>
        <v>0</v>
      </c>
      <c r="H416" s="6" t="n">
        <f aca="false">IFERROR(INDEX('Semrush Data'!$A$1:$Z$20000,MATCH(A416,'Semrush Data'!$A$1:$A$20000,0),MATCH("Keyword Difficulty*",'Semrush Data'!$A$1:$Z$1,0)),"")</f>
        <v>14</v>
      </c>
      <c r="I416" s="29" t="n">
        <f aca="false">IFERROR(INDEX('Semrush Data'!$A$1:$Z$20000,MATCH(A416,'Semrush Data'!$A$1:$A$20000,0),MATCH("CPC*",'Semrush Data'!$A$1:$Z$1,0)),"")</f>
        <v>0</v>
      </c>
      <c r="J416" s="6" t="str">
        <f aca="false">IFERROR(INDEX('Semrush Data'!$A$1:$Z$20000,MATCH(A416,'Semrush Data'!$A$1:$A$20000,0),MATCH("Intent",'Semrush Data'!$A$1:$Z$1,0)),"")</f>
        <v>Informational</v>
      </c>
    </row>
    <row r="417" customFormat="false" ht="15" hidden="false" customHeight="true" outlineLevel="0" collapsed="false">
      <c r="A417" s="6" t="s">
        <v>2097</v>
      </c>
      <c r="B417" s="6" t="s">
        <v>41</v>
      </c>
      <c r="C417" s="6" t="n">
        <v>1</v>
      </c>
      <c r="D417" s="6" t="n">
        <v>5</v>
      </c>
      <c r="E417" s="6" t="n">
        <v>1</v>
      </c>
      <c r="F417" s="6" t="s">
        <v>1052</v>
      </c>
      <c r="G417" s="28" t="n">
        <f aca="false">IFERROR(INDEX('Semrush Data'!$A$1:$Z$20000,MATCH(A417,'Semrush Data'!$A$1:$A$20000,0),MATCH("Volume",'Semrush Data'!$A$1:$Z$1,0)),"")</f>
        <v>0</v>
      </c>
      <c r="H417" s="6" t="n">
        <f aca="false">IFERROR(INDEX('Semrush Data'!$A$1:$Z$20000,MATCH(A417,'Semrush Data'!$A$1:$A$20000,0),MATCH("Keyword Difficulty*",'Semrush Data'!$A$1:$Z$1,0)),"")</f>
        <v>6</v>
      </c>
      <c r="I417" s="29" t="n">
        <f aca="false">IFERROR(INDEX('Semrush Data'!$A$1:$Z$20000,MATCH(A417,'Semrush Data'!$A$1:$A$20000,0),MATCH("CPC*",'Semrush Data'!$A$1:$Z$1,0)),"")</f>
        <v>0</v>
      </c>
      <c r="J417" s="6" t="str">
        <f aca="false">IFERROR(INDEX('Semrush Data'!$A$1:$Z$20000,MATCH(A417,'Semrush Data'!$A$1:$A$20000,0),MATCH("Intent",'Semrush Data'!$A$1:$Z$1,0)),"")</f>
        <v>Transactional Navigational</v>
      </c>
    </row>
    <row r="418" customFormat="false" ht="15" hidden="false" customHeight="true" outlineLevel="0" collapsed="false">
      <c r="A418" s="6" t="s">
        <v>2192</v>
      </c>
      <c r="B418" s="6" t="s">
        <v>41</v>
      </c>
      <c r="C418" s="6" t="n">
        <v>1</v>
      </c>
      <c r="D418" s="6" t="n">
        <v>5</v>
      </c>
      <c r="E418" s="6" t="n">
        <v>1</v>
      </c>
      <c r="F418" s="6" t="s">
        <v>1142</v>
      </c>
      <c r="G418" s="28" t="n">
        <f aca="false">IFERROR(INDEX('Semrush Data'!$A$1:$Z$20000,MATCH(A418,'Semrush Data'!$A$1:$A$20000,0),MATCH("Volume",'Semrush Data'!$A$1:$Z$1,0)),"")</f>
        <v>0</v>
      </c>
      <c r="H418" s="6" t="n">
        <f aca="false">IFERROR(INDEX('Semrush Data'!$A$1:$Z$20000,MATCH(A418,'Semrush Data'!$A$1:$A$20000,0),MATCH("Keyword Difficulty*",'Semrush Data'!$A$1:$Z$1,0)),"")</f>
        <v>13</v>
      </c>
      <c r="I418" s="29" t="n">
        <f aca="false">IFERROR(INDEX('Semrush Data'!$A$1:$Z$20000,MATCH(A418,'Semrush Data'!$A$1:$A$20000,0),MATCH("CPC*",'Semrush Data'!$A$1:$Z$1,0)),"")</f>
        <v>0</v>
      </c>
      <c r="J418" s="6" t="str">
        <f aca="false">IFERROR(INDEX('Semrush Data'!$A$1:$Z$20000,MATCH(A418,'Semrush Data'!$A$1:$A$20000,0),MATCH("Intent",'Semrush Data'!$A$1:$Z$1,0)),"")</f>
        <v>Transactional Navigational</v>
      </c>
    </row>
    <row r="419" customFormat="false" ht="15" hidden="false" customHeight="true" outlineLevel="0" collapsed="false">
      <c r="A419" s="6" t="s">
        <v>2252</v>
      </c>
      <c r="B419" s="6" t="s">
        <v>41</v>
      </c>
      <c r="C419" s="6" t="n">
        <v>1</v>
      </c>
      <c r="D419" s="6" t="n">
        <v>5</v>
      </c>
      <c r="E419" s="6" t="n">
        <v>1</v>
      </c>
      <c r="F419" s="6" t="s">
        <v>1206</v>
      </c>
      <c r="G419" s="28" t="n">
        <f aca="false">IFERROR(INDEX('Semrush Data'!$A$1:$Z$20000,MATCH(A419,'Semrush Data'!$A$1:$A$20000,0),MATCH("Volume",'Semrush Data'!$A$1:$Z$1,0)),"")</f>
        <v>0</v>
      </c>
      <c r="H419" s="6" t="n">
        <f aca="false">IFERROR(INDEX('Semrush Data'!$A$1:$Z$20000,MATCH(A419,'Semrush Data'!$A$1:$A$20000,0),MATCH("Keyword Difficulty*",'Semrush Data'!$A$1:$Z$1,0)),"")</f>
        <v>13</v>
      </c>
      <c r="I419" s="29" t="n">
        <f aca="false">IFERROR(INDEX('Semrush Data'!$A$1:$Z$20000,MATCH(A419,'Semrush Data'!$A$1:$A$20000,0),MATCH("CPC*",'Semrush Data'!$A$1:$Z$1,0)),"")</f>
        <v>0</v>
      </c>
      <c r="J419" s="6" t="str">
        <f aca="false">IFERROR(INDEX('Semrush Data'!$A$1:$Z$20000,MATCH(A419,'Semrush Data'!$A$1:$A$20000,0),MATCH("Intent",'Semrush Data'!$A$1:$Z$1,0)),"")</f>
        <v>Transactional Navigational</v>
      </c>
    </row>
    <row r="420" customFormat="false" ht="15" hidden="false" customHeight="true" outlineLevel="0" collapsed="false">
      <c r="A420" s="6" t="s">
        <v>2091</v>
      </c>
      <c r="B420" s="6" t="s">
        <v>41</v>
      </c>
      <c r="C420" s="6" t="n">
        <v>1</v>
      </c>
      <c r="D420" s="6" t="n">
        <v>5</v>
      </c>
      <c r="E420" s="6" t="n">
        <v>1</v>
      </c>
      <c r="F420" s="6" t="s">
        <v>1045</v>
      </c>
      <c r="G420" s="28" t="n">
        <f aca="false">IFERROR(INDEX('Semrush Data'!$A$1:$Z$20000,MATCH(A420,'Semrush Data'!$A$1:$A$20000,0),MATCH("Volume",'Semrush Data'!$A$1:$Z$1,0)),"")</f>
        <v>0</v>
      </c>
      <c r="H420" s="6" t="n">
        <f aca="false">IFERROR(INDEX('Semrush Data'!$A$1:$Z$20000,MATCH(A420,'Semrush Data'!$A$1:$A$20000,0),MATCH("Keyword Difficulty*",'Semrush Data'!$A$1:$Z$1,0)),"")</f>
        <v>16</v>
      </c>
      <c r="I420" s="29" t="n">
        <f aca="false">IFERROR(INDEX('Semrush Data'!$A$1:$Z$20000,MATCH(A420,'Semrush Data'!$A$1:$A$20000,0),MATCH("CPC*",'Semrush Data'!$A$1:$Z$1,0)),"")</f>
        <v>0</v>
      </c>
      <c r="J420" s="6" t="str">
        <f aca="false">IFERROR(INDEX('Semrush Data'!$A$1:$Z$20000,MATCH(A420,'Semrush Data'!$A$1:$A$20000,0),MATCH("Intent",'Semrush Data'!$A$1:$Z$1,0)),"")</f>
        <v>Navigational</v>
      </c>
    </row>
    <row r="421" customFormat="false" ht="15" hidden="false" customHeight="true" outlineLevel="0" collapsed="false">
      <c r="A421" s="6" t="s">
        <v>2030</v>
      </c>
      <c r="B421" s="6" t="s">
        <v>41</v>
      </c>
      <c r="C421" s="6" t="n">
        <v>1</v>
      </c>
      <c r="D421" s="6" t="n">
        <v>5</v>
      </c>
      <c r="E421" s="6" t="n">
        <v>1</v>
      </c>
      <c r="F421" s="6" t="s">
        <v>985</v>
      </c>
      <c r="G421" s="28" t="n">
        <f aca="false">IFERROR(INDEX('Semrush Data'!$A$1:$Z$20000,MATCH(A421,'Semrush Data'!$A$1:$A$20000,0),MATCH("Volume",'Semrush Data'!$A$1:$Z$1,0)),"")</f>
        <v>0</v>
      </c>
      <c r="H421" s="6" t="n">
        <f aca="false">IFERROR(INDEX('Semrush Data'!$A$1:$Z$20000,MATCH(A421,'Semrush Data'!$A$1:$A$20000,0),MATCH("Keyword Difficulty*",'Semrush Data'!$A$1:$Z$1,0)),"")</f>
        <v>14</v>
      </c>
      <c r="I421" s="29" t="n">
        <f aca="false">IFERROR(INDEX('Semrush Data'!$A$1:$Z$20000,MATCH(A421,'Semrush Data'!$A$1:$A$20000,0),MATCH("CPC*",'Semrush Data'!$A$1:$Z$1,0)),"")</f>
        <v>0</v>
      </c>
      <c r="J421" s="6" t="str">
        <f aca="false">IFERROR(INDEX('Semrush Data'!$A$1:$Z$20000,MATCH(A421,'Semrush Data'!$A$1:$A$20000,0),MATCH("Intent",'Semrush Data'!$A$1:$Z$1,0)),"")</f>
        <v>Navigational</v>
      </c>
    </row>
    <row r="422" customFormat="false" ht="15" hidden="false" customHeight="true" outlineLevel="0" collapsed="false">
      <c r="A422" s="6" t="s">
        <v>2436</v>
      </c>
      <c r="B422" s="6" t="s">
        <v>41</v>
      </c>
      <c r="C422" s="6" t="n">
        <v>1</v>
      </c>
      <c r="D422" s="6" t="n">
        <v>5</v>
      </c>
      <c r="E422" s="6" t="n">
        <v>1</v>
      </c>
      <c r="F422" s="6" t="s">
        <v>1393</v>
      </c>
      <c r="G422" s="28" t="n">
        <f aca="false">IFERROR(INDEX('Semrush Data'!$A$1:$Z$20000,MATCH(A422,'Semrush Data'!$A$1:$A$20000,0),MATCH("Volume",'Semrush Data'!$A$1:$Z$1,0)),"")</f>
        <v>0</v>
      </c>
      <c r="H422" s="6" t="n">
        <f aca="false">IFERROR(INDEX('Semrush Data'!$A$1:$Z$20000,MATCH(A422,'Semrush Data'!$A$1:$A$20000,0),MATCH("Keyword Difficulty*",'Semrush Data'!$A$1:$Z$1,0)),"")</f>
        <v>27</v>
      </c>
      <c r="I422" s="29" t="n">
        <f aca="false">IFERROR(INDEX('Semrush Data'!$A$1:$Z$20000,MATCH(A422,'Semrush Data'!$A$1:$A$20000,0),MATCH("CPC*",'Semrush Data'!$A$1:$Z$1,0)),"")</f>
        <v>0</v>
      </c>
      <c r="J422" s="6" t="str">
        <f aca="false">IFERROR(INDEX('Semrush Data'!$A$1:$Z$20000,MATCH(A422,'Semrush Data'!$A$1:$A$20000,0),MATCH("Intent",'Semrush Data'!$A$1:$Z$1,0)),"")</f>
        <v>Informational</v>
      </c>
    </row>
    <row r="423" customFormat="false" ht="15" hidden="false" customHeight="true" outlineLevel="0" collapsed="false">
      <c r="A423" s="6" t="s">
        <v>2394</v>
      </c>
      <c r="B423" s="6" t="s">
        <v>41</v>
      </c>
      <c r="C423" s="6" t="n">
        <v>1</v>
      </c>
      <c r="D423" s="6" t="n">
        <v>5</v>
      </c>
      <c r="E423" s="6" t="n">
        <v>1</v>
      </c>
      <c r="F423" s="6" t="s">
        <v>1350</v>
      </c>
      <c r="G423" s="28" t="n">
        <f aca="false">IFERROR(INDEX('Semrush Data'!$A$1:$Z$20000,MATCH(A423,'Semrush Data'!$A$1:$A$20000,0),MATCH("Volume",'Semrush Data'!$A$1:$Z$1,0)),"")</f>
        <v>0</v>
      </c>
      <c r="H423" s="6" t="n">
        <f aca="false">IFERROR(INDEX('Semrush Data'!$A$1:$Z$20000,MATCH(A423,'Semrush Data'!$A$1:$A$20000,0),MATCH("Keyword Difficulty*",'Semrush Data'!$A$1:$Z$1,0)),"")</f>
        <v>12</v>
      </c>
      <c r="I423" s="29" t="n">
        <f aca="false">IFERROR(INDEX('Semrush Data'!$A$1:$Z$20000,MATCH(A423,'Semrush Data'!$A$1:$A$20000,0),MATCH("CPC*",'Semrush Data'!$A$1:$Z$1,0)),"")</f>
        <v>0</v>
      </c>
      <c r="J423" s="6" t="str">
        <f aca="false">IFERROR(INDEX('Semrush Data'!$A$1:$Z$20000,MATCH(A423,'Semrush Data'!$A$1:$A$20000,0),MATCH("Intent",'Semrush Data'!$A$1:$Z$1,0)),"")</f>
        <v>Transactional Navigational</v>
      </c>
    </row>
    <row r="424" customFormat="false" ht="15" hidden="false" customHeight="true" outlineLevel="0" collapsed="false">
      <c r="A424" s="6" t="s">
        <v>2211</v>
      </c>
      <c r="B424" s="6" t="s">
        <v>41</v>
      </c>
      <c r="C424" s="6" t="n">
        <v>1</v>
      </c>
      <c r="D424" s="6" t="n">
        <v>5</v>
      </c>
      <c r="E424" s="6" t="n">
        <v>1</v>
      </c>
      <c r="F424" s="6" t="s">
        <v>1164</v>
      </c>
      <c r="G424" s="28" t="n">
        <f aca="false">IFERROR(INDEX('Semrush Data'!$A$1:$Z$20000,MATCH(A424,'Semrush Data'!$A$1:$A$20000,0),MATCH("Volume",'Semrush Data'!$A$1:$Z$1,0)),"")</f>
        <v>20</v>
      </c>
      <c r="H424" s="6" t="n">
        <f aca="false">IFERROR(INDEX('Semrush Data'!$A$1:$Z$20000,MATCH(A424,'Semrush Data'!$A$1:$A$20000,0),MATCH("Keyword Difficulty*",'Semrush Data'!$A$1:$Z$1,0)),"")</f>
        <v>9</v>
      </c>
      <c r="I424" s="29" t="n">
        <f aca="false">IFERROR(INDEX('Semrush Data'!$A$1:$Z$20000,MATCH(A424,'Semrush Data'!$A$1:$A$20000,0),MATCH("CPC*",'Semrush Data'!$A$1:$Z$1,0)),"")</f>
        <v>0</v>
      </c>
      <c r="J424" s="6" t="str">
        <f aca="false">IFERROR(INDEX('Semrush Data'!$A$1:$Z$20000,MATCH(A424,'Semrush Data'!$A$1:$A$20000,0),MATCH("Intent",'Semrush Data'!$A$1:$Z$1,0)),"")</f>
        <v>Informational Transactional</v>
      </c>
    </row>
    <row r="425" customFormat="false" ht="15" hidden="false" customHeight="true" outlineLevel="0" collapsed="false">
      <c r="A425" s="6" t="s">
        <v>2370</v>
      </c>
      <c r="B425" s="6" t="s">
        <v>41</v>
      </c>
      <c r="C425" s="6" t="n">
        <v>1</v>
      </c>
      <c r="D425" s="6" t="n">
        <v>5</v>
      </c>
      <c r="E425" s="6" t="n">
        <v>1</v>
      </c>
      <c r="F425" s="6" t="s">
        <v>1326</v>
      </c>
      <c r="G425" s="28" t="n">
        <f aca="false">IFERROR(INDEX('Semrush Data'!$A$1:$Z$20000,MATCH(A425,'Semrush Data'!$A$1:$A$20000,0),MATCH("Volume",'Semrush Data'!$A$1:$Z$1,0)),"")</f>
        <v>0</v>
      </c>
      <c r="H425" s="6" t="n">
        <f aca="false">IFERROR(INDEX('Semrush Data'!$A$1:$Z$20000,MATCH(A425,'Semrush Data'!$A$1:$A$20000,0),MATCH("Keyword Difficulty*",'Semrush Data'!$A$1:$Z$1,0)),"")</f>
        <v>16</v>
      </c>
      <c r="I425" s="29" t="n">
        <f aca="false">IFERROR(INDEX('Semrush Data'!$A$1:$Z$20000,MATCH(A425,'Semrush Data'!$A$1:$A$20000,0),MATCH("CPC*",'Semrush Data'!$A$1:$Z$1,0)),"")</f>
        <v>0</v>
      </c>
      <c r="J425" s="6" t="str">
        <f aca="false">IFERROR(INDEX('Semrush Data'!$A$1:$Z$20000,MATCH(A425,'Semrush Data'!$A$1:$A$20000,0),MATCH("Intent",'Semrush Data'!$A$1:$Z$1,0)),"")</f>
        <v>Transactional Navigational</v>
      </c>
    </row>
    <row r="426" customFormat="false" ht="15" hidden="false" customHeight="true" outlineLevel="0" collapsed="false">
      <c r="A426" s="6" t="s">
        <v>2151</v>
      </c>
      <c r="B426" s="6" t="s">
        <v>41</v>
      </c>
      <c r="C426" s="6" t="n">
        <v>1</v>
      </c>
      <c r="D426" s="6" t="n">
        <v>5</v>
      </c>
      <c r="E426" s="6" t="n">
        <v>1</v>
      </c>
      <c r="F426" s="6" t="s">
        <v>1103</v>
      </c>
      <c r="G426" s="28" t="n">
        <f aca="false">IFERROR(INDEX('Semrush Data'!$A$1:$Z$20000,MATCH(A426,'Semrush Data'!$A$1:$A$20000,0),MATCH("Volume",'Semrush Data'!$A$1:$Z$1,0)),"")</f>
        <v>20</v>
      </c>
      <c r="H426" s="6" t="n">
        <f aca="false">IFERROR(INDEX('Semrush Data'!$A$1:$Z$20000,MATCH(A426,'Semrush Data'!$A$1:$A$20000,0),MATCH("Keyword Difficulty*",'Semrush Data'!$A$1:$Z$1,0)),"")</f>
        <v>16</v>
      </c>
      <c r="I426" s="29" t="n">
        <f aca="false">IFERROR(INDEX('Semrush Data'!$A$1:$Z$20000,MATCH(A426,'Semrush Data'!$A$1:$A$20000,0),MATCH("CPC*",'Semrush Data'!$A$1:$Z$1,0)),"")</f>
        <v>0</v>
      </c>
      <c r="J426" s="6" t="str">
        <f aca="false">IFERROR(INDEX('Semrush Data'!$A$1:$Z$20000,MATCH(A426,'Semrush Data'!$A$1:$A$20000,0),MATCH("Intent",'Semrush Data'!$A$1:$Z$1,0)),"")</f>
        <v>Informational Transactional</v>
      </c>
    </row>
    <row r="427" customFormat="false" ht="15" hidden="false" customHeight="true" outlineLevel="0" collapsed="false">
      <c r="A427" s="6" t="s">
        <v>2400</v>
      </c>
      <c r="B427" s="6" t="s">
        <v>41</v>
      </c>
      <c r="C427" s="6" t="n">
        <v>1</v>
      </c>
      <c r="D427" s="6" t="n">
        <v>5</v>
      </c>
      <c r="E427" s="6" t="n">
        <v>1</v>
      </c>
      <c r="F427" s="6" t="s">
        <v>1357</v>
      </c>
      <c r="G427" s="28" t="n">
        <f aca="false">IFERROR(INDEX('Semrush Data'!$A$1:$Z$20000,MATCH(A427,'Semrush Data'!$A$1:$A$20000,0),MATCH("Volume",'Semrush Data'!$A$1:$Z$1,0)),"")</f>
        <v>0</v>
      </c>
      <c r="H427" s="6" t="n">
        <f aca="false">IFERROR(INDEX('Semrush Data'!$A$1:$Z$20000,MATCH(A427,'Semrush Data'!$A$1:$A$20000,0),MATCH("Keyword Difficulty*",'Semrush Data'!$A$1:$Z$1,0)),"")</f>
        <v>20</v>
      </c>
      <c r="I427" s="29" t="n">
        <f aca="false">IFERROR(INDEX('Semrush Data'!$A$1:$Z$20000,MATCH(A427,'Semrush Data'!$A$1:$A$20000,0),MATCH("CPC*",'Semrush Data'!$A$1:$Z$1,0)),"")</f>
        <v>0</v>
      </c>
      <c r="J427" s="6" t="str">
        <f aca="false">IFERROR(INDEX('Semrush Data'!$A$1:$Z$20000,MATCH(A427,'Semrush Data'!$A$1:$A$20000,0),MATCH("Intent",'Semrush Data'!$A$1:$Z$1,0)),"")</f>
        <v>Transactional Navigational</v>
      </c>
    </row>
    <row r="428" customFormat="false" ht="15" hidden="false" customHeight="true" outlineLevel="0" collapsed="false">
      <c r="A428" s="6" t="s">
        <v>2364</v>
      </c>
      <c r="B428" s="6" t="s">
        <v>41</v>
      </c>
      <c r="C428" s="6" t="n">
        <v>1</v>
      </c>
      <c r="D428" s="6" t="n">
        <v>5</v>
      </c>
      <c r="E428" s="6" t="n">
        <v>1</v>
      </c>
      <c r="F428" s="6" t="s">
        <v>1320</v>
      </c>
      <c r="G428" s="28" t="n">
        <f aca="false">IFERROR(INDEX('Semrush Data'!$A$1:$Z$20000,MATCH(A428,'Semrush Data'!$A$1:$A$20000,0),MATCH("Volume",'Semrush Data'!$A$1:$Z$1,0)),"")</f>
        <v>0</v>
      </c>
      <c r="H428" s="6" t="n">
        <f aca="false">IFERROR(INDEX('Semrush Data'!$A$1:$Z$20000,MATCH(A428,'Semrush Data'!$A$1:$A$20000,0),MATCH("Keyword Difficulty*",'Semrush Data'!$A$1:$Z$1,0)),"")</f>
        <v>14</v>
      </c>
      <c r="I428" s="29" t="n">
        <f aca="false">IFERROR(INDEX('Semrush Data'!$A$1:$Z$20000,MATCH(A428,'Semrush Data'!$A$1:$A$20000,0),MATCH("CPC*",'Semrush Data'!$A$1:$Z$1,0)),"")</f>
        <v>0</v>
      </c>
      <c r="J428" s="6" t="str">
        <f aca="false">IFERROR(INDEX('Semrush Data'!$A$1:$Z$20000,MATCH(A428,'Semrush Data'!$A$1:$A$20000,0),MATCH("Intent",'Semrush Data'!$A$1:$Z$1,0)),"")</f>
        <v>Informational</v>
      </c>
    </row>
    <row r="429" customFormat="false" ht="15" hidden="false" customHeight="true" outlineLevel="0" collapsed="false">
      <c r="A429" s="6" t="s">
        <v>2388</v>
      </c>
      <c r="B429" s="6" t="s">
        <v>41</v>
      </c>
      <c r="C429" s="6" t="n">
        <v>1</v>
      </c>
      <c r="D429" s="6" t="n">
        <v>5</v>
      </c>
      <c r="E429" s="6" t="n">
        <v>1</v>
      </c>
      <c r="F429" s="6" t="s">
        <v>1344</v>
      </c>
      <c r="G429" s="28" t="n">
        <f aca="false">IFERROR(INDEX('Semrush Data'!$A$1:$Z$20000,MATCH(A429,'Semrush Data'!$A$1:$A$20000,0),MATCH("Volume",'Semrush Data'!$A$1:$Z$1,0)),"")</f>
        <v>0</v>
      </c>
      <c r="H429" s="6" t="n">
        <f aca="false">IFERROR(INDEX('Semrush Data'!$A$1:$Z$20000,MATCH(A429,'Semrush Data'!$A$1:$A$20000,0),MATCH("Keyword Difficulty*",'Semrush Data'!$A$1:$Z$1,0)),"")</f>
        <v>14</v>
      </c>
      <c r="I429" s="29" t="n">
        <f aca="false">IFERROR(INDEX('Semrush Data'!$A$1:$Z$20000,MATCH(A429,'Semrush Data'!$A$1:$A$20000,0),MATCH("CPC*",'Semrush Data'!$A$1:$Z$1,0)),"")</f>
        <v>0</v>
      </c>
      <c r="J429" s="6" t="str">
        <f aca="false">IFERROR(INDEX('Semrush Data'!$A$1:$Z$20000,MATCH(A429,'Semrush Data'!$A$1:$A$20000,0),MATCH("Intent",'Semrush Data'!$A$1:$Z$1,0)),"")</f>
        <v>Informational</v>
      </c>
    </row>
    <row r="430" customFormat="false" ht="15" hidden="false" customHeight="true" outlineLevel="0" collapsed="false">
      <c r="A430" s="6" t="s">
        <v>2353</v>
      </c>
      <c r="B430" s="6" t="s">
        <v>41</v>
      </c>
      <c r="C430" s="6" t="n">
        <v>1</v>
      </c>
      <c r="D430" s="6" t="n">
        <v>5</v>
      </c>
      <c r="E430" s="6" t="n">
        <v>1</v>
      </c>
      <c r="F430" s="6" t="s">
        <v>1308</v>
      </c>
      <c r="G430" s="28" t="n">
        <f aca="false">IFERROR(INDEX('Semrush Data'!$A$1:$Z$20000,MATCH(A430,'Semrush Data'!$A$1:$A$20000,0),MATCH("Volume",'Semrush Data'!$A$1:$Z$1,0)),"")</f>
        <v>0</v>
      </c>
      <c r="H430" s="6" t="n">
        <f aca="false">IFERROR(INDEX('Semrush Data'!$A$1:$Z$20000,MATCH(A430,'Semrush Data'!$A$1:$A$20000,0),MATCH("Keyword Difficulty*",'Semrush Data'!$A$1:$Z$1,0)),"")</f>
        <v>20</v>
      </c>
      <c r="I430" s="29" t="n">
        <f aca="false">IFERROR(INDEX('Semrush Data'!$A$1:$Z$20000,MATCH(A430,'Semrush Data'!$A$1:$A$20000,0),MATCH("CPC*",'Semrush Data'!$A$1:$Z$1,0)),"")</f>
        <v>0</v>
      </c>
      <c r="J430" s="6" t="str">
        <f aca="false">IFERROR(INDEX('Semrush Data'!$A$1:$Z$20000,MATCH(A430,'Semrush Data'!$A$1:$A$20000,0),MATCH("Intent",'Semrush Data'!$A$1:$Z$1,0)),"")</f>
        <v>Transactional Navigational</v>
      </c>
    </row>
    <row r="431" customFormat="false" ht="15" hidden="false" customHeight="true" outlineLevel="0" collapsed="false">
      <c r="A431" s="6" t="s">
        <v>2359</v>
      </c>
      <c r="B431" s="6" t="s">
        <v>41</v>
      </c>
      <c r="C431" s="6" t="n">
        <v>1</v>
      </c>
      <c r="D431" s="6" t="n">
        <v>5</v>
      </c>
      <c r="E431" s="6" t="n">
        <v>1</v>
      </c>
      <c r="F431" s="6" t="s">
        <v>1314</v>
      </c>
      <c r="G431" s="28" t="n">
        <f aca="false">IFERROR(INDEX('Semrush Data'!$A$1:$Z$20000,MATCH(A431,'Semrush Data'!$A$1:$A$20000,0),MATCH("Volume",'Semrush Data'!$A$1:$Z$1,0)),"")</f>
        <v>0</v>
      </c>
      <c r="H431" s="6" t="n">
        <f aca="false">IFERROR(INDEX('Semrush Data'!$A$1:$Z$20000,MATCH(A431,'Semrush Data'!$A$1:$A$20000,0),MATCH("Keyword Difficulty*",'Semrush Data'!$A$1:$Z$1,0)),"")</f>
        <v>27</v>
      </c>
      <c r="I431" s="29" t="n">
        <f aca="false">IFERROR(INDEX('Semrush Data'!$A$1:$Z$20000,MATCH(A431,'Semrush Data'!$A$1:$A$20000,0),MATCH("CPC*",'Semrush Data'!$A$1:$Z$1,0)),"")</f>
        <v>0</v>
      </c>
      <c r="J431" s="6" t="str">
        <f aca="false">IFERROR(INDEX('Semrush Data'!$A$1:$Z$20000,MATCH(A431,'Semrush Data'!$A$1:$A$20000,0),MATCH("Intent",'Semrush Data'!$A$1:$Z$1,0)),"")</f>
        <v>Transactional Navigational</v>
      </c>
    </row>
    <row r="432" customFormat="false" ht="15" hidden="false" customHeight="true" outlineLevel="0" collapsed="false">
      <c r="A432" s="6" t="s">
        <v>2023</v>
      </c>
      <c r="B432" s="6" t="s">
        <v>41</v>
      </c>
      <c r="C432" s="6" t="n">
        <v>1</v>
      </c>
      <c r="D432" s="6" t="n">
        <v>5</v>
      </c>
      <c r="E432" s="6" t="n">
        <v>1</v>
      </c>
      <c r="F432" s="6" t="s">
        <v>978</v>
      </c>
      <c r="G432" s="28" t="n">
        <f aca="false">IFERROR(INDEX('Semrush Data'!$A$1:$Z$20000,MATCH(A432,'Semrush Data'!$A$1:$A$20000,0),MATCH("Volume",'Semrush Data'!$A$1:$Z$1,0)),"")</f>
        <v>0</v>
      </c>
      <c r="H432" s="6" t="n">
        <f aca="false">IFERROR(INDEX('Semrush Data'!$A$1:$Z$20000,MATCH(A432,'Semrush Data'!$A$1:$A$20000,0),MATCH("Keyword Difficulty*",'Semrush Data'!$A$1:$Z$1,0)),"")</f>
        <v>22</v>
      </c>
      <c r="I432" s="29" t="n">
        <f aca="false">IFERROR(INDEX('Semrush Data'!$A$1:$Z$20000,MATCH(A432,'Semrush Data'!$A$1:$A$20000,0),MATCH("CPC*",'Semrush Data'!$A$1:$Z$1,0)),"")</f>
        <v>0</v>
      </c>
      <c r="J432" s="6" t="str">
        <f aca="false">IFERROR(INDEX('Semrush Data'!$A$1:$Z$20000,MATCH(A432,'Semrush Data'!$A$1:$A$20000,0),MATCH("Intent",'Semrush Data'!$A$1:$Z$1,0)),"")</f>
        <v>Informational Transactional</v>
      </c>
    </row>
    <row r="433" customFormat="false" ht="15" hidden="false" customHeight="true" outlineLevel="0" collapsed="false">
      <c r="A433" s="6" t="s">
        <v>2329</v>
      </c>
      <c r="B433" s="6" t="s">
        <v>41</v>
      </c>
      <c r="C433" s="6" t="n">
        <v>1</v>
      </c>
      <c r="D433" s="6" t="n">
        <v>5</v>
      </c>
      <c r="E433" s="6" t="n">
        <v>1</v>
      </c>
      <c r="F433" s="6" t="s">
        <v>1284</v>
      </c>
      <c r="G433" s="28" t="n">
        <f aca="false">IFERROR(INDEX('Semrush Data'!$A$1:$Z$20000,MATCH(A433,'Semrush Data'!$A$1:$A$20000,0),MATCH("Volume",'Semrush Data'!$A$1:$Z$1,0)),"")</f>
        <v>0</v>
      </c>
      <c r="H433" s="6" t="n">
        <f aca="false">IFERROR(INDEX('Semrush Data'!$A$1:$Z$20000,MATCH(A433,'Semrush Data'!$A$1:$A$20000,0),MATCH("Keyword Difficulty*",'Semrush Data'!$A$1:$Z$1,0)),"")</f>
        <v>13</v>
      </c>
      <c r="I433" s="29" t="n">
        <f aca="false">IFERROR(INDEX('Semrush Data'!$A$1:$Z$20000,MATCH(A433,'Semrush Data'!$A$1:$A$20000,0),MATCH("CPC*",'Semrush Data'!$A$1:$Z$1,0)),"")</f>
        <v>0</v>
      </c>
      <c r="J433" s="6" t="str">
        <f aca="false">IFERROR(INDEX('Semrush Data'!$A$1:$Z$20000,MATCH(A433,'Semrush Data'!$A$1:$A$20000,0),MATCH("Intent",'Semrush Data'!$A$1:$Z$1,0)),"")</f>
        <v>Navigational</v>
      </c>
    </row>
    <row r="434" customFormat="false" ht="15" hidden="false" customHeight="true" outlineLevel="0" collapsed="false">
      <c r="A434" s="6" t="s">
        <v>2144</v>
      </c>
      <c r="B434" s="6" t="s">
        <v>41</v>
      </c>
      <c r="C434" s="6" t="n">
        <v>1</v>
      </c>
      <c r="D434" s="6" t="n">
        <v>5</v>
      </c>
      <c r="E434" s="6" t="n">
        <v>1</v>
      </c>
      <c r="F434" s="6" t="s">
        <v>1097</v>
      </c>
      <c r="G434" s="28" t="n">
        <f aca="false">IFERROR(INDEX('Semrush Data'!$A$1:$Z$20000,MATCH(A434,'Semrush Data'!$A$1:$A$20000,0),MATCH("Volume",'Semrush Data'!$A$1:$Z$1,0)),"")</f>
        <v>0</v>
      </c>
      <c r="H434" s="6" t="n">
        <f aca="false">IFERROR(INDEX('Semrush Data'!$A$1:$Z$20000,MATCH(A434,'Semrush Data'!$A$1:$A$20000,0),MATCH("Keyword Difficulty*",'Semrush Data'!$A$1:$Z$1,0)),"")</f>
        <v>18</v>
      </c>
      <c r="I434" s="29" t="n">
        <f aca="false">IFERROR(INDEX('Semrush Data'!$A$1:$Z$20000,MATCH(A434,'Semrush Data'!$A$1:$A$20000,0),MATCH("CPC*",'Semrush Data'!$A$1:$Z$1,0)),"")</f>
        <v>0</v>
      </c>
      <c r="J434" s="6" t="str">
        <f aca="false">IFERROR(INDEX('Semrush Data'!$A$1:$Z$20000,MATCH(A434,'Semrush Data'!$A$1:$A$20000,0),MATCH("Intent",'Semrush Data'!$A$1:$Z$1,0)),"")</f>
        <v>Transactional</v>
      </c>
    </row>
    <row r="435" customFormat="false" ht="15" hidden="false" customHeight="true" outlineLevel="0" collapsed="false">
      <c r="A435" s="6" t="s">
        <v>2412</v>
      </c>
      <c r="B435" s="6" t="s">
        <v>41</v>
      </c>
      <c r="C435" s="6" t="n">
        <v>1</v>
      </c>
      <c r="D435" s="6" t="n">
        <v>5</v>
      </c>
      <c r="E435" s="6" t="n">
        <v>1</v>
      </c>
      <c r="F435" s="6" t="s">
        <v>1369</v>
      </c>
      <c r="G435" s="28" t="n">
        <f aca="false">IFERROR(INDEX('Semrush Data'!$A$1:$Z$20000,MATCH(A435,'Semrush Data'!$A$1:$A$20000,0),MATCH("Volume",'Semrush Data'!$A$1:$Z$1,0)),"")</f>
        <v>0</v>
      </c>
      <c r="H435" s="6" t="n">
        <f aca="false">IFERROR(INDEX('Semrush Data'!$A$1:$Z$20000,MATCH(A435,'Semrush Data'!$A$1:$A$20000,0),MATCH("Keyword Difficulty*",'Semrush Data'!$A$1:$Z$1,0)),"")</f>
        <v>21</v>
      </c>
      <c r="I435" s="29" t="n">
        <f aca="false">IFERROR(INDEX('Semrush Data'!$A$1:$Z$20000,MATCH(A435,'Semrush Data'!$A$1:$A$20000,0),MATCH("CPC*",'Semrush Data'!$A$1:$Z$1,0)),"")</f>
        <v>0</v>
      </c>
      <c r="J435" s="6" t="str">
        <f aca="false">IFERROR(INDEX('Semrush Data'!$A$1:$Z$20000,MATCH(A435,'Semrush Data'!$A$1:$A$20000,0),MATCH("Intent",'Semrush Data'!$A$1:$Z$1,0)),"")</f>
        <v>Transactional Navigational</v>
      </c>
    </row>
    <row r="436" customFormat="false" ht="15" hidden="false" customHeight="true" outlineLevel="0" collapsed="false">
      <c r="A436" s="6" t="s">
        <v>2111</v>
      </c>
      <c r="B436" s="6" t="s">
        <v>41</v>
      </c>
      <c r="C436" s="6" t="n">
        <v>1</v>
      </c>
      <c r="D436" s="6" t="n">
        <v>5</v>
      </c>
      <c r="E436" s="6" t="n">
        <v>1</v>
      </c>
      <c r="F436" s="6" t="s">
        <v>1066</v>
      </c>
      <c r="G436" s="28" t="n">
        <f aca="false">IFERROR(INDEX('Semrush Data'!$A$1:$Z$20000,MATCH(A436,'Semrush Data'!$A$1:$A$20000,0),MATCH("Volume",'Semrush Data'!$A$1:$Z$1,0)),"")</f>
        <v>0</v>
      </c>
      <c r="H436" s="6" t="n">
        <f aca="false">IFERROR(INDEX('Semrush Data'!$A$1:$Z$20000,MATCH(A436,'Semrush Data'!$A$1:$A$20000,0),MATCH("Keyword Difficulty*",'Semrush Data'!$A$1:$Z$1,0)),"")</f>
        <v>18</v>
      </c>
      <c r="I436" s="29" t="n">
        <f aca="false">IFERROR(INDEX('Semrush Data'!$A$1:$Z$20000,MATCH(A436,'Semrush Data'!$A$1:$A$20000,0),MATCH("CPC*",'Semrush Data'!$A$1:$Z$1,0)),"")</f>
        <v>0</v>
      </c>
      <c r="J436" s="6" t="str">
        <f aca="false">IFERROR(INDEX('Semrush Data'!$A$1:$Z$20000,MATCH(A436,'Semrush Data'!$A$1:$A$20000,0),MATCH("Intent",'Semrush Data'!$A$1:$Z$1,0)),"")</f>
        <v>Transactional Navigational</v>
      </c>
    </row>
    <row r="437" customFormat="false" ht="15" hidden="false" customHeight="true" outlineLevel="0" collapsed="false">
      <c r="A437" s="6" t="s">
        <v>2298</v>
      </c>
      <c r="B437" s="6" t="s">
        <v>41</v>
      </c>
      <c r="C437" s="6" t="n">
        <v>1</v>
      </c>
      <c r="D437" s="6" t="n">
        <v>5</v>
      </c>
      <c r="E437" s="6" t="n">
        <v>1</v>
      </c>
      <c r="F437" s="6" t="s">
        <v>1254</v>
      </c>
      <c r="G437" s="28" t="n">
        <f aca="false">IFERROR(INDEX('Semrush Data'!$A$1:$Z$20000,MATCH(A437,'Semrush Data'!$A$1:$A$20000,0),MATCH("Volume",'Semrush Data'!$A$1:$Z$1,0)),"")</f>
        <v>0</v>
      </c>
      <c r="H437" s="6" t="n">
        <f aca="false">IFERROR(INDEX('Semrush Data'!$A$1:$Z$20000,MATCH(A437,'Semrush Data'!$A$1:$A$20000,0),MATCH("Keyword Difficulty*",'Semrush Data'!$A$1:$Z$1,0)),"")</f>
        <v>13</v>
      </c>
      <c r="I437" s="29" t="n">
        <f aca="false">IFERROR(INDEX('Semrush Data'!$A$1:$Z$20000,MATCH(A437,'Semrush Data'!$A$1:$A$20000,0),MATCH("CPC*",'Semrush Data'!$A$1:$Z$1,0)),"")</f>
        <v>0</v>
      </c>
      <c r="J437" s="6" t="str">
        <f aca="false">IFERROR(INDEX('Semrush Data'!$A$1:$Z$20000,MATCH(A437,'Semrush Data'!$A$1:$A$20000,0),MATCH("Intent",'Semrush Data'!$A$1:$Z$1,0)),"")</f>
        <v>Informational Transactional</v>
      </c>
    </row>
    <row r="438" customFormat="false" ht="15" hidden="false" customHeight="true" outlineLevel="0" collapsed="false">
      <c r="A438" s="6" t="s">
        <v>2137</v>
      </c>
      <c r="B438" s="6" t="s">
        <v>41</v>
      </c>
      <c r="C438" s="6" t="n">
        <v>1</v>
      </c>
      <c r="D438" s="6" t="n">
        <v>5</v>
      </c>
      <c r="E438" s="6" t="n">
        <v>1</v>
      </c>
      <c r="F438" s="6" t="s">
        <v>1091</v>
      </c>
      <c r="G438" s="28" t="n">
        <f aca="false">IFERROR(INDEX('Semrush Data'!$A$1:$Z$20000,MATCH(A438,'Semrush Data'!$A$1:$A$20000,0),MATCH("Volume",'Semrush Data'!$A$1:$Z$1,0)),"")</f>
        <v>0</v>
      </c>
      <c r="H438" s="6" t="n">
        <f aca="false">IFERROR(INDEX('Semrush Data'!$A$1:$Z$20000,MATCH(A438,'Semrush Data'!$A$1:$A$20000,0),MATCH("Keyword Difficulty*",'Semrush Data'!$A$1:$Z$1,0)),"")</f>
        <v>13</v>
      </c>
      <c r="I438" s="29" t="n">
        <f aca="false">IFERROR(INDEX('Semrush Data'!$A$1:$Z$20000,MATCH(A438,'Semrush Data'!$A$1:$A$20000,0),MATCH("CPC*",'Semrush Data'!$A$1:$Z$1,0)),"")</f>
        <v>0</v>
      </c>
      <c r="J438" s="6" t="str">
        <f aca="false">IFERROR(INDEX('Semrush Data'!$A$1:$Z$20000,MATCH(A438,'Semrush Data'!$A$1:$A$20000,0),MATCH("Intent",'Semrush Data'!$A$1:$Z$1,0)),"")</f>
        <v>Navigational</v>
      </c>
    </row>
    <row r="439" customFormat="false" ht="15" hidden="false" customHeight="true" outlineLevel="0" collapsed="false">
      <c r="A439" s="6" t="s">
        <v>2050</v>
      </c>
      <c r="B439" s="6" t="s">
        <v>41</v>
      </c>
      <c r="C439" s="6" t="n">
        <v>1</v>
      </c>
      <c r="D439" s="6" t="n">
        <v>5</v>
      </c>
      <c r="E439" s="6" t="n">
        <v>1</v>
      </c>
      <c r="F439" s="6" t="s">
        <v>1006</v>
      </c>
      <c r="G439" s="28" t="n">
        <f aca="false">IFERROR(INDEX('Semrush Data'!$A$1:$Z$20000,MATCH(A439,'Semrush Data'!$A$1:$A$20000,0),MATCH("Volume",'Semrush Data'!$A$1:$Z$1,0)),"")</f>
        <v>0</v>
      </c>
      <c r="H439" s="6" t="n">
        <f aca="false">IFERROR(INDEX('Semrush Data'!$A$1:$Z$20000,MATCH(A439,'Semrush Data'!$A$1:$A$20000,0),MATCH("Keyword Difficulty*",'Semrush Data'!$A$1:$Z$1,0)),"")</f>
        <v>16</v>
      </c>
      <c r="I439" s="29" t="n">
        <f aca="false">IFERROR(INDEX('Semrush Data'!$A$1:$Z$20000,MATCH(A439,'Semrush Data'!$A$1:$A$20000,0),MATCH("CPC*",'Semrush Data'!$A$1:$Z$1,0)),"")</f>
        <v>0</v>
      </c>
      <c r="J439" s="6" t="str">
        <f aca="false">IFERROR(INDEX('Semrush Data'!$A$1:$Z$20000,MATCH(A439,'Semrush Data'!$A$1:$A$20000,0),MATCH("Intent",'Semrush Data'!$A$1:$Z$1,0)),"")</f>
        <v>Transactional Navigational</v>
      </c>
    </row>
    <row r="440" customFormat="false" ht="15" hidden="false" customHeight="true" outlineLevel="0" collapsed="false">
      <c r="A440" s="6" t="s">
        <v>2406</v>
      </c>
      <c r="B440" s="6" t="s">
        <v>41</v>
      </c>
      <c r="C440" s="6" t="n">
        <v>1</v>
      </c>
      <c r="D440" s="6" t="n">
        <v>5</v>
      </c>
      <c r="E440" s="6" t="n">
        <v>1</v>
      </c>
      <c r="F440" s="6" t="s">
        <v>1363</v>
      </c>
      <c r="G440" s="28" t="n">
        <f aca="false">IFERROR(INDEX('Semrush Data'!$A$1:$Z$20000,MATCH(A440,'Semrush Data'!$A$1:$A$20000,0),MATCH("Volume",'Semrush Data'!$A$1:$Z$1,0)),"")</f>
        <v>0</v>
      </c>
      <c r="H440" s="6" t="n">
        <f aca="false">IFERROR(INDEX('Semrush Data'!$A$1:$Z$20000,MATCH(A440,'Semrush Data'!$A$1:$A$20000,0),MATCH("Keyword Difficulty*",'Semrush Data'!$A$1:$Z$1,0)),"")</f>
        <v>17</v>
      </c>
      <c r="I440" s="29" t="n">
        <f aca="false">IFERROR(INDEX('Semrush Data'!$A$1:$Z$20000,MATCH(A440,'Semrush Data'!$A$1:$A$20000,0),MATCH("CPC*",'Semrush Data'!$A$1:$Z$1,0)),"")</f>
        <v>0</v>
      </c>
      <c r="J440" s="6" t="str">
        <f aca="false">IFERROR(INDEX('Semrush Data'!$A$1:$Z$20000,MATCH(A440,'Semrush Data'!$A$1:$A$20000,0),MATCH("Intent",'Semrush Data'!$A$1:$Z$1,0)),"")</f>
        <v>Informational</v>
      </c>
    </row>
    <row r="441" customFormat="false" ht="15" hidden="false" customHeight="true" outlineLevel="0" collapsed="false">
      <c r="A441" s="6" t="s">
        <v>2424</v>
      </c>
      <c r="B441" s="6" t="s">
        <v>41</v>
      </c>
      <c r="C441" s="6" t="n">
        <v>1</v>
      </c>
      <c r="D441" s="6" t="n">
        <v>5</v>
      </c>
      <c r="E441" s="6" t="n">
        <v>1</v>
      </c>
      <c r="F441" s="6" t="s">
        <v>1381</v>
      </c>
      <c r="G441" s="28" t="n">
        <f aca="false">IFERROR(INDEX('Semrush Data'!$A$1:$Z$20000,MATCH(A441,'Semrush Data'!$A$1:$A$20000,0),MATCH("Volume",'Semrush Data'!$A$1:$Z$1,0)),"")</f>
        <v>0</v>
      </c>
      <c r="H441" s="6" t="n">
        <f aca="false">IFERROR(INDEX('Semrush Data'!$A$1:$Z$20000,MATCH(A441,'Semrush Data'!$A$1:$A$20000,0),MATCH("Keyword Difficulty*",'Semrush Data'!$A$1:$Z$1,0)),"")</f>
        <v>14</v>
      </c>
      <c r="I441" s="29" t="n">
        <f aca="false">IFERROR(INDEX('Semrush Data'!$A$1:$Z$20000,MATCH(A441,'Semrush Data'!$A$1:$A$20000,0),MATCH("CPC*",'Semrush Data'!$A$1:$Z$1,0)),"")</f>
        <v>0</v>
      </c>
      <c r="J441" s="6" t="str">
        <f aca="false">IFERROR(INDEX('Semrush Data'!$A$1:$Z$20000,MATCH(A441,'Semrush Data'!$A$1:$A$20000,0),MATCH("Intent",'Semrush Data'!$A$1:$Z$1,0)),"")</f>
        <v>Informational</v>
      </c>
    </row>
    <row r="442" customFormat="false" ht="15" hidden="false" customHeight="true" outlineLevel="0" collapsed="false">
      <c r="A442" s="6" t="s">
        <v>2158</v>
      </c>
      <c r="B442" s="6" t="s">
        <v>41</v>
      </c>
      <c r="C442" s="6" t="n">
        <v>1</v>
      </c>
      <c r="D442" s="6" t="n">
        <v>5</v>
      </c>
      <c r="E442" s="6" t="n">
        <v>1</v>
      </c>
      <c r="F442" s="6" t="s">
        <v>1111</v>
      </c>
      <c r="G442" s="28" t="n">
        <f aca="false">IFERROR(INDEX('Semrush Data'!$A$1:$Z$20000,MATCH(A442,'Semrush Data'!$A$1:$A$20000,0),MATCH("Volume",'Semrush Data'!$A$1:$Z$1,0)),"")</f>
        <v>10</v>
      </c>
      <c r="H442" s="6" t="n">
        <f aca="false">IFERROR(INDEX('Semrush Data'!$A$1:$Z$20000,MATCH(A442,'Semrush Data'!$A$1:$A$20000,0),MATCH("Keyword Difficulty*",'Semrush Data'!$A$1:$Z$1,0)),"")</f>
        <v>22</v>
      </c>
      <c r="I442" s="29" t="n">
        <f aca="false">IFERROR(INDEX('Semrush Data'!$A$1:$Z$20000,MATCH(A442,'Semrush Data'!$A$1:$A$20000,0),MATCH("CPC*",'Semrush Data'!$A$1:$Z$1,0)),"")</f>
        <v>0</v>
      </c>
      <c r="J442" s="6" t="str">
        <f aca="false">IFERROR(INDEX('Semrush Data'!$A$1:$Z$20000,MATCH(A442,'Semrush Data'!$A$1:$A$20000,0),MATCH("Intent",'Semrush Data'!$A$1:$Z$1,0)),"")</f>
        <v>Transactional Navigational</v>
      </c>
    </row>
    <row r="443" customFormat="false" ht="15" hidden="false" customHeight="true" outlineLevel="0" collapsed="false">
      <c r="A443" s="6" t="s">
        <v>1987</v>
      </c>
      <c r="B443" s="6" t="s">
        <v>41</v>
      </c>
      <c r="C443" s="6" t="n">
        <v>1</v>
      </c>
      <c r="D443" s="6" t="n">
        <v>5</v>
      </c>
      <c r="E443" s="6" t="n">
        <v>1</v>
      </c>
      <c r="F443" s="6" t="s">
        <v>945</v>
      </c>
      <c r="G443" s="28" t="n">
        <f aca="false">IFERROR(INDEX('Semrush Data'!$A$1:$Z$20000,MATCH(A443,'Semrush Data'!$A$1:$A$20000,0),MATCH("Volume",'Semrush Data'!$A$1:$Z$1,0)),"")</f>
        <v>0</v>
      </c>
      <c r="H443" s="6" t="n">
        <f aca="false">IFERROR(INDEX('Semrush Data'!$A$1:$Z$20000,MATCH(A443,'Semrush Data'!$A$1:$A$20000,0),MATCH("Keyword Difficulty*",'Semrush Data'!$A$1:$Z$1,0)),"")</f>
        <v>13</v>
      </c>
      <c r="I443" s="29" t="n">
        <f aca="false">IFERROR(INDEX('Semrush Data'!$A$1:$Z$20000,MATCH(A443,'Semrush Data'!$A$1:$A$20000,0),MATCH("CPC*",'Semrush Data'!$A$1:$Z$1,0)),"")</f>
        <v>0</v>
      </c>
      <c r="J443" s="6" t="str">
        <f aca="false">IFERROR(INDEX('Semrush Data'!$A$1:$Z$20000,MATCH(A443,'Semrush Data'!$A$1:$A$20000,0),MATCH("Intent",'Semrush Data'!$A$1:$Z$1,0)),"")</f>
        <v>Informational Transactional</v>
      </c>
    </row>
    <row r="444" customFormat="false" ht="15" hidden="false" customHeight="true" outlineLevel="0" collapsed="false">
      <c r="A444" s="6" t="s">
        <v>2086</v>
      </c>
      <c r="B444" s="6" t="s">
        <v>41</v>
      </c>
      <c r="C444" s="6" t="n">
        <v>1</v>
      </c>
      <c r="D444" s="6" t="n">
        <v>5</v>
      </c>
      <c r="E444" s="6" t="n">
        <v>1</v>
      </c>
      <c r="F444" s="6" t="s">
        <v>1039</v>
      </c>
      <c r="G444" s="28" t="n">
        <f aca="false">IFERROR(INDEX('Semrush Data'!$A$1:$Z$20000,MATCH(A444,'Semrush Data'!$A$1:$A$20000,0),MATCH("Volume",'Semrush Data'!$A$1:$Z$1,0)),"")</f>
        <v>0</v>
      </c>
      <c r="H444" s="6" t="n">
        <f aca="false">IFERROR(INDEX('Semrush Data'!$A$1:$Z$20000,MATCH(A444,'Semrush Data'!$A$1:$A$20000,0),MATCH("Keyword Difficulty*",'Semrush Data'!$A$1:$Z$1,0)),"")</f>
        <v>12</v>
      </c>
      <c r="I444" s="29" t="n">
        <f aca="false">IFERROR(INDEX('Semrush Data'!$A$1:$Z$20000,MATCH(A444,'Semrush Data'!$A$1:$A$20000,0),MATCH("CPC*",'Semrush Data'!$A$1:$Z$1,0)),"")</f>
        <v>0</v>
      </c>
      <c r="J444" s="6" t="str">
        <f aca="false">IFERROR(INDEX('Semrush Data'!$A$1:$Z$20000,MATCH(A444,'Semrush Data'!$A$1:$A$20000,0),MATCH("Intent",'Semrush Data'!$A$1:$Z$1,0)),"")</f>
        <v>Transactional Navigational</v>
      </c>
    </row>
    <row r="445" customFormat="false" ht="15" hidden="false" customHeight="true" outlineLevel="0" collapsed="false">
      <c r="A445" s="6" t="s">
        <v>2232</v>
      </c>
      <c r="B445" s="6" t="s">
        <v>41</v>
      </c>
      <c r="C445" s="6" t="n">
        <v>1</v>
      </c>
      <c r="D445" s="6" t="n">
        <v>5</v>
      </c>
      <c r="E445" s="6" t="n">
        <v>1</v>
      </c>
      <c r="F445" s="6" t="s">
        <v>1185</v>
      </c>
      <c r="G445" s="28" t="n">
        <f aca="false">IFERROR(INDEX('Semrush Data'!$A$1:$Z$20000,MATCH(A445,'Semrush Data'!$A$1:$A$20000,0),MATCH("Volume",'Semrush Data'!$A$1:$Z$1,0)),"")</f>
        <v>0</v>
      </c>
      <c r="H445" s="6" t="n">
        <f aca="false">IFERROR(INDEX('Semrush Data'!$A$1:$Z$20000,MATCH(A445,'Semrush Data'!$A$1:$A$20000,0),MATCH("Keyword Difficulty*",'Semrush Data'!$A$1:$Z$1,0)),"")</f>
        <v>14</v>
      </c>
      <c r="I445" s="29" t="n">
        <f aca="false">IFERROR(INDEX('Semrush Data'!$A$1:$Z$20000,MATCH(A445,'Semrush Data'!$A$1:$A$20000,0),MATCH("CPC*",'Semrush Data'!$A$1:$Z$1,0)),"")</f>
        <v>0</v>
      </c>
      <c r="J445" s="6" t="str">
        <f aca="false">IFERROR(INDEX('Semrush Data'!$A$1:$Z$20000,MATCH(A445,'Semrush Data'!$A$1:$A$20000,0),MATCH("Intent",'Semrush Data'!$A$1:$Z$1,0)),"")</f>
        <v>Informational Transactional</v>
      </c>
    </row>
    <row r="446" customFormat="false" ht="15" hidden="false" customHeight="true" outlineLevel="0" collapsed="false">
      <c r="A446" s="6" t="s">
        <v>1995</v>
      </c>
      <c r="B446" s="6" t="s">
        <v>41</v>
      </c>
      <c r="C446" s="6" t="n">
        <v>1</v>
      </c>
      <c r="D446" s="6" t="n">
        <v>5</v>
      </c>
      <c r="E446" s="6" t="n">
        <v>1</v>
      </c>
      <c r="F446" s="6" t="s">
        <v>952</v>
      </c>
      <c r="G446" s="28" t="n">
        <f aca="false">IFERROR(INDEX('Semrush Data'!$A$1:$Z$20000,MATCH(A446,'Semrush Data'!$A$1:$A$20000,0),MATCH("Volume",'Semrush Data'!$A$1:$Z$1,0)),"")</f>
        <v>0</v>
      </c>
      <c r="H446" s="6" t="n">
        <f aca="false">IFERROR(INDEX('Semrush Data'!$A$1:$Z$20000,MATCH(A446,'Semrush Data'!$A$1:$A$20000,0),MATCH("Keyword Difficulty*",'Semrush Data'!$A$1:$Z$1,0)),"")</f>
        <v>13</v>
      </c>
      <c r="I446" s="29" t="n">
        <f aca="false">IFERROR(INDEX('Semrush Data'!$A$1:$Z$20000,MATCH(A446,'Semrush Data'!$A$1:$A$20000,0),MATCH("CPC*",'Semrush Data'!$A$1:$Z$1,0)),"")</f>
        <v>0</v>
      </c>
      <c r="J446" s="6" t="str">
        <f aca="false">IFERROR(INDEX('Semrush Data'!$A$1:$Z$20000,MATCH(A446,'Semrush Data'!$A$1:$A$20000,0),MATCH("Intent",'Semrush Data'!$A$1:$Z$1,0)),"")</f>
        <v>Transactional Navigational</v>
      </c>
    </row>
    <row r="447" customFormat="false" ht="15" hidden="false" customHeight="true" outlineLevel="0" collapsed="false">
      <c r="A447" s="6" t="s">
        <v>2225</v>
      </c>
      <c r="B447" s="6" t="s">
        <v>41</v>
      </c>
      <c r="C447" s="6" t="n">
        <v>1</v>
      </c>
      <c r="D447" s="6" t="n">
        <v>5</v>
      </c>
      <c r="E447" s="6" t="n">
        <v>1</v>
      </c>
      <c r="F447" s="6" t="s">
        <v>1178</v>
      </c>
      <c r="G447" s="28" t="n">
        <f aca="false">IFERROR(INDEX('Semrush Data'!$A$1:$Z$20000,MATCH(A447,'Semrush Data'!$A$1:$A$20000,0),MATCH("Volume",'Semrush Data'!$A$1:$Z$1,0)),"")</f>
        <v>0</v>
      </c>
      <c r="H447" s="6" t="n">
        <f aca="false">IFERROR(INDEX('Semrush Data'!$A$1:$Z$20000,MATCH(A447,'Semrush Data'!$A$1:$A$20000,0),MATCH("Keyword Difficulty*",'Semrush Data'!$A$1:$Z$1,0)),"")</f>
        <v>22</v>
      </c>
      <c r="I447" s="29" t="n">
        <f aca="false">IFERROR(INDEX('Semrush Data'!$A$1:$Z$20000,MATCH(A447,'Semrush Data'!$A$1:$A$20000,0),MATCH("CPC*",'Semrush Data'!$A$1:$Z$1,0)),"")</f>
        <v>0</v>
      </c>
      <c r="J447" s="6" t="str">
        <f aca="false">IFERROR(INDEX('Semrush Data'!$A$1:$Z$20000,MATCH(A447,'Semrush Data'!$A$1:$A$20000,0),MATCH("Intent",'Semrush Data'!$A$1:$Z$1,0)),"")</f>
        <v>Informational</v>
      </c>
    </row>
    <row r="448" customFormat="false" ht="15" hidden="false" customHeight="true" outlineLevel="0" collapsed="false">
      <c r="A448" s="6" t="s">
        <v>2172</v>
      </c>
      <c r="B448" s="6" t="s">
        <v>41</v>
      </c>
      <c r="C448" s="6" t="n">
        <v>1</v>
      </c>
      <c r="D448" s="6" t="n">
        <v>5</v>
      </c>
      <c r="E448" s="6" t="n">
        <v>1</v>
      </c>
      <c r="F448" s="6" t="s">
        <v>1123</v>
      </c>
      <c r="G448" s="28" t="n">
        <f aca="false">IFERROR(INDEX('Semrush Data'!$A$1:$Z$20000,MATCH(A448,'Semrush Data'!$A$1:$A$20000,0),MATCH("Volume",'Semrush Data'!$A$1:$Z$1,0)),"")</f>
        <v>0</v>
      </c>
      <c r="H448" s="6" t="n">
        <f aca="false">IFERROR(INDEX('Semrush Data'!$A$1:$Z$20000,MATCH(A448,'Semrush Data'!$A$1:$A$20000,0),MATCH("Keyword Difficulty*",'Semrush Data'!$A$1:$Z$1,0)),"")</f>
        <v>13</v>
      </c>
      <c r="I448" s="29" t="n">
        <f aca="false">IFERROR(INDEX('Semrush Data'!$A$1:$Z$20000,MATCH(A448,'Semrush Data'!$A$1:$A$20000,0),MATCH("CPC*",'Semrush Data'!$A$1:$Z$1,0)),"")</f>
        <v>0</v>
      </c>
      <c r="J448" s="6" t="str">
        <f aca="false">IFERROR(INDEX('Semrush Data'!$A$1:$Z$20000,MATCH(A448,'Semrush Data'!$A$1:$A$20000,0),MATCH("Intent",'Semrush Data'!$A$1:$Z$1,0)),"")</f>
        <v>Navigational</v>
      </c>
    </row>
    <row r="449" customFormat="false" ht="15" hidden="false" customHeight="true" outlineLevel="0" collapsed="false">
      <c r="A449" s="6" t="s">
        <v>2238</v>
      </c>
      <c r="B449" s="6" t="s">
        <v>41</v>
      </c>
      <c r="C449" s="6" t="n">
        <v>1</v>
      </c>
      <c r="D449" s="6" t="n">
        <v>5</v>
      </c>
      <c r="E449" s="6" t="n">
        <v>1</v>
      </c>
      <c r="F449" s="6" t="s">
        <v>1192</v>
      </c>
      <c r="G449" s="28" t="n">
        <f aca="false">IFERROR(INDEX('Semrush Data'!$A$1:$Z$20000,MATCH(A449,'Semrush Data'!$A$1:$A$20000,0),MATCH("Volume",'Semrush Data'!$A$1:$Z$1,0)),"")</f>
        <v>30</v>
      </c>
      <c r="H449" s="6" t="n">
        <f aca="false">IFERROR(INDEX('Semrush Data'!$A$1:$Z$20000,MATCH(A449,'Semrush Data'!$A$1:$A$20000,0),MATCH("Keyword Difficulty*",'Semrush Data'!$A$1:$Z$1,0)),"")</f>
        <v>18</v>
      </c>
      <c r="I449" s="29" t="n">
        <f aca="false">IFERROR(INDEX('Semrush Data'!$A$1:$Z$20000,MATCH(A449,'Semrush Data'!$A$1:$A$20000,0),MATCH("CPC*",'Semrush Data'!$A$1:$Z$1,0)),"")</f>
        <v>0</v>
      </c>
      <c r="J449" s="6" t="str">
        <f aca="false">IFERROR(INDEX('Semrush Data'!$A$1:$Z$20000,MATCH(A449,'Semrush Data'!$A$1:$A$20000,0),MATCH("Intent",'Semrush Data'!$A$1:$Z$1,0)),"")</f>
        <v>Informational Transactional</v>
      </c>
    </row>
    <row r="450" customFormat="false" ht="15" hidden="false" customHeight="true" outlineLevel="0" collapsed="false">
      <c r="A450" s="6" t="s">
        <v>2010</v>
      </c>
      <c r="B450" s="6" t="s">
        <v>41</v>
      </c>
      <c r="C450" s="6" t="n">
        <v>1</v>
      </c>
      <c r="D450" s="6" t="n">
        <v>5</v>
      </c>
      <c r="E450" s="6" t="n">
        <v>1</v>
      </c>
      <c r="F450" s="6" t="s">
        <v>965</v>
      </c>
      <c r="G450" s="28" t="n">
        <f aca="false">IFERROR(INDEX('Semrush Data'!$A$1:$Z$20000,MATCH(A450,'Semrush Data'!$A$1:$A$20000,0),MATCH("Volume",'Semrush Data'!$A$1:$Z$1,0)),"")</f>
        <v>0</v>
      </c>
      <c r="H450" s="6" t="n">
        <f aca="false">IFERROR(INDEX('Semrush Data'!$A$1:$Z$20000,MATCH(A450,'Semrush Data'!$A$1:$A$20000,0),MATCH("Keyword Difficulty*",'Semrush Data'!$A$1:$Z$1,0)),"")</f>
        <v>12</v>
      </c>
      <c r="I450" s="29" t="n">
        <f aca="false">IFERROR(INDEX('Semrush Data'!$A$1:$Z$20000,MATCH(A450,'Semrush Data'!$A$1:$A$20000,0),MATCH("CPC*",'Semrush Data'!$A$1:$Z$1,0)),"")</f>
        <v>0</v>
      </c>
      <c r="J450" s="6" t="str">
        <f aca="false">IFERROR(INDEX('Semrush Data'!$A$1:$Z$20000,MATCH(A450,'Semrush Data'!$A$1:$A$20000,0),MATCH("Intent",'Semrush Data'!$A$1:$Z$1,0)),"")</f>
        <v>Informational Transactional</v>
      </c>
    </row>
    <row r="451" customFormat="false" ht="15" hidden="false" customHeight="true" outlineLevel="0" collapsed="false">
      <c r="A451" s="6" t="s">
        <v>2179</v>
      </c>
      <c r="B451" s="6" t="s">
        <v>41</v>
      </c>
      <c r="C451" s="6" t="n">
        <v>1</v>
      </c>
      <c r="D451" s="6" t="n">
        <v>5</v>
      </c>
      <c r="E451" s="6" t="n">
        <v>2</v>
      </c>
      <c r="F451" s="6" t="s">
        <v>6779</v>
      </c>
      <c r="G451" s="28" t="n">
        <f aca="false">IFERROR(INDEX('Semrush Data'!$A$1:$Z$20000,MATCH(A451,'Semrush Data'!$A$1:$A$20000,0),MATCH("Volume",'Semrush Data'!$A$1:$Z$1,0)),"")</f>
        <v>0</v>
      </c>
      <c r="H451" s="6" t="n">
        <f aca="false">IFERROR(INDEX('Semrush Data'!$A$1:$Z$20000,MATCH(A451,'Semrush Data'!$A$1:$A$20000,0),MATCH("Keyword Difficulty*",'Semrush Data'!$A$1:$Z$1,0)),"")</f>
        <v>15</v>
      </c>
      <c r="I451" s="29" t="n">
        <f aca="false">IFERROR(INDEX('Semrush Data'!$A$1:$Z$20000,MATCH(A451,'Semrush Data'!$A$1:$A$20000,0),MATCH("CPC*",'Semrush Data'!$A$1:$Z$1,0)),"")</f>
        <v>0</v>
      </c>
      <c r="J451" s="6" t="str">
        <f aca="false">IFERROR(INDEX('Semrush Data'!$A$1:$Z$20000,MATCH(A451,'Semrush Data'!$A$1:$A$20000,0),MATCH("Intent",'Semrush Data'!$A$1:$Z$1,0)),"")</f>
        <v>Navigational</v>
      </c>
    </row>
    <row r="452" customFormat="false" ht="15" hidden="false" customHeight="true" outlineLevel="0" collapsed="false">
      <c r="A452" s="6" t="s">
        <v>2017</v>
      </c>
      <c r="B452" s="6" t="s">
        <v>41</v>
      </c>
      <c r="C452" s="6" t="n">
        <v>1</v>
      </c>
      <c r="D452" s="6" t="n">
        <v>5</v>
      </c>
      <c r="E452" s="6" t="n">
        <v>1</v>
      </c>
      <c r="F452" s="6" t="s">
        <v>971</v>
      </c>
      <c r="G452" s="28" t="n">
        <f aca="false">IFERROR(INDEX('Semrush Data'!$A$1:$Z$20000,MATCH(A452,'Semrush Data'!$A$1:$A$20000,0),MATCH("Volume",'Semrush Data'!$A$1:$Z$1,0)),"")</f>
        <v>0</v>
      </c>
      <c r="H452" s="6" t="n">
        <f aca="false">IFERROR(INDEX('Semrush Data'!$A$1:$Z$20000,MATCH(A452,'Semrush Data'!$A$1:$A$20000,0),MATCH("Keyword Difficulty*",'Semrush Data'!$A$1:$Z$1,0)),"")</f>
        <v>13</v>
      </c>
      <c r="I452" s="29" t="n">
        <f aca="false">IFERROR(INDEX('Semrush Data'!$A$1:$Z$20000,MATCH(A452,'Semrush Data'!$A$1:$A$20000,0),MATCH("CPC*",'Semrush Data'!$A$1:$Z$1,0)),"")</f>
        <v>0</v>
      </c>
      <c r="J452" s="6" t="str">
        <f aca="false">IFERROR(INDEX('Semrush Data'!$A$1:$Z$20000,MATCH(A452,'Semrush Data'!$A$1:$A$20000,0),MATCH("Intent",'Semrush Data'!$A$1:$Z$1,0)),"")</f>
        <v>Transactional Navigational</v>
      </c>
    </row>
    <row r="453" customFormat="false" ht="15" hidden="false" customHeight="true" outlineLevel="0" collapsed="false">
      <c r="A453" s="6" t="s">
        <v>2131</v>
      </c>
      <c r="B453" s="6" t="s">
        <v>41</v>
      </c>
      <c r="C453" s="6" t="n">
        <v>1</v>
      </c>
      <c r="D453" s="6" t="n">
        <v>5</v>
      </c>
      <c r="E453" s="6" t="n">
        <v>1</v>
      </c>
      <c r="F453" s="6" t="s">
        <v>1085</v>
      </c>
      <c r="G453" s="28" t="n">
        <f aca="false">IFERROR(INDEX('Semrush Data'!$A$1:$Z$20000,MATCH(A453,'Semrush Data'!$A$1:$A$20000,0),MATCH("Volume",'Semrush Data'!$A$1:$Z$1,0)),"")</f>
        <v>0</v>
      </c>
      <c r="H453" s="6" t="n">
        <f aca="false">IFERROR(INDEX('Semrush Data'!$A$1:$Z$20000,MATCH(A453,'Semrush Data'!$A$1:$A$20000,0),MATCH("Keyword Difficulty*",'Semrush Data'!$A$1:$Z$1,0)),"")</f>
        <v>12</v>
      </c>
      <c r="I453" s="29" t="n">
        <f aca="false">IFERROR(INDEX('Semrush Data'!$A$1:$Z$20000,MATCH(A453,'Semrush Data'!$A$1:$A$20000,0),MATCH("CPC*",'Semrush Data'!$A$1:$Z$1,0)),"")</f>
        <v>0</v>
      </c>
      <c r="J453" s="6" t="str">
        <f aca="false">IFERROR(INDEX('Semrush Data'!$A$1:$Z$20000,MATCH(A453,'Semrush Data'!$A$1:$A$20000,0),MATCH("Intent",'Semrush Data'!$A$1:$Z$1,0)),"")</f>
        <v>Informational Transactional</v>
      </c>
    </row>
    <row r="454" customFormat="false" ht="15" hidden="false" customHeight="true" outlineLevel="0" collapsed="false">
      <c r="A454" s="6" t="s">
        <v>2376</v>
      </c>
      <c r="B454" s="6" t="s">
        <v>41</v>
      </c>
      <c r="C454" s="6" t="n">
        <v>1</v>
      </c>
      <c r="D454" s="6" t="n">
        <v>5</v>
      </c>
      <c r="E454" s="6" t="n">
        <v>1</v>
      </c>
      <c r="F454" s="6" t="s">
        <v>1332</v>
      </c>
      <c r="G454" s="28" t="n">
        <f aca="false">IFERROR(INDEX('Semrush Data'!$A$1:$Z$20000,MATCH(A454,'Semrush Data'!$A$1:$A$20000,0),MATCH("Volume",'Semrush Data'!$A$1:$Z$1,0)),"")</f>
        <v>0</v>
      </c>
      <c r="H454" s="6" t="n">
        <f aca="false">IFERROR(INDEX('Semrush Data'!$A$1:$Z$20000,MATCH(A454,'Semrush Data'!$A$1:$A$20000,0),MATCH("Keyword Difficulty*",'Semrush Data'!$A$1:$Z$1,0)),"")</f>
        <v>14</v>
      </c>
      <c r="I454" s="29" t="n">
        <f aca="false">IFERROR(INDEX('Semrush Data'!$A$1:$Z$20000,MATCH(A454,'Semrush Data'!$A$1:$A$20000,0),MATCH("CPC*",'Semrush Data'!$A$1:$Z$1,0)),"")</f>
        <v>0</v>
      </c>
      <c r="J454" s="6" t="str">
        <f aca="false">IFERROR(INDEX('Semrush Data'!$A$1:$Z$20000,MATCH(A454,'Semrush Data'!$A$1:$A$20000,0),MATCH("Intent",'Semrush Data'!$A$1:$Z$1,0)),"")</f>
        <v>Informational</v>
      </c>
    </row>
    <row r="455" customFormat="false" ht="15" hidden="false" customHeight="true" outlineLevel="0" collapsed="false">
      <c r="A455" s="6" t="s">
        <v>2125</v>
      </c>
      <c r="B455" s="6" t="s">
        <v>41</v>
      </c>
      <c r="C455" s="6" t="n">
        <v>1</v>
      </c>
      <c r="D455" s="6" t="n">
        <v>5</v>
      </c>
      <c r="E455" s="6" t="n">
        <v>1</v>
      </c>
      <c r="F455" s="6" t="s">
        <v>1079</v>
      </c>
      <c r="G455" s="28" t="n">
        <f aca="false">IFERROR(INDEX('Semrush Data'!$A$1:$Z$20000,MATCH(A455,'Semrush Data'!$A$1:$A$20000,0),MATCH("Volume",'Semrush Data'!$A$1:$Z$1,0)),"")</f>
        <v>0</v>
      </c>
      <c r="H455" s="6" t="n">
        <f aca="false">IFERROR(INDEX('Semrush Data'!$A$1:$Z$20000,MATCH(A455,'Semrush Data'!$A$1:$A$20000,0),MATCH("Keyword Difficulty*",'Semrush Data'!$A$1:$Z$1,0)),"")</f>
        <v>22</v>
      </c>
      <c r="I455" s="29" t="n">
        <f aca="false">IFERROR(INDEX('Semrush Data'!$A$1:$Z$20000,MATCH(A455,'Semrush Data'!$A$1:$A$20000,0),MATCH("CPC*",'Semrush Data'!$A$1:$Z$1,0)),"")</f>
        <v>0</v>
      </c>
      <c r="J455" s="6" t="str">
        <f aca="false">IFERROR(INDEX('Semrush Data'!$A$1:$Z$20000,MATCH(A455,'Semrush Data'!$A$1:$A$20000,0),MATCH("Intent",'Semrush Data'!$A$1:$Z$1,0)),"")</f>
        <v>Informational Transactional</v>
      </c>
    </row>
    <row r="456" customFormat="false" ht="15" hidden="false" customHeight="true" outlineLevel="0" collapsed="false">
      <c r="A456" s="6" t="s">
        <v>2304</v>
      </c>
      <c r="B456" s="6" t="s">
        <v>41</v>
      </c>
      <c r="C456" s="6" t="n">
        <v>1</v>
      </c>
      <c r="D456" s="6" t="n">
        <v>5</v>
      </c>
      <c r="E456" s="6" t="n">
        <v>1</v>
      </c>
      <c r="F456" s="6" t="s">
        <v>1260</v>
      </c>
      <c r="G456" s="28" t="n">
        <f aca="false">IFERROR(INDEX('Semrush Data'!$A$1:$Z$20000,MATCH(A456,'Semrush Data'!$A$1:$A$20000,0),MATCH("Volume",'Semrush Data'!$A$1:$Z$1,0)),"")</f>
        <v>0</v>
      </c>
      <c r="H456" s="6" t="n">
        <f aca="false">IFERROR(INDEX('Semrush Data'!$A$1:$Z$20000,MATCH(A456,'Semrush Data'!$A$1:$A$20000,0),MATCH("Keyword Difficulty*",'Semrush Data'!$A$1:$Z$1,0)),"")</f>
        <v>14</v>
      </c>
      <c r="I456" s="29" t="n">
        <f aca="false">IFERROR(INDEX('Semrush Data'!$A$1:$Z$20000,MATCH(A456,'Semrush Data'!$A$1:$A$20000,0),MATCH("CPC*",'Semrush Data'!$A$1:$Z$1,0)),"")</f>
        <v>0</v>
      </c>
      <c r="J456" s="6" t="str">
        <f aca="false">IFERROR(INDEX('Semrush Data'!$A$1:$Z$20000,MATCH(A456,'Semrush Data'!$A$1:$A$20000,0),MATCH("Intent",'Semrush Data'!$A$1:$Z$1,0)),"")</f>
        <v>Informational Transactional</v>
      </c>
    </row>
    <row r="457" customFormat="false" ht="15" hidden="false" customHeight="true" outlineLevel="0" collapsed="false">
      <c r="A457" s="6" t="s">
        <v>2245</v>
      </c>
      <c r="B457" s="6" t="s">
        <v>41</v>
      </c>
      <c r="C457" s="6" t="n">
        <v>1</v>
      </c>
      <c r="D457" s="6" t="n">
        <v>5</v>
      </c>
      <c r="E457" s="6" t="n">
        <v>1</v>
      </c>
      <c r="F457" s="6" t="s">
        <v>1199</v>
      </c>
      <c r="G457" s="28" t="n">
        <f aca="false">IFERROR(INDEX('Semrush Data'!$A$1:$Z$20000,MATCH(A457,'Semrush Data'!$A$1:$A$20000,0),MATCH("Volume",'Semrush Data'!$A$1:$Z$1,0)),"")</f>
        <v>0</v>
      </c>
      <c r="H457" s="6" t="n">
        <f aca="false">IFERROR(INDEX('Semrush Data'!$A$1:$Z$20000,MATCH(A457,'Semrush Data'!$A$1:$A$20000,0),MATCH("Keyword Difficulty*",'Semrush Data'!$A$1:$Z$1,0)),"")</f>
        <v>29</v>
      </c>
      <c r="I457" s="29" t="n">
        <f aca="false">IFERROR(INDEX('Semrush Data'!$A$1:$Z$20000,MATCH(A457,'Semrush Data'!$A$1:$A$20000,0),MATCH("CPC*",'Semrush Data'!$A$1:$Z$1,0)),"")</f>
        <v>0</v>
      </c>
      <c r="J457" s="6" t="str">
        <f aca="false">IFERROR(INDEX('Semrush Data'!$A$1:$Z$20000,MATCH(A457,'Semrush Data'!$A$1:$A$20000,0),MATCH("Intent",'Semrush Data'!$A$1:$Z$1,0)),"")</f>
        <v>Transactional Navigational</v>
      </c>
    </row>
    <row r="458" customFormat="false" ht="15" hidden="false" customHeight="true" outlineLevel="0" collapsed="false">
      <c r="A458" s="6" t="s">
        <v>2118</v>
      </c>
      <c r="B458" s="6" t="s">
        <v>41</v>
      </c>
      <c r="C458" s="6" t="n">
        <v>1</v>
      </c>
      <c r="D458" s="6" t="n">
        <v>5</v>
      </c>
      <c r="E458" s="6" t="n">
        <v>1</v>
      </c>
      <c r="F458" s="6" t="s">
        <v>1073</v>
      </c>
      <c r="G458" s="28" t="n">
        <f aca="false">IFERROR(INDEX('Semrush Data'!$A$1:$Z$20000,MATCH(A458,'Semrush Data'!$A$1:$A$20000,0),MATCH("Volume",'Semrush Data'!$A$1:$Z$1,0)),"")</f>
        <v>0</v>
      </c>
      <c r="H458" s="6" t="n">
        <f aca="false">IFERROR(INDEX('Semrush Data'!$A$1:$Z$20000,MATCH(A458,'Semrush Data'!$A$1:$A$20000,0),MATCH("Keyword Difficulty*",'Semrush Data'!$A$1:$Z$1,0)),"")</f>
        <v>12</v>
      </c>
      <c r="I458" s="29" t="n">
        <f aca="false">IFERROR(INDEX('Semrush Data'!$A$1:$Z$20000,MATCH(A458,'Semrush Data'!$A$1:$A$20000,0),MATCH("CPC*",'Semrush Data'!$A$1:$Z$1,0)),"")</f>
        <v>0</v>
      </c>
      <c r="J458" s="6" t="str">
        <f aca="false">IFERROR(INDEX('Semrush Data'!$A$1:$Z$20000,MATCH(A458,'Semrush Data'!$A$1:$A$20000,0),MATCH("Intent",'Semrush Data'!$A$1:$Z$1,0)),"")</f>
        <v>Navigational</v>
      </c>
    </row>
    <row r="459" customFormat="false" ht="15" hidden="false" customHeight="true" outlineLevel="0" collapsed="false">
      <c r="A459" s="6" t="s">
        <v>2065</v>
      </c>
      <c r="B459" s="6" t="s">
        <v>41</v>
      </c>
      <c r="C459" s="6" t="n">
        <v>1</v>
      </c>
      <c r="D459" s="6" t="n">
        <v>5</v>
      </c>
      <c r="E459" s="6" t="n">
        <v>1</v>
      </c>
      <c r="F459" s="6" t="s">
        <v>1021</v>
      </c>
      <c r="G459" s="28" t="n">
        <f aca="false">IFERROR(INDEX('Semrush Data'!$A$1:$Z$20000,MATCH(A459,'Semrush Data'!$A$1:$A$20000,0),MATCH("Volume",'Semrush Data'!$A$1:$Z$1,0)),"")</f>
        <v>0</v>
      </c>
      <c r="H459" s="6" t="n">
        <f aca="false">IFERROR(INDEX('Semrush Data'!$A$1:$Z$20000,MATCH(A459,'Semrush Data'!$A$1:$A$20000,0),MATCH("Keyword Difficulty*",'Semrush Data'!$A$1:$Z$1,0)),"")</f>
        <v>20</v>
      </c>
      <c r="I459" s="29" t="n">
        <f aca="false">IFERROR(INDEX('Semrush Data'!$A$1:$Z$20000,MATCH(A459,'Semrush Data'!$A$1:$A$20000,0),MATCH("CPC*",'Semrush Data'!$A$1:$Z$1,0)),"")</f>
        <v>0</v>
      </c>
      <c r="J459" s="6" t="str">
        <f aca="false">IFERROR(INDEX('Semrush Data'!$A$1:$Z$20000,MATCH(A459,'Semrush Data'!$A$1:$A$20000,0),MATCH("Intent",'Semrush Data'!$A$1:$Z$1,0)),"")</f>
        <v>Transactional Navigational</v>
      </c>
    </row>
    <row r="460" customFormat="false" ht="15" hidden="false" customHeight="true" outlineLevel="0" collapsed="false">
      <c r="A460" s="6" t="s">
        <v>2272</v>
      </c>
      <c r="B460" s="6" t="s">
        <v>41</v>
      </c>
      <c r="C460" s="6" t="n">
        <v>1</v>
      </c>
      <c r="D460" s="6" t="n">
        <v>5</v>
      </c>
      <c r="E460" s="6" t="n">
        <v>1</v>
      </c>
      <c r="F460" s="6" t="s">
        <v>1226</v>
      </c>
      <c r="G460" s="28" t="n">
        <f aca="false">IFERROR(INDEX('Semrush Data'!$A$1:$Z$20000,MATCH(A460,'Semrush Data'!$A$1:$A$20000,0),MATCH("Volume",'Semrush Data'!$A$1:$Z$1,0)),"")</f>
        <v>0</v>
      </c>
      <c r="H460" s="6" t="n">
        <f aca="false">IFERROR(INDEX('Semrush Data'!$A$1:$Z$20000,MATCH(A460,'Semrush Data'!$A$1:$A$20000,0),MATCH("Keyword Difficulty*",'Semrush Data'!$A$1:$Z$1,0)),"")</f>
        <v>6</v>
      </c>
      <c r="I460" s="29" t="n">
        <f aca="false">IFERROR(INDEX('Semrush Data'!$A$1:$Z$20000,MATCH(A460,'Semrush Data'!$A$1:$A$20000,0),MATCH("CPC*",'Semrush Data'!$A$1:$Z$1,0)),"")</f>
        <v>0</v>
      </c>
      <c r="J460" s="6" t="str">
        <f aca="false">IFERROR(INDEX('Semrush Data'!$A$1:$Z$20000,MATCH(A460,'Semrush Data'!$A$1:$A$20000,0),MATCH("Intent",'Semrush Data'!$A$1:$Z$1,0)),"")</f>
        <v>Informational Transactional</v>
      </c>
    </row>
    <row r="461" customFormat="false" ht="15" hidden="false" customHeight="true" outlineLevel="0" collapsed="false">
      <c r="A461" s="6" t="s">
        <v>2103</v>
      </c>
      <c r="B461" s="6" t="s">
        <v>41</v>
      </c>
      <c r="C461" s="6" t="n">
        <v>1</v>
      </c>
      <c r="D461" s="6" t="n">
        <v>5</v>
      </c>
      <c r="E461" s="6" t="n">
        <v>1</v>
      </c>
      <c r="F461" s="6" t="s">
        <v>1059</v>
      </c>
      <c r="G461" s="28" t="n">
        <f aca="false">IFERROR(INDEX('Semrush Data'!$A$1:$Z$20000,MATCH(A461,'Semrush Data'!$A$1:$A$20000,0),MATCH("Volume",'Semrush Data'!$A$1:$Z$1,0)),"")</f>
        <v>10</v>
      </c>
      <c r="H461" s="6" t="n">
        <f aca="false">IFERROR(INDEX('Semrush Data'!$A$1:$Z$20000,MATCH(A461,'Semrush Data'!$A$1:$A$20000,0),MATCH("Keyword Difficulty*",'Semrush Data'!$A$1:$Z$1,0)),"")</f>
        <v>9</v>
      </c>
      <c r="I461" s="29" t="n">
        <f aca="false">IFERROR(INDEX('Semrush Data'!$A$1:$Z$20000,MATCH(A461,'Semrush Data'!$A$1:$A$20000,0),MATCH("CPC*",'Semrush Data'!$A$1:$Z$1,0)),"")</f>
        <v>0</v>
      </c>
      <c r="J461" s="6" t="str">
        <f aca="false">IFERROR(INDEX('Semrush Data'!$A$1:$Z$20000,MATCH(A461,'Semrush Data'!$A$1:$A$20000,0),MATCH("Intent",'Semrush Data'!$A$1:$Z$1,0)),"")</f>
        <v>Transactional Navigational</v>
      </c>
    </row>
    <row r="462" customFormat="false" ht="15" hidden="false" customHeight="true" outlineLevel="0" collapsed="false">
      <c r="A462" s="6" t="s">
        <v>2078</v>
      </c>
      <c r="B462" s="6" t="s">
        <v>41</v>
      </c>
      <c r="C462" s="6" t="n">
        <v>1</v>
      </c>
      <c r="D462" s="6" t="n">
        <v>5</v>
      </c>
      <c r="E462" s="6" t="n">
        <v>1</v>
      </c>
      <c r="F462" s="6" t="s">
        <v>1033</v>
      </c>
      <c r="G462" s="28" t="n">
        <f aca="false">IFERROR(INDEX('Semrush Data'!$A$1:$Z$20000,MATCH(A462,'Semrush Data'!$A$1:$A$20000,0),MATCH("Volume",'Semrush Data'!$A$1:$Z$1,0)),"")</f>
        <v>0</v>
      </c>
      <c r="H462" s="6" t="n">
        <f aca="false">IFERROR(INDEX('Semrush Data'!$A$1:$Z$20000,MATCH(A462,'Semrush Data'!$A$1:$A$20000,0),MATCH("Keyword Difficulty*",'Semrush Data'!$A$1:$Z$1,0)),"")</f>
        <v>12</v>
      </c>
      <c r="I462" s="29" t="n">
        <f aca="false">IFERROR(INDEX('Semrush Data'!$A$1:$Z$20000,MATCH(A462,'Semrush Data'!$A$1:$A$20000,0),MATCH("CPC*",'Semrush Data'!$A$1:$Z$1,0)),"")</f>
        <v>0</v>
      </c>
      <c r="J462" s="6" t="str">
        <f aca="false">IFERROR(INDEX('Semrush Data'!$A$1:$Z$20000,MATCH(A462,'Semrush Data'!$A$1:$A$20000,0),MATCH("Intent",'Semrush Data'!$A$1:$Z$1,0)),"")</f>
        <v>Informational Navigational</v>
      </c>
    </row>
    <row r="463" customFormat="false" ht="15" hidden="false" customHeight="true" outlineLevel="0" collapsed="false">
      <c r="A463" s="6" t="s">
        <v>2071</v>
      </c>
      <c r="B463" s="6" t="s">
        <v>41</v>
      </c>
      <c r="C463" s="6" t="n">
        <v>1</v>
      </c>
      <c r="D463" s="6" t="n">
        <v>5</v>
      </c>
      <c r="E463" s="6" t="n">
        <v>1</v>
      </c>
      <c r="F463" s="6" t="s">
        <v>1027</v>
      </c>
      <c r="G463" s="28" t="n">
        <f aca="false">IFERROR(INDEX('Semrush Data'!$A$1:$Z$20000,MATCH(A463,'Semrush Data'!$A$1:$A$20000,0),MATCH("Volume",'Semrush Data'!$A$1:$Z$1,0)),"")</f>
        <v>0</v>
      </c>
      <c r="H463" s="6" t="n">
        <f aca="false">IFERROR(INDEX('Semrush Data'!$A$1:$Z$20000,MATCH(A463,'Semrush Data'!$A$1:$A$20000,0),MATCH("Keyword Difficulty*",'Semrush Data'!$A$1:$Z$1,0)),"")</f>
        <v>13</v>
      </c>
      <c r="I463" s="29" t="n">
        <f aca="false">IFERROR(INDEX('Semrush Data'!$A$1:$Z$20000,MATCH(A463,'Semrush Data'!$A$1:$A$20000,0),MATCH("CPC*",'Semrush Data'!$A$1:$Z$1,0)),"")</f>
        <v>0</v>
      </c>
      <c r="J463" s="6" t="str">
        <f aca="false">IFERROR(INDEX('Semrush Data'!$A$1:$Z$20000,MATCH(A463,'Semrush Data'!$A$1:$A$20000,0),MATCH("Intent",'Semrush Data'!$A$1:$Z$1,0)),"")</f>
        <v>Transactional Navigational</v>
      </c>
    </row>
    <row r="464" customFormat="false" ht="15" hidden="false" customHeight="true" outlineLevel="0" collapsed="false">
      <c r="A464" s="6" t="s">
        <v>2285</v>
      </c>
      <c r="B464" s="6" t="s">
        <v>41</v>
      </c>
      <c r="C464" s="6" t="n">
        <v>1</v>
      </c>
      <c r="D464" s="6" t="n">
        <v>5</v>
      </c>
      <c r="E464" s="6" t="n">
        <v>1</v>
      </c>
      <c r="F464" s="6" t="s">
        <v>1239</v>
      </c>
      <c r="G464" s="28" t="n">
        <f aca="false">IFERROR(INDEX('Semrush Data'!$A$1:$Z$20000,MATCH(A464,'Semrush Data'!$A$1:$A$20000,0),MATCH("Volume",'Semrush Data'!$A$1:$Z$1,0)),"")</f>
        <v>20</v>
      </c>
      <c r="H464" s="6" t="n">
        <f aca="false">IFERROR(INDEX('Semrush Data'!$A$1:$Z$20000,MATCH(A464,'Semrush Data'!$A$1:$A$20000,0),MATCH("Keyword Difficulty*",'Semrush Data'!$A$1:$Z$1,0)),"")</f>
        <v>14</v>
      </c>
      <c r="I464" s="29" t="n">
        <f aca="false">IFERROR(INDEX('Semrush Data'!$A$1:$Z$20000,MATCH(A464,'Semrush Data'!$A$1:$A$20000,0),MATCH("CPC*",'Semrush Data'!$A$1:$Z$1,0)),"")</f>
        <v>0</v>
      </c>
      <c r="J464" s="6" t="str">
        <f aca="false">IFERROR(INDEX('Semrush Data'!$A$1:$Z$20000,MATCH(A464,'Semrush Data'!$A$1:$A$20000,0),MATCH("Intent",'Semrush Data'!$A$1:$Z$1,0)),"")</f>
        <v>Informational Transactional</v>
      </c>
    </row>
    <row r="465" customFormat="false" ht="15" hidden="false" customHeight="true" outlineLevel="0" collapsed="false">
      <c r="A465" s="6" t="s">
        <v>2058</v>
      </c>
      <c r="B465" s="6" t="s">
        <v>41</v>
      </c>
      <c r="C465" s="6" t="n">
        <v>1</v>
      </c>
      <c r="D465" s="6" t="n">
        <v>5</v>
      </c>
      <c r="E465" s="6" t="n">
        <v>1</v>
      </c>
      <c r="F465" s="6" t="s">
        <v>1014</v>
      </c>
      <c r="G465" s="28" t="n">
        <f aca="false">IFERROR(INDEX('Semrush Data'!$A$1:$Z$20000,MATCH(A465,'Semrush Data'!$A$1:$A$20000,0),MATCH("Volume",'Semrush Data'!$A$1:$Z$1,0)),"")</f>
        <v>0</v>
      </c>
      <c r="H465" s="6" t="n">
        <f aca="false">IFERROR(INDEX('Semrush Data'!$A$1:$Z$20000,MATCH(A465,'Semrush Data'!$A$1:$A$20000,0),MATCH("Keyword Difficulty*",'Semrush Data'!$A$1:$Z$1,0)),"")</f>
        <v>19</v>
      </c>
      <c r="I465" s="29" t="n">
        <f aca="false">IFERROR(INDEX('Semrush Data'!$A$1:$Z$20000,MATCH(A465,'Semrush Data'!$A$1:$A$20000,0),MATCH("CPC*",'Semrush Data'!$A$1:$Z$1,0)),"")</f>
        <v>0</v>
      </c>
      <c r="J465" s="6" t="str">
        <f aca="false">IFERROR(INDEX('Semrush Data'!$A$1:$Z$20000,MATCH(A465,'Semrush Data'!$A$1:$A$20000,0),MATCH("Intent",'Semrush Data'!$A$1:$Z$1,0)),"")</f>
        <v>Transactional Navigational</v>
      </c>
    </row>
    <row r="466" customFormat="false" ht="15" hidden="false" customHeight="true" outlineLevel="0" collapsed="false">
      <c r="A466" s="6" t="s">
        <v>2311</v>
      </c>
      <c r="B466" s="6" t="s">
        <v>41</v>
      </c>
      <c r="C466" s="6" t="n">
        <v>1</v>
      </c>
      <c r="D466" s="6" t="n">
        <v>5</v>
      </c>
      <c r="E466" s="6" t="n">
        <v>1</v>
      </c>
      <c r="F466" s="6" t="s">
        <v>1266</v>
      </c>
      <c r="G466" s="28" t="n">
        <f aca="false">IFERROR(INDEX('Semrush Data'!$A$1:$Z$20000,MATCH(A466,'Semrush Data'!$A$1:$A$20000,0),MATCH("Volume",'Semrush Data'!$A$1:$Z$1,0)),"")</f>
        <v>0</v>
      </c>
      <c r="H466" s="6" t="n">
        <f aca="false">IFERROR(INDEX('Semrush Data'!$A$1:$Z$20000,MATCH(A466,'Semrush Data'!$A$1:$A$20000,0),MATCH("Keyword Difficulty*",'Semrush Data'!$A$1:$Z$1,0)),"")</f>
        <v>28</v>
      </c>
      <c r="I466" s="29" t="n">
        <f aca="false">IFERROR(INDEX('Semrush Data'!$A$1:$Z$20000,MATCH(A466,'Semrush Data'!$A$1:$A$20000,0),MATCH("CPC*",'Semrush Data'!$A$1:$Z$1,0)),"")</f>
        <v>0</v>
      </c>
      <c r="J466" s="6" t="str">
        <f aca="false">IFERROR(INDEX('Semrush Data'!$A$1:$Z$20000,MATCH(A466,'Semrush Data'!$A$1:$A$20000,0),MATCH("Intent",'Semrush Data'!$A$1:$Z$1,0)),"")</f>
        <v>Informational</v>
      </c>
    </row>
    <row r="467" customFormat="false" ht="15" hidden="false" customHeight="true" outlineLevel="0" collapsed="false">
      <c r="A467" s="6" t="s">
        <v>2037</v>
      </c>
      <c r="B467" s="6" t="s">
        <v>41</v>
      </c>
      <c r="C467" s="6" t="n">
        <v>1</v>
      </c>
      <c r="D467" s="6" t="n">
        <v>5</v>
      </c>
      <c r="E467" s="6" t="n">
        <v>1</v>
      </c>
      <c r="F467" s="6" t="s">
        <v>992</v>
      </c>
      <c r="G467" s="28" t="n">
        <f aca="false">IFERROR(INDEX('Semrush Data'!$A$1:$Z$20000,MATCH(A467,'Semrush Data'!$A$1:$A$20000,0),MATCH("Volume",'Semrush Data'!$A$1:$Z$1,0)),"")</f>
        <v>0</v>
      </c>
      <c r="H467" s="6" t="n">
        <f aca="false">IFERROR(INDEX('Semrush Data'!$A$1:$Z$20000,MATCH(A467,'Semrush Data'!$A$1:$A$20000,0),MATCH("Keyword Difficulty*",'Semrush Data'!$A$1:$Z$1,0)),"")</f>
        <v>15</v>
      </c>
      <c r="I467" s="29" t="n">
        <f aca="false">IFERROR(INDEX('Semrush Data'!$A$1:$Z$20000,MATCH(A467,'Semrush Data'!$A$1:$A$20000,0),MATCH("CPC*",'Semrush Data'!$A$1:$Z$1,0)),"")</f>
        <v>0</v>
      </c>
      <c r="J467" s="6" t="str">
        <f aca="false">IFERROR(INDEX('Semrush Data'!$A$1:$Z$20000,MATCH(A467,'Semrush Data'!$A$1:$A$20000,0),MATCH("Intent",'Semrush Data'!$A$1:$Z$1,0)),"")</f>
        <v>Informational Transactional</v>
      </c>
    </row>
    <row r="468" customFormat="false" ht="15" hidden="false" customHeight="true" outlineLevel="0" collapsed="false">
      <c r="A468" s="6" t="s">
        <v>2044</v>
      </c>
      <c r="B468" s="6" t="s">
        <v>41</v>
      </c>
      <c r="C468" s="6" t="n">
        <v>1</v>
      </c>
      <c r="D468" s="6" t="n">
        <v>5</v>
      </c>
      <c r="E468" s="6" t="n">
        <v>1</v>
      </c>
      <c r="F468" s="6" t="s">
        <v>999</v>
      </c>
      <c r="G468" s="28" t="n">
        <f aca="false">IFERROR(INDEX('Semrush Data'!$A$1:$Z$20000,MATCH(A468,'Semrush Data'!$A$1:$A$20000,0),MATCH("Volume",'Semrush Data'!$A$1:$Z$1,0)),"")</f>
        <v>0</v>
      </c>
      <c r="H468" s="6" t="n">
        <f aca="false">IFERROR(INDEX('Semrush Data'!$A$1:$Z$20000,MATCH(A468,'Semrush Data'!$A$1:$A$20000,0),MATCH("Keyword Difficulty*",'Semrush Data'!$A$1:$Z$1,0)),"")</f>
        <v>16</v>
      </c>
      <c r="I468" s="29" t="n">
        <f aca="false">IFERROR(INDEX('Semrush Data'!$A$1:$Z$20000,MATCH(A468,'Semrush Data'!$A$1:$A$20000,0),MATCH("CPC*",'Semrush Data'!$A$1:$Z$1,0)),"")</f>
        <v>0</v>
      </c>
      <c r="J468" s="6" t="str">
        <f aca="false">IFERROR(INDEX('Semrush Data'!$A$1:$Z$20000,MATCH(A468,'Semrush Data'!$A$1:$A$20000,0),MATCH("Intent",'Semrush Data'!$A$1:$Z$1,0)),"")</f>
        <v>Transactional Navigational</v>
      </c>
    </row>
    <row r="469" customFormat="false" ht="15" hidden="false" customHeight="true" outlineLevel="0" collapsed="false">
      <c r="A469" s="6" t="s">
        <v>3552</v>
      </c>
      <c r="B469" s="6" t="s">
        <v>41</v>
      </c>
      <c r="C469" s="6" t="n">
        <v>1</v>
      </c>
      <c r="D469" s="6" t="n">
        <v>5</v>
      </c>
      <c r="E469" s="6" t="n">
        <v>1</v>
      </c>
      <c r="F469" s="6" t="s">
        <v>3549</v>
      </c>
      <c r="G469" s="28" t="n">
        <f aca="false">IFERROR(INDEX('Semrush Data'!$A$1:$Z$20000,MATCH(A469,'Semrush Data'!$A$1:$A$20000,0),MATCH("Volume",'Semrush Data'!$A$1:$Z$1,0)),"")</f>
        <v>0</v>
      </c>
      <c r="H469" s="6" t="n">
        <f aca="false">IFERROR(INDEX('Semrush Data'!$A$1:$Z$20000,MATCH(A469,'Semrush Data'!$A$1:$A$20000,0),MATCH("Keyword Difficulty*",'Semrush Data'!$A$1:$Z$1,0)),"")</f>
        <v>24</v>
      </c>
      <c r="I469" s="29" t="n">
        <f aca="false">IFERROR(INDEX('Semrush Data'!$A$1:$Z$20000,MATCH(A469,'Semrush Data'!$A$1:$A$20000,0),MATCH("CPC*",'Semrush Data'!$A$1:$Z$1,0)),"")</f>
        <v>0</v>
      </c>
      <c r="J469" s="6" t="str">
        <f aca="false">IFERROR(INDEX('Semrush Data'!$A$1:$Z$20000,MATCH(A469,'Semrush Data'!$A$1:$A$20000,0),MATCH("Intent",'Semrush Data'!$A$1:$Z$1,0)),"")</f>
        <v>Transactional Navigational</v>
      </c>
    </row>
    <row r="470" customFormat="false" ht="15" hidden="false" customHeight="true" outlineLevel="0" collapsed="false">
      <c r="A470" s="6" t="s">
        <v>3539</v>
      </c>
      <c r="B470" s="6" t="s">
        <v>41</v>
      </c>
      <c r="C470" s="6" t="n">
        <v>1</v>
      </c>
      <c r="D470" s="6" t="n">
        <v>5</v>
      </c>
      <c r="E470" s="6" t="n">
        <v>1</v>
      </c>
      <c r="F470" s="6" t="s">
        <v>3536</v>
      </c>
      <c r="G470" s="28" t="n">
        <f aca="false">IFERROR(INDEX('Semrush Data'!$A$1:$Z$20000,MATCH(A470,'Semrush Data'!$A$1:$A$20000,0),MATCH("Volume",'Semrush Data'!$A$1:$Z$1,0)),"")</f>
        <v>20</v>
      </c>
      <c r="H470" s="6" t="n">
        <f aca="false">IFERROR(INDEX('Semrush Data'!$A$1:$Z$20000,MATCH(A470,'Semrush Data'!$A$1:$A$20000,0),MATCH("Keyword Difficulty*",'Semrush Data'!$A$1:$Z$1,0)),"")</f>
        <v>15</v>
      </c>
      <c r="I470" s="29" t="n">
        <f aca="false">IFERROR(INDEX('Semrush Data'!$A$1:$Z$20000,MATCH(A470,'Semrush Data'!$A$1:$A$20000,0),MATCH("CPC*",'Semrush Data'!$A$1:$Z$1,0)),"")</f>
        <v>0</v>
      </c>
      <c r="J470" s="6" t="str">
        <f aca="false">IFERROR(INDEX('Semrush Data'!$A$1:$Z$20000,MATCH(A470,'Semrush Data'!$A$1:$A$20000,0),MATCH("Intent",'Semrush Data'!$A$1:$Z$1,0)),"")</f>
        <v>Informational</v>
      </c>
    </row>
    <row r="471" customFormat="false" ht="15" hidden="false" customHeight="true" outlineLevel="0" collapsed="false">
      <c r="A471" s="6" t="s">
        <v>3560</v>
      </c>
      <c r="B471" s="6" t="s">
        <v>41</v>
      </c>
      <c r="C471" s="6" t="n">
        <v>1</v>
      </c>
      <c r="D471" s="6" t="n">
        <v>5</v>
      </c>
      <c r="E471" s="6" t="n">
        <v>1</v>
      </c>
      <c r="F471" s="6" t="s">
        <v>48</v>
      </c>
      <c r="G471" s="28" t="n">
        <f aca="false">IFERROR(INDEX('Semrush Data'!$A$1:$Z$20000,MATCH(A471,'Semrush Data'!$A$1:$A$20000,0),MATCH("Volume",'Semrush Data'!$A$1:$Z$1,0)),"")</f>
        <v>60500</v>
      </c>
      <c r="H471" s="6" t="n">
        <f aca="false">IFERROR(INDEX('Semrush Data'!$A$1:$Z$20000,MATCH(A471,'Semrush Data'!$A$1:$A$20000,0),MATCH("Keyword Difficulty*",'Semrush Data'!$A$1:$Z$1,0)),"")</f>
        <v>38</v>
      </c>
      <c r="I471" s="29" t="n">
        <f aca="false">IFERROR(INDEX('Semrush Data'!$A$1:$Z$20000,MATCH(A471,'Semrush Data'!$A$1:$A$20000,0),MATCH("CPC*",'Semrush Data'!$A$1:$Z$1,0)),"")</f>
        <v>0.57</v>
      </c>
      <c r="J471" s="6" t="str">
        <f aca="false">IFERROR(INDEX('Semrush Data'!$A$1:$Z$20000,MATCH(A471,'Semrush Data'!$A$1:$A$20000,0),MATCH("Intent",'Semrush Data'!$A$1:$Z$1,0)),"")</f>
        <v>Informational Transactional</v>
      </c>
    </row>
    <row r="472" customFormat="false" ht="15" hidden="false" customHeight="true" outlineLevel="0" collapsed="false">
      <c r="A472" s="6" t="s">
        <v>3595</v>
      </c>
      <c r="B472" s="6" t="s">
        <v>41</v>
      </c>
      <c r="C472" s="6" t="n">
        <v>1</v>
      </c>
      <c r="D472" s="6" t="n">
        <v>5</v>
      </c>
      <c r="E472" s="6" t="n">
        <v>1</v>
      </c>
      <c r="F472" s="6" t="s">
        <v>3591</v>
      </c>
      <c r="G472" s="28" t="n">
        <f aca="false">IFERROR(INDEX('Semrush Data'!$A$1:$Z$20000,MATCH(A472,'Semrush Data'!$A$1:$A$20000,0),MATCH("Volume",'Semrush Data'!$A$1:$Z$1,0)),"")</f>
        <v>0</v>
      </c>
      <c r="H472" s="6" t="n">
        <f aca="false">IFERROR(INDEX('Semrush Data'!$A$1:$Z$20000,MATCH(A472,'Semrush Data'!$A$1:$A$20000,0),MATCH("Keyword Difficulty*",'Semrush Data'!$A$1:$Z$1,0)),"")</f>
        <v>14</v>
      </c>
      <c r="I472" s="29" t="n">
        <f aca="false">IFERROR(INDEX('Semrush Data'!$A$1:$Z$20000,MATCH(A472,'Semrush Data'!$A$1:$A$20000,0),MATCH("CPC*",'Semrush Data'!$A$1:$Z$1,0)),"")</f>
        <v>0</v>
      </c>
      <c r="J472" s="6" t="str">
        <f aca="false">IFERROR(INDEX('Semrush Data'!$A$1:$Z$20000,MATCH(A472,'Semrush Data'!$A$1:$A$20000,0),MATCH("Intent",'Semrush Data'!$A$1:$Z$1,0)),"")</f>
        <v>Informational Transactional</v>
      </c>
    </row>
    <row r="473" customFormat="false" ht="15" hidden="false" customHeight="true" outlineLevel="0" collapsed="false">
      <c r="A473" s="6" t="s">
        <v>3572</v>
      </c>
      <c r="B473" s="6" t="s">
        <v>41</v>
      </c>
      <c r="C473" s="6" t="n">
        <v>1</v>
      </c>
      <c r="D473" s="6" t="n">
        <v>5</v>
      </c>
      <c r="E473" s="6" t="n">
        <v>1</v>
      </c>
      <c r="F473" s="6" t="s">
        <v>3569</v>
      </c>
      <c r="G473" s="28" t="n">
        <f aca="false">IFERROR(INDEX('Semrush Data'!$A$1:$Z$20000,MATCH(A473,'Semrush Data'!$A$1:$A$20000,0),MATCH("Volume",'Semrush Data'!$A$1:$Z$1,0)),"")</f>
        <v>50</v>
      </c>
      <c r="H473" s="6" t="n">
        <f aca="false">IFERROR(INDEX('Semrush Data'!$A$1:$Z$20000,MATCH(A473,'Semrush Data'!$A$1:$A$20000,0),MATCH("Keyword Difficulty*",'Semrush Data'!$A$1:$Z$1,0)),"")</f>
        <v>15</v>
      </c>
      <c r="I473" s="29" t="n">
        <f aca="false">IFERROR(INDEX('Semrush Data'!$A$1:$Z$20000,MATCH(A473,'Semrush Data'!$A$1:$A$20000,0),MATCH("CPC*",'Semrush Data'!$A$1:$Z$1,0)),"")</f>
        <v>0.33</v>
      </c>
      <c r="J473" s="6" t="str">
        <f aca="false">IFERROR(INDEX('Semrush Data'!$A$1:$Z$20000,MATCH(A473,'Semrush Data'!$A$1:$A$20000,0),MATCH("Intent",'Semrush Data'!$A$1:$Z$1,0)),"")</f>
        <v>Commercial</v>
      </c>
    </row>
    <row r="474" customFormat="false" ht="15" hidden="false" customHeight="true" outlineLevel="0" collapsed="false">
      <c r="A474" s="6" t="s">
        <v>3582</v>
      </c>
      <c r="B474" s="6" t="s">
        <v>41</v>
      </c>
      <c r="C474" s="6" t="n">
        <v>1</v>
      </c>
      <c r="D474" s="6" t="n">
        <v>5</v>
      </c>
      <c r="E474" s="6" t="n">
        <v>1</v>
      </c>
      <c r="F474" s="6" t="s">
        <v>133</v>
      </c>
      <c r="G474" s="28" t="n">
        <f aca="false">IFERROR(INDEX('Semrush Data'!$A$1:$Z$20000,MATCH(A474,'Semrush Data'!$A$1:$A$20000,0),MATCH("Volume",'Semrush Data'!$A$1:$Z$1,0)),"")</f>
        <v>390</v>
      </c>
      <c r="H474" s="6" t="n">
        <f aca="false">IFERROR(INDEX('Semrush Data'!$A$1:$Z$20000,MATCH(A474,'Semrush Data'!$A$1:$A$20000,0),MATCH("Keyword Difficulty*",'Semrush Data'!$A$1:$Z$1,0)),"")</f>
        <v>16</v>
      </c>
      <c r="I474" s="29" t="n">
        <f aca="false">IFERROR(INDEX('Semrush Data'!$A$1:$Z$20000,MATCH(A474,'Semrush Data'!$A$1:$A$20000,0),MATCH("CPC*",'Semrush Data'!$A$1:$Z$1,0)),"")</f>
        <v>0.47</v>
      </c>
      <c r="J474" s="6" t="str">
        <f aca="false">IFERROR(INDEX('Semrush Data'!$A$1:$Z$20000,MATCH(A474,'Semrush Data'!$A$1:$A$20000,0),MATCH("Intent",'Semrush Data'!$A$1:$Z$1,0)),"")</f>
        <v>Informational</v>
      </c>
    </row>
    <row r="475" customFormat="false" ht="15" hidden="false" customHeight="true" outlineLevel="0" collapsed="false">
      <c r="A475" s="6" t="s">
        <v>3607</v>
      </c>
      <c r="B475" s="6" t="s">
        <v>41</v>
      </c>
      <c r="C475" s="6" t="n">
        <v>1</v>
      </c>
      <c r="D475" s="6" t="n">
        <v>5</v>
      </c>
      <c r="E475" s="6" t="n">
        <v>1</v>
      </c>
      <c r="F475" s="6" t="s">
        <v>3604</v>
      </c>
      <c r="G475" s="28" t="n">
        <f aca="false">IFERROR(INDEX('Semrush Data'!$A$1:$Z$20000,MATCH(A475,'Semrush Data'!$A$1:$A$20000,0),MATCH("Volume",'Semrush Data'!$A$1:$Z$1,0)),"")</f>
        <v>30</v>
      </c>
      <c r="H475" s="6" t="n">
        <f aca="false">IFERROR(INDEX('Semrush Data'!$A$1:$Z$20000,MATCH(A475,'Semrush Data'!$A$1:$A$20000,0),MATCH("Keyword Difficulty*",'Semrush Data'!$A$1:$Z$1,0)),"")</f>
        <v>10</v>
      </c>
      <c r="I475" s="29" t="n">
        <f aca="false">IFERROR(INDEX('Semrush Data'!$A$1:$Z$20000,MATCH(A475,'Semrush Data'!$A$1:$A$20000,0),MATCH("CPC*",'Semrush Data'!$A$1:$Z$1,0)),"")</f>
        <v>0</v>
      </c>
      <c r="J475" s="6" t="str">
        <f aca="false">IFERROR(INDEX('Semrush Data'!$A$1:$Z$20000,MATCH(A475,'Semrush Data'!$A$1:$A$20000,0),MATCH("Intent",'Semrush Data'!$A$1:$Z$1,0)),"")</f>
        <v>Transactional</v>
      </c>
    </row>
    <row r="476" customFormat="false" ht="15" hidden="false" customHeight="true" outlineLevel="0" collapsed="false">
      <c r="A476" s="6" t="s">
        <v>3620</v>
      </c>
      <c r="B476" s="6" t="s">
        <v>41</v>
      </c>
      <c r="C476" s="6" t="n">
        <v>1</v>
      </c>
      <c r="D476" s="6" t="n">
        <v>5</v>
      </c>
      <c r="E476" s="6" t="n">
        <v>1</v>
      </c>
      <c r="F476" s="6" t="s">
        <v>3616</v>
      </c>
      <c r="G476" s="28" t="n">
        <f aca="false">IFERROR(INDEX('Semrush Data'!$A$1:$Z$20000,MATCH(A476,'Semrush Data'!$A$1:$A$20000,0),MATCH("Volume",'Semrush Data'!$A$1:$Z$1,0)),"")</f>
        <v>260</v>
      </c>
      <c r="H476" s="6" t="n">
        <f aca="false">IFERROR(INDEX('Semrush Data'!$A$1:$Z$20000,MATCH(A476,'Semrush Data'!$A$1:$A$20000,0),MATCH("Keyword Difficulty*",'Semrush Data'!$A$1:$Z$1,0)),"")</f>
        <v>17</v>
      </c>
      <c r="I476" s="29" t="n">
        <f aca="false">IFERROR(INDEX('Semrush Data'!$A$1:$Z$20000,MATCH(A476,'Semrush Data'!$A$1:$A$20000,0),MATCH("CPC*",'Semrush Data'!$A$1:$Z$1,0)),"")</f>
        <v>0.39</v>
      </c>
      <c r="J476" s="6" t="str">
        <f aca="false">IFERROR(INDEX('Semrush Data'!$A$1:$Z$20000,MATCH(A476,'Semrush Data'!$A$1:$A$20000,0),MATCH("Intent",'Semrush Data'!$A$1:$Z$1,0)),"")</f>
        <v>Informational</v>
      </c>
    </row>
    <row r="477" customFormat="false" ht="15" hidden="false" customHeight="true" outlineLevel="0" collapsed="false">
      <c r="A477" s="6" t="s">
        <v>3690</v>
      </c>
      <c r="B477" s="6" t="s">
        <v>41</v>
      </c>
      <c r="C477" s="6" t="n">
        <v>1</v>
      </c>
      <c r="D477" s="6" t="n">
        <v>5</v>
      </c>
      <c r="E477" s="6" t="n">
        <v>1</v>
      </c>
      <c r="F477" s="6" t="s">
        <v>3688</v>
      </c>
      <c r="G477" s="28" t="n">
        <f aca="false">IFERROR(INDEX('Semrush Data'!$A$1:$Z$20000,MATCH(A477,'Semrush Data'!$A$1:$A$20000,0),MATCH("Volume",'Semrush Data'!$A$1:$Z$1,0)),"")</f>
        <v>10</v>
      </c>
      <c r="H477" s="6" t="n">
        <f aca="false">IFERROR(INDEX('Semrush Data'!$A$1:$Z$20000,MATCH(A477,'Semrush Data'!$A$1:$A$20000,0),MATCH("Keyword Difficulty*",'Semrush Data'!$A$1:$Z$1,0)),"")</f>
        <v>11</v>
      </c>
      <c r="I477" s="29" t="n">
        <f aca="false">IFERROR(INDEX('Semrush Data'!$A$1:$Z$20000,MATCH(A477,'Semrush Data'!$A$1:$A$20000,0),MATCH("CPC*",'Semrush Data'!$A$1:$Z$1,0)),"")</f>
        <v>0</v>
      </c>
      <c r="J477" s="6" t="str">
        <f aca="false">IFERROR(INDEX('Semrush Data'!$A$1:$Z$20000,MATCH(A477,'Semrush Data'!$A$1:$A$20000,0),MATCH("Intent",'Semrush Data'!$A$1:$Z$1,0)),"")</f>
        <v>Informational Transactional</v>
      </c>
    </row>
    <row r="478" customFormat="false" ht="15" hidden="false" customHeight="true" outlineLevel="0" collapsed="false">
      <c r="A478" s="6" t="s">
        <v>3701</v>
      </c>
      <c r="B478" s="6" t="s">
        <v>41</v>
      </c>
      <c r="C478" s="6" t="n">
        <v>1</v>
      </c>
      <c r="D478" s="6" t="n">
        <v>5</v>
      </c>
      <c r="E478" s="6" t="n">
        <v>1</v>
      </c>
      <c r="F478" s="6" t="s">
        <v>3699</v>
      </c>
      <c r="G478" s="28" t="n">
        <f aca="false">IFERROR(INDEX('Semrush Data'!$A$1:$Z$20000,MATCH(A478,'Semrush Data'!$A$1:$A$20000,0),MATCH("Volume",'Semrush Data'!$A$1:$Z$1,0)),"")</f>
        <v>30</v>
      </c>
      <c r="H478" s="6" t="n">
        <f aca="false">IFERROR(INDEX('Semrush Data'!$A$1:$Z$20000,MATCH(A478,'Semrush Data'!$A$1:$A$20000,0),MATCH("Keyword Difficulty*",'Semrush Data'!$A$1:$Z$1,0)),"")</f>
        <v>12</v>
      </c>
      <c r="I478" s="29" t="n">
        <f aca="false">IFERROR(INDEX('Semrush Data'!$A$1:$Z$20000,MATCH(A478,'Semrush Data'!$A$1:$A$20000,0),MATCH("CPC*",'Semrush Data'!$A$1:$Z$1,0)),"")</f>
        <v>0</v>
      </c>
      <c r="J478" s="6" t="str">
        <f aca="false">IFERROR(INDEX('Semrush Data'!$A$1:$Z$20000,MATCH(A478,'Semrush Data'!$A$1:$A$20000,0),MATCH("Intent",'Semrush Data'!$A$1:$Z$1,0)),"")</f>
        <v>Informational Transactional</v>
      </c>
    </row>
    <row r="479" customFormat="false" ht="15" hidden="false" customHeight="true" outlineLevel="0" collapsed="false">
      <c r="A479" s="6" t="s">
        <v>3679</v>
      </c>
      <c r="B479" s="6" t="s">
        <v>41</v>
      </c>
      <c r="C479" s="6" t="n">
        <v>1</v>
      </c>
      <c r="D479" s="6" t="n">
        <v>5</v>
      </c>
      <c r="E479" s="6" t="n">
        <v>1</v>
      </c>
      <c r="F479" s="6" t="s">
        <v>3677</v>
      </c>
      <c r="G479" s="28" t="n">
        <f aca="false">IFERROR(INDEX('Semrush Data'!$A$1:$Z$20000,MATCH(A479,'Semrush Data'!$A$1:$A$20000,0),MATCH("Volume",'Semrush Data'!$A$1:$Z$1,0)),"")</f>
        <v>170</v>
      </c>
      <c r="H479" s="6" t="n">
        <f aca="false">IFERROR(INDEX('Semrush Data'!$A$1:$Z$20000,MATCH(A479,'Semrush Data'!$A$1:$A$20000,0),MATCH("Keyword Difficulty*",'Semrush Data'!$A$1:$Z$1,0)),"")</f>
        <v>22</v>
      </c>
      <c r="I479" s="29" t="n">
        <f aca="false">IFERROR(INDEX('Semrush Data'!$A$1:$Z$20000,MATCH(A479,'Semrush Data'!$A$1:$A$20000,0),MATCH("CPC*",'Semrush Data'!$A$1:$Z$1,0)),"")</f>
        <v>0.5</v>
      </c>
      <c r="J479" s="6" t="str">
        <f aca="false">IFERROR(INDEX('Semrush Data'!$A$1:$Z$20000,MATCH(A479,'Semrush Data'!$A$1:$A$20000,0),MATCH("Intent",'Semrush Data'!$A$1:$Z$1,0)),"")</f>
        <v>Informational</v>
      </c>
    </row>
    <row r="480" customFormat="false" ht="15" hidden="false" customHeight="true" outlineLevel="0" collapsed="false">
      <c r="A480" s="6" t="s">
        <v>3711</v>
      </c>
      <c r="B480" s="6" t="s">
        <v>41</v>
      </c>
      <c r="C480" s="6" t="n">
        <v>1</v>
      </c>
      <c r="D480" s="6" t="n">
        <v>5</v>
      </c>
      <c r="E480" s="6" t="n">
        <v>2</v>
      </c>
      <c r="F480" s="6" t="s">
        <v>6850</v>
      </c>
      <c r="G480" s="28" t="n">
        <f aca="false">IFERROR(INDEX('Semrush Data'!$A$1:$Z$20000,MATCH(A480,'Semrush Data'!$A$1:$A$20000,0),MATCH("Volume",'Semrush Data'!$A$1:$Z$1,0)),"")</f>
        <v>20</v>
      </c>
      <c r="H480" s="6" t="n">
        <f aca="false">IFERROR(INDEX('Semrush Data'!$A$1:$Z$20000,MATCH(A480,'Semrush Data'!$A$1:$A$20000,0),MATCH("Keyword Difficulty*",'Semrush Data'!$A$1:$Z$1,0)),"")</f>
        <v>13</v>
      </c>
      <c r="I480" s="29" t="n">
        <f aca="false">IFERROR(INDEX('Semrush Data'!$A$1:$Z$20000,MATCH(A480,'Semrush Data'!$A$1:$A$20000,0),MATCH("CPC*",'Semrush Data'!$A$1:$Z$1,0)),"")</f>
        <v>0</v>
      </c>
      <c r="J480" s="6" t="str">
        <f aca="false">IFERROR(INDEX('Semrush Data'!$A$1:$Z$20000,MATCH(A480,'Semrush Data'!$A$1:$A$20000,0),MATCH("Intent",'Semrush Data'!$A$1:$Z$1,0)),"")</f>
        <v>Informational</v>
      </c>
    </row>
    <row r="481" customFormat="false" ht="15" hidden="false" customHeight="true" outlineLevel="0" collapsed="false">
      <c r="A481" s="6" t="s">
        <v>3632</v>
      </c>
      <c r="B481" s="6" t="s">
        <v>41</v>
      </c>
      <c r="C481" s="6" t="n">
        <v>1</v>
      </c>
      <c r="D481" s="6" t="n">
        <v>5</v>
      </c>
      <c r="E481" s="6" t="n">
        <v>1</v>
      </c>
      <c r="F481" s="6" t="s">
        <v>3630</v>
      </c>
      <c r="G481" s="28" t="n">
        <f aca="false">IFERROR(INDEX('Semrush Data'!$A$1:$Z$20000,MATCH(A481,'Semrush Data'!$A$1:$A$20000,0),MATCH("Volume",'Semrush Data'!$A$1:$Z$1,0)),"")</f>
        <v>20</v>
      </c>
      <c r="H481" s="6" t="n">
        <f aca="false">IFERROR(INDEX('Semrush Data'!$A$1:$Z$20000,MATCH(A481,'Semrush Data'!$A$1:$A$20000,0),MATCH("Keyword Difficulty*",'Semrush Data'!$A$1:$Z$1,0)),"")</f>
        <v>19</v>
      </c>
      <c r="I481" s="29" t="n">
        <f aca="false">IFERROR(INDEX('Semrush Data'!$A$1:$Z$20000,MATCH(A481,'Semrush Data'!$A$1:$A$20000,0),MATCH("CPC*",'Semrush Data'!$A$1:$Z$1,0)),"")</f>
        <v>0.45</v>
      </c>
      <c r="J481" s="6" t="str">
        <f aca="false">IFERROR(INDEX('Semrush Data'!$A$1:$Z$20000,MATCH(A481,'Semrush Data'!$A$1:$A$20000,0),MATCH("Intent",'Semrush Data'!$A$1:$Z$1,0)),"")</f>
        <v>Informational Transactional</v>
      </c>
    </row>
    <row r="482" customFormat="false" ht="15" hidden="false" customHeight="true" outlineLevel="0" collapsed="false">
      <c r="A482" s="6" t="s">
        <v>3642</v>
      </c>
      <c r="B482" s="6" t="s">
        <v>41</v>
      </c>
      <c r="C482" s="6" t="n">
        <v>1</v>
      </c>
      <c r="D482" s="6" t="n">
        <v>5</v>
      </c>
      <c r="E482" s="6" t="n">
        <v>2</v>
      </c>
      <c r="F482" s="6" t="s">
        <v>6851</v>
      </c>
      <c r="G482" s="28" t="n">
        <f aca="false">IFERROR(INDEX('Semrush Data'!$A$1:$Z$20000,MATCH(A482,'Semrush Data'!$A$1:$A$20000,0),MATCH("Volume",'Semrush Data'!$A$1:$Z$1,0)),"")</f>
        <v>720</v>
      </c>
      <c r="H482" s="6" t="n">
        <f aca="false">IFERROR(INDEX('Semrush Data'!$A$1:$Z$20000,MATCH(A482,'Semrush Data'!$A$1:$A$20000,0),MATCH("Keyword Difficulty*",'Semrush Data'!$A$1:$Z$1,0)),"")</f>
        <v>17</v>
      </c>
      <c r="I482" s="29" t="n">
        <f aca="false">IFERROR(INDEX('Semrush Data'!$A$1:$Z$20000,MATCH(A482,'Semrush Data'!$A$1:$A$20000,0),MATCH("CPC*",'Semrush Data'!$A$1:$Z$1,0)),"")</f>
        <v>0.39</v>
      </c>
      <c r="J482" s="6" t="str">
        <f aca="false">IFERROR(INDEX('Semrush Data'!$A$1:$Z$20000,MATCH(A482,'Semrush Data'!$A$1:$A$20000,0),MATCH("Intent",'Semrush Data'!$A$1:$Z$1,0)),"")</f>
        <v>Informational Transactional</v>
      </c>
    </row>
    <row r="483" customFormat="false" ht="15" hidden="false" customHeight="true" outlineLevel="0" collapsed="false">
      <c r="A483" s="6" t="s">
        <v>3722</v>
      </c>
      <c r="B483" s="6" t="s">
        <v>41</v>
      </c>
      <c r="C483" s="6" t="n">
        <v>1</v>
      </c>
      <c r="D483" s="6" t="n">
        <v>5</v>
      </c>
      <c r="E483" s="6" t="n">
        <v>1</v>
      </c>
      <c r="F483" s="6" t="s">
        <v>3720</v>
      </c>
      <c r="G483" s="28" t="n">
        <f aca="false">IFERROR(INDEX('Semrush Data'!$A$1:$Z$20000,MATCH(A483,'Semrush Data'!$A$1:$A$20000,0),MATCH("Volume",'Semrush Data'!$A$1:$Z$1,0)),"")</f>
        <v>50</v>
      </c>
      <c r="H483" s="6" t="n">
        <f aca="false">IFERROR(INDEX('Semrush Data'!$A$1:$Z$20000,MATCH(A483,'Semrush Data'!$A$1:$A$20000,0),MATCH("Keyword Difficulty*",'Semrush Data'!$A$1:$Z$1,0)),"")</f>
        <v>14</v>
      </c>
      <c r="I483" s="29" t="n">
        <f aca="false">IFERROR(INDEX('Semrush Data'!$A$1:$Z$20000,MATCH(A483,'Semrush Data'!$A$1:$A$20000,0),MATCH("CPC*",'Semrush Data'!$A$1:$Z$1,0)),"")</f>
        <v>0.44</v>
      </c>
      <c r="J483" s="6" t="str">
        <f aca="false">IFERROR(INDEX('Semrush Data'!$A$1:$Z$20000,MATCH(A483,'Semrush Data'!$A$1:$A$20000,0),MATCH("Intent",'Semrush Data'!$A$1:$Z$1,0)),"")</f>
        <v>Informational</v>
      </c>
    </row>
    <row r="484" customFormat="false" ht="15" hidden="false" customHeight="true" outlineLevel="0" collapsed="false">
      <c r="A484" s="6" t="s">
        <v>3668</v>
      </c>
      <c r="B484" s="6" t="s">
        <v>41</v>
      </c>
      <c r="C484" s="6" t="n">
        <v>1</v>
      </c>
      <c r="D484" s="6" t="n">
        <v>5</v>
      </c>
      <c r="E484" s="6" t="n">
        <v>1</v>
      </c>
      <c r="F484" s="6" t="s">
        <v>3666</v>
      </c>
      <c r="G484" s="28" t="n">
        <f aca="false">IFERROR(INDEX('Semrush Data'!$A$1:$Z$20000,MATCH(A484,'Semrush Data'!$A$1:$A$20000,0),MATCH("Volume",'Semrush Data'!$A$1:$Z$1,0)),"")</f>
        <v>0</v>
      </c>
      <c r="H484" s="6" t="n">
        <f aca="false">IFERROR(INDEX('Semrush Data'!$A$1:$Z$20000,MATCH(A484,'Semrush Data'!$A$1:$A$20000,0),MATCH("Keyword Difficulty*",'Semrush Data'!$A$1:$Z$1,0)),"")</f>
        <v>11</v>
      </c>
      <c r="I484" s="29" t="n">
        <f aca="false">IFERROR(INDEX('Semrush Data'!$A$1:$Z$20000,MATCH(A484,'Semrush Data'!$A$1:$A$20000,0),MATCH("CPC*",'Semrush Data'!$A$1:$Z$1,0)),"")</f>
        <v>0</v>
      </c>
      <c r="J484" s="6" t="str">
        <f aca="false">IFERROR(INDEX('Semrush Data'!$A$1:$Z$20000,MATCH(A484,'Semrush Data'!$A$1:$A$20000,0),MATCH("Intent",'Semrush Data'!$A$1:$Z$1,0)),"")</f>
        <v>Informational</v>
      </c>
    </row>
    <row r="485" customFormat="false" ht="15" hidden="false" customHeight="true" outlineLevel="0" collapsed="false">
      <c r="A485" s="6" t="s">
        <v>3657</v>
      </c>
      <c r="B485" s="6" t="s">
        <v>41</v>
      </c>
      <c r="C485" s="6" t="n">
        <v>1</v>
      </c>
      <c r="D485" s="6" t="n">
        <v>5</v>
      </c>
      <c r="E485" s="6" t="n">
        <v>1</v>
      </c>
      <c r="F485" s="6" t="s">
        <v>3655</v>
      </c>
      <c r="G485" s="28" t="n">
        <f aca="false">IFERROR(INDEX('Semrush Data'!$A$1:$Z$20000,MATCH(A485,'Semrush Data'!$A$1:$A$20000,0),MATCH("Volume",'Semrush Data'!$A$1:$Z$1,0)),"")</f>
        <v>70</v>
      </c>
      <c r="H485" s="6" t="n">
        <f aca="false">IFERROR(INDEX('Semrush Data'!$A$1:$Z$20000,MATCH(A485,'Semrush Data'!$A$1:$A$20000,0),MATCH("Keyword Difficulty*",'Semrush Data'!$A$1:$Z$1,0)),"")</f>
        <v>21</v>
      </c>
      <c r="I485" s="29" t="n">
        <f aca="false">IFERROR(INDEX('Semrush Data'!$A$1:$Z$20000,MATCH(A485,'Semrush Data'!$A$1:$A$20000,0),MATCH("CPC*",'Semrush Data'!$A$1:$Z$1,0)),"")</f>
        <v>0</v>
      </c>
      <c r="J485" s="6" t="str">
        <f aca="false">IFERROR(INDEX('Semrush Data'!$A$1:$Z$20000,MATCH(A485,'Semrush Data'!$A$1:$A$20000,0),MATCH("Intent",'Semrush Data'!$A$1:$Z$1,0)),"")</f>
        <v>Informational</v>
      </c>
    </row>
    <row r="486" customFormat="false" ht="15" hidden="false" customHeight="true" outlineLevel="0" collapsed="false">
      <c r="A486" s="6" t="s">
        <v>3853</v>
      </c>
      <c r="B486" s="6" t="s">
        <v>41</v>
      </c>
      <c r="C486" s="6" t="n">
        <v>1</v>
      </c>
      <c r="D486" s="6" t="n">
        <v>5</v>
      </c>
      <c r="E486" s="6" t="n">
        <v>1</v>
      </c>
      <c r="F486" s="6" t="s">
        <v>3851</v>
      </c>
      <c r="G486" s="28" t="n">
        <f aca="false">IFERROR(INDEX('Semrush Data'!$A$1:$Z$20000,MATCH(A486,'Semrush Data'!$A$1:$A$20000,0),MATCH("Volume",'Semrush Data'!$A$1:$Z$1,0)),"")</f>
        <v>40</v>
      </c>
      <c r="H486" s="6" t="n">
        <f aca="false">IFERROR(INDEX('Semrush Data'!$A$1:$Z$20000,MATCH(A486,'Semrush Data'!$A$1:$A$20000,0),MATCH("Keyword Difficulty*",'Semrush Data'!$A$1:$Z$1,0)),"")</f>
        <v>9</v>
      </c>
      <c r="I486" s="29" t="n">
        <f aca="false">IFERROR(INDEX('Semrush Data'!$A$1:$Z$20000,MATCH(A486,'Semrush Data'!$A$1:$A$20000,0),MATCH("CPC*",'Semrush Data'!$A$1:$Z$1,0)),"")</f>
        <v>0</v>
      </c>
      <c r="J486" s="6" t="str">
        <f aca="false">IFERROR(INDEX('Semrush Data'!$A$1:$Z$20000,MATCH(A486,'Semrush Data'!$A$1:$A$20000,0),MATCH("Intent",'Semrush Data'!$A$1:$Z$1,0)),"")</f>
        <v>Informational Transactional</v>
      </c>
    </row>
    <row r="487" customFormat="false" ht="15" hidden="false" customHeight="true" outlineLevel="0" collapsed="false">
      <c r="A487" s="6" t="s">
        <v>3864</v>
      </c>
      <c r="B487" s="6" t="s">
        <v>41</v>
      </c>
      <c r="C487" s="6" t="n">
        <v>1</v>
      </c>
      <c r="D487" s="6" t="n">
        <v>5</v>
      </c>
      <c r="E487" s="6" t="n">
        <v>1</v>
      </c>
      <c r="F487" s="6" t="s">
        <v>3862</v>
      </c>
      <c r="G487" s="28" t="n">
        <f aca="false">IFERROR(INDEX('Semrush Data'!$A$1:$Z$20000,MATCH(A487,'Semrush Data'!$A$1:$A$20000,0),MATCH("Volume",'Semrush Data'!$A$1:$Z$1,0)),"")</f>
        <v>140</v>
      </c>
      <c r="H487" s="6" t="n">
        <f aca="false">IFERROR(INDEX('Semrush Data'!$A$1:$Z$20000,MATCH(A487,'Semrush Data'!$A$1:$A$20000,0),MATCH("Keyword Difficulty*",'Semrush Data'!$A$1:$Z$1,0)),"")</f>
        <v>19</v>
      </c>
      <c r="I487" s="29" t="n">
        <f aca="false">IFERROR(INDEX('Semrush Data'!$A$1:$Z$20000,MATCH(A487,'Semrush Data'!$A$1:$A$20000,0),MATCH("CPC*",'Semrush Data'!$A$1:$Z$1,0)),"")</f>
        <v>0.34</v>
      </c>
      <c r="J487" s="6" t="str">
        <f aca="false">IFERROR(INDEX('Semrush Data'!$A$1:$Z$20000,MATCH(A487,'Semrush Data'!$A$1:$A$20000,0),MATCH("Intent",'Semrush Data'!$A$1:$Z$1,0)),"")</f>
        <v>Informational</v>
      </c>
    </row>
    <row r="488" customFormat="false" ht="15" hidden="false" customHeight="true" outlineLevel="0" collapsed="false">
      <c r="A488" s="6" t="s">
        <v>3876</v>
      </c>
      <c r="B488" s="6" t="s">
        <v>41</v>
      </c>
      <c r="C488" s="6" t="n">
        <v>1</v>
      </c>
      <c r="D488" s="6" t="n">
        <v>5</v>
      </c>
      <c r="E488" s="6" t="n">
        <v>1</v>
      </c>
      <c r="F488" s="6" t="s">
        <v>3874</v>
      </c>
      <c r="G488" s="28" t="n">
        <f aca="false">IFERROR(INDEX('Semrush Data'!$A$1:$Z$20000,MATCH(A488,'Semrush Data'!$A$1:$A$20000,0),MATCH("Volume",'Semrush Data'!$A$1:$Z$1,0)),"")</f>
        <v>20</v>
      </c>
      <c r="H488" s="6" t="n">
        <f aca="false">IFERROR(INDEX('Semrush Data'!$A$1:$Z$20000,MATCH(A488,'Semrush Data'!$A$1:$A$20000,0),MATCH("Keyword Difficulty*",'Semrush Data'!$A$1:$Z$1,0)),"")</f>
        <v>17</v>
      </c>
      <c r="I488" s="29" t="n">
        <f aca="false">IFERROR(INDEX('Semrush Data'!$A$1:$Z$20000,MATCH(A488,'Semrush Data'!$A$1:$A$20000,0),MATCH("CPC*",'Semrush Data'!$A$1:$Z$1,0)),"")</f>
        <v>0</v>
      </c>
      <c r="J488" s="6" t="str">
        <f aca="false">IFERROR(INDEX('Semrush Data'!$A$1:$Z$20000,MATCH(A488,'Semrush Data'!$A$1:$A$20000,0),MATCH("Intent",'Semrush Data'!$A$1:$Z$1,0)),"")</f>
        <v>Navigational</v>
      </c>
    </row>
    <row r="489" customFormat="false" ht="15" hidden="false" customHeight="true" outlineLevel="0" collapsed="false">
      <c r="A489" s="6" t="s">
        <v>3887</v>
      </c>
      <c r="B489" s="6" t="s">
        <v>41</v>
      </c>
      <c r="C489" s="6" t="n">
        <v>1</v>
      </c>
      <c r="D489" s="6" t="n">
        <v>5</v>
      </c>
      <c r="E489" s="6" t="n">
        <v>1</v>
      </c>
      <c r="F489" s="6" t="s">
        <v>3885</v>
      </c>
      <c r="G489" s="28" t="n">
        <f aca="false">IFERROR(INDEX('Semrush Data'!$A$1:$Z$20000,MATCH(A489,'Semrush Data'!$A$1:$A$20000,0),MATCH("Volume",'Semrush Data'!$A$1:$Z$1,0)),"")</f>
        <v>20</v>
      </c>
      <c r="H489" s="6" t="n">
        <f aca="false">IFERROR(INDEX('Semrush Data'!$A$1:$Z$20000,MATCH(A489,'Semrush Data'!$A$1:$A$20000,0),MATCH("Keyword Difficulty*",'Semrush Data'!$A$1:$Z$1,0)),"")</f>
        <v>17</v>
      </c>
      <c r="I489" s="29" t="n">
        <f aca="false">IFERROR(INDEX('Semrush Data'!$A$1:$Z$20000,MATCH(A489,'Semrush Data'!$A$1:$A$20000,0),MATCH("CPC*",'Semrush Data'!$A$1:$Z$1,0)),"")</f>
        <v>0</v>
      </c>
      <c r="J489" s="6" t="str">
        <f aca="false">IFERROR(INDEX('Semrush Data'!$A$1:$Z$20000,MATCH(A489,'Semrush Data'!$A$1:$A$20000,0),MATCH("Intent",'Semrush Data'!$A$1:$Z$1,0)),"")</f>
        <v>Informational</v>
      </c>
    </row>
    <row r="490" customFormat="false" ht="15" hidden="false" customHeight="true" outlineLevel="0" collapsed="false">
      <c r="A490" s="6" t="s">
        <v>3738</v>
      </c>
      <c r="B490" s="6" t="s">
        <v>41</v>
      </c>
      <c r="C490" s="6" t="n">
        <v>1</v>
      </c>
      <c r="D490" s="6" t="n">
        <v>5</v>
      </c>
      <c r="E490" s="6" t="n">
        <v>1</v>
      </c>
      <c r="F490" s="6" t="s">
        <v>3735</v>
      </c>
      <c r="G490" s="28" t="n">
        <f aca="false">IFERROR(INDEX('Semrush Data'!$A$1:$Z$20000,MATCH(A490,'Semrush Data'!$A$1:$A$20000,0),MATCH("Volume",'Semrush Data'!$A$1:$Z$1,0)),"")</f>
        <v>20</v>
      </c>
      <c r="H490" s="6" t="n">
        <f aca="false">IFERROR(INDEX('Semrush Data'!$A$1:$Z$20000,MATCH(A490,'Semrush Data'!$A$1:$A$20000,0),MATCH("Keyword Difficulty*",'Semrush Data'!$A$1:$Z$1,0)),"")</f>
        <v>16</v>
      </c>
      <c r="I490" s="29" t="n">
        <f aca="false">IFERROR(INDEX('Semrush Data'!$A$1:$Z$20000,MATCH(A490,'Semrush Data'!$A$1:$A$20000,0),MATCH("CPC*",'Semrush Data'!$A$1:$Z$1,0)),"")</f>
        <v>0</v>
      </c>
      <c r="J490" s="6" t="str">
        <f aca="false">IFERROR(INDEX('Semrush Data'!$A$1:$Z$20000,MATCH(A490,'Semrush Data'!$A$1:$A$20000,0),MATCH("Intent",'Semrush Data'!$A$1:$Z$1,0)),"")</f>
        <v>Informational</v>
      </c>
    </row>
    <row r="491" customFormat="false" ht="15" hidden="false" customHeight="true" outlineLevel="0" collapsed="false">
      <c r="A491" s="6" t="s">
        <v>3751</v>
      </c>
      <c r="B491" s="6" t="s">
        <v>41</v>
      </c>
      <c r="C491" s="6" t="n">
        <v>1</v>
      </c>
      <c r="D491" s="6" t="n">
        <v>5</v>
      </c>
      <c r="E491" s="6" t="n">
        <v>1</v>
      </c>
      <c r="F491" s="6" t="s">
        <v>3748</v>
      </c>
      <c r="G491" s="28" t="n">
        <f aca="false">IFERROR(INDEX('Semrush Data'!$A$1:$Z$20000,MATCH(A491,'Semrush Data'!$A$1:$A$20000,0),MATCH("Volume",'Semrush Data'!$A$1:$Z$1,0)),"")</f>
        <v>20</v>
      </c>
      <c r="H491" s="6" t="n">
        <f aca="false">IFERROR(INDEX('Semrush Data'!$A$1:$Z$20000,MATCH(A491,'Semrush Data'!$A$1:$A$20000,0),MATCH("Keyword Difficulty*",'Semrush Data'!$A$1:$Z$1,0)),"")</f>
        <v>22</v>
      </c>
      <c r="I491" s="29" t="n">
        <f aca="false">IFERROR(INDEX('Semrush Data'!$A$1:$Z$20000,MATCH(A491,'Semrush Data'!$A$1:$A$20000,0),MATCH("CPC*",'Semrush Data'!$A$1:$Z$1,0)),"")</f>
        <v>0</v>
      </c>
      <c r="J491" s="6" t="str">
        <f aca="false">IFERROR(INDEX('Semrush Data'!$A$1:$Z$20000,MATCH(A491,'Semrush Data'!$A$1:$A$20000,0),MATCH("Intent",'Semrush Data'!$A$1:$Z$1,0)),"")</f>
        <v>Navigational</v>
      </c>
    </row>
    <row r="492" customFormat="false" ht="15" hidden="false" customHeight="true" outlineLevel="0" collapsed="false">
      <c r="A492" s="6" t="s">
        <v>3763</v>
      </c>
      <c r="B492" s="6" t="s">
        <v>41</v>
      </c>
      <c r="C492" s="6" t="n">
        <v>1</v>
      </c>
      <c r="D492" s="6" t="n">
        <v>5</v>
      </c>
      <c r="E492" s="6" t="n">
        <v>1</v>
      </c>
      <c r="F492" s="6" t="s">
        <v>3761</v>
      </c>
      <c r="G492" s="28" t="n">
        <f aca="false">IFERROR(INDEX('Semrush Data'!$A$1:$Z$20000,MATCH(A492,'Semrush Data'!$A$1:$A$20000,0),MATCH("Volume",'Semrush Data'!$A$1:$Z$1,0)),"")</f>
        <v>20</v>
      </c>
      <c r="H492" s="6" t="n">
        <f aca="false">IFERROR(INDEX('Semrush Data'!$A$1:$Z$20000,MATCH(A492,'Semrush Data'!$A$1:$A$20000,0),MATCH("Keyword Difficulty*",'Semrush Data'!$A$1:$Z$1,0)),"")</f>
        <v>16</v>
      </c>
      <c r="I492" s="29" t="n">
        <f aca="false">IFERROR(INDEX('Semrush Data'!$A$1:$Z$20000,MATCH(A492,'Semrush Data'!$A$1:$A$20000,0),MATCH("CPC*",'Semrush Data'!$A$1:$Z$1,0)),"")</f>
        <v>0</v>
      </c>
      <c r="J492" s="6" t="str">
        <f aca="false">IFERROR(INDEX('Semrush Data'!$A$1:$Z$20000,MATCH(A492,'Semrush Data'!$A$1:$A$20000,0),MATCH("Intent",'Semrush Data'!$A$1:$Z$1,0)),"")</f>
        <v>Informational Transactional</v>
      </c>
    </row>
    <row r="493" customFormat="false" ht="15" hidden="false" customHeight="true" outlineLevel="0" collapsed="false">
      <c r="A493" s="6" t="s">
        <v>3774</v>
      </c>
      <c r="B493" s="6" t="s">
        <v>41</v>
      </c>
      <c r="C493" s="6" t="n">
        <v>1</v>
      </c>
      <c r="D493" s="6" t="n">
        <v>5</v>
      </c>
      <c r="E493" s="6" t="n">
        <v>1</v>
      </c>
      <c r="F493" s="6" t="s">
        <v>3772</v>
      </c>
      <c r="G493" s="28" t="n">
        <f aca="false">IFERROR(INDEX('Semrush Data'!$A$1:$Z$20000,MATCH(A493,'Semrush Data'!$A$1:$A$20000,0),MATCH("Volume",'Semrush Data'!$A$1:$Z$1,0)),"")</f>
        <v>20</v>
      </c>
      <c r="H493" s="6" t="n">
        <f aca="false">IFERROR(INDEX('Semrush Data'!$A$1:$Z$20000,MATCH(A493,'Semrush Data'!$A$1:$A$20000,0),MATCH("Keyword Difficulty*",'Semrush Data'!$A$1:$Z$1,0)),"")</f>
        <v>9</v>
      </c>
      <c r="I493" s="29" t="n">
        <f aca="false">IFERROR(INDEX('Semrush Data'!$A$1:$Z$20000,MATCH(A493,'Semrush Data'!$A$1:$A$20000,0),MATCH("CPC*",'Semrush Data'!$A$1:$Z$1,0)),"")</f>
        <v>0</v>
      </c>
      <c r="J493" s="6" t="str">
        <f aca="false">IFERROR(INDEX('Semrush Data'!$A$1:$Z$20000,MATCH(A493,'Semrush Data'!$A$1:$A$20000,0),MATCH("Intent",'Semrush Data'!$A$1:$Z$1,0)),"")</f>
        <v>Informational</v>
      </c>
    </row>
    <row r="494" customFormat="false" ht="15" hidden="false" customHeight="true" outlineLevel="0" collapsed="false">
      <c r="A494" s="6" t="s">
        <v>3785</v>
      </c>
      <c r="B494" s="6" t="s">
        <v>41</v>
      </c>
      <c r="C494" s="6" t="n">
        <v>1</v>
      </c>
      <c r="D494" s="6" t="n">
        <v>5</v>
      </c>
      <c r="E494" s="6" t="n">
        <v>1</v>
      </c>
      <c r="F494" s="6" t="s">
        <v>3783</v>
      </c>
      <c r="G494" s="28" t="n">
        <f aca="false">IFERROR(INDEX('Semrush Data'!$A$1:$Z$20000,MATCH(A494,'Semrush Data'!$A$1:$A$20000,0),MATCH("Volume",'Semrush Data'!$A$1:$Z$1,0)),"")</f>
        <v>20</v>
      </c>
      <c r="H494" s="6" t="n">
        <f aca="false">IFERROR(INDEX('Semrush Data'!$A$1:$Z$20000,MATCH(A494,'Semrush Data'!$A$1:$A$20000,0),MATCH("Keyword Difficulty*",'Semrush Data'!$A$1:$Z$1,0)),"")</f>
        <v>22</v>
      </c>
      <c r="I494" s="29" t="n">
        <f aca="false">IFERROR(INDEX('Semrush Data'!$A$1:$Z$20000,MATCH(A494,'Semrush Data'!$A$1:$A$20000,0),MATCH("CPC*",'Semrush Data'!$A$1:$Z$1,0)),"")</f>
        <v>0</v>
      </c>
      <c r="J494" s="6" t="str">
        <f aca="false">IFERROR(INDEX('Semrush Data'!$A$1:$Z$20000,MATCH(A494,'Semrush Data'!$A$1:$A$20000,0),MATCH("Intent",'Semrush Data'!$A$1:$Z$1,0)),"")</f>
        <v>Navigational</v>
      </c>
    </row>
    <row r="495" customFormat="false" ht="15" hidden="false" customHeight="true" outlineLevel="0" collapsed="false">
      <c r="A495" s="6" t="s">
        <v>3797</v>
      </c>
      <c r="B495" s="6" t="s">
        <v>41</v>
      </c>
      <c r="C495" s="6" t="n">
        <v>1</v>
      </c>
      <c r="D495" s="6" t="n">
        <v>5</v>
      </c>
      <c r="E495" s="6" t="n">
        <v>1</v>
      </c>
      <c r="F495" s="6" t="s">
        <v>3795</v>
      </c>
      <c r="G495" s="28" t="n">
        <f aca="false">IFERROR(INDEX('Semrush Data'!$A$1:$Z$20000,MATCH(A495,'Semrush Data'!$A$1:$A$20000,0),MATCH("Volume",'Semrush Data'!$A$1:$Z$1,0)),"")</f>
        <v>20</v>
      </c>
      <c r="H495" s="6" t="n">
        <f aca="false">IFERROR(INDEX('Semrush Data'!$A$1:$Z$20000,MATCH(A495,'Semrush Data'!$A$1:$A$20000,0),MATCH("Keyword Difficulty*",'Semrush Data'!$A$1:$Z$1,0)),"")</f>
        <v>16</v>
      </c>
      <c r="I495" s="29" t="n">
        <f aca="false">IFERROR(INDEX('Semrush Data'!$A$1:$Z$20000,MATCH(A495,'Semrush Data'!$A$1:$A$20000,0),MATCH("CPC*",'Semrush Data'!$A$1:$Z$1,0)),"")</f>
        <v>0</v>
      </c>
      <c r="J495" s="6" t="str">
        <f aca="false">IFERROR(INDEX('Semrush Data'!$A$1:$Z$20000,MATCH(A495,'Semrush Data'!$A$1:$A$20000,0),MATCH("Intent",'Semrush Data'!$A$1:$Z$1,0)),"")</f>
        <v>Informational</v>
      </c>
    </row>
    <row r="496" customFormat="false" ht="15" hidden="false" customHeight="true" outlineLevel="0" collapsed="false">
      <c r="A496" s="6" t="s">
        <v>3808</v>
      </c>
      <c r="B496" s="6" t="s">
        <v>41</v>
      </c>
      <c r="C496" s="6" t="n">
        <v>1</v>
      </c>
      <c r="D496" s="6" t="n">
        <v>5</v>
      </c>
      <c r="E496" s="6" t="n">
        <v>1</v>
      </c>
      <c r="F496" s="6" t="s">
        <v>3806</v>
      </c>
      <c r="G496" s="28" t="n">
        <f aca="false">IFERROR(INDEX('Semrush Data'!$A$1:$Z$20000,MATCH(A496,'Semrush Data'!$A$1:$A$20000,0),MATCH("Volume",'Semrush Data'!$A$1:$Z$1,0)),"")</f>
        <v>20</v>
      </c>
      <c r="H496" s="6" t="n">
        <f aca="false">IFERROR(INDEX('Semrush Data'!$A$1:$Z$20000,MATCH(A496,'Semrush Data'!$A$1:$A$20000,0),MATCH("Keyword Difficulty*",'Semrush Data'!$A$1:$Z$1,0)),"")</f>
        <v>14</v>
      </c>
      <c r="I496" s="29" t="n">
        <f aca="false">IFERROR(INDEX('Semrush Data'!$A$1:$Z$20000,MATCH(A496,'Semrush Data'!$A$1:$A$20000,0),MATCH("CPC*",'Semrush Data'!$A$1:$Z$1,0)),"")</f>
        <v>0</v>
      </c>
      <c r="J496" s="6" t="str">
        <f aca="false">IFERROR(INDEX('Semrush Data'!$A$1:$Z$20000,MATCH(A496,'Semrush Data'!$A$1:$A$20000,0),MATCH("Intent",'Semrush Data'!$A$1:$Z$1,0)),"")</f>
        <v>Informational</v>
      </c>
    </row>
    <row r="497" customFormat="false" ht="15" hidden="false" customHeight="true" outlineLevel="0" collapsed="false">
      <c r="A497" s="6" t="s">
        <v>3819</v>
      </c>
      <c r="B497" s="6" t="s">
        <v>41</v>
      </c>
      <c r="C497" s="6" t="n">
        <v>1</v>
      </c>
      <c r="D497" s="6" t="n">
        <v>5</v>
      </c>
      <c r="E497" s="6" t="n">
        <v>1</v>
      </c>
      <c r="F497" s="6" t="s">
        <v>3817</v>
      </c>
      <c r="G497" s="28" t="n">
        <f aca="false">IFERROR(INDEX('Semrush Data'!$A$1:$Z$20000,MATCH(A497,'Semrush Data'!$A$1:$A$20000,0),MATCH("Volume",'Semrush Data'!$A$1:$Z$1,0)),"")</f>
        <v>20</v>
      </c>
      <c r="H497" s="6" t="n">
        <f aca="false">IFERROR(INDEX('Semrush Data'!$A$1:$Z$20000,MATCH(A497,'Semrush Data'!$A$1:$A$20000,0),MATCH("Keyword Difficulty*",'Semrush Data'!$A$1:$Z$1,0)),"")</f>
        <v>14</v>
      </c>
      <c r="I497" s="29" t="n">
        <f aca="false">IFERROR(INDEX('Semrush Data'!$A$1:$Z$20000,MATCH(A497,'Semrush Data'!$A$1:$A$20000,0),MATCH("CPC*",'Semrush Data'!$A$1:$Z$1,0)),"")</f>
        <v>0</v>
      </c>
      <c r="J497" s="6" t="str">
        <f aca="false">IFERROR(INDEX('Semrush Data'!$A$1:$Z$20000,MATCH(A497,'Semrush Data'!$A$1:$A$20000,0),MATCH("Intent",'Semrush Data'!$A$1:$Z$1,0)),"")</f>
        <v>Navigational</v>
      </c>
    </row>
    <row r="498" customFormat="false" ht="15" hidden="false" customHeight="true" outlineLevel="0" collapsed="false">
      <c r="A498" s="6" t="s">
        <v>3830</v>
      </c>
      <c r="B498" s="6" t="s">
        <v>41</v>
      </c>
      <c r="C498" s="6" t="n">
        <v>1</v>
      </c>
      <c r="D498" s="6" t="n">
        <v>5</v>
      </c>
      <c r="E498" s="6" t="n">
        <v>1</v>
      </c>
      <c r="F498" s="6" t="s">
        <v>3828</v>
      </c>
      <c r="G498" s="28" t="n">
        <f aca="false">IFERROR(INDEX('Semrush Data'!$A$1:$Z$20000,MATCH(A498,'Semrush Data'!$A$1:$A$20000,0),MATCH("Volume",'Semrush Data'!$A$1:$Z$1,0)),"")</f>
        <v>20</v>
      </c>
      <c r="H498" s="6" t="n">
        <f aca="false">IFERROR(INDEX('Semrush Data'!$A$1:$Z$20000,MATCH(A498,'Semrush Data'!$A$1:$A$20000,0),MATCH("Keyword Difficulty*",'Semrush Data'!$A$1:$Z$1,0)),"")</f>
        <v>18</v>
      </c>
      <c r="I498" s="29" t="n">
        <f aca="false">IFERROR(INDEX('Semrush Data'!$A$1:$Z$20000,MATCH(A498,'Semrush Data'!$A$1:$A$20000,0),MATCH("CPC*",'Semrush Data'!$A$1:$Z$1,0)),"")</f>
        <v>0</v>
      </c>
      <c r="J498" s="6" t="str">
        <f aca="false">IFERROR(INDEX('Semrush Data'!$A$1:$Z$20000,MATCH(A498,'Semrush Data'!$A$1:$A$20000,0),MATCH("Intent",'Semrush Data'!$A$1:$Z$1,0)),"")</f>
        <v>Informational</v>
      </c>
    </row>
    <row r="499" customFormat="false" ht="15" hidden="false" customHeight="true" outlineLevel="0" collapsed="false">
      <c r="A499" s="6" t="s">
        <v>3841</v>
      </c>
      <c r="B499" s="6" t="s">
        <v>41</v>
      </c>
      <c r="C499" s="6" t="n">
        <v>1</v>
      </c>
      <c r="D499" s="6" t="n">
        <v>5</v>
      </c>
      <c r="E499" s="6" t="n">
        <v>1</v>
      </c>
      <c r="F499" s="6" t="s">
        <v>3839</v>
      </c>
      <c r="G499" s="28" t="n">
        <f aca="false">IFERROR(INDEX('Semrush Data'!$A$1:$Z$20000,MATCH(A499,'Semrush Data'!$A$1:$A$20000,0),MATCH("Volume",'Semrush Data'!$A$1:$Z$1,0)),"")</f>
        <v>20</v>
      </c>
      <c r="H499" s="6" t="n">
        <f aca="false">IFERROR(INDEX('Semrush Data'!$A$1:$Z$20000,MATCH(A499,'Semrush Data'!$A$1:$A$20000,0),MATCH("Keyword Difficulty*",'Semrush Data'!$A$1:$Z$1,0)),"")</f>
        <v>13</v>
      </c>
      <c r="I499" s="29" t="n">
        <f aca="false">IFERROR(INDEX('Semrush Data'!$A$1:$Z$20000,MATCH(A499,'Semrush Data'!$A$1:$A$20000,0),MATCH("CPC*",'Semrush Data'!$A$1:$Z$1,0)),"")</f>
        <v>0</v>
      </c>
      <c r="J499" s="6" t="str">
        <f aca="false">IFERROR(INDEX('Semrush Data'!$A$1:$Z$20000,MATCH(A499,'Semrush Data'!$A$1:$A$20000,0),MATCH("Intent",'Semrush Data'!$A$1:$Z$1,0)),"")</f>
        <v>Navigational</v>
      </c>
    </row>
    <row r="500" customFormat="false" ht="15" hidden="false" customHeight="true" outlineLevel="0" collapsed="false">
      <c r="A500" s="6" t="s">
        <v>3897</v>
      </c>
      <c r="B500" s="6" t="s">
        <v>41</v>
      </c>
      <c r="C500" s="6" t="n">
        <v>1</v>
      </c>
      <c r="D500" s="6" t="n">
        <v>5</v>
      </c>
      <c r="E500" s="6" t="n">
        <v>1</v>
      </c>
      <c r="F500" s="6" t="s">
        <v>123</v>
      </c>
      <c r="G500" s="28" t="n">
        <f aca="false">IFERROR(INDEX('Semrush Data'!$A$1:$Z$20000,MATCH(A500,'Semrush Data'!$A$1:$A$20000,0),MATCH("Volume",'Semrush Data'!$A$1:$Z$1,0)),"")</f>
        <v>480</v>
      </c>
      <c r="H500" s="6" t="n">
        <f aca="false">IFERROR(INDEX('Semrush Data'!$A$1:$Z$20000,MATCH(A500,'Semrush Data'!$A$1:$A$20000,0),MATCH("Keyword Difficulty*",'Semrush Data'!$A$1:$Z$1,0)),"")</f>
        <v>22</v>
      </c>
      <c r="I500" s="29" t="n">
        <f aca="false">IFERROR(INDEX('Semrush Data'!$A$1:$Z$20000,MATCH(A500,'Semrush Data'!$A$1:$A$20000,0),MATCH("CPC*",'Semrush Data'!$A$1:$Z$1,0)),"")</f>
        <v>0.51</v>
      </c>
      <c r="J500" s="6" t="str">
        <f aca="false">IFERROR(INDEX('Semrush Data'!$A$1:$Z$20000,MATCH(A500,'Semrush Data'!$A$1:$A$20000,0),MATCH("Intent",'Semrush Data'!$A$1:$Z$1,0)),"")</f>
        <v>Informational</v>
      </c>
    </row>
    <row r="501" customFormat="false" ht="15" hidden="false" customHeight="true" outlineLevel="0" collapsed="false">
      <c r="A501" s="6" t="s">
        <v>3976</v>
      </c>
      <c r="B501" s="6" t="s">
        <v>41</v>
      </c>
      <c r="C501" s="6" t="n">
        <v>1</v>
      </c>
      <c r="D501" s="6" t="n">
        <v>5</v>
      </c>
      <c r="E501" s="6" t="n">
        <v>1</v>
      </c>
      <c r="F501" s="6" t="s">
        <v>3974</v>
      </c>
      <c r="G501" s="28" t="n">
        <f aca="false">IFERROR(INDEX('Semrush Data'!$A$1:$Z$20000,MATCH(A501,'Semrush Data'!$A$1:$A$20000,0),MATCH("Volume",'Semrush Data'!$A$1:$Z$1,0)),"")</f>
        <v>0</v>
      </c>
      <c r="H501" s="6" t="n">
        <f aca="false">IFERROR(INDEX('Semrush Data'!$A$1:$Z$20000,MATCH(A501,'Semrush Data'!$A$1:$A$20000,0),MATCH("Keyword Difficulty*",'Semrush Data'!$A$1:$Z$1,0)),"")</f>
        <v>9</v>
      </c>
      <c r="I501" s="29" t="n">
        <f aca="false">IFERROR(INDEX('Semrush Data'!$A$1:$Z$20000,MATCH(A501,'Semrush Data'!$A$1:$A$20000,0),MATCH("CPC*",'Semrush Data'!$A$1:$Z$1,0)),"")</f>
        <v>0</v>
      </c>
      <c r="J501" s="6" t="str">
        <f aca="false">IFERROR(INDEX('Semrush Data'!$A$1:$Z$20000,MATCH(A501,'Semrush Data'!$A$1:$A$20000,0),MATCH("Intent",'Semrush Data'!$A$1:$Z$1,0)),"")</f>
        <v>Informational Transactional</v>
      </c>
    </row>
    <row r="502" customFormat="false" ht="15" hidden="false" customHeight="true" outlineLevel="0" collapsed="false">
      <c r="A502" s="6" t="s">
        <v>3909</v>
      </c>
      <c r="B502" s="6" t="s">
        <v>41</v>
      </c>
      <c r="C502" s="6" t="n">
        <v>1</v>
      </c>
      <c r="D502" s="6" t="n">
        <v>6</v>
      </c>
      <c r="E502" s="6" t="n">
        <v>1</v>
      </c>
      <c r="F502" s="6" t="s">
        <v>3907</v>
      </c>
      <c r="G502" s="28" t="n">
        <f aca="false">IFERROR(INDEX('Semrush Data'!$A$1:$Z$20000,MATCH(A502,'Semrush Data'!$A$1:$A$20000,0),MATCH("Volume",'Semrush Data'!$A$1:$Z$1,0)),"")</f>
        <v>0</v>
      </c>
      <c r="H502" s="6" t="n">
        <f aca="false">IFERROR(INDEX('Semrush Data'!$A$1:$Z$20000,MATCH(A502,'Semrush Data'!$A$1:$A$20000,0),MATCH("Keyword Difficulty*",'Semrush Data'!$A$1:$Z$1,0)),"")</f>
        <v>12</v>
      </c>
      <c r="I502" s="29" t="n">
        <f aca="false">IFERROR(INDEX('Semrush Data'!$A$1:$Z$20000,MATCH(A502,'Semrush Data'!$A$1:$A$20000,0),MATCH("CPC*",'Semrush Data'!$A$1:$Z$1,0)),"")</f>
        <v>0</v>
      </c>
      <c r="J502" s="6" t="str">
        <f aca="false">IFERROR(INDEX('Semrush Data'!$A$1:$Z$20000,MATCH(A502,'Semrush Data'!$A$1:$A$20000,0),MATCH("Intent",'Semrush Data'!$A$1:$Z$1,0)),"")</f>
        <v>Informational</v>
      </c>
    </row>
    <row r="503" customFormat="false" ht="15" hidden="false" customHeight="true" outlineLevel="0" collapsed="false">
      <c r="A503" s="6" t="s">
        <v>3921</v>
      </c>
      <c r="B503" s="6" t="s">
        <v>41</v>
      </c>
      <c r="C503" s="6" t="n">
        <v>1</v>
      </c>
      <c r="D503" s="6" t="n">
        <v>6</v>
      </c>
      <c r="E503" s="6" t="n">
        <v>1</v>
      </c>
      <c r="F503" s="6" t="s">
        <v>3918</v>
      </c>
      <c r="G503" s="28" t="n">
        <f aca="false">IFERROR(INDEX('Semrush Data'!$A$1:$Z$20000,MATCH(A503,'Semrush Data'!$A$1:$A$20000,0),MATCH("Volume",'Semrush Data'!$A$1:$Z$1,0)),"")</f>
        <v>0</v>
      </c>
      <c r="H503" s="6" t="n">
        <f aca="false">IFERROR(INDEX('Semrush Data'!$A$1:$Z$20000,MATCH(A503,'Semrush Data'!$A$1:$A$20000,0),MATCH("Keyword Difficulty*",'Semrush Data'!$A$1:$Z$1,0)),"")</f>
        <v>17</v>
      </c>
      <c r="I503" s="29" t="n">
        <f aca="false">IFERROR(INDEX('Semrush Data'!$A$1:$Z$20000,MATCH(A503,'Semrush Data'!$A$1:$A$20000,0),MATCH("CPC*",'Semrush Data'!$A$1:$Z$1,0)),"")</f>
        <v>0</v>
      </c>
      <c r="J503" s="6" t="str">
        <f aca="false">IFERROR(INDEX('Semrush Data'!$A$1:$Z$20000,MATCH(A503,'Semrush Data'!$A$1:$A$20000,0),MATCH("Intent",'Semrush Data'!$A$1:$Z$1,0)),"")</f>
        <v>Informational Transactional</v>
      </c>
    </row>
    <row r="504" customFormat="false" ht="15" hidden="false" customHeight="true" outlineLevel="0" collapsed="false">
      <c r="A504" s="6" t="s">
        <v>3943</v>
      </c>
      <c r="B504" s="6" t="s">
        <v>41</v>
      </c>
      <c r="C504" s="6" t="n">
        <v>1</v>
      </c>
      <c r="D504" s="6" t="n">
        <v>6</v>
      </c>
      <c r="E504" s="6" t="n">
        <v>1</v>
      </c>
      <c r="F504" s="6" t="s">
        <v>3941</v>
      </c>
      <c r="G504" s="28" t="n">
        <f aca="false">IFERROR(INDEX('Semrush Data'!$A$1:$Z$20000,MATCH(A504,'Semrush Data'!$A$1:$A$20000,0),MATCH("Volume",'Semrush Data'!$A$1:$Z$1,0)),"")</f>
        <v>20</v>
      </c>
      <c r="H504" s="6" t="n">
        <f aca="false">IFERROR(INDEX('Semrush Data'!$A$1:$Z$20000,MATCH(A504,'Semrush Data'!$A$1:$A$20000,0),MATCH("Keyword Difficulty*",'Semrush Data'!$A$1:$Z$1,0)),"")</f>
        <v>12</v>
      </c>
      <c r="I504" s="29" t="n">
        <f aca="false">IFERROR(INDEX('Semrush Data'!$A$1:$Z$20000,MATCH(A504,'Semrush Data'!$A$1:$A$20000,0),MATCH("CPC*",'Semrush Data'!$A$1:$Z$1,0)),"")</f>
        <v>0</v>
      </c>
      <c r="J504" s="6" t="str">
        <f aca="false">IFERROR(INDEX('Semrush Data'!$A$1:$Z$20000,MATCH(A504,'Semrush Data'!$A$1:$A$20000,0),MATCH("Intent",'Semrush Data'!$A$1:$Z$1,0)),"")</f>
        <v>Informational</v>
      </c>
    </row>
    <row r="505" customFormat="false" ht="15" hidden="false" customHeight="true" outlineLevel="0" collapsed="false">
      <c r="A505" s="6" t="s">
        <v>3932</v>
      </c>
      <c r="B505" s="6" t="s">
        <v>41</v>
      </c>
      <c r="C505" s="6" t="n">
        <v>1</v>
      </c>
      <c r="D505" s="6" t="n">
        <v>6</v>
      </c>
      <c r="E505" s="6" t="n">
        <v>1</v>
      </c>
      <c r="F505" s="6" t="s">
        <v>3930</v>
      </c>
      <c r="G505" s="28" t="n">
        <f aca="false">IFERROR(INDEX('Semrush Data'!$A$1:$Z$20000,MATCH(A505,'Semrush Data'!$A$1:$A$20000,0),MATCH("Volume",'Semrush Data'!$A$1:$Z$1,0)),"")</f>
        <v>40</v>
      </c>
      <c r="H505" s="6" t="n">
        <f aca="false">IFERROR(INDEX('Semrush Data'!$A$1:$Z$20000,MATCH(A505,'Semrush Data'!$A$1:$A$20000,0),MATCH("Keyword Difficulty*",'Semrush Data'!$A$1:$Z$1,0)),"")</f>
        <v>19</v>
      </c>
      <c r="I505" s="29" t="n">
        <f aca="false">IFERROR(INDEX('Semrush Data'!$A$1:$Z$20000,MATCH(A505,'Semrush Data'!$A$1:$A$20000,0),MATCH("CPC*",'Semrush Data'!$A$1:$Z$1,0)),"")</f>
        <v>0.52</v>
      </c>
      <c r="J505" s="6" t="str">
        <f aca="false">IFERROR(INDEX('Semrush Data'!$A$1:$Z$20000,MATCH(A505,'Semrush Data'!$A$1:$A$20000,0),MATCH("Intent",'Semrush Data'!$A$1:$Z$1,0)),"")</f>
        <v>Commercial</v>
      </c>
    </row>
    <row r="506" customFormat="false" ht="15" hidden="false" customHeight="true" outlineLevel="0" collapsed="false">
      <c r="A506" s="6" t="s">
        <v>3987</v>
      </c>
      <c r="B506" s="6" t="s">
        <v>41</v>
      </c>
      <c r="C506" s="6" t="n">
        <v>1</v>
      </c>
      <c r="D506" s="6" t="n">
        <v>6</v>
      </c>
      <c r="E506" s="6" t="n">
        <v>1</v>
      </c>
      <c r="F506" s="6" t="s">
        <v>3985</v>
      </c>
      <c r="G506" s="28" t="n">
        <f aca="false">IFERROR(INDEX('Semrush Data'!$A$1:$Z$20000,MATCH(A506,'Semrush Data'!$A$1:$A$20000,0),MATCH("Volume",'Semrush Data'!$A$1:$Z$1,0)),"")</f>
        <v>30</v>
      </c>
      <c r="H506" s="6" t="n">
        <f aca="false">IFERROR(INDEX('Semrush Data'!$A$1:$Z$20000,MATCH(A506,'Semrush Data'!$A$1:$A$20000,0),MATCH("Keyword Difficulty*",'Semrush Data'!$A$1:$Z$1,0)),"")</f>
        <v>11</v>
      </c>
      <c r="I506" s="29" t="n">
        <f aca="false">IFERROR(INDEX('Semrush Data'!$A$1:$Z$20000,MATCH(A506,'Semrush Data'!$A$1:$A$20000,0),MATCH("CPC*",'Semrush Data'!$A$1:$Z$1,0)),"")</f>
        <v>0.34</v>
      </c>
      <c r="J506" s="6" t="str">
        <f aca="false">IFERROR(INDEX('Semrush Data'!$A$1:$Z$20000,MATCH(A506,'Semrush Data'!$A$1:$A$20000,0),MATCH("Intent",'Semrush Data'!$A$1:$Z$1,0)),"")</f>
        <v>Informational</v>
      </c>
    </row>
    <row r="507" customFormat="false" ht="15" hidden="false" customHeight="true" outlineLevel="0" collapsed="false">
      <c r="A507" s="6" t="s">
        <v>3954</v>
      </c>
      <c r="B507" s="6" t="s">
        <v>41</v>
      </c>
      <c r="C507" s="6" t="n">
        <v>1</v>
      </c>
      <c r="D507" s="6" t="n">
        <v>6</v>
      </c>
      <c r="E507" s="6" t="n">
        <v>1</v>
      </c>
      <c r="F507" s="6" t="s">
        <v>3952</v>
      </c>
      <c r="G507" s="28" t="n">
        <f aca="false">IFERROR(INDEX('Semrush Data'!$A$1:$Z$20000,MATCH(A507,'Semrush Data'!$A$1:$A$20000,0),MATCH("Volume",'Semrush Data'!$A$1:$Z$1,0)),"")</f>
        <v>30</v>
      </c>
      <c r="H507" s="6" t="n">
        <f aca="false">IFERROR(INDEX('Semrush Data'!$A$1:$Z$20000,MATCH(A507,'Semrush Data'!$A$1:$A$20000,0),MATCH("Keyword Difficulty*",'Semrush Data'!$A$1:$Z$1,0)),"")</f>
        <v>7</v>
      </c>
      <c r="I507" s="29" t="n">
        <f aca="false">IFERROR(INDEX('Semrush Data'!$A$1:$Z$20000,MATCH(A507,'Semrush Data'!$A$1:$A$20000,0),MATCH("CPC*",'Semrush Data'!$A$1:$Z$1,0)),"")</f>
        <v>0</v>
      </c>
      <c r="J507" s="6" t="str">
        <f aca="false">IFERROR(INDEX('Semrush Data'!$A$1:$Z$20000,MATCH(A507,'Semrush Data'!$A$1:$A$20000,0),MATCH("Intent",'Semrush Data'!$A$1:$Z$1,0)),"")</f>
        <v>Informational</v>
      </c>
    </row>
    <row r="508" customFormat="false" ht="15" hidden="false" customHeight="true" outlineLevel="0" collapsed="false">
      <c r="A508" s="6" t="s">
        <v>3997</v>
      </c>
      <c r="B508" s="6" t="s">
        <v>41</v>
      </c>
      <c r="C508" s="6" t="n">
        <v>1</v>
      </c>
      <c r="D508" s="6" t="n">
        <v>6</v>
      </c>
      <c r="E508" s="6" t="n">
        <v>1</v>
      </c>
      <c r="F508" s="6" t="s">
        <v>3995</v>
      </c>
      <c r="G508" s="28" t="n">
        <f aca="false">IFERROR(INDEX('Semrush Data'!$A$1:$Z$20000,MATCH(A508,'Semrush Data'!$A$1:$A$20000,0),MATCH("Volume",'Semrush Data'!$A$1:$Z$1,0)),"")</f>
        <v>20</v>
      </c>
      <c r="H508" s="6" t="n">
        <f aca="false">IFERROR(INDEX('Semrush Data'!$A$1:$Z$20000,MATCH(A508,'Semrush Data'!$A$1:$A$20000,0),MATCH("Keyword Difficulty*",'Semrush Data'!$A$1:$Z$1,0)),"")</f>
        <v>12</v>
      </c>
      <c r="I508" s="29" t="n">
        <f aca="false">IFERROR(INDEX('Semrush Data'!$A$1:$Z$20000,MATCH(A508,'Semrush Data'!$A$1:$A$20000,0),MATCH("CPC*",'Semrush Data'!$A$1:$Z$1,0)),"")</f>
        <v>0</v>
      </c>
      <c r="J508" s="6" t="str">
        <f aca="false">IFERROR(INDEX('Semrush Data'!$A$1:$Z$20000,MATCH(A508,'Semrush Data'!$A$1:$A$20000,0),MATCH("Intent",'Semrush Data'!$A$1:$Z$1,0)),"")</f>
        <v>Informational</v>
      </c>
    </row>
    <row r="509" customFormat="false" ht="15" hidden="false" customHeight="true" outlineLevel="0" collapsed="false">
      <c r="A509" s="6" t="s">
        <v>3965</v>
      </c>
      <c r="B509" s="6" t="s">
        <v>41</v>
      </c>
      <c r="C509" s="6" t="n">
        <v>1</v>
      </c>
      <c r="D509" s="6" t="n">
        <v>6</v>
      </c>
      <c r="E509" s="6" t="n">
        <v>1</v>
      </c>
      <c r="F509" s="6" t="s">
        <v>3963</v>
      </c>
      <c r="G509" s="28" t="n">
        <f aca="false">IFERROR(INDEX('Semrush Data'!$A$1:$Z$20000,MATCH(A509,'Semrush Data'!$A$1:$A$20000,0),MATCH("Volume",'Semrush Data'!$A$1:$Z$1,0)),"")</f>
        <v>50</v>
      </c>
      <c r="H509" s="6" t="n">
        <f aca="false">IFERROR(INDEX('Semrush Data'!$A$1:$Z$20000,MATCH(A509,'Semrush Data'!$A$1:$A$20000,0),MATCH("Keyword Difficulty*",'Semrush Data'!$A$1:$Z$1,0)),"")</f>
        <v>9</v>
      </c>
      <c r="I509" s="29" t="n">
        <f aca="false">IFERROR(INDEX('Semrush Data'!$A$1:$Z$20000,MATCH(A509,'Semrush Data'!$A$1:$A$20000,0),MATCH("CPC*",'Semrush Data'!$A$1:$Z$1,0)),"")</f>
        <v>0.48</v>
      </c>
      <c r="J509" s="6" t="str">
        <f aca="false">IFERROR(INDEX('Semrush Data'!$A$1:$Z$20000,MATCH(A509,'Semrush Data'!$A$1:$A$20000,0),MATCH("Intent",'Semrush Data'!$A$1:$Z$1,0)),"")</f>
        <v>Informational</v>
      </c>
    </row>
    <row r="510" customFormat="false" ht="15" hidden="false" customHeight="true" outlineLevel="0" collapsed="false">
      <c r="A510" s="6" t="s">
        <v>4008</v>
      </c>
      <c r="B510" s="6" t="s">
        <v>41</v>
      </c>
      <c r="C510" s="6" t="n">
        <v>1</v>
      </c>
      <c r="D510" s="6" t="n">
        <v>6</v>
      </c>
      <c r="E510" s="6" t="n">
        <v>1</v>
      </c>
      <c r="F510" s="6" t="s">
        <v>4005</v>
      </c>
      <c r="G510" s="28" t="n">
        <f aca="false">IFERROR(INDEX('Semrush Data'!$A$1:$Z$20000,MATCH(A510,'Semrush Data'!$A$1:$A$20000,0),MATCH("Volume",'Semrush Data'!$A$1:$Z$1,0)),"")</f>
        <v>170</v>
      </c>
      <c r="H510" s="6" t="n">
        <f aca="false">IFERROR(INDEX('Semrush Data'!$A$1:$Z$20000,MATCH(A510,'Semrush Data'!$A$1:$A$20000,0),MATCH("Keyword Difficulty*",'Semrush Data'!$A$1:$Z$1,0)),"")</f>
        <v>21</v>
      </c>
      <c r="I510" s="29" t="n">
        <f aca="false">IFERROR(INDEX('Semrush Data'!$A$1:$Z$20000,MATCH(A510,'Semrush Data'!$A$1:$A$20000,0),MATCH("CPC*",'Semrush Data'!$A$1:$Z$1,0)),"")</f>
        <v>0.55</v>
      </c>
      <c r="J510" s="6" t="str">
        <f aca="false">IFERROR(INDEX('Semrush Data'!$A$1:$Z$20000,MATCH(A510,'Semrush Data'!$A$1:$A$20000,0),MATCH("Intent",'Semrush Data'!$A$1:$Z$1,0)),"")</f>
        <v>Informational Commercial</v>
      </c>
    </row>
    <row r="511" customFormat="false" ht="15" hidden="false" customHeight="true" outlineLevel="0" collapsed="false">
      <c r="A511" s="6" t="s">
        <v>4021</v>
      </c>
      <c r="B511" s="6" t="s">
        <v>41</v>
      </c>
      <c r="C511" s="6" t="n">
        <v>1</v>
      </c>
      <c r="D511" s="6" t="n">
        <v>6</v>
      </c>
      <c r="E511" s="6" t="n">
        <v>1</v>
      </c>
      <c r="F511" s="6" t="s">
        <v>4018</v>
      </c>
      <c r="G511" s="28" t="n">
        <f aca="false">IFERROR(INDEX('Semrush Data'!$A$1:$Z$20000,MATCH(A511,'Semrush Data'!$A$1:$A$20000,0),MATCH("Volume",'Semrush Data'!$A$1:$Z$1,0)),"")</f>
        <v>10</v>
      </c>
      <c r="H511" s="6" t="n">
        <f aca="false">IFERROR(INDEX('Semrush Data'!$A$1:$Z$20000,MATCH(A511,'Semrush Data'!$A$1:$A$20000,0),MATCH("Keyword Difficulty*",'Semrush Data'!$A$1:$Z$1,0)),"")</f>
        <v>12</v>
      </c>
      <c r="I511" s="29" t="n">
        <f aca="false">IFERROR(INDEX('Semrush Data'!$A$1:$Z$20000,MATCH(A511,'Semrush Data'!$A$1:$A$20000,0),MATCH("CPC*",'Semrush Data'!$A$1:$Z$1,0)),"")</f>
        <v>0</v>
      </c>
      <c r="J511" s="6" t="str">
        <f aca="false">IFERROR(INDEX('Semrush Data'!$A$1:$Z$20000,MATCH(A511,'Semrush Data'!$A$1:$A$20000,0),MATCH("Intent",'Semrush Data'!$A$1:$Z$1,0)),"")</f>
        <v>Navigational</v>
      </c>
    </row>
    <row r="512" customFormat="false" ht="15" hidden="false" customHeight="true" outlineLevel="0" collapsed="false">
      <c r="A512" s="6" t="s">
        <v>4031</v>
      </c>
      <c r="B512" s="6" t="s">
        <v>41</v>
      </c>
      <c r="C512" s="6" t="n">
        <v>1</v>
      </c>
      <c r="D512" s="6" t="n">
        <v>6</v>
      </c>
      <c r="E512" s="6" t="n">
        <v>1</v>
      </c>
      <c r="F512" s="6" t="s">
        <v>129</v>
      </c>
      <c r="G512" s="28" t="n">
        <f aca="false">IFERROR(INDEX('Semrush Data'!$A$1:$Z$20000,MATCH(A512,'Semrush Data'!$A$1:$A$20000,0),MATCH("Volume",'Semrush Data'!$A$1:$Z$1,0)),"")</f>
        <v>390</v>
      </c>
      <c r="H512" s="6" t="n">
        <f aca="false">IFERROR(INDEX('Semrush Data'!$A$1:$Z$20000,MATCH(A512,'Semrush Data'!$A$1:$A$20000,0),MATCH("Keyword Difficulty*",'Semrush Data'!$A$1:$Z$1,0)),"")</f>
        <v>15</v>
      </c>
      <c r="I512" s="29" t="n">
        <f aca="false">IFERROR(INDEX('Semrush Data'!$A$1:$Z$20000,MATCH(A512,'Semrush Data'!$A$1:$A$20000,0),MATCH("CPC*",'Semrush Data'!$A$1:$Z$1,0)),"")</f>
        <v>0.36</v>
      </c>
      <c r="J512" s="6" t="str">
        <f aca="false">IFERROR(INDEX('Semrush Data'!$A$1:$Z$20000,MATCH(A512,'Semrush Data'!$A$1:$A$20000,0),MATCH("Intent",'Semrush Data'!$A$1:$Z$1,0)),"")</f>
        <v>Informational</v>
      </c>
    </row>
    <row r="513" customFormat="false" ht="15" hidden="false" customHeight="true" outlineLevel="0" collapsed="false">
      <c r="A513" s="6" t="s">
        <v>4043</v>
      </c>
      <c r="B513" s="6" t="s">
        <v>41</v>
      </c>
      <c r="C513" s="6" t="n">
        <v>1</v>
      </c>
      <c r="D513" s="6" t="n">
        <v>6</v>
      </c>
      <c r="E513" s="6" t="n">
        <v>1</v>
      </c>
      <c r="F513" s="6" t="s">
        <v>4040</v>
      </c>
      <c r="G513" s="28" t="n">
        <f aca="false">IFERROR(INDEX('Semrush Data'!$A$1:$Z$20000,MATCH(A513,'Semrush Data'!$A$1:$A$20000,0),MATCH("Volume",'Semrush Data'!$A$1:$Z$1,0)),"")</f>
        <v>70</v>
      </c>
      <c r="H513" s="6" t="n">
        <f aca="false">IFERROR(INDEX('Semrush Data'!$A$1:$Z$20000,MATCH(A513,'Semrush Data'!$A$1:$A$20000,0),MATCH("Keyword Difficulty*",'Semrush Data'!$A$1:$Z$1,0)),"")</f>
        <v>20</v>
      </c>
      <c r="I513" s="29" t="n">
        <f aca="false">IFERROR(INDEX('Semrush Data'!$A$1:$Z$20000,MATCH(A513,'Semrush Data'!$A$1:$A$20000,0),MATCH("CPC*",'Semrush Data'!$A$1:$Z$1,0)),"")</f>
        <v>0.44</v>
      </c>
      <c r="J513" s="6" t="str">
        <f aca="false">IFERROR(INDEX('Semrush Data'!$A$1:$Z$20000,MATCH(A513,'Semrush Data'!$A$1:$A$20000,0),MATCH("Intent",'Semrush Data'!$A$1:$Z$1,0)),"")</f>
        <v>Informational Commercial</v>
      </c>
    </row>
    <row r="514" customFormat="false" ht="15" hidden="false" customHeight="true" outlineLevel="0" collapsed="false">
      <c r="A514" s="6" t="s">
        <v>4056</v>
      </c>
      <c r="B514" s="6" t="s">
        <v>41</v>
      </c>
      <c r="C514" s="6" t="n">
        <v>1</v>
      </c>
      <c r="D514" s="6" t="n">
        <v>6</v>
      </c>
      <c r="E514" s="6" t="n">
        <v>1</v>
      </c>
      <c r="F514" s="6" t="s">
        <v>4053</v>
      </c>
      <c r="G514" s="28" t="n">
        <f aca="false">IFERROR(INDEX('Semrush Data'!$A$1:$Z$20000,MATCH(A514,'Semrush Data'!$A$1:$A$20000,0),MATCH("Volume",'Semrush Data'!$A$1:$Z$1,0)),"")</f>
        <v>320</v>
      </c>
      <c r="H514" s="6" t="n">
        <f aca="false">IFERROR(INDEX('Semrush Data'!$A$1:$Z$20000,MATCH(A514,'Semrush Data'!$A$1:$A$20000,0),MATCH("Keyword Difficulty*",'Semrush Data'!$A$1:$Z$1,0)),"")</f>
        <v>25</v>
      </c>
      <c r="I514" s="29" t="n">
        <f aca="false">IFERROR(INDEX('Semrush Data'!$A$1:$Z$20000,MATCH(A514,'Semrush Data'!$A$1:$A$20000,0),MATCH("CPC*",'Semrush Data'!$A$1:$Z$1,0)),"")</f>
        <v>0.63</v>
      </c>
      <c r="J514" s="6" t="str">
        <f aca="false">IFERROR(INDEX('Semrush Data'!$A$1:$Z$20000,MATCH(A514,'Semrush Data'!$A$1:$A$20000,0),MATCH("Intent",'Semrush Data'!$A$1:$Z$1,0)),"")</f>
        <v>Informational</v>
      </c>
    </row>
    <row r="515" customFormat="false" ht="15" hidden="false" customHeight="true" outlineLevel="0" collapsed="false">
      <c r="A515" s="6" t="s">
        <v>4069</v>
      </c>
      <c r="B515" s="6" t="s">
        <v>41</v>
      </c>
      <c r="C515" s="6" t="n">
        <v>1</v>
      </c>
      <c r="D515" s="6" t="n">
        <v>6</v>
      </c>
      <c r="E515" s="6" t="n">
        <v>1</v>
      </c>
      <c r="F515" s="6" t="s">
        <v>4066</v>
      </c>
      <c r="G515" s="28" t="n">
        <f aca="false">IFERROR(INDEX('Semrush Data'!$A$1:$Z$20000,MATCH(A515,'Semrush Data'!$A$1:$A$20000,0),MATCH("Volume",'Semrush Data'!$A$1:$Z$1,0)),"")</f>
        <v>0</v>
      </c>
      <c r="H515" s="6" t="n">
        <f aca="false">IFERROR(INDEX('Semrush Data'!$A$1:$Z$20000,MATCH(A515,'Semrush Data'!$A$1:$A$20000,0),MATCH("Keyword Difficulty*",'Semrush Data'!$A$1:$Z$1,0)),"")</f>
        <v>13</v>
      </c>
      <c r="I515" s="29" t="n">
        <f aca="false">IFERROR(INDEX('Semrush Data'!$A$1:$Z$20000,MATCH(A515,'Semrush Data'!$A$1:$A$20000,0),MATCH("CPC*",'Semrush Data'!$A$1:$Z$1,0)),"")</f>
        <v>0</v>
      </c>
      <c r="J515" s="6" t="str">
        <f aca="false">IFERROR(INDEX('Semrush Data'!$A$1:$Z$20000,MATCH(A515,'Semrush Data'!$A$1:$A$20000,0),MATCH("Intent",'Semrush Data'!$A$1:$Z$1,0)),"")</f>
        <v>Informational</v>
      </c>
    </row>
    <row r="516" customFormat="false" ht="15" hidden="false" customHeight="true" outlineLevel="0" collapsed="false">
      <c r="A516" s="6" t="s">
        <v>4081</v>
      </c>
      <c r="B516" s="6" t="s">
        <v>41</v>
      </c>
      <c r="C516" s="6" t="n">
        <v>1</v>
      </c>
      <c r="D516" s="6" t="n">
        <v>6</v>
      </c>
      <c r="E516" s="6" t="n">
        <v>1</v>
      </c>
      <c r="F516" s="6" t="s">
        <v>4079</v>
      </c>
      <c r="G516" s="28" t="n">
        <f aca="false">IFERROR(INDEX('Semrush Data'!$A$1:$Z$20000,MATCH(A516,'Semrush Data'!$A$1:$A$20000,0),MATCH("Volume",'Semrush Data'!$A$1:$Z$1,0)),"")</f>
        <v>20</v>
      </c>
      <c r="H516" s="6" t="n">
        <f aca="false">IFERROR(INDEX('Semrush Data'!$A$1:$Z$20000,MATCH(A516,'Semrush Data'!$A$1:$A$20000,0),MATCH("Keyword Difficulty*",'Semrush Data'!$A$1:$Z$1,0)),"")</f>
        <v>9</v>
      </c>
      <c r="I516" s="29" t="n">
        <f aca="false">IFERROR(INDEX('Semrush Data'!$A$1:$Z$20000,MATCH(A516,'Semrush Data'!$A$1:$A$20000,0),MATCH("CPC*",'Semrush Data'!$A$1:$Z$1,0)),"")</f>
        <v>0</v>
      </c>
      <c r="J516" s="6" t="str">
        <f aca="false">IFERROR(INDEX('Semrush Data'!$A$1:$Z$20000,MATCH(A516,'Semrush Data'!$A$1:$A$20000,0),MATCH("Intent",'Semrush Data'!$A$1:$Z$1,0)),"")</f>
        <v>Informational</v>
      </c>
    </row>
    <row r="517" customFormat="false" ht="15" hidden="false" customHeight="true" outlineLevel="0" collapsed="false">
      <c r="A517" s="6" t="s">
        <v>4093</v>
      </c>
      <c r="B517" s="6" t="s">
        <v>41</v>
      </c>
      <c r="C517" s="6" t="n">
        <v>1</v>
      </c>
      <c r="D517" s="6" t="n">
        <v>6</v>
      </c>
      <c r="E517" s="6" t="n">
        <v>1</v>
      </c>
      <c r="F517" s="6" t="s">
        <v>4090</v>
      </c>
      <c r="G517" s="28" t="n">
        <f aca="false">IFERROR(INDEX('Semrush Data'!$A$1:$Z$20000,MATCH(A517,'Semrush Data'!$A$1:$A$20000,0),MATCH("Volume",'Semrush Data'!$A$1:$Z$1,0)),"")</f>
        <v>0</v>
      </c>
      <c r="H517" s="6" t="n">
        <f aca="false">IFERROR(INDEX('Semrush Data'!$A$1:$Z$20000,MATCH(A517,'Semrush Data'!$A$1:$A$20000,0),MATCH("Keyword Difficulty*",'Semrush Data'!$A$1:$Z$1,0)),"")</f>
        <v>15</v>
      </c>
      <c r="I517" s="29" t="n">
        <f aca="false">IFERROR(INDEX('Semrush Data'!$A$1:$Z$20000,MATCH(A517,'Semrush Data'!$A$1:$A$20000,0),MATCH("CPC*",'Semrush Data'!$A$1:$Z$1,0)),"")</f>
        <v>0</v>
      </c>
      <c r="J517" s="6" t="str">
        <f aca="false">IFERROR(INDEX('Semrush Data'!$A$1:$Z$20000,MATCH(A517,'Semrush Data'!$A$1:$A$20000,0),MATCH("Intent",'Semrush Data'!$A$1:$Z$1,0)),"")</f>
        <v>Informational</v>
      </c>
    </row>
    <row r="518" customFormat="false" ht="15" hidden="false" customHeight="true" outlineLevel="0" collapsed="false">
      <c r="A518" s="6" t="s">
        <v>4105</v>
      </c>
      <c r="B518" s="6" t="s">
        <v>41</v>
      </c>
      <c r="C518" s="6" t="n">
        <v>1</v>
      </c>
      <c r="D518" s="6" t="n">
        <v>6</v>
      </c>
      <c r="E518" s="6" t="n">
        <v>1</v>
      </c>
      <c r="F518" s="6" t="s">
        <v>4103</v>
      </c>
      <c r="G518" s="28" t="n">
        <f aca="false">IFERROR(INDEX('Semrush Data'!$A$1:$Z$20000,MATCH(A518,'Semrush Data'!$A$1:$A$20000,0),MATCH("Volume",'Semrush Data'!$A$1:$Z$1,0)),"")</f>
        <v>0</v>
      </c>
      <c r="H518" s="6" t="n">
        <f aca="false">IFERROR(INDEX('Semrush Data'!$A$1:$Z$20000,MATCH(A518,'Semrush Data'!$A$1:$A$20000,0),MATCH("Keyword Difficulty*",'Semrush Data'!$A$1:$Z$1,0)),"")</f>
        <v>16</v>
      </c>
      <c r="I518" s="29" t="n">
        <f aca="false">IFERROR(INDEX('Semrush Data'!$A$1:$Z$20000,MATCH(A518,'Semrush Data'!$A$1:$A$20000,0),MATCH("CPC*",'Semrush Data'!$A$1:$Z$1,0)),"")</f>
        <v>0</v>
      </c>
      <c r="J518" s="6" t="str">
        <f aca="false">IFERROR(INDEX('Semrush Data'!$A$1:$Z$20000,MATCH(A518,'Semrush Data'!$A$1:$A$20000,0),MATCH("Intent",'Semrush Data'!$A$1:$Z$1,0)),"")</f>
        <v>Informational</v>
      </c>
    </row>
    <row r="519" customFormat="false" ht="15" hidden="false" customHeight="true" outlineLevel="0" collapsed="false">
      <c r="A519" s="6" t="s">
        <v>4116</v>
      </c>
      <c r="B519" s="6" t="s">
        <v>41</v>
      </c>
      <c r="C519" s="6" t="n">
        <v>1</v>
      </c>
      <c r="D519" s="6" t="n">
        <v>6</v>
      </c>
      <c r="E519" s="6" t="n">
        <v>1</v>
      </c>
      <c r="F519" s="6" t="s">
        <v>4114</v>
      </c>
      <c r="G519" s="28" t="n">
        <f aca="false">IFERROR(INDEX('Semrush Data'!$A$1:$Z$20000,MATCH(A519,'Semrush Data'!$A$1:$A$20000,0),MATCH("Volume",'Semrush Data'!$A$1:$Z$1,0)),"")</f>
        <v>10</v>
      </c>
      <c r="H519" s="6" t="n">
        <f aca="false">IFERROR(INDEX('Semrush Data'!$A$1:$Z$20000,MATCH(A519,'Semrush Data'!$A$1:$A$20000,0),MATCH("Keyword Difficulty*",'Semrush Data'!$A$1:$Z$1,0)),"")</f>
        <v>25</v>
      </c>
      <c r="I519" s="29" t="n">
        <f aca="false">IFERROR(INDEX('Semrush Data'!$A$1:$Z$20000,MATCH(A519,'Semrush Data'!$A$1:$A$20000,0),MATCH("CPC*",'Semrush Data'!$A$1:$Z$1,0)),"")</f>
        <v>0</v>
      </c>
      <c r="J519" s="6" t="str">
        <f aca="false">IFERROR(INDEX('Semrush Data'!$A$1:$Z$20000,MATCH(A519,'Semrush Data'!$A$1:$A$20000,0),MATCH("Intent",'Semrush Data'!$A$1:$Z$1,0)),"")</f>
        <v>Commercial</v>
      </c>
    </row>
    <row r="520" customFormat="false" ht="15" hidden="false" customHeight="true" outlineLevel="0" collapsed="false">
      <c r="A520" s="6" t="s">
        <v>4127</v>
      </c>
      <c r="B520" s="6" t="s">
        <v>41</v>
      </c>
      <c r="C520" s="6" t="n">
        <v>1</v>
      </c>
      <c r="D520" s="6" t="n">
        <v>6</v>
      </c>
      <c r="E520" s="6" t="n">
        <v>1</v>
      </c>
      <c r="F520" s="6" t="s">
        <v>4125</v>
      </c>
      <c r="G520" s="28" t="n">
        <f aca="false">IFERROR(INDEX('Semrush Data'!$A$1:$Z$20000,MATCH(A520,'Semrush Data'!$A$1:$A$20000,0),MATCH("Volume",'Semrush Data'!$A$1:$Z$1,0)),"")</f>
        <v>0</v>
      </c>
      <c r="H520" s="6" t="n">
        <f aca="false">IFERROR(INDEX('Semrush Data'!$A$1:$Z$20000,MATCH(A520,'Semrush Data'!$A$1:$A$20000,0),MATCH("Keyword Difficulty*",'Semrush Data'!$A$1:$Z$1,0)),"")</f>
        <v>14</v>
      </c>
      <c r="I520" s="29" t="n">
        <f aca="false">IFERROR(INDEX('Semrush Data'!$A$1:$Z$20000,MATCH(A520,'Semrush Data'!$A$1:$A$20000,0),MATCH("CPC*",'Semrush Data'!$A$1:$Z$1,0)),"")</f>
        <v>0</v>
      </c>
      <c r="J520" s="6" t="str">
        <f aca="false">IFERROR(INDEX('Semrush Data'!$A$1:$Z$20000,MATCH(A520,'Semrush Data'!$A$1:$A$20000,0),MATCH("Intent",'Semrush Data'!$A$1:$Z$1,0)),"")</f>
        <v>Informational</v>
      </c>
    </row>
    <row r="521" customFormat="false" ht="15" hidden="false" customHeight="true" outlineLevel="0" collapsed="false">
      <c r="A521" s="6" t="s">
        <v>4139</v>
      </c>
      <c r="B521" s="6" t="s">
        <v>41</v>
      </c>
      <c r="C521" s="6" t="n">
        <v>1</v>
      </c>
      <c r="D521" s="6" t="n">
        <v>6</v>
      </c>
      <c r="E521" s="6" t="n">
        <v>1</v>
      </c>
      <c r="F521" s="6" t="s">
        <v>4137</v>
      </c>
      <c r="G521" s="28" t="n">
        <f aca="false">IFERROR(INDEX('Semrush Data'!$A$1:$Z$20000,MATCH(A521,'Semrush Data'!$A$1:$A$20000,0),MATCH("Volume",'Semrush Data'!$A$1:$Z$1,0)),"")</f>
        <v>0</v>
      </c>
      <c r="H521" s="6" t="n">
        <f aca="false">IFERROR(INDEX('Semrush Data'!$A$1:$Z$20000,MATCH(A521,'Semrush Data'!$A$1:$A$20000,0),MATCH("Keyword Difficulty*",'Semrush Data'!$A$1:$Z$1,0)),"")</f>
        <v>19</v>
      </c>
      <c r="I521" s="29" t="n">
        <f aca="false">IFERROR(INDEX('Semrush Data'!$A$1:$Z$20000,MATCH(A521,'Semrush Data'!$A$1:$A$20000,0),MATCH("CPC*",'Semrush Data'!$A$1:$Z$1,0)),"")</f>
        <v>0</v>
      </c>
      <c r="J521" s="6" t="str">
        <f aca="false">IFERROR(INDEX('Semrush Data'!$A$1:$Z$20000,MATCH(A521,'Semrush Data'!$A$1:$A$20000,0),MATCH("Intent",'Semrush Data'!$A$1:$Z$1,0)),"")</f>
        <v>Informational</v>
      </c>
    </row>
    <row r="522" customFormat="false" ht="15" hidden="false" customHeight="true" outlineLevel="0" collapsed="false">
      <c r="A522" s="6" t="s">
        <v>4151</v>
      </c>
      <c r="B522" s="6" t="s">
        <v>41</v>
      </c>
      <c r="C522" s="6" t="n">
        <v>1</v>
      </c>
      <c r="D522" s="6" t="n">
        <v>6</v>
      </c>
      <c r="E522" s="6" t="n">
        <v>1</v>
      </c>
      <c r="F522" s="6" t="s">
        <v>4149</v>
      </c>
      <c r="G522" s="28" t="n">
        <f aca="false">IFERROR(INDEX('Semrush Data'!$A$1:$Z$20000,MATCH(A522,'Semrush Data'!$A$1:$A$20000,0),MATCH("Volume",'Semrush Data'!$A$1:$Z$1,0)),"")</f>
        <v>0</v>
      </c>
      <c r="H522" s="6" t="n">
        <f aca="false">IFERROR(INDEX('Semrush Data'!$A$1:$Z$20000,MATCH(A522,'Semrush Data'!$A$1:$A$20000,0),MATCH("Keyword Difficulty*",'Semrush Data'!$A$1:$Z$1,0)),"")</f>
        <v>21</v>
      </c>
      <c r="I522" s="29" t="n">
        <f aca="false">IFERROR(INDEX('Semrush Data'!$A$1:$Z$20000,MATCH(A522,'Semrush Data'!$A$1:$A$20000,0),MATCH("CPC*",'Semrush Data'!$A$1:$Z$1,0)),"")</f>
        <v>0</v>
      </c>
      <c r="J522" s="6" t="str">
        <f aca="false">IFERROR(INDEX('Semrush Data'!$A$1:$Z$20000,MATCH(A522,'Semrush Data'!$A$1:$A$20000,0),MATCH("Intent",'Semrush Data'!$A$1:$Z$1,0)),"")</f>
        <v>Informational</v>
      </c>
    </row>
    <row r="523" customFormat="false" ht="15" hidden="false" customHeight="true" outlineLevel="0" collapsed="false">
      <c r="A523" s="6" t="s">
        <v>4162</v>
      </c>
      <c r="B523" s="6" t="s">
        <v>41</v>
      </c>
      <c r="C523" s="6" t="n">
        <v>1</v>
      </c>
      <c r="D523" s="6" t="n">
        <v>6</v>
      </c>
      <c r="E523" s="6" t="n">
        <v>1</v>
      </c>
      <c r="F523" s="6" t="s">
        <v>4160</v>
      </c>
      <c r="G523" s="28" t="n">
        <f aca="false">IFERROR(INDEX('Semrush Data'!$A$1:$Z$20000,MATCH(A523,'Semrush Data'!$A$1:$A$20000,0),MATCH("Volume",'Semrush Data'!$A$1:$Z$1,0)),"")</f>
        <v>0</v>
      </c>
      <c r="H523" s="6" t="n">
        <f aca="false">IFERROR(INDEX('Semrush Data'!$A$1:$Z$20000,MATCH(A523,'Semrush Data'!$A$1:$A$20000,0),MATCH("Keyword Difficulty*",'Semrush Data'!$A$1:$Z$1,0)),"")</f>
        <v>9</v>
      </c>
      <c r="I523" s="29" t="n">
        <f aca="false">IFERROR(INDEX('Semrush Data'!$A$1:$Z$20000,MATCH(A523,'Semrush Data'!$A$1:$A$20000,0),MATCH("CPC*",'Semrush Data'!$A$1:$Z$1,0)),"")</f>
        <v>0</v>
      </c>
      <c r="J523" s="6" t="str">
        <f aca="false">IFERROR(INDEX('Semrush Data'!$A$1:$Z$20000,MATCH(A523,'Semrush Data'!$A$1:$A$20000,0),MATCH("Intent",'Semrush Data'!$A$1:$Z$1,0)),"")</f>
        <v>Navigational</v>
      </c>
    </row>
    <row r="524" customFormat="false" ht="15" hidden="false" customHeight="true" outlineLevel="0" collapsed="false">
      <c r="A524" s="6" t="s">
        <v>4172</v>
      </c>
      <c r="B524" s="6" t="s">
        <v>41</v>
      </c>
      <c r="C524" s="6" t="n">
        <v>1</v>
      </c>
      <c r="D524" s="6" t="n">
        <v>6</v>
      </c>
      <c r="E524" s="6" t="n">
        <v>1</v>
      </c>
      <c r="F524" s="6" t="s">
        <v>4170</v>
      </c>
      <c r="G524" s="28" t="n">
        <f aca="false">IFERROR(INDEX('Semrush Data'!$A$1:$Z$20000,MATCH(A524,'Semrush Data'!$A$1:$A$20000,0),MATCH("Volume",'Semrush Data'!$A$1:$Z$1,0)),"")</f>
        <v>0</v>
      </c>
      <c r="H524" s="6" t="n">
        <f aca="false">IFERROR(INDEX('Semrush Data'!$A$1:$Z$20000,MATCH(A524,'Semrush Data'!$A$1:$A$20000,0),MATCH("Keyword Difficulty*",'Semrush Data'!$A$1:$Z$1,0)),"")</f>
        <v>19</v>
      </c>
      <c r="I524" s="29" t="n">
        <f aca="false">IFERROR(INDEX('Semrush Data'!$A$1:$Z$20000,MATCH(A524,'Semrush Data'!$A$1:$A$20000,0),MATCH("CPC*",'Semrush Data'!$A$1:$Z$1,0)),"")</f>
        <v>0</v>
      </c>
      <c r="J524" s="6" t="str">
        <f aca="false">IFERROR(INDEX('Semrush Data'!$A$1:$Z$20000,MATCH(A524,'Semrush Data'!$A$1:$A$20000,0),MATCH("Intent",'Semrush Data'!$A$1:$Z$1,0)),"")</f>
        <v>Informational</v>
      </c>
    </row>
    <row r="525" customFormat="false" ht="15" hidden="false" customHeight="true" outlineLevel="0" collapsed="false">
      <c r="A525" s="6" t="s">
        <v>4182</v>
      </c>
      <c r="B525" s="6" t="s">
        <v>41</v>
      </c>
      <c r="C525" s="6" t="n">
        <v>1</v>
      </c>
      <c r="D525" s="6" t="n">
        <v>6</v>
      </c>
      <c r="E525" s="6" t="n">
        <v>1</v>
      </c>
      <c r="F525" s="6" t="s">
        <v>4180</v>
      </c>
      <c r="G525" s="28" t="n">
        <f aca="false">IFERROR(INDEX('Semrush Data'!$A$1:$Z$20000,MATCH(A525,'Semrush Data'!$A$1:$A$20000,0),MATCH("Volume",'Semrush Data'!$A$1:$Z$1,0)),"")</f>
        <v>0</v>
      </c>
      <c r="H525" s="6" t="n">
        <f aca="false">IFERROR(INDEX('Semrush Data'!$A$1:$Z$20000,MATCH(A525,'Semrush Data'!$A$1:$A$20000,0),MATCH("Keyword Difficulty*",'Semrush Data'!$A$1:$Z$1,0)),"")</f>
        <v>13</v>
      </c>
      <c r="I525" s="29" t="n">
        <f aca="false">IFERROR(INDEX('Semrush Data'!$A$1:$Z$20000,MATCH(A525,'Semrush Data'!$A$1:$A$20000,0),MATCH("CPC*",'Semrush Data'!$A$1:$Z$1,0)),"")</f>
        <v>0</v>
      </c>
      <c r="J525" s="6" t="str">
        <f aca="false">IFERROR(INDEX('Semrush Data'!$A$1:$Z$20000,MATCH(A525,'Semrush Data'!$A$1:$A$20000,0),MATCH("Intent",'Semrush Data'!$A$1:$Z$1,0)),"")</f>
        <v>Informational</v>
      </c>
    </row>
    <row r="526" customFormat="false" ht="15" hidden="false" customHeight="true" outlineLevel="0" collapsed="false">
      <c r="A526" s="6" t="s">
        <v>4193</v>
      </c>
      <c r="B526" s="6" t="s">
        <v>41</v>
      </c>
      <c r="C526" s="6" t="n">
        <v>1</v>
      </c>
      <c r="D526" s="6" t="n">
        <v>6</v>
      </c>
      <c r="E526" s="6" t="n">
        <v>1</v>
      </c>
      <c r="F526" s="6" t="s">
        <v>4191</v>
      </c>
      <c r="G526" s="28" t="n">
        <f aca="false">IFERROR(INDEX('Semrush Data'!$A$1:$Z$20000,MATCH(A526,'Semrush Data'!$A$1:$A$20000,0),MATCH("Volume",'Semrush Data'!$A$1:$Z$1,0)),"")</f>
        <v>0</v>
      </c>
      <c r="H526" s="6" t="n">
        <f aca="false">IFERROR(INDEX('Semrush Data'!$A$1:$Z$20000,MATCH(A526,'Semrush Data'!$A$1:$A$20000,0),MATCH("Keyword Difficulty*",'Semrush Data'!$A$1:$Z$1,0)),"")</f>
        <v>5</v>
      </c>
      <c r="I526" s="29" t="n">
        <f aca="false">IFERROR(INDEX('Semrush Data'!$A$1:$Z$20000,MATCH(A526,'Semrush Data'!$A$1:$A$20000,0),MATCH("CPC*",'Semrush Data'!$A$1:$Z$1,0)),"")</f>
        <v>0</v>
      </c>
      <c r="J526" s="6" t="str">
        <f aca="false">IFERROR(INDEX('Semrush Data'!$A$1:$Z$20000,MATCH(A526,'Semrush Data'!$A$1:$A$20000,0),MATCH("Intent",'Semrush Data'!$A$1:$Z$1,0)),"")</f>
        <v>Informational</v>
      </c>
    </row>
    <row r="527" customFormat="false" ht="15" hidden="false" customHeight="true" outlineLevel="0" collapsed="false">
      <c r="A527" s="6" t="s">
        <v>4204</v>
      </c>
      <c r="B527" s="6" t="s">
        <v>41</v>
      </c>
      <c r="C527" s="6" t="n">
        <v>1</v>
      </c>
      <c r="D527" s="6" t="n">
        <v>6</v>
      </c>
      <c r="E527" s="6" t="n">
        <v>1</v>
      </c>
      <c r="F527" s="6" t="s">
        <v>4202</v>
      </c>
      <c r="G527" s="28" t="n">
        <f aca="false">IFERROR(INDEX('Semrush Data'!$A$1:$Z$20000,MATCH(A527,'Semrush Data'!$A$1:$A$20000,0),MATCH("Volume",'Semrush Data'!$A$1:$Z$1,0)),"")</f>
        <v>0</v>
      </c>
      <c r="H527" s="6" t="n">
        <f aca="false">IFERROR(INDEX('Semrush Data'!$A$1:$Z$20000,MATCH(A527,'Semrush Data'!$A$1:$A$20000,0),MATCH("Keyword Difficulty*",'Semrush Data'!$A$1:$Z$1,0)),"")</f>
        <v>10</v>
      </c>
      <c r="I527" s="29" t="n">
        <f aca="false">IFERROR(INDEX('Semrush Data'!$A$1:$Z$20000,MATCH(A527,'Semrush Data'!$A$1:$A$20000,0),MATCH("CPC*",'Semrush Data'!$A$1:$Z$1,0)),"")</f>
        <v>0</v>
      </c>
      <c r="J527" s="6" t="str">
        <f aca="false">IFERROR(INDEX('Semrush Data'!$A$1:$Z$20000,MATCH(A527,'Semrush Data'!$A$1:$A$20000,0),MATCH("Intent",'Semrush Data'!$A$1:$Z$1,0)),"")</f>
        <v>Informational</v>
      </c>
    </row>
    <row r="528" customFormat="false" ht="15" hidden="false" customHeight="true" outlineLevel="0" collapsed="false">
      <c r="A528" s="6" t="s">
        <v>4214</v>
      </c>
      <c r="B528" s="6" t="s">
        <v>41</v>
      </c>
      <c r="C528" s="6" t="n">
        <v>1</v>
      </c>
      <c r="D528" s="6" t="n">
        <v>6</v>
      </c>
      <c r="E528" s="6" t="n">
        <v>1</v>
      </c>
      <c r="F528" s="6" t="s">
        <v>4212</v>
      </c>
      <c r="G528" s="28" t="n">
        <f aca="false">IFERROR(INDEX('Semrush Data'!$A$1:$Z$20000,MATCH(A528,'Semrush Data'!$A$1:$A$20000,0),MATCH("Volume",'Semrush Data'!$A$1:$Z$1,0)),"")</f>
        <v>0</v>
      </c>
      <c r="H528" s="6" t="n">
        <f aca="false">IFERROR(INDEX('Semrush Data'!$A$1:$Z$20000,MATCH(A528,'Semrush Data'!$A$1:$A$20000,0),MATCH("Keyword Difficulty*",'Semrush Data'!$A$1:$Z$1,0)),"")</f>
        <v>18</v>
      </c>
      <c r="I528" s="29" t="n">
        <f aca="false">IFERROR(INDEX('Semrush Data'!$A$1:$Z$20000,MATCH(A528,'Semrush Data'!$A$1:$A$20000,0),MATCH("CPC*",'Semrush Data'!$A$1:$Z$1,0)),"")</f>
        <v>0</v>
      </c>
      <c r="J528" s="6" t="str">
        <f aca="false">IFERROR(INDEX('Semrush Data'!$A$1:$Z$20000,MATCH(A528,'Semrush Data'!$A$1:$A$20000,0),MATCH("Intent",'Semrush Data'!$A$1:$Z$1,0)),"")</f>
        <v>Informational</v>
      </c>
    </row>
    <row r="529" customFormat="false" ht="15" hidden="false" customHeight="true" outlineLevel="0" collapsed="false">
      <c r="A529" s="6" t="s">
        <v>4227</v>
      </c>
      <c r="B529" s="6" t="s">
        <v>41</v>
      </c>
      <c r="C529" s="6" t="n">
        <v>1</v>
      </c>
      <c r="D529" s="6" t="n">
        <v>6</v>
      </c>
      <c r="E529" s="6" t="n">
        <v>1</v>
      </c>
      <c r="F529" s="6" t="s">
        <v>4224</v>
      </c>
      <c r="G529" s="28" t="n">
        <f aca="false">IFERROR(INDEX('Semrush Data'!$A$1:$Z$20000,MATCH(A529,'Semrush Data'!$A$1:$A$20000,0),MATCH("Volume",'Semrush Data'!$A$1:$Z$1,0)),"")</f>
        <v>0</v>
      </c>
      <c r="H529" s="6" t="n">
        <f aca="false">IFERROR(INDEX('Semrush Data'!$A$1:$Z$20000,MATCH(A529,'Semrush Data'!$A$1:$A$20000,0),MATCH("Keyword Difficulty*",'Semrush Data'!$A$1:$Z$1,0)),"")</f>
        <v>18</v>
      </c>
      <c r="I529" s="29" t="n">
        <f aca="false">IFERROR(INDEX('Semrush Data'!$A$1:$Z$20000,MATCH(A529,'Semrush Data'!$A$1:$A$20000,0),MATCH("CPC*",'Semrush Data'!$A$1:$Z$1,0)),"")</f>
        <v>0</v>
      </c>
      <c r="J529" s="6" t="str">
        <f aca="false">IFERROR(INDEX('Semrush Data'!$A$1:$Z$20000,MATCH(A529,'Semrush Data'!$A$1:$A$20000,0),MATCH("Intent",'Semrush Data'!$A$1:$Z$1,0)),"")</f>
        <v>Navigational</v>
      </c>
    </row>
    <row r="530" customFormat="false" ht="15" hidden="false" customHeight="true" outlineLevel="0" collapsed="false">
      <c r="A530" s="6" t="s">
        <v>4240</v>
      </c>
      <c r="B530" s="6" t="s">
        <v>41</v>
      </c>
      <c r="C530" s="6" t="n">
        <v>1</v>
      </c>
      <c r="D530" s="6" t="n">
        <v>6</v>
      </c>
      <c r="E530" s="6" t="n">
        <v>1</v>
      </c>
      <c r="F530" s="6" t="s">
        <v>4237</v>
      </c>
      <c r="G530" s="28" t="n">
        <f aca="false">IFERROR(INDEX('Semrush Data'!$A$1:$Z$20000,MATCH(A530,'Semrush Data'!$A$1:$A$20000,0),MATCH("Volume",'Semrush Data'!$A$1:$Z$1,0)),"")</f>
        <v>0</v>
      </c>
      <c r="H530" s="6" t="n">
        <f aca="false">IFERROR(INDEX('Semrush Data'!$A$1:$Z$20000,MATCH(A530,'Semrush Data'!$A$1:$A$20000,0),MATCH("Keyword Difficulty*",'Semrush Data'!$A$1:$Z$1,0)),"")</f>
        <v>19</v>
      </c>
      <c r="I530" s="29" t="n">
        <f aca="false">IFERROR(INDEX('Semrush Data'!$A$1:$Z$20000,MATCH(A530,'Semrush Data'!$A$1:$A$20000,0),MATCH("CPC*",'Semrush Data'!$A$1:$Z$1,0)),"")</f>
        <v>0</v>
      </c>
      <c r="J530" s="6" t="str">
        <f aca="false">IFERROR(INDEX('Semrush Data'!$A$1:$Z$20000,MATCH(A530,'Semrush Data'!$A$1:$A$20000,0),MATCH("Intent",'Semrush Data'!$A$1:$Z$1,0)),"")</f>
        <v>Informational</v>
      </c>
    </row>
    <row r="531" customFormat="false" ht="15" hidden="false" customHeight="true" outlineLevel="0" collapsed="false">
      <c r="A531" s="6" t="s">
        <v>4251</v>
      </c>
      <c r="B531" s="6" t="s">
        <v>41</v>
      </c>
      <c r="C531" s="6" t="n">
        <v>1</v>
      </c>
      <c r="D531" s="6" t="n">
        <v>6</v>
      </c>
      <c r="E531" s="6" t="n">
        <v>1</v>
      </c>
      <c r="F531" s="6" t="s">
        <v>4249</v>
      </c>
      <c r="G531" s="28" t="n">
        <f aca="false">IFERROR(INDEX('Semrush Data'!$A$1:$Z$20000,MATCH(A531,'Semrush Data'!$A$1:$A$20000,0),MATCH("Volume",'Semrush Data'!$A$1:$Z$1,0)),"")</f>
        <v>10</v>
      </c>
      <c r="H531" s="6" t="n">
        <f aca="false">IFERROR(INDEX('Semrush Data'!$A$1:$Z$20000,MATCH(A531,'Semrush Data'!$A$1:$A$20000,0),MATCH("Keyword Difficulty*",'Semrush Data'!$A$1:$Z$1,0)),"")</f>
        <v>1</v>
      </c>
      <c r="I531" s="29" t="n">
        <f aca="false">IFERROR(INDEX('Semrush Data'!$A$1:$Z$20000,MATCH(A531,'Semrush Data'!$A$1:$A$20000,0),MATCH("CPC*",'Semrush Data'!$A$1:$Z$1,0)),"")</f>
        <v>0</v>
      </c>
      <c r="J531" s="6" t="str">
        <f aca="false">IFERROR(INDEX('Semrush Data'!$A$1:$Z$20000,MATCH(A531,'Semrush Data'!$A$1:$A$20000,0),MATCH("Intent",'Semrush Data'!$A$1:$Z$1,0)),"")</f>
        <v>Informational</v>
      </c>
    </row>
    <row r="532" customFormat="false" ht="15" hidden="false" customHeight="true" outlineLevel="0" collapsed="false">
      <c r="A532" s="6" t="s">
        <v>4262</v>
      </c>
      <c r="B532" s="6" t="s">
        <v>41</v>
      </c>
      <c r="C532" s="6" t="n">
        <v>1</v>
      </c>
      <c r="D532" s="6" t="n">
        <v>6</v>
      </c>
      <c r="E532" s="6" t="n">
        <v>1</v>
      </c>
      <c r="F532" s="6" t="s">
        <v>4260</v>
      </c>
      <c r="G532" s="28" t="n">
        <f aca="false">IFERROR(INDEX('Semrush Data'!$A$1:$Z$20000,MATCH(A532,'Semrush Data'!$A$1:$A$20000,0),MATCH("Volume",'Semrush Data'!$A$1:$Z$1,0)),"")</f>
        <v>0</v>
      </c>
      <c r="H532" s="6" t="n">
        <f aca="false">IFERROR(INDEX('Semrush Data'!$A$1:$Z$20000,MATCH(A532,'Semrush Data'!$A$1:$A$20000,0),MATCH("Keyword Difficulty*",'Semrush Data'!$A$1:$Z$1,0)),"")</f>
        <v>15</v>
      </c>
      <c r="I532" s="29" t="n">
        <f aca="false">IFERROR(INDEX('Semrush Data'!$A$1:$Z$20000,MATCH(A532,'Semrush Data'!$A$1:$A$20000,0),MATCH("CPC*",'Semrush Data'!$A$1:$Z$1,0)),"")</f>
        <v>0</v>
      </c>
      <c r="J532" s="6" t="str">
        <f aca="false">IFERROR(INDEX('Semrush Data'!$A$1:$Z$20000,MATCH(A532,'Semrush Data'!$A$1:$A$20000,0),MATCH("Intent",'Semrush Data'!$A$1:$Z$1,0)),"")</f>
        <v>Commercial</v>
      </c>
    </row>
    <row r="533" customFormat="false" ht="15" hidden="false" customHeight="true" outlineLevel="0" collapsed="false">
      <c r="A533" s="6" t="s">
        <v>4274</v>
      </c>
      <c r="B533" s="6" t="s">
        <v>41</v>
      </c>
      <c r="C533" s="6" t="n">
        <v>1</v>
      </c>
      <c r="D533" s="6" t="n">
        <v>6</v>
      </c>
      <c r="E533" s="6" t="n">
        <v>1</v>
      </c>
      <c r="F533" s="6" t="s">
        <v>4272</v>
      </c>
      <c r="G533" s="28" t="n">
        <f aca="false">IFERROR(INDEX('Semrush Data'!$A$1:$Z$20000,MATCH(A533,'Semrush Data'!$A$1:$A$20000,0),MATCH("Volume",'Semrush Data'!$A$1:$Z$1,0)),"")</f>
        <v>0</v>
      </c>
      <c r="H533" s="6" t="n">
        <f aca="false">IFERROR(INDEX('Semrush Data'!$A$1:$Z$20000,MATCH(A533,'Semrush Data'!$A$1:$A$20000,0),MATCH("Keyword Difficulty*",'Semrush Data'!$A$1:$Z$1,0)),"")</f>
        <v>16</v>
      </c>
      <c r="I533" s="29" t="n">
        <f aca="false">IFERROR(INDEX('Semrush Data'!$A$1:$Z$20000,MATCH(A533,'Semrush Data'!$A$1:$A$20000,0),MATCH("CPC*",'Semrush Data'!$A$1:$Z$1,0)),"")</f>
        <v>0</v>
      </c>
      <c r="J533" s="6" t="str">
        <f aca="false">IFERROR(INDEX('Semrush Data'!$A$1:$Z$20000,MATCH(A533,'Semrush Data'!$A$1:$A$20000,0),MATCH("Intent",'Semrush Data'!$A$1:$Z$1,0)),"")</f>
        <v>Informational</v>
      </c>
    </row>
    <row r="534" customFormat="false" ht="15" hidden="false" customHeight="true" outlineLevel="0" collapsed="false">
      <c r="A534" s="6" t="s">
        <v>4287</v>
      </c>
      <c r="B534" s="6" t="s">
        <v>41</v>
      </c>
      <c r="C534" s="6" t="n">
        <v>1</v>
      </c>
      <c r="D534" s="6" t="n">
        <v>6</v>
      </c>
      <c r="E534" s="6" t="n">
        <v>1</v>
      </c>
      <c r="F534" s="6" t="s">
        <v>4283</v>
      </c>
      <c r="G534" s="28" t="n">
        <f aca="false">IFERROR(INDEX('Semrush Data'!$A$1:$Z$20000,MATCH(A534,'Semrush Data'!$A$1:$A$20000,0),MATCH("Volume",'Semrush Data'!$A$1:$Z$1,0)),"")</f>
        <v>170</v>
      </c>
      <c r="H534" s="6" t="n">
        <f aca="false">IFERROR(INDEX('Semrush Data'!$A$1:$Z$20000,MATCH(A534,'Semrush Data'!$A$1:$A$20000,0),MATCH("Keyword Difficulty*",'Semrush Data'!$A$1:$Z$1,0)),"")</f>
        <v>17</v>
      </c>
      <c r="I534" s="29" t="n">
        <f aca="false">IFERROR(INDEX('Semrush Data'!$A$1:$Z$20000,MATCH(A534,'Semrush Data'!$A$1:$A$20000,0),MATCH("CPC*",'Semrush Data'!$A$1:$Z$1,0)),"")</f>
        <v>0</v>
      </c>
      <c r="J534" s="6" t="str">
        <f aca="false">IFERROR(INDEX('Semrush Data'!$A$1:$Z$20000,MATCH(A534,'Semrush Data'!$A$1:$A$20000,0),MATCH("Intent",'Semrush Data'!$A$1:$Z$1,0)),"")</f>
        <v>Informational</v>
      </c>
    </row>
    <row r="535" customFormat="false" ht="15" hidden="false" customHeight="true" outlineLevel="0" collapsed="false">
      <c r="A535" s="6" t="s">
        <v>4299</v>
      </c>
      <c r="B535" s="6" t="s">
        <v>41</v>
      </c>
      <c r="C535" s="6" t="n">
        <v>1</v>
      </c>
      <c r="D535" s="6" t="n">
        <v>6</v>
      </c>
      <c r="E535" s="6" t="n">
        <v>1</v>
      </c>
      <c r="F535" s="6" t="s">
        <v>4297</v>
      </c>
      <c r="G535" s="28" t="n">
        <f aca="false">IFERROR(INDEX('Semrush Data'!$A$1:$Z$20000,MATCH(A535,'Semrush Data'!$A$1:$A$20000,0),MATCH("Volume",'Semrush Data'!$A$1:$Z$1,0)),"")</f>
        <v>10</v>
      </c>
      <c r="H535" s="6" t="n">
        <f aca="false">IFERROR(INDEX('Semrush Data'!$A$1:$Z$20000,MATCH(A535,'Semrush Data'!$A$1:$A$20000,0),MATCH("Keyword Difficulty*",'Semrush Data'!$A$1:$Z$1,0)),"")</f>
        <v>22</v>
      </c>
      <c r="I535" s="29" t="n">
        <f aca="false">IFERROR(INDEX('Semrush Data'!$A$1:$Z$20000,MATCH(A535,'Semrush Data'!$A$1:$A$20000,0),MATCH("CPC*",'Semrush Data'!$A$1:$Z$1,0)),"")</f>
        <v>0</v>
      </c>
      <c r="J535" s="6" t="str">
        <f aca="false">IFERROR(INDEX('Semrush Data'!$A$1:$Z$20000,MATCH(A535,'Semrush Data'!$A$1:$A$20000,0),MATCH("Intent",'Semrush Data'!$A$1:$Z$1,0)),"")</f>
        <v>Transactional Navigational</v>
      </c>
    </row>
    <row r="536" customFormat="false" ht="15" hidden="false" customHeight="true" outlineLevel="0" collapsed="false">
      <c r="A536" s="6" t="s">
        <v>4311</v>
      </c>
      <c r="B536" s="6" t="s">
        <v>41</v>
      </c>
      <c r="C536" s="6" t="n">
        <v>1</v>
      </c>
      <c r="D536" s="6" t="n">
        <v>6</v>
      </c>
      <c r="E536" s="6" t="n">
        <v>1</v>
      </c>
      <c r="F536" s="6" t="s">
        <v>4309</v>
      </c>
      <c r="G536" s="28" t="n">
        <f aca="false">IFERROR(INDEX('Semrush Data'!$A$1:$Z$20000,MATCH(A536,'Semrush Data'!$A$1:$A$20000,0),MATCH("Volume",'Semrush Data'!$A$1:$Z$1,0)),"")</f>
        <v>40</v>
      </c>
      <c r="H536" s="6" t="n">
        <f aca="false">IFERROR(INDEX('Semrush Data'!$A$1:$Z$20000,MATCH(A536,'Semrush Data'!$A$1:$A$20000,0),MATCH("Keyword Difficulty*",'Semrush Data'!$A$1:$Z$1,0)),"")</f>
        <v>22</v>
      </c>
      <c r="I536" s="29" t="n">
        <f aca="false">IFERROR(INDEX('Semrush Data'!$A$1:$Z$20000,MATCH(A536,'Semrush Data'!$A$1:$A$20000,0),MATCH("CPC*",'Semrush Data'!$A$1:$Z$1,0)),"")</f>
        <v>0</v>
      </c>
      <c r="J536" s="6" t="str">
        <f aca="false">IFERROR(INDEX('Semrush Data'!$A$1:$Z$20000,MATCH(A536,'Semrush Data'!$A$1:$A$20000,0),MATCH("Intent",'Semrush Data'!$A$1:$Z$1,0)),"")</f>
        <v>Commercial</v>
      </c>
    </row>
    <row r="537" customFormat="false" ht="15" hidden="false" customHeight="true" outlineLevel="0" collapsed="false">
      <c r="A537" s="6" t="s">
        <v>4322</v>
      </c>
      <c r="B537" s="6" t="s">
        <v>41</v>
      </c>
      <c r="C537" s="6" t="n">
        <v>1</v>
      </c>
      <c r="D537" s="6" t="n">
        <v>6</v>
      </c>
      <c r="E537" s="6" t="n">
        <v>1</v>
      </c>
      <c r="F537" s="6" t="s">
        <v>4320</v>
      </c>
      <c r="G537" s="28" t="n">
        <f aca="false">IFERROR(INDEX('Semrush Data'!$A$1:$Z$20000,MATCH(A537,'Semrush Data'!$A$1:$A$20000,0),MATCH("Volume",'Semrush Data'!$A$1:$Z$1,0)),"")</f>
        <v>30</v>
      </c>
      <c r="H537" s="6" t="n">
        <f aca="false">IFERROR(INDEX('Semrush Data'!$A$1:$Z$20000,MATCH(A537,'Semrush Data'!$A$1:$A$20000,0),MATCH("Keyword Difficulty*",'Semrush Data'!$A$1:$Z$1,0)),"")</f>
        <v>12</v>
      </c>
      <c r="I537" s="29" t="n">
        <f aca="false">IFERROR(INDEX('Semrush Data'!$A$1:$Z$20000,MATCH(A537,'Semrush Data'!$A$1:$A$20000,0),MATCH("CPC*",'Semrush Data'!$A$1:$Z$1,0)),"")</f>
        <v>0</v>
      </c>
      <c r="J537" s="6" t="str">
        <f aca="false">IFERROR(INDEX('Semrush Data'!$A$1:$Z$20000,MATCH(A537,'Semrush Data'!$A$1:$A$20000,0),MATCH("Intent",'Semrush Data'!$A$1:$Z$1,0)),"")</f>
        <v>Navigational</v>
      </c>
    </row>
    <row r="538" customFormat="false" ht="15" hidden="false" customHeight="true" outlineLevel="0" collapsed="false">
      <c r="A538" s="6" t="s">
        <v>4331</v>
      </c>
      <c r="B538" s="6" t="s">
        <v>41</v>
      </c>
      <c r="C538" s="6" t="n">
        <v>1</v>
      </c>
      <c r="D538" s="6" t="n">
        <v>6</v>
      </c>
      <c r="E538" s="6" t="n">
        <v>1</v>
      </c>
      <c r="F538" s="6" t="s">
        <v>83</v>
      </c>
      <c r="G538" s="28" t="n">
        <f aca="false">IFERROR(INDEX('Semrush Data'!$A$1:$Z$20000,MATCH(A538,'Semrush Data'!$A$1:$A$20000,0),MATCH("Volume",'Semrush Data'!$A$1:$Z$1,0)),"")</f>
        <v>1600</v>
      </c>
      <c r="H538" s="6" t="n">
        <f aca="false">IFERROR(INDEX('Semrush Data'!$A$1:$Z$20000,MATCH(A538,'Semrush Data'!$A$1:$A$20000,0),MATCH("Keyword Difficulty*",'Semrush Data'!$A$1:$Z$1,0)),"")</f>
        <v>29</v>
      </c>
      <c r="I538" s="29" t="n">
        <f aca="false">IFERROR(INDEX('Semrush Data'!$A$1:$Z$20000,MATCH(A538,'Semrush Data'!$A$1:$A$20000,0),MATCH("CPC*",'Semrush Data'!$A$1:$Z$1,0)),"")</f>
        <v>0.55</v>
      </c>
      <c r="J538" s="6" t="str">
        <f aca="false">IFERROR(INDEX('Semrush Data'!$A$1:$Z$20000,MATCH(A538,'Semrush Data'!$A$1:$A$20000,0),MATCH("Intent",'Semrush Data'!$A$1:$Z$1,0)),"")</f>
        <v>Informational</v>
      </c>
    </row>
    <row r="539" customFormat="false" ht="15" hidden="false" customHeight="true" outlineLevel="0" collapsed="false">
      <c r="A539" s="6" t="s">
        <v>4343</v>
      </c>
      <c r="B539" s="6" t="s">
        <v>41</v>
      </c>
      <c r="C539" s="6" t="n">
        <v>1</v>
      </c>
      <c r="D539" s="6" t="n">
        <v>6</v>
      </c>
      <c r="E539" s="6" t="n">
        <v>1</v>
      </c>
      <c r="F539" s="6" t="s">
        <v>4341</v>
      </c>
      <c r="G539" s="28" t="n">
        <f aca="false">IFERROR(INDEX('Semrush Data'!$A$1:$Z$20000,MATCH(A539,'Semrush Data'!$A$1:$A$20000,0),MATCH("Volume",'Semrush Data'!$A$1:$Z$1,0)),"")</f>
        <v>20</v>
      </c>
      <c r="H539" s="6" t="n">
        <f aca="false">IFERROR(INDEX('Semrush Data'!$A$1:$Z$20000,MATCH(A539,'Semrush Data'!$A$1:$A$20000,0),MATCH("Keyword Difficulty*",'Semrush Data'!$A$1:$Z$1,0)),"")</f>
        <v>25</v>
      </c>
      <c r="I539" s="29" t="n">
        <f aca="false">IFERROR(INDEX('Semrush Data'!$A$1:$Z$20000,MATCH(A539,'Semrush Data'!$A$1:$A$20000,0),MATCH("CPC*",'Semrush Data'!$A$1:$Z$1,0)),"")</f>
        <v>0</v>
      </c>
      <c r="J539" s="6" t="str">
        <f aca="false">IFERROR(INDEX('Semrush Data'!$A$1:$Z$20000,MATCH(A539,'Semrush Data'!$A$1:$A$20000,0),MATCH("Intent",'Semrush Data'!$A$1:$Z$1,0)),"")</f>
        <v>Navigational</v>
      </c>
    </row>
    <row r="540" customFormat="false" ht="15" hidden="false" customHeight="true" outlineLevel="0" collapsed="false">
      <c r="A540" s="6" t="s">
        <v>4354</v>
      </c>
      <c r="B540" s="6" t="s">
        <v>41</v>
      </c>
      <c r="C540" s="6" t="n">
        <v>1</v>
      </c>
      <c r="D540" s="6" t="n">
        <v>6</v>
      </c>
      <c r="E540" s="6" t="n">
        <v>1</v>
      </c>
      <c r="F540" s="6" t="s">
        <v>4352</v>
      </c>
      <c r="G540" s="28" t="n">
        <f aca="false">IFERROR(INDEX('Semrush Data'!$A$1:$Z$20000,MATCH(A540,'Semrush Data'!$A$1:$A$20000,0),MATCH("Volume",'Semrush Data'!$A$1:$Z$1,0)),"")</f>
        <v>20</v>
      </c>
      <c r="H540" s="6" t="n">
        <f aca="false">IFERROR(INDEX('Semrush Data'!$A$1:$Z$20000,MATCH(A540,'Semrush Data'!$A$1:$A$20000,0),MATCH("Keyword Difficulty*",'Semrush Data'!$A$1:$Z$1,0)),"")</f>
        <v>15</v>
      </c>
      <c r="I540" s="29" t="n">
        <f aca="false">IFERROR(INDEX('Semrush Data'!$A$1:$Z$20000,MATCH(A540,'Semrush Data'!$A$1:$A$20000,0),MATCH("CPC*",'Semrush Data'!$A$1:$Z$1,0)),"")</f>
        <v>0</v>
      </c>
      <c r="J540" s="6" t="str">
        <f aca="false">IFERROR(INDEX('Semrush Data'!$A$1:$Z$20000,MATCH(A540,'Semrush Data'!$A$1:$A$20000,0),MATCH("Intent",'Semrush Data'!$A$1:$Z$1,0)),"")</f>
        <v>Informational Transactional</v>
      </c>
    </row>
    <row r="541" customFormat="false" ht="15" hidden="false" customHeight="true" outlineLevel="0" collapsed="false">
      <c r="A541" s="6" t="s">
        <v>4365</v>
      </c>
      <c r="B541" s="6" t="s">
        <v>41</v>
      </c>
      <c r="C541" s="6" t="n">
        <v>1</v>
      </c>
      <c r="D541" s="6" t="n">
        <v>6</v>
      </c>
      <c r="E541" s="6" t="n">
        <v>1</v>
      </c>
      <c r="F541" s="6" t="s">
        <v>4363</v>
      </c>
      <c r="G541" s="28" t="n">
        <f aca="false">IFERROR(INDEX('Semrush Data'!$A$1:$Z$20000,MATCH(A541,'Semrush Data'!$A$1:$A$20000,0),MATCH("Volume",'Semrush Data'!$A$1:$Z$1,0)),"")</f>
        <v>10</v>
      </c>
      <c r="H541" s="6" t="n">
        <f aca="false">IFERROR(INDEX('Semrush Data'!$A$1:$Z$20000,MATCH(A541,'Semrush Data'!$A$1:$A$20000,0),MATCH("Keyword Difficulty*",'Semrush Data'!$A$1:$Z$1,0)),"")</f>
        <v>14</v>
      </c>
      <c r="I541" s="29" t="n">
        <f aca="false">IFERROR(INDEX('Semrush Data'!$A$1:$Z$20000,MATCH(A541,'Semrush Data'!$A$1:$A$20000,0),MATCH("CPC*",'Semrush Data'!$A$1:$Z$1,0)),"")</f>
        <v>0</v>
      </c>
      <c r="J541" s="6" t="str">
        <f aca="false">IFERROR(INDEX('Semrush Data'!$A$1:$Z$20000,MATCH(A541,'Semrush Data'!$A$1:$A$20000,0),MATCH("Intent",'Semrush Data'!$A$1:$Z$1,0)),"")</f>
        <v>Transactional Navigational</v>
      </c>
    </row>
    <row r="542" customFormat="false" ht="15" hidden="false" customHeight="true" outlineLevel="0" collapsed="false">
      <c r="A542" s="6" t="s">
        <v>4376</v>
      </c>
      <c r="B542" s="6" t="s">
        <v>41</v>
      </c>
      <c r="C542" s="6" t="n">
        <v>1</v>
      </c>
      <c r="D542" s="6" t="n">
        <v>6</v>
      </c>
      <c r="E542" s="6" t="n">
        <v>1</v>
      </c>
      <c r="F542" s="6" t="s">
        <v>4374</v>
      </c>
      <c r="G542" s="28" t="n">
        <f aca="false">IFERROR(INDEX('Semrush Data'!$A$1:$Z$20000,MATCH(A542,'Semrush Data'!$A$1:$A$20000,0),MATCH("Volume",'Semrush Data'!$A$1:$Z$1,0)),"")</f>
        <v>210</v>
      </c>
      <c r="H542" s="6" t="n">
        <f aca="false">IFERROR(INDEX('Semrush Data'!$A$1:$Z$20000,MATCH(A542,'Semrush Data'!$A$1:$A$20000,0),MATCH("Keyword Difficulty*",'Semrush Data'!$A$1:$Z$1,0)),"")</f>
        <v>28</v>
      </c>
      <c r="I542" s="29" t="n">
        <f aca="false">IFERROR(INDEX('Semrush Data'!$A$1:$Z$20000,MATCH(A542,'Semrush Data'!$A$1:$A$20000,0),MATCH("CPC*",'Semrush Data'!$A$1:$Z$1,0)),"")</f>
        <v>0</v>
      </c>
      <c r="J542" s="6" t="str">
        <f aca="false">IFERROR(INDEX('Semrush Data'!$A$1:$Z$20000,MATCH(A542,'Semrush Data'!$A$1:$A$20000,0),MATCH("Intent",'Semrush Data'!$A$1:$Z$1,0)),"")</f>
        <v>Informational Transactional</v>
      </c>
    </row>
    <row r="543" customFormat="false" ht="15" hidden="false" customHeight="true" outlineLevel="0" collapsed="false">
      <c r="A543" s="6" t="s">
        <v>4387</v>
      </c>
      <c r="B543" s="6" t="s">
        <v>41</v>
      </c>
      <c r="C543" s="6" t="n">
        <v>1</v>
      </c>
      <c r="D543" s="6" t="n">
        <v>6</v>
      </c>
      <c r="E543" s="6" t="n">
        <v>1</v>
      </c>
      <c r="F543" s="6" t="s">
        <v>4385</v>
      </c>
      <c r="G543" s="28" t="n">
        <f aca="false">IFERROR(INDEX('Semrush Data'!$A$1:$Z$20000,MATCH(A543,'Semrush Data'!$A$1:$A$20000,0),MATCH("Volume",'Semrush Data'!$A$1:$Z$1,0)),"")</f>
        <v>50</v>
      </c>
      <c r="H543" s="6" t="n">
        <f aca="false">IFERROR(INDEX('Semrush Data'!$A$1:$Z$20000,MATCH(A543,'Semrush Data'!$A$1:$A$20000,0),MATCH("Keyword Difficulty*",'Semrush Data'!$A$1:$Z$1,0)),"")</f>
        <v>17</v>
      </c>
      <c r="I543" s="29" t="n">
        <f aca="false">IFERROR(INDEX('Semrush Data'!$A$1:$Z$20000,MATCH(A543,'Semrush Data'!$A$1:$A$20000,0),MATCH("CPC*",'Semrush Data'!$A$1:$Z$1,0)),"")</f>
        <v>0</v>
      </c>
      <c r="J543" s="6" t="str">
        <f aca="false">IFERROR(INDEX('Semrush Data'!$A$1:$Z$20000,MATCH(A543,'Semrush Data'!$A$1:$A$20000,0),MATCH("Intent",'Semrush Data'!$A$1:$Z$1,0)),"")</f>
        <v>Informational</v>
      </c>
    </row>
    <row r="544" customFormat="false" ht="15" hidden="false" customHeight="true" outlineLevel="0" collapsed="false">
      <c r="A544" s="6" t="s">
        <v>4399</v>
      </c>
      <c r="B544" s="6" t="s">
        <v>41</v>
      </c>
      <c r="C544" s="6" t="n">
        <v>1</v>
      </c>
      <c r="D544" s="6" t="n">
        <v>6</v>
      </c>
      <c r="E544" s="6" t="n">
        <v>1</v>
      </c>
      <c r="F544" s="6" t="s">
        <v>4397</v>
      </c>
      <c r="G544" s="28" t="n">
        <f aca="false">IFERROR(INDEX('Semrush Data'!$A$1:$Z$20000,MATCH(A544,'Semrush Data'!$A$1:$A$20000,0),MATCH("Volume",'Semrush Data'!$A$1:$Z$1,0)),"")</f>
        <v>50</v>
      </c>
      <c r="H544" s="6" t="n">
        <f aca="false">IFERROR(INDEX('Semrush Data'!$A$1:$Z$20000,MATCH(A544,'Semrush Data'!$A$1:$A$20000,0),MATCH("Keyword Difficulty*",'Semrush Data'!$A$1:$Z$1,0)),"")</f>
        <v>23</v>
      </c>
      <c r="I544" s="29" t="n">
        <f aca="false">IFERROR(INDEX('Semrush Data'!$A$1:$Z$20000,MATCH(A544,'Semrush Data'!$A$1:$A$20000,0),MATCH("CPC*",'Semrush Data'!$A$1:$Z$1,0)),"")</f>
        <v>0</v>
      </c>
      <c r="J544" s="6" t="str">
        <f aca="false">IFERROR(INDEX('Semrush Data'!$A$1:$Z$20000,MATCH(A544,'Semrush Data'!$A$1:$A$20000,0),MATCH("Intent",'Semrush Data'!$A$1:$Z$1,0)),"")</f>
        <v>Transactional Navigational</v>
      </c>
    </row>
    <row r="545" customFormat="false" ht="15" hidden="false" customHeight="true" outlineLevel="0" collapsed="false">
      <c r="A545" s="6" t="s">
        <v>4617</v>
      </c>
      <c r="B545" s="6" t="s">
        <v>41</v>
      </c>
      <c r="C545" s="6" t="n">
        <v>1</v>
      </c>
      <c r="D545" s="6" t="n">
        <v>6</v>
      </c>
      <c r="E545" s="6" t="n">
        <v>2</v>
      </c>
      <c r="F545" s="6" t="s">
        <v>6852</v>
      </c>
      <c r="G545" s="28" t="n">
        <f aca="false">IFERROR(INDEX('Semrush Data'!$A$1:$Z$20000,MATCH(A545,'Semrush Data'!$A$1:$A$20000,0),MATCH("Volume",'Semrush Data'!$A$1:$Z$1,0)),"")</f>
        <v>20</v>
      </c>
      <c r="H545" s="6" t="n">
        <f aca="false">IFERROR(INDEX('Semrush Data'!$A$1:$Z$20000,MATCH(A545,'Semrush Data'!$A$1:$A$20000,0),MATCH("Keyword Difficulty*",'Semrush Data'!$A$1:$Z$1,0)),"")</f>
        <v>20</v>
      </c>
      <c r="I545" s="29" t="n">
        <f aca="false">IFERROR(INDEX('Semrush Data'!$A$1:$Z$20000,MATCH(A545,'Semrush Data'!$A$1:$A$20000,0),MATCH("CPC*",'Semrush Data'!$A$1:$Z$1,0)),"")</f>
        <v>0</v>
      </c>
      <c r="J545" s="6" t="str">
        <f aca="false">IFERROR(INDEX('Semrush Data'!$A$1:$Z$20000,MATCH(A545,'Semrush Data'!$A$1:$A$20000,0),MATCH("Intent",'Semrush Data'!$A$1:$Z$1,0)),"")</f>
        <v>Informational Transactional</v>
      </c>
    </row>
    <row r="546" customFormat="false" ht="15" hidden="false" customHeight="true" outlineLevel="0" collapsed="false">
      <c r="A546" s="6" t="s">
        <v>4410</v>
      </c>
      <c r="B546" s="6" t="s">
        <v>41</v>
      </c>
      <c r="C546" s="6" t="n">
        <v>1</v>
      </c>
      <c r="D546" s="6" t="n">
        <v>6</v>
      </c>
      <c r="E546" s="6" t="n">
        <v>1</v>
      </c>
      <c r="F546" s="6" t="s">
        <v>4408</v>
      </c>
      <c r="G546" s="28" t="n">
        <f aca="false">IFERROR(INDEX('Semrush Data'!$A$1:$Z$20000,MATCH(A546,'Semrush Data'!$A$1:$A$20000,0),MATCH("Volume",'Semrush Data'!$A$1:$Z$1,0)),"")</f>
        <v>70</v>
      </c>
      <c r="H546" s="6" t="n">
        <f aca="false">IFERROR(INDEX('Semrush Data'!$A$1:$Z$20000,MATCH(A546,'Semrush Data'!$A$1:$A$20000,0),MATCH("Keyword Difficulty*",'Semrush Data'!$A$1:$Z$1,0)),"")</f>
        <v>27</v>
      </c>
      <c r="I546" s="29" t="n">
        <f aca="false">IFERROR(INDEX('Semrush Data'!$A$1:$Z$20000,MATCH(A546,'Semrush Data'!$A$1:$A$20000,0),MATCH("CPC*",'Semrush Data'!$A$1:$Z$1,0)),"")</f>
        <v>0</v>
      </c>
      <c r="J546" s="6" t="str">
        <f aca="false">IFERROR(INDEX('Semrush Data'!$A$1:$Z$20000,MATCH(A546,'Semrush Data'!$A$1:$A$20000,0),MATCH("Intent",'Semrush Data'!$A$1:$Z$1,0)),"")</f>
        <v>Transactional</v>
      </c>
    </row>
    <row r="547" customFormat="false" ht="15" hidden="false" customHeight="true" outlineLevel="0" collapsed="false">
      <c r="A547" s="6" t="s">
        <v>4421</v>
      </c>
      <c r="B547" s="6" t="s">
        <v>41</v>
      </c>
      <c r="C547" s="6" t="n">
        <v>1</v>
      </c>
      <c r="D547" s="6" t="n">
        <v>6</v>
      </c>
      <c r="E547" s="6" t="n">
        <v>1</v>
      </c>
      <c r="F547" s="6" t="s">
        <v>4419</v>
      </c>
      <c r="G547" s="28" t="n">
        <f aca="false">IFERROR(INDEX('Semrush Data'!$A$1:$Z$20000,MATCH(A547,'Semrush Data'!$A$1:$A$20000,0),MATCH("Volume",'Semrush Data'!$A$1:$Z$1,0)),"")</f>
        <v>20</v>
      </c>
      <c r="H547" s="6" t="n">
        <f aca="false">IFERROR(INDEX('Semrush Data'!$A$1:$Z$20000,MATCH(A547,'Semrush Data'!$A$1:$A$20000,0),MATCH("Keyword Difficulty*",'Semrush Data'!$A$1:$Z$1,0)),"")</f>
        <v>21</v>
      </c>
      <c r="I547" s="29" t="n">
        <f aca="false">IFERROR(INDEX('Semrush Data'!$A$1:$Z$20000,MATCH(A547,'Semrush Data'!$A$1:$A$20000,0),MATCH("CPC*",'Semrush Data'!$A$1:$Z$1,0)),"")</f>
        <v>0</v>
      </c>
      <c r="J547" s="6" t="str">
        <f aca="false">IFERROR(INDEX('Semrush Data'!$A$1:$Z$20000,MATCH(A547,'Semrush Data'!$A$1:$A$20000,0),MATCH("Intent",'Semrush Data'!$A$1:$Z$1,0)),"")</f>
        <v>Informational Transactional</v>
      </c>
    </row>
    <row r="548" customFormat="false" ht="15" hidden="false" customHeight="true" outlineLevel="0" collapsed="false">
      <c r="A548" s="6" t="s">
        <v>4430</v>
      </c>
      <c r="B548" s="6" t="s">
        <v>41</v>
      </c>
      <c r="C548" s="6" t="n">
        <v>1</v>
      </c>
      <c r="D548" s="6" t="n">
        <v>6</v>
      </c>
      <c r="E548" s="6" t="n">
        <v>1</v>
      </c>
      <c r="F548" s="6" t="s">
        <v>99</v>
      </c>
      <c r="G548" s="28" t="n">
        <f aca="false">IFERROR(INDEX('Semrush Data'!$A$1:$Z$20000,MATCH(A548,'Semrush Data'!$A$1:$A$20000,0),MATCH("Volume",'Semrush Data'!$A$1:$Z$1,0)),"")</f>
        <v>880</v>
      </c>
      <c r="H548" s="6" t="n">
        <f aca="false">IFERROR(INDEX('Semrush Data'!$A$1:$Z$20000,MATCH(A548,'Semrush Data'!$A$1:$A$20000,0),MATCH("Keyword Difficulty*",'Semrush Data'!$A$1:$Z$1,0)),"")</f>
        <v>29</v>
      </c>
      <c r="I548" s="29" t="n">
        <f aca="false">IFERROR(INDEX('Semrush Data'!$A$1:$Z$20000,MATCH(A548,'Semrush Data'!$A$1:$A$20000,0),MATCH("CPC*",'Semrush Data'!$A$1:$Z$1,0)),"")</f>
        <v>0.56</v>
      </c>
      <c r="J548" s="6" t="str">
        <f aca="false">IFERROR(INDEX('Semrush Data'!$A$1:$Z$20000,MATCH(A548,'Semrush Data'!$A$1:$A$20000,0),MATCH("Intent",'Semrush Data'!$A$1:$Z$1,0)),"")</f>
        <v>Informational</v>
      </c>
    </row>
    <row r="549" customFormat="false" ht="15" hidden="false" customHeight="true" outlineLevel="0" collapsed="false">
      <c r="A549" s="6" t="s">
        <v>4441</v>
      </c>
      <c r="B549" s="6" t="s">
        <v>41</v>
      </c>
      <c r="C549" s="6" t="n">
        <v>1</v>
      </c>
      <c r="D549" s="6" t="n">
        <v>6</v>
      </c>
      <c r="E549" s="6" t="n">
        <v>1</v>
      </c>
      <c r="F549" s="6" t="s">
        <v>4439</v>
      </c>
      <c r="G549" s="28" t="n">
        <f aca="false">IFERROR(INDEX('Semrush Data'!$A$1:$Z$20000,MATCH(A549,'Semrush Data'!$A$1:$A$20000,0),MATCH("Volume",'Semrush Data'!$A$1:$Z$1,0)),"")</f>
        <v>110</v>
      </c>
      <c r="H549" s="6" t="n">
        <f aca="false">IFERROR(INDEX('Semrush Data'!$A$1:$Z$20000,MATCH(A549,'Semrush Data'!$A$1:$A$20000,0),MATCH("Keyword Difficulty*",'Semrush Data'!$A$1:$Z$1,0)),"")</f>
        <v>25</v>
      </c>
      <c r="I549" s="29" t="n">
        <f aca="false">IFERROR(INDEX('Semrush Data'!$A$1:$Z$20000,MATCH(A549,'Semrush Data'!$A$1:$A$20000,0),MATCH("CPC*",'Semrush Data'!$A$1:$Z$1,0)),"")</f>
        <v>0</v>
      </c>
      <c r="J549" s="6" t="str">
        <f aca="false">IFERROR(INDEX('Semrush Data'!$A$1:$Z$20000,MATCH(A549,'Semrush Data'!$A$1:$A$20000,0),MATCH("Intent",'Semrush Data'!$A$1:$Z$1,0)),"")</f>
        <v>Informational</v>
      </c>
    </row>
    <row r="550" customFormat="false" ht="15" hidden="false" customHeight="true" outlineLevel="0" collapsed="false">
      <c r="A550" s="6" t="s">
        <v>4452</v>
      </c>
      <c r="B550" s="6" t="s">
        <v>41</v>
      </c>
      <c r="C550" s="6" t="n">
        <v>1</v>
      </c>
      <c r="D550" s="6" t="n">
        <v>6</v>
      </c>
      <c r="E550" s="6" t="n">
        <v>1</v>
      </c>
      <c r="F550" s="6" t="s">
        <v>4450</v>
      </c>
      <c r="G550" s="28" t="n">
        <f aca="false">IFERROR(INDEX('Semrush Data'!$A$1:$Z$20000,MATCH(A550,'Semrush Data'!$A$1:$A$20000,0),MATCH("Volume",'Semrush Data'!$A$1:$Z$1,0)),"")</f>
        <v>20</v>
      </c>
      <c r="H550" s="6" t="n">
        <f aca="false">IFERROR(INDEX('Semrush Data'!$A$1:$Z$20000,MATCH(A550,'Semrush Data'!$A$1:$A$20000,0),MATCH("Keyword Difficulty*",'Semrush Data'!$A$1:$Z$1,0)),"")</f>
        <v>22</v>
      </c>
      <c r="I550" s="29" t="n">
        <f aca="false">IFERROR(INDEX('Semrush Data'!$A$1:$Z$20000,MATCH(A550,'Semrush Data'!$A$1:$A$20000,0),MATCH("CPC*",'Semrush Data'!$A$1:$Z$1,0)),"")</f>
        <v>0</v>
      </c>
      <c r="J550" s="6" t="str">
        <f aca="false">IFERROR(INDEX('Semrush Data'!$A$1:$Z$20000,MATCH(A550,'Semrush Data'!$A$1:$A$20000,0),MATCH("Intent",'Semrush Data'!$A$1:$Z$1,0)),"")</f>
        <v>Transactional Navigational</v>
      </c>
    </row>
    <row r="551" customFormat="false" ht="15" hidden="false" customHeight="true" outlineLevel="0" collapsed="false">
      <c r="A551" s="6" t="s">
        <v>4628</v>
      </c>
      <c r="B551" s="6" t="s">
        <v>41</v>
      </c>
      <c r="C551" s="6" t="n">
        <v>1</v>
      </c>
      <c r="D551" s="6" t="n">
        <v>6</v>
      </c>
      <c r="E551" s="6" t="n">
        <v>1</v>
      </c>
      <c r="F551" s="6" t="s">
        <v>4625</v>
      </c>
      <c r="G551" s="28" t="n">
        <f aca="false">IFERROR(INDEX('Semrush Data'!$A$1:$Z$20000,MATCH(A551,'Semrush Data'!$A$1:$A$20000,0),MATCH("Volume",'Semrush Data'!$A$1:$Z$1,0)),"")</f>
        <v>0</v>
      </c>
      <c r="H551" s="6" t="n">
        <f aca="false">IFERROR(INDEX('Semrush Data'!$A$1:$Z$20000,MATCH(A551,'Semrush Data'!$A$1:$A$20000,0),MATCH("Keyword Difficulty*",'Semrush Data'!$A$1:$Z$1,0)),"")</f>
        <v>16</v>
      </c>
      <c r="I551" s="29" t="n">
        <f aca="false">IFERROR(INDEX('Semrush Data'!$A$1:$Z$20000,MATCH(A551,'Semrush Data'!$A$1:$A$20000,0),MATCH("CPC*",'Semrush Data'!$A$1:$Z$1,0)),"")</f>
        <v>0</v>
      </c>
      <c r="J551" s="6" t="str">
        <f aca="false">IFERROR(INDEX('Semrush Data'!$A$1:$Z$20000,MATCH(A551,'Semrush Data'!$A$1:$A$20000,0),MATCH("Intent",'Semrush Data'!$A$1:$Z$1,0)),"")</f>
        <v>Informational</v>
      </c>
    </row>
    <row r="552" customFormat="false" ht="15" hidden="false" customHeight="true" outlineLevel="0" collapsed="false">
      <c r="A552" s="6" t="s">
        <v>4640</v>
      </c>
      <c r="B552" s="6" t="s">
        <v>41</v>
      </c>
      <c r="C552" s="6" t="n">
        <v>1</v>
      </c>
      <c r="D552" s="6" t="n">
        <v>6</v>
      </c>
      <c r="E552" s="6" t="n">
        <v>1</v>
      </c>
      <c r="F552" s="6" t="s">
        <v>4637</v>
      </c>
      <c r="G552" s="28" t="n">
        <f aca="false">IFERROR(INDEX('Semrush Data'!$A$1:$Z$20000,MATCH(A552,'Semrush Data'!$A$1:$A$20000,0),MATCH("Volume",'Semrush Data'!$A$1:$Z$1,0)),"")</f>
        <v>20</v>
      </c>
      <c r="H552" s="6" t="n">
        <f aca="false">IFERROR(INDEX('Semrush Data'!$A$1:$Z$20000,MATCH(A552,'Semrush Data'!$A$1:$A$20000,0),MATCH("Keyword Difficulty*",'Semrush Data'!$A$1:$Z$1,0)),"")</f>
        <v>13</v>
      </c>
      <c r="I552" s="29" t="n">
        <f aca="false">IFERROR(INDEX('Semrush Data'!$A$1:$Z$20000,MATCH(A552,'Semrush Data'!$A$1:$A$20000,0),MATCH("CPC*",'Semrush Data'!$A$1:$Z$1,0)),"")</f>
        <v>0.33</v>
      </c>
      <c r="J552" s="6" t="str">
        <f aca="false">IFERROR(INDEX('Semrush Data'!$A$1:$Z$20000,MATCH(A552,'Semrush Data'!$A$1:$A$20000,0),MATCH("Intent",'Semrush Data'!$A$1:$Z$1,0)),"")</f>
        <v>Informational</v>
      </c>
    </row>
    <row r="553" customFormat="false" ht="15" hidden="false" customHeight="true" outlineLevel="0" collapsed="false">
      <c r="A553" s="6" t="s">
        <v>4651</v>
      </c>
      <c r="B553" s="6" t="s">
        <v>41</v>
      </c>
      <c r="C553" s="6" t="n">
        <v>1</v>
      </c>
      <c r="D553" s="6" t="n">
        <v>6</v>
      </c>
      <c r="E553" s="6" t="n">
        <v>1</v>
      </c>
      <c r="F553" s="6" t="s">
        <v>115</v>
      </c>
      <c r="G553" s="28" t="n">
        <f aca="false">IFERROR(INDEX('Semrush Data'!$A$1:$Z$20000,MATCH(A553,'Semrush Data'!$A$1:$A$20000,0),MATCH("Volume",'Semrush Data'!$A$1:$Z$1,0)),"")</f>
        <v>590</v>
      </c>
      <c r="H553" s="6" t="n">
        <f aca="false">IFERROR(INDEX('Semrush Data'!$A$1:$Z$20000,MATCH(A553,'Semrush Data'!$A$1:$A$20000,0),MATCH("Keyword Difficulty*",'Semrush Data'!$A$1:$Z$1,0)),"")</f>
        <v>28</v>
      </c>
      <c r="I553" s="29" t="n">
        <f aca="false">IFERROR(INDEX('Semrush Data'!$A$1:$Z$20000,MATCH(A553,'Semrush Data'!$A$1:$A$20000,0),MATCH("CPC*",'Semrush Data'!$A$1:$Z$1,0)),"")</f>
        <v>0.51</v>
      </c>
      <c r="J553" s="6" t="str">
        <f aca="false">IFERROR(INDEX('Semrush Data'!$A$1:$Z$20000,MATCH(A553,'Semrush Data'!$A$1:$A$20000,0),MATCH("Intent",'Semrush Data'!$A$1:$Z$1,0)),"")</f>
        <v>Informational</v>
      </c>
    </row>
    <row r="554" customFormat="false" ht="15" hidden="false" customHeight="true" outlineLevel="0" collapsed="false">
      <c r="A554" s="6" t="s">
        <v>4663</v>
      </c>
      <c r="B554" s="6" t="s">
        <v>41</v>
      </c>
      <c r="C554" s="6" t="n">
        <v>1</v>
      </c>
      <c r="D554" s="6" t="n">
        <v>6</v>
      </c>
      <c r="E554" s="6" t="n">
        <v>1</v>
      </c>
      <c r="F554" s="6" t="s">
        <v>4661</v>
      </c>
      <c r="G554" s="28" t="n">
        <f aca="false">IFERROR(INDEX('Semrush Data'!$A$1:$Z$20000,MATCH(A554,'Semrush Data'!$A$1:$A$20000,0),MATCH("Volume",'Semrush Data'!$A$1:$Z$1,0)),"")</f>
        <v>20</v>
      </c>
      <c r="H554" s="6" t="n">
        <f aca="false">IFERROR(INDEX('Semrush Data'!$A$1:$Z$20000,MATCH(A554,'Semrush Data'!$A$1:$A$20000,0),MATCH("Keyword Difficulty*",'Semrush Data'!$A$1:$Z$1,0)),"")</f>
        <v>18</v>
      </c>
      <c r="I554" s="29" t="n">
        <f aca="false">IFERROR(INDEX('Semrush Data'!$A$1:$Z$20000,MATCH(A554,'Semrush Data'!$A$1:$A$20000,0),MATCH("CPC*",'Semrush Data'!$A$1:$Z$1,0)),"")</f>
        <v>0.63</v>
      </c>
      <c r="J554" s="6" t="str">
        <f aca="false">IFERROR(INDEX('Semrush Data'!$A$1:$Z$20000,MATCH(A554,'Semrush Data'!$A$1:$A$20000,0),MATCH("Intent",'Semrush Data'!$A$1:$Z$1,0)),"")</f>
        <v>Informational</v>
      </c>
    </row>
    <row r="555" customFormat="false" ht="15" hidden="false" customHeight="true" outlineLevel="0" collapsed="false">
      <c r="A555" s="6" t="s">
        <v>4748</v>
      </c>
      <c r="B555" s="6" t="s">
        <v>41</v>
      </c>
      <c r="C555" s="6" t="n">
        <v>1</v>
      </c>
      <c r="D555" s="6" t="n">
        <v>6</v>
      </c>
      <c r="E555" s="6" t="n">
        <v>1</v>
      </c>
      <c r="F555" s="6" t="s">
        <v>4746</v>
      </c>
      <c r="G555" s="28" t="n">
        <f aca="false">IFERROR(INDEX('Semrush Data'!$A$1:$Z$20000,MATCH(A555,'Semrush Data'!$A$1:$A$20000,0),MATCH("Volume",'Semrush Data'!$A$1:$Z$1,0)),"")</f>
        <v>260</v>
      </c>
      <c r="H555" s="6" t="n">
        <f aca="false">IFERROR(INDEX('Semrush Data'!$A$1:$Z$20000,MATCH(A555,'Semrush Data'!$A$1:$A$20000,0),MATCH("Keyword Difficulty*",'Semrush Data'!$A$1:$Z$1,0)),"")</f>
        <v>18</v>
      </c>
      <c r="I555" s="29" t="n">
        <f aca="false">IFERROR(INDEX('Semrush Data'!$A$1:$Z$20000,MATCH(A555,'Semrush Data'!$A$1:$A$20000,0),MATCH("CPC*",'Semrush Data'!$A$1:$Z$1,0)),"")</f>
        <v>0.5</v>
      </c>
      <c r="J555" s="6" t="str">
        <f aca="false">IFERROR(INDEX('Semrush Data'!$A$1:$Z$20000,MATCH(A555,'Semrush Data'!$A$1:$A$20000,0),MATCH("Intent",'Semrush Data'!$A$1:$Z$1,0)),"")</f>
        <v>Transactional</v>
      </c>
    </row>
    <row r="556" customFormat="false" ht="15" hidden="false" customHeight="true" outlineLevel="0" collapsed="false">
      <c r="A556" s="6" t="s">
        <v>4727</v>
      </c>
      <c r="B556" s="6" t="s">
        <v>41</v>
      </c>
      <c r="C556" s="6" t="n">
        <v>1</v>
      </c>
      <c r="D556" s="6" t="n">
        <v>6</v>
      </c>
      <c r="E556" s="6" t="n">
        <v>1</v>
      </c>
      <c r="F556" s="6" t="s">
        <v>4725</v>
      </c>
      <c r="G556" s="28" t="n">
        <f aca="false">IFERROR(INDEX('Semrush Data'!$A$1:$Z$20000,MATCH(A556,'Semrush Data'!$A$1:$A$20000,0),MATCH("Volume",'Semrush Data'!$A$1:$Z$1,0)),"")</f>
        <v>0</v>
      </c>
      <c r="H556" s="6" t="n">
        <f aca="false">IFERROR(INDEX('Semrush Data'!$A$1:$Z$20000,MATCH(A556,'Semrush Data'!$A$1:$A$20000,0),MATCH("Keyword Difficulty*",'Semrush Data'!$A$1:$Z$1,0)),"")</f>
        <v>11</v>
      </c>
      <c r="I556" s="29" t="n">
        <f aca="false">IFERROR(INDEX('Semrush Data'!$A$1:$Z$20000,MATCH(A556,'Semrush Data'!$A$1:$A$20000,0),MATCH("CPC*",'Semrush Data'!$A$1:$Z$1,0)),"")</f>
        <v>0</v>
      </c>
      <c r="J556" s="6" t="str">
        <f aca="false">IFERROR(INDEX('Semrush Data'!$A$1:$Z$20000,MATCH(A556,'Semrush Data'!$A$1:$A$20000,0),MATCH("Intent",'Semrush Data'!$A$1:$Z$1,0)),"")</f>
        <v>Informational</v>
      </c>
    </row>
    <row r="557" customFormat="false" ht="15" hidden="false" customHeight="true" outlineLevel="0" collapsed="false">
      <c r="A557" s="6" t="s">
        <v>4800</v>
      </c>
      <c r="B557" s="6" t="s">
        <v>41</v>
      </c>
      <c r="C557" s="6" t="n">
        <v>1</v>
      </c>
      <c r="D557" s="6" t="n">
        <v>6</v>
      </c>
      <c r="E557" s="6" t="n">
        <v>1</v>
      </c>
      <c r="F557" s="6" t="s">
        <v>4798</v>
      </c>
      <c r="G557" s="28" t="n">
        <f aca="false">IFERROR(INDEX('Semrush Data'!$A$1:$Z$20000,MATCH(A557,'Semrush Data'!$A$1:$A$20000,0),MATCH("Volume",'Semrush Data'!$A$1:$Z$1,0)),"")</f>
        <v>0</v>
      </c>
      <c r="H557" s="6" t="n">
        <f aca="false">IFERROR(INDEX('Semrush Data'!$A$1:$Z$20000,MATCH(A557,'Semrush Data'!$A$1:$A$20000,0),MATCH("Keyword Difficulty*",'Semrush Data'!$A$1:$Z$1,0)),"")</f>
        <v>17</v>
      </c>
      <c r="I557" s="29" t="n">
        <f aca="false">IFERROR(INDEX('Semrush Data'!$A$1:$Z$20000,MATCH(A557,'Semrush Data'!$A$1:$A$20000,0),MATCH("CPC*",'Semrush Data'!$A$1:$Z$1,0)),"")</f>
        <v>0</v>
      </c>
      <c r="J557" s="6" t="str">
        <f aca="false">IFERROR(INDEX('Semrush Data'!$A$1:$Z$20000,MATCH(A557,'Semrush Data'!$A$1:$A$20000,0),MATCH("Intent",'Semrush Data'!$A$1:$Z$1,0)),"")</f>
        <v>Informational</v>
      </c>
    </row>
    <row r="558" customFormat="false" ht="15" hidden="false" customHeight="true" outlineLevel="0" collapsed="false">
      <c r="A558" s="6" t="s">
        <v>4676</v>
      </c>
      <c r="B558" s="6" t="s">
        <v>41</v>
      </c>
      <c r="C558" s="6" t="n">
        <v>1</v>
      </c>
      <c r="D558" s="6" t="n">
        <v>6</v>
      </c>
      <c r="E558" s="6" t="n">
        <v>1</v>
      </c>
      <c r="F558" s="6" t="s">
        <v>4673</v>
      </c>
      <c r="G558" s="28" t="n">
        <f aca="false">IFERROR(INDEX('Semrush Data'!$A$1:$Z$20000,MATCH(A558,'Semrush Data'!$A$1:$A$20000,0),MATCH("Volume",'Semrush Data'!$A$1:$Z$1,0)),"")</f>
        <v>0</v>
      </c>
      <c r="H558" s="6" t="n">
        <f aca="false">IFERROR(INDEX('Semrush Data'!$A$1:$Z$20000,MATCH(A558,'Semrush Data'!$A$1:$A$20000,0),MATCH("Keyword Difficulty*",'Semrush Data'!$A$1:$Z$1,0)),"")</f>
        <v>17</v>
      </c>
      <c r="I558" s="29" t="n">
        <f aca="false">IFERROR(INDEX('Semrush Data'!$A$1:$Z$20000,MATCH(A558,'Semrush Data'!$A$1:$A$20000,0),MATCH("CPC*",'Semrush Data'!$A$1:$Z$1,0)),"")</f>
        <v>0</v>
      </c>
      <c r="J558" s="6" t="str">
        <f aca="false">IFERROR(INDEX('Semrush Data'!$A$1:$Z$20000,MATCH(A558,'Semrush Data'!$A$1:$A$20000,0),MATCH("Intent",'Semrush Data'!$A$1:$Z$1,0)),"")</f>
        <v>Commercial</v>
      </c>
    </row>
    <row r="559" customFormat="false" ht="15" hidden="false" customHeight="true" outlineLevel="0" collapsed="false">
      <c r="A559" s="6" t="s">
        <v>4685</v>
      </c>
      <c r="B559" s="6" t="s">
        <v>41</v>
      </c>
      <c r="C559" s="6" t="n">
        <v>1</v>
      </c>
      <c r="D559" s="6" t="n">
        <v>6</v>
      </c>
      <c r="E559" s="6" t="n">
        <v>1</v>
      </c>
      <c r="F559" s="6" t="s">
        <v>67</v>
      </c>
      <c r="G559" s="28" t="n">
        <f aca="false">IFERROR(INDEX('Semrush Data'!$A$1:$Z$20000,MATCH(A559,'Semrush Data'!$A$1:$A$20000,0),MATCH("Volume",'Semrush Data'!$A$1:$Z$1,0)),"")</f>
        <v>4400</v>
      </c>
      <c r="H559" s="6" t="n">
        <f aca="false">IFERROR(INDEX('Semrush Data'!$A$1:$Z$20000,MATCH(A559,'Semrush Data'!$A$1:$A$20000,0),MATCH("Keyword Difficulty*",'Semrush Data'!$A$1:$Z$1,0)),"")</f>
        <v>29</v>
      </c>
      <c r="I559" s="29" t="n">
        <f aca="false">IFERROR(INDEX('Semrush Data'!$A$1:$Z$20000,MATCH(A559,'Semrush Data'!$A$1:$A$20000,0),MATCH("CPC*",'Semrush Data'!$A$1:$Z$1,0)),"")</f>
        <v>0.43</v>
      </c>
      <c r="J559" s="6" t="str">
        <f aca="false">IFERROR(INDEX('Semrush Data'!$A$1:$Z$20000,MATCH(A559,'Semrush Data'!$A$1:$A$20000,0),MATCH("Intent",'Semrush Data'!$A$1:$Z$1,0)),"")</f>
        <v>Informational</v>
      </c>
    </row>
    <row r="560" customFormat="false" ht="15" hidden="false" customHeight="true" outlineLevel="0" collapsed="false">
      <c r="A560" s="6" t="s">
        <v>4759</v>
      </c>
      <c r="B560" s="6" t="s">
        <v>41</v>
      </c>
      <c r="C560" s="6" t="n">
        <v>1</v>
      </c>
      <c r="D560" s="6" t="n">
        <v>6</v>
      </c>
      <c r="E560" s="6" t="n">
        <v>1</v>
      </c>
      <c r="F560" s="6" t="s">
        <v>4756</v>
      </c>
      <c r="G560" s="28" t="n">
        <f aca="false">IFERROR(INDEX('Semrush Data'!$A$1:$Z$20000,MATCH(A560,'Semrush Data'!$A$1:$A$20000,0),MATCH("Volume",'Semrush Data'!$A$1:$Z$1,0)),"")</f>
        <v>0</v>
      </c>
      <c r="H560" s="6" t="n">
        <f aca="false">IFERROR(INDEX('Semrush Data'!$A$1:$Z$20000,MATCH(A560,'Semrush Data'!$A$1:$A$20000,0),MATCH("Keyword Difficulty*",'Semrush Data'!$A$1:$Z$1,0)),"")</f>
        <v>17</v>
      </c>
      <c r="I560" s="29" t="n">
        <f aca="false">IFERROR(INDEX('Semrush Data'!$A$1:$Z$20000,MATCH(A560,'Semrush Data'!$A$1:$A$20000,0),MATCH("CPC*",'Semrush Data'!$A$1:$Z$1,0)),"")</f>
        <v>0</v>
      </c>
      <c r="J560" s="6" t="str">
        <f aca="false">IFERROR(INDEX('Semrush Data'!$A$1:$Z$20000,MATCH(A560,'Semrush Data'!$A$1:$A$20000,0),MATCH("Intent",'Semrush Data'!$A$1:$Z$1,0)),"")</f>
        <v>Informational Transactional</v>
      </c>
    </row>
    <row r="561" customFormat="false" ht="15" hidden="false" customHeight="true" outlineLevel="0" collapsed="false">
      <c r="A561" s="6" t="s">
        <v>4696</v>
      </c>
      <c r="B561" s="6" t="s">
        <v>41</v>
      </c>
      <c r="C561" s="6" t="n">
        <v>1</v>
      </c>
      <c r="D561" s="6" t="n">
        <v>6</v>
      </c>
      <c r="E561" s="6" t="n">
        <v>1</v>
      </c>
      <c r="F561" s="6" t="s">
        <v>4694</v>
      </c>
      <c r="G561" s="28" t="n">
        <f aca="false">IFERROR(INDEX('Semrush Data'!$A$1:$Z$20000,MATCH(A561,'Semrush Data'!$A$1:$A$20000,0),MATCH("Volume",'Semrush Data'!$A$1:$Z$1,0)),"")</f>
        <v>0</v>
      </c>
      <c r="H561" s="6" t="n">
        <f aca="false">IFERROR(INDEX('Semrush Data'!$A$1:$Z$20000,MATCH(A561,'Semrush Data'!$A$1:$A$20000,0),MATCH("Keyword Difficulty*",'Semrush Data'!$A$1:$Z$1,0)),"")</f>
        <v>20</v>
      </c>
      <c r="I561" s="29" t="n">
        <f aca="false">IFERROR(INDEX('Semrush Data'!$A$1:$Z$20000,MATCH(A561,'Semrush Data'!$A$1:$A$20000,0),MATCH("CPC*",'Semrush Data'!$A$1:$Z$1,0)),"")</f>
        <v>0</v>
      </c>
      <c r="J561" s="6" t="str">
        <f aca="false">IFERROR(INDEX('Semrush Data'!$A$1:$Z$20000,MATCH(A561,'Semrush Data'!$A$1:$A$20000,0),MATCH("Intent",'Semrush Data'!$A$1:$Z$1,0)),"")</f>
        <v>Informational</v>
      </c>
    </row>
    <row r="562" customFormat="false" ht="15" hidden="false" customHeight="true" outlineLevel="0" collapsed="false">
      <c r="A562" s="6" t="s">
        <v>4770</v>
      </c>
      <c r="B562" s="6" t="s">
        <v>41</v>
      </c>
      <c r="C562" s="6" t="n">
        <v>1</v>
      </c>
      <c r="D562" s="6" t="n">
        <v>6</v>
      </c>
      <c r="E562" s="6" t="n">
        <v>1</v>
      </c>
      <c r="F562" s="6" t="s">
        <v>4768</v>
      </c>
      <c r="G562" s="28" t="n">
        <f aca="false">IFERROR(INDEX('Semrush Data'!$A$1:$Z$20000,MATCH(A562,'Semrush Data'!$A$1:$A$20000,0),MATCH("Volume",'Semrush Data'!$A$1:$Z$1,0)),"")</f>
        <v>30</v>
      </c>
      <c r="H562" s="6" t="n">
        <f aca="false">IFERROR(INDEX('Semrush Data'!$A$1:$Z$20000,MATCH(A562,'Semrush Data'!$A$1:$A$20000,0),MATCH("Keyword Difficulty*",'Semrush Data'!$A$1:$Z$1,0)),"")</f>
        <v>12</v>
      </c>
      <c r="I562" s="29" t="n">
        <f aca="false">IFERROR(INDEX('Semrush Data'!$A$1:$Z$20000,MATCH(A562,'Semrush Data'!$A$1:$A$20000,0),MATCH("CPC*",'Semrush Data'!$A$1:$Z$1,0)),"")</f>
        <v>0.78</v>
      </c>
      <c r="J562" s="6" t="str">
        <f aca="false">IFERROR(INDEX('Semrush Data'!$A$1:$Z$20000,MATCH(A562,'Semrush Data'!$A$1:$A$20000,0),MATCH("Intent",'Semrush Data'!$A$1:$Z$1,0)),"")</f>
        <v>Informational</v>
      </c>
    </row>
    <row r="563" customFormat="false" ht="15" hidden="false" customHeight="true" outlineLevel="0" collapsed="false">
      <c r="A563" s="6" t="s">
        <v>4706</v>
      </c>
      <c r="B563" s="6" t="s">
        <v>41</v>
      </c>
      <c r="C563" s="6" t="n">
        <v>1</v>
      </c>
      <c r="D563" s="6" t="n">
        <v>6</v>
      </c>
      <c r="E563" s="6" t="n">
        <v>1</v>
      </c>
      <c r="F563" s="6" t="s">
        <v>4704</v>
      </c>
      <c r="G563" s="28" t="n">
        <f aca="false">IFERROR(INDEX('Semrush Data'!$A$1:$Z$20000,MATCH(A563,'Semrush Data'!$A$1:$A$20000,0),MATCH("Volume",'Semrush Data'!$A$1:$Z$1,0)),"")</f>
        <v>0</v>
      </c>
      <c r="H563" s="6" t="n">
        <f aca="false">IFERROR(INDEX('Semrush Data'!$A$1:$Z$20000,MATCH(A563,'Semrush Data'!$A$1:$A$20000,0),MATCH("Keyword Difficulty*",'Semrush Data'!$A$1:$Z$1,0)),"")</f>
        <v>20</v>
      </c>
      <c r="I563" s="29" t="n">
        <f aca="false">IFERROR(INDEX('Semrush Data'!$A$1:$Z$20000,MATCH(A563,'Semrush Data'!$A$1:$A$20000,0),MATCH("CPC*",'Semrush Data'!$A$1:$Z$1,0)),"")</f>
        <v>0</v>
      </c>
      <c r="J563" s="6" t="str">
        <f aca="false">IFERROR(INDEX('Semrush Data'!$A$1:$Z$20000,MATCH(A563,'Semrush Data'!$A$1:$A$20000,0),MATCH("Intent",'Semrush Data'!$A$1:$Z$1,0)),"")</f>
        <v>Navigational</v>
      </c>
    </row>
    <row r="564" customFormat="false" ht="15" hidden="false" customHeight="true" outlineLevel="0" collapsed="false">
      <c r="A564" s="6" t="s">
        <v>4736</v>
      </c>
      <c r="B564" s="6" t="s">
        <v>41</v>
      </c>
      <c r="C564" s="6" t="n">
        <v>1</v>
      </c>
      <c r="D564" s="6" t="n">
        <v>6</v>
      </c>
      <c r="E564" s="6" t="n">
        <v>1</v>
      </c>
      <c r="F564" s="6" t="s">
        <v>81</v>
      </c>
      <c r="G564" s="28" t="n">
        <f aca="false">IFERROR(INDEX('Semrush Data'!$A$1:$Z$20000,MATCH(A564,'Semrush Data'!$A$1:$A$20000,0),MATCH("Volume",'Semrush Data'!$A$1:$Z$1,0)),"")</f>
        <v>1600</v>
      </c>
      <c r="H564" s="6" t="n">
        <f aca="false">IFERROR(INDEX('Semrush Data'!$A$1:$Z$20000,MATCH(A564,'Semrush Data'!$A$1:$A$20000,0),MATCH("Keyword Difficulty*",'Semrush Data'!$A$1:$Z$1,0)),"")</f>
        <v>23</v>
      </c>
      <c r="I564" s="29" t="n">
        <f aca="false">IFERROR(INDEX('Semrush Data'!$A$1:$Z$20000,MATCH(A564,'Semrush Data'!$A$1:$A$20000,0),MATCH("CPC*",'Semrush Data'!$A$1:$Z$1,0)),"")</f>
        <v>0.42</v>
      </c>
      <c r="J564" s="6" t="str">
        <f aca="false">IFERROR(INDEX('Semrush Data'!$A$1:$Z$20000,MATCH(A564,'Semrush Data'!$A$1:$A$20000,0),MATCH("Intent",'Semrush Data'!$A$1:$Z$1,0)),"")</f>
        <v>Informational</v>
      </c>
    </row>
    <row r="565" customFormat="false" ht="15" hidden="false" customHeight="true" outlineLevel="0" collapsed="false">
      <c r="A565" s="6" t="s">
        <v>4716</v>
      </c>
      <c r="B565" s="6" t="s">
        <v>41</v>
      </c>
      <c r="C565" s="6" t="n">
        <v>1</v>
      </c>
      <c r="D565" s="6" t="n">
        <v>6</v>
      </c>
      <c r="E565" s="6" t="n">
        <v>1</v>
      </c>
      <c r="F565" s="6" t="s">
        <v>59</v>
      </c>
      <c r="G565" s="28" t="n">
        <f aca="false">IFERROR(INDEX('Semrush Data'!$A$1:$Z$20000,MATCH(A565,'Semrush Data'!$A$1:$A$20000,0),MATCH("Volume",'Semrush Data'!$A$1:$Z$1,0)),"")</f>
        <v>6600</v>
      </c>
      <c r="H565" s="6" t="n">
        <f aca="false">IFERROR(INDEX('Semrush Data'!$A$1:$Z$20000,MATCH(A565,'Semrush Data'!$A$1:$A$20000,0),MATCH("Keyword Difficulty*",'Semrush Data'!$A$1:$Z$1,0)),"")</f>
        <v>21</v>
      </c>
      <c r="I565" s="29" t="n">
        <f aca="false">IFERROR(INDEX('Semrush Data'!$A$1:$Z$20000,MATCH(A565,'Semrush Data'!$A$1:$A$20000,0),MATCH("CPC*",'Semrush Data'!$A$1:$Z$1,0)),"")</f>
        <v>0.44</v>
      </c>
      <c r="J565" s="6" t="str">
        <f aca="false">IFERROR(INDEX('Semrush Data'!$A$1:$Z$20000,MATCH(A565,'Semrush Data'!$A$1:$A$20000,0),MATCH("Intent",'Semrush Data'!$A$1:$Z$1,0)),"")</f>
        <v>Navigational</v>
      </c>
    </row>
    <row r="566" customFormat="false" ht="15" hidden="false" customHeight="true" outlineLevel="0" collapsed="false">
      <c r="A566" s="6" t="s">
        <v>4780</v>
      </c>
      <c r="B566" s="6" t="s">
        <v>41</v>
      </c>
      <c r="C566" s="6" t="n">
        <v>1</v>
      </c>
      <c r="D566" s="6" t="n">
        <v>6</v>
      </c>
      <c r="E566" s="6" t="n">
        <v>1</v>
      </c>
      <c r="F566" s="6" t="s">
        <v>4778</v>
      </c>
      <c r="G566" s="28" t="n">
        <f aca="false">IFERROR(INDEX('Semrush Data'!$A$1:$Z$20000,MATCH(A566,'Semrush Data'!$A$1:$A$20000,0),MATCH("Volume",'Semrush Data'!$A$1:$Z$1,0)),"")</f>
        <v>30</v>
      </c>
      <c r="H566" s="6" t="n">
        <f aca="false">IFERROR(INDEX('Semrush Data'!$A$1:$Z$20000,MATCH(A566,'Semrush Data'!$A$1:$A$20000,0),MATCH("Keyword Difficulty*",'Semrush Data'!$A$1:$Z$1,0)),"")</f>
        <v>17</v>
      </c>
      <c r="I566" s="29" t="n">
        <f aca="false">IFERROR(INDEX('Semrush Data'!$A$1:$Z$20000,MATCH(A566,'Semrush Data'!$A$1:$A$20000,0),MATCH("CPC*",'Semrush Data'!$A$1:$Z$1,0)),"")</f>
        <v>0</v>
      </c>
      <c r="J566" s="6" t="str">
        <f aca="false">IFERROR(INDEX('Semrush Data'!$A$1:$Z$20000,MATCH(A566,'Semrush Data'!$A$1:$A$20000,0),MATCH("Intent",'Semrush Data'!$A$1:$Z$1,0)),"")</f>
        <v>Navigational</v>
      </c>
    </row>
    <row r="567" customFormat="false" ht="15" hidden="false" customHeight="true" outlineLevel="0" collapsed="false">
      <c r="A567" s="6" t="s">
        <v>4790</v>
      </c>
      <c r="B567" s="6" t="s">
        <v>41</v>
      </c>
      <c r="C567" s="6" t="n">
        <v>1</v>
      </c>
      <c r="D567" s="6" t="n">
        <v>6</v>
      </c>
      <c r="E567" s="6" t="n">
        <v>1</v>
      </c>
      <c r="F567" s="6" t="s">
        <v>4788</v>
      </c>
      <c r="G567" s="28" t="n">
        <f aca="false">IFERROR(INDEX('Semrush Data'!$A$1:$Z$20000,MATCH(A567,'Semrush Data'!$A$1:$A$20000,0),MATCH("Volume",'Semrush Data'!$A$1:$Z$1,0)),"")</f>
        <v>170</v>
      </c>
      <c r="H567" s="6" t="n">
        <f aca="false">IFERROR(INDEX('Semrush Data'!$A$1:$Z$20000,MATCH(A567,'Semrush Data'!$A$1:$A$20000,0),MATCH("Keyword Difficulty*",'Semrush Data'!$A$1:$Z$1,0)),"")</f>
        <v>24</v>
      </c>
      <c r="I567" s="29" t="n">
        <f aca="false">IFERROR(INDEX('Semrush Data'!$A$1:$Z$20000,MATCH(A567,'Semrush Data'!$A$1:$A$20000,0),MATCH("CPC*",'Semrush Data'!$A$1:$Z$1,0)),"")</f>
        <v>0.53</v>
      </c>
      <c r="J567" s="6" t="str">
        <f aca="false">IFERROR(INDEX('Semrush Data'!$A$1:$Z$20000,MATCH(A567,'Semrush Data'!$A$1:$A$20000,0),MATCH("Intent",'Semrush Data'!$A$1:$Z$1,0)),"")</f>
        <v>Informational Transactional</v>
      </c>
    </row>
    <row r="568" customFormat="false" ht="15" hidden="false" customHeight="true" outlineLevel="0" collapsed="false">
      <c r="A568" s="6" t="s">
        <v>4864</v>
      </c>
      <c r="B568" s="6" t="s">
        <v>41</v>
      </c>
      <c r="C568" s="6" t="n">
        <v>1</v>
      </c>
      <c r="D568" s="6" t="n">
        <v>6</v>
      </c>
      <c r="E568" s="6" t="n">
        <v>1</v>
      </c>
      <c r="F568" s="6" t="s">
        <v>4862</v>
      </c>
      <c r="G568" s="28" t="n">
        <f aca="false">IFERROR(INDEX('Semrush Data'!$A$1:$Z$20000,MATCH(A568,'Semrush Data'!$A$1:$A$20000,0),MATCH("Volume",'Semrush Data'!$A$1:$Z$1,0)),"")</f>
        <v>90</v>
      </c>
      <c r="H568" s="6" t="n">
        <f aca="false">IFERROR(INDEX('Semrush Data'!$A$1:$Z$20000,MATCH(A568,'Semrush Data'!$A$1:$A$20000,0),MATCH("Keyword Difficulty*",'Semrush Data'!$A$1:$Z$1,0)),"")</f>
        <v>20</v>
      </c>
      <c r="I568" s="29" t="n">
        <f aca="false">IFERROR(INDEX('Semrush Data'!$A$1:$Z$20000,MATCH(A568,'Semrush Data'!$A$1:$A$20000,0),MATCH("CPC*",'Semrush Data'!$A$1:$Z$1,0)),"")</f>
        <v>0.78</v>
      </c>
      <c r="J568" s="6" t="str">
        <f aca="false">IFERROR(INDEX('Semrush Data'!$A$1:$Z$20000,MATCH(A568,'Semrush Data'!$A$1:$A$20000,0),MATCH("Intent",'Semrush Data'!$A$1:$Z$1,0)),"")</f>
        <v>Informational Transactional</v>
      </c>
    </row>
    <row r="569" customFormat="false" ht="15" hidden="false" customHeight="true" outlineLevel="0" collapsed="false">
      <c r="A569" s="6" t="s">
        <v>4810</v>
      </c>
      <c r="B569" s="6" t="s">
        <v>41</v>
      </c>
      <c r="C569" s="6" t="n">
        <v>1</v>
      </c>
      <c r="D569" s="6" t="n">
        <v>6</v>
      </c>
      <c r="E569" s="6" t="n">
        <v>1</v>
      </c>
      <c r="F569" s="6" t="s">
        <v>125</v>
      </c>
      <c r="G569" s="28" t="n">
        <f aca="false">IFERROR(INDEX('Semrush Data'!$A$1:$Z$20000,MATCH(A569,'Semrush Data'!$A$1:$A$20000,0),MATCH("Volume",'Semrush Data'!$A$1:$Z$1,0)),"")</f>
        <v>480</v>
      </c>
      <c r="H569" s="6" t="n">
        <f aca="false">IFERROR(INDEX('Semrush Data'!$A$1:$Z$20000,MATCH(A569,'Semrush Data'!$A$1:$A$20000,0),MATCH("Keyword Difficulty*",'Semrush Data'!$A$1:$Z$1,0)),"")</f>
        <v>23</v>
      </c>
      <c r="I569" s="29" t="n">
        <f aca="false">IFERROR(INDEX('Semrush Data'!$A$1:$Z$20000,MATCH(A569,'Semrush Data'!$A$1:$A$20000,0),MATCH("CPC*",'Semrush Data'!$A$1:$Z$1,0)),"")</f>
        <v>0.9</v>
      </c>
      <c r="J569" s="6" t="str">
        <f aca="false">IFERROR(INDEX('Semrush Data'!$A$1:$Z$20000,MATCH(A569,'Semrush Data'!$A$1:$A$20000,0),MATCH("Intent",'Semrush Data'!$A$1:$Z$1,0)),"")</f>
        <v>Informational Transactional</v>
      </c>
    </row>
    <row r="570" customFormat="false" ht="15" hidden="false" customHeight="true" outlineLevel="0" collapsed="false">
      <c r="A570" s="6" t="s">
        <v>4822</v>
      </c>
      <c r="B570" s="6" t="s">
        <v>41</v>
      </c>
      <c r="C570" s="6" t="n">
        <v>1</v>
      </c>
      <c r="D570" s="6" t="n">
        <v>6</v>
      </c>
      <c r="E570" s="6" t="n">
        <v>1</v>
      </c>
      <c r="F570" s="6" t="s">
        <v>4820</v>
      </c>
      <c r="G570" s="28" t="n">
        <f aca="false">IFERROR(INDEX('Semrush Data'!$A$1:$Z$20000,MATCH(A570,'Semrush Data'!$A$1:$A$20000,0),MATCH("Volume",'Semrush Data'!$A$1:$Z$1,0)),"")</f>
        <v>10</v>
      </c>
      <c r="H570" s="6" t="n">
        <f aca="false">IFERROR(INDEX('Semrush Data'!$A$1:$Z$20000,MATCH(A570,'Semrush Data'!$A$1:$A$20000,0),MATCH("Keyword Difficulty*",'Semrush Data'!$A$1:$Z$1,0)),"")</f>
        <v>13</v>
      </c>
      <c r="I570" s="29" t="n">
        <f aca="false">IFERROR(INDEX('Semrush Data'!$A$1:$Z$20000,MATCH(A570,'Semrush Data'!$A$1:$A$20000,0),MATCH("CPC*",'Semrush Data'!$A$1:$Z$1,0)),"")</f>
        <v>0.84</v>
      </c>
      <c r="J570" s="6" t="str">
        <f aca="false">IFERROR(INDEX('Semrush Data'!$A$1:$Z$20000,MATCH(A570,'Semrush Data'!$A$1:$A$20000,0),MATCH("Intent",'Semrush Data'!$A$1:$Z$1,0)),"")</f>
        <v>Informational Transactional</v>
      </c>
    </row>
    <row r="571" customFormat="false" ht="15" hidden="false" customHeight="true" outlineLevel="0" collapsed="false">
      <c r="A571" s="6" t="s">
        <v>4875</v>
      </c>
      <c r="B571" s="6" t="s">
        <v>41</v>
      </c>
      <c r="C571" s="6" t="n">
        <v>1</v>
      </c>
      <c r="D571" s="6" t="n">
        <v>6</v>
      </c>
      <c r="E571" s="6" t="n">
        <v>1</v>
      </c>
      <c r="F571" s="6" t="s">
        <v>4873</v>
      </c>
      <c r="G571" s="28" t="n">
        <f aca="false">IFERROR(INDEX('Semrush Data'!$A$1:$Z$20000,MATCH(A571,'Semrush Data'!$A$1:$A$20000,0),MATCH("Volume",'Semrush Data'!$A$1:$Z$1,0)),"")</f>
        <v>0</v>
      </c>
      <c r="H571" s="6" t="n">
        <f aca="false">IFERROR(INDEX('Semrush Data'!$A$1:$Z$20000,MATCH(A571,'Semrush Data'!$A$1:$A$20000,0),MATCH("Keyword Difficulty*",'Semrush Data'!$A$1:$Z$1,0)),"")</f>
        <v>14</v>
      </c>
      <c r="I571" s="29" t="n">
        <f aca="false">IFERROR(INDEX('Semrush Data'!$A$1:$Z$20000,MATCH(A571,'Semrush Data'!$A$1:$A$20000,0),MATCH("CPC*",'Semrush Data'!$A$1:$Z$1,0)),"")</f>
        <v>0</v>
      </c>
      <c r="J571" s="6" t="str">
        <f aca="false">IFERROR(INDEX('Semrush Data'!$A$1:$Z$20000,MATCH(A571,'Semrush Data'!$A$1:$A$20000,0),MATCH("Intent",'Semrush Data'!$A$1:$Z$1,0)),"")</f>
        <v>Informational Transactional</v>
      </c>
    </row>
    <row r="572" customFormat="false" ht="15" hidden="false" customHeight="true" outlineLevel="0" collapsed="false">
      <c r="A572" s="6" t="s">
        <v>4886</v>
      </c>
      <c r="B572" s="6" t="s">
        <v>41</v>
      </c>
      <c r="C572" s="6" t="n">
        <v>1</v>
      </c>
      <c r="D572" s="6" t="n">
        <v>6</v>
      </c>
      <c r="E572" s="6" t="n">
        <v>1</v>
      </c>
      <c r="F572" s="6" t="s">
        <v>4884</v>
      </c>
      <c r="G572" s="28" t="n">
        <f aca="false">IFERROR(INDEX('Semrush Data'!$A$1:$Z$20000,MATCH(A572,'Semrush Data'!$A$1:$A$20000,0),MATCH("Volume",'Semrush Data'!$A$1:$Z$1,0)),"")</f>
        <v>0</v>
      </c>
      <c r="H572" s="6" t="n">
        <f aca="false">IFERROR(INDEX('Semrush Data'!$A$1:$Z$20000,MATCH(A572,'Semrush Data'!$A$1:$A$20000,0),MATCH("Keyword Difficulty*",'Semrush Data'!$A$1:$Z$1,0)),"")</f>
        <v>19</v>
      </c>
      <c r="I572" s="29" t="n">
        <f aca="false">IFERROR(INDEX('Semrush Data'!$A$1:$Z$20000,MATCH(A572,'Semrush Data'!$A$1:$A$20000,0),MATCH("CPC*",'Semrush Data'!$A$1:$Z$1,0)),"")</f>
        <v>0</v>
      </c>
      <c r="J572" s="6" t="str">
        <f aca="false">IFERROR(INDEX('Semrush Data'!$A$1:$Z$20000,MATCH(A572,'Semrush Data'!$A$1:$A$20000,0),MATCH("Intent",'Semrush Data'!$A$1:$Z$1,0)),"")</f>
        <v>Informational Transactional</v>
      </c>
    </row>
    <row r="573" customFormat="false" ht="15" hidden="false" customHeight="true" outlineLevel="0" collapsed="false">
      <c r="A573" s="6" t="s">
        <v>4834</v>
      </c>
      <c r="B573" s="6" t="s">
        <v>41</v>
      </c>
      <c r="C573" s="6" t="n">
        <v>1</v>
      </c>
      <c r="D573" s="6" t="n">
        <v>6</v>
      </c>
      <c r="E573" s="6" t="n">
        <v>1</v>
      </c>
      <c r="F573" s="6" t="s">
        <v>4832</v>
      </c>
      <c r="G573" s="28" t="n">
        <f aca="false">IFERROR(INDEX('Semrush Data'!$A$1:$Z$20000,MATCH(A573,'Semrush Data'!$A$1:$A$20000,0),MATCH("Volume",'Semrush Data'!$A$1:$Z$1,0)),"")</f>
        <v>30</v>
      </c>
      <c r="H573" s="6" t="n">
        <f aca="false">IFERROR(INDEX('Semrush Data'!$A$1:$Z$20000,MATCH(A573,'Semrush Data'!$A$1:$A$20000,0),MATCH("Keyword Difficulty*",'Semrush Data'!$A$1:$Z$1,0)),"")</f>
        <v>16</v>
      </c>
      <c r="I573" s="29" t="n">
        <f aca="false">IFERROR(INDEX('Semrush Data'!$A$1:$Z$20000,MATCH(A573,'Semrush Data'!$A$1:$A$20000,0),MATCH("CPC*",'Semrush Data'!$A$1:$Z$1,0)),"")</f>
        <v>0.58</v>
      </c>
      <c r="J573" s="6" t="str">
        <f aca="false">IFERROR(INDEX('Semrush Data'!$A$1:$Z$20000,MATCH(A573,'Semrush Data'!$A$1:$A$20000,0),MATCH("Intent",'Semrush Data'!$A$1:$Z$1,0)),"")</f>
        <v>Informational Transactional</v>
      </c>
    </row>
    <row r="574" customFormat="false" ht="15" hidden="false" customHeight="true" outlineLevel="0" collapsed="false">
      <c r="A574" s="6" t="s">
        <v>4844</v>
      </c>
      <c r="B574" s="6" t="s">
        <v>41</v>
      </c>
      <c r="C574" s="6" t="n">
        <v>1</v>
      </c>
      <c r="D574" s="6" t="n">
        <v>6</v>
      </c>
      <c r="E574" s="6" t="n">
        <v>1</v>
      </c>
      <c r="F574" s="6" t="s">
        <v>113</v>
      </c>
      <c r="G574" s="28" t="n">
        <f aca="false">IFERROR(INDEX('Semrush Data'!$A$1:$Z$20000,MATCH(A574,'Semrush Data'!$A$1:$A$20000,0),MATCH("Volume",'Semrush Data'!$A$1:$Z$1,0)),"")</f>
        <v>590</v>
      </c>
      <c r="H574" s="6" t="n">
        <f aca="false">IFERROR(INDEX('Semrush Data'!$A$1:$Z$20000,MATCH(A574,'Semrush Data'!$A$1:$A$20000,0),MATCH("Keyword Difficulty*",'Semrush Data'!$A$1:$Z$1,0)),"")</f>
        <v>19</v>
      </c>
      <c r="I574" s="29" t="n">
        <f aca="false">IFERROR(INDEX('Semrush Data'!$A$1:$Z$20000,MATCH(A574,'Semrush Data'!$A$1:$A$20000,0),MATCH("CPC*",'Semrush Data'!$A$1:$Z$1,0)),"")</f>
        <v>0.68</v>
      </c>
      <c r="J574" s="6" t="str">
        <f aca="false">IFERROR(INDEX('Semrush Data'!$A$1:$Z$20000,MATCH(A574,'Semrush Data'!$A$1:$A$20000,0),MATCH("Intent",'Semrush Data'!$A$1:$Z$1,0)),"")</f>
        <v>Informational Transactional</v>
      </c>
    </row>
    <row r="575" customFormat="false" ht="15" hidden="false" customHeight="true" outlineLevel="0" collapsed="false">
      <c r="A575" s="6" t="s">
        <v>4853</v>
      </c>
      <c r="B575" s="6" t="s">
        <v>41</v>
      </c>
      <c r="C575" s="6" t="n">
        <v>1</v>
      </c>
      <c r="D575" s="6" t="n">
        <v>6</v>
      </c>
      <c r="E575" s="6" t="n">
        <v>1</v>
      </c>
      <c r="F575" s="6" t="s">
        <v>127</v>
      </c>
      <c r="G575" s="28" t="n">
        <f aca="false">IFERROR(INDEX('Semrush Data'!$A$1:$Z$20000,MATCH(A575,'Semrush Data'!$A$1:$A$20000,0),MATCH("Volume",'Semrush Data'!$A$1:$Z$1,0)),"")</f>
        <v>480</v>
      </c>
      <c r="H575" s="6" t="n">
        <f aca="false">IFERROR(INDEX('Semrush Data'!$A$1:$Z$20000,MATCH(A575,'Semrush Data'!$A$1:$A$20000,0),MATCH("Keyword Difficulty*",'Semrush Data'!$A$1:$Z$1,0)),"")</f>
        <v>28</v>
      </c>
      <c r="I575" s="29" t="n">
        <f aca="false">IFERROR(INDEX('Semrush Data'!$A$1:$Z$20000,MATCH(A575,'Semrush Data'!$A$1:$A$20000,0),MATCH("CPC*",'Semrush Data'!$A$1:$Z$1,0)),"")</f>
        <v>0.68</v>
      </c>
      <c r="J575" s="6" t="str">
        <f aca="false">IFERROR(INDEX('Semrush Data'!$A$1:$Z$20000,MATCH(A575,'Semrush Data'!$A$1:$A$20000,0),MATCH("Intent",'Semrush Data'!$A$1:$Z$1,0)),"")</f>
        <v>Informational Transactional</v>
      </c>
    </row>
    <row r="576" customFormat="false" ht="15" hidden="false" customHeight="true" outlineLevel="0" collapsed="false">
      <c r="A576" s="6" t="s">
        <v>4941</v>
      </c>
      <c r="B576" s="6" t="s">
        <v>41</v>
      </c>
      <c r="C576" s="6" t="n">
        <v>1</v>
      </c>
      <c r="D576" s="6" t="n">
        <v>6</v>
      </c>
      <c r="E576" s="6" t="n">
        <v>2</v>
      </c>
      <c r="F576" s="6" t="s">
        <v>6853</v>
      </c>
      <c r="G576" s="28" t="n">
        <f aca="false">IFERROR(INDEX('Semrush Data'!$A$1:$Z$20000,MATCH(A576,'Semrush Data'!$A$1:$A$20000,0),MATCH("Volume",'Semrush Data'!$A$1:$Z$1,0)),"")</f>
        <v>0</v>
      </c>
      <c r="H576" s="6" t="n">
        <f aca="false">IFERROR(INDEX('Semrush Data'!$A$1:$Z$20000,MATCH(A576,'Semrush Data'!$A$1:$A$20000,0),MATCH("Keyword Difficulty*",'Semrush Data'!$A$1:$Z$1,0)),"")</f>
        <v>25</v>
      </c>
      <c r="I576" s="29" t="n">
        <f aca="false">IFERROR(INDEX('Semrush Data'!$A$1:$Z$20000,MATCH(A576,'Semrush Data'!$A$1:$A$20000,0),MATCH("CPC*",'Semrush Data'!$A$1:$Z$1,0)),"")</f>
        <v>0</v>
      </c>
      <c r="J576" s="6" t="str">
        <f aca="false">IFERROR(INDEX('Semrush Data'!$A$1:$Z$20000,MATCH(A576,'Semrush Data'!$A$1:$A$20000,0),MATCH("Intent",'Semrush Data'!$A$1:$Z$1,0)),"")</f>
        <v>Commercial</v>
      </c>
    </row>
    <row r="577" customFormat="false" ht="15" hidden="false" customHeight="true" outlineLevel="0" collapsed="false">
      <c r="A577" s="6" t="s">
        <v>4897</v>
      </c>
      <c r="B577" s="6" t="s">
        <v>41</v>
      </c>
      <c r="C577" s="6" t="n">
        <v>1</v>
      </c>
      <c r="D577" s="6" t="n">
        <v>6</v>
      </c>
      <c r="E577" s="6" t="n">
        <v>2</v>
      </c>
      <c r="F577" s="6" t="s">
        <v>6854</v>
      </c>
      <c r="G577" s="28" t="n">
        <f aca="false">IFERROR(INDEX('Semrush Data'!$A$1:$Z$20000,MATCH(A577,'Semrush Data'!$A$1:$A$20000,0),MATCH("Volume",'Semrush Data'!$A$1:$Z$1,0)),"")</f>
        <v>0</v>
      </c>
      <c r="H577" s="6" t="n">
        <f aca="false">IFERROR(INDEX('Semrush Data'!$A$1:$Z$20000,MATCH(A577,'Semrush Data'!$A$1:$A$20000,0),MATCH("Keyword Difficulty*",'Semrush Data'!$A$1:$Z$1,0)),"")</f>
        <v>21</v>
      </c>
      <c r="I577" s="29" t="n">
        <f aca="false">IFERROR(INDEX('Semrush Data'!$A$1:$Z$20000,MATCH(A577,'Semrush Data'!$A$1:$A$20000,0),MATCH("CPC*",'Semrush Data'!$A$1:$Z$1,0)),"")</f>
        <v>0</v>
      </c>
      <c r="J577" s="6" t="str">
        <f aca="false">IFERROR(INDEX('Semrush Data'!$A$1:$Z$20000,MATCH(A577,'Semrush Data'!$A$1:$A$20000,0),MATCH("Intent",'Semrush Data'!$A$1:$Z$1,0)),"")</f>
        <v>Transactional Navigational</v>
      </c>
    </row>
    <row r="578" customFormat="false" ht="15" hidden="false" customHeight="true" outlineLevel="0" collapsed="false">
      <c r="A578" s="6" t="s">
        <v>4915</v>
      </c>
      <c r="B578" s="6" t="s">
        <v>41</v>
      </c>
      <c r="C578" s="6" t="n">
        <v>1</v>
      </c>
      <c r="D578" s="6" t="n">
        <v>6</v>
      </c>
      <c r="E578" s="6" t="n">
        <v>1</v>
      </c>
      <c r="F578" s="6" t="s">
        <v>4913</v>
      </c>
      <c r="G578" s="28" t="n">
        <f aca="false">IFERROR(INDEX('Semrush Data'!$A$1:$Z$20000,MATCH(A578,'Semrush Data'!$A$1:$A$20000,0),MATCH("Volume",'Semrush Data'!$A$1:$Z$1,0)),"")</f>
        <v>0</v>
      </c>
      <c r="H578" s="6" t="n">
        <f aca="false">IFERROR(INDEX('Semrush Data'!$A$1:$Z$20000,MATCH(A578,'Semrush Data'!$A$1:$A$20000,0),MATCH("Keyword Difficulty*",'Semrush Data'!$A$1:$Z$1,0)),"")</f>
        <v>23</v>
      </c>
      <c r="I578" s="29" t="n">
        <f aca="false">IFERROR(INDEX('Semrush Data'!$A$1:$Z$20000,MATCH(A578,'Semrush Data'!$A$1:$A$20000,0),MATCH("CPC*",'Semrush Data'!$A$1:$Z$1,0)),"")</f>
        <v>0</v>
      </c>
      <c r="J578" s="6" t="str">
        <f aca="false">IFERROR(INDEX('Semrush Data'!$A$1:$Z$20000,MATCH(A578,'Semrush Data'!$A$1:$A$20000,0),MATCH("Intent",'Semrush Data'!$A$1:$Z$1,0)),"")</f>
        <v>Informational</v>
      </c>
    </row>
    <row r="579" customFormat="false" ht="15" hidden="false" customHeight="true" outlineLevel="0" collapsed="false">
      <c r="A579" s="6" t="s">
        <v>4926</v>
      </c>
      <c r="B579" s="6" t="s">
        <v>41</v>
      </c>
      <c r="C579" s="6" t="n">
        <v>1</v>
      </c>
      <c r="D579" s="6" t="n">
        <v>6</v>
      </c>
      <c r="E579" s="6" t="n">
        <v>2</v>
      </c>
      <c r="F579" s="6" t="s">
        <v>6855</v>
      </c>
      <c r="G579" s="28" t="n">
        <f aca="false">IFERROR(INDEX('Semrush Data'!$A$1:$Z$20000,MATCH(A579,'Semrush Data'!$A$1:$A$20000,0),MATCH("Volume",'Semrush Data'!$A$1:$Z$1,0)),"")</f>
        <v>10</v>
      </c>
      <c r="H579" s="6" t="n">
        <f aca="false">IFERROR(INDEX('Semrush Data'!$A$1:$Z$20000,MATCH(A579,'Semrush Data'!$A$1:$A$20000,0),MATCH("Keyword Difficulty*",'Semrush Data'!$A$1:$Z$1,0)),"")</f>
        <v>8</v>
      </c>
      <c r="I579" s="29" t="n">
        <f aca="false">IFERROR(INDEX('Semrush Data'!$A$1:$Z$20000,MATCH(A579,'Semrush Data'!$A$1:$A$20000,0),MATCH("CPC*",'Semrush Data'!$A$1:$Z$1,0)),"")</f>
        <v>0</v>
      </c>
      <c r="J579" s="6" t="str">
        <f aca="false">IFERROR(INDEX('Semrush Data'!$A$1:$Z$20000,MATCH(A579,'Semrush Data'!$A$1:$A$20000,0),MATCH("Intent",'Semrush Data'!$A$1:$Z$1,0)),"")</f>
        <v>Navigational</v>
      </c>
    </row>
    <row r="580" customFormat="false" ht="15" hidden="false" customHeight="true" outlineLevel="0" collapsed="false">
      <c r="A580" s="6" t="s">
        <v>4956</v>
      </c>
      <c r="B580" s="6" t="s">
        <v>41</v>
      </c>
      <c r="C580" s="6" t="n">
        <v>1</v>
      </c>
      <c r="D580" s="6" t="n">
        <v>6</v>
      </c>
      <c r="E580" s="6" t="n">
        <v>1</v>
      </c>
      <c r="F580" s="6" t="s">
        <v>4954</v>
      </c>
      <c r="G580" s="28" t="n">
        <f aca="false">IFERROR(INDEX('Semrush Data'!$A$1:$Z$20000,MATCH(A580,'Semrush Data'!$A$1:$A$20000,0),MATCH("Volume",'Semrush Data'!$A$1:$Z$1,0)),"")</f>
        <v>0</v>
      </c>
      <c r="H580" s="6" t="n">
        <f aca="false">IFERROR(INDEX('Semrush Data'!$A$1:$Z$20000,MATCH(A580,'Semrush Data'!$A$1:$A$20000,0),MATCH("Keyword Difficulty*",'Semrush Data'!$A$1:$Z$1,0)),"")</f>
        <v>10</v>
      </c>
      <c r="I580" s="29" t="n">
        <f aca="false">IFERROR(INDEX('Semrush Data'!$A$1:$Z$20000,MATCH(A580,'Semrush Data'!$A$1:$A$20000,0),MATCH("CPC*",'Semrush Data'!$A$1:$Z$1,0)),"")</f>
        <v>0</v>
      </c>
      <c r="J580" s="6" t="str">
        <f aca="false">IFERROR(INDEX('Semrush Data'!$A$1:$Z$20000,MATCH(A580,'Semrush Data'!$A$1:$A$20000,0),MATCH("Intent",'Semrush Data'!$A$1:$Z$1,0)),"")</f>
        <v>Informational Transactional</v>
      </c>
    </row>
    <row r="581" customFormat="false" ht="15" hidden="false" customHeight="true" outlineLevel="0" collapsed="false">
      <c r="A581" s="6" t="s">
        <v>4968</v>
      </c>
      <c r="B581" s="6" t="s">
        <v>41</v>
      </c>
      <c r="C581" s="6" t="n">
        <v>1</v>
      </c>
      <c r="D581" s="6" t="n">
        <v>6</v>
      </c>
      <c r="E581" s="6" t="n">
        <v>1</v>
      </c>
      <c r="F581" s="6" t="s">
        <v>4966</v>
      </c>
      <c r="G581" s="28" t="n">
        <f aca="false">IFERROR(INDEX('Semrush Data'!$A$1:$Z$20000,MATCH(A581,'Semrush Data'!$A$1:$A$20000,0),MATCH("Volume",'Semrush Data'!$A$1:$Z$1,0)),"")</f>
        <v>0</v>
      </c>
      <c r="H581" s="6" t="n">
        <f aca="false">IFERROR(INDEX('Semrush Data'!$A$1:$Z$20000,MATCH(A581,'Semrush Data'!$A$1:$A$20000,0),MATCH("Keyword Difficulty*",'Semrush Data'!$A$1:$Z$1,0)),"")</f>
        <v>24</v>
      </c>
      <c r="I581" s="29" t="n">
        <f aca="false">IFERROR(INDEX('Semrush Data'!$A$1:$Z$20000,MATCH(A581,'Semrush Data'!$A$1:$A$20000,0),MATCH("CPC*",'Semrush Data'!$A$1:$Z$1,0)),"")</f>
        <v>0</v>
      </c>
      <c r="J581" s="6" t="str">
        <f aca="false">IFERROR(INDEX('Semrush Data'!$A$1:$Z$20000,MATCH(A581,'Semrush Data'!$A$1:$A$20000,0),MATCH("Intent",'Semrush Data'!$A$1:$Z$1,0)),"")</f>
        <v>Informational</v>
      </c>
    </row>
    <row r="582" customFormat="false" ht="15" hidden="false" customHeight="true" outlineLevel="0" collapsed="false">
      <c r="A582" s="6" t="s">
        <v>4978</v>
      </c>
      <c r="B582" s="6" t="s">
        <v>41</v>
      </c>
      <c r="C582" s="6" t="n">
        <v>1</v>
      </c>
      <c r="D582" s="6" t="n">
        <v>6</v>
      </c>
      <c r="E582" s="6" t="n">
        <v>1</v>
      </c>
      <c r="F582" s="6" t="s">
        <v>4976</v>
      </c>
      <c r="G582" s="28" t="n">
        <f aca="false">IFERROR(INDEX('Semrush Data'!$A$1:$Z$20000,MATCH(A582,'Semrush Data'!$A$1:$A$20000,0),MATCH("Volume",'Semrush Data'!$A$1:$Z$1,0)),"")</f>
        <v>0</v>
      </c>
      <c r="H582" s="6" t="n">
        <f aca="false">IFERROR(INDEX('Semrush Data'!$A$1:$Z$20000,MATCH(A582,'Semrush Data'!$A$1:$A$20000,0),MATCH("Keyword Difficulty*",'Semrush Data'!$A$1:$Z$1,0)),"")</f>
        <v>16</v>
      </c>
      <c r="I582" s="29" t="n">
        <f aca="false">IFERROR(INDEX('Semrush Data'!$A$1:$Z$20000,MATCH(A582,'Semrush Data'!$A$1:$A$20000,0),MATCH("CPC*",'Semrush Data'!$A$1:$Z$1,0)),"")</f>
        <v>0</v>
      </c>
      <c r="J582" s="6" t="str">
        <f aca="false">IFERROR(INDEX('Semrush Data'!$A$1:$Z$20000,MATCH(A582,'Semrush Data'!$A$1:$A$20000,0),MATCH("Intent",'Semrush Data'!$A$1:$Z$1,0)),"")</f>
        <v>Informational Transactional</v>
      </c>
    </row>
    <row r="583" customFormat="false" ht="15" hidden="false" customHeight="true" outlineLevel="0" collapsed="false">
      <c r="A583" s="6" t="s">
        <v>4988</v>
      </c>
      <c r="B583" s="6" t="s">
        <v>41</v>
      </c>
      <c r="C583" s="6" t="n">
        <v>1</v>
      </c>
      <c r="D583" s="6" t="n">
        <v>6</v>
      </c>
      <c r="E583" s="6" t="n">
        <v>2</v>
      </c>
      <c r="F583" s="6" t="s">
        <v>6856</v>
      </c>
      <c r="G583" s="28" t="n">
        <f aca="false">IFERROR(INDEX('Semrush Data'!$A$1:$Z$20000,MATCH(A583,'Semrush Data'!$A$1:$A$20000,0),MATCH("Volume",'Semrush Data'!$A$1:$Z$1,0)),"")</f>
        <v>20</v>
      </c>
      <c r="H583" s="6" t="n">
        <f aca="false">IFERROR(INDEX('Semrush Data'!$A$1:$Z$20000,MATCH(A583,'Semrush Data'!$A$1:$A$20000,0),MATCH("Keyword Difficulty*",'Semrush Data'!$A$1:$Z$1,0)),"")</f>
        <v>21</v>
      </c>
      <c r="I583" s="29" t="n">
        <f aca="false">IFERROR(INDEX('Semrush Data'!$A$1:$Z$20000,MATCH(A583,'Semrush Data'!$A$1:$A$20000,0),MATCH("CPC*",'Semrush Data'!$A$1:$Z$1,0)),"")</f>
        <v>0</v>
      </c>
      <c r="J583" s="6" t="str">
        <f aca="false">IFERROR(INDEX('Semrush Data'!$A$1:$Z$20000,MATCH(A583,'Semrush Data'!$A$1:$A$20000,0),MATCH("Intent",'Semrush Data'!$A$1:$Z$1,0)),"")</f>
        <v>Informational</v>
      </c>
    </row>
    <row r="584" customFormat="false" ht="15" hidden="false" customHeight="true" outlineLevel="0" collapsed="false">
      <c r="A584" s="6" t="s">
        <v>5003</v>
      </c>
      <c r="B584" s="6" t="s">
        <v>41</v>
      </c>
      <c r="C584" s="6" t="n">
        <v>1</v>
      </c>
      <c r="D584" s="6" t="n">
        <v>6</v>
      </c>
      <c r="E584" s="6" t="n">
        <v>2</v>
      </c>
      <c r="F584" s="6" t="s">
        <v>6857</v>
      </c>
      <c r="G584" s="28" t="n">
        <f aca="false">IFERROR(INDEX('Semrush Data'!$A$1:$Z$20000,MATCH(A584,'Semrush Data'!$A$1:$A$20000,0),MATCH("Volume",'Semrush Data'!$A$1:$Z$1,0)),"")</f>
        <v>0</v>
      </c>
      <c r="H584" s="6" t="n">
        <f aca="false">IFERROR(INDEX('Semrush Data'!$A$1:$Z$20000,MATCH(A584,'Semrush Data'!$A$1:$A$20000,0),MATCH("Keyword Difficulty*",'Semrush Data'!$A$1:$Z$1,0)),"")</f>
        <v>10</v>
      </c>
      <c r="I584" s="29" t="n">
        <f aca="false">IFERROR(INDEX('Semrush Data'!$A$1:$Z$20000,MATCH(A584,'Semrush Data'!$A$1:$A$20000,0),MATCH("CPC*",'Semrush Data'!$A$1:$Z$1,0)),"")</f>
        <v>0</v>
      </c>
      <c r="J584" s="6" t="str">
        <f aca="false">IFERROR(INDEX('Semrush Data'!$A$1:$Z$20000,MATCH(A584,'Semrush Data'!$A$1:$A$20000,0),MATCH("Intent",'Semrush Data'!$A$1:$Z$1,0)),"")</f>
        <v>Informational</v>
      </c>
    </row>
    <row r="585" customFormat="false" ht="15" hidden="false" customHeight="true" outlineLevel="0" collapsed="false">
      <c r="A585" s="6" t="s">
        <v>5018</v>
      </c>
      <c r="B585" s="6" t="s">
        <v>41</v>
      </c>
      <c r="C585" s="6" t="n">
        <v>1</v>
      </c>
      <c r="D585" s="6" t="n">
        <v>6</v>
      </c>
      <c r="E585" s="6" t="n">
        <v>2</v>
      </c>
      <c r="F585" s="6" t="s">
        <v>6858</v>
      </c>
      <c r="G585" s="28" t="n">
        <f aca="false">IFERROR(INDEX('Semrush Data'!$A$1:$Z$20000,MATCH(A585,'Semrush Data'!$A$1:$A$20000,0),MATCH("Volume",'Semrush Data'!$A$1:$Z$1,0)),"")</f>
        <v>0</v>
      </c>
      <c r="H585" s="6" t="n">
        <f aca="false">IFERROR(INDEX('Semrush Data'!$A$1:$Z$20000,MATCH(A585,'Semrush Data'!$A$1:$A$20000,0),MATCH("Keyword Difficulty*",'Semrush Data'!$A$1:$Z$1,0)),"")</f>
        <v>23</v>
      </c>
      <c r="I585" s="29" t="n">
        <f aca="false">IFERROR(INDEX('Semrush Data'!$A$1:$Z$20000,MATCH(A585,'Semrush Data'!$A$1:$A$20000,0),MATCH("CPC*",'Semrush Data'!$A$1:$Z$1,0)),"")</f>
        <v>0</v>
      </c>
      <c r="J585" s="6" t="str">
        <f aca="false">IFERROR(INDEX('Semrush Data'!$A$1:$Z$20000,MATCH(A585,'Semrush Data'!$A$1:$A$20000,0),MATCH("Intent",'Semrush Data'!$A$1:$Z$1,0)),"")</f>
        <v>Informational</v>
      </c>
    </row>
    <row r="586" customFormat="false" ht="15" hidden="false" customHeight="true" outlineLevel="0" collapsed="false">
      <c r="A586" s="6" t="s">
        <v>5034</v>
      </c>
      <c r="B586" s="6" t="s">
        <v>41</v>
      </c>
      <c r="C586" s="6" t="n">
        <v>1</v>
      </c>
      <c r="D586" s="6" t="n">
        <v>6</v>
      </c>
      <c r="E586" s="6" t="n">
        <v>2</v>
      </c>
      <c r="F586" s="6" t="s">
        <v>6859</v>
      </c>
      <c r="G586" s="28" t="n">
        <f aca="false">IFERROR(INDEX('Semrush Data'!$A$1:$Z$20000,MATCH(A586,'Semrush Data'!$A$1:$A$20000,0),MATCH("Volume",'Semrush Data'!$A$1:$Z$1,0)),"")</f>
        <v>10</v>
      </c>
      <c r="H586" s="6" t="n">
        <f aca="false">IFERROR(INDEX('Semrush Data'!$A$1:$Z$20000,MATCH(A586,'Semrush Data'!$A$1:$A$20000,0),MATCH("Keyword Difficulty*",'Semrush Data'!$A$1:$Z$1,0)),"")</f>
        <v>9</v>
      </c>
      <c r="I586" s="29" t="n">
        <f aca="false">IFERROR(INDEX('Semrush Data'!$A$1:$Z$20000,MATCH(A586,'Semrush Data'!$A$1:$A$20000,0),MATCH("CPC*",'Semrush Data'!$A$1:$Z$1,0)),"")</f>
        <v>0</v>
      </c>
      <c r="J586" s="6" t="str">
        <f aca="false">IFERROR(INDEX('Semrush Data'!$A$1:$Z$20000,MATCH(A586,'Semrush Data'!$A$1:$A$20000,0),MATCH("Intent",'Semrush Data'!$A$1:$Z$1,0)),"")</f>
        <v>Navigational</v>
      </c>
    </row>
    <row r="587" customFormat="false" ht="15" hidden="false" customHeight="true" outlineLevel="0" collapsed="false">
      <c r="A587" s="6" t="s">
        <v>5052</v>
      </c>
      <c r="B587" s="6" t="s">
        <v>41</v>
      </c>
      <c r="C587" s="6" t="n">
        <v>1</v>
      </c>
      <c r="D587" s="6" t="n">
        <v>6</v>
      </c>
      <c r="E587" s="6" t="n">
        <v>1</v>
      </c>
      <c r="F587" s="6" t="s">
        <v>5048</v>
      </c>
      <c r="G587" s="28" t="n">
        <f aca="false">IFERROR(INDEX('Semrush Data'!$A$1:$Z$20000,MATCH(A587,'Semrush Data'!$A$1:$A$20000,0),MATCH("Volume",'Semrush Data'!$A$1:$Z$1,0)),"")</f>
        <v>0</v>
      </c>
      <c r="H587" s="6" t="n">
        <f aca="false">IFERROR(INDEX('Semrush Data'!$A$1:$Z$20000,MATCH(A587,'Semrush Data'!$A$1:$A$20000,0),MATCH("Keyword Difficulty*",'Semrush Data'!$A$1:$Z$1,0)),"")</f>
        <v>19</v>
      </c>
      <c r="I587" s="29" t="n">
        <f aca="false">IFERROR(INDEX('Semrush Data'!$A$1:$Z$20000,MATCH(A587,'Semrush Data'!$A$1:$A$20000,0),MATCH("CPC*",'Semrush Data'!$A$1:$Z$1,0)),"")</f>
        <v>0</v>
      </c>
      <c r="J587" s="6" t="str">
        <f aca="false">IFERROR(INDEX('Semrush Data'!$A$1:$Z$20000,MATCH(A587,'Semrush Data'!$A$1:$A$20000,0),MATCH("Intent",'Semrush Data'!$A$1:$Z$1,0)),"")</f>
        <v>Navigational</v>
      </c>
    </row>
    <row r="588" customFormat="false" ht="15" hidden="false" customHeight="true" outlineLevel="0" collapsed="false">
      <c r="A588" s="6" t="s">
        <v>5987</v>
      </c>
      <c r="B588" s="6" t="s">
        <v>41</v>
      </c>
      <c r="C588" s="6" t="n">
        <v>1</v>
      </c>
      <c r="D588" s="6" t="n">
        <v>6</v>
      </c>
      <c r="E588" s="6" t="n">
        <v>1</v>
      </c>
      <c r="F588" s="6" t="s">
        <v>5984</v>
      </c>
      <c r="G588" s="28" t="n">
        <f aca="false">IFERROR(INDEX('Semrush Data'!$A$1:$Z$20000,MATCH(A588,'Semrush Data'!$A$1:$A$20000,0),MATCH("Volume",'Semrush Data'!$A$1:$Z$1,0)),"")</f>
        <v>0</v>
      </c>
      <c r="H588" s="6" t="n">
        <f aca="false">IFERROR(INDEX('Semrush Data'!$A$1:$Z$20000,MATCH(A588,'Semrush Data'!$A$1:$A$20000,0),MATCH("Keyword Difficulty*",'Semrush Data'!$A$1:$Z$1,0)),"")</f>
        <v>19</v>
      </c>
      <c r="I588" s="29" t="n">
        <f aca="false">IFERROR(INDEX('Semrush Data'!$A$1:$Z$20000,MATCH(A588,'Semrush Data'!$A$1:$A$20000,0),MATCH("CPC*",'Semrush Data'!$A$1:$Z$1,0)),"")</f>
        <v>0</v>
      </c>
      <c r="J588" s="6" t="str">
        <f aca="false">IFERROR(INDEX('Semrush Data'!$A$1:$Z$20000,MATCH(A588,'Semrush Data'!$A$1:$A$20000,0),MATCH("Intent",'Semrush Data'!$A$1:$Z$1,0)),"")</f>
        <v>Navigational</v>
      </c>
    </row>
    <row r="589" customFormat="false" ht="15" hidden="false" customHeight="true" outlineLevel="0" collapsed="false">
      <c r="A589" s="6" t="s">
        <v>5965</v>
      </c>
      <c r="B589" s="6" t="s">
        <v>41</v>
      </c>
      <c r="C589" s="6" t="n">
        <v>1</v>
      </c>
      <c r="D589" s="6" t="n">
        <v>6</v>
      </c>
      <c r="E589" s="6" t="n">
        <v>1</v>
      </c>
      <c r="F589" s="6" t="s">
        <v>5963</v>
      </c>
      <c r="G589" s="28" t="n">
        <f aca="false">IFERROR(INDEX('Semrush Data'!$A$1:$Z$20000,MATCH(A589,'Semrush Data'!$A$1:$A$20000,0),MATCH("Volume",'Semrush Data'!$A$1:$Z$1,0)),"")</f>
        <v>0</v>
      </c>
      <c r="H589" s="6" t="n">
        <f aca="false">IFERROR(INDEX('Semrush Data'!$A$1:$Z$20000,MATCH(A589,'Semrush Data'!$A$1:$A$20000,0),MATCH("Keyword Difficulty*",'Semrush Data'!$A$1:$Z$1,0)),"")</f>
        <v>18</v>
      </c>
      <c r="I589" s="29" t="n">
        <f aca="false">IFERROR(INDEX('Semrush Data'!$A$1:$Z$20000,MATCH(A589,'Semrush Data'!$A$1:$A$20000,0),MATCH("CPC*",'Semrush Data'!$A$1:$Z$1,0)),"")</f>
        <v>0</v>
      </c>
      <c r="J589" s="6" t="str">
        <f aca="false">IFERROR(INDEX('Semrush Data'!$A$1:$Z$20000,MATCH(A589,'Semrush Data'!$A$1:$A$20000,0),MATCH("Intent",'Semrush Data'!$A$1:$Z$1,0)),"")</f>
        <v>Navigational</v>
      </c>
    </row>
    <row r="590" customFormat="false" ht="15" hidden="false" customHeight="true" outlineLevel="0" collapsed="false">
      <c r="A590" s="6" t="s">
        <v>5944</v>
      </c>
      <c r="B590" s="6" t="s">
        <v>41</v>
      </c>
      <c r="C590" s="6" t="n">
        <v>1</v>
      </c>
      <c r="D590" s="6" t="n">
        <v>6</v>
      </c>
      <c r="E590" s="6" t="n">
        <v>1</v>
      </c>
      <c r="F590" s="6" t="s">
        <v>5942</v>
      </c>
      <c r="G590" s="28" t="n">
        <f aca="false">IFERROR(INDEX('Semrush Data'!$A$1:$Z$20000,MATCH(A590,'Semrush Data'!$A$1:$A$20000,0),MATCH("Volume",'Semrush Data'!$A$1:$Z$1,0)),"")</f>
        <v>0</v>
      </c>
      <c r="H590" s="6" t="n">
        <f aca="false">IFERROR(INDEX('Semrush Data'!$A$1:$Z$20000,MATCH(A590,'Semrush Data'!$A$1:$A$20000,0),MATCH("Keyword Difficulty*",'Semrush Data'!$A$1:$Z$1,0)),"")</f>
        <v>19</v>
      </c>
      <c r="I590" s="29" t="n">
        <f aca="false">IFERROR(INDEX('Semrush Data'!$A$1:$Z$20000,MATCH(A590,'Semrush Data'!$A$1:$A$20000,0),MATCH("CPC*",'Semrush Data'!$A$1:$Z$1,0)),"")</f>
        <v>0</v>
      </c>
      <c r="J590" s="6" t="str">
        <f aca="false">IFERROR(INDEX('Semrush Data'!$A$1:$Z$20000,MATCH(A590,'Semrush Data'!$A$1:$A$20000,0),MATCH("Intent",'Semrush Data'!$A$1:$Z$1,0)),"")</f>
        <v>Navigational</v>
      </c>
    </row>
    <row r="591" customFormat="false" ht="15" hidden="false" customHeight="true" outlineLevel="0" collapsed="false">
      <c r="A591" s="6" t="s">
        <v>5954</v>
      </c>
      <c r="B591" s="6" t="s">
        <v>41</v>
      </c>
      <c r="C591" s="6" t="n">
        <v>1</v>
      </c>
      <c r="D591" s="6" t="n">
        <v>6</v>
      </c>
      <c r="E591" s="6" t="n">
        <v>1</v>
      </c>
      <c r="F591" s="6" t="s">
        <v>5952</v>
      </c>
      <c r="G591" s="28" t="n">
        <f aca="false">IFERROR(INDEX('Semrush Data'!$A$1:$Z$20000,MATCH(A591,'Semrush Data'!$A$1:$A$20000,0),MATCH("Volume",'Semrush Data'!$A$1:$Z$1,0)),"")</f>
        <v>0</v>
      </c>
      <c r="H591" s="6" t="n">
        <f aca="false">IFERROR(INDEX('Semrush Data'!$A$1:$Z$20000,MATCH(A591,'Semrush Data'!$A$1:$A$20000,0),MATCH("Keyword Difficulty*",'Semrush Data'!$A$1:$Z$1,0)),"")</f>
        <v>12</v>
      </c>
      <c r="I591" s="29" t="n">
        <f aca="false">IFERROR(INDEX('Semrush Data'!$A$1:$Z$20000,MATCH(A591,'Semrush Data'!$A$1:$A$20000,0),MATCH("CPC*",'Semrush Data'!$A$1:$Z$1,0)),"")</f>
        <v>0</v>
      </c>
      <c r="J591" s="6" t="str">
        <f aca="false">IFERROR(INDEX('Semrush Data'!$A$1:$Z$20000,MATCH(A591,'Semrush Data'!$A$1:$A$20000,0),MATCH("Intent",'Semrush Data'!$A$1:$Z$1,0)),"")</f>
        <v>Transactional</v>
      </c>
    </row>
    <row r="592" customFormat="false" ht="15" hidden="false" customHeight="true" outlineLevel="0" collapsed="false">
      <c r="A592" s="6" t="s">
        <v>5064</v>
      </c>
      <c r="B592" s="6" t="s">
        <v>41</v>
      </c>
      <c r="C592" s="6" t="n">
        <v>1</v>
      </c>
      <c r="D592" s="6" t="n">
        <v>6</v>
      </c>
      <c r="E592" s="6" t="n">
        <v>1</v>
      </c>
      <c r="F592" s="6" t="s">
        <v>5061</v>
      </c>
      <c r="G592" s="28" t="n">
        <f aca="false">IFERROR(INDEX('Semrush Data'!$A$1:$Z$20000,MATCH(A592,'Semrush Data'!$A$1:$A$20000,0),MATCH("Volume",'Semrush Data'!$A$1:$Z$1,0)),"")</f>
        <v>70</v>
      </c>
      <c r="H592" s="6" t="n">
        <f aca="false">IFERROR(INDEX('Semrush Data'!$A$1:$Z$20000,MATCH(A592,'Semrush Data'!$A$1:$A$20000,0),MATCH("Keyword Difficulty*",'Semrush Data'!$A$1:$Z$1,0)),"")</f>
        <v>17</v>
      </c>
      <c r="I592" s="29" t="n">
        <f aca="false">IFERROR(INDEX('Semrush Data'!$A$1:$Z$20000,MATCH(A592,'Semrush Data'!$A$1:$A$20000,0),MATCH("CPC*",'Semrush Data'!$A$1:$Z$1,0)),"")</f>
        <v>0.18</v>
      </c>
      <c r="J592" s="6" t="str">
        <f aca="false">IFERROR(INDEX('Semrush Data'!$A$1:$Z$20000,MATCH(A592,'Semrush Data'!$A$1:$A$20000,0),MATCH("Intent",'Semrush Data'!$A$1:$Z$1,0)),"")</f>
        <v>Informational</v>
      </c>
    </row>
    <row r="593" customFormat="false" ht="15" hidden="false" customHeight="true" outlineLevel="0" collapsed="false">
      <c r="A593" s="6" t="s">
        <v>5116</v>
      </c>
      <c r="B593" s="6" t="s">
        <v>41</v>
      </c>
      <c r="C593" s="6" t="n">
        <v>1</v>
      </c>
      <c r="D593" s="6" t="n">
        <v>6</v>
      </c>
      <c r="E593" s="6" t="n">
        <v>1</v>
      </c>
      <c r="F593" s="6" t="s">
        <v>107</v>
      </c>
      <c r="G593" s="28" t="n">
        <f aca="false">IFERROR(INDEX('Semrush Data'!$A$1:$Z$20000,MATCH(A593,'Semrush Data'!$A$1:$A$20000,0),MATCH("Volume",'Semrush Data'!$A$1:$Z$1,0)),"")</f>
        <v>720</v>
      </c>
      <c r="H593" s="6" t="n">
        <f aca="false">IFERROR(INDEX('Semrush Data'!$A$1:$Z$20000,MATCH(A593,'Semrush Data'!$A$1:$A$20000,0),MATCH("Keyword Difficulty*",'Semrush Data'!$A$1:$Z$1,0)),"")</f>
        <v>20</v>
      </c>
      <c r="I593" s="29" t="n">
        <f aca="false">IFERROR(INDEX('Semrush Data'!$A$1:$Z$20000,MATCH(A593,'Semrush Data'!$A$1:$A$20000,0),MATCH("CPC*",'Semrush Data'!$A$1:$Z$1,0)),"")</f>
        <v>0.44</v>
      </c>
      <c r="J593" s="6" t="str">
        <f aca="false">IFERROR(INDEX('Semrush Data'!$A$1:$Z$20000,MATCH(A593,'Semrush Data'!$A$1:$A$20000,0),MATCH("Intent",'Semrush Data'!$A$1:$Z$1,0)),"")</f>
        <v>Informational</v>
      </c>
    </row>
    <row r="594" customFormat="false" ht="15" hidden="false" customHeight="true" outlineLevel="0" collapsed="false">
      <c r="A594" s="6" t="s">
        <v>5098</v>
      </c>
      <c r="B594" s="6" t="s">
        <v>41</v>
      </c>
      <c r="C594" s="6" t="n">
        <v>1</v>
      </c>
      <c r="D594" s="6" t="n">
        <v>6</v>
      </c>
      <c r="E594" s="6" t="n">
        <v>1</v>
      </c>
      <c r="F594" s="6" t="s">
        <v>5096</v>
      </c>
      <c r="G594" s="28" t="n">
        <f aca="false">IFERROR(INDEX('Semrush Data'!$A$1:$Z$20000,MATCH(A594,'Semrush Data'!$A$1:$A$20000,0),MATCH("Volume",'Semrush Data'!$A$1:$Z$1,0)),"")</f>
        <v>20</v>
      </c>
      <c r="H594" s="6" t="n">
        <f aca="false">IFERROR(INDEX('Semrush Data'!$A$1:$Z$20000,MATCH(A594,'Semrush Data'!$A$1:$A$20000,0),MATCH("Keyword Difficulty*",'Semrush Data'!$A$1:$Z$1,0)),"")</f>
        <v>4</v>
      </c>
      <c r="I594" s="29" t="n">
        <f aca="false">IFERROR(INDEX('Semrush Data'!$A$1:$Z$20000,MATCH(A594,'Semrush Data'!$A$1:$A$20000,0),MATCH("CPC*",'Semrush Data'!$A$1:$Z$1,0)),"")</f>
        <v>0.45</v>
      </c>
      <c r="J594" s="6" t="str">
        <f aca="false">IFERROR(INDEX('Semrush Data'!$A$1:$Z$20000,MATCH(A594,'Semrush Data'!$A$1:$A$20000,0),MATCH("Intent",'Semrush Data'!$A$1:$Z$1,0)),"")</f>
        <v>Informational Transactional</v>
      </c>
    </row>
    <row r="595" customFormat="false" ht="15" hidden="false" customHeight="true" outlineLevel="0" collapsed="false">
      <c r="A595" s="6" t="s">
        <v>5076</v>
      </c>
      <c r="B595" s="6" t="s">
        <v>41</v>
      </c>
      <c r="C595" s="6" t="n">
        <v>1</v>
      </c>
      <c r="D595" s="6" t="n">
        <v>6</v>
      </c>
      <c r="E595" s="6" t="n">
        <v>1</v>
      </c>
      <c r="F595" s="6" t="s">
        <v>65</v>
      </c>
      <c r="G595" s="28" t="n">
        <f aca="false">IFERROR(INDEX('Semrush Data'!$A$1:$Z$20000,MATCH(A595,'Semrush Data'!$A$1:$A$20000,0),MATCH("Volume",'Semrush Data'!$A$1:$Z$1,0)),"")</f>
        <v>4400</v>
      </c>
      <c r="H595" s="6" t="n">
        <f aca="false">IFERROR(INDEX('Semrush Data'!$A$1:$Z$20000,MATCH(A595,'Semrush Data'!$A$1:$A$20000,0),MATCH("Keyword Difficulty*",'Semrush Data'!$A$1:$Z$1,0)),"")</f>
        <v>28</v>
      </c>
      <c r="I595" s="29" t="n">
        <f aca="false">IFERROR(INDEX('Semrush Data'!$A$1:$Z$20000,MATCH(A595,'Semrush Data'!$A$1:$A$20000,0),MATCH("CPC*",'Semrush Data'!$A$1:$Z$1,0)),"")</f>
        <v>0.45</v>
      </c>
      <c r="J595" s="6" t="str">
        <f aca="false">IFERROR(INDEX('Semrush Data'!$A$1:$Z$20000,MATCH(A595,'Semrush Data'!$A$1:$A$20000,0),MATCH("Intent",'Semrush Data'!$A$1:$Z$1,0)),"")</f>
        <v>Informational</v>
      </c>
    </row>
    <row r="596" customFormat="false" ht="15" hidden="false" customHeight="true" outlineLevel="0" collapsed="false">
      <c r="A596" s="6" t="s">
        <v>5107</v>
      </c>
      <c r="B596" s="6" t="s">
        <v>41</v>
      </c>
      <c r="C596" s="6" t="n">
        <v>1</v>
      </c>
      <c r="D596" s="6" t="n">
        <v>6</v>
      </c>
      <c r="E596" s="6" t="n">
        <v>1</v>
      </c>
      <c r="F596" s="6" t="s">
        <v>89</v>
      </c>
      <c r="G596" s="28" t="n">
        <f aca="false">IFERROR(INDEX('Semrush Data'!$A$1:$Z$20000,MATCH(A596,'Semrush Data'!$A$1:$A$20000,0),MATCH("Volume",'Semrush Data'!$A$1:$Z$1,0)),"")</f>
        <v>1300</v>
      </c>
      <c r="H596" s="6" t="n">
        <f aca="false">IFERROR(INDEX('Semrush Data'!$A$1:$Z$20000,MATCH(A596,'Semrush Data'!$A$1:$A$20000,0),MATCH("Keyword Difficulty*",'Semrush Data'!$A$1:$Z$1,0)),"")</f>
        <v>23</v>
      </c>
      <c r="I596" s="29" t="n">
        <f aca="false">IFERROR(INDEX('Semrush Data'!$A$1:$Z$20000,MATCH(A596,'Semrush Data'!$A$1:$A$20000,0),MATCH("CPC*",'Semrush Data'!$A$1:$Z$1,0)),"")</f>
        <v>0.58</v>
      </c>
      <c r="J596" s="6" t="str">
        <f aca="false">IFERROR(INDEX('Semrush Data'!$A$1:$Z$20000,MATCH(A596,'Semrush Data'!$A$1:$A$20000,0),MATCH("Intent",'Semrush Data'!$A$1:$Z$1,0)),"")</f>
        <v>Informational</v>
      </c>
    </row>
    <row r="597" customFormat="false" ht="15" hidden="false" customHeight="true" outlineLevel="0" collapsed="false">
      <c r="A597" s="6" t="s">
        <v>5087</v>
      </c>
      <c r="B597" s="6" t="s">
        <v>41</v>
      </c>
      <c r="C597" s="6" t="n">
        <v>1</v>
      </c>
      <c r="D597" s="6" t="n">
        <v>6</v>
      </c>
      <c r="E597" s="6" t="n">
        <v>1</v>
      </c>
      <c r="F597" s="6" t="s">
        <v>5085</v>
      </c>
      <c r="G597" s="28" t="n">
        <f aca="false">IFERROR(INDEX('Semrush Data'!$A$1:$Z$20000,MATCH(A597,'Semrush Data'!$A$1:$A$20000,0),MATCH("Volume",'Semrush Data'!$A$1:$Z$1,0)),"")</f>
        <v>0</v>
      </c>
      <c r="H597" s="6" t="n">
        <f aca="false">IFERROR(INDEX('Semrush Data'!$A$1:$Z$20000,MATCH(A597,'Semrush Data'!$A$1:$A$20000,0),MATCH("Keyword Difficulty*",'Semrush Data'!$A$1:$Z$1,0)),"")</f>
        <v>19</v>
      </c>
      <c r="I597" s="29" t="n">
        <f aca="false">IFERROR(INDEX('Semrush Data'!$A$1:$Z$20000,MATCH(A597,'Semrush Data'!$A$1:$A$20000,0),MATCH("CPC*",'Semrush Data'!$A$1:$Z$1,0)),"")</f>
        <v>0</v>
      </c>
      <c r="J597" s="6" t="str">
        <f aca="false">IFERROR(INDEX('Semrush Data'!$A$1:$Z$20000,MATCH(A597,'Semrush Data'!$A$1:$A$20000,0),MATCH("Intent",'Semrush Data'!$A$1:$Z$1,0)),"")</f>
        <v>Informational</v>
      </c>
    </row>
    <row r="598" customFormat="false" ht="15" hidden="false" customHeight="true" outlineLevel="0" collapsed="false">
      <c r="A598" s="6" t="s">
        <v>5142</v>
      </c>
      <c r="B598" s="6" t="s">
        <v>41</v>
      </c>
      <c r="C598" s="6" t="n">
        <v>1</v>
      </c>
      <c r="D598" s="6" t="n">
        <v>6</v>
      </c>
      <c r="E598" s="6" t="n">
        <v>1</v>
      </c>
      <c r="F598" s="6" t="s">
        <v>5139</v>
      </c>
      <c r="G598" s="28" t="n">
        <f aca="false">IFERROR(INDEX('Semrush Data'!$A$1:$Z$20000,MATCH(A598,'Semrush Data'!$A$1:$A$20000,0),MATCH("Volume",'Semrush Data'!$A$1:$Z$1,0)),"")</f>
        <v>0</v>
      </c>
      <c r="H598" s="6" t="n">
        <f aca="false">IFERROR(INDEX('Semrush Data'!$A$1:$Z$20000,MATCH(A598,'Semrush Data'!$A$1:$A$20000,0),MATCH("Keyword Difficulty*",'Semrush Data'!$A$1:$Z$1,0)),"")</f>
        <v>16</v>
      </c>
      <c r="I598" s="29" t="n">
        <f aca="false">IFERROR(INDEX('Semrush Data'!$A$1:$Z$20000,MATCH(A598,'Semrush Data'!$A$1:$A$20000,0),MATCH("CPC*",'Semrush Data'!$A$1:$Z$1,0)),"")</f>
        <v>0</v>
      </c>
      <c r="J598" s="6" t="str">
        <f aca="false">IFERROR(INDEX('Semrush Data'!$A$1:$Z$20000,MATCH(A598,'Semrush Data'!$A$1:$A$20000,0),MATCH("Intent",'Semrush Data'!$A$1:$Z$1,0)),"")</f>
        <v>Informational Transactional</v>
      </c>
    </row>
    <row r="599" customFormat="false" ht="15" hidden="false" customHeight="true" outlineLevel="0" collapsed="false">
      <c r="A599" s="6" t="s">
        <v>5129</v>
      </c>
      <c r="B599" s="6" t="s">
        <v>41</v>
      </c>
      <c r="C599" s="6" t="n">
        <v>1</v>
      </c>
      <c r="D599" s="6" t="n">
        <v>6</v>
      </c>
      <c r="E599" s="6" t="n">
        <v>1</v>
      </c>
      <c r="F599" s="6" t="s">
        <v>5125</v>
      </c>
      <c r="G599" s="28" t="n">
        <f aca="false">IFERROR(INDEX('Semrush Data'!$A$1:$Z$20000,MATCH(A599,'Semrush Data'!$A$1:$A$20000,0),MATCH("Volume",'Semrush Data'!$A$1:$Z$1,0)),"")</f>
        <v>20</v>
      </c>
      <c r="H599" s="6" t="n">
        <f aca="false">IFERROR(INDEX('Semrush Data'!$A$1:$Z$20000,MATCH(A599,'Semrush Data'!$A$1:$A$20000,0),MATCH("Keyword Difficulty*",'Semrush Data'!$A$1:$Z$1,0)),"")</f>
        <v>16</v>
      </c>
      <c r="I599" s="29" t="n">
        <f aca="false">IFERROR(INDEX('Semrush Data'!$A$1:$Z$20000,MATCH(A599,'Semrush Data'!$A$1:$A$20000,0),MATCH("CPC*",'Semrush Data'!$A$1:$Z$1,0)),"")</f>
        <v>0</v>
      </c>
      <c r="J599" s="6" t="str">
        <f aca="false">IFERROR(INDEX('Semrush Data'!$A$1:$Z$20000,MATCH(A599,'Semrush Data'!$A$1:$A$20000,0),MATCH("Intent",'Semrush Data'!$A$1:$Z$1,0)),"")</f>
        <v>Informational</v>
      </c>
    </row>
    <row r="600" customFormat="false" ht="15" hidden="false" customHeight="true" outlineLevel="0" collapsed="false">
      <c r="A600" s="6" t="s">
        <v>5155</v>
      </c>
      <c r="B600" s="6" t="s">
        <v>41</v>
      </c>
      <c r="C600" s="6" t="n">
        <v>1</v>
      </c>
      <c r="D600" s="6" t="n">
        <v>6</v>
      </c>
      <c r="E600" s="6" t="n">
        <v>1</v>
      </c>
      <c r="F600" s="6" t="s">
        <v>5151</v>
      </c>
      <c r="G600" s="28" t="n">
        <f aca="false">IFERROR(INDEX('Semrush Data'!$A$1:$Z$20000,MATCH(A600,'Semrush Data'!$A$1:$A$20000,0),MATCH("Volume",'Semrush Data'!$A$1:$Z$1,0)),"")</f>
        <v>0</v>
      </c>
      <c r="H600" s="6" t="n">
        <f aca="false">IFERROR(INDEX('Semrush Data'!$A$1:$Z$20000,MATCH(A600,'Semrush Data'!$A$1:$A$20000,0),MATCH("Keyword Difficulty*",'Semrush Data'!$A$1:$Z$1,0)),"")</f>
        <v>16</v>
      </c>
      <c r="I600" s="29" t="n">
        <f aca="false">IFERROR(INDEX('Semrush Data'!$A$1:$Z$20000,MATCH(A600,'Semrush Data'!$A$1:$A$20000,0),MATCH("CPC*",'Semrush Data'!$A$1:$Z$1,0)),"")</f>
        <v>0</v>
      </c>
      <c r="J600" s="6" t="str">
        <f aca="false">IFERROR(INDEX('Semrush Data'!$A$1:$Z$20000,MATCH(A600,'Semrush Data'!$A$1:$A$20000,0),MATCH("Intent",'Semrush Data'!$A$1:$Z$1,0)),"")</f>
        <v>Informational</v>
      </c>
    </row>
    <row r="601" customFormat="false" ht="15" hidden="false" customHeight="true" outlineLevel="0" collapsed="false">
      <c r="A601" s="6" t="s">
        <v>5166</v>
      </c>
      <c r="B601" s="6" t="s">
        <v>41</v>
      </c>
      <c r="C601" s="6" t="n">
        <v>1</v>
      </c>
      <c r="D601" s="6" t="n">
        <v>6</v>
      </c>
      <c r="E601" s="6" t="n">
        <v>1</v>
      </c>
      <c r="F601" s="6" t="s">
        <v>5164</v>
      </c>
      <c r="G601" s="28" t="n">
        <f aca="false">IFERROR(INDEX('Semrush Data'!$A$1:$Z$20000,MATCH(A601,'Semrush Data'!$A$1:$A$20000,0),MATCH("Volume",'Semrush Data'!$A$1:$Z$1,0)),"")</f>
        <v>0</v>
      </c>
      <c r="H601" s="6" t="n">
        <f aca="false">IFERROR(INDEX('Semrush Data'!$A$1:$Z$20000,MATCH(A601,'Semrush Data'!$A$1:$A$20000,0),MATCH("Keyword Difficulty*",'Semrush Data'!$A$1:$Z$1,0)),"")</f>
        <v>17</v>
      </c>
      <c r="I601" s="29" t="n">
        <f aca="false">IFERROR(INDEX('Semrush Data'!$A$1:$Z$20000,MATCH(A601,'Semrush Data'!$A$1:$A$20000,0),MATCH("CPC*",'Semrush Data'!$A$1:$Z$1,0)),"")</f>
        <v>0</v>
      </c>
      <c r="J601" s="6" t="str">
        <f aca="false">IFERROR(INDEX('Semrush Data'!$A$1:$Z$20000,MATCH(A601,'Semrush Data'!$A$1:$A$20000,0),MATCH("Intent",'Semrush Data'!$A$1:$Z$1,0)),"")</f>
        <v>Informational</v>
      </c>
    </row>
    <row r="602" customFormat="false" ht="15" hidden="false" customHeight="true" outlineLevel="0" collapsed="false">
      <c r="A602" s="6" t="s">
        <v>5178</v>
      </c>
      <c r="B602" s="6" t="s">
        <v>41</v>
      </c>
      <c r="C602" s="6" t="n">
        <v>1</v>
      </c>
      <c r="D602" s="6" t="n">
        <v>7</v>
      </c>
      <c r="E602" s="6" t="n">
        <v>1</v>
      </c>
      <c r="F602" s="6" t="s">
        <v>5174</v>
      </c>
      <c r="G602" s="28" t="n">
        <f aca="false">IFERROR(INDEX('Semrush Data'!$A$1:$Z$20000,MATCH(A602,'Semrush Data'!$A$1:$A$20000,0),MATCH("Volume",'Semrush Data'!$A$1:$Z$1,0)),"")</f>
        <v>0</v>
      </c>
      <c r="H602" s="6" t="n">
        <f aca="false">IFERROR(INDEX('Semrush Data'!$A$1:$Z$20000,MATCH(A602,'Semrush Data'!$A$1:$A$20000,0),MATCH("Keyword Difficulty*",'Semrush Data'!$A$1:$Z$1,0)),"")</f>
        <v>23</v>
      </c>
      <c r="I602" s="29" t="n">
        <f aca="false">IFERROR(INDEX('Semrush Data'!$A$1:$Z$20000,MATCH(A602,'Semrush Data'!$A$1:$A$20000,0),MATCH("CPC*",'Semrush Data'!$A$1:$Z$1,0)),"")</f>
        <v>0</v>
      </c>
      <c r="J602" s="6" t="str">
        <f aca="false">IFERROR(INDEX('Semrush Data'!$A$1:$Z$20000,MATCH(A602,'Semrush Data'!$A$1:$A$20000,0),MATCH("Intent",'Semrush Data'!$A$1:$Z$1,0)),"")</f>
        <v>Informational Transactional</v>
      </c>
    </row>
    <row r="603" customFormat="false" ht="15" hidden="false" customHeight="true" outlineLevel="0" collapsed="false">
      <c r="A603" s="6" t="s">
        <v>5188</v>
      </c>
      <c r="B603" s="6" t="s">
        <v>41</v>
      </c>
      <c r="C603" s="6" t="n">
        <v>1</v>
      </c>
      <c r="D603" s="6" t="n">
        <v>7</v>
      </c>
      <c r="E603" s="6" t="n">
        <v>1</v>
      </c>
      <c r="F603" s="6" t="s">
        <v>5186</v>
      </c>
      <c r="G603" s="28" t="n">
        <f aca="false">IFERROR(INDEX('Semrush Data'!$A$1:$Z$20000,MATCH(A603,'Semrush Data'!$A$1:$A$20000,0),MATCH("Volume",'Semrush Data'!$A$1:$Z$1,0)),"")</f>
        <v>0</v>
      </c>
      <c r="H603" s="6" t="n">
        <f aca="false">IFERROR(INDEX('Semrush Data'!$A$1:$Z$20000,MATCH(A603,'Semrush Data'!$A$1:$A$20000,0),MATCH("Keyword Difficulty*",'Semrush Data'!$A$1:$Z$1,0)),"")</f>
        <v>34</v>
      </c>
      <c r="I603" s="29" t="n">
        <f aca="false">IFERROR(INDEX('Semrush Data'!$A$1:$Z$20000,MATCH(A603,'Semrush Data'!$A$1:$A$20000,0),MATCH("CPC*",'Semrush Data'!$A$1:$Z$1,0)),"")</f>
        <v>0</v>
      </c>
      <c r="J603" s="6" t="str">
        <f aca="false">IFERROR(INDEX('Semrush Data'!$A$1:$Z$20000,MATCH(A603,'Semrush Data'!$A$1:$A$20000,0),MATCH("Intent",'Semrush Data'!$A$1:$Z$1,0)),"")</f>
        <v>Informational Transactional</v>
      </c>
    </row>
    <row r="604" customFormat="false" ht="15" hidden="false" customHeight="true" outlineLevel="0" collapsed="false">
      <c r="A604" s="6" t="s">
        <v>5198</v>
      </c>
      <c r="B604" s="6" t="s">
        <v>41</v>
      </c>
      <c r="C604" s="6" t="n">
        <v>1</v>
      </c>
      <c r="D604" s="6" t="n">
        <v>7</v>
      </c>
      <c r="E604" s="6" t="n">
        <v>1</v>
      </c>
      <c r="F604" s="6" t="s">
        <v>5195</v>
      </c>
      <c r="G604" s="28" t="n">
        <f aca="false">IFERROR(INDEX('Semrush Data'!$A$1:$Z$20000,MATCH(A604,'Semrush Data'!$A$1:$A$20000,0),MATCH("Volume",'Semrush Data'!$A$1:$Z$1,0)),"")</f>
        <v>210</v>
      </c>
      <c r="H604" s="6" t="n">
        <f aca="false">IFERROR(INDEX('Semrush Data'!$A$1:$Z$20000,MATCH(A604,'Semrush Data'!$A$1:$A$20000,0),MATCH("Keyword Difficulty*",'Semrush Data'!$A$1:$Z$1,0)),"")</f>
        <v>12</v>
      </c>
      <c r="I604" s="29" t="n">
        <f aca="false">IFERROR(INDEX('Semrush Data'!$A$1:$Z$20000,MATCH(A604,'Semrush Data'!$A$1:$A$20000,0),MATCH("CPC*",'Semrush Data'!$A$1:$Z$1,0)),"")</f>
        <v>0.35</v>
      </c>
      <c r="J604" s="6" t="str">
        <f aca="false">IFERROR(INDEX('Semrush Data'!$A$1:$Z$20000,MATCH(A604,'Semrush Data'!$A$1:$A$20000,0),MATCH("Intent",'Semrush Data'!$A$1:$Z$1,0)),"")</f>
        <v>Informational</v>
      </c>
    </row>
    <row r="605" customFormat="false" ht="15" hidden="false" customHeight="true" outlineLevel="0" collapsed="false">
      <c r="A605" s="6" t="s">
        <v>5207</v>
      </c>
      <c r="B605" s="6" t="s">
        <v>41</v>
      </c>
      <c r="C605" s="6" t="n">
        <v>1</v>
      </c>
      <c r="D605" s="6" t="n">
        <v>7</v>
      </c>
      <c r="E605" s="6" t="n">
        <v>1</v>
      </c>
      <c r="F605" s="6" t="s">
        <v>55</v>
      </c>
      <c r="G605" s="28" t="n">
        <f aca="false">IFERROR(INDEX('Semrush Data'!$A$1:$Z$20000,MATCH(A605,'Semrush Data'!$A$1:$A$20000,0),MATCH("Volume",'Semrush Data'!$A$1:$Z$1,0)),"")</f>
        <v>9900</v>
      </c>
      <c r="H605" s="6" t="n">
        <f aca="false">IFERROR(INDEX('Semrush Data'!$A$1:$Z$20000,MATCH(A605,'Semrush Data'!$A$1:$A$20000,0),MATCH("Keyword Difficulty*",'Semrush Data'!$A$1:$Z$1,0)),"")</f>
        <v>23</v>
      </c>
      <c r="I605" s="29" t="n">
        <f aca="false">IFERROR(INDEX('Semrush Data'!$A$1:$Z$20000,MATCH(A605,'Semrush Data'!$A$1:$A$20000,0),MATCH("CPC*",'Semrush Data'!$A$1:$Z$1,0)),"")</f>
        <v>0.36</v>
      </c>
      <c r="J605" s="6" t="str">
        <f aca="false">IFERROR(INDEX('Semrush Data'!$A$1:$Z$20000,MATCH(A605,'Semrush Data'!$A$1:$A$20000,0),MATCH("Intent",'Semrush Data'!$A$1:$Z$1,0)),"")</f>
        <v>Informational Transactional</v>
      </c>
    </row>
    <row r="606" customFormat="false" ht="15" hidden="false" customHeight="true" outlineLevel="0" collapsed="false">
      <c r="A606" s="6" t="s">
        <v>5218</v>
      </c>
      <c r="B606" s="6" t="s">
        <v>41</v>
      </c>
      <c r="C606" s="6" t="n">
        <v>1</v>
      </c>
      <c r="D606" s="6" t="n">
        <v>7</v>
      </c>
      <c r="E606" s="6" t="n">
        <v>1</v>
      </c>
      <c r="F606" s="6" t="s">
        <v>5216</v>
      </c>
      <c r="G606" s="28" t="n">
        <f aca="false">IFERROR(INDEX('Semrush Data'!$A$1:$Z$20000,MATCH(A606,'Semrush Data'!$A$1:$A$20000,0),MATCH("Volume",'Semrush Data'!$A$1:$Z$1,0)),"")</f>
        <v>0</v>
      </c>
      <c r="H606" s="6" t="n">
        <f aca="false">IFERROR(INDEX('Semrush Data'!$A$1:$Z$20000,MATCH(A606,'Semrush Data'!$A$1:$A$20000,0),MATCH("Keyword Difficulty*",'Semrush Data'!$A$1:$Z$1,0)),"")</f>
        <v>21</v>
      </c>
      <c r="I606" s="29" t="n">
        <f aca="false">IFERROR(INDEX('Semrush Data'!$A$1:$Z$20000,MATCH(A606,'Semrush Data'!$A$1:$A$20000,0),MATCH("CPC*",'Semrush Data'!$A$1:$Z$1,0)),"")</f>
        <v>0</v>
      </c>
      <c r="J606" s="6" t="str">
        <f aca="false">IFERROR(INDEX('Semrush Data'!$A$1:$Z$20000,MATCH(A606,'Semrush Data'!$A$1:$A$20000,0),MATCH("Intent",'Semrush Data'!$A$1:$Z$1,0)),"")</f>
        <v>Informational</v>
      </c>
    </row>
    <row r="607" customFormat="false" ht="15" hidden="false" customHeight="true" outlineLevel="0" collapsed="false">
      <c r="A607" s="6" t="s">
        <v>5231</v>
      </c>
      <c r="B607" s="6" t="s">
        <v>41</v>
      </c>
      <c r="C607" s="6" t="n">
        <v>1</v>
      </c>
      <c r="D607" s="6" t="n">
        <v>7</v>
      </c>
      <c r="E607" s="6" t="n">
        <v>3</v>
      </c>
      <c r="F607" s="6" t="s">
        <v>6636</v>
      </c>
      <c r="G607" s="28" t="n">
        <f aca="false">IFERROR(INDEX('Semrush Data'!$A$1:$Z$20000,MATCH(A607,'Semrush Data'!$A$1:$A$20000,0),MATCH("Volume",'Semrush Data'!$A$1:$Z$1,0)),"")</f>
        <v>50</v>
      </c>
      <c r="H607" s="6" t="n">
        <f aca="false">IFERROR(INDEX('Semrush Data'!$A$1:$Z$20000,MATCH(A607,'Semrush Data'!$A$1:$A$20000,0),MATCH("Keyword Difficulty*",'Semrush Data'!$A$1:$Z$1,0)),"")</f>
        <v>16</v>
      </c>
      <c r="I607" s="29" t="n">
        <f aca="false">IFERROR(INDEX('Semrush Data'!$A$1:$Z$20000,MATCH(A607,'Semrush Data'!$A$1:$A$20000,0),MATCH("CPC*",'Semrush Data'!$A$1:$Z$1,0)),"")</f>
        <v>0</v>
      </c>
      <c r="J607" s="6" t="str">
        <f aca="false">IFERROR(INDEX('Semrush Data'!$A$1:$Z$20000,MATCH(A607,'Semrush Data'!$A$1:$A$20000,0),MATCH("Intent",'Semrush Data'!$A$1:$Z$1,0)),"")</f>
        <v>Informational</v>
      </c>
    </row>
    <row r="608" customFormat="false" ht="15" hidden="false" customHeight="true" outlineLevel="0" collapsed="false">
      <c r="A608" s="6" t="s">
        <v>5247</v>
      </c>
      <c r="B608" s="6" t="s">
        <v>41</v>
      </c>
      <c r="C608" s="6" t="n">
        <v>1</v>
      </c>
      <c r="D608" s="6" t="n">
        <v>7</v>
      </c>
      <c r="E608" s="6" t="n">
        <v>1</v>
      </c>
      <c r="F608" s="6" t="s">
        <v>5244</v>
      </c>
      <c r="G608" s="28" t="n">
        <f aca="false">IFERROR(INDEX('Semrush Data'!$A$1:$Z$20000,MATCH(A608,'Semrush Data'!$A$1:$A$20000,0),MATCH("Volume",'Semrush Data'!$A$1:$Z$1,0)),"")</f>
        <v>20</v>
      </c>
      <c r="H608" s="6" t="n">
        <f aca="false">IFERROR(INDEX('Semrush Data'!$A$1:$Z$20000,MATCH(A608,'Semrush Data'!$A$1:$A$20000,0),MATCH("Keyword Difficulty*",'Semrush Data'!$A$1:$Z$1,0)),"")</f>
        <v>18</v>
      </c>
      <c r="I608" s="29" t="n">
        <f aca="false">IFERROR(INDEX('Semrush Data'!$A$1:$Z$20000,MATCH(A608,'Semrush Data'!$A$1:$A$20000,0),MATCH("CPC*",'Semrush Data'!$A$1:$Z$1,0)),"")</f>
        <v>0</v>
      </c>
      <c r="J608" s="6" t="str">
        <f aca="false">IFERROR(INDEX('Semrush Data'!$A$1:$Z$20000,MATCH(A608,'Semrush Data'!$A$1:$A$20000,0),MATCH("Intent",'Semrush Data'!$A$1:$Z$1,0)),"")</f>
        <v>Informational Transactional</v>
      </c>
    </row>
    <row r="609" customFormat="false" ht="15" hidden="false" customHeight="true" outlineLevel="0" collapsed="false">
      <c r="A609" s="6" t="s">
        <v>5260</v>
      </c>
      <c r="B609" s="6" t="s">
        <v>41</v>
      </c>
      <c r="C609" s="6" t="n">
        <v>1</v>
      </c>
      <c r="D609" s="6" t="n">
        <v>7</v>
      </c>
      <c r="E609" s="6" t="n">
        <v>1</v>
      </c>
      <c r="F609" s="6" t="s">
        <v>5257</v>
      </c>
      <c r="G609" s="28" t="n">
        <f aca="false">IFERROR(INDEX('Semrush Data'!$A$1:$Z$20000,MATCH(A609,'Semrush Data'!$A$1:$A$20000,0),MATCH("Volume",'Semrush Data'!$A$1:$Z$1,0)),"")</f>
        <v>20</v>
      </c>
      <c r="H609" s="6" t="n">
        <f aca="false">IFERROR(INDEX('Semrush Data'!$A$1:$Z$20000,MATCH(A609,'Semrush Data'!$A$1:$A$20000,0),MATCH("Keyword Difficulty*",'Semrush Data'!$A$1:$Z$1,0)),"")</f>
        <v>9</v>
      </c>
      <c r="I609" s="29" t="n">
        <f aca="false">IFERROR(INDEX('Semrush Data'!$A$1:$Z$20000,MATCH(A609,'Semrush Data'!$A$1:$A$20000,0),MATCH("CPC*",'Semrush Data'!$A$1:$Z$1,0)),"")</f>
        <v>0</v>
      </c>
      <c r="J609" s="6" t="str">
        <f aca="false">IFERROR(INDEX('Semrush Data'!$A$1:$Z$20000,MATCH(A609,'Semrush Data'!$A$1:$A$20000,0),MATCH("Intent",'Semrush Data'!$A$1:$Z$1,0)),"")</f>
        <v>Informational</v>
      </c>
    </row>
    <row r="610" customFormat="false" ht="15" hidden="false" customHeight="true" outlineLevel="0" collapsed="false">
      <c r="A610" s="6" t="s">
        <v>5273</v>
      </c>
      <c r="B610" s="6" t="s">
        <v>41</v>
      </c>
      <c r="C610" s="6" t="n">
        <v>1</v>
      </c>
      <c r="D610" s="6" t="n">
        <v>7</v>
      </c>
      <c r="E610" s="6" t="n">
        <v>1</v>
      </c>
      <c r="F610" s="6" t="s">
        <v>5270</v>
      </c>
      <c r="G610" s="28" t="n">
        <f aca="false">IFERROR(INDEX('Semrush Data'!$A$1:$Z$20000,MATCH(A610,'Semrush Data'!$A$1:$A$20000,0),MATCH("Volume",'Semrush Data'!$A$1:$Z$1,0)),"")</f>
        <v>20</v>
      </c>
      <c r="H610" s="6" t="n">
        <f aca="false">IFERROR(INDEX('Semrush Data'!$A$1:$Z$20000,MATCH(A610,'Semrush Data'!$A$1:$A$20000,0),MATCH("Keyword Difficulty*",'Semrush Data'!$A$1:$Z$1,0)),"")</f>
        <v>0</v>
      </c>
      <c r="I610" s="29" t="n">
        <f aca="false">IFERROR(INDEX('Semrush Data'!$A$1:$Z$20000,MATCH(A610,'Semrush Data'!$A$1:$A$20000,0),MATCH("CPC*",'Semrush Data'!$A$1:$Z$1,0)),"")</f>
        <v>0</v>
      </c>
      <c r="J610" s="6" t="str">
        <f aca="false">IFERROR(INDEX('Semrush Data'!$A$1:$Z$20000,MATCH(A610,'Semrush Data'!$A$1:$A$20000,0),MATCH("Intent",'Semrush Data'!$A$1:$Z$1,0)),"")</f>
        <v>Informational</v>
      </c>
    </row>
    <row r="611" customFormat="false" ht="15" hidden="false" customHeight="true" outlineLevel="0" collapsed="false">
      <c r="A611" s="6" t="s">
        <v>5975</v>
      </c>
      <c r="B611" s="6" t="s">
        <v>41</v>
      </c>
      <c r="C611" s="6" t="n">
        <v>1</v>
      </c>
      <c r="D611" s="6" t="n">
        <v>7</v>
      </c>
      <c r="E611" s="6" t="n">
        <v>1</v>
      </c>
      <c r="F611" s="6" t="s">
        <v>5973</v>
      </c>
      <c r="G611" s="28" t="n">
        <f aca="false">IFERROR(INDEX('Semrush Data'!$A$1:$Z$20000,MATCH(A611,'Semrush Data'!$A$1:$A$20000,0),MATCH("Volume",'Semrush Data'!$A$1:$Z$1,0)),"")</f>
        <v>20</v>
      </c>
      <c r="H611" s="6" t="n">
        <f aca="false">IFERROR(INDEX('Semrush Data'!$A$1:$Z$20000,MATCH(A611,'Semrush Data'!$A$1:$A$20000,0),MATCH("Keyword Difficulty*",'Semrush Data'!$A$1:$Z$1,0)),"")</f>
        <v>19</v>
      </c>
      <c r="I611" s="29" t="n">
        <f aca="false">IFERROR(INDEX('Semrush Data'!$A$1:$Z$20000,MATCH(A611,'Semrush Data'!$A$1:$A$20000,0),MATCH("CPC*",'Semrush Data'!$A$1:$Z$1,0)),"")</f>
        <v>0</v>
      </c>
      <c r="J611" s="6" t="str">
        <f aca="false">IFERROR(INDEX('Semrush Data'!$A$1:$Z$20000,MATCH(A611,'Semrush Data'!$A$1:$A$20000,0),MATCH("Intent",'Semrush Data'!$A$1:$Z$1,0)),"")</f>
        <v>Navigational</v>
      </c>
    </row>
    <row r="612" customFormat="false" ht="15" hidden="false" customHeight="true" outlineLevel="0" collapsed="false">
      <c r="A612" s="6" t="s">
        <v>5285</v>
      </c>
      <c r="B612" s="6" t="s">
        <v>41</v>
      </c>
      <c r="C612" s="6" t="n">
        <v>1</v>
      </c>
      <c r="D612" s="6" t="n">
        <v>7</v>
      </c>
      <c r="E612" s="6" t="n">
        <v>1</v>
      </c>
      <c r="F612" s="6" t="s">
        <v>5282</v>
      </c>
      <c r="G612" s="28" t="n">
        <f aca="false">IFERROR(INDEX('Semrush Data'!$A$1:$Z$20000,MATCH(A612,'Semrush Data'!$A$1:$A$20000,0),MATCH("Volume",'Semrush Data'!$A$1:$Z$1,0)),"")</f>
        <v>0</v>
      </c>
      <c r="H612" s="6" t="n">
        <f aca="false">IFERROR(INDEX('Semrush Data'!$A$1:$Z$20000,MATCH(A612,'Semrush Data'!$A$1:$A$20000,0),MATCH("Keyword Difficulty*",'Semrush Data'!$A$1:$Z$1,0)),"")</f>
        <v>13</v>
      </c>
      <c r="I612" s="29" t="n">
        <f aca="false">IFERROR(INDEX('Semrush Data'!$A$1:$Z$20000,MATCH(A612,'Semrush Data'!$A$1:$A$20000,0),MATCH("CPC*",'Semrush Data'!$A$1:$Z$1,0)),"")</f>
        <v>0</v>
      </c>
      <c r="J612" s="6" t="str">
        <f aca="false">IFERROR(INDEX('Semrush Data'!$A$1:$Z$20000,MATCH(A612,'Semrush Data'!$A$1:$A$20000,0),MATCH("Intent",'Semrush Data'!$A$1:$Z$1,0)),"")</f>
        <v>Navigational</v>
      </c>
    </row>
    <row r="613" customFormat="false" ht="15" hidden="false" customHeight="true" outlineLevel="0" collapsed="false">
      <c r="A613" s="6" t="s">
        <v>5320</v>
      </c>
      <c r="B613" s="6" t="s">
        <v>41</v>
      </c>
      <c r="C613" s="6" t="n">
        <v>1</v>
      </c>
      <c r="D613" s="6" t="n">
        <v>7</v>
      </c>
      <c r="E613" s="6" t="n">
        <v>1</v>
      </c>
      <c r="F613" s="6" t="s">
        <v>5318</v>
      </c>
      <c r="G613" s="28" t="n">
        <f aca="false">IFERROR(INDEX('Semrush Data'!$A$1:$Z$20000,MATCH(A613,'Semrush Data'!$A$1:$A$20000,0),MATCH("Volume",'Semrush Data'!$A$1:$Z$1,0)),"")</f>
        <v>0</v>
      </c>
      <c r="H613" s="6" t="n">
        <f aca="false">IFERROR(INDEX('Semrush Data'!$A$1:$Z$20000,MATCH(A613,'Semrush Data'!$A$1:$A$20000,0),MATCH("Keyword Difficulty*",'Semrush Data'!$A$1:$Z$1,0)),"")</f>
        <v>6</v>
      </c>
      <c r="I613" s="29" t="n">
        <f aca="false">IFERROR(INDEX('Semrush Data'!$A$1:$Z$20000,MATCH(A613,'Semrush Data'!$A$1:$A$20000,0),MATCH("CPC*",'Semrush Data'!$A$1:$Z$1,0)),"")</f>
        <v>0</v>
      </c>
      <c r="J613" s="6" t="str">
        <f aca="false">IFERROR(INDEX('Semrush Data'!$A$1:$Z$20000,MATCH(A613,'Semrush Data'!$A$1:$A$20000,0),MATCH("Intent",'Semrush Data'!$A$1:$Z$1,0)),"")</f>
        <v>Navigational</v>
      </c>
    </row>
    <row r="614" customFormat="false" ht="15" hidden="false" customHeight="true" outlineLevel="0" collapsed="false">
      <c r="A614" s="6" t="s">
        <v>5343</v>
      </c>
      <c r="B614" s="6" t="s">
        <v>41</v>
      </c>
      <c r="C614" s="6" t="n">
        <v>1</v>
      </c>
      <c r="D614" s="6" t="n">
        <v>7</v>
      </c>
      <c r="E614" s="6" t="n">
        <v>1</v>
      </c>
      <c r="F614" s="6" t="s">
        <v>5340</v>
      </c>
      <c r="G614" s="28" t="n">
        <f aca="false">IFERROR(INDEX('Semrush Data'!$A$1:$Z$20000,MATCH(A614,'Semrush Data'!$A$1:$A$20000,0),MATCH("Volume",'Semrush Data'!$A$1:$Z$1,0)),"")</f>
        <v>0</v>
      </c>
      <c r="H614" s="6" t="n">
        <f aca="false">IFERROR(INDEX('Semrush Data'!$A$1:$Z$20000,MATCH(A614,'Semrush Data'!$A$1:$A$20000,0),MATCH("Keyword Difficulty*",'Semrush Data'!$A$1:$Z$1,0)),"")</f>
        <v>16</v>
      </c>
      <c r="I614" s="29" t="n">
        <f aca="false">IFERROR(INDEX('Semrush Data'!$A$1:$Z$20000,MATCH(A614,'Semrush Data'!$A$1:$A$20000,0),MATCH("CPC*",'Semrush Data'!$A$1:$Z$1,0)),"")</f>
        <v>0</v>
      </c>
      <c r="J614" s="6" t="str">
        <f aca="false">IFERROR(INDEX('Semrush Data'!$A$1:$Z$20000,MATCH(A614,'Semrush Data'!$A$1:$A$20000,0),MATCH("Intent",'Semrush Data'!$A$1:$Z$1,0)),"")</f>
        <v>Informational</v>
      </c>
    </row>
    <row r="615" customFormat="false" ht="15" hidden="false" customHeight="true" outlineLevel="0" collapsed="false">
      <c r="A615" s="6" t="s">
        <v>5330</v>
      </c>
      <c r="B615" s="6" t="s">
        <v>41</v>
      </c>
      <c r="C615" s="6" t="n">
        <v>1</v>
      </c>
      <c r="D615" s="6" t="n">
        <v>7</v>
      </c>
      <c r="E615" s="6" t="n">
        <v>1</v>
      </c>
      <c r="F615" s="6" t="s">
        <v>5328</v>
      </c>
      <c r="G615" s="28" t="n">
        <f aca="false">IFERROR(INDEX('Semrush Data'!$A$1:$Z$20000,MATCH(A615,'Semrush Data'!$A$1:$A$20000,0),MATCH("Volume",'Semrush Data'!$A$1:$Z$1,0)),"")</f>
        <v>0</v>
      </c>
      <c r="H615" s="6" t="n">
        <f aca="false">IFERROR(INDEX('Semrush Data'!$A$1:$Z$20000,MATCH(A615,'Semrush Data'!$A$1:$A$20000,0),MATCH("Keyword Difficulty*",'Semrush Data'!$A$1:$Z$1,0)),"")</f>
        <v>14</v>
      </c>
      <c r="I615" s="29" t="n">
        <f aca="false">IFERROR(INDEX('Semrush Data'!$A$1:$Z$20000,MATCH(A615,'Semrush Data'!$A$1:$A$20000,0),MATCH("CPC*",'Semrush Data'!$A$1:$Z$1,0)),"")</f>
        <v>0</v>
      </c>
      <c r="J615" s="6" t="str">
        <f aca="false">IFERROR(INDEX('Semrush Data'!$A$1:$Z$20000,MATCH(A615,'Semrush Data'!$A$1:$A$20000,0),MATCH("Intent",'Semrush Data'!$A$1:$Z$1,0)),"")</f>
        <v>Informational</v>
      </c>
    </row>
    <row r="616" customFormat="false" ht="15" hidden="false" customHeight="true" outlineLevel="0" collapsed="false">
      <c r="A616" s="6" t="s">
        <v>5297</v>
      </c>
      <c r="B616" s="6" t="s">
        <v>41</v>
      </c>
      <c r="C616" s="6" t="n">
        <v>1</v>
      </c>
      <c r="D616" s="6" t="n">
        <v>7</v>
      </c>
      <c r="E616" s="6" t="n">
        <v>1</v>
      </c>
      <c r="F616" s="6" t="s">
        <v>5294</v>
      </c>
      <c r="G616" s="28" t="n">
        <f aca="false">IFERROR(INDEX('Semrush Data'!$A$1:$Z$20000,MATCH(A616,'Semrush Data'!$A$1:$A$20000,0),MATCH("Volume",'Semrush Data'!$A$1:$Z$1,0)),"")</f>
        <v>20</v>
      </c>
      <c r="H616" s="6" t="n">
        <f aca="false">IFERROR(INDEX('Semrush Data'!$A$1:$Z$20000,MATCH(A616,'Semrush Data'!$A$1:$A$20000,0),MATCH("Keyword Difficulty*",'Semrush Data'!$A$1:$Z$1,0)),"")</f>
        <v>12</v>
      </c>
      <c r="I616" s="29" t="n">
        <f aca="false">IFERROR(INDEX('Semrush Data'!$A$1:$Z$20000,MATCH(A616,'Semrush Data'!$A$1:$A$20000,0),MATCH("CPC*",'Semrush Data'!$A$1:$Z$1,0)),"")</f>
        <v>0</v>
      </c>
      <c r="J616" s="6" t="str">
        <f aca="false">IFERROR(INDEX('Semrush Data'!$A$1:$Z$20000,MATCH(A616,'Semrush Data'!$A$1:$A$20000,0),MATCH("Intent",'Semrush Data'!$A$1:$Z$1,0)),"")</f>
        <v>Transactional Navigational</v>
      </c>
    </row>
    <row r="617" customFormat="false" ht="15" hidden="false" customHeight="true" outlineLevel="0" collapsed="false">
      <c r="A617" s="6" t="s">
        <v>5309</v>
      </c>
      <c r="B617" s="6" t="s">
        <v>41</v>
      </c>
      <c r="C617" s="6" t="n">
        <v>1</v>
      </c>
      <c r="D617" s="6" t="n">
        <v>7</v>
      </c>
      <c r="E617" s="6" t="n">
        <v>1</v>
      </c>
      <c r="F617" s="6" t="s">
        <v>5307</v>
      </c>
      <c r="G617" s="28" t="n">
        <f aca="false">IFERROR(INDEX('Semrush Data'!$A$1:$Z$20000,MATCH(A617,'Semrush Data'!$A$1:$A$20000,0),MATCH("Volume",'Semrush Data'!$A$1:$Z$1,0)),"")</f>
        <v>10</v>
      </c>
      <c r="H617" s="6" t="n">
        <f aca="false">IFERROR(INDEX('Semrush Data'!$A$1:$Z$20000,MATCH(A617,'Semrush Data'!$A$1:$A$20000,0),MATCH("Keyword Difficulty*",'Semrush Data'!$A$1:$Z$1,0)),"")</f>
        <v>6</v>
      </c>
      <c r="I617" s="29" t="n">
        <f aca="false">IFERROR(INDEX('Semrush Data'!$A$1:$Z$20000,MATCH(A617,'Semrush Data'!$A$1:$A$20000,0),MATCH("CPC*",'Semrush Data'!$A$1:$Z$1,0)),"")</f>
        <v>0</v>
      </c>
      <c r="J617" s="6" t="str">
        <f aca="false">IFERROR(INDEX('Semrush Data'!$A$1:$Z$20000,MATCH(A617,'Semrush Data'!$A$1:$A$20000,0),MATCH("Intent",'Semrush Data'!$A$1:$Z$1,0)),"")</f>
        <v>Informational Transactional</v>
      </c>
    </row>
    <row r="618" customFormat="false" ht="15" hidden="false" customHeight="true" outlineLevel="0" collapsed="false">
      <c r="A618" s="6" t="s">
        <v>5352</v>
      </c>
      <c r="B618" s="6" t="s">
        <v>41</v>
      </c>
      <c r="C618" s="6" t="n">
        <v>1</v>
      </c>
      <c r="D618" s="6" t="n">
        <v>7</v>
      </c>
      <c r="E618" s="6" t="n">
        <v>1</v>
      </c>
      <c r="F618" s="6" t="s">
        <v>5349</v>
      </c>
      <c r="G618" s="28" t="n">
        <f aca="false">IFERROR(INDEX('Semrush Data'!$A$1:$Z$20000,MATCH(A618,'Semrush Data'!$A$1:$A$20000,0),MATCH("Volume",'Semrush Data'!$A$1:$Z$1,0)),"")</f>
        <v>20</v>
      </c>
      <c r="H618" s="6" t="n">
        <f aca="false">IFERROR(INDEX('Semrush Data'!$A$1:$Z$20000,MATCH(A618,'Semrush Data'!$A$1:$A$20000,0),MATCH("Keyword Difficulty*",'Semrush Data'!$A$1:$Z$1,0)),"")</f>
        <v>8</v>
      </c>
      <c r="I618" s="29" t="n">
        <f aca="false">IFERROR(INDEX('Semrush Data'!$A$1:$Z$20000,MATCH(A618,'Semrush Data'!$A$1:$A$20000,0),MATCH("CPC*",'Semrush Data'!$A$1:$Z$1,0)),"")</f>
        <v>0</v>
      </c>
      <c r="J618" s="6" t="str">
        <f aca="false">IFERROR(INDEX('Semrush Data'!$A$1:$Z$20000,MATCH(A618,'Semrush Data'!$A$1:$A$20000,0),MATCH("Intent",'Semrush Data'!$A$1:$Z$1,0)),"")</f>
        <v>Informational Transactional</v>
      </c>
    </row>
    <row r="619" customFormat="false" ht="15" hidden="false" customHeight="true" outlineLevel="0" collapsed="false">
      <c r="A619" s="6" t="s">
        <v>5364</v>
      </c>
      <c r="B619" s="6" t="s">
        <v>41</v>
      </c>
      <c r="C619" s="6" t="n">
        <v>1</v>
      </c>
      <c r="D619" s="6" t="n">
        <v>7</v>
      </c>
      <c r="E619" s="6" t="n">
        <v>1</v>
      </c>
      <c r="F619" s="6" t="s">
        <v>5362</v>
      </c>
      <c r="G619" s="28" t="n">
        <f aca="false">IFERROR(INDEX('Semrush Data'!$A$1:$Z$20000,MATCH(A619,'Semrush Data'!$A$1:$A$20000,0),MATCH("Volume",'Semrush Data'!$A$1:$Z$1,0)),"")</f>
        <v>20</v>
      </c>
      <c r="H619" s="6" t="n">
        <f aca="false">IFERROR(INDEX('Semrush Data'!$A$1:$Z$20000,MATCH(A619,'Semrush Data'!$A$1:$A$20000,0),MATCH("Keyword Difficulty*",'Semrush Data'!$A$1:$Z$1,0)),"")</f>
        <v>3</v>
      </c>
      <c r="I619" s="29" t="n">
        <f aca="false">IFERROR(INDEX('Semrush Data'!$A$1:$Z$20000,MATCH(A619,'Semrush Data'!$A$1:$A$20000,0),MATCH("CPC*",'Semrush Data'!$A$1:$Z$1,0)),"")</f>
        <v>0</v>
      </c>
      <c r="J619" s="6" t="str">
        <f aca="false">IFERROR(INDEX('Semrush Data'!$A$1:$Z$20000,MATCH(A619,'Semrush Data'!$A$1:$A$20000,0),MATCH("Intent",'Semrush Data'!$A$1:$Z$1,0)),"")</f>
        <v>Informational</v>
      </c>
    </row>
    <row r="620" customFormat="false" ht="15" hidden="false" customHeight="true" outlineLevel="0" collapsed="false">
      <c r="A620" s="6" t="s">
        <v>5375</v>
      </c>
      <c r="B620" s="6" t="s">
        <v>41</v>
      </c>
      <c r="C620" s="6" t="n">
        <v>1</v>
      </c>
      <c r="D620" s="6" t="n">
        <v>7</v>
      </c>
      <c r="E620" s="6" t="n">
        <v>1</v>
      </c>
      <c r="F620" s="6" t="s">
        <v>5373</v>
      </c>
      <c r="G620" s="28" t="n">
        <f aca="false">IFERROR(INDEX('Semrush Data'!$A$1:$Z$20000,MATCH(A620,'Semrush Data'!$A$1:$A$20000,0),MATCH("Volume",'Semrush Data'!$A$1:$Z$1,0)),"")</f>
        <v>0</v>
      </c>
      <c r="H620" s="6" t="n">
        <f aca="false">IFERROR(INDEX('Semrush Data'!$A$1:$Z$20000,MATCH(A620,'Semrush Data'!$A$1:$A$20000,0),MATCH("Keyword Difficulty*",'Semrush Data'!$A$1:$Z$1,0)),"")</f>
        <v>12</v>
      </c>
      <c r="I620" s="29" t="n">
        <f aca="false">IFERROR(INDEX('Semrush Data'!$A$1:$Z$20000,MATCH(A620,'Semrush Data'!$A$1:$A$20000,0),MATCH("CPC*",'Semrush Data'!$A$1:$Z$1,0)),"")</f>
        <v>0</v>
      </c>
      <c r="J620" s="6" t="str">
        <f aca="false">IFERROR(INDEX('Semrush Data'!$A$1:$Z$20000,MATCH(A620,'Semrush Data'!$A$1:$A$20000,0),MATCH("Intent",'Semrush Data'!$A$1:$Z$1,0)),"")</f>
        <v>Informational</v>
      </c>
    </row>
    <row r="621" customFormat="false" ht="15" hidden="false" customHeight="true" outlineLevel="0" collapsed="false">
      <c r="A621" s="6" t="s">
        <v>5387</v>
      </c>
      <c r="B621" s="6" t="s">
        <v>41</v>
      </c>
      <c r="C621" s="6" t="n">
        <v>1</v>
      </c>
      <c r="D621" s="6" t="n">
        <v>7</v>
      </c>
      <c r="E621" s="6" t="n">
        <v>1</v>
      </c>
      <c r="F621" s="6" t="s">
        <v>5385</v>
      </c>
      <c r="G621" s="28" t="n">
        <f aca="false">IFERROR(INDEX('Semrush Data'!$A$1:$Z$20000,MATCH(A621,'Semrush Data'!$A$1:$A$20000,0),MATCH("Volume",'Semrush Data'!$A$1:$Z$1,0)),"")</f>
        <v>0</v>
      </c>
      <c r="H621" s="6" t="n">
        <f aca="false">IFERROR(INDEX('Semrush Data'!$A$1:$Z$20000,MATCH(A621,'Semrush Data'!$A$1:$A$20000,0),MATCH("Keyword Difficulty*",'Semrush Data'!$A$1:$Z$1,0)),"")</f>
        <v>9</v>
      </c>
      <c r="I621" s="29" t="n">
        <f aca="false">IFERROR(INDEX('Semrush Data'!$A$1:$Z$20000,MATCH(A621,'Semrush Data'!$A$1:$A$20000,0),MATCH("CPC*",'Semrush Data'!$A$1:$Z$1,0)),"")</f>
        <v>0</v>
      </c>
      <c r="J621" s="6" t="str">
        <f aca="false">IFERROR(INDEX('Semrush Data'!$A$1:$Z$20000,MATCH(A621,'Semrush Data'!$A$1:$A$20000,0),MATCH("Intent",'Semrush Data'!$A$1:$Z$1,0)),"")</f>
        <v>Informational</v>
      </c>
    </row>
    <row r="622" customFormat="false" ht="15" hidden="false" customHeight="true" outlineLevel="0" collapsed="false">
      <c r="A622" s="6" t="s">
        <v>5396</v>
      </c>
      <c r="B622" s="6" t="s">
        <v>41</v>
      </c>
      <c r="C622" s="6" t="n">
        <v>1</v>
      </c>
      <c r="D622" s="6" t="n">
        <v>7</v>
      </c>
      <c r="E622" s="6" t="n">
        <v>1</v>
      </c>
      <c r="F622" s="6" t="s">
        <v>143</v>
      </c>
      <c r="G622" s="28" t="n">
        <f aca="false">IFERROR(INDEX('Semrush Data'!$A$1:$Z$20000,MATCH(A622,'Semrush Data'!$A$1:$A$20000,0),MATCH("Volume",'Semrush Data'!$A$1:$Z$1,0)),"")</f>
        <v>320</v>
      </c>
      <c r="H622" s="6" t="n">
        <f aca="false">IFERROR(INDEX('Semrush Data'!$A$1:$Z$20000,MATCH(A622,'Semrush Data'!$A$1:$A$20000,0),MATCH("Keyword Difficulty*",'Semrush Data'!$A$1:$Z$1,0)),"")</f>
        <v>16</v>
      </c>
      <c r="I622" s="29" t="n">
        <f aca="false">IFERROR(INDEX('Semrush Data'!$A$1:$Z$20000,MATCH(A622,'Semrush Data'!$A$1:$A$20000,0),MATCH("CPC*",'Semrush Data'!$A$1:$Z$1,0)),"")</f>
        <v>0.63</v>
      </c>
      <c r="J622" s="6" t="str">
        <f aca="false">IFERROR(INDEX('Semrush Data'!$A$1:$Z$20000,MATCH(A622,'Semrush Data'!$A$1:$A$20000,0),MATCH("Intent",'Semrush Data'!$A$1:$Z$1,0)),"")</f>
        <v>Informational Transactional</v>
      </c>
    </row>
    <row r="623" customFormat="false" ht="15" hidden="false" customHeight="true" outlineLevel="0" collapsed="false">
      <c r="A623" s="6" t="s">
        <v>5408</v>
      </c>
      <c r="B623" s="6" t="s">
        <v>41</v>
      </c>
      <c r="C623" s="6" t="n">
        <v>1</v>
      </c>
      <c r="D623" s="6" t="n">
        <v>7</v>
      </c>
      <c r="E623" s="6" t="n">
        <v>1</v>
      </c>
      <c r="F623" s="6" t="s">
        <v>5406</v>
      </c>
      <c r="G623" s="28" t="n">
        <f aca="false">IFERROR(INDEX('Semrush Data'!$A$1:$Z$20000,MATCH(A623,'Semrush Data'!$A$1:$A$20000,0),MATCH("Volume",'Semrush Data'!$A$1:$Z$1,0)),"")</f>
        <v>20</v>
      </c>
      <c r="H623" s="6" t="n">
        <f aca="false">IFERROR(INDEX('Semrush Data'!$A$1:$Z$20000,MATCH(A623,'Semrush Data'!$A$1:$A$20000,0),MATCH("Keyword Difficulty*",'Semrush Data'!$A$1:$Z$1,0)),"")</f>
        <v>17</v>
      </c>
      <c r="I623" s="29" t="n">
        <f aca="false">IFERROR(INDEX('Semrush Data'!$A$1:$Z$20000,MATCH(A623,'Semrush Data'!$A$1:$A$20000,0),MATCH("CPC*",'Semrush Data'!$A$1:$Z$1,0)),"")</f>
        <v>0</v>
      </c>
      <c r="J623" s="6" t="str">
        <f aca="false">IFERROR(INDEX('Semrush Data'!$A$1:$Z$20000,MATCH(A623,'Semrush Data'!$A$1:$A$20000,0),MATCH("Intent",'Semrush Data'!$A$1:$Z$1,0)),"")</f>
        <v>Navigational</v>
      </c>
    </row>
    <row r="624" customFormat="false" ht="15" hidden="false" customHeight="true" outlineLevel="0" collapsed="false">
      <c r="A624" s="6" t="s">
        <v>4463</v>
      </c>
      <c r="B624" s="6" t="s">
        <v>41</v>
      </c>
      <c r="C624" s="6" t="n">
        <v>1</v>
      </c>
      <c r="D624" s="6" t="n">
        <v>7</v>
      </c>
      <c r="E624" s="6" t="n">
        <v>1</v>
      </c>
      <c r="F624" s="6" t="s">
        <v>4461</v>
      </c>
      <c r="G624" s="28" t="n">
        <f aca="false">IFERROR(INDEX('Semrush Data'!$A$1:$Z$20000,MATCH(A624,'Semrush Data'!$A$1:$A$20000,0),MATCH("Volume",'Semrush Data'!$A$1:$Z$1,0)),"")</f>
        <v>0</v>
      </c>
      <c r="H624" s="6" t="n">
        <f aca="false">IFERROR(INDEX('Semrush Data'!$A$1:$Z$20000,MATCH(A624,'Semrush Data'!$A$1:$A$20000,0),MATCH("Keyword Difficulty*",'Semrush Data'!$A$1:$Z$1,0)),"")</f>
        <v>27</v>
      </c>
      <c r="I624" s="29" t="n">
        <f aca="false">IFERROR(INDEX('Semrush Data'!$A$1:$Z$20000,MATCH(A624,'Semrush Data'!$A$1:$A$20000,0),MATCH("CPC*",'Semrush Data'!$A$1:$Z$1,0)),"")</f>
        <v>0</v>
      </c>
      <c r="J624" s="6" t="str">
        <f aca="false">IFERROR(INDEX('Semrush Data'!$A$1:$Z$20000,MATCH(A624,'Semrush Data'!$A$1:$A$20000,0),MATCH("Intent",'Semrush Data'!$A$1:$Z$1,0)),"")</f>
        <v>Informational</v>
      </c>
    </row>
    <row r="625" customFormat="false" ht="15" hidden="false" customHeight="true" outlineLevel="0" collapsed="false">
      <c r="A625" s="6" t="s">
        <v>4473</v>
      </c>
      <c r="B625" s="6" t="s">
        <v>41</v>
      </c>
      <c r="C625" s="6" t="n">
        <v>1</v>
      </c>
      <c r="D625" s="6" t="n">
        <v>7</v>
      </c>
      <c r="E625" s="6" t="n">
        <v>1</v>
      </c>
      <c r="F625" s="6" t="s">
        <v>4471</v>
      </c>
      <c r="G625" s="28" t="n">
        <f aca="false">IFERROR(INDEX('Semrush Data'!$A$1:$Z$20000,MATCH(A625,'Semrush Data'!$A$1:$A$20000,0),MATCH("Volume",'Semrush Data'!$A$1:$Z$1,0)),"")</f>
        <v>0</v>
      </c>
      <c r="H625" s="6" t="n">
        <f aca="false">IFERROR(INDEX('Semrush Data'!$A$1:$Z$20000,MATCH(A625,'Semrush Data'!$A$1:$A$20000,0),MATCH("Keyword Difficulty*",'Semrush Data'!$A$1:$Z$1,0)),"")</f>
        <v>14</v>
      </c>
      <c r="I625" s="29" t="n">
        <f aca="false">IFERROR(INDEX('Semrush Data'!$A$1:$Z$20000,MATCH(A625,'Semrush Data'!$A$1:$A$20000,0),MATCH("CPC*",'Semrush Data'!$A$1:$Z$1,0)),"")</f>
        <v>0</v>
      </c>
      <c r="J625" s="6" t="str">
        <f aca="false">IFERROR(INDEX('Semrush Data'!$A$1:$Z$20000,MATCH(A625,'Semrush Data'!$A$1:$A$20000,0),MATCH("Intent",'Semrush Data'!$A$1:$Z$1,0)),"")</f>
        <v>Navigational</v>
      </c>
    </row>
    <row r="626" customFormat="false" ht="15" hidden="false" customHeight="true" outlineLevel="0" collapsed="false">
      <c r="A626" s="6" t="s">
        <v>4484</v>
      </c>
      <c r="B626" s="6" t="s">
        <v>41</v>
      </c>
      <c r="C626" s="6" t="n">
        <v>1</v>
      </c>
      <c r="D626" s="6" t="n">
        <v>7</v>
      </c>
      <c r="E626" s="6" t="n">
        <v>1</v>
      </c>
      <c r="F626" s="6" t="s">
        <v>4482</v>
      </c>
      <c r="G626" s="28" t="n">
        <f aca="false">IFERROR(INDEX('Semrush Data'!$A$1:$Z$20000,MATCH(A626,'Semrush Data'!$A$1:$A$20000,0),MATCH("Volume",'Semrush Data'!$A$1:$Z$1,0)),"")</f>
        <v>0</v>
      </c>
      <c r="H626" s="6" t="n">
        <f aca="false">IFERROR(INDEX('Semrush Data'!$A$1:$Z$20000,MATCH(A626,'Semrush Data'!$A$1:$A$20000,0),MATCH("Keyword Difficulty*",'Semrush Data'!$A$1:$Z$1,0)),"")</f>
        <v>22</v>
      </c>
      <c r="I626" s="29" t="n">
        <f aca="false">IFERROR(INDEX('Semrush Data'!$A$1:$Z$20000,MATCH(A626,'Semrush Data'!$A$1:$A$20000,0),MATCH("CPC*",'Semrush Data'!$A$1:$Z$1,0)),"")</f>
        <v>0</v>
      </c>
      <c r="J626" s="6" t="str">
        <f aca="false">IFERROR(INDEX('Semrush Data'!$A$1:$Z$20000,MATCH(A626,'Semrush Data'!$A$1:$A$20000,0),MATCH("Intent",'Semrush Data'!$A$1:$Z$1,0)),"")</f>
        <v>Navigational</v>
      </c>
    </row>
    <row r="627" customFormat="false" ht="15" hidden="false" customHeight="true" outlineLevel="0" collapsed="false">
      <c r="A627" s="6" t="s">
        <v>4494</v>
      </c>
      <c r="B627" s="6" t="s">
        <v>41</v>
      </c>
      <c r="C627" s="6" t="n">
        <v>1</v>
      </c>
      <c r="D627" s="6" t="n">
        <v>7</v>
      </c>
      <c r="E627" s="6" t="n">
        <v>1</v>
      </c>
      <c r="F627" s="6" t="s">
        <v>4492</v>
      </c>
      <c r="G627" s="28" t="n">
        <f aca="false">IFERROR(INDEX('Semrush Data'!$A$1:$Z$20000,MATCH(A627,'Semrush Data'!$A$1:$A$20000,0),MATCH("Volume",'Semrush Data'!$A$1:$Z$1,0)),"")</f>
        <v>0</v>
      </c>
      <c r="H627" s="6" t="n">
        <f aca="false">IFERROR(INDEX('Semrush Data'!$A$1:$Z$20000,MATCH(A627,'Semrush Data'!$A$1:$A$20000,0),MATCH("Keyword Difficulty*",'Semrush Data'!$A$1:$Z$1,0)),"")</f>
        <v>24</v>
      </c>
      <c r="I627" s="29" t="n">
        <f aca="false">IFERROR(INDEX('Semrush Data'!$A$1:$Z$20000,MATCH(A627,'Semrush Data'!$A$1:$A$20000,0),MATCH("CPC*",'Semrush Data'!$A$1:$Z$1,0)),"")</f>
        <v>0</v>
      </c>
      <c r="J627" s="6" t="str">
        <f aca="false">IFERROR(INDEX('Semrush Data'!$A$1:$Z$20000,MATCH(A627,'Semrush Data'!$A$1:$A$20000,0),MATCH("Intent",'Semrush Data'!$A$1:$Z$1,0)),"")</f>
        <v>Informational</v>
      </c>
    </row>
    <row r="628" customFormat="false" ht="15" hidden="false" customHeight="true" outlineLevel="0" collapsed="false">
      <c r="A628" s="6" t="s">
        <v>4504</v>
      </c>
      <c r="B628" s="6" t="s">
        <v>41</v>
      </c>
      <c r="C628" s="6" t="n">
        <v>1</v>
      </c>
      <c r="D628" s="6" t="n">
        <v>7</v>
      </c>
      <c r="E628" s="6" t="n">
        <v>1</v>
      </c>
      <c r="F628" s="6" t="s">
        <v>4502</v>
      </c>
      <c r="G628" s="28" t="n">
        <f aca="false">IFERROR(INDEX('Semrush Data'!$A$1:$Z$20000,MATCH(A628,'Semrush Data'!$A$1:$A$20000,0),MATCH("Volume",'Semrush Data'!$A$1:$Z$1,0)),"")</f>
        <v>0</v>
      </c>
      <c r="H628" s="6" t="n">
        <f aca="false">IFERROR(INDEX('Semrush Data'!$A$1:$Z$20000,MATCH(A628,'Semrush Data'!$A$1:$A$20000,0),MATCH("Keyword Difficulty*",'Semrush Data'!$A$1:$Z$1,0)),"")</f>
        <v>28</v>
      </c>
      <c r="I628" s="29" t="n">
        <f aca="false">IFERROR(INDEX('Semrush Data'!$A$1:$Z$20000,MATCH(A628,'Semrush Data'!$A$1:$A$20000,0),MATCH("CPC*",'Semrush Data'!$A$1:$Z$1,0)),"")</f>
        <v>0</v>
      </c>
      <c r="J628" s="6" t="str">
        <f aca="false">IFERROR(INDEX('Semrush Data'!$A$1:$Z$20000,MATCH(A628,'Semrush Data'!$A$1:$A$20000,0),MATCH("Intent",'Semrush Data'!$A$1:$Z$1,0)),"")</f>
        <v>Informational Transactional</v>
      </c>
    </row>
    <row r="629" customFormat="false" ht="15" hidden="false" customHeight="true" outlineLevel="0" collapsed="false">
      <c r="A629" s="6" t="s">
        <v>4514</v>
      </c>
      <c r="B629" s="6" t="s">
        <v>41</v>
      </c>
      <c r="C629" s="6" t="n">
        <v>1</v>
      </c>
      <c r="D629" s="6" t="n">
        <v>7</v>
      </c>
      <c r="E629" s="6" t="n">
        <v>1</v>
      </c>
      <c r="F629" s="6" t="s">
        <v>4512</v>
      </c>
      <c r="G629" s="28" t="n">
        <f aca="false">IFERROR(INDEX('Semrush Data'!$A$1:$Z$20000,MATCH(A629,'Semrush Data'!$A$1:$A$20000,0),MATCH("Volume",'Semrush Data'!$A$1:$Z$1,0)),"")</f>
        <v>0</v>
      </c>
      <c r="H629" s="6" t="n">
        <f aca="false">IFERROR(INDEX('Semrush Data'!$A$1:$Z$20000,MATCH(A629,'Semrush Data'!$A$1:$A$20000,0),MATCH("Keyword Difficulty*",'Semrush Data'!$A$1:$Z$1,0)),"")</f>
        <v>24</v>
      </c>
      <c r="I629" s="29" t="n">
        <f aca="false">IFERROR(INDEX('Semrush Data'!$A$1:$Z$20000,MATCH(A629,'Semrush Data'!$A$1:$A$20000,0),MATCH("CPC*",'Semrush Data'!$A$1:$Z$1,0)),"")</f>
        <v>0</v>
      </c>
      <c r="J629" s="6" t="str">
        <f aca="false">IFERROR(INDEX('Semrush Data'!$A$1:$Z$20000,MATCH(A629,'Semrush Data'!$A$1:$A$20000,0),MATCH("Intent",'Semrush Data'!$A$1:$Z$1,0)),"")</f>
        <v>Informational</v>
      </c>
    </row>
    <row r="630" customFormat="false" ht="15" hidden="false" customHeight="true" outlineLevel="0" collapsed="false">
      <c r="A630" s="6" t="s">
        <v>4524</v>
      </c>
      <c r="B630" s="6" t="s">
        <v>41</v>
      </c>
      <c r="C630" s="6" t="n">
        <v>1</v>
      </c>
      <c r="D630" s="6" t="n">
        <v>7</v>
      </c>
      <c r="E630" s="6" t="n">
        <v>1</v>
      </c>
      <c r="F630" s="6" t="s">
        <v>4522</v>
      </c>
      <c r="G630" s="28" t="n">
        <f aca="false">IFERROR(INDEX('Semrush Data'!$A$1:$Z$20000,MATCH(A630,'Semrush Data'!$A$1:$A$20000,0),MATCH("Volume",'Semrush Data'!$A$1:$Z$1,0)),"")</f>
        <v>0</v>
      </c>
      <c r="H630" s="6" t="n">
        <f aca="false">IFERROR(INDEX('Semrush Data'!$A$1:$Z$20000,MATCH(A630,'Semrush Data'!$A$1:$A$20000,0),MATCH("Keyword Difficulty*",'Semrush Data'!$A$1:$Z$1,0)),"")</f>
        <v>35</v>
      </c>
      <c r="I630" s="29" t="n">
        <f aca="false">IFERROR(INDEX('Semrush Data'!$A$1:$Z$20000,MATCH(A630,'Semrush Data'!$A$1:$A$20000,0),MATCH("CPC*",'Semrush Data'!$A$1:$Z$1,0)),"")</f>
        <v>0</v>
      </c>
      <c r="J630" s="6" t="str">
        <f aca="false">IFERROR(INDEX('Semrush Data'!$A$1:$Z$20000,MATCH(A630,'Semrush Data'!$A$1:$A$20000,0),MATCH("Intent",'Semrush Data'!$A$1:$Z$1,0)),"")</f>
        <v>Navigational</v>
      </c>
    </row>
    <row r="631" customFormat="false" ht="15" hidden="false" customHeight="true" outlineLevel="0" collapsed="false">
      <c r="A631" s="6" t="s">
        <v>4535</v>
      </c>
      <c r="B631" s="6" t="s">
        <v>41</v>
      </c>
      <c r="C631" s="6" t="n">
        <v>1</v>
      </c>
      <c r="D631" s="6" t="n">
        <v>7</v>
      </c>
      <c r="E631" s="6" t="n">
        <v>1</v>
      </c>
      <c r="F631" s="6" t="s">
        <v>4533</v>
      </c>
      <c r="G631" s="28" t="n">
        <f aca="false">IFERROR(INDEX('Semrush Data'!$A$1:$Z$20000,MATCH(A631,'Semrush Data'!$A$1:$A$20000,0),MATCH("Volume",'Semrush Data'!$A$1:$Z$1,0)),"")</f>
        <v>0</v>
      </c>
      <c r="H631" s="6" t="n">
        <f aca="false">IFERROR(INDEX('Semrush Data'!$A$1:$Z$20000,MATCH(A631,'Semrush Data'!$A$1:$A$20000,0),MATCH("Keyword Difficulty*",'Semrush Data'!$A$1:$Z$1,0)),"")</f>
        <v>34</v>
      </c>
      <c r="I631" s="29" t="n">
        <f aca="false">IFERROR(INDEX('Semrush Data'!$A$1:$Z$20000,MATCH(A631,'Semrush Data'!$A$1:$A$20000,0),MATCH("CPC*",'Semrush Data'!$A$1:$Z$1,0)),"")</f>
        <v>0</v>
      </c>
      <c r="J631" s="6" t="str">
        <f aca="false">IFERROR(INDEX('Semrush Data'!$A$1:$Z$20000,MATCH(A631,'Semrush Data'!$A$1:$A$20000,0),MATCH("Intent",'Semrush Data'!$A$1:$Z$1,0)),"")</f>
        <v>Transactional Navigational</v>
      </c>
    </row>
    <row r="632" customFormat="false" ht="15" hidden="false" customHeight="true" outlineLevel="0" collapsed="false">
      <c r="A632" s="6" t="s">
        <v>4545</v>
      </c>
      <c r="B632" s="6" t="s">
        <v>41</v>
      </c>
      <c r="C632" s="6" t="n">
        <v>1</v>
      </c>
      <c r="D632" s="6" t="n">
        <v>7</v>
      </c>
      <c r="E632" s="6" t="n">
        <v>1</v>
      </c>
      <c r="F632" s="6" t="s">
        <v>4543</v>
      </c>
      <c r="G632" s="28" t="n">
        <f aca="false">IFERROR(INDEX('Semrush Data'!$A$1:$Z$20000,MATCH(A632,'Semrush Data'!$A$1:$A$20000,0),MATCH("Volume",'Semrush Data'!$A$1:$Z$1,0)),"")</f>
        <v>0</v>
      </c>
      <c r="H632" s="6" t="n">
        <f aca="false">IFERROR(INDEX('Semrush Data'!$A$1:$Z$20000,MATCH(A632,'Semrush Data'!$A$1:$A$20000,0),MATCH("Keyword Difficulty*",'Semrush Data'!$A$1:$Z$1,0)),"")</f>
        <v>28</v>
      </c>
      <c r="I632" s="29" t="n">
        <f aca="false">IFERROR(INDEX('Semrush Data'!$A$1:$Z$20000,MATCH(A632,'Semrush Data'!$A$1:$A$20000,0),MATCH("CPC*",'Semrush Data'!$A$1:$Z$1,0)),"")</f>
        <v>0</v>
      </c>
      <c r="J632" s="6" t="str">
        <f aca="false">IFERROR(INDEX('Semrush Data'!$A$1:$Z$20000,MATCH(A632,'Semrush Data'!$A$1:$A$20000,0),MATCH("Intent",'Semrush Data'!$A$1:$Z$1,0)),"")</f>
        <v>Informational</v>
      </c>
    </row>
    <row r="633" customFormat="false" ht="15" hidden="false" customHeight="true" outlineLevel="0" collapsed="false">
      <c r="A633" s="6" t="s">
        <v>4555</v>
      </c>
      <c r="B633" s="6" t="s">
        <v>41</v>
      </c>
      <c r="C633" s="6" t="n">
        <v>1</v>
      </c>
      <c r="D633" s="6" t="n">
        <v>7</v>
      </c>
      <c r="E633" s="6" t="n">
        <v>1</v>
      </c>
      <c r="F633" s="6" t="s">
        <v>4553</v>
      </c>
      <c r="G633" s="28" t="n">
        <f aca="false">IFERROR(INDEX('Semrush Data'!$A$1:$Z$20000,MATCH(A633,'Semrush Data'!$A$1:$A$20000,0),MATCH("Volume",'Semrush Data'!$A$1:$Z$1,0)),"")</f>
        <v>0</v>
      </c>
      <c r="H633" s="6" t="n">
        <f aca="false">IFERROR(INDEX('Semrush Data'!$A$1:$Z$20000,MATCH(A633,'Semrush Data'!$A$1:$A$20000,0),MATCH("Keyword Difficulty*",'Semrush Data'!$A$1:$Z$1,0)),"")</f>
        <v>10</v>
      </c>
      <c r="I633" s="29" t="n">
        <f aca="false">IFERROR(INDEX('Semrush Data'!$A$1:$Z$20000,MATCH(A633,'Semrush Data'!$A$1:$A$20000,0),MATCH("CPC*",'Semrush Data'!$A$1:$Z$1,0)),"")</f>
        <v>0</v>
      </c>
      <c r="J633" s="6" t="str">
        <f aca="false">IFERROR(INDEX('Semrush Data'!$A$1:$Z$20000,MATCH(A633,'Semrush Data'!$A$1:$A$20000,0),MATCH("Intent",'Semrush Data'!$A$1:$Z$1,0)),"")</f>
        <v>Informational Transactional</v>
      </c>
    </row>
    <row r="634" customFormat="false" ht="15" hidden="false" customHeight="true" outlineLevel="0" collapsed="false">
      <c r="A634" s="6" t="s">
        <v>4565</v>
      </c>
      <c r="B634" s="6" t="s">
        <v>41</v>
      </c>
      <c r="C634" s="6" t="n">
        <v>1</v>
      </c>
      <c r="D634" s="6" t="n">
        <v>7</v>
      </c>
      <c r="E634" s="6" t="n">
        <v>1</v>
      </c>
      <c r="F634" s="6" t="s">
        <v>4563</v>
      </c>
      <c r="G634" s="28" t="n">
        <f aca="false">IFERROR(INDEX('Semrush Data'!$A$1:$Z$20000,MATCH(A634,'Semrush Data'!$A$1:$A$20000,0),MATCH("Volume",'Semrush Data'!$A$1:$Z$1,0)),"")</f>
        <v>0</v>
      </c>
      <c r="H634" s="6" t="n">
        <f aca="false">IFERROR(INDEX('Semrush Data'!$A$1:$Z$20000,MATCH(A634,'Semrush Data'!$A$1:$A$20000,0),MATCH("Keyword Difficulty*",'Semrush Data'!$A$1:$Z$1,0)),"")</f>
        <v>24</v>
      </c>
      <c r="I634" s="29" t="n">
        <f aca="false">IFERROR(INDEX('Semrush Data'!$A$1:$Z$20000,MATCH(A634,'Semrush Data'!$A$1:$A$20000,0),MATCH("CPC*",'Semrush Data'!$A$1:$Z$1,0)),"")</f>
        <v>0</v>
      </c>
      <c r="J634" s="6" t="str">
        <f aca="false">IFERROR(INDEX('Semrush Data'!$A$1:$Z$20000,MATCH(A634,'Semrush Data'!$A$1:$A$20000,0),MATCH("Intent",'Semrush Data'!$A$1:$Z$1,0)),"")</f>
        <v>Informational</v>
      </c>
    </row>
    <row r="635" customFormat="false" ht="15" hidden="false" customHeight="true" outlineLevel="0" collapsed="false">
      <c r="A635" s="6" t="s">
        <v>4575</v>
      </c>
      <c r="B635" s="6" t="s">
        <v>41</v>
      </c>
      <c r="C635" s="6" t="n">
        <v>1</v>
      </c>
      <c r="D635" s="6" t="n">
        <v>7</v>
      </c>
      <c r="E635" s="6" t="n">
        <v>1</v>
      </c>
      <c r="F635" s="6" t="s">
        <v>4573</v>
      </c>
      <c r="G635" s="28" t="n">
        <f aca="false">IFERROR(INDEX('Semrush Data'!$A$1:$Z$20000,MATCH(A635,'Semrush Data'!$A$1:$A$20000,0),MATCH("Volume",'Semrush Data'!$A$1:$Z$1,0)),"")</f>
        <v>0</v>
      </c>
      <c r="H635" s="6" t="n">
        <f aca="false">IFERROR(INDEX('Semrush Data'!$A$1:$Z$20000,MATCH(A635,'Semrush Data'!$A$1:$A$20000,0),MATCH("Keyword Difficulty*",'Semrush Data'!$A$1:$Z$1,0)),"")</f>
        <v>24</v>
      </c>
      <c r="I635" s="29" t="n">
        <f aca="false">IFERROR(INDEX('Semrush Data'!$A$1:$Z$20000,MATCH(A635,'Semrush Data'!$A$1:$A$20000,0),MATCH("CPC*",'Semrush Data'!$A$1:$Z$1,0)),"")</f>
        <v>0</v>
      </c>
      <c r="J635" s="6" t="str">
        <f aca="false">IFERROR(INDEX('Semrush Data'!$A$1:$Z$20000,MATCH(A635,'Semrush Data'!$A$1:$A$20000,0),MATCH("Intent",'Semrush Data'!$A$1:$Z$1,0)),"")</f>
        <v>Informational</v>
      </c>
    </row>
    <row r="636" customFormat="false" ht="15" hidden="false" customHeight="true" outlineLevel="0" collapsed="false">
      <c r="A636" s="6" t="s">
        <v>4585</v>
      </c>
      <c r="B636" s="6" t="s">
        <v>41</v>
      </c>
      <c r="C636" s="6" t="n">
        <v>1</v>
      </c>
      <c r="D636" s="6" t="n">
        <v>7</v>
      </c>
      <c r="E636" s="6" t="n">
        <v>1</v>
      </c>
      <c r="F636" s="6" t="s">
        <v>4583</v>
      </c>
      <c r="G636" s="28" t="n">
        <f aca="false">IFERROR(INDEX('Semrush Data'!$A$1:$Z$20000,MATCH(A636,'Semrush Data'!$A$1:$A$20000,0),MATCH("Volume",'Semrush Data'!$A$1:$Z$1,0)),"")</f>
        <v>0</v>
      </c>
      <c r="H636" s="6" t="n">
        <f aca="false">IFERROR(INDEX('Semrush Data'!$A$1:$Z$20000,MATCH(A636,'Semrush Data'!$A$1:$A$20000,0),MATCH("Keyword Difficulty*",'Semrush Data'!$A$1:$Z$1,0)),"")</f>
        <v>16</v>
      </c>
      <c r="I636" s="29" t="n">
        <f aca="false">IFERROR(INDEX('Semrush Data'!$A$1:$Z$20000,MATCH(A636,'Semrush Data'!$A$1:$A$20000,0),MATCH("CPC*",'Semrush Data'!$A$1:$Z$1,0)),"")</f>
        <v>0</v>
      </c>
      <c r="J636" s="6" t="str">
        <f aca="false">IFERROR(INDEX('Semrush Data'!$A$1:$Z$20000,MATCH(A636,'Semrush Data'!$A$1:$A$20000,0),MATCH("Intent",'Semrush Data'!$A$1:$Z$1,0)),"")</f>
        <v>Navigational</v>
      </c>
    </row>
    <row r="637" customFormat="false" ht="15" hidden="false" customHeight="true" outlineLevel="0" collapsed="false">
      <c r="A637" s="6" t="s">
        <v>4595</v>
      </c>
      <c r="B637" s="6" t="s">
        <v>41</v>
      </c>
      <c r="C637" s="6" t="n">
        <v>1</v>
      </c>
      <c r="D637" s="6" t="n">
        <v>7</v>
      </c>
      <c r="E637" s="6" t="n">
        <v>1</v>
      </c>
      <c r="F637" s="6" t="s">
        <v>4593</v>
      </c>
      <c r="G637" s="28" t="n">
        <f aca="false">IFERROR(INDEX('Semrush Data'!$A$1:$Z$20000,MATCH(A637,'Semrush Data'!$A$1:$A$20000,0),MATCH("Volume",'Semrush Data'!$A$1:$Z$1,0)),"")</f>
        <v>0</v>
      </c>
      <c r="H637" s="6" t="n">
        <f aca="false">IFERROR(INDEX('Semrush Data'!$A$1:$Z$20000,MATCH(A637,'Semrush Data'!$A$1:$A$20000,0),MATCH("Keyword Difficulty*",'Semrush Data'!$A$1:$Z$1,0)),"")</f>
        <v>28</v>
      </c>
      <c r="I637" s="29" t="n">
        <f aca="false">IFERROR(INDEX('Semrush Data'!$A$1:$Z$20000,MATCH(A637,'Semrush Data'!$A$1:$A$20000,0),MATCH("CPC*",'Semrush Data'!$A$1:$Z$1,0)),"")</f>
        <v>0</v>
      </c>
      <c r="J637" s="6" t="str">
        <f aca="false">IFERROR(INDEX('Semrush Data'!$A$1:$Z$20000,MATCH(A637,'Semrush Data'!$A$1:$A$20000,0),MATCH("Intent",'Semrush Data'!$A$1:$Z$1,0)),"")</f>
        <v>Informational</v>
      </c>
    </row>
    <row r="638" customFormat="false" ht="15" hidden="false" customHeight="true" outlineLevel="0" collapsed="false">
      <c r="A638" s="6" t="s">
        <v>5421</v>
      </c>
      <c r="B638" s="6" t="s">
        <v>41</v>
      </c>
      <c r="C638" s="6" t="n">
        <v>1</v>
      </c>
      <c r="D638" s="6" t="n">
        <v>7</v>
      </c>
      <c r="E638" s="6" t="n">
        <v>1</v>
      </c>
      <c r="F638" s="6" t="s">
        <v>5417</v>
      </c>
      <c r="G638" s="28" t="n">
        <f aca="false">IFERROR(INDEX('Semrush Data'!$A$1:$Z$20000,MATCH(A638,'Semrush Data'!$A$1:$A$20000,0),MATCH("Volume",'Semrush Data'!$A$1:$Z$1,0)),"")</f>
        <v>50</v>
      </c>
      <c r="H638" s="6" t="n">
        <f aca="false">IFERROR(INDEX('Semrush Data'!$A$1:$Z$20000,MATCH(A638,'Semrush Data'!$A$1:$A$20000,0),MATCH("Keyword Difficulty*",'Semrush Data'!$A$1:$Z$1,0)),"")</f>
        <v>20</v>
      </c>
      <c r="I638" s="29" t="n">
        <f aca="false">IFERROR(INDEX('Semrush Data'!$A$1:$Z$20000,MATCH(A638,'Semrush Data'!$A$1:$A$20000,0),MATCH("CPC*",'Semrush Data'!$A$1:$Z$1,0)),"")</f>
        <v>0</v>
      </c>
      <c r="J638" s="6" t="str">
        <f aca="false">IFERROR(INDEX('Semrush Data'!$A$1:$Z$20000,MATCH(A638,'Semrush Data'!$A$1:$A$20000,0),MATCH("Intent",'Semrush Data'!$A$1:$Z$1,0)),"")</f>
        <v>Informational</v>
      </c>
    </row>
    <row r="639" customFormat="false" ht="15" hidden="false" customHeight="true" outlineLevel="0" collapsed="false">
      <c r="A639" s="6" t="s">
        <v>5434</v>
      </c>
      <c r="B639" s="6" t="s">
        <v>41</v>
      </c>
      <c r="C639" s="6" t="n">
        <v>1</v>
      </c>
      <c r="D639" s="6" t="n">
        <v>7</v>
      </c>
      <c r="E639" s="6" t="n">
        <v>1</v>
      </c>
      <c r="F639" s="6" t="s">
        <v>5431</v>
      </c>
      <c r="G639" s="28" t="n">
        <f aca="false">IFERROR(INDEX('Semrush Data'!$A$1:$Z$20000,MATCH(A639,'Semrush Data'!$A$1:$A$20000,0),MATCH("Volume",'Semrush Data'!$A$1:$Z$1,0)),"")</f>
        <v>90</v>
      </c>
      <c r="H639" s="6" t="n">
        <f aca="false">IFERROR(INDEX('Semrush Data'!$A$1:$Z$20000,MATCH(A639,'Semrush Data'!$A$1:$A$20000,0),MATCH("Keyword Difficulty*",'Semrush Data'!$A$1:$Z$1,0)),"")</f>
        <v>14</v>
      </c>
      <c r="I639" s="29" t="n">
        <f aca="false">IFERROR(INDEX('Semrush Data'!$A$1:$Z$20000,MATCH(A639,'Semrush Data'!$A$1:$A$20000,0),MATCH("CPC*",'Semrush Data'!$A$1:$Z$1,0)),"")</f>
        <v>0.49</v>
      </c>
      <c r="J639" s="6" t="str">
        <f aca="false">IFERROR(INDEX('Semrush Data'!$A$1:$Z$20000,MATCH(A639,'Semrush Data'!$A$1:$A$20000,0),MATCH("Intent",'Semrush Data'!$A$1:$Z$1,0)),"")</f>
        <v>Informational</v>
      </c>
    </row>
    <row r="640" customFormat="false" ht="15" hidden="false" customHeight="true" outlineLevel="0" collapsed="false">
      <c r="A640" s="6" t="s">
        <v>5487</v>
      </c>
      <c r="B640" s="6" t="s">
        <v>41</v>
      </c>
      <c r="C640" s="6" t="n">
        <v>1</v>
      </c>
      <c r="D640" s="6" t="n">
        <v>7</v>
      </c>
      <c r="E640" s="6" t="n">
        <v>1</v>
      </c>
      <c r="F640" s="6" t="s">
        <v>5485</v>
      </c>
      <c r="G640" s="28" t="n">
        <f aca="false">IFERROR(INDEX('Semrush Data'!$A$1:$Z$20000,MATCH(A640,'Semrush Data'!$A$1:$A$20000,0),MATCH("Volume",'Semrush Data'!$A$1:$Z$1,0)),"")</f>
        <v>20</v>
      </c>
      <c r="H640" s="6" t="n">
        <f aca="false">IFERROR(INDEX('Semrush Data'!$A$1:$Z$20000,MATCH(A640,'Semrush Data'!$A$1:$A$20000,0),MATCH("Keyword Difficulty*",'Semrush Data'!$A$1:$Z$1,0)),"")</f>
        <v>16</v>
      </c>
      <c r="I640" s="29" t="n">
        <f aca="false">IFERROR(INDEX('Semrush Data'!$A$1:$Z$20000,MATCH(A640,'Semrush Data'!$A$1:$A$20000,0),MATCH("CPC*",'Semrush Data'!$A$1:$Z$1,0)),"")</f>
        <v>0</v>
      </c>
      <c r="J640" s="6" t="str">
        <f aca="false">IFERROR(INDEX('Semrush Data'!$A$1:$Z$20000,MATCH(A640,'Semrush Data'!$A$1:$A$20000,0),MATCH("Intent",'Semrush Data'!$A$1:$Z$1,0)),"")</f>
        <v>Informational Transactional</v>
      </c>
    </row>
    <row r="641" customFormat="false" ht="15" hidden="false" customHeight="true" outlineLevel="0" collapsed="false">
      <c r="A641" s="6" t="s">
        <v>5476</v>
      </c>
      <c r="B641" s="6" t="s">
        <v>41</v>
      </c>
      <c r="C641" s="6" t="n">
        <v>1</v>
      </c>
      <c r="D641" s="6" t="n">
        <v>7</v>
      </c>
      <c r="E641" s="6" t="n">
        <v>1</v>
      </c>
      <c r="F641" s="6" t="s">
        <v>5474</v>
      </c>
      <c r="G641" s="28" t="n">
        <f aca="false">IFERROR(INDEX('Semrush Data'!$A$1:$Z$20000,MATCH(A641,'Semrush Data'!$A$1:$A$20000,0),MATCH("Volume",'Semrush Data'!$A$1:$Z$1,0)),"")</f>
        <v>0</v>
      </c>
      <c r="H641" s="6" t="n">
        <f aca="false">IFERROR(INDEX('Semrush Data'!$A$1:$Z$20000,MATCH(A641,'Semrush Data'!$A$1:$A$20000,0),MATCH("Keyword Difficulty*",'Semrush Data'!$A$1:$Z$1,0)),"")</f>
        <v>24</v>
      </c>
      <c r="I641" s="29" t="n">
        <f aca="false">IFERROR(INDEX('Semrush Data'!$A$1:$Z$20000,MATCH(A641,'Semrush Data'!$A$1:$A$20000,0),MATCH("CPC*",'Semrush Data'!$A$1:$Z$1,0)),"")</f>
        <v>0</v>
      </c>
      <c r="J641" s="6" t="str">
        <f aca="false">IFERROR(INDEX('Semrush Data'!$A$1:$Z$20000,MATCH(A641,'Semrush Data'!$A$1:$A$20000,0),MATCH("Intent",'Semrush Data'!$A$1:$Z$1,0)),"")</f>
        <v>Informational Transactional</v>
      </c>
    </row>
    <row r="642" customFormat="false" ht="15" hidden="false" customHeight="true" outlineLevel="0" collapsed="false">
      <c r="A642" s="6" t="s">
        <v>5445</v>
      </c>
      <c r="B642" s="6" t="s">
        <v>41</v>
      </c>
      <c r="C642" s="6" t="n">
        <v>1</v>
      </c>
      <c r="D642" s="6" t="n">
        <v>7</v>
      </c>
      <c r="E642" s="6" t="n">
        <v>1</v>
      </c>
      <c r="F642" s="6" t="s">
        <v>77</v>
      </c>
      <c r="G642" s="28" t="n">
        <f aca="false">IFERROR(INDEX('Semrush Data'!$A$1:$Z$20000,MATCH(A642,'Semrush Data'!$A$1:$A$20000,0),MATCH("Volume",'Semrush Data'!$A$1:$Z$1,0)),"")</f>
        <v>2400</v>
      </c>
      <c r="H642" s="6" t="n">
        <f aca="false">IFERROR(INDEX('Semrush Data'!$A$1:$Z$20000,MATCH(A642,'Semrush Data'!$A$1:$A$20000,0),MATCH("Keyword Difficulty*",'Semrush Data'!$A$1:$Z$1,0)),"")</f>
        <v>23</v>
      </c>
      <c r="I642" s="29" t="n">
        <f aca="false">IFERROR(INDEX('Semrush Data'!$A$1:$Z$20000,MATCH(A642,'Semrush Data'!$A$1:$A$20000,0),MATCH("CPC*",'Semrush Data'!$A$1:$Z$1,0)),"")</f>
        <v>0.38</v>
      </c>
      <c r="J642" s="6" t="str">
        <f aca="false">IFERROR(INDEX('Semrush Data'!$A$1:$Z$20000,MATCH(A642,'Semrush Data'!$A$1:$A$20000,0),MATCH("Intent",'Semrush Data'!$A$1:$Z$1,0)),"")</f>
        <v>Informational</v>
      </c>
    </row>
    <row r="643" customFormat="false" ht="15" hidden="false" customHeight="true" outlineLevel="0" collapsed="false">
      <c r="A643" s="6" t="s">
        <v>5508</v>
      </c>
      <c r="B643" s="6" t="s">
        <v>41</v>
      </c>
      <c r="C643" s="6" t="n">
        <v>1</v>
      </c>
      <c r="D643" s="6" t="n">
        <v>7</v>
      </c>
      <c r="E643" s="6" t="n">
        <v>1</v>
      </c>
      <c r="F643" s="6" t="s">
        <v>5506</v>
      </c>
      <c r="G643" s="28" t="n">
        <f aca="false">IFERROR(INDEX('Semrush Data'!$A$1:$Z$20000,MATCH(A643,'Semrush Data'!$A$1:$A$20000,0),MATCH("Volume",'Semrush Data'!$A$1:$Z$1,0)),"")</f>
        <v>0</v>
      </c>
      <c r="H643" s="6" t="n">
        <f aca="false">IFERROR(INDEX('Semrush Data'!$A$1:$Z$20000,MATCH(A643,'Semrush Data'!$A$1:$A$20000,0),MATCH("Keyword Difficulty*",'Semrush Data'!$A$1:$Z$1,0)),"")</f>
        <v>22</v>
      </c>
      <c r="I643" s="29" t="n">
        <f aca="false">IFERROR(INDEX('Semrush Data'!$A$1:$Z$20000,MATCH(A643,'Semrush Data'!$A$1:$A$20000,0),MATCH("CPC*",'Semrush Data'!$A$1:$Z$1,0)),"")</f>
        <v>0</v>
      </c>
      <c r="J643" s="6" t="str">
        <f aca="false">IFERROR(INDEX('Semrush Data'!$A$1:$Z$20000,MATCH(A643,'Semrush Data'!$A$1:$A$20000,0),MATCH("Intent",'Semrush Data'!$A$1:$Z$1,0)),"")</f>
        <v>Transactional</v>
      </c>
    </row>
    <row r="644" customFormat="false" ht="15" hidden="false" customHeight="true" outlineLevel="0" collapsed="false">
      <c r="A644" s="6" t="s">
        <v>5455</v>
      </c>
      <c r="B644" s="6" t="s">
        <v>41</v>
      </c>
      <c r="C644" s="6" t="n">
        <v>1</v>
      </c>
      <c r="D644" s="6" t="n">
        <v>7</v>
      </c>
      <c r="E644" s="6" t="n">
        <v>1</v>
      </c>
      <c r="F644" s="6" t="s">
        <v>61</v>
      </c>
      <c r="G644" s="28" t="n">
        <f aca="false">IFERROR(INDEX('Semrush Data'!$A$1:$Z$20000,MATCH(A644,'Semrush Data'!$A$1:$A$20000,0),MATCH("Volume",'Semrush Data'!$A$1:$Z$1,0)),"")</f>
        <v>6600</v>
      </c>
      <c r="H644" s="6" t="n">
        <f aca="false">IFERROR(INDEX('Semrush Data'!$A$1:$Z$20000,MATCH(A644,'Semrush Data'!$A$1:$A$20000,0),MATCH("Keyword Difficulty*",'Semrush Data'!$A$1:$Z$1,0)),"")</f>
        <v>26</v>
      </c>
      <c r="I644" s="29" t="n">
        <f aca="false">IFERROR(INDEX('Semrush Data'!$A$1:$Z$20000,MATCH(A644,'Semrush Data'!$A$1:$A$20000,0),MATCH("CPC*",'Semrush Data'!$A$1:$Z$1,0)),"")</f>
        <v>0.36</v>
      </c>
      <c r="J644" s="6" t="str">
        <f aca="false">IFERROR(INDEX('Semrush Data'!$A$1:$Z$20000,MATCH(A644,'Semrush Data'!$A$1:$A$20000,0),MATCH("Intent",'Semrush Data'!$A$1:$Z$1,0)),"")</f>
        <v>Informational</v>
      </c>
    </row>
    <row r="645" customFormat="false" ht="15" hidden="false" customHeight="true" outlineLevel="0" collapsed="false">
      <c r="A645" s="6" t="s">
        <v>5466</v>
      </c>
      <c r="B645" s="6" t="s">
        <v>41</v>
      </c>
      <c r="C645" s="6" t="n">
        <v>1</v>
      </c>
      <c r="D645" s="6" t="n">
        <v>7</v>
      </c>
      <c r="E645" s="6" t="n">
        <v>1</v>
      </c>
      <c r="F645" s="6" t="s">
        <v>5464</v>
      </c>
      <c r="G645" s="28" t="n">
        <f aca="false">IFERROR(INDEX('Semrush Data'!$A$1:$Z$20000,MATCH(A645,'Semrush Data'!$A$1:$A$20000,0),MATCH("Volume",'Semrush Data'!$A$1:$Z$1,0)),"")</f>
        <v>0</v>
      </c>
      <c r="H645" s="6" t="n">
        <f aca="false">IFERROR(INDEX('Semrush Data'!$A$1:$Z$20000,MATCH(A645,'Semrush Data'!$A$1:$A$20000,0),MATCH("Keyword Difficulty*",'Semrush Data'!$A$1:$Z$1,0)),"")</f>
        <v>17</v>
      </c>
      <c r="I645" s="29" t="n">
        <f aca="false">IFERROR(INDEX('Semrush Data'!$A$1:$Z$20000,MATCH(A645,'Semrush Data'!$A$1:$A$20000,0),MATCH("CPC*",'Semrush Data'!$A$1:$Z$1,0)),"")</f>
        <v>0</v>
      </c>
      <c r="J645" s="6" t="str">
        <f aca="false">IFERROR(INDEX('Semrush Data'!$A$1:$Z$20000,MATCH(A645,'Semrush Data'!$A$1:$A$20000,0),MATCH("Intent",'Semrush Data'!$A$1:$Z$1,0)),"")</f>
        <v>Informational Transactional</v>
      </c>
    </row>
    <row r="646" customFormat="false" ht="15" hidden="false" customHeight="true" outlineLevel="0" collapsed="false">
      <c r="A646" s="6" t="s">
        <v>5498</v>
      </c>
      <c r="B646" s="6" t="s">
        <v>41</v>
      </c>
      <c r="C646" s="6" t="n">
        <v>1</v>
      </c>
      <c r="D646" s="6" t="n">
        <v>7</v>
      </c>
      <c r="E646" s="6" t="n">
        <v>1</v>
      </c>
      <c r="F646" s="6" t="s">
        <v>5496</v>
      </c>
      <c r="G646" s="28" t="n">
        <f aca="false">IFERROR(INDEX('Semrush Data'!$A$1:$Z$20000,MATCH(A646,'Semrush Data'!$A$1:$A$20000,0),MATCH("Volume",'Semrush Data'!$A$1:$Z$1,0)),"")</f>
        <v>20</v>
      </c>
      <c r="H646" s="6" t="n">
        <f aca="false">IFERROR(INDEX('Semrush Data'!$A$1:$Z$20000,MATCH(A646,'Semrush Data'!$A$1:$A$20000,0),MATCH("Keyword Difficulty*",'Semrush Data'!$A$1:$Z$1,0)),"")</f>
        <v>17</v>
      </c>
      <c r="I646" s="29" t="n">
        <f aca="false">IFERROR(INDEX('Semrush Data'!$A$1:$Z$20000,MATCH(A646,'Semrush Data'!$A$1:$A$20000,0),MATCH("CPC*",'Semrush Data'!$A$1:$Z$1,0)),"")</f>
        <v>0</v>
      </c>
      <c r="J646" s="6" t="str">
        <f aca="false">IFERROR(INDEX('Semrush Data'!$A$1:$Z$20000,MATCH(A646,'Semrush Data'!$A$1:$A$20000,0),MATCH("Intent",'Semrush Data'!$A$1:$Z$1,0)),"")</f>
        <v>Informational</v>
      </c>
    </row>
    <row r="647" customFormat="false" ht="15" hidden="false" customHeight="true" outlineLevel="0" collapsed="false">
      <c r="A647" s="6" t="s">
        <v>5520</v>
      </c>
      <c r="B647" s="6" t="s">
        <v>41</v>
      </c>
      <c r="C647" s="6" t="n">
        <v>1</v>
      </c>
      <c r="D647" s="6" t="n">
        <v>7</v>
      </c>
      <c r="E647" s="6" t="n">
        <v>1</v>
      </c>
      <c r="F647" s="6" t="s">
        <v>5516</v>
      </c>
      <c r="G647" s="28" t="n">
        <f aca="false">IFERROR(INDEX('Semrush Data'!$A$1:$Z$20000,MATCH(A647,'Semrush Data'!$A$1:$A$20000,0),MATCH("Volume",'Semrush Data'!$A$1:$Z$1,0)),"")</f>
        <v>20</v>
      </c>
      <c r="H647" s="6" t="n">
        <f aca="false">IFERROR(INDEX('Semrush Data'!$A$1:$Z$20000,MATCH(A647,'Semrush Data'!$A$1:$A$20000,0),MATCH("Keyword Difficulty*",'Semrush Data'!$A$1:$Z$1,0)),"")</f>
        <v>10</v>
      </c>
      <c r="I647" s="29" t="n">
        <f aca="false">IFERROR(INDEX('Semrush Data'!$A$1:$Z$20000,MATCH(A647,'Semrush Data'!$A$1:$A$20000,0),MATCH("CPC*",'Semrush Data'!$A$1:$Z$1,0)),"")</f>
        <v>0</v>
      </c>
      <c r="J647" s="6" t="str">
        <f aca="false">IFERROR(INDEX('Semrush Data'!$A$1:$Z$20000,MATCH(A647,'Semrush Data'!$A$1:$A$20000,0),MATCH("Intent",'Semrush Data'!$A$1:$Z$1,0)),"")</f>
        <v>Informational</v>
      </c>
    </row>
    <row r="648" customFormat="false" ht="15" hidden="false" customHeight="true" outlineLevel="0" collapsed="false">
      <c r="A648" s="6" t="s">
        <v>5532</v>
      </c>
      <c r="B648" s="6" t="s">
        <v>41</v>
      </c>
      <c r="C648" s="6" t="n">
        <v>1</v>
      </c>
      <c r="D648" s="6" t="n">
        <v>7</v>
      </c>
      <c r="E648" s="6" t="n">
        <v>1</v>
      </c>
      <c r="F648" s="6" t="s">
        <v>5530</v>
      </c>
      <c r="G648" s="28" t="n">
        <f aca="false">IFERROR(INDEX('Semrush Data'!$A$1:$Z$20000,MATCH(A648,'Semrush Data'!$A$1:$A$20000,0),MATCH("Volume",'Semrush Data'!$A$1:$Z$1,0)),"")</f>
        <v>20</v>
      </c>
      <c r="H648" s="6" t="n">
        <f aca="false">IFERROR(INDEX('Semrush Data'!$A$1:$Z$20000,MATCH(A648,'Semrush Data'!$A$1:$A$20000,0),MATCH("Keyword Difficulty*",'Semrush Data'!$A$1:$Z$1,0)),"")</f>
        <v>10</v>
      </c>
      <c r="I648" s="29" t="n">
        <f aca="false">IFERROR(INDEX('Semrush Data'!$A$1:$Z$20000,MATCH(A648,'Semrush Data'!$A$1:$A$20000,0),MATCH("CPC*",'Semrush Data'!$A$1:$Z$1,0)),"")</f>
        <v>0</v>
      </c>
      <c r="J648" s="6" t="str">
        <f aca="false">IFERROR(INDEX('Semrush Data'!$A$1:$Z$20000,MATCH(A648,'Semrush Data'!$A$1:$A$20000,0),MATCH("Intent",'Semrush Data'!$A$1:$Z$1,0)),"")</f>
        <v>Informational Transactional</v>
      </c>
    </row>
    <row r="649" customFormat="false" ht="15" hidden="false" customHeight="true" outlineLevel="0" collapsed="false">
      <c r="A649" s="6" t="s">
        <v>5566</v>
      </c>
      <c r="B649" s="6" t="s">
        <v>41</v>
      </c>
      <c r="C649" s="6" t="n">
        <v>1</v>
      </c>
      <c r="D649" s="6" t="n">
        <v>7</v>
      </c>
      <c r="E649" s="6" t="n">
        <v>2</v>
      </c>
      <c r="F649" s="6" t="s">
        <v>6860</v>
      </c>
      <c r="G649" s="28" t="n">
        <f aca="false">IFERROR(INDEX('Semrush Data'!$A$1:$Z$20000,MATCH(A649,'Semrush Data'!$A$1:$A$20000,0),MATCH("Volume",'Semrush Data'!$A$1:$Z$1,0)),"")</f>
        <v>1300</v>
      </c>
      <c r="H649" s="6" t="n">
        <f aca="false">IFERROR(INDEX('Semrush Data'!$A$1:$Z$20000,MATCH(A649,'Semrush Data'!$A$1:$A$20000,0),MATCH("Keyword Difficulty*",'Semrush Data'!$A$1:$Z$1,0)),"")</f>
        <v>13</v>
      </c>
      <c r="I649" s="29" t="n">
        <f aca="false">IFERROR(INDEX('Semrush Data'!$A$1:$Z$20000,MATCH(A649,'Semrush Data'!$A$1:$A$20000,0),MATCH("CPC*",'Semrush Data'!$A$1:$Z$1,0)),"")</f>
        <v>0.33</v>
      </c>
      <c r="J649" s="6" t="str">
        <f aca="false">IFERROR(INDEX('Semrush Data'!$A$1:$Z$20000,MATCH(A649,'Semrush Data'!$A$1:$A$20000,0),MATCH("Intent",'Semrush Data'!$A$1:$Z$1,0)),"")</f>
        <v>Informational Transactional</v>
      </c>
    </row>
    <row r="650" customFormat="false" ht="15" hidden="false" customHeight="true" outlineLevel="0" collapsed="false">
      <c r="A650" s="6" t="s">
        <v>5545</v>
      </c>
      <c r="B650" s="6" t="s">
        <v>41</v>
      </c>
      <c r="C650" s="6" t="n">
        <v>1</v>
      </c>
      <c r="D650" s="6" t="n">
        <v>7</v>
      </c>
      <c r="E650" s="6" t="n">
        <v>1</v>
      </c>
      <c r="F650" s="6" t="s">
        <v>5542</v>
      </c>
      <c r="G650" s="28" t="n">
        <f aca="false">IFERROR(INDEX('Semrush Data'!$A$1:$Z$20000,MATCH(A650,'Semrush Data'!$A$1:$A$20000,0),MATCH("Volume",'Semrush Data'!$A$1:$Z$1,0)),"")</f>
        <v>20</v>
      </c>
      <c r="H650" s="6" t="n">
        <f aca="false">IFERROR(INDEX('Semrush Data'!$A$1:$Z$20000,MATCH(A650,'Semrush Data'!$A$1:$A$20000,0),MATCH("Keyword Difficulty*",'Semrush Data'!$A$1:$Z$1,0)),"")</f>
        <v>13</v>
      </c>
      <c r="I650" s="29" t="n">
        <f aca="false">IFERROR(INDEX('Semrush Data'!$A$1:$Z$20000,MATCH(A650,'Semrush Data'!$A$1:$A$20000,0),MATCH("CPC*",'Semrush Data'!$A$1:$Z$1,0)),"")</f>
        <v>0</v>
      </c>
      <c r="J650" s="6" t="str">
        <f aca="false">IFERROR(INDEX('Semrush Data'!$A$1:$Z$20000,MATCH(A650,'Semrush Data'!$A$1:$A$20000,0),MATCH("Intent",'Semrush Data'!$A$1:$Z$1,0)),"")</f>
        <v>Informational</v>
      </c>
    </row>
    <row r="651" customFormat="false" ht="15" hidden="false" customHeight="true" outlineLevel="0" collapsed="false">
      <c r="A651" s="6" t="s">
        <v>5557</v>
      </c>
      <c r="B651" s="6" t="s">
        <v>41</v>
      </c>
      <c r="C651" s="6" t="n">
        <v>1</v>
      </c>
      <c r="D651" s="6" t="n">
        <v>7</v>
      </c>
      <c r="E651" s="6" t="n">
        <v>1</v>
      </c>
      <c r="F651" s="6" t="s">
        <v>5555</v>
      </c>
      <c r="G651" s="28" t="n">
        <f aca="false">IFERROR(INDEX('Semrush Data'!$A$1:$Z$20000,MATCH(A651,'Semrush Data'!$A$1:$A$20000,0),MATCH("Volume",'Semrush Data'!$A$1:$Z$1,0)),"")</f>
        <v>0</v>
      </c>
      <c r="H651" s="6" t="n">
        <f aca="false">IFERROR(INDEX('Semrush Data'!$A$1:$Z$20000,MATCH(A651,'Semrush Data'!$A$1:$A$20000,0),MATCH("Keyword Difficulty*",'Semrush Data'!$A$1:$Z$1,0)),"")</f>
        <v>10</v>
      </c>
      <c r="I651" s="29" t="n">
        <f aca="false">IFERROR(INDEX('Semrush Data'!$A$1:$Z$20000,MATCH(A651,'Semrush Data'!$A$1:$A$20000,0),MATCH("CPC*",'Semrush Data'!$A$1:$Z$1,0)),"")</f>
        <v>0</v>
      </c>
      <c r="J651" s="6" t="str">
        <f aca="false">IFERROR(INDEX('Semrush Data'!$A$1:$Z$20000,MATCH(A651,'Semrush Data'!$A$1:$A$20000,0),MATCH("Intent",'Semrush Data'!$A$1:$Z$1,0)),"")</f>
        <v>Informational</v>
      </c>
    </row>
    <row r="652" customFormat="false" ht="15" hidden="false" customHeight="true" outlineLevel="0" collapsed="false">
      <c r="A652" s="6" t="s">
        <v>5577</v>
      </c>
      <c r="B652" s="6" t="s">
        <v>41</v>
      </c>
      <c r="C652" s="6" t="n">
        <v>1</v>
      </c>
      <c r="D652" s="6" t="n">
        <v>7</v>
      </c>
      <c r="E652" s="6" t="n">
        <v>1</v>
      </c>
      <c r="F652" s="6" t="s">
        <v>73</v>
      </c>
      <c r="G652" s="28" t="n">
        <f aca="false">IFERROR(INDEX('Semrush Data'!$A$1:$Z$20000,MATCH(A652,'Semrush Data'!$A$1:$A$20000,0),MATCH("Volume",'Semrush Data'!$A$1:$Z$1,0)),"")</f>
        <v>2900</v>
      </c>
      <c r="H652" s="6" t="n">
        <f aca="false">IFERROR(INDEX('Semrush Data'!$A$1:$Z$20000,MATCH(A652,'Semrush Data'!$A$1:$A$20000,0),MATCH("Keyword Difficulty*",'Semrush Data'!$A$1:$Z$1,0)),"")</f>
        <v>30</v>
      </c>
      <c r="I652" s="29" t="n">
        <f aca="false">IFERROR(INDEX('Semrush Data'!$A$1:$Z$20000,MATCH(A652,'Semrush Data'!$A$1:$A$20000,0),MATCH("CPC*",'Semrush Data'!$A$1:$Z$1,0)),"")</f>
        <v>0.35</v>
      </c>
      <c r="J652" s="6" t="str">
        <f aca="false">IFERROR(INDEX('Semrush Data'!$A$1:$Z$20000,MATCH(A652,'Semrush Data'!$A$1:$A$20000,0),MATCH("Intent",'Semrush Data'!$A$1:$Z$1,0)),"")</f>
        <v>Informational Transactional</v>
      </c>
    </row>
    <row r="653" customFormat="false" ht="15" hidden="false" customHeight="true" outlineLevel="0" collapsed="false">
      <c r="A653" s="6" t="s">
        <v>5613</v>
      </c>
      <c r="B653" s="6" t="s">
        <v>41</v>
      </c>
      <c r="C653" s="6" t="n">
        <v>1</v>
      </c>
      <c r="D653" s="6" t="n">
        <v>7</v>
      </c>
      <c r="E653" s="6" t="n">
        <v>1</v>
      </c>
      <c r="F653" s="6" t="s">
        <v>5610</v>
      </c>
      <c r="G653" s="28" t="n">
        <f aca="false">IFERROR(INDEX('Semrush Data'!$A$1:$Z$20000,MATCH(A653,'Semrush Data'!$A$1:$A$20000,0),MATCH("Volume",'Semrush Data'!$A$1:$Z$1,0)),"")</f>
        <v>0</v>
      </c>
      <c r="H653" s="6" t="n">
        <f aca="false">IFERROR(INDEX('Semrush Data'!$A$1:$Z$20000,MATCH(A653,'Semrush Data'!$A$1:$A$20000,0),MATCH("Keyword Difficulty*",'Semrush Data'!$A$1:$Z$1,0)),"")</f>
        <v>13</v>
      </c>
      <c r="I653" s="29" t="n">
        <f aca="false">IFERROR(INDEX('Semrush Data'!$A$1:$Z$20000,MATCH(A653,'Semrush Data'!$A$1:$A$20000,0),MATCH("CPC*",'Semrush Data'!$A$1:$Z$1,0)),"")</f>
        <v>0</v>
      </c>
      <c r="J653" s="6" t="str">
        <f aca="false">IFERROR(INDEX('Semrush Data'!$A$1:$Z$20000,MATCH(A653,'Semrush Data'!$A$1:$A$20000,0),MATCH("Intent",'Semrush Data'!$A$1:$Z$1,0)),"")</f>
        <v>Informational Transactional</v>
      </c>
    </row>
    <row r="654" customFormat="false" ht="15" hidden="false" customHeight="true" outlineLevel="0" collapsed="false">
      <c r="A654" s="6" t="s">
        <v>5592</v>
      </c>
      <c r="B654" s="6" t="s">
        <v>41</v>
      </c>
      <c r="C654" s="6" t="n">
        <v>1</v>
      </c>
      <c r="D654" s="6" t="n">
        <v>7</v>
      </c>
      <c r="E654" s="6" t="n">
        <v>1</v>
      </c>
      <c r="F654" s="6" t="s">
        <v>5587</v>
      </c>
      <c r="G654" s="28" t="n">
        <f aca="false">IFERROR(INDEX('Semrush Data'!$A$1:$Z$20000,MATCH(A654,'Semrush Data'!$A$1:$A$20000,0),MATCH("Volume",'Semrush Data'!$A$1:$Z$1,0)),"")</f>
        <v>0</v>
      </c>
      <c r="H654" s="6" t="n">
        <f aca="false">IFERROR(INDEX('Semrush Data'!$A$1:$Z$20000,MATCH(A654,'Semrush Data'!$A$1:$A$20000,0),MATCH("Keyword Difficulty*",'Semrush Data'!$A$1:$Z$1,0)),"")</f>
        <v>22</v>
      </c>
      <c r="I654" s="29" t="n">
        <f aca="false">IFERROR(INDEX('Semrush Data'!$A$1:$Z$20000,MATCH(A654,'Semrush Data'!$A$1:$A$20000,0),MATCH("CPC*",'Semrush Data'!$A$1:$Z$1,0)),"")</f>
        <v>0</v>
      </c>
      <c r="J654" s="6" t="str">
        <f aca="false">IFERROR(INDEX('Semrush Data'!$A$1:$Z$20000,MATCH(A654,'Semrush Data'!$A$1:$A$20000,0),MATCH("Intent",'Semrush Data'!$A$1:$Z$1,0)),"")</f>
        <v>Navigational</v>
      </c>
    </row>
    <row r="655" customFormat="false" ht="15" hidden="false" customHeight="true" outlineLevel="0" collapsed="false">
      <c r="A655" s="6" t="s">
        <v>5602</v>
      </c>
      <c r="B655" s="6" t="s">
        <v>41</v>
      </c>
      <c r="C655" s="6" t="n">
        <v>1</v>
      </c>
      <c r="D655" s="6" t="n">
        <v>7</v>
      </c>
      <c r="E655" s="6" t="n">
        <v>1</v>
      </c>
      <c r="F655" s="6" t="s">
        <v>5600</v>
      </c>
      <c r="G655" s="28" t="n">
        <f aca="false">IFERROR(INDEX('Semrush Data'!$A$1:$Z$20000,MATCH(A655,'Semrush Data'!$A$1:$A$20000,0),MATCH("Volume",'Semrush Data'!$A$1:$Z$1,0)),"")</f>
        <v>20</v>
      </c>
      <c r="H655" s="6" t="n">
        <f aca="false">IFERROR(INDEX('Semrush Data'!$A$1:$Z$20000,MATCH(A655,'Semrush Data'!$A$1:$A$20000,0),MATCH("Keyword Difficulty*",'Semrush Data'!$A$1:$Z$1,0)),"")</f>
        <v>17</v>
      </c>
      <c r="I655" s="29" t="n">
        <f aca="false">IFERROR(INDEX('Semrush Data'!$A$1:$Z$20000,MATCH(A655,'Semrush Data'!$A$1:$A$20000,0),MATCH("CPC*",'Semrush Data'!$A$1:$Z$1,0)),"")</f>
        <v>0</v>
      </c>
      <c r="J655" s="6" t="str">
        <f aca="false">IFERROR(INDEX('Semrush Data'!$A$1:$Z$20000,MATCH(A655,'Semrush Data'!$A$1:$A$20000,0),MATCH("Intent",'Semrush Data'!$A$1:$Z$1,0)),"")</f>
        <v>Informational Transactional</v>
      </c>
    </row>
    <row r="656" customFormat="false" ht="15" hidden="false" customHeight="true" outlineLevel="0" collapsed="false">
      <c r="A656" s="6" t="s">
        <v>5623</v>
      </c>
      <c r="B656" s="6" t="s">
        <v>41</v>
      </c>
      <c r="C656" s="6" t="n">
        <v>1</v>
      </c>
      <c r="D656" s="6" t="n">
        <v>7</v>
      </c>
      <c r="E656" s="6" t="n">
        <v>1</v>
      </c>
      <c r="F656" s="6" t="s">
        <v>5620</v>
      </c>
      <c r="G656" s="28" t="n">
        <f aca="false">IFERROR(INDEX('Semrush Data'!$A$1:$Z$20000,MATCH(A656,'Semrush Data'!$A$1:$A$20000,0),MATCH("Volume",'Semrush Data'!$A$1:$Z$1,0)),"")</f>
        <v>0</v>
      </c>
      <c r="H656" s="6" t="n">
        <f aca="false">IFERROR(INDEX('Semrush Data'!$A$1:$Z$20000,MATCH(A656,'Semrush Data'!$A$1:$A$20000,0),MATCH("Keyword Difficulty*",'Semrush Data'!$A$1:$Z$1,0)),"")</f>
        <v>16</v>
      </c>
      <c r="I656" s="29" t="n">
        <f aca="false">IFERROR(INDEX('Semrush Data'!$A$1:$Z$20000,MATCH(A656,'Semrush Data'!$A$1:$A$20000,0),MATCH("CPC*",'Semrush Data'!$A$1:$Z$1,0)),"")</f>
        <v>0</v>
      </c>
      <c r="J656" s="6" t="str">
        <f aca="false">IFERROR(INDEX('Semrush Data'!$A$1:$Z$20000,MATCH(A656,'Semrush Data'!$A$1:$A$20000,0),MATCH("Intent",'Semrush Data'!$A$1:$Z$1,0)),"")</f>
        <v>Informational</v>
      </c>
    </row>
    <row r="657" customFormat="false" ht="15" hidden="false" customHeight="true" outlineLevel="0" collapsed="false">
      <c r="A657" s="6" t="s">
        <v>4605</v>
      </c>
      <c r="B657" s="6" t="s">
        <v>41</v>
      </c>
      <c r="C657" s="6" t="n">
        <v>1</v>
      </c>
      <c r="D657" s="6" t="n">
        <v>7</v>
      </c>
      <c r="E657" s="6" t="n">
        <v>1</v>
      </c>
      <c r="F657" s="6" t="s">
        <v>4603</v>
      </c>
      <c r="G657" s="28" t="n">
        <f aca="false">IFERROR(INDEX('Semrush Data'!$A$1:$Z$20000,MATCH(A657,'Semrush Data'!$A$1:$A$20000,0),MATCH("Volume",'Semrush Data'!$A$1:$Z$1,0)),"")</f>
        <v>20</v>
      </c>
      <c r="H657" s="6" t="n">
        <f aca="false">IFERROR(INDEX('Semrush Data'!$A$1:$Z$20000,MATCH(A657,'Semrush Data'!$A$1:$A$20000,0),MATCH("Keyword Difficulty*",'Semrush Data'!$A$1:$Z$1,0)),"")</f>
        <v>20</v>
      </c>
      <c r="I657" s="29" t="n">
        <f aca="false">IFERROR(INDEX('Semrush Data'!$A$1:$Z$20000,MATCH(A657,'Semrush Data'!$A$1:$A$20000,0),MATCH("CPC*",'Semrush Data'!$A$1:$Z$1,0)),"")</f>
        <v>0</v>
      </c>
      <c r="J657" s="6" t="str">
        <f aca="false">IFERROR(INDEX('Semrush Data'!$A$1:$Z$20000,MATCH(A657,'Semrush Data'!$A$1:$A$20000,0),MATCH("Intent",'Semrush Data'!$A$1:$Z$1,0)),"")</f>
        <v>Commercial</v>
      </c>
    </row>
    <row r="658" customFormat="false" ht="15" hidden="false" customHeight="true" outlineLevel="0" collapsed="false">
      <c r="A658" s="6" t="s">
        <v>5635</v>
      </c>
      <c r="B658" s="6" t="s">
        <v>41</v>
      </c>
      <c r="C658" s="6" t="n">
        <v>1</v>
      </c>
      <c r="D658" s="6" t="n">
        <v>7</v>
      </c>
      <c r="E658" s="6" t="n">
        <v>1</v>
      </c>
      <c r="F658" s="6" t="s">
        <v>5632</v>
      </c>
      <c r="G658" s="28" t="n">
        <f aca="false">IFERROR(INDEX('Semrush Data'!$A$1:$Z$20000,MATCH(A658,'Semrush Data'!$A$1:$A$20000,0),MATCH("Volume",'Semrush Data'!$A$1:$Z$1,0)),"")</f>
        <v>0</v>
      </c>
      <c r="H658" s="6" t="n">
        <f aca="false">IFERROR(INDEX('Semrush Data'!$A$1:$Z$20000,MATCH(A658,'Semrush Data'!$A$1:$A$20000,0),MATCH("Keyword Difficulty*",'Semrush Data'!$A$1:$Z$1,0)),"")</f>
        <v>15</v>
      </c>
      <c r="I658" s="29" t="n">
        <f aca="false">IFERROR(INDEX('Semrush Data'!$A$1:$Z$20000,MATCH(A658,'Semrush Data'!$A$1:$A$20000,0),MATCH("CPC*",'Semrush Data'!$A$1:$Z$1,0)),"")</f>
        <v>0</v>
      </c>
      <c r="J658" s="6" t="str">
        <f aca="false">IFERROR(INDEX('Semrush Data'!$A$1:$Z$20000,MATCH(A658,'Semrush Data'!$A$1:$A$20000,0),MATCH("Intent",'Semrush Data'!$A$1:$Z$1,0)),"")</f>
        <v>Navigational</v>
      </c>
    </row>
    <row r="659" customFormat="false" ht="15" hidden="false" customHeight="true" outlineLevel="0" collapsed="false">
      <c r="A659" s="6" t="s">
        <v>5646</v>
      </c>
      <c r="B659" s="6" t="s">
        <v>41</v>
      </c>
      <c r="C659" s="6" t="n">
        <v>1</v>
      </c>
      <c r="D659" s="6" t="n">
        <v>7</v>
      </c>
      <c r="E659" s="6" t="n">
        <v>1</v>
      </c>
      <c r="F659" s="6" t="s">
        <v>5644</v>
      </c>
      <c r="G659" s="28" t="n">
        <f aca="false">IFERROR(INDEX('Semrush Data'!$A$1:$Z$20000,MATCH(A659,'Semrush Data'!$A$1:$A$20000,0),MATCH("Volume",'Semrush Data'!$A$1:$Z$1,0)),"")</f>
        <v>0</v>
      </c>
      <c r="H659" s="6" t="n">
        <f aca="false">IFERROR(INDEX('Semrush Data'!$A$1:$Z$20000,MATCH(A659,'Semrush Data'!$A$1:$A$20000,0),MATCH("Keyword Difficulty*",'Semrush Data'!$A$1:$Z$1,0)),"")</f>
        <v>14</v>
      </c>
      <c r="I659" s="29" t="n">
        <f aca="false">IFERROR(INDEX('Semrush Data'!$A$1:$Z$20000,MATCH(A659,'Semrush Data'!$A$1:$A$20000,0),MATCH("CPC*",'Semrush Data'!$A$1:$Z$1,0)),"")</f>
        <v>0</v>
      </c>
      <c r="J659" s="6" t="str">
        <f aca="false">IFERROR(INDEX('Semrush Data'!$A$1:$Z$20000,MATCH(A659,'Semrush Data'!$A$1:$A$20000,0),MATCH("Intent",'Semrush Data'!$A$1:$Z$1,0)),"")</f>
        <v>Informational</v>
      </c>
    </row>
    <row r="660" customFormat="false" ht="15" hidden="false" customHeight="true" outlineLevel="0" collapsed="false">
      <c r="A660" s="6" t="s">
        <v>5657</v>
      </c>
      <c r="B660" s="6" t="s">
        <v>41</v>
      </c>
      <c r="C660" s="6" t="n">
        <v>1</v>
      </c>
      <c r="D660" s="6" t="n">
        <v>7</v>
      </c>
      <c r="E660" s="6" t="n">
        <v>1</v>
      </c>
      <c r="F660" s="6" t="s">
        <v>5655</v>
      </c>
      <c r="G660" s="28" t="n">
        <f aca="false">IFERROR(INDEX('Semrush Data'!$A$1:$Z$20000,MATCH(A660,'Semrush Data'!$A$1:$A$20000,0),MATCH("Volume",'Semrush Data'!$A$1:$Z$1,0)),"")</f>
        <v>0</v>
      </c>
      <c r="H660" s="6" t="n">
        <f aca="false">IFERROR(INDEX('Semrush Data'!$A$1:$Z$20000,MATCH(A660,'Semrush Data'!$A$1:$A$20000,0),MATCH("Keyword Difficulty*",'Semrush Data'!$A$1:$Z$1,0)),"")</f>
        <v>13</v>
      </c>
      <c r="I660" s="29" t="n">
        <f aca="false">IFERROR(INDEX('Semrush Data'!$A$1:$Z$20000,MATCH(A660,'Semrush Data'!$A$1:$A$20000,0),MATCH("CPC*",'Semrush Data'!$A$1:$Z$1,0)),"")</f>
        <v>0</v>
      </c>
      <c r="J660" s="6" t="str">
        <f aca="false">IFERROR(INDEX('Semrush Data'!$A$1:$Z$20000,MATCH(A660,'Semrush Data'!$A$1:$A$20000,0),MATCH("Intent",'Semrush Data'!$A$1:$Z$1,0)),"")</f>
        <v>Transactional Navigational</v>
      </c>
    </row>
    <row r="661" customFormat="false" ht="15" hidden="false" customHeight="true" outlineLevel="0" collapsed="false">
      <c r="A661" s="6" t="s">
        <v>5668</v>
      </c>
      <c r="B661" s="6" t="s">
        <v>41</v>
      </c>
      <c r="C661" s="6" t="n">
        <v>1</v>
      </c>
      <c r="D661" s="6" t="n">
        <v>7</v>
      </c>
      <c r="E661" s="6" t="n">
        <v>1</v>
      </c>
      <c r="F661" s="6" t="s">
        <v>5665</v>
      </c>
      <c r="G661" s="28" t="n">
        <f aca="false">IFERROR(INDEX('Semrush Data'!$A$1:$Z$20000,MATCH(A661,'Semrush Data'!$A$1:$A$20000,0),MATCH("Volume",'Semrush Data'!$A$1:$Z$1,0)),"")</f>
        <v>20</v>
      </c>
      <c r="H661" s="6" t="n">
        <f aca="false">IFERROR(INDEX('Semrush Data'!$A$1:$Z$20000,MATCH(A661,'Semrush Data'!$A$1:$A$20000,0),MATCH("Keyword Difficulty*",'Semrush Data'!$A$1:$Z$1,0)),"")</f>
        <v>8</v>
      </c>
      <c r="I661" s="29" t="n">
        <f aca="false">IFERROR(INDEX('Semrush Data'!$A$1:$Z$20000,MATCH(A661,'Semrush Data'!$A$1:$A$20000,0),MATCH("CPC*",'Semrush Data'!$A$1:$Z$1,0)),"")</f>
        <v>0</v>
      </c>
      <c r="J661" s="6" t="str">
        <f aca="false">IFERROR(INDEX('Semrush Data'!$A$1:$Z$20000,MATCH(A661,'Semrush Data'!$A$1:$A$20000,0),MATCH("Intent",'Semrush Data'!$A$1:$Z$1,0)),"")</f>
        <v>Informational</v>
      </c>
    </row>
    <row r="662" customFormat="false" ht="15" hidden="false" customHeight="true" outlineLevel="0" collapsed="false">
      <c r="A662" s="6" t="s">
        <v>5680</v>
      </c>
      <c r="B662" s="6" t="s">
        <v>41</v>
      </c>
      <c r="C662" s="6" t="n">
        <v>1</v>
      </c>
      <c r="D662" s="6" t="n">
        <v>7</v>
      </c>
      <c r="E662" s="6" t="n">
        <v>1</v>
      </c>
      <c r="F662" s="6" t="s">
        <v>5678</v>
      </c>
      <c r="G662" s="28" t="n">
        <f aca="false">IFERROR(INDEX('Semrush Data'!$A$1:$Z$20000,MATCH(A662,'Semrush Data'!$A$1:$A$20000,0),MATCH("Volume",'Semrush Data'!$A$1:$Z$1,0)),"")</f>
        <v>0</v>
      </c>
      <c r="H662" s="6" t="n">
        <f aca="false">IFERROR(INDEX('Semrush Data'!$A$1:$Z$20000,MATCH(A662,'Semrush Data'!$A$1:$A$20000,0),MATCH("Keyword Difficulty*",'Semrush Data'!$A$1:$Z$1,0)),"")</f>
        <v>21</v>
      </c>
      <c r="I662" s="29" t="n">
        <f aca="false">IFERROR(INDEX('Semrush Data'!$A$1:$Z$20000,MATCH(A662,'Semrush Data'!$A$1:$A$20000,0),MATCH("CPC*",'Semrush Data'!$A$1:$Z$1,0)),"")</f>
        <v>0</v>
      </c>
      <c r="J662" s="6" t="str">
        <f aca="false">IFERROR(INDEX('Semrush Data'!$A$1:$Z$20000,MATCH(A662,'Semrush Data'!$A$1:$A$20000,0),MATCH("Intent",'Semrush Data'!$A$1:$Z$1,0)),"")</f>
        <v>Navigational</v>
      </c>
    </row>
    <row r="663" customFormat="false" ht="15" hidden="false" customHeight="true" outlineLevel="0" collapsed="false">
      <c r="A663" s="6" t="s">
        <v>5691</v>
      </c>
      <c r="B663" s="6" t="s">
        <v>41</v>
      </c>
      <c r="C663" s="6" t="n">
        <v>1</v>
      </c>
      <c r="D663" s="6" t="n">
        <v>7</v>
      </c>
      <c r="E663" s="6" t="n">
        <v>1</v>
      </c>
      <c r="F663" s="6" t="s">
        <v>5689</v>
      </c>
      <c r="G663" s="28" t="n">
        <f aca="false">IFERROR(INDEX('Semrush Data'!$A$1:$Z$20000,MATCH(A663,'Semrush Data'!$A$1:$A$20000,0),MATCH("Volume",'Semrush Data'!$A$1:$Z$1,0)),"")</f>
        <v>20</v>
      </c>
      <c r="H663" s="6" t="n">
        <f aca="false">IFERROR(INDEX('Semrush Data'!$A$1:$Z$20000,MATCH(A663,'Semrush Data'!$A$1:$A$20000,0),MATCH("Keyword Difficulty*",'Semrush Data'!$A$1:$Z$1,0)),"")</f>
        <v>3</v>
      </c>
      <c r="I663" s="29" t="n">
        <f aca="false">IFERROR(INDEX('Semrush Data'!$A$1:$Z$20000,MATCH(A663,'Semrush Data'!$A$1:$A$20000,0),MATCH("CPC*",'Semrush Data'!$A$1:$Z$1,0)),"")</f>
        <v>0</v>
      </c>
      <c r="J663" s="6" t="str">
        <f aca="false">IFERROR(INDEX('Semrush Data'!$A$1:$Z$20000,MATCH(A663,'Semrush Data'!$A$1:$A$20000,0),MATCH("Intent",'Semrush Data'!$A$1:$Z$1,0)),"")</f>
        <v>Informational</v>
      </c>
    </row>
    <row r="664" customFormat="false" ht="15" hidden="false" customHeight="true" outlineLevel="0" collapsed="false">
      <c r="A664" s="6" t="s">
        <v>5703</v>
      </c>
      <c r="B664" s="6" t="s">
        <v>41</v>
      </c>
      <c r="C664" s="6" t="n">
        <v>1</v>
      </c>
      <c r="D664" s="6" t="n">
        <v>7</v>
      </c>
      <c r="E664" s="6" t="n">
        <v>1</v>
      </c>
      <c r="F664" s="6" t="s">
        <v>5701</v>
      </c>
      <c r="G664" s="28" t="n">
        <f aca="false">IFERROR(INDEX('Semrush Data'!$A$1:$Z$20000,MATCH(A664,'Semrush Data'!$A$1:$A$20000,0),MATCH("Volume",'Semrush Data'!$A$1:$Z$1,0)),"")</f>
        <v>20</v>
      </c>
      <c r="H664" s="6" t="n">
        <f aca="false">IFERROR(INDEX('Semrush Data'!$A$1:$Z$20000,MATCH(A664,'Semrush Data'!$A$1:$A$20000,0),MATCH("Keyword Difficulty*",'Semrush Data'!$A$1:$Z$1,0)),"")</f>
        <v>15</v>
      </c>
      <c r="I664" s="29" t="n">
        <f aca="false">IFERROR(INDEX('Semrush Data'!$A$1:$Z$20000,MATCH(A664,'Semrush Data'!$A$1:$A$20000,0),MATCH("CPC*",'Semrush Data'!$A$1:$Z$1,0)),"")</f>
        <v>0</v>
      </c>
      <c r="J664" s="6" t="str">
        <f aca="false">IFERROR(INDEX('Semrush Data'!$A$1:$Z$20000,MATCH(A664,'Semrush Data'!$A$1:$A$20000,0),MATCH("Intent",'Semrush Data'!$A$1:$Z$1,0)),"")</f>
        <v>Navigational</v>
      </c>
    </row>
    <row r="665" customFormat="false" ht="15" hidden="false" customHeight="true" outlineLevel="0" collapsed="false">
      <c r="A665" s="6" t="s">
        <v>5714</v>
      </c>
      <c r="B665" s="6" t="s">
        <v>41</v>
      </c>
      <c r="C665" s="6" t="n">
        <v>1</v>
      </c>
      <c r="D665" s="6" t="n">
        <v>7</v>
      </c>
      <c r="E665" s="6" t="n">
        <v>1</v>
      </c>
      <c r="F665" s="6" t="s">
        <v>5712</v>
      </c>
      <c r="G665" s="28" t="n">
        <f aca="false">IFERROR(INDEX('Semrush Data'!$A$1:$Z$20000,MATCH(A665,'Semrush Data'!$A$1:$A$20000,0),MATCH("Volume",'Semrush Data'!$A$1:$Z$1,0)),"")</f>
        <v>10</v>
      </c>
      <c r="H665" s="6" t="n">
        <f aca="false">IFERROR(INDEX('Semrush Data'!$A$1:$Z$20000,MATCH(A665,'Semrush Data'!$A$1:$A$20000,0),MATCH("Keyword Difficulty*",'Semrush Data'!$A$1:$Z$1,0)),"")</f>
        <v>5</v>
      </c>
      <c r="I665" s="29" t="n">
        <f aca="false">IFERROR(INDEX('Semrush Data'!$A$1:$Z$20000,MATCH(A665,'Semrush Data'!$A$1:$A$20000,0),MATCH("CPC*",'Semrush Data'!$A$1:$Z$1,0)),"")</f>
        <v>0</v>
      </c>
      <c r="J665" s="6" t="str">
        <f aca="false">IFERROR(INDEX('Semrush Data'!$A$1:$Z$20000,MATCH(A665,'Semrush Data'!$A$1:$A$20000,0),MATCH("Intent",'Semrush Data'!$A$1:$Z$1,0)),"")</f>
        <v>Navigational</v>
      </c>
    </row>
    <row r="666" customFormat="false" ht="15" hidden="false" customHeight="true" outlineLevel="0" collapsed="false">
      <c r="A666" s="6" t="s">
        <v>5726</v>
      </c>
      <c r="B666" s="6" t="s">
        <v>41</v>
      </c>
      <c r="C666" s="6" t="n">
        <v>1</v>
      </c>
      <c r="D666" s="6" t="n">
        <v>7</v>
      </c>
      <c r="E666" s="6" t="n">
        <v>1</v>
      </c>
      <c r="F666" s="6" t="s">
        <v>5723</v>
      </c>
      <c r="G666" s="28" t="n">
        <f aca="false">IFERROR(INDEX('Semrush Data'!$A$1:$Z$20000,MATCH(A666,'Semrush Data'!$A$1:$A$20000,0),MATCH("Volume",'Semrush Data'!$A$1:$Z$1,0)),"")</f>
        <v>70</v>
      </c>
      <c r="H666" s="6" t="n">
        <f aca="false">IFERROR(INDEX('Semrush Data'!$A$1:$Z$20000,MATCH(A666,'Semrush Data'!$A$1:$A$20000,0),MATCH("Keyword Difficulty*",'Semrush Data'!$A$1:$Z$1,0)),"")</f>
        <v>7</v>
      </c>
      <c r="I666" s="29" t="n">
        <f aca="false">IFERROR(INDEX('Semrush Data'!$A$1:$Z$20000,MATCH(A666,'Semrush Data'!$A$1:$A$20000,0),MATCH("CPC*",'Semrush Data'!$A$1:$Z$1,0)),"")</f>
        <v>0</v>
      </c>
      <c r="J666" s="6" t="str">
        <f aca="false">IFERROR(INDEX('Semrush Data'!$A$1:$Z$20000,MATCH(A666,'Semrush Data'!$A$1:$A$20000,0),MATCH("Intent",'Semrush Data'!$A$1:$Z$1,0)),"")</f>
        <v>Informational Transactional</v>
      </c>
    </row>
    <row r="667" customFormat="false" ht="15" hidden="false" customHeight="true" outlineLevel="0" collapsed="false">
      <c r="A667" s="6" t="s">
        <v>5739</v>
      </c>
      <c r="B667" s="6" t="s">
        <v>41</v>
      </c>
      <c r="C667" s="6" t="n">
        <v>1</v>
      </c>
      <c r="D667" s="6" t="n">
        <v>7</v>
      </c>
      <c r="E667" s="6" t="n">
        <v>1</v>
      </c>
      <c r="F667" s="6" t="s">
        <v>5736</v>
      </c>
      <c r="G667" s="28" t="n">
        <f aca="false">IFERROR(INDEX('Semrush Data'!$A$1:$Z$20000,MATCH(A667,'Semrush Data'!$A$1:$A$20000,0),MATCH("Volume",'Semrush Data'!$A$1:$Z$1,0)),"")</f>
        <v>170</v>
      </c>
      <c r="H667" s="6" t="n">
        <f aca="false">IFERROR(INDEX('Semrush Data'!$A$1:$Z$20000,MATCH(A667,'Semrush Data'!$A$1:$A$20000,0),MATCH("Keyword Difficulty*",'Semrush Data'!$A$1:$Z$1,0)),"")</f>
        <v>22</v>
      </c>
      <c r="I667" s="29" t="n">
        <f aca="false">IFERROR(INDEX('Semrush Data'!$A$1:$Z$20000,MATCH(A667,'Semrush Data'!$A$1:$A$20000,0),MATCH("CPC*",'Semrush Data'!$A$1:$Z$1,0)),"")</f>
        <v>0.52</v>
      </c>
      <c r="J667" s="6" t="str">
        <f aca="false">IFERROR(INDEX('Semrush Data'!$A$1:$Z$20000,MATCH(A667,'Semrush Data'!$A$1:$A$20000,0),MATCH("Intent",'Semrush Data'!$A$1:$Z$1,0)),"")</f>
        <v>Informational</v>
      </c>
    </row>
    <row r="668" customFormat="false" ht="15" hidden="false" customHeight="true" outlineLevel="0" collapsed="false">
      <c r="A668" s="6" t="s">
        <v>5752</v>
      </c>
      <c r="B668" s="6" t="s">
        <v>41</v>
      </c>
      <c r="C668" s="6" t="n">
        <v>1</v>
      </c>
      <c r="D668" s="6" t="n">
        <v>7</v>
      </c>
      <c r="E668" s="6" t="n">
        <v>1</v>
      </c>
      <c r="F668" s="6" t="s">
        <v>5749</v>
      </c>
      <c r="G668" s="28" t="n">
        <f aca="false">IFERROR(INDEX('Semrush Data'!$A$1:$Z$20000,MATCH(A668,'Semrush Data'!$A$1:$A$20000,0),MATCH("Volume",'Semrush Data'!$A$1:$Z$1,0)),"")</f>
        <v>0</v>
      </c>
      <c r="H668" s="6" t="n">
        <f aca="false">IFERROR(INDEX('Semrush Data'!$A$1:$Z$20000,MATCH(A668,'Semrush Data'!$A$1:$A$20000,0),MATCH("Keyword Difficulty*",'Semrush Data'!$A$1:$Z$1,0)),"")</f>
        <v>14</v>
      </c>
      <c r="I668" s="29" t="n">
        <f aca="false">IFERROR(INDEX('Semrush Data'!$A$1:$Z$20000,MATCH(A668,'Semrush Data'!$A$1:$A$20000,0),MATCH("CPC*",'Semrush Data'!$A$1:$Z$1,0)),"")</f>
        <v>0</v>
      </c>
      <c r="J668" s="6" t="str">
        <f aca="false">IFERROR(INDEX('Semrush Data'!$A$1:$Z$20000,MATCH(A668,'Semrush Data'!$A$1:$A$20000,0),MATCH("Intent",'Semrush Data'!$A$1:$Z$1,0)),"")</f>
        <v>Informational</v>
      </c>
    </row>
    <row r="669" customFormat="false" ht="15" hidden="false" customHeight="true" outlineLevel="0" collapsed="false">
      <c r="A669" s="6" t="s">
        <v>5764</v>
      </c>
      <c r="B669" s="6" t="s">
        <v>41</v>
      </c>
      <c r="C669" s="6" t="n">
        <v>1</v>
      </c>
      <c r="D669" s="6" t="n">
        <v>7</v>
      </c>
      <c r="E669" s="6" t="n">
        <v>1</v>
      </c>
      <c r="F669" s="6" t="s">
        <v>5762</v>
      </c>
      <c r="G669" s="28" t="n">
        <f aca="false">IFERROR(INDEX('Semrush Data'!$A$1:$Z$20000,MATCH(A669,'Semrush Data'!$A$1:$A$20000,0),MATCH("Volume",'Semrush Data'!$A$1:$Z$1,0)),"")</f>
        <v>20</v>
      </c>
      <c r="H669" s="6" t="n">
        <f aca="false">IFERROR(INDEX('Semrush Data'!$A$1:$Z$20000,MATCH(A669,'Semrush Data'!$A$1:$A$20000,0),MATCH("Keyword Difficulty*",'Semrush Data'!$A$1:$Z$1,0)),"")</f>
        <v>8</v>
      </c>
      <c r="I669" s="29" t="n">
        <f aca="false">IFERROR(INDEX('Semrush Data'!$A$1:$Z$20000,MATCH(A669,'Semrush Data'!$A$1:$A$20000,0),MATCH("CPC*",'Semrush Data'!$A$1:$Z$1,0)),"")</f>
        <v>0</v>
      </c>
      <c r="J669" s="6" t="str">
        <f aca="false">IFERROR(INDEX('Semrush Data'!$A$1:$Z$20000,MATCH(A669,'Semrush Data'!$A$1:$A$20000,0),MATCH("Intent",'Semrush Data'!$A$1:$Z$1,0)),"")</f>
        <v>Informational</v>
      </c>
    </row>
    <row r="670" customFormat="false" ht="15" hidden="false" customHeight="true" outlineLevel="0" collapsed="false">
      <c r="A670" s="6" t="s">
        <v>5775</v>
      </c>
      <c r="B670" s="6" t="s">
        <v>41</v>
      </c>
      <c r="C670" s="6" t="n">
        <v>1</v>
      </c>
      <c r="D670" s="6" t="n">
        <v>7</v>
      </c>
      <c r="E670" s="6" t="n">
        <v>1</v>
      </c>
      <c r="F670" s="6" t="s">
        <v>5773</v>
      </c>
      <c r="G670" s="28" t="n">
        <f aca="false">IFERROR(INDEX('Semrush Data'!$A$1:$Z$20000,MATCH(A670,'Semrush Data'!$A$1:$A$20000,0),MATCH("Volume",'Semrush Data'!$A$1:$Z$1,0)),"")</f>
        <v>0</v>
      </c>
      <c r="H670" s="6" t="n">
        <f aca="false">IFERROR(INDEX('Semrush Data'!$A$1:$Z$20000,MATCH(A670,'Semrush Data'!$A$1:$A$20000,0),MATCH("Keyword Difficulty*",'Semrush Data'!$A$1:$Z$1,0)),"")</f>
        <v>23</v>
      </c>
      <c r="I670" s="29" t="n">
        <f aca="false">IFERROR(INDEX('Semrush Data'!$A$1:$Z$20000,MATCH(A670,'Semrush Data'!$A$1:$A$20000,0),MATCH("CPC*",'Semrush Data'!$A$1:$Z$1,0)),"")</f>
        <v>0</v>
      </c>
      <c r="J670" s="6" t="str">
        <f aca="false">IFERROR(INDEX('Semrush Data'!$A$1:$Z$20000,MATCH(A670,'Semrush Data'!$A$1:$A$20000,0),MATCH("Intent",'Semrush Data'!$A$1:$Z$1,0)),"")</f>
        <v>Informational</v>
      </c>
    </row>
    <row r="671" customFormat="false" ht="15" hidden="false" customHeight="true" outlineLevel="0" collapsed="false">
      <c r="A671" s="6" t="s">
        <v>5899</v>
      </c>
      <c r="B671" s="6" t="s">
        <v>41</v>
      </c>
      <c r="C671" s="6" t="n">
        <v>1</v>
      </c>
      <c r="D671" s="6" t="n">
        <v>7</v>
      </c>
      <c r="E671" s="6" t="n">
        <v>1</v>
      </c>
      <c r="F671" s="6" t="s">
        <v>5896</v>
      </c>
      <c r="G671" s="28" t="n">
        <f aca="false">IFERROR(INDEX('Semrush Data'!$A$1:$Z$20000,MATCH(A671,'Semrush Data'!$A$1:$A$20000,0),MATCH("Volume",'Semrush Data'!$A$1:$Z$1,0)),"")</f>
        <v>140</v>
      </c>
      <c r="H671" s="6" t="n">
        <f aca="false">IFERROR(INDEX('Semrush Data'!$A$1:$Z$20000,MATCH(A671,'Semrush Data'!$A$1:$A$20000,0),MATCH("Keyword Difficulty*",'Semrush Data'!$A$1:$Z$1,0)),"")</f>
        <v>10</v>
      </c>
      <c r="I671" s="29" t="n">
        <f aca="false">IFERROR(INDEX('Semrush Data'!$A$1:$Z$20000,MATCH(A671,'Semrush Data'!$A$1:$A$20000,0),MATCH("CPC*",'Semrush Data'!$A$1:$Z$1,0)),"")</f>
        <v>0</v>
      </c>
      <c r="J671" s="6" t="str">
        <f aca="false">IFERROR(INDEX('Semrush Data'!$A$1:$Z$20000,MATCH(A671,'Semrush Data'!$A$1:$A$20000,0),MATCH("Intent",'Semrush Data'!$A$1:$Z$1,0)),"")</f>
        <v>Informational</v>
      </c>
    </row>
    <row r="672" customFormat="false" ht="15" hidden="false" customHeight="true" outlineLevel="0" collapsed="false">
      <c r="A672" s="6" t="s">
        <v>5787</v>
      </c>
      <c r="B672" s="6" t="s">
        <v>41</v>
      </c>
      <c r="C672" s="6" t="n">
        <v>1</v>
      </c>
      <c r="D672" s="6" t="n">
        <v>7</v>
      </c>
      <c r="E672" s="6" t="n">
        <v>1</v>
      </c>
      <c r="F672" s="6" t="s">
        <v>5785</v>
      </c>
      <c r="G672" s="28" t="n">
        <f aca="false">IFERROR(INDEX('Semrush Data'!$A$1:$Z$20000,MATCH(A672,'Semrush Data'!$A$1:$A$20000,0),MATCH("Volume",'Semrush Data'!$A$1:$Z$1,0)),"")</f>
        <v>0</v>
      </c>
      <c r="H672" s="6" t="n">
        <f aca="false">IFERROR(INDEX('Semrush Data'!$A$1:$Z$20000,MATCH(A672,'Semrush Data'!$A$1:$A$20000,0),MATCH("Keyword Difficulty*",'Semrush Data'!$A$1:$Z$1,0)),"")</f>
        <v>3</v>
      </c>
      <c r="I672" s="29" t="n">
        <f aca="false">IFERROR(INDEX('Semrush Data'!$A$1:$Z$20000,MATCH(A672,'Semrush Data'!$A$1:$A$20000,0),MATCH("CPC*",'Semrush Data'!$A$1:$Z$1,0)),"")</f>
        <v>0</v>
      </c>
      <c r="J672" s="6" t="str">
        <f aca="false">IFERROR(INDEX('Semrush Data'!$A$1:$Z$20000,MATCH(A672,'Semrush Data'!$A$1:$A$20000,0),MATCH("Intent",'Semrush Data'!$A$1:$Z$1,0)),"")</f>
        <v>Informational</v>
      </c>
    </row>
    <row r="673" customFormat="false" ht="15" hidden="false" customHeight="true" outlineLevel="0" collapsed="false">
      <c r="A673" s="6" t="s">
        <v>5877</v>
      </c>
      <c r="B673" s="6" t="s">
        <v>41</v>
      </c>
      <c r="C673" s="6" t="n">
        <v>1</v>
      </c>
      <c r="D673" s="6" t="n">
        <v>7</v>
      </c>
      <c r="E673" s="6" t="n">
        <v>1</v>
      </c>
      <c r="F673" s="6" t="s">
        <v>5875</v>
      </c>
      <c r="G673" s="28" t="n">
        <f aca="false">IFERROR(INDEX('Semrush Data'!$A$1:$Z$20000,MATCH(A673,'Semrush Data'!$A$1:$A$20000,0),MATCH("Volume",'Semrush Data'!$A$1:$Z$1,0)),"")</f>
        <v>10</v>
      </c>
      <c r="H673" s="6" t="n">
        <f aca="false">IFERROR(INDEX('Semrush Data'!$A$1:$Z$20000,MATCH(A673,'Semrush Data'!$A$1:$A$20000,0),MATCH("Keyword Difficulty*",'Semrush Data'!$A$1:$Z$1,0)),"")</f>
        <v>16</v>
      </c>
      <c r="I673" s="29" t="n">
        <f aca="false">IFERROR(INDEX('Semrush Data'!$A$1:$Z$20000,MATCH(A673,'Semrush Data'!$A$1:$A$20000,0),MATCH("CPC*",'Semrush Data'!$A$1:$Z$1,0)),"")</f>
        <v>0</v>
      </c>
      <c r="J673" s="6" t="str">
        <f aca="false">IFERROR(INDEX('Semrush Data'!$A$1:$Z$20000,MATCH(A673,'Semrush Data'!$A$1:$A$20000,0),MATCH("Intent",'Semrush Data'!$A$1:$Z$1,0)),"")</f>
        <v>Informational Transactional</v>
      </c>
    </row>
    <row r="674" customFormat="false" ht="15" hidden="false" customHeight="true" outlineLevel="0" collapsed="false">
      <c r="A674" s="6" t="s">
        <v>5889</v>
      </c>
      <c r="B674" s="6" t="s">
        <v>41</v>
      </c>
      <c r="C674" s="6" t="n">
        <v>1</v>
      </c>
      <c r="D674" s="6" t="n">
        <v>7</v>
      </c>
      <c r="E674" s="6" t="n">
        <v>1</v>
      </c>
      <c r="F674" s="6" t="s">
        <v>5886</v>
      </c>
      <c r="G674" s="28" t="n">
        <f aca="false">IFERROR(INDEX('Semrush Data'!$A$1:$Z$20000,MATCH(A674,'Semrush Data'!$A$1:$A$20000,0),MATCH("Volume",'Semrush Data'!$A$1:$Z$1,0)),"")</f>
        <v>20</v>
      </c>
      <c r="H674" s="6" t="n">
        <f aca="false">IFERROR(INDEX('Semrush Data'!$A$1:$Z$20000,MATCH(A674,'Semrush Data'!$A$1:$A$20000,0),MATCH("Keyword Difficulty*",'Semrush Data'!$A$1:$Z$1,0)),"")</f>
        <v>16</v>
      </c>
      <c r="I674" s="29" t="n">
        <f aca="false">IFERROR(INDEX('Semrush Data'!$A$1:$Z$20000,MATCH(A674,'Semrush Data'!$A$1:$A$20000,0),MATCH("CPC*",'Semrush Data'!$A$1:$Z$1,0)),"")</f>
        <v>0</v>
      </c>
      <c r="J674" s="6" t="str">
        <f aca="false">IFERROR(INDEX('Semrush Data'!$A$1:$Z$20000,MATCH(A674,'Semrush Data'!$A$1:$A$20000,0),MATCH("Intent",'Semrush Data'!$A$1:$Z$1,0)),"")</f>
        <v>Informational Transactional</v>
      </c>
    </row>
    <row r="675" customFormat="false" ht="15" hidden="false" customHeight="true" outlineLevel="0" collapsed="false">
      <c r="A675" s="6" t="s">
        <v>5911</v>
      </c>
      <c r="B675" s="6" t="s">
        <v>41</v>
      </c>
      <c r="C675" s="6" t="n">
        <v>1</v>
      </c>
      <c r="D675" s="6" t="n">
        <v>7</v>
      </c>
      <c r="E675" s="6" t="n">
        <v>1</v>
      </c>
      <c r="F675" s="6" t="s">
        <v>5909</v>
      </c>
      <c r="G675" s="28" t="n">
        <f aca="false">IFERROR(INDEX('Semrush Data'!$A$1:$Z$20000,MATCH(A675,'Semrush Data'!$A$1:$A$20000,0),MATCH("Volume",'Semrush Data'!$A$1:$Z$1,0)),"")</f>
        <v>20</v>
      </c>
      <c r="H675" s="6" t="n">
        <f aca="false">IFERROR(INDEX('Semrush Data'!$A$1:$Z$20000,MATCH(A675,'Semrush Data'!$A$1:$A$20000,0),MATCH("Keyword Difficulty*",'Semrush Data'!$A$1:$Z$1,0)),"")</f>
        <v>12</v>
      </c>
      <c r="I675" s="29" t="n">
        <f aca="false">IFERROR(INDEX('Semrush Data'!$A$1:$Z$20000,MATCH(A675,'Semrush Data'!$A$1:$A$20000,0),MATCH("CPC*",'Semrush Data'!$A$1:$Z$1,0)),"")</f>
        <v>0</v>
      </c>
      <c r="J675" s="6" t="str">
        <f aca="false">IFERROR(INDEX('Semrush Data'!$A$1:$Z$20000,MATCH(A675,'Semrush Data'!$A$1:$A$20000,0),MATCH("Intent",'Semrush Data'!$A$1:$Z$1,0)),"")</f>
        <v>Informational</v>
      </c>
    </row>
    <row r="676" customFormat="false" ht="15" hidden="false" customHeight="true" outlineLevel="0" collapsed="false">
      <c r="A676" s="6" t="s">
        <v>5798</v>
      </c>
      <c r="B676" s="6" t="s">
        <v>41</v>
      </c>
      <c r="C676" s="6" t="n">
        <v>1</v>
      </c>
      <c r="D676" s="6" t="n">
        <v>7</v>
      </c>
      <c r="E676" s="6" t="n">
        <v>1</v>
      </c>
      <c r="F676" s="6" t="s">
        <v>5796</v>
      </c>
      <c r="G676" s="28" t="n">
        <f aca="false">IFERROR(INDEX('Semrush Data'!$A$1:$Z$20000,MATCH(A676,'Semrush Data'!$A$1:$A$20000,0),MATCH("Volume",'Semrush Data'!$A$1:$Z$1,0)),"")</f>
        <v>0</v>
      </c>
      <c r="H676" s="6" t="n">
        <f aca="false">IFERROR(INDEX('Semrush Data'!$A$1:$Z$20000,MATCH(A676,'Semrush Data'!$A$1:$A$20000,0),MATCH("Keyword Difficulty*",'Semrush Data'!$A$1:$Z$1,0)),"")</f>
        <v>22</v>
      </c>
      <c r="I676" s="29" t="n">
        <f aca="false">IFERROR(INDEX('Semrush Data'!$A$1:$Z$20000,MATCH(A676,'Semrush Data'!$A$1:$A$20000,0),MATCH("CPC*",'Semrush Data'!$A$1:$Z$1,0)),"")</f>
        <v>0</v>
      </c>
      <c r="J676" s="6" t="str">
        <f aca="false">IFERROR(INDEX('Semrush Data'!$A$1:$Z$20000,MATCH(A676,'Semrush Data'!$A$1:$A$20000,0),MATCH("Intent",'Semrush Data'!$A$1:$Z$1,0)),"")</f>
        <v>Informational</v>
      </c>
    </row>
    <row r="677" customFormat="false" ht="15" hidden="false" customHeight="true" outlineLevel="0" collapsed="false">
      <c r="A677" s="6" t="s">
        <v>5810</v>
      </c>
      <c r="B677" s="6" t="s">
        <v>41</v>
      </c>
      <c r="C677" s="6" t="n">
        <v>1</v>
      </c>
      <c r="D677" s="6" t="n">
        <v>7</v>
      </c>
      <c r="E677" s="6" t="n">
        <v>1</v>
      </c>
      <c r="F677" s="6" t="s">
        <v>5807</v>
      </c>
      <c r="G677" s="28" t="n">
        <f aca="false">IFERROR(INDEX('Semrush Data'!$A$1:$Z$20000,MATCH(A677,'Semrush Data'!$A$1:$A$20000,0),MATCH("Volume",'Semrush Data'!$A$1:$Z$1,0)),"")</f>
        <v>0</v>
      </c>
      <c r="H677" s="6" t="n">
        <f aca="false">IFERROR(INDEX('Semrush Data'!$A$1:$Z$20000,MATCH(A677,'Semrush Data'!$A$1:$A$20000,0),MATCH("Keyword Difficulty*",'Semrush Data'!$A$1:$Z$1,0)),"")</f>
        <v>15</v>
      </c>
      <c r="I677" s="29" t="n">
        <f aca="false">IFERROR(INDEX('Semrush Data'!$A$1:$Z$20000,MATCH(A677,'Semrush Data'!$A$1:$A$20000,0),MATCH("CPC*",'Semrush Data'!$A$1:$Z$1,0)),"")</f>
        <v>0</v>
      </c>
      <c r="J677" s="6" t="str">
        <f aca="false">IFERROR(INDEX('Semrush Data'!$A$1:$Z$20000,MATCH(A677,'Semrush Data'!$A$1:$A$20000,0),MATCH("Intent",'Semrush Data'!$A$1:$Z$1,0)),"")</f>
        <v>Informational</v>
      </c>
    </row>
    <row r="678" customFormat="false" ht="15" hidden="false" customHeight="true" outlineLevel="0" collapsed="false">
      <c r="A678" s="6" t="s">
        <v>5822</v>
      </c>
      <c r="B678" s="6" t="s">
        <v>41</v>
      </c>
      <c r="C678" s="6" t="n">
        <v>1</v>
      </c>
      <c r="D678" s="6" t="n">
        <v>7</v>
      </c>
      <c r="E678" s="6" t="n">
        <v>1</v>
      </c>
      <c r="F678" s="6" t="s">
        <v>5820</v>
      </c>
      <c r="G678" s="28" t="n">
        <f aca="false">IFERROR(INDEX('Semrush Data'!$A$1:$Z$20000,MATCH(A678,'Semrush Data'!$A$1:$A$20000,0),MATCH("Volume",'Semrush Data'!$A$1:$Z$1,0)),"")</f>
        <v>20</v>
      </c>
      <c r="H678" s="6" t="n">
        <f aca="false">IFERROR(INDEX('Semrush Data'!$A$1:$Z$20000,MATCH(A678,'Semrush Data'!$A$1:$A$20000,0),MATCH("Keyword Difficulty*",'Semrush Data'!$A$1:$Z$1,0)),"")</f>
        <v>7</v>
      </c>
      <c r="I678" s="29" t="n">
        <f aca="false">IFERROR(INDEX('Semrush Data'!$A$1:$Z$20000,MATCH(A678,'Semrush Data'!$A$1:$A$20000,0),MATCH("CPC*",'Semrush Data'!$A$1:$Z$1,0)),"")</f>
        <v>0</v>
      </c>
      <c r="J678" s="6" t="str">
        <f aca="false">IFERROR(INDEX('Semrush Data'!$A$1:$Z$20000,MATCH(A678,'Semrush Data'!$A$1:$A$20000,0),MATCH("Intent",'Semrush Data'!$A$1:$Z$1,0)),"")</f>
        <v>Informational Transactional</v>
      </c>
    </row>
    <row r="679" customFormat="false" ht="15" hidden="false" customHeight="true" outlineLevel="0" collapsed="false">
      <c r="A679" s="6" t="s">
        <v>5833</v>
      </c>
      <c r="B679" s="6" t="s">
        <v>41</v>
      </c>
      <c r="C679" s="6" t="n">
        <v>1</v>
      </c>
      <c r="D679" s="6" t="n">
        <v>7</v>
      </c>
      <c r="E679" s="6" t="n">
        <v>1</v>
      </c>
      <c r="F679" s="6" t="s">
        <v>5831</v>
      </c>
      <c r="G679" s="28" t="n">
        <f aca="false">IFERROR(INDEX('Semrush Data'!$A$1:$Z$20000,MATCH(A679,'Semrush Data'!$A$1:$A$20000,0),MATCH("Volume",'Semrush Data'!$A$1:$Z$1,0)),"")</f>
        <v>20</v>
      </c>
      <c r="H679" s="6" t="n">
        <f aca="false">IFERROR(INDEX('Semrush Data'!$A$1:$Z$20000,MATCH(A679,'Semrush Data'!$A$1:$A$20000,0),MATCH("Keyword Difficulty*",'Semrush Data'!$A$1:$Z$1,0)),"")</f>
        <v>28</v>
      </c>
      <c r="I679" s="29" t="n">
        <f aca="false">IFERROR(INDEX('Semrush Data'!$A$1:$Z$20000,MATCH(A679,'Semrush Data'!$A$1:$A$20000,0),MATCH("CPC*",'Semrush Data'!$A$1:$Z$1,0)),"")</f>
        <v>0</v>
      </c>
      <c r="J679" s="6" t="str">
        <f aca="false">IFERROR(INDEX('Semrush Data'!$A$1:$Z$20000,MATCH(A679,'Semrush Data'!$A$1:$A$20000,0),MATCH("Intent",'Semrush Data'!$A$1:$Z$1,0)),"")</f>
        <v>Navigational</v>
      </c>
    </row>
    <row r="680" customFormat="false" ht="15" hidden="false" customHeight="true" outlineLevel="0" collapsed="false">
      <c r="A680" s="6" t="s">
        <v>5844</v>
      </c>
      <c r="B680" s="6" t="s">
        <v>41</v>
      </c>
      <c r="C680" s="6" t="n">
        <v>1</v>
      </c>
      <c r="D680" s="6" t="n">
        <v>7</v>
      </c>
      <c r="E680" s="6" t="n">
        <v>1</v>
      </c>
      <c r="F680" s="6" t="s">
        <v>5842</v>
      </c>
      <c r="G680" s="28" t="n">
        <f aca="false">IFERROR(INDEX('Semrush Data'!$A$1:$Z$20000,MATCH(A680,'Semrush Data'!$A$1:$A$20000,0),MATCH("Volume",'Semrush Data'!$A$1:$Z$1,0)),"")</f>
        <v>10</v>
      </c>
      <c r="H680" s="6" t="n">
        <f aca="false">IFERROR(INDEX('Semrush Data'!$A$1:$Z$20000,MATCH(A680,'Semrush Data'!$A$1:$A$20000,0),MATCH("Keyword Difficulty*",'Semrush Data'!$A$1:$Z$1,0)),"")</f>
        <v>16</v>
      </c>
      <c r="I680" s="29" t="n">
        <f aca="false">IFERROR(INDEX('Semrush Data'!$A$1:$Z$20000,MATCH(A680,'Semrush Data'!$A$1:$A$20000,0),MATCH("CPC*",'Semrush Data'!$A$1:$Z$1,0)),"")</f>
        <v>0</v>
      </c>
      <c r="J680" s="6" t="str">
        <f aca="false">IFERROR(INDEX('Semrush Data'!$A$1:$Z$20000,MATCH(A680,'Semrush Data'!$A$1:$A$20000,0),MATCH("Intent",'Semrush Data'!$A$1:$Z$1,0)),"")</f>
        <v>Informational</v>
      </c>
    </row>
    <row r="681" customFormat="false" ht="15" hidden="false" customHeight="true" outlineLevel="0" collapsed="false">
      <c r="A681" s="6" t="s">
        <v>5922</v>
      </c>
      <c r="B681" s="6" t="s">
        <v>41</v>
      </c>
      <c r="C681" s="6" t="n">
        <v>1</v>
      </c>
      <c r="D681" s="6" t="n">
        <v>7</v>
      </c>
      <c r="E681" s="6" t="n">
        <v>1</v>
      </c>
      <c r="F681" s="6" t="s">
        <v>5920</v>
      </c>
      <c r="G681" s="28" t="n">
        <f aca="false">IFERROR(INDEX('Semrush Data'!$A$1:$Z$20000,MATCH(A681,'Semrush Data'!$A$1:$A$20000,0),MATCH("Volume",'Semrush Data'!$A$1:$Z$1,0)),"")</f>
        <v>20</v>
      </c>
      <c r="H681" s="6" t="n">
        <f aca="false">IFERROR(INDEX('Semrush Data'!$A$1:$Z$20000,MATCH(A681,'Semrush Data'!$A$1:$A$20000,0),MATCH("Keyword Difficulty*",'Semrush Data'!$A$1:$Z$1,0)),"")</f>
        <v>6</v>
      </c>
      <c r="I681" s="29" t="n">
        <f aca="false">IFERROR(INDEX('Semrush Data'!$A$1:$Z$20000,MATCH(A681,'Semrush Data'!$A$1:$A$20000,0),MATCH("CPC*",'Semrush Data'!$A$1:$Z$1,0)),"")</f>
        <v>0</v>
      </c>
      <c r="J681" s="6" t="str">
        <f aca="false">IFERROR(INDEX('Semrush Data'!$A$1:$Z$20000,MATCH(A681,'Semrush Data'!$A$1:$A$20000,0),MATCH("Intent",'Semrush Data'!$A$1:$Z$1,0)),"")</f>
        <v>Informational Commercial</v>
      </c>
    </row>
    <row r="682" customFormat="false" ht="15" hidden="false" customHeight="true" outlineLevel="0" collapsed="false">
      <c r="A682" s="6" t="s">
        <v>5855</v>
      </c>
      <c r="B682" s="6" t="s">
        <v>41</v>
      </c>
      <c r="C682" s="6" t="n">
        <v>1</v>
      </c>
      <c r="D682" s="6" t="n">
        <v>7</v>
      </c>
      <c r="E682" s="6" t="n">
        <v>1</v>
      </c>
      <c r="F682" s="6" t="s">
        <v>5853</v>
      </c>
      <c r="G682" s="28" t="n">
        <f aca="false">IFERROR(INDEX('Semrush Data'!$A$1:$Z$20000,MATCH(A682,'Semrush Data'!$A$1:$A$20000,0),MATCH("Volume",'Semrush Data'!$A$1:$Z$1,0)),"")</f>
        <v>20</v>
      </c>
      <c r="H682" s="6" t="n">
        <f aca="false">IFERROR(INDEX('Semrush Data'!$A$1:$Z$20000,MATCH(A682,'Semrush Data'!$A$1:$A$20000,0),MATCH("Keyword Difficulty*",'Semrush Data'!$A$1:$Z$1,0)),"")</f>
        <v>16</v>
      </c>
      <c r="I682" s="29" t="n">
        <f aca="false">IFERROR(INDEX('Semrush Data'!$A$1:$Z$20000,MATCH(A682,'Semrush Data'!$A$1:$A$20000,0),MATCH("CPC*",'Semrush Data'!$A$1:$Z$1,0)),"")</f>
        <v>0</v>
      </c>
      <c r="J682" s="6" t="str">
        <f aca="false">IFERROR(INDEX('Semrush Data'!$A$1:$Z$20000,MATCH(A682,'Semrush Data'!$A$1:$A$20000,0),MATCH("Intent",'Semrush Data'!$A$1:$Z$1,0)),"")</f>
        <v>Informational</v>
      </c>
    </row>
    <row r="683" customFormat="false" ht="15" hidden="false" customHeight="true" outlineLevel="0" collapsed="false">
      <c r="A683" s="6" t="s">
        <v>5866</v>
      </c>
      <c r="B683" s="6" t="s">
        <v>41</v>
      </c>
      <c r="C683" s="6" t="n">
        <v>1</v>
      </c>
      <c r="D683" s="6" t="n">
        <v>7</v>
      </c>
      <c r="E683" s="6" t="n">
        <v>1</v>
      </c>
      <c r="F683" s="6" t="s">
        <v>5864</v>
      </c>
      <c r="G683" s="28" t="n">
        <f aca="false">IFERROR(INDEX('Semrush Data'!$A$1:$Z$20000,MATCH(A683,'Semrush Data'!$A$1:$A$20000,0),MATCH("Volume",'Semrush Data'!$A$1:$Z$1,0)),"")</f>
        <v>10</v>
      </c>
      <c r="H683" s="6" t="n">
        <f aca="false">IFERROR(INDEX('Semrush Data'!$A$1:$Z$20000,MATCH(A683,'Semrush Data'!$A$1:$A$20000,0),MATCH("Keyword Difficulty*",'Semrush Data'!$A$1:$Z$1,0)),"")</f>
        <v>3</v>
      </c>
      <c r="I683" s="29" t="n">
        <f aca="false">IFERROR(INDEX('Semrush Data'!$A$1:$Z$20000,MATCH(A683,'Semrush Data'!$A$1:$A$20000,0),MATCH("CPC*",'Semrush Data'!$A$1:$Z$1,0)),"")</f>
        <v>0</v>
      </c>
      <c r="J683" s="6" t="str">
        <f aca="false">IFERROR(INDEX('Semrush Data'!$A$1:$Z$20000,MATCH(A683,'Semrush Data'!$A$1:$A$20000,0),MATCH("Intent",'Semrush Data'!$A$1:$Z$1,0)),"")</f>
        <v>Informational</v>
      </c>
    </row>
    <row r="684" customFormat="false" ht="15" hidden="false" customHeight="true" outlineLevel="0" collapsed="false">
      <c r="A684" s="6" t="s">
        <v>6008</v>
      </c>
      <c r="B684" s="6" t="s">
        <v>41</v>
      </c>
      <c r="C684" s="6" t="n">
        <v>1</v>
      </c>
      <c r="D684" s="6" t="n">
        <v>7</v>
      </c>
      <c r="E684" s="6" t="n">
        <v>1</v>
      </c>
      <c r="F684" s="6" t="s">
        <v>6005</v>
      </c>
      <c r="G684" s="28" t="n">
        <f aca="false">IFERROR(INDEX('Semrush Data'!$A$1:$Z$20000,MATCH(A684,'Semrush Data'!$A$1:$A$20000,0),MATCH("Volume",'Semrush Data'!$A$1:$Z$1,0)),"")</f>
        <v>20</v>
      </c>
      <c r="H684" s="6" t="n">
        <f aca="false">IFERROR(INDEX('Semrush Data'!$A$1:$Z$20000,MATCH(A684,'Semrush Data'!$A$1:$A$20000,0),MATCH("Keyword Difficulty*",'Semrush Data'!$A$1:$Z$1,0)),"")</f>
        <v>16</v>
      </c>
      <c r="I684" s="29" t="n">
        <f aca="false">IFERROR(INDEX('Semrush Data'!$A$1:$Z$20000,MATCH(A684,'Semrush Data'!$A$1:$A$20000,0),MATCH("CPC*",'Semrush Data'!$A$1:$Z$1,0)),"")</f>
        <v>0</v>
      </c>
      <c r="J684" s="6" t="str">
        <f aca="false">IFERROR(INDEX('Semrush Data'!$A$1:$Z$20000,MATCH(A684,'Semrush Data'!$A$1:$A$20000,0),MATCH("Intent",'Semrush Data'!$A$1:$Z$1,0)),"")</f>
        <v>Informational</v>
      </c>
    </row>
    <row r="685" customFormat="false" ht="15" hidden="false" customHeight="true" outlineLevel="0" collapsed="false">
      <c r="A685" s="6" t="s">
        <v>6020</v>
      </c>
      <c r="B685" s="6" t="s">
        <v>41</v>
      </c>
      <c r="C685" s="6" t="n">
        <v>1</v>
      </c>
      <c r="D685" s="6" t="n">
        <v>7</v>
      </c>
      <c r="E685" s="6" t="n">
        <v>1</v>
      </c>
      <c r="F685" s="6" t="s">
        <v>6018</v>
      </c>
      <c r="G685" s="28" t="n">
        <f aca="false">IFERROR(INDEX('Semrush Data'!$A$1:$Z$20000,MATCH(A685,'Semrush Data'!$A$1:$A$20000,0),MATCH("Volume",'Semrush Data'!$A$1:$Z$1,0)),"")</f>
        <v>20</v>
      </c>
      <c r="H685" s="6" t="n">
        <f aca="false">IFERROR(INDEX('Semrush Data'!$A$1:$Z$20000,MATCH(A685,'Semrush Data'!$A$1:$A$20000,0),MATCH("Keyword Difficulty*",'Semrush Data'!$A$1:$Z$1,0)),"")</f>
        <v>9</v>
      </c>
      <c r="I685" s="29" t="n">
        <f aca="false">IFERROR(INDEX('Semrush Data'!$A$1:$Z$20000,MATCH(A685,'Semrush Data'!$A$1:$A$20000,0),MATCH("CPC*",'Semrush Data'!$A$1:$Z$1,0)),"")</f>
        <v>0</v>
      </c>
      <c r="J685" s="6" t="str">
        <f aca="false">IFERROR(INDEX('Semrush Data'!$A$1:$Z$20000,MATCH(A685,'Semrush Data'!$A$1:$A$20000,0),MATCH("Intent",'Semrush Data'!$A$1:$Z$1,0)),"")</f>
        <v>Navigational</v>
      </c>
    </row>
    <row r="686" customFormat="false" ht="15" hidden="false" customHeight="true" outlineLevel="0" collapsed="false">
      <c r="A686" s="6" t="s">
        <v>6031</v>
      </c>
      <c r="B686" s="6" t="s">
        <v>41</v>
      </c>
      <c r="C686" s="6" t="n">
        <v>1</v>
      </c>
      <c r="D686" s="6" t="n">
        <v>7</v>
      </c>
      <c r="E686" s="6" t="n">
        <v>1</v>
      </c>
      <c r="F686" s="6" t="s">
        <v>6029</v>
      </c>
      <c r="G686" s="28" t="n">
        <f aca="false">IFERROR(INDEX('Semrush Data'!$A$1:$Z$20000,MATCH(A686,'Semrush Data'!$A$1:$A$20000,0),MATCH("Volume",'Semrush Data'!$A$1:$Z$1,0)),"")</f>
        <v>0</v>
      </c>
      <c r="H686" s="6" t="n">
        <f aca="false">IFERROR(INDEX('Semrush Data'!$A$1:$Z$20000,MATCH(A686,'Semrush Data'!$A$1:$A$20000,0),MATCH("Keyword Difficulty*",'Semrush Data'!$A$1:$Z$1,0)),"")</f>
        <v>14</v>
      </c>
      <c r="I686" s="29" t="n">
        <f aca="false">IFERROR(INDEX('Semrush Data'!$A$1:$Z$20000,MATCH(A686,'Semrush Data'!$A$1:$A$20000,0),MATCH("CPC*",'Semrush Data'!$A$1:$Z$1,0)),"")</f>
        <v>0</v>
      </c>
      <c r="J686" s="6" t="str">
        <f aca="false">IFERROR(INDEX('Semrush Data'!$A$1:$Z$20000,MATCH(A686,'Semrush Data'!$A$1:$A$20000,0),MATCH("Intent",'Semrush Data'!$A$1:$Z$1,0)),"")</f>
        <v>Informational</v>
      </c>
    </row>
    <row r="687" customFormat="false" ht="15" hidden="false" customHeight="true" outlineLevel="0" collapsed="false">
      <c r="A687" s="6" t="s">
        <v>6042</v>
      </c>
      <c r="B687" s="6" t="s">
        <v>41</v>
      </c>
      <c r="C687" s="6" t="n">
        <v>1</v>
      </c>
      <c r="D687" s="6" t="n">
        <v>7</v>
      </c>
      <c r="E687" s="6" t="n">
        <v>1</v>
      </c>
      <c r="F687" s="6" t="s">
        <v>6039</v>
      </c>
      <c r="G687" s="28" t="n">
        <f aca="false">IFERROR(INDEX('Semrush Data'!$A$1:$Z$20000,MATCH(A687,'Semrush Data'!$A$1:$A$20000,0),MATCH("Volume",'Semrush Data'!$A$1:$Z$1,0)),"")</f>
        <v>20</v>
      </c>
      <c r="H687" s="6" t="n">
        <f aca="false">IFERROR(INDEX('Semrush Data'!$A$1:$Z$20000,MATCH(A687,'Semrush Data'!$A$1:$A$20000,0),MATCH("Keyword Difficulty*",'Semrush Data'!$A$1:$Z$1,0)),"")</f>
        <v>19</v>
      </c>
      <c r="I687" s="29" t="n">
        <f aca="false">IFERROR(INDEX('Semrush Data'!$A$1:$Z$20000,MATCH(A687,'Semrush Data'!$A$1:$A$20000,0),MATCH("CPC*",'Semrush Data'!$A$1:$Z$1,0)),"")</f>
        <v>0</v>
      </c>
      <c r="J687" s="6" t="str">
        <f aca="false">IFERROR(INDEX('Semrush Data'!$A$1:$Z$20000,MATCH(A687,'Semrush Data'!$A$1:$A$20000,0),MATCH("Intent",'Semrush Data'!$A$1:$Z$1,0)),"")</f>
        <v>Informational</v>
      </c>
    </row>
    <row r="688" customFormat="false" ht="15" hidden="false" customHeight="true" outlineLevel="0" collapsed="false">
      <c r="A688" s="6" t="s">
        <v>6054</v>
      </c>
      <c r="B688" s="6" t="s">
        <v>41</v>
      </c>
      <c r="C688" s="6" t="n">
        <v>1</v>
      </c>
      <c r="D688" s="6" t="n">
        <v>7</v>
      </c>
      <c r="E688" s="6" t="n">
        <v>1</v>
      </c>
      <c r="F688" s="6" t="s">
        <v>6052</v>
      </c>
      <c r="G688" s="28" t="n">
        <f aca="false">IFERROR(INDEX('Semrush Data'!$A$1:$Z$20000,MATCH(A688,'Semrush Data'!$A$1:$A$20000,0),MATCH("Volume",'Semrush Data'!$A$1:$Z$1,0)),"")</f>
        <v>0</v>
      </c>
      <c r="H688" s="6" t="n">
        <f aca="false">IFERROR(INDEX('Semrush Data'!$A$1:$Z$20000,MATCH(A688,'Semrush Data'!$A$1:$A$20000,0),MATCH("Keyword Difficulty*",'Semrush Data'!$A$1:$Z$1,0)),"")</f>
        <v>7</v>
      </c>
      <c r="I688" s="29" t="n">
        <f aca="false">IFERROR(INDEX('Semrush Data'!$A$1:$Z$20000,MATCH(A688,'Semrush Data'!$A$1:$A$20000,0),MATCH("CPC*",'Semrush Data'!$A$1:$Z$1,0)),"")</f>
        <v>0</v>
      </c>
      <c r="J688" s="6" t="str">
        <f aca="false">IFERROR(INDEX('Semrush Data'!$A$1:$Z$20000,MATCH(A688,'Semrush Data'!$A$1:$A$20000,0),MATCH("Intent",'Semrush Data'!$A$1:$Z$1,0)),"")</f>
        <v>Informational</v>
      </c>
    </row>
    <row r="689" customFormat="false" ht="15" hidden="false" customHeight="true" outlineLevel="0" collapsed="false">
      <c r="A689" s="6" t="s">
        <v>6065</v>
      </c>
      <c r="B689" s="6" t="s">
        <v>41</v>
      </c>
      <c r="C689" s="6" t="n">
        <v>1</v>
      </c>
      <c r="D689" s="6" t="n">
        <v>7</v>
      </c>
      <c r="E689" s="6" t="n">
        <v>1</v>
      </c>
      <c r="F689" s="6" t="s">
        <v>6063</v>
      </c>
      <c r="G689" s="28" t="n">
        <f aca="false">IFERROR(INDEX('Semrush Data'!$A$1:$Z$20000,MATCH(A689,'Semrush Data'!$A$1:$A$20000,0),MATCH("Volume",'Semrush Data'!$A$1:$Z$1,0)),"")</f>
        <v>20</v>
      </c>
      <c r="H689" s="6" t="n">
        <f aca="false">IFERROR(INDEX('Semrush Data'!$A$1:$Z$20000,MATCH(A689,'Semrush Data'!$A$1:$A$20000,0),MATCH("Keyword Difficulty*",'Semrush Data'!$A$1:$Z$1,0)),"")</f>
        <v>8</v>
      </c>
      <c r="I689" s="29" t="n">
        <f aca="false">IFERROR(INDEX('Semrush Data'!$A$1:$Z$20000,MATCH(A689,'Semrush Data'!$A$1:$A$20000,0),MATCH("CPC*",'Semrush Data'!$A$1:$Z$1,0)),"")</f>
        <v>0</v>
      </c>
      <c r="J689" s="6" t="str">
        <f aca="false">IFERROR(INDEX('Semrush Data'!$A$1:$Z$20000,MATCH(A689,'Semrush Data'!$A$1:$A$20000,0),MATCH("Intent",'Semrush Data'!$A$1:$Z$1,0)),"")</f>
        <v>Informational</v>
      </c>
    </row>
    <row r="690" customFormat="false" ht="15" hidden="false" customHeight="true" outlineLevel="0" collapsed="false">
      <c r="A690" s="6" t="s">
        <v>6076</v>
      </c>
      <c r="B690" s="6" t="s">
        <v>41</v>
      </c>
      <c r="C690" s="6" t="n">
        <v>1</v>
      </c>
      <c r="D690" s="6" t="n">
        <v>7</v>
      </c>
      <c r="E690" s="6" t="n">
        <v>1</v>
      </c>
      <c r="F690" s="6" t="s">
        <v>6074</v>
      </c>
      <c r="G690" s="28" t="n">
        <f aca="false">IFERROR(INDEX('Semrush Data'!$A$1:$Z$20000,MATCH(A690,'Semrush Data'!$A$1:$A$20000,0),MATCH("Volume",'Semrush Data'!$A$1:$Z$1,0)),"")</f>
        <v>20</v>
      </c>
      <c r="H690" s="6" t="n">
        <f aca="false">IFERROR(INDEX('Semrush Data'!$A$1:$Z$20000,MATCH(A690,'Semrush Data'!$A$1:$A$20000,0),MATCH("Keyword Difficulty*",'Semrush Data'!$A$1:$Z$1,0)),"")</f>
        <v>13</v>
      </c>
      <c r="I690" s="29" t="n">
        <f aca="false">IFERROR(INDEX('Semrush Data'!$A$1:$Z$20000,MATCH(A690,'Semrush Data'!$A$1:$A$20000,0),MATCH("CPC*",'Semrush Data'!$A$1:$Z$1,0)),"")</f>
        <v>0</v>
      </c>
      <c r="J690" s="6" t="str">
        <f aca="false">IFERROR(INDEX('Semrush Data'!$A$1:$Z$20000,MATCH(A690,'Semrush Data'!$A$1:$A$20000,0),MATCH("Intent",'Semrush Data'!$A$1:$Z$1,0)),"")</f>
        <v>Informational</v>
      </c>
    </row>
    <row r="691" customFormat="false" ht="15" hidden="false" customHeight="true" outlineLevel="0" collapsed="false">
      <c r="A691" s="6" t="s">
        <v>6087</v>
      </c>
      <c r="B691" s="6" t="s">
        <v>41</v>
      </c>
      <c r="C691" s="6" t="n">
        <v>1</v>
      </c>
      <c r="D691" s="6" t="n">
        <v>7</v>
      </c>
      <c r="E691" s="6" t="n">
        <v>1</v>
      </c>
      <c r="F691" s="6" t="s">
        <v>6085</v>
      </c>
      <c r="G691" s="28" t="n">
        <f aca="false">IFERROR(INDEX('Semrush Data'!$A$1:$Z$20000,MATCH(A691,'Semrush Data'!$A$1:$A$20000,0),MATCH("Volume",'Semrush Data'!$A$1:$Z$1,0)),"")</f>
        <v>20</v>
      </c>
      <c r="H691" s="6" t="n">
        <f aca="false">IFERROR(INDEX('Semrush Data'!$A$1:$Z$20000,MATCH(A691,'Semrush Data'!$A$1:$A$20000,0),MATCH("Keyword Difficulty*",'Semrush Data'!$A$1:$Z$1,0)),"")</f>
        <v>6</v>
      </c>
      <c r="I691" s="29" t="n">
        <f aca="false">IFERROR(INDEX('Semrush Data'!$A$1:$Z$20000,MATCH(A691,'Semrush Data'!$A$1:$A$20000,0),MATCH("CPC*",'Semrush Data'!$A$1:$Z$1,0)),"")</f>
        <v>0</v>
      </c>
      <c r="J691" s="6" t="str">
        <f aca="false">IFERROR(INDEX('Semrush Data'!$A$1:$Z$20000,MATCH(A691,'Semrush Data'!$A$1:$A$20000,0),MATCH("Intent",'Semrush Data'!$A$1:$Z$1,0)),"")</f>
        <v>Informational</v>
      </c>
    </row>
    <row r="692" customFormat="false" ht="15" hidden="false" customHeight="true" outlineLevel="0" collapsed="false">
      <c r="A692" s="6" t="s">
        <v>6098</v>
      </c>
      <c r="B692" s="6" t="s">
        <v>41</v>
      </c>
      <c r="C692" s="6" t="n">
        <v>1</v>
      </c>
      <c r="D692" s="6" t="n">
        <v>7</v>
      </c>
      <c r="E692" s="6" t="n">
        <v>1</v>
      </c>
      <c r="F692" s="6" t="s">
        <v>6096</v>
      </c>
      <c r="G692" s="28" t="n">
        <f aca="false">IFERROR(INDEX('Semrush Data'!$A$1:$Z$20000,MATCH(A692,'Semrush Data'!$A$1:$A$20000,0),MATCH("Volume",'Semrush Data'!$A$1:$Z$1,0)),"")</f>
        <v>0</v>
      </c>
      <c r="H692" s="6" t="n">
        <f aca="false">IFERROR(INDEX('Semrush Data'!$A$1:$Z$20000,MATCH(A692,'Semrush Data'!$A$1:$A$20000,0),MATCH("Keyword Difficulty*",'Semrush Data'!$A$1:$Z$1,0)),"")</f>
        <v>16</v>
      </c>
      <c r="I692" s="29" t="n">
        <f aca="false">IFERROR(INDEX('Semrush Data'!$A$1:$Z$20000,MATCH(A692,'Semrush Data'!$A$1:$A$20000,0),MATCH("CPC*",'Semrush Data'!$A$1:$Z$1,0)),"")</f>
        <v>0</v>
      </c>
      <c r="J692" s="6" t="str">
        <f aca="false">IFERROR(INDEX('Semrush Data'!$A$1:$Z$20000,MATCH(A692,'Semrush Data'!$A$1:$A$20000,0),MATCH("Intent",'Semrush Data'!$A$1:$Z$1,0)),"")</f>
        <v>Informational</v>
      </c>
    </row>
    <row r="693" customFormat="false" ht="15" hidden="false" customHeight="true" outlineLevel="0" collapsed="false">
      <c r="A693" s="6" t="s">
        <v>6109</v>
      </c>
      <c r="B693" s="6" t="s">
        <v>41</v>
      </c>
      <c r="C693" s="6" t="n">
        <v>1</v>
      </c>
      <c r="D693" s="6" t="n">
        <v>7</v>
      </c>
      <c r="E693" s="6" t="n">
        <v>1</v>
      </c>
      <c r="F693" s="6" t="s">
        <v>6107</v>
      </c>
      <c r="G693" s="28" t="n">
        <f aca="false">IFERROR(INDEX('Semrush Data'!$A$1:$Z$20000,MATCH(A693,'Semrush Data'!$A$1:$A$20000,0),MATCH("Volume",'Semrush Data'!$A$1:$Z$1,0)),"")</f>
        <v>20</v>
      </c>
      <c r="H693" s="6" t="n">
        <f aca="false">IFERROR(INDEX('Semrush Data'!$A$1:$Z$20000,MATCH(A693,'Semrush Data'!$A$1:$A$20000,0),MATCH("Keyword Difficulty*",'Semrush Data'!$A$1:$Z$1,0)),"")</f>
        <v>7</v>
      </c>
      <c r="I693" s="29" t="n">
        <f aca="false">IFERROR(INDEX('Semrush Data'!$A$1:$Z$20000,MATCH(A693,'Semrush Data'!$A$1:$A$20000,0),MATCH("CPC*",'Semrush Data'!$A$1:$Z$1,0)),"")</f>
        <v>0</v>
      </c>
      <c r="J693" s="6" t="str">
        <f aca="false">IFERROR(INDEX('Semrush Data'!$A$1:$Z$20000,MATCH(A693,'Semrush Data'!$A$1:$A$20000,0),MATCH("Intent",'Semrush Data'!$A$1:$Z$1,0)),"")</f>
        <v>Informational</v>
      </c>
    </row>
    <row r="694" customFormat="false" ht="15" hidden="false" customHeight="true" outlineLevel="0" collapsed="false">
      <c r="A694" s="6" t="s">
        <v>6120</v>
      </c>
      <c r="B694" s="6" t="s">
        <v>41</v>
      </c>
      <c r="C694" s="6" t="n">
        <v>1</v>
      </c>
      <c r="D694" s="6" t="n">
        <v>7</v>
      </c>
      <c r="E694" s="6" t="n">
        <v>1</v>
      </c>
      <c r="F694" s="6" t="s">
        <v>6118</v>
      </c>
      <c r="G694" s="28" t="n">
        <f aca="false">IFERROR(INDEX('Semrush Data'!$A$1:$Z$20000,MATCH(A694,'Semrush Data'!$A$1:$A$20000,0),MATCH("Volume",'Semrush Data'!$A$1:$Z$1,0)),"")</f>
        <v>20</v>
      </c>
      <c r="H694" s="6" t="n">
        <f aca="false">IFERROR(INDEX('Semrush Data'!$A$1:$Z$20000,MATCH(A694,'Semrush Data'!$A$1:$A$20000,0),MATCH("Keyword Difficulty*",'Semrush Data'!$A$1:$Z$1,0)),"")</f>
        <v>18</v>
      </c>
      <c r="I694" s="29" t="n">
        <f aca="false">IFERROR(INDEX('Semrush Data'!$A$1:$Z$20000,MATCH(A694,'Semrush Data'!$A$1:$A$20000,0),MATCH("CPC*",'Semrush Data'!$A$1:$Z$1,0)),"")</f>
        <v>0</v>
      </c>
      <c r="J694" s="6" t="str">
        <f aca="false">IFERROR(INDEX('Semrush Data'!$A$1:$Z$20000,MATCH(A694,'Semrush Data'!$A$1:$A$20000,0),MATCH("Intent",'Semrush Data'!$A$1:$Z$1,0)),"")</f>
        <v>Navigational</v>
      </c>
    </row>
    <row r="695" customFormat="false" ht="15" hidden="false" customHeight="true" outlineLevel="0" collapsed="false">
      <c r="A695" s="6" t="s">
        <v>6132</v>
      </c>
      <c r="B695" s="6" t="s">
        <v>41</v>
      </c>
      <c r="C695" s="6" t="n">
        <v>1</v>
      </c>
      <c r="D695" s="6" t="n">
        <v>7</v>
      </c>
      <c r="E695" s="6" t="n">
        <v>1</v>
      </c>
      <c r="F695" s="6" t="s">
        <v>6129</v>
      </c>
      <c r="G695" s="28" t="n">
        <f aca="false">IFERROR(INDEX('Semrush Data'!$A$1:$Z$20000,MATCH(A695,'Semrush Data'!$A$1:$A$20000,0),MATCH("Volume",'Semrush Data'!$A$1:$Z$1,0)),"")</f>
        <v>20</v>
      </c>
      <c r="H695" s="6" t="n">
        <f aca="false">IFERROR(INDEX('Semrush Data'!$A$1:$Z$20000,MATCH(A695,'Semrush Data'!$A$1:$A$20000,0),MATCH("Keyword Difficulty*",'Semrush Data'!$A$1:$Z$1,0)),"")</f>
        <v>12</v>
      </c>
      <c r="I695" s="29" t="n">
        <f aca="false">IFERROR(INDEX('Semrush Data'!$A$1:$Z$20000,MATCH(A695,'Semrush Data'!$A$1:$A$20000,0),MATCH("CPC*",'Semrush Data'!$A$1:$Z$1,0)),"")</f>
        <v>0</v>
      </c>
      <c r="J695" s="6" t="str">
        <f aca="false">IFERROR(INDEX('Semrush Data'!$A$1:$Z$20000,MATCH(A695,'Semrush Data'!$A$1:$A$20000,0),MATCH("Intent",'Semrush Data'!$A$1:$Z$1,0)),"")</f>
        <v>Informational</v>
      </c>
    </row>
    <row r="696" customFormat="false" ht="15" hidden="false" customHeight="true" outlineLevel="0" collapsed="false">
      <c r="A696" s="6" t="s">
        <v>6144</v>
      </c>
      <c r="B696" s="6" t="s">
        <v>41</v>
      </c>
      <c r="C696" s="6" t="n">
        <v>1</v>
      </c>
      <c r="D696" s="6" t="n">
        <v>7</v>
      </c>
      <c r="E696" s="6" t="n">
        <v>1</v>
      </c>
      <c r="F696" s="6" t="s">
        <v>6142</v>
      </c>
      <c r="G696" s="28" t="n">
        <f aca="false">IFERROR(INDEX('Semrush Data'!$A$1:$Z$20000,MATCH(A696,'Semrush Data'!$A$1:$A$20000,0),MATCH("Volume",'Semrush Data'!$A$1:$Z$1,0)),"")</f>
        <v>90</v>
      </c>
      <c r="H696" s="6" t="n">
        <f aca="false">IFERROR(INDEX('Semrush Data'!$A$1:$Z$20000,MATCH(A696,'Semrush Data'!$A$1:$A$20000,0),MATCH("Keyword Difficulty*",'Semrush Data'!$A$1:$Z$1,0)),"")</f>
        <v>19</v>
      </c>
      <c r="I696" s="29" t="n">
        <f aca="false">IFERROR(INDEX('Semrush Data'!$A$1:$Z$20000,MATCH(A696,'Semrush Data'!$A$1:$A$20000,0),MATCH("CPC*",'Semrush Data'!$A$1:$Z$1,0)),"")</f>
        <v>0.55</v>
      </c>
      <c r="J696" s="6" t="str">
        <f aca="false">IFERROR(INDEX('Semrush Data'!$A$1:$Z$20000,MATCH(A696,'Semrush Data'!$A$1:$A$20000,0),MATCH("Intent",'Semrush Data'!$A$1:$Z$1,0)),"")</f>
        <v>Informational</v>
      </c>
    </row>
    <row r="697" customFormat="false" ht="15" hidden="false" customHeight="true" outlineLevel="0" collapsed="false">
      <c r="A697" s="6" t="s">
        <v>6155</v>
      </c>
      <c r="B697" s="6" t="s">
        <v>41</v>
      </c>
      <c r="C697" s="6" t="n">
        <v>1</v>
      </c>
      <c r="D697" s="6" t="n">
        <v>7</v>
      </c>
      <c r="E697" s="6" t="n">
        <v>1</v>
      </c>
      <c r="F697" s="6" t="s">
        <v>6153</v>
      </c>
      <c r="G697" s="28" t="n">
        <f aca="false">IFERROR(INDEX('Semrush Data'!$A$1:$Z$20000,MATCH(A697,'Semrush Data'!$A$1:$A$20000,0),MATCH("Volume",'Semrush Data'!$A$1:$Z$1,0)),"")</f>
        <v>0</v>
      </c>
      <c r="H697" s="6" t="n">
        <f aca="false">IFERROR(INDEX('Semrush Data'!$A$1:$Z$20000,MATCH(A697,'Semrush Data'!$A$1:$A$20000,0),MATCH("Keyword Difficulty*",'Semrush Data'!$A$1:$Z$1,0)),"")</f>
        <v>13</v>
      </c>
      <c r="I697" s="29" t="n">
        <f aca="false">IFERROR(INDEX('Semrush Data'!$A$1:$Z$20000,MATCH(A697,'Semrush Data'!$A$1:$A$20000,0),MATCH("CPC*",'Semrush Data'!$A$1:$Z$1,0)),"")</f>
        <v>0</v>
      </c>
      <c r="J697" s="6" t="str">
        <f aca="false">IFERROR(INDEX('Semrush Data'!$A$1:$Z$20000,MATCH(A697,'Semrush Data'!$A$1:$A$20000,0),MATCH("Intent",'Semrush Data'!$A$1:$Z$1,0)),"")</f>
        <v>Informational</v>
      </c>
    </row>
    <row r="698" customFormat="false" ht="15" hidden="false" customHeight="true" outlineLevel="0" collapsed="false">
      <c r="A698" s="6" t="s">
        <v>6165</v>
      </c>
      <c r="B698" s="6" t="s">
        <v>41</v>
      </c>
      <c r="C698" s="6" t="n">
        <v>1</v>
      </c>
      <c r="D698" s="6" t="n">
        <v>7</v>
      </c>
      <c r="E698" s="6" t="n">
        <v>2</v>
      </c>
      <c r="F698" s="6" t="s">
        <v>6861</v>
      </c>
      <c r="G698" s="28" t="n">
        <f aca="false">IFERROR(INDEX('Semrush Data'!$A$1:$Z$20000,MATCH(A698,'Semrush Data'!$A$1:$A$20000,0),MATCH("Volume",'Semrush Data'!$A$1:$Z$1,0)),"")</f>
        <v>20</v>
      </c>
      <c r="H698" s="6" t="n">
        <f aca="false">IFERROR(INDEX('Semrush Data'!$A$1:$Z$20000,MATCH(A698,'Semrush Data'!$A$1:$A$20000,0),MATCH("Keyword Difficulty*",'Semrush Data'!$A$1:$Z$1,0)),"")</f>
        <v>18</v>
      </c>
      <c r="I698" s="29" t="n">
        <f aca="false">IFERROR(INDEX('Semrush Data'!$A$1:$Z$20000,MATCH(A698,'Semrush Data'!$A$1:$A$20000,0),MATCH("CPC*",'Semrush Data'!$A$1:$Z$1,0)),"")</f>
        <v>0</v>
      </c>
      <c r="J698" s="6" t="str">
        <f aca="false">IFERROR(INDEX('Semrush Data'!$A$1:$Z$20000,MATCH(A698,'Semrush Data'!$A$1:$A$20000,0),MATCH("Intent",'Semrush Data'!$A$1:$Z$1,0)),"")</f>
        <v>Informational</v>
      </c>
    </row>
    <row r="699" customFormat="false" ht="15" hidden="false" customHeight="true" outlineLevel="0" collapsed="false">
      <c r="A699" s="6" t="s">
        <v>6180</v>
      </c>
      <c r="B699" s="6" t="s">
        <v>41</v>
      </c>
      <c r="C699" s="6" t="n">
        <v>1</v>
      </c>
      <c r="D699" s="6" t="n">
        <v>7</v>
      </c>
      <c r="E699" s="6" t="n">
        <v>1</v>
      </c>
      <c r="F699" s="6" t="s">
        <v>6178</v>
      </c>
      <c r="G699" s="28" t="n">
        <f aca="false">IFERROR(INDEX('Semrush Data'!$A$1:$Z$20000,MATCH(A699,'Semrush Data'!$A$1:$A$20000,0),MATCH("Volume",'Semrush Data'!$A$1:$Z$1,0)),"")</f>
        <v>0</v>
      </c>
      <c r="H699" s="6" t="n">
        <f aca="false">IFERROR(INDEX('Semrush Data'!$A$1:$Z$20000,MATCH(A699,'Semrush Data'!$A$1:$A$20000,0),MATCH("Keyword Difficulty*",'Semrush Data'!$A$1:$Z$1,0)),"")</f>
        <v>25</v>
      </c>
      <c r="I699" s="29" t="n">
        <f aca="false">IFERROR(INDEX('Semrush Data'!$A$1:$Z$20000,MATCH(A699,'Semrush Data'!$A$1:$A$20000,0),MATCH("CPC*",'Semrush Data'!$A$1:$Z$1,0)),"")</f>
        <v>0</v>
      </c>
      <c r="J699" s="6" t="str">
        <f aca="false">IFERROR(INDEX('Semrush Data'!$A$1:$Z$20000,MATCH(A699,'Semrush Data'!$A$1:$A$20000,0),MATCH("Intent",'Semrush Data'!$A$1:$Z$1,0)),"")</f>
        <v>Transactional Navigational</v>
      </c>
    </row>
    <row r="700" customFormat="false" ht="15" hidden="false" customHeight="true" outlineLevel="0" collapsed="false">
      <c r="A700" s="6" t="s">
        <v>6190</v>
      </c>
      <c r="B700" s="6" t="s">
        <v>41</v>
      </c>
      <c r="C700" s="6" t="n">
        <v>1</v>
      </c>
      <c r="D700" s="6" t="n">
        <v>7</v>
      </c>
      <c r="E700" s="6" t="n">
        <v>1</v>
      </c>
      <c r="F700" s="6" t="s">
        <v>6188</v>
      </c>
      <c r="G700" s="28" t="n">
        <f aca="false">IFERROR(INDEX('Semrush Data'!$A$1:$Z$20000,MATCH(A700,'Semrush Data'!$A$1:$A$20000,0),MATCH("Volume",'Semrush Data'!$A$1:$Z$1,0)),"")</f>
        <v>20</v>
      </c>
      <c r="H700" s="6" t="n">
        <f aca="false">IFERROR(INDEX('Semrush Data'!$A$1:$Z$20000,MATCH(A700,'Semrush Data'!$A$1:$A$20000,0),MATCH("Keyword Difficulty*",'Semrush Data'!$A$1:$Z$1,0)),"")</f>
        <v>9</v>
      </c>
      <c r="I700" s="29" t="n">
        <f aca="false">IFERROR(INDEX('Semrush Data'!$A$1:$Z$20000,MATCH(A700,'Semrush Data'!$A$1:$A$20000,0),MATCH("CPC*",'Semrush Data'!$A$1:$Z$1,0)),"")</f>
        <v>0</v>
      </c>
      <c r="J700" s="6" t="str">
        <f aca="false">IFERROR(INDEX('Semrush Data'!$A$1:$Z$20000,MATCH(A700,'Semrush Data'!$A$1:$A$20000,0),MATCH("Intent",'Semrush Data'!$A$1:$Z$1,0)),"")</f>
        <v>Commercial</v>
      </c>
    </row>
    <row r="701" customFormat="false" ht="15" hidden="false" customHeight="true" outlineLevel="0" collapsed="false">
      <c r="A701" s="6" t="s">
        <v>6201</v>
      </c>
      <c r="B701" s="6" t="s">
        <v>41</v>
      </c>
      <c r="C701" s="6" t="n">
        <v>1</v>
      </c>
      <c r="D701" s="6" t="n">
        <v>7</v>
      </c>
      <c r="E701" s="6" t="n">
        <v>1</v>
      </c>
      <c r="F701" s="6" t="s">
        <v>6199</v>
      </c>
      <c r="G701" s="28" t="n">
        <f aca="false">IFERROR(INDEX('Semrush Data'!$A$1:$Z$20000,MATCH(A701,'Semrush Data'!$A$1:$A$20000,0),MATCH("Volume",'Semrush Data'!$A$1:$Z$1,0)),"")</f>
        <v>20</v>
      </c>
      <c r="H701" s="6" t="n">
        <f aca="false">IFERROR(INDEX('Semrush Data'!$A$1:$Z$20000,MATCH(A701,'Semrush Data'!$A$1:$A$20000,0),MATCH("Keyword Difficulty*",'Semrush Data'!$A$1:$Z$1,0)),"")</f>
        <v>9</v>
      </c>
      <c r="I701" s="29" t="n">
        <f aca="false">IFERROR(INDEX('Semrush Data'!$A$1:$Z$20000,MATCH(A701,'Semrush Data'!$A$1:$A$20000,0),MATCH("CPC*",'Semrush Data'!$A$1:$Z$1,0)),"")</f>
        <v>0</v>
      </c>
      <c r="J701" s="6" t="str">
        <f aca="false">IFERROR(INDEX('Semrush Data'!$A$1:$Z$20000,MATCH(A701,'Semrush Data'!$A$1:$A$20000,0),MATCH("Intent",'Semrush Data'!$A$1:$Z$1,0)),"")</f>
        <v>Informational</v>
      </c>
    </row>
    <row r="702" customFormat="false" ht="15" hidden="false" customHeight="true" outlineLevel="0" collapsed="false">
      <c r="A702" s="6" t="s">
        <v>6211</v>
      </c>
      <c r="B702" s="6" t="s">
        <v>41</v>
      </c>
      <c r="C702" s="6" t="n">
        <v>1</v>
      </c>
      <c r="D702" s="6" t="n">
        <v>8</v>
      </c>
      <c r="E702" s="6" t="n">
        <v>1</v>
      </c>
      <c r="F702" s="6" t="s">
        <v>6209</v>
      </c>
      <c r="G702" s="28" t="n">
        <f aca="false">IFERROR(INDEX('Semrush Data'!$A$1:$Z$20000,MATCH(A702,'Semrush Data'!$A$1:$A$20000,0),MATCH("Volume",'Semrush Data'!$A$1:$Z$1,0)),"")</f>
        <v>10</v>
      </c>
      <c r="H702" s="6" t="n">
        <f aca="false">IFERROR(INDEX('Semrush Data'!$A$1:$Z$20000,MATCH(A702,'Semrush Data'!$A$1:$A$20000,0),MATCH("Keyword Difficulty*",'Semrush Data'!$A$1:$Z$1,0)),"")</f>
        <v>12</v>
      </c>
      <c r="I702" s="29" t="n">
        <f aca="false">IFERROR(INDEX('Semrush Data'!$A$1:$Z$20000,MATCH(A702,'Semrush Data'!$A$1:$A$20000,0),MATCH("CPC*",'Semrush Data'!$A$1:$Z$1,0)),"")</f>
        <v>0</v>
      </c>
      <c r="J702" s="6" t="str">
        <f aca="false">IFERROR(INDEX('Semrush Data'!$A$1:$Z$20000,MATCH(A702,'Semrush Data'!$A$1:$A$20000,0),MATCH("Intent",'Semrush Data'!$A$1:$Z$1,0)),"")</f>
        <v>Transactional</v>
      </c>
    </row>
    <row r="703" customFormat="false" ht="15" hidden="false" customHeight="true" outlineLevel="0" collapsed="false">
      <c r="A703" s="6" t="s">
        <v>6222</v>
      </c>
      <c r="B703" s="6" t="s">
        <v>41</v>
      </c>
      <c r="C703" s="6" t="n">
        <v>1</v>
      </c>
      <c r="D703" s="6" t="n">
        <v>8</v>
      </c>
      <c r="E703" s="6" t="n">
        <v>1</v>
      </c>
      <c r="F703" s="6" t="s">
        <v>6220</v>
      </c>
      <c r="G703" s="28" t="n">
        <f aca="false">IFERROR(INDEX('Semrush Data'!$A$1:$Z$20000,MATCH(A703,'Semrush Data'!$A$1:$A$20000,0),MATCH("Volume",'Semrush Data'!$A$1:$Z$1,0)),"")</f>
        <v>90</v>
      </c>
      <c r="H703" s="6" t="n">
        <f aca="false">IFERROR(INDEX('Semrush Data'!$A$1:$Z$20000,MATCH(A703,'Semrush Data'!$A$1:$A$20000,0),MATCH("Keyword Difficulty*",'Semrush Data'!$A$1:$Z$1,0)),"")</f>
        <v>15</v>
      </c>
      <c r="I703" s="29" t="n">
        <f aca="false">IFERROR(INDEX('Semrush Data'!$A$1:$Z$20000,MATCH(A703,'Semrush Data'!$A$1:$A$20000,0),MATCH("CPC*",'Semrush Data'!$A$1:$Z$1,0)),"")</f>
        <v>0.61</v>
      </c>
      <c r="J703" s="6" t="str">
        <f aca="false">IFERROR(INDEX('Semrush Data'!$A$1:$Z$20000,MATCH(A703,'Semrush Data'!$A$1:$A$20000,0),MATCH("Intent",'Semrush Data'!$A$1:$Z$1,0)),"")</f>
        <v>Informational</v>
      </c>
    </row>
    <row r="704" customFormat="false" ht="15" hidden="false" customHeight="true" outlineLevel="0" collapsed="false">
      <c r="A704" s="6" t="s">
        <v>6233</v>
      </c>
      <c r="B704" s="6" t="s">
        <v>41</v>
      </c>
      <c r="C704" s="6" t="n">
        <v>1</v>
      </c>
      <c r="D704" s="6" t="n">
        <v>8</v>
      </c>
      <c r="E704" s="6" t="n">
        <v>1</v>
      </c>
      <c r="F704" s="6" t="s">
        <v>6231</v>
      </c>
      <c r="G704" s="28" t="n">
        <f aca="false">IFERROR(INDEX('Semrush Data'!$A$1:$Z$20000,MATCH(A704,'Semrush Data'!$A$1:$A$20000,0),MATCH("Volume",'Semrush Data'!$A$1:$Z$1,0)),"")</f>
        <v>20</v>
      </c>
      <c r="H704" s="6" t="n">
        <f aca="false">IFERROR(INDEX('Semrush Data'!$A$1:$Z$20000,MATCH(A704,'Semrush Data'!$A$1:$A$20000,0),MATCH("Keyword Difficulty*",'Semrush Data'!$A$1:$Z$1,0)),"")</f>
        <v>12</v>
      </c>
      <c r="I704" s="29" t="n">
        <f aca="false">IFERROR(INDEX('Semrush Data'!$A$1:$Z$20000,MATCH(A704,'Semrush Data'!$A$1:$A$20000,0),MATCH("CPC*",'Semrush Data'!$A$1:$Z$1,0)),"")</f>
        <v>0</v>
      </c>
      <c r="J704" s="6" t="str">
        <f aca="false">IFERROR(INDEX('Semrush Data'!$A$1:$Z$20000,MATCH(A704,'Semrush Data'!$A$1:$A$20000,0),MATCH("Intent",'Semrush Data'!$A$1:$Z$1,0)),"")</f>
        <v>Transactional Navigational</v>
      </c>
    </row>
    <row r="705" customFormat="false" ht="15" hidden="false" customHeight="true" outlineLevel="0" collapsed="false">
      <c r="A705" s="6" t="s">
        <v>6244</v>
      </c>
      <c r="B705" s="6" t="s">
        <v>41</v>
      </c>
      <c r="C705" s="6" t="n">
        <v>1</v>
      </c>
      <c r="D705" s="6" t="n">
        <v>8</v>
      </c>
      <c r="E705" s="6" t="n">
        <v>1</v>
      </c>
      <c r="F705" s="6" t="s">
        <v>6242</v>
      </c>
      <c r="G705" s="28" t="n">
        <f aca="false">IFERROR(INDEX('Semrush Data'!$A$1:$Z$20000,MATCH(A705,'Semrush Data'!$A$1:$A$20000,0),MATCH("Volume",'Semrush Data'!$A$1:$Z$1,0)),"")</f>
        <v>20</v>
      </c>
      <c r="H705" s="6" t="n">
        <f aca="false">IFERROR(INDEX('Semrush Data'!$A$1:$Z$20000,MATCH(A705,'Semrush Data'!$A$1:$A$20000,0),MATCH("Keyword Difficulty*",'Semrush Data'!$A$1:$Z$1,0)),"")</f>
        <v>10</v>
      </c>
      <c r="I705" s="29" t="n">
        <f aca="false">IFERROR(INDEX('Semrush Data'!$A$1:$Z$20000,MATCH(A705,'Semrush Data'!$A$1:$A$20000,0),MATCH("CPC*",'Semrush Data'!$A$1:$Z$1,0)),"")</f>
        <v>0</v>
      </c>
      <c r="J705" s="6" t="str">
        <f aca="false">IFERROR(INDEX('Semrush Data'!$A$1:$Z$20000,MATCH(A705,'Semrush Data'!$A$1:$A$20000,0),MATCH("Intent",'Semrush Data'!$A$1:$Z$1,0)),"")</f>
        <v>Informational</v>
      </c>
    </row>
    <row r="706" customFormat="false" ht="15" hidden="false" customHeight="true" outlineLevel="0" collapsed="false">
      <c r="A706" s="6" t="s">
        <v>6253</v>
      </c>
      <c r="B706" s="6" t="s">
        <v>41</v>
      </c>
      <c r="C706" s="6" t="n">
        <v>1</v>
      </c>
      <c r="D706" s="6" t="n">
        <v>8</v>
      </c>
      <c r="E706" s="6" t="n">
        <v>1</v>
      </c>
      <c r="F706" s="6" t="s">
        <v>105</v>
      </c>
      <c r="G706" s="28" t="n">
        <f aca="false">IFERROR(INDEX('Semrush Data'!$A$1:$Z$20000,MATCH(A706,'Semrush Data'!$A$1:$A$20000,0),MATCH("Volume",'Semrush Data'!$A$1:$Z$1,0)),"")</f>
        <v>720</v>
      </c>
      <c r="H706" s="6" t="n">
        <f aca="false">IFERROR(INDEX('Semrush Data'!$A$1:$Z$20000,MATCH(A706,'Semrush Data'!$A$1:$A$20000,0),MATCH("Keyword Difficulty*",'Semrush Data'!$A$1:$Z$1,0)),"")</f>
        <v>19</v>
      </c>
      <c r="I706" s="29" t="n">
        <f aca="false">IFERROR(INDEX('Semrush Data'!$A$1:$Z$20000,MATCH(A706,'Semrush Data'!$A$1:$A$20000,0),MATCH("CPC*",'Semrush Data'!$A$1:$Z$1,0)),"")</f>
        <v>0.52</v>
      </c>
      <c r="J706" s="6" t="str">
        <f aca="false">IFERROR(INDEX('Semrush Data'!$A$1:$Z$20000,MATCH(A706,'Semrush Data'!$A$1:$A$20000,0),MATCH("Intent",'Semrush Data'!$A$1:$Z$1,0)),"")</f>
        <v>Informational Transactional</v>
      </c>
    </row>
    <row r="707" customFormat="false" ht="15" hidden="false" customHeight="true" outlineLevel="0" collapsed="false">
      <c r="A707" s="6" t="s">
        <v>6265</v>
      </c>
      <c r="B707" s="6" t="s">
        <v>41</v>
      </c>
      <c r="C707" s="6" t="n">
        <v>1</v>
      </c>
      <c r="D707" s="6" t="n">
        <v>8</v>
      </c>
      <c r="E707" s="6" t="n">
        <v>1</v>
      </c>
      <c r="F707" s="6" t="s">
        <v>6263</v>
      </c>
      <c r="G707" s="28" t="n">
        <f aca="false">IFERROR(INDEX('Semrush Data'!$A$1:$Z$20000,MATCH(A707,'Semrush Data'!$A$1:$A$20000,0),MATCH("Volume",'Semrush Data'!$A$1:$Z$1,0)),"")</f>
        <v>20</v>
      </c>
      <c r="H707" s="6" t="n">
        <f aca="false">IFERROR(INDEX('Semrush Data'!$A$1:$Z$20000,MATCH(A707,'Semrush Data'!$A$1:$A$20000,0),MATCH("Keyword Difficulty*",'Semrush Data'!$A$1:$Z$1,0)),"")</f>
        <v>12</v>
      </c>
      <c r="I707" s="29" t="n">
        <f aca="false">IFERROR(INDEX('Semrush Data'!$A$1:$Z$20000,MATCH(A707,'Semrush Data'!$A$1:$A$20000,0),MATCH("CPC*",'Semrush Data'!$A$1:$Z$1,0)),"")</f>
        <v>0</v>
      </c>
      <c r="J707" s="6" t="str">
        <f aca="false">IFERROR(INDEX('Semrush Data'!$A$1:$Z$20000,MATCH(A707,'Semrush Data'!$A$1:$A$20000,0),MATCH("Intent",'Semrush Data'!$A$1:$Z$1,0)),"")</f>
        <v>Informational</v>
      </c>
    </row>
    <row r="708" customFormat="false" ht="15" hidden="false" customHeight="true" outlineLevel="0" collapsed="false">
      <c r="A708" s="6" t="s">
        <v>6276</v>
      </c>
      <c r="B708" s="6" t="s">
        <v>41</v>
      </c>
      <c r="C708" s="6" t="n">
        <v>1</v>
      </c>
      <c r="D708" s="6" t="n">
        <v>8</v>
      </c>
      <c r="E708" s="6" t="n">
        <v>1</v>
      </c>
      <c r="F708" s="6" t="s">
        <v>6274</v>
      </c>
      <c r="G708" s="28" t="n">
        <f aca="false">IFERROR(INDEX('Semrush Data'!$A$1:$Z$20000,MATCH(A708,'Semrush Data'!$A$1:$A$20000,0),MATCH("Volume",'Semrush Data'!$A$1:$Z$1,0)),"")</f>
        <v>20</v>
      </c>
      <c r="H708" s="6" t="n">
        <f aca="false">IFERROR(INDEX('Semrush Data'!$A$1:$Z$20000,MATCH(A708,'Semrush Data'!$A$1:$A$20000,0),MATCH("Keyword Difficulty*",'Semrush Data'!$A$1:$Z$1,0)),"")</f>
        <v>7</v>
      </c>
      <c r="I708" s="29" t="n">
        <f aca="false">IFERROR(INDEX('Semrush Data'!$A$1:$Z$20000,MATCH(A708,'Semrush Data'!$A$1:$A$20000,0),MATCH("CPC*",'Semrush Data'!$A$1:$Z$1,0)),"")</f>
        <v>0</v>
      </c>
      <c r="J708" s="6" t="str">
        <f aca="false">IFERROR(INDEX('Semrush Data'!$A$1:$Z$20000,MATCH(A708,'Semrush Data'!$A$1:$A$20000,0),MATCH("Intent",'Semrush Data'!$A$1:$Z$1,0)),"")</f>
        <v>Informational</v>
      </c>
    </row>
    <row r="709" customFormat="false" ht="15" hidden="false" customHeight="true" outlineLevel="0" collapsed="false">
      <c r="A709" s="6" t="s">
        <v>6287</v>
      </c>
      <c r="B709" s="6" t="s">
        <v>41</v>
      </c>
      <c r="C709" s="6" t="n">
        <v>1</v>
      </c>
      <c r="D709" s="6" t="n">
        <v>8</v>
      </c>
      <c r="E709" s="6" t="n">
        <v>1</v>
      </c>
      <c r="F709" s="6" t="s">
        <v>6285</v>
      </c>
      <c r="G709" s="28" t="n">
        <f aca="false">IFERROR(INDEX('Semrush Data'!$A$1:$Z$20000,MATCH(A709,'Semrush Data'!$A$1:$A$20000,0),MATCH("Volume",'Semrush Data'!$A$1:$Z$1,0)),"")</f>
        <v>40</v>
      </c>
      <c r="H709" s="6" t="n">
        <f aca="false">IFERROR(INDEX('Semrush Data'!$A$1:$Z$20000,MATCH(A709,'Semrush Data'!$A$1:$A$20000,0),MATCH("Keyword Difficulty*",'Semrush Data'!$A$1:$Z$1,0)),"")</f>
        <v>16</v>
      </c>
      <c r="I709" s="29" t="n">
        <f aca="false">IFERROR(INDEX('Semrush Data'!$A$1:$Z$20000,MATCH(A709,'Semrush Data'!$A$1:$A$20000,0),MATCH("CPC*",'Semrush Data'!$A$1:$Z$1,0)),"")</f>
        <v>0</v>
      </c>
      <c r="J709" s="6" t="str">
        <f aca="false">IFERROR(INDEX('Semrush Data'!$A$1:$Z$20000,MATCH(A709,'Semrush Data'!$A$1:$A$20000,0),MATCH("Intent",'Semrush Data'!$A$1:$Z$1,0)),"")</f>
        <v>Informational</v>
      </c>
    </row>
    <row r="710" customFormat="false" ht="15" hidden="false" customHeight="true" outlineLevel="0" collapsed="false">
      <c r="A710" s="6" t="s">
        <v>6298</v>
      </c>
      <c r="B710" s="6" t="s">
        <v>41</v>
      </c>
      <c r="C710" s="6" t="n">
        <v>1</v>
      </c>
      <c r="D710" s="6" t="n">
        <v>8</v>
      </c>
      <c r="E710" s="6" t="n">
        <v>1</v>
      </c>
      <c r="F710" s="6" t="s">
        <v>6296</v>
      </c>
      <c r="G710" s="28" t="n">
        <f aca="false">IFERROR(INDEX('Semrush Data'!$A$1:$Z$20000,MATCH(A710,'Semrush Data'!$A$1:$A$20000,0),MATCH("Volume",'Semrush Data'!$A$1:$Z$1,0)),"")</f>
        <v>0</v>
      </c>
      <c r="H710" s="6" t="n">
        <f aca="false">IFERROR(INDEX('Semrush Data'!$A$1:$Z$20000,MATCH(A710,'Semrush Data'!$A$1:$A$20000,0),MATCH("Keyword Difficulty*",'Semrush Data'!$A$1:$Z$1,0)),"")</f>
        <v>22</v>
      </c>
      <c r="I710" s="29" t="n">
        <f aca="false">IFERROR(INDEX('Semrush Data'!$A$1:$Z$20000,MATCH(A710,'Semrush Data'!$A$1:$A$20000,0),MATCH("CPC*",'Semrush Data'!$A$1:$Z$1,0)),"")</f>
        <v>0</v>
      </c>
      <c r="J710" s="6" t="str">
        <f aca="false">IFERROR(INDEX('Semrush Data'!$A$1:$Z$20000,MATCH(A710,'Semrush Data'!$A$1:$A$20000,0),MATCH("Intent",'Semrush Data'!$A$1:$Z$1,0)),"")</f>
        <v>Commercial</v>
      </c>
    </row>
    <row r="711" customFormat="false" ht="15" hidden="false" customHeight="true" outlineLevel="0" collapsed="false">
      <c r="A711" s="6" t="s">
        <v>6308</v>
      </c>
      <c r="B711" s="6" t="s">
        <v>41</v>
      </c>
      <c r="C711" s="6" t="n">
        <v>1</v>
      </c>
      <c r="D711" s="6" t="n">
        <v>8</v>
      </c>
      <c r="E711" s="6" t="n">
        <v>1</v>
      </c>
      <c r="F711" s="6" t="s">
        <v>6306</v>
      </c>
      <c r="G711" s="28" t="n">
        <f aca="false">IFERROR(INDEX('Semrush Data'!$A$1:$Z$20000,MATCH(A711,'Semrush Data'!$A$1:$A$20000,0),MATCH("Volume",'Semrush Data'!$A$1:$Z$1,0)),"")</f>
        <v>20</v>
      </c>
      <c r="H711" s="6" t="n">
        <f aca="false">IFERROR(INDEX('Semrush Data'!$A$1:$Z$20000,MATCH(A711,'Semrush Data'!$A$1:$A$20000,0),MATCH("Keyword Difficulty*",'Semrush Data'!$A$1:$Z$1,0)),"")</f>
        <v>19</v>
      </c>
      <c r="I711" s="29" t="n">
        <f aca="false">IFERROR(INDEX('Semrush Data'!$A$1:$Z$20000,MATCH(A711,'Semrush Data'!$A$1:$A$20000,0),MATCH("CPC*",'Semrush Data'!$A$1:$Z$1,0)),"")</f>
        <v>0</v>
      </c>
      <c r="J711" s="6" t="str">
        <f aca="false">IFERROR(INDEX('Semrush Data'!$A$1:$Z$20000,MATCH(A711,'Semrush Data'!$A$1:$A$20000,0),MATCH("Intent",'Semrush Data'!$A$1:$Z$1,0)),"")</f>
        <v>Commercial</v>
      </c>
    </row>
    <row r="712" customFormat="false" ht="15" hidden="false" customHeight="true" outlineLevel="0" collapsed="false">
      <c r="A712" s="6" t="s">
        <v>6319</v>
      </c>
      <c r="B712" s="6" t="s">
        <v>41</v>
      </c>
      <c r="C712" s="6" t="n">
        <v>1</v>
      </c>
      <c r="D712" s="6" t="n">
        <v>8</v>
      </c>
      <c r="E712" s="6" t="n">
        <v>1</v>
      </c>
      <c r="F712" s="6" t="s">
        <v>6317</v>
      </c>
      <c r="G712" s="28" t="n">
        <f aca="false">IFERROR(INDEX('Semrush Data'!$A$1:$Z$20000,MATCH(A712,'Semrush Data'!$A$1:$A$20000,0),MATCH("Volume",'Semrush Data'!$A$1:$Z$1,0)),"")</f>
        <v>20</v>
      </c>
      <c r="H712" s="6" t="n">
        <f aca="false">IFERROR(INDEX('Semrush Data'!$A$1:$Z$20000,MATCH(A712,'Semrush Data'!$A$1:$A$20000,0),MATCH("Keyword Difficulty*",'Semrush Data'!$A$1:$Z$1,0)),"")</f>
        <v>5</v>
      </c>
      <c r="I712" s="29" t="n">
        <f aca="false">IFERROR(INDEX('Semrush Data'!$A$1:$Z$20000,MATCH(A712,'Semrush Data'!$A$1:$A$20000,0),MATCH("CPC*",'Semrush Data'!$A$1:$Z$1,0)),"")</f>
        <v>0</v>
      </c>
      <c r="J712" s="6" t="str">
        <f aca="false">IFERROR(INDEX('Semrush Data'!$A$1:$Z$20000,MATCH(A712,'Semrush Data'!$A$1:$A$20000,0),MATCH("Intent",'Semrush Data'!$A$1:$Z$1,0)),"")</f>
        <v>Informational</v>
      </c>
    </row>
    <row r="713" customFormat="false" ht="15" hidden="false" customHeight="true" outlineLevel="0" collapsed="false">
      <c r="A713" s="6" t="s">
        <v>6331</v>
      </c>
      <c r="B713" s="6" t="s">
        <v>41</v>
      </c>
      <c r="C713" s="6" t="n">
        <v>1</v>
      </c>
      <c r="D713" s="6" t="n">
        <v>8</v>
      </c>
      <c r="E713" s="6" t="n">
        <v>1</v>
      </c>
      <c r="F713" s="6" t="s">
        <v>6328</v>
      </c>
      <c r="G713" s="28" t="n">
        <f aca="false">IFERROR(INDEX('Semrush Data'!$A$1:$Z$20000,MATCH(A713,'Semrush Data'!$A$1:$A$20000,0),MATCH("Volume",'Semrush Data'!$A$1:$Z$1,0)),"")</f>
        <v>0</v>
      </c>
      <c r="H713" s="6" t="n">
        <f aca="false">IFERROR(INDEX('Semrush Data'!$A$1:$Z$20000,MATCH(A713,'Semrush Data'!$A$1:$A$20000,0),MATCH("Keyword Difficulty*",'Semrush Data'!$A$1:$Z$1,0)),"")</f>
        <v>9</v>
      </c>
      <c r="I713" s="29" t="n">
        <f aca="false">IFERROR(INDEX('Semrush Data'!$A$1:$Z$20000,MATCH(A713,'Semrush Data'!$A$1:$A$20000,0),MATCH("CPC*",'Semrush Data'!$A$1:$Z$1,0)),"")</f>
        <v>0</v>
      </c>
      <c r="J713" s="6" t="str">
        <f aca="false">IFERROR(INDEX('Semrush Data'!$A$1:$Z$20000,MATCH(A713,'Semrush Data'!$A$1:$A$20000,0),MATCH("Intent",'Semrush Data'!$A$1:$Z$1,0)),"")</f>
        <v>Informational</v>
      </c>
    </row>
    <row r="714" customFormat="false" ht="15" hidden="false" customHeight="true" outlineLevel="0" collapsed="false">
      <c r="A714" s="6" t="s">
        <v>6342</v>
      </c>
      <c r="B714" s="6" t="s">
        <v>41</v>
      </c>
      <c r="C714" s="6" t="n">
        <v>1</v>
      </c>
      <c r="D714" s="6" t="n">
        <v>8</v>
      </c>
      <c r="E714" s="6" t="n">
        <v>1</v>
      </c>
      <c r="F714" s="6" t="s">
        <v>6340</v>
      </c>
      <c r="G714" s="28" t="n">
        <f aca="false">IFERROR(INDEX('Semrush Data'!$A$1:$Z$20000,MATCH(A714,'Semrush Data'!$A$1:$A$20000,0),MATCH("Volume",'Semrush Data'!$A$1:$Z$1,0)),"")</f>
        <v>20</v>
      </c>
      <c r="H714" s="6" t="n">
        <f aca="false">IFERROR(INDEX('Semrush Data'!$A$1:$Z$20000,MATCH(A714,'Semrush Data'!$A$1:$A$20000,0),MATCH("Keyword Difficulty*",'Semrush Data'!$A$1:$Z$1,0)),"")</f>
        <v>16</v>
      </c>
      <c r="I714" s="29" t="n">
        <f aca="false">IFERROR(INDEX('Semrush Data'!$A$1:$Z$20000,MATCH(A714,'Semrush Data'!$A$1:$A$20000,0),MATCH("CPC*",'Semrush Data'!$A$1:$Z$1,0)),"")</f>
        <v>0</v>
      </c>
      <c r="J714" s="6" t="str">
        <f aca="false">IFERROR(INDEX('Semrush Data'!$A$1:$Z$20000,MATCH(A714,'Semrush Data'!$A$1:$A$20000,0),MATCH("Intent",'Semrush Data'!$A$1:$Z$1,0)),"")</f>
        <v>Informational Transactional</v>
      </c>
    </row>
    <row r="715" customFormat="false" ht="15" hidden="false" customHeight="true" outlineLevel="0" collapsed="false">
      <c r="A715" s="6" t="s">
        <v>6381</v>
      </c>
      <c r="B715" s="6" t="s">
        <v>41</v>
      </c>
      <c r="C715" s="6" t="n">
        <v>1</v>
      </c>
      <c r="D715" s="6" t="n">
        <v>8</v>
      </c>
      <c r="E715" s="6" t="n">
        <v>1</v>
      </c>
      <c r="F715" s="6" t="s">
        <v>51</v>
      </c>
      <c r="G715" s="28" t="n">
        <f aca="false">IFERROR(INDEX('Semrush Data'!$A$1:$Z$20000,MATCH(A715,'Semrush Data'!$A$1:$A$20000,0),MATCH("Volume",'Semrush Data'!$A$1:$Z$1,0)),"")</f>
        <v>22200</v>
      </c>
      <c r="H715" s="6" t="n">
        <f aca="false">IFERROR(INDEX('Semrush Data'!$A$1:$Z$20000,MATCH(A715,'Semrush Data'!$A$1:$A$20000,0),MATCH("Keyword Difficulty*",'Semrush Data'!$A$1:$Z$1,0)),"")</f>
        <v>22</v>
      </c>
      <c r="I715" s="29" t="n">
        <f aca="false">IFERROR(INDEX('Semrush Data'!$A$1:$Z$20000,MATCH(A715,'Semrush Data'!$A$1:$A$20000,0),MATCH("CPC*",'Semrush Data'!$A$1:$Z$1,0)),"")</f>
        <v>0.49</v>
      </c>
      <c r="J715" s="6" t="str">
        <f aca="false">IFERROR(INDEX('Semrush Data'!$A$1:$Z$20000,MATCH(A715,'Semrush Data'!$A$1:$A$20000,0),MATCH("Intent",'Semrush Data'!$A$1:$Z$1,0)),"")</f>
        <v>Informational</v>
      </c>
    </row>
    <row r="716" customFormat="false" ht="15" hidden="false" customHeight="true" outlineLevel="0" collapsed="false">
      <c r="A716" s="6" t="s">
        <v>6373</v>
      </c>
      <c r="B716" s="6" t="s">
        <v>41</v>
      </c>
      <c r="C716" s="6" t="n">
        <v>1</v>
      </c>
      <c r="D716" s="6" t="n">
        <v>8</v>
      </c>
      <c r="E716" s="6" t="n">
        <v>1</v>
      </c>
      <c r="F716" s="6" t="s">
        <v>97</v>
      </c>
      <c r="G716" s="28" t="n">
        <f aca="false">IFERROR(INDEX('Semrush Data'!$A$1:$Z$20000,MATCH(A716,'Semrush Data'!$A$1:$A$20000,0),MATCH("Volume",'Semrush Data'!$A$1:$Z$1,0)),"")</f>
        <v>880</v>
      </c>
      <c r="H716" s="6" t="n">
        <f aca="false">IFERROR(INDEX('Semrush Data'!$A$1:$Z$20000,MATCH(A716,'Semrush Data'!$A$1:$A$20000,0),MATCH("Keyword Difficulty*",'Semrush Data'!$A$1:$Z$1,0)),"")</f>
        <v>22</v>
      </c>
      <c r="I716" s="29" t="n">
        <f aca="false">IFERROR(INDEX('Semrush Data'!$A$1:$Z$20000,MATCH(A716,'Semrush Data'!$A$1:$A$20000,0),MATCH("CPC*",'Semrush Data'!$A$1:$Z$1,0)),"")</f>
        <v>0.59</v>
      </c>
      <c r="J716" s="6" t="str">
        <f aca="false">IFERROR(INDEX('Semrush Data'!$A$1:$Z$20000,MATCH(A716,'Semrush Data'!$A$1:$A$20000,0),MATCH("Intent",'Semrush Data'!$A$1:$Z$1,0)),"")</f>
        <v>Informational</v>
      </c>
    </row>
    <row r="717" customFormat="false" ht="15" hidden="false" customHeight="true" outlineLevel="0" collapsed="false">
      <c r="A717" s="6" t="s">
        <v>6353</v>
      </c>
      <c r="B717" s="6" t="s">
        <v>41</v>
      </c>
      <c r="C717" s="6" t="n">
        <v>1</v>
      </c>
      <c r="D717" s="6" t="n">
        <v>8</v>
      </c>
      <c r="E717" s="6" t="n">
        <v>1</v>
      </c>
      <c r="F717" s="6" t="s">
        <v>69</v>
      </c>
      <c r="G717" s="28" t="n">
        <f aca="false">IFERROR(INDEX('Semrush Data'!$A$1:$Z$20000,MATCH(A717,'Semrush Data'!$A$1:$A$20000,0),MATCH("Volume",'Semrush Data'!$A$1:$Z$1,0)),"")</f>
        <v>3600</v>
      </c>
      <c r="H717" s="6" t="n">
        <f aca="false">IFERROR(INDEX('Semrush Data'!$A$1:$Z$20000,MATCH(A717,'Semrush Data'!$A$1:$A$20000,0),MATCH("Keyword Difficulty*",'Semrush Data'!$A$1:$Z$1,0)),"")</f>
        <v>14</v>
      </c>
      <c r="I717" s="29" t="n">
        <f aca="false">IFERROR(INDEX('Semrush Data'!$A$1:$Z$20000,MATCH(A717,'Semrush Data'!$A$1:$A$20000,0),MATCH("CPC*",'Semrush Data'!$A$1:$Z$1,0)),"")</f>
        <v>0.63</v>
      </c>
      <c r="J717" s="6" t="str">
        <f aca="false">IFERROR(INDEX('Semrush Data'!$A$1:$Z$20000,MATCH(A717,'Semrush Data'!$A$1:$A$20000,0),MATCH("Intent",'Semrush Data'!$A$1:$Z$1,0)),"")</f>
        <v>Informational</v>
      </c>
    </row>
    <row r="718" customFormat="false" ht="15" hidden="false" customHeight="true" outlineLevel="0" collapsed="false">
      <c r="A718" s="6" t="s">
        <v>6388</v>
      </c>
      <c r="B718" s="6" t="s">
        <v>41</v>
      </c>
      <c r="C718" s="6" t="n">
        <v>1</v>
      </c>
      <c r="D718" s="6" t="n">
        <v>8</v>
      </c>
      <c r="E718" s="6" t="n">
        <v>1</v>
      </c>
      <c r="F718" s="6" t="s">
        <v>57</v>
      </c>
      <c r="G718" s="28" t="n">
        <f aca="false">IFERROR(INDEX('Semrush Data'!$A$1:$Z$20000,MATCH(A718,'Semrush Data'!$A$1:$A$20000,0),MATCH("Volume",'Semrush Data'!$A$1:$Z$1,0)),"")</f>
        <v>8100</v>
      </c>
      <c r="H718" s="6" t="n">
        <f aca="false">IFERROR(INDEX('Semrush Data'!$A$1:$Z$20000,MATCH(A718,'Semrush Data'!$A$1:$A$20000,0),MATCH("Keyword Difficulty*",'Semrush Data'!$A$1:$Z$1,0)),"")</f>
        <v>15</v>
      </c>
      <c r="I718" s="29" t="n">
        <f aca="false">IFERROR(INDEX('Semrush Data'!$A$1:$Z$20000,MATCH(A718,'Semrush Data'!$A$1:$A$20000,0),MATCH("CPC*",'Semrush Data'!$A$1:$Z$1,0)),"")</f>
        <v>0.59</v>
      </c>
      <c r="J718" s="6" t="str">
        <f aca="false">IFERROR(INDEX('Semrush Data'!$A$1:$Z$20000,MATCH(A718,'Semrush Data'!$A$1:$A$20000,0),MATCH("Intent",'Semrush Data'!$A$1:$Z$1,0)),"")</f>
        <v>Informational</v>
      </c>
    </row>
    <row r="719" customFormat="false" ht="15" hidden="false" customHeight="true" outlineLevel="0" collapsed="false">
      <c r="A719" s="6" t="s">
        <v>6362</v>
      </c>
      <c r="B719" s="6" t="s">
        <v>41</v>
      </c>
      <c r="C719" s="6" t="n">
        <v>1</v>
      </c>
      <c r="D719" s="6" t="n">
        <v>8</v>
      </c>
      <c r="E719" s="6" t="n">
        <v>2</v>
      </c>
      <c r="F719" s="6" t="s">
        <v>6862</v>
      </c>
      <c r="G719" s="28" t="n">
        <f aca="false">IFERROR(INDEX('Semrush Data'!$A$1:$Z$20000,MATCH(A719,'Semrush Data'!$A$1:$A$20000,0),MATCH("Volume",'Semrush Data'!$A$1:$Z$1,0)),"")</f>
        <v>18100</v>
      </c>
      <c r="H719" s="6" t="n">
        <f aca="false">IFERROR(INDEX('Semrush Data'!$A$1:$Z$20000,MATCH(A719,'Semrush Data'!$A$1:$A$20000,0),MATCH("Keyword Difficulty*",'Semrush Data'!$A$1:$Z$1,0)),"")</f>
        <v>16</v>
      </c>
      <c r="I719" s="29" t="n">
        <f aca="false">IFERROR(INDEX('Semrush Data'!$A$1:$Z$20000,MATCH(A719,'Semrush Data'!$A$1:$A$20000,0),MATCH("CPC*",'Semrush Data'!$A$1:$Z$1,0)),"")</f>
        <v>0.54</v>
      </c>
      <c r="J719" s="6" t="str">
        <f aca="false">IFERROR(INDEX('Semrush Data'!$A$1:$Z$20000,MATCH(A719,'Semrush Data'!$A$1:$A$20000,0),MATCH("Intent",'Semrush Data'!$A$1:$Z$1,0)),"")</f>
        <v>Informational</v>
      </c>
    </row>
    <row r="720" customFormat="false" ht="15" hidden="false" customHeight="true" outlineLevel="0" collapsed="false">
      <c r="A720" s="6" t="s">
        <v>6423</v>
      </c>
      <c r="B720" s="6" t="s">
        <v>41</v>
      </c>
      <c r="C720" s="6" t="n">
        <v>1</v>
      </c>
      <c r="D720" s="6" t="n">
        <v>8</v>
      </c>
      <c r="E720" s="6" t="n">
        <v>1</v>
      </c>
      <c r="F720" s="6" t="s">
        <v>6421</v>
      </c>
      <c r="G720" s="28" t="n">
        <f aca="false">IFERROR(INDEX('Semrush Data'!$A$1:$Z$20000,MATCH(A720,'Semrush Data'!$A$1:$A$20000,0),MATCH("Volume",'Semrush Data'!$A$1:$Z$1,0)),"")</f>
        <v>0</v>
      </c>
      <c r="H720" s="6" t="n">
        <f aca="false">IFERROR(INDEX('Semrush Data'!$A$1:$Z$20000,MATCH(A720,'Semrush Data'!$A$1:$A$20000,0),MATCH("Keyword Difficulty*",'Semrush Data'!$A$1:$Z$1,0)),"")</f>
        <v>22</v>
      </c>
      <c r="I720" s="29" t="n">
        <f aca="false">IFERROR(INDEX('Semrush Data'!$A$1:$Z$20000,MATCH(A720,'Semrush Data'!$A$1:$A$20000,0),MATCH("CPC*",'Semrush Data'!$A$1:$Z$1,0)),"")</f>
        <v>0</v>
      </c>
      <c r="J720" s="6" t="str">
        <f aca="false">IFERROR(INDEX('Semrush Data'!$A$1:$Z$20000,MATCH(A720,'Semrush Data'!$A$1:$A$20000,0),MATCH("Intent",'Semrush Data'!$A$1:$Z$1,0)),"")</f>
        <v>Informational Transactional</v>
      </c>
    </row>
    <row r="721" customFormat="false" ht="15" hidden="false" customHeight="true" outlineLevel="0" collapsed="false">
      <c r="A721" s="6" t="s">
        <v>6434</v>
      </c>
      <c r="B721" s="6" t="s">
        <v>41</v>
      </c>
      <c r="C721" s="6" t="n">
        <v>1</v>
      </c>
      <c r="D721" s="6" t="n">
        <v>8</v>
      </c>
      <c r="E721" s="6" t="n">
        <v>1</v>
      </c>
      <c r="F721" s="6" t="s">
        <v>6432</v>
      </c>
      <c r="G721" s="28" t="n">
        <f aca="false">IFERROR(INDEX('Semrush Data'!$A$1:$Z$20000,MATCH(A721,'Semrush Data'!$A$1:$A$20000,0),MATCH("Volume",'Semrush Data'!$A$1:$Z$1,0)),"")</f>
        <v>20</v>
      </c>
      <c r="H721" s="6" t="n">
        <f aca="false">IFERROR(INDEX('Semrush Data'!$A$1:$Z$20000,MATCH(A721,'Semrush Data'!$A$1:$A$20000,0),MATCH("Keyword Difficulty*",'Semrush Data'!$A$1:$Z$1,0)),"")</f>
        <v>20</v>
      </c>
      <c r="I721" s="29" t="n">
        <f aca="false">IFERROR(INDEX('Semrush Data'!$A$1:$Z$20000,MATCH(A721,'Semrush Data'!$A$1:$A$20000,0),MATCH("CPC*",'Semrush Data'!$A$1:$Z$1,0)),"")</f>
        <v>0</v>
      </c>
      <c r="J721" s="6" t="str">
        <f aca="false">IFERROR(INDEX('Semrush Data'!$A$1:$Z$20000,MATCH(A721,'Semrush Data'!$A$1:$A$20000,0),MATCH("Intent",'Semrush Data'!$A$1:$Z$1,0)),"")</f>
        <v>Informational</v>
      </c>
    </row>
    <row r="722" customFormat="false" ht="15" hidden="false" customHeight="true" outlineLevel="0" collapsed="false">
      <c r="A722" s="6" t="s">
        <v>6412</v>
      </c>
      <c r="B722" s="6" t="s">
        <v>41</v>
      </c>
      <c r="C722" s="6" t="n">
        <v>1</v>
      </c>
      <c r="D722" s="6" t="n">
        <v>8</v>
      </c>
      <c r="E722" s="6" t="n">
        <v>1</v>
      </c>
      <c r="F722" s="6" t="s">
        <v>6410</v>
      </c>
      <c r="G722" s="28" t="n">
        <f aca="false">IFERROR(INDEX('Semrush Data'!$A$1:$Z$20000,MATCH(A722,'Semrush Data'!$A$1:$A$20000,0),MATCH("Volume",'Semrush Data'!$A$1:$Z$1,0)),"")</f>
        <v>20</v>
      </c>
      <c r="H722" s="6" t="n">
        <f aca="false">IFERROR(INDEX('Semrush Data'!$A$1:$Z$20000,MATCH(A722,'Semrush Data'!$A$1:$A$20000,0),MATCH("Keyword Difficulty*",'Semrush Data'!$A$1:$Z$1,0)),"")</f>
        <v>16</v>
      </c>
      <c r="I722" s="29" t="n">
        <f aca="false">IFERROR(INDEX('Semrush Data'!$A$1:$Z$20000,MATCH(A722,'Semrush Data'!$A$1:$A$20000,0),MATCH("CPC*",'Semrush Data'!$A$1:$Z$1,0)),"")</f>
        <v>0</v>
      </c>
      <c r="J722" s="6" t="str">
        <f aca="false">IFERROR(INDEX('Semrush Data'!$A$1:$Z$20000,MATCH(A722,'Semrush Data'!$A$1:$A$20000,0),MATCH("Intent",'Semrush Data'!$A$1:$Z$1,0)),"")</f>
        <v>Informational</v>
      </c>
    </row>
    <row r="723" customFormat="false" ht="15" hidden="false" customHeight="true" outlineLevel="0" collapsed="false">
      <c r="A723" s="6" t="s">
        <v>6445</v>
      </c>
      <c r="B723" s="6" t="s">
        <v>41</v>
      </c>
      <c r="C723" s="6" t="n">
        <v>1</v>
      </c>
      <c r="D723" s="6" t="n">
        <v>8</v>
      </c>
      <c r="E723" s="6" t="n">
        <v>1</v>
      </c>
      <c r="F723" s="6" t="s">
        <v>6443</v>
      </c>
      <c r="G723" s="28" t="n">
        <f aca="false">IFERROR(INDEX('Semrush Data'!$A$1:$Z$20000,MATCH(A723,'Semrush Data'!$A$1:$A$20000,0),MATCH("Volume",'Semrush Data'!$A$1:$Z$1,0)),"")</f>
        <v>0</v>
      </c>
      <c r="H723" s="6" t="n">
        <f aca="false">IFERROR(INDEX('Semrush Data'!$A$1:$Z$20000,MATCH(A723,'Semrush Data'!$A$1:$A$20000,0),MATCH("Keyword Difficulty*",'Semrush Data'!$A$1:$Z$1,0)),"")</f>
        <v>11</v>
      </c>
      <c r="I723" s="29" t="n">
        <f aca="false">IFERROR(INDEX('Semrush Data'!$A$1:$Z$20000,MATCH(A723,'Semrush Data'!$A$1:$A$20000,0),MATCH("CPC*",'Semrush Data'!$A$1:$Z$1,0)),"")</f>
        <v>0</v>
      </c>
      <c r="J723" s="6" t="str">
        <f aca="false">IFERROR(INDEX('Semrush Data'!$A$1:$Z$20000,MATCH(A723,'Semrush Data'!$A$1:$A$20000,0),MATCH("Intent",'Semrush Data'!$A$1:$Z$1,0)),"")</f>
        <v>Informational Transactional</v>
      </c>
    </row>
    <row r="724" customFormat="false" ht="15" hidden="false" customHeight="true" outlineLevel="0" collapsed="false">
      <c r="A724" s="6" t="s">
        <v>6401</v>
      </c>
      <c r="B724" s="6" t="s">
        <v>41</v>
      </c>
      <c r="C724" s="6" t="n">
        <v>1</v>
      </c>
      <c r="D724" s="6" t="n">
        <v>8</v>
      </c>
      <c r="E724" s="6" t="n">
        <v>1</v>
      </c>
      <c r="F724" s="6" t="s">
        <v>6397</v>
      </c>
      <c r="G724" s="28" t="n">
        <f aca="false">IFERROR(INDEX('Semrush Data'!$A$1:$Z$20000,MATCH(A724,'Semrush Data'!$A$1:$A$20000,0),MATCH("Volume",'Semrush Data'!$A$1:$Z$1,0)),"")</f>
        <v>0</v>
      </c>
      <c r="H724" s="6" t="n">
        <f aca="false">IFERROR(INDEX('Semrush Data'!$A$1:$Z$20000,MATCH(A724,'Semrush Data'!$A$1:$A$20000,0),MATCH("Keyword Difficulty*",'Semrush Data'!$A$1:$Z$1,0)),"")</f>
        <v>14</v>
      </c>
      <c r="I724" s="29" t="n">
        <f aca="false">IFERROR(INDEX('Semrush Data'!$A$1:$Z$20000,MATCH(A724,'Semrush Data'!$A$1:$A$20000,0),MATCH("CPC*",'Semrush Data'!$A$1:$Z$1,0)),"")</f>
        <v>0</v>
      </c>
      <c r="J724" s="6" t="str">
        <f aca="false">IFERROR(INDEX('Semrush Data'!$A$1:$Z$20000,MATCH(A724,'Semrush Data'!$A$1:$A$20000,0),MATCH("Intent",'Semrush Data'!$A$1:$Z$1,0)),"")</f>
        <v>Informational Transactional</v>
      </c>
    </row>
    <row r="725" customFormat="false" ht="15" hidden="false" customHeight="true" outlineLevel="0" collapsed="false">
      <c r="A725" s="6" t="s">
        <v>6455</v>
      </c>
      <c r="B725" s="6" t="s">
        <v>41</v>
      </c>
      <c r="C725" s="6" t="n">
        <v>1</v>
      </c>
      <c r="D725" s="6" t="n">
        <v>8</v>
      </c>
      <c r="E725" s="6" t="n">
        <v>1</v>
      </c>
      <c r="F725" s="6" t="s">
        <v>6453</v>
      </c>
      <c r="G725" s="28" t="n">
        <f aca="false">IFERROR(INDEX('Semrush Data'!$A$1:$Z$20000,MATCH(A725,'Semrush Data'!$A$1:$A$20000,0),MATCH("Volume",'Semrush Data'!$A$1:$Z$1,0)),"")</f>
        <v>0</v>
      </c>
      <c r="H725" s="6" t="n">
        <f aca="false">IFERROR(INDEX('Semrush Data'!$A$1:$Z$20000,MATCH(A725,'Semrush Data'!$A$1:$A$20000,0),MATCH("Keyword Difficulty*",'Semrush Data'!$A$1:$Z$1,0)),"")</f>
        <v>11</v>
      </c>
      <c r="I725" s="29" t="n">
        <f aca="false">IFERROR(INDEX('Semrush Data'!$A$1:$Z$20000,MATCH(A725,'Semrush Data'!$A$1:$A$20000,0),MATCH("CPC*",'Semrush Data'!$A$1:$Z$1,0)),"")</f>
        <v>0</v>
      </c>
      <c r="J725" s="6" t="str">
        <f aca="false">IFERROR(INDEX('Semrush Data'!$A$1:$Z$20000,MATCH(A725,'Semrush Data'!$A$1:$A$20000,0),MATCH("Intent",'Semrush Data'!$A$1:$Z$1,0)),"")</f>
        <v>Informational Transactional</v>
      </c>
    </row>
    <row r="726" customFormat="false" ht="15" hidden="false" customHeight="true" outlineLevel="0" collapsed="false">
      <c r="A726" s="6" t="s">
        <v>6467</v>
      </c>
      <c r="B726" s="6" t="s">
        <v>41</v>
      </c>
      <c r="C726" s="6" t="n">
        <v>1</v>
      </c>
      <c r="D726" s="6" t="n">
        <v>8</v>
      </c>
      <c r="E726" s="6" t="n">
        <v>1</v>
      </c>
      <c r="F726" s="6" t="s">
        <v>6464</v>
      </c>
      <c r="G726" s="28" t="n">
        <f aca="false">IFERROR(INDEX('Semrush Data'!$A$1:$Z$20000,MATCH(A726,'Semrush Data'!$A$1:$A$20000,0),MATCH("Volume",'Semrush Data'!$A$1:$Z$1,0)),"")</f>
        <v>0</v>
      </c>
      <c r="H726" s="6" t="n">
        <f aca="false">IFERROR(INDEX('Semrush Data'!$A$1:$Z$20000,MATCH(A726,'Semrush Data'!$A$1:$A$20000,0),MATCH("Keyword Difficulty*",'Semrush Data'!$A$1:$Z$1,0)),"")</f>
        <v>16</v>
      </c>
      <c r="I726" s="29" t="n">
        <f aca="false">IFERROR(INDEX('Semrush Data'!$A$1:$Z$20000,MATCH(A726,'Semrush Data'!$A$1:$A$20000,0),MATCH("CPC*",'Semrush Data'!$A$1:$Z$1,0)),"")</f>
        <v>0</v>
      </c>
      <c r="J726" s="6" t="str">
        <f aca="false">IFERROR(INDEX('Semrush Data'!$A$1:$Z$20000,MATCH(A726,'Semrush Data'!$A$1:$A$20000,0),MATCH("Intent",'Semrush Data'!$A$1:$Z$1,0)),"")</f>
        <v>Informational Transactional</v>
      </c>
    </row>
    <row r="727" customFormat="false" ht="15" hidden="false" customHeight="true" outlineLevel="0" collapsed="false">
      <c r="A727" s="6" t="s">
        <v>1573</v>
      </c>
      <c r="B727" s="6" t="s">
        <v>41</v>
      </c>
      <c r="C727" s="6" t="n">
        <v>1</v>
      </c>
      <c r="D727" s="6" t="n">
        <v>8</v>
      </c>
      <c r="E727" s="6" t="n">
        <v>1</v>
      </c>
      <c r="F727" s="6" t="s">
        <v>534</v>
      </c>
      <c r="G727" s="28" t="n">
        <f aca="false">IFERROR(INDEX('Semrush Data'!$A$1:$Z$20000,MATCH(A727,'Semrush Data'!$A$1:$A$20000,0),MATCH("Volume",'Semrush Data'!$A$1:$Z$1,0)),"")</f>
        <v>20</v>
      </c>
      <c r="H727" s="6" t="n">
        <f aca="false">IFERROR(INDEX('Semrush Data'!$A$1:$Z$20000,MATCH(A727,'Semrush Data'!$A$1:$A$20000,0),MATCH("Keyword Difficulty*",'Semrush Data'!$A$1:$Z$1,0)),"")</f>
        <v>22</v>
      </c>
      <c r="I727" s="29" t="n">
        <f aca="false">IFERROR(INDEX('Semrush Data'!$A$1:$Z$20000,MATCH(A727,'Semrush Data'!$A$1:$A$20000,0),MATCH("CPC*",'Semrush Data'!$A$1:$Z$1,0)),"")</f>
        <v>0</v>
      </c>
      <c r="J727" s="6" t="str">
        <f aca="false">IFERROR(INDEX('Semrush Data'!$A$1:$Z$20000,MATCH(A727,'Semrush Data'!$A$1:$A$20000,0),MATCH("Intent",'Semrush Data'!$A$1:$Z$1,0)),"")</f>
        <v>Informational Transactional</v>
      </c>
    </row>
    <row r="728" customFormat="false" ht="15" hidden="false" customHeight="true" outlineLevel="0" collapsed="false">
      <c r="A728" s="6" t="s">
        <v>1809</v>
      </c>
      <c r="B728" s="6" t="s">
        <v>41</v>
      </c>
      <c r="C728" s="6" t="n">
        <v>1</v>
      </c>
      <c r="D728" s="6" t="n">
        <v>8</v>
      </c>
      <c r="E728" s="6" t="n">
        <v>1</v>
      </c>
      <c r="F728" s="6" t="s">
        <v>784</v>
      </c>
      <c r="G728" s="28" t="n">
        <f aca="false">IFERROR(INDEX('Semrush Data'!$A$1:$Z$20000,MATCH(A728,'Semrush Data'!$A$1:$A$20000,0),MATCH("Volume",'Semrush Data'!$A$1:$Z$1,0)),"")</f>
        <v>0</v>
      </c>
      <c r="H728" s="6" t="n">
        <f aca="false">IFERROR(INDEX('Semrush Data'!$A$1:$Z$20000,MATCH(A728,'Semrush Data'!$A$1:$A$20000,0),MATCH("Keyword Difficulty*",'Semrush Data'!$A$1:$Z$1,0)),"")</f>
        <v>18</v>
      </c>
      <c r="I728" s="29" t="n">
        <f aca="false">IFERROR(INDEX('Semrush Data'!$A$1:$Z$20000,MATCH(A728,'Semrush Data'!$A$1:$A$20000,0),MATCH("CPC*",'Semrush Data'!$A$1:$Z$1,0)),"")</f>
        <v>0</v>
      </c>
      <c r="J728" s="6" t="str">
        <f aca="false">IFERROR(INDEX('Semrush Data'!$A$1:$Z$20000,MATCH(A728,'Semrush Data'!$A$1:$A$20000,0),MATCH("Intent",'Semrush Data'!$A$1:$Z$1,0)),"")</f>
        <v>Informational</v>
      </c>
    </row>
    <row r="729" customFormat="false" ht="15" hidden="false" customHeight="true" outlineLevel="0" collapsed="false">
      <c r="A729" s="6" t="s">
        <v>1797</v>
      </c>
      <c r="B729" s="6" t="s">
        <v>41</v>
      </c>
      <c r="C729" s="6" t="n">
        <v>1</v>
      </c>
      <c r="D729" s="6" t="n">
        <v>8</v>
      </c>
      <c r="E729" s="6" t="n">
        <v>1</v>
      </c>
      <c r="F729" s="6" t="s">
        <v>774</v>
      </c>
      <c r="G729" s="28" t="n">
        <f aca="false">IFERROR(INDEX('Semrush Data'!$A$1:$Z$20000,MATCH(A729,'Semrush Data'!$A$1:$A$20000,0),MATCH("Volume",'Semrush Data'!$A$1:$Z$1,0)),"")</f>
        <v>0</v>
      </c>
      <c r="H729" s="6" t="n">
        <f aca="false">IFERROR(INDEX('Semrush Data'!$A$1:$Z$20000,MATCH(A729,'Semrush Data'!$A$1:$A$20000,0),MATCH("Keyword Difficulty*",'Semrush Data'!$A$1:$Z$1,0)),"")</f>
        <v>19</v>
      </c>
      <c r="I729" s="29" t="n">
        <f aca="false">IFERROR(INDEX('Semrush Data'!$A$1:$Z$20000,MATCH(A729,'Semrush Data'!$A$1:$A$20000,0),MATCH("CPC*",'Semrush Data'!$A$1:$Z$1,0)),"")</f>
        <v>0</v>
      </c>
      <c r="J729" s="6" t="str">
        <f aca="false">IFERROR(INDEX('Semrush Data'!$A$1:$Z$20000,MATCH(A729,'Semrush Data'!$A$1:$A$20000,0),MATCH("Intent",'Semrush Data'!$A$1:$Z$1,0)),"")</f>
        <v>Navigational</v>
      </c>
    </row>
    <row r="730" customFormat="false" ht="15" hidden="false" customHeight="true" outlineLevel="0" collapsed="false">
      <c r="A730" s="6" t="s">
        <v>1905</v>
      </c>
      <c r="B730" s="6" t="s">
        <v>41</v>
      </c>
      <c r="C730" s="6" t="n">
        <v>1</v>
      </c>
      <c r="D730" s="6" t="n">
        <v>8</v>
      </c>
      <c r="E730" s="6" t="n">
        <v>1</v>
      </c>
      <c r="F730" s="6" t="s">
        <v>873</v>
      </c>
      <c r="G730" s="28" t="n">
        <f aca="false">IFERROR(INDEX('Semrush Data'!$A$1:$Z$20000,MATCH(A730,'Semrush Data'!$A$1:$A$20000,0),MATCH("Volume",'Semrush Data'!$A$1:$Z$1,0)),"")</f>
        <v>0</v>
      </c>
      <c r="H730" s="6" t="n">
        <f aca="false">IFERROR(INDEX('Semrush Data'!$A$1:$Z$20000,MATCH(A730,'Semrush Data'!$A$1:$A$20000,0),MATCH("Keyword Difficulty*",'Semrush Data'!$A$1:$Z$1,0)),"")</f>
        <v>16</v>
      </c>
      <c r="I730" s="29" t="n">
        <f aca="false">IFERROR(INDEX('Semrush Data'!$A$1:$Z$20000,MATCH(A730,'Semrush Data'!$A$1:$A$20000,0),MATCH("CPC*",'Semrush Data'!$A$1:$Z$1,0)),"")</f>
        <v>0</v>
      </c>
      <c r="J730" s="6" t="str">
        <f aca="false">IFERROR(INDEX('Semrush Data'!$A$1:$Z$20000,MATCH(A730,'Semrush Data'!$A$1:$A$20000,0),MATCH("Intent",'Semrush Data'!$A$1:$Z$1,0)),"")</f>
        <v>Informational</v>
      </c>
    </row>
    <row r="731" customFormat="false" ht="15" hidden="false" customHeight="true" outlineLevel="0" collapsed="false">
      <c r="A731" s="6" t="s">
        <v>1580</v>
      </c>
      <c r="B731" s="6" t="s">
        <v>41</v>
      </c>
      <c r="C731" s="6" t="n">
        <v>1</v>
      </c>
      <c r="D731" s="6" t="n">
        <v>8</v>
      </c>
      <c r="E731" s="6" t="n">
        <v>1</v>
      </c>
      <c r="F731" s="6" t="s">
        <v>541</v>
      </c>
      <c r="G731" s="28" t="n">
        <f aca="false">IFERROR(INDEX('Semrush Data'!$A$1:$Z$20000,MATCH(A731,'Semrush Data'!$A$1:$A$20000,0),MATCH("Volume",'Semrush Data'!$A$1:$Z$1,0)),"")</f>
        <v>0</v>
      </c>
      <c r="H731" s="6" t="n">
        <f aca="false">IFERROR(INDEX('Semrush Data'!$A$1:$Z$20000,MATCH(A731,'Semrush Data'!$A$1:$A$20000,0),MATCH("Keyword Difficulty*",'Semrush Data'!$A$1:$Z$1,0)),"")</f>
        <v>24</v>
      </c>
      <c r="I731" s="29" t="n">
        <f aca="false">IFERROR(INDEX('Semrush Data'!$A$1:$Z$20000,MATCH(A731,'Semrush Data'!$A$1:$A$20000,0),MATCH("CPC*",'Semrush Data'!$A$1:$Z$1,0)),"")</f>
        <v>0</v>
      </c>
      <c r="J731" s="6" t="str">
        <f aca="false">IFERROR(INDEX('Semrush Data'!$A$1:$Z$20000,MATCH(A731,'Semrush Data'!$A$1:$A$20000,0),MATCH("Intent",'Semrush Data'!$A$1:$Z$1,0)),"")</f>
        <v>Informational Transactional</v>
      </c>
    </row>
    <row r="732" customFormat="false" ht="15" hidden="false" customHeight="true" outlineLevel="0" collapsed="false">
      <c r="A732" s="6" t="s">
        <v>1588</v>
      </c>
      <c r="B732" s="6" t="s">
        <v>41</v>
      </c>
      <c r="C732" s="6" t="n">
        <v>1</v>
      </c>
      <c r="D732" s="6" t="n">
        <v>8</v>
      </c>
      <c r="E732" s="6" t="n">
        <v>1</v>
      </c>
      <c r="F732" s="6" t="s">
        <v>549</v>
      </c>
      <c r="G732" s="28" t="n">
        <f aca="false">IFERROR(INDEX('Semrush Data'!$A$1:$Z$20000,MATCH(A732,'Semrush Data'!$A$1:$A$20000,0),MATCH("Volume",'Semrush Data'!$A$1:$Z$1,0)),"")</f>
        <v>0</v>
      </c>
      <c r="H732" s="6" t="n">
        <f aca="false">IFERROR(INDEX('Semrush Data'!$A$1:$Z$20000,MATCH(A732,'Semrush Data'!$A$1:$A$20000,0),MATCH("Keyword Difficulty*",'Semrush Data'!$A$1:$Z$1,0)),"")</f>
        <v>11</v>
      </c>
      <c r="I732" s="29" t="n">
        <f aca="false">IFERROR(INDEX('Semrush Data'!$A$1:$Z$20000,MATCH(A732,'Semrush Data'!$A$1:$A$20000,0),MATCH("CPC*",'Semrush Data'!$A$1:$Z$1,0)),"")</f>
        <v>0</v>
      </c>
      <c r="J732" s="6" t="str">
        <f aca="false">IFERROR(INDEX('Semrush Data'!$A$1:$Z$20000,MATCH(A732,'Semrush Data'!$A$1:$A$20000,0),MATCH("Intent",'Semrush Data'!$A$1:$Z$1,0)),"")</f>
        <v>Informational Transactional</v>
      </c>
    </row>
    <row r="733" customFormat="false" ht="15" hidden="false" customHeight="true" outlineLevel="0" collapsed="false">
      <c r="A733" s="6" t="s">
        <v>1767</v>
      </c>
      <c r="B733" s="6" t="s">
        <v>41</v>
      </c>
      <c r="C733" s="6" t="n">
        <v>1</v>
      </c>
      <c r="D733" s="6" t="n">
        <v>8</v>
      </c>
      <c r="E733" s="6" t="n">
        <v>1</v>
      </c>
      <c r="F733" s="6" t="s">
        <v>747</v>
      </c>
      <c r="G733" s="28" t="n">
        <f aca="false">IFERROR(INDEX('Semrush Data'!$A$1:$Z$20000,MATCH(A733,'Semrush Data'!$A$1:$A$20000,0),MATCH("Volume",'Semrush Data'!$A$1:$Z$1,0)),"")</f>
        <v>0</v>
      </c>
      <c r="H733" s="6" t="n">
        <f aca="false">IFERROR(INDEX('Semrush Data'!$A$1:$Z$20000,MATCH(A733,'Semrush Data'!$A$1:$A$20000,0),MATCH("Keyword Difficulty*",'Semrush Data'!$A$1:$Z$1,0)),"")</f>
        <v>29</v>
      </c>
      <c r="I733" s="29" t="n">
        <f aca="false">IFERROR(INDEX('Semrush Data'!$A$1:$Z$20000,MATCH(A733,'Semrush Data'!$A$1:$A$20000,0),MATCH("CPC*",'Semrush Data'!$A$1:$Z$1,0)),"")</f>
        <v>0</v>
      </c>
      <c r="J733" s="6" t="str">
        <f aca="false">IFERROR(INDEX('Semrush Data'!$A$1:$Z$20000,MATCH(A733,'Semrush Data'!$A$1:$A$20000,0),MATCH("Intent",'Semrush Data'!$A$1:$Z$1,0)),"")</f>
        <v>Informational Transactional</v>
      </c>
    </row>
    <row r="734" customFormat="false" ht="15" hidden="false" customHeight="true" outlineLevel="0" collapsed="false">
      <c r="A734" s="6" t="s">
        <v>1773</v>
      </c>
      <c r="B734" s="6" t="s">
        <v>41</v>
      </c>
      <c r="C734" s="6" t="n">
        <v>1</v>
      </c>
      <c r="D734" s="6" t="n">
        <v>8</v>
      </c>
      <c r="E734" s="6" t="n">
        <v>2</v>
      </c>
      <c r="F734" s="6" t="s">
        <v>6863</v>
      </c>
      <c r="G734" s="28" t="n">
        <f aca="false">IFERROR(INDEX('Semrush Data'!$A$1:$Z$20000,MATCH(A734,'Semrush Data'!$A$1:$A$20000,0),MATCH("Volume",'Semrush Data'!$A$1:$Z$1,0)),"")</f>
        <v>0</v>
      </c>
      <c r="H734" s="6" t="n">
        <f aca="false">IFERROR(INDEX('Semrush Data'!$A$1:$Z$20000,MATCH(A734,'Semrush Data'!$A$1:$A$20000,0),MATCH("Keyword Difficulty*",'Semrush Data'!$A$1:$Z$1,0)),"")</f>
        <v>12</v>
      </c>
      <c r="I734" s="29" t="n">
        <f aca="false">IFERROR(INDEX('Semrush Data'!$A$1:$Z$20000,MATCH(A734,'Semrush Data'!$A$1:$A$20000,0),MATCH("CPC*",'Semrush Data'!$A$1:$Z$1,0)),"")</f>
        <v>0</v>
      </c>
      <c r="J734" s="6" t="str">
        <f aca="false">IFERROR(INDEX('Semrush Data'!$A$1:$Z$20000,MATCH(A734,'Semrush Data'!$A$1:$A$20000,0),MATCH("Intent",'Semrush Data'!$A$1:$Z$1,0)),"")</f>
        <v>Informational Transactional</v>
      </c>
    </row>
    <row r="735" customFormat="false" ht="15" hidden="false" customHeight="true" outlineLevel="0" collapsed="false">
      <c r="A735" s="6" t="s">
        <v>1875</v>
      </c>
      <c r="B735" s="6" t="s">
        <v>41</v>
      </c>
      <c r="C735" s="6" t="n">
        <v>1</v>
      </c>
      <c r="D735" s="6" t="n">
        <v>8</v>
      </c>
      <c r="E735" s="6" t="n">
        <v>1</v>
      </c>
      <c r="F735" s="6" t="s">
        <v>846</v>
      </c>
      <c r="G735" s="28" t="n">
        <f aca="false">IFERROR(INDEX('Semrush Data'!$A$1:$Z$20000,MATCH(A735,'Semrush Data'!$A$1:$A$20000,0),MATCH("Volume",'Semrush Data'!$A$1:$Z$1,0)),"")</f>
        <v>0</v>
      </c>
      <c r="H735" s="6" t="n">
        <f aca="false">IFERROR(INDEX('Semrush Data'!$A$1:$Z$20000,MATCH(A735,'Semrush Data'!$A$1:$A$20000,0),MATCH("Keyword Difficulty*",'Semrush Data'!$A$1:$Z$1,0)),"")</f>
        <v>19</v>
      </c>
      <c r="I735" s="29" t="n">
        <f aca="false">IFERROR(INDEX('Semrush Data'!$A$1:$Z$20000,MATCH(A735,'Semrush Data'!$A$1:$A$20000,0),MATCH("CPC*",'Semrush Data'!$A$1:$Z$1,0)),"")</f>
        <v>0</v>
      </c>
      <c r="J735" s="6" t="str">
        <f aca="false">IFERROR(INDEX('Semrush Data'!$A$1:$Z$20000,MATCH(A735,'Semrush Data'!$A$1:$A$20000,0),MATCH("Intent",'Semrush Data'!$A$1:$Z$1,0)),"")</f>
        <v>Informational</v>
      </c>
    </row>
    <row r="736" customFormat="false" ht="15" hidden="false" customHeight="true" outlineLevel="0" collapsed="false">
      <c r="A736" s="6" t="s">
        <v>1803</v>
      </c>
      <c r="B736" s="6" t="s">
        <v>41</v>
      </c>
      <c r="C736" s="6" t="n">
        <v>1</v>
      </c>
      <c r="D736" s="6" t="n">
        <v>8</v>
      </c>
      <c r="E736" s="6" t="n">
        <v>1</v>
      </c>
      <c r="F736" s="6" t="s">
        <v>779</v>
      </c>
      <c r="G736" s="28" t="n">
        <f aca="false">IFERROR(INDEX('Semrush Data'!$A$1:$Z$20000,MATCH(A736,'Semrush Data'!$A$1:$A$20000,0),MATCH("Volume",'Semrush Data'!$A$1:$Z$1,0)),"")</f>
        <v>0</v>
      </c>
      <c r="H736" s="6" t="n">
        <f aca="false">IFERROR(INDEX('Semrush Data'!$A$1:$Z$20000,MATCH(A736,'Semrush Data'!$A$1:$A$20000,0),MATCH("Keyword Difficulty*",'Semrush Data'!$A$1:$Z$1,0)),"")</f>
        <v>15</v>
      </c>
      <c r="I736" s="29" t="n">
        <f aca="false">IFERROR(INDEX('Semrush Data'!$A$1:$Z$20000,MATCH(A736,'Semrush Data'!$A$1:$A$20000,0),MATCH("CPC*",'Semrush Data'!$A$1:$Z$1,0)),"")</f>
        <v>0</v>
      </c>
      <c r="J736" s="6" t="str">
        <f aca="false">IFERROR(INDEX('Semrush Data'!$A$1:$Z$20000,MATCH(A736,'Semrush Data'!$A$1:$A$20000,0),MATCH("Intent",'Semrush Data'!$A$1:$Z$1,0)),"")</f>
        <v>Navigational</v>
      </c>
    </row>
    <row r="737" customFormat="false" ht="15" hidden="false" customHeight="true" outlineLevel="0" collapsed="false">
      <c r="A737" s="6" t="s">
        <v>1596</v>
      </c>
      <c r="B737" s="6" t="s">
        <v>41</v>
      </c>
      <c r="C737" s="6" t="n">
        <v>1</v>
      </c>
      <c r="D737" s="6" t="n">
        <v>8</v>
      </c>
      <c r="E737" s="6" t="n">
        <v>1</v>
      </c>
      <c r="F737" s="6" t="s">
        <v>559</v>
      </c>
      <c r="G737" s="28" t="n">
        <f aca="false">IFERROR(INDEX('Semrush Data'!$A$1:$Z$20000,MATCH(A737,'Semrush Data'!$A$1:$A$20000,0),MATCH("Volume",'Semrush Data'!$A$1:$Z$1,0)),"")</f>
        <v>20</v>
      </c>
      <c r="H737" s="6" t="n">
        <f aca="false">IFERROR(INDEX('Semrush Data'!$A$1:$Z$20000,MATCH(A737,'Semrush Data'!$A$1:$A$20000,0),MATCH("Keyword Difficulty*",'Semrush Data'!$A$1:$Z$1,0)),"")</f>
        <v>14</v>
      </c>
      <c r="I737" s="29" t="n">
        <f aca="false">IFERROR(INDEX('Semrush Data'!$A$1:$Z$20000,MATCH(A737,'Semrush Data'!$A$1:$A$20000,0),MATCH("CPC*",'Semrush Data'!$A$1:$Z$1,0)),"")</f>
        <v>0</v>
      </c>
      <c r="J737" s="6" t="str">
        <f aca="false">IFERROR(INDEX('Semrush Data'!$A$1:$Z$20000,MATCH(A737,'Semrush Data'!$A$1:$A$20000,0),MATCH("Intent",'Semrush Data'!$A$1:$Z$1,0)),"")</f>
        <v>Informational</v>
      </c>
    </row>
    <row r="738" customFormat="false" ht="15" hidden="false" customHeight="true" outlineLevel="0" collapsed="false">
      <c r="A738" s="6" t="s">
        <v>1911</v>
      </c>
      <c r="B738" s="6" t="s">
        <v>41</v>
      </c>
      <c r="C738" s="6" t="n">
        <v>1</v>
      </c>
      <c r="D738" s="6" t="n">
        <v>8</v>
      </c>
      <c r="E738" s="6" t="n">
        <v>1</v>
      </c>
      <c r="F738" s="6" t="s">
        <v>878</v>
      </c>
      <c r="G738" s="28" t="n">
        <f aca="false">IFERROR(INDEX('Semrush Data'!$A$1:$Z$20000,MATCH(A738,'Semrush Data'!$A$1:$A$20000,0),MATCH("Volume",'Semrush Data'!$A$1:$Z$1,0)),"")</f>
        <v>0</v>
      </c>
      <c r="H738" s="6" t="n">
        <f aca="false">IFERROR(INDEX('Semrush Data'!$A$1:$Z$20000,MATCH(A738,'Semrush Data'!$A$1:$A$20000,0),MATCH("Keyword Difficulty*",'Semrush Data'!$A$1:$Z$1,0)),"")</f>
        <v>22</v>
      </c>
      <c r="I738" s="29" t="n">
        <f aca="false">IFERROR(INDEX('Semrush Data'!$A$1:$Z$20000,MATCH(A738,'Semrush Data'!$A$1:$A$20000,0),MATCH("CPC*",'Semrush Data'!$A$1:$Z$1,0)),"")</f>
        <v>0</v>
      </c>
      <c r="J738" s="6" t="str">
        <f aca="false">IFERROR(INDEX('Semrush Data'!$A$1:$Z$20000,MATCH(A738,'Semrush Data'!$A$1:$A$20000,0),MATCH("Intent",'Semrush Data'!$A$1:$Z$1,0)),"")</f>
        <v>Informational Transactional</v>
      </c>
    </row>
    <row r="739" customFormat="false" ht="15" hidden="false" customHeight="true" outlineLevel="0" collapsed="false">
      <c r="A739" s="6" t="s">
        <v>1845</v>
      </c>
      <c r="B739" s="6" t="s">
        <v>41</v>
      </c>
      <c r="C739" s="6" t="n">
        <v>1</v>
      </c>
      <c r="D739" s="6" t="n">
        <v>8</v>
      </c>
      <c r="E739" s="6" t="n">
        <v>1</v>
      </c>
      <c r="F739" s="6" t="s">
        <v>818</v>
      </c>
      <c r="G739" s="28" t="n">
        <f aca="false">IFERROR(INDEX('Semrush Data'!$A$1:$Z$20000,MATCH(A739,'Semrush Data'!$A$1:$A$20000,0),MATCH("Volume",'Semrush Data'!$A$1:$Z$1,0)),"")</f>
        <v>0</v>
      </c>
      <c r="H739" s="6" t="n">
        <f aca="false">IFERROR(INDEX('Semrush Data'!$A$1:$Z$20000,MATCH(A739,'Semrush Data'!$A$1:$A$20000,0),MATCH("Keyword Difficulty*",'Semrush Data'!$A$1:$Z$1,0)),"")</f>
        <v>14</v>
      </c>
      <c r="I739" s="29" t="n">
        <f aca="false">IFERROR(INDEX('Semrush Data'!$A$1:$Z$20000,MATCH(A739,'Semrush Data'!$A$1:$A$20000,0),MATCH("CPC*",'Semrush Data'!$A$1:$Z$1,0)),"")</f>
        <v>0</v>
      </c>
      <c r="J739" s="6" t="str">
        <f aca="false">IFERROR(INDEX('Semrush Data'!$A$1:$Z$20000,MATCH(A739,'Semrush Data'!$A$1:$A$20000,0),MATCH("Intent",'Semrush Data'!$A$1:$Z$1,0)),"")</f>
        <v>Informational Transactional</v>
      </c>
    </row>
    <row r="740" customFormat="false" ht="15" hidden="false" customHeight="true" outlineLevel="0" collapsed="false">
      <c r="A740" s="6" t="s">
        <v>1603</v>
      </c>
      <c r="B740" s="6" t="s">
        <v>41</v>
      </c>
      <c r="C740" s="6" t="n">
        <v>1</v>
      </c>
      <c r="D740" s="6" t="n">
        <v>8</v>
      </c>
      <c r="E740" s="6" t="n">
        <v>1</v>
      </c>
      <c r="F740" s="6" t="s">
        <v>569</v>
      </c>
      <c r="G740" s="28" t="n">
        <f aca="false">IFERROR(INDEX('Semrush Data'!$A$1:$Z$20000,MATCH(A740,'Semrush Data'!$A$1:$A$20000,0),MATCH("Volume",'Semrush Data'!$A$1:$Z$1,0)),"")</f>
        <v>0</v>
      </c>
      <c r="H740" s="6" t="n">
        <f aca="false">IFERROR(INDEX('Semrush Data'!$A$1:$Z$20000,MATCH(A740,'Semrush Data'!$A$1:$A$20000,0),MATCH("Keyword Difficulty*",'Semrush Data'!$A$1:$Z$1,0)),"")</f>
        <v>31</v>
      </c>
      <c r="I740" s="29" t="n">
        <f aca="false">IFERROR(INDEX('Semrush Data'!$A$1:$Z$20000,MATCH(A740,'Semrush Data'!$A$1:$A$20000,0),MATCH("CPC*",'Semrush Data'!$A$1:$Z$1,0)),"")</f>
        <v>0</v>
      </c>
      <c r="J740" s="6" t="str">
        <f aca="false">IFERROR(INDEX('Semrush Data'!$A$1:$Z$20000,MATCH(A740,'Semrush Data'!$A$1:$A$20000,0),MATCH("Intent",'Semrush Data'!$A$1:$Z$1,0)),"")</f>
        <v>Informational Transactional</v>
      </c>
    </row>
    <row r="741" customFormat="false" ht="15" hidden="false" customHeight="true" outlineLevel="0" collapsed="false">
      <c r="A741" s="6" t="s">
        <v>1512</v>
      </c>
      <c r="B741" s="6" t="s">
        <v>41</v>
      </c>
      <c r="C741" s="6" t="n">
        <v>1</v>
      </c>
      <c r="D741" s="6" t="n">
        <v>8</v>
      </c>
      <c r="E741" s="6" t="n">
        <v>1</v>
      </c>
      <c r="F741" s="6" t="s">
        <v>464</v>
      </c>
      <c r="G741" s="28" t="n">
        <f aca="false">IFERROR(INDEX('Semrush Data'!$A$1:$Z$20000,MATCH(A741,'Semrush Data'!$A$1:$A$20000,0),MATCH("Volume",'Semrush Data'!$A$1:$Z$1,0)),"")</f>
        <v>0</v>
      </c>
      <c r="H741" s="6" t="n">
        <f aca="false">IFERROR(INDEX('Semrush Data'!$A$1:$Z$20000,MATCH(A741,'Semrush Data'!$A$1:$A$20000,0),MATCH("Keyword Difficulty*",'Semrush Data'!$A$1:$Z$1,0)),"")</f>
        <v>20</v>
      </c>
      <c r="I741" s="29" t="n">
        <f aca="false">IFERROR(INDEX('Semrush Data'!$A$1:$Z$20000,MATCH(A741,'Semrush Data'!$A$1:$A$20000,0),MATCH("CPC*",'Semrush Data'!$A$1:$Z$1,0)),"")</f>
        <v>0</v>
      </c>
      <c r="J741" s="6" t="str">
        <f aca="false">IFERROR(INDEX('Semrush Data'!$A$1:$Z$20000,MATCH(A741,'Semrush Data'!$A$1:$A$20000,0),MATCH("Intent",'Semrush Data'!$A$1:$Z$1,0)),"")</f>
        <v>Informational Transactional</v>
      </c>
    </row>
    <row r="742" customFormat="false" ht="15" hidden="false" customHeight="true" outlineLevel="0" collapsed="false">
      <c r="A742" s="6" t="s">
        <v>1453</v>
      </c>
      <c r="B742" s="6" t="s">
        <v>41</v>
      </c>
      <c r="C742" s="6" t="n">
        <v>1</v>
      </c>
      <c r="D742" s="6" t="n">
        <v>8</v>
      </c>
      <c r="E742" s="6" t="n">
        <v>1</v>
      </c>
      <c r="F742" s="6" t="s">
        <v>394</v>
      </c>
      <c r="G742" s="28" t="n">
        <f aca="false">IFERROR(INDEX('Semrush Data'!$A$1:$Z$20000,MATCH(A742,'Semrush Data'!$A$1:$A$20000,0),MATCH("Volume",'Semrush Data'!$A$1:$Z$1,0)),"")</f>
        <v>0</v>
      </c>
      <c r="H742" s="6" t="n">
        <f aca="false">IFERROR(INDEX('Semrush Data'!$A$1:$Z$20000,MATCH(A742,'Semrush Data'!$A$1:$A$20000,0),MATCH("Keyword Difficulty*",'Semrush Data'!$A$1:$Z$1,0)),"")</f>
        <v>20</v>
      </c>
      <c r="I742" s="29" t="n">
        <f aca="false">IFERROR(INDEX('Semrush Data'!$A$1:$Z$20000,MATCH(A742,'Semrush Data'!$A$1:$A$20000,0),MATCH("CPC*",'Semrush Data'!$A$1:$Z$1,0)),"")</f>
        <v>0</v>
      </c>
      <c r="J742" s="6" t="str">
        <f aca="false">IFERROR(INDEX('Semrush Data'!$A$1:$Z$20000,MATCH(A742,'Semrush Data'!$A$1:$A$20000,0),MATCH("Intent",'Semrush Data'!$A$1:$Z$1,0)),"")</f>
        <v>Informational Navigational</v>
      </c>
    </row>
    <row r="743" customFormat="false" ht="15" hidden="false" customHeight="true" outlineLevel="0" collapsed="false">
      <c r="A743" s="6" t="s">
        <v>1491</v>
      </c>
      <c r="B743" s="6" t="s">
        <v>41</v>
      </c>
      <c r="C743" s="6" t="n">
        <v>1</v>
      </c>
      <c r="D743" s="6" t="n">
        <v>8</v>
      </c>
      <c r="E743" s="6" t="n">
        <v>1</v>
      </c>
      <c r="F743" s="6" t="s">
        <v>441</v>
      </c>
      <c r="G743" s="28" t="n">
        <f aca="false">IFERROR(INDEX('Semrush Data'!$A$1:$Z$20000,MATCH(A743,'Semrush Data'!$A$1:$A$20000,0),MATCH("Volume",'Semrush Data'!$A$1:$Z$1,0)),"")</f>
        <v>0</v>
      </c>
      <c r="H743" s="6" t="n">
        <f aca="false">IFERROR(INDEX('Semrush Data'!$A$1:$Z$20000,MATCH(A743,'Semrush Data'!$A$1:$A$20000,0),MATCH("Keyword Difficulty*",'Semrush Data'!$A$1:$Z$1,0)),"")</f>
        <v>12</v>
      </c>
      <c r="I743" s="29" t="n">
        <f aca="false">IFERROR(INDEX('Semrush Data'!$A$1:$Z$20000,MATCH(A743,'Semrush Data'!$A$1:$A$20000,0),MATCH("CPC*",'Semrush Data'!$A$1:$Z$1,0)),"")</f>
        <v>0</v>
      </c>
      <c r="J743" s="6" t="str">
        <f aca="false">IFERROR(INDEX('Semrush Data'!$A$1:$Z$20000,MATCH(A743,'Semrush Data'!$A$1:$A$20000,0),MATCH("Intent",'Semrush Data'!$A$1:$Z$1,0)),"")</f>
        <v>Informational Transactional</v>
      </c>
    </row>
    <row r="744" customFormat="false" ht="15" hidden="false" customHeight="true" outlineLevel="0" collapsed="false">
      <c r="A744" s="6" t="s">
        <v>1610</v>
      </c>
      <c r="B744" s="6" t="s">
        <v>41</v>
      </c>
      <c r="C744" s="6" t="n">
        <v>1</v>
      </c>
      <c r="D744" s="6" t="n">
        <v>8</v>
      </c>
      <c r="E744" s="6" t="n">
        <v>1</v>
      </c>
      <c r="F744" s="6" t="s">
        <v>577</v>
      </c>
      <c r="G744" s="28" t="n">
        <f aca="false">IFERROR(INDEX('Semrush Data'!$A$1:$Z$20000,MATCH(A744,'Semrush Data'!$A$1:$A$20000,0),MATCH("Volume",'Semrush Data'!$A$1:$Z$1,0)),"")</f>
        <v>0</v>
      </c>
      <c r="H744" s="6" t="n">
        <f aca="false">IFERROR(INDEX('Semrush Data'!$A$1:$Z$20000,MATCH(A744,'Semrush Data'!$A$1:$A$20000,0),MATCH("Keyword Difficulty*",'Semrush Data'!$A$1:$Z$1,0)),"")</f>
        <v>18</v>
      </c>
      <c r="I744" s="29" t="n">
        <f aca="false">IFERROR(INDEX('Semrush Data'!$A$1:$Z$20000,MATCH(A744,'Semrush Data'!$A$1:$A$20000,0),MATCH("CPC*",'Semrush Data'!$A$1:$Z$1,0)),"")</f>
        <v>0</v>
      </c>
      <c r="J744" s="6" t="str">
        <f aca="false">IFERROR(INDEX('Semrush Data'!$A$1:$Z$20000,MATCH(A744,'Semrush Data'!$A$1:$A$20000,0),MATCH("Intent",'Semrush Data'!$A$1:$Z$1,0)),"")</f>
        <v>Informational Transactional</v>
      </c>
    </row>
    <row r="745" customFormat="false" ht="15" hidden="false" customHeight="true" outlineLevel="0" collapsed="false">
      <c r="A745" s="6" t="s">
        <v>1616</v>
      </c>
      <c r="B745" s="6" t="s">
        <v>41</v>
      </c>
      <c r="C745" s="6" t="n">
        <v>1</v>
      </c>
      <c r="D745" s="6" t="n">
        <v>8</v>
      </c>
      <c r="E745" s="6" t="n">
        <v>1</v>
      </c>
      <c r="F745" s="6" t="s">
        <v>583</v>
      </c>
      <c r="G745" s="28" t="n">
        <f aca="false">IFERROR(INDEX('Semrush Data'!$A$1:$Z$20000,MATCH(A745,'Semrush Data'!$A$1:$A$20000,0),MATCH("Volume",'Semrush Data'!$A$1:$Z$1,0)),"")</f>
        <v>0</v>
      </c>
      <c r="H745" s="6" t="n">
        <f aca="false">IFERROR(INDEX('Semrush Data'!$A$1:$Z$20000,MATCH(A745,'Semrush Data'!$A$1:$A$20000,0),MATCH("Keyword Difficulty*",'Semrush Data'!$A$1:$Z$1,0)),"")</f>
        <v>11</v>
      </c>
      <c r="I745" s="29" t="n">
        <f aca="false">IFERROR(INDEX('Semrush Data'!$A$1:$Z$20000,MATCH(A745,'Semrush Data'!$A$1:$A$20000,0),MATCH("CPC*",'Semrush Data'!$A$1:$Z$1,0)),"")</f>
        <v>0</v>
      </c>
      <c r="J745" s="6" t="str">
        <f aca="false">IFERROR(INDEX('Semrush Data'!$A$1:$Z$20000,MATCH(A745,'Semrush Data'!$A$1:$A$20000,0),MATCH("Intent",'Semrush Data'!$A$1:$Z$1,0)),"")</f>
        <v>Informational Transactional</v>
      </c>
    </row>
    <row r="746" customFormat="false" ht="15" hidden="false" customHeight="true" outlineLevel="0" collapsed="false">
      <c r="A746" s="6" t="s">
        <v>1729</v>
      </c>
      <c r="B746" s="6" t="s">
        <v>41</v>
      </c>
      <c r="C746" s="6" t="n">
        <v>1</v>
      </c>
      <c r="D746" s="6" t="n">
        <v>8</v>
      </c>
      <c r="E746" s="6" t="n">
        <v>1</v>
      </c>
      <c r="F746" s="6" t="s">
        <v>710</v>
      </c>
      <c r="G746" s="28" t="n">
        <f aca="false">IFERROR(INDEX('Semrush Data'!$A$1:$Z$20000,MATCH(A746,'Semrush Data'!$A$1:$A$20000,0),MATCH("Volume",'Semrush Data'!$A$1:$Z$1,0)),"")</f>
        <v>0</v>
      </c>
      <c r="H746" s="6" t="n">
        <f aca="false">IFERROR(INDEX('Semrush Data'!$A$1:$Z$20000,MATCH(A746,'Semrush Data'!$A$1:$A$20000,0),MATCH("Keyword Difficulty*",'Semrush Data'!$A$1:$Z$1,0)),"")</f>
        <v>19</v>
      </c>
      <c r="I746" s="29" t="n">
        <f aca="false">IFERROR(INDEX('Semrush Data'!$A$1:$Z$20000,MATCH(A746,'Semrush Data'!$A$1:$A$20000,0),MATCH("CPC*",'Semrush Data'!$A$1:$Z$1,0)),"")</f>
        <v>0</v>
      </c>
      <c r="J746" s="6" t="str">
        <f aca="false">IFERROR(INDEX('Semrush Data'!$A$1:$Z$20000,MATCH(A746,'Semrush Data'!$A$1:$A$20000,0),MATCH("Intent",'Semrush Data'!$A$1:$Z$1,0)),"")</f>
        <v>Informational Transactional</v>
      </c>
    </row>
    <row r="747" customFormat="false" ht="15" hidden="false" customHeight="true" outlineLevel="0" collapsed="false">
      <c r="A747" s="6" t="s">
        <v>1519</v>
      </c>
      <c r="B747" s="6" t="s">
        <v>41</v>
      </c>
      <c r="C747" s="6" t="n">
        <v>1</v>
      </c>
      <c r="D747" s="6" t="n">
        <v>8</v>
      </c>
      <c r="E747" s="6" t="n">
        <v>1</v>
      </c>
      <c r="F747" s="6" t="s">
        <v>470</v>
      </c>
      <c r="G747" s="28" t="n">
        <f aca="false">IFERROR(INDEX('Semrush Data'!$A$1:$Z$20000,MATCH(A747,'Semrush Data'!$A$1:$A$20000,0),MATCH("Volume",'Semrush Data'!$A$1:$Z$1,0)),"")</f>
        <v>10</v>
      </c>
      <c r="H747" s="6" t="n">
        <f aca="false">IFERROR(INDEX('Semrush Data'!$A$1:$Z$20000,MATCH(A747,'Semrush Data'!$A$1:$A$20000,0),MATCH("Keyword Difficulty*",'Semrush Data'!$A$1:$Z$1,0)),"")</f>
        <v>16</v>
      </c>
      <c r="I747" s="29" t="n">
        <f aca="false">IFERROR(INDEX('Semrush Data'!$A$1:$Z$20000,MATCH(A747,'Semrush Data'!$A$1:$A$20000,0),MATCH("CPC*",'Semrush Data'!$A$1:$Z$1,0)),"")</f>
        <v>0</v>
      </c>
      <c r="J747" s="6" t="str">
        <f aca="false">IFERROR(INDEX('Semrush Data'!$A$1:$Z$20000,MATCH(A747,'Semrush Data'!$A$1:$A$20000,0),MATCH("Intent",'Semrush Data'!$A$1:$Z$1,0)),"")</f>
        <v>Informational Transactional</v>
      </c>
    </row>
    <row r="748" customFormat="false" ht="15" hidden="false" customHeight="true" outlineLevel="0" collapsed="false">
      <c r="A748" s="6" t="s">
        <v>1623</v>
      </c>
      <c r="B748" s="6" t="s">
        <v>41</v>
      </c>
      <c r="C748" s="6" t="n">
        <v>1</v>
      </c>
      <c r="D748" s="6" t="n">
        <v>8</v>
      </c>
      <c r="E748" s="6" t="n">
        <v>1</v>
      </c>
      <c r="F748" s="6" t="s">
        <v>592</v>
      </c>
      <c r="G748" s="28" t="n">
        <f aca="false">IFERROR(INDEX('Semrush Data'!$A$1:$Z$20000,MATCH(A748,'Semrush Data'!$A$1:$A$20000,0),MATCH("Volume",'Semrush Data'!$A$1:$Z$1,0)),"")</f>
        <v>0</v>
      </c>
      <c r="H748" s="6" t="n">
        <f aca="false">IFERROR(INDEX('Semrush Data'!$A$1:$Z$20000,MATCH(A748,'Semrush Data'!$A$1:$A$20000,0),MATCH("Keyword Difficulty*",'Semrush Data'!$A$1:$Z$1,0)),"")</f>
        <v>11</v>
      </c>
      <c r="I748" s="29" t="n">
        <f aca="false">IFERROR(INDEX('Semrush Data'!$A$1:$Z$20000,MATCH(A748,'Semrush Data'!$A$1:$A$20000,0),MATCH("CPC*",'Semrush Data'!$A$1:$Z$1,0)),"")</f>
        <v>0</v>
      </c>
      <c r="J748" s="6" t="str">
        <f aca="false">IFERROR(INDEX('Semrush Data'!$A$1:$Z$20000,MATCH(A748,'Semrush Data'!$A$1:$A$20000,0),MATCH("Intent",'Semrush Data'!$A$1:$Z$1,0)),"")</f>
        <v>Informational Transactional</v>
      </c>
    </row>
    <row r="749" customFormat="false" ht="15" hidden="false" customHeight="true" outlineLevel="0" collapsed="false">
      <c r="A749" s="6" t="s">
        <v>1628</v>
      </c>
      <c r="B749" s="6" t="s">
        <v>41</v>
      </c>
      <c r="C749" s="6" t="n">
        <v>1</v>
      </c>
      <c r="D749" s="6" t="n">
        <v>8</v>
      </c>
      <c r="E749" s="6" t="n">
        <v>1</v>
      </c>
      <c r="F749" s="6" t="s">
        <v>599</v>
      </c>
      <c r="G749" s="28" t="n">
        <f aca="false">IFERROR(INDEX('Semrush Data'!$A$1:$Z$20000,MATCH(A749,'Semrush Data'!$A$1:$A$20000,0),MATCH("Volume",'Semrush Data'!$A$1:$Z$1,0)),"")</f>
        <v>0</v>
      </c>
      <c r="H749" s="6" t="n">
        <f aca="false">IFERROR(INDEX('Semrush Data'!$A$1:$Z$20000,MATCH(A749,'Semrush Data'!$A$1:$A$20000,0),MATCH("Keyword Difficulty*",'Semrush Data'!$A$1:$Z$1,0)),"")</f>
        <v>21</v>
      </c>
      <c r="I749" s="29" t="n">
        <f aca="false">IFERROR(INDEX('Semrush Data'!$A$1:$Z$20000,MATCH(A749,'Semrush Data'!$A$1:$A$20000,0),MATCH("CPC*",'Semrush Data'!$A$1:$Z$1,0)),"")</f>
        <v>0</v>
      </c>
      <c r="J749" s="6" t="str">
        <f aca="false">IFERROR(INDEX('Semrush Data'!$A$1:$Z$20000,MATCH(A749,'Semrush Data'!$A$1:$A$20000,0),MATCH("Intent",'Semrush Data'!$A$1:$Z$1,0)),"")</f>
        <v>Informational Transactional</v>
      </c>
    </row>
    <row r="750" customFormat="false" ht="15" hidden="false" customHeight="true" outlineLevel="0" collapsed="false">
      <c r="A750" s="6" t="s">
        <v>1634</v>
      </c>
      <c r="B750" s="6" t="s">
        <v>41</v>
      </c>
      <c r="C750" s="6" t="n">
        <v>1</v>
      </c>
      <c r="D750" s="6" t="n">
        <v>8</v>
      </c>
      <c r="E750" s="6" t="n">
        <v>1</v>
      </c>
      <c r="F750" s="6" t="s">
        <v>605</v>
      </c>
      <c r="G750" s="28" t="n">
        <f aca="false">IFERROR(INDEX('Semrush Data'!$A$1:$Z$20000,MATCH(A750,'Semrush Data'!$A$1:$A$20000,0),MATCH("Volume",'Semrush Data'!$A$1:$Z$1,0)),"")</f>
        <v>0</v>
      </c>
      <c r="H750" s="6" t="n">
        <f aca="false">IFERROR(INDEX('Semrush Data'!$A$1:$Z$20000,MATCH(A750,'Semrush Data'!$A$1:$A$20000,0),MATCH("Keyword Difficulty*",'Semrush Data'!$A$1:$Z$1,0)),"")</f>
        <v>18</v>
      </c>
      <c r="I750" s="29" t="n">
        <f aca="false">IFERROR(INDEX('Semrush Data'!$A$1:$Z$20000,MATCH(A750,'Semrush Data'!$A$1:$A$20000,0),MATCH("CPC*",'Semrush Data'!$A$1:$Z$1,0)),"")</f>
        <v>0</v>
      </c>
      <c r="J750" s="6" t="str">
        <f aca="false">IFERROR(INDEX('Semrush Data'!$A$1:$Z$20000,MATCH(A750,'Semrush Data'!$A$1:$A$20000,0),MATCH("Intent",'Semrush Data'!$A$1:$Z$1,0)),"")</f>
        <v>Informational Transactional</v>
      </c>
    </row>
    <row r="751" customFormat="false" ht="15" hidden="false" customHeight="true" outlineLevel="0" collapsed="false">
      <c r="A751" s="6" t="s">
        <v>1461</v>
      </c>
      <c r="B751" s="6" t="s">
        <v>41</v>
      </c>
      <c r="C751" s="6" t="n">
        <v>1</v>
      </c>
      <c r="D751" s="6" t="n">
        <v>8</v>
      </c>
      <c r="E751" s="6" t="n">
        <v>1</v>
      </c>
      <c r="F751" s="6" t="s">
        <v>404</v>
      </c>
      <c r="G751" s="28" t="n">
        <f aca="false">IFERROR(INDEX('Semrush Data'!$A$1:$Z$20000,MATCH(A751,'Semrush Data'!$A$1:$A$20000,0),MATCH("Volume",'Semrush Data'!$A$1:$Z$1,0)),"")</f>
        <v>0</v>
      </c>
      <c r="H751" s="6" t="n">
        <f aca="false">IFERROR(INDEX('Semrush Data'!$A$1:$Z$20000,MATCH(A751,'Semrush Data'!$A$1:$A$20000,0),MATCH("Keyword Difficulty*",'Semrush Data'!$A$1:$Z$1,0)),"")</f>
        <v>18</v>
      </c>
      <c r="I751" s="29" t="n">
        <f aca="false">IFERROR(INDEX('Semrush Data'!$A$1:$Z$20000,MATCH(A751,'Semrush Data'!$A$1:$A$20000,0),MATCH("CPC*",'Semrush Data'!$A$1:$Z$1,0)),"")</f>
        <v>0</v>
      </c>
      <c r="J751" s="6" t="str">
        <f aca="false">IFERROR(INDEX('Semrush Data'!$A$1:$Z$20000,MATCH(A751,'Semrush Data'!$A$1:$A$20000,0),MATCH("Intent",'Semrush Data'!$A$1:$Z$1,0)),"")</f>
        <v>Navigational</v>
      </c>
    </row>
    <row r="752" customFormat="false" ht="15" hidden="false" customHeight="true" outlineLevel="0" collapsed="false">
      <c r="A752" s="6" t="s">
        <v>1929</v>
      </c>
      <c r="B752" s="6" t="s">
        <v>41</v>
      </c>
      <c r="C752" s="6" t="n">
        <v>1</v>
      </c>
      <c r="D752" s="6" t="n">
        <v>8</v>
      </c>
      <c r="E752" s="6" t="n">
        <v>1</v>
      </c>
      <c r="F752" s="6" t="s">
        <v>895</v>
      </c>
      <c r="G752" s="28" t="n">
        <f aca="false">IFERROR(INDEX('Semrush Data'!$A$1:$Z$20000,MATCH(A752,'Semrush Data'!$A$1:$A$20000,0),MATCH("Volume",'Semrush Data'!$A$1:$Z$1,0)),"")</f>
        <v>0</v>
      </c>
      <c r="H752" s="6" t="n">
        <f aca="false">IFERROR(INDEX('Semrush Data'!$A$1:$Z$20000,MATCH(A752,'Semrush Data'!$A$1:$A$20000,0),MATCH("Keyword Difficulty*",'Semrush Data'!$A$1:$Z$1,0)),"")</f>
        <v>13</v>
      </c>
      <c r="I752" s="29" t="n">
        <f aca="false">IFERROR(INDEX('Semrush Data'!$A$1:$Z$20000,MATCH(A752,'Semrush Data'!$A$1:$A$20000,0),MATCH("CPC*",'Semrush Data'!$A$1:$Z$1,0)),"")</f>
        <v>0</v>
      </c>
      <c r="J752" s="6" t="str">
        <f aca="false">IFERROR(INDEX('Semrush Data'!$A$1:$Z$20000,MATCH(A752,'Semrush Data'!$A$1:$A$20000,0),MATCH("Intent",'Semrush Data'!$A$1:$Z$1,0)),"")</f>
        <v>Informational Transactional</v>
      </c>
    </row>
    <row r="753" customFormat="false" ht="15" hidden="false" customHeight="true" outlineLevel="0" collapsed="false">
      <c r="A753" s="6" t="s">
        <v>1839</v>
      </c>
      <c r="B753" s="6" t="s">
        <v>41</v>
      </c>
      <c r="C753" s="6" t="n">
        <v>1</v>
      </c>
      <c r="D753" s="6" t="n">
        <v>8</v>
      </c>
      <c r="E753" s="6" t="n">
        <v>1</v>
      </c>
      <c r="F753" s="6" t="s">
        <v>813</v>
      </c>
      <c r="G753" s="28" t="n">
        <f aca="false">IFERROR(INDEX('Semrush Data'!$A$1:$Z$20000,MATCH(A753,'Semrush Data'!$A$1:$A$20000,0),MATCH("Volume",'Semrush Data'!$A$1:$Z$1,0)),"")</f>
        <v>0</v>
      </c>
      <c r="H753" s="6" t="n">
        <f aca="false">IFERROR(INDEX('Semrush Data'!$A$1:$Z$20000,MATCH(A753,'Semrush Data'!$A$1:$A$20000,0),MATCH("Keyword Difficulty*",'Semrush Data'!$A$1:$Z$1,0)),"")</f>
        <v>20</v>
      </c>
      <c r="I753" s="29" t="n">
        <f aca="false">IFERROR(INDEX('Semrush Data'!$A$1:$Z$20000,MATCH(A753,'Semrush Data'!$A$1:$A$20000,0),MATCH("CPC*",'Semrush Data'!$A$1:$Z$1,0)),"")</f>
        <v>0</v>
      </c>
      <c r="J753" s="6" t="str">
        <f aca="false">IFERROR(INDEX('Semrush Data'!$A$1:$Z$20000,MATCH(A753,'Semrush Data'!$A$1:$A$20000,0),MATCH("Intent",'Semrush Data'!$A$1:$Z$1,0)),"")</f>
        <v>Navigational</v>
      </c>
    </row>
    <row r="754" customFormat="false" ht="15" hidden="false" customHeight="true" outlineLevel="0" collapsed="false">
      <c r="A754" s="6" t="s">
        <v>1833</v>
      </c>
      <c r="B754" s="6" t="s">
        <v>41</v>
      </c>
      <c r="C754" s="6" t="n">
        <v>1</v>
      </c>
      <c r="D754" s="6" t="n">
        <v>8</v>
      </c>
      <c r="E754" s="6" t="n">
        <v>1</v>
      </c>
      <c r="F754" s="6" t="s">
        <v>808</v>
      </c>
      <c r="G754" s="28" t="n">
        <f aca="false">IFERROR(INDEX('Semrush Data'!$A$1:$Z$20000,MATCH(A754,'Semrush Data'!$A$1:$A$20000,0),MATCH("Volume",'Semrush Data'!$A$1:$Z$1,0)),"")</f>
        <v>0</v>
      </c>
      <c r="H754" s="6" t="n">
        <f aca="false">IFERROR(INDEX('Semrush Data'!$A$1:$Z$20000,MATCH(A754,'Semrush Data'!$A$1:$A$20000,0),MATCH("Keyword Difficulty*",'Semrush Data'!$A$1:$Z$1,0)),"")</f>
        <v>12</v>
      </c>
      <c r="I754" s="29" t="n">
        <f aca="false">IFERROR(INDEX('Semrush Data'!$A$1:$Z$20000,MATCH(A754,'Semrush Data'!$A$1:$A$20000,0),MATCH("CPC*",'Semrush Data'!$A$1:$Z$1,0)),"")</f>
        <v>0</v>
      </c>
      <c r="J754" s="6" t="str">
        <f aca="false">IFERROR(INDEX('Semrush Data'!$A$1:$Z$20000,MATCH(A754,'Semrush Data'!$A$1:$A$20000,0),MATCH("Intent",'Semrush Data'!$A$1:$Z$1,0)),"")</f>
        <v>Navigational</v>
      </c>
    </row>
    <row r="755" customFormat="false" ht="15" hidden="false" customHeight="true" outlineLevel="0" collapsed="false">
      <c r="A755" s="6" t="s">
        <v>1851</v>
      </c>
      <c r="B755" s="6" t="s">
        <v>41</v>
      </c>
      <c r="C755" s="6" t="n">
        <v>1</v>
      </c>
      <c r="D755" s="6" t="n">
        <v>8</v>
      </c>
      <c r="E755" s="6" t="n">
        <v>1</v>
      </c>
      <c r="F755" s="6" t="s">
        <v>824</v>
      </c>
      <c r="G755" s="28" t="n">
        <f aca="false">IFERROR(INDEX('Semrush Data'!$A$1:$Z$20000,MATCH(A755,'Semrush Data'!$A$1:$A$20000,0),MATCH("Volume",'Semrush Data'!$A$1:$Z$1,0)),"")</f>
        <v>0</v>
      </c>
      <c r="H755" s="6" t="n">
        <f aca="false">IFERROR(INDEX('Semrush Data'!$A$1:$Z$20000,MATCH(A755,'Semrush Data'!$A$1:$A$20000,0),MATCH("Keyword Difficulty*",'Semrush Data'!$A$1:$Z$1,0)),"")</f>
        <v>14</v>
      </c>
      <c r="I755" s="29" t="n">
        <f aca="false">IFERROR(INDEX('Semrush Data'!$A$1:$Z$20000,MATCH(A755,'Semrush Data'!$A$1:$A$20000,0),MATCH("CPC*",'Semrush Data'!$A$1:$Z$1,0)),"")</f>
        <v>0</v>
      </c>
      <c r="J755" s="6" t="str">
        <f aca="false">IFERROR(INDEX('Semrush Data'!$A$1:$Z$20000,MATCH(A755,'Semrush Data'!$A$1:$A$20000,0),MATCH("Intent",'Semrush Data'!$A$1:$Z$1,0)),"")</f>
        <v>Informational Transactional</v>
      </c>
    </row>
    <row r="756" customFormat="false" ht="15" hidden="false" customHeight="true" outlineLevel="0" collapsed="false">
      <c r="A756" s="6" t="s">
        <v>1716</v>
      </c>
      <c r="B756" s="6" t="s">
        <v>41</v>
      </c>
      <c r="C756" s="6" t="n">
        <v>1</v>
      </c>
      <c r="D756" s="6" t="n">
        <v>8</v>
      </c>
      <c r="E756" s="6" t="n">
        <v>1</v>
      </c>
      <c r="F756" s="6" t="s">
        <v>697</v>
      </c>
      <c r="G756" s="28" t="n">
        <f aca="false">IFERROR(INDEX('Semrush Data'!$A$1:$Z$20000,MATCH(A756,'Semrush Data'!$A$1:$A$20000,0),MATCH("Volume",'Semrush Data'!$A$1:$Z$1,0)),"")</f>
        <v>0</v>
      </c>
      <c r="H756" s="6" t="n">
        <f aca="false">IFERROR(INDEX('Semrush Data'!$A$1:$Z$20000,MATCH(A756,'Semrush Data'!$A$1:$A$20000,0),MATCH("Keyword Difficulty*",'Semrush Data'!$A$1:$Z$1,0)),"")</f>
        <v>23</v>
      </c>
      <c r="I756" s="29" t="n">
        <f aca="false">IFERROR(INDEX('Semrush Data'!$A$1:$Z$20000,MATCH(A756,'Semrush Data'!$A$1:$A$20000,0),MATCH("CPC*",'Semrush Data'!$A$1:$Z$1,0)),"")</f>
        <v>0</v>
      </c>
      <c r="J756" s="6" t="str">
        <f aca="false">IFERROR(INDEX('Semrush Data'!$A$1:$Z$20000,MATCH(A756,'Semrush Data'!$A$1:$A$20000,0),MATCH("Intent",'Semrush Data'!$A$1:$Z$1,0)),"")</f>
        <v>Informational Transactional</v>
      </c>
    </row>
    <row r="757" customFormat="false" ht="15" hidden="false" customHeight="true" outlineLevel="0" collapsed="false">
      <c r="A757" s="6" t="s">
        <v>1640</v>
      </c>
      <c r="B757" s="6" t="s">
        <v>41</v>
      </c>
      <c r="C757" s="6" t="n">
        <v>1</v>
      </c>
      <c r="D757" s="6" t="n">
        <v>8</v>
      </c>
      <c r="E757" s="6" t="n">
        <v>1</v>
      </c>
      <c r="F757" s="6" t="s">
        <v>611</v>
      </c>
      <c r="G757" s="28" t="n">
        <f aca="false">IFERROR(INDEX('Semrush Data'!$A$1:$Z$20000,MATCH(A757,'Semrush Data'!$A$1:$A$20000,0),MATCH("Volume",'Semrush Data'!$A$1:$Z$1,0)),"")</f>
        <v>0</v>
      </c>
      <c r="H757" s="6" t="n">
        <f aca="false">IFERROR(INDEX('Semrush Data'!$A$1:$Z$20000,MATCH(A757,'Semrush Data'!$A$1:$A$20000,0),MATCH("Keyword Difficulty*",'Semrush Data'!$A$1:$Z$1,0)),"")</f>
        <v>33</v>
      </c>
      <c r="I757" s="29" t="n">
        <f aca="false">IFERROR(INDEX('Semrush Data'!$A$1:$Z$20000,MATCH(A757,'Semrush Data'!$A$1:$A$20000,0),MATCH("CPC*",'Semrush Data'!$A$1:$Z$1,0)),"")</f>
        <v>0</v>
      </c>
      <c r="J757" s="6" t="str">
        <f aca="false">IFERROR(INDEX('Semrush Data'!$A$1:$Z$20000,MATCH(A757,'Semrush Data'!$A$1:$A$20000,0),MATCH("Intent",'Semrush Data'!$A$1:$Z$1,0)),"")</f>
        <v>Transactional Navigational</v>
      </c>
    </row>
    <row r="758" customFormat="false" ht="15" hidden="false" customHeight="true" outlineLevel="0" collapsed="false">
      <c r="A758" s="6" t="s">
        <v>1743</v>
      </c>
      <c r="B758" s="6" t="s">
        <v>41</v>
      </c>
      <c r="C758" s="6" t="n">
        <v>1</v>
      </c>
      <c r="D758" s="6" t="n">
        <v>8</v>
      </c>
      <c r="E758" s="6" t="n">
        <v>1</v>
      </c>
      <c r="F758" s="6" t="s">
        <v>724</v>
      </c>
      <c r="G758" s="28" t="n">
        <f aca="false">IFERROR(INDEX('Semrush Data'!$A$1:$Z$20000,MATCH(A758,'Semrush Data'!$A$1:$A$20000,0),MATCH("Volume",'Semrush Data'!$A$1:$Z$1,0)),"")</f>
        <v>0</v>
      </c>
      <c r="H758" s="6" t="n">
        <f aca="false">IFERROR(INDEX('Semrush Data'!$A$1:$Z$20000,MATCH(A758,'Semrush Data'!$A$1:$A$20000,0),MATCH("Keyword Difficulty*",'Semrush Data'!$A$1:$Z$1,0)),"")</f>
        <v>18</v>
      </c>
      <c r="I758" s="29" t="n">
        <f aca="false">IFERROR(INDEX('Semrush Data'!$A$1:$Z$20000,MATCH(A758,'Semrush Data'!$A$1:$A$20000,0),MATCH("CPC*",'Semrush Data'!$A$1:$Z$1,0)),"")</f>
        <v>0</v>
      </c>
      <c r="J758" s="6" t="str">
        <f aca="false">IFERROR(INDEX('Semrush Data'!$A$1:$Z$20000,MATCH(A758,'Semrush Data'!$A$1:$A$20000,0),MATCH("Intent",'Semrush Data'!$A$1:$Z$1,0)),"")</f>
        <v>Informational Transactional</v>
      </c>
    </row>
    <row r="759" customFormat="false" ht="15" hidden="false" customHeight="true" outlineLevel="0" collapsed="false">
      <c r="A759" s="6" t="s">
        <v>1498</v>
      </c>
      <c r="B759" s="6" t="s">
        <v>41</v>
      </c>
      <c r="C759" s="6" t="n">
        <v>1</v>
      </c>
      <c r="D759" s="6" t="n">
        <v>8</v>
      </c>
      <c r="E759" s="6" t="n">
        <v>1</v>
      </c>
      <c r="F759" s="6" t="s">
        <v>447</v>
      </c>
      <c r="G759" s="28" t="n">
        <f aca="false">IFERROR(INDEX('Semrush Data'!$A$1:$Z$20000,MATCH(A759,'Semrush Data'!$A$1:$A$20000,0),MATCH("Volume",'Semrush Data'!$A$1:$Z$1,0)),"")</f>
        <v>0</v>
      </c>
      <c r="H759" s="6" t="n">
        <f aca="false">IFERROR(INDEX('Semrush Data'!$A$1:$Z$20000,MATCH(A759,'Semrush Data'!$A$1:$A$20000,0),MATCH("Keyword Difficulty*",'Semrush Data'!$A$1:$Z$1,0)),"")</f>
        <v>11</v>
      </c>
      <c r="I759" s="29" t="n">
        <f aca="false">IFERROR(INDEX('Semrush Data'!$A$1:$Z$20000,MATCH(A759,'Semrush Data'!$A$1:$A$20000,0),MATCH("CPC*",'Semrush Data'!$A$1:$Z$1,0)),"")</f>
        <v>0</v>
      </c>
      <c r="J759" s="6" t="str">
        <f aca="false">IFERROR(INDEX('Semrush Data'!$A$1:$Z$20000,MATCH(A759,'Semrush Data'!$A$1:$A$20000,0),MATCH("Intent",'Semrush Data'!$A$1:$Z$1,0)),"")</f>
        <v>Informational Transactional</v>
      </c>
    </row>
    <row r="760" customFormat="false" ht="15" hidden="false" customHeight="true" outlineLevel="0" collapsed="false">
      <c r="A760" s="6" t="s">
        <v>1923</v>
      </c>
      <c r="B760" s="6" t="s">
        <v>41</v>
      </c>
      <c r="C760" s="6" t="n">
        <v>1</v>
      </c>
      <c r="D760" s="6" t="n">
        <v>8</v>
      </c>
      <c r="E760" s="6" t="n">
        <v>1</v>
      </c>
      <c r="F760" s="6" t="s">
        <v>890</v>
      </c>
      <c r="G760" s="28" t="n">
        <f aca="false">IFERROR(INDEX('Semrush Data'!$A$1:$Z$20000,MATCH(A760,'Semrush Data'!$A$1:$A$20000,0),MATCH("Volume",'Semrush Data'!$A$1:$Z$1,0)),"")</f>
        <v>0</v>
      </c>
      <c r="H760" s="6" t="n">
        <f aca="false">IFERROR(INDEX('Semrush Data'!$A$1:$Z$20000,MATCH(A760,'Semrush Data'!$A$1:$A$20000,0),MATCH("Keyword Difficulty*",'Semrush Data'!$A$1:$Z$1,0)),"")</f>
        <v>19</v>
      </c>
      <c r="I760" s="29" t="n">
        <f aca="false">IFERROR(INDEX('Semrush Data'!$A$1:$Z$20000,MATCH(A760,'Semrush Data'!$A$1:$A$20000,0),MATCH("CPC*",'Semrush Data'!$A$1:$Z$1,0)),"")</f>
        <v>0</v>
      </c>
      <c r="J760" s="6" t="str">
        <f aca="false">IFERROR(INDEX('Semrush Data'!$A$1:$Z$20000,MATCH(A760,'Semrush Data'!$A$1:$A$20000,0),MATCH("Intent",'Semrush Data'!$A$1:$Z$1,0)),"")</f>
        <v>Navigational</v>
      </c>
    </row>
    <row r="761" customFormat="false" ht="15" hidden="false" customHeight="true" outlineLevel="0" collapsed="false">
      <c r="A761" s="6" t="s">
        <v>1647</v>
      </c>
      <c r="B761" s="6" t="s">
        <v>41</v>
      </c>
      <c r="C761" s="6" t="n">
        <v>1</v>
      </c>
      <c r="D761" s="6" t="n">
        <v>8</v>
      </c>
      <c r="E761" s="6" t="n">
        <v>1</v>
      </c>
      <c r="F761" s="6" t="s">
        <v>618</v>
      </c>
      <c r="G761" s="28" t="n">
        <f aca="false">IFERROR(INDEX('Semrush Data'!$A$1:$Z$20000,MATCH(A761,'Semrush Data'!$A$1:$A$20000,0),MATCH("Volume",'Semrush Data'!$A$1:$Z$1,0)),"")</f>
        <v>0</v>
      </c>
      <c r="H761" s="6" t="n">
        <f aca="false">IFERROR(INDEX('Semrush Data'!$A$1:$Z$20000,MATCH(A761,'Semrush Data'!$A$1:$A$20000,0),MATCH("Keyword Difficulty*",'Semrush Data'!$A$1:$Z$1,0)),"")</f>
        <v>35</v>
      </c>
      <c r="I761" s="29" t="n">
        <f aca="false">IFERROR(INDEX('Semrush Data'!$A$1:$Z$20000,MATCH(A761,'Semrush Data'!$A$1:$A$20000,0),MATCH("CPC*",'Semrush Data'!$A$1:$Z$1,0)),"")</f>
        <v>0</v>
      </c>
      <c r="J761" s="6" t="str">
        <f aca="false">IFERROR(INDEX('Semrush Data'!$A$1:$Z$20000,MATCH(A761,'Semrush Data'!$A$1:$A$20000,0),MATCH("Intent",'Semrush Data'!$A$1:$Z$1,0)),"")</f>
        <v>Informational Transactional</v>
      </c>
    </row>
    <row r="762" customFormat="false" ht="15" hidden="false" customHeight="true" outlineLevel="0" collapsed="false">
      <c r="A762" s="6" t="s">
        <v>1526</v>
      </c>
      <c r="B762" s="6" t="s">
        <v>41</v>
      </c>
      <c r="C762" s="6" t="n">
        <v>1</v>
      </c>
      <c r="D762" s="6" t="n">
        <v>8</v>
      </c>
      <c r="E762" s="6" t="n">
        <v>1</v>
      </c>
      <c r="F762" s="6" t="s">
        <v>480</v>
      </c>
      <c r="G762" s="28" t="n">
        <f aca="false">IFERROR(INDEX('Semrush Data'!$A$1:$Z$20000,MATCH(A762,'Semrush Data'!$A$1:$A$20000,0),MATCH("Volume",'Semrush Data'!$A$1:$Z$1,0)),"")</f>
        <v>20</v>
      </c>
      <c r="H762" s="6" t="n">
        <f aca="false">IFERROR(INDEX('Semrush Data'!$A$1:$Z$20000,MATCH(A762,'Semrush Data'!$A$1:$A$20000,0),MATCH("Keyword Difficulty*",'Semrush Data'!$A$1:$Z$1,0)),"")</f>
        <v>9</v>
      </c>
      <c r="I762" s="29" t="n">
        <f aca="false">IFERROR(INDEX('Semrush Data'!$A$1:$Z$20000,MATCH(A762,'Semrush Data'!$A$1:$A$20000,0),MATCH("CPC*",'Semrush Data'!$A$1:$Z$1,0)),"")</f>
        <v>0.3</v>
      </c>
      <c r="J762" s="6" t="str">
        <f aca="false">IFERROR(INDEX('Semrush Data'!$A$1:$Z$20000,MATCH(A762,'Semrush Data'!$A$1:$A$20000,0),MATCH("Intent",'Semrush Data'!$A$1:$Z$1,0)),"")</f>
        <v>Transactional Navigational</v>
      </c>
    </row>
    <row r="763" customFormat="false" ht="15" hidden="false" customHeight="true" outlineLevel="0" collapsed="false">
      <c r="A763" s="6" t="s">
        <v>1444</v>
      </c>
      <c r="B763" s="6" t="s">
        <v>41</v>
      </c>
      <c r="C763" s="6" t="n">
        <v>1</v>
      </c>
      <c r="D763" s="6" t="n">
        <v>8</v>
      </c>
      <c r="E763" s="6" t="n">
        <v>3</v>
      </c>
      <c r="F763" s="6" t="s">
        <v>6864</v>
      </c>
      <c r="G763" s="28" t="n">
        <f aca="false">IFERROR(INDEX('Semrush Data'!$A$1:$Z$20000,MATCH(A763,'Semrush Data'!$A$1:$A$20000,0),MATCH("Volume",'Semrush Data'!$A$1:$Z$1,0)),"")</f>
        <v>20</v>
      </c>
      <c r="H763" s="6" t="n">
        <f aca="false">IFERROR(INDEX('Semrush Data'!$A$1:$Z$20000,MATCH(A763,'Semrush Data'!$A$1:$A$20000,0),MATCH("Keyword Difficulty*",'Semrush Data'!$A$1:$Z$1,0)),"")</f>
        <v>26</v>
      </c>
      <c r="I763" s="29" t="n">
        <f aca="false">IFERROR(INDEX('Semrush Data'!$A$1:$Z$20000,MATCH(A763,'Semrush Data'!$A$1:$A$20000,0),MATCH("CPC*",'Semrush Data'!$A$1:$Z$1,0)),"")</f>
        <v>0.55</v>
      </c>
      <c r="J763" s="6" t="str">
        <f aca="false">IFERROR(INDEX('Semrush Data'!$A$1:$Z$20000,MATCH(A763,'Semrush Data'!$A$1:$A$20000,0),MATCH("Intent",'Semrush Data'!$A$1:$Z$1,0)),"")</f>
        <v>Informational Transactional</v>
      </c>
    </row>
    <row r="764" customFormat="false" ht="15" hidden="false" customHeight="true" outlineLevel="0" collapsed="false">
      <c r="A764" s="6" t="s">
        <v>1887</v>
      </c>
      <c r="B764" s="6" t="s">
        <v>41</v>
      </c>
      <c r="C764" s="6" t="n">
        <v>1</v>
      </c>
      <c r="D764" s="6" t="n">
        <v>8</v>
      </c>
      <c r="E764" s="6" t="n">
        <v>1</v>
      </c>
      <c r="F764" s="6" t="s">
        <v>856</v>
      </c>
      <c r="G764" s="28" t="n">
        <f aca="false">IFERROR(INDEX('Semrush Data'!$A$1:$Z$20000,MATCH(A764,'Semrush Data'!$A$1:$A$20000,0),MATCH("Volume",'Semrush Data'!$A$1:$Z$1,0)),"")</f>
        <v>0</v>
      </c>
      <c r="H764" s="6" t="n">
        <f aca="false">IFERROR(INDEX('Semrush Data'!$A$1:$Z$20000,MATCH(A764,'Semrush Data'!$A$1:$A$20000,0),MATCH("Keyword Difficulty*",'Semrush Data'!$A$1:$Z$1,0)),"")</f>
        <v>20</v>
      </c>
      <c r="I764" s="29" t="n">
        <f aca="false">IFERROR(INDEX('Semrush Data'!$A$1:$Z$20000,MATCH(A764,'Semrush Data'!$A$1:$A$20000,0),MATCH("CPC*",'Semrush Data'!$A$1:$Z$1,0)),"")</f>
        <v>0</v>
      </c>
      <c r="J764" s="6" t="str">
        <f aca="false">IFERROR(INDEX('Semrush Data'!$A$1:$Z$20000,MATCH(A764,'Semrush Data'!$A$1:$A$20000,0),MATCH("Intent",'Semrush Data'!$A$1:$Z$1,0)),"")</f>
        <v>Transactional Navigational</v>
      </c>
    </row>
    <row r="765" customFormat="false" ht="15" hidden="false" customHeight="true" outlineLevel="0" collapsed="false">
      <c r="A765" s="6" t="s">
        <v>1917</v>
      </c>
      <c r="B765" s="6" t="s">
        <v>41</v>
      </c>
      <c r="C765" s="6" t="n">
        <v>1</v>
      </c>
      <c r="D765" s="6" t="n">
        <v>8</v>
      </c>
      <c r="E765" s="6" t="n">
        <v>1</v>
      </c>
      <c r="F765" s="6" t="s">
        <v>883</v>
      </c>
      <c r="G765" s="28" t="n">
        <f aca="false">IFERROR(INDEX('Semrush Data'!$A$1:$Z$20000,MATCH(A765,'Semrush Data'!$A$1:$A$20000,0),MATCH("Volume",'Semrush Data'!$A$1:$Z$1,0)),"")</f>
        <v>0</v>
      </c>
      <c r="H765" s="6" t="n">
        <f aca="false">IFERROR(INDEX('Semrush Data'!$A$1:$Z$20000,MATCH(A765,'Semrush Data'!$A$1:$A$20000,0),MATCH("Keyword Difficulty*",'Semrush Data'!$A$1:$Z$1,0)),"")</f>
        <v>14</v>
      </c>
      <c r="I765" s="29" t="n">
        <f aca="false">IFERROR(INDEX('Semrush Data'!$A$1:$Z$20000,MATCH(A765,'Semrush Data'!$A$1:$A$20000,0),MATCH("CPC*",'Semrush Data'!$A$1:$Z$1,0)),"")</f>
        <v>0</v>
      </c>
      <c r="J765" s="6" t="str">
        <f aca="false">IFERROR(INDEX('Semrush Data'!$A$1:$Z$20000,MATCH(A765,'Semrush Data'!$A$1:$A$20000,0),MATCH("Intent",'Semrush Data'!$A$1:$Z$1,0)),"")</f>
        <v>Informational</v>
      </c>
    </row>
    <row r="766" customFormat="false" ht="15" hidden="false" customHeight="true" outlineLevel="0" collapsed="false">
      <c r="A766" s="6" t="s">
        <v>1656</v>
      </c>
      <c r="B766" s="6" t="s">
        <v>41</v>
      </c>
      <c r="C766" s="6" t="n">
        <v>1</v>
      </c>
      <c r="D766" s="6" t="n">
        <v>8</v>
      </c>
      <c r="E766" s="6" t="n">
        <v>1</v>
      </c>
      <c r="F766" s="6" t="s">
        <v>629</v>
      </c>
      <c r="G766" s="28" t="n">
        <f aca="false">IFERROR(INDEX('Semrush Data'!$A$1:$Z$20000,MATCH(A766,'Semrush Data'!$A$1:$A$20000,0),MATCH("Volume",'Semrush Data'!$A$1:$Z$1,0)),"")</f>
        <v>0</v>
      </c>
      <c r="H766" s="6" t="n">
        <f aca="false">IFERROR(INDEX('Semrush Data'!$A$1:$Z$20000,MATCH(A766,'Semrush Data'!$A$1:$A$20000,0),MATCH("Keyword Difficulty*",'Semrush Data'!$A$1:$Z$1,0)),"")</f>
        <v>12</v>
      </c>
      <c r="I766" s="29" t="n">
        <f aca="false">IFERROR(INDEX('Semrush Data'!$A$1:$Z$20000,MATCH(A766,'Semrush Data'!$A$1:$A$20000,0),MATCH("CPC*",'Semrush Data'!$A$1:$Z$1,0)),"")</f>
        <v>0</v>
      </c>
      <c r="J766" s="6" t="str">
        <f aca="false">IFERROR(INDEX('Semrush Data'!$A$1:$Z$20000,MATCH(A766,'Semrush Data'!$A$1:$A$20000,0),MATCH("Intent",'Semrush Data'!$A$1:$Z$1,0)),"")</f>
        <v>Informational Transactional</v>
      </c>
    </row>
    <row r="767" customFormat="false" ht="15" hidden="false" customHeight="true" outlineLevel="0" collapsed="false">
      <c r="A767" s="6" t="s">
        <v>1533</v>
      </c>
      <c r="B767" s="6" t="s">
        <v>41</v>
      </c>
      <c r="C767" s="6" t="n">
        <v>1</v>
      </c>
      <c r="D767" s="6" t="n">
        <v>8</v>
      </c>
      <c r="E767" s="6" t="n">
        <v>1</v>
      </c>
      <c r="F767" s="6" t="s">
        <v>489</v>
      </c>
      <c r="G767" s="28" t="n">
        <f aca="false">IFERROR(INDEX('Semrush Data'!$A$1:$Z$20000,MATCH(A767,'Semrush Data'!$A$1:$A$20000,0),MATCH("Volume",'Semrush Data'!$A$1:$Z$1,0)),"")</f>
        <v>0</v>
      </c>
      <c r="H767" s="6" t="n">
        <f aca="false">IFERROR(INDEX('Semrush Data'!$A$1:$Z$20000,MATCH(A767,'Semrush Data'!$A$1:$A$20000,0),MATCH("Keyword Difficulty*",'Semrush Data'!$A$1:$Z$1,0)),"")</f>
        <v>23</v>
      </c>
      <c r="I767" s="29" t="n">
        <f aca="false">IFERROR(INDEX('Semrush Data'!$A$1:$Z$20000,MATCH(A767,'Semrush Data'!$A$1:$A$20000,0),MATCH("CPC*",'Semrush Data'!$A$1:$Z$1,0)),"")</f>
        <v>0</v>
      </c>
      <c r="J767" s="6" t="str">
        <f aca="false">IFERROR(INDEX('Semrush Data'!$A$1:$Z$20000,MATCH(A767,'Semrush Data'!$A$1:$A$20000,0),MATCH("Intent",'Semrush Data'!$A$1:$Z$1,0)),"")</f>
        <v>Informational Transactional</v>
      </c>
    </row>
    <row r="768" customFormat="false" ht="15" hidden="false" customHeight="true" outlineLevel="0" collapsed="false">
      <c r="A768" s="6" t="s">
        <v>1662</v>
      </c>
      <c r="B768" s="6" t="s">
        <v>41</v>
      </c>
      <c r="C768" s="6" t="n">
        <v>1</v>
      </c>
      <c r="D768" s="6" t="n">
        <v>8</v>
      </c>
      <c r="E768" s="6" t="n">
        <v>1</v>
      </c>
      <c r="F768" s="6" t="s">
        <v>637</v>
      </c>
      <c r="G768" s="28" t="n">
        <f aca="false">IFERROR(INDEX('Semrush Data'!$A$1:$Z$20000,MATCH(A768,'Semrush Data'!$A$1:$A$20000,0),MATCH("Volume",'Semrush Data'!$A$1:$Z$1,0)),"")</f>
        <v>0</v>
      </c>
      <c r="H768" s="6" t="n">
        <f aca="false">IFERROR(INDEX('Semrush Data'!$A$1:$Z$20000,MATCH(A768,'Semrush Data'!$A$1:$A$20000,0),MATCH("Keyword Difficulty*",'Semrush Data'!$A$1:$Z$1,0)),"")</f>
        <v>30</v>
      </c>
      <c r="I768" s="29" t="n">
        <f aca="false">IFERROR(INDEX('Semrush Data'!$A$1:$Z$20000,MATCH(A768,'Semrush Data'!$A$1:$A$20000,0),MATCH("CPC*",'Semrush Data'!$A$1:$Z$1,0)),"")</f>
        <v>0</v>
      </c>
      <c r="J768" s="6" t="str">
        <f aca="false">IFERROR(INDEX('Semrush Data'!$A$1:$Z$20000,MATCH(A768,'Semrush Data'!$A$1:$A$20000,0),MATCH("Intent",'Semrush Data'!$A$1:$Z$1,0)),"")</f>
        <v>Informational Transactional</v>
      </c>
    </row>
    <row r="769" customFormat="false" ht="15" hidden="false" customHeight="true" outlineLevel="0" collapsed="false">
      <c r="A769" s="6" t="s">
        <v>1539</v>
      </c>
      <c r="B769" s="6" t="s">
        <v>41</v>
      </c>
      <c r="C769" s="6" t="n">
        <v>1</v>
      </c>
      <c r="D769" s="6" t="n">
        <v>8</v>
      </c>
      <c r="E769" s="6" t="n">
        <v>1</v>
      </c>
      <c r="F769" s="6" t="s">
        <v>496</v>
      </c>
      <c r="G769" s="28" t="n">
        <f aca="false">IFERROR(INDEX('Semrush Data'!$A$1:$Z$20000,MATCH(A769,'Semrush Data'!$A$1:$A$20000,0),MATCH("Volume",'Semrush Data'!$A$1:$Z$1,0)),"")</f>
        <v>0</v>
      </c>
      <c r="H769" s="6" t="n">
        <f aca="false">IFERROR(INDEX('Semrush Data'!$A$1:$Z$20000,MATCH(A769,'Semrush Data'!$A$1:$A$20000,0),MATCH("Keyword Difficulty*",'Semrush Data'!$A$1:$Z$1,0)),"")</f>
        <v>28</v>
      </c>
      <c r="I769" s="29" t="n">
        <f aca="false">IFERROR(INDEX('Semrush Data'!$A$1:$Z$20000,MATCH(A769,'Semrush Data'!$A$1:$A$20000,0),MATCH("CPC*",'Semrush Data'!$A$1:$Z$1,0)),"")</f>
        <v>0</v>
      </c>
      <c r="J769" s="6" t="str">
        <f aca="false">IFERROR(INDEX('Semrush Data'!$A$1:$Z$20000,MATCH(A769,'Semrush Data'!$A$1:$A$20000,0),MATCH("Intent",'Semrush Data'!$A$1:$Z$1,0)),"")</f>
        <v>Informational Transactional</v>
      </c>
    </row>
    <row r="770" customFormat="false" ht="15" hidden="false" customHeight="true" outlineLevel="0" collapsed="false">
      <c r="A770" s="6" t="s">
        <v>1893</v>
      </c>
      <c r="B770" s="6" t="s">
        <v>41</v>
      </c>
      <c r="C770" s="6" t="n">
        <v>1</v>
      </c>
      <c r="D770" s="6" t="n">
        <v>8</v>
      </c>
      <c r="E770" s="6" t="n">
        <v>1</v>
      </c>
      <c r="F770" s="6" t="s">
        <v>862</v>
      </c>
      <c r="G770" s="28" t="n">
        <f aca="false">IFERROR(INDEX('Semrush Data'!$A$1:$Z$20000,MATCH(A770,'Semrush Data'!$A$1:$A$20000,0),MATCH("Volume",'Semrush Data'!$A$1:$Z$1,0)),"")</f>
        <v>0</v>
      </c>
      <c r="H770" s="6" t="n">
        <f aca="false">IFERROR(INDEX('Semrush Data'!$A$1:$Z$20000,MATCH(A770,'Semrush Data'!$A$1:$A$20000,0),MATCH("Keyword Difficulty*",'Semrush Data'!$A$1:$Z$1,0)),"")</f>
        <v>14</v>
      </c>
      <c r="I770" s="29" t="n">
        <f aca="false">IFERROR(INDEX('Semrush Data'!$A$1:$Z$20000,MATCH(A770,'Semrush Data'!$A$1:$A$20000,0),MATCH("CPC*",'Semrush Data'!$A$1:$Z$1,0)),"")</f>
        <v>0</v>
      </c>
      <c r="J770" s="6" t="str">
        <f aca="false">IFERROR(INDEX('Semrush Data'!$A$1:$Z$20000,MATCH(A770,'Semrush Data'!$A$1:$A$20000,0),MATCH("Intent",'Semrush Data'!$A$1:$Z$1,0)),"")</f>
        <v>Informational Transactional</v>
      </c>
    </row>
    <row r="771" customFormat="false" ht="15" hidden="false" customHeight="true" outlineLevel="0" collapsed="false">
      <c r="A771" s="6" t="s">
        <v>1935</v>
      </c>
      <c r="B771" s="6" t="s">
        <v>41</v>
      </c>
      <c r="C771" s="6" t="n">
        <v>1</v>
      </c>
      <c r="D771" s="6" t="n">
        <v>8</v>
      </c>
      <c r="E771" s="6" t="n">
        <v>1</v>
      </c>
      <c r="F771" s="6" t="s">
        <v>900</v>
      </c>
      <c r="G771" s="28" t="n">
        <f aca="false">IFERROR(INDEX('Semrush Data'!$A$1:$Z$20000,MATCH(A771,'Semrush Data'!$A$1:$A$20000,0),MATCH("Volume",'Semrush Data'!$A$1:$Z$1,0)),"")</f>
        <v>0</v>
      </c>
      <c r="H771" s="6" t="n">
        <f aca="false">IFERROR(INDEX('Semrush Data'!$A$1:$Z$20000,MATCH(A771,'Semrush Data'!$A$1:$A$20000,0),MATCH("Keyword Difficulty*",'Semrush Data'!$A$1:$Z$1,0)),"")</f>
        <v>12</v>
      </c>
      <c r="I771" s="29" t="n">
        <f aca="false">IFERROR(INDEX('Semrush Data'!$A$1:$Z$20000,MATCH(A771,'Semrush Data'!$A$1:$A$20000,0),MATCH("CPC*",'Semrush Data'!$A$1:$Z$1,0)),"")</f>
        <v>0</v>
      </c>
      <c r="J771" s="6" t="str">
        <f aca="false">IFERROR(INDEX('Semrush Data'!$A$1:$Z$20000,MATCH(A771,'Semrush Data'!$A$1:$A$20000,0),MATCH("Intent",'Semrush Data'!$A$1:$Z$1,0)),"")</f>
        <v>Informational</v>
      </c>
    </row>
    <row r="772" customFormat="false" ht="15" hidden="false" customHeight="true" outlineLevel="0" collapsed="false">
      <c r="A772" s="6" t="s">
        <v>1668</v>
      </c>
      <c r="B772" s="6" t="s">
        <v>41</v>
      </c>
      <c r="C772" s="6" t="n">
        <v>1</v>
      </c>
      <c r="D772" s="6" t="n">
        <v>8</v>
      </c>
      <c r="E772" s="6" t="n">
        <v>1</v>
      </c>
      <c r="F772" s="6" t="s">
        <v>644</v>
      </c>
      <c r="G772" s="28" t="n">
        <f aca="false">IFERROR(INDEX('Semrush Data'!$A$1:$Z$20000,MATCH(A772,'Semrush Data'!$A$1:$A$20000,0),MATCH("Volume",'Semrush Data'!$A$1:$Z$1,0)),"")</f>
        <v>0</v>
      </c>
      <c r="H772" s="6" t="n">
        <f aca="false">IFERROR(INDEX('Semrush Data'!$A$1:$Z$20000,MATCH(A772,'Semrush Data'!$A$1:$A$20000,0),MATCH("Keyword Difficulty*",'Semrush Data'!$A$1:$Z$1,0)),"")</f>
        <v>5</v>
      </c>
      <c r="I772" s="29" t="n">
        <f aca="false">IFERROR(INDEX('Semrush Data'!$A$1:$Z$20000,MATCH(A772,'Semrush Data'!$A$1:$A$20000,0),MATCH("CPC*",'Semrush Data'!$A$1:$Z$1,0)),"")</f>
        <v>0</v>
      </c>
      <c r="J772" s="6" t="str">
        <f aca="false">IFERROR(INDEX('Semrush Data'!$A$1:$Z$20000,MATCH(A772,'Semrush Data'!$A$1:$A$20000,0),MATCH("Intent",'Semrush Data'!$A$1:$Z$1,0)),"")</f>
        <v>Informational Transactional</v>
      </c>
    </row>
    <row r="773" customFormat="false" ht="15" hidden="false" customHeight="true" outlineLevel="0" collapsed="false">
      <c r="A773" s="6" t="s">
        <v>1723</v>
      </c>
      <c r="B773" s="6" t="s">
        <v>41</v>
      </c>
      <c r="C773" s="6" t="n">
        <v>1</v>
      </c>
      <c r="D773" s="6" t="n">
        <v>8</v>
      </c>
      <c r="E773" s="6" t="n">
        <v>1</v>
      </c>
      <c r="F773" s="6" t="s">
        <v>704</v>
      </c>
      <c r="G773" s="28" t="n">
        <f aca="false">IFERROR(INDEX('Semrush Data'!$A$1:$Z$20000,MATCH(A773,'Semrush Data'!$A$1:$A$20000,0),MATCH("Volume",'Semrush Data'!$A$1:$Z$1,0)),"")</f>
        <v>0</v>
      </c>
      <c r="H773" s="6" t="n">
        <f aca="false">IFERROR(INDEX('Semrush Data'!$A$1:$Z$20000,MATCH(A773,'Semrush Data'!$A$1:$A$20000,0),MATCH("Keyword Difficulty*",'Semrush Data'!$A$1:$Z$1,0)),"")</f>
        <v>17</v>
      </c>
      <c r="I773" s="29" t="n">
        <f aca="false">IFERROR(INDEX('Semrush Data'!$A$1:$Z$20000,MATCH(A773,'Semrush Data'!$A$1:$A$20000,0),MATCH("CPC*",'Semrush Data'!$A$1:$Z$1,0)),"")</f>
        <v>0</v>
      </c>
      <c r="J773" s="6" t="str">
        <f aca="false">IFERROR(INDEX('Semrush Data'!$A$1:$Z$20000,MATCH(A773,'Semrush Data'!$A$1:$A$20000,0),MATCH("Intent",'Semrush Data'!$A$1:$Z$1,0)),"")</f>
        <v>Informational Transactional</v>
      </c>
    </row>
    <row r="774" customFormat="false" ht="15" hidden="false" customHeight="true" outlineLevel="0" collapsed="false">
      <c r="A774" s="6" t="s">
        <v>1676</v>
      </c>
      <c r="B774" s="6" t="s">
        <v>41</v>
      </c>
      <c r="C774" s="6" t="n">
        <v>1</v>
      </c>
      <c r="D774" s="6" t="n">
        <v>8</v>
      </c>
      <c r="E774" s="6" t="n">
        <v>1</v>
      </c>
      <c r="F774" s="6" t="s">
        <v>653</v>
      </c>
      <c r="G774" s="28" t="n">
        <f aca="false">IFERROR(INDEX('Semrush Data'!$A$1:$Z$20000,MATCH(A774,'Semrush Data'!$A$1:$A$20000,0),MATCH("Volume",'Semrush Data'!$A$1:$Z$1,0)),"")</f>
        <v>0</v>
      </c>
      <c r="H774" s="6" t="n">
        <f aca="false">IFERROR(INDEX('Semrush Data'!$A$1:$Z$20000,MATCH(A774,'Semrush Data'!$A$1:$A$20000,0),MATCH("Keyword Difficulty*",'Semrush Data'!$A$1:$Z$1,0)),"")</f>
        <v>20</v>
      </c>
      <c r="I774" s="29" t="n">
        <f aca="false">IFERROR(INDEX('Semrush Data'!$A$1:$Z$20000,MATCH(A774,'Semrush Data'!$A$1:$A$20000,0),MATCH("CPC*",'Semrush Data'!$A$1:$Z$1,0)),"")</f>
        <v>0</v>
      </c>
      <c r="J774" s="6" t="str">
        <f aca="false">IFERROR(INDEX('Semrush Data'!$A$1:$Z$20000,MATCH(A774,'Semrush Data'!$A$1:$A$20000,0),MATCH("Intent",'Semrush Data'!$A$1:$Z$1,0)),"")</f>
        <v>Navigational</v>
      </c>
    </row>
    <row r="775" customFormat="false" ht="15" hidden="false" customHeight="true" outlineLevel="0" collapsed="false">
      <c r="A775" s="6" t="s">
        <v>1736</v>
      </c>
      <c r="B775" s="6" t="s">
        <v>41</v>
      </c>
      <c r="C775" s="6" t="n">
        <v>1</v>
      </c>
      <c r="D775" s="6" t="n">
        <v>8</v>
      </c>
      <c r="E775" s="6" t="n">
        <v>1</v>
      </c>
      <c r="F775" s="6" t="s">
        <v>717</v>
      </c>
      <c r="G775" s="28" t="n">
        <f aca="false">IFERROR(INDEX('Semrush Data'!$A$1:$Z$20000,MATCH(A775,'Semrush Data'!$A$1:$A$20000,0),MATCH("Volume",'Semrush Data'!$A$1:$Z$1,0)),"")</f>
        <v>0</v>
      </c>
      <c r="H775" s="6" t="n">
        <f aca="false">IFERROR(INDEX('Semrush Data'!$A$1:$Z$20000,MATCH(A775,'Semrush Data'!$A$1:$A$20000,0),MATCH("Keyword Difficulty*",'Semrush Data'!$A$1:$Z$1,0)),"")</f>
        <v>30</v>
      </c>
      <c r="I775" s="29" t="n">
        <f aca="false">IFERROR(INDEX('Semrush Data'!$A$1:$Z$20000,MATCH(A775,'Semrush Data'!$A$1:$A$20000,0),MATCH("CPC*",'Semrush Data'!$A$1:$Z$1,0)),"")</f>
        <v>0</v>
      </c>
      <c r="J775" s="6" t="str">
        <f aca="false">IFERROR(INDEX('Semrush Data'!$A$1:$Z$20000,MATCH(A775,'Semrush Data'!$A$1:$A$20000,0),MATCH("Intent",'Semrush Data'!$A$1:$Z$1,0)),"")</f>
        <v>Informational</v>
      </c>
    </row>
    <row r="776" customFormat="false" ht="15" hidden="false" customHeight="true" outlineLevel="0" collapsed="false">
      <c r="A776" s="6" t="s">
        <v>1545</v>
      </c>
      <c r="B776" s="6" t="s">
        <v>41</v>
      </c>
      <c r="C776" s="6" t="n">
        <v>1</v>
      </c>
      <c r="D776" s="6" t="n">
        <v>8</v>
      </c>
      <c r="E776" s="6" t="n">
        <v>1</v>
      </c>
      <c r="F776" s="6" t="s">
        <v>503</v>
      </c>
      <c r="G776" s="28" t="n">
        <f aca="false">IFERROR(INDEX('Semrush Data'!$A$1:$Z$20000,MATCH(A776,'Semrush Data'!$A$1:$A$20000,0),MATCH("Volume",'Semrush Data'!$A$1:$Z$1,0)),"")</f>
        <v>10</v>
      </c>
      <c r="H776" s="6" t="n">
        <f aca="false">IFERROR(INDEX('Semrush Data'!$A$1:$Z$20000,MATCH(A776,'Semrush Data'!$A$1:$A$20000,0),MATCH("Keyword Difficulty*",'Semrush Data'!$A$1:$Z$1,0)),"")</f>
        <v>7</v>
      </c>
      <c r="I776" s="29" t="n">
        <f aca="false">IFERROR(INDEX('Semrush Data'!$A$1:$Z$20000,MATCH(A776,'Semrush Data'!$A$1:$A$20000,0),MATCH("CPC*",'Semrush Data'!$A$1:$Z$1,0)),"")</f>
        <v>0</v>
      </c>
      <c r="J776" s="6" t="str">
        <f aca="false">IFERROR(INDEX('Semrush Data'!$A$1:$Z$20000,MATCH(A776,'Semrush Data'!$A$1:$A$20000,0),MATCH("Intent",'Semrush Data'!$A$1:$Z$1,0)),"")</f>
        <v>Informational Transactional</v>
      </c>
    </row>
    <row r="777" customFormat="false" ht="15" hidden="false" customHeight="true" outlineLevel="0" collapsed="false">
      <c r="A777" s="6" t="s">
        <v>1683</v>
      </c>
      <c r="B777" s="6" t="s">
        <v>41</v>
      </c>
      <c r="C777" s="6" t="n">
        <v>1</v>
      </c>
      <c r="D777" s="6" t="n">
        <v>8</v>
      </c>
      <c r="E777" s="6" t="n">
        <v>2</v>
      </c>
      <c r="F777" s="6" t="s">
        <v>6865</v>
      </c>
      <c r="G777" s="28" t="n">
        <f aca="false">IFERROR(INDEX('Semrush Data'!$A$1:$Z$20000,MATCH(A777,'Semrush Data'!$A$1:$A$20000,0),MATCH("Volume",'Semrush Data'!$A$1:$Z$1,0)),"")</f>
        <v>0</v>
      </c>
      <c r="H777" s="6" t="n">
        <f aca="false">IFERROR(INDEX('Semrush Data'!$A$1:$Z$20000,MATCH(A777,'Semrush Data'!$A$1:$A$20000,0),MATCH("Keyword Difficulty*",'Semrush Data'!$A$1:$Z$1,0)),"")</f>
        <v>22</v>
      </c>
      <c r="I777" s="29" t="n">
        <f aca="false">IFERROR(INDEX('Semrush Data'!$A$1:$Z$20000,MATCH(A777,'Semrush Data'!$A$1:$A$20000,0),MATCH("CPC*",'Semrush Data'!$A$1:$Z$1,0)),"")</f>
        <v>0</v>
      </c>
      <c r="J777" s="6" t="str">
        <f aca="false">IFERROR(INDEX('Semrush Data'!$A$1:$Z$20000,MATCH(A777,'Semrush Data'!$A$1:$A$20000,0),MATCH("Intent",'Semrush Data'!$A$1:$Z$1,0)),"")</f>
        <v>Informational Transactional</v>
      </c>
    </row>
    <row r="778" customFormat="false" ht="15" hidden="false" customHeight="true" outlineLevel="0" collapsed="false">
      <c r="A778" s="6" t="s">
        <v>1749</v>
      </c>
      <c r="B778" s="6" t="s">
        <v>41</v>
      </c>
      <c r="C778" s="6" t="n">
        <v>1</v>
      </c>
      <c r="D778" s="6" t="n">
        <v>8</v>
      </c>
      <c r="E778" s="6" t="n">
        <v>1</v>
      </c>
      <c r="F778" s="6" t="s">
        <v>729</v>
      </c>
      <c r="G778" s="28" t="n">
        <f aca="false">IFERROR(INDEX('Semrush Data'!$A$1:$Z$20000,MATCH(A778,'Semrush Data'!$A$1:$A$20000,0),MATCH("Volume",'Semrush Data'!$A$1:$Z$1,0)),"")</f>
        <v>0</v>
      </c>
      <c r="H778" s="6" t="n">
        <f aca="false">IFERROR(INDEX('Semrush Data'!$A$1:$Z$20000,MATCH(A778,'Semrush Data'!$A$1:$A$20000,0),MATCH("Keyword Difficulty*",'Semrush Data'!$A$1:$Z$1,0)),"")</f>
        <v>14</v>
      </c>
      <c r="I778" s="29" t="n">
        <f aca="false">IFERROR(INDEX('Semrush Data'!$A$1:$Z$20000,MATCH(A778,'Semrush Data'!$A$1:$A$20000,0),MATCH("CPC*",'Semrush Data'!$A$1:$Z$1,0)),"")</f>
        <v>0</v>
      </c>
      <c r="J778" s="6" t="str">
        <f aca="false">IFERROR(INDEX('Semrush Data'!$A$1:$Z$20000,MATCH(A778,'Semrush Data'!$A$1:$A$20000,0),MATCH("Intent",'Semrush Data'!$A$1:$Z$1,0)),"")</f>
        <v>Informational Transactional</v>
      </c>
    </row>
    <row r="779" customFormat="false" ht="15" hidden="false" customHeight="true" outlineLevel="0" collapsed="false">
      <c r="A779" s="6" t="s">
        <v>1552</v>
      </c>
      <c r="B779" s="6" t="s">
        <v>41</v>
      </c>
      <c r="C779" s="6" t="n">
        <v>1</v>
      </c>
      <c r="D779" s="6" t="n">
        <v>8</v>
      </c>
      <c r="E779" s="6" t="n">
        <v>1</v>
      </c>
      <c r="F779" s="6" t="s">
        <v>512</v>
      </c>
      <c r="G779" s="28" t="n">
        <f aca="false">IFERROR(INDEX('Semrush Data'!$A$1:$Z$20000,MATCH(A779,'Semrush Data'!$A$1:$A$20000,0),MATCH("Volume",'Semrush Data'!$A$1:$Z$1,0)),"")</f>
        <v>0</v>
      </c>
      <c r="H779" s="6" t="n">
        <f aca="false">IFERROR(INDEX('Semrush Data'!$A$1:$Z$20000,MATCH(A779,'Semrush Data'!$A$1:$A$20000,0),MATCH("Keyword Difficulty*",'Semrush Data'!$A$1:$Z$1,0)),"")</f>
        <v>20</v>
      </c>
      <c r="I779" s="29" t="n">
        <f aca="false">IFERROR(INDEX('Semrush Data'!$A$1:$Z$20000,MATCH(A779,'Semrush Data'!$A$1:$A$20000,0),MATCH("CPC*",'Semrush Data'!$A$1:$Z$1,0)),"")</f>
        <v>0</v>
      </c>
      <c r="J779" s="6" t="str">
        <f aca="false">IFERROR(INDEX('Semrush Data'!$A$1:$Z$20000,MATCH(A779,'Semrush Data'!$A$1:$A$20000,0),MATCH("Intent",'Semrush Data'!$A$1:$Z$1,0)),"")</f>
        <v>Informational</v>
      </c>
    </row>
    <row r="780" customFormat="false" ht="15" hidden="false" customHeight="true" outlineLevel="0" collapsed="false">
      <c r="A780" s="6" t="s">
        <v>1692</v>
      </c>
      <c r="B780" s="6" t="s">
        <v>41</v>
      </c>
      <c r="C780" s="6" t="n">
        <v>1</v>
      </c>
      <c r="D780" s="6" t="n">
        <v>8</v>
      </c>
      <c r="E780" s="6" t="n">
        <v>1</v>
      </c>
      <c r="F780" s="6" t="s">
        <v>671</v>
      </c>
      <c r="G780" s="28" t="n">
        <f aca="false">IFERROR(INDEX('Semrush Data'!$A$1:$Z$20000,MATCH(A780,'Semrush Data'!$A$1:$A$20000,0),MATCH("Volume",'Semrush Data'!$A$1:$Z$1,0)),"")</f>
        <v>0</v>
      </c>
      <c r="H780" s="6" t="n">
        <f aca="false">IFERROR(INDEX('Semrush Data'!$A$1:$Z$20000,MATCH(A780,'Semrush Data'!$A$1:$A$20000,0),MATCH("Keyword Difficulty*",'Semrush Data'!$A$1:$Z$1,0)),"")</f>
        <v>22</v>
      </c>
      <c r="I780" s="29" t="n">
        <f aca="false">IFERROR(INDEX('Semrush Data'!$A$1:$Z$20000,MATCH(A780,'Semrush Data'!$A$1:$A$20000,0),MATCH("CPC*",'Semrush Data'!$A$1:$Z$1,0)),"")</f>
        <v>0</v>
      </c>
      <c r="J780" s="6" t="str">
        <f aca="false">IFERROR(INDEX('Semrush Data'!$A$1:$Z$20000,MATCH(A780,'Semrush Data'!$A$1:$A$20000,0),MATCH("Intent",'Semrush Data'!$A$1:$Z$1,0)),"")</f>
        <v>Informational Transactional</v>
      </c>
    </row>
    <row r="781" customFormat="false" ht="15" hidden="false" customHeight="true" outlineLevel="0" collapsed="false">
      <c r="A781" s="6" t="s">
        <v>1559</v>
      </c>
      <c r="B781" s="6" t="s">
        <v>41</v>
      </c>
      <c r="C781" s="6" t="n">
        <v>1</v>
      </c>
      <c r="D781" s="6" t="n">
        <v>8</v>
      </c>
      <c r="E781" s="6" t="n">
        <v>1</v>
      </c>
      <c r="F781" s="6" t="s">
        <v>519</v>
      </c>
      <c r="G781" s="28" t="n">
        <f aca="false">IFERROR(INDEX('Semrush Data'!$A$1:$Z$20000,MATCH(A781,'Semrush Data'!$A$1:$A$20000,0),MATCH("Volume",'Semrush Data'!$A$1:$Z$1,0)),"")</f>
        <v>20</v>
      </c>
      <c r="H781" s="6" t="n">
        <f aca="false">IFERROR(INDEX('Semrush Data'!$A$1:$Z$20000,MATCH(A781,'Semrush Data'!$A$1:$A$20000,0),MATCH("Keyword Difficulty*",'Semrush Data'!$A$1:$Z$1,0)),"")</f>
        <v>10</v>
      </c>
      <c r="I781" s="29" t="n">
        <f aca="false">IFERROR(INDEX('Semrush Data'!$A$1:$Z$20000,MATCH(A781,'Semrush Data'!$A$1:$A$20000,0),MATCH("CPC*",'Semrush Data'!$A$1:$Z$1,0)),"")</f>
        <v>0</v>
      </c>
      <c r="J781" s="6" t="str">
        <f aca="false">IFERROR(INDEX('Semrush Data'!$A$1:$Z$20000,MATCH(A781,'Semrush Data'!$A$1:$A$20000,0),MATCH("Intent",'Semrush Data'!$A$1:$Z$1,0)),"")</f>
        <v>Informational Transactional</v>
      </c>
    </row>
    <row r="782" customFormat="false" ht="15" hidden="false" customHeight="true" outlineLevel="0" collapsed="false">
      <c r="A782" s="6" t="s">
        <v>1477</v>
      </c>
      <c r="B782" s="6" t="s">
        <v>41</v>
      </c>
      <c r="C782" s="6" t="n">
        <v>1</v>
      </c>
      <c r="D782" s="6" t="n">
        <v>8</v>
      </c>
      <c r="E782" s="6" t="n">
        <v>1</v>
      </c>
      <c r="F782" s="6" t="s">
        <v>423</v>
      </c>
      <c r="G782" s="28" t="n">
        <f aca="false">IFERROR(INDEX('Semrush Data'!$A$1:$Z$20000,MATCH(A782,'Semrush Data'!$A$1:$A$20000,0),MATCH("Volume",'Semrush Data'!$A$1:$Z$1,0)),"")</f>
        <v>20</v>
      </c>
      <c r="H782" s="6" t="n">
        <f aca="false">IFERROR(INDEX('Semrush Data'!$A$1:$Z$20000,MATCH(A782,'Semrush Data'!$A$1:$A$20000,0),MATCH("Keyword Difficulty*",'Semrush Data'!$A$1:$Z$1,0)),"")</f>
        <v>17</v>
      </c>
      <c r="I782" s="29" t="n">
        <f aca="false">IFERROR(INDEX('Semrush Data'!$A$1:$Z$20000,MATCH(A782,'Semrush Data'!$A$1:$A$20000,0),MATCH("CPC*",'Semrush Data'!$A$1:$Z$1,0)),"")</f>
        <v>0.34</v>
      </c>
      <c r="J782" s="6" t="str">
        <f aca="false">IFERROR(INDEX('Semrush Data'!$A$1:$Z$20000,MATCH(A782,'Semrush Data'!$A$1:$A$20000,0),MATCH("Intent",'Semrush Data'!$A$1:$Z$1,0)),"")</f>
        <v>Informational</v>
      </c>
    </row>
    <row r="783" customFormat="false" ht="15" hidden="false" customHeight="true" outlineLevel="0" collapsed="false">
      <c r="A783" s="6" t="s">
        <v>1698</v>
      </c>
      <c r="B783" s="6" t="s">
        <v>41</v>
      </c>
      <c r="C783" s="6" t="n">
        <v>1</v>
      </c>
      <c r="D783" s="6" t="n">
        <v>8</v>
      </c>
      <c r="E783" s="6" t="n">
        <v>1</v>
      </c>
      <c r="F783" s="6" t="s">
        <v>677</v>
      </c>
      <c r="G783" s="28" t="n">
        <f aca="false">IFERROR(INDEX('Semrush Data'!$A$1:$Z$20000,MATCH(A783,'Semrush Data'!$A$1:$A$20000,0),MATCH("Volume",'Semrush Data'!$A$1:$Z$1,0)),"")</f>
        <v>0</v>
      </c>
      <c r="H783" s="6" t="n">
        <f aca="false">IFERROR(INDEX('Semrush Data'!$A$1:$Z$20000,MATCH(A783,'Semrush Data'!$A$1:$A$20000,0),MATCH("Keyword Difficulty*",'Semrush Data'!$A$1:$Z$1,0)),"")</f>
        <v>27</v>
      </c>
      <c r="I783" s="29" t="n">
        <f aca="false">IFERROR(INDEX('Semrush Data'!$A$1:$Z$20000,MATCH(A783,'Semrush Data'!$A$1:$A$20000,0),MATCH("CPC*",'Semrush Data'!$A$1:$Z$1,0)),"")</f>
        <v>0</v>
      </c>
      <c r="J783" s="6" t="str">
        <f aca="false">IFERROR(INDEX('Semrush Data'!$A$1:$Z$20000,MATCH(A783,'Semrush Data'!$A$1:$A$20000,0),MATCH("Intent",'Semrush Data'!$A$1:$Z$1,0)),"")</f>
        <v>Informational</v>
      </c>
    </row>
    <row r="784" customFormat="false" ht="15" hidden="false" customHeight="true" outlineLevel="0" collapsed="false">
      <c r="A784" s="6" t="s">
        <v>1705</v>
      </c>
      <c r="B784" s="6" t="s">
        <v>41</v>
      </c>
      <c r="C784" s="6" t="n">
        <v>1</v>
      </c>
      <c r="D784" s="6" t="n">
        <v>8</v>
      </c>
      <c r="E784" s="6" t="n">
        <v>1</v>
      </c>
      <c r="F784" s="6" t="s">
        <v>683</v>
      </c>
      <c r="G784" s="28" t="n">
        <f aca="false">IFERROR(INDEX('Semrush Data'!$A$1:$Z$20000,MATCH(A784,'Semrush Data'!$A$1:$A$20000,0),MATCH("Volume",'Semrush Data'!$A$1:$Z$1,0)),"")</f>
        <v>0</v>
      </c>
      <c r="H784" s="6" t="n">
        <f aca="false">IFERROR(INDEX('Semrush Data'!$A$1:$Z$20000,MATCH(A784,'Semrush Data'!$A$1:$A$20000,0),MATCH("Keyword Difficulty*",'Semrush Data'!$A$1:$Z$1,0)),"")</f>
        <v>10</v>
      </c>
      <c r="I784" s="29" t="n">
        <f aca="false">IFERROR(INDEX('Semrush Data'!$A$1:$Z$20000,MATCH(A784,'Semrush Data'!$A$1:$A$20000,0),MATCH("CPC*",'Semrush Data'!$A$1:$Z$1,0)),"")</f>
        <v>0</v>
      </c>
      <c r="J784" s="6" t="str">
        <f aca="false">IFERROR(INDEX('Semrush Data'!$A$1:$Z$20000,MATCH(A784,'Semrush Data'!$A$1:$A$20000,0),MATCH("Intent",'Semrush Data'!$A$1:$Z$1,0)),"")</f>
        <v>Informational</v>
      </c>
    </row>
    <row r="785" customFormat="false" ht="15" hidden="false" customHeight="true" outlineLevel="0" collapsed="false">
      <c r="A785" s="6" t="s">
        <v>1791</v>
      </c>
      <c r="B785" s="6" t="s">
        <v>41</v>
      </c>
      <c r="C785" s="6" t="n">
        <v>1</v>
      </c>
      <c r="D785" s="6" t="n">
        <v>8</v>
      </c>
      <c r="E785" s="6" t="n">
        <v>1</v>
      </c>
      <c r="F785" s="6" t="s">
        <v>768</v>
      </c>
      <c r="G785" s="28" t="n">
        <f aca="false">IFERROR(INDEX('Semrush Data'!$A$1:$Z$20000,MATCH(A785,'Semrush Data'!$A$1:$A$20000,0),MATCH("Volume",'Semrush Data'!$A$1:$Z$1,0)),"")</f>
        <v>0</v>
      </c>
      <c r="H785" s="6" t="n">
        <f aca="false">IFERROR(INDEX('Semrush Data'!$A$1:$Z$20000,MATCH(A785,'Semrush Data'!$A$1:$A$20000,0),MATCH("Keyword Difficulty*",'Semrush Data'!$A$1:$Z$1,0)),"")</f>
        <v>12</v>
      </c>
      <c r="I785" s="29" t="n">
        <f aca="false">IFERROR(INDEX('Semrush Data'!$A$1:$Z$20000,MATCH(A785,'Semrush Data'!$A$1:$A$20000,0),MATCH("CPC*",'Semrush Data'!$A$1:$Z$1,0)),"")</f>
        <v>0</v>
      </c>
      <c r="J785" s="6" t="str">
        <f aca="false">IFERROR(INDEX('Semrush Data'!$A$1:$Z$20000,MATCH(A785,'Semrush Data'!$A$1:$A$20000,0),MATCH("Intent",'Semrush Data'!$A$1:$Z$1,0)),"")</f>
        <v>Informational Transactional</v>
      </c>
    </row>
    <row r="786" customFormat="false" ht="15" hidden="false" customHeight="true" outlineLevel="0" collapsed="false">
      <c r="A786" s="6" t="s">
        <v>1755</v>
      </c>
      <c r="B786" s="6" t="s">
        <v>41</v>
      </c>
      <c r="C786" s="6" t="n">
        <v>1</v>
      </c>
      <c r="D786" s="6" t="n">
        <v>8</v>
      </c>
      <c r="E786" s="6" t="n">
        <v>1</v>
      </c>
      <c r="F786" s="6" t="s">
        <v>734</v>
      </c>
      <c r="G786" s="28" t="n">
        <f aca="false">IFERROR(INDEX('Semrush Data'!$A$1:$Z$20000,MATCH(A786,'Semrush Data'!$A$1:$A$20000,0),MATCH("Volume",'Semrush Data'!$A$1:$Z$1,0)),"")</f>
        <v>0</v>
      </c>
      <c r="H786" s="6" t="n">
        <f aca="false">IFERROR(INDEX('Semrush Data'!$A$1:$Z$20000,MATCH(A786,'Semrush Data'!$A$1:$A$20000,0),MATCH("Keyword Difficulty*",'Semrush Data'!$A$1:$Z$1,0)),"")</f>
        <v>12</v>
      </c>
      <c r="I786" s="29" t="n">
        <f aca="false">IFERROR(INDEX('Semrush Data'!$A$1:$Z$20000,MATCH(A786,'Semrush Data'!$A$1:$A$20000,0),MATCH("CPC*",'Semrush Data'!$A$1:$Z$1,0)),"")</f>
        <v>0</v>
      </c>
      <c r="J786" s="6" t="str">
        <f aca="false">IFERROR(INDEX('Semrush Data'!$A$1:$Z$20000,MATCH(A786,'Semrush Data'!$A$1:$A$20000,0),MATCH("Intent",'Semrush Data'!$A$1:$Z$1,0)),"")</f>
        <v>Informational</v>
      </c>
    </row>
    <row r="787" customFormat="false" ht="15" hidden="false" customHeight="true" outlineLevel="0" collapsed="false">
      <c r="A787" s="6" t="s">
        <v>1827</v>
      </c>
      <c r="B787" s="6" t="s">
        <v>41</v>
      </c>
      <c r="C787" s="6" t="n">
        <v>1</v>
      </c>
      <c r="D787" s="6" t="n">
        <v>8</v>
      </c>
      <c r="E787" s="6" t="n">
        <v>1</v>
      </c>
      <c r="F787" s="6" t="s">
        <v>802</v>
      </c>
      <c r="G787" s="28" t="n">
        <f aca="false">IFERROR(INDEX('Semrush Data'!$A$1:$Z$20000,MATCH(A787,'Semrush Data'!$A$1:$A$20000,0),MATCH("Volume",'Semrush Data'!$A$1:$Z$1,0)),"")</f>
        <v>0</v>
      </c>
      <c r="H787" s="6" t="n">
        <f aca="false">IFERROR(INDEX('Semrush Data'!$A$1:$Z$20000,MATCH(A787,'Semrush Data'!$A$1:$A$20000,0),MATCH("Keyword Difficulty*",'Semrush Data'!$A$1:$Z$1,0)),"")</f>
        <v>12</v>
      </c>
      <c r="I787" s="29" t="n">
        <f aca="false">IFERROR(INDEX('Semrush Data'!$A$1:$Z$20000,MATCH(A787,'Semrush Data'!$A$1:$A$20000,0),MATCH("CPC*",'Semrush Data'!$A$1:$Z$1,0)),"")</f>
        <v>0</v>
      </c>
      <c r="J787" s="6" t="str">
        <f aca="false">IFERROR(INDEX('Semrush Data'!$A$1:$Z$20000,MATCH(A787,'Semrush Data'!$A$1:$A$20000,0),MATCH("Intent",'Semrush Data'!$A$1:$Z$1,0)),"")</f>
        <v>Informational Transactional</v>
      </c>
    </row>
    <row r="788" customFormat="false" ht="15" hidden="false" customHeight="true" outlineLevel="0" collapsed="false">
      <c r="A788" s="6" t="s">
        <v>1505</v>
      </c>
      <c r="B788" s="6" t="s">
        <v>41</v>
      </c>
      <c r="C788" s="6" t="n">
        <v>1</v>
      </c>
      <c r="D788" s="6" t="n">
        <v>8</v>
      </c>
      <c r="E788" s="6" t="n">
        <v>1</v>
      </c>
      <c r="F788" s="6" t="s">
        <v>454</v>
      </c>
      <c r="G788" s="28" t="n">
        <f aca="false">IFERROR(INDEX('Semrush Data'!$A$1:$Z$20000,MATCH(A788,'Semrush Data'!$A$1:$A$20000,0),MATCH("Volume",'Semrush Data'!$A$1:$Z$1,0)),"")</f>
        <v>0</v>
      </c>
      <c r="H788" s="6" t="n">
        <f aca="false">IFERROR(INDEX('Semrush Data'!$A$1:$Z$20000,MATCH(A788,'Semrush Data'!$A$1:$A$20000,0),MATCH("Keyword Difficulty*",'Semrush Data'!$A$1:$Z$1,0)),"")</f>
        <v>22</v>
      </c>
      <c r="I788" s="29" t="n">
        <f aca="false">IFERROR(INDEX('Semrush Data'!$A$1:$Z$20000,MATCH(A788,'Semrush Data'!$A$1:$A$20000,0),MATCH("CPC*",'Semrush Data'!$A$1:$Z$1,0)),"")</f>
        <v>0</v>
      </c>
      <c r="J788" s="6" t="str">
        <f aca="false">IFERROR(INDEX('Semrush Data'!$A$1:$Z$20000,MATCH(A788,'Semrush Data'!$A$1:$A$20000,0),MATCH("Intent",'Semrush Data'!$A$1:$Z$1,0)),"")</f>
        <v>Informational Transactional</v>
      </c>
    </row>
    <row r="789" customFormat="false" ht="15" hidden="false" customHeight="true" outlineLevel="0" collapsed="false">
      <c r="A789" s="6" t="s">
        <v>1435</v>
      </c>
      <c r="B789" s="6" t="s">
        <v>41</v>
      </c>
      <c r="C789" s="6" t="n">
        <v>1</v>
      </c>
      <c r="D789" s="6" t="n">
        <v>8</v>
      </c>
      <c r="E789" s="6" t="n">
        <v>1</v>
      </c>
      <c r="F789" s="6" t="s">
        <v>372</v>
      </c>
      <c r="G789" s="28" t="n">
        <f aca="false">IFERROR(INDEX('Semrush Data'!$A$1:$Z$20000,MATCH(A789,'Semrush Data'!$A$1:$A$20000,0),MATCH("Volume",'Semrush Data'!$A$1:$Z$1,0)),"")</f>
        <v>0</v>
      </c>
      <c r="H789" s="6" t="n">
        <f aca="false">IFERROR(INDEX('Semrush Data'!$A$1:$Z$20000,MATCH(A789,'Semrush Data'!$A$1:$A$20000,0),MATCH("Keyword Difficulty*",'Semrush Data'!$A$1:$Z$1,0)),"")</f>
        <v>16</v>
      </c>
      <c r="I789" s="29" t="n">
        <f aca="false">IFERROR(INDEX('Semrush Data'!$A$1:$Z$20000,MATCH(A789,'Semrush Data'!$A$1:$A$20000,0),MATCH("CPC*",'Semrush Data'!$A$1:$Z$1,0)),"")</f>
        <v>0</v>
      </c>
      <c r="J789" s="6" t="str">
        <f aca="false">IFERROR(INDEX('Semrush Data'!$A$1:$Z$20000,MATCH(A789,'Semrush Data'!$A$1:$A$20000,0),MATCH("Intent",'Semrush Data'!$A$1:$Z$1,0)),"")</f>
        <v>Informational</v>
      </c>
    </row>
    <row r="790" customFormat="false" ht="15" hidden="false" customHeight="true" outlineLevel="0" collapsed="false">
      <c r="A790" s="6" t="s">
        <v>1761</v>
      </c>
      <c r="B790" s="6" t="s">
        <v>41</v>
      </c>
      <c r="C790" s="6" t="n">
        <v>1</v>
      </c>
      <c r="D790" s="6" t="n">
        <v>8</v>
      </c>
      <c r="E790" s="6" t="n">
        <v>1</v>
      </c>
      <c r="F790" s="6" t="s">
        <v>740</v>
      </c>
      <c r="G790" s="28" t="n">
        <f aca="false">IFERROR(INDEX('Semrush Data'!$A$1:$Z$20000,MATCH(A790,'Semrush Data'!$A$1:$A$20000,0),MATCH("Volume",'Semrush Data'!$A$1:$Z$1,0)),"")</f>
        <v>0</v>
      </c>
      <c r="H790" s="6" t="n">
        <f aca="false">IFERROR(INDEX('Semrush Data'!$A$1:$Z$20000,MATCH(A790,'Semrush Data'!$A$1:$A$20000,0),MATCH("Keyword Difficulty*",'Semrush Data'!$A$1:$Z$1,0)),"")</f>
        <v>12</v>
      </c>
      <c r="I790" s="29" t="n">
        <f aca="false">IFERROR(INDEX('Semrush Data'!$A$1:$Z$20000,MATCH(A790,'Semrush Data'!$A$1:$A$20000,0),MATCH("CPC*",'Semrush Data'!$A$1:$Z$1,0)),"")</f>
        <v>0</v>
      </c>
      <c r="J790" s="6" t="str">
        <f aca="false">IFERROR(INDEX('Semrush Data'!$A$1:$Z$20000,MATCH(A790,'Semrush Data'!$A$1:$A$20000,0),MATCH("Intent",'Semrush Data'!$A$1:$Z$1,0)),"")</f>
        <v>Navigational</v>
      </c>
    </row>
    <row r="791" customFormat="false" ht="15" hidden="false" customHeight="true" outlineLevel="0" collapsed="false">
      <c r="A791" s="6" t="s">
        <v>1881</v>
      </c>
      <c r="B791" s="6" t="s">
        <v>41</v>
      </c>
      <c r="C791" s="6" t="n">
        <v>1</v>
      </c>
      <c r="D791" s="6" t="n">
        <v>8</v>
      </c>
      <c r="E791" s="6" t="n">
        <v>1</v>
      </c>
      <c r="F791" s="6" t="s">
        <v>851</v>
      </c>
      <c r="G791" s="28" t="n">
        <f aca="false">IFERROR(INDEX('Semrush Data'!$A$1:$Z$20000,MATCH(A791,'Semrush Data'!$A$1:$A$20000,0),MATCH("Volume",'Semrush Data'!$A$1:$Z$1,0)),"")</f>
        <v>0</v>
      </c>
      <c r="H791" s="6" t="n">
        <f aca="false">IFERROR(INDEX('Semrush Data'!$A$1:$Z$20000,MATCH(A791,'Semrush Data'!$A$1:$A$20000,0),MATCH("Keyword Difficulty*",'Semrush Data'!$A$1:$Z$1,0)),"")</f>
        <v>15</v>
      </c>
      <c r="I791" s="29" t="n">
        <f aca="false">IFERROR(INDEX('Semrush Data'!$A$1:$Z$20000,MATCH(A791,'Semrush Data'!$A$1:$A$20000,0),MATCH("CPC*",'Semrush Data'!$A$1:$Z$1,0)),"")</f>
        <v>0</v>
      </c>
      <c r="J791" s="6" t="str">
        <f aca="false">IFERROR(INDEX('Semrush Data'!$A$1:$Z$20000,MATCH(A791,'Semrush Data'!$A$1:$A$20000,0),MATCH("Intent",'Semrush Data'!$A$1:$Z$1,0)),"")</f>
        <v>Informational</v>
      </c>
    </row>
    <row r="792" customFormat="false" ht="15" hidden="false" customHeight="true" outlineLevel="0" collapsed="false">
      <c r="A792" s="6" t="s">
        <v>1785</v>
      </c>
      <c r="B792" s="6" t="s">
        <v>41</v>
      </c>
      <c r="C792" s="6" t="n">
        <v>1</v>
      </c>
      <c r="D792" s="6" t="n">
        <v>8</v>
      </c>
      <c r="E792" s="6" t="n">
        <v>1</v>
      </c>
      <c r="F792" s="6" t="s">
        <v>763</v>
      </c>
      <c r="G792" s="28" t="n">
        <f aca="false">IFERROR(INDEX('Semrush Data'!$A$1:$Z$20000,MATCH(A792,'Semrush Data'!$A$1:$A$20000,0),MATCH("Volume",'Semrush Data'!$A$1:$Z$1,0)),"")</f>
        <v>0</v>
      </c>
      <c r="H792" s="6" t="n">
        <f aca="false">IFERROR(INDEX('Semrush Data'!$A$1:$Z$20000,MATCH(A792,'Semrush Data'!$A$1:$A$20000,0),MATCH("Keyword Difficulty*",'Semrush Data'!$A$1:$Z$1,0)),"")</f>
        <v>30</v>
      </c>
      <c r="I792" s="29" t="n">
        <f aca="false">IFERROR(INDEX('Semrush Data'!$A$1:$Z$20000,MATCH(A792,'Semrush Data'!$A$1:$A$20000,0),MATCH("CPC*",'Semrush Data'!$A$1:$Z$1,0)),"")</f>
        <v>0</v>
      </c>
      <c r="J792" s="6" t="str">
        <f aca="false">IFERROR(INDEX('Semrush Data'!$A$1:$Z$20000,MATCH(A792,'Semrush Data'!$A$1:$A$20000,0),MATCH("Intent",'Semrush Data'!$A$1:$Z$1,0)),"")</f>
        <v>Transactional Navigational</v>
      </c>
    </row>
    <row r="793" customFormat="false" ht="15" hidden="false" customHeight="true" outlineLevel="0" collapsed="false">
      <c r="A793" s="6" t="s">
        <v>1469</v>
      </c>
      <c r="B793" s="6" t="s">
        <v>41</v>
      </c>
      <c r="C793" s="6" t="n">
        <v>1</v>
      </c>
      <c r="D793" s="6" t="n">
        <v>8</v>
      </c>
      <c r="E793" s="6" t="n">
        <v>1</v>
      </c>
      <c r="F793" s="6" t="s">
        <v>413</v>
      </c>
      <c r="G793" s="28" t="n">
        <f aca="false">IFERROR(INDEX('Semrush Data'!$A$1:$Z$20000,MATCH(A793,'Semrush Data'!$A$1:$A$20000,0),MATCH("Volume",'Semrush Data'!$A$1:$Z$1,0)),"")</f>
        <v>0</v>
      </c>
      <c r="H793" s="6" t="n">
        <f aca="false">IFERROR(INDEX('Semrush Data'!$A$1:$Z$20000,MATCH(A793,'Semrush Data'!$A$1:$A$20000,0),MATCH("Keyword Difficulty*",'Semrush Data'!$A$1:$Z$1,0)),"")</f>
        <v>25</v>
      </c>
      <c r="I793" s="29" t="n">
        <f aca="false">IFERROR(INDEX('Semrush Data'!$A$1:$Z$20000,MATCH(A793,'Semrush Data'!$A$1:$A$20000,0),MATCH("CPC*",'Semrush Data'!$A$1:$Z$1,0)),"")</f>
        <v>0</v>
      </c>
      <c r="J793" s="6" t="str">
        <f aca="false">IFERROR(INDEX('Semrush Data'!$A$1:$Z$20000,MATCH(A793,'Semrush Data'!$A$1:$A$20000,0),MATCH("Intent",'Semrush Data'!$A$1:$Z$1,0)),"")</f>
        <v>Informational Transactional</v>
      </c>
    </row>
    <row r="794" customFormat="false" ht="15" hidden="false" customHeight="true" outlineLevel="0" collapsed="false">
      <c r="A794" s="6" t="s">
        <v>1899</v>
      </c>
      <c r="B794" s="6" t="s">
        <v>41</v>
      </c>
      <c r="C794" s="6" t="n">
        <v>1</v>
      </c>
      <c r="D794" s="6" t="n">
        <v>8</v>
      </c>
      <c r="E794" s="6" t="n">
        <v>1</v>
      </c>
      <c r="F794" s="6" t="s">
        <v>868</v>
      </c>
      <c r="G794" s="28" t="n">
        <f aca="false">IFERROR(INDEX('Semrush Data'!$A$1:$Z$20000,MATCH(A794,'Semrush Data'!$A$1:$A$20000,0),MATCH("Volume",'Semrush Data'!$A$1:$Z$1,0)),"")</f>
        <v>0</v>
      </c>
      <c r="H794" s="6" t="n">
        <f aca="false">IFERROR(INDEX('Semrush Data'!$A$1:$Z$20000,MATCH(A794,'Semrush Data'!$A$1:$A$20000,0),MATCH("Keyword Difficulty*",'Semrush Data'!$A$1:$Z$1,0)),"")</f>
        <v>12</v>
      </c>
      <c r="I794" s="29" t="n">
        <f aca="false">IFERROR(INDEX('Semrush Data'!$A$1:$Z$20000,MATCH(A794,'Semrush Data'!$A$1:$A$20000,0),MATCH("CPC*",'Semrush Data'!$A$1:$Z$1,0)),"")</f>
        <v>0</v>
      </c>
      <c r="J794" s="6" t="str">
        <f aca="false">IFERROR(INDEX('Semrush Data'!$A$1:$Z$20000,MATCH(A794,'Semrush Data'!$A$1:$A$20000,0),MATCH("Intent",'Semrush Data'!$A$1:$Z$1,0)),"")</f>
        <v>Informational Transactional</v>
      </c>
    </row>
    <row r="795" customFormat="false" ht="15" hidden="false" customHeight="true" outlineLevel="0" collapsed="false">
      <c r="A795" s="6" t="s">
        <v>1821</v>
      </c>
      <c r="B795" s="6" t="s">
        <v>41</v>
      </c>
      <c r="C795" s="6" t="n">
        <v>1</v>
      </c>
      <c r="D795" s="6" t="n">
        <v>8</v>
      </c>
      <c r="E795" s="6" t="n">
        <v>1</v>
      </c>
      <c r="F795" s="6" t="s">
        <v>796</v>
      </c>
      <c r="G795" s="28" t="n">
        <f aca="false">IFERROR(INDEX('Semrush Data'!$A$1:$Z$20000,MATCH(A795,'Semrush Data'!$A$1:$A$20000,0),MATCH("Volume",'Semrush Data'!$A$1:$Z$1,0)),"")</f>
        <v>0</v>
      </c>
      <c r="H795" s="6" t="n">
        <f aca="false">IFERROR(INDEX('Semrush Data'!$A$1:$Z$20000,MATCH(A795,'Semrush Data'!$A$1:$A$20000,0),MATCH("Keyword Difficulty*",'Semrush Data'!$A$1:$Z$1,0)),"")</f>
        <v>14</v>
      </c>
      <c r="I795" s="29" t="n">
        <f aca="false">IFERROR(INDEX('Semrush Data'!$A$1:$Z$20000,MATCH(A795,'Semrush Data'!$A$1:$A$20000,0),MATCH("CPC*",'Semrush Data'!$A$1:$Z$1,0)),"")</f>
        <v>0</v>
      </c>
      <c r="J795" s="6" t="str">
        <f aca="false">IFERROR(INDEX('Semrush Data'!$A$1:$Z$20000,MATCH(A795,'Semrush Data'!$A$1:$A$20000,0),MATCH("Intent",'Semrush Data'!$A$1:$Z$1,0)),"")</f>
        <v>Informational Transactional</v>
      </c>
    </row>
    <row r="796" customFormat="false" ht="15" hidden="false" customHeight="true" outlineLevel="0" collapsed="false">
      <c r="A796" s="6" t="s">
        <v>1869</v>
      </c>
      <c r="B796" s="6" t="s">
        <v>41</v>
      </c>
      <c r="C796" s="6" t="n">
        <v>1</v>
      </c>
      <c r="D796" s="6" t="n">
        <v>8</v>
      </c>
      <c r="E796" s="6" t="n">
        <v>1</v>
      </c>
      <c r="F796" s="6" t="s">
        <v>841</v>
      </c>
      <c r="G796" s="28" t="n">
        <f aca="false">IFERROR(INDEX('Semrush Data'!$A$1:$Z$20000,MATCH(A796,'Semrush Data'!$A$1:$A$20000,0),MATCH("Volume",'Semrush Data'!$A$1:$Z$1,0)),"")</f>
        <v>0</v>
      </c>
      <c r="H796" s="6" t="n">
        <f aca="false">IFERROR(INDEX('Semrush Data'!$A$1:$Z$20000,MATCH(A796,'Semrush Data'!$A$1:$A$20000,0),MATCH("Keyword Difficulty*",'Semrush Data'!$A$1:$Z$1,0)),"")</f>
        <v>11</v>
      </c>
      <c r="I796" s="29" t="n">
        <f aca="false">IFERROR(INDEX('Semrush Data'!$A$1:$Z$20000,MATCH(A796,'Semrush Data'!$A$1:$A$20000,0),MATCH("CPC*",'Semrush Data'!$A$1:$Z$1,0)),"")</f>
        <v>0</v>
      </c>
      <c r="J796" s="6" t="str">
        <f aca="false">IFERROR(INDEX('Semrush Data'!$A$1:$Z$20000,MATCH(A796,'Semrush Data'!$A$1:$A$20000,0),MATCH("Intent",'Semrush Data'!$A$1:$Z$1,0)),"")</f>
        <v>Transactional Navigational</v>
      </c>
    </row>
    <row r="797" customFormat="false" ht="15" hidden="false" customHeight="true" outlineLevel="0" collapsed="false">
      <c r="A797" s="6" t="s">
        <v>1779</v>
      </c>
      <c r="B797" s="6" t="s">
        <v>41</v>
      </c>
      <c r="C797" s="6" t="n">
        <v>1</v>
      </c>
      <c r="D797" s="6" t="n">
        <v>8</v>
      </c>
      <c r="E797" s="6" t="n">
        <v>1</v>
      </c>
      <c r="F797" s="6" t="s">
        <v>758</v>
      </c>
      <c r="G797" s="28" t="n">
        <f aca="false">IFERROR(INDEX('Semrush Data'!$A$1:$Z$20000,MATCH(A797,'Semrush Data'!$A$1:$A$20000,0),MATCH("Volume",'Semrush Data'!$A$1:$Z$1,0)),"")</f>
        <v>0</v>
      </c>
      <c r="H797" s="6" t="n">
        <f aca="false">IFERROR(INDEX('Semrush Data'!$A$1:$Z$20000,MATCH(A797,'Semrush Data'!$A$1:$A$20000,0),MATCH("Keyword Difficulty*",'Semrush Data'!$A$1:$Z$1,0)),"")</f>
        <v>12</v>
      </c>
      <c r="I797" s="29" t="n">
        <f aca="false">IFERROR(INDEX('Semrush Data'!$A$1:$Z$20000,MATCH(A797,'Semrush Data'!$A$1:$A$20000,0),MATCH("CPC*",'Semrush Data'!$A$1:$Z$1,0)),"")</f>
        <v>0</v>
      </c>
      <c r="J797" s="6" t="str">
        <f aca="false">IFERROR(INDEX('Semrush Data'!$A$1:$Z$20000,MATCH(A797,'Semrush Data'!$A$1:$A$20000,0),MATCH("Intent",'Semrush Data'!$A$1:$Z$1,0)),"")</f>
        <v>Informational</v>
      </c>
    </row>
    <row r="798" customFormat="false" ht="15" hidden="false" customHeight="true" outlineLevel="0" collapsed="false">
      <c r="A798" s="6" t="s">
        <v>1815</v>
      </c>
      <c r="B798" s="6" t="s">
        <v>41</v>
      </c>
      <c r="C798" s="6" t="n">
        <v>1</v>
      </c>
      <c r="D798" s="6" t="n">
        <v>8</v>
      </c>
      <c r="E798" s="6" t="n">
        <v>1</v>
      </c>
      <c r="F798" s="6" t="s">
        <v>790</v>
      </c>
      <c r="G798" s="28" t="n">
        <f aca="false">IFERROR(INDEX('Semrush Data'!$A$1:$Z$20000,MATCH(A798,'Semrush Data'!$A$1:$A$20000,0),MATCH("Volume",'Semrush Data'!$A$1:$Z$1,0)),"")</f>
        <v>0</v>
      </c>
      <c r="H798" s="6" t="n">
        <f aca="false">IFERROR(INDEX('Semrush Data'!$A$1:$Z$20000,MATCH(A798,'Semrush Data'!$A$1:$A$20000,0),MATCH("Keyword Difficulty*",'Semrush Data'!$A$1:$Z$1,0)),"")</f>
        <v>12</v>
      </c>
      <c r="I798" s="29" t="n">
        <f aca="false">IFERROR(INDEX('Semrush Data'!$A$1:$Z$20000,MATCH(A798,'Semrush Data'!$A$1:$A$20000,0),MATCH("CPC*",'Semrush Data'!$A$1:$Z$1,0)),"")</f>
        <v>0</v>
      </c>
      <c r="J798" s="6" t="str">
        <f aca="false">IFERROR(INDEX('Semrush Data'!$A$1:$Z$20000,MATCH(A798,'Semrush Data'!$A$1:$A$20000,0),MATCH("Intent",'Semrush Data'!$A$1:$Z$1,0)),"")</f>
        <v>Informational</v>
      </c>
    </row>
    <row r="799" customFormat="false" ht="15" hidden="false" customHeight="true" outlineLevel="0" collapsed="false">
      <c r="A799" s="6" t="s">
        <v>1863</v>
      </c>
      <c r="B799" s="6" t="s">
        <v>41</v>
      </c>
      <c r="C799" s="6" t="n">
        <v>1</v>
      </c>
      <c r="D799" s="6" t="n">
        <v>8</v>
      </c>
      <c r="E799" s="6" t="n">
        <v>1</v>
      </c>
      <c r="F799" s="6" t="s">
        <v>835</v>
      </c>
      <c r="G799" s="28" t="n">
        <f aca="false">IFERROR(INDEX('Semrush Data'!$A$1:$Z$20000,MATCH(A799,'Semrush Data'!$A$1:$A$20000,0),MATCH("Volume",'Semrush Data'!$A$1:$Z$1,0)),"")</f>
        <v>0</v>
      </c>
      <c r="H799" s="6" t="n">
        <f aca="false">IFERROR(INDEX('Semrush Data'!$A$1:$Z$20000,MATCH(A799,'Semrush Data'!$A$1:$A$20000,0),MATCH("Keyword Difficulty*",'Semrush Data'!$A$1:$Z$1,0)),"")</f>
        <v>17</v>
      </c>
      <c r="I799" s="29" t="n">
        <f aca="false">IFERROR(INDEX('Semrush Data'!$A$1:$Z$20000,MATCH(A799,'Semrush Data'!$A$1:$A$20000,0),MATCH("CPC*",'Semrush Data'!$A$1:$Z$1,0)),"")</f>
        <v>0</v>
      </c>
      <c r="J799" s="6" t="str">
        <f aca="false">IFERROR(INDEX('Semrush Data'!$A$1:$Z$20000,MATCH(A799,'Semrush Data'!$A$1:$A$20000,0),MATCH("Intent",'Semrush Data'!$A$1:$Z$1,0)),"")</f>
        <v>Informational</v>
      </c>
    </row>
    <row r="800" customFormat="false" ht="15" hidden="false" customHeight="true" outlineLevel="0" collapsed="false">
      <c r="A800" s="6" t="s">
        <v>1484</v>
      </c>
      <c r="B800" s="6" t="s">
        <v>41</v>
      </c>
      <c r="C800" s="6" t="n">
        <v>1</v>
      </c>
      <c r="D800" s="6" t="n">
        <v>8</v>
      </c>
      <c r="E800" s="6" t="n">
        <v>1</v>
      </c>
      <c r="F800" s="6" t="s">
        <v>432</v>
      </c>
      <c r="G800" s="28" t="n">
        <f aca="false">IFERROR(INDEX('Semrush Data'!$A$1:$Z$20000,MATCH(A800,'Semrush Data'!$A$1:$A$20000,0),MATCH("Volume",'Semrush Data'!$A$1:$Z$1,0)),"")</f>
        <v>0</v>
      </c>
      <c r="H800" s="6" t="n">
        <f aca="false">IFERROR(INDEX('Semrush Data'!$A$1:$Z$20000,MATCH(A800,'Semrush Data'!$A$1:$A$20000,0),MATCH("Keyword Difficulty*",'Semrush Data'!$A$1:$Z$1,0)),"")</f>
        <v>20</v>
      </c>
      <c r="I800" s="29" t="n">
        <f aca="false">IFERROR(INDEX('Semrush Data'!$A$1:$Z$20000,MATCH(A800,'Semrush Data'!$A$1:$A$20000,0),MATCH("CPC*",'Semrush Data'!$A$1:$Z$1,0)),"")</f>
        <v>0</v>
      </c>
      <c r="J800" s="6" t="str">
        <f aca="false">IFERROR(INDEX('Semrush Data'!$A$1:$Z$20000,MATCH(A800,'Semrush Data'!$A$1:$A$20000,0),MATCH("Intent",'Semrush Data'!$A$1:$Z$1,0)),"")</f>
        <v>Informational</v>
      </c>
    </row>
    <row r="801" customFormat="false" ht="15" hidden="false" customHeight="true" outlineLevel="0" collapsed="false">
      <c r="A801" s="6" t="s">
        <v>1710</v>
      </c>
      <c r="B801" s="6" t="s">
        <v>41</v>
      </c>
      <c r="C801" s="6" t="n">
        <v>1</v>
      </c>
      <c r="D801" s="6" t="n">
        <v>8</v>
      </c>
      <c r="E801" s="6" t="n">
        <v>1</v>
      </c>
      <c r="F801" s="6" t="s">
        <v>689</v>
      </c>
      <c r="G801" s="28" t="n">
        <f aca="false">IFERROR(INDEX('Semrush Data'!$A$1:$Z$20000,MATCH(A801,'Semrush Data'!$A$1:$A$20000,0),MATCH("Volume",'Semrush Data'!$A$1:$Z$1,0)),"")</f>
        <v>0</v>
      </c>
      <c r="H801" s="6" t="n">
        <f aca="false">IFERROR(INDEX('Semrush Data'!$A$1:$Z$20000,MATCH(A801,'Semrush Data'!$A$1:$A$20000,0),MATCH("Keyword Difficulty*",'Semrush Data'!$A$1:$Z$1,0)),"")</f>
        <v>32</v>
      </c>
      <c r="I801" s="29" t="n">
        <f aca="false">IFERROR(INDEX('Semrush Data'!$A$1:$Z$20000,MATCH(A801,'Semrush Data'!$A$1:$A$20000,0),MATCH("CPC*",'Semrush Data'!$A$1:$Z$1,0)),"")</f>
        <v>0</v>
      </c>
      <c r="J801" s="6" t="str">
        <f aca="false">IFERROR(INDEX('Semrush Data'!$A$1:$Z$20000,MATCH(A801,'Semrush Data'!$A$1:$A$20000,0),MATCH("Intent",'Semrush Data'!$A$1:$Z$1,0)),"")</f>
        <v>Transactional</v>
      </c>
    </row>
    <row r="802" customFormat="false" ht="15" hidden="false" customHeight="true" outlineLevel="0" collapsed="false">
      <c r="A802" s="6" t="s">
        <v>1567</v>
      </c>
      <c r="B802" s="6" t="s">
        <v>41</v>
      </c>
      <c r="C802" s="6" t="n">
        <v>1</v>
      </c>
      <c r="D802" s="6" t="n">
        <v>9</v>
      </c>
      <c r="E802" s="6" t="n">
        <v>1</v>
      </c>
      <c r="F802" s="6" t="s">
        <v>528</v>
      </c>
      <c r="G802" s="28" t="n">
        <f aca="false">IFERROR(INDEX('Semrush Data'!$A$1:$Z$20000,MATCH(A802,'Semrush Data'!$A$1:$A$20000,0),MATCH("Volume",'Semrush Data'!$A$1:$Z$1,0)),"")</f>
        <v>0</v>
      </c>
      <c r="H802" s="6" t="n">
        <f aca="false">IFERROR(INDEX('Semrush Data'!$A$1:$Z$20000,MATCH(A802,'Semrush Data'!$A$1:$A$20000,0),MATCH("Keyword Difficulty*",'Semrush Data'!$A$1:$Z$1,0)),"")</f>
        <v>20</v>
      </c>
      <c r="I802" s="29" t="n">
        <f aca="false">IFERROR(INDEX('Semrush Data'!$A$1:$Z$20000,MATCH(A802,'Semrush Data'!$A$1:$A$20000,0),MATCH("CPC*",'Semrush Data'!$A$1:$Z$1,0)),"")</f>
        <v>0</v>
      </c>
      <c r="J802" s="6" t="str">
        <f aca="false">IFERROR(INDEX('Semrush Data'!$A$1:$Z$20000,MATCH(A802,'Semrush Data'!$A$1:$A$20000,0),MATCH("Intent",'Semrush Data'!$A$1:$Z$1,0)),"")</f>
        <v>Navigational</v>
      </c>
    </row>
    <row r="803" customFormat="false" ht="15" hidden="false" customHeight="true" outlineLevel="0" collapsed="false">
      <c r="A803" s="6" t="s">
        <v>1857</v>
      </c>
      <c r="B803" s="6" t="s">
        <v>41</v>
      </c>
      <c r="C803" s="6" t="n">
        <v>1</v>
      </c>
      <c r="D803" s="6" t="n">
        <v>9</v>
      </c>
      <c r="E803" s="6" t="n">
        <v>1</v>
      </c>
      <c r="F803" s="6" t="s">
        <v>829</v>
      </c>
      <c r="G803" s="28" t="n">
        <f aca="false">IFERROR(INDEX('Semrush Data'!$A$1:$Z$20000,MATCH(A803,'Semrush Data'!$A$1:$A$20000,0),MATCH("Volume",'Semrush Data'!$A$1:$Z$1,0)),"")</f>
        <v>0</v>
      </c>
      <c r="H803" s="6" t="n">
        <f aca="false">IFERROR(INDEX('Semrush Data'!$A$1:$Z$20000,MATCH(A803,'Semrush Data'!$A$1:$A$20000,0),MATCH("Keyword Difficulty*",'Semrush Data'!$A$1:$Z$1,0)),"")</f>
        <v>12</v>
      </c>
      <c r="I803" s="29" t="n">
        <f aca="false">IFERROR(INDEX('Semrush Data'!$A$1:$Z$20000,MATCH(A803,'Semrush Data'!$A$1:$A$20000,0),MATCH("CPC*",'Semrush Data'!$A$1:$Z$1,0)),"")</f>
        <v>0</v>
      </c>
      <c r="J803" s="6" t="str">
        <f aca="false">IFERROR(INDEX('Semrush Data'!$A$1:$Z$20000,MATCH(A803,'Semrush Data'!$A$1:$A$20000,0),MATCH("Intent",'Semrush Data'!$A$1:$Z$1,0)),"")</f>
        <v>Navigational</v>
      </c>
    </row>
    <row r="804" customFormat="false" ht="15" hidden="false" customHeight="true" outlineLevel="0" collapsed="false">
      <c r="A804" s="6" t="s">
        <v>6479</v>
      </c>
      <c r="B804" s="6" t="s">
        <v>41</v>
      </c>
      <c r="C804" s="6" t="n">
        <v>1</v>
      </c>
      <c r="D804" s="6" t="n">
        <v>9</v>
      </c>
      <c r="E804" s="6" t="n">
        <v>1</v>
      </c>
      <c r="F804" s="6" t="s">
        <v>6476</v>
      </c>
      <c r="G804" s="28" t="n">
        <f aca="false">IFERROR(INDEX('Semrush Data'!$A$1:$Z$20000,MATCH(A804,'Semrush Data'!$A$1:$A$20000,0),MATCH("Volume",'Semrush Data'!$A$1:$Z$1,0)),"")</f>
        <v>0</v>
      </c>
      <c r="H804" s="6" t="n">
        <f aca="false">IFERROR(INDEX('Semrush Data'!$A$1:$Z$20000,MATCH(A804,'Semrush Data'!$A$1:$A$20000,0),MATCH("Keyword Difficulty*",'Semrush Data'!$A$1:$Z$1,0)),"")</f>
        <v>24</v>
      </c>
      <c r="I804" s="29" t="n">
        <f aca="false">IFERROR(INDEX('Semrush Data'!$A$1:$Z$20000,MATCH(A804,'Semrush Data'!$A$1:$A$20000,0),MATCH("CPC*",'Semrush Data'!$A$1:$Z$1,0)),"")</f>
        <v>0</v>
      </c>
      <c r="J804" s="6" t="str">
        <f aca="false">IFERROR(INDEX('Semrush Data'!$A$1:$Z$20000,MATCH(A804,'Semrush Data'!$A$1:$A$20000,0),MATCH("Intent",'Semrush Data'!$A$1:$Z$1,0)),"")</f>
        <v>Informational</v>
      </c>
    </row>
    <row r="805" customFormat="false" ht="15" hidden="false" customHeight="true" outlineLevel="0" collapsed="false">
      <c r="A805" s="6" t="s">
        <v>2457</v>
      </c>
      <c r="B805" s="6" t="s">
        <v>6866</v>
      </c>
      <c r="C805" s="6" t="n">
        <v>2</v>
      </c>
      <c r="D805" s="6" t="n">
        <v>9</v>
      </c>
      <c r="E805" s="6" t="n">
        <v>1</v>
      </c>
      <c r="F805" s="6" t="s">
        <v>2448</v>
      </c>
      <c r="G805" s="28" t="n">
        <f aca="false">IFERROR(INDEX('Semrush Data'!$A$1:$Z$20000,MATCH(A805,'Semrush Data'!$A$1:$A$20000,0),MATCH("Volume",'Semrush Data'!$A$1:$Z$1,0)),"")</f>
        <v>0</v>
      </c>
      <c r="H805" s="6" t="n">
        <f aca="false">IFERROR(INDEX('Semrush Data'!$A$1:$Z$20000,MATCH(A805,'Semrush Data'!$A$1:$A$20000,0),MATCH("Keyword Difficulty*",'Semrush Data'!$A$1:$Z$1,0)),"")</f>
        <v>22</v>
      </c>
      <c r="I805" s="29" t="n">
        <f aca="false">IFERROR(INDEX('Semrush Data'!$A$1:$Z$20000,MATCH(A805,'Semrush Data'!$A$1:$A$20000,0),MATCH("CPC*",'Semrush Data'!$A$1:$Z$1,0)),"")</f>
        <v>0</v>
      </c>
      <c r="J805" s="6" t="str">
        <f aca="false">IFERROR(INDEX('Semrush Data'!$A$1:$Z$20000,MATCH(A805,'Semrush Data'!$A$1:$A$20000,0),MATCH("Intent",'Semrush Data'!$A$1:$Z$1,0)),"")</f>
        <v>Informational</v>
      </c>
    </row>
    <row r="806" customFormat="false" ht="15" hidden="false" customHeight="true" outlineLevel="0" collapsed="false">
      <c r="A806" s="6" t="s">
        <v>2469</v>
      </c>
      <c r="B806" s="6" t="s">
        <v>6866</v>
      </c>
      <c r="C806" s="6" t="n">
        <v>2</v>
      </c>
      <c r="D806" s="6" t="n">
        <v>9</v>
      </c>
      <c r="E806" s="6" t="n">
        <v>1</v>
      </c>
      <c r="F806" s="6" t="s">
        <v>2466</v>
      </c>
      <c r="G806" s="28" t="n">
        <f aca="false">IFERROR(INDEX('Semrush Data'!$A$1:$Z$20000,MATCH(A806,'Semrush Data'!$A$1:$A$20000,0),MATCH("Volume",'Semrush Data'!$A$1:$Z$1,0)),"")</f>
        <v>0</v>
      </c>
      <c r="H806" s="6" t="n">
        <f aca="false">IFERROR(INDEX('Semrush Data'!$A$1:$Z$20000,MATCH(A806,'Semrush Data'!$A$1:$A$20000,0),MATCH("Keyword Difficulty*",'Semrush Data'!$A$1:$Z$1,0)),"")</f>
        <v>19</v>
      </c>
      <c r="I806" s="29" t="n">
        <f aca="false">IFERROR(INDEX('Semrush Data'!$A$1:$Z$20000,MATCH(A806,'Semrush Data'!$A$1:$A$20000,0),MATCH("CPC*",'Semrush Data'!$A$1:$Z$1,0)),"")</f>
        <v>0</v>
      </c>
      <c r="J806" s="6" t="str">
        <f aca="false">IFERROR(INDEX('Semrush Data'!$A$1:$Z$20000,MATCH(A806,'Semrush Data'!$A$1:$A$20000,0),MATCH("Intent",'Semrush Data'!$A$1:$Z$1,0)),"")</f>
        <v>Informational</v>
      </c>
    </row>
    <row r="807" customFormat="false" ht="15" hidden="false" customHeight="true" outlineLevel="0" collapsed="false">
      <c r="A807" s="6" t="s">
        <v>2554</v>
      </c>
      <c r="B807" s="6" t="s">
        <v>6866</v>
      </c>
      <c r="C807" s="6" t="n">
        <v>2</v>
      </c>
      <c r="D807" s="6" t="n">
        <v>9</v>
      </c>
      <c r="E807" s="6" t="n">
        <v>1</v>
      </c>
      <c r="F807" s="6" t="s">
        <v>2549</v>
      </c>
      <c r="G807" s="28" t="n">
        <f aca="false">IFERROR(INDEX('Semrush Data'!$A$1:$Z$20000,MATCH(A807,'Semrush Data'!$A$1:$A$20000,0),MATCH("Volume",'Semrush Data'!$A$1:$Z$1,0)),"")</f>
        <v>0</v>
      </c>
      <c r="H807" s="6" t="n">
        <f aca="false">IFERROR(INDEX('Semrush Data'!$A$1:$Z$20000,MATCH(A807,'Semrush Data'!$A$1:$A$20000,0),MATCH("Keyword Difficulty*",'Semrush Data'!$A$1:$Z$1,0)),"")</f>
        <v>16</v>
      </c>
      <c r="I807" s="29" t="n">
        <f aca="false">IFERROR(INDEX('Semrush Data'!$A$1:$Z$20000,MATCH(A807,'Semrush Data'!$A$1:$A$20000,0),MATCH("CPC*",'Semrush Data'!$A$1:$Z$1,0)),"")</f>
        <v>0</v>
      </c>
      <c r="J807" s="6" t="str">
        <f aca="false">IFERROR(INDEX('Semrush Data'!$A$1:$Z$20000,MATCH(A807,'Semrush Data'!$A$1:$A$20000,0),MATCH("Intent",'Semrush Data'!$A$1:$Z$1,0)),"")</f>
        <v>Informational Transactional</v>
      </c>
    </row>
    <row r="808" customFormat="false" ht="15" hidden="false" customHeight="true" outlineLevel="0" collapsed="false">
      <c r="A808" s="6" t="s">
        <v>2496</v>
      </c>
      <c r="B808" s="6" t="s">
        <v>6866</v>
      </c>
      <c r="C808" s="6" t="n">
        <v>2</v>
      </c>
      <c r="D808" s="6" t="n">
        <v>9</v>
      </c>
      <c r="E808" s="6" t="n">
        <v>1</v>
      </c>
      <c r="F808" s="6" t="s">
        <v>2492</v>
      </c>
      <c r="G808" s="28" t="n">
        <f aca="false">IFERROR(INDEX('Semrush Data'!$A$1:$Z$20000,MATCH(A808,'Semrush Data'!$A$1:$A$20000,0),MATCH("Volume",'Semrush Data'!$A$1:$Z$1,0)),"")</f>
        <v>0</v>
      </c>
      <c r="H808" s="6" t="n">
        <f aca="false">IFERROR(INDEX('Semrush Data'!$A$1:$Z$20000,MATCH(A808,'Semrush Data'!$A$1:$A$20000,0),MATCH("Keyword Difficulty*",'Semrush Data'!$A$1:$Z$1,0)),"")</f>
        <v>16</v>
      </c>
      <c r="I808" s="29" t="n">
        <f aca="false">IFERROR(INDEX('Semrush Data'!$A$1:$Z$20000,MATCH(A808,'Semrush Data'!$A$1:$A$20000,0),MATCH("CPC*",'Semrush Data'!$A$1:$Z$1,0)),"")</f>
        <v>0</v>
      </c>
      <c r="J808" s="6" t="str">
        <f aca="false">IFERROR(INDEX('Semrush Data'!$A$1:$Z$20000,MATCH(A808,'Semrush Data'!$A$1:$A$20000,0),MATCH("Intent",'Semrush Data'!$A$1:$Z$1,0)),"")</f>
        <v>Informational</v>
      </c>
    </row>
    <row r="809" customFormat="false" ht="15" hidden="false" customHeight="true" outlineLevel="0" collapsed="false">
      <c r="A809" s="6" t="s">
        <v>2483</v>
      </c>
      <c r="B809" s="6" t="s">
        <v>6866</v>
      </c>
      <c r="C809" s="6" t="n">
        <v>2</v>
      </c>
      <c r="D809" s="6" t="n">
        <v>9</v>
      </c>
      <c r="E809" s="6" t="n">
        <v>1</v>
      </c>
      <c r="F809" s="6" t="s">
        <v>2477</v>
      </c>
      <c r="G809" s="28" t="n">
        <f aca="false">IFERROR(INDEX('Semrush Data'!$A$1:$Z$20000,MATCH(A809,'Semrush Data'!$A$1:$A$20000,0),MATCH("Volume",'Semrush Data'!$A$1:$Z$1,0)),"")</f>
        <v>10</v>
      </c>
      <c r="H809" s="6" t="n">
        <f aca="false">IFERROR(INDEX('Semrush Data'!$A$1:$Z$20000,MATCH(A809,'Semrush Data'!$A$1:$A$20000,0),MATCH("Keyword Difficulty*",'Semrush Data'!$A$1:$Z$1,0)),"")</f>
        <v>8</v>
      </c>
      <c r="I809" s="29" t="n">
        <f aca="false">IFERROR(INDEX('Semrush Data'!$A$1:$Z$20000,MATCH(A809,'Semrush Data'!$A$1:$A$20000,0),MATCH("CPC*",'Semrush Data'!$A$1:$Z$1,0)),"")</f>
        <v>0</v>
      </c>
      <c r="J809" s="6" t="str">
        <f aca="false">IFERROR(INDEX('Semrush Data'!$A$1:$Z$20000,MATCH(A809,'Semrush Data'!$A$1:$A$20000,0),MATCH("Intent",'Semrush Data'!$A$1:$Z$1,0)),"")</f>
        <v>Informational</v>
      </c>
    </row>
    <row r="810" customFormat="false" ht="15" hidden="false" customHeight="true" outlineLevel="0" collapsed="false">
      <c r="A810" s="6" t="s">
        <v>2564</v>
      </c>
      <c r="B810" s="6" t="s">
        <v>6866</v>
      </c>
      <c r="C810" s="6" t="n">
        <v>2</v>
      </c>
      <c r="D810" s="6" t="n">
        <v>9</v>
      </c>
      <c r="E810" s="6" t="n">
        <v>1</v>
      </c>
      <c r="F810" s="6" t="s">
        <v>2560</v>
      </c>
      <c r="G810" s="28" t="n">
        <f aca="false">IFERROR(INDEX('Semrush Data'!$A$1:$Z$20000,MATCH(A810,'Semrush Data'!$A$1:$A$20000,0),MATCH("Volume",'Semrush Data'!$A$1:$Z$1,0)),"")</f>
        <v>0</v>
      </c>
      <c r="H810" s="6" t="n">
        <f aca="false">IFERROR(INDEX('Semrush Data'!$A$1:$Z$20000,MATCH(A810,'Semrush Data'!$A$1:$A$20000,0),MATCH("Keyword Difficulty*",'Semrush Data'!$A$1:$Z$1,0)),"")</f>
        <v>16</v>
      </c>
      <c r="I810" s="29" t="n">
        <f aca="false">IFERROR(INDEX('Semrush Data'!$A$1:$Z$20000,MATCH(A810,'Semrush Data'!$A$1:$A$20000,0),MATCH("CPC*",'Semrush Data'!$A$1:$Z$1,0)),"")</f>
        <v>0</v>
      </c>
      <c r="J810" s="6" t="str">
        <f aca="false">IFERROR(INDEX('Semrush Data'!$A$1:$Z$20000,MATCH(A810,'Semrush Data'!$A$1:$A$20000,0),MATCH("Intent",'Semrush Data'!$A$1:$Z$1,0)),"")</f>
        <v>Informational Transactional</v>
      </c>
    </row>
    <row r="811" customFormat="false" ht="15" hidden="false" customHeight="true" outlineLevel="0" collapsed="false">
      <c r="A811" s="6" t="s">
        <v>2507</v>
      </c>
      <c r="B811" s="6" t="s">
        <v>6866</v>
      </c>
      <c r="C811" s="6" t="n">
        <v>2</v>
      </c>
      <c r="D811" s="6" t="n">
        <v>9</v>
      </c>
      <c r="E811" s="6" t="n">
        <v>1</v>
      </c>
      <c r="F811" s="6" t="s">
        <v>2503</v>
      </c>
      <c r="G811" s="28" t="n">
        <f aca="false">IFERROR(INDEX('Semrush Data'!$A$1:$Z$20000,MATCH(A811,'Semrush Data'!$A$1:$A$20000,0),MATCH("Volume",'Semrush Data'!$A$1:$Z$1,0)),"")</f>
        <v>0</v>
      </c>
      <c r="H811" s="6" t="n">
        <f aca="false">IFERROR(INDEX('Semrush Data'!$A$1:$Z$20000,MATCH(A811,'Semrush Data'!$A$1:$A$20000,0),MATCH("Keyword Difficulty*",'Semrush Data'!$A$1:$Z$1,0)),"")</f>
        <v>16</v>
      </c>
      <c r="I811" s="29" t="n">
        <f aca="false">IFERROR(INDEX('Semrush Data'!$A$1:$Z$20000,MATCH(A811,'Semrush Data'!$A$1:$A$20000,0),MATCH("CPC*",'Semrush Data'!$A$1:$Z$1,0)),"")</f>
        <v>0</v>
      </c>
      <c r="J811" s="6" t="str">
        <f aca="false">IFERROR(INDEX('Semrush Data'!$A$1:$Z$20000,MATCH(A811,'Semrush Data'!$A$1:$A$20000,0),MATCH("Intent",'Semrush Data'!$A$1:$Z$1,0)),"")</f>
        <v>Informational</v>
      </c>
    </row>
    <row r="812" customFormat="false" ht="15" hidden="false" customHeight="true" outlineLevel="0" collapsed="false">
      <c r="A812" s="6" t="s">
        <v>2518</v>
      </c>
      <c r="B812" s="6" t="s">
        <v>6866</v>
      </c>
      <c r="C812" s="6" t="n">
        <v>2</v>
      </c>
      <c r="D812" s="6" t="n">
        <v>9</v>
      </c>
      <c r="E812" s="6" t="n">
        <v>1</v>
      </c>
      <c r="F812" s="6" t="s">
        <v>141</v>
      </c>
      <c r="G812" s="28" t="n">
        <f aca="false">IFERROR(INDEX('Semrush Data'!$A$1:$Z$20000,MATCH(A812,'Semrush Data'!$A$1:$A$20000,0),MATCH("Volume",'Semrush Data'!$A$1:$Z$1,0)),"")</f>
        <v>20</v>
      </c>
      <c r="H812" s="6" t="n">
        <f aca="false">IFERROR(INDEX('Semrush Data'!$A$1:$Z$20000,MATCH(A812,'Semrush Data'!$A$1:$A$20000,0),MATCH("Keyword Difficulty*",'Semrush Data'!$A$1:$Z$1,0)),"")</f>
        <v>12</v>
      </c>
      <c r="I812" s="29" t="n">
        <f aca="false">IFERROR(INDEX('Semrush Data'!$A$1:$Z$20000,MATCH(A812,'Semrush Data'!$A$1:$A$20000,0),MATCH("CPC*",'Semrush Data'!$A$1:$Z$1,0)),"")</f>
        <v>0</v>
      </c>
      <c r="J812" s="6" t="str">
        <f aca="false">IFERROR(INDEX('Semrush Data'!$A$1:$Z$20000,MATCH(A812,'Semrush Data'!$A$1:$A$20000,0),MATCH("Intent",'Semrush Data'!$A$1:$Z$1,0)),"")</f>
        <v>Informational</v>
      </c>
    </row>
    <row r="813" customFormat="false" ht="15" hidden="false" customHeight="true" outlineLevel="0" collapsed="false">
      <c r="A813" s="6" t="s">
        <v>2529</v>
      </c>
      <c r="B813" s="6" t="s">
        <v>6866</v>
      </c>
      <c r="C813" s="6" t="n">
        <v>2</v>
      </c>
      <c r="D813" s="6" t="n">
        <v>9</v>
      </c>
      <c r="E813" s="6" t="n">
        <v>1</v>
      </c>
      <c r="F813" s="6" t="s">
        <v>135</v>
      </c>
      <c r="G813" s="28" t="n">
        <f aca="false">IFERROR(INDEX('Semrush Data'!$A$1:$Z$20000,MATCH(A813,'Semrush Data'!$A$1:$A$20000,0),MATCH("Volume",'Semrush Data'!$A$1:$Z$1,0)),"")</f>
        <v>0</v>
      </c>
      <c r="H813" s="6" t="n">
        <f aca="false">IFERROR(INDEX('Semrush Data'!$A$1:$Z$20000,MATCH(A813,'Semrush Data'!$A$1:$A$20000,0),MATCH("Keyword Difficulty*",'Semrush Data'!$A$1:$Z$1,0)),"")</f>
        <v>12</v>
      </c>
      <c r="I813" s="29" t="n">
        <f aca="false">IFERROR(INDEX('Semrush Data'!$A$1:$Z$20000,MATCH(A813,'Semrush Data'!$A$1:$A$20000,0),MATCH("CPC*",'Semrush Data'!$A$1:$Z$1,0)),"")</f>
        <v>0</v>
      </c>
      <c r="J813" s="6" t="str">
        <f aca="false">IFERROR(INDEX('Semrush Data'!$A$1:$Z$20000,MATCH(A813,'Semrush Data'!$A$1:$A$20000,0),MATCH("Intent",'Semrush Data'!$A$1:$Z$1,0)),"")</f>
        <v>Informational</v>
      </c>
    </row>
    <row r="814" customFormat="false" ht="15" hidden="false" customHeight="true" outlineLevel="0" collapsed="false">
      <c r="A814" s="6" t="s">
        <v>2540</v>
      </c>
      <c r="B814" s="6" t="s">
        <v>6866</v>
      </c>
      <c r="C814" s="6" t="n">
        <v>2</v>
      </c>
      <c r="D814" s="6" t="n">
        <v>9</v>
      </c>
      <c r="E814" s="6" t="n">
        <v>1</v>
      </c>
      <c r="F814" s="6" t="s">
        <v>117</v>
      </c>
      <c r="G814" s="28" t="n">
        <f aca="false">IFERROR(INDEX('Semrush Data'!$A$1:$Z$20000,MATCH(A814,'Semrush Data'!$A$1:$A$20000,0),MATCH("Volume",'Semrush Data'!$A$1:$Z$1,0)),"")</f>
        <v>20</v>
      </c>
      <c r="H814" s="6" t="n">
        <f aca="false">IFERROR(INDEX('Semrush Data'!$A$1:$Z$20000,MATCH(A814,'Semrush Data'!$A$1:$A$20000,0),MATCH("Keyword Difficulty*",'Semrush Data'!$A$1:$Z$1,0)),"")</f>
        <v>9</v>
      </c>
      <c r="I814" s="29" t="n">
        <f aca="false">IFERROR(INDEX('Semrush Data'!$A$1:$Z$20000,MATCH(A814,'Semrush Data'!$A$1:$A$20000,0),MATCH("CPC*",'Semrush Data'!$A$1:$Z$1,0)),"")</f>
        <v>0</v>
      </c>
      <c r="J814" s="6" t="str">
        <f aca="false">IFERROR(INDEX('Semrush Data'!$A$1:$Z$20000,MATCH(A814,'Semrush Data'!$A$1:$A$20000,0),MATCH("Intent",'Semrush Data'!$A$1:$Z$1,0)),"")</f>
        <v>Informational</v>
      </c>
    </row>
    <row r="815" customFormat="false" ht="15" hidden="false" customHeight="true" outlineLevel="0" collapsed="false">
      <c r="A815" s="6" t="s">
        <v>5934</v>
      </c>
      <c r="B815" s="6" t="s">
        <v>6866</v>
      </c>
      <c r="C815" s="6" t="n">
        <v>2</v>
      </c>
      <c r="D815" s="6" t="n">
        <v>9</v>
      </c>
      <c r="E815" s="6" t="n">
        <v>1</v>
      </c>
      <c r="F815" s="6" t="s">
        <v>103</v>
      </c>
      <c r="G815" s="28" t="n">
        <f aca="false">IFERROR(INDEX('Semrush Data'!$A$1:$Z$20000,MATCH(A815,'Semrush Data'!$A$1:$A$20000,0),MATCH("Volume",'Semrush Data'!$A$1:$Z$1,0)),"")</f>
        <v>20</v>
      </c>
      <c r="H815" s="6" t="n">
        <f aca="false">IFERROR(INDEX('Semrush Data'!$A$1:$Z$20000,MATCH(A815,'Semrush Data'!$A$1:$A$20000,0),MATCH("Keyword Difficulty*",'Semrush Data'!$A$1:$Z$1,0)),"")</f>
        <v>12</v>
      </c>
      <c r="I815" s="29" t="n">
        <f aca="false">IFERROR(INDEX('Semrush Data'!$A$1:$Z$20000,MATCH(A815,'Semrush Data'!$A$1:$A$20000,0),MATCH("CPC*",'Semrush Data'!$A$1:$Z$1,0)),"")</f>
        <v>0</v>
      </c>
      <c r="J815" s="6" t="str">
        <f aca="false">IFERROR(INDEX('Semrush Data'!$A$1:$Z$20000,MATCH(A815,'Semrush Data'!$A$1:$A$20000,0),MATCH("Intent",'Semrush Data'!$A$1:$Z$1,0)),"")</f>
        <v>Informational</v>
      </c>
    </row>
    <row r="816" customFormat="false" ht="15" hidden="false" customHeight="true" outlineLevel="0" collapsed="false">
      <c r="A816" s="6" t="s">
        <v>2573</v>
      </c>
      <c r="B816" s="6" t="s">
        <v>6866</v>
      </c>
      <c r="C816" s="6" t="n">
        <v>2</v>
      </c>
      <c r="D816" s="6" t="n">
        <v>9</v>
      </c>
      <c r="E816" s="6" t="n">
        <v>1</v>
      </c>
      <c r="F816" s="6" t="s">
        <v>2569</v>
      </c>
      <c r="G816" s="28" t="n">
        <f aca="false">IFERROR(INDEX('Semrush Data'!$A$1:$Z$20000,MATCH(A816,'Semrush Data'!$A$1:$A$20000,0),MATCH("Volume",'Semrush Data'!$A$1:$Z$1,0)),"")</f>
        <v>0</v>
      </c>
      <c r="H816" s="6" t="n">
        <f aca="false">IFERROR(INDEX('Semrush Data'!$A$1:$Z$20000,MATCH(A816,'Semrush Data'!$A$1:$A$20000,0),MATCH("Keyword Difficulty*",'Semrush Data'!$A$1:$Z$1,0)),"")</f>
        <v>9</v>
      </c>
      <c r="I816" s="29" t="n">
        <f aca="false">IFERROR(INDEX('Semrush Data'!$A$1:$Z$20000,MATCH(A816,'Semrush Data'!$A$1:$A$20000,0),MATCH("CPC*",'Semrush Data'!$A$1:$Z$1,0)),"")</f>
        <v>0</v>
      </c>
      <c r="J816" s="6" t="str">
        <f aca="false">IFERROR(INDEX('Semrush Data'!$A$1:$Z$20000,MATCH(A816,'Semrush Data'!$A$1:$A$20000,0),MATCH("Intent",'Semrush Data'!$A$1:$Z$1,0)),"")</f>
        <v>Informational Transactional</v>
      </c>
    </row>
    <row r="817" customFormat="false" ht="15" hidden="false" customHeight="true" outlineLevel="0" collapsed="false">
      <c r="A817" s="6" t="s">
        <v>2586</v>
      </c>
      <c r="B817" s="6" t="s">
        <v>6866</v>
      </c>
      <c r="C817" s="6" t="n">
        <v>2</v>
      </c>
      <c r="D817" s="6" t="n">
        <v>9</v>
      </c>
      <c r="E817" s="6" t="n">
        <v>1</v>
      </c>
      <c r="F817" s="6" t="s">
        <v>2582</v>
      </c>
      <c r="G817" s="28" t="n">
        <f aca="false">IFERROR(INDEX('Semrush Data'!$A$1:$Z$20000,MATCH(A817,'Semrush Data'!$A$1:$A$20000,0),MATCH("Volume",'Semrush Data'!$A$1:$Z$1,0)),"")</f>
        <v>0</v>
      </c>
      <c r="H817" s="6" t="n">
        <f aca="false">IFERROR(INDEX('Semrush Data'!$A$1:$Z$20000,MATCH(A817,'Semrush Data'!$A$1:$A$20000,0),MATCH("Keyword Difficulty*",'Semrush Data'!$A$1:$Z$1,0)),"")</f>
        <v>16</v>
      </c>
      <c r="I817" s="29" t="n">
        <f aca="false">IFERROR(INDEX('Semrush Data'!$A$1:$Z$20000,MATCH(A817,'Semrush Data'!$A$1:$A$20000,0),MATCH("CPC*",'Semrush Data'!$A$1:$Z$1,0)),"")</f>
        <v>0</v>
      </c>
      <c r="J817" s="6" t="str">
        <f aca="false">IFERROR(INDEX('Semrush Data'!$A$1:$Z$20000,MATCH(A817,'Semrush Data'!$A$1:$A$20000,0),MATCH("Intent",'Semrush Data'!$A$1:$Z$1,0)),"")</f>
        <v>Transactional Navigational</v>
      </c>
    </row>
    <row r="818" customFormat="false" ht="15" hidden="false" customHeight="true" outlineLevel="0" collapsed="false">
      <c r="A818" s="6" t="s">
        <v>2599</v>
      </c>
      <c r="B818" s="6" t="s">
        <v>6866</v>
      </c>
      <c r="C818" s="6" t="n">
        <v>2</v>
      </c>
      <c r="D818" s="6" t="n">
        <v>9</v>
      </c>
      <c r="E818" s="6" t="n">
        <v>1</v>
      </c>
      <c r="F818" s="6" t="s">
        <v>2595</v>
      </c>
      <c r="G818" s="28" t="n">
        <f aca="false">IFERROR(INDEX('Semrush Data'!$A$1:$Z$20000,MATCH(A818,'Semrush Data'!$A$1:$A$20000,0),MATCH("Volume",'Semrush Data'!$A$1:$Z$1,0)),"")</f>
        <v>0</v>
      </c>
      <c r="H818" s="6" t="n">
        <f aca="false">IFERROR(INDEX('Semrush Data'!$A$1:$Z$20000,MATCH(A818,'Semrush Data'!$A$1:$A$20000,0),MATCH("Keyword Difficulty*",'Semrush Data'!$A$1:$Z$1,0)),"")</f>
        <v>9</v>
      </c>
      <c r="I818" s="29" t="n">
        <f aca="false">IFERROR(INDEX('Semrush Data'!$A$1:$Z$20000,MATCH(A818,'Semrush Data'!$A$1:$A$20000,0),MATCH("CPC*",'Semrush Data'!$A$1:$Z$1,0)),"")</f>
        <v>0</v>
      </c>
      <c r="J818" s="6" t="str">
        <f aca="false">IFERROR(INDEX('Semrush Data'!$A$1:$Z$20000,MATCH(A818,'Semrush Data'!$A$1:$A$20000,0),MATCH("Intent",'Semrush Data'!$A$1:$Z$1,0)),"")</f>
        <v>Navigational</v>
      </c>
    </row>
    <row r="819" customFormat="false" ht="15" hidden="false" customHeight="true" outlineLevel="0" collapsed="false">
      <c r="A819" s="6" t="s">
        <v>2611</v>
      </c>
      <c r="B819" s="6" t="s">
        <v>6866</v>
      </c>
      <c r="C819" s="6" t="n">
        <v>2</v>
      </c>
      <c r="D819" s="6" t="n">
        <v>9</v>
      </c>
      <c r="E819" s="6" t="n">
        <v>1</v>
      </c>
      <c r="F819" s="6" t="s">
        <v>2607</v>
      </c>
      <c r="G819" s="28" t="n">
        <f aca="false">IFERROR(INDEX('Semrush Data'!$A$1:$Z$20000,MATCH(A819,'Semrush Data'!$A$1:$A$20000,0),MATCH("Volume",'Semrush Data'!$A$1:$Z$1,0)),"")</f>
        <v>0</v>
      </c>
      <c r="H819" s="6" t="n">
        <f aca="false">IFERROR(INDEX('Semrush Data'!$A$1:$Z$20000,MATCH(A819,'Semrush Data'!$A$1:$A$20000,0),MATCH("Keyword Difficulty*",'Semrush Data'!$A$1:$Z$1,0)),"")</f>
        <v>18</v>
      </c>
      <c r="I819" s="29" t="n">
        <f aca="false">IFERROR(INDEX('Semrush Data'!$A$1:$Z$20000,MATCH(A819,'Semrush Data'!$A$1:$A$20000,0),MATCH("CPC*",'Semrush Data'!$A$1:$Z$1,0)),"")</f>
        <v>0</v>
      </c>
      <c r="J819" s="6" t="str">
        <f aca="false">IFERROR(INDEX('Semrush Data'!$A$1:$Z$20000,MATCH(A819,'Semrush Data'!$A$1:$A$20000,0),MATCH("Intent",'Semrush Data'!$A$1:$Z$1,0)),"")</f>
        <v>Informational</v>
      </c>
    </row>
    <row r="820" customFormat="false" ht="15" hidden="false" customHeight="true" outlineLevel="0" collapsed="false">
      <c r="A820" s="6" t="s">
        <v>2738</v>
      </c>
      <c r="B820" s="6" t="s">
        <v>6866</v>
      </c>
      <c r="C820" s="6" t="n">
        <v>2</v>
      </c>
      <c r="D820" s="6" t="n">
        <v>9</v>
      </c>
      <c r="E820" s="6" t="n">
        <v>1</v>
      </c>
      <c r="F820" s="6" t="s">
        <v>2734</v>
      </c>
      <c r="G820" s="28" t="n">
        <f aca="false">IFERROR(INDEX('Semrush Data'!$A$1:$Z$20000,MATCH(A820,'Semrush Data'!$A$1:$A$20000,0),MATCH("Volume",'Semrush Data'!$A$1:$Z$1,0)),"")</f>
        <v>0</v>
      </c>
      <c r="H820" s="6" t="n">
        <f aca="false">IFERROR(INDEX('Semrush Data'!$A$1:$Z$20000,MATCH(A820,'Semrush Data'!$A$1:$A$20000,0),MATCH("Keyword Difficulty*",'Semrush Data'!$A$1:$Z$1,0)),"")</f>
        <v>13</v>
      </c>
      <c r="I820" s="29" t="n">
        <f aca="false">IFERROR(INDEX('Semrush Data'!$A$1:$Z$20000,MATCH(A820,'Semrush Data'!$A$1:$A$20000,0),MATCH("CPC*",'Semrush Data'!$A$1:$Z$1,0)),"")</f>
        <v>0</v>
      </c>
      <c r="J820" s="6" t="str">
        <f aca="false">IFERROR(INDEX('Semrush Data'!$A$1:$Z$20000,MATCH(A820,'Semrush Data'!$A$1:$A$20000,0),MATCH("Intent",'Semrush Data'!$A$1:$Z$1,0)),"")</f>
        <v>Informational Navigational</v>
      </c>
    </row>
    <row r="821" customFormat="false" ht="15" hidden="false" customHeight="true" outlineLevel="0" collapsed="false">
      <c r="A821" s="6" t="s">
        <v>2629</v>
      </c>
      <c r="B821" s="6" t="s">
        <v>6866</v>
      </c>
      <c r="C821" s="6" t="n">
        <v>2</v>
      </c>
      <c r="D821" s="6" t="n">
        <v>9</v>
      </c>
      <c r="E821" s="6" t="n">
        <v>1</v>
      </c>
      <c r="F821" s="6" t="s">
        <v>109</v>
      </c>
      <c r="G821" s="28" t="n">
        <f aca="false">IFERROR(INDEX('Semrush Data'!$A$1:$Z$20000,MATCH(A821,'Semrush Data'!$A$1:$A$20000,0),MATCH("Volume",'Semrush Data'!$A$1:$Z$1,0)),"")</f>
        <v>20</v>
      </c>
      <c r="H821" s="6" t="n">
        <f aca="false">IFERROR(INDEX('Semrush Data'!$A$1:$Z$20000,MATCH(A821,'Semrush Data'!$A$1:$A$20000,0),MATCH("Keyword Difficulty*",'Semrush Data'!$A$1:$Z$1,0)),"")</f>
        <v>9</v>
      </c>
      <c r="I821" s="29" t="n">
        <f aca="false">IFERROR(INDEX('Semrush Data'!$A$1:$Z$20000,MATCH(A821,'Semrush Data'!$A$1:$A$20000,0),MATCH("CPC*",'Semrush Data'!$A$1:$Z$1,0)),"")</f>
        <v>0</v>
      </c>
      <c r="J821" s="6" t="str">
        <f aca="false">IFERROR(INDEX('Semrush Data'!$A$1:$Z$20000,MATCH(A821,'Semrush Data'!$A$1:$A$20000,0),MATCH("Intent",'Semrush Data'!$A$1:$Z$1,0)),"")</f>
        <v>Informational Transactional</v>
      </c>
    </row>
    <row r="822" customFormat="false" ht="15" hidden="false" customHeight="true" outlineLevel="0" collapsed="false">
      <c r="A822" s="6" t="s">
        <v>2640</v>
      </c>
      <c r="B822" s="6" t="s">
        <v>6866</v>
      </c>
      <c r="C822" s="6" t="n">
        <v>2</v>
      </c>
      <c r="D822" s="6" t="n">
        <v>9</v>
      </c>
      <c r="E822" s="6" t="n">
        <v>1</v>
      </c>
      <c r="F822" s="6" t="s">
        <v>2637</v>
      </c>
      <c r="G822" s="28" t="n">
        <f aca="false">IFERROR(INDEX('Semrush Data'!$A$1:$Z$20000,MATCH(A822,'Semrush Data'!$A$1:$A$20000,0),MATCH("Volume",'Semrush Data'!$A$1:$Z$1,0)),"")</f>
        <v>0</v>
      </c>
      <c r="H822" s="6" t="n">
        <f aca="false">IFERROR(INDEX('Semrush Data'!$A$1:$Z$20000,MATCH(A822,'Semrush Data'!$A$1:$A$20000,0),MATCH("Keyword Difficulty*",'Semrush Data'!$A$1:$Z$1,0)),"")</f>
        <v>10</v>
      </c>
      <c r="I822" s="29" t="n">
        <f aca="false">IFERROR(INDEX('Semrush Data'!$A$1:$Z$20000,MATCH(A822,'Semrush Data'!$A$1:$A$20000,0),MATCH("CPC*",'Semrush Data'!$A$1:$Z$1,0)),"")</f>
        <v>0</v>
      </c>
      <c r="J822" s="6" t="str">
        <f aca="false">IFERROR(INDEX('Semrush Data'!$A$1:$Z$20000,MATCH(A822,'Semrush Data'!$A$1:$A$20000,0),MATCH("Intent",'Semrush Data'!$A$1:$Z$1,0)),"")</f>
        <v>Transactional Navigational</v>
      </c>
    </row>
    <row r="823" customFormat="false" ht="15" hidden="false" customHeight="true" outlineLevel="0" collapsed="false">
      <c r="A823" s="6" t="s">
        <v>2650</v>
      </c>
      <c r="B823" s="6" t="s">
        <v>6866</v>
      </c>
      <c r="C823" s="6" t="n">
        <v>2</v>
      </c>
      <c r="D823" s="6" t="n">
        <v>9</v>
      </c>
      <c r="E823" s="6" t="n">
        <v>1</v>
      </c>
      <c r="F823" s="6" t="s">
        <v>119</v>
      </c>
      <c r="G823" s="28" t="n">
        <f aca="false">IFERROR(INDEX('Semrush Data'!$A$1:$Z$20000,MATCH(A823,'Semrush Data'!$A$1:$A$20000,0),MATCH("Volume",'Semrush Data'!$A$1:$Z$1,0)),"")</f>
        <v>20</v>
      </c>
      <c r="H823" s="6" t="n">
        <f aca="false">IFERROR(INDEX('Semrush Data'!$A$1:$Z$20000,MATCH(A823,'Semrush Data'!$A$1:$A$20000,0),MATCH("Keyword Difficulty*",'Semrush Data'!$A$1:$Z$1,0)),"")</f>
        <v>12</v>
      </c>
      <c r="I823" s="29" t="n">
        <f aca="false">IFERROR(INDEX('Semrush Data'!$A$1:$Z$20000,MATCH(A823,'Semrush Data'!$A$1:$A$20000,0),MATCH("CPC*",'Semrush Data'!$A$1:$Z$1,0)),"")</f>
        <v>0</v>
      </c>
      <c r="J823" s="6" t="str">
        <f aca="false">IFERROR(INDEX('Semrush Data'!$A$1:$Z$20000,MATCH(A823,'Semrush Data'!$A$1:$A$20000,0),MATCH("Intent",'Semrush Data'!$A$1:$Z$1,0)),"")</f>
        <v>Informational Transactional</v>
      </c>
    </row>
    <row r="824" customFormat="false" ht="15" hidden="false" customHeight="true" outlineLevel="0" collapsed="false">
      <c r="A824" s="6" t="s">
        <v>2621</v>
      </c>
      <c r="B824" s="6" t="s">
        <v>6866</v>
      </c>
      <c r="C824" s="6" t="n">
        <v>2</v>
      </c>
      <c r="D824" s="6" t="n">
        <v>9</v>
      </c>
      <c r="E824" s="6" t="n">
        <v>1</v>
      </c>
      <c r="F824" s="6" t="s">
        <v>75</v>
      </c>
      <c r="G824" s="28" t="n">
        <f aca="false">IFERROR(INDEX('Semrush Data'!$A$1:$Z$20000,MATCH(A824,'Semrush Data'!$A$1:$A$20000,0),MATCH("Volume",'Semrush Data'!$A$1:$Z$1,0)),"")</f>
        <v>20</v>
      </c>
      <c r="H824" s="6" t="n">
        <f aca="false">IFERROR(INDEX('Semrush Data'!$A$1:$Z$20000,MATCH(A824,'Semrush Data'!$A$1:$A$20000,0),MATCH("Keyword Difficulty*",'Semrush Data'!$A$1:$Z$1,0)),"")</f>
        <v>11</v>
      </c>
      <c r="I824" s="29" t="n">
        <f aca="false">IFERROR(INDEX('Semrush Data'!$A$1:$Z$20000,MATCH(A824,'Semrush Data'!$A$1:$A$20000,0),MATCH("CPC*",'Semrush Data'!$A$1:$Z$1,0)),"")</f>
        <v>0</v>
      </c>
      <c r="J824" s="6" t="str">
        <f aca="false">IFERROR(INDEX('Semrush Data'!$A$1:$Z$20000,MATCH(A824,'Semrush Data'!$A$1:$A$20000,0),MATCH("Intent",'Semrush Data'!$A$1:$Z$1,0)),"")</f>
        <v>Navigational</v>
      </c>
    </row>
    <row r="825" customFormat="false" ht="15" hidden="false" customHeight="true" outlineLevel="0" collapsed="false">
      <c r="A825" s="6" t="s">
        <v>2661</v>
      </c>
      <c r="B825" s="6" t="s">
        <v>6866</v>
      </c>
      <c r="C825" s="6" t="n">
        <v>2</v>
      </c>
      <c r="D825" s="6" t="n">
        <v>9</v>
      </c>
      <c r="E825" s="6" t="n">
        <v>1</v>
      </c>
      <c r="F825" s="6" t="s">
        <v>2658</v>
      </c>
      <c r="G825" s="28" t="n">
        <f aca="false">IFERROR(INDEX('Semrush Data'!$A$1:$Z$20000,MATCH(A825,'Semrush Data'!$A$1:$A$20000,0),MATCH("Volume",'Semrush Data'!$A$1:$Z$1,0)),"")</f>
        <v>0</v>
      </c>
      <c r="H825" s="6" t="n">
        <f aca="false">IFERROR(INDEX('Semrush Data'!$A$1:$Z$20000,MATCH(A825,'Semrush Data'!$A$1:$A$20000,0),MATCH("Keyword Difficulty*",'Semrush Data'!$A$1:$Z$1,0)),"")</f>
        <v>14</v>
      </c>
      <c r="I825" s="29" t="n">
        <f aca="false">IFERROR(INDEX('Semrush Data'!$A$1:$Z$20000,MATCH(A825,'Semrush Data'!$A$1:$A$20000,0),MATCH("CPC*",'Semrush Data'!$A$1:$Z$1,0)),"")</f>
        <v>0</v>
      </c>
      <c r="J825" s="6" t="str">
        <f aca="false">IFERROR(INDEX('Semrush Data'!$A$1:$Z$20000,MATCH(A825,'Semrush Data'!$A$1:$A$20000,0),MATCH("Intent",'Semrush Data'!$A$1:$Z$1,0)),"")</f>
        <v>Informational Transactional</v>
      </c>
    </row>
    <row r="826" customFormat="false" ht="15" hidden="false" customHeight="true" outlineLevel="0" collapsed="false">
      <c r="A826" s="6" t="s">
        <v>2673</v>
      </c>
      <c r="B826" s="6" t="s">
        <v>6866</v>
      </c>
      <c r="C826" s="6" t="n">
        <v>2</v>
      </c>
      <c r="D826" s="6" t="n">
        <v>9</v>
      </c>
      <c r="E826" s="6" t="n">
        <v>1</v>
      </c>
      <c r="F826" s="6" t="s">
        <v>2670</v>
      </c>
      <c r="G826" s="28" t="n">
        <f aca="false">IFERROR(INDEX('Semrush Data'!$A$1:$Z$20000,MATCH(A826,'Semrush Data'!$A$1:$A$20000,0),MATCH("Volume",'Semrush Data'!$A$1:$Z$1,0)),"")</f>
        <v>20</v>
      </c>
      <c r="H826" s="6" t="n">
        <f aca="false">IFERROR(INDEX('Semrush Data'!$A$1:$Z$20000,MATCH(A826,'Semrush Data'!$A$1:$A$20000,0),MATCH("Keyword Difficulty*",'Semrush Data'!$A$1:$Z$1,0)),"")</f>
        <v>7</v>
      </c>
      <c r="I826" s="29" t="n">
        <f aca="false">IFERROR(INDEX('Semrush Data'!$A$1:$Z$20000,MATCH(A826,'Semrush Data'!$A$1:$A$20000,0),MATCH("CPC*",'Semrush Data'!$A$1:$Z$1,0)),"")</f>
        <v>0</v>
      </c>
      <c r="J826" s="6" t="str">
        <f aca="false">IFERROR(INDEX('Semrush Data'!$A$1:$Z$20000,MATCH(A826,'Semrush Data'!$A$1:$A$20000,0),MATCH("Intent",'Semrush Data'!$A$1:$Z$1,0)),"")</f>
        <v>Informational Navigational</v>
      </c>
    </row>
    <row r="827" customFormat="false" ht="15" hidden="false" customHeight="true" outlineLevel="0" collapsed="false">
      <c r="A827" s="6" t="s">
        <v>2684</v>
      </c>
      <c r="B827" s="6" t="s">
        <v>6866</v>
      </c>
      <c r="C827" s="6" t="n">
        <v>2</v>
      </c>
      <c r="D827" s="6" t="n">
        <v>9</v>
      </c>
      <c r="E827" s="6" t="n">
        <v>1</v>
      </c>
      <c r="F827" s="6" t="s">
        <v>2681</v>
      </c>
      <c r="G827" s="28" t="n">
        <f aca="false">IFERROR(INDEX('Semrush Data'!$A$1:$Z$20000,MATCH(A827,'Semrush Data'!$A$1:$A$20000,0),MATCH("Volume",'Semrush Data'!$A$1:$Z$1,0)),"")</f>
        <v>0</v>
      </c>
      <c r="H827" s="6" t="n">
        <f aca="false">IFERROR(INDEX('Semrush Data'!$A$1:$Z$20000,MATCH(A827,'Semrush Data'!$A$1:$A$20000,0),MATCH("Keyword Difficulty*",'Semrush Data'!$A$1:$Z$1,0)),"")</f>
        <v>11</v>
      </c>
      <c r="I827" s="29" t="n">
        <f aca="false">IFERROR(INDEX('Semrush Data'!$A$1:$Z$20000,MATCH(A827,'Semrush Data'!$A$1:$A$20000,0),MATCH("CPC*",'Semrush Data'!$A$1:$Z$1,0)),"")</f>
        <v>0</v>
      </c>
      <c r="J827" s="6" t="str">
        <f aca="false">IFERROR(INDEX('Semrush Data'!$A$1:$Z$20000,MATCH(A827,'Semrush Data'!$A$1:$A$20000,0),MATCH("Intent",'Semrush Data'!$A$1:$Z$1,0)),"")</f>
        <v>Informational</v>
      </c>
    </row>
    <row r="828" customFormat="false" ht="15" hidden="false" customHeight="true" outlineLevel="0" collapsed="false">
      <c r="A828" s="6" t="s">
        <v>2704</v>
      </c>
      <c r="B828" s="6" t="s">
        <v>6866</v>
      </c>
      <c r="C828" s="6" t="n">
        <v>2</v>
      </c>
      <c r="D828" s="6" t="n">
        <v>9</v>
      </c>
      <c r="E828" s="6" t="n">
        <v>1</v>
      </c>
      <c r="F828" s="6" t="s">
        <v>2701</v>
      </c>
      <c r="G828" s="28" t="n">
        <f aca="false">IFERROR(INDEX('Semrush Data'!$A$1:$Z$20000,MATCH(A828,'Semrush Data'!$A$1:$A$20000,0),MATCH("Volume",'Semrush Data'!$A$1:$Z$1,0)),"")</f>
        <v>0</v>
      </c>
      <c r="H828" s="6" t="n">
        <f aca="false">IFERROR(INDEX('Semrush Data'!$A$1:$Z$20000,MATCH(A828,'Semrush Data'!$A$1:$A$20000,0),MATCH("Keyword Difficulty*",'Semrush Data'!$A$1:$Z$1,0)),"")</f>
        <v>17</v>
      </c>
      <c r="I828" s="29" t="n">
        <f aca="false">IFERROR(INDEX('Semrush Data'!$A$1:$Z$20000,MATCH(A828,'Semrush Data'!$A$1:$A$20000,0),MATCH("CPC*",'Semrush Data'!$A$1:$Z$1,0)),"")</f>
        <v>0</v>
      </c>
      <c r="J828" s="6" t="str">
        <f aca="false">IFERROR(INDEX('Semrush Data'!$A$1:$Z$20000,MATCH(A828,'Semrush Data'!$A$1:$A$20000,0),MATCH("Intent",'Semrush Data'!$A$1:$Z$1,0)),"")</f>
        <v>Transactional Navigational</v>
      </c>
    </row>
    <row r="829" customFormat="false" ht="15" hidden="false" customHeight="true" outlineLevel="0" collapsed="false">
      <c r="A829" s="6" t="s">
        <v>2715</v>
      </c>
      <c r="B829" s="6" t="s">
        <v>6866</v>
      </c>
      <c r="C829" s="6" t="n">
        <v>2</v>
      </c>
      <c r="D829" s="6" t="n">
        <v>9</v>
      </c>
      <c r="E829" s="6" t="n">
        <v>1</v>
      </c>
      <c r="F829" s="6" t="s">
        <v>2712</v>
      </c>
      <c r="G829" s="28" t="n">
        <f aca="false">IFERROR(INDEX('Semrush Data'!$A$1:$Z$20000,MATCH(A829,'Semrush Data'!$A$1:$A$20000,0),MATCH("Volume",'Semrush Data'!$A$1:$Z$1,0)),"")</f>
        <v>0</v>
      </c>
      <c r="H829" s="6" t="n">
        <f aca="false">IFERROR(INDEX('Semrush Data'!$A$1:$Z$20000,MATCH(A829,'Semrush Data'!$A$1:$A$20000,0),MATCH("Keyword Difficulty*",'Semrush Data'!$A$1:$Z$1,0)),"")</f>
        <v>12</v>
      </c>
      <c r="I829" s="29" t="n">
        <f aca="false">IFERROR(INDEX('Semrush Data'!$A$1:$Z$20000,MATCH(A829,'Semrush Data'!$A$1:$A$20000,0),MATCH("CPC*",'Semrush Data'!$A$1:$Z$1,0)),"")</f>
        <v>0</v>
      </c>
      <c r="J829" s="6" t="str">
        <f aca="false">IFERROR(INDEX('Semrush Data'!$A$1:$Z$20000,MATCH(A829,'Semrush Data'!$A$1:$A$20000,0),MATCH("Intent",'Semrush Data'!$A$1:$Z$1,0)),"")</f>
        <v>Transactional Navigational</v>
      </c>
    </row>
    <row r="830" customFormat="false" ht="15" hidden="false" customHeight="true" outlineLevel="0" collapsed="false">
      <c r="A830" s="6" t="s">
        <v>2726</v>
      </c>
      <c r="B830" s="6" t="s">
        <v>6866</v>
      </c>
      <c r="C830" s="6" t="n">
        <v>2</v>
      </c>
      <c r="D830" s="6" t="n">
        <v>9</v>
      </c>
      <c r="E830" s="6" t="n">
        <v>1</v>
      </c>
      <c r="F830" s="6" t="s">
        <v>2723</v>
      </c>
      <c r="G830" s="28" t="n">
        <f aca="false">IFERROR(INDEX('Semrush Data'!$A$1:$Z$20000,MATCH(A830,'Semrush Data'!$A$1:$A$20000,0),MATCH("Volume",'Semrush Data'!$A$1:$Z$1,0)),"")</f>
        <v>10</v>
      </c>
      <c r="H830" s="6" t="n">
        <f aca="false">IFERROR(INDEX('Semrush Data'!$A$1:$Z$20000,MATCH(A830,'Semrush Data'!$A$1:$A$20000,0),MATCH("Keyword Difficulty*",'Semrush Data'!$A$1:$Z$1,0)),"")</f>
        <v>17</v>
      </c>
      <c r="I830" s="29" t="n">
        <f aca="false">IFERROR(INDEX('Semrush Data'!$A$1:$Z$20000,MATCH(A830,'Semrush Data'!$A$1:$A$20000,0),MATCH("CPC*",'Semrush Data'!$A$1:$Z$1,0)),"")</f>
        <v>0</v>
      </c>
      <c r="J830" s="6" t="str">
        <f aca="false">IFERROR(INDEX('Semrush Data'!$A$1:$Z$20000,MATCH(A830,'Semrush Data'!$A$1:$A$20000,0),MATCH("Intent",'Semrush Data'!$A$1:$Z$1,0)),"")</f>
        <v>Informational Transactional</v>
      </c>
    </row>
    <row r="831" customFormat="false" ht="15" hidden="false" customHeight="true" outlineLevel="0" collapsed="false">
      <c r="A831" s="6" t="s">
        <v>2693</v>
      </c>
      <c r="B831" s="6" t="s">
        <v>6866</v>
      </c>
      <c r="C831" s="6" t="n">
        <v>2</v>
      </c>
      <c r="D831" s="6" t="n">
        <v>9</v>
      </c>
      <c r="E831" s="6" t="n">
        <v>1</v>
      </c>
      <c r="F831" s="6" t="s">
        <v>95</v>
      </c>
      <c r="G831" s="28" t="n">
        <f aca="false">IFERROR(INDEX('Semrush Data'!$A$1:$Z$20000,MATCH(A831,'Semrush Data'!$A$1:$A$20000,0),MATCH("Volume",'Semrush Data'!$A$1:$Z$1,0)),"")</f>
        <v>10</v>
      </c>
      <c r="H831" s="6" t="n">
        <f aca="false">IFERROR(INDEX('Semrush Data'!$A$1:$Z$20000,MATCH(A831,'Semrush Data'!$A$1:$A$20000,0),MATCH("Keyword Difficulty*",'Semrush Data'!$A$1:$Z$1,0)),"")</f>
        <v>10</v>
      </c>
      <c r="I831" s="29" t="n">
        <f aca="false">IFERROR(INDEX('Semrush Data'!$A$1:$Z$20000,MATCH(A831,'Semrush Data'!$A$1:$A$20000,0),MATCH("CPC*",'Semrush Data'!$A$1:$Z$1,0)),"")</f>
        <v>0</v>
      </c>
      <c r="J831" s="6" t="str">
        <f aca="false">IFERROR(INDEX('Semrush Data'!$A$1:$Z$20000,MATCH(A831,'Semrush Data'!$A$1:$A$20000,0),MATCH("Intent",'Semrush Data'!$A$1:$Z$1,0)),"")</f>
        <v>Transactional Navigational</v>
      </c>
    </row>
    <row r="832" customFormat="false" ht="15" hidden="false" customHeight="true" outlineLevel="0" collapsed="false">
      <c r="A832" s="6" t="s">
        <v>2751</v>
      </c>
      <c r="B832" s="6" t="s">
        <v>6866</v>
      </c>
      <c r="C832" s="6" t="n">
        <v>2</v>
      </c>
      <c r="D832" s="6" t="n">
        <v>9</v>
      </c>
      <c r="E832" s="6" t="n">
        <v>3</v>
      </c>
      <c r="F832" s="6" t="s">
        <v>6836</v>
      </c>
      <c r="G832" s="28" t="n">
        <f aca="false">IFERROR(INDEX('Semrush Data'!$A$1:$Z$20000,MATCH(A832,'Semrush Data'!$A$1:$A$20000,0),MATCH("Volume",'Semrush Data'!$A$1:$Z$1,0)),"")</f>
        <v>0</v>
      </c>
      <c r="H832" s="6" t="n">
        <f aca="false">IFERROR(INDEX('Semrush Data'!$A$1:$Z$20000,MATCH(A832,'Semrush Data'!$A$1:$A$20000,0),MATCH("Keyword Difficulty*",'Semrush Data'!$A$1:$Z$1,0)),"")</f>
        <v>17</v>
      </c>
      <c r="I832" s="29" t="n">
        <f aca="false">IFERROR(INDEX('Semrush Data'!$A$1:$Z$20000,MATCH(A832,'Semrush Data'!$A$1:$A$20000,0),MATCH("CPC*",'Semrush Data'!$A$1:$Z$1,0)),"")</f>
        <v>0</v>
      </c>
      <c r="J832" s="6" t="str">
        <f aca="false">IFERROR(INDEX('Semrush Data'!$A$1:$Z$20000,MATCH(A832,'Semrush Data'!$A$1:$A$20000,0),MATCH("Intent",'Semrush Data'!$A$1:$Z$1,0)),"")</f>
        <v>Navigational</v>
      </c>
    </row>
    <row r="833" customFormat="false" ht="15" hidden="false" customHeight="true" outlineLevel="0" collapsed="false">
      <c r="A833" s="6" t="s">
        <v>2765</v>
      </c>
      <c r="B833" s="6" t="s">
        <v>6866</v>
      </c>
      <c r="C833" s="6" t="n">
        <v>2</v>
      </c>
      <c r="D833" s="6" t="n">
        <v>9</v>
      </c>
      <c r="E833" s="6" t="n">
        <v>3</v>
      </c>
      <c r="F833" s="6" t="s">
        <v>6837</v>
      </c>
      <c r="G833" s="28" t="n">
        <f aca="false">IFERROR(INDEX('Semrush Data'!$A$1:$Z$20000,MATCH(A833,'Semrush Data'!$A$1:$A$20000,0),MATCH("Volume",'Semrush Data'!$A$1:$Z$1,0)),"")</f>
        <v>0</v>
      </c>
      <c r="H833" s="6" t="n">
        <f aca="false">IFERROR(INDEX('Semrush Data'!$A$1:$Z$20000,MATCH(A833,'Semrush Data'!$A$1:$A$20000,0),MATCH("Keyword Difficulty*",'Semrush Data'!$A$1:$Z$1,0)),"")</f>
        <v>11</v>
      </c>
      <c r="I833" s="29" t="n">
        <f aca="false">IFERROR(INDEX('Semrush Data'!$A$1:$Z$20000,MATCH(A833,'Semrush Data'!$A$1:$A$20000,0),MATCH("CPC*",'Semrush Data'!$A$1:$Z$1,0)),"")</f>
        <v>0</v>
      </c>
      <c r="J833" s="6" t="str">
        <f aca="false">IFERROR(INDEX('Semrush Data'!$A$1:$Z$20000,MATCH(A833,'Semrush Data'!$A$1:$A$20000,0),MATCH("Intent",'Semrush Data'!$A$1:$Z$1,0)),"")</f>
        <v>Navigational</v>
      </c>
    </row>
    <row r="834" customFormat="false" ht="15" hidden="false" customHeight="true" outlineLevel="0" collapsed="false">
      <c r="A834" s="6" t="s">
        <v>2778</v>
      </c>
      <c r="B834" s="6" t="s">
        <v>6866</v>
      </c>
      <c r="C834" s="6" t="n">
        <v>2</v>
      </c>
      <c r="D834" s="6" t="n">
        <v>9</v>
      </c>
      <c r="E834" s="6" t="n">
        <v>3</v>
      </c>
      <c r="F834" s="6" t="s">
        <v>6838</v>
      </c>
      <c r="G834" s="28" t="n">
        <f aca="false">IFERROR(INDEX('Semrush Data'!$A$1:$Z$20000,MATCH(A834,'Semrush Data'!$A$1:$A$20000,0),MATCH("Volume",'Semrush Data'!$A$1:$Z$1,0)),"")</f>
        <v>0</v>
      </c>
      <c r="H834" s="6" t="n">
        <f aca="false">IFERROR(INDEX('Semrush Data'!$A$1:$Z$20000,MATCH(A834,'Semrush Data'!$A$1:$A$20000,0),MATCH("Keyword Difficulty*",'Semrush Data'!$A$1:$Z$1,0)),"")</f>
        <v>11</v>
      </c>
      <c r="I834" s="29" t="n">
        <f aca="false">IFERROR(INDEX('Semrush Data'!$A$1:$Z$20000,MATCH(A834,'Semrush Data'!$A$1:$A$20000,0),MATCH("CPC*",'Semrush Data'!$A$1:$Z$1,0)),"")</f>
        <v>0</v>
      </c>
      <c r="J834" s="6" t="str">
        <f aca="false">IFERROR(INDEX('Semrush Data'!$A$1:$Z$20000,MATCH(A834,'Semrush Data'!$A$1:$A$20000,0),MATCH("Intent",'Semrush Data'!$A$1:$Z$1,0)),"")</f>
        <v>Informational Navigational</v>
      </c>
    </row>
    <row r="835" customFormat="false" ht="15" hidden="false" customHeight="true" outlineLevel="0" collapsed="false">
      <c r="A835" s="6" t="s">
        <v>2790</v>
      </c>
      <c r="B835" s="6" t="s">
        <v>6866</v>
      </c>
      <c r="C835" s="6" t="n">
        <v>2</v>
      </c>
      <c r="D835" s="6" t="n">
        <v>9</v>
      </c>
      <c r="E835" s="6" t="n">
        <v>3</v>
      </c>
      <c r="F835" s="6" t="s">
        <v>6839</v>
      </c>
      <c r="G835" s="28" t="n">
        <f aca="false">IFERROR(INDEX('Semrush Data'!$A$1:$Z$20000,MATCH(A835,'Semrush Data'!$A$1:$A$20000,0),MATCH("Volume",'Semrush Data'!$A$1:$Z$1,0)),"")</f>
        <v>0</v>
      </c>
      <c r="H835" s="6" t="n">
        <f aca="false">IFERROR(INDEX('Semrush Data'!$A$1:$Z$20000,MATCH(A835,'Semrush Data'!$A$1:$A$20000,0),MATCH("Keyword Difficulty*",'Semrush Data'!$A$1:$Z$1,0)),"")</f>
        <v>11</v>
      </c>
      <c r="I835" s="29" t="n">
        <f aca="false">IFERROR(INDEX('Semrush Data'!$A$1:$Z$20000,MATCH(A835,'Semrush Data'!$A$1:$A$20000,0),MATCH("CPC*",'Semrush Data'!$A$1:$Z$1,0)),"")</f>
        <v>0</v>
      </c>
      <c r="J835" s="6" t="str">
        <f aca="false">IFERROR(INDEX('Semrush Data'!$A$1:$Z$20000,MATCH(A835,'Semrush Data'!$A$1:$A$20000,0),MATCH("Intent",'Semrush Data'!$A$1:$Z$1,0)),"")</f>
        <v>Navigational</v>
      </c>
    </row>
    <row r="836" customFormat="false" ht="15" hidden="false" customHeight="true" outlineLevel="0" collapsed="false">
      <c r="A836" s="6" t="s">
        <v>2803</v>
      </c>
      <c r="B836" s="6" t="s">
        <v>6866</v>
      </c>
      <c r="C836" s="6" t="n">
        <v>2</v>
      </c>
      <c r="D836" s="6" t="n">
        <v>9</v>
      </c>
      <c r="E836" s="6" t="n">
        <v>4</v>
      </c>
      <c r="F836" s="6" t="s">
        <v>6840</v>
      </c>
      <c r="G836" s="28" t="n">
        <f aca="false">IFERROR(INDEX('Semrush Data'!$A$1:$Z$20000,MATCH(A836,'Semrush Data'!$A$1:$A$20000,0),MATCH("Volume",'Semrush Data'!$A$1:$Z$1,0)),"")</f>
        <v>0</v>
      </c>
      <c r="H836" s="6" t="n">
        <f aca="false">IFERROR(INDEX('Semrush Data'!$A$1:$Z$20000,MATCH(A836,'Semrush Data'!$A$1:$A$20000,0),MATCH("Keyword Difficulty*",'Semrush Data'!$A$1:$Z$1,0)),"")</f>
        <v>16</v>
      </c>
      <c r="I836" s="29" t="n">
        <f aca="false">IFERROR(INDEX('Semrush Data'!$A$1:$Z$20000,MATCH(A836,'Semrush Data'!$A$1:$A$20000,0),MATCH("CPC*",'Semrush Data'!$A$1:$Z$1,0)),"")</f>
        <v>0</v>
      </c>
      <c r="J836" s="6" t="str">
        <f aca="false">IFERROR(INDEX('Semrush Data'!$A$1:$Z$20000,MATCH(A836,'Semrush Data'!$A$1:$A$20000,0),MATCH("Intent",'Semrush Data'!$A$1:$Z$1,0)),"")</f>
        <v>Navigational</v>
      </c>
    </row>
    <row r="837" customFormat="false" ht="15" hidden="false" customHeight="true" outlineLevel="0" collapsed="false">
      <c r="A837" s="6" t="s">
        <v>2820</v>
      </c>
      <c r="B837" s="6" t="s">
        <v>6866</v>
      </c>
      <c r="C837" s="6" t="n">
        <v>2</v>
      </c>
      <c r="D837" s="6" t="n">
        <v>9</v>
      </c>
      <c r="E837" s="6" t="n">
        <v>1</v>
      </c>
      <c r="F837" s="6" t="s">
        <v>139</v>
      </c>
      <c r="G837" s="28" t="n">
        <f aca="false">IFERROR(INDEX('Semrush Data'!$A$1:$Z$20000,MATCH(A837,'Semrush Data'!$A$1:$A$20000,0),MATCH("Volume",'Semrush Data'!$A$1:$Z$1,0)),"")</f>
        <v>0</v>
      </c>
      <c r="H837" s="6" t="n">
        <f aca="false">IFERROR(INDEX('Semrush Data'!$A$1:$Z$20000,MATCH(A837,'Semrush Data'!$A$1:$A$20000,0),MATCH("Keyword Difficulty*",'Semrush Data'!$A$1:$Z$1,0)),"")</f>
        <v>9</v>
      </c>
      <c r="I837" s="29" t="n">
        <f aca="false">IFERROR(INDEX('Semrush Data'!$A$1:$Z$20000,MATCH(A837,'Semrush Data'!$A$1:$A$20000,0),MATCH("CPC*",'Semrush Data'!$A$1:$Z$1,0)),"")</f>
        <v>0</v>
      </c>
      <c r="J837" s="6" t="str">
        <f aca="false">IFERROR(INDEX('Semrush Data'!$A$1:$Z$20000,MATCH(A837,'Semrush Data'!$A$1:$A$20000,0),MATCH("Intent",'Semrush Data'!$A$1:$Z$1,0)),"")</f>
        <v>Informational</v>
      </c>
    </row>
    <row r="838" customFormat="false" ht="15" hidden="false" customHeight="true" outlineLevel="0" collapsed="false">
      <c r="A838" s="6" t="s">
        <v>2835</v>
      </c>
      <c r="B838" s="6" t="s">
        <v>6866</v>
      </c>
      <c r="C838" s="6" t="n">
        <v>2</v>
      </c>
      <c r="D838" s="6" t="n">
        <v>9</v>
      </c>
      <c r="E838" s="6" t="n">
        <v>1</v>
      </c>
      <c r="F838" s="6" t="s">
        <v>2829</v>
      </c>
      <c r="G838" s="28" t="n">
        <f aca="false">IFERROR(INDEX('Semrush Data'!$A$1:$Z$20000,MATCH(A838,'Semrush Data'!$A$1:$A$20000,0),MATCH("Volume",'Semrush Data'!$A$1:$Z$1,0)),"")</f>
        <v>0</v>
      </c>
      <c r="H838" s="6" t="n">
        <f aca="false">IFERROR(INDEX('Semrush Data'!$A$1:$Z$20000,MATCH(A838,'Semrush Data'!$A$1:$A$20000,0),MATCH("Keyword Difficulty*",'Semrush Data'!$A$1:$Z$1,0)),"")</f>
        <v>8</v>
      </c>
      <c r="I838" s="29" t="n">
        <f aca="false">IFERROR(INDEX('Semrush Data'!$A$1:$Z$20000,MATCH(A838,'Semrush Data'!$A$1:$A$20000,0),MATCH("CPC*",'Semrush Data'!$A$1:$Z$1,0)),"")</f>
        <v>0</v>
      </c>
      <c r="J838" s="6" t="str">
        <f aca="false">IFERROR(INDEX('Semrush Data'!$A$1:$Z$20000,MATCH(A838,'Semrush Data'!$A$1:$A$20000,0),MATCH("Intent",'Semrush Data'!$A$1:$Z$1,0)),"")</f>
        <v>Informational</v>
      </c>
    </row>
    <row r="839" customFormat="false" ht="15" hidden="false" customHeight="true" outlineLevel="0" collapsed="false">
      <c r="A839" s="6" t="s">
        <v>2846</v>
      </c>
      <c r="B839" s="6" t="s">
        <v>6866</v>
      </c>
      <c r="C839" s="6" t="n">
        <v>2</v>
      </c>
      <c r="D839" s="6" t="n">
        <v>9</v>
      </c>
      <c r="E839" s="6" t="n">
        <v>1</v>
      </c>
      <c r="F839" s="6" t="s">
        <v>2843</v>
      </c>
      <c r="G839" s="28" t="n">
        <f aca="false">IFERROR(INDEX('Semrush Data'!$A$1:$Z$20000,MATCH(A839,'Semrush Data'!$A$1:$A$20000,0),MATCH("Volume",'Semrush Data'!$A$1:$Z$1,0)),"")</f>
        <v>0</v>
      </c>
      <c r="H839" s="6" t="n">
        <f aca="false">IFERROR(INDEX('Semrush Data'!$A$1:$Z$20000,MATCH(A839,'Semrush Data'!$A$1:$A$20000,0),MATCH("Keyword Difficulty*",'Semrush Data'!$A$1:$Z$1,0)),"")</f>
        <v>8</v>
      </c>
      <c r="I839" s="29" t="n">
        <f aca="false">IFERROR(INDEX('Semrush Data'!$A$1:$Z$20000,MATCH(A839,'Semrush Data'!$A$1:$A$20000,0),MATCH("CPC*",'Semrush Data'!$A$1:$Z$1,0)),"")</f>
        <v>0</v>
      </c>
      <c r="J839" s="6" t="str">
        <f aca="false">IFERROR(INDEX('Semrush Data'!$A$1:$Z$20000,MATCH(A839,'Semrush Data'!$A$1:$A$20000,0),MATCH("Intent",'Semrush Data'!$A$1:$Z$1,0)),"")</f>
        <v>Informational</v>
      </c>
    </row>
    <row r="840" customFormat="false" ht="15" hidden="false" customHeight="true" outlineLevel="0" collapsed="false">
      <c r="A840" s="6" t="s">
        <v>2857</v>
      </c>
      <c r="B840" s="6" t="s">
        <v>6866</v>
      </c>
      <c r="C840" s="6" t="n">
        <v>2</v>
      </c>
      <c r="D840" s="6" t="n">
        <v>9</v>
      </c>
      <c r="E840" s="6" t="n">
        <v>1</v>
      </c>
      <c r="F840" s="6" t="s">
        <v>2854</v>
      </c>
      <c r="G840" s="28" t="n">
        <f aca="false">IFERROR(INDEX('Semrush Data'!$A$1:$Z$20000,MATCH(A840,'Semrush Data'!$A$1:$A$20000,0),MATCH("Volume",'Semrush Data'!$A$1:$Z$1,0)),"")</f>
        <v>0</v>
      </c>
      <c r="H840" s="6" t="n">
        <f aca="false">IFERROR(INDEX('Semrush Data'!$A$1:$Z$20000,MATCH(A840,'Semrush Data'!$A$1:$A$20000,0),MATCH("Keyword Difficulty*",'Semrush Data'!$A$1:$Z$1,0)),"")</f>
        <v>11</v>
      </c>
      <c r="I840" s="29" t="n">
        <f aca="false">IFERROR(INDEX('Semrush Data'!$A$1:$Z$20000,MATCH(A840,'Semrush Data'!$A$1:$A$20000,0),MATCH("CPC*",'Semrush Data'!$A$1:$Z$1,0)),"")</f>
        <v>0</v>
      </c>
      <c r="J840" s="6" t="str">
        <f aca="false">IFERROR(INDEX('Semrush Data'!$A$1:$Z$20000,MATCH(A840,'Semrush Data'!$A$1:$A$20000,0),MATCH("Intent",'Semrush Data'!$A$1:$Z$1,0)),"")</f>
        <v>Informational</v>
      </c>
    </row>
    <row r="841" customFormat="false" ht="15" hidden="false" customHeight="true" outlineLevel="0" collapsed="false">
      <c r="A841" s="6" t="s">
        <v>2870</v>
      </c>
      <c r="B841" s="6" t="s">
        <v>6866</v>
      </c>
      <c r="C841" s="6" t="n">
        <v>2</v>
      </c>
      <c r="D841" s="6" t="n">
        <v>9</v>
      </c>
      <c r="E841" s="6" t="n">
        <v>1</v>
      </c>
      <c r="F841" s="6" t="s">
        <v>2866</v>
      </c>
      <c r="G841" s="28" t="n">
        <f aca="false">IFERROR(INDEX('Semrush Data'!$A$1:$Z$20000,MATCH(A841,'Semrush Data'!$A$1:$A$20000,0),MATCH("Volume",'Semrush Data'!$A$1:$Z$1,0)),"")</f>
        <v>0</v>
      </c>
      <c r="H841" s="6" t="n">
        <f aca="false">IFERROR(INDEX('Semrush Data'!$A$1:$Z$20000,MATCH(A841,'Semrush Data'!$A$1:$A$20000,0),MATCH("Keyword Difficulty*",'Semrush Data'!$A$1:$Z$1,0)),"")</f>
        <v>13</v>
      </c>
      <c r="I841" s="29" t="n">
        <f aca="false">IFERROR(INDEX('Semrush Data'!$A$1:$Z$20000,MATCH(A841,'Semrush Data'!$A$1:$A$20000,0),MATCH("CPC*",'Semrush Data'!$A$1:$Z$1,0)),"")</f>
        <v>0</v>
      </c>
      <c r="J841" s="6" t="str">
        <f aca="false">IFERROR(INDEX('Semrush Data'!$A$1:$Z$20000,MATCH(A841,'Semrush Data'!$A$1:$A$20000,0),MATCH("Intent",'Semrush Data'!$A$1:$Z$1,0)),"")</f>
        <v>Commercial</v>
      </c>
    </row>
    <row r="842" customFormat="false" ht="15" hidden="false" customHeight="true" outlineLevel="0" collapsed="false">
      <c r="A842" s="6" t="s">
        <v>2882</v>
      </c>
      <c r="B842" s="6" t="s">
        <v>6866</v>
      </c>
      <c r="C842" s="6" t="n">
        <v>2</v>
      </c>
      <c r="D842" s="6" t="n">
        <v>9</v>
      </c>
      <c r="E842" s="6" t="n">
        <v>1</v>
      </c>
      <c r="F842" s="6" t="s">
        <v>2879</v>
      </c>
      <c r="G842" s="28" t="n">
        <f aca="false">IFERROR(INDEX('Semrush Data'!$A$1:$Z$20000,MATCH(A842,'Semrush Data'!$A$1:$A$20000,0),MATCH("Volume",'Semrush Data'!$A$1:$Z$1,0)),"")</f>
        <v>0</v>
      </c>
      <c r="H842" s="6" t="n">
        <f aca="false">IFERROR(INDEX('Semrush Data'!$A$1:$Z$20000,MATCH(A842,'Semrush Data'!$A$1:$A$20000,0),MATCH("Keyword Difficulty*",'Semrush Data'!$A$1:$Z$1,0)),"")</f>
        <v>17</v>
      </c>
      <c r="I842" s="29" t="n">
        <f aca="false">IFERROR(INDEX('Semrush Data'!$A$1:$Z$20000,MATCH(A842,'Semrush Data'!$A$1:$A$20000,0),MATCH("CPC*",'Semrush Data'!$A$1:$Z$1,0)),"")</f>
        <v>0</v>
      </c>
      <c r="J842" s="6" t="str">
        <f aca="false">IFERROR(INDEX('Semrush Data'!$A$1:$Z$20000,MATCH(A842,'Semrush Data'!$A$1:$A$20000,0),MATCH("Intent",'Semrush Data'!$A$1:$Z$1,0)),"")</f>
        <v>Informational</v>
      </c>
    </row>
    <row r="843" customFormat="false" ht="15" hidden="false" customHeight="true" outlineLevel="0" collapsed="false">
      <c r="A843" s="6" t="s">
        <v>2894</v>
      </c>
      <c r="B843" s="6" t="s">
        <v>6866</v>
      </c>
      <c r="C843" s="6" t="n">
        <v>2</v>
      </c>
      <c r="D843" s="6" t="n">
        <v>9</v>
      </c>
      <c r="E843" s="6" t="n">
        <v>1</v>
      </c>
      <c r="F843" s="6" t="s">
        <v>2890</v>
      </c>
      <c r="G843" s="28" t="n">
        <f aca="false">IFERROR(INDEX('Semrush Data'!$A$1:$Z$20000,MATCH(A843,'Semrush Data'!$A$1:$A$20000,0),MATCH("Volume",'Semrush Data'!$A$1:$Z$1,0)),"")</f>
        <v>0</v>
      </c>
      <c r="H843" s="6" t="n">
        <f aca="false">IFERROR(INDEX('Semrush Data'!$A$1:$Z$20000,MATCH(A843,'Semrush Data'!$A$1:$A$20000,0),MATCH("Keyword Difficulty*",'Semrush Data'!$A$1:$Z$1,0)),"")</f>
        <v>12</v>
      </c>
      <c r="I843" s="29" t="n">
        <f aca="false">IFERROR(INDEX('Semrush Data'!$A$1:$Z$20000,MATCH(A843,'Semrush Data'!$A$1:$A$20000,0),MATCH("CPC*",'Semrush Data'!$A$1:$Z$1,0)),"")</f>
        <v>0</v>
      </c>
      <c r="J843" s="6" t="str">
        <f aca="false">IFERROR(INDEX('Semrush Data'!$A$1:$Z$20000,MATCH(A843,'Semrush Data'!$A$1:$A$20000,0),MATCH("Intent",'Semrush Data'!$A$1:$Z$1,0)),"")</f>
        <v>Informational</v>
      </c>
    </row>
    <row r="844" customFormat="false" ht="15" hidden="false" customHeight="true" outlineLevel="0" collapsed="false">
      <c r="A844" s="6" t="s">
        <v>2907</v>
      </c>
      <c r="B844" s="6" t="s">
        <v>6866</v>
      </c>
      <c r="C844" s="6" t="n">
        <v>2</v>
      </c>
      <c r="D844" s="6" t="n">
        <v>9</v>
      </c>
      <c r="E844" s="6" t="n">
        <v>1</v>
      </c>
      <c r="F844" s="6" t="s">
        <v>2903</v>
      </c>
      <c r="G844" s="28" t="n">
        <f aca="false">IFERROR(INDEX('Semrush Data'!$A$1:$Z$20000,MATCH(A844,'Semrush Data'!$A$1:$A$20000,0),MATCH("Volume",'Semrush Data'!$A$1:$Z$1,0)),"")</f>
        <v>30</v>
      </c>
      <c r="H844" s="6" t="n">
        <f aca="false">IFERROR(INDEX('Semrush Data'!$A$1:$Z$20000,MATCH(A844,'Semrush Data'!$A$1:$A$20000,0),MATCH("Keyword Difficulty*",'Semrush Data'!$A$1:$Z$1,0)),"")</f>
        <v>48</v>
      </c>
      <c r="I844" s="29" t="n">
        <f aca="false">IFERROR(INDEX('Semrush Data'!$A$1:$Z$20000,MATCH(A844,'Semrush Data'!$A$1:$A$20000,0),MATCH("CPC*",'Semrush Data'!$A$1:$Z$1,0)),"")</f>
        <v>0</v>
      </c>
      <c r="J844" s="6" t="str">
        <f aca="false">IFERROR(INDEX('Semrush Data'!$A$1:$Z$20000,MATCH(A844,'Semrush Data'!$A$1:$A$20000,0),MATCH("Intent",'Semrush Data'!$A$1:$Z$1,0)),"")</f>
        <v>Informational</v>
      </c>
    </row>
    <row r="845" customFormat="false" ht="15" hidden="false" customHeight="true" outlineLevel="0" collapsed="false">
      <c r="A845" s="6" t="s">
        <v>2920</v>
      </c>
      <c r="B845" s="6" t="s">
        <v>6866</v>
      </c>
      <c r="C845" s="6" t="n">
        <v>2</v>
      </c>
      <c r="D845" s="6" t="n">
        <v>9</v>
      </c>
      <c r="E845" s="6" t="n">
        <v>1</v>
      </c>
      <c r="F845" s="6" t="s">
        <v>2916</v>
      </c>
      <c r="G845" s="28" t="n">
        <f aca="false">IFERROR(INDEX('Semrush Data'!$A$1:$Z$20000,MATCH(A845,'Semrush Data'!$A$1:$A$20000,0),MATCH("Volume",'Semrush Data'!$A$1:$Z$1,0)),"")</f>
        <v>0</v>
      </c>
      <c r="H845" s="6" t="n">
        <f aca="false">IFERROR(INDEX('Semrush Data'!$A$1:$Z$20000,MATCH(A845,'Semrush Data'!$A$1:$A$20000,0),MATCH("Keyword Difficulty*",'Semrush Data'!$A$1:$Z$1,0)),"")</f>
        <v>18</v>
      </c>
      <c r="I845" s="29" t="n">
        <f aca="false">IFERROR(INDEX('Semrush Data'!$A$1:$Z$20000,MATCH(A845,'Semrush Data'!$A$1:$A$20000,0),MATCH("CPC*",'Semrush Data'!$A$1:$Z$1,0)),"")</f>
        <v>0</v>
      </c>
      <c r="J845" s="6" t="str">
        <f aca="false">IFERROR(INDEX('Semrush Data'!$A$1:$Z$20000,MATCH(A845,'Semrush Data'!$A$1:$A$20000,0),MATCH("Intent",'Semrush Data'!$A$1:$Z$1,0)),"")</f>
        <v>Informational</v>
      </c>
    </row>
    <row r="846" customFormat="false" ht="15" hidden="false" customHeight="true" outlineLevel="0" collapsed="false">
      <c r="A846" s="6" t="s">
        <v>2958</v>
      </c>
      <c r="B846" s="6" t="s">
        <v>6866</v>
      </c>
      <c r="C846" s="6" t="n">
        <v>2</v>
      </c>
      <c r="D846" s="6" t="n">
        <v>9</v>
      </c>
      <c r="E846" s="6" t="n">
        <v>1</v>
      </c>
      <c r="F846" s="6" t="s">
        <v>2955</v>
      </c>
      <c r="G846" s="28" t="n">
        <f aca="false">IFERROR(INDEX('Semrush Data'!$A$1:$Z$20000,MATCH(A846,'Semrush Data'!$A$1:$A$20000,0),MATCH("Volume",'Semrush Data'!$A$1:$Z$1,0)),"")</f>
        <v>0</v>
      </c>
      <c r="H846" s="6" t="n">
        <f aca="false">IFERROR(INDEX('Semrush Data'!$A$1:$Z$20000,MATCH(A846,'Semrush Data'!$A$1:$A$20000,0),MATCH("Keyword Difficulty*",'Semrush Data'!$A$1:$Z$1,0)),"")</f>
        <v>10</v>
      </c>
      <c r="I846" s="29" t="n">
        <f aca="false">IFERROR(INDEX('Semrush Data'!$A$1:$Z$20000,MATCH(A846,'Semrush Data'!$A$1:$A$20000,0),MATCH("CPC*",'Semrush Data'!$A$1:$Z$1,0)),"")</f>
        <v>0</v>
      </c>
      <c r="J846" s="6" t="str">
        <f aca="false">IFERROR(INDEX('Semrush Data'!$A$1:$Z$20000,MATCH(A846,'Semrush Data'!$A$1:$A$20000,0),MATCH("Intent",'Semrush Data'!$A$1:$Z$1,0)),"")</f>
        <v>Informational</v>
      </c>
    </row>
    <row r="847" customFormat="false" ht="15" hidden="false" customHeight="true" outlineLevel="0" collapsed="false">
      <c r="A847" s="6" t="s">
        <v>2993</v>
      </c>
      <c r="B847" s="6" t="s">
        <v>6866</v>
      </c>
      <c r="C847" s="6" t="n">
        <v>2</v>
      </c>
      <c r="D847" s="6" t="n">
        <v>9</v>
      </c>
      <c r="E847" s="6" t="n">
        <v>1</v>
      </c>
      <c r="F847" s="6" t="s">
        <v>87</v>
      </c>
      <c r="G847" s="28" t="n">
        <f aca="false">IFERROR(INDEX('Semrush Data'!$A$1:$Z$20000,MATCH(A847,'Semrush Data'!$A$1:$A$20000,0),MATCH("Volume",'Semrush Data'!$A$1:$Z$1,0)),"")</f>
        <v>0</v>
      </c>
      <c r="H847" s="6" t="n">
        <f aca="false">IFERROR(INDEX('Semrush Data'!$A$1:$Z$20000,MATCH(A847,'Semrush Data'!$A$1:$A$20000,0),MATCH("Keyword Difficulty*",'Semrush Data'!$A$1:$Z$1,0)),"")</f>
        <v>16</v>
      </c>
      <c r="I847" s="29" t="n">
        <f aca="false">IFERROR(INDEX('Semrush Data'!$A$1:$Z$20000,MATCH(A847,'Semrush Data'!$A$1:$A$20000,0),MATCH("CPC*",'Semrush Data'!$A$1:$Z$1,0)),"")</f>
        <v>0</v>
      </c>
      <c r="J847" s="6" t="str">
        <f aca="false">IFERROR(INDEX('Semrush Data'!$A$1:$Z$20000,MATCH(A847,'Semrush Data'!$A$1:$A$20000,0),MATCH("Intent",'Semrush Data'!$A$1:$Z$1,0)),"")</f>
        <v>Commercial</v>
      </c>
    </row>
    <row r="848" customFormat="false" ht="15" hidden="false" customHeight="true" outlineLevel="0" collapsed="false">
      <c r="A848" s="6" t="s">
        <v>2980</v>
      </c>
      <c r="B848" s="6" t="s">
        <v>6866</v>
      </c>
      <c r="C848" s="6" t="n">
        <v>2</v>
      </c>
      <c r="D848" s="6" t="n">
        <v>9</v>
      </c>
      <c r="E848" s="6" t="n">
        <v>2</v>
      </c>
      <c r="F848" s="6" t="s">
        <v>6841</v>
      </c>
      <c r="G848" s="28" t="n">
        <f aca="false">IFERROR(INDEX('Semrush Data'!$A$1:$Z$20000,MATCH(A848,'Semrush Data'!$A$1:$A$20000,0),MATCH("Volume",'Semrush Data'!$A$1:$Z$1,0)),"")</f>
        <v>0</v>
      </c>
      <c r="H848" s="6" t="n">
        <f aca="false">IFERROR(INDEX('Semrush Data'!$A$1:$Z$20000,MATCH(A848,'Semrush Data'!$A$1:$A$20000,0),MATCH("Keyword Difficulty*",'Semrush Data'!$A$1:$Z$1,0)),"")</f>
        <v>13</v>
      </c>
      <c r="I848" s="29" t="n">
        <f aca="false">IFERROR(INDEX('Semrush Data'!$A$1:$Z$20000,MATCH(A848,'Semrush Data'!$A$1:$A$20000,0),MATCH("CPC*",'Semrush Data'!$A$1:$Z$1,0)),"")</f>
        <v>0</v>
      </c>
      <c r="J848" s="6" t="str">
        <f aca="false">IFERROR(INDEX('Semrush Data'!$A$1:$Z$20000,MATCH(A848,'Semrush Data'!$A$1:$A$20000,0),MATCH("Intent",'Semrush Data'!$A$1:$Z$1,0)),"")</f>
        <v>Informational</v>
      </c>
    </row>
    <row r="849" customFormat="false" ht="15" hidden="false" customHeight="true" outlineLevel="0" collapsed="false">
      <c r="A849" s="6" t="s">
        <v>2936</v>
      </c>
      <c r="B849" s="6" t="s">
        <v>6866</v>
      </c>
      <c r="C849" s="6" t="n">
        <v>2</v>
      </c>
      <c r="D849" s="6" t="n">
        <v>9</v>
      </c>
      <c r="E849" s="6" t="n">
        <v>1</v>
      </c>
      <c r="F849" s="6" t="s">
        <v>2929</v>
      </c>
      <c r="G849" s="28" t="n">
        <f aca="false">IFERROR(INDEX('Semrush Data'!$A$1:$Z$20000,MATCH(A849,'Semrush Data'!$A$1:$A$20000,0),MATCH("Volume",'Semrush Data'!$A$1:$Z$1,0)),"")</f>
        <v>0</v>
      </c>
      <c r="H849" s="6" t="n">
        <f aca="false">IFERROR(INDEX('Semrush Data'!$A$1:$Z$20000,MATCH(A849,'Semrush Data'!$A$1:$A$20000,0),MATCH("Keyword Difficulty*",'Semrush Data'!$A$1:$Z$1,0)),"")</f>
        <v>9</v>
      </c>
      <c r="I849" s="29" t="n">
        <f aca="false">IFERROR(INDEX('Semrush Data'!$A$1:$Z$20000,MATCH(A849,'Semrush Data'!$A$1:$A$20000,0),MATCH("CPC*",'Semrush Data'!$A$1:$Z$1,0)),"")</f>
        <v>0</v>
      </c>
      <c r="J849" s="6" t="str">
        <f aca="false">IFERROR(INDEX('Semrush Data'!$A$1:$Z$20000,MATCH(A849,'Semrush Data'!$A$1:$A$20000,0),MATCH("Intent",'Semrush Data'!$A$1:$Z$1,0)),"")</f>
        <v>Navigational</v>
      </c>
    </row>
    <row r="850" customFormat="false" ht="15" hidden="false" customHeight="true" outlineLevel="0" collapsed="false">
      <c r="A850" s="6" t="s">
        <v>3025</v>
      </c>
      <c r="B850" s="6" t="s">
        <v>6866</v>
      </c>
      <c r="C850" s="6" t="n">
        <v>2</v>
      </c>
      <c r="D850" s="6" t="n">
        <v>9</v>
      </c>
      <c r="E850" s="6" t="n">
        <v>1</v>
      </c>
      <c r="F850" s="6" t="s">
        <v>3022</v>
      </c>
      <c r="G850" s="28" t="n">
        <f aca="false">IFERROR(INDEX('Semrush Data'!$A$1:$Z$20000,MATCH(A850,'Semrush Data'!$A$1:$A$20000,0),MATCH("Volume",'Semrush Data'!$A$1:$Z$1,0)),"")</f>
        <v>0</v>
      </c>
      <c r="H850" s="6" t="n">
        <f aca="false">IFERROR(INDEX('Semrush Data'!$A$1:$Z$20000,MATCH(A850,'Semrush Data'!$A$1:$A$20000,0),MATCH("Keyword Difficulty*",'Semrush Data'!$A$1:$Z$1,0)),"")</f>
        <v>12</v>
      </c>
      <c r="I850" s="29" t="n">
        <f aca="false">IFERROR(INDEX('Semrush Data'!$A$1:$Z$20000,MATCH(A850,'Semrush Data'!$A$1:$A$20000,0),MATCH("CPC*",'Semrush Data'!$A$1:$Z$1,0)),"")</f>
        <v>0</v>
      </c>
      <c r="J850" s="6" t="str">
        <f aca="false">IFERROR(INDEX('Semrush Data'!$A$1:$Z$20000,MATCH(A850,'Semrush Data'!$A$1:$A$20000,0),MATCH("Intent",'Semrush Data'!$A$1:$Z$1,0)),"")</f>
        <v>Informational Transactional</v>
      </c>
    </row>
    <row r="851" customFormat="false" ht="15" hidden="false" customHeight="true" outlineLevel="0" collapsed="false">
      <c r="A851" s="6" t="s">
        <v>3036</v>
      </c>
      <c r="B851" s="6" t="s">
        <v>6866</v>
      </c>
      <c r="C851" s="6" t="n">
        <v>2</v>
      </c>
      <c r="D851" s="6" t="n">
        <v>9</v>
      </c>
      <c r="E851" s="6" t="n">
        <v>1</v>
      </c>
      <c r="F851" s="6" t="s">
        <v>3031</v>
      </c>
      <c r="G851" s="28" t="n">
        <f aca="false">IFERROR(INDEX('Semrush Data'!$A$1:$Z$20000,MATCH(A851,'Semrush Data'!$A$1:$A$20000,0),MATCH("Volume",'Semrush Data'!$A$1:$Z$1,0)),"")</f>
        <v>0</v>
      </c>
      <c r="H851" s="6" t="n">
        <f aca="false">IFERROR(INDEX('Semrush Data'!$A$1:$Z$20000,MATCH(A851,'Semrush Data'!$A$1:$A$20000,0),MATCH("Keyword Difficulty*",'Semrush Data'!$A$1:$Z$1,0)),"")</f>
        <v>10</v>
      </c>
      <c r="I851" s="29" t="n">
        <f aca="false">IFERROR(INDEX('Semrush Data'!$A$1:$Z$20000,MATCH(A851,'Semrush Data'!$A$1:$A$20000,0),MATCH("CPC*",'Semrush Data'!$A$1:$Z$1,0)),"")</f>
        <v>0</v>
      </c>
      <c r="J851" s="6" t="str">
        <f aca="false">IFERROR(INDEX('Semrush Data'!$A$1:$Z$20000,MATCH(A851,'Semrush Data'!$A$1:$A$20000,0),MATCH("Intent",'Semrush Data'!$A$1:$Z$1,0)),"")</f>
        <v>Informational</v>
      </c>
    </row>
    <row r="852" customFormat="false" ht="15" hidden="false" customHeight="true" outlineLevel="0" collapsed="false">
      <c r="A852" s="6" t="s">
        <v>2946</v>
      </c>
      <c r="B852" s="6" t="s">
        <v>6866</v>
      </c>
      <c r="C852" s="6" t="n">
        <v>2</v>
      </c>
      <c r="D852" s="6" t="n">
        <v>9</v>
      </c>
      <c r="E852" s="6" t="n">
        <v>1</v>
      </c>
      <c r="F852" s="6" t="s">
        <v>2943</v>
      </c>
      <c r="G852" s="28" t="n">
        <f aca="false">IFERROR(INDEX('Semrush Data'!$A$1:$Z$20000,MATCH(A852,'Semrush Data'!$A$1:$A$20000,0),MATCH("Volume",'Semrush Data'!$A$1:$Z$1,0)),"")</f>
        <v>0</v>
      </c>
      <c r="H852" s="6" t="n">
        <f aca="false">IFERROR(INDEX('Semrush Data'!$A$1:$Z$20000,MATCH(A852,'Semrush Data'!$A$1:$A$20000,0),MATCH("Keyword Difficulty*",'Semrush Data'!$A$1:$Z$1,0)),"")</f>
        <v>20</v>
      </c>
      <c r="I852" s="29" t="n">
        <f aca="false">IFERROR(INDEX('Semrush Data'!$A$1:$Z$20000,MATCH(A852,'Semrush Data'!$A$1:$A$20000,0),MATCH("CPC*",'Semrush Data'!$A$1:$Z$1,0)),"")</f>
        <v>0</v>
      </c>
      <c r="J852" s="6" t="str">
        <f aca="false">IFERROR(INDEX('Semrush Data'!$A$1:$Z$20000,MATCH(A852,'Semrush Data'!$A$1:$A$20000,0),MATCH("Intent",'Semrush Data'!$A$1:$Z$1,0)),"")</f>
        <v>Informational</v>
      </c>
    </row>
    <row r="853" customFormat="false" ht="15" hidden="false" customHeight="true" outlineLevel="0" collapsed="false">
      <c r="A853" s="6" t="s">
        <v>3003</v>
      </c>
      <c r="B853" s="6" t="s">
        <v>6866</v>
      </c>
      <c r="C853" s="6" t="n">
        <v>2</v>
      </c>
      <c r="D853" s="6" t="n">
        <v>9</v>
      </c>
      <c r="E853" s="6" t="n">
        <v>1</v>
      </c>
      <c r="F853" s="6" t="s">
        <v>3000</v>
      </c>
      <c r="G853" s="28" t="n">
        <f aca="false">IFERROR(INDEX('Semrush Data'!$A$1:$Z$20000,MATCH(A853,'Semrush Data'!$A$1:$A$20000,0),MATCH("Volume",'Semrush Data'!$A$1:$Z$1,0)),"")</f>
        <v>0</v>
      </c>
      <c r="H853" s="6" t="n">
        <f aca="false">IFERROR(INDEX('Semrush Data'!$A$1:$Z$20000,MATCH(A853,'Semrush Data'!$A$1:$A$20000,0),MATCH("Keyword Difficulty*",'Semrush Data'!$A$1:$Z$1,0)),"")</f>
        <v>15</v>
      </c>
      <c r="I853" s="29" t="n">
        <f aca="false">IFERROR(INDEX('Semrush Data'!$A$1:$Z$20000,MATCH(A853,'Semrush Data'!$A$1:$A$20000,0),MATCH("CPC*",'Semrush Data'!$A$1:$Z$1,0)),"")</f>
        <v>0</v>
      </c>
      <c r="J853" s="6" t="str">
        <f aca="false">IFERROR(INDEX('Semrush Data'!$A$1:$Z$20000,MATCH(A853,'Semrush Data'!$A$1:$A$20000,0),MATCH("Intent",'Semrush Data'!$A$1:$Z$1,0)),"")</f>
        <v>Informational</v>
      </c>
    </row>
    <row r="854" customFormat="false" ht="15" hidden="false" customHeight="true" outlineLevel="0" collapsed="false">
      <c r="A854" s="6" t="s">
        <v>3014</v>
      </c>
      <c r="B854" s="6" t="s">
        <v>6866</v>
      </c>
      <c r="C854" s="6" t="n">
        <v>2</v>
      </c>
      <c r="D854" s="6" t="n">
        <v>9</v>
      </c>
      <c r="E854" s="6" t="n">
        <v>1</v>
      </c>
      <c r="F854" s="6" t="s">
        <v>3011</v>
      </c>
      <c r="G854" s="28" t="n">
        <f aca="false">IFERROR(INDEX('Semrush Data'!$A$1:$Z$20000,MATCH(A854,'Semrush Data'!$A$1:$A$20000,0),MATCH("Volume",'Semrush Data'!$A$1:$Z$1,0)),"")</f>
        <v>0</v>
      </c>
      <c r="H854" s="6" t="n">
        <f aca="false">IFERROR(INDEX('Semrush Data'!$A$1:$Z$20000,MATCH(A854,'Semrush Data'!$A$1:$A$20000,0),MATCH("Keyword Difficulty*",'Semrush Data'!$A$1:$Z$1,0)),"")</f>
        <v>17</v>
      </c>
      <c r="I854" s="29" t="n">
        <f aca="false">IFERROR(INDEX('Semrush Data'!$A$1:$Z$20000,MATCH(A854,'Semrush Data'!$A$1:$A$20000,0),MATCH("CPC*",'Semrush Data'!$A$1:$Z$1,0)),"")</f>
        <v>0</v>
      </c>
      <c r="J854" s="6" t="str">
        <f aca="false">IFERROR(INDEX('Semrush Data'!$A$1:$Z$20000,MATCH(A854,'Semrush Data'!$A$1:$A$20000,0),MATCH("Intent",'Semrush Data'!$A$1:$Z$1,0)),"")</f>
        <v>Informational</v>
      </c>
    </row>
    <row r="855" customFormat="false" ht="15" hidden="false" customHeight="true" outlineLevel="0" collapsed="false">
      <c r="A855" s="6" t="s">
        <v>2969</v>
      </c>
      <c r="B855" s="6" t="s">
        <v>6866</v>
      </c>
      <c r="C855" s="6" t="n">
        <v>2</v>
      </c>
      <c r="D855" s="6" t="n">
        <v>9</v>
      </c>
      <c r="E855" s="6" t="n">
        <v>1</v>
      </c>
      <c r="F855" s="6" t="s">
        <v>2966</v>
      </c>
      <c r="G855" s="28" t="n">
        <f aca="false">IFERROR(INDEX('Semrush Data'!$A$1:$Z$20000,MATCH(A855,'Semrush Data'!$A$1:$A$20000,0),MATCH("Volume",'Semrush Data'!$A$1:$Z$1,0)),"")</f>
        <v>20</v>
      </c>
      <c r="H855" s="6" t="n">
        <f aca="false">IFERROR(INDEX('Semrush Data'!$A$1:$Z$20000,MATCH(A855,'Semrush Data'!$A$1:$A$20000,0),MATCH("Keyword Difficulty*",'Semrush Data'!$A$1:$Z$1,0)),"")</f>
        <v>15</v>
      </c>
      <c r="I855" s="29" t="n">
        <f aca="false">IFERROR(INDEX('Semrush Data'!$A$1:$Z$20000,MATCH(A855,'Semrush Data'!$A$1:$A$20000,0),MATCH("CPC*",'Semrush Data'!$A$1:$Z$1,0)),"")</f>
        <v>0</v>
      </c>
      <c r="J855" s="6" t="str">
        <f aca="false">IFERROR(INDEX('Semrush Data'!$A$1:$Z$20000,MATCH(A855,'Semrush Data'!$A$1:$A$20000,0),MATCH("Intent",'Semrush Data'!$A$1:$Z$1,0)),"")</f>
        <v>Informational</v>
      </c>
    </row>
    <row r="856" customFormat="false" ht="15" hidden="false" customHeight="true" outlineLevel="0" collapsed="false">
      <c r="A856" s="6" t="s">
        <v>3066</v>
      </c>
      <c r="B856" s="6" t="s">
        <v>6866</v>
      </c>
      <c r="C856" s="6" t="n">
        <v>2</v>
      </c>
      <c r="D856" s="6" t="n">
        <v>9</v>
      </c>
      <c r="E856" s="6" t="n">
        <v>1</v>
      </c>
      <c r="F856" s="6" t="s">
        <v>3062</v>
      </c>
      <c r="G856" s="28" t="n">
        <f aca="false">IFERROR(INDEX('Semrush Data'!$A$1:$Z$20000,MATCH(A856,'Semrush Data'!$A$1:$A$20000,0),MATCH("Volume",'Semrush Data'!$A$1:$Z$1,0)),"")</f>
        <v>0</v>
      </c>
      <c r="H856" s="6" t="n">
        <f aca="false">IFERROR(INDEX('Semrush Data'!$A$1:$Z$20000,MATCH(A856,'Semrush Data'!$A$1:$A$20000,0),MATCH("Keyword Difficulty*",'Semrush Data'!$A$1:$Z$1,0)),"")</f>
        <v>22</v>
      </c>
      <c r="I856" s="29" t="n">
        <f aca="false">IFERROR(INDEX('Semrush Data'!$A$1:$Z$20000,MATCH(A856,'Semrush Data'!$A$1:$A$20000,0),MATCH("CPC*",'Semrush Data'!$A$1:$Z$1,0)),"")</f>
        <v>0</v>
      </c>
      <c r="J856" s="6" t="str">
        <f aca="false">IFERROR(INDEX('Semrush Data'!$A$1:$Z$20000,MATCH(A856,'Semrush Data'!$A$1:$A$20000,0),MATCH("Intent",'Semrush Data'!$A$1:$Z$1,0)),"")</f>
        <v>Informational</v>
      </c>
    </row>
    <row r="857" customFormat="false" ht="15" hidden="false" customHeight="true" outlineLevel="0" collapsed="false">
      <c r="A857" s="6" t="s">
        <v>3077</v>
      </c>
      <c r="B857" s="6" t="s">
        <v>6866</v>
      </c>
      <c r="C857" s="6" t="n">
        <v>2</v>
      </c>
      <c r="D857" s="6" t="n">
        <v>9</v>
      </c>
      <c r="E857" s="6" t="n">
        <v>2</v>
      </c>
      <c r="F857" s="6" t="s">
        <v>6843</v>
      </c>
      <c r="G857" s="28" t="n">
        <f aca="false">IFERROR(INDEX('Semrush Data'!$A$1:$Z$20000,MATCH(A857,'Semrush Data'!$A$1:$A$20000,0),MATCH("Volume",'Semrush Data'!$A$1:$Z$1,0)),"")</f>
        <v>0</v>
      </c>
      <c r="H857" s="6" t="n">
        <f aca="false">IFERROR(INDEX('Semrush Data'!$A$1:$Z$20000,MATCH(A857,'Semrush Data'!$A$1:$A$20000,0),MATCH("Keyword Difficulty*",'Semrush Data'!$A$1:$Z$1,0)),"")</f>
        <v>21</v>
      </c>
      <c r="I857" s="29" t="n">
        <f aca="false">IFERROR(INDEX('Semrush Data'!$A$1:$Z$20000,MATCH(A857,'Semrush Data'!$A$1:$A$20000,0),MATCH("CPC*",'Semrush Data'!$A$1:$Z$1,0)),"")</f>
        <v>0</v>
      </c>
      <c r="J857" s="6" t="str">
        <f aca="false">IFERROR(INDEX('Semrush Data'!$A$1:$Z$20000,MATCH(A857,'Semrush Data'!$A$1:$A$20000,0),MATCH("Intent",'Semrush Data'!$A$1:$Z$1,0)),"")</f>
        <v>Navigational</v>
      </c>
    </row>
    <row r="858" customFormat="false" ht="15" hidden="false" customHeight="true" outlineLevel="0" collapsed="false">
      <c r="A858" s="6" t="s">
        <v>3048</v>
      </c>
      <c r="B858" s="6" t="s">
        <v>6866</v>
      </c>
      <c r="C858" s="6" t="n">
        <v>2</v>
      </c>
      <c r="D858" s="6" t="n">
        <v>9</v>
      </c>
      <c r="E858" s="6" t="n">
        <v>2</v>
      </c>
      <c r="F858" s="6" t="s">
        <v>6842</v>
      </c>
      <c r="G858" s="28" t="n">
        <f aca="false">IFERROR(INDEX('Semrush Data'!$A$1:$Z$20000,MATCH(A858,'Semrush Data'!$A$1:$A$20000,0),MATCH("Volume",'Semrush Data'!$A$1:$Z$1,0)),"")</f>
        <v>0</v>
      </c>
      <c r="H858" s="6" t="n">
        <f aca="false">IFERROR(INDEX('Semrush Data'!$A$1:$Z$20000,MATCH(A858,'Semrush Data'!$A$1:$A$20000,0),MATCH("Keyword Difficulty*",'Semrush Data'!$A$1:$Z$1,0)),"")</f>
        <v>28</v>
      </c>
      <c r="I858" s="29" t="n">
        <f aca="false">IFERROR(INDEX('Semrush Data'!$A$1:$Z$20000,MATCH(A858,'Semrush Data'!$A$1:$A$20000,0),MATCH("CPC*",'Semrush Data'!$A$1:$Z$1,0)),"")</f>
        <v>0</v>
      </c>
      <c r="J858" s="6" t="str">
        <f aca="false">IFERROR(INDEX('Semrush Data'!$A$1:$Z$20000,MATCH(A858,'Semrush Data'!$A$1:$A$20000,0),MATCH("Intent",'Semrush Data'!$A$1:$Z$1,0)),"")</f>
        <v>Navigational</v>
      </c>
    </row>
    <row r="859" customFormat="false" ht="15" hidden="false" customHeight="true" outlineLevel="0" collapsed="false">
      <c r="A859" s="6" t="s">
        <v>3124</v>
      </c>
      <c r="B859" s="6" t="s">
        <v>6866</v>
      </c>
      <c r="C859" s="6" t="n">
        <v>2</v>
      </c>
      <c r="D859" s="6" t="n">
        <v>9</v>
      </c>
      <c r="E859" s="6" t="n">
        <v>1</v>
      </c>
      <c r="F859" s="6" t="s">
        <v>3121</v>
      </c>
      <c r="G859" s="28" t="n">
        <f aca="false">IFERROR(INDEX('Semrush Data'!$A$1:$Z$20000,MATCH(A859,'Semrush Data'!$A$1:$A$20000,0),MATCH("Volume",'Semrush Data'!$A$1:$Z$1,0)),"")</f>
        <v>0</v>
      </c>
      <c r="H859" s="6" t="n">
        <f aca="false">IFERROR(INDEX('Semrush Data'!$A$1:$Z$20000,MATCH(A859,'Semrush Data'!$A$1:$A$20000,0),MATCH("Keyword Difficulty*",'Semrush Data'!$A$1:$Z$1,0)),"")</f>
        <v>17</v>
      </c>
      <c r="I859" s="29" t="n">
        <f aca="false">IFERROR(INDEX('Semrush Data'!$A$1:$Z$20000,MATCH(A859,'Semrush Data'!$A$1:$A$20000,0),MATCH("CPC*",'Semrush Data'!$A$1:$Z$1,0)),"")</f>
        <v>0</v>
      </c>
      <c r="J859" s="6" t="str">
        <f aca="false">IFERROR(INDEX('Semrush Data'!$A$1:$Z$20000,MATCH(A859,'Semrush Data'!$A$1:$A$20000,0),MATCH("Intent",'Semrush Data'!$A$1:$Z$1,0)),"")</f>
        <v>Informational</v>
      </c>
    </row>
    <row r="860" customFormat="false" ht="15" hidden="false" customHeight="true" outlineLevel="0" collapsed="false">
      <c r="A860" s="6" t="s">
        <v>3090</v>
      </c>
      <c r="B860" s="6" t="s">
        <v>6866</v>
      </c>
      <c r="C860" s="6" t="n">
        <v>2</v>
      </c>
      <c r="D860" s="6" t="n">
        <v>9</v>
      </c>
      <c r="E860" s="6" t="n">
        <v>1</v>
      </c>
      <c r="F860" s="6" t="s">
        <v>79</v>
      </c>
      <c r="G860" s="28" t="n">
        <f aca="false">IFERROR(INDEX('Semrush Data'!$A$1:$Z$20000,MATCH(A860,'Semrush Data'!$A$1:$A$20000,0),MATCH("Volume",'Semrush Data'!$A$1:$Z$1,0)),"")</f>
        <v>20</v>
      </c>
      <c r="H860" s="6" t="n">
        <f aca="false">IFERROR(INDEX('Semrush Data'!$A$1:$Z$20000,MATCH(A860,'Semrush Data'!$A$1:$A$20000,0),MATCH("Keyword Difficulty*",'Semrush Data'!$A$1:$Z$1,0)),"")</f>
        <v>14</v>
      </c>
      <c r="I860" s="29" t="n">
        <f aca="false">IFERROR(INDEX('Semrush Data'!$A$1:$Z$20000,MATCH(A860,'Semrush Data'!$A$1:$A$20000,0),MATCH("CPC*",'Semrush Data'!$A$1:$Z$1,0)),"")</f>
        <v>0.49</v>
      </c>
      <c r="J860" s="6" t="str">
        <f aca="false">IFERROR(INDEX('Semrush Data'!$A$1:$Z$20000,MATCH(A860,'Semrush Data'!$A$1:$A$20000,0),MATCH("Intent",'Semrush Data'!$A$1:$Z$1,0)),"")</f>
        <v>Informational Transactional</v>
      </c>
    </row>
    <row r="861" customFormat="false" ht="15" hidden="false" customHeight="true" outlineLevel="0" collapsed="false">
      <c r="A861" s="6" t="s">
        <v>3134</v>
      </c>
      <c r="B861" s="6" t="s">
        <v>6866</v>
      </c>
      <c r="C861" s="6" t="n">
        <v>2</v>
      </c>
      <c r="D861" s="6" t="n">
        <v>9</v>
      </c>
      <c r="E861" s="6" t="n">
        <v>1</v>
      </c>
      <c r="F861" s="6" t="s">
        <v>3131</v>
      </c>
      <c r="G861" s="28" t="n">
        <f aca="false">IFERROR(INDEX('Semrush Data'!$A$1:$Z$20000,MATCH(A861,'Semrush Data'!$A$1:$A$20000,0),MATCH("Volume",'Semrush Data'!$A$1:$Z$1,0)),"")</f>
        <v>0</v>
      </c>
      <c r="H861" s="6" t="n">
        <f aca="false">IFERROR(INDEX('Semrush Data'!$A$1:$Z$20000,MATCH(A861,'Semrush Data'!$A$1:$A$20000,0),MATCH("Keyword Difficulty*",'Semrush Data'!$A$1:$Z$1,0)),"")</f>
        <v>18</v>
      </c>
      <c r="I861" s="29" t="n">
        <f aca="false">IFERROR(INDEX('Semrush Data'!$A$1:$Z$20000,MATCH(A861,'Semrush Data'!$A$1:$A$20000,0),MATCH("CPC*",'Semrush Data'!$A$1:$Z$1,0)),"")</f>
        <v>0</v>
      </c>
      <c r="J861" s="6" t="str">
        <f aca="false">IFERROR(INDEX('Semrush Data'!$A$1:$Z$20000,MATCH(A861,'Semrush Data'!$A$1:$A$20000,0),MATCH("Intent",'Semrush Data'!$A$1:$Z$1,0)),"")</f>
        <v>Informational</v>
      </c>
    </row>
    <row r="862" customFormat="false" ht="15" hidden="false" customHeight="true" outlineLevel="0" collapsed="false">
      <c r="A862" s="6" t="s">
        <v>3144</v>
      </c>
      <c r="B862" s="6" t="s">
        <v>6866</v>
      </c>
      <c r="C862" s="6" t="n">
        <v>2</v>
      </c>
      <c r="D862" s="6" t="n">
        <v>9</v>
      </c>
      <c r="E862" s="6" t="n">
        <v>1</v>
      </c>
      <c r="F862" s="6" t="s">
        <v>3141</v>
      </c>
      <c r="G862" s="28" t="n">
        <f aca="false">IFERROR(INDEX('Semrush Data'!$A$1:$Z$20000,MATCH(A862,'Semrush Data'!$A$1:$A$20000,0),MATCH("Volume",'Semrush Data'!$A$1:$Z$1,0)),"")</f>
        <v>0</v>
      </c>
      <c r="H862" s="6" t="n">
        <f aca="false">IFERROR(INDEX('Semrush Data'!$A$1:$Z$20000,MATCH(A862,'Semrush Data'!$A$1:$A$20000,0),MATCH("Keyword Difficulty*",'Semrush Data'!$A$1:$Z$1,0)),"")</f>
        <v>16</v>
      </c>
      <c r="I862" s="29" t="n">
        <f aca="false">IFERROR(INDEX('Semrush Data'!$A$1:$Z$20000,MATCH(A862,'Semrush Data'!$A$1:$A$20000,0),MATCH("CPC*",'Semrush Data'!$A$1:$Z$1,0)),"")</f>
        <v>0</v>
      </c>
      <c r="J862" s="6" t="str">
        <f aca="false">IFERROR(INDEX('Semrush Data'!$A$1:$Z$20000,MATCH(A862,'Semrush Data'!$A$1:$A$20000,0),MATCH("Intent",'Semrush Data'!$A$1:$Z$1,0)),"")</f>
        <v>Informational</v>
      </c>
    </row>
    <row r="863" customFormat="false" ht="15" hidden="false" customHeight="true" outlineLevel="0" collapsed="false">
      <c r="A863" s="6" t="s">
        <v>3154</v>
      </c>
      <c r="B863" s="6" t="s">
        <v>6866</v>
      </c>
      <c r="C863" s="6" t="n">
        <v>2</v>
      </c>
      <c r="D863" s="6" t="n">
        <v>9</v>
      </c>
      <c r="E863" s="6" t="n">
        <v>1</v>
      </c>
      <c r="F863" s="6" t="s">
        <v>3151</v>
      </c>
      <c r="G863" s="28" t="n">
        <f aca="false">IFERROR(INDEX('Semrush Data'!$A$1:$Z$20000,MATCH(A863,'Semrush Data'!$A$1:$A$20000,0),MATCH("Volume",'Semrush Data'!$A$1:$Z$1,0)),"")</f>
        <v>0</v>
      </c>
      <c r="H863" s="6" t="n">
        <f aca="false">IFERROR(INDEX('Semrush Data'!$A$1:$Z$20000,MATCH(A863,'Semrush Data'!$A$1:$A$20000,0),MATCH("Keyword Difficulty*",'Semrush Data'!$A$1:$Z$1,0)),"")</f>
        <v>17</v>
      </c>
      <c r="I863" s="29" t="n">
        <f aca="false">IFERROR(INDEX('Semrush Data'!$A$1:$Z$20000,MATCH(A863,'Semrush Data'!$A$1:$A$20000,0),MATCH("CPC*",'Semrush Data'!$A$1:$Z$1,0)),"")</f>
        <v>0</v>
      </c>
      <c r="J863" s="6" t="str">
        <f aca="false">IFERROR(INDEX('Semrush Data'!$A$1:$Z$20000,MATCH(A863,'Semrush Data'!$A$1:$A$20000,0),MATCH("Intent",'Semrush Data'!$A$1:$Z$1,0)),"")</f>
        <v>Informational Transactional</v>
      </c>
    </row>
    <row r="864" customFormat="false" ht="15" hidden="false" customHeight="true" outlineLevel="0" collapsed="false">
      <c r="A864" s="6" t="s">
        <v>3113</v>
      </c>
      <c r="B864" s="6" t="s">
        <v>6866</v>
      </c>
      <c r="C864" s="6" t="n">
        <v>2</v>
      </c>
      <c r="D864" s="6" t="n">
        <v>9</v>
      </c>
      <c r="E864" s="6" t="n">
        <v>1</v>
      </c>
      <c r="F864" s="6" t="s">
        <v>145</v>
      </c>
      <c r="G864" s="28" t="n">
        <f aca="false">IFERROR(INDEX('Semrush Data'!$A$1:$Z$20000,MATCH(A864,'Semrush Data'!$A$1:$A$20000,0),MATCH("Volume",'Semrush Data'!$A$1:$Z$1,0)),"")</f>
        <v>20</v>
      </c>
      <c r="H864" s="6" t="n">
        <f aca="false">IFERROR(INDEX('Semrush Data'!$A$1:$Z$20000,MATCH(A864,'Semrush Data'!$A$1:$A$20000,0),MATCH("Keyword Difficulty*",'Semrush Data'!$A$1:$Z$1,0)),"")</f>
        <v>13</v>
      </c>
      <c r="I864" s="29" t="n">
        <f aca="false">IFERROR(INDEX('Semrush Data'!$A$1:$Z$20000,MATCH(A864,'Semrush Data'!$A$1:$A$20000,0),MATCH("CPC*",'Semrush Data'!$A$1:$Z$1,0)),"")</f>
        <v>0</v>
      </c>
      <c r="J864" s="6" t="str">
        <f aca="false">IFERROR(INDEX('Semrush Data'!$A$1:$Z$20000,MATCH(A864,'Semrush Data'!$A$1:$A$20000,0),MATCH("Intent",'Semrush Data'!$A$1:$Z$1,0)),"")</f>
        <v>Navigational</v>
      </c>
    </row>
    <row r="865" customFormat="false" ht="15" hidden="false" customHeight="true" outlineLevel="0" collapsed="false">
      <c r="A865" s="6" t="s">
        <v>3164</v>
      </c>
      <c r="B865" s="6" t="s">
        <v>6866</v>
      </c>
      <c r="C865" s="6" t="n">
        <v>2</v>
      </c>
      <c r="D865" s="6" t="n">
        <v>9</v>
      </c>
      <c r="E865" s="6" t="n">
        <v>1</v>
      </c>
      <c r="F865" s="6" t="s">
        <v>3161</v>
      </c>
      <c r="G865" s="28" t="n">
        <f aca="false">IFERROR(INDEX('Semrush Data'!$A$1:$Z$20000,MATCH(A865,'Semrush Data'!$A$1:$A$20000,0),MATCH("Volume",'Semrush Data'!$A$1:$Z$1,0)),"")</f>
        <v>0</v>
      </c>
      <c r="H865" s="6" t="n">
        <f aca="false">IFERROR(INDEX('Semrush Data'!$A$1:$Z$20000,MATCH(A865,'Semrush Data'!$A$1:$A$20000,0),MATCH("Keyword Difficulty*",'Semrush Data'!$A$1:$Z$1,0)),"")</f>
        <v>16</v>
      </c>
      <c r="I865" s="29" t="n">
        <f aca="false">IFERROR(INDEX('Semrush Data'!$A$1:$Z$20000,MATCH(A865,'Semrush Data'!$A$1:$A$20000,0),MATCH("CPC*",'Semrush Data'!$A$1:$Z$1,0)),"")</f>
        <v>0</v>
      </c>
      <c r="J865" s="6" t="str">
        <f aca="false">IFERROR(INDEX('Semrush Data'!$A$1:$Z$20000,MATCH(A865,'Semrush Data'!$A$1:$A$20000,0),MATCH("Intent",'Semrush Data'!$A$1:$Z$1,0)),"")</f>
        <v>Informational Commercial</v>
      </c>
    </row>
    <row r="866" customFormat="false" ht="15" hidden="false" customHeight="true" outlineLevel="0" collapsed="false">
      <c r="A866" s="6" t="s">
        <v>3102</v>
      </c>
      <c r="B866" s="6" t="s">
        <v>6866</v>
      </c>
      <c r="C866" s="6" t="n">
        <v>2</v>
      </c>
      <c r="D866" s="6" t="n">
        <v>9</v>
      </c>
      <c r="E866" s="6" t="n">
        <v>1</v>
      </c>
      <c r="F866" s="6" t="s">
        <v>3099</v>
      </c>
      <c r="G866" s="28" t="n">
        <f aca="false">IFERROR(INDEX('Semrush Data'!$A$1:$Z$20000,MATCH(A866,'Semrush Data'!$A$1:$A$20000,0),MATCH("Volume",'Semrush Data'!$A$1:$Z$1,0)),"")</f>
        <v>0</v>
      </c>
      <c r="H866" s="6" t="n">
        <f aca="false">IFERROR(INDEX('Semrush Data'!$A$1:$Z$20000,MATCH(A866,'Semrush Data'!$A$1:$A$20000,0),MATCH("Keyword Difficulty*",'Semrush Data'!$A$1:$Z$1,0)),"")</f>
        <v>22</v>
      </c>
      <c r="I866" s="29" t="n">
        <f aca="false">IFERROR(INDEX('Semrush Data'!$A$1:$Z$20000,MATCH(A866,'Semrush Data'!$A$1:$A$20000,0),MATCH("CPC*",'Semrush Data'!$A$1:$Z$1,0)),"")</f>
        <v>0</v>
      </c>
      <c r="J866" s="6" t="str">
        <f aca="false">IFERROR(INDEX('Semrush Data'!$A$1:$Z$20000,MATCH(A866,'Semrush Data'!$A$1:$A$20000,0),MATCH("Intent",'Semrush Data'!$A$1:$Z$1,0)),"")</f>
        <v>Informational</v>
      </c>
    </row>
    <row r="867" customFormat="false" ht="15" hidden="false" customHeight="true" outlineLevel="0" collapsed="false">
      <c r="A867" s="6" t="s">
        <v>3175</v>
      </c>
      <c r="B867" s="6" t="s">
        <v>6866</v>
      </c>
      <c r="C867" s="6" t="n">
        <v>2</v>
      </c>
      <c r="D867" s="6" t="n">
        <v>9</v>
      </c>
      <c r="E867" s="6" t="n">
        <v>1</v>
      </c>
      <c r="F867" s="6" t="s">
        <v>3171</v>
      </c>
      <c r="G867" s="28" t="n">
        <f aca="false">IFERROR(INDEX('Semrush Data'!$A$1:$Z$20000,MATCH(A867,'Semrush Data'!$A$1:$A$20000,0),MATCH("Volume",'Semrush Data'!$A$1:$Z$1,0)),"")</f>
        <v>0</v>
      </c>
      <c r="H867" s="6" t="n">
        <f aca="false">IFERROR(INDEX('Semrush Data'!$A$1:$Z$20000,MATCH(A867,'Semrush Data'!$A$1:$A$20000,0),MATCH("Keyword Difficulty*",'Semrush Data'!$A$1:$Z$1,0)),"")</f>
        <v>17</v>
      </c>
      <c r="I867" s="29" t="n">
        <f aca="false">IFERROR(INDEX('Semrush Data'!$A$1:$Z$20000,MATCH(A867,'Semrush Data'!$A$1:$A$20000,0),MATCH("CPC*",'Semrush Data'!$A$1:$Z$1,0)),"")</f>
        <v>0</v>
      </c>
      <c r="J867" s="6" t="str">
        <f aca="false">IFERROR(INDEX('Semrush Data'!$A$1:$Z$20000,MATCH(A867,'Semrush Data'!$A$1:$A$20000,0),MATCH("Intent",'Semrush Data'!$A$1:$Z$1,0)),"")</f>
        <v>Informational</v>
      </c>
    </row>
    <row r="868" customFormat="false" ht="15" hidden="false" customHeight="true" outlineLevel="0" collapsed="false">
      <c r="A868" s="6" t="s">
        <v>3225</v>
      </c>
      <c r="B868" s="6" t="s">
        <v>6866</v>
      </c>
      <c r="C868" s="6" t="n">
        <v>2</v>
      </c>
      <c r="D868" s="6" t="n">
        <v>9</v>
      </c>
      <c r="E868" s="6" t="n">
        <v>1</v>
      </c>
      <c r="F868" s="6" t="s">
        <v>3222</v>
      </c>
      <c r="G868" s="28" t="n">
        <f aca="false">IFERROR(INDEX('Semrush Data'!$A$1:$Z$20000,MATCH(A868,'Semrush Data'!$A$1:$A$20000,0),MATCH("Volume",'Semrush Data'!$A$1:$Z$1,0)),"")</f>
        <v>0</v>
      </c>
      <c r="H868" s="6" t="n">
        <f aca="false">IFERROR(INDEX('Semrush Data'!$A$1:$Z$20000,MATCH(A868,'Semrush Data'!$A$1:$A$20000,0),MATCH("Keyword Difficulty*",'Semrush Data'!$A$1:$Z$1,0)),"")</f>
        <v>17</v>
      </c>
      <c r="I868" s="29" t="n">
        <f aca="false">IFERROR(INDEX('Semrush Data'!$A$1:$Z$20000,MATCH(A868,'Semrush Data'!$A$1:$A$20000,0),MATCH("CPC*",'Semrush Data'!$A$1:$Z$1,0)),"")</f>
        <v>0</v>
      </c>
      <c r="J868" s="6" t="str">
        <f aca="false">IFERROR(INDEX('Semrush Data'!$A$1:$Z$20000,MATCH(A868,'Semrush Data'!$A$1:$A$20000,0),MATCH("Intent",'Semrush Data'!$A$1:$Z$1,0)),"")</f>
        <v>Informational</v>
      </c>
    </row>
    <row r="869" customFormat="false" ht="15" hidden="false" customHeight="true" outlineLevel="0" collapsed="false">
      <c r="A869" s="6" t="s">
        <v>3234</v>
      </c>
      <c r="B869" s="6" t="s">
        <v>6866</v>
      </c>
      <c r="C869" s="6" t="n">
        <v>2</v>
      </c>
      <c r="D869" s="6" t="n">
        <v>9</v>
      </c>
      <c r="E869" s="6" t="n">
        <v>2</v>
      </c>
      <c r="F869" s="6" t="s">
        <v>6844</v>
      </c>
      <c r="G869" s="28" t="n">
        <f aca="false">IFERROR(INDEX('Semrush Data'!$A$1:$Z$20000,MATCH(A869,'Semrush Data'!$A$1:$A$20000,0),MATCH("Volume",'Semrush Data'!$A$1:$Z$1,0)),"")</f>
        <v>20</v>
      </c>
      <c r="H869" s="6" t="n">
        <f aca="false">IFERROR(INDEX('Semrush Data'!$A$1:$Z$20000,MATCH(A869,'Semrush Data'!$A$1:$A$20000,0),MATCH("Keyword Difficulty*",'Semrush Data'!$A$1:$Z$1,0)),"")</f>
        <v>11</v>
      </c>
      <c r="I869" s="29" t="n">
        <f aca="false">IFERROR(INDEX('Semrush Data'!$A$1:$Z$20000,MATCH(A869,'Semrush Data'!$A$1:$A$20000,0),MATCH("CPC*",'Semrush Data'!$A$1:$Z$1,0)),"")</f>
        <v>0</v>
      </c>
      <c r="J869" s="6" t="str">
        <f aca="false">IFERROR(INDEX('Semrush Data'!$A$1:$Z$20000,MATCH(A869,'Semrush Data'!$A$1:$A$20000,0),MATCH("Intent",'Semrush Data'!$A$1:$Z$1,0)),"")</f>
        <v>Informational Commercial</v>
      </c>
    </row>
    <row r="870" customFormat="false" ht="15" hidden="false" customHeight="true" outlineLevel="0" collapsed="false">
      <c r="A870" s="6" t="s">
        <v>3246</v>
      </c>
      <c r="B870" s="6" t="s">
        <v>6866</v>
      </c>
      <c r="C870" s="6" t="n">
        <v>2</v>
      </c>
      <c r="D870" s="6" t="n">
        <v>9</v>
      </c>
      <c r="E870" s="6" t="n">
        <v>2</v>
      </c>
      <c r="F870" s="6" t="s">
        <v>6846</v>
      </c>
      <c r="G870" s="28" t="n">
        <f aca="false">IFERROR(INDEX('Semrush Data'!$A$1:$Z$20000,MATCH(A870,'Semrush Data'!$A$1:$A$20000,0),MATCH("Volume",'Semrush Data'!$A$1:$Z$1,0)),"")</f>
        <v>0</v>
      </c>
      <c r="H870" s="6" t="n">
        <f aca="false">IFERROR(INDEX('Semrush Data'!$A$1:$Z$20000,MATCH(A870,'Semrush Data'!$A$1:$A$20000,0),MATCH("Keyword Difficulty*",'Semrush Data'!$A$1:$Z$1,0)),"")</f>
        <v>17</v>
      </c>
      <c r="I870" s="29" t="n">
        <f aca="false">IFERROR(INDEX('Semrush Data'!$A$1:$Z$20000,MATCH(A870,'Semrush Data'!$A$1:$A$20000,0),MATCH("CPC*",'Semrush Data'!$A$1:$Z$1,0)),"")</f>
        <v>0</v>
      </c>
      <c r="J870" s="6" t="str">
        <f aca="false">IFERROR(INDEX('Semrush Data'!$A$1:$Z$20000,MATCH(A870,'Semrush Data'!$A$1:$A$20000,0),MATCH("Intent",'Semrush Data'!$A$1:$Z$1,0)),"")</f>
        <v>Informational Transactional</v>
      </c>
    </row>
    <row r="871" customFormat="false" ht="15" hidden="false" customHeight="true" outlineLevel="0" collapsed="false">
      <c r="A871" s="6" t="s">
        <v>3259</v>
      </c>
      <c r="B871" s="6" t="s">
        <v>6866</v>
      </c>
      <c r="C871" s="6" t="n">
        <v>2</v>
      </c>
      <c r="D871" s="6" t="n">
        <v>9</v>
      </c>
      <c r="E871" s="6" t="n">
        <v>1</v>
      </c>
      <c r="F871" s="6" t="s">
        <v>3256</v>
      </c>
      <c r="G871" s="28" t="n">
        <f aca="false">IFERROR(INDEX('Semrush Data'!$A$1:$Z$20000,MATCH(A871,'Semrush Data'!$A$1:$A$20000,0),MATCH("Volume",'Semrush Data'!$A$1:$Z$1,0)),"")</f>
        <v>0</v>
      </c>
      <c r="H871" s="6" t="n">
        <f aca="false">IFERROR(INDEX('Semrush Data'!$A$1:$Z$20000,MATCH(A871,'Semrush Data'!$A$1:$A$20000,0),MATCH("Keyword Difficulty*",'Semrush Data'!$A$1:$Z$1,0)),"")</f>
        <v>16</v>
      </c>
      <c r="I871" s="29" t="n">
        <f aca="false">IFERROR(INDEX('Semrush Data'!$A$1:$Z$20000,MATCH(A871,'Semrush Data'!$A$1:$A$20000,0),MATCH("CPC*",'Semrush Data'!$A$1:$Z$1,0)),"")</f>
        <v>0</v>
      </c>
      <c r="J871" s="6" t="str">
        <f aca="false">IFERROR(INDEX('Semrush Data'!$A$1:$Z$20000,MATCH(A871,'Semrush Data'!$A$1:$A$20000,0),MATCH("Intent",'Semrush Data'!$A$1:$Z$1,0)),"")</f>
        <v>Informational Transactional</v>
      </c>
    </row>
    <row r="872" customFormat="false" ht="15" hidden="false" customHeight="true" outlineLevel="0" collapsed="false">
      <c r="A872" s="6" t="s">
        <v>3184</v>
      </c>
      <c r="B872" s="6" t="s">
        <v>6866</v>
      </c>
      <c r="C872" s="6" t="n">
        <v>2</v>
      </c>
      <c r="D872" s="6" t="n">
        <v>9</v>
      </c>
      <c r="E872" s="6" t="n">
        <v>2</v>
      </c>
      <c r="F872" s="6" t="s">
        <v>6845</v>
      </c>
      <c r="G872" s="28" t="n">
        <f aca="false">IFERROR(INDEX('Semrush Data'!$A$1:$Z$20000,MATCH(A872,'Semrush Data'!$A$1:$A$20000,0),MATCH("Volume",'Semrush Data'!$A$1:$Z$1,0)),"")</f>
        <v>20</v>
      </c>
      <c r="H872" s="6" t="n">
        <f aca="false">IFERROR(INDEX('Semrush Data'!$A$1:$Z$20000,MATCH(A872,'Semrush Data'!$A$1:$A$20000,0),MATCH("Keyword Difficulty*",'Semrush Data'!$A$1:$Z$1,0)),"")</f>
        <v>11</v>
      </c>
      <c r="I872" s="29" t="n">
        <f aca="false">IFERROR(INDEX('Semrush Data'!$A$1:$Z$20000,MATCH(A872,'Semrush Data'!$A$1:$A$20000,0),MATCH("CPC*",'Semrush Data'!$A$1:$Z$1,0)),"")</f>
        <v>0</v>
      </c>
      <c r="J872" s="6" t="str">
        <f aca="false">IFERROR(INDEX('Semrush Data'!$A$1:$Z$20000,MATCH(A872,'Semrush Data'!$A$1:$A$20000,0),MATCH("Intent",'Semrush Data'!$A$1:$Z$1,0)),"")</f>
        <v>Navigational</v>
      </c>
    </row>
    <row r="873" customFormat="false" ht="15" hidden="false" customHeight="true" outlineLevel="0" collapsed="false">
      <c r="A873" s="6" t="s">
        <v>3214</v>
      </c>
      <c r="B873" s="6" t="s">
        <v>6866</v>
      </c>
      <c r="C873" s="6" t="n">
        <v>2</v>
      </c>
      <c r="D873" s="6" t="n">
        <v>9</v>
      </c>
      <c r="E873" s="6" t="n">
        <v>1</v>
      </c>
      <c r="F873" s="6" t="s">
        <v>3210</v>
      </c>
      <c r="G873" s="28" t="n">
        <f aca="false">IFERROR(INDEX('Semrush Data'!$A$1:$Z$20000,MATCH(A873,'Semrush Data'!$A$1:$A$20000,0),MATCH("Volume",'Semrush Data'!$A$1:$Z$1,0)),"")</f>
        <v>0</v>
      </c>
      <c r="H873" s="6" t="n">
        <f aca="false">IFERROR(INDEX('Semrush Data'!$A$1:$Z$20000,MATCH(A873,'Semrush Data'!$A$1:$A$20000,0),MATCH("Keyword Difficulty*",'Semrush Data'!$A$1:$Z$1,0)),"")</f>
        <v>17</v>
      </c>
      <c r="I873" s="29" t="n">
        <f aca="false">IFERROR(INDEX('Semrush Data'!$A$1:$Z$20000,MATCH(A873,'Semrush Data'!$A$1:$A$20000,0),MATCH("CPC*",'Semrush Data'!$A$1:$Z$1,0)),"")</f>
        <v>0</v>
      </c>
      <c r="J873" s="6" t="str">
        <f aca="false">IFERROR(INDEX('Semrush Data'!$A$1:$Z$20000,MATCH(A873,'Semrush Data'!$A$1:$A$20000,0),MATCH("Intent",'Semrush Data'!$A$1:$Z$1,0)),"")</f>
        <v>Transactional</v>
      </c>
    </row>
    <row r="874" customFormat="false" ht="15" hidden="false" customHeight="true" outlineLevel="0" collapsed="false">
      <c r="A874" s="6" t="s">
        <v>3196</v>
      </c>
      <c r="B874" s="6" t="s">
        <v>6866</v>
      </c>
      <c r="C874" s="6" t="n">
        <v>2</v>
      </c>
      <c r="D874" s="6" t="n">
        <v>9</v>
      </c>
      <c r="E874" s="6" t="n">
        <v>1</v>
      </c>
      <c r="F874" s="6" t="s">
        <v>3193</v>
      </c>
      <c r="G874" s="28" t="n">
        <f aca="false">IFERROR(INDEX('Semrush Data'!$A$1:$Z$20000,MATCH(A874,'Semrush Data'!$A$1:$A$20000,0),MATCH("Volume",'Semrush Data'!$A$1:$Z$1,0)),"")</f>
        <v>0</v>
      </c>
      <c r="H874" s="6" t="n">
        <f aca="false">IFERROR(INDEX('Semrush Data'!$A$1:$Z$20000,MATCH(A874,'Semrush Data'!$A$1:$A$20000,0),MATCH("Keyword Difficulty*",'Semrush Data'!$A$1:$Z$1,0)),"")</f>
        <v>16</v>
      </c>
      <c r="I874" s="29" t="n">
        <f aca="false">IFERROR(INDEX('Semrush Data'!$A$1:$Z$20000,MATCH(A874,'Semrush Data'!$A$1:$A$20000,0),MATCH("CPC*",'Semrush Data'!$A$1:$Z$1,0)),"")</f>
        <v>0</v>
      </c>
      <c r="J874" s="6" t="str">
        <f aca="false">IFERROR(INDEX('Semrush Data'!$A$1:$Z$20000,MATCH(A874,'Semrush Data'!$A$1:$A$20000,0),MATCH("Intent",'Semrush Data'!$A$1:$Z$1,0)),"")</f>
        <v>Informational</v>
      </c>
    </row>
    <row r="875" customFormat="false" ht="15" hidden="false" customHeight="true" outlineLevel="0" collapsed="false">
      <c r="A875" s="6" t="s">
        <v>3312</v>
      </c>
      <c r="B875" s="6" t="s">
        <v>6866</v>
      </c>
      <c r="C875" s="6" t="n">
        <v>2</v>
      </c>
      <c r="D875" s="6" t="n">
        <v>9</v>
      </c>
      <c r="E875" s="6" t="n">
        <v>1</v>
      </c>
      <c r="F875" s="6" t="s">
        <v>3308</v>
      </c>
      <c r="G875" s="28" t="n">
        <f aca="false">IFERROR(INDEX('Semrush Data'!$A$1:$Z$20000,MATCH(A875,'Semrush Data'!$A$1:$A$20000,0),MATCH("Volume",'Semrush Data'!$A$1:$Z$1,0)),"")</f>
        <v>0</v>
      </c>
      <c r="H875" s="6" t="n">
        <f aca="false">IFERROR(INDEX('Semrush Data'!$A$1:$Z$20000,MATCH(A875,'Semrush Data'!$A$1:$A$20000,0),MATCH("Keyword Difficulty*",'Semrush Data'!$A$1:$Z$1,0)),"")</f>
        <v>16</v>
      </c>
      <c r="I875" s="29" t="n">
        <f aca="false">IFERROR(INDEX('Semrush Data'!$A$1:$Z$20000,MATCH(A875,'Semrush Data'!$A$1:$A$20000,0),MATCH("CPC*",'Semrush Data'!$A$1:$Z$1,0)),"")</f>
        <v>0</v>
      </c>
      <c r="J875" s="6" t="str">
        <f aca="false">IFERROR(INDEX('Semrush Data'!$A$1:$Z$20000,MATCH(A875,'Semrush Data'!$A$1:$A$20000,0),MATCH("Intent",'Semrush Data'!$A$1:$Z$1,0)),"")</f>
        <v>Informational Transactional</v>
      </c>
    </row>
    <row r="876" customFormat="false" ht="15" hidden="false" customHeight="true" outlineLevel="0" collapsed="false">
      <c r="A876" s="6" t="s">
        <v>3321</v>
      </c>
      <c r="B876" s="6" t="s">
        <v>6866</v>
      </c>
      <c r="C876" s="6" t="n">
        <v>2</v>
      </c>
      <c r="D876" s="6" t="n">
        <v>9</v>
      </c>
      <c r="E876" s="6" t="n">
        <v>1</v>
      </c>
      <c r="F876" s="6" t="s">
        <v>131</v>
      </c>
      <c r="G876" s="28" t="n">
        <f aca="false">IFERROR(INDEX('Semrush Data'!$A$1:$Z$20000,MATCH(A876,'Semrush Data'!$A$1:$A$20000,0),MATCH("Volume",'Semrush Data'!$A$1:$Z$1,0)),"")</f>
        <v>0</v>
      </c>
      <c r="H876" s="6" t="n">
        <f aca="false">IFERROR(INDEX('Semrush Data'!$A$1:$Z$20000,MATCH(A876,'Semrush Data'!$A$1:$A$20000,0),MATCH("Keyword Difficulty*",'Semrush Data'!$A$1:$Z$1,0)),"")</f>
        <v>17</v>
      </c>
      <c r="I876" s="29" t="n">
        <f aca="false">IFERROR(INDEX('Semrush Data'!$A$1:$Z$20000,MATCH(A876,'Semrush Data'!$A$1:$A$20000,0),MATCH("CPC*",'Semrush Data'!$A$1:$Z$1,0)),"")</f>
        <v>0</v>
      </c>
      <c r="J876" s="6" t="str">
        <f aca="false">IFERROR(INDEX('Semrush Data'!$A$1:$Z$20000,MATCH(A876,'Semrush Data'!$A$1:$A$20000,0),MATCH("Intent",'Semrush Data'!$A$1:$Z$1,0)),"")</f>
        <v>Informational</v>
      </c>
    </row>
    <row r="877" customFormat="false" ht="15" hidden="false" customHeight="true" outlineLevel="0" collapsed="false">
      <c r="A877" s="6" t="s">
        <v>3272</v>
      </c>
      <c r="B877" s="6" t="s">
        <v>6866</v>
      </c>
      <c r="C877" s="6" t="n">
        <v>2</v>
      </c>
      <c r="D877" s="6" t="n">
        <v>9</v>
      </c>
      <c r="E877" s="6" t="n">
        <v>1</v>
      </c>
      <c r="F877" s="6" t="s">
        <v>3268</v>
      </c>
      <c r="G877" s="28" t="n">
        <f aca="false">IFERROR(INDEX('Semrush Data'!$A$1:$Z$20000,MATCH(A877,'Semrush Data'!$A$1:$A$20000,0),MATCH("Volume",'Semrush Data'!$A$1:$Z$1,0)),"")</f>
        <v>0</v>
      </c>
      <c r="H877" s="6" t="n">
        <f aca="false">IFERROR(INDEX('Semrush Data'!$A$1:$Z$20000,MATCH(A877,'Semrush Data'!$A$1:$A$20000,0),MATCH("Keyword Difficulty*",'Semrush Data'!$A$1:$Z$1,0)),"")</f>
        <v>9</v>
      </c>
      <c r="I877" s="29" t="n">
        <f aca="false">IFERROR(INDEX('Semrush Data'!$A$1:$Z$20000,MATCH(A877,'Semrush Data'!$A$1:$A$20000,0),MATCH("CPC*",'Semrush Data'!$A$1:$Z$1,0)),"")</f>
        <v>0</v>
      </c>
      <c r="J877" s="6" t="str">
        <f aca="false">IFERROR(INDEX('Semrush Data'!$A$1:$Z$20000,MATCH(A877,'Semrush Data'!$A$1:$A$20000,0),MATCH("Intent",'Semrush Data'!$A$1:$Z$1,0)),"")</f>
        <v>Informational</v>
      </c>
    </row>
    <row r="878" customFormat="false" ht="15" hidden="false" customHeight="true" outlineLevel="0" collapsed="false">
      <c r="A878" s="6" t="s">
        <v>3282</v>
      </c>
      <c r="B878" s="6" t="s">
        <v>6866</v>
      </c>
      <c r="C878" s="6" t="n">
        <v>2</v>
      </c>
      <c r="D878" s="6" t="n">
        <v>9</v>
      </c>
      <c r="E878" s="6" t="n">
        <v>2</v>
      </c>
      <c r="F878" s="6" t="s">
        <v>6847</v>
      </c>
      <c r="G878" s="28" t="n">
        <f aca="false">IFERROR(INDEX('Semrush Data'!$A$1:$Z$20000,MATCH(A878,'Semrush Data'!$A$1:$A$20000,0),MATCH("Volume",'Semrush Data'!$A$1:$Z$1,0)),"")</f>
        <v>0</v>
      </c>
      <c r="H878" s="6" t="n">
        <f aca="false">IFERROR(INDEX('Semrush Data'!$A$1:$Z$20000,MATCH(A878,'Semrush Data'!$A$1:$A$20000,0),MATCH("Keyword Difficulty*",'Semrush Data'!$A$1:$Z$1,0)),"")</f>
        <v>16</v>
      </c>
      <c r="I878" s="29" t="n">
        <f aca="false">IFERROR(INDEX('Semrush Data'!$A$1:$Z$20000,MATCH(A878,'Semrush Data'!$A$1:$A$20000,0),MATCH("CPC*",'Semrush Data'!$A$1:$Z$1,0)),"")</f>
        <v>0</v>
      </c>
      <c r="J878" s="6" t="str">
        <f aca="false">IFERROR(INDEX('Semrush Data'!$A$1:$Z$20000,MATCH(A878,'Semrush Data'!$A$1:$A$20000,0),MATCH("Intent",'Semrush Data'!$A$1:$Z$1,0)),"")</f>
        <v>Informational Transactional</v>
      </c>
    </row>
    <row r="879" customFormat="false" ht="15" hidden="false" customHeight="true" outlineLevel="0" collapsed="false">
      <c r="A879" s="6" t="s">
        <v>3295</v>
      </c>
      <c r="B879" s="6" t="s">
        <v>6866</v>
      </c>
      <c r="C879" s="6" t="n">
        <v>2</v>
      </c>
      <c r="D879" s="6" t="n">
        <v>9</v>
      </c>
      <c r="E879" s="6" t="n">
        <v>2</v>
      </c>
      <c r="F879" s="6" t="s">
        <v>6848</v>
      </c>
      <c r="G879" s="28" t="n">
        <f aca="false">IFERROR(INDEX('Semrush Data'!$A$1:$Z$20000,MATCH(A879,'Semrush Data'!$A$1:$A$20000,0),MATCH("Volume",'Semrush Data'!$A$1:$Z$1,0)),"")</f>
        <v>0</v>
      </c>
      <c r="H879" s="6" t="n">
        <f aca="false">IFERROR(INDEX('Semrush Data'!$A$1:$Z$20000,MATCH(A879,'Semrush Data'!$A$1:$A$20000,0),MATCH("Keyword Difficulty*",'Semrush Data'!$A$1:$Z$1,0)),"")</f>
        <v>16</v>
      </c>
      <c r="I879" s="29" t="n">
        <f aca="false">IFERROR(INDEX('Semrush Data'!$A$1:$Z$20000,MATCH(A879,'Semrush Data'!$A$1:$A$20000,0),MATCH("CPC*",'Semrush Data'!$A$1:$Z$1,0)),"")</f>
        <v>0</v>
      </c>
      <c r="J879" s="6" t="str">
        <f aca="false">IFERROR(INDEX('Semrush Data'!$A$1:$Z$20000,MATCH(A879,'Semrush Data'!$A$1:$A$20000,0),MATCH("Intent",'Semrush Data'!$A$1:$Z$1,0)),"")</f>
        <v>Informational</v>
      </c>
    </row>
    <row r="880" customFormat="false" ht="15" hidden="false" customHeight="true" outlineLevel="0" collapsed="false">
      <c r="A880" s="6" t="s">
        <v>3330</v>
      </c>
      <c r="B880" s="6" t="s">
        <v>6866</v>
      </c>
      <c r="C880" s="6" t="n">
        <v>2</v>
      </c>
      <c r="D880" s="6" t="n">
        <v>9</v>
      </c>
      <c r="E880" s="6" t="n">
        <v>1</v>
      </c>
      <c r="F880" s="6" t="s">
        <v>147</v>
      </c>
      <c r="G880" s="28" t="n">
        <f aca="false">IFERROR(INDEX('Semrush Data'!$A$1:$Z$20000,MATCH(A880,'Semrush Data'!$A$1:$A$20000,0),MATCH("Volume",'Semrush Data'!$A$1:$Z$1,0)),"")</f>
        <v>0</v>
      </c>
      <c r="H880" s="6" t="n">
        <f aca="false">IFERROR(INDEX('Semrush Data'!$A$1:$Z$20000,MATCH(A880,'Semrush Data'!$A$1:$A$20000,0),MATCH("Keyword Difficulty*",'Semrush Data'!$A$1:$Z$1,0)),"")</f>
        <v>9</v>
      </c>
      <c r="I880" s="29" t="n">
        <f aca="false">IFERROR(INDEX('Semrush Data'!$A$1:$Z$20000,MATCH(A880,'Semrush Data'!$A$1:$A$20000,0),MATCH("CPC*",'Semrush Data'!$A$1:$Z$1,0)),"")</f>
        <v>0</v>
      </c>
      <c r="J880" s="6" t="str">
        <f aca="false">IFERROR(INDEX('Semrush Data'!$A$1:$Z$20000,MATCH(A880,'Semrush Data'!$A$1:$A$20000,0),MATCH("Intent",'Semrush Data'!$A$1:$Z$1,0)),"")</f>
        <v>Informational Transactional</v>
      </c>
    </row>
    <row r="881" customFormat="false" ht="15" hidden="false" customHeight="true" outlineLevel="0" collapsed="false">
      <c r="A881" s="6" t="s">
        <v>5997</v>
      </c>
      <c r="B881" s="6" t="s">
        <v>6866</v>
      </c>
      <c r="C881" s="6" t="n">
        <v>2</v>
      </c>
      <c r="D881" s="6" t="n">
        <v>9</v>
      </c>
      <c r="E881" s="6" t="n">
        <v>1</v>
      </c>
      <c r="F881" s="6" t="s">
        <v>5994</v>
      </c>
      <c r="G881" s="28" t="n">
        <f aca="false">IFERROR(INDEX('Semrush Data'!$A$1:$Z$20000,MATCH(A881,'Semrush Data'!$A$1:$A$20000,0),MATCH("Volume",'Semrush Data'!$A$1:$Z$1,0)),"")</f>
        <v>0</v>
      </c>
      <c r="H881" s="6" t="n">
        <f aca="false">IFERROR(INDEX('Semrush Data'!$A$1:$Z$20000,MATCH(A881,'Semrush Data'!$A$1:$A$20000,0),MATCH("Keyword Difficulty*",'Semrush Data'!$A$1:$Z$1,0)),"")</f>
        <v>14</v>
      </c>
      <c r="I881" s="29" t="n">
        <f aca="false">IFERROR(INDEX('Semrush Data'!$A$1:$Z$20000,MATCH(A881,'Semrush Data'!$A$1:$A$20000,0),MATCH("CPC*",'Semrush Data'!$A$1:$Z$1,0)),"")</f>
        <v>0</v>
      </c>
      <c r="J881" s="6" t="str">
        <f aca="false">IFERROR(INDEX('Semrush Data'!$A$1:$Z$20000,MATCH(A881,'Semrush Data'!$A$1:$A$20000,0),MATCH("Intent",'Semrush Data'!$A$1:$Z$1,0)),"")</f>
        <v>Informational</v>
      </c>
    </row>
    <row r="882" customFormat="false" ht="15" hidden="false" customHeight="true" outlineLevel="0" collapsed="false">
      <c r="A882" s="6" t="s">
        <v>3396</v>
      </c>
      <c r="B882" s="6" t="s">
        <v>6866</v>
      </c>
      <c r="C882" s="6" t="n">
        <v>2</v>
      </c>
      <c r="D882" s="6" t="n">
        <v>9</v>
      </c>
      <c r="E882" s="6" t="n">
        <v>1</v>
      </c>
      <c r="F882" s="6" t="s">
        <v>3393</v>
      </c>
      <c r="G882" s="28" t="n">
        <f aca="false">IFERROR(INDEX('Semrush Data'!$A$1:$Z$20000,MATCH(A882,'Semrush Data'!$A$1:$A$20000,0),MATCH("Volume",'Semrush Data'!$A$1:$Z$1,0)),"")</f>
        <v>0</v>
      </c>
      <c r="H882" s="6" t="n">
        <f aca="false">IFERROR(INDEX('Semrush Data'!$A$1:$Z$20000,MATCH(A882,'Semrush Data'!$A$1:$A$20000,0),MATCH("Keyword Difficulty*",'Semrush Data'!$A$1:$Z$1,0)),"")</f>
        <v>17</v>
      </c>
      <c r="I882" s="29" t="n">
        <f aca="false">IFERROR(INDEX('Semrush Data'!$A$1:$Z$20000,MATCH(A882,'Semrush Data'!$A$1:$A$20000,0),MATCH("CPC*",'Semrush Data'!$A$1:$Z$1,0)),"")</f>
        <v>0</v>
      </c>
      <c r="J882" s="6" t="str">
        <f aca="false">IFERROR(INDEX('Semrush Data'!$A$1:$Z$20000,MATCH(A882,'Semrush Data'!$A$1:$A$20000,0),MATCH("Intent",'Semrush Data'!$A$1:$Z$1,0)),"")</f>
        <v>Informational</v>
      </c>
    </row>
    <row r="883" customFormat="false" ht="15" hidden="false" customHeight="true" outlineLevel="0" collapsed="false">
      <c r="A883" s="6" t="s">
        <v>3407</v>
      </c>
      <c r="B883" s="6" t="s">
        <v>6866</v>
      </c>
      <c r="C883" s="6" t="n">
        <v>2</v>
      </c>
      <c r="D883" s="6" t="n">
        <v>9</v>
      </c>
      <c r="E883" s="6" t="n">
        <v>1</v>
      </c>
      <c r="F883" s="6" t="s">
        <v>3404</v>
      </c>
      <c r="G883" s="28" t="n">
        <f aca="false">IFERROR(INDEX('Semrush Data'!$A$1:$Z$20000,MATCH(A883,'Semrush Data'!$A$1:$A$20000,0),MATCH("Volume",'Semrush Data'!$A$1:$Z$1,0)),"")</f>
        <v>0</v>
      </c>
      <c r="H883" s="6" t="n">
        <f aca="false">IFERROR(INDEX('Semrush Data'!$A$1:$Z$20000,MATCH(A883,'Semrush Data'!$A$1:$A$20000,0),MATCH("Keyword Difficulty*",'Semrush Data'!$A$1:$Z$1,0)),"")</f>
        <v>18</v>
      </c>
      <c r="I883" s="29" t="n">
        <f aca="false">IFERROR(INDEX('Semrush Data'!$A$1:$Z$20000,MATCH(A883,'Semrush Data'!$A$1:$A$20000,0),MATCH("CPC*",'Semrush Data'!$A$1:$Z$1,0)),"")</f>
        <v>0</v>
      </c>
      <c r="J883" s="6" t="str">
        <f aca="false">IFERROR(INDEX('Semrush Data'!$A$1:$Z$20000,MATCH(A883,'Semrush Data'!$A$1:$A$20000,0),MATCH("Intent",'Semrush Data'!$A$1:$Z$1,0)),"")</f>
        <v>Informational Transactional</v>
      </c>
    </row>
    <row r="884" customFormat="false" ht="15" hidden="false" customHeight="true" outlineLevel="0" collapsed="false">
      <c r="A884" s="6" t="s">
        <v>3386</v>
      </c>
      <c r="B884" s="6" t="s">
        <v>6866</v>
      </c>
      <c r="C884" s="6" t="n">
        <v>2</v>
      </c>
      <c r="D884" s="6" t="n">
        <v>9</v>
      </c>
      <c r="E884" s="6" t="n">
        <v>1</v>
      </c>
      <c r="F884" s="6" t="s">
        <v>3383</v>
      </c>
      <c r="G884" s="28" t="n">
        <f aca="false">IFERROR(INDEX('Semrush Data'!$A$1:$Z$20000,MATCH(A884,'Semrush Data'!$A$1:$A$20000,0),MATCH("Volume",'Semrush Data'!$A$1:$Z$1,0)),"")</f>
        <v>0</v>
      </c>
      <c r="H884" s="6" t="n">
        <f aca="false">IFERROR(INDEX('Semrush Data'!$A$1:$Z$20000,MATCH(A884,'Semrush Data'!$A$1:$A$20000,0),MATCH("Keyword Difficulty*",'Semrush Data'!$A$1:$Z$1,0)),"")</f>
        <v>9</v>
      </c>
      <c r="I884" s="29" t="n">
        <f aca="false">IFERROR(INDEX('Semrush Data'!$A$1:$Z$20000,MATCH(A884,'Semrush Data'!$A$1:$A$20000,0),MATCH("CPC*",'Semrush Data'!$A$1:$Z$1,0)),"")</f>
        <v>0</v>
      </c>
      <c r="J884" s="6" t="str">
        <f aca="false">IFERROR(INDEX('Semrush Data'!$A$1:$Z$20000,MATCH(A884,'Semrush Data'!$A$1:$A$20000,0),MATCH("Intent",'Semrush Data'!$A$1:$Z$1,0)),"")</f>
        <v>Commercial</v>
      </c>
    </row>
    <row r="885" customFormat="false" ht="15" hidden="false" customHeight="true" outlineLevel="0" collapsed="false">
      <c r="A885" s="6" t="s">
        <v>3353</v>
      </c>
      <c r="B885" s="6" t="s">
        <v>6866</v>
      </c>
      <c r="C885" s="6" t="n">
        <v>2</v>
      </c>
      <c r="D885" s="6" t="n">
        <v>9</v>
      </c>
      <c r="E885" s="6" t="n">
        <v>1</v>
      </c>
      <c r="F885" s="6" t="s">
        <v>3350</v>
      </c>
      <c r="G885" s="28" t="n">
        <f aca="false">IFERROR(INDEX('Semrush Data'!$A$1:$Z$20000,MATCH(A885,'Semrush Data'!$A$1:$A$20000,0),MATCH("Volume",'Semrush Data'!$A$1:$Z$1,0)),"")</f>
        <v>0</v>
      </c>
      <c r="H885" s="6" t="n">
        <f aca="false">IFERROR(INDEX('Semrush Data'!$A$1:$Z$20000,MATCH(A885,'Semrush Data'!$A$1:$A$20000,0),MATCH("Keyword Difficulty*",'Semrush Data'!$A$1:$Z$1,0)),"")</f>
        <v>22</v>
      </c>
      <c r="I885" s="29" t="n">
        <f aca="false">IFERROR(INDEX('Semrush Data'!$A$1:$Z$20000,MATCH(A885,'Semrush Data'!$A$1:$A$20000,0),MATCH("CPC*",'Semrush Data'!$A$1:$Z$1,0)),"")</f>
        <v>0</v>
      </c>
      <c r="J885" s="6" t="str">
        <f aca="false">IFERROR(INDEX('Semrush Data'!$A$1:$Z$20000,MATCH(A885,'Semrush Data'!$A$1:$A$20000,0),MATCH("Intent",'Semrush Data'!$A$1:$Z$1,0)),"")</f>
        <v>Informational</v>
      </c>
    </row>
    <row r="886" customFormat="false" ht="15" hidden="false" customHeight="true" outlineLevel="0" collapsed="false">
      <c r="A886" s="6" t="s">
        <v>3364</v>
      </c>
      <c r="B886" s="6" t="s">
        <v>6866</v>
      </c>
      <c r="C886" s="6" t="n">
        <v>2</v>
      </c>
      <c r="D886" s="6" t="n">
        <v>9</v>
      </c>
      <c r="E886" s="6" t="n">
        <v>1</v>
      </c>
      <c r="F886" s="6" t="s">
        <v>3361</v>
      </c>
      <c r="G886" s="28" t="n">
        <f aca="false">IFERROR(INDEX('Semrush Data'!$A$1:$Z$20000,MATCH(A886,'Semrush Data'!$A$1:$A$20000,0),MATCH("Volume",'Semrush Data'!$A$1:$Z$1,0)),"")</f>
        <v>0</v>
      </c>
      <c r="H886" s="6" t="n">
        <f aca="false">IFERROR(INDEX('Semrush Data'!$A$1:$Z$20000,MATCH(A886,'Semrush Data'!$A$1:$A$20000,0),MATCH("Keyword Difficulty*",'Semrush Data'!$A$1:$Z$1,0)),"")</f>
        <v>15</v>
      </c>
      <c r="I886" s="29" t="n">
        <f aca="false">IFERROR(INDEX('Semrush Data'!$A$1:$Z$20000,MATCH(A886,'Semrush Data'!$A$1:$A$20000,0),MATCH("CPC*",'Semrush Data'!$A$1:$Z$1,0)),"")</f>
        <v>0</v>
      </c>
      <c r="J886" s="6" t="str">
        <f aca="false">IFERROR(INDEX('Semrush Data'!$A$1:$Z$20000,MATCH(A886,'Semrush Data'!$A$1:$A$20000,0),MATCH("Intent",'Semrush Data'!$A$1:$Z$1,0)),"")</f>
        <v>Commercial</v>
      </c>
    </row>
    <row r="887" customFormat="false" ht="15" hidden="false" customHeight="true" outlineLevel="0" collapsed="false">
      <c r="A887" s="6" t="s">
        <v>3341</v>
      </c>
      <c r="B887" s="6" t="s">
        <v>6866</v>
      </c>
      <c r="C887" s="6" t="n">
        <v>2</v>
      </c>
      <c r="D887" s="6" t="n">
        <v>9</v>
      </c>
      <c r="E887" s="6" t="n">
        <v>1</v>
      </c>
      <c r="F887" s="6" t="s">
        <v>71</v>
      </c>
      <c r="G887" s="28" t="n">
        <f aca="false">IFERROR(INDEX('Semrush Data'!$A$1:$Z$20000,MATCH(A887,'Semrush Data'!$A$1:$A$20000,0),MATCH("Volume",'Semrush Data'!$A$1:$Z$1,0)),"")</f>
        <v>20</v>
      </c>
      <c r="H887" s="6" t="n">
        <f aca="false">IFERROR(INDEX('Semrush Data'!$A$1:$Z$20000,MATCH(A887,'Semrush Data'!$A$1:$A$20000,0),MATCH("Keyword Difficulty*",'Semrush Data'!$A$1:$Z$1,0)),"")</f>
        <v>18</v>
      </c>
      <c r="I887" s="29" t="n">
        <f aca="false">IFERROR(INDEX('Semrush Data'!$A$1:$Z$20000,MATCH(A887,'Semrush Data'!$A$1:$A$20000,0),MATCH("CPC*",'Semrush Data'!$A$1:$Z$1,0)),"")</f>
        <v>0.45</v>
      </c>
      <c r="J887" s="6" t="str">
        <f aca="false">IFERROR(INDEX('Semrush Data'!$A$1:$Z$20000,MATCH(A887,'Semrush Data'!$A$1:$A$20000,0),MATCH("Intent",'Semrush Data'!$A$1:$Z$1,0)),"")</f>
        <v>Informational</v>
      </c>
    </row>
    <row r="888" customFormat="false" ht="15" hidden="false" customHeight="true" outlineLevel="0" collapsed="false">
      <c r="A888" s="6" t="s">
        <v>3375</v>
      </c>
      <c r="B888" s="6" t="s">
        <v>6866</v>
      </c>
      <c r="C888" s="6" t="n">
        <v>2</v>
      </c>
      <c r="D888" s="6" t="n">
        <v>9</v>
      </c>
      <c r="E888" s="6" t="n">
        <v>1</v>
      </c>
      <c r="F888" s="6" t="s">
        <v>3372</v>
      </c>
      <c r="G888" s="28" t="n">
        <f aca="false">IFERROR(INDEX('Semrush Data'!$A$1:$Z$20000,MATCH(A888,'Semrush Data'!$A$1:$A$20000,0),MATCH("Volume",'Semrush Data'!$A$1:$Z$1,0)),"")</f>
        <v>0</v>
      </c>
      <c r="H888" s="6" t="n">
        <f aca="false">IFERROR(INDEX('Semrush Data'!$A$1:$Z$20000,MATCH(A888,'Semrush Data'!$A$1:$A$20000,0),MATCH("Keyword Difficulty*",'Semrush Data'!$A$1:$Z$1,0)),"")</f>
        <v>9</v>
      </c>
      <c r="I888" s="29" t="n">
        <f aca="false">IFERROR(INDEX('Semrush Data'!$A$1:$Z$20000,MATCH(A888,'Semrush Data'!$A$1:$A$20000,0),MATCH("CPC*",'Semrush Data'!$A$1:$Z$1,0)),"")</f>
        <v>0</v>
      </c>
      <c r="J888" s="6" t="str">
        <f aca="false">IFERROR(INDEX('Semrush Data'!$A$1:$Z$20000,MATCH(A888,'Semrush Data'!$A$1:$A$20000,0),MATCH("Intent",'Semrush Data'!$A$1:$Z$1,0)),"")</f>
        <v>Navigational</v>
      </c>
    </row>
    <row r="889" customFormat="false" ht="15" hidden="false" customHeight="true" outlineLevel="0" collapsed="false">
      <c r="A889" s="6" t="s">
        <v>3418</v>
      </c>
      <c r="B889" s="6" t="s">
        <v>6866</v>
      </c>
      <c r="C889" s="6" t="n">
        <v>2</v>
      </c>
      <c r="D889" s="6" t="n">
        <v>9</v>
      </c>
      <c r="E889" s="6" t="n">
        <v>1</v>
      </c>
      <c r="F889" s="6" t="s">
        <v>3414</v>
      </c>
      <c r="G889" s="28" t="n">
        <f aca="false">IFERROR(INDEX('Semrush Data'!$A$1:$Z$20000,MATCH(A889,'Semrush Data'!$A$1:$A$20000,0),MATCH("Volume",'Semrush Data'!$A$1:$Z$1,0)),"")</f>
        <v>0</v>
      </c>
      <c r="H889" s="6" t="n">
        <f aca="false">IFERROR(INDEX('Semrush Data'!$A$1:$Z$20000,MATCH(A889,'Semrush Data'!$A$1:$A$20000,0),MATCH("Keyword Difficulty*",'Semrush Data'!$A$1:$Z$1,0)),"")</f>
        <v>23</v>
      </c>
      <c r="I889" s="29" t="n">
        <f aca="false">IFERROR(INDEX('Semrush Data'!$A$1:$Z$20000,MATCH(A889,'Semrush Data'!$A$1:$A$20000,0),MATCH("CPC*",'Semrush Data'!$A$1:$Z$1,0)),"")</f>
        <v>0</v>
      </c>
      <c r="J889" s="6" t="str">
        <f aca="false">IFERROR(INDEX('Semrush Data'!$A$1:$Z$20000,MATCH(A889,'Semrush Data'!$A$1:$A$20000,0),MATCH("Intent",'Semrush Data'!$A$1:$Z$1,0)),"")</f>
        <v>Informational</v>
      </c>
    </row>
    <row r="890" customFormat="false" ht="15" hidden="false" customHeight="true" outlineLevel="0" collapsed="false">
      <c r="A890" s="6" t="s">
        <v>3430</v>
      </c>
      <c r="B890" s="6" t="s">
        <v>6866</v>
      </c>
      <c r="C890" s="6" t="n">
        <v>2</v>
      </c>
      <c r="D890" s="6" t="n">
        <v>9</v>
      </c>
      <c r="E890" s="6" t="n">
        <v>1</v>
      </c>
      <c r="F890" s="6" t="s">
        <v>3427</v>
      </c>
      <c r="G890" s="28" t="n">
        <f aca="false">IFERROR(INDEX('Semrush Data'!$A$1:$Z$20000,MATCH(A890,'Semrush Data'!$A$1:$A$20000,0),MATCH("Volume",'Semrush Data'!$A$1:$Z$1,0)),"")</f>
        <v>0</v>
      </c>
      <c r="H890" s="6" t="n">
        <f aca="false">IFERROR(INDEX('Semrush Data'!$A$1:$Z$20000,MATCH(A890,'Semrush Data'!$A$1:$A$20000,0),MATCH("Keyword Difficulty*",'Semrush Data'!$A$1:$Z$1,0)),"")</f>
        <v>22</v>
      </c>
      <c r="I890" s="29" t="n">
        <f aca="false">IFERROR(INDEX('Semrush Data'!$A$1:$Z$20000,MATCH(A890,'Semrush Data'!$A$1:$A$20000,0),MATCH("CPC*",'Semrush Data'!$A$1:$Z$1,0)),"")</f>
        <v>0</v>
      </c>
      <c r="J890" s="6" t="str">
        <f aca="false">IFERROR(INDEX('Semrush Data'!$A$1:$Z$20000,MATCH(A890,'Semrush Data'!$A$1:$A$20000,0),MATCH("Intent",'Semrush Data'!$A$1:$Z$1,0)),"")</f>
        <v>Informational</v>
      </c>
    </row>
    <row r="891" customFormat="false" ht="15" hidden="false" customHeight="true" outlineLevel="0" collapsed="false">
      <c r="A891" s="6" t="s">
        <v>3463</v>
      </c>
      <c r="B891" s="6" t="s">
        <v>6866</v>
      </c>
      <c r="C891" s="6" t="n">
        <v>2</v>
      </c>
      <c r="D891" s="6" t="n">
        <v>9</v>
      </c>
      <c r="E891" s="6" t="n">
        <v>1</v>
      </c>
      <c r="F891" s="6" t="s">
        <v>3460</v>
      </c>
      <c r="G891" s="28" t="n">
        <f aca="false">IFERROR(INDEX('Semrush Data'!$A$1:$Z$20000,MATCH(A891,'Semrush Data'!$A$1:$A$20000,0),MATCH("Volume",'Semrush Data'!$A$1:$Z$1,0)),"")</f>
        <v>0</v>
      </c>
      <c r="H891" s="6" t="n">
        <f aca="false">IFERROR(INDEX('Semrush Data'!$A$1:$Z$20000,MATCH(A891,'Semrush Data'!$A$1:$A$20000,0),MATCH("Keyword Difficulty*",'Semrush Data'!$A$1:$Z$1,0)),"")</f>
        <v>15</v>
      </c>
      <c r="I891" s="29" t="n">
        <f aca="false">IFERROR(INDEX('Semrush Data'!$A$1:$Z$20000,MATCH(A891,'Semrush Data'!$A$1:$A$20000,0),MATCH("CPC*",'Semrush Data'!$A$1:$Z$1,0)),"")</f>
        <v>0</v>
      </c>
      <c r="J891" s="6" t="str">
        <f aca="false">IFERROR(INDEX('Semrush Data'!$A$1:$Z$20000,MATCH(A891,'Semrush Data'!$A$1:$A$20000,0),MATCH("Intent",'Semrush Data'!$A$1:$Z$1,0)),"")</f>
        <v>Informational</v>
      </c>
    </row>
    <row r="892" customFormat="false" ht="15" hidden="false" customHeight="true" outlineLevel="0" collapsed="false">
      <c r="A892" s="6" t="s">
        <v>3441</v>
      </c>
      <c r="B892" s="6" t="s">
        <v>6866</v>
      </c>
      <c r="C892" s="6" t="n">
        <v>2</v>
      </c>
      <c r="D892" s="6" t="n">
        <v>9</v>
      </c>
      <c r="E892" s="6" t="n">
        <v>1</v>
      </c>
      <c r="F892" s="6" t="s">
        <v>3438</v>
      </c>
      <c r="G892" s="28" t="n">
        <f aca="false">IFERROR(INDEX('Semrush Data'!$A$1:$Z$20000,MATCH(A892,'Semrush Data'!$A$1:$A$20000,0),MATCH("Volume",'Semrush Data'!$A$1:$Z$1,0)),"")</f>
        <v>0</v>
      </c>
      <c r="H892" s="6" t="n">
        <f aca="false">IFERROR(INDEX('Semrush Data'!$A$1:$Z$20000,MATCH(A892,'Semrush Data'!$A$1:$A$20000,0),MATCH("Keyword Difficulty*",'Semrush Data'!$A$1:$Z$1,0)),"")</f>
        <v>15</v>
      </c>
      <c r="I892" s="29" t="n">
        <f aca="false">IFERROR(INDEX('Semrush Data'!$A$1:$Z$20000,MATCH(A892,'Semrush Data'!$A$1:$A$20000,0),MATCH("CPC*",'Semrush Data'!$A$1:$Z$1,0)),"")</f>
        <v>0</v>
      </c>
      <c r="J892" s="6" t="str">
        <f aca="false">IFERROR(INDEX('Semrush Data'!$A$1:$Z$20000,MATCH(A892,'Semrush Data'!$A$1:$A$20000,0),MATCH("Intent",'Semrush Data'!$A$1:$Z$1,0)),"")</f>
        <v>Navigational</v>
      </c>
    </row>
    <row r="893" customFormat="false" ht="15" hidden="false" customHeight="true" outlineLevel="0" collapsed="false">
      <c r="A893" s="6" t="s">
        <v>3451</v>
      </c>
      <c r="B893" s="6" t="s">
        <v>6866</v>
      </c>
      <c r="C893" s="6" t="n">
        <v>2</v>
      </c>
      <c r="D893" s="6" t="n">
        <v>9</v>
      </c>
      <c r="E893" s="6" t="n">
        <v>1</v>
      </c>
      <c r="F893" s="6" t="s">
        <v>111</v>
      </c>
      <c r="G893" s="28" t="n">
        <f aca="false">IFERROR(INDEX('Semrush Data'!$A$1:$Z$20000,MATCH(A893,'Semrush Data'!$A$1:$A$20000,0),MATCH("Volume",'Semrush Data'!$A$1:$Z$1,0)),"")</f>
        <v>20</v>
      </c>
      <c r="H893" s="6" t="n">
        <f aca="false">IFERROR(INDEX('Semrush Data'!$A$1:$Z$20000,MATCH(A893,'Semrush Data'!$A$1:$A$20000,0),MATCH("Keyword Difficulty*",'Semrush Data'!$A$1:$Z$1,0)),"")</f>
        <v>13</v>
      </c>
      <c r="I893" s="29" t="n">
        <f aca="false">IFERROR(INDEX('Semrush Data'!$A$1:$Z$20000,MATCH(A893,'Semrush Data'!$A$1:$A$20000,0),MATCH("CPC*",'Semrush Data'!$A$1:$Z$1,0)),"")</f>
        <v>0</v>
      </c>
      <c r="J893" s="6" t="str">
        <f aca="false">IFERROR(INDEX('Semrush Data'!$A$1:$Z$20000,MATCH(A893,'Semrush Data'!$A$1:$A$20000,0),MATCH("Intent",'Semrush Data'!$A$1:$Z$1,0)),"")</f>
        <v>Navigational</v>
      </c>
    </row>
    <row r="894" customFormat="false" ht="15" hidden="false" customHeight="true" outlineLevel="0" collapsed="false">
      <c r="A894" s="6" t="s">
        <v>3484</v>
      </c>
      <c r="B894" s="6" t="s">
        <v>6866</v>
      </c>
      <c r="C894" s="6" t="n">
        <v>2</v>
      </c>
      <c r="D894" s="6" t="n">
        <v>9</v>
      </c>
      <c r="E894" s="6" t="n">
        <v>1</v>
      </c>
      <c r="F894" s="6" t="s">
        <v>3481</v>
      </c>
      <c r="G894" s="28" t="n">
        <f aca="false">IFERROR(INDEX('Semrush Data'!$A$1:$Z$20000,MATCH(A894,'Semrush Data'!$A$1:$A$20000,0),MATCH("Volume",'Semrush Data'!$A$1:$Z$1,0)),"")</f>
        <v>0</v>
      </c>
      <c r="H894" s="6" t="n">
        <f aca="false">IFERROR(INDEX('Semrush Data'!$A$1:$Z$20000,MATCH(A894,'Semrush Data'!$A$1:$A$20000,0),MATCH("Keyword Difficulty*",'Semrush Data'!$A$1:$Z$1,0)),"")</f>
        <v>13</v>
      </c>
      <c r="I894" s="29" t="n">
        <f aca="false">IFERROR(INDEX('Semrush Data'!$A$1:$Z$20000,MATCH(A894,'Semrush Data'!$A$1:$A$20000,0),MATCH("CPC*",'Semrush Data'!$A$1:$Z$1,0)),"")</f>
        <v>0</v>
      </c>
      <c r="J894" s="6" t="str">
        <f aca="false">IFERROR(INDEX('Semrush Data'!$A$1:$Z$20000,MATCH(A894,'Semrush Data'!$A$1:$A$20000,0),MATCH("Intent",'Semrush Data'!$A$1:$Z$1,0)),"")</f>
        <v>Informational</v>
      </c>
    </row>
    <row r="895" customFormat="false" ht="15" hidden="false" customHeight="true" outlineLevel="0" collapsed="false">
      <c r="A895" s="6" t="s">
        <v>3473</v>
      </c>
      <c r="B895" s="6" t="s">
        <v>6866</v>
      </c>
      <c r="C895" s="6" t="n">
        <v>2</v>
      </c>
      <c r="D895" s="6" t="n">
        <v>9</v>
      </c>
      <c r="E895" s="6" t="n">
        <v>1</v>
      </c>
      <c r="F895" s="6" t="s">
        <v>3469</v>
      </c>
      <c r="G895" s="28" t="n">
        <f aca="false">IFERROR(INDEX('Semrush Data'!$A$1:$Z$20000,MATCH(A895,'Semrush Data'!$A$1:$A$20000,0),MATCH("Volume",'Semrush Data'!$A$1:$Z$1,0)),"")</f>
        <v>0</v>
      </c>
      <c r="H895" s="6" t="n">
        <f aca="false">IFERROR(INDEX('Semrush Data'!$A$1:$Z$20000,MATCH(A895,'Semrush Data'!$A$1:$A$20000,0),MATCH("Keyword Difficulty*",'Semrush Data'!$A$1:$Z$1,0)),"")</f>
        <v>7</v>
      </c>
      <c r="I895" s="29" t="n">
        <f aca="false">IFERROR(INDEX('Semrush Data'!$A$1:$Z$20000,MATCH(A895,'Semrush Data'!$A$1:$A$20000,0),MATCH("CPC*",'Semrush Data'!$A$1:$Z$1,0)),"")</f>
        <v>0</v>
      </c>
      <c r="J895" s="6" t="str">
        <f aca="false">IFERROR(INDEX('Semrush Data'!$A$1:$Z$20000,MATCH(A895,'Semrush Data'!$A$1:$A$20000,0),MATCH("Intent",'Semrush Data'!$A$1:$Z$1,0)),"")</f>
        <v>Informational</v>
      </c>
    </row>
    <row r="896" customFormat="false" ht="15" hidden="false" customHeight="true" outlineLevel="0" collapsed="false">
      <c r="A896" s="6" t="s">
        <v>3505</v>
      </c>
      <c r="B896" s="6" t="s">
        <v>6866</v>
      </c>
      <c r="C896" s="6" t="n">
        <v>2</v>
      </c>
      <c r="D896" s="6" t="n">
        <v>9</v>
      </c>
      <c r="E896" s="6" t="n">
        <v>1</v>
      </c>
      <c r="F896" s="6" t="s">
        <v>121</v>
      </c>
      <c r="G896" s="28" t="n">
        <f aca="false">IFERROR(INDEX('Semrush Data'!$A$1:$Z$20000,MATCH(A896,'Semrush Data'!$A$1:$A$20000,0),MATCH("Volume",'Semrush Data'!$A$1:$Z$1,0)),"")</f>
        <v>10</v>
      </c>
      <c r="H896" s="6" t="n">
        <f aca="false">IFERROR(INDEX('Semrush Data'!$A$1:$Z$20000,MATCH(A896,'Semrush Data'!$A$1:$A$20000,0),MATCH("Keyword Difficulty*",'Semrush Data'!$A$1:$Z$1,0)),"")</f>
        <v>12</v>
      </c>
      <c r="I896" s="29" t="n">
        <f aca="false">IFERROR(INDEX('Semrush Data'!$A$1:$Z$20000,MATCH(A896,'Semrush Data'!$A$1:$A$20000,0),MATCH("CPC*",'Semrush Data'!$A$1:$Z$1,0)),"")</f>
        <v>0</v>
      </c>
      <c r="J896" s="6" t="str">
        <f aca="false">IFERROR(INDEX('Semrush Data'!$A$1:$Z$20000,MATCH(A896,'Semrush Data'!$A$1:$A$20000,0),MATCH("Intent",'Semrush Data'!$A$1:$Z$1,0)),"")</f>
        <v>Informational</v>
      </c>
    </row>
    <row r="897" customFormat="false" ht="15" hidden="false" customHeight="true" outlineLevel="0" collapsed="false">
      <c r="A897" s="6" t="s">
        <v>3495</v>
      </c>
      <c r="B897" s="6" t="s">
        <v>6866</v>
      </c>
      <c r="C897" s="6" t="n">
        <v>2</v>
      </c>
      <c r="D897" s="6" t="n">
        <v>9</v>
      </c>
      <c r="E897" s="6" t="n">
        <v>1</v>
      </c>
      <c r="F897" s="6" t="s">
        <v>3491</v>
      </c>
      <c r="G897" s="28" t="n">
        <f aca="false">IFERROR(INDEX('Semrush Data'!$A$1:$Z$20000,MATCH(A897,'Semrush Data'!$A$1:$A$20000,0),MATCH("Volume",'Semrush Data'!$A$1:$Z$1,0)),"")</f>
        <v>0</v>
      </c>
      <c r="H897" s="6" t="n">
        <f aca="false">IFERROR(INDEX('Semrush Data'!$A$1:$Z$20000,MATCH(A897,'Semrush Data'!$A$1:$A$20000,0),MATCH("Keyword Difficulty*",'Semrush Data'!$A$1:$Z$1,0)),"")</f>
        <v>22</v>
      </c>
      <c r="I897" s="29" t="n">
        <f aca="false">IFERROR(INDEX('Semrush Data'!$A$1:$Z$20000,MATCH(A897,'Semrush Data'!$A$1:$A$20000,0),MATCH("CPC*",'Semrush Data'!$A$1:$Z$1,0)),"")</f>
        <v>0</v>
      </c>
      <c r="J897" s="6" t="str">
        <f aca="false">IFERROR(INDEX('Semrush Data'!$A$1:$Z$20000,MATCH(A897,'Semrush Data'!$A$1:$A$20000,0),MATCH("Intent",'Semrush Data'!$A$1:$Z$1,0)),"")</f>
        <v>Informational Commercial</v>
      </c>
    </row>
    <row r="898" customFormat="false" ht="15" hidden="false" customHeight="true" outlineLevel="0" collapsed="false">
      <c r="A898" s="6" t="s">
        <v>3518</v>
      </c>
      <c r="B898" s="6" t="s">
        <v>6866</v>
      </c>
      <c r="C898" s="6" t="n">
        <v>2</v>
      </c>
      <c r="D898" s="6" t="n">
        <v>9</v>
      </c>
      <c r="E898" s="6" t="n">
        <v>1</v>
      </c>
      <c r="F898" s="6" t="s">
        <v>3514</v>
      </c>
      <c r="G898" s="28" t="n">
        <f aca="false">IFERROR(INDEX('Semrush Data'!$A$1:$Z$20000,MATCH(A898,'Semrush Data'!$A$1:$A$20000,0),MATCH("Volume",'Semrush Data'!$A$1:$Z$1,0)),"")</f>
        <v>20</v>
      </c>
      <c r="H898" s="6" t="n">
        <f aca="false">IFERROR(INDEX('Semrush Data'!$A$1:$Z$20000,MATCH(A898,'Semrush Data'!$A$1:$A$20000,0),MATCH("Keyword Difficulty*",'Semrush Data'!$A$1:$Z$1,0)),"")</f>
        <v>12</v>
      </c>
      <c r="I898" s="29" t="n">
        <f aca="false">IFERROR(INDEX('Semrush Data'!$A$1:$Z$20000,MATCH(A898,'Semrush Data'!$A$1:$A$20000,0),MATCH("CPC*",'Semrush Data'!$A$1:$Z$1,0)),"")</f>
        <v>0</v>
      </c>
      <c r="J898" s="6" t="str">
        <f aca="false">IFERROR(INDEX('Semrush Data'!$A$1:$Z$20000,MATCH(A898,'Semrush Data'!$A$1:$A$20000,0),MATCH("Intent",'Semrush Data'!$A$1:$Z$1,0)),"")</f>
        <v>Informational</v>
      </c>
    </row>
    <row r="899" customFormat="false" ht="15" hidden="false" customHeight="true" outlineLevel="0" collapsed="false">
      <c r="A899" s="6" t="s">
        <v>3528</v>
      </c>
      <c r="B899" s="6" t="s">
        <v>6866</v>
      </c>
      <c r="C899" s="6" t="n">
        <v>2</v>
      </c>
      <c r="D899" s="6" t="n">
        <v>9</v>
      </c>
      <c r="E899" s="6" t="n">
        <v>1</v>
      </c>
      <c r="F899" s="6" t="s">
        <v>93</v>
      </c>
      <c r="G899" s="28" t="n">
        <f aca="false">IFERROR(INDEX('Semrush Data'!$A$1:$Z$20000,MATCH(A899,'Semrush Data'!$A$1:$A$20000,0),MATCH("Volume",'Semrush Data'!$A$1:$Z$1,0)),"")</f>
        <v>0</v>
      </c>
      <c r="H899" s="6" t="n">
        <f aca="false">IFERROR(INDEX('Semrush Data'!$A$1:$Z$20000,MATCH(A899,'Semrush Data'!$A$1:$A$20000,0),MATCH("Keyword Difficulty*",'Semrush Data'!$A$1:$Z$1,0)),"")</f>
        <v>18</v>
      </c>
      <c r="I899" s="29" t="n">
        <f aca="false">IFERROR(INDEX('Semrush Data'!$A$1:$Z$20000,MATCH(A899,'Semrush Data'!$A$1:$A$20000,0),MATCH("CPC*",'Semrush Data'!$A$1:$Z$1,0)),"")</f>
        <v>0</v>
      </c>
      <c r="J899" s="6" t="str">
        <f aca="false">IFERROR(INDEX('Semrush Data'!$A$1:$Z$20000,MATCH(A899,'Semrush Data'!$A$1:$A$20000,0),MATCH("Intent",'Semrush Data'!$A$1:$Z$1,0)),"")</f>
        <v>Informational</v>
      </c>
    </row>
    <row r="900" customFormat="false" ht="15" hidden="false" customHeight="true" outlineLevel="0" collapsed="false">
      <c r="A900" s="6" t="s">
        <v>2292</v>
      </c>
      <c r="B900" s="6" t="s">
        <v>6866</v>
      </c>
      <c r="C900" s="6" t="n">
        <v>2</v>
      </c>
      <c r="D900" s="6" t="n">
        <v>9</v>
      </c>
      <c r="E900" s="6" t="n">
        <v>1</v>
      </c>
      <c r="F900" s="6" t="s">
        <v>1246</v>
      </c>
      <c r="G900" s="28" t="n">
        <f aca="false">IFERROR(INDEX('Semrush Data'!$A$1:$Z$20000,MATCH(A900,'Semrush Data'!$A$1:$A$20000,0),MATCH("Volume",'Semrush Data'!$A$1:$Z$1,0)),"")</f>
        <v>0</v>
      </c>
      <c r="H900" s="6" t="n">
        <f aca="false">IFERROR(INDEX('Semrush Data'!$A$1:$Z$20000,MATCH(A900,'Semrush Data'!$A$1:$A$20000,0),MATCH("Keyword Difficulty*",'Semrush Data'!$A$1:$Z$1,0)),"")</f>
        <v>17</v>
      </c>
      <c r="I900" s="29" t="n">
        <f aca="false">IFERROR(INDEX('Semrush Data'!$A$1:$Z$20000,MATCH(A900,'Semrush Data'!$A$1:$A$20000,0),MATCH("CPC*",'Semrush Data'!$A$1:$Z$1,0)),"")</f>
        <v>0</v>
      </c>
      <c r="J900" s="6" t="str">
        <f aca="false">IFERROR(INDEX('Semrush Data'!$A$1:$Z$20000,MATCH(A900,'Semrush Data'!$A$1:$A$20000,0),MATCH("Intent",'Semrush Data'!$A$1:$Z$1,0)),"")</f>
        <v>Navigational</v>
      </c>
    </row>
    <row r="901" customFormat="false" ht="15" hidden="false" customHeight="true" outlineLevel="0" collapsed="false">
      <c r="A901" s="6" t="s">
        <v>1981</v>
      </c>
      <c r="B901" s="6" t="s">
        <v>6866</v>
      </c>
      <c r="C901" s="6" t="n">
        <v>2</v>
      </c>
      <c r="D901" s="6" t="n">
        <v>9</v>
      </c>
      <c r="E901" s="6" t="n">
        <v>1</v>
      </c>
      <c r="F901" s="6" t="s">
        <v>939</v>
      </c>
      <c r="G901" s="28" t="n">
        <f aca="false">IFERROR(INDEX('Semrush Data'!$A$1:$Z$20000,MATCH(A901,'Semrush Data'!$A$1:$A$20000,0),MATCH("Volume",'Semrush Data'!$A$1:$Z$1,0)),"")</f>
        <v>0</v>
      </c>
      <c r="H901" s="6" t="n">
        <f aca="false">IFERROR(INDEX('Semrush Data'!$A$1:$Z$20000,MATCH(A901,'Semrush Data'!$A$1:$A$20000,0),MATCH("Keyword Difficulty*",'Semrush Data'!$A$1:$Z$1,0)),"")</f>
        <v>13</v>
      </c>
      <c r="I901" s="29" t="n">
        <f aca="false">IFERROR(INDEX('Semrush Data'!$A$1:$Z$20000,MATCH(A901,'Semrush Data'!$A$1:$A$20000,0),MATCH("CPC*",'Semrush Data'!$A$1:$Z$1,0)),"")</f>
        <v>0</v>
      </c>
      <c r="J901" s="6" t="str">
        <f aca="false">IFERROR(INDEX('Semrush Data'!$A$1:$Z$20000,MATCH(A901,'Semrush Data'!$A$1:$A$20000,0),MATCH("Intent",'Semrush Data'!$A$1:$Z$1,0)),"")</f>
        <v>Informational</v>
      </c>
    </row>
    <row r="902" customFormat="false" ht="15" hidden="false" customHeight="true" outlineLevel="0" collapsed="false">
      <c r="A902" s="6" t="s">
        <v>2383</v>
      </c>
      <c r="B902" s="6" t="s">
        <v>6866</v>
      </c>
      <c r="C902" s="6" t="n">
        <v>2</v>
      </c>
      <c r="D902" s="6" t="n">
        <v>10</v>
      </c>
      <c r="E902" s="6" t="n">
        <v>1</v>
      </c>
      <c r="F902" s="6" t="s">
        <v>1338</v>
      </c>
      <c r="G902" s="28" t="str">
        <f aca="false">IFERROR(INDEX('Semrush Data'!$A$1:$Z$20000,MATCH(A902,'Semrush Data'!$A$1:$A$20000,0),MATCH("Volume",'Semrush Data'!$A$1:$Z$1,0)),"")</f>
        <v/>
      </c>
      <c r="H902" s="6" t="str">
        <f aca="false">IFERROR(INDEX('Semrush Data'!$A$1:$Z$20000,MATCH(A902,'Semrush Data'!$A$1:$A$20000,0),MATCH("Keyword Difficulty*",'Semrush Data'!$A$1:$Z$1,0)),"")</f>
        <v/>
      </c>
      <c r="I902" s="29" t="str">
        <f aca="false">IFERROR(INDEX('Semrush Data'!$A$1:$Z$20000,MATCH(A902,'Semrush Data'!$A$1:$A$20000,0),MATCH("CPC*",'Semrush Data'!$A$1:$Z$1,0)),"")</f>
        <v/>
      </c>
      <c r="J902" s="6" t="str">
        <f aca="false">IFERROR(INDEX('Semrush Data'!$A$1:$Z$20000,MATCH(A902,'Semrush Data'!$A$1:$A$20000,0),MATCH("Intent",'Semrush Data'!$A$1:$Z$1,0)),"")</f>
        <v/>
      </c>
    </row>
    <row r="903" customFormat="false" ht="15" hidden="false" customHeight="true" outlineLevel="0" collapsed="false">
      <c r="A903" s="6" t="s">
        <v>2318</v>
      </c>
      <c r="B903" s="6" t="s">
        <v>6866</v>
      </c>
      <c r="C903" s="6" t="n">
        <v>2</v>
      </c>
      <c r="D903" s="6" t="n">
        <v>10</v>
      </c>
      <c r="E903" s="6" t="n">
        <v>1</v>
      </c>
      <c r="F903" s="6" t="s">
        <v>1272</v>
      </c>
      <c r="G903" s="28" t="str">
        <f aca="false">IFERROR(INDEX('Semrush Data'!$A$1:$Z$20000,MATCH(A903,'Semrush Data'!$A$1:$A$20000,0),MATCH("Volume",'Semrush Data'!$A$1:$Z$1,0)),"")</f>
        <v/>
      </c>
      <c r="H903" s="6" t="str">
        <f aca="false">IFERROR(INDEX('Semrush Data'!$A$1:$Z$20000,MATCH(A903,'Semrush Data'!$A$1:$A$20000,0),MATCH("Keyword Difficulty*",'Semrush Data'!$A$1:$Z$1,0)),"")</f>
        <v/>
      </c>
      <c r="I903" s="29" t="str">
        <f aca="false">IFERROR(INDEX('Semrush Data'!$A$1:$Z$20000,MATCH(A903,'Semrush Data'!$A$1:$A$20000,0),MATCH("CPC*",'Semrush Data'!$A$1:$Z$1,0)),"")</f>
        <v/>
      </c>
      <c r="J903" s="6" t="str">
        <f aca="false">IFERROR(INDEX('Semrush Data'!$A$1:$Z$20000,MATCH(A903,'Semrush Data'!$A$1:$A$20000,0),MATCH("Intent",'Semrush Data'!$A$1:$Z$1,0)),"")</f>
        <v/>
      </c>
    </row>
    <row r="904" customFormat="false" ht="15" hidden="false" customHeight="true" outlineLevel="0" collapsed="false">
      <c r="A904" s="6" t="s">
        <v>2324</v>
      </c>
      <c r="B904" s="6" t="s">
        <v>6866</v>
      </c>
      <c r="C904" s="6" t="n">
        <v>2</v>
      </c>
      <c r="D904" s="6" t="n">
        <v>10</v>
      </c>
      <c r="E904" s="6" t="n">
        <v>1</v>
      </c>
      <c r="F904" s="6" t="s">
        <v>1278</v>
      </c>
      <c r="G904" s="28" t="str">
        <f aca="false">IFERROR(INDEX('Semrush Data'!$A$1:$Z$20000,MATCH(A904,'Semrush Data'!$A$1:$A$20000,0),MATCH("Volume",'Semrush Data'!$A$1:$Z$1,0)),"")</f>
        <v/>
      </c>
      <c r="H904" s="6" t="str">
        <f aca="false">IFERROR(INDEX('Semrush Data'!$A$1:$Z$20000,MATCH(A904,'Semrush Data'!$A$1:$A$20000,0),MATCH("Keyword Difficulty*",'Semrush Data'!$A$1:$Z$1,0)),"")</f>
        <v/>
      </c>
      <c r="I904" s="29" t="str">
        <f aca="false">IFERROR(INDEX('Semrush Data'!$A$1:$Z$20000,MATCH(A904,'Semrush Data'!$A$1:$A$20000,0),MATCH("CPC*",'Semrush Data'!$A$1:$Z$1,0)),"")</f>
        <v/>
      </c>
      <c r="J904" s="6" t="str">
        <f aca="false">IFERROR(INDEX('Semrush Data'!$A$1:$Z$20000,MATCH(A904,'Semrush Data'!$A$1:$A$20000,0),MATCH("Intent",'Semrush Data'!$A$1:$Z$1,0)),"")</f>
        <v/>
      </c>
    </row>
    <row r="905" customFormat="false" ht="15" hidden="false" customHeight="true" outlineLevel="0" collapsed="false">
      <c r="A905" s="6" t="s">
        <v>1958</v>
      </c>
      <c r="B905" s="6" t="s">
        <v>6866</v>
      </c>
      <c r="C905" s="6" t="n">
        <v>2</v>
      </c>
      <c r="D905" s="6" t="n">
        <v>10</v>
      </c>
      <c r="E905" s="6" t="n">
        <v>1</v>
      </c>
      <c r="F905" s="6" t="s">
        <v>920</v>
      </c>
      <c r="G905" s="28" t="str">
        <f aca="false">IFERROR(INDEX('Semrush Data'!$A$1:$Z$20000,MATCH(A905,'Semrush Data'!$A$1:$A$20000,0),MATCH("Volume",'Semrush Data'!$A$1:$Z$1,0)),"")</f>
        <v/>
      </c>
      <c r="H905" s="6" t="str">
        <f aca="false">IFERROR(INDEX('Semrush Data'!$A$1:$Z$20000,MATCH(A905,'Semrush Data'!$A$1:$A$20000,0),MATCH("Keyword Difficulty*",'Semrush Data'!$A$1:$Z$1,0)),"")</f>
        <v/>
      </c>
      <c r="I905" s="29" t="str">
        <f aca="false">IFERROR(INDEX('Semrush Data'!$A$1:$Z$20000,MATCH(A905,'Semrush Data'!$A$1:$A$20000,0),MATCH("CPC*",'Semrush Data'!$A$1:$Z$1,0)),"")</f>
        <v/>
      </c>
      <c r="J905" s="6" t="str">
        <f aca="false">IFERROR(INDEX('Semrush Data'!$A$1:$Z$20000,MATCH(A905,'Semrush Data'!$A$1:$A$20000,0),MATCH("Intent",'Semrush Data'!$A$1:$Z$1,0)),"")</f>
        <v/>
      </c>
    </row>
    <row r="906" customFormat="false" ht="15" hidden="false" customHeight="true" outlineLevel="0" collapsed="false">
      <c r="A906" s="6" t="s">
        <v>2166</v>
      </c>
      <c r="B906" s="6" t="s">
        <v>6866</v>
      </c>
      <c r="C906" s="6" t="n">
        <v>2</v>
      </c>
      <c r="D906" s="6" t="n">
        <v>10</v>
      </c>
      <c r="E906" s="6" t="n">
        <v>1</v>
      </c>
      <c r="F906" s="6" t="s">
        <v>1117</v>
      </c>
      <c r="G906" s="28" t="str">
        <f aca="false">IFERROR(INDEX('Semrush Data'!$A$1:$Z$20000,MATCH(A906,'Semrush Data'!$A$1:$A$20000,0),MATCH("Volume",'Semrush Data'!$A$1:$Z$1,0)),"")</f>
        <v/>
      </c>
      <c r="H906" s="6" t="str">
        <f aca="false">IFERROR(INDEX('Semrush Data'!$A$1:$Z$20000,MATCH(A906,'Semrush Data'!$A$1:$A$20000,0),MATCH("Keyword Difficulty*",'Semrush Data'!$A$1:$Z$1,0)),"")</f>
        <v/>
      </c>
      <c r="I906" s="29" t="str">
        <f aca="false">IFERROR(INDEX('Semrush Data'!$A$1:$Z$20000,MATCH(A906,'Semrush Data'!$A$1:$A$20000,0),MATCH("CPC*",'Semrush Data'!$A$1:$Z$1,0)),"")</f>
        <v/>
      </c>
      <c r="J906" s="6" t="str">
        <f aca="false">IFERROR(INDEX('Semrush Data'!$A$1:$Z$20000,MATCH(A906,'Semrush Data'!$A$1:$A$20000,0),MATCH("Intent",'Semrush Data'!$A$1:$Z$1,0)),"")</f>
        <v/>
      </c>
    </row>
    <row r="907" customFormat="false" ht="15" hidden="false" customHeight="true" outlineLevel="0" collapsed="false">
      <c r="A907" s="6" t="s">
        <v>2266</v>
      </c>
      <c r="B907" s="6" t="s">
        <v>6866</v>
      </c>
      <c r="C907" s="6" t="n">
        <v>2</v>
      </c>
      <c r="D907" s="6" t="n">
        <v>10</v>
      </c>
      <c r="E907" s="6" t="n">
        <v>1</v>
      </c>
      <c r="F907" s="6" t="s">
        <v>1219</v>
      </c>
      <c r="G907" s="28" t="str">
        <f aca="false">IFERROR(INDEX('Semrush Data'!$A$1:$Z$20000,MATCH(A907,'Semrush Data'!$A$1:$A$20000,0),MATCH("Volume",'Semrush Data'!$A$1:$Z$1,0)),"")</f>
        <v/>
      </c>
      <c r="H907" s="6" t="str">
        <f aca="false">IFERROR(INDEX('Semrush Data'!$A$1:$Z$20000,MATCH(A907,'Semrush Data'!$A$1:$A$20000,0),MATCH("Keyword Difficulty*",'Semrush Data'!$A$1:$Z$1,0)),"")</f>
        <v/>
      </c>
      <c r="I907" s="29" t="str">
        <f aca="false">IFERROR(INDEX('Semrush Data'!$A$1:$Z$20000,MATCH(A907,'Semrush Data'!$A$1:$A$20000,0),MATCH("CPC*",'Semrush Data'!$A$1:$Z$1,0)),"")</f>
        <v/>
      </c>
      <c r="J907" s="6" t="str">
        <f aca="false">IFERROR(INDEX('Semrush Data'!$A$1:$Z$20000,MATCH(A907,'Semrush Data'!$A$1:$A$20000,0),MATCH("Intent",'Semrush Data'!$A$1:$Z$1,0)),"")</f>
        <v/>
      </c>
    </row>
    <row r="908" customFormat="false" ht="15" hidden="false" customHeight="true" outlineLevel="0" collapsed="false">
      <c r="A908" s="6" t="s">
        <v>2003</v>
      </c>
      <c r="B908" s="6" t="s">
        <v>6866</v>
      </c>
      <c r="C908" s="6" t="n">
        <v>2</v>
      </c>
      <c r="D908" s="6" t="n">
        <v>10</v>
      </c>
      <c r="E908" s="6" t="n">
        <v>1</v>
      </c>
      <c r="F908" s="6" t="s">
        <v>958</v>
      </c>
      <c r="G908" s="28" t="str">
        <f aca="false">IFERROR(INDEX('Semrush Data'!$A$1:$Z$20000,MATCH(A908,'Semrush Data'!$A$1:$A$20000,0),MATCH("Volume",'Semrush Data'!$A$1:$Z$1,0)),"")</f>
        <v/>
      </c>
      <c r="H908" s="6" t="str">
        <f aca="false">IFERROR(INDEX('Semrush Data'!$A$1:$Z$20000,MATCH(A908,'Semrush Data'!$A$1:$A$20000,0),MATCH("Keyword Difficulty*",'Semrush Data'!$A$1:$Z$1,0)),"")</f>
        <v/>
      </c>
      <c r="I908" s="29" t="str">
        <f aca="false">IFERROR(INDEX('Semrush Data'!$A$1:$Z$20000,MATCH(A908,'Semrush Data'!$A$1:$A$20000,0),MATCH("CPC*",'Semrush Data'!$A$1:$Z$1,0)),"")</f>
        <v/>
      </c>
      <c r="J908" s="6" t="str">
        <f aca="false">IFERROR(INDEX('Semrush Data'!$A$1:$Z$20000,MATCH(A908,'Semrush Data'!$A$1:$A$20000,0),MATCH("Intent",'Semrush Data'!$A$1:$Z$1,0)),"")</f>
        <v/>
      </c>
    </row>
    <row r="909" customFormat="false" ht="15" hidden="false" customHeight="true" outlineLevel="0" collapsed="false">
      <c r="A909" s="6" t="s">
        <v>2260</v>
      </c>
      <c r="B909" s="6" t="s">
        <v>6866</v>
      </c>
      <c r="C909" s="6" t="n">
        <v>2</v>
      </c>
      <c r="D909" s="6" t="n">
        <v>10</v>
      </c>
      <c r="E909" s="6" t="n">
        <v>1</v>
      </c>
      <c r="F909" s="6" t="s">
        <v>1213</v>
      </c>
      <c r="G909" s="28" t="str">
        <f aca="false">IFERROR(INDEX('Semrush Data'!$A$1:$Z$20000,MATCH(A909,'Semrush Data'!$A$1:$A$20000,0),MATCH("Volume",'Semrush Data'!$A$1:$Z$1,0)),"")</f>
        <v/>
      </c>
      <c r="H909" s="6" t="str">
        <f aca="false">IFERROR(INDEX('Semrush Data'!$A$1:$Z$20000,MATCH(A909,'Semrush Data'!$A$1:$A$20000,0),MATCH("Keyword Difficulty*",'Semrush Data'!$A$1:$Z$1,0)),"")</f>
        <v/>
      </c>
      <c r="I909" s="29" t="str">
        <f aca="false">IFERROR(INDEX('Semrush Data'!$A$1:$Z$20000,MATCH(A909,'Semrush Data'!$A$1:$A$20000,0),MATCH("CPC*",'Semrush Data'!$A$1:$Z$1,0)),"")</f>
        <v/>
      </c>
      <c r="J909" s="6" t="str">
        <f aca="false">IFERROR(INDEX('Semrush Data'!$A$1:$Z$20000,MATCH(A909,'Semrush Data'!$A$1:$A$20000,0),MATCH("Intent",'Semrush Data'!$A$1:$Z$1,0)),"")</f>
        <v/>
      </c>
    </row>
    <row r="910" customFormat="false" ht="15" hidden="false" customHeight="true" outlineLevel="0" collapsed="false">
      <c r="A910" s="6" t="s">
        <v>2199</v>
      </c>
      <c r="B910" s="6" t="s">
        <v>6866</v>
      </c>
      <c r="C910" s="6" t="n">
        <v>2</v>
      </c>
      <c r="D910" s="6" t="n">
        <v>10</v>
      </c>
      <c r="E910" s="6" t="n">
        <v>1</v>
      </c>
      <c r="F910" s="6" t="s">
        <v>1150</v>
      </c>
      <c r="G910" s="28" t="str">
        <f aca="false">IFERROR(INDEX('Semrush Data'!$A$1:$Z$20000,MATCH(A910,'Semrush Data'!$A$1:$A$20000,0),MATCH("Volume",'Semrush Data'!$A$1:$Z$1,0)),"")</f>
        <v/>
      </c>
      <c r="H910" s="6" t="str">
        <f aca="false">IFERROR(INDEX('Semrush Data'!$A$1:$Z$20000,MATCH(A910,'Semrush Data'!$A$1:$A$20000,0),MATCH("Keyword Difficulty*",'Semrush Data'!$A$1:$Z$1,0)),"")</f>
        <v/>
      </c>
      <c r="I910" s="29" t="str">
        <f aca="false">IFERROR(INDEX('Semrush Data'!$A$1:$Z$20000,MATCH(A910,'Semrush Data'!$A$1:$A$20000,0),MATCH("CPC*",'Semrush Data'!$A$1:$Z$1,0)),"")</f>
        <v/>
      </c>
      <c r="J910" s="6" t="str">
        <f aca="false">IFERROR(INDEX('Semrush Data'!$A$1:$Z$20000,MATCH(A910,'Semrush Data'!$A$1:$A$20000,0),MATCH("Intent",'Semrush Data'!$A$1:$Z$1,0)),"")</f>
        <v/>
      </c>
    </row>
    <row r="911" customFormat="false" ht="15" hidden="false" customHeight="true" outlineLevel="0" collapsed="false">
      <c r="A911" s="6" t="s">
        <v>2279</v>
      </c>
      <c r="B911" s="6" t="s">
        <v>6866</v>
      </c>
      <c r="C911" s="6" t="n">
        <v>2</v>
      </c>
      <c r="D911" s="6" t="n">
        <v>10</v>
      </c>
      <c r="E911" s="6" t="n">
        <v>1</v>
      </c>
      <c r="F911" s="6" t="s">
        <v>1232</v>
      </c>
      <c r="G911" s="28" t="str">
        <f aca="false">IFERROR(INDEX('Semrush Data'!$A$1:$Z$20000,MATCH(A911,'Semrush Data'!$A$1:$A$20000,0),MATCH("Volume",'Semrush Data'!$A$1:$Z$1,0)),"")</f>
        <v/>
      </c>
      <c r="H911" s="6" t="str">
        <f aca="false">IFERROR(INDEX('Semrush Data'!$A$1:$Z$20000,MATCH(A911,'Semrush Data'!$A$1:$A$20000,0),MATCH("Keyword Difficulty*",'Semrush Data'!$A$1:$Z$1,0)),"")</f>
        <v/>
      </c>
      <c r="I911" s="29" t="str">
        <f aca="false">IFERROR(INDEX('Semrush Data'!$A$1:$Z$20000,MATCH(A911,'Semrush Data'!$A$1:$A$20000,0),MATCH("CPC*",'Semrush Data'!$A$1:$Z$1,0)),"")</f>
        <v/>
      </c>
      <c r="J911" s="6" t="str">
        <f aca="false">IFERROR(INDEX('Semrush Data'!$A$1:$Z$20000,MATCH(A911,'Semrush Data'!$A$1:$A$20000,0),MATCH("Intent",'Semrush Data'!$A$1:$Z$1,0)),"")</f>
        <v/>
      </c>
    </row>
    <row r="912" customFormat="false" ht="15" hidden="false" customHeight="true" outlineLevel="0" collapsed="false">
      <c r="A912" s="6" t="s">
        <v>2187</v>
      </c>
      <c r="B912" s="6" t="s">
        <v>6866</v>
      </c>
      <c r="C912" s="6" t="n">
        <v>2</v>
      </c>
      <c r="D912" s="6" t="n">
        <v>10</v>
      </c>
      <c r="E912" s="6" t="n">
        <v>1</v>
      </c>
      <c r="F912" s="6" t="s">
        <v>1135</v>
      </c>
      <c r="G912" s="28" t="str">
        <f aca="false">IFERROR(INDEX('Semrush Data'!$A$1:$Z$20000,MATCH(A912,'Semrush Data'!$A$1:$A$20000,0),MATCH("Volume",'Semrush Data'!$A$1:$Z$1,0)),"")</f>
        <v/>
      </c>
      <c r="H912" s="6" t="str">
        <f aca="false">IFERROR(INDEX('Semrush Data'!$A$1:$Z$20000,MATCH(A912,'Semrush Data'!$A$1:$A$20000,0),MATCH("Keyword Difficulty*",'Semrush Data'!$A$1:$Z$1,0)),"")</f>
        <v/>
      </c>
      <c r="I912" s="29" t="str">
        <f aca="false">IFERROR(INDEX('Semrush Data'!$A$1:$Z$20000,MATCH(A912,'Semrush Data'!$A$1:$A$20000,0),MATCH("CPC*",'Semrush Data'!$A$1:$Z$1,0)),"")</f>
        <v/>
      </c>
      <c r="J912" s="6" t="str">
        <f aca="false">IFERROR(INDEX('Semrush Data'!$A$1:$Z$20000,MATCH(A912,'Semrush Data'!$A$1:$A$20000,0),MATCH("Intent",'Semrush Data'!$A$1:$Z$1,0)),"")</f>
        <v/>
      </c>
    </row>
    <row r="913" customFormat="false" ht="15" hidden="false" customHeight="true" outlineLevel="0" collapsed="false">
      <c r="A913" s="6" t="s">
        <v>2348</v>
      </c>
      <c r="B913" s="6" t="s">
        <v>6866</v>
      </c>
      <c r="C913" s="6" t="n">
        <v>2</v>
      </c>
      <c r="D913" s="6" t="n">
        <v>10</v>
      </c>
      <c r="E913" s="6" t="n">
        <v>1</v>
      </c>
      <c r="F913" s="6" t="s">
        <v>1302</v>
      </c>
      <c r="G913" s="28" t="str">
        <f aca="false">IFERROR(INDEX('Semrush Data'!$A$1:$Z$20000,MATCH(A913,'Semrush Data'!$A$1:$A$20000,0),MATCH("Volume",'Semrush Data'!$A$1:$Z$1,0)),"")</f>
        <v/>
      </c>
      <c r="H913" s="6" t="str">
        <f aca="false">IFERROR(INDEX('Semrush Data'!$A$1:$Z$20000,MATCH(A913,'Semrush Data'!$A$1:$A$20000,0),MATCH("Keyword Difficulty*",'Semrush Data'!$A$1:$Z$1,0)),"")</f>
        <v/>
      </c>
      <c r="I913" s="29" t="str">
        <f aca="false">IFERROR(INDEX('Semrush Data'!$A$1:$Z$20000,MATCH(A913,'Semrush Data'!$A$1:$A$20000,0),MATCH("CPC*",'Semrush Data'!$A$1:$Z$1,0)),"")</f>
        <v/>
      </c>
      <c r="J913" s="6" t="str">
        <f aca="false">IFERROR(INDEX('Semrush Data'!$A$1:$Z$20000,MATCH(A913,'Semrush Data'!$A$1:$A$20000,0),MATCH("Intent",'Semrush Data'!$A$1:$Z$1,0)),"")</f>
        <v/>
      </c>
    </row>
    <row r="914" customFormat="false" ht="15" hidden="false" customHeight="true" outlineLevel="0" collapsed="false">
      <c r="A914" s="6" t="s">
        <v>1965</v>
      </c>
      <c r="B914" s="6" t="s">
        <v>6866</v>
      </c>
      <c r="C914" s="6" t="n">
        <v>2</v>
      </c>
      <c r="D914" s="6" t="n">
        <v>10</v>
      </c>
      <c r="E914" s="6" t="n">
        <v>1</v>
      </c>
      <c r="F914" s="6" t="s">
        <v>926</v>
      </c>
      <c r="G914" s="28" t="str">
        <f aca="false">IFERROR(INDEX('Semrush Data'!$A$1:$Z$20000,MATCH(A914,'Semrush Data'!$A$1:$A$20000,0),MATCH("Volume",'Semrush Data'!$A$1:$Z$1,0)),"")</f>
        <v/>
      </c>
      <c r="H914" s="6" t="str">
        <f aca="false">IFERROR(INDEX('Semrush Data'!$A$1:$Z$20000,MATCH(A914,'Semrush Data'!$A$1:$A$20000,0),MATCH("Keyword Difficulty*",'Semrush Data'!$A$1:$Z$1,0)),"")</f>
        <v/>
      </c>
      <c r="I914" s="29" t="str">
        <f aca="false">IFERROR(INDEX('Semrush Data'!$A$1:$Z$20000,MATCH(A914,'Semrush Data'!$A$1:$A$20000,0),MATCH("CPC*",'Semrush Data'!$A$1:$Z$1,0)),"")</f>
        <v/>
      </c>
      <c r="J914" s="6" t="str">
        <f aca="false">IFERROR(INDEX('Semrush Data'!$A$1:$Z$20000,MATCH(A914,'Semrush Data'!$A$1:$A$20000,0),MATCH("Intent",'Semrush Data'!$A$1:$Z$1,0)),"")</f>
        <v/>
      </c>
    </row>
    <row r="915" customFormat="false" ht="15" hidden="false" customHeight="true" outlineLevel="0" collapsed="false">
      <c r="A915" s="6" t="s">
        <v>2206</v>
      </c>
      <c r="B915" s="6" t="s">
        <v>6866</v>
      </c>
      <c r="C915" s="6" t="n">
        <v>2</v>
      </c>
      <c r="D915" s="6" t="n">
        <v>10</v>
      </c>
      <c r="E915" s="6" t="n">
        <v>1</v>
      </c>
      <c r="F915" s="6" t="s">
        <v>1157</v>
      </c>
      <c r="G915" s="28" t="str">
        <f aca="false">IFERROR(INDEX('Semrush Data'!$A$1:$Z$20000,MATCH(A915,'Semrush Data'!$A$1:$A$20000,0),MATCH("Volume",'Semrush Data'!$A$1:$Z$1,0)),"")</f>
        <v/>
      </c>
      <c r="H915" s="6" t="str">
        <f aca="false">IFERROR(INDEX('Semrush Data'!$A$1:$Z$20000,MATCH(A915,'Semrush Data'!$A$1:$A$20000,0),MATCH("Keyword Difficulty*",'Semrush Data'!$A$1:$Z$1,0)),"")</f>
        <v/>
      </c>
      <c r="I915" s="29" t="str">
        <f aca="false">IFERROR(INDEX('Semrush Data'!$A$1:$Z$20000,MATCH(A915,'Semrush Data'!$A$1:$A$20000,0),MATCH("CPC*",'Semrush Data'!$A$1:$Z$1,0)),"")</f>
        <v/>
      </c>
      <c r="J915" s="6" t="str">
        <f aca="false">IFERROR(INDEX('Semrush Data'!$A$1:$Z$20000,MATCH(A915,'Semrush Data'!$A$1:$A$20000,0),MATCH("Intent",'Semrush Data'!$A$1:$Z$1,0)),"")</f>
        <v/>
      </c>
    </row>
    <row r="916" customFormat="false" ht="15" hidden="false" customHeight="true" outlineLevel="0" collapsed="false">
      <c r="A916" s="6" t="s">
        <v>1950</v>
      </c>
      <c r="B916" s="6" t="s">
        <v>6866</v>
      </c>
      <c r="C916" s="6" t="n">
        <v>2</v>
      </c>
      <c r="D916" s="6" t="n">
        <v>10</v>
      </c>
      <c r="E916" s="6" t="n">
        <v>1</v>
      </c>
      <c r="F916" s="6" t="s">
        <v>914</v>
      </c>
      <c r="G916" s="28" t="str">
        <f aca="false">IFERROR(INDEX('Semrush Data'!$A$1:$Z$20000,MATCH(A916,'Semrush Data'!$A$1:$A$20000,0),MATCH("Volume",'Semrush Data'!$A$1:$Z$1,0)),"")</f>
        <v/>
      </c>
      <c r="H916" s="6" t="str">
        <f aca="false">IFERROR(INDEX('Semrush Data'!$A$1:$Z$20000,MATCH(A916,'Semrush Data'!$A$1:$A$20000,0),MATCH("Keyword Difficulty*",'Semrush Data'!$A$1:$Z$1,0)),"")</f>
        <v/>
      </c>
      <c r="I916" s="29" t="str">
        <f aca="false">IFERROR(INDEX('Semrush Data'!$A$1:$Z$20000,MATCH(A916,'Semrush Data'!$A$1:$A$20000,0),MATCH("CPC*",'Semrush Data'!$A$1:$Z$1,0)),"")</f>
        <v/>
      </c>
      <c r="J916" s="6" t="str">
        <f aca="false">IFERROR(INDEX('Semrush Data'!$A$1:$Z$20000,MATCH(A916,'Semrush Data'!$A$1:$A$20000,0),MATCH("Intent",'Semrush Data'!$A$1:$Z$1,0)),"")</f>
        <v/>
      </c>
    </row>
    <row r="917" customFormat="false" ht="15" hidden="false" customHeight="true" outlineLevel="0" collapsed="false">
      <c r="A917" s="6" t="s">
        <v>2219</v>
      </c>
      <c r="B917" s="6" t="s">
        <v>6866</v>
      </c>
      <c r="C917" s="6" t="n">
        <v>2</v>
      </c>
      <c r="D917" s="6" t="n">
        <v>10</v>
      </c>
      <c r="E917" s="6" t="n">
        <v>1</v>
      </c>
      <c r="F917" s="6" t="s">
        <v>1171</v>
      </c>
      <c r="G917" s="28" t="str">
        <f aca="false">IFERROR(INDEX('Semrush Data'!$A$1:$Z$20000,MATCH(A917,'Semrush Data'!$A$1:$A$20000,0),MATCH("Volume",'Semrush Data'!$A$1:$Z$1,0)),"")</f>
        <v/>
      </c>
      <c r="H917" s="6" t="str">
        <f aca="false">IFERROR(INDEX('Semrush Data'!$A$1:$Z$20000,MATCH(A917,'Semrush Data'!$A$1:$A$20000,0),MATCH("Keyword Difficulty*",'Semrush Data'!$A$1:$Z$1,0)),"")</f>
        <v/>
      </c>
      <c r="I917" s="29" t="str">
        <f aca="false">IFERROR(INDEX('Semrush Data'!$A$1:$Z$20000,MATCH(A917,'Semrush Data'!$A$1:$A$20000,0),MATCH("CPC*",'Semrush Data'!$A$1:$Z$1,0)),"")</f>
        <v/>
      </c>
      <c r="J917" s="6" t="str">
        <f aca="false">IFERROR(INDEX('Semrush Data'!$A$1:$Z$20000,MATCH(A917,'Semrush Data'!$A$1:$A$20000,0),MATCH("Intent",'Semrush Data'!$A$1:$Z$1,0)),"")</f>
        <v/>
      </c>
    </row>
    <row r="918" customFormat="false" ht="15" hidden="false" customHeight="true" outlineLevel="0" collapsed="false">
      <c r="A918" s="6" t="s">
        <v>1943</v>
      </c>
      <c r="B918" s="6" t="s">
        <v>6866</v>
      </c>
      <c r="C918" s="6" t="n">
        <v>2</v>
      </c>
      <c r="D918" s="6" t="n">
        <v>10</v>
      </c>
      <c r="E918" s="6" t="n">
        <v>1</v>
      </c>
      <c r="F918" s="6" t="s">
        <v>905</v>
      </c>
      <c r="G918" s="28" t="str">
        <f aca="false">IFERROR(INDEX('Semrush Data'!$A$1:$Z$20000,MATCH(A918,'Semrush Data'!$A$1:$A$20000,0),MATCH("Volume",'Semrush Data'!$A$1:$Z$1,0)),"")</f>
        <v/>
      </c>
      <c r="H918" s="6" t="str">
        <f aca="false">IFERROR(INDEX('Semrush Data'!$A$1:$Z$20000,MATCH(A918,'Semrush Data'!$A$1:$A$20000,0),MATCH("Keyword Difficulty*",'Semrush Data'!$A$1:$Z$1,0)),"")</f>
        <v/>
      </c>
      <c r="I918" s="29" t="str">
        <f aca="false">IFERROR(INDEX('Semrush Data'!$A$1:$Z$20000,MATCH(A918,'Semrush Data'!$A$1:$A$20000,0),MATCH("CPC*",'Semrush Data'!$A$1:$Z$1,0)),"")</f>
        <v/>
      </c>
      <c r="J918" s="6" t="str">
        <f aca="false">IFERROR(INDEX('Semrush Data'!$A$1:$Z$20000,MATCH(A918,'Semrush Data'!$A$1:$A$20000,0),MATCH("Intent",'Semrush Data'!$A$1:$Z$1,0)),"")</f>
        <v/>
      </c>
    </row>
    <row r="919" customFormat="false" ht="15" hidden="false" customHeight="true" outlineLevel="0" collapsed="false">
      <c r="A919" s="6" t="s">
        <v>2342</v>
      </c>
      <c r="B919" s="6" t="s">
        <v>6866</v>
      </c>
      <c r="C919" s="6" t="n">
        <v>2</v>
      </c>
      <c r="D919" s="6" t="n">
        <v>10</v>
      </c>
      <c r="E919" s="6" t="n">
        <v>1</v>
      </c>
      <c r="F919" s="6" t="s">
        <v>1296</v>
      </c>
      <c r="G919" s="28" t="str">
        <f aca="false">IFERROR(INDEX('Semrush Data'!$A$1:$Z$20000,MATCH(A919,'Semrush Data'!$A$1:$A$20000,0),MATCH("Volume",'Semrush Data'!$A$1:$Z$1,0)),"")</f>
        <v/>
      </c>
      <c r="H919" s="6" t="str">
        <f aca="false">IFERROR(INDEX('Semrush Data'!$A$1:$Z$20000,MATCH(A919,'Semrush Data'!$A$1:$A$20000,0),MATCH("Keyword Difficulty*",'Semrush Data'!$A$1:$Z$1,0)),"")</f>
        <v/>
      </c>
      <c r="I919" s="29" t="str">
        <f aca="false">IFERROR(INDEX('Semrush Data'!$A$1:$Z$20000,MATCH(A919,'Semrush Data'!$A$1:$A$20000,0),MATCH("CPC*",'Semrush Data'!$A$1:$Z$1,0)),"")</f>
        <v/>
      </c>
      <c r="J919" s="6" t="str">
        <f aca="false">IFERROR(INDEX('Semrush Data'!$A$1:$Z$20000,MATCH(A919,'Semrush Data'!$A$1:$A$20000,0),MATCH("Intent",'Semrush Data'!$A$1:$Z$1,0)),"")</f>
        <v/>
      </c>
    </row>
    <row r="920" customFormat="false" ht="15" hidden="false" customHeight="true" outlineLevel="0" collapsed="false">
      <c r="A920" s="6" t="s">
        <v>2336</v>
      </c>
      <c r="B920" s="6" t="s">
        <v>6866</v>
      </c>
      <c r="C920" s="6" t="n">
        <v>2</v>
      </c>
      <c r="D920" s="6" t="n">
        <v>10</v>
      </c>
      <c r="E920" s="6" t="n">
        <v>1</v>
      </c>
      <c r="F920" s="6" t="s">
        <v>1290</v>
      </c>
      <c r="G920" s="28" t="str">
        <f aca="false">IFERROR(INDEX('Semrush Data'!$A$1:$Z$20000,MATCH(A920,'Semrush Data'!$A$1:$A$20000,0),MATCH("Volume",'Semrush Data'!$A$1:$Z$1,0)),"")</f>
        <v/>
      </c>
      <c r="H920" s="6" t="str">
        <f aca="false">IFERROR(INDEX('Semrush Data'!$A$1:$Z$20000,MATCH(A920,'Semrush Data'!$A$1:$A$20000,0),MATCH("Keyword Difficulty*",'Semrush Data'!$A$1:$Z$1,0)),"")</f>
        <v/>
      </c>
      <c r="I920" s="29" t="str">
        <f aca="false">IFERROR(INDEX('Semrush Data'!$A$1:$Z$20000,MATCH(A920,'Semrush Data'!$A$1:$A$20000,0),MATCH("CPC*",'Semrush Data'!$A$1:$Z$1,0)),"")</f>
        <v/>
      </c>
      <c r="J920" s="6" t="str">
        <f aca="false">IFERROR(INDEX('Semrush Data'!$A$1:$Z$20000,MATCH(A920,'Semrush Data'!$A$1:$A$20000,0),MATCH("Intent",'Semrush Data'!$A$1:$Z$1,0)),"")</f>
        <v/>
      </c>
    </row>
    <row r="921" customFormat="false" ht="15" hidden="false" customHeight="true" outlineLevel="0" collapsed="false">
      <c r="A921" s="6" t="s">
        <v>2443</v>
      </c>
      <c r="B921" s="6" t="s">
        <v>6866</v>
      </c>
      <c r="C921" s="6" t="n">
        <v>2</v>
      </c>
      <c r="D921" s="6" t="n">
        <v>10</v>
      </c>
      <c r="E921" s="6" t="n">
        <v>1</v>
      </c>
      <c r="F921" s="6" t="s">
        <v>1399</v>
      </c>
      <c r="G921" s="28" t="str">
        <f aca="false">IFERROR(INDEX('Semrush Data'!$A$1:$Z$20000,MATCH(A921,'Semrush Data'!$A$1:$A$20000,0),MATCH("Volume",'Semrush Data'!$A$1:$Z$1,0)),"")</f>
        <v/>
      </c>
      <c r="H921" s="6" t="str">
        <f aca="false">IFERROR(INDEX('Semrush Data'!$A$1:$Z$20000,MATCH(A921,'Semrush Data'!$A$1:$A$20000,0),MATCH("Keyword Difficulty*",'Semrush Data'!$A$1:$Z$1,0)),"")</f>
        <v/>
      </c>
      <c r="I921" s="29" t="str">
        <f aca="false">IFERROR(INDEX('Semrush Data'!$A$1:$Z$20000,MATCH(A921,'Semrush Data'!$A$1:$A$20000,0),MATCH("CPC*",'Semrush Data'!$A$1:$Z$1,0)),"")</f>
        <v/>
      </c>
      <c r="J921" s="6" t="str">
        <f aca="false">IFERROR(INDEX('Semrush Data'!$A$1:$Z$20000,MATCH(A921,'Semrush Data'!$A$1:$A$20000,0),MATCH("Intent",'Semrush Data'!$A$1:$Z$1,0)),"")</f>
        <v/>
      </c>
    </row>
    <row r="922" customFormat="false" ht="15" hidden="false" customHeight="true" outlineLevel="0" collapsed="false">
      <c r="A922" s="6" t="s">
        <v>2431</v>
      </c>
      <c r="B922" s="6" t="s">
        <v>6866</v>
      </c>
      <c r="C922" s="6" t="n">
        <v>2</v>
      </c>
      <c r="D922" s="6" t="n">
        <v>10</v>
      </c>
      <c r="E922" s="6" t="n">
        <v>1</v>
      </c>
      <c r="F922" s="6" t="s">
        <v>1387</v>
      </c>
      <c r="G922" s="28" t="str">
        <f aca="false">IFERROR(INDEX('Semrush Data'!$A$1:$Z$20000,MATCH(A922,'Semrush Data'!$A$1:$A$20000,0),MATCH("Volume",'Semrush Data'!$A$1:$Z$1,0)),"")</f>
        <v/>
      </c>
      <c r="H922" s="6" t="str">
        <f aca="false">IFERROR(INDEX('Semrush Data'!$A$1:$Z$20000,MATCH(A922,'Semrush Data'!$A$1:$A$20000,0),MATCH("Keyword Difficulty*",'Semrush Data'!$A$1:$Z$1,0)),"")</f>
        <v/>
      </c>
      <c r="I922" s="29" t="str">
        <f aca="false">IFERROR(INDEX('Semrush Data'!$A$1:$Z$20000,MATCH(A922,'Semrush Data'!$A$1:$A$20000,0),MATCH("CPC*",'Semrush Data'!$A$1:$Z$1,0)),"")</f>
        <v/>
      </c>
      <c r="J922" s="6" t="str">
        <f aca="false">IFERROR(INDEX('Semrush Data'!$A$1:$Z$20000,MATCH(A922,'Semrush Data'!$A$1:$A$20000,0),MATCH("Intent",'Semrush Data'!$A$1:$Z$1,0)),"")</f>
        <v/>
      </c>
    </row>
    <row r="923" customFormat="false" ht="15" hidden="false" customHeight="true" outlineLevel="0" collapsed="false">
      <c r="A923" s="6" t="s">
        <v>1973</v>
      </c>
      <c r="B923" s="6" t="s">
        <v>6866</v>
      </c>
      <c r="C923" s="6" t="n">
        <v>2</v>
      </c>
      <c r="D923" s="6" t="n">
        <v>10</v>
      </c>
      <c r="E923" s="6" t="n">
        <v>1</v>
      </c>
      <c r="F923" s="6" t="s">
        <v>933</v>
      </c>
      <c r="G923" s="28" t="str">
        <f aca="false">IFERROR(INDEX('Semrush Data'!$A$1:$Z$20000,MATCH(A923,'Semrush Data'!$A$1:$A$20000,0),MATCH("Volume",'Semrush Data'!$A$1:$Z$1,0)),"")</f>
        <v/>
      </c>
      <c r="H923" s="6" t="str">
        <f aca="false">IFERROR(INDEX('Semrush Data'!$A$1:$Z$20000,MATCH(A923,'Semrush Data'!$A$1:$A$20000,0),MATCH("Keyword Difficulty*",'Semrush Data'!$A$1:$Z$1,0)),"")</f>
        <v/>
      </c>
      <c r="I923" s="29" t="str">
        <f aca="false">IFERROR(INDEX('Semrush Data'!$A$1:$Z$20000,MATCH(A923,'Semrush Data'!$A$1:$A$20000,0),MATCH("CPC*",'Semrush Data'!$A$1:$Z$1,0)),"")</f>
        <v/>
      </c>
      <c r="J923" s="6" t="str">
        <f aca="false">IFERROR(INDEX('Semrush Data'!$A$1:$Z$20000,MATCH(A923,'Semrush Data'!$A$1:$A$20000,0),MATCH("Intent",'Semrush Data'!$A$1:$Z$1,0)),"")</f>
        <v/>
      </c>
    </row>
    <row r="924" customFormat="false" ht="15" hidden="false" customHeight="true" outlineLevel="0" collapsed="false">
      <c r="A924" s="6" t="s">
        <v>2419</v>
      </c>
      <c r="B924" s="6" t="s">
        <v>6866</v>
      </c>
      <c r="C924" s="6" t="n">
        <v>2</v>
      </c>
      <c r="D924" s="6" t="n">
        <v>10</v>
      </c>
      <c r="E924" s="6" t="n">
        <v>1</v>
      </c>
      <c r="F924" s="6" t="s">
        <v>1375</v>
      </c>
      <c r="G924" s="28" t="str">
        <f aca="false">IFERROR(INDEX('Semrush Data'!$A$1:$Z$20000,MATCH(A924,'Semrush Data'!$A$1:$A$20000,0),MATCH("Volume",'Semrush Data'!$A$1:$Z$1,0)),"")</f>
        <v/>
      </c>
      <c r="H924" s="6" t="str">
        <f aca="false">IFERROR(INDEX('Semrush Data'!$A$1:$Z$20000,MATCH(A924,'Semrush Data'!$A$1:$A$20000,0),MATCH("Keyword Difficulty*",'Semrush Data'!$A$1:$Z$1,0)),"")</f>
        <v/>
      </c>
      <c r="I924" s="29" t="str">
        <f aca="false">IFERROR(INDEX('Semrush Data'!$A$1:$Z$20000,MATCH(A924,'Semrush Data'!$A$1:$A$20000,0),MATCH("CPC*",'Semrush Data'!$A$1:$Z$1,0)),"")</f>
        <v/>
      </c>
      <c r="J924" s="6" t="str">
        <f aca="false">IFERROR(INDEX('Semrush Data'!$A$1:$Z$20000,MATCH(A924,'Semrush Data'!$A$1:$A$20000,0),MATCH("Intent",'Semrush Data'!$A$1:$Z$1,0)),"")</f>
        <v/>
      </c>
    </row>
    <row r="925" customFormat="false" ht="15" hidden="false" customHeight="true" outlineLevel="0" collapsed="false">
      <c r="A925" s="6" t="s">
        <v>2098</v>
      </c>
      <c r="B925" s="6" t="s">
        <v>6866</v>
      </c>
      <c r="C925" s="6" t="n">
        <v>2</v>
      </c>
      <c r="D925" s="6" t="n">
        <v>10</v>
      </c>
      <c r="E925" s="6" t="n">
        <v>1</v>
      </c>
      <c r="F925" s="6" t="s">
        <v>1052</v>
      </c>
      <c r="G925" s="28" t="str">
        <f aca="false">IFERROR(INDEX('Semrush Data'!$A$1:$Z$20000,MATCH(A925,'Semrush Data'!$A$1:$A$20000,0),MATCH("Volume",'Semrush Data'!$A$1:$Z$1,0)),"")</f>
        <v/>
      </c>
      <c r="H925" s="6" t="str">
        <f aca="false">IFERROR(INDEX('Semrush Data'!$A$1:$Z$20000,MATCH(A925,'Semrush Data'!$A$1:$A$20000,0),MATCH("Keyword Difficulty*",'Semrush Data'!$A$1:$Z$1,0)),"")</f>
        <v/>
      </c>
      <c r="I925" s="29" t="str">
        <f aca="false">IFERROR(INDEX('Semrush Data'!$A$1:$Z$20000,MATCH(A925,'Semrush Data'!$A$1:$A$20000,0),MATCH("CPC*",'Semrush Data'!$A$1:$Z$1,0)),"")</f>
        <v/>
      </c>
      <c r="J925" s="6" t="str">
        <f aca="false">IFERROR(INDEX('Semrush Data'!$A$1:$Z$20000,MATCH(A925,'Semrush Data'!$A$1:$A$20000,0),MATCH("Intent",'Semrush Data'!$A$1:$Z$1,0)),"")</f>
        <v/>
      </c>
    </row>
    <row r="926" customFormat="false" ht="15" hidden="false" customHeight="true" outlineLevel="0" collapsed="false">
      <c r="A926" s="6" t="s">
        <v>2193</v>
      </c>
      <c r="B926" s="6" t="s">
        <v>6866</v>
      </c>
      <c r="C926" s="6" t="n">
        <v>2</v>
      </c>
      <c r="D926" s="6" t="n">
        <v>10</v>
      </c>
      <c r="E926" s="6" t="n">
        <v>1</v>
      </c>
      <c r="F926" s="6" t="s">
        <v>1142</v>
      </c>
      <c r="G926" s="28" t="str">
        <f aca="false">IFERROR(INDEX('Semrush Data'!$A$1:$Z$20000,MATCH(A926,'Semrush Data'!$A$1:$A$20000,0),MATCH("Volume",'Semrush Data'!$A$1:$Z$1,0)),"")</f>
        <v/>
      </c>
      <c r="H926" s="6" t="str">
        <f aca="false">IFERROR(INDEX('Semrush Data'!$A$1:$Z$20000,MATCH(A926,'Semrush Data'!$A$1:$A$20000,0),MATCH("Keyword Difficulty*",'Semrush Data'!$A$1:$Z$1,0)),"")</f>
        <v/>
      </c>
      <c r="I926" s="29" t="str">
        <f aca="false">IFERROR(INDEX('Semrush Data'!$A$1:$Z$20000,MATCH(A926,'Semrush Data'!$A$1:$A$20000,0),MATCH("CPC*",'Semrush Data'!$A$1:$Z$1,0)),"")</f>
        <v/>
      </c>
      <c r="J926" s="6" t="str">
        <f aca="false">IFERROR(INDEX('Semrush Data'!$A$1:$Z$20000,MATCH(A926,'Semrush Data'!$A$1:$A$20000,0),MATCH("Intent",'Semrush Data'!$A$1:$Z$1,0)),"")</f>
        <v/>
      </c>
    </row>
    <row r="927" customFormat="false" ht="15" hidden="false" customHeight="true" outlineLevel="0" collapsed="false">
      <c r="A927" s="6" t="s">
        <v>2253</v>
      </c>
      <c r="B927" s="6" t="s">
        <v>6866</v>
      </c>
      <c r="C927" s="6" t="n">
        <v>2</v>
      </c>
      <c r="D927" s="6" t="n">
        <v>10</v>
      </c>
      <c r="E927" s="6" t="n">
        <v>1</v>
      </c>
      <c r="F927" s="6" t="s">
        <v>1206</v>
      </c>
      <c r="G927" s="28" t="str">
        <f aca="false">IFERROR(INDEX('Semrush Data'!$A$1:$Z$20000,MATCH(A927,'Semrush Data'!$A$1:$A$20000,0),MATCH("Volume",'Semrush Data'!$A$1:$Z$1,0)),"")</f>
        <v/>
      </c>
      <c r="H927" s="6" t="str">
        <f aca="false">IFERROR(INDEX('Semrush Data'!$A$1:$Z$20000,MATCH(A927,'Semrush Data'!$A$1:$A$20000,0),MATCH("Keyword Difficulty*",'Semrush Data'!$A$1:$Z$1,0)),"")</f>
        <v/>
      </c>
      <c r="I927" s="29" t="str">
        <f aca="false">IFERROR(INDEX('Semrush Data'!$A$1:$Z$20000,MATCH(A927,'Semrush Data'!$A$1:$A$20000,0),MATCH("CPC*",'Semrush Data'!$A$1:$Z$1,0)),"")</f>
        <v/>
      </c>
      <c r="J927" s="6" t="str">
        <f aca="false">IFERROR(INDEX('Semrush Data'!$A$1:$Z$20000,MATCH(A927,'Semrush Data'!$A$1:$A$20000,0),MATCH("Intent",'Semrush Data'!$A$1:$Z$1,0)),"")</f>
        <v/>
      </c>
    </row>
    <row r="928" customFormat="false" ht="15" hidden="false" customHeight="true" outlineLevel="0" collapsed="false">
      <c r="A928" s="6" t="s">
        <v>2092</v>
      </c>
      <c r="B928" s="6" t="s">
        <v>6866</v>
      </c>
      <c r="C928" s="6" t="n">
        <v>2</v>
      </c>
      <c r="D928" s="6" t="n">
        <v>10</v>
      </c>
      <c r="E928" s="6" t="n">
        <v>1</v>
      </c>
      <c r="F928" s="6" t="s">
        <v>1045</v>
      </c>
      <c r="G928" s="28" t="str">
        <f aca="false">IFERROR(INDEX('Semrush Data'!$A$1:$Z$20000,MATCH(A928,'Semrush Data'!$A$1:$A$20000,0),MATCH("Volume",'Semrush Data'!$A$1:$Z$1,0)),"")</f>
        <v/>
      </c>
      <c r="H928" s="6" t="str">
        <f aca="false">IFERROR(INDEX('Semrush Data'!$A$1:$Z$20000,MATCH(A928,'Semrush Data'!$A$1:$A$20000,0),MATCH("Keyword Difficulty*",'Semrush Data'!$A$1:$Z$1,0)),"")</f>
        <v/>
      </c>
      <c r="I928" s="29" t="str">
        <f aca="false">IFERROR(INDEX('Semrush Data'!$A$1:$Z$20000,MATCH(A928,'Semrush Data'!$A$1:$A$20000,0),MATCH("CPC*",'Semrush Data'!$A$1:$Z$1,0)),"")</f>
        <v/>
      </c>
      <c r="J928" s="6" t="str">
        <f aca="false">IFERROR(INDEX('Semrush Data'!$A$1:$Z$20000,MATCH(A928,'Semrush Data'!$A$1:$A$20000,0),MATCH("Intent",'Semrush Data'!$A$1:$Z$1,0)),"")</f>
        <v/>
      </c>
    </row>
    <row r="929" customFormat="false" ht="15" hidden="false" customHeight="true" outlineLevel="0" collapsed="false">
      <c r="A929" s="6" t="s">
        <v>2031</v>
      </c>
      <c r="B929" s="6" t="s">
        <v>6866</v>
      </c>
      <c r="C929" s="6" t="n">
        <v>2</v>
      </c>
      <c r="D929" s="6" t="n">
        <v>10</v>
      </c>
      <c r="E929" s="6" t="n">
        <v>1</v>
      </c>
      <c r="F929" s="6" t="s">
        <v>985</v>
      </c>
      <c r="G929" s="28" t="str">
        <f aca="false">IFERROR(INDEX('Semrush Data'!$A$1:$Z$20000,MATCH(A929,'Semrush Data'!$A$1:$A$20000,0),MATCH("Volume",'Semrush Data'!$A$1:$Z$1,0)),"")</f>
        <v/>
      </c>
      <c r="H929" s="6" t="str">
        <f aca="false">IFERROR(INDEX('Semrush Data'!$A$1:$Z$20000,MATCH(A929,'Semrush Data'!$A$1:$A$20000,0),MATCH("Keyword Difficulty*",'Semrush Data'!$A$1:$Z$1,0)),"")</f>
        <v/>
      </c>
      <c r="I929" s="29" t="str">
        <f aca="false">IFERROR(INDEX('Semrush Data'!$A$1:$Z$20000,MATCH(A929,'Semrush Data'!$A$1:$A$20000,0),MATCH("CPC*",'Semrush Data'!$A$1:$Z$1,0)),"")</f>
        <v/>
      </c>
      <c r="J929" s="6" t="str">
        <f aca="false">IFERROR(INDEX('Semrush Data'!$A$1:$Z$20000,MATCH(A929,'Semrush Data'!$A$1:$A$20000,0),MATCH("Intent",'Semrush Data'!$A$1:$Z$1,0)),"")</f>
        <v/>
      </c>
    </row>
    <row r="930" customFormat="false" ht="15" hidden="false" customHeight="true" outlineLevel="0" collapsed="false">
      <c r="A930" s="6" t="s">
        <v>2437</v>
      </c>
      <c r="B930" s="6" t="s">
        <v>6866</v>
      </c>
      <c r="C930" s="6" t="n">
        <v>2</v>
      </c>
      <c r="D930" s="6" t="n">
        <v>10</v>
      </c>
      <c r="E930" s="6" t="n">
        <v>1</v>
      </c>
      <c r="F930" s="6" t="s">
        <v>1393</v>
      </c>
      <c r="G930" s="28" t="str">
        <f aca="false">IFERROR(INDEX('Semrush Data'!$A$1:$Z$20000,MATCH(A930,'Semrush Data'!$A$1:$A$20000,0),MATCH("Volume",'Semrush Data'!$A$1:$Z$1,0)),"")</f>
        <v/>
      </c>
      <c r="H930" s="6" t="str">
        <f aca="false">IFERROR(INDEX('Semrush Data'!$A$1:$Z$20000,MATCH(A930,'Semrush Data'!$A$1:$A$20000,0),MATCH("Keyword Difficulty*",'Semrush Data'!$A$1:$Z$1,0)),"")</f>
        <v/>
      </c>
      <c r="I930" s="29" t="str">
        <f aca="false">IFERROR(INDEX('Semrush Data'!$A$1:$Z$20000,MATCH(A930,'Semrush Data'!$A$1:$A$20000,0),MATCH("CPC*",'Semrush Data'!$A$1:$Z$1,0)),"")</f>
        <v/>
      </c>
      <c r="J930" s="6" t="str">
        <f aca="false">IFERROR(INDEX('Semrush Data'!$A$1:$Z$20000,MATCH(A930,'Semrush Data'!$A$1:$A$20000,0),MATCH("Intent",'Semrush Data'!$A$1:$Z$1,0)),"")</f>
        <v/>
      </c>
    </row>
    <row r="931" customFormat="false" ht="15" hidden="false" customHeight="true" outlineLevel="0" collapsed="false">
      <c r="A931" s="6" t="s">
        <v>2395</v>
      </c>
      <c r="B931" s="6" t="s">
        <v>6866</v>
      </c>
      <c r="C931" s="6" t="n">
        <v>2</v>
      </c>
      <c r="D931" s="6" t="n">
        <v>10</v>
      </c>
      <c r="E931" s="6" t="n">
        <v>1</v>
      </c>
      <c r="F931" s="6" t="s">
        <v>1350</v>
      </c>
      <c r="G931" s="28" t="str">
        <f aca="false">IFERROR(INDEX('Semrush Data'!$A$1:$Z$20000,MATCH(A931,'Semrush Data'!$A$1:$A$20000,0),MATCH("Volume",'Semrush Data'!$A$1:$Z$1,0)),"")</f>
        <v/>
      </c>
      <c r="H931" s="6" t="str">
        <f aca="false">IFERROR(INDEX('Semrush Data'!$A$1:$Z$20000,MATCH(A931,'Semrush Data'!$A$1:$A$20000,0),MATCH("Keyword Difficulty*",'Semrush Data'!$A$1:$Z$1,0)),"")</f>
        <v/>
      </c>
      <c r="I931" s="29" t="str">
        <f aca="false">IFERROR(INDEX('Semrush Data'!$A$1:$Z$20000,MATCH(A931,'Semrush Data'!$A$1:$A$20000,0),MATCH("CPC*",'Semrush Data'!$A$1:$Z$1,0)),"")</f>
        <v/>
      </c>
      <c r="J931" s="6" t="str">
        <f aca="false">IFERROR(INDEX('Semrush Data'!$A$1:$Z$20000,MATCH(A931,'Semrush Data'!$A$1:$A$20000,0),MATCH("Intent",'Semrush Data'!$A$1:$Z$1,0)),"")</f>
        <v/>
      </c>
    </row>
    <row r="932" customFormat="false" ht="15" hidden="false" customHeight="true" outlineLevel="0" collapsed="false">
      <c r="A932" s="6" t="s">
        <v>2212</v>
      </c>
      <c r="B932" s="6" t="s">
        <v>6866</v>
      </c>
      <c r="C932" s="6" t="n">
        <v>2</v>
      </c>
      <c r="D932" s="6" t="n">
        <v>10</v>
      </c>
      <c r="E932" s="6" t="n">
        <v>1</v>
      </c>
      <c r="F932" s="6" t="s">
        <v>1164</v>
      </c>
      <c r="G932" s="28" t="str">
        <f aca="false">IFERROR(INDEX('Semrush Data'!$A$1:$Z$20000,MATCH(A932,'Semrush Data'!$A$1:$A$20000,0),MATCH("Volume",'Semrush Data'!$A$1:$Z$1,0)),"")</f>
        <v/>
      </c>
      <c r="H932" s="6" t="str">
        <f aca="false">IFERROR(INDEX('Semrush Data'!$A$1:$Z$20000,MATCH(A932,'Semrush Data'!$A$1:$A$20000,0),MATCH("Keyword Difficulty*",'Semrush Data'!$A$1:$Z$1,0)),"")</f>
        <v/>
      </c>
      <c r="I932" s="29" t="str">
        <f aca="false">IFERROR(INDEX('Semrush Data'!$A$1:$Z$20000,MATCH(A932,'Semrush Data'!$A$1:$A$20000,0),MATCH("CPC*",'Semrush Data'!$A$1:$Z$1,0)),"")</f>
        <v/>
      </c>
      <c r="J932" s="6" t="str">
        <f aca="false">IFERROR(INDEX('Semrush Data'!$A$1:$Z$20000,MATCH(A932,'Semrush Data'!$A$1:$A$20000,0),MATCH("Intent",'Semrush Data'!$A$1:$Z$1,0)),"")</f>
        <v/>
      </c>
    </row>
    <row r="933" customFormat="false" ht="15" hidden="false" customHeight="true" outlineLevel="0" collapsed="false">
      <c r="A933" s="6" t="s">
        <v>2371</v>
      </c>
      <c r="B933" s="6" t="s">
        <v>6866</v>
      </c>
      <c r="C933" s="6" t="n">
        <v>2</v>
      </c>
      <c r="D933" s="6" t="n">
        <v>10</v>
      </c>
      <c r="E933" s="6" t="n">
        <v>1</v>
      </c>
      <c r="F933" s="6" t="s">
        <v>1326</v>
      </c>
      <c r="G933" s="28" t="str">
        <f aca="false">IFERROR(INDEX('Semrush Data'!$A$1:$Z$20000,MATCH(A933,'Semrush Data'!$A$1:$A$20000,0),MATCH("Volume",'Semrush Data'!$A$1:$Z$1,0)),"")</f>
        <v/>
      </c>
      <c r="H933" s="6" t="str">
        <f aca="false">IFERROR(INDEX('Semrush Data'!$A$1:$Z$20000,MATCH(A933,'Semrush Data'!$A$1:$A$20000,0),MATCH("Keyword Difficulty*",'Semrush Data'!$A$1:$Z$1,0)),"")</f>
        <v/>
      </c>
      <c r="I933" s="29" t="str">
        <f aca="false">IFERROR(INDEX('Semrush Data'!$A$1:$Z$20000,MATCH(A933,'Semrush Data'!$A$1:$A$20000,0),MATCH("CPC*",'Semrush Data'!$A$1:$Z$1,0)),"")</f>
        <v/>
      </c>
      <c r="J933" s="6" t="str">
        <f aca="false">IFERROR(INDEX('Semrush Data'!$A$1:$Z$20000,MATCH(A933,'Semrush Data'!$A$1:$A$20000,0),MATCH("Intent",'Semrush Data'!$A$1:$Z$1,0)),"")</f>
        <v/>
      </c>
    </row>
    <row r="934" customFormat="false" ht="15" hidden="false" customHeight="true" outlineLevel="0" collapsed="false">
      <c r="A934" s="6" t="s">
        <v>2152</v>
      </c>
      <c r="B934" s="6" t="s">
        <v>6866</v>
      </c>
      <c r="C934" s="6" t="n">
        <v>2</v>
      </c>
      <c r="D934" s="6" t="n">
        <v>10</v>
      </c>
      <c r="E934" s="6" t="n">
        <v>1</v>
      </c>
      <c r="F934" s="6" t="s">
        <v>1103</v>
      </c>
      <c r="G934" s="28" t="str">
        <f aca="false">IFERROR(INDEX('Semrush Data'!$A$1:$Z$20000,MATCH(A934,'Semrush Data'!$A$1:$A$20000,0),MATCH("Volume",'Semrush Data'!$A$1:$Z$1,0)),"")</f>
        <v/>
      </c>
      <c r="H934" s="6" t="str">
        <f aca="false">IFERROR(INDEX('Semrush Data'!$A$1:$Z$20000,MATCH(A934,'Semrush Data'!$A$1:$A$20000,0),MATCH("Keyword Difficulty*",'Semrush Data'!$A$1:$Z$1,0)),"")</f>
        <v/>
      </c>
      <c r="I934" s="29" t="str">
        <f aca="false">IFERROR(INDEX('Semrush Data'!$A$1:$Z$20000,MATCH(A934,'Semrush Data'!$A$1:$A$20000,0),MATCH("CPC*",'Semrush Data'!$A$1:$Z$1,0)),"")</f>
        <v/>
      </c>
      <c r="J934" s="6" t="str">
        <f aca="false">IFERROR(INDEX('Semrush Data'!$A$1:$Z$20000,MATCH(A934,'Semrush Data'!$A$1:$A$20000,0),MATCH("Intent",'Semrush Data'!$A$1:$Z$1,0)),"")</f>
        <v/>
      </c>
    </row>
    <row r="935" customFormat="false" ht="15" hidden="false" customHeight="true" outlineLevel="0" collapsed="false">
      <c r="A935" s="6" t="s">
        <v>2401</v>
      </c>
      <c r="B935" s="6" t="s">
        <v>6866</v>
      </c>
      <c r="C935" s="6" t="n">
        <v>2</v>
      </c>
      <c r="D935" s="6" t="n">
        <v>10</v>
      </c>
      <c r="E935" s="6" t="n">
        <v>1</v>
      </c>
      <c r="F935" s="6" t="s">
        <v>1357</v>
      </c>
      <c r="G935" s="28" t="str">
        <f aca="false">IFERROR(INDEX('Semrush Data'!$A$1:$Z$20000,MATCH(A935,'Semrush Data'!$A$1:$A$20000,0),MATCH("Volume",'Semrush Data'!$A$1:$Z$1,0)),"")</f>
        <v/>
      </c>
      <c r="H935" s="6" t="str">
        <f aca="false">IFERROR(INDEX('Semrush Data'!$A$1:$Z$20000,MATCH(A935,'Semrush Data'!$A$1:$A$20000,0),MATCH("Keyword Difficulty*",'Semrush Data'!$A$1:$Z$1,0)),"")</f>
        <v/>
      </c>
      <c r="I935" s="29" t="str">
        <f aca="false">IFERROR(INDEX('Semrush Data'!$A$1:$Z$20000,MATCH(A935,'Semrush Data'!$A$1:$A$20000,0),MATCH("CPC*",'Semrush Data'!$A$1:$Z$1,0)),"")</f>
        <v/>
      </c>
      <c r="J935" s="6" t="str">
        <f aca="false">IFERROR(INDEX('Semrush Data'!$A$1:$Z$20000,MATCH(A935,'Semrush Data'!$A$1:$A$20000,0),MATCH("Intent",'Semrush Data'!$A$1:$Z$1,0)),"")</f>
        <v/>
      </c>
    </row>
    <row r="936" customFormat="false" ht="15" hidden="false" customHeight="true" outlineLevel="0" collapsed="false">
      <c r="A936" s="6" t="s">
        <v>2365</v>
      </c>
      <c r="B936" s="6" t="s">
        <v>6866</v>
      </c>
      <c r="C936" s="6" t="n">
        <v>2</v>
      </c>
      <c r="D936" s="6" t="n">
        <v>10</v>
      </c>
      <c r="E936" s="6" t="n">
        <v>1</v>
      </c>
      <c r="F936" s="6" t="s">
        <v>1320</v>
      </c>
      <c r="G936" s="28" t="str">
        <f aca="false">IFERROR(INDEX('Semrush Data'!$A$1:$Z$20000,MATCH(A936,'Semrush Data'!$A$1:$A$20000,0),MATCH("Volume",'Semrush Data'!$A$1:$Z$1,0)),"")</f>
        <v/>
      </c>
      <c r="H936" s="6" t="str">
        <f aca="false">IFERROR(INDEX('Semrush Data'!$A$1:$Z$20000,MATCH(A936,'Semrush Data'!$A$1:$A$20000,0),MATCH("Keyword Difficulty*",'Semrush Data'!$A$1:$Z$1,0)),"")</f>
        <v/>
      </c>
      <c r="I936" s="29" t="str">
        <f aca="false">IFERROR(INDEX('Semrush Data'!$A$1:$Z$20000,MATCH(A936,'Semrush Data'!$A$1:$A$20000,0),MATCH("CPC*",'Semrush Data'!$A$1:$Z$1,0)),"")</f>
        <v/>
      </c>
      <c r="J936" s="6" t="str">
        <f aca="false">IFERROR(INDEX('Semrush Data'!$A$1:$Z$20000,MATCH(A936,'Semrush Data'!$A$1:$A$20000,0),MATCH("Intent",'Semrush Data'!$A$1:$Z$1,0)),"")</f>
        <v/>
      </c>
    </row>
    <row r="937" customFormat="false" ht="15" hidden="false" customHeight="true" outlineLevel="0" collapsed="false">
      <c r="A937" s="6" t="s">
        <v>2389</v>
      </c>
      <c r="B937" s="6" t="s">
        <v>6866</v>
      </c>
      <c r="C937" s="6" t="n">
        <v>2</v>
      </c>
      <c r="D937" s="6" t="n">
        <v>10</v>
      </c>
      <c r="E937" s="6" t="n">
        <v>1</v>
      </c>
      <c r="F937" s="6" t="s">
        <v>1344</v>
      </c>
      <c r="G937" s="28" t="str">
        <f aca="false">IFERROR(INDEX('Semrush Data'!$A$1:$Z$20000,MATCH(A937,'Semrush Data'!$A$1:$A$20000,0),MATCH("Volume",'Semrush Data'!$A$1:$Z$1,0)),"")</f>
        <v/>
      </c>
      <c r="H937" s="6" t="str">
        <f aca="false">IFERROR(INDEX('Semrush Data'!$A$1:$Z$20000,MATCH(A937,'Semrush Data'!$A$1:$A$20000,0),MATCH("Keyword Difficulty*",'Semrush Data'!$A$1:$Z$1,0)),"")</f>
        <v/>
      </c>
      <c r="I937" s="29" t="str">
        <f aca="false">IFERROR(INDEX('Semrush Data'!$A$1:$Z$20000,MATCH(A937,'Semrush Data'!$A$1:$A$20000,0),MATCH("CPC*",'Semrush Data'!$A$1:$Z$1,0)),"")</f>
        <v/>
      </c>
      <c r="J937" s="6" t="str">
        <f aca="false">IFERROR(INDEX('Semrush Data'!$A$1:$Z$20000,MATCH(A937,'Semrush Data'!$A$1:$A$20000,0),MATCH("Intent",'Semrush Data'!$A$1:$Z$1,0)),"")</f>
        <v/>
      </c>
    </row>
    <row r="938" customFormat="false" ht="15" hidden="false" customHeight="true" outlineLevel="0" collapsed="false">
      <c r="A938" s="6" t="s">
        <v>2354</v>
      </c>
      <c r="B938" s="6" t="s">
        <v>6866</v>
      </c>
      <c r="C938" s="6" t="n">
        <v>2</v>
      </c>
      <c r="D938" s="6" t="n">
        <v>10</v>
      </c>
      <c r="E938" s="6" t="n">
        <v>1</v>
      </c>
      <c r="F938" s="6" t="s">
        <v>1308</v>
      </c>
      <c r="G938" s="28" t="str">
        <f aca="false">IFERROR(INDEX('Semrush Data'!$A$1:$Z$20000,MATCH(A938,'Semrush Data'!$A$1:$A$20000,0),MATCH("Volume",'Semrush Data'!$A$1:$Z$1,0)),"")</f>
        <v/>
      </c>
      <c r="H938" s="6" t="str">
        <f aca="false">IFERROR(INDEX('Semrush Data'!$A$1:$Z$20000,MATCH(A938,'Semrush Data'!$A$1:$A$20000,0),MATCH("Keyword Difficulty*",'Semrush Data'!$A$1:$Z$1,0)),"")</f>
        <v/>
      </c>
      <c r="I938" s="29" t="str">
        <f aca="false">IFERROR(INDEX('Semrush Data'!$A$1:$Z$20000,MATCH(A938,'Semrush Data'!$A$1:$A$20000,0),MATCH("CPC*",'Semrush Data'!$A$1:$Z$1,0)),"")</f>
        <v/>
      </c>
      <c r="J938" s="6" t="str">
        <f aca="false">IFERROR(INDEX('Semrush Data'!$A$1:$Z$20000,MATCH(A938,'Semrush Data'!$A$1:$A$20000,0),MATCH("Intent",'Semrush Data'!$A$1:$Z$1,0)),"")</f>
        <v/>
      </c>
    </row>
    <row r="939" customFormat="false" ht="15" hidden="false" customHeight="true" outlineLevel="0" collapsed="false">
      <c r="A939" s="6" t="s">
        <v>2360</v>
      </c>
      <c r="B939" s="6" t="s">
        <v>6866</v>
      </c>
      <c r="C939" s="6" t="n">
        <v>2</v>
      </c>
      <c r="D939" s="6" t="n">
        <v>10</v>
      </c>
      <c r="E939" s="6" t="n">
        <v>1</v>
      </c>
      <c r="F939" s="6" t="s">
        <v>1314</v>
      </c>
      <c r="G939" s="28" t="str">
        <f aca="false">IFERROR(INDEX('Semrush Data'!$A$1:$Z$20000,MATCH(A939,'Semrush Data'!$A$1:$A$20000,0),MATCH("Volume",'Semrush Data'!$A$1:$Z$1,0)),"")</f>
        <v/>
      </c>
      <c r="H939" s="6" t="str">
        <f aca="false">IFERROR(INDEX('Semrush Data'!$A$1:$Z$20000,MATCH(A939,'Semrush Data'!$A$1:$A$20000,0),MATCH("Keyword Difficulty*",'Semrush Data'!$A$1:$Z$1,0)),"")</f>
        <v/>
      </c>
      <c r="I939" s="29" t="str">
        <f aca="false">IFERROR(INDEX('Semrush Data'!$A$1:$Z$20000,MATCH(A939,'Semrush Data'!$A$1:$A$20000,0),MATCH("CPC*",'Semrush Data'!$A$1:$Z$1,0)),"")</f>
        <v/>
      </c>
      <c r="J939" s="6" t="str">
        <f aca="false">IFERROR(INDEX('Semrush Data'!$A$1:$Z$20000,MATCH(A939,'Semrush Data'!$A$1:$A$20000,0),MATCH("Intent",'Semrush Data'!$A$1:$Z$1,0)),"")</f>
        <v/>
      </c>
    </row>
    <row r="940" customFormat="false" ht="15" hidden="false" customHeight="true" outlineLevel="0" collapsed="false">
      <c r="A940" s="6" t="s">
        <v>2024</v>
      </c>
      <c r="B940" s="6" t="s">
        <v>6866</v>
      </c>
      <c r="C940" s="6" t="n">
        <v>2</v>
      </c>
      <c r="D940" s="6" t="n">
        <v>10</v>
      </c>
      <c r="E940" s="6" t="n">
        <v>1</v>
      </c>
      <c r="F940" s="6" t="s">
        <v>978</v>
      </c>
      <c r="G940" s="28" t="str">
        <f aca="false">IFERROR(INDEX('Semrush Data'!$A$1:$Z$20000,MATCH(A940,'Semrush Data'!$A$1:$A$20000,0),MATCH("Volume",'Semrush Data'!$A$1:$Z$1,0)),"")</f>
        <v/>
      </c>
      <c r="H940" s="6" t="str">
        <f aca="false">IFERROR(INDEX('Semrush Data'!$A$1:$Z$20000,MATCH(A940,'Semrush Data'!$A$1:$A$20000,0),MATCH("Keyword Difficulty*",'Semrush Data'!$A$1:$Z$1,0)),"")</f>
        <v/>
      </c>
      <c r="I940" s="29" t="str">
        <f aca="false">IFERROR(INDEX('Semrush Data'!$A$1:$Z$20000,MATCH(A940,'Semrush Data'!$A$1:$A$20000,0),MATCH("CPC*",'Semrush Data'!$A$1:$Z$1,0)),"")</f>
        <v/>
      </c>
      <c r="J940" s="6" t="str">
        <f aca="false">IFERROR(INDEX('Semrush Data'!$A$1:$Z$20000,MATCH(A940,'Semrush Data'!$A$1:$A$20000,0),MATCH("Intent",'Semrush Data'!$A$1:$Z$1,0)),"")</f>
        <v/>
      </c>
    </row>
    <row r="941" customFormat="false" ht="15" hidden="false" customHeight="true" outlineLevel="0" collapsed="false">
      <c r="A941" s="6" t="s">
        <v>2330</v>
      </c>
      <c r="B941" s="6" t="s">
        <v>6866</v>
      </c>
      <c r="C941" s="6" t="n">
        <v>2</v>
      </c>
      <c r="D941" s="6" t="n">
        <v>10</v>
      </c>
      <c r="E941" s="6" t="n">
        <v>1</v>
      </c>
      <c r="F941" s="6" t="s">
        <v>1284</v>
      </c>
      <c r="G941" s="28" t="str">
        <f aca="false">IFERROR(INDEX('Semrush Data'!$A$1:$Z$20000,MATCH(A941,'Semrush Data'!$A$1:$A$20000,0),MATCH("Volume",'Semrush Data'!$A$1:$Z$1,0)),"")</f>
        <v/>
      </c>
      <c r="H941" s="6" t="str">
        <f aca="false">IFERROR(INDEX('Semrush Data'!$A$1:$Z$20000,MATCH(A941,'Semrush Data'!$A$1:$A$20000,0),MATCH("Keyword Difficulty*",'Semrush Data'!$A$1:$Z$1,0)),"")</f>
        <v/>
      </c>
      <c r="I941" s="29" t="str">
        <f aca="false">IFERROR(INDEX('Semrush Data'!$A$1:$Z$20000,MATCH(A941,'Semrush Data'!$A$1:$A$20000,0),MATCH("CPC*",'Semrush Data'!$A$1:$Z$1,0)),"")</f>
        <v/>
      </c>
      <c r="J941" s="6" t="str">
        <f aca="false">IFERROR(INDEX('Semrush Data'!$A$1:$Z$20000,MATCH(A941,'Semrush Data'!$A$1:$A$20000,0),MATCH("Intent",'Semrush Data'!$A$1:$Z$1,0)),"")</f>
        <v/>
      </c>
    </row>
    <row r="942" customFormat="false" ht="15" hidden="false" customHeight="true" outlineLevel="0" collapsed="false">
      <c r="A942" s="6" t="s">
        <v>2145</v>
      </c>
      <c r="B942" s="6" t="s">
        <v>6866</v>
      </c>
      <c r="C942" s="6" t="n">
        <v>2</v>
      </c>
      <c r="D942" s="6" t="n">
        <v>10</v>
      </c>
      <c r="E942" s="6" t="n">
        <v>1</v>
      </c>
      <c r="F942" s="6" t="s">
        <v>1097</v>
      </c>
      <c r="G942" s="28" t="str">
        <f aca="false">IFERROR(INDEX('Semrush Data'!$A$1:$Z$20000,MATCH(A942,'Semrush Data'!$A$1:$A$20000,0),MATCH("Volume",'Semrush Data'!$A$1:$Z$1,0)),"")</f>
        <v/>
      </c>
      <c r="H942" s="6" t="str">
        <f aca="false">IFERROR(INDEX('Semrush Data'!$A$1:$Z$20000,MATCH(A942,'Semrush Data'!$A$1:$A$20000,0),MATCH("Keyword Difficulty*",'Semrush Data'!$A$1:$Z$1,0)),"")</f>
        <v/>
      </c>
      <c r="I942" s="29" t="str">
        <f aca="false">IFERROR(INDEX('Semrush Data'!$A$1:$Z$20000,MATCH(A942,'Semrush Data'!$A$1:$A$20000,0),MATCH("CPC*",'Semrush Data'!$A$1:$Z$1,0)),"")</f>
        <v/>
      </c>
      <c r="J942" s="6" t="str">
        <f aca="false">IFERROR(INDEX('Semrush Data'!$A$1:$Z$20000,MATCH(A942,'Semrush Data'!$A$1:$A$20000,0),MATCH("Intent",'Semrush Data'!$A$1:$Z$1,0)),"")</f>
        <v/>
      </c>
    </row>
    <row r="943" customFormat="false" ht="15" hidden="false" customHeight="true" outlineLevel="0" collapsed="false">
      <c r="A943" s="6" t="s">
        <v>2413</v>
      </c>
      <c r="B943" s="6" t="s">
        <v>6866</v>
      </c>
      <c r="C943" s="6" t="n">
        <v>2</v>
      </c>
      <c r="D943" s="6" t="n">
        <v>10</v>
      </c>
      <c r="E943" s="6" t="n">
        <v>1</v>
      </c>
      <c r="F943" s="6" t="s">
        <v>1369</v>
      </c>
      <c r="G943" s="28" t="str">
        <f aca="false">IFERROR(INDEX('Semrush Data'!$A$1:$Z$20000,MATCH(A943,'Semrush Data'!$A$1:$A$20000,0),MATCH("Volume",'Semrush Data'!$A$1:$Z$1,0)),"")</f>
        <v/>
      </c>
      <c r="H943" s="6" t="str">
        <f aca="false">IFERROR(INDEX('Semrush Data'!$A$1:$Z$20000,MATCH(A943,'Semrush Data'!$A$1:$A$20000,0),MATCH("Keyword Difficulty*",'Semrush Data'!$A$1:$Z$1,0)),"")</f>
        <v/>
      </c>
      <c r="I943" s="29" t="str">
        <f aca="false">IFERROR(INDEX('Semrush Data'!$A$1:$Z$20000,MATCH(A943,'Semrush Data'!$A$1:$A$20000,0),MATCH("CPC*",'Semrush Data'!$A$1:$Z$1,0)),"")</f>
        <v/>
      </c>
      <c r="J943" s="6" t="str">
        <f aca="false">IFERROR(INDEX('Semrush Data'!$A$1:$Z$20000,MATCH(A943,'Semrush Data'!$A$1:$A$20000,0),MATCH("Intent",'Semrush Data'!$A$1:$Z$1,0)),"")</f>
        <v/>
      </c>
    </row>
    <row r="944" customFormat="false" ht="15" hidden="false" customHeight="true" outlineLevel="0" collapsed="false">
      <c r="A944" s="6" t="s">
        <v>2112</v>
      </c>
      <c r="B944" s="6" t="s">
        <v>6866</v>
      </c>
      <c r="C944" s="6" t="n">
        <v>2</v>
      </c>
      <c r="D944" s="6" t="n">
        <v>10</v>
      </c>
      <c r="E944" s="6" t="n">
        <v>1</v>
      </c>
      <c r="F944" s="6" t="s">
        <v>1066</v>
      </c>
      <c r="G944" s="28" t="str">
        <f aca="false">IFERROR(INDEX('Semrush Data'!$A$1:$Z$20000,MATCH(A944,'Semrush Data'!$A$1:$A$20000,0),MATCH("Volume",'Semrush Data'!$A$1:$Z$1,0)),"")</f>
        <v/>
      </c>
      <c r="H944" s="6" t="str">
        <f aca="false">IFERROR(INDEX('Semrush Data'!$A$1:$Z$20000,MATCH(A944,'Semrush Data'!$A$1:$A$20000,0),MATCH("Keyword Difficulty*",'Semrush Data'!$A$1:$Z$1,0)),"")</f>
        <v/>
      </c>
      <c r="I944" s="29" t="str">
        <f aca="false">IFERROR(INDEX('Semrush Data'!$A$1:$Z$20000,MATCH(A944,'Semrush Data'!$A$1:$A$20000,0),MATCH("CPC*",'Semrush Data'!$A$1:$Z$1,0)),"")</f>
        <v/>
      </c>
      <c r="J944" s="6" t="str">
        <f aca="false">IFERROR(INDEX('Semrush Data'!$A$1:$Z$20000,MATCH(A944,'Semrush Data'!$A$1:$A$20000,0),MATCH("Intent",'Semrush Data'!$A$1:$Z$1,0)),"")</f>
        <v/>
      </c>
    </row>
    <row r="945" customFormat="false" ht="15" hidden="false" customHeight="true" outlineLevel="0" collapsed="false">
      <c r="A945" s="6" t="s">
        <v>2299</v>
      </c>
      <c r="B945" s="6" t="s">
        <v>6866</v>
      </c>
      <c r="C945" s="6" t="n">
        <v>2</v>
      </c>
      <c r="D945" s="6" t="n">
        <v>10</v>
      </c>
      <c r="E945" s="6" t="n">
        <v>1</v>
      </c>
      <c r="F945" s="6" t="s">
        <v>1254</v>
      </c>
      <c r="G945" s="28" t="str">
        <f aca="false">IFERROR(INDEX('Semrush Data'!$A$1:$Z$20000,MATCH(A945,'Semrush Data'!$A$1:$A$20000,0),MATCH("Volume",'Semrush Data'!$A$1:$Z$1,0)),"")</f>
        <v/>
      </c>
      <c r="H945" s="6" t="str">
        <f aca="false">IFERROR(INDEX('Semrush Data'!$A$1:$Z$20000,MATCH(A945,'Semrush Data'!$A$1:$A$20000,0),MATCH("Keyword Difficulty*",'Semrush Data'!$A$1:$Z$1,0)),"")</f>
        <v/>
      </c>
      <c r="I945" s="29" t="str">
        <f aca="false">IFERROR(INDEX('Semrush Data'!$A$1:$Z$20000,MATCH(A945,'Semrush Data'!$A$1:$A$20000,0),MATCH("CPC*",'Semrush Data'!$A$1:$Z$1,0)),"")</f>
        <v/>
      </c>
      <c r="J945" s="6" t="str">
        <f aca="false">IFERROR(INDEX('Semrush Data'!$A$1:$Z$20000,MATCH(A945,'Semrush Data'!$A$1:$A$20000,0),MATCH("Intent",'Semrush Data'!$A$1:$Z$1,0)),"")</f>
        <v/>
      </c>
    </row>
    <row r="946" customFormat="false" ht="15" hidden="false" customHeight="true" outlineLevel="0" collapsed="false">
      <c r="A946" s="6" t="s">
        <v>2138</v>
      </c>
      <c r="B946" s="6" t="s">
        <v>6866</v>
      </c>
      <c r="C946" s="6" t="n">
        <v>2</v>
      </c>
      <c r="D946" s="6" t="n">
        <v>10</v>
      </c>
      <c r="E946" s="6" t="n">
        <v>1</v>
      </c>
      <c r="F946" s="6" t="s">
        <v>1091</v>
      </c>
      <c r="G946" s="28" t="str">
        <f aca="false">IFERROR(INDEX('Semrush Data'!$A$1:$Z$20000,MATCH(A946,'Semrush Data'!$A$1:$A$20000,0),MATCH("Volume",'Semrush Data'!$A$1:$Z$1,0)),"")</f>
        <v/>
      </c>
      <c r="H946" s="6" t="str">
        <f aca="false">IFERROR(INDEX('Semrush Data'!$A$1:$Z$20000,MATCH(A946,'Semrush Data'!$A$1:$A$20000,0),MATCH("Keyword Difficulty*",'Semrush Data'!$A$1:$Z$1,0)),"")</f>
        <v/>
      </c>
      <c r="I946" s="29" t="str">
        <f aca="false">IFERROR(INDEX('Semrush Data'!$A$1:$Z$20000,MATCH(A946,'Semrush Data'!$A$1:$A$20000,0),MATCH("CPC*",'Semrush Data'!$A$1:$Z$1,0)),"")</f>
        <v/>
      </c>
      <c r="J946" s="6" t="str">
        <f aca="false">IFERROR(INDEX('Semrush Data'!$A$1:$Z$20000,MATCH(A946,'Semrush Data'!$A$1:$A$20000,0),MATCH("Intent",'Semrush Data'!$A$1:$Z$1,0)),"")</f>
        <v/>
      </c>
    </row>
    <row r="947" customFormat="false" ht="15" hidden="false" customHeight="true" outlineLevel="0" collapsed="false">
      <c r="A947" s="6" t="s">
        <v>2051</v>
      </c>
      <c r="B947" s="6" t="s">
        <v>6866</v>
      </c>
      <c r="C947" s="6" t="n">
        <v>2</v>
      </c>
      <c r="D947" s="6" t="n">
        <v>10</v>
      </c>
      <c r="E947" s="6" t="n">
        <v>1</v>
      </c>
      <c r="F947" s="6" t="s">
        <v>1006</v>
      </c>
      <c r="G947" s="28" t="str">
        <f aca="false">IFERROR(INDEX('Semrush Data'!$A$1:$Z$20000,MATCH(A947,'Semrush Data'!$A$1:$A$20000,0),MATCH("Volume",'Semrush Data'!$A$1:$Z$1,0)),"")</f>
        <v/>
      </c>
      <c r="H947" s="6" t="str">
        <f aca="false">IFERROR(INDEX('Semrush Data'!$A$1:$Z$20000,MATCH(A947,'Semrush Data'!$A$1:$A$20000,0),MATCH("Keyword Difficulty*",'Semrush Data'!$A$1:$Z$1,0)),"")</f>
        <v/>
      </c>
      <c r="I947" s="29" t="str">
        <f aca="false">IFERROR(INDEX('Semrush Data'!$A$1:$Z$20000,MATCH(A947,'Semrush Data'!$A$1:$A$20000,0),MATCH("CPC*",'Semrush Data'!$A$1:$Z$1,0)),"")</f>
        <v/>
      </c>
      <c r="J947" s="6" t="str">
        <f aca="false">IFERROR(INDEX('Semrush Data'!$A$1:$Z$20000,MATCH(A947,'Semrush Data'!$A$1:$A$20000,0),MATCH("Intent",'Semrush Data'!$A$1:$Z$1,0)),"")</f>
        <v/>
      </c>
    </row>
    <row r="948" customFormat="false" ht="15" hidden="false" customHeight="true" outlineLevel="0" collapsed="false">
      <c r="A948" s="6" t="s">
        <v>2407</v>
      </c>
      <c r="B948" s="6" t="s">
        <v>6866</v>
      </c>
      <c r="C948" s="6" t="n">
        <v>2</v>
      </c>
      <c r="D948" s="6" t="n">
        <v>10</v>
      </c>
      <c r="E948" s="6" t="n">
        <v>1</v>
      </c>
      <c r="F948" s="6" t="s">
        <v>1363</v>
      </c>
      <c r="G948" s="28" t="str">
        <f aca="false">IFERROR(INDEX('Semrush Data'!$A$1:$Z$20000,MATCH(A948,'Semrush Data'!$A$1:$A$20000,0),MATCH("Volume",'Semrush Data'!$A$1:$Z$1,0)),"")</f>
        <v/>
      </c>
      <c r="H948" s="6" t="str">
        <f aca="false">IFERROR(INDEX('Semrush Data'!$A$1:$Z$20000,MATCH(A948,'Semrush Data'!$A$1:$A$20000,0),MATCH("Keyword Difficulty*",'Semrush Data'!$A$1:$Z$1,0)),"")</f>
        <v/>
      </c>
      <c r="I948" s="29" t="str">
        <f aca="false">IFERROR(INDEX('Semrush Data'!$A$1:$Z$20000,MATCH(A948,'Semrush Data'!$A$1:$A$20000,0),MATCH("CPC*",'Semrush Data'!$A$1:$Z$1,0)),"")</f>
        <v/>
      </c>
      <c r="J948" s="6" t="str">
        <f aca="false">IFERROR(INDEX('Semrush Data'!$A$1:$Z$20000,MATCH(A948,'Semrush Data'!$A$1:$A$20000,0),MATCH("Intent",'Semrush Data'!$A$1:$Z$1,0)),"")</f>
        <v/>
      </c>
    </row>
    <row r="949" customFormat="false" ht="15" hidden="false" customHeight="true" outlineLevel="0" collapsed="false">
      <c r="A949" s="6" t="s">
        <v>2425</v>
      </c>
      <c r="B949" s="6" t="s">
        <v>6866</v>
      </c>
      <c r="C949" s="6" t="n">
        <v>2</v>
      </c>
      <c r="D949" s="6" t="n">
        <v>10</v>
      </c>
      <c r="E949" s="6" t="n">
        <v>1</v>
      </c>
      <c r="F949" s="6" t="s">
        <v>1381</v>
      </c>
      <c r="G949" s="28" t="str">
        <f aca="false">IFERROR(INDEX('Semrush Data'!$A$1:$Z$20000,MATCH(A949,'Semrush Data'!$A$1:$A$20000,0),MATCH("Volume",'Semrush Data'!$A$1:$Z$1,0)),"")</f>
        <v/>
      </c>
      <c r="H949" s="6" t="str">
        <f aca="false">IFERROR(INDEX('Semrush Data'!$A$1:$Z$20000,MATCH(A949,'Semrush Data'!$A$1:$A$20000,0),MATCH("Keyword Difficulty*",'Semrush Data'!$A$1:$Z$1,0)),"")</f>
        <v/>
      </c>
      <c r="I949" s="29" t="str">
        <f aca="false">IFERROR(INDEX('Semrush Data'!$A$1:$Z$20000,MATCH(A949,'Semrush Data'!$A$1:$A$20000,0),MATCH("CPC*",'Semrush Data'!$A$1:$Z$1,0)),"")</f>
        <v/>
      </c>
      <c r="J949" s="6" t="str">
        <f aca="false">IFERROR(INDEX('Semrush Data'!$A$1:$Z$20000,MATCH(A949,'Semrush Data'!$A$1:$A$20000,0),MATCH("Intent",'Semrush Data'!$A$1:$Z$1,0)),"")</f>
        <v/>
      </c>
    </row>
    <row r="950" customFormat="false" ht="15" hidden="false" customHeight="true" outlineLevel="0" collapsed="false">
      <c r="A950" s="6" t="s">
        <v>2159</v>
      </c>
      <c r="B950" s="6" t="s">
        <v>6866</v>
      </c>
      <c r="C950" s="6" t="n">
        <v>2</v>
      </c>
      <c r="D950" s="6" t="n">
        <v>10</v>
      </c>
      <c r="E950" s="6" t="n">
        <v>1</v>
      </c>
      <c r="F950" s="6" t="s">
        <v>1111</v>
      </c>
      <c r="G950" s="28" t="str">
        <f aca="false">IFERROR(INDEX('Semrush Data'!$A$1:$Z$20000,MATCH(A950,'Semrush Data'!$A$1:$A$20000,0),MATCH("Volume",'Semrush Data'!$A$1:$Z$1,0)),"")</f>
        <v/>
      </c>
      <c r="H950" s="6" t="str">
        <f aca="false">IFERROR(INDEX('Semrush Data'!$A$1:$Z$20000,MATCH(A950,'Semrush Data'!$A$1:$A$20000,0),MATCH("Keyword Difficulty*",'Semrush Data'!$A$1:$Z$1,0)),"")</f>
        <v/>
      </c>
      <c r="I950" s="29" t="str">
        <f aca="false">IFERROR(INDEX('Semrush Data'!$A$1:$Z$20000,MATCH(A950,'Semrush Data'!$A$1:$A$20000,0),MATCH("CPC*",'Semrush Data'!$A$1:$Z$1,0)),"")</f>
        <v/>
      </c>
      <c r="J950" s="6" t="str">
        <f aca="false">IFERROR(INDEX('Semrush Data'!$A$1:$Z$20000,MATCH(A950,'Semrush Data'!$A$1:$A$20000,0),MATCH("Intent",'Semrush Data'!$A$1:$Z$1,0)),"")</f>
        <v/>
      </c>
    </row>
    <row r="951" customFormat="false" ht="15" hidden="false" customHeight="true" outlineLevel="0" collapsed="false">
      <c r="A951" s="6" t="s">
        <v>1988</v>
      </c>
      <c r="B951" s="6" t="s">
        <v>6866</v>
      </c>
      <c r="C951" s="6" t="n">
        <v>2</v>
      </c>
      <c r="D951" s="6" t="n">
        <v>10</v>
      </c>
      <c r="E951" s="6" t="n">
        <v>1</v>
      </c>
      <c r="F951" s="6" t="s">
        <v>945</v>
      </c>
      <c r="G951" s="28" t="str">
        <f aca="false">IFERROR(INDEX('Semrush Data'!$A$1:$Z$20000,MATCH(A951,'Semrush Data'!$A$1:$A$20000,0),MATCH("Volume",'Semrush Data'!$A$1:$Z$1,0)),"")</f>
        <v/>
      </c>
      <c r="H951" s="6" t="str">
        <f aca="false">IFERROR(INDEX('Semrush Data'!$A$1:$Z$20000,MATCH(A951,'Semrush Data'!$A$1:$A$20000,0),MATCH("Keyword Difficulty*",'Semrush Data'!$A$1:$Z$1,0)),"")</f>
        <v/>
      </c>
      <c r="I951" s="29" t="str">
        <f aca="false">IFERROR(INDEX('Semrush Data'!$A$1:$Z$20000,MATCH(A951,'Semrush Data'!$A$1:$A$20000,0),MATCH("CPC*",'Semrush Data'!$A$1:$Z$1,0)),"")</f>
        <v/>
      </c>
      <c r="J951" s="6" t="str">
        <f aca="false">IFERROR(INDEX('Semrush Data'!$A$1:$Z$20000,MATCH(A951,'Semrush Data'!$A$1:$A$20000,0),MATCH("Intent",'Semrush Data'!$A$1:$Z$1,0)),"")</f>
        <v/>
      </c>
    </row>
    <row r="952" customFormat="false" ht="15" hidden="false" customHeight="true" outlineLevel="0" collapsed="false">
      <c r="A952" s="6" t="s">
        <v>2087</v>
      </c>
      <c r="B952" s="6" t="s">
        <v>6866</v>
      </c>
      <c r="C952" s="6" t="n">
        <v>2</v>
      </c>
      <c r="D952" s="6" t="n">
        <v>10</v>
      </c>
      <c r="E952" s="6" t="n">
        <v>1</v>
      </c>
      <c r="F952" s="6" t="s">
        <v>1039</v>
      </c>
      <c r="G952" s="28" t="str">
        <f aca="false">IFERROR(INDEX('Semrush Data'!$A$1:$Z$20000,MATCH(A952,'Semrush Data'!$A$1:$A$20000,0),MATCH("Volume",'Semrush Data'!$A$1:$Z$1,0)),"")</f>
        <v/>
      </c>
      <c r="H952" s="6" t="str">
        <f aca="false">IFERROR(INDEX('Semrush Data'!$A$1:$Z$20000,MATCH(A952,'Semrush Data'!$A$1:$A$20000,0),MATCH("Keyword Difficulty*",'Semrush Data'!$A$1:$Z$1,0)),"")</f>
        <v/>
      </c>
      <c r="I952" s="29" t="str">
        <f aca="false">IFERROR(INDEX('Semrush Data'!$A$1:$Z$20000,MATCH(A952,'Semrush Data'!$A$1:$A$20000,0),MATCH("CPC*",'Semrush Data'!$A$1:$Z$1,0)),"")</f>
        <v/>
      </c>
      <c r="J952" s="6" t="str">
        <f aca="false">IFERROR(INDEX('Semrush Data'!$A$1:$Z$20000,MATCH(A952,'Semrush Data'!$A$1:$A$20000,0),MATCH("Intent",'Semrush Data'!$A$1:$Z$1,0)),"")</f>
        <v/>
      </c>
    </row>
    <row r="953" customFormat="false" ht="15" hidden="false" customHeight="true" outlineLevel="0" collapsed="false">
      <c r="A953" s="6" t="s">
        <v>2233</v>
      </c>
      <c r="B953" s="6" t="s">
        <v>6866</v>
      </c>
      <c r="C953" s="6" t="n">
        <v>2</v>
      </c>
      <c r="D953" s="6" t="n">
        <v>10</v>
      </c>
      <c r="E953" s="6" t="n">
        <v>1</v>
      </c>
      <c r="F953" s="6" t="s">
        <v>1185</v>
      </c>
      <c r="G953" s="28" t="str">
        <f aca="false">IFERROR(INDEX('Semrush Data'!$A$1:$Z$20000,MATCH(A953,'Semrush Data'!$A$1:$A$20000,0),MATCH("Volume",'Semrush Data'!$A$1:$Z$1,0)),"")</f>
        <v/>
      </c>
      <c r="H953" s="6" t="str">
        <f aca="false">IFERROR(INDEX('Semrush Data'!$A$1:$Z$20000,MATCH(A953,'Semrush Data'!$A$1:$A$20000,0),MATCH("Keyword Difficulty*",'Semrush Data'!$A$1:$Z$1,0)),"")</f>
        <v/>
      </c>
      <c r="I953" s="29" t="str">
        <f aca="false">IFERROR(INDEX('Semrush Data'!$A$1:$Z$20000,MATCH(A953,'Semrush Data'!$A$1:$A$20000,0),MATCH("CPC*",'Semrush Data'!$A$1:$Z$1,0)),"")</f>
        <v/>
      </c>
      <c r="J953" s="6" t="str">
        <f aca="false">IFERROR(INDEX('Semrush Data'!$A$1:$Z$20000,MATCH(A953,'Semrush Data'!$A$1:$A$20000,0),MATCH("Intent",'Semrush Data'!$A$1:$Z$1,0)),"")</f>
        <v/>
      </c>
    </row>
    <row r="954" customFormat="false" ht="15" hidden="false" customHeight="true" outlineLevel="0" collapsed="false">
      <c r="A954" s="6" t="s">
        <v>1996</v>
      </c>
      <c r="B954" s="6" t="s">
        <v>6866</v>
      </c>
      <c r="C954" s="6" t="n">
        <v>2</v>
      </c>
      <c r="D954" s="6" t="n">
        <v>10</v>
      </c>
      <c r="E954" s="6" t="n">
        <v>1</v>
      </c>
      <c r="F954" s="6" t="s">
        <v>952</v>
      </c>
      <c r="G954" s="28" t="str">
        <f aca="false">IFERROR(INDEX('Semrush Data'!$A$1:$Z$20000,MATCH(A954,'Semrush Data'!$A$1:$A$20000,0),MATCH("Volume",'Semrush Data'!$A$1:$Z$1,0)),"")</f>
        <v/>
      </c>
      <c r="H954" s="6" t="str">
        <f aca="false">IFERROR(INDEX('Semrush Data'!$A$1:$Z$20000,MATCH(A954,'Semrush Data'!$A$1:$A$20000,0),MATCH("Keyword Difficulty*",'Semrush Data'!$A$1:$Z$1,0)),"")</f>
        <v/>
      </c>
      <c r="I954" s="29" t="str">
        <f aca="false">IFERROR(INDEX('Semrush Data'!$A$1:$Z$20000,MATCH(A954,'Semrush Data'!$A$1:$A$20000,0),MATCH("CPC*",'Semrush Data'!$A$1:$Z$1,0)),"")</f>
        <v/>
      </c>
      <c r="J954" s="6" t="str">
        <f aca="false">IFERROR(INDEX('Semrush Data'!$A$1:$Z$20000,MATCH(A954,'Semrush Data'!$A$1:$A$20000,0),MATCH("Intent",'Semrush Data'!$A$1:$Z$1,0)),"")</f>
        <v/>
      </c>
    </row>
    <row r="955" customFormat="false" ht="15" hidden="false" customHeight="true" outlineLevel="0" collapsed="false">
      <c r="A955" s="6" t="s">
        <v>2226</v>
      </c>
      <c r="B955" s="6" t="s">
        <v>6866</v>
      </c>
      <c r="C955" s="6" t="n">
        <v>2</v>
      </c>
      <c r="D955" s="6" t="n">
        <v>10</v>
      </c>
      <c r="E955" s="6" t="n">
        <v>1</v>
      </c>
      <c r="F955" s="6" t="s">
        <v>1178</v>
      </c>
      <c r="G955" s="28" t="str">
        <f aca="false">IFERROR(INDEX('Semrush Data'!$A$1:$Z$20000,MATCH(A955,'Semrush Data'!$A$1:$A$20000,0),MATCH("Volume",'Semrush Data'!$A$1:$Z$1,0)),"")</f>
        <v/>
      </c>
      <c r="H955" s="6" t="str">
        <f aca="false">IFERROR(INDEX('Semrush Data'!$A$1:$Z$20000,MATCH(A955,'Semrush Data'!$A$1:$A$20000,0),MATCH("Keyword Difficulty*",'Semrush Data'!$A$1:$Z$1,0)),"")</f>
        <v/>
      </c>
      <c r="I955" s="29" t="str">
        <f aca="false">IFERROR(INDEX('Semrush Data'!$A$1:$Z$20000,MATCH(A955,'Semrush Data'!$A$1:$A$20000,0),MATCH("CPC*",'Semrush Data'!$A$1:$Z$1,0)),"")</f>
        <v/>
      </c>
      <c r="J955" s="6" t="str">
        <f aca="false">IFERROR(INDEX('Semrush Data'!$A$1:$Z$20000,MATCH(A955,'Semrush Data'!$A$1:$A$20000,0),MATCH("Intent",'Semrush Data'!$A$1:$Z$1,0)),"")</f>
        <v/>
      </c>
    </row>
    <row r="956" customFormat="false" ht="15" hidden="false" customHeight="true" outlineLevel="0" collapsed="false">
      <c r="A956" s="6" t="s">
        <v>2173</v>
      </c>
      <c r="B956" s="6" t="s">
        <v>6866</v>
      </c>
      <c r="C956" s="6" t="n">
        <v>2</v>
      </c>
      <c r="D956" s="6" t="n">
        <v>10</v>
      </c>
      <c r="E956" s="6" t="n">
        <v>1</v>
      </c>
      <c r="F956" s="6" t="s">
        <v>1123</v>
      </c>
      <c r="G956" s="28" t="str">
        <f aca="false">IFERROR(INDEX('Semrush Data'!$A$1:$Z$20000,MATCH(A956,'Semrush Data'!$A$1:$A$20000,0),MATCH("Volume",'Semrush Data'!$A$1:$Z$1,0)),"")</f>
        <v/>
      </c>
      <c r="H956" s="6" t="str">
        <f aca="false">IFERROR(INDEX('Semrush Data'!$A$1:$Z$20000,MATCH(A956,'Semrush Data'!$A$1:$A$20000,0),MATCH("Keyword Difficulty*",'Semrush Data'!$A$1:$Z$1,0)),"")</f>
        <v/>
      </c>
      <c r="I956" s="29" t="str">
        <f aca="false">IFERROR(INDEX('Semrush Data'!$A$1:$Z$20000,MATCH(A956,'Semrush Data'!$A$1:$A$20000,0),MATCH("CPC*",'Semrush Data'!$A$1:$Z$1,0)),"")</f>
        <v/>
      </c>
      <c r="J956" s="6" t="str">
        <f aca="false">IFERROR(INDEX('Semrush Data'!$A$1:$Z$20000,MATCH(A956,'Semrush Data'!$A$1:$A$20000,0),MATCH("Intent",'Semrush Data'!$A$1:$Z$1,0)),"")</f>
        <v/>
      </c>
    </row>
    <row r="957" customFormat="false" ht="15" hidden="false" customHeight="true" outlineLevel="0" collapsed="false">
      <c r="A957" s="6" t="s">
        <v>2239</v>
      </c>
      <c r="B957" s="6" t="s">
        <v>6866</v>
      </c>
      <c r="C957" s="6" t="n">
        <v>2</v>
      </c>
      <c r="D957" s="6" t="n">
        <v>10</v>
      </c>
      <c r="E957" s="6" t="n">
        <v>1</v>
      </c>
      <c r="F957" s="6" t="s">
        <v>1192</v>
      </c>
      <c r="G957" s="28" t="str">
        <f aca="false">IFERROR(INDEX('Semrush Data'!$A$1:$Z$20000,MATCH(A957,'Semrush Data'!$A$1:$A$20000,0),MATCH("Volume",'Semrush Data'!$A$1:$Z$1,0)),"")</f>
        <v/>
      </c>
      <c r="H957" s="6" t="str">
        <f aca="false">IFERROR(INDEX('Semrush Data'!$A$1:$Z$20000,MATCH(A957,'Semrush Data'!$A$1:$A$20000,0),MATCH("Keyword Difficulty*",'Semrush Data'!$A$1:$Z$1,0)),"")</f>
        <v/>
      </c>
      <c r="I957" s="29" t="str">
        <f aca="false">IFERROR(INDEX('Semrush Data'!$A$1:$Z$20000,MATCH(A957,'Semrush Data'!$A$1:$A$20000,0),MATCH("CPC*",'Semrush Data'!$A$1:$Z$1,0)),"")</f>
        <v/>
      </c>
      <c r="J957" s="6" t="str">
        <f aca="false">IFERROR(INDEX('Semrush Data'!$A$1:$Z$20000,MATCH(A957,'Semrush Data'!$A$1:$A$20000,0),MATCH("Intent",'Semrush Data'!$A$1:$Z$1,0)),"")</f>
        <v/>
      </c>
    </row>
    <row r="958" customFormat="false" ht="15" hidden="false" customHeight="true" outlineLevel="0" collapsed="false">
      <c r="A958" s="6" t="s">
        <v>2011</v>
      </c>
      <c r="B958" s="6" t="s">
        <v>6866</v>
      </c>
      <c r="C958" s="6" t="n">
        <v>2</v>
      </c>
      <c r="D958" s="6" t="n">
        <v>10</v>
      </c>
      <c r="E958" s="6" t="n">
        <v>1</v>
      </c>
      <c r="F958" s="6" t="s">
        <v>965</v>
      </c>
      <c r="G958" s="28" t="str">
        <f aca="false">IFERROR(INDEX('Semrush Data'!$A$1:$Z$20000,MATCH(A958,'Semrush Data'!$A$1:$A$20000,0),MATCH("Volume",'Semrush Data'!$A$1:$Z$1,0)),"")</f>
        <v/>
      </c>
      <c r="H958" s="6" t="str">
        <f aca="false">IFERROR(INDEX('Semrush Data'!$A$1:$Z$20000,MATCH(A958,'Semrush Data'!$A$1:$A$20000,0),MATCH("Keyword Difficulty*",'Semrush Data'!$A$1:$Z$1,0)),"")</f>
        <v/>
      </c>
      <c r="I958" s="29" t="str">
        <f aca="false">IFERROR(INDEX('Semrush Data'!$A$1:$Z$20000,MATCH(A958,'Semrush Data'!$A$1:$A$20000,0),MATCH("CPC*",'Semrush Data'!$A$1:$Z$1,0)),"")</f>
        <v/>
      </c>
      <c r="J958" s="6" t="str">
        <f aca="false">IFERROR(INDEX('Semrush Data'!$A$1:$Z$20000,MATCH(A958,'Semrush Data'!$A$1:$A$20000,0),MATCH("Intent",'Semrush Data'!$A$1:$Z$1,0)),"")</f>
        <v/>
      </c>
    </row>
    <row r="959" customFormat="false" ht="15" hidden="false" customHeight="true" outlineLevel="0" collapsed="false">
      <c r="A959" s="6" t="s">
        <v>2180</v>
      </c>
      <c r="B959" s="6" t="s">
        <v>6866</v>
      </c>
      <c r="C959" s="6" t="n">
        <v>2</v>
      </c>
      <c r="D959" s="6" t="n">
        <v>10</v>
      </c>
      <c r="E959" s="6" t="n">
        <v>2</v>
      </c>
      <c r="F959" s="6" t="s">
        <v>6779</v>
      </c>
      <c r="G959" s="28" t="str">
        <f aca="false">IFERROR(INDEX('Semrush Data'!$A$1:$Z$20000,MATCH(A959,'Semrush Data'!$A$1:$A$20000,0),MATCH("Volume",'Semrush Data'!$A$1:$Z$1,0)),"")</f>
        <v/>
      </c>
      <c r="H959" s="6" t="str">
        <f aca="false">IFERROR(INDEX('Semrush Data'!$A$1:$Z$20000,MATCH(A959,'Semrush Data'!$A$1:$A$20000,0),MATCH("Keyword Difficulty*",'Semrush Data'!$A$1:$Z$1,0)),"")</f>
        <v/>
      </c>
      <c r="I959" s="29" t="str">
        <f aca="false">IFERROR(INDEX('Semrush Data'!$A$1:$Z$20000,MATCH(A959,'Semrush Data'!$A$1:$A$20000,0),MATCH("CPC*",'Semrush Data'!$A$1:$Z$1,0)),"")</f>
        <v/>
      </c>
      <c r="J959" s="6" t="str">
        <f aca="false">IFERROR(INDEX('Semrush Data'!$A$1:$Z$20000,MATCH(A959,'Semrush Data'!$A$1:$A$20000,0),MATCH("Intent",'Semrush Data'!$A$1:$Z$1,0)),"")</f>
        <v/>
      </c>
    </row>
    <row r="960" customFormat="false" ht="15" hidden="false" customHeight="true" outlineLevel="0" collapsed="false">
      <c r="A960" s="6" t="s">
        <v>2018</v>
      </c>
      <c r="B960" s="6" t="s">
        <v>6866</v>
      </c>
      <c r="C960" s="6" t="n">
        <v>2</v>
      </c>
      <c r="D960" s="6" t="n">
        <v>10</v>
      </c>
      <c r="E960" s="6" t="n">
        <v>1</v>
      </c>
      <c r="F960" s="6" t="s">
        <v>971</v>
      </c>
      <c r="G960" s="28" t="str">
        <f aca="false">IFERROR(INDEX('Semrush Data'!$A$1:$Z$20000,MATCH(A960,'Semrush Data'!$A$1:$A$20000,0),MATCH("Volume",'Semrush Data'!$A$1:$Z$1,0)),"")</f>
        <v/>
      </c>
      <c r="H960" s="6" t="str">
        <f aca="false">IFERROR(INDEX('Semrush Data'!$A$1:$Z$20000,MATCH(A960,'Semrush Data'!$A$1:$A$20000,0),MATCH("Keyword Difficulty*",'Semrush Data'!$A$1:$Z$1,0)),"")</f>
        <v/>
      </c>
      <c r="I960" s="29" t="str">
        <f aca="false">IFERROR(INDEX('Semrush Data'!$A$1:$Z$20000,MATCH(A960,'Semrush Data'!$A$1:$A$20000,0),MATCH("CPC*",'Semrush Data'!$A$1:$Z$1,0)),"")</f>
        <v/>
      </c>
      <c r="J960" s="6" t="str">
        <f aca="false">IFERROR(INDEX('Semrush Data'!$A$1:$Z$20000,MATCH(A960,'Semrush Data'!$A$1:$A$20000,0),MATCH("Intent",'Semrush Data'!$A$1:$Z$1,0)),"")</f>
        <v/>
      </c>
    </row>
    <row r="961" customFormat="false" ht="15" hidden="false" customHeight="true" outlineLevel="0" collapsed="false">
      <c r="A961" s="6" t="s">
        <v>2132</v>
      </c>
      <c r="B961" s="6" t="s">
        <v>6866</v>
      </c>
      <c r="C961" s="6" t="n">
        <v>2</v>
      </c>
      <c r="D961" s="6" t="n">
        <v>10</v>
      </c>
      <c r="E961" s="6" t="n">
        <v>1</v>
      </c>
      <c r="F961" s="6" t="s">
        <v>1085</v>
      </c>
      <c r="G961" s="28" t="str">
        <f aca="false">IFERROR(INDEX('Semrush Data'!$A$1:$Z$20000,MATCH(A961,'Semrush Data'!$A$1:$A$20000,0),MATCH("Volume",'Semrush Data'!$A$1:$Z$1,0)),"")</f>
        <v/>
      </c>
      <c r="H961" s="6" t="str">
        <f aca="false">IFERROR(INDEX('Semrush Data'!$A$1:$Z$20000,MATCH(A961,'Semrush Data'!$A$1:$A$20000,0),MATCH("Keyword Difficulty*",'Semrush Data'!$A$1:$Z$1,0)),"")</f>
        <v/>
      </c>
      <c r="I961" s="29" t="str">
        <f aca="false">IFERROR(INDEX('Semrush Data'!$A$1:$Z$20000,MATCH(A961,'Semrush Data'!$A$1:$A$20000,0),MATCH("CPC*",'Semrush Data'!$A$1:$Z$1,0)),"")</f>
        <v/>
      </c>
      <c r="J961" s="6" t="str">
        <f aca="false">IFERROR(INDEX('Semrush Data'!$A$1:$Z$20000,MATCH(A961,'Semrush Data'!$A$1:$A$20000,0),MATCH("Intent",'Semrush Data'!$A$1:$Z$1,0)),"")</f>
        <v/>
      </c>
    </row>
    <row r="962" customFormat="false" ht="15" hidden="false" customHeight="true" outlineLevel="0" collapsed="false">
      <c r="A962" s="6" t="s">
        <v>2377</v>
      </c>
      <c r="B962" s="6" t="s">
        <v>6866</v>
      </c>
      <c r="C962" s="6" t="n">
        <v>2</v>
      </c>
      <c r="D962" s="6" t="n">
        <v>10</v>
      </c>
      <c r="E962" s="6" t="n">
        <v>1</v>
      </c>
      <c r="F962" s="6" t="s">
        <v>1332</v>
      </c>
      <c r="G962" s="28" t="str">
        <f aca="false">IFERROR(INDEX('Semrush Data'!$A$1:$Z$20000,MATCH(A962,'Semrush Data'!$A$1:$A$20000,0),MATCH("Volume",'Semrush Data'!$A$1:$Z$1,0)),"")</f>
        <v/>
      </c>
      <c r="H962" s="6" t="str">
        <f aca="false">IFERROR(INDEX('Semrush Data'!$A$1:$Z$20000,MATCH(A962,'Semrush Data'!$A$1:$A$20000,0),MATCH("Keyword Difficulty*",'Semrush Data'!$A$1:$Z$1,0)),"")</f>
        <v/>
      </c>
      <c r="I962" s="29" t="str">
        <f aca="false">IFERROR(INDEX('Semrush Data'!$A$1:$Z$20000,MATCH(A962,'Semrush Data'!$A$1:$A$20000,0),MATCH("CPC*",'Semrush Data'!$A$1:$Z$1,0)),"")</f>
        <v/>
      </c>
      <c r="J962" s="6" t="str">
        <f aca="false">IFERROR(INDEX('Semrush Data'!$A$1:$Z$20000,MATCH(A962,'Semrush Data'!$A$1:$A$20000,0),MATCH("Intent",'Semrush Data'!$A$1:$Z$1,0)),"")</f>
        <v/>
      </c>
    </row>
    <row r="963" customFormat="false" ht="15" hidden="false" customHeight="true" outlineLevel="0" collapsed="false">
      <c r="A963" s="6" t="s">
        <v>2126</v>
      </c>
      <c r="B963" s="6" t="s">
        <v>6866</v>
      </c>
      <c r="C963" s="6" t="n">
        <v>2</v>
      </c>
      <c r="D963" s="6" t="n">
        <v>10</v>
      </c>
      <c r="E963" s="6" t="n">
        <v>1</v>
      </c>
      <c r="F963" s="6" t="s">
        <v>1079</v>
      </c>
      <c r="G963" s="28" t="str">
        <f aca="false">IFERROR(INDEX('Semrush Data'!$A$1:$Z$20000,MATCH(A963,'Semrush Data'!$A$1:$A$20000,0),MATCH("Volume",'Semrush Data'!$A$1:$Z$1,0)),"")</f>
        <v/>
      </c>
      <c r="H963" s="6" t="str">
        <f aca="false">IFERROR(INDEX('Semrush Data'!$A$1:$Z$20000,MATCH(A963,'Semrush Data'!$A$1:$A$20000,0),MATCH("Keyword Difficulty*",'Semrush Data'!$A$1:$Z$1,0)),"")</f>
        <v/>
      </c>
      <c r="I963" s="29" t="str">
        <f aca="false">IFERROR(INDEX('Semrush Data'!$A$1:$Z$20000,MATCH(A963,'Semrush Data'!$A$1:$A$20000,0),MATCH("CPC*",'Semrush Data'!$A$1:$Z$1,0)),"")</f>
        <v/>
      </c>
      <c r="J963" s="6" t="str">
        <f aca="false">IFERROR(INDEX('Semrush Data'!$A$1:$Z$20000,MATCH(A963,'Semrush Data'!$A$1:$A$20000,0),MATCH("Intent",'Semrush Data'!$A$1:$Z$1,0)),"")</f>
        <v/>
      </c>
    </row>
    <row r="964" customFormat="false" ht="15" hidden="false" customHeight="true" outlineLevel="0" collapsed="false">
      <c r="A964" s="6" t="s">
        <v>2305</v>
      </c>
      <c r="B964" s="6" t="s">
        <v>6866</v>
      </c>
      <c r="C964" s="6" t="n">
        <v>2</v>
      </c>
      <c r="D964" s="6" t="n">
        <v>10</v>
      </c>
      <c r="E964" s="6" t="n">
        <v>1</v>
      </c>
      <c r="F964" s="6" t="s">
        <v>1260</v>
      </c>
      <c r="G964" s="28" t="str">
        <f aca="false">IFERROR(INDEX('Semrush Data'!$A$1:$Z$20000,MATCH(A964,'Semrush Data'!$A$1:$A$20000,0),MATCH("Volume",'Semrush Data'!$A$1:$Z$1,0)),"")</f>
        <v/>
      </c>
      <c r="H964" s="6" t="str">
        <f aca="false">IFERROR(INDEX('Semrush Data'!$A$1:$Z$20000,MATCH(A964,'Semrush Data'!$A$1:$A$20000,0),MATCH("Keyword Difficulty*",'Semrush Data'!$A$1:$Z$1,0)),"")</f>
        <v/>
      </c>
      <c r="I964" s="29" t="str">
        <f aca="false">IFERROR(INDEX('Semrush Data'!$A$1:$Z$20000,MATCH(A964,'Semrush Data'!$A$1:$A$20000,0),MATCH("CPC*",'Semrush Data'!$A$1:$Z$1,0)),"")</f>
        <v/>
      </c>
      <c r="J964" s="6" t="str">
        <f aca="false">IFERROR(INDEX('Semrush Data'!$A$1:$Z$20000,MATCH(A964,'Semrush Data'!$A$1:$A$20000,0),MATCH("Intent",'Semrush Data'!$A$1:$Z$1,0)),"")</f>
        <v/>
      </c>
    </row>
    <row r="965" customFormat="false" ht="15" hidden="false" customHeight="true" outlineLevel="0" collapsed="false">
      <c r="A965" s="6" t="s">
        <v>2246</v>
      </c>
      <c r="B965" s="6" t="s">
        <v>6866</v>
      </c>
      <c r="C965" s="6" t="n">
        <v>2</v>
      </c>
      <c r="D965" s="6" t="n">
        <v>10</v>
      </c>
      <c r="E965" s="6" t="n">
        <v>1</v>
      </c>
      <c r="F965" s="6" t="s">
        <v>1199</v>
      </c>
      <c r="G965" s="28" t="str">
        <f aca="false">IFERROR(INDEX('Semrush Data'!$A$1:$Z$20000,MATCH(A965,'Semrush Data'!$A$1:$A$20000,0),MATCH("Volume",'Semrush Data'!$A$1:$Z$1,0)),"")</f>
        <v/>
      </c>
      <c r="H965" s="6" t="str">
        <f aca="false">IFERROR(INDEX('Semrush Data'!$A$1:$Z$20000,MATCH(A965,'Semrush Data'!$A$1:$A$20000,0),MATCH("Keyword Difficulty*",'Semrush Data'!$A$1:$Z$1,0)),"")</f>
        <v/>
      </c>
      <c r="I965" s="29" t="str">
        <f aca="false">IFERROR(INDEX('Semrush Data'!$A$1:$Z$20000,MATCH(A965,'Semrush Data'!$A$1:$A$20000,0),MATCH("CPC*",'Semrush Data'!$A$1:$Z$1,0)),"")</f>
        <v/>
      </c>
      <c r="J965" s="6" t="str">
        <f aca="false">IFERROR(INDEX('Semrush Data'!$A$1:$Z$20000,MATCH(A965,'Semrush Data'!$A$1:$A$20000,0),MATCH("Intent",'Semrush Data'!$A$1:$Z$1,0)),"")</f>
        <v/>
      </c>
    </row>
    <row r="966" customFormat="false" ht="15" hidden="false" customHeight="true" outlineLevel="0" collapsed="false">
      <c r="A966" s="6" t="s">
        <v>2119</v>
      </c>
      <c r="B966" s="6" t="s">
        <v>6866</v>
      </c>
      <c r="C966" s="6" t="n">
        <v>2</v>
      </c>
      <c r="D966" s="6" t="n">
        <v>10</v>
      </c>
      <c r="E966" s="6" t="n">
        <v>1</v>
      </c>
      <c r="F966" s="6" t="s">
        <v>1073</v>
      </c>
      <c r="G966" s="28" t="str">
        <f aca="false">IFERROR(INDEX('Semrush Data'!$A$1:$Z$20000,MATCH(A966,'Semrush Data'!$A$1:$A$20000,0),MATCH("Volume",'Semrush Data'!$A$1:$Z$1,0)),"")</f>
        <v/>
      </c>
      <c r="H966" s="6" t="str">
        <f aca="false">IFERROR(INDEX('Semrush Data'!$A$1:$Z$20000,MATCH(A966,'Semrush Data'!$A$1:$A$20000,0),MATCH("Keyword Difficulty*",'Semrush Data'!$A$1:$Z$1,0)),"")</f>
        <v/>
      </c>
      <c r="I966" s="29" t="str">
        <f aca="false">IFERROR(INDEX('Semrush Data'!$A$1:$Z$20000,MATCH(A966,'Semrush Data'!$A$1:$A$20000,0),MATCH("CPC*",'Semrush Data'!$A$1:$Z$1,0)),"")</f>
        <v/>
      </c>
      <c r="J966" s="6" t="str">
        <f aca="false">IFERROR(INDEX('Semrush Data'!$A$1:$Z$20000,MATCH(A966,'Semrush Data'!$A$1:$A$20000,0),MATCH("Intent",'Semrush Data'!$A$1:$Z$1,0)),"")</f>
        <v/>
      </c>
    </row>
    <row r="967" customFormat="false" ht="15" hidden="false" customHeight="true" outlineLevel="0" collapsed="false">
      <c r="A967" s="6" t="s">
        <v>2066</v>
      </c>
      <c r="B967" s="6" t="s">
        <v>6866</v>
      </c>
      <c r="C967" s="6" t="n">
        <v>2</v>
      </c>
      <c r="D967" s="6" t="n">
        <v>10</v>
      </c>
      <c r="E967" s="6" t="n">
        <v>1</v>
      </c>
      <c r="F967" s="6" t="s">
        <v>1021</v>
      </c>
      <c r="G967" s="28" t="str">
        <f aca="false">IFERROR(INDEX('Semrush Data'!$A$1:$Z$20000,MATCH(A967,'Semrush Data'!$A$1:$A$20000,0),MATCH("Volume",'Semrush Data'!$A$1:$Z$1,0)),"")</f>
        <v/>
      </c>
      <c r="H967" s="6" t="str">
        <f aca="false">IFERROR(INDEX('Semrush Data'!$A$1:$Z$20000,MATCH(A967,'Semrush Data'!$A$1:$A$20000,0),MATCH("Keyword Difficulty*",'Semrush Data'!$A$1:$Z$1,0)),"")</f>
        <v/>
      </c>
      <c r="I967" s="29" t="str">
        <f aca="false">IFERROR(INDEX('Semrush Data'!$A$1:$Z$20000,MATCH(A967,'Semrush Data'!$A$1:$A$20000,0),MATCH("CPC*",'Semrush Data'!$A$1:$Z$1,0)),"")</f>
        <v/>
      </c>
      <c r="J967" s="6" t="str">
        <f aca="false">IFERROR(INDEX('Semrush Data'!$A$1:$Z$20000,MATCH(A967,'Semrush Data'!$A$1:$A$20000,0),MATCH("Intent",'Semrush Data'!$A$1:$Z$1,0)),"")</f>
        <v/>
      </c>
    </row>
    <row r="968" customFormat="false" ht="15" hidden="false" customHeight="true" outlineLevel="0" collapsed="false">
      <c r="A968" s="6" t="s">
        <v>2273</v>
      </c>
      <c r="B968" s="6" t="s">
        <v>6866</v>
      </c>
      <c r="C968" s="6" t="n">
        <v>2</v>
      </c>
      <c r="D968" s="6" t="n">
        <v>10</v>
      </c>
      <c r="E968" s="6" t="n">
        <v>1</v>
      </c>
      <c r="F968" s="6" t="s">
        <v>1226</v>
      </c>
      <c r="G968" s="28" t="str">
        <f aca="false">IFERROR(INDEX('Semrush Data'!$A$1:$Z$20000,MATCH(A968,'Semrush Data'!$A$1:$A$20000,0),MATCH("Volume",'Semrush Data'!$A$1:$Z$1,0)),"")</f>
        <v/>
      </c>
      <c r="H968" s="6" t="str">
        <f aca="false">IFERROR(INDEX('Semrush Data'!$A$1:$Z$20000,MATCH(A968,'Semrush Data'!$A$1:$A$20000,0),MATCH("Keyword Difficulty*",'Semrush Data'!$A$1:$Z$1,0)),"")</f>
        <v/>
      </c>
      <c r="I968" s="29" t="str">
        <f aca="false">IFERROR(INDEX('Semrush Data'!$A$1:$Z$20000,MATCH(A968,'Semrush Data'!$A$1:$A$20000,0),MATCH("CPC*",'Semrush Data'!$A$1:$Z$1,0)),"")</f>
        <v/>
      </c>
      <c r="J968" s="6" t="str">
        <f aca="false">IFERROR(INDEX('Semrush Data'!$A$1:$Z$20000,MATCH(A968,'Semrush Data'!$A$1:$A$20000,0),MATCH("Intent",'Semrush Data'!$A$1:$Z$1,0)),"")</f>
        <v/>
      </c>
    </row>
    <row r="969" customFormat="false" ht="15" hidden="false" customHeight="true" outlineLevel="0" collapsed="false">
      <c r="A969" s="6" t="s">
        <v>2104</v>
      </c>
      <c r="B969" s="6" t="s">
        <v>6866</v>
      </c>
      <c r="C969" s="6" t="n">
        <v>2</v>
      </c>
      <c r="D969" s="6" t="n">
        <v>10</v>
      </c>
      <c r="E969" s="6" t="n">
        <v>1</v>
      </c>
      <c r="F969" s="6" t="s">
        <v>1059</v>
      </c>
      <c r="G969" s="28" t="str">
        <f aca="false">IFERROR(INDEX('Semrush Data'!$A$1:$Z$20000,MATCH(A969,'Semrush Data'!$A$1:$A$20000,0),MATCH("Volume",'Semrush Data'!$A$1:$Z$1,0)),"")</f>
        <v/>
      </c>
      <c r="H969" s="6" t="str">
        <f aca="false">IFERROR(INDEX('Semrush Data'!$A$1:$Z$20000,MATCH(A969,'Semrush Data'!$A$1:$A$20000,0),MATCH("Keyword Difficulty*",'Semrush Data'!$A$1:$Z$1,0)),"")</f>
        <v/>
      </c>
      <c r="I969" s="29" t="str">
        <f aca="false">IFERROR(INDEX('Semrush Data'!$A$1:$Z$20000,MATCH(A969,'Semrush Data'!$A$1:$A$20000,0),MATCH("CPC*",'Semrush Data'!$A$1:$Z$1,0)),"")</f>
        <v/>
      </c>
      <c r="J969" s="6" t="str">
        <f aca="false">IFERROR(INDEX('Semrush Data'!$A$1:$Z$20000,MATCH(A969,'Semrush Data'!$A$1:$A$20000,0),MATCH("Intent",'Semrush Data'!$A$1:$Z$1,0)),"")</f>
        <v/>
      </c>
    </row>
    <row r="970" customFormat="false" ht="15" hidden="false" customHeight="true" outlineLevel="0" collapsed="false">
      <c r="A970" s="6" t="s">
        <v>2079</v>
      </c>
      <c r="B970" s="6" t="s">
        <v>6866</v>
      </c>
      <c r="C970" s="6" t="n">
        <v>2</v>
      </c>
      <c r="D970" s="6" t="n">
        <v>10</v>
      </c>
      <c r="E970" s="6" t="n">
        <v>1</v>
      </c>
      <c r="F970" s="6" t="s">
        <v>1033</v>
      </c>
      <c r="G970" s="28" t="str">
        <f aca="false">IFERROR(INDEX('Semrush Data'!$A$1:$Z$20000,MATCH(A970,'Semrush Data'!$A$1:$A$20000,0),MATCH("Volume",'Semrush Data'!$A$1:$Z$1,0)),"")</f>
        <v/>
      </c>
      <c r="H970" s="6" t="str">
        <f aca="false">IFERROR(INDEX('Semrush Data'!$A$1:$Z$20000,MATCH(A970,'Semrush Data'!$A$1:$A$20000,0),MATCH("Keyword Difficulty*",'Semrush Data'!$A$1:$Z$1,0)),"")</f>
        <v/>
      </c>
      <c r="I970" s="29" t="str">
        <f aca="false">IFERROR(INDEX('Semrush Data'!$A$1:$Z$20000,MATCH(A970,'Semrush Data'!$A$1:$A$20000,0),MATCH("CPC*",'Semrush Data'!$A$1:$Z$1,0)),"")</f>
        <v/>
      </c>
      <c r="J970" s="6" t="str">
        <f aca="false">IFERROR(INDEX('Semrush Data'!$A$1:$Z$20000,MATCH(A970,'Semrush Data'!$A$1:$A$20000,0),MATCH("Intent",'Semrush Data'!$A$1:$Z$1,0)),"")</f>
        <v/>
      </c>
    </row>
    <row r="971" customFormat="false" ht="15" hidden="false" customHeight="true" outlineLevel="0" collapsed="false">
      <c r="A971" s="6" t="s">
        <v>2072</v>
      </c>
      <c r="B971" s="6" t="s">
        <v>6866</v>
      </c>
      <c r="C971" s="6" t="n">
        <v>2</v>
      </c>
      <c r="D971" s="6" t="n">
        <v>10</v>
      </c>
      <c r="E971" s="6" t="n">
        <v>1</v>
      </c>
      <c r="F971" s="6" t="s">
        <v>1027</v>
      </c>
      <c r="G971" s="28" t="str">
        <f aca="false">IFERROR(INDEX('Semrush Data'!$A$1:$Z$20000,MATCH(A971,'Semrush Data'!$A$1:$A$20000,0),MATCH("Volume",'Semrush Data'!$A$1:$Z$1,0)),"")</f>
        <v/>
      </c>
      <c r="H971" s="6" t="str">
        <f aca="false">IFERROR(INDEX('Semrush Data'!$A$1:$Z$20000,MATCH(A971,'Semrush Data'!$A$1:$A$20000,0),MATCH("Keyword Difficulty*",'Semrush Data'!$A$1:$Z$1,0)),"")</f>
        <v/>
      </c>
      <c r="I971" s="29" t="str">
        <f aca="false">IFERROR(INDEX('Semrush Data'!$A$1:$Z$20000,MATCH(A971,'Semrush Data'!$A$1:$A$20000,0),MATCH("CPC*",'Semrush Data'!$A$1:$Z$1,0)),"")</f>
        <v/>
      </c>
      <c r="J971" s="6" t="str">
        <f aca="false">IFERROR(INDEX('Semrush Data'!$A$1:$Z$20000,MATCH(A971,'Semrush Data'!$A$1:$A$20000,0),MATCH("Intent",'Semrush Data'!$A$1:$Z$1,0)),"")</f>
        <v/>
      </c>
    </row>
    <row r="972" customFormat="false" ht="15" hidden="false" customHeight="true" outlineLevel="0" collapsed="false">
      <c r="A972" s="6" t="s">
        <v>2286</v>
      </c>
      <c r="B972" s="6" t="s">
        <v>6866</v>
      </c>
      <c r="C972" s="6" t="n">
        <v>2</v>
      </c>
      <c r="D972" s="6" t="n">
        <v>10</v>
      </c>
      <c r="E972" s="6" t="n">
        <v>1</v>
      </c>
      <c r="F972" s="6" t="s">
        <v>1239</v>
      </c>
      <c r="G972" s="28" t="str">
        <f aca="false">IFERROR(INDEX('Semrush Data'!$A$1:$Z$20000,MATCH(A972,'Semrush Data'!$A$1:$A$20000,0),MATCH("Volume",'Semrush Data'!$A$1:$Z$1,0)),"")</f>
        <v/>
      </c>
      <c r="H972" s="6" t="str">
        <f aca="false">IFERROR(INDEX('Semrush Data'!$A$1:$Z$20000,MATCH(A972,'Semrush Data'!$A$1:$A$20000,0),MATCH("Keyword Difficulty*",'Semrush Data'!$A$1:$Z$1,0)),"")</f>
        <v/>
      </c>
      <c r="I972" s="29" t="str">
        <f aca="false">IFERROR(INDEX('Semrush Data'!$A$1:$Z$20000,MATCH(A972,'Semrush Data'!$A$1:$A$20000,0),MATCH("CPC*",'Semrush Data'!$A$1:$Z$1,0)),"")</f>
        <v/>
      </c>
      <c r="J972" s="6" t="str">
        <f aca="false">IFERROR(INDEX('Semrush Data'!$A$1:$Z$20000,MATCH(A972,'Semrush Data'!$A$1:$A$20000,0),MATCH("Intent",'Semrush Data'!$A$1:$Z$1,0)),"")</f>
        <v/>
      </c>
    </row>
    <row r="973" customFormat="false" ht="15" hidden="false" customHeight="true" outlineLevel="0" collapsed="false">
      <c r="A973" s="6" t="s">
        <v>2059</v>
      </c>
      <c r="B973" s="6" t="s">
        <v>6866</v>
      </c>
      <c r="C973" s="6" t="n">
        <v>2</v>
      </c>
      <c r="D973" s="6" t="n">
        <v>10</v>
      </c>
      <c r="E973" s="6" t="n">
        <v>1</v>
      </c>
      <c r="F973" s="6" t="s">
        <v>1014</v>
      </c>
      <c r="G973" s="28" t="str">
        <f aca="false">IFERROR(INDEX('Semrush Data'!$A$1:$Z$20000,MATCH(A973,'Semrush Data'!$A$1:$A$20000,0),MATCH("Volume",'Semrush Data'!$A$1:$Z$1,0)),"")</f>
        <v/>
      </c>
      <c r="H973" s="6" t="str">
        <f aca="false">IFERROR(INDEX('Semrush Data'!$A$1:$Z$20000,MATCH(A973,'Semrush Data'!$A$1:$A$20000,0),MATCH("Keyword Difficulty*",'Semrush Data'!$A$1:$Z$1,0)),"")</f>
        <v/>
      </c>
      <c r="I973" s="29" t="str">
        <f aca="false">IFERROR(INDEX('Semrush Data'!$A$1:$Z$20000,MATCH(A973,'Semrush Data'!$A$1:$A$20000,0),MATCH("CPC*",'Semrush Data'!$A$1:$Z$1,0)),"")</f>
        <v/>
      </c>
      <c r="J973" s="6" t="str">
        <f aca="false">IFERROR(INDEX('Semrush Data'!$A$1:$Z$20000,MATCH(A973,'Semrush Data'!$A$1:$A$20000,0),MATCH("Intent",'Semrush Data'!$A$1:$Z$1,0)),"")</f>
        <v/>
      </c>
    </row>
    <row r="974" customFormat="false" ht="15" hidden="false" customHeight="true" outlineLevel="0" collapsed="false">
      <c r="A974" s="6" t="s">
        <v>2312</v>
      </c>
      <c r="B974" s="6" t="s">
        <v>6866</v>
      </c>
      <c r="C974" s="6" t="n">
        <v>2</v>
      </c>
      <c r="D974" s="6" t="n">
        <v>10</v>
      </c>
      <c r="E974" s="6" t="n">
        <v>1</v>
      </c>
      <c r="F974" s="6" t="s">
        <v>1266</v>
      </c>
      <c r="G974" s="28" t="str">
        <f aca="false">IFERROR(INDEX('Semrush Data'!$A$1:$Z$20000,MATCH(A974,'Semrush Data'!$A$1:$A$20000,0),MATCH("Volume",'Semrush Data'!$A$1:$Z$1,0)),"")</f>
        <v/>
      </c>
      <c r="H974" s="6" t="str">
        <f aca="false">IFERROR(INDEX('Semrush Data'!$A$1:$Z$20000,MATCH(A974,'Semrush Data'!$A$1:$A$20000,0),MATCH("Keyword Difficulty*",'Semrush Data'!$A$1:$Z$1,0)),"")</f>
        <v/>
      </c>
      <c r="I974" s="29" t="str">
        <f aca="false">IFERROR(INDEX('Semrush Data'!$A$1:$Z$20000,MATCH(A974,'Semrush Data'!$A$1:$A$20000,0),MATCH("CPC*",'Semrush Data'!$A$1:$Z$1,0)),"")</f>
        <v/>
      </c>
      <c r="J974" s="6" t="str">
        <f aca="false">IFERROR(INDEX('Semrush Data'!$A$1:$Z$20000,MATCH(A974,'Semrush Data'!$A$1:$A$20000,0),MATCH("Intent",'Semrush Data'!$A$1:$Z$1,0)),"")</f>
        <v/>
      </c>
    </row>
    <row r="975" customFormat="false" ht="15" hidden="false" customHeight="true" outlineLevel="0" collapsed="false">
      <c r="A975" s="6" t="s">
        <v>2038</v>
      </c>
      <c r="B975" s="6" t="s">
        <v>6866</v>
      </c>
      <c r="C975" s="6" t="n">
        <v>2</v>
      </c>
      <c r="D975" s="6" t="n">
        <v>10</v>
      </c>
      <c r="E975" s="6" t="n">
        <v>1</v>
      </c>
      <c r="F975" s="6" t="s">
        <v>992</v>
      </c>
      <c r="G975" s="28" t="str">
        <f aca="false">IFERROR(INDEX('Semrush Data'!$A$1:$Z$20000,MATCH(A975,'Semrush Data'!$A$1:$A$20000,0),MATCH("Volume",'Semrush Data'!$A$1:$Z$1,0)),"")</f>
        <v/>
      </c>
      <c r="H975" s="6" t="str">
        <f aca="false">IFERROR(INDEX('Semrush Data'!$A$1:$Z$20000,MATCH(A975,'Semrush Data'!$A$1:$A$20000,0),MATCH("Keyword Difficulty*",'Semrush Data'!$A$1:$Z$1,0)),"")</f>
        <v/>
      </c>
      <c r="I975" s="29" t="str">
        <f aca="false">IFERROR(INDEX('Semrush Data'!$A$1:$Z$20000,MATCH(A975,'Semrush Data'!$A$1:$A$20000,0),MATCH("CPC*",'Semrush Data'!$A$1:$Z$1,0)),"")</f>
        <v/>
      </c>
      <c r="J975" s="6" t="str">
        <f aca="false">IFERROR(INDEX('Semrush Data'!$A$1:$Z$20000,MATCH(A975,'Semrush Data'!$A$1:$A$20000,0),MATCH("Intent",'Semrush Data'!$A$1:$Z$1,0)),"")</f>
        <v/>
      </c>
    </row>
    <row r="976" customFormat="false" ht="15" hidden="false" customHeight="true" outlineLevel="0" collapsed="false">
      <c r="A976" s="6" t="s">
        <v>2045</v>
      </c>
      <c r="B976" s="6" t="s">
        <v>6866</v>
      </c>
      <c r="C976" s="6" t="n">
        <v>2</v>
      </c>
      <c r="D976" s="6" t="n">
        <v>10</v>
      </c>
      <c r="E976" s="6" t="n">
        <v>1</v>
      </c>
      <c r="F976" s="6" t="s">
        <v>999</v>
      </c>
      <c r="G976" s="28" t="str">
        <f aca="false">IFERROR(INDEX('Semrush Data'!$A$1:$Z$20000,MATCH(A976,'Semrush Data'!$A$1:$A$20000,0),MATCH("Volume",'Semrush Data'!$A$1:$Z$1,0)),"")</f>
        <v/>
      </c>
      <c r="H976" s="6" t="str">
        <f aca="false">IFERROR(INDEX('Semrush Data'!$A$1:$Z$20000,MATCH(A976,'Semrush Data'!$A$1:$A$20000,0),MATCH("Keyword Difficulty*",'Semrush Data'!$A$1:$Z$1,0)),"")</f>
        <v/>
      </c>
      <c r="I976" s="29" t="str">
        <f aca="false">IFERROR(INDEX('Semrush Data'!$A$1:$Z$20000,MATCH(A976,'Semrush Data'!$A$1:$A$20000,0),MATCH("CPC*",'Semrush Data'!$A$1:$Z$1,0)),"")</f>
        <v/>
      </c>
      <c r="J976" s="6" t="str">
        <f aca="false">IFERROR(INDEX('Semrush Data'!$A$1:$Z$20000,MATCH(A976,'Semrush Data'!$A$1:$A$20000,0),MATCH("Intent",'Semrush Data'!$A$1:$Z$1,0)),"")</f>
        <v/>
      </c>
    </row>
    <row r="977" customFormat="false" ht="15" hidden="false" customHeight="true" outlineLevel="0" collapsed="false">
      <c r="A977" s="6" t="s">
        <v>3553</v>
      </c>
      <c r="B977" s="6" t="s">
        <v>6866</v>
      </c>
      <c r="C977" s="6" t="n">
        <v>2</v>
      </c>
      <c r="D977" s="6" t="n">
        <v>10</v>
      </c>
      <c r="E977" s="6" t="n">
        <v>1</v>
      </c>
      <c r="F977" s="6" t="s">
        <v>3549</v>
      </c>
      <c r="G977" s="28" t="str">
        <f aca="false">IFERROR(INDEX('Semrush Data'!$A$1:$Z$20000,MATCH(A977,'Semrush Data'!$A$1:$A$20000,0),MATCH("Volume",'Semrush Data'!$A$1:$Z$1,0)),"")</f>
        <v/>
      </c>
      <c r="H977" s="6" t="str">
        <f aca="false">IFERROR(INDEX('Semrush Data'!$A$1:$Z$20000,MATCH(A977,'Semrush Data'!$A$1:$A$20000,0),MATCH("Keyword Difficulty*",'Semrush Data'!$A$1:$Z$1,0)),"")</f>
        <v/>
      </c>
      <c r="I977" s="29" t="str">
        <f aca="false">IFERROR(INDEX('Semrush Data'!$A$1:$Z$20000,MATCH(A977,'Semrush Data'!$A$1:$A$20000,0),MATCH("CPC*",'Semrush Data'!$A$1:$Z$1,0)),"")</f>
        <v/>
      </c>
      <c r="J977" s="6" t="str">
        <f aca="false">IFERROR(INDEX('Semrush Data'!$A$1:$Z$20000,MATCH(A977,'Semrush Data'!$A$1:$A$20000,0),MATCH("Intent",'Semrush Data'!$A$1:$Z$1,0)),"")</f>
        <v/>
      </c>
    </row>
    <row r="978" customFormat="false" ht="15" hidden="false" customHeight="true" outlineLevel="0" collapsed="false">
      <c r="A978" s="6" t="s">
        <v>3540</v>
      </c>
      <c r="B978" s="6" t="s">
        <v>6866</v>
      </c>
      <c r="C978" s="6" t="n">
        <v>2</v>
      </c>
      <c r="D978" s="6" t="n">
        <v>10</v>
      </c>
      <c r="E978" s="6" t="n">
        <v>1</v>
      </c>
      <c r="F978" s="6" t="s">
        <v>3536</v>
      </c>
      <c r="G978" s="28" t="str">
        <f aca="false">IFERROR(INDEX('Semrush Data'!$A$1:$Z$20000,MATCH(A978,'Semrush Data'!$A$1:$A$20000,0),MATCH("Volume",'Semrush Data'!$A$1:$Z$1,0)),"")</f>
        <v/>
      </c>
      <c r="H978" s="6" t="str">
        <f aca="false">IFERROR(INDEX('Semrush Data'!$A$1:$Z$20000,MATCH(A978,'Semrush Data'!$A$1:$A$20000,0),MATCH("Keyword Difficulty*",'Semrush Data'!$A$1:$Z$1,0)),"")</f>
        <v/>
      </c>
      <c r="I978" s="29" t="str">
        <f aca="false">IFERROR(INDEX('Semrush Data'!$A$1:$Z$20000,MATCH(A978,'Semrush Data'!$A$1:$A$20000,0),MATCH("CPC*",'Semrush Data'!$A$1:$Z$1,0)),"")</f>
        <v/>
      </c>
      <c r="J978" s="6" t="str">
        <f aca="false">IFERROR(INDEX('Semrush Data'!$A$1:$Z$20000,MATCH(A978,'Semrush Data'!$A$1:$A$20000,0),MATCH("Intent",'Semrush Data'!$A$1:$Z$1,0)),"")</f>
        <v/>
      </c>
    </row>
    <row r="979" customFormat="false" ht="15" hidden="false" customHeight="true" outlineLevel="0" collapsed="false">
      <c r="A979" s="6" t="s">
        <v>3561</v>
      </c>
      <c r="B979" s="6" t="s">
        <v>6866</v>
      </c>
      <c r="C979" s="6" t="n">
        <v>2</v>
      </c>
      <c r="D979" s="6" t="s">
        <v>6867</v>
      </c>
      <c r="E979" s="6" t="n">
        <v>1</v>
      </c>
      <c r="F979" s="6" t="s">
        <v>48</v>
      </c>
      <c r="G979" s="28" t="n">
        <f aca="false">IFERROR(INDEX('Semrush Data'!$A$1:$Z$20000,MATCH(A979,'Semrush Data'!$A$1:$A$20000,0),MATCH("Volume",'Semrush Data'!$A$1:$Z$1,0)),"")</f>
        <v>170</v>
      </c>
      <c r="H979" s="6" t="n">
        <f aca="false">IFERROR(INDEX('Semrush Data'!$A$1:$Z$20000,MATCH(A979,'Semrush Data'!$A$1:$A$20000,0),MATCH("Keyword Difficulty*",'Semrush Data'!$A$1:$Z$1,0)),"")</f>
        <v>39</v>
      </c>
      <c r="I979" s="29" t="n">
        <f aca="false">IFERROR(INDEX('Semrush Data'!$A$1:$Z$20000,MATCH(A979,'Semrush Data'!$A$1:$A$20000,0),MATCH("CPC*",'Semrush Data'!$A$1:$Z$1,0)),"")</f>
        <v>0.62</v>
      </c>
      <c r="J979" s="6" t="str">
        <f aca="false">IFERROR(INDEX('Semrush Data'!$A$1:$Z$20000,MATCH(A979,'Semrush Data'!$A$1:$A$20000,0),MATCH("Intent",'Semrush Data'!$A$1:$Z$1,0)),"")</f>
        <v>Informational</v>
      </c>
    </row>
    <row r="980" customFormat="false" ht="15" hidden="false" customHeight="true" outlineLevel="0" collapsed="false">
      <c r="A980" s="6" t="s">
        <v>3596</v>
      </c>
      <c r="B980" s="6" t="s">
        <v>6866</v>
      </c>
      <c r="C980" s="6" t="n">
        <v>2</v>
      </c>
      <c r="D980" s="6" t="n">
        <v>10</v>
      </c>
      <c r="E980" s="6" t="n">
        <v>1</v>
      </c>
      <c r="F980" s="6" t="s">
        <v>3591</v>
      </c>
      <c r="G980" s="28" t="str">
        <f aca="false">IFERROR(INDEX('Semrush Data'!$A$1:$Z$20000,MATCH(A980,'Semrush Data'!$A$1:$A$20000,0),MATCH("Volume",'Semrush Data'!$A$1:$Z$1,0)),"")</f>
        <v/>
      </c>
      <c r="H980" s="6" t="str">
        <f aca="false">IFERROR(INDEX('Semrush Data'!$A$1:$Z$20000,MATCH(A980,'Semrush Data'!$A$1:$A$20000,0),MATCH("Keyword Difficulty*",'Semrush Data'!$A$1:$Z$1,0)),"")</f>
        <v/>
      </c>
      <c r="I980" s="29" t="str">
        <f aca="false">IFERROR(INDEX('Semrush Data'!$A$1:$Z$20000,MATCH(A980,'Semrush Data'!$A$1:$A$20000,0),MATCH("CPC*",'Semrush Data'!$A$1:$Z$1,0)),"")</f>
        <v/>
      </c>
      <c r="J980" s="6" t="str">
        <f aca="false">IFERROR(INDEX('Semrush Data'!$A$1:$Z$20000,MATCH(A980,'Semrush Data'!$A$1:$A$20000,0),MATCH("Intent",'Semrush Data'!$A$1:$Z$1,0)),"")</f>
        <v/>
      </c>
    </row>
    <row r="981" customFormat="false" ht="15" hidden="false" customHeight="true" outlineLevel="0" collapsed="false">
      <c r="A981" s="6" t="s">
        <v>3573</v>
      </c>
      <c r="B981" s="6" t="s">
        <v>6866</v>
      </c>
      <c r="C981" s="6" t="n">
        <v>2</v>
      </c>
      <c r="D981" s="6" t="s">
        <v>6868</v>
      </c>
      <c r="E981" s="6" t="n">
        <v>1</v>
      </c>
      <c r="F981" s="6" t="s">
        <v>3569</v>
      </c>
      <c r="G981" s="28" t="n">
        <f aca="false">IFERROR(INDEX('Semrush Data'!$A$1:$Z$20000,MATCH(A981,'Semrush Data'!$A$1:$A$20000,0),MATCH("Volume",'Semrush Data'!$A$1:$Z$1,0)),"")</f>
        <v>0</v>
      </c>
      <c r="H981" s="6" t="n">
        <f aca="false">IFERROR(INDEX('Semrush Data'!$A$1:$Z$20000,MATCH(A981,'Semrush Data'!$A$1:$A$20000,0),MATCH("Keyword Difficulty*",'Semrush Data'!$A$1:$Z$1,0)),"")</f>
        <v>19</v>
      </c>
      <c r="I981" s="29" t="n">
        <f aca="false">IFERROR(INDEX('Semrush Data'!$A$1:$Z$20000,MATCH(A981,'Semrush Data'!$A$1:$A$20000,0),MATCH("CPC*",'Semrush Data'!$A$1:$Z$1,0)),"")</f>
        <v>0</v>
      </c>
      <c r="J981" s="6" t="str">
        <f aca="false">IFERROR(INDEX('Semrush Data'!$A$1:$Z$20000,MATCH(A981,'Semrush Data'!$A$1:$A$20000,0),MATCH("Intent",'Semrush Data'!$A$1:$Z$1,0)),"")</f>
        <v>Informational</v>
      </c>
    </row>
    <row r="982" customFormat="false" ht="15" hidden="false" customHeight="true" outlineLevel="0" collapsed="false">
      <c r="A982" s="6" t="s">
        <v>3583</v>
      </c>
      <c r="B982" s="6" t="s">
        <v>6866</v>
      </c>
      <c r="C982" s="6" t="n">
        <v>2</v>
      </c>
      <c r="D982" s="6" t="s">
        <v>6867</v>
      </c>
      <c r="E982" s="6" t="n">
        <v>1</v>
      </c>
      <c r="F982" s="6" t="s">
        <v>133</v>
      </c>
      <c r="G982" s="28" t="n">
        <f aca="false">IFERROR(INDEX('Semrush Data'!$A$1:$Z$20000,MATCH(A982,'Semrush Data'!$A$1:$A$20000,0),MATCH("Volume",'Semrush Data'!$A$1:$Z$1,0)),"")</f>
        <v>0</v>
      </c>
      <c r="H982" s="6" t="n">
        <f aca="false">IFERROR(INDEX('Semrush Data'!$A$1:$Z$20000,MATCH(A982,'Semrush Data'!$A$1:$A$20000,0),MATCH("Keyword Difficulty*",'Semrush Data'!$A$1:$Z$1,0)),"")</f>
        <v>10</v>
      </c>
      <c r="I982" s="29" t="n">
        <f aca="false">IFERROR(INDEX('Semrush Data'!$A$1:$Z$20000,MATCH(A982,'Semrush Data'!$A$1:$A$20000,0),MATCH("CPC*",'Semrush Data'!$A$1:$Z$1,0)),"")</f>
        <v>0</v>
      </c>
      <c r="J982" s="6" t="str">
        <f aca="false">IFERROR(INDEX('Semrush Data'!$A$1:$Z$20000,MATCH(A982,'Semrush Data'!$A$1:$A$20000,0),MATCH("Intent",'Semrush Data'!$A$1:$Z$1,0)),"")</f>
        <v>Informational</v>
      </c>
    </row>
    <row r="983" customFormat="false" ht="15" hidden="false" customHeight="true" outlineLevel="0" collapsed="false">
      <c r="A983" s="6" t="s">
        <v>3608</v>
      </c>
      <c r="B983" s="6" t="s">
        <v>6866</v>
      </c>
      <c r="C983" s="6" t="n">
        <v>2</v>
      </c>
      <c r="D983" s="6" t="n">
        <v>10</v>
      </c>
      <c r="E983" s="6" t="n">
        <v>1</v>
      </c>
      <c r="F983" s="6" t="s">
        <v>3604</v>
      </c>
      <c r="G983" s="28" t="str">
        <f aca="false">IFERROR(INDEX('Semrush Data'!$A$1:$Z$20000,MATCH(A983,'Semrush Data'!$A$1:$A$20000,0),MATCH("Volume",'Semrush Data'!$A$1:$Z$1,0)),"")</f>
        <v/>
      </c>
      <c r="H983" s="6" t="str">
        <f aca="false">IFERROR(INDEX('Semrush Data'!$A$1:$Z$20000,MATCH(A983,'Semrush Data'!$A$1:$A$20000,0),MATCH("Keyword Difficulty*",'Semrush Data'!$A$1:$Z$1,0)),"")</f>
        <v/>
      </c>
      <c r="I983" s="29" t="str">
        <f aca="false">IFERROR(INDEX('Semrush Data'!$A$1:$Z$20000,MATCH(A983,'Semrush Data'!$A$1:$A$20000,0),MATCH("CPC*",'Semrush Data'!$A$1:$Z$1,0)),"")</f>
        <v/>
      </c>
      <c r="J983" s="6" t="str">
        <f aca="false">IFERROR(INDEX('Semrush Data'!$A$1:$Z$20000,MATCH(A983,'Semrush Data'!$A$1:$A$20000,0),MATCH("Intent",'Semrush Data'!$A$1:$Z$1,0)),"")</f>
        <v/>
      </c>
    </row>
    <row r="984" customFormat="false" ht="15" hidden="false" customHeight="true" outlineLevel="0" collapsed="false">
      <c r="A984" s="6" t="s">
        <v>3691</v>
      </c>
      <c r="B984" s="6" t="s">
        <v>6866</v>
      </c>
      <c r="C984" s="6" t="n">
        <v>2</v>
      </c>
      <c r="D984" s="6" t="n">
        <v>10</v>
      </c>
      <c r="E984" s="6" t="n">
        <v>1</v>
      </c>
      <c r="F984" s="6" t="s">
        <v>3688</v>
      </c>
      <c r="G984" s="28" t="str">
        <f aca="false">IFERROR(INDEX('Semrush Data'!$A$1:$Z$20000,MATCH(A984,'Semrush Data'!$A$1:$A$20000,0),MATCH("Volume",'Semrush Data'!$A$1:$Z$1,0)),"")</f>
        <v/>
      </c>
      <c r="H984" s="6" t="str">
        <f aca="false">IFERROR(INDEX('Semrush Data'!$A$1:$Z$20000,MATCH(A984,'Semrush Data'!$A$1:$A$20000,0),MATCH("Keyword Difficulty*",'Semrush Data'!$A$1:$Z$1,0)),"")</f>
        <v/>
      </c>
      <c r="I984" s="29" t="str">
        <f aca="false">IFERROR(INDEX('Semrush Data'!$A$1:$Z$20000,MATCH(A984,'Semrush Data'!$A$1:$A$20000,0),MATCH("CPC*",'Semrush Data'!$A$1:$Z$1,0)),"")</f>
        <v/>
      </c>
      <c r="J984" s="6" t="str">
        <f aca="false">IFERROR(INDEX('Semrush Data'!$A$1:$Z$20000,MATCH(A984,'Semrush Data'!$A$1:$A$20000,0),MATCH("Intent",'Semrush Data'!$A$1:$Z$1,0)),"")</f>
        <v/>
      </c>
    </row>
    <row r="985" customFormat="false" ht="15" hidden="false" customHeight="true" outlineLevel="0" collapsed="false">
      <c r="A985" s="6" t="s">
        <v>3621</v>
      </c>
      <c r="B985" s="6" t="s">
        <v>6866</v>
      </c>
      <c r="C985" s="6" t="n">
        <v>2</v>
      </c>
      <c r="D985" s="6" t="s">
        <v>6867</v>
      </c>
      <c r="E985" s="6" t="n">
        <v>1</v>
      </c>
      <c r="F985" s="6" t="s">
        <v>3616</v>
      </c>
      <c r="G985" s="28" t="n">
        <f aca="false">IFERROR(INDEX('Semrush Data'!$A$1:$Z$20000,MATCH(A985,'Semrush Data'!$A$1:$A$20000,0),MATCH("Volume",'Semrush Data'!$A$1:$Z$1,0)),"")</f>
        <v>20</v>
      </c>
      <c r="H985" s="6" t="n">
        <f aca="false">IFERROR(INDEX('Semrush Data'!$A$1:$Z$20000,MATCH(A985,'Semrush Data'!$A$1:$A$20000,0),MATCH("Keyword Difficulty*",'Semrush Data'!$A$1:$Z$1,0)),"")</f>
        <v>13</v>
      </c>
      <c r="I985" s="29" t="n">
        <f aca="false">IFERROR(INDEX('Semrush Data'!$A$1:$Z$20000,MATCH(A985,'Semrush Data'!$A$1:$A$20000,0),MATCH("CPC*",'Semrush Data'!$A$1:$Z$1,0)),"")</f>
        <v>0</v>
      </c>
      <c r="J985" s="6" t="str">
        <f aca="false">IFERROR(INDEX('Semrush Data'!$A$1:$Z$20000,MATCH(A985,'Semrush Data'!$A$1:$A$20000,0),MATCH("Intent",'Semrush Data'!$A$1:$Z$1,0)),"")</f>
        <v>Informational</v>
      </c>
    </row>
    <row r="986" customFormat="false" ht="15" hidden="false" customHeight="true" outlineLevel="0" collapsed="false">
      <c r="A986" s="6" t="s">
        <v>3702</v>
      </c>
      <c r="B986" s="6" t="s">
        <v>6866</v>
      </c>
      <c r="C986" s="6" t="n">
        <v>2</v>
      </c>
      <c r="D986" s="6" t="n">
        <v>10</v>
      </c>
      <c r="E986" s="6" t="n">
        <v>1</v>
      </c>
      <c r="F986" s="6" t="s">
        <v>3699</v>
      </c>
      <c r="G986" s="28" t="str">
        <f aca="false">IFERROR(INDEX('Semrush Data'!$A$1:$Z$20000,MATCH(A986,'Semrush Data'!$A$1:$A$20000,0),MATCH("Volume",'Semrush Data'!$A$1:$Z$1,0)),"")</f>
        <v/>
      </c>
      <c r="H986" s="6" t="str">
        <f aca="false">IFERROR(INDEX('Semrush Data'!$A$1:$Z$20000,MATCH(A986,'Semrush Data'!$A$1:$A$20000,0),MATCH("Keyword Difficulty*",'Semrush Data'!$A$1:$Z$1,0)),"")</f>
        <v/>
      </c>
      <c r="I986" s="29" t="str">
        <f aca="false">IFERROR(INDEX('Semrush Data'!$A$1:$Z$20000,MATCH(A986,'Semrush Data'!$A$1:$A$20000,0),MATCH("CPC*",'Semrush Data'!$A$1:$Z$1,0)),"")</f>
        <v/>
      </c>
      <c r="J986" s="6" t="str">
        <f aca="false">IFERROR(INDEX('Semrush Data'!$A$1:$Z$20000,MATCH(A986,'Semrush Data'!$A$1:$A$20000,0),MATCH("Intent",'Semrush Data'!$A$1:$Z$1,0)),"")</f>
        <v/>
      </c>
    </row>
    <row r="987" customFormat="false" ht="15" hidden="false" customHeight="true" outlineLevel="0" collapsed="false">
      <c r="A987" s="6" t="s">
        <v>3680</v>
      </c>
      <c r="B987" s="6" t="s">
        <v>6866</v>
      </c>
      <c r="C987" s="6" t="n">
        <v>2</v>
      </c>
      <c r="D987" s="6" t="s">
        <v>6867</v>
      </c>
      <c r="E987" s="6" t="n">
        <v>1</v>
      </c>
      <c r="F987" s="6" t="s">
        <v>3677</v>
      </c>
      <c r="G987" s="28" t="n">
        <f aca="false">IFERROR(INDEX('Semrush Data'!$A$1:$Z$20000,MATCH(A987,'Semrush Data'!$A$1:$A$20000,0),MATCH("Volume",'Semrush Data'!$A$1:$Z$1,0)),"")</f>
        <v>0</v>
      </c>
      <c r="H987" s="6" t="n">
        <f aca="false">IFERROR(INDEX('Semrush Data'!$A$1:$Z$20000,MATCH(A987,'Semrush Data'!$A$1:$A$20000,0),MATCH("Keyword Difficulty*",'Semrush Data'!$A$1:$Z$1,0)),"")</f>
        <v>10</v>
      </c>
      <c r="I987" s="29" t="n">
        <f aca="false">IFERROR(INDEX('Semrush Data'!$A$1:$Z$20000,MATCH(A987,'Semrush Data'!$A$1:$A$20000,0),MATCH("CPC*",'Semrush Data'!$A$1:$Z$1,0)),"")</f>
        <v>0</v>
      </c>
      <c r="J987" s="6" t="str">
        <f aca="false">IFERROR(INDEX('Semrush Data'!$A$1:$Z$20000,MATCH(A987,'Semrush Data'!$A$1:$A$20000,0),MATCH("Intent",'Semrush Data'!$A$1:$Z$1,0)),"")</f>
        <v>Informational</v>
      </c>
    </row>
    <row r="988" customFormat="false" ht="15" hidden="false" customHeight="true" outlineLevel="0" collapsed="false">
      <c r="A988" s="6" t="s">
        <v>3712</v>
      </c>
      <c r="B988" s="6" t="s">
        <v>6866</v>
      </c>
      <c r="C988" s="6" t="n">
        <v>2</v>
      </c>
      <c r="D988" s="6" t="n">
        <v>10</v>
      </c>
      <c r="E988" s="6" t="n">
        <v>2</v>
      </c>
      <c r="F988" s="6" t="s">
        <v>6850</v>
      </c>
      <c r="G988" s="28" t="str">
        <f aca="false">IFERROR(INDEX('Semrush Data'!$A$1:$Z$20000,MATCH(A988,'Semrush Data'!$A$1:$A$20000,0),MATCH("Volume",'Semrush Data'!$A$1:$Z$1,0)),"")</f>
        <v/>
      </c>
      <c r="H988" s="6" t="str">
        <f aca="false">IFERROR(INDEX('Semrush Data'!$A$1:$Z$20000,MATCH(A988,'Semrush Data'!$A$1:$A$20000,0),MATCH("Keyword Difficulty*",'Semrush Data'!$A$1:$Z$1,0)),"")</f>
        <v/>
      </c>
      <c r="I988" s="29" t="str">
        <f aca="false">IFERROR(INDEX('Semrush Data'!$A$1:$Z$20000,MATCH(A988,'Semrush Data'!$A$1:$A$20000,0),MATCH("CPC*",'Semrush Data'!$A$1:$Z$1,0)),"")</f>
        <v/>
      </c>
      <c r="J988" s="6" t="str">
        <f aca="false">IFERROR(INDEX('Semrush Data'!$A$1:$Z$20000,MATCH(A988,'Semrush Data'!$A$1:$A$20000,0),MATCH("Intent",'Semrush Data'!$A$1:$Z$1,0)),"")</f>
        <v/>
      </c>
    </row>
    <row r="989" customFormat="false" ht="15" hidden="false" customHeight="true" outlineLevel="0" collapsed="false">
      <c r="A989" s="6" t="s">
        <v>3633</v>
      </c>
      <c r="B989" s="6" t="s">
        <v>6866</v>
      </c>
      <c r="C989" s="6" t="n">
        <v>2</v>
      </c>
      <c r="D989" s="6" t="n">
        <v>10</v>
      </c>
      <c r="E989" s="6" t="n">
        <v>1</v>
      </c>
      <c r="F989" s="6" t="s">
        <v>3630</v>
      </c>
      <c r="G989" s="28" t="str">
        <f aca="false">IFERROR(INDEX('Semrush Data'!$A$1:$Z$20000,MATCH(A989,'Semrush Data'!$A$1:$A$20000,0),MATCH("Volume",'Semrush Data'!$A$1:$Z$1,0)),"")</f>
        <v/>
      </c>
      <c r="H989" s="6" t="str">
        <f aca="false">IFERROR(INDEX('Semrush Data'!$A$1:$Z$20000,MATCH(A989,'Semrush Data'!$A$1:$A$20000,0),MATCH("Keyword Difficulty*",'Semrush Data'!$A$1:$Z$1,0)),"")</f>
        <v/>
      </c>
      <c r="I989" s="29" t="str">
        <f aca="false">IFERROR(INDEX('Semrush Data'!$A$1:$Z$20000,MATCH(A989,'Semrush Data'!$A$1:$A$20000,0),MATCH("CPC*",'Semrush Data'!$A$1:$Z$1,0)),"")</f>
        <v/>
      </c>
      <c r="J989" s="6" t="str">
        <f aca="false">IFERROR(INDEX('Semrush Data'!$A$1:$Z$20000,MATCH(A989,'Semrush Data'!$A$1:$A$20000,0),MATCH("Intent",'Semrush Data'!$A$1:$Z$1,0)),"")</f>
        <v/>
      </c>
    </row>
    <row r="990" customFormat="false" ht="15" hidden="false" customHeight="true" outlineLevel="0" collapsed="false">
      <c r="A990" s="6" t="s">
        <v>3723</v>
      </c>
      <c r="B990" s="6" t="s">
        <v>6866</v>
      </c>
      <c r="C990" s="6" t="n">
        <v>2</v>
      </c>
      <c r="D990" s="6" t="s">
        <v>6868</v>
      </c>
      <c r="E990" s="6" t="n">
        <v>1</v>
      </c>
      <c r="F990" s="6" t="s">
        <v>3720</v>
      </c>
      <c r="G990" s="28" t="n">
        <f aca="false">IFERROR(INDEX('Semrush Data'!$A$1:$Z$20000,MATCH(A990,'Semrush Data'!$A$1:$A$20000,0),MATCH("Volume",'Semrush Data'!$A$1:$Z$1,0)),"")</f>
        <v>0</v>
      </c>
      <c r="H990" s="6" t="n">
        <f aca="false">IFERROR(INDEX('Semrush Data'!$A$1:$Z$20000,MATCH(A990,'Semrush Data'!$A$1:$A$20000,0),MATCH("Keyword Difficulty*",'Semrush Data'!$A$1:$Z$1,0)),"")</f>
        <v>16</v>
      </c>
      <c r="I990" s="29" t="n">
        <f aca="false">IFERROR(INDEX('Semrush Data'!$A$1:$Z$20000,MATCH(A990,'Semrush Data'!$A$1:$A$20000,0),MATCH("CPC*",'Semrush Data'!$A$1:$Z$1,0)),"")</f>
        <v>0</v>
      </c>
      <c r="J990" s="6" t="str">
        <f aca="false">IFERROR(INDEX('Semrush Data'!$A$1:$Z$20000,MATCH(A990,'Semrush Data'!$A$1:$A$20000,0),MATCH("Intent",'Semrush Data'!$A$1:$Z$1,0)),"")</f>
        <v>Informational</v>
      </c>
    </row>
    <row r="991" customFormat="false" ht="15" hidden="false" customHeight="true" outlineLevel="0" collapsed="false">
      <c r="A991" s="6" t="s">
        <v>3669</v>
      </c>
      <c r="B991" s="6" t="s">
        <v>6866</v>
      </c>
      <c r="C991" s="6" t="n">
        <v>2</v>
      </c>
      <c r="D991" s="6" t="n">
        <v>10</v>
      </c>
      <c r="E991" s="6" t="n">
        <v>1</v>
      </c>
      <c r="F991" s="6" t="s">
        <v>3666</v>
      </c>
      <c r="G991" s="28" t="str">
        <f aca="false">IFERROR(INDEX('Semrush Data'!$A$1:$Z$20000,MATCH(A991,'Semrush Data'!$A$1:$A$20000,0),MATCH("Volume",'Semrush Data'!$A$1:$Z$1,0)),"")</f>
        <v/>
      </c>
      <c r="H991" s="6" t="str">
        <f aca="false">IFERROR(INDEX('Semrush Data'!$A$1:$Z$20000,MATCH(A991,'Semrush Data'!$A$1:$A$20000,0),MATCH("Keyword Difficulty*",'Semrush Data'!$A$1:$Z$1,0)),"")</f>
        <v/>
      </c>
      <c r="I991" s="29" t="str">
        <f aca="false">IFERROR(INDEX('Semrush Data'!$A$1:$Z$20000,MATCH(A991,'Semrush Data'!$A$1:$A$20000,0),MATCH("CPC*",'Semrush Data'!$A$1:$Z$1,0)),"")</f>
        <v/>
      </c>
      <c r="J991" s="6" t="str">
        <f aca="false">IFERROR(INDEX('Semrush Data'!$A$1:$Z$20000,MATCH(A991,'Semrush Data'!$A$1:$A$20000,0),MATCH("Intent",'Semrush Data'!$A$1:$Z$1,0)),"")</f>
        <v/>
      </c>
    </row>
    <row r="992" customFormat="false" ht="15" hidden="false" customHeight="true" outlineLevel="0" collapsed="false">
      <c r="A992" s="6" t="s">
        <v>3658</v>
      </c>
      <c r="B992" s="6" t="s">
        <v>6866</v>
      </c>
      <c r="C992" s="6" t="n">
        <v>2</v>
      </c>
      <c r="D992" s="6" t="s">
        <v>6868</v>
      </c>
      <c r="E992" s="6" t="n">
        <v>1</v>
      </c>
      <c r="F992" s="6" t="s">
        <v>3655</v>
      </c>
      <c r="G992" s="28" t="n">
        <f aca="false">IFERROR(INDEX('Semrush Data'!$A$1:$Z$20000,MATCH(A992,'Semrush Data'!$A$1:$A$20000,0),MATCH("Volume",'Semrush Data'!$A$1:$Z$1,0)),"")</f>
        <v>0</v>
      </c>
      <c r="H992" s="6" t="n">
        <f aca="false">IFERROR(INDEX('Semrush Data'!$A$1:$Z$20000,MATCH(A992,'Semrush Data'!$A$1:$A$20000,0),MATCH("Keyword Difficulty*",'Semrush Data'!$A$1:$Z$1,0)),"")</f>
        <v>18</v>
      </c>
      <c r="I992" s="29" t="n">
        <f aca="false">IFERROR(INDEX('Semrush Data'!$A$1:$Z$20000,MATCH(A992,'Semrush Data'!$A$1:$A$20000,0),MATCH("CPC*",'Semrush Data'!$A$1:$Z$1,0)),"")</f>
        <v>0</v>
      </c>
      <c r="J992" s="6" t="str">
        <f aca="false">IFERROR(INDEX('Semrush Data'!$A$1:$Z$20000,MATCH(A992,'Semrush Data'!$A$1:$A$20000,0),MATCH("Intent",'Semrush Data'!$A$1:$Z$1,0)),"")</f>
        <v>Informational</v>
      </c>
    </row>
    <row r="993" customFormat="false" ht="15" hidden="false" customHeight="true" outlineLevel="0" collapsed="false">
      <c r="A993" s="6" t="s">
        <v>3643</v>
      </c>
      <c r="B993" s="6" t="s">
        <v>6866</v>
      </c>
      <c r="C993" s="6" t="n">
        <v>2</v>
      </c>
      <c r="D993" s="6" t="s">
        <v>6867</v>
      </c>
      <c r="E993" s="6" t="n">
        <v>2</v>
      </c>
      <c r="F993" s="6" t="s">
        <v>6851</v>
      </c>
      <c r="G993" s="28" t="n">
        <f aca="false">IFERROR(INDEX('Semrush Data'!$A$1:$Z$20000,MATCH(A993,'Semrush Data'!$A$1:$A$20000,0),MATCH("Volume",'Semrush Data'!$A$1:$Z$1,0)),"")</f>
        <v>20</v>
      </c>
      <c r="H993" s="6" t="n">
        <f aca="false">IFERROR(INDEX('Semrush Data'!$A$1:$Z$20000,MATCH(A993,'Semrush Data'!$A$1:$A$20000,0),MATCH("Keyword Difficulty*",'Semrush Data'!$A$1:$Z$1,0)),"")</f>
        <v>14</v>
      </c>
      <c r="I993" s="29" t="n">
        <f aca="false">IFERROR(INDEX('Semrush Data'!$A$1:$Z$20000,MATCH(A993,'Semrush Data'!$A$1:$A$20000,0),MATCH("CPC*",'Semrush Data'!$A$1:$Z$1,0)),"")</f>
        <v>0</v>
      </c>
      <c r="J993" s="6" t="str">
        <f aca="false">IFERROR(INDEX('Semrush Data'!$A$1:$Z$20000,MATCH(A993,'Semrush Data'!$A$1:$A$20000,0),MATCH("Intent",'Semrush Data'!$A$1:$Z$1,0)),"")</f>
        <v>Informational</v>
      </c>
    </row>
    <row r="994" customFormat="false" ht="15" hidden="false" customHeight="true" outlineLevel="0" collapsed="false">
      <c r="A994" s="6" t="s">
        <v>3854</v>
      </c>
      <c r="B994" s="6" t="s">
        <v>6866</v>
      </c>
      <c r="C994" s="6" t="n">
        <v>2</v>
      </c>
      <c r="D994" s="6" t="n">
        <v>10</v>
      </c>
      <c r="E994" s="6" t="n">
        <v>1</v>
      </c>
      <c r="F994" s="6" t="s">
        <v>3851</v>
      </c>
      <c r="G994" s="28" t="str">
        <f aca="false">IFERROR(INDEX('Semrush Data'!$A$1:$Z$20000,MATCH(A994,'Semrush Data'!$A$1:$A$20000,0),MATCH("Volume",'Semrush Data'!$A$1:$Z$1,0)),"")</f>
        <v/>
      </c>
      <c r="H994" s="6" t="str">
        <f aca="false">IFERROR(INDEX('Semrush Data'!$A$1:$Z$20000,MATCH(A994,'Semrush Data'!$A$1:$A$20000,0),MATCH("Keyword Difficulty*",'Semrush Data'!$A$1:$Z$1,0)),"")</f>
        <v/>
      </c>
      <c r="I994" s="29" t="str">
        <f aca="false">IFERROR(INDEX('Semrush Data'!$A$1:$Z$20000,MATCH(A994,'Semrush Data'!$A$1:$A$20000,0),MATCH("CPC*",'Semrush Data'!$A$1:$Z$1,0)),"")</f>
        <v/>
      </c>
      <c r="J994" s="6" t="str">
        <f aca="false">IFERROR(INDEX('Semrush Data'!$A$1:$Z$20000,MATCH(A994,'Semrush Data'!$A$1:$A$20000,0),MATCH("Intent",'Semrush Data'!$A$1:$Z$1,0)),"")</f>
        <v/>
      </c>
    </row>
    <row r="995" customFormat="false" ht="15" hidden="false" customHeight="true" outlineLevel="0" collapsed="false">
      <c r="A995" s="6" t="s">
        <v>3865</v>
      </c>
      <c r="B995" s="6" t="s">
        <v>6866</v>
      </c>
      <c r="C995" s="6" t="n">
        <v>2</v>
      </c>
      <c r="D995" s="6" t="s">
        <v>6868</v>
      </c>
      <c r="E995" s="6" t="n">
        <v>1</v>
      </c>
      <c r="F995" s="6" t="s">
        <v>3862</v>
      </c>
      <c r="G995" s="28" t="n">
        <f aca="false">IFERROR(INDEX('Semrush Data'!$A$1:$Z$20000,MATCH(A995,'Semrush Data'!$A$1:$A$20000,0),MATCH("Volume",'Semrush Data'!$A$1:$Z$1,0)),"")</f>
        <v>20</v>
      </c>
      <c r="H995" s="6" t="n">
        <f aca="false">IFERROR(INDEX('Semrush Data'!$A$1:$Z$20000,MATCH(A995,'Semrush Data'!$A$1:$A$20000,0),MATCH("Keyword Difficulty*",'Semrush Data'!$A$1:$Z$1,0)),"")</f>
        <v>16</v>
      </c>
      <c r="I995" s="29" t="n">
        <f aca="false">IFERROR(INDEX('Semrush Data'!$A$1:$Z$20000,MATCH(A995,'Semrush Data'!$A$1:$A$20000,0),MATCH("CPC*",'Semrush Data'!$A$1:$Z$1,0)),"")</f>
        <v>0</v>
      </c>
      <c r="J995" s="6" t="str">
        <f aca="false">IFERROR(INDEX('Semrush Data'!$A$1:$Z$20000,MATCH(A995,'Semrush Data'!$A$1:$A$20000,0),MATCH("Intent",'Semrush Data'!$A$1:$Z$1,0)),"")</f>
        <v>Informational</v>
      </c>
    </row>
    <row r="996" customFormat="false" ht="15" hidden="false" customHeight="true" outlineLevel="0" collapsed="false">
      <c r="A996" s="6" t="s">
        <v>3877</v>
      </c>
      <c r="B996" s="6" t="s">
        <v>6866</v>
      </c>
      <c r="C996" s="6" t="n">
        <v>2</v>
      </c>
      <c r="D996" s="6" t="n">
        <v>10</v>
      </c>
      <c r="E996" s="6" t="n">
        <v>1</v>
      </c>
      <c r="F996" s="6" t="s">
        <v>3874</v>
      </c>
      <c r="G996" s="28" t="str">
        <f aca="false">IFERROR(INDEX('Semrush Data'!$A$1:$Z$20000,MATCH(A996,'Semrush Data'!$A$1:$A$20000,0),MATCH("Volume",'Semrush Data'!$A$1:$Z$1,0)),"")</f>
        <v/>
      </c>
      <c r="H996" s="6" t="str">
        <f aca="false">IFERROR(INDEX('Semrush Data'!$A$1:$Z$20000,MATCH(A996,'Semrush Data'!$A$1:$A$20000,0),MATCH("Keyword Difficulty*",'Semrush Data'!$A$1:$Z$1,0)),"")</f>
        <v/>
      </c>
      <c r="I996" s="29" t="str">
        <f aca="false">IFERROR(INDEX('Semrush Data'!$A$1:$Z$20000,MATCH(A996,'Semrush Data'!$A$1:$A$20000,0),MATCH("CPC*",'Semrush Data'!$A$1:$Z$1,0)),"")</f>
        <v/>
      </c>
      <c r="J996" s="6" t="str">
        <f aca="false">IFERROR(INDEX('Semrush Data'!$A$1:$Z$20000,MATCH(A996,'Semrush Data'!$A$1:$A$20000,0),MATCH("Intent",'Semrush Data'!$A$1:$Z$1,0)),"")</f>
        <v/>
      </c>
    </row>
    <row r="997" customFormat="false" ht="15" hidden="false" customHeight="true" outlineLevel="0" collapsed="false">
      <c r="A997" s="6" t="s">
        <v>3888</v>
      </c>
      <c r="B997" s="6" t="s">
        <v>6866</v>
      </c>
      <c r="C997" s="6" t="n">
        <v>2</v>
      </c>
      <c r="D997" s="6" t="n">
        <v>10</v>
      </c>
      <c r="E997" s="6" t="n">
        <v>1</v>
      </c>
      <c r="F997" s="6" t="s">
        <v>3885</v>
      </c>
      <c r="G997" s="28" t="str">
        <f aca="false">IFERROR(INDEX('Semrush Data'!$A$1:$Z$20000,MATCH(A997,'Semrush Data'!$A$1:$A$20000,0),MATCH("Volume",'Semrush Data'!$A$1:$Z$1,0)),"")</f>
        <v/>
      </c>
      <c r="H997" s="6" t="str">
        <f aca="false">IFERROR(INDEX('Semrush Data'!$A$1:$Z$20000,MATCH(A997,'Semrush Data'!$A$1:$A$20000,0),MATCH("Keyword Difficulty*",'Semrush Data'!$A$1:$Z$1,0)),"")</f>
        <v/>
      </c>
      <c r="I997" s="29" t="str">
        <f aca="false">IFERROR(INDEX('Semrush Data'!$A$1:$Z$20000,MATCH(A997,'Semrush Data'!$A$1:$A$20000,0),MATCH("CPC*",'Semrush Data'!$A$1:$Z$1,0)),"")</f>
        <v/>
      </c>
      <c r="J997" s="6" t="str">
        <f aca="false">IFERROR(INDEX('Semrush Data'!$A$1:$Z$20000,MATCH(A997,'Semrush Data'!$A$1:$A$20000,0),MATCH("Intent",'Semrush Data'!$A$1:$Z$1,0)),"")</f>
        <v/>
      </c>
    </row>
    <row r="998" customFormat="false" ht="15" hidden="false" customHeight="true" outlineLevel="0" collapsed="false">
      <c r="A998" s="6" t="s">
        <v>3739</v>
      </c>
      <c r="B998" s="6" t="s">
        <v>6866</v>
      </c>
      <c r="C998" s="6" t="n">
        <v>2</v>
      </c>
      <c r="D998" s="6" t="n">
        <v>10</v>
      </c>
      <c r="E998" s="6" t="n">
        <v>1</v>
      </c>
      <c r="F998" s="6" t="s">
        <v>3735</v>
      </c>
      <c r="G998" s="28" t="str">
        <f aca="false">IFERROR(INDEX('Semrush Data'!$A$1:$Z$20000,MATCH(A998,'Semrush Data'!$A$1:$A$20000,0),MATCH("Volume",'Semrush Data'!$A$1:$Z$1,0)),"")</f>
        <v/>
      </c>
      <c r="H998" s="6" t="str">
        <f aca="false">IFERROR(INDEX('Semrush Data'!$A$1:$Z$20000,MATCH(A998,'Semrush Data'!$A$1:$A$20000,0),MATCH("Keyword Difficulty*",'Semrush Data'!$A$1:$Z$1,0)),"")</f>
        <v/>
      </c>
      <c r="I998" s="29" t="str">
        <f aca="false">IFERROR(INDEX('Semrush Data'!$A$1:$Z$20000,MATCH(A998,'Semrush Data'!$A$1:$A$20000,0),MATCH("CPC*",'Semrush Data'!$A$1:$Z$1,0)),"")</f>
        <v/>
      </c>
      <c r="J998" s="6" t="str">
        <f aca="false">IFERROR(INDEX('Semrush Data'!$A$1:$Z$20000,MATCH(A998,'Semrush Data'!$A$1:$A$20000,0),MATCH("Intent",'Semrush Data'!$A$1:$Z$1,0)),"")</f>
        <v/>
      </c>
    </row>
    <row r="999" customFormat="false" ht="15" hidden="false" customHeight="true" outlineLevel="0" collapsed="false">
      <c r="A999" s="6" t="s">
        <v>3752</v>
      </c>
      <c r="B999" s="6" t="s">
        <v>6866</v>
      </c>
      <c r="C999" s="6" t="n">
        <v>2</v>
      </c>
      <c r="D999" s="6" t="n">
        <v>10</v>
      </c>
      <c r="E999" s="6" t="n">
        <v>1</v>
      </c>
      <c r="F999" s="6" t="s">
        <v>3748</v>
      </c>
      <c r="G999" s="28" t="str">
        <f aca="false">IFERROR(INDEX('Semrush Data'!$A$1:$Z$20000,MATCH(A999,'Semrush Data'!$A$1:$A$20000,0),MATCH("Volume",'Semrush Data'!$A$1:$Z$1,0)),"")</f>
        <v/>
      </c>
      <c r="H999" s="6" t="str">
        <f aca="false">IFERROR(INDEX('Semrush Data'!$A$1:$Z$20000,MATCH(A999,'Semrush Data'!$A$1:$A$20000,0),MATCH("Keyword Difficulty*",'Semrush Data'!$A$1:$Z$1,0)),"")</f>
        <v/>
      </c>
      <c r="I999" s="29" t="str">
        <f aca="false">IFERROR(INDEX('Semrush Data'!$A$1:$Z$20000,MATCH(A999,'Semrush Data'!$A$1:$A$20000,0),MATCH("CPC*",'Semrush Data'!$A$1:$Z$1,0)),"")</f>
        <v/>
      </c>
      <c r="J999" s="6" t="str">
        <f aca="false">IFERROR(INDEX('Semrush Data'!$A$1:$Z$20000,MATCH(A999,'Semrush Data'!$A$1:$A$20000,0),MATCH("Intent",'Semrush Data'!$A$1:$Z$1,0)),"")</f>
        <v/>
      </c>
    </row>
    <row r="1000" customFormat="false" ht="15" hidden="false" customHeight="true" outlineLevel="0" collapsed="false">
      <c r="A1000" s="6" t="s">
        <v>3764</v>
      </c>
      <c r="B1000" s="6" t="s">
        <v>6866</v>
      </c>
      <c r="C1000" s="6" t="n">
        <v>2</v>
      </c>
      <c r="D1000" s="6" t="n">
        <v>10</v>
      </c>
      <c r="E1000" s="6" t="n">
        <v>1</v>
      </c>
      <c r="F1000" s="6" t="s">
        <v>3761</v>
      </c>
      <c r="G1000" s="28" t="str">
        <f aca="false">IFERROR(INDEX('Semrush Data'!$A$1:$Z$20000,MATCH(A1000,'Semrush Data'!$A$1:$A$20000,0),MATCH("Volume",'Semrush Data'!$A$1:$Z$1,0)),"")</f>
        <v/>
      </c>
      <c r="H1000" s="6" t="str">
        <f aca="false">IFERROR(INDEX('Semrush Data'!$A$1:$Z$20000,MATCH(A1000,'Semrush Data'!$A$1:$A$20000,0),MATCH("Keyword Difficulty*",'Semrush Data'!$A$1:$Z$1,0)),"")</f>
        <v/>
      </c>
      <c r="I1000" s="29" t="str">
        <f aca="false">IFERROR(INDEX('Semrush Data'!$A$1:$Z$20000,MATCH(A1000,'Semrush Data'!$A$1:$A$20000,0),MATCH("CPC*",'Semrush Data'!$A$1:$Z$1,0)),"")</f>
        <v/>
      </c>
      <c r="J1000" s="6" t="str">
        <f aca="false">IFERROR(INDEX('Semrush Data'!$A$1:$Z$20000,MATCH(A1000,'Semrush Data'!$A$1:$A$20000,0),MATCH("Intent",'Semrush Data'!$A$1:$Z$1,0)),"")</f>
        <v/>
      </c>
    </row>
    <row r="1001" customFormat="false" ht="15" hidden="false" customHeight="true" outlineLevel="0" collapsed="false">
      <c r="A1001" s="6" t="s">
        <v>3775</v>
      </c>
      <c r="B1001" s="6" t="s">
        <v>6866</v>
      </c>
      <c r="C1001" s="6" t="n">
        <v>2</v>
      </c>
      <c r="D1001" s="6" t="n">
        <v>10</v>
      </c>
      <c r="E1001" s="6" t="n">
        <v>1</v>
      </c>
      <c r="F1001" s="6" t="s">
        <v>3772</v>
      </c>
      <c r="G1001" s="28" t="str">
        <f aca="false">IFERROR(INDEX('Semrush Data'!$A$1:$Z$20000,MATCH(A1001,'Semrush Data'!$A$1:$A$20000,0),MATCH("Volume",'Semrush Data'!$A$1:$Z$1,0)),"")</f>
        <v/>
      </c>
      <c r="H1001" s="6" t="str">
        <f aca="false">IFERROR(INDEX('Semrush Data'!$A$1:$Z$20000,MATCH(A1001,'Semrush Data'!$A$1:$A$20000,0),MATCH("Keyword Difficulty*",'Semrush Data'!$A$1:$Z$1,0)),"")</f>
        <v/>
      </c>
      <c r="I1001" s="29" t="str">
        <f aca="false">IFERROR(INDEX('Semrush Data'!$A$1:$Z$20000,MATCH(A1001,'Semrush Data'!$A$1:$A$20000,0),MATCH("CPC*",'Semrush Data'!$A$1:$Z$1,0)),"")</f>
        <v/>
      </c>
      <c r="J1001" s="6" t="str">
        <f aca="false">IFERROR(INDEX('Semrush Data'!$A$1:$Z$20000,MATCH(A1001,'Semrush Data'!$A$1:$A$20000,0),MATCH("Intent",'Semrush Data'!$A$1:$Z$1,0)),"")</f>
        <v/>
      </c>
    </row>
    <row r="1002" customFormat="false" ht="15" hidden="false" customHeight="true" outlineLevel="0" collapsed="false">
      <c r="A1002" s="6" t="s">
        <v>3786</v>
      </c>
      <c r="B1002" s="6" t="s">
        <v>6866</v>
      </c>
      <c r="C1002" s="6" t="n">
        <v>2</v>
      </c>
      <c r="D1002" s="6" t="n">
        <v>11</v>
      </c>
      <c r="E1002" s="6" t="n">
        <v>1</v>
      </c>
      <c r="F1002" s="6" t="s">
        <v>3783</v>
      </c>
      <c r="G1002" s="28" t="str">
        <f aca="false">IFERROR(INDEX('Semrush Data'!$A$1:$Z$20000,MATCH(A1002,'Semrush Data'!$A$1:$A$20000,0),MATCH("Volume",'Semrush Data'!$A$1:$Z$1,0)),"")</f>
        <v/>
      </c>
      <c r="H1002" s="6" t="str">
        <f aca="false">IFERROR(INDEX('Semrush Data'!$A$1:$Z$20000,MATCH(A1002,'Semrush Data'!$A$1:$A$20000,0),MATCH("Keyword Difficulty*",'Semrush Data'!$A$1:$Z$1,0)),"")</f>
        <v/>
      </c>
      <c r="I1002" s="29" t="str">
        <f aca="false">IFERROR(INDEX('Semrush Data'!$A$1:$Z$20000,MATCH(A1002,'Semrush Data'!$A$1:$A$20000,0),MATCH("CPC*",'Semrush Data'!$A$1:$Z$1,0)),"")</f>
        <v/>
      </c>
      <c r="J1002" s="6" t="str">
        <f aca="false">IFERROR(INDEX('Semrush Data'!$A$1:$Z$20000,MATCH(A1002,'Semrush Data'!$A$1:$A$20000,0),MATCH("Intent",'Semrush Data'!$A$1:$Z$1,0)),"")</f>
        <v/>
      </c>
    </row>
    <row r="1003" customFormat="false" ht="15" hidden="false" customHeight="true" outlineLevel="0" collapsed="false">
      <c r="A1003" s="6" t="s">
        <v>3798</v>
      </c>
      <c r="B1003" s="6" t="s">
        <v>6866</v>
      </c>
      <c r="C1003" s="6" t="n">
        <v>2</v>
      </c>
      <c r="D1003" s="6" t="n">
        <v>11</v>
      </c>
      <c r="E1003" s="6" t="n">
        <v>1</v>
      </c>
      <c r="F1003" s="6" t="s">
        <v>3795</v>
      </c>
      <c r="G1003" s="28" t="str">
        <f aca="false">IFERROR(INDEX('Semrush Data'!$A$1:$Z$20000,MATCH(A1003,'Semrush Data'!$A$1:$A$20000,0),MATCH("Volume",'Semrush Data'!$A$1:$Z$1,0)),"")</f>
        <v/>
      </c>
      <c r="H1003" s="6" t="str">
        <f aca="false">IFERROR(INDEX('Semrush Data'!$A$1:$Z$20000,MATCH(A1003,'Semrush Data'!$A$1:$A$20000,0),MATCH("Keyword Difficulty*",'Semrush Data'!$A$1:$Z$1,0)),"")</f>
        <v/>
      </c>
      <c r="I1003" s="29" t="str">
        <f aca="false">IFERROR(INDEX('Semrush Data'!$A$1:$Z$20000,MATCH(A1003,'Semrush Data'!$A$1:$A$20000,0),MATCH("CPC*",'Semrush Data'!$A$1:$Z$1,0)),"")</f>
        <v/>
      </c>
      <c r="J1003" s="6" t="str">
        <f aca="false">IFERROR(INDEX('Semrush Data'!$A$1:$Z$20000,MATCH(A1003,'Semrush Data'!$A$1:$A$20000,0),MATCH("Intent",'Semrush Data'!$A$1:$Z$1,0)),"")</f>
        <v/>
      </c>
    </row>
    <row r="1004" customFormat="false" ht="15" hidden="false" customHeight="true" outlineLevel="0" collapsed="false">
      <c r="A1004" s="6" t="s">
        <v>3809</v>
      </c>
      <c r="B1004" s="6" t="s">
        <v>6866</v>
      </c>
      <c r="C1004" s="6" t="n">
        <v>2</v>
      </c>
      <c r="D1004" s="6" t="n">
        <v>11</v>
      </c>
      <c r="E1004" s="6" t="n">
        <v>1</v>
      </c>
      <c r="F1004" s="6" t="s">
        <v>3806</v>
      </c>
      <c r="G1004" s="28" t="str">
        <f aca="false">IFERROR(INDEX('Semrush Data'!$A$1:$Z$20000,MATCH(A1004,'Semrush Data'!$A$1:$A$20000,0),MATCH("Volume",'Semrush Data'!$A$1:$Z$1,0)),"")</f>
        <v/>
      </c>
      <c r="H1004" s="6" t="str">
        <f aca="false">IFERROR(INDEX('Semrush Data'!$A$1:$Z$20000,MATCH(A1004,'Semrush Data'!$A$1:$A$20000,0),MATCH("Keyword Difficulty*",'Semrush Data'!$A$1:$Z$1,0)),"")</f>
        <v/>
      </c>
      <c r="I1004" s="29" t="str">
        <f aca="false">IFERROR(INDEX('Semrush Data'!$A$1:$Z$20000,MATCH(A1004,'Semrush Data'!$A$1:$A$20000,0),MATCH("CPC*",'Semrush Data'!$A$1:$Z$1,0)),"")</f>
        <v/>
      </c>
      <c r="J1004" s="6" t="str">
        <f aca="false">IFERROR(INDEX('Semrush Data'!$A$1:$Z$20000,MATCH(A1004,'Semrush Data'!$A$1:$A$20000,0),MATCH("Intent",'Semrush Data'!$A$1:$Z$1,0)),"")</f>
        <v/>
      </c>
    </row>
    <row r="1005" customFormat="false" ht="15" hidden="false" customHeight="true" outlineLevel="0" collapsed="false">
      <c r="A1005" s="6" t="s">
        <v>3820</v>
      </c>
      <c r="B1005" s="6" t="s">
        <v>6866</v>
      </c>
      <c r="C1005" s="6" t="n">
        <v>2</v>
      </c>
      <c r="D1005" s="6" t="n">
        <v>11</v>
      </c>
      <c r="E1005" s="6" t="n">
        <v>1</v>
      </c>
      <c r="F1005" s="6" t="s">
        <v>3817</v>
      </c>
      <c r="G1005" s="28" t="str">
        <f aca="false">IFERROR(INDEX('Semrush Data'!$A$1:$Z$20000,MATCH(A1005,'Semrush Data'!$A$1:$A$20000,0),MATCH("Volume",'Semrush Data'!$A$1:$Z$1,0)),"")</f>
        <v/>
      </c>
      <c r="H1005" s="6" t="str">
        <f aca="false">IFERROR(INDEX('Semrush Data'!$A$1:$Z$20000,MATCH(A1005,'Semrush Data'!$A$1:$A$20000,0),MATCH("Keyword Difficulty*",'Semrush Data'!$A$1:$Z$1,0)),"")</f>
        <v/>
      </c>
      <c r="I1005" s="29" t="str">
        <f aca="false">IFERROR(INDEX('Semrush Data'!$A$1:$Z$20000,MATCH(A1005,'Semrush Data'!$A$1:$A$20000,0),MATCH("CPC*",'Semrush Data'!$A$1:$Z$1,0)),"")</f>
        <v/>
      </c>
      <c r="J1005" s="6" t="str">
        <f aca="false">IFERROR(INDEX('Semrush Data'!$A$1:$Z$20000,MATCH(A1005,'Semrush Data'!$A$1:$A$20000,0),MATCH("Intent",'Semrush Data'!$A$1:$Z$1,0)),"")</f>
        <v/>
      </c>
    </row>
    <row r="1006" customFormat="false" ht="15" hidden="false" customHeight="true" outlineLevel="0" collapsed="false">
      <c r="A1006" s="6" t="s">
        <v>3831</v>
      </c>
      <c r="B1006" s="6" t="s">
        <v>6866</v>
      </c>
      <c r="C1006" s="6" t="n">
        <v>2</v>
      </c>
      <c r="D1006" s="6" t="n">
        <v>11</v>
      </c>
      <c r="E1006" s="6" t="n">
        <v>1</v>
      </c>
      <c r="F1006" s="6" t="s">
        <v>3828</v>
      </c>
      <c r="G1006" s="28" t="str">
        <f aca="false">IFERROR(INDEX('Semrush Data'!$A$1:$Z$20000,MATCH(A1006,'Semrush Data'!$A$1:$A$20000,0),MATCH("Volume",'Semrush Data'!$A$1:$Z$1,0)),"")</f>
        <v/>
      </c>
      <c r="H1006" s="6" t="str">
        <f aca="false">IFERROR(INDEX('Semrush Data'!$A$1:$Z$20000,MATCH(A1006,'Semrush Data'!$A$1:$A$20000,0),MATCH("Keyword Difficulty*",'Semrush Data'!$A$1:$Z$1,0)),"")</f>
        <v/>
      </c>
      <c r="I1006" s="29" t="str">
        <f aca="false">IFERROR(INDEX('Semrush Data'!$A$1:$Z$20000,MATCH(A1006,'Semrush Data'!$A$1:$A$20000,0),MATCH("CPC*",'Semrush Data'!$A$1:$Z$1,0)),"")</f>
        <v/>
      </c>
      <c r="J1006" s="6" t="str">
        <f aca="false">IFERROR(INDEX('Semrush Data'!$A$1:$Z$20000,MATCH(A1006,'Semrush Data'!$A$1:$A$20000,0),MATCH("Intent",'Semrush Data'!$A$1:$Z$1,0)),"")</f>
        <v/>
      </c>
    </row>
    <row r="1007" customFormat="false" ht="15" hidden="false" customHeight="true" outlineLevel="0" collapsed="false">
      <c r="A1007" s="6" t="s">
        <v>3842</v>
      </c>
      <c r="B1007" s="6" t="s">
        <v>6866</v>
      </c>
      <c r="C1007" s="6" t="n">
        <v>2</v>
      </c>
      <c r="D1007" s="6" t="n">
        <v>11</v>
      </c>
      <c r="E1007" s="6" t="n">
        <v>1</v>
      </c>
      <c r="F1007" s="6" t="s">
        <v>3839</v>
      </c>
      <c r="G1007" s="28" t="str">
        <f aca="false">IFERROR(INDEX('Semrush Data'!$A$1:$Z$20000,MATCH(A1007,'Semrush Data'!$A$1:$A$20000,0),MATCH("Volume",'Semrush Data'!$A$1:$Z$1,0)),"")</f>
        <v/>
      </c>
      <c r="H1007" s="6" t="str">
        <f aca="false">IFERROR(INDEX('Semrush Data'!$A$1:$Z$20000,MATCH(A1007,'Semrush Data'!$A$1:$A$20000,0),MATCH("Keyword Difficulty*",'Semrush Data'!$A$1:$Z$1,0)),"")</f>
        <v/>
      </c>
      <c r="I1007" s="29" t="str">
        <f aca="false">IFERROR(INDEX('Semrush Data'!$A$1:$Z$20000,MATCH(A1007,'Semrush Data'!$A$1:$A$20000,0),MATCH("CPC*",'Semrush Data'!$A$1:$Z$1,0)),"")</f>
        <v/>
      </c>
      <c r="J1007" s="6" t="str">
        <f aca="false">IFERROR(INDEX('Semrush Data'!$A$1:$Z$20000,MATCH(A1007,'Semrush Data'!$A$1:$A$20000,0),MATCH("Intent",'Semrush Data'!$A$1:$Z$1,0)),"")</f>
        <v/>
      </c>
    </row>
    <row r="1008" customFormat="false" ht="15" hidden="false" customHeight="true" outlineLevel="0" collapsed="false">
      <c r="A1008" s="6" t="s">
        <v>3898</v>
      </c>
      <c r="B1008" s="6" t="s">
        <v>6866</v>
      </c>
      <c r="C1008" s="6" t="n">
        <v>2</v>
      </c>
      <c r="D1008" s="6" t="s">
        <v>6867</v>
      </c>
      <c r="E1008" s="6" t="n">
        <v>1</v>
      </c>
      <c r="F1008" s="6" t="s">
        <v>123</v>
      </c>
      <c r="G1008" s="28" t="n">
        <f aca="false">IFERROR(INDEX('Semrush Data'!$A$1:$Z$20000,MATCH(A1008,'Semrush Data'!$A$1:$A$20000,0),MATCH("Volume",'Semrush Data'!$A$1:$Z$1,0)),"")</f>
        <v>0</v>
      </c>
      <c r="H1008" s="6" t="n">
        <f aca="false">IFERROR(INDEX('Semrush Data'!$A$1:$Z$20000,MATCH(A1008,'Semrush Data'!$A$1:$A$20000,0),MATCH("Keyword Difficulty*",'Semrush Data'!$A$1:$Z$1,0)),"")</f>
        <v>23</v>
      </c>
      <c r="I1008" s="29" t="n">
        <f aca="false">IFERROR(INDEX('Semrush Data'!$A$1:$Z$20000,MATCH(A1008,'Semrush Data'!$A$1:$A$20000,0),MATCH("CPC*",'Semrush Data'!$A$1:$Z$1,0)),"")</f>
        <v>0</v>
      </c>
      <c r="J1008" s="6" t="str">
        <f aca="false">IFERROR(INDEX('Semrush Data'!$A$1:$Z$20000,MATCH(A1008,'Semrush Data'!$A$1:$A$20000,0),MATCH("Intent",'Semrush Data'!$A$1:$Z$1,0)),"")</f>
        <v>Informational</v>
      </c>
    </row>
    <row r="1009" customFormat="false" ht="15" hidden="false" customHeight="true" outlineLevel="0" collapsed="false">
      <c r="A1009" s="6" t="s">
        <v>3977</v>
      </c>
      <c r="B1009" s="6" t="s">
        <v>6866</v>
      </c>
      <c r="C1009" s="6" t="n">
        <v>2</v>
      </c>
      <c r="D1009" s="6" t="n">
        <v>11</v>
      </c>
      <c r="E1009" s="6" t="n">
        <v>1</v>
      </c>
      <c r="F1009" s="6" t="s">
        <v>3974</v>
      </c>
      <c r="G1009" s="28" t="str">
        <f aca="false">IFERROR(INDEX('Semrush Data'!$A$1:$Z$20000,MATCH(A1009,'Semrush Data'!$A$1:$A$20000,0),MATCH("Volume",'Semrush Data'!$A$1:$Z$1,0)),"")</f>
        <v/>
      </c>
      <c r="H1009" s="6" t="str">
        <f aca="false">IFERROR(INDEX('Semrush Data'!$A$1:$Z$20000,MATCH(A1009,'Semrush Data'!$A$1:$A$20000,0),MATCH("Keyword Difficulty*",'Semrush Data'!$A$1:$Z$1,0)),"")</f>
        <v/>
      </c>
      <c r="I1009" s="29" t="str">
        <f aca="false">IFERROR(INDEX('Semrush Data'!$A$1:$Z$20000,MATCH(A1009,'Semrush Data'!$A$1:$A$20000,0),MATCH("CPC*",'Semrush Data'!$A$1:$Z$1,0)),"")</f>
        <v/>
      </c>
      <c r="J1009" s="6" t="str">
        <f aca="false">IFERROR(INDEX('Semrush Data'!$A$1:$Z$20000,MATCH(A1009,'Semrush Data'!$A$1:$A$20000,0),MATCH("Intent",'Semrush Data'!$A$1:$Z$1,0)),"")</f>
        <v/>
      </c>
    </row>
    <row r="1010" customFormat="false" ht="15" hidden="false" customHeight="true" outlineLevel="0" collapsed="false">
      <c r="A1010" s="6" t="s">
        <v>3910</v>
      </c>
      <c r="B1010" s="6" t="s">
        <v>6866</v>
      </c>
      <c r="C1010" s="6" t="n">
        <v>2</v>
      </c>
      <c r="D1010" s="6" t="n">
        <v>11</v>
      </c>
      <c r="E1010" s="6" t="n">
        <v>1</v>
      </c>
      <c r="F1010" s="6" t="s">
        <v>3907</v>
      </c>
      <c r="G1010" s="28" t="str">
        <f aca="false">IFERROR(INDEX('Semrush Data'!$A$1:$Z$20000,MATCH(A1010,'Semrush Data'!$A$1:$A$20000,0),MATCH("Volume",'Semrush Data'!$A$1:$Z$1,0)),"")</f>
        <v/>
      </c>
      <c r="H1010" s="6" t="str">
        <f aca="false">IFERROR(INDEX('Semrush Data'!$A$1:$Z$20000,MATCH(A1010,'Semrush Data'!$A$1:$A$20000,0),MATCH("Keyword Difficulty*",'Semrush Data'!$A$1:$Z$1,0)),"")</f>
        <v/>
      </c>
      <c r="I1010" s="29" t="str">
        <f aca="false">IFERROR(INDEX('Semrush Data'!$A$1:$Z$20000,MATCH(A1010,'Semrush Data'!$A$1:$A$20000,0),MATCH("CPC*",'Semrush Data'!$A$1:$Z$1,0)),"")</f>
        <v/>
      </c>
      <c r="J1010" s="6" t="str">
        <f aca="false">IFERROR(INDEX('Semrush Data'!$A$1:$Z$20000,MATCH(A1010,'Semrush Data'!$A$1:$A$20000,0),MATCH("Intent",'Semrush Data'!$A$1:$Z$1,0)),"")</f>
        <v/>
      </c>
    </row>
    <row r="1011" customFormat="false" ht="15" hidden="false" customHeight="true" outlineLevel="0" collapsed="false">
      <c r="A1011" s="6" t="s">
        <v>3922</v>
      </c>
      <c r="B1011" s="6" t="s">
        <v>6866</v>
      </c>
      <c r="C1011" s="6" t="n">
        <v>2</v>
      </c>
      <c r="D1011" s="6" t="n">
        <v>11</v>
      </c>
      <c r="E1011" s="6" t="n">
        <v>1</v>
      </c>
      <c r="F1011" s="6" t="s">
        <v>3918</v>
      </c>
      <c r="G1011" s="28" t="str">
        <f aca="false">IFERROR(INDEX('Semrush Data'!$A$1:$Z$20000,MATCH(A1011,'Semrush Data'!$A$1:$A$20000,0),MATCH("Volume",'Semrush Data'!$A$1:$Z$1,0)),"")</f>
        <v/>
      </c>
      <c r="H1011" s="6" t="str">
        <f aca="false">IFERROR(INDEX('Semrush Data'!$A$1:$Z$20000,MATCH(A1011,'Semrush Data'!$A$1:$A$20000,0),MATCH("Keyword Difficulty*",'Semrush Data'!$A$1:$Z$1,0)),"")</f>
        <v/>
      </c>
      <c r="I1011" s="29" t="str">
        <f aca="false">IFERROR(INDEX('Semrush Data'!$A$1:$Z$20000,MATCH(A1011,'Semrush Data'!$A$1:$A$20000,0),MATCH("CPC*",'Semrush Data'!$A$1:$Z$1,0)),"")</f>
        <v/>
      </c>
      <c r="J1011" s="6" t="str">
        <f aca="false">IFERROR(INDEX('Semrush Data'!$A$1:$Z$20000,MATCH(A1011,'Semrush Data'!$A$1:$A$20000,0),MATCH("Intent",'Semrush Data'!$A$1:$Z$1,0)),"")</f>
        <v/>
      </c>
    </row>
    <row r="1012" customFormat="false" ht="15" hidden="false" customHeight="true" outlineLevel="0" collapsed="false">
      <c r="A1012" s="6" t="s">
        <v>3933</v>
      </c>
      <c r="B1012" s="6" t="s">
        <v>6866</v>
      </c>
      <c r="C1012" s="6" t="n">
        <v>2</v>
      </c>
      <c r="D1012" s="6" t="n">
        <v>11</v>
      </c>
      <c r="E1012" s="6" t="n">
        <v>1</v>
      </c>
      <c r="F1012" s="6" t="s">
        <v>3930</v>
      </c>
      <c r="G1012" s="28" t="str">
        <f aca="false">IFERROR(INDEX('Semrush Data'!$A$1:$Z$20000,MATCH(A1012,'Semrush Data'!$A$1:$A$20000,0),MATCH("Volume",'Semrush Data'!$A$1:$Z$1,0)),"")</f>
        <v/>
      </c>
      <c r="H1012" s="6" t="str">
        <f aca="false">IFERROR(INDEX('Semrush Data'!$A$1:$Z$20000,MATCH(A1012,'Semrush Data'!$A$1:$A$20000,0),MATCH("Keyword Difficulty*",'Semrush Data'!$A$1:$Z$1,0)),"")</f>
        <v/>
      </c>
      <c r="I1012" s="29" t="str">
        <f aca="false">IFERROR(INDEX('Semrush Data'!$A$1:$Z$20000,MATCH(A1012,'Semrush Data'!$A$1:$A$20000,0),MATCH("CPC*",'Semrush Data'!$A$1:$Z$1,0)),"")</f>
        <v/>
      </c>
      <c r="J1012" s="6" t="str">
        <f aca="false">IFERROR(INDEX('Semrush Data'!$A$1:$Z$20000,MATCH(A1012,'Semrush Data'!$A$1:$A$20000,0),MATCH("Intent",'Semrush Data'!$A$1:$Z$1,0)),"")</f>
        <v/>
      </c>
    </row>
    <row r="1013" customFormat="false" ht="15" hidden="false" customHeight="true" outlineLevel="0" collapsed="false">
      <c r="A1013" s="6" t="s">
        <v>3988</v>
      </c>
      <c r="B1013" s="6" t="s">
        <v>6866</v>
      </c>
      <c r="C1013" s="6" t="n">
        <v>2</v>
      </c>
      <c r="D1013" s="6" t="n">
        <v>11</v>
      </c>
      <c r="E1013" s="6" t="n">
        <v>1</v>
      </c>
      <c r="F1013" s="6" t="s">
        <v>3985</v>
      </c>
      <c r="G1013" s="28" t="str">
        <f aca="false">IFERROR(INDEX('Semrush Data'!$A$1:$Z$20000,MATCH(A1013,'Semrush Data'!$A$1:$A$20000,0),MATCH("Volume",'Semrush Data'!$A$1:$Z$1,0)),"")</f>
        <v/>
      </c>
      <c r="H1013" s="6" t="str">
        <f aca="false">IFERROR(INDEX('Semrush Data'!$A$1:$Z$20000,MATCH(A1013,'Semrush Data'!$A$1:$A$20000,0),MATCH("Keyword Difficulty*",'Semrush Data'!$A$1:$Z$1,0)),"")</f>
        <v/>
      </c>
      <c r="I1013" s="29" t="str">
        <f aca="false">IFERROR(INDEX('Semrush Data'!$A$1:$Z$20000,MATCH(A1013,'Semrush Data'!$A$1:$A$20000,0),MATCH("CPC*",'Semrush Data'!$A$1:$Z$1,0)),"")</f>
        <v/>
      </c>
      <c r="J1013" s="6" t="str">
        <f aca="false">IFERROR(INDEX('Semrush Data'!$A$1:$Z$20000,MATCH(A1013,'Semrush Data'!$A$1:$A$20000,0),MATCH("Intent",'Semrush Data'!$A$1:$Z$1,0)),"")</f>
        <v/>
      </c>
    </row>
    <row r="1014" customFormat="false" ht="15" hidden="false" customHeight="true" outlineLevel="0" collapsed="false">
      <c r="A1014" s="6" t="s">
        <v>3955</v>
      </c>
      <c r="B1014" s="6" t="s">
        <v>6866</v>
      </c>
      <c r="C1014" s="6" t="n">
        <v>2</v>
      </c>
      <c r="D1014" s="6" t="n">
        <v>11</v>
      </c>
      <c r="E1014" s="6" t="n">
        <v>1</v>
      </c>
      <c r="F1014" s="6" t="s">
        <v>3952</v>
      </c>
      <c r="G1014" s="28" t="str">
        <f aca="false">IFERROR(INDEX('Semrush Data'!$A$1:$Z$20000,MATCH(A1014,'Semrush Data'!$A$1:$A$20000,0),MATCH("Volume",'Semrush Data'!$A$1:$Z$1,0)),"")</f>
        <v/>
      </c>
      <c r="H1014" s="6" t="str">
        <f aca="false">IFERROR(INDEX('Semrush Data'!$A$1:$Z$20000,MATCH(A1014,'Semrush Data'!$A$1:$A$20000,0),MATCH("Keyword Difficulty*",'Semrush Data'!$A$1:$Z$1,0)),"")</f>
        <v/>
      </c>
      <c r="I1014" s="29" t="str">
        <f aca="false">IFERROR(INDEX('Semrush Data'!$A$1:$Z$20000,MATCH(A1014,'Semrush Data'!$A$1:$A$20000,0),MATCH("CPC*",'Semrush Data'!$A$1:$Z$1,0)),"")</f>
        <v/>
      </c>
      <c r="J1014" s="6" t="str">
        <f aca="false">IFERROR(INDEX('Semrush Data'!$A$1:$Z$20000,MATCH(A1014,'Semrush Data'!$A$1:$A$20000,0),MATCH("Intent",'Semrush Data'!$A$1:$Z$1,0)),"")</f>
        <v/>
      </c>
    </row>
    <row r="1015" customFormat="false" ht="15" hidden="false" customHeight="true" outlineLevel="0" collapsed="false">
      <c r="A1015" s="6" t="s">
        <v>3998</v>
      </c>
      <c r="B1015" s="6" t="s">
        <v>6866</v>
      </c>
      <c r="C1015" s="6" t="n">
        <v>2</v>
      </c>
      <c r="D1015" s="6" t="n">
        <v>11</v>
      </c>
      <c r="E1015" s="6" t="n">
        <v>1</v>
      </c>
      <c r="F1015" s="6" t="s">
        <v>3995</v>
      </c>
      <c r="G1015" s="28" t="str">
        <f aca="false">IFERROR(INDEX('Semrush Data'!$A$1:$Z$20000,MATCH(A1015,'Semrush Data'!$A$1:$A$20000,0),MATCH("Volume",'Semrush Data'!$A$1:$Z$1,0)),"")</f>
        <v/>
      </c>
      <c r="H1015" s="6" t="str">
        <f aca="false">IFERROR(INDEX('Semrush Data'!$A$1:$Z$20000,MATCH(A1015,'Semrush Data'!$A$1:$A$20000,0),MATCH("Keyword Difficulty*",'Semrush Data'!$A$1:$Z$1,0)),"")</f>
        <v/>
      </c>
      <c r="I1015" s="29" t="str">
        <f aca="false">IFERROR(INDEX('Semrush Data'!$A$1:$Z$20000,MATCH(A1015,'Semrush Data'!$A$1:$A$20000,0),MATCH("CPC*",'Semrush Data'!$A$1:$Z$1,0)),"")</f>
        <v/>
      </c>
      <c r="J1015" s="6" t="str">
        <f aca="false">IFERROR(INDEX('Semrush Data'!$A$1:$Z$20000,MATCH(A1015,'Semrush Data'!$A$1:$A$20000,0),MATCH("Intent",'Semrush Data'!$A$1:$Z$1,0)),"")</f>
        <v/>
      </c>
    </row>
    <row r="1016" customFormat="false" ht="15" hidden="false" customHeight="true" outlineLevel="0" collapsed="false">
      <c r="A1016" s="6" t="s">
        <v>3944</v>
      </c>
      <c r="B1016" s="6" t="s">
        <v>6866</v>
      </c>
      <c r="C1016" s="6" t="n">
        <v>2</v>
      </c>
      <c r="D1016" s="6" t="n">
        <v>11</v>
      </c>
      <c r="E1016" s="6" t="n">
        <v>1</v>
      </c>
      <c r="F1016" s="6" t="s">
        <v>3941</v>
      </c>
      <c r="G1016" s="28" t="str">
        <f aca="false">IFERROR(INDEX('Semrush Data'!$A$1:$Z$20000,MATCH(A1016,'Semrush Data'!$A$1:$A$20000,0),MATCH("Volume",'Semrush Data'!$A$1:$Z$1,0)),"")</f>
        <v/>
      </c>
      <c r="H1016" s="6" t="str">
        <f aca="false">IFERROR(INDEX('Semrush Data'!$A$1:$Z$20000,MATCH(A1016,'Semrush Data'!$A$1:$A$20000,0),MATCH("Keyword Difficulty*",'Semrush Data'!$A$1:$Z$1,0)),"")</f>
        <v/>
      </c>
      <c r="I1016" s="29" t="str">
        <f aca="false">IFERROR(INDEX('Semrush Data'!$A$1:$Z$20000,MATCH(A1016,'Semrush Data'!$A$1:$A$20000,0),MATCH("CPC*",'Semrush Data'!$A$1:$Z$1,0)),"")</f>
        <v/>
      </c>
      <c r="J1016" s="6" t="str">
        <f aca="false">IFERROR(INDEX('Semrush Data'!$A$1:$Z$20000,MATCH(A1016,'Semrush Data'!$A$1:$A$20000,0),MATCH("Intent",'Semrush Data'!$A$1:$Z$1,0)),"")</f>
        <v/>
      </c>
    </row>
    <row r="1017" customFormat="false" ht="15" hidden="false" customHeight="true" outlineLevel="0" collapsed="false">
      <c r="A1017" s="6" t="s">
        <v>3966</v>
      </c>
      <c r="B1017" s="6" t="s">
        <v>6866</v>
      </c>
      <c r="C1017" s="6" t="n">
        <v>2</v>
      </c>
      <c r="D1017" s="6" t="s">
        <v>6868</v>
      </c>
      <c r="E1017" s="6" t="n">
        <v>1</v>
      </c>
      <c r="F1017" s="6" t="s">
        <v>3963</v>
      </c>
      <c r="G1017" s="28" t="n">
        <f aca="false">IFERROR(INDEX('Semrush Data'!$A$1:$Z$20000,MATCH(A1017,'Semrush Data'!$A$1:$A$20000,0),MATCH("Volume",'Semrush Data'!$A$1:$Z$1,0)),"")</f>
        <v>20</v>
      </c>
      <c r="H1017" s="6" t="n">
        <f aca="false">IFERROR(INDEX('Semrush Data'!$A$1:$Z$20000,MATCH(A1017,'Semrush Data'!$A$1:$A$20000,0),MATCH("Keyword Difficulty*",'Semrush Data'!$A$1:$Z$1,0)),"")</f>
        <v>13</v>
      </c>
      <c r="I1017" s="29" t="n">
        <f aca="false">IFERROR(INDEX('Semrush Data'!$A$1:$Z$20000,MATCH(A1017,'Semrush Data'!$A$1:$A$20000,0),MATCH("CPC*",'Semrush Data'!$A$1:$Z$1,0)),"")</f>
        <v>0</v>
      </c>
      <c r="J1017" s="6" t="str">
        <f aca="false">IFERROR(INDEX('Semrush Data'!$A$1:$Z$20000,MATCH(A1017,'Semrush Data'!$A$1:$A$20000,0),MATCH("Intent",'Semrush Data'!$A$1:$Z$1,0)),"")</f>
        <v>Informational</v>
      </c>
    </row>
    <row r="1018" customFormat="false" ht="15" hidden="false" customHeight="true" outlineLevel="0" collapsed="false">
      <c r="A1018" s="6" t="s">
        <v>4009</v>
      </c>
      <c r="B1018" s="6" t="s">
        <v>6866</v>
      </c>
      <c r="C1018" s="6" t="n">
        <v>2</v>
      </c>
      <c r="D1018" s="6" t="s">
        <v>6868</v>
      </c>
      <c r="E1018" s="6" t="n">
        <v>1</v>
      </c>
      <c r="F1018" s="6" t="s">
        <v>4005</v>
      </c>
      <c r="G1018" s="28" t="n">
        <f aca="false">IFERROR(INDEX('Semrush Data'!$A$1:$Z$20000,MATCH(A1018,'Semrush Data'!$A$1:$A$20000,0),MATCH("Volume",'Semrush Data'!$A$1:$Z$1,0)),"")</f>
        <v>0</v>
      </c>
      <c r="H1018" s="6" t="n">
        <f aca="false">IFERROR(INDEX('Semrush Data'!$A$1:$Z$20000,MATCH(A1018,'Semrush Data'!$A$1:$A$20000,0),MATCH("Keyword Difficulty*",'Semrush Data'!$A$1:$Z$1,0)),"")</f>
        <v>27</v>
      </c>
      <c r="I1018" s="29" t="n">
        <f aca="false">IFERROR(INDEX('Semrush Data'!$A$1:$Z$20000,MATCH(A1018,'Semrush Data'!$A$1:$A$20000,0),MATCH("CPC*",'Semrush Data'!$A$1:$Z$1,0)),"")</f>
        <v>0</v>
      </c>
      <c r="J1018" s="6" t="str">
        <f aca="false">IFERROR(INDEX('Semrush Data'!$A$1:$Z$20000,MATCH(A1018,'Semrush Data'!$A$1:$A$20000,0),MATCH("Intent",'Semrush Data'!$A$1:$Z$1,0)),"")</f>
        <v>Informational</v>
      </c>
    </row>
    <row r="1019" customFormat="false" ht="15" hidden="false" customHeight="true" outlineLevel="0" collapsed="false">
      <c r="A1019" s="6" t="s">
        <v>4022</v>
      </c>
      <c r="B1019" s="6" t="s">
        <v>6866</v>
      </c>
      <c r="C1019" s="6" t="n">
        <v>2</v>
      </c>
      <c r="D1019" s="6" t="n">
        <v>11</v>
      </c>
      <c r="E1019" s="6" t="n">
        <v>1</v>
      </c>
      <c r="F1019" s="6" t="s">
        <v>4018</v>
      </c>
      <c r="G1019" s="28" t="str">
        <f aca="false">IFERROR(INDEX('Semrush Data'!$A$1:$Z$20000,MATCH(A1019,'Semrush Data'!$A$1:$A$20000,0),MATCH("Volume",'Semrush Data'!$A$1:$Z$1,0)),"")</f>
        <v/>
      </c>
      <c r="H1019" s="6" t="str">
        <f aca="false">IFERROR(INDEX('Semrush Data'!$A$1:$Z$20000,MATCH(A1019,'Semrush Data'!$A$1:$A$20000,0),MATCH("Keyword Difficulty*",'Semrush Data'!$A$1:$Z$1,0)),"")</f>
        <v/>
      </c>
      <c r="I1019" s="29" t="str">
        <f aca="false">IFERROR(INDEX('Semrush Data'!$A$1:$Z$20000,MATCH(A1019,'Semrush Data'!$A$1:$A$20000,0),MATCH("CPC*",'Semrush Data'!$A$1:$Z$1,0)),"")</f>
        <v/>
      </c>
      <c r="J1019" s="6" t="str">
        <f aca="false">IFERROR(INDEX('Semrush Data'!$A$1:$Z$20000,MATCH(A1019,'Semrush Data'!$A$1:$A$20000,0),MATCH("Intent",'Semrush Data'!$A$1:$Z$1,0)),"")</f>
        <v/>
      </c>
    </row>
    <row r="1020" customFormat="false" ht="15" hidden="false" customHeight="true" outlineLevel="0" collapsed="false">
      <c r="A1020" s="6" t="s">
        <v>4032</v>
      </c>
      <c r="B1020" s="6" t="s">
        <v>6866</v>
      </c>
      <c r="C1020" s="6" t="n">
        <v>2</v>
      </c>
      <c r="D1020" s="6" t="s">
        <v>6867</v>
      </c>
      <c r="E1020" s="6" t="n">
        <v>1</v>
      </c>
      <c r="F1020" s="6" t="s">
        <v>129</v>
      </c>
      <c r="G1020" s="28" t="n">
        <f aca="false">IFERROR(INDEX('Semrush Data'!$A$1:$Z$20000,MATCH(A1020,'Semrush Data'!$A$1:$A$20000,0),MATCH("Volume",'Semrush Data'!$A$1:$Z$1,0)),"")</f>
        <v>20</v>
      </c>
      <c r="H1020" s="6" t="n">
        <f aca="false">IFERROR(INDEX('Semrush Data'!$A$1:$Z$20000,MATCH(A1020,'Semrush Data'!$A$1:$A$20000,0),MATCH("Keyword Difficulty*",'Semrush Data'!$A$1:$Z$1,0)),"")</f>
        <v>9</v>
      </c>
      <c r="I1020" s="29" t="n">
        <f aca="false">IFERROR(INDEX('Semrush Data'!$A$1:$Z$20000,MATCH(A1020,'Semrush Data'!$A$1:$A$20000,0),MATCH("CPC*",'Semrush Data'!$A$1:$Z$1,0)),"")</f>
        <v>0</v>
      </c>
      <c r="J1020" s="6" t="str">
        <f aca="false">IFERROR(INDEX('Semrush Data'!$A$1:$Z$20000,MATCH(A1020,'Semrush Data'!$A$1:$A$20000,0),MATCH("Intent",'Semrush Data'!$A$1:$Z$1,0)),"")</f>
        <v>Commercial</v>
      </c>
    </row>
    <row r="1021" customFormat="false" ht="15" hidden="false" customHeight="true" outlineLevel="0" collapsed="false">
      <c r="A1021" s="6" t="s">
        <v>4044</v>
      </c>
      <c r="B1021" s="6" t="s">
        <v>6866</v>
      </c>
      <c r="C1021" s="6" t="n">
        <v>2</v>
      </c>
      <c r="D1021" s="6" t="s">
        <v>6868</v>
      </c>
      <c r="E1021" s="6" t="n">
        <v>1</v>
      </c>
      <c r="F1021" s="6" t="s">
        <v>4040</v>
      </c>
      <c r="G1021" s="28" t="n">
        <f aca="false">IFERROR(INDEX('Semrush Data'!$A$1:$Z$20000,MATCH(A1021,'Semrush Data'!$A$1:$A$20000,0),MATCH("Volume",'Semrush Data'!$A$1:$Z$1,0)),"")</f>
        <v>0</v>
      </c>
      <c r="H1021" s="6" t="n">
        <f aca="false">IFERROR(INDEX('Semrush Data'!$A$1:$Z$20000,MATCH(A1021,'Semrush Data'!$A$1:$A$20000,0),MATCH("Keyword Difficulty*",'Semrush Data'!$A$1:$Z$1,0)),"")</f>
        <v>14</v>
      </c>
      <c r="I1021" s="29" t="n">
        <f aca="false">IFERROR(INDEX('Semrush Data'!$A$1:$Z$20000,MATCH(A1021,'Semrush Data'!$A$1:$A$20000,0),MATCH("CPC*",'Semrush Data'!$A$1:$Z$1,0)),"")</f>
        <v>0</v>
      </c>
      <c r="J1021" s="6" t="str">
        <f aca="false">IFERROR(INDEX('Semrush Data'!$A$1:$Z$20000,MATCH(A1021,'Semrush Data'!$A$1:$A$20000,0),MATCH("Intent",'Semrush Data'!$A$1:$Z$1,0)),"")</f>
        <v>Commercial</v>
      </c>
    </row>
    <row r="1022" customFormat="false" ht="15" hidden="false" customHeight="true" outlineLevel="0" collapsed="false">
      <c r="A1022" s="6" t="s">
        <v>4057</v>
      </c>
      <c r="B1022" s="6" t="s">
        <v>6866</v>
      </c>
      <c r="C1022" s="6" t="n">
        <v>2</v>
      </c>
      <c r="D1022" s="6" t="s">
        <v>6867</v>
      </c>
      <c r="E1022" s="6" t="n">
        <v>1</v>
      </c>
      <c r="F1022" s="6" t="s">
        <v>4053</v>
      </c>
      <c r="G1022" s="28" t="n">
        <f aca="false">IFERROR(INDEX('Semrush Data'!$A$1:$Z$20000,MATCH(A1022,'Semrush Data'!$A$1:$A$20000,0),MATCH("Volume",'Semrush Data'!$A$1:$Z$1,0)),"")</f>
        <v>0</v>
      </c>
      <c r="H1022" s="6" t="n">
        <f aca="false">IFERROR(INDEX('Semrush Data'!$A$1:$Z$20000,MATCH(A1022,'Semrush Data'!$A$1:$A$20000,0),MATCH("Keyword Difficulty*",'Semrush Data'!$A$1:$Z$1,0)),"")</f>
        <v>10</v>
      </c>
      <c r="I1022" s="29" t="n">
        <f aca="false">IFERROR(INDEX('Semrush Data'!$A$1:$Z$20000,MATCH(A1022,'Semrush Data'!$A$1:$A$20000,0),MATCH("CPC*",'Semrush Data'!$A$1:$Z$1,0)),"")</f>
        <v>0</v>
      </c>
      <c r="J1022" s="6" t="str">
        <f aca="false">IFERROR(INDEX('Semrush Data'!$A$1:$Z$20000,MATCH(A1022,'Semrush Data'!$A$1:$A$20000,0),MATCH("Intent",'Semrush Data'!$A$1:$Z$1,0)),"")</f>
        <v>Informational Commercial</v>
      </c>
    </row>
    <row r="1023" customFormat="false" ht="15" hidden="false" customHeight="true" outlineLevel="0" collapsed="false">
      <c r="A1023" s="6" t="s">
        <v>4070</v>
      </c>
      <c r="B1023" s="6" t="s">
        <v>6866</v>
      </c>
      <c r="C1023" s="6" t="n">
        <v>2</v>
      </c>
      <c r="D1023" s="6" t="n">
        <v>11</v>
      </c>
      <c r="E1023" s="6" t="n">
        <v>1</v>
      </c>
      <c r="F1023" s="6" t="s">
        <v>4066</v>
      </c>
      <c r="G1023" s="28" t="str">
        <f aca="false">IFERROR(INDEX('Semrush Data'!$A$1:$Z$20000,MATCH(A1023,'Semrush Data'!$A$1:$A$20000,0),MATCH("Volume",'Semrush Data'!$A$1:$Z$1,0)),"")</f>
        <v/>
      </c>
      <c r="H1023" s="6" t="str">
        <f aca="false">IFERROR(INDEX('Semrush Data'!$A$1:$Z$20000,MATCH(A1023,'Semrush Data'!$A$1:$A$20000,0),MATCH("Keyword Difficulty*",'Semrush Data'!$A$1:$Z$1,0)),"")</f>
        <v/>
      </c>
      <c r="I1023" s="29" t="str">
        <f aca="false">IFERROR(INDEX('Semrush Data'!$A$1:$Z$20000,MATCH(A1023,'Semrush Data'!$A$1:$A$20000,0),MATCH("CPC*",'Semrush Data'!$A$1:$Z$1,0)),"")</f>
        <v/>
      </c>
      <c r="J1023" s="6" t="str">
        <f aca="false">IFERROR(INDEX('Semrush Data'!$A$1:$Z$20000,MATCH(A1023,'Semrush Data'!$A$1:$A$20000,0),MATCH("Intent",'Semrush Data'!$A$1:$Z$1,0)),"")</f>
        <v/>
      </c>
    </row>
    <row r="1024" customFormat="false" ht="15" hidden="false" customHeight="true" outlineLevel="0" collapsed="false">
      <c r="A1024" s="6" t="s">
        <v>4082</v>
      </c>
      <c r="B1024" s="6" t="s">
        <v>6866</v>
      </c>
      <c r="C1024" s="6" t="n">
        <v>2</v>
      </c>
      <c r="D1024" s="6" t="n">
        <v>11</v>
      </c>
      <c r="E1024" s="6" t="n">
        <v>1</v>
      </c>
      <c r="F1024" s="6" t="s">
        <v>4079</v>
      </c>
      <c r="G1024" s="28" t="str">
        <f aca="false">IFERROR(INDEX('Semrush Data'!$A$1:$Z$20000,MATCH(A1024,'Semrush Data'!$A$1:$A$20000,0),MATCH("Volume",'Semrush Data'!$A$1:$Z$1,0)),"")</f>
        <v/>
      </c>
      <c r="H1024" s="6" t="str">
        <f aca="false">IFERROR(INDEX('Semrush Data'!$A$1:$Z$20000,MATCH(A1024,'Semrush Data'!$A$1:$A$20000,0),MATCH("Keyword Difficulty*",'Semrush Data'!$A$1:$Z$1,0)),"")</f>
        <v/>
      </c>
      <c r="I1024" s="29" t="str">
        <f aca="false">IFERROR(INDEX('Semrush Data'!$A$1:$Z$20000,MATCH(A1024,'Semrush Data'!$A$1:$A$20000,0),MATCH("CPC*",'Semrush Data'!$A$1:$Z$1,0)),"")</f>
        <v/>
      </c>
      <c r="J1024" s="6" t="str">
        <f aca="false">IFERROR(INDEX('Semrush Data'!$A$1:$Z$20000,MATCH(A1024,'Semrush Data'!$A$1:$A$20000,0),MATCH("Intent",'Semrush Data'!$A$1:$Z$1,0)),"")</f>
        <v/>
      </c>
    </row>
    <row r="1025" customFormat="false" ht="15" hidden="false" customHeight="true" outlineLevel="0" collapsed="false">
      <c r="A1025" s="6" t="s">
        <v>4094</v>
      </c>
      <c r="B1025" s="6" t="s">
        <v>6866</v>
      </c>
      <c r="C1025" s="6" t="n">
        <v>2</v>
      </c>
      <c r="D1025" s="6" t="n">
        <v>11</v>
      </c>
      <c r="E1025" s="6" t="n">
        <v>1</v>
      </c>
      <c r="F1025" s="6" t="s">
        <v>4090</v>
      </c>
      <c r="G1025" s="28" t="str">
        <f aca="false">IFERROR(INDEX('Semrush Data'!$A$1:$Z$20000,MATCH(A1025,'Semrush Data'!$A$1:$A$20000,0),MATCH("Volume",'Semrush Data'!$A$1:$Z$1,0)),"")</f>
        <v/>
      </c>
      <c r="H1025" s="6" t="str">
        <f aca="false">IFERROR(INDEX('Semrush Data'!$A$1:$Z$20000,MATCH(A1025,'Semrush Data'!$A$1:$A$20000,0),MATCH("Keyword Difficulty*",'Semrush Data'!$A$1:$Z$1,0)),"")</f>
        <v/>
      </c>
      <c r="I1025" s="29" t="str">
        <f aca="false">IFERROR(INDEX('Semrush Data'!$A$1:$Z$20000,MATCH(A1025,'Semrush Data'!$A$1:$A$20000,0),MATCH("CPC*",'Semrush Data'!$A$1:$Z$1,0)),"")</f>
        <v/>
      </c>
      <c r="J1025" s="6" t="str">
        <f aca="false">IFERROR(INDEX('Semrush Data'!$A$1:$Z$20000,MATCH(A1025,'Semrush Data'!$A$1:$A$20000,0),MATCH("Intent",'Semrush Data'!$A$1:$Z$1,0)),"")</f>
        <v/>
      </c>
    </row>
    <row r="1026" customFormat="false" ht="15" hidden="false" customHeight="true" outlineLevel="0" collapsed="false">
      <c r="A1026" s="6" t="s">
        <v>4106</v>
      </c>
      <c r="B1026" s="6" t="s">
        <v>6866</v>
      </c>
      <c r="C1026" s="6" t="n">
        <v>2</v>
      </c>
      <c r="D1026" s="6" t="n">
        <v>11</v>
      </c>
      <c r="E1026" s="6" t="n">
        <v>1</v>
      </c>
      <c r="F1026" s="6" t="s">
        <v>4103</v>
      </c>
      <c r="G1026" s="28" t="str">
        <f aca="false">IFERROR(INDEX('Semrush Data'!$A$1:$Z$20000,MATCH(A1026,'Semrush Data'!$A$1:$A$20000,0),MATCH("Volume",'Semrush Data'!$A$1:$Z$1,0)),"")</f>
        <v/>
      </c>
      <c r="H1026" s="6" t="str">
        <f aca="false">IFERROR(INDEX('Semrush Data'!$A$1:$Z$20000,MATCH(A1026,'Semrush Data'!$A$1:$A$20000,0),MATCH("Keyword Difficulty*",'Semrush Data'!$A$1:$Z$1,0)),"")</f>
        <v/>
      </c>
      <c r="I1026" s="29" t="str">
        <f aca="false">IFERROR(INDEX('Semrush Data'!$A$1:$Z$20000,MATCH(A1026,'Semrush Data'!$A$1:$A$20000,0),MATCH("CPC*",'Semrush Data'!$A$1:$Z$1,0)),"")</f>
        <v/>
      </c>
      <c r="J1026" s="6" t="str">
        <f aca="false">IFERROR(INDEX('Semrush Data'!$A$1:$Z$20000,MATCH(A1026,'Semrush Data'!$A$1:$A$20000,0),MATCH("Intent",'Semrush Data'!$A$1:$Z$1,0)),"")</f>
        <v/>
      </c>
    </row>
    <row r="1027" customFormat="false" ht="15" hidden="false" customHeight="true" outlineLevel="0" collapsed="false">
      <c r="A1027" s="6" t="s">
        <v>4117</v>
      </c>
      <c r="B1027" s="6" t="s">
        <v>6866</v>
      </c>
      <c r="C1027" s="6" t="n">
        <v>2</v>
      </c>
      <c r="D1027" s="6" t="n">
        <v>11</v>
      </c>
      <c r="E1027" s="6" t="n">
        <v>1</v>
      </c>
      <c r="F1027" s="6" t="s">
        <v>4114</v>
      </c>
      <c r="G1027" s="28" t="str">
        <f aca="false">IFERROR(INDEX('Semrush Data'!$A$1:$Z$20000,MATCH(A1027,'Semrush Data'!$A$1:$A$20000,0),MATCH("Volume",'Semrush Data'!$A$1:$Z$1,0)),"")</f>
        <v/>
      </c>
      <c r="H1027" s="6" t="str">
        <f aca="false">IFERROR(INDEX('Semrush Data'!$A$1:$Z$20000,MATCH(A1027,'Semrush Data'!$A$1:$A$20000,0),MATCH("Keyword Difficulty*",'Semrush Data'!$A$1:$Z$1,0)),"")</f>
        <v/>
      </c>
      <c r="I1027" s="29" t="str">
        <f aca="false">IFERROR(INDEX('Semrush Data'!$A$1:$Z$20000,MATCH(A1027,'Semrush Data'!$A$1:$A$20000,0),MATCH("CPC*",'Semrush Data'!$A$1:$Z$1,0)),"")</f>
        <v/>
      </c>
      <c r="J1027" s="6" t="str">
        <f aca="false">IFERROR(INDEX('Semrush Data'!$A$1:$Z$20000,MATCH(A1027,'Semrush Data'!$A$1:$A$20000,0),MATCH("Intent",'Semrush Data'!$A$1:$Z$1,0)),"")</f>
        <v/>
      </c>
    </row>
    <row r="1028" customFormat="false" ht="15" hidden="false" customHeight="true" outlineLevel="0" collapsed="false">
      <c r="A1028" s="6" t="s">
        <v>4128</v>
      </c>
      <c r="B1028" s="6" t="s">
        <v>6866</v>
      </c>
      <c r="C1028" s="6" t="n">
        <v>2</v>
      </c>
      <c r="D1028" s="6" t="n">
        <v>11</v>
      </c>
      <c r="E1028" s="6" t="n">
        <v>1</v>
      </c>
      <c r="F1028" s="6" t="s">
        <v>4125</v>
      </c>
      <c r="G1028" s="28" t="str">
        <f aca="false">IFERROR(INDEX('Semrush Data'!$A$1:$Z$20000,MATCH(A1028,'Semrush Data'!$A$1:$A$20000,0),MATCH("Volume",'Semrush Data'!$A$1:$Z$1,0)),"")</f>
        <v/>
      </c>
      <c r="H1028" s="6" t="str">
        <f aca="false">IFERROR(INDEX('Semrush Data'!$A$1:$Z$20000,MATCH(A1028,'Semrush Data'!$A$1:$A$20000,0),MATCH("Keyword Difficulty*",'Semrush Data'!$A$1:$Z$1,0)),"")</f>
        <v/>
      </c>
      <c r="I1028" s="29" t="str">
        <f aca="false">IFERROR(INDEX('Semrush Data'!$A$1:$Z$20000,MATCH(A1028,'Semrush Data'!$A$1:$A$20000,0),MATCH("CPC*",'Semrush Data'!$A$1:$Z$1,0)),"")</f>
        <v/>
      </c>
      <c r="J1028" s="6" t="str">
        <f aca="false">IFERROR(INDEX('Semrush Data'!$A$1:$Z$20000,MATCH(A1028,'Semrush Data'!$A$1:$A$20000,0),MATCH("Intent",'Semrush Data'!$A$1:$Z$1,0)),"")</f>
        <v/>
      </c>
    </row>
    <row r="1029" customFormat="false" ht="15" hidden="false" customHeight="true" outlineLevel="0" collapsed="false">
      <c r="A1029" s="6" t="s">
        <v>4140</v>
      </c>
      <c r="B1029" s="6" t="s">
        <v>6866</v>
      </c>
      <c r="C1029" s="6" t="n">
        <v>2</v>
      </c>
      <c r="D1029" s="6" t="n">
        <v>11</v>
      </c>
      <c r="E1029" s="6" t="n">
        <v>1</v>
      </c>
      <c r="F1029" s="6" t="s">
        <v>4137</v>
      </c>
      <c r="G1029" s="28" t="str">
        <f aca="false">IFERROR(INDEX('Semrush Data'!$A$1:$Z$20000,MATCH(A1029,'Semrush Data'!$A$1:$A$20000,0),MATCH("Volume",'Semrush Data'!$A$1:$Z$1,0)),"")</f>
        <v/>
      </c>
      <c r="H1029" s="6" t="str">
        <f aca="false">IFERROR(INDEX('Semrush Data'!$A$1:$Z$20000,MATCH(A1029,'Semrush Data'!$A$1:$A$20000,0),MATCH("Keyword Difficulty*",'Semrush Data'!$A$1:$Z$1,0)),"")</f>
        <v/>
      </c>
      <c r="I1029" s="29" t="str">
        <f aca="false">IFERROR(INDEX('Semrush Data'!$A$1:$Z$20000,MATCH(A1029,'Semrush Data'!$A$1:$A$20000,0),MATCH("CPC*",'Semrush Data'!$A$1:$Z$1,0)),"")</f>
        <v/>
      </c>
      <c r="J1029" s="6" t="str">
        <f aca="false">IFERROR(INDEX('Semrush Data'!$A$1:$Z$20000,MATCH(A1029,'Semrush Data'!$A$1:$A$20000,0),MATCH("Intent",'Semrush Data'!$A$1:$Z$1,0)),"")</f>
        <v/>
      </c>
    </row>
    <row r="1030" customFormat="false" ht="15" hidden="false" customHeight="true" outlineLevel="0" collapsed="false">
      <c r="A1030" s="6" t="s">
        <v>4152</v>
      </c>
      <c r="B1030" s="6" t="s">
        <v>6866</v>
      </c>
      <c r="C1030" s="6" t="n">
        <v>2</v>
      </c>
      <c r="D1030" s="6" t="n">
        <v>11</v>
      </c>
      <c r="E1030" s="6" t="n">
        <v>1</v>
      </c>
      <c r="F1030" s="6" t="s">
        <v>4149</v>
      </c>
      <c r="G1030" s="28" t="str">
        <f aca="false">IFERROR(INDEX('Semrush Data'!$A$1:$Z$20000,MATCH(A1030,'Semrush Data'!$A$1:$A$20000,0),MATCH("Volume",'Semrush Data'!$A$1:$Z$1,0)),"")</f>
        <v/>
      </c>
      <c r="H1030" s="6" t="str">
        <f aca="false">IFERROR(INDEX('Semrush Data'!$A$1:$Z$20000,MATCH(A1030,'Semrush Data'!$A$1:$A$20000,0),MATCH("Keyword Difficulty*",'Semrush Data'!$A$1:$Z$1,0)),"")</f>
        <v/>
      </c>
      <c r="I1030" s="29" t="str">
        <f aca="false">IFERROR(INDEX('Semrush Data'!$A$1:$Z$20000,MATCH(A1030,'Semrush Data'!$A$1:$A$20000,0),MATCH("CPC*",'Semrush Data'!$A$1:$Z$1,0)),"")</f>
        <v/>
      </c>
      <c r="J1030" s="6" t="str">
        <f aca="false">IFERROR(INDEX('Semrush Data'!$A$1:$Z$20000,MATCH(A1030,'Semrush Data'!$A$1:$A$20000,0),MATCH("Intent",'Semrush Data'!$A$1:$Z$1,0)),"")</f>
        <v/>
      </c>
    </row>
    <row r="1031" customFormat="false" ht="15" hidden="false" customHeight="true" outlineLevel="0" collapsed="false">
      <c r="A1031" s="6" t="s">
        <v>4163</v>
      </c>
      <c r="B1031" s="6" t="s">
        <v>6866</v>
      </c>
      <c r="C1031" s="6" t="n">
        <v>2</v>
      </c>
      <c r="D1031" s="6" t="n">
        <v>11</v>
      </c>
      <c r="E1031" s="6" t="n">
        <v>1</v>
      </c>
      <c r="F1031" s="6" t="s">
        <v>4160</v>
      </c>
      <c r="G1031" s="28" t="str">
        <f aca="false">IFERROR(INDEX('Semrush Data'!$A$1:$Z$20000,MATCH(A1031,'Semrush Data'!$A$1:$A$20000,0),MATCH("Volume",'Semrush Data'!$A$1:$Z$1,0)),"")</f>
        <v/>
      </c>
      <c r="H1031" s="6" t="str">
        <f aca="false">IFERROR(INDEX('Semrush Data'!$A$1:$Z$20000,MATCH(A1031,'Semrush Data'!$A$1:$A$20000,0),MATCH("Keyword Difficulty*",'Semrush Data'!$A$1:$Z$1,0)),"")</f>
        <v/>
      </c>
      <c r="I1031" s="29" t="str">
        <f aca="false">IFERROR(INDEX('Semrush Data'!$A$1:$Z$20000,MATCH(A1031,'Semrush Data'!$A$1:$A$20000,0),MATCH("CPC*",'Semrush Data'!$A$1:$Z$1,0)),"")</f>
        <v/>
      </c>
      <c r="J1031" s="6" t="str">
        <f aca="false">IFERROR(INDEX('Semrush Data'!$A$1:$Z$20000,MATCH(A1031,'Semrush Data'!$A$1:$A$20000,0),MATCH("Intent",'Semrush Data'!$A$1:$Z$1,0)),"")</f>
        <v/>
      </c>
    </row>
    <row r="1032" customFormat="false" ht="15" hidden="false" customHeight="true" outlineLevel="0" collapsed="false">
      <c r="A1032" s="6" t="s">
        <v>4173</v>
      </c>
      <c r="B1032" s="6" t="s">
        <v>6866</v>
      </c>
      <c r="C1032" s="6" t="n">
        <v>2</v>
      </c>
      <c r="D1032" s="6" t="n">
        <v>11</v>
      </c>
      <c r="E1032" s="6" t="n">
        <v>1</v>
      </c>
      <c r="F1032" s="6" t="s">
        <v>4170</v>
      </c>
      <c r="G1032" s="28" t="str">
        <f aca="false">IFERROR(INDEX('Semrush Data'!$A$1:$Z$20000,MATCH(A1032,'Semrush Data'!$A$1:$A$20000,0),MATCH("Volume",'Semrush Data'!$A$1:$Z$1,0)),"")</f>
        <v/>
      </c>
      <c r="H1032" s="6" t="str">
        <f aca="false">IFERROR(INDEX('Semrush Data'!$A$1:$Z$20000,MATCH(A1032,'Semrush Data'!$A$1:$A$20000,0),MATCH("Keyword Difficulty*",'Semrush Data'!$A$1:$Z$1,0)),"")</f>
        <v/>
      </c>
      <c r="I1032" s="29" t="str">
        <f aca="false">IFERROR(INDEX('Semrush Data'!$A$1:$Z$20000,MATCH(A1032,'Semrush Data'!$A$1:$A$20000,0),MATCH("CPC*",'Semrush Data'!$A$1:$Z$1,0)),"")</f>
        <v/>
      </c>
      <c r="J1032" s="6" t="str">
        <f aca="false">IFERROR(INDEX('Semrush Data'!$A$1:$Z$20000,MATCH(A1032,'Semrush Data'!$A$1:$A$20000,0),MATCH("Intent",'Semrush Data'!$A$1:$Z$1,0)),"")</f>
        <v/>
      </c>
    </row>
    <row r="1033" customFormat="false" ht="15" hidden="false" customHeight="true" outlineLevel="0" collapsed="false">
      <c r="A1033" s="6" t="s">
        <v>4183</v>
      </c>
      <c r="B1033" s="6" t="s">
        <v>6866</v>
      </c>
      <c r="C1033" s="6" t="n">
        <v>2</v>
      </c>
      <c r="D1033" s="6" t="n">
        <v>11</v>
      </c>
      <c r="E1033" s="6" t="n">
        <v>1</v>
      </c>
      <c r="F1033" s="6" t="s">
        <v>4180</v>
      </c>
      <c r="G1033" s="28" t="str">
        <f aca="false">IFERROR(INDEX('Semrush Data'!$A$1:$Z$20000,MATCH(A1033,'Semrush Data'!$A$1:$A$20000,0),MATCH("Volume",'Semrush Data'!$A$1:$Z$1,0)),"")</f>
        <v/>
      </c>
      <c r="H1033" s="6" t="str">
        <f aca="false">IFERROR(INDEX('Semrush Data'!$A$1:$Z$20000,MATCH(A1033,'Semrush Data'!$A$1:$A$20000,0),MATCH("Keyword Difficulty*",'Semrush Data'!$A$1:$Z$1,0)),"")</f>
        <v/>
      </c>
      <c r="I1033" s="29" t="str">
        <f aca="false">IFERROR(INDEX('Semrush Data'!$A$1:$Z$20000,MATCH(A1033,'Semrush Data'!$A$1:$A$20000,0),MATCH("CPC*",'Semrush Data'!$A$1:$Z$1,0)),"")</f>
        <v/>
      </c>
      <c r="J1033" s="6" t="str">
        <f aca="false">IFERROR(INDEX('Semrush Data'!$A$1:$Z$20000,MATCH(A1033,'Semrush Data'!$A$1:$A$20000,0),MATCH("Intent",'Semrush Data'!$A$1:$Z$1,0)),"")</f>
        <v/>
      </c>
    </row>
    <row r="1034" customFormat="false" ht="15" hidden="false" customHeight="true" outlineLevel="0" collapsed="false">
      <c r="A1034" s="6" t="s">
        <v>4194</v>
      </c>
      <c r="B1034" s="6" t="s">
        <v>6866</v>
      </c>
      <c r="C1034" s="6" t="n">
        <v>2</v>
      </c>
      <c r="D1034" s="6" t="n">
        <v>11</v>
      </c>
      <c r="E1034" s="6" t="n">
        <v>1</v>
      </c>
      <c r="F1034" s="6" t="s">
        <v>4191</v>
      </c>
      <c r="G1034" s="28" t="str">
        <f aca="false">IFERROR(INDEX('Semrush Data'!$A$1:$Z$20000,MATCH(A1034,'Semrush Data'!$A$1:$A$20000,0),MATCH("Volume",'Semrush Data'!$A$1:$Z$1,0)),"")</f>
        <v/>
      </c>
      <c r="H1034" s="6" t="str">
        <f aca="false">IFERROR(INDEX('Semrush Data'!$A$1:$Z$20000,MATCH(A1034,'Semrush Data'!$A$1:$A$20000,0),MATCH("Keyword Difficulty*",'Semrush Data'!$A$1:$Z$1,0)),"")</f>
        <v/>
      </c>
      <c r="I1034" s="29" t="str">
        <f aca="false">IFERROR(INDEX('Semrush Data'!$A$1:$Z$20000,MATCH(A1034,'Semrush Data'!$A$1:$A$20000,0),MATCH("CPC*",'Semrush Data'!$A$1:$Z$1,0)),"")</f>
        <v/>
      </c>
      <c r="J1034" s="6" t="str">
        <f aca="false">IFERROR(INDEX('Semrush Data'!$A$1:$Z$20000,MATCH(A1034,'Semrush Data'!$A$1:$A$20000,0),MATCH("Intent",'Semrush Data'!$A$1:$Z$1,0)),"")</f>
        <v/>
      </c>
    </row>
    <row r="1035" customFormat="false" ht="15" hidden="false" customHeight="true" outlineLevel="0" collapsed="false">
      <c r="A1035" s="6" t="s">
        <v>4205</v>
      </c>
      <c r="B1035" s="6" t="s">
        <v>6866</v>
      </c>
      <c r="C1035" s="6" t="n">
        <v>2</v>
      </c>
      <c r="D1035" s="6" t="n">
        <v>11</v>
      </c>
      <c r="E1035" s="6" t="n">
        <v>1</v>
      </c>
      <c r="F1035" s="6" t="s">
        <v>4202</v>
      </c>
      <c r="G1035" s="28" t="str">
        <f aca="false">IFERROR(INDEX('Semrush Data'!$A$1:$Z$20000,MATCH(A1035,'Semrush Data'!$A$1:$A$20000,0),MATCH("Volume",'Semrush Data'!$A$1:$Z$1,0)),"")</f>
        <v/>
      </c>
      <c r="H1035" s="6" t="str">
        <f aca="false">IFERROR(INDEX('Semrush Data'!$A$1:$Z$20000,MATCH(A1035,'Semrush Data'!$A$1:$A$20000,0),MATCH("Keyword Difficulty*",'Semrush Data'!$A$1:$Z$1,0)),"")</f>
        <v/>
      </c>
      <c r="I1035" s="29" t="str">
        <f aca="false">IFERROR(INDEX('Semrush Data'!$A$1:$Z$20000,MATCH(A1035,'Semrush Data'!$A$1:$A$20000,0),MATCH("CPC*",'Semrush Data'!$A$1:$Z$1,0)),"")</f>
        <v/>
      </c>
      <c r="J1035" s="6" t="str">
        <f aca="false">IFERROR(INDEX('Semrush Data'!$A$1:$Z$20000,MATCH(A1035,'Semrush Data'!$A$1:$A$20000,0),MATCH("Intent",'Semrush Data'!$A$1:$Z$1,0)),"")</f>
        <v/>
      </c>
    </row>
    <row r="1036" customFormat="false" ht="15" hidden="false" customHeight="true" outlineLevel="0" collapsed="false">
      <c r="A1036" s="6" t="s">
        <v>4215</v>
      </c>
      <c r="B1036" s="6" t="s">
        <v>6866</v>
      </c>
      <c r="C1036" s="6" t="n">
        <v>2</v>
      </c>
      <c r="D1036" s="6" t="n">
        <v>11</v>
      </c>
      <c r="E1036" s="6" t="n">
        <v>1</v>
      </c>
      <c r="F1036" s="6" t="s">
        <v>4212</v>
      </c>
      <c r="G1036" s="28" t="str">
        <f aca="false">IFERROR(INDEX('Semrush Data'!$A$1:$Z$20000,MATCH(A1036,'Semrush Data'!$A$1:$A$20000,0),MATCH("Volume",'Semrush Data'!$A$1:$Z$1,0)),"")</f>
        <v/>
      </c>
      <c r="H1036" s="6" t="str">
        <f aca="false">IFERROR(INDEX('Semrush Data'!$A$1:$Z$20000,MATCH(A1036,'Semrush Data'!$A$1:$A$20000,0),MATCH("Keyword Difficulty*",'Semrush Data'!$A$1:$Z$1,0)),"")</f>
        <v/>
      </c>
      <c r="I1036" s="29" t="str">
        <f aca="false">IFERROR(INDEX('Semrush Data'!$A$1:$Z$20000,MATCH(A1036,'Semrush Data'!$A$1:$A$20000,0),MATCH("CPC*",'Semrush Data'!$A$1:$Z$1,0)),"")</f>
        <v/>
      </c>
      <c r="J1036" s="6" t="str">
        <f aca="false">IFERROR(INDEX('Semrush Data'!$A$1:$Z$20000,MATCH(A1036,'Semrush Data'!$A$1:$A$20000,0),MATCH("Intent",'Semrush Data'!$A$1:$Z$1,0)),"")</f>
        <v/>
      </c>
    </row>
    <row r="1037" customFormat="false" ht="15" hidden="false" customHeight="true" outlineLevel="0" collapsed="false">
      <c r="A1037" s="6" t="s">
        <v>4228</v>
      </c>
      <c r="B1037" s="6" t="s">
        <v>6866</v>
      </c>
      <c r="C1037" s="6" t="n">
        <v>2</v>
      </c>
      <c r="D1037" s="6" t="n">
        <v>11</v>
      </c>
      <c r="E1037" s="6" t="n">
        <v>1</v>
      </c>
      <c r="F1037" s="6" t="s">
        <v>4224</v>
      </c>
      <c r="G1037" s="28" t="str">
        <f aca="false">IFERROR(INDEX('Semrush Data'!$A$1:$Z$20000,MATCH(A1037,'Semrush Data'!$A$1:$A$20000,0),MATCH("Volume",'Semrush Data'!$A$1:$Z$1,0)),"")</f>
        <v/>
      </c>
      <c r="H1037" s="6" t="str">
        <f aca="false">IFERROR(INDEX('Semrush Data'!$A$1:$Z$20000,MATCH(A1037,'Semrush Data'!$A$1:$A$20000,0),MATCH("Keyword Difficulty*",'Semrush Data'!$A$1:$Z$1,0)),"")</f>
        <v/>
      </c>
      <c r="I1037" s="29" t="str">
        <f aca="false">IFERROR(INDEX('Semrush Data'!$A$1:$Z$20000,MATCH(A1037,'Semrush Data'!$A$1:$A$20000,0),MATCH("CPC*",'Semrush Data'!$A$1:$Z$1,0)),"")</f>
        <v/>
      </c>
      <c r="J1037" s="6" t="str">
        <f aca="false">IFERROR(INDEX('Semrush Data'!$A$1:$Z$20000,MATCH(A1037,'Semrush Data'!$A$1:$A$20000,0),MATCH("Intent",'Semrush Data'!$A$1:$Z$1,0)),"")</f>
        <v/>
      </c>
    </row>
    <row r="1038" customFormat="false" ht="15" hidden="false" customHeight="true" outlineLevel="0" collapsed="false">
      <c r="A1038" s="6" t="s">
        <v>4241</v>
      </c>
      <c r="B1038" s="6" t="s">
        <v>6866</v>
      </c>
      <c r="C1038" s="6" t="n">
        <v>2</v>
      </c>
      <c r="D1038" s="6" t="n">
        <v>11</v>
      </c>
      <c r="E1038" s="6" t="n">
        <v>1</v>
      </c>
      <c r="F1038" s="6" t="s">
        <v>4237</v>
      </c>
      <c r="G1038" s="28" t="str">
        <f aca="false">IFERROR(INDEX('Semrush Data'!$A$1:$Z$20000,MATCH(A1038,'Semrush Data'!$A$1:$A$20000,0),MATCH("Volume",'Semrush Data'!$A$1:$Z$1,0)),"")</f>
        <v/>
      </c>
      <c r="H1038" s="6" t="str">
        <f aca="false">IFERROR(INDEX('Semrush Data'!$A$1:$Z$20000,MATCH(A1038,'Semrush Data'!$A$1:$A$20000,0),MATCH("Keyword Difficulty*",'Semrush Data'!$A$1:$Z$1,0)),"")</f>
        <v/>
      </c>
      <c r="I1038" s="29" t="str">
        <f aca="false">IFERROR(INDEX('Semrush Data'!$A$1:$Z$20000,MATCH(A1038,'Semrush Data'!$A$1:$A$20000,0),MATCH("CPC*",'Semrush Data'!$A$1:$Z$1,0)),"")</f>
        <v/>
      </c>
      <c r="J1038" s="6" t="str">
        <f aca="false">IFERROR(INDEX('Semrush Data'!$A$1:$Z$20000,MATCH(A1038,'Semrush Data'!$A$1:$A$20000,0),MATCH("Intent",'Semrush Data'!$A$1:$Z$1,0)),"")</f>
        <v/>
      </c>
    </row>
    <row r="1039" customFormat="false" ht="15" hidden="false" customHeight="true" outlineLevel="0" collapsed="false">
      <c r="A1039" s="6" t="s">
        <v>4252</v>
      </c>
      <c r="B1039" s="6" t="s">
        <v>6866</v>
      </c>
      <c r="C1039" s="6" t="n">
        <v>2</v>
      </c>
      <c r="D1039" s="6" t="n">
        <v>11</v>
      </c>
      <c r="E1039" s="6" t="n">
        <v>1</v>
      </c>
      <c r="F1039" s="6" t="s">
        <v>4249</v>
      </c>
      <c r="G1039" s="28" t="str">
        <f aca="false">IFERROR(INDEX('Semrush Data'!$A$1:$Z$20000,MATCH(A1039,'Semrush Data'!$A$1:$A$20000,0),MATCH("Volume",'Semrush Data'!$A$1:$Z$1,0)),"")</f>
        <v/>
      </c>
      <c r="H1039" s="6" t="str">
        <f aca="false">IFERROR(INDEX('Semrush Data'!$A$1:$Z$20000,MATCH(A1039,'Semrush Data'!$A$1:$A$20000,0),MATCH("Keyword Difficulty*",'Semrush Data'!$A$1:$Z$1,0)),"")</f>
        <v/>
      </c>
      <c r="I1039" s="29" t="str">
        <f aca="false">IFERROR(INDEX('Semrush Data'!$A$1:$Z$20000,MATCH(A1039,'Semrush Data'!$A$1:$A$20000,0),MATCH("CPC*",'Semrush Data'!$A$1:$Z$1,0)),"")</f>
        <v/>
      </c>
      <c r="J1039" s="6" t="str">
        <f aca="false">IFERROR(INDEX('Semrush Data'!$A$1:$Z$20000,MATCH(A1039,'Semrush Data'!$A$1:$A$20000,0),MATCH("Intent",'Semrush Data'!$A$1:$Z$1,0)),"")</f>
        <v/>
      </c>
    </row>
    <row r="1040" customFormat="false" ht="15" hidden="false" customHeight="true" outlineLevel="0" collapsed="false">
      <c r="A1040" s="6" t="s">
        <v>4263</v>
      </c>
      <c r="B1040" s="6" t="s">
        <v>6866</v>
      </c>
      <c r="C1040" s="6" t="n">
        <v>2</v>
      </c>
      <c r="D1040" s="6" t="n">
        <v>11</v>
      </c>
      <c r="E1040" s="6" t="n">
        <v>1</v>
      </c>
      <c r="F1040" s="6" t="s">
        <v>4260</v>
      </c>
      <c r="G1040" s="28" t="str">
        <f aca="false">IFERROR(INDEX('Semrush Data'!$A$1:$Z$20000,MATCH(A1040,'Semrush Data'!$A$1:$A$20000,0),MATCH("Volume",'Semrush Data'!$A$1:$Z$1,0)),"")</f>
        <v/>
      </c>
      <c r="H1040" s="6" t="str">
        <f aca="false">IFERROR(INDEX('Semrush Data'!$A$1:$Z$20000,MATCH(A1040,'Semrush Data'!$A$1:$A$20000,0),MATCH("Keyword Difficulty*",'Semrush Data'!$A$1:$Z$1,0)),"")</f>
        <v/>
      </c>
      <c r="I1040" s="29" t="str">
        <f aca="false">IFERROR(INDEX('Semrush Data'!$A$1:$Z$20000,MATCH(A1040,'Semrush Data'!$A$1:$A$20000,0),MATCH("CPC*",'Semrush Data'!$A$1:$Z$1,0)),"")</f>
        <v/>
      </c>
      <c r="J1040" s="6" t="str">
        <f aca="false">IFERROR(INDEX('Semrush Data'!$A$1:$Z$20000,MATCH(A1040,'Semrush Data'!$A$1:$A$20000,0),MATCH("Intent",'Semrush Data'!$A$1:$Z$1,0)),"")</f>
        <v/>
      </c>
    </row>
    <row r="1041" customFormat="false" ht="15" hidden="false" customHeight="true" outlineLevel="0" collapsed="false">
      <c r="A1041" s="6" t="s">
        <v>4275</v>
      </c>
      <c r="B1041" s="6" t="s">
        <v>6866</v>
      </c>
      <c r="C1041" s="6" t="n">
        <v>2</v>
      </c>
      <c r="D1041" s="6" t="n">
        <v>11</v>
      </c>
      <c r="E1041" s="6" t="n">
        <v>1</v>
      </c>
      <c r="F1041" s="6" t="s">
        <v>4272</v>
      </c>
      <c r="G1041" s="28" t="str">
        <f aca="false">IFERROR(INDEX('Semrush Data'!$A$1:$Z$20000,MATCH(A1041,'Semrush Data'!$A$1:$A$20000,0),MATCH("Volume",'Semrush Data'!$A$1:$Z$1,0)),"")</f>
        <v/>
      </c>
      <c r="H1041" s="6" t="str">
        <f aca="false">IFERROR(INDEX('Semrush Data'!$A$1:$Z$20000,MATCH(A1041,'Semrush Data'!$A$1:$A$20000,0),MATCH("Keyword Difficulty*",'Semrush Data'!$A$1:$Z$1,0)),"")</f>
        <v/>
      </c>
      <c r="I1041" s="29" t="str">
        <f aca="false">IFERROR(INDEX('Semrush Data'!$A$1:$Z$20000,MATCH(A1041,'Semrush Data'!$A$1:$A$20000,0),MATCH("CPC*",'Semrush Data'!$A$1:$Z$1,0)),"")</f>
        <v/>
      </c>
      <c r="J1041" s="6" t="str">
        <f aca="false">IFERROR(INDEX('Semrush Data'!$A$1:$Z$20000,MATCH(A1041,'Semrush Data'!$A$1:$A$20000,0),MATCH("Intent",'Semrush Data'!$A$1:$Z$1,0)),"")</f>
        <v/>
      </c>
    </row>
    <row r="1042" customFormat="false" ht="15" hidden="false" customHeight="true" outlineLevel="0" collapsed="false">
      <c r="A1042" s="6" t="s">
        <v>4288</v>
      </c>
      <c r="B1042" s="6" t="s">
        <v>6866</v>
      </c>
      <c r="C1042" s="6" t="n">
        <v>2</v>
      </c>
      <c r="D1042" s="6" t="s">
        <v>6868</v>
      </c>
      <c r="E1042" s="6" t="n">
        <v>1</v>
      </c>
      <c r="F1042" s="6" t="s">
        <v>4283</v>
      </c>
      <c r="G1042" s="28" t="n">
        <f aca="false">IFERROR(INDEX('Semrush Data'!$A$1:$Z$20000,MATCH(A1042,'Semrush Data'!$A$1:$A$20000,0),MATCH("Volume",'Semrush Data'!$A$1:$Z$1,0)),"")</f>
        <v>0</v>
      </c>
      <c r="H1042" s="6" t="n">
        <f aca="false">IFERROR(INDEX('Semrush Data'!$A$1:$Z$20000,MATCH(A1042,'Semrush Data'!$A$1:$A$20000,0),MATCH("Keyword Difficulty*",'Semrush Data'!$A$1:$Z$1,0)),"")</f>
        <v>17</v>
      </c>
      <c r="I1042" s="29" t="n">
        <f aca="false">IFERROR(INDEX('Semrush Data'!$A$1:$Z$20000,MATCH(A1042,'Semrush Data'!$A$1:$A$20000,0),MATCH("CPC*",'Semrush Data'!$A$1:$Z$1,0)),"")</f>
        <v>0</v>
      </c>
      <c r="J1042" s="6" t="str">
        <f aca="false">IFERROR(INDEX('Semrush Data'!$A$1:$Z$20000,MATCH(A1042,'Semrush Data'!$A$1:$A$20000,0),MATCH("Intent",'Semrush Data'!$A$1:$Z$1,0)),"")</f>
        <v>Informational</v>
      </c>
    </row>
    <row r="1043" customFormat="false" ht="15" hidden="false" customHeight="true" outlineLevel="0" collapsed="false">
      <c r="A1043" s="6" t="s">
        <v>4300</v>
      </c>
      <c r="B1043" s="6" t="s">
        <v>6866</v>
      </c>
      <c r="C1043" s="6" t="n">
        <v>2</v>
      </c>
      <c r="D1043" s="6" t="n">
        <v>11</v>
      </c>
      <c r="E1043" s="6" t="n">
        <v>1</v>
      </c>
      <c r="F1043" s="6" t="s">
        <v>4297</v>
      </c>
      <c r="G1043" s="28" t="str">
        <f aca="false">IFERROR(INDEX('Semrush Data'!$A$1:$Z$20000,MATCH(A1043,'Semrush Data'!$A$1:$A$20000,0),MATCH("Volume",'Semrush Data'!$A$1:$Z$1,0)),"")</f>
        <v/>
      </c>
      <c r="H1043" s="6" t="str">
        <f aca="false">IFERROR(INDEX('Semrush Data'!$A$1:$Z$20000,MATCH(A1043,'Semrush Data'!$A$1:$A$20000,0),MATCH("Keyword Difficulty*",'Semrush Data'!$A$1:$Z$1,0)),"")</f>
        <v/>
      </c>
      <c r="I1043" s="29" t="str">
        <f aca="false">IFERROR(INDEX('Semrush Data'!$A$1:$Z$20000,MATCH(A1043,'Semrush Data'!$A$1:$A$20000,0),MATCH("CPC*",'Semrush Data'!$A$1:$Z$1,0)),"")</f>
        <v/>
      </c>
      <c r="J1043" s="6" t="str">
        <f aca="false">IFERROR(INDEX('Semrush Data'!$A$1:$Z$20000,MATCH(A1043,'Semrush Data'!$A$1:$A$20000,0),MATCH("Intent",'Semrush Data'!$A$1:$Z$1,0)),"")</f>
        <v/>
      </c>
    </row>
    <row r="1044" customFormat="false" ht="15" hidden="false" customHeight="true" outlineLevel="0" collapsed="false">
      <c r="A1044" s="6" t="s">
        <v>4312</v>
      </c>
      <c r="B1044" s="6" t="s">
        <v>6866</v>
      </c>
      <c r="C1044" s="6" t="n">
        <v>2</v>
      </c>
      <c r="D1044" s="6" t="n">
        <v>11</v>
      </c>
      <c r="E1044" s="6" t="n">
        <v>1</v>
      </c>
      <c r="F1044" s="6" t="s">
        <v>4309</v>
      </c>
      <c r="G1044" s="28" t="str">
        <f aca="false">IFERROR(INDEX('Semrush Data'!$A$1:$Z$20000,MATCH(A1044,'Semrush Data'!$A$1:$A$20000,0),MATCH("Volume",'Semrush Data'!$A$1:$Z$1,0)),"")</f>
        <v/>
      </c>
      <c r="H1044" s="6" t="str">
        <f aca="false">IFERROR(INDEX('Semrush Data'!$A$1:$Z$20000,MATCH(A1044,'Semrush Data'!$A$1:$A$20000,0),MATCH("Keyword Difficulty*",'Semrush Data'!$A$1:$Z$1,0)),"")</f>
        <v/>
      </c>
      <c r="I1044" s="29" t="str">
        <f aca="false">IFERROR(INDEX('Semrush Data'!$A$1:$Z$20000,MATCH(A1044,'Semrush Data'!$A$1:$A$20000,0),MATCH("CPC*",'Semrush Data'!$A$1:$Z$1,0)),"")</f>
        <v/>
      </c>
      <c r="J1044" s="6" t="str">
        <f aca="false">IFERROR(INDEX('Semrush Data'!$A$1:$Z$20000,MATCH(A1044,'Semrush Data'!$A$1:$A$20000,0),MATCH("Intent",'Semrush Data'!$A$1:$Z$1,0)),"")</f>
        <v/>
      </c>
    </row>
    <row r="1045" customFormat="false" ht="15" hidden="false" customHeight="true" outlineLevel="0" collapsed="false">
      <c r="A1045" s="6" t="s">
        <v>4323</v>
      </c>
      <c r="B1045" s="6" t="s">
        <v>6866</v>
      </c>
      <c r="C1045" s="6" t="n">
        <v>2</v>
      </c>
      <c r="D1045" s="6" t="n">
        <v>11</v>
      </c>
      <c r="E1045" s="6" t="n">
        <v>1</v>
      </c>
      <c r="F1045" s="6" t="s">
        <v>4320</v>
      </c>
      <c r="G1045" s="28" t="str">
        <f aca="false">IFERROR(INDEX('Semrush Data'!$A$1:$Z$20000,MATCH(A1045,'Semrush Data'!$A$1:$A$20000,0),MATCH("Volume",'Semrush Data'!$A$1:$Z$1,0)),"")</f>
        <v/>
      </c>
      <c r="H1045" s="6" t="str">
        <f aca="false">IFERROR(INDEX('Semrush Data'!$A$1:$Z$20000,MATCH(A1045,'Semrush Data'!$A$1:$A$20000,0),MATCH("Keyword Difficulty*",'Semrush Data'!$A$1:$Z$1,0)),"")</f>
        <v/>
      </c>
      <c r="I1045" s="29" t="str">
        <f aca="false">IFERROR(INDEX('Semrush Data'!$A$1:$Z$20000,MATCH(A1045,'Semrush Data'!$A$1:$A$20000,0),MATCH("CPC*",'Semrush Data'!$A$1:$Z$1,0)),"")</f>
        <v/>
      </c>
      <c r="J1045" s="6" t="str">
        <f aca="false">IFERROR(INDEX('Semrush Data'!$A$1:$Z$20000,MATCH(A1045,'Semrush Data'!$A$1:$A$20000,0),MATCH("Intent",'Semrush Data'!$A$1:$Z$1,0)),"")</f>
        <v/>
      </c>
    </row>
    <row r="1046" customFormat="false" ht="15" hidden="false" customHeight="true" outlineLevel="0" collapsed="false">
      <c r="A1046" s="6" t="s">
        <v>4332</v>
      </c>
      <c r="B1046" s="6" t="s">
        <v>6866</v>
      </c>
      <c r="C1046" s="6" t="n">
        <v>2</v>
      </c>
      <c r="D1046" s="6" t="s">
        <v>6867</v>
      </c>
      <c r="E1046" s="6" t="n">
        <v>1</v>
      </c>
      <c r="F1046" s="6" t="s">
        <v>83</v>
      </c>
      <c r="G1046" s="28" t="n">
        <f aca="false">IFERROR(INDEX('Semrush Data'!$A$1:$Z$20000,MATCH(A1046,'Semrush Data'!$A$1:$A$20000,0),MATCH("Volume",'Semrush Data'!$A$1:$Z$1,0)),"")</f>
        <v>110</v>
      </c>
      <c r="H1046" s="6" t="n">
        <f aca="false">IFERROR(INDEX('Semrush Data'!$A$1:$Z$20000,MATCH(A1046,'Semrush Data'!$A$1:$A$20000,0),MATCH("Keyword Difficulty*",'Semrush Data'!$A$1:$Z$1,0)),"")</f>
        <v>19</v>
      </c>
      <c r="I1046" s="29" t="n">
        <f aca="false">IFERROR(INDEX('Semrush Data'!$A$1:$Z$20000,MATCH(A1046,'Semrush Data'!$A$1:$A$20000,0),MATCH("CPC*",'Semrush Data'!$A$1:$Z$1,0)),"")</f>
        <v>0.64</v>
      </c>
      <c r="J1046" s="6" t="str">
        <f aca="false">IFERROR(INDEX('Semrush Data'!$A$1:$Z$20000,MATCH(A1046,'Semrush Data'!$A$1:$A$20000,0),MATCH("Intent",'Semrush Data'!$A$1:$Z$1,0)),"")</f>
        <v>Informational</v>
      </c>
    </row>
    <row r="1047" customFormat="false" ht="15" hidden="false" customHeight="true" outlineLevel="0" collapsed="false">
      <c r="A1047" s="6" t="s">
        <v>4344</v>
      </c>
      <c r="B1047" s="6" t="s">
        <v>6866</v>
      </c>
      <c r="C1047" s="6" t="n">
        <v>2</v>
      </c>
      <c r="D1047" s="6" t="n">
        <v>11</v>
      </c>
      <c r="E1047" s="6" t="n">
        <v>1</v>
      </c>
      <c r="F1047" s="6" t="s">
        <v>4341</v>
      </c>
      <c r="G1047" s="28" t="str">
        <f aca="false">IFERROR(INDEX('Semrush Data'!$A$1:$Z$20000,MATCH(A1047,'Semrush Data'!$A$1:$A$20000,0),MATCH("Volume",'Semrush Data'!$A$1:$Z$1,0)),"")</f>
        <v/>
      </c>
      <c r="H1047" s="6" t="str">
        <f aca="false">IFERROR(INDEX('Semrush Data'!$A$1:$Z$20000,MATCH(A1047,'Semrush Data'!$A$1:$A$20000,0),MATCH("Keyword Difficulty*",'Semrush Data'!$A$1:$Z$1,0)),"")</f>
        <v/>
      </c>
      <c r="I1047" s="29" t="str">
        <f aca="false">IFERROR(INDEX('Semrush Data'!$A$1:$Z$20000,MATCH(A1047,'Semrush Data'!$A$1:$A$20000,0),MATCH("CPC*",'Semrush Data'!$A$1:$Z$1,0)),"")</f>
        <v/>
      </c>
      <c r="J1047" s="6" t="str">
        <f aca="false">IFERROR(INDEX('Semrush Data'!$A$1:$Z$20000,MATCH(A1047,'Semrush Data'!$A$1:$A$20000,0),MATCH("Intent",'Semrush Data'!$A$1:$Z$1,0)),"")</f>
        <v/>
      </c>
    </row>
    <row r="1048" customFormat="false" ht="15" hidden="false" customHeight="true" outlineLevel="0" collapsed="false">
      <c r="A1048" s="6" t="s">
        <v>4355</v>
      </c>
      <c r="B1048" s="6" t="s">
        <v>6866</v>
      </c>
      <c r="C1048" s="6" t="n">
        <v>2</v>
      </c>
      <c r="D1048" s="6" t="n">
        <v>11</v>
      </c>
      <c r="E1048" s="6" t="n">
        <v>1</v>
      </c>
      <c r="F1048" s="6" t="s">
        <v>4352</v>
      </c>
      <c r="G1048" s="28" t="str">
        <f aca="false">IFERROR(INDEX('Semrush Data'!$A$1:$Z$20000,MATCH(A1048,'Semrush Data'!$A$1:$A$20000,0),MATCH("Volume",'Semrush Data'!$A$1:$Z$1,0)),"")</f>
        <v/>
      </c>
      <c r="H1048" s="6" t="str">
        <f aca="false">IFERROR(INDEX('Semrush Data'!$A$1:$Z$20000,MATCH(A1048,'Semrush Data'!$A$1:$A$20000,0),MATCH("Keyword Difficulty*",'Semrush Data'!$A$1:$Z$1,0)),"")</f>
        <v/>
      </c>
      <c r="I1048" s="29" t="str">
        <f aca="false">IFERROR(INDEX('Semrush Data'!$A$1:$Z$20000,MATCH(A1048,'Semrush Data'!$A$1:$A$20000,0),MATCH("CPC*",'Semrush Data'!$A$1:$Z$1,0)),"")</f>
        <v/>
      </c>
      <c r="J1048" s="6" t="str">
        <f aca="false">IFERROR(INDEX('Semrush Data'!$A$1:$Z$20000,MATCH(A1048,'Semrush Data'!$A$1:$A$20000,0),MATCH("Intent",'Semrush Data'!$A$1:$Z$1,0)),"")</f>
        <v/>
      </c>
    </row>
    <row r="1049" customFormat="false" ht="15" hidden="false" customHeight="true" outlineLevel="0" collapsed="false">
      <c r="A1049" s="6" t="s">
        <v>4366</v>
      </c>
      <c r="B1049" s="6" t="s">
        <v>6866</v>
      </c>
      <c r="C1049" s="6" t="n">
        <v>2</v>
      </c>
      <c r="D1049" s="6" t="n">
        <v>11</v>
      </c>
      <c r="E1049" s="6" t="n">
        <v>1</v>
      </c>
      <c r="F1049" s="6" t="s">
        <v>4363</v>
      </c>
      <c r="G1049" s="28" t="str">
        <f aca="false">IFERROR(INDEX('Semrush Data'!$A$1:$Z$20000,MATCH(A1049,'Semrush Data'!$A$1:$A$20000,0),MATCH("Volume",'Semrush Data'!$A$1:$Z$1,0)),"")</f>
        <v/>
      </c>
      <c r="H1049" s="6" t="str">
        <f aca="false">IFERROR(INDEX('Semrush Data'!$A$1:$Z$20000,MATCH(A1049,'Semrush Data'!$A$1:$A$20000,0),MATCH("Keyword Difficulty*",'Semrush Data'!$A$1:$Z$1,0)),"")</f>
        <v/>
      </c>
      <c r="I1049" s="29" t="str">
        <f aca="false">IFERROR(INDEX('Semrush Data'!$A$1:$Z$20000,MATCH(A1049,'Semrush Data'!$A$1:$A$20000,0),MATCH("CPC*",'Semrush Data'!$A$1:$Z$1,0)),"")</f>
        <v/>
      </c>
      <c r="J1049" s="6" t="str">
        <f aca="false">IFERROR(INDEX('Semrush Data'!$A$1:$Z$20000,MATCH(A1049,'Semrush Data'!$A$1:$A$20000,0),MATCH("Intent",'Semrush Data'!$A$1:$Z$1,0)),"")</f>
        <v/>
      </c>
    </row>
    <row r="1050" customFormat="false" ht="15" hidden="false" customHeight="true" outlineLevel="0" collapsed="false">
      <c r="A1050" s="6" t="s">
        <v>4377</v>
      </c>
      <c r="B1050" s="6" t="s">
        <v>6866</v>
      </c>
      <c r="C1050" s="6" t="n">
        <v>2</v>
      </c>
      <c r="D1050" s="6" t="s">
        <v>6867</v>
      </c>
      <c r="E1050" s="6" t="n">
        <v>1</v>
      </c>
      <c r="F1050" s="6" t="s">
        <v>4374</v>
      </c>
      <c r="G1050" s="28" t="n">
        <f aca="false">IFERROR(INDEX('Semrush Data'!$A$1:$Z$20000,MATCH(A1050,'Semrush Data'!$A$1:$A$20000,0),MATCH("Volume",'Semrush Data'!$A$1:$Z$1,0)),"")</f>
        <v>0</v>
      </c>
      <c r="H1050" s="6" t="n">
        <f aca="false">IFERROR(INDEX('Semrush Data'!$A$1:$Z$20000,MATCH(A1050,'Semrush Data'!$A$1:$A$20000,0),MATCH("Keyword Difficulty*",'Semrush Data'!$A$1:$Z$1,0)),"")</f>
        <v>25</v>
      </c>
      <c r="I1050" s="29" t="n">
        <f aca="false">IFERROR(INDEX('Semrush Data'!$A$1:$Z$20000,MATCH(A1050,'Semrush Data'!$A$1:$A$20000,0),MATCH("CPC*",'Semrush Data'!$A$1:$Z$1,0)),"")</f>
        <v>0</v>
      </c>
      <c r="J1050" s="6" t="str">
        <f aca="false">IFERROR(INDEX('Semrush Data'!$A$1:$Z$20000,MATCH(A1050,'Semrush Data'!$A$1:$A$20000,0),MATCH("Intent",'Semrush Data'!$A$1:$Z$1,0)),"")</f>
        <v>Informational</v>
      </c>
    </row>
    <row r="1051" customFormat="false" ht="15" hidden="false" customHeight="true" outlineLevel="0" collapsed="false">
      <c r="A1051" s="6" t="s">
        <v>4388</v>
      </c>
      <c r="B1051" s="6" t="s">
        <v>6866</v>
      </c>
      <c r="C1051" s="6" t="n">
        <v>2</v>
      </c>
      <c r="D1051" s="6" t="s">
        <v>6868</v>
      </c>
      <c r="E1051" s="6" t="n">
        <v>1</v>
      </c>
      <c r="F1051" s="6" t="s">
        <v>4385</v>
      </c>
      <c r="G1051" s="28" t="n">
        <f aca="false">IFERROR(INDEX('Semrush Data'!$A$1:$Z$20000,MATCH(A1051,'Semrush Data'!$A$1:$A$20000,0),MATCH("Volume",'Semrush Data'!$A$1:$Z$1,0)),"")</f>
        <v>0</v>
      </c>
      <c r="H1051" s="6" t="n">
        <f aca="false">IFERROR(INDEX('Semrush Data'!$A$1:$Z$20000,MATCH(A1051,'Semrush Data'!$A$1:$A$20000,0),MATCH("Keyword Difficulty*",'Semrush Data'!$A$1:$Z$1,0)),"")</f>
        <v>14</v>
      </c>
      <c r="I1051" s="29" t="n">
        <f aca="false">IFERROR(INDEX('Semrush Data'!$A$1:$Z$20000,MATCH(A1051,'Semrush Data'!$A$1:$A$20000,0),MATCH("CPC*",'Semrush Data'!$A$1:$Z$1,0)),"")</f>
        <v>0</v>
      </c>
      <c r="J1051" s="6" t="str">
        <f aca="false">IFERROR(INDEX('Semrush Data'!$A$1:$Z$20000,MATCH(A1051,'Semrush Data'!$A$1:$A$20000,0),MATCH("Intent",'Semrush Data'!$A$1:$Z$1,0)),"")</f>
        <v>Informational</v>
      </c>
    </row>
    <row r="1052" customFormat="false" ht="15" hidden="false" customHeight="true" outlineLevel="0" collapsed="false">
      <c r="A1052" s="6" t="s">
        <v>4618</v>
      </c>
      <c r="B1052" s="6" t="s">
        <v>6866</v>
      </c>
      <c r="C1052" s="6" t="n">
        <v>2</v>
      </c>
      <c r="D1052" s="6" t="n">
        <v>11</v>
      </c>
      <c r="E1052" s="6" t="n">
        <v>1</v>
      </c>
      <c r="F1052" s="6" t="s">
        <v>4614</v>
      </c>
      <c r="G1052" s="28" t="str">
        <f aca="false">IFERROR(INDEX('Semrush Data'!$A$1:$Z$20000,MATCH(A1052,'Semrush Data'!$A$1:$A$20000,0),MATCH("Volume",'Semrush Data'!$A$1:$Z$1,0)),"")</f>
        <v/>
      </c>
      <c r="H1052" s="6" t="str">
        <f aca="false">IFERROR(INDEX('Semrush Data'!$A$1:$Z$20000,MATCH(A1052,'Semrush Data'!$A$1:$A$20000,0),MATCH("Keyword Difficulty*",'Semrush Data'!$A$1:$Z$1,0)),"")</f>
        <v/>
      </c>
      <c r="I1052" s="29" t="str">
        <f aca="false">IFERROR(INDEX('Semrush Data'!$A$1:$Z$20000,MATCH(A1052,'Semrush Data'!$A$1:$A$20000,0),MATCH("CPC*",'Semrush Data'!$A$1:$Z$1,0)),"")</f>
        <v/>
      </c>
      <c r="J1052" s="6" t="str">
        <f aca="false">IFERROR(INDEX('Semrush Data'!$A$1:$Z$20000,MATCH(A1052,'Semrush Data'!$A$1:$A$20000,0),MATCH("Intent",'Semrush Data'!$A$1:$Z$1,0)),"")</f>
        <v/>
      </c>
    </row>
    <row r="1053" customFormat="false" ht="15" hidden="false" customHeight="true" outlineLevel="0" collapsed="false">
      <c r="A1053" s="6" t="s">
        <v>4400</v>
      </c>
      <c r="B1053" s="6" t="s">
        <v>6866</v>
      </c>
      <c r="C1053" s="6" t="n">
        <v>2</v>
      </c>
      <c r="D1053" s="6" t="s">
        <v>6868</v>
      </c>
      <c r="E1053" s="6" t="n">
        <v>1</v>
      </c>
      <c r="F1053" s="6" t="s">
        <v>4397</v>
      </c>
      <c r="G1053" s="28" t="n">
        <f aca="false">IFERROR(INDEX('Semrush Data'!$A$1:$Z$20000,MATCH(A1053,'Semrush Data'!$A$1:$A$20000,0),MATCH("Volume",'Semrush Data'!$A$1:$Z$1,0)),"")</f>
        <v>0</v>
      </c>
      <c r="H1053" s="6" t="n">
        <f aca="false">IFERROR(INDEX('Semrush Data'!$A$1:$Z$20000,MATCH(A1053,'Semrush Data'!$A$1:$A$20000,0),MATCH("Keyword Difficulty*",'Semrush Data'!$A$1:$Z$1,0)),"")</f>
        <v>22</v>
      </c>
      <c r="I1053" s="29" t="n">
        <f aca="false">IFERROR(INDEX('Semrush Data'!$A$1:$Z$20000,MATCH(A1053,'Semrush Data'!$A$1:$A$20000,0),MATCH("CPC*",'Semrush Data'!$A$1:$Z$1,0)),"")</f>
        <v>0</v>
      </c>
      <c r="J1053" s="6" t="str">
        <f aca="false">IFERROR(INDEX('Semrush Data'!$A$1:$Z$20000,MATCH(A1053,'Semrush Data'!$A$1:$A$20000,0),MATCH("Intent",'Semrush Data'!$A$1:$Z$1,0)),"")</f>
        <v>Informational Transactional</v>
      </c>
    </row>
    <row r="1054" customFormat="false" ht="15" hidden="false" customHeight="true" outlineLevel="0" collapsed="false">
      <c r="A1054" s="6" t="s">
        <v>4411</v>
      </c>
      <c r="B1054" s="6" t="s">
        <v>6866</v>
      </c>
      <c r="C1054" s="6" t="n">
        <v>2</v>
      </c>
      <c r="D1054" s="6" t="s">
        <v>6868</v>
      </c>
      <c r="E1054" s="6" t="n">
        <v>1</v>
      </c>
      <c r="F1054" s="6" t="s">
        <v>4408</v>
      </c>
      <c r="G1054" s="28" t="n">
        <f aca="false">IFERROR(INDEX('Semrush Data'!$A$1:$Z$20000,MATCH(A1054,'Semrush Data'!$A$1:$A$20000,0),MATCH("Volume",'Semrush Data'!$A$1:$Z$1,0)),"")</f>
        <v>0</v>
      </c>
      <c r="H1054" s="6" t="n">
        <f aca="false">IFERROR(INDEX('Semrush Data'!$A$1:$Z$20000,MATCH(A1054,'Semrush Data'!$A$1:$A$20000,0),MATCH("Keyword Difficulty*",'Semrush Data'!$A$1:$Z$1,0)),"")</f>
        <v>17</v>
      </c>
      <c r="I1054" s="29" t="n">
        <f aca="false">IFERROR(INDEX('Semrush Data'!$A$1:$Z$20000,MATCH(A1054,'Semrush Data'!$A$1:$A$20000,0),MATCH("CPC*",'Semrush Data'!$A$1:$Z$1,0)),"")</f>
        <v>0</v>
      </c>
      <c r="J1054" s="6" t="str">
        <f aca="false">IFERROR(INDEX('Semrush Data'!$A$1:$Z$20000,MATCH(A1054,'Semrush Data'!$A$1:$A$20000,0),MATCH("Intent",'Semrush Data'!$A$1:$Z$1,0)),"")</f>
        <v>Informational Commercial</v>
      </c>
    </row>
    <row r="1055" customFormat="false" ht="15" hidden="false" customHeight="true" outlineLevel="0" collapsed="false">
      <c r="A1055" s="6" t="s">
        <v>4422</v>
      </c>
      <c r="B1055" s="6" t="s">
        <v>6866</v>
      </c>
      <c r="C1055" s="6" t="n">
        <v>2</v>
      </c>
      <c r="D1055" s="6" t="n">
        <v>11</v>
      </c>
      <c r="E1055" s="6" t="n">
        <v>1</v>
      </c>
      <c r="F1055" s="6" t="s">
        <v>4419</v>
      </c>
      <c r="G1055" s="28" t="str">
        <f aca="false">IFERROR(INDEX('Semrush Data'!$A$1:$Z$20000,MATCH(A1055,'Semrush Data'!$A$1:$A$20000,0),MATCH("Volume",'Semrush Data'!$A$1:$Z$1,0)),"")</f>
        <v/>
      </c>
      <c r="H1055" s="6" t="str">
        <f aca="false">IFERROR(INDEX('Semrush Data'!$A$1:$Z$20000,MATCH(A1055,'Semrush Data'!$A$1:$A$20000,0),MATCH("Keyword Difficulty*",'Semrush Data'!$A$1:$Z$1,0)),"")</f>
        <v/>
      </c>
      <c r="I1055" s="29" t="str">
        <f aca="false">IFERROR(INDEX('Semrush Data'!$A$1:$Z$20000,MATCH(A1055,'Semrush Data'!$A$1:$A$20000,0),MATCH("CPC*",'Semrush Data'!$A$1:$Z$1,0)),"")</f>
        <v/>
      </c>
      <c r="J1055" s="6" t="str">
        <f aca="false">IFERROR(INDEX('Semrush Data'!$A$1:$Z$20000,MATCH(A1055,'Semrush Data'!$A$1:$A$20000,0),MATCH("Intent",'Semrush Data'!$A$1:$Z$1,0)),"")</f>
        <v/>
      </c>
    </row>
    <row r="1056" customFormat="false" ht="15" hidden="false" customHeight="true" outlineLevel="0" collapsed="false">
      <c r="A1056" s="6" t="s">
        <v>4431</v>
      </c>
      <c r="B1056" s="6" t="s">
        <v>6866</v>
      </c>
      <c r="C1056" s="6" t="n">
        <v>2</v>
      </c>
      <c r="D1056" s="6" t="s">
        <v>6867</v>
      </c>
      <c r="E1056" s="6" t="n">
        <v>1</v>
      </c>
      <c r="F1056" s="6" t="s">
        <v>99</v>
      </c>
      <c r="G1056" s="28" t="n">
        <f aca="false">IFERROR(INDEX('Semrush Data'!$A$1:$Z$20000,MATCH(A1056,'Semrush Data'!$A$1:$A$20000,0),MATCH("Volume",'Semrush Data'!$A$1:$Z$1,0)),"")</f>
        <v>20</v>
      </c>
      <c r="H1056" s="6" t="n">
        <f aca="false">IFERROR(INDEX('Semrush Data'!$A$1:$Z$20000,MATCH(A1056,'Semrush Data'!$A$1:$A$20000,0),MATCH("Keyword Difficulty*",'Semrush Data'!$A$1:$Z$1,0)),"")</f>
        <v>18</v>
      </c>
      <c r="I1056" s="29" t="n">
        <f aca="false">IFERROR(INDEX('Semrush Data'!$A$1:$Z$20000,MATCH(A1056,'Semrush Data'!$A$1:$A$20000,0),MATCH("CPC*",'Semrush Data'!$A$1:$Z$1,0)),"")</f>
        <v>0</v>
      </c>
      <c r="J1056" s="6" t="str">
        <f aca="false">IFERROR(INDEX('Semrush Data'!$A$1:$Z$20000,MATCH(A1056,'Semrush Data'!$A$1:$A$20000,0),MATCH("Intent",'Semrush Data'!$A$1:$Z$1,0)),"")</f>
        <v>Informational</v>
      </c>
    </row>
    <row r="1057" customFormat="false" ht="15" hidden="false" customHeight="true" outlineLevel="0" collapsed="false">
      <c r="A1057" s="6" t="s">
        <v>4442</v>
      </c>
      <c r="B1057" s="6" t="s">
        <v>6866</v>
      </c>
      <c r="C1057" s="6" t="n">
        <v>2</v>
      </c>
      <c r="D1057" s="6" t="s">
        <v>6868</v>
      </c>
      <c r="E1057" s="6" t="n">
        <v>1</v>
      </c>
      <c r="F1057" s="6" t="s">
        <v>4439</v>
      </c>
      <c r="G1057" s="28" t="n">
        <f aca="false">IFERROR(INDEX('Semrush Data'!$A$1:$Z$20000,MATCH(A1057,'Semrush Data'!$A$1:$A$20000,0),MATCH("Volume",'Semrush Data'!$A$1:$Z$1,0)),"")</f>
        <v>0</v>
      </c>
      <c r="H1057" s="6" t="n">
        <f aca="false">IFERROR(INDEX('Semrush Data'!$A$1:$Z$20000,MATCH(A1057,'Semrush Data'!$A$1:$A$20000,0),MATCH("Keyword Difficulty*",'Semrush Data'!$A$1:$Z$1,0)),"")</f>
        <v>28</v>
      </c>
      <c r="I1057" s="29" t="n">
        <f aca="false">IFERROR(INDEX('Semrush Data'!$A$1:$Z$20000,MATCH(A1057,'Semrush Data'!$A$1:$A$20000,0),MATCH("CPC*",'Semrush Data'!$A$1:$Z$1,0)),"")</f>
        <v>0</v>
      </c>
      <c r="J1057" s="6" t="str">
        <f aca="false">IFERROR(INDEX('Semrush Data'!$A$1:$Z$20000,MATCH(A1057,'Semrush Data'!$A$1:$A$20000,0),MATCH("Intent",'Semrush Data'!$A$1:$Z$1,0)),"")</f>
        <v>Informational</v>
      </c>
    </row>
    <row r="1058" customFormat="false" ht="15" hidden="false" customHeight="true" outlineLevel="0" collapsed="false">
      <c r="A1058" s="6" t="s">
        <v>4453</v>
      </c>
      <c r="B1058" s="6" t="s">
        <v>6866</v>
      </c>
      <c r="C1058" s="6" t="n">
        <v>2</v>
      </c>
      <c r="D1058" s="6" t="n">
        <v>11</v>
      </c>
      <c r="E1058" s="6" t="n">
        <v>1</v>
      </c>
      <c r="F1058" s="6" t="s">
        <v>4450</v>
      </c>
      <c r="G1058" s="28" t="str">
        <f aca="false">IFERROR(INDEX('Semrush Data'!$A$1:$Z$20000,MATCH(A1058,'Semrush Data'!$A$1:$A$20000,0),MATCH("Volume",'Semrush Data'!$A$1:$Z$1,0)),"")</f>
        <v/>
      </c>
      <c r="H1058" s="6" t="str">
        <f aca="false">IFERROR(INDEX('Semrush Data'!$A$1:$Z$20000,MATCH(A1058,'Semrush Data'!$A$1:$A$20000,0),MATCH("Keyword Difficulty*",'Semrush Data'!$A$1:$Z$1,0)),"")</f>
        <v/>
      </c>
      <c r="I1058" s="29" t="str">
        <f aca="false">IFERROR(INDEX('Semrush Data'!$A$1:$Z$20000,MATCH(A1058,'Semrush Data'!$A$1:$A$20000,0),MATCH("CPC*",'Semrush Data'!$A$1:$Z$1,0)),"")</f>
        <v/>
      </c>
      <c r="J1058" s="6" t="str">
        <f aca="false">IFERROR(INDEX('Semrush Data'!$A$1:$Z$20000,MATCH(A1058,'Semrush Data'!$A$1:$A$20000,0),MATCH("Intent",'Semrush Data'!$A$1:$Z$1,0)),"")</f>
        <v/>
      </c>
    </row>
    <row r="1059" customFormat="false" ht="15" hidden="false" customHeight="true" outlineLevel="0" collapsed="false">
      <c r="A1059" s="6" t="s">
        <v>4629</v>
      </c>
      <c r="B1059" s="6" t="s">
        <v>6866</v>
      </c>
      <c r="C1059" s="6" t="n">
        <v>2</v>
      </c>
      <c r="D1059" s="6" t="n">
        <v>11</v>
      </c>
      <c r="E1059" s="6" t="n">
        <v>1</v>
      </c>
      <c r="F1059" s="6" t="s">
        <v>4625</v>
      </c>
      <c r="G1059" s="28" t="str">
        <f aca="false">IFERROR(INDEX('Semrush Data'!$A$1:$Z$20000,MATCH(A1059,'Semrush Data'!$A$1:$A$20000,0),MATCH("Volume",'Semrush Data'!$A$1:$Z$1,0)),"")</f>
        <v/>
      </c>
      <c r="H1059" s="6" t="str">
        <f aca="false">IFERROR(INDEX('Semrush Data'!$A$1:$Z$20000,MATCH(A1059,'Semrush Data'!$A$1:$A$20000,0),MATCH("Keyword Difficulty*",'Semrush Data'!$A$1:$Z$1,0)),"")</f>
        <v/>
      </c>
      <c r="I1059" s="29" t="str">
        <f aca="false">IFERROR(INDEX('Semrush Data'!$A$1:$Z$20000,MATCH(A1059,'Semrush Data'!$A$1:$A$20000,0),MATCH("CPC*",'Semrush Data'!$A$1:$Z$1,0)),"")</f>
        <v/>
      </c>
      <c r="J1059" s="6" t="str">
        <f aca="false">IFERROR(INDEX('Semrush Data'!$A$1:$Z$20000,MATCH(A1059,'Semrush Data'!$A$1:$A$20000,0),MATCH("Intent",'Semrush Data'!$A$1:$Z$1,0)),"")</f>
        <v/>
      </c>
    </row>
    <row r="1060" customFormat="false" ht="15" hidden="false" customHeight="true" outlineLevel="0" collapsed="false">
      <c r="A1060" s="6" t="s">
        <v>4641</v>
      </c>
      <c r="B1060" s="6" t="s">
        <v>6866</v>
      </c>
      <c r="C1060" s="6" t="n">
        <v>2</v>
      </c>
      <c r="D1060" s="6" t="n">
        <v>11</v>
      </c>
      <c r="E1060" s="6" t="n">
        <v>1</v>
      </c>
      <c r="F1060" s="6" t="s">
        <v>4637</v>
      </c>
      <c r="G1060" s="28" t="str">
        <f aca="false">IFERROR(INDEX('Semrush Data'!$A$1:$Z$20000,MATCH(A1060,'Semrush Data'!$A$1:$A$20000,0),MATCH("Volume",'Semrush Data'!$A$1:$Z$1,0)),"")</f>
        <v/>
      </c>
      <c r="H1060" s="6" t="str">
        <f aca="false">IFERROR(INDEX('Semrush Data'!$A$1:$Z$20000,MATCH(A1060,'Semrush Data'!$A$1:$A$20000,0),MATCH("Keyword Difficulty*",'Semrush Data'!$A$1:$Z$1,0)),"")</f>
        <v/>
      </c>
      <c r="I1060" s="29" t="str">
        <f aca="false">IFERROR(INDEX('Semrush Data'!$A$1:$Z$20000,MATCH(A1060,'Semrush Data'!$A$1:$A$20000,0),MATCH("CPC*",'Semrush Data'!$A$1:$Z$1,0)),"")</f>
        <v/>
      </c>
      <c r="J1060" s="6" t="str">
        <f aca="false">IFERROR(INDEX('Semrush Data'!$A$1:$Z$20000,MATCH(A1060,'Semrush Data'!$A$1:$A$20000,0),MATCH("Intent",'Semrush Data'!$A$1:$Z$1,0)),"")</f>
        <v/>
      </c>
    </row>
    <row r="1061" customFormat="false" ht="15" hidden="false" customHeight="true" outlineLevel="0" collapsed="false">
      <c r="A1061" s="6" t="s">
        <v>4652</v>
      </c>
      <c r="B1061" s="6" t="s">
        <v>6866</v>
      </c>
      <c r="C1061" s="6" t="n">
        <v>2</v>
      </c>
      <c r="D1061" s="6" t="s">
        <v>6867</v>
      </c>
      <c r="E1061" s="6" t="n">
        <v>1</v>
      </c>
      <c r="F1061" s="6" t="s">
        <v>115</v>
      </c>
      <c r="G1061" s="28" t="n">
        <f aca="false">IFERROR(INDEX('Semrush Data'!$A$1:$Z$20000,MATCH(A1061,'Semrush Data'!$A$1:$A$20000,0),MATCH("Volume",'Semrush Data'!$A$1:$Z$1,0)),"")</f>
        <v>0</v>
      </c>
      <c r="H1061" s="6" t="n">
        <f aca="false">IFERROR(INDEX('Semrush Data'!$A$1:$Z$20000,MATCH(A1061,'Semrush Data'!$A$1:$A$20000,0),MATCH("Keyword Difficulty*",'Semrush Data'!$A$1:$Z$1,0)),"")</f>
        <v>17</v>
      </c>
      <c r="I1061" s="29" t="n">
        <f aca="false">IFERROR(INDEX('Semrush Data'!$A$1:$Z$20000,MATCH(A1061,'Semrush Data'!$A$1:$A$20000,0),MATCH("CPC*",'Semrush Data'!$A$1:$Z$1,0)),"")</f>
        <v>0</v>
      </c>
      <c r="J1061" s="6" t="str">
        <f aca="false">IFERROR(INDEX('Semrush Data'!$A$1:$Z$20000,MATCH(A1061,'Semrush Data'!$A$1:$A$20000,0),MATCH("Intent",'Semrush Data'!$A$1:$Z$1,0)),"")</f>
        <v>Informational</v>
      </c>
    </row>
    <row r="1062" customFormat="false" ht="15" hidden="false" customHeight="true" outlineLevel="0" collapsed="false">
      <c r="A1062" s="6" t="s">
        <v>4664</v>
      </c>
      <c r="B1062" s="6" t="s">
        <v>6866</v>
      </c>
      <c r="C1062" s="6" t="n">
        <v>2</v>
      </c>
      <c r="D1062" s="6" t="n">
        <v>11</v>
      </c>
      <c r="E1062" s="6" t="n">
        <v>1</v>
      </c>
      <c r="F1062" s="6" t="s">
        <v>4661</v>
      </c>
      <c r="G1062" s="28" t="str">
        <f aca="false">IFERROR(INDEX('Semrush Data'!$A$1:$Z$20000,MATCH(A1062,'Semrush Data'!$A$1:$A$20000,0),MATCH("Volume",'Semrush Data'!$A$1:$Z$1,0)),"")</f>
        <v/>
      </c>
      <c r="H1062" s="6" t="str">
        <f aca="false">IFERROR(INDEX('Semrush Data'!$A$1:$Z$20000,MATCH(A1062,'Semrush Data'!$A$1:$A$20000,0),MATCH("Keyword Difficulty*",'Semrush Data'!$A$1:$Z$1,0)),"")</f>
        <v/>
      </c>
      <c r="I1062" s="29" t="str">
        <f aca="false">IFERROR(INDEX('Semrush Data'!$A$1:$Z$20000,MATCH(A1062,'Semrush Data'!$A$1:$A$20000,0),MATCH("CPC*",'Semrush Data'!$A$1:$Z$1,0)),"")</f>
        <v/>
      </c>
      <c r="J1062" s="6" t="str">
        <f aca="false">IFERROR(INDEX('Semrush Data'!$A$1:$Z$20000,MATCH(A1062,'Semrush Data'!$A$1:$A$20000,0),MATCH("Intent",'Semrush Data'!$A$1:$Z$1,0)),"")</f>
        <v/>
      </c>
    </row>
    <row r="1063" customFormat="false" ht="15" hidden="false" customHeight="true" outlineLevel="0" collapsed="false">
      <c r="A1063" s="6" t="s">
        <v>4749</v>
      </c>
      <c r="B1063" s="6" t="s">
        <v>6866</v>
      </c>
      <c r="C1063" s="6" t="n">
        <v>2</v>
      </c>
      <c r="D1063" s="6" t="s">
        <v>6867</v>
      </c>
      <c r="E1063" s="6" t="n">
        <v>1</v>
      </c>
      <c r="F1063" s="6" t="s">
        <v>4746</v>
      </c>
      <c r="G1063" s="28" t="n">
        <f aca="false">IFERROR(INDEX('Semrush Data'!$A$1:$Z$20000,MATCH(A1063,'Semrush Data'!$A$1:$A$20000,0),MATCH("Volume",'Semrush Data'!$A$1:$Z$1,0)),"")</f>
        <v>0</v>
      </c>
      <c r="H1063" s="6" t="n">
        <f aca="false">IFERROR(INDEX('Semrush Data'!$A$1:$Z$20000,MATCH(A1063,'Semrush Data'!$A$1:$A$20000,0),MATCH("Keyword Difficulty*",'Semrush Data'!$A$1:$Z$1,0)),"")</f>
        <v>15</v>
      </c>
      <c r="I1063" s="29" t="n">
        <f aca="false">IFERROR(INDEX('Semrush Data'!$A$1:$Z$20000,MATCH(A1063,'Semrush Data'!$A$1:$A$20000,0),MATCH("CPC*",'Semrush Data'!$A$1:$Z$1,0)),"")</f>
        <v>0</v>
      </c>
      <c r="J1063" s="6" t="str">
        <f aca="false">IFERROR(INDEX('Semrush Data'!$A$1:$Z$20000,MATCH(A1063,'Semrush Data'!$A$1:$A$20000,0),MATCH("Intent",'Semrush Data'!$A$1:$Z$1,0)),"")</f>
        <v>Informational Transactional</v>
      </c>
    </row>
    <row r="1064" customFormat="false" ht="15" hidden="false" customHeight="true" outlineLevel="0" collapsed="false">
      <c r="A1064" s="6" t="s">
        <v>4728</v>
      </c>
      <c r="B1064" s="6" t="s">
        <v>6866</v>
      </c>
      <c r="C1064" s="6" t="n">
        <v>2</v>
      </c>
      <c r="D1064" s="6" t="n">
        <v>11</v>
      </c>
      <c r="E1064" s="6" t="n">
        <v>1</v>
      </c>
      <c r="F1064" s="6" t="s">
        <v>4725</v>
      </c>
      <c r="G1064" s="28" t="str">
        <f aca="false">IFERROR(INDEX('Semrush Data'!$A$1:$Z$20000,MATCH(A1064,'Semrush Data'!$A$1:$A$20000,0),MATCH("Volume",'Semrush Data'!$A$1:$Z$1,0)),"")</f>
        <v/>
      </c>
      <c r="H1064" s="6" t="str">
        <f aca="false">IFERROR(INDEX('Semrush Data'!$A$1:$Z$20000,MATCH(A1064,'Semrush Data'!$A$1:$A$20000,0),MATCH("Keyword Difficulty*",'Semrush Data'!$A$1:$Z$1,0)),"")</f>
        <v/>
      </c>
      <c r="I1064" s="29" t="str">
        <f aca="false">IFERROR(INDEX('Semrush Data'!$A$1:$Z$20000,MATCH(A1064,'Semrush Data'!$A$1:$A$20000,0),MATCH("CPC*",'Semrush Data'!$A$1:$Z$1,0)),"")</f>
        <v/>
      </c>
      <c r="J1064" s="6" t="str">
        <f aca="false">IFERROR(INDEX('Semrush Data'!$A$1:$Z$20000,MATCH(A1064,'Semrush Data'!$A$1:$A$20000,0),MATCH("Intent",'Semrush Data'!$A$1:$Z$1,0)),"")</f>
        <v/>
      </c>
    </row>
    <row r="1065" customFormat="false" ht="15" hidden="false" customHeight="true" outlineLevel="0" collapsed="false">
      <c r="A1065" s="6" t="s">
        <v>4801</v>
      </c>
      <c r="B1065" s="6" t="s">
        <v>6866</v>
      </c>
      <c r="C1065" s="6" t="n">
        <v>2</v>
      </c>
      <c r="D1065" s="6" t="n">
        <v>11</v>
      </c>
      <c r="E1065" s="6" t="n">
        <v>1</v>
      </c>
      <c r="F1065" s="6" t="s">
        <v>4798</v>
      </c>
      <c r="G1065" s="28" t="str">
        <f aca="false">IFERROR(INDEX('Semrush Data'!$A$1:$Z$20000,MATCH(A1065,'Semrush Data'!$A$1:$A$20000,0),MATCH("Volume",'Semrush Data'!$A$1:$Z$1,0)),"")</f>
        <v/>
      </c>
      <c r="H1065" s="6" t="str">
        <f aca="false">IFERROR(INDEX('Semrush Data'!$A$1:$Z$20000,MATCH(A1065,'Semrush Data'!$A$1:$A$20000,0),MATCH("Keyword Difficulty*",'Semrush Data'!$A$1:$Z$1,0)),"")</f>
        <v/>
      </c>
      <c r="I1065" s="29" t="str">
        <f aca="false">IFERROR(INDEX('Semrush Data'!$A$1:$Z$20000,MATCH(A1065,'Semrush Data'!$A$1:$A$20000,0),MATCH("CPC*",'Semrush Data'!$A$1:$Z$1,0)),"")</f>
        <v/>
      </c>
      <c r="J1065" s="6" t="str">
        <f aca="false">IFERROR(INDEX('Semrush Data'!$A$1:$Z$20000,MATCH(A1065,'Semrush Data'!$A$1:$A$20000,0),MATCH("Intent",'Semrush Data'!$A$1:$Z$1,0)),"")</f>
        <v/>
      </c>
    </row>
    <row r="1066" customFormat="false" ht="15" hidden="false" customHeight="true" outlineLevel="0" collapsed="false">
      <c r="A1066" s="6" t="s">
        <v>4677</v>
      </c>
      <c r="B1066" s="6" t="s">
        <v>6866</v>
      </c>
      <c r="C1066" s="6" t="n">
        <v>2</v>
      </c>
      <c r="D1066" s="6" t="n">
        <v>11</v>
      </c>
      <c r="E1066" s="6" t="n">
        <v>1</v>
      </c>
      <c r="F1066" s="6" t="s">
        <v>4673</v>
      </c>
      <c r="G1066" s="28" t="str">
        <f aca="false">IFERROR(INDEX('Semrush Data'!$A$1:$Z$20000,MATCH(A1066,'Semrush Data'!$A$1:$A$20000,0),MATCH("Volume",'Semrush Data'!$A$1:$Z$1,0)),"")</f>
        <v/>
      </c>
      <c r="H1066" s="6" t="str">
        <f aca="false">IFERROR(INDEX('Semrush Data'!$A$1:$Z$20000,MATCH(A1066,'Semrush Data'!$A$1:$A$20000,0),MATCH("Keyword Difficulty*",'Semrush Data'!$A$1:$Z$1,0)),"")</f>
        <v/>
      </c>
      <c r="I1066" s="29" t="str">
        <f aca="false">IFERROR(INDEX('Semrush Data'!$A$1:$Z$20000,MATCH(A1066,'Semrush Data'!$A$1:$A$20000,0),MATCH("CPC*",'Semrush Data'!$A$1:$Z$1,0)),"")</f>
        <v/>
      </c>
      <c r="J1066" s="6" t="str">
        <f aca="false">IFERROR(INDEX('Semrush Data'!$A$1:$Z$20000,MATCH(A1066,'Semrush Data'!$A$1:$A$20000,0),MATCH("Intent",'Semrush Data'!$A$1:$Z$1,0)),"")</f>
        <v/>
      </c>
    </row>
    <row r="1067" customFormat="false" ht="15" hidden="false" customHeight="true" outlineLevel="0" collapsed="false">
      <c r="A1067" s="6" t="s">
        <v>4686</v>
      </c>
      <c r="B1067" s="6" t="s">
        <v>6866</v>
      </c>
      <c r="C1067" s="6" t="n">
        <v>2</v>
      </c>
      <c r="D1067" s="6" t="s">
        <v>6867</v>
      </c>
      <c r="E1067" s="6" t="n">
        <v>1</v>
      </c>
      <c r="F1067" s="6" t="s">
        <v>67</v>
      </c>
      <c r="G1067" s="28" t="n">
        <f aca="false">IFERROR(INDEX('Semrush Data'!$A$1:$Z$20000,MATCH(A1067,'Semrush Data'!$A$1:$A$20000,0),MATCH("Volume",'Semrush Data'!$A$1:$Z$1,0)),"")</f>
        <v>20</v>
      </c>
      <c r="H1067" s="6" t="n">
        <f aca="false">IFERROR(INDEX('Semrush Data'!$A$1:$Z$20000,MATCH(A1067,'Semrush Data'!$A$1:$A$20000,0),MATCH("Keyword Difficulty*",'Semrush Data'!$A$1:$Z$1,0)),"")</f>
        <v>13</v>
      </c>
      <c r="I1067" s="29" t="n">
        <f aca="false">IFERROR(INDEX('Semrush Data'!$A$1:$Z$20000,MATCH(A1067,'Semrush Data'!$A$1:$A$20000,0),MATCH("CPC*",'Semrush Data'!$A$1:$Z$1,0)),"")</f>
        <v>0</v>
      </c>
      <c r="J1067" s="6" t="str">
        <f aca="false">IFERROR(INDEX('Semrush Data'!$A$1:$Z$20000,MATCH(A1067,'Semrush Data'!$A$1:$A$20000,0),MATCH("Intent",'Semrush Data'!$A$1:$Z$1,0)),"")</f>
        <v>Informational Transactional</v>
      </c>
    </row>
    <row r="1068" customFormat="false" ht="15" hidden="false" customHeight="true" outlineLevel="0" collapsed="false">
      <c r="A1068" s="6" t="s">
        <v>4760</v>
      </c>
      <c r="B1068" s="6" t="s">
        <v>6866</v>
      </c>
      <c r="C1068" s="6" t="n">
        <v>2</v>
      </c>
      <c r="D1068" s="6" t="n">
        <v>11</v>
      </c>
      <c r="E1068" s="6" t="n">
        <v>1</v>
      </c>
      <c r="F1068" s="6" t="s">
        <v>4756</v>
      </c>
      <c r="G1068" s="28" t="str">
        <f aca="false">IFERROR(INDEX('Semrush Data'!$A$1:$Z$20000,MATCH(A1068,'Semrush Data'!$A$1:$A$20000,0),MATCH("Volume",'Semrush Data'!$A$1:$Z$1,0)),"")</f>
        <v/>
      </c>
      <c r="H1068" s="6" t="str">
        <f aca="false">IFERROR(INDEX('Semrush Data'!$A$1:$Z$20000,MATCH(A1068,'Semrush Data'!$A$1:$A$20000,0),MATCH("Keyword Difficulty*",'Semrush Data'!$A$1:$Z$1,0)),"")</f>
        <v/>
      </c>
      <c r="I1068" s="29" t="str">
        <f aca="false">IFERROR(INDEX('Semrush Data'!$A$1:$Z$20000,MATCH(A1068,'Semrush Data'!$A$1:$A$20000,0),MATCH("CPC*",'Semrush Data'!$A$1:$Z$1,0)),"")</f>
        <v/>
      </c>
      <c r="J1068" s="6" t="str">
        <f aca="false">IFERROR(INDEX('Semrush Data'!$A$1:$Z$20000,MATCH(A1068,'Semrush Data'!$A$1:$A$20000,0),MATCH("Intent",'Semrush Data'!$A$1:$Z$1,0)),"")</f>
        <v/>
      </c>
    </row>
    <row r="1069" customFormat="false" ht="15" hidden="false" customHeight="true" outlineLevel="0" collapsed="false">
      <c r="A1069" s="6" t="s">
        <v>4697</v>
      </c>
      <c r="B1069" s="6" t="s">
        <v>6866</v>
      </c>
      <c r="C1069" s="6" t="n">
        <v>2</v>
      </c>
      <c r="D1069" s="6" t="n">
        <v>11</v>
      </c>
      <c r="E1069" s="6" t="n">
        <v>1</v>
      </c>
      <c r="F1069" s="6" t="s">
        <v>4694</v>
      </c>
      <c r="G1069" s="28" t="str">
        <f aca="false">IFERROR(INDEX('Semrush Data'!$A$1:$Z$20000,MATCH(A1069,'Semrush Data'!$A$1:$A$20000,0),MATCH("Volume",'Semrush Data'!$A$1:$Z$1,0)),"")</f>
        <v/>
      </c>
      <c r="H1069" s="6" t="str">
        <f aca="false">IFERROR(INDEX('Semrush Data'!$A$1:$Z$20000,MATCH(A1069,'Semrush Data'!$A$1:$A$20000,0),MATCH("Keyword Difficulty*",'Semrush Data'!$A$1:$Z$1,0)),"")</f>
        <v/>
      </c>
      <c r="I1069" s="29" t="str">
        <f aca="false">IFERROR(INDEX('Semrush Data'!$A$1:$Z$20000,MATCH(A1069,'Semrush Data'!$A$1:$A$20000,0),MATCH("CPC*",'Semrush Data'!$A$1:$Z$1,0)),"")</f>
        <v/>
      </c>
      <c r="J1069" s="6" t="str">
        <f aca="false">IFERROR(INDEX('Semrush Data'!$A$1:$Z$20000,MATCH(A1069,'Semrush Data'!$A$1:$A$20000,0),MATCH("Intent",'Semrush Data'!$A$1:$Z$1,0)),"")</f>
        <v/>
      </c>
    </row>
    <row r="1070" customFormat="false" ht="15" hidden="false" customHeight="true" outlineLevel="0" collapsed="false">
      <c r="A1070" s="6" t="s">
        <v>4771</v>
      </c>
      <c r="B1070" s="6" t="s">
        <v>6866</v>
      </c>
      <c r="C1070" s="6" t="n">
        <v>2</v>
      </c>
      <c r="D1070" s="6" t="n">
        <v>11</v>
      </c>
      <c r="E1070" s="6" t="n">
        <v>1</v>
      </c>
      <c r="F1070" s="6" t="s">
        <v>4768</v>
      </c>
      <c r="G1070" s="28" t="str">
        <f aca="false">IFERROR(INDEX('Semrush Data'!$A$1:$Z$20000,MATCH(A1070,'Semrush Data'!$A$1:$A$20000,0),MATCH("Volume",'Semrush Data'!$A$1:$Z$1,0)),"")</f>
        <v/>
      </c>
      <c r="H1070" s="6" t="str">
        <f aca="false">IFERROR(INDEX('Semrush Data'!$A$1:$Z$20000,MATCH(A1070,'Semrush Data'!$A$1:$A$20000,0),MATCH("Keyword Difficulty*",'Semrush Data'!$A$1:$Z$1,0)),"")</f>
        <v/>
      </c>
      <c r="I1070" s="29" t="str">
        <f aca="false">IFERROR(INDEX('Semrush Data'!$A$1:$Z$20000,MATCH(A1070,'Semrush Data'!$A$1:$A$20000,0),MATCH("CPC*",'Semrush Data'!$A$1:$Z$1,0)),"")</f>
        <v/>
      </c>
      <c r="J1070" s="6" t="str">
        <f aca="false">IFERROR(INDEX('Semrush Data'!$A$1:$Z$20000,MATCH(A1070,'Semrush Data'!$A$1:$A$20000,0),MATCH("Intent",'Semrush Data'!$A$1:$Z$1,0)),"")</f>
        <v/>
      </c>
    </row>
    <row r="1071" customFormat="false" ht="15" hidden="false" customHeight="true" outlineLevel="0" collapsed="false">
      <c r="A1071" s="6" t="s">
        <v>4707</v>
      </c>
      <c r="B1071" s="6" t="s">
        <v>6866</v>
      </c>
      <c r="C1071" s="6" t="n">
        <v>2</v>
      </c>
      <c r="D1071" s="6" t="n">
        <v>11</v>
      </c>
      <c r="E1071" s="6" t="n">
        <v>1</v>
      </c>
      <c r="F1071" s="6" t="s">
        <v>4704</v>
      </c>
      <c r="G1071" s="28" t="str">
        <f aca="false">IFERROR(INDEX('Semrush Data'!$A$1:$Z$20000,MATCH(A1071,'Semrush Data'!$A$1:$A$20000,0),MATCH("Volume",'Semrush Data'!$A$1:$Z$1,0)),"")</f>
        <v/>
      </c>
      <c r="H1071" s="6" t="str">
        <f aca="false">IFERROR(INDEX('Semrush Data'!$A$1:$Z$20000,MATCH(A1071,'Semrush Data'!$A$1:$A$20000,0),MATCH("Keyword Difficulty*",'Semrush Data'!$A$1:$Z$1,0)),"")</f>
        <v/>
      </c>
      <c r="I1071" s="29" t="str">
        <f aca="false">IFERROR(INDEX('Semrush Data'!$A$1:$Z$20000,MATCH(A1071,'Semrush Data'!$A$1:$A$20000,0),MATCH("CPC*",'Semrush Data'!$A$1:$Z$1,0)),"")</f>
        <v/>
      </c>
      <c r="J1071" s="6" t="str">
        <f aca="false">IFERROR(INDEX('Semrush Data'!$A$1:$Z$20000,MATCH(A1071,'Semrush Data'!$A$1:$A$20000,0),MATCH("Intent",'Semrush Data'!$A$1:$Z$1,0)),"")</f>
        <v/>
      </c>
    </row>
    <row r="1072" customFormat="false" ht="15" hidden="false" customHeight="true" outlineLevel="0" collapsed="false">
      <c r="A1072" s="6" t="s">
        <v>4737</v>
      </c>
      <c r="B1072" s="6" t="s">
        <v>6866</v>
      </c>
      <c r="C1072" s="6" t="n">
        <v>2</v>
      </c>
      <c r="D1072" s="6" t="s">
        <v>6867</v>
      </c>
      <c r="E1072" s="6" t="n">
        <v>1</v>
      </c>
      <c r="F1072" s="6" t="s">
        <v>81</v>
      </c>
      <c r="G1072" s="28" t="n">
        <f aca="false">IFERROR(INDEX('Semrush Data'!$A$1:$Z$20000,MATCH(A1072,'Semrush Data'!$A$1:$A$20000,0),MATCH("Volume",'Semrush Data'!$A$1:$Z$1,0)),"")</f>
        <v>0</v>
      </c>
      <c r="H1072" s="6" t="n">
        <f aca="false">IFERROR(INDEX('Semrush Data'!$A$1:$Z$20000,MATCH(A1072,'Semrush Data'!$A$1:$A$20000,0),MATCH("Keyword Difficulty*",'Semrush Data'!$A$1:$Z$1,0)),"")</f>
        <v>28</v>
      </c>
      <c r="I1072" s="29" t="n">
        <f aca="false">IFERROR(INDEX('Semrush Data'!$A$1:$Z$20000,MATCH(A1072,'Semrush Data'!$A$1:$A$20000,0),MATCH("CPC*",'Semrush Data'!$A$1:$Z$1,0)),"")</f>
        <v>0</v>
      </c>
      <c r="J1072" s="6" t="str">
        <f aca="false">IFERROR(INDEX('Semrush Data'!$A$1:$Z$20000,MATCH(A1072,'Semrush Data'!$A$1:$A$20000,0),MATCH("Intent",'Semrush Data'!$A$1:$Z$1,0)),"")</f>
        <v>Navigational</v>
      </c>
    </row>
    <row r="1073" customFormat="false" ht="15" hidden="false" customHeight="true" outlineLevel="0" collapsed="false">
      <c r="A1073" s="6" t="s">
        <v>4717</v>
      </c>
      <c r="B1073" s="6" t="s">
        <v>6866</v>
      </c>
      <c r="C1073" s="6" t="n">
        <v>2</v>
      </c>
      <c r="D1073" s="6" t="s">
        <v>6867</v>
      </c>
      <c r="E1073" s="6" t="n">
        <v>1</v>
      </c>
      <c r="F1073" s="6" t="s">
        <v>59</v>
      </c>
      <c r="G1073" s="28" t="n">
        <f aca="false">IFERROR(INDEX('Semrush Data'!$A$1:$Z$20000,MATCH(A1073,'Semrush Data'!$A$1:$A$20000,0),MATCH("Volume",'Semrush Data'!$A$1:$Z$1,0)),"")</f>
        <v>20</v>
      </c>
      <c r="H1073" s="6" t="n">
        <f aca="false">IFERROR(INDEX('Semrush Data'!$A$1:$Z$20000,MATCH(A1073,'Semrush Data'!$A$1:$A$20000,0),MATCH("Keyword Difficulty*",'Semrush Data'!$A$1:$Z$1,0)),"")</f>
        <v>16</v>
      </c>
      <c r="I1073" s="29" t="n">
        <f aca="false">IFERROR(INDEX('Semrush Data'!$A$1:$Z$20000,MATCH(A1073,'Semrush Data'!$A$1:$A$20000,0),MATCH("CPC*",'Semrush Data'!$A$1:$Z$1,0)),"")</f>
        <v>0.47</v>
      </c>
      <c r="J1073" s="6" t="str">
        <f aca="false">IFERROR(INDEX('Semrush Data'!$A$1:$Z$20000,MATCH(A1073,'Semrush Data'!$A$1:$A$20000,0),MATCH("Intent",'Semrush Data'!$A$1:$Z$1,0)),"")</f>
        <v>Navigational</v>
      </c>
    </row>
    <row r="1074" customFormat="false" ht="15" hidden="false" customHeight="true" outlineLevel="0" collapsed="false">
      <c r="A1074" s="6" t="s">
        <v>4781</v>
      </c>
      <c r="B1074" s="6" t="s">
        <v>6866</v>
      </c>
      <c r="C1074" s="6" t="n">
        <v>2</v>
      </c>
      <c r="D1074" s="6" t="n">
        <v>11</v>
      </c>
      <c r="E1074" s="6" t="n">
        <v>1</v>
      </c>
      <c r="F1074" s="6" t="s">
        <v>4778</v>
      </c>
      <c r="G1074" s="28" t="str">
        <f aca="false">IFERROR(INDEX('Semrush Data'!$A$1:$Z$20000,MATCH(A1074,'Semrush Data'!$A$1:$A$20000,0),MATCH("Volume",'Semrush Data'!$A$1:$Z$1,0)),"")</f>
        <v/>
      </c>
      <c r="H1074" s="6" t="str">
        <f aca="false">IFERROR(INDEX('Semrush Data'!$A$1:$Z$20000,MATCH(A1074,'Semrush Data'!$A$1:$A$20000,0),MATCH("Keyword Difficulty*",'Semrush Data'!$A$1:$Z$1,0)),"")</f>
        <v/>
      </c>
      <c r="I1074" s="29" t="str">
        <f aca="false">IFERROR(INDEX('Semrush Data'!$A$1:$Z$20000,MATCH(A1074,'Semrush Data'!$A$1:$A$20000,0),MATCH("CPC*",'Semrush Data'!$A$1:$Z$1,0)),"")</f>
        <v/>
      </c>
      <c r="J1074" s="6" t="str">
        <f aca="false">IFERROR(INDEX('Semrush Data'!$A$1:$Z$20000,MATCH(A1074,'Semrush Data'!$A$1:$A$20000,0),MATCH("Intent",'Semrush Data'!$A$1:$Z$1,0)),"")</f>
        <v/>
      </c>
    </row>
    <row r="1075" customFormat="false" ht="15" hidden="false" customHeight="true" outlineLevel="0" collapsed="false">
      <c r="A1075" s="6" t="s">
        <v>4791</v>
      </c>
      <c r="B1075" s="6" t="s">
        <v>6866</v>
      </c>
      <c r="C1075" s="6" t="n">
        <v>2</v>
      </c>
      <c r="D1075" s="6" t="s">
        <v>6868</v>
      </c>
      <c r="E1075" s="6" t="n">
        <v>1</v>
      </c>
      <c r="F1075" s="6" t="s">
        <v>4788</v>
      </c>
      <c r="G1075" s="28" t="n">
        <f aca="false">IFERROR(INDEX('Semrush Data'!$A$1:$Z$20000,MATCH(A1075,'Semrush Data'!$A$1:$A$20000,0),MATCH("Volume",'Semrush Data'!$A$1:$Z$1,0)),"")</f>
        <v>0</v>
      </c>
      <c r="H1075" s="6" t="n">
        <f aca="false">IFERROR(INDEX('Semrush Data'!$A$1:$Z$20000,MATCH(A1075,'Semrush Data'!$A$1:$A$20000,0),MATCH("Keyword Difficulty*",'Semrush Data'!$A$1:$Z$1,0)),"")</f>
        <v>23</v>
      </c>
      <c r="I1075" s="29" t="n">
        <f aca="false">IFERROR(INDEX('Semrush Data'!$A$1:$Z$20000,MATCH(A1075,'Semrush Data'!$A$1:$A$20000,0),MATCH("CPC*",'Semrush Data'!$A$1:$Z$1,0)),"")</f>
        <v>0</v>
      </c>
      <c r="J1075" s="6" t="str">
        <f aca="false">IFERROR(INDEX('Semrush Data'!$A$1:$Z$20000,MATCH(A1075,'Semrush Data'!$A$1:$A$20000,0),MATCH("Intent",'Semrush Data'!$A$1:$Z$1,0)),"")</f>
        <v>Transactional Navigational</v>
      </c>
    </row>
    <row r="1076" customFormat="false" ht="15" hidden="false" customHeight="true" outlineLevel="0" collapsed="false">
      <c r="A1076" s="6" t="s">
        <v>4865</v>
      </c>
      <c r="B1076" s="6" t="s">
        <v>6866</v>
      </c>
      <c r="C1076" s="6" t="n">
        <v>2</v>
      </c>
      <c r="D1076" s="6" t="s">
        <v>6868</v>
      </c>
      <c r="E1076" s="6" t="n">
        <v>1</v>
      </c>
      <c r="F1076" s="6" t="s">
        <v>4862</v>
      </c>
      <c r="G1076" s="28" t="n">
        <f aca="false">IFERROR(INDEX('Semrush Data'!$A$1:$Z$20000,MATCH(A1076,'Semrush Data'!$A$1:$A$20000,0),MATCH("Volume",'Semrush Data'!$A$1:$Z$1,0)),"")</f>
        <v>0</v>
      </c>
      <c r="H1076" s="6" t="n">
        <f aca="false">IFERROR(INDEX('Semrush Data'!$A$1:$Z$20000,MATCH(A1076,'Semrush Data'!$A$1:$A$20000,0),MATCH("Keyword Difficulty*",'Semrush Data'!$A$1:$Z$1,0)),"")</f>
        <v>10</v>
      </c>
      <c r="I1076" s="29" t="n">
        <f aca="false">IFERROR(INDEX('Semrush Data'!$A$1:$Z$20000,MATCH(A1076,'Semrush Data'!$A$1:$A$20000,0),MATCH("CPC*",'Semrush Data'!$A$1:$Z$1,0)),"")</f>
        <v>0</v>
      </c>
      <c r="J1076" s="6" t="str">
        <f aca="false">IFERROR(INDEX('Semrush Data'!$A$1:$Z$20000,MATCH(A1076,'Semrush Data'!$A$1:$A$20000,0),MATCH("Intent",'Semrush Data'!$A$1:$Z$1,0)),"")</f>
        <v>Informational Transactional</v>
      </c>
    </row>
    <row r="1077" customFormat="false" ht="15" hidden="false" customHeight="true" outlineLevel="0" collapsed="false">
      <c r="A1077" s="6" t="s">
        <v>4811</v>
      </c>
      <c r="B1077" s="6" t="s">
        <v>6866</v>
      </c>
      <c r="C1077" s="6" t="n">
        <v>2</v>
      </c>
      <c r="D1077" s="6" t="s">
        <v>6867</v>
      </c>
      <c r="E1077" s="6" t="n">
        <v>1</v>
      </c>
      <c r="F1077" s="6" t="s">
        <v>125</v>
      </c>
      <c r="G1077" s="28" t="n">
        <f aca="false">IFERROR(INDEX('Semrush Data'!$A$1:$Z$20000,MATCH(A1077,'Semrush Data'!$A$1:$A$20000,0),MATCH("Volume",'Semrush Data'!$A$1:$Z$1,0)),"")</f>
        <v>0</v>
      </c>
      <c r="H1077" s="6" t="n">
        <f aca="false">IFERROR(INDEX('Semrush Data'!$A$1:$Z$20000,MATCH(A1077,'Semrush Data'!$A$1:$A$20000,0),MATCH("Keyword Difficulty*",'Semrush Data'!$A$1:$Z$1,0)),"")</f>
        <v>24</v>
      </c>
      <c r="I1077" s="29" t="n">
        <f aca="false">IFERROR(INDEX('Semrush Data'!$A$1:$Z$20000,MATCH(A1077,'Semrush Data'!$A$1:$A$20000,0),MATCH("CPC*",'Semrush Data'!$A$1:$Z$1,0)),"")</f>
        <v>0</v>
      </c>
      <c r="J1077" s="6" t="str">
        <f aca="false">IFERROR(INDEX('Semrush Data'!$A$1:$Z$20000,MATCH(A1077,'Semrush Data'!$A$1:$A$20000,0),MATCH("Intent",'Semrush Data'!$A$1:$Z$1,0)),"")</f>
        <v>Transactional Navigational</v>
      </c>
    </row>
    <row r="1078" customFormat="false" ht="15" hidden="false" customHeight="true" outlineLevel="0" collapsed="false">
      <c r="A1078" s="6" t="s">
        <v>4823</v>
      </c>
      <c r="B1078" s="6" t="s">
        <v>6866</v>
      </c>
      <c r="C1078" s="6" t="n">
        <v>2</v>
      </c>
      <c r="D1078" s="6" t="n">
        <v>11</v>
      </c>
      <c r="E1078" s="6" t="n">
        <v>1</v>
      </c>
      <c r="F1078" s="6" t="s">
        <v>4820</v>
      </c>
      <c r="G1078" s="28" t="str">
        <f aca="false">IFERROR(INDEX('Semrush Data'!$A$1:$Z$20000,MATCH(A1078,'Semrush Data'!$A$1:$A$20000,0),MATCH("Volume",'Semrush Data'!$A$1:$Z$1,0)),"")</f>
        <v/>
      </c>
      <c r="H1078" s="6" t="str">
        <f aca="false">IFERROR(INDEX('Semrush Data'!$A$1:$Z$20000,MATCH(A1078,'Semrush Data'!$A$1:$A$20000,0),MATCH("Keyword Difficulty*",'Semrush Data'!$A$1:$Z$1,0)),"")</f>
        <v/>
      </c>
      <c r="I1078" s="29" t="str">
        <f aca="false">IFERROR(INDEX('Semrush Data'!$A$1:$Z$20000,MATCH(A1078,'Semrush Data'!$A$1:$A$20000,0),MATCH("CPC*",'Semrush Data'!$A$1:$Z$1,0)),"")</f>
        <v/>
      </c>
      <c r="J1078" s="6" t="str">
        <f aca="false">IFERROR(INDEX('Semrush Data'!$A$1:$Z$20000,MATCH(A1078,'Semrush Data'!$A$1:$A$20000,0),MATCH("Intent",'Semrush Data'!$A$1:$Z$1,0)),"")</f>
        <v/>
      </c>
    </row>
    <row r="1079" customFormat="false" ht="15" hidden="false" customHeight="true" outlineLevel="0" collapsed="false">
      <c r="A1079" s="6" t="s">
        <v>4876</v>
      </c>
      <c r="B1079" s="6" t="s">
        <v>6866</v>
      </c>
      <c r="C1079" s="6" t="n">
        <v>2</v>
      </c>
      <c r="D1079" s="6" t="n">
        <v>11</v>
      </c>
      <c r="E1079" s="6" t="n">
        <v>1</v>
      </c>
      <c r="F1079" s="6" t="s">
        <v>4873</v>
      </c>
      <c r="G1079" s="28" t="str">
        <f aca="false">IFERROR(INDEX('Semrush Data'!$A$1:$Z$20000,MATCH(A1079,'Semrush Data'!$A$1:$A$20000,0),MATCH("Volume",'Semrush Data'!$A$1:$Z$1,0)),"")</f>
        <v/>
      </c>
      <c r="H1079" s="6" t="str">
        <f aca="false">IFERROR(INDEX('Semrush Data'!$A$1:$Z$20000,MATCH(A1079,'Semrush Data'!$A$1:$A$20000,0),MATCH("Keyword Difficulty*",'Semrush Data'!$A$1:$Z$1,0)),"")</f>
        <v/>
      </c>
      <c r="I1079" s="29" t="str">
        <f aca="false">IFERROR(INDEX('Semrush Data'!$A$1:$Z$20000,MATCH(A1079,'Semrush Data'!$A$1:$A$20000,0),MATCH("CPC*",'Semrush Data'!$A$1:$Z$1,0)),"")</f>
        <v/>
      </c>
      <c r="J1079" s="6" t="str">
        <f aca="false">IFERROR(INDEX('Semrush Data'!$A$1:$Z$20000,MATCH(A1079,'Semrush Data'!$A$1:$A$20000,0),MATCH("Intent",'Semrush Data'!$A$1:$Z$1,0)),"")</f>
        <v/>
      </c>
    </row>
    <row r="1080" customFormat="false" ht="15" hidden="false" customHeight="true" outlineLevel="0" collapsed="false">
      <c r="A1080" s="6" t="s">
        <v>4887</v>
      </c>
      <c r="B1080" s="6" t="s">
        <v>6866</v>
      </c>
      <c r="C1080" s="6" t="n">
        <v>2</v>
      </c>
      <c r="D1080" s="6" t="n">
        <v>11</v>
      </c>
      <c r="E1080" s="6" t="n">
        <v>1</v>
      </c>
      <c r="F1080" s="6" t="s">
        <v>4884</v>
      </c>
      <c r="G1080" s="28" t="str">
        <f aca="false">IFERROR(INDEX('Semrush Data'!$A$1:$Z$20000,MATCH(A1080,'Semrush Data'!$A$1:$A$20000,0),MATCH("Volume",'Semrush Data'!$A$1:$Z$1,0)),"")</f>
        <v/>
      </c>
      <c r="H1080" s="6" t="str">
        <f aca="false">IFERROR(INDEX('Semrush Data'!$A$1:$Z$20000,MATCH(A1080,'Semrush Data'!$A$1:$A$20000,0),MATCH("Keyword Difficulty*",'Semrush Data'!$A$1:$Z$1,0)),"")</f>
        <v/>
      </c>
      <c r="I1080" s="29" t="str">
        <f aca="false">IFERROR(INDEX('Semrush Data'!$A$1:$Z$20000,MATCH(A1080,'Semrush Data'!$A$1:$A$20000,0),MATCH("CPC*",'Semrush Data'!$A$1:$Z$1,0)),"")</f>
        <v/>
      </c>
      <c r="J1080" s="6" t="str">
        <f aca="false">IFERROR(INDEX('Semrush Data'!$A$1:$Z$20000,MATCH(A1080,'Semrush Data'!$A$1:$A$20000,0),MATCH("Intent",'Semrush Data'!$A$1:$Z$1,0)),"")</f>
        <v/>
      </c>
    </row>
    <row r="1081" customFormat="false" ht="15" hidden="false" customHeight="true" outlineLevel="0" collapsed="false">
      <c r="A1081" s="6" t="s">
        <v>4835</v>
      </c>
      <c r="B1081" s="6" t="s">
        <v>6866</v>
      </c>
      <c r="C1081" s="6" t="n">
        <v>2</v>
      </c>
      <c r="D1081" s="6" t="n">
        <v>11</v>
      </c>
      <c r="E1081" s="6" t="n">
        <v>1</v>
      </c>
      <c r="F1081" s="6" t="s">
        <v>4832</v>
      </c>
      <c r="G1081" s="28" t="str">
        <f aca="false">IFERROR(INDEX('Semrush Data'!$A$1:$Z$20000,MATCH(A1081,'Semrush Data'!$A$1:$A$20000,0),MATCH("Volume",'Semrush Data'!$A$1:$Z$1,0)),"")</f>
        <v/>
      </c>
      <c r="H1081" s="6" t="str">
        <f aca="false">IFERROR(INDEX('Semrush Data'!$A$1:$Z$20000,MATCH(A1081,'Semrush Data'!$A$1:$A$20000,0),MATCH("Keyword Difficulty*",'Semrush Data'!$A$1:$Z$1,0)),"")</f>
        <v/>
      </c>
      <c r="I1081" s="29" t="str">
        <f aca="false">IFERROR(INDEX('Semrush Data'!$A$1:$Z$20000,MATCH(A1081,'Semrush Data'!$A$1:$A$20000,0),MATCH("CPC*",'Semrush Data'!$A$1:$Z$1,0)),"")</f>
        <v/>
      </c>
      <c r="J1081" s="6" t="str">
        <f aca="false">IFERROR(INDEX('Semrush Data'!$A$1:$Z$20000,MATCH(A1081,'Semrush Data'!$A$1:$A$20000,0),MATCH("Intent",'Semrush Data'!$A$1:$Z$1,0)),"")</f>
        <v/>
      </c>
    </row>
    <row r="1082" customFormat="false" ht="15" hidden="false" customHeight="true" outlineLevel="0" collapsed="false">
      <c r="A1082" s="6" t="s">
        <v>4845</v>
      </c>
      <c r="B1082" s="6" t="s">
        <v>6866</v>
      </c>
      <c r="C1082" s="6" t="n">
        <v>2</v>
      </c>
      <c r="D1082" s="6" t="s">
        <v>6867</v>
      </c>
      <c r="E1082" s="6" t="n">
        <v>1</v>
      </c>
      <c r="F1082" s="6" t="s">
        <v>113</v>
      </c>
      <c r="G1082" s="28" t="n">
        <f aca="false">IFERROR(INDEX('Semrush Data'!$A$1:$Z$20000,MATCH(A1082,'Semrush Data'!$A$1:$A$20000,0),MATCH("Volume",'Semrush Data'!$A$1:$Z$1,0)),"")</f>
        <v>20</v>
      </c>
      <c r="H1082" s="6" t="n">
        <f aca="false">IFERROR(INDEX('Semrush Data'!$A$1:$Z$20000,MATCH(A1082,'Semrush Data'!$A$1:$A$20000,0),MATCH("Keyword Difficulty*",'Semrush Data'!$A$1:$Z$1,0)),"")</f>
        <v>16</v>
      </c>
      <c r="I1082" s="29" t="n">
        <f aca="false">IFERROR(INDEX('Semrush Data'!$A$1:$Z$20000,MATCH(A1082,'Semrush Data'!$A$1:$A$20000,0),MATCH("CPC*",'Semrush Data'!$A$1:$Z$1,0)),"")</f>
        <v>0</v>
      </c>
      <c r="J1082" s="6" t="str">
        <f aca="false">IFERROR(INDEX('Semrush Data'!$A$1:$Z$20000,MATCH(A1082,'Semrush Data'!$A$1:$A$20000,0),MATCH("Intent",'Semrush Data'!$A$1:$Z$1,0)),"")</f>
        <v>Navigational</v>
      </c>
    </row>
    <row r="1083" customFormat="false" ht="15" hidden="false" customHeight="true" outlineLevel="0" collapsed="false">
      <c r="A1083" s="6" t="s">
        <v>4854</v>
      </c>
      <c r="B1083" s="6" t="s">
        <v>6866</v>
      </c>
      <c r="C1083" s="6" t="n">
        <v>2</v>
      </c>
      <c r="D1083" s="6" t="s">
        <v>6867</v>
      </c>
      <c r="E1083" s="6" t="n">
        <v>1</v>
      </c>
      <c r="F1083" s="6" t="s">
        <v>127</v>
      </c>
      <c r="G1083" s="28" t="n">
        <f aca="false">IFERROR(INDEX('Semrush Data'!$A$1:$Z$20000,MATCH(A1083,'Semrush Data'!$A$1:$A$20000,0),MATCH("Volume",'Semrush Data'!$A$1:$Z$1,0)),"")</f>
        <v>0</v>
      </c>
      <c r="H1083" s="6" t="n">
        <f aca="false">IFERROR(INDEX('Semrush Data'!$A$1:$Z$20000,MATCH(A1083,'Semrush Data'!$A$1:$A$20000,0),MATCH("Keyword Difficulty*",'Semrush Data'!$A$1:$Z$1,0)),"")</f>
        <v>21</v>
      </c>
      <c r="I1083" s="29" t="n">
        <f aca="false">IFERROR(INDEX('Semrush Data'!$A$1:$Z$20000,MATCH(A1083,'Semrush Data'!$A$1:$A$20000,0),MATCH("CPC*",'Semrush Data'!$A$1:$Z$1,0)),"")</f>
        <v>0</v>
      </c>
      <c r="J1083" s="6" t="str">
        <f aca="false">IFERROR(INDEX('Semrush Data'!$A$1:$Z$20000,MATCH(A1083,'Semrush Data'!$A$1:$A$20000,0),MATCH("Intent",'Semrush Data'!$A$1:$Z$1,0)),"")</f>
        <v>Navigational</v>
      </c>
    </row>
    <row r="1084" customFormat="false" ht="15" hidden="false" customHeight="true" outlineLevel="0" collapsed="false">
      <c r="A1084" s="6" t="s">
        <v>4942</v>
      </c>
      <c r="B1084" s="6" t="s">
        <v>6866</v>
      </c>
      <c r="C1084" s="6" t="n">
        <v>2</v>
      </c>
      <c r="D1084" s="6" t="n">
        <v>11</v>
      </c>
      <c r="E1084" s="6" t="n">
        <v>2</v>
      </c>
      <c r="F1084" s="6" t="s">
        <v>6853</v>
      </c>
      <c r="G1084" s="28" t="str">
        <f aca="false">IFERROR(INDEX('Semrush Data'!$A$1:$Z$20000,MATCH(A1084,'Semrush Data'!$A$1:$A$20000,0),MATCH("Volume",'Semrush Data'!$A$1:$Z$1,0)),"")</f>
        <v/>
      </c>
      <c r="H1084" s="6" t="str">
        <f aca="false">IFERROR(INDEX('Semrush Data'!$A$1:$Z$20000,MATCH(A1084,'Semrush Data'!$A$1:$A$20000,0),MATCH("Keyword Difficulty*",'Semrush Data'!$A$1:$Z$1,0)),"")</f>
        <v/>
      </c>
      <c r="I1084" s="29" t="str">
        <f aca="false">IFERROR(INDEX('Semrush Data'!$A$1:$Z$20000,MATCH(A1084,'Semrush Data'!$A$1:$A$20000,0),MATCH("CPC*",'Semrush Data'!$A$1:$Z$1,0)),"")</f>
        <v/>
      </c>
      <c r="J1084" s="6" t="str">
        <f aca="false">IFERROR(INDEX('Semrush Data'!$A$1:$Z$20000,MATCH(A1084,'Semrush Data'!$A$1:$A$20000,0),MATCH("Intent",'Semrush Data'!$A$1:$Z$1,0)),"")</f>
        <v/>
      </c>
    </row>
    <row r="1085" customFormat="false" ht="15" hidden="false" customHeight="true" outlineLevel="0" collapsed="false">
      <c r="A1085" s="6" t="s">
        <v>4898</v>
      </c>
      <c r="B1085" s="6" t="s">
        <v>6866</v>
      </c>
      <c r="C1085" s="6" t="n">
        <v>2</v>
      </c>
      <c r="D1085" s="6" t="n">
        <v>11</v>
      </c>
      <c r="E1085" s="6" t="n">
        <v>2</v>
      </c>
      <c r="F1085" s="6" t="s">
        <v>6854</v>
      </c>
      <c r="G1085" s="28" t="str">
        <f aca="false">IFERROR(INDEX('Semrush Data'!$A$1:$Z$20000,MATCH(A1085,'Semrush Data'!$A$1:$A$20000,0),MATCH("Volume",'Semrush Data'!$A$1:$Z$1,0)),"")</f>
        <v/>
      </c>
      <c r="H1085" s="6" t="str">
        <f aca="false">IFERROR(INDEX('Semrush Data'!$A$1:$Z$20000,MATCH(A1085,'Semrush Data'!$A$1:$A$20000,0),MATCH("Keyword Difficulty*",'Semrush Data'!$A$1:$Z$1,0)),"")</f>
        <v/>
      </c>
      <c r="I1085" s="29" t="str">
        <f aca="false">IFERROR(INDEX('Semrush Data'!$A$1:$Z$20000,MATCH(A1085,'Semrush Data'!$A$1:$A$20000,0),MATCH("CPC*",'Semrush Data'!$A$1:$Z$1,0)),"")</f>
        <v/>
      </c>
      <c r="J1085" s="6" t="str">
        <f aca="false">IFERROR(INDEX('Semrush Data'!$A$1:$Z$20000,MATCH(A1085,'Semrush Data'!$A$1:$A$20000,0),MATCH("Intent",'Semrush Data'!$A$1:$Z$1,0)),"")</f>
        <v/>
      </c>
    </row>
    <row r="1086" customFormat="false" ht="15" hidden="false" customHeight="true" outlineLevel="0" collapsed="false">
      <c r="A1086" s="6" t="s">
        <v>4916</v>
      </c>
      <c r="B1086" s="6" t="s">
        <v>6866</v>
      </c>
      <c r="C1086" s="6" t="n">
        <v>2</v>
      </c>
      <c r="D1086" s="6" t="n">
        <v>11</v>
      </c>
      <c r="E1086" s="6" t="n">
        <v>1</v>
      </c>
      <c r="F1086" s="6" t="s">
        <v>4913</v>
      </c>
      <c r="G1086" s="28" t="str">
        <f aca="false">IFERROR(INDEX('Semrush Data'!$A$1:$Z$20000,MATCH(A1086,'Semrush Data'!$A$1:$A$20000,0),MATCH("Volume",'Semrush Data'!$A$1:$Z$1,0)),"")</f>
        <v/>
      </c>
      <c r="H1086" s="6" t="str">
        <f aca="false">IFERROR(INDEX('Semrush Data'!$A$1:$Z$20000,MATCH(A1086,'Semrush Data'!$A$1:$A$20000,0),MATCH("Keyword Difficulty*",'Semrush Data'!$A$1:$Z$1,0)),"")</f>
        <v/>
      </c>
      <c r="I1086" s="29" t="str">
        <f aca="false">IFERROR(INDEX('Semrush Data'!$A$1:$Z$20000,MATCH(A1086,'Semrush Data'!$A$1:$A$20000,0),MATCH("CPC*",'Semrush Data'!$A$1:$Z$1,0)),"")</f>
        <v/>
      </c>
      <c r="J1086" s="6" t="str">
        <f aca="false">IFERROR(INDEX('Semrush Data'!$A$1:$Z$20000,MATCH(A1086,'Semrush Data'!$A$1:$A$20000,0),MATCH("Intent",'Semrush Data'!$A$1:$Z$1,0)),"")</f>
        <v/>
      </c>
    </row>
    <row r="1087" customFormat="false" ht="15" hidden="false" customHeight="true" outlineLevel="0" collapsed="false">
      <c r="A1087" s="6" t="s">
        <v>4927</v>
      </c>
      <c r="B1087" s="6" t="s">
        <v>6866</v>
      </c>
      <c r="C1087" s="6" t="n">
        <v>2</v>
      </c>
      <c r="D1087" s="6" t="n">
        <v>11</v>
      </c>
      <c r="E1087" s="6" t="n">
        <v>2</v>
      </c>
      <c r="F1087" s="6" t="s">
        <v>6855</v>
      </c>
      <c r="G1087" s="28" t="str">
        <f aca="false">IFERROR(INDEX('Semrush Data'!$A$1:$Z$20000,MATCH(A1087,'Semrush Data'!$A$1:$A$20000,0),MATCH("Volume",'Semrush Data'!$A$1:$Z$1,0)),"")</f>
        <v/>
      </c>
      <c r="H1087" s="6" t="str">
        <f aca="false">IFERROR(INDEX('Semrush Data'!$A$1:$Z$20000,MATCH(A1087,'Semrush Data'!$A$1:$A$20000,0),MATCH("Keyword Difficulty*",'Semrush Data'!$A$1:$Z$1,0)),"")</f>
        <v/>
      </c>
      <c r="I1087" s="29" t="str">
        <f aca="false">IFERROR(INDEX('Semrush Data'!$A$1:$Z$20000,MATCH(A1087,'Semrush Data'!$A$1:$A$20000,0),MATCH("CPC*",'Semrush Data'!$A$1:$Z$1,0)),"")</f>
        <v/>
      </c>
      <c r="J1087" s="6" t="str">
        <f aca="false">IFERROR(INDEX('Semrush Data'!$A$1:$Z$20000,MATCH(A1087,'Semrush Data'!$A$1:$A$20000,0),MATCH("Intent",'Semrush Data'!$A$1:$Z$1,0)),"")</f>
        <v/>
      </c>
    </row>
    <row r="1088" customFormat="false" ht="15" hidden="false" customHeight="true" outlineLevel="0" collapsed="false">
      <c r="A1088" s="6" t="s">
        <v>4957</v>
      </c>
      <c r="B1088" s="6" t="s">
        <v>6866</v>
      </c>
      <c r="C1088" s="6" t="n">
        <v>2</v>
      </c>
      <c r="D1088" s="6" t="n">
        <v>11</v>
      </c>
      <c r="E1088" s="6" t="n">
        <v>1</v>
      </c>
      <c r="F1088" s="6" t="s">
        <v>4954</v>
      </c>
      <c r="G1088" s="28" t="str">
        <f aca="false">IFERROR(INDEX('Semrush Data'!$A$1:$Z$20000,MATCH(A1088,'Semrush Data'!$A$1:$A$20000,0),MATCH("Volume",'Semrush Data'!$A$1:$Z$1,0)),"")</f>
        <v/>
      </c>
      <c r="H1088" s="6" t="str">
        <f aca="false">IFERROR(INDEX('Semrush Data'!$A$1:$Z$20000,MATCH(A1088,'Semrush Data'!$A$1:$A$20000,0),MATCH("Keyword Difficulty*",'Semrush Data'!$A$1:$Z$1,0)),"")</f>
        <v/>
      </c>
      <c r="I1088" s="29" t="str">
        <f aca="false">IFERROR(INDEX('Semrush Data'!$A$1:$Z$20000,MATCH(A1088,'Semrush Data'!$A$1:$A$20000,0),MATCH("CPC*",'Semrush Data'!$A$1:$Z$1,0)),"")</f>
        <v/>
      </c>
      <c r="J1088" s="6" t="str">
        <f aca="false">IFERROR(INDEX('Semrush Data'!$A$1:$Z$20000,MATCH(A1088,'Semrush Data'!$A$1:$A$20000,0),MATCH("Intent",'Semrush Data'!$A$1:$Z$1,0)),"")</f>
        <v/>
      </c>
    </row>
    <row r="1089" customFormat="false" ht="15" hidden="false" customHeight="true" outlineLevel="0" collapsed="false">
      <c r="A1089" s="6" t="s">
        <v>4969</v>
      </c>
      <c r="B1089" s="6" t="s">
        <v>6866</v>
      </c>
      <c r="C1089" s="6" t="n">
        <v>2</v>
      </c>
      <c r="D1089" s="6" t="n">
        <v>11</v>
      </c>
      <c r="E1089" s="6" t="n">
        <v>1</v>
      </c>
      <c r="F1089" s="6" t="s">
        <v>4966</v>
      </c>
      <c r="G1089" s="28" t="str">
        <f aca="false">IFERROR(INDEX('Semrush Data'!$A$1:$Z$20000,MATCH(A1089,'Semrush Data'!$A$1:$A$20000,0),MATCH("Volume",'Semrush Data'!$A$1:$Z$1,0)),"")</f>
        <v/>
      </c>
      <c r="H1089" s="6" t="str">
        <f aca="false">IFERROR(INDEX('Semrush Data'!$A$1:$Z$20000,MATCH(A1089,'Semrush Data'!$A$1:$A$20000,0),MATCH("Keyword Difficulty*",'Semrush Data'!$A$1:$Z$1,0)),"")</f>
        <v/>
      </c>
      <c r="I1089" s="29" t="str">
        <f aca="false">IFERROR(INDEX('Semrush Data'!$A$1:$Z$20000,MATCH(A1089,'Semrush Data'!$A$1:$A$20000,0),MATCH("CPC*",'Semrush Data'!$A$1:$Z$1,0)),"")</f>
        <v/>
      </c>
      <c r="J1089" s="6" t="str">
        <f aca="false">IFERROR(INDEX('Semrush Data'!$A$1:$Z$20000,MATCH(A1089,'Semrush Data'!$A$1:$A$20000,0),MATCH("Intent",'Semrush Data'!$A$1:$Z$1,0)),"")</f>
        <v/>
      </c>
    </row>
    <row r="1090" customFormat="false" ht="15" hidden="false" customHeight="true" outlineLevel="0" collapsed="false">
      <c r="A1090" s="6" t="s">
        <v>4979</v>
      </c>
      <c r="B1090" s="6" t="s">
        <v>6866</v>
      </c>
      <c r="C1090" s="6" t="n">
        <v>2</v>
      </c>
      <c r="D1090" s="6" t="n">
        <v>11</v>
      </c>
      <c r="E1090" s="6" t="n">
        <v>1</v>
      </c>
      <c r="F1090" s="6" t="s">
        <v>4976</v>
      </c>
      <c r="G1090" s="28" t="str">
        <f aca="false">IFERROR(INDEX('Semrush Data'!$A$1:$Z$20000,MATCH(A1090,'Semrush Data'!$A$1:$A$20000,0),MATCH("Volume",'Semrush Data'!$A$1:$Z$1,0)),"")</f>
        <v/>
      </c>
      <c r="H1090" s="6" t="str">
        <f aca="false">IFERROR(INDEX('Semrush Data'!$A$1:$Z$20000,MATCH(A1090,'Semrush Data'!$A$1:$A$20000,0),MATCH("Keyword Difficulty*",'Semrush Data'!$A$1:$Z$1,0)),"")</f>
        <v/>
      </c>
      <c r="I1090" s="29" t="str">
        <f aca="false">IFERROR(INDEX('Semrush Data'!$A$1:$Z$20000,MATCH(A1090,'Semrush Data'!$A$1:$A$20000,0),MATCH("CPC*",'Semrush Data'!$A$1:$Z$1,0)),"")</f>
        <v/>
      </c>
      <c r="J1090" s="6" t="str">
        <f aca="false">IFERROR(INDEX('Semrush Data'!$A$1:$Z$20000,MATCH(A1090,'Semrush Data'!$A$1:$A$20000,0),MATCH("Intent",'Semrush Data'!$A$1:$Z$1,0)),"")</f>
        <v/>
      </c>
    </row>
    <row r="1091" customFormat="false" ht="15" hidden="false" customHeight="true" outlineLevel="0" collapsed="false">
      <c r="A1091" s="6" t="s">
        <v>4989</v>
      </c>
      <c r="B1091" s="6" t="s">
        <v>6866</v>
      </c>
      <c r="C1091" s="6" t="n">
        <v>2</v>
      </c>
      <c r="D1091" s="6" t="n">
        <v>11</v>
      </c>
      <c r="E1091" s="6" t="n">
        <v>2</v>
      </c>
      <c r="F1091" s="6" t="s">
        <v>6856</v>
      </c>
      <c r="G1091" s="28" t="str">
        <f aca="false">IFERROR(INDEX('Semrush Data'!$A$1:$Z$20000,MATCH(A1091,'Semrush Data'!$A$1:$A$20000,0),MATCH("Volume",'Semrush Data'!$A$1:$Z$1,0)),"")</f>
        <v/>
      </c>
      <c r="H1091" s="6" t="str">
        <f aca="false">IFERROR(INDEX('Semrush Data'!$A$1:$Z$20000,MATCH(A1091,'Semrush Data'!$A$1:$A$20000,0),MATCH("Keyword Difficulty*",'Semrush Data'!$A$1:$Z$1,0)),"")</f>
        <v/>
      </c>
      <c r="I1091" s="29" t="str">
        <f aca="false">IFERROR(INDEX('Semrush Data'!$A$1:$Z$20000,MATCH(A1091,'Semrush Data'!$A$1:$A$20000,0),MATCH("CPC*",'Semrush Data'!$A$1:$Z$1,0)),"")</f>
        <v/>
      </c>
      <c r="J1091" s="6" t="str">
        <f aca="false">IFERROR(INDEX('Semrush Data'!$A$1:$Z$20000,MATCH(A1091,'Semrush Data'!$A$1:$A$20000,0),MATCH("Intent",'Semrush Data'!$A$1:$Z$1,0)),"")</f>
        <v/>
      </c>
    </row>
    <row r="1092" customFormat="false" ht="15" hidden="false" customHeight="true" outlineLevel="0" collapsed="false">
      <c r="A1092" s="6" t="s">
        <v>5004</v>
      </c>
      <c r="B1092" s="6" t="s">
        <v>6866</v>
      </c>
      <c r="C1092" s="6" t="n">
        <v>2</v>
      </c>
      <c r="D1092" s="6" t="n">
        <v>11</v>
      </c>
      <c r="E1092" s="6" t="n">
        <v>2</v>
      </c>
      <c r="F1092" s="6" t="s">
        <v>6857</v>
      </c>
      <c r="G1092" s="28" t="str">
        <f aca="false">IFERROR(INDEX('Semrush Data'!$A$1:$Z$20000,MATCH(A1092,'Semrush Data'!$A$1:$A$20000,0),MATCH("Volume",'Semrush Data'!$A$1:$Z$1,0)),"")</f>
        <v/>
      </c>
      <c r="H1092" s="6" t="str">
        <f aca="false">IFERROR(INDEX('Semrush Data'!$A$1:$Z$20000,MATCH(A1092,'Semrush Data'!$A$1:$A$20000,0),MATCH("Keyword Difficulty*",'Semrush Data'!$A$1:$Z$1,0)),"")</f>
        <v/>
      </c>
      <c r="I1092" s="29" t="str">
        <f aca="false">IFERROR(INDEX('Semrush Data'!$A$1:$Z$20000,MATCH(A1092,'Semrush Data'!$A$1:$A$20000,0),MATCH("CPC*",'Semrush Data'!$A$1:$Z$1,0)),"")</f>
        <v/>
      </c>
      <c r="J1092" s="6" t="str">
        <f aca="false">IFERROR(INDEX('Semrush Data'!$A$1:$Z$20000,MATCH(A1092,'Semrush Data'!$A$1:$A$20000,0),MATCH("Intent",'Semrush Data'!$A$1:$Z$1,0)),"")</f>
        <v/>
      </c>
    </row>
    <row r="1093" customFormat="false" ht="15" hidden="false" customHeight="true" outlineLevel="0" collapsed="false">
      <c r="A1093" s="6" t="s">
        <v>5019</v>
      </c>
      <c r="B1093" s="6" t="s">
        <v>6866</v>
      </c>
      <c r="C1093" s="6" t="n">
        <v>2</v>
      </c>
      <c r="D1093" s="6" t="n">
        <v>11</v>
      </c>
      <c r="E1093" s="6" t="n">
        <v>2</v>
      </c>
      <c r="F1093" s="6" t="s">
        <v>6858</v>
      </c>
      <c r="G1093" s="28" t="str">
        <f aca="false">IFERROR(INDEX('Semrush Data'!$A$1:$Z$20000,MATCH(A1093,'Semrush Data'!$A$1:$A$20000,0),MATCH("Volume",'Semrush Data'!$A$1:$Z$1,0)),"")</f>
        <v/>
      </c>
      <c r="H1093" s="6" t="str">
        <f aca="false">IFERROR(INDEX('Semrush Data'!$A$1:$Z$20000,MATCH(A1093,'Semrush Data'!$A$1:$A$20000,0),MATCH("Keyword Difficulty*",'Semrush Data'!$A$1:$Z$1,0)),"")</f>
        <v/>
      </c>
      <c r="I1093" s="29" t="str">
        <f aca="false">IFERROR(INDEX('Semrush Data'!$A$1:$Z$20000,MATCH(A1093,'Semrush Data'!$A$1:$A$20000,0),MATCH("CPC*",'Semrush Data'!$A$1:$Z$1,0)),"")</f>
        <v/>
      </c>
      <c r="J1093" s="6" t="str">
        <f aca="false">IFERROR(INDEX('Semrush Data'!$A$1:$Z$20000,MATCH(A1093,'Semrush Data'!$A$1:$A$20000,0),MATCH("Intent",'Semrush Data'!$A$1:$Z$1,0)),"")</f>
        <v/>
      </c>
    </row>
    <row r="1094" customFormat="false" ht="15" hidden="false" customHeight="true" outlineLevel="0" collapsed="false">
      <c r="A1094" s="6" t="s">
        <v>5035</v>
      </c>
      <c r="B1094" s="6" t="s">
        <v>6866</v>
      </c>
      <c r="C1094" s="6" t="n">
        <v>2</v>
      </c>
      <c r="D1094" s="6" t="n">
        <v>11</v>
      </c>
      <c r="E1094" s="6" t="n">
        <v>2</v>
      </c>
      <c r="F1094" s="6" t="s">
        <v>6859</v>
      </c>
      <c r="G1094" s="28" t="str">
        <f aca="false">IFERROR(INDEX('Semrush Data'!$A$1:$Z$20000,MATCH(A1094,'Semrush Data'!$A$1:$A$20000,0),MATCH("Volume",'Semrush Data'!$A$1:$Z$1,0)),"")</f>
        <v/>
      </c>
      <c r="H1094" s="6" t="str">
        <f aca="false">IFERROR(INDEX('Semrush Data'!$A$1:$Z$20000,MATCH(A1094,'Semrush Data'!$A$1:$A$20000,0),MATCH("Keyword Difficulty*",'Semrush Data'!$A$1:$Z$1,0)),"")</f>
        <v/>
      </c>
      <c r="I1094" s="29" t="str">
        <f aca="false">IFERROR(INDEX('Semrush Data'!$A$1:$Z$20000,MATCH(A1094,'Semrush Data'!$A$1:$A$20000,0),MATCH("CPC*",'Semrush Data'!$A$1:$Z$1,0)),"")</f>
        <v/>
      </c>
      <c r="J1094" s="6" t="str">
        <f aca="false">IFERROR(INDEX('Semrush Data'!$A$1:$Z$20000,MATCH(A1094,'Semrush Data'!$A$1:$A$20000,0),MATCH("Intent",'Semrush Data'!$A$1:$Z$1,0)),"")</f>
        <v/>
      </c>
    </row>
    <row r="1095" customFormat="false" ht="15" hidden="false" customHeight="true" outlineLevel="0" collapsed="false">
      <c r="A1095" s="6" t="s">
        <v>5053</v>
      </c>
      <c r="B1095" s="6" t="s">
        <v>6866</v>
      </c>
      <c r="C1095" s="6" t="n">
        <v>2</v>
      </c>
      <c r="D1095" s="6" t="n">
        <v>11</v>
      </c>
      <c r="E1095" s="6" t="n">
        <v>1</v>
      </c>
      <c r="F1095" s="6" t="s">
        <v>5048</v>
      </c>
      <c r="G1095" s="28" t="str">
        <f aca="false">IFERROR(INDEX('Semrush Data'!$A$1:$Z$20000,MATCH(A1095,'Semrush Data'!$A$1:$A$20000,0),MATCH("Volume",'Semrush Data'!$A$1:$Z$1,0)),"")</f>
        <v/>
      </c>
      <c r="H1095" s="6" t="str">
        <f aca="false">IFERROR(INDEX('Semrush Data'!$A$1:$Z$20000,MATCH(A1095,'Semrush Data'!$A$1:$A$20000,0),MATCH("Keyword Difficulty*",'Semrush Data'!$A$1:$Z$1,0)),"")</f>
        <v/>
      </c>
      <c r="I1095" s="29" t="str">
        <f aca="false">IFERROR(INDEX('Semrush Data'!$A$1:$Z$20000,MATCH(A1095,'Semrush Data'!$A$1:$A$20000,0),MATCH("CPC*",'Semrush Data'!$A$1:$Z$1,0)),"")</f>
        <v/>
      </c>
      <c r="J1095" s="6" t="str">
        <f aca="false">IFERROR(INDEX('Semrush Data'!$A$1:$Z$20000,MATCH(A1095,'Semrush Data'!$A$1:$A$20000,0),MATCH("Intent",'Semrush Data'!$A$1:$Z$1,0)),"")</f>
        <v/>
      </c>
    </row>
    <row r="1096" customFormat="false" ht="15" hidden="false" customHeight="true" outlineLevel="0" collapsed="false">
      <c r="A1096" s="6" t="s">
        <v>5988</v>
      </c>
      <c r="B1096" s="6" t="s">
        <v>6866</v>
      </c>
      <c r="C1096" s="6" t="n">
        <v>2</v>
      </c>
      <c r="D1096" s="6" t="n">
        <v>11</v>
      </c>
      <c r="E1096" s="6" t="n">
        <v>1</v>
      </c>
      <c r="F1096" s="6" t="s">
        <v>5984</v>
      </c>
      <c r="G1096" s="28" t="str">
        <f aca="false">IFERROR(INDEX('Semrush Data'!$A$1:$Z$20000,MATCH(A1096,'Semrush Data'!$A$1:$A$20000,0),MATCH("Volume",'Semrush Data'!$A$1:$Z$1,0)),"")</f>
        <v/>
      </c>
      <c r="H1096" s="6" t="str">
        <f aca="false">IFERROR(INDEX('Semrush Data'!$A$1:$Z$20000,MATCH(A1096,'Semrush Data'!$A$1:$A$20000,0),MATCH("Keyword Difficulty*",'Semrush Data'!$A$1:$Z$1,0)),"")</f>
        <v/>
      </c>
      <c r="I1096" s="29" t="str">
        <f aca="false">IFERROR(INDEX('Semrush Data'!$A$1:$Z$20000,MATCH(A1096,'Semrush Data'!$A$1:$A$20000,0),MATCH("CPC*",'Semrush Data'!$A$1:$Z$1,0)),"")</f>
        <v/>
      </c>
      <c r="J1096" s="6" t="str">
        <f aca="false">IFERROR(INDEX('Semrush Data'!$A$1:$Z$20000,MATCH(A1096,'Semrush Data'!$A$1:$A$20000,0),MATCH("Intent",'Semrush Data'!$A$1:$Z$1,0)),"")</f>
        <v/>
      </c>
    </row>
    <row r="1097" customFormat="false" ht="15" hidden="false" customHeight="true" outlineLevel="0" collapsed="false">
      <c r="A1097" s="6" t="s">
        <v>5966</v>
      </c>
      <c r="B1097" s="6" t="s">
        <v>6866</v>
      </c>
      <c r="C1097" s="6" t="n">
        <v>2</v>
      </c>
      <c r="D1097" s="6" t="n">
        <v>11</v>
      </c>
      <c r="E1097" s="6" t="n">
        <v>1</v>
      </c>
      <c r="F1097" s="6" t="s">
        <v>5963</v>
      </c>
      <c r="G1097" s="28" t="str">
        <f aca="false">IFERROR(INDEX('Semrush Data'!$A$1:$Z$20000,MATCH(A1097,'Semrush Data'!$A$1:$A$20000,0),MATCH("Volume",'Semrush Data'!$A$1:$Z$1,0)),"")</f>
        <v/>
      </c>
      <c r="H1097" s="6" t="str">
        <f aca="false">IFERROR(INDEX('Semrush Data'!$A$1:$Z$20000,MATCH(A1097,'Semrush Data'!$A$1:$A$20000,0),MATCH("Keyword Difficulty*",'Semrush Data'!$A$1:$Z$1,0)),"")</f>
        <v/>
      </c>
      <c r="I1097" s="29" t="str">
        <f aca="false">IFERROR(INDEX('Semrush Data'!$A$1:$Z$20000,MATCH(A1097,'Semrush Data'!$A$1:$A$20000,0),MATCH("CPC*",'Semrush Data'!$A$1:$Z$1,0)),"")</f>
        <v/>
      </c>
      <c r="J1097" s="6" t="str">
        <f aca="false">IFERROR(INDEX('Semrush Data'!$A$1:$Z$20000,MATCH(A1097,'Semrush Data'!$A$1:$A$20000,0),MATCH("Intent",'Semrush Data'!$A$1:$Z$1,0)),"")</f>
        <v/>
      </c>
    </row>
    <row r="1098" customFormat="false" ht="15" hidden="false" customHeight="true" outlineLevel="0" collapsed="false">
      <c r="A1098" s="6" t="s">
        <v>5945</v>
      </c>
      <c r="B1098" s="6" t="s">
        <v>6866</v>
      </c>
      <c r="C1098" s="6" t="n">
        <v>2</v>
      </c>
      <c r="D1098" s="6" t="n">
        <v>11</v>
      </c>
      <c r="E1098" s="6" t="n">
        <v>1</v>
      </c>
      <c r="F1098" s="6" t="s">
        <v>5942</v>
      </c>
      <c r="G1098" s="28" t="str">
        <f aca="false">IFERROR(INDEX('Semrush Data'!$A$1:$Z$20000,MATCH(A1098,'Semrush Data'!$A$1:$A$20000,0),MATCH("Volume",'Semrush Data'!$A$1:$Z$1,0)),"")</f>
        <v/>
      </c>
      <c r="H1098" s="6" t="str">
        <f aca="false">IFERROR(INDEX('Semrush Data'!$A$1:$Z$20000,MATCH(A1098,'Semrush Data'!$A$1:$A$20000,0),MATCH("Keyword Difficulty*",'Semrush Data'!$A$1:$Z$1,0)),"")</f>
        <v/>
      </c>
      <c r="I1098" s="29" t="str">
        <f aca="false">IFERROR(INDEX('Semrush Data'!$A$1:$Z$20000,MATCH(A1098,'Semrush Data'!$A$1:$A$20000,0),MATCH("CPC*",'Semrush Data'!$A$1:$Z$1,0)),"")</f>
        <v/>
      </c>
      <c r="J1098" s="6" t="str">
        <f aca="false">IFERROR(INDEX('Semrush Data'!$A$1:$Z$20000,MATCH(A1098,'Semrush Data'!$A$1:$A$20000,0),MATCH("Intent",'Semrush Data'!$A$1:$Z$1,0)),"")</f>
        <v/>
      </c>
    </row>
    <row r="1099" customFormat="false" ht="15" hidden="false" customHeight="true" outlineLevel="0" collapsed="false">
      <c r="A1099" s="6" t="s">
        <v>5955</v>
      </c>
      <c r="B1099" s="6" t="s">
        <v>6866</v>
      </c>
      <c r="C1099" s="6" t="n">
        <v>2</v>
      </c>
      <c r="D1099" s="6" t="n">
        <v>11</v>
      </c>
      <c r="E1099" s="6" t="n">
        <v>1</v>
      </c>
      <c r="F1099" s="6" t="s">
        <v>5952</v>
      </c>
      <c r="G1099" s="28" t="str">
        <f aca="false">IFERROR(INDEX('Semrush Data'!$A$1:$Z$20000,MATCH(A1099,'Semrush Data'!$A$1:$A$20000,0),MATCH("Volume",'Semrush Data'!$A$1:$Z$1,0)),"")</f>
        <v/>
      </c>
      <c r="H1099" s="6" t="str">
        <f aca="false">IFERROR(INDEX('Semrush Data'!$A$1:$Z$20000,MATCH(A1099,'Semrush Data'!$A$1:$A$20000,0),MATCH("Keyword Difficulty*",'Semrush Data'!$A$1:$Z$1,0)),"")</f>
        <v/>
      </c>
      <c r="I1099" s="29" t="str">
        <f aca="false">IFERROR(INDEX('Semrush Data'!$A$1:$Z$20000,MATCH(A1099,'Semrush Data'!$A$1:$A$20000,0),MATCH("CPC*",'Semrush Data'!$A$1:$Z$1,0)),"")</f>
        <v/>
      </c>
      <c r="J1099" s="6" t="str">
        <f aca="false">IFERROR(INDEX('Semrush Data'!$A$1:$Z$20000,MATCH(A1099,'Semrush Data'!$A$1:$A$20000,0),MATCH("Intent",'Semrush Data'!$A$1:$Z$1,0)),"")</f>
        <v/>
      </c>
    </row>
    <row r="1100" customFormat="false" ht="15" hidden="false" customHeight="true" outlineLevel="0" collapsed="false">
      <c r="A1100" s="6" t="s">
        <v>5065</v>
      </c>
      <c r="B1100" s="6" t="s">
        <v>6866</v>
      </c>
      <c r="C1100" s="6" t="n">
        <v>2</v>
      </c>
      <c r="D1100" s="6" t="s">
        <v>6868</v>
      </c>
      <c r="E1100" s="6" t="n">
        <v>1</v>
      </c>
      <c r="F1100" s="6" t="s">
        <v>5061</v>
      </c>
      <c r="G1100" s="28" t="n">
        <f aca="false">IFERROR(INDEX('Semrush Data'!$A$1:$Z$20000,MATCH(A1100,'Semrush Data'!$A$1:$A$20000,0),MATCH("Volume",'Semrush Data'!$A$1:$Z$1,0)),"")</f>
        <v>0</v>
      </c>
      <c r="H1100" s="6" t="n">
        <f aca="false">IFERROR(INDEX('Semrush Data'!$A$1:$Z$20000,MATCH(A1100,'Semrush Data'!$A$1:$A$20000,0),MATCH("Keyword Difficulty*",'Semrush Data'!$A$1:$Z$1,0)),"")</f>
        <v>14</v>
      </c>
      <c r="I1100" s="29" t="n">
        <f aca="false">IFERROR(INDEX('Semrush Data'!$A$1:$Z$20000,MATCH(A1100,'Semrush Data'!$A$1:$A$20000,0),MATCH("CPC*",'Semrush Data'!$A$1:$Z$1,0)),"")</f>
        <v>0</v>
      </c>
      <c r="J1100" s="6" t="str">
        <f aca="false">IFERROR(INDEX('Semrush Data'!$A$1:$Z$20000,MATCH(A1100,'Semrush Data'!$A$1:$A$20000,0),MATCH("Intent",'Semrush Data'!$A$1:$Z$1,0)),"")</f>
        <v>Informational</v>
      </c>
    </row>
    <row r="1101" customFormat="false" ht="15" hidden="false" customHeight="true" outlineLevel="0" collapsed="false">
      <c r="A1101" s="6" t="s">
        <v>5117</v>
      </c>
      <c r="B1101" s="6" t="s">
        <v>6866</v>
      </c>
      <c r="C1101" s="6" t="n">
        <v>2</v>
      </c>
      <c r="D1101" s="6" t="s">
        <v>6867</v>
      </c>
      <c r="E1101" s="6" t="n">
        <v>1</v>
      </c>
      <c r="F1101" s="6" t="s">
        <v>107</v>
      </c>
      <c r="G1101" s="28" t="n">
        <f aca="false">IFERROR(INDEX('Semrush Data'!$A$1:$Z$20000,MATCH(A1101,'Semrush Data'!$A$1:$A$20000,0),MATCH("Volume",'Semrush Data'!$A$1:$Z$1,0)),"")</f>
        <v>0</v>
      </c>
      <c r="H1101" s="6" t="n">
        <f aca="false">IFERROR(INDEX('Semrush Data'!$A$1:$Z$20000,MATCH(A1101,'Semrush Data'!$A$1:$A$20000,0),MATCH("Keyword Difficulty*",'Semrush Data'!$A$1:$Z$1,0)),"")</f>
        <v>13</v>
      </c>
      <c r="I1101" s="29" t="n">
        <f aca="false">IFERROR(INDEX('Semrush Data'!$A$1:$Z$20000,MATCH(A1101,'Semrush Data'!$A$1:$A$20000,0),MATCH("CPC*",'Semrush Data'!$A$1:$Z$1,0)),"")</f>
        <v>0</v>
      </c>
      <c r="J1101" s="6" t="str">
        <f aca="false">IFERROR(INDEX('Semrush Data'!$A$1:$Z$20000,MATCH(A1101,'Semrush Data'!$A$1:$A$20000,0),MATCH("Intent",'Semrush Data'!$A$1:$Z$1,0)),"")</f>
        <v>Informational</v>
      </c>
    </row>
    <row r="1102" customFormat="false" ht="15" hidden="false" customHeight="true" outlineLevel="0" collapsed="false">
      <c r="A1102" s="6" t="s">
        <v>5099</v>
      </c>
      <c r="B1102" s="6" t="s">
        <v>6866</v>
      </c>
      <c r="C1102" s="6" t="n">
        <v>2</v>
      </c>
      <c r="D1102" s="6" t="n">
        <v>12</v>
      </c>
      <c r="E1102" s="6" t="n">
        <v>1</v>
      </c>
      <c r="F1102" s="6" t="s">
        <v>5096</v>
      </c>
      <c r="G1102" s="28" t="str">
        <f aca="false">IFERROR(INDEX('Semrush Data'!$A$1:$Z$20000,MATCH(A1102,'Semrush Data'!$A$1:$A$20000,0),MATCH("Volume",'Semrush Data'!$A$1:$Z$1,0)),"")</f>
        <v/>
      </c>
      <c r="H1102" s="6" t="str">
        <f aca="false">IFERROR(INDEX('Semrush Data'!$A$1:$Z$20000,MATCH(A1102,'Semrush Data'!$A$1:$A$20000,0),MATCH("Keyword Difficulty*",'Semrush Data'!$A$1:$Z$1,0)),"")</f>
        <v/>
      </c>
      <c r="I1102" s="29" t="str">
        <f aca="false">IFERROR(INDEX('Semrush Data'!$A$1:$Z$20000,MATCH(A1102,'Semrush Data'!$A$1:$A$20000,0),MATCH("CPC*",'Semrush Data'!$A$1:$Z$1,0)),"")</f>
        <v/>
      </c>
      <c r="J1102" s="6" t="str">
        <f aca="false">IFERROR(INDEX('Semrush Data'!$A$1:$Z$20000,MATCH(A1102,'Semrush Data'!$A$1:$A$20000,0),MATCH("Intent",'Semrush Data'!$A$1:$Z$1,0)),"")</f>
        <v/>
      </c>
    </row>
    <row r="1103" customFormat="false" ht="15" hidden="false" customHeight="true" outlineLevel="0" collapsed="false">
      <c r="A1103" s="6" t="s">
        <v>5077</v>
      </c>
      <c r="B1103" s="6" t="s">
        <v>6866</v>
      </c>
      <c r="C1103" s="6" t="n">
        <v>2</v>
      </c>
      <c r="D1103" s="6" t="s">
        <v>6867</v>
      </c>
      <c r="E1103" s="6" t="n">
        <v>1</v>
      </c>
      <c r="F1103" s="6" t="s">
        <v>65</v>
      </c>
      <c r="G1103" s="28" t="n">
        <f aca="false">IFERROR(INDEX('Semrush Data'!$A$1:$Z$20000,MATCH(A1103,'Semrush Data'!$A$1:$A$20000,0),MATCH("Volume",'Semrush Data'!$A$1:$Z$1,0)),"")</f>
        <v>20</v>
      </c>
      <c r="H1103" s="6" t="n">
        <f aca="false">IFERROR(INDEX('Semrush Data'!$A$1:$Z$20000,MATCH(A1103,'Semrush Data'!$A$1:$A$20000,0),MATCH("Keyword Difficulty*",'Semrush Data'!$A$1:$Z$1,0)),"")</f>
        <v>22</v>
      </c>
      <c r="I1103" s="29" t="n">
        <f aca="false">IFERROR(INDEX('Semrush Data'!$A$1:$Z$20000,MATCH(A1103,'Semrush Data'!$A$1:$A$20000,0),MATCH("CPC*",'Semrush Data'!$A$1:$Z$1,0)),"")</f>
        <v>0.29</v>
      </c>
      <c r="J1103" s="6" t="str">
        <f aca="false">IFERROR(INDEX('Semrush Data'!$A$1:$Z$20000,MATCH(A1103,'Semrush Data'!$A$1:$A$20000,0),MATCH("Intent",'Semrush Data'!$A$1:$Z$1,0)),"")</f>
        <v>Informational</v>
      </c>
    </row>
    <row r="1104" customFormat="false" ht="15" hidden="false" customHeight="true" outlineLevel="0" collapsed="false">
      <c r="A1104" s="6" t="s">
        <v>5108</v>
      </c>
      <c r="B1104" s="6" t="s">
        <v>6866</v>
      </c>
      <c r="C1104" s="6" t="n">
        <v>2</v>
      </c>
      <c r="D1104" s="6" t="s">
        <v>6867</v>
      </c>
      <c r="E1104" s="6" t="n">
        <v>1</v>
      </c>
      <c r="F1104" s="6" t="s">
        <v>89</v>
      </c>
      <c r="G1104" s="28" t="n">
        <f aca="false">IFERROR(INDEX('Semrush Data'!$A$1:$Z$20000,MATCH(A1104,'Semrush Data'!$A$1:$A$20000,0),MATCH("Volume",'Semrush Data'!$A$1:$Z$1,0)),"")</f>
        <v>0</v>
      </c>
      <c r="H1104" s="6" t="n">
        <f aca="false">IFERROR(INDEX('Semrush Data'!$A$1:$Z$20000,MATCH(A1104,'Semrush Data'!$A$1:$A$20000,0),MATCH("Keyword Difficulty*",'Semrush Data'!$A$1:$Z$1,0)),"")</f>
        <v>27</v>
      </c>
      <c r="I1104" s="29" t="n">
        <f aca="false">IFERROR(INDEX('Semrush Data'!$A$1:$Z$20000,MATCH(A1104,'Semrush Data'!$A$1:$A$20000,0),MATCH("CPC*",'Semrush Data'!$A$1:$Z$1,0)),"")</f>
        <v>0</v>
      </c>
      <c r="J1104" s="6" t="str">
        <f aca="false">IFERROR(INDEX('Semrush Data'!$A$1:$Z$20000,MATCH(A1104,'Semrush Data'!$A$1:$A$20000,0),MATCH("Intent",'Semrush Data'!$A$1:$Z$1,0)),"")</f>
        <v>Informational</v>
      </c>
    </row>
    <row r="1105" customFormat="false" ht="15" hidden="false" customHeight="true" outlineLevel="0" collapsed="false">
      <c r="A1105" s="6" t="s">
        <v>5088</v>
      </c>
      <c r="B1105" s="6" t="s">
        <v>6866</v>
      </c>
      <c r="C1105" s="6" t="n">
        <v>2</v>
      </c>
      <c r="D1105" s="6" t="n">
        <v>12</v>
      </c>
      <c r="E1105" s="6" t="n">
        <v>1</v>
      </c>
      <c r="F1105" s="6" t="s">
        <v>5085</v>
      </c>
      <c r="G1105" s="28" t="str">
        <f aca="false">IFERROR(INDEX('Semrush Data'!$A$1:$Z$20000,MATCH(A1105,'Semrush Data'!$A$1:$A$20000,0),MATCH("Volume",'Semrush Data'!$A$1:$Z$1,0)),"")</f>
        <v/>
      </c>
      <c r="H1105" s="6" t="str">
        <f aca="false">IFERROR(INDEX('Semrush Data'!$A$1:$Z$20000,MATCH(A1105,'Semrush Data'!$A$1:$A$20000,0),MATCH("Keyword Difficulty*",'Semrush Data'!$A$1:$Z$1,0)),"")</f>
        <v/>
      </c>
      <c r="I1105" s="29" t="str">
        <f aca="false">IFERROR(INDEX('Semrush Data'!$A$1:$Z$20000,MATCH(A1105,'Semrush Data'!$A$1:$A$20000,0),MATCH("CPC*",'Semrush Data'!$A$1:$Z$1,0)),"")</f>
        <v/>
      </c>
      <c r="J1105" s="6" t="str">
        <f aca="false">IFERROR(INDEX('Semrush Data'!$A$1:$Z$20000,MATCH(A1105,'Semrush Data'!$A$1:$A$20000,0),MATCH("Intent",'Semrush Data'!$A$1:$Z$1,0)),"")</f>
        <v/>
      </c>
    </row>
    <row r="1106" customFormat="false" ht="15" hidden="false" customHeight="true" outlineLevel="0" collapsed="false">
      <c r="A1106" s="6" t="s">
        <v>5143</v>
      </c>
      <c r="B1106" s="6" t="s">
        <v>6866</v>
      </c>
      <c r="C1106" s="6" t="n">
        <v>2</v>
      </c>
      <c r="D1106" s="6" t="n">
        <v>12</v>
      </c>
      <c r="E1106" s="6" t="n">
        <v>1</v>
      </c>
      <c r="F1106" s="6" t="s">
        <v>5139</v>
      </c>
      <c r="G1106" s="28" t="str">
        <f aca="false">IFERROR(INDEX('Semrush Data'!$A$1:$Z$20000,MATCH(A1106,'Semrush Data'!$A$1:$A$20000,0),MATCH("Volume",'Semrush Data'!$A$1:$Z$1,0)),"")</f>
        <v/>
      </c>
      <c r="H1106" s="6" t="str">
        <f aca="false">IFERROR(INDEX('Semrush Data'!$A$1:$Z$20000,MATCH(A1106,'Semrush Data'!$A$1:$A$20000,0),MATCH("Keyword Difficulty*",'Semrush Data'!$A$1:$Z$1,0)),"")</f>
        <v/>
      </c>
      <c r="I1106" s="29" t="str">
        <f aca="false">IFERROR(INDEX('Semrush Data'!$A$1:$Z$20000,MATCH(A1106,'Semrush Data'!$A$1:$A$20000,0),MATCH("CPC*",'Semrush Data'!$A$1:$Z$1,0)),"")</f>
        <v/>
      </c>
      <c r="J1106" s="6" t="str">
        <f aca="false">IFERROR(INDEX('Semrush Data'!$A$1:$Z$20000,MATCH(A1106,'Semrush Data'!$A$1:$A$20000,0),MATCH("Intent",'Semrush Data'!$A$1:$Z$1,0)),"")</f>
        <v/>
      </c>
    </row>
    <row r="1107" customFormat="false" ht="15" hidden="false" customHeight="true" outlineLevel="0" collapsed="false">
      <c r="A1107" s="6" t="s">
        <v>5130</v>
      </c>
      <c r="B1107" s="6" t="s">
        <v>6866</v>
      </c>
      <c r="C1107" s="6" t="n">
        <v>2</v>
      </c>
      <c r="D1107" s="6" t="n">
        <v>12</v>
      </c>
      <c r="E1107" s="6" t="n">
        <v>1</v>
      </c>
      <c r="F1107" s="6" t="s">
        <v>5125</v>
      </c>
      <c r="G1107" s="28" t="str">
        <f aca="false">IFERROR(INDEX('Semrush Data'!$A$1:$Z$20000,MATCH(A1107,'Semrush Data'!$A$1:$A$20000,0),MATCH("Volume",'Semrush Data'!$A$1:$Z$1,0)),"")</f>
        <v/>
      </c>
      <c r="H1107" s="6" t="str">
        <f aca="false">IFERROR(INDEX('Semrush Data'!$A$1:$Z$20000,MATCH(A1107,'Semrush Data'!$A$1:$A$20000,0),MATCH("Keyword Difficulty*",'Semrush Data'!$A$1:$Z$1,0)),"")</f>
        <v/>
      </c>
      <c r="I1107" s="29" t="str">
        <f aca="false">IFERROR(INDEX('Semrush Data'!$A$1:$Z$20000,MATCH(A1107,'Semrush Data'!$A$1:$A$20000,0),MATCH("CPC*",'Semrush Data'!$A$1:$Z$1,0)),"")</f>
        <v/>
      </c>
      <c r="J1107" s="6" t="str">
        <f aca="false">IFERROR(INDEX('Semrush Data'!$A$1:$Z$20000,MATCH(A1107,'Semrush Data'!$A$1:$A$20000,0),MATCH("Intent",'Semrush Data'!$A$1:$Z$1,0)),"")</f>
        <v/>
      </c>
    </row>
    <row r="1108" customFormat="false" ht="15" hidden="false" customHeight="true" outlineLevel="0" collapsed="false">
      <c r="A1108" s="6" t="s">
        <v>5156</v>
      </c>
      <c r="B1108" s="6" t="s">
        <v>6866</v>
      </c>
      <c r="C1108" s="6" t="n">
        <v>2</v>
      </c>
      <c r="D1108" s="6" t="n">
        <v>12</v>
      </c>
      <c r="E1108" s="6" t="n">
        <v>1</v>
      </c>
      <c r="F1108" s="6" t="s">
        <v>5151</v>
      </c>
      <c r="G1108" s="28" t="str">
        <f aca="false">IFERROR(INDEX('Semrush Data'!$A$1:$Z$20000,MATCH(A1108,'Semrush Data'!$A$1:$A$20000,0),MATCH("Volume",'Semrush Data'!$A$1:$Z$1,0)),"")</f>
        <v/>
      </c>
      <c r="H1108" s="6" t="str">
        <f aca="false">IFERROR(INDEX('Semrush Data'!$A$1:$Z$20000,MATCH(A1108,'Semrush Data'!$A$1:$A$20000,0),MATCH("Keyword Difficulty*",'Semrush Data'!$A$1:$Z$1,0)),"")</f>
        <v/>
      </c>
      <c r="I1108" s="29" t="str">
        <f aca="false">IFERROR(INDEX('Semrush Data'!$A$1:$Z$20000,MATCH(A1108,'Semrush Data'!$A$1:$A$20000,0),MATCH("CPC*",'Semrush Data'!$A$1:$Z$1,0)),"")</f>
        <v/>
      </c>
      <c r="J1108" s="6" t="str">
        <f aca="false">IFERROR(INDEX('Semrush Data'!$A$1:$Z$20000,MATCH(A1108,'Semrush Data'!$A$1:$A$20000,0),MATCH("Intent",'Semrush Data'!$A$1:$Z$1,0)),"")</f>
        <v/>
      </c>
    </row>
    <row r="1109" customFormat="false" ht="15" hidden="false" customHeight="true" outlineLevel="0" collapsed="false">
      <c r="A1109" s="6" t="s">
        <v>5167</v>
      </c>
      <c r="B1109" s="6" t="s">
        <v>6866</v>
      </c>
      <c r="C1109" s="6" t="n">
        <v>2</v>
      </c>
      <c r="D1109" s="6" t="n">
        <v>12</v>
      </c>
      <c r="E1109" s="6" t="n">
        <v>1</v>
      </c>
      <c r="F1109" s="6" t="s">
        <v>5164</v>
      </c>
      <c r="G1109" s="28" t="str">
        <f aca="false">IFERROR(INDEX('Semrush Data'!$A$1:$Z$20000,MATCH(A1109,'Semrush Data'!$A$1:$A$20000,0),MATCH("Volume",'Semrush Data'!$A$1:$Z$1,0)),"")</f>
        <v/>
      </c>
      <c r="H1109" s="6" t="str">
        <f aca="false">IFERROR(INDEX('Semrush Data'!$A$1:$Z$20000,MATCH(A1109,'Semrush Data'!$A$1:$A$20000,0),MATCH("Keyword Difficulty*",'Semrush Data'!$A$1:$Z$1,0)),"")</f>
        <v/>
      </c>
      <c r="I1109" s="29" t="str">
        <f aca="false">IFERROR(INDEX('Semrush Data'!$A$1:$Z$20000,MATCH(A1109,'Semrush Data'!$A$1:$A$20000,0),MATCH("CPC*",'Semrush Data'!$A$1:$Z$1,0)),"")</f>
        <v/>
      </c>
      <c r="J1109" s="6" t="str">
        <f aca="false">IFERROR(INDEX('Semrush Data'!$A$1:$Z$20000,MATCH(A1109,'Semrush Data'!$A$1:$A$20000,0),MATCH("Intent",'Semrush Data'!$A$1:$Z$1,0)),"")</f>
        <v/>
      </c>
    </row>
    <row r="1110" customFormat="false" ht="15" hidden="false" customHeight="true" outlineLevel="0" collapsed="false">
      <c r="A1110" s="6" t="s">
        <v>5179</v>
      </c>
      <c r="B1110" s="6" t="s">
        <v>6866</v>
      </c>
      <c r="C1110" s="6" t="n">
        <v>2</v>
      </c>
      <c r="D1110" s="6" t="n">
        <v>12</v>
      </c>
      <c r="E1110" s="6" t="n">
        <v>1</v>
      </c>
      <c r="F1110" s="6" t="s">
        <v>5174</v>
      </c>
      <c r="G1110" s="28" t="str">
        <f aca="false">IFERROR(INDEX('Semrush Data'!$A$1:$Z$20000,MATCH(A1110,'Semrush Data'!$A$1:$A$20000,0),MATCH("Volume",'Semrush Data'!$A$1:$Z$1,0)),"")</f>
        <v/>
      </c>
      <c r="H1110" s="6" t="str">
        <f aca="false">IFERROR(INDEX('Semrush Data'!$A$1:$Z$20000,MATCH(A1110,'Semrush Data'!$A$1:$A$20000,0),MATCH("Keyword Difficulty*",'Semrush Data'!$A$1:$Z$1,0)),"")</f>
        <v/>
      </c>
      <c r="I1110" s="29" t="str">
        <f aca="false">IFERROR(INDEX('Semrush Data'!$A$1:$Z$20000,MATCH(A1110,'Semrush Data'!$A$1:$A$20000,0),MATCH("CPC*",'Semrush Data'!$A$1:$Z$1,0)),"")</f>
        <v/>
      </c>
      <c r="J1110" s="6" t="str">
        <f aca="false">IFERROR(INDEX('Semrush Data'!$A$1:$Z$20000,MATCH(A1110,'Semrush Data'!$A$1:$A$20000,0),MATCH("Intent",'Semrush Data'!$A$1:$Z$1,0)),"")</f>
        <v/>
      </c>
    </row>
    <row r="1111" customFormat="false" ht="15" hidden="false" customHeight="true" outlineLevel="0" collapsed="false">
      <c r="A1111" s="6" t="s">
        <v>5189</v>
      </c>
      <c r="B1111" s="6" t="s">
        <v>6866</v>
      </c>
      <c r="C1111" s="6" t="n">
        <v>2</v>
      </c>
      <c r="D1111" s="6" t="n">
        <v>12</v>
      </c>
      <c r="E1111" s="6" t="n">
        <v>1</v>
      </c>
      <c r="F1111" s="6" t="s">
        <v>5186</v>
      </c>
      <c r="G1111" s="28" t="str">
        <f aca="false">IFERROR(INDEX('Semrush Data'!$A$1:$Z$20000,MATCH(A1111,'Semrush Data'!$A$1:$A$20000,0),MATCH("Volume",'Semrush Data'!$A$1:$Z$1,0)),"")</f>
        <v/>
      </c>
      <c r="H1111" s="6" t="str">
        <f aca="false">IFERROR(INDEX('Semrush Data'!$A$1:$Z$20000,MATCH(A1111,'Semrush Data'!$A$1:$A$20000,0),MATCH("Keyword Difficulty*",'Semrush Data'!$A$1:$Z$1,0)),"")</f>
        <v/>
      </c>
      <c r="I1111" s="29" t="str">
        <f aca="false">IFERROR(INDEX('Semrush Data'!$A$1:$Z$20000,MATCH(A1111,'Semrush Data'!$A$1:$A$20000,0),MATCH("CPC*",'Semrush Data'!$A$1:$Z$1,0)),"")</f>
        <v/>
      </c>
      <c r="J1111" s="6" t="str">
        <f aca="false">IFERROR(INDEX('Semrush Data'!$A$1:$Z$20000,MATCH(A1111,'Semrush Data'!$A$1:$A$20000,0),MATCH("Intent",'Semrush Data'!$A$1:$Z$1,0)),"")</f>
        <v/>
      </c>
    </row>
    <row r="1112" customFormat="false" ht="15" hidden="false" customHeight="true" outlineLevel="0" collapsed="false">
      <c r="A1112" s="6" t="s">
        <v>5199</v>
      </c>
      <c r="B1112" s="6" t="s">
        <v>6866</v>
      </c>
      <c r="C1112" s="6" t="n">
        <v>2</v>
      </c>
      <c r="D1112" s="6" t="s">
        <v>6867</v>
      </c>
      <c r="E1112" s="6" t="n">
        <v>1</v>
      </c>
      <c r="F1112" s="6" t="s">
        <v>5195</v>
      </c>
      <c r="G1112" s="28" t="n">
        <f aca="false">IFERROR(INDEX('Semrush Data'!$A$1:$Z$20000,MATCH(A1112,'Semrush Data'!$A$1:$A$20000,0),MATCH("Volume",'Semrush Data'!$A$1:$Z$1,0)),"")</f>
        <v>0</v>
      </c>
      <c r="H1112" s="6" t="n">
        <f aca="false">IFERROR(INDEX('Semrush Data'!$A$1:$Z$20000,MATCH(A1112,'Semrush Data'!$A$1:$A$20000,0),MATCH("Keyword Difficulty*",'Semrush Data'!$A$1:$Z$1,0)),"")</f>
        <v>13</v>
      </c>
      <c r="I1112" s="29" t="n">
        <f aca="false">IFERROR(INDEX('Semrush Data'!$A$1:$Z$20000,MATCH(A1112,'Semrush Data'!$A$1:$A$20000,0),MATCH("CPC*",'Semrush Data'!$A$1:$Z$1,0)),"")</f>
        <v>0</v>
      </c>
      <c r="J1112" s="6" t="str">
        <f aca="false">IFERROR(INDEX('Semrush Data'!$A$1:$Z$20000,MATCH(A1112,'Semrush Data'!$A$1:$A$20000,0),MATCH("Intent",'Semrush Data'!$A$1:$Z$1,0)),"")</f>
        <v>Informational</v>
      </c>
    </row>
    <row r="1113" customFormat="false" ht="15" hidden="false" customHeight="true" outlineLevel="0" collapsed="false">
      <c r="A1113" s="6" t="s">
        <v>5219</v>
      </c>
      <c r="B1113" s="6" t="s">
        <v>6866</v>
      </c>
      <c r="C1113" s="6" t="n">
        <v>2</v>
      </c>
      <c r="D1113" s="6" t="n">
        <v>12</v>
      </c>
      <c r="E1113" s="6" t="n">
        <v>1</v>
      </c>
      <c r="F1113" s="6" t="s">
        <v>5216</v>
      </c>
      <c r="G1113" s="28" t="str">
        <f aca="false">IFERROR(INDEX('Semrush Data'!$A$1:$Z$20000,MATCH(A1113,'Semrush Data'!$A$1:$A$20000,0),MATCH("Volume",'Semrush Data'!$A$1:$Z$1,0)),"")</f>
        <v/>
      </c>
      <c r="H1113" s="6" t="str">
        <f aca="false">IFERROR(INDEX('Semrush Data'!$A$1:$Z$20000,MATCH(A1113,'Semrush Data'!$A$1:$A$20000,0),MATCH("Keyword Difficulty*",'Semrush Data'!$A$1:$Z$1,0)),"")</f>
        <v/>
      </c>
      <c r="I1113" s="29" t="str">
        <f aca="false">IFERROR(INDEX('Semrush Data'!$A$1:$Z$20000,MATCH(A1113,'Semrush Data'!$A$1:$A$20000,0),MATCH("CPC*",'Semrush Data'!$A$1:$Z$1,0)),"")</f>
        <v/>
      </c>
      <c r="J1113" s="6" t="str">
        <f aca="false">IFERROR(INDEX('Semrush Data'!$A$1:$Z$20000,MATCH(A1113,'Semrush Data'!$A$1:$A$20000,0),MATCH("Intent",'Semrush Data'!$A$1:$Z$1,0)),"")</f>
        <v/>
      </c>
    </row>
    <row r="1114" customFormat="false" ht="15" hidden="false" customHeight="true" outlineLevel="0" collapsed="false">
      <c r="A1114" s="6" t="s">
        <v>5208</v>
      </c>
      <c r="B1114" s="6" t="s">
        <v>6866</v>
      </c>
      <c r="C1114" s="6" t="n">
        <v>2</v>
      </c>
      <c r="D1114" s="6" t="s">
        <v>6867</v>
      </c>
      <c r="E1114" s="6" t="n">
        <v>1</v>
      </c>
      <c r="F1114" s="6" t="s">
        <v>55</v>
      </c>
      <c r="G1114" s="28" t="n">
        <f aca="false">IFERROR(INDEX('Semrush Data'!$A$1:$Z$20000,MATCH(A1114,'Semrush Data'!$A$1:$A$20000,0),MATCH("Volume",'Semrush Data'!$A$1:$Z$1,0)),"")</f>
        <v>20</v>
      </c>
      <c r="H1114" s="6" t="n">
        <f aca="false">IFERROR(INDEX('Semrush Data'!$A$1:$Z$20000,MATCH(A1114,'Semrush Data'!$A$1:$A$20000,0),MATCH("Keyword Difficulty*",'Semrush Data'!$A$1:$Z$1,0)),"")</f>
        <v>15</v>
      </c>
      <c r="I1114" s="29" t="n">
        <f aca="false">IFERROR(INDEX('Semrush Data'!$A$1:$Z$20000,MATCH(A1114,'Semrush Data'!$A$1:$A$20000,0),MATCH("CPC*",'Semrush Data'!$A$1:$Z$1,0)),"")</f>
        <v>0</v>
      </c>
      <c r="J1114" s="6" t="str">
        <f aca="false">IFERROR(INDEX('Semrush Data'!$A$1:$Z$20000,MATCH(A1114,'Semrush Data'!$A$1:$A$20000,0),MATCH("Intent",'Semrush Data'!$A$1:$Z$1,0)),"")</f>
        <v>Informational Commercial</v>
      </c>
    </row>
    <row r="1115" customFormat="false" ht="15" hidden="false" customHeight="true" outlineLevel="0" collapsed="false">
      <c r="A1115" s="6" t="s">
        <v>5232</v>
      </c>
      <c r="B1115" s="6" t="s">
        <v>6866</v>
      </c>
      <c r="C1115" s="6" t="n">
        <v>2</v>
      </c>
      <c r="D1115" s="6" t="n">
        <v>12</v>
      </c>
      <c r="E1115" s="6" t="n">
        <v>3</v>
      </c>
      <c r="F1115" s="6" t="s">
        <v>6636</v>
      </c>
      <c r="G1115" s="28" t="str">
        <f aca="false">IFERROR(INDEX('Semrush Data'!$A$1:$Z$20000,MATCH(A1115,'Semrush Data'!$A$1:$A$20000,0),MATCH("Volume",'Semrush Data'!$A$1:$Z$1,0)),"")</f>
        <v/>
      </c>
      <c r="H1115" s="6" t="str">
        <f aca="false">IFERROR(INDEX('Semrush Data'!$A$1:$Z$20000,MATCH(A1115,'Semrush Data'!$A$1:$A$20000,0),MATCH("Keyword Difficulty*",'Semrush Data'!$A$1:$Z$1,0)),"")</f>
        <v/>
      </c>
      <c r="I1115" s="29" t="str">
        <f aca="false">IFERROR(INDEX('Semrush Data'!$A$1:$Z$20000,MATCH(A1115,'Semrush Data'!$A$1:$A$20000,0),MATCH("CPC*",'Semrush Data'!$A$1:$Z$1,0)),"")</f>
        <v/>
      </c>
      <c r="J1115" s="6" t="str">
        <f aca="false">IFERROR(INDEX('Semrush Data'!$A$1:$Z$20000,MATCH(A1115,'Semrush Data'!$A$1:$A$20000,0),MATCH("Intent",'Semrush Data'!$A$1:$Z$1,0)),"")</f>
        <v/>
      </c>
    </row>
    <row r="1116" customFormat="false" ht="15" hidden="false" customHeight="true" outlineLevel="0" collapsed="false">
      <c r="A1116" s="6" t="s">
        <v>5248</v>
      </c>
      <c r="B1116" s="6" t="s">
        <v>6866</v>
      </c>
      <c r="C1116" s="6" t="n">
        <v>2</v>
      </c>
      <c r="D1116" s="6" t="n">
        <v>12</v>
      </c>
      <c r="E1116" s="6" t="n">
        <v>1</v>
      </c>
      <c r="F1116" s="6" t="s">
        <v>5244</v>
      </c>
      <c r="G1116" s="28" t="str">
        <f aca="false">IFERROR(INDEX('Semrush Data'!$A$1:$Z$20000,MATCH(A1116,'Semrush Data'!$A$1:$A$20000,0),MATCH("Volume",'Semrush Data'!$A$1:$Z$1,0)),"")</f>
        <v/>
      </c>
      <c r="H1116" s="6" t="str">
        <f aca="false">IFERROR(INDEX('Semrush Data'!$A$1:$Z$20000,MATCH(A1116,'Semrush Data'!$A$1:$A$20000,0),MATCH("Keyword Difficulty*",'Semrush Data'!$A$1:$Z$1,0)),"")</f>
        <v/>
      </c>
      <c r="I1116" s="29" t="str">
        <f aca="false">IFERROR(INDEX('Semrush Data'!$A$1:$Z$20000,MATCH(A1116,'Semrush Data'!$A$1:$A$20000,0),MATCH("CPC*",'Semrush Data'!$A$1:$Z$1,0)),"")</f>
        <v/>
      </c>
      <c r="J1116" s="6" t="str">
        <f aca="false">IFERROR(INDEX('Semrush Data'!$A$1:$Z$20000,MATCH(A1116,'Semrush Data'!$A$1:$A$20000,0),MATCH("Intent",'Semrush Data'!$A$1:$Z$1,0)),"")</f>
        <v/>
      </c>
    </row>
    <row r="1117" customFormat="false" ht="15" hidden="false" customHeight="true" outlineLevel="0" collapsed="false">
      <c r="A1117" s="6" t="s">
        <v>5261</v>
      </c>
      <c r="B1117" s="6" t="s">
        <v>6866</v>
      </c>
      <c r="C1117" s="6" t="n">
        <v>2</v>
      </c>
      <c r="D1117" s="6" t="n">
        <v>12</v>
      </c>
      <c r="E1117" s="6" t="n">
        <v>1</v>
      </c>
      <c r="F1117" s="6" t="s">
        <v>5257</v>
      </c>
      <c r="G1117" s="28" t="str">
        <f aca="false">IFERROR(INDEX('Semrush Data'!$A$1:$Z$20000,MATCH(A1117,'Semrush Data'!$A$1:$A$20000,0),MATCH("Volume",'Semrush Data'!$A$1:$Z$1,0)),"")</f>
        <v/>
      </c>
      <c r="H1117" s="6" t="str">
        <f aca="false">IFERROR(INDEX('Semrush Data'!$A$1:$Z$20000,MATCH(A1117,'Semrush Data'!$A$1:$A$20000,0),MATCH("Keyword Difficulty*",'Semrush Data'!$A$1:$Z$1,0)),"")</f>
        <v/>
      </c>
      <c r="I1117" s="29" t="str">
        <f aca="false">IFERROR(INDEX('Semrush Data'!$A$1:$Z$20000,MATCH(A1117,'Semrush Data'!$A$1:$A$20000,0),MATCH("CPC*",'Semrush Data'!$A$1:$Z$1,0)),"")</f>
        <v/>
      </c>
      <c r="J1117" s="6" t="str">
        <f aca="false">IFERROR(INDEX('Semrush Data'!$A$1:$Z$20000,MATCH(A1117,'Semrush Data'!$A$1:$A$20000,0),MATCH("Intent",'Semrush Data'!$A$1:$Z$1,0)),"")</f>
        <v/>
      </c>
    </row>
    <row r="1118" customFormat="false" ht="15" hidden="false" customHeight="true" outlineLevel="0" collapsed="false">
      <c r="A1118" s="6" t="s">
        <v>5274</v>
      </c>
      <c r="B1118" s="6" t="s">
        <v>6866</v>
      </c>
      <c r="C1118" s="6" t="n">
        <v>2</v>
      </c>
      <c r="D1118" s="6" t="n">
        <v>12</v>
      </c>
      <c r="E1118" s="6" t="n">
        <v>1</v>
      </c>
      <c r="F1118" s="6" t="s">
        <v>5270</v>
      </c>
      <c r="G1118" s="28" t="str">
        <f aca="false">IFERROR(INDEX('Semrush Data'!$A$1:$Z$20000,MATCH(A1118,'Semrush Data'!$A$1:$A$20000,0),MATCH("Volume",'Semrush Data'!$A$1:$Z$1,0)),"")</f>
        <v/>
      </c>
      <c r="H1118" s="6" t="str">
        <f aca="false">IFERROR(INDEX('Semrush Data'!$A$1:$Z$20000,MATCH(A1118,'Semrush Data'!$A$1:$A$20000,0),MATCH("Keyword Difficulty*",'Semrush Data'!$A$1:$Z$1,0)),"")</f>
        <v/>
      </c>
      <c r="I1118" s="29" t="str">
        <f aca="false">IFERROR(INDEX('Semrush Data'!$A$1:$Z$20000,MATCH(A1118,'Semrush Data'!$A$1:$A$20000,0),MATCH("CPC*",'Semrush Data'!$A$1:$Z$1,0)),"")</f>
        <v/>
      </c>
      <c r="J1118" s="6" t="str">
        <f aca="false">IFERROR(INDEX('Semrush Data'!$A$1:$Z$20000,MATCH(A1118,'Semrush Data'!$A$1:$A$20000,0),MATCH("Intent",'Semrush Data'!$A$1:$Z$1,0)),"")</f>
        <v/>
      </c>
    </row>
    <row r="1119" customFormat="false" ht="15" hidden="false" customHeight="true" outlineLevel="0" collapsed="false">
      <c r="A1119" s="6" t="s">
        <v>5976</v>
      </c>
      <c r="B1119" s="6" t="s">
        <v>6866</v>
      </c>
      <c r="C1119" s="6" t="n">
        <v>2</v>
      </c>
      <c r="D1119" s="6" t="n">
        <v>12</v>
      </c>
      <c r="E1119" s="6" t="n">
        <v>1</v>
      </c>
      <c r="F1119" s="6" t="s">
        <v>5973</v>
      </c>
      <c r="G1119" s="28" t="str">
        <f aca="false">IFERROR(INDEX('Semrush Data'!$A$1:$Z$20000,MATCH(A1119,'Semrush Data'!$A$1:$A$20000,0),MATCH("Volume",'Semrush Data'!$A$1:$Z$1,0)),"")</f>
        <v/>
      </c>
      <c r="H1119" s="6" t="str">
        <f aca="false">IFERROR(INDEX('Semrush Data'!$A$1:$Z$20000,MATCH(A1119,'Semrush Data'!$A$1:$A$20000,0),MATCH("Keyword Difficulty*",'Semrush Data'!$A$1:$Z$1,0)),"")</f>
        <v/>
      </c>
      <c r="I1119" s="29" t="str">
        <f aca="false">IFERROR(INDEX('Semrush Data'!$A$1:$Z$20000,MATCH(A1119,'Semrush Data'!$A$1:$A$20000,0),MATCH("CPC*",'Semrush Data'!$A$1:$Z$1,0)),"")</f>
        <v/>
      </c>
      <c r="J1119" s="6" t="str">
        <f aca="false">IFERROR(INDEX('Semrush Data'!$A$1:$Z$20000,MATCH(A1119,'Semrush Data'!$A$1:$A$20000,0),MATCH("Intent",'Semrush Data'!$A$1:$Z$1,0)),"")</f>
        <v/>
      </c>
    </row>
    <row r="1120" customFormat="false" ht="15" hidden="false" customHeight="true" outlineLevel="0" collapsed="false">
      <c r="A1120" s="6" t="s">
        <v>5286</v>
      </c>
      <c r="B1120" s="6" t="s">
        <v>6866</v>
      </c>
      <c r="C1120" s="6" t="n">
        <v>2</v>
      </c>
      <c r="D1120" s="6" t="n">
        <v>12</v>
      </c>
      <c r="E1120" s="6" t="n">
        <v>1</v>
      </c>
      <c r="F1120" s="6" t="s">
        <v>5282</v>
      </c>
      <c r="G1120" s="28" t="str">
        <f aca="false">IFERROR(INDEX('Semrush Data'!$A$1:$Z$20000,MATCH(A1120,'Semrush Data'!$A$1:$A$20000,0),MATCH("Volume",'Semrush Data'!$A$1:$Z$1,0)),"")</f>
        <v/>
      </c>
      <c r="H1120" s="6" t="str">
        <f aca="false">IFERROR(INDEX('Semrush Data'!$A$1:$Z$20000,MATCH(A1120,'Semrush Data'!$A$1:$A$20000,0),MATCH("Keyword Difficulty*",'Semrush Data'!$A$1:$Z$1,0)),"")</f>
        <v/>
      </c>
      <c r="I1120" s="29" t="str">
        <f aca="false">IFERROR(INDEX('Semrush Data'!$A$1:$Z$20000,MATCH(A1120,'Semrush Data'!$A$1:$A$20000,0),MATCH("CPC*",'Semrush Data'!$A$1:$Z$1,0)),"")</f>
        <v/>
      </c>
      <c r="J1120" s="6" t="str">
        <f aca="false">IFERROR(INDEX('Semrush Data'!$A$1:$Z$20000,MATCH(A1120,'Semrush Data'!$A$1:$A$20000,0),MATCH("Intent",'Semrush Data'!$A$1:$Z$1,0)),"")</f>
        <v/>
      </c>
    </row>
    <row r="1121" customFormat="false" ht="15" hidden="false" customHeight="true" outlineLevel="0" collapsed="false">
      <c r="A1121" s="6" t="s">
        <v>5321</v>
      </c>
      <c r="B1121" s="6" t="s">
        <v>6866</v>
      </c>
      <c r="C1121" s="6" t="n">
        <v>2</v>
      </c>
      <c r="D1121" s="6" t="n">
        <v>12</v>
      </c>
      <c r="E1121" s="6" t="n">
        <v>1</v>
      </c>
      <c r="F1121" s="6" t="s">
        <v>5318</v>
      </c>
      <c r="G1121" s="28" t="str">
        <f aca="false">IFERROR(INDEX('Semrush Data'!$A$1:$Z$20000,MATCH(A1121,'Semrush Data'!$A$1:$A$20000,0),MATCH("Volume",'Semrush Data'!$A$1:$Z$1,0)),"")</f>
        <v/>
      </c>
      <c r="H1121" s="6" t="str">
        <f aca="false">IFERROR(INDEX('Semrush Data'!$A$1:$Z$20000,MATCH(A1121,'Semrush Data'!$A$1:$A$20000,0),MATCH("Keyword Difficulty*",'Semrush Data'!$A$1:$Z$1,0)),"")</f>
        <v/>
      </c>
      <c r="I1121" s="29" t="str">
        <f aca="false">IFERROR(INDEX('Semrush Data'!$A$1:$Z$20000,MATCH(A1121,'Semrush Data'!$A$1:$A$20000,0),MATCH("CPC*",'Semrush Data'!$A$1:$Z$1,0)),"")</f>
        <v/>
      </c>
      <c r="J1121" s="6" t="str">
        <f aca="false">IFERROR(INDEX('Semrush Data'!$A$1:$Z$20000,MATCH(A1121,'Semrush Data'!$A$1:$A$20000,0),MATCH("Intent",'Semrush Data'!$A$1:$Z$1,0)),"")</f>
        <v/>
      </c>
    </row>
    <row r="1122" customFormat="false" ht="15" hidden="false" customHeight="true" outlineLevel="0" collapsed="false">
      <c r="A1122" s="6" t="s">
        <v>5344</v>
      </c>
      <c r="B1122" s="6" t="s">
        <v>6866</v>
      </c>
      <c r="C1122" s="6" t="n">
        <v>2</v>
      </c>
      <c r="D1122" s="6" t="n">
        <v>12</v>
      </c>
      <c r="E1122" s="6" t="n">
        <v>1</v>
      </c>
      <c r="F1122" s="6" t="s">
        <v>5340</v>
      </c>
      <c r="G1122" s="28" t="str">
        <f aca="false">IFERROR(INDEX('Semrush Data'!$A$1:$Z$20000,MATCH(A1122,'Semrush Data'!$A$1:$A$20000,0),MATCH("Volume",'Semrush Data'!$A$1:$Z$1,0)),"")</f>
        <v/>
      </c>
      <c r="H1122" s="6" t="str">
        <f aca="false">IFERROR(INDEX('Semrush Data'!$A$1:$Z$20000,MATCH(A1122,'Semrush Data'!$A$1:$A$20000,0),MATCH("Keyword Difficulty*",'Semrush Data'!$A$1:$Z$1,0)),"")</f>
        <v/>
      </c>
      <c r="I1122" s="29" t="str">
        <f aca="false">IFERROR(INDEX('Semrush Data'!$A$1:$Z$20000,MATCH(A1122,'Semrush Data'!$A$1:$A$20000,0),MATCH("CPC*",'Semrush Data'!$A$1:$Z$1,0)),"")</f>
        <v/>
      </c>
      <c r="J1122" s="6" t="str">
        <f aca="false">IFERROR(INDEX('Semrush Data'!$A$1:$Z$20000,MATCH(A1122,'Semrush Data'!$A$1:$A$20000,0),MATCH("Intent",'Semrush Data'!$A$1:$Z$1,0)),"")</f>
        <v/>
      </c>
    </row>
    <row r="1123" customFormat="false" ht="15" hidden="false" customHeight="true" outlineLevel="0" collapsed="false">
      <c r="A1123" s="6" t="s">
        <v>5331</v>
      </c>
      <c r="B1123" s="6" t="s">
        <v>6866</v>
      </c>
      <c r="C1123" s="6" t="n">
        <v>2</v>
      </c>
      <c r="D1123" s="6" t="n">
        <v>12</v>
      </c>
      <c r="E1123" s="6" t="n">
        <v>1</v>
      </c>
      <c r="F1123" s="6" t="s">
        <v>5328</v>
      </c>
      <c r="G1123" s="28" t="str">
        <f aca="false">IFERROR(INDEX('Semrush Data'!$A$1:$Z$20000,MATCH(A1123,'Semrush Data'!$A$1:$A$20000,0),MATCH("Volume",'Semrush Data'!$A$1:$Z$1,0)),"")</f>
        <v/>
      </c>
      <c r="H1123" s="6" t="str">
        <f aca="false">IFERROR(INDEX('Semrush Data'!$A$1:$Z$20000,MATCH(A1123,'Semrush Data'!$A$1:$A$20000,0),MATCH("Keyword Difficulty*",'Semrush Data'!$A$1:$Z$1,0)),"")</f>
        <v/>
      </c>
      <c r="I1123" s="29" t="str">
        <f aca="false">IFERROR(INDEX('Semrush Data'!$A$1:$Z$20000,MATCH(A1123,'Semrush Data'!$A$1:$A$20000,0),MATCH("CPC*",'Semrush Data'!$A$1:$Z$1,0)),"")</f>
        <v/>
      </c>
      <c r="J1123" s="6" t="str">
        <f aca="false">IFERROR(INDEX('Semrush Data'!$A$1:$Z$20000,MATCH(A1123,'Semrush Data'!$A$1:$A$20000,0),MATCH("Intent",'Semrush Data'!$A$1:$Z$1,0)),"")</f>
        <v/>
      </c>
    </row>
    <row r="1124" customFormat="false" ht="15" hidden="false" customHeight="true" outlineLevel="0" collapsed="false">
      <c r="A1124" s="6" t="s">
        <v>5298</v>
      </c>
      <c r="B1124" s="6" t="s">
        <v>6866</v>
      </c>
      <c r="C1124" s="6" t="n">
        <v>2</v>
      </c>
      <c r="D1124" s="6" t="n">
        <v>12</v>
      </c>
      <c r="E1124" s="6" t="n">
        <v>1</v>
      </c>
      <c r="F1124" s="6" t="s">
        <v>5294</v>
      </c>
      <c r="G1124" s="28" t="str">
        <f aca="false">IFERROR(INDEX('Semrush Data'!$A$1:$Z$20000,MATCH(A1124,'Semrush Data'!$A$1:$A$20000,0),MATCH("Volume",'Semrush Data'!$A$1:$Z$1,0)),"")</f>
        <v/>
      </c>
      <c r="H1124" s="6" t="str">
        <f aca="false">IFERROR(INDEX('Semrush Data'!$A$1:$Z$20000,MATCH(A1124,'Semrush Data'!$A$1:$A$20000,0),MATCH("Keyword Difficulty*",'Semrush Data'!$A$1:$Z$1,0)),"")</f>
        <v/>
      </c>
      <c r="I1124" s="29" t="str">
        <f aca="false">IFERROR(INDEX('Semrush Data'!$A$1:$Z$20000,MATCH(A1124,'Semrush Data'!$A$1:$A$20000,0),MATCH("CPC*",'Semrush Data'!$A$1:$Z$1,0)),"")</f>
        <v/>
      </c>
      <c r="J1124" s="6" t="str">
        <f aca="false">IFERROR(INDEX('Semrush Data'!$A$1:$Z$20000,MATCH(A1124,'Semrush Data'!$A$1:$A$20000,0),MATCH("Intent",'Semrush Data'!$A$1:$Z$1,0)),"")</f>
        <v/>
      </c>
    </row>
    <row r="1125" customFormat="false" ht="15" hidden="false" customHeight="true" outlineLevel="0" collapsed="false">
      <c r="A1125" s="6" t="s">
        <v>5310</v>
      </c>
      <c r="B1125" s="6" t="s">
        <v>6866</v>
      </c>
      <c r="C1125" s="6" t="n">
        <v>2</v>
      </c>
      <c r="D1125" s="6" t="n">
        <v>12</v>
      </c>
      <c r="E1125" s="6" t="n">
        <v>1</v>
      </c>
      <c r="F1125" s="6" t="s">
        <v>5307</v>
      </c>
      <c r="G1125" s="28" t="str">
        <f aca="false">IFERROR(INDEX('Semrush Data'!$A$1:$Z$20000,MATCH(A1125,'Semrush Data'!$A$1:$A$20000,0),MATCH("Volume",'Semrush Data'!$A$1:$Z$1,0)),"")</f>
        <v/>
      </c>
      <c r="H1125" s="6" t="str">
        <f aca="false">IFERROR(INDEX('Semrush Data'!$A$1:$Z$20000,MATCH(A1125,'Semrush Data'!$A$1:$A$20000,0),MATCH("Keyword Difficulty*",'Semrush Data'!$A$1:$Z$1,0)),"")</f>
        <v/>
      </c>
      <c r="I1125" s="29" t="str">
        <f aca="false">IFERROR(INDEX('Semrush Data'!$A$1:$Z$20000,MATCH(A1125,'Semrush Data'!$A$1:$A$20000,0),MATCH("CPC*",'Semrush Data'!$A$1:$Z$1,0)),"")</f>
        <v/>
      </c>
      <c r="J1125" s="6" t="str">
        <f aca="false">IFERROR(INDEX('Semrush Data'!$A$1:$Z$20000,MATCH(A1125,'Semrush Data'!$A$1:$A$20000,0),MATCH("Intent",'Semrush Data'!$A$1:$Z$1,0)),"")</f>
        <v/>
      </c>
    </row>
    <row r="1126" customFormat="false" ht="15" hidden="false" customHeight="true" outlineLevel="0" collapsed="false">
      <c r="A1126" s="6" t="s">
        <v>5353</v>
      </c>
      <c r="B1126" s="6" t="s">
        <v>6866</v>
      </c>
      <c r="C1126" s="6" t="n">
        <v>2</v>
      </c>
      <c r="D1126" s="6" t="n">
        <v>12</v>
      </c>
      <c r="E1126" s="6" t="n">
        <v>1</v>
      </c>
      <c r="F1126" s="6" t="s">
        <v>5349</v>
      </c>
      <c r="G1126" s="28" t="str">
        <f aca="false">IFERROR(INDEX('Semrush Data'!$A$1:$Z$20000,MATCH(A1126,'Semrush Data'!$A$1:$A$20000,0),MATCH("Volume",'Semrush Data'!$A$1:$Z$1,0)),"")</f>
        <v/>
      </c>
      <c r="H1126" s="6" t="str">
        <f aca="false">IFERROR(INDEX('Semrush Data'!$A$1:$Z$20000,MATCH(A1126,'Semrush Data'!$A$1:$A$20000,0),MATCH("Keyword Difficulty*",'Semrush Data'!$A$1:$Z$1,0)),"")</f>
        <v/>
      </c>
      <c r="I1126" s="29" t="str">
        <f aca="false">IFERROR(INDEX('Semrush Data'!$A$1:$Z$20000,MATCH(A1126,'Semrush Data'!$A$1:$A$20000,0),MATCH("CPC*",'Semrush Data'!$A$1:$Z$1,0)),"")</f>
        <v/>
      </c>
      <c r="J1126" s="6" t="str">
        <f aca="false">IFERROR(INDEX('Semrush Data'!$A$1:$Z$20000,MATCH(A1126,'Semrush Data'!$A$1:$A$20000,0),MATCH("Intent",'Semrush Data'!$A$1:$Z$1,0)),"")</f>
        <v/>
      </c>
    </row>
    <row r="1127" customFormat="false" ht="15" hidden="false" customHeight="true" outlineLevel="0" collapsed="false">
      <c r="A1127" s="6" t="s">
        <v>5365</v>
      </c>
      <c r="B1127" s="6" t="s">
        <v>6866</v>
      </c>
      <c r="C1127" s="6" t="n">
        <v>2</v>
      </c>
      <c r="D1127" s="6" t="n">
        <v>12</v>
      </c>
      <c r="E1127" s="6" t="n">
        <v>1</v>
      </c>
      <c r="F1127" s="6" t="s">
        <v>5362</v>
      </c>
      <c r="G1127" s="28" t="str">
        <f aca="false">IFERROR(INDEX('Semrush Data'!$A$1:$Z$20000,MATCH(A1127,'Semrush Data'!$A$1:$A$20000,0),MATCH("Volume",'Semrush Data'!$A$1:$Z$1,0)),"")</f>
        <v/>
      </c>
      <c r="H1127" s="6" t="str">
        <f aca="false">IFERROR(INDEX('Semrush Data'!$A$1:$Z$20000,MATCH(A1127,'Semrush Data'!$A$1:$A$20000,0),MATCH("Keyword Difficulty*",'Semrush Data'!$A$1:$Z$1,0)),"")</f>
        <v/>
      </c>
      <c r="I1127" s="29" t="str">
        <f aca="false">IFERROR(INDEX('Semrush Data'!$A$1:$Z$20000,MATCH(A1127,'Semrush Data'!$A$1:$A$20000,0),MATCH("CPC*",'Semrush Data'!$A$1:$Z$1,0)),"")</f>
        <v/>
      </c>
      <c r="J1127" s="6" t="str">
        <f aca="false">IFERROR(INDEX('Semrush Data'!$A$1:$Z$20000,MATCH(A1127,'Semrush Data'!$A$1:$A$20000,0),MATCH("Intent",'Semrush Data'!$A$1:$Z$1,0)),"")</f>
        <v/>
      </c>
    </row>
    <row r="1128" customFormat="false" ht="15" hidden="false" customHeight="true" outlineLevel="0" collapsed="false">
      <c r="A1128" s="6" t="s">
        <v>5376</v>
      </c>
      <c r="B1128" s="6" t="s">
        <v>6866</v>
      </c>
      <c r="C1128" s="6" t="n">
        <v>2</v>
      </c>
      <c r="D1128" s="6" t="n">
        <v>12</v>
      </c>
      <c r="E1128" s="6" t="n">
        <v>1</v>
      </c>
      <c r="F1128" s="6" t="s">
        <v>5373</v>
      </c>
      <c r="G1128" s="28" t="str">
        <f aca="false">IFERROR(INDEX('Semrush Data'!$A$1:$Z$20000,MATCH(A1128,'Semrush Data'!$A$1:$A$20000,0),MATCH("Volume",'Semrush Data'!$A$1:$Z$1,0)),"")</f>
        <v/>
      </c>
      <c r="H1128" s="6" t="str">
        <f aca="false">IFERROR(INDEX('Semrush Data'!$A$1:$Z$20000,MATCH(A1128,'Semrush Data'!$A$1:$A$20000,0),MATCH("Keyword Difficulty*",'Semrush Data'!$A$1:$Z$1,0)),"")</f>
        <v/>
      </c>
      <c r="I1128" s="29" t="str">
        <f aca="false">IFERROR(INDEX('Semrush Data'!$A$1:$Z$20000,MATCH(A1128,'Semrush Data'!$A$1:$A$20000,0),MATCH("CPC*",'Semrush Data'!$A$1:$Z$1,0)),"")</f>
        <v/>
      </c>
      <c r="J1128" s="6" t="str">
        <f aca="false">IFERROR(INDEX('Semrush Data'!$A$1:$Z$20000,MATCH(A1128,'Semrush Data'!$A$1:$A$20000,0),MATCH("Intent",'Semrush Data'!$A$1:$Z$1,0)),"")</f>
        <v/>
      </c>
    </row>
    <row r="1129" customFormat="false" ht="15" hidden="false" customHeight="true" outlineLevel="0" collapsed="false">
      <c r="A1129" s="6" t="s">
        <v>5388</v>
      </c>
      <c r="B1129" s="6" t="s">
        <v>6866</v>
      </c>
      <c r="C1129" s="6" t="n">
        <v>2</v>
      </c>
      <c r="D1129" s="6" t="n">
        <v>12</v>
      </c>
      <c r="E1129" s="6" t="n">
        <v>1</v>
      </c>
      <c r="F1129" s="6" t="s">
        <v>5385</v>
      </c>
      <c r="G1129" s="28" t="str">
        <f aca="false">IFERROR(INDEX('Semrush Data'!$A$1:$Z$20000,MATCH(A1129,'Semrush Data'!$A$1:$A$20000,0),MATCH("Volume",'Semrush Data'!$A$1:$Z$1,0)),"")</f>
        <v/>
      </c>
      <c r="H1129" s="6" t="str">
        <f aca="false">IFERROR(INDEX('Semrush Data'!$A$1:$Z$20000,MATCH(A1129,'Semrush Data'!$A$1:$A$20000,0),MATCH("Keyword Difficulty*",'Semrush Data'!$A$1:$Z$1,0)),"")</f>
        <v/>
      </c>
      <c r="I1129" s="29" t="str">
        <f aca="false">IFERROR(INDEX('Semrush Data'!$A$1:$Z$20000,MATCH(A1129,'Semrush Data'!$A$1:$A$20000,0),MATCH("CPC*",'Semrush Data'!$A$1:$Z$1,0)),"")</f>
        <v/>
      </c>
      <c r="J1129" s="6" t="str">
        <f aca="false">IFERROR(INDEX('Semrush Data'!$A$1:$Z$20000,MATCH(A1129,'Semrush Data'!$A$1:$A$20000,0),MATCH("Intent",'Semrush Data'!$A$1:$Z$1,0)),"")</f>
        <v/>
      </c>
    </row>
    <row r="1130" customFormat="false" ht="15" hidden="false" customHeight="true" outlineLevel="0" collapsed="false">
      <c r="A1130" s="6" t="s">
        <v>5397</v>
      </c>
      <c r="B1130" s="6" t="s">
        <v>6866</v>
      </c>
      <c r="C1130" s="6" t="n">
        <v>2</v>
      </c>
      <c r="D1130" s="6" t="s">
        <v>6867</v>
      </c>
      <c r="E1130" s="6" t="n">
        <v>1</v>
      </c>
      <c r="F1130" s="6" t="s">
        <v>143</v>
      </c>
      <c r="G1130" s="28" t="n">
        <f aca="false">IFERROR(INDEX('Semrush Data'!$A$1:$Z$20000,MATCH(A1130,'Semrush Data'!$A$1:$A$20000,0),MATCH("Volume",'Semrush Data'!$A$1:$Z$1,0)),"")</f>
        <v>0</v>
      </c>
      <c r="H1130" s="6" t="n">
        <f aca="false">IFERROR(INDEX('Semrush Data'!$A$1:$Z$20000,MATCH(A1130,'Semrush Data'!$A$1:$A$20000,0),MATCH("Keyword Difficulty*",'Semrush Data'!$A$1:$Z$1,0)),"")</f>
        <v>16</v>
      </c>
      <c r="I1130" s="29" t="n">
        <f aca="false">IFERROR(INDEX('Semrush Data'!$A$1:$Z$20000,MATCH(A1130,'Semrush Data'!$A$1:$A$20000,0),MATCH("CPC*",'Semrush Data'!$A$1:$Z$1,0)),"")</f>
        <v>0</v>
      </c>
      <c r="J1130" s="6" t="str">
        <f aca="false">IFERROR(INDEX('Semrush Data'!$A$1:$Z$20000,MATCH(A1130,'Semrush Data'!$A$1:$A$20000,0),MATCH("Intent",'Semrush Data'!$A$1:$Z$1,0)),"")</f>
        <v>Navigational</v>
      </c>
    </row>
    <row r="1131" customFormat="false" ht="15" hidden="false" customHeight="true" outlineLevel="0" collapsed="false">
      <c r="A1131" s="6" t="s">
        <v>5409</v>
      </c>
      <c r="B1131" s="6" t="s">
        <v>6866</v>
      </c>
      <c r="C1131" s="6" t="n">
        <v>2</v>
      </c>
      <c r="D1131" s="6" t="n">
        <v>12</v>
      </c>
      <c r="E1131" s="6" t="n">
        <v>1</v>
      </c>
      <c r="F1131" s="6" t="s">
        <v>5406</v>
      </c>
      <c r="G1131" s="28" t="str">
        <f aca="false">IFERROR(INDEX('Semrush Data'!$A$1:$Z$20000,MATCH(A1131,'Semrush Data'!$A$1:$A$20000,0),MATCH("Volume",'Semrush Data'!$A$1:$Z$1,0)),"")</f>
        <v/>
      </c>
      <c r="H1131" s="6" t="str">
        <f aca="false">IFERROR(INDEX('Semrush Data'!$A$1:$Z$20000,MATCH(A1131,'Semrush Data'!$A$1:$A$20000,0),MATCH("Keyword Difficulty*",'Semrush Data'!$A$1:$Z$1,0)),"")</f>
        <v/>
      </c>
      <c r="I1131" s="29" t="str">
        <f aca="false">IFERROR(INDEX('Semrush Data'!$A$1:$Z$20000,MATCH(A1131,'Semrush Data'!$A$1:$A$20000,0),MATCH("CPC*",'Semrush Data'!$A$1:$Z$1,0)),"")</f>
        <v/>
      </c>
      <c r="J1131" s="6" t="str">
        <f aca="false">IFERROR(INDEX('Semrush Data'!$A$1:$Z$20000,MATCH(A1131,'Semrush Data'!$A$1:$A$20000,0),MATCH("Intent",'Semrush Data'!$A$1:$Z$1,0)),"")</f>
        <v/>
      </c>
    </row>
    <row r="1132" customFormat="false" ht="15" hidden="false" customHeight="true" outlineLevel="0" collapsed="false">
      <c r="A1132" s="6" t="s">
        <v>4464</v>
      </c>
      <c r="B1132" s="6" t="s">
        <v>6866</v>
      </c>
      <c r="C1132" s="6" t="n">
        <v>2</v>
      </c>
      <c r="D1132" s="6" t="n">
        <v>12</v>
      </c>
      <c r="E1132" s="6" t="n">
        <v>1</v>
      </c>
      <c r="F1132" s="6" t="s">
        <v>4461</v>
      </c>
      <c r="G1132" s="28" t="str">
        <f aca="false">IFERROR(INDEX('Semrush Data'!$A$1:$Z$20000,MATCH(A1132,'Semrush Data'!$A$1:$A$20000,0),MATCH("Volume",'Semrush Data'!$A$1:$Z$1,0)),"")</f>
        <v/>
      </c>
      <c r="H1132" s="6" t="str">
        <f aca="false">IFERROR(INDEX('Semrush Data'!$A$1:$Z$20000,MATCH(A1132,'Semrush Data'!$A$1:$A$20000,0),MATCH("Keyword Difficulty*",'Semrush Data'!$A$1:$Z$1,0)),"")</f>
        <v/>
      </c>
      <c r="I1132" s="29" t="str">
        <f aca="false">IFERROR(INDEX('Semrush Data'!$A$1:$Z$20000,MATCH(A1132,'Semrush Data'!$A$1:$A$20000,0),MATCH("CPC*",'Semrush Data'!$A$1:$Z$1,0)),"")</f>
        <v/>
      </c>
      <c r="J1132" s="6" t="str">
        <f aca="false">IFERROR(INDEX('Semrush Data'!$A$1:$Z$20000,MATCH(A1132,'Semrush Data'!$A$1:$A$20000,0),MATCH("Intent",'Semrush Data'!$A$1:$Z$1,0)),"")</f>
        <v/>
      </c>
    </row>
    <row r="1133" customFormat="false" ht="15" hidden="false" customHeight="true" outlineLevel="0" collapsed="false">
      <c r="A1133" s="6" t="s">
        <v>4474</v>
      </c>
      <c r="B1133" s="6" t="s">
        <v>6866</v>
      </c>
      <c r="C1133" s="6" t="n">
        <v>2</v>
      </c>
      <c r="D1133" s="6" t="n">
        <v>12</v>
      </c>
      <c r="E1133" s="6" t="n">
        <v>1</v>
      </c>
      <c r="F1133" s="6" t="s">
        <v>4471</v>
      </c>
      <c r="G1133" s="28" t="str">
        <f aca="false">IFERROR(INDEX('Semrush Data'!$A$1:$Z$20000,MATCH(A1133,'Semrush Data'!$A$1:$A$20000,0),MATCH("Volume",'Semrush Data'!$A$1:$Z$1,0)),"")</f>
        <v/>
      </c>
      <c r="H1133" s="6" t="str">
        <f aca="false">IFERROR(INDEX('Semrush Data'!$A$1:$Z$20000,MATCH(A1133,'Semrush Data'!$A$1:$A$20000,0),MATCH("Keyword Difficulty*",'Semrush Data'!$A$1:$Z$1,0)),"")</f>
        <v/>
      </c>
      <c r="I1133" s="29" t="str">
        <f aca="false">IFERROR(INDEX('Semrush Data'!$A$1:$Z$20000,MATCH(A1133,'Semrush Data'!$A$1:$A$20000,0),MATCH("CPC*",'Semrush Data'!$A$1:$Z$1,0)),"")</f>
        <v/>
      </c>
      <c r="J1133" s="6" t="str">
        <f aca="false">IFERROR(INDEX('Semrush Data'!$A$1:$Z$20000,MATCH(A1133,'Semrush Data'!$A$1:$A$20000,0),MATCH("Intent",'Semrush Data'!$A$1:$Z$1,0)),"")</f>
        <v/>
      </c>
    </row>
    <row r="1134" customFormat="false" ht="15" hidden="false" customHeight="true" outlineLevel="0" collapsed="false">
      <c r="A1134" s="6" t="s">
        <v>4485</v>
      </c>
      <c r="B1134" s="6" t="s">
        <v>6866</v>
      </c>
      <c r="C1134" s="6" t="n">
        <v>2</v>
      </c>
      <c r="D1134" s="6" t="n">
        <v>12</v>
      </c>
      <c r="E1134" s="6" t="n">
        <v>1</v>
      </c>
      <c r="F1134" s="6" t="s">
        <v>4482</v>
      </c>
      <c r="G1134" s="28" t="str">
        <f aca="false">IFERROR(INDEX('Semrush Data'!$A$1:$Z$20000,MATCH(A1134,'Semrush Data'!$A$1:$A$20000,0),MATCH("Volume",'Semrush Data'!$A$1:$Z$1,0)),"")</f>
        <v/>
      </c>
      <c r="H1134" s="6" t="str">
        <f aca="false">IFERROR(INDEX('Semrush Data'!$A$1:$Z$20000,MATCH(A1134,'Semrush Data'!$A$1:$A$20000,0),MATCH("Keyword Difficulty*",'Semrush Data'!$A$1:$Z$1,0)),"")</f>
        <v/>
      </c>
      <c r="I1134" s="29" t="str">
        <f aca="false">IFERROR(INDEX('Semrush Data'!$A$1:$Z$20000,MATCH(A1134,'Semrush Data'!$A$1:$A$20000,0),MATCH("CPC*",'Semrush Data'!$A$1:$Z$1,0)),"")</f>
        <v/>
      </c>
      <c r="J1134" s="6" t="str">
        <f aca="false">IFERROR(INDEX('Semrush Data'!$A$1:$Z$20000,MATCH(A1134,'Semrush Data'!$A$1:$A$20000,0),MATCH("Intent",'Semrush Data'!$A$1:$Z$1,0)),"")</f>
        <v/>
      </c>
    </row>
    <row r="1135" customFormat="false" ht="15" hidden="false" customHeight="true" outlineLevel="0" collapsed="false">
      <c r="A1135" s="6" t="s">
        <v>4495</v>
      </c>
      <c r="B1135" s="6" t="s">
        <v>6866</v>
      </c>
      <c r="C1135" s="6" t="n">
        <v>2</v>
      </c>
      <c r="D1135" s="6" t="n">
        <v>12</v>
      </c>
      <c r="E1135" s="6" t="n">
        <v>1</v>
      </c>
      <c r="F1135" s="6" t="s">
        <v>4492</v>
      </c>
      <c r="G1135" s="28" t="str">
        <f aca="false">IFERROR(INDEX('Semrush Data'!$A$1:$Z$20000,MATCH(A1135,'Semrush Data'!$A$1:$A$20000,0),MATCH("Volume",'Semrush Data'!$A$1:$Z$1,0)),"")</f>
        <v/>
      </c>
      <c r="H1135" s="6" t="str">
        <f aca="false">IFERROR(INDEX('Semrush Data'!$A$1:$Z$20000,MATCH(A1135,'Semrush Data'!$A$1:$A$20000,0),MATCH("Keyword Difficulty*",'Semrush Data'!$A$1:$Z$1,0)),"")</f>
        <v/>
      </c>
      <c r="I1135" s="29" t="str">
        <f aca="false">IFERROR(INDEX('Semrush Data'!$A$1:$Z$20000,MATCH(A1135,'Semrush Data'!$A$1:$A$20000,0),MATCH("CPC*",'Semrush Data'!$A$1:$Z$1,0)),"")</f>
        <v/>
      </c>
      <c r="J1135" s="6" t="str">
        <f aca="false">IFERROR(INDEX('Semrush Data'!$A$1:$Z$20000,MATCH(A1135,'Semrush Data'!$A$1:$A$20000,0),MATCH("Intent",'Semrush Data'!$A$1:$Z$1,0)),"")</f>
        <v/>
      </c>
    </row>
    <row r="1136" customFormat="false" ht="15" hidden="false" customHeight="true" outlineLevel="0" collapsed="false">
      <c r="A1136" s="6" t="s">
        <v>4505</v>
      </c>
      <c r="B1136" s="6" t="s">
        <v>6866</v>
      </c>
      <c r="C1136" s="6" t="n">
        <v>2</v>
      </c>
      <c r="D1136" s="6" t="n">
        <v>12</v>
      </c>
      <c r="E1136" s="6" t="n">
        <v>1</v>
      </c>
      <c r="F1136" s="6" t="s">
        <v>4502</v>
      </c>
      <c r="G1136" s="28" t="str">
        <f aca="false">IFERROR(INDEX('Semrush Data'!$A$1:$Z$20000,MATCH(A1136,'Semrush Data'!$A$1:$A$20000,0),MATCH("Volume",'Semrush Data'!$A$1:$Z$1,0)),"")</f>
        <v/>
      </c>
      <c r="H1136" s="6" t="str">
        <f aca="false">IFERROR(INDEX('Semrush Data'!$A$1:$Z$20000,MATCH(A1136,'Semrush Data'!$A$1:$A$20000,0),MATCH("Keyword Difficulty*",'Semrush Data'!$A$1:$Z$1,0)),"")</f>
        <v/>
      </c>
      <c r="I1136" s="29" t="str">
        <f aca="false">IFERROR(INDEX('Semrush Data'!$A$1:$Z$20000,MATCH(A1136,'Semrush Data'!$A$1:$A$20000,0),MATCH("CPC*",'Semrush Data'!$A$1:$Z$1,0)),"")</f>
        <v/>
      </c>
      <c r="J1136" s="6" t="str">
        <f aca="false">IFERROR(INDEX('Semrush Data'!$A$1:$Z$20000,MATCH(A1136,'Semrush Data'!$A$1:$A$20000,0),MATCH("Intent",'Semrush Data'!$A$1:$Z$1,0)),"")</f>
        <v/>
      </c>
    </row>
    <row r="1137" customFormat="false" ht="15" hidden="false" customHeight="true" outlineLevel="0" collapsed="false">
      <c r="A1137" s="6" t="s">
        <v>4515</v>
      </c>
      <c r="B1137" s="6" t="s">
        <v>6866</v>
      </c>
      <c r="C1137" s="6" t="n">
        <v>2</v>
      </c>
      <c r="D1137" s="6" t="n">
        <v>12</v>
      </c>
      <c r="E1137" s="6" t="n">
        <v>1</v>
      </c>
      <c r="F1137" s="6" t="s">
        <v>4512</v>
      </c>
      <c r="G1137" s="28" t="str">
        <f aca="false">IFERROR(INDEX('Semrush Data'!$A$1:$Z$20000,MATCH(A1137,'Semrush Data'!$A$1:$A$20000,0),MATCH("Volume",'Semrush Data'!$A$1:$Z$1,0)),"")</f>
        <v/>
      </c>
      <c r="H1137" s="6" t="str">
        <f aca="false">IFERROR(INDEX('Semrush Data'!$A$1:$Z$20000,MATCH(A1137,'Semrush Data'!$A$1:$A$20000,0),MATCH("Keyword Difficulty*",'Semrush Data'!$A$1:$Z$1,0)),"")</f>
        <v/>
      </c>
      <c r="I1137" s="29" t="str">
        <f aca="false">IFERROR(INDEX('Semrush Data'!$A$1:$Z$20000,MATCH(A1137,'Semrush Data'!$A$1:$A$20000,0),MATCH("CPC*",'Semrush Data'!$A$1:$Z$1,0)),"")</f>
        <v/>
      </c>
      <c r="J1137" s="6" t="str">
        <f aca="false">IFERROR(INDEX('Semrush Data'!$A$1:$Z$20000,MATCH(A1137,'Semrush Data'!$A$1:$A$20000,0),MATCH("Intent",'Semrush Data'!$A$1:$Z$1,0)),"")</f>
        <v/>
      </c>
    </row>
    <row r="1138" customFormat="false" ht="15" hidden="false" customHeight="true" outlineLevel="0" collapsed="false">
      <c r="A1138" s="6" t="s">
        <v>4525</v>
      </c>
      <c r="B1138" s="6" t="s">
        <v>6866</v>
      </c>
      <c r="C1138" s="6" t="n">
        <v>2</v>
      </c>
      <c r="D1138" s="6" t="n">
        <v>12</v>
      </c>
      <c r="E1138" s="6" t="n">
        <v>1</v>
      </c>
      <c r="F1138" s="6" t="s">
        <v>4522</v>
      </c>
      <c r="G1138" s="28" t="str">
        <f aca="false">IFERROR(INDEX('Semrush Data'!$A$1:$Z$20000,MATCH(A1138,'Semrush Data'!$A$1:$A$20000,0),MATCH("Volume",'Semrush Data'!$A$1:$Z$1,0)),"")</f>
        <v/>
      </c>
      <c r="H1138" s="6" t="str">
        <f aca="false">IFERROR(INDEX('Semrush Data'!$A$1:$Z$20000,MATCH(A1138,'Semrush Data'!$A$1:$A$20000,0),MATCH("Keyword Difficulty*",'Semrush Data'!$A$1:$Z$1,0)),"")</f>
        <v/>
      </c>
      <c r="I1138" s="29" t="str">
        <f aca="false">IFERROR(INDEX('Semrush Data'!$A$1:$Z$20000,MATCH(A1138,'Semrush Data'!$A$1:$A$20000,0),MATCH("CPC*",'Semrush Data'!$A$1:$Z$1,0)),"")</f>
        <v/>
      </c>
      <c r="J1138" s="6" t="str">
        <f aca="false">IFERROR(INDEX('Semrush Data'!$A$1:$Z$20000,MATCH(A1138,'Semrush Data'!$A$1:$A$20000,0),MATCH("Intent",'Semrush Data'!$A$1:$Z$1,0)),"")</f>
        <v/>
      </c>
    </row>
    <row r="1139" customFormat="false" ht="15" hidden="false" customHeight="true" outlineLevel="0" collapsed="false">
      <c r="A1139" s="6" t="s">
        <v>4536</v>
      </c>
      <c r="B1139" s="6" t="s">
        <v>6866</v>
      </c>
      <c r="C1139" s="6" t="n">
        <v>2</v>
      </c>
      <c r="D1139" s="6" t="n">
        <v>12</v>
      </c>
      <c r="E1139" s="6" t="n">
        <v>1</v>
      </c>
      <c r="F1139" s="6" t="s">
        <v>4533</v>
      </c>
      <c r="G1139" s="28" t="str">
        <f aca="false">IFERROR(INDEX('Semrush Data'!$A$1:$Z$20000,MATCH(A1139,'Semrush Data'!$A$1:$A$20000,0),MATCH("Volume",'Semrush Data'!$A$1:$Z$1,0)),"")</f>
        <v/>
      </c>
      <c r="H1139" s="6" t="str">
        <f aca="false">IFERROR(INDEX('Semrush Data'!$A$1:$Z$20000,MATCH(A1139,'Semrush Data'!$A$1:$A$20000,0),MATCH("Keyword Difficulty*",'Semrush Data'!$A$1:$Z$1,0)),"")</f>
        <v/>
      </c>
      <c r="I1139" s="29" t="str">
        <f aca="false">IFERROR(INDEX('Semrush Data'!$A$1:$Z$20000,MATCH(A1139,'Semrush Data'!$A$1:$A$20000,0),MATCH("CPC*",'Semrush Data'!$A$1:$Z$1,0)),"")</f>
        <v/>
      </c>
      <c r="J1139" s="6" t="str">
        <f aca="false">IFERROR(INDEX('Semrush Data'!$A$1:$Z$20000,MATCH(A1139,'Semrush Data'!$A$1:$A$20000,0),MATCH("Intent",'Semrush Data'!$A$1:$Z$1,0)),"")</f>
        <v/>
      </c>
    </row>
    <row r="1140" customFormat="false" ht="15" hidden="false" customHeight="true" outlineLevel="0" collapsed="false">
      <c r="A1140" s="6" t="s">
        <v>4546</v>
      </c>
      <c r="B1140" s="6" t="s">
        <v>6866</v>
      </c>
      <c r="C1140" s="6" t="n">
        <v>2</v>
      </c>
      <c r="D1140" s="6" t="n">
        <v>12</v>
      </c>
      <c r="E1140" s="6" t="n">
        <v>1</v>
      </c>
      <c r="F1140" s="6" t="s">
        <v>4543</v>
      </c>
      <c r="G1140" s="28" t="str">
        <f aca="false">IFERROR(INDEX('Semrush Data'!$A$1:$Z$20000,MATCH(A1140,'Semrush Data'!$A$1:$A$20000,0),MATCH("Volume",'Semrush Data'!$A$1:$Z$1,0)),"")</f>
        <v/>
      </c>
      <c r="H1140" s="6" t="str">
        <f aca="false">IFERROR(INDEX('Semrush Data'!$A$1:$Z$20000,MATCH(A1140,'Semrush Data'!$A$1:$A$20000,0),MATCH("Keyword Difficulty*",'Semrush Data'!$A$1:$Z$1,0)),"")</f>
        <v/>
      </c>
      <c r="I1140" s="29" t="str">
        <f aca="false">IFERROR(INDEX('Semrush Data'!$A$1:$Z$20000,MATCH(A1140,'Semrush Data'!$A$1:$A$20000,0),MATCH("CPC*",'Semrush Data'!$A$1:$Z$1,0)),"")</f>
        <v/>
      </c>
      <c r="J1140" s="6" t="str">
        <f aca="false">IFERROR(INDEX('Semrush Data'!$A$1:$Z$20000,MATCH(A1140,'Semrush Data'!$A$1:$A$20000,0),MATCH("Intent",'Semrush Data'!$A$1:$Z$1,0)),"")</f>
        <v/>
      </c>
    </row>
    <row r="1141" customFormat="false" ht="15" hidden="false" customHeight="true" outlineLevel="0" collapsed="false">
      <c r="A1141" s="6" t="s">
        <v>4556</v>
      </c>
      <c r="B1141" s="6" t="s">
        <v>6866</v>
      </c>
      <c r="C1141" s="6" t="n">
        <v>2</v>
      </c>
      <c r="D1141" s="6" t="n">
        <v>12</v>
      </c>
      <c r="E1141" s="6" t="n">
        <v>1</v>
      </c>
      <c r="F1141" s="6" t="s">
        <v>4553</v>
      </c>
      <c r="G1141" s="28" t="str">
        <f aca="false">IFERROR(INDEX('Semrush Data'!$A$1:$Z$20000,MATCH(A1141,'Semrush Data'!$A$1:$A$20000,0),MATCH("Volume",'Semrush Data'!$A$1:$Z$1,0)),"")</f>
        <v/>
      </c>
      <c r="H1141" s="6" t="str">
        <f aca="false">IFERROR(INDEX('Semrush Data'!$A$1:$Z$20000,MATCH(A1141,'Semrush Data'!$A$1:$A$20000,0),MATCH("Keyword Difficulty*",'Semrush Data'!$A$1:$Z$1,0)),"")</f>
        <v/>
      </c>
      <c r="I1141" s="29" t="str">
        <f aca="false">IFERROR(INDEX('Semrush Data'!$A$1:$Z$20000,MATCH(A1141,'Semrush Data'!$A$1:$A$20000,0),MATCH("CPC*",'Semrush Data'!$A$1:$Z$1,0)),"")</f>
        <v/>
      </c>
      <c r="J1141" s="6" t="str">
        <f aca="false">IFERROR(INDEX('Semrush Data'!$A$1:$Z$20000,MATCH(A1141,'Semrush Data'!$A$1:$A$20000,0),MATCH("Intent",'Semrush Data'!$A$1:$Z$1,0)),"")</f>
        <v/>
      </c>
    </row>
    <row r="1142" customFormat="false" ht="15" hidden="false" customHeight="true" outlineLevel="0" collapsed="false">
      <c r="A1142" s="6" t="s">
        <v>4566</v>
      </c>
      <c r="B1142" s="6" t="s">
        <v>6866</v>
      </c>
      <c r="C1142" s="6" t="n">
        <v>2</v>
      </c>
      <c r="D1142" s="6" t="n">
        <v>12</v>
      </c>
      <c r="E1142" s="6" t="n">
        <v>1</v>
      </c>
      <c r="F1142" s="6" t="s">
        <v>4563</v>
      </c>
      <c r="G1142" s="28" t="str">
        <f aca="false">IFERROR(INDEX('Semrush Data'!$A$1:$Z$20000,MATCH(A1142,'Semrush Data'!$A$1:$A$20000,0),MATCH("Volume",'Semrush Data'!$A$1:$Z$1,0)),"")</f>
        <v/>
      </c>
      <c r="H1142" s="6" t="str">
        <f aca="false">IFERROR(INDEX('Semrush Data'!$A$1:$Z$20000,MATCH(A1142,'Semrush Data'!$A$1:$A$20000,0),MATCH("Keyword Difficulty*",'Semrush Data'!$A$1:$Z$1,0)),"")</f>
        <v/>
      </c>
      <c r="I1142" s="29" t="str">
        <f aca="false">IFERROR(INDEX('Semrush Data'!$A$1:$Z$20000,MATCH(A1142,'Semrush Data'!$A$1:$A$20000,0),MATCH("CPC*",'Semrush Data'!$A$1:$Z$1,0)),"")</f>
        <v/>
      </c>
      <c r="J1142" s="6" t="str">
        <f aca="false">IFERROR(INDEX('Semrush Data'!$A$1:$Z$20000,MATCH(A1142,'Semrush Data'!$A$1:$A$20000,0),MATCH("Intent",'Semrush Data'!$A$1:$Z$1,0)),"")</f>
        <v/>
      </c>
    </row>
    <row r="1143" customFormat="false" ht="15" hidden="false" customHeight="true" outlineLevel="0" collapsed="false">
      <c r="A1143" s="6" t="s">
        <v>4576</v>
      </c>
      <c r="B1143" s="6" t="s">
        <v>6866</v>
      </c>
      <c r="C1143" s="6" t="n">
        <v>2</v>
      </c>
      <c r="D1143" s="6" t="n">
        <v>12</v>
      </c>
      <c r="E1143" s="6" t="n">
        <v>1</v>
      </c>
      <c r="F1143" s="6" t="s">
        <v>4573</v>
      </c>
      <c r="G1143" s="28" t="str">
        <f aca="false">IFERROR(INDEX('Semrush Data'!$A$1:$Z$20000,MATCH(A1143,'Semrush Data'!$A$1:$A$20000,0),MATCH("Volume",'Semrush Data'!$A$1:$Z$1,0)),"")</f>
        <v/>
      </c>
      <c r="H1143" s="6" t="str">
        <f aca="false">IFERROR(INDEX('Semrush Data'!$A$1:$Z$20000,MATCH(A1143,'Semrush Data'!$A$1:$A$20000,0),MATCH("Keyword Difficulty*",'Semrush Data'!$A$1:$Z$1,0)),"")</f>
        <v/>
      </c>
      <c r="I1143" s="29" t="str">
        <f aca="false">IFERROR(INDEX('Semrush Data'!$A$1:$Z$20000,MATCH(A1143,'Semrush Data'!$A$1:$A$20000,0),MATCH("CPC*",'Semrush Data'!$A$1:$Z$1,0)),"")</f>
        <v/>
      </c>
      <c r="J1143" s="6" t="str">
        <f aca="false">IFERROR(INDEX('Semrush Data'!$A$1:$Z$20000,MATCH(A1143,'Semrush Data'!$A$1:$A$20000,0),MATCH("Intent",'Semrush Data'!$A$1:$Z$1,0)),"")</f>
        <v/>
      </c>
    </row>
    <row r="1144" customFormat="false" ht="15" hidden="false" customHeight="true" outlineLevel="0" collapsed="false">
      <c r="A1144" s="6" t="s">
        <v>4586</v>
      </c>
      <c r="B1144" s="6" t="s">
        <v>6866</v>
      </c>
      <c r="C1144" s="6" t="n">
        <v>2</v>
      </c>
      <c r="D1144" s="6" t="n">
        <v>12</v>
      </c>
      <c r="E1144" s="6" t="n">
        <v>1</v>
      </c>
      <c r="F1144" s="6" t="s">
        <v>4583</v>
      </c>
      <c r="G1144" s="28" t="str">
        <f aca="false">IFERROR(INDEX('Semrush Data'!$A$1:$Z$20000,MATCH(A1144,'Semrush Data'!$A$1:$A$20000,0),MATCH("Volume",'Semrush Data'!$A$1:$Z$1,0)),"")</f>
        <v/>
      </c>
      <c r="H1144" s="6" t="str">
        <f aca="false">IFERROR(INDEX('Semrush Data'!$A$1:$Z$20000,MATCH(A1144,'Semrush Data'!$A$1:$A$20000,0),MATCH("Keyword Difficulty*",'Semrush Data'!$A$1:$Z$1,0)),"")</f>
        <v/>
      </c>
      <c r="I1144" s="29" t="str">
        <f aca="false">IFERROR(INDEX('Semrush Data'!$A$1:$Z$20000,MATCH(A1144,'Semrush Data'!$A$1:$A$20000,0),MATCH("CPC*",'Semrush Data'!$A$1:$Z$1,0)),"")</f>
        <v/>
      </c>
      <c r="J1144" s="6" t="str">
        <f aca="false">IFERROR(INDEX('Semrush Data'!$A$1:$Z$20000,MATCH(A1144,'Semrush Data'!$A$1:$A$20000,0),MATCH("Intent",'Semrush Data'!$A$1:$Z$1,0)),"")</f>
        <v/>
      </c>
    </row>
    <row r="1145" customFormat="false" ht="15" hidden="false" customHeight="true" outlineLevel="0" collapsed="false">
      <c r="A1145" s="6" t="s">
        <v>4596</v>
      </c>
      <c r="B1145" s="6" t="s">
        <v>6866</v>
      </c>
      <c r="C1145" s="6" t="n">
        <v>2</v>
      </c>
      <c r="D1145" s="6" t="n">
        <v>12</v>
      </c>
      <c r="E1145" s="6" t="n">
        <v>1</v>
      </c>
      <c r="F1145" s="6" t="s">
        <v>4593</v>
      </c>
      <c r="G1145" s="28" t="str">
        <f aca="false">IFERROR(INDEX('Semrush Data'!$A$1:$Z$20000,MATCH(A1145,'Semrush Data'!$A$1:$A$20000,0),MATCH("Volume",'Semrush Data'!$A$1:$Z$1,0)),"")</f>
        <v/>
      </c>
      <c r="H1145" s="6" t="str">
        <f aca="false">IFERROR(INDEX('Semrush Data'!$A$1:$Z$20000,MATCH(A1145,'Semrush Data'!$A$1:$A$20000,0),MATCH("Keyword Difficulty*",'Semrush Data'!$A$1:$Z$1,0)),"")</f>
        <v/>
      </c>
      <c r="I1145" s="29" t="str">
        <f aca="false">IFERROR(INDEX('Semrush Data'!$A$1:$Z$20000,MATCH(A1145,'Semrush Data'!$A$1:$A$20000,0),MATCH("CPC*",'Semrush Data'!$A$1:$Z$1,0)),"")</f>
        <v/>
      </c>
      <c r="J1145" s="6" t="str">
        <f aca="false">IFERROR(INDEX('Semrush Data'!$A$1:$Z$20000,MATCH(A1145,'Semrush Data'!$A$1:$A$20000,0),MATCH("Intent",'Semrush Data'!$A$1:$Z$1,0)),"")</f>
        <v/>
      </c>
    </row>
    <row r="1146" customFormat="false" ht="15" hidden="false" customHeight="true" outlineLevel="0" collapsed="false">
      <c r="A1146" s="6" t="s">
        <v>5422</v>
      </c>
      <c r="B1146" s="6" t="s">
        <v>6866</v>
      </c>
      <c r="C1146" s="6" t="n">
        <v>2</v>
      </c>
      <c r="D1146" s="6" t="n">
        <v>12</v>
      </c>
      <c r="E1146" s="6" t="n">
        <v>1</v>
      </c>
      <c r="F1146" s="6" t="s">
        <v>5417</v>
      </c>
      <c r="G1146" s="28" t="str">
        <f aca="false">IFERROR(INDEX('Semrush Data'!$A$1:$Z$20000,MATCH(A1146,'Semrush Data'!$A$1:$A$20000,0),MATCH("Volume",'Semrush Data'!$A$1:$Z$1,0)),"")</f>
        <v/>
      </c>
      <c r="H1146" s="6" t="str">
        <f aca="false">IFERROR(INDEX('Semrush Data'!$A$1:$Z$20000,MATCH(A1146,'Semrush Data'!$A$1:$A$20000,0),MATCH("Keyword Difficulty*",'Semrush Data'!$A$1:$Z$1,0)),"")</f>
        <v/>
      </c>
      <c r="I1146" s="29" t="str">
        <f aca="false">IFERROR(INDEX('Semrush Data'!$A$1:$Z$20000,MATCH(A1146,'Semrush Data'!$A$1:$A$20000,0),MATCH("CPC*",'Semrush Data'!$A$1:$Z$1,0)),"")</f>
        <v/>
      </c>
      <c r="J1146" s="6" t="str">
        <f aca="false">IFERROR(INDEX('Semrush Data'!$A$1:$Z$20000,MATCH(A1146,'Semrush Data'!$A$1:$A$20000,0),MATCH("Intent",'Semrush Data'!$A$1:$Z$1,0)),"")</f>
        <v/>
      </c>
    </row>
    <row r="1147" customFormat="false" ht="15" hidden="false" customHeight="true" outlineLevel="0" collapsed="false">
      <c r="A1147" s="6" t="s">
        <v>5435</v>
      </c>
      <c r="B1147" s="6" t="s">
        <v>6866</v>
      </c>
      <c r="C1147" s="6" t="n">
        <v>2</v>
      </c>
      <c r="D1147" s="6" t="s">
        <v>6868</v>
      </c>
      <c r="E1147" s="6" t="n">
        <v>1</v>
      </c>
      <c r="F1147" s="6" t="s">
        <v>5431</v>
      </c>
      <c r="G1147" s="28" t="n">
        <f aca="false">IFERROR(INDEX('Semrush Data'!$A$1:$Z$20000,MATCH(A1147,'Semrush Data'!$A$1:$A$20000,0),MATCH("Volume",'Semrush Data'!$A$1:$Z$1,0)),"")</f>
        <v>0</v>
      </c>
      <c r="H1147" s="6" t="n">
        <f aca="false">IFERROR(INDEX('Semrush Data'!$A$1:$Z$20000,MATCH(A1147,'Semrush Data'!$A$1:$A$20000,0),MATCH("Keyword Difficulty*",'Semrush Data'!$A$1:$Z$1,0)),"")</f>
        <v>17</v>
      </c>
      <c r="I1147" s="29" t="n">
        <f aca="false">IFERROR(INDEX('Semrush Data'!$A$1:$Z$20000,MATCH(A1147,'Semrush Data'!$A$1:$A$20000,0),MATCH("CPC*",'Semrush Data'!$A$1:$Z$1,0)),"")</f>
        <v>0</v>
      </c>
      <c r="J1147" s="6" t="str">
        <f aca="false">IFERROR(INDEX('Semrush Data'!$A$1:$Z$20000,MATCH(A1147,'Semrush Data'!$A$1:$A$20000,0),MATCH("Intent",'Semrush Data'!$A$1:$Z$1,0)),"")</f>
        <v>Informational Transactional</v>
      </c>
    </row>
    <row r="1148" customFormat="false" ht="15" hidden="false" customHeight="true" outlineLevel="0" collapsed="false">
      <c r="A1148" s="6" t="s">
        <v>5488</v>
      </c>
      <c r="B1148" s="6" t="s">
        <v>6866</v>
      </c>
      <c r="C1148" s="6" t="n">
        <v>2</v>
      </c>
      <c r="D1148" s="6" t="n">
        <v>12</v>
      </c>
      <c r="E1148" s="6" t="n">
        <v>1</v>
      </c>
      <c r="F1148" s="6" t="s">
        <v>5485</v>
      </c>
      <c r="G1148" s="28" t="str">
        <f aca="false">IFERROR(INDEX('Semrush Data'!$A$1:$Z$20000,MATCH(A1148,'Semrush Data'!$A$1:$A$20000,0),MATCH("Volume",'Semrush Data'!$A$1:$Z$1,0)),"")</f>
        <v/>
      </c>
      <c r="H1148" s="6" t="str">
        <f aca="false">IFERROR(INDEX('Semrush Data'!$A$1:$Z$20000,MATCH(A1148,'Semrush Data'!$A$1:$A$20000,0),MATCH("Keyword Difficulty*",'Semrush Data'!$A$1:$Z$1,0)),"")</f>
        <v/>
      </c>
      <c r="I1148" s="29" t="str">
        <f aca="false">IFERROR(INDEX('Semrush Data'!$A$1:$Z$20000,MATCH(A1148,'Semrush Data'!$A$1:$A$20000,0),MATCH("CPC*",'Semrush Data'!$A$1:$Z$1,0)),"")</f>
        <v/>
      </c>
      <c r="J1148" s="6" t="str">
        <f aca="false">IFERROR(INDEX('Semrush Data'!$A$1:$Z$20000,MATCH(A1148,'Semrush Data'!$A$1:$A$20000,0),MATCH("Intent",'Semrush Data'!$A$1:$Z$1,0)),"")</f>
        <v/>
      </c>
    </row>
    <row r="1149" customFormat="false" ht="15" hidden="false" customHeight="true" outlineLevel="0" collapsed="false">
      <c r="A1149" s="6" t="s">
        <v>5477</v>
      </c>
      <c r="B1149" s="6" t="s">
        <v>6866</v>
      </c>
      <c r="C1149" s="6" t="n">
        <v>2</v>
      </c>
      <c r="D1149" s="6" t="n">
        <v>12</v>
      </c>
      <c r="E1149" s="6" t="n">
        <v>1</v>
      </c>
      <c r="F1149" s="6" t="s">
        <v>5474</v>
      </c>
      <c r="G1149" s="28" t="str">
        <f aca="false">IFERROR(INDEX('Semrush Data'!$A$1:$Z$20000,MATCH(A1149,'Semrush Data'!$A$1:$A$20000,0),MATCH("Volume",'Semrush Data'!$A$1:$Z$1,0)),"")</f>
        <v/>
      </c>
      <c r="H1149" s="6" t="str">
        <f aca="false">IFERROR(INDEX('Semrush Data'!$A$1:$Z$20000,MATCH(A1149,'Semrush Data'!$A$1:$A$20000,0),MATCH("Keyword Difficulty*",'Semrush Data'!$A$1:$Z$1,0)),"")</f>
        <v/>
      </c>
      <c r="I1149" s="29" t="str">
        <f aca="false">IFERROR(INDEX('Semrush Data'!$A$1:$Z$20000,MATCH(A1149,'Semrush Data'!$A$1:$A$20000,0),MATCH("CPC*",'Semrush Data'!$A$1:$Z$1,0)),"")</f>
        <v/>
      </c>
      <c r="J1149" s="6" t="str">
        <f aca="false">IFERROR(INDEX('Semrush Data'!$A$1:$Z$20000,MATCH(A1149,'Semrush Data'!$A$1:$A$20000,0),MATCH("Intent",'Semrush Data'!$A$1:$Z$1,0)),"")</f>
        <v/>
      </c>
    </row>
    <row r="1150" customFormat="false" ht="15" hidden="false" customHeight="true" outlineLevel="0" collapsed="false">
      <c r="A1150" s="6" t="s">
        <v>5446</v>
      </c>
      <c r="B1150" s="6" t="s">
        <v>6866</v>
      </c>
      <c r="C1150" s="6" t="n">
        <v>2</v>
      </c>
      <c r="D1150" s="6" t="s">
        <v>6867</v>
      </c>
      <c r="E1150" s="6" t="n">
        <v>1</v>
      </c>
      <c r="F1150" s="6" t="s">
        <v>77</v>
      </c>
      <c r="G1150" s="28" t="n">
        <f aca="false">IFERROR(INDEX('Semrush Data'!$A$1:$Z$20000,MATCH(A1150,'Semrush Data'!$A$1:$A$20000,0),MATCH("Volume",'Semrush Data'!$A$1:$Z$1,0)),"")</f>
        <v>20</v>
      </c>
      <c r="H1150" s="6" t="n">
        <f aca="false">IFERROR(INDEX('Semrush Data'!$A$1:$Z$20000,MATCH(A1150,'Semrush Data'!$A$1:$A$20000,0),MATCH("Keyword Difficulty*",'Semrush Data'!$A$1:$Z$1,0)),"")</f>
        <v>14</v>
      </c>
      <c r="I1150" s="29" t="n">
        <f aca="false">IFERROR(INDEX('Semrush Data'!$A$1:$Z$20000,MATCH(A1150,'Semrush Data'!$A$1:$A$20000,0),MATCH("CPC*",'Semrush Data'!$A$1:$Z$1,0)),"")</f>
        <v>0</v>
      </c>
      <c r="J1150" s="6" t="str">
        <f aca="false">IFERROR(INDEX('Semrush Data'!$A$1:$Z$20000,MATCH(A1150,'Semrush Data'!$A$1:$A$20000,0),MATCH("Intent",'Semrush Data'!$A$1:$Z$1,0)),"")</f>
        <v>Informational</v>
      </c>
    </row>
    <row r="1151" customFormat="false" ht="15" hidden="false" customHeight="true" outlineLevel="0" collapsed="false">
      <c r="A1151" s="6" t="s">
        <v>5509</v>
      </c>
      <c r="B1151" s="6" t="s">
        <v>6866</v>
      </c>
      <c r="C1151" s="6" t="n">
        <v>2</v>
      </c>
      <c r="D1151" s="6" t="n">
        <v>12</v>
      </c>
      <c r="E1151" s="6" t="n">
        <v>1</v>
      </c>
      <c r="F1151" s="6" t="s">
        <v>5506</v>
      </c>
      <c r="G1151" s="28" t="str">
        <f aca="false">IFERROR(INDEX('Semrush Data'!$A$1:$Z$20000,MATCH(A1151,'Semrush Data'!$A$1:$A$20000,0),MATCH("Volume",'Semrush Data'!$A$1:$Z$1,0)),"")</f>
        <v/>
      </c>
      <c r="H1151" s="6" t="str">
        <f aca="false">IFERROR(INDEX('Semrush Data'!$A$1:$Z$20000,MATCH(A1151,'Semrush Data'!$A$1:$A$20000,0),MATCH("Keyword Difficulty*",'Semrush Data'!$A$1:$Z$1,0)),"")</f>
        <v/>
      </c>
      <c r="I1151" s="29" t="str">
        <f aca="false">IFERROR(INDEX('Semrush Data'!$A$1:$Z$20000,MATCH(A1151,'Semrush Data'!$A$1:$A$20000,0),MATCH("CPC*",'Semrush Data'!$A$1:$Z$1,0)),"")</f>
        <v/>
      </c>
      <c r="J1151" s="6" t="str">
        <f aca="false">IFERROR(INDEX('Semrush Data'!$A$1:$Z$20000,MATCH(A1151,'Semrush Data'!$A$1:$A$20000,0),MATCH("Intent",'Semrush Data'!$A$1:$Z$1,0)),"")</f>
        <v/>
      </c>
    </row>
    <row r="1152" customFormat="false" ht="15" hidden="false" customHeight="true" outlineLevel="0" collapsed="false">
      <c r="A1152" s="6" t="s">
        <v>5467</v>
      </c>
      <c r="B1152" s="6" t="s">
        <v>6866</v>
      </c>
      <c r="C1152" s="6" t="n">
        <v>2</v>
      </c>
      <c r="D1152" s="6" t="n">
        <v>12</v>
      </c>
      <c r="E1152" s="6" t="n">
        <v>1</v>
      </c>
      <c r="F1152" s="6" t="s">
        <v>5464</v>
      </c>
      <c r="G1152" s="28" t="str">
        <f aca="false">IFERROR(INDEX('Semrush Data'!$A$1:$Z$20000,MATCH(A1152,'Semrush Data'!$A$1:$A$20000,0),MATCH("Volume",'Semrush Data'!$A$1:$Z$1,0)),"")</f>
        <v/>
      </c>
      <c r="H1152" s="6" t="str">
        <f aca="false">IFERROR(INDEX('Semrush Data'!$A$1:$Z$20000,MATCH(A1152,'Semrush Data'!$A$1:$A$20000,0),MATCH("Keyword Difficulty*",'Semrush Data'!$A$1:$Z$1,0)),"")</f>
        <v/>
      </c>
      <c r="I1152" s="29" t="str">
        <f aca="false">IFERROR(INDEX('Semrush Data'!$A$1:$Z$20000,MATCH(A1152,'Semrush Data'!$A$1:$A$20000,0),MATCH("CPC*",'Semrush Data'!$A$1:$Z$1,0)),"")</f>
        <v/>
      </c>
      <c r="J1152" s="6" t="str">
        <f aca="false">IFERROR(INDEX('Semrush Data'!$A$1:$Z$20000,MATCH(A1152,'Semrush Data'!$A$1:$A$20000,0),MATCH("Intent",'Semrush Data'!$A$1:$Z$1,0)),"")</f>
        <v/>
      </c>
    </row>
    <row r="1153" customFormat="false" ht="15" hidden="false" customHeight="true" outlineLevel="0" collapsed="false">
      <c r="A1153" s="6" t="s">
        <v>5499</v>
      </c>
      <c r="B1153" s="6" t="s">
        <v>6866</v>
      </c>
      <c r="C1153" s="6" t="n">
        <v>2</v>
      </c>
      <c r="D1153" s="6" t="n">
        <v>12</v>
      </c>
      <c r="E1153" s="6" t="n">
        <v>1</v>
      </c>
      <c r="F1153" s="6" t="s">
        <v>5496</v>
      </c>
      <c r="G1153" s="28" t="str">
        <f aca="false">IFERROR(INDEX('Semrush Data'!$A$1:$Z$20000,MATCH(A1153,'Semrush Data'!$A$1:$A$20000,0),MATCH("Volume",'Semrush Data'!$A$1:$Z$1,0)),"")</f>
        <v/>
      </c>
      <c r="H1153" s="6" t="str">
        <f aca="false">IFERROR(INDEX('Semrush Data'!$A$1:$Z$20000,MATCH(A1153,'Semrush Data'!$A$1:$A$20000,0),MATCH("Keyword Difficulty*",'Semrush Data'!$A$1:$Z$1,0)),"")</f>
        <v/>
      </c>
      <c r="I1153" s="29" t="str">
        <f aca="false">IFERROR(INDEX('Semrush Data'!$A$1:$Z$20000,MATCH(A1153,'Semrush Data'!$A$1:$A$20000,0),MATCH("CPC*",'Semrush Data'!$A$1:$Z$1,0)),"")</f>
        <v/>
      </c>
      <c r="J1153" s="6" t="str">
        <f aca="false">IFERROR(INDEX('Semrush Data'!$A$1:$Z$20000,MATCH(A1153,'Semrush Data'!$A$1:$A$20000,0),MATCH("Intent",'Semrush Data'!$A$1:$Z$1,0)),"")</f>
        <v/>
      </c>
    </row>
    <row r="1154" customFormat="false" ht="15" hidden="false" customHeight="true" outlineLevel="0" collapsed="false">
      <c r="A1154" s="6" t="s">
        <v>5456</v>
      </c>
      <c r="B1154" s="6" t="s">
        <v>6866</v>
      </c>
      <c r="C1154" s="6" t="n">
        <v>2</v>
      </c>
      <c r="D1154" s="6" t="s">
        <v>6867</v>
      </c>
      <c r="E1154" s="6" t="n">
        <v>1</v>
      </c>
      <c r="F1154" s="6" t="s">
        <v>61</v>
      </c>
      <c r="G1154" s="28" t="n">
        <f aca="false">IFERROR(INDEX('Semrush Data'!$A$1:$Z$20000,MATCH(A1154,'Semrush Data'!$A$1:$A$20000,0),MATCH("Volume",'Semrush Data'!$A$1:$Z$1,0)),"")</f>
        <v>20</v>
      </c>
      <c r="H1154" s="6" t="n">
        <f aca="false">IFERROR(INDEX('Semrush Data'!$A$1:$Z$20000,MATCH(A1154,'Semrush Data'!$A$1:$A$20000,0),MATCH("Keyword Difficulty*",'Semrush Data'!$A$1:$Z$1,0)),"")</f>
        <v>17</v>
      </c>
      <c r="I1154" s="29" t="n">
        <f aca="false">IFERROR(INDEX('Semrush Data'!$A$1:$Z$20000,MATCH(A1154,'Semrush Data'!$A$1:$A$20000,0),MATCH("CPC*",'Semrush Data'!$A$1:$Z$1,0)),"")</f>
        <v>0.39</v>
      </c>
      <c r="J1154" s="6" t="str">
        <f aca="false">IFERROR(INDEX('Semrush Data'!$A$1:$Z$20000,MATCH(A1154,'Semrush Data'!$A$1:$A$20000,0),MATCH("Intent",'Semrush Data'!$A$1:$Z$1,0)),"")</f>
        <v>Informational Transactional</v>
      </c>
    </row>
    <row r="1155" customFormat="false" ht="15" hidden="false" customHeight="true" outlineLevel="0" collapsed="false">
      <c r="A1155" s="6" t="s">
        <v>5521</v>
      </c>
      <c r="B1155" s="6" t="s">
        <v>6866</v>
      </c>
      <c r="C1155" s="6" t="n">
        <v>2</v>
      </c>
      <c r="D1155" s="6" t="n">
        <v>12</v>
      </c>
      <c r="E1155" s="6" t="n">
        <v>1</v>
      </c>
      <c r="F1155" s="6" t="s">
        <v>5516</v>
      </c>
      <c r="G1155" s="28" t="str">
        <f aca="false">IFERROR(INDEX('Semrush Data'!$A$1:$Z$20000,MATCH(A1155,'Semrush Data'!$A$1:$A$20000,0),MATCH("Volume",'Semrush Data'!$A$1:$Z$1,0)),"")</f>
        <v/>
      </c>
      <c r="H1155" s="6" t="str">
        <f aca="false">IFERROR(INDEX('Semrush Data'!$A$1:$Z$20000,MATCH(A1155,'Semrush Data'!$A$1:$A$20000,0),MATCH("Keyword Difficulty*",'Semrush Data'!$A$1:$Z$1,0)),"")</f>
        <v/>
      </c>
      <c r="I1155" s="29" t="str">
        <f aca="false">IFERROR(INDEX('Semrush Data'!$A$1:$Z$20000,MATCH(A1155,'Semrush Data'!$A$1:$A$20000,0),MATCH("CPC*",'Semrush Data'!$A$1:$Z$1,0)),"")</f>
        <v/>
      </c>
      <c r="J1155" s="6" t="str">
        <f aca="false">IFERROR(INDEX('Semrush Data'!$A$1:$Z$20000,MATCH(A1155,'Semrush Data'!$A$1:$A$20000,0),MATCH("Intent",'Semrush Data'!$A$1:$Z$1,0)),"")</f>
        <v/>
      </c>
    </row>
    <row r="1156" customFormat="false" ht="15" hidden="false" customHeight="true" outlineLevel="0" collapsed="false">
      <c r="A1156" s="6" t="s">
        <v>5533</v>
      </c>
      <c r="B1156" s="6" t="s">
        <v>6866</v>
      </c>
      <c r="C1156" s="6" t="n">
        <v>2</v>
      </c>
      <c r="D1156" s="6" t="n">
        <v>12</v>
      </c>
      <c r="E1156" s="6" t="n">
        <v>1</v>
      </c>
      <c r="F1156" s="6" t="s">
        <v>5530</v>
      </c>
      <c r="G1156" s="28" t="str">
        <f aca="false">IFERROR(INDEX('Semrush Data'!$A$1:$Z$20000,MATCH(A1156,'Semrush Data'!$A$1:$A$20000,0),MATCH("Volume",'Semrush Data'!$A$1:$Z$1,0)),"")</f>
        <v/>
      </c>
      <c r="H1156" s="6" t="str">
        <f aca="false">IFERROR(INDEX('Semrush Data'!$A$1:$Z$20000,MATCH(A1156,'Semrush Data'!$A$1:$A$20000,0),MATCH("Keyword Difficulty*",'Semrush Data'!$A$1:$Z$1,0)),"")</f>
        <v/>
      </c>
      <c r="I1156" s="29" t="str">
        <f aca="false">IFERROR(INDEX('Semrush Data'!$A$1:$Z$20000,MATCH(A1156,'Semrush Data'!$A$1:$A$20000,0),MATCH("CPC*",'Semrush Data'!$A$1:$Z$1,0)),"")</f>
        <v/>
      </c>
      <c r="J1156" s="6" t="str">
        <f aca="false">IFERROR(INDEX('Semrush Data'!$A$1:$Z$20000,MATCH(A1156,'Semrush Data'!$A$1:$A$20000,0),MATCH("Intent",'Semrush Data'!$A$1:$Z$1,0)),"")</f>
        <v/>
      </c>
    </row>
    <row r="1157" customFormat="false" ht="15" hidden="false" customHeight="true" outlineLevel="0" collapsed="false">
      <c r="A1157" s="6" t="s">
        <v>5567</v>
      </c>
      <c r="B1157" s="6" t="s">
        <v>6866</v>
      </c>
      <c r="C1157" s="6" t="n">
        <v>2</v>
      </c>
      <c r="D1157" s="6" t="s">
        <v>6867</v>
      </c>
      <c r="E1157" s="6" t="n">
        <v>2</v>
      </c>
      <c r="F1157" s="6" t="s">
        <v>6860</v>
      </c>
      <c r="G1157" s="28" t="n">
        <f aca="false">IFERROR(INDEX('Semrush Data'!$A$1:$Z$20000,MATCH(A1157,'Semrush Data'!$A$1:$A$20000,0),MATCH("Volume",'Semrush Data'!$A$1:$Z$1,0)),"")</f>
        <v>0</v>
      </c>
      <c r="H1157" s="6" t="n">
        <f aca="false">IFERROR(INDEX('Semrush Data'!$A$1:$Z$20000,MATCH(A1157,'Semrush Data'!$A$1:$A$20000,0),MATCH("Keyword Difficulty*",'Semrush Data'!$A$1:$Z$1,0)),"")</f>
        <v>15</v>
      </c>
      <c r="I1157" s="29" t="n">
        <f aca="false">IFERROR(INDEX('Semrush Data'!$A$1:$Z$20000,MATCH(A1157,'Semrush Data'!$A$1:$A$20000,0),MATCH("CPC*",'Semrush Data'!$A$1:$Z$1,0)),"")</f>
        <v>0</v>
      </c>
      <c r="J1157" s="6" t="str">
        <f aca="false">IFERROR(INDEX('Semrush Data'!$A$1:$Z$20000,MATCH(A1157,'Semrush Data'!$A$1:$A$20000,0),MATCH("Intent",'Semrush Data'!$A$1:$Z$1,0)),"")</f>
        <v>Informational Transactional</v>
      </c>
    </row>
    <row r="1158" customFormat="false" ht="15" hidden="false" customHeight="true" outlineLevel="0" collapsed="false">
      <c r="A1158" s="6" t="s">
        <v>5546</v>
      </c>
      <c r="B1158" s="6" t="s">
        <v>6866</v>
      </c>
      <c r="C1158" s="6" t="n">
        <v>2</v>
      </c>
      <c r="D1158" s="6" t="n">
        <v>12</v>
      </c>
      <c r="E1158" s="6" t="n">
        <v>1</v>
      </c>
      <c r="F1158" s="6" t="s">
        <v>5542</v>
      </c>
      <c r="G1158" s="28" t="str">
        <f aca="false">IFERROR(INDEX('Semrush Data'!$A$1:$Z$20000,MATCH(A1158,'Semrush Data'!$A$1:$A$20000,0),MATCH("Volume",'Semrush Data'!$A$1:$Z$1,0)),"")</f>
        <v/>
      </c>
      <c r="H1158" s="6" t="str">
        <f aca="false">IFERROR(INDEX('Semrush Data'!$A$1:$Z$20000,MATCH(A1158,'Semrush Data'!$A$1:$A$20000,0),MATCH("Keyword Difficulty*",'Semrush Data'!$A$1:$Z$1,0)),"")</f>
        <v/>
      </c>
      <c r="I1158" s="29" t="str">
        <f aca="false">IFERROR(INDEX('Semrush Data'!$A$1:$Z$20000,MATCH(A1158,'Semrush Data'!$A$1:$A$20000,0),MATCH("CPC*",'Semrush Data'!$A$1:$Z$1,0)),"")</f>
        <v/>
      </c>
      <c r="J1158" s="6" t="str">
        <f aca="false">IFERROR(INDEX('Semrush Data'!$A$1:$Z$20000,MATCH(A1158,'Semrush Data'!$A$1:$A$20000,0),MATCH("Intent",'Semrush Data'!$A$1:$Z$1,0)),"")</f>
        <v/>
      </c>
    </row>
    <row r="1159" customFormat="false" ht="15" hidden="false" customHeight="true" outlineLevel="0" collapsed="false">
      <c r="A1159" s="6" t="s">
        <v>5558</v>
      </c>
      <c r="B1159" s="6" t="s">
        <v>6866</v>
      </c>
      <c r="C1159" s="6" t="n">
        <v>2</v>
      </c>
      <c r="D1159" s="6" t="n">
        <v>12</v>
      </c>
      <c r="E1159" s="6" t="n">
        <v>1</v>
      </c>
      <c r="F1159" s="6" t="s">
        <v>5555</v>
      </c>
      <c r="G1159" s="28" t="str">
        <f aca="false">IFERROR(INDEX('Semrush Data'!$A$1:$Z$20000,MATCH(A1159,'Semrush Data'!$A$1:$A$20000,0),MATCH("Volume",'Semrush Data'!$A$1:$Z$1,0)),"")</f>
        <v/>
      </c>
      <c r="H1159" s="6" t="str">
        <f aca="false">IFERROR(INDEX('Semrush Data'!$A$1:$Z$20000,MATCH(A1159,'Semrush Data'!$A$1:$A$20000,0),MATCH("Keyword Difficulty*",'Semrush Data'!$A$1:$Z$1,0)),"")</f>
        <v/>
      </c>
      <c r="I1159" s="29" t="str">
        <f aca="false">IFERROR(INDEX('Semrush Data'!$A$1:$Z$20000,MATCH(A1159,'Semrush Data'!$A$1:$A$20000,0),MATCH("CPC*",'Semrush Data'!$A$1:$Z$1,0)),"")</f>
        <v/>
      </c>
      <c r="J1159" s="6" t="str">
        <f aca="false">IFERROR(INDEX('Semrush Data'!$A$1:$Z$20000,MATCH(A1159,'Semrush Data'!$A$1:$A$20000,0),MATCH("Intent",'Semrush Data'!$A$1:$Z$1,0)),"")</f>
        <v/>
      </c>
    </row>
    <row r="1160" customFormat="false" ht="15" hidden="false" customHeight="true" outlineLevel="0" collapsed="false">
      <c r="A1160" s="6" t="s">
        <v>5578</v>
      </c>
      <c r="B1160" s="6" t="s">
        <v>6866</v>
      </c>
      <c r="C1160" s="6" t="n">
        <v>2</v>
      </c>
      <c r="D1160" s="6" t="s">
        <v>6867</v>
      </c>
      <c r="E1160" s="6" t="n">
        <v>1</v>
      </c>
      <c r="F1160" s="6" t="s">
        <v>73</v>
      </c>
      <c r="G1160" s="28" t="n">
        <f aca="false">IFERROR(INDEX('Semrush Data'!$A$1:$Z$20000,MATCH(A1160,'Semrush Data'!$A$1:$A$20000,0),MATCH("Volume",'Semrush Data'!$A$1:$Z$1,0)),"")</f>
        <v>0</v>
      </c>
      <c r="H1160" s="6" t="n">
        <f aca="false">IFERROR(INDEX('Semrush Data'!$A$1:$Z$20000,MATCH(A1160,'Semrush Data'!$A$1:$A$20000,0),MATCH("Keyword Difficulty*",'Semrush Data'!$A$1:$Z$1,0)),"")</f>
        <v>18</v>
      </c>
      <c r="I1160" s="29" t="n">
        <f aca="false">IFERROR(INDEX('Semrush Data'!$A$1:$Z$20000,MATCH(A1160,'Semrush Data'!$A$1:$A$20000,0),MATCH("CPC*",'Semrush Data'!$A$1:$Z$1,0)),"")</f>
        <v>0</v>
      </c>
      <c r="J1160" s="6" t="str">
        <f aca="false">IFERROR(INDEX('Semrush Data'!$A$1:$Z$20000,MATCH(A1160,'Semrush Data'!$A$1:$A$20000,0),MATCH("Intent",'Semrush Data'!$A$1:$Z$1,0)),"")</f>
        <v>Informational</v>
      </c>
    </row>
    <row r="1161" customFormat="false" ht="15" hidden="false" customHeight="true" outlineLevel="0" collapsed="false">
      <c r="A1161" s="6" t="s">
        <v>5614</v>
      </c>
      <c r="B1161" s="6" t="s">
        <v>6866</v>
      </c>
      <c r="C1161" s="6" t="n">
        <v>2</v>
      </c>
      <c r="D1161" s="6" t="n">
        <v>12</v>
      </c>
      <c r="E1161" s="6" t="n">
        <v>1</v>
      </c>
      <c r="F1161" s="6" t="s">
        <v>5610</v>
      </c>
      <c r="G1161" s="28" t="str">
        <f aca="false">IFERROR(INDEX('Semrush Data'!$A$1:$Z$20000,MATCH(A1161,'Semrush Data'!$A$1:$A$20000,0),MATCH("Volume",'Semrush Data'!$A$1:$Z$1,0)),"")</f>
        <v/>
      </c>
      <c r="H1161" s="6" t="str">
        <f aca="false">IFERROR(INDEX('Semrush Data'!$A$1:$Z$20000,MATCH(A1161,'Semrush Data'!$A$1:$A$20000,0),MATCH("Keyword Difficulty*",'Semrush Data'!$A$1:$Z$1,0)),"")</f>
        <v/>
      </c>
      <c r="I1161" s="29" t="str">
        <f aca="false">IFERROR(INDEX('Semrush Data'!$A$1:$Z$20000,MATCH(A1161,'Semrush Data'!$A$1:$A$20000,0),MATCH("CPC*",'Semrush Data'!$A$1:$Z$1,0)),"")</f>
        <v/>
      </c>
      <c r="J1161" s="6" t="str">
        <f aca="false">IFERROR(INDEX('Semrush Data'!$A$1:$Z$20000,MATCH(A1161,'Semrush Data'!$A$1:$A$20000,0),MATCH("Intent",'Semrush Data'!$A$1:$Z$1,0)),"")</f>
        <v/>
      </c>
    </row>
    <row r="1162" customFormat="false" ht="15" hidden="false" customHeight="true" outlineLevel="0" collapsed="false">
      <c r="A1162" s="6" t="s">
        <v>5593</v>
      </c>
      <c r="B1162" s="6" t="s">
        <v>6866</v>
      </c>
      <c r="C1162" s="6" t="n">
        <v>2</v>
      </c>
      <c r="D1162" s="6" t="n">
        <v>12</v>
      </c>
      <c r="E1162" s="6" t="n">
        <v>1</v>
      </c>
      <c r="F1162" s="6" t="s">
        <v>5587</v>
      </c>
      <c r="G1162" s="28" t="str">
        <f aca="false">IFERROR(INDEX('Semrush Data'!$A$1:$Z$20000,MATCH(A1162,'Semrush Data'!$A$1:$A$20000,0),MATCH("Volume",'Semrush Data'!$A$1:$Z$1,0)),"")</f>
        <v/>
      </c>
      <c r="H1162" s="6" t="str">
        <f aca="false">IFERROR(INDEX('Semrush Data'!$A$1:$Z$20000,MATCH(A1162,'Semrush Data'!$A$1:$A$20000,0),MATCH("Keyword Difficulty*",'Semrush Data'!$A$1:$Z$1,0)),"")</f>
        <v/>
      </c>
      <c r="I1162" s="29" t="str">
        <f aca="false">IFERROR(INDEX('Semrush Data'!$A$1:$Z$20000,MATCH(A1162,'Semrush Data'!$A$1:$A$20000,0),MATCH("CPC*",'Semrush Data'!$A$1:$Z$1,0)),"")</f>
        <v/>
      </c>
      <c r="J1162" s="6" t="str">
        <f aca="false">IFERROR(INDEX('Semrush Data'!$A$1:$Z$20000,MATCH(A1162,'Semrush Data'!$A$1:$A$20000,0),MATCH("Intent",'Semrush Data'!$A$1:$Z$1,0)),"")</f>
        <v/>
      </c>
    </row>
    <row r="1163" customFormat="false" ht="15" hidden="false" customHeight="true" outlineLevel="0" collapsed="false">
      <c r="A1163" s="6" t="s">
        <v>5603</v>
      </c>
      <c r="B1163" s="6" t="s">
        <v>6866</v>
      </c>
      <c r="C1163" s="6" t="n">
        <v>2</v>
      </c>
      <c r="D1163" s="6" t="n">
        <v>12</v>
      </c>
      <c r="E1163" s="6" t="n">
        <v>1</v>
      </c>
      <c r="F1163" s="6" t="s">
        <v>5600</v>
      </c>
      <c r="G1163" s="28" t="str">
        <f aca="false">IFERROR(INDEX('Semrush Data'!$A$1:$Z$20000,MATCH(A1163,'Semrush Data'!$A$1:$A$20000,0),MATCH("Volume",'Semrush Data'!$A$1:$Z$1,0)),"")</f>
        <v/>
      </c>
      <c r="H1163" s="6" t="str">
        <f aca="false">IFERROR(INDEX('Semrush Data'!$A$1:$Z$20000,MATCH(A1163,'Semrush Data'!$A$1:$A$20000,0),MATCH("Keyword Difficulty*",'Semrush Data'!$A$1:$Z$1,0)),"")</f>
        <v/>
      </c>
      <c r="I1163" s="29" t="str">
        <f aca="false">IFERROR(INDEX('Semrush Data'!$A$1:$Z$20000,MATCH(A1163,'Semrush Data'!$A$1:$A$20000,0),MATCH("CPC*",'Semrush Data'!$A$1:$Z$1,0)),"")</f>
        <v/>
      </c>
      <c r="J1163" s="6" t="str">
        <f aca="false">IFERROR(INDEX('Semrush Data'!$A$1:$Z$20000,MATCH(A1163,'Semrush Data'!$A$1:$A$20000,0),MATCH("Intent",'Semrush Data'!$A$1:$Z$1,0)),"")</f>
        <v/>
      </c>
    </row>
    <row r="1164" customFormat="false" ht="15" hidden="false" customHeight="true" outlineLevel="0" collapsed="false">
      <c r="A1164" s="6" t="s">
        <v>5624</v>
      </c>
      <c r="B1164" s="6" t="s">
        <v>6866</v>
      </c>
      <c r="C1164" s="6" t="n">
        <v>2</v>
      </c>
      <c r="D1164" s="6" t="n">
        <v>12</v>
      </c>
      <c r="E1164" s="6" t="n">
        <v>1</v>
      </c>
      <c r="F1164" s="6" t="s">
        <v>5620</v>
      </c>
      <c r="G1164" s="28" t="str">
        <f aca="false">IFERROR(INDEX('Semrush Data'!$A$1:$Z$20000,MATCH(A1164,'Semrush Data'!$A$1:$A$20000,0),MATCH("Volume",'Semrush Data'!$A$1:$Z$1,0)),"")</f>
        <v/>
      </c>
      <c r="H1164" s="6" t="str">
        <f aca="false">IFERROR(INDEX('Semrush Data'!$A$1:$Z$20000,MATCH(A1164,'Semrush Data'!$A$1:$A$20000,0),MATCH("Keyword Difficulty*",'Semrush Data'!$A$1:$Z$1,0)),"")</f>
        <v/>
      </c>
      <c r="I1164" s="29" t="str">
        <f aca="false">IFERROR(INDEX('Semrush Data'!$A$1:$Z$20000,MATCH(A1164,'Semrush Data'!$A$1:$A$20000,0),MATCH("CPC*",'Semrush Data'!$A$1:$Z$1,0)),"")</f>
        <v/>
      </c>
      <c r="J1164" s="6" t="str">
        <f aca="false">IFERROR(INDEX('Semrush Data'!$A$1:$Z$20000,MATCH(A1164,'Semrush Data'!$A$1:$A$20000,0),MATCH("Intent",'Semrush Data'!$A$1:$Z$1,0)),"")</f>
        <v/>
      </c>
    </row>
    <row r="1165" customFormat="false" ht="15" hidden="false" customHeight="true" outlineLevel="0" collapsed="false">
      <c r="A1165" s="6" t="s">
        <v>4606</v>
      </c>
      <c r="B1165" s="6" t="s">
        <v>6866</v>
      </c>
      <c r="C1165" s="6" t="n">
        <v>2</v>
      </c>
      <c r="D1165" s="6" t="n">
        <v>12</v>
      </c>
      <c r="E1165" s="6" t="n">
        <v>1</v>
      </c>
      <c r="F1165" s="6" t="s">
        <v>4603</v>
      </c>
      <c r="G1165" s="28" t="str">
        <f aca="false">IFERROR(INDEX('Semrush Data'!$A$1:$Z$20000,MATCH(A1165,'Semrush Data'!$A$1:$A$20000,0),MATCH("Volume",'Semrush Data'!$A$1:$Z$1,0)),"")</f>
        <v/>
      </c>
      <c r="H1165" s="6" t="str">
        <f aca="false">IFERROR(INDEX('Semrush Data'!$A$1:$Z$20000,MATCH(A1165,'Semrush Data'!$A$1:$A$20000,0),MATCH("Keyword Difficulty*",'Semrush Data'!$A$1:$Z$1,0)),"")</f>
        <v/>
      </c>
      <c r="I1165" s="29" t="str">
        <f aca="false">IFERROR(INDEX('Semrush Data'!$A$1:$Z$20000,MATCH(A1165,'Semrush Data'!$A$1:$A$20000,0),MATCH("CPC*",'Semrush Data'!$A$1:$Z$1,0)),"")</f>
        <v/>
      </c>
      <c r="J1165" s="6" t="str">
        <f aca="false">IFERROR(INDEX('Semrush Data'!$A$1:$Z$20000,MATCH(A1165,'Semrush Data'!$A$1:$A$20000,0),MATCH("Intent",'Semrush Data'!$A$1:$Z$1,0)),"")</f>
        <v/>
      </c>
    </row>
    <row r="1166" customFormat="false" ht="15" hidden="false" customHeight="true" outlineLevel="0" collapsed="false">
      <c r="A1166" s="6" t="s">
        <v>5636</v>
      </c>
      <c r="B1166" s="6" t="s">
        <v>6866</v>
      </c>
      <c r="C1166" s="6" t="n">
        <v>2</v>
      </c>
      <c r="D1166" s="6" t="n">
        <v>12</v>
      </c>
      <c r="E1166" s="6" t="n">
        <v>1</v>
      </c>
      <c r="F1166" s="6" t="s">
        <v>5632</v>
      </c>
      <c r="G1166" s="28" t="str">
        <f aca="false">IFERROR(INDEX('Semrush Data'!$A$1:$Z$20000,MATCH(A1166,'Semrush Data'!$A$1:$A$20000,0),MATCH("Volume",'Semrush Data'!$A$1:$Z$1,0)),"")</f>
        <v/>
      </c>
      <c r="H1166" s="6" t="str">
        <f aca="false">IFERROR(INDEX('Semrush Data'!$A$1:$Z$20000,MATCH(A1166,'Semrush Data'!$A$1:$A$20000,0),MATCH("Keyword Difficulty*",'Semrush Data'!$A$1:$Z$1,0)),"")</f>
        <v/>
      </c>
      <c r="I1166" s="29" t="str">
        <f aca="false">IFERROR(INDEX('Semrush Data'!$A$1:$Z$20000,MATCH(A1166,'Semrush Data'!$A$1:$A$20000,0),MATCH("CPC*",'Semrush Data'!$A$1:$Z$1,0)),"")</f>
        <v/>
      </c>
      <c r="J1166" s="6" t="str">
        <f aca="false">IFERROR(INDEX('Semrush Data'!$A$1:$Z$20000,MATCH(A1166,'Semrush Data'!$A$1:$A$20000,0),MATCH("Intent",'Semrush Data'!$A$1:$Z$1,0)),"")</f>
        <v/>
      </c>
    </row>
    <row r="1167" customFormat="false" ht="15" hidden="false" customHeight="true" outlineLevel="0" collapsed="false">
      <c r="A1167" s="6" t="s">
        <v>5647</v>
      </c>
      <c r="B1167" s="6" t="s">
        <v>6866</v>
      </c>
      <c r="C1167" s="6" t="n">
        <v>2</v>
      </c>
      <c r="D1167" s="6" t="n">
        <v>12</v>
      </c>
      <c r="E1167" s="6" t="n">
        <v>1</v>
      </c>
      <c r="F1167" s="6" t="s">
        <v>5644</v>
      </c>
      <c r="G1167" s="28" t="str">
        <f aca="false">IFERROR(INDEX('Semrush Data'!$A$1:$Z$20000,MATCH(A1167,'Semrush Data'!$A$1:$A$20000,0),MATCH("Volume",'Semrush Data'!$A$1:$Z$1,0)),"")</f>
        <v/>
      </c>
      <c r="H1167" s="6" t="str">
        <f aca="false">IFERROR(INDEX('Semrush Data'!$A$1:$Z$20000,MATCH(A1167,'Semrush Data'!$A$1:$A$20000,0),MATCH("Keyword Difficulty*",'Semrush Data'!$A$1:$Z$1,0)),"")</f>
        <v/>
      </c>
      <c r="I1167" s="29" t="str">
        <f aca="false">IFERROR(INDEX('Semrush Data'!$A$1:$Z$20000,MATCH(A1167,'Semrush Data'!$A$1:$A$20000,0),MATCH("CPC*",'Semrush Data'!$A$1:$Z$1,0)),"")</f>
        <v/>
      </c>
      <c r="J1167" s="6" t="str">
        <f aca="false">IFERROR(INDEX('Semrush Data'!$A$1:$Z$20000,MATCH(A1167,'Semrush Data'!$A$1:$A$20000,0),MATCH("Intent",'Semrush Data'!$A$1:$Z$1,0)),"")</f>
        <v/>
      </c>
    </row>
    <row r="1168" customFormat="false" ht="15" hidden="false" customHeight="true" outlineLevel="0" collapsed="false">
      <c r="A1168" s="6" t="s">
        <v>5658</v>
      </c>
      <c r="B1168" s="6" t="s">
        <v>6866</v>
      </c>
      <c r="C1168" s="6" t="n">
        <v>2</v>
      </c>
      <c r="D1168" s="6" t="n">
        <v>12</v>
      </c>
      <c r="E1168" s="6" t="n">
        <v>1</v>
      </c>
      <c r="F1168" s="6" t="s">
        <v>5655</v>
      </c>
      <c r="G1168" s="28" t="str">
        <f aca="false">IFERROR(INDEX('Semrush Data'!$A$1:$Z$20000,MATCH(A1168,'Semrush Data'!$A$1:$A$20000,0),MATCH("Volume",'Semrush Data'!$A$1:$Z$1,0)),"")</f>
        <v/>
      </c>
      <c r="H1168" s="6" t="str">
        <f aca="false">IFERROR(INDEX('Semrush Data'!$A$1:$Z$20000,MATCH(A1168,'Semrush Data'!$A$1:$A$20000,0),MATCH("Keyword Difficulty*",'Semrush Data'!$A$1:$Z$1,0)),"")</f>
        <v/>
      </c>
      <c r="I1168" s="29" t="str">
        <f aca="false">IFERROR(INDEX('Semrush Data'!$A$1:$Z$20000,MATCH(A1168,'Semrush Data'!$A$1:$A$20000,0),MATCH("CPC*",'Semrush Data'!$A$1:$Z$1,0)),"")</f>
        <v/>
      </c>
      <c r="J1168" s="6" t="str">
        <f aca="false">IFERROR(INDEX('Semrush Data'!$A$1:$Z$20000,MATCH(A1168,'Semrush Data'!$A$1:$A$20000,0),MATCH("Intent",'Semrush Data'!$A$1:$Z$1,0)),"")</f>
        <v/>
      </c>
    </row>
    <row r="1169" customFormat="false" ht="15" hidden="false" customHeight="true" outlineLevel="0" collapsed="false">
      <c r="A1169" s="6" t="s">
        <v>5669</v>
      </c>
      <c r="B1169" s="6" t="s">
        <v>6866</v>
      </c>
      <c r="C1169" s="6" t="n">
        <v>2</v>
      </c>
      <c r="D1169" s="6" t="n">
        <v>12</v>
      </c>
      <c r="E1169" s="6" t="n">
        <v>1</v>
      </c>
      <c r="F1169" s="6" t="s">
        <v>5665</v>
      </c>
      <c r="G1169" s="28" t="str">
        <f aca="false">IFERROR(INDEX('Semrush Data'!$A$1:$Z$20000,MATCH(A1169,'Semrush Data'!$A$1:$A$20000,0),MATCH("Volume",'Semrush Data'!$A$1:$Z$1,0)),"")</f>
        <v/>
      </c>
      <c r="H1169" s="6" t="str">
        <f aca="false">IFERROR(INDEX('Semrush Data'!$A$1:$Z$20000,MATCH(A1169,'Semrush Data'!$A$1:$A$20000,0),MATCH("Keyword Difficulty*",'Semrush Data'!$A$1:$Z$1,0)),"")</f>
        <v/>
      </c>
      <c r="I1169" s="29" t="str">
        <f aca="false">IFERROR(INDEX('Semrush Data'!$A$1:$Z$20000,MATCH(A1169,'Semrush Data'!$A$1:$A$20000,0),MATCH("CPC*",'Semrush Data'!$A$1:$Z$1,0)),"")</f>
        <v/>
      </c>
      <c r="J1169" s="6" t="str">
        <f aca="false">IFERROR(INDEX('Semrush Data'!$A$1:$Z$20000,MATCH(A1169,'Semrush Data'!$A$1:$A$20000,0),MATCH("Intent",'Semrush Data'!$A$1:$Z$1,0)),"")</f>
        <v/>
      </c>
    </row>
    <row r="1170" customFormat="false" ht="15" hidden="false" customHeight="true" outlineLevel="0" collapsed="false">
      <c r="A1170" s="6" t="s">
        <v>5681</v>
      </c>
      <c r="B1170" s="6" t="s">
        <v>6866</v>
      </c>
      <c r="C1170" s="6" t="n">
        <v>2</v>
      </c>
      <c r="D1170" s="6" t="n">
        <v>12</v>
      </c>
      <c r="E1170" s="6" t="n">
        <v>1</v>
      </c>
      <c r="F1170" s="6" t="s">
        <v>5678</v>
      </c>
      <c r="G1170" s="28" t="str">
        <f aca="false">IFERROR(INDEX('Semrush Data'!$A$1:$Z$20000,MATCH(A1170,'Semrush Data'!$A$1:$A$20000,0),MATCH("Volume",'Semrush Data'!$A$1:$Z$1,0)),"")</f>
        <v/>
      </c>
      <c r="H1170" s="6" t="str">
        <f aca="false">IFERROR(INDEX('Semrush Data'!$A$1:$Z$20000,MATCH(A1170,'Semrush Data'!$A$1:$A$20000,0),MATCH("Keyword Difficulty*",'Semrush Data'!$A$1:$Z$1,0)),"")</f>
        <v/>
      </c>
      <c r="I1170" s="29" t="str">
        <f aca="false">IFERROR(INDEX('Semrush Data'!$A$1:$Z$20000,MATCH(A1170,'Semrush Data'!$A$1:$A$20000,0),MATCH("CPC*",'Semrush Data'!$A$1:$Z$1,0)),"")</f>
        <v/>
      </c>
      <c r="J1170" s="6" t="str">
        <f aca="false">IFERROR(INDEX('Semrush Data'!$A$1:$Z$20000,MATCH(A1170,'Semrush Data'!$A$1:$A$20000,0),MATCH("Intent",'Semrush Data'!$A$1:$Z$1,0)),"")</f>
        <v/>
      </c>
    </row>
    <row r="1171" customFormat="false" ht="15" hidden="false" customHeight="true" outlineLevel="0" collapsed="false">
      <c r="A1171" s="6" t="s">
        <v>5692</v>
      </c>
      <c r="B1171" s="6" t="s">
        <v>6866</v>
      </c>
      <c r="C1171" s="6" t="n">
        <v>2</v>
      </c>
      <c r="D1171" s="6" t="n">
        <v>12</v>
      </c>
      <c r="E1171" s="6" t="n">
        <v>1</v>
      </c>
      <c r="F1171" s="6" t="s">
        <v>5689</v>
      </c>
      <c r="G1171" s="28" t="str">
        <f aca="false">IFERROR(INDEX('Semrush Data'!$A$1:$Z$20000,MATCH(A1171,'Semrush Data'!$A$1:$A$20000,0),MATCH("Volume",'Semrush Data'!$A$1:$Z$1,0)),"")</f>
        <v/>
      </c>
      <c r="H1171" s="6" t="str">
        <f aca="false">IFERROR(INDEX('Semrush Data'!$A$1:$Z$20000,MATCH(A1171,'Semrush Data'!$A$1:$A$20000,0),MATCH("Keyword Difficulty*",'Semrush Data'!$A$1:$Z$1,0)),"")</f>
        <v/>
      </c>
      <c r="I1171" s="29" t="str">
        <f aca="false">IFERROR(INDEX('Semrush Data'!$A$1:$Z$20000,MATCH(A1171,'Semrush Data'!$A$1:$A$20000,0),MATCH("CPC*",'Semrush Data'!$A$1:$Z$1,0)),"")</f>
        <v/>
      </c>
      <c r="J1171" s="6" t="str">
        <f aca="false">IFERROR(INDEX('Semrush Data'!$A$1:$Z$20000,MATCH(A1171,'Semrush Data'!$A$1:$A$20000,0),MATCH("Intent",'Semrush Data'!$A$1:$Z$1,0)),"")</f>
        <v/>
      </c>
    </row>
    <row r="1172" customFormat="false" ht="15" hidden="false" customHeight="true" outlineLevel="0" collapsed="false">
      <c r="A1172" s="6" t="s">
        <v>5704</v>
      </c>
      <c r="B1172" s="6" t="s">
        <v>6866</v>
      </c>
      <c r="C1172" s="6" t="n">
        <v>2</v>
      </c>
      <c r="D1172" s="6" t="n">
        <v>12</v>
      </c>
      <c r="E1172" s="6" t="n">
        <v>1</v>
      </c>
      <c r="F1172" s="6" t="s">
        <v>5701</v>
      </c>
      <c r="G1172" s="28" t="str">
        <f aca="false">IFERROR(INDEX('Semrush Data'!$A$1:$Z$20000,MATCH(A1172,'Semrush Data'!$A$1:$A$20000,0),MATCH("Volume",'Semrush Data'!$A$1:$Z$1,0)),"")</f>
        <v/>
      </c>
      <c r="H1172" s="6" t="str">
        <f aca="false">IFERROR(INDEX('Semrush Data'!$A$1:$Z$20000,MATCH(A1172,'Semrush Data'!$A$1:$A$20000,0),MATCH("Keyword Difficulty*",'Semrush Data'!$A$1:$Z$1,0)),"")</f>
        <v/>
      </c>
      <c r="I1172" s="29" t="str">
        <f aca="false">IFERROR(INDEX('Semrush Data'!$A$1:$Z$20000,MATCH(A1172,'Semrush Data'!$A$1:$A$20000,0),MATCH("CPC*",'Semrush Data'!$A$1:$Z$1,0)),"")</f>
        <v/>
      </c>
      <c r="J1172" s="6" t="str">
        <f aca="false">IFERROR(INDEX('Semrush Data'!$A$1:$Z$20000,MATCH(A1172,'Semrush Data'!$A$1:$A$20000,0),MATCH("Intent",'Semrush Data'!$A$1:$Z$1,0)),"")</f>
        <v/>
      </c>
    </row>
    <row r="1173" customFormat="false" ht="15" hidden="false" customHeight="true" outlineLevel="0" collapsed="false">
      <c r="A1173" s="6" t="s">
        <v>5715</v>
      </c>
      <c r="B1173" s="6" t="s">
        <v>6866</v>
      </c>
      <c r="C1173" s="6" t="n">
        <v>2</v>
      </c>
      <c r="D1173" s="6" t="n">
        <v>12</v>
      </c>
      <c r="E1173" s="6" t="n">
        <v>1</v>
      </c>
      <c r="F1173" s="6" t="s">
        <v>5712</v>
      </c>
      <c r="G1173" s="28" t="str">
        <f aca="false">IFERROR(INDEX('Semrush Data'!$A$1:$Z$20000,MATCH(A1173,'Semrush Data'!$A$1:$A$20000,0),MATCH("Volume",'Semrush Data'!$A$1:$Z$1,0)),"")</f>
        <v/>
      </c>
      <c r="H1173" s="6" t="str">
        <f aca="false">IFERROR(INDEX('Semrush Data'!$A$1:$Z$20000,MATCH(A1173,'Semrush Data'!$A$1:$A$20000,0),MATCH("Keyword Difficulty*",'Semrush Data'!$A$1:$Z$1,0)),"")</f>
        <v/>
      </c>
      <c r="I1173" s="29" t="str">
        <f aca="false">IFERROR(INDEX('Semrush Data'!$A$1:$Z$20000,MATCH(A1173,'Semrush Data'!$A$1:$A$20000,0),MATCH("CPC*",'Semrush Data'!$A$1:$Z$1,0)),"")</f>
        <v/>
      </c>
      <c r="J1173" s="6" t="str">
        <f aca="false">IFERROR(INDEX('Semrush Data'!$A$1:$Z$20000,MATCH(A1173,'Semrush Data'!$A$1:$A$20000,0),MATCH("Intent",'Semrush Data'!$A$1:$Z$1,0)),"")</f>
        <v/>
      </c>
    </row>
    <row r="1174" customFormat="false" ht="15" hidden="false" customHeight="true" outlineLevel="0" collapsed="false">
      <c r="A1174" s="6" t="s">
        <v>5727</v>
      </c>
      <c r="B1174" s="6" t="s">
        <v>6866</v>
      </c>
      <c r="C1174" s="6" t="n">
        <v>2</v>
      </c>
      <c r="D1174" s="6" t="s">
        <v>6868</v>
      </c>
      <c r="E1174" s="6" t="n">
        <v>1</v>
      </c>
      <c r="F1174" s="6" t="s">
        <v>5723</v>
      </c>
      <c r="G1174" s="28" t="n">
        <f aca="false">IFERROR(INDEX('Semrush Data'!$A$1:$Z$20000,MATCH(A1174,'Semrush Data'!$A$1:$A$20000,0),MATCH("Volume",'Semrush Data'!$A$1:$Z$1,0)),"")</f>
        <v>0</v>
      </c>
      <c r="H1174" s="6" t="n">
        <f aca="false">IFERROR(INDEX('Semrush Data'!$A$1:$Z$20000,MATCH(A1174,'Semrush Data'!$A$1:$A$20000,0),MATCH("Keyword Difficulty*",'Semrush Data'!$A$1:$Z$1,0)),"")</f>
        <v>2</v>
      </c>
      <c r="I1174" s="29" t="n">
        <f aca="false">IFERROR(INDEX('Semrush Data'!$A$1:$Z$20000,MATCH(A1174,'Semrush Data'!$A$1:$A$20000,0),MATCH("CPC*",'Semrush Data'!$A$1:$Z$1,0)),"")</f>
        <v>0</v>
      </c>
      <c r="J1174" s="6" t="str">
        <f aca="false">IFERROR(INDEX('Semrush Data'!$A$1:$Z$20000,MATCH(A1174,'Semrush Data'!$A$1:$A$20000,0),MATCH("Intent",'Semrush Data'!$A$1:$Z$1,0)),"")</f>
        <v>Informational Transactional</v>
      </c>
    </row>
    <row r="1175" customFormat="false" ht="15" hidden="false" customHeight="true" outlineLevel="0" collapsed="false">
      <c r="A1175" s="6" t="s">
        <v>5740</v>
      </c>
      <c r="B1175" s="6" t="s">
        <v>6866</v>
      </c>
      <c r="C1175" s="6" t="n">
        <v>2</v>
      </c>
      <c r="D1175" s="6" t="s">
        <v>6868</v>
      </c>
      <c r="E1175" s="6" t="n">
        <v>1</v>
      </c>
      <c r="F1175" s="6" t="s">
        <v>5736</v>
      </c>
      <c r="G1175" s="28" t="n">
        <f aca="false">IFERROR(INDEX('Semrush Data'!$A$1:$Z$20000,MATCH(A1175,'Semrush Data'!$A$1:$A$20000,0),MATCH("Volume",'Semrush Data'!$A$1:$Z$1,0)),"")</f>
        <v>20</v>
      </c>
      <c r="H1175" s="6" t="n">
        <f aca="false">IFERROR(INDEX('Semrush Data'!$A$1:$Z$20000,MATCH(A1175,'Semrush Data'!$A$1:$A$20000,0),MATCH("Keyword Difficulty*",'Semrush Data'!$A$1:$Z$1,0)),"")</f>
        <v>9</v>
      </c>
      <c r="I1175" s="29" t="n">
        <f aca="false">IFERROR(INDEX('Semrush Data'!$A$1:$Z$20000,MATCH(A1175,'Semrush Data'!$A$1:$A$20000,0),MATCH("CPC*",'Semrush Data'!$A$1:$Z$1,0)),"")</f>
        <v>0</v>
      </c>
      <c r="J1175" s="6" t="str">
        <f aca="false">IFERROR(INDEX('Semrush Data'!$A$1:$Z$20000,MATCH(A1175,'Semrush Data'!$A$1:$A$20000,0),MATCH("Intent",'Semrush Data'!$A$1:$Z$1,0)),"")</f>
        <v>Navigational</v>
      </c>
    </row>
    <row r="1176" customFormat="false" ht="15" hidden="false" customHeight="true" outlineLevel="0" collapsed="false">
      <c r="A1176" s="6" t="s">
        <v>5753</v>
      </c>
      <c r="B1176" s="6" t="s">
        <v>6866</v>
      </c>
      <c r="C1176" s="6" t="n">
        <v>2</v>
      </c>
      <c r="D1176" s="6" t="n">
        <v>12</v>
      </c>
      <c r="E1176" s="6" t="n">
        <v>1</v>
      </c>
      <c r="F1176" s="6" t="s">
        <v>5749</v>
      </c>
      <c r="G1176" s="28" t="str">
        <f aca="false">IFERROR(INDEX('Semrush Data'!$A$1:$Z$20000,MATCH(A1176,'Semrush Data'!$A$1:$A$20000,0),MATCH("Volume",'Semrush Data'!$A$1:$Z$1,0)),"")</f>
        <v/>
      </c>
      <c r="H1176" s="6" t="str">
        <f aca="false">IFERROR(INDEX('Semrush Data'!$A$1:$Z$20000,MATCH(A1176,'Semrush Data'!$A$1:$A$20000,0),MATCH("Keyword Difficulty*",'Semrush Data'!$A$1:$Z$1,0)),"")</f>
        <v/>
      </c>
      <c r="I1176" s="29" t="str">
        <f aca="false">IFERROR(INDEX('Semrush Data'!$A$1:$Z$20000,MATCH(A1176,'Semrush Data'!$A$1:$A$20000,0),MATCH("CPC*",'Semrush Data'!$A$1:$Z$1,0)),"")</f>
        <v/>
      </c>
      <c r="J1176" s="6" t="str">
        <f aca="false">IFERROR(INDEX('Semrush Data'!$A$1:$Z$20000,MATCH(A1176,'Semrush Data'!$A$1:$A$20000,0),MATCH("Intent",'Semrush Data'!$A$1:$Z$1,0)),"")</f>
        <v/>
      </c>
    </row>
    <row r="1177" customFormat="false" ht="15" hidden="false" customHeight="true" outlineLevel="0" collapsed="false">
      <c r="A1177" s="6" t="s">
        <v>5765</v>
      </c>
      <c r="B1177" s="6" t="s">
        <v>6866</v>
      </c>
      <c r="C1177" s="6" t="n">
        <v>2</v>
      </c>
      <c r="D1177" s="6" t="n">
        <v>12</v>
      </c>
      <c r="E1177" s="6" t="n">
        <v>1</v>
      </c>
      <c r="F1177" s="6" t="s">
        <v>5762</v>
      </c>
      <c r="G1177" s="28" t="str">
        <f aca="false">IFERROR(INDEX('Semrush Data'!$A$1:$Z$20000,MATCH(A1177,'Semrush Data'!$A$1:$A$20000,0),MATCH("Volume",'Semrush Data'!$A$1:$Z$1,0)),"")</f>
        <v/>
      </c>
      <c r="H1177" s="6" t="str">
        <f aca="false">IFERROR(INDEX('Semrush Data'!$A$1:$Z$20000,MATCH(A1177,'Semrush Data'!$A$1:$A$20000,0),MATCH("Keyword Difficulty*",'Semrush Data'!$A$1:$Z$1,0)),"")</f>
        <v/>
      </c>
      <c r="I1177" s="29" t="str">
        <f aca="false">IFERROR(INDEX('Semrush Data'!$A$1:$Z$20000,MATCH(A1177,'Semrush Data'!$A$1:$A$20000,0),MATCH("CPC*",'Semrush Data'!$A$1:$Z$1,0)),"")</f>
        <v/>
      </c>
      <c r="J1177" s="6" t="str">
        <f aca="false">IFERROR(INDEX('Semrush Data'!$A$1:$Z$20000,MATCH(A1177,'Semrush Data'!$A$1:$A$20000,0),MATCH("Intent",'Semrush Data'!$A$1:$Z$1,0)),"")</f>
        <v/>
      </c>
    </row>
    <row r="1178" customFormat="false" ht="15" hidden="false" customHeight="true" outlineLevel="0" collapsed="false">
      <c r="A1178" s="6" t="s">
        <v>5776</v>
      </c>
      <c r="B1178" s="6" t="s">
        <v>6866</v>
      </c>
      <c r="C1178" s="6" t="n">
        <v>2</v>
      </c>
      <c r="D1178" s="6" t="n">
        <v>12</v>
      </c>
      <c r="E1178" s="6" t="n">
        <v>1</v>
      </c>
      <c r="F1178" s="6" t="s">
        <v>5773</v>
      </c>
      <c r="G1178" s="28" t="str">
        <f aca="false">IFERROR(INDEX('Semrush Data'!$A$1:$Z$20000,MATCH(A1178,'Semrush Data'!$A$1:$A$20000,0),MATCH("Volume",'Semrush Data'!$A$1:$Z$1,0)),"")</f>
        <v/>
      </c>
      <c r="H1178" s="6" t="str">
        <f aca="false">IFERROR(INDEX('Semrush Data'!$A$1:$Z$20000,MATCH(A1178,'Semrush Data'!$A$1:$A$20000,0),MATCH("Keyword Difficulty*",'Semrush Data'!$A$1:$Z$1,0)),"")</f>
        <v/>
      </c>
      <c r="I1178" s="29" t="str">
        <f aca="false">IFERROR(INDEX('Semrush Data'!$A$1:$Z$20000,MATCH(A1178,'Semrush Data'!$A$1:$A$20000,0),MATCH("CPC*",'Semrush Data'!$A$1:$Z$1,0)),"")</f>
        <v/>
      </c>
      <c r="J1178" s="6" t="str">
        <f aca="false">IFERROR(INDEX('Semrush Data'!$A$1:$Z$20000,MATCH(A1178,'Semrush Data'!$A$1:$A$20000,0),MATCH("Intent",'Semrush Data'!$A$1:$Z$1,0)),"")</f>
        <v/>
      </c>
    </row>
    <row r="1179" customFormat="false" ht="15" hidden="false" customHeight="true" outlineLevel="0" collapsed="false">
      <c r="A1179" s="6" t="s">
        <v>5900</v>
      </c>
      <c r="B1179" s="6" t="s">
        <v>6866</v>
      </c>
      <c r="C1179" s="6" t="n">
        <v>2</v>
      </c>
      <c r="D1179" s="6" t="s">
        <v>6868</v>
      </c>
      <c r="E1179" s="6" t="n">
        <v>1</v>
      </c>
      <c r="F1179" s="6" t="s">
        <v>5896</v>
      </c>
      <c r="G1179" s="28" t="n">
        <f aca="false">IFERROR(INDEX('Semrush Data'!$A$1:$Z$20000,MATCH(A1179,'Semrush Data'!$A$1:$A$20000,0),MATCH("Volume",'Semrush Data'!$A$1:$Z$1,0)),"")</f>
        <v>0</v>
      </c>
      <c r="H1179" s="6" t="n">
        <f aca="false">IFERROR(INDEX('Semrush Data'!$A$1:$Z$20000,MATCH(A1179,'Semrush Data'!$A$1:$A$20000,0),MATCH("Keyword Difficulty*",'Semrush Data'!$A$1:$Z$1,0)),"")</f>
        <v>10</v>
      </c>
      <c r="I1179" s="29" t="n">
        <f aca="false">IFERROR(INDEX('Semrush Data'!$A$1:$Z$20000,MATCH(A1179,'Semrush Data'!$A$1:$A$20000,0),MATCH("CPC*",'Semrush Data'!$A$1:$Z$1,0)),"")</f>
        <v>0</v>
      </c>
      <c r="J1179" s="6" t="str">
        <f aca="false">IFERROR(INDEX('Semrush Data'!$A$1:$Z$20000,MATCH(A1179,'Semrush Data'!$A$1:$A$20000,0),MATCH("Intent",'Semrush Data'!$A$1:$Z$1,0)),"")</f>
        <v>Informational Commercial</v>
      </c>
    </row>
    <row r="1180" customFormat="false" ht="15" hidden="false" customHeight="true" outlineLevel="0" collapsed="false">
      <c r="A1180" s="6" t="s">
        <v>5788</v>
      </c>
      <c r="B1180" s="6" t="s">
        <v>6866</v>
      </c>
      <c r="C1180" s="6" t="n">
        <v>2</v>
      </c>
      <c r="D1180" s="6" t="n">
        <v>12</v>
      </c>
      <c r="E1180" s="6" t="n">
        <v>1</v>
      </c>
      <c r="F1180" s="6" t="s">
        <v>5785</v>
      </c>
      <c r="G1180" s="28" t="str">
        <f aca="false">IFERROR(INDEX('Semrush Data'!$A$1:$Z$20000,MATCH(A1180,'Semrush Data'!$A$1:$A$20000,0),MATCH("Volume",'Semrush Data'!$A$1:$Z$1,0)),"")</f>
        <v/>
      </c>
      <c r="H1180" s="6" t="str">
        <f aca="false">IFERROR(INDEX('Semrush Data'!$A$1:$Z$20000,MATCH(A1180,'Semrush Data'!$A$1:$A$20000,0),MATCH("Keyword Difficulty*",'Semrush Data'!$A$1:$Z$1,0)),"")</f>
        <v/>
      </c>
      <c r="I1180" s="29" t="str">
        <f aca="false">IFERROR(INDEX('Semrush Data'!$A$1:$Z$20000,MATCH(A1180,'Semrush Data'!$A$1:$A$20000,0),MATCH("CPC*",'Semrush Data'!$A$1:$Z$1,0)),"")</f>
        <v/>
      </c>
      <c r="J1180" s="6" t="str">
        <f aca="false">IFERROR(INDEX('Semrush Data'!$A$1:$Z$20000,MATCH(A1180,'Semrush Data'!$A$1:$A$20000,0),MATCH("Intent",'Semrush Data'!$A$1:$Z$1,0)),"")</f>
        <v/>
      </c>
    </row>
    <row r="1181" customFormat="false" ht="15" hidden="false" customHeight="true" outlineLevel="0" collapsed="false">
      <c r="A1181" s="6" t="s">
        <v>5878</v>
      </c>
      <c r="B1181" s="6" t="s">
        <v>6866</v>
      </c>
      <c r="C1181" s="6" t="n">
        <v>2</v>
      </c>
      <c r="D1181" s="6" t="n">
        <v>12</v>
      </c>
      <c r="E1181" s="6" t="n">
        <v>1</v>
      </c>
      <c r="F1181" s="6" t="s">
        <v>5875</v>
      </c>
      <c r="G1181" s="28" t="str">
        <f aca="false">IFERROR(INDEX('Semrush Data'!$A$1:$Z$20000,MATCH(A1181,'Semrush Data'!$A$1:$A$20000,0),MATCH("Volume",'Semrush Data'!$A$1:$Z$1,0)),"")</f>
        <v/>
      </c>
      <c r="H1181" s="6" t="str">
        <f aca="false">IFERROR(INDEX('Semrush Data'!$A$1:$Z$20000,MATCH(A1181,'Semrush Data'!$A$1:$A$20000,0),MATCH("Keyword Difficulty*",'Semrush Data'!$A$1:$Z$1,0)),"")</f>
        <v/>
      </c>
      <c r="I1181" s="29" t="str">
        <f aca="false">IFERROR(INDEX('Semrush Data'!$A$1:$Z$20000,MATCH(A1181,'Semrush Data'!$A$1:$A$20000,0),MATCH("CPC*",'Semrush Data'!$A$1:$Z$1,0)),"")</f>
        <v/>
      </c>
      <c r="J1181" s="6" t="str">
        <f aca="false">IFERROR(INDEX('Semrush Data'!$A$1:$Z$20000,MATCH(A1181,'Semrush Data'!$A$1:$A$20000,0),MATCH("Intent",'Semrush Data'!$A$1:$Z$1,0)),"")</f>
        <v/>
      </c>
    </row>
    <row r="1182" customFormat="false" ht="15" hidden="false" customHeight="true" outlineLevel="0" collapsed="false">
      <c r="A1182" s="6" t="s">
        <v>5890</v>
      </c>
      <c r="B1182" s="6" t="s">
        <v>6866</v>
      </c>
      <c r="C1182" s="6" t="n">
        <v>2</v>
      </c>
      <c r="D1182" s="6" t="n">
        <v>12</v>
      </c>
      <c r="E1182" s="6" t="n">
        <v>1</v>
      </c>
      <c r="F1182" s="6" t="s">
        <v>5886</v>
      </c>
      <c r="G1182" s="28" t="str">
        <f aca="false">IFERROR(INDEX('Semrush Data'!$A$1:$Z$20000,MATCH(A1182,'Semrush Data'!$A$1:$A$20000,0),MATCH("Volume",'Semrush Data'!$A$1:$Z$1,0)),"")</f>
        <v/>
      </c>
      <c r="H1182" s="6" t="str">
        <f aca="false">IFERROR(INDEX('Semrush Data'!$A$1:$Z$20000,MATCH(A1182,'Semrush Data'!$A$1:$A$20000,0),MATCH("Keyword Difficulty*",'Semrush Data'!$A$1:$Z$1,0)),"")</f>
        <v/>
      </c>
      <c r="I1182" s="29" t="str">
        <f aca="false">IFERROR(INDEX('Semrush Data'!$A$1:$Z$20000,MATCH(A1182,'Semrush Data'!$A$1:$A$20000,0),MATCH("CPC*",'Semrush Data'!$A$1:$Z$1,0)),"")</f>
        <v/>
      </c>
      <c r="J1182" s="6" t="str">
        <f aca="false">IFERROR(INDEX('Semrush Data'!$A$1:$Z$20000,MATCH(A1182,'Semrush Data'!$A$1:$A$20000,0),MATCH("Intent",'Semrush Data'!$A$1:$Z$1,0)),"")</f>
        <v/>
      </c>
    </row>
    <row r="1183" customFormat="false" ht="15" hidden="false" customHeight="true" outlineLevel="0" collapsed="false">
      <c r="A1183" s="6" t="s">
        <v>5912</v>
      </c>
      <c r="B1183" s="6" t="s">
        <v>6866</v>
      </c>
      <c r="C1183" s="6" t="n">
        <v>2</v>
      </c>
      <c r="D1183" s="6" t="n">
        <v>12</v>
      </c>
      <c r="E1183" s="6" t="n">
        <v>1</v>
      </c>
      <c r="F1183" s="6" t="s">
        <v>5909</v>
      </c>
      <c r="G1183" s="28" t="str">
        <f aca="false">IFERROR(INDEX('Semrush Data'!$A$1:$Z$20000,MATCH(A1183,'Semrush Data'!$A$1:$A$20000,0),MATCH("Volume",'Semrush Data'!$A$1:$Z$1,0)),"")</f>
        <v/>
      </c>
      <c r="H1183" s="6" t="str">
        <f aca="false">IFERROR(INDEX('Semrush Data'!$A$1:$Z$20000,MATCH(A1183,'Semrush Data'!$A$1:$A$20000,0),MATCH("Keyword Difficulty*",'Semrush Data'!$A$1:$Z$1,0)),"")</f>
        <v/>
      </c>
      <c r="I1183" s="29" t="str">
        <f aca="false">IFERROR(INDEX('Semrush Data'!$A$1:$Z$20000,MATCH(A1183,'Semrush Data'!$A$1:$A$20000,0),MATCH("CPC*",'Semrush Data'!$A$1:$Z$1,0)),"")</f>
        <v/>
      </c>
      <c r="J1183" s="6" t="str">
        <f aca="false">IFERROR(INDEX('Semrush Data'!$A$1:$Z$20000,MATCH(A1183,'Semrush Data'!$A$1:$A$20000,0),MATCH("Intent",'Semrush Data'!$A$1:$Z$1,0)),"")</f>
        <v/>
      </c>
    </row>
    <row r="1184" customFormat="false" ht="15" hidden="false" customHeight="true" outlineLevel="0" collapsed="false">
      <c r="A1184" s="6" t="s">
        <v>5799</v>
      </c>
      <c r="B1184" s="6" t="s">
        <v>6866</v>
      </c>
      <c r="C1184" s="6" t="n">
        <v>2</v>
      </c>
      <c r="D1184" s="6" t="n">
        <v>12</v>
      </c>
      <c r="E1184" s="6" t="n">
        <v>1</v>
      </c>
      <c r="F1184" s="6" t="s">
        <v>5796</v>
      </c>
      <c r="G1184" s="28" t="str">
        <f aca="false">IFERROR(INDEX('Semrush Data'!$A$1:$Z$20000,MATCH(A1184,'Semrush Data'!$A$1:$A$20000,0),MATCH("Volume",'Semrush Data'!$A$1:$Z$1,0)),"")</f>
        <v/>
      </c>
      <c r="H1184" s="6" t="str">
        <f aca="false">IFERROR(INDEX('Semrush Data'!$A$1:$Z$20000,MATCH(A1184,'Semrush Data'!$A$1:$A$20000,0),MATCH("Keyword Difficulty*",'Semrush Data'!$A$1:$Z$1,0)),"")</f>
        <v/>
      </c>
      <c r="I1184" s="29" t="str">
        <f aca="false">IFERROR(INDEX('Semrush Data'!$A$1:$Z$20000,MATCH(A1184,'Semrush Data'!$A$1:$A$20000,0),MATCH("CPC*",'Semrush Data'!$A$1:$Z$1,0)),"")</f>
        <v/>
      </c>
      <c r="J1184" s="6" t="str">
        <f aca="false">IFERROR(INDEX('Semrush Data'!$A$1:$Z$20000,MATCH(A1184,'Semrush Data'!$A$1:$A$20000,0),MATCH("Intent",'Semrush Data'!$A$1:$Z$1,0)),"")</f>
        <v/>
      </c>
    </row>
    <row r="1185" customFormat="false" ht="15" hidden="false" customHeight="true" outlineLevel="0" collapsed="false">
      <c r="A1185" s="6" t="s">
        <v>5811</v>
      </c>
      <c r="B1185" s="6" t="s">
        <v>6866</v>
      </c>
      <c r="C1185" s="6" t="n">
        <v>2</v>
      </c>
      <c r="D1185" s="6" t="n">
        <v>12</v>
      </c>
      <c r="E1185" s="6" t="n">
        <v>1</v>
      </c>
      <c r="F1185" s="6" t="s">
        <v>5807</v>
      </c>
      <c r="G1185" s="28" t="str">
        <f aca="false">IFERROR(INDEX('Semrush Data'!$A$1:$Z$20000,MATCH(A1185,'Semrush Data'!$A$1:$A$20000,0),MATCH("Volume",'Semrush Data'!$A$1:$Z$1,0)),"")</f>
        <v/>
      </c>
      <c r="H1185" s="6" t="str">
        <f aca="false">IFERROR(INDEX('Semrush Data'!$A$1:$Z$20000,MATCH(A1185,'Semrush Data'!$A$1:$A$20000,0),MATCH("Keyword Difficulty*",'Semrush Data'!$A$1:$Z$1,0)),"")</f>
        <v/>
      </c>
      <c r="I1185" s="29" t="str">
        <f aca="false">IFERROR(INDEX('Semrush Data'!$A$1:$Z$20000,MATCH(A1185,'Semrush Data'!$A$1:$A$20000,0),MATCH("CPC*",'Semrush Data'!$A$1:$Z$1,0)),"")</f>
        <v/>
      </c>
      <c r="J1185" s="6" t="str">
        <f aca="false">IFERROR(INDEX('Semrush Data'!$A$1:$Z$20000,MATCH(A1185,'Semrush Data'!$A$1:$A$20000,0),MATCH("Intent",'Semrush Data'!$A$1:$Z$1,0)),"")</f>
        <v/>
      </c>
    </row>
    <row r="1186" customFormat="false" ht="15" hidden="false" customHeight="true" outlineLevel="0" collapsed="false">
      <c r="A1186" s="6" t="s">
        <v>5823</v>
      </c>
      <c r="B1186" s="6" t="s">
        <v>6866</v>
      </c>
      <c r="C1186" s="6" t="n">
        <v>2</v>
      </c>
      <c r="D1186" s="6" t="n">
        <v>12</v>
      </c>
      <c r="E1186" s="6" t="n">
        <v>1</v>
      </c>
      <c r="F1186" s="6" t="s">
        <v>5820</v>
      </c>
      <c r="G1186" s="28" t="str">
        <f aca="false">IFERROR(INDEX('Semrush Data'!$A$1:$Z$20000,MATCH(A1186,'Semrush Data'!$A$1:$A$20000,0),MATCH("Volume",'Semrush Data'!$A$1:$Z$1,0)),"")</f>
        <v/>
      </c>
      <c r="H1186" s="6" t="str">
        <f aca="false">IFERROR(INDEX('Semrush Data'!$A$1:$Z$20000,MATCH(A1186,'Semrush Data'!$A$1:$A$20000,0),MATCH("Keyword Difficulty*",'Semrush Data'!$A$1:$Z$1,0)),"")</f>
        <v/>
      </c>
      <c r="I1186" s="29" t="str">
        <f aca="false">IFERROR(INDEX('Semrush Data'!$A$1:$Z$20000,MATCH(A1186,'Semrush Data'!$A$1:$A$20000,0),MATCH("CPC*",'Semrush Data'!$A$1:$Z$1,0)),"")</f>
        <v/>
      </c>
      <c r="J1186" s="6" t="str">
        <f aca="false">IFERROR(INDEX('Semrush Data'!$A$1:$Z$20000,MATCH(A1186,'Semrush Data'!$A$1:$A$20000,0),MATCH("Intent",'Semrush Data'!$A$1:$Z$1,0)),"")</f>
        <v/>
      </c>
    </row>
    <row r="1187" customFormat="false" ht="15" hidden="false" customHeight="true" outlineLevel="0" collapsed="false">
      <c r="A1187" s="6" t="s">
        <v>5834</v>
      </c>
      <c r="B1187" s="6" t="s">
        <v>6866</v>
      </c>
      <c r="C1187" s="6" t="n">
        <v>2</v>
      </c>
      <c r="D1187" s="6" t="n">
        <v>12</v>
      </c>
      <c r="E1187" s="6" t="n">
        <v>1</v>
      </c>
      <c r="F1187" s="6" t="s">
        <v>5831</v>
      </c>
      <c r="G1187" s="28" t="str">
        <f aca="false">IFERROR(INDEX('Semrush Data'!$A$1:$Z$20000,MATCH(A1187,'Semrush Data'!$A$1:$A$20000,0),MATCH("Volume",'Semrush Data'!$A$1:$Z$1,0)),"")</f>
        <v/>
      </c>
      <c r="H1187" s="6" t="str">
        <f aca="false">IFERROR(INDEX('Semrush Data'!$A$1:$Z$20000,MATCH(A1187,'Semrush Data'!$A$1:$A$20000,0),MATCH("Keyword Difficulty*",'Semrush Data'!$A$1:$Z$1,0)),"")</f>
        <v/>
      </c>
      <c r="I1187" s="29" t="str">
        <f aca="false">IFERROR(INDEX('Semrush Data'!$A$1:$Z$20000,MATCH(A1187,'Semrush Data'!$A$1:$A$20000,0),MATCH("CPC*",'Semrush Data'!$A$1:$Z$1,0)),"")</f>
        <v/>
      </c>
      <c r="J1187" s="6" t="str">
        <f aca="false">IFERROR(INDEX('Semrush Data'!$A$1:$Z$20000,MATCH(A1187,'Semrush Data'!$A$1:$A$20000,0),MATCH("Intent",'Semrush Data'!$A$1:$Z$1,0)),"")</f>
        <v/>
      </c>
    </row>
    <row r="1188" customFormat="false" ht="15" hidden="false" customHeight="true" outlineLevel="0" collapsed="false">
      <c r="A1188" s="6" t="s">
        <v>5845</v>
      </c>
      <c r="B1188" s="6" t="s">
        <v>6866</v>
      </c>
      <c r="C1188" s="6" t="n">
        <v>2</v>
      </c>
      <c r="D1188" s="6" t="n">
        <v>12</v>
      </c>
      <c r="E1188" s="6" t="n">
        <v>1</v>
      </c>
      <c r="F1188" s="6" t="s">
        <v>5842</v>
      </c>
      <c r="G1188" s="28" t="str">
        <f aca="false">IFERROR(INDEX('Semrush Data'!$A$1:$Z$20000,MATCH(A1188,'Semrush Data'!$A$1:$A$20000,0),MATCH("Volume",'Semrush Data'!$A$1:$Z$1,0)),"")</f>
        <v/>
      </c>
      <c r="H1188" s="6" t="str">
        <f aca="false">IFERROR(INDEX('Semrush Data'!$A$1:$Z$20000,MATCH(A1188,'Semrush Data'!$A$1:$A$20000,0),MATCH("Keyword Difficulty*",'Semrush Data'!$A$1:$Z$1,0)),"")</f>
        <v/>
      </c>
      <c r="I1188" s="29" t="str">
        <f aca="false">IFERROR(INDEX('Semrush Data'!$A$1:$Z$20000,MATCH(A1188,'Semrush Data'!$A$1:$A$20000,0),MATCH("CPC*",'Semrush Data'!$A$1:$Z$1,0)),"")</f>
        <v/>
      </c>
      <c r="J1188" s="6" t="str">
        <f aca="false">IFERROR(INDEX('Semrush Data'!$A$1:$Z$20000,MATCH(A1188,'Semrush Data'!$A$1:$A$20000,0),MATCH("Intent",'Semrush Data'!$A$1:$Z$1,0)),"")</f>
        <v/>
      </c>
    </row>
    <row r="1189" customFormat="false" ht="15" hidden="false" customHeight="true" outlineLevel="0" collapsed="false">
      <c r="A1189" s="6" t="s">
        <v>5923</v>
      </c>
      <c r="B1189" s="6" t="s">
        <v>6866</v>
      </c>
      <c r="C1189" s="6" t="n">
        <v>2</v>
      </c>
      <c r="D1189" s="6" t="n">
        <v>12</v>
      </c>
      <c r="E1189" s="6" t="n">
        <v>1</v>
      </c>
      <c r="F1189" s="6" t="s">
        <v>5920</v>
      </c>
      <c r="G1189" s="28" t="str">
        <f aca="false">IFERROR(INDEX('Semrush Data'!$A$1:$Z$20000,MATCH(A1189,'Semrush Data'!$A$1:$A$20000,0),MATCH("Volume",'Semrush Data'!$A$1:$Z$1,0)),"")</f>
        <v/>
      </c>
      <c r="H1189" s="6" t="str">
        <f aca="false">IFERROR(INDEX('Semrush Data'!$A$1:$Z$20000,MATCH(A1189,'Semrush Data'!$A$1:$A$20000,0),MATCH("Keyword Difficulty*",'Semrush Data'!$A$1:$Z$1,0)),"")</f>
        <v/>
      </c>
      <c r="I1189" s="29" t="str">
        <f aca="false">IFERROR(INDEX('Semrush Data'!$A$1:$Z$20000,MATCH(A1189,'Semrush Data'!$A$1:$A$20000,0),MATCH("CPC*",'Semrush Data'!$A$1:$Z$1,0)),"")</f>
        <v/>
      </c>
      <c r="J1189" s="6" t="str">
        <f aca="false">IFERROR(INDEX('Semrush Data'!$A$1:$Z$20000,MATCH(A1189,'Semrush Data'!$A$1:$A$20000,0),MATCH("Intent",'Semrush Data'!$A$1:$Z$1,0)),"")</f>
        <v/>
      </c>
    </row>
    <row r="1190" customFormat="false" ht="15" hidden="false" customHeight="true" outlineLevel="0" collapsed="false">
      <c r="A1190" s="6" t="s">
        <v>5856</v>
      </c>
      <c r="B1190" s="6" t="s">
        <v>6866</v>
      </c>
      <c r="C1190" s="6" t="n">
        <v>2</v>
      </c>
      <c r="D1190" s="6" t="n">
        <v>12</v>
      </c>
      <c r="E1190" s="6" t="n">
        <v>1</v>
      </c>
      <c r="F1190" s="6" t="s">
        <v>5853</v>
      </c>
      <c r="G1190" s="28" t="str">
        <f aca="false">IFERROR(INDEX('Semrush Data'!$A$1:$Z$20000,MATCH(A1190,'Semrush Data'!$A$1:$A$20000,0),MATCH("Volume",'Semrush Data'!$A$1:$Z$1,0)),"")</f>
        <v/>
      </c>
      <c r="H1190" s="6" t="str">
        <f aca="false">IFERROR(INDEX('Semrush Data'!$A$1:$Z$20000,MATCH(A1190,'Semrush Data'!$A$1:$A$20000,0),MATCH("Keyword Difficulty*",'Semrush Data'!$A$1:$Z$1,0)),"")</f>
        <v/>
      </c>
      <c r="I1190" s="29" t="str">
        <f aca="false">IFERROR(INDEX('Semrush Data'!$A$1:$Z$20000,MATCH(A1190,'Semrush Data'!$A$1:$A$20000,0),MATCH("CPC*",'Semrush Data'!$A$1:$Z$1,0)),"")</f>
        <v/>
      </c>
      <c r="J1190" s="6" t="str">
        <f aca="false">IFERROR(INDEX('Semrush Data'!$A$1:$Z$20000,MATCH(A1190,'Semrush Data'!$A$1:$A$20000,0),MATCH("Intent",'Semrush Data'!$A$1:$Z$1,0)),"")</f>
        <v/>
      </c>
    </row>
    <row r="1191" customFormat="false" ht="15" hidden="false" customHeight="true" outlineLevel="0" collapsed="false">
      <c r="A1191" s="6" t="s">
        <v>5867</v>
      </c>
      <c r="B1191" s="6" t="s">
        <v>6866</v>
      </c>
      <c r="C1191" s="6" t="n">
        <v>2</v>
      </c>
      <c r="D1191" s="6" t="n">
        <v>12</v>
      </c>
      <c r="E1191" s="6" t="n">
        <v>1</v>
      </c>
      <c r="F1191" s="6" t="s">
        <v>5864</v>
      </c>
      <c r="G1191" s="28" t="str">
        <f aca="false">IFERROR(INDEX('Semrush Data'!$A$1:$Z$20000,MATCH(A1191,'Semrush Data'!$A$1:$A$20000,0),MATCH("Volume",'Semrush Data'!$A$1:$Z$1,0)),"")</f>
        <v/>
      </c>
      <c r="H1191" s="6" t="str">
        <f aca="false">IFERROR(INDEX('Semrush Data'!$A$1:$Z$20000,MATCH(A1191,'Semrush Data'!$A$1:$A$20000,0),MATCH("Keyword Difficulty*",'Semrush Data'!$A$1:$Z$1,0)),"")</f>
        <v/>
      </c>
      <c r="I1191" s="29" t="str">
        <f aca="false">IFERROR(INDEX('Semrush Data'!$A$1:$Z$20000,MATCH(A1191,'Semrush Data'!$A$1:$A$20000,0),MATCH("CPC*",'Semrush Data'!$A$1:$Z$1,0)),"")</f>
        <v/>
      </c>
      <c r="J1191" s="6" t="str">
        <f aca="false">IFERROR(INDEX('Semrush Data'!$A$1:$Z$20000,MATCH(A1191,'Semrush Data'!$A$1:$A$20000,0),MATCH("Intent",'Semrush Data'!$A$1:$Z$1,0)),"")</f>
        <v/>
      </c>
    </row>
    <row r="1192" customFormat="false" ht="15" hidden="false" customHeight="true" outlineLevel="0" collapsed="false">
      <c r="A1192" s="6" t="s">
        <v>6009</v>
      </c>
      <c r="B1192" s="6" t="s">
        <v>6866</v>
      </c>
      <c r="C1192" s="6" t="n">
        <v>2</v>
      </c>
      <c r="D1192" s="6" t="n">
        <v>12</v>
      </c>
      <c r="E1192" s="6" t="n">
        <v>1</v>
      </c>
      <c r="F1192" s="6" t="s">
        <v>6005</v>
      </c>
      <c r="G1192" s="28" t="str">
        <f aca="false">IFERROR(INDEX('Semrush Data'!$A$1:$Z$20000,MATCH(A1192,'Semrush Data'!$A$1:$A$20000,0),MATCH("Volume",'Semrush Data'!$A$1:$Z$1,0)),"")</f>
        <v/>
      </c>
      <c r="H1192" s="6" t="str">
        <f aca="false">IFERROR(INDEX('Semrush Data'!$A$1:$Z$20000,MATCH(A1192,'Semrush Data'!$A$1:$A$20000,0),MATCH("Keyword Difficulty*",'Semrush Data'!$A$1:$Z$1,0)),"")</f>
        <v/>
      </c>
      <c r="I1192" s="29" t="str">
        <f aca="false">IFERROR(INDEX('Semrush Data'!$A$1:$Z$20000,MATCH(A1192,'Semrush Data'!$A$1:$A$20000,0),MATCH("CPC*",'Semrush Data'!$A$1:$Z$1,0)),"")</f>
        <v/>
      </c>
      <c r="J1192" s="6" t="str">
        <f aca="false">IFERROR(INDEX('Semrush Data'!$A$1:$Z$20000,MATCH(A1192,'Semrush Data'!$A$1:$A$20000,0),MATCH("Intent",'Semrush Data'!$A$1:$Z$1,0)),"")</f>
        <v/>
      </c>
    </row>
    <row r="1193" customFormat="false" ht="15" hidden="false" customHeight="true" outlineLevel="0" collapsed="false">
      <c r="A1193" s="6" t="s">
        <v>6021</v>
      </c>
      <c r="B1193" s="6" t="s">
        <v>6866</v>
      </c>
      <c r="C1193" s="6" t="n">
        <v>2</v>
      </c>
      <c r="D1193" s="6" t="n">
        <v>12</v>
      </c>
      <c r="E1193" s="6" t="n">
        <v>1</v>
      </c>
      <c r="F1193" s="6" t="s">
        <v>6018</v>
      </c>
      <c r="G1193" s="28" t="str">
        <f aca="false">IFERROR(INDEX('Semrush Data'!$A$1:$Z$20000,MATCH(A1193,'Semrush Data'!$A$1:$A$20000,0),MATCH("Volume",'Semrush Data'!$A$1:$Z$1,0)),"")</f>
        <v/>
      </c>
      <c r="H1193" s="6" t="str">
        <f aca="false">IFERROR(INDEX('Semrush Data'!$A$1:$Z$20000,MATCH(A1193,'Semrush Data'!$A$1:$A$20000,0),MATCH("Keyword Difficulty*",'Semrush Data'!$A$1:$Z$1,0)),"")</f>
        <v/>
      </c>
      <c r="I1193" s="29" t="str">
        <f aca="false">IFERROR(INDEX('Semrush Data'!$A$1:$Z$20000,MATCH(A1193,'Semrush Data'!$A$1:$A$20000,0),MATCH("CPC*",'Semrush Data'!$A$1:$Z$1,0)),"")</f>
        <v/>
      </c>
      <c r="J1193" s="6" t="str">
        <f aca="false">IFERROR(INDEX('Semrush Data'!$A$1:$Z$20000,MATCH(A1193,'Semrush Data'!$A$1:$A$20000,0),MATCH("Intent",'Semrush Data'!$A$1:$Z$1,0)),"")</f>
        <v/>
      </c>
    </row>
    <row r="1194" customFormat="false" ht="15" hidden="false" customHeight="true" outlineLevel="0" collapsed="false">
      <c r="A1194" s="6" t="s">
        <v>6032</v>
      </c>
      <c r="B1194" s="6" t="s">
        <v>6866</v>
      </c>
      <c r="C1194" s="6" t="n">
        <v>2</v>
      </c>
      <c r="D1194" s="6" t="n">
        <v>12</v>
      </c>
      <c r="E1194" s="6" t="n">
        <v>1</v>
      </c>
      <c r="F1194" s="6" t="s">
        <v>6029</v>
      </c>
      <c r="G1194" s="28" t="str">
        <f aca="false">IFERROR(INDEX('Semrush Data'!$A$1:$Z$20000,MATCH(A1194,'Semrush Data'!$A$1:$A$20000,0),MATCH("Volume",'Semrush Data'!$A$1:$Z$1,0)),"")</f>
        <v/>
      </c>
      <c r="H1194" s="6" t="str">
        <f aca="false">IFERROR(INDEX('Semrush Data'!$A$1:$Z$20000,MATCH(A1194,'Semrush Data'!$A$1:$A$20000,0),MATCH("Keyword Difficulty*",'Semrush Data'!$A$1:$Z$1,0)),"")</f>
        <v/>
      </c>
      <c r="I1194" s="29" t="str">
        <f aca="false">IFERROR(INDEX('Semrush Data'!$A$1:$Z$20000,MATCH(A1194,'Semrush Data'!$A$1:$A$20000,0),MATCH("CPC*",'Semrush Data'!$A$1:$Z$1,0)),"")</f>
        <v/>
      </c>
      <c r="J1194" s="6" t="str">
        <f aca="false">IFERROR(INDEX('Semrush Data'!$A$1:$Z$20000,MATCH(A1194,'Semrush Data'!$A$1:$A$20000,0),MATCH("Intent",'Semrush Data'!$A$1:$Z$1,0)),"")</f>
        <v/>
      </c>
    </row>
    <row r="1195" customFormat="false" ht="15" hidden="false" customHeight="true" outlineLevel="0" collapsed="false">
      <c r="A1195" s="6" t="s">
        <v>6043</v>
      </c>
      <c r="B1195" s="6" t="s">
        <v>6866</v>
      </c>
      <c r="C1195" s="6" t="n">
        <v>2</v>
      </c>
      <c r="D1195" s="6" t="n">
        <v>12</v>
      </c>
      <c r="E1195" s="6" t="n">
        <v>1</v>
      </c>
      <c r="F1195" s="6" t="s">
        <v>6039</v>
      </c>
      <c r="G1195" s="28" t="str">
        <f aca="false">IFERROR(INDEX('Semrush Data'!$A$1:$Z$20000,MATCH(A1195,'Semrush Data'!$A$1:$A$20000,0),MATCH("Volume",'Semrush Data'!$A$1:$Z$1,0)),"")</f>
        <v/>
      </c>
      <c r="H1195" s="6" t="str">
        <f aca="false">IFERROR(INDEX('Semrush Data'!$A$1:$Z$20000,MATCH(A1195,'Semrush Data'!$A$1:$A$20000,0),MATCH("Keyword Difficulty*",'Semrush Data'!$A$1:$Z$1,0)),"")</f>
        <v/>
      </c>
      <c r="I1195" s="29" t="str">
        <f aca="false">IFERROR(INDEX('Semrush Data'!$A$1:$Z$20000,MATCH(A1195,'Semrush Data'!$A$1:$A$20000,0),MATCH("CPC*",'Semrush Data'!$A$1:$Z$1,0)),"")</f>
        <v/>
      </c>
      <c r="J1195" s="6" t="str">
        <f aca="false">IFERROR(INDEX('Semrush Data'!$A$1:$Z$20000,MATCH(A1195,'Semrush Data'!$A$1:$A$20000,0),MATCH("Intent",'Semrush Data'!$A$1:$Z$1,0)),"")</f>
        <v/>
      </c>
    </row>
    <row r="1196" customFormat="false" ht="15" hidden="false" customHeight="true" outlineLevel="0" collapsed="false">
      <c r="A1196" s="6" t="s">
        <v>6055</v>
      </c>
      <c r="B1196" s="6" t="s">
        <v>6866</v>
      </c>
      <c r="C1196" s="6" t="n">
        <v>2</v>
      </c>
      <c r="D1196" s="6" t="n">
        <v>12</v>
      </c>
      <c r="E1196" s="6" t="n">
        <v>1</v>
      </c>
      <c r="F1196" s="6" t="s">
        <v>6052</v>
      </c>
      <c r="G1196" s="28" t="str">
        <f aca="false">IFERROR(INDEX('Semrush Data'!$A$1:$Z$20000,MATCH(A1196,'Semrush Data'!$A$1:$A$20000,0),MATCH("Volume",'Semrush Data'!$A$1:$Z$1,0)),"")</f>
        <v/>
      </c>
      <c r="H1196" s="6" t="str">
        <f aca="false">IFERROR(INDEX('Semrush Data'!$A$1:$Z$20000,MATCH(A1196,'Semrush Data'!$A$1:$A$20000,0),MATCH("Keyword Difficulty*",'Semrush Data'!$A$1:$Z$1,0)),"")</f>
        <v/>
      </c>
      <c r="I1196" s="29" t="str">
        <f aca="false">IFERROR(INDEX('Semrush Data'!$A$1:$Z$20000,MATCH(A1196,'Semrush Data'!$A$1:$A$20000,0),MATCH("CPC*",'Semrush Data'!$A$1:$Z$1,0)),"")</f>
        <v/>
      </c>
      <c r="J1196" s="6" t="str">
        <f aca="false">IFERROR(INDEX('Semrush Data'!$A$1:$Z$20000,MATCH(A1196,'Semrush Data'!$A$1:$A$20000,0),MATCH("Intent",'Semrush Data'!$A$1:$Z$1,0)),"")</f>
        <v/>
      </c>
    </row>
    <row r="1197" customFormat="false" ht="15" hidden="false" customHeight="true" outlineLevel="0" collapsed="false">
      <c r="A1197" s="6" t="s">
        <v>6066</v>
      </c>
      <c r="B1197" s="6" t="s">
        <v>6866</v>
      </c>
      <c r="C1197" s="6" t="n">
        <v>2</v>
      </c>
      <c r="D1197" s="6" t="n">
        <v>12</v>
      </c>
      <c r="E1197" s="6" t="n">
        <v>1</v>
      </c>
      <c r="F1197" s="6" t="s">
        <v>6063</v>
      </c>
      <c r="G1197" s="28" t="str">
        <f aca="false">IFERROR(INDEX('Semrush Data'!$A$1:$Z$20000,MATCH(A1197,'Semrush Data'!$A$1:$A$20000,0),MATCH("Volume",'Semrush Data'!$A$1:$Z$1,0)),"")</f>
        <v/>
      </c>
      <c r="H1197" s="6" t="str">
        <f aca="false">IFERROR(INDEX('Semrush Data'!$A$1:$Z$20000,MATCH(A1197,'Semrush Data'!$A$1:$A$20000,0),MATCH("Keyword Difficulty*",'Semrush Data'!$A$1:$Z$1,0)),"")</f>
        <v/>
      </c>
      <c r="I1197" s="29" t="str">
        <f aca="false">IFERROR(INDEX('Semrush Data'!$A$1:$Z$20000,MATCH(A1197,'Semrush Data'!$A$1:$A$20000,0),MATCH("CPC*",'Semrush Data'!$A$1:$Z$1,0)),"")</f>
        <v/>
      </c>
      <c r="J1197" s="6" t="str">
        <f aca="false">IFERROR(INDEX('Semrush Data'!$A$1:$Z$20000,MATCH(A1197,'Semrush Data'!$A$1:$A$20000,0),MATCH("Intent",'Semrush Data'!$A$1:$Z$1,0)),"")</f>
        <v/>
      </c>
    </row>
    <row r="1198" customFormat="false" ht="15" hidden="false" customHeight="true" outlineLevel="0" collapsed="false">
      <c r="A1198" s="6" t="s">
        <v>6077</v>
      </c>
      <c r="B1198" s="6" t="s">
        <v>6866</v>
      </c>
      <c r="C1198" s="6" t="n">
        <v>2</v>
      </c>
      <c r="D1198" s="6" t="n">
        <v>12</v>
      </c>
      <c r="E1198" s="6" t="n">
        <v>1</v>
      </c>
      <c r="F1198" s="6" t="s">
        <v>6074</v>
      </c>
      <c r="G1198" s="28" t="str">
        <f aca="false">IFERROR(INDEX('Semrush Data'!$A$1:$Z$20000,MATCH(A1198,'Semrush Data'!$A$1:$A$20000,0),MATCH("Volume",'Semrush Data'!$A$1:$Z$1,0)),"")</f>
        <v/>
      </c>
      <c r="H1198" s="6" t="str">
        <f aca="false">IFERROR(INDEX('Semrush Data'!$A$1:$Z$20000,MATCH(A1198,'Semrush Data'!$A$1:$A$20000,0),MATCH("Keyword Difficulty*",'Semrush Data'!$A$1:$Z$1,0)),"")</f>
        <v/>
      </c>
      <c r="I1198" s="29" t="str">
        <f aca="false">IFERROR(INDEX('Semrush Data'!$A$1:$Z$20000,MATCH(A1198,'Semrush Data'!$A$1:$A$20000,0),MATCH("CPC*",'Semrush Data'!$A$1:$Z$1,0)),"")</f>
        <v/>
      </c>
      <c r="J1198" s="6" t="str">
        <f aca="false">IFERROR(INDEX('Semrush Data'!$A$1:$Z$20000,MATCH(A1198,'Semrush Data'!$A$1:$A$20000,0),MATCH("Intent",'Semrush Data'!$A$1:$Z$1,0)),"")</f>
        <v/>
      </c>
    </row>
    <row r="1199" customFormat="false" ht="15" hidden="false" customHeight="true" outlineLevel="0" collapsed="false">
      <c r="A1199" s="6" t="s">
        <v>6088</v>
      </c>
      <c r="B1199" s="6" t="s">
        <v>6866</v>
      </c>
      <c r="C1199" s="6" t="n">
        <v>2</v>
      </c>
      <c r="D1199" s="6" t="n">
        <v>12</v>
      </c>
      <c r="E1199" s="6" t="n">
        <v>1</v>
      </c>
      <c r="F1199" s="6" t="s">
        <v>6085</v>
      </c>
      <c r="G1199" s="28" t="str">
        <f aca="false">IFERROR(INDEX('Semrush Data'!$A$1:$Z$20000,MATCH(A1199,'Semrush Data'!$A$1:$A$20000,0),MATCH("Volume",'Semrush Data'!$A$1:$Z$1,0)),"")</f>
        <v/>
      </c>
      <c r="H1199" s="6" t="str">
        <f aca="false">IFERROR(INDEX('Semrush Data'!$A$1:$Z$20000,MATCH(A1199,'Semrush Data'!$A$1:$A$20000,0),MATCH("Keyword Difficulty*",'Semrush Data'!$A$1:$Z$1,0)),"")</f>
        <v/>
      </c>
      <c r="I1199" s="29" t="str">
        <f aca="false">IFERROR(INDEX('Semrush Data'!$A$1:$Z$20000,MATCH(A1199,'Semrush Data'!$A$1:$A$20000,0),MATCH("CPC*",'Semrush Data'!$A$1:$Z$1,0)),"")</f>
        <v/>
      </c>
      <c r="J1199" s="6" t="str">
        <f aca="false">IFERROR(INDEX('Semrush Data'!$A$1:$Z$20000,MATCH(A1199,'Semrush Data'!$A$1:$A$20000,0),MATCH("Intent",'Semrush Data'!$A$1:$Z$1,0)),"")</f>
        <v/>
      </c>
    </row>
    <row r="1200" customFormat="false" ht="15" hidden="false" customHeight="true" outlineLevel="0" collapsed="false">
      <c r="A1200" s="6" t="s">
        <v>6099</v>
      </c>
      <c r="B1200" s="6" t="s">
        <v>6866</v>
      </c>
      <c r="C1200" s="6" t="n">
        <v>2</v>
      </c>
      <c r="D1200" s="6" t="n">
        <v>12</v>
      </c>
      <c r="E1200" s="6" t="n">
        <v>1</v>
      </c>
      <c r="F1200" s="6" t="s">
        <v>6096</v>
      </c>
      <c r="G1200" s="28" t="str">
        <f aca="false">IFERROR(INDEX('Semrush Data'!$A$1:$Z$20000,MATCH(A1200,'Semrush Data'!$A$1:$A$20000,0),MATCH("Volume",'Semrush Data'!$A$1:$Z$1,0)),"")</f>
        <v/>
      </c>
      <c r="H1200" s="6" t="str">
        <f aca="false">IFERROR(INDEX('Semrush Data'!$A$1:$Z$20000,MATCH(A1200,'Semrush Data'!$A$1:$A$20000,0),MATCH("Keyword Difficulty*",'Semrush Data'!$A$1:$Z$1,0)),"")</f>
        <v/>
      </c>
      <c r="I1200" s="29" t="str">
        <f aca="false">IFERROR(INDEX('Semrush Data'!$A$1:$Z$20000,MATCH(A1200,'Semrush Data'!$A$1:$A$20000,0),MATCH("CPC*",'Semrush Data'!$A$1:$Z$1,0)),"")</f>
        <v/>
      </c>
      <c r="J1200" s="6" t="str">
        <f aca="false">IFERROR(INDEX('Semrush Data'!$A$1:$Z$20000,MATCH(A1200,'Semrush Data'!$A$1:$A$20000,0),MATCH("Intent",'Semrush Data'!$A$1:$Z$1,0)),"")</f>
        <v/>
      </c>
    </row>
    <row r="1201" customFormat="false" ht="15" hidden="false" customHeight="true" outlineLevel="0" collapsed="false">
      <c r="A1201" s="6" t="s">
        <v>6110</v>
      </c>
      <c r="B1201" s="6" t="s">
        <v>6866</v>
      </c>
      <c r="C1201" s="6" t="n">
        <v>2</v>
      </c>
      <c r="D1201" s="6" t="n">
        <v>12</v>
      </c>
      <c r="E1201" s="6" t="n">
        <v>1</v>
      </c>
      <c r="F1201" s="6" t="s">
        <v>6107</v>
      </c>
      <c r="G1201" s="28" t="str">
        <f aca="false">IFERROR(INDEX('Semrush Data'!$A$1:$Z$20000,MATCH(A1201,'Semrush Data'!$A$1:$A$20000,0),MATCH("Volume",'Semrush Data'!$A$1:$Z$1,0)),"")</f>
        <v/>
      </c>
      <c r="H1201" s="6" t="str">
        <f aca="false">IFERROR(INDEX('Semrush Data'!$A$1:$Z$20000,MATCH(A1201,'Semrush Data'!$A$1:$A$20000,0),MATCH("Keyword Difficulty*",'Semrush Data'!$A$1:$Z$1,0)),"")</f>
        <v/>
      </c>
      <c r="I1201" s="29" t="str">
        <f aca="false">IFERROR(INDEX('Semrush Data'!$A$1:$Z$20000,MATCH(A1201,'Semrush Data'!$A$1:$A$20000,0),MATCH("CPC*",'Semrush Data'!$A$1:$Z$1,0)),"")</f>
        <v/>
      </c>
      <c r="J1201" s="6" t="str">
        <f aca="false">IFERROR(INDEX('Semrush Data'!$A$1:$Z$20000,MATCH(A1201,'Semrush Data'!$A$1:$A$20000,0),MATCH("Intent",'Semrush Data'!$A$1:$Z$1,0)),"")</f>
        <v/>
      </c>
    </row>
    <row r="1202" customFormat="false" ht="15" hidden="false" customHeight="true" outlineLevel="0" collapsed="false">
      <c r="A1202" s="6" t="s">
        <v>6121</v>
      </c>
      <c r="B1202" s="6" t="s">
        <v>6866</v>
      </c>
      <c r="C1202" s="6" t="n">
        <v>2</v>
      </c>
      <c r="D1202" s="6" t="n">
        <v>13</v>
      </c>
      <c r="E1202" s="6" t="n">
        <v>1</v>
      </c>
      <c r="F1202" s="6" t="s">
        <v>6118</v>
      </c>
      <c r="G1202" s="28" t="str">
        <f aca="false">IFERROR(INDEX('Semrush Data'!$A$1:$Z$20000,MATCH(A1202,'Semrush Data'!$A$1:$A$20000,0),MATCH("Volume",'Semrush Data'!$A$1:$Z$1,0)),"")</f>
        <v/>
      </c>
      <c r="H1202" s="6" t="str">
        <f aca="false">IFERROR(INDEX('Semrush Data'!$A$1:$Z$20000,MATCH(A1202,'Semrush Data'!$A$1:$A$20000,0),MATCH("Keyword Difficulty*",'Semrush Data'!$A$1:$Z$1,0)),"")</f>
        <v/>
      </c>
      <c r="I1202" s="29" t="str">
        <f aca="false">IFERROR(INDEX('Semrush Data'!$A$1:$Z$20000,MATCH(A1202,'Semrush Data'!$A$1:$A$20000,0),MATCH("CPC*",'Semrush Data'!$A$1:$Z$1,0)),"")</f>
        <v/>
      </c>
      <c r="J1202" s="6" t="str">
        <f aca="false">IFERROR(INDEX('Semrush Data'!$A$1:$Z$20000,MATCH(A1202,'Semrush Data'!$A$1:$A$20000,0),MATCH("Intent",'Semrush Data'!$A$1:$Z$1,0)),"")</f>
        <v/>
      </c>
    </row>
    <row r="1203" customFormat="false" ht="15" hidden="false" customHeight="true" outlineLevel="0" collapsed="false">
      <c r="A1203" s="6" t="s">
        <v>6133</v>
      </c>
      <c r="B1203" s="6" t="s">
        <v>6866</v>
      </c>
      <c r="C1203" s="6" t="n">
        <v>2</v>
      </c>
      <c r="D1203" s="6" t="n">
        <v>13</v>
      </c>
      <c r="E1203" s="6" t="n">
        <v>1</v>
      </c>
      <c r="F1203" s="6" t="s">
        <v>6129</v>
      </c>
      <c r="G1203" s="28" t="str">
        <f aca="false">IFERROR(INDEX('Semrush Data'!$A$1:$Z$20000,MATCH(A1203,'Semrush Data'!$A$1:$A$20000,0),MATCH("Volume",'Semrush Data'!$A$1:$Z$1,0)),"")</f>
        <v/>
      </c>
      <c r="H1203" s="6" t="str">
        <f aca="false">IFERROR(INDEX('Semrush Data'!$A$1:$Z$20000,MATCH(A1203,'Semrush Data'!$A$1:$A$20000,0),MATCH("Keyword Difficulty*",'Semrush Data'!$A$1:$Z$1,0)),"")</f>
        <v/>
      </c>
      <c r="I1203" s="29" t="str">
        <f aca="false">IFERROR(INDEX('Semrush Data'!$A$1:$Z$20000,MATCH(A1203,'Semrush Data'!$A$1:$A$20000,0),MATCH("CPC*",'Semrush Data'!$A$1:$Z$1,0)),"")</f>
        <v/>
      </c>
      <c r="J1203" s="6" t="str">
        <f aca="false">IFERROR(INDEX('Semrush Data'!$A$1:$Z$20000,MATCH(A1203,'Semrush Data'!$A$1:$A$20000,0),MATCH("Intent",'Semrush Data'!$A$1:$Z$1,0)),"")</f>
        <v/>
      </c>
    </row>
    <row r="1204" customFormat="false" ht="15" hidden="false" customHeight="true" outlineLevel="0" collapsed="false">
      <c r="A1204" s="6" t="s">
        <v>6145</v>
      </c>
      <c r="B1204" s="6" t="s">
        <v>6866</v>
      </c>
      <c r="C1204" s="6" t="n">
        <v>2</v>
      </c>
      <c r="D1204" s="6" t="s">
        <v>6868</v>
      </c>
      <c r="E1204" s="6" t="n">
        <v>1</v>
      </c>
      <c r="F1204" s="6" t="s">
        <v>6142</v>
      </c>
      <c r="G1204" s="28" t="n">
        <f aca="false">IFERROR(INDEX('Semrush Data'!$A$1:$Z$20000,MATCH(A1204,'Semrush Data'!$A$1:$A$20000,0),MATCH("Volume",'Semrush Data'!$A$1:$Z$1,0)),"")</f>
        <v>0</v>
      </c>
      <c r="H1204" s="6" t="n">
        <f aca="false">IFERROR(INDEX('Semrush Data'!$A$1:$Z$20000,MATCH(A1204,'Semrush Data'!$A$1:$A$20000,0),MATCH("Keyword Difficulty*",'Semrush Data'!$A$1:$Z$1,0)),"")</f>
        <v>20</v>
      </c>
      <c r="I1204" s="29" t="n">
        <f aca="false">IFERROR(INDEX('Semrush Data'!$A$1:$Z$20000,MATCH(A1204,'Semrush Data'!$A$1:$A$20000,0),MATCH("CPC*",'Semrush Data'!$A$1:$Z$1,0)),"")</f>
        <v>0</v>
      </c>
      <c r="J1204" s="6" t="str">
        <f aca="false">IFERROR(INDEX('Semrush Data'!$A$1:$Z$20000,MATCH(A1204,'Semrush Data'!$A$1:$A$20000,0),MATCH("Intent",'Semrush Data'!$A$1:$Z$1,0)),"")</f>
        <v>Commercial</v>
      </c>
    </row>
    <row r="1205" customFormat="false" ht="15" hidden="false" customHeight="true" outlineLevel="0" collapsed="false">
      <c r="A1205" s="6" t="s">
        <v>6156</v>
      </c>
      <c r="B1205" s="6" t="s">
        <v>6866</v>
      </c>
      <c r="C1205" s="6" t="n">
        <v>2</v>
      </c>
      <c r="D1205" s="6" t="n">
        <v>13</v>
      </c>
      <c r="E1205" s="6" t="n">
        <v>1</v>
      </c>
      <c r="F1205" s="6" t="s">
        <v>6153</v>
      </c>
      <c r="G1205" s="28" t="str">
        <f aca="false">IFERROR(INDEX('Semrush Data'!$A$1:$Z$20000,MATCH(A1205,'Semrush Data'!$A$1:$A$20000,0),MATCH("Volume",'Semrush Data'!$A$1:$Z$1,0)),"")</f>
        <v/>
      </c>
      <c r="H1205" s="6" t="str">
        <f aca="false">IFERROR(INDEX('Semrush Data'!$A$1:$Z$20000,MATCH(A1205,'Semrush Data'!$A$1:$A$20000,0),MATCH("Keyword Difficulty*",'Semrush Data'!$A$1:$Z$1,0)),"")</f>
        <v/>
      </c>
      <c r="I1205" s="29" t="str">
        <f aca="false">IFERROR(INDEX('Semrush Data'!$A$1:$Z$20000,MATCH(A1205,'Semrush Data'!$A$1:$A$20000,0),MATCH("CPC*",'Semrush Data'!$A$1:$Z$1,0)),"")</f>
        <v/>
      </c>
      <c r="J1205" s="6" t="str">
        <f aca="false">IFERROR(INDEX('Semrush Data'!$A$1:$Z$20000,MATCH(A1205,'Semrush Data'!$A$1:$A$20000,0),MATCH("Intent",'Semrush Data'!$A$1:$Z$1,0)),"")</f>
        <v/>
      </c>
    </row>
    <row r="1206" customFormat="false" ht="15" hidden="false" customHeight="true" outlineLevel="0" collapsed="false">
      <c r="A1206" s="6" t="s">
        <v>6166</v>
      </c>
      <c r="B1206" s="6" t="s">
        <v>6866</v>
      </c>
      <c r="C1206" s="6" t="n">
        <v>2</v>
      </c>
      <c r="D1206" s="6" t="n">
        <v>13</v>
      </c>
      <c r="E1206" s="6" t="n">
        <v>2</v>
      </c>
      <c r="F1206" s="6" t="s">
        <v>6861</v>
      </c>
      <c r="G1206" s="28" t="str">
        <f aca="false">IFERROR(INDEX('Semrush Data'!$A$1:$Z$20000,MATCH(A1206,'Semrush Data'!$A$1:$A$20000,0),MATCH("Volume",'Semrush Data'!$A$1:$Z$1,0)),"")</f>
        <v/>
      </c>
      <c r="H1206" s="6" t="str">
        <f aca="false">IFERROR(INDEX('Semrush Data'!$A$1:$Z$20000,MATCH(A1206,'Semrush Data'!$A$1:$A$20000,0),MATCH("Keyword Difficulty*",'Semrush Data'!$A$1:$Z$1,0)),"")</f>
        <v/>
      </c>
      <c r="I1206" s="29" t="str">
        <f aca="false">IFERROR(INDEX('Semrush Data'!$A$1:$Z$20000,MATCH(A1206,'Semrush Data'!$A$1:$A$20000,0),MATCH("CPC*",'Semrush Data'!$A$1:$Z$1,0)),"")</f>
        <v/>
      </c>
      <c r="J1206" s="6" t="str">
        <f aca="false">IFERROR(INDEX('Semrush Data'!$A$1:$Z$20000,MATCH(A1206,'Semrush Data'!$A$1:$A$20000,0),MATCH("Intent",'Semrush Data'!$A$1:$Z$1,0)),"")</f>
        <v/>
      </c>
    </row>
    <row r="1207" customFormat="false" ht="15" hidden="false" customHeight="true" outlineLevel="0" collapsed="false">
      <c r="A1207" s="6" t="s">
        <v>6181</v>
      </c>
      <c r="B1207" s="6" t="s">
        <v>6866</v>
      </c>
      <c r="C1207" s="6" t="n">
        <v>2</v>
      </c>
      <c r="D1207" s="6" t="n">
        <v>13</v>
      </c>
      <c r="E1207" s="6" t="n">
        <v>1</v>
      </c>
      <c r="F1207" s="6" t="s">
        <v>6178</v>
      </c>
      <c r="G1207" s="28" t="str">
        <f aca="false">IFERROR(INDEX('Semrush Data'!$A$1:$Z$20000,MATCH(A1207,'Semrush Data'!$A$1:$A$20000,0),MATCH("Volume",'Semrush Data'!$A$1:$Z$1,0)),"")</f>
        <v/>
      </c>
      <c r="H1207" s="6" t="str">
        <f aca="false">IFERROR(INDEX('Semrush Data'!$A$1:$Z$20000,MATCH(A1207,'Semrush Data'!$A$1:$A$20000,0),MATCH("Keyword Difficulty*",'Semrush Data'!$A$1:$Z$1,0)),"")</f>
        <v/>
      </c>
      <c r="I1207" s="29" t="str">
        <f aca="false">IFERROR(INDEX('Semrush Data'!$A$1:$Z$20000,MATCH(A1207,'Semrush Data'!$A$1:$A$20000,0),MATCH("CPC*",'Semrush Data'!$A$1:$Z$1,0)),"")</f>
        <v/>
      </c>
      <c r="J1207" s="6" t="str">
        <f aca="false">IFERROR(INDEX('Semrush Data'!$A$1:$Z$20000,MATCH(A1207,'Semrush Data'!$A$1:$A$20000,0),MATCH("Intent",'Semrush Data'!$A$1:$Z$1,0)),"")</f>
        <v/>
      </c>
    </row>
    <row r="1208" customFormat="false" ht="15" hidden="false" customHeight="true" outlineLevel="0" collapsed="false">
      <c r="A1208" s="6" t="s">
        <v>6191</v>
      </c>
      <c r="B1208" s="6" t="s">
        <v>6866</v>
      </c>
      <c r="C1208" s="6" t="n">
        <v>2</v>
      </c>
      <c r="D1208" s="6" t="n">
        <v>13</v>
      </c>
      <c r="E1208" s="6" t="n">
        <v>1</v>
      </c>
      <c r="F1208" s="6" t="s">
        <v>6188</v>
      </c>
      <c r="G1208" s="28" t="str">
        <f aca="false">IFERROR(INDEX('Semrush Data'!$A$1:$Z$20000,MATCH(A1208,'Semrush Data'!$A$1:$A$20000,0),MATCH("Volume",'Semrush Data'!$A$1:$Z$1,0)),"")</f>
        <v/>
      </c>
      <c r="H1208" s="6" t="str">
        <f aca="false">IFERROR(INDEX('Semrush Data'!$A$1:$Z$20000,MATCH(A1208,'Semrush Data'!$A$1:$A$20000,0),MATCH("Keyword Difficulty*",'Semrush Data'!$A$1:$Z$1,0)),"")</f>
        <v/>
      </c>
      <c r="I1208" s="29" t="str">
        <f aca="false">IFERROR(INDEX('Semrush Data'!$A$1:$Z$20000,MATCH(A1208,'Semrush Data'!$A$1:$A$20000,0),MATCH("CPC*",'Semrush Data'!$A$1:$Z$1,0)),"")</f>
        <v/>
      </c>
      <c r="J1208" s="6" t="str">
        <f aca="false">IFERROR(INDEX('Semrush Data'!$A$1:$Z$20000,MATCH(A1208,'Semrush Data'!$A$1:$A$20000,0),MATCH("Intent",'Semrush Data'!$A$1:$Z$1,0)),"")</f>
        <v/>
      </c>
    </row>
    <row r="1209" customFormat="false" ht="15" hidden="false" customHeight="true" outlineLevel="0" collapsed="false">
      <c r="A1209" s="6" t="s">
        <v>6202</v>
      </c>
      <c r="B1209" s="6" t="s">
        <v>6866</v>
      </c>
      <c r="C1209" s="6" t="n">
        <v>2</v>
      </c>
      <c r="D1209" s="6" t="n">
        <v>13</v>
      </c>
      <c r="E1209" s="6" t="n">
        <v>1</v>
      </c>
      <c r="F1209" s="6" t="s">
        <v>6199</v>
      </c>
      <c r="G1209" s="28" t="str">
        <f aca="false">IFERROR(INDEX('Semrush Data'!$A$1:$Z$20000,MATCH(A1209,'Semrush Data'!$A$1:$A$20000,0),MATCH("Volume",'Semrush Data'!$A$1:$Z$1,0)),"")</f>
        <v/>
      </c>
      <c r="H1209" s="6" t="str">
        <f aca="false">IFERROR(INDEX('Semrush Data'!$A$1:$Z$20000,MATCH(A1209,'Semrush Data'!$A$1:$A$20000,0),MATCH("Keyword Difficulty*",'Semrush Data'!$A$1:$Z$1,0)),"")</f>
        <v/>
      </c>
      <c r="I1209" s="29" t="str">
        <f aca="false">IFERROR(INDEX('Semrush Data'!$A$1:$Z$20000,MATCH(A1209,'Semrush Data'!$A$1:$A$20000,0),MATCH("CPC*",'Semrush Data'!$A$1:$Z$1,0)),"")</f>
        <v/>
      </c>
      <c r="J1209" s="6" t="str">
        <f aca="false">IFERROR(INDEX('Semrush Data'!$A$1:$Z$20000,MATCH(A1209,'Semrush Data'!$A$1:$A$20000,0),MATCH("Intent",'Semrush Data'!$A$1:$Z$1,0)),"")</f>
        <v/>
      </c>
    </row>
    <row r="1210" customFormat="false" ht="15" hidden="false" customHeight="true" outlineLevel="0" collapsed="false">
      <c r="A1210" s="6" t="s">
        <v>6212</v>
      </c>
      <c r="B1210" s="6" t="s">
        <v>6866</v>
      </c>
      <c r="C1210" s="6" t="n">
        <v>2</v>
      </c>
      <c r="D1210" s="6" t="n">
        <v>13</v>
      </c>
      <c r="E1210" s="6" t="n">
        <v>1</v>
      </c>
      <c r="F1210" s="6" t="s">
        <v>6209</v>
      </c>
      <c r="G1210" s="28" t="str">
        <f aca="false">IFERROR(INDEX('Semrush Data'!$A$1:$Z$20000,MATCH(A1210,'Semrush Data'!$A$1:$A$20000,0),MATCH("Volume",'Semrush Data'!$A$1:$Z$1,0)),"")</f>
        <v/>
      </c>
      <c r="H1210" s="6" t="str">
        <f aca="false">IFERROR(INDEX('Semrush Data'!$A$1:$Z$20000,MATCH(A1210,'Semrush Data'!$A$1:$A$20000,0),MATCH("Keyword Difficulty*",'Semrush Data'!$A$1:$Z$1,0)),"")</f>
        <v/>
      </c>
      <c r="I1210" s="29" t="str">
        <f aca="false">IFERROR(INDEX('Semrush Data'!$A$1:$Z$20000,MATCH(A1210,'Semrush Data'!$A$1:$A$20000,0),MATCH("CPC*",'Semrush Data'!$A$1:$Z$1,0)),"")</f>
        <v/>
      </c>
      <c r="J1210" s="6" t="str">
        <f aca="false">IFERROR(INDEX('Semrush Data'!$A$1:$Z$20000,MATCH(A1210,'Semrush Data'!$A$1:$A$20000,0),MATCH("Intent",'Semrush Data'!$A$1:$Z$1,0)),"")</f>
        <v/>
      </c>
    </row>
    <row r="1211" customFormat="false" ht="15" hidden="false" customHeight="true" outlineLevel="0" collapsed="false">
      <c r="A1211" s="6" t="s">
        <v>6223</v>
      </c>
      <c r="B1211" s="6" t="s">
        <v>6866</v>
      </c>
      <c r="C1211" s="6" t="n">
        <v>2</v>
      </c>
      <c r="D1211" s="6" t="s">
        <v>6868</v>
      </c>
      <c r="E1211" s="6" t="n">
        <v>1</v>
      </c>
      <c r="F1211" s="6" t="s">
        <v>6220</v>
      </c>
      <c r="G1211" s="28" t="n">
        <f aca="false">IFERROR(INDEX('Semrush Data'!$A$1:$Z$20000,MATCH(A1211,'Semrush Data'!$A$1:$A$20000,0),MATCH("Volume",'Semrush Data'!$A$1:$Z$1,0)),"")</f>
        <v>0</v>
      </c>
      <c r="H1211" s="6" t="n">
        <f aca="false">IFERROR(INDEX('Semrush Data'!$A$1:$Z$20000,MATCH(A1211,'Semrush Data'!$A$1:$A$20000,0),MATCH("Keyword Difficulty*",'Semrush Data'!$A$1:$Z$1,0)),"")</f>
        <v>16</v>
      </c>
      <c r="I1211" s="29" t="n">
        <f aca="false">IFERROR(INDEX('Semrush Data'!$A$1:$Z$20000,MATCH(A1211,'Semrush Data'!$A$1:$A$20000,0),MATCH("CPC*",'Semrush Data'!$A$1:$Z$1,0)),"")</f>
        <v>0</v>
      </c>
      <c r="J1211" s="6" t="str">
        <f aca="false">IFERROR(INDEX('Semrush Data'!$A$1:$Z$20000,MATCH(A1211,'Semrush Data'!$A$1:$A$20000,0),MATCH("Intent",'Semrush Data'!$A$1:$Z$1,0)),"")</f>
        <v>Informational</v>
      </c>
    </row>
    <row r="1212" customFormat="false" ht="15" hidden="false" customHeight="true" outlineLevel="0" collapsed="false">
      <c r="A1212" s="6" t="s">
        <v>6234</v>
      </c>
      <c r="B1212" s="6" t="s">
        <v>6866</v>
      </c>
      <c r="C1212" s="6" t="n">
        <v>2</v>
      </c>
      <c r="D1212" s="6" t="n">
        <v>13</v>
      </c>
      <c r="E1212" s="6" t="n">
        <v>1</v>
      </c>
      <c r="F1212" s="6" t="s">
        <v>6231</v>
      </c>
      <c r="G1212" s="28" t="str">
        <f aca="false">IFERROR(INDEX('Semrush Data'!$A$1:$Z$20000,MATCH(A1212,'Semrush Data'!$A$1:$A$20000,0),MATCH("Volume",'Semrush Data'!$A$1:$Z$1,0)),"")</f>
        <v/>
      </c>
      <c r="H1212" s="6" t="str">
        <f aca="false">IFERROR(INDEX('Semrush Data'!$A$1:$Z$20000,MATCH(A1212,'Semrush Data'!$A$1:$A$20000,0),MATCH("Keyword Difficulty*",'Semrush Data'!$A$1:$Z$1,0)),"")</f>
        <v/>
      </c>
      <c r="I1212" s="29" t="str">
        <f aca="false">IFERROR(INDEX('Semrush Data'!$A$1:$Z$20000,MATCH(A1212,'Semrush Data'!$A$1:$A$20000,0),MATCH("CPC*",'Semrush Data'!$A$1:$Z$1,0)),"")</f>
        <v/>
      </c>
      <c r="J1212" s="6" t="str">
        <f aca="false">IFERROR(INDEX('Semrush Data'!$A$1:$Z$20000,MATCH(A1212,'Semrush Data'!$A$1:$A$20000,0),MATCH("Intent",'Semrush Data'!$A$1:$Z$1,0)),"")</f>
        <v/>
      </c>
    </row>
    <row r="1213" customFormat="false" ht="15" hidden="false" customHeight="true" outlineLevel="0" collapsed="false">
      <c r="A1213" s="6" t="s">
        <v>6245</v>
      </c>
      <c r="B1213" s="6" t="s">
        <v>6866</v>
      </c>
      <c r="C1213" s="6" t="n">
        <v>2</v>
      </c>
      <c r="D1213" s="6" t="n">
        <v>13</v>
      </c>
      <c r="E1213" s="6" t="n">
        <v>1</v>
      </c>
      <c r="F1213" s="6" t="s">
        <v>6242</v>
      </c>
      <c r="G1213" s="28" t="str">
        <f aca="false">IFERROR(INDEX('Semrush Data'!$A$1:$Z$20000,MATCH(A1213,'Semrush Data'!$A$1:$A$20000,0),MATCH("Volume",'Semrush Data'!$A$1:$Z$1,0)),"")</f>
        <v/>
      </c>
      <c r="H1213" s="6" t="str">
        <f aca="false">IFERROR(INDEX('Semrush Data'!$A$1:$Z$20000,MATCH(A1213,'Semrush Data'!$A$1:$A$20000,0),MATCH("Keyword Difficulty*",'Semrush Data'!$A$1:$Z$1,0)),"")</f>
        <v/>
      </c>
      <c r="I1213" s="29" t="str">
        <f aca="false">IFERROR(INDEX('Semrush Data'!$A$1:$Z$20000,MATCH(A1213,'Semrush Data'!$A$1:$A$20000,0),MATCH("CPC*",'Semrush Data'!$A$1:$Z$1,0)),"")</f>
        <v/>
      </c>
      <c r="J1213" s="6" t="str">
        <f aca="false">IFERROR(INDEX('Semrush Data'!$A$1:$Z$20000,MATCH(A1213,'Semrush Data'!$A$1:$A$20000,0),MATCH("Intent",'Semrush Data'!$A$1:$Z$1,0)),"")</f>
        <v/>
      </c>
    </row>
    <row r="1214" customFormat="false" ht="15" hidden="false" customHeight="true" outlineLevel="0" collapsed="false">
      <c r="A1214" s="6" t="s">
        <v>6254</v>
      </c>
      <c r="B1214" s="6" t="s">
        <v>6866</v>
      </c>
      <c r="C1214" s="6" t="n">
        <v>2</v>
      </c>
      <c r="D1214" s="6" t="s">
        <v>6867</v>
      </c>
      <c r="E1214" s="6" t="n">
        <v>1</v>
      </c>
      <c r="F1214" s="6" t="s">
        <v>105</v>
      </c>
      <c r="G1214" s="28" t="n">
        <f aca="false">IFERROR(INDEX('Semrush Data'!$A$1:$Z$20000,MATCH(A1214,'Semrush Data'!$A$1:$A$20000,0),MATCH("Volume",'Semrush Data'!$A$1:$Z$1,0)),"")</f>
        <v>20</v>
      </c>
      <c r="H1214" s="6" t="n">
        <f aca="false">IFERROR(INDEX('Semrush Data'!$A$1:$Z$20000,MATCH(A1214,'Semrush Data'!$A$1:$A$20000,0),MATCH("Keyword Difficulty*",'Semrush Data'!$A$1:$Z$1,0)),"")</f>
        <v>11</v>
      </c>
      <c r="I1214" s="29" t="n">
        <f aca="false">IFERROR(INDEX('Semrush Data'!$A$1:$Z$20000,MATCH(A1214,'Semrush Data'!$A$1:$A$20000,0),MATCH("CPC*",'Semrush Data'!$A$1:$Z$1,0)),"")</f>
        <v>0</v>
      </c>
      <c r="J1214" s="6" t="str">
        <f aca="false">IFERROR(INDEX('Semrush Data'!$A$1:$Z$20000,MATCH(A1214,'Semrush Data'!$A$1:$A$20000,0),MATCH("Intent",'Semrush Data'!$A$1:$Z$1,0)),"")</f>
        <v>Informational</v>
      </c>
    </row>
    <row r="1215" customFormat="false" ht="15" hidden="false" customHeight="true" outlineLevel="0" collapsed="false">
      <c r="A1215" s="6" t="s">
        <v>6266</v>
      </c>
      <c r="B1215" s="6" t="s">
        <v>6866</v>
      </c>
      <c r="C1215" s="6" t="n">
        <v>2</v>
      </c>
      <c r="D1215" s="6" t="n">
        <v>13</v>
      </c>
      <c r="E1215" s="6" t="n">
        <v>1</v>
      </c>
      <c r="F1215" s="6" t="s">
        <v>6263</v>
      </c>
      <c r="G1215" s="28" t="str">
        <f aca="false">IFERROR(INDEX('Semrush Data'!$A$1:$Z$20000,MATCH(A1215,'Semrush Data'!$A$1:$A$20000,0),MATCH("Volume",'Semrush Data'!$A$1:$Z$1,0)),"")</f>
        <v/>
      </c>
      <c r="H1215" s="6" t="str">
        <f aca="false">IFERROR(INDEX('Semrush Data'!$A$1:$Z$20000,MATCH(A1215,'Semrush Data'!$A$1:$A$20000,0),MATCH("Keyword Difficulty*",'Semrush Data'!$A$1:$Z$1,0)),"")</f>
        <v/>
      </c>
      <c r="I1215" s="29" t="str">
        <f aca="false">IFERROR(INDEX('Semrush Data'!$A$1:$Z$20000,MATCH(A1215,'Semrush Data'!$A$1:$A$20000,0),MATCH("CPC*",'Semrush Data'!$A$1:$Z$1,0)),"")</f>
        <v/>
      </c>
      <c r="J1215" s="6" t="str">
        <f aca="false">IFERROR(INDEX('Semrush Data'!$A$1:$Z$20000,MATCH(A1215,'Semrush Data'!$A$1:$A$20000,0),MATCH("Intent",'Semrush Data'!$A$1:$Z$1,0)),"")</f>
        <v/>
      </c>
    </row>
    <row r="1216" customFormat="false" ht="15" hidden="false" customHeight="true" outlineLevel="0" collapsed="false">
      <c r="A1216" s="6" t="s">
        <v>6277</v>
      </c>
      <c r="B1216" s="6" t="s">
        <v>6866</v>
      </c>
      <c r="C1216" s="6" t="n">
        <v>2</v>
      </c>
      <c r="D1216" s="6" t="n">
        <v>13</v>
      </c>
      <c r="E1216" s="6" t="n">
        <v>1</v>
      </c>
      <c r="F1216" s="6" t="s">
        <v>6274</v>
      </c>
      <c r="G1216" s="28" t="str">
        <f aca="false">IFERROR(INDEX('Semrush Data'!$A$1:$Z$20000,MATCH(A1216,'Semrush Data'!$A$1:$A$20000,0),MATCH("Volume",'Semrush Data'!$A$1:$Z$1,0)),"")</f>
        <v/>
      </c>
      <c r="H1216" s="6" t="str">
        <f aca="false">IFERROR(INDEX('Semrush Data'!$A$1:$Z$20000,MATCH(A1216,'Semrush Data'!$A$1:$A$20000,0),MATCH("Keyword Difficulty*",'Semrush Data'!$A$1:$Z$1,0)),"")</f>
        <v/>
      </c>
      <c r="I1216" s="29" t="str">
        <f aca="false">IFERROR(INDEX('Semrush Data'!$A$1:$Z$20000,MATCH(A1216,'Semrush Data'!$A$1:$A$20000,0),MATCH("CPC*",'Semrush Data'!$A$1:$Z$1,0)),"")</f>
        <v/>
      </c>
      <c r="J1216" s="6" t="str">
        <f aca="false">IFERROR(INDEX('Semrush Data'!$A$1:$Z$20000,MATCH(A1216,'Semrush Data'!$A$1:$A$20000,0),MATCH("Intent",'Semrush Data'!$A$1:$Z$1,0)),"")</f>
        <v/>
      </c>
    </row>
    <row r="1217" customFormat="false" ht="15" hidden="false" customHeight="true" outlineLevel="0" collapsed="false">
      <c r="A1217" s="6" t="s">
        <v>6288</v>
      </c>
      <c r="B1217" s="6" t="s">
        <v>6866</v>
      </c>
      <c r="C1217" s="6" t="n">
        <v>2</v>
      </c>
      <c r="D1217" s="6" t="n">
        <v>13</v>
      </c>
      <c r="E1217" s="6" t="n">
        <v>1</v>
      </c>
      <c r="F1217" s="6" t="s">
        <v>6285</v>
      </c>
      <c r="G1217" s="28" t="str">
        <f aca="false">IFERROR(INDEX('Semrush Data'!$A$1:$Z$20000,MATCH(A1217,'Semrush Data'!$A$1:$A$20000,0),MATCH("Volume",'Semrush Data'!$A$1:$Z$1,0)),"")</f>
        <v/>
      </c>
      <c r="H1217" s="6" t="str">
        <f aca="false">IFERROR(INDEX('Semrush Data'!$A$1:$Z$20000,MATCH(A1217,'Semrush Data'!$A$1:$A$20000,0),MATCH("Keyword Difficulty*",'Semrush Data'!$A$1:$Z$1,0)),"")</f>
        <v/>
      </c>
      <c r="I1217" s="29" t="str">
        <f aca="false">IFERROR(INDEX('Semrush Data'!$A$1:$Z$20000,MATCH(A1217,'Semrush Data'!$A$1:$A$20000,0),MATCH("CPC*",'Semrush Data'!$A$1:$Z$1,0)),"")</f>
        <v/>
      </c>
      <c r="J1217" s="6" t="str">
        <f aca="false">IFERROR(INDEX('Semrush Data'!$A$1:$Z$20000,MATCH(A1217,'Semrush Data'!$A$1:$A$20000,0),MATCH("Intent",'Semrush Data'!$A$1:$Z$1,0)),"")</f>
        <v/>
      </c>
    </row>
    <row r="1218" customFormat="false" ht="15" hidden="false" customHeight="true" outlineLevel="0" collapsed="false">
      <c r="A1218" s="6" t="s">
        <v>6299</v>
      </c>
      <c r="B1218" s="6" t="s">
        <v>6866</v>
      </c>
      <c r="C1218" s="6" t="n">
        <v>2</v>
      </c>
      <c r="D1218" s="6" t="n">
        <v>13</v>
      </c>
      <c r="E1218" s="6" t="n">
        <v>1</v>
      </c>
      <c r="F1218" s="6" t="s">
        <v>6296</v>
      </c>
      <c r="G1218" s="28" t="str">
        <f aca="false">IFERROR(INDEX('Semrush Data'!$A$1:$Z$20000,MATCH(A1218,'Semrush Data'!$A$1:$A$20000,0),MATCH("Volume",'Semrush Data'!$A$1:$Z$1,0)),"")</f>
        <v/>
      </c>
      <c r="H1218" s="6" t="str">
        <f aca="false">IFERROR(INDEX('Semrush Data'!$A$1:$Z$20000,MATCH(A1218,'Semrush Data'!$A$1:$A$20000,0),MATCH("Keyword Difficulty*",'Semrush Data'!$A$1:$Z$1,0)),"")</f>
        <v/>
      </c>
      <c r="I1218" s="29" t="str">
        <f aca="false">IFERROR(INDEX('Semrush Data'!$A$1:$Z$20000,MATCH(A1218,'Semrush Data'!$A$1:$A$20000,0),MATCH("CPC*",'Semrush Data'!$A$1:$Z$1,0)),"")</f>
        <v/>
      </c>
      <c r="J1218" s="6" t="str">
        <f aca="false">IFERROR(INDEX('Semrush Data'!$A$1:$Z$20000,MATCH(A1218,'Semrush Data'!$A$1:$A$20000,0),MATCH("Intent",'Semrush Data'!$A$1:$Z$1,0)),"")</f>
        <v/>
      </c>
    </row>
    <row r="1219" customFormat="false" ht="15" hidden="false" customHeight="true" outlineLevel="0" collapsed="false">
      <c r="A1219" s="6" t="s">
        <v>6309</v>
      </c>
      <c r="B1219" s="6" t="s">
        <v>6866</v>
      </c>
      <c r="C1219" s="6" t="n">
        <v>2</v>
      </c>
      <c r="D1219" s="6" t="n">
        <v>13</v>
      </c>
      <c r="E1219" s="6" t="n">
        <v>1</v>
      </c>
      <c r="F1219" s="6" t="s">
        <v>6306</v>
      </c>
      <c r="G1219" s="28" t="str">
        <f aca="false">IFERROR(INDEX('Semrush Data'!$A$1:$Z$20000,MATCH(A1219,'Semrush Data'!$A$1:$A$20000,0),MATCH("Volume",'Semrush Data'!$A$1:$Z$1,0)),"")</f>
        <v/>
      </c>
      <c r="H1219" s="6" t="str">
        <f aca="false">IFERROR(INDEX('Semrush Data'!$A$1:$Z$20000,MATCH(A1219,'Semrush Data'!$A$1:$A$20000,0),MATCH("Keyword Difficulty*",'Semrush Data'!$A$1:$Z$1,0)),"")</f>
        <v/>
      </c>
      <c r="I1219" s="29" t="str">
        <f aca="false">IFERROR(INDEX('Semrush Data'!$A$1:$Z$20000,MATCH(A1219,'Semrush Data'!$A$1:$A$20000,0),MATCH("CPC*",'Semrush Data'!$A$1:$Z$1,0)),"")</f>
        <v/>
      </c>
      <c r="J1219" s="6" t="str">
        <f aca="false">IFERROR(INDEX('Semrush Data'!$A$1:$Z$20000,MATCH(A1219,'Semrush Data'!$A$1:$A$20000,0),MATCH("Intent",'Semrush Data'!$A$1:$Z$1,0)),"")</f>
        <v/>
      </c>
    </row>
    <row r="1220" customFormat="false" ht="15" hidden="false" customHeight="true" outlineLevel="0" collapsed="false">
      <c r="A1220" s="6" t="s">
        <v>6320</v>
      </c>
      <c r="B1220" s="6" t="s">
        <v>6866</v>
      </c>
      <c r="C1220" s="6" t="n">
        <v>2</v>
      </c>
      <c r="D1220" s="6" t="n">
        <v>13</v>
      </c>
      <c r="E1220" s="6" t="n">
        <v>1</v>
      </c>
      <c r="F1220" s="6" t="s">
        <v>6317</v>
      </c>
      <c r="G1220" s="28" t="str">
        <f aca="false">IFERROR(INDEX('Semrush Data'!$A$1:$Z$20000,MATCH(A1220,'Semrush Data'!$A$1:$A$20000,0),MATCH("Volume",'Semrush Data'!$A$1:$Z$1,0)),"")</f>
        <v/>
      </c>
      <c r="H1220" s="6" t="str">
        <f aca="false">IFERROR(INDEX('Semrush Data'!$A$1:$Z$20000,MATCH(A1220,'Semrush Data'!$A$1:$A$20000,0),MATCH("Keyword Difficulty*",'Semrush Data'!$A$1:$Z$1,0)),"")</f>
        <v/>
      </c>
      <c r="I1220" s="29" t="str">
        <f aca="false">IFERROR(INDEX('Semrush Data'!$A$1:$Z$20000,MATCH(A1220,'Semrush Data'!$A$1:$A$20000,0),MATCH("CPC*",'Semrush Data'!$A$1:$Z$1,0)),"")</f>
        <v/>
      </c>
      <c r="J1220" s="6" t="str">
        <f aca="false">IFERROR(INDEX('Semrush Data'!$A$1:$Z$20000,MATCH(A1220,'Semrush Data'!$A$1:$A$20000,0),MATCH("Intent",'Semrush Data'!$A$1:$Z$1,0)),"")</f>
        <v/>
      </c>
    </row>
    <row r="1221" customFormat="false" ht="15" hidden="false" customHeight="true" outlineLevel="0" collapsed="false">
      <c r="A1221" s="6" t="s">
        <v>6332</v>
      </c>
      <c r="B1221" s="6" t="s">
        <v>6866</v>
      </c>
      <c r="C1221" s="6" t="n">
        <v>2</v>
      </c>
      <c r="D1221" s="6" t="n">
        <v>13</v>
      </c>
      <c r="E1221" s="6" t="n">
        <v>1</v>
      </c>
      <c r="F1221" s="6" t="s">
        <v>6328</v>
      </c>
      <c r="G1221" s="28" t="str">
        <f aca="false">IFERROR(INDEX('Semrush Data'!$A$1:$Z$20000,MATCH(A1221,'Semrush Data'!$A$1:$A$20000,0),MATCH("Volume",'Semrush Data'!$A$1:$Z$1,0)),"")</f>
        <v/>
      </c>
      <c r="H1221" s="6" t="str">
        <f aca="false">IFERROR(INDEX('Semrush Data'!$A$1:$Z$20000,MATCH(A1221,'Semrush Data'!$A$1:$A$20000,0),MATCH("Keyword Difficulty*",'Semrush Data'!$A$1:$Z$1,0)),"")</f>
        <v/>
      </c>
      <c r="I1221" s="29" t="str">
        <f aca="false">IFERROR(INDEX('Semrush Data'!$A$1:$Z$20000,MATCH(A1221,'Semrush Data'!$A$1:$A$20000,0),MATCH("CPC*",'Semrush Data'!$A$1:$Z$1,0)),"")</f>
        <v/>
      </c>
      <c r="J1221" s="6" t="str">
        <f aca="false">IFERROR(INDEX('Semrush Data'!$A$1:$Z$20000,MATCH(A1221,'Semrush Data'!$A$1:$A$20000,0),MATCH("Intent",'Semrush Data'!$A$1:$Z$1,0)),"")</f>
        <v/>
      </c>
    </row>
    <row r="1222" customFormat="false" ht="15" hidden="false" customHeight="true" outlineLevel="0" collapsed="false">
      <c r="A1222" s="6" t="s">
        <v>6343</v>
      </c>
      <c r="B1222" s="6" t="s">
        <v>6866</v>
      </c>
      <c r="C1222" s="6" t="n">
        <v>2</v>
      </c>
      <c r="D1222" s="6" t="n">
        <v>13</v>
      </c>
      <c r="E1222" s="6" t="n">
        <v>1</v>
      </c>
      <c r="F1222" s="6" t="s">
        <v>6340</v>
      </c>
      <c r="G1222" s="28" t="str">
        <f aca="false">IFERROR(INDEX('Semrush Data'!$A$1:$Z$20000,MATCH(A1222,'Semrush Data'!$A$1:$A$20000,0),MATCH("Volume",'Semrush Data'!$A$1:$Z$1,0)),"")</f>
        <v/>
      </c>
      <c r="H1222" s="6" t="str">
        <f aca="false">IFERROR(INDEX('Semrush Data'!$A$1:$Z$20000,MATCH(A1222,'Semrush Data'!$A$1:$A$20000,0),MATCH("Keyword Difficulty*",'Semrush Data'!$A$1:$Z$1,0)),"")</f>
        <v/>
      </c>
      <c r="I1222" s="29" t="str">
        <f aca="false">IFERROR(INDEX('Semrush Data'!$A$1:$Z$20000,MATCH(A1222,'Semrush Data'!$A$1:$A$20000,0),MATCH("CPC*",'Semrush Data'!$A$1:$Z$1,0)),"")</f>
        <v/>
      </c>
      <c r="J1222" s="6" t="str">
        <f aca="false">IFERROR(INDEX('Semrush Data'!$A$1:$Z$20000,MATCH(A1222,'Semrush Data'!$A$1:$A$20000,0),MATCH("Intent",'Semrush Data'!$A$1:$Z$1,0)),"")</f>
        <v/>
      </c>
    </row>
    <row r="1223" customFormat="false" ht="15" hidden="false" customHeight="true" outlineLevel="0" collapsed="false">
      <c r="A1223" s="6" t="s">
        <v>6382</v>
      </c>
      <c r="B1223" s="6" t="s">
        <v>6866</v>
      </c>
      <c r="C1223" s="6" t="n">
        <v>2</v>
      </c>
      <c r="D1223" s="6" t="s">
        <v>6867</v>
      </c>
      <c r="E1223" s="6" t="n">
        <v>1</v>
      </c>
      <c r="F1223" s="6" t="s">
        <v>51</v>
      </c>
      <c r="G1223" s="28" t="n">
        <f aca="false">IFERROR(INDEX('Semrush Data'!$A$1:$Z$20000,MATCH(A1223,'Semrush Data'!$A$1:$A$20000,0),MATCH("Volume",'Semrush Data'!$A$1:$Z$1,0)),"")</f>
        <v>40</v>
      </c>
      <c r="H1223" s="6" t="n">
        <f aca="false">IFERROR(INDEX('Semrush Data'!$A$1:$Z$20000,MATCH(A1223,'Semrush Data'!$A$1:$A$20000,0),MATCH("Keyword Difficulty*",'Semrush Data'!$A$1:$Z$1,0)),"")</f>
        <v>16</v>
      </c>
      <c r="I1223" s="29" t="n">
        <f aca="false">IFERROR(INDEX('Semrush Data'!$A$1:$Z$20000,MATCH(A1223,'Semrush Data'!$A$1:$A$20000,0),MATCH("CPC*",'Semrush Data'!$A$1:$Z$1,0)),"")</f>
        <v>0.45</v>
      </c>
      <c r="J1223" s="6" t="str">
        <f aca="false">IFERROR(INDEX('Semrush Data'!$A$1:$Z$20000,MATCH(A1223,'Semrush Data'!$A$1:$A$20000,0),MATCH("Intent",'Semrush Data'!$A$1:$Z$1,0)),"")</f>
        <v>Informational</v>
      </c>
    </row>
    <row r="1224" customFormat="false" ht="15" hidden="false" customHeight="true" outlineLevel="0" collapsed="false">
      <c r="A1224" s="6" t="s">
        <v>6374</v>
      </c>
      <c r="B1224" s="6" t="s">
        <v>6866</v>
      </c>
      <c r="C1224" s="6" t="n">
        <v>2</v>
      </c>
      <c r="D1224" s="6" t="s">
        <v>6867</v>
      </c>
      <c r="E1224" s="6" t="n">
        <v>1</v>
      </c>
      <c r="F1224" s="6" t="s">
        <v>97</v>
      </c>
      <c r="G1224" s="28" t="n">
        <f aca="false">IFERROR(INDEX('Semrush Data'!$A$1:$Z$20000,MATCH(A1224,'Semrush Data'!$A$1:$A$20000,0),MATCH("Volume",'Semrush Data'!$A$1:$Z$1,0)),"")</f>
        <v>20</v>
      </c>
      <c r="H1224" s="6" t="n">
        <f aca="false">IFERROR(INDEX('Semrush Data'!$A$1:$Z$20000,MATCH(A1224,'Semrush Data'!$A$1:$A$20000,0),MATCH("Keyword Difficulty*",'Semrush Data'!$A$1:$Z$1,0)),"")</f>
        <v>18</v>
      </c>
      <c r="I1224" s="29" t="n">
        <f aca="false">IFERROR(INDEX('Semrush Data'!$A$1:$Z$20000,MATCH(A1224,'Semrush Data'!$A$1:$A$20000,0),MATCH("CPC*",'Semrush Data'!$A$1:$Z$1,0)),"")</f>
        <v>0</v>
      </c>
      <c r="J1224" s="6" t="str">
        <f aca="false">IFERROR(INDEX('Semrush Data'!$A$1:$Z$20000,MATCH(A1224,'Semrush Data'!$A$1:$A$20000,0),MATCH("Intent",'Semrush Data'!$A$1:$Z$1,0)),"")</f>
        <v>Informational</v>
      </c>
    </row>
    <row r="1225" customFormat="false" ht="15" hidden="false" customHeight="true" outlineLevel="0" collapsed="false">
      <c r="A1225" s="6" t="s">
        <v>6354</v>
      </c>
      <c r="B1225" s="6" t="s">
        <v>6866</v>
      </c>
      <c r="C1225" s="6" t="n">
        <v>2</v>
      </c>
      <c r="D1225" s="6" t="s">
        <v>6867</v>
      </c>
      <c r="E1225" s="6" t="n">
        <v>1</v>
      </c>
      <c r="F1225" s="6" t="s">
        <v>69</v>
      </c>
      <c r="G1225" s="28" t="n">
        <f aca="false">IFERROR(INDEX('Semrush Data'!$A$1:$Z$20000,MATCH(A1225,'Semrush Data'!$A$1:$A$20000,0),MATCH("Volume",'Semrush Data'!$A$1:$Z$1,0)),"")</f>
        <v>20</v>
      </c>
      <c r="H1225" s="6" t="n">
        <f aca="false">IFERROR(INDEX('Semrush Data'!$A$1:$Z$20000,MATCH(A1225,'Semrush Data'!$A$1:$A$20000,0),MATCH("Keyword Difficulty*",'Semrush Data'!$A$1:$Z$1,0)),"")</f>
        <v>12</v>
      </c>
      <c r="I1225" s="29" t="n">
        <f aca="false">IFERROR(INDEX('Semrush Data'!$A$1:$Z$20000,MATCH(A1225,'Semrush Data'!$A$1:$A$20000,0),MATCH("CPC*",'Semrush Data'!$A$1:$Z$1,0)),"")</f>
        <v>0.78</v>
      </c>
      <c r="J1225" s="6" t="str">
        <f aca="false">IFERROR(INDEX('Semrush Data'!$A$1:$Z$20000,MATCH(A1225,'Semrush Data'!$A$1:$A$20000,0),MATCH("Intent",'Semrush Data'!$A$1:$Z$1,0)),"")</f>
        <v>Informational</v>
      </c>
    </row>
    <row r="1226" customFormat="false" ht="15" hidden="false" customHeight="true" outlineLevel="0" collapsed="false">
      <c r="A1226" s="6" t="s">
        <v>6389</v>
      </c>
      <c r="B1226" s="6" t="s">
        <v>6866</v>
      </c>
      <c r="C1226" s="6" t="n">
        <v>2</v>
      </c>
      <c r="D1226" s="6" t="s">
        <v>6867</v>
      </c>
      <c r="E1226" s="6" t="n">
        <v>1</v>
      </c>
      <c r="F1226" s="6" t="s">
        <v>57</v>
      </c>
      <c r="G1226" s="28" t="n">
        <f aca="false">IFERROR(INDEX('Semrush Data'!$A$1:$Z$20000,MATCH(A1226,'Semrush Data'!$A$1:$A$20000,0),MATCH("Volume",'Semrush Data'!$A$1:$Z$1,0)),"")</f>
        <v>20</v>
      </c>
      <c r="H1226" s="6" t="n">
        <f aca="false">IFERROR(INDEX('Semrush Data'!$A$1:$Z$20000,MATCH(A1226,'Semrush Data'!$A$1:$A$20000,0),MATCH("Keyword Difficulty*",'Semrush Data'!$A$1:$Z$1,0)),"")</f>
        <v>12</v>
      </c>
      <c r="I1226" s="29" t="n">
        <f aca="false">IFERROR(INDEX('Semrush Data'!$A$1:$Z$20000,MATCH(A1226,'Semrush Data'!$A$1:$A$20000,0),MATCH("CPC*",'Semrush Data'!$A$1:$Z$1,0)),"")</f>
        <v>0.59</v>
      </c>
      <c r="J1226" s="6" t="str">
        <f aca="false">IFERROR(INDEX('Semrush Data'!$A$1:$Z$20000,MATCH(A1226,'Semrush Data'!$A$1:$A$20000,0),MATCH("Intent",'Semrush Data'!$A$1:$Z$1,0)),"")</f>
        <v>Informational</v>
      </c>
    </row>
    <row r="1227" customFormat="false" ht="15" hidden="false" customHeight="true" outlineLevel="0" collapsed="false">
      <c r="A1227" s="6" t="s">
        <v>6363</v>
      </c>
      <c r="B1227" s="6" t="s">
        <v>6866</v>
      </c>
      <c r="C1227" s="6" t="n">
        <v>2</v>
      </c>
      <c r="D1227" s="6" t="s">
        <v>6867</v>
      </c>
      <c r="E1227" s="6" t="n">
        <v>2</v>
      </c>
      <c r="F1227" s="6" t="s">
        <v>6862</v>
      </c>
      <c r="G1227" s="28" t="n">
        <f aca="false">IFERROR(INDEX('Semrush Data'!$A$1:$Z$20000,MATCH(A1227,'Semrush Data'!$A$1:$A$20000,0),MATCH("Volume",'Semrush Data'!$A$1:$Z$1,0)),"")</f>
        <v>30</v>
      </c>
      <c r="H1227" s="6" t="n">
        <f aca="false">IFERROR(INDEX('Semrush Data'!$A$1:$Z$20000,MATCH(A1227,'Semrush Data'!$A$1:$A$20000,0),MATCH("Keyword Difficulty*",'Semrush Data'!$A$1:$Z$1,0)),"")</f>
        <v>13</v>
      </c>
      <c r="I1227" s="29" t="n">
        <f aca="false">IFERROR(INDEX('Semrush Data'!$A$1:$Z$20000,MATCH(A1227,'Semrush Data'!$A$1:$A$20000,0),MATCH("CPC*",'Semrush Data'!$A$1:$Z$1,0)),"")</f>
        <v>0</v>
      </c>
      <c r="J1227" s="6" t="str">
        <f aca="false">IFERROR(INDEX('Semrush Data'!$A$1:$Z$20000,MATCH(A1227,'Semrush Data'!$A$1:$A$20000,0),MATCH("Intent",'Semrush Data'!$A$1:$Z$1,0)),"")</f>
        <v>Informational</v>
      </c>
    </row>
    <row r="1228" customFormat="false" ht="15" hidden="false" customHeight="true" outlineLevel="0" collapsed="false">
      <c r="A1228" s="6" t="s">
        <v>6424</v>
      </c>
      <c r="B1228" s="6" t="s">
        <v>6866</v>
      </c>
      <c r="C1228" s="6" t="n">
        <v>2</v>
      </c>
      <c r="D1228" s="6" t="n">
        <v>13</v>
      </c>
      <c r="E1228" s="6" t="n">
        <v>1</v>
      </c>
      <c r="F1228" s="6" t="s">
        <v>6421</v>
      </c>
      <c r="G1228" s="28" t="str">
        <f aca="false">IFERROR(INDEX('Semrush Data'!$A$1:$Z$20000,MATCH(A1228,'Semrush Data'!$A$1:$A$20000,0),MATCH("Volume",'Semrush Data'!$A$1:$Z$1,0)),"")</f>
        <v/>
      </c>
      <c r="H1228" s="6" t="str">
        <f aca="false">IFERROR(INDEX('Semrush Data'!$A$1:$Z$20000,MATCH(A1228,'Semrush Data'!$A$1:$A$20000,0),MATCH("Keyword Difficulty*",'Semrush Data'!$A$1:$Z$1,0)),"")</f>
        <v/>
      </c>
      <c r="I1228" s="29" t="str">
        <f aca="false">IFERROR(INDEX('Semrush Data'!$A$1:$Z$20000,MATCH(A1228,'Semrush Data'!$A$1:$A$20000,0),MATCH("CPC*",'Semrush Data'!$A$1:$Z$1,0)),"")</f>
        <v/>
      </c>
      <c r="J1228" s="6" t="str">
        <f aca="false">IFERROR(INDEX('Semrush Data'!$A$1:$Z$20000,MATCH(A1228,'Semrush Data'!$A$1:$A$20000,0),MATCH("Intent",'Semrush Data'!$A$1:$Z$1,0)),"")</f>
        <v/>
      </c>
    </row>
    <row r="1229" customFormat="false" ht="15" hidden="false" customHeight="true" outlineLevel="0" collapsed="false">
      <c r="A1229" s="6" t="s">
        <v>6435</v>
      </c>
      <c r="B1229" s="6" t="s">
        <v>6866</v>
      </c>
      <c r="C1229" s="6" t="n">
        <v>2</v>
      </c>
      <c r="D1229" s="6" t="n">
        <v>13</v>
      </c>
      <c r="E1229" s="6" t="n">
        <v>1</v>
      </c>
      <c r="F1229" s="6" t="s">
        <v>6432</v>
      </c>
      <c r="G1229" s="28" t="str">
        <f aca="false">IFERROR(INDEX('Semrush Data'!$A$1:$Z$20000,MATCH(A1229,'Semrush Data'!$A$1:$A$20000,0),MATCH("Volume",'Semrush Data'!$A$1:$Z$1,0)),"")</f>
        <v/>
      </c>
      <c r="H1229" s="6" t="str">
        <f aca="false">IFERROR(INDEX('Semrush Data'!$A$1:$Z$20000,MATCH(A1229,'Semrush Data'!$A$1:$A$20000,0),MATCH("Keyword Difficulty*",'Semrush Data'!$A$1:$Z$1,0)),"")</f>
        <v/>
      </c>
      <c r="I1229" s="29" t="str">
        <f aca="false">IFERROR(INDEX('Semrush Data'!$A$1:$Z$20000,MATCH(A1229,'Semrush Data'!$A$1:$A$20000,0),MATCH("CPC*",'Semrush Data'!$A$1:$Z$1,0)),"")</f>
        <v/>
      </c>
      <c r="J1229" s="6" t="str">
        <f aca="false">IFERROR(INDEX('Semrush Data'!$A$1:$Z$20000,MATCH(A1229,'Semrush Data'!$A$1:$A$20000,0),MATCH("Intent",'Semrush Data'!$A$1:$Z$1,0)),"")</f>
        <v/>
      </c>
    </row>
    <row r="1230" customFormat="false" ht="15" hidden="false" customHeight="true" outlineLevel="0" collapsed="false">
      <c r="A1230" s="6" t="s">
        <v>6446</v>
      </c>
      <c r="B1230" s="6" t="s">
        <v>6866</v>
      </c>
      <c r="C1230" s="6" t="n">
        <v>2</v>
      </c>
      <c r="D1230" s="6" t="n">
        <v>13</v>
      </c>
      <c r="E1230" s="6" t="n">
        <v>1</v>
      </c>
      <c r="F1230" s="6" t="s">
        <v>6443</v>
      </c>
      <c r="G1230" s="28" t="str">
        <f aca="false">IFERROR(INDEX('Semrush Data'!$A$1:$Z$20000,MATCH(A1230,'Semrush Data'!$A$1:$A$20000,0),MATCH("Volume",'Semrush Data'!$A$1:$Z$1,0)),"")</f>
        <v/>
      </c>
      <c r="H1230" s="6" t="str">
        <f aca="false">IFERROR(INDEX('Semrush Data'!$A$1:$Z$20000,MATCH(A1230,'Semrush Data'!$A$1:$A$20000,0),MATCH("Keyword Difficulty*",'Semrush Data'!$A$1:$Z$1,0)),"")</f>
        <v/>
      </c>
      <c r="I1230" s="29" t="str">
        <f aca="false">IFERROR(INDEX('Semrush Data'!$A$1:$Z$20000,MATCH(A1230,'Semrush Data'!$A$1:$A$20000,0),MATCH("CPC*",'Semrush Data'!$A$1:$Z$1,0)),"")</f>
        <v/>
      </c>
      <c r="J1230" s="6" t="str">
        <f aca="false">IFERROR(INDEX('Semrush Data'!$A$1:$Z$20000,MATCH(A1230,'Semrush Data'!$A$1:$A$20000,0),MATCH("Intent",'Semrush Data'!$A$1:$Z$1,0)),"")</f>
        <v/>
      </c>
    </row>
    <row r="1231" customFormat="false" ht="15" hidden="false" customHeight="true" outlineLevel="0" collapsed="false">
      <c r="A1231" s="6" t="s">
        <v>6402</v>
      </c>
      <c r="B1231" s="6" t="s">
        <v>6866</v>
      </c>
      <c r="C1231" s="6" t="n">
        <v>2</v>
      </c>
      <c r="D1231" s="6" t="n">
        <v>13</v>
      </c>
      <c r="E1231" s="6" t="n">
        <v>1</v>
      </c>
      <c r="F1231" s="6" t="s">
        <v>6397</v>
      </c>
      <c r="G1231" s="28" t="str">
        <f aca="false">IFERROR(INDEX('Semrush Data'!$A$1:$Z$20000,MATCH(A1231,'Semrush Data'!$A$1:$A$20000,0),MATCH("Volume",'Semrush Data'!$A$1:$Z$1,0)),"")</f>
        <v/>
      </c>
      <c r="H1231" s="6" t="str">
        <f aca="false">IFERROR(INDEX('Semrush Data'!$A$1:$Z$20000,MATCH(A1231,'Semrush Data'!$A$1:$A$20000,0),MATCH("Keyword Difficulty*",'Semrush Data'!$A$1:$Z$1,0)),"")</f>
        <v/>
      </c>
      <c r="I1231" s="29" t="str">
        <f aca="false">IFERROR(INDEX('Semrush Data'!$A$1:$Z$20000,MATCH(A1231,'Semrush Data'!$A$1:$A$20000,0),MATCH("CPC*",'Semrush Data'!$A$1:$Z$1,0)),"")</f>
        <v/>
      </c>
      <c r="J1231" s="6" t="str">
        <f aca="false">IFERROR(INDEX('Semrush Data'!$A$1:$Z$20000,MATCH(A1231,'Semrush Data'!$A$1:$A$20000,0),MATCH("Intent",'Semrush Data'!$A$1:$Z$1,0)),"")</f>
        <v/>
      </c>
    </row>
    <row r="1232" customFormat="false" ht="15" hidden="false" customHeight="true" outlineLevel="0" collapsed="false">
      <c r="A1232" s="6" t="s">
        <v>6413</v>
      </c>
      <c r="B1232" s="6" t="s">
        <v>6866</v>
      </c>
      <c r="C1232" s="6" t="n">
        <v>2</v>
      </c>
      <c r="D1232" s="6" t="n">
        <v>13</v>
      </c>
      <c r="E1232" s="6" t="n">
        <v>1</v>
      </c>
      <c r="F1232" s="6" t="s">
        <v>6410</v>
      </c>
      <c r="G1232" s="28" t="str">
        <f aca="false">IFERROR(INDEX('Semrush Data'!$A$1:$Z$20000,MATCH(A1232,'Semrush Data'!$A$1:$A$20000,0),MATCH("Volume",'Semrush Data'!$A$1:$Z$1,0)),"")</f>
        <v/>
      </c>
      <c r="H1232" s="6" t="str">
        <f aca="false">IFERROR(INDEX('Semrush Data'!$A$1:$Z$20000,MATCH(A1232,'Semrush Data'!$A$1:$A$20000,0),MATCH("Keyword Difficulty*",'Semrush Data'!$A$1:$Z$1,0)),"")</f>
        <v/>
      </c>
      <c r="I1232" s="29" t="str">
        <f aca="false">IFERROR(INDEX('Semrush Data'!$A$1:$Z$20000,MATCH(A1232,'Semrush Data'!$A$1:$A$20000,0),MATCH("CPC*",'Semrush Data'!$A$1:$Z$1,0)),"")</f>
        <v/>
      </c>
      <c r="J1232" s="6" t="str">
        <f aca="false">IFERROR(INDEX('Semrush Data'!$A$1:$Z$20000,MATCH(A1232,'Semrush Data'!$A$1:$A$20000,0),MATCH("Intent",'Semrush Data'!$A$1:$Z$1,0)),"")</f>
        <v/>
      </c>
    </row>
    <row r="1233" customFormat="false" ht="15" hidden="false" customHeight="true" outlineLevel="0" collapsed="false">
      <c r="A1233" s="6" t="s">
        <v>6456</v>
      </c>
      <c r="B1233" s="6" t="s">
        <v>6866</v>
      </c>
      <c r="C1233" s="6" t="n">
        <v>2</v>
      </c>
      <c r="D1233" s="6" t="n">
        <v>13</v>
      </c>
      <c r="E1233" s="6" t="n">
        <v>1</v>
      </c>
      <c r="F1233" s="6" t="s">
        <v>6453</v>
      </c>
      <c r="G1233" s="28" t="str">
        <f aca="false">IFERROR(INDEX('Semrush Data'!$A$1:$Z$20000,MATCH(A1233,'Semrush Data'!$A$1:$A$20000,0),MATCH("Volume",'Semrush Data'!$A$1:$Z$1,0)),"")</f>
        <v/>
      </c>
      <c r="H1233" s="6" t="str">
        <f aca="false">IFERROR(INDEX('Semrush Data'!$A$1:$Z$20000,MATCH(A1233,'Semrush Data'!$A$1:$A$20000,0),MATCH("Keyword Difficulty*",'Semrush Data'!$A$1:$Z$1,0)),"")</f>
        <v/>
      </c>
      <c r="I1233" s="29" t="str">
        <f aca="false">IFERROR(INDEX('Semrush Data'!$A$1:$Z$20000,MATCH(A1233,'Semrush Data'!$A$1:$A$20000,0),MATCH("CPC*",'Semrush Data'!$A$1:$Z$1,0)),"")</f>
        <v/>
      </c>
      <c r="J1233" s="6" t="str">
        <f aca="false">IFERROR(INDEX('Semrush Data'!$A$1:$Z$20000,MATCH(A1233,'Semrush Data'!$A$1:$A$20000,0),MATCH("Intent",'Semrush Data'!$A$1:$Z$1,0)),"")</f>
        <v/>
      </c>
    </row>
    <row r="1234" customFormat="false" ht="15" hidden="false" customHeight="true" outlineLevel="0" collapsed="false">
      <c r="A1234" s="6" t="s">
        <v>6468</v>
      </c>
      <c r="B1234" s="6" t="s">
        <v>6866</v>
      </c>
      <c r="C1234" s="6" t="n">
        <v>2</v>
      </c>
      <c r="D1234" s="6" t="n">
        <v>13</v>
      </c>
      <c r="E1234" s="6" t="n">
        <v>1</v>
      </c>
      <c r="F1234" s="6" t="s">
        <v>6464</v>
      </c>
      <c r="G1234" s="28" t="str">
        <f aca="false">IFERROR(INDEX('Semrush Data'!$A$1:$Z$20000,MATCH(A1234,'Semrush Data'!$A$1:$A$20000,0),MATCH("Volume",'Semrush Data'!$A$1:$Z$1,0)),"")</f>
        <v/>
      </c>
      <c r="H1234" s="6" t="str">
        <f aca="false">IFERROR(INDEX('Semrush Data'!$A$1:$Z$20000,MATCH(A1234,'Semrush Data'!$A$1:$A$20000,0),MATCH("Keyword Difficulty*",'Semrush Data'!$A$1:$Z$1,0)),"")</f>
        <v/>
      </c>
      <c r="I1234" s="29" t="str">
        <f aca="false">IFERROR(INDEX('Semrush Data'!$A$1:$Z$20000,MATCH(A1234,'Semrush Data'!$A$1:$A$20000,0),MATCH("CPC*",'Semrush Data'!$A$1:$Z$1,0)),"")</f>
        <v/>
      </c>
      <c r="J1234" s="6" t="str">
        <f aca="false">IFERROR(INDEX('Semrush Data'!$A$1:$Z$20000,MATCH(A1234,'Semrush Data'!$A$1:$A$20000,0),MATCH("Intent",'Semrush Data'!$A$1:$Z$1,0)),"")</f>
        <v/>
      </c>
    </row>
    <row r="1235" customFormat="false" ht="15" hidden="false" customHeight="true" outlineLevel="0" collapsed="false">
      <c r="A1235" s="6" t="s">
        <v>1574</v>
      </c>
      <c r="B1235" s="6" t="s">
        <v>6866</v>
      </c>
      <c r="C1235" s="6" t="n">
        <v>2</v>
      </c>
      <c r="D1235" s="6" t="n">
        <v>13</v>
      </c>
      <c r="E1235" s="6" t="n">
        <v>1</v>
      </c>
      <c r="F1235" s="6" t="s">
        <v>534</v>
      </c>
      <c r="G1235" s="28" t="str">
        <f aca="false">IFERROR(INDEX('Semrush Data'!$A$1:$Z$20000,MATCH(A1235,'Semrush Data'!$A$1:$A$20000,0),MATCH("Volume",'Semrush Data'!$A$1:$Z$1,0)),"")</f>
        <v/>
      </c>
      <c r="H1235" s="6" t="str">
        <f aca="false">IFERROR(INDEX('Semrush Data'!$A$1:$Z$20000,MATCH(A1235,'Semrush Data'!$A$1:$A$20000,0),MATCH("Keyword Difficulty*",'Semrush Data'!$A$1:$Z$1,0)),"")</f>
        <v/>
      </c>
      <c r="I1235" s="29" t="str">
        <f aca="false">IFERROR(INDEX('Semrush Data'!$A$1:$Z$20000,MATCH(A1235,'Semrush Data'!$A$1:$A$20000,0),MATCH("CPC*",'Semrush Data'!$A$1:$Z$1,0)),"")</f>
        <v/>
      </c>
      <c r="J1235" s="6" t="str">
        <f aca="false">IFERROR(INDEX('Semrush Data'!$A$1:$Z$20000,MATCH(A1235,'Semrush Data'!$A$1:$A$20000,0),MATCH("Intent",'Semrush Data'!$A$1:$Z$1,0)),"")</f>
        <v/>
      </c>
    </row>
    <row r="1236" customFormat="false" ht="15" hidden="false" customHeight="true" outlineLevel="0" collapsed="false">
      <c r="A1236" s="6" t="s">
        <v>1810</v>
      </c>
      <c r="B1236" s="6" t="s">
        <v>6866</v>
      </c>
      <c r="C1236" s="6" t="n">
        <v>2</v>
      </c>
      <c r="D1236" s="6" t="n">
        <v>13</v>
      </c>
      <c r="E1236" s="6" t="n">
        <v>1</v>
      </c>
      <c r="F1236" s="6" t="s">
        <v>784</v>
      </c>
      <c r="G1236" s="28" t="str">
        <f aca="false">IFERROR(INDEX('Semrush Data'!$A$1:$Z$20000,MATCH(A1236,'Semrush Data'!$A$1:$A$20000,0),MATCH("Volume",'Semrush Data'!$A$1:$Z$1,0)),"")</f>
        <v/>
      </c>
      <c r="H1236" s="6" t="str">
        <f aca="false">IFERROR(INDEX('Semrush Data'!$A$1:$Z$20000,MATCH(A1236,'Semrush Data'!$A$1:$A$20000,0),MATCH("Keyword Difficulty*",'Semrush Data'!$A$1:$Z$1,0)),"")</f>
        <v/>
      </c>
      <c r="I1236" s="29" t="str">
        <f aca="false">IFERROR(INDEX('Semrush Data'!$A$1:$Z$20000,MATCH(A1236,'Semrush Data'!$A$1:$A$20000,0),MATCH("CPC*",'Semrush Data'!$A$1:$Z$1,0)),"")</f>
        <v/>
      </c>
      <c r="J1236" s="6" t="str">
        <f aca="false">IFERROR(INDEX('Semrush Data'!$A$1:$Z$20000,MATCH(A1236,'Semrush Data'!$A$1:$A$20000,0),MATCH("Intent",'Semrush Data'!$A$1:$Z$1,0)),"")</f>
        <v/>
      </c>
    </row>
    <row r="1237" customFormat="false" ht="15" hidden="false" customHeight="true" outlineLevel="0" collapsed="false">
      <c r="A1237" s="6" t="s">
        <v>1798</v>
      </c>
      <c r="B1237" s="6" t="s">
        <v>6866</v>
      </c>
      <c r="C1237" s="6" t="n">
        <v>2</v>
      </c>
      <c r="D1237" s="6" t="n">
        <v>13</v>
      </c>
      <c r="E1237" s="6" t="n">
        <v>1</v>
      </c>
      <c r="F1237" s="6" t="s">
        <v>774</v>
      </c>
      <c r="G1237" s="28" t="str">
        <f aca="false">IFERROR(INDEX('Semrush Data'!$A$1:$Z$20000,MATCH(A1237,'Semrush Data'!$A$1:$A$20000,0),MATCH("Volume",'Semrush Data'!$A$1:$Z$1,0)),"")</f>
        <v/>
      </c>
      <c r="H1237" s="6" t="str">
        <f aca="false">IFERROR(INDEX('Semrush Data'!$A$1:$Z$20000,MATCH(A1237,'Semrush Data'!$A$1:$A$20000,0),MATCH("Keyword Difficulty*",'Semrush Data'!$A$1:$Z$1,0)),"")</f>
        <v/>
      </c>
      <c r="I1237" s="29" t="str">
        <f aca="false">IFERROR(INDEX('Semrush Data'!$A$1:$Z$20000,MATCH(A1237,'Semrush Data'!$A$1:$A$20000,0),MATCH("CPC*",'Semrush Data'!$A$1:$Z$1,0)),"")</f>
        <v/>
      </c>
      <c r="J1237" s="6" t="str">
        <f aca="false">IFERROR(INDEX('Semrush Data'!$A$1:$Z$20000,MATCH(A1237,'Semrush Data'!$A$1:$A$20000,0),MATCH("Intent",'Semrush Data'!$A$1:$Z$1,0)),"")</f>
        <v/>
      </c>
    </row>
    <row r="1238" customFormat="false" ht="15" hidden="false" customHeight="true" outlineLevel="0" collapsed="false">
      <c r="A1238" s="6" t="s">
        <v>1906</v>
      </c>
      <c r="B1238" s="6" t="s">
        <v>6866</v>
      </c>
      <c r="C1238" s="6" t="n">
        <v>2</v>
      </c>
      <c r="D1238" s="6" t="n">
        <v>13</v>
      </c>
      <c r="E1238" s="6" t="n">
        <v>1</v>
      </c>
      <c r="F1238" s="6" t="s">
        <v>873</v>
      </c>
      <c r="G1238" s="28" t="str">
        <f aca="false">IFERROR(INDEX('Semrush Data'!$A$1:$Z$20000,MATCH(A1238,'Semrush Data'!$A$1:$A$20000,0),MATCH("Volume",'Semrush Data'!$A$1:$Z$1,0)),"")</f>
        <v/>
      </c>
      <c r="H1238" s="6" t="str">
        <f aca="false">IFERROR(INDEX('Semrush Data'!$A$1:$Z$20000,MATCH(A1238,'Semrush Data'!$A$1:$A$20000,0),MATCH("Keyword Difficulty*",'Semrush Data'!$A$1:$Z$1,0)),"")</f>
        <v/>
      </c>
      <c r="I1238" s="29" t="str">
        <f aca="false">IFERROR(INDEX('Semrush Data'!$A$1:$Z$20000,MATCH(A1238,'Semrush Data'!$A$1:$A$20000,0),MATCH("CPC*",'Semrush Data'!$A$1:$Z$1,0)),"")</f>
        <v/>
      </c>
      <c r="J1238" s="6" t="str">
        <f aca="false">IFERROR(INDEX('Semrush Data'!$A$1:$Z$20000,MATCH(A1238,'Semrush Data'!$A$1:$A$20000,0),MATCH("Intent",'Semrush Data'!$A$1:$Z$1,0)),"")</f>
        <v/>
      </c>
    </row>
    <row r="1239" customFormat="false" ht="15" hidden="false" customHeight="true" outlineLevel="0" collapsed="false">
      <c r="A1239" s="6" t="s">
        <v>1581</v>
      </c>
      <c r="B1239" s="6" t="s">
        <v>6866</v>
      </c>
      <c r="C1239" s="6" t="n">
        <v>2</v>
      </c>
      <c r="D1239" s="6" t="n">
        <v>13</v>
      </c>
      <c r="E1239" s="6" t="n">
        <v>1</v>
      </c>
      <c r="F1239" s="6" t="s">
        <v>541</v>
      </c>
      <c r="G1239" s="28" t="str">
        <f aca="false">IFERROR(INDEX('Semrush Data'!$A$1:$Z$20000,MATCH(A1239,'Semrush Data'!$A$1:$A$20000,0),MATCH("Volume",'Semrush Data'!$A$1:$Z$1,0)),"")</f>
        <v/>
      </c>
      <c r="H1239" s="6" t="str">
        <f aca="false">IFERROR(INDEX('Semrush Data'!$A$1:$Z$20000,MATCH(A1239,'Semrush Data'!$A$1:$A$20000,0),MATCH("Keyword Difficulty*",'Semrush Data'!$A$1:$Z$1,0)),"")</f>
        <v/>
      </c>
      <c r="I1239" s="29" t="str">
        <f aca="false">IFERROR(INDEX('Semrush Data'!$A$1:$Z$20000,MATCH(A1239,'Semrush Data'!$A$1:$A$20000,0),MATCH("CPC*",'Semrush Data'!$A$1:$Z$1,0)),"")</f>
        <v/>
      </c>
      <c r="J1239" s="6" t="str">
        <f aca="false">IFERROR(INDEX('Semrush Data'!$A$1:$Z$20000,MATCH(A1239,'Semrush Data'!$A$1:$A$20000,0),MATCH("Intent",'Semrush Data'!$A$1:$Z$1,0)),"")</f>
        <v/>
      </c>
    </row>
    <row r="1240" customFormat="false" ht="15" hidden="false" customHeight="true" outlineLevel="0" collapsed="false">
      <c r="A1240" s="6" t="s">
        <v>1589</v>
      </c>
      <c r="B1240" s="6" t="s">
        <v>6866</v>
      </c>
      <c r="C1240" s="6" t="n">
        <v>2</v>
      </c>
      <c r="D1240" s="6" t="n">
        <v>13</v>
      </c>
      <c r="E1240" s="6" t="n">
        <v>1</v>
      </c>
      <c r="F1240" s="6" t="s">
        <v>549</v>
      </c>
      <c r="G1240" s="28" t="str">
        <f aca="false">IFERROR(INDEX('Semrush Data'!$A$1:$Z$20000,MATCH(A1240,'Semrush Data'!$A$1:$A$20000,0),MATCH("Volume",'Semrush Data'!$A$1:$Z$1,0)),"")</f>
        <v/>
      </c>
      <c r="H1240" s="6" t="str">
        <f aca="false">IFERROR(INDEX('Semrush Data'!$A$1:$Z$20000,MATCH(A1240,'Semrush Data'!$A$1:$A$20000,0),MATCH("Keyword Difficulty*",'Semrush Data'!$A$1:$Z$1,0)),"")</f>
        <v/>
      </c>
      <c r="I1240" s="29" t="str">
        <f aca="false">IFERROR(INDEX('Semrush Data'!$A$1:$Z$20000,MATCH(A1240,'Semrush Data'!$A$1:$A$20000,0),MATCH("CPC*",'Semrush Data'!$A$1:$Z$1,0)),"")</f>
        <v/>
      </c>
      <c r="J1240" s="6" t="str">
        <f aca="false">IFERROR(INDEX('Semrush Data'!$A$1:$Z$20000,MATCH(A1240,'Semrush Data'!$A$1:$A$20000,0),MATCH("Intent",'Semrush Data'!$A$1:$Z$1,0)),"")</f>
        <v/>
      </c>
    </row>
    <row r="1241" customFormat="false" ht="15" hidden="false" customHeight="true" outlineLevel="0" collapsed="false">
      <c r="A1241" s="6" t="s">
        <v>1768</v>
      </c>
      <c r="B1241" s="6" t="s">
        <v>6866</v>
      </c>
      <c r="C1241" s="6" t="n">
        <v>2</v>
      </c>
      <c r="D1241" s="6" t="n">
        <v>13</v>
      </c>
      <c r="E1241" s="6" t="n">
        <v>1</v>
      </c>
      <c r="F1241" s="6" t="s">
        <v>747</v>
      </c>
      <c r="G1241" s="28" t="str">
        <f aca="false">IFERROR(INDEX('Semrush Data'!$A$1:$Z$20000,MATCH(A1241,'Semrush Data'!$A$1:$A$20000,0),MATCH("Volume",'Semrush Data'!$A$1:$Z$1,0)),"")</f>
        <v/>
      </c>
      <c r="H1241" s="6" t="str">
        <f aca="false">IFERROR(INDEX('Semrush Data'!$A$1:$Z$20000,MATCH(A1241,'Semrush Data'!$A$1:$A$20000,0),MATCH("Keyword Difficulty*",'Semrush Data'!$A$1:$Z$1,0)),"")</f>
        <v/>
      </c>
      <c r="I1241" s="29" t="str">
        <f aca="false">IFERROR(INDEX('Semrush Data'!$A$1:$Z$20000,MATCH(A1241,'Semrush Data'!$A$1:$A$20000,0),MATCH("CPC*",'Semrush Data'!$A$1:$Z$1,0)),"")</f>
        <v/>
      </c>
      <c r="J1241" s="6" t="str">
        <f aca="false">IFERROR(INDEX('Semrush Data'!$A$1:$Z$20000,MATCH(A1241,'Semrush Data'!$A$1:$A$20000,0),MATCH("Intent",'Semrush Data'!$A$1:$Z$1,0)),"")</f>
        <v/>
      </c>
    </row>
    <row r="1242" customFormat="false" ht="15" hidden="false" customHeight="true" outlineLevel="0" collapsed="false">
      <c r="A1242" s="6" t="s">
        <v>1774</v>
      </c>
      <c r="B1242" s="6" t="s">
        <v>6866</v>
      </c>
      <c r="C1242" s="6" t="n">
        <v>2</v>
      </c>
      <c r="D1242" s="6" t="n">
        <v>13</v>
      </c>
      <c r="E1242" s="6" t="n">
        <v>2</v>
      </c>
      <c r="F1242" s="6" t="s">
        <v>6863</v>
      </c>
      <c r="G1242" s="28" t="str">
        <f aca="false">IFERROR(INDEX('Semrush Data'!$A$1:$Z$20000,MATCH(A1242,'Semrush Data'!$A$1:$A$20000,0),MATCH("Volume",'Semrush Data'!$A$1:$Z$1,0)),"")</f>
        <v/>
      </c>
      <c r="H1242" s="6" t="str">
        <f aca="false">IFERROR(INDEX('Semrush Data'!$A$1:$Z$20000,MATCH(A1242,'Semrush Data'!$A$1:$A$20000,0),MATCH("Keyword Difficulty*",'Semrush Data'!$A$1:$Z$1,0)),"")</f>
        <v/>
      </c>
      <c r="I1242" s="29" t="str">
        <f aca="false">IFERROR(INDEX('Semrush Data'!$A$1:$Z$20000,MATCH(A1242,'Semrush Data'!$A$1:$A$20000,0),MATCH("CPC*",'Semrush Data'!$A$1:$Z$1,0)),"")</f>
        <v/>
      </c>
      <c r="J1242" s="6" t="str">
        <f aca="false">IFERROR(INDEX('Semrush Data'!$A$1:$Z$20000,MATCH(A1242,'Semrush Data'!$A$1:$A$20000,0),MATCH("Intent",'Semrush Data'!$A$1:$Z$1,0)),"")</f>
        <v/>
      </c>
    </row>
    <row r="1243" customFormat="false" ht="15" hidden="false" customHeight="true" outlineLevel="0" collapsed="false">
      <c r="A1243" s="6" t="s">
        <v>1876</v>
      </c>
      <c r="B1243" s="6" t="s">
        <v>6866</v>
      </c>
      <c r="C1243" s="6" t="n">
        <v>2</v>
      </c>
      <c r="D1243" s="6" t="n">
        <v>13</v>
      </c>
      <c r="E1243" s="6" t="n">
        <v>1</v>
      </c>
      <c r="F1243" s="6" t="s">
        <v>846</v>
      </c>
      <c r="G1243" s="28" t="str">
        <f aca="false">IFERROR(INDEX('Semrush Data'!$A$1:$Z$20000,MATCH(A1243,'Semrush Data'!$A$1:$A$20000,0),MATCH("Volume",'Semrush Data'!$A$1:$Z$1,0)),"")</f>
        <v/>
      </c>
      <c r="H1243" s="6" t="str">
        <f aca="false">IFERROR(INDEX('Semrush Data'!$A$1:$Z$20000,MATCH(A1243,'Semrush Data'!$A$1:$A$20000,0),MATCH("Keyword Difficulty*",'Semrush Data'!$A$1:$Z$1,0)),"")</f>
        <v/>
      </c>
      <c r="I1243" s="29" t="str">
        <f aca="false">IFERROR(INDEX('Semrush Data'!$A$1:$Z$20000,MATCH(A1243,'Semrush Data'!$A$1:$A$20000,0),MATCH("CPC*",'Semrush Data'!$A$1:$Z$1,0)),"")</f>
        <v/>
      </c>
      <c r="J1243" s="6" t="str">
        <f aca="false">IFERROR(INDEX('Semrush Data'!$A$1:$Z$20000,MATCH(A1243,'Semrush Data'!$A$1:$A$20000,0),MATCH("Intent",'Semrush Data'!$A$1:$Z$1,0)),"")</f>
        <v/>
      </c>
    </row>
    <row r="1244" customFormat="false" ht="15" hidden="false" customHeight="true" outlineLevel="0" collapsed="false">
      <c r="A1244" s="6" t="s">
        <v>1804</v>
      </c>
      <c r="B1244" s="6" t="s">
        <v>6866</v>
      </c>
      <c r="C1244" s="6" t="n">
        <v>2</v>
      </c>
      <c r="D1244" s="6" t="n">
        <v>13</v>
      </c>
      <c r="E1244" s="6" t="n">
        <v>1</v>
      </c>
      <c r="F1244" s="6" t="s">
        <v>779</v>
      </c>
      <c r="G1244" s="28" t="str">
        <f aca="false">IFERROR(INDEX('Semrush Data'!$A$1:$Z$20000,MATCH(A1244,'Semrush Data'!$A$1:$A$20000,0),MATCH("Volume",'Semrush Data'!$A$1:$Z$1,0)),"")</f>
        <v/>
      </c>
      <c r="H1244" s="6" t="str">
        <f aca="false">IFERROR(INDEX('Semrush Data'!$A$1:$Z$20000,MATCH(A1244,'Semrush Data'!$A$1:$A$20000,0),MATCH("Keyword Difficulty*",'Semrush Data'!$A$1:$Z$1,0)),"")</f>
        <v/>
      </c>
      <c r="I1244" s="29" t="str">
        <f aca="false">IFERROR(INDEX('Semrush Data'!$A$1:$Z$20000,MATCH(A1244,'Semrush Data'!$A$1:$A$20000,0),MATCH("CPC*",'Semrush Data'!$A$1:$Z$1,0)),"")</f>
        <v/>
      </c>
      <c r="J1244" s="6" t="str">
        <f aca="false">IFERROR(INDEX('Semrush Data'!$A$1:$Z$20000,MATCH(A1244,'Semrush Data'!$A$1:$A$20000,0),MATCH("Intent",'Semrush Data'!$A$1:$Z$1,0)),"")</f>
        <v/>
      </c>
    </row>
    <row r="1245" customFormat="false" ht="15" hidden="false" customHeight="true" outlineLevel="0" collapsed="false">
      <c r="A1245" s="6" t="s">
        <v>1597</v>
      </c>
      <c r="B1245" s="6" t="s">
        <v>6866</v>
      </c>
      <c r="C1245" s="6" t="n">
        <v>2</v>
      </c>
      <c r="D1245" s="6" t="n">
        <v>13</v>
      </c>
      <c r="E1245" s="6" t="n">
        <v>1</v>
      </c>
      <c r="F1245" s="6" t="s">
        <v>559</v>
      </c>
      <c r="G1245" s="28" t="str">
        <f aca="false">IFERROR(INDEX('Semrush Data'!$A$1:$Z$20000,MATCH(A1245,'Semrush Data'!$A$1:$A$20000,0),MATCH("Volume",'Semrush Data'!$A$1:$Z$1,0)),"")</f>
        <v/>
      </c>
      <c r="H1245" s="6" t="str">
        <f aca="false">IFERROR(INDEX('Semrush Data'!$A$1:$Z$20000,MATCH(A1245,'Semrush Data'!$A$1:$A$20000,0),MATCH("Keyword Difficulty*",'Semrush Data'!$A$1:$Z$1,0)),"")</f>
        <v/>
      </c>
      <c r="I1245" s="29" t="str">
        <f aca="false">IFERROR(INDEX('Semrush Data'!$A$1:$Z$20000,MATCH(A1245,'Semrush Data'!$A$1:$A$20000,0),MATCH("CPC*",'Semrush Data'!$A$1:$Z$1,0)),"")</f>
        <v/>
      </c>
      <c r="J1245" s="6" t="str">
        <f aca="false">IFERROR(INDEX('Semrush Data'!$A$1:$Z$20000,MATCH(A1245,'Semrush Data'!$A$1:$A$20000,0),MATCH("Intent",'Semrush Data'!$A$1:$Z$1,0)),"")</f>
        <v/>
      </c>
    </row>
    <row r="1246" customFormat="false" ht="15" hidden="false" customHeight="true" outlineLevel="0" collapsed="false">
      <c r="A1246" s="6" t="s">
        <v>1912</v>
      </c>
      <c r="B1246" s="6" t="s">
        <v>6866</v>
      </c>
      <c r="C1246" s="6" t="n">
        <v>2</v>
      </c>
      <c r="D1246" s="6" t="n">
        <v>13</v>
      </c>
      <c r="E1246" s="6" t="n">
        <v>1</v>
      </c>
      <c r="F1246" s="6" t="s">
        <v>878</v>
      </c>
      <c r="G1246" s="28" t="str">
        <f aca="false">IFERROR(INDEX('Semrush Data'!$A$1:$Z$20000,MATCH(A1246,'Semrush Data'!$A$1:$A$20000,0),MATCH("Volume",'Semrush Data'!$A$1:$Z$1,0)),"")</f>
        <v/>
      </c>
      <c r="H1246" s="6" t="str">
        <f aca="false">IFERROR(INDEX('Semrush Data'!$A$1:$Z$20000,MATCH(A1246,'Semrush Data'!$A$1:$A$20000,0),MATCH("Keyword Difficulty*",'Semrush Data'!$A$1:$Z$1,0)),"")</f>
        <v/>
      </c>
      <c r="I1246" s="29" t="str">
        <f aca="false">IFERROR(INDEX('Semrush Data'!$A$1:$Z$20000,MATCH(A1246,'Semrush Data'!$A$1:$A$20000,0),MATCH("CPC*",'Semrush Data'!$A$1:$Z$1,0)),"")</f>
        <v/>
      </c>
      <c r="J1246" s="6" t="str">
        <f aca="false">IFERROR(INDEX('Semrush Data'!$A$1:$Z$20000,MATCH(A1246,'Semrush Data'!$A$1:$A$20000,0),MATCH("Intent",'Semrush Data'!$A$1:$Z$1,0)),"")</f>
        <v/>
      </c>
    </row>
    <row r="1247" customFormat="false" ht="15" hidden="false" customHeight="true" outlineLevel="0" collapsed="false">
      <c r="A1247" s="6" t="s">
        <v>1846</v>
      </c>
      <c r="B1247" s="6" t="s">
        <v>6866</v>
      </c>
      <c r="C1247" s="6" t="n">
        <v>2</v>
      </c>
      <c r="D1247" s="6" t="n">
        <v>13</v>
      </c>
      <c r="E1247" s="6" t="n">
        <v>1</v>
      </c>
      <c r="F1247" s="6" t="s">
        <v>818</v>
      </c>
      <c r="G1247" s="28" t="str">
        <f aca="false">IFERROR(INDEX('Semrush Data'!$A$1:$Z$20000,MATCH(A1247,'Semrush Data'!$A$1:$A$20000,0),MATCH("Volume",'Semrush Data'!$A$1:$Z$1,0)),"")</f>
        <v/>
      </c>
      <c r="H1247" s="6" t="str">
        <f aca="false">IFERROR(INDEX('Semrush Data'!$A$1:$Z$20000,MATCH(A1247,'Semrush Data'!$A$1:$A$20000,0),MATCH("Keyword Difficulty*",'Semrush Data'!$A$1:$Z$1,0)),"")</f>
        <v/>
      </c>
      <c r="I1247" s="29" t="str">
        <f aca="false">IFERROR(INDEX('Semrush Data'!$A$1:$Z$20000,MATCH(A1247,'Semrush Data'!$A$1:$A$20000,0),MATCH("CPC*",'Semrush Data'!$A$1:$Z$1,0)),"")</f>
        <v/>
      </c>
      <c r="J1247" s="6" t="str">
        <f aca="false">IFERROR(INDEX('Semrush Data'!$A$1:$Z$20000,MATCH(A1247,'Semrush Data'!$A$1:$A$20000,0),MATCH("Intent",'Semrush Data'!$A$1:$Z$1,0)),"")</f>
        <v/>
      </c>
    </row>
    <row r="1248" customFormat="false" ht="15" hidden="false" customHeight="true" outlineLevel="0" collapsed="false">
      <c r="A1248" s="6" t="s">
        <v>1604</v>
      </c>
      <c r="B1248" s="6" t="s">
        <v>6866</v>
      </c>
      <c r="C1248" s="6" t="n">
        <v>2</v>
      </c>
      <c r="D1248" s="6" t="n">
        <v>13</v>
      </c>
      <c r="E1248" s="6" t="n">
        <v>1</v>
      </c>
      <c r="F1248" s="6" t="s">
        <v>569</v>
      </c>
      <c r="G1248" s="28" t="str">
        <f aca="false">IFERROR(INDEX('Semrush Data'!$A$1:$Z$20000,MATCH(A1248,'Semrush Data'!$A$1:$A$20000,0),MATCH("Volume",'Semrush Data'!$A$1:$Z$1,0)),"")</f>
        <v/>
      </c>
      <c r="H1248" s="6" t="str">
        <f aca="false">IFERROR(INDEX('Semrush Data'!$A$1:$Z$20000,MATCH(A1248,'Semrush Data'!$A$1:$A$20000,0),MATCH("Keyword Difficulty*",'Semrush Data'!$A$1:$Z$1,0)),"")</f>
        <v/>
      </c>
      <c r="I1248" s="29" t="str">
        <f aca="false">IFERROR(INDEX('Semrush Data'!$A$1:$Z$20000,MATCH(A1248,'Semrush Data'!$A$1:$A$20000,0),MATCH("CPC*",'Semrush Data'!$A$1:$Z$1,0)),"")</f>
        <v/>
      </c>
      <c r="J1248" s="6" t="str">
        <f aca="false">IFERROR(INDEX('Semrush Data'!$A$1:$Z$20000,MATCH(A1248,'Semrush Data'!$A$1:$A$20000,0),MATCH("Intent",'Semrush Data'!$A$1:$Z$1,0)),"")</f>
        <v/>
      </c>
    </row>
    <row r="1249" customFormat="false" ht="15" hidden="false" customHeight="true" outlineLevel="0" collapsed="false">
      <c r="A1249" s="6" t="s">
        <v>1513</v>
      </c>
      <c r="B1249" s="6" t="s">
        <v>6866</v>
      </c>
      <c r="C1249" s="6" t="n">
        <v>2</v>
      </c>
      <c r="D1249" s="6" t="n">
        <v>13</v>
      </c>
      <c r="E1249" s="6" t="n">
        <v>1</v>
      </c>
      <c r="F1249" s="6" t="s">
        <v>464</v>
      </c>
      <c r="G1249" s="28" t="str">
        <f aca="false">IFERROR(INDEX('Semrush Data'!$A$1:$Z$20000,MATCH(A1249,'Semrush Data'!$A$1:$A$20000,0),MATCH("Volume",'Semrush Data'!$A$1:$Z$1,0)),"")</f>
        <v/>
      </c>
      <c r="H1249" s="6" t="str">
        <f aca="false">IFERROR(INDEX('Semrush Data'!$A$1:$Z$20000,MATCH(A1249,'Semrush Data'!$A$1:$A$20000,0),MATCH("Keyword Difficulty*",'Semrush Data'!$A$1:$Z$1,0)),"")</f>
        <v/>
      </c>
      <c r="I1249" s="29" t="str">
        <f aca="false">IFERROR(INDEX('Semrush Data'!$A$1:$Z$20000,MATCH(A1249,'Semrush Data'!$A$1:$A$20000,0),MATCH("CPC*",'Semrush Data'!$A$1:$Z$1,0)),"")</f>
        <v/>
      </c>
      <c r="J1249" s="6" t="str">
        <f aca="false">IFERROR(INDEX('Semrush Data'!$A$1:$Z$20000,MATCH(A1249,'Semrush Data'!$A$1:$A$20000,0),MATCH("Intent",'Semrush Data'!$A$1:$Z$1,0)),"")</f>
        <v/>
      </c>
    </row>
    <row r="1250" customFormat="false" ht="15" hidden="false" customHeight="true" outlineLevel="0" collapsed="false">
      <c r="A1250" s="6" t="s">
        <v>1454</v>
      </c>
      <c r="B1250" s="6" t="s">
        <v>6866</v>
      </c>
      <c r="C1250" s="6" t="n">
        <v>2</v>
      </c>
      <c r="D1250" s="6" t="n">
        <v>13</v>
      </c>
      <c r="E1250" s="6" t="n">
        <v>1</v>
      </c>
      <c r="F1250" s="6" t="s">
        <v>394</v>
      </c>
      <c r="G1250" s="28" t="str">
        <f aca="false">IFERROR(INDEX('Semrush Data'!$A$1:$Z$20000,MATCH(A1250,'Semrush Data'!$A$1:$A$20000,0),MATCH("Volume",'Semrush Data'!$A$1:$Z$1,0)),"")</f>
        <v/>
      </c>
      <c r="H1250" s="6" t="str">
        <f aca="false">IFERROR(INDEX('Semrush Data'!$A$1:$Z$20000,MATCH(A1250,'Semrush Data'!$A$1:$A$20000,0),MATCH("Keyword Difficulty*",'Semrush Data'!$A$1:$Z$1,0)),"")</f>
        <v/>
      </c>
      <c r="I1250" s="29" t="str">
        <f aca="false">IFERROR(INDEX('Semrush Data'!$A$1:$Z$20000,MATCH(A1250,'Semrush Data'!$A$1:$A$20000,0),MATCH("CPC*",'Semrush Data'!$A$1:$Z$1,0)),"")</f>
        <v/>
      </c>
      <c r="J1250" s="6" t="str">
        <f aca="false">IFERROR(INDEX('Semrush Data'!$A$1:$Z$20000,MATCH(A1250,'Semrush Data'!$A$1:$A$20000,0),MATCH("Intent",'Semrush Data'!$A$1:$Z$1,0)),"")</f>
        <v/>
      </c>
    </row>
    <row r="1251" customFormat="false" ht="15" hidden="false" customHeight="true" outlineLevel="0" collapsed="false">
      <c r="A1251" s="6" t="s">
        <v>1492</v>
      </c>
      <c r="B1251" s="6" t="s">
        <v>6866</v>
      </c>
      <c r="C1251" s="6" t="n">
        <v>2</v>
      </c>
      <c r="D1251" s="6" t="n">
        <v>13</v>
      </c>
      <c r="E1251" s="6" t="n">
        <v>1</v>
      </c>
      <c r="F1251" s="6" t="s">
        <v>441</v>
      </c>
      <c r="G1251" s="28" t="str">
        <f aca="false">IFERROR(INDEX('Semrush Data'!$A$1:$Z$20000,MATCH(A1251,'Semrush Data'!$A$1:$A$20000,0),MATCH("Volume",'Semrush Data'!$A$1:$Z$1,0)),"")</f>
        <v/>
      </c>
      <c r="H1251" s="6" t="str">
        <f aca="false">IFERROR(INDEX('Semrush Data'!$A$1:$Z$20000,MATCH(A1251,'Semrush Data'!$A$1:$A$20000,0),MATCH("Keyword Difficulty*",'Semrush Data'!$A$1:$Z$1,0)),"")</f>
        <v/>
      </c>
      <c r="I1251" s="29" t="str">
        <f aca="false">IFERROR(INDEX('Semrush Data'!$A$1:$Z$20000,MATCH(A1251,'Semrush Data'!$A$1:$A$20000,0),MATCH("CPC*",'Semrush Data'!$A$1:$Z$1,0)),"")</f>
        <v/>
      </c>
      <c r="J1251" s="6" t="str">
        <f aca="false">IFERROR(INDEX('Semrush Data'!$A$1:$Z$20000,MATCH(A1251,'Semrush Data'!$A$1:$A$20000,0),MATCH("Intent",'Semrush Data'!$A$1:$Z$1,0)),"")</f>
        <v/>
      </c>
    </row>
    <row r="1252" customFormat="false" ht="15" hidden="false" customHeight="true" outlineLevel="0" collapsed="false">
      <c r="A1252" s="6" t="s">
        <v>1611</v>
      </c>
      <c r="B1252" s="6" t="s">
        <v>6866</v>
      </c>
      <c r="C1252" s="6" t="n">
        <v>2</v>
      </c>
      <c r="D1252" s="6" t="n">
        <v>13</v>
      </c>
      <c r="E1252" s="6" t="n">
        <v>1</v>
      </c>
      <c r="F1252" s="6" t="s">
        <v>577</v>
      </c>
      <c r="G1252" s="28" t="str">
        <f aca="false">IFERROR(INDEX('Semrush Data'!$A$1:$Z$20000,MATCH(A1252,'Semrush Data'!$A$1:$A$20000,0),MATCH("Volume",'Semrush Data'!$A$1:$Z$1,0)),"")</f>
        <v/>
      </c>
      <c r="H1252" s="6" t="str">
        <f aca="false">IFERROR(INDEX('Semrush Data'!$A$1:$Z$20000,MATCH(A1252,'Semrush Data'!$A$1:$A$20000,0),MATCH("Keyword Difficulty*",'Semrush Data'!$A$1:$Z$1,0)),"")</f>
        <v/>
      </c>
      <c r="I1252" s="29" t="str">
        <f aca="false">IFERROR(INDEX('Semrush Data'!$A$1:$Z$20000,MATCH(A1252,'Semrush Data'!$A$1:$A$20000,0),MATCH("CPC*",'Semrush Data'!$A$1:$Z$1,0)),"")</f>
        <v/>
      </c>
      <c r="J1252" s="6" t="str">
        <f aca="false">IFERROR(INDEX('Semrush Data'!$A$1:$Z$20000,MATCH(A1252,'Semrush Data'!$A$1:$A$20000,0),MATCH("Intent",'Semrush Data'!$A$1:$Z$1,0)),"")</f>
        <v/>
      </c>
    </row>
    <row r="1253" customFormat="false" ht="15" hidden="false" customHeight="true" outlineLevel="0" collapsed="false">
      <c r="A1253" s="6" t="s">
        <v>1617</v>
      </c>
      <c r="B1253" s="6" t="s">
        <v>6866</v>
      </c>
      <c r="C1253" s="6" t="n">
        <v>2</v>
      </c>
      <c r="D1253" s="6" t="n">
        <v>13</v>
      </c>
      <c r="E1253" s="6" t="n">
        <v>1</v>
      </c>
      <c r="F1253" s="6" t="s">
        <v>583</v>
      </c>
      <c r="G1253" s="28" t="str">
        <f aca="false">IFERROR(INDEX('Semrush Data'!$A$1:$Z$20000,MATCH(A1253,'Semrush Data'!$A$1:$A$20000,0),MATCH("Volume",'Semrush Data'!$A$1:$Z$1,0)),"")</f>
        <v/>
      </c>
      <c r="H1253" s="6" t="str">
        <f aca="false">IFERROR(INDEX('Semrush Data'!$A$1:$Z$20000,MATCH(A1253,'Semrush Data'!$A$1:$A$20000,0),MATCH("Keyword Difficulty*",'Semrush Data'!$A$1:$Z$1,0)),"")</f>
        <v/>
      </c>
      <c r="I1253" s="29" t="str">
        <f aca="false">IFERROR(INDEX('Semrush Data'!$A$1:$Z$20000,MATCH(A1253,'Semrush Data'!$A$1:$A$20000,0),MATCH("CPC*",'Semrush Data'!$A$1:$Z$1,0)),"")</f>
        <v/>
      </c>
      <c r="J1253" s="6" t="str">
        <f aca="false">IFERROR(INDEX('Semrush Data'!$A$1:$Z$20000,MATCH(A1253,'Semrush Data'!$A$1:$A$20000,0),MATCH("Intent",'Semrush Data'!$A$1:$Z$1,0)),"")</f>
        <v/>
      </c>
    </row>
    <row r="1254" customFormat="false" ht="15" hidden="false" customHeight="true" outlineLevel="0" collapsed="false">
      <c r="A1254" s="6" t="s">
        <v>1730</v>
      </c>
      <c r="B1254" s="6" t="s">
        <v>6866</v>
      </c>
      <c r="C1254" s="6" t="n">
        <v>2</v>
      </c>
      <c r="D1254" s="6" t="n">
        <v>13</v>
      </c>
      <c r="E1254" s="6" t="n">
        <v>1</v>
      </c>
      <c r="F1254" s="6" t="s">
        <v>710</v>
      </c>
      <c r="G1254" s="28" t="str">
        <f aca="false">IFERROR(INDEX('Semrush Data'!$A$1:$Z$20000,MATCH(A1254,'Semrush Data'!$A$1:$A$20000,0),MATCH("Volume",'Semrush Data'!$A$1:$Z$1,0)),"")</f>
        <v/>
      </c>
      <c r="H1254" s="6" t="str">
        <f aca="false">IFERROR(INDEX('Semrush Data'!$A$1:$Z$20000,MATCH(A1254,'Semrush Data'!$A$1:$A$20000,0),MATCH("Keyword Difficulty*",'Semrush Data'!$A$1:$Z$1,0)),"")</f>
        <v/>
      </c>
      <c r="I1254" s="29" t="str">
        <f aca="false">IFERROR(INDEX('Semrush Data'!$A$1:$Z$20000,MATCH(A1254,'Semrush Data'!$A$1:$A$20000,0),MATCH("CPC*",'Semrush Data'!$A$1:$Z$1,0)),"")</f>
        <v/>
      </c>
      <c r="J1254" s="6" t="str">
        <f aca="false">IFERROR(INDEX('Semrush Data'!$A$1:$Z$20000,MATCH(A1254,'Semrush Data'!$A$1:$A$20000,0),MATCH("Intent",'Semrush Data'!$A$1:$Z$1,0)),"")</f>
        <v/>
      </c>
    </row>
    <row r="1255" customFormat="false" ht="15" hidden="false" customHeight="true" outlineLevel="0" collapsed="false">
      <c r="A1255" s="6" t="s">
        <v>1520</v>
      </c>
      <c r="B1255" s="6" t="s">
        <v>6866</v>
      </c>
      <c r="C1255" s="6" t="n">
        <v>2</v>
      </c>
      <c r="D1255" s="6" t="n">
        <v>13</v>
      </c>
      <c r="E1255" s="6" t="n">
        <v>1</v>
      </c>
      <c r="F1255" s="6" t="s">
        <v>470</v>
      </c>
      <c r="G1255" s="28" t="str">
        <f aca="false">IFERROR(INDEX('Semrush Data'!$A$1:$Z$20000,MATCH(A1255,'Semrush Data'!$A$1:$A$20000,0),MATCH("Volume",'Semrush Data'!$A$1:$Z$1,0)),"")</f>
        <v/>
      </c>
      <c r="H1255" s="6" t="str">
        <f aca="false">IFERROR(INDEX('Semrush Data'!$A$1:$Z$20000,MATCH(A1255,'Semrush Data'!$A$1:$A$20000,0),MATCH("Keyword Difficulty*",'Semrush Data'!$A$1:$Z$1,0)),"")</f>
        <v/>
      </c>
      <c r="I1255" s="29" t="str">
        <f aca="false">IFERROR(INDEX('Semrush Data'!$A$1:$Z$20000,MATCH(A1255,'Semrush Data'!$A$1:$A$20000,0),MATCH("CPC*",'Semrush Data'!$A$1:$Z$1,0)),"")</f>
        <v/>
      </c>
      <c r="J1255" s="6" t="str">
        <f aca="false">IFERROR(INDEX('Semrush Data'!$A$1:$Z$20000,MATCH(A1255,'Semrush Data'!$A$1:$A$20000,0),MATCH("Intent",'Semrush Data'!$A$1:$Z$1,0)),"")</f>
        <v/>
      </c>
    </row>
    <row r="1256" customFormat="false" ht="15" hidden="false" customHeight="true" outlineLevel="0" collapsed="false">
      <c r="A1256" s="6" t="s">
        <v>1624</v>
      </c>
      <c r="B1256" s="6" t="s">
        <v>6866</v>
      </c>
      <c r="C1256" s="6" t="n">
        <v>2</v>
      </c>
      <c r="D1256" s="6" t="n">
        <v>13</v>
      </c>
      <c r="E1256" s="6" t="n">
        <v>1</v>
      </c>
      <c r="F1256" s="6" t="s">
        <v>592</v>
      </c>
      <c r="G1256" s="28" t="str">
        <f aca="false">IFERROR(INDEX('Semrush Data'!$A$1:$Z$20000,MATCH(A1256,'Semrush Data'!$A$1:$A$20000,0),MATCH("Volume",'Semrush Data'!$A$1:$Z$1,0)),"")</f>
        <v/>
      </c>
      <c r="H1256" s="6" t="str">
        <f aca="false">IFERROR(INDEX('Semrush Data'!$A$1:$Z$20000,MATCH(A1256,'Semrush Data'!$A$1:$A$20000,0),MATCH("Keyword Difficulty*",'Semrush Data'!$A$1:$Z$1,0)),"")</f>
        <v/>
      </c>
      <c r="I1256" s="29" t="str">
        <f aca="false">IFERROR(INDEX('Semrush Data'!$A$1:$Z$20000,MATCH(A1256,'Semrush Data'!$A$1:$A$20000,0),MATCH("CPC*",'Semrush Data'!$A$1:$Z$1,0)),"")</f>
        <v/>
      </c>
      <c r="J1256" s="6" t="str">
        <f aca="false">IFERROR(INDEX('Semrush Data'!$A$1:$Z$20000,MATCH(A1256,'Semrush Data'!$A$1:$A$20000,0),MATCH("Intent",'Semrush Data'!$A$1:$Z$1,0)),"")</f>
        <v/>
      </c>
    </row>
    <row r="1257" customFormat="false" ht="15" hidden="false" customHeight="true" outlineLevel="0" collapsed="false">
      <c r="A1257" s="6" t="s">
        <v>1629</v>
      </c>
      <c r="B1257" s="6" t="s">
        <v>6866</v>
      </c>
      <c r="C1257" s="6" t="n">
        <v>2</v>
      </c>
      <c r="D1257" s="6" t="n">
        <v>13</v>
      </c>
      <c r="E1257" s="6" t="n">
        <v>1</v>
      </c>
      <c r="F1257" s="6" t="s">
        <v>599</v>
      </c>
      <c r="G1257" s="28" t="str">
        <f aca="false">IFERROR(INDEX('Semrush Data'!$A$1:$Z$20000,MATCH(A1257,'Semrush Data'!$A$1:$A$20000,0),MATCH("Volume",'Semrush Data'!$A$1:$Z$1,0)),"")</f>
        <v/>
      </c>
      <c r="H1257" s="6" t="str">
        <f aca="false">IFERROR(INDEX('Semrush Data'!$A$1:$Z$20000,MATCH(A1257,'Semrush Data'!$A$1:$A$20000,0),MATCH("Keyword Difficulty*",'Semrush Data'!$A$1:$Z$1,0)),"")</f>
        <v/>
      </c>
      <c r="I1257" s="29" t="str">
        <f aca="false">IFERROR(INDEX('Semrush Data'!$A$1:$Z$20000,MATCH(A1257,'Semrush Data'!$A$1:$A$20000,0),MATCH("CPC*",'Semrush Data'!$A$1:$Z$1,0)),"")</f>
        <v/>
      </c>
      <c r="J1257" s="6" t="str">
        <f aca="false">IFERROR(INDEX('Semrush Data'!$A$1:$Z$20000,MATCH(A1257,'Semrush Data'!$A$1:$A$20000,0),MATCH("Intent",'Semrush Data'!$A$1:$Z$1,0)),"")</f>
        <v/>
      </c>
    </row>
    <row r="1258" customFormat="false" ht="15" hidden="false" customHeight="true" outlineLevel="0" collapsed="false">
      <c r="A1258" s="6" t="s">
        <v>1635</v>
      </c>
      <c r="B1258" s="6" t="s">
        <v>6866</v>
      </c>
      <c r="C1258" s="6" t="n">
        <v>2</v>
      </c>
      <c r="D1258" s="6" t="n">
        <v>13</v>
      </c>
      <c r="E1258" s="6" t="n">
        <v>1</v>
      </c>
      <c r="F1258" s="6" t="s">
        <v>605</v>
      </c>
      <c r="G1258" s="28" t="str">
        <f aca="false">IFERROR(INDEX('Semrush Data'!$A$1:$Z$20000,MATCH(A1258,'Semrush Data'!$A$1:$A$20000,0),MATCH("Volume",'Semrush Data'!$A$1:$Z$1,0)),"")</f>
        <v/>
      </c>
      <c r="H1258" s="6" t="str">
        <f aca="false">IFERROR(INDEX('Semrush Data'!$A$1:$Z$20000,MATCH(A1258,'Semrush Data'!$A$1:$A$20000,0),MATCH("Keyword Difficulty*",'Semrush Data'!$A$1:$Z$1,0)),"")</f>
        <v/>
      </c>
      <c r="I1258" s="29" t="str">
        <f aca="false">IFERROR(INDEX('Semrush Data'!$A$1:$Z$20000,MATCH(A1258,'Semrush Data'!$A$1:$A$20000,0),MATCH("CPC*",'Semrush Data'!$A$1:$Z$1,0)),"")</f>
        <v/>
      </c>
      <c r="J1258" s="6" t="str">
        <f aca="false">IFERROR(INDEX('Semrush Data'!$A$1:$Z$20000,MATCH(A1258,'Semrush Data'!$A$1:$A$20000,0),MATCH("Intent",'Semrush Data'!$A$1:$Z$1,0)),"")</f>
        <v/>
      </c>
    </row>
    <row r="1259" customFormat="false" ht="15" hidden="false" customHeight="true" outlineLevel="0" collapsed="false">
      <c r="A1259" s="6" t="s">
        <v>1462</v>
      </c>
      <c r="B1259" s="6" t="s">
        <v>6866</v>
      </c>
      <c r="C1259" s="6" t="n">
        <v>2</v>
      </c>
      <c r="D1259" s="6" t="n">
        <v>13</v>
      </c>
      <c r="E1259" s="6" t="n">
        <v>1</v>
      </c>
      <c r="F1259" s="6" t="s">
        <v>404</v>
      </c>
      <c r="G1259" s="28" t="str">
        <f aca="false">IFERROR(INDEX('Semrush Data'!$A$1:$Z$20000,MATCH(A1259,'Semrush Data'!$A$1:$A$20000,0),MATCH("Volume",'Semrush Data'!$A$1:$Z$1,0)),"")</f>
        <v/>
      </c>
      <c r="H1259" s="6" t="str">
        <f aca="false">IFERROR(INDEX('Semrush Data'!$A$1:$Z$20000,MATCH(A1259,'Semrush Data'!$A$1:$A$20000,0),MATCH("Keyword Difficulty*",'Semrush Data'!$A$1:$Z$1,0)),"")</f>
        <v/>
      </c>
      <c r="I1259" s="29" t="str">
        <f aca="false">IFERROR(INDEX('Semrush Data'!$A$1:$Z$20000,MATCH(A1259,'Semrush Data'!$A$1:$A$20000,0),MATCH("CPC*",'Semrush Data'!$A$1:$Z$1,0)),"")</f>
        <v/>
      </c>
      <c r="J1259" s="6" t="str">
        <f aca="false">IFERROR(INDEX('Semrush Data'!$A$1:$Z$20000,MATCH(A1259,'Semrush Data'!$A$1:$A$20000,0),MATCH("Intent",'Semrush Data'!$A$1:$Z$1,0)),"")</f>
        <v/>
      </c>
    </row>
    <row r="1260" customFormat="false" ht="15" hidden="false" customHeight="true" outlineLevel="0" collapsed="false">
      <c r="A1260" s="6" t="s">
        <v>1930</v>
      </c>
      <c r="B1260" s="6" t="s">
        <v>6866</v>
      </c>
      <c r="C1260" s="6" t="n">
        <v>2</v>
      </c>
      <c r="D1260" s="6" t="n">
        <v>13</v>
      </c>
      <c r="E1260" s="6" t="n">
        <v>1</v>
      </c>
      <c r="F1260" s="6" t="s">
        <v>895</v>
      </c>
      <c r="G1260" s="28" t="str">
        <f aca="false">IFERROR(INDEX('Semrush Data'!$A$1:$Z$20000,MATCH(A1260,'Semrush Data'!$A$1:$A$20000,0),MATCH("Volume",'Semrush Data'!$A$1:$Z$1,0)),"")</f>
        <v/>
      </c>
      <c r="H1260" s="6" t="str">
        <f aca="false">IFERROR(INDEX('Semrush Data'!$A$1:$Z$20000,MATCH(A1260,'Semrush Data'!$A$1:$A$20000,0),MATCH("Keyword Difficulty*",'Semrush Data'!$A$1:$Z$1,0)),"")</f>
        <v/>
      </c>
      <c r="I1260" s="29" t="str">
        <f aca="false">IFERROR(INDEX('Semrush Data'!$A$1:$Z$20000,MATCH(A1260,'Semrush Data'!$A$1:$A$20000,0),MATCH("CPC*",'Semrush Data'!$A$1:$Z$1,0)),"")</f>
        <v/>
      </c>
      <c r="J1260" s="6" t="str">
        <f aca="false">IFERROR(INDEX('Semrush Data'!$A$1:$Z$20000,MATCH(A1260,'Semrush Data'!$A$1:$A$20000,0),MATCH("Intent",'Semrush Data'!$A$1:$Z$1,0)),"")</f>
        <v/>
      </c>
    </row>
    <row r="1261" customFormat="false" ht="15" hidden="false" customHeight="true" outlineLevel="0" collapsed="false">
      <c r="A1261" s="6" t="s">
        <v>1834</v>
      </c>
      <c r="B1261" s="6" t="s">
        <v>6866</v>
      </c>
      <c r="C1261" s="6" t="n">
        <v>2</v>
      </c>
      <c r="D1261" s="6" t="n">
        <v>13</v>
      </c>
      <c r="E1261" s="6" t="n">
        <v>1</v>
      </c>
      <c r="F1261" s="6" t="s">
        <v>808</v>
      </c>
      <c r="G1261" s="28" t="str">
        <f aca="false">IFERROR(INDEX('Semrush Data'!$A$1:$Z$20000,MATCH(A1261,'Semrush Data'!$A$1:$A$20000,0),MATCH("Volume",'Semrush Data'!$A$1:$Z$1,0)),"")</f>
        <v/>
      </c>
      <c r="H1261" s="6" t="str">
        <f aca="false">IFERROR(INDEX('Semrush Data'!$A$1:$Z$20000,MATCH(A1261,'Semrush Data'!$A$1:$A$20000,0),MATCH("Keyword Difficulty*",'Semrush Data'!$A$1:$Z$1,0)),"")</f>
        <v/>
      </c>
      <c r="I1261" s="29" t="str">
        <f aca="false">IFERROR(INDEX('Semrush Data'!$A$1:$Z$20000,MATCH(A1261,'Semrush Data'!$A$1:$A$20000,0),MATCH("CPC*",'Semrush Data'!$A$1:$Z$1,0)),"")</f>
        <v/>
      </c>
      <c r="J1261" s="6" t="str">
        <f aca="false">IFERROR(INDEX('Semrush Data'!$A$1:$Z$20000,MATCH(A1261,'Semrush Data'!$A$1:$A$20000,0),MATCH("Intent",'Semrush Data'!$A$1:$Z$1,0)),"")</f>
        <v/>
      </c>
    </row>
    <row r="1262" customFormat="false" ht="15" hidden="false" customHeight="true" outlineLevel="0" collapsed="false">
      <c r="A1262" s="6" t="s">
        <v>1840</v>
      </c>
      <c r="B1262" s="6" t="s">
        <v>6866</v>
      </c>
      <c r="C1262" s="6" t="n">
        <v>2</v>
      </c>
      <c r="D1262" s="6" t="n">
        <v>13</v>
      </c>
      <c r="E1262" s="6" t="n">
        <v>1</v>
      </c>
      <c r="F1262" s="6" t="s">
        <v>813</v>
      </c>
      <c r="G1262" s="28" t="str">
        <f aca="false">IFERROR(INDEX('Semrush Data'!$A$1:$Z$20000,MATCH(A1262,'Semrush Data'!$A$1:$A$20000,0),MATCH("Volume",'Semrush Data'!$A$1:$Z$1,0)),"")</f>
        <v/>
      </c>
      <c r="H1262" s="6" t="str">
        <f aca="false">IFERROR(INDEX('Semrush Data'!$A$1:$Z$20000,MATCH(A1262,'Semrush Data'!$A$1:$A$20000,0),MATCH("Keyword Difficulty*",'Semrush Data'!$A$1:$Z$1,0)),"")</f>
        <v/>
      </c>
      <c r="I1262" s="29" t="str">
        <f aca="false">IFERROR(INDEX('Semrush Data'!$A$1:$Z$20000,MATCH(A1262,'Semrush Data'!$A$1:$A$20000,0),MATCH("CPC*",'Semrush Data'!$A$1:$Z$1,0)),"")</f>
        <v/>
      </c>
      <c r="J1262" s="6" t="str">
        <f aca="false">IFERROR(INDEX('Semrush Data'!$A$1:$Z$20000,MATCH(A1262,'Semrush Data'!$A$1:$A$20000,0),MATCH("Intent",'Semrush Data'!$A$1:$Z$1,0)),"")</f>
        <v/>
      </c>
    </row>
    <row r="1263" customFormat="false" ht="15" hidden="false" customHeight="true" outlineLevel="0" collapsed="false">
      <c r="A1263" s="6" t="s">
        <v>1852</v>
      </c>
      <c r="B1263" s="6" t="s">
        <v>6866</v>
      </c>
      <c r="C1263" s="6" t="n">
        <v>2</v>
      </c>
      <c r="D1263" s="6" t="n">
        <v>13</v>
      </c>
      <c r="E1263" s="6" t="n">
        <v>1</v>
      </c>
      <c r="F1263" s="6" t="s">
        <v>824</v>
      </c>
      <c r="G1263" s="28" t="str">
        <f aca="false">IFERROR(INDEX('Semrush Data'!$A$1:$Z$20000,MATCH(A1263,'Semrush Data'!$A$1:$A$20000,0),MATCH("Volume",'Semrush Data'!$A$1:$Z$1,0)),"")</f>
        <v/>
      </c>
      <c r="H1263" s="6" t="str">
        <f aca="false">IFERROR(INDEX('Semrush Data'!$A$1:$Z$20000,MATCH(A1263,'Semrush Data'!$A$1:$A$20000,0),MATCH("Keyword Difficulty*",'Semrush Data'!$A$1:$Z$1,0)),"")</f>
        <v/>
      </c>
      <c r="I1263" s="29" t="str">
        <f aca="false">IFERROR(INDEX('Semrush Data'!$A$1:$Z$20000,MATCH(A1263,'Semrush Data'!$A$1:$A$20000,0),MATCH("CPC*",'Semrush Data'!$A$1:$Z$1,0)),"")</f>
        <v/>
      </c>
      <c r="J1263" s="6" t="str">
        <f aca="false">IFERROR(INDEX('Semrush Data'!$A$1:$Z$20000,MATCH(A1263,'Semrush Data'!$A$1:$A$20000,0),MATCH("Intent",'Semrush Data'!$A$1:$Z$1,0)),"")</f>
        <v/>
      </c>
    </row>
    <row r="1264" customFormat="false" ht="15" hidden="false" customHeight="true" outlineLevel="0" collapsed="false">
      <c r="A1264" s="6" t="s">
        <v>1717</v>
      </c>
      <c r="B1264" s="6" t="s">
        <v>6866</v>
      </c>
      <c r="C1264" s="6" t="n">
        <v>2</v>
      </c>
      <c r="D1264" s="6" t="n">
        <v>13</v>
      </c>
      <c r="E1264" s="6" t="n">
        <v>1</v>
      </c>
      <c r="F1264" s="6" t="s">
        <v>697</v>
      </c>
      <c r="G1264" s="28" t="str">
        <f aca="false">IFERROR(INDEX('Semrush Data'!$A$1:$Z$20000,MATCH(A1264,'Semrush Data'!$A$1:$A$20000,0),MATCH("Volume",'Semrush Data'!$A$1:$Z$1,0)),"")</f>
        <v/>
      </c>
      <c r="H1264" s="6" t="str">
        <f aca="false">IFERROR(INDEX('Semrush Data'!$A$1:$Z$20000,MATCH(A1264,'Semrush Data'!$A$1:$A$20000,0),MATCH("Keyword Difficulty*",'Semrush Data'!$A$1:$Z$1,0)),"")</f>
        <v/>
      </c>
      <c r="I1264" s="29" t="str">
        <f aca="false">IFERROR(INDEX('Semrush Data'!$A$1:$Z$20000,MATCH(A1264,'Semrush Data'!$A$1:$A$20000,0),MATCH("CPC*",'Semrush Data'!$A$1:$Z$1,0)),"")</f>
        <v/>
      </c>
      <c r="J1264" s="6" t="str">
        <f aca="false">IFERROR(INDEX('Semrush Data'!$A$1:$Z$20000,MATCH(A1264,'Semrush Data'!$A$1:$A$20000,0),MATCH("Intent",'Semrush Data'!$A$1:$Z$1,0)),"")</f>
        <v/>
      </c>
    </row>
    <row r="1265" customFormat="false" ht="15" hidden="false" customHeight="true" outlineLevel="0" collapsed="false">
      <c r="A1265" s="6" t="s">
        <v>1744</v>
      </c>
      <c r="B1265" s="6" t="s">
        <v>6866</v>
      </c>
      <c r="C1265" s="6" t="n">
        <v>2</v>
      </c>
      <c r="D1265" s="6" t="n">
        <v>13</v>
      </c>
      <c r="E1265" s="6" t="n">
        <v>1</v>
      </c>
      <c r="F1265" s="6" t="s">
        <v>724</v>
      </c>
      <c r="G1265" s="28" t="str">
        <f aca="false">IFERROR(INDEX('Semrush Data'!$A$1:$Z$20000,MATCH(A1265,'Semrush Data'!$A$1:$A$20000,0),MATCH("Volume",'Semrush Data'!$A$1:$Z$1,0)),"")</f>
        <v/>
      </c>
      <c r="H1265" s="6" t="str">
        <f aca="false">IFERROR(INDEX('Semrush Data'!$A$1:$Z$20000,MATCH(A1265,'Semrush Data'!$A$1:$A$20000,0),MATCH("Keyword Difficulty*",'Semrush Data'!$A$1:$Z$1,0)),"")</f>
        <v/>
      </c>
      <c r="I1265" s="29" t="str">
        <f aca="false">IFERROR(INDEX('Semrush Data'!$A$1:$Z$20000,MATCH(A1265,'Semrush Data'!$A$1:$A$20000,0),MATCH("CPC*",'Semrush Data'!$A$1:$Z$1,0)),"")</f>
        <v/>
      </c>
      <c r="J1265" s="6" t="str">
        <f aca="false">IFERROR(INDEX('Semrush Data'!$A$1:$Z$20000,MATCH(A1265,'Semrush Data'!$A$1:$A$20000,0),MATCH("Intent",'Semrush Data'!$A$1:$Z$1,0)),"")</f>
        <v/>
      </c>
    </row>
    <row r="1266" customFormat="false" ht="15" hidden="false" customHeight="true" outlineLevel="0" collapsed="false">
      <c r="A1266" s="6" t="s">
        <v>1641</v>
      </c>
      <c r="B1266" s="6" t="s">
        <v>6866</v>
      </c>
      <c r="C1266" s="6" t="n">
        <v>2</v>
      </c>
      <c r="D1266" s="6" t="n">
        <v>13</v>
      </c>
      <c r="E1266" s="6" t="n">
        <v>1</v>
      </c>
      <c r="F1266" s="6" t="s">
        <v>611</v>
      </c>
      <c r="G1266" s="28" t="str">
        <f aca="false">IFERROR(INDEX('Semrush Data'!$A$1:$Z$20000,MATCH(A1266,'Semrush Data'!$A$1:$A$20000,0),MATCH("Volume",'Semrush Data'!$A$1:$Z$1,0)),"")</f>
        <v/>
      </c>
      <c r="H1266" s="6" t="str">
        <f aca="false">IFERROR(INDEX('Semrush Data'!$A$1:$Z$20000,MATCH(A1266,'Semrush Data'!$A$1:$A$20000,0),MATCH("Keyword Difficulty*",'Semrush Data'!$A$1:$Z$1,0)),"")</f>
        <v/>
      </c>
      <c r="I1266" s="29" t="str">
        <f aca="false">IFERROR(INDEX('Semrush Data'!$A$1:$Z$20000,MATCH(A1266,'Semrush Data'!$A$1:$A$20000,0),MATCH("CPC*",'Semrush Data'!$A$1:$Z$1,0)),"")</f>
        <v/>
      </c>
      <c r="J1266" s="6" t="str">
        <f aca="false">IFERROR(INDEX('Semrush Data'!$A$1:$Z$20000,MATCH(A1266,'Semrush Data'!$A$1:$A$20000,0),MATCH("Intent",'Semrush Data'!$A$1:$Z$1,0)),"")</f>
        <v/>
      </c>
    </row>
    <row r="1267" customFormat="false" ht="15" hidden="false" customHeight="true" outlineLevel="0" collapsed="false">
      <c r="A1267" s="6" t="s">
        <v>1499</v>
      </c>
      <c r="B1267" s="6" t="s">
        <v>6866</v>
      </c>
      <c r="C1267" s="6" t="n">
        <v>2</v>
      </c>
      <c r="D1267" s="6" t="n">
        <v>13</v>
      </c>
      <c r="E1267" s="6" t="n">
        <v>1</v>
      </c>
      <c r="F1267" s="6" t="s">
        <v>447</v>
      </c>
      <c r="G1267" s="28" t="str">
        <f aca="false">IFERROR(INDEX('Semrush Data'!$A$1:$Z$20000,MATCH(A1267,'Semrush Data'!$A$1:$A$20000,0),MATCH("Volume",'Semrush Data'!$A$1:$Z$1,0)),"")</f>
        <v/>
      </c>
      <c r="H1267" s="6" t="str">
        <f aca="false">IFERROR(INDEX('Semrush Data'!$A$1:$Z$20000,MATCH(A1267,'Semrush Data'!$A$1:$A$20000,0),MATCH("Keyword Difficulty*",'Semrush Data'!$A$1:$Z$1,0)),"")</f>
        <v/>
      </c>
      <c r="I1267" s="29" t="str">
        <f aca="false">IFERROR(INDEX('Semrush Data'!$A$1:$Z$20000,MATCH(A1267,'Semrush Data'!$A$1:$A$20000,0),MATCH("CPC*",'Semrush Data'!$A$1:$Z$1,0)),"")</f>
        <v/>
      </c>
      <c r="J1267" s="6" t="str">
        <f aca="false">IFERROR(INDEX('Semrush Data'!$A$1:$Z$20000,MATCH(A1267,'Semrush Data'!$A$1:$A$20000,0),MATCH("Intent",'Semrush Data'!$A$1:$Z$1,0)),"")</f>
        <v/>
      </c>
    </row>
    <row r="1268" customFormat="false" ht="15" hidden="false" customHeight="true" outlineLevel="0" collapsed="false">
      <c r="A1268" s="6" t="s">
        <v>1924</v>
      </c>
      <c r="B1268" s="6" t="s">
        <v>6866</v>
      </c>
      <c r="C1268" s="6" t="n">
        <v>2</v>
      </c>
      <c r="D1268" s="6" t="n">
        <v>13</v>
      </c>
      <c r="E1268" s="6" t="n">
        <v>1</v>
      </c>
      <c r="F1268" s="6" t="s">
        <v>890</v>
      </c>
      <c r="G1268" s="28" t="str">
        <f aca="false">IFERROR(INDEX('Semrush Data'!$A$1:$Z$20000,MATCH(A1268,'Semrush Data'!$A$1:$A$20000,0),MATCH("Volume",'Semrush Data'!$A$1:$Z$1,0)),"")</f>
        <v/>
      </c>
      <c r="H1268" s="6" t="str">
        <f aca="false">IFERROR(INDEX('Semrush Data'!$A$1:$Z$20000,MATCH(A1268,'Semrush Data'!$A$1:$A$20000,0),MATCH("Keyword Difficulty*",'Semrush Data'!$A$1:$Z$1,0)),"")</f>
        <v/>
      </c>
      <c r="I1268" s="29" t="str">
        <f aca="false">IFERROR(INDEX('Semrush Data'!$A$1:$Z$20000,MATCH(A1268,'Semrush Data'!$A$1:$A$20000,0),MATCH("CPC*",'Semrush Data'!$A$1:$Z$1,0)),"")</f>
        <v/>
      </c>
      <c r="J1268" s="6" t="str">
        <f aca="false">IFERROR(INDEX('Semrush Data'!$A$1:$Z$20000,MATCH(A1268,'Semrush Data'!$A$1:$A$20000,0),MATCH("Intent",'Semrush Data'!$A$1:$Z$1,0)),"")</f>
        <v/>
      </c>
    </row>
    <row r="1269" customFormat="false" ht="15" hidden="false" customHeight="true" outlineLevel="0" collapsed="false">
      <c r="A1269" s="6" t="s">
        <v>1648</v>
      </c>
      <c r="B1269" s="6" t="s">
        <v>6866</v>
      </c>
      <c r="C1269" s="6" t="n">
        <v>2</v>
      </c>
      <c r="D1269" s="6" t="n">
        <v>13</v>
      </c>
      <c r="E1269" s="6" t="n">
        <v>1</v>
      </c>
      <c r="F1269" s="6" t="s">
        <v>618</v>
      </c>
      <c r="G1269" s="28" t="str">
        <f aca="false">IFERROR(INDEX('Semrush Data'!$A$1:$Z$20000,MATCH(A1269,'Semrush Data'!$A$1:$A$20000,0),MATCH("Volume",'Semrush Data'!$A$1:$Z$1,0)),"")</f>
        <v/>
      </c>
      <c r="H1269" s="6" t="str">
        <f aca="false">IFERROR(INDEX('Semrush Data'!$A$1:$Z$20000,MATCH(A1269,'Semrush Data'!$A$1:$A$20000,0),MATCH("Keyword Difficulty*",'Semrush Data'!$A$1:$Z$1,0)),"")</f>
        <v/>
      </c>
      <c r="I1269" s="29" t="str">
        <f aca="false">IFERROR(INDEX('Semrush Data'!$A$1:$Z$20000,MATCH(A1269,'Semrush Data'!$A$1:$A$20000,0),MATCH("CPC*",'Semrush Data'!$A$1:$Z$1,0)),"")</f>
        <v/>
      </c>
      <c r="J1269" s="6" t="str">
        <f aca="false">IFERROR(INDEX('Semrush Data'!$A$1:$Z$20000,MATCH(A1269,'Semrush Data'!$A$1:$A$20000,0),MATCH("Intent",'Semrush Data'!$A$1:$Z$1,0)),"")</f>
        <v/>
      </c>
    </row>
    <row r="1270" customFormat="false" ht="15" hidden="false" customHeight="true" outlineLevel="0" collapsed="false">
      <c r="A1270" s="6" t="s">
        <v>1527</v>
      </c>
      <c r="B1270" s="6" t="s">
        <v>6866</v>
      </c>
      <c r="C1270" s="6" t="n">
        <v>2</v>
      </c>
      <c r="D1270" s="6" t="n">
        <v>13</v>
      </c>
      <c r="E1270" s="6" t="n">
        <v>1</v>
      </c>
      <c r="F1270" s="6" t="s">
        <v>480</v>
      </c>
      <c r="G1270" s="28" t="str">
        <f aca="false">IFERROR(INDEX('Semrush Data'!$A$1:$Z$20000,MATCH(A1270,'Semrush Data'!$A$1:$A$20000,0),MATCH("Volume",'Semrush Data'!$A$1:$Z$1,0)),"")</f>
        <v/>
      </c>
      <c r="H1270" s="6" t="str">
        <f aca="false">IFERROR(INDEX('Semrush Data'!$A$1:$Z$20000,MATCH(A1270,'Semrush Data'!$A$1:$A$20000,0),MATCH("Keyword Difficulty*",'Semrush Data'!$A$1:$Z$1,0)),"")</f>
        <v/>
      </c>
      <c r="I1270" s="29" t="str">
        <f aca="false">IFERROR(INDEX('Semrush Data'!$A$1:$Z$20000,MATCH(A1270,'Semrush Data'!$A$1:$A$20000,0),MATCH("CPC*",'Semrush Data'!$A$1:$Z$1,0)),"")</f>
        <v/>
      </c>
      <c r="J1270" s="6" t="str">
        <f aca="false">IFERROR(INDEX('Semrush Data'!$A$1:$Z$20000,MATCH(A1270,'Semrush Data'!$A$1:$A$20000,0),MATCH("Intent",'Semrush Data'!$A$1:$Z$1,0)),"")</f>
        <v/>
      </c>
    </row>
    <row r="1271" customFormat="false" ht="15" hidden="false" customHeight="true" outlineLevel="0" collapsed="false">
      <c r="A1271" s="6" t="s">
        <v>1445</v>
      </c>
      <c r="B1271" s="6" t="s">
        <v>6866</v>
      </c>
      <c r="C1271" s="6" t="n">
        <v>2</v>
      </c>
      <c r="D1271" s="6" t="n">
        <v>13</v>
      </c>
      <c r="E1271" s="6" t="n">
        <v>3</v>
      </c>
      <c r="F1271" s="6" t="s">
        <v>6864</v>
      </c>
      <c r="G1271" s="28" t="str">
        <f aca="false">IFERROR(INDEX('Semrush Data'!$A$1:$Z$20000,MATCH(A1271,'Semrush Data'!$A$1:$A$20000,0),MATCH("Volume",'Semrush Data'!$A$1:$Z$1,0)),"")</f>
        <v/>
      </c>
      <c r="H1271" s="6" t="str">
        <f aca="false">IFERROR(INDEX('Semrush Data'!$A$1:$Z$20000,MATCH(A1271,'Semrush Data'!$A$1:$A$20000,0),MATCH("Keyword Difficulty*",'Semrush Data'!$A$1:$Z$1,0)),"")</f>
        <v/>
      </c>
      <c r="I1271" s="29" t="str">
        <f aca="false">IFERROR(INDEX('Semrush Data'!$A$1:$Z$20000,MATCH(A1271,'Semrush Data'!$A$1:$A$20000,0),MATCH("CPC*",'Semrush Data'!$A$1:$Z$1,0)),"")</f>
        <v/>
      </c>
      <c r="J1271" s="6" t="str">
        <f aca="false">IFERROR(INDEX('Semrush Data'!$A$1:$Z$20000,MATCH(A1271,'Semrush Data'!$A$1:$A$20000,0),MATCH("Intent",'Semrush Data'!$A$1:$Z$1,0)),"")</f>
        <v/>
      </c>
    </row>
    <row r="1272" customFormat="false" ht="15" hidden="false" customHeight="true" outlineLevel="0" collapsed="false">
      <c r="A1272" s="6" t="s">
        <v>1888</v>
      </c>
      <c r="B1272" s="6" t="s">
        <v>6866</v>
      </c>
      <c r="C1272" s="6" t="n">
        <v>2</v>
      </c>
      <c r="D1272" s="6" t="n">
        <v>13</v>
      </c>
      <c r="E1272" s="6" t="n">
        <v>1</v>
      </c>
      <c r="F1272" s="6" t="s">
        <v>856</v>
      </c>
      <c r="G1272" s="28" t="str">
        <f aca="false">IFERROR(INDEX('Semrush Data'!$A$1:$Z$20000,MATCH(A1272,'Semrush Data'!$A$1:$A$20000,0),MATCH("Volume",'Semrush Data'!$A$1:$Z$1,0)),"")</f>
        <v/>
      </c>
      <c r="H1272" s="6" t="str">
        <f aca="false">IFERROR(INDEX('Semrush Data'!$A$1:$Z$20000,MATCH(A1272,'Semrush Data'!$A$1:$A$20000,0),MATCH("Keyword Difficulty*",'Semrush Data'!$A$1:$Z$1,0)),"")</f>
        <v/>
      </c>
      <c r="I1272" s="29" t="str">
        <f aca="false">IFERROR(INDEX('Semrush Data'!$A$1:$Z$20000,MATCH(A1272,'Semrush Data'!$A$1:$A$20000,0),MATCH("CPC*",'Semrush Data'!$A$1:$Z$1,0)),"")</f>
        <v/>
      </c>
      <c r="J1272" s="6" t="str">
        <f aca="false">IFERROR(INDEX('Semrush Data'!$A$1:$Z$20000,MATCH(A1272,'Semrush Data'!$A$1:$A$20000,0),MATCH("Intent",'Semrush Data'!$A$1:$Z$1,0)),"")</f>
        <v/>
      </c>
    </row>
    <row r="1273" customFormat="false" ht="15" hidden="false" customHeight="true" outlineLevel="0" collapsed="false">
      <c r="A1273" s="6" t="s">
        <v>1918</v>
      </c>
      <c r="B1273" s="6" t="s">
        <v>6866</v>
      </c>
      <c r="C1273" s="6" t="n">
        <v>2</v>
      </c>
      <c r="D1273" s="6" t="n">
        <v>13</v>
      </c>
      <c r="E1273" s="6" t="n">
        <v>1</v>
      </c>
      <c r="F1273" s="6" t="s">
        <v>883</v>
      </c>
      <c r="G1273" s="28" t="str">
        <f aca="false">IFERROR(INDEX('Semrush Data'!$A$1:$Z$20000,MATCH(A1273,'Semrush Data'!$A$1:$A$20000,0),MATCH("Volume",'Semrush Data'!$A$1:$Z$1,0)),"")</f>
        <v/>
      </c>
      <c r="H1273" s="6" t="str">
        <f aca="false">IFERROR(INDEX('Semrush Data'!$A$1:$Z$20000,MATCH(A1273,'Semrush Data'!$A$1:$A$20000,0),MATCH("Keyword Difficulty*",'Semrush Data'!$A$1:$Z$1,0)),"")</f>
        <v/>
      </c>
      <c r="I1273" s="29" t="str">
        <f aca="false">IFERROR(INDEX('Semrush Data'!$A$1:$Z$20000,MATCH(A1273,'Semrush Data'!$A$1:$A$20000,0),MATCH("CPC*",'Semrush Data'!$A$1:$Z$1,0)),"")</f>
        <v/>
      </c>
      <c r="J1273" s="6" t="str">
        <f aca="false">IFERROR(INDEX('Semrush Data'!$A$1:$Z$20000,MATCH(A1273,'Semrush Data'!$A$1:$A$20000,0),MATCH("Intent",'Semrush Data'!$A$1:$Z$1,0)),"")</f>
        <v/>
      </c>
    </row>
    <row r="1274" customFormat="false" ht="15" hidden="false" customHeight="true" outlineLevel="0" collapsed="false">
      <c r="A1274" s="6" t="s">
        <v>1657</v>
      </c>
      <c r="B1274" s="6" t="s">
        <v>6866</v>
      </c>
      <c r="C1274" s="6" t="n">
        <v>2</v>
      </c>
      <c r="D1274" s="6" t="n">
        <v>13</v>
      </c>
      <c r="E1274" s="6" t="n">
        <v>1</v>
      </c>
      <c r="F1274" s="6" t="s">
        <v>629</v>
      </c>
      <c r="G1274" s="28" t="str">
        <f aca="false">IFERROR(INDEX('Semrush Data'!$A$1:$Z$20000,MATCH(A1274,'Semrush Data'!$A$1:$A$20000,0),MATCH("Volume",'Semrush Data'!$A$1:$Z$1,0)),"")</f>
        <v/>
      </c>
      <c r="H1274" s="6" t="str">
        <f aca="false">IFERROR(INDEX('Semrush Data'!$A$1:$Z$20000,MATCH(A1274,'Semrush Data'!$A$1:$A$20000,0),MATCH("Keyword Difficulty*",'Semrush Data'!$A$1:$Z$1,0)),"")</f>
        <v/>
      </c>
      <c r="I1274" s="29" t="str">
        <f aca="false">IFERROR(INDEX('Semrush Data'!$A$1:$Z$20000,MATCH(A1274,'Semrush Data'!$A$1:$A$20000,0),MATCH("CPC*",'Semrush Data'!$A$1:$Z$1,0)),"")</f>
        <v/>
      </c>
      <c r="J1274" s="6" t="str">
        <f aca="false">IFERROR(INDEX('Semrush Data'!$A$1:$Z$20000,MATCH(A1274,'Semrush Data'!$A$1:$A$20000,0),MATCH("Intent",'Semrush Data'!$A$1:$Z$1,0)),"")</f>
        <v/>
      </c>
    </row>
    <row r="1275" customFormat="false" ht="15" hidden="false" customHeight="true" outlineLevel="0" collapsed="false">
      <c r="A1275" s="6" t="s">
        <v>1534</v>
      </c>
      <c r="B1275" s="6" t="s">
        <v>6866</v>
      </c>
      <c r="C1275" s="6" t="n">
        <v>2</v>
      </c>
      <c r="D1275" s="6" t="n">
        <v>13</v>
      </c>
      <c r="E1275" s="6" t="n">
        <v>1</v>
      </c>
      <c r="F1275" s="6" t="s">
        <v>489</v>
      </c>
      <c r="G1275" s="28" t="str">
        <f aca="false">IFERROR(INDEX('Semrush Data'!$A$1:$Z$20000,MATCH(A1275,'Semrush Data'!$A$1:$A$20000,0),MATCH("Volume",'Semrush Data'!$A$1:$Z$1,0)),"")</f>
        <v/>
      </c>
      <c r="H1275" s="6" t="str">
        <f aca="false">IFERROR(INDEX('Semrush Data'!$A$1:$Z$20000,MATCH(A1275,'Semrush Data'!$A$1:$A$20000,0),MATCH("Keyword Difficulty*",'Semrush Data'!$A$1:$Z$1,0)),"")</f>
        <v/>
      </c>
      <c r="I1275" s="29" t="str">
        <f aca="false">IFERROR(INDEX('Semrush Data'!$A$1:$Z$20000,MATCH(A1275,'Semrush Data'!$A$1:$A$20000,0),MATCH("CPC*",'Semrush Data'!$A$1:$Z$1,0)),"")</f>
        <v/>
      </c>
      <c r="J1275" s="6" t="str">
        <f aca="false">IFERROR(INDEX('Semrush Data'!$A$1:$Z$20000,MATCH(A1275,'Semrush Data'!$A$1:$A$20000,0),MATCH("Intent",'Semrush Data'!$A$1:$Z$1,0)),"")</f>
        <v/>
      </c>
    </row>
    <row r="1276" customFormat="false" ht="15" hidden="false" customHeight="true" outlineLevel="0" collapsed="false">
      <c r="A1276" s="6" t="s">
        <v>1663</v>
      </c>
      <c r="B1276" s="6" t="s">
        <v>6866</v>
      </c>
      <c r="C1276" s="6" t="n">
        <v>2</v>
      </c>
      <c r="D1276" s="6" t="n">
        <v>13</v>
      </c>
      <c r="E1276" s="6" t="n">
        <v>1</v>
      </c>
      <c r="F1276" s="6" t="s">
        <v>637</v>
      </c>
      <c r="G1276" s="28" t="str">
        <f aca="false">IFERROR(INDEX('Semrush Data'!$A$1:$Z$20000,MATCH(A1276,'Semrush Data'!$A$1:$A$20000,0),MATCH("Volume",'Semrush Data'!$A$1:$Z$1,0)),"")</f>
        <v/>
      </c>
      <c r="H1276" s="6" t="str">
        <f aca="false">IFERROR(INDEX('Semrush Data'!$A$1:$Z$20000,MATCH(A1276,'Semrush Data'!$A$1:$A$20000,0),MATCH("Keyword Difficulty*",'Semrush Data'!$A$1:$Z$1,0)),"")</f>
        <v/>
      </c>
      <c r="I1276" s="29" t="str">
        <f aca="false">IFERROR(INDEX('Semrush Data'!$A$1:$Z$20000,MATCH(A1276,'Semrush Data'!$A$1:$A$20000,0),MATCH("CPC*",'Semrush Data'!$A$1:$Z$1,0)),"")</f>
        <v/>
      </c>
      <c r="J1276" s="6" t="str">
        <f aca="false">IFERROR(INDEX('Semrush Data'!$A$1:$Z$20000,MATCH(A1276,'Semrush Data'!$A$1:$A$20000,0),MATCH("Intent",'Semrush Data'!$A$1:$Z$1,0)),"")</f>
        <v/>
      </c>
    </row>
    <row r="1277" customFormat="false" ht="15" hidden="false" customHeight="true" outlineLevel="0" collapsed="false">
      <c r="A1277" s="6" t="s">
        <v>1540</v>
      </c>
      <c r="B1277" s="6" t="s">
        <v>6866</v>
      </c>
      <c r="C1277" s="6" t="n">
        <v>2</v>
      </c>
      <c r="D1277" s="6" t="n">
        <v>13</v>
      </c>
      <c r="E1277" s="6" t="n">
        <v>1</v>
      </c>
      <c r="F1277" s="6" t="s">
        <v>496</v>
      </c>
      <c r="G1277" s="28" t="str">
        <f aca="false">IFERROR(INDEX('Semrush Data'!$A$1:$Z$20000,MATCH(A1277,'Semrush Data'!$A$1:$A$20000,0),MATCH("Volume",'Semrush Data'!$A$1:$Z$1,0)),"")</f>
        <v/>
      </c>
      <c r="H1277" s="6" t="str">
        <f aca="false">IFERROR(INDEX('Semrush Data'!$A$1:$Z$20000,MATCH(A1277,'Semrush Data'!$A$1:$A$20000,0),MATCH("Keyword Difficulty*",'Semrush Data'!$A$1:$Z$1,0)),"")</f>
        <v/>
      </c>
      <c r="I1277" s="29" t="str">
        <f aca="false">IFERROR(INDEX('Semrush Data'!$A$1:$Z$20000,MATCH(A1277,'Semrush Data'!$A$1:$A$20000,0),MATCH("CPC*",'Semrush Data'!$A$1:$Z$1,0)),"")</f>
        <v/>
      </c>
      <c r="J1277" s="6" t="str">
        <f aca="false">IFERROR(INDEX('Semrush Data'!$A$1:$Z$20000,MATCH(A1277,'Semrush Data'!$A$1:$A$20000,0),MATCH("Intent",'Semrush Data'!$A$1:$Z$1,0)),"")</f>
        <v/>
      </c>
    </row>
    <row r="1278" customFormat="false" ht="15" hidden="false" customHeight="true" outlineLevel="0" collapsed="false">
      <c r="A1278" s="6" t="s">
        <v>1894</v>
      </c>
      <c r="B1278" s="6" t="s">
        <v>6866</v>
      </c>
      <c r="C1278" s="6" t="n">
        <v>2</v>
      </c>
      <c r="D1278" s="6" t="n">
        <v>13</v>
      </c>
      <c r="E1278" s="6" t="n">
        <v>1</v>
      </c>
      <c r="F1278" s="6" t="s">
        <v>862</v>
      </c>
      <c r="G1278" s="28" t="str">
        <f aca="false">IFERROR(INDEX('Semrush Data'!$A$1:$Z$20000,MATCH(A1278,'Semrush Data'!$A$1:$A$20000,0),MATCH("Volume",'Semrush Data'!$A$1:$Z$1,0)),"")</f>
        <v/>
      </c>
      <c r="H1278" s="6" t="str">
        <f aca="false">IFERROR(INDEX('Semrush Data'!$A$1:$Z$20000,MATCH(A1278,'Semrush Data'!$A$1:$A$20000,0),MATCH("Keyword Difficulty*",'Semrush Data'!$A$1:$Z$1,0)),"")</f>
        <v/>
      </c>
      <c r="I1278" s="29" t="str">
        <f aca="false">IFERROR(INDEX('Semrush Data'!$A$1:$Z$20000,MATCH(A1278,'Semrush Data'!$A$1:$A$20000,0),MATCH("CPC*",'Semrush Data'!$A$1:$Z$1,0)),"")</f>
        <v/>
      </c>
      <c r="J1278" s="6" t="str">
        <f aca="false">IFERROR(INDEX('Semrush Data'!$A$1:$Z$20000,MATCH(A1278,'Semrush Data'!$A$1:$A$20000,0),MATCH("Intent",'Semrush Data'!$A$1:$Z$1,0)),"")</f>
        <v/>
      </c>
    </row>
    <row r="1279" customFormat="false" ht="15" hidden="false" customHeight="true" outlineLevel="0" collapsed="false">
      <c r="A1279" s="6" t="s">
        <v>1936</v>
      </c>
      <c r="B1279" s="6" t="s">
        <v>6866</v>
      </c>
      <c r="C1279" s="6" t="n">
        <v>2</v>
      </c>
      <c r="D1279" s="6" t="n">
        <v>13</v>
      </c>
      <c r="E1279" s="6" t="n">
        <v>1</v>
      </c>
      <c r="F1279" s="6" t="s">
        <v>900</v>
      </c>
      <c r="G1279" s="28" t="str">
        <f aca="false">IFERROR(INDEX('Semrush Data'!$A$1:$Z$20000,MATCH(A1279,'Semrush Data'!$A$1:$A$20000,0),MATCH("Volume",'Semrush Data'!$A$1:$Z$1,0)),"")</f>
        <v/>
      </c>
      <c r="H1279" s="6" t="str">
        <f aca="false">IFERROR(INDEX('Semrush Data'!$A$1:$Z$20000,MATCH(A1279,'Semrush Data'!$A$1:$A$20000,0),MATCH("Keyword Difficulty*",'Semrush Data'!$A$1:$Z$1,0)),"")</f>
        <v/>
      </c>
      <c r="I1279" s="29" t="str">
        <f aca="false">IFERROR(INDEX('Semrush Data'!$A$1:$Z$20000,MATCH(A1279,'Semrush Data'!$A$1:$A$20000,0),MATCH("CPC*",'Semrush Data'!$A$1:$Z$1,0)),"")</f>
        <v/>
      </c>
      <c r="J1279" s="6" t="str">
        <f aca="false">IFERROR(INDEX('Semrush Data'!$A$1:$Z$20000,MATCH(A1279,'Semrush Data'!$A$1:$A$20000,0),MATCH("Intent",'Semrush Data'!$A$1:$Z$1,0)),"")</f>
        <v/>
      </c>
    </row>
    <row r="1280" customFormat="false" ht="15" hidden="false" customHeight="true" outlineLevel="0" collapsed="false">
      <c r="A1280" s="6" t="s">
        <v>1669</v>
      </c>
      <c r="B1280" s="6" t="s">
        <v>6866</v>
      </c>
      <c r="C1280" s="6" t="n">
        <v>2</v>
      </c>
      <c r="D1280" s="6" t="n">
        <v>13</v>
      </c>
      <c r="E1280" s="6" t="n">
        <v>1</v>
      </c>
      <c r="F1280" s="6" t="s">
        <v>644</v>
      </c>
      <c r="G1280" s="28" t="str">
        <f aca="false">IFERROR(INDEX('Semrush Data'!$A$1:$Z$20000,MATCH(A1280,'Semrush Data'!$A$1:$A$20000,0),MATCH("Volume",'Semrush Data'!$A$1:$Z$1,0)),"")</f>
        <v/>
      </c>
      <c r="H1280" s="6" t="str">
        <f aca="false">IFERROR(INDEX('Semrush Data'!$A$1:$Z$20000,MATCH(A1280,'Semrush Data'!$A$1:$A$20000,0),MATCH("Keyword Difficulty*",'Semrush Data'!$A$1:$Z$1,0)),"")</f>
        <v/>
      </c>
      <c r="I1280" s="29" t="str">
        <f aca="false">IFERROR(INDEX('Semrush Data'!$A$1:$Z$20000,MATCH(A1280,'Semrush Data'!$A$1:$A$20000,0),MATCH("CPC*",'Semrush Data'!$A$1:$Z$1,0)),"")</f>
        <v/>
      </c>
      <c r="J1280" s="6" t="str">
        <f aca="false">IFERROR(INDEX('Semrush Data'!$A$1:$Z$20000,MATCH(A1280,'Semrush Data'!$A$1:$A$20000,0),MATCH("Intent",'Semrush Data'!$A$1:$Z$1,0)),"")</f>
        <v/>
      </c>
    </row>
    <row r="1281" customFormat="false" ht="15" hidden="false" customHeight="true" outlineLevel="0" collapsed="false">
      <c r="A1281" s="6" t="s">
        <v>1724</v>
      </c>
      <c r="B1281" s="6" t="s">
        <v>6866</v>
      </c>
      <c r="C1281" s="6" t="n">
        <v>2</v>
      </c>
      <c r="D1281" s="6" t="n">
        <v>13</v>
      </c>
      <c r="E1281" s="6" t="n">
        <v>1</v>
      </c>
      <c r="F1281" s="6" t="s">
        <v>704</v>
      </c>
      <c r="G1281" s="28" t="str">
        <f aca="false">IFERROR(INDEX('Semrush Data'!$A$1:$Z$20000,MATCH(A1281,'Semrush Data'!$A$1:$A$20000,0),MATCH("Volume",'Semrush Data'!$A$1:$Z$1,0)),"")</f>
        <v/>
      </c>
      <c r="H1281" s="6" t="str">
        <f aca="false">IFERROR(INDEX('Semrush Data'!$A$1:$Z$20000,MATCH(A1281,'Semrush Data'!$A$1:$A$20000,0),MATCH("Keyword Difficulty*",'Semrush Data'!$A$1:$Z$1,0)),"")</f>
        <v/>
      </c>
      <c r="I1281" s="29" t="str">
        <f aca="false">IFERROR(INDEX('Semrush Data'!$A$1:$Z$20000,MATCH(A1281,'Semrush Data'!$A$1:$A$20000,0),MATCH("CPC*",'Semrush Data'!$A$1:$Z$1,0)),"")</f>
        <v/>
      </c>
      <c r="J1281" s="6" t="str">
        <f aca="false">IFERROR(INDEX('Semrush Data'!$A$1:$Z$20000,MATCH(A1281,'Semrush Data'!$A$1:$A$20000,0),MATCH("Intent",'Semrush Data'!$A$1:$Z$1,0)),"")</f>
        <v/>
      </c>
    </row>
    <row r="1282" customFormat="false" ht="15" hidden="false" customHeight="true" outlineLevel="0" collapsed="false">
      <c r="A1282" s="6" t="s">
        <v>1677</v>
      </c>
      <c r="B1282" s="6" t="s">
        <v>6866</v>
      </c>
      <c r="C1282" s="6" t="n">
        <v>2</v>
      </c>
      <c r="D1282" s="6" t="n">
        <v>13</v>
      </c>
      <c r="E1282" s="6" t="n">
        <v>1</v>
      </c>
      <c r="F1282" s="6" t="s">
        <v>653</v>
      </c>
      <c r="G1282" s="28" t="str">
        <f aca="false">IFERROR(INDEX('Semrush Data'!$A$1:$Z$20000,MATCH(A1282,'Semrush Data'!$A$1:$A$20000,0),MATCH("Volume",'Semrush Data'!$A$1:$Z$1,0)),"")</f>
        <v/>
      </c>
      <c r="H1282" s="6" t="str">
        <f aca="false">IFERROR(INDEX('Semrush Data'!$A$1:$Z$20000,MATCH(A1282,'Semrush Data'!$A$1:$A$20000,0),MATCH("Keyword Difficulty*",'Semrush Data'!$A$1:$Z$1,0)),"")</f>
        <v/>
      </c>
      <c r="I1282" s="29" t="str">
        <f aca="false">IFERROR(INDEX('Semrush Data'!$A$1:$Z$20000,MATCH(A1282,'Semrush Data'!$A$1:$A$20000,0),MATCH("CPC*",'Semrush Data'!$A$1:$Z$1,0)),"")</f>
        <v/>
      </c>
      <c r="J1282" s="6" t="str">
        <f aca="false">IFERROR(INDEX('Semrush Data'!$A$1:$Z$20000,MATCH(A1282,'Semrush Data'!$A$1:$A$20000,0),MATCH("Intent",'Semrush Data'!$A$1:$Z$1,0)),"")</f>
        <v/>
      </c>
    </row>
    <row r="1283" customFormat="false" ht="15" hidden="false" customHeight="true" outlineLevel="0" collapsed="false">
      <c r="A1283" s="6" t="s">
        <v>1737</v>
      </c>
      <c r="B1283" s="6" t="s">
        <v>6866</v>
      </c>
      <c r="C1283" s="6" t="n">
        <v>2</v>
      </c>
      <c r="D1283" s="6" t="n">
        <v>13</v>
      </c>
      <c r="E1283" s="6" t="n">
        <v>1</v>
      </c>
      <c r="F1283" s="6" t="s">
        <v>717</v>
      </c>
      <c r="G1283" s="28" t="str">
        <f aca="false">IFERROR(INDEX('Semrush Data'!$A$1:$Z$20000,MATCH(A1283,'Semrush Data'!$A$1:$A$20000,0),MATCH("Volume",'Semrush Data'!$A$1:$Z$1,0)),"")</f>
        <v/>
      </c>
      <c r="H1283" s="6" t="str">
        <f aca="false">IFERROR(INDEX('Semrush Data'!$A$1:$Z$20000,MATCH(A1283,'Semrush Data'!$A$1:$A$20000,0),MATCH("Keyword Difficulty*",'Semrush Data'!$A$1:$Z$1,0)),"")</f>
        <v/>
      </c>
      <c r="I1283" s="29" t="str">
        <f aca="false">IFERROR(INDEX('Semrush Data'!$A$1:$Z$20000,MATCH(A1283,'Semrush Data'!$A$1:$A$20000,0),MATCH("CPC*",'Semrush Data'!$A$1:$Z$1,0)),"")</f>
        <v/>
      </c>
      <c r="J1283" s="6" t="str">
        <f aca="false">IFERROR(INDEX('Semrush Data'!$A$1:$Z$20000,MATCH(A1283,'Semrush Data'!$A$1:$A$20000,0),MATCH("Intent",'Semrush Data'!$A$1:$Z$1,0)),"")</f>
        <v/>
      </c>
    </row>
    <row r="1284" customFormat="false" ht="15" hidden="false" customHeight="true" outlineLevel="0" collapsed="false">
      <c r="A1284" s="6" t="s">
        <v>1546</v>
      </c>
      <c r="B1284" s="6" t="s">
        <v>6866</v>
      </c>
      <c r="C1284" s="6" t="n">
        <v>2</v>
      </c>
      <c r="D1284" s="6" t="n">
        <v>13</v>
      </c>
      <c r="E1284" s="6" t="n">
        <v>1</v>
      </c>
      <c r="F1284" s="6" t="s">
        <v>503</v>
      </c>
      <c r="G1284" s="28" t="str">
        <f aca="false">IFERROR(INDEX('Semrush Data'!$A$1:$Z$20000,MATCH(A1284,'Semrush Data'!$A$1:$A$20000,0),MATCH("Volume",'Semrush Data'!$A$1:$Z$1,0)),"")</f>
        <v/>
      </c>
      <c r="H1284" s="6" t="str">
        <f aca="false">IFERROR(INDEX('Semrush Data'!$A$1:$Z$20000,MATCH(A1284,'Semrush Data'!$A$1:$A$20000,0),MATCH("Keyword Difficulty*",'Semrush Data'!$A$1:$Z$1,0)),"")</f>
        <v/>
      </c>
      <c r="I1284" s="29" t="str">
        <f aca="false">IFERROR(INDEX('Semrush Data'!$A$1:$Z$20000,MATCH(A1284,'Semrush Data'!$A$1:$A$20000,0),MATCH("CPC*",'Semrush Data'!$A$1:$Z$1,0)),"")</f>
        <v/>
      </c>
      <c r="J1284" s="6" t="str">
        <f aca="false">IFERROR(INDEX('Semrush Data'!$A$1:$Z$20000,MATCH(A1284,'Semrush Data'!$A$1:$A$20000,0),MATCH("Intent",'Semrush Data'!$A$1:$Z$1,0)),"")</f>
        <v/>
      </c>
    </row>
    <row r="1285" customFormat="false" ht="15" hidden="false" customHeight="true" outlineLevel="0" collapsed="false">
      <c r="A1285" s="6" t="s">
        <v>1684</v>
      </c>
      <c r="B1285" s="6" t="s">
        <v>6866</v>
      </c>
      <c r="C1285" s="6" t="n">
        <v>2</v>
      </c>
      <c r="D1285" s="6" t="n">
        <v>13</v>
      </c>
      <c r="E1285" s="6" t="n">
        <v>2</v>
      </c>
      <c r="F1285" s="6" t="s">
        <v>6865</v>
      </c>
      <c r="G1285" s="28" t="str">
        <f aca="false">IFERROR(INDEX('Semrush Data'!$A$1:$Z$20000,MATCH(A1285,'Semrush Data'!$A$1:$A$20000,0),MATCH("Volume",'Semrush Data'!$A$1:$Z$1,0)),"")</f>
        <v/>
      </c>
      <c r="H1285" s="6" t="str">
        <f aca="false">IFERROR(INDEX('Semrush Data'!$A$1:$Z$20000,MATCH(A1285,'Semrush Data'!$A$1:$A$20000,0),MATCH("Keyword Difficulty*",'Semrush Data'!$A$1:$Z$1,0)),"")</f>
        <v/>
      </c>
      <c r="I1285" s="29" t="str">
        <f aca="false">IFERROR(INDEX('Semrush Data'!$A$1:$Z$20000,MATCH(A1285,'Semrush Data'!$A$1:$A$20000,0),MATCH("CPC*",'Semrush Data'!$A$1:$Z$1,0)),"")</f>
        <v/>
      </c>
      <c r="J1285" s="6" t="str">
        <f aca="false">IFERROR(INDEX('Semrush Data'!$A$1:$Z$20000,MATCH(A1285,'Semrush Data'!$A$1:$A$20000,0),MATCH("Intent",'Semrush Data'!$A$1:$Z$1,0)),"")</f>
        <v/>
      </c>
    </row>
    <row r="1286" customFormat="false" ht="15" hidden="false" customHeight="true" outlineLevel="0" collapsed="false">
      <c r="A1286" s="6" t="s">
        <v>1750</v>
      </c>
      <c r="B1286" s="6" t="s">
        <v>6866</v>
      </c>
      <c r="C1286" s="6" t="n">
        <v>2</v>
      </c>
      <c r="D1286" s="6" t="n">
        <v>13</v>
      </c>
      <c r="E1286" s="6" t="n">
        <v>1</v>
      </c>
      <c r="F1286" s="6" t="s">
        <v>729</v>
      </c>
      <c r="G1286" s="28" t="str">
        <f aca="false">IFERROR(INDEX('Semrush Data'!$A$1:$Z$20000,MATCH(A1286,'Semrush Data'!$A$1:$A$20000,0),MATCH("Volume",'Semrush Data'!$A$1:$Z$1,0)),"")</f>
        <v/>
      </c>
      <c r="H1286" s="6" t="str">
        <f aca="false">IFERROR(INDEX('Semrush Data'!$A$1:$Z$20000,MATCH(A1286,'Semrush Data'!$A$1:$A$20000,0),MATCH("Keyword Difficulty*",'Semrush Data'!$A$1:$Z$1,0)),"")</f>
        <v/>
      </c>
      <c r="I1286" s="29" t="str">
        <f aca="false">IFERROR(INDEX('Semrush Data'!$A$1:$Z$20000,MATCH(A1286,'Semrush Data'!$A$1:$A$20000,0),MATCH("CPC*",'Semrush Data'!$A$1:$Z$1,0)),"")</f>
        <v/>
      </c>
      <c r="J1286" s="6" t="str">
        <f aca="false">IFERROR(INDEX('Semrush Data'!$A$1:$Z$20000,MATCH(A1286,'Semrush Data'!$A$1:$A$20000,0),MATCH("Intent",'Semrush Data'!$A$1:$Z$1,0)),"")</f>
        <v/>
      </c>
    </row>
    <row r="1287" customFormat="false" ht="15" hidden="false" customHeight="true" outlineLevel="0" collapsed="false">
      <c r="A1287" s="6" t="s">
        <v>1553</v>
      </c>
      <c r="B1287" s="6" t="s">
        <v>6866</v>
      </c>
      <c r="C1287" s="6" t="n">
        <v>2</v>
      </c>
      <c r="D1287" s="6" t="n">
        <v>13</v>
      </c>
      <c r="E1287" s="6" t="n">
        <v>1</v>
      </c>
      <c r="F1287" s="6" t="s">
        <v>512</v>
      </c>
      <c r="G1287" s="28" t="str">
        <f aca="false">IFERROR(INDEX('Semrush Data'!$A$1:$Z$20000,MATCH(A1287,'Semrush Data'!$A$1:$A$20000,0),MATCH("Volume",'Semrush Data'!$A$1:$Z$1,0)),"")</f>
        <v/>
      </c>
      <c r="H1287" s="6" t="str">
        <f aca="false">IFERROR(INDEX('Semrush Data'!$A$1:$Z$20000,MATCH(A1287,'Semrush Data'!$A$1:$A$20000,0),MATCH("Keyword Difficulty*",'Semrush Data'!$A$1:$Z$1,0)),"")</f>
        <v/>
      </c>
      <c r="I1287" s="29" t="str">
        <f aca="false">IFERROR(INDEX('Semrush Data'!$A$1:$Z$20000,MATCH(A1287,'Semrush Data'!$A$1:$A$20000,0),MATCH("CPC*",'Semrush Data'!$A$1:$Z$1,0)),"")</f>
        <v/>
      </c>
      <c r="J1287" s="6" t="str">
        <f aca="false">IFERROR(INDEX('Semrush Data'!$A$1:$Z$20000,MATCH(A1287,'Semrush Data'!$A$1:$A$20000,0),MATCH("Intent",'Semrush Data'!$A$1:$Z$1,0)),"")</f>
        <v/>
      </c>
    </row>
    <row r="1288" customFormat="false" ht="15" hidden="false" customHeight="true" outlineLevel="0" collapsed="false">
      <c r="A1288" s="6" t="s">
        <v>1693</v>
      </c>
      <c r="B1288" s="6" t="s">
        <v>6866</v>
      </c>
      <c r="C1288" s="6" t="n">
        <v>2</v>
      </c>
      <c r="D1288" s="6" t="n">
        <v>13</v>
      </c>
      <c r="E1288" s="6" t="n">
        <v>1</v>
      </c>
      <c r="F1288" s="6" t="s">
        <v>671</v>
      </c>
      <c r="G1288" s="28" t="str">
        <f aca="false">IFERROR(INDEX('Semrush Data'!$A$1:$Z$20000,MATCH(A1288,'Semrush Data'!$A$1:$A$20000,0),MATCH("Volume",'Semrush Data'!$A$1:$Z$1,0)),"")</f>
        <v/>
      </c>
      <c r="H1288" s="6" t="str">
        <f aca="false">IFERROR(INDEX('Semrush Data'!$A$1:$Z$20000,MATCH(A1288,'Semrush Data'!$A$1:$A$20000,0),MATCH("Keyword Difficulty*",'Semrush Data'!$A$1:$Z$1,0)),"")</f>
        <v/>
      </c>
      <c r="I1288" s="29" t="str">
        <f aca="false">IFERROR(INDEX('Semrush Data'!$A$1:$Z$20000,MATCH(A1288,'Semrush Data'!$A$1:$A$20000,0),MATCH("CPC*",'Semrush Data'!$A$1:$Z$1,0)),"")</f>
        <v/>
      </c>
      <c r="J1288" s="6" t="str">
        <f aca="false">IFERROR(INDEX('Semrush Data'!$A$1:$Z$20000,MATCH(A1288,'Semrush Data'!$A$1:$A$20000,0),MATCH("Intent",'Semrush Data'!$A$1:$Z$1,0)),"")</f>
        <v/>
      </c>
    </row>
    <row r="1289" customFormat="false" ht="15" hidden="false" customHeight="true" outlineLevel="0" collapsed="false">
      <c r="A1289" s="6" t="s">
        <v>1560</v>
      </c>
      <c r="B1289" s="6" t="s">
        <v>6866</v>
      </c>
      <c r="C1289" s="6" t="n">
        <v>2</v>
      </c>
      <c r="D1289" s="6" t="n">
        <v>13</v>
      </c>
      <c r="E1289" s="6" t="n">
        <v>1</v>
      </c>
      <c r="F1289" s="6" t="s">
        <v>519</v>
      </c>
      <c r="G1289" s="28" t="str">
        <f aca="false">IFERROR(INDEX('Semrush Data'!$A$1:$Z$20000,MATCH(A1289,'Semrush Data'!$A$1:$A$20000,0),MATCH("Volume",'Semrush Data'!$A$1:$Z$1,0)),"")</f>
        <v/>
      </c>
      <c r="H1289" s="6" t="str">
        <f aca="false">IFERROR(INDEX('Semrush Data'!$A$1:$Z$20000,MATCH(A1289,'Semrush Data'!$A$1:$A$20000,0),MATCH("Keyword Difficulty*",'Semrush Data'!$A$1:$Z$1,0)),"")</f>
        <v/>
      </c>
      <c r="I1289" s="29" t="str">
        <f aca="false">IFERROR(INDEX('Semrush Data'!$A$1:$Z$20000,MATCH(A1289,'Semrush Data'!$A$1:$A$20000,0),MATCH("CPC*",'Semrush Data'!$A$1:$Z$1,0)),"")</f>
        <v/>
      </c>
      <c r="J1289" s="6" t="str">
        <f aca="false">IFERROR(INDEX('Semrush Data'!$A$1:$Z$20000,MATCH(A1289,'Semrush Data'!$A$1:$A$20000,0),MATCH("Intent",'Semrush Data'!$A$1:$Z$1,0)),"")</f>
        <v/>
      </c>
    </row>
    <row r="1290" customFormat="false" ht="15" hidden="false" customHeight="true" outlineLevel="0" collapsed="false">
      <c r="A1290" s="6" t="s">
        <v>1478</v>
      </c>
      <c r="B1290" s="6" t="s">
        <v>6866</v>
      </c>
      <c r="C1290" s="6" t="n">
        <v>2</v>
      </c>
      <c r="D1290" s="6" t="n">
        <v>13</v>
      </c>
      <c r="E1290" s="6" t="n">
        <v>1</v>
      </c>
      <c r="F1290" s="6" t="s">
        <v>423</v>
      </c>
      <c r="G1290" s="28" t="str">
        <f aca="false">IFERROR(INDEX('Semrush Data'!$A$1:$Z$20000,MATCH(A1290,'Semrush Data'!$A$1:$A$20000,0),MATCH("Volume",'Semrush Data'!$A$1:$Z$1,0)),"")</f>
        <v/>
      </c>
      <c r="H1290" s="6" t="str">
        <f aca="false">IFERROR(INDEX('Semrush Data'!$A$1:$Z$20000,MATCH(A1290,'Semrush Data'!$A$1:$A$20000,0),MATCH("Keyword Difficulty*",'Semrush Data'!$A$1:$Z$1,0)),"")</f>
        <v/>
      </c>
      <c r="I1290" s="29" t="str">
        <f aca="false">IFERROR(INDEX('Semrush Data'!$A$1:$Z$20000,MATCH(A1290,'Semrush Data'!$A$1:$A$20000,0),MATCH("CPC*",'Semrush Data'!$A$1:$Z$1,0)),"")</f>
        <v/>
      </c>
      <c r="J1290" s="6" t="str">
        <f aca="false">IFERROR(INDEX('Semrush Data'!$A$1:$Z$20000,MATCH(A1290,'Semrush Data'!$A$1:$A$20000,0),MATCH("Intent",'Semrush Data'!$A$1:$Z$1,0)),"")</f>
        <v/>
      </c>
    </row>
    <row r="1291" customFormat="false" ht="15" hidden="false" customHeight="true" outlineLevel="0" collapsed="false">
      <c r="A1291" s="6" t="s">
        <v>1699</v>
      </c>
      <c r="B1291" s="6" t="s">
        <v>6866</v>
      </c>
      <c r="C1291" s="6" t="n">
        <v>2</v>
      </c>
      <c r="D1291" s="6" t="n">
        <v>13</v>
      </c>
      <c r="E1291" s="6" t="n">
        <v>1</v>
      </c>
      <c r="F1291" s="6" t="s">
        <v>677</v>
      </c>
      <c r="G1291" s="28" t="str">
        <f aca="false">IFERROR(INDEX('Semrush Data'!$A$1:$Z$20000,MATCH(A1291,'Semrush Data'!$A$1:$A$20000,0),MATCH("Volume",'Semrush Data'!$A$1:$Z$1,0)),"")</f>
        <v/>
      </c>
      <c r="H1291" s="6" t="str">
        <f aca="false">IFERROR(INDEX('Semrush Data'!$A$1:$Z$20000,MATCH(A1291,'Semrush Data'!$A$1:$A$20000,0),MATCH("Keyword Difficulty*",'Semrush Data'!$A$1:$Z$1,0)),"")</f>
        <v/>
      </c>
      <c r="I1291" s="29" t="str">
        <f aca="false">IFERROR(INDEX('Semrush Data'!$A$1:$Z$20000,MATCH(A1291,'Semrush Data'!$A$1:$A$20000,0),MATCH("CPC*",'Semrush Data'!$A$1:$Z$1,0)),"")</f>
        <v/>
      </c>
      <c r="J1291" s="6" t="str">
        <f aca="false">IFERROR(INDEX('Semrush Data'!$A$1:$Z$20000,MATCH(A1291,'Semrush Data'!$A$1:$A$20000,0),MATCH("Intent",'Semrush Data'!$A$1:$Z$1,0)),"")</f>
        <v/>
      </c>
    </row>
    <row r="1292" customFormat="false" ht="15" hidden="false" customHeight="true" outlineLevel="0" collapsed="false">
      <c r="A1292" s="6" t="s">
        <v>1706</v>
      </c>
      <c r="B1292" s="6" t="s">
        <v>6866</v>
      </c>
      <c r="C1292" s="6" t="n">
        <v>2</v>
      </c>
      <c r="D1292" s="6" t="n">
        <v>13</v>
      </c>
      <c r="E1292" s="6" t="n">
        <v>1</v>
      </c>
      <c r="F1292" s="6" t="s">
        <v>683</v>
      </c>
      <c r="G1292" s="28" t="str">
        <f aca="false">IFERROR(INDEX('Semrush Data'!$A$1:$Z$20000,MATCH(A1292,'Semrush Data'!$A$1:$A$20000,0),MATCH("Volume",'Semrush Data'!$A$1:$Z$1,0)),"")</f>
        <v/>
      </c>
      <c r="H1292" s="6" t="str">
        <f aca="false">IFERROR(INDEX('Semrush Data'!$A$1:$Z$20000,MATCH(A1292,'Semrush Data'!$A$1:$A$20000,0),MATCH("Keyword Difficulty*",'Semrush Data'!$A$1:$Z$1,0)),"")</f>
        <v/>
      </c>
      <c r="I1292" s="29" t="str">
        <f aca="false">IFERROR(INDEX('Semrush Data'!$A$1:$Z$20000,MATCH(A1292,'Semrush Data'!$A$1:$A$20000,0),MATCH("CPC*",'Semrush Data'!$A$1:$Z$1,0)),"")</f>
        <v/>
      </c>
      <c r="J1292" s="6" t="str">
        <f aca="false">IFERROR(INDEX('Semrush Data'!$A$1:$Z$20000,MATCH(A1292,'Semrush Data'!$A$1:$A$20000,0),MATCH("Intent",'Semrush Data'!$A$1:$Z$1,0)),"")</f>
        <v/>
      </c>
    </row>
    <row r="1293" customFormat="false" ht="15" hidden="false" customHeight="true" outlineLevel="0" collapsed="false">
      <c r="A1293" s="6" t="s">
        <v>1792</v>
      </c>
      <c r="B1293" s="6" t="s">
        <v>6866</v>
      </c>
      <c r="C1293" s="6" t="n">
        <v>2</v>
      </c>
      <c r="D1293" s="6" t="n">
        <v>13</v>
      </c>
      <c r="E1293" s="6" t="n">
        <v>1</v>
      </c>
      <c r="F1293" s="6" t="s">
        <v>768</v>
      </c>
      <c r="G1293" s="28" t="str">
        <f aca="false">IFERROR(INDEX('Semrush Data'!$A$1:$Z$20000,MATCH(A1293,'Semrush Data'!$A$1:$A$20000,0),MATCH("Volume",'Semrush Data'!$A$1:$Z$1,0)),"")</f>
        <v/>
      </c>
      <c r="H1293" s="6" t="str">
        <f aca="false">IFERROR(INDEX('Semrush Data'!$A$1:$Z$20000,MATCH(A1293,'Semrush Data'!$A$1:$A$20000,0),MATCH("Keyword Difficulty*",'Semrush Data'!$A$1:$Z$1,0)),"")</f>
        <v/>
      </c>
      <c r="I1293" s="29" t="str">
        <f aca="false">IFERROR(INDEX('Semrush Data'!$A$1:$Z$20000,MATCH(A1293,'Semrush Data'!$A$1:$A$20000,0),MATCH("CPC*",'Semrush Data'!$A$1:$Z$1,0)),"")</f>
        <v/>
      </c>
      <c r="J1293" s="6" t="str">
        <f aca="false">IFERROR(INDEX('Semrush Data'!$A$1:$Z$20000,MATCH(A1293,'Semrush Data'!$A$1:$A$20000,0),MATCH("Intent",'Semrush Data'!$A$1:$Z$1,0)),"")</f>
        <v/>
      </c>
    </row>
    <row r="1294" customFormat="false" ht="15" hidden="false" customHeight="true" outlineLevel="0" collapsed="false">
      <c r="A1294" s="6" t="s">
        <v>1756</v>
      </c>
      <c r="B1294" s="6" t="s">
        <v>6866</v>
      </c>
      <c r="C1294" s="6" t="n">
        <v>2</v>
      </c>
      <c r="D1294" s="6" t="n">
        <v>13</v>
      </c>
      <c r="E1294" s="6" t="n">
        <v>1</v>
      </c>
      <c r="F1294" s="6" t="s">
        <v>734</v>
      </c>
      <c r="G1294" s="28" t="str">
        <f aca="false">IFERROR(INDEX('Semrush Data'!$A$1:$Z$20000,MATCH(A1294,'Semrush Data'!$A$1:$A$20000,0),MATCH("Volume",'Semrush Data'!$A$1:$Z$1,0)),"")</f>
        <v/>
      </c>
      <c r="H1294" s="6" t="str">
        <f aca="false">IFERROR(INDEX('Semrush Data'!$A$1:$Z$20000,MATCH(A1294,'Semrush Data'!$A$1:$A$20000,0),MATCH("Keyword Difficulty*",'Semrush Data'!$A$1:$Z$1,0)),"")</f>
        <v/>
      </c>
      <c r="I1294" s="29" t="str">
        <f aca="false">IFERROR(INDEX('Semrush Data'!$A$1:$Z$20000,MATCH(A1294,'Semrush Data'!$A$1:$A$20000,0),MATCH("CPC*",'Semrush Data'!$A$1:$Z$1,0)),"")</f>
        <v/>
      </c>
      <c r="J1294" s="6" t="str">
        <f aca="false">IFERROR(INDEX('Semrush Data'!$A$1:$Z$20000,MATCH(A1294,'Semrush Data'!$A$1:$A$20000,0),MATCH("Intent",'Semrush Data'!$A$1:$Z$1,0)),"")</f>
        <v/>
      </c>
    </row>
    <row r="1295" customFormat="false" ht="15" hidden="false" customHeight="true" outlineLevel="0" collapsed="false">
      <c r="A1295" s="6" t="s">
        <v>1828</v>
      </c>
      <c r="B1295" s="6" t="s">
        <v>6866</v>
      </c>
      <c r="C1295" s="6" t="n">
        <v>2</v>
      </c>
      <c r="D1295" s="6" t="n">
        <v>13</v>
      </c>
      <c r="E1295" s="6" t="n">
        <v>1</v>
      </c>
      <c r="F1295" s="6" t="s">
        <v>802</v>
      </c>
      <c r="G1295" s="28" t="str">
        <f aca="false">IFERROR(INDEX('Semrush Data'!$A$1:$Z$20000,MATCH(A1295,'Semrush Data'!$A$1:$A$20000,0),MATCH("Volume",'Semrush Data'!$A$1:$Z$1,0)),"")</f>
        <v/>
      </c>
      <c r="H1295" s="6" t="str">
        <f aca="false">IFERROR(INDEX('Semrush Data'!$A$1:$Z$20000,MATCH(A1295,'Semrush Data'!$A$1:$A$20000,0),MATCH("Keyword Difficulty*",'Semrush Data'!$A$1:$Z$1,0)),"")</f>
        <v/>
      </c>
      <c r="I1295" s="29" t="str">
        <f aca="false">IFERROR(INDEX('Semrush Data'!$A$1:$Z$20000,MATCH(A1295,'Semrush Data'!$A$1:$A$20000,0),MATCH("CPC*",'Semrush Data'!$A$1:$Z$1,0)),"")</f>
        <v/>
      </c>
      <c r="J1295" s="6" t="str">
        <f aca="false">IFERROR(INDEX('Semrush Data'!$A$1:$Z$20000,MATCH(A1295,'Semrush Data'!$A$1:$A$20000,0),MATCH("Intent",'Semrush Data'!$A$1:$Z$1,0)),"")</f>
        <v/>
      </c>
    </row>
    <row r="1296" customFormat="false" ht="15" hidden="false" customHeight="true" outlineLevel="0" collapsed="false">
      <c r="A1296" s="6" t="s">
        <v>1506</v>
      </c>
      <c r="B1296" s="6" t="s">
        <v>6866</v>
      </c>
      <c r="C1296" s="6" t="n">
        <v>2</v>
      </c>
      <c r="D1296" s="6" t="n">
        <v>13</v>
      </c>
      <c r="E1296" s="6" t="n">
        <v>1</v>
      </c>
      <c r="F1296" s="6" t="s">
        <v>454</v>
      </c>
      <c r="G1296" s="28" t="str">
        <f aca="false">IFERROR(INDEX('Semrush Data'!$A$1:$Z$20000,MATCH(A1296,'Semrush Data'!$A$1:$A$20000,0),MATCH("Volume",'Semrush Data'!$A$1:$Z$1,0)),"")</f>
        <v/>
      </c>
      <c r="H1296" s="6" t="str">
        <f aca="false">IFERROR(INDEX('Semrush Data'!$A$1:$Z$20000,MATCH(A1296,'Semrush Data'!$A$1:$A$20000,0),MATCH("Keyword Difficulty*",'Semrush Data'!$A$1:$Z$1,0)),"")</f>
        <v/>
      </c>
      <c r="I1296" s="29" t="str">
        <f aca="false">IFERROR(INDEX('Semrush Data'!$A$1:$Z$20000,MATCH(A1296,'Semrush Data'!$A$1:$A$20000,0),MATCH("CPC*",'Semrush Data'!$A$1:$Z$1,0)),"")</f>
        <v/>
      </c>
      <c r="J1296" s="6" t="str">
        <f aca="false">IFERROR(INDEX('Semrush Data'!$A$1:$Z$20000,MATCH(A1296,'Semrush Data'!$A$1:$A$20000,0),MATCH("Intent",'Semrush Data'!$A$1:$Z$1,0)),"")</f>
        <v/>
      </c>
    </row>
    <row r="1297" customFormat="false" ht="15" hidden="false" customHeight="true" outlineLevel="0" collapsed="false">
      <c r="A1297" s="6" t="s">
        <v>1436</v>
      </c>
      <c r="B1297" s="6" t="s">
        <v>6866</v>
      </c>
      <c r="C1297" s="6" t="n">
        <v>2</v>
      </c>
      <c r="D1297" s="6" t="n">
        <v>13</v>
      </c>
      <c r="E1297" s="6" t="n">
        <v>1</v>
      </c>
      <c r="F1297" s="6" t="s">
        <v>372</v>
      </c>
      <c r="G1297" s="28" t="str">
        <f aca="false">IFERROR(INDEX('Semrush Data'!$A$1:$Z$20000,MATCH(A1297,'Semrush Data'!$A$1:$A$20000,0),MATCH("Volume",'Semrush Data'!$A$1:$Z$1,0)),"")</f>
        <v/>
      </c>
      <c r="H1297" s="6" t="str">
        <f aca="false">IFERROR(INDEX('Semrush Data'!$A$1:$Z$20000,MATCH(A1297,'Semrush Data'!$A$1:$A$20000,0),MATCH("Keyword Difficulty*",'Semrush Data'!$A$1:$Z$1,0)),"")</f>
        <v/>
      </c>
      <c r="I1297" s="29" t="str">
        <f aca="false">IFERROR(INDEX('Semrush Data'!$A$1:$Z$20000,MATCH(A1297,'Semrush Data'!$A$1:$A$20000,0),MATCH("CPC*",'Semrush Data'!$A$1:$Z$1,0)),"")</f>
        <v/>
      </c>
      <c r="J1297" s="6" t="str">
        <f aca="false">IFERROR(INDEX('Semrush Data'!$A$1:$Z$20000,MATCH(A1297,'Semrush Data'!$A$1:$A$20000,0),MATCH("Intent",'Semrush Data'!$A$1:$Z$1,0)),"")</f>
        <v/>
      </c>
    </row>
    <row r="1298" customFormat="false" ht="15" hidden="false" customHeight="true" outlineLevel="0" collapsed="false">
      <c r="A1298" s="6" t="s">
        <v>1762</v>
      </c>
      <c r="B1298" s="6" t="s">
        <v>6866</v>
      </c>
      <c r="C1298" s="6" t="n">
        <v>2</v>
      </c>
      <c r="D1298" s="6" t="n">
        <v>13</v>
      </c>
      <c r="E1298" s="6" t="n">
        <v>1</v>
      </c>
      <c r="F1298" s="6" t="s">
        <v>740</v>
      </c>
      <c r="G1298" s="28" t="str">
        <f aca="false">IFERROR(INDEX('Semrush Data'!$A$1:$Z$20000,MATCH(A1298,'Semrush Data'!$A$1:$A$20000,0),MATCH("Volume",'Semrush Data'!$A$1:$Z$1,0)),"")</f>
        <v/>
      </c>
      <c r="H1298" s="6" t="str">
        <f aca="false">IFERROR(INDEX('Semrush Data'!$A$1:$Z$20000,MATCH(A1298,'Semrush Data'!$A$1:$A$20000,0),MATCH("Keyword Difficulty*",'Semrush Data'!$A$1:$Z$1,0)),"")</f>
        <v/>
      </c>
      <c r="I1298" s="29" t="str">
        <f aca="false">IFERROR(INDEX('Semrush Data'!$A$1:$Z$20000,MATCH(A1298,'Semrush Data'!$A$1:$A$20000,0),MATCH("CPC*",'Semrush Data'!$A$1:$Z$1,0)),"")</f>
        <v/>
      </c>
      <c r="J1298" s="6" t="str">
        <f aca="false">IFERROR(INDEX('Semrush Data'!$A$1:$Z$20000,MATCH(A1298,'Semrush Data'!$A$1:$A$20000,0),MATCH("Intent",'Semrush Data'!$A$1:$Z$1,0)),"")</f>
        <v/>
      </c>
    </row>
    <row r="1299" customFormat="false" ht="15" hidden="false" customHeight="true" outlineLevel="0" collapsed="false">
      <c r="A1299" s="6" t="s">
        <v>1882</v>
      </c>
      <c r="B1299" s="6" t="s">
        <v>6866</v>
      </c>
      <c r="C1299" s="6" t="n">
        <v>2</v>
      </c>
      <c r="D1299" s="6" t="n">
        <v>13</v>
      </c>
      <c r="E1299" s="6" t="n">
        <v>1</v>
      </c>
      <c r="F1299" s="6" t="s">
        <v>851</v>
      </c>
      <c r="G1299" s="28" t="str">
        <f aca="false">IFERROR(INDEX('Semrush Data'!$A$1:$Z$20000,MATCH(A1299,'Semrush Data'!$A$1:$A$20000,0),MATCH("Volume",'Semrush Data'!$A$1:$Z$1,0)),"")</f>
        <v/>
      </c>
      <c r="H1299" s="6" t="str">
        <f aca="false">IFERROR(INDEX('Semrush Data'!$A$1:$Z$20000,MATCH(A1299,'Semrush Data'!$A$1:$A$20000,0),MATCH("Keyword Difficulty*",'Semrush Data'!$A$1:$Z$1,0)),"")</f>
        <v/>
      </c>
      <c r="I1299" s="29" t="str">
        <f aca="false">IFERROR(INDEX('Semrush Data'!$A$1:$Z$20000,MATCH(A1299,'Semrush Data'!$A$1:$A$20000,0),MATCH("CPC*",'Semrush Data'!$A$1:$Z$1,0)),"")</f>
        <v/>
      </c>
      <c r="J1299" s="6" t="str">
        <f aca="false">IFERROR(INDEX('Semrush Data'!$A$1:$Z$20000,MATCH(A1299,'Semrush Data'!$A$1:$A$20000,0),MATCH("Intent",'Semrush Data'!$A$1:$Z$1,0)),"")</f>
        <v/>
      </c>
    </row>
    <row r="1300" customFormat="false" ht="15" hidden="false" customHeight="true" outlineLevel="0" collapsed="false">
      <c r="A1300" s="6" t="s">
        <v>1786</v>
      </c>
      <c r="B1300" s="6" t="s">
        <v>6866</v>
      </c>
      <c r="C1300" s="6" t="n">
        <v>2</v>
      </c>
      <c r="D1300" s="6" t="n">
        <v>13</v>
      </c>
      <c r="E1300" s="6" t="n">
        <v>1</v>
      </c>
      <c r="F1300" s="6" t="s">
        <v>763</v>
      </c>
      <c r="G1300" s="28" t="str">
        <f aca="false">IFERROR(INDEX('Semrush Data'!$A$1:$Z$20000,MATCH(A1300,'Semrush Data'!$A$1:$A$20000,0),MATCH("Volume",'Semrush Data'!$A$1:$Z$1,0)),"")</f>
        <v/>
      </c>
      <c r="H1300" s="6" t="str">
        <f aca="false">IFERROR(INDEX('Semrush Data'!$A$1:$Z$20000,MATCH(A1300,'Semrush Data'!$A$1:$A$20000,0),MATCH("Keyword Difficulty*",'Semrush Data'!$A$1:$Z$1,0)),"")</f>
        <v/>
      </c>
      <c r="I1300" s="29" t="str">
        <f aca="false">IFERROR(INDEX('Semrush Data'!$A$1:$Z$20000,MATCH(A1300,'Semrush Data'!$A$1:$A$20000,0),MATCH("CPC*",'Semrush Data'!$A$1:$Z$1,0)),"")</f>
        <v/>
      </c>
      <c r="J1300" s="6" t="str">
        <f aca="false">IFERROR(INDEX('Semrush Data'!$A$1:$Z$20000,MATCH(A1300,'Semrush Data'!$A$1:$A$20000,0),MATCH("Intent",'Semrush Data'!$A$1:$Z$1,0)),"")</f>
        <v/>
      </c>
    </row>
    <row r="1301" customFormat="false" ht="15" hidden="false" customHeight="true" outlineLevel="0" collapsed="false">
      <c r="A1301" s="6" t="s">
        <v>1470</v>
      </c>
      <c r="B1301" s="6" t="s">
        <v>6866</v>
      </c>
      <c r="C1301" s="6" t="n">
        <v>2</v>
      </c>
      <c r="D1301" s="6" t="n">
        <v>13</v>
      </c>
      <c r="E1301" s="6" t="n">
        <v>1</v>
      </c>
      <c r="F1301" s="6" t="s">
        <v>413</v>
      </c>
      <c r="G1301" s="28" t="str">
        <f aca="false">IFERROR(INDEX('Semrush Data'!$A$1:$Z$20000,MATCH(A1301,'Semrush Data'!$A$1:$A$20000,0),MATCH("Volume",'Semrush Data'!$A$1:$Z$1,0)),"")</f>
        <v/>
      </c>
      <c r="H1301" s="6" t="str">
        <f aca="false">IFERROR(INDEX('Semrush Data'!$A$1:$Z$20000,MATCH(A1301,'Semrush Data'!$A$1:$A$20000,0),MATCH("Keyword Difficulty*",'Semrush Data'!$A$1:$Z$1,0)),"")</f>
        <v/>
      </c>
      <c r="I1301" s="29" t="str">
        <f aca="false">IFERROR(INDEX('Semrush Data'!$A$1:$Z$20000,MATCH(A1301,'Semrush Data'!$A$1:$A$20000,0),MATCH("CPC*",'Semrush Data'!$A$1:$Z$1,0)),"")</f>
        <v/>
      </c>
      <c r="J1301" s="6" t="str">
        <f aca="false">IFERROR(INDEX('Semrush Data'!$A$1:$Z$20000,MATCH(A1301,'Semrush Data'!$A$1:$A$20000,0),MATCH("Intent",'Semrush Data'!$A$1:$Z$1,0)),"")</f>
        <v/>
      </c>
    </row>
    <row r="1302" customFormat="false" ht="15" hidden="false" customHeight="true" outlineLevel="0" collapsed="false">
      <c r="A1302" s="6" t="s">
        <v>1900</v>
      </c>
      <c r="B1302" s="6" t="s">
        <v>6866</v>
      </c>
      <c r="C1302" s="6" t="n">
        <v>2</v>
      </c>
      <c r="D1302" s="6" t="n">
        <v>14</v>
      </c>
      <c r="E1302" s="6" t="n">
        <v>1</v>
      </c>
      <c r="F1302" s="6" t="s">
        <v>868</v>
      </c>
      <c r="G1302" s="28" t="str">
        <f aca="false">IFERROR(INDEX('Semrush Data'!$A$1:$Z$20000,MATCH(A1302,'Semrush Data'!$A$1:$A$20000,0),MATCH("Volume",'Semrush Data'!$A$1:$Z$1,0)),"")</f>
        <v/>
      </c>
      <c r="H1302" s="6" t="str">
        <f aca="false">IFERROR(INDEX('Semrush Data'!$A$1:$Z$20000,MATCH(A1302,'Semrush Data'!$A$1:$A$20000,0),MATCH("Keyword Difficulty*",'Semrush Data'!$A$1:$Z$1,0)),"")</f>
        <v/>
      </c>
      <c r="I1302" s="29" t="str">
        <f aca="false">IFERROR(INDEX('Semrush Data'!$A$1:$Z$20000,MATCH(A1302,'Semrush Data'!$A$1:$A$20000,0),MATCH("CPC*",'Semrush Data'!$A$1:$Z$1,0)),"")</f>
        <v/>
      </c>
      <c r="J1302" s="6" t="str">
        <f aca="false">IFERROR(INDEX('Semrush Data'!$A$1:$Z$20000,MATCH(A1302,'Semrush Data'!$A$1:$A$20000,0),MATCH("Intent",'Semrush Data'!$A$1:$Z$1,0)),"")</f>
        <v/>
      </c>
    </row>
    <row r="1303" customFormat="false" ht="15" hidden="false" customHeight="true" outlineLevel="0" collapsed="false">
      <c r="A1303" s="6" t="s">
        <v>1822</v>
      </c>
      <c r="B1303" s="6" t="s">
        <v>6866</v>
      </c>
      <c r="C1303" s="6" t="n">
        <v>2</v>
      </c>
      <c r="D1303" s="6" t="n">
        <v>14</v>
      </c>
      <c r="E1303" s="6" t="n">
        <v>1</v>
      </c>
      <c r="F1303" s="6" t="s">
        <v>796</v>
      </c>
      <c r="G1303" s="28" t="str">
        <f aca="false">IFERROR(INDEX('Semrush Data'!$A$1:$Z$20000,MATCH(A1303,'Semrush Data'!$A$1:$A$20000,0),MATCH("Volume",'Semrush Data'!$A$1:$Z$1,0)),"")</f>
        <v/>
      </c>
      <c r="H1303" s="6" t="str">
        <f aca="false">IFERROR(INDEX('Semrush Data'!$A$1:$Z$20000,MATCH(A1303,'Semrush Data'!$A$1:$A$20000,0),MATCH("Keyword Difficulty*",'Semrush Data'!$A$1:$Z$1,0)),"")</f>
        <v/>
      </c>
      <c r="I1303" s="29" t="str">
        <f aca="false">IFERROR(INDEX('Semrush Data'!$A$1:$Z$20000,MATCH(A1303,'Semrush Data'!$A$1:$A$20000,0),MATCH("CPC*",'Semrush Data'!$A$1:$Z$1,0)),"")</f>
        <v/>
      </c>
      <c r="J1303" s="6" t="str">
        <f aca="false">IFERROR(INDEX('Semrush Data'!$A$1:$Z$20000,MATCH(A1303,'Semrush Data'!$A$1:$A$20000,0),MATCH("Intent",'Semrush Data'!$A$1:$Z$1,0)),"")</f>
        <v/>
      </c>
    </row>
    <row r="1304" customFormat="false" ht="15" hidden="false" customHeight="true" outlineLevel="0" collapsed="false">
      <c r="A1304" s="6" t="s">
        <v>1870</v>
      </c>
      <c r="B1304" s="6" t="s">
        <v>6866</v>
      </c>
      <c r="C1304" s="6" t="n">
        <v>2</v>
      </c>
      <c r="D1304" s="6" t="n">
        <v>14</v>
      </c>
      <c r="E1304" s="6" t="n">
        <v>1</v>
      </c>
      <c r="F1304" s="6" t="s">
        <v>841</v>
      </c>
      <c r="G1304" s="28" t="str">
        <f aca="false">IFERROR(INDEX('Semrush Data'!$A$1:$Z$20000,MATCH(A1304,'Semrush Data'!$A$1:$A$20000,0),MATCH("Volume",'Semrush Data'!$A$1:$Z$1,0)),"")</f>
        <v/>
      </c>
      <c r="H1304" s="6" t="str">
        <f aca="false">IFERROR(INDEX('Semrush Data'!$A$1:$Z$20000,MATCH(A1304,'Semrush Data'!$A$1:$A$20000,0),MATCH("Keyword Difficulty*",'Semrush Data'!$A$1:$Z$1,0)),"")</f>
        <v/>
      </c>
      <c r="I1304" s="29" t="str">
        <f aca="false">IFERROR(INDEX('Semrush Data'!$A$1:$Z$20000,MATCH(A1304,'Semrush Data'!$A$1:$A$20000,0),MATCH("CPC*",'Semrush Data'!$A$1:$Z$1,0)),"")</f>
        <v/>
      </c>
      <c r="J1304" s="6" t="str">
        <f aca="false">IFERROR(INDEX('Semrush Data'!$A$1:$Z$20000,MATCH(A1304,'Semrush Data'!$A$1:$A$20000,0),MATCH("Intent",'Semrush Data'!$A$1:$Z$1,0)),"")</f>
        <v/>
      </c>
    </row>
    <row r="1305" customFormat="false" ht="15" hidden="false" customHeight="true" outlineLevel="0" collapsed="false">
      <c r="A1305" s="6" t="s">
        <v>1780</v>
      </c>
      <c r="B1305" s="6" t="s">
        <v>6866</v>
      </c>
      <c r="C1305" s="6" t="n">
        <v>2</v>
      </c>
      <c r="D1305" s="6" t="n">
        <v>14</v>
      </c>
      <c r="E1305" s="6" t="n">
        <v>1</v>
      </c>
      <c r="F1305" s="6" t="s">
        <v>758</v>
      </c>
      <c r="G1305" s="28" t="str">
        <f aca="false">IFERROR(INDEX('Semrush Data'!$A$1:$Z$20000,MATCH(A1305,'Semrush Data'!$A$1:$A$20000,0),MATCH("Volume",'Semrush Data'!$A$1:$Z$1,0)),"")</f>
        <v/>
      </c>
      <c r="H1305" s="6" t="str">
        <f aca="false">IFERROR(INDEX('Semrush Data'!$A$1:$Z$20000,MATCH(A1305,'Semrush Data'!$A$1:$A$20000,0),MATCH("Keyword Difficulty*",'Semrush Data'!$A$1:$Z$1,0)),"")</f>
        <v/>
      </c>
      <c r="I1305" s="29" t="str">
        <f aca="false">IFERROR(INDEX('Semrush Data'!$A$1:$Z$20000,MATCH(A1305,'Semrush Data'!$A$1:$A$20000,0),MATCH("CPC*",'Semrush Data'!$A$1:$Z$1,0)),"")</f>
        <v/>
      </c>
      <c r="J1305" s="6" t="str">
        <f aca="false">IFERROR(INDEX('Semrush Data'!$A$1:$Z$20000,MATCH(A1305,'Semrush Data'!$A$1:$A$20000,0),MATCH("Intent",'Semrush Data'!$A$1:$Z$1,0)),"")</f>
        <v/>
      </c>
    </row>
    <row r="1306" customFormat="false" ht="15" hidden="false" customHeight="true" outlineLevel="0" collapsed="false">
      <c r="A1306" s="6" t="s">
        <v>1816</v>
      </c>
      <c r="B1306" s="6" t="s">
        <v>6866</v>
      </c>
      <c r="C1306" s="6" t="n">
        <v>2</v>
      </c>
      <c r="D1306" s="6" t="n">
        <v>14</v>
      </c>
      <c r="E1306" s="6" t="n">
        <v>1</v>
      </c>
      <c r="F1306" s="6" t="s">
        <v>790</v>
      </c>
      <c r="G1306" s="28" t="str">
        <f aca="false">IFERROR(INDEX('Semrush Data'!$A$1:$Z$20000,MATCH(A1306,'Semrush Data'!$A$1:$A$20000,0),MATCH("Volume",'Semrush Data'!$A$1:$Z$1,0)),"")</f>
        <v/>
      </c>
      <c r="H1306" s="6" t="str">
        <f aca="false">IFERROR(INDEX('Semrush Data'!$A$1:$Z$20000,MATCH(A1306,'Semrush Data'!$A$1:$A$20000,0),MATCH("Keyword Difficulty*",'Semrush Data'!$A$1:$Z$1,0)),"")</f>
        <v/>
      </c>
      <c r="I1306" s="29" t="str">
        <f aca="false">IFERROR(INDEX('Semrush Data'!$A$1:$Z$20000,MATCH(A1306,'Semrush Data'!$A$1:$A$20000,0),MATCH("CPC*",'Semrush Data'!$A$1:$Z$1,0)),"")</f>
        <v/>
      </c>
      <c r="J1306" s="6" t="str">
        <f aca="false">IFERROR(INDEX('Semrush Data'!$A$1:$Z$20000,MATCH(A1306,'Semrush Data'!$A$1:$A$20000,0),MATCH("Intent",'Semrush Data'!$A$1:$Z$1,0)),"")</f>
        <v/>
      </c>
    </row>
    <row r="1307" customFormat="false" ht="15" hidden="false" customHeight="true" outlineLevel="0" collapsed="false">
      <c r="A1307" s="6" t="s">
        <v>1864</v>
      </c>
      <c r="B1307" s="6" t="s">
        <v>6866</v>
      </c>
      <c r="C1307" s="6" t="n">
        <v>2</v>
      </c>
      <c r="D1307" s="6" t="n">
        <v>14</v>
      </c>
      <c r="E1307" s="6" t="n">
        <v>1</v>
      </c>
      <c r="F1307" s="6" t="s">
        <v>835</v>
      </c>
      <c r="G1307" s="28" t="str">
        <f aca="false">IFERROR(INDEX('Semrush Data'!$A$1:$Z$20000,MATCH(A1307,'Semrush Data'!$A$1:$A$20000,0),MATCH("Volume",'Semrush Data'!$A$1:$Z$1,0)),"")</f>
        <v/>
      </c>
      <c r="H1307" s="6" t="str">
        <f aca="false">IFERROR(INDEX('Semrush Data'!$A$1:$Z$20000,MATCH(A1307,'Semrush Data'!$A$1:$A$20000,0),MATCH("Keyword Difficulty*",'Semrush Data'!$A$1:$Z$1,0)),"")</f>
        <v/>
      </c>
      <c r="I1307" s="29" t="str">
        <f aca="false">IFERROR(INDEX('Semrush Data'!$A$1:$Z$20000,MATCH(A1307,'Semrush Data'!$A$1:$A$20000,0),MATCH("CPC*",'Semrush Data'!$A$1:$Z$1,0)),"")</f>
        <v/>
      </c>
      <c r="J1307" s="6" t="str">
        <f aca="false">IFERROR(INDEX('Semrush Data'!$A$1:$Z$20000,MATCH(A1307,'Semrush Data'!$A$1:$A$20000,0),MATCH("Intent",'Semrush Data'!$A$1:$Z$1,0)),"")</f>
        <v/>
      </c>
    </row>
    <row r="1308" customFormat="false" ht="15" hidden="false" customHeight="true" outlineLevel="0" collapsed="false">
      <c r="A1308" s="6" t="s">
        <v>1485</v>
      </c>
      <c r="B1308" s="6" t="s">
        <v>6866</v>
      </c>
      <c r="C1308" s="6" t="n">
        <v>2</v>
      </c>
      <c r="D1308" s="6" t="n">
        <v>14</v>
      </c>
      <c r="E1308" s="6" t="n">
        <v>1</v>
      </c>
      <c r="F1308" s="6" t="s">
        <v>432</v>
      </c>
      <c r="G1308" s="28" t="str">
        <f aca="false">IFERROR(INDEX('Semrush Data'!$A$1:$Z$20000,MATCH(A1308,'Semrush Data'!$A$1:$A$20000,0),MATCH("Volume",'Semrush Data'!$A$1:$Z$1,0)),"")</f>
        <v/>
      </c>
      <c r="H1308" s="6" t="str">
        <f aca="false">IFERROR(INDEX('Semrush Data'!$A$1:$Z$20000,MATCH(A1308,'Semrush Data'!$A$1:$A$20000,0),MATCH("Keyword Difficulty*",'Semrush Data'!$A$1:$Z$1,0)),"")</f>
        <v/>
      </c>
      <c r="I1308" s="29" t="str">
        <f aca="false">IFERROR(INDEX('Semrush Data'!$A$1:$Z$20000,MATCH(A1308,'Semrush Data'!$A$1:$A$20000,0),MATCH("CPC*",'Semrush Data'!$A$1:$Z$1,0)),"")</f>
        <v/>
      </c>
      <c r="J1308" s="6" t="str">
        <f aca="false">IFERROR(INDEX('Semrush Data'!$A$1:$Z$20000,MATCH(A1308,'Semrush Data'!$A$1:$A$20000,0),MATCH("Intent",'Semrush Data'!$A$1:$Z$1,0)),"")</f>
        <v/>
      </c>
    </row>
    <row r="1309" customFormat="false" ht="15" hidden="false" customHeight="true" outlineLevel="0" collapsed="false">
      <c r="A1309" s="6" t="s">
        <v>1711</v>
      </c>
      <c r="B1309" s="6" t="s">
        <v>6866</v>
      </c>
      <c r="C1309" s="6" t="n">
        <v>2</v>
      </c>
      <c r="D1309" s="6" t="n">
        <v>14</v>
      </c>
      <c r="E1309" s="6" t="n">
        <v>1</v>
      </c>
      <c r="F1309" s="6" t="s">
        <v>689</v>
      </c>
      <c r="G1309" s="28" t="str">
        <f aca="false">IFERROR(INDEX('Semrush Data'!$A$1:$Z$20000,MATCH(A1309,'Semrush Data'!$A$1:$A$20000,0),MATCH("Volume",'Semrush Data'!$A$1:$Z$1,0)),"")</f>
        <v/>
      </c>
      <c r="H1309" s="6" t="str">
        <f aca="false">IFERROR(INDEX('Semrush Data'!$A$1:$Z$20000,MATCH(A1309,'Semrush Data'!$A$1:$A$20000,0),MATCH("Keyword Difficulty*",'Semrush Data'!$A$1:$Z$1,0)),"")</f>
        <v/>
      </c>
      <c r="I1309" s="29" t="str">
        <f aca="false">IFERROR(INDEX('Semrush Data'!$A$1:$Z$20000,MATCH(A1309,'Semrush Data'!$A$1:$A$20000,0),MATCH("CPC*",'Semrush Data'!$A$1:$Z$1,0)),"")</f>
        <v/>
      </c>
      <c r="J1309" s="6" t="str">
        <f aca="false">IFERROR(INDEX('Semrush Data'!$A$1:$Z$20000,MATCH(A1309,'Semrush Data'!$A$1:$A$20000,0),MATCH("Intent",'Semrush Data'!$A$1:$Z$1,0)),"")</f>
        <v/>
      </c>
    </row>
    <row r="1310" customFormat="false" ht="15" hidden="false" customHeight="true" outlineLevel="0" collapsed="false">
      <c r="A1310" s="6" t="s">
        <v>1568</v>
      </c>
      <c r="B1310" s="6" t="s">
        <v>6866</v>
      </c>
      <c r="C1310" s="6" t="n">
        <v>2</v>
      </c>
      <c r="D1310" s="6" t="n">
        <v>14</v>
      </c>
      <c r="E1310" s="6" t="n">
        <v>1</v>
      </c>
      <c r="F1310" s="6" t="s">
        <v>528</v>
      </c>
      <c r="G1310" s="28" t="str">
        <f aca="false">IFERROR(INDEX('Semrush Data'!$A$1:$Z$20000,MATCH(A1310,'Semrush Data'!$A$1:$A$20000,0),MATCH("Volume",'Semrush Data'!$A$1:$Z$1,0)),"")</f>
        <v/>
      </c>
      <c r="H1310" s="6" t="str">
        <f aca="false">IFERROR(INDEX('Semrush Data'!$A$1:$Z$20000,MATCH(A1310,'Semrush Data'!$A$1:$A$20000,0),MATCH("Keyword Difficulty*",'Semrush Data'!$A$1:$Z$1,0)),"")</f>
        <v/>
      </c>
      <c r="I1310" s="29" t="str">
        <f aca="false">IFERROR(INDEX('Semrush Data'!$A$1:$Z$20000,MATCH(A1310,'Semrush Data'!$A$1:$A$20000,0),MATCH("CPC*",'Semrush Data'!$A$1:$Z$1,0)),"")</f>
        <v/>
      </c>
      <c r="J1310" s="6" t="str">
        <f aca="false">IFERROR(INDEX('Semrush Data'!$A$1:$Z$20000,MATCH(A1310,'Semrush Data'!$A$1:$A$20000,0),MATCH("Intent",'Semrush Data'!$A$1:$Z$1,0)),"")</f>
        <v/>
      </c>
    </row>
    <row r="1311" customFormat="false" ht="15" hidden="false" customHeight="true" outlineLevel="0" collapsed="false">
      <c r="A1311" s="6" t="s">
        <v>1858</v>
      </c>
      <c r="B1311" s="6" t="s">
        <v>6866</v>
      </c>
      <c r="C1311" s="6" t="n">
        <v>2</v>
      </c>
      <c r="D1311" s="6" t="n">
        <v>14</v>
      </c>
      <c r="E1311" s="6" t="n">
        <v>1</v>
      </c>
      <c r="F1311" s="6" t="s">
        <v>829</v>
      </c>
      <c r="G1311" s="28" t="str">
        <f aca="false">IFERROR(INDEX('Semrush Data'!$A$1:$Z$20000,MATCH(A1311,'Semrush Data'!$A$1:$A$20000,0),MATCH("Volume",'Semrush Data'!$A$1:$Z$1,0)),"")</f>
        <v/>
      </c>
      <c r="H1311" s="6" t="str">
        <f aca="false">IFERROR(INDEX('Semrush Data'!$A$1:$Z$20000,MATCH(A1311,'Semrush Data'!$A$1:$A$20000,0),MATCH("Keyword Difficulty*",'Semrush Data'!$A$1:$Z$1,0)),"")</f>
        <v/>
      </c>
      <c r="I1311" s="29" t="str">
        <f aca="false">IFERROR(INDEX('Semrush Data'!$A$1:$Z$20000,MATCH(A1311,'Semrush Data'!$A$1:$A$20000,0),MATCH("CPC*",'Semrush Data'!$A$1:$Z$1,0)),"")</f>
        <v/>
      </c>
      <c r="J1311" s="6" t="str">
        <f aca="false">IFERROR(INDEX('Semrush Data'!$A$1:$Z$20000,MATCH(A1311,'Semrush Data'!$A$1:$A$20000,0),MATCH("Intent",'Semrush Data'!$A$1:$Z$1,0)),"")</f>
        <v/>
      </c>
    </row>
    <row r="1312" customFormat="false" ht="15" hidden="false" customHeight="true" outlineLevel="0" collapsed="false">
      <c r="A1312" s="6" t="s">
        <v>6480</v>
      </c>
      <c r="B1312" s="6" t="s">
        <v>6866</v>
      </c>
      <c r="C1312" s="6" t="n">
        <v>2</v>
      </c>
      <c r="D1312" s="6" t="n">
        <v>14</v>
      </c>
      <c r="E1312" s="6" t="n">
        <v>1</v>
      </c>
      <c r="F1312" s="6" t="s">
        <v>6476</v>
      </c>
      <c r="G1312" s="28" t="str">
        <f aca="false">IFERROR(INDEX('Semrush Data'!$A$1:$Z$20000,MATCH(A1312,'Semrush Data'!$A$1:$A$20000,0),MATCH("Volume",'Semrush Data'!$A$1:$Z$1,0)),"")</f>
        <v/>
      </c>
      <c r="H1312" s="6" t="str">
        <f aca="false">IFERROR(INDEX('Semrush Data'!$A$1:$Z$20000,MATCH(A1312,'Semrush Data'!$A$1:$A$20000,0),MATCH("Keyword Difficulty*",'Semrush Data'!$A$1:$Z$1,0)),"")</f>
        <v/>
      </c>
      <c r="I1312" s="29" t="str">
        <f aca="false">IFERROR(INDEX('Semrush Data'!$A$1:$Z$20000,MATCH(A1312,'Semrush Data'!$A$1:$A$20000,0),MATCH("CPC*",'Semrush Data'!$A$1:$Z$1,0)),"")</f>
        <v/>
      </c>
      <c r="J1312" s="6" t="str">
        <f aca="false">IFERROR(INDEX('Semrush Data'!$A$1:$Z$20000,MATCH(A1312,'Semrush Data'!$A$1:$A$20000,0),MATCH("Intent",'Semrush Data'!$A$1:$Z$1,0)),"")</f>
        <v/>
      </c>
    </row>
    <row r="1313" customFormat="false" ht="15" hidden="false" customHeight="true" outlineLevel="0" collapsed="false">
      <c r="A1313" s="6" t="s">
        <v>2460</v>
      </c>
      <c r="B1313" s="6" t="s">
        <v>6869</v>
      </c>
      <c r="C1313" s="6" t="n">
        <v>2</v>
      </c>
      <c r="D1313" s="6" t="n">
        <v>14</v>
      </c>
      <c r="E1313" s="6" t="n">
        <v>1</v>
      </c>
      <c r="F1313" s="6" t="s">
        <v>2448</v>
      </c>
      <c r="G1313" s="28" t="str">
        <f aca="false">IFERROR(INDEX('Semrush Data'!$A$1:$Z$20000,MATCH(A1313,'Semrush Data'!$A$1:$A$20000,0),MATCH("Volume",'Semrush Data'!$A$1:$Z$1,0)),"")</f>
        <v/>
      </c>
      <c r="H1313" s="6" t="str">
        <f aca="false">IFERROR(INDEX('Semrush Data'!$A$1:$Z$20000,MATCH(A1313,'Semrush Data'!$A$1:$A$20000,0),MATCH("Keyword Difficulty*",'Semrush Data'!$A$1:$Z$1,0)),"")</f>
        <v/>
      </c>
      <c r="I1313" s="29" t="str">
        <f aca="false">IFERROR(INDEX('Semrush Data'!$A$1:$Z$20000,MATCH(A1313,'Semrush Data'!$A$1:$A$20000,0),MATCH("CPC*",'Semrush Data'!$A$1:$Z$1,0)),"")</f>
        <v/>
      </c>
      <c r="J1313" s="6" t="str">
        <f aca="false">IFERROR(INDEX('Semrush Data'!$A$1:$Z$20000,MATCH(A1313,'Semrush Data'!$A$1:$A$20000,0),MATCH("Intent",'Semrush Data'!$A$1:$Z$1,0)),"")</f>
        <v/>
      </c>
    </row>
    <row r="1314" customFormat="false" ht="15" hidden="false" customHeight="true" outlineLevel="0" collapsed="false">
      <c r="A1314" s="6" t="s">
        <v>2472</v>
      </c>
      <c r="B1314" s="6" t="s">
        <v>6869</v>
      </c>
      <c r="C1314" s="6" t="n">
        <v>2</v>
      </c>
      <c r="D1314" s="6" t="n">
        <v>14</v>
      </c>
      <c r="E1314" s="6" t="n">
        <v>1</v>
      </c>
      <c r="F1314" s="6" t="s">
        <v>2466</v>
      </c>
      <c r="G1314" s="28" t="str">
        <f aca="false">IFERROR(INDEX('Semrush Data'!$A$1:$Z$20000,MATCH(A1314,'Semrush Data'!$A$1:$A$20000,0),MATCH("Volume",'Semrush Data'!$A$1:$Z$1,0)),"")</f>
        <v/>
      </c>
      <c r="H1314" s="6" t="str">
        <f aca="false">IFERROR(INDEX('Semrush Data'!$A$1:$Z$20000,MATCH(A1314,'Semrush Data'!$A$1:$A$20000,0),MATCH("Keyword Difficulty*",'Semrush Data'!$A$1:$Z$1,0)),"")</f>
        <v/>
      </c>
      <c r="I1314" s="29" t="str">
        <f aca="false">IFERROR(INDEX('Semrush Data'!$A$1:$Z$20000,MATCH(A1314,'Semrush Data'!$A$1:$A$20000,0),MATCH("CPC*",'Semrush Data'!$A$1:$Z$1,0)),"")</f>
        <v/>
      </c>
      <c r="J1314" s="6" t="str">
        <f aca="false">IFERROR(INDEX('Semrush Data'!$A$1:$Z$20000,MATCH(A1314,'Semrush Data'!$A$1:$A$20000,0),MATCH("Intent",'Semrush Data'!$A$1:$Z$1,0)),"")</f>
        <v/>
      </c>
    </row>
    <row r="1315" customFormat="false" ht="15" hidden="false" customHeight="true" outlineLevel="0" collapsed="false">
      <c r="A1315" s="6" t="s">
        <v>2486</v>
      </c>
      <c r="B1315" s="6" t="s">
        <v>6869</v>
      </c>
      <c r="C1315" s="6" t="n">
        <v>2</v>
      </c>
      <c r="D1315" s="6" t="s">
        <v>6867</v>
      </c>
      <c r="E1315" s="6" t="n">
        <v>1</v>
      </c>
      <c r="F1315" s="6" t="s">
        <v>2477</v>
      </c>
      <c r="G1315" s="28" t="n">
        <f aca="false">IFERROR(INDEX('Semrush Data'!$A$1:$Z$20000,MATCH(A1315,'Semrush Data'!$A$1:$A$20000,0),MATCH("Volume",'Semrush Data'!$A$1:$Z$1,0)),"")</f>
        <v>30</v>
      </c>
      <c r="H1315" s="6" t="n">
        <f aca="false">IFERROR(INDEX('Semrush Data'!$A$1:$Z$20000,MATCH(A1315,'Semrush Data'!$A$1:$A$20000,0),MATCH("Keyword Difficulty*",'Semrush Data'!$A$1:$Z$1,0)),"")</f>
        <v>15</v>
      </c>
      <c r="I1315" s="29" t="n">
        <f aca="false">IFERROR(INDEX('Semrush Data'!$A$1:$Z$20000,MATCH(A1315,'Semrush Data'!$A$1:$A$20000,0),MATCH("CPC*",'Semrush Data'!$A$1:$Z$1,0)),"")</f>
        <v>0.36</v>
      </c>
      <c r="J1315" s="6" t="str">
        <f aca="false">IFERROR(INDEX('Semrush Data'!$A$1:$Z$20000,MATCH(A1315,'Semrush Data'!$A$1:$A$20000,0),MATCH("Intent",'Semrush Data'!$A$1:$Z$1,0)),"")</f>
        <v>Informational Transactional</v>
      </c>
    </row>
    <row r="1316" customFormat="false" ht="15" hidden="false" customHeight="true" outlineLevel="0" collapsed="false">
      <c r="A1316" s="6" t="s">
        <v>2510</v>
      </c>
      <c r="B1316" s="6" t="s">
        <v>6869</v>
      </c>
      <c r="C1316" s="6" t="n">
        <v>2</v>
      </c>
      <c r="D1316" s="6" t="s">
        <v>6868</v>
      </c>
      <c r="E1316" s="6" t="n">
        <v>1</v>
      </c>
      <c r="F1316" s="6" t="s">
        <v>2503</v>
      </c>
      <c r="G1316" s="28" t="n">
        <f aca="false">IFERROR(INDEX('Semrush Data'!$A$1:$Z$20000,MATCH(A1316,'Semrush Data'!$A$1:$A$20000,0),MATCH("Volume",'Semrush Data'!$A$1:$Z$1,0)),"")</f>
        <v>0</v>
      </c>
      <c r="H1316" s="6" t="n">
        <f aca="false">IFERROR(INDEX('Semrush Data'!$A$1:$Z$20000,MATCH(A1316,'Semrush Data'!$A$1:$A$20000,0),MATCH("Keyword Difficulty*",'Semrush Data'!$A$1:$Z$1,0)),"")</f>
        <v>10</v>
      </c>
      <c r="I1316" s="29" t="n">
        <f aca="false">IFERROR(INDEX('Semrush Data'!$A$1:$Z$20000,MATCH(A1316,'Semrush Data'!$A$1:$A$20000,0),MATCH("CPC*",'Semrush Data'!$A$1:$Z$1,0)),"")</f>
        <v>0</v>
      </c>
      <c r="J1316" s="6" t="str">
        <f aca="false">IFERROR(INDEX('Semrush Data'!$A$1:$Z$20000,MATCH(A1316,'Semrush Data'!$A$1:$A$20000,0),MATCH("Intent",'Semrush Data'!$A$1:$Z$1,0)),"")</f>
        <v>Informational Transactional</v>
      </c>
    </row>
    <row r="1317" customFormat="false" ht="15" hidden="false" customHeight="true" outlineLevel="0" collapsed="false">
      <c r="A1317" s="6" t="s">
        <v>2521</v>
      </c>
      <c r="B1317" s="6" t="s">
        <v>6869</v>
      </c>
      <c r="C1317" s="6" t="n">
        <v>2</v>
      </c>
      <c r="D1317" s="6" t="s">
        <v>6867</v>
      </c>
      <c r="E1317" s="6" t="n">
        <v>1</v>
      </c>
      <c r="F1317" s="6" t="s">
        <v>141</v>
      </c>
      <c r="G1317" s="28" t="n">
        <f aca="false">IFERROR(INDEX('Semrush Data'!$A$1:$Z$20000,MATCH(A1317,'Semrush Data'!$A$1:$A$20000,0),MATCH("Volume",'Semrush Data'!$A$1:$Z$1,0)),"")</f>
        <v>20</v>
      </c>
      <c r="H1317" s="6" t="n">
        <f aca="false">IFERROR(INDEX('Semrush Data'!$A$1:$Z$20000,MATCH(A1317,'Semrush Data'!$A$1:$A$20000,0),MATCH("Keyword Difficulty*",'Semrush Data'!$A$1:$Z$1,0)),"")</f>
        <v>13</v>
      </c>
      <c r="I1317" s="29" t="n">
        <f aca="false">IFERROR(INDEX('Semrush Data'!$A$1:$Z$20000,MATCH(A1317,'Semrush Data'!$A$1:$A$20000,0),MATCH("CPC*",'Semrush Data'!$A$1:$Z$1,0)),"")</f>
        <v>0</v>
      </c>
      <c r="J1317" s="6" t="str">
        <f aca="false">IFERROR(INDEX('Semrush Data'!$A$1:$Z$20000,MATCH(A1317,'Semrush Data'!$A$1:$A$20000,0),MATCH("Intent",'Semrush Data'!$A$1:$Z$1,0)),"")</f>
        <v>Informational Transactional</v>
      </c>
    </row>
    <row r="1318" customFormat="false" ht="15" hidden="false" customHeight="true" outlineLevel="0" collapsed="false">
      <c r="A1318" s="6" t="s">
        <v>2532</v>
      </c>
      <c r="B1318" s="6" t="s">
        <v>6869</v>
      </c>
      <c r="C1318" s="6" t="n">
        <v>2</v>
      </c>
      <c r="D1318" s="6" t="s">
        <v>6867</v>
      </c>
      <c r="E1318" s="6" t="n">
        <v>1</v>
      </c>
      <c r="F1318" s="6" t="s">
        <v>135</v>
      </c>
      <c r="G1318" s="28" t="n">
        <f aca="false">IFERROR(INDEX('Semrush Data'!$A$1:$Z$20000,MATCH(A1318,'Semrush Data'!$A$1:$A$20000,0),MATCH("Volume",'Semrush Data'!$A$1:$Z$1,0)),"")</f>
        <v>20</v>
      </c>
      <c r="H1318" s="6" t="n">
        <f aca="false">IFERROR(INDEX('Semrush Data'!$A$1:$Z$20000,MATCH(A1318,'Semrush Data'!$A$1:$A$20000,0),MATCH("Keyword Difficulty*",'Semrush Data'!$A$1:$Z$1,0)),"")</f>
        <v>13</v>
      </c>
      <c r="I1318" s="29" t="n">
        <f aca="false">IFERROR(INDEX('Semrush Data'!$A$1:$Z$20000,MATCH(A1318,'Semrush Data'!$A$1:$A$20000,0),MATCH("CPC*",'Semrush Data'!$A$1:$Z$1,0)),"")</f>
        <v>0</v>
      </c>
      <c r="J1318" s="6" t="str">
        <f aca="false">IFERROR(INDEX('Semrush Data'!$A$1:$Z$20000,MATCH(A1318,'Semrush Data'!$A$1:$A$20000,0),MATCH("Intent",'Semrush Data'!$A$1:$Z$1,0)),"")</f>
        <v>Informational</v>
      </c>
    </row>
    <row r="1319" customFormat="false" ht="15" hidden="false" customHeight="true" outlineLevel="0" collapsed="false">
      <c r="A1319" s="6" t="s">
        <v>2543</v>
      </c>
      <c r="B1319" s="6" t="s">
        <v>6869</v>
      </c>
      <c r="C1319" s="6" t="n">
        <v>2</v>
      </c>
      <c r="D1319" s="6" t="s">
        <v>6867</v>
      </c>
      <c r="E1319" s="6" t="n">
        <v>1</v>
      </c>
      <c r="F1319" s="6" t="s">
        <v>117</v>
      </c>
      <c r="G1319" s="28" t="n">
        <f aca="false">IFERROR(INDEX('Semrush Data'!$A$1:$Z$20000,MATCH(A1319,'Semrush Data'!$A$1:$A$20000,0),MATCH("Volume",'Semrush Data'!$A$1:$Z$1,0)),"")</f>
        <v>20</v>
      </c>
      <c r="H1319" s="6" t="n">
        <f aca="false">IFERROR(INDEX('Semrush Data'!$A$1:$Z$20000,MATCH(A1319,'Semrush Data'!$A$1:$A$20000,0),MATCH("Keyword Difficulty*",'Semrush Data'!$A$1:$Z$1,0)),"")</f>
        <v>9</v>
      </c>
      <c r="I1319" s="29" t="n">
        <f aca="false">IFERROR(INDEX('Semrush Data'!$A$1:$Z$20000,MATCH(A1319,'Semrush Data'!$A$1:$A$20000,0),MATCH("CPC*",'Semrush Data'!$A$1:$Z$1,0)),"")</f>
        <v>0</v>
      </c>
      <c r="J1319" s="6" t="str">
        <f aca="false">IFERROR(INDEX('Semrush Data'!$A$1:$Z$20000,MATCH(A1319,'Semrush Data'!$A$1:$A$20000,0),MATCH("Intent",'Semrush Data'!$A$1:$Z$1,0)),"")</f>
        <v>Informational</v>
      </c>
    </row>
    <row r="1320" customFormat="false" ht="15" hidden="false" customHeight="true" outlineLevel="0" collapsed="false">
      <c r="A1320" s="6" t="s">
        <v>5937</v>
      </c>
      <c r="B1320" s="6" t="s">
        <v>6869</v>
      </c>
      <c r="C1320" s="6" t="n">
        <v>2</v>
      </c>
      <c r="D1320" s="6" t="s">
        <v>6867</v>
      </c>
      <c r="E1320" s="6" t="n">
        <v>1</v>
      </c>
      <c r="F1320" s="6" t="s">
        <v>103</v>
      </c>
      <c r="G1320" s="28" t="n">
        <f aca="false">IFERROR(INDEX('Semrush Data'!$A$1:$Z$20000,MATCH(A1320,'Semrush Data'!$A$1:$A$20000,0),MATCH("Volume",'Semrush Data'!$A$1:$Z$1,0)),"")</f>
        <v>20</v>
      </c>
      <c r="H1320" s="6" t="n">
        <f aca="false">IFERROR(INDEX('Semrush Data'!$A$1:$Z$20000,MATCH(A1320,'Semrush Data'!$A$1:$A$20000,0),MATCH("Keyword Difficulty*",'Semrush Data'!$A$1:$Z$1,0)),"")</f>
        <v>18</v>
      </c>
      <c r="I1320" s="29" t="n">
        <f aca="false">IFERROR(INDEX('Semrush Data'!$A$1:$Z$20000,MATCH(A1320,'Semrush Data'!$A$1:$A$20000,0),MATCH("CPC*",'Semrush Data'!$A$1:$Z$1,0)),"")</f>
        <v>0</v>
      </c>
      <c r="J1320" s="6" t="str">
        <f aca="false">IFERROR(INDEX('Semrush Data'!$A$1:$Z$20000,MATCH(A1320,'Semrush Data'!$A$1:$A$20000,0),MATCH("Intent",'Semrush Data'!$A$1:$Z$1,0)),"")</f>
        <v>Informational</v>
      </c>
    </row>
    <row r="1321" customFormat="false" ht="15" hidden="false" customHeight="true" outlineLevel="0" collapsed="false">
      <c r="A1321" s="6" t="s">
        <v>2576</v>
      </c>
      <c r="B1321" s="6" t="s">
        <v>6869</v>
      </c>
      <c r="C1321" s="6" t="n">
        <v>2</v>
      </c>
      <c r="D1321" s="6" t="n">
        <v>14</v>
      </c>
      <c r="E1321" s="6" t="n">
        <v>1</v>
      </c>
      <c r="F1321" s="6" t="s">
        <v>2569</v>
      </c>
      <c r="G1321" s="28" t="str">
        <f aca="false">IFERROR(INDEX('Semrush Data'!$A$1:$Z$20000,MATCH(A1321,'Semrush Data'!$A$1:$A$20000,0),MATCH("Volume",'Semrush Data'!$A$1:$Z$1,0)),"")</f>
        <v/>
      </c>
      <c r="H1321" s="6" t="str">
        <f aca="false">IFERROR(INDEX('Semrush Data'!$A$1:$Z$20000,MATCH(A1321,'Semrush Data'!$A$1:$A$20000,0),MATCH("Keyword Difficulty*",'Semrush Data'!$A$1:$Z$1,0)),"")</f>
        <v/>
      </c>
      <c r="I1321" s="29" t="str">
        <f aca="false">IFERROR(INDEX('Semrush Data'!$A$1:$Z$20000,MATCH(A1321,'Semrush Data'!$A$1:$A$20000,0),MATCH("CPC*",'Semrush Data'!$A$1:$Z$1,0)),"")</f>
        <v/>
      </c>
      <c r="J1321" s="6" t="str">
        <f aca="false">IFERROR(INDEX('Semrush Data'!$A$1:$Z$20000,MATCH(A1321,'Semrush Data'!$A$1:$A$20000,0),MATCH("Intent",'Semrush Data'!$A$1:$Z$1,0)),"")</f>
        <v/>
      </c>
    </row>
    <row r="1322" customFormat="false" ht="15" hidden="false" customHeight="true" outlineLevel="0" collapsed="false">
      <c r="A1322" s="6" t="s">
        <v>2589</v>
      </c>
      <c r="B1322" s="6" t="s">
        <v>6869</v>
      </c>
      <c r="C1322" s="6" t="n">
        <v>2</v>
      </c>
      <c r="D1322" s="6" t="n">
        <v>14</v>
      </c>
      <c r="E1322" s="6" t="n">
        <v>1</v>
      </c>
      <c r="F1322" s="6" t="s">
        <v>2582</v>
      </c>
      <c r="G1322" s="28" t="str">
        <f aca="false">IFERROR(INDEX('Semrush Data'!$A$1:$Z$20000,MATCH(A1322,'Semrush Data'!$A$1:$A$20000,0),MATCH("Volume",'Semrush Data'!$A$1:$Z$1,0)),"")</f>
        <v/>
      </c>
      <c r="H1322" s="6" t="str">
        <f aca="false">IFERROR(INDEX('Semrush Data'!$A$1:$Z$20000,MATCH(A1322,'Semrush Data'!$A$1:$A$20000,0),MATCH("Keyword Difficulty*",'Semrush Data'!$A$1:$Z$1,0)),"")</f>
        <v/>
      </c>
      <c r="I1322" s="29" t="str">
        <f aca="false">IFERROR(INDEX('Semrush Data'!$A$1:$Z$20000,MATCH(A1322,'Semrush Data'!$A$1:$A$20000,0),MATCH("CPC*",'Semrush Data'!$A$1:$Z$1,0)),"")</f>
        <v/>
      </c>
      <c r="J1322" s="6" t="str">
        <f aca="false">IFERROR(INDEX('Semrush Data'!$A$1:$Z$20000,MATCH(A1322,'Semrush Data'!$A$1:$A$20000,0),MATCH("Intent",'Semrush Data'!$A$1:$Z$1,0)),"")</f>
        <v/>
      </c>
    </row>
    <row r="1323" customFormat="false" ht="15" hidden="false" customHeight="true" outlineLevel="0" collapsed="false">
      <c r="A1323" s="6" t="s">
        <v>2602</v>
      </c>
      <c r="B1323" s="6" t="s">
        <v>6869</v>
      </c>
      <c r="C1323" s="6" t="n">
        <v>2</v>
      </c>
      <c r="D1323" s="6" t="s">
        <v>6868</v>
      </c>
      <c r="E1323" s="6" t="n">
        <v>1</v>
      </c>
      <c r="F1323" s="6" t="s">
        <v>2595</v>
      </c>
      <c r="G1323" s="28" t="n">
        <f aca="false">IFERROR(INDEX('Semrush Data'!$A$1:$Z$20000,MATCH(A1323,'Semrush Data'!$A$1:$A$20000,0),MATCH("Volume",'Semrush Data'!$A$1:$Z$1,0)),"")</f>
        <v>20</v>
      </c>
      <c r="H1323" s="6" t="n">
        <f aca="false">IFERROR(INDEX('Semrush Data'!$A$1:$Z$20000,MATCH(A1323,'Semrush Data'!$A$1:$A$20000,0),MATCH("Keyword Difficulty*",'Semrush Data'!$A$1:$Z$1,0)),"")</f>
        <v>13</v>
      </c>
      <c r="I1323" s="29" t="n">
        <f aca="false">IFERROR(INDEX('Semrush Data'!$A$1:$Z$20000,MATCH(A1323,'Semrush Data'!$A$1:$A$20000,0),MATCH("CPC*",'Semrush Data'!$A$1:$Z$1,0)),"")</f>
        <v>0</v>
      </c>
      <c r="J1323" s="6" t="str">
        <f aca="false">IFERROR(INDEX('Semrush Data'!$A$1:$Z$20000,MATCH(A1323,'Semrush Data'!$A$1:$A$20000,0),MATCH("Intent",'Semrush Data'!$A$1:$Z$1,0)),"")</f>
        <v>Informational</v>
      </c>
    </row>
    <row r="1324" customFormat="false" ht="15" hidden="false" customHeight="true" outlineLevel="0" collapsed="false">
      <c r="A1324" s="6" t="s">
        <v>2614</v>
      </c>
      <c r="B1324" s="6" t="s">
        <v>6869</v>
      </c>
      <c r="C1324" s="6" t="n">
        <v>2</v>
      </c>
      <c r="D1324" s="6" t="s">
        <v>6868</v>
      </c>
      <c r="E1324" s="6" t="n">
        <v>1</v>
      </c>
      <c r="F1324" s="6" t="s">
        <v>2607</v>
      </c>
      <c r="G1324" s="28" t="n">
        <f aca="false">IFERROR(INDEX('Semrush Data'!$A$1:$Z$20000,MATCH(A1324,'Semrush Data'!$A$1:$A$20000,0),MATCH("Volume",'Semrush Data'!$A$1:$Z$1,0)),"")</f>
        <v>20</v>
      </c>
      <c r="H1324" s="6" t="n">
        <f aca="false">IFERROR(INDEX('Semrush Data'!$A$1:$Z$20000,MATCH(A1324,'Semrush Data'!$A$1:$A$20000,0),MATCH("Keyword Difficulty*",'Semrush Data'!$A$1:$Z$1,0)),"")</f>
        <v>6</v>
      </c>
      <c r="I1324" s="29" t="n">
        <f aca="false">IFERROR(INDEX('Semrush Data'!$A$1:$Z$20000,MATCH(A1324,'Semrush Data'!$A$1:$A$20000,0),MATCH("CPC*",'Semrush Data'!$A$1:$Z$1,0)),"")</f>
        <v>0</v>
      </c>
      <c r="J1324" s="6" t="str">
        <f aca="false">IFERROR(INDEX('Semrush Data'!$A$1:$Z$20000,MATCH(A1324,'Semrush Data'!$A$1:$A$20000,0),MATCH("Intent",'Semrush Data'!$A$1:$Z$1,0)),"")</f>
        <v>Informational</v>
      </c>
    </row>
    <row r="1325" customFormat="false" ht="15" hidden="false" customHeight="true" outlineLevel="0" collapsed="false">
      <c r="A1325" s="6" t="s">
        <v>2624</v>
      </c>
      <c r="B1325" s="6" t="s">
        <v>6869</v>
      </c>
      <c r="C1325" s="6" t="n">
        <v>2</v>
      </c>
      <c r="D1325" s="6" t="s">
        <v>6867</v>
      </c>
      <c r="E1325" s="6" t="n">
        <v>1</v>
      </c>
      <c r="F1325" s="6" t="s">
        <v>75</v>
      </c>
      <c r="G1325" s="28" t="n">
        <f aca="false">IFERROR(INDEX('Semrush Data'!$A$1:$Z$20000,MATCH(A1325,'Semrush Data'!$A$1:$A$20000,0),MATCH("Volume",'Semrush Data'!$A$1:$Z$1,0)),"")</f>
        <v>20</v>
      </c>
      <c r="H1325" s="6" t="n">
        <f aca="false">IFERROR(INDEX('Semrush Data'!$A$1:$Z$20000,MATCH(A1325,'Semrush Data'!$A$1:$A$20000,0),MATCH("Keyword Difficulty*",'Semrush Data'!$A$1:$Z$1,0)),"")</f>
        <v>12</v>
      </c>
      <c r="I1325" s="29" t="n">
        <f aca="false">IFERROR(INDEX('Semrush Data'!$A$1:$Z$20000,MATCH(A1325,'Semrush Data'!$A$1:$A$20000,0),MATCH("CPC*",'Semrush Data'!$A$1:$Z$1,0)),"")</f>
        <v>0</v>
      </c>
      <c r="J1325" s="6" t="str">
        <f aca="false">IFERROR(INDEX('Semrush Data'!$A$1:$Z$20000,MATCH(A1325,'Semrush Data'!$A$1:$A$20000,0),MATCH("Intent",'Semrush Data'!$A$1:$Z$1,0)),"")</f>
        <v>Transactional Navigational</v>
      </c>
    </row>
    <row r="1326" customFormat="false" ht="15" hidden="false" customHeight="true" outlineLevel="0" collapsed="false">
      <c r="A1326" s="6" t="s">
        <v>2741</v>
      </c>
      <c r="B1326" s="6" t="s">
        <v>6869</v>
      </c>
      <c r="C1326" s="6" t="n">
        <v>2</v>
      </c>
      <c r="D1326" s="6" t="n">
        <v>14</v>
      </c>
      <c r="E1326" s="6" t="n">
        <v>1</v>
      </c>
      <c r="F1326" s="6" t="s">
        <v>2734</v>
      </c>
      <c r="G1326" s="28" t="str">
        <f aca="false">IFERROR(INDEX('Semrush Data'!$A$1:$Z$20000,MATCH(A1326,'Semrush Data'!$A$1:$A$20000,0),MATCH("Volume",'Semrush Data'!$A$1:$Z$1,0)),"")</f>
        <v/>
      </c>
      <c r="H1326" s="6" t="str">
        <f aca="false">IFERROR(INDEX('Semrush Data'!$A$1:$Z$20000,MATCH(A1326,'Semrush Data'!$A$1:$A$20000,0),MATCH("Keyword Difficulty*",'Semrush Data'!$A$1:$Z$1,0)),"")</f>
        <v/>
      </c>
      <c r="I1326" s="29" t="str">
        <f aca="false">IFERROR(INDEX('Semrush Data'!$A$1:$Z$20000,MATCH(A1326,'Semrush Data'!$A$1:$A$20000,0),MATCH("CPC*",'Semrush Data'!$A$1:$Z$1,0)),"")</f>
        <v/>
      </c>
      <c r="J1326" s="6" t="str">
        <f aca="false">IFERROR(INDEX('Semrush Data'!$A$1:$Z$20000,MATCH(A1326,'Semrush Data'!$A$1:$A$20000,0),MATCH("Intent",'Semrush Data'!$A$1:$Z$1,0)),"")</f>
        <v/>
      </c>
    </row>
    <row r="1327" customFormat="false" ht="15" hidden="false" customHeight="true" outlineLevel="0" collapsed="false">
      <c r="A1327" s="6" t="s">
        <v>2632</v>
      </c>
      <c r="B1327" s="6" t="s">
        <v>6869</v>
      </c>
      <c r="C1327" s="6" t="n">
        <v>2</v>
      </c>
      <c r="D1327" s="6" t="s">
        <v>6867</v>
      </c>
      <c r="E1327" s="6" t="n">
        <v>1</v>
      </c>
      <c r="F1327" s="6" t="s">
        <v>109</v>
      </c>
      <c r="G1327" s="28" t="n">
        <f aca="false">IFERROR(INDEX('Semrush Data'!$A$1:$Z$20000,MATCH(A1327,'Semrush Data'!$A$1:$A$20000,0),MATCH("Volume",'Semrush Data'!$A$1:$Z$1,0)),"")</f>
        <v>20</v>
      </c>
      <c r="H1327" s="6" t="n">
        <f aca="false">IFERROR(INDEX('Semrush Data'!$A$1:$Z$20000,MATCH(A1327,'Semrush Data'!$A$1:$A$20000,0),MATCH("Keyword Difficulty*",'Semrush Data'!$A$1:$Z$1,0)),"")</f>
        <v>14</v>
      </c>
      <c r="I1327" s="29" t="n">
        <f aca="false">IFERROR(INDEX('Semrush Data'!$A$1:$Z$20000,MATCH(A1327,'Semrush Data'!$A$1:$A$20000,0),MATCH("CPC*",'Semrush Data'!$A$1:$Z$1,0)),"")</f>
        <v>0</v>
      </c>
      <c r="J1327" s="6" t="str">
        <f aca="false">IFERROR(INDEX('Semrush Data'!$A$1:$Z$20000,MATCH(A1327,'Semrush Data'!$A$1:$A$20000,0),MATCH("Intent",'Semrush Data'!$A$1:$Z$1,0)),"")</f>
        <v>Informational Transactional</v>
      </c>
    </row>
    <row r="1328" customFormat="false" ht="15" hidden="false" customHeight="true" outlineLevel="0" collapsed="false">
      <c r="A1328" s="6" t="s">
        <v>2643</v>
      </c>
      <c r="B1328" s="6" t="s">
        <v>6869</v>
      </c>
      <c r="C1328" s="6" t="n">
        <v>2</v>
      </c>
      <c r="D1328" s="6" t="s">
        <v>6868</v>
      </c>
      <c r="E1328" s="6" t="n">
        <v>1</v>
      </c>
      <c r="F1328" s="6" t="s">
        <v>2637</v>
      </c>
      <c r="G1328" s="28" t="n">
        <f aca="false">IFERROR(INDEX('Semrush Data'!$A$1:$Z$20000,MATCH(A1328,'Semrush Data'!$A$1:$A$20000,0),MATCH("Volume",'Semrush Data'!$A$1:$Z$1,0)),"")</f>
        <v>20</v>
      </c>
      <c r="H1328" s="6" t="n">
        <f aca="false">IFERROR(INDEX('Semrush Data'!$A$1:$Z$20000,MATCH(A1328,'Semrush Data'!$A$1:$A$20000,0),MATCH("Keyword Difficulty*",'Semrush Data'!$A$1:$Z$1,0)),"")</f>
        <v>12</v>
      </c>
      <c r="I1328" s="29" t="n">
        <f aca="false">IFERROR(INDEX('Semrush Data'!$A$1:$Z$20000,MATCH(A1328,'Semrush Data'!$A$1:$A$20000,0),MATCH("CPC*",'Semrush Data'!$A$1:$Z$1,0)),"")</f>
        <v>0</v>
      </c>
      <c r="J1328" s="6" t="str">
        <f aca="false">IFERROR(INDEX('Semrush Data'!$A$1:$Z$20000,MATCH(A1328,'Semrush Data'!$A$1:$A$20000,0),MATCH("Intent",'Semrush Data'!$A$1:$Z$1,0)),"")</f>
        <v>Informational Transactional</v>
      </c>
    </row>
    <row r="1329" customFormat="false" ht="15" hidden="false" customHeight="true" outlineLevel="0" collapsed="false">
      <c r="A1329" s="6" t="s">
        <v>2653</v>
      </c>
      <c r="B1329" s="6" t="s">
        <v>6869</v>
      </c>
      <c r="C1329" s="6" t="n">
        <v>2</v>
      </c>
      <c r="D1329" s="6" t="s">
        <v>6867</v>
      </c>
      <c r="E1329" s="6" t="n">
        <v>1</v>
      </c>
      <c r="F1329" s="6" t="s">
        <v>119</v>
      </c>
      <c r="G1329" s="28" t="n">
        <f aca="false">IFERROR(INDEX('Semrush Data'!$A$1:$Z$20000,MATCH(A1329,'Semrush Data'!$A$1:$A$20000,0),MATCH("Volume",'Semrush Data'!$A$1:$Z$1,0)),"")</f>
        <v>20</v>
      </c>
      <c r="H1329" s="6" t="n">
        <f aca="false">IFERROR(INDEX('Semrush Data'!$A$1:$Z$20000,MATCH(A1329,'Semrush Data'!$A$1:$A$20000,0),MATCH("Keyword Difficulty*",'Semrush Data'!$A$1:$Z$1,0)),"")</f>
        <v>11</v>
      </c>
      <c r="I1329" s="29" t="n">
        <f aca="false">IFERROR(INDEX('Semrush Data'!$A$1:$Z$20000,MATCH(A1329,'Semrush Data'!$A$1:$A$20000,0),MATCH("CPC*",'Semrush Data'!$A$1:$Z$1,0)),"")</f>
        <v>0</v>
      </c>
      <c r="J1329" s="6" t="str">
        <f aca="false">IFERROR(INDEX('Semrush Data'!$A$1:$Z$20000,MATCH(A1329,'Semrush Data'!$A$1:$A$20000,0),MATCH("Intent",'Semrush Data'!$A$1:$Z$1,0)),"")</f>
        <v>Informational Transactional</v>
      </c>
    </row>
    <row r="1330" customFormat="false" ht="15" hidden="false" customHeight="true" outlineLevel="0" collapsed="false">
      <c r="A1330" s="6" t="s">
        <v>2664</v>
      </c>
      <c r="B1330" s="6" t="s">
        <v>6869</v>
      </c>
      <c r="C1330" s="6" t="n">
        <v>2</v>
      </c>
      <c r="D1330" s="6" t="n">
        <v>14</v>
      </c>
      <c r="E1330" s="6" t="n">
        <v>1</v>
      </c>
      <c r="F1330" s="6" t="s">
        <v>2658</v>
      </c>
      <c r="G1330" s="28" t="str">
        <f aca="false">IFERROR(INDEX('Semrush Data'!$A$1:$Z$20000,MATCH(A1330,'Semrush Data'!$A$1:$A$20000,0),MATCH("Volume",'Semrush Data'!$A$1:$Z$1,0)),"")</f>
        <v/>
      </c>
      <c r="H1330" s="6" t="str">
        <f aca="false">IFERROR(INDEX('Semrush Data'!$A$1:$Z$20000,MATCH(A1330,'Semrush Data'!$A$1:$A$20000,0),MATCH("Keyword Difficulty*",'Semrush Data'!$A$1:$Z$1,0)),"")</f>
        <v/>
      </c>
      <c r="I1330" s="29" t="str">
        <f aca="false">IFERROR(INDEX('Semrush Data'!$A$1:$Z$20000,MATCH(A1330,'Semrush Data'!$A$1:$A$20000,0),MATCH("CPC*",'Semrush Data'!$A$1:$Z$1,0)),"")</f>
        <v/>
      </c>
      <c r="J1330" s="6" t="str">
        <f aca="false">IFERROR(INDEX('Semrush Data'!$A$1:$Z$20000,MATCH(A1330,'Semrush Data'!$A$1:$A$20000,0),MATCH("Intent",'Semrush Data'!$A$1:$Z$1,0)),"")</f>
        <v/>
      </c>
    </row>
    <row r="1331" customFormat="false" ht="15" hidden="false" customHeight="true" outlineLevel="0" collapsed="false">
      <c r="A1331" s="6" t="s">
        <v>2676</v>
      </c>
      <c r="B1331" s="6" t="s">
        <v>6869</v>
      </c>
      <c r="C1331" s="6" t="n">
        <v>2</v>
      </c>
      <c r="D1331" s="6" t="s">
        <v>6867</v>
      </c>
      <c r="E1331" s="6" t="n">
        <v>1</v>
      </c>
      <c r="F1331" s="6" t="s">
        <v>2670</v>
      </c>
      <c r="G1331" s="28" t="n">
        <f aca="false">IFERROR(INDEX('Semrush Data'!$A$1:$Z$20000,MATCH(A1331,'Semrush Data'!$A$1:$A$20000,0),MATCH("Volume",'Semrush Data'!$A$1:$Z$1,0)),"")</f>
        <v>30</v>
      </c>
      <c r="H1331" s="6" t="n">
        <f aca="false">IFERROR(INDEX('Semrush Data'!$A$1:$Z$20000,MATCH(A1331,'Semrush Data'!$A$1:$A$20000,0),MATCH("Keyword Difficulty*",'Semrush Data'!$A$1:$Z$1,0)),"")</f>
        <v>9</v>
      </c>
      <c r="I1331" s="29" t="n">
        <f aca="false">IFERROR(INDEX('Semrush Data'!$A$1:$Z$20000,MATCH(A1331,'Semrush Data'!$A$1:$A$20000,0),MATCH("CPC*",'Semrush Data'!$A$1:$Z$1,0)),"")</f>
        <v>0</v>
      </c>
      <c r="J1331" s="6" t="str">
        <f aca="false">IFERROR(INDEX('Semrush Data'!$A$1:$Z$20000,MATCH(A1331,'Semrush Data'!$A$1:$A$20000,0),MATCH("Intent",'Semrush Data'!$A$1:$Z$1,0)),"")</f>
        <v>Informational Transactional</v>
      </c>
    </row>
    <row r="1332" customFormat="false" ht="15" hidden="false" customHeight="true" outlineLevel="0" collapsed="false">
      <c r="A1332" s="6" t="s">
        <v>2687</v>
      </c>
      <c r="B1332" s="6" t="s">
        <v>6869</v>
      </c>
      <c r="C1332" s="6" t="n">
        <v>2</v>
      </c>
      <c r="D1332" s="6" t="n">
        <v>14</v>
      </c>
      <c r="E1332" s="6" t="n">
        <v>1</v>
      </c>
      <c r="F1332" s="6" t="s">
        <v>2681</v>
      </c>
      <c r="G1332" s="28" t="str">
        <f aca="false">IFERROR(INDEX('Semrush Data'!$A$1:$Z$20000,MATCH(A1332,'Semrush Data'!$A$1:$A$20000,0),MATCH("Volume",'Semrush Data'!$A$1:$Z$1,0)),"")</f>
        <v/>
      </c>
      <c r="H1332" s="6" t="str">
        <f aca="false">IFERROR(INDEX('Semrush Data'!$A$1:$Z$20000,MATCH(A1332,'Semrush Data'!$A$1:$A$20000,0),MATCH("Keyword Difficulty*",'Semrush Data'!$A$1:$Z$1,0)),"")</f>
        <v/>
      </c>
      <c r="I1332" s="29" t="str">
        <f aca="false">IFERROR(INDEX('Semrush Data'!$A$1:$Z$20000,MATCH(A1332,'Semrush Data'!$A$1:$A$20000,0),MATCH("CPC*",'Semrush Data'!$A$1:$Z$1,0)),"")</f>
        <v/>
      </c>
      <c r="J1332" s="6" t="str">
        <f aca="false">IFERROR(INDEX('Semrush Data'!$A$1:$Z$20000,MATCH(A1332,'Semrush Data'!$A$1:$A$20000,0),MATCH("Intent",'Semrush Data'!$A$1:$Z$1,0)),"")</f>
        <v/>
      </c>
    </row>
    <row r="1333" customFormat="false" ht="15" hidden="false" customHeight="true" outlineLevel="0" collapsed="false">
      <c r="A1333" s="6" t="s">
        <v>2696</v>
      </c>
      <c r="B1333" s="6" t="s">
        <v>6869</v>
      </c>
      <c r="C1333" s="6" t="n">
        <v>2</v>
      </c>
      <c r="D1333" s="6" t="s">
        <v>6867</v>
      </c>
      <c r="E1333" s="6" t="n">
        <v>1</v>
      </c>
      <c r="F1333" s="6" t="s">
        <v>95</v>
      </c>
      <c r="G1333" s="28" t="n">
        <f aca="false">IFERROR(INDEX('Semrush Data'!$A$1:$Z$20000,MATCH(A1333,'Semrush Data'!$A$1:$A$20000,0),MATCH("Volume",'Semrush Data'!$A$1:$Z$1,0)),"")</f>
        <v>10</v>
      </c>
      <c r="H1333" s="6" t="n">
        <f aca="false">IFERROR(INDEX('Semrush Data'!$A$1:$Z$20000,MATCH(A1333,'Semrush Data'!$A$1:$A$20000,0),MATCH("Keyword Difficulty*",'Semrush Data'!$A$1:$Z$1,0)),"")</f>
        <v>9</v>
      </c>
      <c r="I1333" s="29" t="n">
        <f aca="false">IFERROR(INDEX('Semrush Data'!$A$1:$Z$20000,MATCH(A1333,'Semrush Data'!$A$1:$A$20000,0),MATCH("CPC*",'Semrush Data'!$A$1:$Z$1,0)),"")</f>
        <v>0</v>
      </c>
      <c r="J1333" s="6" t="str">
        <f aca="false">IFERROR(INDEX('Semrush Data'!$A$1:$Z$20000,MATCH(A1333,'Semrush Data'!$A$1:$A$20000,0),MATCH("Intent",'Semrush Data'!$A$1:$Z$1,0)),"")</f>
        <v>Informational Transactional</v>
      </c>
    </row>
    <row r="1334" customFormat="false" ht="15" hidden="false" customHeight="true" outlineLevel="0" collapsed="false">
      <c r="A1334" s="6" t="s">
        <v>2707</v>
      </c>
      <c r="B1334" s="6" t="s">
        <v>6869</v>
      </c>
      <c r="C1334" s="6" t="n">
        <v>2</v>
      </c>
      <c r="D1334" s="6" t="s">
        <v>6868</v>
      </c>
      <c r="E1334" s="6" t="n">
        <v>1</v>
      </c>
      <c r="F1334" s="6" t="s">
        <v>2701</v>
      </c>
      <c r="G1334" s="28" t="n">
        <f aca="false">IFERROR(INDEX('Semrush Data'!$A$1:$Z$20000,MATCH(A1334,'Semrush Data'!$A$1:$A$20000,0),MATCH("Volume",'Semrush Data'!$A$1:$Z$1,0)),"")</f>
        <v>0</v>
      </c>
      <c r="H1334" s="6" t="n">
        <f aca="false">IFERROR(INDEX('Semrush Data'!$A$1:$Z$20000,MATCH(A1334,'Semrush Data'!$A$1:$A$20000,0),MATCH("Keyword Difficulty*",'Semrush Data'!$A$1:$Z$1,0)),"")</f>
        <v>13</v>
      </c>
      <c r="I1334" s="29" t="n">
        <f aca="false">IFERROR(INDEX('Semrush Data'!$A$1:$Z$20000,MATCH(A1334,'Semrush Data'!$A$1:$A$20000,0),MATCH("CPC*",'Semrush Data'!$A$1:$Z$1,0)),"")</f>
        <v>0</v>
      </c>
      <c r="J1334" s="6" t="str">
        <f aca="false">IFERROR(INDEX('Semrush Data'!$A$1:$Z$20000,MATCH(A1334,'Semrush Data'!$A$1:$A$20000,0),MATCH("Intent",'Semrush Data'!$A$1:$Z$1,0)),"")</f>
        <v>Informational Transactional</v>
      </c>
    </row>
    <row r="1335" customFormat="false" ht="15" hidden="false" customHeight="true" outlineLevel="0" collapsed="false">
      <c r="A1335" s="6" t="s">
        <v>2718</v>
      </c>
      <c r="B1335" s="6" t="s">
        <v>6869</v>
      </c>
      <c r="C1335" s="6" t="n">
        <v>2</v>
      </c>
      <c r="D1335" s="6" t="n">
        <v>14</v>
      </c>
      <c r="E1335" s="6" t="n">
        <v>1</v>
      </c>
      <c r="F1335" s="6" t="s">
        <v>2712</v>
      </c>
      <c r="G1335" s="28" t="str">
        <f aca="false">IFERROR(INDEX('Semrush Data'!$A$1:$Z$20000,MATCH(A1335,'Semrush Data'!$A$1:$A$20000,0),MATCH("Volume",'Semrush Data'!$A$1:$Z$1,0)),"")</f>
        <v/>
      </c>
      <c r="H1335" s="6" t="str">
        <f aca="false">IFERROR(INDEX('Semrush Data'!$A$1:$Z$20000,MATCH(A1335,'Semrush Data'!$A$1:$A$20000,0),MATCH("Keyword Difficulty*",'Semrush Data'!$A$1:$Z$1,0)),"")</f>
        <v/>
      </c>
      <c r="I1335" s="29" t="str">
        <f aca="false">IFERROR(INDEX('Semrush Data'!$A$1:$Z$20000,MATCH(A1335,'Semrush Data'!$A$1:$A$20000,0),MATCH("CPC*",'Semrush Data'!$A$1:$Z$1,0)),"")</f>
        <v/>
      </c>
      <c r="J1335" s="6" t="str">
        <f aca="false">IFERROR(INDEX('Semrush Data'!$A$1:$Z$20000,MATCH(A1335,'Semrush Data'!$A$1:$A$20000,0),MATCH("Intent",'Semrush Data'!$A$1:$Z$1,0)),"")</f>
        <v/>
      </c>
    </row>
    <row r="1336" customFormat="false" ht="15" hidden="false" customHeight="true" outlineLevel="0" collapsed="false">
      <c r="A1336" s="6" t="s">
        <v>2729</v>
      </c>
      <c r="B1336" s="6" t="s">
        <v>6869</v>
      </c>
      <c r="C1336" s="6" t="n">
        <v>2</v>
      </c>
      <c r="D1336" s="6" t="s">
        <v>6868</v>
      </c>
      <c r="E1336" s="6" t="n">
        <v>1</v>
      </c>
      <c r="F1336" s="6" t="s">
        <v>2723</v>
      </c>
      <c r="G1336" s="28" t="n">
        <f aca="false">IFERROR(INDEX('Semrush Data'!$A$1:$Z$20000,MATCH(A1336,'Semrush Data'!$A$1:$A$20000,0),MATCH("Volume",'Semrush Data'!$A$1:$Z$1,0)),"")</f>
        <v>10</v>
      </c>
      <c r="H1336" s="6" t="n">
        <f aca="false">IFERROR(INDEX('Semrush Data'!$A$1:$Z$20000,MATCH(A1336,'Semrush Data'!$A$1:$A$20000,0),MATCH("Keyword Difficulty*",'Semrush Data'!$A$1:$Z$1,0)),"")</f>
        <v>10</v>
      </c>
      <c r="I1336" s="29" t="n">
        <f aca="false">IFERROR(INDEX('Semrush Data'!$A$1:$Z$20000,MATCH(A1336,'Semrush Data'!$A$1:$A$20000,0),MATCH("CPC*",'Semrush Data'!$A$1:$Z$1,0)),"")</f>
        <v>0</v>
      </c>
      <c r="J1336" s="6" t="str">
        <f aca="false">IFERROR(INDEX('Semrush Data'!$A$1:$Z$20000,MATCH(A1336,'Semrush Data'!$A$1:$A$20000,0),MATCH("Intent",'Semrush Data'!$A$1:$Z$1,0)),"")</f>
        <v>Informational Transactional</v>
      </c>
    </row>
    <row r="1337" customFormat="false" ht="15" hidden="false" customHeight="true" outlineLevel="0" collapsed="false">
      <c r="A1337" s="6" t="s">
        <v>2754</v>
      </c>
      <c r="B1337" s="6" t="s">
        <v>6869</v>
      </c>
      <c r="C1337" s="6" t="n">
        <v>2</v>
      </c>
      <c r="D1337" s="6" t="n">
        <v>14</v>
      </c>
      <c r="E1337" s="6" t="n">
        <v>3</v>
      </c>
      <c r="F1337" s="6" t="s">
        <v>6836</v>
      </c>
      <c r="G1337" s="28" t="str">
        <f aca="false">IFERROR(INDEX('Semrush Data'!$A$1:$Z$20000,MATCH(A1337,'Semrush Data'!$A$1:$A$20000,0),MATCH("Volume",'Semrush Data'!$A$1:$Z$1,0)),"")</f>
        <v/>
      </c>
      <c r="H1337" s="6" t="str">
        <f aca="false">IFERROR(INDEX('Semrush Data'!$A$1:$Z$20000,MATCH(A1337,'Semrush Data'!$A$1:$A$20000,0),MATCH("Keyword Difficulty*",'Semrush Data'!$A$1:$Z$1,0)),"")</f>
        <v/>
      </c>
      <c r="I1337" s="29" t="str">
        <f aca="false">IFERROR(INDEX('Semrush Data'!$A$1:$Z$20000,MATCH(A1337,'Semrush Data'!$A$1:$A$20000,0),MATCH("CPC*",'Semrush Data'!$A$1:$Z$1,0)),"")</f>
        <v/>
      </c>
      <c r="J1337" s="6" t="str">
        <f aca="false">IFERROR(INDEX('Semrush Data'!$A$1:$Z$20000,MATCH(A1337,'Semrush Data'!$A$1:$A$20000,0),MATCH("Intent",'Semrush Data'!$A$1:$Z$1,0)),"")</f>
        <v/>
      </c>
    </row>
    <row r="1338" customFormat="false" ht="15" hidden="false" customHeight="true" outlineLevel="0" collapsed="false">
      <c r="A1338" s="6" t="s">
        <v>2768</v>
      </c>
      <c r="B1338" s="6" t="s">
        <v>6869</v>
      </c>
      <c r="C1338" s="6" t="n">
        <v>2</v>
      </c>
      <c r="D1338" s="6" t="n">
        <v>14</v>
      </c>
      <c r="E1338" s="6" t="n">
        <v>3</v>
      </c>
      <c r="F1338" s="6" t="s">
        <v>6837</v>
      </c>
      <c r="G1338" s="28" t="str">
        <f aca="false">IFERROR(INDEX('Semrush Data'!$A$1:$Z$20000,MATCH(A1338,'Semrush Data'!$A$1:$A$20000,0),MATCH("Volume",'Semrush Data'!$A$1:$Z$1,0)),"")</f>
        <v/>
      </c>
      <c r="H1338" s="6" t="str">
        <f aca="false">IFERROR(INDEX('Semrush Data'!$A$1:$Z$20000,MATCH(A1338,'Semrush Data'!$A$1:$A$20000,0),MATCH("Keyword Difficulty*",'Semrush Data'!$A$1:$Z$1,0)),"")</f>
        <v/>
      </c>
      <c r="I1338" s="29" t="str">
        <f aca="false">IFERROR(INDEX('Semrush Data'!$A$1:$Z$20000,MATCH(A1338,'Semrush Data'!$A$1:$A$20000,0),MATCH("CPC*",'Semrush Data'!$A$1:$Z$1,0)),"")</f>
        <v/>
      </c>
      <c r="J1338" s="6" t="str">
        <f aca="false">IFERROR(INDEX('Semrush Data'!$A$1:$Z$20000,MATCH(A1338,'Semrush Data'!$A$1:$A$20000,0),MATCH("Intent",'Semrush Data'!$A$1:$Z$1,0)),"")</f>
        <v/>
      </c>
    </row>
    <row r="1339" customFormat="false" ht="15" hidden="false" customHeight="true" outlineLevel="0" collapsed="false">
      <c r="A1339" s="6" t="s">
        <v>2781</v>
      </c>
      <c r="B1339" s="6" t="s">
        <v>6869</v>
      </c>
      <c r="C1339" s="6" t="n">
        <v>2</v>
      </c>
      <c r="D1339" s="6" t="n">
        <v>14</v>
      </c>
      <c r="E1339" s="6" t="n">
        <v>3</v>
      </c>
      <c r="F1339" s="6" t="s">
        <v>6838</v>
      </c>
      <c r="G1339" s="28" t="str">
        <f aca="false">IFERROR(INDEX('Semrush Data'!$A$1:$Z$20000,MATCH(A1339,'Semrush Data'!$A$1:$A$20000,0),MATCH("Volume",'Semrush Data'!$A$1:$Z$1,0)),"")</f>
        <v/>
      </c>
      <c r="H1339" s="6" t="str">
        <f aca="false">IFERROR(INDEX('Semrush Data'!$A$1:$Z$20000,MATCH(A1339,'Semrush Data'!$A$1:$A$20000,0),MATCH("Keyword Difficulty*",'Semrush Data'!$A$1:$Z$1,0)),"")</f>
        <v/>
      </c>
      <c r="I1339" s="29" t="str">
        <f aca="false">IFERROR(INDEX('Semrush Data'!$A$1:$Z$20000,MATCH(A1339,'Semrush Data'!$A$1:$A$20000,0),MATCH("CPC*",'Semrush Data'!$A$1:$Z$1,0)),"")</f>
        <v/>
      </c>
      <c r="J1339" s="6" t="str">
        <f aca="false">IFERROR(INDEX('Semrush Data'!$A$1:$Z$20000,MATCH(A1339,'Semrush Data'!$A$1:$A$20000,0),MATCH("Intent",'Semrush Data'!$A$1:$Z$1,0)),"")</f>
        <v/>
      </c>
    </row>
    <row r="1340" customFormat="false" ht="15" hidden="false" customHeight="true" outlineLevel="0" collapsed="false">
      <c r="A1340" s="6" t="s">
        <v>2793</v>
      </c>
      <c r="B1340" s="6" t="s">
        <v>6869</v>
      </c>
      <c r="C1340" s="6" t="n">
        <v>2</v>
      </c>
      <c r="D1340" s="6" t="n">
        <v>14</v>
      </c>
      <c r="E1340" s="6" t="n">
        <v>3</v>
      </c>
      <c r="F1340" s="6" t="s">
        <v>6839</v>
      </c>
      <c r="G1340" s="28" t="str">
        <f aca="false">IFERROR(INDEX('Semrush Data'!$A$1:$Z$20000,MATCH(A1340,'Semrush Data'!$A$1:$A$20000,0),MATCH("Volume",'Semrush Data'!$A$1:$Z$1,0)),"")</f>
        <v/>
      </c>
      <c r="H1340" s="6" t="str">
        <f aca="false">IFERROR(INDEX('Semrush Data'!$A$1:$Z$20000,MATCH(A1340,'Semrush Data'!$A$1:$A$20000,0),MATCH("Keyword Difficulty*",'Semrush Data'!$A$1:$Z$1,0)),"")</f>
        <v/>
      </c>
      <c r="I1340" s="29" t="str">
        <f aca="false">IFERROR(INDEX('Semrush Data'!$A$1:$Z$20000,MATCH(A1340,'Semrush Data'!$A$1:$A$20000,0),MATCH("CPC*",'Semrush Data'!$A$1:$Z$1,0)),"")</f>
        <v/>
      </c>
      <c r="J1340" s="6" t="str">
        <f aca="false">IFERROR(INDEX('Semrush Data'!$A$1:$Z$20000,MATCH(A1340,'Semrush Data'!$A$1:$A$20000,0),MATCH("Intent",'Semrush Data'!$A$1:$Z$1,0)),"")</f>
        <v/>
      </c>
    </row>
    <row r="1341" customFormat="false" ht="15" hidden="false" customHeight="true" outlineLevel="0" collapsed="false">
      <c r="A1341" s="6" t="s">
        <v>2806</v>
      </c>
      <c r="B1341" s="6" t="s">
        <v>6869</v>
      </c>
      <c r="C1341" s="6" t="n">
        <v>2</v>
      </c>
      <c r="D1341" s="6" t="n">
        <v>14</v>
      </c>
      <c r="E1341" s="6" t="n">
        <v>4</v>
      </c>
      <c r="F1341" s="6" t="s">
        <v>6840</v>
      </c>
      <c r="G1341" s="28" t="str">
        <f aca="false">IFERROR(INDEX('Semrush Data'!$A$1:$Z$20000,MATCH(A1341,'Semrush Data'!$A$1:$A$20000,0),MATCH("Volume",'Semrush Data'!$A$1:$Z$1,0)),"")</f>
        <v/>
      </c>
      <c r="H1341" s="6" t="str">
        <f aca="false">IFERROR(INDEX('Semrush Data'!$A$1:$Z$20000,MATCH(A1341,'Semrush Data'!$A$1:$A$20000,0),MATCH("Keyword Difficulty*",'Semrush Data'!$A$1:$Z$1,0)),"")</f>
        <v/>
      </c>
      <c r="I1341" s="29" t="str">
        <f aca="false">IFERROR(INDEX('Semrush Data'!$A$1:$Z$20000,MATCH(A1341,'Semrush Data'!$A$1:$A$20000,0),MATCH("CPC*",'Semrush Data'!$A$1:$Z$1,0)),"")</f>
        <v/>
      </c>
      <c r="J1341" s="6" t="str">
        <f aca="false">IFERROR(INDEX('Semrush Data'!$A$1:$Z$20000,MATCH(A1341,'Semrush Data'!$A$1:$A$20000,0),MATCH("Intent",'Semrush Data'!$A$1:$Z$1,0)),"")</f>
        <v/>
      </c>
    </row>
    <row r="1342" customFormat="false" ht="15" hidden="false" customHeight="true" outlineLevel="0" collapsed="false">
      <c r="A1342" s="6" t="s">
        <v>2823</v>
      </c>
      <c r="B1342" s="6" t="s">
        <v>6869</v>
      </c>
      <c r="C1342" s="6" t="n">
        <v>2</v>
      </c>
      <c r="D1342" s="6" t="s">
        <v>6867</v>
      </c>
      <c r="E1342" s="6" t="n">
        <v>1</v>
      </c>
      <c r="F1342" s="6" t="s">
        <v>139</v>
      </c>
      <c r="G1342" s="28" t="n">
        <f aca="false">IFERROR(INDEX('Semrush Data'!$A$1:$Z$20000,MATCH(A1342,'Semrush Data'!$A$1:$A$20000,0),MATCH("Volume",'Semrush Data'!$A$1:$Z$1,0)),"")</f>
        <v>20</v>
      </c>
      <c r="H1342" s="6" t="n">
        <f aca="false">IFERROR(INDEX('Semrush Data'!$A$1:$Z$20000,MATCH(A1342,'Semrush Data'!$A$1:$A$20000,0),MATCH("Keyword Difficulty*",'Semrush Data'!$A$1:$Z$1,0)),"")</f>
        <v>20</v>
      </c>
      <c r="I1342" s="29" t="n">
        <f aca="false">IFERROR(INDEX('Semrush Data'!$A$1:$Z$20000,MATCH(A1342,'Semrush Data'!$A$1:$A$20000,0),MATCH("CPC*",'Semrush Data'!$A$1:$Z$1,0)),"")</f>
        <v>0</v>
      </c>
      <c r="J1342" s="6" t="str">
        <f aca="false">IFERROR(INDEX('Semrush Data'!$A$1:$Z$20000,MATCH(A1342,'Semrush Data'!$A$1:$A$20000,0),MATCH("Intent",'Semrush Data'!$A$1:$Z$1,0)),"")</f>
        <v>Informational</v>
      </c>
    </row>
    <row r="1343" customFormat="false" ht="15" hidden="false" customHeight="true" outlineLevel="0" collapsed="false">
      <c r="A1343" s="6" t="s">
        <v>2838</v>
      </c>
      <c r="B1343" s="6" t="s">
        <v>6869</v>
      </c>
      <c r="C1343" s="6" t="n">
        <v>2</v>
      </c>
      <c r="D1343" s="6" t="n">
        <v>14</v>
      </c>
      <c r="E1343" s="6" t="n">
        <v>1</v>
      </c>
      <c r="F1343" s="6" t="s">
        <v>2829</v>
      </c>
      <c r="G1343" s="28" t="str">
        <f aca="false">IFERROR(INDEX('Semrush Data'!$A$1:$Z$20000,MATCH(A1343,'Semrush Data'!$A$1:$A$20000,0),MATCH("Volume",'Semrush Data'!$A$1:$Z$1,0)),"")</f>
        <v/>
      </c>
      <c r="H1343" s="6" t="str">
        <f aca="false">IFERROR(INDEX('Semrush Data'!$A$1:$Z$20000,MATCH(A1343,'Semrush Data'!$A$1:$A$20000,0),MATCH("Keyword Difficulty*",'Semrush Data'!$A$1:$Z$1,0)),"")</f>
        <v/>
      </c>
      <c r="I1343" s="29" t="str">
        <f aca="false">IFERROR(INDEX('Semrush Data'!$A$1:$Z$20000,MATCH(A1343,'Semrush Data'!$A$1:$A$20000,0),MATCH("CPC*",'Semrush Data'!$A$1:$Z$1,0)),"")</f>
        <v/>
      </c>
      <c r="J1343" s="6" t="str">
        <f aca="false">IFERROR(INDEX('Semrush Data'!$A$1:$Z$20000,MATCH(A1343,'Semrush Data'!$A$1:$A$20000,0),MATCH("Intent",'Semrush Data'!$A$1:$Z$1,0)),"")</f>
        <v/>
      </c>
    </row>
    <row r="1344" customFormat="false" ht="15" hidden="false" customHeight="true" outlineLevel="0" collapsed="false">
      <c r="A1344" s="6" t="s">
        <v>2849</v>
      </c>
      <c r="B1344" s="6" t="s">
        <v>6869</v>
      </c>
      <c r="C1344" s="6" t="n">
        <v>2</v>
      </c>
      <c r="D1344" s="6" t="n">
        <v>14</v>
      </c>
      <c r="E1344" s="6" t="n">
        <v>1</v>
      </c>
      <c r="F1344" s="6" t="s">
        <v>2843</v>
      </c>
      <c r="G1344" s="28" t="str">
        <f aca="false">IFERROR(INDEX('Semrush Data'!$A$1:$Z$20000,MATCH(A1344,'Semrush Data'!$A$1:$A$20000,0),MATCH("Volume",'Semrush Data'!$A$1:$Z$1,0)),"")</f>
        <v/>
      </c>
      <c r="H1344" s="6" t="str">
        <f aca="false">IFERROR(INDEX('Semrush Data'!$A$1:$Z$20000,MATCH(A1344,'Semrush Data'!$A$1:$A$20000,0),MATCH("Keyword Difficulty*",'Semrush Data'!$A$1:$Z$1,0)),"")</f>
        <v/>
      </c>
      <c r="I1344" s="29" t="str">
        <f aca="false">IFERROR(INDEX('Semrush Data'!$A$1:$Z$20000,MATCH(A1344,'Semrush Data'!$A$1:$A$20000,0),MATCH("CPC*",'Semrush Data'!$A$1:$Z$1,0)),"")</f>
        <v/>
      </c>
      <c r="J1344" s="6" t="str">
        <f aca="false">IFERROR(INDEX('Semrush Data'!$A$1:$Z$20000,MATCH(A1344,'Semrush Data'!$A$1:$A$20000,0),MATCH("Intent",'Semrush Data'!$A$1:$Z$1,0)),"")</f>
        <v/>
      </c>
    </row>
    <row r="1345" customFormat="false" ht="15" hidden="false" customHeight="true" outlineLevel="0" collapsed="false">
      <c r="A1345" s="6" t="s">
        <v>2860</v>
      </c>
      <c r="B1345" s="6" t="s">
        <v>6869</v>
      </c>
      <c r="C1345" s="6" t="n">
        <v>2</v>
      </c>
      <c r="D1345" s="6" t="n">
        <v>14</v>
      </c>
      <c r="E1345" s="6" t="n">
        <v>1</v>
      </c>
      <c r="F1345" s="6" t="s">
        <v>2854</v>
      </c>
      <c r="G1345" s="28" t="str">
        <f aca="false">IFERROR(INDEX('Semrush Data'!$A$1:$Z$20000,MATCH(A1345,'Semrush Data'!$A$1:$A$20000,0),MATCH("Volume",'Semrush Data'!$A$1:$Z$1,0)),"")</f>
        <v/>
      </c>
      <c r="H1345" s="6" t="str">
        <f aca="false">IFERROR(INDEX('Semrush Data'!$A$1:$Z$20000,MATCH(A1345,'Semrush Data'!$A$1:$A$20000,0),MATCH("Keyword Difficulty*",'Semrush Data'!$A$1:$Z$1,0)),"")</f>
        <v/>
      </c>
      <c r="I1345" s="29" t="str">
        <f aca="false">IFERROR(INDEX('Semrush Data'!$A$1:$Z$20000,MATCH(A1345,'Semrush Data'!$A$1:$A$20000,0),MATCH("CPC*",'Semrush Data'!$A$1:$Z$1,0)),"")</f>
        <v/>
      </c>
      <c r="J1345" s="6" t="str">
        <f aca="false">IFERROR(INDEX('Semrush Data'!$A$1:$Z$20000,MATCH(A1345,'Semrush Data'!$A$1:$A$20000,0),MATCH("Intent",'Semrush Data'!$A$1:$Z$1,0)),"")</f>
        <v/>
      </c>
    </row>
    <row r="1346" customFormat="false" ht="15" hidden="false" customHeight="true" outlineLevel="0" collapsed="false">
      <c r="A1346" s="6" t="s">
        <v>2873</v>
      </c>
      <c r="B1346" s="6" t="s">
        <v>6869</v>
      </c>
      <c r="C1346" s="6" t="n">
        <v>2</v>
      </c>
      <c r="D1346" s="6" t="n">
        <v>14</v>
      </c>
      <c r="E1346" s="6" t="n">
        <v>1</v>
      </c>
      <c r="F1346" s="6" t="s">
        <v>2866</v>
      </c>
      <c r="G1346" s="28" t="str">
        <f aca="false">IFERROR(INDEX('Semrush Data'!$A$1:$Z$20000,MATCH(A1346,'Semrush Data'!$A$1:$A$20000,0),MATCH("Volume",'Semrush Data'!$A$1:$Z$1,0)),"")</f>
        <v/>
      </c>
      <c r="H1346" s="6" t="str">
        <f aca="false">IFERROR(INDEX('Semrush Data'!$A$1:$Z$20000,MATCH(A1346,'Semrush Data'!$A$1:$A$20000,0),MATCH("Keyword Difficulty*",'Semrush Data'!$A$1:$Z$1,0)),"")</f>
        <v/>
      </c>
      <c r="I1346" s="29" t="str">
        <f aca="false">IFERROR(INDEX('Semrush Data'!$A$1:$Z$20000,MATCH(A1346,'Semrush Data'!$A$1:$A$20000,0),MATCH("CPC*",'Semrush Data'!$A$1:$Z$1,0)),"")</f>
        <v/>
      </c>
      <c r="J1346" s="6" t="str">
        <f aca="false">IFERROR(INDEX('Semrush Data'!$A$1:$Z$20000,MATCH(A1346,'Semrush Data'!$A$1:$A$20000,0),MATCH("Intent",'Semrush Data'!$A$1:$Z$1,0)),"")</f>
        <v/>
      </c>
    </row>
    <row r="1347" customFormat="false" ht="15" hidden="false" customHeight="true" outlineLevel="0" collapsed="false">
      <c r="A1347" s="6" t="s">
        <v>2885</v>
      </c>
      <c r="B1347" s="6" t="s">
        <v>6869</v>
      </c>
      <c r="C1347" s="6" t="n">
        <v>2</v>
      </c>
      <c r="D1347" s="6" t="n">
        <v>14</v>
      </c>
      <c r="E1347" s="6" t="n">
        <v>1</v>
      </c>
      <c r="F1347" s="6" t="s">
        <v>2879</v>
      </c>
      <c r="G1347" s="28" t="str">
        <f aca="false">IFERROR(INDEX('Semrush Data'!$A$1:$Z$20000,MATCH(A1347,'Semrush Data'!$A$1:$A$20000,0),MATCH("Volume",'Semrush Data'!$A$1:$Z$1,0)),"")</f>
        <v/>
      </c>
      <c r="H1347" s="6" t="str">
        <f aca="false">IFERROR(INDEX('Semrush Data'!$A$1:$Z$20000,MATCH(A1347,'Semrush Data'!$A$1:$A$20000,0),MATCH("Keyword Difficulty*",'Semrush Data'!$A$1:$Z$1,0)),"")</f>
        <v/>
      </c>
      <c r="I1347" s="29" t="str">
        <f aca="false">IFERROR(INDEX('Semrush Data'!$A$1:$Z$20000,MATCH(A1347,'Semrush Data'!$A$1:$A$20000,0),MATCH("CPC*",'Semrush Data'!$A$1:$Z$1,0)),"")</f>
        <v/>
      </c>
      <c r="J1347" s="6" t="str">
        <f aca="false">IFERROR(INDEX('Semrush Data'!$A$1:$Z$20000,MATCH(A1347,'Semrush Data'!$A$1:$A$20000,0),MATCH("Intent",'Semrush Data'!$A$1:$Z$1,0)),"")</f>
        <v/>
      </c>
    </row>
    <row r="1348" customFormat="false" ht="15" hidden="false" customHeight="true" outlineLevel="0" collapsed="false">
      <c r="A1348" s="6" t="s">
        <v>2897</v>
      </c>
      <c r="B1348" s="6" t="s">
        <v>6869</v>
      </c>
      <c r="C1348" s="6" t="n">
        <v>2</v>
      </c>
      <c r="D1348" s="6" t="n">
        <v>14</v>
      </c>
      <c r="E1348" s="6" t="n">
        <v>1</v>
      </c>
      <c r="F1348" s="6" t="s">
        <v>2890</v>
      </c>
      <c r="G1348" s="28" t="str">
        <f aca="false">IFERROR(INDEX('Semrush Data'!$A$1:$Z$20000,MATCH(A1348,'Semrush Data'!$A$1:$A$20000,0),MATCH("Volume",'Semrush Data'!$A$1:$Z$1,0)),"")</f>
        <v/>
      </c>
      <c r="H1348" s="6" t="str">
        <f aca="false">IFERROR(INDEX('Semrush Data'!$A$1:$Z$20000,MATCH(A1348,'Semrush Data'!$A$1:$A$20000,0),MATCH("Keyword Difficulty*",'Semrush Data'!$A$1:$Z$1,0)),"")</f>
        <v/>
      </c>
      <c r="I1348" s="29" t="str">
        <f aca="false">IFERROR(INDEX('Semrush Data'!$A$1:$Z$20000,MATCH(A1348,'Semrush Data'!$A$1:$A$20000,0),MATCH("CPC*",'Semrush Data'!$A$1:$Z$1,0)),"")</f>
        <v/>
      </c>
      <c r="J1348" s="6" t="str">
        <f aca="false">IFERROR(INDEX('Semrush Data'!$A$1:$Z$20000,MATCH(A1348,'Semrush Data'!$A$1:$A$20000,0),MATCH("Intent",'Semrush Data'!$A$1:$Z$1,0)),"")</f>
        <v/>
      </c>
    </row>
    <row r="1349" customFormat="false" ht="15" hidden="false" customHeight="true" outlineLevel="0" collapsed="false">
      <c r="A1349" s="6" t="s">
        <v>2910</v>
      </c>
      <c r="B1349" s="6" t="s">
        <v>6869</v>
      </c>
      <c r="C1349" s="6" t="n">
        <v>2</v>
      </c>
      <c r="D1349" s="6" t="n">
        <v>14</v>
      </c>
      <c r="E1349" s="6" t="n">
        <v>1</v>
      </c>
      <c r="F1349" s="6" t="s">
        <v>2903</v>
      </c>
      <c r="G1349" s="28" t="str">
        <f aca="false">IFERROR(INDEX('Semrush Data'!$A$1:$Z$20000,MATCH(A1349,'Semrush Data'!$A$1:$A$20000,0),MATCH("Volume",'Semrush Data'!$A$1:$Z$1,0)),"")</f>
        <v/>
      </c>
      <c r="H1349" s="6" t="str">
        <f aca="false">IFERROR(INDEX('Semrush Data'!$A$1:$Z$20000,MATCH(A1349,'Semrush Data'!$A$1:$A$20000,0),MATCH("Keyword Difficulty*",'Semrush Data'!$A$1:$Z$1,0)),"")</f>
        <v/>
      </c>
      <c r="I1349" s="29" t="str">
        <f aca="false">IFERROR(INDEX('Semrush Data'!$A$1:$Z$20000,MATCH(A1349,'Semrush Data'!$A$1:$A$20000,0),MATCH("CPC*",'Semrush Data'!$A$1:$Z$1,0)),"")</f>
        <v/>
      </c>
      <c r="J1349" s="6" t="str">
        <f aca="false">IFERROR(INDEX('Semrush Data'!$A$1:$Z$20000,MATCH(A1349,'Semrush Data'!$A$1:$A$20000,0),MATCH("Intent",'Semrush Data'!$A$1:$Z$1,0)),"")</f>
        <v/>
      </c>
    </row>
    <row r="1350" customFormat="false" ht="15" hidden="false" customHeight="true" outlineLevel="0" collapsed="false">
      <c r="A1350" s="6" t="s">
        <v>2923</v>
      </c>
      <c r="B1350" s="6" t="s">
        <v>6869</v>
      </c>
      <c r="C1350" s="6" t="n">
        <v>2</v>
      </c>
      <c r="D1350" s="6" t="s">
        <v>6868</v>
      </c>
      <c r="E1350" s="6" t="n">
        <v>1</v>
      </c>
      <c r="F1350" s="6" t="s">
        <v>2916</v>
      </c>
      <c r="G1350" s="28" t="n">
        <f aca="false">IFERROR(INDEX('Semrush Data'!$A$1:$Z$20000,MATCH(A1350,'Semrush Data'!$A$1:$A$20000,0),MATCH("Volume",'Semrush Data'!$A$1:$Z$1,0)),"")</f>
        <v>20</v>
      </c>
      <c r="H1350" s="6" t="n">
        <f aca="false">IFERROR(INDEX('Semrush Data'!$A$1:$Z$20000,MATCH(A1350,'Semrush Data'!$A$1:$A$20000,0),MATCH("Keyword Difficulty*",'Semrush Data'!$A$1:$Z$1,0)),"")</f>
        <v>13</v>
      </c>
      <c r="I1350" s="29" t="n">
        <f aca="false">IFERROR(INDEX('Semrush Data'!$A$1:$Z$20000,MATCH(A1350,'Semrush Data'!$A$1:$A$20000,0),MATCH("CPC*",'Semrush Data'!$A$1:$Z$1,0)),"")</f>
        <v>0</v>
      </c>
      <c r="J1350" s="6" t="str">
        <f aca="false">IFERROR(INDEX('Semrush Data'!$A$1:$Z$20000,MATCH(A1350,'Semrush Data'!$A$1:$A$20000,0),MATCH("Intent",'Semrush Data'!$A$1:$Z$1,0)),"")</f>
        <v>Informational</v>
      </c>
    </row>
    <row r="1351" customFormat="false" ht="15" hidden="false" customHeight="true" outlineLevel="0" collapsed="false">
      <c r="A1351" s="6" t="s">
        <v>2961</v>
      </c>
      <c r="B1351" s="6" t="s">
        <v>6869</v>
      </c>
      <c r="C1351" s="6" t="n">
        <v>2</v>
      </c>
      <c r="D1351" s="6" t="s">
        <v>6868</v>
      </c>
      <c r="E1351" s="6" t="n">
        <v>1</v>
      </c>
      <c r="F1351" s="6" t="s">
        <v>2955</v>
      </c>
      <c r="G1351" s="28" t="n">
        <f aca="false">IFERROR(INDEX('Semrush Data'!$A$1:$Z$20000,MATCH(A1351,'Semrush Data'!$A$1:$A$20000,0),MATCH("Volume",'Semrush Data'!$A$1:$Z$1,0)),"")</f>
        <v>20</v>
      </c>
      <c r="H1351" s="6" t="n">
        <f aca="false">IFERROR(INDEX('Semrush Data'!$A$1:$Z$20000,MATCH(A1351,'Semrush Data'!$A$1:$A$20000,0),MATCH("Keyword Difficulty*",'Semrush Data'!$A$1:$Z$1,0)),"")</f>
        <v>18</v>
      </c>
      <c r="I1351" s="29" t="n">
        <f aca="false">IFERROR(INDEX('Semrush Data'!$A$1:$Z$20000,MATCH(A1351,'Semrush Data'!$A$1:$A$20000,0),MATCH("CPC*",'Semrush Data'!$A$1:$Z$1,0)),"")</f>
        <v>0</v>
      </c>
      <c r="J1351" s="6" t="str">
        <f aca="false">IFERROR(INDEX('Semrush Data'!$A$1:$Z$20000,MATCH(A1351,'Semrush Data'!$A$1:$A$20000,0),MATCH("Intent",'Semrush Data'!$A$1:$Z$1,0)),"")</f>
        <v>Informational Transactional</v>
      </c>
    </row>
    <row r="1352" customFormat="false" ht="15" hidden="false" customHeight="true" outlineLevel="0" collapsed="false">
      <c r="A1352" s="6" t="s">
        <v>2995</v>
      </c>
      <c r="B1352" s="6" t="s">
        <v>6869</v>
      </c>
      <c r="C1352" s="6" t="n">
        <v>2</v>
      </c>
      <c r="D1352" s="6" t="s">
        <v>6867</v>
      </c>
      <c r="E1352" s="6" t="n">
        <v>1</v>
      </c>
      <c r="F1352" s="6" t="s">
        <v>87</v>
      </c>
      <c r="G1352" s="28" t="n">
        <f aca="false">IFERROR(INDEX('Semrush Data'!$A$1:$Z$20000,MATCH(A1352,'Semrush Data'!$A$1:$A$20000,0),MATCH("Volume",'Semrush Data'!$A$1:$Z$1,0)),"")</f>
        <v>20</v>
      </c>
      <c r="H1352" s="6" t="n">
        <f aca="false">IFERROR(INDEX('Semrush Data'!$A$1:$Z$20000,MATCH(A1352,'Semrush Data'!$A$1:$A$20000,0),MATCH("Keyword Difficulty*",'Semrush Data'!$A$1:$Z$1,0)),"")</f>
        <v>16</v>
      </c>
      <c r="I1352" s="29" t="n">
        <f aca="false">IFERROR(INDEX('Semrush Data'!$A$1:$Z$20000,MATCH(A1352,'Semrush Data'!$A$1:$A$20000,0),MATCH("CPC*",'Semrush Data'!$A$1:$Z$1,0)),"")</f>
        <v>0</v>
      </c>
      <c r="J1352" s="6" t="str">
        <f aca="false">IFERROR(INDEX('Semrush Data'!$A$1:$Z$20000,MATCH(A1352,'Semrush Data'!$A$1:$A$20000,0),MATCH("Intent",'Semrush Data'!$A$1:$Z$1,0)),"")</f>
        <v>Informational</v>
      </c>
    </row>
    <row r="1353" customFormat="false" ht="15" hidden="false" customHeight="true" outlineLevel="0" collapsed="false">
      <c r="A1353" s="6" t="s">
        <v>2983</v>
      </c>
      <c r="B1353" s="6" t="s">
        <v>6869</v>
      </c>
      <c r="C1353" s="6" t="n">
        <v>2</v>
      </c>
      <c r="D1353" s="6" t="n">
        <v>14</v>
      </c>
      <c r="E1353" s="6" t="n">
        <v>2</v>
      </c>
      <c r="F1353" s="6" t="s">
        <v>6841</v>
      </c>
      <c r="G1353" s="28" t="str">
        <f aca="false">IFERROR(INDEX('Semrush Data'!$A$1:$Z$20000,MATCH(A1353,'Semrush Data'!$A$1:$A$20000,0),MATCH("Volume",'Semrush Data'!$A$1:$Z$1,0)),"")</f>
        <v/>
      </c>
      <c r="H1353" s="6" t="str">
        <f aca="false">IFERROR(INDEX('Semrush Data'!$A$1:$Z$20000,MATCH(A1353,'Semrush Data'!$A$1:$A$20000,0),MATCH("Keyword Difficulty*",'Semrush Data'!$A$1:$Z$1,0)),"")</f>
        <v/>
      </c>
      <c r="I1353" s="29" t="str">
        <f aca="false">IFERROR(INDEX('Semrush Data'!$A$1:$Z$20000,MATCH(A1353,'Semrush Data'!$A$1:$A$20000,0),MATCH("CPC*",'Semrush Data'!$A$1:$Z$1,0)),"")</f>
        <v/>
      </c>
      <c r="J1353" s="6" t="str">
        <f aca="false">IFERROR(INDEX('Semrush Data'!$A$1:$Z$20000,MATCH(A1353,'Semrush Data'!$A$1:$A$20000,0),MATCH("Intent",'Semrush Data'!$A$1:$Z$1,0)),"")</f>
        <v/>
      </c>
    </row>
    <row r="1354" customFormat="false" ht="15" hidden="false" customHeight="true" outlineLevel="0" collapsed="false">
      <c r="A1354" s="6" t="s">
        <v>3039</v>
      </c>
      <c r="B1354" s="6" t="s">
        <v>6869</v>
      </c>
      <c r="C1354" s="6" t="n">
        <v>2</v>
      </c>
      <c r="D1354" s="6" t="n">
        <v>14</v>
      </c>
      <c r="E1354" s="6" t="n">
        <v>1</v>
      </c>
      <c r="F1354" s="6" t="s">
        <v>3031</v>
      </c>
      <c r="G1354" s="28" t="str">
        <f aca="false">IFERROR(INDEX('Semrush Data'!$A$1:$Z$20000,MATCH(A1354,'Semrush Data'!$A$1:$A$20000,0),MATCH("Volume",'Semrush Data'!$A$1:$Z$1,0)),"")</f>
        <v/>
      </c>
      <c r="H1354" s="6" t="str">
        <f aca="false">IFERROR(INDEX('Semrush Data'!$A$1:$Z$20000,MATCH(A1354,'Semrush Data'!$A$1:$A$20000,0),MATCH("Keyword Difficulty*",'Semrush Data'!$A$1:$Z$1,0)),"")</f>
        <v/>
      </c>
      <c r="I1354" s="29" t="str">
        <f aca="false">IFERROR(INDEX('Semrush Data'!$A$1:$Z$20000,MATCH(A1354,'Semrush Data'!$A$1:$A$20000,0),MATCH("CPC*",'Semrush Data'!$A$1:$Z$1,0)),"")</f>
        <v/>
      </c>
      <c r="J1354" s="6" t="str">
        <f aca="false">IFERROR(INDEX('Semrush Data'!$A$1:$Z$20000,MATCH(A1354,'Semrush Data'!$A$1:$A$20000,0),MATCH("Intent",'Semrush Data'!$A$1:$Z$1,0)),"")</f>
        <v/>
      </c>
    </row>
    <row r="1355" customFormat="false" ht="15" hidden="false" customHeight="true" outlineLevel="0" collapsed="false">
      <c r="A1355" s="6" t="s">
        <v>2949</v>
      </c>
      <c r="B1355" s="6" t="s">
        <v>6869</v>
      </c>
      <c r="C1355" s="6" t="n">
        <v>2</v>
      </c>
      <c r="D1355" s="6" t="s">
        <v>6868</v>
      </c>
      <c r="E1355" s="6" t="n">
        <v>1</v>
      </c>
      <c r="F1355" s="6" t="s">
        <v>2943</v>
      </c>
      <c r="G1355" s="28" t="n">
        <f aca="false">IFERROR(INDEX('Semrush Data'!$A$1:$Z$20000,MATCH(A1355,'Semrush Data'!$A$1:$A$20000,0),MATCH("Volume",'Semrush Data'!$A$1:$Z$1,0)),"")</f>
        <v>20</v>
      </c>
      <c r="H1355" s="6" t="n">
        <f aca="false">IFERROR(INDEX('Semrush Data'!$A$1:$Z$20000,MATCH(A1355,'Semrush Data'!$A$1:$A$20000,0),MATCH("Keyword Difficulty*",'Semrush Data'!$A$1:$Z$1,0)),"")</f>
        <v>20</v>
      </c>
      <c r="I1355" s="29" t="n">
        <f aca="false">IFERROR(INDEX('Semrush Data'!$A$1:$Z$20000,MATCH(A1355,'Semrush Data'!$A$1:$A$20000,0),MATCH("CPC*",'Semrush Data'!$A$1:$Z$1,0)),"")</f>
        <v>0</v>
      </c>
      <c r="J1355" s="6" t="str">
        <f aca="false">IFERROR(INDEX('Semrush Data'!$A$1:$Z$20000,MATCH(A1355,'Semrush Data'!$A$1:$A$20000,0),MATCH("Intent",'Semrush Data'!$A$1:$Z$1,0)),"")</f>
        <v>Informational Transactional</v>
      </c>
    </row>
    <row r="1356" customFormat="false" ht="15" hidden="false" customHeight="true" outlineLevel="0" collapsed="false">
      <c r="A1356" s="6" t="s">
        <v>3006</v>
      </c>
      <c r="B1356" s="6" t="s">
        <v>6869</v>
      </c>
      <c r="C1356" s="6" t="n">
        <v>2</v>
      </c>
      <c r="D1356" s="6" t="n">
        <v>14</v>
      </c>
      <c r="E1356" s="6" t="n">
        <v>1</v>
      </c>
      <c r="F1356" s="6" t="s">
        <v>3000</v>
      </c>
      <c r="G1356" s="28" t="str">
        <f aca="false">IFERROR(INDEX('Semrush Data'!$A$1:$Z$20000,MATCH(A1356,'Semrush Data'!$A$1:$A$20000,0),MATCH("Volume",'Semrush Data'!$A$1:$Z$1,0)),"")</f>
        <v/>
      </c>
      <c r="H1356" s="6" t="str">
        <f aca="false">IFERROR(INDEX('Semrush Data'!$A$1:$Z$20000,MATCH(A1356,'Semrush Data'!$A$1:$A$20000,0),MATCH("Keyword Difficulty*",'Semrush Data'!$A$1:$Z$1,0)),"")</f>
        <v/>
      </c>
      <c r="I1356" s="29" t="str">
        <f aca="false">IFERROR(INDEX('Semrush Data'!$A$1:$Z$20000,MATCH(A1356,'Semrush Data'!$A$1:$A$20000,0),MATCH("CPC*",'Semrush Data'!$A$1:$Z$1,0)),"")</f>
        <v/>
      </c>
      <c r="J1356" s="6" t="str">
        <f aca="false">IFERROR(INDEX('Semrush Data'!$A$1:$Z$20000,MATCH(A1356,'Semrush Data'!$A$1:$A$20000,0),MATCH("Intent",'Semrush Data'!$A$1:$Z$1,0)),"")</f>
        <v/>
      </c>
    </row>
    <row r="1357" customFormat="false" ht="15" hidden="false" customHeight="true" outlineLevel="0" collapsed="false">
      <c r="A1357" s="6" t="s">
        <v>3017</v>
      </c>
      <c r="B1357" s="6" t="s">
        <v>6869</v>
      </c>
      <c r="C1357" s="6" t="n">
        <v>2</v>
      </c>
      <c r="D1357" s="6" t="n">
        <v>14</v>
      </c>
      <c r="E1357" s="6" t="n">
        <v>1</v>
      </c>
      <c r="F1357" s="6" t="s">
        <v>3011</v>
      </c>
      <c r="G1357" s="28" t="str">
        <f aca="false">IFERROR(INDEX('Semrush Data'!$A$1:$Z$20000,MATCH(A1357,'Semrush Data'!$A$1:$A$20000,0),MATCH("Volume",'Semrush Data'!$A$1:$Z$1,0)),"")</f>
        <v/>
      </c>
      <c r="H1357" s="6" t="str">
        <f aca="false">IFERROR(INDEX('Semrush Data'!$A$1:$Z$20000,MATCH(A1357,'Semrush Data'!$A$1:$A$20000,0),MATCH("Keyword Difficulty*",'Semrush Data'!$A$1:$Z$1,0)),"")</f>
        <v/>
      </c>
      <c r="I1357" s="29" t="str">
        <f aca="false">IFERROR(INDEX('Semrush Data'!$A$1:$Z$20000,MATCH(A1357,'Semrush Data'!$A$1:$A$20000,0),MATCH("CPC*",'Semrush Data'!$A$1:$Z$1,0)),"")</f>
        <v/>
      </c>
      <c r="J1357" s="6" t="str">
        <f aca="false">IFERROR(INDEX('Semrush Data'!$A$1:$Z$20000,MATCH(A1357,'Semrush Data'!$A$1:$A$20000,0),MATCH("Intent",'Semrush Data'!$A$1:$Z$1,0)),"")</f>
        <v/>
      </c>
    </row>
    <row r="1358" customFormat="false" ht="15" hidden="false" customHeight="true" outlineLevel="0" collapsed="false">
      <c r="A1358" s="6" t="s">
        <v>2972</v>
      </c>
      <c r="B1358" s="6" t="s">
        <v>6869</v>
      </c>
      <c r="C1358" s="6" t="n">
        <v>2</v>
      </c>
      <c r="D1358" s="6" t="s">
        <v>6867</v>
      </c>
      <c r="E1358" s="6" t="n">
        <v>1</v>
      </c>
      <c r="F1358" s="6" t="s">
        <v>2966</v>
      </c>
      <c r="G1358" s="28" t="n">
        <f aca="false">IFERROR(INDEX('Semrush Data'!$A$1:$Z$20000,MATCH(A1358,'Semrush Data'!$A$1:$A$20000,0),MATCH("Volume",'Semrush Data'!$A$1:$Z$1,0)),"")</f>
        <v>20</v>
      </c>
      <c r="H1358" s="6" t="n">
        <f aca="false">IFERROR(INDEX('Semrush Data'!$A$1:$Z$20000,MATCH(A1358,'Semrush Data'!$A$1:$A$20000,0),MATCH("Keyword Difficulty*",'Semrush Data'!$A$1:$Z$1,0)),"")</f>
        <v>16</v>
      </c>
      <c r="I1358" s="29" t="n">
        <f aca="false">IFERROR(INDEX('Semrush Data'!$A$1:$Z$20000,MATCH(A1358,'Semrush Data'!$A$1:$A$20000,0),MATCH("CPC*",'Semrush Data'!$A$1:$Z$1,0)),"")</f>
        <v>0</v>
      </c>
      <c r="J1358" s="6" t="str">
        <f aca="false">IFERROR(INDEX('Semrush Data'!$A$1:$Z$20000,MATCH(A1358,'Semrush Data'!$A$1:$A$20000,0),MATCH("Intent",'Semrush Data'!$A$1:$Z$1,0)),"")</f>
        <v>Transactional</v>
      </c>
    </row>
    <row r="1359" customFormat="false" ht="15" hidden="false" customHeight="true" outlineLevel="0" collapsed="false">
      <c r="A1359" s="6" t="s">
        <v>3080</v>
      </c>
      <c r="B1359" s="6" t="s">
        <v>6869</v>
      </c>
      <c r="C1359" s="6" t="n">
        <v>2</v>
      </c>
      <c r="D1359" s="6" t="s">
        <v>6867</v>
      </c>
      <c r="E1359" s="6" t="n">
        <v>2</v>
      </c>
      <c r="F1359" s="6" t="s">
        <v>6843</v>
      </c>
      <c r="G1359" s="28" t="n">
        <f aca="false">IFERROR(INDEX('Semrush Data'!$A$1:$Z$20000,MATCH(A1359,'Semrush Data'!$A$1:$A$20000,0),MATCH("Volume",'Semrush Data'!$A$1:$Z$1,0)),"")</f>
        <v>140</v>
      </c>
      <c r="H1359" s="6" t="n">
        <f aca="false">IFERROR(INDEX('Semrush Data'!$A$1:$Z$20000,MATCH(A1359,'Semrush Data'!$A$1:$A$20000,0),MATCH("Keyword Difficulty*",'Semrush Data'!$A$1:$Z$1,0)),"")</f>
        <v>15</v>
      </c>
      <c r="I1359" s="29" t="n">
        <f aca="false">IFERROR(INDEX('Semrush Data'!$A$1:$Z$20000,MATCH(A1359,'Semrush Data'!$A$1:$A$20000,0),MATCH("CPC*",'Semrush Data'!$A$1:$Z$1,0)),"")</f>
        <v>0.46</v>
      </c>
      <c r="J1359" s="6" t="str">
        <f aca="false">IFERROR(INDEX('Semrush Data'!$A$1:$Z$20000,MATCH(A1359,'Semrush Data'!$A$1:$A$20000,0),MATCH("Intent",'Semrush Data'!$A$1:$Z$1,0)),"")</f>
        <v>Informational Transactional</v>
      </c>
    </row>
    <row r="1360" customFormat="false" ht="15" hidden="false" customHeight="true" outlineLevel="0" collapsed="false">
      <c r="A1360" s="6" t="s">
        <v>3051</v>
      </c>
      <c r="B1360" s="6" t="s">
        <v>6869</v>
      </c>
      <c r="C1360" s="6" t="n">
        <v>2</v>
      </c>
      <c r="D1360" s="6" t="s">
        <v>6867</v>
      </c>
      <c r="E1360" s="6" t="n">
        <v>2</v>
      </c>
      <c r="F1360" s="6" t="s">
        <v>6842</v>
      </c>
      <c r="G1360" s="28" t="n">
        <f aca="false">IFERROR(INDEX('Semrush Data'!$A$1:$Z$20000,MATCH(A1360,'Semrush Data'!$A$1:$A$20000,0),MATCH("Volume",'Semrush Data'!$A$1:$Z$1,0)),"")</f>
        <v>30</v>
      </c>
      <c r="H1360" s="6" t="n">
        <f aca="false">IFERROR(INDEX('Semrush Data'!$A$1:$Z$20000,MATCH(A1360,'Semrush Data'!$A$1:$A$20000,0),MATCH("Keyword Difficulty*",'Semrush Data'!$A$1:$Z$1,0)),"")</f>
        <v>14</v>
      </c>
      <c r="I1360" s="29" t="n">
        <f aca="false">IFERROR(INDEX('Semrush Data'!$A$1:$Z$20000,MATCH(A1360,'Semrush Data'!$A$1:$A$20000,0),MATCH("CPC*",'Semrush Data'!$A$1:$Z$1,0)),"")</f>
        <v>0</v>
      </c>
      <c r="J1360" s="6" t="str">
        <f aca="false">IFERROR(INDEX('Semrush Data'!$A$1:$Z$20000,MATCH(A1360,'Semrush Data'!$A$1:$A$20000,0),MATCH("Intent",'Semrush Data'!$A$1:$Z$1,0)),"")</f>
        <v>Informational Transactional</v>
      </c>
    </row>
    <row r="1361" customFormat="false" ht="15" hidden="false" customHeight="true" outlineLevel="0" collapsed="false">
      <c r="A1361" s="6" t="s">
        <v>3093</v>
      </c>
      <c r="B1361" s="6" t="s">
        <v>6869</v>
      </c>
      <c r="C1361" s="6" t="n">
        <v>2</v>
      </c>
      <c r="D1361" s="6" t="s">
        <v>6867</v>
      </c>
      <c r="E1361" s="6" t="n">
        <v>1</v>
      </c>
      <c r="F1361" s="6" t="s">
        <v>79</v>
      </c>
      <c r="G1361" s="28" t="n">
        <f aca="false">IFERROR(INDEX('Semrush Data'!$A$1:$Z$20000,MATCH(A1361,'Semrush Data'!$A$1:$A$20000,0),MATCH("Volume",'Semrush Data'!$A$1:$Z$1,0)),"")</f>
        <v>110</v>
      </c>
      <c r="H1361" s="6" t="n">
        <f aca="false">IFERROR(INDEX('Semrush Data'!$A$1:$Z$20000,MATCH(A1361,'Semrush Data'!$A$1:$A$20000,0),MATCH("Keyword Difficulty*",'Semrush Data'!$A$1:$Z$1,0)),"")</f>
        <v>17</v>
      </c>
      <c r="I1361" s="29" t="n">
        <f aca="false">IFERROR(INDEX('Semrush Data'!$A$1:$Z$20000,MATCH(A1361,'Semrush Data'!$A$1:$A$20000,0),MATCH("CPC*",'Semrush Data'!$A$1:$Z$1,0)),"")</f>
        <v>0.4</v>
      </c>
      <c r="J1361" s="6" t="str">
        <f aca="false">IFERROR(INDEX('Semrush Data'!$A$1:$Z$20000,MATCH(A1361,'Semrush Data'!$A$1:$A$20000,0),MATCH("Intent",'Semrush Data'!$A$1:$Z$1,0)),"")</f>
        <v>Informational</v>
      </c>
    </row>
    <row r="1362" customFormat="false" ht="15" hidden="false" customHeight="true" outlineLevel="0" collapsed="false">
      <c r="A1362" s="6" t="s">
        <v>3116</v>
      </c>
      <c r="B1362" s="6" t="s">
        <v>6869</v>
      </c>
      <c r="C1362" s="6" t="n">
        <v>2</v>
      </c>
      <c r="D1362" s="6" t="s">
        <v>6867</v>
      </c>
      <c r="E1362" s="6" t="n">
        <v>1</v>
      </c>
      <c r="F1362" s="6" t="s">
        <v>145</v>
      </c>
      <c r="G1362" s="28" t="n">
        <f aca="false">IFERROR(INDEX('Semrush Data'!$A$1:$Z$20000,MATCH(A1362,'Semrush Data'!$A$1:$A$20000,0),MATCH("Volume",'Semrush Data'!$A$1:$Z$1,0)),"")</f>
        <v>10</v>
      </c>
      <c r="H1362" s="6" t="n">
        <f aca="false">IFERROR(INDEX('Semrush Data'!$A$1:$Z$20000,MATCH(A1362,'Semrush Data'!$A$1:$A$20000,0),MATCH("Keyword Difficulty*",'Semrush Data'!$A$1:$Z$1,0)),"")</f>
        <v>13</v>
      </c>
      <c r="I1362" s="29" t="n">
        <f aca="false">IFERROR(INDEX('Semrush Data'!$A$1:$Z$20000,MATCH(A1362,'Semrush Data'!$A$1:$A$20000,0),MATCH("CPC*",'Semrush Data'!$A$1:$Z$1,0)),"")</f>
        <v>0</v>
      </c>
      <c r="J1362" s="6" t="str">
        <f aca="false">IFERROR(INDEX('Semrush Data'!$A$1:$Z$20000,MATCH(A1362,'Semrush Data'!$A$1:$A$20000,0),MATCH("Intent",'Semrush Data'!$A$1:$Z$1,0)),"")</f>
        <v>Informational Transactional</v>
      </c>
    </row>
    <row r="1363" customFormat="false" ht="15" hidden="false" customHeight="true" outlineLevel="0" collapsed="false">
      <c r="A1363" s="6" t="s">
        <v>3105</v>
      </c>
      <c r="B1363" s="6" t="s">
        <v>6869</v>
      </c>
      <c r="C1363" s="6" t="n">
        <v>2</v>
      </c>
      <c r="D1363" s="6" t="n">
        <v>14</v>
      </c>
      <c r="E1363" s="6" t="n">
        <v>1</v>
      </c>
      <c r="F1363" s="6" t="s">
        <v>3099</v>
      </c>
      <c r="G1363" s="28" t="str">
        <f aca="false">IFERROR(INDEX('Semrush Data'!$A$1:$Z$20000,MATCH(A1363,'Semrush Data'!$A$1:$A$20000,0),MATCH("Volume",'Semrush Data'!$A$1:$Z$1,0)),"")</f>
        <v/>
      </c>
      <c r="H1363" s="6" t="str">
        <f aca="false">IFERROR(INDEX('Semrush Data'!$A$1:$Z$20000,MATCH(A1363,'Semrush Data'!$A$1:$A$20000,0),MATCH("Keyword Difficulty*",'Semrush Data'!$A$1:$Z$1,0)),"")</f>
        <v/>
      </c>
      <c r="I1363" s="29" t="str">
        <f aca="false">IFERROR(INDEX('Semrush Data'!$A$1:$Z$20000,MATCH(A1363,'Semrush Data'!$A$1:$A$20000,0),MATCH("CPC*",'Semrush Data'!$A$1:$Z$1,0)),"")</f>
        <v/>
      </c>
      <c r="J1363" s="6" t="str">
        <f aca="false">IFERROR(INDEX('Semrush Data'!$A$1:$Z$20000,MATCH(A1363,'Semrush Data'!$A$1:$A$20000,0),MATCH("Intent",'Semrush Data'!$A$1:$Z$1,0)),"")</f>
        <v/>
      </c>
    </row>
    <row r="1364" customFormat="false" ht="15" hidden="false" customHeight="true" outlineLevel="0" collapsed="false">
      <c r="A1364" s="6" t="s">
        <v>3178</v>
      </c>
      <c r="B1364" s="6" t="s">
        <v>6869</v>
      </c>
      <c r="C1364" s="6" t="n">
        <v>2</v>
      </c>
      <c r="D1364" s="6" t="n">
        <v>14</v>
      </c>
      <c r="E1364" s="6" t="n">
        <v>1</v>
      </c>
      <c r="F1364" s="6" t="s">
        <v>3171</v>
      </c>
      <c r="G1364" s="28" t="str">
        <f aca="false">IFERROR(INDEX('Semrush Data'!$A$1:$Z$20000,MATCH(A1364,'Semrush Data'!$A$1:$A$20000,0),MATCH("Volume",'Semrush Data'!$A$1:$Z$1,0)),"")</f>
        <v/>
      </c>
      <c r="H1364" s="6" t="str">
        <f aca="false">IFERROR(INDEX('Semrush Data'!$A$1:$Z$20000,MATCH(A1364,'Semrush Data'!$A$1:$A$20000,0),MATCH("Keyword Difficulty*",'Semrush Data'!$A$1:$Z$1,0)),"")</f>
        <v/>
      </c>
      <c r="I1364" s="29" t="str">
        <f aca="false">IFERROR(INDEX('Semrush Data'!$A$1:$Z$20000,MATCH(A1364,'Semrush Data'!$A$1:$A$20000,0),MATCH("CPC*",'Semrush Data'!$A$1:$Z$1,0)),"")</f>
        <v/>
      </c>
      <c r="J1364" s="6" t="str">
        <f aca="false">IFERROR(INDEX('Semrush Data'!$A$1:$Z$20000,MATCH(A1364,'Semrush Data'!$A$1:$A$20000,0),MATCH("Intent",'Semrush Data'!$A$1:$Z$1,0)),"")</f>
        <v/>
      </c>
    </row>
    <row r="1365" customFormat="false" ht="15" hidden="false" customHeight="true" outlineLevel="0" collapsed="false">
      <c r="A1365" s="6" t="s">
        <v>3237</v>
      </c>
      <c r="B1365" s="6" t="s">
        <v>6869</v>
      </c>
      <c r="C1365" s="6" t="n">
        <v>2</v>
      </c>
      <c r="D1365" s="6" t="s">
        <v>6867</v>
      </c>
      <c r="E1365" s="6" t="n">
        <v>2</v>
      </c>
      <c r="F1365" s="6" t="s">
        <v>6844</v>
      </c>
      <c r="G1365" s="28" t="n">
        <f aca="false">IFERROR(INDEX('Semrush Data'!$A$1:$Z$20000,MATCH(A1365,'Semrush Data'!$A$1:$A$20000,0),MATCH("Volume",'Semrush Data'!$A$1:$Z$1,0)),"")</f>
        <v>210</v>
      </c>
      <c r="H1365" s="6" t="n">
        <f aca="false">IFERROR(INDEX('Semrush Data'!$A$1:$Z$20000,MATCH(A1365,'Semrush Data'!$A$1:$A$20000,0),MATCH("Keyword Difficulty*",'Semrush Data'!$A$1:$Z$1,0)),"")</f>
        <v>22</v>
      </c>
      <c r="I1365" s="29" t="n">
        <f aca="false">IFERROR(INDEX('Semrush Data'!$A$1:$Z$20000,MATCH(A1365,'Semrush Data'!$A$1:$A$20000,0),MATCH("CPC*",'Semrush Data'!$A$1:$Z$1,0)),"")</f>
        <v>0.4</v>
      </c>
      <c r="J1365" s="6" t="str">
        <f aca="false">IFERROR(INDEX('Semrush Data'!$A$1:$Z$20000,MATCH(A1365,'Semrush Data'!$A$1:$A$20000,0),MATCH("Intent",'Semrush Data'!$A$1:$Z$1,0)),"")</f>
        <v>Informational</v>
      </c>
    </row>
    <row r="1366" customFormat="false" ht="15" hidden="false" customHeight="true" outlineLevel="0" collapsed="false">
      <c r="A1366" s="6" t="s">
        <v>3228</v>
      </c>
      <c r="B1366" s="6" t="s">
        <v>6869</v>
      </c>
      <c r="C1366" s="6" t="n">
        <v>2</v>
      </c>
      <c r="D1366" s="6" t="n">
        <v>14</v>
      </c>
      <c r="E1366" s="6" t="n">
        <v>1</v>
      </c>
      <c r="F1366" s="6" t="s">
        <v>3222</v>
      </c>
      <c r="G1366" s="28" t="str">
        <f aca="false">IFERROR(INDEX('Semrush Data'!$A$1:$Z$20000,MATCH(A1366,'Semrush Data'!$A$1:$A$20000,0),MATCH("Volume",'Semrush Data'!$A$1:$Z$1,0)),"")</f>
        <v/>
      </c>
      <c r="H1366" s="6" t="str">
        <f aca="false">IFERROR(INDEX('Semrush Data'!$A$1:$Z$20000,MATCH(A1366,'Semrush Data'!$A$1:$A$20000,0),MATCH("Keyword Difficulty*",'Semrush Data'!$A$1:$Z$1,0)),"")</f>
        <v/>
      </c>
      <c r="I1366" s="29" t="str">
        <f aca="false">IFERROR(INDEX('Semrush Data'!$A$1:$Z$20000,MATCH(A1366,'Semrush Data'!$A$1:$A$20000,0),MATCH("CPC*",'Semrush Data'!$A$1:$Z$1,0)),"")</f>
        <v/>
      </c>
      <c r="J1366" s="6" t="str">
        <f aca="false">IFERROR(INDEX('Semrush Data'!$A$1:$Z$20000,MATCH(A1366,'Semrush Data'!$A$1:$A$20000,0),MATCH("Intent",'Semrush Data'!$A$1:$Z$1,0)),"")</f>
        <v/>
      </c>
    </row>
    <row r="1367" customFormat="false" ht="15" hidden="false" customHeight="true" outlineLevel="0" collapsed="false">
      <c r="A1367" s="6" t="s">
        <v>3249</v>
      </c>
      <c r="B1367" s="6" t="s">
        <v>6869</v>
      </c>
      <c r="C1367" s="6" t="n">
        <v>2</v>
      </c>
      <c r="D1367" s="6" t="n">
        <v>14</v>
      </c>
      <c r="E1367" s="6" t="n">
        <v>2</v>
      </c>
      <c r="F1367" s="6" t="s">
        <v>6846</v>
      </c>
      <c r="G1367" s="28" t="str">
        <f aca="false">IFERROR(INDEX('Semrush Data'!$A$1:$Z$20000,MATCH(A1367,'Semrush Data'!$A$1:$A$20000,0),MATCH("Volume",'Semrush Data'!$A$1:$Z$1,0)),"")</f>
        <v/>
      </c>
      <c r="H1367" s="6" t="str">
        <f aca="false">IFERROR(INDEX('Semrush Data'!$A$1:$Z$20000,MATCH(A1367,'Semrush Data'!$A$1:$A$20000,0),MATCH("Keyword Difficulty*",'Semrush Data'!$A$1:$Z$1,0)),"")</f>
        <v/>
      </c>
      <c r="I1367" s="29" t="str">
        <f aca="false">IFERROR(INDEX('Semrush Data'!$A$1:$Z$20000,MATCH(A1367,'Semrush Data'!$A$1:$A$20000,0),MATCH("CPC*",'Semrush Data'!$A$1:$Z$1,0)),"")</f>
        <v/>
      </c>
      <c r="J1367" s="6" t="str">
        <f aca="false">IFERROR(INDEX('Semrush Data'!$A$1:$Z$20000,MATCH(A1367,'Semrush Data'!$A$1:$A$20000,0),MATCH("Intent",'Semrush Data'!$A$1:$Z$1,0)),"")</f>
        <v/>
      </c>
    </row>
    <row r="1368" customFormat="false" ht="15" hidden="false" customHeight="true" outlineLevel="0" collapsed="false">
      <c r="A1368" s="6" t="s">
        <v>3187</v>
      </c>
      <c r="B1368" s="6" t="s">
        <v>6869</v>
      </c>
      <c r="C1368" s="6" t="n">
        <v>2</v>
      </c>
      <c r="D1368" s="6" t="s">
        <v>6867</v>
      </c>
      <c r="E1368" s="6" t="n">
        <v>2</v>
      </c>
      <c r="F1368" s="6" t="s">
        <v>6845</v>
      </c>
      <c r="G1368" s="28" t="n">
        <f aca="false">IFERROR(INDEX('Semrush Data'!$A$1:$Z$20000,MATCH(A1368,'Semrush Data'!$A$1:$A$20000,0),MATCH("Volume",'Semrush Data'!$A$1:$Z$1,0)),"")</f>
        <v>210</v>
      </c>
      <c r="H1368" s="6" t="n">
        <f aca="false">IFERROR(INDEX('Semrush Data'!$A$1:$Z$20000,MATCH(A1368,'Semrush Data'!$A$1:$A$20000,0),MATCH("Keyword Difficulty*",'Semrush Data'!$A$1:$Z$1,0)),"")</f>
        <v>13</v>
      </c>
      <c r="I1368" s="29" t="n">
        <f aca="false">IFERROR(INDEX('Semrush Data'!$A$1:$Z$20000,MATCH(A1368,'Semrush Data'!$A$1:$A$20000,0),MATCH("CPC*",'Semrush Data'!$A$1:$Z$1,0)),"")</f>
        <v>0.45</v>
      </c>
      <c r="J1368" s="6" t="str">
        <f aca="false">IFERROR(INDEX('Semrush Data'!$A$1:$Z$20000,MATCH(A1368,'Semrush Data'!$A$1:$A$20000,0),MATCH("Intent",'Semrush Data'!$A$1:$Z$1,0)),"")</f>
        <v>Informational Transactional</v>
      </c>
    </row>
    <row r="1369" customFormat="false" ht="15" hidden="false" customHeight="true" outlineLevel="0" collapsed="false">
      <c r="A1369" s="6" t="s">
        <v>3205</v>
      </c>
      <c r="B1369" s="6" t="s">
        <v>6869</v>
      </c>
      <c r="C1369" s="6" t="n">
        <v>2</v>
      </c>
      <c r="D1369" s="6" t="n">
        <v>14</v>
      </c>
      <c r="E1369" s="6" t="n">
        <v>1</v>
      </c>
      <c r="F1369" s="6" t="s">
        <v>3203</v>
      </c>
      <c r="G1369" s="28" t="str">
        <f aca="false">IFERROR(INDEX('Semrush Data'!$A$1:$Z$20000,MATCH(A1369,'Semrush Data'!$A$1:$A$20000,0),MATCH("Volume",'Semrush Data'!$A$1:$Z$1,0)),"")</f>
        <v/>
      </c>
      <c r="H1369" s="6" t="str">
        <f aca="false">IFERROR(INDEX('Semrush Data'!$A$1:$Z$20000,MATCH(A1369,'Semrush Data'!$A$1:$A$20000,0),MATCH("Keyword Difficulty*",'Semrush Data'!$A$1:$Z$1,0)),"")</f>
        <v/>
      </c>
      <c r="I1369" s="29" t="str">
        <f aca="false">IFERROR(INDEX('Semrush Data'!$A$1:$Z$20000,MATCH(A1369,'Semrush Data'!$A$1:$A$20000,0),MATCH("CPC*",'Semrush Data'!$A$1:$Z$1,0)),"")</f>
        <v/>
      </c>
      <c r="J1369" s="6" t="str">
        <f aca="false">IFERROR(INDEX('Semrush Data'!$A$1:$Z$20000,MATCH(A1369,'Semrush Data'!$A$1:$A$20000,0),MATCH("Intent",'Semrush Data'!$A$1:$Z$1,0)),"")</f>
        <v/>
      </c>
    </row>
    <row r="1370" customFormat="false" ht="15" hidden="false" customHeight="true" outlineLevel="0" collapsed="false">
      <c r="A1370" s="6" t="s">
        <v>3262</v>
      </c>
      <c r="B1370" s="6" t="s">
        <v>6869</v>
      </c>
      <c r="C1370" s="6" t="n">
        <v>2</v>
      </c>
      <c r="D1370" s="6" t="n">
        <v>14</v>
      </c>
      <c r="E1370" s="6" t="n">
        <v>1</v>
      </c>
      <c r="F1370" s="6" t="s">
        <v>3256</v>
      </c>
      <c r="G1370" s="28" t="str">
        <f aca="false">IFERROR(INDEX('Semrush Data'!$A$1:$Z$20000,MATCH(A1370,'Semrush Data'!$A$1:$A$20000,0),MATCH("Volume",'Semrush Data'!$A$1:$Z$1,0)),"")</f>
        <v/>
      </c>
      <c r="H1370" s="6" t="str">
        <f aca="false">IFERROR(INDEX('Semrush Data'!$A$1:$Z$20000,MATCH(A1370,'Semrush Data'!$A$1:$A$20000,0),MATCH("Keyword Difficulty*",'Semrush Data'!$A$1:$Z$1,0)),"")</f>
        <v/>
      </c>
      <c r="I1370" s="29" t="str">
        <f aca="false">IFERROR(INDEX('Semrush Data'!$A$1:$Z$20000,MATCH(A1370,'Semrush Data'!$A$1:$A$20000,0),MATCH("CPC*",'Semrush Data'!$A$1:$Z$1,0)),"")</f>
        <v/>
      </c>
      <c r="J1370" s="6" t="str">
        <f aca="false">IFERROR(INDEX('Semrush Data'!$A$1:$Z$20000,MATCH(A1370,'Semrush Data'!$A$1:$A$20000,0),MATCH("Intent",'Semrush Data'!$A$1:$Z$1,0)),"")</f>
        <v/>
      </c>
    </row>
    <row r="1371" customFormat="false" ht="15" hidden="false" customHeight="true" outlineLevel="0" collapsed="false">
      <c r="A1371" s="6" t="s">
        <v>3199</v>
      </c>
      <c r="B1371" s="6" t="s">
        <v>6869</v>
      </c>
      <c r="C1371" s="6" t="n">
        <v>2</v>
      </c>
      <c r="D1371" s="6" t="n">
        <v>14</v>
      </c>
      <c r="E1371" s="6" t="n">
        <v>1</v>
      </c>
      <c r="F1371" s="6" t="s">
        <v>3193</v>
      </c>
      <c r="G1371" s="28" t="str">
        <f aca="false">IFERROR(INDEX('Semrush Data'!$A$1:$Z$20000,MATCH(A1371,'Semrush Data'!$A$1:$A$20000,0),MATCH("Volume",'Semrush Data'!$A$1:$Z$1,0)),"")</f>
        <v/>
      </c>
      <c r="H1371" s="6" t="str">
        <f aca="false">IFERROR(INDEX('Semrush Data'!$A$1:$Z$20000,MATCH(A1371,'Semrush Data'!$A$1:$A$20000,0),MATCH("Keyword Difficulty*",'Semrush Data'!$A$1:$Z$1,0)),"")</f>
        <v/>
      </c>
      <c r="I1371" s="29" t="str">
        <f aca="false">IFERROR(INDEX('Semrush Data'!$A$1:$Z$20000,MATCH(A1371,'Semrush Data'!$A$1:$A$20000,0),MATCH("CPC*",'Semrush Data'!$A$1:$Z$1,0)),"")</f>
        <v/>
      </c>
      <c r="J1371" s="6" t="str">
        <f aca="false">IFERROR(INDEX('Semrush Data'!$A$1:$Z$20000,MATCH(A1371,'Semrush Data'!$A$1:$A$20000,0),MATCH("Intent",'Semrush Data'!$A$1:$Z$1,0)),"")</f>
        <v/>
      </c>
    </row>
    <row r="1372" customFormat="false" ht="15" hidden="false" customHeight="true" outlineLevel="0" collapsed="false">
      <c r="A1372" s="6" t="s">
        <v>3315</v>
      </c>
      <c r="B1372" s="6" t="s">
        <v>6869</v>
      </c>
      <c r="C1372" s="6" t="n">
        <v>2</v>
      </c>
      <c r="D1372" s="6" t="s">
        <v>6867</v>
      </c>
      <c r="E1372" s="6" t="n">
        <v>1</v>
      </c>
      <c r="F1372" s="6" t="s">
        <v>3308</v>
      </c>
      <c r="G1372" s="28" t="n">
        <f aca="false">IFERROR(INDEX('Semrush Data'!$A$1:$Z$20000,MATCH(A1372,'Semrush Data'!$A$1:$A$20000,0),MATCH("Volume",'Semrush Data'!$A$1:$Z$1,0)),"")</f>
        <v>20</v>
      </c>
      <c r="H1372" s="6" t="n">
        <f aca="false">IFERROR(INDEX('Semrush Data'!$A$1:$Z$20000,MATCH(A1372,'Semrush Data'!$A$1:$A$20000,0),MATCH("Keyword Difficulty*",'Semrush Data'!$A$1:$Z$1,0)),"")</f>
        <v>11</v>
      </c>
      <c r="I1372" s="29" t="n">
        <f aca="false">IFERROR(INDEX('Semrush Data'!$A$1:$Z$20000,MATCH(A1372,'Semrush Data'!$A$1:$A$20000,0),MATCH("CPC*",'Semrush Data'!$A$1:$Z$1,0)),"")</f>
        <v>0</v>
      </c>
      <c r="J1372" s="6" t="str">
        <f aca="false">IFERROR(INDEX('Semrush Data'!$A$1:$Z$20000,MATCH(A1372,'Semrush Data'!$A$1:$A$20000,0),MATCH("Intent",'Semrush Data'!$A$1:$Z$1,0)),"")</f>
        <v>Informational Transactional</v>
      </c>
    </row>
    <row r="1373" customFormat="false" ht="15" hidden="false" customHeight="true" outlineLevel="0" collapsed="false">
      <c r="A1373" s="6" t="s">
        <v>3324</v>
      </c>
      <c r="B1373" s="6" t="s">
        <v>6869</v>
      </c>
      <c r="C1373" s="6" t="n">
        <v>2</v>
      </c>
      <c r="D1373" s="6" t="s">
        <v>6867</v>
      </c>
      <c r="E1373" s="6" t="n">
        <v>1</v>
      </c>
      <c r="F1373" s="6" t="s">
        <v>131</v>
      </c>
      <c r="G1373" s="28" t="n">
        <f aca="false">IFERROR(INDEX('Semrush Data'!$A$1:$Z$20000,MATCH(A1373,'Semrush Data'!$A$1:$A$20000,0),MATCH("Volume",'Semrush Data'!$A$1:$Z$1,0)),"")</f>
        <v>20</v>
      </c>
      <c r="H1373" s="6" t="n">
        <f aca="false">IFERROR(INDEX('Semrush Data'!$A$1:$Z$20000,MATCH(A1373,'Semrush Data'!$A$1:$A$20000,0),MATCH("Keyword Difficulty*",'Semrush Data'!$A$1:$Z$1,0)),"")</f>
        <v>12</v>
      </c>
      <c r="I1373" s="29" t="n">
        <f aca="false">IFERROR(INDEX('Semrush Data'!$A$1:$Z$20000,MATCH(A1373,'Semrush Data'!$A$1:$A$20000,0),MATCH("CPC*",'Semrush Data'!$A$1:$Z$1,0)),"")</f>
        <v>0.79</v>
      </c>
      <c r="J1373" s="6" t="str">
        <f aca="false">IFERROR(INDEX('Semrush Data'!$A$1:$Z$20000,MATCH(A1373,'Semrush Data'!$A$1:$A$20000,0),MATCH("Intent",'Semrush Data'!$A$1:$Z$1,0)),"")</f>
        <v>Informational</v>
      </c>
    </row>
    <row r="1374" customFormat="false" ht="15" hidden="false" customHeight="true" outlineLevel="0" collapsed="false">
      <c r="A1374" s="6" t="s">
        <v>3275</v>
      </c>
      <c r="B1374" s="6" t="s">
        <v>6869</v>
      </c>
      <c r="C1374" s="6" t="n">
        <v>2</v>
      </c>
      <c r="D1374" s="6" t="s">
        <v>6867</v>
      </c>
      <c r="E1374" s="6" t="n">
        <v>1</v>
      </c>
      <c r="F1374" s="6" t="s">
        <v>3268</v>
      </c>
      <c r="G1374" s="28" t="n">
        <f aca="false">IFERROR(INDEX('Semrush Data'!$A$1:$Z$20000,MATCH(A1374,'Semrush Data'!$A$1:$A$20000,0),MATCH("Volume",'Semrush Data'!$A$1:$Z$1,0)),"")</f>
        <v>20</v>
      </c>
      <c r="H1374" s="6" t="n">
        <f aca="false">IFERROR(INDEX('Semrush Data'!$A$1:$Z$20000,MATCH(A1374,'Semrush Data'!$A$1:$A$20000,0),MATCH("Keyword Difficulty*",'Semrush Data'!$A$1:$Z$1,0)),"")</f>
        <v>12</v>
      </c>
      <c r="I1374" s="29" t="n">
        <f aca="false">IFERROR(INDEX('Semrush Data'!$A$1:$Z$20000,MATCH(A1374,'Semrush Data'!$A$1:$A$20000,0),MATCH("CPC*",'Semrush Data'!$A$1:$Z$1,0)),"")</f>
        <v>0</v>
      </c>
      <c r="J1374" s="6" t="str">
        <f aca="false">IFERROR(INDEX('Semrush Data'!$A$1:$Z$20000,MATCH(A1374,'Semrush Data'!$A$1:$A$20000,0),MATCH("Intent",'Semrush Data'!$A$1:$Z$1,0)),"")</f>
        <v>Informational</v>
      </c>
    </row>
    <row r="1375" customFormat="false" ht="15" hidden="false" customHeight="true" outlineLevel="0" collapsed="false">
      <c r="A1375" s="6" t="s">
        <v>3285</v>
      </c>
      <c r="B1375" s="6" t="s">
        <v>6869</v>
      </c>
      <c r="C1375" s="6" t="n">
        <v>2</v>
      </c>
      <c r="D1375" s="6" t="s">
        <v>6867</v>
      </c>
      <c r="E1375" s="6" t="n">
        <v>2</v>
      </c>
      <c r="F1375" s="6" t="s">
        <v>6847</v>
      </c>
      <c r="G1375" s="28" t="n">
        <f aca="false">IFERROR(INDEX('Semrush Data'!$A$1:$Z$20000,MATCH(A1375,'Semrush Data'!$A$1:$A$20000,0),MATCH("Volume",'Semrush Data'!$A$1:$Z$1,0)),"")</f>
        <v>20</v>
      </c>
      <c r="H1375" s="6" t="n">
        <f aca="false">IFERROR(INDEX('Semrush Data'!$A$1:$Z$20000,MATCH(A1375,'Semrush Data'!$A$1:$A$20000,0),MATCH("Keyword Difficulty*",'Semrush Data'!$A$1:$Z$1,0)),"")</f>
        <v>14</v>
      </c>
      <c r="I1375" s="29" t="n">
        <f aca="false">IFERROR(INDEX('Semrush Data'!$A$1:$Z$20000,MATCH(A1375,'Semrush Data'!$A$1:$A$20000,0),MATCH("CPC*",'Semrush Data'!$A$1:$Z$1,0)),"")</f>
        <v>0</v>
      </c>
      <c r="J1375" s="6" t="str">
        <f aca="false">IFERROR(INDEX('Semrush Data'!$A$1:$Z$20000,MATCH(A1375,'Semrush Data'!$A$1:$A$20000,0),MATCH("Intent",'Semrush Data'!$A$1:$Z$1,0)),"")</f>
        <v>Informational Transactional</v>
      </c>
    </row>
    <row r="1376" customFormat="false" ht="15" hidden="false" customHeight="true" outlineLevel="0" collapsed="false">
      <c r="A1376" s="6" t="s">
        <v>3298</v>
      </c>
      <c r="B1376" s="6" t="s">
        <v>6869</v>
      </c>
      <c r="C1376" s="6" t="n">
        <v>2</v>
      </c>
      <c r="D1376" s="6" t="n">
        <v>14</v>
      </c>
      <c r="E1376" s="6" t="n">
        <v>2</v>
      </c>
      <c r="F1376" s="6" t="s">
        <v>6848</v>
      </c>
      <c r="G1376" s="28" t="str">
        <f aca="false">IFERROR(INDEX('Semrush Data'!$A$1:$Z$20000,MATCH(A1376,'Semrush Data'!$A$1:$A$20000,0),MATCH("Volume",'Semrush Data'!$A$1:$Z$1,0)),"")</f>
        <v/>
      </c>
      <c r="H1376" s="6" t="str">
        <f aca="false">IFERROR(INDEX('Semrush Data'!$A$1:$Z$20000,MATCH(A1376,'Semrush Data'!$A$1:$A$20000,0),MATCH("Keyword Difficulty*",'Semrush Data'!$A$1:$Z$1,0)),"")</f>
        <v/>
      </c>
      <c r="I1376" s="29" t="str">
        <f aca="false">IFERROR(INDEX('Semrush Data'!$A$1:$Z$20000,MATCH(A1376,'Semrush Data'!$A$1:$A$20000,0),MATCH("CPC*",'Semrush Data'!$A$1:$Z$1,0)),"")</f>
        <v/>
      </c>
      <c r="J1376" s="6" t="str">
        <f aca="false">IFERROR(INDEX('Semrush Data'!$A$1:$Z$20000,MATCH(A1376,'Semrush Data'!$A$1:$A$20000,0),MATCH("Intent",'Semrush Data'!$A$1:$Z$1,0)),"")</f>
        <v/>
      </c>
    </row>
    <row r="1377" customFormat="false" ht="15" hidden="false" customHeight="true" outlineLevel="0" collapsed="false">
      <c r="A1377" s="6" t="s">
        <v>3333</v>
      </c>
      <c r="B1377" s="6" t="s">
        <v>6869</v>
      </c>
      <c r="C1377" s="6" t="n">
        <v>2</v>
      </c>
      <c r="D1377" s="6" t="s">
        <v>6867</v>
      </c>
      <c r="E1377" s="6" t="n">
        <v>1</v>
      </c>
      <c r="F1377" s="6" t="s">
        <v>147</v>
      </c>
      <c r="G1377" s="28" t="n">
        <f aca="false">IFERROR(INDEX('Semrush Data'!$A$1:$Z$20000,MATCH(A1377,'Semrush Data'!$A$1:$A$20000,0),MATCH("Volume",'Semrush Data'!$A$1:$Z$1,0)),"")</f>
        <v>10</v>
      </c>
      <c r="H1377" s="6" t="n">
        <f aca="false">IFERROR(INDEX('Semrush Data'!$A$1:$Z$20000,MATCH(A1377,'Semrush Data'!$A$1:$A$20000,0),MATCH("Keyword Difficulty*",'Semrush Data'!$A$1:$Z$1,0)),"")</f>
        <v>14</v>
      </c>
      <c r="I1377" s="29" t="n">
        <f aca="false">IFERROR(INDEX('Semrush Data'!$A$1:$Z$20000,MATCH(A1377,'Semrush Data'!$A$1:$A$20000,0),MATCH("CPC*",'Semrush Data'!$A$1:$Z$1,0)),"")</f>
        <v>0</v>
      </c>
      <c r="J1377" s="6" t="str">
        <f aca="false">IFERROR(INDEX('Semrush Data'!$A$1:$Z$20000,MATCH(A1377,'Semrush Data'!$A$1:$A$20000,0),MATCH("Intent",'Semrush Data'!$A$1:$Z$1,0)),"")</f>
        <v>Informational Transactional</v>
      </c>
    </row>
    <row r="1378" customFormat="false" ht="15" hidden="false" customHeight="true" outlineLevel="0" collapsed="false">
      <c r="A1378" s="6" t="s">
        <v>6000</v>
      </c>
      <c r="B1378" s="6" t="s">
        <v>6869</v>
      </c>
      <c r="C1378" s="6" t="n">
        <v>2</v>
      </c>
      <c r="D1378" s="6" t="n">
        <v>14</v>
      </c>
      <c r="E1378" s="6" t="n">
        <v>1</v>
      </c>
      <c r="F1378" s="6" t="s">
        <v>5994</v>
      </c>
      <c r="G1378" s="28" t="str">
        <f aca="false">IFERROR(INDEX('Semrush Data'!$A$1:$Z$20000,MATCH(A1378,'Semrush Data'!$A$1:$A$20000,0),MATCH("Volume",'Semrush Data'!$A$1:$Z$1,0)),"")</f>
        <v/>
      </c>
      <c r="H1378" s="6" t="str">
        <f aca="false">IFERROR(INDEX('Semrush Data'!$A$1:$Z$20000,MATCH(A1378,'Semrush Data'!$A$1:$A$20000,0),MATCH("Keyword Difficulty*",'Semrush Data'!$A$1:$Z$1,0)),"")</f>
        <v/>
      </c>
      <c r="I1378" s="29" t="str">
        <f aca="false">IFERROR(INDEX('Semrush Data'!$A$1:$Z$20000,MATCH(A1378,'Semrush Data'!$A$1:$A$20000,0),MATCH("CPC*",'Semrush Data'!$A$1:$Z$1,0)),"")</f>
        <v/>
      </c>
      <c r="J1378" s="6" t="str">
        <f aca="false">IFERROR(INDEX('Semrush Data'!$A$1:$Z$20000,MATCH(A1378,'Semrush Data'!$A$1:$A$20000,0),MATCH("Intent",'Semrush Data'!$A$1:$Z$1,0)),"")</f>
        <v/>
      </c>
    </row>
    <row r="1379" customFormat="false" ht="15" hidden="false" customHeight="true" outlineLevel="0" collapsed="false">
      <c r="A1379" s="6" t="s">
        <v>3344</v>
      </c>
      <c r="B1379" s="6" t="s">
        <v>6869</v>
      </c>
      <c r="C1379" s="6" t="n">
        <v>2</v>
      </c>
      <c r="D1379" s="6" t="s">
        <v>6867</v>
      </c>
      <c r="E1379" s="6" t="n">
        <v>1</v>
      </c>
      <c r="F1379" s="6" t="s">
        <v>71</v>
      </c>
      <c r="G1379" s="28" t="n">
        <f aca="false">IFERROR(INDEX('Semrush Data'!$A$1:$Z$20000,MATCH(A1379,'Semrush Data'!$A$1:$A$20000,0),MATCH("Volume",'Semrush Data'!$A$1:$Z$1,0)),"")</f>
        <v>170</v>
      </c>
      <c r="H1379" s="6" t="n">
        <f aca="false">IFERROR(INDEX('Semrush Data'!$A$1:$Z$20000,MATCH(A1379,'Semrush Data'!$A$1:$A$20000,0),MATCH("Keyword Difficulty*",'Semrush Data'!$A$1:$Z$1,0)),"")</f>
        <v>15</v>
      </c>
      <c r="I1379" s="29" t="n">
        <f aca="false">IFERROR(INDEX('Semrush Data'!$A$1:$Z$20000,MATCH(A1379,'Semrush Data'!$A$1:$A$20000,0),MATCH("CPC*",'Semrush Data'!$A$1:$Z$1,0)),"")</f>
        <v>0.61</v>
      </c>
      <c r="J1379" s="6" t="str">
        <f aca="false">IFERROR(INDEX('Semrush Data'!$A$1:$Z$20000,MATCH(A1379,'Semrush Data'!$A$1:$A$20000,0),MATCH("Intent",'Semrush Data'!$A$1:$Z$1,0)),"")</f>
        <v>Informational Transactional</v>
      </c>
    </row>
    <row r="1380" customFormat="false" ht="15" hidden="false" customHeight="true" outlineLevel="0" collapsed="false">
      <c r="A1380" s="6" t="s">
        <v>3356</v>
      </c>
      <c r="B1380" s="6" t="s">
        <v>6869</v>
      </c>
      <c r="C1380" s="6" t="n">
        <v>2</v>
      </c>
      <c r="D1380" s="6" t="s">
        <v>6868</v>
      </c>
      <c r="E1380" s="6" t="n">
        <v>1</v>
      </c>
      <c r="F1380" s="6" t="s">
        <v>3350</v>
      </c>
      <c r="G1380" s="28" t="n">
        <f aca="false">IFERROR(INDEX('Semrush Data'!$A$1:$Z$20000,MATCH(A1380,'Semrush Data'!$A$1:$A$20000,0),MATCH("Volume",'Semrush Data'!$A$1:$Z$1,0)),"")</f>
        <v>0</v>
      </c>
      <c r="H1380" s="6" t="n">
        <f aca="false">IFERROR(INDEX('Semrush Data'!$A$1:$Z$20000,MATCH(A1380,'Semrush Data'!$A$1:$A$20000,0),MATCH("Keyword Difficulty*",'Semrush Data'!$A$1:$Z$1,0)),"")</f>
        <v>9</v>
      </c>
      <c r="I1380" s="29" t="n">
        <f aca="false">IFERROR(INDEX('Semrush Data'!$A$1:$Z$20000,MATCH(A1380,'Semrush Data'!$A$1:$A$20000,0),MATCH("CPC*",'Semrush Data'!$A$1:$Z$1,0)),"")</f>
        <v>0</v>
      </c>
      <c r="J1380" s="6" t="str">
        <f aca="false">IFERROR(INDEX('Semrush Data'!$A$1:$Z$20000,MATCH(A1380,'Semrush Data'!$A$1:$A$20000,0),MATCH("Intent",'Semrush Data'!$A$1:$Z$1,0)),"")</f>
        <v>Informational</v>
      </c>
    </row>
    <row r="1381" customFormat="false" ht="15" hidden="false" customHeight="true" outlineLevel="0" collapsed="false">
      <c r="A1381" s="6" t="s">
        <v>3367</v>
      </c>
      <c r="B1381" s="6" t="s">
        <v>6869</v>
      </c>
      <c r="C1381" s="6" t="n">
        <v>2</v>
      </c>
      <c r="D1381" s="6" t="s">
        <v>6867</v>
      </c>
      <c r="E1381" s="6" t="n">
        <v>1</v>
      </c>
      <c r="F1381" s="6" t="s">
        <v>3361</v>
      </c>
      <c r="G1381" s="28" t="n">
        <f aca="false">IFERROR(INDEX('Semrush Data'!$A$1:$Z$20000,MATCH(A1381,'Semrush Data'!$A$1:$A$20000,0),MATCH("Volume",'Semrush Data'!$A$1:$Z$1,0)),"")</f>
        <v>10</v>
      </c>
      <c r="H1381" s="6" t="n">
        <f aca="false">IFERROR(INDEX('Semrush Data'!$A$1:$Z$20000,MATCH(A1381,'Semrush Data'!$A$1:$A$20000,0),MATCH("Keyword Difficulty*",'Semrush Data'!$A$1:$Z$1,0)),"")</f>
        <v>17</v>
      </c>
      <c r="I1381" s="29" t="n">
        <f aca="false">IFERROR(INDEX('Semrush Data'!$A$1:$Z$20000,MATCH(A1381,'Semrush Data'!$A$1:$A$20000,0),MATCH("CPC*",'Semrush Data'!$A$1:$Z$1,0)),"")</f>
        <v>0</v>
      </c>
      <c r="J1381" s="6" t="str">
        <f aca="false">IFERROR(INDEX('Semrush Data'!$A$1:$Z$20000,MATCH(A1381,'Semrush Data'!$A$1:$A$20000,0),MATCH("Intent",'Semrush Data'!$A$1:$Z$1,0)),"")</f>
        <v>Informational Transactional</v>
      </c>
    </row>
    <row r="1382" customFormat="false" ht="15" hidden="false" customHeight="true" outlineLevel="0" collapsed="false">
      <c r="A1382" s="6" t="s">
        <v>3378</v>
      </c>
      <c r="B1382" s="6" t="s">
        <v>6869</v>
      </c>
      <c r="C1382" s="6" t="n">
        <v>2</v>
      </c>
      <c r="D1382" s="6" t="s">
        <v>6868</v>
      </c>
      <c r="E1382" s="6" t="n">
        <v>1</v>
      </c>
      <c r="F1382" s="6" t="s">
        <v>3372</v>
      </c>
      <c r="G1382" s="28" t="n">
        <f aca="false">IFERROR(INDEX('Semrush Data'!$A$1:$Z$20000,MATCH(A1382,'Semrush Data'!$A$1:$A$20000,0),MATCH("Volume",'Semrush Data'!$A$1:$Z$1,0)),"")</f>
        <v>10</v>
      </c>
      <c r="H1382" s="6" t="n">
        <f aca="false">IFERROR(INDEX('Semrush Data'!$A$1:$Z$20000,MATCH(A1382,'Semrush Data'!$A$1:$A$20000,0),MATCH("Keyword Difficulty*",'Semrush Data'!$A$1:$Z$1,0)),"")</f>
        <v>15</v>
      </c>
      <c r="I1382" s="29" t="n">
        <f aca="false">IFERROR(INDEX('Semrush Data'!$A$1:$Z$20000,MATCH(A1382,'Semrush Data'!$A$1:$A$20000,0),MATCH("CPC*",'Semrush Data'!$A$1:$Z$1,0)),"")</f>
        <v>0.44</v>
      </c>
      <c r="J1382" s="6" t="str">
        <f aca="false">IFERROR(INDEX('Semrush Data'!$A$1:$Z$20000,MATCH(A1382,'Semrush Data'!$A$1:$A$20000,0),MATCH("Intent",'Semrush Data'!$A$1:$Z$1,0)),"")</f>
        <v>Navigational</v>
      </c>
    </row>
    <row r="1383" customFormat="false" ht="15" hidden="false" customHeight="true" outlineLevel="0" collapsed="false">
      <c r="A1383" s="6" t="s">
        <v>3421</v>
      </c>
      <c r="B1383" s="6" t="s">
        <v>6869</v>
      </c>
      <c r="C1383" s="6" t="n">
        <v>2</v>
      </c>
      <c r="D1383" s="6" t="s">
        <v>6868</v>
      </c>
      <c r="E1383" s="6" t="n">
        <v>1</v>
      </c>
      <c r="F1383" s="6" t="s">
        <v>3414</v>
      </c>
      <c r="G1383" s="28" t="n">
        <f aca="false">IFERROR(INDEX('Semrush Data'!$A$1:$Z$20000,MATCH(A1383,'Semrush Data'!$A$1:$A$20000,0),MATCH("Volume",'Semrush Data'!$A$1:$Z$1,0)),"")</f>
        <v>20</v>
      </c>
      <c r="H1383" s="6" t="n">
        <f aca="false">IFERROR(INDEX('Semrush Data'!$A$1:$Z$20000,MATCH(A1383,'Semrush Data'!$A$1:$A$20000,0),MATCH("Keyword Difficulty*",'Semrush Data'!$A$1:$Z$1,0)),"")</f>
        <v>19</v>
      </c>
      <c r="I1383" s="29" t="n">
        <f aca="false">IFERROR(INDEX('Semrush Data'!$A$1:$Z$20000,MATCH(A1383,'Semrush Data'!$A$1:$A$20000,0),MATCH("CPC*",'Semrush Data'!$A$1:$Z$1,0)),"")</f>
        <v>0</v>
      </c>
      <c r="J1383" s="6" t="str">
        <f aca="false">IFERROR(INDEX('Semrush Data'!$A$1:$Z$20000,MATCH(A1383,'Semrush Data'!$A$1:$A$20000,0),MATCH("Intent",'Semrush Data'!$A$1:$Z$1,0)),"")</f>
        <v>Informational</v>
      </c>
    </row>
    <row r="1384" customFormat="false" ht="15" hidden="false" customHeight="true" outlineLevel="0" collapsed="false">
      <c r="A1384" s="6" t="s">
        <v>3433</v>
      </c>
      <c r="B1384" s="6" t="s">
        <v>6869</v>
      </c>
      <c r="C1384" s="6" t="n">
        <v>2</v>
      </c>
      <c r="D1384" s="6" t="s">
        <v>6868</v>
      </c>
      <c r="E1384" s="6" t="n">
        <v>1</v>
      </c>
      <c r="F1384" s="6" t="s">
        <v>3427</v>
      </c>
      <c r="G1384" s="28" t="n">
        <f aca="false">IFERROR(INDEX('Semrush Data'!$A$1:$Z$20000,MATCH(A1384,'Semrush Data'!$A$1:$A$20000,0),MATCH("Volume",'Semrush Data'!$A$1:$Z$1,0)),"")</f>
        <v>20</v>
      </c>
      <c r="H1384" s="6" t="n">
        <f aca="false">IFERROR(INDEX('Semrush Data'!$A$1:$Z$20000,MATCH(A1384,'Semrush Data'!$A$1:$A$20000,0),MATCH("Keyword Difficulty*",'Semrush Data'!$A$1:$Z$1,0)),"")</f>
        <v>16</v>
      </c>
      <c r="I1384" s="29" t="n">
        <f aca="false">IFERROR(INDEX('Semrush Data'!$A$1:$Z$20000,MATCH(A1384,'Semrush Data'!$A$1:$A$20000,0),MATCH("CPC*",'Semrush Data'!$A$1:$Z$1,0)),"")</f>
        <v>0</v>
      </c>
      <c r="J1384" s="6" t="str">
        <f aca="false">IFERROR(INDEX('Semrush Data'!$A$1:$Z$20000,MATCH(A1384,'Semrush Data'!$A$1:$A$20000,0),MATCH("Intent",'Semrush Data'!$A$1:$Z$1,0)),"")</f>
        <v>Informational</v>
      </c>
    </row>
    <row r="1385" customFormat="false" ht="15" hidden="false" customHeight="true" outlineLevel="0" collapsed="false">
      <c r="A1385" s="6" t="s">
        <v>3444</v>
      </c>
      <c r="B1385" s="6" t="s">
        <v>6869</v>
      </c>
      <c r="C1385" s="6" t="n">
        <v>2</v>
      </c>
      <c r="D1385" s="6" t="n">
        <v>14</v>
      </c>
      <c r="E1385" s="6" t="n">
        <v>1</v>
      </c>
      <c r="F1385" s="6" t="s">
        <v>3438</v>
      </c>
      <c r="G1385" s="28" t="str">
        <f aca="false">IFERROR(INDEX('Semrush Data'!$A$1:$Z$20000,MATCH(A1385,'Semrush Data'!$A$1:$A$20000,0),MATCH("Volume",'Semrush Data'!$A$1:$Z$1,0)),"")</f>
        <v/>
      </c>
      <c r="H1385" s="6" t="str">
        <f aca="false">IFERROR(INDEX('Semrush Data'!$A$1:$Z$20000,MATCH(A1385,'Semrush Data'!$A$1:$A$20000,0),MATCH("Keyword Difficulty*",'Semrush Data'!$A$1:$Z$1,0)),"")</f>
        <v/>
      </c>
      <c r="I1385" s="29" t="str">
        <f aca="false">IFERROR(INDEX('Semrush Data'!$A$1:$Z$20000,MATCH(A1385,'Semrush Data'!$A$1:$A$20000,0),MATCH("CPC*",'Semrush Data'!$A$1:$Z$1,0)),"")</f>
        <v/>
      </c>
      <c r="J1385" s="6" t="str">
        <f aca="false">IFERROR(INDEX('Semrush Data'!$A$1:$Z$20000,MATCH(A1385,'Semrush Data'!$A$1:$A$20000,0),MATCH("Intent",'Semrush Data'!$A$1:$Z$1,0)),"")</f>
        <v/>
      </c>
    </row>
    <row r="1386" customFormat="false" ht="15" hidden="false" customHeight="true" outlineLevel="0" collapsed="false">
      <c r="A1386" s="6" t="s">
        <v>3454</v>
      </c>
      <c r="B1386" s="6" t="s">
        <v>6869</v>
      </c>
      <c r="C1386" s="6" t="n">
        <v>2</v>
      </c>
      <c r="D1386" s="6" t="s">
        <v>6867</v>
      </c>
      <c r="E1386" s="6" t="n">
        <v>1</v>
      </c>
      <c r="F1386" s="6" t="s">
        <v>111</v>
      </c>
      <c r="G1386" s="28" t="n">
        <f aca="false">IFERROR(INDEX('Semrush Data'!$A$1:$Z$20000,MATCH(A1386,'Semrush Data'!$A$1:$A$20000,0),MATCH("Volume",'Semrush Data'!$A$1:$Z$1,0)),"")</f>
        <v>20</v>
      </c>
      <c r="H1386" s="6" t="n">
        <f aca="false">IFERROR(INDEX('Semrush Data'!$A$1:$Z$20000,MATCH(A1386,'Semrush Data'!$A$1:$A$20000,0),MATCH("Keyword Difficulty*",'Semrush Data'!$A$1:$Z$1,0)),"")</f>
        <v>7</v>
      </c>
      <c r="I1386" s="29" t="n">
        <f aca="false">IFERROR(INDEX('Semrush Data'!$A$1:$Z$20000,MATCH(A1386,'Semrush Data'!$A$1:$A$20000,0),MATCH("CPC*",'Semrush Data'!$A$1:$Z$1,0)),"")</f>
        <v>0</v>
      </c>
      <c r="J1386" s="6" t="str">
        <f aca="false">IFERROR(INDEX('Semrush Data'!$A$1:$Z$20000,MATCH(A1386,'Semrush Data'!$A$1:$A$20000,0),MATCH("Intent",'Semrush Data'!$A$1:$Z$1,0)),"")</f>
        <v>Informational Transactional</v>
      </c>
    </row>
    <row r="1387" customFormat="false" ht="15" hidden="false" customHeight="true" outlineLevel="0" collapsed="false">
      <c r="A1387" s="6" t="s">
        <v>3487</v>
      </c>
      <c r="B1387" s="6" t="s">
        <v>6869</v>
      </c>
      <c r="C1387" s="6" t="n">
        <v>2</v>
      </c>
      <c r="D1387" s="6" t="n">
        <v>14</v>
      </c>
      <c r="E1387" s="6" t="n">
        <v>1</v>
      </c>
      <c r="F1387" s="6" t="s">
        <v>3481</v>
      </c>
      <c r="G1387" s="28" t="str">
        <f aca="false">IFERROR(INDEX('Semrush Data'!$A$1:$Z$20000,MATCH(A1387,'Semrush Data'!$A$1:$A$20000,0),MATCH("Volume",'Semrush Data'!$A$1:$Z$1,0)),"")</f>
        <v/>
      </c>
      <c r="H1387" s="6" t="str">
        <f aca="false">IFERROR(INDEX('Semrush Data'!$A$1:$Z$20000,MATCH(A1387,'Semrush Data'!$A$1:$A$20000,0),MATCH("Keyword Difficulty*",'Semrush Data'!$A$1:$Z$1,0)),"")</f>
        <v/>
      </c>
      <c r="I1387" s="29" t="str">
        <f aca="false">IFERROR(INDEX('Semrush Data'!$A$1:$Z$20000,MATCH(A1387,'Semrush Data'!$A$1:$A$20000,0),MATCH("CPC*",'Semrush Data'!$A$1:$Z$1,0)),"")</f>
        <v/>
      </c>
      <c r="J1387" s="6" t="str">
        <f aca="false">IFERROR(INDEX('Semrush Data'!$A$1:$Z$20000,MATCH(A1387,'Semrush Data'!$A$1:$A$20000,0),MATCH("Intent",'Semrush Data'!$A$1:$Z$1,0)),"")</f>
        <v/>
      </c>
    </row>
    <row r="1388" customFormat="false" ht="15" hidden="false" customHeight="true" outlineLevel="0" collapsed="false">
      <c r="A1388" s="6" t="s">
        <v>3476</v>
      </c>
      <c r="B1388" s="6" t="s">
        <v>6869</v>
      </c>
      <c r="C1388" s="6" t="n">
        <v>2</v>
      </c>
      <c r="D1388" s="6" t="n">
        <v>14</v>
      </c>
      <c r="E1388" s="6" t="n">
        <v>1</v>
      </c>
      <c r="F1388" s="6" t="s">
        <v>3469</v>
      </c>
      <c r="G1388" s="28" t="str">
        <f aca="false">IFERROR(INDEX('Semrush Data'!$A$1:$Z$20000,MATCH(A1388,'Semrush Data'!$A$1:$A$20000,0),MATCH("Volume",'Semrush Data'!$A$1:$Z$1,0)),"")</f>
        <v/>
      </c>
      <c r="H1388" s="6" t="str">
        <f aca="false">IFERROR(INDEX('Semrush Data'!$A$1:$Z$20000,MATCH(A1388,'Semrush Data'!$A$1:$A$20000,0),MATCH("Keyword Difficulty*",'Semrush Data'!$A$1:$Z$1,0)),"")</f>
        <v/>
      </c>
      <c r="I1388" s="29" t="str">
        <f aca="false">IFERROR(INDEX('Semrush Data'!$A$1:$Z$20000,MATCH(A1388,'Semrush Data'!$A$1:$A$20000,0),MATCH("CPC*",'Semrush Data'!$A$1:$Z$1,0)),"")</f>
        <v/>
      </c>
      <c r="J1388" s="6" t="str">
        <f aca="false">IFERROR(INDEX('Semrush Data'!$A$1:$Z$20000,MATCH(A1388,'Semrush Data'!$A$1:$A$20000,0),MATCH("Intent",'Semrush Data'!$A$1:$Z$1,0)),"")</f>
        <v/>
      </c>
    </row>
    <row r="1389" customFormat="false" ht="15" hidden="false" customHeight="true" outlineLevel="0" collapsed="false">
      <c r="A1389" s="6" t="s">
        <v>3508</v>
      </c>
      <c r="B1389" s="6" t="s">
        <v>6869</v>
      </c>
      <c r="C1389" s="6" t="n">
        <v>2</v>
      </c>
      <c r="D1389" s="6" t="s">
        <v>6867</v>
      </c>
      <c r="E1389" s="6" t="n">
        <v>1</v>
      </c>
      <c r="F1389" s="6" t="s">
        <v>121</v>
      </c>
      <c r="G1389" s="28" t="n">
        <f aca="false">IFERROR(INDEX('Semrush Data'!$A$1:$Z$20000,MATCH(A1389,'Semrush Data'!$A$1:$A$20000,0),MATCH("Volume",'Semrush Data'!$A$1:$Z$1,0)),"")</f>
        <v>20</v>
      </c>
      <c r="H1389" s="6" t="n">
        <f aca="false">IFERROR(INDEX('Semrush Data'!$A$1:$Z$20000,MATCH(A1389,'Semrush Data'!$A$1:$A$20000,0),MATCH("Keyword Difficulty*",'Semrush Data'!$A$1:$Z$1,0)),"")</f>
        <v>18</v>
      </c>
      <c r="I1389" s="29" t="n">
        <f aca="false">IFERROR(INDEX('Semrush Data'!$A$1:$Z$20000,MATCH(A1389,'Semrush Data'!$A$1:$A$20000,0),MATCH("CPC*",'Semrush Data'!$A$1:$Z$1,0)),"")</f>
        <v>0</v>
      </c>
      <c r="J1389" s="6" t="str">
        <f aca="false">IFERROR(INDEX('Semrush Data'!$A$1:$Z$20000,MATCH(A1389,'Semrush Data'!$A$1:$A$20000,0),MATCH("Intent",'Semrush Data'!$A$1:$Z$1,0)),"")</f>
        <v>Informational</v>
      </c>
    </row>
    <row r="1390" customFormat="false" ht="15" hidden="false" customHeight="true" outlineLevel="0" collapsed="false">
      <c r="A1390" s="6" t="s">
        <v>3498</v>
      </c>
      <c r="B1390" s="6" t="s">
        <v>6869</v>
      </c>
      <c r="C1390" s="6" t="n">
        <v>2</v>
      </c>
      <c r="D1390" s="6" t="n">
        <v>14</v>
      </c>
      <c r="E1390" s="6" t="n">
        <v>1</v>
      </c>
      <c r="F1390" s="6" t="s">
        <v>3491</v>
      </c>
      <c r="G1390" s="28" t="str">
        <f aca="false">IFERROR(INDEX('Semrush Data'!$A$1:$Z$20000,MATCH(A1390,'Semrush Data'!$A$1:$A$20000,0),MATCH("Volume",'Semrush Data'!$A$1:$Z$1,0)),"")</f>
        <v/>
      </c>
      <c r="H1390" s="6" t="str">
        <f aca="false">IFERROR(INDEX('Semrush Data'!$A$1:$Z$20000,MATCH(A1390,'Semrush Data'!$A$1:$A$20000,0),MATCH("Keyword Difficulty*",'Semrush Data'!$A$1:$Z$1,0)),"")</f>
        <v/>
      </c>
      <c r="I1390" s="29" t="str">
        <f aca="false">IFERROR(INDEX('Semrush Data'!$A$1:$Z$20000,MATCH(A1390,'Semrush Data'!$A$1:$A$20000,0),MATCH("CPC*",'Semrush Data'!$A$1:$Z$1,0)),"")</f>
        <v/>
      </c>
      <c r="J1390" s="6" t="str">
        <f aca="false">IFERROR(INDEX('Semrush Data'!$A$1:$Z$20000,MATCH(A1390,'Semrush Data'!$A$1:$A$20000,0),MATCH("Intent",'Semrush Data'!$A$1:$Z$1,0)),"")</f>
        <v/>
      </c>
    </row>
    <row r="1391" customFormat="false" ht="15" hidden="false" customHeight="true" outlineLevel="0" collapsed="false">
      <c r="A1391" s="6" t="s">
        <v>3521</v>
      </c>
      <c r="B1391" s="6" t="s">
        <v>6869</v>
      </c>
      <c r="C1391" s="6" t="n">
        <v>2</v>
      </c>
      <c r="D1391" s="6" t="s">
        <v>6867</v>
      </c>
      <c r="E1391" s="6" t="n">
        <v>1</v>
      </c>
      <c r="F1391" s="6" t="s">
        <v>3514</v>
      </c>
      <c r="G1391" s="28" t="n">
        <f aca="false">IFERROR(INDEX('Semrush Data'!$A$1:$Z$20000,MATCH(A1391,'Semrush Data'!$A$1:$A$20000,0),MATCH("Volume",'Semrush Data'!$A$1:$Z$1,0)),"")</f>
        <v>10</v>
      </c>
      <c r="H1391" s="6" t="n">
        <f aca="false">IFERROR(INDEX('Semrush Data'!$A$1:$Z$20000,MATCH(A1391,'Semrush Data'!$A$1:$A$20000,0),MATCH("Keyword Difficulty*",'Semrush Data'!$A$1:$Z$1,0)),"")</f>
        <v>9</v>
      </c>
      <c r="I1391" s="29" t="n">
        <f aca="false">IFERROR(INDEX('Semrush Data'!$A$1:$Z$20000,MATCH(A1391,'Semrush Data'!$A$1:$A$20000,0),MATCH("CPC*",'Semrush Data'!$A$1:$Z$1,0)),"")</f>
        <v>0</v>
      </c>
      <c r="J1391" s="6" t="str">
        <f aca="false">IFERROR(INDEX('Semrush Data'!$A$1:$Z$20000,MATCH(A1391,'Semrush Data'!$A$1:$A$20000,0),MATCH("Intent",'Semrush Data'!$A$1:$Z$1,0)),"")</f>
        <v>Informational Transactional</v>
      </c>
    </row>
    <row r="1392" customFormat="false" ht="15" hidden="false" customHeight="true" outlineLevel="0" collapsed="false">
      <c r="A1392" s="6" t="s">
        <v>3531</v>
      </c>
      <c r="B1392" s="6" t="s">
        <v>6869</v>
      </c>
      <c r="C1392" s="6" t="n">
        <v>2</v>
      </c>
      <c r="D1392" s="6" t="s">
        <v>6867</v>
      </c>
      <c r="E1392" s="6" t="n">
        <v>1</v>
      </c>
      <c r="F1392" s="6" t="s">
        <v>93</v>
      </c>
      <c r="G1392" s="28" t="n">
        <f aca="false">IFERROR(INDEX('Semrush Data'!$A$1:$Z$20000,MATCH(A1392,'Semrush Data'!$A$1:$A$20000,0),MATCH("Volume",'Semrush Data'!$A$1:$Z$1,0)),"")</f>
        <v>20</v>
      </c>
      <c r="H1392" s="6" t="n">
        <f aca="false">IFERROR(INDEX('Semrush Data'!$A$1:$Z$20000,MATCH(A1392,'Semrush Data'!$A$1:$A$20000,0),MATCH("Keyword Difficulty*",'Semrush Data'!$A$1:$Z$1,0)),"")</f>
        <v>10</v>
      </c>
      <c r="I1392" s="29" t="n">
        <f aca="false">IFERROR(INDEX('Semrush Data'!$A$1:$Z$20000,MATCH(A1392,'Semrush Data'!$A$1:$A$20000,0),MATCH("CPC*",'Semrush Data'!$A$1:$Z$1,0)),"")</f>
        <v>0</v>
      </c>
      <c r="J1392" s="6" t="str">
        <f aca="false">IFERROR(INDEX('Semrush Data'!$A$1:$Z$20000,MATCH(A1392,'Semrush Data'!$A$1:$A$20000,0),MATCH("Intent",'Semrush Data'!$A$1:$Z$1,0)),"")</f>
        <v>Informational Transactional</v>
      </c>
    </row>
    <row r="1393" customFormat="false" ht="15" hidden="false" customHeight="true" outlineLevel="0" collapsed="false">
      <c r="A1393" s="6" t="s">
        <v>3543</v>
      </c>
      <c r="B1393" s="6" t="s">
        <v>6869</v>
      </c>
      <c r="C1393" s="6" t="n">
        <v>2</v>
      </c>
      <c r="D1393" s="6" t="n">
        <v>14</v>
      </c>
      <c r="E1393" s="6" t="n">
        <v>1</v>
      </c>
      <c r="F1393" s="6" t="s">
        <v>3536</v>
      </c>
      <c r="G1393" s="28" t="str">
        <f aca="false">IFERROR(INDEX('Semrush Data'!$A$1:$Z$20000,MATCH(A1393,'Semrush Data'!$A$1:$A$20000,0),MATCH("Volume",'Semrush Data'!$A$1:$Z$1,0)),"")</f>
        <v/>
      </c>
      <c r="H1393" s="6" t="str">
        <f aca="false">IFERROR(INDEX('Semrush Data'!$A$1:$Z$20000,MATCH(A1393,'Semrush Data'!$A$1:$A$20000,0),MATCH("Keyword Difficulty*",'Semrush Data'!$A$1:$Z$1,0)),"")</f>
        <v/>
      </c>
      <c r="I1393" s="29" t="str">
        <f aca="false">IFERROR(INDEX('Semrush Data'!$A$1:$Z$20000,MATCH(A1393,'Semrush Data'!$A$1:$A$20000,0),MATCH("CPC*",'Semrush Data'!$A$1:$Z$1,0)),"")</f>
        <v/>
      </c>
      <c r="J1393" s="6" t="str">
        <f aca="false">IFERROR(INDEX('Semrush Data'!$A$1:$Z$20000,MATCH(A1393,'Semrush Data'!$A$1:$A$20000,0),MATCH("Intent",'Semrush Data'!$A$1:$Z$1,0)),"")</f>
        <v/>
      </c>
    </row>
    <row r="1394" customFormat="false" ht="15" hidden="false" customHeight="true" outlineLevel="0" collapsed="false">
      <c r="A1394" s="6" t="s">
        <v>3563</v>
      </c>
      <c r="B1394" s="6" t="s">
        <v>6869</v>
      </c>
      <c r="C1394" s="6" t="n">
        <v>2</v>
      </c>
      <c r="D1394" s="6" t="s">
        <v>6867</v>
      </c>
      <c r="E1394" s="6" t="n">
        <v>1</v>
      </c>
      <c r="F1394" s="6" t="s">
        <v>48</v>
      </c>
      <c r="G1394" s="28" t="n">
        <f aca="false">IFERROR(INDEX('Semrush Data'!$A$1:$Z$20000,MATCH(A1394,'Semrush Data'!$A$1:$A$20000,0),MATCH("Volume",'Semrush Data'!$A$1:$Z$1,0)),"")</f>
        <v>4400</v>
      </c>
      <c r="H1394" s="6" t="n">
        <f aca="false">IFERROR(INDEX('Semrush Data'!$A$1:$Z$20000,MATCH(A1394,'Semrush Data'!$A$1:$A$20000,0),MATCH("Keyword Difficulty*",'Semrush Data'!$A$1:$Z$1,0)),"")</f>
        <v>28</v>
      </c>
      <c r="I1394" s="29" t="n">
        <f aca="false">IFERROR(INDEX('Semrush Data'!$A$1:$Z$20000,MATCH(A1394,'Semrush Data'!$A$1:$A$20000,0),MATCH("CPC*",'Semrush Data'!$A$1:$Z$1,0)),"")</f>
        <v>0.69</v>
      </c>
      <c r="J1394" s="6" t="str">
        <f aca="false">IFERROR(INDEX('Semrush Data'!$A$1:$Z$20000,MATCH(A1394,'Semrush Data'!$A$1:$A$20000,0),MATCH("Intent",'Semrush Data'!$A$1:$Z$1,0)),"")</f>
        <v>Informational Transactional</v>
      </c>
    </row>
    <row r="1395" customFormat="false" ht="15" hidden="false" customHeight="true" outlineLevel="0" collapsed="false">
      <c r="A1395" s="6" t="s">
        <v>3576</v>
      </c>
      <c r="B1395" s="6" t="s">
        <v>6869</v>
      </c>
      <c r="C1395" s="6" t="n">
        <v>2</v>
      </c>
      <c r="D1395" s="6" t="s">
        <v>6868</v>
      </c>
      <c r="E1395" s="6" t="n">
        <v>1</v>
      </c>
      <c r="F1395" s="6" t="s">
        <v>3569</v>
      </c>
      <c r="G1395" s="28" t="n">
        <f aca="false">IFERROR(INDEX('Semrush Data'!$A$1:$Z$20000,MATCH(A1395,'Semrush Data'!$A$1:$A$20000,0),MATCH("Volume",'Semrush Data'!$A$1:$Z$1,0)),"")</f>
        <v>30</v>
      </c>
      <c r="H1395" s="6" t="n">
        <f aca="false">IFERROR(INDEX('Semrush Data'!$A$1:$Z$20000,MATCH(A1395,'Semrush Data'!$A$1:$A$20000,0),MATCH("Keyword Difficulty*",'Semrush Data'!$A$1:$Z$1,0)),"")</f>
        <v>20</v>
      </c>
      <c r="I1395" s="29" t="n">
        <f aca="false">IFERROR(INDEX('Semrush Data'!$A$1:$Z$20000,MATCH(A1395,'Semrush Data'!$A$1:$A$20000,0),MATCH("CPC*",'Semrush Data'!$A$1:$Z$1,0)),"")</f>
        <v>0</v>
      </c>
      <c r="J1395" s="6" t="str">
        <f aca="false">IFERROR(INDEX('Semrush Data'!$A$1:$Z$20000,MATCH(A1395,'Semrush Data'!$A$1:$A$20000,0),MATCH("Intent",'Semrush Data'!$A$1:$Z$1,0)),"")</f>
        <v>Informational Navigational</v>
      </c>
    </row>
    <row r="1396" customFormat="false" ht="15" hidden="false" customHeight="true" outlineLevel="0" collapsed="false">
      <c r="A1396" s="6" t="s">
        <v>3586</v>
      </c>
      <c r="B1396" s="6" t="s">
        <v>6869</v>
      </c>
      <c r="C1396" s="6" t="n">
        <v>2</v>
      </c>
      <c r="D1396" s="6" t="s">
        <v>6867</v>
      </c>
      <c r="E1396" s="6" t="n">
        <v>1</v>
      </c>
      <c r="F1396" s="6" t="s">
        <v>133</v>
      </c>
      <c r="G1396" s="28" t="n">
        <f aca="false">IFERROR(INDEX('Semrush Data'!$A$1:$Z$20000,MATCH(A1396,'Semrush Data'!$A$1:$A$20000,0),MATCH("Volume",'Semrush Data'!$A$1:$Z$1,0)),"")</f>
        <v>20</v>
      </c>
      <c r="H1396" s="6" t="n">
        <f aca="false">IFERROR(INDEX('Semrush Data'!$A$1:$Z$20000,MATCH(A1396,'Semrush Data'!$A$1:$A$20000,0),MATCH("Keyword Difficulty*",'Semrush Data'!$A$1:$Z$1,0)),"")</f>
        <v>10</v>
      </c>
      <c r="I1396" s="29" t="n">
        <f aca="false">IFERROR(INDEX('Semrush Data'!$A$1:$Z$20000,MATCH(A1396,'Semrush Data'!$A$1:$A$20000,0),MATCH("CPC*",'Semrush Data'!$A$1:$Z$1,0)),"")</f>
        <v>0</v>
      </c>
      <c r="J1396" s="6" t="str">
        <f aca="false">IFERROR(INDEX('Semrush Data'!$A$1:$Z$20000,MATCH(A1396,'Semrush Data'!$A$1:$A$20000,0),MATCH("Intent",'Semrush Data'!$A$1:$Z$1,0)),"")</f>
        <v>Informational Transactional</v>
      </c>
    </row>
    <row r="1397" customFormat="false" ht="15" hidden="false" customHeight="true" outlineLevel="0" collapsed="false">
      <c r="A1397" s="6" t="s">
        <v>3624</v>
      </c>
      <c r="B1397" s="6" t="s">
        <v>6869</v>
      </c>
      <c r="C1397" s="6" t="n">
        <v>2</v>
      </c>
      <c r="D1397" s="6" t="s">
        <v>6867</v>
      </c>
      <c r="E1397" s="6" t="n">
        <v>1</v>
      </c>
      <c r="F1397" s="6" t="s">
        <v>3616</v>
      </c>
      <c r="G1397" s="28" t="n">
        <f aca="false">IFERROR(INDEX('Semrush Data'!$A$1:$Z$20000,MATCH(A1397,'Semrush Data'!$A$1:$A$20000,0),MATCH("Volume",'Semrush Data'!$A$1:$Z$1,0)),"")</f>
        <v>110</v>
      </c>
      <c r="H1397" s="6" t="n">
        <f aca="false">IFERROR(INDEX('Semrush Data'!$A$1:$Z$20000,MATCH(A1397,'Semrush Data'!$A$1:$A$20000,0),MATCH("Keyword Difficulty*",'Semrush Data'!$A$1:$Z$1,0)),"")</f>
        <v>22</v>
      </c>
      <c r="I1397" s="29" t="n">
        <f aca="false">IFERROR(INDEX('Semrush Data'!$A$1:$Z$20000,MATCH(A1397,'Semrush Data'!$A$1:$A$20000,0),MATCH("CPC*",'Semrush Data'!$A$1:$Z$1,0)),"")</f>
        <v>0.53</v>
      </c>
      <c r="J1397" s="6" t="str">
        <f aca="false">IFERROR(INDEX('Semrush Data'!$A$1:$Z$20000,MATCH(A1397,'Semrush Data'!$A$1:$A$20000,0),MATCH("Intent",'Semrush Data'!$A$1:$Z$1,0)),"")</f>
        <v>Informational Transactional</v>
      </c>
    </row>
    <row r="1398" customFormat="false" ht="15" hidden="false" customHeight="true" outlineLevel="0" collapsed="false">
      <c r="A1398" s="6" t="s">
        <v>3683</v>
      </c>
      <c r="B1398" s="6" t="s">
        <v>6869</v>
      </c>
      <c r="C1398" s="6" t="n">
        <v>2</v>
      </c>
      <c r="D1398" s="6" t="s">
        <v>6867</v>
      </c>
      <c r="E1398" s="6" t="n">
        <v>1</v>
      </c>
      <c r="F1398" s="6" t="s">
        <v>3677</v>
      </c>
      <c r="G1398" s="28" t="n">
        <f aca="false">IFERROR(INDEX('Semrush Data'!$A$1:$Z$20000,MATCH(A1398,'Semrush Data'!$A$1:$A$20000,0),MATCH("Volume",'Semrush Data'!$A$1:$Z$1,0)),"")</f>
        <v>40</v>
      </c>
      <c r="H1398" s="6" t="n">
        <f aca="false">IFERROR(INDEX('Semrush Data'!$A$1:$Z$20000,MATCH(A1398,'Semrush Data'!$A$1:$A$20000,0),MATCH("Keyword Difficulty*",'Semrush Data'!$A$1:$Z$1,0)),"")</f>
        <v>22</v>
      </c>
      <c r="I1398" s="29" t="n">
        <f aca="false">IFERROR(INDEX('Semrush Data'!$A$1:$Z$20000,MATCH(A1398,'Semrush Data'!$A$1:$A$20000,0),MATCH("CPC*",'Semrush Data'!$A$1:$Z$1,0)),"")</f>
        <v>0.39</v>
      </c>
      <c r="J1398" s="6" t="str">
        <f aca="false">IFERROR(INDEX('Semrush Data'!$A$1:$Z$20000,MATCH(A1398,'Semrush Data'!$A$1:$A$20000,0),MATCH("Intent",'Semrush Data'!$A$1:$Z$1,0)),"")</f>
        <v>Informational</v>
      </c>
    </row>
    <row r="1399" customFormat="false" ht="15" hidden="false" customHeight="true" outlineLevel="0" collapsed="false">
      <c r="A1399" s="6" t="s">
        <v>3636</v>
      </c>
      <c r="B1399" s="6" t="s">
        <v>6869</v>
      </c>
      <c r="C1399" s="6" t="n">
        <v>2</v>
      </c>
      <c r="D1399" s="6" t="n">
        <v>14</v>
      </c>
      <c r="E1399" s="6" t="n">
        <v>1</v>
      </c>
      <c r="F1399" s="6" t="s">
        <v>3630</v>
      </c>
      <c r="G1399" s="28" t="str">
        <f aca="false">IFERROR(INDEX('Semrush Data'!$A$1:$Z$20000,MATCH(A1399,'Semrush Data'!$A$1:$A$20000,0),MATCH("Volume",'Semrush Data'!$A$1:$Z$1,0)),"")</f>
        <v/>
      </c>
      <c r="H1399" s="6" t="str">
        <f aca="false">IFERROR(INDEX('Semrush Data'!$A$1:$Z$20000,MATCH(A1399,'Semrush Data'!$A$1:$A$20000,0),MATCH("Keyword Difficulty*",'Semrush Data'!$A$1:$Z$1,0)),"")</f>
        <v/>
      </c>
      <c r="I1399" s="29" t="str">
        <f aca="false">IFERROR(INDEX('Semrush Data'!$A$1:$Z$20000,MATCH(A1399,'Semrush Data'!$A$1:$A$20000,0),MATCH("CPC*",'Semrush Data'!$A$1:$Z$1,0)),"")</f>
        <v/>
      </c>
      <c r="J1399" s="6" t="str">
        <f aca="false">IFERROR(INDEX('Semrush Data'!$A$1:$Z$20000,MATCH(A1399,'Semrush Data'!$A$1:$A$20000,0),MATCH("Intent",'Semrush Data'!$A$1:$Z$1,0)),"")</f>
        <v/>
      </c>
    </row>
    <row r="1400" customFormat="false" ht="15" hidden="false" customHeight="true" outlineLevel="0" collapsed="false">
      <c r="A1400" s="6" t="s">
        <v>3646</v>
      </c>
      <c r="B1400" s="6" t="s">
        <v>6869</v>
      </c>
      <c r="C1400" s="6" t="n">
        <v>2</v>
      </c>
      <c r="D1400" s="6" t="s">
        <v>6867</v>
      </c>
      <c r="E1400" s="6" t="n">
        <v>2</v>
      </c>
      <c r="F1400" s="6" t="s">
        <v>6851</v>
      </c>
      <c r="G1400" s="28" t="n">
        <f aca="false">IFERROR(INDEX('Semrush Data'!$A$1:$Z$20000,MATCH(A1400,'Semrush Data'!$A$1:$A$20000,0),MATCH("Volume",'Semrush Data'!$A$1:$Z$1,0)),"")</f>
        <v>140</v>
      </c>
      <c r="H1400" s="6" t="n">
        <f aca="false">IFERROR(INDEX('Semrush Data'!$A$1:$Z$20000,MATCH(A1400,'Semrush Data'!$A$1:$A$20000,0),MATCH("Keyword Difficulty*",'Semrush Data'!$A$1:$Z$1,0)),"")</f>
        <v>15</v>
      </c>
      <c r="I1400" s="29" t="n">
        <f aca="false">IFERROR(INDEX('Semrush Data'!$A$1:$Z$20000,MATCH(A1400,'Semrush Data'!$A$1:$A$20000,0),MATCH("CPC*",'Semrush Data'!$A$1:$Z$1,0)),"")</f>
        <v>0.55</v>
      </c>
      <c r="J1400" s="6" t="str">
        <f aca="false">IFERROR(INDEX('Semrush Data'!$A$1:$Z$20000,MATCH(A1400,'Semrush Data'!$A$1:$A$20000,0),MATCH("Intent",'Semrush Data'!$A$1:$Z$1,0)),"")</f>
        <v>Informational Transactional</v>
      </c>
    </row>
    <row r="1401" customFormat="false" ht="15" hidden="false" customHeight="true" outlineLevel="0" collapsed="false">
      <c r="A1401" s="6" t="s">
        <v>3672</v>
      </c>
      <c r="B1401" s="6" t="s">
        <v>6869</v>
      </c>
      <c r="C1401" s="6" t="n">
        <v>2</v>
      </c>
      <c r="D1401" s="6" t="n">
        <v>14</v>
      </c>
      <c r="E1401" s="6" t="n">
        <v>1</v>
      </c>
      <c r="F1401" s="6" t="s">
        <v>3666</v>
      </c>
      <c r="G1401" s="28" t="str">
        <f aca="false">IFERROR(INDEX('Semrush Data'!$A$1:$Z$20000,MATCH(A1401,'Semrush Data'!$A$1:$A$20000,0),MATCH("Volume",'Semrush Data'!$A$1:$Z$1,0)),"")</f>
        <v/>
      </c>
      <c r="H1401" s="6" t="str">
        <f aca="false">IFERROR(INDEX('Semrush Data'!$A$1:$Z$20000,MATCH(A1401,'Semrush Data'!$A$1:$A$20000,0),MATCH("Keyword Difficulty*",'Semrush Data'!$A$1:$Z$1,0)),"")</f>
        <v/>
      </c>
      <c r="I1401" s="29" t="str">
        <f aca="false">IFERROR(INDEX('Semrush Data'!$A$1:$Z$20000,MATCH(A1401,'Semrush Data'!$A$1:$A$20000,0),MATCH("CPC*",'Semrush Data'!$A$1:$Z$1,0)),"")</f>
        <v/>
      </c>
      <c r="J1401" s="6" t="str">
        <f aca="false">IFERROR(INDEX('Semrush Data'!$A$1:$Z$20000,MATCH(A1401,'Semrush Data'!$A$1:$A$20000,0),MATCH("Intent",'Semrush Data'!$A$1:$Z$1,0)),"")</f>
        <v/>
      </c>
    </row>
    <row r="1402" customFormat="false" ht="15" hidden="false" customHeight="true" outlineLevel="0" collapsed="false">
      <c r="A1402" s="6" t="s">
        <v>3661</v>
      </c>
      <c r="B1402" s="6" t="s">
        <v>6869</v>
      </c>
      <c r="C1402" s="6" t="n">
        <v>2</v>
      </c>
      <c r="D1402" s="6" t="s">
        <v>6868</v>
      </c>
      <c r="E1402" s="6" t="n">
        <v>1</v>
      </c>
      <c r="F1402" s="6" t="s">
        <v>3655</v>
      </c>
      <c r="G1402" s="28" t="n">
        <f aca="false">IFERROR(INDEX('Semrush Data'!$A$1:$Z$20000,MATCH(A1402,'Semrush Data'!$A$1:$A$20000,0),MATCH("Volume",'Semrush Data'!$A$1:$Z$1,0)),"")</f>
        <v>20</v>
      </c>
      <c r="H1402" s="6" t="n">
        <f aca="false">IFERROR(INDEX('Semrush Data'!$A$1:$Z$20000,MATCH(A1402,'Semrush Data'!$A$1:$A$20000,0),MATCH("Keyword Difficulty*",'Semrush Data'!$A$1:$Z$1,0)),"")</f>
        <v>14</v>
      </c>
      <c r="I1402" s="29" t="n">
        <f aca="false">IFERROR(INDEX('Semrush Data'!$A$1:$Z$20000,MATCH(A1402,'Semrush Data'!$A$1:$A$20000,0),MATCH("CPC*",'Semrush Data'!$A$1:$Z$1,0)),"")</f>
        <v>0</v>
      </c>
      <c r="J1402" s="6" t="str">
        <f aca="false">IFERROR(INDEX('Semrush Data'!$A$1:$Z$20000,MATCH(A1402,'Semrush Data'!$A$1:$A$20000,0),MATCH("Intent",'Semrush Data'!$A$1:$Z$1,0)),"")</f>
        <v>Informational</v>
      </c>
    </row>
    <row r="1403" customFormat="false" ht="15" hidden="false" customHeight="true" outlineLevel="0" collapsed="false">
      <c r="A1403" s="6" t="s">
        <v>3857</v>
      </c>
      <c r="B1403" s="6" t="s">
        <v>6869</v>
      </c>
      <c r="C1403" s="6" t="n">
        <v>2</v>
      </c>
      <c r="D1403" s="6" t="n">
        <v>15</v>
      </c>
      <c r="E1403" s="6" t="n">
        <v>1</v>
      </c>
      <c r="F1403" s="6" t="s">
        <v>3851</v>
      </c>
      <c r="G1403" s="28" t="str">
        <f aca="false">IFERROR(INDEX('Semrush Data'!$A$1:$Z$20000,MATCH(A1403,'Semrush Data'!$A$1:$A$20000,0),MATCH("Volume",'Semrush Data'!$A$1:$Z$1,0)),"")</f>
        <v/>
      </c>
      <c r="H1403" s="6" t="str">
        <f aca="false">IFERROR(INDEX('Semrush Data'!$A$1:$Z$20000,MATCH(A1403,'Semrush Data'!$A$1:$A$20000,0),MATCH("Keyword Difficulty*",'Semrush Data'!$A$1:$Z$1,0)),"")</f>
        <v/>
      </c>
      <c r="I1403" s="29" t="str">
        <f aca="false">IFERROR(INDEX('Semrush Data'!$A$1:$Z$20000,MATCH(A1403,'Semrush Data'!$A$1:$A$20000,0),MATCH("CPC*",'Semrush Data'!$A$1:$Z$1,0)),"")</f>
        <v/>
      </c>
      <c r="J1403" s="6" t="str">
        <f aca="false">IFERROR(INDEX('Semrush Data'!$A$1:$Z$20000,MATCH(A1403,'Semrush Data'!$A$1:$A$20000,0),MATCH("Intent",'Semrush Data'!$A$1:$Z$1,0)),"")</f>
        <v/>
      </c>
    </row>
    <row r="1404" customFormat="false" ht="15" hidden="false" customHeight="true" outlineLevel="0" collapsed="false">
      <c r="A1404" s="6" t="s">
        <v>3868</v>
      </c>
      <c r="B1404" s="6" t="s">
        <v>6869</v>
      </c>
      <c r="C1404" s="6" t="n">
        <v>2</v>
      </c>
      <c r="D1404" s="6" t="s">
        <v>6868</v>
      </c>
      <c r="E1404" s="6" t="n">
        <v>1</v>
      </c>
      <c r="F1404" s="6" t="s">
        <v>3862</v>
      </c>
      <c r="G1404" s="28" t="n">
        <f aca="false">IFERROR(INDEX('Semrush Data'!$A$1:$Z$20000,MATCH(A1404,'Semrush Data'!$A$1:$A$20000,0),MATCH("Volume",'Semrush Data'!$A$1:$Z$1,0)),"")</f>
        <v>20</v>
      </c>
      <c r="H1404" s="6" t="n">
        <f aca="false">IFERROR(INDEX('Semrush Data'!$A$1:$Z$20000,MATCH(A1404,'Semrush Data'!$A$1:$A$20000,0),MATCH("Keyword Difficulty*",'Semrush Data'!$A$1:$Z$1,0)),"")</f>
        <v>18</v>
      </c>
      <c r="I1404" s="29" t="n">
        <f aca="false">IFERROR(INDEX('Semrush Data'!$A$1:$Z$20000,MATCH(A1404,'Semrush Data'!$A$1:$A$20000,0),MATCH("CPC*",'Semrush Data'!$A$1:$Z$1,0)),"")</f>
        <v>0</v>
      </c>
      <c r="J1404" s="6" t="str">
        <f aca="false">IFERROR(INDEX('Semrush Data'!$A$1:$Z$20000,MATCH(A1404,'Semrush Data'!$A$1:$A$20000,0),MATCH("Intent",'Semrush Data'!$A$1:$Z$1,0)),"")</f>
        <v>Informational</v>
      </c>
    </row>
    <row r="1405" customFormat="false" ht="15" hidden="false" customHeight="true" outlineLevel="0" collapsed="false">
      <c r="A1405" s="6" t="s">
        <v>3880</v>
      </c>
      <c r="B1405" s="6" t="s">
        <v>6869</v>
      </c>
      <c r="C1405" s="6" t="n">
        <v>2</v>
      </c>
      <c r="D1405" s="6" t="n">
        <v>15</v>
      </c>
      <c r="E1405" s="6" t="n">
        <v>1</v>
      </c>
      <c r="F1405" s="6" t="s">
        <v>3874</v>
      </c>
      <c r="G1405" s="28" t="str">
        <f aca="false">IFERROR(INDEX('Semrush Data'!$A$1:$Z$20000,MATCH(A1405,'Semrush Data'!$A$1:$A$20000,0),MATCH("Volume",'Semrush Data'!$A$1:$Z$1,0)),"")</f>
        <v/>
      </c>
      <c r="H1405" s="6" t="str">
        <f aca="false">IFERROR(INDEX('Semrush Data'!$A$1:$Z$20000,MATCH(A1405,'Semrush Data'!$A$1:$A$20000,0),MATCH("Keyword Difficulty*",'Semrush Data'!$A$1:$Z$1,0)),"")</f>
        <v/>
      </c>
      <c r="I1405" s="29" t="str">
        <f aca="false">IFERROR(INDEX('Semrush Data'!$A$1:$Z$20000,MATCH(A1405,'Semrush Data'!$A$1:$A$20000,0),MATCH("CPC*",'Semrush Data'!$A$1:$Z$1,0)),"")</f>
        <v/>
      </c>
      <c r="J1405" s="6" t="str">
        <f aca="false">IFERROR(INDEX('Semrush Data'!$A$1:$Z$20000,MATCH(A1405,'Semrush Data'!$A$1:$A$20000,0),MATCH("Intent",'Semrush Data'!$A$1:$Z$1,0)),"")</f>
        <v/>
      </c>
    </row>
    <row r="1406" customFormat="false" ht="15" hidden="false" customHeight="true" outlineLevel="0" collapsed="false">
      <c r="A1406" s="6" t="s">
        <v>3891</v>
      </c>
      <c r="B1406" s="6" t="s">
        <v>6869</v>
      </c>
      <c r="C1406" s="6" t="n">
        <v>2</v>
      </c>
      <c r="D1406" s="6" t="n">
        <v>15</v>
      </c>
      <c r="E1406" s="6" t="n">
        <v>1</v>
      </c>
      <c r="F1406" s="6" t="s">
        <v>3885</v>
      </c>
      <c r="G1406" s="28" t="str">
        <f aca="false">IFERROR(INDEX('Semrush Data'!$A$1:$Z$20000,MATCH(A1406,'Semrush Data'!$A$1:$A$20000,0),MATCH("Volume",'Semrush Data'!$A$1:$Z$1,0)),"")</f>
        <v/>
      </c>
      <c r="H1406" s="6" t="str">
        <f aca="false">IFERROR(INDEX('Semrush Data'!$A$1:$Z$20000,MATCH(A1406,'Semrush Data'!$A$1:$A$20000,0),MATCH("Keyword Difficulty*",'Semrush Data'!$A$1:$Z$1,0)),"")</f>
        <v/>
      </c>
      <c r="I1406" s="29" t="str">
        <f aca="false">IFERROR(INDEX('Semrush Data'!$A$1:$Z$20000,MATCH(A1406,'Semrush Data'!$A$1:$A$20000,0),MATCH("CPC*",'Semrush Data'!$A$1:$Z$1,0)),"")</f>
        <v/>
      </c>
      <c r="J1406" s="6" t="str">
        <f aca="false">IFERROR(INDEX('Semrush Data'!$A$1:$Z$20000,MATCH(A1406,'Semrush Data'!$A$1:$A$20000,0),MATCH("Intent",'Semrush Data'!$A$1:$Z$1,0)),"")</f>
        <v/>
      </c>
    </row>
    <row r="1407" customFormat="false" ht="15" hidden="false" customHeight="true" outlineLevel="0" collapsed="false">
      <c r="A1407" s="6" t="s">
        <v>3742</v>
      </c>
      <c r="B1407" s="6" t="s">
        <v>6869</v>
      </c>
      <c r="C1407" s="6" t="n">
        <v>2</v>
      </c>
      <c r="D1407" s="6" t="n">
        <v>15</v>
      </c>
      <c r="E1407" s="6" t="n">
        <v>1</v>
      </c>
      <c r="F1407" s="6" t="s">
        <v>3735</v>
      </c>
      <c r="G1407" s="28" t="str">
        <f aca="false">IFERROR(INDEX('Semrush Data'!$A$1:$Z$20000,MATCH(A1407,'Semrush Data'!$A$1:$A$20000,0),MATCH("Volume",'Semrush Data'!$A$1:$Z$1,0)),"")</f>
        <v/>
      </c>
      <c r="H1407" s="6" t="str">
        <f aca="false">IFERROR(INDEX('Semrush Data'!$A$1:$Z$20000,MATCH(A1407,'Semrush Data'!$A$1:$A$20000,0),MATCH("Keyword Difficulty*",'Semrush Data'!$A$1:$Z$1,0)),"")</f>
        <v/>
      </c>
      <c r="I1407" s="29" t="str">
        <f aca="false">IFERROR(INDEX('Semrush Data'!$A$1:$Z$20000,MATCH(A1407,'Semrush Data'!$A$1:$A$20000,0),MATCH("CPC*",'Semrush Data'!$A$1:$Z$1,0)),"")</f>
        <v/>
      </c>
      <c r="J1407" s="6" t="str">
        <f aca="false">IFERROR(INDEX('Semrush Data'!$A$1:$Z$20000,MATCH(A1407,'Semrush Data'!$A$1:$A$20000,0),MATCH("Intent",'Semrush Data'!$A$1:$Z$1,0)),"")</f>
        <v/>
      </c>
    </row>
    <row r="1408" customFormat="false" ht="15" hidden="false" customHeight="true" outlineLevel="0" collapsed="false">
      <c r="A1408" s="6" t="s">
        <v>3755</v>
      </c>
      <c r="B1408" s="6" t="s">
        <v>6869</v>
      </c>
      <c r="C1408" s="6" t="n">
        <v>2</v>
      </c>
      <c r="D1408" s="6" t="n">
        <v>15</v>
      </c>
      <c r="E1408" s="6" t="n">
        <v>1</v>
      </c>
      <c r="F1408" s="6" t="s">
        <v>3748</v>
      </c>
      <c r="G1408" s="28" t="str">
        <f aca="false">IFERROR(INDEX('Semrush Data'!$A$1:$Z$20000,MATCH(A1408,'Semrush Data'!$A$1:$A$20000,0),MATCH("Volume",'Semrush Data'!$A$1:$Z$1,0)),"")</f>
        <v/>
      </c>
      <c r="H1408" s="6" t="str">
        <f aca="false">IFERROR(INDEX('Semrush Data'!$A$1:$Z$20000,MATCH(A1408,'Semrush Data'!$A$1:$A$20000,0),MATCH("Keyword Difficulty*",'Semrush Data'!$A$1:$Z$1,0)),"")</f>
        <v/>
      </c>
      <c r="I1408" s="29" t="str">
        <f aca="false">IFERROR(INDEX('Semrush Data'!$A$1:$Z$20000,MATCH(A1408,'Semrush Data'!$A$1:$A$20000,0),MATCH("CPC*",'Semrush Data'!$A$1:$Z$1,0)),"")</f>
        <v/>
      </c>
      <c r="J1408" s="6" t="str">
        <f aca="false">IFERROR(INDEX('Semrush Data'!$A$1:$Z$20000,MATCH(A1408,'Semrush Data'!$A$1:$A$20000,0),MATCH("Intent",'Semrush Data'!$A$1:$Z$1,0)),"")</f>
        <v/>
      </c>
    </row>
    <row r="1409" customFormat="false" ht="15" hidden="false" customHeight="true" outlineLevel="0" collapsed="false">
      <c r="A1409" s="6" t="s">
        <v>3767</v>
      </c>
      <c r="B1409" s="6" t="s">
        <v>6869</v>
      </c>
      <c r="C1409" s="6" t="n">
        <v>2</v>
      </c>
      <c r="D1409" s="6" t="n">
        <v>15</v>
      </c>
      <c r="E1409" s="6" t="n">
        <v>1</v>
      </c>
      <c r="F1409" s="6" t="s">
        <v>3761</v>
      </c>
      <c r="G1409" s="28" t="str">
        <f aca="false">IFERROR(INDEX('Semrush Data'!$A$1:$Z$20000,MATCH(A1409,'Semrush Data'!$A$1:$A$20000,0),MATCH("Volume",'Semrush Data'!$A$1:$Z$1,0)),"")</f>
        <v/>
      </c>
      <c r="H1409" s="6" t="str">
        <f aca="false">IFERROR(INDEX('Semrush Data'!$A$1:$Z$20000,MATCH(A1409,'Semrush Data'!$A$1:$A$20000,0),MATCH("Keyword Difficulty*",'Semrush Data'!$A$1:$Z$1,0)),"")</f>
        <v/>
      </c>
      <c r="I1409" s="29" t="str">
        <f aca="false">IFERROR(INDEX('Semrush Data'!$A$1:$Z$20000,MATCH(A1409,'Semrush Data'!$A$1:$A$20000,0),MATCH("CPC*",'Semrush Data'!$A$1:$Z$1,0)),"")</f>
        <v/>
      </c>
      <c r="J1409" s="6" t="str">
        <f aca="false">IFERROR(INDEX('Semrush Data'!$A$1:$Z$20000,MATCH(A1409,'Semrush Data'!$A$1:$A$20000,0),MATCH("Intent",'Semrush Data'!$A$1:$Z$1,0)),"")</f>
        <v/>
      </c>
    </row>
    <row r="1410" customFormat="false" ht="15" hidden="false" customHeight="true" outlineLevel="0" collapsed="false">
      <c r="A1410" s="6" t="s">
        <v>3778</v>
      </c>
      <c r="B1410" s="6" t="s">
        <v>6869</v>
      </c>
      <c r="C1410" s="6" t="n">
        <v>2</v>
      </c>
      <c r="D1410" s="6" t="n">
        <v>15</v>
      </c>
      <c r="E1410" s="6" t="n">
        <v>1</v>
      </c>
      <c r="F1410" s="6" t="s">
        <v>3772</v>
      </c>
      <c r="G1410" s="28" t="str">
        <f aca="false">IFERROR(INDEX('Semrush Data'!$A$1:$Z$20000,MATCH(A1410,'Semrush Data'!$A$1:$A$20000,0),MATCH("Volume",'Semrush Data'!$A$1:$Z$1,0)),"")</f>
        <v/>
      </c>
      <c r="H1410" s="6" t="str">
        <f aca="false">IFERROR(INDEX('Semrush Data'!$A$1:$Z$20000,MATCH(A1410,'Semrush Data'!$A$1:$A$20000,0),MATCH("Keyword Difficulty*",'Semrush Data'!$A$1:$Z$1,0)),"")</f>
        <v/>
      </c>
      <c r="I1410" s="29" t="str">
        <f aca="false">IFERROR(INDEX('Semrush Data'!$A$1:$Z$20000,MATCH(A1410,'Semrush Data'!$A$1:$A$20000,0),MATCH("CPC*",'Semrush Data'!$A$1:$Z$1,0)),"")</f>
        <v/>
      </c>
      <c r="J1410" s="6" t="str">
        <f aca="false">IFERROR(INDEX('Semrush Data'!$A$1:$Z$20000,MATCH(A1410,'Semrush Data'!$A$1:$A$20000,0),MATCH("Intent",'Semrush Data'!$A$1:$Z$1,0)),"")</f>
        <v/>
      </c>
    </row>
    <row r="1411" customFormat="false" ht="15" hidden="false" customHeight="true" outlineLevel="0" collapsed="false">
      <c r="A1411" s="6" t="s">
        <v>3789</v>
      </c>
      <c r="B1411" s="6" t="s">
        <v>6869</v>
      </c>
      <c r="C1411" s="6" t="n">
        <v>2</v>
      </c>
      <c r="D1411" s="6" t="n">
        <v>15</v>
      </c>
      <c r="E1411" s="6" t="n">
        <v>1</v>
      </c>
      <c r="F1411" s="6" t="s">
        <v>3783</v>
      </c>
      <c r="G1411" s="28" t="str">
        <f aca="false">IFERROR(INDEX('Semrush Data'!$A$1:$Z$20000,MATCH(A1411,'Semrush Data'!$A$1:$A$20000,0),MATCH("Volume",'Semrush Data'!$A$1:$Z$1,0)),"")</f>
        <v/>
      </c>
      <c r="H1411" s="6" t="str">
        <f aca="false">IFERROR(INDEX('Semrush Data'!$A$1:$Z$20000,MATCH(A1411,'Semrush Data'!$A$1:$A$20000,0),MATCH("Keyword Difficulty*",'Semrush Data'!$A$1:$Z$1,0)),"")</f>
        <v/>
      </c>
      <c r="I1411" s="29" t="str">
        <f aca="false">IFERROR(INDEX('Semrush Data'!$A$1:$Z$20000,MATCH(A1411,'Semrush Data'!$A$1:$A$20000,0),MATCH("CPC*",'Semrush Data'!$A$1:$Z$1,0)),"")</f>
        <v/>
      </c>
      <c r="J1411" s="6" t="str">
        <f aca="false">IFERROR(INDEX('Semrush Data'!$A$1:$Z$20000,MATCH(A1411,'Semrush Data'!$A$1:$A$20000,0),MATCH("Intent",'Semrush Data'!$A$1:$Z$1,0)),"")</f>
        <v/>
      </c>
    </row>
    <row r="1412" customFormat="false" ht="15" hidden="false" customHeight="true" outlineLevel="0" collapsed="false">
      <c r="A1412" s="6" t="s">
        <v>3801</v>
      </c>
      <c r="B1412" s="6" t="s">
        <v>6869</v>
      </c>
      <c r="C1412" s="6" t="n">
        <v>2</v>
      </c>
      <c r="D1412" s="6" t="n">
        <v>15</v>
      </c>
      <c r="E1412" s="6" t="n">
        <v>1</v>
      </c>
      <c r="F1412" s="6" t="s">
        <v>3795</v>
      </c>
      <c r="G1412" s="28" t="str">
        <f aca="false">IFERROR(INDEX('Semrush Data'!$A$1:$Z$20000,MATCH(A1412,'Semrush Data'!$A$1:$A$20000,0),MATCH("Volume",'Semrush Data'!$A$1:$Z$1,0)),"")</f>
        <v/>
      </c>
      <c r="H1412" s="6" t="str">
        <f aca="false">IFERROR(INDEX('Semrush Data'!$A$1:$Z$20000,MATCH(A1412,'Semrush Data'!$A$1:$A$20000,0),MATCH("Keyword Difficulty*",'Semrush Data'!$A$1:$Z$1,0)),"")</f>
        <v/>
      </c>
      <c r="I1412" s="29" t="str">
        <f aca="false">IFERROR(INDEX('Semrush Data'!$A$1:$Z$20000,MATCH(A1412,'Semrush Data'!$A$1:$A$20000,0),MATCH("CPC*",'Semrush Data'!$A$1:$Z$1,0)),"")</f>
        <v/>
      </c>
      <c r="J1412" s="6" t="str">
        <f aca="false">IFERROR(INDEX('Semrush Data'!$A$1:$Z$20000,MATCH(A1412,'Semrush Data'!$A$1:$A$20000,0),MATCH("Intent",'Semrush Data'!$A$1:$Z$1,0)),"")</f>
        <v/>
      </c>
    </row>
    <row r="1413" customFormat="false" ht="15" hidden="false" customHeight="true" outlineLevel="0" collapsed="false">
      <c r="A1413" s="6" t="s">
        <v>3812</v>
      </c>
      <c r="B1413" s="6" t="s">
        <v>6869</v>
      </c>
      <c r="C1413" s="6" t="n">
        <v>2</v>
      </c>
      <c r="D1413" s="6" t="n">
        <v>15</v>
      </c>
      <c r="E1413" s="6" t="n">
        <v>1</v>
      </c>
      <c r="F1413" s="6" t="s">
        <v>3806</v>
      </c>
      <c r="G1413" s="28" t="str">
        <f aca="false">IFERROR(INDEX('Semrush Data'!$A$1:$Z$20000,MATCH(A1413,'Semrush Data'!$A$1:$A$20000,0),MATCH("Volume",'Semrush Data'!$A$1:$Z$1,0)),"")</f>
        <v/>
      </c>
      <c r="H1413" s="6" t="str">
        <f aca="false">IFERROR(INDEX('Semrush Data'!$A$1:$Z$20000,MATCH(A1413,'Semrush Data'!$A$1:$A$20000,0),MATCH("Keyword Difficulty*",'Semrush Data'!$A$1:$Z$1,0)),"")</f>
        <v/>
      </c>
      <c r="I1413" s="29" t="str">
        <f aca="false">IFERROR(INDEX('Semrush Data'!$A$1:$Z$20000,MATCH(A1413,'Semrush Data'!$A$1:$A$20000,0),MATCH("CPC*",'Semrush Data'!$A$1:$Z$1,0)),"")</f>
        <v/>
      </c>
      <c r="J1413" s="6" t="str">
        <f aca="false">IFERROR(INDEX('Semrush Data'!$A$1:$Z$20000,MATCH(A1413,'Semrush Data'!$A$1:$A$20000,0),MATCH("Intent",'Semrush Data'!$A$1:$Z$1,0)),"")</f>
        <v/>
      </c>
    </row>
    <row r="1414" customFormat="false" ht="15" hidden="false" customHeight="true" outlineLevel="0" collapsed="false">
      <c r="A1414" s="6" t="s">
        <v>3823</v>
      </c>
      <c r="B1414" s="6" t="s">
        <v>6869</v>
      </c>
      <c r="C1414" s="6" t="n">
        <v>2</v>
      </c>
      <c r="D1414" s="6" t="n">
        <v>15</v>
      </c>
      <c r="E1414" s="6" t="n">
        <v>1</v>
      </c>
      <c r="F1414" s="6" t="s">
        <v>3817</v>
      </c>
      <c r="G1414" s="28" t="str">
        <f aca="false">IFERROR(INDEX('Semrush Data'!$A$1:$Z$20000,MATCH(A1414,'Semrush Data'!$A$1:$A$20000,0),MATCH("Volume",'Semrush Data'!$A$1:$Z$1,0)),"")</f>
        <v/>
      </c>
      <c r="H1414" s="6" t="str">
        <f aca="false">IFERROR(INDEX('Semrush Data'!$A$1:$Z$20000,MATCH(A1414,'Semrush Data'!$A$1:$A$20000,0),MATCH("Keyword Difficulty*",'Semrush Data'!$A$1:$Z$1,0)),"")</f>
        <v/>
      </c>
      <c r="I1414" s="29" t="str">
        <f aca="false">IFERROR(INDEX('Semrush Data'!$A$1:$Z$20000,MATCH(A1414,'Semrush Data'!$A$1:$A$20000,0),MATCH("CPC*",'Semrush Data'!$A$1:$Z$1,0)),"")</f>
        <v/>
      </c>
      <c r="J1414" s="6" t="str">
        <f aca="false">IFERROR(INDEX('Semrush Data'!$A$1:$Z$20000,MATCH(A1414,'Semrush Data'!$A$1:$A$20000,0),MATCH("Intent",'Semrush Data'!$A$1:$Z$1,0)),"")</f>
        <v/>
      </c>
    </row>
    <row r="1415" customFormat="false" ht="15" hidden="false" customHeight="true" outlineLevel="0" collapsed="false">
      <c r="A1415" s="6" t="s">
        <v>3834</v>
      </c>
      <c r="B1415" s="6" t="s">
        <v>6869</v>
      </c>
      <c r="C1415" s="6" t="n">
        <v>2</v>
      </c>
      <c r="D1415" s="6" t="n">
        <v>15</v>
      </c>
      <c r="E1415" s="6" t="n">
        <v>1</v>
      </c>
      <c r="F1415" s="6" t="s">
        <v>3828</v>
      </c>
      <c r="G1415" s="28" t="str">
        <f aca="false">IFERROR(INDEX('Semrush Data'!$A$1:$Z$20000,MATCH(A1415,'Semrush Data'!$A$1:$A$20000,0),MATCH("Volume",'Semrush Data'!$A$1:$Z$1,0)),"")</f>
        <v/>
      </c>
      <c r="H1415" s="6" t="str">
        <f aca="false">IFERROR(INDEX('Semrush Data'!$A$1:$Z$20000,MATCH(A1415,'Semrush Data'!$A$1:$A$20000,0),MATCH("Keyword Difficulty*",'Semrush Data'!$A$1:$Z$1,0)),"")</f>
        <v/>
      </c>
      <c r="I1415" s="29" t="str">
        <f aca="false">IFERROR(INDEX('Semrush Data'!$A$1:$Z$20000,MATCH(A1415,'Semrush Data'!$A$1:$A$20000,0),MATCH("CPC*",'Semrush Data'!$A$1:$Z$1,0)),"")</f>
        <v/>
      </c>
      <c r="J1415" s="6" t="str">
        <f aca="false">IFERROR(INDEX('Semrush Data'!$A$1:$Z$20000,MATCH(A1415,'Semrush Data'!$A$1:$A$20000,0),MATCH("Intent",'Semrush Data'!$A$1:$Z$1,0)),"")</f>
        <v/>
      </c>
    </row>
    <row r="1416" customFormat="false" ht="15" hidden="false" customHeight="true" outlineLevel="0" collapsed="false">
      <c r="A1416" s="6" t="s">
        <v>3845</v>
      </c>
      <c r="B1416" s="6" t="s">
        <v>6869</v>
      </c>
      <c r="C1416" s="6" t="n">
        <v>2</v>
      </c>
      <c r="D1416" s="6" t="n">
        <v>15</v>
      </c>
      <c r="E1416" s="6" t="n">
        <v>1</v>
      </c>
      <c r="F1416" s="6" t="s">
        <v>3839</v>
      </c>
      <c r="G1416" s="28" t="str">
        <f aca="false">IFERROR(INDEX('Semrush Data'!$A$1:$Z$20000,MATCH(A1416,'Semrush Data'!$A$1:$A$20000,0),MATCH("Volume",'Semrush Data'!$A$1:$Z$1,0)),"")</f>
        <v/>
      </c>
      <c r="H1416" s="6" t="str">
        <f aca="false">IFERROR(INDEX('Semrush Data'!$A$1:$Z$20000,MATCH(A1416,'Semrush Data'!$A$1:$A$20000,0),MATCH("Keyword Difficulty*",'Semrush Data'!$A$1:$Z$1,0)),"")</f>
        <v/>
      </c>
      <c r="I1416" s="29" t="str">
        <f aca="false">IFERROR(INDEX('Semrush Data'!$A$1:$Z$20000,MATCH(A1416,'Semrush Data'!$A$1:$A$20000,0),MATCH("CPC*",'Semrush Data'!$A$1:$Z$1,0)),"")</f>
        <v/>
      </c>
      <c r="J1416" s="6" t="str">
        <f aca="false">IFERROR(INDEX('Semrush Data'!$A$1:$Z$20000,MATCH(A1416,'Semrush Data'!$A$1:$A$20000,0),MATCH("Intent",'Semrush Data'!$A$1:$Z$1,0)),"")</f>
        <v/>
      </c>
    </row>
    <row r="1417" customFormat="false" ht="15" hidden="false" customHeight="true" outlineLevel="0" collapsed="false">
      <c r="A1417" s="6" t="s">
        <v>3901</v>
      </c>
      <c r="B1417" s="6" t="s">
        <v>6869</v>
      </c>
      <c r="C1417" s="6" t="n">
        <v>2</v>
      </c>
      <c r="D1417" s="6" t="s">
        <v>6867</v>
      </c>
      <c r="E1417" s="6" t="n">
        <v>1</v>
      </c>
      <c r="F1417" s="6" t="s">
        <v>123</v>
      </c>
      <c r="G1417" s="28" t="n">
        <f aca="false">IFERROR(INDEX('Semrush Data'!$A$1:$Z$20000,MATCH(A1417,'Semrush Data'!$A$1:$A$20000,0),MATCH("Volume",'Semrush Data'!$A$1:$Z$1,0)),"")</f>
        <v>20</v>
      </c>
      <c r="H1417" s="6" t="n">
        <f aca="false">IFERROR(INDEX('Semrush Data'!$A$1:$Z$20000,MATCH(A1417,'Semrush Data'!$A$1:$A$20000,0),MATCH("Keyword Difficulty*",'Semrush Data'!$A$1:$Z$1,0)),"")</f>
        <v>18</v>
      </c>
      <c r="I1417" s="29" t="n">
        <f aca="false">IFERROR(INDEX('Semrush Data'!$A$1:$Z$20000,MATCH(A1417,'Semrush Data'!$A$1:$A$20000,0),MATCH("CPC*",'Semrush Data'!$A$1:$Z$1,0)),"")</f>
        <v>0.46</v>
      </c>
      <c r="J1417" s="6" t="str">
        <f aca="false">IFERROR(INDEX('Semrush Data'!$A$1:$Z$20000,MATCH(A1417,'Semrush Data'!$A$1:$A$20000,0),MATCH("Intent",'Semrush Data'!$A$1:$Z$1,0)),"")</f>
        <v>Informational</v>
      </c>
    </row>
    <row r="1418" customFormat="false" ht="15" hidden="false" customHeight="true" outlineLevel="0" collapsed="false">
      <c r="A1418" s="6" t="s">
        <v>3913</v>
      </c>
      <c r="B1418" s="6" t="s">
        <v>6869</v>
      </c>
      <c r="C1418" s="6" t="n">
        <v>2</v>
      </c>
      <c r="D1418" s="6" t="n">
        <v>15</v>
      </c>
      <c r="E1418" s="6" t="n">
        <v>1</v>
      </c>
      <c r="F1418" s="6" t="s">
        <v>3907</v>
      </c>
      <c r="G1418" s="28" t="str">
        <f aca="false">IFERROR(INDEX('Semrush Data'!$A$1:$Z$20000,MATCH(A1418,'Semrush Data'!$A$1:$A$20000,0),MATCH("Volume",'Semrush Data'!$A$1:$Z$1,0)),"")</f>
        <v/>
      </c>
      <c r="H1418" s="6" t="str">
        <f aca="false">IFERROR(INDEX('Semrush Data'!$A$1:$Z$20000,MATCH(A1418,'Semrush Data'!$A$1:$A$20000,0),MATCH("Keyword Difficulty*",'Semrush Data'!$A$1:$Z$1,0)),"")</f>
        <v/>
      </c>
      <c r="I1418" s="29" t="str">
        <f aca="false">IFERROR(INDEX('Semrush Data'!$A$1:$Z$20000,MATCH(A1418,'Semrush Data'!$A$1:$A$20000,0),MATCH("CPC*",'Semrush Data'!$A$1:$Z$1,0)),"")</f>
        <v/>
      </c>
      <c r="J1418" s="6" t="str">
        <f aca="false">IFERROR(INDEX('Semrush Data'!$A$1:$Z$20000,MATCH(A1418,'Semrush Data'!$A$1:$A$20000,0),MATCH("Intent",'Semrush Data'!$A$1:$Z$1,0)),"")</f>
        <v/>
      </c>
    </row>
    <row r="1419" customFormat="false" ht="15" hidden="false" customHeight="true" outlineLevel="0" collapsed="false">
      <c r="A1419" s="6" t="s">
        <v>3925</v>
      </c>
      <c r="B1419" s="6" t="s">
        <v>6869</v>
      </c>
      <c r="C1419" s="6" t="n">
        <v>2</v>
      </c>
      <c r="D1419" s="6" t="n">
        <v>15</v>
      </c>
      <c r="E1419" s="6" t="n">
        <v>1</v>
      </c>
      <c r="F1419" s="6" t="s">
        <v>3918</v>
      </c>
      <c r="G1419" s="28" t="str">
        <f aca="false">IFERROR(INDEX('Semrush Data'!$A$1:$Z$20000,MATCH(A1419,'Semrush Data'!$A$1:$A$20000,0),MATCH("Volume",'Semrush Data'!$A$1:$Z$1,0)),"")</f>
        <v/>
      </c>
      <c r="H1419" s="6" t="str">
        <f aca="false">IFERROR(INDEX('Semrush Data'!$A$1:$Z$20000,MATCH(A1419,'Semrush Data'!$A$1:$A$20000,0),MATCH("Keyword Difficulty*",'Semrush Data'!$A$1:$Z$1,0)),"")</f>
        <v/>
      </c>
      <c r="I1419" s="29" t="str">
        <f aca="false">IFERROR(INDEX('Semrush Data'!$A$1:$Z$20000,MATCH(A1419,'Semrush Data'!$A$1:$A$20000,0),MATCH("CPC*",'Semrush Data'!$A$1:$Z$1,0)),"")</f>
        <v/>
      </c>
      <c r="J1419" s="6" t="str">
        <f aca="false">IFERROR(INDEX('Semrush Data'!$A$1:$Z$20000,MATCH(A1419,'Semrush Data'!$A$1:$A$20000,0),MATCH("Intent",'Semrush Data'!$A$1:$Z$1,0)),"")</f>
        <v/>
      </c>
    </row>
    <row r="1420" customFormat="false" ht="15" hidden="false" customHeight="true" outlineLevel="0" collapsed="false">
      <c r="A1420" s="6" t="s">
        <v>3947</v>
      </c>
      <c r="B1420" s="6" t="s">
        <v>6869</v>
      </c>
      <c r="C1420" s="6" t="n">
        <v>2</v>
      </c>
      <c r="D1420" s="6" t="n">
        <v>15</v>
      </c>
      <c r="E1420" s="6" t="n">
        <v>1</v>
      </c>
      <c r="F1420" s="6" t="s">
        <v>3941</v>
      </c>
      <c r="G1420" s="28" t="str">
        <f aca="false">IFERROR(INDEX('Semrush Data'!$A$1:$Z$20000,MATCH(A1420,'Semrush Data'!$A$1:$A$20000,0),MATCH("Volume",'Semrush Data'!$A$1:$Z$1,0)),"")</f>
        <v/>
      </c>
      <c r="H1420" s="6" t="str">
        <f aca="false">IFERROR(INDEX('Semrush Data'!$A$1:$Z$20000,MATCH(A1420,'Semrush Data'!$A$1:$A$20000,0),MATCH("Keyword Difficulty*",'Semrush Data'!$A$1:$Z$1,0)),"")</f>
        <v/>
      </c>
      <c r="I1420" s="29" t="str">
        <f aca="false">IFERROR(INDEX('Semrush Data'!$A$1:$Z$20000,MATCH(A1420,'Semrush Data'!$A$1:$A$20000,0),MATCH("CPC*",'Semrush Data'!$A$1:$Z$1,0)),"")</f>
        <v/>
      </c>
      <c r="J1420" s="6" t="str">
        <f aca="false">IFERROR(INDEX('Semrush Data'!$A$1:$Z$20000,MATCH(A1420,'Semrush Data'!$A$1:$A$20000,0),MATCH("Intent",'Semrush Data'!$A$1:$Z$1,0)),"")</f>
        <v/>
      </c>
    </row>
    <row r="1421" customFormat="false" ht="15" hidden="false" customHeight="true" outlineLevel="0" collapsed="false">
      <c r="A1421" s="6" t="s">
        <v>3936</v>
      </c>
      <c r="B1421" s="6" t="s">
        <v>6869</v>
      </c>
      <c r="C1421" s="6" t="n">
        <v>2</v>
      </c>
      <c r="D1421" s="6" t="n">
        <v>15</v>
      </c>
      <c r="E1421" s="6" t="n">
        <v>1</v>
      </c>
      <c r="F1421" s="6" t="s">
        <v>3930</v>
      </c>
      <c r="G1421" s="28" t="str">
        <f aca="false">IFERROR(INDEX('Semrush Data'!$A$1:$Z$20000,MATCH(A1421,'Semrush Data'!$A$1:$A$20000,0),MATCH("Volume",'Semrush Data'!$A$1:$Z$1,0)),"")</f>
        <v/>
      </c>
      <c r="H1421" s="6" t="str">
        <f aca="false">IFERROR(INDEX('Semrush Data'!$A$1:$Z$20000,MATCH(A1421,'Semrush Data'!$A$1:$A$20000,0),MATCH("Keyword Difficulty*",'Semrush Data'!$A$1:$Z$1,0)),"")</f>
        <v/>
      </c>
      <c r="I1421" s="29" t="str">
        <f aca="false">IFERROR(INDEX('Semrush Data'!$A$1:$Z$20000,MATCH(A1421,'Semrush Data'!$A$1:$A$20000,0),MATCH("CPC*",'Semrush Data'!$A$1:$Z$1,0)),"")</f>
        <v/>
      </c>
      <c r="J1421" s="6" t="str">
        <f aca="false">IFERROR(INDEX('Semrush Data'!$A$1:$Z$20000,MATCH(A1421,'Semrush Data'!$A$1:$A$20000,0),MATCH("Intent",'Semrush Data'!$A$1:$Z$1,0)),"")</f>
        <v/>
      </c>
    </row>
    <row r="1422" customFormat="false" ht="15" hidden="false" customHeight="true" outlineLevel="0" collapsed="false">
      <c r="A1422" s="6" t="s">
        <v>3958</v>
      </c>
      <c r="B1422" s="6" t="s">
        <v>6869</v>
      </c>
      <c r="C1422" s="6" t="n">
        <v>2</v>
      </c>
      <c r="D1422" s="6" t="n">
        <v>15</v>
      </c>
      <c r="E1422" s="6" t="n">
        <v>1</v>
      </c>
      <c r="F1422" s="6" t="s">
        <v>3952</v>
      </c>
      <c r="G1422" s="28" t="str">
        <f aca="false">IFERROR(INDEX('Semrush Data'!$A$1:$Z$20000,MATCH(A1422,'Semrush Data'!$A$1:$A$20000,0),MATCH("Volume",'Semrush Data'!$A$1:$Z$1,0)),"")</f>
        <v/>
      </c>
      <c r="H1422" s="6" t="str">
        <f aca="false">IFERROR(INDEX('Semrush Data'!$A$1:$Z$20000,MATCH(A1422,'Semrush Data'!$A$1:$A$20000,0),MATCH("Keyword Difficulty*",'Semrush Data'!$A$1:$Z$1,0)),"")</f>
        <v/>
      </c>
      <c r="I1422" s="29" t="str">
        <f aca="false">IFERROR(INDEX('Semrush Data'!$A$1:$Z$20000,MATCH(A1422,'Semrush Data'!$A$1:$A$20000,0),MATCH("CPC*",'Semrush Data'!$A$1:$Z$1,0)),"")</f>
        <v/>
      </c>
      <c r="J1422" s="6" t="str">
        <f aca="false">IFERROR(INDEX('Semrush Data'!$A$1:$Z$20000,MATCH(A1422,'Semrush Data'!$A$1:$A$20000,0),MATCH("Intent",'Semrush Data'!$A$1:$Z$1,0)),"")</f>
        <v/>
      </c>
    </row>
    <row r="1423" customFormat="false" ht="15" hidden="false" customHeight="true" outlineLevel="0" collapsed="false">
      <c r="A1423" s="6" t="s">
        <v>3969</v>
      </c>
      <c r="B1423" s="6" t="s">
        <v>6869</v>
      </c>
      <c r="C1423" s="6" t="n">
        <v>2</v>
      </c>
      <c r="D1423" s="6" t="s">
        <v>6868</v>
      </c>
      <c r="E1423" s="6" t="n">
        <v>1</v>
      </c>
      <c r="F1423" s="6" t="s">
        <v>3963</v>
      </c>
      <c r="G1423" s="28" t="n">
        <f aca="false">IFERROR(INDEX('Semrush Data'!$A$1:$Z$20000,MATCH(A1423,'Semrush Data'!$A$1:$A$20000,0),MATCH("Volume",'Semrush Data'!$A$1:$Z$1,0)),"")</f>
        <v>20</v>
      </c>
      <c r="H1423" s="6" t="n">
        <f aca="false">IFERROR(INDEX('Semrush Data'!$A$1:$Z$20000,MATCH(A1423,'Semrush Data'!$A$1:$A$20000,0),MATCH("Keyword Difficulty*",'Semrush Data'!$A$1:$Z$1,0)),"")</f>
        <v>12</v>
      </c>
      <c r="I1423" s="29" t="n">
        <f aca="false">IFERROR(INDEX('Semrush Data'!$A$1:$Z$20000,MATCH(A1423,'Semrush Data'!$A$1:$A$20000,0),MATCH("CPC*",'Semrush Data'!$A$1:$Z$1,0)),"")</f>
        <v>0</v>
      </c>
      <c r="J1423" s="6" t="str">
        <f aca="false">IFERROR(INDEX('Semrush Data'!$A$1:$Z$20000,MATCH(A1423,'Semrush Data'!$A$1:$A$20000,0),MATCH("Intent",'Semrush Data'!$A$1:$Z$1,0)),"")</f>
        <v>Informational Transactional</v>
      </c>
    </row>
    <row r="1424" customFormat="false" ht="15" hidden="false" customHeight="true" outlineLevel="0" collapsed="false">
      <c r="A1424" s="6" t="s">
        <v>4012</v>
      </c>
      <c r="B1424" s="6" t="s">
        <v>6869</v>
      </c>
      <c r="C1424" s="6" t="n">
        <v>2</v>
      </c>
      <c r="D1424" s="6" t="s">
        <v>6867</v>
      </c>
      <c r="E1424" s="6" t="n">
        <v>1</v>
      </c>
      <c r="F1424" s="6" t="s">
        <v>4005</v>
      </c>
      <c r="G1424" s="28" t="n">
        <f aca="false">IFERROR(INDEX('Semrush Data'!$A$1:$Z$20000,MATCH(A1424,'Semrush Data'!$A$1:$A$20000,0),MATCH("Volume",'Semrush Data'!$A$1:$Z$1,0)),"")</f>
        <v>20</v>
      </c>
      <c r="H1424" s="6" t="n">
        <f aca="false">IFERROR(INDEX('Semrush Data'!$A$1:$Z$20000,MATCH(A1424,'Semrush Data'!$A$1:$A$20000,0),MATCH("Keyword Difficulty*",'Semrush Data'!$A$1:$Z$1,0)),"")</f>
        <v>11</v>
      </c>
      <c r="I1424" s="29" t="n">
        <f aca="false">IFERROR(INDEX('Semrush Data'!$A$1:$Z$20000,MATCH(A1424,'Semrush Data'!$A$1:$A$20000,0),MATCH("CPC*",'Semrush Data'!$A$1:$Z$1,0)),"")</f>
        <v>0.52</v>
      </c>
      <c r="J1424" s="6" t="str">
        <f aca="false">IFERROR(INDEX('Semrush Data'!$A$1:$Z$20000,MATCH(A1424,'Semrush Data'!$A$1:$A$20000,0),MATCH("Intent",'Semrush Data'!$A$1:$Z$1,0)),"")</f>
        <v>Informational</v>
      </c>
    </row>
    <row r="1425" customFormat="false" ht="15" hidden="false" customHeight="true" outlineLevel="0" collapsed="false">
      <c r="A1425" s="6" t="s">
        <v>4025</v>
      </c>
      <c r="B1425" s="6" t="s">
        <v>6869</v>
      </c>
      <c r="C1425" s="6" t="n">
        <v>2</v>
      </c>
      <c r="D1425" s="6" t="n">
        <v>15</v>
      </c>
      <c r="E1425" s="6" t="n">
        <v>1</v>
      </c>
      <c r="F1425" s="6" t="s">
        <v>4018</v>
      </c>
      <c r="G1425" s="28" t="str">
        <f aca="false">IFERROR(INDEX('Semrush Data'!$A$1:$Z$20000,MATCH(A1425,'Semrush Data'!$A$1:$A$20000,0),MATCH("Volume",'Semrush Data'!$A$1:$Z$1,0)),"")</f>
        <v/>
      </c>
      <c r="H1425" s="6" t="str">
        <f aca="false">IFERROR(INDEX('Semrush Data'!$A$1:$Z$20000,MATCH(A1425,'Semrush Data'!$A$1:$A$20000,0),MATCH("Keyword Difficulty*",'Semrush Data'!$A$1:$Z$1,0)),"")</f>
        <v/>
      </c>
      <c r="I1425" s="29" t="str">
        <f aca="false">IFERROR(INDEX('Semrush Data'!$A$1:$Z$20000,MATCH(A1425,'Semrush Data'!$A$1:$A$20000,0),MATCH("CPC*",'Semrush Data'!$A$1:$Z$1,0)),"")</f>
        <v/>
      </c>
      <c r="J1425" s="6" t="str">
        <f aca="false">IFERROR(INDEX('Semrush Data'!$A$1:$Z$20000,MATCH(A1425,'Semrush Data'!$A$1:$A$20000,0),MATCH("Intent",'Semrush Data'!$A$1:$Z$1,0)),"")</f>
        <v/>
      </c>
    </row>
    <row r="1426" customFormat="false" ht="15" hidden="false" customHeight="true" outlineLevel="0" collapsed="false">
      <c r="A1426" s="6" t="s">
        <v>4035</v>
      </c>
      <c r="B1426" s="6" t="s">
        <v>6869</v>
      </c>
      <c r="C1426" s="6" t="n">
        <v>2</v>
      </c>
      <c r="D1426" s="6" t="s">
        <v>6867</v>
      </c>
      <c r="E1426" s="6" t="n">
        <v>1</v>
      </c>
      <c r="F1426" s="6" t="s">
        <v>129</v>
      </c>
      <c r="G1426" s="28" t="n">
        <f aca="false">IFERROR(INDEX('Semrush Data'!$A$1:$Z$20000,MATCH(A1426,'Semrush Data'!$A$1:$A$20000,0),MATCH("Volume",'Semrush Data'!$A$1:$Z$1,0)),"")</f>
        <v>20</v>
      </c>
      <c r="H1426" s="6" t="n">
        <f aca="false">IFERROR(INDEX('Semrush Data'!$A$1:$Z$20000,MATCH(A1426,'Semrush Data'!$A$1:$A$20000,0),MATCH("Keyword Difficulty*",'Semrush Data'!$A$1:$Z$1,0)),"")</f>
        <v>7</v>
      </c>
      <c r="I1426" s="29" t="n">
        <f aca="false">IFERROR(INDEX('Semrush Data'!$A$1:$Z$20000,MATCH(A1426,'Semrush Data'!$A$1:$A$20000,0),MATCH("CPC*",'Semrush Data'!$A$1:$Z$1,0)),"")</f>
        <v>0</v>
      </c>
      <c r="J1426" s="6" t="str">
        <f aca="false">IFERROR(INDEX('Semrush Data'!$A$1:$Z$20000,MATCH(A1426,'Semrush Data'!$A$1:$A$20000,0),MATCH("Intent",'Semrush Data'!$A$1:$Z$1,0)),"")</f>
        <v>Informational Transactional</v>
      </c>
    </row>
    <row r="1427" customFormat="false" ht="15" hidden="false" customHeight="true" outlineLevel="0" collapsed="false">
      <c r="A1427" s="6" t="s">
        <v>4047</v>
      </c>
      <c r="B1427" s="6" t="s">
        <v>6869</v>
      </c>
      <c r="C1427" s="6" t="n">
        <v>2</v>
      </c>
      <c r="D1427" s="6" t="s">
        <v>6868</v>
      </c>
      <c r="E1427" s="6" t="n">
        <v>1</v>
      </c>
      <c r="F1427" s="6" t="s">
        <v>4040</v>
      </c>
      <c r="G1427" s="28" t="n">
        <f aca="false">IFERROR(INDEX('Semrush Data'!$A$1:$Z$20000,MATCH(A1427,'Semrush Data'!$A$1:$A$20000,0),MATCH("Volume",'Semrush Data'!$A$1:$Z$1,0)),"")</f>
        <v>20</v>
      </c>
      <c r="H1427" s="6" t="n">
        <f aca="false">IFERROR(INDEX('Semrush Data'!$A$1:$Z$20000,MATCH(A1427,'Semrush Data'!$A$1:$A$20000,0),MATCH("Keyword Difficulty*",'Semrush Data'!$A$1:$Z$1,0)),"")</f>
        <v>12</v>
      </c>
      <c r="I1427" s="29" t="n">
        <f aca="false">IFERROR(INDEX('Semrush Data'!$A$1:$Z$20000,MATCH(A1427,'Semrush Data'!$A$1:$A$20000,0),MATCH("CPC*",'Semrush Data'!$A$1:$Z$1,0)),"")</f>
        <v>0</v>
      </c>
      <c r="J1427" s="6" t="str">
        <f aca="false">IFERROR(INDEX('Semrush Data'!$A$1:$Z$20000,MATCH(A1427,'Semrush Data'!$A$1:$A$20000,0),MATCH("Intent",'Semrush Data'!$A$1:$Z$1,0)),"")</f>
        <v>Informational Transactional</v>
      </c>
    </row>
    <row r="1428" customFormat="false" ht="15" hidden="false" customHeight="true" outlineLevel="0" collapsed="false">
      <c r="A1428" s="6" t="s">
        <v>4060</v>
      </c>
      <c r="B1428" s="6" t="s">
        <v>6869</v>
      </c>
      <c r="C1428" s="6" t="n">
        <v>2</v>
      </c>
      <c r="D1428" s="6" t="s">
        <v>6867</v>
      </c>
      <c r="E1428" s="6" t="n">
        <v>1</v>
      </c>
      <c r="F1428" s="6" t="s">
        <v>4053</v>
      </c>
      <c r="G1428" s="28" t="n">
        <f aca="false">IFERROR(INDEX('Semrush Data'!$A$1:$Z$20000,MATCH(A1428,'Semrush Data'!$A$1:$A$20000,0),MATCH("Volume",'Semrush Data'!$A$1:$Z$1,0)),"")</f>
        <v>20</v>
      </c>
      <c r="H1428" s="6" t="n">
        <f aca="false">IFERROR(INDEX('Semrush Data'!$A$1:$Z$20000,MATCH(A1428,'Semrush Data'!$A$1:$A$20000,0),MATCH("Keyword Difficulty*",'Semrush Data'!$A$1:$Z$1,0)),"")</f>
        <v>23</v>
      </c>
      <c r="I1428" s="29" t="n">
        <f aca="false">IFERROR(INDEX('Semrush Data'!$A$1:$Z$20000,MATCH(A1428,'Semrush Data'!$A$1:$A$20000,0),MATCH("CPC*",'Semrush Data'!$A$1:$Z$1,0)),"")</f>
        <v>0</v>
      </c>
      <c r="J1428" s="6" t="str">
        <f aca="false">IFERROR(INDEX('Semrush Data'!$A$1:$Z$20000,MATCH(A1428,'Semrush Data'!$A$1:$A$20000,0),MATCH("Intent",'Semrush Data'!$A$1:$Z$1,0)),"")</f>
        <v>Navigational</v>
      </c>
    </row>
    <row r="1429" customFormat="false" ht="15" hidden="false" customHeight="true" outlineLevel="0" collapsed="false">
      <c r="A1429" s="6" t="s">
        <v>4073</v>
      </c>
      <c r="B1429" s="6" t="s">
        <v>6869</v>
      </c>
      <c r="C1429" s="6" t="n">
        <v>2</v>
      </c>
      <c r="D1429" s="6" t="n">
        <v>15</v>
      </c>
      <c r="E1429" s="6" t="n">
        <v>1</v>
      </c>
      <c r="F1429" s="6" t="s">
        <v>4066</v>
      </c>
      <c r="G1429" s="28" t="str">
        <f aca="false">IFERROR(INDEX('Semrush Data'!$A$1:$Z$20000,MATCH(A1429,'Semrush Data'!$A$1:$A$20000,0),MATCH("Volume",'Semrush Data'!$A$1:$Z$1,0)),"")</f>
        <v/>
      </c>
      <c r="H1429" s="6" t="str">
        <f aca="false">IFERROR(INDEX('Semrush Data'!$A$1:$Z$20000,MATCH(A1429,'Semrush Data'!$A$1:$A$20000,0),MATCH("Keyword Difficulty*",'Semrush Data'!$A$1:$Z$1,0)),"")</f>
        <v/>
      </c>
      <c r="I1429" s="29" t="str">
        <f aca="false">IFERROR(INDEX('Semrush Data'!$A$1:$Z$20000,MATCH(A1429,'Semrush Data'!$A$1:$A$20000,0),MATCH("CPC*",'Semrush Data'!$A$1:$Z$1,0)),"")</f>
        <v/>
      </c>
      <c r="J1429" s="6" t="str">
        <f aca="false">IFERROR(INDEX('Semrush Data'!$A$1:$Z$20000,MATCH(A1429,'Semrush Data'!$A$1:$A$20000,0),MATCH("Intent",'Semrush Data'!$A$1:$Z$1,0)),"")</f>
        <v/>
      </c>
    </row>
    <row r="1430" customFormat="false" ht="15" hidden="false" customHeight="true" outlineLevel="0" collapsed="false">
      <c r="A1430" s="6" t="s">
        <v>4085</v>
      </c>
      <c r="B1430" s="6" t="s">
        <v>6869</v>
      </c>
      <c r="C1430" s="6" t="n">
        <v>2</v>
      </c>
      <c r="D1430" s="6" t="n">
        <v>15</v>
      </c>
      <c r="E1430" s="6" t="n">
        <v>1</v>
      </c>
      <c r="F1430" s="6" t="s">
        <v>4079</v>
      </c>
      <c r="G1430" s="28" t="str">
        <f aca="false">IFERROR(INDEX('Semrush Data'!$A$1:$Z$20000,MATCH(A1430,'Semrush Data'!$A$1:$A$20000,0),MATCH("Volume",'Semrush Data'!$A$1:$Z$1,0)),"")</f>
        <v/>
      </c>
      <c r="H1430" s="6" t="str">
        <f aca="false">IFERROR(INDEX('Semrush Data'!$A$1:$Z$20000,MATCH(A1430,'Semrush Data'!$A$1:$A$20000,0),MATCH("Keyword Difficulty*",'Semrush Data'!$A$1:$Z$1,0)),"")</f>
        <v/>
      </c>
      <c r="I1430" s="29" t="str">
        <f aca="false">IFERROR(INDEX('Semrush Data'!$A$1:$Z$20000,MATCH(A1430,'Semrush Data'!$A$1:$A$20000,0),MATCH("CPC*",'Semrush Data'!$A$1:$Z$1,0)),"")</f>
        <v/>
      </c>
      <c r="J1430" s="6" t="str">
        <f aca="false">IFERROR(INDEX('Semrush Data'!$A$1:$Z$20000,MATCH(A1430,'Semrush Data'!$A$1:$A$20000,0),MATCH("Intent",'Semrush Data'!$A$1:$Z$1,0)),"")</f>
        <v/>
      </c>
    </row>
    <row r="1431" customFormat="false" ht="15" hidden="false" customHeight="true" outlineLevel="0" collapsed="false">
      <c r="A1431" s="6" t="s">
        <v>4097</v>
      </c>
      <c r="B1431" s="6" t="s">
        <v>6869</v>
      </c>
      <c r="C1431" s="6" t="n">
        <v>2</v>
      </c>
      <c r="D1431" s="6" t="n">
        <v>15</v>
      </c>
      <c r="E1431" s="6" t="n">
        <v>1</v>
      </c>
      <c r="F1431" s="6" t="s">
        <v>4090</v>
      </c>
      <c r="G1431" s="28" t="str">
        <f aca="false">IFERROR(INDEX('Semrush Data'!$A$1:$Z$20000,MATCH(A1431,'Semrush Data'!$A$1:$A$20000,0),MATCH("Volume",'Semrush Data'!$A$1:$Z$1,0)),"")</f>
        <v/>
      </c>
      <c r="H1431" s="6" t="str">
        <f aca="false">IFERROR(INDEX('Semrush Data'!$A$1:$Z$20000,MATCH(A1431,'Semrush Data'!$A$1:$A$20000,0),MATCH("Keyword Difficulty*",'Semrush Data'!$A$1:$Z$1,0)),"")</f>
        <v/>
      </c>
      <c r="I1431" s="29" t="str">
        <f aca="false">IFERROR(INDEX('Semrush Data'!$A$1:$Z$20000,MATCH(A1431,'Semrush Data'!$A$1:$A$20000,0),MATCH("CPC*",'Semrush Data'!$A$1:$Z$1,0)),"")</f>
        <v/>
      </c>
      <c r="J1431" s="6" t="str">
        <f aca="false">IFERROR(INDEX('Semrush Data'!$A$1:$Z$20000,MATCH(A1431,'Semrush Data'!$A$1:$A$20000,0),MATCH("Intent",'Semrush Data'!$A$1:$Z$1,0)),"")</f>
        <v/>
      </c>
    </row>
    <row r="1432" customFormat="false" ht="15" hidden="false" customHeight="true" outlineLevel="0" collapsed="false">
      <c r="A1432" s="6" t="s">
        <v>4109</v>
      </c>
      <c r="B1432" s="6" t="s">
        <v>6869</v>
      </c>
      <c r="C1432" s="6" t="n">
        <v>2</v>
      </c>
      <c r="D1432" s="6" t="n">
        <v>15</v>
      </c>
      <c r="E1432" s="6" t="n">
        <v>1</v>
      </c>
      <c r="F1432" s="6" t="s">
        <v>4103</v>
      </c>
      <c r="G1432" s="28" t="str">
        <f aca="false">IFERROR(INDEX('Semrush Data'!$A$1:$Z$20000,MATCH(A1432,'Semrush Data'!$A$1:$A$20000,0),MATCH("Volume",'Semrush Data'!$A$1:$Z$1,0)),"")</f>
        <v/>
      </c>
      <c r="H1432" s="6" t="str">
        <f aca="false">IFERROR(INDEX('Semrush Data'!$A$1:$Z$20000,MATCH(A1432,'Semrush Data'!$A$1:$A$20000,0),MATCH("Keyword Difficulty*",'Semrush Data'!$A$1:$Z$1,0)),"")</f>
        <v/>
      </c>
      <c r="I1432" s="29" t="str">
        <f aca="false">IFERROR(INDEX('Semrush Data'!$A$1:$Z$20000,MATCH(A1432,'Semrush Data'!$A$1:$A$20000,0),MATCH("CPC*",'Semrush Data'!$A$1:$Z$1,0)),"")</f>
        <v/>
      </c>
      <c r="J1432" s="6" t="str">
        <f aca="false">IFERROR(INDEX('Semrush Data'!$A$1:$Z$20000,MATCH(A1432,'Semrush Data'!$A$1:$A$20000,0),MATCH("Intent",'Semrush Data'!$A$1:$Z$1,0)),"")</f>
        <v/>
      </c>
    </row>
    <row r="1433" customFormat="false" ht="15" hidden="false" customHeight="true" outlineLevel="0" collapsed="false">
      <c r="A1433" s="6" t="s">
        <v>4120</v>
      </c>
      <c r="B1433" s="6" t="s">
        <v>6869</v>
      </c>
      <c r="C1433" s="6" t="n">
        <v>2</v>
      </c>
      <c r="D1433" s="6" t="n">
        <v>15</v>
      </c>
      <c r="E1433" s="6" t="n">
        <v>1</v>
      </c>
      <c r="F1433" s="6" t="s">
        <v>4114</v>
      </c>
      <c r="G1433" s="28" t="str">
        <f aca="false">IFERROR(INDEX('Semrush Data'!$A$1:$Z$20000,MATCH(A1433,'Semrush Data'!$A$1:$A$20000,0),MATCH("Volume",'Semrush Data'!$A$1:$Z$1,0)),"")</f>
        <v/>
      </c>
      <c r="H1433" s="6" t="str">
        <f aca="false">IFERROR(INDEX('Semrush Data'!$A$1:$Z$20000,MATCH(A1433,'Semrush Data'!$A$1:$A$20000,0),MATCH("Keyword Difficulty*",'Semrush Data'!$A$1:$Z$1,0)),"")</f>
        <v/>
      </c>
      <c r="I1433" s="29" t="str">
        <f aca="false">IFERROR(INDEX('Semrush Data'!$A$1:$Z$20000,MATCH(A1433,'Semrush Data'!$A$1:$A$20000,0),MATCH("CPC*",'Semrush Data'!$A$1:$Z$1,0)),"")</f>
        <v/>
      </c>
      <c r="J1433" s="6" t="str">
        <f aca="false">IFERROR(INDEX('Semrush Data'!$A$1:$Z$20000,MATCH(A1433,'Semrush Data'!$A$1:$A$20000,0),MATCH("Intent",'Semrush Data'!$A$1:$Z$1,0)),"")</f>
        <v/>
      </c>
    </row>
    <row r="1434" customFormat="false" ht="15" hidden="false" customHeight="true" outlineLevel="0" collapsed="false">
      <c r="A1434" s="6" t="s">
        <v>4131</v>
      </c>
      <c r="B1434" s="6" t="s">
        <v>6869</v>
      </c>
      <c r="C1434" s="6" t="n">
        <v>2</v>
      </c>
      <c r="D1434" s="6" t="n">
        <v>15</v>
      </c>
      <c r="E1434" s="6" t="n">
        <v>1</v>
      </c>
      <c r="F1434" s="6" t="s">
        <v>4125</v>
      </c>
      <c r="G1434" s="28" t="str">
        <f aca="false">IFERROR(INDEX('Semrush Data'!$A$1:$Z$20000,MATCH(A1434,'Semrush Data'!$A$1:$A$20000,0),MATCH("Volume",'Semrush Data'!$A$1:$Z$1,0)),"")</f>
        <v/>
      </c>
      <c r="H1434" s="6" t="str">
        <f aca="false">IFERROR(INDEX('Semrush Data'!$A$1:$Z$20000,MATCH(A1434,'Semrush Data'!$A$1:$A$20000,0),MATCH("Keyword Difficulty*",'Semrush Data'!$A$1:$Z$1,0)),"")</f>
        <v/>
      </c>
      <c r="I1434" s="29" t="str">
        <f aca="false">IFERROR(INDEX('Semrush Data'!$A$1:$Z$20000,MATCH(A1434,'Semrush Data'!$A$1:$A$20000,0),MATCH("CPC*",'Semrush Data'!$A$1:$Z$1,0)),"")</f>
        <v/>
      </c>
      <c r="J1434" s="6" t="str">
        <f aca="false">IFERROR(INDEX('Semrush Data'!$A$1:$Z$20000,MATCH(A1434,'Semrush Data'!$A$1:$A$20000,0),MATCH("Intent",'Semrush Data'!$A$1:$Z$1,0)),"")</f>
        <v/>
      </c>
    </row>
    <row r="1435" customFormat="false" ht="15" hidden="false" customHeight="true" outlineLevel="0" collapsed="false">
      <c r="A1435" s="6" t="s">
        <v>4143</v>
      </c>
      <c r="B1435" s="6" t="s">
        <v>6869</v>
      </c>
      <c r="C1435" s="6" t="n">
        <v>2</v>
      </c>
      <c r="D1435" s="6" t="n">
        <v>15</v>
      </c>
      <c r="E1435" s="6" t="n">
        <v>1</v>
      </c>
      <c r="F1435" s="6" t="s">
        <v>4137</v>
      </c>
      <c r="G1435" s="28" t="str">
        <f aca="false">IFERROR(INDEX('Semrush Data'!$A$1:$Z$20000,MATCH(A1435,'Semrush Data'!$A$1:$A$20000,0),MATCH("Volume",'Semrush Data'!$A$1:$Z$1,0)),"")</f>
        <v/>
      </c>
      <c r="H1435" s="6" t="str">
        <f aca="false">IFERROR(INDEX('Semrush Data'!$A$1:$Z$20000,MATCH(A1435,'Semrush Data'!$A$1:$A$20000,0),MATCH("Keyword Difficulty*",'Semrush Data'!$A$1:$Z$1,0)),"")</f>
        <v/>
      </c>
      <c r="I1435" s="29" t="str">
        <f aca="false">IFERROR(INDEX('Semrush Data'!$A$1:$Z$20000,MATCH(A1435,'Semrush Data'!$A$1:$A$20000,0),MATCH("CPC*",'Semrush Data'!$A$1:$Z$1,0)),"")</f>
        <v/>
      </c>
      <c r="J1435" s="6" t="str">
        <f aca="false">IFERROR(INDEX('Semrush Data'!$A$1:$Z$20000,MATCH(A1435,'Semrush Data'!$A$1:$A$20000,0),MATCH("Intent",'Semrush Data'!$A$1:$Z$1,0)),"")</f>
        <v/>
      </c>
    </row>
    <row r="1436" customFormat="false" ht="15" hidden="false" customHeight="true" outlineLevel="0" collapsed="false">
      <c r="A1436" s="6" t="s">
        <v>4155</v>
      </c>
      <c r="B1436" s="6" t="s">
        <v>6869</v>
      </c>
      <c r="C1436" s="6" t="n">
        <v>2</v>
      </c>
      <c r="D1436" s="6" t="n">
        <v>15</v>
      </c>
      <c r="E1436" s="6" t="n">
        <v>1</v>
      </c>
      <c r="F1436" s="6" t="s">
        <v>4149</v>
      </c>
      <c r="G1436" s="28" t="str">
        <f aca="false">IFERROR(INDEX('Semrush Data'!$A$1:$Z$20000,MATCH(A1436,'Semrush Data'!$A$1:$A$20000,0),MATCH("Volume",'Semrush Data'!$A$1:$Z$1,0)),"")</f>
        <v/>
      </c>
      <c r="H1436" s="6" t="str">
        <f aca="false">IFERROR(INDEX('Semrush Data'!$A$1:$Z$20000,MATCH(A1436,'Semrush Data'!$A$1:$A$20000,0),MATCH("Keyword Difficulty*",'Semrush Data'!$A$1:$Z$1,0)),"")</f>
        <v/>
      </c>
      <c r="I1436" s="29" t="str">
        <f aca="false">IFERROR(INDEX('Semrush Data'!$A$1:$Z$20000,MATCH(A1436,'Semrush Data'!$A$1:$A$20000,0),MATCH("CPC*",'Semrush Data'!$A$1:$Z$1,0)),"")</f>
        <v/>
      </c>
      <c r="J1436" s="6" t="str">
        <f aca="false">IFERROR(INDEX('Semrush Data'!$A$1:$Z$20000,MATCH(A1436,'Semrush Data'!$A$1:$A$20000,0),MATCH("Intent",'Semrush Data'!$A$1:$Z$1,0)),"")</f>
        <v/>
      </c>
    </row>
    <row r="1437" customFormat="false" ht="15" hidden="false" customHeight="true" outlineLevel="0" collapsed="false">
      <c r="A1437" s="6" t="s">
        <v>4166</v>
      </c>
      <c r="B1437" s="6" t="s">
        <v>6869</v>
      </c>
      <c r="C1437" s="6" t="n">
        <v>2</v>
      </c>
      <c r="D1437" s="6" t="n">
        <v>15</v>
      </c>
      <c r="E1437" s="6" t="n">
        <v>1</v>
      </c>
      <c r="F1437" s="6" t="s">
        <v>4160</v>
      </c>
      <c r="G1437" s="28" t="str">
        <f aca="false">IFERROR(INDEX('Semrush Data'!$A$1:$Z$20000,MATCH(A1437,'Semrush Data'!$A$1:$A$20000,0),MATCH("Volume",'Semrush Data'!$A$1:$Z$1,0)),"")</f>
        <v/>
      </c>
      <c r="H1437" s="6" t="str">
        <f aca="false">IFERROR(INDEX('Semrush Data'!$A$1:$Z$20000,MATCH(A1437,'Semrush Data'!$A$1:$A$20000,0),MATCH("Keyword Difficulty*",'Semrush Data'!$A$1:$Z$1,0)),"")</f>
        <v/>
      </c>
      <c r="I1437" s="29" t="str">
        <f aca="false">IFERROR(INDEX('Semrush Data'!$A$1:$Z$20000,MATCH(A1437,'Semrush Data'!$A$1:$A$20000,0),MATCH("CPC*",'Semrush Data'!$A$1:$Z$1,0)),"")</f>
        <v/>
      </c>
      <c r="J1437" s="6" t="str">
        <f aca="false">IFERROR(INDEX('Semrush Data'!$A$1:$Z$20000,MATCH(A1437,'Semrush Data'!$A$1:$A$20000,0),MATCH("Intent",'Semrush Data'!$A$1:$Z$1,0)),"")</f>
        <v/>
      </c>
    </row>
    <row r="1438" customFormat="false" ht="15" hidden="false" customHeight="true" outlineLevel="0" collapsed="false">
      <c r="A1438" s="6" t="s">
        <v>4176</v>
      </c>
      <c r="B1438" s="6" t="s">
        <v>6869</v>
      </c>
      <c r="C1438" s="6" t="n">
        <v>2</v>
      </c>
      <c r="D1438" s="6" t="n">
        <v>15</v>
      </c>
      <c r="E1438" s="6" t="n">
        <v>1</v>
      </c>
      <c r="F1438" s="6" t="s">
        <v>4170</v>
      </c>
      <c r="G1438" s="28" t="str">
        <f aca="false">IFERROR(INDEX('Semrush Data'!$A$1:$Z$20000,MATCH(A1438,'Semrush Data'!$A$1:$A$20000,0),MATCH("Volume",'Semrush Data'!$A$1:$Z$1,0)),"")</f>
        <v/>
      </c>
      <c r="H1438" s="6" t="str">
        <f aca="false">IFERROR(INDEX('Semrush Data'!$A$1:$Z$20000,MATCH(A1438,'Semrush Data'!$A$1:$A$20000,0),MATCH("Keyword Difficulty*",'Semrush Data'!$A$1:$Z$1,0)),"")</f>
        <v/>
      </c>
      <c r="I1438" s="29" t="str">
        <f aca="false">IFERROR(INDEX('Semrush Data'!$A$1:$Z$20000,MATCH(A1438,'Semrush Data'!$A$1:$A$20000,0),MATCH("CPC*",'Semrush Data'!$A$1:$Z$1,0)),"")</f>
        <v/>
      </c>
      <c r="J1438" s="6" t="str">
        <f aca="false">IFERROR(INDEX('Semrush Data'!$A$1:$Z$20000,MATCH(A1438,'Semrush Data'!$A$1:$A$20000,0),MATCH("Intent",'Semrush Data'!$A$1:$Z$1,0)),"")</f>
        <v/>
      </c>
    </row>
    <row r="1439" customFormat="false" ht="15" hidden="false" customHeight="true" outlineLevel="0" collapsed="false">
      <c r="A1439" s="6" t="s">
        <v>4186</v>
      </c>
      <c r="B1439" s="6" t="s">
        <v>6869</v>
      </c>
      <c r="C1439" s="6" t="n">
        <v>2</v>
      </c>
      <c r="D1439" s="6" t="n">
        <v>15</v>
      </c>
      <c r="E1439" s="6" t="n">
        <v>1</v>
      </c>
      <c r="F1439" s="6" t="s">
        <v>4180</v>
      </c>
      <c r="G1439" s="28" t="str">
        <f aca="false">IFERROR(INDEX('Semrush Data'!$A$1:$Z$20000,MATCH(A1439,'Semrush Data'!$A$1:$A$20000,0),MATCH("Volume",'Semrush Data'!$A$1:$Z$1,0)),"")</f>
        <v/>
      </c>
      <c r="H1439" s="6" t="str">
        <f aca="false">IFERROR(INDEX('Semrush Data'!$A$1:$Z$20000,MATCH(A1439,'Semrush Data'!$A$1:$A$20000,0),MATCH("Keyword Difficulty*",'Semrush Data'!$A$1:$Z$1,0)),"")</f>
        <v/>
      </c>
      <c r="I1439" s="29" t="str">
        <f aca="false">IFERROR(INDEX('Semrush Data'!$A$1:$Z$20000,MATCH(A1439,'Semrush Data'!$A$1:$A$20000,0),MATCH("CPC*",'Semrush Data'!$A$1:$Z$1,0)),"")</f>
        <v/>
      </c>
      <c r="J1439" s="6" t="str">
        <f aca="false">IFERROR(INDEX('Semrush Data'!$A$1:$Z$20000,MATCH(A1439,'Semrush Data'!$A$1:$A$20000,0),MATCH("Intent",'Semrush Data'!$A$1:$Z$1,0)),"")</f>
        <v/>
      </c>
    </row>
    <row r="1440" customFormat="false" ht="15" hidden="false" customHeight="true" outlineLevel="0" collapsed="false">
      <c r="A1440" s="6" t="s">
        <v>4197</v>
      </c>
      <c r="B1440" s="6" t="s">
        <v>6869</v>
      </c>
      <c r="C1440" s="6" t="n">
        <v>2</v>
      </c>
      <c r="D1440" s="6" t="n">
        <v>15</v>
      </c>
      <c r="E1440" s="6" t="n">
        <v>1</v>
      </c>
      <c r="F1440" s="6" t="s">
        <v>4191</v>
      </c>
      <c r="G1440" s="28" t="str">
        <f aca="false">IFERROR(INDEX('Semrush Data'!$A$1:$Z$20000,MATCH(A1440,'Semrush Data'!$A$1:$A$20000,0),MATCH("Volume",'Semrush Data'!$A$1:$Z$1,0)),"")</f>
        <v/>
      </c>
      <c r="H1440" s="6" t="str">
        <f aca="false">IFERROR(INDEX('Semrush Data'!$A$1:$Z$20000,MATCH(A1440,'Semrush Data'!$A$1:$A$20000,0),MATCH("Keyword Difficulty*",'Semrush Data'!$A$1:$Z$1,0)),"")</f>
        <v/>
      </c>
      <c r="I1440" s="29" t="str">
        <f aca="false">IFERROR(INDEX('Semrush Data'!$A$1:$Z$20000,MATCH(A1440,'Semrush Data'!$A$1:$A$20000,0),MATCH("CPC*",'Semrush Data'!$A$1:$Z$1,0)),"")</f>
        <v/>
      </c>
      <c r="J1440" s="6" t="str">
        <f aca="false">IFERROR(INDEX('Semrush Data'!$A$1:$Z$20000,MATCH(A1440,'Semrush Data'!$A$1:$A$20000,0),MATCH("Intent",'Semrush Data'!$A$1:$Z$1,0)),"")</f>
        <v/>
      </c>
    </row>
    <row r="1441" customFormat="false" ht="15" hidden="false" customHeight="true" outlineLevel="0" collapsed="false">
      <c r="A1441" s="6" t="s">
        <v>4208</v>
      </c>
      <c r="B1441" s="6" t="s">
        <v>6869</v>
      </c>
      <c r="C1441" s="6" t="n">
        <v>2</v>
      </c>
      <c r="D1441" s="6" t="n">
        <v>15</v>
      </c>
      <c r="E1441" s="6" t="n">
        <v>1</v>
      </c>
      <c r="F1441" s="6" t="s">
        <v>4202</v>
      </c>
      <c r="G1441" s="28" t="str">
        <f aca="false">IFERROR(INDEX('Semrush Data'!$A$1:$Z$20000,MATCH(A1441,'Semrush Data'!$A$1:$A$20000,0),MATCH("Volume",'Semrush Data'!$A$1:$Z$1,0)),"")</f>
        <v/>
      </c>
      <c r="H1441" s="6" t="str">
        <f aca="false">IFERROR(INDEX('Semrush Data'!$A$1:$Z$20000,MATCH(A1441,'Semrush Data'!$A$1:$A$20000,0),MATCH("Keyword Difficulty*",'Semrush Data'!$A$1:$Z$1,0)),"")</f>
        <v/>
      </c>
      <c r="I1441" s="29" t="str">
        <f aca="false">IFERROR(INDEX('Semrush Data'!$A$1:$Z$20000,MATCH(A1441,'Semrush Data'!$A$1:$A$20000,0),MATCH("CPC*",'Semrush Data'!$A$1:$Z$1,0)),"")</f>
        <v/>
      </c>
      <c r="J1441" s="6" t="str">
        <f aca="false">IFERROR(INDEX('Semrush Data'!$A$1:$Z$20000,MATCH(A1441,'Semrush Data'!$A$1:$A$20000,0),MATCH("Intent",'Semrush Data'!$A$1:$Z$1,0)),"")</f>
        <v/>
      </c>
    </row>
    <row r="1442" customFormat="false" ht="15" hidden="false" customHeight="true" outlineLevel="0" collapsed="false">
      <c r="A1442" s="6" t="s">
        <v>4218</v>
      </c>
      <c r="B1442" s="6" t="s">
        <v>6869</v>
      </c>
      <c r="C1442" s="6" t="n">
        <v>2</v>
      </c>
      <c r="D1442" s="6" t="n">
        <v>15</v>
      </c>
      <c r="E1442" s="6" t="n">
        <v>1</v>
      </c>
      <c r="F1442" s="6" t="s">
        <v>4212</v>
      </c>
      <c r="G1442" s="28" t="str">
        <f aca="false">IFERROR(INDEX('Semrush Data'!$A$1:$Z$20000,MATCH(A1442,'Semrush Data'!$A$1:$A$20000,0),MATCH("Volume",'Semrush Data'!$A$1:$Z$1,0)),"")</f>
        <v/>
      </c>
      <c r="H1442" s="6" t="str">
        <f aca="false">IFERROR(INDEX('Semrush Data'!$A$1:$Z$20000,MATCH(A1442,'Semrush Data'!$A$1:$A$20000,0),MATCH("Keyword Difficulty*",'Semrush Data'!$A$1:$Z$1,0)),"")</f>
        <v/>
      </c>
      <c r="I1442" s="29" t="str">
        <f aca="false">IFERROR(INDEX('Semrush Data'!$A$1:$Z$20000,MATCH(A1442,'Semrush Data'!$A$1:$A$20000,0),MATCH("CPC*",'Semrush Data'!$A$1:$Z$1,0)),"")</f>
        <v/>
      </c>
      <c r="J1442" s="6" t="str">
        <f aca="false">IFERROR(INDEX('Semrush Data'!$A$1:$Z$20000,MATCH(A1442,'Semrush Data'!$A$1:$A$20000,0),MATCH("Intent",'Semrush Data'!$A$1:$Z$1,0)),"")</f>
        <v/>
      </c>
    </row>
    <row r="1443" customFormat="false" ht="15" hidden="false" customHeight="true" outlineLevel="0" collapsed="false">
      <c r="A1443" s="6" t="s">
        <v>4231</v>
      </c>
      <c r="B1443" s="6" t="s">
        <v>6869</v>
      </c>
      <c r="C1443" s="6" t="n">
        <v>2</v>
      </c>
      <c r="D1443" s="6" t="n">
        <v>15</v>
      </c>
      <c r="E1443" s="6" t="n">
        <v>1</v>
      </c>
      <c r="F1443" s="6" t="s">
        <v>4224</v>
      </c>
      <c r="G1443" s="28" t="str">
        <f aca="false">IFERROR(INDEX('Semrush Data'!$A$1:$Z$20000,MATCH(A1443,'Semrush Data'!$A$1:$A$20000,0),MATCH("Volume",'Semrush Data'!$A$1:$Z$1,0)),"")</f>
        <v/>
      </c>
      <c r="H1443" s="6" t="str">
        <f aca="false">IFERROR(INDEX('Semrush Data'!$A$1:$Z$20000,MATCH(A1443,'Semrush Data'!$A$1:$A$20000,0),MATCH("Keyword Difficulty*",'Semrush Data'!$A$1:$Z$1,0)),"")</f>
        <v/>
      </c>
      <c r="I1443" s="29" t="str">
        <f aca="false">IFERROR(INDEX('Semrush Data'!$A$1:$Z$20000,MATCH(A1443,'Semrush Data'!$A$1:$A$20000,0),MATCH("CPC*",'Semrush Data'!$A$1:$Z$1,0)),"")</f>
        <v/>
      </c>
      <c r="J1443" s="6" t="str">
        <f aca="false">IFERROR(INDEX('Semrush Data'!$A$1:$Z$20000,MATCH(A1443,'Semrush Data'!$A$1:$A$20000,0),MATCH("Intent",'Semrush Data'!$A$1:$Z$1,0)),"")</f>
        <v/>
      </c>
    </row>
    <row r="1444" customFormat="false" ht="15" hidden="false" customHeight="true" outlineLevel="0" collapsed="false">
      <c r="A1444" s="6" t="s">
        <v>4244</v>
      </c>
      <c r="B1444" s="6" t="s">
        <v>6869</v>
      </c>
      <c r="C1444" s="6" t="n">
        <v>2</v>
      </c>
      <c r="D1444" s="6" t="n">
        <v>15</v>
      </c>
      <c r="E1444" s="6" t="n">
        <v>1</v>
      </c>
      <c r="F1444" s="6" t="s">
        <v>4237</v>
      </c>
      <c r="G1444" s="28" t="str">
        <f aca="false">IFERROR(INDEX('Semrush Data'!$A$1:$Z$20000,MATCH(A1444,'Semrush Data'!$A$1:$A$20000,0),MATCH("Volume",'Semrush Data'!$A$1:$Z$1,0)),"")</f>
        <v/>
      </c>
      <c r="H1444" s="6" t="str">
        <f aca="false">IFERROR(INDEX('Semrush Data'!$A$1:$Z$20000,MATCH(A1444,'Semrush Data'!$A$1:$A$20000,0),MATCH("Keyword Difficulty*",'Semrush Data'!$A$1:$Z$1,0)),"")</f>
        <v/>
      </c>
      <c r="I1444" s="29" t="str">
        <f aca="false">IFERROR(INDEX('Semrush Data'!$A$1:$Z$20000,MATCH(A1444,'Semrush Data'!$A$1:$A$20000,0),MATCH("CPC*",'Semrush Data'!$A$1:$Z$1,0)),"")</f>
        <v/>
      </c>
      <c r="J1444" s="6" t="str">
        <f aca="false">IFERROR(INDEX('Semrush Data'!$A$1:$Z$20000,MATCH(A1444,'Semrush Data'!$A$1:$A$20000,0),MATCH("Intent",'Semrush Data'!$A$1:$Z$1,0)),"")</f>
        <v/>
      </c>
    </row>
    <row r="1445" customFormat="false" ht="15" hidden="false" customHeight="true" outlineLevel="0" collapsed="false">
      <c r="A1445" s="6" t="s">
        <v>4255</v>
      </c>
      <c r="B1445" s="6" t="s">
        <v>6869</v>
      </c>
      <c r="C1445" s="6" t="n">
        <v>2</v>
      </c>
      <c r="D1445" s="6" t="n">
        <v>15</v>
      </c>
      <c r="E1445" s="6" t="n">
        <v>1</v>
      </c>
      <c r="F1445" s="6" t="s">
        <v>4249</v>
      </c>
      <c r="G1445" s="28" t="str">
        <f aca="false">IFERROR(INDEX('Semrush Data'!$A$1:$Z$20000,MATCH(A1445,'Semrush Data'!$A$1:$A$20000,0),MATCH("Volume",'Semrush Data'!$A$1:$Z$1,0)),"")</f>
        <v/>
      </c>
      <c r="H1445" s="6" t="str">
        <f aca="false">IFERROR(INDEX('Semrush Data'!$A$1:$Z$20000,MATCH(A1445,'Semrush Data'!$A$1:$A$20000,0),MATCH("Keyword Difficulty*",'Semrush Data'!$A$1:$Z$1,0)),"")</f>
        <v/>
      </c>
      <c r="I1445" s="29" t="str">
        <f aca="false">IFERROR(INDEX('Semrush Data'!$A$1:$Z$20000,MATCH(A1445,'Semrush Data'!$A$1:$A$20000,0),MATCH("CPC*",'Semrush Data'!$A$1:$Z$1,0)),"")</f>
        <v/>
      </c>
      <c r="J1445" s="6" t="str">
        <f aca="false">IFERROR(INDEX('Semrush Data'!$A$1:$Z$20000,MATCH(A1445,'Semrush Data'!$A$1:$A$20000,0),MATCH("Intent",'Semrush Data'!$A$1:$Z$1,0)),"")</f>
        <v/>
      </c>
    </row>
    <row r="1446" customFormat="false" ht="15" hidden="false" customHeight="true" outlineLevel="0" collapsed="false">
      <c r="A1446" s="6" t="s">
        <v>4266</v>
      </c>
      <c r="B1446" s="6" t="s">
        <v>6869</v>
      </c>
      <c r="C1446" s="6" t="n">
        <v>2</v>
      </c>
      <c r="D1446" s="6" t="n">
        <v>15</v>
      </c>
      <c r="E1446" s="6" t="n">
        <v>1</v>
      </c>
      <c r="F1446" s="6" t="s">
        <v>4260</v>
      </c>
      <c r="G1446" s="28" t="str">
        <f aca="false">IFERROR(INDEX('Semrush Data'!$A$1:$Z$20000,MATCH(A1446,'Semrush Data'!$A$1:$A$20000,0),MATCH("Volume",'Semrush Data'!$A$1:$Z$1,0)),"")</f>
        <v/>
      </c>
      <c r="H1446" s="6" t="str">
        <f aca="false">IFERROR(INDEX('Semrush Data'!$A$1:$Z$20000,MATCH(A1446,'Semrush Data'!$A$1:$A$20000,0),MATCH("Keyword Difficulty*",'Semrush Data'!$A$1:$Z$1,0)),"")</f>
        <v/>
      </c>
      <c r="I1446" s="29" t="str">
        <f aca="false">IFERROR(INDEX('Semrush Data'!$A$1:$Z$20000,MATCH(A1446,'Semrush Data'!$A$1:$A$20000,0),MATCH("CPC*",'Semrush Data'!$A$1:$Z$1,0)),"")</f>
        <v/>
      </c>
      <c r="J1446" s="6" t="str">
        <f aca="false">IFERROR(INDEX('Semrush Data'!$A$1:$Z$20000,MATCH(A1446,'Semrush Data'!$A$1:$A$20000,0),MATCH("Intent",'Semrush Data'!$A$1:$Z$1,0)),"")</f>
        <v/>
      </c>
    </row>
    <row r="1447" customFormat="false" ht="15" hidden="false" customHeight="true" outlineLevel="0" collapsed="false">
      <c r="A1447" s="6" t="s">
        <v>4278</v>
      </c>
      <c r="B1447" s="6" t="s">
        <v>6869</v>
      </c>
      <c r="C1447" s="6" t="n">
        <v>2</v>
      </c>
      <c r="D1447" s="6" t="n">
        <v>15</v>
      </c>
      <c r="E1447" s="6" t="n">
        <v>1</v>
      </c>
      <c r="F1447" s="6" t="s">
        <v>4272</v>
      </c>
      <c r="G1447" s="28" t="str">
        <f aca="false">IFERROR(INDEX('Semrush Data'!$A$1:$Z$20000,MATCH(A1447,'Semrush Data'!$A$1:$A$20000,0),MATCH("Volume",'Semrush Data'!$A$1:$Z$1,0)),"")</f>
        <v/>
      </c>
      <c r="H1447" s="6" t="str">
        <f aca="false">IFERROR(INDEX('Semrush Data'!$A$1:$Z$20000,MATCH(A1447,'Semrush Data'!$A$1:$A$20000,0),MATCH("Keyword Difficulty*",'Semrush Data'!$A$1:$Z$1,0)),"")</f>
        <v/>
      </c>
      <c r="I1447" s="29" t="str">
        <f aca="false">IFERROR(INDEX('Semrush Data'!$A$1:$Z$20000,MATCH(A1447,'Semrush Data'!$A$1:$A$20000,0),MATCH("CPC*",'Semrush Data'!$A$1:$Z$1,0)),"")</f>
        <v/>
      </c>
      <c r="J1447" s="6" t="str">
        <f aca="false">IFERROR(INDEX('Semrush Data'!$A$1:$Z$20000,MATCH(A1447,'Semrush Data'!$A$1:$A$20000,0),MATCH("Intent",'Semrush Data'!$A$1:$Z$1,0)),"")</f>
        <v/>
      </c>
    </row>
    <row r="1448" customFormat="false" ht="15" hidden="false" customHeight="true" outlineLevel="0" collapsed="false">
      <c r="A1448" s="6" t="s">
        <v>4291</v>
      </c>
      <c r="B1448" s="6" t="s">
        <v>6869</v>
      </c>
      <c r="C1448" s="6" t="n">
        <v>2</v>
      </c>
      <c r="D1448" s="6" t="s">
        <v>6868</v>
      </c>
      <c r="E1448" s="6" t="n">
        <v>1</v>
      </c>
      <c r="F1448" s="6" t="s">
        <v>4283</v>
      </c>
      <c r="G1448" s="28" t="n">
        <f aca="false">IFERROR(INDEX('Semrush Data'!$A$1:$Z$20000,MATCH(A1448,'Semrush Data'!$A$1:$A$20000,0),MATCH("Volume",'Semrush Data'!$A$1:$Z$1,0)),"")</f>
        <v>0</v>
      </c>
      <c r="H1448" s="6" t="n">
        <f aca="false">IFERROR(INDEX('Semrush Data'!$A$1:$Z$20000,MATCH(A1448,'Semrush Data'!$A$1:$A$20000,0),MATCH("Keyword Difficulty*",'Semrush Data'!$A$1:$Z$1,0)),"")</f>
        <v>22</v>
      </c>
      <c r="I1448" s="29" t="n">
        <f aca="false">IFERROR(INDEX('Semrush Data'!$A$1:$Z$20000,MATCH(A1448,'Semrush Data'!$A$1:$A$20000,0),MATCH("CPC*",'Semrush Data'!$A$1:$Z$1,0)),"")</f>
        <v>0</v>
      </c>
      <c r="J1448" s="6" t="str">
        <f aca="false">IFERROR(INDEX('Semrush Data'!$A$1:$Z$20000,MATCH(A1448,'Semrush Data'!$A$1:$A$20000,0),MATCH("Intent",'Semrush Data'!$A$1:$Z$1,0)),"")</f>
        <v>Informational</v>
      </c>
    </row>
    <row r="1449" customFormat="false" ht="15" hidden="false" customHeight="true" outlineLevel="0" collapsed="false">
      <c r="A1449" s="6" t="s">
        <v>4303</v>
      </c>
      <c r="B1449" s="6" t="s">
        <v>6869</v>
      </c>
      <c r="C1449" s="6" t="n">
        <v>2</v>
      </c>
      <c r="D1449" s="6" t="n">
        <v>15</v>
      </c>
      <c r="E1449" s="6" t="n">
        <v>1</v>
      </c>
      <c r="F1449" s="6" t="s">
        <v>4297</v>
      </c>
      <c r="G1449" s="28" t="str">
        <f aca="false">IFERROR(INDEX('Semrush Data'!$A$1:$Z$20000,MATCH(A1449,'Semrush Data'!$A$1:$A$20000,0),MATCH("Volume",'Semrush Data'!$A$1:$Z$1,0)),"")</f>
        <v/>
      </c>
      <c r="H1449" s="6" t="str">
        <f aca="false">IFERROR(INDEX('Semrush Data'!$A$1:$Z$20000,MATCH(A1449,'Semrush Data'!$A$1:$A$20000,0),MATCH("Keyword Difficulty*",'Semrush Data'!$A$1:$Z$1,0)),"")</f>
        <v/>
      </c>
      <c r="I1449" s="29" t="str">
        <f aca="false">IFERROR(INDEX('Semrush Data'!$A$1:$Z$20000,MATCH(A1449,'Semrush Data'!$A$1:$A$20000,0),MATCH("CPC*",'Semrush Data'!$A$1:$Z$1,0)),"")</f>
        <v/>
      </c>
      <c r="J1449" s="6" t="str">
        <f aca="false">IFERROR(INDEX('Semrush Data'!$A$1:$Z$20000,MATCH(A1449,'Semrush Data'!$A$1:$A$20000,0),MATCH("Intent",'Semrush Data'!$A$1:$Z$1,0)),"")</f>
        <v/>
      </c>
    </row>
    <row r="1450" customFormat="false" ht="15" hidden="false" customHeight="true" outlineLevel="0" collapsed="false">
      <c r="A1450" s="6" t="s">
        <v>4315</v>
      </c>
      <c r="B1450" s="6" t="s">
        <v>6869</v>
      </c>
      <c r="C1450" s="6" t="n">
        <v>2</v>
      </c>
      <c r="D1450" s="6" t="n">
        <v>15</v>
      </c>
      <c r="E1450" s="6" t="n">
        <v>1</v>
      </c>
      <c r="F1450" s="6" t="s">
        <v>4309</v>
      </c>
      <c r="G1450" s="28" t="str">
        <f aca="false">IFERROR(INDEX('Semrush Data'!$A$1:$Z$20000,MATCH(A1450,'Semrush Data'!$A$1:$A$20000,0),MATCH("Volume",'Semrush Data'!$A$1:$Z$1,0)),"")</f>
        <v/>
      </c>
      <c r="H1450" s="6" t="str">
        <f aca="false">IFERROR(INDEX('Semrush Data'!$A$1:$Z$20000,MATCH(A1450,'Semrush Data'!$A$1:$A$20000,0),MATCH("Keyword Difficulty*",'Semrush Data'!$A$1:$Z$1,0)),"")</f>
        <v/>
      </c>
      <c r="I1450" s="29" t="str">
        <f aca="false">IFERROR(INDEX('Semrush Data'!$A$1:$Z$20000,MATCH(A1450,'Semrush Data'!$A$1:$A$20000,0),MATCH("CPC*",'Semrush Data'!$A$1:$Z$1,0)),"")</f>
        <v/>
      </c>
      <c r="J1450" s="6" t="str">
        <f aca="false">IFERROR(INDEX('Semrush Data'!$A$1:$Z$20000,MATCH(A1450,'Semrush Data'!$A$1:$A$20000,0),MATCH("Intent",'Semrush Data'!$A$1:$Z$1,0)),"")</f>
        <v/>
      </c>
    </row>
    <row r="1451" customFormat="false" ht="15" hidden="false" customHeight="true" outlineLevel="0" collapsed="false">
      <c r="A1451" s="6" t="s">
        <v>4326</v>
      </c>
      <c r="B1451" s="6" t="s">
        <v>6869</v>
      </c>
      <c r="C1451" s="6" t="n">
        <v>2</v>
      </c>
      <c r="D1451" s="6" t="n">
        <v>15</v>
      </c>
      <c r="E1451" s="6" t="n">
        <v>1</v>
      </c>
      <c r="F1451" s="6" t="s">
        <v>4320</v>
      </c>
      <c r="G1451" s="28" t="str">
        <f aca="false">IFERROR(INDEX('Semrush Data'!$A$1:$Z$20000,MATCH(A1451,'Semrush Data'!$A$1:$A$20000,0),MATCH("Volume",'Semrush Data'!$A$1:$Z$1,0)),"")</f>
        <v/>
      </c>
      <c r="H1451" s="6" t="str">
        <f aca="false">IFERROR(INDEX('Semrush Data'!$A$1:$Z$20000,MATCH(A1451,'Semrush Data'!$A$1:$A$20000,0),MATCH("Keyword Difficulty*",'Semrush Data'!$A$1:$Z$1,0)),"")</f>
        <v/>
      </c>
      <c r="I1451" s="29" t="str">
        <f aca="false">IFERROR(INDEX('Semrush Data'!$A$1:$Z$20000,MATCH(A1451,'Semrush Data'!$A$1:$A$20000,0),MATCH("CPC*",'Semrush Data'!$A$1:$Z$1,0)),"")</f>
        <v/>
      </c>
      <c r="J1451" s="6" t="str">
        <f aca="false">IFERROR(INDEX('Semrush Data'!$A$1:$Z$20000,MATCH(A1451,'Semrush Data'!$A$1:$A$20000,0),MATCH("Intent",'Semrush Data'!$A$1:$Z$1,0)),"")</f>
        <v/>
      </c>
    </row>
    <row r="1452" customFormat="false" ht="15" hidden="false" customHeight="true" outlineLevel="0" collapsed="false">
      <c r="A1452" s="6" t="s">
        <v>4335</v>
      </c>
      <c r="B1452" s="6" t="s">
        <v>6869</v>
      </c>
      <c r="C1452" s="6" t="n">
        <v>2</v>
      </c>
      <c r="D1452" s="6" t="s">
        <v>6867</v>
      </c>
      <c r="E1452" s="6" t="n">
        <v>1</v>
      </c>
      <c r="F1452" s="6" t="s">
        <v>83</v>
      </c>
      <c r="G1452" s="28" t="n">
        <f aca="false">IFERROR(INDEX('Semrush Data'!$A$1:$Z$20000,MATCH(A1452,'Semrush Data'!$A$1:$A$20000,0),MATCH("Volume",'Semrush Data'!$A$1:$Z$1,0)),"")</f>
        <v>0</v>
      </c>
      <c r="H1452" s="6" t="n">
        <f aca="false">IFERROR(INDEX('Semrush Data'!$A$1:$Z$20000,MATCH(A1452,'Semrush Data'!$A$1:$A$20000,0),MATCH("Keyword Difficulty*",'Semrush Data'!$A$1:$Z$1,0)),"")</f>
        <v>28</v>
      </c>
      <c r="I1452" s="29" t="n">
        <f aca="false">IFERROR(INDEX('Semrush Data'!$A$1:$Z$20000,MATCH(A1452,'Semrush Data'!$A$1:$A$20000,0),MATCH("CPC*",'Semrush Data'!$A$1:$Z$1,0)),"")</f>
        <v>0</v>
      </c>
      <c r="J1452" s="6" t="str">
        <f aca="false">IFERROR(INDEX('Semrush Data'!$A$1:$Z$20000,MATCH(A1452,'Semrush Data'!$A$1:$A$20000,0),MATCH("Intent",'Semrush Data'!$A$1:$Z$1,0)),"")</f>
        <v>Informational</v>
      </c>
    </row>
    <row r="1453" customFormat="false" ht="15" hidden="false" customHeight="true" outlineLevel="0" collapsed="false">
      <c r="A1453" s="6" t="s">
        <v>4347</v>
      </c>
      <c r="B1453" s="6" t="s">
        <v>6869</v>
      </c>
      <c r="C1453" s="6" t="n">
        <v>2</v>
      </c>
      <c r="D1453" s="6" t="n">
        <v>15</v>
      </c>
      <c r="E1453" s="6" t="n">
        <v>1</v>
      </c>
      <c r="F1453" s="6" t="s">
        <v>4341</v>
      </c>
      <c r="G1453" s="28" t="str">
        <f aca="false">IFERROR(INDEX('Semrush Data'!$A$1:$Z$20000,MATCH(A1453,'Semrush Data'!$A$1:$A$20000,0),MATCH("Volume",'Semrush Data'!$A$1:$Z$1,0)),"")</f>
        <v/>
      </c>
      <c r="H1453" s="6" t="str">
        <f aca="false">IFERROR(INDEX('Semrush Data'!$A$1:$Z$20000,MATCH(A1453,'Semrush Data'!$A$1:$A$20000,0),MATCH("Keyword Difficulty*",'Semrush Data'!$A$1:$Z$1,0)),"")</f>
        <v/>
      </c>
      <c r="I1453" s="29" t="str">
        <f aca="false">IFERROR(INDEX('Semrush Data'!$A$1:$Z$20000,MATCH(A1453,'Semrush Data'!$A$1:$A$20000,0),MATCH("CPC*",'Semrush Data'!$A$1:$Z$1,0)),"")</f>
        <v/>
      </c>
      <c r="J1453" s="6" t="str">
        <f aca="false">IFERROR(INDEX('Semrush Data'!$A$1:$Z$20000,MATCH(A1453,'Semrush Data'!$A$1:$A$20000,0),MATCH("Intent",'Semrush Data'!$A$1:$Z$1,0)),"")</f>
        <v/>
      </c>
    </row>
    <row r="1454" customFormat="false" ht="15" hidden="false" customHeight="true" outlineLevel="0" collapsed="false">
      <c r="A1454" s="6" t="s">
        <v>4358</v>
      </c>
      <c r="B1454" s="6" t="s">
        <v>6869</v>
      </c>
      <c r="C1454" s="6" t="n">
        <v>2</v>
      </c>
      <c r="D1454" s="6" t="n">
        <v>15</v>
      </c>
      <c r="E1454" s="6" t="n">
        <v>1</v>
      </c>
      <c r="F1454" s="6" t="s">
        <v>4352</v>
      </c>
      <c r="G1454" s="28" t="str">
        <f aca="false">IFERROR(INDEX('Semrush Data'!$A$1:$Z$20000,MATCH(A1454,'Semrush Data'!$A$1:$A$20000,0),MATCH("Volume",'Semrush Data'!$A$1:$Z$1,0)),"")</f>
        <v/>
      </c>
      <c r="H1454" s="6" t="str">
        <f aca="false">IFERROR(INDEX('Semrush Data'!$A$1:$Z$20000,MATCH(A1454,'Semrush Data'!$A$1:$A$20000,0),MATCH("Keyword Difficulty*",'Semrush Data'!$A$1:$Z$1,0)),"")</f>
        <v/>
      </c>
      <c r="I1454" s="29" t="str">
        <f aca="false">IFERROR(INDEX('Semrush Data'!$A$1:$Z$20000,MATCH(A1454,'Semrush Data'!$A$1:$A$20000,0),MATCH("CPC*",'Semrush Data'!$A$1:$Z$1,0)),"")</f>
        <v/>
      </c>
      <c r="J1454" s="6" t="str">
        <f aca="false">IFERROR(INDEX('Semrush Data'!$A$1:$Z$20000,MATCH(A1454,'Semrush Data'!$A$1:$A$20000,0),MATCH("Intent",'Semrush Data'!$A$1:$Z$1,0)),"")</f>
        <v/>
      </c>
    </row>
    <row r="1455" customFormat="false" ht="15" hidden="false" customHeight="true" outlineLevel="0" collapsed="false">
      <c r="A1455" s="6" t="s">
        <v>4369</v>
      </c>
      <c r="B1455" s="6" t="s">
        <v>6869</v>
      </c>
      <c r="C1455" s="6" t="n">
        <v>2</v>
      </c>
      <c r="D1455" s="6" t="n">
        <v>15</v>
      </c>
      <c r="E1455" s="6" t="n">
        <v>1</v>
      </c>
      <c r="F1455" s="6" t="s">
        <v>4363</v>
      </c>
      <c r="G1455" s="28" t="str">
        <f aca="false">IFERROR(INDEX('Semrush Data'!$A$1:$Z$20000,MATCH(A1455,'Semrush Data'!$A$1:$A$20000,0),MATCH("Volume",'Semrush Data'!$A$1:$Z$1,0)),"")</f>
        <v/>
      </c>
      <c r="H1455" s="6" t="str">
        <f aca="false">IFERROR(INDEX('Semrush Data'!$A$1:$Z$20000,MATCH(A1455,'Semrush Data'!$A$1:$A$20000,0),MATCH("Keyword Difficulty*",'Semrush Data'!$A$1:$Z$1,0)),"")</f>
        <v/>
      </c>
      <c r="I1455" s="29" t="str">
        <f aca="false">IFERROR(INDEX('Semrush Data'!$A$1:$Z$20000,MATCH(A1455,'Semrush Data'!$A$1:$A$20000,0),MATCH("CPC*",'Semrush Data'!$A$1:$Z$1,0)),"")</f>
        <v/>
      </c>
      <c r="J1455" s="6" t="str">
        <f aca="false">IFERROR(INDEX('Semrush Data'!$A$1:$Z$20000,MATCH(A1455,'Semrush Data'!$A$1:$A$20000,0),MATCH("Intent",'Semrush Data'!$A$1:$Z$1,0)),"")</f>
        <v/>
      </c>
    </row>
    <row r="1456" customFormat="false" ht="15" hidden="false" customHeight="true" outlineLevel="0" collapsed="false">
      <c r="A1456" s="6" t="s">
        <v>4380</v>
      </c>
      <c r="B1456" s="6" t="s">
        <v>6869</v>
      </c>
      <c r="C1456" s="6" t="n">
        <v>2</v>
      </c>
      <c r="D1456" s="6" t="s">
        <v>6867</v>
      </c>
      <c r="E1456" s="6" t="n">
        <v>1</v>
      </c>
      <c r="F1456" s="6" t="s">
        <v>4374</v>
      </c>
      <c r="G1456" s="28" t="n">
        <f aca="false">IFERROR(INDEX('Semrush Data'!$A$1:$Z$20000,MATCH(A1456,'Semrush Data'!$A$1:$A$20000,0),MATCH("Volume",'Semrush Data'!$A$1:$Z$1,0)),"")</f>
        <v>0</v>
      </c>
      <c r="H1456" s="6" t="n">
        <f aca="false">IFERROR(INDEX('Semrush Data'!$A$1:$Z$20000,MATCH(A1456,'Semrush Data'!$A$1:$A$20000,0),MATCH("Keyword Difficulty*",'Semrush Data'!$A$1:$Z$1,0)),"")</f>
        <v>22</v>
      </c>
      <c r="I1456" s="29" t="n">
        <f aca="false">IFERROR(INDEX('Semrush Data'!$A$1:$Z$20000,MATCH(A1456,'Semrush Data'!$A$1:$A$20000,0),MATCH("CPC*",'Semrush Data'!$A$1:$Z$1,0)),"")</f>
        <v>0</v>
      </c>
      <c r="J1456" s="6" t="str">
        <f aca="false">IFERROR(INDEX('Semrush Data'!$A$1:$Z$20000,MATCH(A1456,'Semrush Data'!$A$1:$A$20000,0),MATCH("Intent",'Semrush Data'!$A$1:$Z$1,0)),"")</f>
        <v>Informational</v>
      </c>
    </row>
    <row r="1457" customFormat="false" ht="15" hidden="false" customHeight="true" outlineLevel="0" collapsed="false">
      <c r="A1457" s="6" t="s">
        <v>4391</v>
      </c>
      <c r="B1457" s="6" t="s">
        <v>6869</v>
      </c>
      <c r="C1457" s="6" t="n">
        <v>2</v>
      </c>
      <c r="D1457" s="6" t="s">
        <v>6868</v>
      </c>
      <c r="E1457" s="6" t="n">
        <v>1</v>
      </c>
      <c r="F1457" s="6" t="s">
        <v>4385</v>
      </c>
      <c r="G1457" s="28" t="n">
        <f aca="false">IFERROR(INDEX('Semrush Data'!$A$1:$Z$20000,MATCH(A1457,'Semrush Data'!$A$1:$A$20000,0),MATCH("Volume",'Semrush Data'!$A$1:$Z$1,0)),"")</f>
        <v>0</v>
      </c>
      <c r="H1457" s="6" t="n">
        <f aca="false">IFERROR(INDEX('Semrush Data'!$A$1:$Z$20000,MATCH(A1457,'Semrush Data'!$A$1:$A$20000,0),MATCH("Keyword Difficulty*",'Semrush Data'!$A$1:$Z$1,0)),"")</f>
        <v>16</v>
      </c>
      <c r="I1457" s="29" t="n">
        <f aca="false">IFERROR(INDEX('Semrush Data'!$A$1:$Z$20000,MATCH(A1457,'Semrush Data'!$A$1:$A$20000,0),MATCH("CPC*",'Semrush Data'!$A$1:$Z$1,0)),"")</f>
        <v>0</v>
      </c>
      <c r="J1457" s="6" t="str">
        <f aca="false">IFERROR(INDEX('Semrush Data'!$A$1:$Z$20000,MATCH(A1457,'Semrush Data'!$A$1:$A$20000,0),MATCH("Intent",'Semrush Data'!$A$1:$Z$1,0)),"")</f>
        <v>Informational Transactional</v>
      </c>
    </row>
    <row r="1458" customFormat="false" ht="15" hidden="false" customHeight="true" outlineLevel="0" collapsed="false">
      <c r="A1458" s="6" t="s">
        <v>4403</v>
      </c>
      <c r="B1458" s="6" t="s">
        <v>6869</v>
      </c>
      <c r="C1458" s="6" t="n">
        <v>2</v>
      </c>
      <c r="D1458" s="6" t="s">
        <v>6868</v>
      </c>
      <c r="E1458" s="6" t="n">
        <v>1</v>
      </c>
      <c r="F1458" s="6" t="s">
        <v>4397</v>
      </c>
      <c r="G1458" s="28" t="n">
        <f aca="false">IFERROR(INDEX('Semrush Data'!$A$1:$Z$20000,MATCH(A1458,'Semrush Data'!$A$1:$A$20000,0),MATCH("Volume",'Semrush Data'!$A$1:$Z$1,0)),"")</f>
        <v>0</v>
      </c>
      <c r="H1458" s="6" t="n">
        <f aca="false">IFERROR(INDEX('Semrush Data'!$A$1:$Z$20000,MATCH(A1458,'Semrush Data'!$A$1:$A$20000,0),MATCH("Keyword Difficulty*",'Semrush Data'!$A$1:$Z$1,0)),"")</f>
        <v>22</v>
      </c>
      <c r="I1458" s="29" t="n">
        <f aca="false">IFERROR(INDEX('Semrush Data'!$A$1:$Z$20000,MATCH(A1458,'Semrush Data'!$A$1:$A$20000,0),MATCH("CPC*",'Semrush Data'!$A$1:$Z$1,0)),"")</f>
        <v>0</v>
      </c>
      <c r="J1458" s="6" t="str">
        <f aca="false">IFERROR(INDEX('Semrush Data'!$A$1:$Z$20000,MATCH(A1458,'Semrush Data'!$A$1:$A$20000,0),MATCH("Intent",'Semrush Data'!$A$1:$Z$1,0)),"")</f>
        <v>Informational</v>
      </c>
    </row>
    <row r="1459" customFormat="false" ht="15" hidden="false" customHeight="true" outlineLevel="0" collapsed="false">
      <c r="A1459" s="6" t="s">
        <v>4414</v>
      </c>
      <c r="B1459" s="6" t="s">
        <v>6869</v>
      </c>
      <c r="C1459" s="6" t="n">
        <v>2</v>
      </c>
      <c r="D1459" s="6" t="s">
        <v>6868</v>
      </c>
      <c r="E1459" s="6" t="n">
        <v>1</v>
      </c>
      <c r="F1459" s="6" t="s">
        <v>4408</v>
      </c>
      <c r="G1459" s="28" t="n">
        <f aca="false">IFERROR(INDEX('Semrush Data'!$A$1:$Z$20000,MATCH(A1459,'Semrush Data'!$A$1:$A$20000,0),MATCH("Volume",'Semrush Data'!$A$1:$Z$1,0)),"")</f>
        <v>0</v>
      </c>
      <c r="H1459" s="6" t="n">
        <f aca="false">IFERROR(INDEX('Semrush Data'!$A$1:$Z$20000,MATCH(A1459,'Semrush Data'!$A$1:$A$20000,0),MATCH("Keyword Difficulty*",'Semrush Data'!$A$1:$Z$1,0)),"")</f>
        <v>17</v>
      </c>
      <c r="I1459" s="29" t="n">
        <f aca="false">IFERROR(INDEX('Semrush Data'!$A$1:$Z$20000,MATCH(A1459,'Semrush Data'!$A$1:$A$20000,0),MATCH("CPC*",'Semrush Data'!$A$1:$Z$1,0)),"")</f>
        <v>0</v>
      </c>
      <c r="J1459" s="6" t="str">
        <f aca="false">IFERROR(INDEX('Semrush Data'!$A$1:$Z$20000,MATCH(A1459,'Semrush Data'!$A$1:$A$20000,0),MATCH("Intent",'Semrush Data'!$A$1:$Z$1,0)),"")</f>
        <v>Informational</v>
      </c>
    </row>
    <row r="1460" customFormat="false" ht="15" hidden="false" customHeight="true" outlineLevel="0" collapsed="false">
      <c r="A1460" s="6" t="s">
        <v>4425</v>
      </c>
      <c r="B1460" s="6" t="s">
        <v>6869</v>
      </c>
      <c r="C1460" s="6" t="n">
        <v>2</v>
      </c>
      <c r="D1460" s="6" t="n">
        <v>15</v>
      </c>
      <c r="E1460" s="6" t="n">
        <v>1</v>
      </c>
      <c r="F1460" s="6" t="s">
        <v>4419</v>
      </c>
      <c r="G1460" s="28" t="str">
        <f aca="false">IFERROR(INDEX('Semrush Data'!$A$1:$Z$20000,MATCH(A1460,'Semrush Data'!$A$1:$A$20000,0),MATCH("Volume",'Semrush Data'!$A$1:$Z$1,0)),"")</f>
        <v/>
      </c>
      <c r="H1460" s="6" t="str">
        <f aca="false">IFERROR(INDEX('Semrush Data'!$A$1:$Z$20000,MATCH(A1460,'Semrush Data'!$A$1:$A$20000,0),MATCH("Keyword Difficulty*",'Semrush Data'!$A$1:$Z$1,0)),"")</f>
        <v/>
      </c>
      <c r="I1460" s="29" t="str">
        <f aca="false">IFERROR(INDEX('Semrush Data'!$A$1:$Z$20000,MATCH(A1460,'Semrush Data'!$A$1:$A$20000,0),MATCH("CPC*",'Semrush Data'!$A$1:$Z$1,0)),"")</f>
        <v/>
      </c>
      <c r="J1460" s="6" t="str">
        <f aca="false">IFERROR(INDEX('Semrush Data'!$A$1:$Z$20000,MATCH(A1460,'Semrush Data'!$A$1:$A$20000,0),MATCH("Intent",'Semrush Data'!$A$1:$Z$1,0)),"")</f>
        <v/>
      </c>
    </row>
    <row r="1461" customFormat="false" ht="15" hidden="false" customHeight="true" outlineLevel="0" collapsed="false">
      <c r="A1461" s="6" t="s">
        <v>4434</v>
      </c>
      <c r="B1461" s="6" t="s">
        <v>6869</v>
      </c>
      <c r="C1461" s="6" t="n">
        <v>2</v>
      </c>
      <c r="D1461" s="6" t="s">
        <v>6867</v>
      </c>
      <c r="E1461" s="6" t="n">
        <v>1</v>
      </c>
      <c r="F1461" s="6" t="s">
        <v>99</v>
      </c>
      <c r="G1461" s="28" t="n">
        <f aca="false">IFERROR(INDEX('Semrush Data'!$A$1:$Z$20000,MATCH(A1461,'Semrush Data'!$A$1:$A$20000,0),MATCH("Volume",'Semrush Data'!$A$1:$Z$1,0)),"")</f>
        <v>0</v>
      </c>
      <c r="H1461" s="6" t="n">
        <f aca="false">IFERROR(INDEX('Semrush Data'!$A$1:$Z$20000,MATCH(A1461,'Semrush Data'!$A$1:$A$20000,0),MATCH("Keyword Difficulty*",'Semrush Data'!$A$1:$Z$1,0)),"")</f>
        <v>20</v>
      </c>
      <c r="I1461" s="29" t="n">
        <f aca="false">IFERROR(INDEX('Semrush Data'!$A$1:$Z$20000,MATCH(A1461,'Semrush Data'!$A$1:$A$20000,0),MATCH("CPC*",'Semrush Data'!$A$1:$Z$1,0)),"")</f>
        <v>0</v>
      </c>
      <c r="J1461" s="6" t="str">
        <f aca="false">IFERROR(INDEX('Semrush Data'!$A$1:$Z$20000,MATCH(A1461,'Semrush Data'!$A$1:$A$20000,0),MATCH("Intent",'Semrush Data'!$A$1:$Z$1,0)),"")</f>
        <v>Informational</v>
      </c>
    </row>
    <row r="1462" customFormat="false" ht="15" hidden="false" customHeight="true" outlineLevel="0" collapsed="false">
      <c r="A1462" s="6" t="s">
        <v>4445</v>
      </c>
      <c r="B1462" s="6" t="s">
        <v>6869</v>
      </c>
      <c r="C1462" s="6" t="n">
        <v>2</v>
      </c>
      <c r="D1462" s="6" t="s">
        <v>6868</v>
      </c>
      <c r="E1462" s="6" t="n">
        <v>1</v>
      </c>
      <c r="F1462" s="6" t="s">
        <v>4439</v>
      </c>
      <c r="G1462" s="28" t="n">
        <f aca="false">IFERROR(INDEX('Semrush Data'!$A$1:$Z$20000,MATCH(A1462,'Semrush Data'!$A$1:$A$20000,0),MATCH("Volume",'Semrush Data'!$A$1:$Z$1,0)),"")</f>
        <v>0</v>
      </c>
      <c r="H1462" s="6" t="n">
        <f aca="false">IFERROR(INDEX('Semrush Data'!$A$1:$Z$20000,MATCH(A1462,'Semrush Data'!$A$1:$A$20000,0),MATCH("Keyword Difficulty*",'Semrush Data'!$A$1:$Z$1,0)),"")</f>
        <v>24</v>
      </c>
      <c r="I1462" s="29" t="n">
        <f aca="false">IFERROR(INDEX('Semrush Data'!$A$1:$Z$20000,MATCH(A1462,'Semrush Data'!$A$1:$A$20000,0),MATCH("CPC*",'Semrush Data'!$A$1:$Z$1,0)),"")</f>
        <v>0</v>
      </c>
      <c r="J1462" s="6" t="str">
        <f aca="false">IFERROR(INDEX('Semrush Data'!$A$1:$Z$20000,MATCH(A1462,'Semrush Data'!$A$1:$A$20000,0),MATCH("Intent",'Semrush Data'!$A$1:$Z$1,0)),"")</f>
        <v>Informational Transactional</v>
      </c>
    </row>
    <row r="1463" customFormat="false" ht="15" hidden="false" customHeight="true" outlineLevel="0" collapsed="false">
      <c r="A1463" s="6" t="s">
        <v>4456</v>
      </c>
      <c r="B1463" s="6" t="s">
        <v>6869</v>
      </c>
      <c r="C1463" s="6" t="n">
        <v>2</v>
      </c>
      <c r="D1463" s="6" t="n">
        <v>15</v>
      </c>
      <c r="E1463" s="6" t="n">
        <v>1</v>
      </c>
      <c r="F1463" s="6" t="s">
        <v>4450</v>
      </c>
      <c r="G1463" s="28" t="str">
        <f aca="false">IFERROR(INDEX('Semrush Data'!$A$1:$Z$20000,MATCH(A1463,'Semrush Data'!$A$1:$A$20000,0),MATCH("Volume",'Semrush Data'!$A$1:$Z$1,0)),"")</f>
        <v/>
      </c>
      <c r="H1463" s="6" t="str">
        <f aca="false">IFERROR(INDEX('Semrush Data'!$A$1:$Z$20000,MATCH(A1463,'Semrush Data'!$A$1:$A$20000,0),MATCH("Keyword Difficulty*",'Semrush Data'!$A$1:$Z$1,0)),"")</f>
        <v/>
      </c>
      <c r="I1463" s="29" t="str">
        <f aca="false">IFERROR(INDEX('Semrush Data'!$A$1:$Z$20000,MATCH(A1463,'Semrush Data'!$A$1:$A$20000,0),MATCH("CPC*",'Semrush Data'!$A$1:$Z$1,0)),"")</f>
        <v/>
      </c>
      <c r="J1463" s="6" t="str">
        <f aca="false">IFERROR(INDEX('Semrush Data'!$A$1:$Z$20000,MATCH(A1463,'Semrush Data'!$A$1:$A$20000,0),MATCH("Intent",'Semrush Data'!$A$1:$Z$1,0)),"")</f>
        <v/>
      </c>
    </row>
    <row r="1464" customFormat="false" ht="15" hidden="false" customHeight="true" outlineLevel="0" collapsed="false">
      <c r="A1464" s="6" t="s">
        <v>4632</v>
      </c>
      <c r="B1464" s="6" t="s">
        <v>6869</v>
      </c>
      <c r="C1464" s="6" t="n">
        <v>2</v>
      </c>
      <c r="D1464" s="6" t="n">
        <v>15</v>
      </c>
      <c r="E1464" s="6" t="n">
        <v>1</v>
      </c>
      <c r="F1464" s="6" t="s">
        <v>4625</v>
      </c>
      <c r="G1464" s="28" t="str">
        <f aca="false">IFERROR(INDEX('Semrush Data'!$A$1:$Z$20000,MATCH(A1464,'Semrush Data'!$A$1:$A$20000,0),MATCH("Volume",'Semrush Data'!$A$1:$Z$1,0)),"")</f>
        <v/>
      </c>
      <c r="H1464" s="6" t="str">
        <f aca="false">IFERROR(INDEX('Semrush Data'!$A$1:$Z$20000,MATCH(A1464,'Semrush Data'!$A$1:$A$20000,0),MATCH("Keyword Difficulty*",'Semrush Data'!$A$1:$Z$1,0)),"")</f>
        <v/>
      </c>
      <c r="I1464" s="29" t="str">
        <f aca="false">IFERROR(INDEX('Semrush Data'!$A$1:$Z$20000,MATCH(A1464,'Semrush Data'!$A$1:$A$20000,0),MATCH("CPC*",'Semrush Data'!$A$1:$Z$1,0)),"")</f>
        <v/>
      </c>
      <c r="J1464" s="6" t="str">
        <f aca="false">IFERROR(INDEX('Semrush Data'!$A$1:$Z$20000,MATCH(A1464,'Semrush Data'!$A$1:$A$20000,0),MATCH("Intent",'Semrush Data'!$A$1:$Z$1,0)),"")</f>
        <v/>
      </c>
    </row>
    <row r="1465" customFormat="false" ht="15" hidden="false" customHeight="true" outlineLevel="0" collapsed="false">
      <c r="A1465" s="6" t="s">
        <v>4644</v>
      </c>
      <c r="B1465" s="6" t="s">
        <v>6869</v>
      </c>
      <c r="C1465" s="6" t="n">
        <v>2</v>
      </c>
      <c r="D1465" s="6" t="n">
        <v>15</v>
      </c>
      <c r="E1465" s="6" t="n">
        <v>1</v>
      </c>
      <c r="F1465" s="6" t="s">
        <v>4637</v>
      </c>
      <c r="G1465" s="28" t="str">
        <f aca="false">IFERROR(INDEX('Semrush Data'!$A$1:$Z$20000,MATCH(A1465,'Semrush Data'!$A$1:$A$20000,0),MATCH("Volume",'Semrush Data'!$A$1:$Z$1,0)),"")</f>
        <v/>
      </c>
      <c r="H1465" s="6" t="str">
        <f aca="false">IFERROR(INDEX('Semrush Data'!$A$1:$Z$20000,MATCH(A1465,'Semrush Data'!$A$1:$A$20000,0),MATCH("Keyword Difficulty*",'Semrush Data'!$A$1:$Z$1,0)),"")</f>
        <v/>
      </c>
      <c r="I1465" s="29" t="str">
        <f aca="false">IFERROR(INDEX('Semrush Data'!$A$1:$Z$20000,MATCH(A1465,'Semrush Data'!$A$1:$A$20000,0),MATCH("CPC*",'Semrush Data'!$A$1:$Z$1,0)),"")</f>
        <v/>
      </c>
      <c r="J1465" s="6" t="str">
        <f aca="false">IFERROR(INDEX('Semrush Data'!$A$1:$Z$20000,MATCH(A1465,'Semrush Data'!$A$1:$A$20000,0),MATCH("Intent",'Semrush Data'!$A$1:$Z$1,0)),"")</f>
        <v/>
      </c>
    </row>
    <row r="1466" customFormat="false" ht="15" hidden="false" customHeight="true" outlineLevel="0" collapsed="false">
      <c r="A1466" s="6" t="s">
        <v>4655</v>
      </c>
      <c r="B1466" s="6" t="s">
        <v>6869</v>
      </c>
      <c r="C1466" s="6" t="n">
        <v>2</v>
      </c>
      <c r="D1466" s="6" t="s">
        <v>6867</v>
      </c>
      <c r="E1466" s="6" t="n">
        <v>1</v>
      </c>
      <c r="F1466" s="6" t="s">
        <v>115</v>
      </c>
      <c r="G1466" s="28" t="n">
        <f aca="false">IFERROR(INDEX('Semrush Data'!$A$1:$Z$20000,MATCH(A1466,'Semrush Data'!$A$1:$A$20000,0),MATCH("Volume",'Semrush Data'!$A$1:$Z$1,0)),"")</f>
        <v>40</v>
      </c>
      <c r="H1466" s="6" t="n">
        <f aca="false">IFERROR(INDEX('Semrush Data'!$A$1:$Z$20000,MATCH(A1466,'Semrush Data'!$A$1:$A$20000,0),MATCH("Keyword Difficulty*",'Semrush Data'!$A$1:$Z$1,0)),"")</f>
        <v>24</v>
      </c>
      <c r="I1466" s="29" t="n">
        <f aca="false">IFERROR(INDEX('Semrush Data'!$A$1:$Z$20000,MATCH(A1466,'Semrush Data'!$A$1:$A$20000,0),MATCH("CPC*",'Semrush Data'!$A$1:$Z$1,0)),"")</f>
        <v>0.63</v>
      </c>
      <c r="J1466" s="6" t="str">
        <f aca="false">IFERROR(INDEX('Semrush Data'!$A$1:$Z$20000,MATCH(A1466,'Semrush Data'!$A$1:$A$20000,0),MATCH("Intent",'Semrush Data'!$A$1:$Z$1,0)),"")</f>
        <v>Informational</v>
      </c>
    </row>
    <row r="1467" customFormat="false" ht="15" hidden="false" customHeight="true" outlineLevel="0" collapsed="false">
      <c r="A1467" s="6" t="s">
        <v>4667</v>
      </c>
      <c r="B1467" s="6" t="s">
        <v>6869</v>
      </c>
      <c r="C1467" s="6" t="n">
        <v>2</v>
      </c>
      <c r="D1467" s="6" t="n">
        <v>15</v>
      </c>
      <c r="E1467" s="6" t="n">
        <v>1</v>
      </c>
      <c r="F1467" s="6" t="s">
        <v>4661</v>
      </c>
      <c r="G1467" s="28" t="str">
        <f aca="false">IFERROR(INDEX('Semrush Data'!$A$1:$Z$20000,MATCH(A1467,'Semrush Data'!$A$1:$A$20000,0),MATCH("Volume",'Semrush Data'!$A$1:$Z$1,0)),"")</f>
        <v/>
      </c>
      <c r="H1467" s="6" t="str">
        <f aca="false">IFERROR(INDEX('Semrush Data'!$A$1:$Z$20000,MATCH(A1467,'Semrush Data'!$A$1:$A$20000,0),MATCH("Keyword Difficulty*",'Semrush Data'!$A$1:$Z$1,0)),"")</f>
        <v/>
      </c>
      <c r="I1467" s="29" t="str">
        <f aca="false">IFERROR(INDEX('Semrush Data'!$A$1:$Z$20000,MATCH(A1467,'Semrush Data'!$A$1:$A$20000,0),MATCH("CPC*",'Semrush Data'!$A$1:$Z$1,0)),"")</f>
        <v/>
      </c>
      <c r="J1467" s="6" t="str">
        <f aca="false">IFERROR(INDEX('Semrush Data'!$A$1:$Z$20000,MATCH(A1467,'Semrush Data'!$A$1:$A$20000,0),MATCH("Intent",'Semrush Data'!$A$1:$Z$1,0)),"")</f>
        <v/>
      </c>
    </row>
    <row r="1468" customFormat="false" ht="15" hidden="false" customHeight="true" outlineLevel="0" collapsed="false">
      <c r="A1468" s="6" t="s">
        <v>4731</v>
      </c>
      <c r="B1468" s="6" t="s">
        <v>6869</v>
      </c>
      <c r="C1468" s="6" t="n">
        <v>2</v>
      </c>
      <c r="D1468" s="6" t="n">
        <v>15</v>
      </c>
      <c r="E1468" s="6" t="n">
        <v>1</v>
      </c>
      <c r="F1468" s="6" t="s">
        <v>4725</v>
      </c>
      <c r="G1468" s="28" t="str">
        <f aca="false">IFERROR(INDEX('Semrush Data'!$A$1:$Z$20000,MATCH(A1468,'Semrush Data'!$A$1:$A$20000,0),MATCH("Volume",'Semrush Data'!$A$1:$Z$1,0)),"")</f>
        <v/>
      </c>
      <c r="H1468" s="6" t="str">
        <f aca="false">IFERROR(INDEX('Semrush Data'!$A$1:$Z$20000,MATCH(A1468,'Semrush Data'!$A$1:$A$20000,0),MATCH("Keyword Difficulty*",'Semrush Data'!$A$1:$Z$1,0)),"")</f>
        <v/>
      </c>
      <c r="I1468" s="29" t="str">
        <f aca="false">IFERROR(INDEX('Semrush Data'!$A$1:$Z$20000,MATCH(A1468,'Semrush Data'!$A$1:$A$20000,0),MATCH("CPC*",'Semrush Data'!$A$1:$Z$1,0)),"")</f>
        <v/>
      </c>
      <c r="J1468" s="6" t="str">
        <f aca="false">IFERROR(INDEX('Semrush Data'!$A$1:$Z$20000,MATCH(A1468,'Semrush Data'!$A$1:$A$20000,0),MATCH("Intent",'Semrush Data'!$A$1:$Z$1,0)),"")</f>
        <v/>
      </c>
    </row>
    <row r="1469" customFormat="false" ht="15" hidden="false" customHeight="true" outlineLevel="0" collapsed="false">
      <c r="A1469" s="6" t="s">
        <v>4804</v>
      </c>
      <c r="B1469" s="6" t="s">
        <v>6869</v>
      </c>
      <c r="C1469" s="6" t="n">
        <v>2</v>
      </c>
      <c r="D1469" s="6" t="n">
        <v>15</v>
      </c>
      <c r="E1469" s="6" t="n">
        <v>1</v>
      </c>
      <c r="F1469" s="6" t="s">
        <v>4798</v>
      </c>
      <c r="G1469" s="28" t="str">
        <f aca="false">IFERROR(INDEX('Semrush Data'!$A$1:$Z$20000,MATCH(A1469,'Semrush Data'!$A$1:$A$20000,0),MATCH("Volume",'Semrush Data'!$A$1:$Z$1,0)),"")</f>
        <v/>
      </c>
      <c r="H1469" s="6" t="str">
        <f aca="false">IFERROR(INDEX('Semrush Data'!$A$1:$Z$20000,MATCH(A1469,'Semrush Data'!$A$1:$A$20000,0),MATCH("Keyword Difficulty*",'Semrush Data'!$A$1:$Z$1,0)),"")</f>
        <v/>
      </c>
      <c r="I1469" s="29" t="str">
        <f aca="false">IFERROR(INDEX('Semrush Data'!$A$1:$Z$20000,MATCH(A1469,'Semrush Data'!$A$1:$A$20000,0),MATCH("CPC*",'Semrush Data'!$A$1:$Z$1,0)),"")</f>
        <v/>
      </c>
      <c r="J1469" s="6" t="str">
        <f aca="false">IFERROR(INDEX('Semrush Data'!$A$1:$Z$20000,MATCH(A1469,'Semrush Data'!$A$1:$A$20000,0),MATCH("Intent",'Semrush Data'!$A$1:$Z$1,0)),"")</f>
        <v/>
      </c>
    </row>
    <row r="1470" customFormat="false" ht="15" hidden="false" customHeight="true" outlineLevel="0" collapsed="false">
      <c r="A1470" s="6" t="s">
        <v>4680</v>
      </c>
      <c r="B1470" s="6" t="s">
        <v>6869</v>
      </c>
      <c r="C1470" s="6" t="n">
        <v>2</v>
      </c>
      <c r="D1470" s="6" t="n">
        <v>15</v>
      </c>
      <c r="E1470" s="6" t="n">
        <v>1</v>
      </c>
      <c r="F1470" s="6" t="s">
        <v>4673</v>
      </c>
      <c r="G1470" s="28" t="str">
        <f aca="false">IFERROR(INDEX('Semrush Data'!$A$1:$Z$20000,MATCH(A1470,'Semrush Data'!$A$1:$A$20000,0),MATCH("Volume",'Semrush Data'!$A$1:$Z$1,0)),"")</f>
        <v/>
      </c>
      <c r="H1470" s="6" t="str">
        <f aca="false">IFERROR(INDEX('Semrush Data'!$A$1:$Z$20000,MATCH(A1470,'Semrush Data'!$A$1:$A$20000,0),MATCH("Keyword Difficulty*",'Semrush Data'!$A$1:$Z$1,0)),"")</f>
        <v/>
      </c>
      <c r="I1470" s="29" t="str">
        <f aca="false">IFERROR(INDEX('Semrush Data'!$A$1:$Z$20000,MATCH(A1470,'Semrush Data'!$A$1:$A$20000,0),MATCH("CPC*",'Semrush Data'!$A$1:$Z$1,0)),"")</f>
        <v/>
      </c>
      <c r="J1470" s="6" t="str">
        <f aca="false">IFERROR(INDEX('Semrush Data'!$A$1:$Z$20000,MATCH(A1470,'Semrush Data'!$A$1:$A$20000,0),MATCH("Intent",'Semrush Data'!$A$1:$Z$1,0)),"")</f>
        <v/>
      </c>
    </row>
    <row r="1471" customFormat="false" ht="15" hidden="false" customHeight="true" outlineLevel="0" collapsed="false">
      <c r="A1471" s="6" t="s">
        <v>4689</v>
      </c>
      <c r="B1471" s="6" t="s">
        <v>6869</v>
      </c>
      <c r="C1471" s="6" t="n">
        <v>2</v>
      </c>
      <c r="D1471" s="6" t="s">
        <v>6867</v>
      </c>
      <c r="E1471" s="6" t="n">
        <v>1</v>
      </c>
      <c r="F1471" s="6" t="s">
        <v>67</v>
      </c>
      <c r="G1471" s="28" t="n">
        <f aca="false">IFERROR(INDEX('Semrush Data'!$A$1:$Z$20000,MATCH(A1471,'Semrush Data'!$A$1:$A$20000,0),MATCH("Volume",'Semrush Data'!$A$1:$Z$1,0)),"")</f>
        <v>260</v>
      </c>
      <c r="H1471" s="6" t="n">
        <f aca="false">IFERROR(INDEX('Semrush Data'!$A$1:$Z$20000,MATCH(A1471,'Semrush Data'!$A$1:$A$20000,0),MATCH("Keyword Difficulty*",'Semrush Data'!$A$1:$Z$1,0)),"")</f>
        <v>24</v>
      </c>
      <c r="I1471" s="29" t="n">
        <f aca="false">IFERROR(INDEX('Semrush Data'!$A$1:$Z$20000,MATCH(A1471,'Semrush Data'!$A$1:$A$20000,0),MATCH("CPC*",'Semrush Data'!$A$1:$Z$1,0)),"")</f>
        <v>0.54</v>
      </c>
      <c r="J1471" s="6" t="str">
        <f aca="false">IFERROR(INDEX('Semrush Data'!$A$1:$Z$20000,MATCH(A1471,'Semrush Data'!$A$1:$A$20000,0),MATCH("Intent",'Semrush Data'!$A$1:$Z$1,0)),"")</f>
        <v>Informational Navigational</v>
      </c>
    </row>
    <row r="1472" customFormat="false" ht="15" hidden="false" customHeight="true" outlineLevel="0" collapsed="false">
      <c r="A1472" s="6" t="s">
        <v>4700</v>
      </c>
      <c r="B1472" s="6" t="s">
        <v>6869</v>
      </c>
      <c r="C1472" s="6" t="n">
        <v>2</v>
      </c>
      <c r="D1472" s="6" t="n">
        <v>15</v>
      </c>
      <c r="E1472" s="6" t="n">
        <v>1</v>
      </c>
      <c r="F1472" s="6" t="s">
        <v>4694</v>
      </c>
      <c r="G1472" s="28" t="str">
        <f aca="false">IFERROR(INDEX('Semrush Data'!$A$1:$Z$20000,MATCH(A1472,'Semrush Data'!$A$1:$A$20000,0),MATCH("Volume",'Semrush Data'!$A$1:$Z$1,0)),"")</f>
        <v/>
      </c>
      <c r="H1472" s="6" t="str">
        <f aca="false">IFERROR(INDEX('Semrush Data'!$A$1:$Z$20000,MATCH(A1472,'Semrush Data'!$A$1:$A$20000,0),MATCH("Keyword Difficulty*",'Semrush Data'!$A$1:$Z$1,0)),"")</f>
        <v/>
      </c>
      <c r="I1472" s="29" t="str">
        <f aca="false">IFERROR(INDEX('Semrush Data'!$A$1:$Z$20000,MATCH(A1472,'Semrush Data'!$A$1:$A$20000,0),MATCH("CPC*",'Semrush Data'!$A$1:$Z$1,0)),"")</f>
        <v/>
      </c>
      <c r="J1472" s="6" t="str">
        <f aca="false">IFERROR(INDEX('Semrush Data'!$A$1:$Z$20000,MATCH(A1472,'Semrush Data'!$A$1:$A$20000,0),MATCH("Intent",'Semrush Data'!$A$1:$Z$1,0)),"")</f>
        <v/>
      </c>
    </row>
    <row r="1473" customFormat="false" ht="15" hidden="false" customHeight="true" outlineLevel="0" collapsed="false">
      <c r="A1473" s="6" t="s">
        <v>4710</v>
      </c>
      <c r="B1473" s="6" t="s">
        <v>6869</v>
      </c>
      <c r="C1473" s="6" t="n">
        <v>2</v>
      </c>
      <c r="D1473" s="6" t="n">
        <v>15</v>
      </c>
      <c r="E1473" s="6" t="n">
        <v>1</v>
      </c>
      <c r="F1473" s="6" t="s">
        <v>4704</v>
      </c>
      <c r="G1473" s="28" t="str">
        <f aca="false">IFERROR(INDEX('Semrush Data'!$A$1:$Z$20000,MATCH(A1473,'Semrush Data'!$A$1:$A$20000,0),MATCH("Volume",'Semrush Data'!$A$1:$Z$1,0)),"")</f>
        <v/>
      </c>
      <c r="H1473" s="6" t="str">
        <f aca="false">IFERROR(INDEX('Semrush Data'!$A$1:$Z$20000,MATCH(A1473,'Semrush Data'!$A$1:$A$20000,0),MATCH("Keyword Difficulty*",'Semrush Data'!$A$1:$Z$1,0)),"")</f>
        <v/>
      </c>
      <c r="I1473" s="29" t="str">
        <f aca="false">IFERROR(INDEX('Semrush Data'!$A$1:$Z$20000,MATCH(A1473,'Semrush Data'!$A$1:$A$20000,0),MATCH("CPC*",'Semrush Data'!$A$1:$Z$1,0)),"")</f>
        <v/>
      </c>
      <c r="J1473" s="6" t="str">
        <f aca="false">IFERROR(INDEX('Semrush Data'!$A$1:$Z$20000,MATCH(A1473,'Semrush Data'!$A$1:$A$20000,0),MATCH("Intent",'Semrush Data'!$A$1:$Z$1,0)),"")</f>
        <v/>
      </c>
    </row>
    <row r="1474" customFormat="false" ht="15" hidden="false" customHeight="true" outlineLevel="0" collapsed="false">
      <c r="A1474" s="6" t="s">
        <v>4740</v>
      </c>
      <c r="B1474" s="6" t="s">
        <v>6869</v>
      </c>
      <c r="C1474" s="6" t="n">
        <v>2</v>
      </c>
      <c r="D1474" s="6" t="s">
        <v>6867</v>
      </c>
      <c r="E1474" s="6" t="n">
        <v>1</v>
      </c>
      <c r="F1474" s="6" t="s">
        <v>81</v>
      </c>
      <c r="G1474" s="28" t="n">
        <f aca="false">IFERROR(INDEX('Semrush Data'!$A$1:$Z$20000,MATCH(A1474,'Semrush Data'!$A$1:$A$20000,0),MATCH("Volume",'Semrush Data'!$A$1:$Z$1,0)),"")</f>
        <v>140</v>
      </c>
      <c r="H1474" s="6" t="n">
        <f aca="false">IFERROR(INDEX('Semrush Data'!$A$1:$Z$20000,MATCH(A1474,'Semrush Data'!$A$1:$A$20000,0),MATCH("Keyword Difficulty*",'Semrush Data'!$A$1:$Z$1,0)),"")</f>
        <v>25</v>
      </c>
      <c r="I1474" s="29" t="n">
        <f aca="false">IFERROR(INDEX('Semrush Data'!$A$1:$Z$20000,MATCH(A1474,'Semrush Data'!$A$1:$A$20000,0),MATCH("CPC*",'Semrush Data'!$A$1:$Z$1,0)),"")</f>
        <v>0.45</v>
      </c>
      <c r="J1474" s="6" t="str">
        <f aca="false">IFERROR(INDEX('Semrush Data'!$A$1:$Z$20000,MATCH(A1474,'Semrush Data'!$A$1:$A$20000,0),MATCH("Intent",'Semrush Data'!$A$1:$Z$1,0)),"")</f>
        <v>Informational Transactional</v>
      </c>
    </row>
    <row r="1475" customFormat="false" ht="15" hidden="false" customHeight="true" outlineLevel="0" collapsed="false">
      <c r="A1475" s="6" t="s">
        <v>4719</v>
      </c>
      <c r="B1475" s="6" t="s">
        <v>6869</v>
      </c>
      <c r="C1475" s="6" t="n">
        <v>2</v>
      </c>
      <c r="D1475" s="6" t="s">
        <v>6867</v>
      </c>
      <c r="E1475" s="6" t="n">
        <v>1</v>
      </c>
      <c r="F1475" s="6" t="s">
        <v>59</v>
      </c>
      <c r="G1475" s="28" t="n">
        <f aca="false">IFERROR(INDEX('Semrush Data'!$A$1:$Z$20000,MATCH(A1475,'Semrush Data'!$A$1:$A$20000,0),MATCH("Volume",'Semrush Data'!$A$1:$Z$1,0)),"")</f>
        <v>110</v>
      </c>
      <c r="H1475" s="6" t="n">
        <f aca="false">IFERROR(INDEX('Semrush Data'!$A$1:$Z$20000,MATCH(A1475,'Semrush Data'!$A$1:$A$20000,0),MATCH("Keyword Difficulty*",'Semrush Data'!$A$1:$Z$1,0)),"")</f>
        <v>19</v>
      </c>
      <c r="I1475" s="29" t="n">
        <f aca="false">IFERROR(INDEX('Semrush Data'!$A$1:$Z$20000,MATCH(A1475,'Semrush Data'!$A$1:$A$20000,0),MATCH("CPC*",'Semrush Data'!$A$1:$Z$1,0)),"")</f>
        <v>0.58</v>
      </c>
      <c r="J1475" s="6" t="str">
        <f aca="false">IFERROR(INDEX('Semrush Data'!$A$1:$Z$20000,MATCH(A1475,'Semrush Data'!$A$1:$A$20000,0),MATCH("Intent",'Semrush Data'!$A$1:$Z$1,0)),"")</f>
        <v>Informational</v>
      </c>
    </row>
    <row r="1476" customFormat="false" ht="15" hidden="false" customHeight="true" outlineLevel="0" collapsed="false">
      <c r="A1476" s="6" t="s">
        <v>4868</v>
      </c>
      <c r="B1476" s="6" t="s">
        <v>6869</v>
      </c>
      <c r="C1476" s="6" t="n">
        <v>2</v>
      </c>
      <c r="D1476" s="6" t="s">
        <v>6868</v>
      </c>
      <c r="E1476" s="6" t="n">
        <v>1</v>
      </c>
      <c r="F1476" s="6" t="s">
        <v>4862</v>
      </c>
      <c r="G1476" s="28" t="n">
        <f aca="false">IFERROR(INDEX('Semrush Data'!$A$1:$Z$20000,MATCH(A1476,'Semrush Data'!$A$1:$A$20000,0),MATCH("Volume",'Semrush Data'!$A$1:$Z$1,0)),"")</f>
        <v>20</v>
      </c>
      <c r="H1476" s="6" t="n">
        <f aca="false">IFERROR(INDEX('Semrush Data'!$A$1:$Z$20000,MATCH(A1476,'Semrush Data'!$A$1:$A$20000,0),MATCH("Keyword Difficulty*",'Semrush Data'!$A$1:$Z$1,0)),"")</f>
        <v>15</v>
      </c>
      <c r="I1476" s="29" t="n">
        <f aca="false">IFERROR(INDEX('Semrush Data'!$A$1:$Z$20000,MATCH(A1476,'Semrush Data'!$A$1:$A$20000,0),MATCH("CPC*",'Semrush Data'!$A$1:$Z$1,0)),"")</f>
        <v>0</v>
      </c>
      <c r="J1476" s="6" t="str">
        <f aca="false">IFERROR(INDEX('Semrush Data'!$A$1:$Z$20000,MATCH(A1476,'Semrush Data'!$A$1:$A$20000,0),MATCH("Intent",'Semrush Data'!$A$1:$Z$1,0)),"")</f>
        <v>Commercial</v>
      </c>
    </row>
    <row r="1477" customFormat="false" ht="15" hidden="false" customHeight="true" outlineLevel="0" collapsed="false">
      <c r="A1477" s="6" t="s">
        <v>4814</v>
      </c>
      <c r="B1477" s="6" t="s">
        <v>6869</v>
      </c>
      <c r="C1477" s="6" t="n">
        <v>2</v>
      </c>
      <c r="D1477" s="6" t="s">
        <v>6867</v>
      </c>
      <c r="E1477" s="6" t="n">
        <v>1</v>
      </c>
      <c r="F1477" s="6" t="s">
        <v>125</v>
      </c>
      <c r="G1477" s="28" t="n">
        <f aca="false">IFERROR(INDEX('Semrush Data'!$A$1:$Z$20000,MATCH(A1477,'Semrush Data'!$A$1:$A$20000,0),MATCH("Volume",'Semrush Data'!$A$1:$Z$1,0)),"")</f>
        <v>40</v>
      </c>
      <c r="H1477" s="6" t="n">
        <f aca="false">IFERROR(INDEX('Semrush Data'!$A$1:$Z$20000,MATCH(A1477,'Semrush Data'!$A$1:$A$20000,0),MATCH("Keyword Difficulty*",'Semrush Data'!$A$1:$Z$1,0)),"")</f>
        <v>20</v>
      </c>
      <c r="I1477" s="29" t="n">
        <f aca="false">IFERROR(INDEX('Semrush Data'!$A$1:$Z$20000,MATCH(A1477,'Semrush Data'!$A$1:$A$20000,0),MATCH("CPC*",'Semrush Data'!$A$1:$Z$1,0)),"")</f>
        <v>0.78</v>
      </c>
      <c r="J1477" s="6" t="str">
        <f aca="false">IFERROR(INDEX('Semrush Data'!$A$1:$Z$20000,MATCH(A1477,'Semrush Data'!$A$1:$A$20000,0),MATCH("Intent",'Semrush Data'!$A$1:$Z$1,0)),"")</f>
        <v>Informational Transactional</v>
      </c>
    </row>
    <row r="1478" customFormat="false" ht="15" hidden="false" customHeight="true" outlineLevel="0" collapsed="false">
      <c r="A1478" s="6" t="s">
        <v>4826</v>
      </c>
      <c r="B1478" s="6" t="s">
        <v>6869</v>
      </c>
      <c r="C1478" s="6" t="n">
        <v>2</v>
      </c>
      <c r="D1478" s="6" t="n">
        <v>15</v>
      </c>
      <c r="E1478" s="6" t="n">
        <v>1</v>
      </c>
      <c r="F1478" s="6" t="s">
        <v>4820</v>
      </c>
      <c r="G1478" s="28" t="str">
        <f aca="false">IFERROR(INDEX('Semrush Data'!$A$1:$Z$20000,MATCH(A1478,'Semrush Data'!$A$1:$A$20000,0),MATCH("Volume",'Semrush Data'!$A$1:$Z$1,0)),"")</f>
        <v/>
      </c>
      <c r="H1478" s="6" t="str">
        <f aca="false">IFERROR(INDEX('Semrush Data'!$A$1:$Z$20000,MATCH(A1478,'Semrush Data'!$A$1:$A$20000,0),MATCH("Keyword Difficulty*",'Semrush Data'!$A$1:$Z$1,0)),"")</f>
        <v/>
      </c>
      <c r="I1478" s="29" t="str">
        <f aca="false">IFERROR(INDEX('Semrush Data'!$A$1:$Z$20000,MATCH(A1478,'Semrush Data'!$A$1:$A$20000,0),MATCH("CPC*",'Semrush Data'!$A$1:$Z$1,0)),"")</f>
        <v/>
      </c>
      <c r="J1478" s="6" t="str">
        <f aca="false">IFERROR(INDEX('Semrush Data'!$A$1:$Z$20000,MATCH(A1478,'Semrush Data'!$A$1:$A$20000,0),MATCH("Intent",'Semrush Data'!$A$1:$Z$1,0)),"")</f>
        <v/>
      </c>
    </row>
    <row r="1479" customFormat="false" ht="15" hidden="false" customHeight="true" outlineLevel="0" collapsed="false">
      <c r="A1479" s="6" t="s">
        <v>4879</v>
      </c>
      <c r="B1479" s="6" t="s">
        <v>6869</v>
      </c>
      <c r="C1479" s="6" t="n">
        <v>2</v>
      </c>
      <c r="D1479" s="6" t="n">
        <v>15</v>
      </c>
      <c r="E1479" s="6" t="n">
        <v>1</v>
      </c>
      <c r="F1479" s="6" t="s">
        <v>4873</v>
      </c>
      <c r="G1479" s="28" t="str">
        <f aca="false">IFERROR(INDEX('Semrush Data'!$A$1:$Z$20000,MATCH(A1479,'Semrush Data'!$A$1:$A$20000,0),MATCH("Volume",'Semrush Data'!$A$1:$Z$1,0)),"")</f>
        <v/>
      </c>
      <c r="H1479" s="6" t="str">
        <f aca="false">IFERROR(INDEX('Semrush Data'!$A$1:$Z$20000,MATCH(A1479,'Semrush Data'!$A$1:$A$20000,0),MATCH("Keyword Difficulty*",'Semrush Data'!$A$1:$Z$1,0)),"")</f>
        <v/>
      </c>
      <c r="I1479" s="29" t="str">
        <f aca="false">IFERROR(INDEX('Semrush Data'!$A$1:$Z$20000,MATCH(A1479,'Semrush Data'!$A$1:$A$20000,0),MATCH("CPC*",'Semrush Data'!$A$1:$Z$1,0)),"")</f>
        <v/>
      </c>
      <c r="J1479" s="6" t="str">
        <f aca="false">IFERROR(INDEX('Semrush Data'!$A$1:$Z$20000,MATCH(A1479,'Semrush Data'!$A$1:$A$20000,0),MATCH("Intent",'Semrush Data'!$A$1:$Z$1,0)),"")</f>
        <v/>
      </c>
    </row>
    <row r="1480" customFormat="false" ht="15" hidden="false" customHeight="true" outlineLevel="0" collapsed="false">
      <c r="A1480" s="6" t="s">
        <v>4838</v>
      </c>
      <c r="B1480" s="6" t="s">
        <v>6869</v>
      </c>
      <c r="C1480" s="6" t="n">
        <v>2</v>
      </c>
      <c r="D1480" s="6" t="n">
        <v>15</v>
      </c>
      <c r="E1480" s="6" t="n">
        <v>1</v>
      </c>
      <c r="F1480" s="6" t="s">
        <v>4832</v>
      </c>
      <c r="G1480" s="28" t="str">
        <f aca="false">IFERROR(INDEX('Semrush Data'!$A$1:$Z$20000,MATCH(A1480,'Semrush Data'!$A$1:$A$20000,0),MATCH("Volume",'Semrush Data'!$A$1:$Z$1,0)),"")</f>
        <v/>
      </c>
      <c r="H1480" s="6" t="str">
        <f aca="false">IFERROR(INDEX('Semrush Data'!$A$1:$Z$20000,MATCH(A1480,'Semrush Data'!$A$1:$A$20000,0),MATCH("Keyword Difficulty*",'Semrush Data'!$A$1:$Z$1,0)),"")</f>
        <v/>
      </c>
      <c r="I1480" s="29" t="str">
        <f aca="false">IFERROR(INDEX('Semrush Data'!$A$1:$Z$20000,MATCH(A1480,'Semrush Data'!$A$1:$A$20000,0),MATCH("CPC*",'Semrush Data'!$A$1:$Z$1,0)),"")</f>
        <v/>
      </c>
      <c r="J1480" s="6" t="str">
        <f aca="false">IFERROR(INDEX('Semrush Data'!$A$1:$Z$20000,MATCH(A1480,'Semrush Data'!$A$1:$A$20000,0),MATCH("Intent",'Semrush Data'!$A$1:$Z$1,0)),"")</f>
        <v/>
      </c>
    </row>
    <row r="1481" customFormat="false" ht="15" hidden="false" customHeight="true" outlineLevel="0" collapsed="false">
      <c r="A1481" s="6" t="s">
        <v>4848</v>
      </c>
      <c r="B1481" s="6" t="s">
        <v>6869</v>
      </c>
      <c r="C1481" s="6" t="n">
        <v>2</v>
      </c>
      <c r="D1481" s="6" t="s">
        <v>6867</v>
      </c>
      <c r="E1481" s="6" t="n">
        <v>1</v>
      </c>
      <c r="F1481" s="6" t="s">
        <v>113</v>
      </c>
      <c r="G1481" s="28" t="n">
        <f aca="false">IFERROR(INDEX('Semrush Data'!$A$1:$Z$20000,MATCH(A1481,'Semrush Data'!$A$1:$A$20000,0),MATCH("Volume",'Semrush Data'!$A$1:$Z$1,0)),"")</f>
        <v>20</v>
      </c>
      <c r="H1481" s="6" t="n">
        <f aca="false">IFERROR(INDEX('Semrush Data'!$A$1:$Z$20000,MATCH(A1481,'Semrush Data'!$A$1:$A$20000,0),MATCH("Keyword Difficulty*",'Semrush Data'!$A$1:$Z$1,0)),"")</f>
        <v>18</v>
      </c>
      <c r="I1481" s="29" t="n">
        <f aca="false">IFERROR(INDEX('Semrush Data'!$A$1:$Z$20000,MATCH(A1481,'Semrush Data'!$A$1:$A$20000,0),MATCH("CPC*",'Semrush Data'!$A$1:$Z$1,0)),"")</f>
        <v>0.77</v>
      </c>
      <c r="J1481" s="6" t="str">
        <f aca="false">IFERROR(INDEX('Semrush Data'!$A$1:$Z$20000,MATCH(A1481,'Semrush Data'!$A$1:$A$20000,0),MATCH("Intent",'Semrush Data'!$A$1:$Z$1,0)),"")</f>
        <v>Informational Navigational</v>
      </c>
    </row>
    <row r="1482" customFormat="false" ht="15" hidden="false" customHeight="true" outlineLevel="0" collapsed="false">
      <c r="A1482" s="6" t="s">
        <v>4857</v>
      </c>
      <c r="B1482" s="6" t="s">
        <v>6869</v>
      </c>
      <c r="C1482" s="6" t="n">
        <v>2</v>
      </c>
      <c r="D1482" s="6" t="s">
        <v>6867</v>
      </c>
      <c r="E1482" s="6" t="n">
        <v>1</v>
      </c>
      <c r="F1482" s="6" t="s">
        <v>127</v>
      </c>
      <c r="G1482" s="28" t="n">
        <f aca="false">IFERROR(INDEX('Semrush Data'!$A$1:$Z$20000,MATCH(A1482,'Semrush Data'!$A$1:$A$20000,0),MATCH("Volume",'Semrush Data'!$A$1:$Z$1,0)),"")</f>
        <v>70</v>
      </c>
      <c r="H1482" s="6" t="n">
        <f aca="false">IFERROR(INDEX('Semrush Data'!$A$1:$Z$20000,MATCH(A1482,'Semrush Data'!$A$1:$A$20000,0),MATCH("Keyword Difficulty*",'Semrush Data'!$A$1:$Z$1,0)),"")</f>
        <v>20</v>
      </c>
      <c r="I1482" s="29" t="n">
        <f aca="false">IFERROR(INDEX('Semrush Data'!$A$1:$Z$20000,MATCH(A1482,'Semrush Data'!$A$1:$A$20000,0),MATCH("CPC*",'Semrush Data'!$A$1:$Z$1,0)),"")</f>
        <v>0.89</v>
      </c>
      <c r="J1482" s="6" t="str">
        <f aca="false">IFERROR(INDEX('Semrush Data'!$A$1:$Z$20000,MATCH(A1482,'Semrush Data'!$A$1:$A$20000,0),MATCH("Intent",'Semrush Data'!$A$1:$Z$1,0)),"")</f>
        <v>Informational Transactional</v>
      </c>
    </row>
    <row r="1483" customFormat="false" ht="15" hidden="false" customHeight="true" outlineLevel="0" collapsed="false">
      <c r="A1483" s="6" t="s">
        <v>4945</v>
      </c>
      <c r="B1483" s="6" t="s">
        <v>6869</v>
      </c>
      <c r="C1483" s="6" t="n">
        <v>2</v>
      </c>
      <c r="D1483" s="6" t="n">
        <v>15</v>
      </c>
      <c r="E1483" s="6" t="n">
        <v>2</v>
      </c>
      <c r="F1483" s="6" t="s">
        <v>6853</v>
      </c>
      <c r="G1483" s="28" t="str">
        <f aca="false">IFERROR(INDEX('Semrush Data'!$A$1:$Z$20000,MATCH(A1483,'Semrush Data'!$A$1:$A$20000,0),MATCH("Volume",'Semrush Data'!$A$1:$Z$1,0)),"")</f>
        <v/>
      </c>
      <c r="H1483" s="6" t="str">
        <f aca="false">IFERROR(INDEX('Semrush Data'!$A$1:$Z$20000,MATCH(A1483,'Semrush Data'!$A$1:$A$20000,0),MATCH("Keyword Difficulty*",'Semrush Data'!$A$1:$Z$1,0)),"")</f>
        <v/>
      </c>
      <c r="I1483" s="29" t="str">
        <f aca="false">IFERROR(INDEX('Semrush Data'!$A$1:$Z$20000,MATCH(A1483,'Semrush Data'!$A$1:$A$20000,0),MATCH("CPC*",'Semrush Data'!$A$1:$Z$1,0)),"")</f>
        <v/>
      </c>
      <c r="J1483" s="6" t="str">
        <f aca="false">IFERROR(INDEX('Semrush Data'!$A$1:$Z$20000,MATCH(A1483,'Semrush Data'!$A$1:$A$20000,0),MATCH("Intent",'Semrush Data'!$A$1:$Z$1,0)),"")</f>
        <v/>
      </c>
    </row>
    <row r="1484" customFormat="false" ht="15" hidden="false" customHeight="true" outlineLevel="0" collapsed="false">
      <c r="A1484" s="6" t="s">
        <v>4901</v>
      </c>
      <c r="B1484" s="6" t="s">
        <v>6869</v>
      </c>
      <c r="C1484" s="6" t="n">
        <v>2</v>
      </c>
      <c r="D1484" s="6" t="n">
        <v>15</v>
      </c>
      <c r="E1484" s="6" t="n">
        <v>1</v>
      </c>
      <c r="F1484" s="6" t="s">
        <v>4894</v>
      </c>
      <c r="G1484" s="28" t="str">
        <f aca="false">IFERROR(INDEX('Semrush Data'!$A$1:$Z$20000,MATCH(A1484,'Semrush Data'!$A$1:$A$20000,0),MATCH("Volume",'Semrush Data'!$A$1:$Z$1,0)),"")</f>
        <v/>
      </c>
      <c r="H1484" s="6" t="str">
        <f aca="false">IFERROR(INDEX('Semrush Data'!$A$1:$Z$20000,MATCH(A1484,'Semrush Data'!$A$1:$A$20000,0),MATCH("Keyword Difficulty*",'Semrush Data'!$A$1:$Z$1,0)),"")</f>
        <v/>
      </c>
      <c r="I1484" s="29" t="str">
        <f aca="false">IFERROR(INDEX('Semrush Data'!$A$1:$Z$20000,MATCH(A1484,'Semrush Data'!$A$1:$A$20000,0),MATCH("CPC*",'Semrush Data'!$A$1:$Z$1,0)),"")</f>
        <v/>
      </c>
      <c r="J1484" s="6" t="str">
        <f aca="false">IFERROR(INDEX('Semrush Data'!$A$1:$Z$20000,MATCH(A1484,'Semrush Data'!$A$1:$A$20000,0),MATCH("Intent",'Semrush Data'!$A$1:$Z$1,0)),"")</f>
        <v/>
      </c>
    </row>
    <row r="1485" customFormat="false" ht="15" hidden="false" customHeight="true" outlineLevel="0" collapsed="false">
      <c r="A1485" s="6" t="s">
        <v>4908</v>
      </c>
      <c r="B1485" s="6" t="s">
        <v>6869</v>
      </c>
      <c r="C1485" s="6" t="n">
        <v>2</v>
      </c>
      <c r="D1485" s="6" t="n">
        <v>15</v>
      </c>
      <c r="E1485" s="6" t="n">
        <v>1</v>
      </c>
      <c r="F1485" s="6" t="s">
        <v>4906</v>
      </c>
      <c r="G1485" s="28" t="str">
        <f aca="false">IFERROR(INDEX('Semrush Data'!$A$1:$Z$20000,MATCH(A1485,'Semrush Data'!$A$1:$A$20000,0),MATCH("Volume",'Semrush Data'!$A$1:$Z$1,0)),"")</f>
        <v/>
      </c>
      <c r="H1485" s="6" t="str">
        <f aca="false">IFERROR(INDEX('Semrush Data'!$A$1:$Z$20000,MATCH(A1485,'Semrush Data'!$A$1:$A$20000,0),MATCH("Keyword Difficulty*",'Semrush Data'!$A$1:$Z$1,0)),"")</f>
        <v/>
      </c>
      <c r="I1485" s="29" t="str">
        <f aca="false">IFERROR(INDEX('Semrush Data'!$A$1:$Z$20000,MATCH(A1485,'Semrush Data'!$A$1:$A$20000,0),MATCH("CPC*",'Semrush Data'!$A$1:$Z$1,0)),"")</f>
        <v/>
      </c>
      <c r="J1485" s="6" t="str">
        <f aca="false">IFERROR(INDEX('Semrush Data'!$A$1:$Z$20000,MATCH(A1485,'Semrush Data'!$A$1:$A$20000,0),MATCH("Intent",'Semrush Data'!$A$1:$Z$1,0)),"")</f>
        <v/>
      </c>
    </row>
    <row r="1486" customFormat="false" ht="15" hidden="false" customHeight="true" outlineLevel="0" collapsed="false">
      <c r="A1486" s="6" t="s">
        <v>4919</v>
      </c>
      <c r="B1486" s="6" t="s">
        <v>6869</v>
      </c>
      <c r="C1486" s="6" t="n">
        <v>2</v>
      </c>
      <c r="D1486" s="6" t="n">
        <v>15</v>
      </c>
      <c r="E1486" s="6" t="n">
        <v>1</v>
      </c>
      <c r="F1486" s="6" t="s">
        <v>4913</v>
      </c>
      <c r="G1486" s="28" t="str">
        <f aca="false">IFERROR(INDEX('Semrush Data'!$A$1:$Z$20000,MATCH(A1486,'Semrush Data'!$A$1:$A$20000,0),MATCH("Volume",'Semrush Data'!$A$1:$Z$1,0)),"")</f>
        <v/>
      </c>
      <c r="H1486" s="6" t="str">
        <f aca="false">IFERROR(INDEX('Semrush Data'!$A$1:$Z$20000,MATCH(A1486,'Semrush Data'!$A$1:$A$20000,0),MATCH("Keyword Difficulty*",'Semrush Data'!$A$1:$Z$1,0)),"")</f>
        <v/>
      </c>
      <c r="I1486" s="29" t="str">
        <f aca="false">IFERROR(INDEX('Semrush Data'!$A$1:$Z$20000,MATCH(A1486,'Semrush Data'!$A$1:$A$20000,0),MATCH("CPC*",'Semrush Data'!$A$1:$Z$1,0)),"")</f>
        <v/>
      </c>
      <c r="J1486" s="6" t="str">
        <f aca="false">IFERROR(INDEX('Semrush Data'!$A$1:$Z$20000,MATCH(A1486,'Semrush Data'!$A$1:$A$20000,0),MATCH("Intent",'Semrush Data'!$A$1:$Z$1,0)),"")</f>
        <v/>
      </c>
    </row>
    <row r="1487" customFormat="false" ht="15" hidden="false" customHeight="true" outlineLevel="0" collapsed="false">
      <c r="A1487" s="6" t="s">
        <v>4930</v>
      </c>
      <c r="B1487" s="6" t="s">
        <v>6869</v>
      </c>
      <c r="C1487" s="6" t="n">
        <v>2</v>
      </c>
      <c r="D1487" s="6" t="n">
        <v>15</v>
      </c>
      <c r="E1487" s="6" t="n">
        <v>2</v>
      </c>
      <c r="F1487" s="6" t="s">
        <v>6855</v>
      </c>
      <c r="G1487" s="28" t="str">
        <f aca="false">IFERROR(INDEX('Semrush Data'!$A$1:$Z$20000,MATCH(A1487,'Semrush Data'!$A$1:$A$20000,0),MATCH("Volume",'Semrush Data'!$A$1:$Z$1,0)),"")</f>
        <v/>
      </c>
      <c r="H1487" s="6" t="str">
        <f aca="false">IFERROR(INDEX('Semrush Data'!$A$1:$Z$20000,MATCH(A1487,'Semrush Data'!$A$1:$A$20000,0),MATCH("Keyword Difficulty*",'Semrush Data'!$A$1:$Z$1,0)),"")</f>
        <v/>
      </c>
      <c r="I1487" s="29" t="str">
        <f aca="false">IFERROR(INDEX('Semrush Data'!$A$1:$Z$20000,MATCH(A1487,'Semrush Data'!$A$1:$A$20000,0),MATCH("CPC*",'Semrush Data'!$A$1:$Z$1,0)),"")</f>
        <v/>
      </c>
      <c r="J1487" s="6" t="str">
        <f aca="false">IFERROR(INDEX('Semrush Data'!$A$1:$Z$20000,MATCH(A1487,'Semrush Data'!$A$1:$A$20000,0),MATCH("Intent",'Semrush Data'!$A$1:$Z$1,0)),"")</f>
        <v/>
      </c>
    </row>
    <row r="1488" customFormat="false" ht="15" hidden="false" customHeight="true" outlineLevel="0" collapsed="false">
      <c r="A1488" s="6" t="s">
        <v>4960</v>
      </c>
      <c r="B1488" s="6" t="s">
        <v>6869</v>
      </c>
      <c r="C1488" s="6" t="n">
        <v>2</v>
      </c>
      <c r="D1488" s="6" t="n">
        <v>15</v>
      </c>
      <c r="E1488" s="6" t="n">
        <v>1</v>
      </c>
      <c r="F1488" s="6" t="s">
        <v>4954</v>
      </c>
      <c r="G1488" s="28" t="str">
        <f aca="false">IFERROR(INDEX('Semrush Data'!$A$1:$Z$20000,MATCH(A1488,'Semrush Data'!$A$1:$A$20000,0),MATCH("Volume",'Semrush Data'!$A$1:$Z$1,0)),"")</f>
        <v/>
      </c>
      <c r="H1488" s="6" t="str">
        <f aca="false">IFERROR(INDEX('Semrush Data'!$A$1:$Z$20000,MATCH(A1488,'Semrush Data'!$A$1:$A$20000,0),MATCH("Keyword Difficulty*",'Semrush Data'!$A$1:$Z$1,0)),"")</f>
        <v/>
      </c>
      <c r="I1488" s="29" t="str">
        <f aca="false">IFERROR(INDEX('Semrush Data'!$A$1:$Z$20000,MATCH(A1488,'Semrush Data'!$A$1:$A$20000,0),MATCH("CPC*",'Semrush Data'!$A$1:$Z$1,0)),"")</f>
        <v/>
      </c>
      <c r="J1488" s="6" t="str">
        <f aca="false">IFERROR(INDEX('Semrush Data'!$A$1:$Z$20000,MATCH(A1488,'Semrush Data'!$A$1:$A$20000,0),MATCH("Intent",'Semrush Data'!$A$1:$Z$1,0)),"")</f>
        <v/>
      </c>
    </row>
    <row r="1489" customFormat="false" ht="15" hidden="false" customHeight="true" outlineLevel="0" collapsed="false">
      <c r="A1489" s="6" t="s">
        <v>4972</v>
      </c>
      <c r="B1489" s="6" t="s">
        <v>6869</v>
      </c>
      <c r="C1489" s="6" t="n">
        <v>2</v>
      </c>
      <c r="D1489" s="6" t="n">
        <v>15</v>
      </c>
      <c r="E1489" s="6" t="n">
        <v>1</v>
      </c>
      <c r="F1489" s="6" t="s">
        <v>4966</v>
      </c>
      <c r="G1489" s="28" t="str">
        <f aca="false">IFERROR(INDEX('Semrush Data'!$A$1:$Z$20000,MATCH(A1489,'Semrush Data'!$A$1:$A$20000,0),MATCH("Volume",'Semrush Data'!$A$1:$Z$1,0)),"")</f>
        <v/>
      </c>
      <c r="H1489" s="6" t="str">
        <f aca="false">IFERROR(INDEX('Semrush Data'!$A$1:$Z$20000,MATCH(A1489,'Semrush Data'!$A$1:$A$20000,0),MATCH("Keyword Difficulty*",'Semrush Data'!$A$1:$Z$1,0)),"")</f>
        <v/>
      </c>
      <c r="I1489" s="29" t="str">
        <f aca="false">IFERROR(INDEX('Semrush Data'!$A$1:$Z$20000,MATCH(A1489,'Semrush Data'!$A$1:$A$20000,0),MATCH("CPC*",'Semrush Data'!$A$1:$Z$1,0)),"")</f>
        <v/>
      </c>
      <c r="J1489" s="6" t="str">
        <f aca="false">IFERROR(INDEX('Semrush Data'!$A$1:$Z$20000,MATCH(A1489,'Semrush Data'!$A$1:$A$20000,0),MATCH("Intent",'Semrush Data'!$A$1:$Z$1,0)),"")</f>
        <v/>
      </c>
    </row>
    <row r="1490" customFormat="false" ht="15" hidden="false" customHeight="true" outlineLevel="0" collapsed="false">
      <c r="A1490" s="6" t="s">
        <v>4982</v>
      </c>
      <c r="B1490" s="6" t="s">
        <v>6869</v>
      </c>
      <c r="C1490" s="6" t="n">
        <v>2</v>
      </c>
      <c r="D1490" s="6" t="n">
        <v>15</v>
      </c>
      <c r="E1490" s="6" t="n">
        <v>1</v>
      </c>
      <c r="F1490" s="6" t="s">
        <v>4976</v>
      </c>
      <c r="G1490" s="28" t="str">
        <f aca="false">IFERROR(INDEX('Semrush Data'!$A$1:$Z$20000,MATCH(A1490,'Semrush Data'!$A$1:$A$20000,0),MATCH("Volume",'Semrush Data'!$A$1:$Z$1,0)),"")</f>
        <v/>
      </c>
      <c r="H1490" s="6" t="str">
        <f aca="false">IFERROR(INDEX('Semrush Data'!$A$1:$Z$20000,MATCH(A1490,'Semrush Data'!$A$1:$A$20000,0),MATCH("Keyword Difficulty*",'Semrush Data'!$A$1:$Z$1,0)),"")</f>
        <v/>
      </c>
      <c r="I1490" s="29" t="str">
        <f aca="false">IFERROR(INDEX('Semrush Data'!$A$1:$Z$20000,MATCH(A1490,'Semrush Data'!$A$1:$A$20000,0),MATCH("CPC*",'Semrush Data'!$A$1:$Z$1,0)),"")</f>
        <v/>
      </c>
      <c r="J1490" s="6" t="str">
        <f aca="false">IFERROR(INDEX('Semrush Data'!$A$1:$Z$20000,MATCH(A1490,'Semrush Data'!$A$1:$A$20000,0),MATCH("Intent",'Semrush Data'!$A$1:$Z$1,0)),"")</f>
        <v/>
      </c>
    </row>
    <row r="1491" customFormat="false" ht="15" hidden="false" customHeight="true" outlineLevel="0" collapsed="false">
      <c r="A1491" s="6" t="s">
        <v>4992</v>
      </c>
      <c r="B1491" s="6" t="s">
        <v>6869</v>
      </c>
      <c r="C1491" s="6" t="n">
        <v>2</v>
      </c>
      <c r="D1491" s="6" t="n">
        <v>15</v>
      </c>
      <c r="E1491" s="6" t="n">
        <v>2</v>
      </c>
      <c r="F1491" s="6" t="s">
        <v>6856</v>
      </c>
      <c r="G1491" s="28" t="str">
        <f aca="false">IFERROR(INDEX('Semrush Data'!$A$1:$Z$20000,MATCH(A1491,'Semrush Data'!$A$1:$A$20000,0),MATCH("Volume",'Semrush Data'!$A$1:$Z$1,0)),"")</f>
        <v/>
      </c>
      <c r="H1491" s="6" t="str">
        <f aca="false">IFERROR(INDEX('Semrush Data'!$A$1:$Z$20000,MATCH(A1491,'Semrush Data'!$A$1:$A$20000,0),MATCH("Keyword Difficulty*",'Semrush Data'!$A$1:$Z$1,0)),"")</f>
        <v/>
      </c>
      <c r="I1491" s="29" t="str">
        <f aca="false">IFERROR(INDEX('Semrush Data'!$A$1:$Z$20000,MATCH(A1491,'Semrush Data'!$A$1:$A$20000,0),MATCH("CPC*",'Semrush Data'!$A$1:$Z$1,0)),"")</f>
        <v/>
      </c>
      <c r="J1491" s="6" t="str">
        <f aca="false">IFERROR(INDEX('Semrush Data'!$A$1:$Z$20000,MATCH(A1491,'Semrush Data'!$A$1:$A$20000,0),MATCH("Intent",'Semrush Data'!$A$1:$Z$1,0)),"")</f>
        <v/>
      </c>
    </row>
    <row r="1492" customFormat="false" ht="15" hidden="false" customHeight="true" outlineLevel="0" collapsed="false">
      <c r="A1492" s="6" t="s">
        <v>5007</v>
      </c>
      <c r="B1492" s="6" t="s">
        <v>6869</v>
      </c>
      <c r="C1492" s="6" t="n">
        <v>2</v>
      </c>
      <c r="D1492" s="6" t="n">
        <v>15</v>
      </c>
      <c r="E1492" s="6" t="n">
        <v>2</v>
      </c>
      <c r="F1492" s="6" t="s">
        <v>6857</v>
      </c>
      <c r="G1492" s="28" t="str">
        <f aca="false">IFERROR(INDEX('Semrush Data'!$A$1:$Z$20000,MATCH(A1492,'Semrush Data'!$A$1:$A$20000,0),MATCH("Volume",'Semrush Data'!$A$1:$Z$1,0)),"")</f>
        <v/>
      </c>
      <c r="H1492" s="6" t="str">
        <f aca="false">IFERROR(INDEX('Semrush Data'!$A$1:$Z$20000,MATCH(A1492,'Semrush Data'!$A$1:$A$20000,0),MATCH("Keyword Difficulty*",'Semrush Data'!$A$1:$Z$1,0)),"")</f>
        <v/>
      </c>
      <c r="I1492" s="29" t="str">
        <f aca="false">IFERROR(INDEX('Semrush Data'!$A$1:$Z$20000,MATCH(A1492,'Semrush Data'!$A$1:$A$20000,0),MATCH("CPC*",'Semrush Data'!$A$1:$Z$1,0)),"")</f>
        <v/>
      </c>
      <c r="J1492" s="6" t="str">
        <f aca="false">IFERROR(INDEX('Semrush Data'!$A$1:$Z$20000,MATCH(A1492,'Semrush Data'!$A$1:$A$20000,0),MATCH("Intent",'Semrush Data'!$A$1:$Z$1,0)),"")</f>
        <v/>
      </c>
    </row>
    <row r="1493" customFormat="false" ht="15" hidden="false" customHeight="true" outlineLevel="0" collapsed="false">
      <c r="A1493" s="6" t="s">
        <v>5022</v>
      </c>
      <c r="B1493" s="6" t="s">
        <v>6869</v>
      </c>
      <c r="C1493" s="6" t="n">
        <v>2</v>
      </c>
      <c r="D1493" s="6" t="n">
        <v>15</v>
      </c>
      <c r="E1493" s="6" t="n">
        <v>2</v>
      </c>
      <c r="F1493" s="6" t="s">
        <v>6858</v>
      </c>
      <c r="G1493" s="28" t="str">
        <f aca="false">IFERROR(INDEX('Semrush Data'!$A$1:$Z$20000,MATCH(A1493,'Semrush Data'!$A$1:$A$20000,0),MATCH("Volume",'Semrush Data'!$A$1:$Z$1,0)),"")</f>
        <v/>
      </c>
      <c r="H1493" s="6" t="str">
        <f aca="false">IFERROR(INDEX('Semrush Data'!$A$1:$Z$20000,MATCH(A1493,'Semrush Data'!$A$1:$A$20000,0),MATCH("Keyword Difficulty*",'Semrush Data'!$A$1:$Z$1,0)),"")</f>
        <v/>
      </c>
      <c r="I1493" s="29" t="str">
        <f aca="false">IFERROR(INDEX('Semrush Data'!$A$1:$Z$20000,MATCH(A1493,'Semrush Data'!$A$1:$A$20000,0),MATCH("CPC*",'Semrush Data'!$A$1:$Z$1,0)),"")</f>
        <v/>
      </c>
      <c r="J1493" s="6" t="str">
        <f aca="false">IFERROR(INDEX('Semrush Data'!$A$1:$Z$20000,MATCH(A1493,'Semrush Data'!$A$1:$A$20000,0),MATCH("Intent",'Semrush Data'!$A$1:$Z$1,0)),"")</f>
        <v/>
      </c>
    </row>
    <row r="1494" customFormat="false" ht="15" hidden="false" customHeight="true" outlineLevel="0" collapsed="false">
      <c r="A1494" s="6" t="s">
        <v>5038</v>
      </c>
      <c r="B1494" s="6" t="s">
        <v>6869</v>
      </c>
      <c r="C1494" s="6" t="n">
        <v>2</v>
      </c>
      <c r="D1494" s="6" t="n">
        <v>15</v>
      </c>
      <c r="E1494" s="6" t="n">
        <v>2</v>
      </c>
      <c r="F1494" s="6" t="s">
        <v>6859</v>
      </c>
      <c r="G1494" s="28" t="str">
        <f aca="false">IFERROR(INDEX('Semrush Data'!$A$1:$Z$20000,MATCH(A1494,'Semrush Data'!$A$1:$A$20000,0),MATCH("Volume",'Semrush Data'!$A$1:$Z$1,0)),"")</f>
        <v/>
      </c>
      <c r="H1494" s="6" t="str">
        <f aca="false">IFERROR(INDEX('Semrush Data'!$A$1:$Z$20000,MATCH(A1494,'Semrush Data'!$A$1:$A$20000,0),MATCH("Keyword Difficulty*",'Semrush Data'!$A$1:$Z$1,0)),"")</f>
        <v/>
      </c>
      <c r="I1494" s="29" t="str">
        <f aca="false">IFERROR(INDEX('Semrush Data'!$A$1:$Z$20000,MATCH(A1494,'Semrush Data'!$A$1:$A$20000,0),MATCH("CPC*",'Semrush Data'!$A$1:$Z$1,0)),"")</f>
        <v/>
      </c>
      <c r="J1494" s="6" t="str">
        <f aca="false">IFERROR(INDEX('Semrush Data'!$A$1:$Z$20000,MATCH(A1494,'Semrush Data'!$A$1:$A$20000,0),MATCH("Intent",'Semrush Data'!$A$1:$Z$1,0)),"")</f>
        <v/>
      </c>
    </row>
    <row r="1495" customFormat="false" ht="15" hidden="false" customHeight="true" outlineLevel="0" collapsed="false">
      <c r="A1495" s="6" t="s">
        <v>5056</v>
      </c>
      <c r="B1495" s="6" t="s">
        <v>6869</v>
      </c>
      <c r="C1495" s="6" t="n">
        <v>2</v>
      </c>
      <c r="D1495" s="6" t="n">
        <v>15</v>
      </c>
      <c r="E1495" s="6" t="n">
        <v>1</v>
      </c>
      <c r="F1495" s="6" t="s">
        <v>5048</v>
      </c>
      <c r="G1495" s="28" t="str">
        <f aca="false">IFERROR(INDEX('Semrush Data'!$A$1:$Z$20000,MATCH(A1495,'Semrush Data'!$A$1:$A$20000,0),MATCH("Volume",'Semrush Data'!$A$1:$Z$1,0)),"")</f>
        <v/>
      </c>
      <c r="H1495" s="6" t="str">
        <f aca="false">IFERROR(INDEX('Semrush Data'!$A$1:$Z$20000,MATCH(A1495,'Semrush Data'!$A$1:$A$20000,0),MATCH("Keyword Difficulty*",'Semrush Data'!$A$1:$Z$1,0)),"")</f>
        <v/>
      </c>
      <c r="I1495" s="29" t="str">
        <f aca="false">IFERROR(INDEX('Semrush Data'!$A$1:$Z$20000,MATCH(A1495,'Semrush Data'!$A$1:$A$20000,0),MATCH("CPC*",'Semrush Data'!$A$1:$Z$1,0)),"")</f>
        <v/>
      </c>
      <c r="J1495" s="6" t="str">
        <f aca="false">IFERROR(INDEX('Semrush Data'!$A$1:$Z$20000,MATCH(A1495,'Semrush Data'!$A$1:$A$20000,0),MATCH("Intent",'Semrush Data'!$A$1:$Z$1,0)),"")</f>
        <v/>
      </c>
    </row>
    <row r="1496" customFormat="false" ht="15" hidden="false" customHeight="true" outlineLevel="0" collapsed="false">
      <c r="A1496" s="6" t="s">
        <v>5969</v>
      </c>
      <c r="B1496" s="6" t="s">
        <v>6869</v>
      </c>
      <c r="C1496" s="6" t="n">
        <v>2</v>
      </c>
      <c r="D1496" s="6" t="n">
        <v>15</v>
      </c>
      <c r="E1496" s="6" t="n">
        <v>1</v>
      </c>
      <c r="F1496" s="6" t="s">
        <v>5963</v>
      </c>
      <c r="G1496" s="28" t="str">
        <f aca="false">IFERROR(INDEX('Semrush Data'!$A$1:$Z$20000,MATCH(A1496,'Semrush Data'!$A$1:$A$20000,0),MATCH("Volume",'Semrush Data'!$A$1:$Z$1,0)),"")</f>
        <v/>
      </c>
      <c r="H1496" s="6" t="str">
        <f aca="false">IFERROR(INDEX('Semrush Data'!$A$1:$Z$20000,MATCH(A1496,'Semrush Data'!$A$1:$A$20000,0),MATCH("Keyword Difficulty*",'Semrush Data'!$A$1:$Z$1,0)),"")</f>
        <v/>
      </c>
      <c r="I1496" s="29" t="str">
        <f aca="false">IFERROR(INDEX('Semrush Data'!$A$1:$Z$20000,MATCH(A1496,'Semrush Data'!$A$1:$A$20000,0),MATCH("CPC*",'Semrush Data'!$A$1:$Z$1,0)),"")</f>
        <v/>
      </c>
      <c r="J1496" s="6" t="str">
        <f aca="false">IFERROR(INDEX('Semrush Data'!$A$1:$Z$20000,MATCH(A1496,'Semrush Data'!$A$1:$A$20000,0),MATCH("Intent",'Semrush Data'!$A$1:$Z$1,0)),"")</f>
        <v/>
      </c>
    </row>
    <row r="1497" customFormat="false" ht="15" hidden="false" customHeight="true" outlineLevel="0" collapsed="false">
      <c r="A1497" s="6" t="s">
        <v>5948</v>
      </c>
      <c r="B1497" s="6" t="s">
        <v>6869</v>
      </c>
      <c r="C1497" s="6" t="n">
        <v>2</v>
      </c>
      <c r="D1497" s="6" t="n">
        <v>15</v>
      </c>
      <c r="E1497" s="6" t="n">
        <v>1</v>
      </c>
      <c r="F1497" s="6" t="s">
        <v>5942</v>
      </c>
      <c r="G1497" s="28" t="str">
        <f aca="false">IFERROR(INDEX('Semrush Data'!$A$1:$Z$20000,MATCH(A1497,'Semrush Data'!$A$1:$A$20000,0),MATCH("Volume",'Semrush Data'!$A$1:$Z$1,0)),"")</f>
        <v/>
      </c>
      <c r="H1497" s="6" t="str">
        <f aca="false">IFERROR(INDEX('Semrush Data'!$A$1:$Z$20000,MATCH(A1497,'Semrush Data'!$A$1:$A$20000,0),MATCH("Keyword Difficulty*",'Semrush Data'!$A$1:$Z$1,0)),"")</f>
        <v/>
      </c>
      <c r="I1497" s="29" t="str">
        <f aca="false">IFERROR(INDEX('Semrush Data'!$A$1:$Z$20000,MATCH(A1497,'Semrush Data'!$A$1:$A$20000,0),MATCH("CPC*",'Semrush Data'!$A$1:$Z$1,0)),"")</f>
        <v/>
      </c>
      <c r="J1497" s="6" t="str">
        <f aca="false">IFERROR(INDEX('Semrush Data'!$A$1:$Z$20000,MATCH(A1497,'Semrush Data'!$A$1:$A$20000,0),MATCH("Intent",'Semrush Data'!$A$1:$Z$1,0)),"")</f>
        <v/>
      </c>
    </row>
    <row r="1498" customFormat="false" ht="15" hidden="false" customHeight="true" outlineLevel="0" collapsed="false">
      <c r="A1498" s="6" t="s">
        <v>5958</v>
      </c>
      <c r="B1498" s="6" t="s">
        <v>6869</v>
      </c>
      <c r="C1498" s="6" t="n">
        <v>2</v>
      </c>
      <c r="D1498" s="6" t="n">
        <v>15</v>
      </c>
      <c r="E1498" s="6" t="n">
        <v>1</v>
      </c>
      <c r="F1498" s="6" t="s">
        <v>5952</v>
      </c>
      <c r="G1498" s="28" t="str">
        <f aca="false">IFERROR(INDEX('Semrush Data'!$A$1:$Z$20000,MATCH(A1498,'Semrush Data'!$A$1:$A$20000,0),MATCH("Volume",'Semrush Data'!$A$1:$Z$1,0)),"")</f>
        <v/>
      </c>
      <c r="H1498" s="6" t="str">
        <f aca="false">IFERROR(INDEX('Semrush Data'!$A$1:$Z$20000,MATCH(A1498,'Semrush Data'!$A$1:$A$20000,0),MATCH("Keyword Difficulty*",'Semrush Data'!$A$1:$Z$1,0)),"")</f>
        <v/>
      </c>
      <c r="I1498" s="29" t="str">
        <f aca="false">IFERROR(INDEX('Semrush Data'!$A$1:$Z$20000,MATCH(A1498,'Semrush Data'!$A$1:$A$20000,0),MATCH("CPC*",'Semrush Data'!$A$1:$Z$1,0)),"")</f>
        <v/>
      </c>
      <c r="J1498" s="6" t="str">
        <f aca="false">IFERROR(INDEX('Semrush Data'!$A$1:$Z$20000,MATCH(A1498,'Semrush Data'!$A$1:$A$20000,0),MATCH("Intent",'Semrush Data'!$A$1:$Z$1,0)),"")</f>
        <v/>
      </c>
    </row>
    <row r="1499" customFormat="false" ht="15" hidden="false" customHeight="true" outlineLevel="0" collapsed="false">
      <c r="A1499" s="6" t="s">
        <v>5068</v>
      </c>
      <c r="B1499" s="6" t="s">
        <v>6869</v>
      </c>
      <c r="C1499" s="6" t="n">
        <v>2</v>
      </c>
      <c r="D1499" s="6" t="s">
        <v>6868</v>
      </c>
      <c r="E1499" s="6" t="n">
        <v>1</v>
      </c>
      <c r="F1499" s="6" t="s">
        <v>5061</v>
      </c>
      <c r="G1499" s="28" t="n">
        <f aca="false">IFERROR(INDEX('Semrush Data'!$A$1:$Z$20000,MATCH(A1499,'Semrush Data'!$A$1:$A$20000,0),MATCH("Volume",'Semrush Data'!$A$1:$Z$1,0)),"")</f>
        <v>0</v>
      </c>
      <c r="H1499" s="6" t="n">
        <f aca="false">IFERROR(INDEX('Semrush Data'!$A$1:$Z$20000,MATCH(A1499,'Semrush Data'!$A$1:$A$20000,0),MATCH("Keyword Difficulty*",'Semrush Data'!$A$1:$Z$1,0)),"")</f>
        <v>19</v>
      </c>
      <c r="I1499" s="29" t="n">
        <f aca="false">IFERROR(INDEX('Semrush Data'!$A$1:$Z$20000,MATCH(A1499,'Semrush Data'!$A$1:$A$20000,0),MATCH("CPC*",'Semrush Data'!$A$1:$Z$1,0)),"")</f>
        <v>0</v>
      </c>
      <c r="J1499" s="6" t="str">
        <f aca="false">IFERROR(INDEX('Semrush Data'!$A$1:$Z$20000,MATCH(A1499,'Semrush Data'!$A$1:$A$20000,0),MATCH("Intent",'Semrush Data'!$A$1:$Z$1,0)),"")</f>
        <v>Informational</v>
      </c>
    </row>
    <row r="1500" customFormat="false" ht="15" hidden="false" customHeight="true" outlineLevel="0" collapsed="false">
      <c r="A1500" s="6" t="s">
        <v>5120</v>
      </c>
      <c r="B1500" s="6" t="s">
        <v>6869</v>
      </c>
      <c r="C1500" s="6" t="n">
        <v>2</v>
      </c>
      <c r="D1500" s="6" t="s">
        <v>6867</v>
      </c>
      <c r="E1500" s="6" t="n">
        <v>1</v>
      </c>
      <c r="F1500" s="6" t="s">
        <v>107</v>
      </c>
      <c r="G1500" s="28" t="n">
        <f aca="false">IFERROR(INDEX('Semrush Data'!$A$1:$Z$20000,MATCH(A1500,'Semrush Data'!$A$1:$A$20000,0),MATCH("Volume",'Semrush Data'!$A$1:$Z$1,0)),"")</f>
        <v>20</v>
      </c>
      <c r="H1500" s="6" t="n">
        <f aca="false">IFERROR(INDEX('Semrush Data'!$A$1:$Z$20000,MATCH(A1500,'Semrush Data'!$A$1:$A$20000,0),MATCH("Keyword Difficulty*",'Semrush Data'!$A$1:$Z$1,0)),"")</f>
        <v>16</v>
      </c>
      <c r="I1500" s="29" t="n">
        <f aca="false">IFERROR(INDEX('Semrush Data'!$A$1:$Z$20000,MATCH(A1500,'Semrush Data'!$A$1:$A$20000,0),MATCH("CPC*",'Semrush Data'!$A$1:$Z$1,0)),"")</f>
        <v>0.57</v>
      </c>
      <c r="J1500" s="6" t="str">
        <f aca="false">IFERROR(INDEX('Semrush Data'!$A$1:$Z$20000,MATCH(A1500,'Semrush Data'!$A$1:$A$20000,0),MATCH("Intent",'Semrush Data'!$A$1:$Z$1,0)),"")</f>
        <v>Informational</v>
      </c>
    </row>
    <row r="1501" customFormat="false" ht="15" hidden="false" customHeight="true" outlineLevel="0" collapsed="false">
      <c r="A1501" s="6" t="s">
        <v>5102</v>
      </c>
      <c r="B1501" s="6" t="s">
        <v>6869</v>
      </c>
      <c r="C1501" s="6" t="n">
        <v>2</v>
      </c>
      <c r="D1501" s="6" t="n">
        <v>15</v>
      </c>
      <c r="E1501" s="6" t="n">
        <v>1</v>
      </c>
      <c r="F1501" s="6" t="s">
        <v>5096</v>
      </c>
      <c r="G1501" s="28" t="str">
        <f aca="false">IFERROR(INDEX('Semrush Data'!$A$1:$Z$20000,MATCH(A1501,'Semrush Data'!$A$1:$A$20000,0),MATCH("Volume",'Semrush Data'!$A$1:$Z$1,0)),"")</f>
        <v/>
      </c>
      <c r="H1501" s="6" t="str">
        <f aca="false">IFERROR(INDEX('Semrush Data'!$A$1:$Z$20000,MATCH(A1501,'Semrush Data'!$A$1:$A$20000,0),MATCH("Keyword Difficulty*",'Semrush Data'!$A$1:$Z$1,0)),"")</f>
        <v/>
      </c>
      <c r="I1501" s="29" t="str">
        <f aca="false">IFERROR(INDEX('Semrush Data'!$A$1:$Z$20000,MATCH(A1501,'Semrush Data'!$A$1:$A$20000,0),MATCH("CPC*",'Semrush Data'!$A$1:$Z$1,0)),"")</f>
        <v/>
      </c>
      <c r="J1501" s="6" t="str">
        <f aca="false">IFERROR(INDEX('Semrush Data'!$A$1:$Z$20000,MATCH(A1501,'Semrush Data'!$A$1:$A$20000,0),MATCH("Intent",'Semrush Data'!$A$1:$Z$1,0)),"")</f>
        <v/>
      </c>
    </row>
    <row r="1502" customFormat="false" ht="15" hidden="false" customHeight="true" outlineLevel="0" collapsed="false">
      <c r="A1502" s="6" t="s">
        <v>5080</v>
      </c>
      <c r="B1502" s="6" t="s">
        <v>6869</v>
      </c>
      <c r="C1502" s="6" t="n">
        <v>2</v>
      </c>
      <c r="D1502" s="6" t="s">
        <v>6867</v>
      </c>
      <c r="E1502" s="6" t="n">
        <v>1</v>
      </c>
      <c r="F1502" s="6" t="s">
        <v>65</v>
      </c>
      <c r="G1502" s="28" t="n">
        <f aca="false">IFERROR(INDEX('Semrush Data'!$A$1:$Z$20000,MATCH(A1502,'Semrush Data'!$A$1:$A$20000,0),MATCH("Volume",'Semrush Data'!$A$1:$Z$1,0)),"")</f>
        <v>170</v>
      </c>
      <c r="H1502" s="6" t="n">
        <f aca="false">IFERROR(INDEX('Semrush Data'!$A$1:$Z$20000,MATCH(A1502,'Semrush Data'!$A$1:$A$20000,0),MATCH("Keyword Difficulty*",'Semrush Data'!$A$1:$Z$1,0)),"")</f>
        <v>26</v>
      </c>
      <c r="I1502" s="29" t="n">
        <f aca="false">IFERROR(INDEX('Semrush Data'!$A$1:$Z$20000,MATCH(A1502,'Semrush Data'!$A$1:$A$20000,0),MATCH("CPC*",'Semrush Data'!$A$1:$Z$1,0)),"")</f>
        <v>0.44</v>
      </c>
      <c r="J1502" s="6" t="str">
        <f aca="false">IFERROR(INDEX('Semrush Data'!$A$1:$Z$20000,MATCH(A1502,'Semrush Data'!$A$1:$A$20000,0),MATCH("Intent",'Semrush Data'!$A$1:$Z$1,0)),"")</f>
        <v>Informational</v>
      </c>
    </row>
    <row r="1503" customFormat="false" ht="15" hidden="false" customHeight="true" outlineLevel="0" collapsed="false">
      <c r="A1503" s="6" t="s">
        <v>5111</v>
      </c>
      <c r="B1503" s="6" t="s">
        <v>6869</v>
      </c>
      <c r="C1503" s="6" t="n">
        <v>2</v>
      </c>
      <c r="D1503" s="6" t="s">
        <v>6867</v>
      </c>
      <c r="E1503" s="6" t="n">
        <v>1</v>
      </c>
      <c r="F1503" s="6" t="s">
        <v>89</v>
      </c>
      <c r="G1503" s="28" t="n">
        <f aca="false">IFERROR(INDEX('Semrush Data'!$A$1:$Z$20000,MATCH(A1503,'Semrush Data'!$A$1:$A$20000,0),MATCH("Volume",'Semrush Data'!$A$1:$Z$1,0)),"")</f>
        <v>90</v>
      </c>
      <c r="H1503" s="6" t="n">
        <f aca="false">IFERROR(INDEX('Semrush Data'!$A$1:$Z$20000,MATCH(A1503,'Semrush Data'!$A$1:$A$20000,0),MATCH("Keyword Difficulty*",'Semrush Data'!$A$1:$Z$1,0)),"")</f>
        <v>22</v>
      </c>
      <c r="I1503" s="29" t="n">
        <f aca="false">IFERROR(INDEX('Semrush Data'!$A$1:$Z$20000,MATCH(A1503,'Semrush Data'!$A$1:$A$20000,0),MATCH("CPC*",'Semrush Data'!$A$1:$Z$1,0)),"")</f>
        <v>0.34</v>
      </c>
      <c r="J1503" s="6" t="str">
        <f aca="false">IFERROR(INDEX('Semrush Data'!$A$1:$Z$20000,MATCH(A1503,'Semrush Data'!$A$1:$A$20000,0),MATCH("Intent",'Semrush Data'!$A$1:$Z$1,0)),"")</f>
        <v>Informational</v>
      </c>
    </row>
    <row r="1504" customFormat="false" ht="15" hidden="false" customHeight="true" outlineLevel="0" collapsed="false">
      <c r="A1504" s="6" t="s">
        <v>5091</v>
      </c>
      <c r="B1504" s="6" t="s">
        <v>6869</v>
      </c>
      <c r="C1504" s="6" t="n">
        <v>2</v>
      </c>
      <c r="D1504" s="6" t="n">
        <v>16</v>
      </c>
      <c r="E1504" s="6" t="n">
        <v>1</v>
      </c>
      <c r="F1504" s="6" t="s">
        <v>5085</v>
      </c>
      <c r="G1504" s="28" t="str">
        <f aca="false">IFERROR(INDEX('Semrush Data'!$A$1:$Z$20000,MATCH(A1504,'Semrush Data'!$A$1:$A$20000,0),MATCH("Volume",'Semrush Data'!$A$1:$Z$1,0)),"")</f>
        <v/>
      </c>
      <c r="H1504" s="6" t="str">
        <f aca="false">IFERROR(INDEX('Semrush Data'!$A$1:$Z$20000,MATCH(A1504,'Semrush Data'!$A$1:$A$20000,0),MATCH("Keyword Difficulty*",'Semrush Data'!$A$1:$Z$1,0)),"")</f>
        <v/>
      </c>
      <c r="I1504" s="29" t="str">
        <f aca="false">IFERROR(INDEX('Semrush Data'!$A$1:$Z$20000,MATCH(A1504,'Semrush Data'!$A$1:$A$20000,0),MATCH("CPC*",'Semrush Data'!$A$1:$Z$1,0)),"")</f>
        <v/>
      </c>
      <c r="J1504" s="6" t="str">
        <f aca="false">IFERROR(INDEX('Semrush Data'!$A$1:$Z$20000,MATCH(A1504,'Semrush Data'!$A$1:$A$20000,0),MATCH("Intent",'Semrush Data'!$A$1:$Z$1,0)),"")</f>
        <v/>
      </c>
    </row>
    <row r="1505" customFormat="false" ht="15" hidden="false" customHeight="true" outlineLevel="0" collapsed="false">
      <c r="A1505" s="6" t="s">
        <v>5133</v>
      </c>
      <c r="B1505" s="6" t="s">
        <v>6869</v>
      </c>
      <c r="C1505" s="6" t="n">
        <v>2</v>
      </c>
      <c r="D1505" s="6" t="n">
        <v>16</v>
      </c>
      <c r="E1505" s="6" t="n">
        <v>1</v>
      </c>
      <c r="F1505" s="6" t="s">
        <v>5125</v>
      </c>
      <c r="G1505" s="28" t="str">
        <f aca="false">IFERROR(INDEX('Semrush Data'!$A$1:$Z$20000,MATCH(A1505,'Semrush Data'!$A$1:$A$20000,0),MATCH("Volume",'Semrush Data'!$A$1:$Z$1,0)),"")</f>
        <v/>
      </c>
      <c r="H1505" s="6" t="str">
        <f aca="false">IFERROR(INDEX('Semrush Data'!$A$1:$Z$20000,MATCH(A1505,'Semrush Data'!$A$1:$A$20000,0),MATCH("Keyword Difficulty*",'Semrush Data'!$A$1:$Z$1,0)),"")</f>
        <v/>
      </c>
      <c r="I1505" s="29" t="str">
        <f aca="false">IFERROR(INDEX('Semrush Data'!$A$1:$Z$20000,MATCH(A1505,'Semrush Data'!$A$1:$A$20000,0),MATCH("CPC*",'Semrush Data'!$A$1:$Z$1,0)),"")</f>
        <v/>
      </c>
      <c r="J1505" s="6" t="str">
        <f aca="false">IFERROR(INDEX('Semrush Data'!$A$1:$Z$20000,MATCH(A1505,'Semrush Data'!$A$1:$A$20000,0),MATCH("Intent",'Semrush Data'!$A$1:$Z$1,0)),"")</f>
        <v/>
      </c>
    </row>
    <row r="1506" customFormat="false" ht="15" hidden="false" customHeight="true" outlineLevel="0" collapsed="false">
      <c r="A1506" s="6" t="s">
        <v>5159</v>
      </c>
      <c r="B1506" s="6" t="s">
        <v>6869</v>
      </c>
      <c r="C1506" s="6" t="n">
        <v>2</v>
      </c>
      <c r="D1506" s="6" t="n">
        <v>16</v>
      </c>
      <c r="E1506" s="6" t="n">
        <v>1</v>
      </c>
      <c r="F1506" s="6" t="s">
        <v>5151</v>
      </c>
      <c r="G1506" s="28" t="str">
        <f aca="false">IFERROR(INDEX('Semrush Data'!$A$1:$Z$20000,MATCH(A1506,'Semrush Data'!$A$1:$A$20000,0),MATCH("Volume",'Semrush Data'!$A$1:$Z$1,0)),"")</f>
        <v/>
      </c>
      <c r="H1506" s="6" t="str">
        <f aca="false">IFERROR(INDEX('Semrush Data'!$A$1:$Z$20000,MATCH(A1506,'Semrush Data'!$A$1:$A$20000,0),MATCH("Keyword Difficulty*",'Semrush Data'!$A$1:$Z$1,0)),"")</f>
        <v/>
      </c>
      <c r="I1506" s="29" t="str">
        <f aca="false">IFERROR(INDEX('Semrush Data'!$A$1:$Z$20000,MATCH(A1506,'Semrush Data'!$A$1:$A$20000,0),MATCH("CPC*",'Semrush Data'!$A$1:$Z$1,0)),"")</f>
        <v/>
      </c>
      <c r="J1506" s="6" t="str">
        <f aca="false">IFERROR(INDEX('Semrush Data'!$A$1:$Z$20000,MATCH(A1506,'Semrush Data'!$A$1:$A$20000,0),MATCH("Intent",'Semrush Data'!$A$1:$Z$1,0)),"")</f>
        <v/>
      </c>
    </row>
    <row r="1507" customFormat="false" ht="15" hidden="false" customHeight="true" outlineLevel="0" collapsed="false">
      <c r="A1507" s="6" t="s">
        <v>5192</v>
      </c>
      <c r="B1507" s="6" t="s">
        <v>6869</v>
      </c>
      <c r="C1507" s="6" t="n">
        <v>2</v>
      </c>
      <c r="D1507" s="6" t="n">
        <v>16</v>
      </c>
      <c r="E1507" s="6" t="n">
        <v>1</v>
      </c>
      <c r="F1507" s="6" t="s">
        <v>5186</v>
      </c>
      <c r="G1507" s="28" t="str">
        <f aca="false">IFERROR(INDEX('Semrush Data'!$A$1:$Z$20000,MATCH(A1507,'Semrush Data'!$A$1:$A$20000,0),MATCH("Volume",'Semrush Data'!$A$1:$Z$1,0)),"")</f>
        <v/>
      </c>
      <c r="H1507" s="6" t="str">
        <f aca="false">IFERROR(INDEX('Semrush Data'!$A$1:$Z$20000,MATCH(A1507,'Semrush Data'!$A$1:$A$20000,0),MATCH("Keyword Difficulty*",'Semrush Data'!$A$1:$Z$1,0)),"")</f>
        <v/>
      </c>
      <c r="I1507" s="29" t="str">
        <f aca="false">IFERROR(INDEX('Semrush Data'!$A$1:$Z$20000,MATCH(A1507,'Semrush Data'!$A$1:$A$20000,0),MATCH("CPC*",'Semrush Data'!$A$1:$Z$1,0)),"")</f>
        <v/>
      </c>
      <c r="J1507" s="6" t="str">
        <f aca="false">IFERROR(INDEX('Semrush Data'!$A$1:$Z$20000,MATCH(A1507,'Semrush Data'!$A$1:$A$20000,0),MATCH("Intent",'Semrush Data'!$A$1:$Z$1,0)),"")</f>
        <v/>
      </c>
    </row>
    <row r="1508" customFormat="false" ht="15" hidden="false" customHeight="true" outlineLevel="0" collapsed="false">
      <c r="A1508" s="6" t="s">
        <v>5202</v>
      </c>
      <c r="B1508" s="6" t="s">
        <v>6869</v>
      </c>
      <c r="C1508" s="6" t="n">
        <v>2</v>
      </c>
      <c r="D1508" s="6" t="s">
        <v>6867</v>
      </c>
      <c r="E1508" s="6" t="n">
        <v>1</v>
      </c>
      <c r="F1508" s="6" t="s">
        <v>5195</v>
      </c>
      <c r="G1508" s="28" t="n">
        <f aca="false">IFERROR(INDEX('Semrush Data'!$A$1:$Z$20000,MATCH(A1508,'Semrush Data'!$A$1:$A$20000,0),MATCH("Volume",'Semrush Data'!$A$1:$Z$1,0)),"")</f>
        <v>20</v>
      </c>
      <c r="H1508" s="6" t="n">
        <f aca="false">IFERROR(INDEX('Semrush Data'!$A$1:$Z$20000,MATCH(A1508,'Semrush Data'!$A$1:$A$20000,0),MATCH("Keyword Difficulty*",'Semrush Data'!$A$1:$Z$1,0)),"")</f>
        <v>18</v>
      </c>
      <c r="I1508" s="29" t="n">
        <f aca="false">IFERROR(INDEX('Semrush Data'!$A$1:$Z$20000,MATCH(A1508,'Semrush Data'!$A$1:$A$20000,0),MATCH("CPC*",'Semrush Data'!$A$1:$Z$1,0)),"")</f>
        <v>0</v>
      </c>
      <c r="J1508" s="6" t="str">
        <f aca="false">IFERROR(INDEX('Semrush Data'!$A$1:$Z$20000,MATCH(A1508,'Semrush Data'!$A$1:$A$20000,0),MATCH("Intent",'Semrush Data'!$A$1:$Z$1,0)),"")</f>
        <v>Informational</v>
      </c>
    </row>
    <row r="1509" customFormat="false" ht="15" hidden="false" customHeight="true" outlineLevel="0" collapsed="false">
      <c r="A1509" s="6" t="s">
        <v>5210</v>
      </c>
      <c r="B1509" s="6" t="s">
        <v>6869</v>
      </c>
      <c r="C1509" s="6" t="n">
        <v>2</v>
      </c>
      <c r="D1509" s="6" t="s">
        <v>6867</v>
      </c>
      <c r="E1509" s="6" t="n">
        <v>1</v>
      </c>
      <c r="F1509" s="6" t="s">
        <v>55</v>
      </c>
      <c r="G1509" s="28" t="n">
        <f aca="false">IFERROR(INDEX('Semrush Data'!$A$1:$Z$20000,MATCH(A1509,'Semrush Data'!$A$1:$A$20000,0),MATCH("Volume",'Semrush Data'!$A$1:$Z$1,0)),"")</f>
        <v>210</v>
      </c>
      <c r="H1509" s="6" t="n">
        <f aca="false">IFERROR(INDEX('Semrush Data'!$A$1:$Z$20000,MATCH(A1509,'Semrush Data'!$A$1:$A$20000,0),MATCH("Keyword Difficulty*",'Semrush Data'!$A$1:$Z$1,0)),"")</f>
        <v>20</v>
      </c>
      <c r="I1509" s="29" t="n">
        <f aca="false">IFERROR(INDEX('Semrush Data'!$A$1:$Z$20000,MATCH(A1509,'Semrush Data'!$A$1:$A$20000,0),MATCH("CPC*",'Semrush Data'!$A$1:$Z$1,0)),"")</f>
        <v>0.44</v>
      </c>
      <c r="J1509" s="6" t="str">
        <f aca="false">IFERROR(INDEX('Semrush Data'!$A$1:$Z$20000,MATCH(A1509,'Semrush Data'!$A$1:$A$20000,0),MATCH("Intent",'Semrush Data'!$A$1:$Z$1,0)),"")</f>
        <v>Informational</v>
      </c>
    </row>
    <row r="1510" customFormat="false" ht="15" hidden="false" customHeight="true" outlineLevel="0" collapsed="false">
      <c r="A1510" s="6" t="s">
        <v>5222</v>
      </c>
      <c r="B1510" s="6" t="s">
        <v>6869</v>
      </c>
      <c r="C1510" s="6" t="n">
        <v>2</v>
      </c>
      <c r="D1510" s="6" t="n">
        <v>16</v>
      </c>
      <c r="E1510" s="6" t="n">
        <v>1</v>
      </c>
      <c r="F1510" s="6" t="s">
        <v>5216</v>
      </c>
      <c r="G1510" s="28" t="str">
        <f aca="false">IFERROR(INDEX('Semrush Data'!$A$1:$Z$20000,MATCH(A1510,'Semrush Data'!$A$1:$A$20000,0),MATCH("Volume",'Semrush Data'!$A$1:$Z$1,0)),"")</f>
        <v/>
      </c>
      <c r="H1510" s="6" t="str">
        <f aca="false">IFERROR(INDEX('Semrush Data'!$A$1:$Z$20000,MATCH(A1510,'Semrush Data'!$A$1:$A$20000,0),MATCH("Keyword Difficulty*",'Semrush Data'!$A$1:$Z$1,0)),"")</f>
        <v/>
      </c>
      <c r="I1510" s="29" t="str">
        <f aca="false">IFERROR(INDEX('Semrush Data'!$A$1:$Z$20000,MATCH(A1510,'Semrush Data'!$A$1:$A$20000,0),MATCH("CPC*",'Semrush Data'!$A$1:$Z$1,0)),"")</f>
        <v/>
      </c>
      <c r="J1510" s="6" t="str">
        <f aca="false">IFERROR(INDEX('Semrush Data'!$A$1:$Z$20000,MATCH(A1510,'Semrush Data'!$A$1:$A$20000,0),MATCH("Intent",'Semrush Data'!$A$1:$Z$1,0)),"")</f>
        <v/>
      </c>
    </row>
    <row r="1511" customFormat="false" ht="15" hidden="false" customHeight="true" outlineLevel="0" collapsed="false">
      <c r="A1511" s="6" t="s">
        <v>5235</v>
      </c>
      <c r="B1511" s="6" t="s">
        <v>6869</v>
      </c>
      <c r="C1511" s="6" t="n">
        <v>2</v>
      </c>
      <c r="D1511" s="6" t="n">
        <v>16</v>
      </c>
      <c r="E1511" s="6" t="n">
        <v>3</v>
      </c>
      <c r="F1511" s="6" t="s">
        <v>6636</v>
      </c>
      <c r="G1511" s="28" t="str">
        <f aca="false">IFERROR(INDEX('Semrush Data'!$A$1:$Z$20000,MATCH(A1511,'Semrush Data'!$A$1:$A$20000,0),MATCH("Volume",'Semrush Data'!$A$1:$Z$1,0)),"")</f>
        <v/>
      </c>
      <c r="H1511" s="6" t="str">
        <f aca="false">IFERROR(INDEX('Semrush Data'!$A$1:$Z$20000,MATCH(A1511,'Semrush Data'!$A$1:$A$20000,0),MATCH("Keyword Difficulty*",'Semrush Data'!$A$1:$Z$1,0)),"")</f>
        <v/>
      </c>
      <c r="I1511" s="29" t="str">
        <f aca="false">IFERROR(INDEX('Semrush Data'!$A$1:$Z$20000,MATCH(A1511,'Semrush Data'!$A$1:$A$20000,0),MATCH("CPC*",'Semrush Data'!$A$1:$Z$1,0)),"")</f>
        <v/>
      </c>
      <c r="J1511" s="6" t="str">
        <f aca="false">IFERROR(INDEX('Semrush Data'!$A$1:$Z$20000,MATCH(A1511,'Semrush Data'!$A$1:$A$20000,0),MATCH("Intent",'Semrush Data'!$A$1:$Z$1,0)),"")</f>
        <v/>
      </c>
    </row>
    <row r="1512" customFormat="false" ht="15" hidden="false" customHeight="true" outlineLevel="0" collapsed="false">
      <c r="A1512" s="6" t="s">
        <v>5251</v>
      </c>
      <c r="B1512" s="6" t="s">
        <v>6869</v>
      </c>
      <c r="C1512" s="6" t="n">
        <v>2</v>
      </c>
      <c r="D1512" s="6" t="n">
        <v>16</v>
      </c>
      <c r="E1512" s="6" t="n">
        <v>1</v>
      </c>
      <c r="F1512" s="6" t="s">
        <v>5244</v>
      </c>
      <c r="G1512" s="28" t="str">
        <f aca="false">IFERROR(INDEX('Semrush Data'!$A$1:$Z$20000,MATCH(A1512,'Semrush Data'!$A$1:$A$20000,0),MATCH("Volume",'Semrush Data'!$A$1:$Z$1,0)),"")</f>
        <v/>
      </c>
      <c r="H1512" s="6" t="str">
        <f aca="false">IFERROR(INDEX('Semrush Data'!$A$1:$Z$20000,MATCH(A1512,'Semrush Data'!$A$1:$A$20000,0),MATCH("Keyword Difficulty*",'Semrush Data'!$A$1:$Z$1,0)),"")</f>
        <v/>
      </c>
      <c r="I1512" s="29" t="str">
        <f aca="false">IFERROR(INDEX('Semrush Data'!$A$1:$Z$20000,MATCH(A1512,'Semrush Data'!$A$1:$A$20000,0),MATCH("CPC*",'Semrush Data'!$A$1:$Z$1,0)),"")</f>
        <v/>
      </c>
      <c r="J1512" s="6" t="str">
        <f aca="false">IFERROR(INDEX('Semrush Data'!$A$1:$Z$20000,MATCH(A1512,'Semrush Data'!$A$1:$A$20000,0),MATCH("Intent",'Semrush Data'!$A$1:$Z$1,0)),"")</f>
        <v/>
      </c>
    </row>
    <row r="1513" customFormat="false" ht="15" hidden="false" customHeight="true" outlineLevel="0" collapsed="false">
      <c r="A1513" s="6" t="s">
        <v>5264</v>
      </c>
      <c r="B1513" s="6" t="s">
        <v>6869</v>
      </c>
      <c r="C1513" s="6" t="n">
        <v>2</v>
      </c>
      <c r="D1513" s="6" t="n">
        <v>16</v>
      </c>
      <c r="E1513" s="6" t="n">
        <v>1</v>
      </c>
      <c r="F1513" s="6" t="s">
        <v>5257</v>
      </c>
      <c r="G1513" s="28" t="str">
        <f aca="false">IFERROR(INDEX('Semrush Data'!$A$1:$Z$20000,MATCH(A1513,'Semrush Data'!$A$1:$A$20000,0),MATCH("Volume",'Semrush Data'!$A$1:$Z$1,0)),"")</f>
        <v/>
      </c>
      <c r="H1513" s="6" t="str">
        <f aca="false">IFERROR(INDEX('Semrush Data'!$A$1:$Z$20000,MATCH(A1513,'Semrush Data'!$A$1:$A$20000,0),MATCH("Keyword Difficulty*",'Semrush Data'!$A$1:$Z$1,0)),"")</f>
        <v/>
      </c>
      <c r="I1513" s="29" t="str">
        <f aca="false">IFERROR(INDEX('Semrush Data'!$A$1:$Z$20000,MATCH(A1513,'Semrush Data'!$A$1:$A$20000,0),MATCH("CPC*",'Semrush Data'!$A$1:$Z$1,0)),"")</f>
        <v/>
      </c>
      <c r="J1513" s="6" t="str">
        <f aca="false">IFERROR(INDEX('Semrush Data'!$A$1:$Z$20000,MATCH(A1513,'Semrush Data'!$A$1:$A$20000,0),MATCH("Intent",'Semrush Data'!$A$1:$Z$1,0)),"")</f>
        <v/>
      </c>
    </row>
    <row r="1514" customFormat="false" ht="15" hidden="false" customHeight="true" outlineLevel="0" collapsed="false">
      <c r="A1514" s="6" t="s">
        <v>5277</v>
      </c>
      <c r="B1514" s="6" t="s">
        <v>6869</v>
      </c>
      <c r="C1514" s="6" t="n">
        <v>2</v>
      </c>
      <c r="D1514" s="6" t="n">
        <v>16</v>
      </c>
      <c r="E1514" s="6" t="n">
        <v>1</v>
      </c>
      <c r="F1514" s="6" t="s">
        <v>5270</v>
      </c>
      <c r="G1514" s="28" t="str">
        <f aca="false">IFERROR(INDEX('Semrush Data'!$A$1:$Z$20000,MATCH(A1514,'Semrush Data'!$A$1:$A$20000,0),MATCH("Volume",'Semrush Data'!$A$1:$Z$1,0)),"")</f>
        <v/>
      </c>
      <c r="H1514" s="6" t="str">
        <f aca="false">IFERROR(INDEX('Semrush Data'!$A$1:$Z$20000,MATCH(A1514,'Semrush Data'!$A$1:$A$20000,0),MATCH("Keyword Difficulty*",'Semrush Data'!$A$1:$Z$1,0)),"")</f>
        <v/>
      </c>
      <c r="I1514" s="29" t="str">
        <f aca="false">IFERROR(INDEX('Semrush Data'!$A$1:$Z$20000,MATCH(A1514,'Semrush Data'!$A$1:$A$20000,0),MATCH("CPC*",'Semrush Data'!$A$1:$Z$1,0)),"")</f>
        <v/>
      </c>
      <c r="J1514" s="6" t="str">
        <f aca="false">IFERROR(INDEX('Semrush Data'!$A$1:$Z$20000,MATCH(A1514,'Semrush Data'!$A$1:$A$20000,0),MATCH("Intent",'Semrush Data'!$A$1:$Z$1,0)),"")</f>
        <v/>
      </c>
    </row>
    <row r="1515" customFormat="false" ht="15" hidden="false" customHeight="true" outlineLevel="0" collapsed="false">
      <c r="A1515" s="6" t="s">
        <v>5979</v>
      </c>
      <c r="B1515" s="6" t="s">
        <v>6869</v>
      </c>
      <c r="C1515" s="6" t="n">
        <v>2</v>
      </c>
      <c r="D1515" s="6" t="n">
        <v>16</v>
      </c>
      <c r="E1515" s="6" t="n">
        <v>1</v>
      </c>
      <c r="F1515" s="6" t="s">
        <v>5973</v>
      </c>
      <c r="G1515" s="28" t="str">
        <f aca="false">IFERROR(INDEX('Semrush Data'!$A$1:$Z$20000,MATCH(A1515,'Semrush Data'!$A$1:$A$20000,0),MATCH("Volume",'Semrush Data'!$A$1:$Z$1,0)),"")</f>
        <v/>
      </c>
      <c r="H1515" s="6" t="str">
        <f aca="false">IFERROR(INDEX('Semrush Data'!$A$1:$Z$20000,MATCH(A1515,'Semrush Data'!$A$1:$A$20000,0),MATCH("Keyword Difficulty*",'Semrush Data'!$A$1:$Z$1,0)),"")</f>
        <v/>
      </c>
      <c r="I1515" s="29" t="str">
        <f aca="false">IFERROR(INDEX('Semrush Data'!$A$1:$Z$20000,MATCH(A1515,'Semrush Data'!$A$1:$A$20000,0),MATCH("CPC*",'Semrush Data'!$A$1:$Z$1,0)),"")</f>
        <v/>
      </c>
      <c r="J1515" s="6" t="str">
        <f aca="false">IFERROR(INDEX('Semrush Data'!$A$1:$Z$20000,MATCH(A1515,'Semrush Data'!$A$1:$A$20000,0),MATCH("Intent",'Semrush Data'!$A$1:$Z$1,0)),"")</f>
        <v/>
      </c>
    </row>
    <row r="1516" customFormat="false" ht="15" hidden="false" customHeight="true" outlineLevel="0" collapsed="false">
      <c r="A1516" s="6" t="s">
        <v>5289</v>
      </c>
      <c r="B1516" s="6" t="s">
        <v>6869</v>
      </c>
      <c r="C1516" s="6" t="n">
        <v>2</v>
      </c>
      <c r="D1516" s="6" t="n">
        <v>16</v>
      </c>
      <c r="E1516" s="6" t="n">
        <v>1</v>
      </c>
      <c r="F1516" s="6" t="s">
        <v>5282</v>
      </c>
      <c r="G1516" s="28" t="str">
        <f aca="false">IFERROR(INDEX('Semrush Data'!$A$1:$Z$20000,MATCH(A1516,'Semrush Data'!$A$1:$A$20000,0),MATCH("Volume",'Semrush Data'!$A$1:$Z$1,0)),"")</f>
        <v/>
      </c>
      <c r="H1516" s="6" t="str">
        <f aca="false">IFERROR(INDEX('Semrush Data'!$A$1:$Z$20000,MATCH(A1516,'Semrush Data'!$A$1:$A$20000,0),MATCH("Keyword Difficulty*",'Semrush Data'!$A$1:$Z$1,0)),"")</f>
        <v/>
      </c>
      <c r="I1516" s="29" t="str">
        <f aca="false">IFERROR(INDEX('Semrush Data'!$A$1:$Z$20000,MATCH(A1516,'Semrush Data'!$A$1:$A$20000,0),MATCH("CPC*",'Semrush Data'!$A$1:$Z$1,0)),"")</f>
        <v/>
      </c>
      <c r="J1516" s="6" t="str">
        <f aca="false">IFERROR(INDEX('Semrush Data'!$A$1:$Z$20000,MATCH(A1516,'Semrush Data'!$A$1:$A$20000,0),MATCH("Intent",'Semrush Data'!$A$1:$Z$1,0)),"")</f>
        <v/>
      </c>
    </row>
    <row r="1517" customFormat="false" ht="15" hidden="false" customHeight="true" outlineLevel="0" collapsed="false">
      <c r="A1517" s="6" t="s">
        <v>5324</v>
      </c>
      <c r="B1517" s="6" t="s">
        <v>6869</v>
      </c>
      <c r="C1517" s="6" t="n">
        <v>2</v>
      </c>
      <c r="D1517" s="6" t="n">
        <v>16</v>
      </c>
      <c r="E1517" s="6" t="n">
        <v>1</v>
      </c>
      <c r="F1517" s="6" t="s">
        <v>5318</v>
      </c>
      <c r="G1517" s="28" t="str">
        <f aca="false">IFERROR(INDEX('Semrush Data'!$A$1:$Z$20000,MATCH(A1517,'Semrush Data'!$A$1:$A$20000,0),MATCH("Volume",'Semrush Data'!$A$1:$Z$1,0)),"")</f>
        <v/>
      </c>
      <c r="H1517" s="6" t="str">
        <f aca="false">IFERROR(INDEX('Semrush Data'!$A$1:$Z$20000,MATCH(A1517,'Semrush Data'!$A$1:$A$20000,0),MATCH("Keyword Difficulty*",'Semrush Data'!$A$1:$Z$1,0)),"")</f>
        <v/>
      </c>
      <c r="I1517" s="29" t="str">
        <f aca="false">IFERROR(INDEX('Semrush Data'!$A$1:$Z$20000,MATCH(A1517,'Semrush Data'!$A$1:$A$20000,0),MATCH("CPC*",'Semrush Data'!$A$1:$Z$1,0)),"")</f>
        <v/>
      </c>
      <c r="J1517" s="6" t="str">
        <f aca="false">IFERROR(INDEX('Semrush Data'!$A$1:$Z$20000,MATCH(A1517,'Semrush Data'!$A$1:$A$20000,0),MATCH("Intent",'Semrush Data'!$A$1:$Z$1,0)),"")</f>
        <v/>
      </c>
    </row>
    <row r="1518" customFormat="false" ht="15" hidden="false" customHeight="true" outlineLevel="0" collapsed="false">
      <c r="A1518" s="6" t="s">
        <v>5334</v>
      </c>
      <c r="B1518" s="6" t="s">
        <v>6869</v>
      </c>
      <c r="C1518" s="6" t="n">
        <v>2</v>
      </c>
      <c r="D1518" s="6" t="n">
        <v>16</v>
      </c>
      <c r="E1518" s="6" t="n">
        <v>1</v>
      </c>
      <c r="F1518" s="6" t="s">
        <v>5328</v>
      </c>
      <c r="G1518" s="28" t="str">
        <f aca="false">IFERROR(INDEX('Semrush Data'!$A$1:$Z$20000,MATCH(A1518,'Semrush Data'!$A$1:$A$20000,0),MATCH("Volume",'Semrush Data'!$A$1:$Z$1,0)),"")</f>
        <v/>
      </c>
      <c r="H1518" s="6" t="str">
        <f aca="false">IFERROR(INDEX('Semrush Data'!$A$1:$Z$20000,MATCH(A1518,'Semrush Data'!$A$1:$A$20000,0),MATCH("Keyword Difficulty*",'Semrush Data'!$A$1:$Z$1,0)),"")</f>
        <v/>
      </c>
      <c r="I1518" s="29" t="str">
        <f aca="false">IFERROR(INDEX('Semrush Data'!$A$1:$Z$20000,MATCH(A1518,'Semrush Data'!$A$1:$A$20000,0),MATCH("CPC*",'Semrush Data'!$A$1:$Z$1,0)),"")</f>
        <v/>
      </c>
      <c r="J1518" s="6" t="str">
        <f aca="false">IFERROR(INDEX('Semrush Data'!$A$1:$Z$20000,MATCH(A1518,'Semrush Data'!$A$1:$A$20000,0),MATCH("Intent",'Semrush Data'!$A$1:$Z$1,0)),"")</f>
        <v/>
      </c>
    </row>
    <row r="1519" customFormat="false" ht="15" hidden="false" customHeight="true" outlineLevel="0" collapsed="false">
      <c r="A1519" s="6" t="s">
        <v>5301</v>
      </c>
      <c r="B1519" s="6" t="s">
        <v>6869</v>
      </c>
      <c r="C1519" s="6" t="n">
        <v>2</v>
      </c>
      <c r="D1519" s="6" t="n">
        <v>16</v>
      </c>
      <c r="E1519" s="6" t="n">
        <v>1</v>
      </c>
      <c r="F1519" s="6" t="s">
        <v>5294</v>
      </c>
      <c r="G1519" s="28" t="str">
        <f aca="false">IFERROR(INDEX('Semrush Data'!$A$1:$Z$20000,MATCH(A1519,'Semrush Data'!$A$1:$A$20000,0),MATCH("Volume",'Semrush Data'!$A$1:$Z$1,0)),"")</f>
        <v/>
      </c>
      <c r="H1519" s="6" t="str">
        <f aca="false">IFERROR(INDEX('Semrush Data'!$A$1:$Z$20000,MATCH(A1519,'Semrush Data'!$A$1:$A$20000,0),MATCH("Keyword Difficulty*",'Semrush Data'!$A$1:$Z$1,0)),"")</f>
        <v/>
      </c>
      <c r="I1519" s="29" t="str">
        <f aca="false">IFERROR(INDEX('Semrush Data'!$A$1:$Z$20000,MATCH(A1519,'Semrush Data'!$A$1:$A$20000,0),MATCH("CPC*",'Semrush Data'!$A$1:$Z$1,0)),"")</f>
        <v/>
      </c>
      <c r="J1519" s="6" t="str">
        <f aca="false">IFERROR(INDEX('Semrush Data'!$A$1:$Z$20000,MATCH(A1519,'Semrush Data'!$A$1:$A$20000,0),MATCH("Intent",'Semrush Data'!$A$1:$Z$1,0)),"")</f>
        <v/>
      </c>
    </row>
    <row r="1520" customFormat="false" ht="15" hidden="false" customHeight="true" outlineLevel="0" collapsed="false">
      <c r="A1520" s="6" t="s">
        <v>5313</v>
      </c>
      <c r="B1520" s="6" t="s">
        <v>6869</v>
      </c>
      <c r="C1520" s="6" t="n">
        <v>2</v>
      </c>
      <c r="D1520" s="6" t="n">
        <v>16</v>
      </c>
      <c r="E1520" s="6" t="n">
        <v>1</v>
      </c>
      <c r="F1520" s="6" t="s">
        <v>5307</v>
      </c>
      <c r="G1520" s="28" t="str">
        <f aca="false">IFERROR(INDEX('Semrush Data'!$A$1:$Z$20000,MATCH(A1520,'Semrush Data'!$A$1:$A$20000,0),MATCH("Volume",'Semrush Data'!$A$1:$Z$1,0)),"")</f>
        <v/>
      </c>
      <c r="H1520" s="6" t="str">
        <f aca="false">IFERROR(INDEX('Semrush Data'!$A$1:$Z$20000,MATCH(A1520,'Semrush Data'!$A$1:$A$20000,0),MATCH("Keyword Difficulty*",'Semrush Data'!$A$1:$Z$1,0)),"")</f>
        <v/>
      </c>
      <c r="I1520" s="29" t="str">
        <f aca="false">IFERROR(INDEX('Semrush Data'!$A$1:$Z$20000,MATCH(A1520,'Semrush Data'!$A$1:$A$20000,0),MATCH("CPC*",'Semrush Data'!$A$1:$Z$1,0)),"")</f>
        <v/>
      </c>
      <c r="J1520" s="6" t="str">
        <f aca="false">IFERROR(INDEX('Semrush Data'!$A$1:$Z$20000,MATCH(A1520,'Semrush Data'!$A$1:$A$20000,0),MATCH("Intent",'Semrush Data'!$A$1:$Z$1,0)),"")</f>
        <v/>
      </c>
    </row>
    <row r="1521" customFormat="false" ht="15" hidden="false" customHeight="true" outlineLevel="0" collapsed="false">
      <c r="A1521" s="6" t="s">
        <v>5356</v>
      </c>
      <c r="B1521" s="6" t="s">
        <v>6869</v>
      </c>
      <c r="C1521" s="6" t="n">
        <v>2</v>
      </c>
      <c r="D1521" s="6" t="n">
        <v>16</v>
      </c>
      <c r="E1521" s="6" t="n">
        <v>1</v>
      </c>
      <c r="F1521" s="6" t="s">
        <v>5349</v>
      </c>
      <c r="G1521" s="28" t="str">
        <f aca="false">IFERROR(INDEX('Semrush Data'!$A$1:$Z$20000,MATCH(A1521,'Semrush Data'!$A$1:$A$20000,0),MATCH("Volume",'Semrush Data'!$A$1:$Z$1,0)),"")</f>
        <v/>
      </c>
      <c r="H1521" s="6" t="str">
        <f aca="false">IFERROR(INDEX('Semrush Data'!$A$1:$Z$20000,MATCH(A1521,'Semrush Data'!$A$1:$A$20000,0),MATCH("Keyword Difficulty*",'Semrush Data'!$A$1:$Z$1,0)),"")</f>
        <v/>
      </c>
      <c r="I1521" s="29" t="str">
        <f aca="false">IFERROR(INDEX('Semrush Data'!$A$1:$Z$20000,MATCH(A1521,'Semrush Data'!$A$1:$A$20000,0),MATCH("CPC*",'Semrush Data'!$A$1:$Z$1,0)),"")</f>
        <v/>
      </c>
      <c r="J1521" s="6" t="str">
        <f aca="false">IFERROR(INDEX('Semrush Data'!$A$1:$Z$20000,MATCH(A1521,'Semrush Data'!$A$1:$A$20000,0),MATCH("Intent",'Semrush Data'!$A$1:$Z$1,0)),"")</f>
        <v/>
      </c>
    </row>
    <row r="1522" customFormat="false" ht="15" hidden="false" customHeight="true" outlineLevel="0" collapsed="false">
      <c r="A1522" s="6" t="s">
        <v>5368</v>
      </c>
      <c r="B1522" s="6" t="s">
        <v>6869</v>
      </c>
      <c r="C1522" s="6" t="n">
        <v>2</v>
      </c>
      <c r="D1522" s="6" t="n">
        <v>16</v>
      </c>
      <c r="E1522" s="6" t="n">
        <v>1</v>
      </c>
      <c r="F1522" s="6" t="s">
        <v>5362</v>
      </c>
      <c r="G1522" s="28" t="str">
        <f aca="false">IFERROR(INDEX('Semrush Data'!$A$1:$Z$20000,MATCH(A1522,'Semrush Data'!$A$1:$A$20000,0),MATCH("Volume",'Semrush Data'!$A$1:$Z$1,0)),"")</f>
        <v/>
      </c>
      <c r="H1522" s="6" t="str">
        <f aca="false">IFERROR(INDEX('Semrush Data'!$A$1:$Z$20000,MATCH(A1522,'Semrush Data'!$A$1:$A$20000,0),MATCH("Keyword Difficulty*",'Semrush Data'!$A$1:$Z$1,0)),"")</f>
        <v/>
      </c>
      <c r="I1522" s="29" t="str">
        <f aca="false">IFERROR(INDEX('Semrush Data'!$A$1:$Z$20000,MATCH(A1522,'Semrush Data'!$A$1:$A$20000,0),MATCH("CPC*",'Semrush Data'!$A$1:$Z$1,0)),"")</f>
        <v/>
      </c>
      <c r="J1522" s="6" t="str">
        <f aca="false">IFERROR(INDEX('Semrush Data'!$A$1:$Z$20000,MATCH(A1522,'Semrush Data'!$A$1:$A$20000,0),MATCH("Intent",'Semrush Data'!$A$1:$Z$1,0)),"")</f>
        <v/>
      </c>
    </row>
    <row r="1523" customFormat="false" ht="15" hidden="false" customHeight="true" outlineLevel="0" collapsed="false">
      <c r="A1523" s="6" t="s">
        <v>5379</v>
      </c>
      <c r="B1523" s="6" t="s">
        <v>6869</v>
      </c>
      <c r="C1523" s="6" t="n">
        <v>2</v>
      </c>
      <c r="D1523" s="6" t="n">
        <v>16</v>
      </c>
      <c r="E1523" s="6" t="n">
        <v>1</v>
      </c>
      <c r="F1523" s="6" t="s">
        <v>5373</v>
      </c>
      <c r="G1523" s="28" t="str">
        <f aca="false">IFERROR(INDEX('Semrush Data'!$A$1:$Z$20000,MATCH(A1523,'Semrush Data'!$A$1:$A$20000,0),MATCH("Volume",'Semrush Data'!$A$1:$Z$1,0)),"")</f>
        <v/>
      </c>
      <c r="H1523" s="6" t="str">
        <f aca="false">IFERROR(INDEX('Semrush Data'!$A$1:$Z$20000,MATCH(A1523,'Semrush Data'!$A$1:$A$20000,0),MATCH("Keyword Difficulty*",'Semrush Data'!$A$1:$Z$1,0)),"")</f>
        <v/>
      </c>
      <c r="I1523" s="29" t="str">
        <f aca="false">IFERROR(INDEX('Semrush Data'!$A$1:$Z$20000,MATCH(A1523,'Semrush Data'!$A$1:$A$20000,0),MATCH("CPC*",'Semrush Data'!$A$1:$Z$1,0)),"")</f>
        <v/>
      </c>
      <c r="J1523" s="6" t="str">
        <f aca="false">IFERROR(INDEX('Semrush Data'!$A$1:$Z$20000,MATCH(A1523,'Semrush Data'!$A$1:$A$20000,0),MATCH("Intent",'Semrush Data'!$A$1:$Z$1,0)),"")</f>
        <v/>
      </c>
    </row>
    <row r="1524" customFormat="false" ht="15" hidden="false" customHeight="true" outlineLevel="0" collapsed="false">
      <c r="A1524" s="6" t="s">
        <v>5391</v>
      </c>
      <c r="B1524" s="6" t="s">
        <v>6869</v>
      </c>
      <c r="C1524" s="6" t="n">
        <v>2</v>
      </c>
      <c r="D1524" s="6" t="n">
        <v>16</v>
      </c>
      <c r="E1524" s="6" t="n">
        <v>1</v>
      </c>
      <c r="F1524" s="6" t="s">
        <v>5385</v>
      </c>
      <c r="G1524" s="28" t="str">
        <f aca="false">IFERROR(INDEX('Semrush Data'!$A$1:$Z$20000,MATCH(A1524,'Semrush Data'!$A$1:$A$20000,0),MATCH("Volume",'Semrush Data'!$A$1:$Z$1,0)),"")</f>
        <v/>
      </c>
      <c r="H1524" s="6" t="str">
        <f aca="false">IFERROR(INDEX('Semrush Data'!$A$1:$Z$20000,MATCH(A1524,'Semrush Data'!$A$1:$A$20000,0),MATCH("Keyword Difficulty*",'Semrush Data'!$A$1:$Z$1,0)),"")</f>
        <v/>
      </c>
      <c r="I1524" s="29" t="str">
        <f aca="false">IFERROR(INDEX('Semrush Data'!$A$1:$Z$20000,MATCH(A1524,'Semrush Data'!$A$1:$A$20000,0),MATCH("CPC*",'Semrush Data'!$A$1:$Z$1,0)),"")</f>
        <v/>
      </c>
      <c r="J1524" s="6" t="str">
        <f aca="false">IFERROR(INDEX('Semrush Data'!$A$1:$Z$20000,MATCH(A1524,'Semrush Data'!$A$1:$A$20000,0),MATCH("Intent",'Semrush Data'!$A$1:$Z$1,0)),"")</f>
        <v/>
      </c>
    </row>
    <row r="1525" customFormat="false" ht="15" hidden="false" customHeight="true" outlineLevel="0" collapsed="false">
      <c r="A1525" s="6" t="s">
        <v>5400</v>
      </c>
      <c r="B1525" s="6" t="s">
        <v>6869</v>
      </c>
      <c r="C1525" s="6" t="n">
        <v>2</v>
      </c>
      <c r="D1525" s="6" t="s">
        <v>6867</v>
      </c>
      <c r="E1525" s="6" t="n">
        <v>1</v>
      </c>
      <c r="F1525" s="6" t="s">
        <v>143</v>
      </c>
      <c r="G1525" s="28" t="n">
        <f aca="false">IFERROR(INDEX('Semrush Data'!$A$1:$Z$20000,MATCH(A1525,'Semrush Data'!$A$1:$A$20000,0),MATCH("Volume",'Semrush Data'!$A$1:$Z$1,0)),"")</f>
        <v>50</v>
      </c>
      <c r="H1525" s="6" t="n">
        <f aca="false">IFERROR(INDEX('Semrush Data'!$A$1:$Z$20000,MATCH(A1525,'Semrush Data'!$A$1:$A$20000,0),MATCH("Keyword Difficulty*",'Semrush Data'!$A$1:$Z$1,0)),"")</f>
        <v>13</v>
      </c>
      <c r="I1525" s="29" t="n">
        <f aca="false">IFERROR(INDEX('Semrush Data'!$A$1:$Z$20000,MATCH(A1525,'Semrush Data'!$A$1:$A$20000,0),MATCH("CPC*",'Semrush Data'!$A$1:$Z$1,0)),"")</f>
        <v>0</v>
      </c>
      <c r="J1525" s="6" t="str">
        <f aca="false">IFERROR(INDEX('Semrush Data'!$A$1:$Z$20000,MATCH(A1525,'Semrush Data'!$A$1:$A$20000,0),MATCH("Intent",'Semrush Data'!$A$1:$Z$1,0)),"")</f>
        <v>Navigational</v>
      </c>
    </row>
    <row r="1526" customFormat="false" ht="15" hidden="false" customHeight="true" outlineLevel="0" collapsed="false">
      <c r="A1526" s="6" t="s">
        <v>5412</v>
      </c>
      <c r="B1526" s="6" t="s">
        <v>6869</v>
      </c>
      <c r="C1526" s="6" t="n">
        <v>2</v>
      </c>
      <c r="D1526" s="6" t="n">
        <v>16</v>
      </c>
      <c r="E1526" s="6" t="n">
        <v>1</v>
      </c>
      <c r="F1526" s="6" t="s">
        <v>5406</v>
      </c>
      <c r="G1526" s="28" t="str">
        <f aca="false">IFERROR(INDEX('Semrush Data'!$A$1:$Z$20000,MATCH(A1526,'Semrush Data'!$A$1:$A$20000,0),MATCH("Volume",'Semrush Data'!$A$1:$Z$1,0)),"")</f>
        <v/>
      </c>
      <c r="H1526" s="6" t="str">
        <f aca="false">IFERROR(INDEX('Semrush Data'!$A$1:$Z$20000,MATCH(A1526,'Semrush Data'!$A$1:$A$20000,0),MATCH("Keyword Difficulty*",'Semrush Data'!$A$1:$Z$1,0)),"")</f>
        <v/>
      </c>
      <c r="I1526" s="29" t="str">
        <f aca="false">IFERROR(INDEX('Semrush Data'!$A$1:$Z$20000,MATCH(A1526,'Semrush Data'!$A$1:$A$20000,0),MATCH("CPC*",'Semrush Data'!$A$1:$Z$1,0)),"")</f>
        <v/>
      </c>
      <c r="J1526" s="6" t="str">
        <f aca="false">IFERROR(INDEX('Semrush Data'!$A$1:$Z$20000,MATCH(A1526,'Semrush Data'!$A$1:$A$20000,0),MATCH("Intent",'Semrush Data'!$A$1:$Z$1,0)),"")</f>
        <v/>
      </c>
    </row>
    <row r="1527" customFormat="false" ht="15" hidden="false" customHeight="true" outlineLevel="0" collapsed="false">
      <c r="A1527" s="6" t="s">
        <v>4467</v>
      </c>
      <c r="B1527" s="6" t="s">
        <v>6869</v>
      </c>
      <c r="C1527" s="6" t="n">
        <v>2</v>
      </c>
      <c r="D1527" s="6" t="n">
        <v>16</v>
      </c>
      <c r="E1527" s="6" t="n">
        <v>1</v>
      </c>
      <c r="F1527" s="6" t="s">
        <v>4461</v>
      </c>
      <c r="G1527" s="28" t="str">
        <f aca="false">IFERROR(INDEX('Semrush Data'!$A$1:$Z$20000,MATCH(A1527,'Semrush Data'!$A$1:$A$20000,0),MATCH("Volume",'Semrush Data'!$A$1:$Z$1,0)),"")</f>
        <v/>
      </c>
      <c r="H1527" s="6" t="str">
        <f aca="false">IFERROR(INDEX('Semrush Data'!$A$1:$Z$20000,MATCH(A1527,'Semrush Data'!$A$1:$A$20000,0),MATCH("Keyword Difficulty*",'Semrush Data'!$A$1:$Z$1,0)),"")</f>
        <v/>
      </c>
      <c r="I1527" s="29" t="str">
        <f aca="false">IFERROR(INDEX('Semrush Data'!$A$1:$Z$20000,MATCH(A1527,'Semrush Data'!$A$1:$A$20000,0),MATCH("CPC*",'Semrush Data'!$A$1:$Z$1,0)),"")</f>
        <v/>
      </c>
      <c r="J1527" s="6" t="str">
        <f aca="false">IFERROR(INDEX('Semrush Data'!$A$1:$Z$20000,MATCH(A1527,'Semrush Data'!$A$1:$A$20000,0),MATCH("Intent",'Semrush Data'!$A$1:$Z$1,0)),"")</f>
        <v/>
      </c>
    </row>
    <row r="1528" customFormat="false" ht="15" hidden="false" customHeight="true" outlineLevel="0" collapsed="false">
      <c r="A1528" s="6" t="s">
        <v>4477</v>
      </c>
      <c r="B1528" s="6" t="s">
        <v>6869</v>
      </c>
      <c r="C1528" s="6" t="n">
        <v>2</v>
      </c>
      <c r="D1528" s="6" t="n">
        <v>16</v>
      </c>
      <c r="E1528" s="6" t="n">
        <v>1</v>
      </c>
      <c r="F1528" s="6" t="s">
        <v>4471</v>
      </c>
      <c r="G1528" s="28" t="str">
        <f aca="false">IFERROR(INDEX('Semrush Data'!$A$1:$Z$20000,MATCH(A1528,'Semrush Data'!$A$1:$A$20000,0),MATCH("Volume",'Semrush Data'!$A$1:$Z$1,0)),"")</f>
        <v/>
      </c>
      <c r="H1528" s="6" t="str">
        <f aca="false">IFERROR(INDEX('Semrush Data'!$A$1:$Z$20000,MATCH(A1528,'Semrush Data'!$A$1:$A$20000,0),MATCH("Keyword Difficulty*",'Semrush Data'!$A$1:$Z$1,0)),"")</f>
        <v/>
      </c>
      <c r="I1528" s="29" t="str">
        <f aca="false">IFERROR(INDEX('Semrush Data'!$A$1:$Z$20000,MATCH(A1528,'Semrush Data'!$A$1:$A$20000,0),MATCH("CPC*",'Semrush Data'!$A$1:$Z$1,0)),"")</f>
        <v/>
      </c>
      <c r="J1528" s="6" t="str">
        <f aca="false">IFERROR(INDEX('Semrush Data'!$A$1:$Z$20000,MATCH(A1528,'Semrush Data'!$A$1:$A$20000,0),MATCH("Intent",'Semrush Data'!$A$1:$Z$1,0)),"")</f>
        <v/>
      </c>
    </row>
    <row r="1529" customFormat="false" ht="15" hidden="false" customHeight="true" outlineLevel="0" collapsed="false">
      <c r="A1529" s="6" t="s">
        <v>4488</v>
      </c>
      <c r="B1529" s="6" t="s">
        <v>6869</v>
      </c>
      <c r="C1529" s="6" t="n">
        <v>2</v>
      </c>
      <c r="D1529" s="6" t="n">
        <v>16</v>
      </c>
      <c r="E1529" s="6" t="n">
        <v>1</v>
      </c>
      <c r="F1529" s="6" t="s">
        <v>4482</v>
      </c>
      <c r="G1529" s="28" t="str">
        <f aca="false">IFERROR(INDEX('Semrush Data'!$A$1:$Z$20000,MATCH(A1529,'Semrush Data'!$A$1:$A$20000,0),MATCH("Volume",'Semrush Data'!$A$1:$Z$1,0)),"")</f>
        <v/>
      </c>
      <c r="H1529" s="6" t="str">
        <f aca="false">IFERROR(INDEX('Semrush Data'!$A$1:$Z$20000,MATCH(A1529,'Semrush Data'!$A$1:$A$20000,0),MATCH("Keyword Difficulty*",'Semrush Data'!$A$1:$Z$1,0)),"")</f>
        <v/>
      </c>
      <c r="I1529" s="29" t="str">
        <f aca="false">IFERROR(INDEX('Semrush Data'!$A$1:$Z$20000,MATCH(A1529,'Semrush Data'!$A$1:$A$20000,0),MATCH("CPC*",'Semrush Data'!$A$1:$Z$1,0)),"")</f>
        <v/>
      </c>
      <c r="J1529" s="6" t="str">
        <f aca="false">IFERROR(INDEX('Semrush Data'!$A$1:$Z$20000,MATCH(A1529,'Semrush Data'!$A$1:$A$20000,0),MATCH("Intent",'Semrush Data'!$A$1:$Z$1,0)),"")</f>
        <v/>
      </c>
    </row>
    <row r="1530" customFormat="false" ht="15" hidden="false" customHeight="true" outlineLevel="0" collapsed="false">
      <c r="A1530" s="6" t="s">
        <v>4498</v>
      </c>
      <c r="B1530" s="6" t="s">
        <v>6869</v>
      </c>
      <c r="C1530" s="6" t="n">
        <v>2</v>
      </c>
      <c r="D1530" s="6" t="n">
        <v>16</v>
      </c>
      <c r="E1530" s="6" t="n">
        <v>1</v>
      </c>
      <c r="F1530" s="6" t="s">
        <v>4492</v>
      </c>
      <c r="G1530" s="28" t="str">
        <f aca="false">IFERROR(INDEX('Semrush Data'!$A$1:$Z$20000,MATCH(A1530,'Semrush Data'!$A$1:$A$20000,0),MATCH("Volume",'Semrush Data'!$A$1:$Z$1,0)),"")</f>
        <v/>
      </c>
      <c r="H1530" s="6" t="str">
        <f aca="false">IFERROR(INDEX('Semrush Data'!$A$1:$Z$20000,MATCH(A1530,'Semrush Data'!$A$1:$A$20000,0),MATCH("Keyword Difficulty*",'Semrush Data'!$A$1:$Z$1,0)),"")</f>
        <v/>
      </c>
      <c r="I1530" s="29" t="str">
        <f aca="false">IFERROR(INDEX('Semrush Data'!$A$1:$Z$20000,MATCH(A1530,'Semrush Data'!$A$1:$A$20000,0),MATCH("CPC*",'Semrush Data'!$A$1:$Z$1,0)),"")</f>
        <v/>
      </c>
      <c r="J1530" s="6" t="str">
        <f aca="false">IFERROR(INDEX('Semrush Data'!$A$1:$Z$20000,MATCH(A1530,'Semrush Data'!$A$1:$A$20000,0),MATCH("Intent",'Semrush Data'!$A$1:$Z$1,0)),"")</f>
        <v/>
      </c>
    </row>
    <row r="1531" customFormat="false" ht="15" hidden="false" customHeight="true" outlineLevel="0" collapsed="false">
      <c r="A1531" s="6" t="s">
        <v>4508</v>
      </c>
      <c r="B1531" s="6" t="s">
        <v>6869</v>
      </c>
      <c r="C1531" s="6" t="n">
        <v>2</v>
      </c>
      <c r="D1531" s="6" t="n">
        <v>16</v>
      </c>
      <c r="E1531" s="6" t="n">
        <v>1</v>
      </c>
      <c r="F1531" s="6" t="s">
        <v>4502</v>
      </c>
      <c r="G1531" s="28" t="str">
        <f aca="false">IFERROR(INDEX('Semrush Data'!$A$1:$Z$20000,MATCH(A1531,'Semrush Data'!$A$1:$A$20000,0),MATCH("Volume",'Semrush Data'!$A$1:$Z$1,0)),"")</f>
        <v/>
      </c>
      <c r="H1531" s="6" t="str">
        <f aca="false">IFERROR(INDEX('Semrush Data'!$A$1:$Z$20000,MATCH(A1531,'Semrush Data'!$A$1:$A$20000,0),MATCH("Keyword Difficulty*",'Semrush Data'!$A$1:$Z$1,0)),"")</f>
        <v/>
      </c>
      <c r="I1531" s="29" t="str">
        <f aca="false">IFERROR(INDEX('Semrush Data'!$A$1:$Z$20000,MATCH(A1531,'Semrush Data'!$A$1:$A$20000,0),MATCH("CPC*",'Semrush Data'!$A$1:$Z$1,0)),"")</f>
        <v/>
      </c>
      <c r="J1531" s="6" t="str">
        <f aca="false">IFERROR(INDEX('Semrush Data'!$A$1:$Z$20000,MATCH(A1531,'Semrush Data'!$A$1:$A$20000,0),MATCH("Intent",'Semrush Data'!$A$1:$Z$1,0)),"")</f>
        <v/>
      </c>
    </row>
    <row r="1532" customFormat="false" ht="15" hidden="false" customHeight="true" outlineLevel="0" collapsed="false">
      <c r="A1532" s="6" t="s">
        <v>4518</v>
      </c>
      <c r="B1532" s="6" t="s">
        <v>6869</v>
      </c>
      <c r="C1532" s="6" t="n">
        <v>2</v>
      </c>
      <c r="D1532" s="6" t="n">
        <v>16</v>
      </c>
      <c r="E1532" s="6" t="n">
        <v>1</v>
      </c>
      <c r="F1532" s="6" t="s">
        <v>4512</v>
      </c>
      <c r="G1532" s="28" t="str">
        <f aca="false">IFERROR(INDEX('Semrush Data'!$A$1:$Z$20000,MATCH(A1532,'Semrush Data'!$A$1:$A$20000,0),MATCH("Volume",'Semrush Data'!$A$1:$Z$1,0)),"")</f>
        <v/>
      </c>
      <c r="H1532" s="6" t="str">
        <f aca="false">IFERROR(INDEX('Semrush Data'!$A$1:$Z$20000,MATCH(A1532,'Semrush Data'!$A$1:$A$20000,0),MATCH("Keyword Difficulty*",'Semrush Data'!$A$1:$Z$1,0)),"")</f>
        <v/>
      </c>
      <c r="I1532" s="29" t="str">
        <f aca="false">IFERROR(INDEX('Semrush Data'!$A$1:$Z$20000,MATCH(A1532,'Semrush Data'!$A$1:$A$20000,0),MATCH("CPC*",'Semrush Data'!$A$1:$Z$1,0)),"")</f>
        <v/>
      </c>
      <c r="J1532" s="6" t="str">
        <f aca="false">IFERROR(INDEX('Semrush Data'!$A$1:$Z$20000,MATCH(A1532,'Semrush Data'!$A$1:$A$20000,0),MATCH("Intent",'Semrush Data'!$A$1:$Z$1,0)),"")</f>
        <v/>
      </c>
    </row>
    <row r="1533" customFormat="false" ht="15" hidden="false" customHeight="true" outlineLevel="0" collapsed="false">
      <c r="A1533" s="6" t="s">
        <v>4528</v>
      </c>
      <c r="B1533" s="6" t="s">
        <v>6869</v>
      </c>
      <c r="C1533" s="6" t="n">
        <v>2</v>
      </c>
      <c r="D1533" s="6" t="n">
        <v>16</v>
      </c>
      <c r="E1533" s="6" t="n">
        <v>1</v>
      </c>
      <c r="F1533" s="6" t="s">
        <v>4522</v>
      </c>
      <c r="G1533" s="28" t="str">
        <f aca="false">IFERROR(INDEX('Semrush Data'!$A$1:$Z$20000,MATCH(A1533,'Semrush Data'!$A$1:$A$20000,0),MATCH("Volume",'Semrush Data'!$A$1:$Z$1,0)),"")</f>
        <v/>
      </c>
      <c r="H1533" s="6" t="str">
        <f aca="false">IFERROR(INDEX('Semrush Data'!$A$1:$Z$20000,MATCH(A1533,'Semrush Data'!$A$1:$A$20000,0),MATCH("Keyword Difficulty*",'Semrush Data'!$A$1:$Z$1,0)),"")</f>
        <v/>
      </c>
      <c r="I1533" s="29" t="str">
        <f aca="false">IFERROR(INDEX('Semrush Data'!$A$1:$Z$20000,MATCH(A1533,'Semrush Data'!$A$1:$A$20000,0),MATCH("CPC*",'Semrush Data'!$A$1:$Z$1,0)),"")</f>
        <v/>
      </c>
      <c r="J1533" s="6" t="str">
        <f aca="false">IFERROR(INDEX('Semrush Data'!$A$1:$Z$20000,MATCH(A1533,'Semrush Data'!$A$1:$A$20000,0),MATCH("Intent",'Semrush Data'!$A$1:$Z$1,0)),"")</f>
        <v/>
      </c>
    </row>
    <row r="1534" customFormat="false" ht="15" hidden="false" customHeight="true" outlineLevel="0" collapsed="false">
      <c r="A1534" s="6" t="s">
        <v>4539</v>
      </c>
      <c r="B1534" s="6" t="s">
        <v>6869</v>
      </c>
      <c r="C1534" s="6" t="n">
        <v>2</v>
      </c>
      <c r="D1534" s="6" t="n">
        <v>16</v>
      </c>
      <c r="E1534" s="6" t="n">
        <v>1</v>
      </c>
      <c r="F1534" s="6" t="s">
        <v>4533</v>
      </c>
      <c r="G1534" s="28" t="str">
        <f aca="false">IFERROR(INDEX('Semrush Data'!$A$1:$Z$20000,MATCH(A1534,'Semrush Data'!$A$1:$A$20000,0),MATCH("Volume",'Semrush Data'!$A$1:$Z$1,0)),"")</f>
        <v/>
      </c>
      <c r="H1534" s="6" t="str">
        <f aca="false">IFERROR(INDEX('Semrush Data'!$A$1:$Z$20000,MATCH(A1534,'Semrush Data'!$A$1:$A$20000,0),MATCH("Keyword Difficulty*",'Semrush Data'!$A$1:$Z$1,0)),"")</f>
        <v/>
      </c>
      <c r="I1534" s="29" t="str">
        <f aca="false">IFERROR(INDEX('Semrush Data'!$A$1:$Z$20000,MATCH(A1534,'Semrush Data'!$A$1:$A$20000,0),MATCH("CPC*",'Semrush Data'!$A$1:$Z$1,0)),"")</f>
        <v/>
      </c>
      <c r="J1534" s="6" t="str">
        <f aca="false">IFERROR(INDEX('Semrush Data'!$A$1:$Z$20000,MATCH(A1534,'Semrush Data'!$A$1:$A$20000,0),MATCH("Intent",'Semrush Data'!$A$1:$Z$1,0)),"")</f>
        <v/>
      </c>
    </row>
    <row r="1535" customFormat="false" ht="15" hidden="false" customHeight="true" outlineLevel="0" collapsed="false">
      <c r="A1535" s="6" t="s">
        <v>4549</v>
      </c>
      <c r="B1535" s="6" t="s">
        <v>6869</v>
      </c>
      <c r="C1535" s="6" t="n">
        <v>2</v>
      </c>
      <c r="D1535" s="6" t="n">
        <v>16</v>
      </c>
      <c r="E1535" s="6" t="n">
        <v>1</v>
      </c>
      <c r="F1535" s="6" t="s">
        <v>4543</v>
      </c>
      <c r="G1535" s="28" t="str">
        <f aca="false">IFERROR(INDEX('Semrush Data'!$A$1:$Z$20000,MATCH(A1535,'Semrush Data'!$A$1:$A$20000,0),MATCH("Volume",'Semrush Data'!$A$1:$Z$1,0)),"")</f>
        <v/>
      </c>
      <c r="H1535" s="6" t="str">
        <f aca="false">IFERROR(INDEX('Semrush Data'!$A$1:$Z$20000,MATCH(A1535,'Semrush Data'!$A$1:$A$20000,0),MATCH("Keyword Difficulty*",'Semrush Data'!$A$1:$Z$1,0)),"")</f>
        <v/>
      </c>
      <c r="I1535" s="29" t="str">
        <f aca="false">IFERROR(INDEX('Semrush Data'!$A$1:$Z$20000,MATCH(A1535,'Semrush Data'!$A$1:$A$20000,0),MATCH("CPC*",'Semrush Data'!$A$1:$Z$1,0)),"")</f>
        <v/>
      </c>
      <c r="J1535" s="6" t="str">
        <f aca="false">IFERROR(INDEX('Semrush Data'!$A$1:$Z$20000,MATCH(A1535,'Semrush Data'!$A$1:$A$20000,0),MATCH("Intent",'Semrush Data'!$A$1:$Z$1,0)),"")</f>
        <v/>
      </c>
    </row>
    <row r="1536" customFormat="false" ht="15" hidden="false" customHeight="true" outlineLevel="0" collapsed="false">
      <c r="A1536" s="6" t="s">
        <v>4559</v>
      </c>
      <c r="B1536" s="6" t="s">
        <v>6869</v>
      </c>
      <c r="C1536" s="6" t="n">
        <v>2</v>
      </c>
      <c r="D1536" s="6" t="n">
        <v>16</v>
      </c>
      <c r="E1536" s="6" t="n">
        <v>1</v>
      </c>
      <c r="F1536" s="6" t="s">
        <v>4553</v>
      </c>
      <c r="G1536" s="28" t="str">
        <f aca="false">IFERROR(INDEX('Semrush Data'!$A$1:$Z$20000,MATCH(A1536,'Semrush Data'!$A$1:$A$20000,0),MATCH("Volume",'Semrush Data'!$A$1:$Z$1,0)),"")</f>
        <v/>
      </c>
      <c r="H1536" s="6" t="str">
        <f aca="false">IFERROR(INDEX('Semrush Data'!$A$1:$Z$20000,MATCH(A1536,'Semrush Data'!$A$1:$A$20000,0),MATCH("Keyword Difficulty*",'Semrush Data'!$A$1:$Z$1,0)),"")</f>
        <v/>
      </c>
      <c r="I1536" s="29" t="str">
        <f aca="false">IFERROR(INDEX('Semrush Data'!$A$1:$Z$20000,MATCH(A1536,'Semrush Data'!$A$1:$A$20000,0),MATCH("CPC*",'Semrush Data'!$A$1:$Z$1,0)),"")</f>
        <v/>
      </c>
      <c r="J1536" s="6" t="str">
        <f aca="false">IFERROR(INDEX('Semrush Data'!$A$1:$Z$20000,MATCH(A1536,'Semrush Data'!$A$1:$A$20000,0),MATCH("Intent",'Semrush Data'!$A$1:$Z$1,0)),"")</f>
        <v/>
      </c>
    </row>
    <row r="1537" customFormat="false" ht="15" hidden="false" customHeight="true" outlineLevel="0" collapsed="false">
      <c r="A1537" s="6" t="s">
        <v>4569</v>
      </c>
      <c r="B1537" s="6" t="s">
        <v>6869</v>
      </c>
      <c r="C1537" s="6" t="n">
        <v>2</v>
      </c>
      <c r="D1537" s="6" t="n">
        <v>16</v>
      </c>
      <c r="E1537" s="6" t="n">
        <v>1</v>
      </c>
      <c r="F1537" s="6" t="s">
        <v>4563</v>
      </c>
      <c r="G1537" s="28" t="str">
        <f aca="false">IFERROR(INDEX('Semrush Data'!$A$1:$Z$20000,MATCH(A1537,'Semrush Data'!$A$1:$A$20000,0),MATCH("Volume",'Semrush Data'!$A$1:$Z$1,0)),"")</f>
        <v/>
      </c>
      <c r="H1537" s="6" t="str">
        <f aca="false">IFERROR(INDEX('Semrush Data'!$A$1:$Z$20000,MATCH(A1537,'Semrush Data'!$A$1:$A$20000,0),MATCH("Keyword Difficulty*",'Semrush Data'!$A$1:$Z$1,0)),"")</f>
        <v/>
      </c>
      <c r="I1537" s="29" t="str">
        <f aca="false">IFERROR(INDEX('Semrush Data'!$A$1:$Z$20000,MATCH(A1537,'Semrush Data'!$A$1:$A$20000,0),MATCH("CPC*",'Semrush Data'!$A$1:$Z$1,0)),"")</f>
        <v/>
      </c>
      <c r="J1537" s="6" t="str">
        <f aca="false">IFERROR(INDEX('Semrush Data'!$A$1:$Z$20000,MATCH(A1537,'Semrush Data'!$A$1:$A$20000,0),MATCH("Intent",'Semrush Data'!$A$1:$Z$1,0)),"")</f>
        <v/>
      </c>
    </row>
    <row r="1538" customFormat="false" ht="15" hidden="false" customHeight="true" outlineLevel="0" collapsed="false">
      <c r="A1538" s="6" t="s">
        <v>4579</v>
      </c>
      <c r="B1538" s="6" t="s">
        <v>6869</v>
      </c>
      <c r="C1538" s="6" t="n">
        <v>2</v>
      </c>
      <c r="D1538" s="6" t="n">
        <v>16</v>
      </c>
      <c r="E1538" s="6" t="n">
        <v>1</v>
      </c>
      <c r="F1538" s="6" t="s">
        <v>4573</v>
      </c>
      <c r="G1538" s="28" t="str">
        <f aca="false">IFERROR(INDEX('Semrush Data'!$A$1:$Z$20000,MATCH(A1538,'Semrush Data'!$A$1:$A$20000,0),MATCH("Volume",'Semrush Data'!$A$1:$Z$1,0)),"")</f>
        <v/>
      </c>
      <c r="H1538" s="6" t="str">
        <f aca="false">IFERROR(INDEX('Semrush Data'!$A$1:$Z$20000,MATCH(A1538,'Semrush Data'!$A$1:$A$20000,0),MATCH("Keyword Difficulty*",'Semrush Data'!$A$1:$Z$1,0)),"")</f>
        <v/>
      </c>
      <c r="I1538" s="29" t="str">
        <f aca="false">IFERROR(INDEX('Semrush Data'!$A$1:$Z$20000,MATCH(A1538,'Semrush Data'!$A$1:$A$20000,0),MATCH("CPC*",'Semrush Data'!$A$1:$Z$1,0)),"")</f>
        <v/>
      </c>
      <c r="J1538" s="6" t="str">
        <f aca="false">IFERROR(INDEX('Semrush Data'!$A$1:$Z$20000,MATCH(A1538,'Semrush Data'!$A$1:$A$20000,0),MATCH("Intent",'Semrush Data'!$A$1:$Z$1,0)),"")</f>
        <v/>
      </c>
    </row>
    <row r="1539" customFormat="false" ht="15" hidden="false" customHeight="true" outlineLevel="0" collapsed="false">
      <c r="A1539" s="6" t="s">
        <v>4589</v>
      </c>
      <c r="B1539" s="6" t="s">
        <v>6869</v>
      </c>
      <c r="C1539" s="6" t="n">
        <v>2</v>
      </c>
      <c r="D1539" s="6" t="n">
        <v>16</v>
      </c>
      <c r="E1539" s="6" t="n">
        <v>1</v>
      </c>
      <c r="F1539" s="6" t="s">
        <v>4583</v>
      </c>
      <c r="G1539" s="28" t="str">
        <f aca="false">IFERROR(INDEX('Semrush Data'!$A$1:$Z$20000,MATCH(A1539,'Semrush Data'!$A$1:$A$20000,0),MATCH("Volume",'Semrush Data'!$A$1:$Z$1,0)),"")</f>
        <v/>
      </c>
      <c r="H1539" s="6" t="str">
        <f aca="false">IFERROR(INDEX('Semrush Data'!$A$1:$Z$20000,MATCH(A1539,'Semrush Data'!$A$1:$A$20000,0),MATCH("Keyword Difficulty*",'Semrush Data'!$A$1:$Z$1,0)),"")</f>
        <v/>
      </c>
      <c r="I1539" s="29" t="str">
        <f aca="false">IFERROR(INDEX('Semrush Data'!$A$1:$Z$20000,MATCH(A1539,'Semrush Data'!$A$1:$A$20000,0),MATCH("CPC*",'Semrush Data'!$A$1:$Z$1,0)),"")</f>
        <v/>
      </c>
      <c r="J1539" s="6" t="str">
        <f aca="false">IFERROR(INDEX('Semrush Data'!$A$1:$Z$20000,MATCH(A1539,'Semrush Data'!$A$1:$A$20000,0),MATCH("Intent",'Semrush Data'!$A$1:$Z$1,0)),"")</f>
        <v/>
      </c>
    </row>
    <row r="1540" customFormat="false" ht="15" hidden="false" customHeight="true" outlineLevel="0" collapsed="false">
      <c r="A1540" s="6" t="s">
        <v>4599</v>
      </c>
      <c r="B1540" s="6" t="s">
        <v>6869</v>
      </c>
      <c r="C1540" s="6" t="n">
        <v>2</v>
      </c>
      <c r="D1540" s="6" t="n">
        <v>16</v>
      </c>
      <c r="E1540" s="6" t="n">
        <v>1</v>
      </c>
      <c r="F1540" s="6" t="s">
        <v>4593</v>
      </c>
      <c r="G1540" s="28" t="str">
        <f aca="false">IFERROR(INDEX('Semrush Data'!$A$1:$Z$20000,MATCH(A1540,'Semrush Data'!$A$1:$A$20000,0),MATCH("Volume",'Semrush Data'!$A$1:$Z$1,0)),"")</f>
        <v/>
      </c>
      <c r="H1540" s="6" t="str">
        <f aca="false">IFERROR(INDEX('Semrush Data'!$A$1:$Z$20000,MATCH(A1540,'Semrush Data'!$A$1:$A$20000,0),MATCH("Keyword Difficulty*",'Semrush Data'!$A$1:$Z$1,0)),"")</f>
        <v/>
      </c>
      <c r="I1540" s="29" t="str">
        <f aca="false">IFERROR(INDEX('Semrush Data'!$A$1:$Z$20000,MATCH(A1540,'Semrush Data'!$A$1:$A$20000,0),MATCH("CPC*",'Semrush Data'!$A$1:$Z$1,0)),"")</f>
        <v/>
      </c>
      <c r="J1540" s="6" t="str">
        <f aca="false">IFERROR(INDEX('Semrush Data'!$A$1:$Z$20000,MATCH(A1540,'Semrush Data'!$A$1:$A$20000,0),MATCH("Intent",'Semrush Data'!$A$1:$Z$1,0)),"")</f>
        <v/>
      </c>
    </row>
    <row r="1541" customFormat="false" ht="15" hidden="false" customHeight="true" outlineLevel="0" collapsed="false">
      <c r="A1541" s="6" t="s">
        <v>5425</v>
      </c>
      <c r="B1541" s="6" t="s">
        <v>6869</v>
      </c>
      <c r="C1541" s="6" t="n">
        <v>2</v>
      </c>
      <c r="D1541" s="6" t="n">
        <v>16</v>
      </c>
      <c r="E1541" s="6" t="n">
        <v>1</v>
      </c>
      <c r="F1541" s="6" t="s">
        <v>5417</v>
      </c>
      <c r="G1541" s="28" t="str">
        <f aca="false">IFERROR(INDEX('Semrush Data'!$A$1:$Z$20000,MATCH(A1541,'Semrush Data'!$A$1:$A$20000,0),MATCH("Volume",'Semrush Data'!$A$1:$Z$1,0)),"")</f>
        <v/>
      </c>
      <c r="H1541" s="6" t="str">
        <f aca="false">IFERROR(INDEX('Semrush Data'!$A$1:$Z$20000,MATCH(A1541,'Semrush Data'!$A$1:$A$20000,0),MATCH("Keyword Difficulty*",'Semrush Data'!$A$1:$Z$1,0)),"")</f>
        <v/>
      </c>
      <c r="I1541" s="29" t="str">
        <f aca="false">IFERROR(INDEX('Semrush Data'!$A$1:$Z$20000,MATCH(A1541,'Semrush Data'!$A$1:$A$20000,0),MATCH("CPC*",'Semrush Data'!$A$1:$Z$1,0)),"")</f>
        <v/>
      </c>
      <c r="J1541" s="6" t="str">
        <f aca="false">IFERROR(INDEX('Semrush Data'!$A$1:$Z$20000,MATCH(A1541,'Semrush Data'!$A$1:$A$20000,0),MATCH("Intent",'Semrush Data'!$A$1:$Z$1,0)),"")</f>
        <v/>
      </c>
    </row>
    <row r="1542" customFormat="false" ht="15" hidden="false" customHeight="true" outlineLevel="0" collapsed="false">
      <c r="A1542" s="6" t="s">
        <v>5438</v>
      </c>
      <c r="B1542" s="6" t="s">
        <v>6869</v>
      </c>
      <c r="C1542" s="6" t="n">
        <v>2</v>
      </c>
      <c r="D1542" s="6" t="s">
        <v>6868</v>
      </c>
      <c r="E1542" s="6" t="n">
        <v>1</v>
      </c>
      <c r="F1542" s="6" t="s">
        <v>5431</v>
      </c>
      <c r="G1542" s="28" t="n">
        <f aca="false">IFERROR(INDEX('Semrush Data'!$A$1:$Z$20000,MATCH(A1542,'Semrush Data'!$A$1:$A$20000,0),MATCH("Volume",'Semrush Data'!$A$1:$Z$1,0)),"")</f>
        <v>30</v>
      </c>
      <c r="H1542" s="6" t="n">
        <f aca="false">IFERROR(INDEX('Semrush Data'!$A$1:$Z$20000,MATCH(A1542,'Semrush Data'!$A$1:$A$20000,0),MATCH("Keyword Difficulty*",'Semrush Data'!$A$1:$Z$1,0)),"")</f>
        <v>10</v>
      </c>
      <c r="I1542" s="29" t="n">
        <f aca="false">IFERROR(INDEX('Semrush Data'!$A$1:$Z$20000,MATCH(A1542,'Semrush Data'!$A$1:$A$20000,0),MATCH("CPC*",'Semrush Data'!$A$1:$Z$1,0)),"")</f>
        <v>0</v>
      </c>
      <c r="J1542" s="6" t="str">
        <f aca="false">IFERROR(INDEX('Semrush Data'!$A$1:$Z$20000,MATCH(A1542,'Semrush Data'!$A$1:$A$20000,0),MATCH("Intent",'Semrush Data'!$A$1:$Z$1,0)),"")</f>
        <v>Informational Transactional</v>
      </c>
    </row>
    <row r="1543" customFormat="false" ht="15" hidden="false" customHeight="true" outlineLevel="0" collapsed="false">
      <c r="A1543" s="6" t="s">
        <v>5491</v>
      </c>
      <c r="B1543" s="6" t="s">
        <v>6869</v>
      </c>
      <c r="C1543" s="6" t="n">
        <v>2</v>
      </c>
      <c r="D1543" s="6" t="n">
        <v>16</v>
      </c>
      <c r="E1543" s="6" t="n">
        <v>1</v>
      </c>
      <c r="F1543" s="6" t="s">
        <v>5485</v>
      </c>
      <c r="G1543" s="28" t="str">
        <f aca="false">IFERROR(INDEX('Semrush Data'!$A$1:$Z$20000,MATCH(A1543,'Semrush Data'!$A$1:$A$20000,0),MATCH("Volume",'Semrush Data'!$A$1:$Z$1,0)),"")</f>
        <v/>
      </c>
      <c r="H1543" s="6" t="str">
        <f aca="false">IFERROR(INDEX('Semrush Data'!$A$1:$Z$20000,MATCH(A1543,'Semrush Data'!$A$1:$A$20000,0),MATCH("Keyword Difficulty*",'Semrush Data'!$A$1:$Z$1,0)),"")</f>
        <v/>
      </c>
      <c r="I1543" s="29" t="str">
        <f aca="false">IFERROR(INDEX('Semrush Data'!$A$1:$Z$20000,MATCH(A1543,'Semrush Data'!$A$1:$A$20000,0),MATCH("CPC*",'Semrush Data'!$A$1:$Z$1,0)),"")</f>
        <v/>
      </c>
      <c r="J1543" s="6" t="str">
        <f aca="false">IFERROR(INDEX('Semrush Data'!$A$1:$Z$20000,MATCH(A1543,'Semrush Data'!$A$1:$A$20000,0),MATCH("Intent",'Semrush Data'!$A$1:$Z$1,0)),"")</f>
        <v/>
      </c>
    </row>
    <row r="1544" customFormat="false" ht="15" hidden="false" customHeight="true" outlineLevel="0" collapsed="false">
      <c r="A1544" s="6" t="s">
        <v>5480</v>
      </c>
      <c r="B1544" s="6" t="s">
        <v>6869</v>
      </c>
      <c r="C1544" s="6" t="n">
        <v>2</v>
      </c>
      <c r="D1544" s="6" t="n">
        <v>16</v>
      </c>
      <c r="E1544" s="6" t="n">
        <v>1</v>
      </c>
      <c r="F1544" s="6" t="s">
        <v>5474</v>
      </c>
      <c r="G1544" s="28" t="str">
        <f aca="false">IFERROR(INDEX('Semrush Data'!$A$1:$Z$20000,MATCH(A1544,'Semrush Data'!$A$1:$A$20000,0),MATCH("Volume",'Semrush Data'!$A$1:$Z$1,0)),"")</f>
        <v/>
      </c>
      <c r="H1544" s="6" t="str">
        <f aca="false">IFERROR(INDEX('Semrush Data'!$A$1:$Z$20000,MATCH(A1544,'Semrush Data'!$A$1:$A$20000,0),MATCH("Keyword Difficulty*",'Semrush Data'!$A$1:$Z$1,0)),"")</f>
        <v/>
      </c>
      <c r="I1544" s="29" t="str">
        <f aca="false">IFERROR(INDEX('Semrush Data'!$A$1:$Z$20000,MATCH(A1544,'Semrush Data'!$A$1:$A$20000,0),MATCH("CPC*",'Semrush Data'!$A$1:$Z$1,0)),"")</f>
        <v/>
      </c>
      <c r="J1544" s="6" t="str">
        <f aca="false">IFERROR(INDEX('Semrush Data'!$A$1:$Z$20000,MATCH(A1544,'Semrush Data'!$A$1:$A$20000,0),MATCH("Intent",'Semrush Data'!$A$1:$Z$1,0)),"")</f>
        <v/>
      </c>
    </row>
    <row r="1545" customFormat="false" ht="15" hidden="false" customHeight="true" outlineLevel="0" collapsed="false">
      <c r="A1545" s="6" t="s">
        <v>5449</v>
      </c>
      <c r="B1545" s="6" t="s">
        <v>6869</v>
      </c>
      <c r="C1545" s="6" t="n">
        <v>2</v>
      </c>
      <c r="D1545" s="6" t="s">
        <v>6867</v>
      </c>
      <c r="E1545" s="6" t="n">
        <v>1</v>
      </c>
      <c r="F1545" s="6" t="s">
        <v>77</v>
      </c>
      <c r="G1545" s="28" t="n">
        <f aca="false">IFERROR(INDEX('Semrush Data'!$A$1:$Z$20000,MATCH(A1545,'Semrush Data'!$A$1:$A$20000,0),MATCH("Volume",'Semrush Data'!$A$1:$Z$1,0)),"")</f>
        <v>50</v>
      </c>
      <c r="H1545" s="6" t="n">
        <f aca="false">IFERROR(INDEX('Semrush Data'!$A$1:$Z$20000,MATCH(A1545,'Semrush Data'!$A$1:$A$20000,0),MATCH("Keyword Difficulty*",'Semrush Data'!$A$1:$Z$1,0)),"")</f>
        <v>19</v>
      </c>
      <c r="I1545" s="29" t="n">
        <f aca="false">IFERROR(INDEX('Semrush Data'!$A$1:$Z$20000,MATCH(A1545,'Semrush Data'!$A$1:$A$20000,0),MATCH("CPC*",'Semrush Data'!$A$1:$Z$1,0)),"")</f>
        <v>0</v>
      </c>
      <c r="J1545" s="6" t="str">
        <f aca="false">IFERROR(INDEX('Semrush Data'!$A$1:$Z$20000,MATCH(A1545,'Semrush Data'!$A$1:$A$20000,0),MATCH("Intent",'Semrush Data'!$A$1:$Z$1,0)),"")</f>
        <v>Informational</v>
      </c>
    </row>
    <row r="1546" customFormat="false" ht="15" hidden="false" customHeight="true" outlineLevel="0" collapsed="false">
      <c r="A1546" s="6" t="s">
        <v>5459</v>
      </c>
      <c r="B1546" s="6" t="s">
        <v>6869</v>
      </c>
      <c r="C1546" s="6" t="n">
        <v>2</v>
      </c>
      <c r="D1546" s="6" t="s">
        <v>6867</v>
      </c>
      <c r="E1546" s="6" t="n">
        <v>1</v>
      </c>
      <c r="F1546" s="6" t="s">
        <v>61</v>
      </c>
      <c r="G1546" s="28" t="n">
        <f aca="false">IFERROR(INDEX('Semrush Data'!$A$1:$Z$20000,MATCH(A1546,'Semrush Data'!$A$1:$A$20000,0),MATCH("Volume",'Semrush Data'!$A$1:$Z$1,0)),"")</f>
        <v>210</v>
      </c>
      <c r="H1546" s="6" t="n">
        <f aca="false">IFERROR(INDEX('Semrush Data'!$A$1:$Z$20000,MATCH(A1546,'Semrush Data'!$A$1:$A$20000,0),MATCH("Keyword Difficulty*",'Semrush Data'!$A$1:$Z$1,0)),"")</f>
        <v>15</v>
      </c>
      <c r="I1546" s="29" t="n">
        <f aca="false">IFERROR(INDEX('Semrush Data'!$A$1:$Z$20000,MATCH(A1546,'Semrush Data'!$A$1:$A$20000,0),MATCH("CPC*",'Semrush Data'!$A$1:$Z$1,0)),"")</f>
        <v>0.51</v>
      </c>
      <c r="J1546" s="6" t="str">
        <f aca="false">IFERROR(INDEX('Semrush Data'!$A$1:$Z$20000,MATCH(A1546,'Semrush Data'!$A$1:$A$20000,0),MATCH("Intent",'Semrush Data'!$A$1:$Z$1,0)),"")</f>
        <v>Informational Transactional</v>
      </c>
    </row>
    <row r="1547" customFormat="false" ht="15" hidden="false" customHeight="true" outlineLevel="0" collapsed="false">
      <c r="A1547" s="6" t="s">
        <v>5470</v>
      </c>
      <c r="B1547" s="6" t="s">
        <v>6869</v>
      </c>
      <c r="C1547" s="6" t="n">
        <v>2</v>
      </c>
      <c r="D1547" s="6" t="n">
        <v>16</v>
      </c>
      <c r="E1547" s="6" t="n">
        <v>1</v>
      </c>
      <c r="F1547" s="6" t="s">
        <v>5464</v>
      </c>
      <c r="G1547" s="28" t="str">
        <f aca="false">IFERROR(INDEX('Semrush Data'!$A$1:$Z$20000,MATCH(A1547,'Semrush Data'!$A$1:$A$20000,0),MATCH("Volume",'Semrush Data'!$A$1:$Z$1,0)),"")</f>
        <v/>
      </c>
      <c r="H1547" s="6" t="str">
        <f aca="false">IFERROR(INDEX('Semrush Data'!$A$1:$Z$20000,MATCH(A1547,'Semrush Data'!$A$1:$A$20000,0),MATCH("Keyword Difficulty*",'Semrush Data'!$A$1:$Z$1,0)),"")</f>
        <v/>
      </c>
      <c r="I1547" s="29" t="str">
        <f aca="false">IFERROR(INDEX('Semrush Data'!$A$1:$Z$20000,MATCH(A1547,'Semrush Data'!$A$1:$A$20000,0),MATCH("CPC*",'Semrush Data'!$A$1:$Z$1,0)),"")</f>
        <v/>
      </c>
      <c r="J1547" s="6" t="str">
        <f aca="false">IFERROR(INDEX('Semrush Data'!$A$1:$Z$20000,MATCH(A1547,'Semrush Data'!$A$1:$A$20000,0),MATCH("Intent",'Semrush Data'!$A$1:$Z$1,0)),"")</f>
        <v/>
      </c>
    </row>
    <row r="1548" customFormat="false" ht="15" hidden="false" customHeight="true" outlineLevel="0" collapsed="false">
      <c r="A1548" s="6" t="s">
        <v>5502</v>
      </c>
      <c r="B1548" s="6" t="s">
        <v>6869</v>
      </c>
      <c r="C1548" s="6" t="n">
        <v>2</v>
      </c>
      <c r="D1548" s="6" t="n">
        <v>16</v>
      </c>
      <c r="E1548" s="6" t="n">
        <v>1</v>
      </c>
      <c r="F1548" s="6" t="s">
        <v>5496</v>
      </c>
      <c r="G1548" s="28" t="str">
        <f aca="false">IFERROR(INDEX('Semrush Data'!$A$1:$Z$20000,MATCH(A1548,'Semrush Data'!$A$1:$A$20000,0),MATCH("Volume",'Semrush Data'!$A$1:$Z$1,0)),"")</f>
        <v/>
      </c>
      <c r="H1548" s="6" t="str">
        <f aca="false">IFERROR(INDEX('Semrush Data'!$A$1:$Z$20000,MATCH(A1548,'Semrush Data'!$A$1:$A$20000,0),MATCH("Keyword Difficulty*",'Semrush Data'!$A$1:$Z$1,0)),"")</f>
        <v/>
      </c>
      <c r="I1548" s="29" t="str">
        <f aca="false">IFERROR(INDEX('Semrush Data'!$A$1:$Z$20000,MATCH(A1548,'Semrush Data'!$A$1:$A$20000,0),MATCH("CPC*",'Semrush Data'!$A$1:$Z$1,0)),"")</f>
        <v/>
      </c>
      <c r="J1548" s="6" t="str">
        <f aca="false">IFERROR(INDEX('Semrush Data'!$A$1:$Z$20000,MATCH(A1548,'Semrush Data'!$A$1:$A$20000,0),MATCH("Intent",'Semrush Data'!$A$1:$Z$1,0)),"")</f>
        <v/>
      </c>
    </row>
    <row r="1549" customFormat="false" ht="15" hidden="false" customHeight="true" outlineLevel="0" collapsed="false">
      <c r="A1549" s="6" t="s">
        <v>5524</v>
      </c>
      <c r="B1549" s="6" t="s">
        <v>6869</v>
      </c>
      <c r="C1549" s="6" t="n">
        <v>2</v>
      </c>
      <c r="D1549" s="6" t="n">
        <v>16</v>
      </c>
      <c r="E1549" s="6" t="n">
        <v>1</v>
      </c>
      <c r="F1549" s="6" t="s">
        <v>5516</v>
      </c>
      <c r="G1549" s="28" t="str">
        <f aca="false">IFERROR(INDEX('Semrush Data'!$A$1:$Z$20000,MATCH(A1549,'Semrush Data'!$A$1:$A$20000,0),MATCH("Volume",'Semrush Data'!$A$1:$Z$1,0)),"")</f>
        <v/>
      </c>
      <c r="H1549" s="6" t="str">
        <f aca="false">IFERROR(INDEX('Semrush Data'!$A$1:$Z$20000,MATCH(A1549,'Semrush Data'!$A$1:$A$20000,0),MATCH("Keyword Difficulty*",'Semrush Data'!$A$1:$Z$1,0)),"")</f>
        <v/>
      </c>
      <c r="I1549" s="29" t="str">
        <f aca="false">IFERROR(INDEX('Semrush Data'!$A$1:$Z$20000,MATCH(A1549,'Semrush Data'!$A$1:$A$20000,0),MATCH("CPC*",'Semrush Data'!$A$1:$Z$1,0)),"")</f>
        <v/>
      </c>
      <c r="J1549" s="6" t="str">
        <f aca="false">IFERROR(INDEX('Semrush Data'!$A$1:$Z$20000,MATCH(A1549,'Semrush Data'!$A$1:$A$20000,0),MATCH("Intent",'Semrush Data'!$A$1:$Z$1,0)),"")</f>
        <v/>
      </c>
    </row>
    <row r="1550" customFormat="false" ht="15" hidden="false" customHeight="true" outlineLevel="0" collapsed="false">
      <c r="A1550" s="6" t="s">
        <v>5536</v>
      </c>
      <c r="B1550" s="6" t="s">
        <v>6869</v>
      </c>
      <c r="C1550" s="6" t="n">
        <v>2</v>
      </c>
      <c r="D1550" s="6" t="n">
        <v>16</v>
      </c>
      <c r="E1550" s="6" t="n">
        <v>1</v>
      </c>
      <c r="F1550" s="6" t="s">
        <v>5530</v>
      </c>
      <c r="G1550" s="28" t="str">
        <f aca="false">IFERROR(INDEX('Semrush Data'!$A$1:$Z$20000,MATCH(A1550,'Semrush Data'!$A$1:$A$20000,0),MATCH("Volume",'Semrush Data'!$A$1:$Z$1,0)),"")</f>
        <v/>
      </c>
      <c r="H1550" s="6" t="str">
        <f aca="false">IFERROR(INDEX('Semrush Data'!$A$1:$Z$20000,MATCH(A1550,'Semrush Data'!$A$1:$A$20000,0),MATCH("Keyword Difficulty*",'Semrush Data'!$A$1:$Z$1,0)),"")</f>
        <v/>
      </c>
      <c r="I1550" s="29" t="str">
        <f aca="false">IFERROR(INDEX('Semrush Data'!$A$1:$Z$20000,MATCH(A1550,'Semrush Data'!$A$1:$A$20000,0),MATCH("CPC*",'Semrush Data'!$A$1:$Z$1,0)),"")</f>
        <v/>
      </c>
      <c r="J1550" s="6" t="str">
        <f aca="false">IFERROR(INDEX('Semrush Data'!$A$1:$Z$20000,MATCH(A1550,'Semrush Data'!$A$1:$A$20000,0),MATCH("Intent",'Semrush Data'!$A$1:$Z$1,0)),"")</f>
        <v/>
      </c>
    </row>
    <row r="1551" customFormat="false" ht="15" hidden="false" customHeight="true" outlineLevel="0" collapsed="false">
      <c r="A1551" s="6" t="s">
        <v>5570</v>
      </c>
      <c r="B1551" s="6" t="s">
        <v>6869</v>
      </c>
      <c r="C1551" s="6" t="n">
        <v>2</v>
      </c>
      <c r="D1551" s="6" t="s">
        <v>6867</v>
      </c>
      <c r="E1551" s="6" t="n">
        <v>2</v>
      </c>
      <c r="F1551" s="6" t="s">
        <v>6860</v>
      </c>
      <c r="G1551" s="28" t="n">
        <f aca="false">IFERROR(INDEX('Semrush Data'!$A$1:$Z$20000,MATCH(A1551,'Semrush Data'!$A$1:$A$20000,0),MATCH("Volume",'Semrush Data'!$A$1:$Z$1,0)),"")</f>
        <v>20</v>
      </c>
      <c r="H1551" s="6" t="n">
        <f aca="false">IFERROR(INDEX('Semrush Data'!$A$1:$Z$20000,MATCH(A1551,'Semrush Data'!$A$1:$A$20000,0),MATCH("Keyword Difficulty*",'Semrush Data'!$A$1:$Z$1,0)),"")</f>
        <v>16</v>
      </c>
      <c r="I1551" s="29" t="n">
        <f aca="false">IFERROR(INDEX('Semrush Data'!$A$1:$Z$20000,MATCH(A1551,'Semrush Data'!$A$1:$A$20000,0),MATCH("CPC*",'Semrush Data'!$A$1:$Z$1,0)),"")</f>
        <v>0.5</v>
      </c>
      <c r="J1551" s="6" t="str">
        <f aca="false">IFERROR(INDEX('Semrush Data'!$A$1:$Z$20000,MATCH(A1551,'Semrush Data'!$A$1:$A$20000,0),MATCH("Intent",'Semrush Data'!$A$1:$Z$1,0)),"")</f>
        <v>Informational Transactional</v>
      </c>
    </row>
    <row r="1552" customFormat="false" ht="15" hidden="false" customHeight="true" outlineLevel="0" collapsed="false">
      <c r="A1552" s="6" t="s">
        <v>5549</v>
      </c>
      <c r="B1552" s="6" t="s">
        <v>6869</v>
      </c>
      <c r="C1552" s="6" t="n">
        <v>2</v>
      </c>
      <c r="D1552" s="6" t="n">
        <v>16</v>
      </c>
      <c r="E1552" s="6" t="n">
        <v>1</v>
      </c>
      <c r="F1552" s="6" t="s">
        <v>5542</v>
      </c>
      <c r="G1552" s="28" t="str">
        <f aca="false">IFERROR(INDEX('Semrush Data'!$A$1:$Z$20000,MATCH(A1552,'Semrush Data'!$A$1:$A$20000,0),MATCH("Volume",'Semrush Data'!$A$1:$Z$1,0)),"")</f>
        <v/>
      </c>
      <c r="H1552" s="6" t="str">
        <f aca="false">IFERROR(INDEX('Semrush Data'!$A$1:$Z$20000,MATCH(A1552,'Semrush Data'!$A$1:$A$20000,0),MATCH("Keyword Difficulty*",'Semrush Data'!$A$1:$Z$1,0)),"")</f>
        <v/>
      </c>
      <c r="I1552" s="29" t="str">
        <f aca="false">IFERROR(INDEX('Semrush Data'!$A$1:$Z$20000,MATCH(A1552,'Semrush Data'!$A$1:$A$20000,0),MATCH("CPC*",'Semrush Data'!$A$1:$Z$1,0)),"")</f>
        <v/>
      </c>
      <c r="J1552" s="6" t="str">
        <f aca="false">IFERROR(INDEX('Semrush Data'!$A$1:$Z$20000,MATCH(A1552,'Semrush Data'!$A$1:$A$20000,0),MATCH("Intent",'Semrush Data'!$A$1:$Z$1,0)),"")</f>
        <v/>
      </c>
    </row>
    <row r="1553" customFormat="false" ht="15" hidden="false" customHeight="true" outlineLevel="0" collapsed="false">
      <c r="A1553" s="6" t="s">
        <v>5561</v>
      </c>
      <c r="B1553" s="6" t="s">
        <v>6869</v>
      </c>
      <c r="C1553" s="6" t="n">
        <v>2</v>
      </c>
      <c r="D1553" s="6" t="n">
        <v>16</v>
      </c>
      <c r="E1553" s="6" t="n">
        <v>1</v>
      </c>
      <c r="F1553" s="6" t="s">
        <v>5555</v>
      </c>
      <c r="G1553" s="28" t="str">
        <f aca="false">IFERROR(INDEX('Semrush Data'!$A$1:$Z$20000,MATCH(A1553,'Semrush Data'!$A$1:$A$20000,0),MATCH("Volume",'Semrush Data'!$A$1:$Z$1,0)),"")</f>
        <v/>
      </c>
      <c r="H1553" s="6" t="str">
        <f aca="false">IFERROR(INDEX('Semrush Data'!$A$1:$Z$20000,MATCH(A1553,'Semrush Data'!$A$1:$A$20000,0),MATCH("Keyword Difficulty*",'Semrush Data'!$A$1:$Z$1,0)),"")</f>
        <v/>
      </c>
      <c r="I1553" s="29" t="str">
        <f aca="false">IFERROR(INDEX('Semrush Data'!$A$1:$Z$20000,MATCH(A1553,'Semrush Data'!$A$1:$A$20000,0),MATCH("CPC*",'Semrush Data'!$A$1:$Z$1,0)),"")</f>
        <v/>
      </c>
      <c r="J1553" s="6" t="str">
        <f aca="false">IFERROR(INDEX('Semrush Data'!$A$1:$Z$20000,MATCH(A1553,'Semrush Data'!$A$1:$A$20000,0),MATCH("Intent",'Semrush Data'!$A$1:$Z$1,0)),"")</f>
        <v/>
      </c>
    </row>
    <row r="1554" customFormat="false" ht="15" hidden="false" customHeight="true" outlineLevel="0" collapsed="false">
      <c r="A1554" s="6" t="s">
        <v>5581</v>
      </c>
      <c r="B1554" s="6" t="s">
        <v>6869</v>
      </c>
      <c r="C1554" s="6" t="n">
        <v>2</v>
      </c>
      <c r="D1554" s="6" t="s">
        <v>6867</v>
      </c>
      <c r="E1554" s="6" t="n">
        <v>1</v>
      </c>
      <c r="F1554" s="6" t="s">
        <v>73</v>
      </c>
      <c r="G1554" s="28" t="n">
        <f aca="false">IFERROR(INDEX('Semrush Data'!$A$1:$Z$20000,MATCH(A1554,'Semrush Data'!$A$1:$A$20000,0),MATCH("Volume",'Semrush Data'!$A$1:$Z$1,0)),"")</f>
        <v>20</v>
      </c>
      <c r="H1554" s="6" t="n">
        <f aca="false">IFERROR(INDEX('Semrush Data'!$A$1:$Z$20000,MATCH(A1554,'Semrush Data'!$A$1:$A$20000,0),MATCH("Keyword Difficulty*",'Semrush Data'!$A$1:$Z$1,0)),"")</f>
        <v>13</v>
      </c>
      <c r="I1554" s="29" t="n">
        <f aca="false">IFERROR(INDEX('Semrush Data'!$A$1:$Z$20000,MATCH(A1554,'Semrush Data'!$A$1:$A$20000,0),MATCH("CPC*",'Semrush Data'!$A$1:$Z$1,0)),"")</f>
        <v>0.35</v>
      </c>
      <c r="J1554" s="6" t="str">
        <f aca="false">IFERROR(INDEX('Semrush Data'!$A$1:$Z$20000,MATCH(A1554,'Semrush Data'!$A$1:$A$20000,0),MATCH("Intent",'Semrush Data'!$A$1:$Z$1,0)),"")</f>
        <v>Transactional</v>
      </c>
    </row>
    <row r="1555" customFormat="false" ht="15" hidden="false" customHeight="true" outlineLevel="0" collapsed="false">
      <c r="A1555" s="6" t="s">
        <v>5606</v>
      </c>
      <c r="B1555" s="6" t="s">
        <v>6869</v>
      </c>
      <c r="C1555" s="6" t="n">
        <v>2</v>
      </c>
      <c r="D1555" s="6" t="n">
        <v>16</v>
      </c>
      <c r="E1555" s="6" t="n">
        <v>1</v>
      </c>
      <c r="F1555" s="6" t="s">
        <v>5600</v>
      </c>
      <c r="G1555" s="28" t="str">
        <f aca="false">IFERROR(INDEX('Semrush Data'!$A$1:$Z$20000,MATCH(A1555,'Semrush Data'!$A$1:$A$20000,0),MATCH("Volume",'Semrush Data'!$A$1:$Z$1,0)),"")</f>
        <v/>
      </c>
      <c r="H1555" s="6" t="str">
        <f aca="false">IFERROR(INDEX('Semrush Data'!$A$1:$Z$20000,MATCH(A1555,'Semrush Data'!$A$1:$A$20000,0),MATCH("Keyword Difficulty*",'Semrush Data'!$A$1:$Z$1,0)),"")</f>
        <v/>
      </c>
      <c r="I1555" s="29" t="str">
        <f aca="false">IFERROR(INDEX('Semrush Data'!$A$1:$Z$20000,MATCH(A1555,'Semrush Data'!$A$1:$A$20000,0),MATCH("CPC*",'Semrush Data'!$A$1:$Z$1,0)),"")</f>
        <v/>
      </c>
      <c r="J1555" s="6" t="str">
        <f aca="false">IFERROR(INDEX('Semrush Data'!$A$1:$Z$20000,MATCH(A1555,'Semrush Data'!$A$1:$A$20000,0),MATCH("Intent",'Semrush Data'!$A$1:$Z$1,0)),"")</f>
        <v/>
      </c>
    </row>
    <row r="1556" customFormat="false" ht="15" hidden="false" customHeight="true" outlineLevel="0" collapsed="false">
      <c r="A1556" s="6" t="s">
        <v>5627</v>
      </c>
      <c r="B1556" s="6" t="s">
        <v>6869</v>
      </c>
      <c r="C1556" s="6" t="n">
        <v>2</v>
      </c>
      <c r="D1556" s="6" t="n">
        <v>16</v>
      </c>
      <c r="E1556" s="6" t="n">
        <v>1</v>
      </c>
      <c r="F1556" s="6" t="s">
        <v>5620</v>
      </c>
      <c r="G1556" s="28" t="str">
        <f aca="false">IFERROR(INDEX('Semrush Data'!$A$1:$Z$20000,MATCH(A1556,'Semrush Data'!$A$1:$A$20000,0),MATCH("Volume",'Semrush Data'!$A$1:$Z$1,0)),"")</f>
        <v/>
      </c>
      <c r="H1556" s="6" t="str">
        <f aca="false">IFERROR(INDEX('Semrush Data'!$A$1:$Z$20000,MATCH(A1556,'Semrush Data'!$A$1:$A$20000,0),MATCH("Keyword Difficulty*",'Semrush Data'!$A$1:$Z$1,0)),"")</f>
        <v/>
      </c>
      <c r="I1556" s="29" t="str">
        <f aca="false">IFERROR(INDEX('Semrush Data'!$A$1:$Z$20000,MATCH(A1556,'Semrush Data'!$A$1:$A$20000,0),MATCH("CPC*",'Semrush Data'!$A$1:$Z$1,0)),"")</f>
        <v/>
      </c>
      <c r="J1556" s="6" t="str">
        <f aca="false">IFERROR(INDEX('Semrush Data'!$A$1:$Z$20000,MATCH(A1556,'Semrush Data'!$A$1:$A$20000,0),MATCH("Intent",'Semrush Data'!$A$1:$Z$1,0)),"")</f>
        <v/>
      </c>
    </row>
    <row r="1557" customFormat="false" ht="15" hidden="false" customHeight="true" outlineLevel="0" collapsed="false">
      <c r="A1557" s="6" t="s">
        <v>4609</v>
      </c>
      <c r="B1557" s="6" t="s">
        <v>6869</v>
      </c>
      <c r="C1557" s="6" t="n">
        <v>2</v>
      </c>
      <c r="D1557" s="6" t="n">
        <v>16</v>
      </c>
      <c r="E1557" s="6" t="n">
        <v>1</v>
      </c>
      <c r="F1557" s="6" t="s">
        <v>4603</v>
      </c>
      <c r="G1557" s="28" t="str">
        <f aca="false">IFERROR(INDEX('Semrush Data'!$A$1:$Z$20000,MATCH(A1557,'Semrush Data'!$A$1:$A$20000,0),MATCH("Volume",'Semrush Data'!$A$1:$Z$1,0)),"")</f>
        <v/>
      </c>
      <c r="H1557" s="6" t="str">
        <f aca="false">IFERROR(INDEX('Semrush Data'!$A$1:$Z$20000,MATCH(A1557,'Semrush Data'!$A$1:$A$20000,0),MATCH("Keyword Difficulty*",'Semrush Data'!$A$1:$Z$1,0)),"")</f>
        <v/>
      </c>
      <c r="I1557" s="29" t="str">
        <f aca="false">IFERROR(INDEX('Semrush Data'!$A$1:$Z$20000,MATCH(A1557,'Semrush Data'!$A$1:$A$20000,0),MATCH("CPC*",'Semrush Data'!$A$1:$Z$1,0)),"")</f>
        <v/>
      </c>
      <c r="J1557" s="6" t="str">
        <f aca="false">IFERROR(INDEX('Semrush Data'!$A$1:$Z$20000,MATCH(A1557,'Semrush Data'!$A$1:$A$20000,0),MATCH("Intent",'Semrush Data'!$A$1:$Z$1,0)),"")</f>
        <v/>
      </c>
    </row>
    <row r="1558" customFormat="false" ht="15" hidden="false" customHeight="true" outlineLevel="0" collapsed="false">
      <c r="A1558" s="6" t="s">
        <v>5639</v>
      </c>
      <c r="B1558" s="6" t="s">
        <v>6869</v>
      </c>
      <c r="C1558" s="6" t="n">
        <v>2</v>
      </c>
      <c r="D1558" s="6" t="n">
        <v>16</v>
      </c>
      <c r="E1558" s="6" t="n">
        <v>1</v>
      </c>
      <c r="F1558" s="6" t="s">
        <v>5632</v>
      </c>
      <c r="G1558" s="28" t="str">
        <f aca="false">IFERROR(INDEX('Semrush Data'!$A$1:$Z$20000,MATCH(A1558,'Semrush Data'!$A$1:$A$20000,0),MATCH("Volume",'Semrush Data'!$A$1:$Z$1,0)),"")</f>
        <v/>
      </c>
      <c r="H1558" s="6" t="str">
        <f aca="false">IFERROR(INDEX('Semrush Data'!$A$1:$Z$20000,MATCH(A1558,'Semrush Data'!$A$1:$A$20000,0),MATCH("Keyword Difficulty*",'Semrush Data'!$A$1:$Z$1,0)),"")</f>
        <v/>
      </c>
      <c r="I1558" s="29" t="str">
        <f aca="false">IFERROR(INDEX('Semrush Data'!$A$1:$Z$20000,MATCH(A1558,'Semrush Data'!$A$1:$A$20000,0),MATCH("CPC*",'Semrush Data'!$A$1:$Z$1,0)),"")</f>
        <v/>
      </c>
      <c r="J1558" s="6" t="str">
        <f aca="false">IFERROR(INDEX('Semrush Data'!$A$1:$Z$20000,MATCH(A1558,'Semrush Data'!$A$1:$A$20000,0),MATCH("Intent",'Semrush Data'!$A$1:$Z$1,0)),"")</f>
        <v/>
      </c>
    </row>
    <row r="1559" customFormat="false" ht="15" hidden="false" customHeight="true" outlineLevel="0" collapsed="false">
      <c r="A1559" s="6" t="s">
        <v>5650</v>
      </c>
      <c r="B1559" s="6" t="s">
        <v>6869</v>
      </c>
      <c r="C1559" s="6" t="n">
        <v>2</v>
      </c>
      <c r="D1559" s="6" t="n">
        <v>16</v>
      </c>
      <c r="E1559" s="6" t="n">
        <v>1</v>
      </c>
      <c r="F1559" s="6" t="s">
        <v>5644</v>
      </c>
      <c r="G1559" s="28" t="str">
        <f aca="false">IFERROR(INDEX('Semrush Data'!$A$1:$Z$20000,MATCH(A1559,'Semrush Data'!$A$1:$A$20000,0),MATCH("Volume",'Semrush Data'!$A$1:$Z$1,0)),"")</f>
        <v/>
      </c>
      <c r="H1559" s="6" t="str">
        <f aca="false">IFERROR(INDEX('Semrush Data'!$A$1:$Z$20000,MATCH(A1559,'Semrush Data'!$A$1:$A$20000,0),MATCH("Keyword Difficulty*",'Semrush Data'!$A$1:$Z$1,0)),"")</f>
        <v/>
      </c>
      <c r="I1559" s="29" t="str">
        <f aca="false">IFERROR(INDEX('Semrush Data'!$A$1:$Z$20000,MATCH(A1559,'Semrush Data'!$A$1:$A$20000,0),MATCH("CPC*",'Semrush Data'!$A$1:$Z$1,0)),"")</f>
        <v/>
      </c>
      <c r="J1559" s="6" t="str">
        <f aca="false">IFERROR(INDEX('Semrush Data'!$A$1:$Z$20000,MATCH(A1559,'Semrush Data'!$A$1:$A$20000,0),MATCH("Intent",'Semrush Data'!$A$1:$Z$1,0)),"")</f>
        <v/>
      </c>
    </row>
    <row r="1560" customFormat="false" ht="15" hidden="false" customHeight="true" outlineLevel="0" collapsed="false">
      <c r="A1560" s="6" t="s">
        <v>5661</v>
      </c>
      <c r="B1560" s="6" t="s">
        <v>6869</v>
      </c>
      <c r="C1560" s="6" t="n">
        <v>2</v>
      </c>
      <c r="D1560" s="6" t="n">
        <v>16</v>
      </c>
      <c r="E1560" s="6" t="n">
        <v>1</v>
      </c>
      <c r="F1560" s="6" t="s">
        <v>5655</v>
      </c>
      <c r="G1560" s="28" t="str">
        <f aca="false">IFERROR(INDEX('Semrush Data'!$A$1:$Z$20000,MATCH(A1560,'Semrush Data'!$A$1:$A$20000,0),MATCH("Volume",'Semrush Data'!$A$1:$Z$1,0)),"")</f>
        <v/>
      </c>
      <c r="H1560" s="6" t="str">
        <f aca="false">IFERROR(INDEX('Semrush Data'!$A$1:$Z$20000,MATCH(A1560,'Semrush Data'!$A$1:$A$20000,0),MATCH("Keyword Difficulty*",'Semrush Data'!$A$1:$Z$1,0)),"")</f>
        <v/>
      </c>
      <c r="I1560" s="29" t="str">
        <f aca="false">IFERROR(INDEX('Semrush Data'!$A$1:$Z$20000,MATCH(A1560,'Semrush Data'!$A$1:$A$20000,0),MATCH("CPC*",'Semrush Data'!$A$1:$Z$1,0)),"")</f>
        <v/>
      </c>
      <c r="J1560" s="6" t="str">
        <f aca="false">IFERROR(INDEX('Semrush Data'!$A$1:$Z$20000,MATCH(A1560,'Semrush Data'!$A$1:$A$20000,0),MATCH("Intent",'Semrush Data'!$A$1:$Z$1,0)),"")</f>
        <v/>
      </c>
    </row>
    <row r="1561" customFormat="false" ht="15" hidden="false" customHeight="true" outlineLevel="0" collapsed="false">
      <c r="A1561" s="6" t="s">
        <v>5672</v>
      </c>
      <c r="B1561" s="6" t="s">
        <v>6869</v>
      </c>
      <c r="C1561" s="6" t="n">
        <v>2</v>
      </c>
      <c r="D1561" s="6" t="n">
        <v>16</v>
      </c>
      <c r="E1561" s="6" t="n">
        <v>1</v>
      </c>
      <c r="F1561" s="6" t="s">
        <v>5665</v>
      </c>
      <c r="G1561" s="28" t="str">
        <f aca="false">IFERROR(INDEX('Semrush Data'!$A$1:$Z$20000,MATCH(A1561,'Semrush Data'!$A$1:$A$20000,0),MATCH("Volume",'Semrush Data'!$A$1:$Z$1,0)),"")</f>
        <v/>
      </c>
      <c r="H1561" s="6" t="str">
        <f aca="false">IFERROR(INDEX('Semrush Data'!$A$1:$Z$20000,MATCH(A1561,'Semrush Data'!$A$1:$A$20000,0),MATCH("Keyword Difficulty*",'Semrush Data'!$A$1:$Z$1,0)),"")</f>
        <v/>
      </c>
      <c r="I1561" s="29" t="str">
        <f aca="false">IFERROR(INDEX('Semrush Data'!$A$1:$Z$20000,MATCH(A1561,'Semrush Data'!$A$1:$A$20000,0),MATCH("CPC*",'Semrush Data'!$A$1:$Z$1,0)),"")</f>
        <v/>
      </c>
      <c r="J1561" s="6" t="str">
        <f aca="false">IFERROR(INDEX('Semrush Data'!$A$1:$Z$20000,MATCH(A1561,'Semrush Data'!$A$1:$A$20000,0),MATCH("Intent",'Semrush Data'!$A$1:$Z$1,0)),"")</f>
        <v/>
      </c>
    </row>
    <row r="1562" customFormat="false" ht="15" hidden="false" customHeight="true" outlineLevel="0" collapsed="false">
      <c r="A1562" s="6" t="s">
        <v>5684</v>
      </c>
      <c r="B1562" s="6" t="s">
        <v>6869</v>
      </c>
      <c r="C1562" s="6" t="n">
        <v>2</v>
      </c>
      <c r="D1562" s="6" t="n">
        <v>16</v>
      </c>
      <c r="E1562" s="6" t="n">
        <v>1</v>
      </c>
      <c r="F1562" s="6" t="s">
        <v>5678</v>
      </c>
      <c r="G1562" s="28" t="str">
        <f aca="false">IFERROR(INDEX('Semrush Data'!$A$1:$Z$20000,MATCH(A1562,'Semrush Data'!$A$1:$A$20000,0),MATCH("Volume",'Semrush Data'!$A$1:$Z$1,0)),"")</f>
        <v/>
      </c>
      <c r="H1562" s="6" t="str">
        <f aca="false">IFERROR(INDEX('Semrush Data'!$A$1:$Z$20000,MATCH(A1562,'Semrush Data'!$A$1:$A$20000,0),MATCH("Keyword Difficulty*",'Semrush Data'!$A$1:$Z$1,0)),"")</f>
        <v/>
      </c>
      <c r="I1562" s="29" t="str">
        <f aca="false">IFERROR(INDEX('Semrush Data'!$A$1:$Z$20000,MATCH(A1562,'Semrush Data'!$A$1:$A$20000,0),MATCH("CPC*",'Semrush Data'!$A$1:$Z$1,0)),"")</f>
        <v/>
      </c>
      <c r="J1562" s="6" t="str">
        <f aca="false">IFERROR(INDEX('Semrush Data'!$A$1:$Z$20000,MATCH(A1562,'Semrush Data'!$A$1:$A$20000,0),MATCH("Intent",'Semrush Data'!$A$1:$Z$1,0)),"")</f>
        <v/>
      </c>
    </row>
    <row r="1563" customFormat="false" ht="15" hidden="false" customHeight="true" outlineLevel="0" collapsed="false">
      <c r="A1563" s="6" t="s">
        <v>5695</v>
      </c>
      <c r="B1563" s="6" t="s">
        <v>6869</v>
      </c>
      <c r="C1563" s="6" t="n">
        <v>2</v>
      </c>
      <c r="D1563" s="6" t="n">
        <v>16</v>
      </c>
      <c r="E1563" s="6" t="n">
        <v>1</v>
      </c>
      <c r="F1563" s="6" t="s">
        <v>5689</v>
      </c>
      <c r="G1563" s="28" t="str">
        <f aca="false">IFERROR(INDEX('Semrush Data'!$A$1:$Z$20000,MATCH(A1563,'Semrush Data'!$A$1:$A$20000,0),MATCH("Volume",'Semrush Data'!$A$1:$Z$1,0)),"")</f>
        <v/>
      </c>
      <c r="H1563" s="6" t="str">
        <f aca="false">IFERROR(INDEX('Semrush Data'!$A$1:$Z$20000,MATCH(A1563,'Semrush Data'!$A$1:$A$20000,0),MATCH("Keyword Difficulty*",'Semrush Data'!$A$1:$Z$1,0)),"")</f>
        <v/>
      </c>
      <c r="I1563" s="29" t="str">
        <f aca="false">IFERROR(INDEX('Semrush Data'!$A$1:$Z$20000,MATCH(A1563,'Semrush Data'!$A$1:$A$20000,0),MATCH("CPC*",'Semrush Data'!$A$1:$Z$1,0)),"")</f>
        <v/>
      </c>
      <c r="J1563" s="6" t="str">
        <f aca="false">IFERROR(INDEX('Semrush Data'!$A$1:$Z$20000,MATCH(A1563,'Semrush Data'!$A$1:$A$20000,0),MATCH("Intent",'Semrush Data'!$A$1:$Z$1,0)),"")</f>
        <v/>
      </c>
    </row>
    <row r="1564" customFormat="false" ht="15" hidden="false" customHeight="true" outlineLevel="0" collapsed="false">
      <c r="A1564" s="6" t="s">
        <v>5707</v>
      </c>
      <c r="B1564" s="6" t="s">
        <v>6869</v>
      </c>
      <c r="C1564" s="6" t="n">
        <v>2</v>
      </c>
      <c r="D1564" s="6" t="n">
        <v>16</v>
      </c>
      <c r="E1564" s="6" t="n">
        <v>1</v>
      </c>
      <c r="F1564" s="6" t="s">
        <v>5701</v>
      </c>
      <c r="G1564" s="28" t="str">
        <f aca="false">IFERROR(INDEX('Semrush Data'!$A$1:$Z$20000,MATCH(A1564,'Semrush Data'!$A$1:$A$20000,0),MATCH("Volume",'Semrush Data'!$A$1:$Z$1,0)),"")</f>
        <v/>
      </c>
      <c r="H1564" s="6" t="str">
        <f aca="false">IFERROR(INDEX('Semrush Data'!$A$1:$Z$20000,MATCH(A1564,'Semrush Data'!$A$1:$A$20000,0),MATCH("Keyword Difficulty*",'Semrush Data'!$A$1:$Z$1,0)),"")</f>
        <v/>
      </c>
      <c r="I1564" s="29" t="str">
        <f aca="false">IFERROR(INDEX('Semrush Data'!$A$1:$Z$20000,MATCH(A1564,'Semrush Data'!$A$1:$A$20000,0),MATCH("CPC*",'Semrush Data'!$A$1:$Z$1,0)),"")</f>
        <v/>
      </c>
      <c r="J1564" s="6" t="str">
        <f aca="false">IFERROR(INDEX('Semrush Data'!$A$1:$Z$20000,MATCH(A1564,'Semrush Data'!$A$1:$A$20000,0),MATCH("Intent",'Semrush Data'!$A$1:$Z$1,0)),"")</f>
        <v/>
      </c>
    </row>
    <row r="1565" customFormat="false" ht="15" hidden="false" customHeight="true" outlineLevel="0" collapsed="false">
      <c r="A1565" s="6" t="s">
        <v>5718</v>
      </c>
      <c r="B1565" s="6" t="s">
        <v>6869</v>
      </c>
      <c r="C1565" s="6" t="n">
        <v>2</v>
      </c>
      <c r="D1565" s="6" t="n">
        <v>16</v>
      </c>
      <c r="E1565" s="6" t="n">
        <v>1</v>
      </c>
      <c r="F1565" s="6" t="s">
        <v>5712</v>
      </c>
      <c r="G1565" s="28" t="str">
        <f aca="false">IFERROR(INDEX('Semrush Data'!$A$1:$Z$20000,MATCH(A1565,'Semrush Data'!$A$1:$A$20000,0),MATCH("Volume",'Semrush Data'!$A$1:$Z$1,0)),"")</f>
        <v/>
      </c>
      <c r="H1565" s="6" t="str">
        <f aca="false">IFERROR(INDEX('Semrush Data'!$A$1:$Z$20000,MATCH(A1565,'Semrush Data'!$A$1:$A$20000,0),MATCH("Keyword Difficulty*",'Semrush Data'!$A$1:$Z$1,0)),"")</f>
        <v/>
      </c>
      <c r="I1565" s="29" t="str">
        <f aca="false">IFERROR(INDEX('Semrush Data'!$A$1:$Z$20000,MATCH(A1565,'Semrush Data'!$A$1:$A$20000,0),MATCH("CPC*",'Semrush Data'!$A$1:$Z$1,0)),"")</f>
        <v/>
      </c>
      <c r="J1565" s="6" t="str">
        <f aca="false">IFERROR(INDEX('Semrush Data'!$A$1:$Z$20000,MATCH(A1565,'Semrush Data'!$A$1:$A$20000,0),MATCH("Intent",'Semrush Data'!$A$1:$Z$1,0)),"")</f>
        <v/>
      </c>
    </row>
    <row r="1566" customFormat="false" ht="15" hidden="false" customHeight="true" outlineLevel="0" collapsed="false">
      <c r="A1566" s="6" t="s">
        <v>5730</v>
      </c>
      <c r="B1566" s="6" t="s">
        <v>6869</v>
      </c>
      <c r="C1566" s="6" t="n">
        <v>2</v>
      </c>
      <c r="D1566" s="6" t="s">
        <v>6868</v>
      </c>
      <c r="E1566" s="6" t="n">
        <v>1</v>
      </c>
      <c r="F1566" s="6" t="s">
        <v>5723</v>
      </c>
      <c r="G1566" s="28" t="n">
        <f aca="false">IFERROR(INDEX('Semrush Data'!$A$1:$Z$20000,MATCH(A1566,'Semrush Data'!$A$1:$A$20000,0),MATCH("Volume",'Semrush Data'!$A$1:$Z$1,0)),"")</f>
        <v>0</v>
      </c>
      <c r="H1566" s="6" t="n">
        <f aca="false">IFERROR(INDEX('Semrush Data'!$A$1:$Z$20000,MATCH(A1566,'Semrush Data'!$A$1:$A$20000,0),MATCH("Keyword Difficulty*",'Semrush Data'!$A$1:$Z$1,0)),"")</f>
        <v>3</v>
      </c>
      <c r="I1566" s="29" t="n">
        <f aca="false">IFERROR(INDEX('Semrush Data'!$A$1:$Z$20000,MATCH(A1566,'Semrush Data'!$A$1:$A$20000,0),MATCH("CPC*",'Semrush Data'!$A$1:$Z$1,0)),"")</f>
        <v>0</v>
      </c>
      <c r="J1566" s="6" t="str">
        <f aca="false">IFERROR(INDEX('Semrush Data'!$A$1:$Z$20000,MATCH(A1566,'Semrush Data'!$A$1:$A$20000,0),MATCH("Intent",'Semrush Data'!$A$1:$Z$1,0)),"")</f>
        <v>Informational</v>
      </c>
    </row>
    <row r="1567" customFormat="false" ht="15" hidden="false" customHeight="true" outlineLevel="0" collapsed="false">
      <c r="A1567" s="6" t="s">
        <v>5743</v>
      </c>
      <c r="B1567" s="6" t="s">
        <v>6869</v>
      </c>
      <c r="C1567" s="6" t="n">
        <v>2</v>
      </c>
      <c r="D1567" s="6" t="s">
        <v>6868</v>
      </c>
      <c r="E1567" s="6" t="n">
        <v>1</v>
      </c>
      <c r="F1567" s="6" t="s">
        <v>5736</v>
      </c>
      <c r="G1567" s="28" t="n">
        <f aca="false">IFERROR(INDEX('Semrush Data'!$A$1:$Z$20000,MATCH(A1567,'Semrush Data'!$A$1:$A$20000,0),MATCH("Volume",'Semrush Data'!$A$1:$Z$1,0)),"")</f>
        <v>20</v>
      </c>
      <c r="H1567" s="6" t="n">
        <f aca="false">IFERROR(INDEX('Semrush Data'!$A$1:$Z$20000,MATCH(A1567,'Semrush Data'!$A$1:$A$20000,0),MATCH("Keyword Difficulty*",'Semrush Data'!$A$1:$Z$1,0)),"")</f>
        <v>18</v>
      </c>
      <c r="I1567" s="29" t="n">
        <f aca="false">IFERROR(INDEX('Semrush Data'!$A$1:$Z$20000,MATCH(A1567,'Semrush Data'!$A$1:$A$20000,0),MATCH("CPC*",'Semrush Data'!$A$1:$Z$1,0)),"")</f>
        <v>0</v>
      </c>
      <c r="J1567" s="6" t="str">
        <f aca="false">IFERROR(INDEX('Semrush Data'!$A$1:$Z$20000,MATCH(A1567,'Semrush Data'!$A$1:$A$20000,0),MATCH("Intent",'Semrush Data'!$A$1:$Z$1,0)),"")</f>
        <v>Navigational</v>
      </c>
    </row>
    <row r="1568" customFormat="false" ht="15" hidden="false" customHeight="true" outlineLevel="0" collapsed="false">
      <c r="A1568" s="6" t="s">
        <v>5756</v>
      </c>
      <c r="B1568" s="6" t="s">
        <v>6869</v>
      </c>
      <c r="C1568" s="6" t="n">
        <v>2</v>
      </c>
      <c r="D1568" s="6" t="n">
        <v>16</v>
      </c>
      <c r="E1568" s="6" t="n">
        <v>1</v>
      </c>
      <c r="F1568" s="6" t="s">
        <v>5749</v>
      </c>
      <c r="G1568" s="28" t="str">
        <f aca="false">IFERROR(INDEX('Semrush Data'!$A$1:$Z$20000,MATCH(A1568,'Semrush Data'!$A$1:$A$20000,0),MATCH("Volume",'Semrush Data'!$A$1:$Z$1,0)),"")</f>
        <v/>
      </c>
      <c r="H1568" s="6" t="str">
        <f aca="false">IFERROR(INDEX('Semrush Data'!$A$1:$Z$20000,MATCH(A1568,'Semrush Data'!$A$1:$A$20000,0),MATCH("Keyword Difficulty*",'Semrush Data'!$A$1:$Z$1,0)),"")</f>
        <v/>
      </c>
      <c r="I1568" s="29" t="str">
        <f aca="false">IFERROR(INDEX('Semrush Data'!$A$1:$Z$20000,MATCH(A1568,'Semrush Data'!$A$1:$A$20000,0),MATCH("CPC*",'Semrush Data'!$A$1:$Z$1,0)),"")</f>
        <v/>
      </c>
      <c r="J1568" s="6" t="str">
        <f aca="false">IFERROR(INDEX('Semrush Data'!$A$1:$Z$20000,MATCH(A1568,'Semrush Data'!$A$1:$A$20000,0),MATCH("Intent",'Semrush Data'!$A$1:$Z$1,0)),"")</f>
        <v/>
      </c>
    </row>
    <row r="1569" customFormat="false" ht="15" hidden="false" customHeight="true" outlineLevel="0" collapsed="false">
      <c r="A1569" s="6" t="s">
        <v>5768</v>
      </c>
      <c r="B1569" s="6" t="s">
        <v>6869</v>
      </c>
      <c r="C1569" s="6" t="n">
        <v>2</v>
      </c>
      <c r="D1569" s="6" t="n">
        <v>16</v>
      </c>
      <c r="E1569" s="6" t="n">
        <v>1</v>
      </c>
      <c r="F1569" s="6" t="s">
        <v>5762</v>
      </c>
      <c r="G1569" s="28" t="str">
        <f aca="false">IFERROR(INDEX('Semrush Data'!$A$1:$Z$20000,MATCH(A1569,'Semrush Data'!$A$1:$A$20000,0),MATCH("Volume",'Semrush Data'!$A$1:$Z$1,0)),"")</f>
        <v/>
      </c>
      <c r="H1569" s="6" t="str">
        <f aca="false">IFERROR(INDEX('Semrush Data'!$A$1:$Z$20000,MATCH(A1569,'Semrush Data'!$A$1:$A$20000,0),MATCH("Keyword Difficulty*",'Semrush Data'!$A$1:$Z$1,0)),"")</f>
        <v/>
      </c>
      <c r="I1569" s="29" t="str">
        <f aca="false">IFERROR(INDEX('Semrush Data'!$A$1:$Z$20000,MATCH(A1569,'Semrush Data'!$A$1:$A$20000,0),MATCH("CPC*",'Semrush Data'!$A$1:$Z$1,0)),"")</f>
        <v/>
      </c>
      <c r="J1569" s="6" t="str">
        <f aca="false">IFERROR(INDEX('Semrush Data'!$A$1:$Z$20000,MATCH(A1569,'Semrush Data'!$A$1:$A$20000,0),MATCH("Intent",'Semrush Data'!$A$1:$Z$1,0)),"")</f>
        <v/>
      </c>
    </row>
    <row r="1570" customFormat="false" ht="15" hidden="false" customHeight="true" outlineLevel="0" collapsed="false">
      <c r="A1570" s="6" t="s">
        <v>5779</v>
      </c>
      <c r="B1570" s="6" t="s">
        <v>6869</v>
      </c>
      <c r="C1570" s="6" t="n">
        <v>2</v>
      </c>
      <c r="D1570" s="6" t="n">
        <v>16</v>
      </c>
      <c r="E1570" s="6" t="n">
        <v>1</v>
      </c>
      <c r="F1570" s="6" t="s">
        <v>5773</v>
      </c>
      <c r="G1570" s="28" t="str">
        <f aca="false">IFERROR(INDEX('Semrush Data'!$A$1:$Z$20000,MATCH(A1570,'Semrush Data'!$A$1:$A$20000,0),MATCH("Volume",'Semrush Data'!$A$1:$Z$1,0)),"")</f>
        <v/>
      </c>
      <c r="H1570" s="6" t="str">
        <f aca="false">IFERROR(INDEX('Semrush Data'!$A$1:$Z$20000,MATCH(A1570,'Semrush Data'!$A$1:$A$20000,0),MATCH("Keyword Difficulty*",'Semrush Data'!$A$1:$Z$1,0)),"")</f>
        <v/>
      </c>
      <c r="I1570" s="29" t="str">
        <f aca="false">IFERROR(INDEX('Semrush Data'!$A$1:$Z$20000,MATCH(A1570,'Semrush Data'!$A$1:$A$20000,0),MATCH("CPC*",'Semrush Data'!$A$1:$Z$1,0)),"")</f>
        <v/>
      </c>
      <c r="J1570" s="6" t="str">
        <f aca="false">IFERROR(INDEX('Semrush Data'!$A$1:$Z$20000,MATCH(A1570,'Semrush Data'!$A$1:$A$20000,0),MATCH("Intent",'Semrush Data'!$A$1:$Z$1,0)),"")</f>
        <v/>
      </c>
    </row>
    <row r="1571" customFormat="false" ht="15" hidden="false" customHeight="true" outlineLevel="0" collapsed="false">
      <c r="A1571" s="6" t="s">
        <v>5903</v>
      </c>
      <c r="B1571" s="6" t="s">
        <v>6869</v>
      </c>
      <c r="C1571" s="6" t="n">
        <v>2</v>
      </c>
      <c r="D1571" s="6" t="s">
        <v>6868</v>
      </c>
      <c r="E1571" s="6" t="n">
        <v>1</v>
      </c>
      <c r="F1571" s="6" t="s">
        <v>5896</v>
      </c>
      <c r="G1571" s="28" t="n">
        <f aca="false">IFERROR(INDEX('Semrush Data'!$A$1:$Z$20000,MATCH(A1571,'Semrush Data'!$A$1:$A$20000,0),MATCH("Volume",'Semrush Data'!$A$1:$Z$1,0)),"")</f>
        <v>0</v>
      </c>
      <c r="H1571" s="6" t="n">
        <f aca="false">IFERROR(INDEX('Semrush Data'!$A$1:$Z$20000,MATCH(A1571,'Semrush Data'!$A$1:$A$20000,0),MATCH("Keyword Difficulty*",'Semrush Data'!$A$1:$Z$1,0)),"")</f>
        <v>19</v>
      </c>
      <c r="I1571" s="29" t="n">
        <f aca="false">IFERROR(INDEX('Semrush Data'!$A$1:$Z$20000,MATCH(A1571,'Semrush Data'!$A$1:$A$20000,0),MATCH("CPC*",'Semrush Data'!$A$1:$Z$1,0)),"")</f>
        <v>0</v>
      </c>
      <c r="J1571" s="6" t="str">
        <f aca="false">IFERROR(INDEX('Semrush Data'!$A$1:$Z$20000,MATCH(A1571,'Semrush Data'!$A$1:$A$20000,0),MATCH("Intent",'Semrush Data'!$A$1:$Z$1,0)),"")</f>
        <v>Commercial</v>
      </c>
    </row>
    <row r="1572" customFormat="false" ht="15" hidden="false" customHeight="true" outlineLevel="0" collapsed="false">
      <c r="A1572" s="6" t="s">
        <v>5791</v>
      </c>
      <c r="B1572" s="6" t="s">
        <v>6869</v>
      </c>
      <c r="C1572" s="6" t="n">
        <v>2</v>
      </c>
      <c r="D1572" s="6" t="n">
        <v>16</v>
      </c>
      <c r="E1572" s="6" t="n">
        <v>1</v>
      </c>
      <c r="F1572" s="6" t="s">
        <v>5785</v>
      </c>
      <c r="G1572" s="28" t="str">
        <f aca="false">IFERROR(INDEX('Semrush Data'!$A$1:$Z$20000,MATCH(A1572,'Semrush Data'!$A$1:$A$20000,0),MATCH("Volume",'Semrush Data'!$A$1:$Z$1,0)),"")</f>
        <v/>
      </c>
      <c r="H1572" s="6" t="str">
        <f aca="false">IFERROR(INDEX('Semrush Data'!$A$1:$Z$20000,MATCH(A1572,'Semrush Data'!$A$1:$A$20000,0),MATCH("Keyword Difficulty*",'Semrush Data'!$A$1:$Z$1,0)),"")</f>
        <v/>
      </c>
      <c r="I1572" s="29" t="str">
        <f aca="false">IFERROR(INDEX('Semrush Data'!$A$1:$Z$20000,MATCH(A1572,'Semrush Data'!$A$1:$A$20000,0),MATCH("CPC*",'Semrush Data'!$A$1:$Z$1,0)),"")</f>
        <v/>
      </c>
      <c r="J1572" s="6" t="str">
        <f aca="false">IFERROR(INDEX('Semrush Data'!$A$1:$Z$20000,MATCH(A1572,'Semrush Data'!$A$1:$A$20000,0),MATCH("Intent",'Semrush Data'!$A$1:$Z$1,0)),"")</f>
        <v/>
      </c>
    </row>
    <row r="1573" customFormat="false" ht="15" hidden="false" customHeight="true" outlineLevel="0" collapsed="false">
      <c r="A1573" s="6" t="s">
        <v>5881</v>
      </c>
      <c r="B1573" s="6" t="s">
        <v>6869</v>
      </c>
      <c r="C1573" s="6" t="n">
        <v>2</v>
      </c>
      <c r="D1573" s="6" t="n">
        <v>16</v>
      </c>
      <c r="E1573" s="6" t="n">
        <v>1</v>
      </c>
      <c r="F1573" s="6" t="s">
        <v>5875</v>
      </c>
      <c r="G1573" s="28" t="str">
        <f aca="false">IFERROR(INDEX('Semrush Data'!$A$1:$Z$20000,MATCH(A1573,'Semrush Data'!$A$1:$A$20000,0),MATCH("Volume",'Semrush Data'!$A$1:$Z$1,0)),"")</f>
        <v/>
      </c>
      <c r="H1573" s="6" t="str">
        <f aca="false">IFERROR(INDEX('Semrush Data'!$A$1:$Z$20000,MATCH(A1573,'Semrush Data'!$A$1:$A$20000,0),MATCH("Keyword Difficulty*",'Semrush Data'!$A$1:$Z$1,0)),"")</f>
        <v/>
      </c>
      <c r="I1573" s="29" t="str">
        <f aca="false">IFERROR(INDEX('Semrush Data'!$A$1:$Z$20000,MATCH(A1573,'Semrush Data'!$A$1:$A$20000,0),MATCH("CPC*",'Semrush Data'!$A$1:$Z$1,0)),"")</f>
        <v/>
      </c>
      <c r="J1573" s="6" t="str">
        <f aca="false">IFERROR(INDEX('Semrush Data'!$A$1:$Z$20000,MATCH(A1573,'Semrush Data'!$A$1:$A$20000,0),MATCH("Intent",'Semrush Data'!$A$1:$Z$1,0)),"")</f>
        <v/>
      </c>
    </row>
    <row r="1574" customFormat="false" ht="15" hidden="false" customHeight="true" outlineLevel="0" collapsed="false">
      <c r="A1574" s="6" t="s">
        <v>5915</v>
      </c>
      <c r="B1574" s="6" t="s">
        <v>6869</v>
      </c>
      <c r="C1574" s="6" t="n">
        <v>2</v>
      </c>
      <c r="D1574" s="6" t="n">
        <v>16</v>
      </c>
      <c r="E1574" s="6" t="n">
        <v>1</v>
      </c>
      <c r="F1574" s="6" t="s">
        <v>5909</v>
      </c>
      <c r="G1574" s="28" t="str">
        <f aca="false">IFERROR(INDEX('Semrush Data'!$A$1:$Z$20000,MATCH(A1574,'Semrush Data'!$A$1:$A$20000,0),MATCH("Volume",'Semrush Data'!$A$1:$Z$1,0)),"")</f>
        <v/>
      </c>
      <c r="H1574" s="6" t="str">
        <f aca="false">IFERROR(INDEX('Semrush Data'!$A$1:$Z$20000,MATCH(A1574,'Semrush Data'!$A$1:$A$20000,0),MATCH("Keyword Difficulty*",'Semrush Data'!$A$1:$Z$1,0)),"")</f>
        <v/>
      </c>
      <c r="I1574" s="29" t="str">
        <f aca="false">IFERROR(INDEX('Semrush Data'!$A$1:$Z$20000,MATCH(A1574,'Semrush Data'!$A$1:$A$20000,0),MATCH("CPC*",'Semrush Data'!$A$1:$Z$1,0)),"")</f>
        <v/>
      </c>
      <c r="J1574" s="6" t="str">
        <f aca="false">IFERROR(INDEX('Semrush Data'!$A$1:$Z$20000,MATCH(A1574,'Semrush Data'!$A$1:$A$20000,0),MATCH("Intent",'Semrush Data'!$A$1:$Z$1,0)),"")</f>
        <v/>
      </c>
    </row>
    <row r="1575" customFormat="false" ht="15" hidden="false" customHeight="true" outlineLevel="0" collapsed="false">
      <c r="A1575" s="6" t="s">
        <v>5802</v>
      </c>
      <c r="B1575" s="6" t="s">
        <v>6869</v>
      </c>
      <c r="C1575" s="6" t="n">
        <v>2</v>
      </c>
      <c r="D1575" s="6" t="n">
        <v>16</v>
      </c>
      <c r="E1575" s="6" t="n">
        <v>1</v>
      </c>
      <c r="F1575" s="6" t="s">
        <v>5796</v>
      </c>
      <c r="G1575" s="28" t="str">
        <f aca="false">IFERROR(INDEX('Semrush Data'!$A$1:$Z$20000,MATCH(A1575,'Semrush Data'!$A$1:$A$20000,0),MATCH("Volume",'Semrush Data'!$A$1:$Z$1,0)),"")</f>
        <v/>
      </c>
      <c r="H1575" s="6" t="str">
        <f aca="false">IFERROR(INDEX('Semrush Data'!$A$1:$Z$20000,MATCH(A1575,'Semrush Data'!$A$1:$A$20000,0),MATCH("Keyword Difficulty*",'Semrush Data'!$A$1:$Z$1,0)),"")</f>
        <v/>
      </c>
      <c r="I1575" s="29" t="str">
        <f aca="false">IFERROR(INDEX('Semrush Data'!$A$1:$Z$20000,MATCH(A1575,'Semrush Data'!$A$1:$A$20000,0),MATCH("CPC*",'Semrush Data'!$A$1:$Z$1,0)),"")</f>
        <v/>
      </c>
      <c r="J1575" s="6" t="str">
        <f aca="false">IFERROR(INDEX('Semrush Data'!$A$1:$Z$20000,MATCH(A1575,'Semrush Data'!$A$1:$A$20000,0),MATCH("Intent",'Semrush Data'!$A$1:$Z$1,0)),"")</f>
        <v/>
      </c>
    </row>
    <row r="1576" customFormat="false" ht="15" hidden="false" customHeight="true" outlineLevel="0" collapsed="false">
      <c r="A1576" s="6" t="s">
        <v>5814</v>
      </c>
      <c r="B1576" s="6" t="s">
        <v>6869</v>
      </c>
      <c r="C1576" s="6" t="n">
        <v>2</v>
      </c>
      <c r="D1576" s="6" t="n">
        <v>16</v>
      </c>
      <c r="E1576" s="6" t="n">
        <v>1</v>
      </c>
      <c r="F1576" s="6" t="s">
        <v>5807</v>
      </c>
      <c r="G1576" s="28" t="str">
        <f aca="false">IFERROR(INDEX('Semrush Data'!$A$1:$Z$20000,MATCH(A1576,'Semrush Data'!$A$1:$A$20000,0),MATCH("Volume",'Semrush Data'!$A$1:$Z$1,0)),"")</f>
        <v/>
      </c>
      <c r="H1576" s="6" t="str">
        <f aca="false">IFERROR(INDEX('Semrush Data'!$A$1:$Z$20000,MATCH(A1576,'Semrush Data'!$A$1:$A$20000,0),MATCH("Keyword Difficulty*",'Semrush Data'!$A$1:$Z$1,0)),"")</f>
        <v/>
      </c>
      <c r="I1576" s="29" t="str">
        <f aca="false">IFERROR(INDEX('Semrush Data'!$A$1:$Z$20000,MATCH(A1576,'Semrush Data'!$A$1:$A$20000,0),MATCH("CPC*",'Semrush Data'!$A$1:$Z$1,0)),"")</f>
        <v/>
      </c>
      <c r="J1576" s="6" t="str">
        <f aca="false">IFERROR(INDEX('Semrush Data'!$A$1:$Z$20000,MATCH(A1576,'Semrush Data'!$A$1:$A$20000,0),MATCH("Intent",'Semrush Data'!$A$1:$Z$1,0)),"")</f>
        <v/>
      </c>
    </row>
    <row r="1577" customFormat="false" ht="15" hidden="false" customHeight="true" outlineLevel="0" collapsed="false">
      <c r="A1577" s="6" t="s">
        <v>5826</v>
      </c>
      <c r="B1577" s="6" t="s">
        <v>6869</v>
      </c>
      <c r="C1577" s="6" t="n">
        <v>2</v>
      </c>
      <c r="D1577" s="6" t="n">
        <v>16</v>
      </c>
      <c r="E1577" s="6" t="n">
        <v>1</v>
      </c>
      <c r="F1577" s="6" t="s">
        <v>5820</v>
      </c>
      <c r="G1577" s="28" t="str">
        <f aca="false">IFERROR(INDEX('Semrush Data'!$A$1:$Z$20000,MATCH(A1577,'Semrush Data'!$A$1:$A$20000,0),MATCH("Volume",'Semrush Data'!$A$1:$Z$1,0)),"")</f>
        <v/>
      </c>
      <c r="H1577" s="6" t="str">
        <f aca="false">IFERROR(INDEX('Semrush Data'!$A$1:$Z$20000,MATCH(A1577,'Semrush Data'!$A$1:$A$20000,0),MATCH("Keyword Difficulty*",'Semrush Data'!$A$1:$Z$1,0)),"")</f>
        <v/>
      </c>
      <c r="I1577" s="29" t="str">
        <f aca="false">IFERROR(INDEX('Semrush Data'!$A$1:$Z$20000,MATCH(A1577,'Semrush Data'!$A$1:$A$20000,0),MATCH("CPC*",'Semrush Data'!$A$1:$Z$1,0)),"")</f>
        <v/>
      </c>
      <c r="J1577" s="6" t="str">
        <f aca="false">IFERROR(INDEX('Semrush Data'!$A$1:$Z$20000,MATCH(A1577,'Semrush Data'!$A$1:$A$20000,0),MATCH("Intent",'Semrush Data'!$A$1:$Z$1,0)),"")</f>
        <v/>
      </c>
    </row>
    <row r="1578" customFormat="false" ht="15" hidden="false" customHeight="true" outlineLevel="0" collapsed="false">
      <c r="A1578" s="6" t="s">
        <v>5837</v>
      </c>
      <c r="B1578" s="6" t="s">
        <v>6869</v>
      </c>
      <c r="C1578" s="6" t="n">
        <v>2</v>
      </c>
      <c r="D1578" s="6" t="n">
        <v>16</v>
      </c>
      <c r="E1578" s="6" t="n">
        <v>1</v>
      </c>
      <c r="F1578" s="6" t="s">
        <v>5831</v>
      </c>
      <c r="G1578" s="28" t="str">
        <f aca="false">IFERROR(INDEX('Semrush Data'!$A$1:$Z$20000,MATCH(A1578,'Semrush Data'!$A$1:$A$20000,0),MATCH("Volume",'Semrush Data'!$A$1:$Z$1,0)),"")</f>
        <v/>
      </c>
      <c r="H1578" s="6" t="str">
        <f aca="false">IFERROR(INDEX('Semrush Data'!$A$1:$Z$20000,MATCH(A1578,'Semrush Data'!$A$1:$A$20000,0),MATCH("Keyword Difficulty*",'Semrush Data'!$A$1:$Z$1,0)),"")</f>
        <v/>
      </c>
      <c r="I1578" s="29" t="str">
        <f aca="false">IFERROR(INDEX('Semrush Data'!$A$1:$Z$20000,MATCH(A1578,'Semrush Data'!$A$1:$A$20000,0),MATCH("CPC*",'Semrush Data'!$A$1:$Z$1,0)),"")</f>
        <v/>
      </c>
      <c r="J1578" s="6" t="str">
        <f aca="false">IFERROR(INDEX('Semrush Data'!$A$1:$Z$20000,MATCH(A1578,'Semrush Data'!$A$1:$A$20000,0),MATCH("Intent",'Semrush Data'!$A$1:$Z$1,0)),"")</f>
        <v/>
      </c>
    </row>
    <row r="1579" customFormat="false" ht="15" hidden="false" customHeight="true" outlineLevel="0" collapsed="false">
      <c r="A1579" s="6" t="s">
        <v>5848</v>
      </c>
      <c r="B1579" s="6" t="s">
        <v>6869</v>
      </c>
      <c r="C1579" s="6" t="n">
        <v>2</v>
      </c>
      <c r="D1579" s="6" t="n">
        <v>16</v>
      </c>
      <c r="E1579" s="6" t="n">
        <v>1</v>
      </c>
      <c r="F1579" s="6" t="s">
        <v>5842</v>
      </c>
      <c r="G1579" s="28" t="str">
        <f aca="false">IFERROR(INDEX('Semrush Data'!$A$1:$Z$20000,MATCH(A1579,'Semrush Data'!$A$1:$A$20000,0),MATCH("Volume",'Semrush Data'!$A$1:$Z$1,0)),"")</f>
        <v/>
      </c>
      <c r="H1579" s="6" t="str">
        <f aca="false">IFERROR(INDEX('Semrush Data'!$A$1:$Z$20000,MATCH(A1579,'Semrush Data'!$A$1:$A$20000,0),MATCH("Keyword Difficulty*",'Semrush Data'!$A$1:$Z$1,0)),"")</f>
        <v/>
      </c>
      <c r="I1579" s="29" t="str">
        <f aca="false">IFERROR(INDEX('Semrush Data'!$A$1:$Z$20000,MATCH(A1579,'Semrush Data'!$A$1:$A$20000,0),MATCH("CPC*",'Semrush Data'!$A$1:$Z$1,0)),"")</f>
        <v/>
      </c>
      <c r="J1579" s="6" t="str">
        <f aca="false">IFERROR(INDEX('Semrush Data'!$A$1:$Z$20000,MATCH(A1579,'Semrush Data'!$A$1:$A$20000,0),MATCH("Intent",'Semrush Data'!$A$1:$Z$1,0)),"")</f>
        <v/>
      </c>
    </row>
    <row r="1580" customFormat="false" ht="15" hidden="false" customHeight="true" outlineLevel="0" collapsed="false">
      <c r="A1580" s="6" t="s">
        <v>5926</v>
      </c>
      <c r="B1580" s="6" t="s">
        <v>6869</v>
      </c>
      <c r="C1580" s="6" t="n">
        <v>2</v>
      </c>
      <c r="D1580" s="6" t="n">
        <v>16</v>
      </c>
      <c r="E1580" s="6" t="n">
        <v>1</v>
      </c>
      <c r="F1580" s="6" t="s">
        <v>5920</v>
      </c>
      <c r="G1580" s="28" t="str">
        <f aca="false">IFERROR(INDEX('Semrush Data'!$A$1:$Z$20000,MATCH(A1580,'Semrush Data'!$A$1:$A$20000,0),MATCH("Volume",'Semrush Data'!$A$1:$Z$1,0)),"")</f>
        <v/>
      </c>
      <c r="H1580" s="6" t="str">
        <f aca="false">IFERROR(INDEX('Semrush Data'!$A$1:$Z$20000,MATCH(A1580,'Semrush Data'!$A$1:$A$20000,0),MATCH("Keyword Difficulty*",'Semrush Data'!$A$1:$Z$1,0)),"")</f>
        <v/>
      </c>
      <c r="I1580" s="29" t="str">
        <f aca="false">IFERROR(INDEX('Semrush Data'!$A$1:$Z$20000,MATCH(A1580,'Semrush Data'!$A$1:$A$20000,0),MATCH("CPC*",'Semrush Data'!$A$1:$Z$1,0)),"")</f>
        <v/>
      </c>
      <c r="J1580" s="6" t="str">
        <f aca="false">IFERROR(INDEX('Semrush Data'!$A$1:$Z$20000,MATCH(A1580,'Semrush Data'!$A$1:$A$20000,0),MATCH("Intent",'Semrush Data'!$A$1:$Z$1,0)),"")</f>
        <v/>
      </c>
    </row>
    <row r="1581" customFormat="false" ht="15" hidden="false" customHeight="true" outlineLevel="0" collapsed="false">
      <c r="A1581" s="6" t="s">
        <v>5859</v>
      </c>
      <c r="B1581" s="6" t="s">
        <v>6869</v>
      </c>
      <c r="C1581" s="6" t="n">
        <v>2</v>
      </c>
      <c r="D1581" s="6" t="n">
        <v>16</v>
      </c>
      <c r="E1581" s="6" t="n">
        <v>1</v>
      </c>
      <c r="F1581" s="6" t="s">
        <v>5853</v>
      </c>
      <c r="G1581" s="28" t="str">
        <f aca="false">IFERROR(INDEX('Semrush Data'!$A$1:$Z$20000,MATCH(A1581,'Semrush Data'!$A$1:$A$20000,0),MATCH("Volume",'Semrush Data'!$A$1:$Z$1,0)),"")</f>
        <v/>
      </c>
      <c r="H1581" s="6" t="str">
        <f aca="false">IFERROR(INDEX('Semrush Data'!$A$1:$Z$20000,MATCH(A1581,'Semrush Data'!$A$1:$A$20000,0),MATCH("Keyword Difficulty*",'Semrush Data'!$A$1:$Z$1,0)),"")</f>
        <v/>
      </c>
      <c r="I1581" s="29" t="str">
        <f aca="false">IFERROR(INDEX('Semrush Data'!$A$1:$Z$20000,MATCH(A1581,'Semrush Data'!$A$1:$A$20000,0),MATCH("CPC*",'Semrush Data'!$A$1:$Z$1,0)),"")</f>
        <v/>
      </c>
      <c r="J1581" s="6" t="str">
        <f aca="false">IFERROR(INDEX('Semrush Data'!$A$1:$Z$20000,MATCH(A1581,'Semrush Data'!$A$1:$A$20000,0),MATCH("Intent",'Semrush Data'!$A$1:$Z$1,0)),"")</f>
        <v/>
      </c>
    </row>
    <row r="1582" customFormat="false" ht="15" hidden="false" customHeight="true" outlineLevel="0" collapsed="false">
      <c r="A1582" s="6" t="s">
        <v>5870</v>
      </c>
      <c r="B1582" s="6" t="s">
        <v>6869</v>
      </c>
      <c r="C1582" s="6" t="n">
        <v>2</v>
      </c>
      <c r="D1582" s="6" t="n">
        <v>16</v>
      </c>
      <c r="E1582" s="6" t="n">
        <v>1</v>
      </c>
      <c r="F1582" s="6" t="s">
        <v>5864</v>
      </c>
      <c r="G1582" s="28" t="str">
        <f aca="false">IFERROR(INDEX('Semrush Data'!$A$1:$Z$20000,MATCH(A1582,'Semrush Data'!$A$1:$A$20000,0),MATCH("Volume",'Semrush Data'!$A$1:$Z$1,0)),"")</f>
        <v/>
      </c>
      <c r="H1582" s="6" t="str">
        <f aca="false">IFERROR(INDEX('Semrush Data'!$A$1:$Z$20000,MATCH(A1582,'Semrush Data'!$A$1:$A$20000,0),MATCH("Keyword Difficulty*",'Semrush Data'!$A$1:$Z$1,0)),"")</f>
        <v/>
      </c>
      <c r="I1582" s="29" t="str">
        <f aca="false">IFERROR(INDEX('Semrush Data'!$A$1:$Z$20000,MATCH(A1582,'Semrush Data'!$A$1:$A$20000,0),MATCH("CPC*",'Semrush Data'!$A$1:$Z$1,0)),"")</f>
        <v/>
      </c>
      <c r="J1582" s="6" t="str">
        <f aca="false">IFERROR(INDEX('Semrush Data'!$A$1:$Z$20000,MATCH(A1582,'Semrush Data'!$A$1:$A$20000,0),MATCH("Intent",'Semrush Data'!$A$1:$Z$1,0)),"")</f>
        <v/>
      </c>
    </row>
    <row r="1583" customFormat="false" ht="15" hidden="false" customHeight="true" outlineLevel="0" collapsed="false">
      <c r="A1583" s="6" t="s">
        <v>6012</v>
      </c>
      <c r="B1583" s="6" t="s">
        <v>6869</v>
      </c>
      <c r="C1583" s="6" t="n">
        <v>2</v>
      </c>
      <c r="D1583" s="6" t="n">
        <v>16</v>
      </c>
      <c r="E1583" s="6" t="n">
        <v>1</v>
      </c>
      <c r="F1583" s="6" t="s">
        <v>6005</v>
      </c>
      <c r="G1583" s="28" t="str">
        <f aca="false">IFERROR(INDEX('Semrush Data'!$A$1:$Z$20000,MATCH(A1583,'Semrush Data'!$A$1:$A$20000,0),MATCH("Volume",'Semrush Data'!$A$1:$Z$1,0)),"")</f>
        <v/>
      </c>
      <c r="H1583" s="6" t="str">
        <f aca="false">IFERROR(INDEX('Semrush Data'!$A$1:$Z$20000,MATCH(A1583,'Semrush Data'!$A$1:$A$20000,0),MATCH("Keyword Difficulty*",'Semrush Data'!$A$1:$Z$1,0)),"")</f>
        <v/>
      </c>
      <c r="I1583" s="29" t="str">
        <f aca="false">IFERROR(INDEX('Semrush Data'!$A$1:$Z$20000,MATCH(A1583,'Semrush Data'!$A$1:$A$20000,0),MATCH("CPC*",'Semrush Data'!$A$1:$Z$1,0)),"")</f>
        <v/>
      </c>
      <c r="J1583" s="6" t="str">
        <f aca="false">IFERROR(INDEX('Semrush Data'!$A$1:$Z$20000,MATCH(A1583,'Semrush Data'!$A$1:$A$20000,0),MATCH("Intent",'Semrush Data'!$A$1:$Z$1,0)),"")</f>
        <v/>
      </c>
    </row>
    <row r="1584" customFormat="false" ht="15" hidden="false" customHeight="true" outlineLevel="0" collapsed="false">
      <c r="A1584" s="6" t="s">
        <v>6024</v>
      </c>
      <c r="B1584" s="6" t="s">
        <v>6869</v>
      </c>
      <c r="C1584" s="6" t="n">
        <v>2</v>
      </c>
      <c r="D1584" s="6" t="n">
        <v>16</v>
      </c>
      <c r="E1584" s="6" t="n">
        <v>1</v>
      </c>
      <c r="F1584" s="6" t="s">
        <v>6018</v>
      </c>
      <c r="G1584" s="28" t="str">
        <f aca="false">IFERROR(INDEX('Semrush Data'!$A$1:$Z$20000,MATCH(A1584,'Semrush Data'!$A$1:$A$20000,0),MATCH("Volume",'Semrush Data'!$A$1:$Z$1,0)),"")</f>
        <v/>
      </c>
      <c r="H1584" s="6" t="str">
        <f aca="false">IFERROR(INDEX('Semrush Data'!$A$1:$Z$20000,MATCH(A1584,'Semrush Data'!$A$1:$A$20000,0),MATCH("Keyword Difficulty*",'Semrush Data'!$A$1:$Z$1,0)),"")</f>
        <v/>
      </c>
      <c r="I1584" s="29" t="str">
        <f aca="false">IFERROR(INDEX('Semrush Data'!$A$1:$Z$20000,MATCH(A1584,'Semrush Data'!$A$1:$A$20000,0),MATCH("CPC*",'Semrush Data'!$A$1:$Z$1,0)),"")</f>
        <v/>
      </c>
      <c r="J1584" s="6" t="str">
        <f aca="false">IFERROR(INDEX('Semrush Data'!$A$1:$Z$20000,MATCH(A1584,'Semrush Data'!$A$1:$A$20000,0),MATCH("Intent",'Semrush Data'!$A$1:$Z$1,0)),"")</f>
        <v/>
      </c>
    </row>
    <row r="1585" customFormat="false" ht="15" hidden="false" customHeight="true" outlineLevel="0" collapsed="false">
      <c r="A1585" s="6" t="s">
        <v>6035</v>
      </c>
      <c r="B1585" s="6" t="s">
        <v>6869</v>
      </c>
      <c r="C1585" s="6" t="n">
        <v>2</v>
      </c>
      <c r="D1585" s="6" t="n">
        <v>16</v>
      </c>
      <c r="E1585" s="6" t="n">
        <v>1</v>
      </c>
      <c r="F1585" s="6" t="s">
        <v>6029</v>
      </c>
      <c r="G1585" s="28" t="str">
        <f aca="false">IFERROR(INDEX('Semrush Data'!$A$1:$Z$20000,MATCH(A1585,'Semrush Data'!$A$1:$A$20000,0),MATCH("Volume",'Semrush Data'!$A$1:$Z$1,0)),"")</f>
        <v/>
      </c>
      <c r="H1585" s="6" t="str">
        <f aca="false">IFERROR(INDEX('Semrush Data'!$A$1:$Z$20000,MATCH(A1585,'Semrush Data'!$A$1:$A$20000,0),MATCH("Keyword Difficulty*",'Semrush Data'!$A$1:$Z$1,0)),"")</f>
        <v/>
      </c>
      <c r="I1585" s="29" t="str">
        <f aca="false">IFERROR(INDEX('Semrush Data'!$A$1:$Z$20000,MATCH(A1585,'Semrush Data'!$A$1:$A$20000,0),MATCH("CPC*",'Semrush Data'!$A$1:$Z$1,0)),"")</f>
        <v/>
      </c>
      <c r="J1585" s="6" t="str">
        <f aca="false">IFERROR(INDEX('Semrush Data'!$A$1:$Z$20000,MATCH(A1585,'Semrush Data'!$A$1:$A$20000,0),MATCH("Intent",'Semrush Data'!$A$1:$Z$1,0)),"")</f>
        <v/>
      </c>
    </row>
    <row r="1586" customFormat="false" ht="15" hidden="false" customHeight="true" outlineLevel="0" collapsed="false">
      <c r="A1586" s="6" t="s">
        <v>6046</v>
      </c>
      <c r="B1586" s="6" t="s">
        <v>6869</v>
      </c>
      <c r="C1586" s="6" t="n">
        <v>2</v>
      </c>
      <c r="D1586" s="6" t="n">
        <v>16</v>
      </c>
      <c r="E1586" s="6" t="n">
        <v>1</v>
      </c>
      <c r="F1586" s="6" t="s">
        <v>6039</v>
      </c>
      <c r="G1586" s="28" t="str">
        <f aca="false">IFERROR(INDEX('Semrush Data'!$A$1:$Z$20000,MATCH(A1586,'Semrush Data'!$A$1:$A$20000,0),MATCH("Volume",'Semrush Data'!$A$1:$Z$1,0)),"")</f>
        <v/>
      </c>
      <c r="H1586" s="6" t="str">
        <f aca="false">IFERROR(INDEX('Semrush Data'!$A$1:$Z$20000,MATCH(A1586,'Semrush Data'!$A$1:$A$20000,0),MATCH("Keyword Difficulty*",'Semrush Data'!$A$1:$Z$1,0)),"")</f>
        <v/>
      </c>
      <c r="I1586" s="29" t="str">
        <f aca="false">IFERROR(INDEX('Semrush Data'!$A$1:$Z$20000,MATCH(A1586,'Semrush Data'!$A$1:$A$20000,0),MATCH("CPC*",'Semrush Data'!$A$1:$Z$1,0)),"")</f>
        <v/>
      </c>
      <c r="J1586" s="6" t="str">
        <f aca="false">IFERROR(INDEX('Semrush Data'!$A$1:$Z$20000,MATCH(A1586,'Semrush Data'!$A$1:$A$20000,0),MATCH("Intent",'Semrush Data'!$A$1:$Z$1,0)),"")</f>
        <v/>
      </c>
    </row>
    <row r="1587" customFormat="false" ht="15" hidden="false" customHeight="true" outlineLevel="0" collapsed="false">
      <c r="A1587" s="6" t="s">
        <v>6058</v>
      </c>
      <c r="B1587" s="6" t="s">
        <v>6869</v>
      </c>
      <c r="C1587" s="6" t="n">
        <v>2</v>
      </c>
      <c r="D1587" s="6" t="n">
        <v>16</v>
      </c>
      <c r="E1587" s="6" t="n">
        <v>1</v>
      </c>
      <c r="F1587" s="6" t="s">
        <v>6052</v>
      </c>
      <c r="G1587" s="28" t="str">
        <f aca="false">IFERROR(INDEX('Semrush Data'!$A$1:$Z$20000,MATCH(A1587,'Semrush Data'!$A$1:$A$20000,0),MATCH("Volume",'Semrush Data'!$A$1:$Z$1,0)),"")</f>
        <v/>
      </c>
      <c r="H1587" s="6" t="str">
        <f aca="false">IFERROR(INDEX('Semrush Data'!$A$1:$Z$20000,MATCH(A1587,'Semrush Data'!$A$1:$A$20000,0),MATCH("Keyword Difficulty*",'Semrush Data'!$A$1:$Z$1,0)),"")</f>
        <v/>
      </c>
      <c r="I1587" s="29" t="str">
        <f aca="false">IFERROR(INDEX('Semrush Data'!$A$1:$Z$20000,MATCH(A1587,'Semrush Data'!$A$1:$A$20000,0),MATCH("CPC*",'Semrush Data'!$A$1:$Z$1,0)),"")</f>
        <v/>
      </c>
      <c r="J1587" s="6" t="str">
        <f aca="false">IFERROR(INDEX('Semrush Data'!$A$1:$Z$20000,MATCH(A1587,'Semrush Data'!$A$1:$A$20000,0),MATCH("Intent",'Semrush Data'!$A$1:$Z$1,0)),"")</f>
        <v/>
      </c>
    </row>
    <row r="1588" customFormat="false" ht="15" hidden="false" customHeight="true" outlineLevel="0" collapsed="false">
      <c r="A1588" s="6" t="s">
        <v>6069</v>
      </c>
      <c r="B1588" s="6" t="s">
        <v>6869</v>
      </c>
      <c r="C1588" s="6" t="n">
        <v>2</v>
      </c>
      <c r="D1588" s="6" t="n">
        <v>16</v>
      </c>
      <c r="E1588" s="6" t="n">
        <v>1</v>
      </c>
      <c r="F1588" s="6" t="s">
        <v>6063</v>
      </c>
      <c r="G1588" s="28" t="str">
        <f aca="false">IFERROR(INDEX('Semrush Data'!$A$1:$Z$20000,MATCH(A1588,'Semrush Data'!$A$1:$A$20000,0),MATCH("Volume",'Semrush Data'!$A$1:$Z$1,0)),"")</f>
        <v/>
      </c>
      <c r="H1588" s="6" t="str">
        <f aca="false">IFERROR(INDEX('Semrush Data'!$A$1:$Z$20000,MATCH(A1588,'Semrush Data'!$A$1:$A$20000,0),MATCH("Keyword Difficulty*",'Semrush Data'!$A$1:$Z$1,0)),"")</f>
        <v/>
      </c>
      <c r="I1588" s="29" t="str">
        <f aca="false">IFERROR(INDEX('Semrush Data'!$A$1:$Z$20000,MATCH(A1588,'Semrush Data'!$A$1:$A$20000,0),MATCH("CPC*",'Semrush Data'!$A$1:$Z$1,0)),"")</f>
        <v/>
      </c>
      <c r="J1588" s="6" t="str">
        <f aca="false">IFERROR(INDEX('Semrush Data'!$A$1:$Z$20000,MATCH(A1588,'Semrush Data'!$A$1:$A$20000,0),MATCH("Intent",'Semrush Data'!$A$1:$Z$1,0)),"")</f>
        <v/>
      </c>
    </row>
    <row r="1589" customFormat="false" ht="15" hidden="false" customHeight="true" outlineLevel="0" collapsed="false">
      <c r="A1589" s="6" t="s">
        <v>6080</v>
      </c>
      <c r="B1589" s="6" t="s">
        <v>6869</v>
      </c>
      <c r="C1589" s="6" t="n">
        <v>2</v>
      </c>
      <c r="D1589" s="6" t="n">
        <v>16</v>
      </c>
      <c r="E1589" s="6" t="n">
        <v>1</v>
      </c>
      <c r="F1589" s="6" t="s">
        <v>6074</v>
      </c>
      <c r="G1589" s="28" t="str">
        <f aca="false">IFERROR(INDEX('Semrush Data'!$A$1:$Z$20000,MATCH(A1589,'Semrush Data'!$A$1:$A$20000,0),MATCH("Volume",'Semrush Data'!$A$1:$Z$1,0)),"")</f>
        <v/>
      </c>
      <c r="H1589" s="6" t="str">
        <f aca="false">IFERROR(INDEX('Semrush Data'!$A$1:$Z$20000,MATCH(A1589,'Semrush Data'!$A$1:$A$20000,0),MATCH("Keyword Difficulty*",'Semrush Data'!$A$1:$Z$1,0)),"")</f>
        <v/>
      </c>
      <c r="I1589" s="29" t="str">
        <f aca="false">IFERROR(INDEX('Semrush Data'!$A$1:$Z$20000,MATCH(A1589,'Semrush Data'!$A$1:$A$20000,0),MATCH("CPC*",'Semrush Data'!$A$1:$Z$1,0)),"")</f>
        <v/>
      </c>
      <c r="J1589" s="6" t="str">
        <f aca="false">IFERROR(INDEX('Semrush Data'!$A$1:$Z$20000,MATCH(A1589,'Semrush Data'!$A$1:$A$20000,0),MATCH("Intent",'Semrush Data'!$A$1:$Z$1,0)),"")</f>
        <v/>
      </c>
    </row>
    <row r="1590" customFormat="false" ht="15" hidden="false" customHeight="true" outlineLevel="0" collapsed="false">
      <c r="A1590" s="6" t="s">
        <v>6091</v>
      </c>
      <c r="B1590" s="6" t="s">
        <v>6869</v>
      </c>
      <c r="C1590" s="6" t="n">
        <v>2</v>
      </c>
      <c r="D1590" s="6" t="n">
        <v>16</v>
      </c>
      <c r="E1590" s="6" t="n">
        <v>1</v>
      </c>
      <c r="F1590" s="6" t="s">
        <v>6085</v>
      </c>
      <c r="G1590" s="28" t="str">
        <f aca="false">IFERROR(INDEX('Semrush Data'!$A$1:$Z$20000,MATCH(A1590,'Semrush Data'!$A$1:$A$20000,0),MATCH("Volume",'Semrush Data'!$A$1:$Z$1,0)),"")</f>
        <v/>
      </c>
      <c r="H1590" s="6" t="str">
        <f aca="false">IFERROR(INDEX('Semrush Data'!$A$1:$Z$20000,MATCH(A1590,'Semrush Data'!$A$1:$A$20000,0),MATCH("Keyword Difficulty*",'Semrush Data'!$A$1:$Z$1,0)),"")</f>
        <v/>
      </c>
      <c r="I1590" s="29" t="str">
        <f aca="false">IFERROR(INDEX('Semrush Data'!$A$1:$Z$20000,MATCH(A1590,'Semrush Data'!$A$1:$A$20000,0),MATCH("CPC*",'Semrush Data'!$A$1:$Z$1,0)),"")</f>
        <v/>
      </c>
      <c r="J1590" s="6" t="str">
        <f aca="false">IFERROR(INDEX('Semrush Data'!$A$1:$Z$20000,MATCH(A1590,'Semrush Data'!$A$1:$A$20000,0),MATCH("Intent",'Semrush Data'!$A$1:$Z$1,0)),"")</f>
        <v/>
      </c>
    </row>
    <row r="1591" customFormat="false" ht="15" hidden="false" customHeight="true" outlineLevel="0" collapsed="false">
      <c r="A1591" s="6" t="s">
        <v>6102</v>
      </c>
      <c r="B1591" s="6" t="s">
        <v>6869</v>
      </c>
      <c r="C1591" s="6" t="n">
        <v>2</v>
      </c>
      <c r="D1591" s="6" t="n">
        <v>16</v>
      </c>
      <c r="E1591" s="6" t="n">
        <v>1</v>
      </c>
      <c r="F1591" s="6" t="s">
        <v>6096</v>
      </c>
      <c r="G1591" s="28" t="str">
        <f aca="false">IFERROR(INDEX('Semrush Data'!$A$1:$Z$20000,MATCH(A1591,'Semrush Data'!$A$1:$A$20000,0),MATCH("Volume",'Semrush Data'!$A$1:$Z$1,0)),"")</f>
        <v/>
      </c>
      <c r="H1591" s="6" t="str">
        <f aca="false">IFERROR(INDEX('Semrush Data'!$A$1:$Z$20000,MATCH(A1591,'Semrush Data'!$A$1:$A$20000,0),MATCH("Keyword Difficulty*",'Semrush Data'!$A$1:$Z$1,0)),"")</f>
        <v/>
      </c>
      <c r="I1591" s="29" t="str">
        <f aca="false">IFERROR(INDEX('Semrush Data'!$A$1:$Z$20000,MATCH(A1591,'Semrush Data'!$A$1:$A$20000,0),MATCH("CPC*",'Semrush Data'!$A$1:$Z$1,0)),"")</f>
        <v/>
      </c>
      <c r="J1591" s="6" t="str">
        <f aca="false">IFERROR(INDEX('Semrush Data'!$A$1:$Z$20000,MATCH(A1591,'Semrush Data'!$A$1:$A$20000,0),MATCH("Intent",'Semrush Data'!$A$1:$Z$1,0)),"")</f>
        <v/>
      </c>
    </row>
    <row r="1592" customFormat="false" ht="15" hidden="false" customHeight="true" outlineLevel="0" collapsed="false">
      <c r="A1592" s="6" t="s">
        <v>6113</v>
      </c>
      <c r="B1592" s="6" t="s">
        <v>6869</v>
      </c>
      <c r="C1592" s="6" t="n">
        <v>2</v>
      </c>
      <c r="D1592" s="6" t="n">
        <v>16</v>
      </c>
      <c r="E1592" s="6" t="n">
        <v>1</v>
      </c>
      <c r="F1592" s="6" t="s">
        <v>6107</v>
      </c>
      <c r="G1592" s="28" t="str">
        <f aca="false">IFERROR(INDEX('Semrush Data'!$A$1:$Z$20000,MATCH(A1592,'Semrush Data'!$A$1:$A$20000,0),MATCH("Volume",'Semrush Data'!$A$1:$Z$1,0)),"")</f>
        <v/>
      </c>
      <c r="H1592" s="6" t="str">
        <f aca="false">IFERROR(INDEX('Semrush Data'!$A$1:$Z$20000,MATCH(A1592,'Semrush Data'!$A$1:$A$20000,0),MATCH("Keyword Difficulty*",'Semrush Data'!$A$1:$Z$1,0)),"")</f>
        <v/>
      </c>
      <c r="I1592" s="29" t="str">
        <f aca="false">IFERROR(INDEX('Semrush Data'!$A$1:$Z$20000,MATCH(A1592,'Semrush Data'!$A$1:$A$20000,0),MATCH("CPC*",'Semrush Data'!$A$1:$Z$1,0)),"")</f>
        <v/>
      </c>
      <c r="J1592" s="6" t="str">
        <f aca="false">IFERROR(INDEX('Semrush Data'!$A$1:$Z$20000,MATCH(A1592,'Semrush Data'!$A$1:$A$20000,0),MATCH("Intent",'Semrush Data'!$A$1:$Z$1,0)),"")</f>
        <v/>
      </c>
    </row>
    <row r="1593" customFormat="false" ht="15" hidden="false" customHeight="true" outlineLevel="0" collapsed="false">
      <c r="A1593" s="6" t="s">
        <v>6124</v>
      </c>
      <c r="B1593" s="6" t="s">
        <v>6869</v>
      </c>
      <c r="C1593" s="6" t="n">
        <v>2</v>
      </c>
      <c r="D1593" s="6" t="n">
        <v>16</v>
      </c>
      <c r="E1593" s="6" t="n">
        <v>1</v>
      </c>
      <c r="F1593" s="6" t="s">
        <v>6118</v>
      </c>
      <c r="G1593" s="28" t="str">
        <f aca="false">IFERROR(INDEX('Semrush Data'!$A$1:$Z$20000,MATCH(A1593,'Semrush Data'!$A$1:$A$20000,0),MATCH("Volume",'Semrush Data'!$A$1:$Z$1,0)),"")</f>
        <v/>
      </c>
      <c r="H1593" s="6" t="str">
        <f aca="false">IFERROR(INDEX('Semrush Data'!$A$1:$Z$20000,MATCH(A1593,'Semrush Data'!$A$1:$A$20000,0),MATCH("Keyword Difficulty*",'Semrush Data'!$A$1:$Z$1,0)),"")</f>
        <v/>
      </c>
      <c r="I1593" s="29" t="str">
        <f aca="false">IFERROR(INDEX('Semrush Data'!$A$1:$Z$20000,MATCH(A1593,'Semrush Data'!$A$1:$A$20000,0),MATCH("CPC*",'Semrush Data'!$A$1:$Z$1,0)),"")</f>
        <v/>
      </c>
      <c r="J1593" s="6" t="str">
        <f aca="false">IFERROR(INDEX('Semrush Data'!$A$1:$Z$20000,MATCH(A1593,'Semrush Data'!$A$1:$A$20000,0),MATCH("Intent",'Semrush Data'!$A$1:$Z$1,0)),"")</f>
        <v/>
      </c>
    </row>
    <row r="1594" customFormat="false" ht="15" hidden="false" customHeight="true" outlineLevel="0" collapsed="false">
      <c r="A1594" s="6" t="s">
        <v>6136</v>
      </c>
      <c r="B1594" s="6" t="s">
        <v>6869</v>
      </c>
      <c r="C1594" s="6" t="n">
        <v>2</v>
      </c>
      <c r="D1594" s="6" t="n">
        <v>16</v>
      </c>
      <c r="E1594" s="6" t="n">
        <v>1</v>
      </c>
      <c r="F1594" s="6" t="s">
        <v>6129</v>
      </c>
      <c r="G1594" s="28" t="str">
        <f aca="false">IFERROR(INDEX('Semrush Data'!$A$1:$Z$20000,MATCH(A1594,'Semrush Data'!$A$1:$A$20000,0),MATCH("Volume",'Semrush Data'!$A$1:$Z$1,0)),"")</f>
        <v/>
      </c>
      <c r="H1594" s="6" t="str">
        <f aca="false">IFERROR(INDEX('Semrush Data'!$A$1:$Z$20000,MATCH(A1594,'Semrush Data'!$A$1:$A$20000,0),MATCH("Keyword Difficulty*",'Semrush Data'!$A$1:$Z$1,0)),"")</f>
        <v/>
      </c>
      <c r="I1594" s="29" t="str">
        <f aca="false">IFERROR(INDEX('Semrush Data'!$A$1:$Z$20000,MATCH(A1594,'Semrush Data'!$A$1:$A$20000,0),MATCH("CPC*",'Semrush Data'!$A$1:$Z$1,0)),"")</f>
        <v/>
      </c>
      <c r="J1594" s="6" t="str">
        <f aca="false">IFERROR(INDEX('Semrush Data'!$A$1:$Z$20000,MATCH(A1594,'Semrush Data'!$A$1:$A$20000,0),MATCH("Intent",'Semrush Data'!$A$1:$Z$1,0)),"")</f>
        <v/>
      </c>
    </row>
    <row r="1595" customFormat="false" ht="15" hidden="false" customHeight="true" outlineLevel="0" collapsed="false">
      <c r="A1595" s="6" t="s">
        <v>6148</v>
      </c>
      <c r="B1595" s="6" t="s">
        <v>6869</v>
      </c>
      <c r="C1595" s="6" t="n">
        <v>2</v>
      </c>
      <c r="D1595" s="6" t="s">
        <v>6868</v>
      </c>
      <c r="E1595" s="6" t="n">
        <v>1</v>
      </c>
      <c r="F1595" s="6" t="s">
        <v>6142</v>
      </c>
      <c r="G1595" s="28" t="n">
        <f aca="false">IFERROR(INDEX('Semrush Data'!$A$1:$Z$20000,MATCH(A1595,'Semrush Data'!$A$1:$A$20000,0),MATCH("Volume",'Semrush Data'!$A$1:$Z$1,0)),"")</f>
        <v>20</v>
      </c>
      <c r="H1595" s="6" t="n">
        <f aca="false">IFERROR(INDEX('Semrush Data'!$A$1:$Z$20000,MATCH(A1595,'Semrush Data'!$A$1:$A$20000,0),MATCH("Keyword Difficulty*",'Semrush Data'!$A$1:$Z$1,0)),"")</f>
        <v>13</v>
      </c>
      <c r="I1595" s="29" t="n">
        <f aca="false">IFERROR(INDEX('Semrush Data'!$A$1:$Z$20000,MATCH(A1595,'Semrush Data'!$A$1:$A$20000,0),MATCH("CPC*",'Semrush Data'!$A$1:$Z$1,0)),"")</f>
        <v>0</v>
      </c>
      <c r="J1595" s="6" t="str">
        <f aca="false">IFERROR(INDEX('Semrush Data'!$A$1:$Z$20000,MATCH(A1595,'Semrush Data'!$A$1:$A$20000,0),MATCH("Intent",'Semrush Data'!$A$1:$Z$1,0)),"")</f>
        <v>Informational</v>
      </c>
    </row>
    <row r="1596" customFormat="false" ht="15" hidden="false" customHeight="true" outlineLevel="0" collapsed="false">
      <c r="A1596" s="6" t="s">
        <v>6159</v>
      </c>
      <c r="B1596" s="6" t="s">
        <v>6869</v>
      </c>
      <c r="C1596" s="6" t="n">
        <v>2</v>
      </c>
      <c r="D1596" s="6" t="n">
        <v>16</v>
      </c>
      <c r="E1596" s="6" t="n">
        <v>1</v>
      </c>
      <c r="F1596" s="6" t="s">
        <v>6153</v>
      </c>
      <c r="G1596" s="28" t="str">
        <f aca="false">IFERROR(INDEX('Semrush Data'!$A$1:$Z$20000,MATCH(A1596,'Semrush Data'!$A$1:$A$20000,0),MATCH("Volume",'Semrush Data'!$A$1:$Z$1,0)),"")</f>
        <v/>
      </c>
      <c r="H1596" s="6" t="str">
        <f aca="false">IFERROR(INDEX('Semrush Data'!$A$1:$Z$20000,MATCH(A1596,'Semrush Data'!$A$1:$A$20000,0),MATCH("Keyword Difficulty*",'Semrush Data'!$A$1:$Z$1,0)),"")</f>
        <v/>
      </c>
      <c r="I1596" s="29" t="str">
        <f aca="false">IFERROR(INDEX('Semrush Data'!$A$1:$Z$20000,MATCH(A1596,'Semrush Data'!$A$1:$A$20000,0),MATCH("CPC*",'Semrush Data'!$A$1:$Z$1,0)),"")</f>
        <v/>
      </c>
      <c r="J1596" s="6" t="str">
        <f aca="false">IFERROR(INDEX('Semrush Data'!$A$1:$Z$20000,MATCH(A1596,'Semrush Data'!$A$1:$A$20000,0),MATCH("Intent",'Semrush Data'!$A$1:$Z$1,0)),"")</f>
        <v/>
      </c>
    </row>
    <row r="1597" customFormat="false" ht="15" hidden="false" customHeight="true" outlineLevel="0" collapsed="false">
      <c r="A1597" s="6" t="s">
        <v>6169</v>
      </c>
      <c r="B1597" s="6" t="s">
        <v>6869</v>
      </c>
      <c r="C1597" s="6" t="n">
        <v>2</v>
      </c>
      <c r="D1597" s="6" t="n">
        <v>16</v>
      </c>
      <c r="E1597" s="6" t="n">
        <v>2</v>
      </c>
      <c r="F1597" s="6" t="s">
        <v>6861</v>
      </c>
      <c r="G1597" s="28" t="str">
        <f aca="false">IFERROR(INDEX('Semrush Data'!$A$1:$Z$20000,MATCH(A1597,'Semrush Data'!$A$1:$A$20000,0),MATCH("Volume",'Semrush Data'!$A$1:$Z$1,0)),"")</f>
        <v/>
      </c>
      <c r="H1597" s="6" t="str">
        <f aca="false">IFERROR(INDEX('Semrush Data'!$A$1:$Z$20000,MATCH(A1597,'Semrush Data'!$A$1:$A$20000,0),MATCH("Keyword Difficulty*",'Semrush Data'!$A$1:$Z$1,0)),"")</f>
        <v/>
      </c>
      <c r="I1597" s="29" t="str">
        <f aca="false">IFERROR(INDEX('Semrush Data'!$A$1:$Z$20000,MATCH(A1597,'Semrush Data'!$A$1:$A$20000,0),MATCH("CPC*",'Semrush Data'!$A$1:$Z$1,0)),"")</f>
        <v/>
      </c>
      <c r="J1597" s="6" t="str">
        <f aca="false">IFERROR(INDEX('Semrush Data'!$A$1:$Z$20000,MATCH(A1597,'Semrush Data'!$A$1:$A$20000,0),MATCH("Intent",'Semrush Data'!$A$1:$Z$1,0)),"")</f>
        <v/>
      </c>
    </row>
    <row r="1598" customFormat="false" ht="15" hidden="false" customHeight="true" outlineLevel="0" collapsed="false">
      <c r="A1598" s="6" t="s">
        <v>6184</v>
      </c>
      <c r="B1598" s="6" t="s">
        <v>6869</v>
      </c>
      <c r="C1598" s="6" t="n">
        <v>2</v>
      </c>
      <c r="D1598" s="6" t="n">
        <v>16</v>
      </c>
      <c r="E1598" s="6" t="n">
        <v>1</v>
      </c>
      <c r="F1598" s="6" t="s">
        <v>6178</v>
      </c>
      <c r="G1598" s="28" t="str">
        <f aca="false">IFERROR(INDEX('Semrush Data'!$A$1:$Z$20000,MATCH(A1598,'Semrush Data'!$A$1:$A$20000,0),MATCH("Volume",'Semrush Data'!$A$1:$Z$1,0)),"")</f>
        <v/>
      </c>
      <c r="H1598" s="6" t="str">
        <f aca="false">IFERROR(INDEX('Semrush Data'!$A$1:$Z$20000,MATCH(A1598,'Semrush Data'!$A$1:$A$20000,0),MATCH("Keyword Difficulty*",'Semrush Data'!$A$1:$Z$1,0)),"")</f>
        <v/>
      </c>
      <c r="I1598" s="29" t="str">
        <f aca="false">IFERROR(INDEX('Semrush Data'!$A$1:$Z$20000,MATCH(A1598,'Semrush Data'!$A$1:$A$20000,0),MATCH("CPC*",'Semrush Data'!$A$1:$Z$1,0)),"")</f>
        <v/>
      </c>
      <c r="J1598" s="6" t="str">
        <f aca="false">IFERROR(INDEX('Semrush Data'!$A$1:$Z$20000,MATCH(A1598,'Semrush Data'!$A$1:$A$20000,0),MATCH("Intent",'Semrush Data'!$A$1:$Z$1,0)),"")</f>
        <v/>
      </c>
    </row>
    <row r="1599" customFormat="false" ht="15" hidden="false" customHeight="true" outlineLevel="0" collapsed="false">
      <c r="A1599" s="6" t="s">
        <v>6194</v>
      </c>
      <c r="B1599" s="6" t="s">
        <v>6869</v>
      </c>
      <c r="C1599" s="6" t="n">
        <v>2</v>
      </c>
      <c r="D1599" s="6" t="n">
        <v>16</v>
      </c>
      <c r="E1599" s="6" t="n">
        <v>1</v>
      </c>
      <c r="F1599" s="6" t="s">
        <v>6188</v>
      </c>
      <c r="G1599" s="28" t="str">
        <f aca="false">IFERROR(INDEX('Semrush Data'!$A$1:$Z$20000,MATCH(A1599,'Semrush Data'!$A$1:$A$20000,0),MATCH("Volume",'Semrush Data'!$A$1:$Z$1,0)),"")</f>
        <v/>
      </c>
      <c r="H1599" s="6" t="str">
        <f aca="false">IFERROR(INDEX('Semrush Data'!$A$1:$Z$20000,MATCH(A1599,'Semrush Data'!$A$1:$A$20000,0),MATCH("Keyword Difficulty*",'Semrush Data'!$A$1:$Z$1,0)),"")</f>
        <v/>
      </c>
      <c r="I1599" s="29" t="str">
        <f aca="false">IFERROR(INDEX('Semrush Data'!$A$1:$Z$20000,MATCH(A1599,'Semrush Data'!$A$1:$A$20000,0),MATCH("CPC*",'Semrush Data'!$A$1:$Z$1,0)),"")</f>
        <v/>
      </c>
      <c r="J1599" s="6" t="str">
        <f aca="false">IFERROR(INDEX('Semrush Data'!$A$1:$Z$20000,MATCH(A1599,'Semrush Data'!$A$1:$A$20000,0),MATCH("Intent",'Semrush Data'!$A$1:$Z$1,0)),"")</f>
        <v/>
      </c>
    </row>
    <row r="1600" customFormat="false" ht="15" hidden="false" customHeight="true" outlineLevel="0" collapsed="false">
      <c r="A1600" s="6" t="s">
        <v>6205</v>
      </c>
      <c r="B1600" s="6" t="s">
        <v>6869</v>
      </c>
      <c r="C1600" s="6" t="n">
        <v>2</v>
      </c>
      <c r="D1600" s="6" t="n">
        <v>16</v>
      </c>
      <c r="E1600" s="6" t="n">
        <v>1</v>
      </c>
      <c r="F1600" s="6" t="s">
        <v>6199</v>
      </c>
      <c r="G1600" s="28" t="str">
        <f aca="false">IFERROR(INDEX('Semrush Data'!$A$1:$Z$20000,MATCH(A1600,'Semrush Data'!$A$1:$A$20000,0),MATCH("Volume",'Semrush Data'!$A$1:$Z$1,0)),"")</f>
        <v/>
      </c>
      <c r="H1600" s="6" t="str">
        <f aca="false">IFERROR(INDEX('Semrush Data'!$A$1:$Z$20000,MATCH(A1600,'Semrush Data'!$A$1:$A$20000,0),MATCH("Keyword Difficulty*",'Semrush Data'!$A$1:$Z$1,0)),"")</f>
        <v/>
      </c>
      <c r="I1600" s="29" t="str">
        <f aca="false">IFERROR(INDEX('Semrush Data'!$A$1:$Z$20000,MATCH(A1600,'Semrush Data'!$A$1:$A$20000,0),MATCH("CPC*",'Semrush Data'!$A$1:$Z$1,0)),"")</f>
        <v/>
      </c>
      <c r="J1600" s="6" t="str">
        <f aca="false">IFERROR(INDEX('Semrush Data'!$A$1:$Z$20000,MATCH(A1600,'Semrush Data'!$A$1:$A$20000,0),MATCH("Intent",'Semrush Data'!$A$1:$Z$1,0)),"")</f>
        <v/>
      </c>
    </row>
    <row r="1601" customFormat="false" ht="15" hidden="false" customHeight="true" outlineLevel="0" collapsed="false">
      <c r="A1601" s="6" t="s">
        <v>6215</v>
      </c>
      <c r="B1601" s="6" t="s">
        <v>6869</v>
      </c>
      <c r="C1601" s="6" t="n">
        <v>2</v>
      </c>
      <c r="D1601" s="6" t="n">
        <v>16</v>
      </c>
      <c r="E1601" s="6" t="n">
        <v>1</v>
      </c>
      <c r="F1601" s="6" t="s">
        <v>6209</v>
      </c>
      <c r="G1601" s="28" t="str">
        <f aca="false">IFERROR(INDEX('Semrush Data'!$A$1:$Z$20000,MATCH(A1601,'Semrush Data'!$A$1:$A$20000,0),MATCH("Volume",'Semrush Data'!$A$1:$Z$1,0)),"")</f>
        <v/>
      </c>
      <c r="H1601" s="6" t="str">
        <f aca="false">IFERROR(INDEX('Semrush Data'!$A$1:$Z$20000,MATCH(A1601,'Semrush Data'!$A$1:$A$20000,0),MATCH("Keyword Difficulty*",'Semrush Data'!$A$1:$Z$1,0)),"")</f>
        <v/>
      </c>
      <c r="I1601" s="29" t="str">
        <f aca="false">IFERROR(INDEX('Semrush Data'!$A$1:$Z$20000,MATCH(A1601,'Semrush Data'!$A$1:$A$20000,0),MATCH("CPC*",'Semrush Data'!$A$1:$Z$1,0)),"")</f>
        <v/>
      </c>
      <c r="J1601" s="6" t="str">
        <f aca="false">IFERROR(INDEX('Semrush Data'!$A$1:$Z$20000,MATCH(A1601,'Semrush Data'!$A$1:$A$20000,0),MATCH("Intent",'Semrush Data'!$A$1:$Z$1,0)),"")</f>
        <v/>
      </c>
    </row>
    <row r="1602" customFormat="false" ht="15" hidden="false" customHeight="true" outlineLevel="0" collapsed="false">
      <c r="A1602" s="6" t="s">
        <v>6226</v>
      </c>
      <c r="B1602" s="6" t="s">
        <v>6869</v>
      </c>
      <c r="C1602" s="6" t="n">
        <v>2</v>
      </c>
      <c r="D1602" s="6" t="s">
        <v>6868</v>
      </c>
      <c r="E1602" s="6" t="n">
        <v>1</v>
      </c>
      <c r="F1602" s="6" t="s">
        <v>6220</v>
      </c>
      <c r="G1602" s="28" t="n">
        <f aca="false">IFERROR(INDEX('Semrush Data'!$A$1:$Z$20000,MATCH(A1602,'Semrush Data'!$A$1:$A$20000,0),MATCH("Volume",'Semrush Data'!$A$1:$Z$1,0)),"")</f>
        <v>20</v>
      </c>
      <c r="H1602" s="6" t="n">
        <f aca="false">IFERROR(INDEX('Semrush Data'!$A$1:$Z$20000,MATCH(A1602,'Semrush Data'!$A$1:$A$20000,0),MATCH("Keyword Difficulty*",'Semrush Data'!$A$1:$Z$1,0)),"")</f>
        <v>13</v>
      </c>
      <c r="I1602" s="29" t="n">
        <f aca="false">IFERROR(INDEX('Semrush Data'!$A$1:$Z$20000,MATCH(A1602,'Semrush Data'!$A$1:$A$20000,0),MATCH("CPC*",'Semrush Data'!$A$1:$Z$1,0)),"")</f>
        <v>0</v>
      </c>
      <c r="J1602" s="6" t="str">
        <f aca="false">IFERROR(INDEX('Semrush Data'!$A$1:$Z$20000,MATCH(A1602,'Semrush Data'!$A$1:$A$20000,0),MATCH("Intent",'Semrush Data'!$A$1:$Z$1,0)),"")</f>
        <v>Informational Transactional</v>
      </c>
    </row>
    <row r="1603" customFormat="false" ht="15" hidden="false" customHeight="true" outlineLevel="0" collapsed="false">
      <c r="A1603" s="6" t="s">
        <v>6237</v>
      </c>
      <c r="B1603" s="6" t="s">
        <v>6869</v>
      </c>
      <c r="C1603" s="6" t="n">
        <v>2</v>
      </c>
      <c r="D1603" s="6" t="n">
        <v>17</v>
      </c>
      <c r="E1603" s="6" t="n">
        <v>1</v>
      </c>
      <c r="F1603" s="6" t="s">
        <v>6231</v>
      </c>
      <c r="G1603" s="28" t="str">
        <f aca="false">IFERROR(INDEX('Semrush Data'!$A$1:$Z$20000,MATCH(A1603,'Semrush Data'!$A$1:$A$20000,0),MATCH("Volume",'Semrush Data'!$A$1:$Z$1,0)),"")</f>
        <v/>
      </c>
      <c r="H1603" s="6" t="str">
        <f aca="false">IFERROR(INDEX('Semrush Data'!$A$1:$Z$20000,MATCH(A1603,'Semrush Data'!$A$1:$A$20000,0),MATCH("Keyword Difficulty*",'Semrush Data'!$A$1:$Z$1,0)),"")</f>
        <v/>
      </c>
      <c r="I1603" s="29" t="str">
        <f aca="false">IFERROR(INDEX('Semrush Data'!$A$1:$Z$20000,MATCH(A1603,'Semrush Data'!$A$1:$A$20000,0),MATCH("CPC*",'Semrush Data'!$A$1:$Z$1,0)),"")</f>
        <v/>
      </c>
      <c r="J1603" s="6" t="str">
        <f aca="false">IFERROR(INDEX('Semrush Data'!$A$1:$Z$20000,MATCH(A1603,'Semrush Data'!$A$1:$A$20000,0),MATCH("Intent",'Semrush Data'!$A$1:$Z$1,0)),"")</f>
        <v/>
      </c>
    </row>
    <row r="1604" customFormat="false" ht="15" hidden="false" customHeight="true" outlineLevel="0" collapsed="false">
      <c r="A1604" s="6" t="s">
        <v>6248</v>
      </c>
      <c r="B1604" s="6" t="s">
        <v>6869</v>
      </c>
      <c r="C1604" s="6" t="n">
        <v>2</v>
      </c>
      <c r="D1604" s="6" t="n">
        <v>17</v>
      </c>
      <c r="E1604" s="6" t="n">
        <v>1</v>
      </c>
      <c r="F1604" s="6" t="s">
        <v>6242</v>
      </c>
      <c r="G1604" s="28" t="str">
        <f aca="false">IFERROR(INDEX('Semrush Data'!$A$1:$Z$20000,MATCH(A1604,'Semrush Data'!$A$1:$A$20000,0),MATCH("Volume",'Semrush Data'!$A$1:$Z$1,0)),"")</f>
        <v/>
      </c>
      <c r="H1604" s="6" t="str">
        <f aca="false">IFERROR(INDEX('Semrush Data'!$A$1:$Z$20000,MATCH(A1604,'Semrush Data'!$A$1:$A$20000,0),MATCH("Keyword Difficulty*",'Semrush Data'!$A$1:$Z$1,0)),"")</f>
        <v/>
      </c>
      <c r="I1604" s="29" t="str">
        <f aca="false">IFERROR(INDEX('Semrush Data'!$A$1:$Z$20000,MATCH(A1604,'Semrush Data'!$A$1:$A$20000,0),MATCH("CPC*",'Semrush Data'!$A$1:$Z$1,0)),"")</f>
        <v/>
      </c>
      <c r="J1604" s="6" t="str">
        <f aca="false">IFERROR(INDEX('Semrush Data'!$A$1:$Z$20000,MATCH(A1604,'Semrush Data'!$A$1:$A$20000,0),MATCH("Intent",'Semrush Data'!$A$1:$Z$1,0)),"")</f>
        <v/>
      </c>
    </row>
    <row r="1605" customFormat="false" ht="15" hidden="false" customHeight="true" outlineLevel="0" collapsed="false">
      <c r="A1605" s="6" t="s">
        <v>6257</v>
      </c>
      <c r="B1605" s="6" t="s">
        <v>6869</v>
      </c>
      <c r="C1605" s="6" t="n">
        <v>2</v>
      </c>
      <c r="D1605" s="6" t="s">
        <v>6867</v>
      </c>
      <c r="E1605" s="6" t="n">
        <v>1</v>
      </c>
      <c r="F1605" s="6" t="s">
        <v>105</v>
      </c>
      <c r="G1605" s="28" t="n">
        <f aca="false">IFERROR(INDEX('Semrush Data'!$A$1:$Z$20000,MATCH(A1605,'Semrush Data'!$A$1:$A$20000,0),MATCH("Volume",'Semrush Data'!$A$1:$Z$1,0)),"")</f>
        <v>20</v>
      </c>
      <c r="H1605" s="6" t="n">
        <f aca="false">IFERROR(INDEX('Semrush Data'!$A$1:$Z$20000,MATCH(A1605,'Semrush Data'!$A$1:$A$20000,0),MATCH("Keyword Difficulty*",'Semrush Data'!$A$1:$Z$1,0)),"")</f>
        <v>16</v>
      </c>
      <c r="I1605" s="29" t="n">
        <f aca="false">IFERROR(INDEX('Semrush Data'!$A$1:$Z$20000,MATCH(A1605,'Semrush Data'!$A$1:$A$20000,0),MATCH("CPC*",'Semrush Data'!$A$1:$Z$1,0)),"")</f>
        <v>0.66</v>
      </c>
      <c r="J1605" s="6" t="str">
        <f aca="false">IFERROR(INDEX('Semrush Data'!$A$1:$Z$20000,MATCH(A1605,'Semrush Data'!$A$1:$A$20000,0),MATCH("Intent",'Semrush Data'!$A$1:$Z$1,0)),"")</f>
        <v>Navigational</v>
      </c>
    </row>
    <row r="1606" customFormat="false" ht="15" hidden="false" customHeight="true" outlineLevel="0" collapsed="false">
      <c r="A1606" s="6" t="s">
        <v>6269</v>
      </c>
      <c r="B1606" s="6" t="s">
        <v>6869</v>
      </c>
      <c r="C1606" s="6" t="n">
        <v>2</v>
      </c>
      <c r="D1606" s="6" t="n">
        <v>17</v>
      </c>
      <c r="E1606" s="6" t="n">
        <v>1</v>
      </c>
      <c r="F1606" s="6" t="s">
        <v>6263</v>
      </c>
      <c r="G1606" s="28" t="str">
        <f aca="false">IFERROR(INDEX('Semrush Data'!$A$1:$Z$20000,MATCH(A1606,'Semrush Data'!$A$1:$A$20000,0),MATCH("Volume",'Semrush Data'!$A$1:$Z$1,0)),"")</f>
        <v/>
      </c>
      <c r="H1606" s="6" t="str">
        <f aca="false">IFERROR(INDEX('Semrush Data'!$A$1:$Z$20000,MATCH(A1606,'Semrush Data'!$A$1:$A$20000,0),MATCH("Keyword Difficulty*",'Semrush Data'!$A$1:$Z$1,0)),"")</f>
        <v/>
      </c>
      <c r="I1606" s="29" t="str">
        <f aca="false">IFERROR(INDEX('Semrush Data'!$A$1:$Z$20000,MATCH(A1606,'Semrush Data'!$A$1:$A$20000,0),MATCH("CPC*",'Semrush Data'!$A$1:$Z$1,0)),"")</f>
        <v/>
      </c>
      <c r="J1606" s="6" t="str">
        <f aca="false">IFERROR(INDEX('Semrush Data'!$A$1:$Z$20000,MATCH(A1606,'Semrush Data'!$A$1:$A$20000,0),MATCH("Intent",'Semrush Data'!$A$1:$Z$1,0)),"")</f>
        <v/>
      </c>
    </row>
    <row r="1607" customFormat="false" ht="15" hidden="false" customHeight="true" outlineLevel="0" collapsed="false">
      <c r="A1607" s="6" t="s">
        <v>6280</v>
      </c>
      <c r="B1607" s="6" t="s">
        <v>6869</v>
      </c>
      <c r="C1607" s="6" t="n">
        <v>2</v>
      </c>
      <c r="D1607" s="6" t="n">
        <v>17</v>
      </c>
      <c r="E1607" s="6" t="n">
        <v>1</v>
      </c>
      <c r="F1607" s="6" t="s">
        <v>6274</v>
      </c>
      <c r="G1607" s="28" t="str">
        <f aca="false">IFERROR(INDEX('Semrush Data'!$A$1:$Z$20000,MATCH(A1607,'Semrush Data'!$A$1:$A$20000,0),MATCH("Volume",'Semrush Data'!$A$1:$Z$1,0)),"")</f>
        <v/>
      </c>
      <c r="H1607" s="6" t="str">
        <f aca="false">IFERROR(INDEX('Semrush Data'!$A$1:$Z$20000,MATCH(A1607,'Semrush Data'!$A$1:$A$20000,0),MATCH("Keyword Difficulty*",'Semrush Data'!$A$1:$Z$1,0)),"")</f>
        <v/>
      </c>
      <c r="I1607" s="29" t="str">
        <f aca="false">IFERROR(INDEX('Semrush Data'!$A$1:$Z$20000,MATCH(A1607,'Semrush Data'!$A$1:$A$20000,0),MATCH("CPC*",'Semrush Data'!$A$1:$Z$1,0)),"")</f>
        <v/>
      </c>
      <c r="J1607" s="6" t="str">
        <f aca="false">IFERROR(INDEX('Semrush Data'!$A$1:$Z$20000,MATCH(A1607,'Semrush Data'!$A$1:$A$20000,0),MATCH("Intent",'Semrush Data'!$A$1:$Z$1,0)),"")</f>
        <v/>
      </c>
    </row>
    <row r="1608" customFormat="false" ht="15" hidden="false" customHeight="true" outlineLevel="0" collapsed="false">
      <c r="A1608" s="6" t="s">
        <v>6291</v>
      </c>
      <c r="B1608" s="6" t="s">
        <v>6869</v>
      </c>
      <c r="C1608" s="6" t="n">
        <v>2</v>
      </c>
      <c r="D1608" s="6" t="n">
        <v>17</v>
      </c>
      <c r="E1608" s="6" t="n">
        <v>1</v>
      </c>
      <c r="F1608" s="6" t="s">
        <v>6285</v>
      </c>
      <c r="G1608" s="28" t="str">
        <f aca="false">IFERROR(INDEX('Semrush Data'!$A$1:$Z$20000,MATCH(A1608,'Semrush Data'!$A$1:$A$20000,0),MATCH("Volume",'Semrush Data'!$A$1:$Z$1,0)),"")</f>
        <v/>
      </c>
      <c r="H1608" s="6" t="str">
        <f aca="false">IFERROR(INDEX('Semrush Data'!$A$1:$Z$20000,MATCH(A1608,'Semrush Data'!$A$1:$A$20000,0),MATCH("Keyword Difficulty*",'Semrush Data'!$A$1:$Z$1,0)),"")</f>
        <v/>
      </c>
      <c r="I1608" s="29" t="str">
        <f aca="false">IFERROR(INDEX('Semrush Data'!$A$1:$Z$20000,MATCH(A1608,'Semrush Data'!$A$1:$A$20000,0),MATCH("CPC*",'Semrush Data'!$A$1:$Z$1,0)),"")</f>
        <v/>
      </c>
      <c r="J1608" s="6" t="str">
        <f aca="false">IFERROR(INDEX('Semrush Data'!$A$1:$Z$20000,MATCH(A1608,'Semrush Data'!$A$1:$A$20000,0),MATCH("Intent",'Semrush Data'!$A$1:$Z$1,0)),"")</f>
        <v/>
      </c>
    </row>
    <row r="1609" customFormat="false" ht="15" hidden="false" customHeight="true" outlineLevel="0" collapsed="false">
      <c r="A1609" s="6" t="s">
        <v>6302</v>
      </c>
      <c r="B1609" s="6" t="s">
        <v>6869</v>
      </c>
      <c r="C1609" s="6" t="n">
        <v>2</v>
      </c>
      <c r="D1609" s="6" t="n">
        <v>17</v>
      </c>
      <c r="E1609" s="6" t="n">
        <v>1</v>
      </c>
      <c r="F1609" s="6" t="s">
        <v>6296</v>
      </c>
      <c r="G1609" s="28" t="str">
        <f aca="false">IFERROR(INDEX('Semrush Data'!$A$1:$Z$20000,MATCH(A1609,'Semrush Data'!$A$1:$A$20000,0),MATCH("Volume",'Semrush Data'!$A$1:$Z$1,0)),"")</f>
        <v/>
      </c>
      <c r="H1609" s="6" t="str">
        <f aca="false">IFERROR(INDEX('Semrush Data'!$A$1:$Z$20000,MATCH(A1609,'Semrush Data'!$A$1:$A$20000,0),MATCH("Keyword Difficulty*",'Semrush Data'!$A$1:$Z$1,0)),"")</f>
        <v/>
      </c>
      <c r="I1609" s="29" t="str">
        <f aca="false">IFERROR(INDEX('Semrush Data'!$A$1:$Z$20000,MATCH(A1609,'Semrush Data'!$A$1:$A$20000,0),MATCH("CPC*",'Semrush Data'!$A$1:$Z$1,0)),"")</f>
        <v/>
      </c>
      <c r="J1609" s="6" t="str">
        <f aca="false">IFERROR(INDEX('Semrush Data'!$A$1:$Z$20000,MATCH(A1609,'Semrush Data'!$A$1:$A$20000,0),MATCH("Intent",'Semrush Data'!$A$1:$Z$1,0)),"")</f>
        <v/>
      </c>
    </row>
    <row r="1610" customFormat="false" ht="15" hidden="false" customHeight="true" outlineLevel="0" collapsed="false">
      <c r="A1610" s="6" t="s">
        <v>6312</v>
      </c>
      <c r="B1610" s="6" t="s">
        <v>6869</v>
      </c>
      <c r="C1610" s="6" t="n">
        <v>2</v>
      </c>
      <c r="D1610" s="6" t="n">
        <v>17</v>
      </c>
      <c r="E1610" s="6" t="n">
        <v>1</v>
      </c>
      <c r="F1610" s="6" t="s">
        <v>6306</v>
      </c>
      <c r="G1610" s="28" t="str">
        <f aca="false">IFERROR(INDEX('Semrush Data'!$A$1:$Z$20000,MATCH(A1610,'Semrush Data'!$A$1:$A$20000,0),MATCH("Volume",'Semrush Data'!$A$1:$Z$1,0)),"")</f>
        <v/>
      </c>
      <c r="H1610" s="6" t="str">
        <f aca="false">IFERROR(INDEX('Semrush Data'!$A$1:$Z$20000,MATCH(A1610,'Semrush Data'!$A$1:$A$20000,0),MATCH("Keyword Difficulty*",'Semrush Data'!$A$1:$Z$1,0)),"")</f>
        <v/>
      </c>
      <c r="I1610" s="29" t="str">
        <f aca="false">IFERROR(INDEX('Semrush Data'!$A$1:$Z$20000,MATCH(A1610,'Semrush Data'!$A$1:$A$20000,0),MATCH("CPC*",'Semrush Data'!$A$1:$Z$1,0)),"")</f>
        <v/>
      </c>
      <c r="J1610" s="6" t="str">
        <f aca="false">IFERROR(INDEX('Semrush Data'!$A$1:$Z$20000,MATCH(A1610,'Semrush Data'!$A$1:$A$20000,0),MATCH("Intent",'Semrush Data'!$A$1:$Z$1,0)),"")</f>
        <v/>
      </c>
    </row>
    <row r="1611" customFormat="false" ht="15" hidden="false" customHeight="true" outlineLevel="0" collapsed="false">
      <c r="A1611" s="6" t="s">
        <v>6323</v>
      </c>
      <c r="B1611" s="6" t="s">
        <v>6869</v>
      </c>
      <c r="C1611" s="6" t="n">
        <v>2</v>
      </c>
      <c r="D1611" s="6" t="n">
        <v>17</v>
      </c>
      <c r="E1611" s="6" t="n">
        <v>1</v>
      </c>
      <c r="F1611" s="6" t="s">
        <v>6317</v>
      </c>
      <c r="G1611" s="28" t="str">
        <f aca="false">IFERROR(INDEX('Semrush Data'!$A$1:$Z$20000,MATCH(A1611,'Semrush Data'!$A$1:$A$20000,0),MATCH("Volume",'Semrush Data'!$A$1:$Z$1,0)),"")</f>
        <v/>
      </c>
      <c r="H1611" s="6" t="str">
        <f aca="false">IFERROR(INDEX('Semrush Data'!$A$1:$Z$20000,MATCH(A1611,'Semrush Data'!$A$1:$A$20000,0),MATCH("Keyword Difficulty*",'Semrush Data'!$A$1:$Z$1,0)),"")</f>
        <v/>
      </c>
      <c r="I1611" s="29" t="str">
        <f aca="false">IFERROR(INDEX('Semrush Data'!$A$1:$Z$20000,MATCH(A1611,'Semrush Data'!$A$1:$A$20000,0),MATCH("CPC*",'Semrush Data'!$A$1:$Z$1,0)),"")</f>
        <v/>
      </c>
      <c r="J1611" s="6" t="str">
        <f aca="false">IFERROR(INDEX('Semrush Data'!$A$1:$Z$20000,MATCH(A1611,'Semrush Data'!$A$1:$A$20000,0),MATCH("Intent",'Semrush Data'!$A$1:$Z$1,0)),"")</f>
        <v/>
      </c>
    </row>
    <row r="1612" customFormat="false" ht="15" hidden="false" customHeight="true" outlineLevel="0" collapsed="false">
      <c r="A1612" s="6" t="s">
        <v>6335</v>
      </c>
      <c r="B1612" s="6" t="s">
        <v>6869</v>
      </c>
      <c r="C1612" s="6" t="n">
        <v>2</v>
      </c>
      <c r="D1612" s="6" t="n">
        <v>17</v>
      </c>
      <c r="E1612" s="6" t="n">
        <v>1</v>
      </c>
      <c r="F1612" s="6" t="s">
        <v>6328</v>
      </c>
      <c r="G1612" s="28" t="str">
        <f aca="false">IFERROR(INDEX('Semrush Data'!$A$1:$Z$20000,MATCH(A1612,'Semrush Data'!$A$1:$A$20000,0),MATCH("Volume",'Semrush Data'!$A$1:$Z$1,0)),"")</f>
        <v/>
      </c>
      <c r="H1612" s="6" t="str">
        <f aca="false">IFERROR(INDEX('Semrush Data'!$A$1:$Z$20000,MATCH(A1612,'Semrush Data'!$A$1:$A$20000,0),MATCH("Keyword Difficulty*",'Semrush Data'!$A$1:$Z$1,0)),"")</f>
        <v/>
      </c>
      <c r="I1612" s="29" t="str">
        <f aca="false">IFERROR(INDEX('Semrush Data'!$A$1:$Z$20000,MATCH(A1612,'Semrush Data'!$A$1:$A$20000,0),MATCH("CPC*",'Semrush Data'!$A$1:$Z$1,0)),"")</f>
        <v/>
      </c>
      <c r="J1612" s="6" t="str">
        <f aca="false">IFERROR(INDEX('Semrush Data'!$A$1:$Z$20000,MATCH(A1612,'Semrush Data'!$A$1:$A$20000,0),MATCH("Intent",'Semrush Data'!$A$1:$Z$1,0)),"")</f>
        <v/>
      </c>
    </row>
    <row r="1613" customFormat="false" ht="15" hidden="false" customHeight="true" outlineLevel="0" collapsed="false">
      <c r="A1613" s="6" t="s">
        <v>6346</v>
      </c>
      <c r="B1613" s="6" t="s">
        <v>6869</v>
      </c>
      <c r="C1613" s="6" t="n">
        <v>2</v>
      </c>
      <c r="D1613" s="6" t="n">
        <v>17</v>
      </c>
      <c r="E1613" s="6" t="n">
        <v>1</v>
      </c>
      <c r="F1613" s="6" t="s">
        <v>6340</v>
      </c>
      <c r="G1613" s="28" t="str">
        <f aca="false">IFERROR(INDEX('Semrush Data'!$A$1:$Z$20000,MATCH(A1613,'Semrush Data'!$A$1:$A$20000,0),MATCH("Volume",'Semrush Data'!$A$1:$Z$1,0)),"")</f>
        <v/>
      </c>
      <c r="H1613" s="6" t="str">
        <f aca="false">IFERROR(INDEX('Semrush Data'!$A$1:$Z$20000,MATCH(A1613,'Semrush Data'!$A$1:$A$20000,0),MATCH("Keyword Difficulty*",'Semrush Data'!$A$1:$Z$1,0)),"")</f>
        <v/>
      </c>
      <c r="I1613" s="29" t="str">
        <f aca="false">IFERROR(INDEX('Semrush Data'!$A$1:$Z$20000,MATCH(A1613,'Semrush Data'!$A$1:$A$20000,0),MATCH("CPC*",'Semrush Data'!$A$1:$Z$1,0)),"")</f>
        <v/>
      </c>
      <c r="J1613" s="6" t="str">
        <f aca="false">IFERROR(INDEX('Semrush Data'!$A$1:$Z$20000,MATCH(A1613,'Semrush Data'!$A$1:$A$20000,0),MATCH("Intent",'Semrush Data'!$A$1:$Z$1,0)),"")</f>
        <v/>
      </c>
    </row>
    <row r="1614" customFormat="false" ht="15" hidden="false" customHeight="true" outlineLevel="0" collapsed="false">
      <c r="A1614" s="6" t="s">
        <v>6384</v>
      </c>
      <c r="B1614" s="6" t="s">
        <v>6869</v>
      </c>
      <c r="C1614" s="6" t="n">
        <v>2</v>
      </c>
      <c r="D1614" s="6" t="s">
        <v>6867</v>
      </c>
      <c r="E1614" s="6" t="n">
        <v>1</v>
      </c>
      <c r="F1614" s="6" t="s">
        <v>51</v>
      </c>
      <c r="G1614" s="28" t="n">
        <f aca="false">IFERROR(INDEX('Semrush Data'!$A$1:$Z$20000,MATCH(A1614,'Semrush Data'!$A$1:$A$20000,0),MATCH("Volume",'Semrush Data'!$A$1:$Z$1,0)),"")</f>
        <v>720</v>
      </c>
      <c r="H1614" s="6" t="n">
        <f aca="false">IFERROR(INDEX('Semrush Data'!$A$1:$Z$20000,MATCH(A1614,'Semrush Data'!$A$1:$A$20000,0),MATCH("Keyword Difficulty*",'Semrush Data'!$A$1:$Z$1,0)),"")</f>
        <v>20</v>
      </c>
      <c r="I1614" s="29" t="n">
        <f aca="false">IFERROR(INDEX('Semrush Data'!$A$1:$Z$20000,MATCH(A1614,'Semrush Data'!$A$1:$A$20000,0),MATCH("CPC*",'Semrush Data'!$A$1:$Z$1,0)),"")</f>
        <v>0.42</v>
      </c>
      <c r="J1614" s="6" t="str">
        <f aca="false">IFERROR(INDEX('Semrush Data'!$A$1:$Z$20000,MATCH(A1614,'Semrush Data'!$A$1:$A$20000,0),MATCH("Intent",'Semrush Data'!$A$1:$Z$1,0)),"")</f>
        <v>Informational</v>
      </c>
    </row>
    <row r="1615" customFormat="false" ht="15" hidden="false" customHeight="true" outlineLevel="0" collapsed="false">
      <c r="A1615" s="6" t="s">
        <v>6377</v>
      </c>
      <c r="B1615" s="6" t="s">
        <v>6869</v>
      </c>
      <c r="C1615" s="6" t="n">
        <v>2</v>
      </c>
      <c r="D1615" s="6" t="s">
        <v>6867</v>
      </c>
      <c r="E1615" s="6" t="n">
        <v>1</v>
      </c>
      <c r="F1615" s="6" t="s">
        <v>97</v>
      </c>
      <c r="G1615" s="28" t="n">
        <f aca="false">IFERROR(INDEX('Semrush Data'!$A$1:$Z$20000,MATCH(A1615,'Semrush Data'!$A$1:$A$20000,0),MATCH("Volume",'Semrush Data'!$A$1:$Z$1,0)),"")</f>
        <v>10</v>
      </c>
      <c r="H1615" s="6" t="n">
        <f aca="false">IFERROR(INDEX('Semrush Data'!$A$1:$Z$20000,MATCH(A1615,'Semrush Data'!$A$1:$A$20000,0),MATCH("Keyword Difficulty*",'Semrush Data'!$A$1:$Z$1,0)),"")</f>
        <v>15</v>
      </c>
      <c r="I1615" s="29" t="n">
        <f aca="false">IFERROR(INDEX('Semrush Data'!$A$1:$Z$20000,MATCH(A1615,'Semrush Data'!$A$1:$A$20000,0),MATCH("CPC*",'Semrush Data'!$A$1:$Z$1,0)),"")</f>
        <v>0.52</v>
      </c>
      <c r="J1615" s="6" t="str">
        <f aca="false">IFERROR(INDEX('Semrush Data'!$A$1:$Z$20000,MATCH(A1615,'Semrush Data'!$A$1:$A$20000,0),MATCH("Intent",'Semrush Data'!$A$1:$Z$1,0)),"")</f>
        <v>Transactional Navigational</v>
      </c>
    </row>
    <row r="1616" customFormat="false" ht="15" hidden="false" customHeight="true" outlineLevel="0" collapsed="false">
      <c r="A1616" s="6" t="s">
        <v>6357</v>
      </c>
      <c r="B1616" s="6" t="s">
        <v>6869</v>
      </c>
      <c r="C1616" s="6" t="n">
        <v>2</v>
      </c>
      <c r="D1616" s="6" t="s">
        <v>6867</v>
      </c>
      <c r="E1616" s="6" t="n">
        <v>1</v>
      </c>
      <c r="F1616" s="6" t="s">
        <v>69</v>
      </c>
      <c r="G1616" s="28" t="n">
        <f aca="false">IFERROR(INDEX('Semrush Data'!$A$1:$Z$20000,MATCH(A1616,'Semrush Data'!$A$1:$A$20000,0),MATCH("Volume",'Semrush Data'!$A$1:$Z$1,0)),"")</f>
        <v>140</v>
      </c>
      <c r="H1616" s="6" t="n">
        <f aca="false">IFERROR(INDEX('Semrush Data'!$A$1:$Z$20000,MATCH(A1616,'Semrush Data'!$A$1:$A$20000,0),MATCH("Keyword Difficulty*",'Semrush Data'!$A$1:$Z$1,0)),"")</f>
        <v>18</v>
      </c>
      <c r="I1616" s="29" t="n">
        <f aca="false">IFERROR(INDEX('Semrush Data'!$A$1:$Z$20000,MATCH(A1616,'Semrush Data'!$A$1:$A$20000,0),MATCH("CPC*",'Semrush Data'!$A$1:$Z$1,0)),"")</f>
        <v>0.7</v>
      </c>
      <c r="J1616" s="6" t="str">
        <f aca="false">IFERROR(INDEX('Semrush Data'!$A$1:$Z$20000,MATCH(A1616,'Semrush Data'!$A$1:$A$20000,0),MATCH("Intent",'Semrush Data'!$A$1:$Z$1,0)),"")</f>
        <v>Informational</v>
      </c>
    </row>
    <row r="1617" customFormat="false" ht="15" hidden="false" customHeight="true" outlineLevel="0" collapsed="false">
      <c r="A1617" s="6" t="s">
        <v>6392</v>
      </c>
      <c r="B1617" s="6" t="s">
        <v>6869</v>
      </c>
      <c r="C1617" s="6" t="n">
        <v>2</v>
      </c>
      <c r="D1617" s="6" t="s">
        <v>6867</v>
      </c>
      <c r="E1617" s="6" t="n">
        <v>1</v>
      </c>
      <c r="F1617" s="6" t="s">
        <v>57</v>
      </c>
      <c r="G1617" s="28" t="n">
        <f aca="false">IFERROR(INDEX('Semrush Data'!$A$1:$Z$20000,MATCH(A1617,'Semrush Data'!$A$1:$A$20000,0),MATCH("Volume",'Semrush Data'!$A$1:$Z$1,0)),"")</f>
        <v>1600</v>
      </c>
      <c r="H1617" s="6" t="n">
        <f aca="false">IFERROR(INDEX('Semrush Data'!$A$1:$Z$20000,MATCH(A1617,'Semrush Data'!$A$1:$A$20000,0),MATCH("Keyword Difficulty*",'Semrush Data'!$A$1:$Z$1,0)),"")</f>
        <v>16</v>
      </c>
      <c r="I1617" s="29" t="n">
        <f aca="false">IFERROR(INDEX('Semrush Data'!$A$1:$Z$20000,MATCH(A1617,'Semrush Data'!$A$1:$A$20000,0),MATCH("CPC*",'Semrush Data'!$A$1:$Z$1,0)),"")</f>
        <v>0.5</v>
      </c>
      <c r="J1617" s="6" t="str">
        <f aca="false">IFERROR(INDEX('Semrush Data'!$A$1:$Z$20000,MATCH(A1617,'Semrush Data'!$A$1:$A$20000,0),MATCH("Intent",'Semrush Data'!$A$1:$Z$1,0)),"")</f>
        <v>Informational</v>
      </c>
    </row>
    <row r="1618" customFormat="false" ht="15" hidden="false" customHeight="true" outlineLevel="0" collapsed="false">
      <c r="A1618" s="6" t="s">
        <v>6365</v>
      </c>
      <c r="B1618" s="6" t="s">
        <v>6869</v>
      </c>
      <c r="C1618" s="6" t="n">
        <v>2</v>
      </c>
      <c r="D1618" s="6" t="s">
        <v>6867</v>
      </c>
      <c r="E1618" s="6" t="n">
        <v>2</v>
      </c>
      <c r="F1618" s="6" t="s">
        <v>6862</v>
      </c>
      <c r="G1618" s="28" t="n">
        <f aca="false">IFERROR(INDEX('Semrush Data'!$A$1:$Z$20000,MATCH(A1618,'Semrush Data'!$A$1:$A$20000,0),MATCH("Volume",'Semrush Data'!$A$1:$Z$1,0)),"")</f>
        <v>320</v>
      </c>
      <c r="H1618" s="6" t="n">
        <f aca="false">IFERROR(INDEX('Semrush Data'!$A$1:$Z$20000,MATCH(A1618,'Semrush Data'!$A$1:$A$20000,0),MATCH("Keyword Difficulty*",'Semrush Data'!$A$1:$Z$1,0)),"")</f>
        <v>20</v>
      </c>
      <c r="I1618" s="29" t="n">
        <f aca="false">IFERROR(INDEX('Semrush Data'!$A$1:$Z$20000,MATCH(A1618,'Semrush Data'!$A$1:$A$20000,0),MATCH("CPC*",'Semrush Data'!$A$1:$Z$1,0)),"")</f>
        <v>0.62</v>
      </c>
      <c r="J1618" s="6" t="str">
        <f aca="false">IFERROR(INDEX('Semrush Data'!$A$1:$Z$20000,MATCH(A1618,'Semrush Data'!$A$1:$A$20000,0),MATCH("Intent",'Semrush Data'!$A$1:$Z$1,0)),"")</f>
        <v>Informational</v>
      </c>
    </row>
    <row r="1619" customFormat="false" ht="15" hidden="false" customHeight="true" outlineLevel="0" collapsed="false">
      <c r="A1619" s="6" t="s">
        <v>6427</v>
      </c>
      <c r="B1619" s="6" t="s">
        <v>6869</v>
      </c>
      <c r="C1619" s="6" t="n">
        <v>2</v>
      </c>
      <c r="D1619" s="6" t="n">
        <v>17</v>
      </c>
      <c r="E1619" s="6" t="n">
        <v>1</v>
      </c>
      <c r="F1619" s="6" t="s">
        <v>6421</v>
      </c>
      <c r="G1619" s="28" t="str">
        <f aca="false">IFERROR(INDEX('Semrush Data'!$A$1:$Z$20000,MATCH(A1619,'Semrush Data'!$A$1:$A$20000,0),MATCH("Volume",'Semrush Data'!$A$1:$Z$1,0)),"")</f>
        <v/>
      </c>
      <c r="H1619" s="6" t="str">
        <f aca="false">IFERROR(INDEX('Semrush Data'!$A$1:$Z$20000,MATCH(A1619,'Semrush Data'!$A$1:$A$20000,0),MATCH("Keyword Difficulty*",'Semrush Data'!$A$1:$Z$1,0)),"")</f>
        <v/>
      </c>
      <c r="I1619" s="29" t="str">
        <f aca="false">IFERROR(INDEX('Semrush Data'!$A$1:$Z$20000,MATCH(A1619,'Semrush Data'!$A$1:$A$20000,0),MATCH("CPC*",'Semrush Data'!$A$1:$Z$1,0)),"")</f>
        <v/>
      </c>
      <c r="J1619" s="6" t="str">
        <f aca="false">IFERROR(INDEX('Semrush Data'!$A$1:$Z$20000,MATCH(A1619,'Semrush Data'!$A$1:$A$20000,0),MATCH("Intent",'Semrush Data'!$A$1:$Z$1,0)),"")</f>
        <v/>
      </c>
    </row>
    <row r="1620" customFormat="false" ht="15" hidden="false" customHeight="true" outlineLevel="0" collapsed="false">
      <c r="A1620" s="6" t="s">
        <v>6438</v>
      </c>
      <c r="B1620" s="6" t="s">
        <v>6869</v>
      </c>
      <c r="C1620" s="6" t="n">
        <v>2</v>
      </c>
      <c r="D1620" s="6" t="n">
        <v>17</v>
      </c>
      <c r="E1620" s="6" t="n">
        <v>1</v>
      </c>
      <c r="F1620" s="6" t="s">
        <v>6432</v>
      </c>
      <c r="G1620" s="28" t="str">
        <f aca="false">IFERROR(INDEX('Semrush Data'!$A$1:$Z$20000,MATCH(A1620,'Semrush Data'!$A$1:$A$20000,0),MATCH("Volume",'Semrush Data'!$A$1:$Z$1,0)),"")</f>
        <v/>
      </c>
      <c r="H1620" s="6" t="str">
        <f aca="false">IFERROR(INDEX('Semrush Data'!$A$1:$Z$20000,MATCH(A1620,'Semrush Data'!$A$1:$A$20000,0),MATCH("Keyword Difficulty*",'Semrush Data'!$A$1:$Z$1,0)),"")</f>
        <v/>
      </c>
      <c r="I1620" s="29" t="str">
        <f aca="false">IFERROR(INDEX('Semrush Data'!$A$1:$Z$20000,MATCH(A1620,'Semrush Data'!$A$1:$A$20000,0),MATCH("CPC*",'Semrush Data'!$A$1:$Z$1,0)),"")</f>
        <v/>
      </c>
      <c r="J1620" s="6" t="str">
        <f aca="false">IFERROR(INDEX('Semrush Data'!$A$1:$Z$20000,MATCH(A1620,'Semrush Data'!$A$1:$A$20000,0),MATCH("Intent",'Semrush Data'!$A$1:$Z$1,0)),"")</f>
        <v/>
      </c>
    </row>
    <row r="1621" customFormat="false" ht="15" hidden="false" customHeight="true" outlineLevel="0" collapsed="false">
      <c r="A1621" s="6" t="s">
        <v>6416</v>
      </c>
      <c r="B1621" s="6" t="s">
        <v>6869</v>
      </c>
      <c r="C1621" s="6" t="n">
        <v>2</v>
      </c>
      <c r="D1621" s="6" t="n">
        <v>17</v>
      </c>
      <c r="E1621" s="6" t="n">
        <v>1</v>
      </c>
      <c r="F1621" s="6" t="s">
        <v>6410</v>
      </c>
      <c r="G1621" s="28" t="str">
        <f aca="false">IFERROR(INDEX('Semrush Data'!$A$1:$Z$20000,MATCH(A1621,'Semrush Data'!$A$1:$A$20000,0),MATCH("Volume",'Semrush Data'!$A$1:$Z$1,0)),"")</f>
        <v/>
      </c>
      <c r="H1621" s="6" t="str">
        <f aca="false">IFERROR(INDEX('Semrush Data'!$A$1:$Z$20000,MATCH(A1621,'Semrush Data'!$A$1:$A$20000,0),MATCH("Keyword Difficulty*",'Semrush Data'!$A$1:$Z$1,0)),"")</f>
        <v/>
      </c>
      <c r="I1621" s="29" t="str">
        <f aca="false">IFERROR(INDEX('Semrush Data'!$A$1:$Z$20000,MATCH(A1621,'Semrush Data'!$A$1:$A$20000,0),MATCH("CPC*",'Semrush Data'!$A$1:$Z$1,0)),"")</f>
        <v/>
      </c>
      <c r="J1621" s="6" t="str">
        <f aca="false">IFERROR(INDEX('Semrush Data'!$A$1:$Z$20000,MATCH(A1621,'Semrush Data'!$A$1:$A$20000,0),MATCH("Intent",'Semrush Data'!$A$1:$Z$1,0)),"")</f>
        <v/>
      </c>
    </row>
    <row r="1622" customFormat="false" ht="15" hidden="false" customHeight="true" outlineLevel="0" collapsed="false">
      <c r="A1622" s="6" t="s">
        <v>6405</v>
      </c>
      <c r="B1622" s="6" t="s">
        <v>6869</v>
      </c>
      <c r="C1622" s="6" t="n">
        <v>2</v>
      </c>
      <c r="D1622" s="6" t="n">
        <v>17</v>
      </c>
      <c r="E1622" s="6" t="n">
        <v>1</v>
      </c>
      <c r="F1622" s="6" t="s">
        <v>6397</v>
      </c>
      <c r="G1622" s="28" t="str">
        <f aca="false">IFERROR(INDEX('Semrush Data'!$A$1:$Z$20000,MATCH(A1622,'Semrush Data'!$A$1:$A$20000,0),MATCH("Volume",'Semrush Data'!$A$1:$Z$1,0)),"")</f>
        <v/>
      </c>
      <c r="H1622" s="6" t="str">
        <f aca="false">IFERROR(INDEX('Semrush Data'!$A$1:$Z$20000,MATCH(A1622,'Semrush Data'!$A$1:$A$20000,0),MATCH("Keyword Difficulty*",'Semrush Data'!$A$1:$Z$1,0)),"")</f>
        <v/>
      </c>
      <c r="I1622" s="29" t="str">
        <f aca="false">IFERROR(INDEX('Semrush Data'!$A$1:$Z$20000,MATCH(A1622,'Semrush Data'!$A$1:$A$20000,0),MATCH("CPC*",'Semrush Data'!$A$1:$Z$1,0)),"")</f>
        <v/>
      </c>
      <c r="J1622" s="6" t="str">
        <f aca="false">IFERROR(INDEX('Semrush Data'!$A$1:$Z$20000,MATCH(A1622,'Semrush Data'!$A$1:$A$20000,0),MATCH("Intent",'Semrush Data'!$A$1:$Z$1,0)),"")</f>
        <v/>
      </c>
    </row>
    <row r="1623" customFormat="false" ht="15" hidden="false" customHeight="true" outlineLevel="0" collapsed="false">
      <c r="A1623" s="6" t="s">
        <v>6471</v>
      </c>
      <c r="B1623" s="6" t="s">
        <v>6869</v>
      </c>
      <c r="C1623" s="6" t="n">
        <v>2</v>
      </c>
      <c r="D1623" s="6" t="n">
        <v>17</v>
      </c>
      <c r="E1623" s="6" t="n">
        <v>1</v>
      </c>
      <c r="F1623" s="6" t="s">
        <v>6464</v>
      </c>
      <c r="G1623" s="28" t="str">
        <f aca="false">IFERROR(INDEX('Semrush Data'!$A$1:$Z$20000,MATCH(A1623,'Semrush Data'!$A$1:$A$20000,0),MATCH("Volume",'Semrush Data'!$A$1:$Z$1,0)),"")</f>
        <v/>
      </c>
      <c r="H1623" s="6" t="str">
        <f aca="false">IFERROR(INDEX('Semrush Data'!$A$1:$Z$20000,MATCH(A1623,'Semrush Data'!$A$1:$A$20000,0),MATCH("Keyword Difficulty*",'Semrush Data'!$A$1:$Z$1,0)),"")</f>
        <v/>
      </c>
      <c r="I1623" s="29" t="str">
        <f aca="false">IFERROR(INDEX('Semrush Data'!$A$1:$Z$20000,MATCH(A1623,'Semrush Data'!$A$1:$A$20000,0),MATCH("CPC*",'Semrush Data'!$A$1:$Z$1,0)),"")</f>
        <v/>
      </c>
      <c r="J1623" s="6" t="str">
        <f aca="false">IFERROR(INDEX('Semrush Data'!$A$1:$Z$20000,MATCH(A1623,'Semrush Data'!$A$1:$A$20000,0),MATCH("Intent",'Semrush Data'!$A$1:$Z$1,0)),"")</f>
        <v/>
      </c>
    </row>
    <row r="1624" customFormat="false" ht="15" hidden="false" customHeight="true" outlineLevel="0" collapsed="false">
      <c r="A1624" s="6" t="s">
        <v>6483</v>
      </c>
      <c r="B1624" s="6" t="s">
        <v>6869</v>
      </c>
      <c r="C1624" s="6" t="n">
        <v>2</v>
      </c>
      <c r="D1624" s="6" t="n">
        <v>17</v>
      </c>
      <c r="E1624" s="6" t="n">
        <v>1</v>
      </c>
      <c r="F1624" s="6" t="s">
        <v>6476</v>
      </c>
      <c r="G1624" s="28" t="str">
        <f aca="false">IFERROR(INDEX('Semrush Data'!$A$1:$Z$20000,MATCH(A1624,'Semrush Data'!$A$1:$A$20000,0),MATCH("Volume",'Semrush Data'!$A$1:$Z$1,0)),"")</f>
        <v/>
      </c>
      <c r="H1624" s="6" t="str">
        <f aca="false">IFERROR(INDEX('Semrush Data'!$A$1:$Z$20000,MATCH(A1624,'Semrush Data'!$A$1:$A$20000,0),MATCH("Keyword Difficulty*",'Semrush Data'!$A$1:$Z$1,0)),"")</f>
        <v/>
      </c>
      <c r="I1624" s="29" t="str">
        <f aca="false">IFERROR(INDEX('Semrush Data'!$A$1:$Z$20000,MATCH(A1624,'Semrush Data'!$A$1:$A$20000,0),MATCH("CPC*",'Semrush Data'!$A$1:$Z$1,0)),"")</f>
        <v/>
      </c>
      <c r="J1624" s="6" t="str">
        <f aca="false">IFERROR(INDEX('Semrush Data'!$A$1:$Z$20000,MATCH(A1624,'Semrush Data'!$A$1:$A$20000,0),MATCH("Intent",'Semrush Data'!$A$1:$Z$1,0)),"")</f>
        <v/>
      </c>
    </row>
    <row r="1625" customFormat="false" ht="15" hidden="false" customHeight="true" outlineLevel="0" collapsed="false">
      <c r="A1625" s="6" t="s">
        <v>2458</v>
      </c>
      <c r="B1625" s="6" t="s">
        <v>1415</v>
      </c>
      <c r="C1625" s="6" t="n">
        <v>3</v>
      </c>
      <c r="D1625" s="6" t="n">
        <v>17</v>
      </c>
      <c r="E1625" s="6" t="n">
        <v>1</v>
      </c>
      <c r="F1625" s="6" t="s">
        <v>2448</v>
      </c>
      <c r="G1625" s="28" t="str">
        <f aca="false">IFERROR(INDEX('Semrush Data'!$A$1:$Z$20000,MATCH(A1625,'Semrush Data'!$A$1:$A$20000,0),MATCH("Volume",'Semrush Data'!$A$1:$Z$1,0)),"")</f>
        <v/>
      </c>
      <c r="H1625" s="6" t="str">
        <f aca="false">IFERROR(INDEX('Semrush Data'!$A$1:$Z$20000,MATCH(A1625,'Semrush Data'!$A$1:$A$20000,0),MATCH("Keyword Difficulty*",'Semrush Data'!$A$1:$Z$1,0)),"")</f>
        <v/>
      </c>
      <c r="I1625" s="29" t="str">
        <f aca="false">IFERROR(INDEX('Semrush Data'!$A$1:$Z$20000,MATCH(A1625,'Semrush Data'!$A$1:$A$20000,0),MATCH("CPC*",'Semrush Data'!$A$1:$Z$1,0)),"")</f>
        <v/>
      </c>
      <c r="J1625" s="6" t="str">
        <f aca="false">IFERROR(INDEX('Semrush Data'!$A$1:$Z$20000,MATCH(A1625,'Semrush Data'!$A$1:$A$20000,0),MATCH("Intent",'Semrush Data'!$A$1:$Z$1,0)),"")</f>
        <v/>
      </c>
    </row>
    <row r="1626" customFormat="false" ht="15" hidden="false" customHeight="true" outlineLevel="0" collapsed="false">
      <c r="A1626" s="6" t="s">
        <v>2470</v>
      </c>
      <c r="B1626" s="6" t="s">
        <v>1415</v>
      </c>
      <c r="C1626" s="6" t="n">
        <v>3</v>
      </c>
      <c r="D1626" s="6" t="n">
        <v>17</v>
      </c>
      <c r="E1626" s="6" t="n">
        <v>1</v>
      </c>
      <c r="F1626" s="6" t="s">
        <v>2466</v>
      </c>
      <c r="G1626" s="28" t="str">
        <f aca="false">IFERROR(INDEX('Semrush Data'!$A$1:$Z$20000,MATCH(A1626,'Semrush Data'!$A$1:$A$20000,0),MATCH("Volume",'Semrush Data'!$A$1:$Z$1,0)),"")</f>
        <v/>
      </c>
      <c r="H1626" s="6" t="str">
        <f aca="false">IFERROR(INDEX('Semrush Data'!$A$1:$Z$20000,MATCH(A1626,'Semrush Data'!$A$1:$A$20000,0),MATCH("Keyword Difficulty*",'Semrush Data'!$A$1:$Z$1,0)),"")</f>
        <v/>
      </c>
      <c r="I1626" s="29" t="str">
        <f aca="false">IFERROR(INDEX('Semrush Data'!$A$1:$Z$20000,MATCH(A1626,'Semrush Data'!$A$1:$A$20000,0),MATCH("CPC*",'Semrush Data'!$A$1:$Z$1,0)),"")</f>
        <v/>
      </c>
      <c r="J1626" s="6" t="str">
        <f aca="false">IFERROR(INDEX('Semrush Data'!$A$1:$Z$20000,MATCH(A1626,'Semrush Data'!$A$1:$A$20000,0),MATCH("Intent",'Semrush Data'!$A$1:$Z$1,0)),"")</f>
        <v/>
      </c>
    </row>
    <row r="1627" customFormat="false" ht="15" hidden="false" customHeight="true" outlineLevel="0" collapsed="false">
      <c r="A1627" s="6" t="s">
        <v>2555</v>
      </c>
      <c r="B1627" s="6" t="s">
        <v>1415</v>
      </c>
      <c r="C1627" s="6" t="n">
        <v>3</v>
      </c>
      <c r="D1627" s="6" t="n">
        <v>17</v>
      </c>
      <c r="E1627" s="6" t="n">
        <v>1</v>
      </c>
      <c r="F1627" s="6" t="s">
        <v>2549</v>
      </c>
      <c r="G1627" s="28" t="str">
        <f aca="false">IFERROR(INDEX('Semrush Data'!$A$1:$Z$20000,MATCH(A1627,'Semrush Data'!$A$1:$A$20000,0),MATCH("Volume",'Semrush Data'!$A$1:$Z$1,0)),"")</f>
        <v/>
      </c>
      <c r="H1627" s="6" t="str">
        <f aca="false">IFERROR(INDEX('Semrush Data'!$A$1:$Z$20000,MATCH(A1627,'Semrush Data'!$A$1:$A$20000,0),MATCH("Keyword Difficulty*",'Semrush Data'!$A$1:$Z$1,0)),"")</f>
        <v/>
      </c>
      <c r="I1627" s="29" t="str">
        <f aca="false">IFERROR(INDEX('Semrush Data'!$A$1:$Z$20000,MATCH(A1627,'Semrush Data'!$A$1:$A$20000,0),MATCH("CPC*",'Semrush Data'!$A$1:$Z$1,0)),"")</f>
        <v/>
      </c>
      <c r="J1627" s="6" t="str">
        <f aca="false">IFERROR(INDEX('Semrush Data'!$A$1:$Z$20000,MATCH(A1627,'Semrush Data'!$A$1:$A$20000,0),MATCH("Intent",'Semrush Data'!$A$1:$Z$1,0)),"")</f>
        <v/>
      </c>
    </row>
    <row r="1628" customFormat="false" ht="15" hidden="false" customHeight="true" outlineLevel="0" collapsed="false">
      <c r="A1628" s="6" t="s">
        <v>2497</v>
      </c>
      <c r="B1628" s="6" t="s">
        <v>1415</v>
      </c>
      <c r="C1628" s="6" t="n">
        <v>3</v>
      </c>
      <c r="D1628" s="6" t="n">
        <v>17</v>
      </c>
      <c r="E1628" s="6" t="n">
        <v>1</v>
      </c>
      <c r="F1628" s="6" t="s">
        <v>2492</v>
      </c>
      <c r="G1628" s="28" t="str">
        <f aca="false">IFERROR(INDEX('Semrush Data'!$A$1:$Z$20000,MATCH(A1628,'Semrush Data'!$A$1:$A$20000,0),MATCH("Volume",'Semrush Data'!$A$1:$Z$1,0)),"")</f>
        <v/>
      </c>
      <c r="H1628" s="6" t="str">
        <f aca="false">IFERROR(INDEX('Semrush Data'!$A$1:$Z$20000,MATCH(A1628,'Semrush Data'!$A$1:$A$20000,0),MATCH("Keyword Difficulty*",'Semrush Data'!$A$1:$Z$1,0)),"")</f>
        <v/>
      </c>
      <c r="I1628" s="29" t="str">
        <f aca="false">IFERROR(INDEX('Semrush Data'!$A$1:$Z$20000,MATCH(A1628,'Semrush Data'!$A$1:$A$20000,0),MATCH("CPC*",'Semrush Data'!$A$1:$Z$1,0)),"")</f>
        <v/>
      </c>
      <c r="J1628" s="6" t="str">
        <f aca="false">IFERROR(INDEX('Semrush Data'!$A$1:$Z$20000,MATCH(A1628,'Semrush Data'!$A$1:$A$20000,0),MATCH("Intent",'Semrush Data'!$A$1:$Z$1,0)),"")</f>
        <v/>
      </c>
    </row>
    <row r="1629" customFormat="false" ht="15" hidden="false" customHeight="true" outlineLevel="0" collapsed="false">
      <c r="A1629" s="6" t="s">
        <v>2484</v>
      </c>
      <c r="B1629" s="6" t="s">
        <v>1415</v>
      </c>
      <c r="C1629" s="6" t="n">
        <v>3</v>
      </c>
      <c r="D1629" s="6" t="n">
        <v>17</v>
      </c>
      <c r="E1629" s="6" t="n">
        <v>1</v>
      </c>
      <c r="F1629" s="6" t="s">
        <v>2477</v>
      </c>
      <c r="G1629" s="28" t="str">
        <f aca="false">IFERROR(INDEX('Semrush Data'!$A$1:$Z$20000,MATCH(A1629,'Semrush Data'!$A$1:$A$20000,0),MATCH("Volume",'Semrush Data'!$A$1:$Z$1,0)),"")</f>
        <v/>
      </c>
      <c r="H1629" s="6" t="str">
        <f aca="false">IFERROR(INDEX('Semrush Data'!$A$1:$Z$20000,MATCH(A1629,'Semrush Data'!$A$1:$A$20000,0),MATCH("Keyword Difficulty*",'Semrush Data'!$A$1:$Z$1,0)),"")</f>
        <v/>
      </c>
      <c r="I1629" s="29" t="str">
        <f aca="false">IFERROR(INDEX('Semrush Data'!$A$1:$Z$20000,MATCH(A1629,'Semrush Data'!$A$1:$A$20000,0),MATCH("CPC*",'Semrush Data'!$A$1:$Z$1,0)),"")</f>
        <v/>
      </c>
      <c r="J1629" s="6" t="str">
        <f aca="false">IFERROR(INDEX('Semrush Data'!$A$1:$Z$20000,MATCH(A1629,'Semrush Data'!$A$1:$A$20000,0),MATCH("Intent",'Semrush Data'!$A$1:$Z$1,0)),"")</f>
        <v/>
      </c>
    </row>
    <row r="1630" customFormat="false" ht="15" hidden="false" customHeight="true" outlineLevel="0" collapsed="false">
      <c r="A1630" s="6" t="s">
        <v>2565</v>
      </c>
      <c r="B1630" s="6" t="s">
        <v>1415</v>
      </c>
      <c r="C1630" s="6" t="n">
        <v>3</v>
      </c>
      <c r="D1630" s="6" t="n">
        <v>17</v>
      </c>
      <c r="E1630" s="6" t="n">
        <v>1</v>
      </c>
      <c r="F1630" s="6" t="s">
        <v>2560</v>
      </c>
      <c r="G1630" s="28" t="str">
        <f aca="false">IFERROR(INDEX('Semrush Data'!$A$1:$Z$20000,MATCH(A1630,'Semrush Data'!$A$1:$A$20000,0),MATCH("Volume",'Semrush Data'!$A$1:$Z$1,0)),"")</f>
        <v/>
      </c>
      <c r="H1630" s="6" t="str">
        <f aca="false">IFERROR(INDEX('Semrush Data'!$A$1:$Z$20000,MATCH(A1630,'Semrush Data'!$A$1:$A$20000,0),MATCH("Keyword Difficulty*",'Semrush Data'!$A$1:$Z$1,0)),"")</f>
        <v/>
      </c>
      <c r="I1630" s="29" t="str">
        <f aca="false">IFERROR(INDEX('Semrush Data'!$A$1:$Z$20000,MATCH(A1630,'Semrush Data'!$A$1:$A$20000,0),MATCH("CPC*",'Semrush Data'!$A$1:$Z$1,0)),"")</f>
        <v/>
      </c>
      <c r="J1630" s="6" t="str">
        <f aca="false">IFERROR(INDEX('Semrush Data'!$A$1:$Z$20000,MATCH(A1630,'Semrush Data'!$A$1:$A$20000,0),MATCH("Intent",'Semrush Data'!$A$1:$Z$1,0)),"")</f>
        <v/>
      </c>
    </row>
    <row r="1631" customFormat="false" ht="15" hidden="false" customHeight="true" outlineLevel="0" collapsed="false">
      <c r="A1631" s="6" t="s">
        <v>2508</v>
      </c>
      <c r="B1631" s="6" t="s">
        <v>1415</v>
      </c>
      <c r="C1631" s="6" t="n">
        <v>3</v>
      </c>
      <c r="D1631" s="6" t="n">
        <v>17</v>
      </c>
      <c r="E1631" s="6" t="n">
        <v>1</v>
      </c>
      <c r="F1631" s="6" t="s">
        <v>2503</v>
      </c>
      <c r="G1631" s="28" t="str">
        <f aca="false">IFERROR(INDEX('Semrush Data'!$A$1:$Z$20000,MATCH(A1631,'Semrush Data'!$A$1:$A$20000,0),MATCH("Volume",'Semrush Data'!$A$1:$Z$1,0)),"")</f>
        <v/>
      </c>
      <c r="H1631" s="6" t="str">
        <f aca="false">IFERROR(INDEX('Semrush Data'!$A$1:$Z$20000,MATCH(A1631,'Semrush Data'!$A$1:$A$20000,0),MATCH("Keyword Difficulty*",'Semrush Data'!$A$1:$Z$1,0)),"")</f>
        <v/>
      </c>
      <c r="I1631" s="29" t="str">
        <f aca="false">IFERROR(INDEX('Semrush Data'!$A$1:$Z$20000,MATCH(A1631,'Semrush Data'!$A$1:$A$20000,0),MATCH("CPC*",'Semrush Data'!$A$1:$Z$1,0)),"")</f>
        <v/>
      </c>
      <c r="J1631" s="6" t="str">
        <f aca="false">IFERROR(INDEX('Semrush Data'!$A$1:$Z$20000,MATCH(A1631,'Semrush Data'!$A$1:$A$20000,0),MATCH("Intent",'Semrush Data'!$A$1:$Z$1,0)),"")</f>
        <v/>
      </c>
    </row>
    <row r="1632" customFormat="false" ht="15" hidden="false" customHeight="true" outlineLevel="0" collapsed="false">
      <c r="A1632" s="6" t="s">
        <v>2519</v>
      </c>
      <c r="B1632" s="6" t="s">
        <v>1415</v>
      </c>
      <c r="C1632" s="6" t="n">
        <v>3</v>
      </c>
      <c r="D1632" s="6" t="n">
        <v>17</v>
      </c>
      <c r="E1632" s="6" t="n">
        <v>1</v>
      </c>
      <c r="F1632" s="6" t="s">
        <v>141</v>
      </c>
      <c r="G1632" s="28" t="str">
        <f aca="false">IFERROR(INDEX('Semrush Data'!$A$1:$Z$20000,MATCH(A1632,'Semrush Data'!$A$1:$A$20000,0),MATCH("Volume",'Semrush Data'!$A$1:$Z$1,0)),"")</f>
        <v/>
      </c>
      <c r="H1632" s="6" t="str">
        <f aca="false">IFERROR(INDEX('Semrush Data'!$A$1:$Z$20000,MATCH(A1632,'Semrush Data'!$A$1:$A$20000,0),MATCH("Keyword Difficulty*",'Semrush Data'!$A$1:$Z$1,0)),"")</f>
        <v/>
      </c>
      <c r="I1632" s="29" t="str">
        <f aca="false">IFERROR(INDEX('Semrush Data'!$A$1:$Z$20000,MATCH(A1632,'Semrush Data'!$A$1:$A$20000,0),MATCH("CPC*",'Semrush Data'!$A$1:$Z$1,0)),"")</f>
        <v/>
      </c>
      <c r="J1632" s="6" t="str">
        <f aca="false">IFERROR(INDEX('Semrush Data'!$A$1:$Z$20000,MATCH(A1632,'Semrush Data'!$A$1:$A$20000,0),MATCH("Intent",'Semrush Data'!$A$1:$Z$1,0)),"")</f>
        <v/>
      </c>
    </row>
    <row r="1633" customFormat="false" ht="15" hidden="false" customHeight="true" outlineLevel="0" collapsed="false">
      <c r="A1633" s="6" t="s">
        <v>2530</v>
      </c>
      <c r="B1633" s="6" t="s">
        <v>1415</v>
      </c>
      <c r="C1633" s="6" t="n">
        <v>3</v>
      </c>
      <c r="D1633" s="6" t="n">
        <v>17</v>
      </c>
      <c r="E1633" s="6" t="n">
        <v>1</v>
      </c>
      <c r="F1633" s="6" t="s">
        <v>135</v>
      </c>
      <c r="G1633" s="28" t="str">
        <f aca="false">IFERROR(INDEX('Semrush Data'!$A$1:$Z$20000,MATCH(A1633,'Semrush Data'!$A$1:$A$20000,0),MATCH("Volume",'Semrush Data'!$A$1:$Z$1,0)),"")</f>
        <v/>
      </c>
      <c r="H1633" s="6" t="str">
        <f aca="false">IFERROR(INDEX('Semrush Data'!$A$1:$Z$20000,MATCH(A1633,'Semrush Data'!$A$1:$A$20000,0),MATCH("Keyword Difficulty*",'Semrush Data'!$A$1:$Z$1,0)),"")</f>
        <v/>
      </c>
      <c r="I1633" s="29" t="str">
        <f aca="false">IFERROR(INDEX('Semrush Data'!$A$1:$Z$20000,MATCH(A1633,'Semrush Data'!$A$1:$A$20000,0),MATCH("CPC*",'Semrush Data'!$A$1:$Z$1,0)),"")</f>
        <v/>
      </c>
      <c r="J1633" s="6" t="str">
        <f aca="false">IFERROR(INDEX('Semrush Data'!$A$1:$Z$20000,MATCH(A1633,'Semrush Data'!$A$1:$A$20000,0),MATCH("Intent",'Semrush Data'!$A$1:$Z$1,0)),"")</f>
        <v/>
      </c>
    </row>
    <row r="1634" customFormat="false" ht="15" hidden="false" customHeight="true" outlineLevel="0" collapsed="false">
      <c r="A1634" s="6" t="s">
        <v>2541</v>
      </c>
      <c r="B1634" s="6" t="s">
        <v>1415</v>
      </c>
      <c r="C1634" s="6" t="n">
        <v>3</v>
      </c>
      <c r="D1634" s="6" t="n">
        <v>17</v>
      </c>
      <c r="E1634" s="6" t="n">
        <v>1</v>
      </c>
      <c r="F1634" s="6" t="s">
        <v>117</v>
      </c>
      <c r="G1634" s="28" t="str">
        <f aca="false">IFERROR(INDEX('Semrush Data'!$A$1:$Z$20000,MATCH(A1634,'Semrush Data'!$A$1:$A$20000,0),MATCH("Volume",'Semrush Data'!$A$1:$Z$1,0)),"")</f>
        <v/>
      </c>
      <c r="H1634" s="6" t="str">
        <f aca="false">IFERROR(INDEX('Semrush Data'!$A$1:$Z$20000,MATCH(A1634,'Semrush Data'!$A$1:$A$20000,0),MATCH("Keyword Difficulty*",'Semrush Data'!$A$1:$Z$1,0)),"")</f>
        <v/>
      </c>
      <c r="I1634" s="29" t="str">
        <f aca="false">IFERROR(INDEX('Semrush Data'!$A$1:$Z$20000,MATCH(A1634,'Semrush Data'!$A$1:$A$20000,0),MATCH("CPC*",'Semrush Data'!$A$1:$Z$1,0)),"")</f>
        <v/>
      </c>
      <c r="J1634" s="6" t="str">
        <f aca="false">IFERROR(INDEX('Semrush Data'!$A$1:$Z$20000,MATCH(A1634,'Semrush Data'!$A$1:$A$20000,0),MATCH("Intent",'Semrush Data'!$A$1:$Z$1,0)),"")</f>
        <v/>
      </c>
    </row>
    <row r="1635" customFormat="false" ht="15" hidden="false" customHeight="true" outlineLevel="0" collapsed="false">
      <c r="A1635" s="6" t="s">
        <v>5935</v>
      </c>
      <c r="B1635" s="6" t="s">
        <v>1415</v>
      </c>
      <c r="C1635" s="6" t="n">
        <v>3</v>
      </c>
      <c r="D1635" s="6" t="n">
        <v>17</v>
      </c>
      <c r="E1635" s="6" t="n">
        <v>1</v>
      </c>
      <c r="F1635" s="6" t="s">
        <v>103</v>
      </c>
      <c r="G1635" s="28" t="str">
        <f aca="false">IFERROR(INDEX('Semrush Data'!$A$1:$Z$20000,MATCH(A1635,'Semrush Data'!$A$1:$A$20000,0),MATCH("Volume",'Semrush Data'!$A$1:$Z$1,0)),"")</f>
        <v/>
      </c>
      <c r="H1635" s="6" t="str">
        <f aca="false">IFERROR(INDEX('Semrush Data'!$A$1:$Z$20000,MATCH(A1635,'Semrush Data'!$A$1:$A$20000,0),MATCH("Keyword Difficulty*",'Semrush Data'!$A$1:$Z$1,0)),"")</f>
        <v/>
      </c>
      <c r="I1635" s="29" t="str">
        <f aca="false">IFERROR(INDEX('Semrush Data'!$A$1:$Z$20000,MATCH(A1635,'Semrush Data'!$A$1:$A$20000,0),MATCH("CPC*",'Semrush Data'!$A$1:$Z$1,0)),"")</f>
        <v/>
      </c>
      <c r="J1635" s="6" t="str">
        <f aca="false">IFERROR(INDEX('Semrush Data'!$A$1:$Z$20000,MATCH(A1635,'Semrush Data'!$A$1:$A$20000,0),MATCH("Intent",'Semrush Data'!$A$1:$Z$1,0)),"")</f>
        <v/>
      </c>
    </row>
    <row r="1636" customFormat="false" ht="15" hidden="false" customHeight="true" outlineLevel="0" collapsed="false">
      <c r="A1636" s="6" t="s">
        <v>2574</v>
      </c>
      <c r="B1636" s="6" t="s">
        <v>1415</v>
      </c>
      <c r="C1636" s="6" t="n">
        <v>3</v>
      </c>
      <c r="D1636" s="6" t="n">
        <v>17</v>
      </c>
      <c r="E1636" s="6" t="n">
        <v>1</v>
      </c>
      <c r="F1636" s="6" t="s">
        <v>2569</v>
      </c>
      <c r="G1636" s="28" t="str">
        <f aca="false">IFERROR(INDEX('Semrush Data'!$A$1:$Z$20000,MATCH(A1636,'Semrush Data'!$A$1:$A$20000,0),MATCH("Volume",'Semrush Data'!$A$1:$Z$1,0)),"")</f>
        <v/>
      </c>
      <c r="H1636" s="6" t="str">
        <f aca="false">IFERROR(INDEX('Semrush Data'!$A$1:$Z$20000,MATCH(A1636,'Semrush Data'!$A$1:$A$20000,0),MATCH("Keyword Difficulty*",'Semrush Data'!$A$1:$Z$1,0)),"")</f>
        <v/>
      </c>
      <c r="I1636" s="29" t="str">
        <f aca="false">IFERROR(INDEX('Semrush Data'!$A$1:$Z$20000,MATCH(A1636,'Semrush Data'!$A$1:$A$20000,0),MATCH("CPC*",'Semrush Data'!$A$1:$Z$1,0)),"")</f>
        <v/>
      </c>
      <c r="J1636" s="6" t="str">
        <f aca="false">IFERROR(INDEX('Semrush Data'!$A$1:$Z$20000,MATCH(A1636,'Semrush Data'!$A$1:$A$20000,0),MATCH("Intent",'Semrush Data'!$A$1:$Z$1,0)),"")</f>
        <v/>
      </c>
    </row>
    <row r="1637" customFormat="false" ht="15" hidden="false" customHeight="true" outlineLevel="0" collapsed="false">
      <c r="A1637" s="6" t="s">
        <v>2587</v>
      </c>
      <c r="B1637" s="6" t="s">
        <v>1415</v>
      </c>
      <c r="C1637" s="6" t="n">
        <v>3</v>
      </c>
      <c r="D1637" s="6" t="n">
        <v>17</v>
      </c>
      <c r="E1637" s="6" t="n">
        <v>1</v>
      </c>
      <c r="F1637" s="6" t="s">
        <v>2582</v>
      </c>
      <c r="G1637" s="28" t="str">
        <f aca="false">IFERROR(INDEX('Semrush Data'!$A$1:$Z$20000,MATCH(A1637,'Semrush Data'!$A$1:$A$20000,0),MATCH("Volume",'Semrush Data'!$A$1:$Z$1,0)),"")</f>
        <v/>
      </c>
      <c r="H1637" s="6" t="str">
        <f aca="false">IFERROR(INDEX('Semrush Data'!$A$1:$Z$20000,MATCH(A1637,'Semrush Data'!$A$1:$A$20000,0),MATCH("Keyword Difficulty*",'Semrush Data'!$A$1:$Z$1,0)),"")</f>
        <v/>
      </c>
      <c r="I1637" s="29" t="str">
        <f aca="false">IFERROR(INDEX('Semrush Data'!$A$1:$Z$20000,MATCH(A1637,'Semrush Data'!$A$1:$A$20000,0),MATCH("CPC*",'Semrush Data'!$A$1:$Z$1,0)),"")</f>
        <v/>
      </c>
      <c r="J1637" s="6" t="str">
        <f aca="false">IFERROR(INDEX('Semrush Data'!$A$1:$Z$20000,MATCH(A1637,'Semrush Data'!$A$1:$A$20000,0),MATCH("Intent",'Semrush Data'!$A$1:$Z$1,0)),"")</f>
        <v/>
      </c>
    </row>
    <row r="1638" customFormat="false" ht="15" hidden="false" customHeight="true" outlineLevel="0" collapsed="false">
      <c r="A1638" s="6" t="s">
        <v>2600</v>
      </c>
      <c r="B1638" s="6" t="s">
        <v>1415</v>
      </c>
      <c r="C1638" s="6" t="n">
        <v>3</v>
      </c>
      <c r="D1638" s="6" t="n">
        <v>17</v>
      </c>
      <c r="E1638" s="6" t="n">
        <v>1</v>
      </c>
      <c r="F1638" s="6" t="s">
        <v>2595</v>
      </c>
      <c r="G1638" s="28" t="str">
        <f aca="false">IFERROR(INDEX('Semrush Data'!$A$1:$Z$20000,MATCH(A1638,'Semrush Data'!$A$1:$A$20000,0),MATCH("Volume",'Semrush Data'!$A$1:$Z$1,0)),"")</f>
        <v/>
      </c>
      <c r="H1638" s="6" t="str">
        <f aca="false">IFERROR(INDEX('Semrush Data'!$A$1:$Z$20000,MATCH(A1638,'Semrush Data'!$A$1:$A$20000,0),MATCH("Keyword Difficulty*",'Semrush Data'!$A$1:$Z$1,0)),"")</f>
        <v/>
      </c>
      <c r="I1638" s="29" t="str">
        <f aca="false">IFERROR(INDEX('Semrush Data'!$A$1:$Z$20000,MATCH(A1638,'Semrush Data'!$A$1:$A$20000,0),MATCH("CPC*",'Semrush Data'!$A$1:$Z$1,0)),"")</f>
        <v/>
      </c>
      <c r="J1638" s="6" t="str">
        <f aca="false">IFERROR(INDEX('Semrush Data'!$A$1:$Z$20000,MATCH(A1638,'Semrush Data'!$A$1:$A$20000,0),MATCH("Intent",'Semrush Data'!$A$1:$Z$1,0)),"")</f>
        <v/>
      </c>
    </row>
    <row r="1639" customFormat="false" ht="15" hidden="false" customHeight="true" outlineLevel="0" collapsed="false">
      <c r="A1639" s="6" t="s">
        <v>2612</v>
      </c>
      <c r="B1639" s="6" t="s">
        <v>1415</v>
      </c>
      <c r="C1639" s="6" t="n">
        <v>3</v>
      </c>
      <c r="D1639" s="6" t="n">
        <v>17</v>
      </c>
      <c r="E1639" s="6" t="n">
        <v>1</v>
      </c>
      <c r="F1639" s="6" t="s">
        <v>2607</v>
      </c>
      <c r="G1639" s="28" t="str">
        <f aca="false">IFERROR(INDEX('Semrush Data'!$A$1:$Z$20000,MATCH(A1639,'Semrush Data'!$A$1:$A$20000,0),MATCH("Volume",'Semrush Data'!$A$1:$Z$1,0)),"")</f>
        <v/>
      </c>
      <c r="H1639" s="6" t="str">
        <f aca="false">IFERROR(INDEX('Semrush Data'!$A$1:$Z$20000,MATCH(A1639,'Semrush Data'!$A$1:$A$20000,0),MATCH("Keyword Difficulty*",'Semrush Data'!$A$1:$Z$1,0)),"")</f>
        <v/>
      </c>
      <c r="I1639" s="29" t="str">
        <f aca="false">IFERROR(INDEX('Semrush Data'!$A$1:$Z$20000,MATCH(A1639,'Semrush Data'!$A$1:$A$20000,0),MATCH("CPC*",'Semrush Data'!$A$1:$Z$1,0)),"")</f>
        <v/>
      </c>
      <c r="J1639" s="6" t="str">
        <f aca="false">IFERROR(INDEX('Semrush Data'!$A$1:$Z$20000,MATCH(A1639,'Semrush Data'!$A$1:$A$20000,0),MATCH("Intent",'Semrush Data'!$A$1:$Z$1,0)),"")</f>
        <v/>
      </c>
    </row>
    <row r="1640" customFormat="false" ht="15" hidden="false" customHeight="true" outlineLevel="0" collapsed="false">
      <c r="A1640" s="6" t="s">
        <v>2739</v>
      </c>
      <c r="B1640" s="6" t="s">
        <v>1415</v>
      </c>
      <c r="C1640" s="6" t="n">
        <v>3</v>
      </c>
      <c r="D1640" s="6" t="n">
        <v>17</v>
      </c>
      <c r="E1640" s="6" t="n">
        <v>1</v>
      </c>
      <c r="F1640" s="6" t="s">
        <v>2734</v>
      </c>
      <c r="G1640" s="28" t="str">
        <f aca="false">IFERROR(INDEX('Semrush Data'!$A$1:$Z$20000,MATCH(A1640,'Semrush Data'!$A$1:$A$20000,0),MATCH("Volume",'Semrush Data'!$A$1:$Z$1,0)),"")</f>
        <v/>
      </c>
      <c r="H1640" s="6" t="str">
        <f aca="false">IFERROR(INDEX('Semrush Data'!$A$1:$Z$20000,MATCH(A1640,'Semrush Data'!$A$1:$A$20000,0),MATCH("Keyword Difficulty*",'Semrush Data'!$A$1:$Z$1,0)),"")</f>
        <v/>
      </c>
      <c r="I1640" s="29" t="str">
        <f aca="false">IFERROR(INDEX('Semrush Data'!$A$1:$Z$20000,MATCH(A1640,'Semrush Data'!$A$1:$A$20000,0),MATCH("CPC*",'Semrush Data'!$A$1:$Z$1,0)),"")</f>
        <v/>
      </c>
      <c r="J1640" s="6" t="str">
        <f aca="false">IFERROR(INDEX('Semrush Data'!$A$1:$Z$20000,MATCH(A1640,'Semrush Data'!$A$1:$A$20000,0),MATCH("Intent",'Semrush Data'!$A$1:$Z$1,0)),"")</f>
        <v/>
      </c>
    </row>
    <row r="1641" customFormat="false" ht="15" hidden="false" customHeight="true" outlineLevel="0" collapsed="false">
      <c r="A1641" s="6" t="s">
        <v>2630</v>
      </c>
      <c r="B1641" s="6" t="s">
        <v>1415</v>
      </c>
      <c r="C1641" s="6" t="n">
        <v>3</v>
      </c>
      <c r="D1641" s="6" t="n">
        <v>17</v>
      </c>
      <c r="E1641" s="6" t="n">
        <v>1</v>
      </c>
      <c r="F1641" s="6" t="s">
        <v>109</v>
      </c>
      <c r="G1641" s="28" t="str">
        <f aca="false">IFERROR(INDEX('Semrush Data'!$A$1:$Z$20000,MATCH(A1641,'Semrush Data'!$A$1:$A$20000,0),MATCH("Volume",'Semrush Data'!$A$1:$Z$1,0)),"")</f>
        <v/>
      </c>
      <c r="H1641" s="6" t="str">
        <f aca="false">IFERROR(INDEX('Semrush Data'!$A$1:$Z$20000,MATCH(A1641,'Semrush Data'!$A$1:$A$20000,0),MATCH("Keyword Difficulty*",'Semrush Data'!$A$1:$Z$1,0)),"")</f>
        <v/>
      </c>
      <c r="I1641" s="29" t="str">
        <f aca="false">IFERROR(INDEX('Semrush Data'!$A$1:$Z$20000,MATCH(A1641,'Semrush Data'!$A$1:$A$20000,0),MATCH("CPC*",'Semrush Data'!$A$1:$Z$1,0)),"")</f>
        <v/>
      </c>
      <c r="J1641" s="6" t="str">
        <f aca="false">IFERROR(INDEX('Semrush Data'!$A$1:$Z$20000,MATCH(A1641,'Semrush Data'!$A$1:$A$20000,0),MATCH("Intent",'Semrush Data'!$A$1:$Z$1,0)),"")</f>
        <v/>
      </c>
    </row>
    <row r="1642" customFormat="false" ht="15" hidden="false" customHeight="true" outlineLevel="0" collapsed="false">
      <c r="A1642" s="6" t="s">
        <v>2622</v>
      </c>
      <c r="B1642" s="6" t="s">
        <v>1415</v>
      </c>
      <c r="C1642" s="6" t="n">
        <v>3</v>
      </c>
      <c r="D1642" s="6" t="s">
        <v>6870</v>
      </c>
      <c r="E1642" s="6" t="n">
        <v>1</v>
      </c>
      <c r="F1642" s="6" t="s">
        <v>75</v>
      </c>
      <c r="G1642" s="28" t="n">
        <f aca="false">IFERROR(INDEX('Semrush Data'!$A$1:$Z$20000,MATCH(A1642,'Semrush Data'!$A$1:$A$20000,0),MATCH("Volume",'Semrush Data'!$A$1:$Z$1,0)),"")</f>
        <v>0</v>
      </c>
      <c r="H1642" s="6" t="n">
        <f aca="false">IFERROR(INDEX('Semrush Data'!$A$1:$Z$20000,MATCH(A1642,'Semrush Data'!$A$1:$A$20000,0),MATCH("Keyword Difficulty*",'Semrush Data'!$A$1:$Z$1,0)),"")</f>
        <v>10</v>
      </c>
      <c r="I1642" s="29" t="n">
        <f aca="false">IFERROR(INDEX('Semrush Data'!$A$1:$Z$20000,MATCH(A1642,'Semrush Data'!$A$1:$A$20000,0),MATCH("CPC*",'Semrush Data'!$A$1:$Z$1,0)),"")</f>
        <v>0</v>
      </c>
      <c r="J1642" s="6" t="str">
        <f aca="false">IFERROR(INDEX('Semrush Data'!$A$1:$Z$20000,MATCH(A1642,'Semrush Data'!$A$1:$A$20000,0),MATCH("Intent",'Semrush Data'!$A$1:$Z$1,0)),"")</f>
        <v>Transactional</v>
      </c>
    </row>
    <row r="1643" customFormat="false" ht="15" hidden="false" customHeight="true" outlineLevel="0" collapsed="false">
      <c r="A1643" s="6" t="s">
        <v>2641</v>
      </c>
      <c r="B1643" s="6" t="s">
        <v>1415</v>
      </c>
      <c r="C1643" s="6" t="n">
        <v>3</v>
      </c>
      <c r="D1643" s="6" t="n">
        <v>17</v>
      </c>
      <c r="E1643" s="6" t="n">
        <v>1</v>
      </c>
      <c r="F1643" s="6" t="s">
        <v>2637</v>
      </c>
      <c r="G1643" s="28" t="str">
        <f aca="false">IFERROR(INDEX('Semrush Data'!$A$1:$Z$20000,MATCH(A1643,'Semrush Data'!$A$1:$A$20000,0),MATCH("Volume",'Semrush Data'!$A$1:$Z$1,0)),"")</f>
        <v/>
      </c>
      <c r="H1643" s="6" t="str">
        <f aca="false">IFERROR(INDEX('Semrush Data'!$A$1:$Z$20000,MATCH(A1643,'Semrush Data'!$A$1:$A$20000,0),MATCH("Keyword Difficulty*",'Semrush Data'!$A$1:$Z$1,0)),"")</f>
        <v/>
      </c>
      <c r="I1643" s="29" t="str">
        <f aca="false">IFERROR(INDEX('Semrush Data'!$A$1:$Z$20000,MATCH(A1643,'Semrush Data'!$A$1:$A$20000,0),MATCH("CPC*",'Semrush Data'!$A$1:$Z$1,0)),"")</f>
        <v/>
      </c>
      <c r="J1643" s="6" t="str">
        <f aca="false">IFERROR(INDEX('Semrush Data'!$A$1:$Z$20000,MATCH(A1643,'Semrush Data'!$A$1:$A$20000,0),MATCH("Intent",'Semrush Data'!$A$1:$Z$1,0)),"")</f>
        <v/>
      </c>
    </row>
    <row r="1644" customFormat="false" ht="15" hidden="false" customHeight="true" outlineLevel="0" collapsed="false">
      <c r="A1644" s="6" t="s">
        <v>2651</v>
      </c>
      <c r="B1644" s="6" t="s">
        <v>1415</v>
      </c>
      <c r="C1644" s="6" t="n">
        <v>3</v>
      </c>
      <c r="D1644" s="6" t="n">
        <v>17</v>
      </c>
      <c r="E1644" s="6" t="n">
        <v>1</v>
      </c>
      <c r="F1644" s="6" t="s">
        <v>119</v>
      </c>
      <c r="G1644" s="28" t="str">
        <f aca="false">IFERROR(INDEX('Semrush Data'!$A$1:$Z$20000,MATCH(A1644,'Semrush Data'!$A$1:$A$20000,0),MATCH("Volume",'Semrush Data'!$A$1:$Z$1,0)),"")</f>
        <v/>
      </c>
      <c r="H1644" s="6" t="str">
        <f aca="false">IFERROR(INDEX('Semrush Data'!$A$1:$Z$20000,MATCH(A1644,'Semrush Data'!$A$1:$A$20000,0),MATCH("Keyword Difficulty*",'Semrush Data'!$A$1:$Z$1,0)),"")</f>
        <v/>
      </c>
      <c r="I1644" s="29" t="str">
        <f aca="false">IFERROR(INDEX('Semrush Data'!$A$1:$Z$20000,MATCH(A1644,'Semrush Data'!$A$1:$A$20000,0),MATCH("CPC*",'Semrush Data'!$A$1:$Z$1,0)),"")</f>
        <v/>
      </c>
      <c r="J1644" s="6" t="str">
        <f aca="false">IFERROR(INDEX('Semrush Data'!$A$1:$Z$20000,MATCH(A1644,'Semrush Data'!$A$1:$A$20000,0),MATCH("Intent",'Semrush Data'!$A$1:$Z$1,0)),"")</f>
        <v/>
      </c>
    </row>
    <row r="1645" customFormat="false" ht="15" hidden="false" customHeight="true" outlineLevel="0" collapsed="false">
      <c r="A1645" s="6" t="s">
        <v>2662</v>
      </c>
      <c r="B1645" s="6" t="s">
        <v>1415</v>
      </c>
      <c r="C1645" s="6" t="n">
        <v>3</v>
      </c>
      <c r="D1645" s="6" t="n">
        <v>17</v>
      </c>
      <c r="E1645" s="6" t="n">
        <v>1</v>
      </c>
      <c r="F1645" s="6" t="s">
        <v>2658</v>
      </c>
      <c r="G1645" s="28" t="str">
        <f aca="false">IFERROR(INDEX('Semrush Data'!$A$1:$Z$20000,MATCH(A1645,'Semrush Data'!$A$1:$A$20000,0),MATCH("Volume",'Semrush Data'!$A$1:$Z$1,0)),"")</f>
        <v/>
      </c>
      <c r="H1645" s="6" t="str">
        <f aca="false">IFERROR(INDEX('Semrush Data'!$A$1:$Z$20000,MATCH(A1645,'Semrush Data'!$A$1:$A$20000,0),MATCH("Keyword Difficulty*",'Semrush Data'!$A$1:$Z$1,0)),"")</f>
        <v/>
      </c>
      <c r="I1645" s="29" t="str">
        <f aca="false">IFERROR(INDEX('Semrush Data'!$A$1:$Z$20000,MATCH(A1645,'Semrush Data'!$A$1:$A$20000,0),MATCH("CPC*",'Semrush Data'!$A$1:$Z$1,0)),"")</f>
        <v/>
      </c>
      <c r="J1645" s="6" t="str">
        <f aca="false">IFERROR(INDEX('Semrush Data'!$A$1:$Z$20000,MATCH(A1645,'Semrush Data'!$A$1:$A$20000,0),MATCH("Intent",'Semrush Data'!$A$1:$Z$1,0)),"")</f>
        <v/>
      </c>
    </row>
    <row r="1646" customFormat="false" ht="15" hidden="false" customHeight="true" outlineLevel="0" collapsed="false">
      <c r="A1646" s="6" t="s">
        <v>2674</v>
      </c>
      <c r="B1646" s="6" t="s">
        <v>1415</v>
      </c>
      <c r="C1646" s="6" t="n">
        <v>3</v>
      </c>
      <c r="D1646" s="6" t="n">
        <v>17</v>
      </c>
      <c r="E1646" s="6" t="n">
        <v>1</v>
      </c>
      <c r="F1646" s="6" t="s">
        <v>2670</v>
      </c>
      <c r="G1646" s="28" t="str">
        <f aca="false">IFERROR(INDEX('Semrush Data'!$A$1:$Z$20000,MATCH(A1646,'Semrush Data'!$A$1:$A$20000,0),MATCH("Volume",'Semrush Data'!$A$1:$Z$1,0)),"")</f>
        <v/>
      </c>
      <c r="H1646" s="6" t="str">
        <f aca="false">IFERROR(INDEX('Semrush Data'!$A$1:$Z$20000,MATCH(A1646,'Semrush Data'!$A$1:$A$20000,0),MATCH("Keyword Difficulty*",'Semrush Data'!$A$1:$Z$1,0)),"")</f>
        <v/>
      </c>
      <c r="I1646" s="29" t="str">
        <f aca="false">IFERROR(INDEX('Semrush Data'!$A$1:$Z$20000,MATCH(A1646,'Semrush Data'!$A$1:$A$20000,0),MATCH("CPC*",'Semrush Data'!$A$1:$Z$1,0)),"")</f>
        <v/>
      </c>
      <c r="J1646" s="6" t="str">
        <f aca="false">IFERROR(INDEX('Semrush Data'!$A$1:$Z$20000,MATCH(A1646,'Semrush Data'!$A$1:$A$20000,0),MATCH("Intent",'Semrush Data'!$A$1:$Z$1,0)),"")</f>
        <v/>
      </c>
    </row>
    <row r="1647" customFormat="false" ht="15" hidden="false" customHeight="true" outlineLevel="0" collapsed="false">
      <c r="A1647" s="6" t="s">
        <v>2685</v>
      </c>
      <c r="B1647" s="6" t="s">
        <v>1415</v>
      </c>
      <c r="C1647" s="6" t="n">
        <v>3</v>
      </c>
      <c r="D1647" s="6" t="n">
        <v>17</v>
      </c>
      <c r="E1647" s="6" t="n">
        <v>1</v>
      </c>
      <c r="F1647" s="6" t="s">
        <v>2681</v>
      </c>
      <c r="G1647" s="28" t="str">
        <f aca="false">IFERROR(INDEX('Semrush Data'!$A$1:$Z$20000,MATCH(A1647,'Semrush Data'!$A$1:$A$20000,0),MATCH("Volume",'Semrush Data'!$A$1:$Z$1,0)),"")</f>
        <v/>
      </c>
      <c r="H1647" s="6" t="str">
        <f aca="false">IFERROR(INDEX('Semrush Data'!$A$1:$Z$20000,MATCH(A1647,'Semrush Data'!$A$1:$A$20000,0),MATCH("Keyword Difficulty*",'Semrush Data'!$A$1:$Z$1,0)),"")</f>
        <v/>
      </c>
      <c r="I1647" s="29" t="str">
        <f aca="false">IFERROR(INDEX('Semrush Data'!$A$1:$Z$20000,MATCH(A1647,'Semrush Data'!$A$1:$A$20000,0),MATCH("CPC*",'Semrush Data'!$A$1:$Z$1,0)),"")</f>
        <v/>
      </c>
      <c r="J1647" s="6" t="str">
        <f aca="false">IFERROR(INDEX('Semrush Data'!$A$1:$Z$20000,MATCH(A1647,'Semrush Data'!$A$1:$A$20000,0),MATCH("Intent",'Semrush Data'!$A$1:$Z$1,0)),"")</f>
        <v/>
      </c>
    </row>
    <row r="1648" customFormat="false" ht="15" hidden="false" customHeight="true" outlineLevel="0" collapsed="false">
      <c r="A1648" s="6" t="s">
        <v>2705</v>
      </c>
      <c r="B1648" s="6" t="s">
        <v>1415</v>
      </c>
      <c r="C1648" s="6" t="n">
        <v>3</v>
      </c>
      <c r="D1648" s="6" t="n">
        <v>17</v>
      </c>
      <c r="E1648" s="6" t="n">
        <v>1</v>
      </c>
      <c r="F1648" s="6" t="s">
        <v>2701</v>
      </c>
      <c r="G1648" s="28" t="str">
        <f aca="false">IFERROR(INDEX('Semrush Data'!$A$1:$Z$20000,MATCH(A1648,'Semrush Data'!$A$1:$A$20000,0),MATCH("Volume",'Semrush Data'!$A$1:$Z$1,0)),"")</f>
        <v/>
      </c>
      <c r="H1648" s="6" t="str">
        <f aca="false">IFERROR(INDEX('Semrush Data'!$A$1:$Z$20000,MATCH(A1648,'Semrush Data'!$A$1:$A$20000,0),MATCH("Keyword Difficulty*",'Semrush Data'!$A$1:$Z$1,0)),"")</f>
        <v/>
      </c>
      <c r="I1648" s="29" t="str">
        <f aca="false">IFERROR(INDEX('Semrush Data'!$A$1:$Z$20000,MATCH(A1648,'Semrush Data'!$A$1:$A$20000,0),MATCH("CPC*",'Semrush Data'!$A$1:$Z$1,0)),"")</f>
        <v/>
      </c>
      <c r="J1648" s="6" t="str">
        <f aca="false">IFERROR(INDEX('Semrush Data'!$A$1:$Z$20000,MATCH(A1648,'Semrush Data'!$A$1:$A$20000,0),MATCH("Intent",'Semrush Data'!$A$1:$Z$1,0)),"")</f>
        <v/>
      </c>
    </row>
    <row r="1649" customFormat="false" ht="15" hidden="false" customHeight="true" outlineLevel="0" collapsed="false">
      <c r="A1649" s="6" t="s">
        <v>2716</v>
      </c>
      <c r="B1649" s="6" t="s">
        <v>1415</v>
      </c>
      <c r="C1649" s="6" t="n">
        <v>3</v>
      </c>
      <c r="D1649" s="6" t="n">
        <v>17</v>
      </c>
      <c r="E1649" s="6" t="n">
        <v>1</v>
      </c>
      <c r="F1649" s="6" t="s">
        <v>2712</v>
      </c>
      <c r="G1649" s="28" t="str">
        <f aca="false">IFERROR(INDEX('Semrush Data'!$A$1:$Z$20000,MATCH(A1649,'Semrush Data'!$A$1:$A$20000,0),MATCH("Volume",'Semrush Data'!$A$1:$Z$1,0)),"")</f>
        <v/>
      </c>
      <c r="H1649" s="6" t="str">
        <f aca="false">IFERROR(INDEX('Semrush Data'!$A$1:$Z$20000,MATCH(A1649,'Semrush Data'!$A$1:$A$20000,0),MATCH("Keyword Difficulty*",'Semrush Data'!$A$1:$Z$1,0)),"")</f>
        <v/>
      </c>
      <c r="I1649" s="29" t="str">
        <f aca="false">IFERROR(INDEX('Semrush Data'!$A$1:$Z$20000,MATCH(A1649,'Semrush Data'!$A$1:$A$20000,0),MATCH("CPC*",'Semrush Data'!$A$1:$Z$1,0)),"")</f>
        <v/>
      </c>
      <c r="J1649" s="6" t="str">
        <f aca="false">IFERROR(INDEX('Semrush Data'!$A$1:$Z$20000,MATCH(A1649,'Semrush Data'!$A$1:$A$20000,0),MATCH("Intent",'Semrush Data'!$A$1:$Z$1,0)),"")</f>
        <v/>
      </c>
    </row>
    <row r="1650" customFormat="false" ht="15" hidden="false" customHeight="true" outlineLevel="0" collapsed="false">
      <c r="A1650" s="6" t="s">
        <v>2727</v>
      </c>
      <c r="B1650" s="6" t="s">
        <v>1415</v>
      </c>
      <c r="C1650" s="6" t="n">
        <v>3</v>
      </c>
      <c r="D1650" s="6" t="n">
        <v>17</v>
      </c>
      <c r="E1650" s="6" t="n">
        <v>1</v>
      </c>
      <c r="F1650" s="6" t="s">
        <v>2723</v>
      </c>
      <c r="G1650" s="28" t="str">
        <f aca="false">IFERROR(INDEX('Semrush Data'!$A$1:$Z$20000,MATCH(A1650,'Semrush Data'!$A$1:$A$20000,0),MATCH("Volume",'Semrush Data'!$A$1:$Z$1,0)),"")</f>
        <v/>
      </c>
      <c r="H1650" s="6" t="str">
        <f aca="false">IFERROR(INDEX('Semrush Data'!$A$1:$Z$20000,MATCH(A1650,'Semrush Data'!$A$1:$A$20000,0),MATCH("Keyword Difficulty*",'Semrush Data'!$A$1:$Z$1,0)),"")</f>
        <v/>
      </c>
      <c r="I1650" s="29" t="str">
        <f aca="false">IFERROR(INDEX('Semrush Data'!$A$1:$Z$20000,MATCH(A1650,'Semrush Data'!$A$1:$A$20000,0),MATCH("CPC*",'Semrush Data'!$A$1:$Z$1,0)),"")</f>
        <v/>
      </c>
      <c r="J1650" s="6" t="str">
        <f aca="false">IFERROR(INDEX('Semrush Data'!$A$1:$Z$20000,MATCH(A1650,'Semrush Data'!$A$1:$A$20000,0),MATCH("Intent",'Semrush Data'!$A$1:$Z$1,0)),"")</f>
        <v/>
      </c>
    </row>
    <row r="1651" customFormat="false" ht="15" hidden="false" customHeight="true" outlineLevel="0" collapsed="false">
      <c r="A1651" s="6" t="s">
        <v>2694</v>
      </c>
      <c r="B1651" s="6" t="s">
        <v>1415</v>
      </c>
      <c r="C1651" s="6" t="n">
        <v>3</v>
      </c>
      <c r="D1651" s="6" t="n">
        <v>17</v>
      </c>
      <c r="E1651" s="6" t="n">
        <v>1</v>
      </c>
      <c r="F1651" s="6" t="s">
        <v>95</v>
      </c>
      <c r="G1651" s="28" t="str">
        <f aca="false">IFERROR(INDEX('Semrush Data'!$A$1:$Z$20000,MATCH(A1651,'Semrush Data'!$A$1:$A$20000,0),MATCH("Volume",'Semrush Data'!$A$1:$Z$1,0)),"")</f>
        <v/>
      </c>
      <c r="H1651" s="6" t="str">
        <f aca="false">IFERROR(INDEX('Semrush Data'!$A$1:$Z$20000,MATCH(A1651,'Semrush Data'!$A$1:$A$20000,0),MATCH("Keyword Difficulty*",'Semrush Data'!$A$1:$Z$1,0)),"")</f>
        <v/>
      </c>
      <c r="I1651" s="29" t="str">
        <f aca="false">IFERROR(INDEX('Semrush Data'!$A$1:$Z$20000,MATCH(A1651,'Semrush Data'!$A$1:$A$20000,0),MATCH("CPC*",'Semrush Data'!$A$1:$Z$1,0)),"")</f>
        <v/>
      </c>
      <c r="J1651" s="6" t="str">
        <f aca="false">IFERROR(INDEX('Semrush Data'!$A$1:$Z$20000,MATCH(A1651,'Semrush Data'!$A$1:$A$20000,0),MATCH("Intent",'Semrush Data'!$A$1:$Z$1,0)),"")</f>
        <v/>
      </c>
    </row>
    <row r="1652" customFormat="false" ht="15" hidden="false" customHeight="true" outlineLevel="0" collapsed="false">
      <c r="A1652" s="6" t="s">
        <v>2752</v>
      </c>
      <c r="B1652" s="6" t="s">
        <v>1415</v>
      </c>
      <c r="C1652" s="6" t="n">
        <v>3</v>
      </c>
      <c r="D1652" s="6" t="n">
        <v>17</v>
      </c>
      <c r="E1652" s="6" t="n">
        <v>3</v>
      </c>
      <c r="F1652" s="6" t="s">
        <v>6836</v>
      </c>
      <c r="G1652" s="28" t="str">
        <f aca="false">IFERROR(INDEX('Semrush Data'!$A$1:$Z$20000,MATCH(A1652,'Semrush Data'!$A$1:$A$20000,0),MATCH("Volume",'Semrush Data'!$A$1:$Z$1,0)),"")</f>
        <v/>
      </c>
      <c r="H1652" s="6" t="str">
        <f aca="false">IFERROR(INDEX('Semrush Data'!$A$1:$Z$20000,MATCH(A1652,'Semrush Data'!$A$1:$A$20000,0),MATCH("Keyword Difficulty*",'Semrush Data'!$A$1:$Z$1,0)),"")</f>
        <v/>
      </c>
      <c r="I1652" s="29" t="str">
        <f aca="false">IFERROR(INDEX('Semrush Data'!$A$1:$Z$20000,MATCH(A1652,'Semrush Data'!$A$1:$A$20000,0),MATCH("CPC*",'Semrush Data'!$A$1:$Z$1,0)),"")</f>
        <v/>
      </c>
      <c r="J1652" s="6" t="str">
        <f aca="false">IFERROR(INDEX('Semrush Data'!$A$1:$Z$20000,MATCH(A1652,'Semrush Data'!$A$1:$A$20000,0),MATCH("Intent",'Semrush Data'!$A$1:$Z$1,0)),"")</f>
        <v/>
      </c>
    </row>
    <row r="1653" customFormat="false" ht="15" hidden="false" customHeight="true" outlineLevel="0" collapsed="false">
      <c r="A1653" s="6" t="s">
        <v>2766</v>
      </c>
      <c r="B1653" s="6" t="s">
        <v>1415</v>
      </c>
      <c r="C1653" s="6" t="n">
        <v>3</v>
      </c>
      <c r="D1653" s="6" t="n">
        <v>17</v>
      </c>
      <c r="E1653" s="6" t="n">
        <v>3</v>
      </c>
      <c r="F1653" s="6" t="s">
        <v>6837</v>
      </c>
      <c r="G1653" s="28" t="str">
        <f aca="false">IFERROR(INDEX('Semrush Data'!$A$1:$Z$20000,MATCH(A1653,'Semrush Data'!$A$1:$A$20000,0),MATCH("Volume",'Semrush Data'!$A$1:$Z$1,0)),"")</f>
        <v/>
      </c>
      <c r="H1653" s="6" t="str">
        <f aca="false">IFERROR(INDEX('Semrush Data'!$A$1:$Z$20000,MATCH(A1653,'Semrush Data'!$A$1:$A$20000,0),MATCH("Keyword Difficulty*",'Semrush Data'!$A$1:$Z$1,0)),"")</f>
        <v/>
      </c>
      <c r="I1653" s="29" t="str">
        <f aca="false">IFERROR(INDEX('Semrush Data'!$A$1:$Z$20000,MATCH(A1653,'Semrush Data'!$A$1:$A$20000,0),MATCH("CPC*",'Semrush Data'!$A$1:$Z$1,0)),"")</f>
        <v/>
      </c>
      <c r="J1653" s="6" t="str">
        <f aca="false">IFERROR(INDEX('Semrush Data'!$A$1:$Z$20000,MATCH(A1653,'Semrush Data'!$A$1:$A$20000,0),MATCH("Intent",'Semrush Data'!$A$1:$Z$1,0)),"")</f>
        <v/>
      </c>
    </row>
    <row r="1654" customFormat="false" ht="15" hidden="false" customHeight="true" outlineLevel="0" collapsed="false">
      <c r="A1654" s="6" t="s">
        <v>2779</v>
      </c>
      <c r="B1654" s="6" t="s">
        <v>1415</v>
      </c>
      <c r="C1654" s="6" t="n">
        <v>3</v>
      </c>
      <c r="D1654" s="6" t="n">
        <v>17</v>
      </c>
      <c r="E1654" s="6" t="n">
        <v>3</v>
      </c>
      <c r="F1654" s="6" t="s">
        <v>6838</v>
      </c>
      <c r="G1654" s="28" t="str">
        <f aca="false">IFERROR(INDEX('Semrush Data'!$A$1:$Z$20000,MATCH(A1654,'Semrush Data'!$A$1:$A$20000,0),MATCH("Volume",'Semrush Data'!$A$1:$Z$1,0)),"")</f>
        <v/>
      </c>
      <c r="H1654" s="6" t="str">
        <f aca="false">IFERROR(INDEX('Semrush Data'!$A$1:$Z$20000,MATCH(A1654,'Semrush Data'!$A$1:$A$20000,0),MATCH("Keyword Difficulty*",'Semrush Data'!$A$1:$Z$1,0)),"")</f>
        <v/>
      </c>
      <c r="I1654" s="29" t="str">
        <f aca="false">IFERROR(INDEX('Semrush Data'!$A$1:$Z$20000,MATCH(A1654,'Semrush Data'!$A$1:$A$20000,0),MATCH("CPC*",'Semrush Data'!$A$1:$Z$1,0)),"")</f>
        <v/>
      </c>
      <c r="J1654" s="6" t="str">
        <f aca="false">IFERROR(INDEX('Semrush Data'!$A$1:$Z$20000,MATCH(A1654,'Semrush Data'!$A$1:$A$20000,0),MATCH("Intent",'Semrush Data'!$A$1:$Z$1,0)),"")</f>
        <v/>
      </c>
    </row>
    <row r="1655" customFormat="false" ht="15" hidden="false" customHeight="true" outlineLevel="0" collapsed="false">
      <c r="A1655" s="6" t="s">
        <v>2791</v>
      </c>
      <c r="B1655" s="6" t="s">
        <v>1415</v>
      </c>
      <c r="C1655" s="6" t="n">
        <v>3</v>
      </c>
      <c r="D1655" s="6" t="n">
        <v>17</v>
      </c>
      <c r="E1655" s="6" t="n">
        <v>3</v>
      </c>
      <c r="F1655" s="6" t="s">
        <v>6839</v>
      </c>
      <c r="G1655" s="28" t="str">
        <f aca="false">IFERROR(INDEX('Semrush Data'!$A$1:$Z$20000,MATCH(A1655,'Semrush Data'!$A$1:$A$20000,0),MATCH("Volume",'Semrush Data'!$A$1:$Z$1,0)),"")</f>
        <v/>
      </c>
      <c r="H1655" s="6" t="str">
        <f aca="false">IFERROR(INDEX('Semrush Data'!$A$1:$Z$20000,MATCH(A1655,'Semrush Data'!$A$1:$A$20000,0),MATCH("Keyword Difficulty*",'Semrush Data'!$A$1:$Z$1,0)),"")</f>
        <v/>
      </c>
      <c r="I1655" s="29" t="str">
        <f aca="false">IFERROR(INDEX('Semrush Data'!$A$1:$Z$20000,MATCH(A1655,'Semrush Data'!$A$1:$A$20000,0),MATCH("CPC*",'Semrush Data'!$A$1:$Z$1,0)),"")</f>
        <v/>
      </c>
      <c r="J1655" s="6" t="str">
        <f aca="false">IFERROR(INDEX('Semrush Data'!$A$1:$Z$20000,MATCH(A1655,'Semrush Data'!$A$1:$A$20000,0),MATCH("Intent",'Semrush Data'!$A$1:$Z$1,0)),"")</f>
        <v/>
      </c>
    </row>
    <row r="1656" customFormat="false" ht="15" hidden="false" customHeight="true" outlineLevel="0" collapsed="false">
      <c r="A1656" s="6" t="s">
        <v>2804</v>
      </c>
      <c r="B1656" s="6" t="s">
        <v>1415</v>
      </c>
      <c r="C1656" s="6" t="n">
        <v>3</v>
      </c>
      <c r="D1656" s="6" t="n">
        <v>17</v>
      </c>
      <c r="E1656" s="6" t="n">
        <v>4</v>
      </c>
      <c r="F1656" s="6" t="s">
        <v>6840</v>
      </c>
      <c r="G1656" s="28" t="str">
        <f aca="false">IFERROR(INDEX('Semrush Data'!$A$1:$Z$20000,MATCH(A1656,'Semrush Data'!$A$1:$A$20000,0),MATCH("Volume",'Semrush Data'!$A$1:$Z$1,0)),"")</f>
        <v/>
      </c>
      <c r="H1656" s="6" t="str">
        <f aca="false">IFERROR(INDEX('Semrush Data'!$A$1:$Z$20000,MATCH(A1656,'Semrush Data'!$A$1:$A$20000,0),MATCH("Keyword Difficulty*",'Semrush Data'!$A$1:$Z$1,0)),"")</f>
        <v/>
      </c>
      <c r="I1656" s="29" t="str">
        <f aca="false">IFERROR(INDEX('Semrush Data'!$A$1:$Z$20000,MATCH(A1656,'Semrush Data'!$A$1:$A$20000,0),MATCH("CPC*",'Semrush Data'!$A$1:$Z$1,0)),"")</f>
        <v/>
      </c>
      <c r="J1656" s="6" t="str">
        <f aca="false">IFERROR(INDEX('Semrush Data'!$A$1:$Z$20000,MATCH(A1656,'Semrush Data'!$A$1:$A$20000,0),MATCH("Intent",'Semrush Data'!$A$1:$Z$1,0)),"")</f>
        <v/>
      </c>
    </row>
    <row r="1657" customFormat="false" ht="15" hidden="false" customHeight="true" outlineLevel="0" collapsed="false">
      <c r="A1657" s="6" t="s">
        <v>2821</v>
      </c>
      <c r="B1657" s="6" t="s">
        <v>1415</v>
      </c>
      <c r="C1657" s="6" t="n">
        <v>3</v>
      </c>
      <c r="D1657" s="6" t="n">
        <v>17</v>
      </c>
      <c r="E1657" s="6" t="n">
        <v>1</v>
      </c>
      <c r="F1657" s="6" t="s">
        <v>139</v>
      </c>
      <c r="G1657" s="28" t="str">
        <f aca="false">IFERROR(INDEX('Semrush Data'!$A$1:$Z$20000,MATCH(A1657,'Semrush Data'!$A$1:$A$20000,0),MATCH("Volume",'Semrush Data'!$A$1:$Z$1,0)),"")</f>
        <v/>
      </c>
      <c r="H1657" s="6" t="str">
        <f aca="false">IFERROR(INDEX('Semrush Data'!$A$1:$Z$20000,MATCH(A1657,'Semrush Data'!$A$1:$A$20000,0),MATCH("Keyword Difficulty*",'Semrush Data'!$A$1:$Z$1,0)),"")</f>
        <v/>
      </c>
      <c r="I1657" s="29" t="str">
        <f aca="false">IFERROR(INDEX('Semrush Data'!$A$1:$Z$20000,MATCH(A1657,'Semrush Data'!$A$1:$A$20000,0),MATCH("CPC*",'Semrush Data'!$A$1:$Z$1,0)),"")</f>
        <v/>
      </c>
      <c r="J1657" s="6" t="str">
        <f aca="false">IFERROR(INDEX('Semrush Data'!$A$1:$Z$20000,MATCH(A1657,'Semrush Data'!$A$1:$A$20000,0),MATCH("Intent",'Semrush Data'!$A$1:$Z$1,0)),"")</f>
        <v/>
      </c>
    </row>
    <row r="1658" customFormat="false" ht="15" hidden="false" customHeight="true" outlineLevel="0" collapsed="false">
      <c r="A1658" s="6" t="s">
        <v>2836</v>
      </c>
      <c r="B1658" s="6" t="s">
        <v>1415</v>
      </c>
      <c r="C1658" s="6" t="n">
        <v>3</v>
      </c>
      <c r="D1658" s="6" t="n">
        <v>17</v>
      </c>
      <c r="E1658" s="6" t="n">
        <v>1</v>
      </c>
      <c r="F1658" s="6" t="s">
        <v>2829</v>
      </c>
      <c r="G1658" s="28" t="str">
        <f aca="false">IFERROR(INDEX('Semrush Data'!$A$1:$Z$20000,MATCH(A1658,'Semrush Data'!$A$1:$A$20000,0),MATCH("Volume",'Semrush Data'!$A$1:$Z$1,0)),"")</f>
        <v/>
      </c>
      <c r="H1658" s="6" t="str">
        <f aca="false">IFERROR(INDEX('Semrush Data'!$A$1:$Z$20000,MATCH(A1658,'Semrush Data'!$A$1:$A$20000,0),MATCH("Keyword Difficulty*",'Semrush Data'!$A$1:$Z$1,0)),"")</f>
        <v/>
      </c>
      <c r="I1658" s="29" t="str">
        <f aca="false">IFERROR(INDEX('Semrush Data'!$A$1:$Z$20000,MATCH(A1658,'Semrush Data'!$A$1:$A$20000,0),MATCH("CPC*",'Semrush Data'!$A$1:$Z$1,0)),"")</f>
        <v/>
      </c>
      <c r="J1658" s="6" t="str">
        <f aca="false">IFERROR(INDEX('Semrush Data'!$A$1:$Z$20000,MATCH(A1658,'Semrush Data'!$A$1:$A$20000,0),MATCH("Intent",'Semrush Data'!$A$1:$Z$1,0)),"")</f>
        <v/>
      </c>
    </row>
    <row r="1659" customFormat="false" ht="15" hidden="false" customHeight="true" outlineLevel="0" collapsed="false">
      <c r="A1659" s="6" t="s">
        <v>2847</v>
      </c>
      <c r="B1659" s="6" t="s">
        <v>1415</v>
      </c>
      <c r="C1659" s="6" t="n">
        <v>3</v>
      </c>
      <c r="D1659" s="6" t="n">
        <v>17</v>
      </c>
      <c r="E1659" s="6" t="n">
        <v>1</v>
      </c>
      <c r="F1659" s="6" t="s">
        <v>2843</v>
      </c>
      <c r="G1659" s="28" t="str">
        <f aca="false">IFERROR(INDEX('Semrush Data'!$A$1:$Z$20000,MATCH(A1659,'Semrush Data'!$A$1:$A$20000,0),MATCH("Volume",'Semrush Data'!$A$1:$Z$1,0)),"")</f>
        <v/>
      </c>
      <c r="H1659" s="6" t="str">
        <f aca="false">IFERROR(INDEX('Semrush Data'!$A$1:$Z$20000,MATCH(A1659,'Semrush Data'!$A$1:$A$20000,0),MATCH("Keyword Difficulty*",'Semrush Data'!$A$1:$Z$1,0)),"")</f>
        <v/>
      </c>
      <c r="I1659" s="29" t="str">
        <f aca="false">IFERROR(INDEX('Semrush Data'!$A$1:$Z$20000,MATCH(A1659,'Semrush Data'!$A$1:$A$20000,0),MATCH("CPC*",'Semrush Data'!$A$1:$Z$1,0)),"")</f>
        <v/>
      </c>
      <c r="J1659" s="6" t="str">
        <f aca="false">IFERROR(INDEX('Semrush Data'!$A$1:$Z$20000,MATCH(A1659,'Semrush Data'!$A$1:$A$20000,0),MATCH("Intent",'Semrush Data'!$A$1:$Z$1,0)),"")</f>
        <v/>
      </c>
    </row>
    <row r="1660" customFormat="false" ht="15" hidden="false" customHeight="true" outlineLevel="0" collapsed="false">
      <c r="A1660" s="6" t="s">
        <v>2858</v>
      </c>
      <c r="B1660" s="6" t="s">
        <v>1415</v>
      </c>
      <c r="C1660" s="6" t="n">
        <v>3</v>
      </c>
      <c r="D1660" s="6" t="n">
        <v>17</v>
      </c>
      <c r="E1660" s="6" t="n">
        <v>1</v>
      </c>
      <c r="F1660" s="6" t="s">
        <v>2854</v>
      </c>
      <c r="G1660" s="28" t="str">
        <f aca="false">IFERROR(INDEX('Semrush Data'!$A$1:$Z$20000,MATCH(A1660,'Semrush Data'!$A$1:$A$20000,0),MATCH("Volume",'Semrush Data'!$A$1:$Z$1,0)),"")</f>
        <v/>
      </c>
      <c r="H1660" s="6" t="str">
        <f aca="false">IFERROR(INDEX('Semrush Data'!$A$1:$Z$20000,MATCH(A1660,'Semrush Data'!$A$1:$A$20000,0),MATCH("Keyword Difficulty*",'Semrush Data'!$A$1:$Z$1,0)),"")</f>
        <v/>
      </c>
      <c r="I1660" s="29" t="str">
        <f aca="false">IFERROR(INDEX('Semrush Data'!$A$1:$Z$20000,MATCH(A1660,'Semrush Data'!$A$1:$A$20000,0),MATCH("CPC*",'Semrush Data'!$A$1:$Z$1,0)),"")</f>
        <v/>
      </c>
      <c r="J1660" s="6" t="str">
        <f aca="false">IFERROR(INDEX('Semrush Data'!$A$1:$Z$20000,MATCH(A1660,'Semrush Data'!$A$1:$A$20000,0),MATCH("Intent",'Semrush Data'!$A$1:$Z$1,0)),"")</f>
        <v/>
      </c>
    </row>
    <row r="1661" customFormat="false" ht="15" hidden="false" customHeight="true" outlineLevel="0" collapsed="false">
      <c r="A1661" s="6" t="s">
        <v>2871</v>
      </c>
      <c r="B1661" s="6" t="s">
        <v>1415</v>
      </c>
      <c r="C1661" s="6" t="n">
        <v>3</v>
      </c>
      <c r="D1661" s="6" t="n">
        <v>17</v>
      </c>
      <c r="E1661" s="6" t="n">
        <v>1</v>
      </c>
      <c r="F1661" s="6" t="s">
        <v>2866</v>
      </c>
      <c r="G1661" s="28" t="str">
        <f aca="false">IFERROR(INDEX('Semrush Data'!$A$1:$Z$20000,MATCH(A1661,'Semrush Data'!$A$1:$A$20000,0),MATCH("Volume",'Semrush Data'!$A$1:$Z$1,0)),"")</f>
        <v/>
      </c>
      <c r="H1661" s="6" t="str">
        <f aca="false">IFERROR(INDEX('Semrush Data'!$A$1:$Z$20000,MATCH(A1661,'Semrush Data'!$A$1:$A$20000,0),MATCH("Keyword Difficulty*",'Semrush Data'!$A$1:$Z$1,0)),"")</f>
        <v/>
      </c>
      <c r="I1661" s="29" t="str">
        <f aca="false">IFERROR(INDEX('Semrush Data'!$A$1:$Z$20000,MATCH(A1661,'Semrush Data'!$A$1:$A$20000,0),MATCH("CPC*",'Semrush Data'!$A$1:$Z$1,0)),"")</f>
        <v/>
      </c>
      <c r="J1661" s="6" t="str">
        <f aca="false">IFERROR(INDEX('Semrush Data'!$A$1:$Z$20000,MATCH(A1661,'Semrush Data'!$A$1:$A$20000,0),MATCH("Intent",'Semrush Data'!$A$1:$Z$1,0)),"")</f>
        <v/>
      </c>
    </row>
    <row r="1662" customFormat="false" ht="15" hidden="false" customHeight="true" outlineLevel="0" collapsed="false">
      <c r="A1662" s="6" t="s">
        <v>2883</v>
      </c>
      <c r="B1662" s="6" t="s">
        <v>1415</v>
      </c>
      <c r="C1662" s="6" t="n">
        <v>3</v>
      </c>
      <c r="D1662" s="6" t="n">
        <v>17</v>
      </c>
      <c r="E1662" s="6" t="n">
        <v>1</v>
      </c>
      <c r="F1662" s="6" t="s">
        <v>2879</v>
      </c>
      <c r="G1662" s="28" t="str">
        <f aca="false">IFERROR(INDEX('Semrush Data'!$A$1:$Z$20000,MATCH(A1662,'Semrush Data'!$A$1:$A$20000,0),MATCH("Volume",'Semrush Data'!$A$1:$Z$1,0)),"")</f>
        <v/>
      </c>
      <c r="H1662" s="6" t="str">
        <f aca="false">IFERROR(INDEX('Semrush Data'!$A$1:$Z$20000,MATCH(A1662,'Semrush Data'!$A$1:$A$20000,0),MATCH("Keyword Difficulty*",'Semrush Data'!$A$1:$Z$1,0)),"")</f>
        <v/>
      </c>
      <c r="I1662" s="29" t="str">
        <f aca="false">IFERROR(INDEX('Semrush Data'!$A$1:$Z$20000,MATCH(A1662,'Semrush Data'!$A$1:$A$20000,0),MATCH("CPC*",'Semrush Data'!$A$1:$Z$1,0)),"")</f>
        <v/>
      </c>
      <c r="J1662" s="6" t="str">
        <f aca="false">IFERROR(INDEX('Semrush Data'!$A$1:$Z$20000,MATCH(A1662,'Semrush Data'!$A$1:$A$20000,0),MATCH("Intent",'Semrush Data'!$A$1:$Z$1,0)),"")</f>
        <v/>
      </c>
    </row>
    <row r="1663" customFormat="false" ht="15" hidden="false" customHeight="true" outlineLevel="0" collapsed="false">
      <c r="A1663" s="6" t="s">
        <v>2895</v>
      </c>
      <c r="B1663" s="6" t="s">
        <v>1415</v>
      </c>
      <c r="C1663" s="6" t="n">
        <v>3</v>
      </c>
      <c r="D1663" s="6" t="n">
        <v>17</v>
      </c>
      <c r="E1663" s="6" t="n">
        <v>1</v>
      </c>
      <c r="F1663" s="6" t="s">
        <v>2890</v>
      </c>
      <c r="G1663" s="28" t="str">
        <f aca="false">IFERROR(INDEX('Semrush Data'!$A$1:$Z$20000,MATCH(A1663,'Semrush Data'!$A$1:$A$20000,0),MATCH("Volume",'Semrush Data'!$A$1:$Z$1,0)),"")</f>
        <v/>
      </c>
      <c r="H1663" s="6" t="str">
        <f aca="false">IFERROR(INDEX('Semrush Data'!$A$1:$Z$20000,MATCH(A1663,'Semrush Data'!$A$1:$A$20000,0),MATCH("Keyword Difficulty*",'Semrush Data'!$A$1:$Z$1,0)),"")</f>
        <v/>
      </c>
      <c r="I1663" s="29" t="str">
        <f aca="false">IFERROR(INDEX('Semrush Data'!$A$1:$Z$20000,MATCH(A1663,'Semrush Data'!$A$1:$A$20000,0),MATCH("CPC*",'Semrush Data'!$A$1:$Z$1,0)),"")</f>
        <v/>
      </c>
      <c r="J1663" s="6" t="str">
        <f aca="false">IFERROR(INDEX('Semrush Data'!$A$1:$Z$20000,MATCH(A1663,'Semrush Data'!$A$1:$A$20000,0),MATCH("Intent",'Semrush Data'!$A$1:$Z$1,0)),"")</f>
        <v/>
      </c>
    </row>
    <row r="1664" customFormat="false" ht="15" hidden="false" customHeight="true" outlineLevel="0" collapsed="false">
      <c r="A1664" s="6" t="s">
        <v>2908</v>
      </c>
      <c r="B1664" s="6" t="s">
        <v>1415</v>
      </c>
      <c r="C1664" s="6" t="n">
        <v>3</v>
      </c>
      <c r="D1664" s="6" t="n">
        <v>17</v>
      </c>
      <c r="E1664" s="6" t="n">
        <v>1</v>
      </c>
      <c r="F1664" s="6" t="s">
        <v>2903</v>
      </c>
      <c r="G1664" s="28" t="str">
        <f aca="false">IFERROR(INDEX('Semrush Data'!$A$1:$Z$20000,MATCH(A1664,'Semrush Data'!$A$1:$A$20000,0),MATCH("Volume",'Semrush Data'!$A$1:$Z$1,0)),"")</f>
        <v/>
      </c>
      <c r="H1664" s="6" t="str">
        <f aca="false">IFERROR(INDEX('Semrush Data'!$A$1:$Z$20000,MATCH(A1664,'Semrush Data'!$A$1:$A$20000,0),MATCH("Keyword Difficulty*",'Semrush Data'!$A$1:$Z$1,0)),"")</f>
        <v/>
      </c>
      <c r="I1664" s="29" t="str">
        <f aca="false">IFERROR(INDEX('Semrush Data'!$A$1:$Z$20000,MATCH(A1664,'Semrush Data'!$A$1:$A$20000,0),MATCH("CPC*",'Semrush Data'!$A$1:$Z$1,0)),"")</f>
        <v/>
      </c>
      <c r="J1664" s="6" t="str">
        <f aca="false">IFERROR(INDEX('Semrush Data'!$A$1:$Z$20000,MATCH(A1664,'Semrush Data'!$A$1:$A$20000,0),MATCH("Intent",'Semrush Data'!$A$1:$Z$1,0)),"")</f>
        <v/>
      </c>
    </row>
    <row r="1665" customFormat="false" ht="15" hidden="false" customHeight="true" outlineLevel="0" collapsed="false">
      <c r="A1665" s="6" t="s">
        <v>2921</v>
      </c>
      <c r="B1665" s="6" t="s">
        <v>1415</v>
      </c>
      <c r="C1665" s="6" t="n">
        <v>3</v>
      </c>
      <c r="D1665" s="6" t="n">
        <v>17</v>
      </c>
      <c r="E1665" s="6" t="n">
        <v>1</v>
      </c>
      <c r="F1665" s="6" t="s">
        <v>2916</v>
      </c>
      <c r="G1665" s="28" t="str">
        <f aca="false">IFERROR(INDEX('Semrush Data'!$A$1:$Z$20000,MATCH(A1665,'Semrush Data'!$A$1:$A$20000,0),MATCH("Volume",'Semrush Data'!$A$1:$Z$1,0)),"")</f>
        <v/>
      </c>
      <c r="H1665" s="6" t="str">
        <f aca="false">IFERROR(INDEX('Semrush Data'!$A$1:$Z$20000,MATCH(A1665,'Semrush Data'!$A$1:$A$20000,0),MATCH("Keyword Difficulty*",'Semrush Data'!$A$1:$Z$1,0)),"")</f>
        <v/>
      </c>
      <c r="I1665" s="29" t="str">
        <f aca="false">IFERROR(INDEX('Semrush Data'!$A$1:$Z$20000,MATCH(A1665,'Semrush Data'!$A$1:$A$20000,0),MATCH("CPC*",'Semrush Data'!$A$1:$Z$1,0)),"")</f>
        <v/>
      </c>
      <c r="J1665" s="6" t="str">
        <f aca="false">IFERROR(INDEX('Semrush Data'!$A$1:$Z$20000,MATCH(A1665,'Semrush Data'!$A$1:$A$20000,0),MATCH("Intent",'Semrush Data'!$A$1:$Z$1,0)),"")</f>
        <v/>
      </c>
    </row>
    <row r="1666" customFormat="false" ht="15" hidden="false" customHeight="true" outlineLevel="0" collapsed="false">
      <c r="A1666" s="6" t="s">
        <v>2959</v>
      </c>
      <c r="B1666" s="6" t="s">
        <v>1415</v>
      </c>
      <c r="C1666" s="6" t="n">
        <v>3</v>
      </c>
      <c r="D1666" s="6" t="n">
        <v>17</v>
      </c>
      <c r="E1666" s="6" t="n">
        <v>1</v>
      </c>
      <c r="F1666" s="6" t="s">
        <v>2955</v>
      </c>
      <c r="G1666" s="28" t="str">
        <f aca="false">IFERROR(INDEX('Semrush Data'!$A$1:$Z$20000,MATCH(A1666,'Semrush Data'!$A$1:$A$20000,0),MATCH("Volume",'Semrush Data'!$A$1:$Z$1,0)),"")</f>
        <v/>
      </c>
      <c r="H1666" s="6" t="str">
        <f aca="false">IFERROR(INDEX('Semrush Data'!$A$1:$Z$20000,MATCH(A1666,'Semrush Data'!$A$1:$A$20000,0),MATCH("Keyword Difficulty*",'Semrush Data'!$A$1:$Z$1,0)),"")</f>
        <v/>
      </c>
      <c r="I1666" s="29" t="str">
        <f aca="false">IFERROR(INDEX('Semrush Data'!$A$1:$Z$20000,MATCH(A1666,'Semrush Data'!$A$1:$A$20000,0),MATCH("CPC*",'Semrush Data'!$A$1:$Z$1,0)),"")</f>
        <v/>
      </c>
      <c r="J1666" s="6" t="str">
        <f aca="false">IFERROR(INDEX('Semrush Data'!$A$1:$Z$20000,MATCH(A1666,'Semrush Data'!$A$1:$A$20000,0),MATCH("Intent",'Semrush Data'!$A$1:$Z$1,0)),"")</f>
        <v/>
      </c>
    </row>
    <row r="1667" customFormat="false" ht="15" hidden="false" customHeight="true" outlineLevel="0" collapsed="false">
      <c r="A1667" s="6" t="s">
        <v>2994</v>
      </c>
      <c r="B1667" s="6" t="s">
        <v>1415</v>
      </c>
      <c r="C1667" s="6" t="n">
        <v>3</v>
      </c>
      <c r="D1667" s="6" t="s">
        <v>6870</v>
      </c>
      <c r="E1667" s="6" t="n">
        <v>1</v>
      </c>
      <c r="F1667" s="6" t="s">
        <v>87</v>
      </c>
      <c r="G1667" s="28" t="n">
        <f aca="false">IFERROR(INDEX('Semrush Data'!$A$1:$Z$20000,MATCH(A1667,'Semrush Data'!$A$1:$A$20000,0),MATCH("Volume",'Semrush Data'!$A$1:$Z$1,0)),"")</f>
        <v>0</v>
      </c>
      <c r="H1667" s="6" t="n">
        <f aca="false">IFERROR(INDEX('Semrush Data'!$A$1:$Z$20000,MATCH(A1667,'Semrush Data'!$A$1:$A$20000,0),MATCH("Keyword Difficulty*",'Semrush Data'!$A$1:$Z$1,0)),"")</f>
        <v>18</v>
      </c>
      <c r="I1667" s="29" t="n">
        <f aca="false">IFERROR(INDEX('Semrush Data'!$A$1:$Z$20000,MATCH(A1667,'Semrush Data'!$A$1:$A$20000,0),MATCH("CPC*",'Semrush Data'!$A$1:$Z$1,0)),"")</f>
        <v>0</v>
      </c>
      <c r="J1667" s="6" t="str">
        <f aca="false">IFERROR(INDEX('Semrush Data'!$A$1:$Z$20000,MATCH(A1667,'Semrush Data'!$A$1:$A$20000,0),MATCH("Intent",'Semrush Data'!$A$1:$Z$1,0)),"")</f>
        <v>Transactional</v>
      </c>
    </row>
    <row r="1668" customFormat="false" ht="15" hidden="false" customHeight="true" outlineLevel="0" collapsed="false">
      <c r="A1668" s="6" t="s">
        <v>2981</v>
      </c>
      <c r="B1668" s="6" t="s">
        <v>1415</v>
      </c>
      <c r="C1668" s="6" t="n">
        <v>3</v>
      </c>
      <c r="D1668" s="6" t="n">
        <v>17</v>
      </c>
      <c r="E1668" s="6" t="n">
        <v>2</v>
      </c>
      <c r="F1668" s="6" t="s">
        <v>6841</v>
      </c>
      <c r="G1668" s="28" t="str">
        <f aca="false">IFERROR(INDEX('Semrush Data'!$A$1:$Z$20000,MATCH(A1668,'Semrush Data'!$A$1:$A$20000,0),MATCH("Volume",'Semrush Data'!$A$1:$Z$1,0)),"")</f>
        <v/>
      </c>
      <c r="H1668" s="6" t="str">
        <f aca="false">IFERROR(INDEX('Semrush Data'!$A$1:$Z$20000,MATCH(A1668,'Semrush Data'!$A$1:$A$20000,0),MATCH("Keyword Difficulty*",'Semrush Data'!$A$1:$Z$1,0)),"")</f>
        <v/>
      </c>
      <c r="I1668" s="29" t="str">
        <f aca="false">IFERROR(INDEX('Semrush Data'!$A$1:$Z$20000,MATCH(A1668,'Semrush Data'!$A$1:$A$20000,0),MATCH("CPC*",'Semrush Data'!$A$1:$Z$1,0)),"")</f>
        <v/>
      </c>
      <c r="J1668" s="6" t="str">
        <f aca="false">IFERROR(INDEX('Semrush Data'!$A$1:$Z$20000,MATCH(A1668,'Semrush Data'!$A$1:$A$20000,0),MATCH("Intent",'Semrush Data'!$A$1:$Z$1,0)),"")</f>
        <v/>
      </c>
    </row>
    <row r="1669" customFormat="false" ht="15" hidden="false" customHeight="true" outlineLevel="0" collapsed="false">
      <c r="A1669" s="6" t="s">
        <v>2937</v>
      </c>
      <c r="B1669" s="6" t="s">
        <v>1415</v>
      </c>
      <c r="C1669" s="6" t="n">
        <v>3</v>
      </c>
      <c r="D1669" s="6" t="n">
        <v>17</v>
      </c>
      <c r="E1669" s="6" t="n">
        <v>1</v>
      </c>
      <c r="F1669" s="6" t="s">
        <v>2929</v>
      </c>
      <c r="G1669" s="28" t="str">
        <f aca="false">IFERROR(INDEX('Semrush Data'!$A$1:$Z$20000,MATCH(A1669,'Semrush Data'!$A$1:$A$20000,0),MATCH("Volume",'Semrush Data'!$A$1:$Z$1,0)),"")</f>
        <v/>
      </c>
      <c r="H1669" s="6" t="str">
        <f aca="false">IFERROR(INDEX('Semrush Data'!$A$1:$Z$20000,MATCH(A1669,'Semrush Data'!$A$1:$A$20000,0),MATCH("Keyword Difficulty*",'Semrush Data'!$A$1:$Z$1,0)),"")</f>
        <v/>
      </c>
      <c r="I1669" s="29" t="str">
        <f aca="false">IFERROR(INDEX('Semrush Data'!$A$1:$Z$20000,MATCH(A1669,'Semrush Data'!$A$1:$A$20000,0),MATCH("CPC*",'Semrush Data'!$A$1:$Z$1,0)),"")</f>
        <v/>
      </c>
      <c r="J1669" s="6" t="str">
        <f aca="false">IFERROR(INDEX('Semrush Data'!$A$1:$Z$20000,MATCH(A1669,'Semrush Data'!$A$1:$A$20000,0),MATCH("Intent",'Semrush Data'!$A$1:$Z$1,0)),"")</f>
        <v/>
      </c>
    </row>
    <row r="1670" customFormat="false" ht="15" hidden="false" customHeight="true" outlineLevel="0" collapsed="false">
      <c r="A1670" s="6" t="s">
        <v>3026</v>
      </c>
      <c r="B1670" s="6" t="s">
        <v>1415</v>
      </c>
      <c r="C1670" s="6" t="n">
        <v>3</v>
      </c>
      <c r="D1670" s="6" t="n">
        <v>17</v>
      </c>
      <c r="E1670" s="6" t="n">
        <v>1</v>
      </c>
      <c r="F1670" s="6" t="s">
        <v>3022</v>
      </c>
      <c r="G1670" s="28" t="str">
        <f aca="false">IFERROR(INDEX('Semrush Data'!$A$1:$Z$20000,MATCH(A1670,'Semrush Data'!$A$1:$A$20000,0),MATCH("Volume",'Semrush Data'!$A$1:$Z$1,0)),"")</f>
        <v/>
      </c>
      <c r="H1670" s="6" t="str">
        <f aca="false">IFERROR(INDEX('Semrush Data'!$A$1:$Z$20000,MATCH(A1670,'Semrush Data'!$A$1:$A$20000,0),MATCH("Keyword Difficulty*",'Semrush Data'!$A$1:$Z$1,0)),"")</f>
        <v/>
      </c>
      <c r="I1670" s="29" t="str">
        <f aca="false">IFERROR(INDEX('Semrush Data'!$A$1:$Z$20000,MATCH(A1670,'Semrush Data'!$A$1:$A$20000,0),MATCH("CPC*",'Semrush Data'!$A$1:$Z$1,0)),"")</f>
        <v/>
      </c>
      <c r="J1670" s="6" t="str">
        <f aca="false">IFERROR(INDEX('Semrush Data'!$A$1:$Z$20000,MATCH(A1670,'Semrush Data'!$A$1:$A$20000,0),MATCH("Intent",'Semrush Data'!$A$1:$Z$1,0)),"")</f>
        <v/>
      </c>
    </row>
    <row r="1671" customFormat="false" ht="15" hidden="false" customHeight="true" outlineLevel="0" collapsed="false">
      <c r="A1671" s="6" t="s">
        <v>3037</v>
      </c>
      <c r="B1671" s="6" t="s">
        <v>1415</v>
      </c>
      <c r="C1671" s="6" t="n">
        <v>3</v>
      </c>
      <c r="D1671" s="6" t="n">
        <v>17</v>
      </c>
      <c r="E1671" s="6" t="n">
        <v>1</v>
      </c>
      <c r="F1671" s="6" t="s">
        <v>3031</v>
      </c>
      <c r="G1671" s="28" t="str">
        <f aca="false">IFERROR(INDEX('Semrush Data'!$A$1:$Z$20000,MATCH(A1671,'Semrush Data'!$A$1:$A$20000,0),MATCH("Volume",'Semrush Data'!$A$1:$Z$1,0)),"")</f>
        <v/>
      </c>
      <c r="H1671" s="6" t="str">
        <f aca="false">IFERROR(INDEX('Semrush Data'!$A$1:$Z$20000,MATCH(A1671,'Semrush Data'!$A$1:$A$20000,0),MATCH("Keyword Difficulty*",'Semrush Data'!$A$1:$Z$1,0)),"")</f>
        <v/>
      </c>
      <c r="I1671" s="29" t="str">
        <f aca="false">IFERROR(INDEX('Semrush Data'!$A$1:$Z$20000,MATCH(A1671,'Semrush Data'!$A$1:$A$20000,0),MATCH("CPC*",'Semrush Data'!$A$1:$Z$1,0)),"")</f>
        <v/>
      </c>
      <c r="J1671" s="6" t="str">
        <f aca="false">IFERROR(INDEX('Semrush Data'!$A$1:$Z$20000,MATCH(A1671,'Semrush Data'!$A$1:$A$20000,0),MATCH("Intent",'Semrush Data'!$A$1:$Z$1,0)),"")</f>
        <v/>
      </c>
    </row>
    <row r="1672" customFormat="false" ht="15" hidden="false" customHeight="true" outlineLevel="0" collapsed="false">
      <c r="A1672" s="6" t="s">
        <v>2947</v>
      </c>
      <c r="B1672" s="6" t="s">
        <v>1415</v>
      </c>
      <c r="C1672" s="6" t="n">
        <v>3</v>
      </c>
      <c r="D1672" s="6" t="n">
        <v>17</v>
      </c>
      <c r="E1672" s="6" t="n">
        <v>1</v>
      </c>
      <c r="F1672" s="6" t="s">
        <v>2943</v>
      </c>
      <c r="G1672" s="28" t="str">
        <f aca="false">IFERROR(INDEX('Semrush Data'!$A$1:$Z$20000,MATCH(A1672,'Semrush Data'!$A$1:$A$20000,0),MATCH("Volume",'Semrush Data'!$A$1:$Z$1,0)),"")</f>
        <v/>
      </c>
      <c r="H1672" s="6" t="str">
        <f aca="false">IFERROR(INDEX('Semrush Data'!$A$1:$Z$20000,MATCH(A1672,'Semrush Data'!$A$1:$A$20000,0),MATCH("Keyword Difficulty*",'Semrush Data'!$A$1:$Z$1,0)),"")</f>
        <v/>
      </c>
      <c r="I1672" s="29" t="str">
        <f aca="false">IFERROR(INDEX('Semrush Data'!$A$1:$Z$20000,MATCH(A1672,'Semrush Data'!$A$1:$A$20000,0),MATCH("CPC*",'Semrush Data'!$A$1:$Z$1,0)),"")</f>
        <v/>
      </c>
      <c r="J1672" s="6" t="str">
        <f aca="false">IFERROR(INDEX('Semrush Data'!$A$1:$Z$20000,MATCH(A1672,'Semrush Data'!$A$1:$A$20000,0),MATCH("Intent",'Semrush Data'!$A$1:$Z$1,0)),"")</f>
        <v/>
      </c>
    </row>
    <row r="1673" customFormat="false" ht="15" hidden="false" customHeight="true" outlineLevel="0" collapsed="false">
      <c r="A1673" s="6" t="s">
        <v>3004</v>
      </c>
      <c r="B1673" s="6" t="s">
        <v>1415</v>
      </c>
      <c r="C1673" s="6" t="n">
        <v>3</v>
      </c>
      <c r="D1673" s="6" t="n">
        <v>17</v>
      </c>
      <c r="E1673" s="6" t="n">
        <v>1</v>
      </c>
      <c r="F1673" s="6" t="s">
        <v>3000</v>
      </c>
      <c r="G1673" s="28" t="str">
        <f aca="false">IFERROR(INDEX('Semrush Data'!$A$1:$Z$20000,MATCH(A1673,'Semrush Data'!$A$1:$A$20000,0),MATCH("Volume",'Semrush Data'!$A$1:$Z$1,0)),"")</f>
        <v/>
      </c>
      <c r="H1673" s="6" t="str">
        <f aca="false">IFERROR(INDEX('Semrush Data'!$A$1:$Z$20000,MATCH(A1673,'Semrush Data'!$A$1:$A$20000,0),MATCH("Keyword Difficulty*",'Semrush Data'!$A$1:$Z$1,0)),"")</f>
        <v/>
      </c>
      <c r="I1673" s="29" t="str">
        <f aca="false">IFERROR(INDEX('Semrush Data'!$A$1:$Z$20000,MATCH(A1673,'Semrush Data'!$A$1:$A$20000,0),MATCH("CPC*",'Semrush Data'!$A$1:$Z$1,0)),"")</f>
        <v/>
      </c>
      <c r="J1673" s="6" t="str">
        <f aca="false">IFERROR(INDEX('Semrush Data'!$A$1:$Z$20000,MATCH(A1673,'Semrush Data'!$A$1:$A$20000,0),MATCH("Intent",'Semrush Data'!$A$1:$Z$1,0)),"")</f>
        <v/>
      </c>
    </row>
    <row r="1674" customFormat="false" ht="15" hidden="false" customHeight="true" outlineLevel="0" collapsed="false">
      <c r="A1674" s="6" t="s">
        <v>3015</v>
      </c>
      <c r="B1674" s="6" t="s">
        <v>1415</v>
      </c>
      <c r="C1674" s="6" t="n">
        <v>3</v>
      </c>
      <c r="D1674" s="6" t="n">
        <v>17</v>
      </c>
      <c r="E1674" s="6" t="n">
        <v>1</v>
      </c>
      <c r="F1674" s="6" t="s">
        <v>3011</v>
      </c>
      <c r="G1674" s="28" t="str">
        <f aca="false">IFERROR(INDEX('Semrush Data'!$A$1:$Z$20000,MATCH(A1674,'Semrush Data'!$A$1:$A$20000,0),MATCH("Volume",'Semrush Data'!$A$1:$Z$1,0)),"")</f>
        <v/>
      </c>
      <c r="H1674" s="6" t="str">
        <f aca="false">IFERROR(INDEX('Semrush Data'!$A$1:$Z$20000,MATCH(A1674,'Semrush Data'!$A$1:$A$20000,0),MATCH("Keyword Difficulty*",'Semrush Data'!$A$1:$Z$1,0)),"")</f>
        <v/>
      </c>
      <c r="I1674" s="29" t="str">
        <f aca="false">IFERROR(INDEX('Semrush Data'!$A$1:$Z$20000,MATCH(A1674,'Semrush Data'!$A$1:$A$20000,0),MATCH("CPC*",'Semrush Data'!$A$1:$Z$1,0)),"")</f>
        <v/>
      </c>
      <c r="J1674" s="6" t="str">
        <f aca="false">IFERROR(INDEX('Semrush Data'!$A$1:$Z$20000,MATCH(A1674,'Semrush Data'!$A$1:$A$20000,0),MATCH("Intent",'Semrush Data'!$A$1:$Z$1,0)),"")</f>
        <v/>
      </c>
    </row>
    <row r="1675" customFormat="false" ht="15" hidden="false" customHeight="true" outlineLevel="0" collapsed="false">
      <c r="A1675" s="6" t="s">
        <v>2970</v>
      </c>
      <c r="B1675" s="6" t="s">
        <v>1415</v>
      </c>
      <c r="C1675" s="6" t="n">
        <v>3</v>
      </c>
      <c r="D1675" s="6" t="n">
        <v>17</v>
      </c>
      <c r="E1675" s="6" t="n">
        <v>1</v>
      </c>
      <c r="F1675" s="6" t="s">
        <v>2966</v>
      </c>
      <c r="G1675" s="28" t="str">
        <f aca="false">IFERROR(INDEX('Semrush Data'!$A$1:$Z$20000,MATCH(A1675,'Semrush Data'!$A$1:$A$20000,0),MATCH("Volume",'Semrush Data'!$A$1:$Z$1,0)),"")</f>
        <v/>
      </c>
      <c r="H1675" s="6" t="str">
        <f aca="false">IFERROR(INDEX('Semrush Data'!$A$1:$Z$20000,MATCH(A1675,'Semrush Data'!$A$1:$A$20000,0),MATCH("Keyword Difficulty*",'Semrush Data'!$A$1:$Z$1,0)),"")</f>
        <v/>
      </c>
      <c r="I1675" s="29" t="str">
        <f aca="false">IFERROR(INDEX('Semrush Data'!$A$1:$Z$20000,MATCH(A1675,'Semrush Data'!$A$1:$A$20000,0),MATCH("CPC*",'Semrush Data'!$A$1:$Z$1,0)),"")</f>
        <v/>
      </c>
      <c r="J1675" s="6" t="str">
        <f aca="false">IFERROR(INDEX('Semrush Data'!$A$1:$Z$20000,MATCH(A1675,'Semrush Data'!$A$1:$A$20000,0),MATCH("Intent",'Semrush Data'!$A$1:$Z$1,0)),"")</f>
        <v/>
      </c>
    </row>
    <row r="1676" customFormat="false" ht="15" hidden="false" customHeight="true" outlineLevel="0" collapsed="false">
      <c r="A1676" s="6" t="s">
        <v>3067</v>
      </c>
      <c r="B1676" s="6" t="s">
        <v>1415</v>
      </c>
      <c r="C1676" s="6" t="n">
        <v>3</v>
      </c>
      <c r="D1676" s="6" t="n">
        <v>17</v>
      </c>
      <c r="E1676" s="6" t="n">
        <v>1</v>
      </c>
      <c r="F1676" s="6" t="s">
        <v>3062</v>
      </c>
      <c r="G1676" s="28" t="str">
        <f aca="false">IFERROR(INDEX('Semrush Data'!$A$1:$Z$20000,MATCH(A1676,'Semrush Data'!$A$1:$A$20000,0),MATCH("Volume",'Semrush Data'!$A$1:$Z$1,0)),"")</f>
        <v/>
      </c>
      <c r="H1676" s="6" t="str">
        <f aca="false">IFERROR(INDEX('Semrush Data'!$A$1:$Z$20000,MATCH(A1676,'Semrush Data'!$A$1:$A$20000,0),MATCH("Keyword Difficulty*",'Semrush Data'!$A$1:$Z$1,0)),"")</f>
        <v/>
      </c>
      <c r="I1676" s="29" t="str">
        <f aca="false">IFERROR(INDEX('Semrush Data'!$A$1:$Z$20000,MATCH(A1676,'Semrush Data'!$A$1:$A$20000,0),MATCH("CPC*",'Semrush Data'!$A$1:$Z$1,0)),"")</f>
        <v/>
      </c>
      <c r="J1676" s="6" t="str">
        <f aca="false">IFERROR(INDEX('Semrush Data'!$A$1:$Z$20000,MATCH(A1676,'Semrush Data'!$A$1:$A$20000,0),MATCH("Intent",'Semrush Data'!$A$1:$Z$1,0)),"")</f>
        <v/>
      </c>
    </row>
    <row r="1677" customFormat="false" ht="15" hidden="false" customHeight="true" outlineLevel="0" collapsed="false">
      <c r="A1677" s="6" t="s">
        <v>3078</v>
      </c>
      <c r="B1677" s="6" t="s">
        <v>1415</v>
      </c>
      <c r="C1677" s="6" t="n">
        <v>3</v>
      </c>
      <c r="D1677" s="6" t="n">
        <v>17</v>
      </c>
      <c r="E1677" s="6" t="n">
        <v>2</v>
      </c>
      <c r="F1677" s="6" t="s">
        <v>6843</v>
      </c>
      <c r="G1677" s="28" t="str">
        <f aca="false">IFERROR(INDEX('Semrush Data'!$A$1:$Z$20000,MATCH(A1677,'Semrush Data'!$A$1:$A$20000,0),MATCH("Volume",'Semrush Data'!$A$1:$Z$1,0)),"")</f>
        <v/>
      </c>
      <c r="H1677" s="6" t="str">
        <f aca="false">IFERROR(INDEX('Semrush Data'!$A$1:$Z$20000,MATCH(A1677,'Semrush Data'!$A$1:$A$20000,0),MATCH("Keyword Difficulty*",'Semrush Data'!$A$1:$Z$1,0)),"")</f>
        <v/>
      </c>
      <c r="I1677" s="29" t="str">
        <f aca="false">IFERROR(INDEX('Semrush Data'!$A$1:$Z$20000,MATCH(A1677,'Semrush Data'!$A$1:$A$20000,0),MATCH("CPC*",'Semrush Data'!$A$1:$Z$1,0)),"")</f>
        <v/>
      </c>
      <c r="J1677" s="6" t="str">
        <f aca="false">IFERROR(INDEX('Semrush Data'!$A$1:$Z$20000,MATCH(A1677,'Semrush Data'!$A$1:$A$20000,0),MATCH("Intent",'Semrush Data'!$A$1:$Z$1,0)),"")</f>
        <v/>
      </c>
    </row>
    <row r="1678" customFormat="false" ht="15" hidden="false" customHeight="true" outlineLevel="0" collapsed="false">
      <c r="A1678" s="6" t="s">
        <v>3049</v>
      </c>
      <c r="B1678" s="6" t="s">
        <v>1415</v>
      </c>
      <c r="C1678" s="6" t="n">
        <v>3</v>
      </c>
      <c r="D1678" s="6" t="n">
        <v>17</v>
      </c>
      <c r="E1678" s="6" t="n">
        <v>2</v>
      </c>
      <c r="F1678" s="6" t="s">
        <v>6842</v>
      </c>
      <c r="G1678" s="28" t="str">
        <f aca="false">IFERROR(INDEX('Semrush Data'!$A$1:$Z$20000,MATCH(A1678,'Semrush Data'!$A$1:$A$20000,0),MATCH("Volume",'Semrush Data'!$A$1:$Z$1,0)),"")</f>
        <v/>
      </c>
      <c r="H1678" s="6" t="str">
        <f aca="false">IFERROR(INDEX('Semrush Data'!$A$1:$Z$20000,MATCH(A1678,'Semrush Data'!$A$1:$A$20000,0),MATCH("Keyword Difficulty*",'Semrush Data'!$A$1:$Z$1,0)),"")</f>
        <v/>
      </c>
      <c r="I1678" s="29" t="str">
        <f aca="false">IFERROR(INDEX('Semrush Data'!$A$1:$Z$20000,MATCH(A1678,'Semrush Data'!$A$1:$A$20000,0),MATCH("CPC*",'Semrush Data'!$A$1:$Z$1,0)),"")</f>
        <v/>
      </c>
      <c r="J1678" s="6" t="str">
        <f aca="false">IFERROR(INDEX('Semrush Data'!$A$1:$Z$20000,MATCH(A1678,'Semrush Data'!$A$1:$A$20000,0),MATCH("Intent",'Semrush Data'!$A$1:$Z$1,0)),"")</f>
        <v/>
      </c>
    </row>
    <row r="1679" customFormat="false" ht="15" hidden="false" customHeight="true" outlineLevel="0" collapsed="false">
      <c r="A1679" s="6" t="s">
        <v>3125</v>
      </c>
      <c r="B1679" s="6" t="s">
        <v>1415</v>
      </c>
      <c r="C1679" s="6" t="n">
        <v>3</v>
      </c>
      <c r="D1679" s="6" t="n">
        <v>17</v>
      </c>
      <c r="E1679" s="6" t="n">
        <v>1</v>
      </c>
      <c r="F1679" s="6" t="s">
        <v>3121</v>
      </c>
      <c r="G1679" s="28" t="str">
        <f aca="false">IFERROR(INDEX('Semrush Data'!$A$1:$Z$20000,MATCH(A1679,'Semrush Data'!$A$1:$A$20000,0),MATCH("Volume",'Semrush Data'!$A$1:$Z$1,0)),"")</f>
        <v/>
      </c>
      <c r="H1679" s="6" t="str">
        <f aca="false">IFERROR(INDEX('Semrush Data'!$A$1:$Z$20000,MATCH(A1679,'Semrush Data'!$A$1:$A$20000,0),MATCH("Keyword Difficulty*",'Semrush Data'!$A$1:$Z$1,0)),"")</f>
        <v/>
      </c>
      <c r="I1679" s="29" t="str">
        <f aca="false">IFERROR(INDEX('Semrush Data'!$A$1:$Z$20000,MATCH(A1679,'Semrush Data'!$A$1:$A$20000,0),MATCH("CPC*",'Semrush Data'!$A$1:$Z$1,0)),"")</f>
        <v/>
      </c>
      <c r="J1679" s="6" t="str">
        <f aca="false">IFERROR(INDEX('Semrush Data'!$A$1:$Z$20000,MATCH(A1679,'Semrush Data'!$A$1:$A$20000,0),MATCH("Intent",'Semrush Data'!$A$1:$Z$1,0)),"")</f>
        <v/>
      </c>
    </row>
    <row r="1680" customFormat="false" ht="15" hidden="false" customHeight="true" outlineLevel="0" collapsed="false">
      <c r="A1680" s="6" t="s">
        <v>3091</v>
      </c>
      <c r="B1680" s="6" t="s">
        <v>1415</v>
      </c>
      <c r="C1680" s="6" t="n">
        <v>3</v>
      </c>
      <c r="D1680" s="6" t="s">
        <v>6870</v>
      </c>
      <c r="E1680" s="6" t="n">
        <v>1</v>
      </c>
      <c r="F1680" s="6" t="s">
        <v>79</v>
      </c>
      <c r="G1680" s="28" t="n">
        <f aca="false">IFERROR(INDEX('Semrush Data'!$A$1:$Z$20000,MATCH(A1680,'Semrush Data'!$A$1:$A$20000,0),MATCH("Volume",'Semrush Data'!$A$1:$Z$1,0)),"")</f>
        <v>0</v>
      </c>
      <c r="H1680" s="6" t="n">
        <f aca="false">IFERROR(INDEX('Semrush Data'!$A$1:$Z$20000,MATCH(A1680,'Semrush Data'!$A$1:$A$20000,0),MATCH("Keyword Difficulty*",'Semrush Data'!$A$1:$Z$1,0)),"")</f>
        <v>18</v>
      </c>
      <c r="I1680" s="29" t="n">
        <f aca="false">IFERROR(INDEX('Semrush Data'!$A$1:$Z$20000,MATCH(A1680,'Semrush Data'!$A$1:$A$20000,0),MATCH("CPC*",'Semrush Data'!$A$1:$Z$1,0)),"")</f>
        <v>0</v>
      </c>
      <c r="J1680" s="6" t="str">
        <f aca="false">IFERROR(INDEX('Semrush Data'!$A$1:$Z$20000,MATCH(A1680,'Semrush Data'!$A$1:$A$20000,0),MATCH("Intent",'Semrush Data'!$A$1:$Z$1,0)),"")</f>
        <v>Transactional</v>
      </c>
    </row>
    <row r="1681" customFormat="false" ht="15" hidden="false" customHeight="true" outlineLevel="0" collapsed="false">
      <c r="A1681" s="6" t="s">
        <v>3135</v>
      </c>
      <c r="B1681" s="6" t="s">
        <v>1415</v>
      </c>
      <c r="C1681" s="6" t="n">
        <v>3</v>
      </c>
      <c r="D1681" s="6" t="n">
        <v>17</v>
      </c>
      <c r="E1681" s="6" t="n">
        <v>1</v>
      </c>
      <c r="F1681" s="6" t="s">
        <v>3131</v>
      </c>
      <c r="G1681" s="28" t="str">
        <f aca="false">IFERROR(INDEX('Semrush Data'!$A$1:$Z$20000,MATCH(A1681,'Semrush Data'!$A$1:$A$20000,0),MATCH("Volume",'Semrush Data'!$A$1:$Z$1,0)),"")</f>
        <v/>
      </c>
      <c r="H1681" s="6" t="str">
        <f aca="false">IFERROR(INDEX('Semrush Data'!$A$1:$Z$20000,MATCH(A1681,'Semrush Data'!$A$1:$A$20000,0),MATCH("Keyword Difficulty*",'Semrush Data'!$A$1:$Z$1,0)),"")</f>
        <v/>
      </c>
      <c r="I1681" s="29" t="str">
        <f aca="false">IFERROR(INDEX('Semrush Data'!$A$1:$Z$20000,MATCH(A1681,'Semrush Data'!$A$1:$A$20000,0),MATCH("CPC*",'Semrush Data'!$A$1:$Z$1,0)),"")</f>
        <v/>
      </c>
      <c r="J1681" s="6" t="str">
        <f aca="false">IFERROR(INDEX('Semrush Data'!$A$1:$Z$20000,MATCH(A1681,'Semrush Data'!$A$1:$A$20000,0),MATCH("Intent",'Semrush Data'!$A$1:$Z$1,0)),"")</f>
        <v/>
      </c>
    </row>
    <row r="1682" customFormat="false" ht="15" hidden="false" customHeight="true" outlineLevel="0" collapsed="false">
      <c r="A1682" s="6" t="s">
        <v>3145</v>
      </c>
      <c r="B1682" s="6" t="s">
        <v>1415</v>
      </c>
      <c r="C1682" s="6" t="n">
        <v>3</v>
      </c>
      <c r="D1682" s="6" t="n">
        <v>17</v>
      </c>
      <c r="E1682" s="6" t="n">
        <v>1</v>
      </c>
      <c r="F1682" s="6" t="s">
        <v>3141</v>
      </c>
      <c r="G1682" s="28" t="str">
        <f aca="false">IFERROR(INDEX('Semrush Data'!$A$1:$Z$20000,MATCH(A1682,'Semrush Data'!$A$1:$A$20000,0),MATCH("Volume",'Semrush Data'!$A$1:$Z$1,0)),"")</f>
        <v/>
      </c>
      <c r="H1682" s="6" t="str">
        <f aca="false">IFERROR(INDEX('Semrush Data'!$A$1:$Z$20000,MATCH(A1682,'Semrush Data'!$A$1:$A$20000,0),MATCH("Keyword Difficulty*",'Semrush Data'!$A$1:$Z$1,0)),"")</f>
        <v/>
      </c>
      <c r="I1682" s="29" t="str">
        <f aca="false">IFERROR(INDEX('Semrush Data'!$A$1:$Z$20000,MATCH(A1682,'Semrush Data'!$A$1:$A$20000,0),MATCH("CPC*",'Semrush Data'!$A$1:$Z$1,0)),"")</f>
        <v/>
      </c>
      <c r="J1682" s="6" t="str">
        <f aca="false">IFERROR(INDEX('Semrush Data'!$A$1:$Z$20000,MATCH(A1682,'Semrush Data'!$A$1:$A$20000,0),MATCH("Intent",'Semrush Data'!$A$1:$Z$1,0)),"")</f>
        <v/>
      </c>
    </row>
    <row r="1683" customFormat="false" ht="15" hidden="false" customHeight="true" outlineLevel="0" collapsed="false">
      <c r="A1683" s="6" t="s">
        <v>3155</v>
      </c>
      <c r="B1683" s="6" t="s">
        <v>1415</v>
      </c>
      <c r="C1683" s="6" t="n">
        <v>3</v>
      </c>
      <c r="D1683" s="6" t="n">
        <v>17</v>
      </c>
      <c r="E1683" s="6" t="n">
        <v>1</v>
      </c>
      <c r="F1683" s="6" t="s">
        <v>3151</v>
      </c>
      <c r="G1683" s="28" t="str">
        <f aca="false">IFERROR(INDEX('Semrush Data'!$A$1:$Z$20000,MATCH(A1683,'Semrush Data'!$A$1:$A$20000,0),MATCH("Volume",'Semrush Data'!$A$1:$Z$1,0)),"")</f>
        <v/>
      </c>
      <c r="H1683" s="6" t="str">
        <f aca="false">IFERROR(INDEX('Semrush Data'!$A$1:$Z$20000,MATCH(A1683,'Semrush Data'!$A$1:$A$20000,0),MATCH("Keyword Difficulty*",'Semrush Data'!$A$1:$Z$1,0)),"")</f>
        <v/>
      </c>
      <c r="I1683" s="29" t="str">
        <f aca="false">IFERROR(INDEX('Semrush Data'!$A$1:$Z$20000,MATCH(A1683,'Semrush Data'!$A$1:$A$20000,0),MATCH("CPC*",'Semrush Data'!$A$1:$Z$1,0)),"")</f>
        <v/>
      </c>
      <c r="J1683" s="6" t="str">
        <f aca="false">IFERROR(INDEX('Semrush Data'!$A$1:$Z$20000,MATCH(A1683,'Semrush Data'!$A$1:$A$20000,0),MATCH("Intent",'Semrush Data'!$A$1:$Z$1,0)),"")</f>
        <v/>
      </c>
    </row>
    <row r="1684" customFormat="false" ht="15" hidden="false" customHeight="true" outlineLevel="0" collapsed="false">
      <c r="A1684" s="6" t="s">
        <v>3114</v>
      </c>
      <c r="B1684" s="6" t="s">
        <v>1415</v>
      </c>
      <c r="C1684" s="6" t="n">
        <v>3</v>
      </c>
      <c r="D1684" s="6" t="n">
        <v>17</v>
      </c>
      <c r="E1684" s="6" t="n">
        <v>1</v>
      </c>
      <c r="F1684" s="6" t="s">
        <v>145</v>
      </c>
      <c r="G1684" s="28" t="str">
        <f aca="false">IFERROR(INDEX('Semrush Data'!$A$1:$Z$20000,MATCH(A1684,'Semrush Data'!$A$1:$A$20000,0),MATCH("Volume",'Semrush Data'!$A$1:$Z$1,0)),"")</f>
        <v/>
      </c>
      <c r="H1684" s="6" t="str">
        <f aca="false">IFERROR(INDEX('Semrush Data'!$A$1:$Z$20000,MATCH(A1684,'Semrush Data'!$A$1:$A$20000,0),MATCH("Keyword Difficulty*",'Semrush Data'!$A$1:$Z$1,0)),"")</f>
        <v/>
      </c>
      <c r="I1684" s="29" t="str">
        <f aca="false">IFERROR(INDEX('Semrush Data'!$A$1:$Z$20000,MATCH(A1684,'Semrush Data'!$A$1:$A$20000,0),MATCH("CPC*",'Semrush Data'!$A$1:$Z$1,0)),"")</f>
        <v/>
      </c>
      <c r="J1684" s="6" t="str">
        <f aca="false">IFERROR(INDEX('Semrush Data'!$A$1:$Z$20000,MATCH(A1684,'Semrush Data'!$A$1:$A$20000,0),MATCH("Intent",'Semrush Data'!$A$1:$Z$1,0)),"")</f>
        <v/>
      </c>
    </row>
    <row r="1685" customFormat="false" ht="15" hidden="false" customHeight="true" outlineLevel="0" collapsed="false">
      <c r="A1685" s="6" t="s">
        <v>3165</v>
      </c>
      <c r="B1685" s="6" t="s">
        <v>1415</v>
      </c>
      <c r="C1685" s="6" t="n">
        <v>3</v>
      </c>
      <c r="D1685" s="6" t="n">
        <v>17</v>
      </c>
      <c r="E1685" s="6" t="n">
        <v>1</v>
      </c>
      <c r="F1685" s="6" t="s">
        <v>3161</v>
      </c>
      <c r="G1685" s="28" t="str">
        <f aca="false">IFERROR(INDEX('Semrush Data'!$A$1:$Z$20000,MATCH(A1685,'Semrush Data'!$A$1:$A$20000,0),MATCH("Volume",'Semrush Data'!$A$1:$Z$1,0)),"")</f>
        <v/>
      </c>
      <c r="H1685" s="6" t="str">
        <f aca="false">IFERROR(INDEX('Semrush Data'!$A$1:$Z$20000,MATCH(A1685,'Semrush Data'!$A$1:$A$20000,0),MATCH("Keyword Difficulty*",'Semrush Data'!$A$1:$Z$1,0)),"")</f>
        <v/>
      </c>
      <c r="I1685" s="29" t="str">
        <f aca="false">IFERROR(INDEX('Semrush Data'!$A$1:$Z$20000,MATCH(A1685,'Semrush Data'!$A$1:$A$20000,0),MATCH("CPC*",'Semrush Data'!$A$1:$Z$1,0)),"")</f>
        <v/>
      </c>
      <c r="J1685" s="6" t="str">
        <f aca="false">IFERROR(INDEX('Semrush Data'!$A$1:$Z$20000,MATCH(A1685,'Semrush Data'!$A$1:$A$20000,0),MATCH("Intent",'Semrush Data'!$A$1:$Z$1,0)),"")</f>
        <v/>
      </c>
    </row>
    <row r="1686" customFormat="false" ht="15" hidden="false" customHeight="true" outlineLevel="0" collapsed="false">
      <c r="A1686" s="6" t="s">
        <v>3103</v>
      </c>
      <c r="B1686" s="6" t="s">
        <v>1415</v>
      </c>
      <c r="C1686" s="6" t="n">
        <v>3</v>
      </c>
      <c r="D1686" s="6" t="n">
        <v>17</v>
      </c>
      <c r="E1686" s="6" t="n">
        <v>1</v>
      </c>
      <c r="F1686" s="6" t="s">
        <v>3099</v>
      </c>
      <c r="G1686" s="28" t="str">
        <f aca="false">IFERROR(INDEX('Semrush Data'!$A$1:$Z$20000,MATCH(A1686,'Semrush Data'!$A$1:$A$20000,0),MATCH("Volume",'Semrush Data'!$A$1:$Z$1,0)),"")</f>
        <v/>
      </c>
      <c r="H1686" s="6" t="str">
        <f aca="false">IFERROR(INDEX('Semrush Data'!$A$1:$Z$20000,MATCH(A1686,'Semrush Data'!$A$1:$A$20000,0),MATCH("Keyword Difficulty*",'Semrush Data'!$A$1:$Z$1,0)),"")</f>
        <v/>
      </c>
      <c r="I1686" s="29" t="str">
        <f aca="false">IFERROR(INDEX('Semrush Data'!$A$1:$Z$20000,MATCH(A1686,'Semrush Data'!$A$1:$A$20000,0),MATCH("CPC*",'Semrush Data'!$A$1:$Z$1,0)),"")</f>
        <v/>
      </c>
      <c r="J1686" s="6" t="str">
        <f aca="false">IFERROR(INDEX('Semrush Data'!$A$1:$Z$20000,MATCH(A1686,'Semrush Data'!$A$1:$A$20000,0),MATCH("Intent",'Semrush Data'!$A$1:$Z$1,0)),"")</f>
        <v/>
      </c>
    </row>
    <row r="1687" customFormat="false" ht="15" hidden="false" customHeight="true" outlineLevel="0" collapsed="false">
      <c r="A1687" s="6" t="s">
        <v>3176</v>
      </c>
      <c r="B1687" s="6" t="s">
        <v>1415</v>
      </c>
      <c r="C1687" s="6" t="n">
        <v>3</v>
      </c>
      <c r="D1687" s="6" t="n">
        <v>17</v>
      </c>
      <c r="E1687" s="6" t="n">
        <v>1</v>
      </c>
      <c r="F1687" s="6" t="s">
        <v>3171</v>
      </c>
      <c r="G1687" s="28" t="str">
        <f aca="false">IFERROR(INDEX('Semrush Data'!$A$1:$Z$20000,MATCH(A1687,'Semrush Data'!$A$1:$A$20000,0),MATCH("Volume",'Semrush Data'!$A$1:$Z$1,0)),"")</f>
        <v/>
      </c>
      <c r="H1687" s="6" t="str">
        <f aca="false">IFERROR(INDEX('Semrush Data'!$A$1:$Z$20000,MATCH(A1687,'Semrush Data'!$A$1:$A$20000,0),MATCH("Keyword Difficulty*",'Semrush Data'!$A$1:$Z$1,0)),"")</f>
        <v/>
      </c>
      <c r="I1687" s="29" t="str">
        <f aca="false">IFERROR(INDEX('Semrush Data'!$A$1:$Z$20000,MATCH(A1687,'Semrush Data'!$A$1:$A$20000,0),MATCH("CPC*",'Semrush Data'!$A$1:$Z$1,0)),"")</f>
        <v/>
      </c>
      <c r="J1687" s="6" t="str">
        <f aca="false">IFERROR(INDEX('Semrush Data'!$A$1:$Z$20000,MATCH(A1687,'Semrush Data'!$A$1:$A$20000,0),MATCH("Intent",'Semrush Data'!$A$1:$Z$1,0)),"")</f>
        <v/>
      </c>
    </row>
    <row r="1688" customFormat="false" ht="15" hidden="false" customHeight="true" outlineLevel="0" collapsed="false">
      <c r="A1688" s="6" t="s">
        <v>3235</v>
      </c>
      <c r="B1688" s="6" t="s">
        <v>1415</v>
      </c>
      <c r="C1688" s="6" t="n">
        <v>3</v>
      </c>
      <c r="D1688" s="6" t="n">
        <v>17</v>
      </c>
      <c r="E1688" s="6" t="n">
        <v>2</v>
      </c>
      <c r="F1688" s="6" t="s">
        <v>6844</v>
      </c>
      <c r="G1688" s="28" t="str">
        <f aca="false">IFERROR(INDEX('Semrush Data'!$A$1:$Z$20000,MATCH(A1688,'Semrush Data'!$A$1:$A$20000,0),MATCH("Volume",'Semrush Data'!$A$1:$Z$1,0)),"")</f>
        <v/>
      </c>
      <c r="H1688" s="6" t="str">
        <f aca="false">IFERROR(INDEX('Semrush Data'!$A$1:$Z$20000,MATCH(A1688,'Semrush Data'!$A$1:$A$20000,0),MATCH("Keyword Difficulty*",'Semrush Data'!$A$1:$Z$1,0)),"")</f>
        <v/>
      </c>
      <c r="I1688" s="29" t="str">
        <f aca="false">IFERROR(INDEX('Semrush Data'!$A$1:$Z$20000,MATCH(A1688,'Semrush Data'!$A$1:$A$20000,0),MATCH("CPC*",'Semrush Data'!$A$1:$Z$1,0)),"")</f>
        <v/>
      </c>
      <c r="J1688" s="6" t="str">
        <f aca="false">IFERROR(INDEX('Semrush Data'!$A$1:$Z$20000,MATCH(A1688,'Semrush Data'!$A$1:$A$20000,0),MATCH("Intent",'Semrush Data'!$A$1:$Z$1,0)),"")</f>
        <v/>
      </c>
    </row>
    <row r="1689" customFormat="false" ht="15" hidden="false" customHeight="true" outlineLevel="0" collapsed="false">
      <c r="A1689" s="6" t="s">
        <v>3226</v>
      </c>
      <c r="B1689" s="6" t="s">
        <v>1415</v>
      </c>
      <c r="C1689" s="6" t="n">
        <v>3</v>
      </c>
      <c r="D1689" s="6" t="n">
        <v>17</v>
      </c>
      <c r="E1689" s="6" t="n">
        <v>1</v>
      </c>
      <c r="F1689" s="6" t="s">
        <v>3222</v>
      </c>
      <c r="G1689" s="28" t="str">
        <f aca="false">IFERROR(INDEX('Semrush Data'!$A$1:$Z$20000,MATCH(A1689,'Semrush Data'!$A$1:$A$20000,0),MATCH("Volume",'Semrush Data'!$A$1:$Z$1,0)),"")</f>
        <v/>
      </c>
      <c r="H1689" s="6" t="str">
        <f aca="false">IFERROR(INDEX('Semrush Data'!$A$1:$Z$20000,MATCH(A1689,'Semrush Data'!$A$1:$A$20000,0),MATCH("Keyword Difficulty*",'Semrush Data'!$A$1:$Z$1,0)),"")</f>
        <v/>
      </c>
      <c r="I1689" s="29" t="str">
        <f aca="false">IFERROR(INDEX('Semrush Data'!$A$1:$Z$20000,MATCH(A1689,'Semrush Data'!$A$1:$A$20000,0),MATCH("CPC*",'Semrush Data'!$A$1:$Z$1,0)),"")</f>
        <v/>
      </c>
      <c r="J1689" s="6" t="str">
        <f aca="false">IFERROR(INDEX('Semrush Data'!$A$1:$Z$20000,MATCH(A1689,'Semrush Data'!$A$1:$A$20000,0),MATCH("Intent",'Semrush Data'!$A$1:$Z$1,0)),"")</f>
        <v/>
      </c>
    </row>
    <row r="1690" customFormat="false" ht="15" hidden="false" customHeight="true" outlineLevel="0" collapsed="false">
      <c r="A1690" s="6" t="s">
        <v>3247</v>
      </c>
      <c r="B1690" s="6" t="s">
        <v>1415</v>
      </c>
      <c r="C1690" s="6" t="n">
        <v>3</v>
      </c>
      <c r="D1690" s="6" t="n">
        <v>17</v>
      </c>
      <c r="E1690" s="6" t="n">
        <v>2</v>
      </c>
      <c r="F1690" s="6" t="s">
        <v>6846</v>
      </c>
      <c r="G1690" s="28" t="str">
        <f aca="false">IFERROR(INDEX('Semrush Data'!$A$1:$Z$20000,MATCH(A1690,'Semrush Data'!$A$1:$A$20000,0),MATCH("Volume",'Semrush Data'!$A$1:$Z$1,0)),"")</f>
        <v/>
      </c>
      <c r="H1690" s="6" t="str">
        <f aca="false">IFERROR(INDEX('Semrush Data'!$A$1:$Z$20000,MATCH(A1690,'Semrush Data'!$A$1:$A$20000,0),MATCH("Keyword Difficulty*",'Semrush Data'!$A$1:$Z$1,0)),"")</f>
        <v/>
      </c>
      <c r="I1690" s="29" t="str">
        <f aca="false">IFERROR(INDEX('Semrush Data'!$A$1:$Z$20000,MATCH(A1690,'Semrush Data'!$A$1:$A$20000,0),MATCH("CPC*",'Semrush Data'!$A$1:$Z$1,0)),"")</f>
        <v/>
      </c>
      <c r="J1690" s="6" t="str">
        <f aca="false">IFERROR(INDEX('Semrush Data'!$A$1:$Z$20000,MATCH(A1690,'Semrush Data'!$A$1:$A$20000,0),MATCH("Intent",'Semrush Data'!$A$1:$Z$1,0)),"")</f>
        <v/>
      </c>
    </row>
    <row r="1691" customFormat="false" ht="15" hidden="false" customHeight="true" outlineLevel="0" collapsed="false">
      <c r="A1691" s="6" t="s">
        <v>3185</v>
      </c>
      <c r="B1691" s="6" t="s">
        <v>1415</v>
      </c>
      <c r="C1691" s="6" t="n">
        <v>3</v>
      </c>
      <c r="D1691" s="6" t="s">
        <v>6870</v>
      </c>
      <c r="E1691" s="6" t="n">
        <v>2</v>
      </c>
      <c r="F1691" s="6" t="s">
        <v>6845</v>
      </c>
      <c r="G1691" s="28" t="n">
        <f aca="false">IFERROR(INDEX('Semrush Data'!$A$1:$Z$20000,MATCH(A1691,'Semrush Data'!$A$1:$A$20000,0),MATCH("Volume",'Semrush Data'!$A$1:$Z$1,0)),"")</f>
        <v>0</v>
      </c>
      <c r="H1691" s="6" t="n">
        <f aca="false">IFERROR(INDEX('Semrush Data'!$A$1:$Z$20000,MATCH(A1691,'Semrush Data'!$A$1:$A$20000,0),MATCH("Keyword Difficulty*",'Semrush Data'!$A$1:$Z$1,0)),"")</f>
        <v>17</v>
      </c>
      <c r="I1691" s="29" t="n">
        <f aca="false">IFERROR(INDEX('Semrush Data'!$A$1:$Z$20000,MATCH(A1691,'Semrush Data'!$A$1:$A$20000,0),MATCH("CPC*",'Semrush Data'!$A$1:$Z$1,0)),"")</f>
        <v>0</v>
      </c>
      <c r="J1691" s="6" t="str">
        <f aca="false">IFERROR(INDEX('Semrush Data'!$A$1:$Z$20000,MATCH(A1691,'Semrush Data'!$A$1:$A$20000,0),MATCH("Intent",'Semrush Data'!$A$1:$Z$1,0)),"")</f>
        <v>Transactional</v>
      </c>
    </row>
    <row r="1692" customFormat="false" ht="15" hidden="false" customHeight="true" outlineLevel="0" collapsed="false">
      <c r="A1692" s="6" t="s">
        <v>3260</v>
      </c>
      <c r="B1692" s="6" t="s">
        <v>1415</v>
      </c>
      <c r="C1692" s="6" t="n">
        <v>3</v>
      </c>
      <c r="D1692" s="6" t="n">
        <v>17</v>
      </c>
      <c r="E1692" s="6" t="n">
        <v>1</v>
      </c>
      <c r="F1692" s="6" t="s">
        <v>3256</v>
      </c>
      <c r="G1692" s="28" t="str">
        <f aca="false">IFERROR(INDEX('Semrush Data'!$A$1:$Z$20000,MATCH(A1692,'Semrush Data'!$A$1:$A$20000,0),MATCH("Volume",'Semrush Data'!$A$1:$Z$1,0)),"")</f>
        <v/>
      </c>
      <c r="H1692" s="6" t="str">
        <f aca="false">IFERROR(INDEX('Semrush Data'!$A$1:$Z$20000,MATCH(A1692,'Semrush Data'!$A$1:$A$20000,0),MATCH("Keyword Difficulty*",'Semrush Data'!$A$1:$Z$1,0)),"")</f>
        <v/>
      </c>
      <c r="I1692" s="29" t="str">
        <f aca="false">IFERROR(INDEX('Semrush Data'!$A$1:$Z$20000,MATCH(A1692,'Semrush Data'!$A$1:$A$20000,0),MATCH("CPC*",'Semrush Data'!$A$1:$Z$1,0)),"")</f>
        <v/>
      </c>
      <c r="J1692" s="6" t="str">
        <f aca="false">IFERROR(INDEX('Semrush Data'!$A$1:$Z$20000,MATCH(A1692,'Semrush Data'!$A$1:$A$20000,0),MATCH("Intent",'Semrush Data'!$A$1:$Z$1,0)),"")</f>
        <v/>
      </c>
    </row>
    <row r="1693" customFormat="false" ht="15" hidden="false" customHeight="true" outlineLevel="0" collapsed="false">
      <c r="A1693" s="6" t="s">
        <v>3215</v>
      </c>
      <c r="B1693" s="6" t="s">
        <v>1415</v>
      </c>
      <c r="C1693" s="6" t="n">
        <v>3</v>
      </c>
      <c r="D1693" s="6" t="n">
        <v>17</v>
      </c>
      <c r="E1693" s="6" t="n">
        <v>1</v>
      </c>
      <c r="F1693" s="6" t="s">
        <v>3210</v>
      </c>
      <c r="G1693" s="28" t="str">
        <f aca="false">IFERROR(INDEX('Semrush Data'!$A$1:$Z$20000,MATCH(A1693,'Semrush Data'!$A$1:$A$20000,0),MATCH("Volume",'Semrush Data'!$A$1:$Z$1,0)),"")</f>
        <v/>
      </c>
      <c r="H1693" s="6" t="str">
        <f aca="false">IFERROR(INDEX('Semrush Data'!$A$1:$Z$20000,MATCH(A1693,'Semrush Data'!$A$1:$A$20000,0),MATCH("Keyword Difficulty*",'Semrush Data'!$A$1:$Z$1,0)),"")</f>
        <v/>
      </c>
      <c r="I1693" s="29" t="str">
        <f aca="false">IFERROR(INDEX('Semrush Data'!$A$1:$Z$20000,MATCH(A1693,'Semrush Data'!$A$1:$A$20000,0),MATCH("CPC*",'Semrush Data'!$A$1:$Z$1,0)),"")</f>
        <v/>
      </c>
      <c r="J1693" s="6" t="str">
        <f aca="false">IFERROR(INDEX('Semrush Data'!$A$1:$Z$20000,MATCH(A1693,'Semrush Data'!$A$1:$A$20000,0),MATCH("Intent",'Semrush Data'!$A$1:$Z$1,0)),"")</f>
        <v/>
      </c>
    </row>
    <row r="1694" customFormat="false" ht="15" hidden="false" customHeight="true" outlineLevel="0" collapsed="false">
      <c r="A1694" s="6" t="s">
        <v>3197</v>
      </c>
      <c r="B1694" s="6" t="s">
        <v>1415</v>
      </c>
      <c r="C1694" s="6" t="n">
        <v>3</v>
      </c>
      <c r="D1694" s="6" t="n">
        <v>17</v>
      </c>
      <c r="E1694" s="6" t="n">
        <v>1</v>
      </c>
      <c r="F1694" s="6" t="s">
        <v>3193</v>
      </c>
      <c r="G1694" s="28" t="str">
        <f aca="false">IFERROR(INDEX('Semrush Data'!$A$1:$Z$20000,MATCH(A1694,'Semrush Data'!$A$1:$A$20000,0),MATCH("Volume",'Semrush Data'!$A$1:$Z$1,0)),"")</f>
        <v/>
      </c>
      <c r="H1694" s="6" t="str">
        <f aca="false">IFERROR(INDEX('Semrush Data'!$A$1:$Z$20000,MATCH(A1694,'Semrush Data'!$A$1:$A$20000,0),MATCH("Keyword Difficulty*",'Semrush Data'!$A$1:$Z$1,0)),"")</f>
        <v/>
      </c>
      <c r="I1694" s="29" t="str">
        <f aca="false">IFERROR(INDEX('Semrush Data'!$A$1:$Z$20000,MATCH(A1694,'Semrush Data'!$A$1:$A$20000,0),MATCH("CPC*",'Semrush Data'!$A$1:$Z$1,0)),"")</f>
        <v/>
      </c>
      <c r="J1694" s="6" t="str">
        <f aca="false">IFERROR(INDEX('Semrush Data'!$A$1:$Z$20000,MATCH(A1694,'Semrush Data'!$A$1:$A$20000,0),MATCH("Intent",'Semrush Data'!$A$1:$Z$1,0)),"")</f>
        <v/>
      </c>
    </row>
    <row r="1695" customFormat="false" ht="15" hidden="false" customHeight="true" outlineLevel="0" collapsed="false">
      <c r="A1695" s="6" t="s">
        <v>3313</v>
      </c>
      <c r="B1695" s="6" t="s">
        <v>1415</v>
      </c>
      <c r="C1695" s="6" t="n">
        <v>3</v>
      </c>
      <c r="D1695" s="6" t="n">
        <v>17</v>
      </c>
      <c r="E1695" s="6" t="n">
        <v>1</v>
      </c>
      <c r="F1695" s="6" t="s">
        <v>3308</v>
      </c>
      <c r="G1695" s="28" t="str">
        <f aca="false">IFERROR(INDEX('Semrush Data'!$A$1:$Z$20000,MATCH(A1695,'Semrush Data'!$A$1:$A$20000,0),MATCH("Volume",'Semrush Data'!$A$1:$Z$1,0)),"")</f>
        <v/>
      </c>
      <c r="H1695" s="6" t="str">
        <f aca="false">IFERROR(INDEX('Semrush Data'!$A$1:$Z$20000,MATCH(A1695,'Semrush Data'!$A$1:$A$20000,0),MATCH("Keyword Difficulty*",'Semrush Data'!$A$1:$Z$1,0)),"")</f>
        <v/>
      </c>
      <c r="I1695" s="29" t="str">
        <f aca="false">IFERROR(INDEX('Semrush Data'!$A$1:$Z$20000,MATCH(A1695,'Semrush Data'!$A$1:$A$20000,0),MATCH("CPC*",'Semrush Data'!$A$1:$Z$1,0)),"")</f>
        <v/>
      </c>
      <c r="J1695" s="6" t="str">
        <f aca="false">IFERROR(INDEX('Semrush Data'!$A$1:$Z$20000,MATCH(A1695,'Semrush Data'!$A$1:$A$20000,0),MATCH("Intent",'Semrush Data'!$A$1:$Z$1,0)),"")</f>
        <v/>
      </c>
    </row>
    <row r="1696" customFormat="false" ht="15" hidden="false" customHeight="true" outlineLevel="0" collapsed="false">
      <c r="A1696" s="6" t="s">
        <v>3322</v>
      </c>
      <c r="B1696" s="6" t="s">
        <v>1415</v>
      </c>
      <c r="C1696" s="6" t="n">
        <v>3</v>
      </c>
      <c r="D1696" s="6" t="n">
        <v>17</v>
      </c>
      <c r="E1696" s="6" t="n">
        <v>1</v>
      </c>
      <c r="F1696" s="6" t="s">
        <v>131</v>
      </c>
      <c r="G1696" s="28" t="str">
        <f aca="false">IFERROR(INDEX('Semrush Data'!$A$1:$Z$20000,MATCH(A1696,'Semrush Data'!$A$1:$A$20000,0),MATCH("Volume",'Semrush Data'!$A$1:$Z$1,0)),"")</f>
        <v/>
      </c>
      <c r="H1696" s="6" t="str">
        <f aca="false">IFERROR(INDEX('Semrush Data'!$A$1:$Z$20000,MATCH(A1696,'Semrush Data'!$A$1:$A$20000,0),MATCH("Keyword Difficulty*",'Semrush Data'!$A$1:$Z$1,0)),"")</f>
        <v/>
      </c>
      <c r="I1696" s="29" t="str">
        <f aca="false">IFERROR(INDEX('Semrush Data'!$A$1:$Z$20000,MATCH(A1696,'Semrush Data'!$A$1:$A$20000,0),MATCH("CPC*",'Semrush Data'!$A$1:$Z$1,0)),"")</f>
        <v/>
      </c>
      <c r="J1696" s="6" t="str">
        <f aca="false">IFERROR(INDEX('Semrush Data'!$A$1:$Z$20000,MATCH(A1696,'Semrush Data'!$A$1:$A$20000,0),MATCH("Intent",'Semrush Data'!$A$1:$Z$1,0)),"")</f>
        <v/>
      </c>
    </row>
    <row r="1697" customFormat="false" ht="15" hidden="false" customHeight="true" outlineLevel="0" collapsed="false">
      <c r="A1697" s="6" t="s">
        <v>3273</v>
      </c>
      <c r="B1697" s="6" t="s">
        <v>1415</v>
      </c>
      <c r="C1697" s="6" t="n">
        <v>3</v>
      </c>
      <c r="D1697" s="6" t="n">
        <v>17</v>
      </c>
      <c r="E1697" s="6" t="n">
        <v>1</v>
      </c>
      <c r="F1697" s="6" t="s">
        <v>3268</v>
      </c>
      <c r="G1697" s="28" t="str">
        <f aca="false">IFERROR(INDEX('Semrush Data'!$A$1:$Z$20000,MATCH(A1697,'Semrush Data'!$A$1:$A$20000,0),MATCH("Volume",'Semrush Data'!$A$1:$Z$1,0)),"")</f>
        <v/>
      </c>
      <c r="H1697" s="6" t="str">
        <f aca="false">IFERROR(INDEX('Semrush Data'!$A$1:$Z$20000,MATCH(A1697,'Semrush Data'!$A$1:$A$20000,0),MATCH("Keyword Difficulty*",'Semrush Data'!$A$1:$Z$1,0)),"")</f>
        <v/>
      </c>
      <c r="I1697" s="29" t="str">
        <f aca="false">IFERROR(INDEX('Semrush Data'!$A$1:$Z$20000,MATCH(A1697,'Semrush Data'!$A$1:$A$20000,0),MATCH("CPC*",'Semrush Data'!$A$1:$Z$1,0)),"")</f>
        <v/>
      </c>
      <c r="J1697" s="6" t="str">
        <f aca="false">IFERROR(INDEX('Semrush Data'!$A$1:$Z$20000,MATCH(A1697,'Semrush Data'!$A$1:$A$20000,0),MATCH("Intent",'Semrush Data'!$A$1:$Z$1,0)),"")</f>
        <v/>
      </c>
    </row>
    <row r="1698" customFormat="false" ht="15" hidden="false" customHeight="true" outlineLevel="0" collapsed="false">
      <c r="A1698" s="6" t="s">
        <v>3283</v>
      </c>
      <c r="B1698" s="6" t="s">
        <v>1415</v>
      </c>
      <c r="C1698" s="6" t="n">
        <v>3</v>
      </c>
      <c r="D1698" s="6" t="n">
        <v>17</v>
      </c>
      <c r="E1698" s="6" t="n">
        <v>2</v>
      </c>
      <c r="F1698" s="6" t="s">
        <v>6847</v>
      </c>
      <c r="G1698" s="28" t="str">
        <f aca="false">IFERROR(INDEX('Semrush Data'!$A$1:$Z$20000,MATCH(A1698,'Semrush Data'!$A$1:$A$20000,0),MATCH("Volume",'Semrush Data'!$A$1:$Z$1,0)),"")</f>
        <v/>
      </c>
      <c r="H1698" s="6" t="str">
        <f aca="false">IFERROR(INDEX('Semrush Data'!$A$1:$Z$20000,MATCH(A1698,'Semrush Data'!$A$1:$A$20000,0),MATCH("Keyword Difficulty*",'Semrush Data'!$A$1:$Z$1,0)),"")</f>
        <v/>
      </c>
      <c r="I1698" s="29" t="str">
        <f aca="false">IFERROR(INDEX('Semrush Data'!$A$1:$Z$20000,MATCH(A1698,'Semrush Data'!$A$1:$A$20000,0),MATCH("CPC*",'Semrush Data'!$A$1:$Z$1,0)),"")</f>
        <v/>
      </c>
      <c r="J1698" s="6" t="str">
        <f aca="false">IFERROR(INDEX('Semrush Data'!$A$1:$Z$20000,MATCH(A1698,'Semrush Data'!$A$1:$A$20000,0),MATCH("Intent",'Semrush Data'!$A$1:$Z$1,0)),"")</f>
        <v/>
      </c>
    </row>
    <row r="1699" customFormat="false" ht="15" hidden="false" customHeight="true" outlineLevel="0" collapsed="false">
      <c r="A1699" s="6" t="s">
        <v>3296</v>
      </c>
      <c r="B1699" s="6" t="s">
        <v>1415</v>
      </c>
      <c r="C1699" s="6" t="n">
        <v>3</v>
      </c>
      <c r="D1699" s="6" t="n">
        <v>17</v>
      </c>
      <c r="E1699" s="6" t="n">
        <v>2</v>
      </c>
      <c r="F1699" s="6" t="s">
        <v>6848</v>
      </c>
      <c r="G1699" s="28" t="str">
        <f aca="false">IFERROR(INDEX('Semrush Data'!$A$1:$Z$20000,MATCH(A1699,'Semrush Data'!$A$1:$A$20000,0),MATCH("Volume",'Semrush Data'!$A$1:$Z$1,0)),"")</f>
        <v/>
      </c>
      <c r="H1699" s="6" t="str">
        <f aca="false">IFERROR(INDEX('Semrush Data'!$A$1:$Z$20000,MATCH(A1699,'Semrush Data'!$A$1:$A$20000,0),MATCH("Keyword Difficulty*",'Semrush Data'!$A$1:$Z$1,0)),"")</f>
        <v/>
      </c>
      <c r="I1699" s="29" t="str">
        <f aca="false">IFERROR(INDEX('Semrush Data'!$A$1:$Z$20000,MATCH(A1699,'Semrush Data'!$A$1:$A$20000,0),MATCH("CPC*",'Semrush Data'!$A$1:$Z$1,0)),"")</f>
        <v/>
      </c>
      <c r="J1699" s="6" t="str">
        <f aca="false">IFERROR(INDEX('Semrush Data'!$A$1:$Z$20000,MATCH(A1699,'Semrush Data'!$A$1:$A$20000,0),MATCH("Intent",'Semrush Data'!$A$1:$Z$1,0)),"")</f>
        <v/>
      </c>
    </row>
    <row r="1700" customFormat="false" ht="15" hidden="false" customHeight="true" outlineLevel="0" collapsed="false">
      <c r="A1700" s="6" t="s">
        <v>3331</v>
      </c>
      <c r="B1700" s="6" t="s">
        <v>1415</v>
      </c>
      <c r="C1700" s="6" t="n">
        <v>3</v>
      </c>
      <c r="D1700" s="6" t="n">
        <v>17</v>
      </c>
      <c r="E1700" s="6" t="n">
        <v>1</v>
      </c>
      <c r="F1700" s="6" t="s">
        <v>147</v>
      </c>
      <c r="G1700" s="28" t="str">
        <f aca="false">IFERROR(INDEX('Semrush Data'!$A$1:$Z$20000,MATCH(A1700,'Semrush Data'!$A$1:$A$20000,0),MATCH("Volume",'Semrush Data'!$A$1:$Z$1,0)),"")</f>
        <v/>
      </c>
      <c r="H1700" s="6" t="str">
        <f aca="false">IFERROR(INDEX('Semrush Data'!$A$1:$Z$20000,MATCH(A1700,'Semrush Data'!$A$1:$A$20000,0),MATCH("Keyword Difficulty*",'Semrush Data'!$A$1:$Z$1,0)),"")</f>
        <v/>
      </c>
      <c r="I1700" s="29" t="str">
        <f aca="false">IFERROR(INDEX('Semrush Data'!$A$1:$Z$20000,MATCH(A1700,'Semrush Data'!$A$1:$A$20000,0),MATCH("CPC*",'Semrush Data'!$A$1:$Z$1,0)),"")</f>
        <v/>
      </c>
      <c r="J1700" s="6" t="str">
        <f aca="false">IFERROR(INDEX('Semrush Data'!$A$1:$Z$20000,MATCH(A1700,'Semrush Data'!$A$1:$A$20000,0),MATCH("Intent",'Semrush Data'!$A$1:$Z$1,0)),"")</f>
        <v/>
      </c>
    </row>
    <row r="1701" customFormat="false" ht="15" hidden="false" customHeight="true" outlineLevel="0" collapsed="false">
      <c r="A1701" s="6" t="s">
        <v>5998</v>
      </c>
      <c r="B1701" s="6" t="s">
        <v>1415</v>
      </c>
      <c r="C1701" s="6" t="n">
        <v>3</v>
      </c>
      <c r="D1701" s="6" t="n">
        <v>17</v>
      </c>
      <c r="E1701" s="6" t="n">
        <v>1</v>
      </c>
      <c r="F1701" s="6" t="s">
        <v>5994</v>
      </c>
      <c r="G1701" s="28" t="str">
        <f aca="false">IFERROR(INDEX('Semrush Data'!$A$1:$Z$20000,MATCH(A1701,'Semrush Data'!$A$1:$A$20000,0),MATCH("Volume",'Semrush Data'!$A$1:$Z$1,0)),"")</f>
        <v/>
      </c>
      <c r="H1701" s="6" t="str">
        <f aca="false">IFERROR(INDEX('Semrush Data'!$A$1:$Z$20000,MATCH(A1701,'Semrush Data'!$A$1:$A$20000,0),MATCH("Keyword Difficulty*",'Semrush Data'!$A$1:$Z$1,0)),"")</f>
        <v/>
      </c>
      <c r="I1701" s="29" t="str">
        <f aca="false">IFERROR(INDEX('Semrush Data'!$A$1:$Z$20000,MATCH(A1701,'Semrush Data'!$A$1:$A$20000,0),MATCH("CPC*",'Semrush Data'!$A$1:$Z$1,0)),"")</f>
        <v/>
      </c>
      <c r="J1701" s="6" t="str">
        <f aca="false">IFERROR(INDEX('Semrush Data'!$A$1:$Z$20000,MATCH(A1701,'Semrush Data'!$A$1:$A$20000,0),MATCH("Intent",'Semrush Data'!$A$1:$Z$1,0)),"")</f>
        <v/>
      </c>
    </row>
    <row r="1702" customFormat="false" ht="15" hidden="false" customHeight="true" outlineLevel="0" collapsed="false">
      <c r="A1702" s="6" t="s">
        <v>3397</v>
      </c>
      <c r="B1702" s="6" t="s">
        <v>1415</v>
      </c>
      <c r="C1702" s="6" t="n">
        <v>3</v>
      </c>
      <c r="D1702" s="6" t="n">
        <v>18</v>
      </c>
      <c r="E1702" s="6" t="n">
        <v>1</v>
      </c>
      <c r="F1702" s="6" t="s">
        <v>3393</v>
      </c>
      <c r="G1702" s="28" t="str">
        <f aca="false">IFERROR(INDEX('Semrush Data'!$A$1:$Z$20000,MATCH(A1702,'Semrush Data'!$A$1:$A$20000,0),MATCH("Volume",'Semrush Data'!$A$1:$Z$1,0)),"")</f>
        <v/>
      </c>
      <c r="H1702" s="6" t="str">
        <f aca="false">IFERROR(INDEX('Semrush Data'!$A$1:$Z$20000,MATCH(A1702,'Semrush Data'!$A$1:$A$20000,0),MATCH("Keyword Difficulty*",'Semrush Data'!$A$1:$Z$1,0)),"")</f>
        <v/>
      </c>
      <c r="I1702" s="29" t="str">
        <f aca="false">IFERROR(INDEX('Semrush Data'!$A$1:$Z$20000,MATCH(A1702,'Semrush Data'!$A$1:$A$20000,0),MATCH("CPC*",'Semrush Data'!$A$1:$Z$1,0)),"")</f>
        <v/>
      </c>
      <c r="J1702" s="6" t="str">
        <f aca="false">IFERROR(INDEX('Semrush Data'!$A$1:$Z$20000,MATCH(A1702,'Semrush Data'!$A$1:$A$20000,0),MATCH("Intent",'Semrush Data'!$A$1:$Z$1,0)),"")</f>
        <v/>
      </c>
    </row>
    <row r="1703" customFormat="false" ht="15" hidden="false" customHeight="true" outlineLevel="0" collapsed="false">
      <c r="A1703" s="6" t="s">
        <v>3408</v>
      </c>
      <c r="B1703" s="6" t="s">
        <v>1415</v>
      </c>
      <c r="C1703" s="6" t="n">
        <v>3</v>
      </c>
      <c r="D1703" s="6" t="n">
        <v>18</v>
      </c>
      <c r="E1703" s="6" t="n">
        <v>1</v>
      </c>
      <c r="F1703" s="6" t="s">
        <v>3404</v>
      </c>
      <c r="G1703" s="28" t="str">
        <f aca="false">IFERROR(INDEX('Semrush Data'!$A$1:$Z$20000,MATCH(A1703,'Semrush Data'!$A$1:$A$20000,0),MATCH("Volume",'Semrush Data'!$A$1:$Z$1,0)),"")</f>
        <v/>
      </c>
      <c r="H1703" s="6" t="str">
        <f aca="false">IFERROR(INDEX('Semrush Data'!$A$1:$Z$20000,MATCH(A1703,'Semrush Data'!$A$1:$A$20000,0),MATCH("Keyword Difficulty*",'Semrush Data'!$A$1:$Z$1,0)),"")</f>
        <v/>
      </c>
      <c r="I1703" s="29" t="str">
        <f aca="false">IFERROR(INDEX('Semrush Data'!$A$1:$Z$20000,MATCH(A1703,'Semrush Data'!$A$1:$A$20000,0),MATCH("CPC*",'Semrush Data'!$A$1:$Z$1,0)),"")</f>
        <v/>
      </c>
      <c r="J1703" s="6" t="str">
        <f aca="false">IFERROR(INDEX('Semrush Data'!$A$1:$Z$20000,MATCH(A1703,'Semrush Data'!$A$1:$A$20000,0),MATCH("Intent",'Semrush Data'!$A$1:$Z$1,0)),"")</f>
        <v/>
      </c>
    </row>
    <row r="1704" customFormat="false" ht="15" hidden="false" customHeight="true" outlineLevel="0" collapsed="false">
      <c r="A1704" s="6" t="s">
        <v>3387</v>
      </c>
      <c r="B1704" s="6" t="s">
        <v>1415</v>
      </c>
      <c r="C1704" s="6" t="n">
        <v>3</v>
      </c>
      <c r="D1704" s="6" t="n">
        <v>18</v>
      </c>
      <c r="E1704" s="6" t="n">
        <v>1</v>
      </c>
      <c r="F1704" s="6" t="s">
        <v>3383</v>
      </c>
      <c r="G1704" s="28" t="str">
        <f aca="false">IFERROR(INDEX('Semrush Data'!$A$1:$Z$20000,MATCH(A1704,'Semrush Data'!$A$1:$A$20000,0),MATCH("Volume",'Semrush Data'!$A$1:$Z$1,0)),"")</f>
        <v/>
      </c>
      <c r="H1704" s="6" t="str">
        <f aca="false">IFERROR(INDEX('Semrush Data'!$A$1:$Z$20000,MATCH(A1704,'Semrush Data'!$A$1:$A$20000,0),MATCH("Keyword Difficulty*",'Semrush Data'!$A$1:$Z$1,0)),"")</f>
        <v/>
      </c>
      <c r="I1704" s="29" t="str">
        <f aca="false">IFERROR(INDEX('Semrush Data'!$A$1:$Z$20000,MATCH(A1704,'Semrush Data'!$A$1:$A$20000,0),MATCH("CPC*",'Semrush Data'!$A$1:$Z$1,0)),"")</f>
        <v/>
      </c>
      <c r="J1704" s="6" t="str">
        <f aca="false">IFERROR(INDEX('Semrush Data'!$A$1:$Z$20000,MATCH(A1704,'Semrush Data'!$A$1:$A$20000,0),MATCH("Intent",'Semrush Data'!$A$1:$Z$1,0)),"")</f>
        <v/>
      </c>
    </row>
    <row r="1705" customFormat="false" ht="15" hidden="false" customHeight="true" outlineLevel="0" collapsed="false">
      <c r="A1705" s="6" t="s">
        <v>3354</v>
      </c>
      <c r="B1705" s="6" t="s">
        <v>1415</v>
      </c>
      <c r="C1705" s="6" t="n">
        <v>3</v>
      </c>
      <c r="D1705" s="6" t="n">
        <v>18</v>
      </c>
      <c r="E1705" s="6" t="n">
        <v>1</v>
      </c>
      <c r="F1705" s="6" t="s">
        <v>3350</v>
      </c>
      <c r="G1705" s="28" t="str">
        <f aca="false">IFERROR(INDEX('Semrush Data'!$A$1:$Z$20000,MATCH(A1705,'Semrush Data'!$A$1:$A$20000,0),MATCH("Volume",'Semrush Data'!$A$1:$Z$1,0)),"")</f>
        <v/>
      </c>
      <c r="H1705" s="6" t="str">
        <f aca="false">IFERROR(INDEX('Semrush Data'!$A$1:$Z$20000,MATCH(A1705,'Semrush Data'!$A$1:$A$20000,0),MATCH("Keyword Difficulty*",'Semrush Data'!$A$1:$Z$1,0)),"")</f>
        <v/>
      </c>
      <c r="I1705" s="29" t="str">
        <f aca="false">IFERROR(INDEX('Semrush Data'!$A$1:$Z$20000,MATCH(A1705,'Semrush Data'!$A$1:$A$20000,0),MATCH("CPC*",'Semrush Data'!$A$1:$Z$1,0)),"")</f>
        <v/>
      </c>
      <c r="J1705" s="6" t="str">
        <f aca="false">IFERROR(INDEX('Semrush Data'!$A$1:$Z$20000,MATCH(A1705,'Semrush Data'!$A$1:$A$20000,0),MATCH("Intent",'Semrush Data'!$A$1:$Z$1,0)),"")</f>
        <v/>
      </c>
    </row>
    <row r="1706" customFormat="false" ht="15" hidden="false" customHeight="true" outlineLevel="0" collapsed="false">
      <c r="A1706" s="6" t="s">
        <v>3365</v>
      </c>
      <c r="B1706" s="6" t="s">
        <v>1415</v>
      </c>
      <c r="C1706" s="6" t="n">
        <v>3</v>
      </c>
      <c r="D1706" s="6" t="n">
        <v>18</v>
      </c>
      <c r="E1706" s="6" t="n">
        <v>1</v>
      </c>
      <c r="F1706" s="6" t="s">
        <v>3361</v>
      </c>
      <c r="G1706" s="28" t="str">
        <f aca="false">IFERROR(INDEX('Semrush Data'!$A$1:$Z$20000,MATCH(A1706,'Semrush Data'!$A$1:$A$20000,0),MATCH("Volume",'Semrush Data'!$A$1:$Z$1,0)),"")</f>
        <v/>
      </c>
      <c r="H1706" s="6" t="str">
        <f aca="false">IFERROR(INDEX('Semrush Data'!$A$1:$Z$20000,MATCH(A1706,'Semrush Data'!$A$1:$A$20000,0),MATCH("Keyword Difficulty*",'Semrush Data'!$A$1:$Z$1,0)),"")</f>
        <v/>
      </c>
      <c r="I1706" s="29" t="str">
        <f aca="false">IFERROR(INDEX('Semrush Data'!$A$1:$Z$20000,MATCH(A1706,'Semrush Data'!$A$1:$A$20000,0),MATCH("CPC*",'Semrush Data'!$A$1:$Z$1,0)),"")</f>
        <v/>
      </c>
      <c r="J1706" s="6" t="str">
        <f aca="false">IFERROR(INDEX('Semrush Data'!$A$1:$Z$20000,MATCH(A1706,'Semrush Data'!$A$1:$A$20000,0),MATCH("Intent",'Semrush Data'!$A$1:$Z$1,0)),"")</f>
        <v/>
      </c>
    </row>
    <row r="1707" customFormat="false" ht="15" hidden="false" customHeight="true" outlineLevel="0" collapsed="false">
      <c r="A1707" s="6" t="s">
        <v>3342</v>
      </c>
      <c r="B1707" s="6" t="s">
        <v>1415</v>
      </c>
      <c r="C1707" s="6" t="n">
        <v>3</v>
      </c>
      <c r="D1707" s="6" t="s">
        <v>6870</v>
      </c>
      <c r="E1707" s="6" t="n">
        <v>1</v>
      </c>
      <c r="F1707" s="6" t="s">
        <v>71</v>
      </c>
      <c r="G1707" s="28" t="n">
        <f aca="false">IFERROR(INDEX('Semrush Data'!$A$1:$Z$20000,MATCH(A1707,'Semrush Data'!$A$1:$A$20000,0),MATCH("Volume",'Semrush Data'!$A$1:$Z$1,0)),"")</f>
        <v>0</v>
      </c>
      <c r="H1707" s="6" t="n">
        <f aca="false">IFERROR(INDEX('Semrush Data'!$A$1:$Z$20000,MATCH(A1707,'Semrush Data'!$A$1:$A$20000,0),MATCH("Keyword Difficulty*",'Semrush Data'!$A$1:$Z$1,0)),"")</f>
        <v>23</v>
      </c>
      <c r="I1707" s="29" t="n">
        <f aca="false">IFERROR(INDEX('Semrush Data'!$A$1:$Z$20000,MATCH(A1707,'Semrush Data'!$A$1:$A$20000,0),MATCH("CPC*",'Semrush Data'!$A$1:$Z$1,0)),"")</f>
        <v>0</v>
      </c>
      <c r="J1707" s="6" t="str">
        <f aca="false">IFERROR(INDEX('Semrush Data'!$A$1:$Z$20000,MATCH(A1707,'Semrush Data'!$A$1:$A$20000,0),MATCH("Intent",'Semrush Data'!$A$1:$Z$1,0)),"")</f>
        <v>Transactional</v>
      </c>
    </row>
    <row r="1708" customFormat="false" ht="15" hidden="false" customHeight="true" outlineLevel="0" collapsed="false">
      <c r="A1708" s="6" t="s">
        <v>3376</v>
      </c>
      <c r="B1708" s="6" t="s">
        <v>1415</v>
      </c>
      <c r="C1708" s="6" t="n">
        <v>3</v>
      </c>
      <c r="D1708" s="6" t="n">
        <v>18</v>
      </c>
      <c r="E1708" s="6" t="n">
        <v>1</v>
      </c>
      <c r="F1708" s="6" t="s">
        <v>3372</v>
      </c>
      <c r="G1708" s="28" t="str">
        <f aca="false">IFERROR(INDEX('Semrush Data'!$A$1:$Z$20000,MATCH(A1708,'Semrush Data'!$A$1:$A$20000,0),MATCH("Volume",'Semrush Data'!$A$1:$Z$1,0)),"")</f>
        <v/>
      </c>
      <c r="H1708" s="6" t="str">
        <f aca="false">IFERROR(INDEX('Semrush Data'!$A$1:$Z$20000,MATCH(A1708,'Semrush Data'!$A$1:$A$20000,0),MATCH("Keyword Difficulty*",'Semrush Data'!$A$1:$Z$1,0)),"")</f>
        <v/>
      </c>
      <c r="I1708" s="29" t="str">
        <f aca="false">IFERROR(INDEX('Semrush Data'!$A$1:$Z$20000,MATCH(A1708,'Semrush Data'!$A$1:$A$20000,0),MATCH("CPC*",'Semrush Data'!$A$1:$Z$1,0)),"")</f>
        <v/>
      </c>
      <c r="J1708" s="6" t="str">
        <f aca="false">IFERROR(INDEX('Semrush Data'!$A$1:$Z$20000,MATCH(A1708,'Semrush Data'!$A$1:$A$20000,0),MATCH("Intent",'Semrush Data'!$A$1:$Z$1,0)),"")</f>
        <v/>
      </c>
    </row>
    <row r="1709" customFormat="false" ht="15" hidden="false" customHeight="true" outlineLevel="0" collapsed="false">
      <c r="A1709" s="6" t="s">
        <v>3419</v>
      </c>
      <c r="B1709" s="6" t="s">
        <v>1415</v>
      </c>
      <c r="C1709" s="6" t="n">
        <v>3</v>
      </c>
      <c r="D1709" s="6" t="n">
        <v>18</v>
      </c>
      <c r="E1709" s="6" t="n">
        <v>1</v>
      </c>
      <c r="F1709" s="6" t="s">
        <v>3414</v>
      </c>
      <c r="G1709" s="28" t="str">
        <f aca="false">IFERROR(INDEX('Semrush Data'!$A$1:$Z$20000,MATCH(A1709,'Semrush Data'!$A$1:$A$20000,0),MATCH("Volume",'Semrush Data'!$A$1:$Z$1,0)),"")</f>
        <v/>
      </c>
      <c r="H1709" s="6" t="str">
        <f aca="false">IFERROR(INDEX('Semrush Data'!$A$1:$Z$20000,MATCH(A1709,'Semrush Data'!$A$1:$A$20000,0),MATCH("Keyword Difficulty*",'Semrush Data'!$A$1:$Z$1,0)),"")</f>
        <v/>
      </c>
      <c r="I1709" s="29" t="str">
        <f aca="false">IFERROR(INDEX('Semrush Data'!$A$1:$Z$20000,MATCH(A1709,'Semrush Data'!$A$1:$A$20000,0),MATCH("CPC*",'Semrush Data'!$A$1:$Z$1,0)),"")</f>
        <v/>
      </c>
      <c r="J1709" s="6" t="str">
        <f aca="false">IFERROR(INDEX('Semrush Data'!$A$1:$Z$20000,MATCH(A1709,'Semrush Data'!$A$1:$A$20000,0),MATCH("Intent",'Semrush Data'!$A$1:$Z$1,0)),"")</f>
        <v/>
      </c>
    </row>
    <row r="1710" customFormat="false" ht="15" hidden="false" customHeight="true" outlineLevel="0" collapsed="false">
      <c r="A1710" s="6" t="s">
        <v>3431</v>
      </c>
      <c r="B1710" s="6" t="s">
        <v>1415</v>
      </c>
      <c r="C1710" s="6" t="n">
        <v>3</v>
      </c>
      <c r="D1710" s="6" t="n">
        <v>18</v>
      </c>
      <c r="E1710" s="6" t="n">
        <v>1</v>
      </c>
      <c r="F1710" s="6" t="s">
        <v>3427</v>
      </c>
      <c r="G1710" s="28" t="str">
        <f aca="false">IFERROR(INDEX('Semrush Data'!$A$1:$Z$20000,MATCH(A1710,'Semrush Data'!$A$1:$A$20000,0),MATCH("Volume",'Semrush Data'!$A$1:$Z$1,0)),"")</f>
        <v/>
      </c>
      <c r="H1710" s="6" t="str">
        <f aca="false">IFERROR(INDEX('Semrush Data'!$A$1:$Z$20000,MATCH(A1710,'Semrush Data'!$A$1:$A$20000,0),MATCH("Keyword Difficulty*",'Semrush Data'!$A$1:$Z$1,0)),"")</f>
        <v/>
      </c>
      <c r="I1710" s="29" t="str">
        <f aca="false">IFERROR(INDEX('Semrush Data'!$A$1:$Z$20000,MATCH(A1710,'Semrush Data'!$A$1:$A$20000,0),MATCH("CPC*",'Semrush Data'!$A$1:$Z$1,0)),"")</f>
        <v/>
      </c>
      <c r="J1710" s="6" t="str">
        <f aca="false">IFERROR(INDEX('Semrush Data'!$A$1:$Z$20000,MATCH(A1710,'Semrush Data'!$A$1:$A$20000,0),MATCH("Intent",'Semrush Data'!$A$1:$Z$1,0)),"")</f>
        <v/>
      </c>
    </row>
    <row r="1711" customFormat="false" ht="15" hidden="false" customHeight="true" outlineLevel="0" collapsed="false">
      <c r="A1711" s="6" t="s">
        <v>3464</v>
      </c>
      <c r="B1711" s="6" t="s">
        <v>1415</v>
      </c>
      <c r="C1711" s="6" t="n">
        <v>3</v>
      </c>
      <c r="D1711" s="6" t="n">
        <v>18</v>
      </c>
      <c r="E1711" s="6" t="n">
        <v>1</v>
      </c>
      <c r="F1711" s="6" t="s">
        <v>3460</v>
      </c>
      <c r="G1711" s="28" t="str">
        <f aca="false">IFERROR(INDEX('Semrush Data'!$A$1:$Z$20000,MATCH(A1711,'Semrush Data'!$A$1:$A$20000,0),MATCH("Volume",'Semrush Data'!$A$1:$Z$1,0)),"")</f>
        <v/>
      </c>
      <c r="H1711" s="6" t="str">
        <f aca="false">IFERROR(INDEX('Semrush Data'!$A$1:$Z$20000,MATCH(A1711,'Semrush Data'!$A$1:$A$20000,0),MATCH("Keyword Difficulty*",'Semrush Data'!$A$1:$Z$1,0)),"")</f>
        <v/>
      </c>
      <c r="I1711" s="29" t="str">
        <f aca="false">IFERROR(INDEX('Semrush Data'!$A$1:$Z$20000,MATCH(A1711,'Semrush Data'!$A$1:$A$20000,0),MATCH("CPC*",'Semrush Data'!$A$1:$Z$1,0)),"")</f>
        <v/>
      </c>
      <c r="J1711" s="6" t="str">
        <f aca="false">IFERROR(INDEX('Semrush Data'!$A$1:$Z$20000,MATCH(A1711,'Semrush Data'!$A$1:$A$20000,0),MATCH("Intent",'Semrush Data'!$A$1:$Z$1,0)),"")</f>
        <v/>
      </c>
    </row>
    <row r="1712" customFormat="false" ht="15" hidden="false" customHeight="true" outlineLevel="0" collapsed="false">
      <c r="A1712" s="6" t="s">
        <v>3442</v>
      </c>
      <c r="B1712" s="6" t="s">
        <v>1415</v>
      </c>
      <c r="C1712" s="6" t="n">
        <v>3</v>
      </c>
      <c r="D1712" s="6" t="n">
        <v>18</v>
      </c>
      <c r="E1712" s="6" t="n">
        <v>1</v>
      </c>
      <c r="F1712" s="6" t="s">
        <v>3438</v>
      </c>
      <c r="G1712" s="28" t="str">
        <f aca="false">IFERROR(INDEX('Semrush Data'!$A$1:$Z$20000,MATCH(A1712,'Semrush Data'!$A$1:$A$20000,0),MATCH("Volume",'Semrush Data'!$A$1:$Z$1,0)),"")</f>
        <v/>
      </c>
      <c r="H1712" s="6" t="str">
        <f aca="false">IFERROR(INDEX('Semrush Data'!$A$1:$Z$20000,MATCH(A1712,'Semrush Data'!$A$1:$A$20000,0),MATCH("Keyword Difficulty*",'Semrush Data'!$A$1:$Z$1,0)),"")</f>
        <v/>
      </c>
      <c r="I1712" s="29" t="str">
        <f aca="false">IFERROR(INDEX('Semrush Data'!$A$1:$Z$20000,MATCH(A1712,'Semrush Data'!$A$1:$A$20000,0),MATCH("CPC*",'Semrush Data'!$A$1:$Z$1,0)),"")</f>
        <v/>
      </c>
      <c r="J1712" s="6" t="str">
        <f aca="false">IFERROR(INDEX('Semrush Data'!$A$1:$Z$20000,MATCH(A1712,'Semrush Data'!$A$1:$A$20000,0),MATCH("Intent",'Semrush Data'!$A$1:$Z$1,0)),"")</f>
        <v/>
      </c>
    </row>
    <row r="1713" customFormat="false" ht="15" hidden="false" customHeight="true" outlineLevel="0" collapsed="false">
      <c r="A1713" s="6" t="s">
        <v>3452</v>
      </c>
      <c r="B1713" s="6" t="s">
        <v>1415</v>
      </c>
      <c r="C1713" s="6" t="n">
        <v>3</v>
      </c>
      <c r="D1713" s="6" t="n">
        <v>18</v>
      </c>
      <c r="E1713" s="6" t="n">
        <v>1</v>
      </c>
      <c r="F1713" s="6" t="s">
        <v>111</v>
      </c>
      <c r="G1713" s="28" t="str">
        <f aca="false">IFERROR(INDEX('Semrush Data'!$A$1:$Z$20000,MATCH(A1713,'Semrush Data'!$A$1:$A$20000,0),MATCH("Volume",'Semrush Data'!$A$1:$Z$1,0)),"")</f>
        <v/>
      </c>
      <c r="H1713" s="6" t="str">
        <f aca="false">IFERROR(INDEX('Semrush Data'!$A$1:$Z$20000,MATCH(A1713,'Semrush Data'!$A$1:$A$20000,0),MATCH("Keyword Difficulty*",'Semrush Data'!$A$1:$Z$1,0)),"")</f>
        <v/>
      </c>
      <c r="I1713" s="29" t="str">
        <f aca="false">IFERROR(INDEX('Semrush Data'!$A$1:$Z$20000,MATCH(A1713,'Semrush Data'!$A$1:$A$20000,0),MATCH("CPC*",'Semrush Data'!$A$1:$Z$1,0)),"")</f>
        <v/>
      </c>
      <c r="J1713" s="6" t="str">
        <f aca="false">IFERROR(INDEX('Semrush Data'!$A$1:$Z$20000,MATCH(A1713,'Semrush Data'!$A$1:$A$20000,0),MATCH("Intent",'Semrush Data'!$A$1:$Z$1,0)),"")</f>
        <v/>
      </c>
    </row>
    <row r="1714" customFormat="false" ht="15" hidden="false" customHeight="true" outlineLevel="0" collapsed="false">
      <c r="A1714" s="6" t="s">
        <v>3485</v>
      </c>
      <c r="B1714" s="6" t="s">
        <v>1415</v>
      </c>
      <c r="C1714" s="6" t="n">
        <v>3</v>
      </c>
      <c r="D1714" s="6" t="n">
        <v>18</v>
      </c>
      <c r="E1714" s="6" t="n">
        <v>1</v>
      </c>
      <c r="F1714" s="6" t="s">
        <v>3481</v>
      </c>
      <c r="G1714" s="28" t="str">
        <f aca="false">IFERROR(INDEX('Semrush Data'!$A$1:$Z$20000,MATCH(A1714,'Semrush Data'!$A$1:$A$20000,0),MATCH("Volume",'Semrush Data'!$A$1:$Z$1,0)),"")</f>
        <v/>
      </c>
      <c r="H1714" s="6" t="str">
        <f aca="false">IFERROR(INDEX('Semrush Data'!$A$1:$Z$20000,MATCH(A1714,'Semrush Data'!$A$1:$A$20000,0),MATCH("Keyword Difficulty*",'Semrush Data'!$A$1:$Z$1,0)),"")</f>
        <v/>
      </c>
      <c r="I1714" s="29" t="str">
        <f aca="false">IFERROR(INDEX('Semrush Data'!$A$1:$Z$20000,MATCH(A1714,'Semrush Data'!$A$1:$A$20000,0),MATCH("CPC*",'Semrush Data'!$A$1:$Z$1,0)),"")</f>
        <v/>
      </c>
      <c r="J1714" s="6" t="str">
        <f aca="false">IFERROR(INDEX('Semrush Data'!$A$1:$Z$20000,MATCH(A1714,'Semrush Data'!$A$1:$A$20000,0),MATCH("Intent",'Semrush Data'!$A$1:$Z$1,0)),"")</f>
        <v/>
      </c>
    </row>
    <row r="1715" customFormat="false" ht="15" hidden="false" customHeight="true" outlineLevel="0" collapsed="false">
      <c r="A1715" s="6" t="s">
        <v>3474</v>
      </c>
      <c r="B1715" s="6" t="s">
        <v>1415</v>
      </c>
      <c r="C1715" s="6" t="n">
        <v>3</v>
      </c>
      <c r="D1715" s="6" t="n">
        <v>18</v>
      </c>
      <c r="E1715" s="6" t="n">
        <v>1</v>
      </c>
      <c r="F1715" s="6" t="s">
        <v>3469</v>
      </c>
      <c r="G1715" s="28" t="str">
        <f aca="false">IFERROR(INDEX('Semrush Data'!$A$1:$Z$20000,MATCH(A1715,'Semrush Data'!$A$1:$A$20000,0),MATCH("Volume",'Semrush Data'!$A$1:$Z$1,0)),"")</f>
        <v/>
      </c>
      <c r="H1715" s="6" t="str">
        <f aca="false">IFERROR(INDEX('Semrush Data'!$A$1:$Z$20000,MATCH(A1715,'Semrush Data'!$A$1:$A$20000,0),MATCH("Keyword Difficulty*",'Semrush Data'!$A$1:$Z$1,0)),"")</f>
        <v/>
      </c>
      <c r="I1715" s="29" t="str">
        <f aca="false">IFERROR(INDEX('Semrush Data'!$A$1:$Z$20000,MATCH(A1715,'Semrush Data'!$A$1:$A$20000,0),MATCH("CPC*",'Semrush Data'!$A$1:$Z$1,0)),"")</f>
        <v/>
      </c>
      <c r="J1715" s="6" t="str">
        <f aca="false">IFERROR(INDEX('Semrush Data'!$A$1:$Z$20000,MATCH(A1715,'Semrush Data'!$A$1:$A$20000,0),MATCH("Intent",'Semrush Data'!$A$1:$Z$1,0)),"")</f>
        <v/>
      </c>
    </row>
    <row r="1716" customFormat="false" ht="15" hidden="false" customHeight="true" outlineLevel="0" collapsed="false">
      <c r="A1716" s="6" t="s">
        <v>3506</v>
      </c>
      <c r="B1716" s="6" t="s">
        <v>1415</v>
      </c>
      <c r="C1716" s="6" t="n">
        <v>3</v>
      </c>
      <c r="D1716" s="6" t="n">
        <v>18</v>
      </c>
      <c r="E1716" s="6" t="n">
        <v>1</v>
      </c>
      <c r="F1716" s="6" t="s">
        <v>121</v>
      </c>
      <c r="G1716" s="28" t="str">
        <f aca="false">IFERROR(INDEX('Semrush Data'!$A$1:$Z$20000,MATCH(A1716,'Semrush Data'!$A$1:$A$20000,0),MATCH("Volume",'Semrush Data'!$A$1:$Z$1,0)),"")</f>
        <v/>
      </c>
      <c r="H1716" s="6" t="str">
        <f aca="false">IFERROR(INDEX('Semrush Data'!$A$1:$Z$20000,MATCH(A1716,'Semrush Data'!$A$1:$A$20000,0),MATCH("Keyword Difficulty*",'Semrush Data'!$A$1:$Z$1,0)),"")</f>
        <v/>
      </c>
      <c r="I1716" s="29" t="str">
        <f aca="false">IFERROR(INDEX('Semrush Data'!$A$1:$Z$20000,MATCH(A1716,'Semrush Data'!$A$1:$A$20000,0),MATCH("CPC*",'Semrush Data'!$A$1:$Z$1,0)),"")</f>
        <v/>
      </c>
      <c r="J1716" s="6" t="str">
        <f aca="false">IFERROR(INDEX('Semrush Data'!$A$1:$Z$20000,MATCH(A1716,'Semrush Data'!$A$1:$A$20000,0),MATCH("Intent",'Semrush Data'!$A$1:$Z$1,0)),"")</f>
        <v/>
      </c>
    </row>
    <row r="1717" customFormat="false" ht="15" hidden="false" customHeight="true" outlineLevel="0" collapsed="false">
      <c r="A1717" s="6" t="s">
        <v>3496</v>
      </c>
      <c r="B1717" s="6" t="s">
        <v>1415</v>
      </c>
      <c r="C1717" s="6" t="n">
        <v>3</v>
      </c>
      <c r="D1717" s="6" t="n">
        <v>18</v>
      </c>
      <c r="E1717" s="6" t="n">
        <v>1</v>
      </c>
      <c r="F1717" s="6" t="s">
        <v>3491</v>
      </c>
      <c r="G1717" s="28" t="str">
        <f aca="false">IFERROR(INDEX('Semrush Data'!$A$1:$Z$20000,MATCH(A1717,'Semrush Data'!$A$1:$A$20000,0),MATCH("Volume",'Semrush Data'!$A$1:$Z$1,0)),"")</f>
        <v/>
      </c>
      <c r="H1717" s="6" t="str">
        <f aca="false">IFERROR(INDEX('Semrush Data'!$A$1:$Z$20000,MATCH(A1717,'Semrush Data'!$A$1:$A$20000,0),MATCH("Keyword Difficulty*",'Semrush Data'!$A$1:$Z$1,0)),"")</f>
        <v/>
      </c>
      <c r="I1717" s="29" t="str">
        <f aca="false">IFERROR(INDEX('Semrush Data'!$A$1:$Z$20000,MATCH(A1717,'Semrush Data'!$A$1:$A$20000,0),MATCH("CPC*",'Semrush Data'!$A$1:$Z$1,0)),"")</f>
        <v/>
      </c>
      <c r="J1717" s="6" t="str">
        <f aca="false">IFERROR(INDEX('Semrush Data'!$A$1:$Z$20000,MATCH(A1717,'Semrush Data'!$A$1:$A$20000,0),MATCH("Intent",'Semrush Data'!$A$1:$Z$1,0)),"")</f>
        <v/>
      </c>
    </row>
    <row r="1718" customFormat="false" ht="15" hidden="false" customHeight="true" outlineLevel="0" collapsed="false">
      <c r="A1718" s="6" t="s">
        <v>3519</v>
      </c>
      <c r="B1718" s="6" t="s">
        <v>1415</v>
      </c>
      <c r="C1718" s="6" t="n">
        <v>3</v>
      </c>
      <c r="D1718" s="6" t="n">
        <v>18</v>
      </c>
      <c r="E1718" s="6" t="n">
        <v>1</v>
      </c>
      <c r="F1718" s="6" t="s">
        <v>3514</v>
      </c>
      <c r="G1718" s="28" t="str">
        <f aca="false">IFERROR(INDEX('Semrush Data'!$A$1:$Z$20000,MATCH(A1718,'Semrush Data'!$A$1:$A$20000,0),MATCH("Volume",'Semrush Data'!$A$1:$Z$1,0)),"")</f>
        <v/>
      </c>
      <c r="H1718" s="6" t="str">
        <f aca="false">IFERROR(INDEX('Semrush Data'!$A$1:$Z$20000,MATCH(A1718,'Semrush Data'!$A$1:$A$20000,0),MATCH("Keyword Difficulty*",'Semrush Data'!$A$1:$Z$1,0)),"")</f>
        <v/>
      </c>
      <c r="I1718" s="29" t="str">
        <f aca="false">IFERROR(INDEX('Semrush Data'!$A$1:$Z$20000,MATCH(A1718,'Semrush Data'!$A$1:$A$20000,0),MATCH("CPC*",'Semrush Data'!$A$1:$Z$1,0)),"")</f>
        <v/>
      </c>
      <c r="J1718" s="6" t="str">
        <f aca="false">IFERROR(INDEX('Semrush Data'!$A$1:$Z$20000,MATCH(A1718,'Semrush Data'!$A$1:$A$20000,0),MATCH("Intent",'Semrush Data'!$A$1:$Z$1,0)),"")</f>
        <v/>
      </c>
    </row>
    <row r="1719" customFormat="false" ht="15" hidden="false" customHeight="true" outlineLevel="0" collapsed="false">
      <c r="A1719" s="6" t="s">
        <v>3529</v>
      </c>
      <c r="B1719" s="6" t="s">
        <v>1415</v>
      </c>
      <c r="C1719" s="6" t="n">
        <v>3</v>
      </c>
      <c r="D1719" s="6" t="n">
        <v>18</v>
      </c>
      <c r="E1719" s="6" t="n">
        <v>1</v>
      </c>
      <c r="F1719" s="6" t="s">
        <v>93</v>
      </c>
      <c r="G1719" s="28" t="str">
        <f aca="false">IFERROR(INDEX('Semrush Data'!$A$1:$Z$20000,MATCH(A1719,'Semrush Data'!$A$1:$A$20000,0),MATCH("Volume",'Semrush Data'!$A$1:$Z$1,0)),"")</f>
        <v/>
      </c>
      <c r="H1719" s="6" t="str">
        <f aca="false">IFERROR(INDEX('Semrush Data'!$A$1:$Z$20000,MATCH(A1719,'Semrush Data'!$A$1:$A$20000,0),MATCH("Keyword Difficulty*",'Semrush Data'!$A$1:$Z$1,0)),"")</f>
        <v/>
      </c>
      <c r="I1719" s="29" t="str">
        <f aca="false">IFERROR(INDEX('Semrush Data'!$A$1:$Z$20000,MATCH(A1719,'Semrush Data'!$A$1:$A$20000,0),MATCH("CPC*",'Semrush Data'!$A$1:$Z$1,0)),"")</f>
        <v/>
      </c>
      <c r="J1719" s="6" t="str">
        <f aca="false">IFERROR(INDEX('Semrush Data'!$A$1:$Z$20000,MATCH(A1719,'Semrush Data'!$A$1:$A$20000,0),MATCH("Intent",'Semrush Data'!$A$1:$Z$1,0)),"")</f>
        <v/>
      </c>
    </row>
    <row r="1720" customFormat="false" ht="15" hidden="false" customHeight="true" outlineLevel="0" collapsed="false">
      <c r="A1720" s="6" t="s">
        <v>2293</v>
      </c>
      <c r="B1720" s="6" t="s">
        <v>1415</v>
      </c>
      <c r="C1720" s="6" t="n">
        <v>3</v>
      </c>
      <c r="D1720" s="6" t="n">
        <v>18</v>
      </c>
      <c r="E1720" s="6" t="n">
        <v>1</v>
      </c>
      <c r="F1720" s="6" t="s">
        <v>1246</v>
      </c>
      <c r="G1720" s="28" t="str">
        <f aca="false">IFERROR(INDEX('Semrush Data'!$A$1:$Z$20000,MATCH(A1720,'Semrush Data'!$A$1:$A$20000,0),MATCH("Volume",'Semrush Data'!$A$1:$Z$1,0)),"")</f>
        <v/>
      </c>
      <c r="H1720" s="6" t="str">
        <f aca="false">IFERROR(INDEX('Semrush Data'!$A$1:$Z$20000,MATCH(A1720,'Semrush Data'!$A$1:$A$20000,0),MATCH("Keyword Difficulty*",'Semrush Data'!$A$1:$Z$1,0)),"")</f>
        <v/>
      </c>
      <c r="I1720" s="29" t="str">
        <f aca="false">IFERROR(INDEX('Semrush Data'!$A$1:$Z$20000,MATCH(A1720,'Semrush Data'!$A$1:$A$20000,0),MATCH("CPC*",'Semrush Data'!$A$1:$Z$1,0)),"")</f>
        <v/>
      </c>
      <c r="J1720" s="6" t="str">
        <f aca="false">IFERROR(INDEX('Semrush Data'!$A$1:$Z$20000,MATCH(A1720,'Semrush Data'!$A$1:$A$20000,0),MATCH("Intent",'Semrush Data'!$A$1:$Z$1,0)),"")</f>
        <v/>
      </c>
    </row>
    <row r="1721" customFormat="false" ht="15" hidden="false" customHeight="true" outlineLevel="0" collapsed="false">
      <c r="A1721" s="6" t="s">
        <v>1982</v>
      </c>
      <c r="B1721" s="6" t="s">
        <v>1415</v>
      </c>
      <c r="C1721" s="6" t="n">
        <v>3</v>
      </c>
      <c r="D1721" s="6" t="n">
        <v>18</v>
      </c>
      <c r="E1721" s="6" t="n">
        <v>1</v>
      </c>
      <c r="F1721" s="6" t="s">
        <v>939</v>
      </c>
      <c r="G1721" s="28" t="str">
        <f aca="false">IFERROR(INDEX('Semrush Data'!$A$1:$Z$20000,MATCH(A1721,'Semrush Data'!$A$1:$A$20000,0),MATCH("Volume",'Semrush Data'!$A$1:$Z$1,0)),"")</f>
        <v/>
      </c>
      <c r="H1721" s="6" t="str">
        <f aca="false">IFERROR(INDEX('Semrush Data'!$A$1:$Z$20000,MATCH(A1721,'Semrush Data'!$A$1:$A$20000,0),MATCH("Keyword Difficulty*",'Semrush Data'!$A$1:$Z$1,0)),"")</f>
        <v/>
      </c>
      <c r="I1721" s="29" t="str">
        <f aca="false">IFERROR(INDEX('Semrush Data'!$A$1:$Z$20000,MATCH(A1721,'Semrush Data'!$A$1:$A$20000,0),MATCH("CPC*",'Semrush Data'!$A$1:$Z$1,0)),"")</f>
        <v/>
      </c>
      <c r="J1721" s="6" t="str">
        <f aca="false">IFERROR(INDEX('Semrush Data'!$A$1:$Z$20000,MATCH(A1721,'Semrush Data'!$A$1:$A$20000,0),MATCH("Intent",'Semrush Data'!$A$1:$Z$1,0)),"")</f>
        <v/>
      </c>
    </row>
    <row r="1722" customFormat="false" ht="15" hidden="false" customHeight="true" outlineLevel="0" collapsed="false">
      <c r="A1722" s="6" t="s">
        <v>2384</v>
      </c>
      <c r="B1722" s="6" t="s">
        <v>1415</v>
      </c>
      <c r="C1722" s="6" t="n">
        <v>3</v>
      </c>
      <c r="D1722" s="6" t="n">
        <v>18</v>
      </c>
      <c r="E1722" s="6" t="n">
        <v>1</v>
      </c>
      <c r="F1722" s="6" t="s">
        <v>1338</v>
      </c>
      <c r="G1722" s="28" t="str">
        <f aca="false">IFERROR(INDEX('Semrush Data'!$A$1:$Z$20000,MATCH(A1722,'Semrush Data'!$A$1:$A$20000,0),MATCH("Volume",'Semrush Data'!$A$1:$Z$1,0)),"")</f>
        <v/>
      </c>
      <c r="H1722" s="6" t="str">
        <f aca="false">IFERROR(INDEX('Semrush Data'!$A$1:$Z$20000,MATCH(A1722,'Semrush Data'!$A$1:$A$20000,0),MATCH("Keyword Difficulty*",'Semrush Data'!$A$1:$Z$1,0)),"")</f>
        <v/>
      </c>
      <c r="I1722" s="29" t="str">
        <f aca="false">IFERROR(INDEX('Semrush Data'!$A$1:$Z$20000,MATCH(A1722,'Semrush Data'!$A$1:$A$20000,0),MATCH("CPC*",'Semrush Data'!$A$1:$Z$1,0)),"")</f>
        <v/>
      </c>
      <c r="J1722" s="6" t="str">
        <f aca="false">IFERROR(INDEX('Semrush Data'!$A$1:$Z$20000,MATCH(A1722,'Semrush Data'!$A$1:$A$20000,0),MATCH("Intent",'Semrush Data'!$A$1:$Z$1,0)),"")</f>
        <v/>
      </c>
    </row>
    <row r="1723" customFormat="false" ht="15" hidden="false" customHeight="true" outlineLevel="0" collapsed="false">
      <c r="A1723" s="6" t="s">
        <v>2319</v>
      </c>
      <c r="B1723" s="6" t="s">
        <v>1415</v>
      </c>
      <c r="C1723" s="6" t="n">
        <v>3</v>
      </c>
      <c r="D1723" s="6" t="n">
        <v>18</v>
      </c>
      <c r="E1723" s="6" t="n">
        <v>1</v>
      </c>
      <c r="F1723" s="6" t="s">
        <v>1272</v>
      </c>
      <c r="G1723" s="28" t="str">
        <f aca="false">IFERROR(INDEX('Semrush Data'!$A$1:$Z$20000,MATCH(A1723,'Semrush Data'!$A$1:$A$20000,0),MATCH("Volume",'Semrush Data'!$A$1:$Z$1,0)),"")</f>
        <v/>
      </c>
      <c r="H1723" s="6" t="str">
        <f aca="false">IFERROR(INDEX('Semrush Data'!$A$1:$Z$20000,MATCH(A1723,'Semrush Data'!$A$1:$A$20000,0),MATCH("Keyword Difficulty*",'Semrush Data'!$A$1:$Z$1,0)),"")</f>
        <v/>
      </c>
      <c r="I1723" s="29" t="str">
        <f aca="false">IFERROR(INDEX('Semrush Data'!$A$1:$Z$20000,MATCH(A1723,'Semrush Data'!$A$1:$A$20000,0),MATCH("CPC*",'Semrush Data'!$A$1:$Z$1,0)),"")</f>
        <v/>
      </c>
      <c r="J1723" s="6" t="str">
        <f aca="false">IFERROR(INDEX('Semrush Data'!$A$1:$Z$20000,MATCH(A1723,'Semrush Data'!$A$1:$A$20000,0),MATCH("Intent",'Semrush Data'!$A$1:$Z$1,0)),"")</f>
        <v/>
      </c>
    </row>
    <row r="1724" customFormat="false" ht="15" hidden="false" customHeight="true" outlineLevel="0" collapsed="false">
      <c r="A1724" s="6" t="s">
        <v>2325</v>
      </c>
      <c r="B1724" s="6" t="s">
        <v>1415</v>
      </c>
      <c r="C1724" s="6" t="n">
        <v>3</v>
      </c>
      <c r="D1724" s="6" t="n">
        <v>18</v>
      </c>
      <c r="E1724" s="6" t="n">
        <v>1</v>
      </c>
      <c r="F1724" s="6" t="s">
        <v>1278</v>
      </c>
      <c r="G1724" s="28" t="str">
        <f aca="false">IFERROR(INDEX('Semrush Data'!$A$1:$Z$20000,MATCH(A1724,'Semrush Data'!$A$1:$A$20000,0),MATCH("Volume",'Semrush Data'!$A$1:$Z$1,0)),"")</f>
        <v/>
      </c>
      <c r="H1724" s="6" t="str">
        <f aca="false">IFERROR(INDEX('Semrush Data'!$A$1:$Z$20000,MATCH(A1724,'Semrush Data'!$A$1:$A$20000,0),MATCH("Keyword Difficulty*",'Semrush Data'!$A$1:$Z$1,0)),"")</f>
        <v/>
      </c>
      <c r="I1724" s="29" t="str">
        <f aca="false">IFERROR(INDEX('Semrush Data'!$A$1:$Z$20000,MATCH(A1724,'Semrush Data'!$A$1:$A$20000,0),MATCH("CPC*",'Semrush Data'!$A$1:$Z$1,0)),"")</f>
        <v/>
      </c>
      <c r="J1724" s="6" t="str">
        <f aca="false">IFERROR(INDEX('Semrush Data'!$A$1:$Z$20000,MATCH(A1724,'Semrush Data'!$A$1:$A$20000,0),MATCH("Intent",'Semrush Data'!$A$1:$Z$1,0)),"")</f>
        <v/>
      </c>
    </row>
    <row r="1725" customFormat="false" ht="15" hidden="false" customHeight="true" outlineLevel="0" collapsed="false">
      <c r="A1725" s="6" t="s">
        <v>1959</v>
      </c>
      <c r="B1725" s="6" t="s">
        <v>1415</v>
      </c>
      <c r="C1725" s="6" t="n">
        <v>3</v>
      </c>
      <c r="D1725" s="6" t="n">
        <v>18</v>
      </c>
      <c r="E1725" s="6" t="n">
        <v>1</v>
      </c>
      <c r="F1725" s="6" t="s">
        <v>920</v>
      </c>
      <c r="G1725" s="28" t="str">
        <f aca="false">IFERROR(INDEX('Semrush Data'!$A$1:$Z$20000,MATCH(A1725,'Semrush Data'!$A$1:$A$20000,0),MATCH("Volume",'Semrush Data'!$A$1:$Z$1,0)),"")</f>
        <v/>
      </c>
      <c r="H1725" s="6" t="str">
        <f aca="false">IFERROR(INDEX('Semrush Data'!$A$1:$Z$20000,MATCH(A1725,'Semrush Data'!$A$1:$A$20000,0),MATCH("Keyword Difficulty*",'Semrush Data'!$A$1:$Z$1,0)),"")</f>
        <v/>
      </c>
      <c r="I1725" s="29" t="str">
        <f aca="false">IFERROR(INDEX('Semrush Data'!$A$1:$Z$20000,MATCH(A1725,'Semrush Data'!$A$1:$A$20000,0),MATCH("CPC*",'Semrush Data'!$A$1:$Z$1,0)),"")</f>
        <v/>
      </c>
      <c r="J1725" s="6" t="str">
        <f aca="false">IFERROR(INDEX('Semrush Data'!$A$1:$Z$20000,MATCH(A1725,'Semrush Data'!$A$1:$A$20000,0),MATCH("Intent",'Semrush Data'!$A$1:$Z$1,0)),"")</f>
        <v/>
      </c>
    </row>
    <row r="1726" customFormat="false" ht="15" hidden="false" customHeight="true" outlineLevel="0" collapsed="false">
      <c r="A1726" s="6" t="s">
        <v>2167</v>
      </c>
      <c r="B1726" s="6" t="s">
        <v>1415</v>
      </c>
      <c r="C1726" s="6" t="n">
        <v>3</v>
      </c>
      <c r="D1726" s="6" t="n">
        <v>18</v>
      </c>
      <c r="E1726" s="6" t="n">
        <v>1</v>
      </c>
      <c r="F1726" s="6" t="s">
        <v>1117</v>
      </c>
      <c r="G1726" s="28" t="str">
        <f aca="false">IFERROR(INDEX('Semrush Data'!$A$1:$Z$20000,MATCH(A1726,'Semrush Data'!$A$1:$A$20000,0),MATCH("Volume",'Semrush Data'!$A$1:$Z$1,0)),"")</f>
        <v/>
      </c>
      <c r="H1726" s="6" t="str">
        <f aca="false">IFERROR(INDEX('Semrush Data'!$A$1:$Z$20000,MATCH(A1726,'Semrush Data'!$A$1:$A$20000,0),MATCH("Keyword Difficulty*",'Semrush Data'!$A$1:$Z$1,0)),"")</f>
        <v/>
      </c>
      <c r="I1726" s="29" t="str">
        <f aca="false">IFERROR(INDEX('Semrush Data'!$A$1:$Z$20000,MATCH(A1726,'Semrush Data'!$A$1:$A$20000,0),MATCH("CPC*",'Semrush Data'!$A$1:$Z$1,0)),"")</f>
        <v/>
      </c>
      <c r="J1726" s="6" t="str">
        <f aca="false">IFERROR(INDEX('Semrush Data'!$A$1:$Z$20000,MATCH(A1726,'Semrush Data'!$A$1:$A$20000,0),MATCH("Intent",'Semrush Data'!$A$1:$Z$1,0)),"")</f>
        <v/>
      </c>
    </row>
    <row r="1727" customFormat="false" ht="15" hidden="false" customHeight="true" outlineLevel="0" collapsed="false">
      <c r="A1727" s="6" t="s">
        <v>2267</v>
      </c>
      <c r="B1727" s="6" t="s">
        <v>1415</v>
      </c>
      <c r="C1727" s="6" t="n">
        <v>3</v>
      </c>
      <c r="D1727" s="6" t="n">
        <v>18</v>
      </c>
      <c r="E1727" s="6" t="n">
        <v>1</v>
      </c>
      <c r="F1727" s="6" t="s">
        <v>1219</v>
      </c>
      <c r="G1727" s="28" t="str">
        <f aca="false">IFERROR(INDEX('Semrush Data'!$A$1:$Z$20000,MATCH(A1727,'Semrush Data'!$A$1:$A$20000,0),MATCH("Volume",'Semrush Data'!$A$1:$Z$1,0)),"")</f>
        <v/>
      </c>
      <c r="H1727" s="6" t="str">
        <f aca="false">IFERROR(INDEX('Semrush Data'!$A$1:$Z$20000,MATCH(A1727,'Semrush Data'!$A$1:$A$20000,0),MATCH("Keyword Difficulty*",'Semrush Data'!$A$1:$Z$1,0)),"")</f>
        <v/>
      </c>
      <c r="I1727" s="29" t="str">
        <f aca="false">IFERROR(INDEX('Semrush Data'!$A$1:$Z$20000,MATCH(A1727,'Semrush Data'!$A$1:$A$20000,0),MATCH("CPC*",'Semrush Data'!$A$1:$Z$1,0)),"")</f>
        <v/>
      </c>
      <c r="J1727" s="6" t="str">
        <f aca="false">IFERROR(INDEX('Semrush Data'!$A$1:$Z$20000,MATCH(A1727,'Semrush Data'!$A$1:$A$20000,0),MATCH("Intent",'Semrush Data'!$A$1:$Z$1,0)),"")</f>
        <v/>
      </c>
    </row>
    <row r="1728" customFormat="false" ht="15" hidden="false" customHeight="true" outlineLevel="0" collapsed="false">
      <c r="A1728" s="6" t="s">
        <v>2004</v>
      </c>
      <c r="B1728" s="6" t="s">
        <v>1415</v>
      </c>
      <c r="C1728" s="6" t="n">
        <v>3</v>
      </c>
      <c r="D1728" s="6" t="n">
        <v>18</v>
      </c>
      <c r="E1728" s="6" t="n">
        <v>1</v>
      </c>
      <c r="F1728" s="6" t="s">
        <v>958</v>
      </c>
      <c r="G1728" s="28" t="str">
        <f aca="false">IFERROR(INDEX('Semrush Data'!$A$1:$Z$20000,MATCH(A1728,'Semrush Data'!$A$1:$A$20000,0),MATCH("Volume",'Semrush Data'!$A$1:$Z$1,0)),"")</f>
        <v/>
      </c>
      <c r="H1728" s="6" t="str">
        <f aca="false">IFERROR(INDEX('Semrush Data'!$A$1:$Z$20000,MATCH(A1728,'Semrush Data'!$A$1:$A$20000,0),MATCH("Keyword Difficulty*",'Semrush Data'!$A$1:$Z$1,0)),"")</f>
        <v/>
      </c>
      <c r="I1728" s="29" t="str">
        <f aca="false">IFERROR(INDEX('Semrush Data'!$A$1:$Z$20000,MATCH(A1728,'Semrush Data'!$A$1:$A$20000,0),MATCH("CPC*",'Semrush Data'!$A$1:$Z$1,0)),"")</f>
        <v/>
      </c>
      <c r="J1728" s="6" t="str">
        <f aca="false">IFERROR(INDEX('Semrush Data'!$A$1:$Z$20000,MATCH(A1728,'Semrush Data'!$A$1:$A$20000,0),MATCH("Intent",'Semrush Data'!$A$1:$Z$1,0)),"")</f>
        <v/>
      </c>
    </row>
    <row r="1729" customFormat="false" ht="15" hidden="false" customHeight="true" outlineLevel="0" collapsed="false">
      <c r="A1729" s="6" t="s">
        <v>2261</v>
      </c>
      <c r="B1729" s="6" t="s">
        <v>1415</v>
      </c>
      <c r="C1729" s="6" t="n">
        <v>3</v>
      </c>
      <c r="D1729" s="6" t="n">
        <v>18</v>
      </c>
      <c r="E1729" s="6" t="n">
        <v>1</v>
      </c>
      <c r="F1729" s="6" t="s">
        <v>1213</v>
      </c>
      <c r="G1729" s="28" t="str">
        <f aca="false">IFERROR(INDEX('Semrush Data'!$A$1:$Z$20000,MATCH(A1729,'Semrush Data'!$A$1:$A$20000,0),MATCH("Volume",'Semrush Data'!$A$1:$Z$1,0)),"")</f>
        <v/>
      </c>
      <c r="H1729" s="6" t="str">
        <f aca="false">IFERROR(INDEX('Semrush Data'!$A$1:$Z$20000,MATCH(A1729,'Semrush Data'!$A$1:$A$20000,0),MATCH("Keyword Difficulty*",'Semrush Data'!$A$1:$Z$1,0)),"")</f>
        <v/>
      </c>
      <c r="I1729" s="29" t="str">
        <f aca="false">IFERROR(INDEX('Semrush Data'!$A$1:$Z$20000,MATCH(A1729,'Semrush Data'!$A$1:$A$20000,0),MATCH("CPC*",'Semrush Data'!$A$1:$Z$1,0)),"")</f>
        <v/>
      </c>
      <c r="J1729" s="6" t="str">
        <f aca="false">IFERROR(INDEX('Semrush Data'!$A$1:$Z$20000,MATCH(A1729,'Semrush Data'!$A$1:$A$20000,0),MATCH("Intent",'Semrush Data'!$A$1:$Z$1,0)),"")</f>
        <v/>
      </c>
    </row>
    <row r="1730" customFormat="false" ht="15" hidden="false" customHeight="true" outlineLevel="0" collapsed="false">
      <c r="A1730" s="6" t="s">
        <v>2200</v>
      </c>
      <c r="B1730" s="6" t="s">
        <v>1415</v>
      </c>
      <c r="C1730" s="6" t="n">
        <v>3</v>
      </c>
      <c r="D1730" s="6" t="n">
        <v>18</v>
      </c>
      <c r="E1730" s="6" t="n">
        <v>1</v>
      </c>
      <c r="F1730" s="6" t="s">
        <v>1150</v>
      </c>
      <c r="G1730" s="28" t="str">
        <f aca="false">IFERROR(INDEX('Semrush Data'!$A$1:$Z$20000,MATCH(A1730,'Semrush Data'!$A$1:$A$20000,0),MATCH("Volume",'Semrush Data'!$A$1:$Z$1,0)),"")</f>
        <v/>
      </c>
      <c r="H1730" s="6" t="str">
        <f aca="false">IFERROR(INDEX('Semrush Data'!$A$1:$Z$20000,MATCH(A1730,'Semrush Data'!$A$1:$A$20000,0),MATCH("Keyword Difficulty*",'Semrush Data'!$A$1:$Z$1,0)),"")</f>
        <v/>
      </c>
      <c r="I1730" s="29" t="str">
        <f aca="false">IFERROR(INDEX('Semrush Data'!$A$1:$Z$20000,MATCH(A1730,'Semrush Data'!$A$1:$A$20000,0),MATCH("CPC*",'Semrush Data'!$A$1:$Z$1,0)),"")</f>
        <v/>
      </c>
      <c r="J1730" s="6" t="str">
        <f aca="false">IFERROR(INDEX('Semrush Data'!$A$1:$Z$20000,MATCH(A1730,'Semrush Data'!$A$1:$A$20000,0),MATCH("Intent",'Semrush Data'!$A$1:$Z$1,0)),"")</f>
        <v/>
      </c>
    </row>
    <row r="1731" customFormat="false" ht="15" hidden="false" customHeight="true" outlineLevel="0" collapsed="false">
      <c r="A1731" s="6" t="s">
        <v>2280</v>
      </c>
      <c r="B1731" s="6" t="s">
        <v>1415</v>
      </c>
      <c r="C1731" s="6" t="n">
        <v>3</v>
      </c>
      <c r="D1731" s="6" t="n">
        <v>18</v>
      </c>
      <c r="E1731" s="6" t="n">
        <v>1</v>
      </c>
      <c r="F1731" s="6" t="s">
        <v>1232</v>
      </c>
      <c r="G1731" s="28" t="str">
        <f aca="false">IFERROR(INDEX('Semrush Data'!$A$1:$Z$20000,MATCH(A1731,'Semrush Data'!$A$1:$A$20000,0),MATCH("Volume",'Semrush Data'!$A$1:$Z$1,0)),"")</f>
        <v/>
      </c>
      <c r="H1731" s="6" t="str">
        <f aca="false">IFERROR(INDEX('Semrush Data'!$A$1:$Z$20000,MATCH(A1731,'Semrush Data'!$A$1:$A$20000,0),MATCH("Keyword Difficulty*",'Semrush Data'!$A$1:$Z$1,0)),"")</f>
        <v/>
      </c>
      <c r="I1731" s="29" t="str">
        <f aca="false">IFERROR(INDEX('Semrush Data'!$A$1:$Z$20000,MATCH(A1731,'Semrush Data'!$A$1:$A$20000,0),MATCH("CPC*",'Semrush Data'!$A$1:$Z$1,0)),"")</f>
        <v/>
      </c>
      <c r="J1731" s="6" t="str">
        <f aca="false">IFERROR(INDEX('Semrush Data'!$A$1:$Z$20000,MATCH(A1731,'Semrush Data'!$A$1:$A$20000,0),MATCH("Intent",'Semrush Data'!$A$1:$Z$1,0)),"")</f>
        <v/>
      </c>
    </row>
    <row r="1732" customFormat="false" ht="15" hidden="false" customHeight="true" outlineLevel="0" collapsed="false">
      <c r="A1732" s="6" t="s">
        <v>2188</v>
      </c>
      <c r="B1732" s="6" t="s">
        <v>1415</v>
      </c>
      <c r="C1732" s="6" t="n">
        <v>3</v>
      </c>
      <c r="D1732" s="6" t="n">
        <v>18</v>
      </c>
      <c r="E1732" s="6" t="n">
        <v>1</v>
      </c>
      <c r="F1732" s="6" t="s">
        <v>1135</v>
      </c>
      <c r="G1732" s="28" t="str">
        <f aca="false">IFERROR(INDEX('Semrush Data'!$A$1:$Z$20000,MATCH(A1732,'Semrush Data'!$A$1:$A$20000,0),MATCH("Volume",'Semrush Data'!$A$1:$Z$1,0)),"")</f>
        <v/>
      </c>
      <c r="H1732" s="6" t="str">
        <f aca="false">IFERROR(INDEX('Semrush Data'!$A$1:$Z$20000,MATCH(A1732,'Semrush Data'!$A$1:$A$20000,0),MATCH("Keyword Difficulty*",'Semrush Data'!$A$1:$Z$1,0)),"")</f>
        <v/>
      </c>
      <c r="I1732" s="29" t="str">
        <f aca="false">IFERROR(INDEX('Semrush Data'!$A$1:$Z$20000,MATCH(A1732,'Semrush Data'!$A$1:$A$20000,0),MATCH("CPC*",'Semrush Data'!$A$1:$Z$1,0)),"")</f>
        <v/>
      </c>
      <c r="J1732" s="6" t="str">
        <f aca="false">IFERROR(INDEX('Semrush Data'!$A$1:$Z$20000,MATCH(A1732,'Semrush Data'!$A$1:$A$20000,0),MATCH("Intent",'Semrush Data'!$A$1:$Z$1,0)),"")</f>
        <v/>
      </c>
    </row>
    <row r="1733" customFormat="false" ht="15" hidden="false" customHeight="true" outlineLevel="0" collapsed="false">
      <c r="A1733" s="6" t="s">
        <v>2349</v>
      </c>
      <c r="B1733" s="6" t="s">
        <v>1415</v>
      </c>
      <c r="C1733" s="6" t="n">
        <v>3</v>
      </c>
      <c r="D1733" s="6" t="n">
        <v>18</v>
      </c>
      <c r="E1733" s="6" t="n">
        <v>1</v>
      </c>
      <c r="F1733" s="6" t="s">
        <v>1302</v>
      </c>
      <c r="G1733" s="28" t="str">
        <f aca="false">IFERROR(INDEX('Semrush Data'!$A$1:$Z$20000,MATCH(A1733,'Semrush Data'!$A$1:$A$20000,0),MATCH("Volume",'Semrush Data'!$A$1:$Z$1,0)),"")</f>
        <v/>
      </c>
      <c r="H1733" s="6" t="str">
        <f aca="false">IFERROR(INDEX('Semrush Data'!$A$1:$Z$20000,MATCH(A1733,'Semrush Data'!$A$1:$A$20000,0),MATCH("Keyword Difficulty*",'Semrush Data'!$A$1:$Z$1,0)),"")</f>
        <v/>
      </c>
      <c r="I1733" s="29" t="str">
        <f aca="false">IFERROR(INDEX('Semrush Data'!$A$1:$Z$20000,MATCH(A1733,'Semrush Data'!$A$1:$A$20000,0),MATCH("CPC*",'Semrush Data'!$A$1:$Z$1,0)),"")</f>
        <v/>
      </c>
      <c r="J1733" s="6" t="str">
        <f aca="false">IFERROR(INDEX('Semrush Data'!$A$1:$Z$20000,MATCH(A1733,'Semrush Data'!$A$1:$A$20000,0),MATCH("Intent",'Semrush Data'!$A$1:$Z$1,0)),"")</f>
        <v/>
      </c>
    </row>
    <row r="1734" customFormat="false" ht="15" hidden="false" customHeight="true" outlineLevel="0" collapsed="false">
      <c r="A1734" s="6" t="s">
        <v>1966</v>
      </c>
      <c r="B1734" s="6" t="s">
        <v>1415</v>
      </c>
      <c r="C1734" s="6" t="n">
        <v>3</v>
      </c>
      <c r="D1734" s="6" t="n">
        <v>18</v>
      </c>
      <c r="E1734" s="6" t="n">
        <v>1</v>
      </c>
      <c r="F1734" s="6" t="s">
        <v>926</v>
      </c>
      <c r="G1734" s="28" t="str">
        <f aca="false">IFERROR(INDEX('Semrush Data'!$A$1:$Z$20000,MATCH(A1734,'Semrush Data'!$A$1:$A$20000,0),MATCH("Volume",'Semrush Data'!$A$1:$Z$1,0)),"")</f>
        <v/>
      </c>
      <c r="H1734" s="6" t="str">
        <f aca="false">IFERROR(INDEX('Semrush Data'!$A$1:$Z$20000,MATCH(A1734,'Semrush Data'!$A$1:$A$20000,0),MATCH("Keyword Difficulty*",'Semrush Data'!$A$1:$Z$1,0)),"")</f>
        <v/>
      </c>
      <c r="I1734" s="29" t="str">
        <f aca="false">IFERROR(INDEX('Semrush Data'!$A$1:$Z$20000,MATCH(A1734,'Semrush Data'!$A$1:$A$20000,0),MATCH("CPC*",'Semrush Data'!$A$1:$Z$1,0)),"")</f>
        <v/>
      </c>
      <c r="J1734" s="6" t="str">
        <f aca="false">IFERROR(INDEX('Semrush Data'!$A$1:$Z$20000,MATCH(A1734,'Semrush Data'!$A$1:$A$20000,0),MATCH("Intent",'Semrush Data'!$A$1:$Z$1,0)),"")</f>
        <v/>
      </c>
    </row>
    <row r="1735" customFormat="false" ht="15" hidden="false" customHeight="true" outlineLevel="0" collapsed="false">
      <c r="A1735" s="6" t="s">
        <v>2207</v>
      </c>
      <c r="B1735" s="6" t="s">
        <v>1415</v>
      </c>
      <c r="C1735" s="6" t="n">
        <v>3</v>
      </c>
      <c r="D1735" s="6" t="n">
        <v>18</v>
      </c>
      <c r="E1735" s="6" t="n">
        <v>1</v>
      </c>
      <c r="F1735" s="6" t="s">
        <v>1157</v>
      </c>
      <c r="G1735" s="28" t="str">
        <f aca="false">IFERROR(INDEX('Semrush Data'!$A$1:$Z$20000,MATCH(A1735,'Semrush Data'!$A$1:$A$20000,0),MATCH("Volume",'Semrush Data'!$A$1:$Z$1,0)),"")</f>
        <v/>
      </c>
      <c r="H1735" s="6" t="str">
        <f aca="false">IFERROR(INDEX('Semrush Data'!$A$1:$Z$20000,MATCH(A1735,'Semrush Data'!$A$1:$A$20000,0),MATCH("Keyword Difficulty*",'Semrush Data'!$A$1:$Z$1,0)),"")</f>
        <v/>
      </c>
      <c r="I1735" s="29" t="str">
        <f aca="false">IFERROR(INDEX('Semrush Data'!$A$1:$Z$20000,MATCH(A1735,'Semrush Data'!$A$1:$A$20000,0),MATCH("CPC*",'Semrush Data'!$A$1:$Z$1,0)),"")</f>
        <v/>
      </c>
      <c r="J1735" s="6" t="str">
        <f aca="false">IFERROR(INDEX('Semrush Data'!$A$1:$Z$20000,MATCH(A1735,'Semrush Data'!$A$1:$A$20000,0),MATCH("Intent",'Semrush Data'!$A$1:$Z$1,0)),"")</f>
        <v/>
      </c>
    </row>
    <row r="1736" customFormat="false" ht="15" hidden="false" customHeight="true" outlineLevel="0" collapsed="false">
      <c r="A1736" s="6" t="s">
        <v>1951</v>
      </c>
      <c r="B1736" s="6" t="s">
        <v>1415</v>
      </c>
      <c r="C1736" s="6" t="n">
        <v>3</v>
      </c>
      <c r="D1736" s="6" t="n">
        <v>18</v>
      </c>
      <c r="E1736" s="6" t="n">
        <v>1</v>
      </c>
      <c r="F1736" s="6" t="s">
        <v>914</v>
      </c>
      <c r="G1736" s="28" t="str">
        <f aca="false">IFERROR(INDEX('Semrush Data'!$A$1:$Z$20000,MATCH(A1736,'Semrush Data'!$A$1:$A$20000,0),MATCH("Volume",'Semrush Data'!$A$1:$Z$1,0)),"")</f>
        <v/>
      </c>
      <c r="H1736" s="6" t="str">
        <f aca="false">IFERROR(INDEX('Semrush Data'!$A$1:$Z$20000,MATCH(A1736,'Semrush Data'!$A$1:$A$20000,0),MATCH("Keyword Difficulty*",'Semrush Data'!$A$1:$Z$1,0)),"")</f>
        <v/>
      </c>
      <c r="I1736" s="29" t="str">
        <f aca="false">IFERROR(INDEX('Semrush Data'!$A$1:$Z$20000,MATCH(A1736,'Semrush Data'!$A$1:$A$20000,0),MATCH("CPC*",'Semrush Data'!$A$1:$Z$1,0)),"")</f>
        <v/>
      </c>
      <c r="J1736" s="6" t="str">
        <f aca="false">IFERROR(INDEX('Semrush Data'!$A$1:$Z$20000,MATCH(A1736,'Semrush Data'!$A$1:$A$20000,0),MATCH("Intent",'Semrush Data'!$A$1:$Z$1,0)),"")</f>
        <v/>
      </c>
    </row>
    <row r="1737" customFormat="false" ht="15" hidden="false" customHeight="true" outlineLevel="0" collapsed="false">
      <c r="A1737" s="6" t="s">
        <v>2220</v>
      </c>
      <c r="B1737" s="6" t="s">
        <v>1415</v>
      </c>
      <c r="C1737" s="6" t="n">
        <v>3</v>
      </c>
      <c r="D1737" s="6" t="n">
        <v>18</v>
      </c>
      <c r="E1737" s="6" t="n">
        <v>1</v>
      </c>
      <c r="F1737" s="6" t="s">
        <v>1171</v>
      </c>
      <c r="G1737" s="28" t="str">
        <f aca="false">IFERROR(INDEX('Semrush Data'!$A$1:$Z$20000,MATCH(A1737,'Semrush Data'!$A$1:$A$20000,0),MATCH("Volume",'Semrush Data'!$A$1:$Z$1,0)),"")</f>
        <v/>
      </c>
      <c r="H1737" s="6" t="str">
        <f aca="false">IFERROR(INDEX('Semrush Data'!$A$1:$Z$20000,MATCH(A1737,'Semrush Data'!$A$1:$A$20000,0),MATCH("Keyword Difficulty*",'Semrush Data'!$A$1:$Z$1,0)),"")</f>
        <v/>
      </c>
      <c r="I1737" s="29" t="str">
        <f aca="false">IFERROR(INDEX('Semrush Data'!$A$1:$Z$20000,MATCH(A1737,'Semrush Data'!$A$1:$A$20000,0),MATCH("CPC*",'Semrush Data'!$A$1:$Z$1,0)),"")</f>
        <v/>
      </c>
      <c r="J1737" s="6" t="str">
        <f aca="false">IFERROR(INDEX('Semrush Data'!$A$1:$Z$20000,MATCH(A1737,'Semrush Data'!$A$1:$A$20000,0),MATCH("Intent",'Semrush Data'!$A$1:$Z$1,0)),"")</f>
        <v/>
      </c>
    </row>
    <row r="1738" customFormat="false" ht="15" hidden="false" customHeight="true" outlineLevel="0" collapsed="false">
      <c r="A1738" s="6" t="s">
        <v>1944</v>
      </c>
      <c r="B1738" s="6" t="s">
        <v>1415</v>
      </c>
      <c r="C1738" s="6" t="n">
        <v>3</v>
      </c>
      <c r="D1738" s="6" t="n">
        <v>18</v>
      </c>
      <c r="E1738" s="6" t="n">
        <v>1</v>
      </c>
      <c r="F1738" s="6" t="s">
        <v>905</v>
      </c>
      <c r="G1738" s="28" t="str">
        <f aca="false">IFERROR(INDEX('Semrush Data'!$A$1:$Z$20000,MATCH(A1738,'Semrush Data'!$A$1:$A$20000,0),MATCH("Volume",'Semrush Data'!$A$1:$Z$1,0)),"")</f>
        <v/>
      </c>
      <c r="H1738" s="6" t="str">
        <f aca="false">IFERROR(INDEX('Semrush Data'!$A$1:$Z$20000,MATCH(A1738,'Semrush Data'!$A$1:$A$20000,0),MATCH("Keyword Difficulty*",'Semrush Data'!$A$1:$Z$1,0)),"")</f>
        <v/>
      </c>
      <c r="I1738" s="29" t="str">
        <f aca="false">IFERROR(INDEX('Semrush Data'!$A$1:$Z$20000,MATCH(A1738,'Semrush Data'!$A$1:$A$20000,0),MATCH("CPC*",'Semrush Data'!$A$1:$Z$1,0)),"")</f>
        <v/>
      </c>
      <c r="J1738" s="6" t="str">
        <f aca="false">IFERROR(INDEX('Semrush Data'!$A$1:$Z$20000,MATCH(A1738,'Semrush Data'!$A$1:$A$20000,0),MATCH("Intent",'Semrush Data'!$A$1:$Z$1,0)),"")</f>
        <v/>
      </c>
    </row>
    <row r="1739" customFormat="false" ht="15" hidden="false" customHeight="true" outlineLevel="0" collapsed="false">
      <c r="A1739" s="6" t="s">
        <v>2343</v>
      </c>
      <c r="B1739" s="6" t="s">
        <v>1415</v>
      </c>
      <c r="C1739" s="6" t="n">
        <v>3</v>
      </c>
      <c r="D1739" s="6" t="n">
        <v>18</v>
      </c>
      <c r="E1739" s="6" t="n">
        <v>1</v>
      </c>
      <c r="F1739" s="6" t="s">
        <v>1296</v>
      </c>
      <c r="G1739" s="28" t="str">
        <f aca="false">IFERROR(INDEX('Semrush Data'!$A$1:$Z$20000,MATCH(A1739,'Semrush Data'!$A$1:$A$20000,0),MATCH("Volume",'Semrush Data'!$A$1:$Z$1,0)),"")</f>
        <v/>
      </c>
      <c r="H1739" s="6" t="str">
        <f aca="false">IFERROR(INDEX('Semrush Data'!$A$1:$Z$20000,MATCH(A1739,'Semrush Data'!$A$1:$A$20000,0),MATCH("Keyword Difficulty*",'Semrush Data'!$A$1:$Z$1,0)),"")</f>
        <v/>
      </c>
      <c r="I1739" s="29" t="str">
        <f aca="false">IFERROR(INDEX('Semrush Data'!$A$1:$Z$20000,MATCH(A1739,'Semrush Data'!$A$1:$A$20000,0),MATCH("CPC*",'Semrush Data'!$A$1:$Z$1,0)),"")</f>
        <v/>
      </c>
      <c r="J1739" s="6" t="str">
        <f aca="false">IFERROR(INDEX('Semrush Data'!$A$1:$Z$20000,MATCH(A1739,'Semrush Data'!$A$1:$A$20000,0),MATCH("Intent",'Semrush Data'!$A$1:$Z$1,0)),"")</f>
        <v/>
      </c>
    </row>
    <row r="1740" customFormat="false" ht="15" hidden="false" customHeight="true" outlineLevel="0" collapsed="false">
      <c r="A1740" s="6" t="s">
        <v>2337</v>
      </c>
      <c r="B1740" s="6" t="s">
        <v>1415</v>
      </c>
      <c r="C1740" s="6" t="n">
        <v>3</v>
      </c>
      <c r="D1740" s="6" t="n">
        <v>18</v>
      </c>
      <c r="E1740" s="6" t="n">
        <v>1</v>
      </c>
      <c r="F1740" s="6" t="s">
        <v>1290</v>
      </c>
      <c r="G1740" s="28" t="str">
        <f aca="false">IFERROR(INDEX('Semrush Data'!$A$1:$Z$20000,MATCH(A1740,'Semrush Data'!$A$1:$A$20000,0),MATCH("Volume",'Semrush Data'!$A$1:$Z$1,0)),"")</f>
        <v/>
      </c>
      <c r="H1740" s="6" t="str">
        <f aca="false">IFERROR(INDEX('Semrush Data'!$A$1:$Z$20000,MATCH(A1740,'Semrush Data'!$A$1:$A$20000,0),MATCH("Keyword Difficulty*",'Semrush Data'!$A$1:$Z$1,0)),"")</f>
        <v/>
      </c>
      <c r="I1740" s="29" t="str">
        <f aca="false">IFERROR(INDEX('Semrush Data'!$A$1:$Z$20000,MATCH(A1740,'Semrush Data'!$A$1:$A$20000,0),MATCH("CPC*",'Semrush Data'!$A$1:$Z$1,0)),"")</f>
        <v/>
      </c>
      <c r="J1740" s="6" t="str">
        <f aca="false">IFERROR(INDEX('Semrush Data'!$A$1:$Z$20000,MATCH(A1740,'Semrush Data'!$A$1:$A$20000,0),MATCH("Intent",'Semrush Data'!$A$1:$Z$1,0)),"")</f>
        <v/>
      </c>
    </row>
    <row r="1741" customFormat="false" ht="15" hidden="false" customHeight="true" outlineLevel="0" collapsed="false">
      <c r="A1741" s="6" t="s">
        <v>2444</v>
      </c>
      <c r="B1741" s="6" t="s">
        <v>1415</v>
      </c>
      <c r="C1741" s="6" t="n">
        <v>3</v>
      </c>
      <c r="D1741" s="6" t="n">
        <v>18</v>
      </c>
      <c r="E1741" s="6" t="n">
        <v>1</v>
      </c>
      <c r="F1741" s="6" t="s">
        <v>1399</v>
      </c>
      <c r="G1741" s="28" t="str">
        <f aca="false">IFERROR(INDEX('Semrush Data'!$A$1:$Z$20000,MATCH(A1741,'Semrush Data'!$A$1:$A$20000,0),MATCH("Volume",'Semrush Data'!$A$1:$Z$1,0)),"")</f>
        <v/>
      </c>
      <c r="H1741" s="6" t="str">
        <f aca="false">IFERROR(INDEX('Semrush Data'!$A$1:$Z$20000,MATCH(A1741,'Semrush Data'!$A$1:$A$20000,0),MATCH("Keyword Difficulty*",'Semrush Data'!$A$1:$Z$1,0)),"")</f>
        <v/>
      </c>
      <c r="I1741" s="29" t="str">
        <f aca="false">IFERROR(INDEX('Semrush Data'!$A$1:$Z$20000,MATCH(A1741,'Semrush Data'!$A$1:$A$20000,0),MATCH("CPC*",'Semrush Data'!$A$1:$Z$1,0)),"")</f>
        <v/>
      </c>
      <c r="J1741" s="6" t="str">
        <f aca="false">IFERROR(INDEX('Semrush Data'!$A$1:$Z$20000,MATCH(A1741,'Semrush Data'!$A$1:$A$20000,0),MATCH("Intent",'Semrush Data'!$A$1:$Z$1,0)),"")</f>
        <v/>
      </c>
    </row>
    <row r="1742" customFormat="false" ht="15" hidden="false" customHeight="true" outlineLevel="0" collapsed="false">
      <c r="A1742" s="6" t="s">
        <v>2432</v>
      </c>
      <c r="B1742" s="6" t="s">
        <v>1415</v>
      </c>
      <c r="C1742" s="6" t="n">
        <v>3</v>
      </c>
      <c r="D1742" s="6" t="n">
        <v>18</v>
      </c>
      <c r="E1742" s="6" t="n">
        <v>1</v>
      </c>
      <c r="F1742" s="6" t="s">
        <v>1387</v>
      </c>
      <c r="G1742" s="28" t="str">
        <f aca="false">IFERROR(INDEX('Semrush Data'!$A$1:$Z$20000,MATCH(A1742,'Semrush Data'!$A$1:$A$20000,0),MATCH("Volume",'Semrush Data'!$A$1:$Z$1,0)),"")</f>
        <v/>
      </c>
      <c r="H1742" s="6" t="str">
        <f aca="false">IFERROR(INDEX('Semrush Data'!$A$1:$Z$20000,MATCH(A1742,'Semrush Data'!$A$1:$A$20000,0),MATCH("Keyword Difficulty*",'Semrush Data'!$A$1:$Z$1,0)),"")</f>
        <v/>
      </c>
      <c r="I1742" s="29" t="str">
        <f aca="false">IFERROR(INDEX('Semrush Data'!$A$1:$Z$20000,MATCH(A1742,'Semrush Data'!$A$1:$A$20000,0),MATCH("CPC*",'Semrush Data'!$A$1:$Z$1,0)),"")</f>
        <v/>
      </c>
      <c r="J1742" s="6" t="str">
        <f aca="false">IFERROR(INDEX('Semrush Data'!$A$1:$Z$20000,MATCH(A1742,'Semrush Data'!$A$1:$A$20000,0),MATCH("Intent",'Semrush Data'!$A$1:$Z$1,0)),"")</f>
        <v/>
      </c>
    </row>
    <row r="1743" customFormat="false" ht="15" hidden="false" customHeight="true" outlineLevel="0" collapsed="false">
      <c r="A1743" s="6" t="s">
        <v>1974</v>
      </c>
      <c r="B1743" s="6" t="s">
        <v>1415</v>
      </c>
      <c r="C1743" s="6" t="n">
        <v>3</v>
      </c>
      <c r="D1743" s="6" t="n">
        <v>18</v>
      </c>
      <c r="E1743" s="6" t="n">
        <v>1</v>
      </c>
      <c r="F1743" s="6" t="s">
        <v>933</v>
      </c>
      <c r="G1743" s="28" t="str">
        <f aca="false">IFERROR(INDEX('Semrush Data'!$A$1:$Z$20000,MATCH(A1743,'Semrush Data'!$A$1:$A$20000,0),MATCH("Volume",'Semrush Data'!$A$1:$Z$1,0)),"")</f>
        <v/>
      </c>
      <c r="H1743" s="6" t="str">
        <f aca="false">IFERROR(INDEX('Semrush Data'!$A$1:$Z$20000,MATCH(A1743,'Semrush Data'!$A$1:$A$20000,0),MATCH("Keyword Difficulty*",'Semrush Data'!$A$1:$Z$1,0)),"")</f>
        <v/>
      </c>
      <c r="I1743" s="29" t="str">
        <f aca="false">IFERROR(INDEX('Semrush Data'!$A$1:$Z$20000,MATCH(A1743,'Semrush Data'!$A$1:$A$20000,0),MATCH("CPC*",'Semrush Data'!$A$1:$Z$1,0)),"")</f>
        <v/>
      </c>
      <c r="J1743" s="6" t="str">
        <f aca="false">IFERROR(INDEX('Semrush Data'!$A$1:$Z$20000,MATCH(A1743,'Semrush Data'!$A$1:$A$20000,0),MATCH("Intent",'Semrush Data'!$A$1:$Z$1,0)),"")</f>
        <v/>
      </c>
    </row>
    <row r="1744" customFormat="false" ht="15" hidden="false" customHeight="true" outlineLevel="0" collapsed="false">
      <c r="A1744" s="6" t="s">
        <v>2420</v>
      </c>
      <c r="B1744" s="6" t="s">
        <v>1415</v>
      </c>
      <c r="C1744" s="6" t="n">
        <v>3</v>
      </c>
      <c r="D1744" s="6" t="n">
        <v>18</v>
      </c>
      <c r="E1744" s="6" t="n">
        <v>1</v>
      </c>
      <c r="F1744" s="6" t="s">
        <v>1375</v>
      </c>
      <c r="G1744" s="28" t="str">
        <f aca="false">IFERROR(INDEX('Semrush Data'!$A$1:$Z$20000,MATCH(A1744,'Semrush Data'!$A$1:$A$20000,0),MATCH("Volume",'Semrush Data'!$A$1:$Z$1,0)),"")</f>
        <v/>
      </c>
      <c r="H1744" s="6" t="str">
        <f aca="false">IFERROR(INDEX('Semrush Data'!$A$1:$Z$20000,MATCH(A1744,'Semrush Data'!$A$1:$A$20000,0),MATCH("Keyword Difficulty*",'Semrush Data'!$A$1:$Z$1,0)),"")</f>
        <v/>
      </c>
      <c r="I1744" s="29" t="str">
        <f aca="false">IFERROR(INDEX('Semrush Data'!$A$1:$Z$20000,MATCH(A1744,'Semrush Data'!$A$1:$A$20000,0),MATCH("CPC*",'Semrush Data'!$A$1:$Z$1,0)),"")</f>
        <v/>
      </c>
      <c r="J1744" s="6" t="str">
        <f aca="false">IFERROR(INDEX('Semrush Data'!$A$1:$Z$20000,MATCH(A1744,'Semrush Data'!$A$1:$A$20000,0),MATCH("Intent",'Semrush Data'!$A$1:$Z$1,0)),"")</f>
        <v/>
      </c>
    </row>
    <row r="1745" customFormat="false" ht="15" hidden="false" customHeight="true" outlineLevel="0" collapsed="false">
      <c r="A1745" s="6" t="s">
        <v>2099</v>
      </c>
      <c r="B1745" s="6" t="s">
        <v>1415</v>
      </c>
      <c r="C1745" s="6" t="n">
        <v>3</v>
      </c>
      <c r="D1745" s="6" t="n">
        <v>18</v>
      </c>
      <c r="E1745" s="6" t="n">
        <v>1</v>
      </c>
      <c r="F1745" s="6" t="s">
        <v>1052</v>
      </c>
      <c r="G1745" s="28" t="str">
        <f aca="false">IFERROR(INDEX('Semrush Data'!$A$1:$Z$20000,MATCH(A1745,'Semrush Data'!$A$1:$A$20000,0),MATCH("Volume",'Semrush Data'!$A$1:$Z$1,0)),"")</f>
        <v/>
      </c>
      <c r="H1745" s="6" t="str">
        <f aca="false">IFERROR(INDEX('Semrush Data'!$A$1:$Z$20000,MATCH(A1745,'Semrush Data'!$A$1:$A$20000,0),MATCH("Keyword Difficulty*",'Semrush Data'!$A$1:$Z$1,0)),"")</f>
        <v/>
      </c>
      <c r="I1745" s="29" t="str">
        <f aca="false">IFERROR(INDEX('Semrush Data'!$A$1:$Z$20000,MATCH(A1745,'Semrush Data'!$A$1:$A$20000,0),MATCH("CPC*",'Semrush Data'!$A$1:$Z$1,0)),"")</f>
        <v/>
      </c>
      <c r="J1745" s="6" t="str">
        <f aca="false">IFERROR(INDEX('Semrush Data'!$A$1:$Z$20000,MATCH(A1745,'Semrush Data'!$A$1:$A$20000,0),MATCH("Intent",'Semrush Data'!$A$1:$Z$1,0)),"")</f>
        <v/>
      </c>
    </row>
    <row r="1746" customFormat="false" ht="15" hidden="false" customHeight="true" outlineLevel="0" collapsed="false">
      <c r="A1746" s="6" t="s">
        <v>2194</v>
      </c>
      <c r="B1746" s="6" t="s">
        <v>1415</v>
      </c>
      <c r="C1746" s="6" t="n">
        <v>3</v>
      </c>
      <c r="D1746" s="6" t="n">
        <v>18</v>
      </c>
      <c r="E1746" s="6" t="n">
        <v>1</v>
      </c>
      <c r="F1746" s="6" t="s">
        <v>1142</v>
      </c>
      <c r="G1746" s="28" t="str">
        <f aca="false">IFERROR(INDEX('Semrush Data'!$A$1:$Z$20000,MATCH(A1746,'Semrush Data'!$A$1:$A$20000,0),MATCH("Volume",'Semrush Data'!$A$1:$Z$1,0)),"")</f>
        <v/>
      </c>
      <c r="H1746" s="6" t="str">
        <f aca="false">IFERROR(INDEX('Semrush Data'!$A$1:$Z$20000,MATCH(A1746,'Semrush Data'!$A$1:$A$20000,0),MATCH("Keyword Difficulty*",'Semrush Data'!$A$1:$Z$1,0)),"")</f>
        <v/>
      </c>
      <c r="I1746" s="29" t="str">
        <f aca="false">IFERROR(INDEX('Semrush Data'!$A$1:$Z$20000,MATCH(A1746,'Semrush Data'!$A$1:$A$20000,0),MATCH("CPC*",'Semrush Data'!$A$1:$Z$1,0)),"")</f>
        <v/>
      </c>
      <c r="J1746" s="6" t="str">
        <f aca="false">IFERROR(INDEX('Semrush Data'!$A$1:$Z$20000,MATCH(A1746,'Semrush Data'!$A$1:$A$20000,0),MATCH("Intent",'Semrush Data'!$A$1:$Z$1,0)),"")</f>
        <v/>
      </c>
    </row>
    <row r="1747" customFormat="false" ht="15" hidden="false" customHeight="true" outlineLevel="0" collapsed="false">
      <c r="A1747" s="6" t="s">
        <v>2254</v>
      </c>
      <c r="B1747" s="6" t="s">
        <v>1415</v>
      </c>
      <c r="C1747" s="6" t="n">
        <v>3</v>
      </c>
      <c r="D1747" s="6" t="n">
        <v>18</v>
      </c>
      <c r="E1747" s="6" t="n">
        <v>1</v>
      </c>
      <c r="F1747" s="6" t="s">
        <v>1206</v>
      </c>
      <c r="G1747" s="28" t="str">
        <f aca="false">IFERROR(INDEX('Semrush Data'!$A$1:$Z$20000,MATCH(A1747,'Semrush Data'!$A$1:$A$20000,0),MATCH("Volume",'Semrush Data'!$A$1:$Z$1,0)),"")</f>
        <v/>
      </c>
      <c r="H1747" s="6" t="str">
        <f aca="false">IFERROR(INDEX('Semrush Data'!$A$1:$Z$20000,MATCH(A1747,'Semrush Data'!$A$1:$A$20000,0),MATCH("Keyword Difficulty*",'Semrush Data'!$A$1:$Z$1,0)),"")</f>
        <v/>
      </c>
      <c r="I1747" s="29" t="str">
        <f aca="false">IFERROR(INDEX('Semrush Data'!$A$1:$Z$20000,MATCH(A1747,'Semrush Data'!$A$1:$A$20000,0),MATCH("CPC*",'Semrush Data'!$A$1:$Z$1,0)),"")</f>
        <v/>
      </c>
      <c r="J1747" s="6" t="str">
        <f aca="false">IFERROR(INDEX('Semrush Data'!$A$1:$Z$20000,MATCH(A1747,'Semrush Data'!$A$1:$A$20000,0),MATCH("Intent",'Semrush Data'!$A$1:$Z$1,0)),"")</f>
        <v/>
      </c>
    </row>
    <row r="1748" customFormat="false" ht="15" hidden="false" customHeight="true" outlineLevel="0" collapsed="false">
      <c r="A1748" s="6" t="s">
        <v>2093</v>
      </c>
      <c r="B1748" s="6" t="s">
        <v>1415</v>
      </c>
      <c r="C1748" s="6" t="n">
        <v>3</v>
      </c>
      <c r="D1748" s="6" t="n">
        <v>18</v>
      </c>
      <c r="E1748" s="6" t="n">
        <v>1</v>
      </c>
      <c r="F1748" s="6" t="s">
        <v>1045</v>
      </c>
      <c r="G1748" s="28" t="str">
        <f aca="false">IFERROR(INDEX('Semrush Data'!$A$1:$Z$20000,MATCH(A1748,'Semrush Data'!$A$1:$A$20000,0),MATCH("Volume",'Semrush Data'!$A$1:$Z$1,0)),"")</f>
        <v/>
      </c>
      <c r="H1748" s="6" t="str">
        <f aca="false">IFERROR(INDEX('Semrush Data'!$A$1:$Z$20000,MATCH(A1748,'Semrush Data'!$A$1:$A$20000,0),MATCH("Keyword Difficulty*",'Semrush Data'!$A$1:$Z$1,0)),"")</f>
        <v/>
      </c>
      <c r="I1748" s="29" t="str">
        <f aca="false">IFERROR(INDEX('Semrush Data'!$A$1:$Z$20000,MATCH(A1748,'Semrush Data'!$A$1:$A$20000,0),MATCH("CPC*",'Semrush Data'!$A$1:$Z$1,0)),"")</f>
        <v/>
      </c>
      <c r="J1748" s="6" t="str">
        <f aca="false">IFERROR(INDEX('Semrush Data'!$A$1:$Z$20000,MATCH(A1748,'Semrush Data'!$A$1:$A$20000,0),MATCH("Intent",'Semrush Data'!$A$1:$Z$1,0)),"")</f>
        <v/>
      </c>
    </row>
    <row r="1749" customFormat="false" ht="15" hidden="false" customHeight="true" outlineLevel="0" collapsed="false">
      <c r="A1749" s="6" t="s">
        <v>2032</v>
      </c>
      <c r="B1749" s="6" t="s">
        <v>1415</v>
      </c>
      <c r="C1749" s="6" t="n">
        <v>3</v>
      </c>
      <c r="D1749" s="6" t="n">
        <v>18</v>
      </c>
      <c r="E1749" s="6" t="n">
        <v>1</v>
      </c>
      <c r="F1749" s="6" t="s">
        <v>985</v>
      </c>
      <c r="G1749" s="28" t="str">
        <f aca="false">IFERROR(INDEX('Semrush Data'!$A$1:$Z$20000,MATCH(A1749,'Semrush Data'!$A$1:$A$20000,0),MATCH("Volume",'Semrush Data'!$A$1:$Z$1,0)),"")</f>
        <v/>
      </c>
      <c r="H1749" s="6" t="str">
        <f aca="false">IFERROR(INDEX('Semrush Data'!$A$1:$Z$20000,MATCH(A1749,'Semrush Data'!$A$1:$A$20000,0),MATCH("Keyword Difficulty*",'Semrush Data'!$A$1:$Z$1,0)),"")</f>
        <v/>
      </c>
      <c r="I1749" s="29" t="str">
        <f aca="false">IFERROR(INDEX('Semrush Data'!$A$1:$Z$20000,MATCH(A1749,'Semrush Data'!$A$1:$A$20000,0),MATCH("CPC*",'Semrush Data'!$A$1:$Z$1,0)),"")</f>
        <v/>
      </c>
      <c r="J1749" s="6" t="str">
        <f aca="false">IFERROR(INDEX('Semrush Data'!$A$1:$Z$20000,MATCH(A1749,'Semrush Data'!$A$1:$A$20000,0),MATCH("Intent",'Semrush Data'!$A$1:$Z$1,0)),"")</f>
        <v/>
      </c>
    </row>
    <row r="1750" customFormat="false" ht="15" hidden="false" customHeight="true" outlineLevel="0" collapsed="false">
      <c r="A1750" s="6" t="s">
        <v>2438</v>
      </c>
      <c r="B1750" s="6" t="s">
        <v>1415</v>
      </c>
      <c r="C1750" s="6" t="n">
        <v>3</v>
      </c>
      <c r="D1750" s="6" t="n">
        <v>18</v>
      </c>
      <c r="E1750" s="6" t="n">
        <v>1</v>
      </c>
      <c r="F1750" s="6" t="s">
        <v>1393</v>
      </c>
      <c r="G1750" s="28" t="str">
        <f aca="false">IFERROR(INDEX('Semrush Data'!$A$1:$Z$20000,MATCH(A1750,'Semrush Data'!$A$1:$A$20000,0),MATCH("Volume",'Semrush Data'!$A$1:$Z$1,0)),"")</f>
        <v/>
      </c>
      <c r="H1750" s="6" t="str">
        <f aca="false">IFERROR(INDEX('Semrush Data'!$A$1:$Z$20000,MATCH(A1750,'Semrush Data'!$A$1:$A$20000,0),MATCH("Keyword Difficulty*",'Semrush Data'!$A$1:$Z$1,0)),"")</f>
        <v/>
      </c>
      <c r="I1750" s="29" t="str">
        <f aca="false">IFERROR(INDEX('Semrush Data'!$A$1:$Z$20000,MATCH(A1750,'Semrush Data'!$A$1:$A$20000,0),MATCH("CPC*",'Semrush Data'!$A$1:$Z$1,0)),"")</f>
        <v/>
      </c>
      <c r="J1750" s="6" t="str">
        <f aca="false">IFERROR(INDEX('Semrush Data'!$A$1:$Z$20000,MATCH(A1750,'Semrush Data'!$A$1:$A$20000,0),MATCH("Intent",'Semrush Data'!$A$1:$Z$1,0)),"")</f>
        <v/>
      </c>
    </row>
    <row r="1751" customFormat="false" ht="15" hidden="false" customHeight="true" outlineLevel="0" collapsed="false">
      <c r="A1751" s="6" t="s">
        <v>2396</v>
      </c>
      <c r="B1751" s="6" t="s">
        <v>1415</v>
      </c>
      <c r="C1751" s="6" t="n">
        <v>3</v>
      </c>
      <c r="D1751" s="6" t="n">
        <v>18</v>
      </c>
      <c r="E1751" s="6" t="n">
        <v>1</v>
      </c>
      <c r="F1751" s="6" t="s">
        <v>1350</v>
      </c>
      <c r="G1751" s="28" t="str">
        <f aca="false">IFERROR(INDEX('Semrush Data'!$A$1:$Z$20000,MATCH(A1751,'Semrush Data'!$A$1:$A$20000,0),MATCH("Volume",'Semrush Data'!$A$1:$Z$1,0)),"")</f>
        <v/>
      </c>
      <c r="H1751" s="6" t="str">
        <f aca="false">IFERROR(INDEX('Semrush Data'!$A$1:$Z$20000,MATCH(A1751,'Semrush Data'!$A$1:$A$20000,0),MATCH("Keyword Difficulty*",'Semrush Data'!$A$1:$Z$1,0)),"")</f>
        <v/>
      </c>
      <c r="I1751" s="29" t="str">
        <f aca="false">IFERROR(INDEX('Semrush Data'!$A$1:$Z$20000,MATCH(A1751,'Semrush Data'!$A$1:$A$20000,0),MATCH("CPC*",'Semrush Data'!$A$1:$Z$1,0)),"")</f>
        <v/>
      </c>
      <c r="J1751" s="6" t="str">
        <f aca="false">IFERROR(INDEX('Semrush Data'!$A$1:$Z$20000,MATCH(A1751,'Semrush Data'!$A$1:$A$20000,0),MATCH("Intent",'Semrush Data'!$A$1:$Z$1,0)),"")</f>
        <v/>
      </c>
    </row>
    <row r="1752" customFormat="false" ht="15" hidden="false" customHeight="true" outlineLevel="0" collapsed="false">
      <c r="A1752" s="6" t="s">
        <v>2213</v>
      </c>
      <c r="B1752" s="6" t="s">
        <v>1415</v>
      </c>
      <c r="C1752" s="6" t="n">
        <v>3</v>
      </c>
      <c r="D1752" s="6" t="n">
        <v>18</v>
      </c>
      <c r="E1752" s="6" t="n">
        <v>1</v>
      </c>
      <c r="F1752" s="6" t="s">
        <v>1164</v>
      </c>
      <c r="G1752" s="28" t="str">
        <f aca="false">IFERROR(INDEX('Semrush Data'!$A$1:$Z$20000,MATCH(A1752,'Semrush Data'!$A$1:$A$20000,0),MATCH("Volume",'Semrush Data'!$A$1:$Z$1,0)),"")</f>
        <v/>
      </c>
      <c r="H1752" s="6" t="str">
        <f aca="false">IFERROR(INDEX('Semrush Data'!$A$1:$Z$20000,MATCH(A1752,'Semrush Data'!$A$1:$A$20000,0),MATCH("Keyword Difficulty*",'Semrush Data'!$A$1:$Z$1,0)),"")</f>
        <v/>
      </c>
      <c r="I1752" s="29" t="str">
        <f aca="false">IFERROR(INDEX('Semrush Data'!$A$1:$Z$20000,MATCH(A1752,'Semrush Data'!$A$1:$A$20000,0),MATCH("CPC*",'Semrush Data'!$A$1:$Z$1,0)),"")</f>
        <v/>
      </c>
      <c r="J1752" s="6" t="str">
        <f aca="false">IFERROR(INDEX('Semrush Data'!$A$1:$Z$20000,MATCH(A1752,'Semrush Data'!$A$1:$A$20000,0),MATCH("Intent",'Semrush Data'!$A$1:$Z$1,0)),"")</f>
        <v/>
      </c>
    </row>
    <row r="1753" customFormat="false" ht="15" hidden="false" customHeight="true" outlineLevel="0" collapsed="false">
      <c r="A1753" s="6" t="s">
        <v>2372</v>
      </c>
      <c r="B1753" s="6" t="s">
        <v>1415</v>
      </c>
      <c r="C1753" s="6" t="n">
        <v>3</v>
      </c>
      <c r="D1753" s="6" t="n">
        <v>18</v>
      </c>
      <c r="E1753" s="6" t="n">
        <v>1</v>
      </c>
      <c r="F1753" s="6" t="s">
        <v>1326</v>
      </c>
      <c r="G1753" s="28" t="str">
        <f aca="false">IFERROR(INDEX('Semrush Data'!$A$1:$Z$20000,MATCH(A1753,'Semrush Data'!$A$1:$A$20000,0),MATCH("Volume",'Semrush Data'!$A$1:$Z$1,0)),"")</f>
        <v/>
      </c>
      <c r="H1753" s="6" t="str">
        <f aca="false">IFERROR(INDEX('Semrush Data'!$A$1:$Z$20000,MATCH(A1753,'Semrush Data'!$A$1:$A$20000,0),MATCH("Keyword Difficulty*",'Semrush Data'!$A$1:$Z$1,0)),"")</f>
        <v/>
      </c>
      <c r="I1753" s="29" t="str">
        <f aca="false">IFERROR(INDEX('Semrush Data'!$A$1:$Z$20000,MATCH(A1753,'Semrush Data'!$A$1:$A$20000,0),MATCH("CPC*",'Semrush Data'!$A$1:$Z$1,0)),"")</f>
        <v/>
      </c>
      <c r="J1753" s="6" t="str">
        <f aca="false">IFERROR(INDEX('Semrush Data'!$A$1:$Z$20000,MATCH(A1753,'Semrush Data'!$A$1:$A$20000,0),MATCH("Intent",'Semrush Data'!$A$1:$Z$1,0)),"")</f>
        <v/>
      </c>
    </row>
    <row r="1754" customFormat="false" ht="15" hidden="false" customHeight="true" outlineLevel="0" collapsed="false">
      <c r="A1754" s="6" t="s">
        <v>2153</v>
      </c>
      <c r="B1754" s="6" t="s">
        <v>1415</v>
      </c>
      <c r="C1754" s="6" t="n">
        <v>3</v>
      </c>
      <c r="D1754" s="6" t="n">
        <v>18</v>
      </c>
      <c r="E1754" s="6" t="n">
        <v>1</v>
      </c>
      <c r="F1754" s="6" t="s">
        <v>1103</v>
      </c>
      <c r="G1754" s="28" t="str">
        <f aca="false">IFERROR(INDEX('Semrush Data'!$A$1:$Z$20000,MATCH(A1754,'Semrush Data'!$A$1:$A$20000,0),MATCH("Volume",'Semrush Data'!$A$1:$Z$1,0)),"")</f>
        <v/>
      </c>
      <c r="H1754" s="6" t="str">
        <f aca="false">IFERROR(INDEX('Semrush Data'!$A$1:$Z$20000,MATCH(A1754,'Semrush Data'!$A$1:$A$20000,0),MATCH("Keyword Difficulty*",'Semrush Data'!$A$1:$Z$1,0)),"")</f>
        <v/>
      </c>
      <c r="I1754" s="29" t="str">
        <f aca="false">IFERROR(INDEX('Semrush Data'!$A$1:$Z$20000,MATCH(A1754,'Semrush Data'!$A$1:$A$20000,0),MATCH("CPC*",'Semrush Data'!$A$1:$Z$1,0)),"")</f>
        <v/>
      </c>
      <c r="J1754" s="6" t="str">
        <f aca="false">IFERROR(INDEX('Semrush Data'!$A$1:$Z$20000,MATCH(A1754,'Semrush Data'!$A$1:$A$20000,0),MATCH("Intent",'Semrush Data'!$A$1:$Z$1,0)),"")</f>
        <v/>
      </c>
    </row>
    <row r="1755" customFormat="false" ht="15" hidden="false" customHeight="true" outlineLevel="0" collapsed="false">
      <c r="A1755" s="6" t="s">
        <v>2402</v>
      </c>
      <c r="B1755" s="6" t="s">
        <v>1415</v>
      </c>
      <c r="C1755" s="6" t="n">
        <v>3</v>
      </c>
      <c r="D1755" s="6" t="n">
        <v>18</v>
      </c>
      <c r="E1755" s="6" t="n">
        <v>1</v>
      </c>
      <c r="F1755" s="6" t="s">
        <v>1357</v>
      </c>
      <c r="G1755" s="28" t="str">
        <f aca="false">IFERROR(INDEX('Semrush Data'!$A$1:$Z$20000,MATCH(A1755,'Semrush Data'!$A$1:$A$20000,0),MATCH("Volume",'Semrush Data'!$A$1:$Z$1,0)),"")</f>
        <v/>
      </c>
      <c r="H1755" s="6" t="str">
        <f aca="false">IFERROR(INDEX('Semrush Data'!$A$1:$Z$20000,MATCH(A1755,'Semrush Data'!$A$1:$A$20000,0),MATCH("Keyword Difficulty*",'Semrush Data'!$A$1:$Z$1,0)),"")</f>
        <v/>
      </c>
      <c r="I1755" s="29" t="str">
        <f aca="false">IFERROR(INDEX('Semrush Data'!$A$1:$Z$20000,MATCH(A1755,'Semrush Data'!$A$1:$A$20000,0),MATCH("CPC*",'Semrush Data'!$A$1:$Z$1,0)),"")</f>
        <v/>
      </c>
      <c r="J1755" s="6" t="str">
        <f aca="false">IFERROR(INDEX('Semrush Data'!$A$1:$Z$20000,MATCH(A1755,'Semrush Data'!$A$1:$A$20000,0),MATCH("Intent",'Semrush Data'!$A$1:$Z$1,0)),"")</f>
        <v/>
      </c>
    </row>
    <row r="1756" customFormat="false" ht="15" hidden="false" customHeight="true" outlineLevel="0" collapsed="false">
      <c r="A1756" s="6" t="s">
        <v>2366</v>
      </c>
      <c r="B1756" s="6" t="s">
        <v>1415</v>
      </c>
      <c r="C1756" s="6" t="n">
        <v>3</v>
      </c>
      <c r="D1756" s="6" t="n">
        <v>18</v>
      </c>
      <c r="E1756" s="6" t="n">
        <v>1</v>
      </c>
      <c r="F1756" s="6" t="s">
        <v>1320</v>
      </c>
      <c r="G1756" s="28" t="str">
        <f aca="false">IFERROR(INDEX('Semrush Data'!$A$1:$Z$20000,MATCH(A1756,'Semrush Data'!$A$1:$A$20000,0),MATCH("Volume",'Semrush Data'!$A$1:$Z$1,0)),"")</f>
        <v/>
      </c>
      <c r="H1756" s="6" t="str">
        <f aca="false">IFERROR(INDEX('Semrush Data'!$A$1:$Z$20000,MATCH(A1756,'Semrush Data'!$A$1:$A$20000,0),MATCH("Keyword Difficulty*",'Semrush Data'!$A$1:$Z$1,0)),"")</f>
        <v/>
      </c>
      <c r="I1756" s="29" t="str">
        <f aca="false">IFERROR(INDEX('Semrush Data'!$A$1:$Z$20000,MATCH(A1756,'Semrush Data'!$A$1:$A$20000,0),MATCH("CPC*",'Semrush Data'!$A$1:$Z$1,0)),"")</f>
        <v/>
      </c>
      <c r="J1756" s="6" t="str">
        <f aca="false">IFERROR(INDEX('Semrush Data'!$A$1:$Z$20000,MATCH(A1756,'Semrush Data'!$A$1:$A$20000,0),MATCH("Intent",'Semrush Data'!$A$1:$Z$1,0)),"")</f>
        <v/>
      </c>
    </row>
    <row r="1757" customFormat="false" ht="15" hidden="false" customHeight="true" outlineLevel="0" collapsed="false">
      <c r="A1757" s="6" t="s">
        <v>2390</v>
      </c>
      <c r="B1757" s="6" t="s">
        <v>1415</v>
      </c>
      <c r="C1757" s="6" t="n">
        <v>3</v>
      </c>
      <c r="D1757" s="6" t="n">
        <v>18</v>
      </c>
      <c r="E1757" s="6" t="n">
        <v>1</v>
      </c>
      <c r="F1757" s="6" t="s">
        <v>1344</v>
      </c>
      <c r="G1757" s="28" t="str">
        <f aca="false">IFERROR(INDEX('Semrush Data'!$A$1:$Z$20000,MATCH(A1757,'Semrush Data'!$A$1:$A$20000,0),MATCH("Volume",'Semrush Data'!$A$1:$Z$1,0)),"")</f>
        <v/>
      </c>
      <c r="H1757" s="6" t="str">
        <f aca="false">IFERROR(INDEX('Semrush Data'!$A$1:$Z$20000,MATCH(A1757,'Semrush Data'!$A$1:$A$20000,0),MATCH("Keyword Difficulty*",'Semrush Data'!$A$1:$Z$1,0)),"")</f>
        <v/>
      </c>
      <c r="I1757" s="29" t="str">
        <f aca="false">IFERROR(INDEX('Semrush Data'!$A$1:$Z$20000,MATCH(A1757,'Semrush Data'!$A$1:$A$20000,0),MATCH("CPC*",'Semrush Data'!$A$1:$Z$1,0)),"")</f>
        <v/>
      </c>
      <c r="J1757" s="6" t="str">
        <f aca="false">IFERROR(INDEX('Semrush Data'!$A$1:$Z$20000,MATCH(A1757,'Semrush Data'!$A$1:$A$20000,0),MATCH("Intent",'Semrush Data'!$A$1:$Z$1,0)),"")</f>
        <v/>
      </c>
    </row>
    <row r="1758" customFormat="false" ht="15" hidden="false" customHeight="true" outlineLevel="0" collapsed="false">
      <c r="A1758" s="6" t="s">
        <v>2355</v>
      </c>
      <c r="B1758" s="6" t="s">
        <v>1415</v>
      </c>
      <c r="C1758" s="6" t="n">
        <v>3</v>
      </c>
      <c r="D1758" s="6" t="n">
        <v>18</v>
      </c>
      <c r="E1758" s="6" t="n">
        <v>1</v>
      </c>
      <c r="F1758" s="6" t="s">
        <v>1308</v>
      </c>
      <c r="G1758" s="28" t="str">
        <f aca="false">IFERROR(INDEX('Semrush Data'!$A$1:$Z$20000,MATCH(A1758,'Semrush Data'!$A$1:$A$20000,0),MATCH("Volume",'Semrush Data'!$A$1:$Z$1,0)),"")</f>
        <v/>
      </c>
      <c r="H1758" s="6" t="str">
        <f aca="false">IFERROR(INDEX('Semrush Data'!$A$1:$Z$20000,MATCH(A1758,'Semrush Data'!$A$1:$A$20000,0),MATCH("Keyword Difficulty*",'Semrush Data'!$A$1:$Z$1,0)),"")</f>
        <v/>
      </c>
      <c r="I1758" s="29" t="str">
        <f aca="false">IFERROR(INDEX('Semrush Data'!$A$1:$Z$20000,MATCH(A1758,'Semrush Data'!$A$1:$A$20000,0),MATCH("CPC*",'Semrush Data'!$A$1:$Z$1,0)),"")</f>
        <v/>
      </c>
      <c r="J1758" s="6" t="str">
        <f aca="false">IFERROR(INDEX('Semrush Data'!$A$1:$Z$20000,MATCH(A1758,'Semrush Data'!$A$1:$A$20000,0),MATCH("Intent",'Semrush Data'!$A$1:$Z$1,0)),"")</f>
        <v/>
      </c>
    </row>
    <row r="1759" customFormat="false" ht="15" hidden="false" customHeight="true" outlineLevel="0" collapsed="false">
      <c r="A1759" s="6" t="s">
        <v>2361</v>
      </c>
      <c r="B1759" s="6" t="s">
        <v>1415</v>
      </c>
      <c r="C1759" s="6" t="n">
        <v>3</v>
      </c>
      <c r="D1759" s="6" t="n">
        <v>18</v>
      </c>
      <c r="E1759" s="6" t="n">
        <v>1</v>
      </c>
      <c r="F1759" s="6" t="s">
        <v>1314</v>
      </c>
      <c r="G1759" s="28" t="str">
        <f aca="false">IFERROR(INDEX('Semrush Data'!$A$1:$Z$20000,MATCH(A1759,'Semrush Data'!$A$1:$A$20000,0),MATCH("Volume",'Semrush Data'!$A$1:$Z$1,0)),"")</f>
        <v/>
      </c>
      <c r="H1759" s="6" t="str">
        <f aca="false">IFERROR(INDEX('Semrush Data'!$A$1:$Z$20000,MATCH(A1759,'Semrush Data'!$A$1:$A$20000,0),MATCH("Keyword Difficulty*",'Semrush Data'!$A$1:$Z$1,0)),"")</f>
        <v/>
      </c>
      <c r="I1759" s="29" t="str">
        <f aca="false">IFERROR(INDEX('Semrush Data'!$A$1:$Z$20000,MATCH(A1759,'Semrush Data'!$A$1:$A$20000,0),MATCH("CPC*",'Semrush Data'!$A$1:$Z$1,0)),"")</f>
        <v/>
      </c>
      <c r="J1759" s="6" t="str">
        <f aca="false">IFERROR(INDEX('Semrush Data'!$A$1:$Z$20000,MATCH(A1759,'Semrush Data'!$A$1:$A$20000,0),MATCH("Intent",'Semrush Data'!$A$1:$Z$1,0)),"")</f>
        <v/>
      </c>
    </row>
    <row r="1760" customFormat="false" ht="15" hidden="false" customHeight="true" outlineLevel="0" collapsed="false">
      <c r="A1760" s="6" t="s">
        <v>2025</v>
      </c>
      <c r="B1760" s="6" t="s">
        <v>1415</v>
      </c>
      <c r="C1760" s="6" t="n">
        <v>3</v>
      </c>
      <c r="D1760" s="6" t="n">
        <v>18</v>
      </c>
      <c r="E1760" s="6" t="n">
        <v>1</v>
      </c>
      <c r="F1760" s="6" t="s">
        <v>978</v>
      </c>
      <c r="G1760" s="28" t="str">
        <f aca="false">IFERROR(INDEX('Semrush Data'!$A$1:$Z$20000,MATCH(A1760,'Semrush Data'!$A$1:$A$20000,0),MATCH("Volume",'Semrush Data'!$A$1:$Z$1,0)),"")</f>
        <v/>
      </c>
      <c r="H1760" s="6" t="str">
        <f aca="false">IFERROR(INDEX('Semrush Data'!$A$1:$Z$20000,MATCH(A1760,'Semrush Data'!$A$1:$A$20000,0),MATCH("Keyword Difficulty*",'Semrush Data'!$A$1:$Z$1,0)),"")</f>
        <v/>
      </c>
      <c r="I1760" s="29" t="str">
        <f aca="false">IFERROR(INDEX('Semrush Data'!$A$1:$Z$20000,MATCH(A1760,'Semrush Data'!$A$1:$A$20000,0),MATCH("CPC*",'Semrush Data'!$A$1:$Z$1,0)),"")</f>
        <v/>
      </c>
      <c r="J1760" s="6" t="str">
        <f aca="false">IFERROR(INDEX('Semrush Data'!$A$1:$Z$20000,MATCH(A1760,'Semrush Data'!$A$1:$A$20000,0),MATCH("Intent",'Semrush Data'!$A$1:$Z$1,0)),"")</f>
        <v/>
      </c>
    </row>
    <row r="1761" customFormat="false" ht="15" hidden="false" customHeight="true" outlineLevel="0" collapsed="false">
      <c r="A1761" s="6" t="s">
        <v>2331</v>
      </c>
      <c r="B1761" s="6" t="s">
        <v>1415</v>
      </c>
      <c r="C1761" s="6" t="n">
        <v>3</v>
      </c>
      <c r="D1761" s="6" t="n">
        <v>18</v>
      </c>
      <c r="E1761" s="6" t="n">
        <v>1</v>
      </c>
      <c r="F1761" s="6" t="s">
        <v>1284</v>
      </c>
      <c r="G1761" s="28" t="str">
        <f aca="false">IFERROR(INDEX('Semrush Data'!$A$1:$Z$20000,MATCH(A1761,'Semrush Data'!$A$1:$A$20000,0),MATCH("Volume",'Semrush Data'!$A$1:$Z$1,0)),"")</f>
        <v/>
      </c>
      <c r="H1761" s="6" t="str">
        <f aca="false">IFERROR(INDEX('Semrush Data'!$A$1:$Z$20000,MATCH(A1761,'Semrush Data'!$A$1:$A$20000,0),MATCH("Keyword Difficulty*",'Semrush Data'!$A$1:$Z$1,0)),"")</f>
        <v/>
      </c>
      <c r="I1761" s="29" t="str">
        <f aca="false">IFERROR(INDEX('Semrush Data'!$A$1:$Z$20000,MATCH(A1761,'Semrush Data'!$A$1:$A$20000,0),MATCH("CPC*",'Semrush Data'!$A$1:$Z$1,0)),"")</f>
        <v/>
      </c>
      <c r="J1761" s="6" t="str">
        <f aca="false">IFERROR(INDEX('Semrush Data'!$A$1:$Z$20000,MATCH(A1761,'Semrush Data'!$A$1:$A$20000,0),MATCH("Intent",'Semrush Data'!$A$1:$Z$1,0)),"")</f>
        <v/>
      </c>
    </row>
    <row r="1762" customFormat="false" ht="15" hidden="false" customHeight="true" outlineLevel="0" collapsed="false">
      <c r="A1762" s="6" t="s">
        <v>2146</v>
      </c>
      <c r="B1762" s="6" t="s">
        <v>1415</v>
      </c>
      <c r="C1762" s="6" t="n">
        <v>3</v>
      </c>
      <c r="D1762" s="6" t="n">
        <v>18</v>
      </c>
      <c r="E1762" s="6" t="n">
        <v>1</v>
      </c>
      <c r="F1762" s="6" t="s">
        <v>1097</v>
      </c>
      <c r="G1762" s="28" t="str">
        <f aca="false">IFERROR(INDEX('Semrush Data'!$A$1:$Z$20000,MATCH(A1762,'Semrush Data'!$A$1:$A$20000,0),MATCH("Volume",'Semrush Data'!$A$1:$Z$1,0)),"")</f>
        <v/>
      </c>
      <c r="H1762" s="6" t="str">
        <f aca="false">IFERROR(INDEX('Semrush Data'!$A$1:$Z$20000,MATCH(A1762,'Semrush Data'!$A$1:$A$20000,0),MATCH("Keyword Difficulty*",'Semrush Data'!$A$1:$Z$1,0)),"")</f>
        <v/>
      </c>
      <c r="I1762" s="29" t="str">
        <f aca="false">IFERROR(INDEX('Semrush Data'!$A$1:$Z$20000,MATCH(A1762,'Semrush Data'!$A$1:$A$20000,0),MATCH("CPC*",'Semrush Data'!$A$1:$Z$1,0)),"")</f>
        <v/>
      </c>
      <c r="J1762" s="6" t="str">
        <f aca="false">IFERROR(INDEX('Semrush Data'!$A$1:$Z$20000,MATCH(A1762,'Semrush Data'!$A$1:$A$20000,0),MATCH("Intent",'Semrush Data'!$A$1:$Z$1,0)),"")</f>
        <v/>
      </c>
    </row>
    <row r="1763" customFormat="false" ht="15" hidden="false" customHeight="true" outlineLevel="0" collapsed="false">
      <c r="A1763" s="6" t="s">
        <v>2414</v>
      </c>
      <c r="B1763" s="6" t="s">
        <v>1415</v>
      </c>
      <c r="C1763" s="6" t="n">
        <v>3</v>
      </c>
      <c r="D1763" s="6" t="n">
        <v>18</v>
      </c>
      <c r="E1763" s="6" t="n">
        <v>1</v>
      </c>
      <c r="F1763" s="6" t="s">
        <v>1369</v>
      </c>
      <c r="G1763" s="28" t="str">
        <f aca="false">IFERROR(INDEX('Semrush Data'!$A$1:$Z$20000,MATCH(A1763,'Semrush Data'!$A$1:$A$20000,0),MATCH("Volume",'Semrush Data'!$A$1:$Z$1,0)),"")</f>
        <v/>
      </c>
      <c r="H1763" s="6" t="str">
        <f aca="false">IFERROR(INDEX('Semrush Data'!$A$1:$Z$20000,MATCH(A1763,'Semrush Data'!$A$1:$A$20000,0),MATCH("Keyword Difficulty*",'Semrush Data'!$A$1:$Z$1,0)),"")</f>
        <v/>
      </c>
      <c r="I1763" s="29" t="str">
        <f aca="false">IFERROR(INDEX('Semrush Data'!$A$1:$Z$20000,MATCH(A1763,'Semrush Data'!$A$1:$A$20000,0),MATCH("CPC*",'Semrush Data'!$A$1:$Z$1,0)),"")</f>
        <v/>
      </c>
      <c r="J1763" s="6" t="str">
        <f aca="false">IFERROR(INDEX('Semrush Data'!$A$1:$Z$20000,MATCH(A1763,'Semrush Data'!$A$1:$A$20000,0),MATCH("Intent",'Semrush Data'!$A$1:$Z$1,0)),"")</f>
        <v/>
      </c>
    </row>
    <row r="1764" customFormat="false" ht="15" hidden="false" customHeight="true" outlineLevel="0" collapsed="false">
      <c r="A1764" s="6" t="s">
        <v>2113</v>
      </c>
      <c r="B1764" s="6" t="s">
        <v>1415</v>
      </c>
      <c r="C1764" s="6" t="n">
        <v>3</v>
      </c>
      <c r="D1764" s="6" t="n">
        <v>18</v>
      </c>
      <c r="E1764" s="6" t="n">
        <v>1</v>
      </c>
      <c r="F1764" s="6" t="s">
        <v>1066</v>
      </c>
      <c r="G1764" s="28" t="str">
        <f aca="false">IFERROR(INDEX('Semrush Data'!$A$1:$Z$20000,MATCH(A1764,'Semrush Data'!$A$1:$A$20000,0),MATCH("Volume",'Semrush Data'!$A$1:$Z$1,0)),"")</f>
        <v/>
      </c>
      <c r="H1764" s="6" t="str">
        <f aca="false">IFERROR(INDEX('Semrush Data'!$A$1:$Z$20000,MATCH(A1764,'Semrush Data'!$A$1:$A$20000,0),MATCH("Keyword Difficulty*",'Semrush Data'!$A$1:$Z$1,0)),"")</f>
        <v/>
      </c>
      <c r="I1764" s="29" t="str">
        <f aca="false">IFERROR(INDEX('Semrush Data'!$A$1:$Z$20000,MATCH(A1764,'Semrush Data'!$A$1:$A$20000,0),MATCH("CPC*",'Semrush Data'!$A$1:$Z$1,0)),"")</f>
        <v/>
      </c>
      <c r="J1764" s="6" t="str">
        <f aca="false">IFERROR(INDEX('Semrush Data'!$A$1:$Z$20000,MATCH(A1764,'Semrush Data'!$A$1:$A$20000,0),MATCH("Intent",'Semrush Data'!$A$1:$Z$1,0)),"")</f>
        <v/>
      </c>
    </row>
    <row r="1765" customFormat="false" ht="15" hidden="false" customHeight="true" outlineLevel="0" collapsed="false">
      <c r="A1765" s="6" t="s">
        <v>2300</v>
      </c>
      <c r="B1765" s="6" t="s">
        <v>1415</v>
      </c>
      <c r="C1765" s="6" t="n">
        <v>3</v>
      </c>
      <c r="D1765" s="6" t="n">
        <v>18</v>
      </c>
      <c r="E1765" s="6" t="n">
        <v>1</v>
      </c>
      <c r="F1765" s="6" t="s">
        <v>1254</v>
      </c>
      <c r="G1765" s="28" t="str">
        <f aca="false">IFERROR(INDEX('Semrush Data'!$A$1:$Z$20000,MATCH(A1765,'Semrush Data'!$A$1:$A$20000,0),MATCH("Volume",'Semrush Data'!$A$1:$Z$1,0)),"")</f>
        <v/>
      </c>
      <c r="H1765" s="6" t="str">
        <f aca="false">IFERROR(INDEX('Semrush Data'!$A$1:$Z$20000,MATCH(A1765,'Semrush Data'!$A$1:$A$20000,0),MATCH("Keyword Difficulty*",'Semrush Data'!$A$1:$Z$1,0)),"")</f>
        <v/>
      </c>
      <c r="I1765" s="29" t="str">
        <f aca="false">IFERROR(INDEX('Semrush Data'!$A$1:$Z$20000,MATCH(A1765,'Semrush Data'!$A$1:$A$20000,0),MATCH("CPC*",'Semrush Data'!$A$1:$Z$1,0)),"")</f>
        <v/>
      </c>
      <c r="J1765" s="6" t="str">
        <f aca="false">IFERROR(INDEX('Semrush Data'!$A$1:$Z$20000,MATCH(A1765,'Semrush Data'!$A$1:$A$20000,0),MATCH("Intent",'Semrush Data'!$A$1:$Z$1,0)),"")</f>
        <v/>
      </c>
    </row>
    <row r="1766" customFormat="false" ht="15" hidden="false" customHeight="true" outlineLevel="0" collapsed="false">
      <c r="A1766" s="6" t="s">
        <v>2139</v>
      </c>
      <c r="B1766" s="6" t="s">
        <v>1415</v>
      </c>
      <c r="C1766" s="6" t="n">
        <v>3</v>
      </c>
      <c r="D1766" s="6" t="n">
        <v>18</v>
      </c>
      <c r="E1766" s="6" t="n">
        <v>1</v>
      </c>
      <c r="F1766" s="6" t="s">
        <v>1091</v>
      </c>
      <c r="G1766" s="28" t="str">
        <f aca="false">IFERROR(INDEX('Semrush Data'!$A$1:$Z$20000,MATCH(A1766,'Semrush Data'!$A$1:$A$20000,0),MATCH("Volume",'Semrush Data'!$A$1:$Z$1,0)),"")</f>
        <v/>
      </c>
      <c r="H1766" s="6" t="str">
        <f aca="false">IFERROR(INDEX('Semrush Data'!$A$1:$Z$20000,MATCH(A1766,'Semrush Data'!$A$1:$A$20000,0),MATCH("Keyword Difficulty*",'Semrush Data'!$A$1:$Z$1,0)),"")</f>
        <v/>
      </c>
      <c r="I1766" s="29" t="str">
        <f aca="false">IFERROR(INDEX('Semrush Data'!$A$1:$Z$20000,MATCH(A1766,'Semrush Data'!$A$1:$A$20000,0),MATCH("CPC*",'Semrush Data'!$A$1:$Z$1,0)),"")</f>
        <v/>
      </c>
      <c r="J1766" s="6" t="str">
        <f aca="false">IFERROR(INDEX('Semrush Data'!$A$1:$Z$20000,MATCH(A1766,'Semrush Data'!$A$1:$A$20000,0),MATCH("Intent",'Semrush Data'!$A$1:$Z$1,0)),"")</f>
        <v/>
      </c>
    </row>
    <row r="1767" customFormat="false" ht="15" hidden="false" customHeight="true" outlineLevel="0" collapsed="false">
      <c r="A1767" s="6" t="s">
        <v>2052</v>
      </c>
      <c r="B1767" s="6" t="s">
        <v>1415</v>
      </c>
      <c r="C1767" s="6" t="n">
        <v>3</v>
      </c>
      <c r="D1767" s="6" t="n">
        <v>18</v>
      </c>
      <c r="E1767" s="6" t="n">
        <v>1</v>
      </c>
      <c r="F1767" s="6" t="s">
        <v>1006</v>
      </c>
      <c r="G1767" s="28" t="str">
        <f aca="false">IFERROR(INDEX('Semrush Data'!$A$1:$Z$20000,MATCH(A1767,'Semrush Data'!$A$1:$A$20000,0),MATCH("Volume",'Semrush Data'!$A$1:$Z$1,0)),"")</f>
        <v/>
      </c>
      <c r="H1767" s="6" t="str">
        <f aca="false">IFERROR(INDEX('Semrush Data'!$A$1:$Z$20000,MATCH(A1767,'Semrush Data'!$A$1:$A$20000,0),MATCH("Keyword Difficulty*",'Semrush Data'!$A$1:$Z$1,0)),"")</f>
        <v/>
      </c>
      <c r="I1767" s="29" t="str">
        <f aca="false">IFERROR(INDEX('Semrush Data'!$A$1:$Z$20000,MATCH(A1767,'Semrush Data'!$A$1:$A$20000,0),MATCH("CPC*",'Semrush Data'!$A$1:$Z$1,0)),"")</f>
        <v/>
      </c>
      <c r="J1767" s="6" t="str">
        <f aca="false">IFERROR(INDEX('Semrush Data'!$A$1:$Z$20000,MATCH(A1767,'Semrush Data'!$A$1:$A$20000,0),MATCH("Intent",'Semrush Data'!$A$1:$Z$1,0)),"")</f>
        <v/>
      </c>
    </row>
    <row r="1768" customFormat="false" ht="15" hidden="false" customHeight="true" outlineLevel="0" collapsed="false">
      <c r="A1768" s="6" t="s">
        <v>2408</v>
      </c>
      <c r="B1768" s="6" t="s">
        <v>1415</v>
      </c>
      <c r="C1768" s="6" t="n">
        <v>3</v>
      </c>
      <c r="D1768" s="6" t="n">
        <v>18</v>
      </c>
      <c r="E1768" s="6" t="n">
        <v>1</v>
      </c>
      <c r="F1768" s="6" t="s">
        <v>1363</v>
      </c>
      <c r="G1768" s="28" t="str">
        <f aca="false">IFERROR(INDEX('Semrush Data'!$A$1:$Z$20000,MATCH(A1768,'Semrush Data'!$A$1:$A$20000,0),MATCH("Volume",'Semrush Data'!$A$1:$Z$1,0)),"")</f>
        <v/>
      </c>
      <c r="H1768" s="6" t="str">
        <f aca="false">IFERROR(INDEX('Semrush Data'!$A$1:$Z$20000,MATCH(A1768,'Semrush Data'!$A$1:$A$20000,0),MATCH("Keyword Difficulty*",'Semrush Data'!$A$1:$Z$1,0)),"")</f>
        <v/>
      </c>
      <c r="I1768" s="29" t="str">
        <f aca="false">IFERROR(INDEX('Semrush Data'!$A$1:$Z$20000,MATCH(A1768,'Semrush Data'!$A$1:$A$20000,0),MATCH("CPC*",'Semrush Data'!$A$1:$Z$1,0)),"")</f>
        <v/>
      </c>
      <c r="J1768" s="6" t="str">
        <f aca="false">IFERROR(INDEX('Semrush Data'!$A$1:$Z$20000,MATCH(A1768,'Semrush Data'!$A$1:$A$20000,0),MATCH("Intent",'Semrush Data'!$A$1:$Z$1,0)),"")</f>
        <v/>
      </c>
    </row>
    <row r="1769" customFormat="false" ht="15" hidden="false" customHeight="true" outlineLevel="0" collapsed="false">
      <c r="A1769" s="6" t="s">
        <v>2426</v>
      </c>
      <c r="B1769" s="6" t="s">
        <v>1415</v>
      </c>
      <c r="C1769" s="6" t="n">
        <v>3</v>
      </c>
      <c r="D1769" s="6" t="n">
        <v>18</v>
      </c>
      <c r="E1769" s="6" t="n">
        <v>1</v>
      </c>
      <c r="F1769" s="6" t="s">
        <v>1381</v>
      </c>
      <c r="G1769" s="28" t="str">
        <f aca="false">IFERROR(INDEX('Semrush Data'!$A$1:$Z$20000,MATCH(A1769,'Semrush Data'!$A$1:$A$20000,0),MATCH("Volume",'Semrush Data'!$A$1:$Z$1,0)),"")</f>
        <v/>
      </c>
      <c r="H1769" s="6" t="str">
        <f aca="false">IFERROR(INDEX('Semrush Data'!$A$1:$Z$20000,MATCH(A1769,'Semrush Data'!$A$1:$A$20000,0),MATCH("Keyword Difficulty*",'Semrush Data'!$A$1:$Z$1,0)),"")</f>
        <v/>
      </c>
      <c r="I1769" s="29" t="str">
        <f aca="false">IFERROR(INDEX('Semrush Data'!$A$1:$Z$20000,MATCH(A1769,'Semrush Data'!$A$1:$A$20000,0),MATCH("CPC*",'Semrush Data'!$A$1:$Z$1,0)),"")</f>
        <v/>
      </c>
      <c r="J1769" s="6" t="str">
        <f aca="false">IFERROR(INDEX('Semrush Data'!$A$1:$Z$20000,MATCH(A1769,'Semrush Data'!$A$1:$A$20000,0),MATCH("Intent",'Semrush Data'!$A$1:$Z$1,0)),"")</f>
        <v/>
      </c>
    </row>
    <row r="1770" customFormat="false" ht="15" hidden="false" customHeight="true" outlineLevel="0" collapsed="false">
      <c r="A1770" s="6" t="s">
        <v>2160</v>
      </c>
      <c r="B1770" s="6" t="s">
        <v>1415</v>
      </c>
      <c r="C1770" s="6" t="n">
        <v>3</v>
      </c>
      <c r="D1770" s="6" t="n">
        <v>18</v>
      </c>
      <c r="E1770" s="6" t="n">
        <v>1</v>
      </c>
      <c r="F1770" s="6" t="s">
        <v>1111</v>
      </c>
      <c r="G1770" s="28" t="str">
        <f aca="false">IFERROR(INDEX('Semrush Data'!$A$1:$Z$20000,MATCH(A1770,'Semrush Data'!$A$1:$A$20000,0),MATCH("Volume",'Semrush Data'!$A$1:$Z$1,0)),"")</f>
        <v/>
      </c>
      <c r="H1770" s="6" t="str">
        <f aca="false">IFERROR(INDEX('Semrush Data'!$A$1:$Z$20000,MATCH(A1770,'Semrush Data'!$A$1:$A$20000,0),MATCH("Keyword Difficulty*",'Semrush Data'!$A$1:$Z$1,0)),"")</f>
        <v/>
      </c>
      <c r="I1770" s="29" t="str">
        <f aca="false">IFERROR(INDEX('Semrush Data'!$A$1:$Z$20000,MATCH(A1770,'Semrush Data'!$A$1:$A$20000,0),MATCH("CPC*",'Semrush Data'!$A$1:$Z$1,0)),"")</f>
        <v/>
      </c>
      <c r="J1770" s="6" t="str">
        <f aca="false">IFERROR(INDEX('Semrush Data'!$A$1:$Z$20000,MATCH(A1770,'Semrush Data'!$A$1:$A$20000,0),MATCH("Intent",'Semrush Data'!$A$1:$Z$1,0)),"")</f>
        <v/>
      </c>
    </row>
    <row r="1771" customFormat="false" ht="15" hidden="false" customHeight="true" outlineLevel="0" collapsed="false">
      <c r="A1771" s="6" t="s">
        <v>1989</v>
      </c>
      <c r="B1771" s="6" t="s">
        <v>1415</v>
      </c>
      <c r="C1771" s="6" t="n">
        <v>3</v>
      </c>
      <c r="D1771" s="6" t="n">
        <v>18</v>
      </c>
      <c r="E1771" s="6" t="n">
        <v>1</v>
      </c>
      <c r="F1771" s="6" t="s">
        <v>945</v>
      </c>
      <c r="G1771" s="28" t="str">
        <f aca="false">IFERROR(INDEX('Semrush Data'!$A$1:$Z$20000,MATCH(A1771,'Semrush Data'!$A$1:$A$20000,0),MATCH("Volume",'Semrush Data'!$A$1:$Z$1,0)),"")</f>
        <v/>
      </c>
      <c r="H1771" s="6" t="str">
        <f aca="false">IFERROR(INDEX('Semrush Data'!$A$1:$Z$20000,MATCH(A1771,'Semrush Data'!$A$1:$A$20000,0),MATCH("Keyword Difficulty*",'Semrush Data'!$A$1:$Z$1,0)),"")</f>
        <v/>
      </c>
      <c r="I1771" s="29" t="str">
        <f aca="false">IFERROR(INDEX('Semrush Data'!$A$1:$Z$20000,MATCH(A1771,'Semrush Data'!$A$1:$A$20000,0),MATCH("CPC*",'Semrush Data'!$A$1:$Z$1,0)),"")</f>
        <v/>
      </c>
      <c r="J1771" s="6" t="str">
        <f aca="false">IFERROR(INDEX('Semrush Data'!$A$1:$Z$20000,MATCH(A1771,'Semrush Data'!$A$1:$A$20000,0),MATCH("Intent",'Semrush Data'!$A$1:$Z$1,0)),"")</f>
        <v/>
      </c>
    </row>
    <row r="1772" customFormat="false" ht="15" hidden="false" customHeight="true" outlineLevel="0" collapsed="false">
      <c r="A1772" s="6" t="s">
        <v>2088</v>
      </c>
      <c r="B1772" s="6" t="s">
        <v>1415</v>
      </c>
      <c r="C1772" s="6" t="n">
        <v>3</v>
      </c>
      <c r="D1772" s="6" t="n">
        <v>18</v>
      </c>
      <c r="E1772" s="6" t="n">
        <v>1</v>
      </c>
      <c r="F1772" s="6" t="s">
        <v>1039</v>
      </c>
      <c r="G1772" s="28" t="str">
        <f aca="false">IFERROR(INDEX('Semrush Data'!$A$1:$Z$20000,MATCH(A1772,'Semrush Data'!$A$1:$A$20000,0),MATCH("Volume",'Semrush Data'!$A$1:$Z$1,0)),"")</f>
        <v/>
      </c>
      <c r="H1772" s="6" t="str">
        <f aca="false">IFERROR(INDEX('Semrush Data'!$A$1:$Z$20000,MATCH(A1772,'Semrush Data'!$A$1:$A$20000,0),MATCH("Keyword Difficulty*",'Semrush Data'!$A$1:$Z$1,0)),"")</f>
        <v/>
      </c>
      <c r="I1772" s="29" t="str">
        <f aca="false">IFERROR(INDEX('Semrush Data'!$A$1:$Z$20000,MATCH(A1772,'Semrush Data'!$A$1:$A$20000,0),MATCH("CPC*",'Semrush Data'!$A$1:$Z$1,0)),"")</f>
        <v/>
      </c>
      <c r="J1772" s="6" t="str">
        <f aca="false">IFERROR(INDEX('Semrush Data'!$A$1:$Z$20000,MATCH(A1772,'Semrush Data'!$A$1:$A$20000,0),MATCH("Intent",'Semrush Data'!$A$1:$Z$1,0)),"")</f>
        <v/>
      </c>
    </row>
    <row r="1773" customFormat="false" ht="15" hidden="false" customHeight="true" outlineLevel="0" collapsed="false">
      <c r="A1773" s="6" t="s">
        <v>2234</v>
      </c>
      <c r="B1773" s="6" t="s">
        <v>1415</v>
      </c>
      <c r="C1773" s="6" t="n">
        <v>3</v>
      </c>
      <c r="D1773" s="6" t="n">
        <v>18</v>
      </c>
      <c r="E1773" s="6" t="n">
        <v>1</v>
      </c>
      <c r="F1773" s="6" t="s">
        <v>1185</v>
      </c>
      <c r="G1773" s="28" t="str">
        <f aca="false">IFERROR(INDEX('Semrush Data'!$A$1:$Z$20000,MATCH(A1773,'Semrush Data'!$A$1:$A$20000,0),MATCH("Volume",'Semrush Data'!$A$1:$Z$1,0)),"")</f>
        <v/>
      </c>
      <c r="H1773" s="6" t="str">
        <f aca="false">IFERROR(INDEX('Semrush Data'!$A$1:$Z$20000,MATCH(A1773,'Semrush Data'!$A$1:$A$20000,0),MATCH("Keyword Difficulty*",'Semrush Data'!$A$1:$Z$1,0)),"")</f>
        <v/>
      </c>
      <c r="I1773" s="29" t="str">
        <f aca="false">IFERROR(INDEX('Semrush Data'!$A$1:$Z$20000,MATCH(A1773,'Semrush Data'!$A$1:$A$20000,0),MATCH("CPC*",'Semrush Data'!$A$1:$Z$1,0)),"")</f>
        <v/>
      </c>
      <c r="J1773" s="6" t="str">
        <f aca="false">IFERROR(INDEX('Semrush Data'!$A$1:$Z$20000,MATCH(A1773,'Semrush Data'!$A$1:$A$20000,0),MATCH("Intent",'Semrush Data'!$A$1:$Z$1,0)),"")</f>
        <v/>
      </c>
    </row>
    <row r="1774" customFormat="false" ht="15" hidden="false" customHeight="true" outlineLevel="0" collapsed="false">
      <c r="A1774" s="6" t="s">
        <v>1997</v>
      </c>
      <c r="B1774" s="6" t="s">
        <v>1415</v>
      </c>
      <c r="C1774" s="6" t="n">
        <v>3</v>
      </c>
      <c r="D1774" s="6" t="n">
        <v>18</v>
      </c>
      <c r="E1774" s="6" t="n">
        <v>1</v>
      </c>
      <c r="F1774" s="6" t="s">
        <v>952</v>
      </c>
      <c r="G1774" s="28" t="str">
        <f aca="false">IFERROR(INDEX('Semrush Data'!$A$1:$Z$20000,MATCH(A1774,'Semrush Data'!$A$1:$A$20000,0),MATCH("Volume",'Semrush Data'!$A$1:$Z$1,0)),"")</f>
        <v/>
      </c>
      <c r="H1774" s="6" t="str">
        <f aca="false">IFERROR(INDEX('Semrush Data'!$A$1:$Z$20000,MATCH(A1774,'Semrush Data'!$A$1:$A$20000,0),MATCH("Keyword Difficulty*",'Semrush Data'!$A$1:$Z$1,0)),"")</f>
        <v/>
      </c>
      <c r="I1774" s="29" t="str">
        <f aca="false">IFERROR(INDEX('Semrush Data'!$A$1:$Z$20000,MATCH(A1774,'Semrush Data'!$A$1:$A$20000,0),MATCH("CPC*",'Semrush Data'!$A$1:$Z$1,0)),"")</f>
        <v/>
      </c>
      <c r="J1774" s="6" t="str">
        <f aca="false">IFERROR(INDEX('Semrush Data'!$A$1:$Z$20000,MATCH(A1774,'Semrush Data'!$A$1:$A$20000,0),MATCH("Intent",'Semrush Data'!$A$1:$Z$1,0)),"")</f>
        <v/>
      </c>
    </row>
    <row r="1775" customFormat="false" ht="15" hidden="false" customHeight="true" outlineLevel="0" collapsed="false">
      <c r="A1775" s="6" t="s">
        <v>2227</v>
      </c>
      <c r="B1775" s="6" t="s">
        <v>1415</v>
      </c>
      <c r="C1775" s="6" t="n">
        <v>3</v>
      </c>
      <c r="D1775" s="6" t="n">
        <v>18</v>
      </c>
      <c r="E1775" s="6" t="n">
        <v>1</v>
      </c>
      <c r="F1775" s="6" t="s">
        <v>1178</v>
      </c>
      <c r="G1775" s="28" t="str">
        <f aca="false">IFERROR(INDEX('Semrush Data'!$A$1:$Z$20000,MATCH(A1775,'Semrush Data'!$A$1:$A$20000,0),MATCH("Volume",'Semrush Data'!$A$1:$Z$1,0)),"")</f>
        <v/>
      </c>
      <c r="H1775" s="6" t="str">
        <f aca="false">IFERROR(INDEX('Semrush Data'!$A$1:$Z$20000,MATCH(A1775,'Semrush Data'!$A$1:$A$20000,0),MATCH("Keyword Difficulty*",'Semrush Data'!$A$1:$Z$1,0)),"")</f>
        <v/>
      </c>
      <c r="I1775" s="29" t="str">
        <f aca="false">IFERROR(INDEX('Semrush Data'!$A$1:$Z$20000,MATCH(A1775,'Semrush Data'!$A$1:$A$20000,0),MATCH("CPC*",'Semrush Data'!$A$1:$Z$1,0)),"")</f>
        <v/>
      </c>
      <c r="J1775" s="6" t="str">
        <f aca="false">IFERROR(INDEX('Semrush Data'!$A$1:$Z$20000,MATCH(A1775,'Semrush Data'!$A$1:$A$20000,0),MATCH("Intent",'Semrush Data'!$A$1:$Z$1,0)),"")</f>
        <v/>
      </c>
    </row>
    <row r="1776" customFormat="false" ht="15" hidden="false" customHeight="true" outlineLevel="0" collapsed="false">
      <c r="A1776" s="6" t="s">
        <v>2174</v>
      </c>
      <c r="B1776" s="6" t="s">
        <v>1415</v>
      </c>
      <c r="C1776" s="6" t="n">
        <v>3</v>
      </c>
      <c r="D1776" s="6" t="n">
        <v>18</v>
      </c>
      <c r="E1776" s="6" t="n">
        <v>1</v>
      </c>
      <c r="F1776" s="6" t="s">
        <v>1123</v>
      </c>
      <c r="G1776" s="28" t="str">
        <f aca="false">IFERROR(INDEX('Semrush Data'!$A$1:$Z$20000,MATCH(A1776,'Semrush Data'!$A$1:$A$20000,0),MATCH("Volume",'Semrush Data'!$A$1:$Z$1,0)),"")</f>
        <v/>
      </c>
      <c r="H1776" s="6" t="str">
        <f aca="false">IFERROR(INDEX('Semrush Data'!$A$1:$Z$20000,MATCH(A1776,'Semrush Data'!$A$1:$A$20000,0),MATCH("Keyword Difficulty*",'Semrush Data'!$A$1:$Z$1,0)),"")</f>
        <v/>
      </c>
      <c r="I1776" s="29" t="str">
        <f aca="false">IFERROR(INDEX('Semrush Data'!$A$1:$Z$20000,MATCH(A1776,'Semrush Data'!$A$1:$A$20000,0),MATCH("CPC*",'Semrush Data'!$A$1:$Z$1,0)),"")</f>
        <v/>
      </c>
      <c r="J1776" s="6" t="str">
        <f aca="false">IFERROR(INDEX('Semrush Data'!$A$1:$Z$20000,MATCH(A1776,'Semrush Data'!$A$1:$A$20000,0),MATCH("Intent",'Semrush Data'!$A$1:$Z$1,0)),"")</f>
        <v/>
      </c>
    </row>
    <row r="1777" customFormat="false" ht="15" hidden="false" customHeight="true" outlineLevel="0" collapsed="false">
      <c r="A1777" s="6" t="s">
        <v>2240</v>
      </c>
      <c r="B1777" s="6" t="s">
        <v>1415</v>
      </c>
      <c r="C1777" s="6" t="n">
        <v>3</v>
      </c>
      <c r="D1777" s="6" t="n">
        <v>18</v>
      </c>
      <c r="E1777" s="6" t="n">
        <v>1</v>
      </c>
      <c r="F1777" s="6" t="s">
        <v>1192</v>
      </c>
      <c r="G1777" s="28" t="str">
        <f aca="false">IFERROR(INDEX('Semrush Data'!$A$1:$Z$20000,MATCH(A1777,'Semrush Data'!$A$1:$A$20000,0),MATCH("Volume",'Semrush Data'!$A$1:$Z$1,0)),"")</f>
        <v/>
      </c>
      <c r="H1777" s="6" t="str">
        <f aca="false">IFERROR(INDEX('Semrush Data'!$A$1:$Z$20000,MATCH(A1777,'Semrush Data'!$A$1:$A$20000,0),MATCH("Keyword Difficulty*",'Semrush Data'!$A$1:$Z$1,0)),"")</f>
        <v/>
      </c>
      <c r="I1777" s="29" t="str">
        <f aca="false">IFERROR(INDEX('Semrush Data'!$A$1:$Z$20000,MATCH(A1777,'Semrush Data'!$A$1:$A$20000,0),MATCH("CPC*",'Semrush Data'!$A$1:$Z$1,0)),"")</f>
        <v/>
      </c>
      <c r="J1777" s="6" t="str">
        <f aca="false">IFERROR(INDEX('Semrush Data'!$A$1:$Z$20000,MATCH(A1777,'Semrush Data'!$A$1:$A$20000,0),MATCH("Intent",'Semrush Data'!$A$1:$Z$1,0)),"")</f>
        <v/>
      </c>
    </row>
    <row r="1778" customFormat="false" ht="15" hidden="false" customHeight="true" outlineLevel="0" collapsed="false">
      <c r="A1778" s="6" t="s">
        <v>2012</v>
      </c>
      <c r="B1778" s="6" t="s">
        <v>1415</v>
      </c>
      <c r="C1778" s="6" t="n">
        <v>3</v>
      </c>
      <c r="D1778" s="6" t="n">
        <v>18</v>
      </c>
      <c r="E1778" s="6" t="n">
        <v>1</v>
      </c>
      <c r="F1778" s="6" t="s">
        <v>965</v>
      </c>
      <c r="G1778" s="28" t="str">
        <f aca="false">IFERROR(INDEX('Semrush Data'!$A$1:$Z$20000,MATCH(A1778,'Semrush Data'!$A$1:$A$20000,0),MATCH("Volume",'Semrush Data'!$A$1:$Z$1,0)),"")</f>
        <v/>
      </c>
      <c r="H1778" s="6" t="str">
        <f aca="false">IFERROR(INDEX('Semrush Data'!$A$1:$Z$20000,MATCH(A1778,'Semrush Data'!$A$1:$A$20000,0),MATCH("Keyword Difficulty*",'Semrush Data'!$A$1:$Z$1,0)),"")</f>
        <v/>
      </c>
      <c r="I1778" s="29" t="str">
        <f aca="false">IFERROR(INDEX('Semrush Data'!$A$1:$Z$20000,MATCH(A1778,'Semrush Data'!$A$1:$A$20000,0),MATCH("CPC*",'Semrush Data'!$A$1:$Z$1,0)),"")</f>
        <v/>
      </c>
      <c r="J1778" s="6" t="str">
        <f aca="false">IFERROR(INDEX('Semrush Data'!$A$1:$Z$20000,MATCH(A1778,'Semrush Data'!$A$1:$A$20000,0),MATCH("Intent",'Semrush Data'!$A$1:$Z$1,0)),"")</f>
        <v/>
      </c>
    </row>
    <row r="1779" customFormat="false" ht="15" hidden="false" customHeight="true" outlineLevel="0" collapsed="false">
      <c r="A1779" s="6" t="s">
        <v>2181</v>
      </c>
      <c r="B1779" s="6" t="s">
        <v>1415</v>
      </c>
      <c r="C1779" s="6" t="n">
        <v>3</v>
      </c>
      <c r="D1779" s="6" t="n">
        <v>18</v>
      </c>
      <c r="E1779" s="6" t="n">
        <v>2</v>
      </c>
      <c r="F1779" s="6" t="s">
        <v>6779</v>
      </c>
      <c r="G1779" s="28" t="str">
        <f aca="false">IFERROR(INDEX('Semrush Data'!$A$1:$Z$20000,MATCH(A1779,'Semrush Data'!$A$1:$A$20000,0),MATCH("Volume",'Semrush Data'!$A$1:$Z$1,0)),"")</f>
        <v/>
      </c>
      <c r="H1779" s="6" t="str">
        <f aca="false">IFERROR(INDEX('Semrush Data'!$A$1:$Z$20000,MATCH(A1779,'Semrush Data'!$A$1:$A$20000,0),MATCH("Keyword Difficulty*",'Semrush Data'!$A$1:$Z$1,0)),"")</f>
        <v/>
      </c>
      <c r="I1779" s="29" t="str">
        <f aca="false">IFERROR(INDEX('Semrush Data'!$A$1:$Z$20000,MATCH(A1779,'Semrush Data'!$A$1:$A$20000,0),MATCH("CPC*",'Semrush Data'!$A$1:$Z$1,0)),"")</f>
        <v/>
      </c>
      <c r="J1779" s="6" t="str">
        <f aca="false">IFERROR(INDEX('Semrush Data'!$A$1:$Z$20000,MATCH(A1779,'Semrush Data'!$A$1:$A$20000,0),MATCH("Intent",'Semrush Data'!$A$1:$Z$1,0)),"")</f>
        <v/>
      </c>
    </row>
    <row r="1780" customFormat="false" ht="15" hidden="false" customHeight="true" outlineLevel="0" collapsed="false">
      <c r="A1780" s="6" t="s">
        <v>2019</v>
      </c>
      <c r="B1780" s="6" t="s">
        <v>1415</v>
      </c>
      <c r="C1780" s="6" t="n">
        <v>3</v>
      </c>
      <c r="D1780" s="6" t="n">
        <v>18</v>
      </c>
      <c r="E1780" s="6" t="n">
        <v>1</v>
      </c>
      <c r="F1780" s="6" t="s">
        <v>971</v>
      </c>
      <c r="G1780" s="28" t="str">
        <f aca="false">IFERROR(INDEX('Semrush Data'!$A$1:$Z$20000,MATCH(A1780,'Semrush Data'!$A$1:$A$20000,0),MATCH("Volume",'Semrush Data'!$A$1:$Z$1,0)),"")</f>
        <v/>
      </c>
      <c r="H1780" s="6" t="str">
        <f aca="false">IFERROR(INDEX('Semrush Data'!$A$1:$Z$20000,MATCH(A1780,'Semrush Data'!$A$1:$A$20000,0),MATCH("Keyword Difficulty*",'Semrush Data'!$A$1:$Z$1,0)),"")</f>
        <v/>
      </c>
      <c r="I1780" s="29" t="str">
        <f aca="false">IFERROR(INDEX('Semrush Data'!$A$1:$Z$20000,MATCH(A1780,'Semrush Data'!$A$1:$A$20000,0),MATCH("CPC*",'Semrush Data'!$A$1:$Z$1,0)),"")</f>
        <v/>
      </c>
      <c r="J1780" s="6" t="str">
        <f aca="false">IFERROR(INDEX('Semrush Data'!$A$1:$Z$20000,MATCH(A1780,'Semrush Data'!$A$1:$A$20000,0),MATCH("Intent",'Semrush Data'!$A$1:$Z$1,0)),"")</f>
        <v/>
      </c>
    </row>
    <row r="1781" customFormat="false" ht="15" hidden="false" customHeight="true" outlineLevel="0" collapsed="false">
      <c r="A1781" s="6" t="s">
        <v>2133</v>
      </c>
      <c r="B1781" s="6" t="s">
        <v>1415</v>
      </c>
      <c r="C1781" s="6" t="n">
        <v>3</v>
      </c>
      <c r="D1781" s="6" t="n">
        <v>18</v>
      </c>
      <c r="E1781" s="6" t="n">
        <v>1</v>
      </c>
      <c r="F1781" s="6" t="s">
        <v>1085</v>
      </c>
      <c r="G1781" s="28" t="str">
        <f aca="false">IFERROR(INDEX('Semrush Data'!$A$1:$Z$20000,MATCH(A1781,'Semrush Data'!$A$1:$A$20000,0),MATCH("Volume",'Semrush Data'!$A$1:$Z$1,0)),"")</f>
        <v/>
      </c>
      <c r="H1781" s="6" t="str">
        <f aca="false">IFERROR(INDEX('Semrush Data'!$A$1:$Z$20000,MATCH(A1781,'Semrush Data'!$A$1:$A$20000,0),MATCH("Keyword Difficulty*",'Semrush Data'!$A$1:$Z$1,0)),"")</f>
        <v/>
      </c>
      <c r="I1781" s="29" t="str">
        <f aca="false">IFERROR(INDEX('Semrush Data'!$A$1:$Z$20000,MATCH(A1781,'Semrush Data'!$A$1:$A$20000,0),MATCH("CPC*",'Semrush Data'!$A$1:$Z$1,0)),"")</f>
        <v/>
      </c>
      <c r="J1781" s="6" t="str">
        <f aca="false">IFERROR(INDEX('Semrush Data'!$A$1:$Z$20000,MATCH(A1781,'Semrush Data'!$A$1:$A$20000,0),MATCH("Intent",'Semrush Data'!$A$1:$Z$1,0)),"")</f>
        <v/>
      </c>
    </row>
    <row r="1782" customFormat="false" ht="15" hidden="false" customHeight="true" outlineLevel="0" collapsed="false">
      <c r="A1782" s="6" t="s">
        <v>2378</v>
      </c>
      <c r="B1782" s="6" t="s">
        <v>1415</v>
      </c>
      <c r="C1782" s="6" t="n">
        <v>3</v>
      </c>
      <c r="D1782" s="6" t="n">
        <v>18</v>
      </c>
      <c r="E1782" s="6" t="n">
        <v>1</v>
      </c>
      <c r="F1782" s="6" t="s">
        <v>1332</v>
      </c>
      <c r="G1782" s="28" t="str">
        <f aca="false">IFERROR(INDEX('Semrush Data'!$A$1:$Z$20000,MATCH(A1782,'Semrush Data'!$A$1:$A$20000,0),MATCH("Volume",'Semrush Data'!$A$1:$Z$1,0)),"")</f>
        <v/>
      </c>
      <c r="H1782" s="6" t="str">
        <f aca="false">IFERROR(INDEX('Semrush Data'!$A$1:$Z$20000,MATCH(A1782,'Semrush Data'!$A$1:$A$20000,0),MATCH("Keyword Difficulty*",'Semrush Data'!$A$1:$Z$1,0)),"")</f>
        <v/>
      </c>
      <c r="I1782" s="29" t="str">
        <f aca="false">IFERROR(INDEX('Semrush Data'!$A$1:$Z$20000,MATCH(A1782,'Semrush Data'!$A$1:$A$20000,0),MATCH("CPC*",'Semrush Data'!$A$1:$Z$1,0)),"")</f>
        <v/>
      </c>
      <c r="J1782" s="6" t="str">
        <f aca="false">IFERROR(INDEX('Semrush Data'!$A$1:$Z$20000,MATCH(A1782,'Semrush Data'!$A$1:$A$20000,0),MATCH("Intent",'Semrush Data'!$A$1:$Z$1,0)),"")</f>
        <v/>
      </c>
    </row>
    <row r="1783" customFormat="false" ht="15" hidden="false" customHeight="true" outlineLevel="0" collapsed="false">
      <c r="A1783" s="6" t="s">
        <v>2127</v>
      </c>
      <c r="B1783" s="6" t="s">
        <v>1415</v>
      </c>
      <c r="C1783" s="6" t="n">
        <v>3</v>
      </c>
      <c r="D1783" s="6" t="n">
        <v>18</v>
      </c>
      <c r="E1783" s="6" t="n">
        <v>1</v>
      </c>
      <c r="F1783" s="6" t="s">
        <v>1079</v>
      </c>
      <c r="G1783" s="28" t="str">
        <f aca="false">IFERROR(INDEX('Semrush Data'!$A$1:$Z$20000,MATCH(A1783,'Semrush Data'!$A$1:$A$20000,0),MATCH("Volume",'Semrush Data'!$A$1:$Z$1,0)),"")</f>
        <v/>
      </c>
      <c r="H1783" s="6" t="str">
        <f aca="false">IFERROR(INDEX('Semrush Data'!$A$1:$Z$20000,MATCH(A1783,'Semrush Data'!$A$1:$A$20000,0),MATCH("Keyword Difficulty*",'Semrush Data'!$A$1:$Z$1,0)),"")</f>
        <v/>
      </c>
      <c r="I1783" s="29" t="str">
        <f aca="false">IFERROR(INDEX('Semrush Data'!$A$1:$Z$20000,MATCH(A1783,'Semrush Data'!$A$1:$A$20000,0),MATCH("CPC*",'Semrush Data'!$A$1:$Z$1,0)),"")</f>
        <v/>
      </c>
      <c r="J1783" s="6" t="str">
        <f aca="false">IFERROR(INDEX('Semrush Data'!$A$1:$Z$20000,MATCH(A1783,'Semrush Data'!$A$1:$A$20000,0),MATCH("Intent",'Semrush Data'!$A$1:$Z$1,0)),"")</f>
        <v/>
      </c>
    </row>
    <row r="1784" customFormat="false" ht="15" hidden="false" customHeight="true" outlineLevel="0" collapsed="false">
      <c r="A1784" s="6" t="s">
        <v>2306</v>
      </c>
      <c r="B1784" s="6" t="s">
        <v>1415</v>
      </c>
      <c r="C1784" s="6" t="n">
        <v>3</v>
      </c>
      <c r="D1784" s="6" t="n">
        <v>18</v>
      </c>
      <c r="E1784" s="6" t="n">
        <v>1</v>
      </c>
      <c r="F1784" s="6" t="s">
        <v>1260</v>
      </c>
      <c r="G1784" s="28" t="str">
        <f aca="false">IFERROR(INDEX('Semrush Data'!$A$1:$Z$20000,MATCH(A1784,'Semrush Data'!$A$1:$A$20000,0),MATCH("Volume",'Semrush Data'!$A$1:$Z$1,0)),"")</f>
        <v/>
      </c>
      <c r="H1784" s="6" t="str">
        <f aca="false">IFERROR(INDEX('Semrush Data'!$A$1:$Z$20000,MATCH(A1784,'Semrush Data'!$A$1:$A$20000,0),MATCH("Keyword Difficulty*",'Semrush Data'!$A$1:$Z$1,0)),"")</f>
        <v/>
      </c>
      <c r="I1784" s="29" t="str">
        <f aca="false">IFERROR(INDEX('Semrush Data'!$A$1:$Z$20000,MATCH(A1784,'Semrush Data'!$A$1:$A$20000,0),MATCH("CPC*",'Semrush Data'!$A$1:$Z$1,0)),"")</f>
        <v/>
      </c>
      <c r="J1784" s="6" t="str">
        <f aca="false">IFERROR(INDEX('Semrush Data'!$A$1:$Z$20000,MATCH(A1784,'Semrush Data'!$A$1:$A$20000,0),MATCH("Intent",'Semrush Data'!$A$1:$Z$1,0)),"")</f>
        <v/>
      </c>
    </row>
    <row r="1785" customFormat="false" ht="15" hidden="false" customHeight="true" outlineLevel="0" collapsed="false">
      <c r="A1785" s="6" t="s">
        <v>2247</v>
      </c>
      <c r="B1785" s="6" t="s">
        <v>1415</v>
      </c>
      <c r="C1785" s="6" t="n">
        <v>3</v>
      </c>
      <c r="D1785" s="6" t="n">
        <v>18</v>
      </c>
      <c r="E1785" s="6" t="n">
        <v>1</v>
      </c>
      <c r="F1785" s="6" t="s">
        <v>1199</v>
      </c>
      <c r="G1785" s="28" t="str">
        <f aca="false">IFERROR(INDEX('Semrush Data'!$A$1:$Z$20000,MATCH(A1785,'Semrush Data'!$A$1:$A$20000,0),MATCH("Volume",'Semrush Data'!$A$1:$Z$1,0)),"")</f>
        <v/>
      </c>
      <c r="H1785" s="6" t="str">
        <f aca="false">IFERROR(INDEX('Semrush Data'!$A$1:$Z$20000,MATCH(A1785,'Semrush Data'!$A$1:$A$20000,0),MATCH("Keyword Difficulty*",'Semrush Data'!$A$1:$Z$1,0)),"")</f>
        <v/>
      </c>
      <c r="I1785" s="29" t="str">
        <f aca="false">IFERROR(INDEX('Semrush Data'!$A$1:$Z$20000,MATCH(A1785,'Semrush Data'!$A$1:$A$20000,0),MATCH("CPC*",'Semrush Data'!$A$1:$Z$1,0)),"")</f>
        <v/>
      </c>
      <c r="J1785" s="6" t="str">
        <f aca="false">IFERROR(INDEX('Semrush Data'!$A$1:$Z$20000,MATCH(A1785,'Semrush Data'!$A$1:$A$20000,0),MATCH("Intent",'Semrush Data'!$A$1:$Z$1,0)),"")</f>
        <v/>
      </c>
    </row>
    <row r="1786" customFormat="false" ht="15" hidden="false" customHeight="true" outlineLevel="0" collapsed="false">
      <c r="A1786" s="6" t="s">
        <v>2120</v>
      </c>
      <c r="B1786" s="6" t="s">
        <v>1415</v>
      </c>
      <c r="C1786" s="6" t="n">
        <v>3</v>
      </c>
      <c r="D1786" s="6" t="n">
        <v>18</v>
      </c>
      <c r="E1786" s="6" t="n">
        <v>1</v>
      </c>
      <c r="F1786" s="6" t="s">
        <v>1073</v>
      </c>
      <c r="G1786" s="28" t="str">
        <f aca="false">IFERROR(INDEX('Semrush Data'!$A$1:$Z$20000,MATCH(A1786,'Semrush Data'!$A$1:$A$20000,0),MATCH("Volume",'Semrush Data'!$A$1:$Z$1,0)),"")</f>
        <v/>
      </c>
      <c r="H1786" s="6" t="str">
        <f aca="false">IFERROR(INDEX('Semrush Data'!$A$1:$Z$20000,MATCH(A1786,'Semrush Data'!$A$1:$A$20000,0),MATCH("Keyword Difficulty*",'Semrush Data'!$A$1:$Z$1,0)),"")</f>
        <v/>
      </c>
      <c r="I1786" s="29" t="str">
        <f aca="false">IFERROR(INDEX('Semrush Data'!$A$1:$Z$20000,MATCH(A1786,'Semrush Data'!$A$1:$A$20000,0),MATCH("CPC*",'Semrush Data'!$A$1:$Z$1,0)),"")</f>
        <v/>
      </c>
      <c r="J1786" s="6" t="str">
        <f aca="false">IFERROR(INDEX('Semrush Data'!$A$1:$Z$20000,MATCH(A1786,'Semrush Data'!$A$1:$A$20000,0),MATCH("Intent",'Semrush Data'!$A$1:$Z$1,0)),"")</f>
        <v/>
      </c>
    </row>
    <row r="1787" customFormat="false" ht="15" hidden="false" customHeight="true" outlineLevel="0" collapsed="false">
      <c r="A1787" s="6" t="s">
        <v>2067</v>
      </c>
      <c r="B1787" s="6" t="s">
        <v>1415</v>
      </c>
      <c r="C1787" s="6" t="n">
        <v>3</v>
      </c>
      <c r="D1787" s="6" t="n">
        <v>18</v>
      </c>
      <c r="E1787" s="6" t="n">
        <v>1</v>
      </c>
      <c r="F1787" s="6" t="s">
        <v>1021</v>
      </c>
      <c r="G1787" s="28" t="str">
        <f aca="false">IFERROR(INDEX('Semrush Data'!$A$1:$Z$20000,MATCH(A1787,'Semrush Data'!$A$1:$A$20000,0),MATCH("Volume",'Semrush Data'!$A$1:$Z$1,0)),"")</f>
        <v/>
      </c>
      <c r="H1787" s="6" t="str">
        <f aca="false">IFERROR(INDEX('Semrush Data'!$A$1:$Z$20000,MATCH(A1787,'Semrush Data'!$A$1:$A$20000,0),MATCH("Keyword Difficulty*",'Semrush Data'!$A$1:$Z$1,0)),"")</f>
        <v/>
      </c>
      <c r="I1787" s="29" t="str">
        <f aca="false">IFERROR(INDEX('Semrush Data'!$A$1:$Z$20000,MATCH(A1787,'Semrush Data'!$A$1:$A$20000,0),MATCH("CPC*",'Semrush Data'!$A$1:$Z$1,0)),"")</f>
        <v/>
      </c>
      <c r="J1787" s="6" t="str">
        <f aca="false">IFERROR(INDEX('Semrush Data'!$A$1:$Z$20000,MATCH(A1787,'Semrush Data'!$A$1:$A$20000,0),MATCH("Intent",'Semrush Data'!$A$1:$Z$1,0)),"")</f>
        <v/>
      </c>
    </row>
    <row r="1788" customFormat="false" ht="15" hidden="false" customHeight="true" outlineLevel="0" collapsed="false">
      <c r="A1788" s="6" t="s">
        <v>2274</v>
      </c>
      <c r="B1788" s="6" t="s">
        <v>1415</v>
      </c>
      <c r="C1788" s="6" t="n">
        <v>3</v>
      </c>
      <c r="D1788" s="6" t="n">
        <v>18</v>
      </c>
      <c r="E1788" s="6" t="n">
        <v>1</v>
      </c>
      <c r="F1788" s="6" t="s">
        <v>1226</v>
      </c>
      <c r="G1788" s="28" t="str">
        <f aca="false">IFERROR(INDEX('Semrush Data'!$A$1:$Z$20000,MATCH(A1788,'Semrush Data'!$A$1:$A$20000,0),MATCH("Volume",'Semrush Data'!$A$1:$Z$1,0)),"")</f>
        <v/>
      </c>
      <c r="H1788" s="6" t="str">
        <f aca="false">IFERROR(INDEX('Semrush Data'!$A$1:$Z$20000,MATCH(A1788,'Semrush Data'!$A$1:$A$20000,0),MATCH("Keyword Difficulty*",'Semrush Data'!$A$1:$Z$1,0)),"")</f>
        <v/>
      </c>
      <c r="I1788" s="29" t="str">
        <f aca="false">IFERROR(INDEX('Semrush Data'!$A$1:$Z$20000,MATCH(A1788,'Semrush Data'!$A$1:$A$20000,0),MATCH("CPC*",'Semrush Data'!$A$1:$Z$1,0)),"")</f>
        <v/>
      </c>
      <c r="J1788" s="6" t="str">
        <f aca="false">IFERROR(INDEX('Semrush Data'!$A$1:$Z$20000,MATCH(A1788,'Semrush Data'!$A$1:$A$20000,0),MATCH("Intent",'Semrush Data'!$A$1:$Z$1,0)),"")</f>
        <v/>
      </c>
    </row>
    <row r="1789" customFormat="false" ht="15" hidden="false" customHeight="true" outlineLevel="0" collapsed="false">
      <c r="A1789" s="6" t="s">
        <v>2105</v>
      </c>
      <c r="B1789" s="6" t="s">
        <v>1415</v>
      </c>
      <c r="C1789" s="6" t="n">
        <v>3</v>
      </c>
      <c r="D1789" s="6" t="n">
        <v>18</v>
      </c>
      <c r="E1789" s="6" t="n">
        <v>1</v>
      </c>
      <c r="F1789" s="6" t="s">
        <v>1059</v>
      </c>
      <c r="G1789" s="28" t="str">
        <f aca="false">IFERROR(INDEX('Semrush Data'!$A$1:$Z$20000,MATCH(A1789,'Semrush Data'!$A$1:$A$20000,0),MATCH("Volume",'Semrush Data'!$A$1:$Z$1,0)),"")</f>
        <v/>
      </c>
      <c r="H1789" s="6" t="str">
        <f aca="false">IFERROR(INDEX('Semrush Data'!$A$1:$Z$20000,MATCH(A1789,'Semrush Data'!$A$1:$A$20000,0),MATCH("Keyword Difficulty*",'Semrush Data'!$A$1:$Z$1,0)),"")</f>
        <v/>
      </c>
      <c r="I1789" s="29" t="str">
        <f aca="false">IFERROR(INDEX('Semrush Data'!$A$1:$Z$20000,MATCH(A1789,'Semrush Data'!$A$1:$A$20000,0),MATCH("CPC*",'Semrush Data'!$A$1:$Z$1,0)),"")</f>
        <v/>
      </c>
      <c r="J1789" s="6" t="str">
        <f aca="false">IFERROR(INDEX('Semrush Data'!$A$1:$Z$20000,MATCH(A1789,'Semrush Data'!$A$1:$A$20000,0),MATCH("Intent",'Semrush Data'!$A$1:$Z$1,0)),"")</f>
        <v/>
      </c>
    </row>
    <row r="1790" customFormat="false" ht="15" hidden="false" customHeight="true" outlineLevel="0" collapsed="false">
      <c r="A1790" s="6" t="s">
        <v>2080</v>
      </c>
      <c r="B1790" s="6" t="s">
        <v>1415</v>
      </c>
      <c r="C1790" s="6" t="n">
        <v>3</v>
      </c>
      <c r="D1790" s="6" t="n">
        <v>18</v>
      </c>
      <c r="E1790" s="6" t="n">
        <v>1</v>
      </c>
      <c r="F1790" s="6" t="s">
        <v>1033</v>
      </c>
      <c r="G1790" s="28" t="str">
        <f aca="false">IFERROR(INDEX('Semrush Data'!$A$1:$Z$20000,MATCH(A1790,'Semrush Data'!$A$1:$A$20000,0),MATCH("Volume",'Semrush Data'!$A$1:$Z$1,0)),"")</f>
        <v/>
      </c>
      <c r="H1790" s="6" t="str">
        <f aca="false">IFERROR(INDEX('Semrush Data'!$A$1:$Z$20000,MATCH(A1790,'Semrush Data'!$A$1:$A$20000,0),MATCH("Keyword Difficulty*",'Semrush Data'!$A$1:$Z$1,0)),"")</f>
        <v/>
      </c>
      <c r="I1790" s="29" t="str">
        <f aca="false">IFERROR(INDEX('Semrush Data'!$A$1:$Z$20000,MATCH(A1790,'Semrush Data'!$A$1:$A$20000,0),MATCH("CPC*",'Semrush Data'!$A$1:$Z$1,0)),"")</f>
        <v/>
      </c>
      <c r="J1790" s="6" t="str">
        <f aca="false">IFERROR(INDEX('Semrush Data'!$A$1:$Z$20000,MATCH(A1790,'Semrush Data'!$A$1:$A$20000,0),MATCH("Intent",'Semrush Data'!$A$1:$Z$1,0)),"")</f>
        <v/>
      </c>
    </row>
    <row r="1791" customFormat="false" ht="15" hidden="false" customHeight="true" outlineLevel="0" collapsed="false">
      <c r="A1791" s="6" t="s">
        <v>2073</v>
      </c>
      <c r="B1791" s="6" t="s">
        <v>1415</v>
      </c>
      <c r="C1791" s="6" t="n">
        <v>3</v>
      </c>
      <c r="D1791" s="6" t="n">
        <v>18</v>
      </c>
      <c r="E1791" s="6" t="n">
        <v>1</v>
      </c>
      <c r="F1791" s="6" t="s">
        <v>1027</v>
      </c>
      <c r="G1791" s="28" t="str">
        <f aca="false">IFERROR(INDEX('Semrush Data'!$A$1:$Z$20000,MATCH(A1791,'Semrush Data'!$A$1:$A$20000,0),MATCH("Volume",'Semrush Data'!$A$1:$Z$1,0)),"")</f>
        <v/>
      </c>
      <c r="H1791" s="6" t="str">
        <f aca="false">IFERROR(INDEX('Semrush Data'!$A$1:$Z$20000,MATCH(A1791,'Semrush Data'!$A$1:$A$20000,0),MATCH("Keyword Difficulty*",'Semrush Data'!$A$1:$Z$1,0)),"")</f>
        <v/>
      </c>
      <c r="I1791" s="29" t="str">
        <f aca="false">IFERROR(INDEX('Semrush Data'!$A$1:$Z$20000,MATCH(A1791,'Semrush Data'!$A$1:$A$20000,0),MATCH("CPC*",'Semrush Data'!$A$1:$Z$1,0)),"")</f>
        <v/>
      </c>
      <c r="J1791" s="6" t="str">
        <f aca="false">IFERROR(INDEX('Semrush Data'!$A$1:$Z$20000,MATCH(A1791,'Semrush Data'!$A$1:$A$20000,0),MATCH("Intent",'Semrush Data'!$A$1:$Z$1,0)),"")</f>
        <v/>
      </c>
    </row>
    <row r="1792" customFormat="false" ht="15" hidden="false" customHeight="true" outlineLevel="0" collapsed="false">
      <c r="A1792" s="6" t="s">
        <v>2287</v>
      </c>
      <c r="B1792" s="6" t="s">
        <v>1415</v>
      </c>
      <c r="C1792" s="6" t="n">
        <v>3</v>
      </c>
      <c r="D1792" s="6" t="n">
        <v>18</v>
      </c>
      <c r="E1792" s="6" t="n">
        <v>1</v>
      </c>
      <c r="F1792" s="6" t="s">
        <v>1239</v>
      </c>
      <c r="G1792" s="28" t="str">
        <f aca="false">IFERROR(INDEX('Semrush Data'!$A$1:$Z$20000,MATCH(A1792,'Semrush Data'!$A$1:$A$20000,0),MATCH("Volume",'Semrush Data'!$A$1:$Z$1,0)),"")</f>
        <v/>
      </c>
      <c r="H1792" s="6" t="str">
        <f aca="false">IFERROR(INDEX('Semrush Data'!$A$1:$Z$20000,MATCH(A1792,'Semrush Data'!$A$1:$A$20000,0),MATCH("Keyword Difficulty*",'Semrush Data'!$A$1:$Z$1,0)),"")</f>
        <v/>
      </c>
      <c r="I1792" s="29" t="str">
        <f aca="false">IFERROR(INDEX('Semrush Data'!$A$1:$Z$20000,MATCH(A1792,'Semrush Data'!$A$1:$A$20000,0),MATCH("CPC*",'Semrush Data'!$A$1:$Z$1,0)),"")</f>
        <v/>
      </c>
      <c r="J1792" s="6" t="str">
        <f aca="false">IFERROR(INDEX('Semrush Data'!$A$1:$Z$20000,MATCH(A1792,'Semrush Data'!$A$1:$A$20000,0),MATCH("Intent",'Semrush Data'!$A$1:$Z$1,0)),"")</f>
        <v/>
      </c>
    </row>
    <row r="1793" customFormat="false" ht="15" hidden="false" customHeight="true" outlineLevel="0" collapsed="false">
      <c r="A1793" s="6" t="s">
        <v>2060</v>
      </c>
      <c r="B1793" s="6" t="s">
        <v>1415</v>
      </c>
      <c r="C1793" s="6" t="n">
        <v>3</v>
      </c>
      <c r="D1793" s="6" t="n">
        <v>18</v>
      </c>
      <c r="E1793" s="6" t="n">
        <v>1</v>
      </c>
      <c r="F1793" s="6" t="s">
        <v>1014</v>
      </c>
      <c r="G1793" s="28" t="str">
        <f aca="false">IFERROR(INDEX('Semrush Data'!$A$1:$Z$20000,MATCH(A1793,'Semrush Data'!$A$1:$A$20000,0),MATCH("Volume",'Semrush Data'!$A$1:$Z$1,0)),"")</f>
        <v/>
      </c>
      <c r="H1793" s="6" t="str">
        <f aca="false">IFERROR(INDEX('Semrush Data'!$A$1:$Z$20000,MATCH(A1793,'Semrush Data'!$A$1:$A$20000,0),MATCH("Keyword Difficulty*",'Semrush Data'!$A$1:$Z$1,0)),"")</f>
        <v/>
      </c>
      <c r="I1793" s="29" t="str">
        <f aca="false">IFERROR(INDEX('Semrush Data'!$A$1:$Z$20000,MATCH(A1793,'Semrush Data'!$A$1:$A$20000,0),MATCH("CPC*",'Semrush Data'!$A$1:$Z$1,0)),"")</f>
        <v/>
      </c>
      <c r="J1793" s="6" t="str">
        <f aca="false">IFERROR(INDEX('Semrush Data'!$A$1:$Z$20000,MATCH(A1793,'Semrush Data'!$A$1:$A$20000,0),MATCH("Intent",'Semrush Data'!$A$1:$Z$1,0)),"")</f>
        <v/>
      </c>
    </row>
    <row r="1794" customFormat="false" ht="15" hidden="false" customHeight="true" outlineLevel="0" collapsed="false">
      <c r="A1794" s="6" t="s">
        <v>2313</v>
      </c>
      <c r="B1794" s="6" t="s">
        <v>1415</v>
      </c>
      <c r="C1794" s="6" t="n">
        <v>3</v>
      </c>
      <c r="D1794" s="6" t="n">
        <v>18</v>
      </c>
      <c r="E1794" s="6" t="n">
        <v>1</v>
      </c>
      <c r="F1794" s="6" t="s">
        <v>1266</v>
      </c>
      <c r="G1794" s="28" t="str">
        <f aca="false">IFERROR(INDEX('Semrush Data'!$A$1:$Z$20000,MATCH(A1794,'Semrush Data'!$A$1:$A$20000,0),MATCH("Volume",'Semrush Data'!$A$1:$Z$1,0)),"")</f>
        <v/>
      </c>
      <c r="H1794" s="6" t="str">
        <f aca="false">IFERROR(INDEX('Semrush Data'!$A$1:$Z$20000,MATCH(A1794,'Semrush Data'!$A$1:$A$20000,0),MATCH("Keyword Difficulty*",'Semrush Data'!$A$1:$Z$1,0)),"")</f>
        <v/>
      </c>
      <c r="I1794" s="29" t="str">
        <f aca="false">IFERROR(INDEX('Semrush Data'!$A$1:$Z$20000,MATCH(A1794,'Semrush Data'!$A$1:$A$20000,0),MATCH("CPC*",'Semrush Data'!$A$1:$Z$1,0)),"")</f>
        <v/>
      </c>
      <c r="J1794" s="6" t="str">
        <f aca="false">IFERROR(INDEX('Semrush Data'!$A$1:$Z$20000,MATCH(A1794,'Semrush Data'!$A$1:$A$20000,0),MATCH("Intent",'Semrush Data'!$A$1:$Z$1,0)),"")</f>
        <v/>
      </c>
    </row>
    <row r="1795" customFormat="false" ht="15" hidden="false" customHeight="true" outlineLevel="0" collapsed="false">
      <c r="A1795" s="6" t="s">
        <v>2039</v>
      </c>
      <c r="B1795" s="6" t="s">
        <v>1415</v>
      </c>
      <c r="C1795" s="6" t="n">
        <v>3</v>
      </c>
      <c r="D1795" s="6" t="n">
        <v>18</v>
      </c>
      <c r="E1795" s="6" t="n">
        <v>1</v>
      </c>
      <c r="F1795" s="6" t="s">
        <v>992</v>
      </c>
      <c r="G1795" s="28" t="str">
        <f aca="false">IFERROR(INDEX('Semrush Data'!$A$1:$Z$20000,MATCH(A1795,'Semrush Data'!$A$1:$A$20000,0),MATCH("Volume",'Semrush Data'!$A$1:$Z$1,0)),"")</f>
        <v/>
      </c>
      <c r="H1795" s="6" t="str">
        <f aca="false">IFERROR(INDEX('Semrush Data'!$A$1:$Z$20000,MATCH(A1795,'Semrush Data'!$A$1:$A$20000,0),MATCH("Keyword Difficulty*",'Semrush Data'!$A$1:$Z$1,0)),"")</f>
        <v/>
      </c>
      <c r="I1795" s="29" t="str">
        <f aca="false">IFERROR(INDEX('Semrush Data'!$A$1:$Z$20000,MATCH(A1795,'Semrush Data'!$A$1:$A$20000,0),MATCH("CPC*",'Semrush Data'!$A$1:$Z$1,0)),"")</f>
        <v/>
      </c>
      <c r="J1795" s="6" t="str">
        <f aca="false">IFERROR(INDEX('Semrush Data'!$A$1:$Z$20000,MATCH(A1795,'Semrush Data'!$A$1:$A$20000,0),MATCH("Intent",'Semrush Data'!$A$1:$Z$1,0)),"")</f>
        <v/>
      </c>
    </row>
    <row r="1796" customFormat="false" ht="15" hidden="false" customHeight="true" outlineLevel="0" collapsed="false">
      <c r="A1796" s="6" t="s">
        <v>2046</v>
      </c>
      <c r="B1796" s="6" t="s">
        <v>1415</v>
      </c>
      <c r="C1796" s="6" t="n">
        <v>3</v>
      </c>
      <c r="D1796" s="6" t="n">
        <v>18</v>
      </c>
      <c r="E1796" s="6" t="n">
        <v>1</v>
      </c>
      <c r="F1796" s="6" t="s">
        <v>999</v>
      </c>
      <c r="G1796" s="28" t="str">
        <f aca="false">IFERROR(INDEX('Semrush Data'!$A$1:$Z$20000,MATCH(A1796,'Semrush Data'!$A$1:$A$20000,0),MATCH("Volume",'Semrush Data'!$A$1:$Z$1,0)),"")</f>
        <v/>
      </c>
      <c r="H1796" s="6" t="str">
        <f aca="false">IFERROR(INDEX('Semrush Data'!$A$1:$Z$20000,MATCH(A1796,'Semrush Data'!$A$1:$A$20000,0),MATCH("Keyword Difficulty*",'Semrush Data'!$A$1:$Z$1,0)),"")</f>
        <v/>
      </c>
      <c r="I1796" s="29" t="str">
        <f aca="false">IFERROR(INDEX('Semrush Data'!$A$1:$Z$20000,MATCH(A1796,'Semrush Data'!$A$1:$A$20000,0),MATCH("CPC*",'Semrush Data'!$A$1:$Z$1,0)),"")</f>
        <v/>
      </c>
      <c r="J1796" s="6" t="str">
        <f aca="false">IFERROR(INDEX('Semrush Data'!$A$1:$Z$20000,MATCH(A1796,'Semrush Data'!$A$1:$A$20000,0),MATCH("Intent",'Semrush Data'!$A$1:$Z$1,0)),"")</f>
        <v/>
      </c>
    </row>
    <row r="1797" customFormat="false" ht="15" hidden="false" customHeight="true" outlineLevel="0" collapsed="false">
      <c r="A1797" s="6" t="s">
        <v>3554</v>
      </c>
      <c r="B1797" s="6" t="s">
        <v>1415</v>
      </c>
      <c r="C1797" s="6" t="n">
        <v>3</v>
      </c>
      <c r="D1797" s="6" t="n">
        <v>18</v>
      </c>
      <c r="E1797" s="6" t="n">
        <v>1</v>
      </c>
      <c r="F1797" s="6" t="s">
        <v>3549</v>
      </c>
      <c r="G1797" s="28" t="str">
        <f aca="false">IFERROR(INDEX('Semrush Data'!$A$1:$Z$20000,MATCH(A1797,'Semrush Data'!$A$1:$A$20000,0),MATCH("Volume",'Semrush Data'!$A$1:$Z$1,0)),"")</f>
        <v/>
      </c>
      <c r="H1797" s="6" t="str">
        <f aca="false">IFERROR(INDEX('Semrush Data'!$A$1:$Z$20000,MATCH(A1797,'Semrush Data'!$A$1:$A$20000,0),MATCH("Keyword Difficulty*",'Semrush Data'!$A$1:$Z$1,0)),"")</f>
        <v/>
      </c>
      <c r="I1797" s="29" t="str">
        <f aca="false">IFERROR(INDEX('Semrush Data'!$A$1:$Z$20000,MATCH(A1797,'Semrush Data'!$A$1:$A$20000,0),MATCH("CPC*",'Semrush Data'!$A$1:$Z$1,0)),"")</f>
        <v/>
      </c>
      <c r="J1797" s="6" t="str">
        <f aca="false">IFERROR(INDEX('Semrush Data'!$A$1:$Z$20000,MATCH(A1797,'Semrush Data'!$A$1:$A$20000,0),MATCH("Intent",'Semrush Data'!$A$1:$Z$1,0)),"")</f>
        <v/>
      </c>
    </row>
    <row r="1798" customFormat="false" ht="15" hidden="false" customHeight="true" outlineLevel="0" collapsed="false">
      <c r="A1798" s="6" t="s">
        <v>3541</v>
      </c>
      <c r="B1798" s="6" t="s">
        <v>1415</v>
      </c>
      <c r="C1798" s="6" t="n">
        <v>3</v>
      </c>
      <c r="D1798" s="6" t="n">
        <v>18</v>
      </c>
      <c r="E1798" s="6" t="n">
        <v>1</v>
      </c>
      <c r="F1798" s="6" t="s">
        <v>3536</v>
      </c>
      <c r="G1798" s="28" t="str">
        <f aca="false">IFERROR(INDEX('Semrush Data'!$A$1:$Z$20000,MATCH(A1798,'Semrush Data'!$A$1:$A$20000,0),MATCH("Volume",'Semrush Data'!$A$1:$Z$1,0)),"")</f>
        <v/>
      </c>
      <c r="H1798" s="6" t="str">
        <f aca="false">IFERROR(INDEX('Semrush Data'!$A$1:$Z$20000,MATCH(A1798,'Semrush Data'!$A$1:$A$20000,0),MATCH("Keyword Difficulty*",'Semrush Data'!$A$1:$Z$1,0)),"")</f>
        <v/>
      </c>
      <c r="I1798" s="29" t="str">
        <f aca="false">IFERROR(INDEX('Semrush Data'!$A$1:$Z$20000,MATCH(A1798,'Semrush Data'!$A$1:$A$20000,0),MATCH("CPC*",'Semrush Data'!$A$1:$Z$1,0)),"")</f>
        <v/>
      </c>
      <c r="J1798" s="6" t="str">
        <f aca="false">IFERROR(INDEX('Semrush Data'!$A$1:$Z$20000,MATCH(A1798,'Semrush Data'!$A$1:$A$20000,0),MATCH("Intent",'Semrush Data'!$A$1:$Z$1,0)),"")</f>
        <v/>
      </c>
    </row>
    <row r="1799" customFormat="false" ht="15" hidden="false" customHeight="true" outlineLevel="0" collapsed="false">
      <c r="A1799" s="6" t="s">
        <v>3562</v>
      </c>
      <c r="B1799" s="6" t="s">
        <v>1415</v>
      </c>
      <c r="C1799" s="6" t="n">
        <v>3</v>
      </c>
      <c r="D1799" s="6" t="s">
        <v>6870</v>
      </c>
      <c r="E1799" s="6" t="n">
        <v>1</v>
      </c>
      <c r="F1799" s="6" t="s">
        <v>48</v>
      </c>
      <c r="G1799" s="28" t="n">
        <f aca="false">IFERROR(INDEX('Semrush Data'!$A$1:$Z$20000,MATCH(A1799,'Semrush Data'!$A$1:$A$20000,0),MATCH("Volume",'Semrush Data'!$A$1:$Z$1,0)),"")</f>
        <v>10</v>
      </c>
      <c r="H1799" s="6" t="n">
        <f aca="false">IFERROR(INDEX('Semrush Data'!$A$1:$Z$20000,MATCH(A1799,'Semrush Data'!$A$1:$A$20000,0),MATCH("Keyword Difficulty*",'Semrush Data'!$A$1:$Z$1,0)),"")</f>
        <v>33</v>
      </c>
      <c r="I1799" s="29" t="n">
        <f aca="false">IFERROR(INDEX('Semrush Data'!$A$1:$Z$20000,MATCH(A1799,'Semrush Data'!$A$1:$A$20000,0),MATCH("CPC*",'Semrush Data'!$A$1:$Z$1,0)),"")</f>
        <v>0</v>
      </c>
      <c r="J1799" s="6" t="str">
        <f aca="false">IFERROR(INDEX('Semrush Data'!$A$1:$Z$20000,MATCH(A1799,'Semrush Data'!$A$1:$A$20000,0),MATCH("Intent",'Semrush Data'!$A$1:$Z$1,0)),"")</f>
        <v>Transactional</v>
      </c>
    </row>
    <row r="1800" customFormat="false" ht="15" hidden="false" customHeight="true" outlineLevel="0" collapsed="false">
      <c r="A1800" s="6" t="s">
        <v>3597</v>
      </c>
      <c r="B1800" s="6" t="s">
        <v>1415</v>
      </c>
      <c r="C1800" s="6" t="n">
        <v>3</v>
      </c>
      <c r="D1800" s="6" t="n">
        <v>18</v>
      </c>
      <c r="E1800" s="6" t="n">
        <v>1</v>
      </c>
      <c r="F1800" s="6" t="s">
        <v>3591</v>
      </c>
      <c r="G1800" s="28" t="str">
        <f aca="false">IFERROR(INDEX('Semrush Data'!$A$1:$Z$20000,MATCH(A1800,'Semrush Data'!$A$1:$A$20000,0),MATCH("Volume",'Semrush Data'!$A$1:$Z$1,0)),"")</f>
        <v/>
      </c>
      <c r="H1800" s="6" t="str">
        <f aca="false">IFERROR(INDEX('Semrush Data'!$A$1:$Z$20000,MATCH(A1800,'Semrush Data'!$A$1:$A$20000,0),MATCH("Keyword Difficulty*",'Semrush Data'!$A$1:$Z$1,0)),"")</f>
        <v/>
      </c>
      <c r="I1800" s="29" t="str">
        <f aca="false">IFERROR(INDEX('Semrush Data'!$A$1:$Z$20000,MATCH(A1800,'Semrush Data'!$A$1:$A$20000,0),MATCH("CPC*",'Semrush Data'!$A$1:$Z$1,0)),"")</f>
        <v/>
      </c>
      <c r="J1800" s="6" t="str">
        <f aca="false">IFERROR(INDEX('Semrush Data'!$A$1:$Z$20000,MATCH(A1800,'Semrush Data'!$A$1:$A$20000,0),MATCH("Intent",'Semrush Data'!$A$1:$Z$1,0)),"")</f>
        <v/>
      </c>
    </row>
    <row r="1801" customFormat="false" ht="15" hidden="false" customHeight="true" outlineLevel="0" collapsed="false">
      <c r="A1801" s="6" t="s">
        <v>3574</v>
      </c>
      <c r="B1801" s="6" t="s">
        <v>1415</v>
      </c>
      <c r="C1801" s="6" t="n">
        <v>3</v>
      </c>
      <c r="D1801" s="6" t="n">
        <v>18</v>
      </c>
      <c r="E1801" s="6" t="n">
        <v>1</v>
      </c>
      <c r="F1801" s="6" t="s">
        <v>3569</v>
      </c>
      <c r="G1801" s="28" t="str">
        <f aca="false">IFERROR(INDEX('Semrush Data'!$A$1:$Z$20000,MATCH(A1801,'Semrush Data'!$A$1:$A$20000,0),MATCH("Volume",'Semrush Data'!$A$1:$Z$1,0)),"")</f>
        <v/>
      </c>
      <c r="H1801" s="6" t="str">
        <f aca="false">IFERROR(INDEX('Semrush Data'!$A$1:$Z$20000,MATCH(A1801,'Semrush Data'!$A$1:$A$20000,0),MATCH("Keyword Difficulty*",'Semrush Data'!$A$1:$Z$1,0)),"")</f>
        <v/>
      </c>
      <c r="I1801" s="29" t="str">
        <f aca="false">IFERROR(INDEX('Semrush Data'!$A$1:$Z$20000,MATCH(A1801,'Semrush Data'!$A$1:$A$20000,0),MATCH("CPC*",'Semrush Data'!$A$1:$Z$1,0)),"")</f>
        <v/>
      </c>
      <c r="J1801" s="6" t="str">
        <f aca="false">IFERROR(INDEX('Semrush Data'!$A$1:$Z$20000,MATCH(A1801,'Semrush Data'!$A$1:$A$20000,0),MATCH("Intent",'Semrush Data'!$A$1:$Z$1,0)),"")</f>
        <v/>
      </c>
    </row>
    <row r="1802" customFormat="false" ht="15" hidden="false" customHeight="true" outlineLevel="0" collapsed="false">
      <c r="A1802" s="6" t="s">
        <v>3584</v>
      </c>
      <c r="B1802" s="6" t="s">
        <v>1415</v>
      </c>
      <c r="C1802" s="6" t="n">
        <v>3</v>
      </c>
      <c r="D1802" s="6" t="n">
        <v>19</v>
      </c>
      <c r="E1802" s="6" t="n">
        <v>1</v>
      </c>
      <c r="F1802" s="6" t="s">
        <v>133</v>
      </c>
      <c r="G1802" s="28" t="str">
        <f aca="false">IFERROR(INDEX('Semrush Data'!$A$1:$Z$20000,MATCH(A1802,'Semrush Data'!$A$1:$A$20000,0),MATCH("Volume",'Semrush Data'!$A$1:$Z$1,0)),"")</f>
        <v/>
      </c>
      <c r="H1802" s="6" t="str">
        <f aca="false">IFERROR(INDEX('Semrush Data'!$A$1:$Z$20000,MATCH(A1802,'Semrush Data'!$A$1:$A$20000,0),MATCH("Keyword Difficulty*",'Semrush Data'!$A$1:$Z$1,0)),"")</f>
        <v/>
      </c>
      <c r="I1802" s="29" t="str">
        <f aca="false">IFERROR(INDEX('Semrush Data'!$A$1:$Z$20000,MATCH(A1802,'Semrush Data'!$A$1:$A$20000,0),MATCH("CPC*",'Semrush Data'!$A$1:$Z$1,0)),"")</f>
        <v/>
      </c>
      <c r="J1802" s="6" t="str">
        <f aca="false">IFERROR(INDEX('Semrush Data'!$A$1:$Z$20000,MATCH(A1802,'Semrush Data'!$A$1:$A$20000,0),MATCH("Intent",'Semrush Data'!$A$1:$Z$1,0)),"")</f>
        <v/>
      </c>
    </row>
    <row r="1803" customFormat="false" ht="15" hidden="false" customHeight="true" outlineLevel="0" collapsed="false">
      <c r="A1803" s="6" t="s">
        <v>3609</v>
      </c>
      <c r="B1803" s="6" t="s">
        <v>1415</v>
      </c>
      <c r="C1803" s="6" t="n">
        <v>3</v>
      </c>
      <c r="D1803" s="6" t="n">
        <v>19</v>
      </c>
      <c r="E1803" s="6" t="n">
        <v>1</v>
      </c>
      <c r="F1803" s="6" t="s">
        <v>3604</v>
      </c>
      <c r="G1803" s="28" t="str">
        <f aca="false">IFERROR(INDEX('Semrush Data'!$A$1:$Z$20000,MATCH(A1803,'Semrush Data'!$A$1:$A$20000,0),MATCH("Volume",'Semrush Data'!$A$1:$Z$1,0)),"")</f>
        <v/>
      </c>
      <c r="H1803" s="6" t="str">
        <f aca="false">IFERROR(INDEX('Semrush Data'!$A$1:$Z$20000,MATCH(A1803,'Semrush Data'!$A$1:$A$20000,0),MATCH("Keyword Difficulty*",'Semrush Data'!$A$1:$Z$1,0)),"")</f>
        <v/>
      </c>
      <c r="I1803" s="29" t="str">
        <f aca="false">IFERROR(INDEX('Semrush Data'!$A$1:$Z$20000,MATCH(A1803,'Semrush Data'!$A$1:$A$20000,0),MATCH("CPC*",'Semrush Data'!$A$1:$Z$1,0)),"")</f>
        <v/>
      </c>
      <c r="J1803" s="6" t="str">
        <f aca="false">IFERROR(INDEX('Semrush Data'!$A$1:$Z$20000,MATCH(A1803,'Semrush Data'!$A$1:$A$20000,0),MATCH("Intent",'Semrush Data'!$A$1:$Z$1,0)),"")</f>
        <v/>
      </c>
    </row>
    <row r="1804" customFormat="false" ht="15" hidden="false" customHeight="true" outlineLevel="0" collapsed="false">
      <c r="A1804" s="6" t="s">
        <v>3692</v>
      </c>
      <c r="B1804" s="6" t="s">
        <v>1415</v>
      </c>
      <c r="C1804" s="6" t="n">
        <v>3</v>
      </c>
      <c r="D1804" s="6" t="n">
        <v>19</v>
      </c>
      <c r="E1804" s="6" t="n">
        <v>1</v>
      </c>
      <c r="F1804" s="6" t="s">
        <v>3688</v>
      </c>
      <c r="G1804" s="28" t="str">
        <f aca="false">IFERROR(INDEX('Semrush Data'!$A$1:$Z$20000,MATCH(A1804,'Semrush Data'!$A$1:$A$20000,0),MATCH("Volume",'Semrush Data'!$A$1:$Z$1,0)),"")</f>
        <v/>
      </c>
      <c r="H1804" s="6" t="str">
        <f aca="false">IFERROR(INDEX('Semrush Data'!$A$1:$Z$20000,MATCH(A1804,'Semrush Data'!$A$1:$A$20000,0),MATCH("Keyword Difficulty*",'Semrush Data'!$A$1:$Z$1,0)),"")</f>
        <v/>
      </c>
      <c r="I1804" s="29" t="str">
        <f aca="false">IFERROR(INDEX('Semrush Data'!$A$1:$Z$20000,MATCH(A1804,'Semrush Data'!$A$1:$A$20000,0),MATCH("CPC*",'Semrush Data'!$A$1:$Z$1,0)),"")</f>
        <v/>
      </c>
      <c r="J1804" s="6" t="str">
        <f aca="false">IFERROR(INDEX('Semrush Data'!$A$1:$Z$20000,MATCH(A1804,'Semrush Data'!$A$1:$A$20000,0),MATCH("Intent",'Semrush Data'!$A$1:$Z$1,0)),"")</f>
        <v/>
      </c>
    </row>
    <row r="1805" customFormat="false" ht="15" hidden="false" customHeight="true" outlineLevel="0" collapsed="false">
      <c r="A1805" s="6" t="s">
        <v>3622</v>
      </c>
      <c r="B1805" s="6" t="s">
        <v>1415</v>
      </c>
      <c r="C1805" s="6" t="n">
        <v>3</v>
      </c>
      <c r="D1805" s="6" t="n">
        <v>19</v>
      </c>
      <c r="E1805" s="6" t="n">
        <v>1</v>
      </c>
      <c r="F1805" s="6" t="s">
        <v>3616</v>
      </c>
      <c r="G1805" s="28" t="str">
        <f aca="false">IFERROR(INDEX('Semrush Data'!$A$1:$Z$20000,MATCH(A1805,'Semrush Data'!$A$1:$A$20000,0),MATCH("Volume",'Semrush Data'!$A$1:$Z$1,0)),"")</f>
        <v/>
      </c>
      <c r="H1805" s="6" t="str">
        <f aca="false">IFERROR(INDEX('Semrush Data'!$A$1:$Z$20000,MATCH(A1805,'Semrush Data'!$A$1:$A$20000,0),MATCH("Keyword Difficulty*",'Semrush Data'!$A$1:$Z$1,0)),"")</f>
        <v/>
      </c>
      <c r="I1805" s="29" t="str">
        <f aca="false">IFERROR(INDEX('Semrush Data'!$A$1:$Z$20000,MATCH(A1805,'Semrush Data'!$A$1:$A$20000,0),MATCH("CPC*",'Semrush Data'!$A$1:$Z$1,0)),"")</f>
        <v/>
      </c>
      <c r="J1805" s="6" t="str">
        <f aca="false">IFERROR(INDEX('Semrush Data'!$A$1:$Z$20000,MATCH(A1805,'Semrush Data'!$A$1:$A$20000,0),MATCH("Intent",'Semrush Data'!$A$1:$Z$1,0)),"")</f>
        <v/>
      </c>
    </row>
    <row r="1806" customFormat="false" ht="15" hidden="false" customHeight="true" outlineLevel="0" collapsed="false">
      <c r="A1806" s="6" t="s">
        <v>3703</v>
      </c>
      <c r="B1806" s="6" t="s">
        <v>1415</v>
      </c>
      <c r="C1806" s="6" t="n">
        <v>3</v>
      </c>
      <c r="D1806" s="6" t="n">
        <v>19</v>
      </c>
      <c r="E1806" s="6" t="n">
        <v>1</v>
      </c>
      <c r="F1806" s="6" t="s">
        <v>3699</v>
      </c>
      <c r="G1806" s="28" t="str">
        <f aca="false">IFERROR(INDEX('Semrush Data'!$A$1:$Z$20000,MATCH(A1806,'Semrush Data'!$A$1:$A$20000,0),MATCH("Volume",'Semrush Data'!$A$1:$Z$1,0)),"")</f>
        <v/>
      </c>
      <c r="H1806" s="6" t="str">
        <f aca="false">IFERROR(INDEX('Semrush Data'!$A$1:$Z$20000,MATCH(A1806,'Semrush Data'!$A$1:$A$20000,0),MATCH("Keyword Difficulty*",'Semrush Data'!$A$1:$Z$1,0)),"")</f>
        <v/>
      </c>
      <c r="I1806" s="29" t="str">
        <f aca="false">IFERROR(INDEX('Semrush Data'!$A$1:$Z$20000,MATCH(A1806,'Semrush Data'!$A$1:$A$20000,0),MATCH("CPC*",'Semrush Data'!$A$1:$Z$1,0)),"")</f>
        <v/>
      </c>
      <c r="J1806" s="6" t="str">
        <f aca="false">IFERROR(INDEX('Semrush Data'!$A$1:$Z$20000,MATCH(A1806,'Semrush Data'!$A$1:$A$20000,0),MATCH("Intent",'Semrush Data'!$A$1:$Z$1,0)),"")</f>
        <v/>
      </c>
    </row>
    <row r="1807" customFormat="false" ht="15" hidden="false" customHeight="true" outlineLevel="0" collapsed="false">
      <c r="A1807" s="6" t="s">
        <v>3681</v>
      </c>
      <c r="B1807" s="6" t="s">
        <v>1415</v>
      </c>
      <c r="C1807" s="6" t="n">
        <v>3</v>
      </c>
      <c r="D1807" s="6" t="n">
        <v>19</v>
      </c>
      <c r="E1807" s="6" t="n">
        <v>1</v>
      </c>
      <c r="F1807" s="6" t="s">
        <v>3677</v>
      </c>
      <c r="G1807" s="28" t="str">
        <f aca="false">IFERROR(INDEX('Semrush Data'!$A$1:$Z$20000,MATCH(A1807,'Semrush Data'!$A$1:$A$20000,0),MATCH("Volume",'Semrush Data'!$A$1:$Z$1,0)),"")</f>
        <v/>
      </c>
      <c r="H1807" s="6" t="str">
        <f aca="false">IFERROR(INDEX('Semrush Data'!$A$1:$Z$20000,MATCH(A1807,'Semrush Data'!$A$1:$A$20000,0),MATCH("Keyword Difficulty*",'Semrush Data'!$A$1:$Z$1,0)),"")</f>
        <v/>
      </c>
      <c r="I1807" s="29" t="str">
        <f aca="false">IFERROR(INDEX('Semrush Data'!$A$1:$Z$20000,MATCH(A1807,'Semrush Data'!$A$1:$A$20000,0),MATCH("CPC*",'Semrush Data'!$A$1:$Z$1,0)),"")</f>
        <v/>
      </c>
      <c r="J1807" s="6" t="str">
        <f aca="false">IFERROR(INDEX('Semrush Data'!$A$1:$Z$20000,MATCH(A1807,'Semrush Data'!$A$1:$A$20000,0),MATCH("Intent",'Semrush Data'!$A$1:$Z$1,0)),"")</f>
        <v/>
      </c>
    </row>
    <row r="1808" customFormat="false" ht="15" hidden="false" customHeight="true" outlineLevel="0" collapsed="false">
      <c r="A1808" s="6" t="s">
        <v>3713</v>
      </c>
      <c r="B1808" s="6" t="s">
        <v>1415</v>
      </c>
      <c r="C1808" s="6" t="n">
        <v>3</v>
      </c>
      <c r="D1808" s="6" t="n">
        <v>19</v>
      </c>
      <c r="E1808" s="6" t="n">
        <v>2</v>
      </c>
      <c r="F1808" s="6" t="s">
        <v>6850</v>
      </c>
      <c r="G1808" s="28" t="str">
        <f aca="false">IFERROR(INDEX('Semrush Data'!$A$1:$Z$20000,MATCH(A1808,'Semrush Data'!$A$1:$A$20000,0),MATCH("Volume",'Semrush Data'!$A$1:$Z$1,0)),"")</f>
        <v/>
      </c>
      <c r="H1808" s="6" t="str">
        <f aca="false">IFERROR(INDEX('Semrush Data'!$A$1:$Z$20000,MATCH(A1808,'Semrush Data'!$A$1:$A$20000,0),MATCH("Keyword Difficulty*",'Semrush Data'!$A$1:$Z$1,0)),"")</f>
        <v/>
      </c>
      <c r="I1808" s="29" t="str">
        <f aca="false">IFERROR(INDEX('Semrush Data'!$A$1:$Z$20000,MATCH(A1808,'Semrush Data'!$A$1:$A$20000,0),MATCH("CPC*",'Semrush Data'!$A$1:$Z$1,0)),"")</f>
        <v/>
      </c>
      <c r="J1808" s="6" t="str">
        <f aca="false">IFERROR(INDEX('Semrush Data'!$A$1:$Z$20000,MATCH(A1808,'Semrush Data'!$A$1:$A$20000,0),MATCH("Intent",'Semrush Data'!$A$1:$Z$1,0)),"")</f>
        <v/>
      </c>
    </row>
    <row r="1809" customFormat="false" ht="15" hidden="false" customHeight="true" outlineLevel="0" collapsed="false">
      <c r="A1809" s="6" t="s">
        <v>3634</v>
      </c>
      <c r="B1809" s="6" t="s">
        <v>1415</v>
      </c>
      <c r="C1809" s="6" t="n">
        <v>3</v>
      </c>
      <c r="D1809" s="6" t="n">
        <v>19</v>
      </c>
      <c r="E1809" s="6" t="n">
        <v>1</v>
      </c>
      <c r="F1809" s="6" t="s">
        <v>3630</v>
      </c>
      <c r="G1809" s="28" t="str">
        <f aca="false">IFERROR(INDEX('Semrush Data'!$A$1:$Z$20000,MATCH(A1809,'Semrush Data'!$A$1:$A$20000,0),MATCH("Volume",'Semrush Data'!$A$1:$Z$1,0)),"")</f>
        <v/>
      </c>
      <c r="H1809" s="6" t="str">
        <f aca="false">IFERROR(INDEX('Semrush Data'!$A$1:$Z$20000,MATCH(A1809,'Semrush Data'!$A$1:$A$20000,0),MATCH("Keyword Difficulty*",'Semrush Data'!$A$1:$Z$1,0)),"")</f>
        <v/>
      </c>
      <c r="I1809" s="29" t="str">
        <f aca="false">IFERROR(INDEX('Semrush Data'!$A$1:$Z$20000,MATCH(A1809,'Semrush Data'!$A$1:$A$20000,0),MATCH("CPC*",'Semrush Data'!$A$1:$Z$1,0)),"")</f>
        <v/>
      </c>
      <c r="J1809" s="6" t="str">
        <f aca="false">IFERROR(INDEX('Semrush Data'!$A$1:$Z$20000,MATCH(A1809,'Semrush Data'!$A$1:$A$20000,0),MATCH("Intent",'Semrush Data'!$A$1:$Z$1,0)),"")</f>
        <v/>
      </c>
    </row>
    <row r="1810" customFormat="false" ht="15" hidden="false" customHeight="true" outlineLevel="0" collapsed="false">
      <c r="A1810" s="6" t="s">
        <v>3724</v>
      </c>
      <c r="B1810" s="6" t="s">
        <v>1415</v>
      </c>
      <c r="C1810" s="6" t="n">
        <v>3</v>
      </c>
      <c r="D1810" s="6" t="n">
        <v>19</v>
      </c>
      <c r="E1810" s="6" t="n">
        <v>1</v>
      </c>
      <c r="F1810" s="6" t="s">
        <v>3720</v>
      </c>
      <c r="G1810" s="28" t="str">
        <f aca="false">IFERROR(INDEX('Semrush Data'!$A$1:$Z$20000,MATCH(A1810,'Semrush Data'!$A$1:$A$20000,0),MATCH("Volume",'Semrush Data'!$A$1:$Z$1,0)),"")</f>
        <v/>
      </c>
      <c r="H1810" s="6" t="str">
        <f aca="false">IFERROR(INDEX('Semrush Data'!$A$1:$Z$20000,MATCH(A1810,'Semrush Data'!$A$1:$A$20000,0),MATCH("Keyword Difficulty*",'Semrush Data'!$A$1:$Z$1,0)),"")</f>
        <v/>
      </c>
      <c r="I1810" s="29" t="str">
        <f aca="false">IFERROR(INDEX('Semrush Data'!$A$1:$Z$20000,MATCH(A1810,'Semrush Data'!$A$1:$A$20000,0),MATCH("CPC*",'Semrush Data'!$A$1:$Z$1,0)),"")</f>
        <v/>
      </c>
      <c r="J1810" s="6" t="str">
        <f aca="false">IFERROR(INDEX('Semrush Data'!$A$1:$Z$20000,MATCH(A1810,'Semrush Data'!$A$1:$A$20000,0),MATCH("Intent",'Semrush Data'!$A$1:$Z$1,0)),"")</f>
        <v/>
      </c>
    </row>
    <row r="1811" customFormat="false" ht="15" hidden="false" customHeight="true" outlineLevel="0" collapsed="false">
      <c r="A1811" s="6" t="s">
        <v>3670</v>
      </c>
      <c r="B1811" s="6" t="s">
        <v>1415</v>
      </c>
      <c r="C1811" s="6" t="n">
        <v>3</v>
      </c>
      <c r="D1811" s="6" t="n">
        <v>19</v>
      </c>
      <c r="E1811" s="6" t="n">
        <v>1</v>
      </c>
      <c r="F1811" s="6" t="s">
        <v>3666</v>
      </c>
      <c r="G1811" s="28" t="str">
        <f aca="false">IFERROR(INDEX('Semrush Data'!$A$1:$Z$20000,MATCH(A1811,'Semrush Data'!$A$1:$A$20000,0),MATCH("Volume",'Semrush Data'!$A$1:$Z$1,0)),"")</f>
        <v/>
      </c>
      <c r="H1811" s="6" t="str">
        <f aca="false">IFERROR(INDEX('Semrush Data'!$A$1:$Z$20000,MATCH(A1811,'Semrush Data'!$A$1:$A$20000,0),MATCH("Keyword Difficulty*",'Semrush Data'!$A$1:$Z$1,0)),"")</f>
        <v/>
      </c>
      <c r="I1811" s="29" t="str">
        <f aca="false">IFERROR(INDEX('Semrush Data'!$A$1:$Z$20000,MATCH(A1811,'Semrush Data'!$A$1:$A$20000,0),MATCH("CPC*",'Semrush Data'!$A$1:$Z$1,0)),"")</f>
        <v/>
      </c>
      <c r="J1811" s="6" t="str">
        <f aca="false">IFERROR(INDEX('Semrush Data'!$A$1:$Z$20000,MATCH(A1811,'Semrush Data'!$A$1:$A$20000,0),MATCH("Intent",'Semrush Data'!$A$1:$Z$1,0)),"")</f>
        <v/>
      </c>
    </row>
    <row r="1812" customFormat="false" ht="15" hidden="false" customHeight="true" outlineLevel="0" collapsed="false">
      <c r="A1812" s="6" t="s">
        <v>3659</v>
      </c>
      <c r="B1812" s="6" t="s">
        <v>1415</v>
      </c>
      <c r="C1812" s="6" t="n">
        <v>3</v>
      </c>
      <c r="D1812" s="6" t="n">
        <v>19</v>
      </c>
      <c r="E1812" s="6" t="n">
        <v>1</v>
      </c>
      <c r="F1812" s="6" t="s">
        <v>3655</v>
      </c>
      <c r="G1812" s="28" t="str">
        <f aca="false">IFERROR(INDEX('Semrush Data'!$A$1:$Z$20000,MATCH(A1812,'Semrush Data'!$A$1:$A$20000,0),MATCH("Volume",'Semrush Data'!$A$1:$Z$1,0)),"")</f>
        <v/>
      </c>
      <c r="H1812" s="6" t="str">
        <f aca="false">IFERROR(INDEX('Semrush Data'!$A$1:$Z$20000,MATCH(A1812,'Semrush Data'!$A$1:$A$20000,0),MATCH("Keyword Difficulty*",'Semrush Data'!$A$1:$Z$1,0)),"")</f>
        <v/>
      </c>
      <c r="I1812" s="29" t="str">
        <f aca="false">IFERROR(INDEX('Semrush Data'!$A$1:$Z$20000,MATCH(A1812,'Semrush Data'!$A$1:$A$20000,0),MATCH("CPC*",'Semrush Data'!$A$1:$Z$1,0)),"")</f>
        <v/>
      </c>
      <c r="J1812" s="6" t="str">
        <f aca="false">IFERROR(INDEX('Semrush Data'!$A$1:$Z$20000,MATCH(A1812,'Semrush Data'!$A$1:$A$20000,0),MATCH("Intent",'Semrush Data'!$A$1:$Z$1,0)),"")</f>
        <v/>
      </c>
    </row>
    <row r="1813" customFormat="false" ht="15" hidden="false" customHeight="true" outlineLevel="0" collapsed="false">
      <c r="A1813" s="6" t="s">
        <v>3644</v>
      </c>
      <c r="B1813" s="6" t="s">
        <v>1415</v>
      </c>
      <c r="C1813" s="6" t="n">
        <v>3</v>
      </c>
      <c r="D1813" s="6" t="n">
        <v>19</v>
      </c>
      <c r="E1813" s="6" t="n">
        <v>2</v>
      </c>
      <c r="F1813" s="6" t="s">
        <v>6851</v>
      </c>
      <c r="G1813" s="28" t="str">
        <f aca="false">IFERROR(INDEX('Semrush Data'!$A$1:$Z$20000,MATCH(A1813,'Semrush Data'!$A$1:$A$20000,0),MATCH("Volume",'Semrush Data'!$A$1:$Z$1,0)),"")</f>
        <v/>
      </c>
      <c r="H1813" s="6" t="str">
        <f aca="false">IFERROR(INDEX('Semrush Data'!$A$1:$Z$20000,MATCH(A1813,'Semrush Data'!$A$1:$A$20000,0),MATCH("Keyword Difficulty*",'Semrush Data'!$A$1:$Z$1,0)),"")</f>
        <v/>
      </c>
      <c r="I1813" s="29" t="str">
        <f aca="false">IFERROR(INDEX('Semrush Data'!$A$1:$Z$20000,MATCH(A1813,'Semrush Data'!$A$1:$A$20000,0),MATCH("CPC*",'Semrush Data'!$A$1:$Z$1,0)),"")</f>
        <v/>
      </c>
      <c r="J1813" s="6" t="str">
        <f aca="false">IFERROR(INDEX('Semrush Data'!$A$1:$Z$20000,MATCH(A1813,'Semrush Data'!$A$1:$A$20000,0),MATCH("Intent",'Semrush Data'!$A$1:$Z$1,0)),"")</f>
        <v/>
      </c>
    </row>
    <row r="1814" customFormat="false" ht="15" hidden="false" customHeight="true" outlineLevel="0" collapsed="false">
      <c r="A1814" s="6" t="s">
        <v>3855</v>
      </c>
      <c r="B1814" s="6" t="s">
        <v>1415</v>
      </c>
      <c r="C1814" s="6" t="n">
        <v>3</v>
      </c>
      <c r="D1814" s="6" t="n">
        <v>19</v>
      </c>
      <c r="E1814" s="6" t="n">
        <v>1</v>
      </c>
      <c r="F1814" s="6" t="s">
        <v>3851</v>
      </c>
      <c r="G1814" s="28" t="str">
        <f aca="false">IFERROR(INDEX('Semrush Data'!$A$1:$Z$20000,MATCH(A1814,'Semrush Data'!$A$1:$A$20000,0),MATCH("Volume",'Semrush Data'!$A$1:$Z$1,0)),"")</f>
        <v/>
      </c>
      <c r="H1814" s="6" t="str">
        <f aca="false">IFERROR(INDEX('Semrush Data'!$A$1:$Z$20000,MATCH(A1814,'Semrush Data'!$A$1:$A$20000,0),MATCH("Keyword Difficulty*",'Semrush Data'!$A$1:$Z$1,0)),"")</f>
        <v/>
      </c>
      <c r="I1814" s="29" t="str">
        <f aca="false">IFERROR(INDEX('Semrush Data'!$A$1:$Z$20000,MATCH(A1814,'Semrush Data'!$A$1:$A$20000,0),MATCH("CPC*",'Semrush Data'!$A$1:$Z$1,0)),"")</f>
        <v/>
      </c>
      <c r="J1814" s="6" t="str">
        <f aca="false">IFERROR(INDEX('Semrush Data'!$A$1:$Z$20000,MATCH(A1814,'Semrush Data'!$A$1:$A$20000,0),MATCH("Intent",'Semrush Data'!$A$1:$Z$1,0)),"")</f>
        <v/>
      </c>
    </row>
    <row r="1815" customFormat="false" ht="15" hidden="false" customHeight="true" outlineLevel="0" collapsed="false">
      <c r="A1815" s="6" t="s">
        <v>3866</v>
      </c>
      <c r="B1815" s="6" t="s">
        <v>1415</v>
      </c>
      <c r="C1815" s="6" t="n">
        <v>3</v>
      </c>
      <c r="D1815" s="6" t="n">
        <v>19</v>
      </c>
      <c r="E1815" s="6" t="n">
        <v>1</v>
      </c>
      <c r="F1815" s="6" t="s">
        <v>3862</v>
      </c>
      <c r="G1815" s="28" t="str">
        <f aca="false">IFERROR(INDEX('Semrush Data'!$A$1:$Z$20000,MATCH(A1815,'Semrush Data'!$A$1:$A$20000,0),MATCH("Volume",'Semrush Data'!$A$1:$Z$1,0)),"")</f>
        <v/>
      </c>
      <c r="H1815" s="6" t="str">
        <f aca="false">IFERROR(INDEX('Semrush Data'!$A$1:$Z$20000,MATCH(A1815,'Semrush Data'!$A$1:$A$20000,0),MATCH("Keyword Difficulty*",'Semrush Data'!$A$1:$Z$1,0)),"")</f>
        <v/>
      </c>
      <c r="I1815" s="29" t="str">
        <f aca="false">IFERROR(INDEX('Semrush Data'!$A$1:$Z$20000,MATCH(A1815,'Semrush Data'!$A$1:$A$20000,0),MATCH("CPC*",'Semrush Data'!$A$1:$Z$1,0)),"")</f>
        <v/>
      </c>
      <c r="J1815" s="6" t="str">
        <f aca="false">IFERROR(INDEX('Semrush Data'!$A$1:$Z$20000,MATCH(A1815,'Semrush Data'!$A$1:$A$20000,0),MATCH("Intent",'Semrush Data'!$A$1:$Z$1,0)),"")</f>
        <v/>
      </c>
    </row>
    <row r="1816" customFormat="false" ht="15" hidden="false" customHeight="true" outlineLevel="0" collapsed="false">
      <c r="A1816" s="6" t="s">
        <v>3878</v>
      </c>
      <c r="B1816" s="6" t="s">
        <v>1415</v>
      </c>
      <c r="C1816" s="6" t="n">
        <v>3</v>
      </c>
      <c r="D1816" s="6" t="n">
        <v>19</v>
      </c>
      <c r="E1816" s="6" t="n">
        <v>1</v>
      </c>
      <c r="F1816" s="6" t="s">
        <v>3874</v>
      </c>
      <c r="G1816" s="28" t="str">
        <f aca="false">IFERROR(INDEX('Semrush Data'!$A$1:$Z$20000,MATCH(A1816,'Semrush Data'!$A$1:$A$20000,0),MATCH("Volume",'Semrush Data'!$A$1:$Z$1,0)),"")</f>
        <v/>
      </c>
      <c r="H1816" s="6" t="str">
        <f aca="false">IFERROR(INDEX('Semrush Data'!$A$1:$Z$20000,MATCH(A1816,'Semrush Data'!$A$1:$A$20000,0),MATCH("Keyword Difficulty*",'Semrush Data'!$A$1:$Z$1,0)),"")</f>
        <v/>
      </c>
      <c r="I1816" s="29" t="str">
        <f aca="false">IFERROR(INDEX('Semrush Data'!$A$1:$Z$20000,MATCH(A1816,'Semrush Data'!$A$1:$A$20000,0),MATCH("CPC*",'Semrush Data'!$A$1:$Z$1,0)),"")</f>
        <v/>
      </c>
      <c r="J1816" s="6" t="str">
        <f aca="false">IFERROR(INDEX('Semrush Data'!$A$1:$Z$20000,MATCH(A1816,'Semrush Data'!$A$1:$A$20000,0),MATCH("Intent",'Semrush Data'!$A$1:$Z$1,0)),"")</f>
        <v/>
      </c>
    </row>
    <row r="1817" customFormat="false" ht="15" hidden="false" customHeight="true" outlineLevel="0" collapsed="false">
      <c r="A1817" s="6" t="s">
        <v>3889</v>
      </c>
      <c r="B1817" s="6" t="s">
        <v>1415</v>
      </c>
      <c r="C1817" s="6" t="n">
        <v>3</v>
      </c>
      <c r="D1817" s="6" t="n">
        <v>19</v>
      </c>
      <c r="E1817" s="6" t="n">
        <v>1</v>
      </c>
      <c r="F1817" s="6" t="s">
        <v>3885</v>
      </c>
      <c r="G1817" s="28" t="str">
        <f aca="false">IFERROR(INDEX('Semrush Data'!$A$1:$Z$20000,MATCH(A1817,'Semrush Data'!$A$1:$A$20000,0),MATCH("Volume",'Semrush Data'!$A$1:$Z$1,0)),"")</f>
        <v/>
      </c>
      <c r="H1817" s="6" t="str">
        <f aca="false">IFERROR(INDEX('Semrush Data'!$A$1:$Z$20000,MATCH(A1817,'Semrush Data'!$A$1:$A$20000,0),MATCH("Keyword Difficulty*",'Semrush Data'!$A$1:$Z$1,0)),"")</f>
        <v/>
      </c>
      <c r="I1817" s="29" t="str">
        <f aca="false">IFERROR(INDEX('Semrush Data'!$A$1:$Z$20000,MATCH(A1817,'Semrush Data'!$A$1:$A$20000,0),MATCH("CPC*",'Semrush Data'!$A$1:$Z$1,0)),"")</f>
        <v/>
      </c>
      <c r="J1817" s="6" t="str">
        <f aca="false">IFERROR(INDEX('Semrush Data'!$A$1:$Z$20000,MATCH(A1817,'Semrush Data'!$A$1:$A$20000,0),MATCH("Intent",'Semrush Data'!$A$1:$Z$1,0)),"")</f>
        <v/>
      </c>
    </row>
    <row r="1818" customFormat="false" ht="15" hidden="false" customHeight="true" outlineLevel="0" collapsed="false">
      <c r="A1818" s="6" t="s">
        <v>3740</v>
      </c>
      <c r="B1818" s="6" t="s">
        <v>1415</v>
      </c>
      <c r="C1818" s="6" t="n">
        <v>3</v>
      </c>
      <c r="D1818" s="6" t="n">
        <v>19</v>
      </c>
      <c r="E1818" s="6" t="n">
        <v>1</v>
      </c>
      <c r="F1818" s="6" t="s">
        <v>3735</v>
      </c>
      <c r="G1818" s="28" t="str">
        <f aca="false">IFERROR(INDEX('Semrush Data'!$A$1:$Z$20000,MATCH(A1818,'Semrush Data'!$A$1:$A$20000,0),MATCH("Volume",'Semrush Data'!$A$1:$Z$1,0)),"")</f>
        <v/>
      </c>
      <c r="H1818" s="6" t="str">
        <f aca="false">IFERROR(INDEX('Semrush Data'!$A$1:$Z$20000,MATCH(A1818,'Semrush Data'!$A$1:$A$20000,0),MATCH("Keyword Difficulty*",'Semrush Data'!$A$1:$Z$1,0)),"")</f>
        <v/>
      </c>
      <c r="I1818" s="29" t="str">
        <f aca="false">IFERROR(INDEX('Semrush Data'!$A$1:$Z$20000,MATCH(A1818,'Semrush Data'!$A$1:$A$20000,0),MATCH("CPC*",'Semrush Data'!$A$1:$Z$1,0)),"")</f>
        <v/>
      </c>
      <c r="J1818" s="6" t="str">
        <f aca="false">IFERROR(INDEX('Semrush Data'!$A$1:$Z$20000,MATCH(A1818,'Semrush Data'!$A$1:$A$20000,0),MATCH("Intent",'Semrush Data'!$A$1:$Z$1,0)),"")</f>
        <v/>
      </c>
    </row>
    <row r="1819" customFormat="false" ht="15" hidden="false" customHeight="true" outlineLevel="0" collapsed="false">
      <c r="A1819" s="6" t="s">
        <v>3753</v>
      </c>
      <c r="B1819" s="6" t="s">
        <v>1415</v>
      </c>
      <c r="C1819" s="6" t="n">
        <v>3</v>
      </c>
      <c r="D1819" s="6" t="n">
        <v>19</v>
      </c>
      <c r="E1819" s="6" t="n">
        <v>1</v>
      </c>
      <c r="F1819" s="6" t="s">
        <v>3748</v>
      </c>
      <c r="G1819" s="28" t="str">
        <f aca="false">IFERROR(INDEX('Semrush Data'!$A$1:$Z$20000,MATCH(A1819,'Semrush Data'!$A$1:$A$20000,0),MATCH("Volume",'Semrush Data'!$A$1:$Z$1,0)),"")</f>
        <v/>
      </c>
      <c r="H1819" s="6" t="str">
        <f aca="false">IFERROR(INDEX('Semrush Data'!$A$1:$Z$20000,MATCH(A1819,'Semrush Data'!$A$1:$A$20000,0),MATCH("Keyword Difficulty*",'Semrush Data'!$A$1:$Z$1,0)),"")</f>
        <v/>
      </c>
      <c r="I1819" s="29" t="str">
        <f aca="false">IFERROR(INDEX('Semrush Data'!$A$1:$Z$20000,MATCH(A1819,'Semrush Data'!$A$1:$A$20000,0),MATCH("CPC*",'Semrush Data'!$A$1:$Z$1,0)),"")</f>
        <v/>
      </c>
      <c r="J1819" s="6" t="str">
        <f aca="false">IFERROR(INDEX('Semrush Data'!$A$1:$Z$20000,MATCH(A1819,'Semrush Data'!$A$1:$A$20000,0),MATCH("Intent",'Semrush Data'!$A$1:$Z$1,0)),"")</f>
        <v/>
      </c>
    </row>
    <row r="1820" customFormat="false" ht="15" hidden="false" customHeight="true" outlineLevel="0" collapsed="false">
      <c r="A1820" s="6" t="s">
        <v>3765</v>
      </c>
      <c r="B1820" s="6" t="s">
        <v>1415</v>
      </c>
      <c r="C1820" s="6" t="n">
        <v>3</v>
      </c>
      <c r="D1820" s="6" t="n">
        <v>19</v>
      </c>
      <c r="E1820" s="6" t="n">
        <v>1</v>
      </c>
      <c r="F1820" s="6" t="s">
        <v>3761</v>
      </c>
      <c r="G1820" s="28" t="str">
        <f aca="false">IFERROR(INDEX('Semrush Data'!$A$1:$Z$20000,MATCH(A1820,'Semrush Data'!$A$1:$A$20000,0),MATCH("Volume",'Semrush Data'!$A$1:$Z$1,0)),"")</f>
        <v/>
      </c>
      <c r="H1820" s="6" t="str">
        <f aca="false">IFERROR(INDEX('Semrush Data'!$A$1:$Z$20000,MATCH(A1820,'Semrush Data'!$A$1:$A$20000,0),MATCH("Keyword Difficulty*",'Semrush Data'!$A$1:$Z$1,0)),"")</f>
        <v/>
      </c>
      <c r="I1820" s="29" t="str">
        <f aca="false">IFERROR(INDEX('Semrush Data'!$A$1:$Z$20000,MATCH(A1820,'Semrush Data'!$A$1:$A$20000,0),MATCH("CPC*",'Semrush Data'!$A$1:$Z$1,0)),"")</f>
        <v/>
      </c>
      <c r="J1820" s="6" t="str">
        <f aca="false">IFERROR(INDEX('Semrush Data'!$A$1:$Z$20000,MATCH(A1820,'Semrush Data'!$A$1:$A$20000,0),MATCH("Intent",'Semrush Data'!$A$1:$Z$1,0)),"")</f>
        <v/>
      </c>
    </row>
    <row r="1821" customFormat="false" ht="15" hidden="false" customHeight="true" outlineLevel="0" collapsed="false">
      <c r="A1821" s="6" t="s">
        <v>3776</v>
      </c>
      <c r="B1821" s="6" t="s">
        <v>1415</v>
      </c>
      <c r="C1821" s="6" t="n">
        <v>3</v>
      </c>
      <c r="D1821" s="6" t="n">
        <v>19</v>
      </c>
      <c r="E1821" s="6" t="n">
        <v>1</v>
      </c>
      <c r="F1821" s="6" t="s">
        <v>3772</v>
      </c>
      <c r="G1821" s="28" t="str">
        <f aca="false">IFERROR(INDEX('Semrush Data'!$A$1:$Z$20000,MATCH(A1821,'Semrush Data'!$A$1:$A$20000,0),MATCH("Volume",'Semrush Data'!$A$1:$Z$1,0)),"")</f>
        <v/>
      </c>
      <c r="H1821" s="6" t="str">
        <f aca="false">IFERROR(INDEX('Semrush Data'!$A$1:$Z$20000,MATCH(A1821,'Semrush Data'!$A$1:$A$20000,0),MATCH("Keyword Difficulty*",'Semrush Data'!$A$1:$Z$1,0)),"")</f>
        <v/>
      </c>
      <c r="I1821" s="29" t="str">
        <f aca="false">IFERROR(INDEX('Semrush Data'!$A$1:$Z$20000,MATCH(A1821,'Semrush Data'!$A$1:$A$20000,0),MATCH("CPC*",'Semrush Data'!$A$1:$Z$1,0)),"")</f>
        <v/>
      </c>
      <c r="J1821" s="6" t="str">
        <f aca="false">IFERROR(INDEX('Semrush Data'!$A$1:$Z$20000,MATCH(A1821,'Semrush Data'!$A$1:$A$20000,0),MATCH("Intent",'Semrush Data'!$A$1:$Z$1,0)),"")</f>
        <v/>
      </c>
    </row>
    <row r="1822" customFormat="false" ht="15" hidden="false" customHeight="true" outlineLevel="0" collapsed="false">
      <c r="A1822" s="6" t="s">
        <v>3787</v>
      </c>
      <c r="B1822" s="6" t="s">
        <v>1415</v>
      </c>
      <c r="C1822" s="6" t="n">
        <v>3</v>
      </c>
      <c r="D1822" s="6" t="n">
        <v>19</v>
      </c>
      <c r="E1822" s="6" t="n">
        <v>1</v>
      </c>
      <c r="F1822" s="6" t="s">
        <v>3783</v>
      </c>
      <c r="G1822" s="28" t="str">
        <f aca="false">IFERROR(INDEX('Semrush Data'!$A$1:$Z$20000,MATCH(A1822,'Semrush Data'!$A$1:$A$20000,0),MATCH("Volume",'Semrush Data'!$A$1:$Z$1,0)),"")</f>
        <v/>
      </c>
      <c r="H1822" s="6" t="str">
        <f aca="false">IFERROR(INDEX('Semrush Data'!$A$1:$Z$20000,MATCH(A1822,'Semrush Data'!$A$1:$A$20000,0),MATCH("Keyword Difficulty*",'Semrush Data'!$A$1:$Z$1,0)),"")</f>
        <v/>
      </c>
      <c r="I1822" s="29" t="str">
        <f aca="false">IFERROR(INDEX('Semrush Data'!$A$1:$Z$20000,MATCH(A1822,'Semrush Data'!$A$1:$A$20000,0),MATCH("CPC*",'Semrush Data'!$A$1:$Z$1,0)),"")</f>
        <v/>
      </c>
      <c r="J1822" s="6" t="str">
        <f aca="false">IFERROR(INDEX('Semrush Data'!$A$1:$Z$20000,MATCH(A1822,'Semrush Data'!$A$1:$A$20000,0),MATCH("Intent",'Semrush Data'!$A$1:$Z$1,0)),"")</f>
        <v/>
      </c>
    </row>
    <row r="1823" customFormat="false" ht="15" hidden="false" customHeight="true" outlineLevel="0" collapsed="false">
      <c r="A1823" s="6" t="s">
        <v>3799</v>
      </c>
      <c r="B1823" s="6" t="s">
        <v>1415</v>
      </c>
      <c r="C1823" s="6" t="n">
        <v>3</v>
      </c>
      <c r="D1823" s="6" t="n">
        <v>19</v>
      </c>
      <c r="E1823" s="6" t="n">
        <v>1</v>
      </c>
      <c r="F1823" s="6" t="s">
        <v>3795</v>
      </c>
      <c r="G1823" s="28" t="str">
        <f aca="false">IFERROR(INDEX('Semrush Data'!$A$1:$Z$20000,MATCH(A1823,'Semrush Data'!$A$1:$A$20000,0),MATCH("Volume",'Semrush Data'!$A$1:$Z$1,0)),"")</f>
        <v/>
      </c>
      <c r="H1823" s="6" t="str">
        <f aca="false">IFERROR(INDEX('Semrush Data'!$A$1:$Z$20000,MATCH(A1823,'Semrush Data'!$A$1:$A$20000,0),MATCH("Keyword Difficulty*",'Semrush Data'!$A$1:$Z$1,0)),"")</f>
        <v/>
      </c>
      <c r="I1823" s="29" t="str">
        <f aca="false">IFERROR(INDEX('Semrush Data'!$A$1:$Z$20000,MATCH(A1823,'Semrush Data'!$A$1:$A$20000,0),MATCH("CPC*",'Semrush Data'!$A$1:$Z$1,0)),"")</f>
        <v/>
      </c>
      <c r="J1823" s="6" t="str">
        <f aca="false">IFERROR(INDEX('Semrush Data'!$A$1:$Z$20000,MATCH(A1823,'Semrush Data'!$A$1:$A$20000,0),MATCH("Intent",'Semrush Data'!$A$1:$Z$1,0)),"")</f>
        <v/>
      </c>
    </row>
    <row r="1824" customFormat="false" ht="15" hidden="false" customHeight="true" outlineLevel="0" collapsed="false">
      <c r="A1824" s="6" t="s">
        <v>3810</v>
      </c>
      <c r="B1824" s="6" t="s">
        <v>1415</v>
      </c>
      <c r="C1824" s="6" t="n">
        <v>3</v>
      </c>
      <c r="D1824" s="6" t="n">
        <v>19</v>
      </c>
      <c r="E1824" s="6" t="n">
        <v>1</v>
      </c>
      <c r="F1824" s="6" t="s">
        <v>3806</v>
      </c>
      <c r="G1824" s="28" t="str">
        <f aca="false">IFERROR(INDEX('Semrush Data'!$A$1:$Z$20000,MATCH(A1824,'Semrush Data'!$A$1:$A$20000,0),MATCH("Volume",'Semrush Data'!$A$1:$Z$1,0)),"")</f>
        <v/>
      </c>
      <c r="H1824" s="6" t="str">
        <f aca="false">IFERROR(INDEX('Semrush Data'!$A$1:$Z$20000,MATCH(A1824,'Semrush Data'!$A$1:$A$20000,0),MATCH("Keyword Difficulty*",'Semrush Data'!$A$1:$Z$1,0)),"")</f>
        <v/>
      </c>
      <c r="I1824" s="29" t="str">
        <f aca="false">IFERROR(INDEX('Semrush Data'!$A$1:$Z$20000,MATCH(A1824,'Semrush Data'!$A$1:$A$20000,0),MATCH("CPC*",'Semrush Data'!$A$1:$Z$1,0)),"")</f>
        <v/>
      </c>
      <c r="J1824" s="6" t="str">
        <f aca="false">IFERROR(INDEX('Semrush Data'!$A$1:$Z$20000,MATCH(A1824,'Semrush Data'!$A$1:$A$20000,0),MATCH("Intent",'Semrush Data'!$A$1:$Z$1,0)),"")</f>
        <v/>
      </c>
    </row>
    <row r="1825" customFormat="false" ht="15" hidden="false" customHeight="true" outlineLevel="0" collapsed="false">
      <c r="A1825" s="6" t="s">
        <v>3821</v>
      </c>
      <c r="B1825" s="6" t="s">
        <v>1415</v>
      </c>
      <c r="C1825" s="6" t="n">
        <v>3</v>
      </c>
      <c r="D1825" s="6" t="n">
        <v>19</v>
      </c>
      <c r="E1825" s="6" t="n">
        <v>1</v>
      </c>
      <c r="F1825" s="6" t="s">
        <v>3817</v>
      </c>
      <c r="G1825" s="28" t="str">
        <f aca="false">IFERROR(INDEX('Semrush Data'!$A$1:$Z$20000,MATCH(A1825,'Semrush Data'!$A$1:$A$20000,0),MATCH("Volume",'Semrush Data'!$A$1:$Z$1,0)),"")</f>
        <v/>
      </c>
      <c r="H1825" s="6" t="str">
        <f aca="false">IFERROR(INDEX('Semrush Data'!$A$1:$Z$20000,MATCH(A1825,'Semrush Data'!$A$1:$A$20000,0),MATCH("Keyword Difficulty*",'Semrush Data'!$A$1:$Z$1,0)),"")</f>
        <v/>
      </c>
      <c r="I1825" s="29" t="str">
        <f aca="false">IFERROR(INDEX('Semrush Data'!$A$1:$Z$20000,MATCH(A1825,'Semrush Data'!$A$1:$A$20000,0),MATCH("CPC*",'Semrush Data'!$A$1:$Z$1,0)),"")</f>
        <v/>
      </c>
      <c r="J1825" s="6" t="str">
        <f aca="false">IFERROR(INDEX('Semrush Data'!$A$1:$Z$20000,MATCH(A1825,'Semrush Data'!$A$1:$A$20000,0),MATCH("Intent",'Semrush Data'!$A$1:$Z$1,0)),"")</f>
        <v/>
      </c>
    </row>
    <row r="1826" customFormat="false" ht="15" hidden="false" customHeight="true" outlineLevel="0" collapsed="false">
      <c r="A1826" s="6" t="s">
        <v>3832</v>
      </c>
      <c r="B1826" s="6" t="s">
        <v>1415</v>
      </c>
      <c r="C1826" s="6" t="n">
        <v>3</v>
      </c>
      <c r="D1826" s="6" t="n">
        <v>19</v>
      </c>
      <c r="E1826" s="6" t="n">
        <v>1</v>
      </c>
      <c r="F1826" s="6" t="s">
        <v>3828</v>
      </c>
      <c r="G1826" s="28" t="str">
        <f aca="false">IFERROR(INDEX('Semrush Data'!$A$1:$Z$20000,MATCH(A1826,'Semrush Data'!$A$1:$A$20000,0),MATCH("Volume",'Semrush Data'!$A$1:$Z$1,0)),"")</f>
        <v/>
      </c>
      <c r="H1826" s="6" t="str">
        <f aca="false">IFERROR(INDEX('Semrush Data'!$A$1:$Z$20000,MATCH(A1826,'Semrush Data'!$A$1:$A$20000,0),MATCH("Keyword Difficulty*",'Semrush Data'!$A$1:$Z$1,0)),"")</f>
        <v/>
      </c>
      <c r="I1826" s="29" t="str">
        <f aca="false">IFERROR(INDEX('Semrush Data'!$A$1:$Z$20000,MATCH(A1826,'Semrush Data'!$A$1:$A$20000,0),MATCH("CPC*",'Semrush Data'!$A$1:$Z$1,0)),"")</f>
        <v/>
      </c>
      <c r="J1826" s="6" t="str">
        <f aca="false">IFERROR(INDEX('Semrush Data'!$A$1:$Z$20000,MATCH(A1826,'Semrush Data'!$A$1:$A$20000,0),MATCH("Intent",'Semrush Data'!$A$1:$Z$1,0)),"")</f>
        <v/>
      </c>
    </row>
    <row r="1827" customFormat="false" ht="15" hidden="false" customHeight="true" outlineLevel="0" collapsed="false">
      <c r="A1827" s="6" t="s">
        <v>3843</v>
      </c>
      <c r="B1827" s="6" t="s">
        <v>1415</v>
      </c>
      <c r="C1827" s="6" t="n">
        <v>3</v>
      </c>
      <c r="D1827" s="6" t="n">
        <v>19</v>
      </c>
      <c r="E1827" s="6" t="n">
        <v>1</v>
      </c>
      <c r="F1827" s="6" t="s">
        <v>3839</v>
      </c>
      <c r="G1827" s="28" t="str">
        <f aca="false">IFERROR(INDEX('Semrush Data'!$A$1:$Z$20000,MATCH(A1827,'Semrush Data'!$A$1:$A$20000,0),MATCH("Volume",'Semrush Data'!$A$1:$Z$1,0)),"")</f>
        <v/>
      </c>
      <c r="H1827" s="6" t="str">
        <f aca="false">IFERROR(INDEX('Semrush Data'!$A$1:$Z$20000,MATCH(A1827,'Semrush Data'!$A$1:$A$20000,0),MATCH("Keyword Difficulty*",'Semrush Data'!$A$1:$Z$1,0)),"")</f>
        <v/>
      </c>
      <c r="I1827" s="29" t="str">
        <f aca="false">IFERROR(INDEX('Semrush Data'!$A$1:$Z$20000,MATCH(A1827,'Semrush Data'!$A$1:$A$20000,0),MATCH("CPC*",'Semrush Data'!$A$1:$Z$1,0)),"")</f>
        <v/>
      </c>
      <c r="J1827" s="6" t="str">
        <f aca="false">IFERROR(INDEX('Semrush Data'!$A$1:$Z$20000,MATCH(A1827,'Semrush Data'!$A$1:$A$20000,0),MATCH("Intent",'Semrush Data'!$A$1:$Z$1,0)),"")</f>
        <v/>
      </c>
    </row>
    <row r="1828" customFormat="false" ht="15" hidden="false" customHeight="true" outlineLevel="0" collapsed="false">
      <c r="A1828" s="6" t="s">
        <v>3899</v>
      </c>
      <c r="B1828" s="6" t="s">
        <v>1415</v>
      </c>
      <c r="C1828" s="6" t="n">
        <v>3</v>
      </c>
      <c r="D1828" s="6" t="n">
        <v>19</v>
      </c>
      <c r="E1828" s="6" t="n">
        <v>1</v>
      </c>
      <c r="F1828" s="6" t="s">
        <v>123</v>
      </c>
      <c r="G1828" s="28" t="str">
        <f aca="false">IFERROR(INDEX('Semrush Data'!$A$1:$Z$20000,MATCH(A1828,'Semrush Data'!$A$1:$A$20000,0),MATCH("Volume",'Semrush Data'!$A$1:$Z$1,0)),"")</f>
        <v/>
      </c>
      <c r="H1828" s="6" t="str">
        <f aca="false">IFERROR(INDEX('Semrush Data'!$A$1:$Z$20000,MATCH(A1828,'Semrush Data'!$A$1:$A$20000,0),MATCH("Keyword Difficulty*",'Semrush Data'!$A$1:$Z$1,0)),"")</f>
        <v/>
      </c>
      <c r="I1828" s="29" t="str">
        <f aca="false">IFERROR(INDEX('Semrush Data'!$A$1:$Z$20000,MATCH(A1828,'Semrush Data'!$A$1:$A$20000,0),MATCH("CPC*",'Semrush Data'!$A$1:$Z$1,0)),"")</f>
        <v/>
      </c>
      <c r="J1828" s="6" t="str">
        <f aca="false">IFERROR(INDEX('Semrush Data'!$A$1:$Z$20000,MATCH(A1828,'Semrush Data'!$A$1:$A$20000,0),MATCH("Intent",'Semrush Data'!$A$1:$Z$1,0)),"")</f>
        <v/>
      </c>
    </row>
    <row r="1829" customFormat="false" ht="15" hidden="false" customHeight="true" outlineLevel="0" collapsed="false">
      <c r="A1829" s="6" t="s">
        <v>3978</v>
      </c>
      <c r="B1829" s="6" t="s">
        <v>1415</v>
      </c>
      <c r="C1829" s="6" t="n">
        <v>3</v>
      </c>
      <c r="D1829" s="6" t="n">
        <v>19</v>
      </c>
      <c r="E1829" s="6" t="n">
        <v>1</v>
      </c>
      <c r="F1829" s="6" t="s">
        <v>3974</v>
      </c>
      <c r="G1829" s="28" t="str">
        <f aca="false">IFERROR(INDEX('Semrush Data'!$A$1:$Z$20000,MATCH(A1829,'Semrush Data'!$A$1:$A$20000,0),MATCH("Volume",'Semrush Data'!$A$1:$Z$1,0)),"")</f>
        <v/>
      </c>
      <c r="H1829" s="6" t="str">
        <f aca="false">IFERROR(INDEX('Semrush Data'!$A$1:$Z$20000,MATCH(A1829,'Semrush Data'!$A$1:$A$20000,0),MATCH("Keyword Difficulty*",'Semrush Data'!$A$1:$Z$1,0)),"")</f>
        <v/>
      </c>
      <c r="I1829" s="29" t="str">
        <f aca="false">IFERROR(INDEX('Semrush Data'!$A$1:$Z$20000,MATCH(A1829,'Semrush Data'!$A$1:$A$20000,0),MATCH("CPC*",'Semrush Data'!$A$1:$Z$1,0)),"")</f>
        <v/>
      </c>
      <c r="J1829" s="6" t="str">
        <f aca="false">IFERROR(INDEX('Semrush Data'!$A$1:$Z$20000,MATCH(A1829,'Semrush Data'!$A$1:$A$20000,0),MATCH("Intent",'Semrush Data'!$A$1:$Z$1,0)),"")</f>
        <v/>
      </c>
    </row>
    <row r="1830" customFormat="false" ht="15" hidden="false" customHeight="true" outlineLevel="0" collapsed="false">
      <c r="A1830" s="6" t="s">
        <v>3911</v>
      </c>
      <c r="B1830" s="6" t="s">
        <v>1415</v>
      </c>
      <c r="C1830" s="6" t="n">
        <v>3</v>
      </c>
      <c r="D1830" s="6" t="n">
        <v>19</v>
      </c>
      <c r="E1830" s="6" t="n">
        <v>1</v>
      </c>
      <c r="F1830" s="6" t="s">
        <v>3907</v>
      </c>
      <c r="G1830" s="28" t="str">
        <f aca="false">IFERROR(INDEX('Semrush Data'!$A$1:$Z$20000,MATCH(A1830,'Semrush Data'!$A$1:$A$20000,0),MATCH("Volume",'Semrush Data'!$A$1:$Z$1,0)),"")</f>
        <v/>
      </c>
      <c r="H1830" s="6" t="str">
        <f aca="false">IFERROR(INDEX('Semrush Data'!$A$1:$Z$20000,MATCH(A1830,'Semrush Data'!$A$1:$A$20000,0),MATCH("Keyword Difficulty*",'Semrush Data'!$A$1:$Z$1,0)),"")</f>
        <v/>
      </c>
      <c r="I1830" s="29" t="str">
        <f aca="false">IFERROR(INDEX('Semrush Data'!$A$1:$Z$20000,MATCH(A1830,'Semrush Data'!$A$1:$A$20000,0),MATCH("CPC*",'Semrush Data'!$A$1:$Z$1,0)),"")</f>
        <v/>
      </c>
      <c r="J1830" s="6" t="str">
        <f aca="false">IFERROR(INDEX('Semrush Data'!$A$1:$Z$20000,MATCH(A1830,'Semrush Data'!$A$1:$A$20000,0),MATCH("Intent",'Semrush Data'!$A$1:$Z$1,0)),"")</f>
        <v/>
      </c>
    </row>
    <row r="1831" customFormat="false" ht="15" hidden="false" customHeight="true" outlineLevel="0" collapsed="false">
      <c r="A1831" s="6" t="s">
        <v>3923</v>
      </c>
      <c r="B1831" s="6" t="s">
        <v>1415</v>
      </c>
      <c r="C1831" s="6" t="n">
        <v>3</v>
      </c>
      <c r="D1831" s="6" t="n">
        <v>19</v>
      </c>
      <c r="E1831" s="6" t="n">
        <v>1</v>
      </c>
      <c r="F1831" s="6" t="s">
        <v>3918</v>
      </c>
      <c r="G1831" s="28" t="str">
        <f aca="false">IFERROR(INDEX('Semrush Data'!$A$1:$Z$20000,MATCH(A1831,'Semrush Data'!$A$1:$A$20000,0),MATCH("Volume",'Semrush Data'!$A$1:$Z$1,0)),"")</f>
        <v/>
      </c>
      <c r="H1831" s="6" t="str">
        <f aca="false">IFERROR(INDEX('Semrush Data'!$A$1:$Z$20000,MATCH(A1831,'Semrush Data'!$A$1:$A$20000,0),MATCH("Keyword Difficulty*",'Semrush Data'!$A$1:$Z$1,0)),"")</f>
        <v/>
      </c>
      <c r="I1831" s="29" t="str">
        <f aca="false">IFERROR(INDEX('Semrush Data'!$A$1:$Z$20000,MATCH(A1831,'Semrush Data'!$A$1:$A$20000,0),MATCH("CPC*",'Semrush Data'!$A$1:$Z$1,0)),"")</f>
        <v/>
      </c>
      <c r="J1831" s="6" t="str">
        <f aca="false">IFERROR(INDEX('Semrush Data'!$A$1:$Z$20000,MATCH(A1831,'Semrush Data'!$A$1:$A$20000,0),MATCH("Intent",'Semrush Data'!$A$1:$Z$1,0)),"")</f>
        <v/>
      </c>
    </row>
    <row r="1832" customFormat="false" ht="15" hidden="false" customHeight="true" outlineLevel="0" collapsed="false">
      <c r="A1832" s="6" t="s">
        <v>3945</v>
      </c>
      <c r="B1832" s="6" t="s">
        <v>1415</v>
      </c>
      <c r="C1832" s="6" t="n">
        <v>3</v>
      </c>
      <c r="D1832" s="6" t="n">
        <v>19</v>
      </c>
      <c r="E1832" s="6" t="n">
        <v>1</v>
      </c>
      <c r="F1832" s="6" t="s">
        <v>3941</v>
      </c>
      <c r="G1832" s="28" t="str">
        <f aca="false">IFERROR(INDEX('Semrush Data'!$A$1:$Z$20000,MATCH(A1832,'Semrush Data'!$A$1:$A$20000,0),MATCH("Volume",'Semrush Data'!$A$1:$Z$1,0)),"")</f>
        <v/>
      </c>
      <c r="H1832" s="6" t="str">
        <f aca="false">IFERROR(INDEX('Semrush Data'!$A$1:$Z$20000,MATCH(A1832,'Semrush Data'!$A$1:$A$20000,0),MATCH("Keyword Difficulty*",'Semrush Data'!$A$1:$Z$1,0)),"")</f>
        <v/>
      </c>
      <c r="I1832" s="29" t="str">
        <f aca="false">IFERROR(INDEX('Semrush Data'!$A$1:$Z$20000,MATCH(A1832,'Semrush Data'!$A$1:$A$20000,0),MATCH("CPC*",'Semrush Data'!$A$1:$Z$1,0)),"")</f>
        <v/>
      </c>
      <c r="J1832" s="6" t="str">
        <f aca="false">IFERROR(INDEX('Semrush Data'!$A$1:$Z$20000,MATCH(A1832,'Semrush Data'!$A$1:$A$20000,0),MATCH("Intent",'Semrush Data'!$A$1:$Z$1,0)),"")</f>
        <v/>
      </c>
    </row>
    <row r="1833" customFormat="false" ht="15" hidden="false" customHeight="true" outlineLevel="0" collapsed="false">
      <c r="A1833" s="6" t="s">
        <v>3934</v>
      </c>
      <c r="B1833" s="6" t="s">
        <v>1415</v>
      </c>
      <c r="C1833" s="6" t="n">
        <v>3</v>
      </c>
      <c r="D1833" s="6" t="n">
        <v>19</v>
      </c>
      <c r="E1833" s="6" t="n">
        <v>1</v>
      </c>
      <c r="F1833" s="6" t="s">
        <v>3930</v>
      </c>
      <c r="G1833" s="28" t="str">
        <f aca="false">IFERROR(INDEX('Semrush Data'!$A$1:$Z$20000,MATCH(A1833,'Semrush Data'!$A$1:$A$20000,0),MATCH("Volume",'Semrush Data'!$A$1:$Z$1,0)),"")</f>
        <v/>
      </c>
      <c r="H1833" s="6" t="str">
        <f aca="false">IFERROR(INDEX('Semrush Data'!$A$1:$Z$20000,MATCH(A1833,'Semrush Data'!$A$1:$A$20000,0),MATCH("Keyword Difficulty*",'Semrush Data'!$A$1:$Z$1,0)),"")</f>
        <v/>
      </c>
      <c r="I1833" s="29" t="str">
        <f aca="false">IFERROR(INDEX('Semrush Data'!$A$1:$Z$20000,MATCH(A1833,'Semrush Data'!$A$1:$A$20000,0),MATCH("CPC*",'Semrush Data'!$A$1:$Z$1,0)),"")</f>
        <v/>
      </c>
      <c r="J1833" s="6" t="str">
        <f aca="false">IFERROR(INDEX('Semrush Data'!$A$1:$Z$20000,MATCH(A1833,'Semrush Data'!$A$1:$A$20000,0),MATCH("Intent",'Semrush Data'!$A$1:$Z$1,0)),"")</f>
        <v/>
      </c>
    </row>
    <row r="1834" customFormat="false" ht="15" hidden="false" customHeight="true" outlineLevel="0" collapsed="false">
      <c r="A1834" s="6" t="s">
        <v>3989</v>
      </c>
      <c r="B1834" s="6" t="s">
        <v>1415</v>
      </c>
      <c r="C1834" s="6" t="n">
        <v>3</v>
      </c>
      <c r="D1834" s="6" t="n">
        <v>19</v>
      </c>
      <c r="E1834" s="6" t="n">
        <v>1</v>
      </c>
      <c r="F1834" s="6" t="s">
        <v>3985</v>
      </c>
      <c r="G1834" s="28" t="str">
        <f aca="false">IFERROR(INDEX('Semrush Data'!$A$1:$Z$20000,MATCH(A1834,'Semrush Data'!$A$1:$A$20000,0),MATCH("Volume",'Semrush Data'!$A$1:$Z$1,0)),"")</f>
        <v/>
      </c>
      <c r="H1834" s="6" t="str">
        <f aca="false">IFERROR(INDEX('Semrush Data'!$A$1:$Z$20000,MATCH(A1834,'Semrush Data'!$A$1:$A$20000,0),MATCH("Keyword Difficulty*",'Semrush Data'!$A$1:$Z$1,0)),"")</f>
        <v/>
      </c>
      <c r="I1834" s="29" t="str">
        <f aca="false">IFERROR(INDEX('Semrush Data'!$A$1:$Z$20000,MATCH(A1834,'Semrush Data'!$A$1:$A$20000,0),MATCH("CPC*",'Semrush Data'!$A$1:$Z$1,0)),"")</f>
        <v/>
      </c>
      <c r="J1834" s="6" t="str">
        <f aca="false">IFERROR(INDEX('Semrush Data'!$A$1:$Z$20000,MATCH(A1834,'Semrush Data'!$A$1:$A$20000,0),MATCH("Intent",'Semrush Data'!$A$1:$Z$1,0)),"")</f>
        <v/>
      </c>
    </row>
    <row r="1835" customFormat="false" ht="15" hidden="false" customHeight="true" outlineLevel="0" collapsed="false">
      <c r="A1835" s="6" t="s">
        <v>3956</v>
      </c>
      <c r="B1835" s="6" t="s">
        <v>1415</v>
      </c>
      <c r="C1835" s="6" t="n">
        <v>3</v>
      </c>
      <c r="D1835" s="6" t="n">
        <v>19</v>
      </c>
      <c r="E1835" s="6" t="n">
        <v>1</v>
      </c>
      <c r="F1835" s="6" t="s">
        <v>3952</v>
      </c>
      <c r="G1835" s="28" t="str">
        <f aca="false">IFERROR(INDEX('Semrush Data'!$A$1:$Z$20000,MATCH(A1835,'Semrush Data'!$A$1:$A$20000,0),MATCH("Volume",'Semrush Data'!$A$1:$Z$1,0)),"")</f>
        <v/>
      </c>
      <c r="H1835" s="6" t="str">
        <f aca="false">IFERROR(INDEX('Semrush Data'!$A$1:$Z$20000,MATCH(A1835,'Semrush Data'!$A$1:$A$20000,0),MATCH("Keyword Difficulty*",'Semrush Data'!$A$1:$Z$1,0)),"")</f>
        <v/>
      </c>
      <c r="I1835" s="29" t="str">
        <f aca="false">IFERROR(INDEX('Semrush Data'!$A$1:$Z$20000,MATCH(A1835,'Semrush Data'!$A$1:$A$20000,0),MATCH("CPC*",'Semrush Data'!$A$1:$Z$1,0)),"")</f>
        <v/>
      </c>
      <c r="J1835" s="6" t="str">
        <f aca="false">IFERROR(INDEX('Semrush Data'!$A$1:$Z$20000,MATCH(A1835,'Semrush Data'!$A$1:$A$20000,0),MATCH("Intent",'Semrush Data'!$A$1:$Z$1,0)),"")</f>
        <v/>
      </c>
    </row>
    <row r="1836" customFormat="false" ht="15" hidden="false" customHeight="true" outlineLevel="0" collapsed="false">
      <c r="A1836" s="6" t="s">
        <v>3999</v>
      </c>
      <c r="B1836" s="6" t="s">
        <v>1415</v>
      </c>
      <c r="C1836" s="6" t="n">
        <v>3</v>
      </c>
      <c r="D1836" s="6" t="n">
        <v>19</v>
      </c>
      <c r="E1836" s="6" t="n">
        <v>1</v>
      </c>
      <c r="F1836" s="6" t="s">
        <v>3995</v>
      </c>
      <c r="G1836" s="28" t="str">
        <f aca="false">IFERROR(INDEX('Semrush Data'!$A$1:$Z$20000,MATCH(A1836,'Semrush Data'!$A$1:$A$20000,0),MATCH("Volume",'Semrush Data'!$A$1:$Z$1,0)),"")</f>
        <v/>
      </c>
      <c r="H1836" s="6" t="str">
        <f aca="false">IFERROR(INDEX('Semrush Data'!$A$1:$Z$20000,MATCH(A1836,'Semrush Data'!$A$1:$A$20000,0),MATCH("Keyword Difficulty*",'Semrush Data'!$A$1:$Z$1,0)),"")</f>
        <v/>
      </c>
      <c r="I1836" s="29" t="str">
        <f aca="false">IFERROR(INDEX('Semrush Data'!$A$1:$Z$20000,MATCH(A1836,'Semrush Data'!$A$1:$A$20000,0),MATCH("CPC*",'Semrush Data'!$A$1:$Z$1,0)),"")</f>
        <v/>
      </c>
      <c r="J1836" s="6" t="str">
        <f aca="false">IFERROR(INDEX('Semrush Data'!$A$1:$Z$20000,MATCH(A1836,'Semrush Data'!$A$1:$A$20000,0),MATCH("Intent",'Semrush Data'!$A$1:$Z$1,0)),"")</f>
        <v/>
      </c>
    </row>
    <row r="1837" customFormat="false" ht="15" hidden="false" customHeight="true" outlineLevel="0" collapsed="false">
      <c r="A1837" s="6" t="s">
        <v>3967</v>
      </c>
      <c r="B1837" s="6" t="s">
        <v>1415</v>
      </c>
      <c r="C1837" s="6" t="n">
        <v>3</v>
      </c>
      <c r="D1837" s="6" t="n">
        <v>19</v>
      </c>
      <c r="E1837" s="6" t="n">
        <v>1</v>
      </c>
      <c r="F1837" s="6" t="s">
        <v>3963</v>
      </c>
      <c r="G1837" s="28" t="str">
        <f aca="false">IFERROR(INDEX('Semrush Data'!$A$1:$Z$20000,MATCH(A1837,'Semrush Data'!$A$1:$A$20000,0),MATCH("Volume",'Semrush Data'!$A$1:$Z$1,0)),"")</f>
        <v/>
      </c>
      <c r="H1837" s="6" t="str">
        <f aca="false">IFERROR(INDEX('Semrush Data'!$A$1:$Z$20000,MATCH(A1837,'Semrush Data'!$A$1:$A$20000,0),MATCH("Keyword Difficulty*",'Semrush Data'!$A$1:$Z$1,0)),"")</f>
        <v/>
      </c>
      <c r="I1837" s="29" t="str">
        <f aca="false">IFERROR(INDEX('Semrush Data'!$A$1:$Z$20000,MATCH(A1837,'Semrush Data'!$A$1:$A$20000,0),MATCH("CPC*",'Semrush Data'!$A$1:$Z$1,0)),"")</f>
        <v/>
      </c>
      <c r="J1837" s="6" t="str">
        <f aca="false">IFERROR(INDEX('Semrush Data'!$A$1:$Z$20000,MATCH(A1837,'Semrush Data'!$A$1:$A$20000,0),MATCH("Intent",'Semrush Data'!$A$1:$Z$1,0)),"")</f>
        <v/>
      </c>
    </row>
    <row r="1838" customFormat="false" ht="15" hidden="false" customHeight="true" outlineLevel="0" collapsed="false">
      <c r="A1838" s="6" t="s">
        <v>4010</v>
      </c>
      <c r="B1838" s="6" t="s">
        <v>1415</v>
      </c>
      <c r="C1838" s="6" t="n">
        <v>3</v>
      </c>
      <c r="D1838" s="6" t="n">
        <v>19</v>
      </c>
      <c r="E1838" s="6" t="n">
        <v>1</v>
      </c>
      <c r="F1838" s="6" t="s">
        <v>4005</v>
      </c>
      <c r="G1838" s="28" t="str">
        <f aca="false">IFERROR(INDEX('Semrush Data'!$A$1:$Z$20000,MATCH(A1838,'Semrush Data'!$A$1:$A$20000,0),MATCH("Volume",'Semrush Data'!$A$1:$Z$1,0)),"")</f>
        <v/>
      </c>
      <c r="H1838" s="6" t="str">
        <f aca="false">IFERROR(INDEX('Semrush Data'!$A$1:$Z$20000,MATCH(A1838,'Semrush Data'!$A$1:$A$20000,0),MATCH("Keyword Difficulty*",'Semrush Data'!$A$1:$Z$1,0)),"")</f>
        <v/>
      </c>
      <c r="I1838" s="29" t="str">
        <f aca="false">IFERROR(INDEX('Semrush Data'!$A$1:$Z$20000,MATCH(A1838,'Semrush Data'!$A$1:$A$20000,0),MATCH("CPC*",'Semrush Data'!$A$1:$Z$1,0)),"")</f>
        <v/>
      </c>
      <c r="J1838" s="6" t="str">
        <f aca="false">IFERROR(INDEX('Semrush Data'!$A$1:$Z$20000,MATCH(A1838,'Semrush Data'!$A$1:$A$20000,0),MATCH("Intent",'Semrush Data'!$A$1:$Z$1,0)),"")</f>
        <v/>
      </c>
    </row>
    <row r="1839" customFormat="false" ht="15" hidden="false" customHeight="true" outlineLevel="0" collapsed="false">
      <c r="A1839" s="6" t="s">
        <v>4023</v>
      </c>
      <c r="B1839" s="6" t="s">
        <v>1415</v>
      </c>
      <c r="C1839" s="6" t="n">
        <v>3</v>
      </c>
      <c r="D1839" s="6" t="n">
        <v>19</v>
      </c>
      <c r="E1839" s="6" t="n">
        <v>1</v>
      </c>
      <c r="F1839" s="6" t="s">
        <v>4018</v>
      </c>
      <c r="G1839" s="28" t="str">
        <f aca="false">IFERROR(INDEX('Semrush Data'!$A$1:$Z$20000,MATCH(A1839,'Semrush Data'!$A$1:$A$20000,0),MATCH("Volume",'Semrush Data'!$A$1:$Z$1,0)),"")</f>
        <v/>
      </c>
      <c r="H1839" s="6" t="str">
        <f aca="false">IFERROR(INDEX('Semrush Data'!$A$1:$Z$20000,MATCH(A1839,'Semrush Data'!$A$1:$A$20000,0),MATCH("Keyword Difficulty*",'Semrush Data'!$A$1:$Z$1,0)),"")</f>
        <v/>
      </c>
      <c r="I1839" s="29" t="str">
        <f aca="false">IFERROR(INDEX('Semrush Data'!$A$1:$Z$20000,MATCH(A1839,'Semrush Data'!$A$1:$A$20000,0),MATCH("CPC*",'Semrush Data'!$A$1:$Z$1,0)),"")</f>
        <v/>
      </c>
      <c r="J1839" s="6" t="str">
        <f aca="false">IFERROR(INDEX('Semrush Data'!$A$1:$Z$20000,MATCH(A1839,'Semrush Data'!$A$1:$A$20000,0),MATCH("Intent",'Semrush Data'!$A$1:$Z$1,0)),"")</f>
        <v/>
      </c>
    </row>
    <row r="1840" customFormat="false" ht="15" hidden="false" customHeight="true" outlineLevel="0" collapsed="false">
      <c r="A1840" s="6" t="s">
        <v>4033</v>
      </c>
      <c r="B1840" s="6" t="s">
        <v>1415</v>
      </c>
      <c r="C1840" s="6" t="n">
        <v>3</v>
      </c>
      <c r="D1840" s="6" t="n">
        <v>19</v>
      </c>
      <c r="E1840" s="6" t="n">
        <v>1</v>
      </c>
      <c r="F1840" s="6" t="s">
        <v>129</v>
      </c>
      <c r="G1840" s="28" t="str">
        <f aca="false">IFERROR(INDEX('Semrush Data'!$A$1:$Z$20000,MATCH(A1840,'Semrush Data'!$A$1:$A$20000,0),MATCH("Volume",'Semrush Data'!$A$1:$Z$1,0)),"")</f>
        <v/>
      </c>
      <c r="H1840" s="6" t="str">
        <f aca="false">IFERROR(INDEX('Semrush Data'!$A$1:$Z$20000,MATCH(A1840,'Semrush Data'!$A$1:$A$20000,0),MATCH("Keyword Difficulty*",'Semrush Data'!$A$1:$Z$1,0)),"")</f>
        <v/>
      </c>
      <c r="I1840" s="29" t="str">
        <f aca="false">IFERROR(INDEX('Semrush Data'!$A$1:$Z$20000,MATCH(A1840,'Semrush Data'!$A$1:$A$20000,0),MATCH("CPC*",'Semrush Data'!$A$1:$Z$1,0)),"")</f>
        <v/>
      </c>
      <c r="J1840" s="6" t="str">
        <f aca="false">IFERROR(INDEX('Semrush Data'!$A$1:$Z$20000,MATCH(A1840,'Semrush Data'!$A$1:$A$20000,0),MATCH("Intent",'Semrush Data'!$A$1:$Z$1,0)),"")</f>
        <v/>
      </c>
    </row>
    <row r="1841" customFormat="false" ht="15" hidden="false" customHeight="true" outlineLevel="0" collapsed="false">
      <c r="A1841" s="6" t="s">
        <v>4045</v>
      </c>
      <c r="B1841" s="6" t="s">
        <v>1415</v>
      </c>
      <c r="C1841" s="6" t="n">
        <v>3</v>
      </c>
      <c r="D1841" s="6" t="n">
        <v>19</v>
      </c>
      <c r="E1841" s="6" t="n">
        <v>1</v>
      </c>
      <c r="F1841" s="6" t="s">
        <v>4040</v>
      </c>
      <c r="G1841" s="28" t="str">
        <f aca="false">IFERROR(INDEX('Semrush Data'!$A$1:$Z$20000,MATCH(A1841,'Semrush Data'!$A$1:$A$20000,0),MATCH("Volume",'Semrush Data'!$A$1:$Z$1,0)),"")</f>
        <v/>
      </c>
      <c r="H1841" s="6" t="str">
        <f aca="false">IFERROR(INDEX('Semrush Data'!$A$1:$Z$20000,MATCH(A1841,'Semrush Data'!$A$1:$A$20000,0),MATCH("Keyword Difficulty*",'Semrush Data'!$A$1:$Z$1,0)),"")</f>
        <v/>
      </c>
      <c r="I1841" s="29" t="str">
        <f aca="false">IFERROR(INDEX('Semrush Data'!$A$1:$Z$20000,MATCH(A1841,'Semrush Data'!$A$1:$A$20000,0),MATCH("CPC*",'Semrush Data'!$A$1:$Z$1,0)),"")</f>
        <v/>
      </c>
      <c r="J1841" s="6" t="str">
        <f aca="false">IFERROR(INDEX('Semrush Data'!$A$1:$Z$20000,MATCH(A1841,'Semrush Data'!$A$1:$A$20000,0),MATCH("Intent",'Semrush Data'!$A$1:$Z$1,0)),"")</f>
        <v/>
      </c>
    </row>
    <row r="1842" customFormat="false" ht="15" hidden="false" customHeight="true" outlineLevel="0" collapsed="false">
      <c r="A1842" s="6" t="s">
        <v>4058</v>
      </c>
      <c r="B1842" s="6" t="s">
        <v>1415</v>
      </c>
      <c r="C1842" s="6" t="n">
        <v>3</v>
      </c>
      <c r="D1842" s="6" t="n">
        <v>19</v>
      </c>
      <c r="E1842" s="6" t="n">
        <v>1</v>
      </c>
      <c r="F1842" s="6" t="s">
        <v>4053</v>
      </c>
      <c r="G1842" s="28" t="str">
        <f aca="false">IFERROR(INDEX('Semrush Data'!$A$1:$Z$20000,MATCH(A1842,'Semrush Data'!$A$1:$A$20000,0),MATCH("Volume",'Semrush Data'!$A$1:$Z$1,0)),"")</f>
        <v/>
      </c>
      <c r="H1842" s="6" t="str">
        <f aca="false">IFERROR(INDEX('Semrush Data'!$A$1:$Z$20000,MATCH(A1842,'Semrush Data'!$A$1:$A$20000,0),MATCH("Keyword Difficulty*",'Semrush Data'!$A$1:$Z$1,0)),"")</f>
        <v/>
      </c>
      <c r="I1842" s="29" t="str">
        <f aca="false">IFERROR(INDEX('Semrush Data'!$A$1:$Z$20000,MATCH(A1842,'Semrush Data'!$A$1:$A$20000,0),MATCH("CPC*",'Semrush Data'!$A$1:$Z$1,0)),"")</f>
        <v/>
      </c>
      <c r="J1842" s="6" t="str">
        <f aca="false">IFERROR(INDEX('Semrush Data'!$A$1:$Z$20000,MATCH(A1842,'Semrush Data'!$A$1:$A$20000,0),MATCH("Intent",'Semrush Data'!$A$1:$Z$1,0)),"")</f>
        <v/>
      </c>
    </row>
    <row r="1843" customFormat="false" ht="15" hidden="false" customHeight="true" outlineLevel="0" collapsed="false">
      <c r="A1843" s="6" t="s">
        <v>4071</v>
      </c>
      <c r="B1843" s="6" t="s">
        <v>1415</v>
      </c>
      <c r="C1843" s="6" t="n">
        <v>3</v>
      </c>
      <c r="D1843" s="6" t="n">
        <v>19</v>
      </c>
      <c r="E1843" s="6" t="n">
        <v>1</v>
      </c>
      <c r="F1843" s="6" t="s">
        <v>4066</v>
      </c>
      <c r="G1843" s="28" t="str">
        <f aca="false">IFERROR(INDEX('Semrush Data'!$A$1:$Z$20000,MATCH(A1843,'Semrush Data'!$A$1:$A$20000,0),MATCH("Volume",'Semrush Data'!$A$1:$Z$1,0)),"")</f>
        <v/>
      </c>
      <c r="H1843" s="6" t="str">
        <f aca="false">IFERROR(INDEX('Semrush Data'!$A$1:$Z$20000,MATCH(A1843,'Semrush Data'!$A$1:$A$20000,0),MATCH("Keyword Difficulty*",'Semrush Data'!$A$1:$Z$1,0)),"")</f>
        <v/>
      </c>
      <c r="I1843" s="29" t="str">
        <f aca="false">IFERROR(INDEX('Semrush Data'!$A$1:$Z$20000,MATCH(A1843,'Semrush Data'!$A$1:$A$20000,0),MATCH("CPC*",'Semrush Data'!$A$1:$Z$1,0)),"")</f>
        <v/>
      </c>
      <c r="J1843" s="6" t="str">
        <f aca="false">IFERROR(INDEX('Semrush Data'!$A$1:$Z$20000,MATCH(A1843,'Semrush Data'!$A$1:$A$20000,0),MATCH("Intent",'Semrush Data'!$A$1:$Z$1,0)),"")</f>
        <v/>
      </c>
    </row>
    <row r="1844" customFormat="false" ht="15" hidden="false" customHeight="true" outlineLevel="0" collapsed="false">
      <c r="A1844" s="6" t="s">
        <v>4083</v>
      </c>
      <c r="B1844" s="6" t="s">
        <v>1415</v>
      </c>
      <c r="C1844" s="6" t="n">
        <v>3</v>
      </c>
      <c r="D1844" s="6" t="n">
        <v>19</v>
      </c>
      <c r="E1844" s="6" t="n">
        <v>1</v>
      </c>
      <c r="F1844" s="6" t="s">
        <v>4079</v>
      </c>
      <c r="G1844" s="28" t="str">
        <f aca="false">IFERROR(INDEX('Semrush Data'!$A$1:$Z$20000,MATCH(A1844,'Semrush Data'!$A$1:$A$20000,0),MATCH("Volume",'Semrush Data'!$A$1:$Z$1,0)),"")</f>
        <v/>
      </c>
      <c r="H1844" s="6" t="str">
        <f aca="false">IFERROR(INDEX('Semrush Data'!$A$1:$Z$20000,MATCH(A1844,'Semrush Data'!$A$1:$A$20000,0),MATCH("Keyword Difficulty*",'Semrush Data'!$A$1:$Z$1,0)),"")</f>
        <v/>
      </c>
      <c r="I1844" s="29" t="str">
        <f aca="false">IFERROR(INDEX('Semrush Data'!$A$1:$Z$20000,MATCH(A1844,'Semrush Data'!$A$1:$A$20000,0),MATCH("CPC*",'Semrush Data'!$A$1:$Z$1,0)),"")</f>
        <v/>
      </c>
      <c r="J1844" s="6" t="str">
        <f aca="false">IFERROR(INDEX('Semrush Data'!$A$1:$Z$20000,MATCH(A1844,'Semrush Data'!$A$1:$A$20000,0),MATCH("Intent",'Semrush Data'!$A$1:$Z$1,0)),"")</f>
        <v/>
      </c>
    </row>
    <row r="1845" customFormat="false" ht="15" hidden="false" customHeight="true" outlineLevel="0" collapsed="false">
      <c r="A1845" s="6" t="s">
        <v>4095</v>
      </c>
      <c r="B1845" s="6" t="s">
        <v>1415</v>
      </c>
      <c r="C1845" s="6" t="n">
        <v>3</v>
      </c>
      <c r="D1845" s="6" t="n">
        <v>19</v>
      </c>
      <c r="E1845" s="6" t="n">
        <v>1</v>
      </c>
      <c r="F1845" s="6" t="s">
        <v>4090</v>
      </c>
      <c r="G1845" s="28" t="str">
        <f aca="false">IFERROR(INDEX('Semrush Data'!$A$1:$Z$20000,MATCH(A1845,'Semrush Data'!$A$1:$A$20000,0),MATCH("Volume",'Semrush Data'!$A$1:$Z$1,0)),"")</f>
        <v/>
      </c>
      <c r="H1845" s="6" t="str">
        <f aca="false">IFERROR(INDEX('Semrush Data'!$A$1:$Z$20000,MATCH(A1845,'Semrush Data'!$A$1:$A$20000,0),MATCH("Keyword Difficulty*",'Semrush Data'!$A$1:$Z$1,0)),"")</f>
        <v/>
      </c>
      <c r="I1845" s="29" t="str">
        <f aca="false">IFERROR(INDEX('Semrush Data'!$A$1:$Z$20000,MATCH(A1845,'Semrush Data'!$A$1:$A$20000,0),MATCH("CPC*",'Semrush Data'!$A$1:$Z$1,0)),"")</f>
        <v/>
      </c>
      <c r="J1845" s="6" t="str">
        <f aca="false">IFERROR(INDEX('Semrush Data'!$A$1:$Z$20000,MATCH(A1845,'Semrush Data'!$A$1:$A$20000,0),MATCH("Intent",'Semrush Data'!$A$1:$Z$1,0)),"")</f>
        <v/>
      </c>
    </row>
    <row r="1846" customFormat="false" ht="15" hidden="false" customHeight="true" outlineLevel="0" collapsed="false">
      <c r="A1846" s="6" t="s">
        <v>4107</v>
      </c>
      <c r="B1846" s="6" t="s">
        <v>1415</v>
      </c>
      <c r="C1846" s="6" t="n">
        <v>3</v>
      </c>
      <c r="D1846" s="6" t="n">
        <v>19</v>
      </c>
      <c r="E1846" s="6" t="n">
        <v>1</v>
      </c>
      <c r="F1846" s="6" t="s">
        <v>4103</v>
      </c>
      <c r="G1846" s="28" t="str">
        <f aca="false">IFERROR(INDEX('Semrush Data'!$A$1:$Z$20000,MATCH(A1846,'Semrush Data'!$A$1:$A$20000,0),MATCH("Volume",'Semrush Data'!$A$1:$Z$1,0)),"")</f>
        <v/>
      </c>
      <c r="H1846" s="6" t="str">
        <f aca="false">IFERROR(INDEX('Semrush Data'!$A$1:$Z$20000,MATCH(A1846,'Semrush Data'!$A$1:$A$20000,0),MATCH("Keyword Difficulty*",'Semrush Data'!$A$1:$Z$1,0)),"")</f>
        <v/>
      </c>
      <c r="I1846" s="29" t="str">
        <f aca="false">IFERROR(INDEX('Semrush Data'!$A$1:$Z$20000,MATCH(A1846,'Semrush Data'!$A$1:$A$20000,0),MATCH("CPC*",'Semrush Data'!$A$1:$Z$1,0)),"")</f>
        <v/>
      </c>
      <c r="J1846" s="6" t="str">
        <f aca="false">IFERROR(INDEX('Semrush Data'!$A$1:$Z$20000,MATCH(A1846,'Semrush Data'!$A$1:$A$20000,0),MATCH("Intent",'Semrush Data'!$A$1:$Z$1,0)),"")</f>
        <v/>
      </c>
    </row>
    <row r="1847" customFormat="false" ht="15" hidden="false" customHeight="true" outlineLevel="0" collapsed="false">
      <c r="A1847" s="6" t="s">
        <v>4118</v>
      </c>
      <c r="B1847" s="6" t="s">
        <v>1415</v>
      </c>
      <c r="C1847" s="6" t="n">
        <v>3</v>
      </c>
      <c r="D1847" s="6" t="n">
        <v>19</v>
      </c>
      <c r="E1847" s="6" t="n">
        <v>1</v>
      </c>
      <c r="F1847" s="6" t="s">
        <v>4114</v>
      </c>
      <c r="G1847" s="28" t="str">
        <f aca="false">IFERROR(INDEX('Semrush Data'!$A$1:$Z$20000,MATCH(A1847,'Semrush Data'!$A$1:$A$20000,0),MATCH("Volume",'Semrush Data'!$A$1:$Z$1,0)),"")</f>
        <v/>
      </c>
      <c r="H1847" s="6" t="str">
        <f aca="false">IFERROR(INDEX('Semrush Data'!$A$1:$Z$20000,MATCH(A1847,'Semrush Data'!$A$1:$A$20000,0),MATCH("Keyword Difficulty*",'Semrush Data'!$A$1:$Z$1,0)),"")</f>
        <v/>
      </c>
      <c r="I1847" s="29" t="str">
        <f aca="false">IFERROR(INDEX('Semrush Data'!$A$1:$Z$20000,MATCH(A1847,'Semrush Data'!$A$1:$A$20000,0),MATCH("CPC*",'Semrush Data'!$A$1:$Z$1,0)),"")</f>
        <v/>
      </c>
      <c r="J1847" s="6" t="str">
        <f aca="false">IFERROR(INDEX('Semrush Data'!$A$1:$Z$20000,MATCH(A1847,'Semrush Data'!$A$1:$A$20000,0),MATCH("Intent",'Semrush Data'!$A$1:$Z$1,0)),"")</f>
        <v/>
      </c>
    </row>
    <row r="1848" customFormat="false" ht="15" hidden="false" customHeight="true" outlineLevel="0" collapsed="false">
      <c r="A1848" s="6" t="s">
        <v>4129</v>
      </c>
      <c r="B1848" s="6" t="s">
        <v>1415</v>
      </c>
      <c r="C1848" s="6" t="n">
        <v>3</v>
      </c>
      <c r="D1848" s="6" t="n">
        <v>19</v>
      </c>
      <c r="E1848" s="6" t="n">
        <v>1</v>
      </c>
      <c r="F1848" s="6" t="s">
        <v>4125</v>
      </c>
      <c r="G1848" s="28" t="str">
        <f aca="false">IFERROR(INDEX('Semrush Data'!$A$1:$Z$20000,MATCH(A1848,'Semrush Data'!$A$1:$A$20000,0),MATCH("Volume",'Semrush Data'!$A$1:$Z$1,0)),"")</f>
        <v/>
      </c>
      <c r="H1848" s="6" t="str">
        <f aca="false">IFERROR(INDEX('Semrush Data'!$A$1:$Z$20000,MATCH(A1848,'Semrush Data'!$A$1:$A$20000,0),MATCH("Keyword Difficulty*",'Semrush Data'!$A$1:$Z$1,0)),"")</f>
        <v/>
      </c>
      <c r="I1848" s="29" t="str">
        <f aca="false">IFERROR(INDEX('Semrush Data'!$A$1:$Z$20000,MATCH(A1848,'Semrush Data'!$A$1:$A$20000,0),MATCH("CPC*",'Semrush Data'!$A$1:$Z$1,0)),"")</f>
        <v/>
      </c>
      <c r="J1848" s="6" t="str">
        <f aca="false">IFERROR(INDEX('Semrush Data'!$A$1:$Z$20000,MATCH(A1848,'Semrush Data'!$A$1:$A$20000,0),MATCH("Intent",'Semrush Data'!$A$1:$Z$1,0)),"")</f>
        <v/>
      </c>
    </row>
    <row r="1849" customFormat="false" ht="15" hidden="false" customHeight="true" outlineLevel="0" collapsed="false">
      <c r="A1849" s="6" t="s">
        <v>4141</v>
      </c>
      <c r="B1849" s="6" t="s">
        <v>1415</v>
      </c>
      <c r="C1849" s="6" t="n">
        <v>3</v>
      </c>
      <c r="D1849" s="6" t="n">
        <v>19</v>
      </c>
      <c r="E1849" s="6" t="n">
        <v>1</v>
      </c>
      <c r="F1849" s="6" t="s">
        <v>4137</v>
      </c>
      <c r="G1849" s="28" t="str">
        <f aca="false">IFERROR(INDEX('Semrush Data'!$A$1:$Z$20000,MATCH(A1849,'Semrush Data'!$A$1:$A$20000,0),MATCH("Volume",'Semrush Data'!$A$1:$Z$1,0)),"")</f>
        <v/>
      </c>
      <c r="H1849" s="6" t="str">
        <f aca="false">IFERROR(INDEX('Semrush Data'!$A$1:$Z$20000,MATCH(A1849,'Semrush Data'!$A$1:$A$20000,0),MATCH("Keyword Difficulty*",'Semrush Data'!$A$1:$Z$1,0)),"")</f>
        <v/>
      </c>
      <c r="I1849" s="29" t="str">
        <f aca="false">IFERROR(INDEX('Semrush Data'!$A$1:$Z$20000,MATCH(A1849,'Semrush Data'!$A$1:$A$20000,0),MATCH("CPC*",'Semrush Data'!$A$1:$Z$1,0)),"")</f>
        <v/>
      </c>
      <c r="J1849" s="6" t="str">
        <f aca="false">IFERROR(INDEX('Semrush Data'!$A$1:$Z$20000,MATCH(A1849,'Semrush Data'!$A$1:$A$20000,0),MATCH("Intent",'Semrush Data'!$A$1:$Z$1,0)),"")</f>
        <v/>
      </c>
    </row>
    <row r="1850" customFormat="false" ht="15" hidden="false" customHeight="true" outlineLevel="0" collapsed="false">
      <c r="A1850" s="6" t="s">
        <v>4153</v>
      </c>
      <c r="B1850" s="6" t="s">
        <v>1415</v>
      </c>
      <c r="C1850" s="6" t="n">
        <v>3</v>
      </c>
      <c r="D1850" s="6" t="n">
        <v>19</v>
      </c>
      <c r="E1850" s="6" t="n">
        <v>1</v>
      </c>
      <c r="F1850" s="6" t="s">
        <v>4149</v>
      </c>
      <c r="G1850" s="28" t="str">
        <f aca="false">IFERROR(INDEX('Semrush Data'!$A$1:$Z$20000,MATCH(A1850,'Semrush Data'!$A$1:$A$20000,0),MATCH("Volume",'Semrush Data'!$A$1:$Z$1,0)),"")</f>
        <v/>
      </c>
      <c r="H1850" s="6" t="str">
        <f aca="false">IFERROR(INDEX('Semrush Data'!$A$1:$Z$20000,MATCH(A1850,'Semrush Data'!$A$1:$A$20000,0),MATCH("Keyword Difficulty*",'Semrush Data'!$A$1:$Z$1,0)),"")</f>
        <v/>
      </c>
      <c r="I1850" s="29" t="str">
        <f aca="false">IFERROR(INDEX('Semrush Data'!$A$1:$Z$20000,MATCH(A1850,'Semrush Data'!$A$1:$A$20000,0),MATCH("CPC*",'Semrush Data'!$A$1:$Z$1,0)),"")</f>
        <v/>
      </c>
      <c r="J1850" s="6" t="str">
        <f aca="false">IFERROR(INDEX('Semrush Data'!$A$1:$Z$20000,MATCH(A1850,'Semrush Data'!$A$1:$A$20000,0),MATCH("Intent",'Semrush Data'!$A$1:$Z$1,0)),"")</f>
        <v/>
      </c>
    </row>
    <row r="1851" customFormat="false" ht="15" hidden="false" customHeight="true" outlineLevel="0" collapsed="false">
      <c r="A1851" s="6" t="s">
        <v>4164</v>
      </c>
      <c r="B1851" s="6" t="s">
        <v>1415</v>
      </c>
      <c r="C1851" s="6" t="n">
        <v>3</v>
      </c>
      <c r="D1851" s="6" t="n">
        <v>19</v>
      </c>
      <c r="E1851" s="6" t="n">
        <v>1</v>
      </c>
      <c r="F1851" s="6" t="s">
        <v>4160</v>
      </c>
      <c r="G1851" s="28" t="str">
        <f aca="false">IFERROR(INDEX('Semrush Data'!$A$1:$Z$20000,MATCH(A1851,'Semrush Data'!$A$1:$A$20000,0),MATCH("Volume",'Semrush Data'!$A$1:$Z$1,0)),"")</f>
        <v/>
      </c>
      <c r="H1851" s="6" t="str">
        <f aca="false">IFERROR(INDEX('Semrush Data'!$A$1:$Z$20000,MATCH(A1851,'Semrush Data'!$A$1:$A$20000,0),MATCH("Keyword Difficulty*",'Semrush Data'!$A$1:$Z$1,0)),"")</f>
        <v/>
      </c>
      <c r="I1851" s="29" t="str">
        <f aca="false">IFERROR(INDEX('Semrush Data'!$A$1:$Z$20000,MATCH(A1851,'Semrush Data'!$A$1:$A$20000,0),MATCH("CPC*",'Semrush Data'!$A$1:$Z$1,0)),"")</f>
        <v/>
      </c>
      <c r="J1851" s="6" t="str">
        <f aca="false">IFERROR(INDEX('Semrush Data'!$A$1:$Z$20000,MATCH(A1851,'Semrush Data'!$A$1:$A$20000,0),MATCH("Intent",'Semrush Data'!$A$1:$Z$1,0)),"")</f>
        <v/>
      </c>
    </row>
    <row r="1852" customFormat="false" ht="15" hidden="false" customHeight="true" outlineLevel="0" collapsed="false">
      <c r="A1852" s="6" t="s">
        <v>4174</v>
      </c>
      <c r="B1852" s="6" t="s">
        <v>1415</v>
      </c>
      <c r="C1852" s="6" t="n">
        <v>3</v>
      </c>
      <c r="D1852" s="6" t="n">
        <v>19</v>
      </c>
      <c r="E1852" s="6" t="n">
        <v>1</v>
      </c>
      <c r="F1852" s="6" t="s">
        <v>4170</v>
      </c>
      <c r="G1852" s="28" t="str">
        <f aca="false">IFERROR(INDEX('Semrush Data'!$A$1:$Z$20000,MATCH(A1852,'Semrush Data'!$A$1:$A$20000,0),MATCH("Volume",'Semrush Data'!$A$1:$Z$1,0)),"")</f>
        <v/>
      </c>
      <c r="H1852" s="6" t="str">
        <f aca="false">IFERROR(INDEX('Semrush Data'!$A$1:$Z$20000,MATCH(A1852,'Semrush Data'!$A$1:$A$20000,0),MATCH("Keyword Difficulty*",'Semrush Data'!$A$1:$Z$1,0)),"")</f>
        <v/>
      </c>
      <c r="I1852" s="29" t="str">
        <f aca="false">IFERROR(INDEX('Semrush Data'!$A$1:$Z$20000,MATCH(A1852,'Semrush Data'!$A$1:$A$20000,0),MATCH("CPC*",'Semrush Data'!$A$1:$Z$1,0)),"")</f>
        <v/>
      </c>
      <c r="J1852" s="6" t="str">
        <f aca="false">IFERROR(INDEX('Semrush Data'!$A$1:$Z$20000,MATCH(A1852,'Semrush Data'!$A$1:$A$20000,0),MATCH("Intent",'Semrush Data'!$A$1:$Z$1,0)),"")</f>
        <v/>
      </c>
    </row>
    <row r="1853" customFormat="false" ht="15" hidden="false" customHeight="true" outlineLevel="0" collapsed="false">
      <c r="A1853" s="6" t="s">
        <v>4184</v>
      </c>
      <c r="B1853" s="6" t="s">
        <v>1415</v>
      </c>
      <c r="C1853" s="6" t="n">
        <v>3</v>
      </c>
      <c r="D1853" s="6" t="n">
        <v>19</v>
      </c>
      <c r="E1853" s="6" t="n">
        <v>1</v>
      </c>
      <c r="F1853" s="6" t="s">
        <v>4180</v>
      </c>
      <c r="G1853" s="28" t="str">
        <f aca="false">IFERROR(INDEX('Semrush Data'!$A$1:$Z$20000,MATCH(A1853,'Semrush Data'!$A$1:$A$20000,0),MATCH("Volume",'Semrush Data'!$A$1:$Z$1,0)),"")</f>
        <v/>
      </c>
      <c r="H1853" s="6" t="str">
        <f aca="false">IFERROR(INDEX('Semrush Data'!$A$1:$Z$20000,MATCH(A1853,'Semrush Data'!$A$1:$A$20000,0),MATCH("Keyword Difficulty*",'Semrush Data'!$A$1:$Z$1,0)),"")</f>
        <v/>
      </c>
      <c r="I1853" s="29" t="str">
        <f aca="false">IFERROR(INDEX('Semrush Data'!$A$1:$Z$20000,MATCH(A1853,'Semrush Data'!$A$1:$A$20000,0),MATCH("CPC*",'Semrush Data'!$A$1:$Z$1,0)),"")</f>
        <v/>
      </c>
      <c r="J1853" s="6" t="str">
        <f aca="false">IFERROR(INDEX('Semrush Data'!$A$1:$Z$20000,MATCH(A1853,'Semrush Data'!$A$1:$A$20000,0),MATCH("Intent",'Semrush Data'!$A$1:$Z$1,0)),"")</f>
        <v/>
      </c>
    </row>
    <row r="1854" customFormat="false" ht="15" hidden="false" customHeight="true" outlineLevel="0" collapsed="false">
      <c r="A1854" s="6" t="s">
        <v>4195</v>
      </c>
      <c r="B1854" s="6" t="s">
        <v>1415</v>
      </c>
      <c r="C1854" s="6" t="n">
        <v>3</v>
      </c>
      <c r="D1854" s="6" t="n">
        <v>19</v>
      </c>
      <c r="E1854" s="6" t="n">
        <v>1</v>
      </c>
      <c r="F1854" s="6" t="s">
        <v>4191</v>
      </c>
      <c r="G1854" s="28" t="str">
        <f aca="false">IFERROR(INDEX('Semrush Data'!$A$1:$Z$20000,MATCH(A1854,'Semrush Data'!$A$1:$A$20000,0),MATCH("Volume",'Semrush Data'!$A$1:$Z$1,0)),"")</f>
        <v/>
      </c>
      <c r="H1854" s="6" t="str">
        <f aca="false">IFERROR(INDEX('Semrush Data'!$A$1:$Z$20000,MATCH(A1854,'Semrush Data'!$A$1:$A$20000,0),MATCH("Keyword Difficulty*",'Semrush Data'!$A$1:$Z$1,0)),"")</f>
        <v/>
      </c>
      <c r="I1854" s="29" t="str">
        <f aca="false">IFERROR(INDEX('Semrush Data'!$A$1:$Z$20000,MATCH(A1854,'Semrush Data'!$A$1:$A$20000,0),MATCH("CPC*",'Semrush Data'!$A$1:$Z$1,0)),"")</f>
        <v/>
      </c>
      <c r="J1854" s="6" t="str">
        <f aca="false">IFERROR(INDEX('Semrush Data'!$A$1:$Z$20000,MATCH(A1854,'Semrush Data'!$A$1:$A$20000,0),MATCH("Intent",'Semrush Data'!$A$1:$Z$1,0)),"")</f>
        <v/>
      </c>
    </row>
    <row r="1855" customFormat="false" ht="15" hidden="false" customHeight="true" outlineLevel="0" collapsed="false">
      <c r="A1855" s="6" t="s">
        <v>4206</v>
      </c>
      <c r="B1855" s="6" t="s">
        <v>1415</v>
      </c>
      <c r="C1855" s="6" t="n">
        <v>3</v>
      </c>
      <c r="D1855" s="6" t="n">
        <v>19</v>
      </c>
      <c r="E1855" s="6" t="n">
        <v>1</v>
      </c>
      <c r="F1855" s="6" t="s">
        <v>4202</v>
      </c>
      <c r="G1855" s="28" t="str">
        <f aca="false">IFERROR(INDEX('Semrush Data'!$A$1:$Z$20000,MATCH(A1855,'Semrush Data'!$A$1:$A$20000,0),MATCH("Volume",'Semrush Data'!$A$1:$Z$1,0)),"")</f>
        <v/>
      </c>
      <c r="H1855" s="6" t="str">
        <f aca="false">IFERROR(INDEX('Semrush Data'!$A$1:$Z$20000,MATCH(A1855,'Semrush Data'!$A$1:$A$20000,0),MATCH("Keyword Difficulty*",'Semrush Data'!$A$1:$Z$1,0)),"")</f>
        <v/>
      </c>
      <c r="I1855" s="29" t="str">
        <f aca="false">IFERROR(INDEX('Semrush Data'!$A$1:$Z$20000,MATCH(A1855,'Semrush Data'!$A$1:$A$20000,0),MATCH("CPC*",'Semrush Data'!$A$1:$Z$1,0)),"")</f>
        <v/>
      </c>
      <c r="J1855" s="6" t="str">
        <f aca="false">IFERROR(INDEX('Semrush Data'!$A$1:$Z$20000,MATCH(A1855,'Semrush Data'!$A$1:$A$20000,0),MATCH("Intent",'Semrush Data'!$A$1:$Z$1,0)),"")</f>
        <v/>
      </c>
    </row>
    <row r="1856" customFormat="false" ht="15" hidden="false" customHeight="true" outlineLevel="0" collapsed="false">
      <c r="A1856" s="6" t="s">
        <v>4216</v>
      </c>
      <c r="B1856" s="6" t="s">
        <v>1415</v>
      </c>
      <c r="C1856" s="6" t="n">
        <v>3</v>
      </c>
      <c r="D1856" s="6" t="n">
        <v>19</v>
      </c>
      <c r="E1856" s="6" t="n">
        <v>1</v>
      </c>
      <c r="F1856" s="6" t="s">
        <v>4212</v>
      </c>
      <c r="G1856" s="28" t="str">
        <f aca="false">IFERROR(INDEX('Semrush Data'!$A$1:$Z$20000,MATCH(A1856,'Semrush Data'!$A$1:$A$20000,0),MATCH("Volume",'Semrush Data'!$A$1:$Z$1,0)),"")</f>
        <v/>
      </c>
      <c r="H1856" s="6" t="str">
        <f aca="false">IFERROR(INDEX('Semrush Data'!$A$1:$Z$20000,MATCH(A1856,'Semrush Data'!$A$1:$A$20000,0),MATCH("Keyword Difficulty*",'Semrush Data'!$A$1:$Z$1,0)),"")</f>
        <v/>
      </c>
      <c r="I1856" s="29" t="str">
        <f aca="false">IFERROR(INDEX('Semrush Data'!$A$1:$Z$20000,MATCH(A1856,'Semrush Data'!$A$1:$A$20000,0),MATCH("CPC*",'Semrush Data'!$A$1:$Z$1,0)),"")</f>
        <v/>
      </c>
      <c r="J1856" s="6" t="str">
        <f aca="false">IFERROR(INDEX('Semrush Data'!$A$1:$Z$20000,MATCH(A1856,'Semrush Data'!$A$1:$A$20000,0),MATCH("Intent",'Semrush Data'!$A$1:$Z$1,0)),"")</f>
        <v/>
      </c>
    </row>
    <row r="1857" customFormat="false" ht="15" hidden="false" customHeight="true" outlineLevel="0" collapsed="false">
      <c r="A1857" s="6" t="s">
        <v>4229</v>
      </c>
      <c r="B1857" s="6" t="s">
        <v>1415</v>
      </c>
      <c r="C1857" s="6" t="n">
        <v>3</v>
      </c>
      <c r="D1857" s="6" t="n">
        <v>19</v>
      </c>
      <c r="E1857" s="6" t="n">
        <v>1</v>
      </c>
      <c r="F1857" s="6" t="s">
        <v>4224</v>
      </c>
      <c r="G1857" s="28" t="str">
        <f aca="false">IFERROR(INDEX('Semrush Data'!$A$1:$Z$20000,MATCH(A1857,'Semrush Data'!$A$1:$A$20000,0),MATCH("Volume",'Semrush Data'!$A$1:$Z$1,0)),"")</f>
        <v/>
      </c>
      <c r="H1857" s="6" t="str">
        <f aca="false">IFERROR(INDEX('Semrush Data'!$A$1:$Z$20000,MATCH(A1857,'Semrush Data'!$A$1:$A$20000,0),MATCH("Keyword Difficulty*",'Semrush Data'!$A$1:$Z$1,0)),"")</f>
        <v/>
      </c>
      <c r="I1857" s="29" t="str">
        <f aca="false">IFERROR(INDEX('Semrush Data'!$A$1:$Z$20000,MATCH(A1857,'Semrush Data'!$A$1:$A$20000,0),MATCH("CPC*",'Semrush Data'!$A$1:$Z$1,0)),"")</f>
        <v/>
      </c>
      <c r="J1857" s="6" t="str">
        <f aca="false">IFERROR(INDEX('Semrush Data'!$A$1:$Z$20000,MATCH(A1857,'Semrush Data'!$A$1:$A$20000,0),MATCH("Intent",'Semrush Data'!$A$1:$Z$1,0)),"")</f>
        <v/>
      </c>
    </row>
    <row r="1858" customFormat="false" ht="15" hidden="false" customHeight="true" outlineLevel="0" collapsed="false">
      <c r="A1858" s="6" t="s">
        <v>4242</v>
      </c>
      <c r="B1858" s="6" t="s">
        <v>1415</v>
      </c>
      <c r="C1858" s="6" t="n">
        <v>3</v>
      </c>
      <c r="D1858" s="6" t="n">
        <v>19</v>
      </c>
      <c r="E1858" s="6" t="n">
        <v>1</v>
      </c>
      <c r="F1858" s="6" t="s">
        <v>4237</v>
      </c>
      <c r="G1858" s="28" t="str">
        <f aca="false">IFERROR(INDEX('Semrush Data'!$A$1:$Z$20000,MATCH(A1858,'Semrush Data'!$A$1:$A$20000,0),MATCH("Volume",'Semrush Data'!$A$1:$Z$1,0)),"")</f>
        <v/>
      </c>
      <c r="H1858" s="6" t="str">
        <f aca="false">IFERROR(INDEX('Semrush Data'!$A$1:$Z$20000,MATCH(A1858,'Semrush Data'!$A$1:$A$20000,0),MATCH("Keyword Difficulty*",'Semrush Data'!$A$1:$Z$1,0)),"")</f>
        <v/>
      </c>
      <c r="I1858" s="29" t="str">
        <f aca="false">IFERROR(INDEX('Semrush Data'!$A$1:$Z$20000,MATCH(A1858,'Semrush Data'!$A$1:$A$20000,0),MATCH("CPC*",'Semrush Data'!$A$1:$Z$1,0)),"")</f>
        <v/>
      </c>
      <c r="J1858" s="6" t="str">
        <f aca="false">IFERROR(INDEX('Semrush Data'!$A$1:$Z$20000,MATCH(A1858,'Semrush Data'!$A$1:$A$20000,0),MATCH("Intent",'Semrush Data'!$A$1:$Z$1,0)),"")</f>
        <v/>
      </c>
    </row>
    <row r="1859" customFormat="false" ht="15" hidden="false" customHeight="true" outlineLevel="0" collapsed="false">
      <c r="A1859" s="6" t="s">
        <v>4253</v>
      </c>
      <c r="B1859" s="6" t="s">
        <v>1415</v>
      </c>
      <c r="C1859" s="6" t="n">
        <v>3</v>
      </c>
      <c r="D1859" s="6" t="n">
        <v>19</v>
      </c>
      <c r="E1859" s="6" t="n">
        <v>1</v>
      </c>
      <c r="F1859" s="6" t="s">
        <v>4249</v>
      </c>
      <c r="G1859" s="28" t="str">
        <f aca="false">IFERROR(INDEX('Semrush Data'!$A$1:$Z$20000,MATCH(A1859,'Semrush Data'!$A$1:$A$20000,0),MATCH("Volume",'Semrush Data'!$A$1:$Z$1,0)),"")</f>
        <v/>
      </c>
      <c r="H1859" s="6" t="str">
        <f aca="false">IFERROR(INDEX('Semrush Data'!$A$1:$Z$20000,MATCH(A1859,'Semrush Data'!$A$1:$A$20000,0),MATCH("Keyword Difficulty*",'Semrush Data'!$A$1:$Z$1,0)),"")</f>
        <v/>
      </c>
      <c r="I1859" s="29" t="str">
        <f aca="false">IFERROR(INDEX('Semrush Data'!$A$1:$Z$20000,MATCH(A1859,'Semrush Data'!$A$1:$A$20000,0),MATCH("CPC*",'Semrush Data'!$A$1:$Z$1,0)),"")</f>
        <v/>
      </c>
      <c r="J1859" s="6" t="str">
        <f aca="false">IFERROR(INDEX('Semrush Data'!$A$1:$Z$20000,MATCH(A1859,'Semrush Data'!$A$1:$A$20000,0),MATCH("Intent",'Semrush Data'!$A$1:$Z$1,0)),"")</f>
        <v/>
      </c>
    </row>
    <row r="1860" customFormat="false" ht="15" hidden="false" customHeight="true" outlineLevel="0" collapsed="false">
      <c r="A1860" s="6" t="s">
        <v>4264</v>
      </c>
      <c r="B1860" s="6" t="s">
        <v>1415</v>
      </c>
      <c r="C1860" s="6" t="n">
        <v>3</v>
      </c>
      <c r="D1860" s="6" t="n">
        <v>19</v>
      </c>
      <c r="E1860" s="6" t="n">
        <v>1</v>
      </c>
      <c r="F1860" s="6" t="s">
        <v>4260</v>
      </c>
      <c r="G1860" s="28" t="str">
        <f aca="false">IFERROR(INDEX('Semrush Data'!$A$1:$Z$20000,MATCH(A1860,'Semrush Data'!$A$1:$A$20000,0),MATCH("Volume",'Semrush Data'!$A$1:$Z$1,0)),"")</f>
        <v/>
      </c>
      <c r="H1860" s="6" t="str">
        <f aca="false">IFERROR(INDEX('Semrush Data'!$A$1:$Z$20000,MATCH(A1860,'Semrush Data'!$A$1:$A$20000,0),MATCH("Keyword Difficulty*",'Semrush Data'!$A$1:$Z$1,0)),"")</f>
        <v/>
      </c>
      <c r="I1860" s="29" t="str">
        <f aca="false">IFERROR(INDEX('Semrush Data'!$A$1:$Z$20000,MATCH(A1860,'Semrush Data'!$A$1:$A$20000,0),MATCH("CPC*",'Semrush Data'!$A$1:$Z$1,0)),"")</f>
        <v/>
      </c>
      <c r="J1860" s="6" t="str">
        <f aca="false">IFERROR(INDEX('Semrush Data'!$A$1:$Z$20000,MATCH(A1860,'Semrush Data'!$A$1:$A$20000,0),MATCH("Intent",'Semrush Data'!$A$1:$Z$1,0)),"")</f>
        <v/>
      </c>
    </row>
    <row r="1861" customFormat="false" ht="15" hidden="false" customHeight="true" outlineLevel="0" collapsed="false">
      <c r="A1861" s="6" t="s">
        <v>4276</v>
      </c>
      <c r="B1861" s="6" t="s">
        <v>1415</v>
      </c>
      <c r="C1861" s="6" t="n">
        <v>3</v>
      </c>
      <c r="D1861" s="6" t="n">
        <v>19</v>
      </c>
      <c r="E1861" s="6" t="n">
        <v>1</v>
      </c>
      <c r="F1861" s="6" t="s">
        <v>4272</v>
      </c>
      <c r="G1861" s="28" t="str">
        <f aca="false">IFERROR(INDEX('Semrush Data'!$A$1:$Z$20000,MATCH(A1861,'Semrush Data'!$A$1:$A$20000,0),MATCH("Volume",'Semrush Data'!$A$1:$Z$1,0)),"")</f>
        <v/>
      </c>
      <c r="H1861" s="6" t="str">
        <f aca="false">IFERROR(INDEX('Semrush Data'!$A$1:$Z$20000,MATCH(A1861,'Semrush Data'!$A$1:$A$20000,0),MATCH("Keyword Difficulty*",'Semrush Data'!$A$1:$Z$1,0)),"")</f>
        <v/>
      </c>
      <c r="I1861" s="29" t="str">
        <f aca="false">IFERROR(INDEX('Semrush Data'!$A$1:$Z$20000,MATCH(A1861,'Semrush Data'!$A$1:$A$20000,0),MATCH("CPC*",'Semrush Data'!$A$1:$Z$1,0)),"")</f>
        <v/>
      </c>
      <c r="J1861" s="6" t="str">
        <f aca="false">IFERROR(INDEX('Semrush Data'!$A$1:$Z$20000,MATCH(A1861,'Semrush Data'!$A$1:$A$20000,0),MATCH("Intent",'Semrush Data'!$A$1:$Z$1,0)),"")</f>
        <v/>
      </c>
    </row>
    <row r="1862" customFormat="false" ht="15" hidden="false" customHeight="true" outlineLevel="0" collapsed="false">
      <c r="A1862" s="6" t="s">
        <v>4289</v>
      </c>
      <c r="B1862" s="6" t="s">
        <v>1415</v>
      </c>
      <c r="C1862" s="6" t="n">
        <v>3</v>
      </c>
      <c r="D1862" s="6" t="n">
        <v>19</v>
      </c>
      <c r="E1862" s="6" t="n">
        <v>1</v>
      </c>
      <c r="F1862" s="6" t="s">
        <v>4283</v>
      </c>
      <c r="G1862" s="28" t="str">
        <f aca="false">IFERROR(INDEX('Semrush Data'!$A$1:$Z$20000,MATCH(A1862,'Semrush Data'!$A$1:$A$20000,0),MATCH("Volume",'Semrush Data'!$A$1:$Z$1,0)),"")</f>
        <v/>
      </c>
      <c r="H1862" s="6" t="str">
        <f aca="false">IFERROR(INDEX('Semrush Data'!$A$1:$Z$20000,MATCH(A1862,'Semrush Data'!$A$1:$A$20000,0),MATCH("Keyword Difficulty*",'Semrush Data'!$A$1:$Z$1,0)),"")</f>
        <v/>
      </c>
      <c r="I1862" s="29" t="str">
        <f aca="false">IFERROR(INDEX('Semrush Data'!$A$1:$Z$20000,MATCH(A1862,'Semrush Data'!$A$1:$A$20000,0),MATCH("CPC*",'Semrush Data'!$A$1:$Z$1,0)),"")</f>
        <v/>
      </c>
      <c r="J1862" s="6" t="str">
        <f aca="false">IFERROR(INDEX('Semrush Data'!$A$1:$Z$20000,MATCH(A1862,'Semrush Data'!$A$1:$A$20000,0),MATCH("Intent",'Semrush Data'!$A$1:$Z$1,0)),"")</f>
        <v/>
      </c>
    </row>
    <row r="1863" customFormat="false" ht="15" hidden="false" customHeight="true" outlineLevel="0" collapsed="false">
      <c r="A1863" s="6" t="s">
        <v>4301</v>
      </c>
      <c r="B1863" s="6" t="s">
        <v>1415</v>
      </c>
      <c r="C1863" s="6" t="n">
        <v>3</v>
      </c>
      <c r="D1863" s="6" t="n">
        <v>19</v>
      </c>
      <c r="E1863" s="6" t="n">
        <v>1</v>
      </c>
      <c r="F1863" s="6" t="s">
        <v>4297</v>
      </c>
      <c r="G1863" s="28" t="str">
        <f aca="false">IFERROR(INDEX('Semrush Data'!$A$1:$Z$20000,MATCH(A1863,'Semrush Data'!$A$1:$A$20000,0),MATCH("Volume",'Semrush Data'!$A$1:$Z$1,0)),"")</f>
        <v/>
      </c>
      <c r="H1863" s="6" t="str">
        <f aca="false">IFERROR(INDEX('Semrush Data'!$A$1:$Z$20000,MATCH(A1863,'Semrush Data'!$A$1:$A$20000,0),MATCH("Keyword Difficulty*",'Semrush Data'!$A$1:$Z$1,0)),"")</f>
        <v/>
      </c>
      <c r="I1863" s="29" t="str">
        <f aca="false">IFERROR(INDEX('Semrush Data'!$A$1:$Z$20000,MATCH(A1863,'Semrush Data'!$A$1:$A$20000,0),MATCH("CPC*",'Semrush Data'!$A$1:$Z$1,0)),"")</f>
        <v/>
      </c>
      <c r="J1863" s="6" t="str">
        <f aca="false">IFERROR(INDEX('Semrush Data'!$A$1:$Z$20000,MATCH(A1863,'Semrush Data'!$A$1:$A$20000,0),MATCH("Intent",'Semrush Data'!$A$1:$Z$1,0)),"")</f>
        <v/>
      </c>
    </row>
    <row r="1864" customFormat="false" ht="15" hidden="false" customHeight="true" outlineLevel="0" collapsed="false">
      <c r="A1864" s="6" t="s">
        <v>4313</v>
      </c>
      <c r="B1864" s="6" t="s">
        <v>1415</v>
      </c>
      <c r="C1864" s="6" t="n">
        <v>3</v>
      </c>
      <c r="D1864" s="6" t="n">
        <v>19</v>
      </c>
      <c r="E1864" s="6" t="n">
        <v>1</v>
      </c>
      <c r="F1864" s="6" t="s">
        <v>4309</v>
      </c>
      <c r="G1864" s="28" t="str">
        <f aca="false">IFERROR(INDEX('Semrush Data'!$A$1:$Z$20000,MATCH(A1864,'Semrush Data'!$A$1:$A$20000,0),MATCH("Volume",'Semrush Data'!$A$1:$Z$1,0)),"")</f>
        <v/>
      </c>
      <c r="H1864" s="6" t="str">
        <f aca="false">IFERROR(INDEX('Semrush Data'!$A$1:$Z$20000,MATCH(A1864,'Semrush Data'!$A$1:$A$20000,0),MATCH("Keyword Difficulty*",'Semrush Data'!$A$1:$Z$1,0)),"")</f>
        <v/>
      </c>
      <c r="I1864" s="29" t="str">
        <f aca="false">IFERROR(INDEX('Semrush Data'!$A$1:$Z$20000,MATCH(A1864,'Semrush Data'!$A$1:$A$20000,0),MATCH("CPC*",'Semrush Data'!$A$1:$Z$1,0)),"")</f>
        <v/>
      </c>
      <c r="J1864" s="6" t="str">
        <f aca="false">IFERROR(INDEX('Semrush Data'!$A$1:$Z$20000,MATCH(A1864,'Semrush Data'!$A$1:$A$20000,0),MATCH("Intent",'Semrush Data'!$A$1:$Z$1,0)),"")</f>
        <v/>
      </c>
    </row>
    <row r="1865" customFormat="false" ht="15" hidden="false" customHeight="true" outlineLevel="0" collapsed="false">
      <c r="A1865" s="6" t="s">
        <v>4324</v>
      </c>
      <c r="B1865" s="6" t="s">
        <v>1415</v>
      </c>
      <c r="C1865" s="6" t="n">
        <v>3</v>
      </c>
      <c r="D1865" s="6" t="n">
        <v>19</v>
      </c>
      <c r="E1865" s="6" t="n">
        <v>1</v>
      </c>
      <c r="F1865" s="6" t="s">
        <v>4320</v>
      </c>
      <c r="G1865" s="28" t="str">
        <f aca="false">IFERROR(INDEX('Semrush Data'!$A$1:$Z$20000,MATCH(A1865,'Semrush Data'!$A$1:$A$20000,0),MATCH("Volume",'Semrush Data'!$A$1:$Z$1,0)),"")</f>
        <v/>
      </c>
      <c r="H1865" s="6" t="str">
        <f aca="false">IFERROR(INDEX('Semrush Data'!$A$1:$Z$20000,MATCH(A1865,'Semrush Data'!$A$1:$A$20000,0),MATCH("Keyword Difficulty*",'Semrush Data'!$A$1:$Z$1,0)),"")</f>
        <v/>
      </c>
      <c r="I1865" s="29" t="str">
        <f aca="false">IFERROR(INDEX('Semrush Data'!$A$1:$Z$20000,MATCH(A1865,'Semrush Data'!$A$1:$A$20000,0),MATCH("CPC*",'Semrush Data'!$A$1:$Z$1,0)),"")</f>
        <v/>
      </c>
      <c r="J1865" s="6" t="str">
        <f aca="false">IFERROR(INDEX('Semrush Data'!$A$1:$Z$20000,MATCH(A1865,'Semrush Data'!$A$1:$A$20000,0),MATCH("Intent",'Semrush Data'!$A$1:$Z$1,0)),"")</f>
        <v/>
      </c>
    </row>
    <row r="1866" customFormat="false" ht="15" hidden="false" customHeight="true" outlineLevel="0" collapsed="false">
      <c r="A1866" s="6" t="s">
        <v>4333</v>
      </c>
      <c r="B1866" s="6" t="s">
        <v>1415</v>
      </c>
      <c r="C1866" s="6" t="n">
        <v>3</v>
      </c>
      <c r="D1866" s="6" t="s">
        <v>6870</v>
      </c>
      <c r="E1866" s="6" t="n">
        <v>1</v>
      </c>
      <c r="F1866" s="6" t="s">
        <v>83</v>
      </c>
      <c r="G1866" s="28" t="n">
        <f aca="false">IFERROR(INDEX('Semrush Data'!$A$1:$Z$20000,MATCH(A1866,'Semrush Data'!$A$1:$A$20000,0),MATCH("Volume",'Semrush Data'!$A$1:$Z$1,0)),"")</f>
        <v>0</v>
      </c>
      <c r="H1866" s="6" t="n">
        <f aca="false">IFERROR(INDEX('Semrush Data'!$A$1:$Z$20000,MATCH(A1866,'Semrush Data'!$A$1:$A$20000,0),MATCH("Keyword Difficulty*",'Semrush Data'!$A$1:$Z$1,0)),"")</f>
        <v>24</v>
      </c>
      <c r="I1866" s="29" t="n">
        <f aca="false">IFERROR(INDEX('Semrush Data'!$A$1:$Z$20000,MATCH(A1866,'Semrush Data'!$A$1:$A$20000,0),MATCH("CPC*",'Semrush Data'!$A$1:$Z$1,0)),"")</f>
        <v>0</v>
      </c>
      <c r="J1866" s="6" t="str">
        <f aca="false">IFERROR(INDEX('Semrush Data'!$A$1:$Z$20000,MATCH(A1866,'Semrush Data'!$A$1:$A$20000,0),MATCH("Intent",'Semrush Data'!$A$1:$Z$1,0)),"")</f>
        <v>Transactional</v>
      </c>
    </row>
    <row r="1867" customFormat="false" ht="15" hidden="false" customHeight="true" outlineLevel="0" collapsed="false">
      <c r="A1867" s="6" t="s">
        <v>4345</v>
      </c>
      <c r="B1867" s="6" t="s">
        <v>1415</v>
      </c>
      <c r="C1867" s="6" t="n">
        <v>3</v>
      </c>
      <c r="D1867" s="6" t="n">
        <v>19</v>
      </c>
      <c r="E1867" s="6" t="n">
        <v>1</v>
      </c>
      <c r="F1867" s="6" t="s">
        <v>4341</v>
      </c>
      <c r="G1867" s="28" t="str">
        <f aca="false">IFERROR(INDEX('Semrush Data'!$A$1:$Z$20000,MATCH(A1867,'Semrush Data'!$A$1:$A$20000,0),MATCH("Volume",'Semrush Data'!$A$1:$Z$1,0)),"")</f>
        <v/>
      </c>
      <c r="H1867" s="6" t="str">
        <f aca="false">IFERROR(INDEX('Semrush Data'!$A$1:$Z$20000,MATCH(A1867,'Semrush Data'!$A$1:$A$20000,0),MATCH("Keyword Difficulty*",'Semrush Data'!$A$1:$Z$1,0)),"")</f>
        <v/>
      </c>
      <c r="I1867" s="29" t="str">
        <f aca="false">IFERROR(INDEX('Semrush Data'!$A$1:$Z$20000,MATCH(A1867,'Semrush Data'!$A$1:$A$20000,0),MATCH("CPC*",'Semrush Data'!$A$1:$Z$1,0)),"")</f>
        <v/>
      </c>
      <c r="J1867" s="6" t="str">
        <f aca="false">IFERROR(INDEX('Semrush Data'!$A$1:$Z$20000,MATCH(A1867,'Semrush Data'!$A$1:$A$20000,0),MATCH("Intent",'Semrush Data'!$A$1:$Z$1,0)),"")</f>
        <v/>
      </c>
    </row>
    <row r="1868" customFormat="false" ht="15" hidden="false" customHeight="true" outlineLevel="0" collapsed="false">
      <c r="A1868" s="6" t="s">
        <v>4356</v>
      </c>
      <c r="B1868" s="6" t="s">
        <v>1415</v>
      </c>
      <c r="C1868" s="6" t="n">
        <v>3</v>
      </c>
      <c r="D1868" s="6" t="n">
        <v>19</v>
      </c>
      <c r="E1868" s="6" t="n">
        <v>1</v>
      </c>
      <c r="F1868" s="6" t="s">
        <v>4352</v>
      </c>
      <c r="G1868" s="28" t="str">
        <f aca="false">IFERROR(INDEX('Semrush Data'!$A$1:$Z$20000,MATCH(A1868,'Semrush Data'!$A$1:$A$20000,0),MATCH("Volume",'Semrush Data'!$A$1:$Z$1,0)),"")</f>
        <v/>
      </c>
      <c r="H1868" s="6" t="str">
        <f aca="false">IFERROR(INDEX('Semrush Data'!$A$1:$Z$20000,MATCH(A1868,'Semrush Data'!$A$1:$A$20000,0),MATCH("Keyword Difficulty*",'Semrush Data'!$A$1:$Z$1,0)),"")</f>
        <v/>
      </c>
      <c r="I1868" s="29" t="str">
        <f aca="false">IFERROR(INDEX('Semrush Data'!$A$1:$Z$20000,MATCH(A1868,'Semrush Data'!$A$1:$A$20000,0),MATCH("CPC*",'Semrush Data'!$A$1:$Z$1,0)),"")</f>
        <v/>
      </c>
      <c r="J1868" s="6" t="str">
        <f aca="false">IFERROR(INDEX('Semrush Data'!$A$1:$Z$20000,MATCH(A1868,'Semrush Data'!$A$1:$A$20000,0),MATCH("Intent",'Semrush Data'!$A$1:$Z$1,0)),"")</f>
        <v/>
      </c>
    </row>
    <row r="1869" customFormat="false" ht="15" hidden="false" customHeight="true" outlineLevel="0" collapsed="false">
      <c r="A1869" s="6" t="s">
        <v>4367</v>
      </c>
      <c r="B1869" s="6" t="s">
        <v>1415</v>
      </c>
      <c r="C1869" s="6" t="n">
        <v>3</v>
      </c>
      <c r="D1869" s="6" t="n">
        <v>19</v>
      </c>
      <c r="E1869" s="6" t="n">
        <v>1</v>
      </c>
      <c r="F1869" s="6" t="s">
        <v>4363</v>
      </c>
      <c r="G1869" s="28" t="str">
        <f aca="false">IFERROR(INDEX('Semrush Data'!$A$1:$Z$20000,MATCH(A1869,'Semrush Data'!$A$1:$A$20000,0),MATCH("Volume",'Semrush Data'!$A$1:$Z$1,0)),"")</f>
        <v/>
      </c>
      <c r="H1869" s="6" t="str">
        <f aca="false">IFERROR(INDEX('Semrush Data'!$A$1:$Z$20000,MATCH(A1869,'Semrush Data'!$A$1:$A$20000,0),MATCH("Keyword Difficulty*",'Semrush Data'!$A$1:$Z$1,0)),"")</f>
        <v/>
      </c>
      <c r="I1869" s="29" t="str">
        <f aca="false">IFERROR(INDEX('Semrush Data'!$A$1:$Z$20000,MATCH(A1869,'Semrush Data'!$A$1:$A$20000,0),MATCH("CPC*",'Semrush Data'!$A$1:$Z$1,0)),"")</f>
        <v/>
      </c>
      <c r="J1869" s="6" t="str">
        <f aca="false">IFERROR(INDEX('Semrush Data'!$A$1:$Z$20000,MATCH(A1869,'Semrush Data'!$A$1:$A$20000,0),MATCH("Intent",'Semrush Data'!$A$1:$Z$1,0)),"")</f>
        <v/>
      </c>
    </row>
    <row r="1870" customFormat="false" ht="15" hidden="false" customHeight="true" outlineLevel="0" collapsed="false">
      <c r="A1870" s="6" t="s">
        <v>4378</v>
      </c>
      <c r="B1870" s="6" t="s">
        <v>1415</v>
      </c>
      <c r="C1870" s="6" t="n">
        <v>3</v>
      </c>
      <c r="D1870" s="6" t="n">
        <v>19</v>
      </c>
      <c r="E1870" s="6" t="n">
        <v>1</v>
      </c>
      <c r="F1870" s="6" t="s">
        <v>4374</v>
      </c>
      <c r="G1870" s="28" t="str">
        <f aca="false">IFERROR(INDEX('Semrush Data'!$A$1:$Z$20000,MATCH(A1870,'Semrush Data'!$A$1:$A$20000,0),MATCH("Volume",'Semrush Data'!$A$1:$Z$1,0)),"")</f>
        <v/>
      </c>
      <c r="H1870" s="6" t="str">
        <f aca="false">IFERROR(INDEX('Semrush Data'!$A$1:$Z$20000,MATCH(A1870,'Semrush Data'!$A$1:$A$20000,0),MATCH("Keyword Difficulty*",'Semrush Data'!$A$1:$Z$1,0)),"")</f>
        <v/>
      </c>
      <c r="I1870" s="29" t="str">
        <f aca="false">IFERROR(INDEX('Semrush Data'!$A$1:$Z$20000,MATCH(A1870,'Semrush Data'!$A$1:$A$20000,0),MATCH("CPC*",'Semrush Data'!$A$1:$Z$1,0)),"")</f>
        <v/>
      </c>
      <c r="J1870" s="6" t="str">
        <f aca="false">IFERROR(INDEX('Semrush Data'!$A$1:$Z$20000,MATCH(A1870,'Semrush Data'!$A$1:$A$20000,0),MATCH("Intent",'Semrush Data'!$A$1:$Z$1,0)),"")</f>
        <v/>
      </c>
    </row>
    <row r="1871" customFormat="false" ht="15" hidden="false" customHeight="true" outlineLevel="0" collapsed="false">
      <c r="A1871" s="6" t="s">
        <v>4389</v>
      </c>
      <c r="B1871" s="6" t="s">
        <v>1415</v>
      </c>
      <c r="C1871" s="6" t="n">
        <v>3</v>
      </c>
      <c r="D1871" s="6" t="n">
        <v>19</v>
      </c>
      <c r="E1871" s="6" t="n">
        <v>1</v>
      </c>
      <c r="F1871" s="6" t="s">
        <v>4385</v>
      </c>
      <c r="G1871" s="28" t="str">
        <f aca="false">IFERROR(INDEX('Semrush Data'!$A$1:$Z$20000,MATCH(A1871,'Semrush Data'!$A$1:$A$20000,0),MATCH("Volume",'Semrush Data'!$A$1:$Z$1,0)),"")</f>
        <v/>
      </c>
      <c r="H1871" s="6" t="str">
        <f aca="false">IFERROR(INDEX('Semrush Data'!$A$1:$Z$20000,MATCH(A1871,'Semrush Data'!$A$1:$A$20000,0),MATCH("Keyword Difficulty*",'Semrush Data'!$A$1:$Z$1,0)),"")</f>
        <v/>
      </c>
      <c r="I1871" s="29" t="str">
        <f aca="false">IFERROR(INDEX('Semrush Data'!$A$1:$Z$20000,MATCH(A1871,'Semrush Data'!$A$1:$A$20000,0),MATCH("CPC*",'Semrush Data'!$A$1:$Z$1,0)),"")</f>
        <v/>
      </c>
      <c r="J1871" s="6" t="str">
        <f aca="false">IFERROR(INDEX('Semrush Data'!$A$1:$Z$20000,MATCH(A1871,'Semrush Data'!$A$1:$A$20000,0),MATCH("Intent",'Semrush Data'!$A$1:$Z$1,0)),"")</f>
        <v/>
      </c>
    </row>
    <row r="1872" customFormat="false" ht="15" hidden="false" customHeight="true" outlineLevel="0" collapsed="false">
      <c r="A1872" s="6" t="s">
        <v>4619</v>
      </c>
      <c r="B1872" s="6" t="s">
        <v>1415</v>
      </c>
      <c r="C1872" s="6" t="n">
        <v>3</v>
      </c>
      <c r="D1872" s="6" t="n">
        <v>19</v>
      </c>
      <c r="E1872" s="6" t="n">
        <v>1</v>
      </c>
      <c r="F1872" s="6" t="s">
        <v>4614</v>
      </c>
      <c r="G1872" s="28" t="str">
        <f aca="false">IFERROR(INDEX('Semrush Data'!$A$1:$Z$20000,MATCH(A1872,'Semrush Data'!$A$1:$A$20000,0),MATCH("Volume",'Semrush Data'!$A$1:$Z$1,0)),"")</f>
        <v/>
      </c>
      <c r="H1872" s="6" t="str">
        <f aca="false">IFERROR(INDEX('Semrush Data'!$A$1:$Z$20000,MATCH(A1872,'Semrush Data'!$A$1:$A$20000,0),MATCH("Keyword Difficulty*",'Semrush Data'!$A$1:$Z$1,0)),"")</f>
        <v/>
      </c>
      <c r="I1872" s="29" t="str">
        <f aca="false">IFERROR(INDEX('Semrush Data'!$A$1:$Z$20000,MATCH(A1872,'Semrush Data'!$A$1:$A$20000,0),MATCH("CPC*",'Semrush Data'!$A$1:$Z$1,0)),"")</f>
        <v/>
      </c>
      <c r="J1872" s="6" t="str">
        <f aca="false">IFERROR(INDEX('Semrush Data'!$A$1:$Z$20000,MATCH(A1872,'Semrush Data'!$A$1:$A$20000,0),MATCH("Intent",'Semrush Data'!$A$1:$Z$1,0)),"")</f>
        <v/>
      </c>
    </row>
    <row r="1873" customFormat="false" ht="15" hidden="false" customHeight="true" outlineLevel="0" collapsed="false">
      <c r="A1873" s="6" t="s">
        <v>4401</v>
      </c>
      <c r="B1873" s="6" t="s">
        <v>1415</v>
      </c>
      <c r="C1873" s="6" t="n">
        <v>3</v>
      </c>
      <c r="D1873" s="6" t="n">
        <v>19</v>
      </c>
      <c r="E1873" s="6" t="n">
        <v>1</v>
      </c>
      <c r="F1873" s="6" t="s">
        <v>4397</v>
      </c>
      <c r="G1873" s="28" t="str">
        <f aca="false">IFERROR(INDEX('Semrush Data'!$A$1:$Z$20000,MATCH(A1873,'Semrush Data'!$A$1:$A$20000,0),MATCH("Volume",'Semrush Data'!$A$1:$Z$1,0)),"")</f>
        <v/>
      </c>
      <c r="H1873" s="6" t="str">
        <f aca="false">IFERROR(INDEX('Semrush Data'!$A$1:$Z$20000,MATCH(A1873,'Semrush Data'!$A$1:$A$20000,0),MATCH("Keyword Difficulty*",'Semrush Data'!$A$1:$Z$1,0)),"")</f>
        <v/>
      </c>
      <c r="I1873" s="29" t="str">
        <f aca="false">IFERROR(INDEX('Semrush Data'!$A$1:$Z$20000,MATCH(A1873,'Semrush Data'!$A$1:$A$20000,0),MATCH("CPC*",'Semrush Data'!$A$1:$Z$1,0)),"")</f>
        <v/>
      </c>
      <c r="J1873" s="6" t="str">
        <f aca="false">IFERROR(INDEX('Semrush Data'!$A$1:$Z$20000,MATCH(A1873,'Semrush Data'!$A$1:$A$20000,0),MATCH("Intent",'Semrush Data'!$A$1:$Z$1,0)),"")</f>
        <v/>
      </c>
    </row>
    <row r="1874" customFormat="false" ht="15" hidden="false" customHeight="true" outlineLevel="0" collapsed="false">
      <c r="A1874" s="6" t="s">
        <v>4412</v>
      </c>
      <c r="B1874" s="6" t="s">
        <v>1415</v>
      </c>
      <c r="C1874" s="6" t="n">
        <v>3</v>
      </c>
      <c r="D1874" s="6" t="n">
        <v>19</v>
      </c>
      <c r="E1874" s="6" t="n">
        <v>1</v>
      </c>
      <c r="F1874" s="6" t="s">
        <v>4408</v>
      </c>
      <c r="G1874" s="28" t="str">
        <f aca="false">IFERROR(INDEX('Semrush Data'!$A$1:$Z$20000,MATCH(A1874,'Semrush Data'!$A$1:$A$20000,0),MATCH("Volume",'Semrush Data'!$A$1:$Z$1,0)),"")</f>
        <v/>
      </c>
      <c r="H1874" s="6" t="str">
        <f aca="false">IFERROR(INDEX('Semrush Data'!$A$1:$Z$20000,MATCH(A1874,'Semrush Data'!$A$1:$A$20000,0),MATCH("Keyword Difficulty*",'Semrush Data'!$A$1:$Z$1,0)),"")</f>
        <v/>
      </c>
      <c r="I1874" s="29" t="str">
        <f aca="false">IFERROR(INDEX('Semrush Data'!$A$1:$Z$20000,MATCH(A1874,'Semrush Data'!$A$1:$A$20000,0),MATCH("CPC*",'Semrush Data'!$A$1:$Z$1,0)),"")</f>
        <v/>
      </c>
      <c r="J1874" s="6" t="str">
        <f aca="false">IFERROR(INDEX('Semrush Data'!$A$1:$Z$20000,MATCH(A1874,'Semrush Data'!$A$1:$A$20000,0),MATCH("Intent",'Semrush Data'!$A$1:$Z$1,0)),"")</f>
        <v/>
      </c>
    </row>
    <row r="1875" customFormat="false" ht="15" hidden="false" customHeight="true" outlineLevel="0" collapsed="false">
      <c r="A1875" s="6" t="s">
        <v>4423</v>
      </c>
      <c r="B1875" s="6" t="s">
        <v>1415</v>
      </c>
      <c r="C1875" s="6" t="n">
        <v>3</v>
      </c>
      <c r="D1875" s="6" t="n">
        <v>19</v>
      </c>
      <c r="E1875" s="6" t="n">
        <v>1</v>
      </c>
      <c r="F1875" s="6" t="s">
        <v>4419</v>
      </c>
      <c r="G1875" s="28" t="str">
        <f aca="false">IFERROR(INDEX('Semrush Data'!$A$1:$Z$20000,MATCH(A1875,'Semrush Data'!$A$1:$A$20000,0),MATCH("Volume",'Semrush Data'!$A$1:$Z$1,0)),"")</f>
        <v/>
      </c>
      <c r="H1875" s="6" t="str">
        <f aca="false">IFERROR(INDEX('Semrush Data'!$A$1:$Z$20000,MATCH(A1875,'Semrush Data'!$A$1:$A$20000,0),MATCH("Keyword Difficulty*",'Semrush Data'!$A$1:$Z$1,0)),"")</f>
        <v/>
      </c>
      <c r="I1875" s="29" t="str">
        <f aca="false">IFERROR(INDEX('Semrush Data'!$A$1:$Z$20000,MATCH(A1875,'Semrush Data'!$A$1:$A$20000,0),MATCH("CPC*",'Semrush Data'!$A$1:$Z$1,0)),"")</f>
        <v/>
      </c>
      <c r="J1875" s="6" t="str">
        <f aca="false">IFERROR(INDEX('Semrush Data'!$A$1:$Z$20000,MATCH(A1875,'Semrush Data'!$A$1:$A$20000,0),MATCH("Intent",'Semrush Data'!$A$1:$Z$1,0)),"")</f>
        <v/>
      </c>
    </row>
    <row r="1876" customFormat="false" ht="15" hidden="false" customHeight="true" outlineLevel="0" collapsed="false">
      <c r="A1876" s="6" t="s">
        <v>4432</v>
      </c>
      <c r="B1876" s="6" t="s">
        <v>1415</v>
      </c>
      <c r="C1876" s="6" t="n">
        <v>3</v>
      </c>
      <c r="D1876" s="6" t="n">
        <v>19</v>
      </c>
      <c r="E1876" s="6" t="n">
        <v>1</v>
      </c>
      <c r="F1876" s="6" t="s">
        <v>99</v>
      </c>
      <c r="G1876" s="28" t="str">
        <f aca="false">IFERROR(INDEX('Semrush Data'!$A$1:$Z$20000,MATCH(A1876,'Semrush Data'!$A$1:$A$20000,0),MATCH("Volume",'Semrush Data'!$A$1:$Z$1,0)),"")</f>
        <v/>
      </c>
      <c r="H1876" s="6" t="str">
        <f aca="false">IFERROR(INDEX('Semrush Data'!$A$1:$Z$20000,MATCH(A1876,'Semrush Data'!$A$1:$A$20000,0),MATCH("Keyword Difficulty*",'Semrush Data'!$A$1:$Z$1,0)),"")</f>
        <v/>
      </c>
      <c r="I1876" s="29" t="str">
        <f aca="false">IFERROR(INDEX('Semrush Data'!$A$1:$Z$20000,MATCH(A1876,'Semrush Data'!$A$1:$A$20000,0),MATCH("CPC*",'Semrush Data'!$A$1:$Z$1,0)),"")</f>
        <v/>
      </c>
      <c r="J1876" s="6" t="str">
        <f aca="false">IFERROR(INDEX('Semrush Data'!$A$1:$Z$20000,MATCH(A1876,'Semrush Data'!$A$1:$A$20000,0),MATCH("Intent",'Semrush Data'!$A$1:$Z$1,0)),"")</f>
        <v/>
      </c>
    </row>
    <row r="1877" customFormat="false" ht="15" hidden="false" customHeight="true" outlineLevel="0" collapsed="false">
      <c r="A1877" s="6" t="s">
        <v>4443</v>
      </c>
      <c r="B1877" s="6" t="s">
        <v>1415</v>
      </c>
      <c r="C1877" s="6" t="n">
        <v>3</v>
      </c>
      <c r="D1877" s="6" t="n">
        <v>19</v>
      </c>
      <c r="E1877" s="6" t="n">
        <v>1</v>
      </c>
      <c r="F1877" s="6" t="s">
        <v>4439</v>
      </c>
      <c r="G1877" s="28" t="str">
        <f aca="false">IFERROR(INDEX('Semrush Data'!$A$1:$Z$20000,MATCH(A1877,'Semrush Data'!$A$1:$A$20000,0),MATCH("Volume",'Semrush Data'!$A$1:$Z$1,0)),"")</f>
        <v/>
      </c>
      <c r="H1877" s="6" t="str">
        <f aca="false">IFERROR(INDEX('Semrush Data'!$A$1:$Z$20000,MATCH(A1877,'Semrush Data'!$A$1:$A$20000,0),MATCH("Keyword Difficulty*",'Semrush Data'!$A$1:$Z$1,0)),"")</f>
        <v/>
      </c>
      <c r="I1877" s="29" t="str">
        <f aca="false">IFERROR(INDEX('Semrush Data'!$A$1:$Z$20000,MATCH(A1877,'Semrush Data'!$A$1:$A$20000,0),MATCH("CPC*",'Semrush Data'!$A$1:$Z$1,0)),"")</f>
        <v/>
      </c>
      <c r="J1877" s="6" t="str">
        <f aca="false">IFERROR(INDEX('Semrush Data'!$A$1:$Z$20000,MATCH(A1877,'Semrush Data'!$A$1:$A$20000,0),MATCH("Intent",'Semrush Data'!$A$1:$Z$1,0)),"")</f>
        <v/>
      </c>
    </row>
    <row r="1878" customFormat="false" ht="15" hidden="false" customHeight="true" outlineLevel="0" collapsed="false">
      <c r="A1878" s="6" t="s">
        <v>4454</v>
      </c>
      <c r="B1878" s="6" t="s">
        <v>1415</v>
      </c>
      <c r="C1878" s="6" t="n">
        <v>3</v>
      </c>
      <c r="D1878" s="6" t="n">
        <v>19</v>
      </c>
      <c r="E1878" s="6" t="n">
        <v>1</v>
      </c>
      <c r="F1878" s="6" t="s">
        <v>4450</v>
      </c>
      <c r="G1878" s="28" t="str">
        <f aca="false">IFERROR(INDEX('Semrush Data'!$A$1:$Z$20000,MATCH(A1878,'Semrush Data'!$A$1:$A$20000,0),MATCH("Volume",'Semrush Data'!$A$1:$Z$1,0)),"")</f>
        <v/>
      </c>
      <c r="H1878" s="6" t="str">
        <f aca="false">IFERROR(INDEX('Semrush Data'!$A$1:$Z$20000,MATCH(A1878,'Semrush Data'!$A$1:$A$20000,0),MATCH("Keyword Difficulty*",'Semrush Data'!$A$1:$Z$1,0)),"")</f>
        <v/>
      </c>
      <c r="I1878" s="29" t="str">
        <f aca="false">IFERROR(INDEX('Semrush Data'!$A$1:$Z$20000,MATCH(A1878,'Semrush Data'!$A$1:$A$20000,0),MATCH("CPC*",'Semrush Data'!$A$1:$Z$1,0)),"")</f>
        <v/>
      </c>
      <c r="J1878" s="6" t="str">
        <f aca="false">IFERROR(INDEX('Semrush Data'!$A$1:$Z$20000,MATCH(A1878,'Semrush Data'!$A$1:$A$20000,0),MATCH("Intent",'Semrush Data'!$A$1:$Z$1,0)),"")</f>
        <v/>
      </c>
    </row>
    <row r="1879" customFormat="false" ht="15" hidden="false" customHeight="true" outlineLevel="0" collapsed="false">
      <c r="A1879" s="6" t="s">
        <v>4630</v>
      </c>
      <c r="B1879" s="6" t="s">
        <v>1415</v>
      </c>
      <c r="C1879" s="6" t="n">
        <v>3</v>
      </c>
      <c r="D1879" s="6" t="n">
        <v>19</v>
      </c>
      <c r="E1879" s="6" t="n">
        <v>1</v>
      </c>
      <c r="F1879" s="6" t="s">
        <v>4625</v>
      </c>
      <c r="G1879" s="28" t="str">
        <f aca="false">IFERROR(INDEX('Semrush Data'!$A$1:$Z$20000,MATCH(A1879,'Semrush Data'!$A$1:$A$20000,0),MATCH("Volume",'Semrush Data'!$A$1:$Z$1,0)),"")</f>
        <v/>
      </c>
      <c r="H1879" s="6" t="str">
        <f aca="false">IFERROR(INDEX('Semrush Data'!$A$1:$Z$20000,MATCH(A1879,'Semrush Data'!$A$1:$A$20000,0),MATCH("Keyword Difficulty*",'Semrush Data'!$A$1:$Z$1,0)),"")</f>
        <v/>
      </c>
      <c r="I1879" s="29" t="str">
        <f aca="false">IFERROR(INDEX('Semrush Data'!$A$1:$Z$20000,MATCH(A1879,'Semrush Data'!$A$1:$A$20000,0),MATCH("CPC*",'Semrush Data'!$A$1:$Z$1,0)),"")</f>
        <v/>
      </c>
      <c r="J1879" s="6" t="str">
        <f aca="false">IFERROR(INDEX('Semrush Data'!$A$1:$Z$20000,MATCH(A1879,'Semrush Data'!$A$1:$A$20000,0),MATCH("Intent",'Semrush Data'!$A$1:$Z$1,0)),"")</f>
        <v/>
      </c>
    </row>
    <row r="1880" customFormat="false" ht="15" hidden="false" customHeight="true" outlineLevel="0" collapsed="false">
      <c r="A1880" s="6" t="s">
        <v>4642</v>
      </c>
      <c r="B1880" s="6" t="s">
        <v>1415</v>
      </c>
      <c r="C1880" s="6" t="n">
        <v>3</v>
      </c>
      <c r="D1880" s="6" t="n">
        <v>19</v>
      </c>
      <c r="E1880" s="6" t="n">
        <v>1</v>
      </c>
      <c r="F1880" s="6" t="s">
        <v>4637</v>
      </c>
      <c r="G1880" s="28" t="str">
        <f aca="false">IFERROR(INDEX('Semrush Data'!$A$1:$Z$20000,MATCH(A1880,'Semrush Data'!$A$1:$A$20000,0),MATCH("Volume",'Semrush Data'!$A$1:$Z$1,0)),"")</f>
        <v/>
      </c>
      <c r="H1880" s="6" t="str">
        <f aca="false">IFERROR(INDEX('Semrush Data'!$A$1:$Z$20000,MATCH(A1880,'Semrush Data'!$A$1:$A$20000,0),MATCH("Keyword Difficulty*",'Semrush Data'!$A$1:$Z$1,0)),"")</f>
        <v/>
      </c>
      <c r="I1880" s="29" t="str">
        <f aca="false">IFERROR(INDEX('Semrush Data'!$A$1:$Z$20000,MATCH(A1880,'Semrush Data'!$A$1:$A$20000,0),MATCH("CPC*",'Semrush Data'!$A$1:$Z$1,0)),"")</f>
        <v/>
      </c>
      <c r="J1880" s="6" t="str">
        <f aca="false">IFERROR(INDEX('Semrush Data'!$A$1:$Z$20000,MATCH(A1880,'Semrush Data'!$A$1:$A$20000,0),MATCH("Intent",'Semrush Data'!$A$1:$Z$1,0)),"")</f>
        <v/>
      </c>
    </row>
    <row r="1881" customFormat="false" ht="15" hidden="false" customHeight="true" outlineLevel="0" collapsed="false">
      <c r="A1881" s="6" t="s">
        <v>4653</v>
      </c>
      <c r="B1881" s="6" t="s">
        <v>1415</v>
      </c>
      <c r="C1881" s="6" t="n">
        <v>3</v>
      </c>
      <c r="D1881" s="6" t="n">
        <v>19</v>
      </c>
      <c r="E1881" s="6" t="n">
        <v>1</v>
      </c>
      <c r="F1881" s="6" t="s">
        <v>115</v>
      </c>
      <c r="G1881" s="28" t="str">
        <f aca="false">IFERROR(INDEX('Semrush Data'!$A$1:$Z$20000,MATCH(A1881,'Semrush Data'!$A$1:$A$20000,0),MATCH("Volume",'Semrush Data'!$A$1:$Z$1,0)),"")</f>
        <v/>
      </c>
      <c r="H1881" s="6" t="str">
        <f aca="false">IFERROR(INDEX('Semrush Data'!$A$1:$Z$20000,MATCH(A1881,'Semrush Data'!$A$1:$A$20000,0),MATCH("Keyword Difficulty*",'Semrush Data'!$A$1:$Z$1,0)),"")</f>
        <v/>
      </c>
      <c r="I1881" s="29" t="str">
        <f aca="false">IFERROR(INDEX('Semrush Data'!$A$1:$Z$20000,MATCH(A1881,'Semrush Data'!$A$1:$A$20000,0),MATCH("CPC*",'Semrush Data'!$A$1:$Z$1,0)),"")</f>
        <v/>
      </c>
      <c r="J1881" s="6" t="str">
        <f aca="false">IFERROR(INDEX('Semrush Data'!$A$1:$Z$20000,MATCH(A1881,'Semrush Data'!$A$1:$A$20000,0),MATCH("Intent",'Semrush Data'!$A$1:$Z$1,0)),"")</f>
        <v/>
      </c>
    </row>
    <row r="1882" customFormat="false" ht="15" hidden="false" customHeight="true" outlineLevel="0" collapsed="false">
      <c r="A1882" s="6" t="s">
        <v>4665</v>
      </c>
      <c r="B1882" s="6" t="s">
        <v>1415</v>
      </c>
      <c r="C1882" s="6" t="n">
        <v>3</v>
      </c>
      <c r="D1882" s="6" t="n">
        <v>19</v>
      </c>
      <c r="E1882" s="6" t="n">
        <v>1</v>
      </c>
      <c r="F1882" s="6" t="s">
        <v>4661</v>
      </c>
      <c r="G1882" s="28" t="str">
        <f aca="false">IFERROR(INDEX('Semrush Data'!$A$1:$Z$20000,MATCH(A1882,'Semrush Data'!$A$1:$A$20000,0),MATCH("Volume",'Semrush Data'!$A$1:$Z$1,0)),"")</f>
        <v/>
      </c>
      <c r="H1882" s="6" t="str">
        <f aca="false">IFERROR(INDEX('Semrush Data'!$A$1:$Z$20000,MATCH(A1882,'Semrush Data'!$A$1:$A$20000,0),MATCH("Keyword Difficulty*",'Semrush Data'!$A$1:$Z$1,0)),"")</f>
        <v/>
      </c>
      <c r="I1882" s="29" t="str">
        <f aca="false">IFERROR(INDEX('Semrush Data'!$A$1:$Z$20000,MATCH(A1882,'Semrush Data'!$A$1:$A$20000,0),MATCH("CPC*",'Semrush Data'!$A$1:$Z$1,0)),"")</f>
        <v/>
      </c>
      <c r="J1882" s="6" t="str">
        <f aca="false">IFERROR(INDEX('Semrush Data'!$A$1:$Z$20000,MATCH(A1882,'Semrush Data'!$A$1:$A$20000,0),MATCH("Intent",'Semrush Data'!$A$1:$Z$1,0)),"")</f>
        <v/>
      </c>
    </row>
    <row r="1883" customFormat="false" ht="15" hidden="false" customHeight="true" outlineLevel="0" collapsed="false">
      <c r="A1883" s="6" t="s">
        <v>4750</v>
      </c>
      <c r="B1883" s="6" t="s">
        <v>1415</v>
      </c>
      <c r="C1883" s="6" t="n">
        <v>3</v>
      </c>
      <c r="D1883" s="6" t="n">
        <v>19</v>
      </c>
      <c r="E1883" s="6" t="n">
        <v>1</v>
      </c>
      <c r="F1883" s="6" t="s">
        <v>4746</v>
      </c>
      <c r="G1883" s="28" t="str">
        <f aca="false">IFERROR(INDEX('Semrush Data'!$A$1:$Z$20000,MATCH(A1883,'Semrush Data'!$A$1:$A$20000,0),MATCH("Volume",'Semrush Data'!$A$1:$Z$1,0)),"")</f>
        <v/>
      </c>
      <c r="H1883" s="6" t="str">
        <f aca="false">IFERROR(INDEX('Semrush Data'!$A$1:$Z$20000,MATCH(A1883,'Semrush Data'!$A$1:$A$20000,0),MATCH("Keyword Difficulty*",'Semrush Data'!$A$1:$Z$1,0)),"")</f>
        <v/>
      </c>
      <c r="I1883" s="29" t="str">
        <f aca="false">IFERROR(INDEX('Semrush Data'!$A$1:$Z$20000,MATCH(A1883,'Semrush Data'!$A$1:$A$20000,0),MATCH("CPC*",'Semrush Data'!$A$1:$Z$1,0)),"")</f>
        <v/>
      </c>
      <c r="J1883" s="6" t="str">
        <f aca="false">IFERROR(INDEX('Semrush Data'!$A$1:$Z$20000,MATCH(A1883,'Semrush Data'!$A$1:$A$20000,0),MATCH("Intent",'Semrush Data'!$A$1:$Z$1,0)),"")</f>
        <v/>
      </c>
    </row>
    <row r="1884" customFormat="false" ht="15" hidden="false" customHeight="true" outlineLevel="0" collapsed="false">
      <c r="A1884" s="6" t="s">
        <v>4729</v>
      </c>
      <c r="B1884" s="6" t="s">
        <v>1415</v>
      </c>
      <c r="C1884" s="6" t="n">
        <v>3</v>
      </c>
      <c r="D1884" s="6" t="n">
        <v>19</v>
      </c>
      <c r="E1884" s="6" t="n">
        <v>1</v>
      </c>
      <c r="F1884" s="6" t="s">
        <v>4725</v>
      </c>
      <c r="G1884" s="28" t="str">
        <f aca="false">IFERROR(INDEX('Semrush Data'!$A$1:$Z$20000,MATCH(A1884,'Semrush Data'!$A$1:$A$20000,0),MATCH("Volume",'Semrush Data'!$A$1:$Z$1,0)),"")</f>
        <v/>
      </c>
      <c r="H1884" s="6" t="str">
        <f aca="false">IFERROR(INDEX('Semrush Data'!$A$1:$Z$20000,MATCH(A1884,'Semrush Data'!$A$1:$A$20000,0),MATCH("Keyword Difficulty*",'Semrush Data'!$A$1:$Z$1,0)),"")</f>
        <v/>
      </c>
      <c r="I1884" s="29" t="str">
        <f aca="false">IFERROR(INDEX('Semrush Data'!$A$1:$Z$20000,MATCH(A1884,'Semrush Data'!$A$1:$A$20000,0),MATCH("CPC*",'Semrush Data'!$A$1:$Z$1,0)),"")</f>
        <v/>
      </c>
      <c r="J1884" s="6" t="str">
        <f aca="false">IFERROR(INDEX('Semrush Data'!$A$1:$Z$20000,MATCH(A1884,'Semrush Data'!$A$1:$A$20000,0),MATCH("Intent",'Semrush Data'!$A$1:$Z$1,0)),"")</f>
        <v/>
      </c>
    </row>
    <row r="1885" customFormat="false" ht="15" hidden="false" customHeight="true" outlineLevel="0" collapsed="false">
      <c r="A1885" s="6" t="s">
        <v>4802</v>
      </c>
      <c r="B1885" s="6" t="s">
        <v>1415</v>
      </c>
      <c r="C1885" s="6" t="n">
        <v>3</v>
      </c>
      <c r="D1885" s="6" t="n">
        <v>19</v>
      </c>
      <c r="E1885" s="6" t="n">
        <v>1</v>
      </c>
      <c r="F1885" s="6" t="s">
        <v>4798</v>
      </c>
      <c r="G1885" s="28" t="str">
        <f aca="false">IFERROR(INDEX('Semrush Data'!$A$1:$Z$20000,MATCH(A1885,'Semrush Data'!$A$1:$A$20000,0),MATCH("Volume",'Semrush Data'!$A$1:$Z$1,0)),"")</f>
        <v/>
      </c>
      <c r="H1885" s="6" t="str">
        <f aca="false">IFERROR(INDEX('Semrush Data'!$A$1:$Z$20000,MATCH(A1885,'Semrush Data'!$A$1:$A$20000,0),MATCH("Keyword Difficulty*",'Semrush Data'!$A$1:$Z$1,0)),"")</f>
        <v/>
      </c>
      <c r="I1885" s="29" t="str">
        <f aca="false">IFERROR(INDEX('Semrush Data'!$A$1:$Z$20000,MATCH(A1885,'Semrush Data'!$A$1:$A$20000,0),MATCH("CPC*",'Semrush Data'!$A$1:$Z$1,0)),"")</f>
        <v/>
      </c>
      <c r="J1885" s="6" t="str">
        <f aca="false">IFERROR(INDEX('Semrush Data'!$A$1:$Z$20000,MATCH(A1885,'Semrush Data'!$A$1:$A$20000,0),MATCH("Intent",'Semrush Data'!$A$1:$Z$1,0)),"")</f>
        <v/>
      </c>
    </row>
    <row r="1886" customFormat="false" ht="15" hidden="false" customHeight="true" outlineLevel="0" collapsed="false">
      <c r="A1886" s="6" t="s">
        <v>4678</v>
      </c>
      <c r="B1886" s="6" t="s">
        <v>1415</v>
      </c>
      <c r="C1886" s="6" t="n">
        <v>3</v>
      </c>
      <c r="D1886" s="6" t="n">
        <v>19</v>
      </c>
      <c r="E1886" s="6" t="n">
        <v>1</v>
      </c>
      <c r="F1886" s="6" t="s">
        <v>4673</v>
      </c>
      <c r="G1886" s="28" t="str">
        <f aca="false">IFERROR(INDEX('Semrush Data'!$A$1:$Z$20000,MATCH(A1886,'Semrush Data'!$A$1:$A$20000,0),MATCH("Volume",'Semrush Data'!$A$1:$Z$1,0)),"")</f>
        <v/>
      </c>
      <c r="H1886" s="6" t="str">
        <f aca="false">IFERROR(INDEX('Semrush Data'!$A$1:$Z$20000,MATCH(A1886,'Semrush Data'!$A$1:$A$20000,0),MATCH("Keyword Difficulty*",'Semrush Data'!$A$1:$Z$1,0)),"")</f>
        <v/>
      </c>
      <c r="I1886" s="29" t="str">
        <f aca="false">IFERROR(INDEX('Semrush Data'!$A$1:$Z$20000,MATCH(A1886,'Semrush Data'!$A$1:$A$20000,0),MATCH("CPC*",'Semrush Data'!$A$1:$Z$1,0)),"")</f>
        <v/>
      </c>
      <c r="J1886" s="6" t="str">
        <f aca="false">IFERROR(INDEX('Semrush Data'!$A$1:$Z$20000,MATCH(A1886,'Semrush Data'!$A$1:$A$20000,0),MATCH("Intent",'Semrush Data'!$A$1:$Z$1,0)),"")</f>
        <v/>
      </c>
    </row>
    <row r="1887" customFormat="false" ht="15" hidden="false" customHeight="true" outlineLevel="0" collapsed="false">
      <c r="A1887" s="6" t="s">
        <v>4687</v>
      </c>
      <c r="B1887" s="6" t="s">
        <v>1415</v>
      </c>
      <c r="C1887" s="6" t="n">
        <v>3</v>
      </c>
      <c r="D1887" s="6" t="s">
        <v>6870</v>
      </c>
      <c r="E1887" s="6" t="n">
        <v>1</v>
      </c>
      <c r="F1887" s="6" t="s">
        <v>67</v>
      </c>
      <c r="G1887" s="28" t="n">
        <f aca="false">IFERROR(INDEX('Semrush Data'!$A$1:$Z$20000,MATCH(A1887,'Semrush Data'!$A$1:$A$20000,0),MATCH("Volume",'Semrush Data'!$A$1:$Z$1,0)),"")</f>
        <v>0</v>
      </c>
      <c r="H1887" s="6" t="n">
        <f aca="false">IFERROR(INDEX('Semrush Data'!$A$1:$Z$20000,MATCH(A1887,'Semrush Data'!$A$1:$A$20000,0),MATCH("Keyword Difficulty*",'Semrush Data'!$A$1:$Z$1,0)),"")</f>
        <v>16</v>
      </c>
      <c r="I1887" s="29" t="n">
        <f aca="false">IFERROR(INDEX('Semrush Data'!$A$1:$Z$20000,MATCH(A1887,'Semrush Data'!$A$1:$A$20000,0),MATCH("CPC*",'Semrush Data'!$A$1:$Z$1,0)),"")</f>
        <v>0</v>
      </c>
      <c r="J1887" s="6" t="str">
        <f aca="false">IFERROR(INDEX('Semrush Data'!$A$1:$Z$20000,MATCH(A1887,'Semrush Data'!$A$1:$A$20000,0),MATCH("Intent",'Semrush Data'!$A$1:$Z$1,0)),"")</f>
        <v>Transactional</v>
      </c>
    </row>
    <row r="1888" customFormat="false" ht="15" hidden="false" customHeight="true" outlineLevel="0" collapsed="false">
      <c r="A1888" s="6" t="s">
        <v>4761</v>
      </c>
      <c r="B1888" s="6" t="s">
        <v>1415</v>
      </c>
      <c r="C1888" s="6" t="n">
        <v>3</v>
      </c>
      <c r="D1888" s="6" t="n">
        <v>19</v>
      </c>
      <c r="E1888" s="6" t="n">
        <v>1</v>
      </c>
      <c r="F1888" s="6" t="s">
        <v>4756</v>
      </c>
      <c r="G1888" s="28" t="str">
        <f aca="false">IFERROR(INDEX('Semrush Data'!$A$1:$Z$20000,MATCH(A1888,'Semrush Data'!$A$1:$A$20000,0),MATCH("Volume",'Semrush Data'!$A$1:$Z$1,0)),"")</f>
        <v/>
      </c>
      <c r="H1888" s="6" t="str">
        <f aca="false">IFERROR(INDEX('Semrush Data'!$A$1:$Z$20000,MATCH(A1888,'Semrush Data'!$A$1:$A$20000,0),MATCH("Keyword Difficulty*",'Semrush Data'!$A$1:$Z$1,0)),"")</f>
        <v/>
      </c>
      <c r="I1888" s="29" t="str">
        <f aca="false">IFERROR(INDEX('Semrush Data'!$A$1:$Z$20000,MATCH(A1888,'Semrush Data'!$A$1:$A$20000,0),MATCH("CPC*",'Semrush Data'!$A$1:$Z$1,0)),"")</f>
        <v/>
      </c>
      <c r="J1888" s="6" t="str">
        <f aca="false">IFERROR(INDEX('Semrush Data'!$A$1:$Z$20000,MATCH(A1888,'Semrush Data'!$A$1:$A$20000,0),MATCH("Intent",'Semrush Data'!$A$1:$Z$1,0)),"")</f>
        <v/>
      </c>
    </row>
    <row r="1889" customFormat="false" ht="15" hidden="false" customHeight="true" outlineLevel="0" collapsed="false">
      <c r="A1889" s="6" t="s">
        <v>4698</v>
      </c>
      <c r="B1889" s="6" t="s">
        <v>1415</v>
      </c>
      <c r="C1889" s="6" t="n">
        <v>3</v>
      </c>
      <c r="D1889" s="6" t="n">
        <v>19</v>
      </c>
      <c r="E1889" s="6" t="n">
        <v>1</v>
      </c>
      <c r="F1889" s="6" t="s">
        <v>4694</v>
      </c>
      <c r="G1889" s="28" t="str">
        <f aca="false">IFERROR(INDEX('Semrush Data'!$A$1:$Z$20000,MATCH(A1889,'Semrush Data'!$A$1:$A$20000,0),MATCH("Volume",'Semrush Data'!$A$1:$Z$1,0)),"")</f>
        <v/>
      </c>
      <c r="H1889" s="6" t="str">
        <f aca="false">IFERROR(INDEX('Semrush Data'!$A$1:$Z$20000,MATCH(A1889,'Semrush Data'!$A$1:$A$20000,0),MATCH("Keyword Difficulty*",'Semrush Data'!$A$1:$Z$1,0)),"")</f>
        <v/>
      </c>
      <c r="I1889" s="29" t="str">
        <f aca="false">IFERROR(INDEX('Semrush Data'!$A$1:$Z$20000,MATCH(A1889,'Semrush Data'!$A$1:$A$20000,0),MATCH("CPC*",'Semrush Data'!$A$1:$Z$1,0)),"")</f>
        <v/>
      </c>
      <c r="J1889" s="6" t="str">
        <f aca="false">IFERROR(INDEX('Semrush Data'!$A$1:$Z$20000,MATCH(A1889,'Semrush Data'!$A$1:$A$20000,0),MATCH("Intent",'Semrush Data'!$A$1:$Z$1,0)),"")</f>
        <v/>
      </c>
    </row>
    <row r="1890" customFormat="false" ht="15" hidden="false" customHeight="true" outlineLevel="0" collapsed="false">
      <c r="A1890" s="6" t="s">
        <v>4772</v>
      </c>
      <c r="B1890" s="6" t="s">
        <v>1415</v>
      </c>
      <c r="C1890" s="6" t="n">
        <v>3</v>
      </c>
      <c r="D1890" s="6" t="n">
        <v>19</v>
      </c>
      <c r="E1890" s="6" t="n">
        <v>1</v>
      </c>
      <c r="F1890" s="6" t="s">
        <v>4768</v>
      </c>
      <c r="G1890" s="28" t="str">
        <f aca="false">IFERROR(INDEX('Semrush Data'!$A$1:$Z$20000,MATCH(A1890,'Semrush Data'!$A$1:$A$20000,0),MATCH("Volume",'Semrush Data'!$A$1:$Z$1,0)),"")</f>
        <v/>
      </c>
      <c r="H1890" s="6" t="str">
        <f aca="false">IFERROR(INDEX('Semrush Data'!$A$1:$Z$20000,MATCH(A1890,'Semrush Data'!$A$1:$A$20000,0),MATCH("Keyword Difficulty*",'Semrush Data'!$A$1:$Z$1,0)),"")</f>
        <v/>
      </c>
      <c r="I1890" s="29" t="str">
        <f aca="false">IFERROR(INDEX('Semrush Data'!$A$1:$Z$20000,MATCH(A1890,'Semrush Data'!$A$1:$A$20000,0),MATCH("CPC*",'Semrush Data'!$A$1:$Z$1,0)),"")</f>
        <v/>
      </c>
      <c r="J1890" s="6" t="str">
        <f aca="false">IFERROR(INDEX('Semrush Data'!$A$1:$Z$20000,MATCH(A1890,'Semrush Data'!$A$1:$A$20000,0),MATCH("Intent",'Semrush Data'!$A$1:$Z$1,0)),"")</f>
        <v/>
      </c>
    </row>
    <row r="1891" customFormat="false" ht="15" hidden="false" customHeight="true" outlineLevel="0" collapsed="false">
      <c r="A1891" s="6" t="s">
        <v>4708</v>
      </c>
      <c r="B1891" s="6" t="s">
        <v>1415</v>
      </c>
      <c r="C1891" s="6" t="n">
        <v>3</v>
      </c>
      <c r="D1891" s="6" t="n">
        <v>19</v>
      </c>
      <c r="E1891" s="6" t="n">
        <v>1</v>
      </c>
      <c r="F1891" s="6" t="s">
        <v>4704</v>
      </c>
      <c r="G1891" s="28" t="str">
        <f aca="false">IFERROR(INDEX('Semrush Data'!$A$1:$Z$20000,MATCH(A1891,'Semrush Data'!$A$1:$A$20000,0),MATCH("Volume",'Semrush Data'!$A$1:$Z$1,0)),"")</f>
        <v/>
      </c>
      <c r="H1891" s="6" t="str">
        <f aca="false">IFERROR(INDEX('Semrush Data'!$A$1:$Z$20000,MATCH(A1891,'Semrush Data'!$A$1:$A$20000,0),MATCH("Keyword Difficulty*",'Semrush Data'!$A$1:$Z$1,0)),"")</f>
        <v/>
      </c>
      <c r="I1891" s="29" t="str">
        <f aca="false">IFERROR(INDEX('Semrush Data'!$A$1:$Z$20000,MATCH(A1891,'Semrush Data'!$A$1:$A$20000,0),MATCH("CPC*",'Semrush Data'!$A$1:$Z$1,0)),"")</f>
        <v/>
      </c>
      <c r="J1891" s="6" t="str">
        <f aca="false">IFERROR(INDEX('Semrush Data'!$A$1:$Z$20000,MATCH(A1891,'Semrush Data'!$A$1:$A$20000,0),MATCH("Intent",'Semrush Data'!$A$1:$Z$1,0)),"")</f>
        <v/>
      </c>
    </row>
    <row r="1892" customFormat="false" ht="15" hidden="false" customHeight="true" outlineLevel="0" collapsed="false">
      <c r="A1892" s="6" t="s">
        <v>4738</v>
      </c>
      <c r="B1892" s="6" t="s">
        <v>1415</v>
      </c>
      <c r="C1892" s="6" t="n">
        <v>3</v>
      </c>
      <c r="D1892" s="6" t="s">
        <v>6870</v>
      </c>
      <c r="E1892" s="6" t="n">
        <v>1</v>
      </c>
      <c r="F1892" s="6" t="s">
        <v>81</v>
      </c>
      <c r="G1892" s="28" t="n">
        <f aca="false">IFERROR(INDEX('Semrush Data'!$A$1:$Z$20000,MATCH(A1892,'Semrush Data'!$A$1:$A$20000,0),MATCH("Volume",'Semrush Data'!$A$1:$Z$1,0)),"")</f>
        <v>0</v>
      </c>
      <c r="H1892" s="6" t="n">
        <f aca="false">IFERROR(INDEX('Semrush Data'!$A$1:$Z$20000,MATCH(A1892,'Semrush Data'!$A$1:$A$20000,0),MATCH("Keyword Difficulty*",'Semrush Data'!$A$1:$Z$1,0)),"")</f>
        <v>28</v>
      </c>
      <c r="I1892" s="29" t="n">
        <f aca="false">IFERROR(INDEX('Semrush Data'!$A$1:$Z$20000,MATCH(A1892,'Semrush Data'!$A$1:$A$20000,0),MATCH("CPC*",'Semrush Data'!$A$1:$Z$1,0)),"")</f>
        <v>0</v>
      </c>
      <c r="J1892" s="6" t="str">
        <f aca="false">IFERROR(INDEX('Semrush Data'!$A$1:$Z$20000,MATCH(A1892,'Semrush Data'!$A$1:$A$20000,0),MATCH("Intent",'Semrush Data'!$A$1:$Z$1,0)),"")</f>
        <v>Transactional</v>
      </c>
    </row>
    <row r="1893" customFormat="false" ht="15" hidden="false" customHeight="true" outlineLevel="0" collapsed="false">
      <c r="A1893" s="6" t="s">
        <v>4718</v>
      </c>
      <c r="B1893" s="6" t="s">
        <v>1415</v>
      </c>
      <c r="C1893" s="6" t="n">
        <v>3</v>
      </c>
      <c r="D1893" s="6" t="s">
        <v>6870</v>
      </c>
      <c r="E1893" s="6" t="n">
        <v>1</v>
      </c>
      <c r="F1893" s="6" t="s">
        <v>59</v>
      </c>
      <c r="G1893" s="28" t="n">
        <f aca="false">IFERROR(INDEX('Semrush Data'!$A$1:$Z$20000,MATCH(A1893,'Semrush Data'!$A$1:$A$20000,0),MATCH("Volume",'Semrush Data'!$A$1:$Z$1,0)),"")</f>
        <v>0</v>
      </c>
      <c r="H1893" s="6" t="n">
        <f aca="false">IFERROR(INDEX('Semrush Data'!$A$1:$Z$20000,MATCH(A1893,'Semrush Data'!$A$1:$A$20000,0),MATCH("Keyword Difficulty*",'Semrush Data'!$A$1:$Z$1,0)),"")</f>
        <v>17</v>
      </c>
      <c r="I1893" s="29" t="n">
        <f aca="false">IFERROR(INDEX('Semrush Data'!$A$1:$Z$20000,MATCH(A1893,'Semrush Data'!$A$1:$A$20000,0),MATCH("CPC*",'Semrush Data'!$A$1:$Z$1,0)),"")</f>
        <v>0</v>
      </c>
      <c r="J1893" s="6" t="str">
        <f aca="false">IFERROR(INDEX('Semrush Data'!$A$1:$Z$20000,MATCH(A1893,'Semrush Data'!$A$1:$A$20000,0),MATCH("Intent",'Semrush Data'!$A$1:$Z$1,0)),"")</f>
        <v>Transactional</v>
      </c>
    </row>
    <row r="1894" customFormat="false" ht="15" hidden="false" customHeight="true" outlineLevel="0" collapsed="false">
      <c r="A1894" s="6" t="s">
        <v>4782</v>
      </c>
      <c r="B1894" s="6" t="s">
        <v>1415</v>
      </c>
      <c r="C1894" s="6" t="n">
        <v>3</v>
      </c>
      <c r="D1894" s="6" t="n">
        <v>19</v>
      </c>
      <c r="E1894" s="6" t="n">
        <v>1</v>
      </c>
      <c r="F1894" s="6" t="s">
        <v>4778</v>
      </c>
      <c r="G1894" s="28" t="str">
        <f aca="false">IFERROR(INDEX('Semrush Data'!$A$1:$Z$20000,MATCH(A1894,'Semrush Data'!$A$1:$A$20000,0),MATCH("Volume",'Semrush Data'!$A$1:$Z$1,0)),"")</f>
        <v/>
      </c>
      <c r="H1894" s="6" t="str">
        <f aca="false">IFERROR(INDEX('Semrush Data'!$A$1:$Z$20000,MATCH(A1894,'Semrush Data'!$A$1:$A$20000,0),MATCH("Keyword Difficulty*",'Semrush Data'!$A$1:$Z$1,0)),"")</f>
        <v/>
      </c>
      <c r="I1894" s="29" t="str">
        <f aca="false">IFERROR(INDEX('Semrush Data'!$A$1:$Z$20000,MATCH(A1894,'Semrush Data'!$A$1:$A$20000,0),MATCH("CPC*",'Semrush Data'!$A$1:$Z$1,0)),"")</f>
        <v/>
      </c>
      <c r="J1894" s="6" t="str">
        <f aca="false">IFERROR(INDEX('Semrush Data'!$A$1:$Z$20000,MATCH(A1894,'Semrush Data'!$A$1:$A$20000,0),MATCH("Intent",'Semrush Data'!$A$1:$Z$1,0)),"")</f>
        <v/>
      </c>
    </row>
    <row r="1895" customFormat="false" ht="15" hidden="false" customHeight="true" outlineLevel="0" collapsed="false">
      <c r="A1895" s="6" t="s">
        <v>4792</v>
      </c>
      <c r="B1895" s="6" t="s">
        <v>1415</v>
      </c>
      <c r="C1895" s="6" t="n">
        <v>3</v>
      </c>
      <c r="D1895" s="6" t="n">
        <v>19</v>
      </c>
      <c r="E1895" s="6" t="n">
        <v>1</v>
      </c>
      <c r="F1895" s="6" t="s">
        <v>4788</v>
      </c>
      <c r="G1895" s="28" t="str">
        <f aca="false">IFERROR(INDEX('Semrush Data'!$A$1:$Z$20000,MATCH(A1895,'Semrush Data'!$A$1:$A$20000,0),MATCH("Volume",'Semrush Data'!$A$1:$Z$1,0)),"")</f>
        <v/>
      </c>
      <c r="H1895" s="6" t="str">
        <f aca="false">IFERROR(INDEX('Semrush Data'!$A$1:$Z$20000,MATCH(A1895,'Semrush Data'!$A$1:$A$20000,0),MATCH("Keyword Difficulty*",'Semrush Data'!$A$1:$Z$1,0)),"")</f>
        <v/>
      </c>
      <c r="I1895" s="29" t="str">
        <f aca="false">IFERROR(INDEX('Semrush Data'!$A$1:$Z$20000,MATCH(A1895,'Semrush Data'!$A$1:$A$20000,0),MATCH("CPC*",'Semrush Data'!$A$1:$Z$1,0)),"")</f>
        <v/>
      </c>
      <c r="J1895" s="6" t="str">
        <f aca="false">IFERROR(INDEX('Semrush Data'!$A$1:$Z$20000,MATCH(A1895,'Semrush Data'!$A$1:$A$20000,0),MATCH("Intent",'Semrush Data'!$A$1:$Z$1,0)),"")</f>
        <v/>
      </c>
    </row>
    <row r="1896" customFormat="false" ht="15" hidden="false" customHeight="true" outlineLevel="0" collapsed="false">
      <c r="A1896" s="6" t="s">
        <v>4866</v>
      </c>
      <c r="B1896" s="6" t="s">
        <v>1415</v>
      </c>
      <c r="C1896" s="6" t="n">
        <v>3</v>
      </c>
      <c r="D1896" s="6" t="n">
        <v>19</v>
      </c>
      <c r="E1896" s="6" t="n">
        <v>1</v>
      </c>
      <c r="F1896" s="6" t="s">
        <v>4862</v>
      </c>
      <c r="G1896" s="28" t="str">
        <f aca="false">IFERROR(INDEX('Semrush Data'!$A$1:$Z$20000,MATCH(A1896,'Semrush Data'!$A$1:$A$20000,0),MATCH("Volume",'Semrush Data'!$A$1:$Z$1,0)),"")</f>
        <v/>
      </c>
      <c r="H1896" s="6" t="str">
        <f aca="false">IFERROR(INDEX('Semrush Data'!$A$1:$Z$20000,MATCH(A1896,'Semrush Data'!$A$1:$A$20000,0),MATCH("Keyword Difficulty*",'Semrush Data'!$A$1:$Z$1,0)),"")</f>
        <v/>
      </c>
      <c r="I1896" s="29" t="str">
        <f aca="false">IFERROR(INDEX('Semrush Data'!$A$1:$Z$20000,MATCH(A1896,'Semrush Data'!$A$1:$A$20000,0),MATCH("CPC*",'Semrush Data'!$A$1:$Z$1,0)),"")</f>
        <v/>
      </c>
      <c r="J1896" s="6" t="str">
        <f aca="false">IFERROR(INDEX('Semrush Data'!$A$1:$Z$20000,MATCH(A1896,'Semrush Data'!$A$1:$A$20000,0),MATCH("Intent",'Semrush Data'!$A$1:$Z$1,0)),"")</f>
        <v/>
      </c>
    </row>
    <row r="1897" customFormat="false" ht="15" hidden="false" customHeight="true" outlineLevel="0" collapsed="false">
      <c r="A1897" s="6" t="s">
        <v>4812</v>
      </c>
      <c r="B1897" s="6" t="s">
        <v>1415</v>
      </c>
      <c r="C1897" s="6" t="n">
        <v>3</v>
      </c>
      <c r="D1897" s="6" t="n">
        <v>19</v>
      </c>
      <c r="E1897" s="6" t="n">
        <v>1</v>
      </c>
      <c r="F1897" s="6" t="s">
        <v>125</v>
      </c>
      <c r="G1897" s="28" t="str">
        <f aca="false">IFERROR(INDEX('Semrush Data'!$A$1:$Z$20000,MATCH(A1897,'Semrush Data'!$A$1:$A$20000,0),MATCH("Volume",'Semrush Data'!$A$1:$Z$1,0)),"")</f>
        <v/>
      </c>
      <c r="H1897" s="6" t="str">
        <f aca="false">IFERROR(INDEX('Semrush Data'!$A$1:$Z$20000,MATCH(A1897,'Semrush Data'!$A$1:$A$20000,0),MATCH("Keyword Difficulty*",'Semrush Data'!$A$1:$Z$1,0)),"")</f>
        <v/>
      </c>
      <c r="I1897" s="29" t="str">
        <f aca="false">IFERROR(INDEX('Semrush Data'!$A$1:$Z$20000,MATCH(A1897,'Semrush Data'!$A$1:$A$20000,0),MATCH("CPC*",'Semrush Data'!$A$1:$Z$1,0)),"")</f>
        <v/>
      </c>
      <c r="J1897" s="6" t="str">
        <f aca="false">IFERROR(INDEX('Semrush Data'!$A$1:$Z$20000,MATCH(A1897,'Semrush Data'!$A$1:$A$20000,0),MATCH("Intent",'Semrush Data'!$A$1:$Z$1,0)),"")</f>
        <v/>
      </c>
    </row>
    <row r="1898" customFormat="false" ht="15" hidden="false" customHeight="true" outlineLevel="0" collapsed="false">
      <c r="A1898" s="6" t="s">
        <v>4824</v>
      </c>
      <c r="B1898" s="6" t="s">
        <v>1415</v>
      </c>
      <c r="C1898" s="6" t="n">
        <v>3</v>
      </c>
      <c r="D1898" s="6" t="n">
        <v>19</v>
      </c>
      <c r="E1898" s="6" t="n">
        <v>1</v>
      </c>
      <c r="F1898" s="6" t="s">
        <v>4820</v>
      </c>
      <c r="G1898" s="28" t="str">
        <f aca="false">IFERROR(INDEX('Semrush Data'!$A$1:$Z$20000,MATCH(A1898,'Semrush Data'!$A$1:$A$20000,0),MATCH("Volume",'Semrush Data'!$A$1:$Z$1,0)),"")</f>
        <v/>
      </c>
      <c r="H1898" s="6" t="str">
        <f aca="false">IFERROR(INDEX('Semrush Data'!$A$1:$Z$20000,MATCH(A1898,'Semrush Data'!$A$1:$A$20000,0),MATCH("Keyword Difficulty*",'Semrush Data'!$A$1:$Z$1,0)),"")</f>
        <v/>
      </c>
      <c r="I1898" s="29" t="str">
        <f aca="false">IFERROR(INDEX('Semrush Data'!$A$1:$Z$20000,MATCH(A1898,'Semrush Data'!$A$1:$A$20000,0),MATCH("CPC*",'Semrush Data'!$A$1:$Z$1,0)),"")</f>
        <v/>
      </c>
      <c r="J1898" s="6" t="str">
        <f aca="false">IFERROR(INDEX('Semrush Data'!$A$1:$Z$20000,MATCH(A1898,'Semrush Data'!$A$1:$A$20000,0),MATCH("Intent",'Semrush Data'!$A$1:$Z$1,0)),"")</f>
        <v/>
      </c>
    </row>
    <row r="1899" customFormat="false" ht="15" hidden="false" customHeight="true" outlineLevel="0" collapsed="false">
      <c r="A1899" s="6" t="s">
        <v>4877</v>
      </c>
      <c r="B1899" s="6" t="s">
        <v>1415</v>
      </c>
      <c r="C1899" s="6" t="n">
        <v>3</v>
      </c>
      <c r="D1899" s="6" t="n">
        <v>19</v>
      </c>
      <c r="E1899" s="6" t="n">
        <v>1</v>
      </c>
      <c r="F1899" s="6" t="s">
        <v>4873</v>
      </c>
      <c r="G1899" s="28" t="str">
        <f aca="false">IFERROR(INDEX('Semrush Data'!$A$1:$Z$20000,MATCH(A1899,'Semrush Data'!$A$1:$A$20000,0),MATCH("Volume",'Semrush Data'!$A$1:$Z$1,0)),"")</f>
        <v/>
      </c>
      <c r="H1899" s="6" t="str">
        <f aca="false">IFERROR(INDEX('Semrush Data'!$A$1:$Z$20000,MATCH(A1899,'Semrush Data'!$A$1:$A$20000,0),MATCH("Keyword Difficulty*",'Semrush Data'!$A$1:$Z$1,0)),"")</f>
        <v/>
      </c>
      <c r="I1899" s="29" t="str">
        <f aca="false">IFERROR(INDEX('Semrush Data'!$A$1:$Z$20000,MATCH(A1899,'Semrush Data'!$A$1:$A$20000,0),MATCH("CPC*",'Semrush Data'!$A$1:$Z$1,0)),"")</f>
        <v/>
      </c>
      <c r="J1899" s="6" t="str">
        <f aca="false">IFERROR(INDEX('Semrush Data'!$A$1:$Z$20000,MATCH(A1899,'Semrush Data'!$A$1:$A$20000,0),MATCH("Intent",'Semrush Data'!$A$1:$Z$1,0)),"")</f>
        <v/>
      </c>
    </row>
    <row r="1900" customFormat="false" ht="15" hidden="false" customHeight="true" outlineLevel="0" collapsed="false">
      <c r="A1900" s="6" t="s">
        <v>4888</v>
      </c>
      <c r="B1900" s="6" t="s">
        <v>1415</v>
      </c>
      <c r="C1900" s="6" t="n">
        <v>3</v>
      </c>
      <c r="D1900" s="6" t="n">
        <v>19</v>
      </c>
      <c r="E1900" s="6" t="n">
        <v>1</v>
      </c>
      <c r="F1900" s="6" t="s">
        <v>4884</v>
      </c>
      <c r="G1900" s="28" t="str">
        <f aca="false">IFERROR(INDEX('Semrush Data'!$A$1:$Z$20000,MATCH(A1900,'Semrush Data'!$A$1:$A$20000,0),MATCH("Volume",'Semrush Data'!$A$1:$Z$1,0)),"")</f>
        <v/>
      </c>
      <c r="H1900" s="6" t="str">
        <f aca="false">IFERROR(INDEX('Semrush Data'!$A$1:$Z$20000,MATCH(A1900,'Semrush Data'!$A$1:$A$20000,0),MATCH("Keyword Difficulty*",'Semrush Data'!$A$1:$Z$1,0)),"")</f>
        <v/>
      </c>
      <c r="I1900" s="29" t="str">
        <f aca="false">IFERROR(INDEX('Semrush Data'!$A$1:$Z$20000,MATCH(A1900,'Semrush Data'!$A$1:$A$20000,0),MATCH("CPC*",'Semrush Data'!$A$1:$Z$1,0)),"")</f>
        <v/>
      </c>
      <c r="J1900" s="6" t="str">
        <f aca="false">IFERROR(INDEX('Semrush Data'!$A$1:$Z$20000,MATCH(A1900,'Semrush Data'!$A$1:$A$20000,0),MATCH("Intent",'Semrush Data'!$A$1:$Z$1,0)),"")</f>
        <v/>
      </c>
    </row>
    <row r="1901" customFormat="false" ht="15" hidden="false" customHeight="true" outlineLevel="0" collapsed="false">
      <c r="A1901" s="6" t="s">
        <v>4836</v>
      </c>
      <c r="B1901" s="6" t="s">
        <v>1415</v>
      </c>
      <c r="C1901" s="6" t="n">
        <v>3</v>
      </c>
      <c r="D1901" s="6" t="n">
        <v>19</v>
      </c>
      <c r="E1901" s="6" t="n">
        <v>1</v>
      </c>
      <c r="F1901" s="6" t="s">
        <v>4832</v>
      </c>
      <c r="G1901" s="28" t="str">
        <f aca="false">IFERROR(INDEX('Semrush Data'!$A$1:$Z$20000,MATCH(A1901,'Semrush Data'!$A$1:$A$20000,0),MATCH("Volume",'Semrush Data'!$A$1:$Z$1,0)),"")</f>
        <v/>
      </c>
      <c r="H1901" s="6" t="str">
        <f aca="false">IFERROR(INDEX('Semrush Data'!$A$1:$Z$20000,MATCH(A1901,'Semrush Data'!$A$1:$A$20000,0),MATCH("Keyword Difficulty*",'Semrush Data'!$A$1:$Z$1,0)),"")</f>
        <v/>
      </c>
      <c r="I1901" s="29" t="str">
        <f aca="false">IFERROR(INDEX('Semrush Data'!$A$1:$Z$20000,MATCH(A1901,'Semrush Data'!$A$1:$A$20000,0),MATCH("CPC*",'Semrush Data'!$A$1:$Z$1,0)),"")</f>
        <v/>
      </c>
      <c r="J1901" s="6" t="str">
        <f aca="false">IFERROR(INDEX('Semrush Data'!$A$1:$Z$20000,MATCH(A1901,'Semrush Data'!$A$1:$A$20000,0),MATCH("Intent",'Semrush Data'!$A$1:$Z$1,0)),"")</f>
        <v/>
      </c>
    </row>
    <row r="1902" customFormat="false" ht="15" hidden="false" customHeight="true" outlineLevel="0" collapsed="false">
      <c r="A1902" s="6" t="s">
        <v>4846</v>
      </c>
      <c r="B1902" s="6" t="s">
        <v>1415</v>
      </c>
      <c r="C1902" s="6" t="n">
        <v>3</v>
      </c>
      <c r="D1902" s="6" t="n">
        <v>20</v>
      </c>
      <c r="E1902" s="6" t="n">
        <v>1</v>
      </c>
      <c r="F1902" s="6" t="s">
        <v>113</v>
      </c>
      <c r="G1902" s="28" t="str">
        <f aca="false">IFERROR(INDEX('Semrush Data'!$A$1:$Z$20000,MATCH(A1902,'Semrush Data'!$A$1:$A$20000,0),MATCH("Volume",'Semrush Data'!$A$1:$Z$1,0)),"")</f>
        <v/>
      </c>
      <c r="H1902" s="6" t="str">
        <f aca="false">IFERROR(INDEX('Semrush Data'!$A$1:$Z$20000,MATCH(A1902,'Semrush Data'!$A$1:$A$20000,0),MATCH("Keyword Difficulty*",'Semrush Data'!$A$1:$Z$1,0)),"")</f>
        <v/>
      </c>
      <c r="I1902" s="29" t="str">
        <f aca="false">IFERROR(INDEX('Semrush Data'!$A$1:$Z$20000,MATCH(A1902,'Semrush Data'!$A$1:$A$20000,0),MATCH("CPC*",'Semrush Data'!$A$1:$Z$1,0)),"")</f>
        <v/>
      </c>
      <c r="J1902" s="6" t="str">
        <f aca="false">IFERROR(INDEX('Semrush Data'!$A$1:$Z$20000,MATCH(A1902,'Semrush Data'!$A$1:$A$20000,0),MATCH("Intent",'Semrush Data'!$A$1:$Z$1,0)),"")</f>
        <v/>
      </c>
    </row>
    <row r="1903" customFormat="false" ht="15" hidden="false" customHeight="true" outlineLevel="0" collapsed="false">
      <c r="A1903" s="6" t="s">
        <v>4855</v>
      </c>
      <c r="B1903" s="6" t="s">
        <v>1415</v>
      </c>
      <c r="C1903" s="6" t="n">
        <v>3</v>
      </c>
      <c r="D1903" s="6" t="n">
        <v>20</v>
      </c>
      <c r="E1903" s="6" t="n">
        <v>1</v>
      </c>
      <c r="F1903" s="6" t="s">
        <v>127</v>
      </c>
      <c r="G1903" s="28" t="str">
        <f aca="false">IFERROR(INDEX('Semrush Data'!$A$1:$Z$20000,MATCH(A1903,'Semrush Data'!$A$1:$A$20000,0),MATCH("Volume",'Semrush Data'!$A$1:$Z$1,0)),"")</f>
        <v/>
      </c>
      <c r="H1903" s="6" t="str">
        <f aca="false">IFERROR(INDEX('Semrush Data'!$A$1:$Z$20000,MATCH(A1903,'Semrush Data'!$A$1:$A$20000,0),MATCH("Keyword Difficulty*",'Semrush Data'!$A$1:$Z$1,0)),"")</f>
        <v/>
      </c>
      <c r="I1903" s="29" t="str">
        <f aca="false">IFERROR(INDEX('Semrush Data'!$A$1:$Z$20000,MATCH(A1903,'Semrush Data'!$A$1:$A$20000,0),MATCH("CPC*",'Semrush Data'!$A$1:$Z$1,0)),"")</f>
        <v/>
      </c>
      <c r="J1903" s="6" t="str">
        <f aca="false">IFERROR(INDEX('Semrush Data'!$A$1:$Z$20000,MATCH(A1903,'Semrush Data'!$A$1:$A$20000,0),MATCH("Intent",'Semrush Data'!$A$1:$Z$1,0)),"")</f>
        <v/>
      </c>
    </row>
    <row r="1904" customFormat="false" ht="15" hidden="false" customHeight="true" outlineLevel="0" collapsed="false">
      <c r="A1904" s="6" t="s">
        <v>4943</v>
      </c>
      <c r="B1904" s="6" t="s">
        <v>1415</v>
      </c>
      <c r="C1904" s="6" t="n">
        <v>3</v>
      </c>
      <c r="D1904" s="6" t="n">
        <v>20</v>
      </c>
      <c r="E1904" s="6" t="n">
        <v>2</v>
      </c>
      <c r="F1904" s="6" t="s">
        <v>6853</v>
      </c>
      <c r="G1904" s="28" t="str">
        <f aca="false">IFERROR(INDEX('Semrush Data'!$A$1:$Z$20000,MATCH(A1904,'Semrush Data'!$A$1:$A$20000,0),MATCH("Volume",'Semrush Data'!$A$1:$Z$1,0)),"")</f>
        <v/>
      </c>
      <c r="H1904" s="6" t="str">
        <f aca="false">IFERROR(INDEX('Semrush Data'!$A$1:$Z$20000,MATCH(A1904,'Semrush Data'!$A$1:$A$20000,0),MATCH("Keyword Difficulty*",'Semrush Data'!$A$1:$Z$1,0)),"")</f>
        <v/>
      </c>
      <c r="I1904" s="29" t="str">
        <f aca="false">IFERROR(INDEX('Semrush Data'!$A$1:$Z$20000,MATCH(A1904,'Semrush Data'!$A$1:$A$20000,0),MATCH("CPC*",'Semrush Data'!$A$1:$Z$1,0)),"")</f>
        <v/>
      </c>
      <c r="J1904" s="6" t="str">
        <f aca="false">IFERROR(INDEX('Semrush Data'!$A$1:$Z$20000,MATCH(A1904,'Semrush Data'!$A$1:$A$20000,0),MATCH("Intent",'Semrush Data'!$A$1:$Z$1,0)),"")</f>
        <v/>
      </c>
    </row>
    <row r="1905" customFormat="false" ht="15" hidden="false" customHeight="true" outlineLevel="0" collapsed="false">
      <c r="A1905" s="6" t="s">
        <v>4899</v>
      </c>
      <c r="B1905" s="6" t="s">
        <v>1415</v>
      </c>
      <c r="C1905" s="6" t="n">
        <v>3</v>
      </c>
      <c r="D1905" s="6" t="n">
        <v>20</v>
      </c>
      <c r="E1905" s="6" t="n">
        <v>2</v>
      </c>
      <c r="F1905" s="6" t="s">
        <v>6854</v>
      </c>
      <c r="G1905" s="28" t="str">
        <f aca="false">IFERROR(INDEX('Semrush Data'!$A$1:$Z$20000,MATCH(A1905,'Semrush Data'!$A$1:$A$20000,0),MATCH("Volume",'Semrush Data'!$A$1:$Z$1,0)),"")</f>
        <v/>
      </c>
      <c r="H1905" s="6" t="str">
        <f aca="false">IFERROR(INDEX('Semrush Data'!$A$1:$Z$20000,MATCH(A1905,'Semrush Data'!$A$1:$A$20000,0),MATCH("Keyword Difficulty*",'Semrush Data'!$A$1:$Z$1,0)),"")</f>
        <v/>
      </c>
      <c r="I1905" s="29" t="str">
        <f aca="false">IFERROR(INDEX('Semrush Data'!$A$1:$Z$20000,MATCH(A1905,'Semrush Data'!$A$1:$A$20000,0),MATCH("CPC*",'Semrush Data'!$A$1:$Z$1,0)),"")</f>
        <v/>
      </c>
      <c r="J1905" s="6" t="str">
        <f aca="false">IFERROR(INDEX('Semrush Data'!$A$1:$Z$20000,MATCH(A1905,'Semrush Data'!$A$1:$A$20000,0),MATCH("Intent",'Semrush Data'!$A$1:$Z$1,0)),"")</f>
        <v/>
      </c>
    </row>
    <row r="1906" customFormat="false" ht="15" hidden="false" customHeight="true" outlineLevel="0" collapsed="false">
      <c r="A1906" s="6" t="s">
        <v>4917</v>
      </c>
      <c r="B1906" s="6" t="s">
        <v>1415</v>
      </c>
      <c r="C1906" s="6" t="n">
        <v>3</v>
      </c>
      <c r="D1906" s="6" t="n">
        <v>20</v>
      </c>
      <c r="E1906" s="6" t="n">
        <v>1</v>
      </c>
      <c r="F1906" s="6" t="s">
        <v>4913</v>
      </c>
      <c r="G1906" s="28" t="str">
        <f aca="false">IFERROR(INDEX('Semrush Data'!$A$1:$Z$20000,MATCH(A1906,'Semrush Data'!$A$1:$A$20000,0),MATCH("Volume",'Semrush Data'!$A$1:$Z$1,0)),"")</f>
        <v/>
      </c>
      <c r="H1906" s="6" t="str">
        <f aca="false">IFERROR(INDEX('Semrush Data'!$A$1:$Z$20000,MATCH(A1906,'Semrush Data'!$A$1:$A$20000,0),MATCH("Keyword Difficulty*",'Semrush Data'!$A$1:$Z$1,0)),"")</f>
        <v/>
      </c>
      <c r="I1906" s="29" t="str">
        <f aca="false">IFERROR(INDEX('Semrush Data'!$A$1:$Z$20000,MATCH(A1906,'Semrush Data'!$A$1:$A$20000,0),MATCH("CPC*",'Semrush Data'!$A$1:$Z$1,0)),"")</f>
        <v/>
      </c>
      <c r="J1906" s="6" t="str">
        <f aca="false">IFERROR(INDEX('Semrush Data'!$A$1:$Z$20000,MATCH(A1906,'Semrush Data'!$A$1:$A$20000,0),MATCH("Intent",'Semrush Data'!$A$1:$Z$1,0)),"")</f>
        <v/>
      </c>
    </row>
    <row r="1907" customFormat="false" ht="15" hidden="false" customHeight="true" outlineLevel="0" collapsed="false">
      <c r="A1907" s="6" t="s">
        <v>4928</v>
      </c>
      <c r="B1907" s="6" t="s">
        <v>1415</v>
      </c>
      <c r="C1907" s="6" t="n">
        <v>3</v>
      </c>
      <c r="D1907" s="6" t="n">
        <v>20</v>
      </c>
      <c r="E1907" s="6" t="n">
        <v>2</v>
      </c>
      <c r="F1907" s="6" t="s">
        <v>6855</v>
      </c>
      <c r="G1907" s="28" t="str">
        <f aca="false">IFERROR(INDEX('Semrush Data'!$A$1:$Z$20000,MATCH(A1907,'Semrush Data'!$A$1:$A$20000,0),MATCH("Volume",'Semrush Data'!$A$1:$Z$1,0)),"")</f>
        <v/>
      </c>
      <c r="H1907" s="6" t="str">
        <f aca="false">IFERROR(INDEX('Semrush Data'!$A$1:$Z$20000,MATCH(A1907,'Semrush Data'!$A$1:$A$20000,0),MATCH("Keyword Difficulty*",'Semrush Data'!$A$1:$Z$1,0)),"")</f>
        <v/>
      </c>
      <c r="I1907" s="29" t="str">
        <f aca="false">IFERROR(INDEX('Semrush Data'!$A$1:$Z$20000,MATCH(A1907,'Semrush Data'!$A$1:$A$20000,0),MATCH("CPC*",'Semrush Data'!$A$1:$Z$1,0)),"")</f>
        <v/>
      </c>
      <c r="J1907" s="6" t="str">
        <f aca="false">IFERROR(INDEX('Semrush Data'!$A$1:$Z$20000,MATCH(A1907,'Semrush Data'!$A$1:$A$20000,0),MATCH("Intent",'Semrush Data'!$A$1:$Z$1,0)),"")</f>
        <v/>
      </c>
    </row>
    <row r="1908" customFormat="false" ht="15" hidden="false" customHeight="true" outlineLevel="0" collapsed="false">
      <c r="A1908" s="6" t="s">
        <v>4958</v>
      </c>
      <c r="B1908" s="6" t="s">
        <v>1415</v>
      </c>
      <c r="C1908" s="6" t="n">
        <v>3</v>
      </c>
      <c r="D1908" s="6" t="n">
        <v>20</v>
      </c>
      <c r="E1908" s="6" t="n">
        <v>1</v>
      </c>
      <c r="F1908" s="6" t="s">
        <v>4954</v>
      </c>
      <c r="G1908" s="28" t="str">
        <f aca="false">IFERROR(INDEX('Semrush Data'!$A$1:$Z$20000,MATCH(A1908,'Semrush Data'!$A$1:$A$20000,0),MATCH("Volume",'Semrush Data'!$A$1:$Z$1,0)),"")</f>
        <v/>
      </c>
      <c r="H1908" s="6" t="str">
        <f aca="false">IFERROR(INDEX('Semrush Data'!$A$1:$Z$20000,MATCH(A1908,'Semrush Data'!$A$1:$A$20000,0),MATCH("Keyword Difficulty*",'Semrush Data'!$A$1:$Z$1,0)),"")</f>
        <v/>
      </c>
      <c r="I1908" s="29" t="str">
        <f aca="false">IFERROR(INDEX('Semrush Data'!$A$1:$Z$20000,MATCH(A1908,'Semrush Data'!$A$1:$A$20000,0),MATCH("CPC*",'Semrush Data'!$A$1:$Z$1,0)),"")</f>
        <v/>
      </c>
      <c r="J1908" s="6" t="str">
        <f aca="false">IFERROR(INDEX('Semrush Data'!$A$1:$Z$20000,MATCH(A1908,'Semrush Data'!$A$1:$A$20000,0),MATCH("Intent",'Semrush Data'!$A$1:$Z$1,0)),"")</f>
        <v/>
      </c>
    </row>
    <row r="1909" customFormat="false" ht="15" hidden="false" customHeight="true" outlineLevel="0" collapsed="false">
      <c r="A1909" s="6" t="s">
        <v>4970</v>
      </c>
      <c r="B1909" s="6" t="s">
        <v>1415</v>
      </c>
      <c r="C1909" s="6" t="n">
        <v>3</v>
      </c>
      <c r="D1909" s="6" t="n">
        <v>20</v>
      </c>
      <c r="E1909" s="6" t="n">
        <v>1</v>
      </c>
      <c r="F1909" s="6" t="s">
        <v>4966</v>
      </c>
      <c r="G1909" s="28" t="str">
        <f aca="false">IFERROR(INDEX('Semrush Data'!$A$1:$Z$20000,MATCH(A1909,'Semrush Data'!$A$1:$A$20000,0),MATCH("Volume",'Semrush Data'!$A$1:$Z$1,0)),"")</f>
        <v/>
      </c>
      <c r="H1909" s="6" t="str">
        <f aca="false">IFERROR(INDEX('Semrush Data'!$A$1:$Z$20000,MATCH(A1909,'Semrush Data'!$A$1:$A$20000,0),MATCH("Keyword Difficulty*",'Semrush Data'!$A$1:$Z$1,0)),"")</f>
        <v/>
      </c>
      <c r="I1909" s="29" t="str">
        <f aca="false">IFERROR(INDEX('Semrush Data'!$A$1:$Z$20000,MATCH(A1909,'Semrush Data'!$A$1:$A$20000,0),MATCH("CPC*",'Semrush Data'!$A$1:$Z$1,0)),"")</f>
        <v/>
      </c>
      <c r="J1909" s="6" t="str">
        <f aca="false">IFERROR(INDEX('Semrush Data'!$A$1:$Z$20000,MATCH(A1909,'Semrush Data'!$A$1:$A$20000,0),MATCH("Intent",'Semrush Data'!$A$1:$Z$1,0)),"")</f>
        <v/>
      </c>
    </row>
    <row r="1910" customFormat="false" ht="15" hidden="false" customHeight="true" outlineLevel="0" collapsed="false">
      <c r="A1910" s="6" t="s">
        <v>4980</v>
      </c>
      <c r="B1910" s="6" t="s">
        <v>1415</v>
      </c>
      <c r="C1910" s="6" t="n">
        <v>3</v>
      </c>
      <c r="D1910" s="6" t="n">
        <v>20</v>
      </c>
      <c r="E1910" s="6" t="n">
        <v>1</v>
      </c>
      <c r="F1910" s="6" t="s">
        <v>4976</v>
      </c>
      <c r="G1910" s="28" t="str">
        <f aca="false">IFERROR(INDEX('Semrush Data'!$A$1:$Z$20000,MATCH(A1910,'Semrush Data'!$A$1:$A$20000,0),MATCH("Volume",'Semrush Data'!$A$1:$Z$1,0)),"")</f>
        <v/>
      </c>
      <c r="H1910" s="6" t="str">
        <f aca="false">IFERROR(INDEX('Semrush Data'!$A$1:$Z$20000,MATCH(A1910,'Semrush Data'!$A$1:$A$20000,0),MATCH("Keyword Difficulty*",'Semrush Data'!$A$1:$Z$1,0)),"")</f>
        <v/>
      </c>
      <c r="I1910" s="29" t="str">
        <f aca="false">IFERROR(INDEX('Semrush Data'!$A$1:$Z$20000,MATCH(A1910,'Semrush Data'!$A$1:$A$20000,0),MATCH("CPC*",'Semrush Data'!$A$1:$Z$1,0)),"")</f>
        <v/>
      </c>
      <c r="J1910" s="6" t="str">
        <f aca="false">IFERROR(INDEX('Semrush Data'!$A$1:$Z$20000,MATCH(A1910,'Semrush Data'!$A$1:$A$20000,0),MATCH("Intent",'Semrush Data'!$A$1:$Z$1,0)),"")</f>
        <v/>
      </c>
    </row>
    <row r="1911" customFormat="false" ht="15" hidden="false" customHeight="true" outlineLevel="0" collapsed="false">
      <c r="A1911" s="6" t="s">
        <v>4990</v>
      </c>
      <c r="B1911" s="6" t="s">
        <v>1415</v>
      </c>
      <c r="C1911" s="6" t="n">
        <v>3</v>
      </c>
      <c r="D1911" s="6" t="n">
        <v>20</v>
      </c>
      <c r="E1911" s="6" t="n">
        <v>2</v>
      </c>
      <c r="F1911" s="6" t="s">
        <v>6856</v>
      </c>
      <c r="G1911" s="28" t="str">
        <f aca="false">IFERROR(INDEX('Semrush Data'!$A$1:$Z$20000,MATCH(A1911,'Semrush Data'!$A$1:$A$20000,0),MATCH("Volume",'Semrush Data'!$A$1:$Z$1,0)),"")</f>
        <v/>
      </c>
      <c r="H1911" s="6" t="str">
        <f aca="false">IFERROR(INDEX('Semrush Data'!$A$1:$Z$20000,MATCH(A1911,'Semrush Data'!$A$1:$A$20000,0),MATCH("Keyword Difficulty*",'Semrush Data'!$A$1:$Z$1,0)),"")</f>
        <v/>
      </c>
      <c r="I1911" s="29" t="str">
        <f aca="false">IFERROR(INDEX('Semrush Data'!$A$1:$Z$20000,MATCH(A1911,'Semrush Data'!$A$1:$A$20000,0),MATCH("CPC*",'Semrush Data'!$A$1:$Z$1,0)),"")</f>
        <v/>
      </c>
      <c r="J1911" s="6" t="str">
        <f aca="false">IFERROR(INDEX('Semrush Data'!$A$1:$Z$20000,MATCH(A1911,'Semrush Data'!$A$1:$A$20000,0),MATCH("Intent",'Semrush Data'!$A$1:$Z$1,0)),"")</f>
        <v/>
      </c>
    </row>
    <row r="1912" customFormat="false" ht="15" hidden="false" customHeight="true" outlineLevel="0" collapsed="false">
      <c r="A1912" s="6" t="s">
        <v>5005</v>
      </c>
      <c r="B1912" s="6" t="s">
        <v>1415</v>
      </c>
      <c r="C1912" s="6" t="n">
        <v>3</v>
      </c>
      <c r="D1912" s="6" t="n">
        <v>20</v>
      </c>
      <c r="E1912" s="6" t="n">
        <v>2</v>
      </c>
      <c r="F1912" s="6" t="s">
        <v>6857</v>
      </c>
      <c r="G1912" s="28" t="str">
        <f aca="false">IFERROR(INDEX('Semrush Data'!$A$1:$Z$20000,MATCH(A1912,'Semrush Data'!$A$1:$A$20000,0),MATCH("Volume",'Semrush Data'!$A$1:$Z$1,0)),"")</f>
        <v/>
      </c>
      <c r="H1912" s="6" t="str">
        <f aca="false">IFERROR(INDEX('Semrush Data'!$A$1:$Z$20000,MATCH(A1912,'Semrush Data'!$A$1:$A$20000,0),MATCH("Keyword Difficulty*",'Semrush Data'!$A$1:$Z$1,0)),"")</f>
        <v/>
      </c>
      <c r="I1912" s="29" t="str">
        <f aca="false">IFERROR(INDEX('Semrush Data'!$A$1:$Z$20000,MATCH(A1912,'Semrush Data'!$A$1:$A$20000,0),MATCH("CPC*",'Semrush Data'!$A$1:$Z$1,0)),"")</f>
        <v/>
      </c>
      <c r="J1912" s="6" t="str">
        <f aca="false">IFERROR(INDEX('Semrush Data'!$A$1:$Z$20000,MATCH(A1912,'Semrush Data'!$A$1:$A$20000,0),MATCH("Intent",'Semrush Data'!$A$1:$Z$1,0)),"")</f>
        <v/>
      </c>
    </row>
    <row r="1913" customFormat="false" ht="15" hidden="false" customHeight="true" outlineLevel="0" collapsed="false">
      <c r="A1913" s="6" t="s">
        <v>5020</v>
      </c>
      <c r="B1913" s="6" t="s">
        <v>1415</v>
      </c>
      <c r="C1913" s="6" t="n">
        <v>3</v>
      </c>
      <c r="D1913" s="6" t="n">
        <v>20</v>
      </c>
      <c r="E1913" s="6" t="n">
        <v>2</v>
      </c>
      <c r="F1913" s="6" t="s">
        <v>6858</v>
      </c>
      <c r="G1913" s="28" t="str">
        <f aca="false">IFERROR(INDEX('Semrush Data'!$A$1:$Z$20000,MATCH(A1913,'Semrush Data'!$A$1:$A$20000,0),MATCH("Volume",'Semrush Data'!$A$1:$Z$1,0)),"")</f>
        <v/>
      </c>
      <c r="H1913" s="6" t="str">
        <f aca="false">IFERROR(INDEX('Semrush Data'!$A$1:$Z$20000,MATCH(A1913,'Semrush Data'!$A$1:$A$20000,0),MATCH("Keyword Difficulty*",'Semrush Data'!$A$1:$Z$1,0)),"")</f>
        <v/>
      </c>
      <c r="I1913" s="29" t="str">
        <f aca="false">IFERROR(INDEX('Semrush Data'!$A$1:$Z$20000,MATCH(A1913,'Semrush Data'!$A$1:$A$20000,0),MATCH("CPC*",'Semrush Data'!$A$1:$Z$1,0)),"")</f>
        <v/>
      </c>
      <c r="J1913" s="6" t="str">
        <f aca="false">IFERROR(INDEX('Semrush Data'!$A$1:$Z$20000,MATCH(A1913,'Semrush Data'!$A$1:$A$20000,0),MATCH("Intent",'Semrush Data'!$A$1:$Z$1,0)),"")</f>
        <v/>
      </c>
    </row>
    <row r="1914" customFormat="false" ht="15" hidden="false" customHeight="true" outlineLevel="0" collapsed="false">
      <c r="A1914" s="6" t="s">
        <v>5036</v>
      </c>
      <c r="B1914" s="6" t="s">
        <v>1415</v>
      </c>
      <c r="C1914" s="6" t="n">
        <v>3</v>
      </c>
      <c r="D1914" s="6" t="n">
        <v>20</v>
      </c>
      <c r="E1914" s="6" t="n">
        <v>2</v>
      </c>
      <c r="F1914" s="6" t="s">
        <v>6859</v>
      </c>
      <c r="G1914" s="28" t="str">
        <f aca="false">IFERROR(INDEX('Semrush Data'!$A$1:$Z$20000,MATCH(A1914,'Semrush Data'!$A$1:$A$20000,0),MATCH("Volume",'Semrush Data'!$A$1:$Z$1,0)),"")</f>
        <v/>
      </c>
      <c r="H1914" s="6" t="str">
        <f aca="false">IFERROR(INDEX('Semrush Data'!$A$1:$Z$20000,MATCH(A1914,'Semrush Data'!$A$1:$A$20000,0),MATCH("Keyword Difficulty*",'Semrush Data'!$A$1:$Z$1,0)),"")</f>
        <v/>
      </c>
      <c r="I1914" s="29" t="str">
        <f aca="false">IFERROR(INDEX('Semrush Data'!$A$1:$Z$20000,MATCH(A1914,'Semrush Data'!$A$1:$A$20000,0),MATCH("CPC*",'Semrush Data'!$A$1:$Z$1,0)),"")</f>
        <v/>
      </c>
      <c r="J1914" s="6" t="str">
        <f aca="false">IFERROR(INDEX('Semrush Data'!$A$1:$Z$20000,MATCH(A1914,'Semrush Data'!$A$1:$A$20000,0),MATCH("Intent",'Semrush Data'!$A$1:$Z$1,0)),"")</f>
        <v/>
      </c>
    </row>
    <row r="1915" customFormat="false" ht="15" hidden="false" customHeight="true" outlineLevel="0" collapsed="false">
      <c r="A1915" s="6" t="s">
        <v>5054</v>
      </c>
      <c r="B1915" s="6" t="s">
        <v>1415</v>
      </c>
      <c r="C1915" s="6" t="n">
        <v>3</v>
      </c>
      <c r="D1915" s="6" t="n">
        <v>20</v>
      </c>
      <c r="E1915" s="6" t="n">
        <v>1</v>
      </c>
      <c r="F1915" s="6" t="s">
        <v>5048</v>
      </c>
      <c r="G1915" s="28" t="str">
        <f aca="false">IFERROR(INDEX('Semrush Data'!$A$1:$Z$20000,MATCH(A1915,'Semrush Data'!$A$1:$A$20000,0),MATCH("Volume",'Semrush Data'!$A$1:$Z$1,0)),"")</f>
        <v/>
      </c>
      <c r="H1915" s="6" t="str">
        <f aca="false">IFERROR(INDEX('Semrush Data'!$A$1:$Z$20000,MATCH(A1915,'Semrush Data'!$A$1:$A$20000,0),MATCH("Keyword Difficulty*",'Semrush Data'!$A$1:$Z$1,0)),"")</f>
        <v/>
      </c>
      <c r="I1915" s="29" t="str">
        <f aca="false">IFERROR(INDEX('Semrush Data'!$A$1:$Z$20000,MATCH(A1915,'Semrush Data'!$A$1:$A$20000,0),MATCH("CPC*",'Semrush Data'!$A$1:$Z$1,0)),"")</f>
        <v/>
      </c>
      <c r="J1915" s="6" t="str">
        <f aca="false">IFERROR(INDEX('Semrush Data'!$A$1:$Z$20000,MATCH(A1915,'Semrush Data'!$A$1:$A$20000,0),MATCH("Intent",'Semrush Data'!$A$1:$Z$1,0)),"")</f>
        <v/>
      </c>
    </row>
    <row r="1916" customFormat="false" ht="15" hidden="false" customHeight="true" outlineLevel="0" collapsed="false">
      <c r="A1916" s="6" t="s">
        <v>5989</v>
      </c>
      <c r="B1916" s="6" t="s">
        <v>1415</v>
      </c>
      <c r="C1916" s="6" t="n">
        <v>3</v>
      </c>
      <c r="D1916" s="6" t="n">
        <v>20</v>
      </c>
      <c r="E1916" s="6" t="n">
        <v>1</v>
      </c>
      <c r="F1916" s="6" t="s">
        <v>5984</v>
      </c>
      <c r="G1916" s="28" t="str">
        <f aca="false">IFERROR(INDEX('Semrush Data'!$A$1:$Z$20000,MATCH(A1916,'Semrush Data'!$A$1:$A$20000,0),MATCH("Volume",'Semrush Data'!$A$1:$Z$1,0)),"")</f>
        <v/>
      </c>
      <c r="H1916" s="6" t="str">
        <f aca="false">IFERROR(INDEX('Semrush Data'!$A$1:$Z$20000,MATCH(A1916,'Semrush Data'!$A$1:$A$20000,0),MATCH("Keyword Difficulty*",'Semrush Data'!$A$1:$Z$1,0)),"")</f>
        <v/>
      </c>
      <c r="I1916" s="29" t="str">
        <f aca="false">IFERROR(INDEX('Semrush Data'!$A$1:$Z$20000,MATCH(A1916,'Semrush Data'!$A$1:$A$20000,0),MATCH("CPC*",'Semrush Data'!$A$1:$Z$1,0)),"")</f>
        <v/>
      </c>
      <c r="J1916" s="6" t="str">
        <f aca="false">IFERROR(INDEX('Semrush Data'!$A$1:$Z$20000,MATCH(A1916,'Semrush Data'!$A$1:$A$20000,0),MATCH("Intent",'Semrush Data'!$A$1:$Z$1,0)),"")</f>
        <v/>
      </c>
    </row>
    <row r="1917" customFormat="false" ht="15" hidden="false" customHeight="true" outlineLevel="0" collapsed="false">
      <c r="A1917" s="6" t="s">
        <v>5967</v>
      </c>
      <c r="B1917" s="6" t="s">
        <v>1415</v>
      </c>
      <c r="C1917" s="6" t="n">
        <v>3</v>
      </c>
      <c r="D1917" s="6" t="n">
        <v>20</v>
      </c>
      <c r="E1917" s="6" t="n">
        <v>1</v>
      </c>
      <c r="F1917" s="6" t="s">
        <v>5963</v>
      </c>
      <c r="G1917" s="28" t="str">
        <f aca="false">IFERROR(INDEX('Semrush Data'!$A$1:$Z$20000,MATCH(A1917,'Semrush Data'!$A$1:$A$20000,0),MATCH("Volume",'Semrush Data'!$A$1:$Z$1,0)),"")</f>
        <v/>
      </c>
      <c r="H1917" s="6" t="str">
        <f aca="false">IFERROR(INDEX('Semrush Data'!$A$1:$Z$20000,MATCH(A1917,'Semrush Data'!$A$1:$A$20000,0),MATCH("Keyword Difficulty*",'Semrush Data'!$A$1:$Z$1,0)),"")</f>
        <v/>
      </c>
      <c r="I1917" s="29" t="str">
        <f aca="false">IFERROR(INDEX('Semrush Data'!$A$1:$Z$20000,MATCH(A1917,'Semrush Data'!$A$1:$A$20000,0),MATCH("CPC*",'Semrush Data'!$A$1:$Z$1,0)),"")</f>
        <v/>
      </c>
      <c r="J1917" s="6" t="str">
        <f aca="false">IFERROR(INDEX('Semrush Data'!$A$1:$Z$20000,MATCH(A1917,'Semrush Data'!$A$1:$A$20000,0),MATCH("Intent",'Semrush Data'!$A$1:$Z$1,0)),"")</f>
        <v/>
      </c>
    </row>
    <row r="1918" customFormat="false" ht="15" hidden="false" customHeight="true" outlineLevel="0" collapsed="false">
      <c r="A1918" s="6" t="s">
        <v>5946</v>
      </c>
      <c r="B1918" s="6" t="s">
        <v>1415</v>
      </c>
      <c r="C1918" s="6" t="n">
        <v>3</v>
      </c>
      <c r="D1918" s="6" t="n">
        <v>20</v>
      </c>
      <c r="E1918" s="6" t="n">
        <v>1</v>
      </c>
      <c r="F1918" s="6" t="s">
        <v>5942</v>
      </c>
      <c r="G1918" s="28" t="str">
        <f aca="false">IFERROR(INDEX('Semrush Data'!$A$1:$Z$20000,MATCH(A1918,'Semrush Data'!$A$1:$A$20000,0),MATCH("Volume",'Semrush Data'!$A$1:$Z$1,0)),"")</f>
        <v/>
      </c>
      <c r="H1918" s="6" t="str">
        <f aca="false">IFERROR(INDEX('Semrush Data'!$A$1:$Z$20000,MATCH(A1918,'Semrush Data'!$A$1:$A$20000,0),MATCH("Keyword Difficulty*",'Semrush Data'!$A$1:$Z$1,0)),"")</f>
        <v/>
      </c>
      <c r="I1918" s="29" t="str">
        <f aca="false">IFERROR(INDEX('Semrush Data'!$A$1:$Z$20000,MATCH(A1918,'Semrush Data'!$A$1:$A$20000,0),MATCH("CPC*",'Semrush Data'!$A$1:$Z$1,0)),"")</f>
        <v/>
      </c>
      <c r="J1918" s="6" t="str">
        <f aca="false">IFERROR(INDEX('Semrush Data'!$A$1:$Z$20000,MATCH(A1918,'Semrush Data'!$A$1:$A$20000,0),MATCH("Intent",'Semrush Data'!$A$1:$Z$1,0)),"")</f>
        <v/>
      </c>
    </row>
    <row r="1919" customFormat="false" ht="15" hidden="false" customHeight="true" outlineLevel="0" collapsed="false">
      <c r="A1919" s="6" t="s">
        <v>5956</v>
      </c>
      <c r="B1919" s="6" t="s">
        <v>1415</v>
      </c>
      <c r="C1919" s="6" t="n">
        <v>3</v>
      </c>
      <c r="D1919" s="6" t="n">
        <v>20</v>
      </c>
      <c r="E1919" s="6" t="n">
        <v>1</v>
      </c>
      <c r="F1919" s="6" t="s">
        <v>5952</v>
      </c>
      <c r="G1919" s="28" t="str">
        <f aca="false">IFERROR(INDEX('Semrush Data'!$A$1:$Z$20000,MATCH(A1919,'Semrush Data'!$A$1:$A$20000,0),MATCH("Volume",'Semrush Data'!$A$1:$Z$1,0)),"")</f>
        <v/>
      </c>
      <c r="H1919" s="6" t="str">
        <f aca="false">IFERROR(INDEX('Semrush Data'!$A$1:$Z$20000,MATCH(A1919,'Semrush Data'!$A$1:$A$20000,0),MATCH("Keyword Difficulty*",'Semrush Data'!$A$1:$Z$1,0)),"")</f>
        <v/>
      </c>
      <c r="I1919" s="29" t="str">
        <f aca="false">IFERROR(INDEX('Semrush Data'!$A$1:$Z$20000,MATCH(A1919,'Semrush Data'!$A$1:$A$20000,0),MATCH("CPC*",'Semrush Data'!$A$1:$Z$1,0)),"")</f>
        <v/>
      </c>
      <c r="J1919" s="6" t="str">
        <f aca="false">IFERROR(INDEX('Semrush Data'!$A$1:$Z$20000,MATCH(A1919,'Semrush Data'!$A$1:$A$20000,0),MATCH("Intent",'Semrush Data'!$A$1:$Z$1,0)),"")</f>
        <v/>
      </c>
    </row>
    <row r="1920" customFormat="false" ht="15" hidden="false" customHeight="true" outlineLevel="0" collapsed="false">
      <c r="A1920" s="6" t="s">
        <v>5066</v>
      </c>
      <c r="B1920" s="6" t="s">
        <v>1415</v>
      </c>
      <c r="C1920" s="6" t="n">
        <v>3</v>
      </c>
      <c r="D1920" s="6" t="n">
        <v>20</v>
      </c>
      <c r="E1920" s="6" t="n">
        <v>1</v>
      </c>
      <c r="F1920" s="6" t="s">
        <v>5061</v>
      </c>
      <c r="G1920" s="28" t="str">
        <f aca="false">IFERROR(INDEX('Semrush Data'!$A$1:$Z$20000,MATCH(A1920,'Semrush Data'!$A$1:$A$20000,0),MATCH("Volume",'Semrush Data'!$A$1:$Z$1,0)),"")</f>
        <v/>
      </c>
      <c r="H1920" s="6" t="str">
        <f aca="false">IFERROR(INDEX('Semrush Data'!$A$1:$Z$20000,MATCH(A1920,'Semrush Data'!$A$1:$A$20000,0),MATCH("Keyword Difficulty*",'Semrush Data'!$A$1:$Z$1,0)),"")</f>
        <v/>
      </c>
      <c r="I1920" s="29" t="str">
        <f aca="false">IFERROR(INDEX('Semrush Data'!$A$1:$Z$20000,MATCH(A1920,'Semrush Data'!$A$1:$A$20000,0),MATCH("CPC*",'Semrush Data'!$A$1:$Z$1,0)),"")</f>
        <v/>
      </c>
      <c r="J1920" s="6" t="str">
        <f aca="false">IFERROR(INDEX('Semrush Data'!$A$1:$Z$20000,MATCH(A1920,'Semrush Data'!$A$1:$A$20000,0),MATCH("Intent",'Semrush Data'!$A$1:$Z$1,0)),"")</f>
        <v/>
      </c>
    </row>
    <row r="1921" customFormat="false" ht="15" hidden="false" customHeight="true" outlineLevel="0" collapsed="false">
      <c r="A1921" s="6" t="s">
        <v>5118</v>
      </c>
      <c r="B1921" s="6" t="s">
        <v>1415</v>
      </c>
      <c r="C1921" s="6" t="n">
        <v>3</v>
      </c>
      <c r="D1921" s="6" t="n">
        <v>20</v>
      </c>
      <c r="E1921" s="6" t="n">
        <v>1</v>
      </c>
      <c r="F1921" s="6" t="s">
        <v>107</v>
      </c>
      <c r="G1921" s="28" t="str">
        <f aca="false">IFERROR(INDEX('Semrush Data'!$A$1:$Z$20000,MATCH(A1921,'Semrush Data'!$A$1:$A$20000,0),MATCH("Volume",'Semrush Data'!$A$1:$Z$1,0)),"")</f>
        <v/>
      </c>
      <c r="H1921" s="6" t="str">
        <f aca="false">IFERROR(INDEX('Semrush Data'!$A$1:$Z$20000,MATCH(A1921,'Semrush Data'!$A$1:$A$20000,0),MATCH("Keyword Difficulty*",'Semrush Data'!$A$1:$Z$1,0)),"")</f>
        <v/>
      </c>
      <c r="I1921" s="29" t="str">
        <f aca="false">IFERROR(INDEX('Semrush Data'!$A$1:$Z$20000,MATCH(A1921,'Semrush Data'!$A$1:$A$20000,0),MATCH("CPC*",'Semrush Data'!$A$1:$Z$1,0)),"")</f>
        <v/>
      </c>
      <c r="J1921" s="6" t="str">
        <f aca="false">IFERROR(INDEX('Semrush Data'!$A$1:$Z$20000,MATCH(A1921,'Semrush Data'!$A$1:$A$20000,0),MATCH("Intent",'Semrush Data'!$A$1:$Z$1,0)),"")</f>
        <v/>
      </c>
    </row>
    <row r="1922" customFormat="false" ht="15" hidden="false" customHeight="true" outlineLevel="0" collapsed="false">
      <c r="A1922" s="6" t="s">
        <v>5100</v>
      </c>
      <c r="B1922" s="6" t="s">
        <v>1415</v>
      </c>
      <c r="C1922" s="6" t="n">
        <v>3</v>
      </c>
      <c r="D1922" s="6" t="n">
        <v>20</v>
      </c>
      <c r="E1922" s="6" t="n">
        <v>1</v>
      </c>
      <c r="F1922" s="6" t="s">
        <v>5096</v>
      </c>
      <c r="G1922" s="28" t="str">
        <f aca="false">IFERROR(INDEX('Semrush Data'!$A$1:$Z$20000,MATCH(A1922,'Semrush Data'!$A$1:$A$20000,0),MATCH("Volume",'Semrush Data'!$A$1:$Z$1,0)),"")</f>
        <v/>
      </c>
      <c r="H1922" s="6" t="str">
        <f aca="false">IFERROR(INDEX('Semrush Data'!$A$1:$Z$20000,MATCH(A1922,'Semrush Data'!$A$1:$A$20000,0),MATCH("Keyword Difficulty*",'Semrush Data'!$A$1:$Z$1,0)),"")</f>
        <v/>
      </c>
      <c r="I1922" s="29" t="str">
        <f aca="false">IFERROR(INDEX('Semrush Data'!$A$1:$Z$20000,MATCH(A1922,'Semrush Data'!$A$1:$A$20000,0),MATCH("CPC*",'Semrush Data'!$A$1:$Z$1,0)),"")</f>
        <v/>
      </c>
      <c r="J1922" s="6" t="str">
        <f aca="false">IFERROR(INDEX('Semrush Data'!$A$1:$Z$20000,MATCH(A1922,'Semrush Data'!$A$1:$A$20000,0),MATCH("Intent",'Semrush Data'!$A$1:$Z$1,0)),"")</f>
        <v/>
      </c>
    </row>
    <row r="1923" customFormat="false" ht="15" hidden="false" customHeight="true" outlineLevel="0" collapsed="false">
      <c r="A1923" s="6" t="s">
        <v>5078</v>
      </c>
      <c r="B1923" s="6" t="s">
        <v>1415</v>
      </c>
      <c r="C1923" s="6" t="n">
        <v>3</v>
      </c>
      <c r="D1923" s="6" t="s">
        <v>6870</v>
      </c>
      <c r="E1923" s="6" t="n">
        <v>1</v>
      </c>
      <c r="F1923" s="6" t="s">
        <v>65</v>
      </c>
      <c r="G1923" s="28" t="n">
        <f aca="false">IFERROR(INDEX('Semrush Data'!$A$1:$Z$20000,MATCH(A1923,'Semrush Data'!$A$1:$A$20000,0),MATCH("Volume",'Semrush Data'!$A$1:$Z$1,0)),"")</f>
        <v>0</v>
      </c>
      <c r="H1923" s="6" t="n">
        <f aca="false">IFERROR(INDEX('Semrush Data'!$A$1:$Z$20000,MATCH(A1923,'Semrush Data'!$A$1:$A$20000,0),MATCH("Keyword Difficulty*",'Semrush Data'!$A$1:$Z$1,0)),"")</f>
        <v>28</v>
      </c>
      <c r="I1923" s="29" t="n">
        <f aca="false">IFERROR(INDEX('Semrush Data'!$A$1:$Z$20000,MATCH(A1923,'Semrush Data'!$A$1:$A$20000,0),MATCH("CPC*",'Semrush Data'!$A$1:$Z$1,0)),"")</f>
        <v>0</v>
      </c>
      <c r="J1923" s="6" t="str">
        <f aca="false">IFERROR(INDEX('Semrush Data'!$A$1:$Z$20000,MATCH(A1923,'Semrush Data'!$A$1:$A$20000,0),MATCH("Intent",'Semrush Data'!$A$1:$Z$1,0)),"")</f>
        <v>Transactional</v>
      </c>
    </row>
    <row r="1924" customFormat="false" ht="15" hidden="false" customHeight="true" outlineLevel="0" collapsed="false">
      <c r="A1924" s="6" t="s">
        <v>5109</v>
      </c>
      <c r="B1924" s="6" t="s">
        <v>1415</v>
      </c>
      <c r="C1924" s="6" t="n">
        <v>3</v>
      </c>
      <c r="D1924" s="6" t="n">
        <v>20</v>
      </c>
      <c r="E1924" s="6" t="n">
        <v>1</v>
      </c>
      <c r="F1924" s="6" t="s">
        <v>89</v>
      </c>
      <c r="G1924" s="28" t="str">
        <f aca="false">IFERROR(INDEX('Semrush Data'!$A$1:$Z$20000,MATCH(A1924,'Semrush Data'!$A$1:$A$20000,0),MATCH("Volume",'Semrush Data'!$A$1:$Z$1,0)),"")</f>
        <v/>
      </c>
      <c r="H1924" s="6" t="str">
        <f aca="false">IFERROR(INDEX('Semrush Data'!$A$1:$Z$20000,MATCH(A1924,'Semrush Data'!$A$1:$A$20000,0),MATCH("Keyword Difficulty*",'Semrush Data'!$A$1:$Z$1,0)),"")</f>
        <v/>
      </c>
      <c r="I1924" s="29" t="str">
        <f aca="false">IFERROR(INDEX('Semrush Data'!$A$1:$Z$20000,MATCH(A1924,'Semrush Data'!$A$1:$A$20000,0),MATCH("CPC*",'Semrush Data'!$A$1:$Z$1,0)),"")</f>
        <v/>
      </c>
      <c r="J1924" s="6" t="str">
        <f aca="false">IFERROR(INDEX('Semrush Data'!$A$1:$Z$20000,MATCH(A1924,'Semrush Data'!$A$1:$A$20000,0),MATCH("Intent",'Semrush Data'!$A$1:$Z$1,0)),"")</f>
        <v/>
      </c>
    </row>
    <row r="1925" customFormat="false" ht="15" hidden="false" customHeight="true" outlineLevel="0" collapsed="false">
      <c r="A1925" s="6" t="s">
        <v>5089</v>
      </c>
      <c r="B1925" s="6" t="s">
        <v>1415</v>
      </c>
      <c r="C1925" s="6" t="n">
        <v>3</v>
      </c>
      <c r="D1925" s="6" t="n">
        <v>20</v>
      </c>
      <c r="E1925" s="6" t="n">
        <v>1</v>
      </c>
      <c r="F1925" s="6" t="s">
        <v>5085</v>
      </c>
      <c r="G1925" s="28" t="str">
        <f aca="false">IFERROR(INDEX('Semrush Data'!$A$1:$Z$20000,MATCH(A1925,'Semrush Data'!$A$1:$A$20000,0),MATCH("Volume",'Semrush Data'!$A$1:$Z$1,0)),"")</f>
        <v/>
      </c>
      <c r="H1925" s="6" t="str">
        <f aca="false">IFERROR(INDEX('Semrush Data'!$A$1:$Z$20000,MATCH(A1925,'Semrush Data'!$A$1:$A$20000,0),MATCH("Keyword Difficulty*",'Semrush Data'!$A$1:$Z$1,0)),"")</f>
        <v/>
      </c>
      <c r="I1925" s="29" t="str">
        <f aca="false">IFERROR(INDEX('Semrush Data'!$A$1:$Z$20000,MATCH(A1925,'Semrush Data'!$A$1:$A$20000,0),MATCH("CPC*",'Semrush Data'!$A$1:$Z$1,0)),"")</f>
        <v/>
      </c>
      <c r="J1925" s="6" t="str">
        <f aca="false">IFERROR(INDEX('Semrush Data'!$A$1:$Z$20000,MATCH(A1925,'Semrush Data'!$A$1:$A$20000,0),MATCH("Intent",'Semrush Data'!$A$1:$Z$1,0)),"")</f>
        <v/>
      </c>
    </row>
    <row r="1926" customFormat="false" ht="15" hidden="false" customHeight="true" outlineLevel="0" collapsed="false">
      <c r="A1926" s="6" t="s">
        <v>5144</v>
      </c>
      <c r="B1926" s="6" t="s">
        <v>1415</v>
      </c>
      <c r="C1926" s="6" t="n">
        <v>3</v>
      </c>
      <c r="D1926" s="6" t="n">
        <v>20</v>
      </c>
      <c r="E1926" s="6" t="n">
        <v>1</v>
      </c>
      <c r="F1926" s="6" t="s">
        <v>5139</v>
      </c>
      <c r="G1926" s="28" t="str">
        <f aca="false">IFERROR(INDEX('Semrush Data'!$A$1:$Z$20000,MATCH(A1926,'Semrush Data'!$A$1:$A$20000,0),MATCH("Volume",'Semrush Data'!$A$1:$Z$1,0)),"")</f>
        <v/>
      </c>
      <c r="H1926" s="6" t="str">
        <f aca="false">IFERROR(INDEX('Semrush Data'!$A$1:$Z$20000,MATCH(A1926,'Semrush Data'!$A$1:$A$20000,0),MATCH("Keyword Difficulty*",'Semrush Data'!$A$1:$Z$1,0)),"")</f>
        <v/>
      </c>
      <c r="I1926" s="29" t="str">
        <f aca="false">IFERROR(INDEX('Semrush Data'!$A$1:$Z$20000,MATCH(A1926,'Semrush Data'!$A$1:$A$20000,0),MATCH("CPC*",'Semrush Data'!$A$1:$Z$1,0)),"")</f>
        <v/>
      </c>
      <c r="J1926" s="6" t="str">
        <f aca="false">IFERROR(INDEX('Semrush Data'!$A$1:$Z$20000,MATCH(A1926,'Semrush Data'!$A$1:$A$20000,0),MATCH("Intent",'Semrush Data'!$A$1:$Z$1,0)),"")</f>
        <v/>
      </c>
    </row>
    <row r="1927" customFormat="false" ht="15" hidden="false" customHeight="true" outlineLevel="0" collapsed="false">
      <c r="A1927" s="6" t="s">
        <v>5131</v>
      </c>
      <c r="B1927" s="6" t="s">
        <v>1415</v>
      </c>
      <c r="C1927" s="6" t="n">
        <v>3</v>
      </c>
      <c r="D1927" s="6" t="n">
        <v>20</v>
      </c>
      <c r="E1927" s="6" t="n">
        <v>1</v>
      </c>
      <c r="F1927" s="6" t="s">
        <v>5125</v>
      </c>
      <c r="G1927" s="28" t="str">
        <f aca="false">IFERROR(INDEX('Semrush Data'!$A$1:$Z$20000,MATCH(A1927,'Semrush Data'!$A$1:$A$20000,0),MATCH("Volume",'Semrush Data'!$A$1:$Z$1,0)),"")</f>
        <v/>
      </c>
      <c r="H1927" s="6" t="str">
        <f aca="false">IFERROR(INDEX('Semrush Data'!$A$1:$Z$20000,MATCH(A1927,'Semrush Data'!$A$1:$A$20000,0),MATCH("Keyword Difficulty*",'Semrush Data'!$A$1:$Z$1,0)),"")</f>
        <v/>
      </c>
      <c r="I1927" s="29" t="str">
        <f aca="false">IFERROR(INDEX('Semrush Data'!$A$1:$Z$20000,MATCH(A1927,'Semrush Data'!$A$1:$A$20000,0),MATCH("CPC*",'Semrush Data'!$A$1:$Z$1,0)),"")</f>
        <v/>
      </c>
      <c r="J1927" s="6" t="str">
        <f aca="false">IFERROR(INDEX('Semrush Data'!$A$1:$Z$20000,MATCH(A1927,'Semrush Data'!$A$1:$A$20000,0),MATCH("Intent",'Semrush Data'!$A$1:$Z$1,0)),"")</f>
        <v/>
      </c>
    </row>
    <row r="1928" customFormat="false" ht="15" hidden="false" customHeight="true" outlineLevel="0" collapsed="false">
      <c r="A1928" s="6" t="s">
        <v>5157</v>
      </c>
      <c r="B1928" s="6" t="s">
        <v>1415</v>
      </c>
      <c r="C1928" s="6" t="n">
        <v>3</v>
      </c>
      <c r="D1928" s="6" t="n">
        <v>20</v>
      </c>
      <c r="E1928" s="6" t="n">
        <v>1</v>
      </c>
      <c r="F1928" s="6" t="s">
        <v>5151</v>
      </c>
      <c r="G1928" s="28" t="str">
        <f aca="false">IFERROR(INDEX('Semrush Data'!$A$1:$Z$20000,MATCH(A1928,'Semrush Data'!$A$1:$A$20000,0),MATCH("Volume",'Semrush Data'!$A$1:$Z$1,0)),"")</f>
        <v/>
      </c>
      <c r="H1928" s="6" t="str">
        <f aca="false">IFERROR(INDEX('Semrush Data'!$A$1:$Z$20000,MATCH(A1928,'Semrush Data'!$A$1:$A$20000,0),MATCH("Keyword Difficulty*",'Semrush Data'!$A$1:$Z$1,0)),"")</f>
        <v/>
      </c>
      <c r="I1928" s="29" t="str">
        <f aca="false">IFERROR(INDEX('Semrush Data'!$A$1:$Z$20000,MATCH(A1928,'Semrush Data'!$A$1:$A$20000,0),MATCH("CPC*",'Semrush Data'!$A$1:$Z$1,0)),"")</f>
        <v/>
      </c>
      <c r="J1928" s="6" t="str">
        <f aca="false">IFERROR(INDEX('Semrush Data'!$A$1:$Z$20000,MATCH(A1928,'Semrush Data'!$A$1:$A$20000,0),MATCH("Intent",'Semrush Data'!$A$1:$Z$1,0)),"")</f>
        <v/>
      </c>
    </row>
    <row r="1929" customFormat="false" ht="15" hidden="false" customHeight="true" outlineLevel="0" collapsed="false">
      <c r="A1929" s="6" t="s">
        <v>5168</v>
      </c>
      <c r="B1929" s="6" t="s">
        <v>1415</v>
      </c>
      <c r="C1929" s="6" t="n">
        <v>3</v>
      </c>
      <c r="D1929" s="6" t="n">
        <v>20</v>
      </c>
      <c r="E1929" s="6" t="n">
        <v>1</v>
      </c>
      <c r="F1929" s="6" t="s">
        <v>5164</v>
      </c>
      <c r="G1929" s="28" t="str">
        <f aca="false">IFERROR(INDEX('Semrush Data'!$A$1:$Z$20000,MATCH(A1929,'Semrush Data'!$A$1:$A$20000,0),MATCH("Volume",'Semrush Data'!$A$1:$Z$1,0)),"")</f>
        <v/>
      </c>
      <c r="H1929" s="6" t="str">
        <f aca="false">IFERROR(INDEX('Semrush Data'!$A$1:$Z$20000,MATCH(A1929,'Semrush Data'!$A$1:$A$20000,0),MATCH("Keyword Difficulty*",'Semrush Data'!$A$1:$Z$1,0)),"")</f>
        <v/>
      </c>
      <c r="I1929" s="29" t="str">
        <f aca="false">IFERROR(INDEX('Semrush Data'!$A$1:$Z$20000,MATCH(A1929,'Semrush Data'!$A$1:$A$20000,0),MATCH("CPC*",'Semrush Data'!$A$1:$Z$1,0)),"")</f>
        <v/>
      </c>
      <c r="J1929" s="6" t="str">
        <f aca="false">IFERROR(INDEX('Semrush Data'!$A$1:$Z$20000,MATCH(A1929,'Semrush Data'!$A$1:$A$20000,0),MATCH("Intent",'Semrush Data'!$A$1:$Z$1,0)),"")</f>
        <v/>
      </c>
    </row>
    <row r="1930" customFormat="false" ht="15" hidden="false" customHeight="true" outlineLevel="0" collapsed="false">
      <c r="A1930" s="6" t="s">
        <v>5180</v>
      </c>
      <c r="B1930" s="6" t="s">
        <v>1415</v>
      </c>
      <c r="C1930" s="6" t="n">
        <v>3</v>
      </c>
      <c r="D1930" s="6" t="n">
        <v>20</v>
      </c>
      <c r="E1930" s="6" t="n">
        <v>1</v>
      </c>
      <c r="F1930" s="6" t="s">
        <v>5174</v>
      </c>
      <c r="G1930" s="28" t="str">
        <f aca="false">IFERROR(INDEX('Semrush Data'!$A$1:$Z$20000,MATCH(A1930,'Semrush Data'!$A$1:$A$20000,0),MATCH("Volume",'Semrush Data'!$A$1:$Z$1,0)),"")</f>
        <v/>
      </c>
      <c r="H1930" s="6" t="str">
        <f aca="false">IFERROR(INDEX('Semrush Data'!$A$1:$Z$20000,MATCH(A1930,'Semrush Data'!$A$1:$A$20000,0),MATCH("Keyword Difficulty*",'Semrush Data'!$A$1:$Z$1,0)),"")</f>
        <v/>
      </c>
      <c r="I1930" s="29" t="str">
        <f aca="false">IFERROR(INDEX('Semrush Data'!$A$1:$Z$20000,MATCH(A1930,'Semrush Data'!$A$1:$A$20000,0),MATCH("CPC*",'Semrush Data'!$A$1:$Z$1,0)),"")</f>
        <v/>
      </c>
      <c r="J1930" s="6" t="str">
        <f aca="false">IFERROR(INDEX('Semrush Data'!$A$1:$Z$20000,MATCH(A1930,'Semrush Data'!$A$1:$A$20000,0),MATCH("Intent",'Semrush Data'!$A$1:$Z$1,0)),"")</f>
        <v/>
      </c>
    </row>
    <row r="1931" customFormat="false" ht="15" hidden="false" customHeight="true" outlineLevel="0" collapsed="false">
      <c r="A1931" s="6" t="s">
        <v>5190</v>
      </c>
      <c r="B1931" s="6" t="s">
        <v>1415</v>
      </c>
      <c r="C1931" s="6" t="n">
        <v>3</v>
      </c>
      <c r="D1931" s="6" t="n">
        <v>20</v>
      </c>
      <c r="E1931" s="6" t="n">
        <v>1</v>
      </c>
      <c r="F1931" s="6" t="s">
        <v>5186</v>
      </c>
      <c r="G1931" s="28" t="str">
        <f aca="false">IFERROR(INDEX('Semrush Data'!$A$1:$Z$20000,MATCH(A1931,'Semrush Data'!$A$1:$A$20000,0),MATCH("Volume",'Semrush Data'!$A$1:$Z$1,0)),"")</f>
        <v/>
      </c>
      <c r="H1931" s="6" t="str">
        <f aca="false">IFERROR(INDEX('Semrush Data'!$A$1:$Z$20000,MATCH(A1931,'Semrush Data'!$A$1:$A$20000,0),MATCH("Keyword Difficulty*",'Semrush Data'!$A$1:$Z$1,0)),"")</f>
        <v/>
      </c>
      <c r="I1931" s="29" t="str">
        <f aca="false">IFERROR(INDEX('Semrush Data'!$A$1:$Z$20000,MATCH(A1931,'Semrush Data'!$A$1:$A$20000,0),MATCH("CPC*",'Semrush Data'!$A$1:$Z$1,0)),"")</f>
        <v/>
      </c>
      <c r="J1931" s="6" t="str">
        <f aca="false">IFERROR(INDEX('Semrush Data'!$A$1:$Z$20000,MATCH(A1931,'Semrush Data'!$A$1:$A$20000,0),MATCH("Intent",'Semrush Data'!$A$1:$Z$1,0)),"")</f>
        <v/>
      </c>
    </row>
    <row r="1932" customFormat="false" ht="15" hidden="false" customHeight="true" outlineLevel="0" collapsed="false">
      <c r="A1932" s="6" t="s">
        <v>5200</v>
      </c>
      <c r="B1932" s="6" t="s">
        <v>1415</v>
      </c>
      <c r="C1932" s="6" t="n">
        <v>3</v>
      </c>
      <c r="D1932" s="6" t="n">
        <v>20</v>
      </c>
      <c r="E1932" s="6" t="n">
        <v>1</v>
      </c>
      <c r="F1932" s="6" t="s">
        <v>5195</v>
      </c>
      <c r="G1932" s="28" t="str">
        <f aca="false">IFERROR(INDEX('Semrush Data'!$A$1:$Z$20000,MATCH(A1932,'Semrush Data'!$A$1:$A$20000,0),MATCH("Volume",'Semrush Data'!$A$1:$Z$1,0)),"")</f>
        <v/>
      </c>
      <c r="H1932" s="6" t="str">
        <f aca="false">IFERROR(INDEX('Semrush Data'!$A$1:$Z$20000,MATCH(A1932,'Semrush Data'!$A$1:$A$20000,0),MATCH("Keyword Difficulty*",'Semrush Data'!$A$1:$Z$1,0)),"")</f>
        <v/>
      </c>
      <c r="I1932" s="29" t="str">
        <f aca="false">IFERROR(INDEX('Semrush Data'!$A$1:$Z$20000,MATCH(A1932,'Semrush Data'!$A$1:$A$20000,0),MATCH("CPC*",'Semrush Data'!$A$1:$Z$1,0)),"")</f>
        <v/>
      </c>
      <c r="J1932" s="6" t="str">
        <f aca="false">IFERROR(INDEX('Semrush Data'!$A$1:$Z$20000,MATCH(A1932,'Semrush Data'!$A$1:$A$20000,0),MATCH("Intent",'Semrush Data'!$A$1:$Z$1,0)),"")</f>
        <v/>
      </c>
    </row>
    <row r="1933" customFormat="false" ht="15" hidden="false" customHeight="true" outlineLevel="0" collapsed="false">
      <c r="A1933" s="6" t="s">
        <v>5220</v>
      </c>
      <c r="B1933" s="6" t="s">
        <v>1415</v>
      </c>
      <c r="C1933" s="6" t="n">
        <v>3</v>
      </c>
      <c r="D1933" s="6" t="n">
        <v>20</v>
      </c>
      <c r="E1933" s="6" t="n">
        <v>1</v>
      </c>
      <c r="F1933" s="6" t="s">
        <v>5216</v>
      </c>
      <c r="G1933" s="28" t="str">
        <f aca="false">IFERROR(INDEX('Semrush Data'!$A$1:$Z$20000,MATCH(A1933,'Semrush Data'!$A$1:$A$20000,0),MATCH("Volume",'Semrush Data'!$A$1:$Z$1,0)),"")</f>
        <v/>
      </c>
      <c r="H1933" s="6" t="str">
        <f aca="false">IFERROR(INDEX('Semrush Data'!$A$1:$Z$20000,MATCH(A1933,'Semrush Data'!$A$1:$A$20000,0),MATCH("Keyword Difficulty*",'Semrush Data'!$A$1:$Z$1,0)),"")</f>
        <v/>
      </c>
      <c r="I1933" s="29" t="str">
        <f aca="false">IFERROR(INDEX('Semrush Data'!$A$1:$Z$20000,MATCH(A1933,'Semrush Data'!$A$1:$A$20000,0),MATCH("CPC*",'Semrush Data'!$A$1:$Z$1,0)),"")</f>
        <v/>
      </c>
      <c r="J1933" s="6" t="str">
        <f aca="false">IFERROR(INDEX('Semrush Data'!$A$1:$Z$20000,MATCH(A1933,'Semrush Data'!$A$1:$A$20000,0),MATCH("Intent",'Semrush Data'!$A$1:$Z$1,0)),"")</f>
        <v/>
      </c>
    </row>
    <row r="1934" customFormat="false" ht="15" hidden="false" customHeight="true" outlineLevel="0" collapsed="false">
      <c r="A1934" s="6" t="s">
        <v>5209</v>
      </c>
      <c r="B1934" s="6" t="s">
        <v>1415</v>
      </c>
      <c r="C1934" s="6" t="n">
        <v>3</v>
      </c>
      <c r="D1934" s="6" t="s">
        <v>6870</v>
      </c>
      <c r="E1934" s="6" t="n">
        <v>1</v>
      </c>
      <c r="F1934" s="6" t="s">
        <v>55</v>
      </c>
      <c r="G1934" s="28" t="n">
        <f aca="false">IFERROR(INDEX('Semrush Data'!$A$1:$Z$20000,MATCH(A1934,'Semrush Data'!$A$1:$A$20000,0),MATCH("Volume",'Semrush Data'!$A$1:$Z$1,0)),"")</f>
        <v>0</v>
      </c>
      <c r="H1934" s="6" t="n">
        <f aca="false">IFERROR(INDEX('Semrush Data'!$A$1:$Z$20000,MATCH(A1934,'Semrush Data'!$A$1:$A$20000,0),MATCH("Keyword Difficulty*",'Semrush Data'!$A$1:$Z$1,0)),"")</f>
        <v>18</v>
      </c>
      <c r="I1934" s="29" t="n">
        <f aca="false">IFERROR(INDEX('Semrush Data'!$A$1:$Z$20000,MATCH(A1934,'Semrush Data'!$A$1:$A$20000,0),MATCH("CPC*",'Semrush Data'!$A$1:$Z$1,0)),"")</f>
        <v>0</v>
      </c>
      <c r="J1934" s="6" t="str">
        <f aca="false">IFERROR(INDEX('Semrush Data'!$A$1:$Z$20000,MATCH(A1934,'Semrush Data'!$A$1:$A$20000,0),MATCH("Intent",'Semrush Data'!$A$1:$Z$1,0)),"")</f>
        <v>Transactional</v>
      </c>
    </row>
    <row r="1935" customFormat="false" ht="15" hidden="false" customHeight="true" outlineLevel="0" collapsed="false">
      <c r="A1935" s="6" t="s">
        <v>5233</v>
      </c>
      <c r="B1935" s="6" t="s">
        <v>1415</v>
      </c>
      <c r="C1935" s="6" t="n">
        <v>3</v>
      </c>
      <c r="D1935" s="6" t="n">
        <v>20</v>
      </c>
      <c r="E1935" s="6" t="n">
        <v>3</v>
      </c>
      <c r="F1935" s="6" t="s">
        <v>6636</v>
      </c>
      <c r="G1935" s="28" t="str">
        <f aca="false">IFERROR(INDEX('Semrush Data'!$A$1:$Z$20000,MATCH(A1935,'Semrush Data'!$A$1:$A$20000,0),MATCH("Volume",'Semrush Data'!$A$1:$Z$1,0)),"")</f>
        <v/>
      </c>
      <c r="H1935" s="6" t="str">
        <f aca="false">IFERROR(INDEX('Semrush Data'!$A$1:$Z$20000,MATCH(A1935,'Semrush Data'!$A$1:$A$20000,0),MATCH("Keyword Difficulty*",'Semrush Data'!$A$1:$Z$1,0)),"")</f>
        <v/>
      </c>
      <c r="I1935" s="29" t="str">
        <f aca="false">IFERROR(INDEX('Semrush Data'!$A$1:$Z$20000,MATCH(A1935,'Semrush Data'!$A$1:$A$20000,0),MATCH("CPC*",'Semrush Data'!$A$1:$Z$1,0)),"")</f>
        <v/>
      </c>
      <c r="J1935" s="6" t="str">
        <f aca="false">IFERROR(INDEX('Semrush Data'!$A$1:$Z$20000,MATCH(A1935,'Semrush Data'!$A$1:$A$20000,0),MATCH("Intent",'Semrush Data'!$A$1:$Z$1,0)),"")</f>
        <v/>
      </c>
    </row>
    <row r="1936" customFormat="false" ht="15" hidden="false" customHeight="true" outlineLevel="0" collapsed="false">
      <c r="A1936" s="6" t="s">
        <v>5249</v>
      </c>
      <c r="B1936" s="6" t="s">
        <v>1415</v>
      </c>
      <c r="C1936" s="6" t="n">
        <v>3</v>
      </c>
      <c r="D1936" s="6" t="n">
        <v>20</v>
      </c>
      <c r="E1936" s="6" t="n">
        <v>1</v>
      </c>
      <c r="F1936" s="6" t="s">
        <v>5244</v>
      </c>
      <c r="G1936" s="28" t="str">
        <f aca="false">IFERROR(INDEX('Semrush Data'!$A$1:$Z$20000,MATCH(A1936,'Semrush Data'!$A$1:$A$20000,0),MATCH("Volume",'Semrush Data'!$A$1:$Z$1,0)),"")</f>
        <v/>
      </c>
      <c r="H1936" s="6" t="str">
        <f aca="false">IFERROR(INDEX('Semrush Data'!$A$1:$Z$20000,MATCH(A1936,'Semrush Data'!$A$1:$A$20000,0),MATCH("Keyword Difficulty*",'Semrush Data'!$A$1:$Z$1,0)),"")</f>
        <v/>
      </c>
      <c r="I1936" s="29" t="str">
        <f aca="false">IFERROR(INDEX('Semrush Data'!$A$1:$Z$20000,MATCH(A1936,'Semrush Data'!$A$1:$A$20000,0),MATCH("CPC*",'Semrush Data'!$A$1:$Z$1,0)),"")</f>
        <v/>
      </c>
      <c r="J1936" s="6" t="str">
        <f aca="false">IFERROR(INDEX('Semrush Data'!$A$1:$Z$20000,MATCH(A1936,'Semrush Data'!$A$1:$A$20000,0),MATCH("Intent",'Semrush Data'!$A$1:$Z$1,0)),"")</f>
        <v/>
      </c>
    </row>
    <row r="1937" customFormat="false" ht="15" hidden="false" customHeight="true" outlineLevel="0" collapsed="false">
      <c r="A1937" s="6" t="s">
        <v>5262</v>
      </c>
      <c r="B1937" s="6" t="s">
        <v>1415</v>
      </c>
      <c r="C1937" s="6" t="n">
        <v>3</v>
      </c>
      <c r="D1937" s="6" t="n">
        <v>20</v>
      </c>
      <c r="E1937" s="6" t="n">
        <v>1</v>
      </c>
      <c r="F1937" s="6" t="s">
        <v>5257</v>
      </c>
      <c r="G1937" s="28" t="str">
        <f aca="false">IFERROR(INDEX('Semrush Data'!$A$1:$Z$20000,MATCH(A1937,'Semrush Data'!$A$1:$A$20000,0),MATCH("Volume",'Semrush Data'!$A$1:$Z$1,0)),"")</f>
        <v/>
      </c>
      <c r="H1937" s="6" t="str">
        <f aca="false">IFERROR(INDEX('Semrush Data'!$A$1:$Z$20000,MATCH(A1937,'Semrush Data'!$A$1:$A$20000,0),MATCH("Keyword Difficulty*",'Semrush Data'!$A$1:$Z$1,0)),"")</f>
        <v/>
      </c>
      <c r="I1937" s="29" t="str">
        <f aca="false">IFERROR(INDEX('Semrush Data'!$A$1:$Z$20000,MATCH(A1937,'Semrush Data'!$A$1:$A$20000,0),MATCH("CPC*",'Semrush Data'!$A$1:$Z$1,0)),"")</f>
        <v/>
      </c>
      <c r="J1937" s="6" t="str">
        <f aca="false">IFERROR(INDEX('Semrush Data'!$A$1:$Z$20000,MATCH(A1937,'Semrush Data'!$A$1:$A$20000,0),MATCH("Intent",'Semrush Data'!$A$1:$Z$1,0)),"")</f>
        <v/>
      </c>
    </row>
    <row r="1938" customFormat="false" ht="15" hidden="false" customHeight="true" outlineLevel="0" collapsed="false">
      <c r="A1938" s="6" t="s">
        <v>5275</v>
      </c>
      <c r="B1938" s="6" t="s">
        <v>1415</v>
      </c>
      <c r="C1938" s="6" t="n">
        <v>3</v>
      </c>
      <c r="D1938" s="6" t="n">
        <v>20</v>
      </c>
      <c r="E1938" s="6" t="n">
        <v>1</v>
      </c>
      <c r="F1938" s="6" t="s">
        <v>5270</v>
      </c>
      <c r="G1938" s="28" t="str">
        <f aca="false">IFERROR(INDEX('Semrush Data'!$A$1:$Z$20000,MATCH(A1938,'Semrush Data'!$A$1:$A$20000,0),MATCH("Volume",'Semrush Data'!$A$1:$Z$1,0)),"")</f>
        <v/>
      </c>
      <c r="H1938" s="6" t="str">
        <f aca="false">IFERROR(INDEX('Semrush Data'!$A$1:$Z$20000,MATCH(A1938,'Semrush Data'!$A$1:$A$20000,0),MATCH("Keyword Difficulty*",'Semrush Data'!$A$1:$Z$1,0)),"")</f>
        <v/>
      </c>
      <c r="I1938" s="29" t="str">
        <f aca="false">IFERROR(INDEX('Semrush Data'!$A$1:$Z$20000,MATCH(A1938,'Semrush Data'!$A$1:$A$20000,0),MATCH("CPC*",'Semrush Data'!$A$1:$Z$1,0)),"")</f>
        <v/>
      </c>
      <c r="J1938" s="6" t="str">
        <f aca="false">IFERROR(INDEX('Semrush Data'!$A$1:$Z$20000,MATCH(A1938,'Semrush Data'!$A$1:$A$20000,0),MATCH("Intent",'Semrush Data'!$A$1:$Z$1,0)),"")</f>
        <v/>
      </c>
    </row>
    <row r="1939" customFormat="false" ht="15" hidden="false" customHeight="true" outlineLevel="0" collapsed="false">
      <c r="A1939" s="6" t="s">
        <v>5977</v>
      </c>
      <c r="B1939" s="6" t="s">
        <v>1415</v>
      </c>
      <c r="C1939" s="6" t="n">
        <v>3</v>
      </c>
      <c r="D1939" s="6" t="n">
        <v>20</v>
      </c>
      <c r="E1939" s="6" t="n">
        <v>1</v>
      </c>
      <c r="F1939" s="6" t="s">
        <v>5973</v>
      </c>
      <c r="G1939" s="28" t="str">
        <f aca="false">IFERROR(INDEX('Semrush Data'!$A$1:$Z$20000,MATCH(A1939,'Semrush Data'!$A$1:$A$20000,0),MATCH("Volume",'Semrush Data'!$A$1:$Z$1,0)),"")</f>
        <v/>
      </c>
      <c r="H1939" s="6" t="str">
        <f aca="false">IFERROR(INDEX('Semrush Data'!$A$1:$Z$20000,MATCH(A1939,'Semrush Data'!$A$1:$A$20000,0),MATCH("Keyword Difficulty*",'Semrush Data'!$A$1:$Z$1,0)),"")</f>
        <v/>
      </c>
      <c r="I1939" s="29" t="str">
        <f aca="false">IFERROR(INDEX('Semrush Data'!$A$1:$Z$20000,MATCH(A1939,'Semrush Data'!$A$1:$A$20000,0),MATCH("CPC*",'Semrush Data'!$A$1:$Z$1,0)),"")</f>
        <v/>
      </c>
      <c r="J1939" s="6" t="str">
        <f aca="false">IFERROR(INDEX('Semrush Data'!$A$1:$Z$20000,MATCH(A1939,'Semrush Data'!$A$1:$A$20000,0),MATCH("Intent",'Semrush Data'!$A$1:$Z$1,0)),"")</f>
        <v/>
      </c>
    </row>
    <row r="1940" customFormat="false" ht="15" hidden="false" customHeight="true" outlineLevel="0" collapsed="false">
      <c r="A1940" s="6" t="s">
        <v>5287</v>
      </c>
      <c r="B1940" s="6" t="s">
        <v>1415</v>
      </c>
      <c r="C1940" s="6" t="n">
        <v>3</v>
      </c>
      <c r="D1940" s="6" t="n">
        <v>20</v>
      </c>
      <c r="E1940" s="6" t="n">
        <v>1</v>
      </c>
      <c r="F1940" s="6" t="s">
        <v>5282</v>
      </c>
      <c r="G1940" s="28" t="str">
        <f aca="false">IFERROR(INDEX('Semrush Data'!$A$1:$Z$20000,MATCH(A1940,'Semrush Data'!$A$1:$A$20000,0),MATCH("Volume",'Semrush Data'!$A$1:$Z$1,0)),"")</f>
        <v/>
      </c>
      <c r="H1940" s="6" t="str">
        <f aca="false">IFERROR(INDEX('Semrush Data'!$A$1:$Z$20000,MATCH(A1940,'Semrush Data'!$A$1:$A$20000,0),MATCH("Keyword Difficulty*",'Semrush Data'!$A$1:$Z$1,0)),"")</f>
        <v/>
      </c>
      <c r="I1940" s="29" t="str">
        <f aca="false">IFERROR(INDEX('Semrush Data'!$A$1:$Z$20000,MATCH(A1940,'Semrush Data'!$A$1:$A$20000,0),MATCH("CPC*",'Semrush Data'!$A$1:$Z$1,0)),"")</f>
        <v/>
      </c>
      <c r="J1940" s="6" t="str">
        <f aca="false">IFERROR(INDEX('Semrush Data'!$A$1:$Z$20000,MATCH(A1940,'Semrush Data'!$A$1:$A$20000,0),MATCH("Intent",'Semrush Data'!$A$1:$Z$1,0)),"")</f>
        <v/>
      </c>
    </row>
    <row r="1941" customFormat="false" ht="15" hidden="false" customHeight="true" outlineLevel="0" collapsed="false">
      <c r="A1941" s="6" t="s">
        <v>5322</v>
      </c>
      <c r="B1941" s="6" t="s">
        <v>1415</v>
      </c>
      <c r="C1941" s="6" t="n">
        <v>3</v>
      </c>
      <c r="D1941" s="6" t="n">
        <v>20</v>
      </c>
      <c r="E1941" s="6" t="n">
        <v>1</v>
      </c>
      <c r="F1941" s="6" t="s">
        <v>5318</v>
      </c>
      <c r="G1941" s="28" t="str">
        <f aca="false">IFERROR(INDEX('Semrush Data'!$A$1:$Z$20000,MATCH(A1941,'Semrush Data'!$A$1:$A$20000,0),MATCH("Volume",'Semrush Data'!$A$1:$Z$1,0)),"")</f>
        <v/>
      </c>
      <c r="H1941" s="6" t="str">
        <f aca="false">IFERROR(INDEX('Semrush Data'!$A$1:$Z$20000,MATCH(A1941,'Semrush Data'!$A$1:$A$20000,0),MATCH("Keyword Difficulty*",'Semrush Data'!$A$1:$Z$1,0)),"")</f>
        <v/>
      </c>
      <c r="I1941" s="29" t="str">
        <f aca="false">IFERROR(INDEX('Semrush Data'!$A$1:$Z$20000,MATCH(A1941,'Semrush Data'!$A$1:$A$20000,0),MATCH("CPC*",'Semrush Data'!$A$1:$Z$1,0)),"")</f>
        <v/>
      </c>
      <c r="J1941" s="6" t="str">
        <f aca="false">IFERROR(INDEX('Semrush Data'!$A$1:$Z$20000,MATCH(A1941,'Semrush Data'!$A$1:$A$20000,0),MATCH("Intent",'Semrush Data'!$A$1:$Z$1,0)),"")</f>
        <v/>
      </c>
    </row>
    <row r="1942" customFormat="false" ht="15" hidden="false" customHeight="true" outlineLevel="0" collapsed="false">
      <c r="A1942" s="6" t="s">
        <v>5345</v>
      </c>
      <c r="B1942" s="6" t="s">
        <v>1415</v>
      </c>
      <c r="C1942" s="6" t="n">
        <v>3</v>
      </c>
      <c r="D1942" s="6" t="n">
        <v>20</v>
      </c>
      <c r="E1942" s="6" t="n">
        <v>1</v>
      </c>
      <c r="F1942" s="6" t="s">
        <v>5340</v>
      </c>
      <c r="G1942" s="28" t="str">
        <f aca="false">IFERROR(INDEX('Semrush Data'!$A$1:$Z$20000,MATCH(A1942,'Semrush Data'!$A$1:$A$20000,0),MATCH("Volume",'Semrush Data'!$A$1:$Z$1,0)),"")</f>
        <v/>
      </c>
      <c r="H1942" s="6" t="str">
        <f aca="false">IFERROR(INDEX('Semrush Data'!$A$1:$Z$20000,MATCH(A1942,'Semrush Data'!$A$1:$A$20000,0),MATCH("Keyword Difficulty*",'Semrush Data'!$A$1:$Z$1,0)),"")</f>
        <v/>
      </c>
      <c r="I1942" s="29" t="str">
        <f aca="false">IFERROR(INDEX('Semrush Data'!$A$1:$Z$20000,MATCH(A1942,'Semrush Data'!$A$1:$A$20000,0),MATCH("CPC*",'Semrush Data'!$A$1:$Z$1,0)),"")</f>
        <v/>
      </c>
      <c r="J1942" s="6" t="str">
        <f aca="false">IFERROR(INDEX('Semrush Data'!$A$1:$Z$20000,MATCH(A1942,'Semrush Data'!$A$1:$A$20000,0),MATCH("Intent",'Semrush Data'!$A$1:$Z$1,0)),"")</f>
        <v/>
      </c>
    </row>
    <row r="1943" customFormat="false" ht="15" hidden="false" customHeight="true" outlineLevel="0" collapsed="false">
      <c r="A1943" s="6" t="s">
        <v>5332</v>
      </c>
      <c r="B1943" s="6" t="s">
        <v>1415</v>
      </c>
      <c r="C1943" s="6" t="n">
        <v>3</v>
      </c>
      <c r="D1943" s="6" t="n">
        <v>20</v>
      </c>
      <c r="E1943" s="6" t="n">
        <v>1</v>
      </c>
      <c r="F1943" s="6" t="s">
        <v>5328</v>
      </c>
      <c r="G1943" s="28" t="str">
        <f aca="false">IFERROR(INDEX('Semrush Data'!$A$1:$Z$20000,MATCH(A1943,'Semrush Data'!$A$1:$A$20000,0),MATCH("Volume",'Semrush Data'!$A$1:$Z$1,0)),"")</f>
        <v/>
      </c>
      <c r="H1943" s="6" t="str">
        <f aca="false">IFERROR(INDEX('Semrush Data'!$A$1:$Z$20000,MATCH(A1943,'Semrush Data'!$A$1:$A$20000,0),MATCH("Keyword Difficulty*",'Semrush Data'!$A$1:$Z$1,0)),"")</f>
        <v/>
      </c>
      <c r="I1943" s="29" t="str">
        <f aca="false">IFERROR(INDEX('Semrush Data'!$A$1:$Z$20000,MATCH(A1943,'Semrush Data'!$A$1:$A$20000,0),MATCH("CPC*",'Semrush Data'!$A$1:$Z$1,0)),"")</f>
        <v/>
      </c>
      <c r="J1943" s="6" t="str">
        <f aca="false">IFERROR(INDEX('Semrush Data'!$A$1:$Z$20000,MATCH(A1943,'Semrush Data'!$A$1:$A$20000,0),MATCH("Intent",'Semrush Data'!$A$1:$Z$1,0)),"")</f>
        <v/>
      </c>
    </row>
    <row r="1944" customFormat="false" ht="15" hidden="false" customHeight="true" outlineLevel="0" collapsed="false">
      <c r="A1944" s="6" t="s">
        <v>5299</v>
      </c>
      <c r="B1944" s="6" t="s">
        <v>1415</v>
      </c>
      <c r="C1944" s="6" t="n">
        <v>3</v>
      </c>
      <c r="D1944" s="6" t="n">
        <v>20</v>
      </c>
      <c r="E1944" s="6" t="n">
        <v>1</v>
      </c>
      <c r="F1944" s="6" t="s">
        <v>5294</v>
      </c>
      <c r="G1944" s="28" t="str">
        <f aca="false">IFERROR(INDEX('Semrush Data'!$A$1:$Z$20000,MATCH(A1944,'Semrush Data'!$A$1:$A$20000,0),MATCH("Volume",'Semrush Data'!$A$1:$Z$1,0)),"")</f>
        <v/>
      </c>
      <c r="H1944" s="6" t="str">
        <f aca="false">IFERROR(INDEX('Semrush Data'!$A$1:$Z$20000,MATCH(A1944,'Semrush Data'!$A$1:$A$20000,0),MATCH("Keyword Difficulty*",'Semrush Data'!$A$1:$Z$1,0)),"")</f>
        <v/>
      </c>
      <c r="I1944" s="29" t="str">
        <f aca="false">IFERROR(INDEX('Semrush Data'!$A$1:$Z$20000,MATCH(A1944,'Semrush Data'!$A$1:$A$20000,0),MATCH("CPC*",'Semrush Data'!$A$1:$Z$1,0)),"")</f>
        <v/>
      </c>
      <c r="J1944" s="6" t="str">
        <f aca="false">IFERROR(INDEX('Semrush Data'!$A$1:$Z$20000,MATCH(A1944,'Semrush Data'!$A$1:$A$20000,0),MATCH("Intent",'Semrush Data'!$A$1:$Z$1,0)),"")</f>
        <v/>
      </c>
    </row>
    <row r="1945" customFormat="false" ht="15" hidden="false" customHeight="true" outlineLevel="0" collapsed="false">
      <c r="A1945" s="6" t="s">
        <v>5311</v>
      </c>
      <c r="B1945" s="6" t="s">
        <v>1415</v>
      </c>
      <c r="C1945" s="6" t="n">
        <v>3</v>
      </c>
      <c r="D1945" s="6" t="n">
        <v>20</v>
      </c>
      <c r="E1945" s="6" t="n">
        <v>1</v>
      </c>
      <c r="F1945" s="6" t="s">
        <v>5307</v>
      </c>
      <c r="G1945" s="28" t="str">
        <f aca="false">IFERROR(INDEX('Semrush Data'!$A$1:$Z$20000,MATCH(A1945,'Semrush Data'!$A$1:$A$20000,0),MATCH("Volume",'Semrush Data'!$A$1:$Z$1,0)),"")</f>
        <v/>
      </c>
      <c r="H1945" s="6" t="str">
        <f aca="false">IFERROR(INDEX('Semrush Data'!$A$1:$Z$20000,MATCH(A1945,'Semrush Data'!$A$1:$A$20000,0),MATCH("Keyword Difficulty*",'Semrush Data'!$A$1:$Z$1,0)),"")</f>
        <v/>
      </c>
      <c r="I1945" s="29" t="str">
        <f aca="false">IFERROR(INDEX('Semrush Data'!$A$1:$Z$20000,MATCH(A1945,'Semrush Data'!$A$1:$A$20000,0),MATCH("CPC*",'Semrush Data'!$A$1:$Z$1,0)),"")</f>
        <v/>
      </c>
      <c r="J1945" s="6" t="str">
        <f aca="false">IFERROR(INDEX('Semrush Data'!$A$1:$Z$20000,MATCH(A1945,'Semrush Data'!$A$1:$A$20000,0),MATCH("Intent",'Semrush Data'!$A$1:$Z$1,0)),"")</f>
        <v/>
      </c>
    </row>
    <row r="1946" customFormat="false" ht="15" hidden="false" customHeight="true" outlineLevel="0" collapsed="false">
      <c r="A1946" s="6" t="s">
        <v>5354</v>
      </c>
      <c r="B1946" s="6" t="s">
        <v>1415</v>
      </c>
      <c r="C1946" s="6" t="n">
        <v>3</v>
      </c>
      <c r="D1946" s="6" t="n">
        <v>20</v>
      </c>
      <c r="E1946" s="6" t="n">
        <v>1</v>
      </c>
      <c r="F1946" s="6" t="s">
        <v>5349</v>
      </c>
      <c r="G1946" s="28" t="str">
        <f aca="false">IFERROR(INDEX('Semrush Data'!$A$1:$Z$20000,MATCH(A1946,'Semrush Data'!$A$1:$A$20000,0),MATCH("Volume",'Semrush Data'!$A$1:$Z$1,0)),"")</f>
        <v/>
      </c>
      <c r="H1946" s="6" t="str">
        <f aca="false">IFERROR(INDEX('Semrush Data'!$A$1:$Z$20000,MATCH(A1946,'Semrush Data'!$A$1:$A$20000,0),MATCH("Keyword Difficulty*",'Semrush Data'!$A$1:$Z$1,0)),"")</f>
        <v/>
      </c>
      <c r="I1946" s="29" t="str">
        <f aca="false">IFERROR(INDEX('Semrush Data'!$A$1:$Z$20000,MATCH(A1946,'Semrush Data'!$A$1:$A$20000,0),MATCH("CPC*",'Semrush Data'!$A$1:$Z$1,0)),"")</f>
        <v/>
      </c>
      <c r="J1946" s="6" t="str">
        <f aca="false">IFERROR(INDEX('Semrush Data'!$A$1:$Z$20000,MATCH(A1946,'Semrush Data'!$A$1:$A$20000,0),MATCH("Intent",'Semrush Data'!$A$1:$Z$1,0)),"")</f>
        <v/>
      </c>
    </row>
    <row r="1947" customFormat="false" ht="15" hidden="false" customHeight="true" outlineLevel="0" collapsed="false">
      <c r="A1947" s="6" t="s">
        <v>5366</v>
      </c>
      <c r="B1947" s="6" t="s">
        <v>1415</v>
      </c>
      <c r="C1947" s="6" t="n">
        <v>3</v>
      </c>
      <c r="D1947" s="6" t="n">
        <v>20</v>
      </c>
      <c r="E1947" s="6" t="n">
        <v>1</v>
      </c>
      <c r="F1947" s="6" t="s">
        <v>5362</v>
      </c>
      <c r="G1947" s="28" t="str">
        <f aca="false">IFERROR(INDEX('Semrush Data'!$A$1:$Z$20000,MATCH(A1947,'Semrush Data'!$A$1:$A$20000,0),MATCH("Volume",'Semrush Data'!$A$1:$Z$1,0)),"")</f>
        <v/>
      </c>
      <c r="H1947" s="6" t="str">
        <f aca="false">IFERROR(INDEX('Semrush Data'!$A$1:$Z$20000,MATCH(A1947,'Semrush Data'!$A$1:$A$20000,0),MATCH("Keyword Difficulty*",'Semrush Data'!$A$1:$Z$1,0)),"")</f>
        <v/>
      </c>
      <c r="I1947" s="29" t="str">
        <f aca="false">IFERROR(INDEX('Semrush Data'!$A$1:$Z$20000,MATCH(A1947,'Semrush Data'!$A$1:$A$20000,0),MATCH("CPC*",'Semrush Data'!$A$1:$Z$1,0)),"")</f>
        <v/>
      </c>
      <c r="J1947" s="6" t="str">
        <f aca="false">IFERROR(INDEX('Semrush Data'!$A$1:$Z$20000,MATCH(A1947,'Semrush Data'!$A$1:$A$20000,0),MATCH("Intent",'Semrush Data'!$A$1:$Z$1,0)),"")</f>
        <v/>
      </c>
    </row>
    <row r="1948" customFormat="false" ht="15" hidden="false" customHeight="true" outlineLevel="0" collapsed="false">
      <c r="A1948" s="6" t="s">
        <v>5377</v>
      </c>
      <c r="B1948" s="6" t="s">
        <v>1415</v>
      </c>
      <c r="C1948" s="6" t="n">
        <v>3</v>
      </c>
      <c r="D1948" s="6" t="n">
        <v>20</v>
      </c>
      <c r="E1948" s="6" t="n">
        <v>1</v>
      </c>
      <c r="F1948" s="6" t="s">
        <v>5373</v>
      </c>
      <c r="G1948" s="28" t="str">
        <f aca="false">IFERROR(INDEX('Semrush Data'!$A$1:$Z$20000,MATCH(A1948,'Semrush Data'!$A$1:$A$20000,0),MATCH("Volume",'Semrush Data'!$A$1:$Z$1,0)),"")</f>
        <v/>
      </c>
      <c r="H1948" s="6" t="str">
        <f aca="false">IFERROR(INDEX('Semrush Data'!$A$1:$Z$20000,MATCH(A1948,'Semrush Data'!$A$1:$A$20000,0),MATCH("Keyword Difficulty*",'Semrush Data'!$A$1:$Z$1,0)),"")</f>
        <v/>
      </c>
      <c r="I1948" s="29" t="str">
        <f aca="false">IFERROR(INDEX('Semrush Data'!$A$1:$Z$20000,MATCH(A1948,'Semrush Data'!$A$1:$A$20000,0),MATCH("CPC*",'Semrush Data'!$A$1:$Z$1,0)),"")</f>
        <v/>
      </c>
      <c r="J1948" s="6" t="str">
        <f aca="false">IFERROR(INDEX('Semrush Data'!$A$1:$Z$20000,MATCH(A1948,'Semrush Data'!$A$1:$A$20000,0),MATCH("Intent",'Semrush Data'!$A$1:$Z$1,0)),"")</f>
        <v/>
      </c>
    </row>
    <row r="1949" customFormat="false" ht="15" hidden="false" customHeight="true" outlineLevel="0" collapsed="false">
      <c r="A1949" s="6" t="s">
        <v>5389</v>
      </c>
      <c r="B1949" s="6" t="s">
        <v>1415</v>
      </c>
      <c r="C1949" s="6" t="n">
        <v>3</v>
      </c>
      <c r="D1949" s="6" t="n">
        <v>20</v>
      </c>
      <c r="E1949" s="6" t="n">
        <v>1</v>
      </c>
      <c r="F1949" s="6" t="s">
        <v>5385</v>
      </c>
      <c r="G1949" s="28" t="str">
        <f aca="false">IFERROR(INDEX('Semrush Data'!$A$1:$Z$20000,MATCH(A1949,'Semrush Data'!$A$1:$A$20000,0),MATCH("Volume",'Semrush Data'!$A$1:$Z$1,0)),"")</f>
        <v/>
      </c>
      <c r="H1949" s="6" t="str">
        <f aca="false">IFERROR(INDEX('Semrush Data'!$A$1:$Z$20000,MATCH(A1949,'Semrush Data'!$A$1:$A$20000,0),MATCH("Keyword Difficulty*",'Semrush Data'!$A$1:$Z$1,0)),"")</f>
        <v/>
      </c>
      <c r="I1949" s="29" t="str">
        <f aca="false">IFERROR(INDEX('Semrush Data'!$A$1:$Z$20000,MATCH(A1949,'Semrush Data'!$A$1:$A$20000,0),MATCH("CPC*",'Semrush Data'!$A$1:$Z$1,0)),"")</f>
        <v/>
      </c>
      <c r="J1949" s="6" t="str">
        <f aca="false">IFERROR(INDEX('Semrush Data'!$A$1:$Z$20000,MATCH(A1949,'Semrush Data'!$A$1:$A$20000,0),MATCH("Intent",'Semrush Data'!$A$1:$Z$1,0)),"")</f>
        <v/>
      </c>
    </row>
    <row r="1950" customFormat="false" ht="15" hidden="false" customHeight="true" outlineLevel="0" collapsed="false">
      <c r="A1950" s="6" t="s">
        <v>5398</v>
      </c>
      <c r="B1950" s="6" t="s">
        <v>1415</v>
      </c>
      <c r="C1950" s="6" t="n">
        <v>3</v>
      </c>
      <c r="D1950" s="6" t="n">
        <v>20</v>
      </c>
      <c r="E1950" s="6" t="n">
        <v>1</v>
      </c>
      <c r="F1950" s="6" t="s">
        <v>143</v>
      </c>
      <c r="G1950" s="28" t="str">
        <f aca="false">IFERROR(INDEX('Semrush Data'!$A$1:$Z$20000,MATCH(A1950,'Semrush Data'!$A$1:$A$20000,0),MATCH("Volume",'Semrush Data'!$A$1:$Z$1,0)),"")</f>
        <v/>
      </c>
      <c r="H1950" s="6" t="str">
        <f aca="false">IFERROR(INDEX('Semrush Data'!$A$1:$Z$20000,MATCH(A1950,'Semrush Data'!$A$1:$A$20000,0),MATCH("Keyword Difficulty*",'Semrush Data'!$A$1:$Z$1,0)),"")</f>
        <v/>
      </c>
      <c r="I1950" s="29" t="str">
        <f aca="false">IFERROR(INDEX('Semrush Data'!$A$1:$Z$20000,MATCH(A1950,'Semrush Data'!$A$1:$A$20000,0),MATCH("CPC*",'Semrush Data'!$A$1:$Z$1,0)),"")</f>
        <v/>
      </c>
      <c r="J1950" s="6" t="str">
        <f aca="false">IFERROR(INDEX('Semrush Data'!$A$1:$Z$20000,MATCH(A1950,'Semrush Data'!$A$1:$A$20000,0),MATCH("Intent",'Semrush Data'!$A$1:$Z$1,0)),"")</f>
        <v/>
      </c>
    </row>
    <row r="1951" customFormat="false" ht="15" hidden="false" customHeight="true" outlineLevel="0" collapsed="false">
      <c r="A1951" s="6" t="s">
        <v>5410</v>
      </c>
      <c r="B1951" s="6" t="s">
        <v>1415</v>
      </c>
      <c r="C1951" s="6" t="n">
        <v>3</v>
      </c>
      <c r="D1951" s="6" t="n">
        <v>20</v>
      </c>
      <c r="E1951" s="6" t="n">
        <v>1</v>
      </c>
      <c r="F1951" s="6" t="s">
        <v>5406</v>
      </c>
      <c r="G1951" s="28" t="str">
        <f aca="false">IFERROR(INDEX('Semrush Data'!$A$1:$Z$20000,MATCH(A1951,'Semrush Data'!$A$1:$A$20000,0),MATCH("Volume",'Semrush Data'!$A$1:$Z$1,0)),"")</f>
        <v/>
      </c>
      <c r="H1951" s="6" t="str">
        <f aca="false">IFERROR(INDEX('Semrush Data'!$A$1:$Z$20000,MATCH(A1951,'Semrush Data'!$A$1:$A$20000,0),MATCH("Keyword Difficulty*",'Semrush Data'!$A$1:$Z$1,0)),"")</f>
        <v/>
      </c>
      <c r="I1951" s="29" t="str">
        <f aca="false">IFERROR(INDEX('Semrush Data'!$A$1:$Z$20000,MATCH(A1951,'Semrush Data'!$A$1:$A$20000,0),MATCH("CPC*",'Semrush Data'!$A$1:$Z$1,0)),"")</f>
        <v/>
      </c>
      <c r="J1951" s="6" t="str">
        <f aca="false">IFERROR(INDEX('Semrush Data'!$A$1:$Z$20000,MATCH(A1951,'Semrush Data'!$A$1:$A$20000,0),MATCH("Intent",'Semrush Data'!$A$1:$Z$1,0)),"")</f>
        <v/>
      </c>
    </row>
    <row r="1952" customFormat="false" ht="15" hidden="false" customHeight="true" outlineLevel="0" collapsed="false">
      <c r="A1952" s="6" t="s">
        <v>4465</v>
      </c>
      <c r="B1952" s="6" t="s">
        <v>1415</v>
      </c>
      <c r="C1952" s="6" t="n">
        <v>3</v>
      </c>
      <c r="D1952" s="6" t="n">
        <v>20</v>
      </c>
      <c r="E1952" s="6" t="n">
        <v>1</v>
      </c>
      <c r="F1952" s="6" t="s">
        <v>4461</v>
      </c>
      <c r="G1952" s="28" t="str">
        <f aca="false">IFERROR(INDEX('Semrush Data'!$A$1:$Z$20000,MATCH(A1952,'Semrush Data'!$A$1:$A$20000,0),MATCH("Volume",'Semrush Data'!$A$1:$Z$1,0)),"")</f>
        <v/>
      </c>
      <c r="H1952" s="6" t="str">
        <f aca="false">IFERROR(INDEX('Semrush Data'!$A$1:$Z$20000,MATCH(A1952,'Semrush Data'!$A$1:$A$20000,0),MATCH("Keyword Difficulty*",'Semrush Data'!$A$1:$Z$1,0)),"")</f>
        <v/>
      </c>
      <c r="I1952" s="29" t="str">
        <f aca="false">IFERROR(INDEX('Semrush Data'!$A$1:$Z$20000,MATCH(A1952,'Semrush Data'!$A$1:$A$20000,0),MATCH("CPC*",'Semrush Data'!$A$1:$Z$1,0)),"")</f>
        <v/>
      </c>
      <c r="J1952" s="6" t="str">
        <f aca="false">IFERROR(INDEX('Semrush Data'!$A$1:$Z$20000,MATCH(A1952,'Semrush Data'!$A$1:$A$20000,0),MATCH("Intent",'Semrush Data'!$A$1:$Z$1,0)),"")</f>
        <v/>
      </c>
    </row>
    <row r="1953" customFormat="false" ht="15" hidden="false" customHeight="true" outlineLevel="0" collapsed="false">
      <c r="A1953" s="6" t="s">
        <v>4475</v>
      </c>
      <c r="B1953" s="6" t="s">
        <v>1415</v>
      </c>
      <c r="C1953" s="6" t="n">
        <v>3</v>
      </c>
      <c r="D1953" s="6" t="n">
        <v>20</v>
      </c>
      <c r="E1953" s="6" t="n">
        <v>1</v>
      </c>
      <c r="F1953" s="6" t="s">
        <v>4471</v>
      </c>
      <c r="G1953" s="28" t="str">
        <f aca="false">IFERROR(INDEX('Semrush Data'!$A$1:$Z$20000,MATCH(A1953,'Semrush Data'!$A$1:$A$20000,0),MATCH("Volume",'Semrush Data'!$A$1:$Z$1,0)),"")</f>
        <v/>
      </c>
      <c r="H1953" s="6" t="str">
        <f aca="false">IFERROR(INDEX('Semrush Data'!$A$1:$Z$20000,MATCH(A1953,'Semrush Data'!$A$1:$A$20000,0),MATCH("Keyword Difficulty*",'Semrush Data'!$A$1:$Z$1,0)),"")</f>
        <v/>
      </c>
      <c r="I1953" s="29" t="str">
        <f aca="false">IFERROR(INDEX('Semrush Data'!$A$1:$Z$20000,MATCH(A1953,'Semrush Data'!$A$1:$A$20000,0),MATCH("CPC*",'Semrush Data'!$A$1:$Z$1,0)),"")</f>
        <v/>
      </c>
      <c r="J1953" s="6" t="str">
        <f aca="false">IFERROR(INDEX('Semrush Data'!$A$1:$Z$20000,MATCH(A1953,'Semrush Data'!$A$1:$A$20000,0),MATCH("Intent",'Semrush Data'!$A$1:$Z$1,0)),"")</f>
        <v/>
      </c>
    </row>
    <row r="1954" customFormat="false" ht="15" hidden="false" customHeight="true" outlineLevel="0" collapsed="false">
      <c r="A1954" s="6" t="s">
        <v>4486</v>
      </c>
      <c r="B1954" s="6" t="s">
        <v>1415</v>
      </c>
      <c r="C1954" s="6" t="n">
        <v>3</v>
      </c>
      <c r="D1954" s="6" t="n">
        <v>20</v>
      </c>
      <c r="E1954" s="6" t="n">
        <v>1</v>
      </c>
      <c r="F1954" s="6" t="s">
        <v>4482</v>
      </c>
      <c r="G1954" s="28" t="str">
        <f aca="false">IFERROR(INDEX('Semrush Data'!$A$1:$Z$20000,MATCH(A1954,'Semrush Data'!$A$1:$A$20000,0),MATCH("Volume",'Semrush Data'!$A$1:$Z$1,0)),"")</f>
        <v/>
      </c>
      <c r="H1954" s="6" t="str">
        <f aca="false">IFERROR(INDEX('Semrush Data'!$A$1:$Z$20000,MATCH(A1954,'Semrush Data'!$A$1:$A$20000,0),MATCH("Keyword Difficulty*",'Semrush Data'!$A$1:$Z$1,0)),"")</f>
        <v/>
      </c>
      <c r="I1954" s="29" t="str">
        <f aca="false">IFERROR(INDEX('Semrush Data'!$A$1:$Z$20000,MATCH(A1954,'Semrush Data'!$A$1:$A$20000,0),MATCH("CPC*",'Semrush Data'!$A$1:$Z$1,0)),"")</f>
        <v/>
      </c>
      <c r="J1954" s="6" t="str">
        <f aca="false">IFERROR(INDEX('Semrush Data'!$A$1:$Z$20000,MATCH(A1954,'Semrush Data'!$A$1:$A$20000,0),MATCH("Intent",'Semrush Data'!$A$1:$Z$1,0)),"")</f>
        <v/>
      </c>
    </row>
    <row r="1955" customFormat="false" ht="15" hidden="false" customHeight="true" outlineLevel="0" collapsed="false">
      <c r="A1955" s="6" t="s">
        <v>4496</v>
      </c>
      <c r="B1955" s="6" t="s">
        <v>1415</v>
      </c>
      <c r="C1955" s="6" t="n">
        <v>3</v>
      </c>
      <c r="D1955" s="6" t="n">
        <v>20</v>
      </c>
      <c r="E1955" s="6" t="n">
        <v>1</v>
      </c>
      <c r="F1955" s="6" t="s">
        <v>4492</v>
      </c>
      <c r="G1955" s="28" t="str">
        <f aca="false">IFERROR(INDEX('Semrush Data'!$A$1:$Z$20000,MATCH(A1955,'Semrush Data'!$A$1:$A$20000,0),MATCH("Volume",'Semrush Data'!$A$1:$Z$1,0)),"")</f>
        <v/>
      </c>
      <c r="H1955" s="6" t="str">
        <f aca="false">IFERROR(INDEX('Semrush Data'!$A$1:$Z$20000,MATCH(A1955,'Semrush Data'!$A$1:$A$20000,0),MATCH("Keyword Difficulty*",'Semrush Data'!$A$1:$Z$1,0)),"")</f>
        <v/>
      </c>
      <c r="I1955" s="29" t="str">
        <f aca="false">IFERROR(INDEX('Semrush Data'!$A$1:$Z$20000,MATCH(A1955,'Semrush Data'!$A$1:$A$20000,0),MATCH("CPC*",'Semrush Data'!$A$1:$Z$1,0)),"")</f>
        <v/>
      </c>
      <c r="J1955" s="6" t="str">
        <f aca="false">IFERROR(INDEX('Semrush Data'!$A$1:$Z$20000,MATCH(A1955,'Semrush Data'!$A$1:$A$20000,0),MATCH("Intent",'Semrush Data'!$A$1:$Z$1,0)),"")</f>
        <v/>
      </c>
    </row>
    <row r="1956" customFormat="false" ht="15" hidden="false" customHeight="true" outlineLevel="0" collapsed="false">
      <c r="A1956" s="6" t="s">
        <v>4506</v>
      </c>
      <c r="B1956" s="6" t="s">
        <v>1415</v>
      </c>
      <c r="C1956" s="6" t="n">
        <v>3</v>
      </c>
      <c r="D1956" s="6" t="n">
        <v>20</v>
      </c>
      <c r="E1956" s="6" t="n">
        <v>1</v>
      </c>
      <c r="F1956" s="6" t="s">
        <v>4502</v>
      </c>
      <c r="G1956" s="28" t="str">
        <f aca="false">IFERROR(INDEX('Semrush Data'!$A$1:$Z$20000,MATCH(A1956,'Semrush Data'!$A$1:$A$20000,0),MATCH("Volume",'Semrush Data'!$A$1:$Z$1,0)),"")</f>
        <v/>
      </c>
      <c r="H1956" s="6" t="str">
        <f aca="false">IFERROR(INDEX('Semrush Data'!$A$1:$Z$20000,MATCH(A1956,'Semrush Data'!$A$1:$A$20000,0),MATCH("Keyword Difficulty*",'Semrush Data'!$A$1:$Z$1,0)),"")</f>
        <v/>
      </c>
      <c r="I1956" s="29" t="str">
        <f aca="false">IFERROR(INDEX('Semrush Data'!$A$1:$Z$20000,MATCH(A1956,'Semrush Data'!$A$1:$A$20000,0),MATCH("CPC*",'Semrush Data'!$A$1:$Z$1,0)),"")</f>
        <v/>
      </c>
      <c r="J1956" s="6" t="str">
        <f aca="false">IFERROR(INDEX('Semrush Data'!$A$1:$Z$20000,MATCH(A1956,'Semrush Data'!$A$1:$A$20000,0),MATCH("Intent",'Semrush Data'!$A$1:$Z$1,0)),"")</f>
        <v/>
      </c>
    </row>
    <row r="1957" customFormat="false" ht="15" hidden="false" customHeight="true" outlineLevel="0" collapsed="false">
      <c r="A1957" s="6" t="s">
        <v>4516</v>
      </c>
      <c r="B1957" s="6" t="s">
        <v>1415</v>
      </c>
      <c r="C1957" s="6" t="n">
        <v>3</v>
      </c>
      <c r="D1957" s="6" t="n">
        <v>20</v>
      </c>
      <c r="E1957" s="6" t="n">
        <v>1</v>
      </c>
      <c r="F1957" s="6" t="s">
        <v>4512</v>
      </c>
      <c r="G1957" s="28" t="str">
        <f aca="false">IFERROR(INDEX('Semrush Data'!$A$1:$Z$20000,MATCH(A1957,'Semrush Data'!$A$1:$A$20000,0),MATCH("Volume",'Semrush Data'!$A$1:$Z$1,0)),"")</f>
        <v/>
      </c>
      <c r="H1957" s="6" t="str">
        <f aca="false">IFERROR(INDEX('Semrush Data'!$A$1:$Z$20000,MATCH(A1957,'Semrush Data'!$A$1:$A$20000,0),MATCH("Keyword Difficulty*",'Semrush Data'!$A$1:$Z$1,0)),"")</f>
        <v/>
      </c>
      <c r="I1957" s="29" t="str">
        <f aca="false">IFERROR(INDEX('Semrush Data'!$A$1:$Z$20000,MATCH(A1957,'Semrush Data'!$A$1:$A$20000,0),MATCH("CPC*",'Semrush Data'!$A$1:$Z$1,0)),"")</f>
        <v/>
      </c>
      <c r="J1957" s="6" t="str">
        <f aca="false">IFERROR(INDEX('Semrush Data'!$A$1:$Z$20000,MATCH(A1957,'Semrush Data'!$A$1:$A$20000,0),MATCH("Intent",'Semrush Data'!$A$1:$Z$1,0)),"")</f>
        <v/>
      </c>
    </row>
    <row r="1958" customFormat="false" ht="15" hidden="false" customHeight="true" outlineLevel="0" collapsed="false">
      <c r="A1958" s="6" t="s">
        <v>4526</v>
      </c>
      <c r="B1958" s="6" t="s">
        <v>1415</v>
      </c>
      <c r="C1958" s="6" t="n">
        <v>3</v>
      </c>
      <c r="D1958" s="6" t="n">
        <v>20</v>
      </c>
      <c r="E1958" s="6" t="n">
        <v>1</v>
      </c>
      <c r="F1958" s="6" t="s">
        <v>4522</v>
      </c>
      <c r="G1958" s="28" t="str">
        <f aca="false">IFERROR(INDEX('Semrush Data'!$A$1:$Z$20000,MATCH(A1958,'Semrush Data'!$A$1:$A$20000,0),MATCH("Volume",'Semrush Data'!$A$1:$Z$1,0)),"")</f>
        <v/>
      </c>
      <c r="H1958" s="6" t="str">
        <f aca="false">IFERROR(INDEX('Semrush Data'!$A$1:$Z$20000,MATCH(A1958,'Semrush Data'!$A$1:$A$20000,0),MATCH("Keyword Difficulty*",'Semrush Data'!$A$1:$Z$1,0)),"")</f>
        <v/>
      </c>
      <c r="I1958" s="29" t="str">
        <f aca="false">IFERROR(INDEX('Semrush Data'!$A$1:$Z$20000,MATCH(A1958,'Semrush Data'!$A$1:$A$20000,0),MATCH("CPC*",'Semrush Data'!$A$1:$Z$1,0)),"")</f>
        <v/>
      </c>
      <c r="J1958" s="6" t="str">
        <f aca="false">IFERROR(INDEX('Semrush Data'!$A$1:$Z$20000,MATCH(A1958,'Semrush Data'!$A$1:$A$20000,0),MATCH("Intent",'Semrush Data'!$A$1:$Z$1,0)),"")</f>
        <v/>
      </c>
    </row>
    <row r="1959" customFormat="false" ht="15" hidden="false" customHeight="true" outlineLevel="0" collapsed="false">
      <c r="A1959" s="6" t="s">
        <v>4537</v>
      </c>
      <c r="B1959" s="6" t="s">
        <v>1415</v>
      </c>
      <c r="C1959" s="6" t="n">
        <v>3</v>
      </c>
      <c r="D1959" s="6" t="n">
        <v>20</v>
      </c>
      <c r="E1959" s="6" t="n">
        <v>1</v>
      </c>
      <c r="F1959" s="6" t="s">
        <v>4533</v>
      </c>
      <c r="G1959" s="28" t="str">
        <f aca="false">IFERROR(INDEX('Semrush Data'!$A$1:$Z$20000,MATCH(A1959,'Semrush Data'!$A$1:$A$20000,0),MATCH("Volume",'Semrush Data'!$A$1:$Z$1,0)),"")</f>
        <v/>
      </c>
      <c r="H1959" s="6" t="str">
        <f aca="false">IFERROR(INDEX('Semrush Data'!$A$1:$Z$20000,MATCH(A1959,'Semrush Data'!$A$1:$A$20000,0),MATCH("Keyword Difficulty*",'Semrush Data'!$A$1:$Z$1,0)),"")</f>
        <v/>
      </c>
      <c r="I1959" s="29" t="str">
        <f aca="false">IFERROR(INDEX('Semrush Data'!$A$1:$Z$20000,MATCH(A1959,'Semrush Data'!$A$1:$A$20000,0),MATCH("CPC*",'Semrush Data'!$A$1:$Z$1,0)),"")</f>
        <v/>
      </c>
      <c r="J1959" s="6" t="str">
        <f aca="false">IFERROR(INDEX('Semrush Data'!$A$1:$Z$20000,MATCH(A1959,'Semrush Data'!$A$1:$A$20000,0),MATCH("Intent",'Semrush Data'!$A$1:$Z$1,0)),"")</f>
        <v/>
      </c>
    </row>
    <row r="1960" customFormat="false" ht="15" hidden="false" customHeight="true" outlineLevel="0" collapsed="false">
      <c r="A1960" s="6" t="s">
        <v>4547</v>
      </c>
      <c r="B1960" s="6" t="s">
        <v>1415</v>
      </c>
      <c r="C1960" s="6" t="n">
        <v>3</v>
      </c>
      <c r="D1960" s="6" t="n">
        <v>20</v>
      </c>
      <c r="E1960" s="6" t="n">
        <v>1</v>
      </c>
      <c r="F1960" s="6" t="s">
        <v>4543</v>
      </c>
      <c r="G1960" s="28" t="str">
        <f aca="false">IFERROR(INDEX('Semrush Data'!$A$1:$Z$20000,MATCH(A1960,'Semrush Data'!$A$1:$A$20000,0),MATCH("Volume",'Semrush Data'!$A$1:$Z$1,0)),"")</f>
        <v/>
      </c>
      <c r="H1960" s="6" t="str">
        <f aca="false">IFERROR(INDEX('Semrush Data'!$A$1:$Z$20000,MATCH(A1960,'Semrush Data'!$A$1:$A$20000,0),MATCH("Keyword Difficulty*",'Semrush Data'!$A$1:$Z$1,0)),"")</f>
        <v/>
      </c>
      <c r="I1960" s="29" t="str">
        <f aca="false">IFERROR(INDEX('Semrush Data'!$A$1:$Z$20000,MATCH(A1960,'Semrush Data'!$A$1:$A$20000,0),MATCH("CPC*",'Semrush Data'!$A$1:$Z$1,0)),"")</f>
        <v/>
      </c>
      <c r="J1960" s="6" t="str">
        <f aca="false">IFERROR(INDEX('Semrush Data'!$A$1:$Z$20000,MATCH(A1960,'Semrush Data'!$A$1:$A$20000,0),MATCH("Intent",'Semrush Data'!$A$1:$Z$1,0)),"")</f>
        <v/>
      </c>
    </row>
    <row r="1961" customFormat="false" ht="15" hidden="false" customHeight="true" outlineLevel="0" collapsed="false">
      <c r="A1961" s="6" t="s">
        <v>4557</v>
      </c>
      <c r="B1961" s="6" t="s">
        <v>1415</v>
      </c>
      <c r="C1961" s="6" t="n">
        <v>3</v>
      </c>
      <c r="D1961" s="6" t="n">
        <v>20</v>
      </c>
      <c r="E1961" s="6" t="n">
        <v>1</v>
      </c>
      <c r="F1961" s="6" t="s">
        <v>4553</v>
      </c>
      <c r="G1961" s="28" t="str">
        <f aca="false">IFERROR(INDEX('Semrush Data'!$A$1:$Z$20000,MATCH(A1961,'Semrush Data'!$A$1:$A$20000,0),MATCH("Volume",'Semrush Data'!$A$1:$Z$1,0)),"")</f>
        <v/>
      </c>
      <c r="H1961" s="6" t="str">
        <f aca="false">IFERROR(INDEX('Semrush Data'!$A$1:$Z$20000,MATCH(A1961,'Semrush Data'!$A$1:$A$20000,0),MATCH("Keyword Difficulty*",'Semrush Data'!$A$1:$Z$1,0)),"")</f>
        <v/>
      </c>
      <c r="I1961" s="29" t="str">
        <f aca="false">IFERROR(INDEX('Semrush Data'!$A$1:$Z$20000,MATCH(A1961,'Semrush Data'!$A$1:$A$20000,0),MATCH("CPC*",'Semrush Data'!$A$1:$Z$1,0)),"")</f>
        <v/>
      </c>
      <c r="J1961" s="6" t="str">
        <f aca="false">IFERROR(INDEX('Semrush Data'!$A$1:$Z$20000,MATCH(A1961,'Semrush Data'!$A$1:$A$20000,0),MATCH("Intent",'Semrush Data'!$A$1:$Z$1,0)),"")</f>
        <v/>
      </c>
    </row>
    <row r="1962" customFormat="false" ht="15" hidden="false" customHeight="true" outlineLevel="0" collapsed="false">
      <c r="A1962" s="6" t="s">
        <v>4567</v>
      </c>
      <c r="B1962" s="6" t="s">
        <v>1415</v>
      </c>
      <c r="C1962" s="6" t="n">
        <v>3</v>
      </c>
      <c r="D1962" s="6" t="n">
        <v>20</v>
      </c>
      <c r="E1962" s="6" t="n">
        <v>1</v>
      </c>
      <c r="F1962" s="6" t="s">
        <v>4563</v>
      </c>
      <c r="G1962" s="28" t="str">
        <f aca="false">IFERROR(INDEX('Semrush Data'!$A$1:$Z$20000,MATCH(A1962,'Semrush Data'!$A$1:$A$20000,0),MATCH("Volume",'Semrush Data'!$A$1:$Z$1,0)),"")</f>
        <v/>
      </c>
      <c r="H1962" s="6" t="str">
        <f aca="false">IFERROR(INDEX('Semrush Data'!$A$1:$Z$20000,MATCH(A1962,'Semrush Data'!$A$1:$A$20000,0),MATCH("Keyword Difficulty*",'Semrush Data'!$A$1:$Z$1,0)),"")</f>
        <v/>
      </c>
      <c r="I1962" s="29" t="str">
        <f aca="false">IFERROR(INDEX('Semrush Data'!$A$1:$Z$20000,MATCH(A1962,'Semrush Data'!$A$1:$A$20000,0),MATCH("CPC*",'Semrush Data'!$A$1:$Z$1,0)),"")</f>
        <v/>
      </c>
      <c r="J1962" s="6" t="str">
        <f aca="false">IFERROR(INDEX('Semrush Data'!$A$1:$Z$20000,MATCH(A1962,'Semrush Data'!$A$1:$A$20000,0),MATCH("Intent",'Semrush Data'!$A$1:$Z$1,0)),"")</f>
        <v/>
      </c>
    </row>
    <row r="1963" customFormat="false" ht="15" hidden="false" customHeight="true" outlineLevel="0" collapsed="false">
      <c r="A1963" s="6" t="s">
        <v>4577</v>
      </c>
      <c r="B1963" s="6" t="s">
        <v>1415</v>
      </c>
      <c r="C1963" s="6" t="n">
        <v>3</v>
      </c>
      <c r="D1963" s="6" t="n">
        <v>20</v>
      </c>
      <c r="E1963" s="6" t="n">
        <v>1</v>
      </c>
      <c r="F1963" s="6" t="s">
        <v>4573</v>
      </c>
      <c r="G1963" s="28" t="str">
        <f aca="false">IFERROR(INDEX('Semrush Data'!$A$1:$Z$20000,MATCH(A1963,'Semrush Data'!$A$1:$A$20000,0),MATCH("Volume",'Semrush Data'!$A$1:$Z$1,0)),"")</f>
        <v/>
      </c>
      <c r="H1963" s="6" t="str">
        <f aca="false">IFERROR(INDEX('Semrush Data'!$A$1:$Z$20000,MATCH(A1963,'Semrush Data'!$A$1:$A$20000,0),MATCH("Keyword Difficulty*",'Semrush Data'!$A$1:$Z$1,0)),"")</f>
        <v/>
      </c>
      <c r="I1963" s="29" t="str">
        <f aca="false">IFERROR(INDEX('Semrush Data'!$A$1:$Z$20000,MATCH(A1963,'Semrush Data'!$A$1:$A$20000,0),MATCH("CPC*",'Semrush Data'!$A$1:$Z$1,0)),"")</f>
        <v/>
      </c>
      <c r="J1963" s="6" t="str">
        <f aca="false">IFERROR(INDEX('Semrush Data'!$A$1:$Z$20000,MATCH(A1963,'Semrush Data'!$A$1:$A$20000,0),MATCH("Intent",'Semrush Data'!$A$1:$Z$1,0)),"")</f>
        <v/>
      </c>
    </row>
    <row r="1964" customFormat="false" ht="15" hidden="false" customHeight="true" outlineLevel="0" collapsed="false">
      <c r="A1964" s="6" t="s">
        <v>4587</v>
      </c>
      <c r="B1964" s="6" t="s">
        <v>1415</v>
      </c>
      <c r="C1964" s="6" t="n">
        <v>3</v>
      </c>
      <c r="D1964" s="6" t="n">
        <v>20</v>
      </c>
      <c r="E1964" s="6" t="n">
        <v>1</v>
      </c>
      <c r="F1964" s="6" t="s">
        <v>4583</v>
      </c>
      <c r="G1964" s="28" t="str">
        <f aca="false">IFERROR(INDEX('Semrush Data'!$A$1:$Z$20000,MATCH(A1964,'Semrush Data'!$A$1:$A$20000,0),MATCH("Volume",'Semrush Data'!$A$1:$Z$1,0)),"")</f>
        <v/>
      </c>
      <c r="H1964" s="6" t="str">
        <f aca="false">IFERROR(INDEX('Semrush Data'!$A$1:$Z$20000,MATCH(A1964,'Semrush Data'!$A$1:$A$20000,0),MATCH("Keyword Difficulty*",'Semrush Data'!$A$1:$Z$1,0)),"")</f>
        <v/>
      </c>
      <c r="I1964" s="29" t="str">
        <f aca="false">IFERROR(INDEX('Semrush Data'!$A$1:$Z$20000,MATCH(A1964,'Semrush Data'!$A$1:$A$20000,0),MATCH("CPC*",'Semrush Data'!$A$1:$Z$1,0)),"")</f>
        <v/>
      </c>
      <c r="J1964" s="6" t="str">
        <f aca="false">IFERROR(INDEX('Semrush Data'!$A$1:$Z$20000,MATCH(A1964,'Semrush Data'!$A$1:$A$20000,0),MATCH("Intent",'Semrush Data'!$A$1:$Z$1,0)),"")</f>
        <v/>
      </c>
    </row>
    <row r="1965" customFormat="false" ht="15" hidden="false" customHeight="true" outlineLevel="0" collapsed="false">
      <c r="A1965" s="6" t="s">
        <v>4597</v>
      </c>
      <c r="B1965" s="6" t="s">
        <v>1415</v>
      </c>
      <c r="C1965" s="6" t="n">
        <v>3</v>
      </c>
      <c r="D1965" s="6" t="n">
        <v>20</v>
      </c>
      <c r="E1965" s="6" t="n">
        <v>1</v>
      </c>
      <c r="F1965" s="6" t="s">
        <v>4593</v>
      </c>
      <c r="G1965" s="28" t="str">
        <f aca="false">IFERROR(INDEX('Semrush Data'!$A$1:$Z$20000,MATCH(A1965,'Semrush Data'!$A$1:$A$20000,0),MATCH("Volume",'Semrush Data'!$A$1:$Z$1,0)),"")</f>
        <v/>
      </c>
      <c r="H1965" s="6" t="str">
        <f aca="false">IFERROR(INDEX('Semrush Data'!$A$1:$Z$20000,MATCH(A1965,'Semrush Data'!$A$1:$A$20000,0),MATCH("Keyword Difficulty*",'Semrush Data'!$A$1:$Z$1,0)),"")</f>
        <v/>
      </c>
      <c r="I1965" s="29" t="str">
        <f aca="false">IFERROR(INDEX('Semrush Data'!$A$1:$Z$20000,MATCH(A1965,'Semrush Data'!$A$1:$A$20000,0),MATCH("CPC*",'Semrush Data'!$A$1:$Z$1,0)),"")</f>
        <v/>
      </c>
      <c r="J1965" s="6" t="str">
        <f aca="false">IFERROR(INDEX('Semrush Data'!$A$1:$Z$20000,MATCH(A1965,'Semrush Data'!$A$1:$A$20000,0),MATCH("Intent",'Semrush Data'!$A$1:$Z$1,0)),"")</f>
        <v/>
      </c>
    </row>
    <row r="1966" customFormat="false" ht="15" hidden="false" customHeight="true" outlineLevel="0" collapsed="false">
      <c r="A1966" s="6" t="s">
        <v>5423</v>
      </c>
      <c r="B1966" s="6" t="s">
        <v>1415</v>
      </c>
      <c r="C1966" s="6" t="n">
        <v>3</v>
      </c>
      <c r="D1966" s="6" t="n">
        <v>20</v>
      </c>
      <c r="E1966" s="6" t="n">
        <v>1</v>
      </c>
      <c r="F1966" s="6" t="s">
        <v>5417</v>
      </c>
      <c r="G1966" s="28" t="str">
        <f aca="false">IFERROR(INDEX('Semrush Data'!$A$1:$Z$20000,MATCH(A1966,'Semrush Data'!$A$1:$A$20000,0),MATCH("Volume",'Semrush Data'!$A$1:$Z$1,0)),"")</f>
        <v/>
      </c>
      <c r="H1966" s="6" t="str">
        <f aca="false">IFERROR(INDEX('Semrush Data'!$A$1:$Z$20000,MATCH(A1966,'Semrush Data'!$A$1:$A$20000,0),MATCH("Keyword Difficulty*",'Semrush Data'!$A$1:$Z$1,0)),"")</f>
        <v/>
      </c>
      <c r="I1966" s="29" t="str">
        <f aca="false">IFERROR(INDEX('Semrush Data'!$A$1:$Z$20000,MATCH(A1966,'Semrush Data'!$A$1:$A$20000,0),MATCH("CPC*",'Semrush Data'!$A$1:$Z$1,0)),"")</f>
        <v/>
      </c>
      <c r="J1966" s="6" t="str">
        <f aca="false">IFERROR(INDEX('Semrush Data'!$A$1:$Z$20000,MATCH(A1966,'Semrush Data'!$A$1:$A$20000,0),MATCH("Intent",'Semrush Data'!$A$1:$Z$1,0)),"")</f>
        <v/>
      </c>
    </row>
    <row r="1967" customFormat="false" ht="15" hidden="false" customHeight="true" outlineLevel="0" collapsed="false">
      <c r="A1967" s="6" t="s">
        <v>5436</v>
      </c>
      <c r="B1967" s="6" t="s">
        <v>1415</v>
      </c>
      <c r="C1967" s="6" t="n">
        <v>3</v>
      </c>
      <c r="D1967" s="6" t="n">
        <v>20</v>
      </c>
      <c r="E1967" s="6" t="n">
        <v>1</v>
      </c>
      <c r="F1967" s="6" t="s">
        <v>5431</v>
      </c>
      <c r="G1967" s="28" t="str">
        <f aca="false">IFERROR(INDEX('Semrush Data'!$A$1:$Z$20000,MATCH(A1967,'Semrush Data'!$A$1:$A$20000,0),MATCH("Volume",'Semrush Data'!$A$1:$Z$1,0)),"")</f>
        <v/>
      </c>
      <c r="H1967" s="6" t="str">
        <f aca="false">IFERROR(INDEX('Semrush Data'!$A$1:$Z$20000,MATCH(A1967,'Semrush Data'!$A$1:$A$20000,0),MATCH("Keyword Difficulty*",'Semrush Data'!$A$1:$Z$1,0)),"")</f>
        <v/>
      </c>
      <c r="I1967" s="29" t="str">
        <f aca="false">IFERROR(INDEX('Semrush Data'!$A$1:$Z$20000,MATCH(A1967,'Semrush Data'!$A$1:$A$20000,0),MATCH("CPC*",'Semrush Data'!$A$1:$Z$1,0)),"")</f>
        <v/>
      </c>
      <c r="J1967" s="6" t="str">
        <f aca="false">IFERROR(INDEX('Semrush Data'!$A$1:$Z$20000,MATCH(A1967,'Semrush Data'!$A$1:$A$20000,0),MATCH("Intent",'Semrush Data'!$A$1:$Z$1,0)),"")</f>
        <v/>
      </c>
    </row>
    <row r="1968" customFormat="false" ht="15" hidden="false" customHeight="true" outlineLevel="0" collapsed="false">
      <c r="A1968" s="6" t="s">
        <v>5489</v>
      </c>
      <c r="B1968" s="6" t="s">
        <v>1415</v>
      </c>
      <c r="C1968" s="6" t="n">
        <v>3</v>
      </c>
      <c r="D1968" s="6" t="n">
        <v>20</v>
      </c>
      <c r="E1968" s="6" t="n">
        <v>1</v>
      </c>
      <c r="F1968" s="6" t="s">
        <v>5485</v>
      </c>
      <c r="G1968" s="28" t="str">
        <f aca="false">IFERROR(INDEX('Semrush Data'!$A$1:$Z$20000,MATCH(A1968,'Semrush Data'!$A$1:$A$20000,0),MATCH("Volume",'Semrush Data'!$A$1:$Z$1,0)),"")</f>
        <v/>
      </c>
      <c r="H1968" s="6" t="str">
        <f aca="false">IFERROR(INDEX('Semrush Data'!$A$1:$Z$20000,MATCH(A1968,'Semrush Data'!$A$1:$A$20000,0),MATCH("Keyword Difficulty*",'Semrush Data'!$A$1:$Z$1,0)),"")</f>
        <v/>
      </c>
      <c r="I1968" s="29" t="str">
        <f aca="false">IFERROR(INDEX('Semrush Data'!$A$1:$Z$20000,MATCH(A1968,'Semrush Data'!$A$1:$A$20000,0),MATCH("CPC*",'Semrush Data'!$A$1:$Z$1,0)),"")</f>
        <v/>
      </c>
      <c r="J1968" s="6" t="str">
        <f aca="false">IFERROR(INDEX('Semrush Data'!$A$1:$Z$20000,MATCH(A1968,'Semrush Data'!$A$1:$A$20000,0),MATCH("Intent",'Semrush Data'!$A$1:$Z$1,0)),"")</f>
        <v/>
      </c>
    </row>
    <row r="1969" customFormat="false" ht="15" hidden="false" customHeight="true" outlineLevel="0" collapsed="false">
      <c r="A1969" s="6" t="s">
        <v>5478</v>
      </c>
      <c r="B1969" s="6" t="s">
        <v>1415</v>
      </c>
      <c r="C1969" s="6" t="n">
        <v>3</v>
      </c>
      <c r="D1969" s="6" t="n">
        <v>20</v>
      </c>
      <c r="E1969" s="6" t="n">
        <v>1</v>
      </c>
      <c r="F1969" s="6" t="s">
        <v>5474</v>
      </c>
      <c r="G1969" s="28" t="str">
        <f aca="false">IFERROR(INDEX('Semrush Data'!$A$1:$Z$20000,MATCH(A1969,'Semrush Data'!$A$1:$A$20000,0),MATCH("Volume",'Semrush Data'!$A$1:$Z$1,0)),"")</f>
        <v/>
      </c>
      <c r="H1969" s="6" t="str">
        <f aca="false">IFERROR(INDEX('Semrush Data'!$A$1:$Z$20000,MATCH(A1969,'Semrush Data'!$A$1:$A$20000,0),MATCH("Keyword Difficulty*",'Semrush Data'!$A$1:$Z$1,0)),"")</f>
        <v/>
      </c>
      <c r="I1969" s="29" t="str">
        <f aca="false">IFERROR(INDEX('Semrush Data'!$A$1:$Z$20000,MATCH(A1969,'Semrush Data'!$A$1:$A$20000,0),MATCH("CPC*",'Semrush Data'!$A$1:$Z$1,0)),"")</f>
        <v/>
      </c>
      <c r="J1969" s="6" t="str">
        <f aca="false">IFERROR(INDEX('Semrush Data'!$A$1:$Z$20000,MATCH(A1969,'Semrush Data'!$A$1:$A$20000,0),MATCH("Intent",'Semrush Data'!$A$1:$Z$1,0)),"")</f>
        <v/>
      </c>
    </row>
    <row r="1970" customFormat="false" ht="15" hidden="false" customHeight="true" outlineLevel="0" collapsed="false">
      <c r="A1970" s="6" t="s">
        <v>5447</v>
      </c>
      <c r="B1970" s="6" t="s">
        <v>1415</v>
      </c>
      <c r="C1970" s="6" t="n">
        <v>3</v>
      </c>
      <c r="D1970" s="6" t="s">
        <v>6870</v>
      </c>
      <c r="E1970" s="6" t="n">
        <v>1</v>
      </c>
      <c r="F1970" s="6" t="s">
        <v>77</v>
      </c>
      <c r="G1970" s="28" t="n">
        <f aca="false">IFERROR(INDEX('Semrush Data'!$A$1:$Z$20000,MATCH(A1970,'Semrush Data'!$A$1:$A$20000,0),MATCH("Volume",'Semrush Data'!$A$1:$Z$1,0)),"")</f>
        <v>0</v>
      </c>
      <c r="H1970" s="6" t="n">
        <f aca="false">IFERROR(INDEX('Semrush Data'!$A$1:$Z$20000,MATCH(A1970,'Semrush Data'!$A$1:$A$20000,0),MATCH("Keyword Difficulty*",'Semrush Data'!$A$1:$Z$1,0)),"")</f>
        <v>22</v>
      </c>
      <c r="I1970" s="29" t="n">
        <f aca="false">IFERROR(INDEX('Semrush Data'!$A$1:$Z$20000,MATCH(A1970,'Semrush Data'!$A$1:$A$20000,0),MATCH("CPC*",'Semrush Data'!$A$1:$Z$1,0)),"")</f>
        <v>0</v>
      </c>
      <c r="J1970" s="6" t="str">
        <f aca="false">IFERROR(INDEX('Semrush Data'!$A$1:$Z$20000,MATCH(A1970,'Semrush Data'!$A$1:$A$20000,0),MATCH("Intent",'Semrush Data'!$A$1:$Z$1,0)),"")</f>
        <v>Transactional</v>
      </c>
    </row>
    <row r="1971" customFormat="false" ht="15" hidden="false" customHeight="true" outlineLevel="0" collapsed="false">
      <c r="A1971" s="6" t="s">
        <v>5510</v>
      </c>
      <c r="B1971" s="6" t="s">
        <v>1415</v>
      </c>
      <c r="C1971" s="6" t="n">
        <v>3</v>
      </c>
      <c r="D1971" s="6" t="n">
        <v>20</v>
      </c>
      <c r="E1971" s="6" t="n">
        <v>1</v>
      </c>
      <c r="F1971" s="6" t="s">
        <v>5506</v>
      </c>
      <c r="G1971" s="28" t="str">
        <f aca="false">IFERROR(INDEX('Semrush Data'!$A$1:$Z$20000,MATCH(A1971,'Semrush Data'!$A$1:$A$20000,0),MATCH("Volume",'Semrush Data'!$A$1:$Z$1,0)),"")</f>
        <v/>
      </c>
      <c r="H1971" s="6" t="str">
        <f aca="false">IFERROR(INDEX('Semrush Data'!$A$1:$Z$20000,MATCH(A1971,'Semrush Data'!$A$1:$A$20000,0),MATCH("Keyword Difficulty*",'Semrush Data'!$A$1:$Z$1,0)),"")</f>
        <v/>
      </c>
      <c r="I1971" s="29" t="str">
        <f aca="false">IFERROR(INDEX('Semrush Data'!$A$1:$Z$20000,MATCH(A1971,'Semrush Data'!$A$1:$A$20000,0),MATCH("CPC*",'Semrush Data'!$A$1:$Z$1,0)),"")</f>
        <v/>
      </c>
      <c r="J1971" s="6" t="str">
        <f aca="false">IFERROR(INDEX('Semrush Data'!$A$1:$Z$20000,MATCH(A1971,'Semrush Data'!$A$1:$A$20000,0),MATCH("Intent",'Semrush Data'!$A$1:$Z$1,0)),"")</f>
        <v/>
      </c>
    </row>
    <row r="1972" customFormat="false" ht="15" hidden="false" customHeight="true" outlineLevel="0" collapsed="false">
      <c r="A1972" s="6" t="s">
        <v>5468</v>
      </c>
      <c r="B1972" s="6" t="s">
        <v>1415</v>
      </c>
      <c r="C1972" s="6" t="n">
        <v>3</v>
      </c>
      <c r="D1972" s="6" t="n">
        <v>20</v>
      </c>
      <c r="E1972" s="6" t="n">
        <v>1</v>
      </c>
      <c r="F1972" s="6" t="s">
        <v>5464</v>
      </c>
      <c r="G1972" s="28" t="str">
        <f aca="false">IFERROR(INDEX('Semrush Data'!$A$1:$Z$20000,MATCH(A1972,'Semrush Data'!$A$1:$A$20000,0),MATCH("Volume",'Semrush Data'!$A$1:$Z$1,0)),"")</f>
        <v/>
      </c>
      <c r="H1972" s="6" t="str">
        <f aca="false">IFERROR(INDEX('Semrush Data'!$A$1:$Z$20000,MATCH(A1972,'Semrush Data'!$A$1:$A$20000,0),MATCH("Keyword Difficulty*",'Semrush Data'!$A$1:$Z$1,0)),"")</f>
        <v/>
      </c>
      <c r="I1972" s="29" t="str">
        <f aca="false">IFERROR(INDEX('Semrush Data'!$A$1:$Z$20000,MATCH(A1972,'Semrush Data'!$A$1:$A$20000,0),MATCH("CPC*",'Semrush Data'!$A$1:$Z$1,0)),"")</f>
        <v/>
      </c>
      <c r="J1972" s="6" t="str">
        <f aca="false">IFERROR(INDEX('Semrush Data'!$A$1:$Z$20000,MATCH(A1972,'Semrush Data'!$A$1:$A$20000,0),MATCH("Intent",'Semrush Data'!$A$1:$Z$1,0)),"")</f>
        <v/>
      </c>
    </row>
    <row r="1973" customFormat="false" ht="15" hidden="false" customHeight="true" outlineLevel="0" collapsed="false">
      <c r="A1973" s="6" t="s">
        <v>5500</v>
      </c>
      <c r="B1973" s="6" t="s">
        <v>1415</v>
      </c>
      <c r="C1973" s="6" t="n">
        <v>3</v>
      </c>
      <c r="D1973" s="6" t="n">
        <v>20</v>
      </c>
      <c r="E1973" s="6" t="n">
        <v>1</v>
      </c>
      <c r="F1973" s="6" t="s">
        <v>5496</v>
      </c>
      <c r="G1973" s="28" t="str">
        <f aca="false">IFERROR(INDEX('Semrush Data'!$A$1:$Z$20000,MATCH(A1973,'Semrush Data'!$A$1:$A$20000,0),MATCH("Volume",'Semrush Data'!$A$1:$Z$1,0)),"")</f>
        <v/>
      </c>
      <c r="H1973" s="6" t="str">
        <f aca="false">IFERROR(INDEX('Semrush Data'!$A$1:$Z$20000,MATCH(A1973,'Semrush Data'!$A$1:$A$20000,0),MATCH("Keyword Difficulty*",'Semrush Data'!$A$1:$Z$1,0)),"")</f>
        <v/>
      </c>
      <c r="I1973" s="29" t="str">
        <f aca="false">IFERROR(INDEX('Semrush Data'!$A$1:$Z$20000,MATCH(A1973,'Semrush Data'!$A$1:$A$20000,0),MATCH("CPC*",'Semrush Data'!$A$1:$Z$1,0)),"")</f>
        <v/>
      </c>
      <c r="J1973" s="6" t="str">
        <f aca="false">IFERROR(INDEX('Semrush Data'!$A$1:$Z$20000,MATCH(A1973,'Semrush Data'!$A$1:$A$20000,0),MATCH("Intent",'Semrush Data'!$A$1:$Z$1,0)),"")</f>
        <v/>
      </c>
    </row>
    <row r="1974" customFormat="false" ht="15" hidden="false" customHeight="true" outlineLevel="0" collapsed="false">
      <c r="A1974" s="6" t="s">
        <v>5457</v>
      </c>
      <c r="B1974" s="6" t="s">
        <v>1415</v>
      </c>
      <c r="C1974" s="6" t="n">
        <v>3</v>
      </c>
      <c r="D1974" s="6" t="s">
        <v>6870</v>
      </c>
      <c r="E1974" s="6" t="n">
        <v>1</v>
      </c>
      <c r="F1974" s="6" t="s">
        <v>61</v>
      </c>
      <c r="G1974" s="28" t="n">
        <f aca="false">IFERROR(INDEX('Semrush Data'!$A$1:$Z$20000,MATCH(A1974,'Semrush Data'!$A$1:$A$20000,0),MATCH("Volume",'Semrush Data'!$A$1:$Z$1,0)),"")</f>
        <v>0</v>
      </c>
      <c r="H1974" s="6" t="n">
        <f aca="false">IFERROR(INDEX('Semrush Data'!$A$1:$Z$20000,MATCH(A1974,'Semrush Data'!$A$1:$A$20000,0),MATCH("Keyword Difficulty*",'Semrush Data'!$A$1:$Z$1,0)),"")</f>
        <v>24</v>
      </c>
      <c r="I1974" s="29" t="n">
        <f aca="false">IFERROR(INDEX('Semrush Data'!$A$1:$Z$20000,MATCH(A1974,'Semrush Data'!$A$1:$A$20000,0),MATCH("CPC*",'Semrush Data'!$A$1:$Z$1,0)),"")</f>
        <v>0</v>
      </c>
      <c r="J1974" s="6" t="str">
        <f aca="false">IFERROR(INDEX('Semrush Data'!$A$1:$Z$20000,MATCH(A1974,'Semrush Data'!$A$1:$A$20000,0),MATCH("Intent",'Semrush Data'!$A$1:$Z$1,0)),"")</f>
        <v>Transactional</v>
      </c>
    </row>
    <row r="1975" customFormat="false" ht="15" hidden="false" customHeight="true" outlineLevel="0" collapsed="false">
      <c r="A1975" s="6" t="s">
        <v>5522</v>
      </c>
      <c r="B1975" s="6" t="s">
        <v>1415</v>
      </c>
      <c r="C1975" s="6" t="n">
        <v>3</v>
      </c>
      <c r="D1975" s="6" t="n">
        <v>20</v>
      </c>
      <c r="E1975" s="6" t="n">
        <v>1</v>
      </c>
      <c r="F1975" s="6" t="s">
        <v>5516</v>
      </c>
      <c r="G1975" s="28" t="str">
        <f aca="false">IFERROR(INDEX('Semrush Data'!$A$1:$Z$20000,MATCH(A1975,'Semrush Data'!$A$1:$A$20000,0),MATCH("Volume",'Semrush Data'!$A$1:$Z$1,0)),"")</f>
        <v/>
      </c>
      <c r="H1975" s="6" t="str">
        <f aca="false">IFERROR(INDEX('Semrush Data'!$A$1:$Z$20000,MATCH(A1975,'Semrush Data'!$A$1:$A$20000,0),MATCH("Keyword Difficulty*",'Semrush Data'!$A$1:$Z$1,0)),"")</f>
        <v/>
      </c>
      <c r="I1975" s="29" t="str">
        <f aca="false">IFERROR(INDEX('Semrush Data'!$A$1:$Z$20000,MATCH(A1975,'Semrush Data'!$A$1:$A$20000,0),MATCH("CPC*",'Semrush Data'!$A$1:$Z$1,0)),"")</f>
        <v/>
      </c>
      <c r="J1975" s="6" t="str">
        <f aca="false">IFERROR(INDEX('Semrush Data'!$A$1:$Z$20000,MATCH(A1975,'Semrush Data'!$A$1:$A$20000,0),MATCH("Intent",'Semrush Data'!$A$1:$Z$1,0)),"")</f>
        <v/>
      </c>
    </row>
    <row r="1976" customFormat="false" ht="15" hidden="false" customHeight="true" outlineLevel="0" collapsed="false">
      <c r="A1976" s="6" t="s">
        <v>5534</v>
      </c>
      <c r="B1976" s="6" t="s">
        <v>1415</v>
      </c>
      <c r="C1976" s="6" t="n">
        <v>3</v>
      </c>
      <c r="D1976" s="6" t="n">
        <v>20</v>
      </c>
      <c r="E1976" s="6" t="n">
        <v>1</v>
      </c>
      <c r="F1976" s="6" t="s">
        <v>5530</v>
      </c>
      <c r="G1976" s="28" t="str">
        <f aca="false">IFERROR(INDEX('Semrush Data'!$A$1:$Z$20000,MATCH(A1976,'Semrush Data'!$A$1:$A$20000,0),MATCH("Volume",'Semrush Data'!$A$1:$Z$1,0)),"")</f>
        <v/>
      </c>
      <c r="H1976" s="6" t="str">
        <f aca="false">IFERROR(INDEX('Semrush Data'!$A$1:$Z$20000,MATCH(A1976,'Semrush Data'!$A$1:$A$20000,0),MATCH("Keyword Difficulty*",'Semrush Data'!$A$1:$Z$1,0)),"")</f>
        <v/>
      </c>
      <c r="I1976" s="29" t="str">
        <f aca="false">IFERROR(INDEX('Semrush Data'!$A$1:$Z$20000,MATCH(A1976,'Semrush Data'!$A$1:$A$20000,0),MATCH("CPC*",'Semrush Data'!$A$1:$Z$1,0)),"")</f>
        <v/>
      </c>
      <c r="J1976" s="6" t="str">
        <f aca="false">IFERROR(INDEX('Semrush Data'!$A$1:$Z$20000,MATCH(A1976,'Semrush Data'!$A$1:$A$20000,0),MATCH("Intent",'Semrush Data'!$A$1:$Z$1,0)),"")</f>
        <v/>
      </c>
    </row>
    <row r="1977" customFormat="false" ht="15" hidden="false" customHeight="true" outlineLevel="0" collapsed="false">
      <c r="A1977" s="6" t="s">
        <v>5568</v>
      </c>
      <c r="B1977" s="6" t="s">
        <v>1415</v>
      </c>
      <c r="C1977" s="6" t="n">
        <v>3</v>
      </c>
      <c r="D1977" s="6" t="s">
        <v>6870</v>
      </c>
      <c r="E1977" s="6" t="n">
        <v>2</v>
      </c>
      <c r="F1977" s="6" t="s">
        <v>6860</v>
      </c>
      <c r="G1977" s="28" t="n">
        <f aca="false">IFERROR(INDEX('Semrush Data'!$A$1:$Z$20000,MATCH(A1977,'Semrush Data'!$A$1:$A$20000,0),MATCH("Volume",'Semrush Data'!$A$1:$Z$1,0)),"")</f>
        <v>0</v>
      </c>
      <c r="H1977" s="6" t="n">
        <f aca="false">IFERROR(INDEX('Semrush Data'!$A$1:$Z$20000,MATCH(A1977,'Semrush Data'!$A$1:$A$20000,0),MATCH("Keyword Difficulty*",'Semrush Data'!$A$1:$Z$1,0)),"")</f>
        <v>13</v>
      </c>
      <c r="I1977" s="29" t="n">
        <f aca="false">IFERROR(INDEX('Semrush Data'!$A$1:$Z$20000,MATCH(A1977,'Semrush Data'!$A$1:$A$20000,0),MATCH("CPC*",'Semrush Data'!$A$1:$Z$1,0)),"")</f>
        <v>0</v>
      </c>
      <c r="J1977" s="6" t="str">
        <f aca="false">IFERROR(INDEX('Semrush Data'!$A$1:$Z$20000,MATCH(A1977,'Semrush Data'!$A$1:$A$20000,0),MATCH("Intent",'Semrush Data'!$A$1:$Z$1,0)),"")</f>
        <v>Transactional</v>
      </c>
    </row>
    <row r="1978" customFormat="false" ht="15" hidden="false" customHeight="true" outlineLevel="0" collapsed="false">
      <c r="A1978" s="6" t="s">
        <v>5547</v>
      </c>
      <c r="B1978" s="6" t="s">
        <v>1415</v>
      </c>
      <c r="C1978" s="6" t="n">
        <v>3</v>
      </c>
      <c r="D1978" s="6" t="n">
        <v>20</v>
      </c>
      <c r="E1978" s="6" t="n">
        <v>1</v>
      </c>
      <c r="F1978" s="6" t="s">
        <v>5542</v>
      </c>
      <c r="G1978" s="28" t="str">
        <f aca="false">IFERROR(INDEX('Semrush Data'!$A$1:$Z$20000,MATCH(A1978,'Semrush Data'!$A$1:$A$20000,0),MATCH("Volume",'Semrush Data'!$A$1:$Z$1,0)),"")</f>
        <v/>
      </c>
      <c r="H1978" s="6" t="str">
        <f aca="false">IFERROR(INDEX('Semrush Data'!$A$1:$Z$20000,MATCH(A1978,'Semrush Data'!$A$1:$A$20000,0),MATCH("Keyword Difficulty*",'Semrush Data'!$A$1:$Z$1,0)),"")</f>
        <v/>
      </c>
      <c r="I1978" s="29" t="str">
        <f aca="false">IFERROR(INDEX('Semrush Data'!$A$1:$Z$20000,MATCH(A1978,'Semrush Data'!$A$1:$A$20000,0),MATCH("CPC*",'Semrush Data'!$A$1:$Z$1,0)),"")</f>
        <v/>
      </c>
      <c r="J1978" s="6" t="str">
        <f aca="false">IFERROR(INDEX('Semrush Data'!$A$1:$Z$20000,MATCH(A1978,'Semrush Data'!$A$1:$A$20000,0),MATCH("Intent",'Semrush Data'!$A$1:$Z$1,0)),"")</f>
        <v/>
      </c>
    </row>
    <row r="1979" customFormat="false" ht="15" hidden="false" customHeight="true" outlineLevel="0" collapsed="false">
      <c r="A1979" s="6" t="s">
        <v>5559</v>
      </c>
      <c r="B1979" s="6" t="s">
        <v>1415</v>
      </c>
      <c r="C1979" s="6" t="n">
        <v>3</v>
      </c>
      <c r="D1979" s="6" t="n">
        <v>20</v>
      </c>
      <c r="E1979" s="6" t="n">
        <v>1</v>
      </c>
      <c r="F1979" s="6" t="s">
        <v>5555</v>
      </c>
      <c r="G1979" s="28" t="str">
        <f aca="false">IFERROR(INDEX('Semrush Data'!$A$1:$Z$20000,MATCH(A1979,'Semrush Data'!$A$1:$A$20000,0),MATCH("Volume",'Semrush Data'!$A$1:$Z$1,0)),"")</f>
        <v/>
      </c>
      <c r="H1979" s="6" t="str">
        <f aca="false">IFERROR(INDEX('Semrush Data'!$A$1:$Z$20000,MATCH(A1979,'Semrush Data'!$A$1:$A$20000,0),MATCH("Keyword Difficulty*",'Semrush Data'!$A$1:$Z$1,0)),"")</f>
        <v/>
      </c>
      <c r="I1979" s="29" t="str">
        <f aca="false">IFERROR(INDEX('Semrush Data'!$A$1:$Z$20000,MATCH(A1979,'Semrush Data'!$A$1:$A$20000,0),MATCH("CPC*",'Semrush Data'!$A$1:$Z$1,0)),"")</f>
        <v/>
      </c>
      <c r="J1979" s="6" t="str">
        <f aca="false">IFERROR(INDEX('Semrush Data'!$A$1:$Z$20000,MATCH(A1979,'Semrush Data'!$A$1:$A$20000,0),MATCH("Intent",'Semrush Data'!$A$1:$Z$1,0)),"")</f>
        <v/>
      </c>
    </row>
    <row r="1980" customFormat="false" ht="15" hidden="false" customHeight="true" outlineLevel="0" collapsed="false">
      <c r="A1980" s="6" t="s">
        <v>5579</v>
      </c>
      <c r="B1980" s="6" t="s">
        <v>1415</v>
      </c>
      <c r="C1980" s="6" t="n">
        <v>3</v>
      </c>
      <c r="D1980" s="6" t="s">
        <v>6870</v>
      </c>
      <c r="E1980" s="6" t="n">
        <v>1</v>
      </c>
      <c r="F1980" s="6" t="s">
        <v>73</v>
      </c>
      <c r="G1980" s="28" t="n">
        <f aca="false">IFERROR(INDEX('Semrush Data'!$A$1:$Z$20000,MATCH(A1980,'Semrush Data'!$A$1:$A$20000,0),MATCH("Volume",'Semrush Data'!$A$1:$Z$1,0)),"")</f>
        <v>0</v>
      </c>
      <c r="H1980" s="6" t="n">
        <f aca="false">IFERROR(INDEX('Semrush Data'!$A$1:$Z$20000,MATCH(A1980,'Semrush Data'!$A$1:$A$20000,0),MATCH("Keyword Difficulty*",'Semrush Data'!$A$1:$Z$1,0)),"")</f>
        <v>17</v>
      </c>
      <c r="I1980" s="29" t="n">
        <f aca="false">IFERROR(INDEX('Semrush Data'!$A$1:$Z$20000,MATCH(A1980,'Semrush Data'!$A$1:$A$20000,0),MATCH("CPC*",'Semrush Data'!$A$1:$Z$1,0)),"")</f>
        <v>0</v>
      </c>
      <c r="J1980" s="6" t="str">
        <f aca="false">IFERROR(INDEX('Semrush Data'!$A$1:$Z$20000,MATCH(A1980,'Semrush Data'!$A$1:$A$20000,0),MATCH("Intent",'Semrush Data'!$A$1:$Z$1,0)),"")</f>
        <v>Transactional</v>
      </c>
    </row>
    <row r="1981" customFormat="false" ht="15" hidden="false" customHeight="true" outlineLevel="0" collapsed="false">
      <c r="A1981" s="6" t="s">
        <v>5615</v>
      </c>
      <c r="B1981" s="6" t="s">
        <v>1415</v>
      </c>
      <c r="C1981" s="6" t="n">
        <v>3</v>
      </c>
      <c r="D1981" s="6" t="n">
        <v>20</v>
      </c>
      <c r="E1981" s="6" t="n">
        <v>1</v>
      </c>
      <c r="F1981" s="6" t="s">
        <v>5610</v>
      </c>
      <c r="G1981" s="28" t="str">
        <f aca="false">IFERROR(INDEX('Semrush Data'!$A$1:$Z$20000,MATCH(A1981,'Semrush Data'!$A$1:$A$20000,0),MATCH("Volume",'Semrush Data'!$A$1:$Z$1,0)),"")</f>
        <v/>
      </c>
      <c r="H1981" s="6" t="str">
        <f aca="false">IFERROR(INDEX('Semrush Data'!$A$1:$Z$20000,MATCH(A1981,'Semrush Data'!$A$1:$A$20000,0),MATCH("Keyword Difficulty*",'Semrush Data'!$A$1:$Z$1,0)),"")</f>
        <v/>
      </c>
      <c r="I1981" s="29" t="str">
        <f aca="false">IFERROR(INDEX('Semrush Data'!$A$1:$Z$20000,MATCH(A1981,'Semrush Data'!$A$1:$A$20000,0),MATCH("CPC*",'Semrush Data'!$A$1:$Z$1,0)),"")</f>
        <v/>
      </c>
      <c r="J1981" s="6" t="str">
        <f aca="false">IFERROR(INDEX('Semrush Data'!$A$1:$Z$20000,MATCH(A1981,'Semrush Data'!$A$1:$A$20000,0),MATCH("Intent",'Semrush Data'!$A$1:$Z$1,0)),"")</f>
        <v/>
      </c>
    </row>
    <row r="1982" customFormat="false" ht="15" hidden="false" customHeight="true" outlineLevel="0" collapsed="false">
      <c r="A1982" s="6" t="s">
        <v>5594</v>
      </c>
      <c r="B1982" s="6" t="s">
        <v>1415</v>
      </c>
      <c r="C1982" s="6" t="n">
        <v>3</v>
      </c>
      <c r="D1982" s="6" t="n">
        <v>20</v>
      </c>
      <c r="E1982" s="6" t="n">
        <v>1</v>
      </c>
      <c r="F1982" s="6" t="s">
        <v>5587</v>
      </c>
      <c r="G1982" s="28" t="str">
        <f aca="false">IFERROR(INDEX('Semrush Data'!$A$1:$Z$20000,MATCH(A1982,'Semrush Data'!$A$1:$A$20000,0),MATCH("Volume",'Semrush Data'!$A$1:$Z$1,0)),"")</f>
        <v/>
      </c>
      <c r="H1982" s="6" t="str">
        <f aca="false">IFERROR(INDEX('Semrush Data'!$A$1:$Z$20000,MATCH(A1982,'Semrush Data'!$A$1:$A$20000,0),MATCH("Keyword Difficulty*",'Semrush Data'!$A$1:$Z$1,0)),"")</f>
        <v/>
      </c>
      <c r="I1982" s="29" t="str">
        <f aca="false">IFERROR(INDEX('Semrush Data'!$A$1:$Z$20000,MATCH(A1982,'Semrush Data'!$A$1:$A$20000,0),MATCH("CPC*",'Semrush Data'!$A$1:$Z$1,0)),"")</f>
        <v/>
      </c>
      <c r="J1982" s="6" t="str">
        <f aca="false">IFERROR(INDEX('Semrush Data'!$A$1:$Z$20000,MATCH(A1982,'Semrush Data'!$A$1:$A$20000,0),MATCH("Intent",'Semrush Data'!$A$1:$Z$1,0)),"")</f>
        <v/>
      </c>
    </row>
    <row r="1983" customFormat="false" ht="15" hidden="false" customHeight="true" outlineLevel="0" collapsed="false">
      <c r="A1983" s="6" t="s">
        <v>5604</v>
      </c>
      <c r="B1983" s="6" t="s">
        <v>1415</v>
      </c>
      <c r="C1983" s="6" t="n">
        <v>3</v>
      </c>
      <c r="D1983" s="6" t="n">
        <v>20</v>
      </c>
      <c r="E1983" s="6" t="n">
        <v>1</v>
      </c>
      <c r="F1983" s="6" t="s">
        <v>5600</v>
      </c>
      <c r="G1983" s="28" t="str">
        <f aca="false">IFERROR(INDEX('Semrush Data'!$A$1:$Z$20000,MATCH(A1983,'Semrush Data'!$A$1:$A$20000,0),MATCH("Volume",'Semrush Data'!$A$1:$Z$1,0)),"")</f>
        <v/>
      </c>
      <c r="H1983" s="6" t="str">
        <f aca="false">IFERROR(INDEX('Semrush Data'!$A$1:$Z$20000,MATCH(A1983,'Semrush Data'!$A$1:$A$20000,0),MATCH("Keyword Difficulty*",'Semrush Data'!$A$1:$Z$1,0)),"")</f>
        <v/>
      </c>
      <c r="I1983" s="29" t="str">
        <f aca="false">IFERROR(INDEX('Semrush Data'!$A$1:$Z$20000,MATCH(A1983,'Semrush Data'!$A$1:$A$20000,0),MATCH("CPC*",'Semrush Data'!$A$1:$Z$1,0)),"")</f>
        <v/>
      </c>
      <c r="J1983" s="6" t="str">
        <f aca="false">IFERROR(INDEX('Semrush Data'!$A$1:$Z$20000,MATCH(A1983,'Semrush Data'!$A$1:$A$20000,0),MATCH("Intent",'Semrush Data'!$A$1:$Z$1,0)),"")</f>
        <v/>
      </c>
    </row>
    <row r="1984" customFormat="false" ht="15" hidden="false" customHeight="true" outlineLevel="0" collapsed="false">
      <c r="A1984" s="6" t="s">
        <v>5625</v>
      </c>
      <c r="B1984" s="6" t="s">
        <v>1415</v>
      </c>
      <c r="C1984" s="6" t="n">
        <v>3</v>
      </c>
      <c r="D1984" s="6" t="n">
        <v>20</v>
      </c>
      <c r="E1984" s="6" t="n">
        <v>1</v>
      </c>
      <c r="F1984" s="6" t="s">
        <v>5620</v>
      </c>
      <c r="G1984" s="28" t="str">
        <f aca="false">IFERROR(INDEX('Semrush Data'!$A$1:$Z$20000,MATCH(A1984,'Semrush Data'!$A$1:$A$20000,0),MATCH("Volume",'Semrush Data'!$A$1:$Z$1,0)),"")</f>
        <v/>
      </c>
      <c r="H1984" s="6" t="str">
        <f aca="false">IFERROR(INDEX('Semrush Data'!$A$1:$Z$20000,MATCH(A1984,'Semrush Data'!$A$1:$A$20000,0),MATCH("Keyword Difficulty*",'Semrush Data'!$A$1:$Z$1,0)),"")</f>
        <v/>
      </c>
      <c r="I1984" s="29" t="str">
        <f aca="false">IFERROR(INDEX('Semrush Data'!$A$1:$Z$20000,MATCH(A1984,'Semrush Data'!$A$1:$A$20000,0),MATCH("CPC*",'Semrush Data'!$A$1:$Z$1,0)),"")</f>
        <v/>
      </c>
      <c r="J1984" s="6" t="str">
        <f aca="false">IFERROR(INDEX('Semrush Data'!$A$1:$Z$20000,MATCH(A1984,'Semrush Data'!$A$1:$A$20000,0),MATCH("Intent",'Semrush Data'!$A$1:$Z$1,0)),"")</f>
        <v/>
      </c>
    </row>
    <row r="1985" customFormat="false" ht="15" hidden="false" customHeight="true" outlineLevel="0" collapsed="false">
      <c r="A1985" s="6" t="s">
        <v>4607</v>
      </c>
      <c r="B1985" s="6" t="s">
        <v>1415</v>
      </c>
      <c r="C1985" s="6" t="n">
        <v>3</v>
      </c>
      <c r="D1985" s="6" t="n">
        <v>20</v>
      </c>
      <c r="E1985" s="6" t="n">
        <v>1</v>
      </c>
      <c r="F1985" s="6" t="s">
        <v>4603</v>
      </c>
      <c r="G1985" s="28" t="str">
        <f aca="false">IFERROR(INDEX('Semrush Data'!$A$1:$Z$20000,MATCH(A1985,'Semrush Data'!$A$1:$A$20000,0),MATCH("Volume",'Semrush Data'!$A$1:$Z$1,0)),"")</f>
        <v/>
      </c>
      <c r="H1985" s="6" t="str">
        <f aca="false">IFERROR(INDEX('Semrush Data'!$A$1:$Z$20000,MATCH(A1985,'Semrush Data'!$A$1:$A$20000,0),MATCH("Keyword Difficulty*",'Semrush Data'!$A$1:$Z$1,0)),"")</f>
        <v/>
      </c>
      <c r="I1985" s="29" t="str">
        <f aca="false">IFERROR(INDEX('Semrush Data'!$A$1:$Z$20000,MATCH(A1985,'Semrush Data'!$A$1:$A$20000,0),MATCH("CPC*",'Semrush Data'!$A$1:$Z$1,0)),"")</f>
        <v/>
      </c>
      <c r="J1985" s="6" t="str">
        <f aca="false">IFERROR(INDEX('Semrush Data'!$A$1:$Z$20000,MATCH(A1985,'Semrush Data'!$A$1:$A$20000,0),MATCH("Intent",'Semrush Data'!$A$1:$Z$1,0)),"")</f>
        <v/>
      </c>
    </row>
    <row r="1986" customFormat="false" ht="15" hidden="false" customHeight="true" outlineLevel="0" collapsed="false">
      <c r="A1986" s="6" t="s">
        <v>5637</v>
      </c>
      <c r="B1986" s="6" t="s">
        <v>1415</v>
      </c>
      <c r="C1986" s="6" t="n">
        <v>3</v>
      </c>
      <c r="D1986" s="6" t="n">
        <v>20</v>
      </c>
      <c r="E1986" s="6" t="n">
        <v>1</v>
      </c>
      <c r="F1986" s="6" t="s">
        <v>5632</v>
      </c>
      <c r="G1986" s="28" t="str">
        <f aca="false">IFERROR(INDEX('Semrush Data'!$A$1:$Z$20000,MATCH(A1986,'Semrush Data'!$A$1:$A$20000,0),MATCH("Volume",'Semrush Data'!$A$1:$Z$1,0)),"")</f>
        <v/>
      </c>
      <c r="H1986" s="6" t="str">
        <f aca="false">IFERROR(INDEX('Semrush Data'!$A$1:$Z$20000,MATCH(A1986,'Semrush Data'!$A$1:$A$20000,0),MATCH("Keyword Difficulty*",'Semrush Data'!$A$1:$Z$1,0)),"")</f>
        <v/>
      </c>
      <c r="I1986" s="29" t="str">
        <f aca="false">IFERROR(INDEX('Semrush Data'!$A$1:$Z$20000,MATCH(A1986,'Semrush Data'!$A$1:$A$20000,0),MATCH("CPC*",'Semrush Data'!$A$1:$Z$1,0)),"")</f>
        <v/>
      </c>
      <c r="J1986" s="6" t="str">
        <f aca="false">IFERROR(INDEX('Semrush Data'!$A$1:$Z$20000,MATCH(A1986,'Semrush Data'!$A$1:$A$20000,0),MATCH("Intent",'Semrush Data'!$A$1:$Z$1,0)),"")</f>
        <v/>
      </c>
    </row>
    <row r="1987" customFormat="false" ht="15" hidden="false" customHeight="true" outlineLevel="0" collapsed="false">
      <c r="A1987" s="6" t="s">
        <v>5648</v>
      </c>
      <c r="B1987" s="6" t="s">
        <v>1415</v>
      </c>
      <c r="C1987" s="6" t="n">
        <v>3</v>
      </c>
      <c r="D1987" s="6" t="n">
        <v>20</v>
      </c>
      <c r="E1987" s="6" t="n">
        <v>1</v>
      </c>
      <c r="F1987" s="6" t="s">
        <v>5644</v>
      </c>
      <c r="G1987" s="28" t="str">
        <f aca="false">IFERROR(INDEX('Semrush Data'!$A$1:$Z$20000,MATCH(A1987,'Semrush Data'!$A$1:$A$20000,0),MATCH("Volume",'Semrush Data'!$A$1:$Z$1,0)),"")</f>
        <v/>
      </c>
      <c r="H1987" s="6" t="str">
        <f aca="false">IFERROR(INDEX('Semrush Data'!$A$1:$Z$20000,MATCH(A1987,'Semrush Data'!$A$1:$A$20000,0),MATCH("Keyword Difficulty*",'Semrush Data'!$A$1:$Z$1,0)),"")</f>
        <v/>
      </c>
      <c r="I1987" s="29" t="str">
        <f aca="false">IFERROR(INDEX('Semrush Data'!$A$1:$Z$20000,MATCH(A1987,'Semrush Data'!$A$1:$A$20000,0),MATCH("CPC*",'Semrush Data'!$A$1:$Z$1,0)),"")</f>
        <v/>
      </c>
      <c r="J1987" s="6" t="str">
        <f aca="false">IFERROR(INDEX('Semrush Data'!$A$1:$Z$20000,MATCH(A1987,'Semrush Data'!$A$1:$A$20000,0),MATCH("Intent",'Semrush Data'!$A$1:$Z$1,0)),"")</f>
        <v/>
      </c>
    </row>
    <row r="1988" customFormat="false" ht="15" hidden="false" customHeight="true" outlineLevel="0" collapsed="false">
      <c r="A1988" s="6" t="s">
        <v>5659</v>
      </c>
      <c r="B1988" s="6" t="s">
        <v>1415</v>
      </c>
      <c r="C1988" s="6" t="n">
        <v>3</v>
      </c>
      <c r="D1988" s="6" t="n">
        <v>20</v>
      </c>
      <c r="E1988" s="6" t="n">
        <v>1</v>
      </c>
      <c r="F1988" s="6" t="s">
        <v>5655</v>
      </c>
      <c r="G1988" s="28" t="str">
        <f aca="false">IFERROR(INDEX('Semrush Data'!$A$1:$Z$20000,MATCH(A1988,'Semrush Data'!$A$1:$A$20000,0),MATCH("Volume",'Semrush Data'!$A$1:$Z$1,0)),"")</f>
        <v/>
      </c>
      <c r="H1988" s="6" t="str">
        <f aca="false">IFERROR(INDEX('Semrush Data'!$A$1:$Z$20000,MATCH(A1988,'Semrush Data'!$A$1:$A$20000,0),MATCH("Keyword Difficulty*",'Semrush Data'!$A$1:$Z$1,0)),"")</f>
        <v/>
      </c>
      <c r="I1988" s="29" t="str">
        <f aca="false">IFERROR(INDEX('Semrush Data'!$A$1:$Z$20000,MATCH(A1988,'Semrush Data'!$A$1:$A$20000,0),MATCH("CPC*",'Semrush Data'!$A$1:$Z$1,0)),"")</f>
        <v/>
      </c>
      <c r="J1988" s="6" t="str">
        <f aca="false">IFERROR(INDEX('Semrush Data'!$A$1:$Z$20000,MATCH(A1988,'Semrush Data'!$A$1:$A$20000,0),MATCH("Intent",'Semrush Data'!$A$1:$Z$1,0)),"")</f>
        <v/>
      </c>
    </row>
    <row r="1989" customFormat="false" ht="15" hidden="false" customHeight="true" outlineLevel="0" collapsed="false">
      <c r="A1989" s="6" t="s">
        <v>5670</v>
      </c>
      <c r="B1989" s="6" t="s">
        <v>1415</v>
      </c>
      <c r="C1989" s="6" t="n">
        <v>3</v>
      </c>
      <c r="D1989" s="6" t="n">
        <v>20</v>
      </c>
      <c r="E1989" s="6" t="n">
        <v>1</v>
      </c>
      <c r="F1989" s="6" t="s">
        <v>5665</v>
      </c>
      <c r="G1989" s="28" t="str">
        <f aca="false">IFERROR(INDEX('Semrush Data'!$A$1:$Z$20000,MATCH(A1989,'Semrush Data'!$A$1:$A$20000,0),MATCH("Volume",'Semrush Data'!$A$1:$Z$1,0)),"")</f>
        <v/>
      </c>
      <c r="H1989" s="6" t="str">
        <f aca="false">IFERROR(INDEX('Semrush Data'!$A$1:$Z$20000,MATCH(A1989,'Semrush Data'!$A$1:$A$20000,0),MATCH("Keyword Difficulty*",'Semrush Data'!$A$1:$Z$1,0)),"")</f>
        <v/>
      </c>
      <c r="I1989" s="29" t="str">
        <f aca="false">IFERROR(INDEX('Semrush Data'!$A$1:$Z$20000,MATCH(A1989,'Semrush Data'!$A$1:$A$20000,0),MATCH("CPC*",'Semrush Data'!$A$1:$Z$1,0)),"")</f>
        <v/>
      </c>
      <c r="J1989" s="6" t="str">
        <f aca="false">IFERROR(INDEX('Semrush Data'!$A$1:$Z$20000,MATCH(A1989,'Semrush Data'!$A$1:$A$20000,0),MATCH("Intent",'Semrush Data'!$A$1:$Z$1,0)),"")</f>
        <v/>
      </c>
    </row>
    <row r="1990" customFormat="false" ht="15" hidden="false" customHeight="true" outlineLevel="0" collapsed="false">
      <c r="A1990" s="6" t="s">
        <v>5682</v>
      </c>
      <c r="B1990" s="6" t="s">
        <v>1415</v>
      </c>
      <c r="C1990" s="6" t="n">
        <v>3</v>
      </c>
      <c r="D1990" s="6" t="n">
        <v>20</v>
      </c>
      <c r="E1990" s="6" t="n">
        <v>1</v>
      </c>
      <c r="F1990" s="6" t="s">
        <v>5678</v>
      </c>
      <c r="G1990" s="28" t="str">
        <f aca="false">IFERROR(INDEX('Semrush Data'!$A$1:$Z$20000,MATCH(A1990,'Semrush Data'!$A$1:$A$20000,0),MATCH("Volume",'Semrush Data'!$A$1:$Z$1,0)),"")</f>
        <v/>
      </c>
      <c r="H1990" s="6" t="str">
        <f aca="false">IFERROR(INDEX('Semrush Data'!$A$1:$Z$20000,MATCH(A1990,'Semrush Data'!$A$1:$A$20000,0),MATCH("Keyword Difficulty*",'Semrush Data'!$A$1:$Z$1,0)),"")</f>
        <v/>
      </c>
      <c r="I1990" s="29" t="str">
        <f aca="false">IFERROR(INDEX('Semrush Data'!$A$1:$Z$20000,MATCH(A1990,'Semrush Data'!$A$1:$A$20000,0),MATCH("CPC*",'Semrush Data'!$A$1:$Z$1,0)),"")</f>
        <v/>
      </c>
      <c r="J1990" s="6" t="str">
        <f aca="false">IFERROR(INDEX('Semrush Data'!$A$1:$Z$20000,MATCH(A1990,'Semrush Data'!$A$1:$A$20000,0),MATCH("Intent",'Semrush Data'!$A$1:$Z$1,0)),"")</f>
        <v/>
      </c>
    </row>
    <row r="1991" customFormat="false" ht="15" hidden="false" customHeight="true" outlineLevel="0" collapsed="false">
      <c r="A1991" s="6" t="s">
        <v>5693</v>
      </c>
      <c r="B1991" s="6" t="s">
        <v>1415</v>
      </c>
      <c r="C1991" s="6" t="n">
        <v>3</v>
      </c>
      <c r="D1991" s="6" t="n">
        <v>20</v>
      </c>
      <c r="E1991" s="6" t="n">
        <v>1</v>
      </c>
      <c r="F1991" s="6" t="s">
        <v>5689</v>
      </c>
      <c r="G1991" s="28" t="str">
        <f aca="false">IFERROR(INDEX('Semrush Data'!$A$1:$Z$20000,MATCH(A1991,'Semrush Data'!$A$1:$A$20000,0),MATCH("Volume",'Semrush Data'!$A$1:$Z$1,0)),"")</f>
        <v/>
      </c>
      <c r="H1991" s="6" t="str">
        <f aca="false">IFERROR(INDEX('Semrush Data'!$A$1:$Z$20000,MATCH(A1991,'Semrush Data'!$A$1:$A$20000,0),MATCH("Keyword Difficulty*",'Semrush Data'!$A$1:$Z$1,0)),"")</f>
        <v/>
      </c>
      <c r="I1991" s="29" t="str">
        <f aca="false">IFERROR(INDEX('Semrush Data'!$A$1:$Z$20000,MATCH(A1991,'Semrush Data'!$A$1:$A$20000,0),MATCH("CPC*",'Semrush Data'!$A$1:$Z$1,0)),"")</f>
        <v/>
      </c>
      <c r="J1991" s="6" t="str">
        <f aca="false">IFERROR(INDEX('Semrush Data'!$A$1:$Z$20000,MATCH(A1991,'Semrush Data'!$A$1:$A$20000,0),MATCH("Intent",'Semrush Data'!$A$1:$Z$1,0)),"")</f>
        <v/>
      </c>
    </row>
    <row r="1992" customFormat="false" ht="15" hidden="false" customHeight="true" outlineLevel="0" collapsed="false">
      <c r="A1992" s="6" t="s">
        <v>5705</v>
      </c>
      <c r="B1992" s="6" t="s">
        <v>1415</v>
      </c>
      <c r="C1992" s="6" t="n">
        <v>3</v>
      </c>
      <c r="D1992" s="6" t="n">
        <v>20</v>
      </c>
      <c r="E1992" s="6" t="n">
        <v>1</v>
      </c>
      <c r="F1992" s="6" t="s">
        <v>5701</v>
      </c>
      <c r="G1992" s="28" t="str">
        <f aca="false">IFERROR(INDEX('Semrush Data'!$A$1:$Z$20000,MATCH(A1992,'Semrush Data'!$A$1:$A$20000,0),MATCH("Volume",'Semrush Data'!$A$1:$Z$1,0)),"")</f>
        <v/>
      </c>
      <c r="H1992" s="6" t="str">
        <f aca="false">IFERROR(INDEX('Semrush Data'!$A$1:$Z$20000,MATCH(A1992,'Semrush Data'!$A$1:$A$20000,0),MATCH("Keyword Difficulty*",'Semrush Data'!$A$1:$Z$1,0)),"")</f>
        <v/>
      </c>
      <c r="I1992" s="29" t="str">
        <f aca="false">IFERROR(INDEX('Semrush Data'!$A$1:$Z$20000,MATCH(A1992,'Semrush Data'!$A$1:$A$20000,0),MATCH("CPC*",'Semrush Data'!$A$1:$Z$1,0)),"")</f>
        <v/>
      </c>
      <c r="J1992" s="6" t="str">
        <f aca="false">IFERROR(INDEX('Semrush Data'!$A$1:$Z$20000,MATCH(A1992,'Semrush Data'!$A$1:$A$20000,0),MATCH("Intent",'Semrush Data'!$A$1:$Z$1,0)),"")</f>
        <v/>
      </c>
    </row>
    <row r="1993" customFormat="false" ht="15" hidden="false" customHeight="true" outlineLevel="0" collapsed="false">
      <c r="A1993" s="6" t="s">
        <v>5716</v>
      </c>
      <c r="B1993" s="6" t="s">
        <v>1415</v>
      </c>
      <c r="C1993" s="6" t="n">
        <v>3</v>
      </c>
      <c r="D1993" s="6" t="n">
        <v>20</v>
      </c>
      <c r="E1993" s="6" t="n">
        <v>1</v>
      </c>
      <c r="F1993" s="6" t="s">
        <v>5712</v>
      </c>
      <c r="G1993" s="28" t="str">
        <f aca="false">IFERROR(INDEX('Semrush Data'!$A$1:$Z$20000,MATCH(A1993,'Semrush Data'!$A$1:$A$20000,0),MATCH("Volume",'Semrush Data'!$A$1:$Z$1,0)),"")</f>
        <v/>
      </c>
      <c r="H1993" s="6" t="str">
        <f aca="false">IFERROR(INDEX('Semrush Data'!$A$1:$Z$20000,MATCH(A1993,'Semrush Data'!$A$1:$A$20000,0),MATCH("Keyword Difficulty*",'Semrush Data'!$A$1:$Z$1,0)),"")</f>
        <v/>
      </c>
      <c r="I1993" s="29" t="str">
        <f aca="false">IFERROR(INDEX('Semrush Data'!$A$1:$Z$20000,MATCH(A1993,'Semrush Data'!$A$1:$A$20000,0),MATCH("CPC*",'Semrush Data'!$A$1:$Z$1,0)),"")</f>
        <v/>
      </c>
      <c r="J1993" s="6" t="str">
        <f aca="false">IFERROR(INDEX('Semrush Data'!$A$1:$Z$20000,MATCH(A1993,'Semrush Data'!$A$1:$A$20000,0),MATCH("Intent",'Semrush Data'!$A$1:$Z$1,0)),"")</f>
        <v/>
      </c>
    </row>
    <row r="1994" customFormat="false" ht="15" hidden="false" customHeight="true" outlineLevel="0" collapsed="false">
      <c r="A1994" s="6" t="s">
        <v>5728</v>
      </c>
      <c r="B1994" s="6" t="s">
        <v>1415</v>
      </c>
      <c r="C1994" s="6" t="n">
        <v>3</v>
      </c>
      <c r="D1994" s="6" t="n">
        <v>20</v>
      </c>
      <c r="E1994" s="6" t="n">
        <v>1</v>
      </c>
      <c r="F1994" s="6" t="s">
        <v>5723</v>
      </c>
      <c r="G1994" s="28" t="str">
        <f aca="false">IFERROR(INDEX('Semrush Data'!$A$1:$Z$20000,MATCH(A1994,'Semrush Data'!$A$1:$A$20000,0),MATCH("Volume",'Semrush Data'!$A$1:$Z$1,0)),"")</f>
        <v/>
      </c>
      <c r="H1994" s="6" t="str">
        <f aca="false">IFERROR(INDEX('Semrush Data'!$A$1:$Z$20000,MATCH(A1994,'Semrush Data'!$A$1:$A$20000,0),MATCH("Keyword Difficulty*",'Semrush Data'!$A$1:$Z$1,0)),"")</f>
        <v/>
      </c>
      <c r="I1994" s="29" t="str">
        <f aca="false">IFERROR(INDEX('Semrush Data'!$A$1:$Z$20000,MATCH(A1994,'Semrush Data'!$A$1:$A$20000,0),MATCH("CPC*",'Semrush Data'!$A$1:$Z$1,0)),"")</f>
        <v/>
      </c>
      <c r="J1994" s="6" t="str">
        <f aca="false">IFERROR(INDEX('Semrush Data'!$A$1:$Z$20000,MATCH(A1994,'Semrush Data'!$A$1:$A$20000,0),MATCH("Intent",'Semrush Data'!$A$1:$Z$1,0)),"")</f>
        <v/>
      </c>
    </row>
    <row r="1995" customFormat="false" ht="15" hidden="false" customHeight="true" outlineLevel="0" collapsed="false">
      <c r="A1995" s="6" t="s">
        <v>5741</v>
      </c>
      <c r="B1995" s="6" t="s">
        <v>1415</v>
      </c>
      <c r="C1995" s="6" t="n">
        <v>3</v>
      </c>
      <c r="D1995" s="6" t="n">
        <v>20</v>
      </c>
      <c r="E1995" s="6" t="n">
        <v>1</v>
      </c>
      <c r="F1995" s="6" t="s">
        <v>5736</v>
      </c>
      <c r="G1995" s="28" t="str">
        <f aca="false">IFERROR(INDEX('Semrush Data'!$A$1:$Z$20000,MATCH(A1995,'Semrush Data'!$A$1:$A$20000,0),MATCH("Volume",'Semrush Data'!$A$1:$Z$1,0)),"")</f>
        <v/>
      </c>
      <c r="H1995" s="6" t="str">
        <f aca="false">IFERROR(INDEX('Semrush Data'!$A$1:$Z$20000,MATCH(A1995,'Semrush Data'!$A$1:$A$20000,0),MATCH("Keyword Difficulty*",'Semrush Data'!$A$1:$Z$1,0)),"")</f>
        <v/>
      </c>
      <c r="I1995" s="29" t="str">
        <f aca="false">IFERROR(INDEX('Semrush Data'!$A$1:$Z$20000,MATCH(A1995,'Semrush Data'!$A$1:$A$20000,0),MATCH("CPC*",'Semrush Data'!$A$1:$Z$1,0)),"")</f>
        <v/>
      </c>
      <c r="J1995" s="6" t="str">
        <f aca="false">IFERROR(INDEX('Semrush Data'!$A$1:$Z$20000,MATCH(A1995,'Semrush Data'!$A$1:$A$20000,0),MATCH("Intent",'Semrush Data'!$A$1:$Z$1,0)),"")</f>
        <v/>
      </c>
    </row>
    <row r="1996" customFormat="false" ht="15" hidden="false" customHeight="true" outlineLevel="0" collapsed="false">
      <c r="A1996" s="6" t="s">
        <v>5754</v>
      </c>
      <c r="B1996" s="6" t="s">
        <v>1415</v>
      </c>
      <c r="C1996" s="6" t="n">
        <v>3</v>
      </c>
      <c r="D1996" s="6" t="n">
        <v>20</v>
      </c>
      <c r="E1996" s="6" t="n">
        <v>1</v>
      </c>
      <c r="F1996" s="6" t="s">
        <v>5749</v>
      </c>
      <c r="G1996" s="28" t="str">
        <f aca="false">IFERROR(INDEX('Semrush Data'!$A$1:$Z$20000,MATCH(A1996,'Semrush Data'!$A$1:$A$20000,0),MATCH("Volume",'Semrush Data'!$A$1:$Z$1,0)),"")</f>
        <v/>
      </c>
      <c r="H1996" s="6" t="str">
        <f aca="false">IFERROR(INDEX('Semrush Data'!$A$1:$Z$20000,MATCH(A1996,'Semrush Data'!$A$1:$A$20000,0),MATCH("Keyword Difficulty*",'Semrush Data'!$A$1:$Z$1,0)),"")</f>
        <v/>
      </c>
      <c r="I1996" s="29" t="str">
        <f aca="false">IFERROR(INDEX('Semrush Data'!$A$1:$Z$20000,MATCH(A1996,'Semrush Data'!$A$1:$A$20000,0),MATCH("CPC*",'Semrush Data'!$A$1:$Z$1,0)),"")</f>
        <v/>
      </c>
      <c r="J1996" s="6" t="str">
        <f aca="false">IFERROR(INDEX('Semrush Data'!$A$1:$Z$20000,MATCH(A1996,'Semrush Data'!$A$1:$A$20000,0),MATCH("Intent",'Semrush Data'!$A$1:$Z$1,0)),"")</f>
        <v/>
      </c>
    </row>
    <row r="1997" customFormat="false" ht="15" hidden="false" customHeight="true" outlineLevel="0" collapsed="false">
      <c r="A1997" s="6" t="s">
        <v>5766</v>
      </c>
      <c r="B1997" s="6" t="s">
        <v>1415</v>
      </c>
      <c r="C1997" s="6" t="n">
        <v>3</v>
      </c>
      <c r="D1997" s="6" t="n">
        <v>20</v>
      </c>
      <c r="E1997" s="6" t="n">
        <v>1</v>
      </c>
      <c r="F1997" s="6" t="s">
        <v>5762</v>
      </c>
      <c r="G1997" s="28" t="str">
        <f aca="false">IFERROR(INDEX('Semrush Data'!$A$1:$Z$20000,MATCH(A1997,'Semrush Data'!$A$1:$A$20000,0),MATCH("Volume",'Semrush Data'!$A$1:$Z$1,0)),"")</f>
        <v/>
      </c>
      <c r="H1997" s="6" t="str">
        <f aca="false">IFERROR(INDEX('Semrush Data'!$A$1:$Z$20000,MATCH(A1997,'Semrush Data'!$A$1:$A$20000,0),MATCH("Keyword Difficulty*",'Semrush Data'!$A$1:$Z$1,0)),"")</f>
        <v/>
      </c>
      <c r="I1997" s="29" t="str">
        <f aca="false">IFERROR(INDEX('Semrush Data'!$A$1:$Z$20000,MATCH(A1997,'Semrush Data'!$A$1:$A$20000,0),MATCH("CPC*",'Semrush Data'!$A$1:$Z$1,0)),"")</f>
        <v/>
      </c>
      <c r="J1997" s="6" t="str">
        <f aca="false">IFERROR(INDEX('Semrush Data'!$A$1:$Z$20000,MATCH(A1997,'Semrush Data'!$A$1:$A$20000,0),MATCH("Intent",'Semrush Data'!$A$1:$Z$1,0)),"")</f>
        <v/>
      </c>
    </row>
    <row r="1998" customFormat="false" ht="15" hidden="false" customHeight="true" outlineLevel="0" collapsed="false">
      <c r="A1998" s="6" t="s">
        <v>5777</v>
      </c>
      <c r="B1998" s="6" t="s">
        <v>1415</v>
      </c>
      <c r="C1998" s="6" t="n">
        <v>3</v>
      </c>
      <c r="D1998" s="6" t="n">
        <v>20</v>
      </c>
      <c r="E1998" s="6" t="n">
        <v>1</v>
      </c>
      <c r="F1998" s="6" t="s">
        <v>5773</v>
      </c>
      <c r="G1998" s="28" t="str">
        <f aca="false">IFERROR(INDEX('Semrush Data'!$A$1:$Z$20000,MATCH(A1998,'Semrush Data'!$A$1:$A$20000,0),MATCH("Volume",'Semrush Data'!$A$1:$Z$1,0)),"")</f>
        <v/>
      </c>
      <c r="H1998" s="6" t="str">
        <f aca="false">IFERROR(INDEX('Semrush Data'!$A$1:$Z$20000,MATCH(A1998,'Semrush Data'!$A$1:$A$20000,0),MATCH("Keyword Difficulty*",'Semrush Data'!$A$1:$Z$1,0)),"")</f>
        <v/>
      </c>
      <c r="I1998" s="29" t="str">
        <f aca="false">IFERROR(INDEX('Semrush Data'!$A$1:$Z$20000,MATCH(A1998,'Semrush Data'!$A$1:$A$20000,0),MATCH("CPC*",'Semrush Data'!$A$1:$Z$1,0)),"")</f>
        <v/>
      </c>
      <c r="J1998" s="6" t="str">
        <f aca="false">IFERROR(INDEX('Semrush Data'!$A$1:$Z$20000,MATCH(A1998,'Semrush Data'!$A$1:$A$20000,0),MATCH("Intent",'Semrush Data'!$A$1:$Z$1,0)),"")</f>
        <v/>
      </c>
    </row>
    <row r="1999" customFormat="false" ht="15" hidden="false" customHeight="true" outlineLevel="0" collapsed="false">
      <c r="A1999" s="6" t="s">
        <v>5901</v>
      </c>
      <c r="B1999" s="6" t="s">
        <v>1415</v>
      </c>
      <c r="C1999" s="6" t="n">
        <v>3</v>
      </c>
      <c r="D1999" s="6" t="n">
        <v>20</v>
      </c>
      <c r="E1999" s="6" t="n">
        <v>1</v>
      </c>
      <c r="F1999" s="6" t="s">
        <v>5896</v>
      </c>
      <c r="G1999" s="28" t="str">
        <f aca="false">IFERROR(INDEX('Semrush Data'!$A$1:$Z$20000,MATCH(A1999,'Semrush Data'!$A$1:$A$20000,0),MATCH("Volume",'Semrush Data'!$A$1:$Z$1,0)),"")</f>
        <v/>
      </c>
      <c r="H1999" s="6" t="str">
        <f aca="false">IFERROR(INDEX('Semrush Data'!$A$1:$Z$20000,MATCH(A1999,'Semrush Data'!$A$1:$A$20000,0),MATCH("Keyword Difficulty*",'Semrush Data'!$A$1:$Z$1,0)),"")</f>
        <v/>
      </c>
      <c r="I1999" s="29" t="str">
        <f aca="false">IFERROR(INDEX('Semrush Data'!$A$1:$Z$20000,MATCH(A1999,'Semrush Data'!$A$1:$A$20000,0),MATCH("CPC*",'Semrush Data'!$A$1:$Z$1,0)),"")</f>
        <v/>
      </c>
      <c r="J1999" s="6" t="str">
        <f aca="false">IFERROR(INDEX('Semrush Data'!$A$1:$Z$20000,MATCH(A1999,'Semrush Data'!$A$1:$A$20000,0),MATCH("Intent",'Semrush Data'!$A$1:$Z$1,0)),"")</f>
        <v/>
      </c>
    </row>
    <row r="2000" customFormat="false" ht="15" hidden="false" customHeight="true" outlineLevel="0" collapsed="false">
      <c r="A2000" s="6" t="s">
        <v>5789</v>
      </c>
      <c r="B2000" s="6" t="s">
        <v>1415</v>
      </c>
      <c r="C2000" s="6" t="n">
        <v>3</v>
      </c>
      <c r="D2000" s="6" t="n">
        <v>20</v>
      </c>
      <c r="E2000" s="6" t="n">
        <v>1</v>
      </c>
      <c r="F2000" s="6" t="s">
        <v>5785</v>
      </c>
      <c r="G2000" s="28" t="str">
        <f aca="false">IFERROR(INDEX('Semrush Data'!$A$1:$Z$20000,MATCH(A2000,'Semrush Data'!$A$1:$A$20000,0),MATCH("Volume",'Semrush Data'!$A$1:$Z$1,0)),"")</f>
        <v/>
      </c>
      <c r="H2000" s="6" t="str">
        <f aca="false">IFERROR(INDEX('Semrush Data'!$A$1:$Z$20000,MATCH(A2000,'Semrush Data'!$A$1:$A$20000,0),MATCH("Keyword Difficulty*",'Semrush Data'!$A$1:$Z$1,0)),"")</f>
        <v/>
      </c>
      <c r="I2000" s="29" t="str">
        <f aca="false">IFERROR(INDEX('Semrush Data'!$A$1:$Z$20000,MATCH(A2000,'Semrush Data'!$A$1:$A$20000,0),MATCH("CPC*",'Semrush Data'!$A$1:$Z$1,0)),"")</f>
        <v/>
      </c>
      <c r="J2000" s="6" t="str">
        <f aca="false">IFERROR(INDEX('Semrush Data'!$A$1:$Z$20000,MATCH(A2000,'Semrush Data'!$A$1:$A$20000,0),MATCH("Intent",'Semrush Data'!$A$1:$Z$1,0)),"")</f>
        <v/>
      </c>
    </row>
    <row r="2001" customFormat="false" ht="15" hidden="false" customHeight="true" outlineLevel="0" collapsed="false">
      <c r="A2001" s="6" t="s">
        <v>5879</v>
      </c>
      <c r="B2001" s="6" t="s">
        <v>1415</v>
      </c>
      <c r="C2001" s="6" t="n">
        <v>3</v>
      </c>
      <c r="D2001" s="6" t="n">
        <v>20</v>
      </c>
      <c r="E2001" s="6" t="n">
        <v>1</v>
      </c>
      <c r="F2001" s="6" t="s">
        <v>5875</v>
      </c>
      <c r="G2001" s="28" t="str">
        <f aca="false">IFERROR(INDEX('Semrush Data'!$A$1:$Z$20000,MATCH(A2001,'Semrush Data'!$A$1:$A$20000,0),MATCH("Volume",'Semrush Data'!$A$1:$Z$1,0)),"")</f>
        <v/>
      </c>
      <c r="H2001" s="6" t="str">
        <f aca="false">IFERROR(INDEX('Semrush Data'!$A$1:$Z$20000,MATCH(A2001,'Semrush Data'!$A$1:$A$20000,0),MATCH("Keyword Difficulty*",'Semrush Data'!$A$1:$Z$1,0)),"")</f>
        <v/>
      </c>
      <c r="I2001" s="29" t="str">
        <f aca="false">IFERROR(INDEX('Semrush Data'!$A$1:$Z$20000,MATCH(A2001,'Semrush Data'!$A$1:$A$20000,0),MATCH("CPC*",'Semrush Data'!$A$1:$Z$1,0)),"")</f>
        <v/>
      </c>
      <c r="J2001" s="6" t="str">
        <f aca="false">IFERROR(INDEX('Semrush Data'!$A$1:$Z$20000,MATCH(A2001,'Semrush Data'!$A$1:$A$20000,0),MATCH("Intent",'Semrush Data'!$A$1:$Z$1,0)),"")</f>
        <v/>
      </c>
    </row>
    <row r="2002" customFormat="false" ht="15" hidden="false" customHeight="true" outlineLevel="0" collapsed="false">
      <c r="A2002" s="6" t="s">
        <v>5891</v>
      </c>
      <c r="B2002" s="6" t="s">
        <v>1415</v>
      </c>
      <c r="C2002" s="6" t="n">
        <v>3</v>
      </c>
      <c r="D2002" s="6" t="n">
        <v>21</v>
      </c>
      <c r="E2002" s="6" t="n">
        <v>1</v>
      </c>
      <c r="F2002" s="6" t="s">
        <v>5886</v>
      </c>
      <c r="G2002" s="28" t="str">
        <f aca="false">IFERROR(INDEX('Semrush Data'!$A$1:$Z$20000,MATCH(A2002,'Semrush Data'!$A$1:$A$20000,0),MATCH("Volume",'Semrush Data'!$A$1:$Z$1,0)),"")</f>
        <v/>
      </c>
      <c r="H2002" s="6" t="str">
        <f aca="false">IFERROR(INDEX('Semrush Data'!$A$1:$Z$20000,MATCH(A2002,'Semrush Data'!$A$1:$A$20000,0),MATCH("Keyword Difficulty*",'Semrush Data'!$A$1:$Z$1,0)),"")</f>
        <v/>
      </c>
      <c r="I2002" s="29" t="str">
        <f aca="false">IFERROR(INDEX('Semrush Data'!$A$1:$Z$20000,MATCH(A2002,'Semrush Data'!$A$1:$A$20000,0),MATCH("CPC*",'Semrush Data'!$A$1:$Z$1,0)),"")</f>
        <v/>
      </c>
      <c r="J2002" s="6" t="str">
        <f aca="false">IFERROR(INDEX('Semrush Data'!$A$1:$Z$20000,MATCH(A2002,'Semrush Data'!$A$1:$A$20000,0),MATCH("Intent",'Semrush Data'!$A$1:$Z$1,0)),"")</f>
        <v/>
      </c>
    </row>
    <row r="2003" customFormat="false" ht="15" hidden="false" customHeight="true" outlineLevel="0" collapsed="false">
      <c r="A2003" s="6" t="s">
        <v>5913</v>
      </c>
      <c r="B2003" s="6" t="s">
        <v>1415</v>
      </c>
      <c r="C2003" s="6" t="n">
        <v>3</v>
      </c>
      <c r="D2003" s="6" t="n">
        <v>21</v>
      </c>
      <c r="E2003" s="6" t="n">
        <v>1</v>
      </c>
      <c r="F2003" s="6" t="s">
        <v>5909</v>
      </c>
      <c r="G2003" s="28" t="str">
        <f aca="false">IFERROR(INDEX('Semrush Data'!$A$1:$Z$20000,MATCH(A2003,'Semrush Data'!$A$1:$A$20000,0),MATCH("Volume",'Semrush Data'!$A$1:$Z$1,0)),"")</f>
        <v/>
      </c>
      <c r="H2003" s="6" t="str">
        <f aca="false">IFERROR(INDEX('Semrush Data'!$A$1:$Z$20000,MATCH(A2003,'Semrush Data'!$A$1:$A$20000,0),MATCH("Keyword Difficulty*",'Semrush Data'!$A$1:$Z$1,0)),"")</f>
        <v/>
      </c>
      <c r="I2003" s="29" t="str">
        <f aca="false">IFERROR(INDEX('Semrush Data'!$A$1:$Z$20000,MATCH(A2003,'Semrush Data'!$A$1:$A$20000,0),MATCH("CPC*",'Semrush Data'!$A$1:$Z$1,0)),"")</f>
        <v/>
      </c>
      <c r="J2003" s="6" t="str">
        <f aca="false">IFERROR(INDEX('Semrush Data'!$A$1:$Z$20000,MATCH(A2003,'Semrush Data'!$A$1:$A$20000,0),MATCH("Intent",'Semrush Data'!$A$1:$Z$1,0)),"")</f>
        <v/>
      </c>
    </row>
    <row r="2004" customFormat="false" ht="15" hidden="false" customHeight="true" outlineLevel="0" collapsed="false">
      <c r="A2004" s="6" t="s">
        <v>5800</v>
      </c>
      <c r="B2004" s="6" t="s">
        <v>1415</v>
      </c>
      <c r="C2004" s="6" t="n">
        <v>3</v>
      </c>
      <c r="D2004" s="6" t="n">
        <v>21</v>
      </c>
      <c r="E2004" s="6" t="n">
        <v>1</v>
      </c>
      <c r="F2004" s="6" t="s">
        <v>5796</v>
      </c>
      <c r="G2004" s="28" t="str">
        <f aca="false">IFERROR(INDEX('Semrush Data'!$A$1:$Z$20000,MATCH(A2004,'Semrush Data'!$A$1:$A$20000,0),MATCH("Volume",'Semrush Data'!$A$1:$Z$1,0)),"")</f>
        <v/>
      </c>
      <c r="H2004" s="6" t="str">
        <f aca="false">IFERROR(INDEX('Semrush Data'!$A$1:$Z$20000,MATCH(A2004,'Semrush Data'!$A$1:$A$20000,0),MATCH("Keyword Difficulty*",'Semrush Data'!$A$1:$Z$1,0)),"")</f>
        <v/>
      </c>
      <c r="I2004" s="29" t="str">
        <f aca="false">IFERROR(INDEX('Semrush Data'!$A$1:$Z$20000,MATCH(A2004,'Semrush Data'!$A$1:$A$20000,0),MATCH("CPC*",'Semrush Data'!$A$1:$Z$1,0)),"")</f>
        <v/>
      </c>
      <c r="J2004" s="6" t="str">
        <f aca="false">IFERROR(INDEX('Semrush Data'!$A$1:$Z$20000,MATCH(A2004,'Semrush Data'!$A$1:$A$20000,0),MATCH("Intent",'Semrush Data'!$A$1:$Z$1,0)),"")</f>
        <v/>
      </c>
    </row>
    <row r="2005" customFormat="false" ht="15" hidden="false" customHeight="true" outlineLevel="0" collapsed="false">
      <c r="A2005" s="6" t="s">
        <v>5812</v>
      </c>
      <c r="B2005" s="6" t="s">
        <v>1415</v>
      </c>
      <c r="C2005" s="6" t="n">
        <v>3</v>
      </c>
      <c r="D2005" s="6" t="n">
        <v>21</v>
      </c>
      <c r="E2005" s="6" t="n">
        <v>1</v>
      </c>
      <c r="F2005" s="6" t="s">
        <v>5807</v>
      </c>
      <c r="G2005" s="28" t="str">
        <f aca="false">IFERROR(INDEX('Semrush Data'!$A$1:$Z$20000,MATCH(A2005,'Semrush Data'!$A$1:$A$20000,0),MATCH("Volume",'Semrush Data'!$A$1:$Z$1,0)),"")</f>
        <v/>
      </c>
      <c r="H2005" s="6" t="str">
        <f aca="false">IFERROR(INDEX('Semrush Data'!$A$1:$Z$20000,MATCH(A2005,'Semrush Data'!$A$1:$A$20000,0),MATCH("Keyword Difficulty*",'Semrush Data'!$A$1:$Z$1,0)),"")</f>
        <v/>
      </c>
      <c r="I2005" s="29" t="str">
        <f aca="false">IFERROR(INDEX('Semrush Data'!$A$1:$Z$20000,MATCH(A2005,'Semrush Data'!$A$1:$A$20000,0),MATCH("CPC*",'Semrush Data'!$A$1:$Z$1,0)),"")</f>
        <v/>
      </c>
      <c r="J2005" s="6" t="str">
        <f aca="false">IFERROR(INDEX('Semrush Data'!$A$1:$Z$20000,MATCH(A2005,'Semrush Data'!$A$1:$A$20000,0),MATCH("Intent",'Semrush Data'!$A$1:$Z$1,0)),"")</f>
        <v/>
      </c>
    </row>
    <row r="2006" customFormat="false" ht="15" hidden="false" customHeight="true" outlineLevel="0" collapsed="false">
      <c r="A2006" s="6" t="s">
        <v>5824</v>
      </c>
      <c r="B2006" s="6" t="s">
        <v>1415</v>
      </c>
      <c r="C2006" s="6" t="n">
        <v>3</v>
      </c>
      <c r="D2006" s="6" t="n">
        <v>21</v>
      </c>
      <c r="E2006" s="6" t="n">
        <v>1</v>
      </c>
      <c r="F2006" s="6" t="s">
        <v>5820</v>
      </c>
      <c r="G2006" s="28" t="str">
        <f aca="false">IFERROR(INDEX('Semrush Data'!$A$1:$Z$20000,MATCH(A2006,'Semrush Data'!$A$1:$A$20000,0),MATCH("Volume",'Semrush Data'!$A$1:$Z$1,0)),"")</f>
        <v/>
      </c>
      <c r="H2006" s="6" t="str">
        <f aca="false">IFERROR(INDEX('Semrush Data'!$A$1:$Z$20000,MATCH(A2006,'Semrush Data'!$A$1:$A$20000,0),MATCH("Keyword Difficulty*",'Semrush Data'!$A$1:$Z$1,0)),"")</f>
        <v/>
      </c>
      <c r="I2006" s="29" t="str">
        <f aca="false">IFERROR(INDEX('Semrush Data'!$A$1:$Z$20000,MATCH(A2006,'Semrush Data'!$A$1:$A$20000,0),MATCH("CPC*",'Semrush Data'!$A$1:$Z$1,0)),"")</f>
        <v/>
      </c>
      <c r="J2006" s="6" t="str">
        <f aca="false">IFERROR(INDEX('Semrush Data'!$A$1:$Z$20000,MATCH(A2006,'Semrush Data'!$A$1:$A$20000,0),MATCH("Intent",'Semrush Data'!$A$1:$Z$1,0)),"")</f>
        <v/>
      </c>
    </row>
    <row r="2007" customFormat="false" ht="15" hidden="false" customHeight="true" outlineLevel="0" collapsed="false">
      <c r="A2007" s="6" t="s">
        <v>5835</v>
      </c>
      <c r="B2007" s="6" t="s">
        <v>1415</v>
      </c>
      <c r="C2007" s="6" t="n">
        <v>3</v>
      </c>
      <c r="D2007" s="6" t="n">
        <v>21</v>
      </c>
      <c r="E2007" s="6" t="n">
        <v>1</v>
      </c>
      <c r="F2007" s="6" t="s">
        <v>5831</v>
      </c>
      <c r="G2007" s="28" t="str">
        <f aca="false">IFERROR(INDEX('Semrush Data'!$A$1:$Z$20000,MATCH(A2007,'Semrush Data'!$A$1:$A$20000,0),MATCH("Volume",'Semrush Data'!$A$1:$Z$1,0)),"")</f>
        <v/>
      </c>
      <c r="H2007" s="6" t="str">
        <f aca="false">IFERROR(INDEX('Semrush Data'!$A$1:$Z$20000,MATCH(A2007,'Semrush Data'!$A$1:$A$20000,0),MATCH("Keyword Difficulty*",'Semrush Data'!$A$1:$Z$1,0)),"")</f>
        <v/>
      </c>
      <c r="I2007" s="29" t="str">
        <f aca="false">IFERROR(INDEX('Semrush Data'!$A$1:$Z$20000,MATCH(A2007,'Semrush Data'!$A$1:$A$20000,0),MATCH("CPC*",'Semrush Data'!$A$1:$Z$1,0)),"")</f>
        <v/>
      </c>
      <c r="J2007" s="6" t="str">
        <f aca="false">IFERROR(INDEX('Semrush Data'!$A$1:$Z$20000,MATCH(A2007,'Semrush Data'!$A$1:$A$20000,0),MATCH("Intent",'Semrush Data'!$A$1:$Z$1,0)),"")</f>
        <v/>
      </c>
    </row>
    <row r="2008" customFormat="false" ht="15" hidden="false" customHeight="true" outlineLevel="0" collapsed="false">
      <c r="A2008" s="6" t="s">
        <v>5846</v>
      </c>
      <c r="B2008" s="6" t="s">
        <v>1415</v>
      </c>
      <c r="C2008" s="6" t="n">
        <v>3</v>
      </c>
      <c r="D2008" s="6" t="n">
        <v>21</v>
      </c>
      <c r="E2008" s="6" t="n">
        <v>1</v>
      </c>
      <c r="F2008" s="6" t="s">
        <v>5842</v>
      </c>
      <c r="G2008" s="28" t="str">
        <f aca="false">IFERROR(INDEX('Semrush Data'!$A$1:$Z$20000,MATCH(A2008,'Semrush Data'!$A$1:$A$20000,0),MATCH("Volume",'Semrush Data'!$A$1:$Z$1,0)),"")</f>
        <v/>
      </c>
      <c r="H2008" s="6" t="str">
        <f aca="false">IFERROR(INDEX('Semrush Data'!$A$1:$Z$20000,MATCH(A2008,'Semrush Data'!$A$1:$A$20000,0),MATCH("Keyword Difficulty*",'Semrush Data'!$A$1:$Z$1,0)),"")</f>
        <v/>
      </c>
      <c r="I2008" s="29" t="str">
        <f aca="false">IFERROR(INDEX('Semrush Data'!$A$1:$Z$20000,MATCH(A2008,'Semrush Data'!$A$1:$A$20000,0),MATCH("CPC*",'Semrush Data'!$A$1:$Z$1,0)),"")</f>
        <v/>
      </c>
      <c r="J2008" s="6" t="str">
        <f aca="false">IFERROR(INDEX('Semrush Data'!$A$1:$Z$20000,MATCH(A2008,'Semrush Data'!$A$1:$A$20000,0),MATCH("Intent",'Semrush Data'!$A$1:$Z$1,0)),"")</f>
        <v/>
      </c>
    </row>
    <row r="2009" customFormat="false" ht="15" hidden="false" customHeight="true" outlineLevel="0" collapsed="false">
      <c r="A2009" s="6" t="s">
        <v>5924</v>
      </c>
      <c r="B2009" s="6" t="s">
        <v>1415</v>
      </c>
      <c r="C2009" s="6" t="n">
        <v>3</v>
      </c>
      <c r="D2009" s="6" t="n">
        <v>21</v>
      </c>
      <c r="E2009" s="6" t="n">
        <v>1</v>
      </c>
      <c r="F2009" s="6" t="s">
        <v>5920</v>
      </c>
      <c r="G2009" s="28" t="str">
        <f aca="false">IFERROR(INDEX('Semrush Data'!$A$1:$Z$20000,MATCH(A2009,'Semrush Data'!$A$1:$A$20000,0),MATCH("Volume",'Semrush Data'!$A$1:$Z$1,0)),"")</f>
        <v/>
      </c>
      <c r="H2009" s="6" t="str">
        <f aca="false">IFERROR(INDEX('Semrush Data'!$A$1:$Z$20000,MATCH(A2009,'Semrush Data'!$A$1:$A$20000,0),MATCH("Keyword Difficulty*",'Semrush Data'!$A$1:$Z$1,0)),"")</f>
        <v/>
      </c>
      <c r="I2009" s="29" t="str">
        <f aca="false">IFERROR(INDEX('Semrush Data'!$A$1:$Z$20000,MATCH(A2009,'Semrush Data'!$A$1:$A$20000,0),MATCH("CPC*",'Semrush Data'!$A$1:$Z$1,0)),"")</f>
        <v/>
      </c>
      <c r="J2009" s="6" t="str">
        <f aca="false">IFERROR(INDEX('Semrush Data'!$A$1:$Z$20000,MATCH(A2009,'Semrush Data'!$A$1:$A$20000,0),MATCH("Intent",'Semrush Data'!$A$1:$Z$1,0)),"")</f>
        <v/>
      </c>
    </row>
    <row r="2010" customFormat="false" ht="15" hidden="false" customHeight="true" outlineLevel="0" collapsed="false">
      <c r="A2010" s="6" t="s">
        <v>5857</v>
      </c>
      <c r="B2010" s="6" t="s">
        <v>1415</v>
      </c>
      <c r="C2010" s="6" t="n">
        <v>3</v>
      </c>
      <c r="D2010" s="6" t="n">
        <v>21</v>
      </c>
      <c r="E2010" s="6" t="n">
        <v>1</v>
      </c>
      <c r="F2010" s="6" t="s">
        <v>5853</v>
      </c>
      <c r="G2010" s="28" t="str">
        <f aca="false">IFERROR(INDEX('Semrush Data'!$A$1:$Z$20000,MATCH(A2010,'Semrush Data'!$A$1:$A$20000,0),MATCH("Volume",'Semrush Data'!$A$1:$Z$1,0)),"")</f>
        <v/>
      </c>
      <c r="H2010" s="6" t="str">
        <f aca="false">IFERROR(INDEX('Semrush Data'!$A$1:$Z$20000,MATCH(A2010,'Semrush Data'!$A$1:$A$20000,0),MATCH("Keyword Difficulty*",'Semrush Data'!$A$1:$Z$1,0)),"")</f>
        <v/>
      </c>
      <c r="I2010" s="29" t="str">
        <f aca="false">IFERROR(INDEX('Semrush Data'!$A$1:$Z$20000,MATCH(A2010,'Semrush Data'!$A$1:$A$20000,0),MATCH("CPC*",'Semrush Data'!$A$1:$Z$1,0)),"")</f>
        <v/>
      </c>
      <c r="J2010" s="6" t="str">
        <f aca="false">IFERROR(INDEX('Semrush Data'!$A$1:$Z$20000,MATCH(A2010,'Semrush Data'!$A$1:$A$20000,0),MATCH("Intent",'Semrush Data'!$A$1:$Z$1,0)),"")</f>
        <v/>
      </c>
    </row>
    <row r="2011" customFormat="false" ht="15" hidden="false" customHeight="true" outlineLevel="0" collapsed="false">
      <c r="A2011" s="6" t="s">
        <v>5868</v>
      </c>
      <c r="B2011" s="6" t="s">
        <v>1415</v>
      </c>
      <c r="C2011" s="6" t="n">
        <v>3</v>
      </c>
      <c r="D2011" s="6" t="n">
        <v>21</v>
      </c>
      <c r="E2011" s="6" t="n">
        <v>1</v>
      </c>
      <c r="F2011" s="6" t="s">
        <v>5864</v>
      </c>
      <c r="G2011" s="28" t="str">
        <f aca="false">IFERROR(INDEX('Semrush Data'!$A$1:$Z$20000,MATCH(A2011,'Semrush Data'!$A$1:$A$20000,0),MATCH("Volume",'Semrush Data'!$A$1:$Z$1,0)),"")</f>
        <v/>
      </c>
      <c r="H2011" s="6" t="str">
        <f aca="false">IFERROR(INDEX('Semrush Data'!$A$1:$Z$20000,MATCH(A2011,'Semrush Data'!$A$1:$A$20000,0),MATCH("Keyword Difficulty*",'Semrush Data'!$A$1:$Z$1,0)),"")</f>
        <v/>
      </c>
      <c r="I2011" s="29" t="str">
        <f aca="false">IFERROR(INDEX('Semrush Data'!$A$1:$Z$20000,MATCH(A2011,'Semrush Data'!$A$1:$A$20000,0),MATCH("CPC*",'Semrush Data'!$A$1:$Z$1,0)),"")</f>
        <v/>
      </c>
      <c r="J2011" s="6" t="str">
        <f aca="false">IFERROR(INDEX('Semrush Data'!$A$1:$Z$20000,MATCH(A2011,'Semrush Data'!$A$1:$A$20000,0),MATCH("Intent",'Semrush Data'!$A$1:$Z$1,0)),"")</f>
        <v/>
      </c>
    </row>
    <row r="2012" customFormat="false" ht="15" hidden="false" customHeight="true" outlineLevel="0" collapsed="false">
      <c r="A2012" s="6" t="s">
        <v>6010</v>
      </c>
      <c r="B2012" s="6" t="s">
        <v>1415</v>
      </c>
      <c r="C2012" s="6" t="n">
        <v>3</v>
      </c>
      <c r="D2012" s="6" t="n">
        <v>21</v>
      </c>
      <c r="E2012" s="6" t="n">
        <v>1</v>
      </c>
      <c r="F2012" s="6" t="s">
        <v>6005</v>
      </c>
      <c r="G2012" s="28" t="str">
        <f aca="false">IFERROR(INDEX('Semrush Data'!$A$1:$Z$20000,MATCH(A2012,'Semrush Data'!$A$1:$A$20000,0),MATCH("Volume",'Semrush Data'!$A$1:$Z$1,0)),"")</f>
        <v/>
      </c>
      <c r="H2012" s="6" t="str">
        <f aca="false">IFERROR(INDEX('Semrush Data'!$A$1:$Z$20000,MATCH(A2012,'Semrush Data'!$A$1:$A$20000,0),MATCH("Keyword Difficulty*",'Semrush Data'!$A$1:$Z$1,0)),"")</f>
        <v/>
      </c>
      <c r="I2012" s="29" t="str">
        <f aca="false">IFERROR(INDEX('Semrush Data'!$A$1:$Z$20000,MATCH(A2012,'Semrush Data'!$A$1:$A$20000,0),MATCH("CPC*",'Semrush Data'!$A$1:$Z$1,0)),"")</f>
        <v/>
      </c>
      <c r="J2012" s="6" t="str">
        <f aca="false">IFERROR(INDEX('Semrush Data'!$A$1:$Z$20000,MATCH(A2012,'Semrush Data'!$A$1:$A$20000,0),MATCH("Intent",'Semrush Data'!$A$1:$Z$1,0)),"")</f>
        <v/>
      </c>
    </row>
    <row r="2013" customFormat="false" ht="15" hidden="false" customHeight="true" outlineLevel="0" collapsed="false">
      <c r="A2013" s="6" t="s">
        <v>6022</v>
      </c>
      <c r="B2013" s="6" t="s">
        <v>1415</v>
      </c>
      <c r="C2013" s="6" t="n">
        <v>3</v>
      </c>
      <c r="D2013" s="6" t="n">
        <v>21</v>
      </c>
      <c r="E2013" s="6" t="n">
        <v>1</v>
      </c>
      <c r="F2013" s="6" t="s">
        <v>6018</v>
      </c>
      <c r="G2013" s="28" t="str">
        <f aca="false">IFERROR(INDEX('Semrush Data'!$A$1:$Z$20000,MATCH(A2013,'Semrush Data'!$A$1:$A$20000,0),MATCH("Volume",'Semrush Data'!$A$1:$Z$1,0)),"")</f>
        <v/>
      </c>
      <c r="H2013" s="6" t="str">
        <f aca="false">IFERROR(INDEX('Semrush Data'!$A$1:$Z$20000,MATCH(A2013,'Semrush Data'!$A$1:$A$20000,0),MATCH("Keyword Difficulty*",'Semrush Data'!$A$1:$Z$1,0)),"")</f>
        <v/>
      </c>
      <c r="I2013" s="29" t="str">
        <f aca="false">IFERROR(INDEX('Semrush Data'!$A$1:$Z$20000,MATCH(A2013,'Semrush Data'!$A$1:$A$20000,0),MATCH("CPC*",'Semrush Data'!$A$1:$Z$1,0)),"")</f>
        <v/>
      </c>
      <c r="J2013" s="6" t="str">
        <f aca="false">IFERROR(INDEX('Semrush Data'!$A$1:$Z$20000,MATCH(A2013,'Semrush Data'!$A$1:$A$20000,0),MATCH("Intent",'Semrush Data'!$A$1:$Z$1,0)),"")</f>
        <v/>
      </c>
    </row>
    <row r="2014" customFormat="false" ht="15" hidden="false" customHeight="true" outlineLevel="0" collapsed="false">
      <c r="A2014" s="6" t="s">
        <v>6033</v>
      </c>
      <c r="B2014" s="6" t="s">
        <v>1415</v>
      </c>
      <c r="C2014" s="6" t="n">
        <v>3</v>
      </c>
      <c r="D2014" s="6" t="n">
        <v>21</v>
      </c>
      <c r="E2014" s="6" t="n">
        <v>1</v>
      </c>
      <c r="F2014" s="6" t="s">
        <v>6029</v>
      </c>
      <c r="G2014" s="28" t="str">
        <f aca="false">IFERROR(INDEX('Semrush Data'!$A$1:$Z$20000,MATCH(A2014,'Semrush Data'!$A$1:$A$20000,0),MATCH("Volume",'Semrush Data'!$A$1:$Z$1,0)),"")</f>
        <v/>
      </c>
      <c r="H2014" s="6" t="str">
        <f aca="false">IFERROR(INDEX('Semrush Data'!$A$1:$Z$20000,MATCH(A2014,'Semrush Data'!$A$1:$A$20000,0),MATCH("Keyword Difficulty*",'Semrush Data'!$A$1:$Z$1,0)),"")</f>
        <v/>
      </c>
      <c r="I2014" s="29" t="str">
        <f aca="false">IFERROR(INDEX('Semrush Data'!$A$1:$Z$20000,MATCH(A2014,'Semrush Data'!$A$1:$A$20000,0),MATCH("CPC*",'Semrush Data'!$A$1:$Z$1,0)),"")</f>
        <v/>
      </c>
      <c r="J2014" s="6" t="str">
        <f aca="false">IFERROR(INDEX('Semrush Data'!$A$1:$Z$20000,MATCH(A2014,'Semrush Data'!$A$1:$A$20000,0),MATCH("Intent",'Semrush Data'!$A$1:$Z$1,0)),"")</f>
        <v/>
      </c>
    </row>
    <row r="2015" customFormat="false" ht="15" hidden="false" customHeight="true" outlineLevel="0" collapsed="false">
      <c r="A2015" s="6" t="s">
        <v>6044</v>
      </c>
      <c r="B2015" s="6" t="s">
        <v>1415</v>
      </c>
      <c r="C2015" s="6" t="n">
        <v>3</v>
      </c>
      <c r="D2015" s="6" t="n">
        <v>21</v>
      </c>
      <c r="E2015" s="6" t="n">
        <v>1</v>
      </c>
      <c r="F2015" s="6" t="s">
        <v>6039</v>
      </c>
      <c r="G2015" s="28" t="str">
        <f aca="false">IFERROR(INDEX('Semrush Data'!$A$1:$Z$20000,MATCH(A2015,'Semrush Data'!$A$1:$A$20000,0),MATCH("Volume",'Semrush Data'!$A$1:$Z$1,0)),"")</f>
        <v/>
      </c>
      <c r="H2015" s="6" t="str">
        <f aca="false">IFERROR(INDEX('Semrush Data'!$A$1:$Z$20000,MATCH(A2015,'Semrush Data'!$A$1:$A$20000,0),MATCH("Keyword Difficulty*",'Semrush Data'!$A$1:$Z$1,0)),"")</f>
        <v/>
      </c>
      <c r="I2015" s="29" t="str">
        <f aca="false">IFERROR(INDEX('Semrush Data'!$A$1:$Z$20000,MATCH(A2015,'Semrush Data'!$A$1:$A$20000,0),MATCH("CPC*",'Semrush Data'!$A$1:$Z$1,0)),"")</f>
        <v/>
      </c>
      <c r="J2015" s="6" t="str">
        <f aca="false">IFERROR(INDEX('Semrush Data'!$A$1:$Z$20000,MATCH(A2015,'Semrush Data'!$A$1:$A$20000,0),MATCH("Intent",'Semrush Data'!$A$1:$Z$1,0)),"")</f>
        <v/>
      </c>
    </row>
    <row r="2016" customFormat="false" ht="15" hidden="false" customHeight="true" outlineLevel="0" collapsed="false">
      <c r="A2016" s="6" t="s">
        <v>6056</v>
      </c>
      <c r="B2016" s="6" t="s">
        <v>1415</v>
      </c>
      <c r="C2016" s="6" t="n">
        <v>3</v>
      </c>
      <c r="D2016" s="6" t="n">
        <v>21</v>
      </c>
      <c r="E2016" s="6" t="n">
        <v>1</v>
      </c>
      <c r="F2016" s="6" t="s">
        <v>6052</v>
      </c>
      <c r="G2016" s="28" t="str">
        <f aca="false">IFERROR(INDEX('Semrush Data'!$A$1:$Z$20000,MATCH(A2016,'Semrush Data'!$A$1:$A$20000,0),MATCH("Volume",'Semrush Data'!$A$1:$Z$1,0)),"")</f>
        <v/>
      </c>
      <c r="H2016" s="6" t="str">
        <f aca="false">IFERROR(INDEX('Semrush Data'!$A$1:$Z$20000,MATCH(A2016,'Semrush Data'!$A$1:$A$20000,0),MATCH("Keyword Difficulty*",'Semrush Data'!$A$1:$Z$1,0)),"")</f>
        <v/>
      </c>
      <c r="I2016" s="29" t="str">
        <f aca="false">IFERROR(INDEX('Semrush Data'!$A$1:$Z$20000,MATCH(A2016,'Semrush Data'!$A$1:$A$20000,0),MATCH("CPC*",'Semrush Data'!$A$1:$Z$1,0)),"")</f>
        <v/>
      </c>
      <c r="J2016" s="6" t="str">
        <f aca="false">IFERROR(INDEX('Semrush Data'!$A$1:$Z$20000,MATCH(A2016,'Semrush Data'!$A$1:$A$20000,0),MATCH("Intent",'Semrush Data'!$A$1:$Z$1,0)),"")</f>
        <v/>
      </c>
    </row>
    <row r="2017" customFormat="false" ht="15" hidden="false" customHeight="true" outlineLevel="0" collapsed="false">
      <c r="A2017" s="6" t="s">
        <v>6067</v>
      </c>
      <c r="B2017" s="6" t="s">
        <v>1415</v>
      </c>
      <c r="C2017" s="6" t="n">
        <v>3</v>
      </c>
      <c r="D2017" s="6" t="n">
        <v>21</v>
      </c>
      <c r="E2017" s="6" t="n">
        <v>1</v>
      </c>
      <c r="F2017" s="6" t="s">
        <v>6063</v>
      </c>
      <c r="G2017" s="28" t="str">
        <f aca="false">IFERROR(INDEX('Semrush Data'!$A$1:$Z$20000,MATCH(A2017,'Semrush Data'!$A$1:$A$20000,0),MATCH("Volume",'Semrush Data'!$A$1:$Z$1,0)),"")</f>
        <v/>
      </c>
      <c r="H2017" s="6" t="str">
        <f aca="false">IFERROR(INDEX('Semrush Data'!$A$1:$Z$20000,MATCH(A2017,'Semrush Data'!$A$1:$A$20000,0),MATCH("Keyword Difficulty*",'Semrush Data'!$A$1:$Z$1,0)),"")</f>
        <v/>
      </c>
      <c r="I2017" s="29" t="str">
        <f aca="false">IFERROR(INDEX('Semrush Data'!$A$1:$Z$20000,MATCH(A2017,'Semrush Data'!$A$1:$A$20000,0),MATCH("CPC*",'Semrush Data'!$A$1:$Z$1,0)),"")</f>
        <v/>
      </c>
      <c r="J2017" s="6" t="str">
        <f aca="false">IFERROR(INDEX('Semrush Data'!$A$1:$Z$20000,MATCH(A2017,'Semrush Data'!$A$1:$A$20000,0),MATCH("Intent",'Semrush Data'!$A$1:$Z$1,0)),"")</f>
        <v/>
      </c>
    </row>
    <row r="2018" customFormat="false" ht="15" hidden="false" customHeight="true" outlineLevel="0" collapsed="false">
      <c r="A2018" s="6" t="s">
        <v>6078</v>
      </c>
      <c r="B2018" s="6" t="s">
        <v>1415</v>
      </c>
      <c r="C2018" s="6" t="n">
        <v>3</v>
      </c>
      <c r="D2018" s="6" t="n">
        <v>21</v>
      </c>
      <c r="E2018" s="6" t="n">
        <v>1</v>
      </c>
      <c r="F2018" s="6" t="s">
        <v>6074</v>
      </c>
      <c r="G2018" s="28" t="str">
        <f aca="false">IFERROR(INDEX('Semrush Data'!$A$1:$Z$20000,MATCH(A2018,'Semrush Data'!$A$1:$A$20000,0),MATCH("Volume",'Semrush Data'!$A$1:$Z$1,0)),"")</f>
        <v/>
      </c>
      <c r="H2018" s="6" t="str">
        <f aca="false">IFERROR(INDEX('Semrush Data'!$A$1:$Z$20000,MATCH(A2018,'Semrush Data'!$A$1:$A$20000,0),MATCH("Keyword Difficulty*",'Semrush Data'!$A$1:$Z$1,0)),"")</f>
        <v/>
      </c>
      <c r="I2018" s="29" t="str">
        <f aca="false">IFERROR(INDEX('Semrush Data'!$A$1:$Z$20000,MATCH(A2018,'Semrush Data'!$A$1:$A$20000,0),MATCH("CPC*",'Semrush Data'!$A$1:$Z$1,0)),"")</f>
        <v/>
      </c>
      <c r="J2018" s="6" t="str">
        <f aca="false">IFERROR(INDEX('Semrush Data'!$A$1:$Z$20000,MATCH(A2018,'Semrush Data'!$A$1:$A$20000,0),MATCH("Intent",'Semrush Data'!$A$1:$Z$1,0)),"")</f>
        <v/>
      </c>
    </row>
    <row r="2019" customFormat="false" ht="15" hidden="false" customHeight="true" outlineLevel="0" collapsed="false">
      <c r="A2019" s="6" t="s">
        <v>6089</v>
      </c>
      <c r="B2019" s="6" t="s">
        <v>1415</v>
      </c>
      <c r="C2019" s="6" t="n">
        <v>3</v>
      </c>
      <c r="D2019" s="6" t="n">
        <v>21</v>
      </c>
      <c r="E2019" s="6" t="n">
        <v>1</v>
      </c>
      <c r="F2019" s="6" t="s">
        <v>6085</v>
      </c>
      <c r="G2019" s="28" t="str">
        <f aca="false">IFERROR(INDEX('Semrush Data'!$A$1:$Z$20000,MATCH(A2019,'Semrush Data'!$A$1:$A$20000,0),MATCH("Volume",'Semrush Data'!$A$1:$Z$1,0)),"")</f>
        <v/>
      </c>
      <c r="H2019" s="6" t="str">
        <f aca="false">IFERROR(INDEX('Semrush Data'!$A$1:$Z$20000,MATCH(A2019,'Semrush Data'!$A$1:$A$20000,0),MATCH("Keyword Difficulty*",'Semrush Data'!$A$1:$Z$1,0)),"")</f>
        <v/>
      </c>
      <c r="I2019" s="29" t="str">
        <f aca="false">IFERROR(INDEX('Semrush Data'!$A$1:$Z$20000,MATCH(A2019,'Semrush Data'!$A$1:$A$20000,0),MATCH("CPC*",'Semrush Data'!$A$1:$Z$1,0)),"")</f>
        <v/>
      </c>
      <c r="J2019" s="6" t="str">
        <f aca="false">IFERROR(INDEX('Semrush Data'!$A$1:$Z$20000,MATCH(A2019,'Semrush Data'!$A$1:$A$20000,0),MATCH("Intent",'Semrush Data'!$A$1:$Z$1,0)),"")</f>
        <v/>
      </c>
    </row>
    <row r="2020" customFormat="false" ht="15" hidden="false" customHeight="true" outlineLevel="0" collapsed="false">
      <c r="A2020" s="6" t="s">
        <v>6100</v>
      </c>
      <c r="B2020" s="6" t="s">
        <v>1415</v>
      </c>
      <c r="C2020" s="6" t="n">
        <v>3</v>
      </c>
      <c r="D2020" s="6" t="n">
        <v>21</v>
      </c>
      <c r="E2020" s="6" t="n">
        <v>1</v>
      </c>
      <c r="F2020" s="6" t="s">
        <v>6096</v>
      </c>
      <c r="G2020" s="28" t="str">
        <f aca="false">IFERROR(INDEX('Semrush Data'!$A$1:$Z$20000,MATCH(A2020,'Semrush Data'!$A$1:$A$20000,0),MATCH("Volume",'Semrush Data'!$A$1:$Z$1,0)),"")</f>
        <v/>
      </c>
      <c r="H2020" s="6" t="str">
        <f aca="false">IFERROR(INDEX('Semrush Data'!$A$1:$Z$20000,MATCH(A2020,'Semrush Data'!$A$1:$A$20000,0),MATCH("Keyword Difficulty*",'Semrush Data'!$A$1:$Z$1,0)),"")</f>
        <v/>
      </c>
      <c r="I2020" s="29" t="str">
        <f aca="false">IFERROR(INDEX('Semrush Data'!$A$1:$Z$20000,MATCH(A2020,'Semrush Data'!$A$1:$A$20000,0),MATCH("CPC*",'Semrush Data'!$A$1:$Z$1,0)),"")</f>
        <v/>
      </c>
      <c r="J2020" s="6" t="str">
        <f aca="false">IFERROR(INDEX('Semrush Data'!$A$1:$Z$20000,MATCH(A2020,'Semrush Data'!$A$1:$A$20000,0),MATCH("Intent",'Semrush Data'!$A$1:$Z$1,0)),"")</f>
        <v/>
      </c>
    </row>
    <row r="2021" customFormat="false" ht="15" hidden="false" customHeight="true" outlineLevel="0" collapsed="false">
      <c r="A2021" s="6" t="s">
        <v>6111</v>
      </c>
      <c r="B2021" s="6" t="s">
        <v>1415</v>
      </c>
      <c r="C2021" s="6" t="n">
        <v>3</v>
      </c>
      <c r="D2021" s="6" t="n">
        <v>21</v>
      </c>
      <c r="E2021" s="6" t="n">
        <v>1</v>
      </c>
      <c r="F2021" s="6" t="s">
        <v>6107</v>
      </c>
      <c r="G2021" s="28" t="str">
        <f aca="false">IFERROR(INDEX('Semrush Data'!$A$1:$Z$20000,MATCH(A2021,'Semrush Data'!$A$1:$A$20000,0),MATCH("Volume",'Semrush Data'!$A$1:$Z$1,0)),"")</f>
        <v/>
      </c>
      <c r="H2021" s="6" t="str">
        <f aca="false">IFERROR(INDEX('Semrush Data'!$A$1:$Z$20000,MATCH(A2021,'Semrush Data'!$A$1:$A$20000,0),MATCH("Keyword Difficulty*",'Semrush Data'!$A$1:$Z$1,0)),"")</f>
        <v/>
      </c>
      <c r="I2021" s="29" t="str">
        <f aca="false">IFERROR(INDEX('Semrush Data'!$A$1:$Z$20000,MATCH(A2021,'Semrush Data'!$A$1:$A$20000,0),MATCH("CPC*",'Semrush Data'!$A$1:$Z$1,0)),"")</f>
        <v/>
      </c>
      <c r="J2021" s="6" t="str">
        <f aca="false">IFERROR(INDEX('Semrush Data'!$A$1:$Z$20000,MATCH(A2021,'Semrush Data'!$A$1:$A$20000,0),MATCH("Intent",'Semrush Data'!$A$1:$Z$1,0)),"")</f>
        <v/>
      </c>
    </row>
    <row r="2022" customFormat="false" ht="15" hidden="false" customHeight="true" outlineLevel="0" collapsed="false">
      <c r="A2022" s="6" t="s">
        <v>6122</v>
      </c>
      <c r="B2022" s="6" t="s">
        <v>1415</v>
      </c>
      <c r="C2022" s="6" t="n">
        <v>3</v>
      </c>
      <c r="D2022" s="6" t="n">
        <v>21</v>
      </c>
      <c r="E2022" s="6" t="n">
        <v>1</v>
      </c>
      <c r="F2022" s="6" t="s">
        <v>6118</v>
      </c>
      <c r="G2022" s="28" t="str">
        <f aca="false">IFERROR(INDEX('Semrush Data'!$A$1:$Z$20000,MATCH(A2022,'Semrush Data'!$A$1:$A$20000,0),MATCH("Volume",'Semrush Data'!$A$1:$Z$1,0)),"")</f>
        <v/>
      </c>
      <c r="H2022" s="6" t="str">
        <f aca="false">IFERROR(INDEX('Semrush Data'!$A$1:$Z$20000,MATCH(A2022,'Semrush Data'!$A$1:$A$20000,0),MATCH("Keyword Difficulty*",'Semrush Data'!$A$1:$Z$1,0)),"")</f>
        <v/>
      </c>
      <c r="I2022" s="29" t="str">
        <f aca="false">IFERROR(INDEX('Semrush Data'!$A$1:$Z$20000,MATCH(A2022,'Semrush Data'!$A$1:$A$20000,0),MATCH("CPC*",'Semrush Data'!$A$1:$Z$1,0)),"")</f>
        <v/>
      </c>
      <c r="J2022" s="6" t="str">
        <f aca="false">IFERROR(INDEX('Semrush Data'!$A$1:$Z$20000,MATCH(A2022,'Semrush Data'!$A$1:$A$20000,0),MATCH("Intent",'Semrush Data'!$A$1:$Z$1,0)),"")</f>
        <v/>
      </c>
    </row>
    <row r="2023" customFormat="false" ht="15" hidden="false" customHeight="true" outlineLevel="0" collapsed="false">
      <c r="A2023" s="6" t="s">
        <v>6134</v>
      </c>
      <c r="B2023" s="6" t="s">
        <v>1415</v>
      </c>
      <c r="C2023" s="6" t="n">
        <v>3</v>
      </c>
      <c r="D2023" s="6" t="n">
        <v>21</v>
      </c>
      <c r="E2023" s="6" t="n">
        <v>1</v>
      </c>
      <c r="F2023" s="6" t="s">
        <v>6129</v>
      </c>
      <c r="G2023" s="28" t="str">
        <f aca="false">IFERROR(INDEX('Semrush Data'!$A$1:$Z$20000,MATCH(A2023,'Semrush Data'!$A$1:$A$20000,0),MATCH("Volume",'Semrush Data'!$A$1:$Z$1,0)),"")</f>
        <v/>
      </c>
      <c r="H2023" s="6" t="str">
        <f aca="false">IFERROR(INDEX('Semrush Data'!$A$1:$Z$20000,MATCH(A2023,'Semrush Data'!$A$1:$A$20000,0),MATCH("Keyword Difficulty*",'Semrush Data'!$A$1:$Z$1,0)),"")</f>
        <v/>
      </c>
      <c r="I2023" s="29" t="str">
        <f aca="false">IFERROR(INDEX('Semrush Data'!$A$1:$Z$20000,MATCH(A2023,'Semrush Data'!$A$1:$A$20000,0),MATCH("CPC*",'Semrush Data'!$A$1:$Z$1,0)),"")</f>
        <v/>
      </c>
      <c r="J2023" s="6" t="str">
        <f aca="false">IFERROR(INDEX('Semrush Data'!$A$1:$Z$20000,MATCH(A2023,'Semrush Data'!$A$1:$A$20000,0),MATCH("Intent",'Semrush Data'!$A$1:$Z$1,0)),"")</f>
        <v/>
      </c>
    </row>
    <row r="2024" customFormat="false" ht="15" hidden="false" customHeight="true" outlineLevel="0" collapsed="false">
      <c r="A2024" s="6" t="s">
        <v>6146</v>
      </c>
      <c r="B2024" s="6" t="s">
        <v>1415</v>
      </c>
      <c r="C2024" s="6" t="n">
        <v>3</v>
      </c>
      <c r="D2024" s="6" t="n">
        <v>21</v>
      </c>
      <c r="E2024" s="6" t="n">
        <v>1</v>
      </c>
      <c r="F2024" s="6" t="s">
        <v>6142</v>
      </c>
      <c r="G2024" s="28" t="str">
        <f aca="false">IFERROR(INDEX('Semrush Data'!$A$1:$Z$20000,MATCH(A2024,'Semrush Data'!$A$1:$A$20000,0),MATCH("Volume",'Semrush Data'!$A$1:$Z$1,0)),"")</f>
        <v/>
      </c>
      <c r="H2024" s="6" t="str">
        <f aca="false">IFERROR(INDEX('Semrush Data'!$A$1:$Z$20000,MATCH(A2024,'Semrush Data'!$A$1:$A$20000,0),MATCH("Keyword Difficulty*",'Semrush Data'!$A$1:$Z$1,0)),"")</f>
        <v/>
      </c>
      <c r="I2024" s="29" t="str">
        <f aca="false">IFERROR(INDEX('Semrush Data'!$A$1:$Z$20000,MATCH(A2024,'Semrush Data'!$A$1:$A$20000,0),MATCH("CPC*",'Semrush Data'!$A$1:$Z$1,0)),"")</f>
        <v/>
      </c>
      <c r="J2024" s="6" t="str">
        <f aca="false">IFERROR(INDEX('Semrush Data'!$A$1:$Z$20000,MATCH(A2024,'Semrush Data'!$A$1:$A$20000,0),MATCH("Intent",'Semrush Data'!$A$1:$Z$1,0)),"")</f>
        <v/>
      </c>
    </row>
    <row r="2025" customFormat="false" ht="15" hidden="false" customHeight="true" outlineLevel="0" collapsed="false">
      <c r="A2025" s="6" t="s">
        <v>6157</v>
      </c>
      <c r="B2025" s="6" t="s">
        <v>1415</v>
      </c>
      <c r="C2025" s="6" t="n">
        <v>3</v>
      </c>
      <c r="D2025" s="6" t="n">
        <v>21</v>
      </c>
      <c r="E2025" s="6" t="n">
        <v>1</v>
      </c>
      <c r="F2025" s="6" t="s">
        <v>6153</v>
      </c>
      <c r="G2025" s="28" t="str">
        <f aca="false">IFERROR(INDEX('Semrush Data'!$A$1:$Z$20000,MATCH(A2025,'Semrush Data'!$A$1:$A$20000,0),MATCH("Volume",'Semrush Data'!$A$1:$Z$1,0)),"")</f>
        <v/>
      </c>
      <c r="H2025" s="6" t="str">
        <f aca="false">IFERROR(INDEX('Semrush Data'!$A$1:$Z$20000,MATCH(A2025,'Semrush Data'!$A$1:$A$20000,0),MATCH("Keyword Difficulty*",'Semrush Data'!$A$1:$Z$1,0)),"")</f>
        <v/>
      </c>
      <c r="I2025" s="29" t="str">
        <f aca="false">IFERROR(INDEX('Semrush Data'!$A$1:$Z$20000,MATCH(A2025,'Semrush Data'!$A$1:$A$20000,0),MATCH("CPC*",'Semrush Data'!$A$1:$Z$1,0)),"")</f>
        <v/>
      </c>
      <c r="J2025" s="6" t="str">
        <f aca="false">IFERROR(INDEX('Semrush Data'!$A$1:$Z$20000,MATCH(A2025,'Semrush Data'!$A$1:$A$20000,0),MATCH("Intent",'Semrush Data'!$A$1:$Z$1,0)),"")</f>
        <v/>
      </c>
    </row>
    <row r="2026" customFormat="false" ht="15" hidden="false" customHeight="true" outlineLevel="0" collapsed="false">
      <c r="A2026" s="6" t="s">
        <v>6167</v>
      </c>
      <c r="B2026" s="6" t="s">
        <v>1415</v>
      </c>
      <c r="C2026" s="6" t="n">
        <v>3</v>
      </c>
      <c r="D2026" s="6" t="n">
        <v>21</v>
      </c>
      <c r="E2026" s="6" t="n">
        <v>2</v>
      </c>
      <c r="F2026" s="6" t="s">
        <v>6861</v>
      </c>
      <c r="G2026" s="28" t="str">
        <f aca="false">IFERROR(INDEX('Semrush Data'!$A$1:$Z$20000,MATCH(A2026,'Semrush Data'!$A$1:$A$20000,0),MATCH("Volume",'Semrush Data'!$A$1:$Z$1,0)),"")</f>
        <v/>
      </c>
      <c r="H2026" s="6" t="str">
        <f aca="false">IFERROR(INDEX('Semrush Data'!$A$1:$Z$20000,MATCH(A2026,'Semrush Data'!$A$1:$A$20000,0),MATCH("Keyword Difficulty*",'Semrush Data'!$A$1:$Z$1,0)),"")</f>
        <v/>
      </c>
      <c r="I2026" s="29" t="str">
        <f aca="false">IFERROR(INDEX('Semrush Data'!$A$1:$Z$20000,MATCH(A2026,'Semrush Data'!$A$1:$A$20000,0),MATCH("CPC*",'Semrush Data'!$A$1:$Z$1,0)),"")</f>
        <v/>
      </c>
      <c r="J2026" s="6" t="str">
        <f aca="false">IFERROR(INDEX('Semrush Data'!$A$1:$Z$20000,MATCH(A2026,'Semrush Data'!$A$1:$A$20000,0),MATCH("Intent",'Semrush Data'!$A$1:$Z$1,0)),"")</f>
        <v/>
      </c>
    </row>
    <row r="2027" customFormat="false" ht="15" hidden="false" customHeight="true" outlineLevel="0" collapsed="false">
      <c r="A2027" s="6" t="s">
        <v>6182</v>
      </c>
      <c r="B2027" s="6" t="s">
        <v>1415</v>
      </c>
      <c r="C2027" s="6" t="n">
        <v>3</v>
      </c>
      <c r="D2027" s="6" t="n">
        <v>21</v>
      </c>
      <c r="E2027" s="6" t="n">
        <v>1</v>
      </c>
      <c r="F2027" s="6" t="s">
        <v>6178</v>
      </c>
      <c r="G2027" s="28" t="str">
        <f aca="false">IFERROR(INDEX('Semrush Data'!$A$1:$Z$20000,MATCH(A2027,'Semrush Data'!$A$1:$A$20000,0),MATCH("Volume",'Semrush Data'!$A$1:$Z$1,0)),"")</f>
        <v/>
      </c>
      <c r="H2027" s="6" t="str">
        <f aca="false">IFERROR(INDEX('Semrush Data'!$A$1:$Z$20000,MATCH(A2027,'Semrush Data'!$A$1:$A$20000,0),MATCH("Keyword Difficulty*",'Semrush Data'!$A$1:$Z$1,0)),"")</f>
        <v/>
      </c>
      <c r="I2027" s="29" t="str">
        <f aca="false">IFERROR(INDEX('Semrush Data'!$A$1:$Z$20000,MATCH(A2027,'Semrush Data'!$A$1:$A$20000,0),MATCH("CPC*",'Semrush Data'!$A$1:$Z$1,0)),"")</f>
        <v/>
      </c>
      <c r="J2027" s="6" t="str">
        <f aca="false">IFERROR(INDEX('Semrush Data'!$A$1:$Z$20000,MATCH(A2027,'Semrush Data'!$A$1:$A$20000,0),MATCH("Intent",'Semrush Data'!$A$1:$Z$1,0)),"")</f>
        <v/>
      </c>
    </row>
    <row r="2028" customFormat="false" ht="15" hidden="false" customHeight="true" outlineLevel="0" collapsed="false">
      <c r="A2028" s="6" t="s">
        <v>6192</v>
      </c>
      <c r="B2028" s="6" t="s">
        <v>1415</v>
      </c>
      <c r="C2028" s="6" t="n">
        <v>3</v>
      </c>
      <c r="D2028" s="6" t="n">
        <v>21</v>
      </c>
      <c r="E2028" s="6" t="n">
        <v>1</v>
      </c>
      <c r="F2028" s="6" t="s">
        <v>6188</v>
      </c>
      <c r="G2028" s="28" t="str">
        <f aca="false">IFERROR(INDEX('Semrush Data'!$A$1:$Z$20000,MATCH(A2028,'Semrush Data'!$A$1:$A$20000,0),MATCH("Volume",'Semrush Data'!$A$1:$Z$1,0)),"")</f>
        <v/>
      </c>
      <c r="H2028" s="6" t="str">
        <f aca="false">IFERROR(INDEX('Semrush Data'!$A$1:$Z$20000,MATCH(A2028,'Semrush Data'!$A$1:$A$20000,0),MATCH("Keyword Difficulty*",'Semrush Data'!$A$1:$Z$1,0)),"")</f>
        <v/>
      </c>
      <c r="I2028" s="29" t="str">
        <f aca="false">IFERROR(INDEX('Semrush Data'!$A$1:$Z$20000,MATCH(A2028,'Semrush Data'!$A$1:$A$20000,0),MATCH("CPC*",'Semrush Data'!$A$1:$Z$1,0)),"")</f>
        <v/>
      </c>
      <c r="J2028" s="6" t="str">
        <f aca="false">IFERROR(INDEX('Semrush Data'!$A$1:$Z$20000,MATCH(A2028,'Semrush Data'!$A$1:$A$20000,0),MATCH("Intent",'Semrush Data'!$A$1:$Z$1,0)),"")</f>
        <v/>
      </c>
    </row>
    <row r="2029" customFormat="false" ht="15" hidden="false" customHeight="true" outlineLevel="0" collapsed="false">
      <c r="A2029" s="6" t="s">
        <v>6203</v>
      </c>
      <c r="B2029" s="6" t="s">
        <v>1415</v>
      </c>
      <c r="C2029" s="6" t="n">
        <v>3</v>
      </c>
      <c r="D2029" s="6" t="n">
        <v>21</v>
      </c>
      <c r="E2029" s="6" t="n">
        <v>1</v>
      </c>
      <c r="F2029" s="6" t="s">
        <v>6199</v>
      </c>
      <c r="G2029" s="28" t="str">
        <f aca="false">IFERROR(INDEX('Semrush Data'!$A$1:$Z$20000,MATCH(A2029,'Semrush Data'!$A$1:$A$20000,0),MATCH("Volume",'Semrush Data'!$A$1:$Z$1,0)),"")</f>
        <v/>
      </c>
      <c r="H2029" s="6" t="str">
        <f aca="false">IFERROR(INDEX('Semrush Data'!$A$1:$Z$20000,MATCH(A2029,'Semrush Data'!$A$1:$A$20000,0),MATCH("Keyword Difficulty*",'Semrush Data'!$A$1:$Z$1,0)),"")</f>
        <v/>
      </c>
      <c r="I2029" s="29" t="str">
        <f aca="false">IFERROR(INDEX('Semrush Data'!$A$1:$Z$20000,MATCH(A2029,'Semrush Data'!$A$1:$A$20000,0),MATCH("CPC*",'Semrush Data'!$A$1:$Z$1,0)),"")</f>
        <v/>
      </c>
      <c r="J2029" s="6" t="str">
        <f aca="false">IFERROR(INDEX('Semrush Data'!$A$1:$Z$20000,MATCH(A2029,'Semrush Data'!$A$1:$A$20000,0),MATCH("Intent",'Semrush Data'!$A$1:$Z$1,0)),"")</f>
        <v/>
      </c>
    </row>
    <row r="2030" customFormat="false" ht="15" hidden="false" customHeight="true" outlineLevel="0" collapsed="false">
      <c r="A2030" s="6" t="s">
        <v>6213</v>
      </c>
      <c r="B2030" s="6" t="s">
        <v>1415</v>
      </c>
      <c r="C2030" s="6" t="n">
        <v>3</v>
      </c>
      <c r="D2030" s="6" t="n">
        <v>21</v>
      </c>
      <c r="E2030" s="6" t="n">
        <v>1</v>
      </c>
      <c r="F2030" s="6" t="s">
        <v>6209</v>
      </c>
      <c r="G2030" s="28" t="str">
        <f aca="false">IFERROR(INDEX('Semrush Data'!$A$1:$Z$20000,MATCH(A2030,'Semrush Data'!$A$1:$A$20000,0),MATCH("Volume",'Semrush Data'!$A$1:$Z$1,0)),"")</f>
        <v/>
      </c>
      <c r="H2030" s="6" t="str">
        <f aca="false">IFERROR(INDEX('Semrush Data'!$A$1:$Z$20000,MATCH(A2030,'Semrush Data'!$A$1:$A$20000,0),MATCH("Keyword Difficulty*",'Semrush Data'!$A$1:$Z$1,0)),"")</f>
        <v/>
      </c>
      <c r="I2030" s="29" t="str">
        <f aca="false">IFERROR(INDEX('Semrush Data'!$A$1:$Z$20000,MATCH(A2030,'Semrush Data'!$A$1:$A$20000,0),MATCH("CPC*",'Semrush Data'!$A$1:$Z$1,0)),"")</f>
        <v/>
      </c>
      <c r="J2030" s="6" t="str">
        <f aca="false">IFERROR(INDEX('Semrush Data'!$A$1:$Z$20000,MATCH(A2030,'Semrush Data'!$A$1:$A$20000,0),MATCH("Intent",'Semrush Data'!$A$1:$Z$1,0)),"")</f>
        <v/>
      </c>
    </row>
    <row r="2031" customFormat="false" ht="15" hidden="false" customHeight="true" outlineLevel="0" collapsed="false">
      <c r="A2031" s="6" t="s">
        <v>6224</v>
      </c>
      <c r="B2031" s="6" t="s">
        <v>1415</v>
      </c>
      <c r="C2031" s="6" t="n">
        <v>3</v>
      </c>
      <c r="D2031" s="6" t="n">
        <v>21</v>
      </c>
      <c r="E2031" s="6" t="n">
        <v>1</v>
      </c>
      <c r="F2031" s="6" t="s">
        <v>6220</v>
      </c>
      <c r="G2031" s="28" t="str">
        <f aca="false">IFERROR(INDEX('Semrush Data'!$A$1:$Z$20000,MATCH(A2031,'Semrush Data'!$A$1:$A$20000,0),MATCH("Volume",'Semrush Data'!$A$1:$Z$1,0)),"")</f>
        <v/>
      </c>
      <c r="H2031" s="6" t="str">
        <f aca="false">IFERROR(INDEX('Semrush Data'!$A$1:$Z$20000,MATCH(A2031,'Semrush Data'!$A$1:$A$20000,0),MATCH("Keyword Difficulty*",'Semrush Data'!$A$1:$Z$1,0)),"")</f>
        <v/>
      </c>
      <c r="I2031" s="29" t="str">
        <f aca="false">IFERROR(INDEX('Semrush Data'!$A$1:$Z$20000,MATCH(A2031,'Semrush Data'!$A$1:$A$20000,0),MATCH("CPC*",'Semrush Data'!$A$1:$Z$1,0)),"")</f>
        <v/>
      </c>
      <c r="J2031" s="6" t="str">
        <f aca="false">IFERROR(INDEX('Semrush Data'!$A$1:$Z$20000,MATCH(A2031,'Semrush Data'!$A$1:$A$20000,0),MATCH("Intent",'Semrush Data'!$A$1:$Z$1,0)),"")</f>
        <v/>
      </c>
    </row>
    <row r="2032" customFormat="false" ht="15" hidden="false" customHeight="true" outlineLevel="0" collapsed="false">
      <c r="A2032" s="6" t="s">
        <v>6235</v>
      </c>
      <c r="B2032" s="6" t="s">
        <v>1415</v>
      </c>
      <c r="C2032" s="6" t="n">
        <v>3</v>
      </c>
      <c r="D2032" s="6" t="n">
        <v>21</v>
      </c>
      <c r="E2032" s="6" t="n">
        <v>1</v>
      </c>
      <c r="F2032" s="6" t="s">
        <v>6231</v>
      </c>
      <c r="G2032" s="28" t="str">
        <f aca="false">IFERROR(INDEX('Semrush Data'!$A$1:$Z$20000,MATCH(A2032,'Semrush Data'!$A$1:$A$20000,0),MATCH("Volume",'Semrush Data'!$A$1:$Z$1,0)),"")</f>
        <v/>
      </c>
      <c r="H2032" s="6" t="str">
        <f aca="false">IFERROR(INDEX('Semrush Data'!$A$1:$Z$20000,MATCH(A2032,'Semrush Data'!$A$1:$A$20000,0),MATCH("Keyword Difficulty*",'Semrush Data'!$A$1:$Z$1,0)),"")</f>
        <v/>
      </c>
      <c r="I2032" s="29" t="str">
        <f aca="false">IFERROR(INDEX('Semrush Data'!$A$1:$Z$20000,MATCH(A2032,'Semrush Data'!$A$1:$A$20000,0),MATCH("CPC*",'Semrush Data'!$A$1:$Z$1,0)),"")</f>
        <v/>
      </c>
      <c r="J2032" s="6" t="str">
        <f aca="false">IFERROR(INDEX('Semrush Data'!$A$1:$Z$20000,MATCH(A2032,'Semrush Data'!$A$1:$A$20000,0),MATCH("Intent",'Semrush Data'!$A$1:$Z$1,0)),"")</f>
        <v/>
      </c>
    </row>
    <row r="2033" customFormat="false" ht="15" hidden="false" customHeight="true" outlineLevel="0" collapsed="false">
      <c r="A2033" s="6" t="s">
        <v>6246</v>
      </c>
      <c r="B2033" s="6" t="s">
        <v>1415</v>
      </c>
      <c r="C2033" s="6" t="n">
        <v>3</v>
      </c>
      <c r="D2033" s="6" t="n">
        <v>21</v>
      </c>
      <c r="E2033" s="6" t="n">
        <v>1</v>
      </c>
      <c r="F2033" s="6" t="s">
        <v>6242</v>
      </c>
      <c r="G2033" s="28" t="str">
        <f aca="false">IFERROR(INDEX('Semrush Data'!$A$1:$Z$20000,MATCH(A2033,'Semrush Data'!$A$1:$A$20000,0),MATCH("Volume",'Semrush Data'!$A$1:$Z$1,0)),"")</f>
        <v/>
      </c>
      <c r="H2033" s="6" t="str">
        <f aca="false">IFERROR(INDEX('Semrush Data'!$A$1:$Z$20000,MATCH(A2033,'Semrush Data'!$A$1:$A$20000,0),MATCH("Keyword Difficulty*",'Semrush Data'!$A$1:$Z$1,0)),"")</f>
        <v/>
      </c>
      <c r="I2033" s="29" t="str">
        <f aca="false">IFERROR(INDEX('Semrush Data'!$A$1:$Z$20000,MATCH(A2033,'Semrush Data'!$A$1:$A$20000,0),MATCH("CPC*",'Semrush Data'!$A$1:$Z$1,0)),"")</f>
        <v/>
      </c>
      <c r="J2033" s="6" t="str">
        <f aca="false">IFERROR(INDEX('Semrush Data'!$A$1:$Z$20000,MATCH(A2033,'Semrush Data'!$A$1:$A$20000,0),MATCH("Intent",'Semrush Data'!$A$1:$Z$1,0)),"")</f>
        <v/>
      </c>
    </row>
    <row r="2034" customFormat="false" ht="15" hidden="false" customHeight="true" outlineLevel="0" collapsed="false">
      <c r="A2034" s="6" t="s">
        <v>6255</v>
      </c>
      <c r="B2034" s="6" t="s">
        <v>1415</v>
      </c>
      <c r="C2034" s="6" t="n">
        <v>3</v>
      </c>
      <c r="D2034" s="6" t="n">
        <v>21</v>
      </c>
      <c r="E2034" s="6" t="n">
        <v>1</v>
      </c>
      <c r="F2034" s="6" t="s">
        <v>105</v>
      </c>
      <c r="G2034" s="28" t="str">
        <f aca="false">IFERROR(INDEX('Semrush Data'!$A$1:$Z$20000,MATCH(A2034,'Semrush Data'!$A$1:$A$20000,0),MATCH("Volume",'Semrush Data'!$A$1:$Z$1,0)),"")</f>
        <v/>
      </c>
      <c r="H2034" s="6" t="str">
        <f aca="false">IFERROR(INDEX('Semrush Data'!$A$1:$Z$20000,MATCH(A2034,'Semrush Data'!$A$1:$A$20000,0),MATCH("Keyword Difficulty*",'Semrush Data'!$A$1:$Z$1,0)),"")</f>
        <v/>
      </c>
      <c r="I2034" s="29" t="str">
        <f aca="false">IFERROR(INDEX('Semrush Data'!$A$1:$Z$20000,MATCH(A2034,'Semrush Data'!$A$1:$A$20000,0),MATCH("CPC*",'Semrush Data'!$A$1:$Z$1,0)),"")</f>
        <v/>
      </c>
      <c r="J2034" s="6" t="str">
        <f aca="false">IFERROR(INDEX('Semrush Data'!$A$1:$Z$20000,MATCH(A2034,'Semrush Data'!$A$1:$A$20000,0),MATCH("Intent",'Semrush Data'!$A$1:$Z$1,0)),"")</f>
        <v/>
      </c>
    </row>
    <row r="2035" customFormat="false" ht="15" hidden="false" customHeight="true" outlineLevel="0" collapsed="false">
      <c r="A2035" s="6" t="s">
        <v>6267</v>
      </c>
      <c r="B2035" s="6" t="s">
        <v>1415</v>
      </c>
      <c r="C2035" s="6" t="n">
        <v>3</v>
      </c>
      <c r="D2035" s="6" t="n">
        <v>21</v>
      </c>
      <c r="E2035" s="6" t="n">
        <v>1</v>
      </c>
      <c r="F2035" s="6" t="s">
        <v>6263</v>
      </c>
      <c r="G2035" s="28" t="str">
        <f aca="false">IFERROR(INDEX('Semrush Data'!$A$1:$Z$20000,MATCH(A2035,'Semrush Data'!$A$1:$A$20000,0),MATCH("Volume",'Semrush Data'!$A$1:$Z$1,0)),"")</f>
        <v/>
      </c>
      <c r="H2035" s="6" t="str">
        <f aca="false">IFERROR(INDEX('Semrush Data'!$A$1:$Z$20000,MATCH(A2035,'Semrush Data'!$A$1:$A$20000,0),MATCH("Keyword Difficulty*",'Semrush Data'!$A$1:$Z$1,0)),"")</f>
        <v/>
      </c>
      <c r="I2035" s="29" t="str">
        <f aca="false">IFERROR(INDEX('Semrush Data'!$A$1:$Z$20000,MATCH(A2035,'Semrush Data'!$A$1:$A$20000,0),MATCH("CPC*",'Semrush Data'!$A$1:$Z$1,0)),"")</f>
        <v/>
      </c>
      <c r="J2035" s="6" t="str">
        <f aca="false">IFERROR(INDEX('Semrush Data'!$A$1:$Z$20000,MATCH(A2035,'Semrush Data'!$A$1:$A$20000,0),MATCH("Intent",'Semrush Data'!$A$1:$Z$1,0)),"")</f>
        <v/>
      </c>
    </row>
    <row r="2036" customFormat="false" ht="15" hidden="false" customHeight="true" outlineLevel="0" collapsed="false">
      <c r="A2036" s="6" t="s">
        <v>6278</v>
      </c>
      <c r="B2036" s="6" t="s">
        <v>1415</v>
      </c>
      <c r="C2036" s="6" t="n">
        <v>3</v>
      </c>
      <c r="D2036" s="6" t="n">
        <v>21</v>
      </c>
      <c r="E2036" s="6" t="n">
        <v>1</v>
      </c>
      <c r="F2036" s="6" t="s">
        <v>6274</v>
      </c>
      <c r="G2036" s="28" t="str">
        <f aca="false">IFERROR(INDEX('Semrush Data'!$A$1:$Z$20000,MATCH(A2036,'Semrush Data'!$A$1:$A$20000,0),MATCH("Volume",'Semrush Data'!$A$1:$Z$1,0)),"")</f>
        <v/>
      </c>
      <c r="H2036" s="6" t="str">
        <f aca="false">IFERROR(INDEX('Semrush Data'!$A$1:$Z$20000,MATCH(A2036,'Semrush Data'!$A$1:$A$20000,0),MATCH("Keyword Difficulty*",'Semrush Data'!$A$1:$Z$1,0)),"")</f>
        <v/>
      </c>
      <c r="I2036" s="29" t="str">
        <f aca="false">IFERROR(INDEX('Semrush Data'!$A$1:$Z$20000,MATCH(A2036,'Semrush Data'!$A$1:$A$20000,0),MATCH("CPC*",'Semrush Data'!$A$1:$Z$1,0)),"")</f>
        <v/>
      </c>
      <c r="J2036" s="6" t="str">
        <f aca="false">IFERROR(INDEX('Semrush Data'!$A$1:$Z$20000,MATCH(A2036,'Semrush Data'!$A$1:$A$20000,0),MATCH("Intent",'Semrush Data'!$A$1:$Z$1,0)),"")</f>
        <v/>
      </c>
    </row>
    <row r="2037" customFormat="false" ht="15" hidden="false" customHeight="true" outlineLevel="0" collapsed="false">
      <c r="A2037" s="6" t="s">
        <v>6289</v>
      </c>
      <c r="B2037" s="6" t="s">
        <v>1415</v>
      </c>
      <c r="C2037" s="6" t="n">
        <v>3</v>
      </c>
      <c r="D2037" s="6" t="n">
        <v>21</v>
      </c>
      <c r="E2037" s="6" t="n">
        <v>1</v>
      </c>
      <c r="F2037" s="6" t="s">
        <v>6285</v>
      </c>
      <c r="G2037" s="28" t="str">
        <f aca="false">IFERROR(INDEX('Semrush Data'!$A$1:$Z$20000,MATCH(A2037,'Semrush Data'!$A$1:$A$20000,0),MATCH("Volume",'Semrush Data'!$A$1:$Z$1,0)),"")</f>
        <v/>
      </c>
      <c r="H2037" s="6" t="str">
        <f aca="false">IFERROR(INDEX('Semrush Data'!$A$1:$Z$20000,MATCH(A2037,'Semrush Data'!$A$1:$A$20000,0),MATCH("Keyword Difficulty*",'Semrush Data'!$A$1:$Z$1,0)),"")</f>
        <v/>
      </c>
      <c r="I2037" s="29" t="str">
        <f aca="false">IFERROR(INDEX('Semrush Data'!$A$1:$Z$20000,MATCH(A2037,'Semrush Data'!$A$1:$A$20000,0),MATCH("CPC*",'Semrush Data'!$A$1:$Z$1,0)),"")</f>
        <v/>
      </c>
      <c r="J2037" s="6" t="str">
        <f aca="false">IFERROR(INDEX('Semrush Data'!$A$1:$Z$20000,MATCH(A2037,'Semrush Data'!$A$1:$A$20000,0),MATCH("Intent",'Semrush Data'!$A$1:$Z$1,0)),"")</f>
        <v/>
      </c>
    </row>
    <row r="2038" customFormat="false" ht="15" hidden="false" customHeight="true" outlineLevel="0" collapsed="false">
      <c r="A2038" s="6" t="s">
        <v>6300</v>
      </c>
      <c r="B2038" s="6" t="s">
        <v>1415</v>
      </c>
      <c r="C2038" s="6" t="n">
        <v>3</v>
      </c>
      <c r="D2038" s="6" t="n">
        <v>21</v>
      </c>
      <c r="E2038" s="6" t="n">
        <v>1</v>
      </c>
      <c r="F2038" s="6" t="s">
        <v>6296</v>
      </c>
      <c r="G2038" s="28" t="str">
        <f aca="false">IFERROR(INDEX('Semrush Data'!$A$1:$Z$20000,MATCH(A2038,'Semrush Data'!$A$1:$A$20000,0),MATCH("Volume",'Semrush Data'!$A$1:$Z$1,0)),"")</f>
        <v/>
      </c>
      <c r="H2038" s="6" t="str">
        <f aca="false">IFERROR(INDEX('Semrush Data'!$A$1:$Z$20000,MATCH(A2038,'Semrush Data'!$A$1:$A$20000,0),MATCH("Keyword Difficulty*",'Semrush Data'!$A$1:$Z$1,0)),"")</f>
        <v/>
      </c>
      <c r="I2038" s="29" t="str">
        <f aca="false">IFERROR(INDEX('Semrush Data'!$A$1:$Z$20000,MATCH(A2038,'Semrush Data'!$A$1:$A$20000,0),MATCH("CPC*",'Semrush Data'!$A$1:$Z$1,0)),"")</f>
        <v/>
      </c>
      <c r="J2038" s="6" t="str">
        <f aca="false">IFERROR(INDEX('Semrush Data'!$A$1:$Z$20000,MATCH(A2038,'Semrush Data'!$A$1:$A$20000,0),MATCH("Intent",'Semrush Data'!$A$1:$Z$1,0)),"")</f>
        <v/>
      </c>
    </row>
    <row r="2039" customFormat="false" ht="15" hidden="false" customHeight="true" outlineLevel="0" collapsed="false">
      <c r="A2039" s="6" t="s">
        <v>6310</v>
      </c>
      <c r="B2039" s="6" t="s">
        <v>1415</v>
      </c>
      <c r="C2039" s="6" t="n">
        <v>3</v>
      </c>
      <c r="D2039" s="6" t="n">
        <v>21</v>
      </c>
      <c r="E2039" s="6" t="n">
        <v>1</v>
      </c>
      <c r="F2039" s="6" t="s">
        <v>6306</v>
      </c>
      <c r="G2039" s="28" t="str">
        <f aca="false">IFERROR(INDEX('Semrush Data'!$A$1:$Z$20000,MATCH(A2039,'Semrush Data'!$A$1:$A$20000,0),MATCH("Volume",'Semrush Data'!$A$1:$Z$1,0)),"")</f>
        <v/>
      </c>
      <c r="H2039" s="6" t="str">
        <f aca="false">IFERROR(INDEX('Semrush Data'!$A$1:$Z$20000,MATCH(A2039,'Semrush Data'!$A$1:$A$20000,0),MATCH("Keyword Difficulty*",'Semrush Data'!$A$1:$Z$1,0)),"")</f>
        <v/>
      </c>
      <c r="I2039" s="29" t="str">
        <f aca="false">IFERROR(INDEX('Semrush Data'!$A$1:$Z$20000,MATCH(A2039,'Semrush Data'!$A$1:$A$20000,0),MATCH("CPC*",'Semrush Data'!$A$1:$Z$1,0)),"")</f>
        <v/>
      </c>
      <c r="J2039" s="6" t="str">
        <f aca="false">IFERROR(INDEX('Semrush Data'!$A$1:$Z$20000,MATCH(A2039,'Semrush Data'!$A$1:$A$20000,0),MATCH("Intent",'Semrush Data'!$A$1:$Z$1,0)),"")</f>
        <v/>
      </c>
    </row>
    <row r="2040" customFormat="false" ht="15" hidden="false" customHeight="true" outlineLevel="0" collapsed="false">
      <c r="A2040" s="6" t="s">
        <v>6321</v>
      </c>
      <c r="B2040" s="6" t="s">
        <v>1415</v>
      </c>
      <c r="C2040" s="6" t="n">
        <v>3</v>
      </c>
      <c r="D2040" s="6" t="n">
        <v>21</v>
      </c>
      <c r="E2040" s="6" t="n">
        <v>1</v>
      </c>
      <c r="F2040" s="6" t="s">
        <v>6317</v>
      </c>
      <c r="G2040" s="28" t="str">
        <f aca="false">IFERROR(INDEX('Semrush Data'!$A$1:$Z$20000,MATCH(A2040,'Semrush Data'!$A$1:$A$20000,0),MATCH("Volume",'Semrush Data'!$A$1:$Z$1,0)),"")</f>
        <v/>
      </c>
      <c r="H2040" s="6" t="str">
        <f aca="false">IFERROR(INDEX('Semrush Data'!$A$1:$Z$20000,MATCH(A2040,'Semrush Data'!$A$1:$A$20000,0),MATCH("Keyword Difficulty*",'Semrush Data'!$A$1:$Z$1,0)),"")</f>
        <v/>
      </c>
      <c r="I2040" s="29" t="str">
        <f aca="false">IFERROR(INDEX('Semrush Data'!$A$1:$Z$20000,MATCH(A2040,'Semrush Data'!$A$1:$A$20000,0),MATCH("CPC*",'Semrush Data'!$A$1:$Z$1,0)),"")</f>
        <v/>
      </c>
      <c r="J2040" s="6" t="str">
        <f aca="false">IFERROR(INDEX('Semrush Data'!$A$1:$Z$20000,MATCH(A2040,'Semrush Data'!$A$1:$A$20000,0),MATCH("Intent",'Semrush Data'!$A$1:$Z$1,0)),"")</f>
        <v/>
      </c>
    </row>
    <row r="2041" customFormat="false" ht="15" hidden="false" customHeight="true" outlineLevel="0" collapsed="false">
      <c r="A2041" s="6" t="s">
        <v>6333</v>
      </c>
      <c r="B2041" s="6" t="s">
        <v>1415</v>
      </c>
      <c r="C2041" s="6" t="n">
        <v>3</v>
      </c>
      <c r="D2041" s="6" t="n">
        <v>21</v>
      </c>
      <c r="E2041" s="6" t="n">
        <v>1</v>
      </c>
      <c r="F2041" s="6" t="s">
        <v>6328</v>
      </c>
      <c r="G2041" s="28" t="str">
        <f aca="false">IFERROR(INDEX('Semrush Data'!$A$1:$Z$20000,MATCH(A2041,'Semrush Data'!$A$1:$A$20000,0),MATCH("Volume",'Semrush Data'!$A$1:$Z$1,0)),"")</f>
        <v/>
      </c>
      <c r="H2041" s="6" t="str">
        <f aca="false">IFERROR(INDEX('Semrush Data'!$A$1:$Z$20000,MATCH(A2041,'Semrush Data'!$A$1:$A$20000,0),MATCH("Keyword Difficulty*",'Semrush Data'!$A$1:$Z$1,0)),"")</f>
        <v/>
      </c>
      <c r="I2041" s="29" t="str">
        <f aca="false">IFERROR(INDEX('Semrush Data'!$A$1:$Z$20000,MATCH(A2041,'Semrush Data'!$A$1:$A$20000,0),MATCH("CPC*",'Semrush Data'!$A$1:$Z$1,0)),"")</f>
        <v/>
      </c>
      <c r="J2041" s="6" t="str">
        <f aca="false">IFERROR(INDEX('Semrush Data'!$A$1:$Z$20000,MATCH(A2041,'Semrush Data'!$A$1:$A$20000,0),MATCH("Intent",'Semrush Data'!$A$1:$Z$1,0)),"")</f>
        <v/>
      </c>
    </row>
    <row r="2042" customFormat="false" ht="15" hidden="false" customHeight="true" outlineLevel="0" collapsed="false">
      <c r="A2042" s="6" t="s">
        <v>6344</v>
      </c>
      <c r="B2042" s="6" t="s">
        <v>1415</v>
      </c>
      <c r="C2042" s="6" t="n">
        <v>3</v>
      </c>
      <c r="D2042" s="6" t="n">
        <v>21</v>
      </c>
      <c r="E2042" s="6" t="n">
        <v>1</v>
      </c>
      <c r="F2042" s="6" t="s">
        <v>6340</v>
      </c>
      <c r="G2042" s="28" t="str">
        <f aca="false">IFERROR(INDEX('Semrush Data'!$A$1:$Z$20000,MATCH(A2042,'Semrush Data'!$A$1:$A$20000,0),MATCH("Volume",'Semrush Data'!$A$1:$Z$1,0)),"")</f>
        <v/>
      </c>
      <c r="H2042" s="6" t="str">
        <f aca="false">IFERROR(INDEX('Semrush Data'!$A$1:$Z$20000,MATCH(A2042,'Semrush Data'!$A$1:$A$20000,0),MATCH("Keyword Difficulty*",'Semrush Data'!$A$1:$Z$1,0)),"")</f>
        <v/>
      </c>
      <c r="I2042" s="29" t="str">
        <f aca="false">IFERROR(INDEX('Semrush Data'!$A$1:$Z$20000,MATCH(A2042,'Semrush Data'!$A$1:$A$20000,0),MATCH("CPC*",'Semrush Data'!$A$1:$Z$1,0)),"")</f>
        <v/>
      </c>
      <c r="J2042" s="6" t="str">
        <f aca="false">IFERROR(INDEX('Semrush Data'!$A$1:$Z$20000,MATCH(A2042,'Semrush Data'!$A$1:$A$20000,0),MATCH("Intent",'Semrush Data'!$A$1:$Z$1,0)),"")</f>
        <v/>
      </c>
    </row>
    <row r="2043" customFormat="false" ht="15" hidden="false" customHeight="true" outlineLevel="0" collapsed="false">
      <c r="A2043" s="6" t="s">
        <v>6383</v>
      </c>
      <c r="B2043" s="6" t="s">
        <v>1415</v>
      </c>
      <c r="C2043" s="6" t="n">
        <v>3</v>
      </c>
      <c r="D2043" s="6" t="s">
        <v>6870</v>
      </c>
      <c r="E2043" s="6" t="n">
        <v>1</v>
      </c>
      <c r="F2043" s="6" t="s">
        <v>51</v>
      </c>
      <c r="G2043" s="28" t="n">
        <f aca="false">IFERROR(INDEX('Semrush Data'!$A$1:$Z$20000,MATCH(A2043,'Semrush Data'!$A$1:$A$20000,0),MATCH("Volume",'Semrush Data'!$A$1:$Z$1,0)),"")</f>
        <v>0</v>
      </c>
      <c r="H2043" s="6" t="n">
        <f aca="false">IFERROR(INDEX('Semrush Data'!$A$1:$Z$20000,MATCH(A2043,'Semrush Data'!$A$1:$A$20000,0),MATCH("Keyword Difficulty*",'Semrush Data'!$A$1:$Z$1,0)),"")</f>
        <v>23</v>
      </c>
      <c r="I2043" s="29" t="n">
        <f aca="false">IFERROR(INDEX('Semrush Data'!$A$1:$Z$20000,MATCH(A2043,'Semrush Data'!$A$1:$A$20000,0),MATCH("CPC*",'Semrush Data'!$A$1:$Z$1,0)),"")</f>
        <v>0</v>
      </c>
      <c r="J2043" s="6" t="str">
        <f aca="false">IFERROR(INDEX('Semrush Data'!$A$1:$Z$20000,MATCH(A2043,'Semrush Data'!$A$1:$A$20000,0),MATCH("Intent",'Semrush Data'!$A$1:$Z$1,0)),"")</f>
        <v>Transactional</v>
      </c>
    </row>
    <row r="2044" customFormat="false" ht="15" hidden="false" customHeight="true" outlineLevel="0" collapsed="false">
      <c r="A2044" s="6" t="s">
        <v>6375</v>
      </c>
      <c r="B2044" s="6" t="s">
        <v>1415</v>
      </c>
      <c r="C2044" s="6" t="n">
        <v>3</v>
      </c>
      <c r="D2044" s="6" t="n">
        <v>21</v>
      </c>
      <c r="E2044" s="6" t="n">
        <v>1</v>
      </c>
      <c r="F2044" s="6" t="s">
        <v>97</v>
      </c>
      <c r="G2044" s="28" t="str">
        <f aca="false">IFERROR(INDEX('Semrush Data'!$A$1:$Z$20000,MATCH(A2044,'Semrush Data'!$A$1:$A$20000,0),MATCH("Volume",'Semrush Data'!$A$1:$Z$1,0)),"")</f>
        <v/>
      </c>
      <c r="H2044" s="6" t="str">
        <f aca="false">IFERROR(INDEX('Semrush Data'!$A$1:$Z$20000,MATCH(A2044,'Semrush Data'!$A$1:$A$20000,0),MATCH("Keyword Difficulty*",'Semrush Data'!$A$1:$Z$1,0)),"")</f>
        <v/>
      </c>
      <c r="I2044" s="29" t="str">
        <f aca="false">IFERROR(INDEX('Semrush Data'!$A$1:$Z$20000,MATCH(A2044,'Semrush Data'!$A$1:$A$20000,0),MATCH("CPC*",'Semrush Data'!$A$1:$Z$1,0)),"")</f>
        <v/>
      </c>
      <c r="J2044" s="6" t="str">
        <f aca="false">IFERROR(INDEX('Semrush Data'!$A$1:$Z$20000,MATCH(A2044,'Semrush Data'!$A$1:$A$20000,0),MATCH("Intent",'Semrush Data'!$A$1:$Z$1,0)),"")</f>
        <v/>
      </c>
    </row>
    <row r="2045" customFormat="false" ht="15" hidden="false" customHeight="true" outlineLevel="0" collapsed="false">
      <c r="A2045" s="6" t="s">
        <v>6355</v>
      </c>
      <c r="B2045" s="6" t="s">
        <v>1415</v>
      </c>
      <c r="C2045" s="6" t="n">
        <v>3</v>
      </c>
      <c r="D2045" s="6" t="s">
        <v>6870</v>
      </c>
      <c r="E2045" s="6" t="n">
        <v>1</v>
      </c>
      <c r="F2045" s="6" t="s">
        <v>69</v>
      </c>
      <c r="G2045" s="28" t="n">
        <f aca="false">IFERROR(INDEX('Semrush Data'!$A$1:$Z$20000,MATCH(A2045,'Semrush Data'!$A$1:$A$20000,0),MATCH("Volume",'Semrush Data'!$A$1:$Z$1,0)),"")</f>
        <v>0</v>
      </c>
      <c r="H2045" s="6" t="n">
        <f aca="false">IFERROR(INDEX('Semrush Data'!$A$1:$Z$20000,MATCH(A2045,'Semrush Data'!$A$1:$A$20000,0),MATCH("Keyword Difficulty*",'Semrush Data'!$A$1:$Z$1,0)),"")</f>
        <v>22</v>
      </c>
      <c r="I2045" s="29" t="n">
        <f aca="false">IFERROR(INDEX('Semrush Data'!$A$1:$Z$20000,MATCH(A2045,'Semrush Data'!$A$1:$A$20000,0),MATCH("CPC*",'Semrush Data'!$A$1:$Z$1,0)),"")</f>
        <v>0</v>
      </c>
      <c r="J2045" s="6" t="str">
        <f aca="false">IFERROR(INDEX('Semrush Data'!$A$1:$Z$20000,MATCH(A2045,'Semrush Data'!$A$1:$A$20000,0),MATCH("Intent",'Semrush Data'!$A$1:$Z$1,0)),"")</f>
        <v>Transactional</v>
      </c>
    </row>
    <row r="2046" customFormat="false" ht="15" hidden="false" customHeight="true" outlineLevel="0" collapsed="false">
      <c r="A2046" s="6" t="s">
        <v>6390</v>
      </c>
      <c r="B2046" s="6" t="s">
        <v>1415</v>
      </c>
      <c r="C2046" s="6" t="n">
        <v>3</v>
      </c>
      <c r="D2046" s="6" t="s">
        <v>6870</v>
      </c>
      <c r="E2046" s="6" t="n">
        <v>1</v>
      </c>
      <c r="F2046" s="6" t="s">
        <v>57</v>
      </c>
      <c r="G2046" s="28" t="n">
        <f aca="false">IFERROR(INDEX('Semrush Data'!$A$1:$Z$20000,MATCH(A2046,'Semrush Data'!$A$1:$A$20000,0),MATCH("Volume",'Semrush Data'!$A$1:$Z$1,0)),"")</f>
        <v>0</v>
      </c>
      <c r="H2046" s="6" t="n">
        <f aca="false">IFERROR(INDEX('Semrush Data'!$A$1:$Z$20000,MATCH(A2046,'Semrush Data'!$A$1:$A$20000,0),MATCH("Keyword Difficulty*",'Semrush Data'!$A$1:$Z$1,0)),"")</f>
        <v>20</v>
      </c>
      <c r="I2046" s="29" t="n">
        <f aca="false">IFERROR(INDEX('Semrush Data'!$A$1:$Z$20000,MATCH(A2046,'Semrush Data'!$A$1:$A$20000,0),MATCH("CPC*",'Semrush Data'!$A$1:$Z$1,0)),"")</f>
        <v>0</v>
      </c>
      <c r="J2046" s="6" t="str">
        <f aca="false">IFERROR(INDEX('Semrush Data'!$A$1:$Z$20000,MATCH(A2046,'Semrush Data'!$A$1:$A$20000,0),MATCH("Intent",'Semrush Data'!$A$1:$Z$1,0)),"")</f>
        <v>Transactional</v>
      </c>
    </row>
    <row r="2047" customFormat="false" ht="15" hidden="false" customHeight="true" outlineLevel="0" collapsed="false">
      <c r="A2047" s="6" t="s">
        <v>6364</v>
      </c>
      <c r="B2047" s="6" t="s">
        <v>1415</v>
      </c>
      <c r="C2047" s="6" t="n">
        <v>3</v>
      </c>
      <c r="D2047" s="6" t="s">
        <v>6870</v>
      </c>
      <c r="E2047" s="6" t="n">
        <v>2</v>
      </c>
      <c r="F2047" s="6" t="s">
        <v>6862</v>
      </c>
      <c r="G2047" s="28" t="n">
        <f aca="false">IFERROR(INDEX('Semrush Data'!$A$1:$Z$20000,MATCH(A2047,'Semrush Data'!$A$1:$A$20000,0),MATCH("Volume",'Semrush Data'!$A$1:$Z$1,0)),"")</f>
        <v>0</v>
      </c>
      <c r="H2047" s="6" t="n">
        <f aca="false">IFERROR(INDEX('Semrush Data'!$A$1:$Z$20000,MATCH(A2047,'Semrush Data'!$A$1:$A$20000,0),MATCH("Keyword Difficulty*",'Semrush Data'!$A$1:$Z$1,0)),"")</f>
        <v>17</v>
      </c>
      <c r="I2047" s="29" t="n">
        <f aca="false">IFERROR(INDEX('Semrush Data'!$A$1:$Z$20000,MATCH(A2047,'Semrush Data'!$A$1:$A$20000,0),MATCH("CPC*",'Semrush Data'!$A$1:$Z$1,0)),"")</f>
        <v>0</v>
      </c>
      <c r="J2047" s="6" t="str">
        <f aca="false">IFERROR(INDEX('Semrush Data'!$A$1:$Z$20000,MATCH(A2047,'Semrush Data'!$A$1:$A$20000,0),MATCH("Intent",'Semrush Data'!$A$1:$Z$1,0)),"")</f>
        <v>Transactional</v>
      </c>
    </row>
    <row r="2048" customFormat="false" ht="15" hidden="false" customHeight="true" outlineLevel="0" collapsed="false">
      <c r="A2048" s="6" t="s">
        <v>6425</v>
      </c>
      <c r="B2048" s="6" t="s">
        <v>1415</v>
      </c>
      <c r="C2048" s="6" t="n">
        <v>3</v>
      </c>
      <c r="D2048" s="6" t="n">
        <v>21</v>
      </c>
      <c r="E2048" s="6" t="n">
        <v>1</v>
      </c>
      <c r="F2048" s="6" t="s">
        <v>6421</v>
      </c>
      <c r="G2048" s="28" t="str">
        <f aca="false">IFERROR(INDEX('Semrush Data'!$A$1:$Z$20000,MATCH(A2048,'Semrush Data'!$A$1:$A$20000,0),MATCH("Volume",'Semrush Data'!$A$1:$Z$1,0)),"")</f>
        <v/>
      </c>
      <c r="H2048" s="6" t="str">
        <f aca="false">IFERROR(INDEX('Semrush Data'!$A$1:$Z$20000,MATCH(A2048,'Semrush Data'!$A$1:$A$20000,0),MATCH("Keyword Difficulty*",'Semrush Data'!$A$1:$Z$1,0)),"")</f>
        <v/>
      </c>
      <c r="I2048" s="29" t="str">
        <f aca="false">IFERROR(INDEX('Semrush Data'!$A$1:$Z$20000,MATCH(A2048,'Semrush Data'!$A$1:$A$20000,0),MATCH("CPC*",'Semrush Data'!$A$1:$Z$1,0)),"")</f>
        <v/>
      </c>
      <c r="J2048" s="6" t="str">
        <f aca="false">IFERROR(INDEX('Semrush Data'!$A$1:$Z$20000,MATCH(A2048,'Semrush Data'!$A$1:$A$20000,0),MATCH("Intent",'Semrush Data'!$A$1:$Z$1,0)),"")</f>
        <v/>
      </c>
    </row>
    <row r="2049" customFormat="false" ht="15" hidden="false" customHeight="true" outlineLevel="0" collapsed="false">
      <c r="A2049" s="6" t="s">
        <v>6436</v>
      </c>
      <c r="B2049" s="6" t="s">
        <v>1415</v>
      </c>
      <c r="C2049" s="6" t="n">
        <v>3</v>
      </c>
      <c r="D2049" s="6" t="n">
        <v>21</v>
      </c>
      <c r="E2049" s="6" t="n">
        <v>1</v>
      </c>
      <c r="F2049" s="6" t="s">
        <v>6432</v>
      </c>
      <c r="G2049" s="28" t="str">
        <f aca="false">IFERROR(INDEX('Semrush Data'!$A$1:$Z$20000,MATCH(A2049,'Semrush Data'!$A$1:$A$20000,0),MATCH("Volume",'Semrush Data'!$A$1:$Z$1,0)),"")</f>
        <v/>
      </c>
      <c r="H2049" s="6" t="str">
        <f aca="false">IFERROR(INDEX('Semrush Data'!$A$1:$Z$20000,MATCH(A2049,'Semrush Data'!$A$1:$A$20000,0),MATCH("Keyword Difficulty*",'Semrush Data'!$A$1:$Z$1,0)),"")</f>
        <v/>
      </c>
      <c r="I2049" s="29" t="str">
        <f aca="false">IFERROR(INDEX('Semrush Data'!$A$1:$Z$20000,MATCH(A2049,'Semrush Data'!$A$1:$A$20000,0),MATCH("CPC*",'Semrush Data'!$A$1:$Z$1,0)),"")</f>
        <v/>
      </c>
      <c r="J2049" s="6" t="str">
        <f aca="false">IFERROR(INDEX('Semrush Data'!$A$1:$Z$20000,MATCH(A2049,'Semrush Data'!$A$1:$A$20000,0),MATCH("Intent",'Semrush Data'!$A$1:$Z$1,0)),"")</f>
        <v/>
      </c>
    </row>
    <row r="2050" customFormat="false" ht="15" hidden="false" customHeight="true" outlineLevel="0" collapsed="false">
      <c r="A2050" s="6" t="s">
        <v>6447</v>
      </c>
      <c r="B2050" s="6" t="s">
        <v>1415</v>
      </c>
      <c r="C2050" s="6" t="n">
        <v>3</v>
      </c>
      <c r="D2050" s="6" t="n">
        <v>21</v>
      </c>
      <c r="E2050" s="6" t="n">
        <v>1</v>
      </c>
      <c r="F2050" s="6" t="s">
        <v>6443</v>
      </c>
      <c r="G2050" s="28" t="str">
        <f aca="false">IFERROR(INDEX('Semrush Data'!$A$1:$Z$20000,MATCH(A2050,'Semrush Data'!$A$1:$A$20000,0),MATCH("Volume",'Semrush Data'!$A$1:$Z$1,0)),"")</f>
        <v/>
      </c>
      <c r="H2050" s="6" t="str">
        <f aca="false">IFERROR(INDEX('Semrush Data'!$A$1:$Z$20000,MATCH(A2050,'Semrush Data'!$A$1:$A$20000,0),MATCH("Keyword Difficulty*",'Semrush Data'!$A$1:$Z$1,0)),"")</f>
        <v/>
      </c>
      <c r="I2050" s="29" t="str">
        <f aca="false">IFERROR(INDEX('Semrush Data'!$A$1:$Z$20000,MATCH(A2050,'Semrush Data'!$A$1:$A$20000,0),MATCH("CPC*",'Semrush Data'!$A$1:$Z$1,0)),"")</f>
        <v/>
      </c>
      <c r="J2050" s="6" t="str">
        <f aca="false">IFERROR(INDEX('Semrush Data'!$A$1:$Z$20000,MATCH(A2050,'Semrush Data'!$A$1:$A$20000,0),MATCH("Intent",'Semrush Data'!$A$1:$Z$1,0)),"")</f>
        <v/>
      </c>
    </row>
    <row r="2051" customFormat="false" ht="15" hidden="false" customHeight="true" outlineLevel="0" collapsed="false">
      <c r="A2051" s="6" t="s">
        <v>6403</v>
      </c>
      <c r="B2051" s="6" t="s">
        <v>1415</v>
      </c>
      <c r="C2051" s="6" t="n">
        <v>3</v>
      </c>
      <c r="D2051" s="6" t="n">
        <v>21</v>
      </c>
      <c r="E2051" s="6" t="n">
        <v>1</v>
      </c>
      <c r="F2051" s="6" t="s">
        <v>6397</v>
      </c>
      <c r="G2051" s="28" t="str">
        <f aca="false">IFERROR(INDEX('Semrush Data'!$A$1:$Z$20000,MATCH(A2051,'Semrush Data'!$A$1:$A$20000,0),MATCH("Volume",'Semrush Data'!$A$1:$Z$1,0)),"")</f>
        <v/>
      </c>
      <c r="H2051" s="6" t="str">
        <f aca="false">IFERROR(INDEX('Semrush Data'!$A$1:$Z$20000,MATCH(A2051,'Semrush Data'!$A$1:$A$20000,0),MATCH("Keyword Difficulty*",'Semrush Data'!$A$1:$Z$1,0)),"")</f>
        <v/>
      </c>
      <c r="I2051" s="29" t="str">
        <f aca="false">IFERROR(INDEX('Semrush Data'!$A$1:$Z$20000,MATCH(A2051,'Semrush Data'!$A$1:$A$20000,0),MATCH("CPC*",'Semrush Data'!$A$1:$Z$1,0)),"")</f>
        <v/>
      </c>
      <c r="J2051" s="6" t="str">
        <f aca="false">IFERROR(INDEX('Semrush Data'!$A$1:$Z$20000,MATCH(A2051,'Semrush Data'!$A$1:$A$20000,0),MATCH("Intent",'Semrush Data'!$A$1:$Z$1,0)),"")</f>
        <v/>
      </c>
    </row>
    <row r="2052" customFormat="false" ht="15" hidden="false" customHeight="true" outlineLevel="0" collapsed="false">
      <c r="A2052" s="6" t="s">
        <v>6414</v>
      </c>
      <c r="B2052" s="6" t="s">
        <v>1415</v>
      </c>
      <c r="C2052" s="6" t="n">
        <v>3</v>
      </c>
      <c r="D2052" s="6" t="n">
        <v>21</v>
      </c>
      <c r="E2052" s="6" t="n">
        <v>1</v>
      </c>
      <c r="F2052" s="6" t="s">
        <v>6410</v>
      </c>
      <c r="G2052" s="28" t="str">
        <f aca="false">IFERROR(INDEX('Semrush Data'!$A$1:$Z$20000,MATCH(A2052,'Semrush Data'!$A$1:$A$20000,0),MATCH("Volume",'Semrush Data'!$A$1:$Z$1,0)),"")</f>
        <v/>
      </c>
      <c r="H2052" s="6" t="str">
        <f aca="false">IFERROR(INDEX('Semrush Data'!$A$1:$Z$20000,MATCH(A2052,'Semrush Data'!$A$1:$A$20000,0),MATCH("Keyword Difficulty*",'Semrush Data'!$A$1:$Z$1,0)),"")</f>
        <v/>
      </c>
      <c r="I2052" s="29" t="str">
        <f aca="false">IFERROR(INDEX('Semrush Data'!$A$1:$Z$20000,MATCH(A2052,'Semrush Data'!$A$1:$A$20000,0),MATCH("CPC*",'Semrush Data'!$A$1:$Z$1,0)),"")</f>
        <v/>
      </c>
      <c r="J2052" s="6" t="str">
        <f aca="false">IFERROR(INDEX('Semrush Data'!$A$1:$Z$20000,MATCH(A2052,'Semrush Data'!$A$1:$A$20000,0),MATCH("Intent",'Semrush Data'!$A$1:$Z$1,0)),"")</f>
        <v/>
      </c>
    </row>
    <row r="2053" customFormat="false" ht="15" hidden="false" customHeight="true" outlineLevel="0" collapsed="false">
      <c r="A2053" s="6" t="s">
        <v>6457</v>
      </c>
      <c r="B2053" s="6" t="s">
        <v>1415</v>
      </c>
      <c r="C2053" s="6" t="n">
        <v>3</v>
      </c>
      <c r="D2053" s="6" t="n">
        <v>21</v>
      </c>
      <c r="E2053" s="6" t="n">
        <v>1</v>
      </c>
      <c r="F2053" s="6" t="s">
        <v>6453</v>
      </c>
      <c r="G2053" s="28" t="str">
        <f aca="false">IFERROR(INDEX('Semrush Data'!$A$1:$Z$20000,MATCH(A2053,'Semrush Data'!$A$1:$A$20000,0),MATCH("Volume",'Semrush Data'!$A$1:$Z$1,0)),"")</f>
        <v/>
      </c>
      <c r="H2053" s="6" t="str">
        <f aca="false">IFERROR(INDEX('Semrush Data'!$A$1:$Z$20000,MATCH(A2053,'Semrush Data'!$A$1:$A$20000,0),MATCH("Keyword Difficulty*",'Semrush Data'!$A$1:$Z$1,0)),"")</f>
        <v/>
      </c>
      <c r="I2053" s="29" t="str">
        <f aca="false">IFERROR(INDEX('Semrush Data'!$A$1:$Z$20000,MATCH(A2053,'Semrush Data'!$A$1:$A$20000,0),MATCH("CPC*",'Semrush Data'!$A$1:$Z$1,0)),"")</f>
        <v/>
      </c>
      <c r="J2053" s="6" t="str">
        <f aca="false">IFERROR(INDEX('Semrush Data'!$A$1:$Z$20000,MATCH(A2053,'Semrush Data'!$A$1:$A$20000,0),MATCH("Intent",'Semrush Data'!$A$1:$Z$1,0)),"")</f>
        <v/>
      </c>
    </row>
    <row r="2054" customFormat="false" ht="15" hidden="false" customHeight="true" outlineLevel="0" collapsed="false">
      <c r="A2054" s="6" t="s">
        <v>6469</v>
      </c>
      <c r="B2054" s="6" t="s">
        <v>1415</v>
      </c>
      <c r="C2054" s="6" t="n">
        <v>3</v>
      </c>
      <c r="D2054" s="6" t="n">
        <v>21</v>
      </c>
      <c r="E2054" s="6" t="n">
        <v>1</v>
      </c>
      <c r="F2054" s="6" t="s">
        <v>6464</v>
      </c>
      <c r="G2054" s="28" t="str">
        <f aca="false">IFERROR(INDEX('Semrush Data'!$A$1:$Z$20000,MATCH(A2054,'Semrush Data'!$A$1:$A$20000,0),MATCH("Volume",'Semrush Data'!$A$1:$Z$1,0)),"")</f>
        <v/>
      </c>
      <c r="H2054" s="6" t="str">
        <f aca="false">IFERROR(INDEX('Semrush Data'!$A$1:$Z$20000,MATCH(A2054,'Semrush Data'!$A$1:$A$20000,0),MATCH("Keyword Difficulty*",'Semrush Data'!$A$1:$Z$1,0)),"")</f>
        <v/>
      </c>
      <c r="I2054" s="29" t="str">
        <f aca="false">IFERROR(INDEX('Semrush Data'!$A$1:$Z$20000,MATCH(A2054,'Semrush Data'!$A$1:$A$20000,0),MATCH("CPC*",'Semrush Data'!$A$1:$Z$1,0)),"")</f>
        <v/>
      </c>
      <c r="J2054" s="6" t="str">
        <f aca="false">IFERROR(INDEX('Semrush Data'!$A$1:$Z$20000,MATCH(A2054,'Semrush Data'!$A$1:$A$20000,0),MATCH("Intent",'Semrush Data'!$A$1:$Z$1,0)),"")</f>
        <v/>
      </c>
    </row>
    <row r="2055" customFormat="false" ht="15" hidden="false" customHeight="true" outlineLevel="0" collapsed="false">
      <c r="A2055" s="6" t="s">
        <v>1575</v>
      </c>
      <c r="B2055" s="6" t="s">
        <v>1415</v>
      </c>
      <c r="C2055" s="6" t="n">
        <v>3</v>
      </c>
      <c r="D2055" s="6" t="n">
        <v>21</v>
      </c>
      <c r="E2055" s="6" t="n">
        <v>1</v>
      </c>
      <c r="F2055" s="6" t="s">
        <v>534</v>
      </c>
      <c r="G2055" s="28" t="str">
        <f aca="false">IFERROR(INDEX('Semrush Data'!$A$1:$Z$20000,MATCH(A2055,'Semrush Data'!$A$1:$A$20000,0),MATCH("Volume",'Semrush Data'!$A$1:$Z$1,0)),"")</f>
        <v/>
      </c>
      <c r="H2055" s="6" t="str">
        <f aca="false">IFERROR(INDEX('Semrush Data'!$A$1:$Z$20000,MATCH(A2055,'Semrush Data'!$A$1:$A$20000,0),MATCH("Keyword Difficulty*",'Semrush Data'!$A$1:$Z$1,0)),"")</f>
        <v/>
      </c>
      <c r="I2055" s="29" t="str">
        <f aca="false">IFERROR(INDEX('Semrush Data'!$A$1:$Z$20000,MATCH(A2055,'Semrush Data'!$A$1:$A$20000,0),MATCH("CPC*",'Semrush Data'!$A$1:$Z$1,0)),"")</f>
        <v/>
      </c>
      <c r="J2055" s="6" t="str">
        <f aca="false">IFERROR(INDEX('Semrush Data'!$A$1:$Z$20000,MATCH(A2055,'Semrush Data'!$A$1:$A$20000,0),MATCH("Intent",'Semrush Data'!$A$1:$Z$1,0)),"")</f>
        <v/>
      </c>
    </row>
    <row r="2056" customFormat="false" ht="15" hidden="false" customHeight="true" outlineLevel="0" collapsed="false">
      <c r="A2056" s="6" t="s">
        <v>1811</v>
      </c>
      <c r="B2056" s="6" t="s">
        <v>1415</v>
      </c>
      <c r="C2056" s="6" t="n">
        <v>3</v>
      </c>
      <c r="D2056" s="6" t="n">
        <v>21</v>
      </c>
      <c r="E2056" s="6" t="n">
        <v>1</v>
      </c>
      <c r="F2056" s="6" t="s">
        <v>784</v>
      </c>
      <c r="G2056" s="28" t="str">
        <f aca="false">IFERROR(INDEX('Semrush Data'!$A$1:$Z$20000,MATCH(A2056,'Semrush Data'!$A$1:$A$20000,0),MATCH("Volume",'Semrush Data'!$A$1:$Z$1,0)),"")</f>
        <v/>
      </c>
      <c r="H2056" s="6" t="str">
        <f aca="false">IFERROR(INDEX('Semrush Data'!$A$1:$Z$20000,MATCH(A2056,'Semrush Data'!$A$1:$A$20000,0),MATCH("Keyword Difficulty*",'Semrush Data'!$A$1:$Z$1,0)),"")</f>
        <v/>
      </c>
      <c r="I2056" s="29" t="str">
        <f aca="false">IFERROR(INDEX('Semrush Data'!$A$1:$Z$20000,MATCH(A2056,'Semrush Data'!$A$1:$A$20000,0),MATCH("CPC*",'Semrush Data'!$A$1:$Z$1,0)),"")</f>
        <v/>
      </c>
      <c r="J2056" s="6" t="str">
        <f aca="false">IFERROR(INDEX('Semrush Data'!$A$1:$Z$20000,MATCH(A2056,'Semrush Data'!$A$1:$A$20000,0),MATCH("Intent",'Semrush Data'!$A$1:$Z$1,0)),"")</f>
        <v/>
      </c>
    </row>
    <row r="2057" customFormat="false" ht="15" hidden="false" customHeight="true" outlineLevel="0" collapsed="false">
      <c r="A2057" s="6" t="s">
        <v>1799</v>
      </c>
      <c r="B2057" s="6" t="s">
        <v>1415</v>
      </c>
      <c r="C2057" s="6" t="n">
        <v>3</v>
      </c>
      <c r="D2057" s="6" t="n">
        <v>21</v>
      </c>
      <c r="E2057" s="6" t="n">
        <v>1</v>
      </c>
      <c r="F2057" s="6" t="s">
        <v>774</v>
      </c>
      <c r="G2057" s="28" t="str">
        <f aca="false">IFERROR(INDEX('Semrush Data'!$A$1:$Z$20000,MATCH(A2057,'Semrush Data'!$A$1:$A$20000,0),MATCH("Volume",'Semrush Data'!$A$1:$Z$1,0)),"")</f>
        <v/>
      </c>
      <c r="H2057" s="6" t="str">
        <f aca="false">IFERROR(INDEX('Semrush Data'!$A$1:$Z$20000,MATCH(A2057,'Semrush Data'!$A$1:$A$20000,0),MATCH("Keyword Difficulty*",'Semrush Data'!$A$1:$Z$1,0)),"")</f>
        <v/>
      </c>
      <c r="I2057" s="29" t="str">
        <f aca="false">IFERROR(INDEX('Semrush Data'!$A$1:$Z$20000,MATCH(A2057,'Semrush Data'!$A$1:$A$20000,0),MATCH("CPC*",'Semrush Data'!$A$1:$Z$1,0)),"")</f>
        <v/>
      </c>
      <c r="J2057" s="6" t="str">
        <f aca="false">IFERROR(INDEX('Semrush Data'!$A$1:$Z$20000,MATCH(A2057,'Semrush Data'!$A$1:$A$20000,0),MATCH("Intent",'Semrush Data'!$A$1:$Z$1,0)),"")</f>
        <v/>
      </c>
    </row>
    <row r="2058" customFormat="false" ht="15" hidden="false" customHeight="true" outlineLevel="0" collapsed="false">
      <c r="A2058" s="6" t="s">
        <v>1907</v>
      </c>
      <c r="B2058" s="6" t="s">
        <v>1415</v>
      </c>
      <c r="C2058" s="6" t="n">
        <v>3</v>
      </c>
      <c r="D2058" s="6" t="n">
        <v>21</v>
      </c>
      <c r="E2058" s="6" t="n">
        <v>1</v>
      </c>
      <c r="F2058" s="6" t="s">
        <v>873</v>
      </c>
      <c r="G2058" s="28" t="str">
        <f aca="false">IFERROR(INDEX('Semrush Data'!$A$1:$Z$20000,MATCH(A2058,'Semrush Data'!$A$1:$A$20000,0),MATCH("Volume",'Semrush Data'!$A$1:$Z$1,0)),"")</f>
        <v/>
      </c>
      <c r="H2058" s="6" t="str">
        <f aca="false">IFERROR(INDEX('Semrush Data'!$A$1:$Z$20000,MATCH(A2058,'Semrush Data'!$A$1:$A$20000,0),MATCH("Keyword Difficulty*",'Semrush Data'!$A$1:$Z$1,0)),"")</f>
        <v/>
      </c>
      <c r="I2058" s="29" t="str">
        <f aca="false">IFERROR(INDEX('Semrush Data'!$A$1:$Z$20000,MATCH(A2058,'Semrush Data'!$A$1:$A$20000,0),MATCH("CPC*",'Semrush Data'!$A$1:$Z$1,0)),"")</f>
        <v/>
      </c>
      <c r="J2058" s="6" t="str">
        <f aca="false">IFERROR(INDEX('Semrush Data'!$A$1:$Z$20000,MATCH(A2058,'Semrush Data'!$A$1:$A$20000,0),MATCH("Intent",'Semrush Data'!$A$1:$Z$1,0)),"")</f>
        <v/>
      </c>
    </row>
    <row r="2059" customFormat="false" ht="15" hidden="false" customHeight="true" outlineLevel="0" collapsed="false">
      <c r="A2059" s="6" t="s">
        <v>1582</v>
      </c>
      <c r="B2059" s="6" t="s">
        <v>1415</v>
      </c>
      <c r="C2059" s="6" t="n">
        <v>3</v>
      </c>
      <c r="D2059" s="6" t="n">
        <v>21</v>
      </c>
      <c r="E2059" s="6" t="n">
        <v>1</v>
      </c>
      <c r="F2059" s="6" t="s">
        <v>541</v>
      </c>
      <c r="G2059" s="28" t="str">
        <f aca="false">IFERROR(INDEX('Semrush Data'!$A$1:$Z$20000,MATCH(A2059,'Semrush Data'!$A$1:$A$20000,0),MATCH("Volume",'Semrush Data'!$A$1:$Z$1,0)),"")</f>
        <v/>
      </c>
      <c r="H2059" s="6" t="str">
        <f aca="false">IFERROR(INDEX('Semrush Data'!$A$1:$Z$20000,MATCH(A2059,'Semrush Data'!$A$1:$A$20000,0),MATCH("Keyword Difficulty*",'Semrush Data'!$A$1:$Z$1,0)),"")</f>
        <v/>
      </c>
      <c r="I2059" s="29" t="str">
        <f aca="false">IFERROR(INDEX('Semrush Data'!$A$1:$Z$20000,MATCH(A2059,'Semrush Data'!$A$1:$A$20000,0),MATCH("CPC*",'Semrush Data'!$A$1:$Z$1,0)),"")</f>
        <v/>
      </c>
      <c r="J2059" s="6" t="str">
        <f aca="false">IFERROR(INDEX('Semrush Data'!$A$1:$Z$20000,MATCH(A2059,'Semrush Data'!$A$1:$A$20000,0),MATCH("Intent",'Semrush Data'!$A$1:$Z$1,0)),"")</f>
        <v/>
      </c>
    </row>
    <row r="2060" customFormat="false" ht="15" hidden="false" customHeight="true" outlineLevel="0" collapsed="false">
      <c r="A2060" s="6" t="s">
        <v>1590</v>
      </c>
      <c r="B2060" s="6" t="s">
        <v>1415</v>
      </c>
      <c r="C2060" s="6" t="n">
        <v>3</v>
      </c>
      <c r="D2060" s="6" t="n">
        <v>21</v>
      </c>
      <c r="E2060" s="6" t="n">
        <v>1</v>
      </c>
      <c r="F2060" s="6" t="s">
        <v>549</v>
      </c>
      <c r="G2060" s="28" t="str">
        <f aca="false">IFERROR(INDEX('Semrush Data'!$A$1:$Z$20000,MATCH(A2060,'Semrush Data'!$A$1:$A$20000,0),MATCH("Volume",'Semrush Data'!$A$1:$Z$1,0)),"")</f>
        <v/>
      </c>
      <c r="H2060" s="6" t="str">
        <f aca="false">IFERROR(INDEX('Semrush Data'!$A$1:$Z$20000,MATCH(A2060,'Semrush Data'!$A$1:$A$20000,0),MATCH("Keyword Difficulty*",'Semrush Data'!$A$1:$Z$1,0)),"")</f>
        <v/>
      </c>
      <c r="I2060" s="29" t="str">
        <f aca="false">IFERROR(INDEX('Semrush Data'!$A$1:$Z$20000,MATCH(A2060,'Semrush Data'!$A$1:$A$20000,0),MATCH("CPC*",'Semrush Data'!$A$1:$Z$1,0)),"")</f>
        <v/>
      </c>
      <c r="J2060" s="6" t="str">
        <f aca="false">IFERROR(INDEX('Semrush Data'!$A$1:$Z$20000,MATCH(A2060,'Semrush Data'!$A$1:$A$20000,0),MATCH("Intent",'Semrush Data'!$A$1:$Z$1,0)),"")</f>
        <v/>
      </c>
    </row>
    <row r="2061" customFormat="false" ht="15" hidden="false" customHeight="true" outlineLevel="0" collapsed="false">
      <c r="A2061" s="6" t="s">
        <v>1769</v>
      </c>
      <c r="B2061" s="6" t="s">
        <v>1415</v>
      </c>
      <c r="C2061" s="6" t="n">
        <v>3</v>
      </c>
      <c r="D2061" s="6" t="n">
        <v>21</v>
      </c>
      <c r="E2061" s="6" t="n">
        <v>1</v>
      </c>
      <c r="F2061" s="6" t="s">
        <v>747</v>
      </c>
      <c r="G2061" s="28" t="str">
        <f aca="false">IFERROR(INDEX('Semrush Data'!$A$1:$Z$20000,MATCH(A2061,'Semrush Data'!$A$1:$A$20000,0),MATCH("Volume",'Semrush Data'!$A$1:$Z$1,0)),"")</f>
        <v/>
      </c>
      <c r="H2061" s="6" t="str">
        <f aca="false">IFERROR(INDEX('Semrush Data'!$A$1:$Z$20000,MATCH(A2061,'Semrush Data'!$A$1:$A$20000,0),MATCH("Keyword Difficulty*",'Semrush Data'!$A$1:$Z$1,0)),"")</f>
        <v/>
      </c>
      <c r="I2061" s="29" t="str">
        <f aca="false">IFERROR(INDEX('Semrush Data'!$A$1:$Z$20000,MATCH(A2061,'Semrush Data'!$A$1:$A$20000,0),MATCH("CPC*",'Semrush Data'!$A$1:$Z$1,0)),"")</f>
        <v/>
      </c>
      <c r="J2061" s="6" t="str">
        <f aca="false">IFERROR(INDEX('Semrush Data'!$A$1:$Z$20000,MATCH(A2061,'Semrush Data'!$A$1:$A$20000,0),MATCH("Intent",'Semrush Data'!$A$1:$Z$1,0)),"")</f>
        <v/>
      </c>
    </row>
    <row r="2062" customFormat="false" ht="15" hidden="false" customHeight="true" outlineLevel="0" collapsed="false">
      <c r="A2062" s="6" t="s">
        <v>1775</v>
      </c>
      <c r="B2062" s="6" t="s">
        <v>1415</v>
      </c>
      <c r="C2062" s="6" t="n">
        <v>3</v>
      </c>
      <c r="D2062" s="6" t="n">
        <v>21</v>
      </c>
      <c r="E2062" s="6" t="n">
        <v>2</v>
      </c>
      <c r="F2062" s="6" t="s">
        <v>6863</v>
      </c>
      <c r="G2062" s="28" t="str">
        <f aca="false">IFERROR(INDEX('Semrush Data'!$A$1:$Z$20000,MATCH(A2062,'Semrush Data'!$A$1:$A$20000,0),MATCH("Volume",'Semrush Data'!$A$1:$Z$1,0)),"")</f>
        <v/>
      </c>
      <c r="H2062" s="6" t="str">
        <f aca="false">IFERROR(INDEX('Semrush Data'!$A$1:$Z$20000,MATCH(A2062,'Semrush Data'!$A$1:$A$20000,0),MATCH("Keyword Difficulty*",'Semrush Data'!$A$1:$Z$1,0)),"")</f>
        <v/>
      </c>
      <c r="I2062" s="29" t="str">
        <f aca="false">IFERROR(INDEX('Semrush Data'!$A$1:$Z$20000,MATCH(A2062,'Semrush Data'!$A$1:$A$20000,0),MATCH("CPC*",'Semrush Data'!$A$1:$Z$1,0)),"")</f>
        <v/>
      </c>
      <c r="J2062" s="6" t="str">
        <f aca="false">IFERROR(INDEX('Semrush Data'!$A$1:$Z$20000,MATCH(A2062,'Semrush Data'!$A$1:$A$20000,0),MATCH("Intent",'Semrush Data'!$A$1:$Z$1,0)),"")</f>
        <v/>
      </c>
    </row>
    <row r="2063" customFormat="false" ht="15" hidden="false" customHeight="true" outlineLevel="0" collapsed="false">
      <c r="A2063" s="6" t="s">
        <v>1877</v>
      </c>
      <c r="B2063" s="6" t="s">
        <v>1415</v>
      </c>
      <c r="C2063" s="6" t="n">
        <v>3</v>
      </c>
      <c r="D2063" s="6" t="n">
        <v>21</v>
      </c>
      <c r="E2063" s="6" t="n">
        <v>1</v>
      </c>
      <c r="F2063" s="6" t="s">
        <v>846</v>
      </c>
      <c r="G2063" s="28" t="str">
        <f aca="false">IFERROR(INDEX('Semrush Data'!$A$1:$Z$20000,MATCH(A2063,'Semrush Data'!$A$1:$A$20000,0),MATCH("Volume",'Semrush Data'!$A$1:$Z$1,0)),"")</f>
        <v/>
      </c>
      <c r="H2063" s="6" t="str">
        <f aca="false">IFERROR(INDEX('Semrush Data'!$A$1:$Z$20000,MATCH(A2063,'Semrush Data'!$A$1:$A$20000,0),MATCH("Keyword Difficulty*",'Semrush Data'!$A$1:$Z$1,0)),"")</f>
        <v/>
      </c>
      <c r="I2063" s="29" t="str">
        <f aca="false">IFERROR(INDEX('Semrush Data'!$A$1:$Z$20000,MATCH(A2063,'Semrush Data'!$A$1:$A$20000,0),MATCH("CPC*",'Semrush Data'!$A$1:$Z$1,0)),"")</f>
        <v/>
      </c>
      <c r="J2063" s="6" t="str">
        <f aca="false">IFERROR(INDEX('Semrush Data'!$A$1:$Z$20000,MATCH(A2063,'Semrush Data'!$A$1:$A$20000,0),MATCH("Intent",'Semrush Data'!$A$1:$Z$1,0)),"")</f>
        <v/>
      </c>
    </row>
    <row r="2064" customFormat="false" ht="15" hidden="false" customHeight="true" outlineLevel="0" collapsed="false">
      <c r="A2064" s="6" t="s">
        <v>1805</v>
      </c>
      <c r="B2064" s="6" t="s">
        <v>1415</v>
      </c>
      <c r="C2064" s="6" t="n">
        <v>3</v>
      </c>
      <c r="D2064" s="6" t="n">
        <v>21</v>
      </c>
      <c r="E2064" s="6" t="n">
        <v>1</v>
      </c>
      <c r="F2064" s="6" t="s">
        <v>779</v>
      </c>
      <c r="G2064" s="28" t="str">
        <f aca="false">IFERROR(INDEX('Semrush Data'!$A$1:$Z$20000,MATCH(A2064,'Semrush Data'!$A$1:$A$20000,0),MATCH("Volume",'Semrush Data'!$A$1:$Z$1,0)),"")</f>
        <v/>
      </c>
      <c r="H2064" s="6" t="str">
        <f aca="false">IFERROR(INDEX('Semrush Data'!$A$1:$Z$20000,MATCH(A2064,'Semrush Data'!$A$1:$A$20000,0),MATCH("Keyword Difficulty*",'Semrush Data'!$A$1:$Z$1,0)),"")</f>
        <v/>
      </c>
      <c r="I2064" s="29" t="str">
        <f aca="false">IFERROR(INDEX('Semrush Data'!$A$1:$Z$20000,MATCH(A2064,'Semrush Data'!$A$1:$A$20000,0),MATCH("CPC*",'Semrush Data'!$A$1:$Z$1,0)),"")</f>
        <v/>
      </c>
      <c r="J2064" s="6" t="str">
        <f aca="false">IFERROR(INDEX('Semrush Data'!$A$1:$Z$20000,MATCH(A2064,'Semrush Data'!$A$1:$A$20000,0),MATCH("Intent",'Semrush Data'!$A$1:$Z$1,0)),"")</f>
        <v/>
      </c>
    </row>
    <row r="2065" customFormat="false" ht="15" hidden="false" customHeight="true" outlineLevel="0" collapsed="false">
      <c r="A2065" s="6" t="s">
        <v>1598</v>
      </c>
      <c r="B2065" s="6" t="s">
        <v>1415</v>
      </c>
      <c r="C2065" s="6" t="n">
        <v>3</v>
      </c>
      <c r="D2065" s="6" t="n">
        <v>21</v>
      </c>
      <c r="E2065" s="6" t="n">
        <v>1</v>
      </c>
      <c r="F2065" s="6" t="s">
        <v>559</v>
      </c>
      <c r="G2065" s="28" t="str">
        <f aca="false">IFERROR(INDEX('Semrush Data'!$A$1:$Z$20000,MATCH(A2065,'Semrush Data'!$A$1:$A$20000,0),MATCH("Volume",'Semrush Data'!$A$1:$Z$1,0)),"")</f>
        <v/>
      </c>
      <c r="H2065" s="6" t="str">
        <f aca="false">IFERROR(INDEX('Semrush Data'!$A$1:$Z$20000,MATCH(A2065,'Semrush Data'!$A$1:$A$20000,0),MATCH("Keyword Difficulty*",'Semrush Data'!$A$1:$Z$1,0)),"")</f>
        <v/>
      </c>
      <c r="I2065" s="29" t="str">
        <f aca="false">IFERROR(INDEX('Semrush Data'!$A$1:$Z$20000,MATCH(A2065,'Semrush Data'!$A$1:$A$20000,0),MATCH("CPC*",'Semrush Data'!$A$1:$Z$1,0)),"")</f>
        <v/>
      </c>
      <c r="J2065" s="6" t="str">
        <f aca="false">IFERROR(INDEX('Semrush Data'!$A$1:$Z$20000,MATCH(A2065,'Semrush Data'!$A$1:$A$20000,0),MATCH("Intent",'Semrush Data'!$A$1:$Z$1,0)),"")</f>
        <v/>
      </c>
    </row>
    <row r="2066" customFormat="false" ht="15" hidden="false" customHeight="true" outlineLevel="0" collapsed="false">
      <c r="A2066" s="6" t="s">
        <v>1913</v>
      </c>
      <c r="B2066" s="6" t="s">
        <v>1415</v>
      </c>
      <c r="C2066" s="6" t="n">
        <v>3</v>
      </c>
      <c r="D2066" s="6" t="n">
        <v>21</v>
      </c>
      <c r="E2066" s="6" t="n">
        <v>1</v>
      </c>
      <c r="F2066" s="6" t="s">
        <v>878</v>
      </c>
      <c r="G2066" s="28" t="str">
        <f aca="false">IFERROR(INDEX('Semrush Data'!$A$1:$Z$20000,MATCH(A2066,'Semrush Data'!$A$1:$A$20000,0),MATCH("Volume",'Semrush Data'!$A$1:$Z$1,0)),"")</f>
        <v/>
      </c>
      <c r="H2066" s="6" t="str">
        <f aca="false">IFERROR(INDEX('Semrush Data'!$A$1:$Z$20000,MATCH(A2066,'Semrush Data'!$A$1:$A$20000,0),MATCH("Keyword Difficulty*",'Semrush Data'!$A$1:$Z$1,0)),"")</f>
        <v/>
      </c>
      <c r="I2066" s="29" t="str">
        <f aca="false">IFERROR(INDEX('Semrush Data'!$A$1:$Z$20000,MATCH(A2066,'Semrush Data'!$A$1:$A$20000,0),MATCH("CPC*",'Semrush Data'!$A$1:$Z$1,0)),"")</f>
        <v/>
      </c>
      <c r="J2066" s="6" t="str">
        <f aca="false">IFERROR(INDEX('Semrush Data'!$A$1:$Z$20000,MATCH(A2066,'Semrush Data'!$A$1:$A$20000,0),MATCH("Intent",'Semrush Data'!$A$1:$Z$1,0)),"")</f>
        <v/>
      </c>
    </row>
    <row r="2067" customFormat="false" ht="15" hidden="false" customHeight="true" outlineLevel="0" collapsed="false">
      <c r="A2067" s="6" t="s">
        <v>1847</v>
      </c>
      <c r="B2067" s="6" t="s">
        <v>1415</v>
      </c>
      <c r="C2067" s="6" t="n">
        <v>3</v>
      </c>
      <c r="D2067" s="6" t="n">
        <v>21</v>
      </c>
      <c r="E2067" s="6" t="n">
        <v>1</v>
      </c>
      <c r="F2067" s="6" t="s">
        <v>818</v>
      </c>
      <c r="G2067" s="28" t="str">
        <f aca="false">IFERROR(INDEX('Semrush Data'!$A$1:$Z$20000,MATCH(A2067,'Semrush Data'!$A$1:$A$20000,0),MATCH("Volume",'Semrush Data'!$A$1:$Z$1,0)),"")</f>
        <v/>
      </c>
      <c r="H2067" s="6" t="str">
        <f aca="false">IFERROR(INDEX('Semrush Data'!$A$1:$Z$20000,MATCH(A2067,'Semrush Data'!$A$1:$A$20000,0),MATCH("Keyword Difficulty*",'Semrush Data'!$A$1:$Z$1,0)),"")</f>
        <v/>
      </c>
      <c r="I2067" s="29" t="str">
        <f aca="false">IFERROR(INDEX('Semrush Data'!$A$1:$Z$20000,MATCH(A2067,'Semrush Data'!$A$1:$A$20000,0),MATCH("CPC*",'Semrush Data'!$A$1:$Z$1,0)),"")</f>
        <v/>
      </c>
      <c r="J2067" s="6" t="str">
        <f aca="false">IFERROR(INDEX('Semrush Data'!$A$1:$Z$20000,MATCH(A2067,'Semrush Data'!$A$1:$A$20000,0),MATCH("Intent",'Semrush Data'!$A$1:$Z$1,0)),"")</f>
        <v/>
      </c>
    </row>
    <row r="2068" customFormat="false" ht="15" hidden="false" customHeight="true" outlineLevel="0" collapsed="false">
      <c r="A2068" s="6" t="s">
        <v>1605</v>
      </c>
      <c r="B2068" s="6" t="s">
        <v>1415</v>
      </c>
      <c r="C2068" s="6" t="n">
        <v>3</v>
      </c>
      <c r="D2068" s="6" t="n">
        <v>21</v>
      </c>
      <c r="E2068" s="6" t="n">
        <v>1</v>
      </c>
      <c r="F2068" s="6" t="s">
        <v>569</v>
      </c>
      <c r="G2068" s="28" t="str">
        <f aca="false">IFERROR(INDEX('Semrush Data'!$A$1:$Z$20000,MATCH(A2068,'Semrush Data'!$A$1:$A$20000,0),MATCH("Volume",'Semrush Data'!$A$1:$Z$1,0)),"")</f>
        <v/>
      </c>
      <c r="H2068" s="6" t="str">
        <f aca="false">IFERROR(INDEX('Semrush Data'!$A$1:$Z$20000,MATCH(A2068,'Semrush Data'!$A$1:$A$20000,0),MATCH("Keyword Difficulty*",'Semrush Data'!$A$1:$Z$1,0)),"")</f>
        <v/>
      </c>
      <c r="I2068" s="29" t="str">
        <f aca="false">IFERROR(INDEX('Semrush Data'!$A$1:$Z$20000,MATCH(A2068,'Semrush Data'!$A$1:$A$20000,0),MATCH("CPC*",'Semrush Data'!$A$1:$Z$1,0)),"")</f>
        <v/>
      </c>
      <c r="J2068" s="6" t="str">
        <f aca="false">IFERROR(INDEX('Semrush Data'!$A$1:$Z$20000,MATCH(A2068,'Semrush Data'!$A$1:$A$20000,0),MATCH("Intent",'Semrush Data'!$A$1:$Z$1,0)),"")</f>
        <v/>
      </c>
    </row>
    <row r="2069" customFormat="false" ht="15" hidden="false" customHeight="true" outlineLevel="0" collapsed="false">
      <c r="A2069" s="6" t="s">
        <v>1514</v>
      </c>
      <c r="B2069" s="6" t="s">
        <v>1415</v>
      </c>
      <c r="C2069" s="6" t="n">
        <v>3</v>
      </c>
      <c r="D2069" s="6" t="n">
        <v>21</v>
      </c>
      <c r="E2069" s="6" t="n">
        <v>1</v>
      </c>
      <c r="F2069" s="6" t="s">
        <v>464</v>
      </c>
      <c r="G2069" s="28" t="str">
        <f aca="false">IFERROR(INDEX('Semrush Data'!$A$1:$Z$20000,MATCH(A2069,'Semrush Data'!$A$1:$A$20000,0),MATCH("Volume",'Semrush Data'!$A$1:$Z$1,0)),"")</f>
        <v/>
      </c>
      <c r="H2069" s="6" t="str">
        <f aca="false">IFERROR(INDEX('Semrush Data'!$A$1:$Z$20000,MATCH(A2069,'Semrush Data'!$A$1:$A$20000,0),MATCH("Keyword Difficulty*",'Semrush Data'!$A$1:$Z$1,0)),"")</f>
        <v/>
      </c>
      <c r="I2069" s="29" t="str">
        <f aca="false">IFERROR(INDEX('Semrush Data'!$A$1:$Z$20000,MATCH(A2069,'Semrush Data'!$A$1:$A$20000,0),MATCH("CPC*",'Semrush Data'!$A$1:$Z$1,0)),"")</f>
        <v/>
      </c>
      <c r="J2069" s="6" t="str">
        <f aca="false">IFERROR(INDEX('Semrush Data'!$A$1:$Z$20000,MATCH(A2069,'Semrush Data'!$A$1:$A$20000,0),MATCH("Intent",'Semrush Data'!$A$1:$Z$1,0)),"")</f>
        <v/>
      </c>
    </row>
    <row r="2070" customFormat="false" ht="15" hidden="false" customHeight="true" outlineLevel="0" collapsed="false">
      <c r="A2070" s="6" t="s">
        <v>1455</v>
      </c>
      <c r="B2070" s="6" t="s">
        <v>1415</v>
      </c>
      <c r="C2070" s="6" t="n">
        <v>3</v>
      </c>
      <c r="D2070" s="6" t="n">
        <v>21</v>
      </c>
      <c r="E2070" s="6" t="n">
        <v>1</v>
      </c>
      <c r="F2070" s="6" t="s">
        <v>394</v>
      </c>
      <c r="G2070" s="28" t="str">
        <f aca="false">IFERROR(INDEX('Semrush Data'!$A$1:$Z$20000,MATCH(A2070,'Semrush Data'!$A$1:$A$20000,0),MATCH("Volume",'Semrush Data'!$A$1:$Z$1,0)),"")</f>
        <v/>
      </c>
      <c r="H2070" s="6" t="str">
        <f aca="false">IFERROR(INDEX('Semrush Data'!$A$1:$Z$20000,MATCH(A2070,'Semrush Data'!$A$1:$A$20000,0),MATCH("Keyword Difficulty*",'Semrush Data'!$A$1:$Z$1,0)),"")</f>
        <v/>
      </c>
      <c r="I2070" s="29" t="str">
        <f aca="false">IFERROR(INDEX('Semrush Data'!$A$1:$Z$20000,MATCH(A2070,'Semrush Data'!$A$1:$A$20000,0),MATCH("CPC*",'Semrush Data'!$A$1:$Z$1,0)),"")</f>
        <v/>
      </c>
      <c r="J2070" s="6" t="str">
        <f aca="false">IFERROR(INDEX('Semrush Data'!$A$1:$Z$20000,MATCH(A2070,'Semrush Data'!$A$1:$A$20000,0),MATCH("Intent",'Semrush Data'!$A$1:$Z$1,0)),"")</f>
        <v/>
      </c>
    </row>
    <row r="2071" customFormat="false" ht="15" hidden="false" customHeight="true" outlineLevel="0" collapsed="false">
      <c r="A2071" s="6" t="s">
        <v>1493</v>
      </c>
      <c r="B2071" s="6" t="s">
        <v>1415</v>
      </c>
      <c r="C2071" s="6" t="n">
        <v>3</v>
      </c>
      <c r="D2071" s="6" t="n">
        <v>21</v>
      </c>
      <c r="E2071" s="6" t="n">
        <v>1</v>
      </c>
      <c r="F2071" s="6" t="s">
        <v>441</v>
      </c>
      <c r="G2071" s="28" t="str">
        <f aca="false">IFERROR(INDEX('Semrush Data'!$A$1:$Z$20000,MATCH(A2071,'Semrush Data'!$A$1:$A$20000,0),MATCH("Volume",'Semrush Data'!$A$1:$Z$1,0)),"")</f>
        <v/>
      </c>
      <c r="H2071" s="6" t="str">
        <f aca="false">IFERROR(INDEX('Semrush Data'!$A$1:$Z$20000,MATCH(A2071,'Semrush Data'!$A$1:$A$20000,0),MATCH("Keyword Difficulty*",'Semrush Data'!$A$1:$Z$1,0)),"")</f>
        <v/>
      </c>
      <c r="I2071" s="29" t="str">
        <f aca="false">IFERROR(INDEX('Semrush Data'!$A$1:$Z$20000,MATCH(A2071,'Semrush Data'!$A$1:$A$20000,0),MATCH("CPC*",'Semrush Data'!$A$1:$Z$1,0)),"")</f>
        <v/>
      </c>
      <c r="J2071" s="6" t="str">
        <f aca="false">IFERROR(INDEX('Semrush Data'!$A$1:$Z$20000,MATCH(A2071,'Semrush Data'!$A$1:$A$20000,0),MATCH("Intent",'Semrush Data'!$A$1:$Z$1,0)),"")</f>
        <v/>
      </c>
    </row>
    <row r="2072" customFormat="false" ht="15" hidden="false" customHeight="true" outlineLevel="0" collapsed="false">
      <c r="A2072" s="6" t="s">
        <v>1612</v>
      </c>
      <c r="B2072" s="6" t="s">
        <v>1415</v>
      </c>
      <c r="C2072" s="6" t="n">
        <v>3</v>
      </c>
      <c r="D2072" s="6" t="n">
        <v>21</v>
      </c>
      <c r="E2072" s="6" t="n">
        <v>1</v>
      </c>
      <c r="F2072" s="6" t="s">
        <v>577</v>
      </c>
      <c r="G2072" s="28" t="str">
        <f aca="false">IFERROR(INDEX('Semrush Data'!$A$1:$Z$20000,MATCH(A2072,'Semrush Data'!$A$1:$A$20000,0),MATCH("Volume",'Semrush Data'!$A$1:$Z$1,0)),"")</f>
        <v/>
      </c>
      <c r="H2072" s="6" t="str">
        <f aca="false">IFERROR(INDEX('Semrush Data'!$A$1:$Z$20000,MATCH(A2072,'Semrush Data'!$A$1:$A$20000,0),MATCH("Keyword Difficulty*",'Semrush Data'!$A$1:$Z$1,0)),"")</f>
        <v/>
      </c>
      <c r="I2072" s="29" t="str">
        <f aca="false">IFERROR(INDEX('Semrush Data'!$A$1:$Z$20000,MATCH(A2072,'Semrush Data'!$A$1:$A$20000,0),MATCH("CPC*",'Semrush Data'!$A$1:$Z$1,0)),"")</f>
        <v/>
      </c>
      <c r="J2072" s="6" t="str">
        <f aca="false">IFERROR(INDEX('Semrush Data'!$A$1:$Z$20000,MATCH(A2072,'Semrush Data'!$A$1:$A$20000,0),MATCH("Intent",'Semrush Data'!$A$1:$Z$1,0)),"")</f>
        <v/>
      </c>
    </row>
    <row r="2073" customFormat="false" ht="15" hidden="false" customHeight="true" outlineLevel="0" collapsed="false">
      <c r="A2073" s="6" t="s">
        <v>1618</v>
      </c>
      <c r="B2073" s="6" t="s">
        <v>1415</v>
      </c>
      <c r="C2073" s="6" t="n">
        <v>3</v>
      </c>
      <c r="D2073" s="6" t="n">
        <v>21</v>
      </c>
      <c r="E2073" s="6" t="n">
        <v>1</v>
      </c>
      <c r="F2073" s="6" t="s">
        <v>583</v>
      </c>
      <c r="G2073" s="28" t="str">
        <f aca="false">IFERROR(INDEX('Semrush Data'!$A$1:$Z$20000,MATCH(A2073,'Semrush Data'!$A$1:$A$20000,0),MATCH("Volume",'Semrush Data'!$A$1:$Z$1,0)),"")</f>
        <v/>
      </c>
      <c r="H2073" s="6" t="str">
        <f aca="false">IFERROR(INDEX('Semrush Data'!$A$1:$Z$20000,MATCH(A2073,'Semrush Data'!$A$1:$A$20000,0),MATCH("Keyword Difficulty*",'Semrush Data'!$A$1:$Z$1,0)),"")</f>
        <v/>
      </c>
      <c r="I2073" s="29" t="str">
        <f aca="false">IFERROR(INDEX('Semrush Data'!$A$1:$Z$20000,MATCH(A2073,'Semrush Data'!$A$1:$A$20000,0),MATCH("CPC*",'Semrush Data'!$A$1:$Z$1,0)),"")</f>
        <v/>
      </c>
      <c r="J2073" s="6" t="str">
        <f aca="false">IFERROR(INDEX('Semrush Data'!$A$1:$Z$20000,MATCH(A2073,'Semrush Data'!$A$1:$A$20000,0),MATCH("Intent",'Semrush Data'!$A$1:$Z$1,0)),"")</f>
        <v/>
      </c>
    </row>
    <row r="2074" customFormat="false" ht="15" hidden="false" customHeight="true" outlineLevel="0" collapsed="false">
      <c r="A2074" s="6" t="s">
        <v>1731</v>
      </c>
      <c r="B2074" s="6" t="s">
        <v>1415</v>
      </c>
      <c r="C2074" s="6" t="n">
        <v>3</v>
      </c>
      <c r="D2074" s="6" t="n">
        <v>21</v>
      </c>
      <c r="E2074" s="6" t="n">
        <v>1</v>
      </c>
      <c r="F2074" s="6" t="s">
        <v>710</v>
      </c>
      <c r="G2074" s="28" t="str">
        <f aca="false">IFERROR(INDEX('Semrush Data'!$A$1:$Z$20000,MATCH(A2074,'Semrush Data'!$A$1:$A$20000,0),MATCH("Volume",'Semrush Data'!$A$1:$Z$1,0)),"")</f>
        <v/>
      </c>
      <c r="H2074" s="6" t="str">
        <f aca="false">IFERROR(INDEX('Semrush Data'!$A$1:$Z$20000,MATCH(A2074,'Semrush Data'!$A$1:$A$20000,0),MATCH("Keyword Difficulty*",'Semrush Data'!$A$1:$Z$1,0)),"")</f>
        <v/>
      </c>
      <c r="I2074" s="29" t="str">
        <f aca="false">IFERROR(INDEX('Semrush Data'!$A$1:$Z$20000,MATCH(A2074,'Semrush Data'!$A$1:$A$20000,0),MATCH("CPC*",'Semrush Data'!$A$1:$Z$1,0)),"")</f>
        <v/>
      </c>
      <c r="J2074" s="6" t="str">
        <f aca="false">IFERROR(INDEX('Semrush Data'!$A$1:$Z$20000,MATCH(A2074,'Semrush Data'!$A$1:$A$20000,0),MATCH("Intent",'Semrush Data'!$A$1:$Z$1,0)),"")</f>
        <v/>
      </c>
    </row>
    <row r="2075" customFormat="false" ht="15" hidden="false" customHeight="true" outlineLevel="0" collapsed="false">
      <c r="A2075" s="6" t="s">
        <v>1521</v>
      </c>
      <c r="B2075" s="6" t="s">
        <v>1415</v>
      </c>
      <c r="C2075" s="6" t="n">
        <v>3</v>
      </c>
      <c r="D2075" s="6" t="n">
        <v>21</v>
      </c>
      <c r="E2075" s="6" t="n">
        <v>1</v>
      </c>
      <c r="F2075" s="6" t="s">
        <v>470</v>
      </c>
      <c r="G2075" s="28" t="str">
        <f aca="false">IFERROR(INDEX('Semrush Data'!$A$1:$Z$20000,MATCH(A2075,'Semrush Data'!$A$1:$A$20000,0),MATCH("Volume",'Semrush Data'!$A$1:$Z$1,0)),"")</f>
        <v/>
      </c>
      <c r="H2075" s="6" t="str">
        <f aca="false">IFERROR(INDEX('Semrush Data'!$A$1:$Z$20000,MATCH(A2075,'Semrush Data'!$A$1:$A$20000,0),MATCH("Keyword Difficulty*",'Semrush Data'!$A$1:$Z$1,0)),"")</f>
        <v/>
      </c>
      <c r="I2075" s="29" t="str">
        <f aca="false">IFERROR(INDEX('Semrush Data'!$A$1:$Z$20000,MATCH(A2075,'Semrush Data'!$A$1:$A$20000,0),MATCH("CPC*",'Semrush Data'!$A$1:$Z$1,0)),"")</f>
        <v/>
      </c>
      <c r="J2075" s="6" t="str">
        <f aca="false">IFERROR(INDEX('Semrush Data'!$A$1:$Z$20000,MATCH(A2075,'Semrush Data'!$A$1:$A$20000,0),MATCH("Intent",'Semrush Data'!$A$1:$Z$1,0)),"")</f>
        <v/>
      </c>
    </row>
    <row r="2076" customFormat="false" ht="15" hidden="false" customHeight="true" outlineLevel="0" collapsed="false">
      <c r="A2076" s="6" t="s">
        <v>1625</v>
      </c>
      <c r="B2076" s="6" t="s">
        <v>1415</v>
      </c>
      <c r="C2076" s="6" t="n">
        <v>3</v>
      </c>
      <c r="D2076" s="6" t="n">
        <v>21</v>
      </c>
      <c r="E2076" s="6" t="n">
        <v>1</v>
      </c>
      <c r="F2076" s="6" t="s">
        <v>592</v>
      </c>
      <c r="G2076" s="28" t="str">
        <f aca="false">IFERROR(INDEX('Semrush Data'!$A$1:$Z$20000,MATCH(A2076,'Semrush Data'!$A$1:$A$20000,0),MATCH("Volume",'Semrush Data'!$A$1:$Z$1,0)),"")</f>
        <v/>
      </c>
      <c r="H2076" s="6" t="str">
        <f aca="false">IFERROR(INDEX('Semrush Data'!$A$1:$Z$20000,MATCH(A2076,'Semrush Data'!$A$1:$A$20000,0),MATCH("Keyword Difficulty*",'Semrush Data'!$A$1:$Z$1,0)),"")</f>
        <v/>
      </c>
      <c r="I2076" s="29" t="str">
        <f aca="false">IFERROR(INDEX('Semrush Data'!$A$1:$Z$20000,MATCH(A2076,'Semrush Data'!$A$1:$A$20000,0),MATCH("CPC*",'Semrush Data'!$A$1:$Z$1,0)),"")</f>
        <v/>
      </c>
      <c r="J2076" s="6" t="str">
        <f aca="false">IFERROR(INDEX('Semrush Data'!$A$1:$Z$20000,MATCH(A2076,'Semrush Data'!$A$1:$A$20000,0),MATCH("Intent",'Semrush Data'!$A$1:$Z$1,0)),"")</f>
        <v/>
      </c>
    </row>
    <row r="2077" customFormat="false" ht="15" hidden="false" customHeight="true" outlineLevel="0" collapsed="false">
      <c r="A2077" s="6" t="s">
        <v>1630</v>
      </c>
      <c r="B2077" s="6" t="s">
        <v>1415</v>
      </c>
      <c r="C2077" s="6" t="n">
        <v>3</v>
      </c>
      <c r="D2077" s="6" t="n">
        <v>21</v>
      </c>
      <c r="E2077" s="6" t="n">
        <v>1</v>
      </c>
      <c r="F2077" s="6" t="s">
        <v>599</v>
      </c>
      <c r="G2077" s="28" t="str">
        <f aca="false">IFERROR(INDEX('Semrush Data'!$A$1:$Z$20000,MATCH(A2077,'Semrush Data'!$A$1:$A$20000,0),MATCH("Volume",'Semrush Data'!$A$1:$Z$1,0)),"")</f>
        <v/>
      </c>
      <c r="H2077" s="6" t="str">
        <f aca="false">IFERROR(INDEX('Semrush Data'!$A$1:$Z$20000,MATCH(A2077,'Semrush Data'!$A$1:$A$20000,0),MATCH("Keyword Difficulty*",'Semrush Data'!$A$1:$Z$1,0)),"")</f>
        <v/>
      </c>
      <c r="I2077" s="29" t="str">
        <f aca="false">IFERROR(INDEX('Semrush Data'!$A$1:$Z$20000,MATCH(A2077,'Semrush Data'!$A$1:$A$20000,0),MATCH("CPC*",'Semrush Data'!$A$1:$Z$1,0)),"")</f>
        <v/>
      </c>
      <c r="J2077" s="6" t="str">
        <f aca="false">IFERROR(INDEX('Semrush Data'!$A$1:$Z$20000,MATCH(A2077,'Semrush Data'!$A$1:$A$20000,0),MATCH("Intent",'Semrush Data'!$A$1:$Z$1,0)),"")</f>
        <v/>
      </c>
    </row>
    <row r="2078" customFormat="false" ht="15" hidden="false" customHeight="true" outlineLevel="0" collapsed="false">
      <c r="A2078" s="6" t="s">
        <v>1636</v>
      </c>
      <c r="B2078" s="6" t="s">
        <v>1415</v>
      </c>
      <c r="C2078" s="6" t="n">
        <v>3</v>
      </c>
      <c r="D2078" s="6" t="n">
        <v>21</v>
      </c>
      <c r="E2078" s="6" t="n">
        <v>1</v>
      </c>
      <c r="F2078" s="6" t="s">
        <v>605</v>
      </c>
      <c r="G2078" s="28" t="str">
        <f aca="false">IFERROR(INDEX('Semrush Data'!$A$1:$Z$20000,MATCH(A2078,'Semrush Data'!$A$1:$A$20000,0),MATCH("Volume",'Semrush Data'!$A$1:$Z$1,0)),"")</f>
        <v/>
      </c>
      <c r="H2078" s="6" t="str">
        <f aca="false">IFERROR(INDEX('Semrush Data'!$A$1:$Z$20000,MATCH(A2078,'Semrush Data'!$A$1:$A$20000,0),MATCH("Keyword Difficulty*",'Semrush Data'!$A$1:$Z$1,0)),"")</f>
        <v/>
      </c>
      <c r="I2078" s="29" t="str">
        <f aca="false">IFERROR(INDEX('Semrush Data'!$A$1:$Z$20000,MATCH(A2078,'Semrush Data'!$A$1:$A$20000,0),MATCH("CPC*",'Semrush Data'!$A$1:$Z$1,0)),"")</f>
        <v/>
      </c>
      <c r="J2078" s="6" t="str">
        <f aca="false">IFERROR(INDEX('Semrush Data'!$A$1:$Z$20000,MATCH(A2078,'Semrush Data'!$A$1:$A$20000,0),MATCH("Intent",'Semrush Data'!$A$1:$Z$1,0)),"")</f>
        <v/>
      </c>
    </row>
    <row r="2079" customFormat="false" ht="15" hidden="false" customHeight="true" outlineLevel="0" collapsed="false">
      <c r="A2079" s="6" t="s">
        <v>1463</v>
      </c>
      <c r="B2079" s="6" t="s">
        <v>1415</v>
      </c>
      <c r="C2079" s="6" t="n">
        <v>3</v>
      </c>
      <c r="D2079" s="6" t="n">
        <v>21</v>
      </c>
      <c r="E2079" s="6" t="n">
        <v>1</v>
      </c>
      <c r="F2079" s="6" t="s">
        <v>404</v>
      </c>
      <c r="G2079" s="28" t="str">
        <f aca="false">IFERROR(INDEX('Semrush Data'!$A$1:$Z$20000,MATCH(A2079,'Semrush Data'!$A$1:$A$20000,0),MATCH("Volume",'Semrush Data'!$A$1:$Z$1,0)),"")</f>
        <v/>
      </c>
      <c r="H2079" s="6" t="str">
        <f aca="false">IFERROR(INDEX('Semrush Data'!$A$1:$Z$20000,MATCH(A2079,'Semrush Data'!$A$1:$A$20000,0),MATCH("Keyword Difficulty*",'Semrush Data'!$A$1:$Z$1,0)),"")</f>
        <v/>
      </c>
      <c r="I2079" s="29" t="str">
        <f aca="false">IFERROR(INDEX('Semrush Data'!$A$1:$Z$20000,MATCH(A2079,'Semrush Data'!$A$1:$A$20000,0),MATCH("CPC*",'Semrush Data'!$A$1:$Z$1,0)),"")</f>
        <v/>
      </c>
      <c r="J2079" s="6" t="str">
        <f aca="false">IFERROR(INDEX('Semrush Data'!$A$1:$Z$20000,MATCH(A2079,'Semrush Data'!$A$1:$A$20000,0),MATCH("Intent",'Semrush Data'!$A$1:$Z$1,0)),"")</f>
        <v/>
      </c>
    </row>
    <row r="2080" customFormat="false" ht="15" hidden="false" customHeight="true" outlineLevel="0" collapsed="false">
      <c r="A2080" s="6" t="s">
        <v>1931</v>
      </c>
      <c r="B2080" s="6" t="s">
        <v>1415</v>
      </c>
      <c r="C2080" s="6" t="n">
        <v>3</v>
      </c>
      <c r="D2080" s="6" t="n">
        <v>21</v>
      </c>
      <c r="E2080" s="6" t="n">
        <v>1</v>
      </c>
      <c r="F2080" s="6" t="s">
        <v>895</v>
      </c>
      <c r="G2080" s="28" t="str">
        <f aca="false">IFERROR(INDEX('Semrush Data'!$A$1:$Z$20000,MATCH(A2080,'Semrush Data'!$A$1:$A$20000,0),MATCH("Volume",'Semrush Data'!$A$1:$Z$1,0)),"")</f>
        <v/>
      </c>
      <c r="H2080" s="6" t="str">
        <f aca="false">IFERROR(INDEX('Semrush Data'!$A$1:$Z$20000,MATCH(A2080,'Semrush Data'!$A$1:$A$20000,0),MATCH("Keyword Difficulty*",'Semrush Data'!$A$1:$Z$1,0)),"")</f>
        <v/>
      </c>
      <c r="I2080" s="29" t="str">
        <f aca="false">IFERROR(INDEX('Semrush Data'!$A$1:$Z$20000,MATCH(A2080,'Semrush Data'!$A$1:$A$20000,0),MATCH("CPC*",'Semrush Data'!$A$1:$Z$1,0)),"")</f>
        <v/>
      </c>
      <c r="J2080" s="6" t="str">
        <f aca="false">IFERROR(INDEX('Semrush Data'!$A$1:$Z$20000,MATCH(A2080,'Semrush Data'!$A$1:$A$20000,0),MATCH("Intent",'Semrush Data'!$A$1:$Z$1,0)),"")</f>
        <v/>
      </c>
    </row>
    <row r="2081" customFormat="false" ht="15" hidden="false" customHeight="true" outlineLevel="0" collapsed="false">
      <c r="A2081" s="6" t="s">
        <v>1835</v>
      </c>
      <c r="B2081" s="6" t="s">
        <v>1415</v>
      </c>
      <c r="C2081" s="6" t="n">
        <v>3</v>
      </c>
      <c r="D2081" s="6" t="n">
        <v>21</v>
      </c>
      <c r="E2081" s="6" t="n">
        <v>1</v>
      </c>
      <c r="F2081" s="6" t="s">
        <v>808</v>
      </c>
      <c r="G2081" s="28" t="str">
        <f aca="false">IFERROR(INDEX('Semrush Data'!$A$1:$Z$20000,MATCH(A2081,'Semrush Data'!$A$1:$A$20000,0),MATCH("Volume",'Semrush Data'!$A$1:$Z$1,0)),"")</f>
        <v/>
      </c>
      <c r="H2081" s="6" t="str">
        <f aca="false">IFERROR(INDEX('Semrush Data'!$A$1:$Z$20000,MATCH(A2081,'Semrush Data'!$A$1:$A$20000,0),MATCH("Keyword Difficulty*",'Semrush Data'!$A$1:$Z$1,0)),"")</f>
        <v/>
      </c>
      <c r="I2081" s="29" t="str">
        <f aca="false">IFERROR(INDEX('Semrush Data'!$A$1:$Z$20000,MATCH(A2081,'Semrush Data'!$A$1:$A$20000,0),MATCH("CPC*",'Semrush Data'!$A$1:$Z$1,0)),"")</f>
        <v/>
      </c>
      <c r="J2081" s="6" t="str">
        <f aca="false">IFERROR(INDEX('Semrush Data'!$A$1:$Z$20000,MATCH(A2081,'Semrush Data'!$A$1:$A$20000,0),MATCH("Intent",'Semrush Data'!$A$1:$Z$1,0)),"")</f>
        <v/>
      </c>
    </row>
    <row r="2082" customFormat="false" ht="15" hidden="false" customHeight="true" outlineLevel="0" collapsed="false">
      <c r="A2082" s="6" t="s">
        <v>1841</v>
      </c>
      <c r="B2082" s="6" t="s">
        <v>1415</v>
      </c>
      <c r="C2082" s="6" t="n">
        <v>3</v>
      </c>
      <c r="D2082" s="6" t="n">
        <v>21</v>
      </c>
      <c r="E2082" s="6" t="n">
        <v>1</v>
      </c>
      <c r="F2082" s="6" t="s">
        <v>813</v>
      </c>
      <c r="G2082" s="28" t="str">
        <f aca="false">IFERROR(INDEX('Semrush Data'!$A$1:$Z$20000,MATCH(A2082,'Semrush Data'!$A$1:$A$20000,0),MATCH("Volume",'Semrush Data'!$A$1:$Z$1,0)),"")</f>
        <v/>
      </c>
      <c r="H2082" s="6" t="str">
        <f aca="false">IFERROR(INDEX('Semrush Data'!$A$1:$Z$20000,MATCH(A2082,'Semrush Data'!$A$1:$A$20000,0),MATCH("Keyword Difficulty*",'Semrush Data'!$A$1:$Z$1,0)),"")</f>
        <v/>
      </c>
      <c r="I2082" s="29" t="str">
        <f aca="false">IFERROR(INDEX('Semrush Data'!$A$1:$Z$20000,MATCH(A2082,'Semrush Data'!$A$1:$A$20000,0),MATCH("CPC*",'Semrush Data'!$A$1:$Z$1,0)),"")</f>
        <v/>
      </c>
      <c r="J2082" s="6" t="str">
        <f aca="false">IFERROR(INDEX('Semrush Data'!$A$1:$Z$20000,MATCH(A2082,'Semrush Data'!$A$1:$A$20000,0),MATCH("Intent",'Semrush Data'!$A$1:$Z$1,0)),"")</f>
        <v/>
      </c>
    </row>
    <row r="2083" customFormat="false" ht="15" hidden="false" customHeight="true" outlineLevel="0" collapsed="false">
      <c r="A2083" s="6" t="s">
        <v>1853</v>
      </c>
      <c r="B2083" s="6" t="s">
        <v>1415</v>
      </c>
      <c r="C2083" s="6" t="n">
        <v>3</v>
      </c>
      <c r="D2083" s="6" t="n">
        <v>21</v>
      </c>
      <c r="E2083" s="6" t="n">
        <v>1</v>
      </c>
      <c r="F2083" s="6" t="s">
        <v>824</v>
      </c>
      <c r="G2083" s="28" t="str">
        <f aca="false">IFERROR(INDEX('Semrush Data'!$A$1:$Z$20000,MATCH(A2083,'Semrush Data'!$A$1:$A$20000,0),MATCH("Volume",'Semrush Data'!$A$1:$Z$1,0)),"")</f>
        <v/>
      </c>
      <c r="H2083" s="6" t="str">
        <f aca="false">IFERROR(INDEX('Semrush Data'!$A$1:$Z$20000,MATCH(A2083,'Semrush Data'!$A$1:$A$20000,0),MATCH("Keyword Difficulty*",'Semrush Data'!$A$1:$Z$1,0)),"")</f>
        <v/>
      </c>
      <c r="I2083" s="29" t="str">
        <f aca="false">IFERROR(INDEX('Semrush Data'!$A$1:$Z$20000,MATCH(A2083,'Semrush Data'!$A$1:$A$20000,0),MATCH("CPC*",'Semrush Data'!$A$1:$Z$1,0)),"")</f>
        <v/>
      </c>
      <c r="J2083" s="6" t="str">
        <f aca="false">IFERROR(INDEX('Semrush Data'!$A$1:$Z$20000,MATCH(A2083,'Semrush Data'!$A$1:$A$20000,0),MATCH("Intent",'Semrush Data'!$A$1:$Z$1,0)),"")</f>
        <v/>
      </c>
    </row>
    <row r="2084" customFormat="false" ht="15" hidden="false" customHeight="true" outlineLevel="0" collapsed="false">
      <c r="A2084" s="6" t="s">
        <v>1718</v>
      </c>
      <c r="B2084" s="6" t="s">
        <v>1415</v>
      </c>
      <c r="C2084" s="6" t="n">
        <v>3</v>
      </c>
      <c r="D2084" s="6" t="n">
        <v>21</v>
      </c>
      <c r="E2084" s="6" t="n">
        <v>1</v>
      </c>
      <c r="F2084" s="6" t="s">
        <v>697</v>
      </c>
      <c r="G2084" s="28" t="str">
        <f aca="false">IFERROR(INDEX('Semrush Data'!$A$1:$Z$20000,MATCH(A2084,'Semrush Data'!$A$1:$A$20000,0),MATCH("Volume",'Semrush Data'!$A$1:$Z$1,0)),"")</f>
        <v/>
      </c>
      <c r="H2084" s="6" t="str">
        <f aca="false">IFERROR(INDEX('Semrush Data'!$A$1:$Z$20000,MATCH(A2084,'Semrush Data'!$A$1:$A$20000,0),MATCH("Keyword Difficulty*",'Semrush Data'!$A$1:$Z$1,0)),"")</f>
        <v/>
      </c>
      <c r="I2084" s="29" t="str">
        <f aca="false">IFERROR(INDEX('Semrush Data'!$A$1:$Z$20000,MATCH(A2084,'Semrush Data'!$A$1:$A$20000,0),MATCH("CPC*",'Semrush Data'!$A$1:$Z$1,0)),"")</f>
        <v/>
      </c>
      <c r="J2084" s="6" t="str">
        <f aca="false">IFERROR(INDEX('Semrush Data'!$A$1:$Z$20000,MATCH(A2084,'Semrush Data'!$A$1:$A$20000,0),MATCH("Intent",'Semrush Data'!$A$1:$Z$1,0)),"")</f>
        <v/>
      </c>
    </row>
    <row r="2085" customFormat="false" ht="15" hidden="false" customHeight="true" outlineLevel="0" collapsed="false">
      <c r="A2085" s="6" t="s">
        <v>1745</v>
      </c>
      <c r="B2085" s="6" t="s">
        <v>1415</v>
      </c>
      <c r="C2085" s="6" t="n">
        <v>3</v>
      </c>
      <c r="D2085" s="6" t="n">
        <v>21</v>
      </c>
      <c r="E2085" s="6" t="n">
        <v>1</v>
      </c>
      <c r="F2085" s="6" t="s">
        <v>724</v>
      </c>
      <c r="G2085" s="28" t="str">
        <f aca="false">IFERROR(INDEX('Semrush Data'!$A$1:$Z$20000,MATCH(A2085,'Semrush Data'!$A$1:$A$20000,0),MATCH("Volume",'Semrush Data'!$A$1:$Z$1,0)),"")</f>
        <v/>
      </c>
      <c r="H2085" s="6" t="str">
        <f aca="false">IFERROR(INDEX('Semrush Data'!$A$1:$Z$20000,MATCH(A2085,'Semrush Data'!$A$1:$A$20000,0),MATCH("Keyword Difficulty*",'Semrush Data'!$A$1:$Z$1,0)),"")</f>
        <v/>
      </c>
      <c r="I2085" s="29" t="str">
        <f aca="false">IFERROR(INDEX('Semrush Data'!$A$1:$Z$20000,MATCH(A2085,'Semrush Data'!$A$1:$A$20000,0),MATCH("CPC*",'Semrush Data'!$A$1:$Z$1,0)),"")</f>
        <v/>
      </c>
      <c r="J2085" s="6" t="str">
        <f aca="false">IFERROR(INDEX('Semrush Data'!$A$1:$Z$20000,MATCH(A2085,'Semrush Data'!$A$1:$A$20000,0),MATCH("Intent",'Semrush Data'!$A$1:$Z$1,0)),"")</f>
        <v/>
      </c>
    </row>
    <row r="2086" customFormat="false" ht="15" hidden="false" customHeight="true" outlineLevel="0" collapsed="false">
      <c r="A2086" s="6" t="s">
        <v>1642</v>
      </c>
      <c r="B2086" s="6" t="s">
        <v>1415</v>
      </c>
      <c r="C2086" s="6" t="n">
        <v>3</v>
      </c>
      <c r="D2086" s="6" t="n">
        <v>21</v>
      </c>
      <c r="E2086" s="6" t="n">
        <v>1</v>
      </c>
      <c r="F2086" s="6" t="s">
        <v>611</v>
      </c>
      <c r="G2086" s="28" t="str">
        <f aca="false">IFERROR(INDEX('Semrush Data'!$A$1:$Z$20000,MATCH(A2086,'Semrush Data'!$A$1:$A$20000,0),MATCH("Volume",'Semrush Data'!$A$1:$Z$1,0)),"")</f>
        <v/>
      </c>
      <c r="H2086" s="6" t="str">
        <f aca="false">IFERROR(INDEX('Semrush Data'!$A$1:$Z$20000,MATCH(A2086,'Semrush Data'!$A$1:$A$20000,0),MATCH("Keyword Difficulty*",'Semrush Data'!$A$1:$Z$1,0)),"")</f>
        <v/>
      </c>
      <c r="I2086" s="29" t="str">
        <f aca="false">IFERROR(INDEX('Semrush Data'!$A$1:$Z$20000,MATCH(A2086,'Semrush Data'!$A$1:$A$20000,0),MATCH("CPC*",'Semrush Data'!$A$1:$Z$1,0)),"")</f>
        <v/>
      </c>
      <c r="J2086" s="6" t="str">
        <f aca="false">IFERROR(INDEX('Semrush Data'!$A$1:$Z$20000,MATCH(A2086,'Semrush Data'!$A$1:$A$20000,0),MATCH("Intent",'Semrush Data'!$A$1:$Z$1,0)),"")</f>
        <v/>
      </c>
    </row>
    <row r="2087" customFormat="false" ht="15" hidden="false" customHeight="true" outlineLevel="0" collapsed="false">
      <c r="A2087" s="6" t="s">
        <v>1500</v>
      </c>
      <c r="B2087" s="6" t="s">
        <v>1415</v>
      </c>
      <c r="C2087" s="6" t="n">
        <v>3</v>
      </c>
      <c r="D2087" s="6" t="n">
        <v>21</v>
      </c>
      <c r="E2087" s="6" t="n">
        <v>1</v>
      </c>
      <c r="F2087" s="6" t="s">
        <v>447</v>
      </c>
      <c r="G2087" s="28" t="str">
        <f aca="false">IFERROR(INDEX('Semrush Data'!$A$1:$Z$20000,MATCH(A2087,'Semrush Data'!$A$1:$A$20000,0),MATCH("Volume",'Semrush Data'!$A$1:$Z$1,0)),"")</f>
        <v/>
      </c>
      <c r="H2087" s="6" t="str">
        <f aca="false">IFERROR(INDEX('Semrush Data'!$A$1:$Z$20000,MATCH(A2087,'Semrush Data'!$A$1:$A$20000,0),MATCH("Keyword Difficulty*",'Semrush Data'!$A$1:$Z$1,0)),"")</f>
        <v/>
      </c>
      <c r="I2087" s="29" t="str">
        <f aca="false">IFERROR(INDEX('Semrush Data'!$A$1:$Z$20000,MATCH(A2087,'Semrush Data'!$A$1:$A$20000,0),MATCH("CPC*",'Semrush Data'!$A$1:$Z$1,0)),"")</f>
        <v/>
      </c>
      <c r="J2087" s="6" t="str">
        <f aca="false">IFERROR(INDEX('Semrush Data'!$A$1:$Z$20000,MATCH(A2087,'Semrush Data'!$A$1:$A$20000,0),MATCH("Intent",'Semrush Data'!$A$1:$Z$1,0)),"")</f>
        <v/>
      </c>
    </row>
    <row r="2088" customFormat="false" ht="15" hidden="false" customHeight="true" outlineLevel="0" collapsed="false">
      <c r="A2088" s="6" t="s">
        <v>1925</v>
      </c>
      <c r="B2088" s="6" t="s">
        <v>1415</v>
      </c>
      <c r="C2088" s="6" t="n">
        <v>3</v>
      </c>
      <c r="D2088" s="6" t="n">
        <v>21</v>
      </c>
      <c r="E2088" s="6" t="n">
        <v>1</v>
      </c>
      <c r="F2088" s="6" t="s">
        <v>890</v>
      </c>
      <c r="G2088" s="28" t="str">
        <f aca="false">IFERROR(INDEX('Semrush Data'!$A$1:$Z$20000,MATCH(A2088,'Semrush Data'!$A$1:$A$20000,0),MATCH("Volume",'Semrush Data'!$A$1:$Z$1,0)),"")</f>
        <v/>
      </c>
      <c r="H2088" s="6" t="str">
        <f aca="false">IFERROR(INDEX('Semrush Data'!$A$1:$Z$20000,MATCH(A2088,'Semrush Data'!$A$1:$A$20000,0),MATCH("Keyword Difficulty*",'Semrush Data'!$A$1:$Z$1,0)),"")</f>
        <v/>
      </c>
      <c r="I2088" s="29" t="str">
        <f aca="false">IFERROR(INDEX('Semrush Data'!$A$1:$Z$20000,MATCH(A2088,'Semrush Data'!$A$1:$A$20000,0),MATCH("CPC*",'Semrush Data'!$A$1:$Z$1,0)),"")</f>
        <v/>
      </c>
      <c r="J2088" s="6" t="str">
        <f aca="false">IFERROR(INDEX('Semrush Data'!$A$1:$Z$20000,MATCH(A2088,'Semrush Data'!$A$1:$A$20000,0),MATCH("Intent",'Semrush Data'!$A$1:$Z$1,0)),"")</f>
        <v/>
      </c>
    </row>
    <row r="2089" customFormat="false" ht="15" hidden="false" customHeight="true" outlineLevel="0" collapsed="false">
      <c r="A2089" s="6" t="s">
        <v>1649</v>
      </c>
      <c r="B2089" s="6" t="s">
        <v>1415</v>
      </c>
      <c r="C2089" s="6" t="n">
        <v>3</v>
      </c>
      <c r="D2089" s="6" t="n">
        <v>21</v>
      </c>
      <c r="E2089" s="6" t="n">
        <v>1</v>
      </c>
      <c r="F2089" s="6" t="s">
        <v>618</v>
      </c>
      <c r="G2089" s="28" t="str">
        <f aca="false">IFERROR(INDEX('Semrush Data'!$A$1:$Z$20000,MATCH(A2089,'Semrush Data'!$A$1:$A$20000,0),MATCH("Volume",'Semrush Data'!$A$1:$Z$1,0)),"")</f>
        <v/>
      </c>
      <c r="H2089" s="6" t="str">
        <f aca="false">IFERROR(INDEX('Semrush Data'!$A$1:$Z$20000,MATCH(A2089,'Semrush Data'!$A$1:$A$20000,0),MATCH("Keyword Difficulty*",'Semrush Data'!$A$1:$Z$1,0)),"")</f>
        <v/>
      </c>
      <c r="I2089" s="29" t="str">
        <f aca="false">IFERROR(INDEX('Semrush Data'!$A$1:$Z$20000,MATCH(A2089,'Semrush Data'!$A$1:$A$20000,0),MATCH("CPC*",'Semrush Data'!$A$1:$Z$1,0)),"")</f>
        <v/>
      </c>
      <c r="J2089" s="6" t="str">
        <f aca="false">IFERROR(INDEX('Semrush Data'!$A$1:$Z$20000,MATCH(A2089,'Semrush Data'!$A$1:$A$20000,0),MATCH("Intent",'Semrush Data'!$A$1:$Z$1,0)),"")</f>
        <v/>
      </c>
    </row>
    <row r="2090" customFormat="false" ht="15" hidden="false" customHeight="true" outlineLevel="0" collapsed="false">
      <c r="A2090" s="6" t="s">
        <v>1528</v>
      </c>
      <c r="B2090" s="6" t="s">
        <v>1415</v>
      </c>
      <c r="C2090" s="6" t="n">
        <v>3</v>
      </c>
      <c r="D2090" s="6" t="n">
        <v>21</v>
      </c>
      <c r="E2090" s="6" t="n">
        <v>1</v>
      </c>
      <c r="F2090" s="6" t="s">
        <v>480</v>
      </c>
      <c r="G2090" s="28" t="str">
        <f aca="false">IFERROR(INDEX('Semrush Data'!$A$1:$Z$20000,MATCH(A2090,'Semrush Data'!$A$1:$A$20000,0),MATCH("Volume",'Semrush Data'!$A$1:$Z$1,0)),"")</f>
        <v/>
      </c>
      <c r="H2090" s="6" t="str">
        <f aca="false">IFERROR(INDEX('Semrush Data'!$A$1:$Z$20000,MATCH(A2090,'Semrush Data'!$A$1:$A$20000,0),MATCH("Keyword Difficulty*",'Semrush Data'!$A$1:$Z$1,0)),"")</f>
        <v/>
      </c>
      <c r="I2090" s="29" t="str">
        <f aca="false">IFERROR(INDEX('Semrush Data'!$A$1:$Z$20000,MATCH(A2090,'Semrush Data'!$A$1:$A$20000,0),MATCH("CPC*",'Semrush Data'!$A$1:$Z$1,0)),"")</f>
        <v/>
      </c>
      <c r="J2090" s="6" t="str">
        <f aca="false">IFERROR(INDEX('Semrush Data'!$A$1:$Z$20000,MATCH(A2090,'Semrush Data'!$A$1:$A$20000,0),MATCH("Intent",'Semrush Data'!$A$1:$Z$1,0)),"")</f>
        <v/>
      </c>
    </row>
    <row r="2091" customFormat="false" ht="15" hidden="false" customHeight="true" outlineLevel="0" collapsed="false">
      <c r="A2091" s="6" t="s">
        <v>1446</v>
      </c>
      <c r="B2091" s="6" t="s">
        <v>1415</v>
      </c>
      <c r="C2091" s="6" t="n">
        <v>3</v>
      </c>
      <c r="D2091" s="6" t="n">
        <v>21</v>
      </c>
      <c r="E2091" s="6" t="n">
        <v>3</v>
      </c>
      <c r="F2091" s="6" t="s">
        <v>6864</v>
      </c>
      <c r="G2091" s="28" t="str">
        <f aca="false">IFERROR(INDEX('Semrush Data'!$A$1:$Z$20000,MATCH(A2091,'Semrush Data'!$A$1:$A$20000,0),MATCH("Volume",'Semrush Data'!$A$1:$Z$1,0)),"")</f>
        <v/>
      </c>
      <c r="H2091" s="6" t="str">
        <f aca="false">IFERROR(INDEX('Semrush Data'!$A$1:$Z$20000,MATCH(A2091,'Semrush Data'!$A$1:$A$20000,0),MATCH("Keyword Difficulty*",'Semrush Data'!$A$1:$Z$1,0)),"")</f>
        <v/>
      </c>
      <c r="I2091" s="29" t="str">
        <f aca="false">IFERROR(INDEX('Semrush Data'!$A$1:$Z$20000,MATCH(A2091,'Semrush Data'!$A$1:$A$20000,0),MATCH("CPC*",'Semrush Data'!$A$1:$Z$1,0)),"")</f>
        <v/>
      </c>
      <c r="J2091" s="6" t="str">
        <f aca="false">IFERROR(INDEX('Semrush Data'!$A$1:$Z$20000,MATCH(A2091,'Semrush Data'!$A$1:$A$20000,0),MATCH("Intent",'Semrush Data'!$A$1:$Z$1,0)),"")</f>
        <v/>
      </c>
    </row>
    <row r="2092" customFormat="false" ht="15" hidden="false" customHeight="true" outlineLevel="0" collapsed="false">
      <c r="A2092" s="6" t="s">
        <v>1889</v>
      </c>
      <c r="B2092" s="6" t="s">
        <v>1415</v>
      </c>
      <c r="C2092" s="6" t="n">
        <v>3</v>
      </c>
      <c r="D2092" s="6" t="n">
        <v>21</v>
      </c>
      <c r="E2092" s="6" t="n">
        <v>1</v>
      </c>
      <c r="F2092" s="6" t="s">
        <v>856</v>
      </c>
      <c r="G2092" s="28" t="str">
        <f aca="false">IFERROR(INDEX('Semrush Data'!$A$1:$Z$20000,MATCH(A2092,'Semrush Data'!$A$1:$A$20000,0),MATCH("Volume",'Semrush Data'!$A$1:$Z$1,0)),"")</f>
        <v/>
      </c>
      <c r="H2092" s="6" t="str">
        <f aca="false">IFERROR(INDEX('Semrush Data'!$A$1:$Z$20000,MATCH(A2092,'Semrush Data'!$A$1:$A$20000,0),MATCH("Keyword Difficulty*",'Semrush Data'!$A$1:$Z$1,0)),"")</f>
        <v/>
      </c>
      <c r="I2092" s="29" t="str">
        <f aca="false">IFERROR(INDEX('Semrush Data'!$A$1:$Z$20000,MATCH(A2092,'Semrush Data'!$A$1:$A$20000,0),MATCH("CPC*",'Semrush Data'!$A$1:$Z$1,0)),"")</f>
        <v/>
      </c>
      <c r="J2092" s="6" t="str">
        <f aca="false">IFERROR(INDEX('Semrush Data'!$A$1:$Z$20000,MATCH(A2092,'Semrush Data'!$A$1:$A$20000,0),MATCH("Intent",'Semrush Data'!$A$1:$Z$1,0)),"")</f>
        <v/>
      </c>
    </row>
    <row r="2093" customFormat="false" ht="15" hidden="false" customHeight="true" outlineLevel="0" collapsed="false">
      <c r="A2093" s="6" t="s">
        <v>1919</v>
      </c>
      <c r="B2093" s="6" t="s">
        <v>1415</v>
      </c>
      <c r="C2093" s="6" t="n">
        <v>3</v>
      </c>
      <c r="D2093" s="6" t="n">
        <v>21</v>
      </c>
      <c r="E2093" s="6" t="n">
        <v>1</v>
      </c>
      <c r="F2093" s="6" t="s">
        <v>883</v>
      </c>
      <c r="G2093" s="28" t="str">
        <f aca="false">IFERROR(INDEX('Semrush Data'!$A$1:$Z$20000,MATCH(A2093,'Semrush Data'!$A$1:$A$20000,0),MATCH("Volume",'Semrush Data'!$A$1:$Z$1,0)),"")</f>
        <v/>
      </c>
      <c r="H2093" s="6" t="str">
        <f aca="false">IFERROR(INDEX('Semrush Data'!$A$1:$Z$20000,MATCH(A2093,'Semrush Data'!$A$1:$A$20000,0),MATCH("Keyword Difficulty*",'Semrush Data'!$A$1:$Z$1,0)),"")</f>
        <v/>
      </c>
      <c r="I2093" s="29" t="str">
        <f aca="false">IFERROR(INDEX('Semrush Data'!$A$1:$Z$20000,MATCH(A2093,'Semrush Data'!$A$1:$A$20000,0),MATCH("CPC*",'Semrush Data'!$A$1:$Z$1,0)),"")</f>
        <v/>
      </c>
      <c r="J2093" s="6" t="str">
        <f aca="false">IFERROR(INDEX('Semrush Data'!$A$1:$Z$20000,MATCH(A2093,'Semrush Data'!$A$1:$A$20000,0),MATCH("Intent",'Semrush Data'!$A$1:$Z$1,0)),"")</f>
        <v/>
      </c>
    </row>
    <row r="2094" customFormat="false" ht="15" hidden="false" customHeight="true" outlineLevel="0" collapsed="false">
      <c r="A2094" s="6" t="s">
        <v>1658</v>
      </c>
      <c r="B2094" s="6" t="s">
        <v>1415</v>
      </c>
      <c r="C2094" s="6" t="n">
        <v>3</v>
      </c>
      <c r="D2094" s="6" t="n">
        <v>21</v>
      </c>
      <c r="E2094" s="6" t="n">
        <v>1</v>
      </c>
      <c r="F2094" s="6" t="s">
        <v>629</v>
      </c>
      <c r="G2094" s="28" t="str">
        <f aca="false">IFERROR(INDEX('Semrush Data'!$A$1:$Z$20000,MATCH(A2094,'Semrush Data'!$A$1:$A$20000,0),MATCH("Volume",'Semrush Data'!$A$1:$Z$1,0)),"")</f>
        <v/>
      </c>
      <c r="H2094" s="6" t="str">
        <f aca="false">IFERROR(INDEX('Semrush Data'!$A$1:$Z$20000,MATCH(A2094,'Semrush Data'!$A$1:$A$20000,0),MATCH("Keyword Difficulty*",'Semrush Data'!$A$1:$Z$1,0)),"")</f>
        <v/>
      </c>
      <c r="I2094" s="29" t="str">
        <f aca="false">IFERROR(INDEX('Semrush Data'!$A$1:$Z$20000,MATCH(A2094,'Semrush Data'!$A$1:$A$20000,0),MATCH("CPC*",'Semrush Data'!$A$1:$Z$1,0)),"")</f>
        <v/>
      </c>
      <c r="J2094" s="6" t="str">
        <f aca="false">IFERROR(INDEX('Semrush Data'!$A$1:$Z$20000,MATCH(A2094,'Semrush Data'!$A$1:$A$20000,0),MATCH("Intent",'Semrush Data'!$A$1:$Z$1,0)),"")</f>
        <v/>
      </c>
    </row>
    <row r="2095" customFormat="false" ht="15" hidden="false" customHeight="true" outlineLevel="0" collapsed="false">
      <c r="A2095" s="6" t="s">
        <v>1535</v>
      </c>
      <c r="B2095" s="6" t="s">
        <v>1415</v>
      </c>
      <c r="C2095" s="6" t="n">
        <v>3</v>
      </c>
      <c r="D2095" s="6" t="n">
        <v>21</v>
      </c>
      <c r="E2095" s="6" t="n">
        <v>1</v>
      </c>
      <c r="F2095" s="6" t="s">
        <v>489</v>
      </c>
      <c r="G2095" s="28" t="str">
        <f aca="false">IFERROR(INDEX('Semrush Data'!$A$1:$Z$20000,MATCH(A2095,'Semrush Data'!$A$1:$A$20000,0),MATCH("Volume",'Semrush Data'!$A$1:$Z$1,0)),"")</f>
        <v/>
      </c>
      <c r="H2095" s="6" t="str">
        <f aca="false">IFERROR(INDEX('Semrush Data'!$A$1:$Z$20000,MATCH(A2095,'Semrush Data'!$A$1:$A$20000,0),MATCH("Keyword Difficulty*",'Semrush Data'!$A$1:$Z$1,0)),"")</f>
        <v/>
      </c>
      <c r="I2095" s="29" t="str">
        <f aca="false">IFERROR(INDEX('Semrush Data'!$A$1:$Z$20000,MATCH(A2095,'Semrush Data'!$A$1:$A$20000,0),MATCH("CPC*",'Semrush Data'!$A$1:$Z$1,0)),"")</f>
        <v/>
      </c>
      <c r="J2095" s="6" t="str">
        <f aca="false">IFERROR(INDEX('Semrush Data'!$A$1:$Z$20000,MATCH(A2095,'Semrush Data'!$A$1:$A$20000,0),MATCH("Intent",'Semrush Data'!$A$1:$Z$1,0)),"")</f>
        <v/>
      </c>
    </row>
    <row r="2096" customFormat="false" ht="15" hidden="false" customHeight="true" outlineLevel="0" collapsed="false">
      <c r="A2096" s="6" t="s">
        <v>1664</v>
      </c>
      <c r="B2096" s="6" t="s">
        <v>1415</v>
      </c>
      <c r="C2096" s="6" t="n">
        <v>3</v>
      </c>
      <c r="D2096" s="6" t="n">
        <v>21</v>
      </c>
      <c r="E2096" s="6" t="n">
        <v>1</v>
      </c>
      <c r="F2096" s="6" t="s">
        <v>637</v>
      </c>
      <c r="G2096" s="28" t="str">
        <f aca="false">IFERROR(INDEX('Semrush Data'!$A$1:$Z$20000,MATCH(A2096,'Semrush Data'!$A$1:$A$20000,0),MATCH("Volume",'Semrush Data'!$A$1:$Z$1,0)),"")</f>
        <v/>
      </c>
      <c r="H2096" s="6" t="str">
        <f aca="false">IFERROR(INDEX('Semrush Data'!$A$1:$Z$20000,MATCH(A2096,'Semrush Data'!$A$1:$A$20000,0),MATCH("Keyword Difficulty*",'Semrush Data'!$A$1:$Z$1,0)),"")</f>
        <v/>
      </c>
      <c r="I2096" s="29" t="str">
        <f aca="false">IFERROR(INDEX('Semrush Data'!$A$1:$Z$20000,MATCH(A2096,'Semrush Data'!$A$1:$A$20000,0),MATCH("CPC*",'Semrush Data'!$A$1:$Z$1,0)),"")</f>
        <v/>
      </c>
      <c r="J2096" s="6" t="str">
        <f aca="false">IFERROR(INDEX('Semrush Data'!$A$1:$Z$20000,MATCH(A2096,'Semrush Data'!$A$1:$A$20000,0),MATCH("Intent",'Semrush Data'!$A$1:$Z$1,0)),"")</f>
        <v/>
      </c>
    </row>
    <row r="2097" customFormat="false" ht="15" hidden="false" customHeight="true" outlineLevel="0" collapsed="false">
      <c r="A2097" s="6" t="s">
        <v>1541</v>
      </c>
      <c r="B2097" s="6" t="s">
        <v>1415</v>
      </c>
      <c r="C2097" s="6" t="n">
        <v>3</v>
      </c>
      <c r="D2097" s="6" t="n">
        <v>21</v>
      </c>
      <c r="E2097" s="6" t="n">
        <v>1</v>
      </c>
      <c r="F2097" s="6" t="s">
        <v>496</v>
      </c>
      <c r="G2097" s="28" t="str">
        <f aca="false">IFERROR(INDEX('Semrush Data'!$A$1:$Z$20000,MATCH(A2097,'Semrush Data'!$A$1:$A$20000,0),MATCH("Volume",'Semrush Data'!$A$1:$Z$1,0)),"")</f>
        <v/>
      </c>
      <c r="H2097" s="6" t="str">
        <f aca="false">IFERROR(INDEX('Semrush Data'!$A$1:$Z$20000,MATCH(A2097,'Semrush Data'!$A$1:$A$20000,0),MATCH("Keyword Difficulty*",'Semrush Data'!$A$1:$Z$1,0)),"")</f>
        <v/>
      </c>
      <c r="I2097" s="29" t="str">
        <f aca="false">IFERROR(INDEX('Semrush Data'!$A$1:$Z$20000,MATCH(A2097,'Semrush Data'!$A$1:$A$20000,0),MATCH("CPC*",'Semrush Data'!$A$1:$Z$1,0)),"")</f>
        <v/>
      </c>
      <c r="J2097" s="6" t="str">
        <f aca="false">IFERROR(INDEX('Semrush Data'!$A$1:$Z$20000,MATCH(A2097,'Semrush Data'!$A$1:$A$20000,0),MATCH("Intent",'Semrush Data'!$A$1:$Z$1,0)),"")</f>
        <v/>
      </c>
    </row>
    <row r="2098" customFormat="false" ht="15" hidden="false" customHeight="true" outlineLevel="0" collapsed="false">
      <c r="A2098" s="6" t="s">
        <v>1895</v>
      </c>
      <c r="B2098" s="6" t="s">
        <v>1415</v>
      </c>
      <c r="C2098" s="6" t="n">
        <v>3</v>
      </c>
      <c r="D2098" s="6" t="n">
        <v>21</v>
      </c>
      <c r="E2098" s="6" t="n">
        <v>1</v>
      </c>
      <c r="F2098" s="6" t="s">
        <v>862</v>
      </c>
      <c r="G2098" s="28" t="str">
        <f aca="false">IFERROR(INDEX('Semrush Data'!$A$1:$Z$20000,MATCH(A2098,'Semrush Data'!$A$1:$A$20000,0),MATCH("Volume",'Semrush Data'!$A$1:$Z$1,0)),"")</f>
        <v/>
      </c>
      <c r="H2098" s="6" t="str">
        <f aca="false">IFERROR(INDEX('Semrush Data'!$A$1:$Z$20000,MATCH(A2098,'Semrush Data'!$A$1:$A$20000,0),MATCH("Keyword Difficulty*",'Semrush Data'!$A$1:$Z$1,0)),"")</f>
        <v/>
      </c>
      <c r="I2098" s="29" t="str">
        <f aca="false">IFERROR(INDEX('Semrush Data'!$A$1:$Z$20000,MATCH(A2098,'Semrush Data'!$A$1:$A$20000,0),MATCH("CPC*",'Semrush Data'!$A$1:$Z$1,0)),"")</f>
        <v/>
      </c>
      <c r="J2098" s="6" t="str">
        <f aca="false">IFERROR(INDEX('Semrush Data'!$A$1:$Z$20000,MATCH(A2098,'Semrush Data'!$A$1:$A$20000,0),MATCH("Intent",'Semrush Data'!$A$1:$Z$1,0)),"")</f>
        <v/>
      </c>
    </row>
    <row r="2099" customFormat="false" ht="15" hidden="false" customHeight="true" outlineLevel="0" collapsed="false">
      <c r="A2099" s="6" t="s">
        <v>1937</v>
      </c>
      <c r="B2099" s="6" t="s">
        <v>1415</v>
      </c>
      <c r="C2099" s="6" t="n">
        <v>3</v>
      </c>
      <c r="D2099" s="6" t="n">
        <v>21</v>
      </c>
      <c r="E2099" s="6" t="n">
        <v>1</v>
      </c>
      <c r="F2099" s="6" t="s">
        <v>900</v>
      </c>
      <c r="G2099" s="28" t="str">
        <f aca="false">IFERROR(INDEX('Semrush Data'!$A$1:$Z$20000,MATCH(A2099,'Semrush Data'!$A$1:$A$20000,0),MATCH("Volume",'Semrush Data'!$A$1:$Z$1,0)),"")</f>
        <v/>
      </c>
      <c r="H2099" s="6" t="str">
        <f aca="false">IFERROR(INDEX('Semrush Data'!$A$1:$Z$20000,MATCH(A2099,'Semrush Data'!$A$1:$A$20000,0),MATCH("Keyword Difficulty*",'Semrush Data'!$A$1:$Z$1,0)),"")</f>
        <v/>
      </c>
      <c r="I2099" s="29" t="str">
        <f aca="false">IFERROR(INDEX('Semrush Data'!$A$1:$Z$20000,MATCH(A2099,'Semrush Data'!$A$1:$A$20000,0),MATCH("CPC*",'Semrush Data'!$A$1:$Z$1,0)),"")</f>
        <v/>
      </c>
      <c r="J2099" s="6" t="str">
        <f aca="false">IFERROR(INDEX('Semrush Data'!$A$1:$Z$20000,MATCH(A2099,'Semrush Data'!$A$1:$A$20000,0),MATCH("Intent",'Semrush Data'!$A$1:$Z$1,0)),"")</f>
        <v/>
      </c>
    </row>
    <row r="2100" customFormat="false" ht="15" hidden="false" customHeight="true" outlineLevel="0" collapsed="false">
      <c r="A2100" s="6" t="s">
        <v>1670</v>
      </c>
      <c r="B2100" s="6" t="s">
        <v>1415</v>
      </c>
      <c r="C2100" s="6" t="n">
        <v>3</v>
      </c>
      <c r="D2100" s="6" t="n">
        <v>21</v>
      </c>
      <c r="E2100" s="6" t="n">
        <v>1</v>
      </c>
      <c r="F2100" s="6" t="s">
        <v>644</v>
      </c>
      <c r="G2100" s="28" t="str">
        <f aca="false">IFERROR(INDEX('Semrush Data'!$A$1:$Z$20000,MATCH(A2100,'Semrush Data'!$A$1:$A$20000,0),MATCH("Volume",'Semrush Data'!$A$1:$Z$1,0)),"")</f>
        <v/>
      </c>
      <c r="H2100" s="6" t="str">
        <f aca="false">IFERROR(INDEX('Semrush Data'!$A$1:$Z$20000,MATCH(A2100,'Semrush Data'!$A$1:$A$20000,0),MATCH("Keyword Difficulty*",'Semrush Data'!$A$1:$Z$1,0)),"")</f>
        <v/>
      </c>
      <c r="I2100" s="29" t="str">
        <f aca="false">IFERROR(INDEX('Semrush Data'!$A$1:$Z$20000,MATCH(A2100,'Semrush Data'!$A$1:$A$20000,0),MATCH("CPC*",'Semrush Data'!$A$1:$Z$1,0)),"")</f>
        <v/>
      </c>
      <c r="J2100" s="6" t="str">
        <f aca="false">IFERROR(INDEX('Semrush Data'!$A$1:$Z$20000,MATCH(A2100,'Semrush Data'!$A$1:$A$20000,0),MATCH("Intent",'Semrush Data'!$A$1:$Z$1,0)),"")</f>
        <v/>
      </c>
    </row>
    <row r="2101" customFormat="false" ht="15" hidden="false" customHeight="true" outlineLevel="0" collapsed="false">
      <c r="A2101" s="6" t="s">
        <v>1725</v>
      </c>
      <c r="B2101" s="6" t="s">
        <v>1415</v>
      </c>
      <c r="C2101" s="6" t="n">
        <v>3</v>
      </c>
      <c r="D2101" s="6" t="n">
        <v>21</v>
      </c>
      <c r="E2101" s="6" t="n">
        <v>1</v>
      </c>
      <c r="F2101" s="6" t="s">
        <v>704</v>
      </c>
      <c r="G2101" s="28" t="str">
        <f aca="false">IFERROR(INDEX('Semrush Data'!$A$1:$Z$20000,MATCH(A2101,'Semrush Data'!$A$1:$A$20000,0),MATCH("Volume",'Semrush Data'!$A$1:$Z$1,0)),"")</f>
        <v/>
      </c>
      <c r="H2101" s="6" t="str">
        <f aca="false">IFERROR(INDEX('Semrush Data'!$A$1:$Z$20000,MATCH(A2101,'Semrush Data'!$A$1:$A$20000,0),MATCH("Keyword Difficulty*",'Semrush Data'!$A$1:$Z$1,0)),"")</f>
        <v/>
      </c>
      <c r="I2101" s="29" t="str">
        <f aca="false">IFERROR(INDEX('Semrush Data'!$A$1:$Z$20000,MATCH(A2101,'Semrush Data'!$A$1:$A$20000,0),MATCH("CPC*",'Semrush Data'!$A$1:$Z$1,0)),"")</f>
        <v/>
      </c>
      <c r="J2101" s="6" t="str">
        <f aca="false">IFERROR(INDEX('Semrush Data'!$A$1:$Z$20000,MATCH(A2101,'Semrush Data'!$A$1:$A$20000,0),MATCH("Intent",'Semrush Data'!$A$1:$Z$1,0)),"")</f>
        <v/>
      </c>
    </row>
    <row r="2102" customFormat="false" ht="15" hidden="false" customHeight="true" outlineLevel="0" collapsed="false">
      <c r="A2102" s="6" t="s">
        <v>1678</v>
      </c>
      <c r="B2102" s="6" t="s">
        <v>1415</v>
      </c>
      <c r="C2102" s="6" t="n">
        <v>3</v>
      </c>
      <c r="D2102" s="6" t="n">
        <v>22</v>
      </c>
      <c r="E2102" s="6" t="n">
        <v>1</v>
      </c>
      <c r="F2102" s="6" t="s">
        <v>653</v>
      </c>
      <c r="G2102" s="28" t="str">
        <f aca="false">IFERROR(INDEX('Semrush Data'!$A$1:$Z$20000,MATCH(A2102,'Semrush Data'!$A$1:$A$20000,0),MATCH("Volume",'Semrush Data'!$A$1:$Z$1,0)),"")</f>
        <v/>
      </c>
      <c r="H2102" s="6" t="str">
        <f aca="false">IFERROR(INDEX('Semrush Data'!$A$1:$Z$20000,MATCH(A2102,'Semrush Data'!$A$1:$A$20000,0),MATCH("Keyword Difficulty*",'Semrush Data'!$A$1:$Z$1,0)),"")</f>
        <v/>
      </c>
      <c r="I2102" s="29" t="str">
        <f aca="false">IFERROR(INDEX('Semrush Data'!$A$1:$Z$20000,MATCH(A2102,'Semrush Data'!$A$1:$A$20000,0),MATCH("CPC*",'Semrush Data'!$A$1:$Z$1,0)),"")</f>
        <v/>
      </c>
      <c r="J2102" s="6" t="str">
        <f aca="false">IFERROR(INDEX('Semrush Data'!$A$1:$Z$20000,MATCH(A2102,'Semrush Data'!$A$1:$A$20000,0),MATCH("Intent",'Semrush Data'!$A$1:$Z$1,0)),"")</f>
        <v/>
      </c>
    </row>
    <row r="2103" customFormat="false" ht="15" hidden="false" customHeight="true" outlineLevel="0" collapsed="false">
      <c r="A2103" s="6" t="s">
        <v>1738</v>
      </c>
      <c r="B2103" s="6" t="s">
        <v>1415</v>
      </c>
      <c r="C2103" s="6" t="n">
        <v>3</v>
      </c>
      <c r="D2103" s="6" t="n">
        <v>22</v>
      </c>
      <c r="E2103" s="6" t="n">
        <v>1</v>
      </c>
      <c r="F2103" s="6" t="s">
        <v>717</v>
      </c>
      <c r="G2103" s="28" t="str">
        <f aca="false">IFERROR(INDEX('Semrush Data'!$A$1:$Z$20000,MATCH(A2103,'Semrush Data'!$A$1:$A$20000,0),MATCH("Volume",'Semrush Data'!$A$1:$Z$1,0)),"")</f>
        <v/>
      </c>
      <c r="H2103" s="6" t="str">
        <f aca="false">IFERROR(INDEX('Semrush Data'!$A$1:$Z$20000,MATCH(A2103,'Semrush Data'!$A$1:$A$20000,0),MATCH("Keyword Difficulty*",'Semrush Data'!$A$1:$Z$1,0)),"")</f>
        <v/>
      </c>
      <c r="I2103" s="29" t="str">
        <f aca="false">IFERROR(INDEX('Semrush Data'!$A$1:$Z$20000,MATCH(A2103,'Semrush Data'!$A$1:$A$20000,0),MATCH("CPC*",'Semrush Data'!$A$1:$Z$1,0)),"")</f>
        <v/>
      </c>
      <c r="J2103" s="6" t="str">
        <f aca="false">IFERROR(INDEX('Semrush Data'!$A$1:$Z$20000,MATCH(A2103,'Semrush Data'!$A$1:$A$20000,0),MATCH("Intent",'Semrush Data'!$A$1:$Z$1,0)),"")</f>
        <v/>
      </c>
    </row>
    <row r="2104" customFormat="false" ht="15" hidden="false" customHeight="true" outlineLevel="0" collapsed="false">
      <c r="A2104" s="6" t="s">
        <v>1547</v>
      </c>
      <c r="B2104" s="6" t="s">
        <v>1415</v>
      </c>
      <c r="C2104" s="6" t="n">
        <v>3</v>
      </c>
      <c r="D2104" s="6" t="n">
        <v>22</v>
      </c>
      <c r="E2104" s="6" t="n">
        <v>1</v>
      </c>
      <c r="F2104" s="6" t="s">
        <v>503</v>
      </c>
      <c r="G2104" s="28" t="str">
        <f aca="false">IFERROR(INDEX('Semrush Data'!$A$1:$Z$20000,MATCH(A2104,'Semrush Data'!$A$1:$A$20000,0),MATCH("Volume",'Semrush Data'!$A$1:$Z$1,0)),"")</f>
        <v/>
      </c>
      <c r="H2104" s="6" t="str">
        <f aca="false">IFERROR(INDEX('Semrush Data'!$A$1:$Z$20000,MATCH(A2104,'Semrush Data'!$A$1:$A$20000,0),MATCH("Keyword Difficulty*",'Semrush Data'!$A$1:$Z$1,0)),"")</f>
        <v/>
      </c>
      <c r="I2104" s="29" t="str">
        <f aca="false">IFERROR(INDEX('Semrush Data'!$A$1:$Z$20000,MATCH(A2104,'Semrush Data'!$A$1:$A$20000,0),MATCH("CPC*",'Semrush Data'!$A$1:$Z$1,0)),"")</f>
        <v/>
      </c>
      <c r="J2104" s="6" t="str">
        <f aca="false">IFERROR(INDEX('Semrush Data'!$A$1:$Z$20000,MATCH(A2104,'Semrush Data'!$A$1:$A$20000,0),MATCH("Intent",'Semrush Data'!$A$1:$Z$1,0)),"")</f>
        <v/>
      </c>
    </row>
    <row r="2105" customFormat="false" ht="15" hidden="false" customHeight="true" outlineLevel="0" collapsed="false">
      <c r="A2105" s="6" t="s">
        <v>1685</v>
      </c>
      <c r="B2105" s="6" t="s">
        <v>1415</v>
      </c>
      <c r="C2105" s="6" t="n">
        <v>3</v>
      </c>
      <c r="D2105" s="6" t="n">
        <v>22</v>
      </c>
      <c r="E2105" s="6" t="n">
        <v>2</v>
      </c>
      <c r="F2105" s="6" t="s">
        <v>6865</v>
      </c>
      <c r="G2105" s="28" t="str">
        <f aca="false">IFERROR(INDEX('Semrush Data'!$A$1:$Z$20000,MATCH(A2105,'Semrush Data'!$A$1:$A$20000,0),MATCH("Volume",'Semrush Data'!$A$1:$Z$1,0)),"")</f>
        <v/>
      </c>
      <c r="H2105" s="6" t="str">
        <f aca="false">IFERROR(INDEX('Semrush Data'!$A$1:$Z$20000,MATCH(A2105,'Semrush Data'!$A$1:$A$20000,0),MATCH("Keyword Difficulty*",'Semrush Data'!$A$1:$Z$1,0)),"")</f>
        <v/>
      </c>
      <c r="I2105" s="29" t="str">
        <f aca="false">IFERROR(INDEX('Semrush Data'!$A$1:$Z$20000,MATCH(A2105,'Semrush Data'!$A$1:$A$20000,0),MATCH("CPC*",'Semrush Data'!$A$1:$Z$1,0)),"")</f>
        <v/>
      </c>
      <c r="J2105" s="6" t="str">
        <f aca="false">IFERROR(INDEX('Semrush Data'!$A$1:$Z$20000,MATCH(A2105,'Semrush Data'!$A$1:$A$20000,0),MATCH("Intent",'Semrush Data'!$A$1:$Z$1,0)),"")</f>
        <v/>
      </c>
    </row>
    <row r="2106" customFormat="false" ht="15" hidden="false" customHeight="true" outlineLevel="0" collapsed="false">
      <c r="A2106" s="6" t="s">
        <v>1751</v>
      </c>
      <c r="B2106" s="6" t="s">
        <v>1415</v>
      </c>
      <c r="C2106" s="6" t="n">
        <v>3</v>
      </c>
      <c r="D2106" s="6" t="n">
        <v>22</v>
      </c>
      <c r="E2106" s="6" t="n">
        <v>1</v>
      </c>
      <c r="F2106" s="6" t="s">
        <v>729</v>
      </c>
      <c r="G2106" s="28" t="str">
        <f aca="false">IFERROR(INDEX('Semrush Data'!$A$1:$Z$20000,MATCH(A2106,'Semrush Data'!$A$1:$A$20000,0),MATCH("Volume",'Semrush Data'!$A$1:$Z$1,0)),"")</f>
        <v/>
      </c>
      <c r="H2106" s="6" t="str">
        <f aca="false">IFERROR(INDEX('Semrush Data'!$A$1:$Z$20000,MATCH(A2106,'Semrush Data'!$A$1:$A$20000,0),MATCH("Keyword Difficulty*",'Semrush Data'!$A$1:$Z$1,0)),"")</f>
        <v/>
      </c>
      <c r="I2106" s="29" t="str">
        <f aca="false">IFERROR(INDEX('Semrush Data'!$A$1:$Z$20000,MATCH(A2106,'Semrush Data'!$A$1:$A$20000,0),MATCH("CPC*",'Semrush Data'!$A$1:$Z$1,0)),"")</f>
        <v/>
      </c>
      <c r="J2106" s="6" t="str">
        <f aca="false">IFERROR(INDEX('Semrush Data'!$A$1:$Z$20000,MATCH(A2106,'Semrush Data'!$A$1:$A$20000,0),MATCH("Intent",'Semrush Data'!$A$1:$Z$1,0)),"")</f>
        <v/>
      </c>
    </row>
    <row r="2107" customFormat="false" ht="15" hidden="false" customHeight="true" outlineLevel="0" collapsed="false">
      <c r="A2107" s="6" t="s">
        <v>1554</v>
      </c>
      <c r="B2107" s="6" t="s">
        <v>1415</v>
      </c>
      <c r="C2107" s="6" t="n">
        <v>3</v>
      </c>
      <c r="D2107" s="6" t="n">
        <v>22</v>
      </c>
      <c r="E2107" s="6" t="n">
        <v>1</v>
      </c>
      <c r="F2107" s="6" t="s">
        <v>512</v>
      </c>
      <c r="G2107" s="28" t="str">
        <f aca="false">IFERROR(INDEX('Semrush Data'!$A$1:$Z$20000,MATCH(A2107,'Semrush Data'!$A$1:$A$20000,0),MATCH("Volume",'Semrush Data'!$A$1:$Z$1,0)),"")</f>
        <v/>
      </c>
      <c r="H2107" s="6" t="str">
        <f aca="false">IFERROR(INDEX('Semrush Data'!$A$1:$Z$20000,MATCH(A2107,'Semrush Data'!$A$1:$A$20000,0),MATCH("Keyword Difficulty*",'Semrush Data'!$A$1:$Z$1,0)),"")</f>
        <v/>
      </c>
      <c r="I2107" s="29" t="str">
        <f aca="false">IFERROR(INDEX('Semrush Data'!$A$1:$Z$20000,MATCH(A2107,'Semrush Data'!$A$1:$A$20000,0),MATCH("CPC*",'Semrush Data'!$A$1:$Z$1,0)),"")</f>
        <v/>
      </c>
      <c r="J2107" s="6" t="str">
        <f aca="false">IFERROR(INDEX('Semrush Data'!$A$1:$Z$20000,MATCH(A2107,'Semrush Data'!$A$1:$A$20000,0),MATCH("Intent",'Semrush Data'!$A$1:$Z$1,0)),"")</f>
        <v/>
      </c>
    </row>
    <row r="2108" customFormat="false" ht="15" hidden="false" customHeight="true" outlineLevel="0" collapsed="false">
      <c r="A2108" s="6" t="s">
        <v>1694</v>
      </c>
      <c r="B2108" s="6" t="s">
        <v>1415</v>
      </c>
      <c r="C2108" s="6" t="n">
        <v>3</v>
      </c>
      <c r="D2108" s="6" t="n">
        <v>22</v>
      </c>
      <c r="E2108" s="6" t="n">
        <v>1</v>
      </c>
      <c r="F2108" s="6" t="s">
        <v>671</v>
      </c>
      <c r="G2108" s="28" t="str">
        <f aca="false">IFERROR(INDEX('Semrush Data'!$A$1:$Z$20000,MATCH(A2108,'Semrush Data'!$A$1:$A$20000,0),MATCH("Volume",'Semrush Data'!$A$1:$Z$1,0)),"")</f>
        <v/>
      </c>
      <c r="H2108" s="6" t="str">
        <f aca="false">IFERROR(INDEX('Semrush Data'!$A$1:$Z$20000,MATCH(A2108,'Semrush Data'!$A$1:$A$20000,0),MATCH("Keyword Difficulty*",'Semrush Data'!$A$1:$Z$1,0)),"")</f>
        <v/>
      </c>
      <c r="I2108" s="29" t="str">
        <f aca="false">IFERROR(INDEX('Semrush Data'!$A$1:$Z$20000,MATCH(A2108,'Semrush Data'!$A$1:$A$20000,0),MATCH("CPC*",'Semrush Data'!$A$1:$Z$1,0)),"")</f>
        <v/>
      </c>
      <c r="J2108" s="6" t="str">
        <f aca="false">IFERROR(INDEX('Semrush Data'!$A$1:$Z$20000,MATCH(A2108,'Semrush Data'!$A$1:$A$20000,0),MATCH("Intent",'Semrush Data'!$A$1:$Z$1,0)),"")</f>
        <v/>
      </c>
    </row>
    <row r="2109" customFormat="false" ht="15" hidden="false" customHeight="true" outlineLevel="0" collapsed="false">
      <c r="A2109" s="6" t="s">
        <v>1561</v>
      </c>
      <c r="B2109" s="6" t="s">
        <v>1415</v>
      </c>
      <c r="C2109" s="6" t="n">
        <v>3</v>
      </c>
      <c r="D2109" s="6" t="n">
        <v>22</v>
      </c>
      <c r="E2109" s="6" t="n">
        <v>1</v>
      </c>
      <c r="F2109" s="6" t="s">
        <v>519</v>
      </c>
      <c r="G2109" s="28" t="str">
        <f aca="false">IFERROR(INDEX('Semrush Data'!$A$1:$Z$20000,MATCH(A2109,'Semrush Data'!$A$1:$A$20000,0),MATCH("Volume",'Semrush Data'!$A$1:$Z$1,0)),"")</f>
        <v/>
      </c>
      <c r="H2109" s="6" t="str">
        <f aca="false">IFERROR(INDEX('Semrush Data'!$A$1:$Z$20000,MATCH(A2109,'Semrush Data'!$A$1:$A$20000,0),MATCH("Keyword Difficulty*",'Semrush Data'!$A$1:$Z$1,0)),"")</f>
        <v/>
      </c>
      <c r="I2109" s="29" t="str">
        <f aca="false">IFERROR(INDEX('Semrush Data'!$A$1:$Z$20000,MATCH(A2109,'Semrush Data'!$A$1:$A$20000,0),MATCH("CPC*",'Semrush Data'!$A$1:$Z$1,0)),"")</f>
        <v/>
      </c>
      <c r="J2109" s="6" t="str">
        <f aca="false">IFERROR(INDEX('Semrush Data'!$A$1:$Z$20000,MATCH(A2109,'Semrush Data'!$A$1:$A$20000,0),MATCH("Intent",'Semrush Data'!$A$1:$Z$1,0)),"")</f>
        <v/>
      </c>
    </row>
    <row r="2110" customFormat="false" ht="15" hidden="false" customHeight="true" outlineLevel="0" collapsed="false">
      <c r="A2110" s="6" t="s">
        <v>1479</v>
      </c>
      <c r="B2110" s="6" t="s">
        <v>1415</v>
      </c>
      <c r="C2110" s="6" t="n">
        <v>3</v>
      </c>
      <c r="D2110" s="6" t="n">
        <v>22</v>
      </c>
      <c r="E2110" s="6" t="n">
        <v>1</v>
      </c>
      <c r="F2110" s="6" t="s">
        <v>423</v>
      </c>
      <c r="G2110" s="28" t="str">
        <f aca="false">IFERROR(INDEX('Semrush Data'!$A$1:$Z$20000,MATCH(A2110,'Semrush Data'!$A$1:$A$20000,0),MATCH("Volume",'Semrush Data'!$A$1:$Z$1,0)),"")</f>
        <v/>
      </c>
      <c r="H2110" s="6" t="str">
        <f aca="false">IFERROR(INDEX('Semrush Data'!$A$1:$Z$20000,MATCH(A2110,'Semrush Data'!$A$1:$A$20000,0),MATCH("Keyword Difficulty*",'Semrush Data'!$A$1:$Z$1,0)),"")</f>
        <v/>
      </c>
      <c r="I2110" s="29" t="str">
        <f aca="false">IFERROR(INDEX('Semrush Data'!$A$1:$Z$20000,MATCH(A2110,'Semrush Data'!$A$1:$A$20000,0),MATCH("CPC*",'Semrush Data'!$A$1:$Z$1,0)),"")</f>
        <v/>
      </c>
      <c r="J2110" s="6" t="str">
        <f aca="false">IFERROR(INDEX('Semrush Data'!$A$1:$Z$20000,MATCH(A2110,'Semrush Data'!$A$1:$A$20000,0),MATCH("Intent",'Semrush Data'!$A$1:$Z$1,0)),"")</f>
        <v/>
      </c>
    </row>
    <row r="2111" customFormat="false" ht="15" hidden="false" customHeight="true" outlineLevel="0" collapsed="false">
      <c r="A2111" s="6" t="s">
        <v>1700</v>
      </c>
      <c r="B2111" s="6" t="s">
        <v>1415</v>
      </c>
      <c r="C2111" s="6" t="n">
        <v>3</v>
      </c>
      <c r="D2111" s="6" t="n">
        <v>22</v>
      </c>
      <c r="E2111" s="6" t="n">
        <v>1</v>
      </c>
      <c r="F2111" s="6" t="s">
        <v>677</v>
      </c>
      <c r="G2111" s="28" t="str">
        <f aca="false">IFERROR(INDEX('Semrush Data'!$A$1:$Z$20000,MATCH(A2111,'Semrush Data'!$A$1:$A$20000,0),MATCH("Volume",'Semrush Data'!$A$1:$Z$1,0)),"")</f>
        <v/>
      </c>
      <c r="H2111" s="6" t="str">
        <f aca="false">IFERROR(INDEX('Semrush Data'!$A$1:$Z$20000,MATCH(A2111,'Semrush Data'!$A$1:$A$20000,0),MATCH("Keyword Difficulty*",'Semrush Data'!$A$1:$Z$1,0)),"")</f>
        <v/>
      </c>
      <c r="I2111" s="29" t="str">
        <f aca="false">IFERROR(INDEX('Semrush Data'!$A$1:$Z$20000,MATCH(A2111,'Semrush Data'!$A$1:$A$20000,0),MATCH("CPC*",'Semrush Data'!$A$1:$Z$1,0)),"")</f>
        <v/>
      </c>
      <c r="J2111" s="6" t="str">
        <f aca="false">IFERROR(INDEX('Semrush Data'!$A$1:$Z$20000,MATCH(A2111,'Semrush Data'!$A$1:$A$20000,0),MATCH("Intent",'Semrush Data'!$A$1:$Z$1,0)),"")</f>
        <v/>
      </c>
    </row>
    <row r="2112" customFormat="false" ht="15" hidden="false" customHeight="true" outlineLevel="0" collapsed="false">
      <c r="A2112" s="6" t="s">
        <v>1707</v>
      </c>
      <c r="B2112" s="6" t="s">
        <v>1415</v>
      </c>
      <c r="C2112" s="6" t="n">
        <v>3</v>
      </c>
      <c r="D2112" s="6" t="n">
        <v>22</v>
      </c>
      <c r="E2112" s="6" t="n">
        <v>1</v>
      </c>
      <c r="F2112" s="6" t="s">
        <v>683</v>
      </c>
      <c r="G2112" s="28" t="str">
        <f aca="false">IFERROR(INDEX('Semrush Data'!$A$1:$Z$20000,MATCH(A2112,'Semrush Data'!$A$1:$A$20000,0),MATCH("Volume",'Semrush Data'!$A$1:$Z$1,0)),"")</f>
        <v/>
      </c>
      <c r="H2112" s="6" t="str">
        <f aca="false">IFERROR(INDEX('Semrush Data'!$A$1:$Z$20000,MATCH(A2112,'Semrush Data'!$A$1:$A$20000,0),MATCH("Keyword Difficulty*",'Semrush Data'!$A$1:$Z$1,0)),"")</f>
        <v/>
      </c>
      <c r="I2112" s="29" t="str">
        <f aca="false">IFERROR(INDEX('Semrush Data'!$A$1:$Z$20000,MATCH(A2112,'Semrush Data'!$A$1:$A$20000,0),MATCH("CPC*",'Semrush Data'!$A$1:$Z$1,0)),"")</f>
        <v/>
      </c>
      <c r="J2112" s="6" t="str">
        <f aca="false">IFERROR(INDEX('Semrush Data'!$A$1:$Z$20000,MATCH(A2112,'Semrush Data'!$A$1:$A$20000,0),MATCH("Intent",'Semrush Data'!$A$1:$Z$1,0)),"")</f>
        <v/>
      </c>
    </row>
    <row r="2113" customFormat="false" ht="15" hidden="false" customHeight="true" outlineLevel="0" collapsed="false">
      <c r="A2113" s="6" t="s">
        <v>1793</v>
      </c>
      <c r="B2113" s="6" t="s">
        <v>1415</v>
      </c>
      <c r="C2113" s="6" t="n">
        <v>3</v>
      </c>
      <c r="D2113" s="6" t="n">
        <v>22</v>
      </c>
      <c r="E2113" s="6" t="n">
        <v>1</v>
      </c>
      <c r="F2113" s="6" t="s">
        <v>768</v>
      </c>
      <c r="G2113" s="28" t="str">
        <f aca="false">IFERROR(INDEX('Semrush Data'!$A$1:$Z$20000,MATCH(A2113,'Semrush Data'!$A$1:$A$20000,0),MATCH("Volume",'Semrush Data'!$A$1:$Z$1,0)),"")</f>
        <v/>
      </c>
      <c r="H2113" s="6" t="str">
        <f aca="false">IFERROR(INDEX('Semrush Data'!$A$1:$Z$20000,MATCH(A2113,'Semrush Data'!$A$1:$A$20000,0),MATCH("Keyword Difficulty*",'Semrush Data'!$A$1:$Z$1,0)),"")</f>
        <v/>
      </c>
      <c r="I2113" s="29" t="str">
        <f aca="false">IFERROR(INDEX('Semrush Data'!$A$1:$Z$20000,MATCH(A2113,'Semrush Data'!$A$1:$A$20000,0),MATCH("CPC*",'Semrush Data'!$A$1:$Z$1,0)),"")</f>
        <v/>
      </c>
      <c r="J2113" s="6" t="str">
        <f aca="false">IFERROR(INDEX('Semrush Data'!$A$1:$Z$20000,MATCH(A2113,'Semrush Data'!$A$1:$A$20000,0),MATCH("Intent",'Semrush Data'!$A$1:$Z$1,0)),"")</f>
        <v/>
      </c>
    </row>
    <row r="2114" customFormat="false" ht="15" hidden="false" customHeight="true" outlineLevel="0" collapsed="false">
      <c r="A2114" s="6" t="s">
        <v>1757</v>
      </c>
      <c r="B2114" s="6" t="s">
        <v>1415</v>
      </c>
      <c r="C2114" s="6" t="n">
        <v>3</v>
      </c>
      <c r="D2114" s="6" t="n">
        <v>22</v>
      </c>
      <c r="E2114" s="6" t="n">
        <v>1</v>
      </c>
      <c r="F2114" s="6" t="s">
        <v>734</v>
      </c>
      <c r="G2114" s="28" t="str">
        <f aca="false">IFERROR(INDEX('Semrush Data'!$A$1:$Z$20000,MATCH(A2114,'Semrush Data'!$A$1:$A$20000,0),MATCH("Volume",'Semrush Data'!$A$1:$Z$1,0)),"")</f>
        <v/>
      </c>
      <c r="H2114" s="6" t="str">
        <f aca="false">IFERROR(INDEX('Semrush Data'!$A$1:$Z$20000,MATCH(A2114,'Semrush Data'!$A$1:$A$20000,0),MATCH("Keyword Difficulty*",'Semrush Data'!$A$1:$Z$1,0)),"")</f>
        <v/>
      </c>
      <c r="I2114" s="29" t="str">
        <f aca="false">IFERROR(INDEX('Semrush Data'!$A$1:$Z$20000,MATCH(A2114,'Semrush Data'!$A$1:$A$20000,0),MATCH("CPC*",'Semrush Data'!$A$1:$Z$1,0)),"")</f>
        <v/>
      </c>
      <c r="J2114" s="6" t="str">
        <f aca="false">IFERROR(INDEX('Semrush Data'!$A$1:$Z$20000,MATCH(A2114,'Semrush Data'!$A$1:$A$20000,0),MATCH("Intent",'Semrush Data'!$A$1:$Z$1,0)),"")</f>
        <v/>
      </c>
    </row>
    <row r="2115" customFormat="false" ht="15" hidden="false" customHeight="true" outlineLevel="0" collapsed="false">
      <c r="A2115" s="6" t="s">
        <v>1829</v>
      </c>
      <c r="B2115" s="6" t="s">
        <v>1415</v>
      </c>
      <c r="C2115" s="6" t="n">
        <v>3</v>
      </c>
      <c r="D2115" s="6" t="n">
        <v>22</v>
      </c>
      <c r="E2115" s="6" t="n">
        <v>1</v>
      </c>
      <c r="F2115" s="6" t="s">
        <v>802</v>
      </c>
      <c r="G2115" s="28" t="str">
        <f aca="false">IFERROR(INDEX('Semrush Data'!$A$1:$Z$20000,MATCH(A2115,'Semrush Data'!$A$1:$A$20000,0),MATCH("Volume",'Semrush Data'!$A$1:$Z$1,0)),"")</f>
        <v/>
      </c>
      <c r="H2115" s="6" t="str">
        <f aca="false">IFERROR(INDEX('Semrush Data'!$A$1:$Z$20000,MATCH(A2115,'Semrush Data'!$A$1:$A$20000,0),MATCH("Keyword Difficulty*",'Semrush Data'!$A$1:$Z$1,0)),"")</f>
        <v/>
      </c>
      <c r="I2115" s="29" t="str">
        <f aca="false">IFERROR(INDEX('Semrush Data'!$A$1:$Z$20000,MATCH(A2115,'Semrush Data'!$A$1:$A$20000,0),MATCH("CPC*",'Semrush Data'!$A$1:$Z$1,0)),"")</f>
        <v/>
      </c>
      <c r="J2115" s="6" t="str">
        <f aca="false">IFERROR(INDEX('Semrush Data'!$A$1:$Z$20000,MATCH(A2115,'Semrush Data'!$A$1:$A$20000,0),MATCH("Intent",'Semrush Data'!$A$1:$Z$1,0)),"")</f>
        <v/>
      </c>
    </row>
    <row r="2116" customFormat="false" ht="15" hidden="false" customHeight="true" outlineLevel="0" collapsed="false">
      <c r="A2116" s="6" t="s">
        <v>1507</v>
      </c>
      <c r="B2116" s="6" t="s">
        <v>1415</v>
      </c>
      <c r="C2116" s="6" t="n">
        <v>3</v>
      </c>
      <c r="D2116" s="6" t="n">
        <v>22</v>
      </c>
      <c r="E2116" s="6" t="n">
        <v>1</v>
      </c>
      <c r="F2116" s="6" t="s">
        <v>454</v>
      </c>
      <c r="G2116" s="28" t="str">
        <f aca="false">IFERROR(INDEX('Semrush Data'!$A$1:$Z$20000,MATCH(A2116,'Semrush Data'!$A$1:$A$20000,0),MATCH("Volume",'Semrush Data'!$A$1:$Z$1,0)),"")</f>
        <v/>
      </c>
      <c r="H2116" s="6" t="str">
        <f aca="false">IFERROR(INDEX('Semrush Data'!$A$1:$Z$20000,MATCH(A2116,'Semrush Data'!$A$1:$A$20000,0),MATCH("Keyword Difficulty*",'Semrush Data'!$A$1:$Z$1,0)),"")</f>
        <v/>
      </c>
      <c r="I2116" s="29" t="str">
        <f aca="false">IFERROR(INDEX('Semrush Data'!$A$1:$Z$20000,MATCH(A2116,'Semrush Data'!$A$1:$A$20000,0),MATCH("CPC*",'Semrush Data'!$A$1:$Z$1,0)),"")</f>
        <v/>
      </c>
      <c r="J2116" s="6" t="str">
        <f aca="false">IFERROR(INDEX('Semrush Data'!$A$1:$Z$20000,MATCH(A2116,'Semrush Data'!$A$1:$A$20000,0),MATCH("Intent",'Semrush Data'!$A$1:$Z$1,0)),"")</f>
        <v/>
      </c>
    </row>
    <row r="2117" customFormat="false" ht="15" hidden="false" customHeight="true" outlineLevel="0" collapsed="false">
      <c r="A2117" s="6" t="s">
        <v>1437</v>
      </c>
      <c r="B2117" s="6" t="s">
        <v>1415</v>
      </c>
      <c r="C2117" s="6" t="n">
        <v>3</v>
      </c>
      <c r="D2117" s="6" t="n">
        <v>22</v>
      </c>
      <c r="E2117" s="6" t="n">
        <v>1</v>
      </c>
      <c r="F2117" s="6" t="s">
        <v>372</v>
      </c>
      <c r="G2117" s="28" t="str">
        <f aca="false">IFERROR(INDEX('Semrush Data'!$A$1:$Z$20000,MATCH(A2117,'Semrush Data'!$A$1:$A$20000,0),MATCH("Volume",'Semrush Data'!$A$1:$Z$1,0)),"")</f>
        <v/>
      </c>
      <c r="H2117" s="6" t="str">
        <f aca="false">IFERROR(INDEX('Semrush Data'!$A$1:$Z$20000,MATCH(A2117,'Semrush Data'!$A$1:$A$20000,0),MATCH("Keyword Difficulty*",'Semrush Data'!$A$1:$Z$1,0)),"")</f>
        <v/>
      </c>
      <c r="I2117" s="29" t="str">
        <f aca="false">IFERROR(INDEX('Semrush Data'!$A$1:$Z$20000,MATCH(A2117,'Semrush Data'!$A$1:$A$20000,0),MATCH("CPC*",'Semrush Data'!$A$1:$Z$1,0)),"")</f>
        <v/>
      </c>
      <c r="J2117" s="6" t="str">
        <f aca="false">IFERROR(INDEX('Semrush Data'!$A$1:$Z$20000,MATCH(A2117,'Semrush Data'!$A$1:$A$20000,0),MATCH("Intent",'Semrush Data'!$A$1:$Z$1,0)),"")</f>
        <v/>
      </c>
    </row>
    <row r="2118" customFormat="false" ht="15" hidden="false" customHeight="true" outlineLevel="0" collapsed="false">
      <c r="A2118" s="6" t="s">
        <v>1763</v>
      </c>
      <c r="B2118" s="6" t="s">
        <v>1415</v>
      </c>
      <c r="C2118" s="6" t="n">
        <v>3</v>
      </c>
      <c r="D2118" s="6" t="n">
        <v>22</v>
      </c>
      <c r="E2118" s="6" t="n">
        <v>1</v>
      </c>
      <c r="F2118" s="6" t="s">
        <v>740</v>
      </c>
      <c r="G2118" s="28" t="str">
        <f aca="false">IFERROR(INDEX('Semrush Data'!$A$1:$Z$20000,MATCH(A2118,'Semrush Data'!$A$1:$A$20000,0),MATCH("Volume",'Semrush Data'!$A$1:$Z$1,0)),"")</f>
        <v/>
      </c>
      <c r="H2118" s="6" t="str">
        <f aca="false">IFERROR(INDEX('Semrush Data'!$A$1:$Z$20000,MATCH(A2118,'Semrush Data'!$A$1:$A$20000,0),MATCH("Keyword Difficulty*",'Semrush Data'!$A$1:$Z$1,0)),"")</f>
        <v/>
      </c>
      <c r="I2118" s="29" t="str">
        <f aca="false">IFERROR(INDEX('Semrush Data'!$A$1:$Z$20000,MATCH(A2118,'Semrush Data'!$A$1:$A$20000,0),MATCH("CPC*",'Semrush Data'!$A$1:$Z$1,0)),"")</f>
        <v/>
      </c>
      <c r="J2118" s="6" t="str">
        <f aca="false">IFERROR(INDEX('Semrush Data'!$A$1:$Z$20000,MATCH(A2118,'Semrush Data'!$A$1:$A$20000,0),MATCH("Intent",'Semrush Data'!$A$1:$Z$1,0)),"")</f>
        <v/>
      </c>
    </row>
    <row r="2119" customFormat="false" ht="15" hidden="false" customHeight="true" outlineLevel="0" collapsed="false">
      <c r="A2119" s="6" t="s">
        <v>1883</v>
      </c>
      <c r="B2119" s="6" t="s">
        <v>1415</v>
      </c>
      <c r="C2119" s="6" t="n">
        <v>3</v>
      </c>
      <c r="D2119" s="6" t="n">
        <v>22</v>
      </c>
      <c r="E2119" s="6" t="n">
        <v>1</v>
      </c>
      <c r="F2119" s="6" t="s">
        <v>851</v>
      </c>
      <c r="G2119" s="28" t="str">
        <f aca="false">IFERROR(INDEX('Semrush Data'!$A$1:$Z$20000,MATCH(A2119,'Semrush Data'!$A$1:$A$20000,0),MATCH("Volume",'Semrush Data'!$A$1:$Z$1,0)),"")</f>
        <v/>
      </c>
      <c r="H2119" s="6" t="str">
        <f aca="false">IFERROR(INDEX('Semrush Data'!$A$1:$Z$20000,MATCH(A2119,'Semrush Data'!$A$1:$A$20000,0),MATCH("Keyword Difficulty*",'Semrush Data'!$A$1:$Z$1,0)),"")</f>
        <v/>
      </c>
      <c r="I2119" s="29" t="str">
        <f aca="false">IFERROR(INDEX('Semrush Data'!$A$1:$Z$20000,MATCH(A2119,'Semrush Data'!$A$1:$A$20000,0),MATCH("CPC*",'Semrush Data'!$A$1:$Z$1,0)),"")</f>
        <v/>
      </c>
      <c r="J2119" s="6" t="str">
        <f aca="false">IFERROR(INDEX('Semrush Data'!$A$1:$Z$20000,MATCH(A2119,'Semrush Data'!$A$1:$A$20000,0),MATCH("Intent",'Semrush Data'!$A$1:$Z$1,0)),"")</f>
        <v/>
      </c>
    </row>
    <row r="2120" customFormat="false" ht="15" hidden="false" customHeight="true" outlineLevel="0" collapsed="false">
      <c r="A2120" s="6" t="s">
        <v>1787</v>
      </c>
      <c r="B2120" s="6" t="s">
        <v>1415</v>
      </c>
      <c r="C2120" s="6" t="n">
        <v>3</v>
      </c>
      <c r="D2120" s="6" t="n">
        <v>22</v>
      </c>
      <c r="E2120" s="6" t="n">
        <v>1</v>
      </c>
      <c r="F2120" s="6" t="s">
        <v>763</v>
      </c>
      <c r="G2120" s="28" t="str">
        <f aca="false">IFERROR(INDEX('Semrush Data'!$A$1:$Z$20000,MATCH(A2120,'Semrush Data'!$A$1:$A$20000,0),MATCH("Volume",'Semrush Data'!$A$1:$Z$1,0)),"")</f>
        <v/>
      </c>
      <c r="H2120" s="6" t="str">
        <f aca="false">IFERROR(INDEX('Semrush Data'!$A$1:$Z$20000,MATCH(A2120,'Semrush Data'!$A$1:$A$20000,0),MATCH("Keyword Difficulty*",'Semrush Data'!$A$1:$Z$1,0)),"")</f>
        <v/>
      </c>
      <c r="I2120" s="29" t="str">
        <f aca="false">IFERROR(INDEX('Semrush Data'!$A$1:$Z$20000,MATCH(A2120,'Semrush Data'!$A$1:$A$20000,0),MATCH("CPC*",'Semrush Data'!$A$1:$Z$1,0)),"")</f>
        <v/>
      </c>
      <c r="J2120" s="6" t="str">
        <f aca="false">IFERROR(INDEX('Semrush Data'!$A$1:$Z$20000,MATCH(A2120,'Semrush Data'!$A$1:$A$20000,0),MATCH("Intent",'Semrush Data'!$A$1:$Z$1,0)),"")</f>
        <v/>
      </c>
    </row>
    <row r="2121" customFormat="false" ht="15" hidden="false" customHeight="true" outlineLevel="0" collapsed="false">
      <c r="A2121" s="6" t="s">
        <v>1471</v>
      </c>
      <c r="B2121" s="6" t="s">
        <v>1415</v>
      </c>
      <c r="C2121" s="6" t="n">
        <v>3</v>
      </c>
      <c r="D2121" s="6" t="n">
        <v>22</v>
      </c>
      <c r="E2121" s="6" t="n">
        <v>1</v>
      </c>
      <c r="F2121" s="6" t="s">
        <v>413</v>
      </c>
      <c r="G2121" s="28" t="str">
        <f aca="false">IFERROR(INDEX('Semrush Data'!$A$1:$Z$20000,MATCH(A2121,'Semrush Data'!$A$1:$A$20000,0),MATCH("Volume",'Semrush Data'!$A$1:$Z$1,0)),"")</f>
        <v/>
      </c>
      <c r="H2121" s="6" t="str">
        <f aca="false">IFERROR(INDEX('Semrush Data'!$A$1:$Z$20000,MATCH(A2121,'Semrush Data'!$A$1:$A$20000,0),MATCH("Keyword Difficulty*",'Semrush Data'!$A$1:$Z$1,0)),"")</f>
        <v/>
      </c>
      <c r="I2121" s="29" t="str">
        <f aca="false">IFERROR(INDEX('Semrush Data'!$A$1:$Z$20000,MATCH(A2121,'Semrush Data'!$A$1:$A$20000,0),MATCH("CPC*",'Semrush Data'!$A$1:$Z$1,0)),"")</f>
        <v/>
      </c>
      <c r="J2121" s="6" t="str">
        <f aca="false">IFERROR(INDEX('Semrush Data'!$A$1:$Z$20000,MATCH(A2121,'Semrush Data'!$A$1:$A$20000,0),MATCH("Intent",'Semrush Data'!$A$1:$Z$1,0)),"")</f>
        <v/>
      </c>
    </row>
    <row r="2122" customFormat="false" ht="15" hidden="false" customHeight="true" outlineLevel="0" collapsed="false">
      <c r="A2122" s="6" t="s">
        <v>1901</v>
      </c>
      <c r="B2122" s="6" t="s">
        <v>1415</v>
      </c>
      <c r="C2122" s="6" t="n">
        <v>3</v>
      </c>
      <c r="D2122" s="6" t="n">
        <v>22</v>
      </c>
      <c r="E2122" s="6" t="n">
        <v>1</v>
      </c>
      <c r="F2122" s="6" t="s">
        <v>868</v>
      </c>
      <c r="G2122" s="28" t="str">
        <f aca="false">IFERROR(INDEX('Semrush Data'!$A$1:$Z$20000,MATCH(A2122,'Semrush Data'!$A$1:$A$20000,0),MATCH("Volume",'Semrush Data'!$A$1:$Z$1,0)),"")</f>
        <v/>
      </c>
      <c r="H2122" s="6" t="str">
        <f aca="false">IFERROR(INDEX('Semrush Data'!$A$1:$Z$20000,MATCH(A2122,'Semrush Data'!$A$1:$A$20000,0),MATCH("Keyword Difficulty*",'Semrush Data'!$A$1:$Z$1,0)),"")</f>
        <v/>
      </c>
      <c r="I2122" s="29" t="str">
        <f aca="false">IFERROR(INDEX('Semrush Data'!$A$1:$Z$20000,MATCH(A2122,'Semrush Data'!$A$1:$A$20000,0),MATCH("CPC*",'Semrush Data'!$A$1:$Z$1,0)),"")</f>
        <v/>
      </c>
      <c r="J2122" s="6" t="str">
        <f aca="false">IFERROR(INDEX('Semrush Data'!$A$1:$Z$20000,MATCH(A2122,'Semrush Data'!$A$1:$A$20000,0),MATCH("Intent",'Semrush Data'!$A$1:$Z$1,0)),"")</f>
        <v/>
      </c>
    </row>
    <row r="2123" customFormat="false" ht="15" hidden="false" customHeight="true" outlineLevel="0" collapsed="false">
      <c r="A2123" s="6" t="s">
        <v>1823</v>
      </c>
      <c r="B2123" s="6" t="s">
        <v>1415</v>
      </c>
      <c r="C2123" s="6" t="n">
        <v>3</v>
      </c>
      <c r="D2123" s="6" t="n">
        <v>22</v>
      </c>
      <c r="E2123" s="6" t="n">
        <v>1</v>
      </c>
      <c r="F2123" s="6" t="s">
        <v>796</v>
      </c>
      <c r="G2123" s="28" t="str">
        <f aca="false">IFERROR(INDEX('Semrush Data'!$A$1:$Z$20000,MATCH(A2123,'Semrush Data'!$A$1:$A$20000,0),MATCH("Volume",'Semrush Data'!$A$1:$Z$1,0)),"")</f>
        <v/>
      </c>
      <c r="H2123" s="6" t="str">
        <f aca="false">IFERROR(INDEX('Semrush Data'!$A$1:$Z$20000,MATCH(A2123,'Semrush Data'!$A$1:$A$20000,0),MATCH("Keyword Difficulty*",'Semrush Data'!$A$1:$Z$1,0)),"")</f>
        <v/>
      </c>
      <c r="I2123" s="29" t="str">
        <f aca="false">IFERROR(INDEX('Semrush Data'!$A$1:$Z$20000,MATCH(A2123,'Semrush Data'!$A$1:$A$20000,0),MATCH("CPC*",'Semrush Data'!$A$1:$Z$1,0)),"")</f>
        <v/>
      </c>
      <c r="J2123" s="6" t="str">
        <f aca="false">IFERROR(INDEX('Semrush Data'!$A$1:$Z$20000,MATCH(A2123,'Semrush Data'!$A$1:$A$20000,0),MATCH("Intent",'Semrush Data'!$A$1:$Z$1,0)),"")</f>
        <v/>
      </c>
    </row>
    <row r="2124" customFormat="false" ht="15" hidden="false" customHeight="true" outlineLevel="0" collapsed="false">
      <c r="A2124" s="6" t="s">
        <v>1871</v>
      </c>
      <c r="B2124" s="6" t="s">
        <v>1415</v>
      </c>
      <c r="C2124" s="6" t="n">
        <v>3</v>
      </c>
      <c r="D2124" s="6" t="n">
        <v>22</v>
      </c>
      <c r="E2124" s="6" t="n">
        <v>1</v>
      </c>
      <c r="F2124" s="6" t="s">
        <v>841</v>
      </c>
      <c r="G2124" s="28" t="str">
        <f aca="false">IFERROR(INDEX('Semrush Data'!$A$1:$Z$20000,MATCH(A2124,'Semrush Data'!$A$1:$A$20000,0),MATCH("Volume",'Semrush Data'!$A$1:$Z$1,0)),"")</f>
        <v/>
      </c>
      <c r="H2124" s="6" t="str">
        <f aca="false">IFERROR(INDEX('Semrush Data'!$A$1:$Z$20000,MATCH(A2124,'Semrush Data'!$A$1:$A$20000,0),MATCH("Keyword Difficulty*",'Semrush Data'!$A$1:$Z$1,0)),"")</f>
        <v/>
      </c>
      <c r="I2124" s="29" t="str">
        <f aca="false">IFERROR(INDEX('Semrush Data'!$A$1:$Z$20000,MATCH(A2124,'Semrush Data'!$A$1:$A$20000,0),MATCH("CPC*",'Semrush Data'!$A$1:$Z$1,0)),"")</f>
        <v/>
      </c>
      <c r="J2124" s="6" t="str">
        <f aca="false">IFERROR(INDEX('Semrush Data'!$A$1:$Z$20000,MATCH(A2124,'Semrush Data'!$A$1:$A$20000,0),MATCH("Intent",'Semrush Data'!$A$1:$Z$1,0)),"")</f>
        <v/>
      </c>
    </row>
    <row r="2125" customFormat="false" ht="15" hidden="false" customHeight="true" outlineLevel="0" collapsed="false">
      <c r="A2125" s="6" t="s">
        <v>1781</v>
      </c>
      <c r="B2125" s="6" t="s">
        <v>1415</v>
      </c>
      <c r="C2125" s="6" t="n">
        <v>3</v>
      </c>
      <c r="D2125" s="6" t="n">
        <v>22</v>
      </c>
      <c r="E2125" s="6" t="n">
        <v>1</v>
      </c>
      <c r="F2125" s="6" t="s">
        <v>758</v>
      </c>
      <c r="G2125" s="28" t="str">
        <f aca="false">IFERROR(INDEX('Semrush Data'!$A$1:$Z$20000,MATCH(A2125,'Semrush Data'!$A$1:$A$20000,0),MATCH("Volume",'Semrush Data'!$A$1:$Z$1,0)),"")</f>
        <v/>
      </c>
      <c r="H2125" s="6" t="str">
        <f aca="false">IFERROR(INDEX('Semrush Data'!$A$1:$Z$20000,MATCH(A2125,'Semrush Data'!$A$1:$A$20000,0),MATCH("Keyword Difficulty*",'Semrush Data'!$A$1:$Z$1,0)),"")</f>
        <v/>
      </c>
      <c r="I2125" s="29" t="str">
        <f aca="false">IFERROR(INDEX('Semrush Data'!$A$1:$Z$20000,MATCH(A2125,'Semrush Data'!$A$1:$A$20000,0),MATCH("CPC*",'Semrush Data'!$A$1:$Z$1,0)),"")</f>
        <v/>
      </c>
      <c r="J2125" s="6" t="str">
        <f aca="false">IFERROR(INDEX('Semrush Data'!$A$1:$Z$20000,MATCH(A2125,'Semrush Data'!$A$1:$A$20000,0),MATCH("Intent",'Semrush Data'!$A$1:$Z$1,0)),"")</f>
        <v/>
      </c>
    </row>
    <row r="2126" customFormat="false" ht="15" hidden="false" customHeight="true" outlineLevel="0" collapsed="false">
      <c r="A2126" s="6" t="s">
        <v>1817</v>
      </c>
      <c r="B2126" s="6" t="s">
        <v>1415</v>
      </c>
      <c r="C2126" s="6" t="n">
        <v>3</v>
      </c>
      <c r="D2126" s="6" t="n">
        <v>22</v>
      </c>
      <c r="E2126" s="6" t="n">
        <v>1</v>
      </c>
      <c r="F2126" s="6" t="s">
        <v>790</v>
      </c>
      <c r="G2126" s="28" t="str">
        <f aca="false">IFERROR(INDEX('Semrush Data'!$A$1:$Z$20000,MATCH(A2126,'Semrush Data'!$A$1:$A$20000,0),MATCH("Volume",'Semrush Data'!$A$1:$Z$1,0)),"")</f>
        <v/>
      </c>
      <c r="H2126" s="6" t="str">
        <f aca="false">IFERROR(INDEX('Semrush Data'!$A$1:$Z$20000,MATCH(A2126,'Semrush Data'!$A$1:$A$20000,0),MATCH("Keyword Difficulty*",'Semrush Data'!$A$1:$Z$1,0)),"")</f>
        <v/>
      </c>
      <c r="I2126" s="29" t="str">
        <f aca="false">IFERROR(INDEX('Semrush Data'!$A$1:$Z$20000,MATCH(A2126,'Semrush Data'!$A$1:$A$20000,0),MATCH("CPC*",'Semrush Data'!$A$1:$Z$1,0)),"")</f>
        <v/>
      </c>
      <c r="J2126" s="6" t="str">
        <f aca="false">IFERROR(INDEX('Semrush Data'!$A$1:$Z$20000,MATCH(A2126,'Semrush Data'!$A$1:$A$20000,0),MATCH("Intent",'Semrush Data'!$A$1:$Z$1,0)),"")</f>
        <v/>
      </c>
    </row>
    <row r="2127" customFormat="false" ht="15" hidden="false" customHeight="true" outlineLevel="0" collapsed="false">
      <c r="A2127" s="6" t="s">
        <v>1865</v>
      </c>
      <c r="B2127" s="6" t="s">
        <v>1415</v>
      </c>
      <c r="C2127" s="6" t="n">
        <v>3</v>
      </c>
      <c r="D2127" s="6" t="n">
        <v>22</v>
      </c>
      <c r="E2127" s="6" t="n">
        <v>1</v>
      </c>
      <c r="F2127" s="6" t="s">
        <v>835</v>
      </c>
      <c r="G2127" s="28" t="str">
        <f aca="false">IFERROR(INDEX('Semrush Data'!$A$1:$Z$20000,MATCH(A2127,'Semrush Data'!$A$1:$A$20000,0),MATCH("Volume",'Semrush Data'!$A$1:$Z$1,0)),"")</f>
        <v/>
      </c>
      <c r="H2127" s="6" t="str">
        <f aca="false">IFERROR(INDEX('Semrush Data'!$A$1:$Z$20000,MATCH(A2127,'Semrush Data'!$A$1:$A$20000,0),MATCH("Keyword Difficulty*",'Semrush Data'!$A$1:$Z$1,0)),"")</f>
        <v/>
      </c>
      <c r="I2127" s="29" t="str">
        <f aca="false">IFERROR(INDEX('Semrush Data'!$A$1:$Z$20000,MATCH(A2127,'Semrush Data'!$A$1:$A$20000,0),MATCH("CPC*",'Semrush Data'!$A$1:$Z$1,0)),"")</f>
        <v/>
      </c>
      <c r="J2127" s="6" t="str">
        <f aca="false">IFERROR(INDEX('Semrush Data'!$A$1:$Z$20000,MATCH(A2127,'Semrush Data'!$A$1:$A$20000,0),MATCH("Intent",'Semrush Data'!$A$1:$Z$1,0)),"")</f>
        <v/>
      </c>
    </row>
    <row r="2128" customFormat="false" ht="15" hidden="false" customHeight="true" outlineLevel="0" collapsed="false">
      <c r="A2128" s="6" t="s">
        <v>1486</v>
      </c>
      <c r="B2128" s="6" t="s">
        <v>1415</v>
      </c>
      <c r="C2128" s="6" t="n">
        <v>3</v>
      </c>
      <c r="D2128" s="6" t="n">
        <v>22</v>
      </c>
      <c r="E2128" s="6" t="n">
        <v>1</v>
      </c>
      <c r="F2128" s="6" t="s">
        <v>432</v>
      </c>
      <c r="G2128" s="28" t="str">
        <f aca="false">IFERROR(INDEX('Semrush Data'!$A$1:$Z$20000,MATCH(A2128,'Semrush Data'!$A$1:$A$20000,0),MATCH("Volume",'Semrush Data'!$A$1:$Z$1,0)),"")</f>
        <v/>
      </c>
      <c r="H2128" s="6" t="str">
        <f aca="false">IFERROR(INDEX('Semrush Data'!$A$1:$Z$20000,MATCH(A2128,'Semrush Data'!$A$1:$A$20000,0),MATCH("Keyword Difficulty*",'Semrush Data'!$A$1:$Z$1,0)),"")</f>
        <v/>
      </c>
      <c r="I2128" s="29" t="str">
        <f aca="false">IFERROR(INDEX('Semrush Data'!$A$1:$Z$20000,MATCH(A2128,'Semrush Data'!$A$1:$A$20000,0),MATCH("CPC*",'Semrush Data'!$A$1:$Z$1,0)),"")</f>
        <v/>
      </c>
      <c r="J2128" s="6" t="str">
        <f aca="false">IFERROR(INDEX('Semrush Data'!$A$1:$Z$20000,MATCH(A2128,'Semrush Data'!$A$1:$A$20000,0),MATCH("Intent",'Semrush Data'!$A$1:$Z$1,0)),"")</f>
        <v/>
      </c>
    </row>
    <row r="2129" customFormat="false" ht="15" hidden="false" customHeight="true" outlineLevel="0" collapsed="false">
      <c r="A2129" s="6" t="s">
        <v>1712</v>
      </c>
      <c r="B2129" s="6" t="s">
        <v>1415</v>
      </c>
      <c r="C2129" s="6" t="n">
        <v>3</v>
      </c>
      <c r="D2129" s="6" t="n">
        <v>22</v>
      </c>
      <c r="E2129" s="6" t="n">
        <v>1</v>
      </c>
      <c r="F2129" s="6" t="s">
        <v>689</v>
      </c>
      <c r="G2129" s="28" t="str">
        <f aca="false">IFERROR(INDEX('Semrush Data'!$A$1:$Z$20000,MATCH(A2129,'Semrush Data'!$A$1:$A$20000,0),MATCH("Volume",'Semrush Data'!$A$1:$Z$1,0)),"")</f>
        <v/>
      </c>
      <c r="H2129" s="6" t="str">
        <f aca="false">IFERROR(INDEX('Semrush Data'!$A$1:$Z$20000,MATCH(A2129,'Semrush Data'!$A$1:$A$20000,0),MATCH("Keyword Difficulty*",'Semrush Data'!$A$1:$Z$1,0)),"")</f>
        <v/>
      </c>
      <c r="I2129" s="29" t="str">
        <f aca="false">IFERROR(INDEX('Semrush Data'!$A$1:$Z$20000,MATCH(A2129,'Semrush Data'!$A$1:$A$20000,0),MATCH("CPC*",'Semrush Data'!$A$1:$Z$1,0)),"")</f>
        <v/>
      </c>
      <c r="J2129" s="6" t="str">
        <f aca="false">IFERROR(INDEX('Semrush Data'!$A$1:$Z$20000,MATCH(A2129,'Semrush Data'!$A$1:$A$20000,0),MATCH("Intent",'Semrush Data'!$A$1:$Z$1,0)),"")</f>
        <v/>
      </c>
    </row>
    <row r="2130" customFormat="false" ht="15" hidden="false" customHeight="true" outlineLevel="0" collapsed="false">
      <c r="A2130" s="6" t="s">
        <v>1569</v>
      </c>
      <c r="B2130" s="6" t="s">
        <v>1415</v>
      </c>
      <c r="C2130" s="6" t="n">
        <v>3</v>
      </c>
      <c r="D2130" s="6" t="n">
        <v>22</v>
      </c>
      <c r="E2130" s="6" t="n">
        <v>1</v>
      </c>
      <c r="F2130" s="6" t="s">
        <v>528</v>
      </c>
      <c r="G2130" s="28" t="str">
        <f aca="false">IFERROR(INDEX('Semrush Data'!$A$1:$Z$20000,MATCH(A2130,'Semrush Data'!$A$1:$A$20000,0),MATCH("Volume",'Semrush Data'!$A$1:$Z$1,0)),"")</f>
        <v/>
      </c>
      <c r="H2130" s="6" t="str">
        <f aca="false">IFERROR(INDEX('Semrush Data'!$A$1:$Z$20000,MATCH(A2130,'Semrush Data'!$A$1:$A$20000,0),MATCH("Keyword Difficulty*",'Semrush Data'!$A$1:$Z$1,0)),"")</f>
        <v/>
      </c>
      <c r="I2130" s="29" t="str">
        <f aca="false">IFERROR(INDEX('Semrush Data'!$A$1:$Z$20000,MATCH(A2130,'Semrush Data'!$A$1:$A$20000,0),MATCH("CPC*",'Semrush Data'!$A$1:$Z$1,0)),"")</f>
        <v/>
      </c>
      <c r="J2130" s="6" t="str">
        <f aca="false">IFERROR(INDEX('Semrush Data'!$A$1:$Z$20000,MATCH(A2130,'Semrush Data'!$A$1:$A$20000,0),MATCH("Intent",'Semrush Data'!$A$1:$Z$1,0)),"")</f>
        <v/>
      </c>
    </row>
    <row r="2131" customFormat="false" ht="15" hidden="false" customHeight="true" outlineLevel="0" collapsed="false">
      <c r="A2131" s="6" t="s">
        <v>1859</v>
      </c>
      <c r="B2131" s="6" t="s">
        <v>1415</v>
      </c>
      <c r="C2131" s="6" t="n">
        <v>3</v>
      </c>
      <c r="D2131" s="6" t="n">
        <v>22</v>
      </c>
      <c r="E2131" s="6" t="n">
        <v>1</v>
      </c>
      <c r="F2131" s="6" t="s">
        <v>829</v>
      </c>
      <c r="G2131" s="28" t="str">
        <f aca="false">IFERROR(INDEX('Semrush Data'!$A$1:$Z$20000,MATCH(A2131,'Semrush Data'!$A$1:$A$20000,0),MATCH("Volume",'Semrush Data'!$A$1:$Z$1,0)),"")</f>
        <v/>
      </c>
      <c r="H2131" s="6" t="str">
        <f aca="false">IFERROR(INDEX('Semrush Data'!$A$1:$Z$20000,MATCH(A2131,'Semrush Data'!$A$1:$A$20000,0),MATCH("Keyword Difficulty*",'Semrush Data'!$A$1:$Z$1,0)),"")</f>
        <v/>
      </c>
      <c r="I2131" s="29" t="str">
        <f aca="false">IFERROR(INDEX('Semrush Data'!$A$1:$Z$20000,MATCH(A2131,'Semrush Data'!$A$1:$A$20000,0),MATCH("CPC*",'Semrush Data'!$A$1:$Z$1,0)),"")</f>
        <v/>
      </c>
      <c r="J2131" s="6" t="str">
        <f aca="false">IFERROR(INDEX('Semrush Data'!$A$1:$Z$20000,MATCH(A2131,'Semrush Data'!$A$1:$A$20000,0),MATCH("Intent",'Semrush Data'!$A$1:$Z$1,0)),"")</f>
        <v/>
      </c>
    </row>
    <row r="2132" customFormat="false" ht="15" hidden="false" customHeight="true" outlineLevel="0" collapsed="false">
      <c r="A2132" s="6" t="s">
        <v>6481</v>
      </c>
      <c r="B2132" s="6" t="s">
        <v>1415</v>
      </c>
      <c r="C2132" s="6" t="n">
        <v>3</v>
      </c>
      <c r="D2132" s="6" t="n">
        <v>22</v>
      </c>
      <c r="E2132" s="6" t="n">
        <v>1</v>
      </c>
      <c r="F2132" s="6" t="s">
        <v>6476</v>
      </c>
      <c r="G2132" s="28" t="str">
        <f aca="false">IFERROR(INDEX('Semrush Data'!$A$1:$Z$20000,MATCH(A2132,'Semrush Data'!$A$1:$A$20000,0),MATCH("Volume",'Semrush Data'!$A$1:$Z$1,0)),"")</f>
        <v/>
      </c>
      <c r="H2132" s="6" t="str">
        <f aca="false">IFERROR(INDEX('Semrush Data'!$A$1:$Z$20000,MATCH(A2132,'Semrush Data'!$A$1:$A$20000,0),MATCH("Keyword Difficulty*",'Semrush Data'!$A$1:$Z$1,0)),"")</f>
        <v/>
      </c>
      <c r="I2132" s="29" t="str">
        <f aca="false">IFERROR(INDEX('Semrush Data'!$A$1:$Z$20000,MATCH(A2132,'Semrush Data'!$A$1:$A$20000,0),MATCH("CPC*",'Semrush Data'!$A$1:$Z$1,0)),"")</f>
        <v/>
      </c>
      <c r="J2132" s="6" t="str">
        <f aca="false">IFERROR(INDEX('Semrush Data'!$A$1:$Z$20000,MATCH(A2132,'Semrush Data'!$A$1:$A$20000,0),MATCH("Intent",'Semrush Data'!$A$1:$Z$1,0)),"")</f>
        <v/>
      </c>
    </row>
    <row r="2133" customFormat="false" ht="15" hidden="false" customHeight="true" outlineLevel="0" collapsed="false">
      <c r="A2133" s="6" t="s">
        <v>6871</v>
      </c>
      <c r="B2133" s="6" t="s">
        <v>239</v>
      </c>
      <c r="C2133" s="6" t="n">
        <v>3</v>
      </c>
      <c r="D2133" s="6" t="n">
        <v>22</v>
      </c>
      <c r="E2133" s="6" t="n">
        <v>1</v>
      </c>
      <c r="F2133" s="6" t="s">
        <v>2448</v>
      </c>
      <c r="G2133" s="28" t="str">
        <f aca="false">IFERROR(INDEX('Semrush Data'!$A$1:$Z$20000,MATCH(A2133,'Semrush Data'!$A$1:$A$20000,0),MATCH("Volume",'Semrush Data'!$A$1:$Z$1,0)),"")</f>
        <v/>
      </c>
      <c r="H2133" s="6" t="str">
        <f aca="false">IFERROR(INDEX('Semrush Data'!$A$1:$Z$20000,MATCH(A2133,'Semrush Data'!$A$1:$A$20000,0),MATCH("Keyword Difficulty*",'Semrush Data'!$A$1:$Z$1,0)),"")</f>
        <v/>
      </c>
      <c r="I2133" s="29" t="str">
        <f aca="false">IFERROR(INDEX('Semrush Data'!$A$1:$Z$20000,MATCH(A2133,'Semrush Data'!$A$1:$A$20000,0),MATCH("CPC*",'Semrush Data'!$A$1:$Z$1,0)),"")</f>
        <v/>
      </c>
      <c r="J2133" s="6" t="str">
        <f aca="false">IFERROR(INDEX('Semrush Data'!$A$1:$Z$20000,MATCH(A2133,'Semrush Data'!$A$1:$A$20000,0),MATCH("Intent",'Semrush Data'!$A$1:$Z$1,0)),"")</f>
        <v/>
      </c>
    </row>
    <row r="2134" customFormat="false" ht="15" hidden="false" customHeight="true" outlineLevel="0" collapsed="false">
      <c r="A2134" s="6" t="s">
        <v>6872</v>
      </c>
      <c r="B2134" s="6" t="s">
        <v>239</v>
      </c>
      <c r="C2134" s="6" t="n">
        <v>3</v>
      </c>
      <c r="D2134" s="6" t="n">
        <v>22</v>
      </c>
      <c r="E2134" s="6" t="n">
        <v>1</v>
      </c>
      <c r="F2134" s="6" t="s">
        <v>2448</v>
      </c>
      <c r="G2134" s="28" t="str">
        <f aca="false">IFERROR(INDEX('Semrush Data'!$A$1:$Z$20000,MATCH(A2134,'Semrush Data'!$A$1:$A$20000,0),MATCH("Volume",'Semrush Data'!$A$1:$Z$1,0)),"")</f>
        <v/>
      </c>
      <c r="H2134" s="6" t="str">
        <f aca="false">IFERROR(INDEX('Semrush Data'!$A$1:$Z$20000,MATCH(A2134,'Semrush Data'!$A$1:$A$20000,0),MATCH("Keyword Difficulty*",'Semrush Data'!$A$1:$Z$1,0)),"")</f>
        <v/>
      </c>
      <c r="I2134" s="29" t="str">
        <f aca="false">IFERROR(INDEX('Semrush Data'!$A$1:$Z$20000,MATCH(A2134,'Semrush Data'!$A$1:$A$20000,0),MATCH("CPC*",'Semrush Data'!$A$1:$Z$1,0)),"")</f>
        <v/>
      </c>
      <c r="J2134" s="6" t="str">
        <f aca="false">IFERROR(INDEX('Semrush Data'!$A$1:$Z$20000,MATCH(A2134,'Semrush Data'!$A$1:$A$20000,0),MATCH("Intent",'Semrush Data'!$A$1:$Z$1,0)),"")</f>
        <v/>
      </c>
    </row>
    <row r="2135" customFormat="false" ht="15" hidden="false" customHeight="true" outlineLevel="0" collapsed="false">
      <c r="A2135" s="6" t="s">
        <v>6873</v>
      </c>
      <c r="B2135" s="6" t="s">
        <v>239</v>
      </c>
      <c r="C2135" s="6" t="n">
        <v>3</v>
      </c>
      <c r="D2135" s="6" t="n">
        <v>22</v>
      </c>
      <c r="E2135" s="6" t="n">
        <v>1</v>
      </c>
      <c r="F2135" s="6" t="s">
        <v>2466</v>
      </c>
      <c r="G2135" s="28" t="str">
        <f aca="false">IFERROR(INDEX('Semrush Data'!$A$1:$Z$20000,MATCH(A2135,'Semrush Data'!$A$1:$A$20000,0),MATCH("Volume",'Semrush Data'!$A$1:$Z$1,0)),"")</f>
        <v/>
      </c>
      <c r="H2135" s="6" t="str">
        <f aca="false">IFERROR(INDEX('Semrush Data'!$A$1:$Z$20000,MATCH(A2135,'Semrush Data'!$A$1:$A$20000,0),MATCH("Keyword Difficulty*",'Semrush Data'!$A$1:$Z$1,0)),"")</f>
        <v/>
      </c>
      <c r="I2135" s="29" t="str">
        <f aca="false">IFERROR(INDEX('Semrush Data'!$A$1:$Z$20000,MATCH(A2135,'Semrush Data'!$A$1:$A$20000,0),MATCH("CPC*",'Semrush Data'!$A$1:$Z$1,0)),"")</f>
        <v/>
      </c>
      <c r="J2135" s="6" t="str">
        <f aca="false">IFERROR(INDEX('Semrush Data'!$A$1:$Z$20000,MATCH(A2135,'Semrush Data'!$A$1:$A$20000,0),MATCH("Intent",'Semrush Data'!$A$1:$Z$1,0)),"")</f>
        <v/>
      </c>
    </row>
    <row r="2136" customFormat="false" ht="15" hidden="false" customHeight="true" outlineLevel="0" collapsed="false">
      <c r="A2136" s="6" t="s">
        <v>6874</v>
      </c>
      <c r="B2136" s="6" t="s">
        <v>239</v>
      </c>
      <c r="C2136" s="6" t="n">
        <v>3</v>
      </c>
      <c r="D2136" s="6" t="n">
        <v>22</v>
      </c>
      <c r="E2136" s="6" t="n">
        <v>1</v>
      </c>
      <c r="F2136" s="6" t="s">
        <v>2466</v>
      </c>
      <c r="G2136" s="28" t="str">
        <f aca="false">IFERROR(INDEX('Semrush Data'!$A$1:$Z$20000,MATCH(A2136,'Semrush Data'!$A$1:$A$20000,0),MATCH("Volume",'Semrush Data'!$A$1:$Z$1,0)),"")</f>
        <v/>
      </c>
      <c r="H2136" s="6" t="str">
        <f aca="false">IFERROR(INDEX('Semrush Data'!$A$1:$Z$20000,MATCH(A2136,'Semrush Data'!$A$1:$A$20000,0),MATCH("Keyword Difficulty*",'Semrush Data'!$A$1:$Z$1,0)),"")</f>
        <v/>
      </c>
      <c r="I2136" s="29" t="str">
        <f aca="false">IFERROR(INDEX('Semrush Data'!$A$1:$Z$20000,MATCH(A2136,'Semrush Data'!$A$1:$A$20000,0),MATCH("CPC*",'Semrush Data'!$A$1:$Z$1,0)),"")</f>
        <v/>
      </c>
      <c r="J2136" s="6" t="str">
        <f aca="false">IFERROR(INDEX('Semrush Data'!$A$1:$Z$20000,MATCH(A2136,'Semrush Data'!$A$1:$A$20000,0),MATCH("Intent",'Semrush Data'!$A$1:$Z$1,0)),"")</f>
        <v/>
      </c>
    </row>
    <row r="2137" customFormat="false" ht="15" hidden="false" customHeight="true" outlineLevel="0" collapsed="false">
      <c r="A2137" s="6" t="s">
        <v>6875</v>
      </c>
      <c r="B2137" s="6" t="s">
        <v>239</v>
      </c>
      <c r="C2137" s="6" t="n">
        <v>3</v>
      </c>
      <c r="D2137" s="6" t="n">
        <v>22</v>
      </c>
      <c r="E2137" s="6" t="n">
        <v>1</v>
      </c>
      <c r="F2137" s="6" t="s">
        <v>2466</v>
      </c>
      <c r="G2137" s="28" t="str">
        <f aca="false">IFERROR(INDEX('Semrush Data'!$A$1:$Z$20000,MATCH(A2137,'Semrush Data'!$A$1:$A$20000,0),MATCH("Volume",'Semrush Data'!$A$1:$Z$1,0)),"")</f>
        <v/>
      </c>
      <c r="H2137" s="6" t="str">
        <f aca="false">IFERROR(INDEX('Semrush Data'!$A$1:$Z$20000,MATCH(A2137,'Semrush Data'!$A$1:$A$20000,0),MATCH("Keyword Difficulty*",'Semrush Data'!$A$1:$Z$1,0)),"")</f>
        <v/>
      </c>
      <c r="I2137" s="29" t="str">
        <f aca="false">IFERROR(INDEX('Semrush Data'!$A$1:$Z$20000,MATCH(A2137,'Semrush Data'!$A$1:$A$20000,0),MATCH("CPC*",'Semrush Data'!$A$1:$Z$1,0)),"")</f>
        <v/>
      </c>
      <c r="J2137" s="6" t="str">
        <f aca="false">IFERROR(INDEX('Semrush Data'!$A$1:$Z$20000,MATCH(A2137,'Semrush Data'!$A$1:$A$20000,0),MATCH("Intent",'Semrush Data'!$A$1:$Z$1,0)),"")</f>
        <v/>
      </c>
    </row>
    <row r="2138" customFormat="false" ht="15" hidden="false" customHeight="true" outlineLevel="0" collapsed="false">
      <c r="A2138" s="6" t="s">
        <v>6876</v>
      </c>
      <c r="B2138" s="6" t="s">
        <v>239</v>
      </c>
      <c r="C2138" s="6" t="n">
        <v>3</v>
      </c>
      <c r="D2138" s="6" t="n">
        <v>22</v>
      </c>
      <c r="E2138" s="6" t="n">
        <v>1</v>
      </c>
      <c r="F2138" s="6" t="s">
        <v>2466</v>
      </c>
      <c r="G2138" s="28" t="str">
        <f aca="false">IFERROR(INDEX('Semrush Data'!$A$1:$Z$20000,MATCH(A2138,'Semrush Data'!$A$1:$A$20000,0),MATCH("Volume",'Semrush Data'!$A$1:$Z$1,0)),"")</f>
        <v/>
      </c>
      <c r="H2138" s="6" t="str">
        <f aca="false">IFERROR(INDEX('Semrush Data'!$A$1:$Z$20000,MATCH(A2138,'Semrush Data'!$A$1:$A$20000,0),MATCH("Keyword Difficulty*",'Semrush Data'!$A$1:$Z$1,0)),"")</f>
        <v/>
      </c>
      <c r="I2138" s="29" t="str">
        <f aca="false">IFERROR(INDEX('Semrush Data'!$A$1:$Z$20000,MATCH(A2138,'Semrush Data'!$A$1:$A$20000,0),MATCH("CPC*",'Semrush Data'!$A$1:$Z$1,0)),"")</f>
        <v/>
      </c>
      <c r="J2138" s="6" t="str">
        <f aca="false">IFERROR(INDEX('Semrush Data'!$A$1:$Z$20000,MATCH(A2138,'Semrush Data'!$A$1:$A$20000,0),MATCH("Intent",'Semrush Data'!$A$1:$Z$1,0)),"")</f>
        <v/>
      </c>
    </row>
    <row r="2139" customFormat="false" ht="15" hidden="false" customHeight="true" outlineLevel="0" collapsed="false">
      <c r="A2139" s="6" t="s">
        <v>6877</v>
      </c>
      <c r="B2139" s="6" t="s">
        <v>239</v>
      </c>
      <c r="C2139" s="6" t="n">
        <v>3</v>
      </c>
      <c r="D2139" s="6" t="n">
        <v>22</v>
      </c>
      <c r="E2139" s="6" t="n">
        <v>1</v>
      </c>
      <c r="F2139" s="6" t="s">
        <v>2466</v>
      </c>
      <c r="G2139" s="28" t="str">
        <f aca="false">IFERROR(INDEX('Semrush Data'!$A$1:$Z$20000,MATCH(A2139,'Semrush Data'!$A$1:$A$20000,0),MATCH("Volume",'Semrush Data'!$A$1:$Z$1,0)),"")</f>
        <v/>
      </c>
      <c r="H2139" s="6" t="str">
        <f aca="false">IFERROR(INDEX('Semrush Data'!$A$1:$Z$20000,MATCH(A2139,'Semrush Data'!$A$1:$A$20000,0),MATCH("Keyword Difficulty*",'Semrush Data'!$A$1:$Z$1,0)),"")</f>
        <v/>
      </c>
      <c r="I2139" s="29" t="str">
        <f aca="false">IFERROR(INDEX('Semrush Data'!$A$1:$Z$20000,MATCH(A2139,'Semrush Data'!$A$1:$A$20000,0),MATCH("CPC*",'Semrush Data'!$A$1:$Z$1,0)),"")</f>
        <v/>
      </c>
      <c r="J2139" s="6" t="str">
        <f aca="false">IFERROR(INDEX('Semrush Data'!$A$1:$Z$20000,MATCH(A2139,'Semrush Data'!$A$1:$A$20000,0),MATCH("Intent",'Semrush Data'!$A$1:$Z$1,0)),"")</f>
        <v/>
      </c>
    </row>
    <row r="2140" customFormat="false" ht="15" hidden="false" customHeight="true" outlineLevel="0" collapsed="false">
      <c r="A2140" s="6" t="s">
        <v>6878</v>
      </c>
      <c r="B2140" s="6" t="s">
        <v>239</v>
      </c>
      <c r="C2140" s="6" t="n">
        <v>3</v>
      </c>
      <c r="D2140" s="6" t="n">
        <v>22</v>
      </c>
      <c r="E2140" s="6" t="n">
        <v>1</v>
      </c>
      <c r="F2140" s="6" t="s">
        <v>2549</v>
      </c>
      <c r="G2140" s="28" t="str">
        <f aca="false">IFERROR(INDEX('Semrush Data'!$A$1:$Z$20000,MATCH(A2140,'Semrush Data'!$A$1:$A$20000,0),MATCH("Volume",'Semrush Data'!$A$1:$Z$1,0)),"")</f>
        <v/>
      </c>
      <c r="H2140" s="6" t="str">
        <f aca="false">IFERROR(INDEX('Semrush Data'!$A$1:$Z$20000,MATCH(A2140,'Semrush Data'!$A$1:$A$20000,0),MATCH("Keyword Difficulty*",'Semrush Data'!$A$1:$Z$1,0)),"")</f>
        <v/>
      </c>
      <c r="I2140" s="29" t="str">
        <f aca="false">IFERROR(INDEX('Semrush Data'!$A$1:$Z$20000,MATCH(A2140,'Semrush Data'!$A$1:$A$20000,0),MATCH("CPC*",'Semrush Data'!$A$1:$Z$1,0)),"")</f>
        <v/>
      </c>
      <c r="J2140" s="6" t="str">
        <f aca="false">IFERROR(INDEX('Semrush Data'!$A$1:$Z$20000,MATCH(A2140,'Semrush Data'!$A$1:$A$20000,0),MATCH("Intent",'Semrush Data'!$A$1:$Z$1,0)),"")</f>
        <v/>
      </c>
    </row>
    <row r="2141" customFormat="false" ht="15" hidden="false" customHeight="true" outlineLevel="0" collapsed="false">
      <c r="A2141" s="6" t="s">
        <v>6879</v>
      </c>
      <c r="B2141" s="6" t="s">
        <v>239</v>
      </c>
      <c r="C2141" s="6" t="n">
        <v>3</v>
      </c>
      <c r="D2141" s="6" t="n">
        <v>22</v>
      </c>
      <c r="E2141" s="6" t="n">
        <v>1</v>
      </c>
      <c r="F2141" s="6" t="s">
        <v>2549</v>
      </c>
      <c r="G2141" s="28" t="str">
        <f aca="false">IFERROR(INDEX('Semrush Data'!$A$1:$Z$20000,MATCH(A2141,'Semrush Data'!$A$1:$A$20000,0),MATCH("Volume",'Semrush Data'!$A$1:$Z$1,0)),"")</f>
        <v/>
      </c>
      <c r="H2141" s="6" t="str">
        <f aca="false">IFERROR(INDEX('Semrush Data'!$A$1:$Z$20000,MATCH(A2141,'Semrush Data'!$A$1:$A$20000,0),MATCH("Keyword Difficulty*",'Semrush Data'!$A$1:$Z$1,0)),"")</f>
        <v/>
      </c>
      <c r="I2141" s="29" t="str">
        <f aca="false">IFERROR(INDEX('Semrush Data'!$A$1:$Z$20000,MATCH(A2141,'Semrush Data'!$A$1:$A$20000,0),MATCH("CPC*",'Semrush Data'!$A$1:$Z$1,0)),"")</f>
        <v/>
      </c>
      <c r="J2141" s="6" t="str">
        <f aca="false">IFERROR(INDEX('Semrush Data'!$A$1:$Z$20000,MATCH(A2141,'Semrush Data'!$A$1:$A$20000,0),MATCH("Intent",'Semrush Data'!$A$1:$Z$1,0)),"")</f>
        <v/>
      </c>
    </row>
    <row r="2142" customFormat="false" ht="15" hidden="false" customHeight="true" outlineLevel="0" collapsed="false">
      <c r="A2142" s="6" t="s">
        <v>6880</v>
      </c>
      <c r="B2142" s="6" t="s">
        <v>239</v>
      </c>
      <c r="C2142" s="6" t="n">
        <v>3</v>
      </c>
      <c r="D2142" s="6" t="n">
        <v>22</v>
      </c>
      <c r="E2142" s="6" t="n">
        <v>1</v>
      </c>
      <c r="F2142" s="6" t="s">
        <v>2492</v>
      </c>
      <c r="G2142" s="28" t="str">
        <f aca="false">IFERROR(INDEX('Semrush Data'!$A$1:$Z$20000,MATCH(A2142,'Semrush Data'!$A$1:$A$20000,0),MATCH("Volume",'Semrush Data'!$A$1:$Z$1,0)),"")</f>
        <v/>
      </c>
      <c r="H2142" s="6" t="str">
        <f aca="false">IFERROR(INDEX('Semrush Data'!$A$1:$Z$20000,MATCH(A2142,'Semrush Data'!$A$1:$A$20000,0),MATCH("Keyword Difficulty*",'Semrush Data'!$A$1:$Z$1,0)),"")</f>
        <v/>
      </c>
      <c r="I2142" s="29" t="str">
        <f aca="false">IFERROR(INDEX('Semrush Data'!$A$1:$Z$20000,MATCH(A2142,'Semrush Data'!$A$1:$A$20000,0),MATCH("CPC*",'Semrush Data'!$A$1:$Z$1,0)),"")</f>
        <v/>
      </c>
      <c r="J2142" s="6" t="str">
        <f aca="false">IFERROR(INDEX('Semrush Data'!$A$1:$Z$20000,MATCH(A2142,'Semrush Data'!$A$1:$A$20000,0),MATCH("Intent",'Semrush Data'!$A$1:$Z$1,0)),"")</f>
        <v/>
      </c>
    </row>
    <row r="2143" customFormat="false" ht="15" hidden="false" customHeight="true" outlineLevel="0" collapsed="false">
      <c r="A2143" s="6" t="s">
        <v>6881</v>
      </c>
      <c r="B2143" s="6" t="s">
        <v>239</v>
      </c>
      <c r="C2143" s="6" t="n">
        <v>3</v>
      </c>
      <c r="D2143" s="6" t="n">
        <v>22</v>
      </c>
      <c r="E2143" s="6" t="n">
        <v>1</v>
      </c>
      <c r="F2143" s="6" t="s">
        <v>2492</v>
      </c>
      <c r="G2143" s="28" t="str">
        <f aca="false">IFERROR(INDEX('Semrush Data'!$A$1:$Z$20000,MATCH(A2143,'Semrush Data'!$A$1:$A$20000,0),MATCH("Volume",'Semrush Data'!$A$1:$Z$1,0)),"")</f>
        <v/>
      </c>
      <c r="H2143" s="6" t="str">
        <f aca="false">IFERROR(INDEX('Semrush Data'!$A$1:$Z$20000,MATCH(A2143,'Semrush Data'!$A$1:$A$20000,0),MATCH("Keyword Difficulty*",'Semrush Data'!$A$1:$Z$1,0)),"")</f>
        <v/>
      </c>
      <c r="I2143" s="29" t="str">
        <f aca="false">IFERROR(INDEX('Semrush Data'!$A$1:$Z$20000,MATCH(A2143,'Semrush Data'!$A$1:$A$20000,0),MATCH("CPC*",'Semrush Data'!$A$1:$Z$1,0)),"")</f>
        <v/>
      </c>
      <c r="J2143" s="6" t="str">
        <f aca="false">IFERROR(INDEX('Semrush Data'!$A$1:$Z$20000,MATCH(A2143,'Semrush Data'!$A$1:$A$20000,0),MATCH("Intent",'Semrush Data'!$A$1:$Z$1,0)),"")</f>
        <v/>
      </c>
    </row>
    <row r="2144" customFormat="false" ht="15" hidden="false" customHeight="true" outlineLevel="0" collapsed="false">
      <c r="A2144" s="6" t="s">
        <v>6882</v>
      </c>
      <c r="B2144" s="6" t="s">
        <v>239</v>
      </c>
      <c r="C2144" s="6" t="n">
        <v>3</v>
      </c>
      <c r="D2144" s="6" t="n">
        <v>22</v>
      </c>
      <c r="E2144" s="6" t="n">
        <v>1</v>
      </c>
      <c r="F2144" s="6" t="s">
        <v>2492</v>
      </c>
      <c r="G2144" s="28" t="str">
        <f aca="false">IFERROR(INDEX('Semrush Data'!$A$1:$Z$20000,MATCH(A2144,'Semrush Data'!$A$1:$A$20000,0),MATCH("Volume",'Semrush Data'!$A$1:$Z$1,0)),"")</f>
        <v/>
      </c>
      <c r="H2144" s="6" t="str">
        <f aca="false">IFERROR(INDEX('Semrush Data'!$A$1:$Z$20000,MATCH(A2144,'Semrush Data'!$A$1:$A$20000,0),MATCH("Keyword Difficulty*",'Semrush Data'!$A$1:$Z$1,0)),"")</f>
        <v/>
      </c>
      <c r="I2144" s="29" t="str">
        <f aca="false">IFERROR(INDEX('Semrush Data'!$A$1:$Z$20000,MATCH(A2144,'Semrush Data'!$A$1:$A$20000,0),MATCH("CPC*",'Semrush Data'!$A$1:$Z$1,0)),"")</f>
        <v/>
      </c>
      <c r="J2144" s="6" t="str">
        <f aca="false">IFERROR(INDEX('Semrush Data'!$A$1:$Z$20000,MATCH(A2144,'Semrush Data'!$A$1:$A$20000,0),MATCH("Intent",'Semrush Data'!$A$1:$Z$1,0)),"")</f>
        <v/>
      </c>
    </row>
    <row r="2145" customFormat="false" ht="15" hidden="false" customHeight="true" outlineLevel="0" collapsed="false">
      <c r="A2145" s="6" t="s">
        <v>6883</v>
      </c>
      <c r="B2145" s="6" t="s">
        <v>239</v>
      </c>
      <c r="C2145" s="6" t="n">
        <v>3</v>
      </c>
      <c r="D2145" s="6" t="n">
        <v>22</v>
      </c>
      <c r="E2145" s="6" t="n">
        <v>1</v>
      </c>
      <c r="F2145" s="6" t="s">
        <v>2477</v>
      </c>
      <c r="G2145" s="28" t="str">
        <f aca="false">IFERROR(INDEX('Semrush Data'!$A$1:$Z$20000,MATCH(A2145,'Semrush Data'!$A$1:$A$20000,0),MATCH("Volume",'Semrush Data'!$A$1:$Z$1,0)),"")</f>
        <v/>
      </c>
      <c r="H2145" s="6" t="str">
        <f aca="false">IFERROR(INDEX('Semrush Data'!$A$1:$Z$20000,MATCH(A2145,'Semrush Data'!$A$1:$A$20000,0),MATCH("Keyword Difficulty*",'Semrush Data'!$A$1:$Z$1,0)),"")</f>
        <v/>
      </c>
      <c r="I2145" s="29" t="str">
        <f aca="false">IFERROR(INDEX('Semrush Data'!$A$1:$Z$20000,MATCH(A2145,'Semrush Data'!$A$1:$A$20000,0),MATCH("CPC*",'Semrush Data'!$A$1:$Z$1,0)),"")</f>
        <v/>
      </c>
      <c r="J2145" s="6" t="str">
        <f aca="false">IFERROR(INDEX('Semrush Data'!$A$1:$Z$20000,MATCH(A2145,'Semrush Data'!$A$1:$A$20000,0),MATCH("Intent",'Semrush Data'!$A$1:$Z$1,0)),"")</f>
        <v/>
      </c>
    </row>
    <row r="2146" customFormat="false" ht="15" hidden="false" customHeight="true" outlineLevel="0" collapsed="false">
      <c r="A2146" s="6" t="s">
        <v>6884</v>
      </c>
      <c r="B2146" s="6" t="s">
        <v>239</v>
      </c>
      <c r="C2146" s="6" t="n">
        <v>3</v>
      </c>
      <c r="D2146" s="6" t="n">
        <v>22</v>
      </c>
      <c r="E2146" s="6" t="n">
        <v>1</v>
      </c>
      <c r="F2146" s="6" t="s">
        <v>2477</v>
      </c>
      <c r="G2146" s="28" t="str">
        <f aca="false">IFERROR(INDEX('Semrush Data'!$A$1:$Z$20000,MATCH(A2146,'Semrush Data'!$A$1:$A$20000,0),MATCH("Volume",'Semrush Data'!$A$1:$Z$1,0)),"")</f>
        <v/>
      </c>
      <c r="H2146" s="6" t="str">
        <f aca="false">IFERROR(INDEX('Semrush Data'!$A$1:$Z$20000,MATCH(A2146,'Semrush Data'!$A$1:$A$20000,0),MATCH("Keyword Difficulty*",'Semrush Data'!$A$1:$Z$1,0)),"")</f>
        <v/>
      </c>
      <c r="I2146" s="29" t="str">
        <f aca="false">IFERROR(INDEX('Semrush Data'!$A$1:$Z$20000,MATCH(A2146,'Semrush Data'!$A$1:$A$20000,0),MATCH("CPC*",'Semrush Data'!$A$1:$Z$1,0)),"")</f>
        <v/>
      </c>
      <c r="J2146" s="6" t="str">
        <f aca="false">IFERROR(INDEX('Semrush Data'!$A$1:$Z$20000,MATCH(A2146,'Semrush Data'!$A$1:$A$20000,0),MATCH("Intent",'Semrush Data'!$A$1:$Z$1,0)),"")</f>
        <v/>
      </c>
    </row>
    <row r="2147" customFormat="false" ht="15" hidden="false" customHeight="true" outlineLevel="0" collapsed="false">
      <c r="A2147" s="6" t="s">
        <v>6885</v>
      </c>
      <c r="B2147" s="6" t="s">
        <v>239</v>
      </c>
      <c r="C2147" s="6" t="n">
        <v>3</v>
      </c>
      <c r="D2147" s="6" t="n">
        <v>22</v>
      </c>
      <c r="E2147" s="6" t="n">
        <v>1</v>
      </c>
      <c r="F2147" s="6" t="s">
        <v>2477</v>
      </c>
      <c r="G2147" s="28" t="str">
        <f aca="false">IFERROR(INDEX('Semrush Data'!$A$1:$Z$20000,MATCH(A2147,'Semrush Data'!$A$1:$A$20000,0),MATCH("Volume",'Semrush Data'!$A$1:$Z$1,0)),"")</f>
        <v/>
      </c>
      <c r="H2147" s="6" t="str">
        <f aca="false">IFERROR(INDEX('Semrush Data'!$A$1:$Z$20000,MATCH(A2147,'Semrush Data'!$A$1:$A$20000,0),MATCH("Keyword Difficulty*",'Semrush Data'!$A$1:$Z$1,0)),"")</f>
        <v/>
      </c>
      <c r="I2147" s="29" t="str">
        <f aca="false">IFERROR(INDEX('Semrush Data'!$A$1:$Z$20000,MATCH(A2147,'Semrush Data'!$A$1:$A$20000,0),MATCH("CPC*",'Semrush Data'!$A$1:$Z$1,0)),"")</f>
        <v/>
      </c>
      <c r="J2147" s="6" t="str">
        <f aca="false">IFERROR(INDEX('Semrush Data'!$A$1:$Z$20000,MATCH(A2147,'Semrush Data'!$A$1:$A$20000,0),MATCH("Intent",'Semrush Data'!$A$1:$Z$1,0)),"")</f>
        <v/>
      </c>
    </row>
    <row r="2148" customFormat="false" ht="15" hidden="false" customHeight="true" outlineLevel="0" collapsed="false">
      <c r="A2148" s="6" t="s">
        <v>6886</v>
      </c>
      <c r="B2148" s="6" t="s">
        <v>239</v>
      </c>
      <c r="C2148" s="6" t="n">
        <v>3</v>
      </c>
      <c r="D2148" s="6" t="n">
        <v>22</v>
      </c>
      <c r="E2148" s="6" t="n">
        <v>1</v>
      </c>
      <c r="F2148" s="6" t="s">
        <v>2477</v>
      </c>
      <c r="G2148" s="28" t="str">
        <f aca="false">IFERROR(INDEX('Semrush Data'!$A$1:$Z$20000,MATCH(A2148,'Semrush Data'!$A$1:$A$20000,0),MATCH("Volume",'Semrush Data'!$A$1:$Z$1,0)),"")</f>
        <v/>
      </c>
      <c r="H2148" s="6" t="str">
        <f aca="false">IFERROR(INDEX('Semrush Data'!$A$1:$Z$20000,MATCH(A2148,'Semrush Data'!$A$1:$A$20000,0),MATCH("Keyword Difficulty*",'Semrush Data'!$A$1:$Z$1,0)),"")</f>
        <v/>
      </c>
      <c r="I2148" s="29" t="str">
        <f aca="false">IFERROR(INDEX('Semrush Data'!$A$1:$Z$20000,MATCH(A2148,'Semrush Data'!$A$1:$A$20000,0),MATCH("CPC*",'Semrush Data'!$A$1:$Z$1,0)),"")</f>
        <v/>
      </c>
      <c r="J2148" s="6" t="str">
        <f aca="false">IFERROR(INDEX('Semrush Data'!$A$1:$Z$20000,MATCH(A2148,'Semrush Data'!$A$1:$A$20000,0),MATCH("Intent",'Semrush Data'!$A$1:$Z$1,0)),"")</f>
        <v/>
      </c>
    </row>
    <row r="2149" customFormat="false" ht="15" hidden="false" customHeight="true" outlineLevel="0" collapsed="false">
      <c r="A2149" s="6" t="s">
        <v>6887</v>
      </c>
      <c r="B2149" s="6" t="s">
        <v>239</v>
      </c>
      <c r="C2149" s="6" t="n">
        <v>3</v>
      </c>
      <c r="D2149" s="6" t="n">
        <v>22</v>
      </c>
      <c r="E2149" s="6" t="n">
        <v>1</v>
      </c>
      <c r="F2149" s="6" t="s">
        <v>2503</v>
      </c>
      <c r="G2149" s="28" t="str">
        <f aca="false">IFERROR(INDEX('Semrush Data'!$A$1:$Z$20000,MATCH(A2149,'Semrush Data'!$A$1:$A$20000,0),MATCH("Volume",'Semrush Data'!$A$1:$Z$1,0)),"")</f>
        <v/>
      </c>
      <c r="H2149" s="6" t="str">
        <f aca="false">IFERROR(INDEX('Semrush Data'!$A$1:$Z$20000,MATCH(A2149,'Semrush Data'!$A$1:$A$20000,0),MATCH("Keyword Difficulty*",'Semrush Data'!$A$1:$Z$1,0)),"")</f>
        <v/>
      </c>
      <c r="I2149" s="29" t="str">
        <f aca="false">IFERROR(INDEX('Semrush Data'!$A$1:$Z$20000,MATCH(A2149,'Semrush Data'!$A$1:$A$20000,0),MATCH("CPC*",'Semrush Data'!$A$1:$Z$1,0)),"")</f>
        <v/>
      </c>
      <c r="J2149" s="6" t="str">
        <f aca="false">IFERROR(INDEX('Semrush Data'!$A$1:$Z$20000,MATCH(A2149,'Semrush Data'!$A$1:$A$20000,0),MATCH("Intent",'Semrush Data'!$A$1:$Z$1,0)),"")</f>
        <v/>
      </c>
    </row>
    <row r="2150" customFormat="false" ht="15" hidden="false" customHeight="true" outlineLevel="0" collapsed="false">
      <c r="A2150" s="6" t="s">
        <v>6888</v>
      </c>
      <c r="B2150" s="6" t="s">
        <v>239</v>
      </c>
      <c r="C2150" s="6" t="n">
        <v>3</v>
      </c>
      <c r="D2150" s="6" t="n">
        <v>22</v>
      </c>
      <c r="E2150" s="6" t="n">
        <v>1</v>
      </c>
      <c r="F2150" s="6" t="s">
        <v>2503</v>
      </c>
      <c r="G2150" s="28" t="str">
        <f aca="false">IFERROR(INDEX('Semrush Data'!$A$1:$Z$20000,MATCH(A2150,'Semrush Data'!$A$1:$A$20000,0),MATCH("Volume",'Semrush Data'!$A$1:$Z$1,0)),"")</f>
        <v/>
      </c>
      <c r="H2150" s="6" t="str">
        <f aca="false">IFERROR(INDEX('Semrush Data'!$A$1:$Z$20000,MATCH(A2150,'Semrush Data'!$A$1:$A$20000,0),MATCH("Keyword Difficulty*",'Semrush Data'!$A$1:$Z$1,0)),"")</f>
        <v/>
      </c>
      <c r="I2150" s="29" t="str">
        <f aca="false">IFERROR(INDEX('Semrush Data'!$A$1:$Z$20000,MATCH(A2150,'Semrush Data'!$A$1:$A$20000,0),MATCH("CPC*",'Semrush Data'!$A$1:$Z$1,0)),"")</f>
        <v/>
      </c>
      <c r="J2150" s="6" t="str">
        <f aca="false">IFERROR(INDEX('Semrush Data'!$A$1:$Z$20000,MATCH(A2150,'Semrush Data'!$A$1:$A$20000,0),MATCH("Intent",'Semrush Data'!$A$1:$Z$1,0)),"")</f>
        <v/>
      </c>
    </row>
    <row r="2151" customFormat="false" ht="15" hidden="false" customHeight="true" outlineLevel="0" collapsed="false">
      <c r="A2151" s="6" t="s">
        <v>6889</v>
      </c>
      <c r="B2151" s="6" t="s">
        <v>239</v>
      </c>
      <c r="C2151" s="6" t="n">
        <v>3</v>
      </c>
      <c r="D2151" s="6" t="n">
        <v>22</v>
      </c>
      <c r="E2151" s="6" t="n">
        <v>1</v>
      </c>
      <c r="F2151" s="6" t="s">
        <v>2503</v>
      </c>
      <c r="G2151" s="28" t="str">
        <f aca="false">IFERROR(INDEX('Semrush Data'!$A$1:$Z$20000,MATCH(A2151,'Semrush Data'!$A$1:$A$20000,0),MATCH("Volume",'Semrush Data'!$A$1:$Z$1,0)),"")</f>
        <v/>
      </c>
      <c r="H2151" s="6" t="str">
        <f aca="false">IFERROR(INDEX('Semrush Data'!$A$1:$Z$20000,MATCH(A2151,'Semrush Data'!$A$1:$A$20000,0),MATCH("Keyword Difficulty*",'Semrush Data'!$A$1:$Z$1,0)),"")</f>
        <v/>
      </c>
      <c r="I2151" s="29" t="str">
        <f aca="false">IFERROR(INDEX('Semrush Data'!$A$1:$Z$20000,MATCH(A2151,'Semrush Data'!$A$1:$A$20000,0),MATCH("CPC*",'Semrush Data'!$A$1:$Z$1,0)),"")</f>
        <v/>
      </c>
      <c r="J2151" s="6" t="str">
        <f aca="false">IFERROR(INDEX('Semrush Data'!$A$1:$Z$20000,MATCH(A2151,'Semrush Data'!$A$1:$A$20000,0),MATCH("Intent",'Semrush Data'!$A$1:$Z$1,0)),"")</f>
        <v/>
      </c>
    </row>
    <row r="2152" customFormat="false" ht="15" hidden="false" customHeight="true" outlineLevel="0" collapsed="false">
      <c r="A2152" s="6" t="s">
        <v>6890</v>
      </c>
      <c r="B2152" s="6" t="s">
        <v>239</v>
      </c>
      <c r="C2152" s="6" t="n">
        <v>3</v>
      </c>
      <c r="D2152" s="6" t="n">
        <v>22</v>
      </c>
      <c r="E2152" s="6" t="n">
        <v>1</v>
      </c>
      <c r="F2152" s="6" t="s">
        <v>2503</v>
      </c>
      <c r="G2152" s="28" t="str">
        <f aca="false">IFERROR(INDEX('Semrush Data'!$A$1:$Z$20000,MATCH(A2152,'Semrush Data'!$A$1:$A$20000,0),MATCH("Volume",'Semrush Data'!$A$1:$Z$1,0)),"")</f>
        <v/>
      </c>
      <c r="H2152" s="6" t="str">
        <f aca="false">IFERROR(INDEX('Semrush Data'!$A$1:$Z$20000,MATCH(A2152,'Semrush Data'!$A$1:$A$20000,0),MATCH("Keyword Difficulty*",'Semrush Data'!$A$1:$Z$1,0)),"")</f>
        <v/>
      </c>
      <c r="I2152" s="29" t="str">
        <f aca="false">IFERROR(INDEX('Semrush Data'!$A$1:$Z$20000,MATCH(A2152,'Semrush Data'!$A$1:$A$20000,0),MATCH("CPC*",'Semrush Data'!$A$1:$Z$1,0)),"")</f>
        <v/>
      </c>
      <c r="J2152" s="6" t="str">
        <f aca="false">IFERROR(INDEX('Semrush Data'!$A$1:$Z$20000,MATCH(A2152,'Semrush Data'!$A$1:$A$20000,0),MATCH("Intent",'Semrush Data'!$A$1:$Z$1,0)),"")</f>
        <v/>
      </c>
    </row>
    <row r="2153" customFormat="false" ht="15" hidden="false" customHeight="true" outlineLevel="0" collapsed="false">
      <c r="A2153" s="6" t="s">
        <v>6891</v>
      </c>
      <c r="B2153" s="6" t="s">
        <v>239</v>
      </c>
      <c r="C2153" s="6" t="n">
        <v>3</v>
      </c>
      <c r="D2153" s="6" t="n">
        <v>22</v>
      </c>
      <c r="E2153" s="6" t="n">
        <v>1</v>
      </c>
      <c r="F2153" s="6" t="s">
        <v>2503</v>
      </c>
      <c r="G2153" s="28" t="str">
        <f aca="false">IFERROR(INDEX('Semrush Data'!$A$1:$Z$20000,MATCH(A2153,'Semrush Data'!$A$1:$A$20000,0),MATCH("Volume",'Semrush Data'!$A$1:$Z$1,0)),"")</f>
        <v/>
      </c>
      <c r="H2153" s="6" t="str">
        <f aca="false">IFERROR(INDEX('Semrush Data'!$A$1:$Z$20000,MATCH(A2153,'Semrush Data'!$A$1:$A$20000,0),MATCH("Keyword Difficulty*",'Semrush Data'!$A$1:$Z$1,0)),"")</f>
        <v/>
      </c>
      <c r="I2153" s="29" t="str">
        <f aca="false">IFERROR(INDEX('Semrush Data'!$A$1:$Z$20000,MATCH(A2153,'Semrush Data'!$A$1:$A$20000,0),MATCH("CPC*",'Semrush Data'!$A$1:$Z$1,0)),"")</f>
        <v/>
      </c>
      <c r="J2153" s="6" t="str">
        <f aca="false">IFERROR(INDEX('Semrush Data'!$A$1:$Z$20000,MATCH(A2153,'Semrush Data'!$A$1:$A$20000,0),MATCH("Intent",'Semrush Data'!$A$1:$Z$1,0)),"")</f>
        <v/>
      </c>
    </row>
    <row r="2154" customFormat="false" ht="15" hidden="false" customHeight="true" outlineLevel="0" collapsed="false">
      <c r="A2154" s="6" t="s">
        <v>6892</v>
      </c>
      <c r="B2154" s="6" t="s">
        <v>239</v>
      </c>
      <c r="C2154" s="6" t="n">
        <v>3</v>
      </c>
      <c r="D2154" s="6" t="n">
        <v>22</v>
      </c>
      <c r="E2154" s="6" t="n">
        <v>1</v>
      </c>
      <c r="F2154" s="6" t="s">
        <v>141</v>
      </c>
      <c r="G2154" s="28" t="str">
        <f aca="false">IFERROR(INDEX('Semrush Data'!$A$1:$Z$20000,MATCH(A2154,'Semrush Data'!$A$1:$A$20000,0),MATCH("Volume",'Semrush Data'!$A$1:$Z$1,0)),"")</f>
        <v/>
      </c>
      <c r="H2154" s="6" t="str">
        <f aca="false">IFERROR(INDEX('Semrush Data'!$A$1:$Z$20000,MATCH(A2154,'Semrush Data'!$A$1:$A$20000,0),MATCH("Keyword Difficulty*",'Semrush Data'!$A$1:$Z$1,0)),"")</f>
        <v/>
      </c>
      <c r="I2154" s="29" t="str">
        <f aca="false">IFERROR(INDEX('Semrush Data'!$A$1:$Z$20000,MATCH(A2154,'Semrush Data'!$A$1:$A$20000,0),MATCH("CPC*",'Semrush Data'!$A$1:$Z$1,0)),"")</f>
        <v/>
      </c>
      <c r="J2154" s="6" t="str">
        <f aca="false">IFERROR(INDEX('Semrush Data'!$A$1:$Z$20000,MATCH(A2154,'Semrush Data'!$A$1:$A$20000,0),MATCH("Intent",'Semrush Data'!$A$1:$Z$1,0)),"")</f>
        <v/>
      </c>
    </row>
    <row r="2155" customFormat="false" ht="15" hidden="false" customHeight="true" outlineLevel="0" collapsed="false">
      <c r="A2155" s="6" t="s">
        <v>276</v>
      </c>
      <c r="B2155" s="6" t="s">
        <v>239</v>
      </c>
      <c r="C2155" s="6" t="n">
        <v>3</v>
      </c>
      <c r="D2155" s="6" t="s">
        <v>6893</v>
      </c>
      <c r="E2155" s="6" t="n">
        <v>1</v>
      </c>
      <c r="F2155" s="6" t="s">
        <v>141</v>
      </c>
      <c r="G2155" s="28" t="n">
        <f aca="false">IFERROR(INDEX('Semrush Data'!$A$1:$Z$20000,MATCH(A2155,'Semrush Data'!$A$1:$A$20000,0),MATCH("Volume",'Semrush Data'!$A$1:$Z$1,0)),"")</f>
        <v>20</v>
      </c>
      <c r="H2155" s="6" t="n">
        <f aca="false">IFERROR(INDEX('Semrush Data'!$A$1:$Z$20000,MATCH(A2155,'Semrush Data'!$A$1:$A$20000,0),MATCH("Keyword Difficulty*",'Semrush Data'!$A$1:$Z$1,0)),"")</f>
        <v>7</v>
      </c>
      <c r="I2155" s="29" t="n">
        <f aca="false">IFERROR(INDEX('Semrush Data'!$A$1:$Z$20000,MATCH(A2155,'Semrush Data'!$A$1:$A$20000,0),MATCH("CPC*",'Semrush Data'!$A$1:$Z$1,0)),"")</f>
        <v>0</v>
      </c>
      <c r="J2155" s="6" t="str">
        <f aca="false">IFERROR(INDEX('Semrush Data'!$A$1:$Z$20000,MATCH(A2155,'Semrush Data'!$A$1:$A$20000,0),MATCH("Intent",'Semrush Data'!$A$1:$Z$1,0)),"")</f>
        <v>Informational Commercial</v>
      </c>
    </row>
    <row r="2156" customFormat="false" ht="15" hidden="false" customHeight="true" outlineLevel="0" collapsed="false">
      <c r="A2156" s="6" t="s">
        <v>6894</v>
      </c>
      <c r="B2156" s="6" t="s">
        <v>239</v>
      </c>
      <c r="C2156" s="6" t="n">
        <v>3</v>
      </c>
      <c r="D2156" s="6" t="n">
        <v>22</v>
      </c>
      <c r="E2156" s="6" t="n">
        <v>1</v>
      </c>
      <c r="F2156" s="6" t="s">
        <v>141</v>
      </c>
      <c r="G2156" s="28" t="str">
        <f aca="false">IFERROR(INDEX('Semrush Data'!$A$1:$Z$20000,MATCH(A2156,'Semrush Data'!$A$1:$A$20000,0),MATCH("Volume",'Semrush Data'!$A$1:$Z$1,0)),"")</f>
        <v/>
      </c>
      <c r="H2156" s="6" t="str">
        <f aca="false">IFERROR(INDEX('Semrush Data'!$A$1:$Z$20000,MATCH(A2156,'Semrush Data'!$A$1:$A$20000,0),MATCH("Keyword Difficulty*",'Semrush Data'!$A$1:$Z$1,0)),"")</f>
        <v/>
      </c>
      <c r="I2156" s="29" t="str">
        <f aca="false">IFERROR(INDEX('Semrush Data'!$A$1:$Z$20000,MATCH(A2156,'Semrush Data'!$A$1:$A$20000,0),MATCH("CPC*",'Semrush Data'!$A$1:$Z$1,0)),"")</f>
        <v/>
      </c>
      <c r="J2156" s="6" t="str">
        <f aca="false">IFERROR(INDEX('Semrush Data'!$A$1:$Z$20000,MATCH(A2156,'Semrush Data'!$A$1:$A$20000,0),MATCH("Intent",'Semrush Data'!$A$1:$Z$1,0)),"")</f>
        <v/>
      </c>
    </row>
    <row r="2157" customFormat="false" ht="15" hidden="false" customHeight="true" outlineLevel="0" collapsed="false">
      <c r="A2157" s="6" t="s">
        <v>6895</v>
      </c>
      <c r="B2157" s="6" t="s">
        <v>239</v>
      </c>
      <c r="C2157" s="6" t="n">
        <v>3</v>
      </c>
      <c r="D2157" s="6" t="n">
        <v>22</v>
      </c>
      <c r="E2157" s="6" t="n">
        <v>1</v>
      </c>
      <c r="F2157" s="6" t="s">
        <v>141</v>
      </c>
      <c r="G2157" s="28" t="str">
        <f aca="false">IFERROR(INDEX('Semrush Data'!$A$1:$Z$20000,MATCH(A2157,'Semrush Data'!$A$1:$A$20000,0),MATCH("Volume",'Semrush Data'!$A$1:$Z$1,0)),"")</f>
        <v/>
      </c>
      <c r="H2157" s="6" t="str">
        <f aca="false">IFERROR(INDEX('Semrush Data'!$A$1:$Z$20000,MATCH(A2157,'Semrush Data'!$A$1:$A$20000,0),MATCH("Keyword Difficulty*",'Semrush Data'!$A$1:$Z$1,0)),"")</f>
        <v/>
      </c>
      <c r="I2157" s="29" t="str">
        <f aca="false">IFERROR(INDEX('Semrush Data'!$A$1:$Z$20000,MATCH(A2157,'Semrush Data'!$A$1:$A$20000,0),MATCH("CPC*",'Semrush Data'!$A$1:$Z$1,0)),"")</f>
        <v/>
      </c>
      <c r="J2157" s="6" t="str">
        <f aca="false">IFERROR(INDEX('Semrush Data'!$A$1:$Z$20000,MATCH(A2157,'Semrush Data'!$A$1:$A$20000,0),MATCH("Intent",'Semrush Data'!$A$1:$Z$1,0)),"")</f>
        <v/>
      </c>
    </row>
    <row r="2158" customFormat="false" ht="15" hidden="false" customHeight="true" outlineLevel="0" collapsed="false">
      <c r="A2158" s="6" t="s">
        <v>277</v>
      </c>
      <c r="B2158" s="6" t="s">
        <v>239</v>
      </c>
      <c r="C2158" s="6" t="n">
        <v>3</v>
      </c>
      <c r="D2158" s="6" t="s">
        <v>6893</v>
      </c>
      <c r="E2158" s="6" t="n">
        <v>1</v>
      </c>
      <c r="F2158" s="6" t="s">
        <v>141</v>
      </c>
      <c r="G2158" s="28" t="n">
        <f aca="false">IFERROR(INDEX('Semrush Data'!$A$1:$Z$20000,MATCH(A2158,'Semrush Data'!$A$1:$A$20000,0),MATCH("Volume",'Semrush Data'!$A$1:$Z$1,0)),"")</f>
        <v>20</v>
      </c>
      <c r="H2158" s="6" t="n">
        <f aca="false">IFERROR(INDEX('Semrush Data'!$A$1:$Z$20000,MATCH(A2158,'Semrush Data'!$A$1:$A$20000,0),MATCH("Keyword Difficulty*",'Semrush Data'!$A$1:$Z$1,0)),"")</f>
        <v>10</v>
      </c>
      <c r="I2158" s="29" t="n">
        <f aca="false">IFERROR(INDEX('Semrush Data'!$A$1:$Z$20000,MATCH(A2158,'Semrush Data'!$A$1:$A$20000,0),MATCH("CPC*",'Semrush Data'!$A$1:$Z$1,0)),"")</f>
        <v>0</v>
      </c>
      <c r="J2158" s="6" t="str">
        <f aca="false">IFERROR(INDEX('Semrush Data'!$A$1:$Z$20000,MATCH(A2158,'Semrush Data'!$A$1:$A$20000,0),MATCH("Intent",'Semrush Data'!$A$1:$Z$1,0)),"")</f>
        <v>Commercial</v>
      </c>
    </row>
    <row r="2159" customFormat="false" ht="15" hidden="false" customHeight="true" outlineLevel="0" collapsed="false">
      <c r="A2159" s="6" t="s">
        <v>6896</v>
      </c>
      <c r="B2159" s="6" t="s">
        <v>239</v>
      </c>
      <c r="C2159" s="6" t="n">
        <v>3</v>
      </c>
      <c r="D2159" s="6" t="n">
        <v>22</v>
      </c>
      <c r="E2159" s="6" t="n">
        <v>1</v>
      </c>
      <c r="F2159" s="6" t="s">
        <v>135</v>
      </c>
      <c r="G2159" s="28" t="str">
        <f aca="false">IFERROR(INDEX('Semrush Data'!$A$1:$Z$20000,MATCH(A2159,'Semrush Data'!$A$1:$A$20000,0),MATCH("Volume",'Semrush Data'!$A$1:$Z$1,0)),"")</f>
        <v/>
      </c>
      <c r="H2159" s="6" t="str">
        <f aca="false">IFERROR(INDEX('Semrush Data'!$A$1:$Z$20000,MATCH(A2159,'Semrush Data'!$A$1:$A$20000,0),MATCH("Keyword Difficulty*",'Semrush Data'!$A$1:$Z$1,0)),"")</f>
        <v/>
      </c>
      <c r="I2159" s="29" t="str">
        <f aca="false">IFERROR(INDEX('Semrush Data'!$A$1:$Z$20000,MATCH(A2159,'Semrush Data'!$A$1:$A$20000,0),MATCH("CPC*",'Semrush Data'!$A$1:$Z$1,0)),"")</f>
        <v/>
      </c>
      <c r="J2159" s="6" t="str">
        <f aca="false">IFERROR(INDEX('Semrush Data'!$A$1:$Z$20000,MATCH(A2159,'Semrush Data'!$A$1:$A$20000,0),MATCH("Intent",'Semrush Data'!$A$1:$Z$1,0)),"")</f>
        <v/>
      </c>
    </row>
    <row r="2160" customFormat="false" ht="15" hidden="false" customHeight="true" outlineLevel="0" collapsed="false">
      <c r="A2160" s="6" t="s">
        <v>6897</v>
      </c>
      <c r="B2160" s="6" t="s">
        <v>239</v>
      </c>
      <c r="C2160" s="6" t="n">
        <v>3</v>
      </c>
      <c r="D2160" s="6" t="n">
        <v>22</v>
      </c>
      <c r="E2160" s="6" t="n">
        <v>1</v>
      </c>
      <c r="F2160" s="6" t="s">
        <v>135</v>
      </c>
      <c r="G2160" s="28" t="str">
        <f aca="false">IFERROR(INDEX('Semrush Data'!$A$1:$Z$20000,MATCH(A2160,'Semrush Data'!$A$1:$A$20000,0),MATCH("Volume",'Semrush Data'!$A$1:$Z$1,0)),"")</f>
        <v/>
      </c>
      <c r="H2160" s="6" t="str">
        <f aca="false">IFERROR(INDEX('Semrush Data'!$A$1:$Z$20000,MATCH(A2160,'Semrush Data'!$A$1:$A$20000,0),MATCH("Keyword Difficulty*",'Semrush Data'!$A$1:$Z$1,0)),"")</f>
        <v/>
      </c>
      <c r="I2160" s="29" t="str">
        <f aca="false">IFERROR(INDEX('Semrush Data'!$A$1:$Z$20000,MATCH(A2160,'Semrush Data'!$A$1:$A$20000,0),MATCH("CPC*",'Semrush Data'!$A$1:$Z$1,0)),"")</f>
        <v/>
      </c>
      <c r="J2160" s="6" t="str">
        <f aca="false">IFERROR(INDEX('Semrush Data'!$A$1:$Z$20000,MATCH(A2160,'Semrush Data'!$A$1:$A$20000,0),MATCH("Intent",'Semrush Data'!$A$1:$Z$1,0)),"")</f>
        <v/>
      </c>
    </row>
    <row r="2161" customFormat="false" ht="15" hidden="false" customHeight="true" outlineLevel="0" collapsed="false">
      <c r="A2161" s="6" t="s">
        <v>6898</v>
      </c>
      <c r="B2161" s="6" t="s">
        <v>239</v>
      </c>
      <c r="C2161" s="6" t="n">
        <v>3</v>
      </c>
      <c r="D2161" s="6" t="s">
        <v>6893</v>
      </c>
      <c r="E2161" s="6" t="n">
        <v>1</v>
      </c>
      <c r="F2161" s="6" t="s">
        <v>135</v>
      </c>
      <c r="G2161" s="28" t="n">
        <f aca="false">IFERROR(INDEX('Semrush Data'!$A$1:$Z$20000,MATCH(A2161,'Semrush Data'!$A$1:$A$20000,0),MATCH("Volume",'Semrush Data'!$A$1:$Z$1,0)),"")</f>
        <v>0</v>
      </c>
      <c r="H2161" s="6" t="n">
        <f aca="false">IFERROR(INDEX('Semrush Data'!$A$1:$Z$20000,MATCH(A2161,'Semrush Data'!$A$1:$A$20000,0),MATCH("Keyword Difficulty*",'Semrush Data'!$A$1:$Z$1,0)),"")</f>
        <v>8</v>
      </c>
      <c r="I2161" s="29" t="n">
        <f aca="false">IFERROR(INDEX('Semrush Data'!$A$1:$Z$20000,MATCH(A2161,'Semrush Data'!$A$1:$A$20000,0),MATCH("CPC*",'Semrush Data'!$A$1:$Z$1,0)),"")</f>
        <v>0</v>
      </c>
      <c r="J2161" s="6" t="str">
        <f aca="false">IFERROR(INDEX('Semrush Data'!$A$1:$Z$20000,MATCH(A2161,'Semrush Data'!$A$1:$A$20000,0),MATCH("Intent",'Semrush Data'!$A$1:$Z$1,0)),"")</f>
        <v>Informational</v>
      </c>
    </row>
    <row r="2162" customFormat="false" ht="15" hidden="false" customHeight="true" outlineLevel="0" collapsed="false">
      <c r="A2162" s="6" t="s">
        <v>267</v>
      </c>
      <c r="B2162" s="6" t="s">
        <v>239</v>
      </c>
      <c r="C2162" s="6" t="n">
        <v>3</v>
      </c>
      <c r="D2162" s="6" t="s">
        <v>6893</v>
      </c>
      <c r="E2162" s="6" t="n">
        <v>1</v>
      </c>
      <c r="F2162" s="6" t="s">
        <v>135</v>
      </c>
      <c r="G2162" s="28" t="n">
        <f aca="false">IFERROR(INDEX('Semrush Data'!$A$1:$Z$20000,MATCH(A2162,'Semrush Data'!$A$1:$A$20000,0),MATCH("Volume",'Semrush Data'!$A$1:$Z$1,0)),"")</f>
        <v>40</v>
      </c>
      <c r="H2162" s="6" t="n">
        <f aca="false">IFERROR(INDEX('Semrush Data'!$A$1:$Z$20000,MATCH(A2162,'Semrush Data'!$A$1:$A$20000,0),MATCH("Keyword Difficulty*",'Semrush Data'!$A$1:$Z$1,0)),"")</f>
        <v>10</v>
      </c>
      <c r="I2162" s="29" t="n">
        <f aca="false">IFERROR(INDEX('Semrush Data'!$A$1:$Z$20000,MATCH(A2162,'Semrush Data'!$A$1:$A$20000,0),MATCH("CPC*",'Semrush Data'!$A$1:$Z$1,0)),"")</f>
        <v>0</v>
      </c>
      <c r="J2162" s="6" t="str">
        <f aca="false">IFERROR(INDEX('Semrush Data'!$A$1:$Z$20000,MATCH(A2162,'Semrush Data'!$A$1:$A$20000,0),MATCH("Intent",'Semrush Data'!$A$1:$Z$1,0)),"")</f>
        <v>Commercial</v>
      </c>
    </row>
    <row r="2163" customFormat="false" ht="15" hidden="false" customHeight="true" outlineLevel="0" collapsed="false">
      <c r="A2163" s="6" t="s">
        <v>6899</v>
      </c>
      <c r="B2163" s="6" t="s">
        <v>239</v>
      </c>
      <c r="C2163" s="6" t="n">
        <v>3</v>
      </c>
      <c r="D2163" s="6" t="n">
        <v>22</v>
      </c>
      <c r="E2163" s="6" t="n">
        <v>1</v>
      </c>
      <c r="F2163" s="6" t="s">
        <v>117</v>
      </c>
      <c r="G2163" s="28" t="str">
        <f aca="false">IFERROR(INDEX('Semrush Data'!$A$1:$Z$20000,MATCH(A2163,'Semrush Data'!$A$1:$A$20000,0),MATCH("Volume",'Semrush Data'!$A$1:$Z$1,0)),"")</f>
        <v/>
      </c>
      <c r="H2163" s="6" t="str">
        <f aca="false">IFERROR(INDEX('Semrush Data'!$A$1:$Z$20000,MATCH(A2163,'Semrush Data'!$A$1:$A$20000,0),MATCH("Keyword Difficulty*",'Semrush Data'!$A$1:$Z$1,0)),"")</f>
        <v/>
      </c>
      <c r="I2163" s="29" t="str">
        <f aca="false">IFERROR(INDEX('Semrush Data'!$A$1:$Z$20000,MATCH(A2163,'Semrush Data'!$A$1:$A$20000,0),MATCH("CPC*",'Semrush Data'!$A$1:$Z$1,0)),"")</f>
        <v/>
      </c>
      <c r="J2163" s="6" t="str">
        <f aca="false">IFERROR(INDEX('Semrush Data'!$A$1:$Z$20000,MATCH(A2163,'Semrush Data'!$A$1:$A$20000,0),MATCH("Intent",'Semrush Data'!$A$1:$Z$1,0)),"")</f>
        <v/>
      </c>
    </row>
    <row r="2164" customFormat="false" ht="15" hidden="false" customHeight="true" outlineLevel="0" collapsed="false">
      <c r="A2164" s="6" t="s">
        <v>6900</v>
      </c>
      <c r="B2164" s="6" t="s">
        <v>239</v>
      </c>
      <c r="C2164" s="6" t="n">
        <v>3</v>
      </c>
      <c r="D2164" s="6" t="n">
        <v>22</v>
      </c>
      <c r="E2164" s="6" t="n">
        <v>1</v>
      </c>
      <c r="F2164" s="6" t="s">
        <v>117</v>
      </c>
      <c r="G2164" s="28" t="str">
        <f aca="false">IFERROR(INDEX('Semrush Data'!$A$1:$Z$20000,MATCH(A2164,'Semrush Data'!$A$1:$A$20000,0),MATCH("Volume",'Semrush Data'!$A$1:$Z$1,0)),"")</f>
        <v/>
      </c>
      <c r="H2164" s="6" t="str">
        <f aca="false">IFERROR(INDEX('Semrush Data'!$A$1:$Z$20000,MATCH(A2164,'Semrush Data'!$A$1:$A$20000,0),MATCH("Keyword Difficulty*",'Semrush Data'!$A$1:$Z$1,0)),"")</f>
        <v/>
      </c>
      <c r="I2164" s="29" t="str">
        <f aca="false">IFERROR(INDEX('Semrush Data'!$A$1:$Z$20000,MATCH(A2164,'Semrush Data'!$A$1:$A$20000,0),MATCH("CPC*",'Semrush Data'!$A$1:$Z$1,0)),"")</f>
        <v/>
      </c>
      <c r="J2164" s="6" t="str">
        <f aca="false">IFERROR(INDEX('Semrush Data'!$A$1:$Z$20000,MATCH(A2164,'Semrush Data'!$A$1:$A$20000,0),MATCH("Intent",'Semrush Data'!$A$1:$Z$1,0)),"")</f>
        <v/>
      </c>
    </row>
    <row r="2165" customFormat="false" ht="15" hidden="false" customHeight="true" outlineLevel="0" collapsed="false">
      <c r="A2165" s="6" t="s">
        <v>278</v>
      </c>
      <c r="B2165" s="6" t="s">
        <v>239</v>
      </c>
      <c r="C2165" s="6" t="n">
        <v>3</v>
      </c>
      <c r="D2165" s="6" t="s">
        <v>6870</v>
      </c>
      <c r="E2165" s="6" t="n">
        <v>1</v>
      </c>
      <c r="F2165" s="6" t="s">
        <v>117</v>
      </c>
      <c r="G2165" s="28" t="n">
        <f aca="false">IFERROR(INDEX('Semrush Data'!$A$1:$Z$20000,MATCH(A2165,'Semrush Data'!$A$1:$A$20000,0),MATCH("Volume",'Semrush Data'!$A$1:$Z$1,0)),"")</f>
        <v>20</v>
      </c>
      <c r="H2165" s="6" t="n">
        <f aca="false">IFERROR(INDEX('Semrush Data'!$A$1:$Z$20000,MATCH(A2165,'Semrush Data'!$A$1:$A$20000,0),MATCH("Keyword Difficulty*",'Semrush Data'!$A$1:$Z$1,0)),"")</f>
        <v>21</v>
      </c>
      <c r="I2165" s="29" t="n">
        <f aca="false">IFERROR(INDEX('Semrush Data'!$A$1:$Z$20000,MATCH(A2165,'Semrush Data'!$A$1:$A$20000,0),MATCH("CPC*",'Semrush Data'!$A$1:$Z$1,0)),"")</f>
        <v>0</v>
      </c>
      <c r="J2165" s="6" t="str">
        <f aca="false">IFERROR(INDEX('Semrush Data'!$A$1:$Z$20000,MATCH(A2165,'Semrush Data'!$A$1:$A$20000,0),MATCH("Intent",'Semrush Data'!$A$1:$Z$1,0)),"")</f>
        <v>Informational Commercial</v>
      </c>
    </row>
    <row r="2166" customFormat="false" ht="15" hidden="false" customHeight="true" outlineLevel="0" collapsed="false">
      <c r="A2166" s="6" t="s">
        <v>6901</v>
      </c>
      <c r="B2166" s="6" t="s">
        <v>239</v>
      </c>
      <c r="C2166" s="6" t="n">
        <v>3</v>
      </c>
      <c r="D2166" s="6" t="n">
        <v>22</v>
      </c>
      <c r="E2166" s="6" t="n">
        <v>1</v>
      </c>
      <c r="F2166" s="6" t="s">
        <v>117</v>
      </c>
      <c r="G2166" s="28" t="str">
        <f aca="false">IFERROR(INDEX('Semrush Data'!$A$1:$Z$20000,MATCH(A2166,'Semrush Data'!$A$1:$A$20000,0),MATCH("Volume",'Semrush Data'!$A$1:$Z$1,0)),"")</f>
        <v/>
      </c>
      <c r="H2166" s="6" t="str">
        <f aca="false">IFERROR(INDEX('Semrush Data'!$A$1:$Z$20000,MATCH(A2166,'Semrush Data'!$A$1:$A$20000,0),MATCH("Keyword Difficulty*",'Semrush Data'!$A$1:$Z$1,0)),"")</f>
        <v/>
      </c>
      <c r="I2166" s="29" t="str">
        <f aca="false">IFERROR(INDEX('Semrush Data'!$A$1:$Z$20000,MATCH(A2166,'Semrush Data'!$A$1:$A$20000,0),MATCH("CPC*",'Semrush Data'!$A$1:$Z$1,0)),"")</f>
        <v/>
      </c>
      <c r="J2166" s="6" t="str">
        <f aca="false">IFERROR(INDEX('Semrush Data'!$A$1:$Z$20000,MATCH(A2166,'Semrush Data'!$A$1:$A$20000,0),MATCH("Intent",'Semrush Data'!$A$1:$Z$1,0)),"")</f>
        <v/>
      </c>
    </row>
    <row r="2167" customFormat="false" ht="15" hidden="false" customHeight="true" outlineLevel="0" collapsed="false">
      <c r="A2167" s="6" t="s">
        <v>279</v>
      </c>
      <c r="B2167" s="6" t="s">
        <v>239</v>
      </c>
      <c r="C2167" s="6" t="n">
        <v>3</v>
      </c>
      <c r="D2167" s="6" t="s">
        <v>6870</v>
      </c>
      <c r="E2167" s="6" t="n">
        <v>1</v>
      </c>
      <c r="F2167" s="6" t="s">
        <v>117</v>
      </c>
      <c r="G2167" s="28" t="n">
        <f aca="false">IFERROR(INDEX('Semrush Data'!$A$1:$Z$20000,MATCH(A2167,'Semrush Data'!$A$1:$A$20000,0),MATCH("Volume",'Semrush Data'!$A$1:$Z$1,0)),"")</f>
        <v>20</v>
      </c>
      <c r="H2167" s="6" t="n">
        <f aca="false">IFERROR(INDEX('Semrush Data'!$A$1:$Z$20000,MATCH(A2167,'Semrush Data'!$A$1:$A$20000,0),MATCH("Keyword Difficulty*",'Semrush Data'!$A$1:$Z$1,0)),"")</f>
        <v>12</v>
      </c>
      <c r="I2167" s="29" t="n">
        <f aca="false">IFERROR(INDEX('Semrush Data'!$A$1:$Z$20000,MATCH(A2167,'Semrush Data'!$A$1:$A$20000,0),MATCH("CPC*",'Semrush Data'!$A$1:$Z$1,0)),"")</f>
        <v>0</v>
      </c>
      <c r="J2167" s="6" t="str">
        <f aca="false">IFERROR(INDEX('Semrush Data'!$A$1:$Z$20000,MATCH(A2167,'Semrush Data'!$A$1:$A$20000,0),MATCH("Intent",'Semrush Data'!$A$1:$Z$1,0)),"")</f>
        <v>Commercial</v>
      </c>
    </row>
    <row r="2168" customFormat="false" ht="15" hidden="false" customHeight="true" outlineLevel="0" collapsed="false">
      <c r="A2168" s="6" t="s">
        <v>6902</v>
      </c>
      <c r="B2168" s="6" t="s">
        <v>239</v>
      </c>
      <c r="C2168" s="6" t="n">
        <v>3</v>
      </c>
      <c r="D2168" s="6" t="n">
        <v>22</v>
      </c>
      <c r="E2168" s="6" t="n">
        <v>1</v>
      </c>
      <c r="F2168" s="6" t="s">
        <v>103</v>
      </c>
      <c r="G2168" s="28" t="str">
        <f aca="false">IFERROR(INDEX('Semrush Data'!$A$1:$Z$20000,MATCH(A2168,'Semrush Data'!$A$1:$A$20000,0),MATCH("Volume",'Semrush Data'!$A$1:$Z$1,0)),"")</f>
        <v/>
      </c>
      <c r="H2168" s="6" t="str">
        <f aca="false">IFERROR(INDEX('Semrush Data'!$A$1:$Z$20000,MATCH(A2168,'Semrush Data'!$A$1:$A$20000,0),MATCH("Keyword Difficulty*",'Semrush Data'!$A$1:$Z$1,0)),"")</f>
        <v/>
      </c>
      <c r="I2168" s="29" t="str">
        <f aca="false">IFERROR(INDEX('Semrush Data'!$A$1:$Z$20000,MATCH(A2168,'Semrush Data'!$A$1:$A$20000,0),MATCH("CPC*",'Semrush Data'!$A$1:$Z$1,0)),"")</f>
        <v/>
      </c>
      <c r="J2168" s="6" t="str">
        <f aca="false">IFERROR(INDEX('Semrush Data'!$A$1:$Z$20000,MATCH(A2168,'Semrush Data'!$A$1:$A$20000,0),MATCH("Intent",'Semrush Data'!$A$1:$Z$1,0)),"")</f>
        <v/>
      </c>
    </row>
    <row r="2169" customFormat="false" ht="15" hidden="false" customHeight="true" outlineLevel="0" collapsed="false">
      <c r="A2169" s="6" t="s">
        <v>280</v>
      </c>
      <c r="B2169" s="6" t="s">
        <v>239</v>
      </c>
      <c r="C2169" s="6" t="n">
        <v>3</v>
      </c>
      <c r="D2169" s="6" t="s">
        <v>6870</v>
      </c>
      <c r="E2169" s="6" t="n">
        <v>1</v>
      </c>
      <c r="F2169" s="6" t="s">
        <v>103</v>
      </c>
      <c r="G2169" s="28" t="n">
        <f aca="false">IFERROR(INDEX('Semrush Data'!$A$1:$Z$20000,MATCH(A2169,'Semrush Data'!$A$1:$A$20000,0),MATCH("Volume",'Semrush Data'!$A$1:$Z$1,0)),"")</f>
        <v>20</v>
      </c>
      <c r="H2169" s="6" t="n">
        <f aca="false">IFERROR(INDEX('Semrush Data'!$A$1:$Z$20000,MATCH(A2169,'Semrush Data'!$A$1:$A$20000,0),MATCH("Keyword Difficulty*",'Semrush Data'!$A$1:$Z$1,0)),"")</f>
        <v>5</v>
      </c>
      <c r="I2169" s="29" t="n">
        <f aca="false">IFERROR(INDEX('Semrush Data'!$A$1:$Z$20000,MATCH(A2169,'Semrush Data'!$A$1:$A$20000,0),MATCH("CPC*",'Semrush Data'!$A$1:$Z$1,0)),"")</f>
        <v>0.48</v>
      </c>
      <c r="J2169" s="6" t="str">
        <f aca="false">IFERROR(INDEX('Semrush Data'!$A$1:$Z$20000,MATCH(A2169,'Semrush Data'!$A$1:$A$20000,0),MATCH("Intent",'Semrush Data'!$A$1:$Z$1,0)),"")</f>
        <v>Navigational</v>
      </c>
    </row>
    <row r="2170" customFormat="false" ht="15" hidden="false" customHeight="true" outlineLevel="0" collapsed="false">
      <c r="A2170" s="6" t="s">
        <v>6903</v>
      </c>
      <c r="B2170" s="6" t="s">
        <v>239</v>
      </c>
      <c r="C2170" s="6" t="n">
        <v>3</v>
      </c>
      <c r="D2170" s="6" t="n">
        <v>22</v>
      </c>
      <c r="E2170" s="6" t="n">
        <v>1</v>
      </c>
      <c r="F2170" s="6" t="s">
        <v>103</v>
      </c>
      <c r="G2170" s="28" t="str">
        <f aca="false">IFERROR(INDEX('Semrush Data'!$A$1:$Z$20000,MATCH(A2170,'Semrush Data'!$A$1:$A$20000,0),MATCH("Volume",'Semrush Data'!$A$1:$Z$1,0)),"")</f>
        <v/>
      </c>
      <c r="H2170" s="6" t="str">
        <f aca="false">IFERROR(INDEX('Semrush Data'!$A$1:$Z$20000,MATCH(A2170,'Semrush Data'!$A$1:$A$20000,0),MATCH("Keyword Difficulty*",'Semrush Data'!$A$1:$Z$1,0)),"")</f>
        <v/>
      </c>
      <c r="I2170" s="29" t="str">
        <f aca="false">IFERROR(INDEX('Semrush Data'!$A$1:$Z$20000,MATCH(A2170,'Semrush Data'!$A$1:$A$20000,0),MATCH("CPC*",'Semrush Data'!$A$1:$Z$1,0)),"")</f>
        <v/>
      </c>
      <c r="J2170" s="6" t="str">
        <f aca="false">IFERROR(INDEX('Semrush Data'!$A$1:$Z$20000,MATCH(A2170,'Semrush Data'!$A$1:$A$20000,0),MATCH("Intent",'Semrush Data'!$A$1:$Z$1,0)),"")</f>
        <v/>
      </c>
    </row>
    <row r="2171" customFormat="false" ht="15" hidden="false" customHeight="true" outlineLevel="0" collapsed="false">
      <c r="A2171" s="6" t="s">
        <v>281</v>
      </c>
      <c r="B2171" s="6" t="s">
        <v>239</v>
      </c>
      <c r="C2171" s="6" t="n">
        <v>3</v>
      </c>
      <c r="D2171" s="6" t="s">
        <v>6870</v>
      </c>
      <c r="E2171" s="6" t="n">
        <v>1</v>
      </c>
      <c r="F2171" s="6" t="s">
        <v>103</v>
      </c>
      <c r="G2171" s="28" t="n">
        <f aca="false">IFERROR(INDEX('Semrush Data'!$A$1:$Z$20000,MATCH(A2171,'Semrush Data'!$A$1:$A$20000,0),MATCH("Volume",'Semrush Data'!$A$1:$Z$1,0)),"")</f>
        <v>20</v>
      </c>
      <c r="H2171" s="6" t="n">
        <f aca="false">IFERROR(INDEX('Semrush Data'!$A$1:$Z$20000,MATCH(A2171,'Semrush Data'!$A$1:$A$20000,0),MATCH("Keyword Difficulty*",'Semrush Data'!$A$1:$Z$1,0)),"")</f>
        <v>12</v>
      </c>
      <c r="I2171" s="29" t="n">
        <f aca="false">IFERROR(INDEX('Semrush Data'!$A$1:$Z$20000,MATCH(A2171,'Semrush Data'!$A$1:$A$20000,0),MATCH("CPC*",'Semrush Data'!$A$1:$Z$1,0)),"")</f>
        <v>0</v>
      </c>
      <c r="J2171" s="6" t="str">
        <f aca="false">IFERROR(INDEX('Semrush Data'!$A$1:$Z$20000,MATCH(A2171,'Semrush Data'!$A$1:$A$20000,0),MATCH("Intent",'Semrush Data'!$A$1:$Z$1,0)),"")</f>
        <v>Commercial</v>
      </c>
    </row>
    <row r="2172" customFormat="false" ht="15" hidden="false" customHeight="true" outlineLevel="0" collapsed="false">
      <c r="A2172" s="6" t="s">
        <v>6904</v>
      </c>
      <c r="B2172" s="6" t="s">
        <v>239</v>
      </c>
      <c r="C2172" s="6" t="n">
        <v>3</v>
      </c>
      <c r="D2172" s="6" t="n">
        <v>22</v>
      </c>
      <c r="E2172" s="6" t="n">
        <v>1</v>
      </c>
      <c r="F2172" s="6" t="s">
        <v>2701</v>
      </c>
      <c r="G2172" s="28" t="str">
        <f aca="false">IFERROR(INDEX('Semrush Data'!$A$1:$Z$20000,MATCH(A2172,'Semrush Data'!$A$1:$A$20000,0),MATCH("Volume",'Semrush Data'!$A$1:$Z$1,0)),"")</f>
        <v/>
      </c>
      <c r="H2172" s="6" t="str">
        <f aca="false">IFERROR(INDEX('Semrush Data'!$A$1:$Z$20000,MATCH(A2172,'Semrush Data'!$A$1:$A$20000,0),MATCH("Keyword Difficulty*",'Semrush Data'!$A$1:$Z$1,0)),"")</f>
        <v/>
      </c>
      <c r="I2172" s="29" t="str">
        <f aca="false">IFERROR(INDEX('Semrush Data'!$A$1:$Z$20000,MATCH(A2172,'Semrush Data'!$A$1:$A$20000,0),MATCH("CPC*",'Semrush Data'!$A$1:$Z$1,0)),"")</f>
        <v/>
      </c>
      <c r="J2172" s="6" t="str">
        <f aca="false">IFERROR(INDEX('Semrush Data'!$A$1:$Z$20000,MATCH(A2172,'Semrush Data'!$A$1:$A$20000,0),MATCH("Intent",'Semrush Data'!$A$1:$Z$1,0)),"")</f>
        <v/>
      </c>
    </row>
    <row r="2173" customFormat="false" ht="15" hidden="false" customHeight="true" outlineLevel="0" collapsed="false">
      <c r="A2173" s="6" t="s">
        <v>6905</v>
      </c>
      <c r="B2173" s="6" t="s">
        <v>239</v>
      </c>
      <c r="C2173" s="6" t="n">
        <v>3</v>
      </c>
      <c r="D2173" s="6" t="n">
        <v>22</v>
      </c>
      <c r="E2173" s="6" t="n">
        <v>1</v>
      </c>
      <c r="F2173" s="6" t="s">
        <v>2569</v>
      </c>
      <c r="G2173" s="28" t="str">
        <f aca="false">IFERROR(INDEX('Semrush Data'!$A$1:$Z$20000,MATCH(A2173,'Semrush Data'!$A$1:$A$20000,0),MATCH("Volume",'Semrush Data'!$A$1:$Z$1,0)),"")</f>
        <v/>
      </c>
      <c r="H2173" s="6" t="str">
        <f aca="false">IFERROR(INDEX('Semrush Data'!$A$1:$Z$20000,MATCH(A2173,'Semrush Data'!$A$1:$A$20000,0),MATCH("Keyword Difficulty*",'Semrush Data'!$A$1:$Z$1,0)),"")</f>
        <v/>
      </c>
      <c r="I2173" s="29" t="str">
        <f aca="false">IFERROR(INDEX('Semrush Data'!$A$1:$Z$20000,MATCH(A2173,'Semrush Data'!$A$1:$A$20000,0),MATCH("CPC*",'Semrush Data'!$A$1:$Z$1,0)),"")</f>
        <v/>
      </c>
      <c r="J2173" s="6" t="str">
        <f aca="false">IFERROR(INDEX('Semrush Data'!$A$1:$Z$20000,MATCH(A2173,'Semrush Data'!$A$1:$A$20000,0),MATCH("Intent",'Semrush Data'!$A$1:$Z$1,0)),"")</f>
        <v/>
      </c>
    </row>
    <row r="2174" customFormat="false" ht="15" hidden="false" customHeight="true" outlineLevel="0" collapsed="false">
      <c r="A2174" s="6" t="s">
        <v>6906</v>
      </c>
      <c r="B2174" s="6" t="s">
        <v>239</v>
      </c>
      <c r="C2174" s="6" t="n">
        <v>3</v>
      </c>
      <c r="D2174" s="6" t="n">
        <v>22</v>
      </c>
      <c r="E2174" s="6" t="n">
        <v>1</v>
      </c>
      <c r="F2174" s="6" t="s">
        <v>2569</v>
      </c>
      <c r="G2174" s="28" t="str">
        <f aca="false">IFERROR(INDEX('Semrush Data'!$A$1:$Z$20000,MATCH(A2174,'Semrush Data'!$A$1:$A$20000,0),MATCH("Volume",'Semrush Data'!$A$1:$Z$1,0)),"")</f>
        <v/>
      </c>
      <c r="H2174" s="6" t="str">
        <f aca="false">IFERROR(INDEX('Semrush Data'!$A$1:$Z$20000,MATCH(A2174,'Semrush Data'!$A$1:$A$20000,0),MATCH("Keyword Difficulty*",'Semrush Data'!$A$1:$Z$1,0)),"")</f>
        <v/>
      </c>
      <c r="I2174" s="29" t="str">
        <f aca="false">IFERROR(INDEX('Semrush Data'!$A$1:$Z$20000,MATCH(A2174,'Semrush Data'!$A$1:$A$20000,0),MATCH("CPC*",'Semrush Data'!$A$1:$Z$1,0)),"")</f>
        <v/>
      </c>
      <c r="J2174" s="6" t="str">
        <f aca="false">IFERROR(INDEX('Semrush Data'!$A$1:$Z$20000,MATCH(A2174,'Semrush Data'!$A$1:$A$20000,0),MATCH("Intent",'Semrush Data'!$A$1:$Z$1,0)),"")</f>
        <v/>
      </c>
    </row>
    <row r="2175" customFormat="false" ht="15" hidden="false" customHeight="true" outlineLevel="0" collapsed="false">
      <c r="A2175" s="6" t="s">
        <v>6907</v>
      </c>
      <c r="B2175" s="6" t="s">
        <v>239</v>
      </c>
      <c r="C2175" s="6" t="n">
        <v>3</v>
      </c>
      <c r="D2175" s="6" t="n">
        <v>22</v>
      </c>
      <c r="E2175" s="6" t="n">
        <v>1</v>
      </c>
      <c r="F2175" s="6" t="s">
        <v>2569</v>
      </c>
      <c r="G2175" s="28" t="str">
        <f aca="false">IFERROR(INDEX('Semrush Data'!$A$1:$Z$20000,MATCH(A2175,'Semrush Data'!$A$1:$A$20000,0),MATCH("Volume",'Semrush Data'!$A$1:$Z$1,0)),"")</f>
        <v/>
      </c>
      <c r="H2175" s="6" t="str">
        <f aca="false">IFERROR(INDEX('Semrush Data'!$A$1:$Z$20000,MATCH(A2175,'Semrush Data'!$A$1:$A$20000,0),MATCH("Keyword Difficulty*",'Semrush Data'!$A$1:$Z$1,0)),"")</f>
        <v/>
      </c>
      <c r="I2175" s="29" t="str">
        <f aca="false">IFERROR(INDEX('Semrush Data'!$A$1:$Z$20000,MATCH(A2175,'Semrush Data'!$A$1:$A$20000,0),MATCH("CPC*",'Semrush Data'!$A$1:$Z$1,0)),"")</f>
        <v/>
      </c>
      <c r="J2175" s="6" t="str">
        <f aca="false">IFERROR(INDEX('Semrush Data'!$A$1:$Z$20000,MATCH(A2175,'Semrush Data'!$A$1:$A$20000,0),MATCH("Intent",'Semrush Data'!$A$1:$Z$1,0)),"")</f>
        <v/>
      </c>
    </row>
    <row r="2176" customFormat="false" ht="15" hidden="false" customHeight="true" outlineLevel="0" collapsed="false">
      <c r="A2176" s="6" t="s">
        <v>6908</v>
      </c>
      <c r="B2176" s="6" t="s">
        <v>239</v>
      </c>
      <c r="C2176" s="6" t="n">
        <v>3</v>
      </c>
      <c r="D2176" s="6" t="n">
        <v>22</v>
      </c>
      <c r="E2176" s="6" t="n">
        <v>1</v>
      </c>
      <c r="F2176" s="6" t="s">
        <v>2569</v>
      </c>
      <c r="G2176" s="28" t="str">
        <f aca="false">IFERROR(INDEX('Semrush Data'!$A$1:$Z$20000,MATCH(A2176,'Semrush Data'!$A$1:$A$20000,0),MATCH("Volume",'Semrush Data'!$A$1:$Z$1,0)),"")</f>
        <v/>
      </c>
      <c r="H2176" s="6" t="str">
        <f aca="false">IFERROR(INDEX('Semrush Data'!$A$1:$Z$20000,MATCH(A2176,'Semrush Data'!$A$1:$A$20000,0),MATCH("Keyword Difficulty*",'Semrush Data'!$A$1:$Z$1,0)),"")</f>
        <v/>
      </c>
      <c r="I2176" s="29" t="str">
        <f aca="false">IFERROR(INDEX('Semrush Data'!$A$1:$Z$20000,MATCH(A2176,'Semrush Data'!$A$1:$A$20000,0),MATCH("CPC*",'Semrush Data'!$A$1:$Z$1,0)),"")</f>
        <v/>
      </c>
      <c r="J2176" s="6" t="str">
        <f aca="false">IFERROR(INDEX('Semrush Data'!$A$1:$Z$20000,MATCH(A2176,'Semrush Data'!$A$1:$A$20000,0),MATCH("Intent",'Semrush Data'!$A$1:$Z$1,0)),"")</f>
        <v/>
      </c>
    </row>
    <row r="2177" customFormat="false" ht="15" hidden="false" customHeight="true" outlineLevel="0" collapsed="false">
      <c r="A2177" s="6" t="s">
        <v>6909</v>
      </c>
      <c r="B2177" s="6" t="s">
        <v>239</v>
      </c>
      <c r="C2177" s="6" t="n">
        <v>3</v>
      </c>
      <c r="D2177" s="6" t="n">
        <v>22</v>
      </c>
      <c r="E2177" s="6" t="n">
        <v>1</v>
      </c>
      <c r="F2177" s="6" t="s">
        <v>2569</v>
      </c>
      <c r="G2177" s="28" t="str">
        <f aca="false">IFERROR(INDEX('Semrush Data'!$A$1:$Z$20000,MATCH(A2177,'Semrush Data'!$A$1:$A$20000,0),MATCH("Volume",'Semrush Data'!$A$1:$Z$1,0)),"")</f>
        <v/>
      </c>
      <c r="H2177" s="6" t="str">
        <f aca="false">IFERROR(INDEX('Semrush Data'!$A$1:$Z$20000,MATCH(A2177,'Semrush Data'!$A$1:$A$20000,0),MATCH("Keyword Difficulty*",'Semrush Data'!$A$1:$Z$1,0)),"")</f>
        <v/>
      </c>
      <c r="I2177" s="29" t="str">
        <f aca="false">IFERROR(INDEX('Semrush Data'!$A$1:$Z$20000,MATCH(A2177,'Semrush Data'!$A$1:$A$20000,0),MATCH("CPC*",'Semrush Data'!$A$1:$Z$1,0)),"")</f>
        <v/>
      </c>
      <c r="J2177" s="6" t="str">
        <f aca="false">IFERROR(INDEX('Semrush Data'!$A$1:$Z$20000,MATCH(A2177,'Semrush Data'!$A$1:$A$20000,0),MATCH("Intent",'Semrush Data'!$A$1:$Z$1,0)),"")</f>
        <v/>
      </c>
    </row>
    <row r="2178" customFormat="false" ht="15" hidden="false" customHeight="true" outlineLevel="0" collapsed="false">
      <c r="A2178" s="6" t="s">
        <v>6910</v>
      </c>
      <c r="B2178" s="6" t="s">
        <v>239</v>
      </c>
      <c r="C2178" s="6" t="n">
        <v>3</v>
      </c>
      <c r="D2178" s="6" t="n">
        <v>22</v>
      </c>
      <c r="E2178" s="6" t="n">
        <v>1</v>
      </c>
      <c r="F2178" s="6" t="s">
        <v>2582</v>
      </c>
      <c r="G2178" s="28" t="str">
        <f aca="false">IFERROR(INDEX('Semrush Data'!$A$1:$Z$20000,MATCH(A2178,'Semrush Data'!$A$1:$A$20000,0),MATCH("Volume",'Semrush Data'!$A$1:$Z$1,0)),"")</f>
        <v/>
      </c>
      <c r="H2178" s="6" t="str">
        <f aca="false">IFERROR(INDEX('Semrush Data'!$A$1:$Z$20000,MATCH(A2178,'Semrush Data'!$A$1:$A$20000,0),MATCH("Keyword Difficulty*",'Semrush Data'!$A$1:$Z$1,0)),"")</f>
        <v/>
      </c>
      <c r="I2178" s="29" t="str">
        <f aca="false">IFERROR(INDEX('Semrush Data'!$A$1:$Z$20000,MATCH(A2178,'Semrush Data'!$A$1:$A$20000,0),MATCH("CPC*",'Semrush Data'!$A$1:$Z$1,0)),"")</f>
        <v/>
      </c>
      <c r="J2178" s="6" t="str">
        <f aca="false">IFERROR(INDEX('Semrush Data'!$A$1:$Z$20000,MATCH(A2178,'Semrush Data'!$A$1:$A$20000,0),MATCH("Intent",'Semrush Data'!$A$1:$Z$1,0)),"")</f>
        <v/>
      </c>
    </row>
    <row r="2179" customFormat="false" ht="15" hidden="false" customHeight="true" outlineLevel="0" collapsed="false">
      <c r="A2179" s="6" t="s">
        <v>6911</v>
      </c>
      <c r="B2179" s="6" t="s">
        <v>239</v>
      </c>
      <c r="C2179" s="6" t="n">
        <v>3</v>
      </c>
      <c r="D2179" s="6" t="n">
        <v>22</v>
      </c>
      <c r="E2179" s="6" t="n">
        <v>1</v>
      </c>
      <c r="F2179" s="6" t="s">
        <v>2582</v>
      </c>
      <c r="G2179" s="28" t="str">
        <f aca="false">IFERROR(INDEX('Semrush Data'!$A$1:$Z$20000,MATCH(A2179,'Semrush Data'!$A$1:$A$20000,0),MATCH("Volume",'Semrush Data'!$A$1:$Z$1,0)),"")</f>
        <v/>
      </c>
      <c r="H2179" s="6" t="str">
        <f aca="false">IFERROR(INDEX('Semrush Data'!$A$1:$Z$20000,MATCH(A2179,'Semrush Data'!$A$1:$A$20000,0),MATCH("Keyword Difficulty*",'Semrush Data'!$A$1:$Z$1,0)),"")</f>
        <v/>
      </c>
      <c r="I2179" s="29" t="str">
        <f aca="false">IFERROR(INDEX('Semrush Data'!$A$1:$Z$20000,MATCH(A2179,'Semrush Data'!$A$1:$A$20000,0),MATCH("CPC*",'Semrush Data'!$A$1:$Z$1,0)),"")</f>
        <v/>
      </c>
      <c r="J2179" s="6" t="str">
        <f aca="false">IFERROR(INDEX('Semrush Data'!$A$1:$Z$20000,MATCH(A2179,'Semrush Data'!$A$1:$A$20000,0),MATCH("Intent",'Semrush Data'!$A$1:$Z$1,0)),"")</f>
        <v/>
      </c>
    </row>
    <row r="2180" customFormat="false" ht="15" hidden="false" customHeight="true" outlineLevel="0" collapsed="false">
      <c r="A2180" s="6" t="s">
        <v>6912</v>
      </c>
      <c r="B2180" s="6" t="s">
        <v>239</v>
      </c>
      <c r="C2180" s="6" t="n">
        <v>3</v>
      </c>
      <c r="D2180" s="6" t="n">
        <v>22</v>
      </c>
      <c r="E2180" s="6" t="n">
        <v>1</v>
      </c>
      <c r="F2180" s="6" t="s">
        <v>2582</v>
      </c>
      <c r="G2180" s="28" t="str">
        <f aca="false">IFERROR(INDEX('Semrush Data'!$A$1:$Z$20000,MATCH(A2180,'Semrush Data'!$A$1:$A$20000,0),MATCH("Volume",'Semrush Data'!$A$1:$Z$1,0)),"")</f>
        <v/>
      </c>
      <c r="H2180" s="6" t="str">
        <f aca="false">IFERROR(INDEX('Semrush Data'!$A$1:$Z$20000,MATCH(A2180,'Semrush Data'!$A$1:$A$20000,0),MATCH("Keyword Difficulty*",'Semrush Data'!$A$1:$Z$1,0)),"")</f>
        <v/>
      </c>
      <c r="I2180" s="29" t="str">
        <f aca="false">IFERROR(INDEX('Semrush Data'!$A$1:$Z$20000,MATCH(A2180,'Semrush Data'!$A$1:$A$20000,0),MATCH("CPC*",'Semrush Data'!$A$1:$Z$1,0)),"")</f>
        <v/>
      </c>
      <c r="J2180" s="6" t="str">
        <f aca="false">IFERROR(INDEX('Semrush Data'!$A$1:$Z$20000,MATCH(A2180,'Semrush Data'!$A$1:$A$20000,0),MATCH("Intent",'Semrush Data'!$A$1:$Z$1,0)),"")</f>
        <v/>
      </c>
    </row>
    <row r="2181" customFormat="false" ht="15" hidden="false" customHeight="true" outlineLevel="0" collapsed="false">
      <c r="A2181" s="6" t="s">
        <v>6913</v>
      </c>
      <c r="B2181" s="6" t="s">
        <v>239</v>
      </c>
      <c r="C2181" s="6" t="n">
        <v>3</v>
      </c>
      <c r="D2181" s="6" t="n">
        <v>22</v>
      </c>
      <c r="E2181" s="6" t="n">
        <v>1</v>
      </c>
      <c r="F2181" s="6" t="s">
        <v>2582</v>
      </c>
      <c r="G2181" s="28" t="str">
        <f aca="false">IFERROR(INDEX('Semrush Data'!$A$1:$Z$20000,MATCH(A2181,'Semrush Data'!$A$1:$A$20000,0),MATCH("Volume",'Semrush Data'!$A$1:$Z$1,0)),"")</f>
        <v/>
      </c>
      <c r="H2181" s="6" t="str">
        <f aca="false">IFERROR(INDEX('Semrush Data'!$A$1:$Z$20000,MATCH(A2181,'Semrush Data'!$A$1:$A$20000,0),MATCH("Keyword Difficulty*",'Semrush Data'!$A$1:$Z$1,0)),"")</f>
        <v/>
      </c>
      <c r="I2181" s="29" t="str">
        <f aca="false">IFERROR(INDEX('Semrush Data'!$A$1:$Z$20000,MATCH(A2181,'Semrush Data'!$A$1:$A$20000,0),MATCH("CPC*",'Semrush Data'!$A$1:$Z$1,0)),"")</f>
        <v/>
      </c>
      <c r="J2181" s="6" t="str">
        <f aca="false">IFERROR(INDEX('Semrush Data'!$A$1:$Z$20000,MATCH(A2181,'Semrush Data'!$A$1:$A$20000,0),MATCH("Intent",'Semrush Data'!$A$1:$Z$1,0)),"")</f>
        <v/>
      </c>
    </row>
    <row r="2182" customFormat="false" ht="15" hidden="false" customHeight="true" outlineLevel="0" collapsed="false">
      <c r="A2182" s="6" t="s">
        <v>6914</v>
      </c>
      <c r="B2182" s="6" t="s">
        <v>239</v>
      </c>
      <c r="C2182" s="6" t="n">
        <v>3</v>
      </c>
      <c r="D2182" s="6" t="n">
        <v>22</v>
      </c>
      <c r="E2182" s="6" t="n">
        <v>1</v>
      </c>
      <c r="F2182" s="6" t="s">
        <v>2582</v>
      </c>
      <c r="G2182" s="28" t="str">
        <f aca="false">IFERROR(INDEX('Semrush Data'!$A$1:$Z$20000,MATCH(A2182,'Semrush Data'!$A$1:$A$20000,0),MATCH("Volume",'Semrush Data'!$A$1:$Z$1,0)),"")</f>
        <v/>
      </c>
      <c r="H2182" s="6" t="str">
        <f aca="false">IFERROR(INDEX('Semrush Data'!$A$1:$Z$20000,MATCH(A2182,'Semrush Data'!$A$1:$A$20000,0),MATCH("Keyword Difficulty*",'Semrush Data'!$A$1:$Z$1,0)),"")</f>
        <v/>
      </c>
      <c r="I2182" s="29" t="str">
        <f aca="false">IFERROR(INDEX('Semrush Data'!$A$1:$Z$20000,MATCH(A2182,'Semrush Data'!$A$1:$A$20000,0),MATCH("CPC*",'Semrush Data'!$A$1:$Z$1,0)),"")</f>
        <v/>
      </c>
      <c r="J2182" s="6" t="str">
        <f aca="false">IFERROR(INDEX('Semrush Data'!$A$1:$Z$20000,MATCH(A2182,'Semrush Data'!$A$1:$A$20000,0),MATCH("Intent",'Semrush Data'!$A$1:$Z$1,0)),"")</f>
        <v/>
      </c>
    </row>
    <row r="2183" customFormat="false" ht="15" hidden="false" customHeight="true" outlineLevel="0" collapsed="false">
      <c r="A2183" s="6" t="s">
        <v>6915</v>
      </c>
      <c r="B2183" s="6" t="s">
        <v>239</v>
      </c>
      <c r="C2183" s="6" t="n">
        <v>3</v>
      </c>
      <c r="D2183" s="6" t="n">
        <v>22</v>
      </c>
      <c r="E2183" s="6" t="n">
        <v>1</v>
      </c>
      <c r="F2183" s="6" t="s">
        <v>2595</v>
      </c>
      <c r="G2183" s="28" t="str">
        <f aca="false">IFERROR(INDEX('Semrush Data'!$A$1:$Z$20000,MATCH(A2183,'Semrush Data'!$A$1:$A$20000,0),MATCH("Volume",'Semrush Data'!$A$1:$Z$1,0)),"")</f>
        <v/>
      </c>
      <c r="H2183" s="6" t="str">
        <f aca="false">IFERROR(INDEX('Semrush Data'!$A$1:$Z$20000,MATCH(A2183,'Semrush Data'!$A$1:$A$20000,0),MATCH("Keyword Difficulty*",'Semrush Data'!$A$1:$Z$1,0)),"")</f>
        <v/>
      </c>
      <c r="I2183" s="29" t="str">
        <f aca="false">IFERROR(INDEX('Semrush Data'!$A$1:$Z$20000,MATCH(A2183,'Semrush Data'!$A$1:$A$20000,0),MATCH("CPC*",'Semrush Data'!$A$1:$Z$1,0)),"")</f>
        <v/>
      </c>
      <c r="J2183" s="6" t="str">
        <f aca="false">IFERROR(INDEX('Semrush Data'!$A$1:$Z$20000,MATCH(A2183,'Semrush Data'!$A$1:$A$20000,0),MATCH("Intent",'Semrush Data'!$A$1:$Z$1,0)),"")</f>
        <v/>
      </c>
    </row>
    <row r="2184" customFormat="false" ht="15" hidden="false" customHeight="true" outlineLevel="0" collapsed="false">
      <c r="A2184" s="6" t="s">
        <v>6916</v>
      </c>
      <c r="B2184" s="6" t="s">
        <v>239</v>
      </c>
      <c r="C2184" s="6" t="n">
        <v>3</v>
      </c>
      <c r="D2184" s="6" t="n">
        <v>22</v>
      </c>
      <c r="E2184" s="6" t="n">
        <v>1</v>
      </c>
      <c r="F2184" s="6" t="s">
        <v>2595</v>
      </c>
      <c r="G2184" s="28" t="str">
        <f aca="false">IFERROR(INDEX('Semrush Data'!$A$1:$Z$20000,MATCH(A2184,'Semrush Data'!$A$1:$A$20000,0),MATCH("Volume",'Semrush Data'!$A$1:$Z$1,0)),"")</f>
        <v/>
      </c>
      <c r="H2184" s="6" t="str">
        <f aca="false">IFERROR(INDEX('Semrush Data'!$A$1:$Z$20000,MATCH(A2184,'Semrush Data'!$A$1:$A$20000,0),MATCH("Keyword Difficulty*",'Semrush Data'!$A$1:$Z$1,0)),"")</f>
        <v/>
      </c>
      <c r="I2184" s="29" t="str">
        <f aca="false">IFERROR(INDEX('Semrush Data'!$A$1:$Z$20000,MATCH(A2184,'Semrush Data'!$A$1:$A$20000,0),MATCH("CPC*",'Semrush Data'!$A$1:$Z$1,0)),"")</f>
        <v/>
      </c>
      <c r="J2184" s="6" t="str">
        <f aca="false">IFERROR(INDEX('Semrush Data'!$A$1:$Z$20000,MATCH(A2184,'Semrush Data'!$A$1:$A$20000,0),MATCH("Intent",'Semrush Data'!$A$1:$Z$1,0)),"")</f>
        <v/>
      </c>
    </row>
    <row r="2185" customFormat="false" ht="15" hidden="false" customHeight="true" outlineLevel="0" collapsed="false">
      <c r="A2185" s="6" t="s">
        <v>6917</v>
      </c>
      <c r="B2185" s="6" t="s">
        <v>239</v>
      </c>
      <c r="C2185" s="6" t="n">
        <v>3</v>
      </c>
      <c r="D2185" s="6" t="n">
        <v>22</v>
      </c>
      <c r="E2185" s="6" t="n">
        <v>1</v>
      </c>
      <c r="F2185" s="6" t="s">
        <v>2595</v>
      </c>
      <c r="G2185" s="28" t="str">
        <f aca="false">IFERROR(INDEX('Semrush Data'!$A$1:$Z$20000,MATCH(A2185,'Semrush Data'!$A$1:$A$20000,0),MATCH("Volume",'Semrush Data'!$A$1:$Z$1,0)),"")</f>
        <v/>
      </c>
      <c r="H2185" s="6" t="str">
        <f aca="false">IFERROR(INDEX('Semrush Data'!$A$1:$Z$20000,MATCH(A2185,'Semrush Data'!$A$1:$A$20000,0),MATCH("Keyword Difficulty*",'Semrush Data'!$A$1:$Z$1,0)),"")</f>
        <v/>
      </c>
      <c r="I2185" s="29" t="str">
        <f aca="false">IFERROR(INDEX('Semrush Data'!$A$1:$Z$20000,MATCH(A2185,'Semrush Data'!$A$1:$A$20000,0),MATCH("CPC*",'Semrush Data'!$A$1:$Z$1,0)),"")</f>
        <v/>
      </c>
      <c r="J2185" s="6" t="str">
        <f aca="false">IFERROR(INDEX('Semrush Data'!$A$1:$Z$20000,MATCH(A2185,'Semrush Data'!$A$1:$A$20000,0),MATCH("Intent",'Semrush Data'!$A$1:$Z$1,0)),"")</f>
        <v/>
      </c>
    </row>
    <row r="2186" customFormat="false" ht="15" hidden="false" customHeight="true" outlineLevel="0" collapsed="false">
      <c r="A2186" s="6" t="s">
        <v>6918</v>
      </c>
      <c r="B2186" s="6" t="s">
        <v>239</v>
      </c>
      <c r="C2186" s="6" t="n">
        <v>3</v>
      </c>
      <c r="D2186" s="6" t="n">
        <v>22</v>
      </c>
      <c r="E2186" s="6" t="n">
        <v>1</v>
      </c>
      <c r="F2186" s="6" t="s">
        <v>2595</v>
      </c>
      <c r="G2186" s="28" t="str">
        <f aca="false">IFERROR(INDEX('Semrush Data'!$A$1:$Z$20000,MATCH(A2186,'Semrush Data'!$A$1:$A$20000,0),MATCH("Volume",'Semrush Data'!$A$1:$Z$1,0)),"")</f>
        <v/>
      </c>
      <c r="H2186" s="6" t="str">
        <f aca="false">IFERROR(INDEX('Semrush Data'!$A$1:$Z$20000,MATCH(A2186,'Semrush Data'!$A$1:$A$20000,0),MATCH("Keyword Difficulty*",'Semrush Data'!$A$1:$Z$1,0)),"")</f>
        <v/>
      </c>
      <c r="I2186" s="29" t="str">
        <f aca="false">IFERROR(INDEX('Semrush Data'!$A$1:$Z$20000,MATCH(A2186,'Semrush Data'!$A$1:$A$20000,0),MATCH("CPC*",'Semrush Data'!$A$1:$Z$1,0)),"")</f>
        <v/>
      </c>
      <c r="J2186" s="6" t="str">
        <f aca="false">IFERROR(INDEX('Semrush Data'!$A$1:$Z$20000,MATCH(A2186,'Semrush Data'!$A$1:$A$20000,0),MATCH("Intent",'Semrush Data'!$A$1:$Z$1,0)),"")</f>
        <v/>
      </c>
    </row>
    <row r="2187" customFormat="false" ht="15" hidden="false" customHeight="true" outlineLevel="0" collapsed="false">
      <c r="A2187" s="6" t="s">
        <v>6919</v>
      </c>
      <c r="B2187" s="6" t="s">
        <v>239</v>
      </c>
      <c r="C2187" s="6" t="n">
        <v>3</v>
      </c>
      <c r="D2187" s="6" t="n">
        <v>22</v>
      </c>
      <c r="E2187" s="6" t="n">
        <v>1</v>
      </c>
      <c r="F2187" s="6" t="s">
        <v>2595</v>
      </c>
      <c r="G2187" s="28" t="str">
        <f aca="false">IFERROR(INDEX('Semrush Data'!$A$1:$Z$20000,MATCH(A2187,'Semrush Data'!$A$1:$A$20000,0),MATCH("Volume",'Semrush Data'!$A$1:$Z$1,0)),"")</f>
        <v/>
      </c>
      <c r="H2187" s="6" t="str">
        <f aca="false">IFERROR(INDEX('Semrush Data'!$A$1:$Z$20000,MATCH(A2187,'Semrush Data'!$A$1:$A$20000,0),MATCH("Keyword Difficulty*",'Semrush Data'!$A$1:$Z$1,0)),"")</f>
        <v/>
      </c>
      <c r="I2187" s="29" t="str">
        <f aca="false">IFERROR(INDEX('Semrush Data'!$A$1:$Z$20000,MATCH(A2187,'Semrush Data'!$A$1:$A$20000,0),MATCH("CPC*",'Semrush Data'!$A$1:$Z$1,0)),"")</f>
        <v/>
      </c>
      <c r="J2187" s="6" t="str">
        <f aca="false">IFERROR(INDEX('Semrush Data'!$A$1:$Z$20000,MATCH(A2187,'Semrush Data'!$A$1:$A$20000,0),MATCH("Intent",'Semrush Data'!$A$1:$Z$1,0)),"")</f>
        <v/>
      </c>
    </row>
    <row r="2188" customFormat="false" ht="15" hidden="false" customHeight="true" outlineLevel="0" collapsed="false">
      <c r="A2188" s="6" t="s">
        <v>6920</v>
      </c>
      <c r="B2188" s="6" t="s">
        <v>239</v>
      </c>
      <c r="C2188" s="6" t="n">
        <v>3</v>
      </c>
      <c r="D2188" s="6" t="n">
        <v>22</v>
      </c>
      <c r="E2188" s="6" t="n">
        <v>1</v>
      </c>
      <c r="F2188" s="6" t="s">
        <v>2607</v>
      </c>
      <c r="G2188" s="28" t="str">
        <f aca="false">IFERROR(INDEX('Semrush Data'!$A$1:$Z$20000,MATCH(A2188,'Semrush Data'!$A$1:$A$20000,0),MATCH("Volume",'Semrush Data'!$A$1:$Z$1,0)),"")</f>
        <v/>
      </c>
      <c r="H2188" s="6" t="str">
        <f aca="false">IFERROR(INDEX('Semrush Data'!$A$1:$Z$20000,MATCH(A2188,'Semrush Data'!$A$1:$A$20000,0),MATCH("Keyword Difficulty*",'Semrush Data'!$A$1:$Z$1,0)),"")</f>
        <v/>
      </c>
      <c r="I2188" s="29" t="str">
        <f aca="false">IFERROR(INDEX('Semrush Data'!$A$1:$Z$20000,MATCH(A2188,'Semrush Data'!$A$1:$A$20000,0),MATCH("CPC*",'Semrush Data'!$A$1:$Z$1,0)),"")</f>
        <v/>
      </c>
      <c r="J2188" s="6" t="str">
        <f aca="false">IFERROR(INDEX('Semrush Data'!$A$1:$Z$20000,MATCH(A2188,'Semrush Data'!$A$1:$A$20000,0),MATCH("Intent",'Semrush Data'!$A$1:$Z$1,0)),"")</f>
        <v/>
      </c>
    </row>
    <row r="2189" customFormat="false" ht="15" hidden="false" customHeight="true" outlineLevel="0" collapsed="false">
      <c r="A2189" s="6" t="s">
        <v>6921</v>
      </c>
      <c r="B2189" s="6" t="s">
        <v>239</v>
      </c>
      <c r="C2189" s="6" t="n">
        <v>3</v>
      </c>
      <c r="D2189" s="6" t="n">
        <v>22</v>
      </c>
      <c r="E2189" s="6" t="n">
        <v>1</v>
      </c>
      <c r="F2189" s="6" t="s">
        <v>2607</v>
      </c>
      <c r="G2189" s="28" t="str">
        <f aca="false">IFERROR(INDEX('Semrush Data'!$A$1:$Z$20000,MATCH(A2189,'Semrush Data'!$A$1:$A$20000,0),MATCH("Volume",'Semrush Data'!$A$1:$Z$1,0)),"")</f>
        <v/>
      </c>
      <c r="H2189" s="6" t="str">
        <f aca="false">IFERROR(INDEX('Semrush Data'!$A$1:$Z$20000,MATCH(A2189,'Semrush Data'!$A$1:$A$20000,0),MATCH("Keyword Difficulty*",'Semrush Data'!$A$1:$Z$1,0)),"")</f>
        <v/>
      </c>
      <c r="I2189" s="29" t="str">
        <f aca="false">IFERROR(INDEX('Semrush Data'!$A$1:$Z$20000,MATCH(A2189,'Semrush Data'!$A$1:$A$20000,0),MATCH("CPC*",'Semrush Data'!$A$1:$Z$1,0)),"")</f>
        <v/>
      </c>
      <c r="J2189" s="6" t="str">
        <f aca="false">IFERROR(INDEX('Semrush Data'!$A$1:$Z$20000,MATCH(A2189,'Semrush Data'!$A$1:$A$20000,0),MATCH("Intent",'Semrush Data'!$A$1:$Z$1,0)),"")</f>
        <v/>
      </c>
    </row>
    <row r="2190" customFormat="false" ht="15" hidden="false" customHeight="true" outlineLevel="0" collapsed="false">
      <c r="A2190" s="6" t="s">
        <v>6922</v>
      </c>
      <c r="B2190" s="6" t="s">
        <v>239</v>
      </c>
      <c r="C2190" s="6" t="n">
        <v>3</v>
      </c>
      <c r="D2190" s="6" t="n">
        <v>22</v>
      </c>
      <c r="E2190" s="6" t="n">
        <v>1</v>
      </c>
      <c r="F2190" s="6" t="s">
        <v>2607</v>
      </c>
      <c r="G2190" s="28" t="str">
        <f aca="false">IFERROR(INDEX('Semrush Data'!$A$1:$Z$20000,MATCH(A2190,'Semrush Data'!$A$1:$A$20000,0),MATCH("Volume",'Semrush Data'!$A$1:$Z$1,0)),"")</f>
        <v/>
      </c>
      <c r="H2190" s="6" t="str">
        <f aca="false">IFERROR(INDEX('Semrush Data'!$A$1:$Z$20000,MATCH(A2190,'Semrush Data'!$A$1:$A$20000,0),MATCH("Keyword Difficulty*",'Semrush Data'!$A$1:$Z$1,0)),"")</f>
        <v/>
      </c>
      <c r="I2190" s="29" t="str">
        <f aca="false">IFERROR(INDEX('Semrush Data'!$A$1:$Z$20000,MATCH(A2190,'Semrush Data'!$A$1:$A$20000,0),MATCH("CPC*",'Semrush Data'!$A$1:$Z$1,0)),"")</f>
        <v/>
      </c>
      <c r="J2190" s="6" t="str">
        <f aca="false">IFERROR(INDEX('Semrush Data'!$A$1:$Z$20000,MATCH(A2190,'Semrush Data'!$A$1:$A$20000,0),MATCH("Intent",'Semrush Data'!$A$1:$Z$1,0)),"")</f>
        <v/>
      </c>
    </row>
    <row r="2191" customFormat="false" ht="15" hidden="false" customHeight="true" outlineLevel="0" collapsed="false">
      <c r="A2191" s="6" t="s">
        <v>6923</v>
      </c>
      <c r="B2191" s="6" t="s">
        <v>239</v>
      </c>
      <c r="C2191" s="6" t="n">
        <v>3</v>
      </c>
      <c r="D2191" s="6" t="n">
        <v>22</v>
      </c>
      <c r="E2191" s="6" t="n">
        <v>1</v>
      </c>
      <c r="F2191" s="6" t="s">
        <v>2607</v>
      </c>
      <c r="G2191" s="28" t="str">
        <f aca="false">IFERROR(INDEX('Semrush Data'!$A$1:$Z$20000,MATCH(A2191,'Semrush Data'!$A$1:$A$20000,0),MATCH("Volume",'Semrush Data'!$A$1:$Z$1,0)),"")</f>
        <v/>
      </c>
      <c r="H2191" s="6" t="str">
        <f aca="false">IFERROR(INDEX('Semrush Data'!$A$1:$Z$20000,MATCH(A2191,'Semrush Data'!$A$1:$A$20000,0),MATCH("Keyword Difficulty*",'Semrush Data'!$A$1:$Z$1,0)),"")</f>
        <v/>
      </c>
      <c r="I2191" s="29" t="str">
        <f aca="false">IFERROR(INDEX('Semrush Data'!$A$1:$Z$20000,MATCH(A2191,'Semrush Data'!$A$1:$A$20000,0),MATCH("CPC*",'Semrush Data'!$A$1:$Z$1,0)),"")</f>
        <v/>
      </c>
      <c r="J2191" s="6" t="str">
        <f aca="false">IFERROR(INDEX('Semrush Data'!$A$1:$Z$20000,MATCH(A2191,'Semrush Data'!$A$1:$A$20000,0),MATCH("Intent",'Semrush Data'!$A$1:$Z$1,0)),"")</f>
        <v/>
      </c>
    </row>
    <row r="2192" customFormat="false" ht="15" hidden="false" customHeight="true" outlineLevel="0" collapsed="false">
      <c r="A2192" s="6" t="s">
        <v>6924</v>
      </c>
      <c r="B2192" s="6" t="s">
        <v>239</v>
      </c>
      <c r="C2192" s="6" t="n">
        <v>3</v>
      </c>
      <c r="D2192" s="6" t="n">
        <v>22</v>
      </c>
      <c r="E2192" s="6" t="n">
        <v>1</v>
      </c>
      <c r="F2192" s="6" t="s">
        <v>2607</v>
      </c>
      <c r="G2192" s="28" t="str">
        <f aca="false">IFERROR(INDEX('Semrush Data'!$A$1:$Z$20000,MATCH(A2192,'Semrush Data'!$A$1:$A$20000,0),MATCH("Volume",'Semrush Data'!$A$1:$Z$1,0)),"")</f>
        <v/>
      </c>
      <c r="H2192" s="6" t="str">
        <f aca="false">IFERROR(INDEX('Semrush Data'!$A$1:$Z$20000,MATCH(A2192,'Semrush Data'!$A$1:$A$20000,0),MATCH("Keyword Difficulty*",'Semrush Data'!$A$1:$Z$1,0)),"")</f>
        <v/>
      </c>
      <c r="I2192" s="29" t="str">
        <f aca="false">IFERROR(INDEX('Semrush Data'!$A$1:$Z$20000,MATCH(A2192,'Semrush Data'!$A$1:$A$20000,0),MATCH("CPC*",'Semrush Data'!$A$1:$Z$1,0)),"")</f>
        <v/>
      </c>
      <c r="J2192" s="6" t="str">
        <f aca="false">IFERROR(INDEX('Semrush Data'!$A$1:$Z$20000,MATCH(A2192,'Semrush Data'!$A$1:$A$20000,0),MATCH("Intent",'Semrush Data'!$A$1:$Z$1,0)),"")</f>
        <v/>
      </c>
    </row>
    <row r="2193" customFormat="false" ht="15" hidden="false" customHeight="true" outlineLevel="0" collapsed="false">
      <c r="A2193" s="6" t="s">
        <v>6925</v>
      </c>
      <c r="B2193" s="6" t="s">
        <v>239</v>
      </c>
      <c r="C2193" s="6" t="n">
        <v>3</v>
      </c>
      <c r="D2193" s="6" t="n">
        <v>22</v>
      </c>
      <c r="E2193" s="6" t="n">
        <v>1</v>
      </c>
      <c r="F2193" s="6" t="s">
        <v>2734</v>
      </c>
      <c r="G2193" s="28" t="str">
        <f aca="false">IFERROR(INDEX('Semrush Data'!$A$1:$Z$20000,MATCH(A2193,'Semrush Data'!$A$1:$A$20000,0),MATCH("Volume",'Semrush Data'!$A$1:$Z$1,0)),"")</f>
        <v/>
      </c>
      <c r="H2193" s="6" t="str">
        <f aca="false">IFERROR(INDEX('Semrush Data'!$A$1:$Z$20000,MATCH(A2193,'Semrush Data'!$A$1:$A$20000,0),MATCH("Keyword Difficulty*",'Semrush Data'!$A$1:$Z$1,0)),"")</f>
        <v/>
      </c>
      <c r="I2193" s="29" t="str">
        <f aca="false">IFERROR(INDEX('Semrush Data'!$A$1:$Z$20000,MATCH(A2193,'Semrush Data'!$A$1:$A$20000,0),MATCH("CPC*",'Semrush Data'!$A$1:$Z$1,0)),"")</f>
        <v/>
      </c>
      <c r="J2193" s="6" t="str">
        <f aca="false">IFERROR(INDEX('Semrush Data'!$A$1:$Z$20000,MATCH(A2193,'Semrush Data'!$A$1:$A$20000,0),MATCH("Intent",'Semrush Data'!$A$1:$Z$1,0)),"")</f>
        <v/>
      </c>
    </row>
    <row r="2194" customFormat="false" ht="15" hidden="false" customHeight="true" outlineLevel="0" collapsed="false">
      <c r="A2194" s="6" t="s">
        <v>6926</v>
      </c>
      <c r="B2194" s="6" t="s">
        <v>239</v>
      </c>
      <c r="C2194" s="6" t="n">
        <v>3</v>
      </c>
      <c r="D2194" s="6" t="n">
        <v>22</v>
      </c>
      <c r="E2194" s="6" t="n">
        <v>1</v>
      </c>
      <c r="F2194" s="6" t="s">
        <v>2734</v>
      </c>
      <c r="G2194" s="28" t="str">
        <f aca="false">IFERROR(INDEX('Semrush Data'!$A$1:$Z$20000,MATCH(A2194,'Semrush Data'!$A$1:$A$20000,0),MATCH("Volume",'Semrush Data'!$A$1:$Z$1,0)),"")</f>
        <v/>
      </c>
      <c r="H2194" s="6" t="str">
        <f aca="false">IFERROR(INDEX('Semrush Data'!$A$1:$Z$20000,MATCH(A2194,'Semrush Data'!$A$1:$A$20000,0),MATCH("Keyword Difficulty*",'Semrush Data'!$A$1:$Z$1,0)),"")</f>
        <v/>
      </c>
      <c r="I2194" s="29" t="str">
        <f aca="false">IFERROR(INDEX('Semrush Data'!$A$1:$Z$20000,MATCH(A2194,'Semrush Data'!$A$1:$A$20000,0),MATCH("CPC*",'Semrush Data'!$A$1:$Z$1,0)),"")</f>
        <v/>
      </c>
      <c r="J2194" s="6" t="str">
        <f aca="false">IFERROR(INDEX('Semrush Data'!$A$1:$Z$20000,MATCH(A2194,'Semrush Data'!$A$1:$A$20000,0),MATCH("Intent",'Semrush Data'!$A$1:$Z$1,0)),"")</f>
        <v/>
      </c>
    </row>
    <row r="2195" customFormat="false" ht="15" hidden="false" customHeight="true" outlineLevel="0" collapsed="false">
      <c r="A2195" s="6" t="s">
        <v>6927</v>
      </c>
      <c r="B2195" s="6" t="s">
        <v>239</v>
      </c>
      <c r="C2195" s="6" t="n">
        <v>3</v>
      </c>
      <c r="D2195" s="6" t="n">
        <v>22</v>
      </c>
      <c r="E2195" s="6" t="n">
        <v>1</v>
      </c>
      <c r="F2195" s="6" t="s">
        <v>2734</v>
      </c>
      <c r="G2195" s="28" t="str">
        <f aca="false">IFERROR(INDEX('Semrush Data'!$A$1:$Z$20000,MATCH(A2195,'Semrush Data'!$A$1:$A$20000,0),MATCH("Volume",'Semrush Data'!$A$1:$Z$1,0)),"")</f>
        <v/>
      </c>
      <c r="H2195" s="6" t="str">
        <f aca="false">IFERROR(INDEX('Semrush Data'!$A$1:$Z$20000,MATCH(A2195,'Semrush Data'!$A$1:$A$20000,0),MATCH("Keyword Difficulty*",'Semrush Data'!$A$1:$Z$1,0)),"")</f>
        <v/>
      </c>
      <c r="I2195" s="29" t="str">
        <f aca="false">IFERROR(INDEX('Semrush Data'!$A$1:$Z$20000,MATCH(A2195,'Semrush Data'!$A$1:$A$20000,0),MATCH("CPC*",'Semrush Data'!$A$1:$Z$1,0)),"")</f>
        <v/>
      </c>
      <c r="J2195" s="6" t="str">
        <f aca="false">IFERROR(INDEX('Semrush Data'!$A$1:$Z$20000,MATCH(A2195,'Semrush Data'!$A$1:$A$20000,0),MATCH("Intent",'Semrush Data'!$A$1:$Z$1,0)),"")</f>
        <v/>
      </c>
    </row>
    <row r="2196" customFormat="false" ht="15" hidden="false" customHeight="true" outlineLevel="0" collapsed="false">
      <c r="A2196" s="6" t="s">
        <v>6928</v>
      </c>
      <c r="B2196" s="6" t="s">
        <v>239</v>
      </c>
      <c r="C2196" s="6" t="n">
        <v>3</v>
      </c>
      <c r="D2196" s="6" t="n">
        <v>22</v>
      </c>
      <c r="E2196" s="6" t="n">
        <v>1</v>
      </c>
      <c r="F2196" s="6" t="s">
        <v>2734</v>
      </c>
      <c r="G2196" s="28" t="str">
        <f aca="false">IFERROR(INDEX('Semrush Data'!$A$1:$Z$20000,MATCH(A2196,'Semrush Data'!$A$1:$A$20000,0),MATCH("Volume",'Semrush Data'!$A$1:$Z$1,0)),"")</f>
        <v/>
      </c>
      <c r="H2196" s="6" t="str">
        <f aca="false">IFERROR(INDEX('Semrush Data'!$A$1:$Z$20000,MATCH(A2196,'Semrush Data'!$A$1:$A$20000,0),MATCH("Keyword Difficulty*",'Semrush Data'!$A$1:$Z$1,0)),"")</f>
        <v/>
      </c>
      <c r="I2196" s="29" t="str">
        <f aca="false">IFERROR(INDEX('Semrush Data'!$A$1:$Z$20000,MATCH(A2196,'Semrush Data'!$A$1:$A$20000,0),MATCH("CPC*",'Semrush Data'!$A$1:$Z$1,0)),"")</f>
        <v/>
      </c>
      <c r="J2196" s="6" t="str">
        <f aca="false">IFERROR(INDEX('Semrush Data'!$A$1:$Z$20000,MATCH(A2196,'Semrush Data'!$A$1:$A$20000,0),MATCH("Intent",'Semrush Data'!$A$1:$Z$1,0)),"")</f>
        <v/>
      </c>
    </row>
    <row r="2197" customFormat="false" ht="15" hidden="false" customHeight="true" outlineLevel="0" collapsed="false">
      <c r="A2197" s="6" t="s">
        <v>6929</v>
      </c>
      <c r="B2197" s="6" t="s">
        <v>239</v>
      </c>
      <c r="C2197" s="6" t="n">
        <v>3</v>
      </c>
      <c r="D2197" s="6" t="n">
        <v>22</v>
      </c>
      <c r="E2197" s="6" t="n">
        <v>1</v>
      </c>
      <c r="F2197" s="6" t="s">
        <v>109</v>
      </c>
      <c r="G2197" s="28" t="str">
        <f aca="false">IFERROR(INDEX('Semrush Data'!$A$1:$Z$20000,MATCH(A2197,'Semrush Data'!$A$1:$A$20000,0),MATCH("Volume",'Semrush Data'!$A$1:$Z$1,0)),"")</f>
        <v/>
      </c>
      <c r="H2197" s="6" t="str">
        <f aca="false">IFERROR(INDEX('Semrush Data'!$A$1:$Z$20000,MATCH(A2197,'Semrush Data'!$A$1:$A$20000,0),MATCH("Keyword Difficulty*",'Semrush Data'!$A$1:$Z$1,0)),"")</f>
        <v/>
      </c>
      <c r="I2197" s="29" t="str">
        <f aca="false">IFERROR(INDEX('Semrush Data'!$A$1:$Z$20000,MATCH(A2197,'Semrush Data'!$A$1:$A$20000,0),MATCH("CPC*",'Semrush Data'!$A$1:$Z$1,0)),"")</f>
        <v/>
      </c>
      <c r="J2197" s="6" t="str">
        <f aca="false">IFERROR(INDEX('Semrush Data'!$A$1:$Z$20000,MATCH(A2197,'Semrush Data'!$A$1:$A$20000,0),MATCH("Intent",'Semrush Data'!$A$1:$Z$1,0)),"")</f>
        <v/>
      </c>
    </row>
    <row r="2198" customFormat="false" ht="15" hidden="false" customHeight="true" outlineLevel="0" collapsed="false">
      <c r="A2198" s="6" t="s">
        <v>282</v>
      </c>
      <c r="B2198" s="6" t="s">
        <v>239</v>
      </c>
      <c r="C2198" s="6" t="n">
        <v>3</v>
      </c>
      <c r="D2198" s="6" t="s">
        <v>6870</v>
      </c>
      <c r="E2198" s="6" t="n">
        <v>1</v>
      </c>
      <c r="F2198" s="6" t="s">
        <v>109</v>
      </c>
      <c r="G2198" s="28" t="n">
        <f aca="false">IFERROR(INDEX('Semrush Data'!$A$1:$Z$20000,MATCH(A2198,'Semrush Data'!$A$1:$A$20000,0),MATCH("Volume",'Semrush Data'!$A$1:$Z$1,0)),"")</f>
        <v>20</v>
      </c>
      <c r="H2198" s="6" t="n">
        <f aca="false">IFERROR(INDEX('Semrush Data'!$A$1:$Z$20000,MATCH(A2198,'Semrush Data'!$A$1:$A$20000,0),MATCH("Keyword Difficulty*",'Semrush Data'!$A$1:$Z$1,0)),"")</f>
        <v>1</v>
      </c>
      <c r="I2198" s="29" t="n">
        <f aca="false">IFERROR(INDEX('Semrush Data'!$A$1:$Z$20000,MATCH(A2198,'Semrush Data'!$A$1:$A$20000,0),MATCH("CPC*",'Semrush Data'!$A$1:$Z$1,0)),"")</f>
        <v>0</v>
      </c>
      <c r="J2198" s="6" t="str">
        <f aca="false">IFERROR(INDEX('Semrush Data'!$A$1:$Z$20000,MATCH(A2198,'Semrush Data'!$A$1:$A$20000,0),MATCH("Intent",'Semrush Data'!$A$1:$Z$1,0)),"")</f>
        <v>Informational Transactional</v>
      </c>
    </row>
    <row r="2199" customFormat="false" ht="15" hidden="false" customHeight="true" outlineLevel="0" collapsed="false">
      <c r="A2199" s="6" t="s">
        <v>6930</v>
      </c>
      <c r="B2199" s="6" t="s">
        <v>239</v>
      </c>
      <c r="C2199" s="6" t="n">
        <v>3</v>
      </c>
      <c r="D2199" s="6" t="n">
        <v>22</v>
      </c>
      <c r="E2199" s="6" t="n">
        <v>1</v>
      </c>
      <c r="F2199" s="6" t="s">
        <v>109</v>
      </c>
      <c r="G2199" s="28" t="str">
        <f aca="false">IFERROR(INDEX('Semrush Data'!$A$1:$Z$20000,MATCH(A2199,'Semrush Data'!$A$1:$A$20000,0),MATCH("Volume",'Semrush Data'!$A$1:$Z$1,0)),"")</f>
        <v/>
      </c>
      <c r="H2199" s="6" t="str">
        <f aca="false">IFERROR(INDEX('Semrush Data'!$A$1:$Z$20000,MATCH(A2199,'Semrush Data'!$A$1:$A$20000,0),MATCH("Keyword Difficulty*",'Semrush Data'!$A$1:$Z$1,0)),"")</f>
        <v/>
      </c>
      <c r="I2199" s="29" t="str">
        <f aca="false">IFERROR(INDEX('Semrush Data'!$A$1:$Z$20000,MATCH(A2199,'Semrush Data'!$A$1:$A$20000,0),MATCH("CPC*",'Semrush Data'!$A$1:$Z$1,0)),"")</f>
        <v/>
      </c>
      <c r="J2199" s="6" t="str">
        <f aca="false">IFERROR(INDEX('Semrush Data'!$A$1:$Z$20000,MATCH(A2199,'Semrush Data'!$A$1:$A$20000,0),MATCH("Intent",'Semrush Data'!$A$1:$Z$1,0)),"")</f>
        <v/>
      </c>
    </row>
    <row r="2200" customFormat="false" ht="15" hidden="false" customHeight="true" outlineLevel="0" collapsed="false">
      <c r="A2200" s="6" t="s">
        <v>283</v>
      </c>
      <c r="B2200" s="6" t="s">
        <v>239</v>
      </c>
      <c r="C2200" s="6" t="n">
        <v>3</v>
      </c>
      <c r="D2200" s="6" t="s">
        <v>6870</v>
      </c>
      <c r="E2200" s="6" t="n">
        <v>1</v>
      </c>
      <c r="F2200" s="6" t="s">
        <v>109</v>
      </c>
      <c r="G2200" s="28" t="n">
        <f aca="false">IFERROR(INDEX('Semrush Data'!$A$1:$Z$20000,MATCH(A2200,'Semrush Data'!$A$1:$A$20000,0),MATCH("Volume",'Semrush Data'!$A$1:$Z$1,0)),"")</f>
        <v>20</v>
      </c>
      <c r="H2200" s="6" t="n">
        <f aca="false">IFERROR(INDEX('Semrush Data'!$A$1:$Z$20000,MATCH(A2200,'Semrush Data'!$A$1:$A$20000,0),MATCH("Keyword Difficulty*",'Semrush Data'!$A$1:$Z$1,0)),"")</f>
        <v>13</v>
      </c>
      <c r="I2200" s="29" t="n">
        <f aca="false">IFERROR(INDEX('Semrush Data'!$A$1:$Z$20000,MATCH(A2200,'Semrush Data'!$A$1:$A$20000,0),MATCH("CPC*",'Semrush Data'!$A$1:$Z$1,0)),"")</f>
        <v>0</v>
      </c>
      <c r="J2200" s="6" t="str">
        <f aca="false">IFERROR(INDEX('Semrush Data'!$A$1:$Z$20000,MATCH(A2200,'Semrush Data'!$A$1:$A$20000,0),MATCH("Intent",'Semrush Data'!$A$1:$Z$1,0)),"")</f>
        <v>Commercial</v>
      </c>
    </row>
    <row r="2201" customFormat="false" ht="15" hidden="false" customHeight="true" outlineLevel="0" collapsed="false">
      <c r="A2201" s="6" t="s">
        <v>6931</v>
      </c>
      <c r="B2201" s="6" t="s">
        <v>239</v>
      </c>
      <c r="C2201" s="6" t="n">
        <v>3</v>
      </c>
      <c r="D2201" s="6" t="n">
        <v>22</v>
      </c>
      <c r="E2201" s="6" t="n">
        <v>1</v>
      </c>
      <c r="F2201" s="6" t="s">
        <v>2637</v>
      </c>
      <c r="G2201" s="28" t="str">
        <f aca="false">IFERROR(INDEX('Semrush Data'!$A$1:$Z$20000,MATCH(A2201,'Semrush Data'!$A$1:$A$20000,0),MATCH("Volume",'Semrush Data'!$A$1:$Z$1,0)),"")</f>
        <v/>
      </c>
      <c r="H2201" s="6" t="str">
        <f aca="false">IFERROR(INDEX('Semrush Data'!$A$1:$Z$20000,MATCH(A2201,'Semrush Data'!$A$1:$A$20000,0),MATCH("Keyword Difficulty*",'Semrush Data'!$A$1:$Z$1,0)),"")</f>
        <v/>
      </c>
      <c r="I2201" s="29" t="str">
        <f aca="false">IFERROR(INDEX('Semrush Data'!$A$1:$Z$20000,MATCH(A2201,'Semrush Data'!$A$1:$A$20000,0),MATCH("CPC*",'Semrush Data'!$A$1:$Z$1,0)),"")</f>
        <v/>
      </c>
      <c r="J2201" s="6" t="str">
        <f aca="false">IFERROR(INDEX('Semrush Data'!$A$1:$Z$20000,MATCH(A2201,'Semrush Data'!$A$1:$A$20000,0),MATCH("Intent",'Semrush Data'!$A$1:$Z$1,0)),"")</f>
        <v/>
      </c>
    </row>
    <row r="2202" customFormat="false" ht="15" hidden="false" customHeight="true" outlineLevel="0" collapsed="false">
      <c r="A2202" s="6" t="s">
        <v>6932</v>
      </c>
      <c r="B2202" s="6" t="s">
        <v>239</v>
      </c>
      <c r="C2202" s="6" t="n">
        <v>3</v>
      </c>
      <c r="D2202" s="6" t="n">
        <v>23</v>
      </c>
      <c r="E2202" s="6" t="n">
        <v>1</v>
      </c>
      <c r="F2202" s="6" t="s">
        <v>2637</v>
      </c>
      <c r="G2202" s="28" t="str">
        <f aca="false">IFERROR(INDEX('Semrush Data'!$A$1:$Z$20000,MATCH(A2202,'Semrush Data'!$A$1:$A$20000,0),MATCH("Volume",'Semrush Data'!$A$1:$Z$1,0)),"")</f>
        <v/>
      </c>
      <c r="H2202" s="6" t="str">
        <f aca="false">IFERROR(INDEX('Semrush Data'!$A$1:$Z$20000,MATCH(A2202,'Semrush Data'!$A$1:$A$20000,0),MATCH("Keyword Difficulty*",'Semrush Data'!$A$1:$Z$1,0)),"")</f>
        <v/>
      </c>
      <c r="I2202" s="29" t="str">
        <f aca="false">IFERROR(INDEX('Semrush Data'!$A$1:$Z$20000,MATCH(A2202,'Semrush Data'!$A$1:$A$20000,0),MATCH("CPC*",'Semrush Data'!$A$1:$Z$1,0)),"")</f>
        <v/>
      </c>
      <c r="J2202" s="6" t="str">
        <f aca="false">IFERROR(INDEX('Semrush Data'!$A$1:$Z$20000,MATCH(A2202,'Semrush Data'!$A$1:$A$20000,0),MATCH("Intent",'Semrush Data'!$A$1:$Z$1,0)),"")</f>
        <v/>
      </c>
    </row>
    <row r="2203" customFormat="false" ht="15" hidden="false" customHeight="true" outlineLevel="0" collapsed="false">
      <c r="A2203" s="6" t="s">
        <v>6933</v>
      </c>
      <c r="B2203" s="6" t="s">
        <v>239</v>
      </c>
      <c r="C2203" s="6" t="n">
        <v>3</v>
      </c>
      <c r="D2203" s="6" t="n">
        <v>23</v>
      </c>
      <c r="E2203" s="6" t="n">
        <v>1</v>
      </c>
      <c r="F2203" s="6" t="s">
        <v>2637</v>
      </c>
      <c r="G2203" s="28" t="str">
        <f aca="false">IFERROR(INDEX('Semrush Data'!$A$1:$Z$20000,MATCH(A2203,'Semrush Data'!$A$1:$A$20000,0),MATCH("Volume",'Semrush Data'!$A$1:$Z$1,0)),"")</f>
        <v/>
      </c>
      <c r="H2203" s="6" t="str">
        <f aca="false">IFERROR(INDEX('Semrush Data'!$A$1:$Z$20000,MATCH(A2203,'Semrush Data'!$A$1:$A$20000,0),MATCH("Keyword Difficulty*",'Semrush Data'!$A$1:$Z$1,0)),"")</f>
        <v/>
      </c>
      <c r="I2203" s="29" t="str">
        <f aca="false">IFERROR(INDEX('Semrush Data'!$A$1:$Z$20000,MATCH(A2203,'Semrush Data'!$A$1:$A$20000,0),MATCH("CPC*",'Semrush Data'!$A$1:$Z$1,0)),"")</f>
        <v/>
      </c>
      <c r="J2203" s="6" t="str">
        <f aca="false">IFERROR(INDEX('Semrush Data'!$A$1:$Z$20000,MATCH(A2203,'Semrush Data'!$A$1:$A$20000,0),MATCH("Intent",'Semrush Data'!$A$1:$Z$1,0)),"")</f>
        <v/>
      </c>
    </row>
    <row r="2204" customFormat="false" ht="15" hidden="false" customHeight="true" outlineLevel="0" collapsed="false">
      <c r="A2204" s="6" t="s">
        <v>6934</v>
      </c>
      <c r="B2204" s="6" t="s">
        <v>239</v>
      </c>
      <c r="C2204" s="6" t="n">
        <v>3</v>
      </c>
      <c r="D2204" s="6" t="n">
        <v>23</v>
      </c>
      <c r="E2204" s="6" t="n">
        <v>1</v>
      </c>
      <c r="F2204" s="6" t="s">
        <v>2637</v>
      </c>
      <c r="G2204" s="28" t="str">
        <f aca="false">IFERROR(INDEX('Semrush Data'!$A$1:$Z$20000,MATCH(A2204,'Semrush Data'!$A$1:$A$20000,0),MATCH("Volume",'Semrush Data'!$A$1:$Z$1,0)),"")</f>
        <v/>
      </c>
      <c r="H2204" s="6" t="str">
        <f aca="false">IFERROR(INDEX('Semrush Data'!$A$1:$Z$20000,MATCH(A2204,'Semrush Data'!$A$1:$A$20000,0),MATCH("Keyword Difficulty*",'Semrush Data'!$A$1:$Z$1,0)),"")</f>
        <v/>
      </c>
      <c r="I2204" s="29" t="str">
        <f aca="false">IFERROR(INDEX('Semrush Data'!$A$1:$Z$20000,MATCH(A2204,'Semrush Data'!$A$1:$A$20000,0),MATCH("CPC*",'Semrush Data'!$A$1:$Z$1,0)),"")</f>
        <v/>
      </c>
      <c r="J2204" s="6" t="str">
        <f aca="false">IFERROR(INDEX('Semrush Data'!$A$1:$Z$20000,MATCH(A2204,'Semrush Data'!$A$1:$A$20000,0),MATCH("Intent",'Semrush Data'!$A$1:$Z$1,0)),"")</f>
        <v/>
      </c>
    </row>
    <row r="2205" customFormat="false" ht="15" hidden="false" customHeight="true" outlineLevel="0" collapsed="false">
      <c r="A2205" s="6" t="s">
        <v>6935</v>
      </c>
      <c r="B2205" s="6" t="s">
        <v>239</v>
      </c>
      <c r="C2205" s="6" t="n">
        <v>3</v>
      </c>
      <c r="D2205" s="6" t="n">
        <v>23</v>
      </c>
      <c r="E2205" s="6" t="n">
        <v>1</v>
      </c>
      <c r="F2205" s="6" t="s">
        <v>2637</v>
      </c>
      <c r="G2205" s="28" t="str">
        <f aca="false">IFERROR(INDEX('Semrush Data'!$A$1:$Z$20000,MATCH(A2205,'Semrush Data'!$A$1:$A$20000,0),MATCH("Volume",'Semrush Data'!$A$1:$Z$1,0)),"")</f>
        <v/>
      </c>
      <c r="H2205" s="6" t="str">
        <f aca="false">IFERROR(INDEX('Semrush Data'!$A$1:$Z$20000,MATCH(A2205,'Semrush Data'!$A$1:$A$20000,0),MATCH("Keyword Difficulty*",'Semrush Data'!$A$1:$Z$1,0)),"")</f>
        <v/>
      </c>
      <c r="I2205" s="29" t="str">
        <f aca="false">IFERROR(INDEX('Semrush Data'!$A$1:$Z$20000,MATCH(A2205,'Semrush Data'!$A$1:$A$20000,0),MATCH("CPC*",'Semrush Data'!$A$1:$Z$1,0)),"")</f>
        <v/>
      </c>
      <c r="J2205" s="6" t="str">
        <f aca="false">IFERROR(INDEX('Semrush Data'!$A$1:$Z$20000,MATCH(A2205,'Semrush Data'!$A$1:$A$20000,0),MATCH("Intent",'Semrush Data'!$A$1:$Z$1,0)),"")</f>
        <v/>
      </c>
    </row>
    <row r="2206" customFormat="false" ht="15" hidden="false" customHeight="true" outlineLevel="0" collapsed="false">
      <c r="A2206" s="6" t="s">
        <v>6936</v>
      </c>
      <c r="B2206" s="6" t="s">
        <v>239</v>
      </c>
      <c r="C2206" s="6" t="n">
        <v>3</v>
      </c>
      <c r="D2206" s="6" t="n">
        <v>23</v>
      </c>
      <c r="E2206" s="6" t="n">
        <v>1</v>
      </c>
      <c r="F2206" s="6" t="s">
        <v>119</v>
      </c>
      <c r="G2206" s="28" t="str">
        <f aca="false">IFERROR(INDEX('Semrush Data'!$A$1:$Z$20000,MATCH(A2206,'Semrush Data'!$A$1:$A$20000,0),MATCH("Volume",'Semrush Data'!$A$1:$Z$1,0)),"")</f>
        <v/>
      </c>
      <c r="H2206" s="6" t="str">
        <f aca="false">IFERROR(INDEX('Semrush Data'!$A$1:$Z$20000,MATCH(A2206,'Semrush Data'!$A$1:$A$20000,0),MATCH("Keyword Difficulty*",'Semrush Data'!$A$1:$Z$1,0)),"")</f>
        <v/>
      </c>
      <c r="I2206" s="29" t="str">
        <f aca="false">IFERROR(INDEX('Semrush Data'!$A$1:$Z$20000,MATCH(A2206,'Semrush Data'!$A$1:$A$20000,0),MATCH("CPC*",'Semrush Data'!$A$1:$Z$1,0)),"")</f>
        <v/>
      </c>
      <c r="J2206" s="6" t="str">
        <f aca="false">IFERROR(INDEX('Semrush Data'!$A$1:$Z$20000,MATCH(A2206,'Semrush Data'!$A$1:$A$20000,0),MATCH("Intent",'Semrush Data'!$A$1:$Z$1,0)),"")</f>
        <v/>
      </c>
    </row>
    <row r="2207" customFormat="false" ht="15" hidden="false" customHeight="true" outlineLevel="0" collapsed="false">
      <c r="A2207" s="6" t="s">
        <v>6937</v>
      </c>
      <c r="B2207" s="6" t="s">
        <v>239</v>
      </c>
      <c r="C2207" s="6" t="n">
        <v>3</v>
      </c>
      <c r="D2207" s="6" t="n">
        <v>23</v>
      </c>
      <c r="E2207" s="6" t="n">
        <v>1</v>
      </c>
      <c r="F2207" s="6" t="s">
        <v>119</v>
      </c>
      <c r="G2207" s="28" t="str">
        <f aca="false">IFERROR(INDEX('Semrush Data'!$A$1:$Z$20000,MATCH(A2207,'Semrush Data'!$A$1:$A$20000,0),MATCH("Volume",'Semrush Data'!$A$1:$Z$1,0)),"")</f>
        <v/>
      </c>
      <c r="H2207" s="6" t="str">
        <f aca="false">IFERROR(INDEX('Semrush Data'!$A$1:$Z$20000,MATCH(A2207,'Semrush Data'!$A$1:$A$20000,0),MATCH("Keyword Difficulty*",'Semrush Data'!$A$1:$Z$1,0)),"")</f>
        <v/>
      </c>
      <c r="I2207" s="29" t="str">
        <f aca="false">IFERROR(INDEX('Semrush Data'!$A$1:$Z$20000,MATCH(A2207,'Semrush Data'!$A$1:$A$20000,0),MATCH("CPC*",'Semrush Data'!$A$1:$Z$1,0)),"")</f>
        <v/>
      </c>
      <c r="J2207" s="6" t="str">
        <f aca="false">IFERROR(INDEX('Semrush Data'!$A$1:$Z$20000,MATCH(A2207,'Semrush Data'!$A$1:$A$20000,0),MATCH("Intent",'Semrush Data'!$A$1:$Z$1,0)),"")</f>
        <v/>
      </c>
    </row>
    <row r="2208" customFormat="false" ht="15" hidden="false" customHeight="true" outlineLevel="0" collapsed="false">
      <c r="A2208" s="6" t="s">
        <v>284</v>
      </c>
      <c r="B2208" s="6" t="s">
        <v>239</v>
      </c>
      <c r="C2208" s="6" t="n">
        <v>3</v>
      </c>
      <c r="D2208" s="6" t="s">
        <v>6870</v>
      </c>
      <c r="E2208" s="6" t="n">
        <v>1</v>
      </c>
      <c r="F2208" s="6" t="s">
        <v>119</v>
      </c>
      <c r="G2208" s="28" t="n">
        <f aca="false">IFERROR(INDEX('Semrush Data'!$A$1:$Z$20000,MATCH(A2208,'Semrush Data'!$A$1:$A$20000,0),MATCH("Volume",'Semrush Data'!$A$1:$Z$1,0)),"")</f>
        <v>20</v>
      </c>
      <c r="H2208" s="6" t="n">
        <f aca="false">IFERROR(INDEX('Semrush Data'!$A$1:$Z$20000,MATCH(A2208,'Semrush Data'!$A$1:$A$20000,0),MATCH("Keyword Difficulty*",'Semrush Data'!$A$1:$Z$1,0)),"")</f>
        <v>6</v>
      </c>
      <c r="I2208" s="29" t="n">
        <f aca="false">IFERROR(INDEX('Semrush Data'!$A$1:$Z$20000,MATCH(A2208,'Semrush Data'!$A$1:$A$20000,0),MATCH("CPC*",'Semrush Data'!$A$1:$Z$1,0)),"")</f>
        <v>0</v>
      </c>
      <c r="J2208" s="6" t="str">
        <f aca="false">IFERROR(INDEX('Semrush Data'!$A$1:$Z$20000,MATCH(A2208,'Semrush Data'!$A$1:$A$20000,0),MATCH("Intent",'Semrush Data'!$A$1:$Z$1,0)),"")</f>
        <v>Informational Transactional</v>
      </c>
    </row>
    <row r="2209" customFormat="false" ht="15" hidden="false" customHeight="true" outlineLevel="0" collapsed="false">
      <c r="A2209" s="6" t="s">
        <v>6938</v>
      </c>
      <c r="B2209" s="6" t="s">
        <v>239</v>
      </c>
      <c r="C2209" s="6" t="n">
        <v>3</v>
      </c>
      <c r="D2209" s="6" t="n">
        <v>23</v>
      </c>
      <c r="E2209" s="6" t="n">
        <v>1</v>
      </c>
      <c r="F2209" s="6" t="s">
        <v>119</v>
      </c>
      <c r="G2209" s="28" t="str">
        <f aca="false">IFERROR(INDEX('Semrush Data'!$A$1:$Z$20000,MATCH(A2209,'Semrush Data'!$A$1:$A$20000,0),MATCH("Volume",'Semrush Data'!$A$1:$Z$1,0)),"")</f>
        <v/>
      </c>
      <c r="H2209" s="6" t="str">
        <f aca="false">IFERROR(INDEX('Semrush Data'!$A$1:$Z$20000,MATCH(A2209,'Semrush Data'!$A$1:$A$20000,0),MATCH("Keyword Difficulty*",'Semrush Data'!$A$1:$Z$1,0)),"")</f>
        <v/>
      </c>
      <c r="I2209" s="29" t="str">
        <f aca="false">IFERROR(INDEX('Semrush Data'!$A$1:$Z$20000,MATCH(A2209,'Semrush Data'!$A$1:$A$20000,0),MATCH("CPC*",'Semrush Data'!$A$1:$Z$1,0)),"")</f>
        <v/>
      </c>
      <c r="J2209" s="6" t="str">
        <f aca="false">IFERROR(INDEX('Semrush Data'!$A$1:$Z$20000,MATCH(A2209,'Semrush Data'!$A$1:$A$20000,0),MATCH("Intent",'Semrush Data'!$A$1:$Z$1,0)),"")</f>
        <v/>
      </c>
    </row>
    <row r="2210" customFormat="false" ht="15" hidden="false" customHeight="true" outlineLevel="0" collapsed="false">
      <c r="A2210" s="6" t="s">
        <v>285</v>
      </c>
      <c r="B2210" s="6" t="s">
        <v>239</v>
      </c>
      <c r="C2210" s="6" t="n">
        <v>3</v>
      </c>
      <c r="D2210" s="6" t="s">
        <v>6870</v>
      </c>
      <c r="E2210" s="6" t="n">
        <v>1</v>
      </c>
      <c r="F2210" s="6" t="s">
        <v>119</v>
      </c>
      <c r="G2210" s="28" t="n">
        <f aca="false">IFERROR(INDEX('Semrush Data'!$A$1:$Z$20000,MATCH(A2210,'Semrush Data'!$A$1:$A$20000,0),MATCH("Volume",'Semrush Data'!$A$1:$Z$1,0)),"")</f>
        <v>20</v>
      </c>
      <c r="H2210" s="6" t="n">
        <f aca="false">IFERROR(INDEX('Semrush Data'!$A$1:$Z$20000,MATCH(A2210,'Semrush Data'!$A$1:$A$20000,0),MATCH("Keyword Difficulty*",'Semrush Data'!$A$1:$Z$1,0)),"")</f>
        <v>25</v>
      </c>
      <c r="I2210" s="29" t="n">
        <f aca="false">IFERROR(INDEX('Semrush Data'!$A$1:$Z$20000,MATCH(A2210,'Semrush Data'!$A$1:$A$20000,0),MATCH("CPC*",'Semrush Data'!$A$1:$Z$1,0)),"")</f>
        <v>0</v>
      </c>
      <c r="J2210" s="6" t="str">
        <f aca="false">IFERROR(INDEX('Semrush Data'!$A$1:$Z$20000,MATCH(A2210,'Semrush Data'!$A$1:$A$20000,0),MATCH("Intent",'Semrush Data'!$A$1:$Z$1,0)),"")</f>
        <v>Commercial</v>
      </c>
    </row>
    <row r="2211" customFormat="false" ht="15" hidden="false" customHeight="true" outlineLevel="0" collapsed="false">
      <c r="A2211" s="6" t="s">
        <v>6939</v>
      </c>
      <c r="B2211" s="6" t="s">
        <v>239</v>
      </c>
      <c r="C2211" s="6" t="n">
        <v>3</v>
      </c>
      <c r="D2211" s="6" t="n">
        <v>23</v>
      </c>
      <c r="E2211" s="6" t="n">
        <v>1</v>
      </c>
      <c r="F2211" s="6" t="s">
        <v>2658</v>
      </c>
      <c r="G2211" s="28" t="str">
        <f aca="false">IFERROR(INDEX('Semrush Data'!$A$1:$Z$20000,MATCH(A2211,'Semrush Data'!$A$1:$A$20000,0),MATCH("Volume",'Semrush Data'!$A$1:$Z$1,0)),"")</f>
        <v/>
      </c>
      <c r="H2211" s="6" t="str">
        <f aca="false">IFERROR(INDEX('Semrush Data'!$A$1:$Z$20000,MATCH(A2211,'Semrush Data'!$A$1:$A$20000,0),MATCH("Keyword Difficulty*",'Semrush Data'!$A$1:$Z$1,0)),"")</f>
        <v/>
      </c>
      <c r="I2211" s="29" t="str">
        <f aca="false">IFERROR(INDEX('Semrush Data'!$A$1:$Z$20000,MATCH(A2211,'Semrush Data'!$A$1:$A$20000,0),MATCH("CPC*",'Semrush Data'!$A$1:$Z$1,0)),"")</f>
        <v/>
      </c>
      <c r="J2211" s="6" t="str">
        <f aca="false">IFERROR(INDEX('Semrush Data'!$A$1:$Z$20000,MATCH(A2211,'Semrush Data'!$A$1:$A$20000,0),MATCH("Intent",'Semrush Data'!$A$1:$Z$1,0)),"")</f>
        <v/>
      </c>
    </row>
    <row r="2212" customFormat="false" ht="15" hidden="false" customHeight="true" outlineLevel="0" collapsed="false">
      <c r="A2212" s="6" t="s">
        <v>6940</v>
      </c>
      <c r="B2212" s="6" t="s">
        <v>239</v>
      </c>
      <c r="C2212" s="6" t="n">
        <v>3</v>
      </c>
      <c r="D2212" s="6" t="n">
        <v>23</v>
      </c>
      <c r="E2212" s="6" t="n">
        <v>1</v>
      </c>
      <c r="F2212" s="6" t="s">
        <v>2658</v>
      </c>
      <c r="G2212" s="28" t="str">
        <f aca="false">IFERROR(INDEX('Semrush Data'!$A$1:$Z$20000,MATCH(A2212,'Semrush Data'!$A$1:$A$20000,0),MATCH("Volume",'Semrush Data'!$A$1:$Z$1,0)),"")</f>
        <v/>
      </c>
      <c r="H2212" s="6" t="str">
        <f aca="false">IFERROR(INDEX('Semrush Data'!$A$1:$Z$20000,MATCH(A2212,'Semrush Data'!$A$1:$A$20000,0),MATCH("Keyword Difficulty*",'Semrush Data'!$A$1:$Z$1,0)),"")</f>
        <v/>
      </c>
      <c r="I2212" s="29" t="str">
        <f aca="false">IFERROR(INDEX('Semrush Data'!$A$1:$Z$20000,MATCH(A2212,'Semrush Data'!$A$1:$A$20000,0),MATCH("CPC*",'Semrush Data'!$A$1:$Z$1,0)),"")</f>
        <v/>
      </c>
      <c r="J2212" s="6" t="str">
        <f aca="false">IFERROR(INDEX('Semrush Data'!$A$1:$Z$20000,MATCH(A2212,'Semrush Data'!$A$1:$A$20000,0),MATCH("Intent",'Semrush Data'!$A$1:$Z$1,0)),"")</f>
        <v/>
      </c>
    </row>
    <row r="2213" customFormat="false" ht="15" hidden="false" customHeight="true" outlineLevel="0" collapsed="false">
      <c r="A2213" s="6" t="s">
        <v>6941</v>
      </c>
      <c r="B2213" s="6" t="s">
        <v>239</v>
      </c>
      <c r="C2213" s="6" t="n">
        <v>3</v>
      </c>
      <c r="D2213" s="6" t="n">
        <v>23</v>
      </c>
      <c r="E2213" s="6" t="n">
        <v>1</v>
      </c>
      <c r="F2213" s="6" t="s">
        <v>2658</v>
      </c>
      <c r="G2213" s="28" t="str">
        <f aca="false">IFERROR(INDEX('Semrush Data'!$A$1:$Z$20000,MATCH(A2213,'Semrush Data'!$A$1:$A$20000,0),MATCH("Volume",'Semrush Data'!$A$1:$Z$1,0)),"")</f>
        <v/>
      </c>
      <c r="H2213" s="6" t="str">
        <f aca="false">IFERROR(INDEX('Semrush Data'!$A$1:$Z$20000,MATCH(A2213,'Semrush Data'!$A$1:$A$20000,0),MATCH("Keyword Difficulty*",'Semrush Data'!$A$1:$Z$1,0)),"")</f>
        <v/>
      </c>
      <c r="I2213" s="29" t="str">
        <f aca="false">IFERROR(INDEX('Semrush Data'!$A$1:$Z$20000,MATCH(A2213,'Semrush Data'!$A$1:$A$20000,0),MATCH("CPC*",'Semrush Data'!$A$1:$Z$1,0)),"")</f>
        <v/>
      </c>
      <c r="J2213" s="6" t="str">
        <f aca="false">IFERROR(INDEX('Semrush Data'!$A$1:$Z$20000,MATCH(A2213,'Semrush Data'!$A$1:$A$20000,0),MATCH("Intent",'Semrush Data'!$A$1:$Z$1,0)),"")</f>
        <v/>
      </c>
    </row>
    <row r="2214" customFormat="false" ht="15" hidden="false" customHeight="true" outlineLevel="0" collapsed="false">
      <c r="A2214" s="6" t="s">
        <v>6942</v>
      </c>
      <c r="B2214" s="6" t="s">
        <v>239</v>
      </c>
      <c r="C2214" s="6" t="n">
        <v>3</v>
      </c>
      <c r="D2214" s="6" t="n">
        <v>23</v>
      </c>
      <c r="E2214" s="6" t="n">
        <v>1</v>
      </c>
      <c r="F2214" s="6" t="s">
        <v>2658</v>
      </c>
      <c r="G2214" s="28" t="str">
        <f aca="false">IFERROR(INDEX('Semrush Data'!$A$1:$Z$20000,MATCH(A2214,'Semrush Data'!$A$1:$A$20000,0),MATCH("Volume",'Semrush Data'!$A$1:$Z$1,0)),"")</f>
        <v/>
      </c>
      <c r="H2214" s="6" t="str">
        <f aca="false">IFERROR(INDEX('Semrush Data'!$A$1:$Z$20000,MATCH(A2214,'Semrush Data'!$A$1:$A$20000,0),MATCH("Keyword Difficulty*",'Semrush Data'!$A$1:$Z$1,0)),"")</f>
        <v/>
      </c>
      <c r="I2214" s="29" t="str">
        <f aca="false">IFERROR(INDEX('Semrush Data'!$A$1:$Z$20000,MATCH(A2214,'Semrush Data'!$A$1:$A$20000,0),MATCH("CPC*",'Semrush Data'!$A$1:$Z$1,0)),"")</f>
        <v/>
      </c>
      <c r="J2214" s="6" t="str">
        <f aca="false">IFERROR(INDEX('Semrush Data'!$A$1:$Z$20000,MATCH(A2214,'Semrush Data'!$A$1:$A$20000,0),MATCH("Intent",'Semrush Data'!$A$1:$Z$1,0)),"")</f>
        <v/>
      </c>
    </row>
    <row r="2215" customFormat="false" ht="15" hidden="false" customHeight="true" outlineLevel="0" collapsed="false">
      <c r="A2215" s="6" t="s">
        <v>6943</v>
      </c>
      <c r="B2215" s="6" t="s">
        <v>239</v>
      </c>
      <c r="C2215" s="6" t="n">
        <v>3</v>
      </c>
      <c r="D2215" s="6" t="n">
        <v>23</v>
      </c>
      <c r="E2215" s="6" t="n">
        <v>1</v>
      </c>
      <c r="F2215" s="6" t="s">
        <v>2658</v>
      </c>
      <c r="G2215" s="28" t="str">
        <f aca="false">IFERROR(INDEX('Semrush Data'!$A$1:$Z$20000,MATCH(A2215,'Semrush Data'!$A$1:$A$20000,0),MATCH("Volume",'Semrush Data'!$A$1:$Z$1,0)),"")</f>
        <v/>
      </c>
      <c r="H2215" s="6" t="str">
        <f aca="false">IFERROR(INDEX('Semrush Data'!$A$1:$Z$20000,MATCH(A2215,'Semrush Data'!$A$1:$A$20000,0),MATCH("Keyword Difficulty*",'Semrush Data'!$A$1:$Z$1,0)),"")</f>
        <v/>
      </c>
      <c r="I2215" s="29" t="str">
        <f aca="false">IFERROR(INDEX('Semrush Data'!$A$1:$Z$20000,MATCH(A2215,'Semrush Data'!$A$1:$A$20000,0),MATCH("CPC*",'Semrush Data'!$A$1:$Z$1,0)),"")</f>
        <v/>
      </c>
      <c r="J2215" s="6" t="str">
        <f aca="false">IFERROR(INDEX('Semrush Data'!$A$1:$Z$20000,MATCH(A2215,'Semrush Data'!$A$1:$A$20000,0),MATCH("Intent",'Semrush Data'!$A$1:$Z$1,0)),"")</f>
        <v/>
      </c>
    </row>
    <row r="2216" customFormat="false" ht="15" hidden="false" customHeight="true" outlineLevel="0" collapsed="false">
      <c r="A2216" s="6" t="s">
        <v>6944</v>
      </c>
      <c r="B2216" s="6" t="s">
        <v>239</v>
      </c>
      <c r="C2216" s="6" t="n">
        <v>3</v>
      </c>
      <c r="D2216" s="6" t="n">
        <v>23</v>
      </c>
      <c r="E2216" s="6" t="n">
        <v>1</v>
      </c>
      <c r="F2216" s="6" t="s">
        <v>2670</v>
      </c>
      <c r="G2216" s="28" t="str">
        <f aca="false">IFERROR(INDEX('Semrush Data'!$A$1:$Z$20000,MATCH(A2216,'Semrush Data'!$A$1:$A$20000,0),MATCH("Volume",'Semrush Data'!$A$1:$Z$1,0)),"")</f>
        <v/>
      </c>
      <c r="H2216" s="6" t="str">
        <f aca="false">IFERROR(INDEX('Semrush Data'!$A$1:$Z$20000,MATCH(A2216,'Semrush Data'!$A$1:$A$20000,0),MATCH("Keyword Difficulty*",'Semrush Data'!$A$1:$Z$1,0)),"")</f>
        <v/>
      </c>
      <c r="I2216" s="29" t="str">
        <f aca="false">IFERROR(INDEX('Semrush Data'!$A$1:$Z$20000,MATCH(A2216,'Semrush Data'!$A$1:$A$20000,0),MATCH("CPC*",'Semrush Data'!$A$1:$Z$1,0)),"")</f>
        <v/>
      </c>
      <c r="J2216" s="6" t="str">
        <f aca="false">IFERROR(INDEX('Semrush Data'!$A$1:$Z$20000,MATCH(A2216,'Semrush Data'!$A$1:$A$20000,0),MATCH("Intent",'Semrush Data'!$A$1:$Z$1,0)),"")</f>
        <v/>
      </c>
    </row>
    <row r="2217" customFormat="false" ht="15" hidden="false" customHeight="true" outlineLevel="0" collapsed="false">
      <c r="A2217" s="6" t="s">
        <v>6945</v>
      </c>
      <c r="B2217" s="6" t="s">
        <v>239</v>
      </c>
      <c r="C2217" s="6" t="n">
        <v>3</v>
      </c>
      <c r="D2217" s="6" t="n">
        <v>23</v>
      </c>
      <c r="E2217" s="6" t="n">
        <v>1</v>
      </c>
      <c r="F2217" s="6" t="s">
        <v>2681</v>
      </c>
      <c r="G2217" s="28" t="str">
        <f aca="false">IFERROR(INDEX('Semrush Data'!$A$1:$Z$20000,MATCH(A2217,'Semrush Data'!$A$1:$A$20000,0),MATCH("Volume",'Semrush Data'!$A$1:$Z$1,0)),"")</f>
        <v/>
      </c>
      <c r="H2217" s="6" t="str">
        <f aca="false">IFERROR(INDEX('Semrush Data'!$A$1:$Z$20000,MATCH(A2217,'Semrush Data'!$A$1:$A$20000,0),MATCH("Keyword Difficulty*",'Semrush Data'!$A$1:$Z$1,0)),"")</f>
        <v/>
      </c>
      <c r="I2217" s="29" t="str">
        <f aca="false">IFERROR(INDEX('Semrush Data'!$A$1:$Z$20000,MATCH(A2217,'Semrush Data'!$A$1:$A$20000,0),MATCH("CPC*",'Semrush Data'!$A$1:$Z$1,0)),"")</f>
        <v/>
      </c>
      <c r="J2217" s="6" t="str">
        <f aca="false">IFERROR(INDEX('Semrush Data'!$A$1:$Z$20000,MATCH(A2217,'Semrush Data'!$A$1:$A$20000,0),MATCH("Intent",'Semrush Data'!$A$1:$Z$1,0)),"")</f>
        <v/>
      </c>
    </row>
    <row r="2218" customFormat="false" ht="15" hidden="false" customHeight="true" outlineLevel="0" collapsed="false">
      <c r="A2218" s="6" t="s">
        <v>6946</v>
      </c>
      <c r="B2218" s="6" t="s">
        <v>239</v>
      </c>
      <c r="C2218" s="6" t="n">
        <v>3</v>
      </c>
      <c r="D2218" s="6" t="n">
        <v>23</v>
      </c>
      <c r="E2218" s="6" t="n">
        <v>1</v>
      </c>
      <c r="F2218" s="6" t="s">
        <v>2681</v>
      </c>
      <c r="G2218" s="28" t="str">
        <f aca="false">IFERROR(INDEX('Semrush Data'!$A$1:$Z$20000,MATCH(A2218,'Semrush Data'!$A$1:$A$20000,0),MATCH("Volume",'Semrush Data'!$A$1:$Z$1,0)),"")</f>
        <v/>
      </c>
      <c r="H2218" s="6" t="str">
        <f aca="false">IFERROR(INDEX('Semrush Data'!$A$1:$Z$20000,MATCH(A2218,'Semrush Data'!$A$1:$A$20000,0),MATCH("Keyword Difficulty*",'Semrush Data'!$A$1:$Z$1,0)),"")</f>
        <v/>
      </c>
      <c r="I2218" s="29" t="str">
        <f aca="false">IFERROR(INDEX('Semrush Data'!$A$1:$Z$20000,MATCH(A2218,'Semrush Data'!$A$1:$A$20000,0),MATCH("CPC*",'Semrush Data'!$A$1:$Z$1,0)),"")</f>
        <v/>
      </c>
      <c r="J2218" s="6" t="str">
        <f aca="false">IFERROR(INDEX('Semrush Data'!$A$1:$Z$20000,MATCH(A2218,'Semrush Data'!$A$1:$A$20000,0),MATCH("Intent",'Semrush Data'!$A$1:$Z$1,0)),"")</f>
        <v/>
      </c>
    </row>
    <row r="2219" customFormat="false" ht="15" hidden="false" customHeight="true" outlineLevel="0" collapsed="false">
      <c r="A2219" s="6" t="s">
        <v>6947</v>
      </c>
      <c r="B2219" s="6" t="s">
        <v>239</v>
      </c>
      <c r="C2219" s="6" t="n">
        <v>3</v>
      </c>
      <c r="D2219" s="6" t="n">
        <v>23</v>
      </c>
      <c r="E2219" s="6" t="n">
        <v>1</v>
      </c>
      <c r="F2219" s="6" t="s">
        <v>2681</v>
      </c>
      <c r="G2219" s="28" t="str">
        <f aca="false">IFERROR(INDEX('Semrush Data'!$A$1:$Z$20000,MATCH(A2219,'Semrush Data'!$A$1:$A$20000,0),MATCH("Volume",'Semrush Data'!$A$1:$Z$1,0)),"")</f>
        <v/>
      </c>
      <c r="H2219" s="6" t="str">
        <f aca="false">IFERROR(INDEX('Semrush Data'!$A$1:$Z$20000,MATCH(A2219,'Semrush Data'!$A$1:$A$20000,0),MATCH("Keyword Difficulty*",'Semrush Data'!$A$1:$Z$1,0)),"")</f>
        <v/>
      </c>
      <c r="I2219" s="29" t="str">
        <f aca="false">IFERROR(INDEX('Semrush Data'!$A$1:$Z$20000,MATCH(A2219,'Semrush Data'!$A$1:$A$20000,0),MATCH("CPC*",'Semrush Data'!$A$1:$Z$1,0)),"")</f>
        <v/>
      </c>
      <c r="J2219" s="6" t="str">
        <f aca="false">IFERROR(INDEX('Semrush Data'!$A$1:$Z$20000,MATCH(A2219,'Semrush Data'!$A$1:$A$20000,0),MATCH("Intent",'Semrush Data'!$A$1:$Z$1,0)),"")</f>
        <v/>
      </c>
    </row>
    <row r="2220" customFormat="false" ht="15" hidden="false" customHeight="true" outlineLevel="0" collapsed="false">
      <c r="A2220" s="6" t="s">
        <v>2697</v>
      </c>
      <c r="B2220" s="6" t="s">
        <v>239</v>
      </c>
      <c r="C2220" s="6" t="n">
        <v>3</v>
      </c>
      <c r="D2220" s="6" t="s">
        <v>6870</v>
      </c>
      <c r="E2220" s="6" t="n">
        <v>1</v>
      </c>
      <c r="F2220" s="6" t="s">
        <v>95</v>
      </c>
      <c r="G2220" s="28" t="n">
        <f aca="false">IFERROR(INDEX('Semrush Data'!$A$1:$Z$20000,MATCH(A2220,'Semrush Data'!$A$1:$A$20000,0),MATCH("Volume",'Semrush Data'!$A$1:$Z$1,0)),"")</f>
        <v>0</v>
      </c>
      <c r="H2220" s="6" t="n">
        <f aca="false">IFERROR(INDEX('Semrush Data'!$A$1:$Z$20000,MATCH(A2220,'Semrush Data'!$A$1:$A$20000,0),MATCH("Keyword Difficulty*",'Semrush Data'!$A$1:$Z$1,0)),"")</f>
        <v>27</v>
      </c>
      <c r="I2220" s="29" t="n">
        <f aca="false">IFERROR(INDEX('Semrush Data'!$A$1:$Z$20000,MATCH(A2220,'Semrush Data'!$A$1:$A$20000,0),MATCH("CPC*",'Semrush Data'!$A$1:$Z$1,0)),"")</f>
        <v>0</v>
      </c>
      <c r="J2220" s="6" t="str">
        <f aca="false">IFERROR(INDEX('Semrush Data'!$A$1:$Z$20000,MATCH(A2220,'Semrush Data'!$A$1:$A$20000,0),MATCH("Intent",'Semrush Data'!$A$1:$Z$1,0)),"")</f>
        <v>Informational</v>
      </c>
    </row>
    <row r="2221" customFormat="false" ht="15" hidden="false" customHeight="true" outlineLevel="0" collapsed="false">
      <c r="A2221" s="6" t="s">
        <v>6948</v>
      </c>
      <c r="B2221" s="6" t="s">
        <v>239</v>
      </c>
      <c r="C2221" s="6" t="n">
        <v>3</v>
      </c>
      <c r="D2221" s="6" t="n">
        <v>23</v>
      </c>
      <c r="E2221" s="6" t="n">
        <v>1</v>
      </c>
      <c r="F2221" s="6" t="s">
        <v>2701</v>
      </c>
      <c r="G2221" s="28" t="str">
        <f aca="false">IFERROR(INDEX('Semrush Data'!$A$1:$Z$20000,MATCH(A2221,'Semrush Data'!$A$1:$A$20000,0),MATCH("Volume",'Semrush Data'!$A$1:$Z$1,0)),"")</f>
        <v/>
      </c>
      <c r="H2221" s="6" t="str">
        <f aca="false">IFERROR(INDEX('Semrush Data'!$A$1:$Z$20000,MATCH(A2221,'Semrush Data'!$A$1:$A$20000,0),MATCH("Keyword Difficulty*",'Semrush Data'!$A$1:$Z$1,0)),"")</f>
        <v/>
      </c>
      <c r="I2221" s="29" t="str">
        <f aca="false">IFERROR(INDEX('Semrush Data'!$A$1:$Z$20000,MATCH(A2221,'Semrush Data'!$A$1:$A$20000,0),MATCH("CPC*",'Semrush Data'!$A$1:$Z$1,0)),"")</f>
        <v/>
      </c>
      <c r="J2221" s="6" t="str">
        <f aca="false">IFERROR(INDEX('Semrush Data'!$A$1:$Z$20000,MATCH(A2221,'Semrush Data'!$A$1:$A$20000,0),MATCH("Intent",'Semrush Data'!$A$1:$Z$1,0)),"")</f>
        <v/>
      </c>
    </row>
    <row r="2222" customFormat="false" ht="15" hidden="false" customHeight="true" outlineLevel="0" collapsed="false">
      <c r="A2222" s="6" t="s">
        <v>6949</v>
      </c>
      <c r="B2222" s="6" t="s">
        <v>239</v>
      </c>
      <c r="C2222" s="6" t="n">
        <v>3</v>
      </c>
      <c r="D2222" s="6" t="n">
        <v>23</v>
      </c>
      <c r="E2222" s="6" t="n">
        <v>1</v>
      </c>
      <c r="F2222" s="6" t="s">
        <v>2701</v>
      </c>
      <c r="G2222" s="28" t="str">
        <f aca="false">IFERROR(INDEX('Semrush Data'!$A$1:$Z$20000,MATCH(A2222,'Semrush Data'!$A$1:$A$20000,0),MATCH("Volume",'Semrush Data'!$A$1:$Z$1,0)),"")</f>
        <v/>
      </c>
      <c r="H2222" s="6" t="str">
        <f aca="false">IFERROR(INDEX('Semrush Data'!$A$1:$Z$20000,MATCH(A2222,'Semrush Data'!$A$1:$A$20000,0),MATCH("Keyword Difficulty*",'Semrush Data'!$A$1:$Z$1,0)),"")</f>
        <v/>
      </c>
      <c r="I2222" s="29" t="str">
        <f aca="false">IFERROR(INDEX('Semrush Data'!$A$1:$Z$20000,MATCH(A2222,'Semrush Data'!$A$1:$A$20000,0),MATCH("CPC*",'Semrush Data'!$A$1:$Z$1,0)),"")</f>
        <v/>
      </c>
      <c r="J2222" s="6" t="str">
        <f aca="false">IFERROR(INDEX('Semrush Data'!$A$1:$Z$20000,MATCH(A2222,'Semrush Data'!$A$1:$A$20000,0),MATCH("Intent",'Semrush Data'!$A$1:$Z$1,0)),"")</f>
        <v/>
      </c>
    </row>
    <row r="2223" customFormat="false" ht="15" hidden="false" customHeight="true" outlineLevel="0" collapsed="false">
      <c r="A2223" s="6" t="s">
        <v>6950</v>
      </c>
      <c r="B2223" s="6" t="s">
        <v>239</v>
      </c>
      <c r="C2223" s="6" t="n">
        <v>3</v>
      </c>
      <c r="D2223" s="6" t="n">
        <v>23</v>
      </c>
      <c r="E2223" s="6" t="n">
        <v>1</v>
      </c>
      <c r="F2223" s="6" t="s">
        <v>2712</v>
      </c>
      <c r="G2223" s="28" t="str">
        <f aca="false">IFERROR(INDEX('Semrush Data'!$A$1:$Z$20000,MATCH(A2223,'Semrush Data'!$A$1:$A$20000,0),MATCH("Volume",'Semrush Data'!$A$1:$Z$1,0)),"")</f>
        <v/>
      </c>
      <c r="H2223" s="6" t="str">
        <f aca="false">IFERROR(INDEX('Semrush Data'!$A$1:$Z$20000,MATCH(A2223,'Semrush Data'!$A$1:$A$20000,0),MATCH("Keyword Difficulty*",'Semrush Data'!$A$1:$Z$1,0)),"")</f>
        <v/>
      </c>
      <c r="I2223" s="29" t="str">
        <f aca="false">IFERROR(INDEX('Semrush Data'!$A$1:$Z$20000,MATCH(A2223,'Semrush Data'!$A$1:$A$20000,0),MATCH("CPC*",'Semrush Data'!$A$1:$Z$1,0)),"")</f>
        <v/>
      </c>
      <c r="J2223" s="6" t="str">
        <f aca="false">IFERROR(INDEX('Semrush Data'!$A$1:$Z$20000,MATCH(A2223,'Semrush Data'!$A$1:$A$20000,0),MATCH("Intent",'Semrush Data'!$A$1:$Z$1,0)),"")</f>
        <v/>
      </c>
    </row>
    <row r="2224" customFormat="false" ht="15" hidden="false" customHeight="true" outlineLevel="0" collapsed="false">
      <c r="A2224" s="6" t="s">
        <v>6951</v>
      </c>
      <c r="B2224" s="6" t="s">
        <v>239</v>
      </c>
      <c r="C2224" s="6" t="n">
        <v>3</v>
      </c>
      <c r="D2224" s="6" t="n">
        <v>23</v>
      </c>
      <c r="E2224" s="6" t="n">
        <v>1</v>
      </c>
      <c r="F2224" s="6" t="s">
        <v>2712</v>
      </c>
      <c r="G2224" s="28" t="str">
        <f aca="false">IFERROR(INDEX('Semrush Data'!$A$1:$Z$20000,MATCH(A2224,'Semrush Data'!$A$1:$A$20000,0),MATCH("Volume",'Semrush Data'!$A$1:$Z$1,0)),"")</f>
        <v/>
      </c>
      <c r="H2224" s="6" t="str">
        <f aca="false">IFERROR(INDEX('Semrush Data'!$A$1:$Z$20000,MATCH(A2224,'Semrush Data'!$A$1:$A$20000,0),MATCH("Keyword Difficulty*",'Semrush Data'!$A$1:$Z$1,0)),"")</f>
        <v/>
      </c>
      <c r="I2224" s="29" t="str">
        <f aca="false">IFERROR(INDEX('Semrush Data'!$A$1:$Z$20000,MATCH(A2224,'Semrush Data'!$A$1:$A$20000,0),MATCH("CPC*",'Semrush Data'!$A$1:$Z$1,0)),"")</f>
        <v/>
      </c>
      <c r="J2224" s="6" t="str">
        <f aca="false">IFERROR(INDEX('Semrush Data'!$A$1:$Z$20000,MATCH(A2224,'Semrush Data'!$A$1:$A$20000,0),MATCH("Intent",'Semrush Data'!$A$1:$Z$1,0)),"")</f>
        <v/>
      </c>
    </row>
    <row r="2225" customFormat="false" ht="15" hidden="false" customHeight="true" outlineLevel="0" collapsed="false">
      <c r="A2225" s="6" t="s">
        <v>6952</v>
      </c>
      <c r="B2225" s="6" t="s">
        <v>239</v>
      </c>
      <c r="C2225" s="6" t="n">
        <v>3</v>
      </c>
      <c r="D2225" s="6" t="n">
        <v>23</v>
      </c>
      <c r="E2225" s="6" t="n">
        <v>1</v>
      </c>
      <c r="F2225" s="6" t="s">
        <v>2723</v>
      </c>
      <c r="G2225" s="28" t="str">
        <f aca="false">IFERROR(INDEX('Semrush Data'!$A$1:$Z$20000,MATCH(A2225,'Semrush Data'!$A$1:$A$20000,0),MATCH("Volume",'Semrush Data'!$A$1:$Z$1,0)),"")</f>
        <v/>
      </c>
      <c r="H2225" s="6" t="str">
        <f aca="false">IFERROR(INDEX('Semrush Data'!$A$1:$Z$20000,MATCH(A2225,'Semrush Data'!$A$1:$A$20000,0),MATCH("Keyword Difficulty*",'Semrush Data'!$A$1:$Z$1,0)),"")</f>
        <v/>
      </c>
      <c r="I2225" s="29" t="str">
        <f aca="false">IFERROR(INDEX('Semrush Data'!$A$1:$Z$20000,MATCH(A2225,'Semrush Data'!$A$1:$A$20000,0),MATCH("CPC*",'Semrush Data'!$A$1:$Z$1,0)),"")</f>
        <v/>
      </c>
      <c r="J2225" s="6" t="str">
        <f aca="false">IFERROR(INDEX('Semrush Data'!$A$1:$Z$20000,MATCH(A2225,'Semrush Data'!$A$1:$A$20000,0),MATCH("Intent",'Semrush Data'!$A$1:$Z$1,0)),"")</f>
        <v/>
      </c>
    </row>
    <row r="2226" customFormat="false" ht="15" hidden="false" customHeight="true" outlineLevel="0" collapsed="false">
      <c r="A2226" s="6" t="s">
        <v>6953</v>
      </c>
      <c r="B2226" s="6" t="s">
        <v>239</v>
      </c>
      <c r="C2226" s="6" t="n">
        <v>3</v>
      </c>
      <c r="D2226" s="6" t="n">
        <v>23</v>
      </c>
      <c r="E2226" s="6" t="n">
        <v>1</v>
      </c>
      <c r="F2226" s="6" t="s">
        <v>2723</v>
      </c>
      <c r="G2226" s="28" t="str">
        <f aca="false">IFERROR(INDEX('Semrush Data'!$A$1:$Z$20000,MATCH(A2226,'Semrush Data'!$A$1:$A$20000,0),MATCH("Volume",'Semrush Data'!$A$1:$Z$1,0)),"")</f>
        <v/>
      </c>
      <c r="H2226" s="6" t="str">
        <f aca="false">IFERROR(INDEX('Semrush Data'!$A$1:$Z$20000,MATCH(A2226,'Semrush Data'!$A$1:$A$20000,0),MATCH("Keyword Difficulty*",'Semrush Data'!$A$1:$Z$1,0)),"")</f>
        <v/>
      </c>
      <c r="I2226" s="29" t="str">
        <f aca="false">IFERROR(INDEX('Semrush Data'!$A$1:$Z$20000,MATCH(A2226,'Semrush Data'!$A$1:$A$20000,0),MATCH("CPC*",'Semrush Data'!$A$1:$Z$1,0)),"")</f>
        <v/>
      </c>
      <c r="J2226" s="6" t="str">
        <f aca="false">IFERROR(INDEX('Semrush Data'!$A$1:$Z$20000,MATCH(A2226,'Semrush Data'!$A$1:$A$20000,0),MATCH("Intent",'Semrush Data'!$A$1:$Z$1,0)),"")</f>
        <v/>
      </c>
    </row>
    <row r="2227" customFormat="false" ht="15" hidden="false" customHeight="true" outlineLevel="0" collapsed="false">
      <c r="A2227" s="6" t="s">
        <v>6954</v>
      </c>
      <c r="B2227" s="6" t="s">
        <v>239</v>
      </c>
      <c r="C2227" s="6" t="n">
        <v>3</v>
      </c>
      <c r="D2227" s="6" t="n">
        <v>23</v>
      </c>
      <c r="E2227" s="6" t="n">
        <v>1</v>
      </c>
      <c r="F2227" s="6" t="s">
        <v>2723</v>
      </c>
      <c r="G2227" s="28" t="str">
        <f aca="false">IFERROR(INDEX('Semrush Data'!$A$1:$Z$20000,MATCH(A2227,'Semrush Data'!$A$1:$A$20000,0),MATCH("Volume",'Semrush Data'!$A$1:$Z$1,0)),"")</f>
        <v/>
      </c>
      <c r="H2227" s="6" t="str">
        <f aca="false">IFERROR(INDEX('Semrush Data'!$A$1:$Z$20000,MATCH(A2227,'Semrush Data'!$A$1:$A$20000,0),MATCH("Keyword Difficulty*",'Semrush Data'!$A$1:$Z$1,0)),"")</f>
        <v/>
      </c>
      <c r="I2227" s="29" t="str">
        <f aca="false">IFERROR(INDEX('Semrush Data'!$A$1:$Z$20000,MATCH(A2227,'Semrush Data'!$A$1:$A$20000,0),MATCH("CPC*",'Semrush Data'!$A$1:$Z$1,0)),"")</f>
        <v/>
      </c>
      <c r="J2227" s="6" t="str">
        <f aca="false">IFERROR(INDEX('Semrush Data'!$A$1:$Z$20000,MATCH(A2227,'Semrush Data'!$A$1:$A$20000,0),MATCH("Intent",'Semrush Data'!$A$1:$Z$1,0)),"")</f>
        <v/>
      </c>
    </row>
    <row r="2228" customFormat="false" ht="15" hidden="false" customHeight="true" outlineLevel="0" collapsed="false">
      <c r="A2228" s="6" t="s">
        <v>6955</v>
      </c>
      <c r="B2228" s="6" t="s">
        <v>239</v>
      </c>
      <c r="C2228" s="6" t="n">
        <v>3</v>
      </c>
      <c r="D2228" s="6" t="n">
        <v>23</v>
      </c>
      <c r="E2228" s="6" t="n">
        <v>1</v>
      </c>
      <c r="F2228" s="6" t="s">
        <v>2723</v>
      </c>
      <c r="G2228" s="28" t="str">
        <f aca="false">IFERROR(INDEX('Semrush Data'!$A$1:$Z$20000,MATCH(A2228,'Semrush Data'!$A$1:$A$20000,0),MATCH("Volume",'Semrush Data'!$A$1:$Z$1,0)),"")</f>
        <v/>
      </c>
      <c r="H2228" s="6" t="str">
        <f aca="false">IFERROR(INDEX('Semrush Data'!$A$1:$Z$20000,MATCH(A2228,'Semrush Data'!$A$1:$A$20000,0),MATCH("Keyword Difficulty*",'Semrush Data'!$A$1:$Z$1,0)),"")</f>
        <v/>
      </c>
      <c r="I2228" s="29" t="str">
        <f aca="false">IFERROR(INDEX('Semrush Data'!$A$1:$Z$20000,MATCH(A2228,'Semrush Data'!$A$1:$A$20000,0),MATCH("CPC*",'Semrush Data'!$A$1:$Z$1,0)),"")</f>
        <v/>
      </c>
      <c r="J2228" s="6" t="str">
        <f aca="false">IFERROR(INDEX('Semrush Data'!$A$1:$Z$20000,MATCH(A2228,'Semrush Data'!$A$1:$A$20000,0),MATCH("Intent",'Semrush Data'!$A$1:$Z$1,0)),"")</f>
        <v/>
      </c>
    </row>
    <row r="2229" customFormat="false" ht="15" hidden="false" customHeight="true" outlineLevel="0" collapsed="false">
      <c r="A2229" s="6" t="s">
        <v>2756</v>
      </c>
      <c r="B2229" s="6" t="s">
        <v>239</v>
      </c>
      <c r="C2229" s="6" t="n">
        <v>3</v>
      </c>
      <c r="D2229" s="6" t="n">
        <v>23</v>
      </c>
      <c r="E2229" s="6" t="n">
        <v>3</v>
      </c>
      <c r="F2229" s="6" t="s">
        <v>6836</v>
      </c>
      <c r="G2229" s="28" t="str">
        <f aca="false">IFERROR(INDEX('Semrush Data'!$A$1:$Z$20000,MATCH(A2229,'Semrush Data'!$A$1:$A$20000,0),MATCH("Volume",'Semrush Data'!$A$1:$Z$1,0)),"")</f>
        <v/>
      </c>
      <c r="H2229" s="6" t="str">
        <f aca="false">IFERROR(INDEX('Semrush Data'!$A$1:$Z$20000,MATCH(A2229,'Semrush Data'!$A$1:$A$20000,0),MATCH("Keyword Difficulty*",'Semrush Data'!$A$1:$Z$1,0)),"")</f>
        <v/>
      </c>
      <c r="I2229" s="29" t="str">
        <f aca="false">IFERROR(INDEX('Semrush Data'!$A$1:$Z$20000,MATCH(A2229,'Semrush Data'!$A$1:$A$20000,0),MATCH("CPC*",'Semrush Data'!$A$1:$Z$1,0)),"")</f>
        <v/>
      </c>
      <c r="J2229" s="6" t="str">
        <f aca="false">IFERROR(INDEX('Semrush Data'!$A$1:$Z$20000,MATCH(A2229,'Semrush Data'!$A$1:$A$20000,0),MATCH("Intent",'Semrush Data'!$A$1:$Z$1,0)),"")</f>
        <v/>
      </c>
    </row>
    <row r="2230" customFormat="false" ht="15" hidden="false" customHeight="true" outlineLevel="0" collapsed="false">
      <c r="A2230" s="6" t="s">
        <v>2769</v>
      </c>
      <c r="B2230" s="6" t="s">
        <v>239</v>
      </c>
      <c r="C2230" s="6" t="n">
        <v>3</v>
      </c>
      <c r="D2230" s="6" t="n">
        <v>23</v>
      </c>
      <c r="E2230" s="6" t="n">
        <v>3</v>
      </c>
      <c r="F2230" s="6" t="s">
        <v>6837</v>
      </c>
      <c r="G2230" s="28" t="str">
        <f aca="false">IFERROR(INDEX('Semrush Data'!$A$1:$Z$20000,MATCH(A2230,'Semrush Data'!$A$1:$A$20000,0),MATCH("Volume",'Semrush Data'!$A$1:$Z$1,0)),"")</f>
        <v/>
      </c>
      <c r="H2230" s="6" t="str">
        <f aca="false">IFERROR(INDEX('Semrush Data'!$A$1:$Z$20000,MATCH(A2230,'Semrush Data'!$A$1:$A$20000,0),MATCH("Keyword Difficulty*",'Semrush Data'!$A$1:$Z$1,0)),"")</f>
        <v/>
      </c>
      <c r="I2230" s="29" t="str">
        <f aca="false">IFERROR(INDEX('Semrush Data'!$A$1:$Z$20000,MATCH(A2230,'Semrush Data'!$A$1:$A$20000,0),MATCH("CPC*",'Semrush Data'!$A$1:$Z$1,0)),"")</f>
        <v/>
      </c>
      <c r="J2230" s="6" t="str">
        <f aca="false">IFERROR(INDEX('Semrush Data'!$A$1:$Z$20000,MATCH(A2230,'Semrush Data'!$A$1:$A$20000,0),MATCH("Intent",'Semrush Data'!$A$1:$Z$1,0)),"")</f>
        <v/>
      </c>
    </row>
    <row r="2231" customFormat="false" ht="15" hidden="false" customHeight="true" outlineLevel="0" collapsed="false">
      <c r="A2231" s="6" t="s">
        <v>2794</v>
      </c>
      <c r="B2231" s="6" t="s">
        <v>239</v>
      </c>
      <c r="C2231" s="6" t="n">
        <v>3</v>
      </c>
      <c r="D2231" s="6" t="n">
        <v>23</v>
      </c>
      <c r="E2231" s="6" t="n">
        <v>3</v>
      </c>
      <c r="F2231" s="6" t="s">
        <v>6839</v>
      </c>
      <c r="G2231" s="28" t="str">
        <f aca="false">IFERROR(INDEX('Semrush Data'!$A$1:$Z$20000,MATCH(A2231,'Semrush Data'!$A$1:$A$20000,0),MATCH("Volume",'Semrush Data'!$A$1:$Z$1,0)),"")</f>
        <v/>
      </c>
      <c r="H2231" s="6" t="str">
        <f aca="false">IFERROR(INDEX('Semrush Data'!$A$1:$Z$20000,MATCH(A2231,'Semrush Data'!$A$1:$A$20000,0),MATCH("Keyword Difficulty*",'Semrush Data'!$A$1:$Z$1,0)),"")</f>
        <v/>
      </c>
      <c r="I2231" s="29" t="str">
        <f aca="false">IFERROR(INDEX('Semrush Data'!$A$1:$Z$20000,MATCH(A2231,'Semrush Data'!$A$1:$A$20000,0),MATCH("CPC*",'Semrush Data'!$A$1:$Z$1,0)),"")</f>
        <v/>
      </c>
      <c r="J2231" s="6" t="str">
        <f aca="false">IFERROR(INDEX('Semrush Data'!$A$1:$Z$20000,MATCH(A2231,'Semrush Data'!$A$1:$A$20000,0),MATCH("Intent",'Semrush Data'!$A$1:$Z$1,0)),"")</f>
        <v/>
      </c>
    </row>
    <row r="2232" customFormat="false" ht="15" hidden="false" customHeight="true" outlineLevel="0" collapsed="false">
      <c r="A2232" s="6" t="s">
        <v>6956</v>
      </c>
      <c r="B2232" s="6" t="s">
        <v>239</v>
      </c>
      <c r="C2232" s="6" t="n">
        <v>3</v>
      </c>
      <c r="D2232" s="6" t="n">
        <v>23</v>
      </c>
      <c r="E2232" s="6" t="n">
        <v>1</v>
      </c>
      <c r="F2232" s="6" t="s">
        <v>139</v>
      </c>
      <c r="G2232" s="28" t="str">
        <f aca="false">IFERROR(INDEX('Semrush Data'!$A$1:$Z$20000,MATCH(A2232,'Semrush Data'!$A$1:$A$20000,0),MATCH("Volume",'Semrush Data'!$A$1:$Z$1,0)),"")</f>
        <v/>
      </c>
      <c r="H2232" s="6" t="str">
        <f aca="false">IFERROR(INDEX('Semrush Data'!$A$1:$Z$20000,MATCH(A2232,'Semrush Data'!$A$1:$A$20000,0),MATCH("Keyword Difficulty*",'Semrush Data'!$A$1:$Z$1,0)),"")</f>
        <v/>
      </c>
      <c r="I2232" s="29" t="str">
        <f aca="false">IFERROR(INDEX('Semrush Data'!$A$1:$Z$20000,MATCH(A2232,'Semrush Data'!$A$1:$A$20000,0),MATCH("CPC*",'Semrush Data'!$A$1:$Z$1,0)),"")</f>
        <v/>
      </c>
      <c r="J2232" s="6" t="str">
        <f aca="false">IFERROR(INDEX('Semrush Data'!$A$1:$Z$20000,MATCH(A2232,'Semrush Data'!$A$1:$A$20000,0),MATCH("Intent",'Semrush Data'!$A$1:$Z$1,0)),"")</f>
        <v/>
      </c>
    </row>
    <row r="2233" customFormat="false" ht="15" hidden="false" customHeight="true" outlineLevel="0" collapsed="false">
      <c r="A2233" s="6" t="s">
        <v>6957</v>
      </c>
      <c r="B2233" s="6" t="s">
        <v>239</v>
      </c>
      <c r="C2233" s="6" t="n">
        <v>3</v>
      </c>
      <c r="D2233" s="6" t="n">
        <v>23</v>
      </c>
      <c r="E2233" s="6" t="n">
        <v>1</v>
      </c>
      <c r="F2233" s="6" t="s">
        <v>139</v>
      </c>
      <c r="G2233" s="28" t="str">
        <f aca="false">IFERROR(INDEX('Semrush Data'!$A$1:$Z$20000,MATCH(A2233,'Semrush Data'!$A$1:$A$20000,0),MATCH("Volume",'Semrush Data'!$A$1:$Z$1,0)),"")</f>
        <v/>
      </c>
      <c r="H2233" s="6" t="str">
        <f aca="false">IFERROR(INDEX('Semrush Data'!$A$1:$Z$20000,MATCH(A2233,'Semrush Data'!$A$1:$A$20000,0),MATCH("Keyword Difficulty*",'Semrush Data'!$A$1:$Z$1,0)),"")</f>
        <v/>
      </c>
      <c r="I2233" s="29" t="str">
        <f aca="false">IFERROR(INDEX('Semrush Data'!$A$1:$Z$20000,MATCH(A2233,'Semrush Data'!$A$1:$A$20000,0),MATCH("CPC*",'Semrush Data'!$A$1:$Z$1,0)),"")</f>
        <v/>
      </c>
      <c r="J2233" s="6" t="str">
        <f aca="false">IFERROR(INDEX('Semrush Data'!$A$1:$Z$20000,MATCH(A2233,'Semrush Data'!$A$1:$A$20000,0),MATCH("Intent",'Semrush Data'!$A$1:$Z$1,0)),"")</f>
        <v/>
      </c>
    </row>
    <row r="2234" customFormat="false" ht="15" hidden="false" customHeight="true" outlineLevel="0" collapsed="false">
      <c r="A2234" s="6" t="s">
        <v>6958</v>
      </c>
      <c r="B2234" s="6" t="s">
        <v>239</v>
      </c>
      <c r="C2234" s="6" t="n">
        <v>3</v>
      </c>
      <c r="D2234" s="6" t="n">
        <v>23</v>
      </c>
      <c r="E2234" s="6" t="n">
        <v>1</v>
      </c>
      <c r="F2234" s="6" t="s">
        <v>139</v>
      </c>
      <c r="G2234" s="28" t="str">
        <f aca="false">IFERROR(INDEX('Semrush Data'!$A$1:$Z$20000,MATCH(A2234,'Semrush Data'!$A$1:$A$20000,0),MATCH("Volume",'Semrush Data'!$A$1:$Z$1,0)),"")</f>
        <v/>
      </c>
      <c r="H2234" s="6" t="str">
        <f aca="false">IFERROR(INDEX('Semrush Data'!$A$1:$Z$20000,MATCH(A2234,'Semrush Data'!$A$1:$A$20000,0),MATCH("Keyword Difficulty*",'Semrush Data'!$A$1:$Z$1,0)),"")</f>
        <v/>
      </c>
      <c r="I2234" s="29" t="str">
        <f aca="false">IFERROR(INDEX('Semrush Data'!$A$1:$Z$20000,MATCH(A2234,'Semrush Data'!$A$1:$A$20000,0),MATCH("CPC*",'Semrush Data'!$A$1:$Z$1,0)),"")</f>
        <v/>
      </c>
      <c r="J2234" s="6" t="str">
        <f aca="false">IFERROR(INDEX('Semrush Data'!$A$1:$Z$20000,MATCH(A2234,'Semrush Data'!$A$1:$A$20000,0),MATCH("Intent",'Semrush Data'!$A$1:$Z$1,0)),"")</f>
        <v/>
      </c>
    </row>
    <row r="2235" customFormat="false" ht="15" hidden="false" customHeight="true" outlineLevel="0" collapsed="false">
      <c r="A2235" s="6" t="s">
        <v>6959</v>
      </c>
      <c r="B2235" s="6" t="s">
        <v>239</v>
      </c>
      <c r="C2235" s="6" t="n">
        <v>3</v>
      </c>
      <c r="D2235" s="6" t="n">
        <v>23</v>
      </c>
      <c r="E2235" s="6" t="n">
        <v>1</v>
      </c>
      <c r="F2235" s="6" t="s">
        <v>139</v>
      </c>
      <c r="G2235" s="28" t="str">
        <f aca="false">IFERROR(INDEX('Semrush Data'!$A$1:$Z$20000,MATCH(A2235,'Semrush Data'!$A$1:$A$20000,0),MATCH("Volume",'Semrush Data'!$A$1:$Z$1,0)),"")</f>
        <v/>
      </c>
      <c r="H2235" s="6" t="str">
        <f aca="false">IFERROR(INDEX('Semrush Data'!$A$1:$Z$20000,MATCH(A2235,'Semrush Data'!$A$1:$A$20000,0),MATCH("Keyword Difficulty*",'Semrush Data'!$A$1:$Z$1,0)),"")</f>
        <v/>
      </c>
      <c r="I2235" s="29" t="str">
        <f aca="false">IFERROR(INDEX('Semrush Data'!$A$1:$Z$20000,MATCH(A2235,'Semrush Data'!$A$1:$A$20000,0),MATCH("CPC*",'Semrush Data'!$A$1:$Z$1,0)),"")</f>
        <v/>
      </c>
      <c r="J2235" s="6" t="str">
        <f aca="false">IFERROR(INDEX('Semrush Data'!$A$1:$Z$20000,MATCH(A2235,'Semrush Data'!$A$1:$A$20000,0),MATCH("Intent",'Semrush Data'!$A$1:$Z$1,0)),"")</f>
        <v/>
      </c>
    </row>
    <row r="2236" customFormat="false" ht="15" hidden="false" customHeight="true" outlineLevel="0" collapsed="false">
      <c r="A2236" s="6" t="s">
        <v>286</v>
      </c>
      <c r="B2236" s="6" t="s">
        <v>239</v>
      </c>
      <c r="C2236" s="6" t="n">
        <v>3</v>
      </c>
      <c r="D2236" s="6" t="s">
        <v>6893</v>
      </c>
      <c r="E2236" s="6" t="n">
        <v>1</v>
      </c>
      <c r="F2236" s="6" t="s">
        <v>139</v>
      </c>
      <c r="G2236" s="28" t="n">
        <f aca="false">IFERROR(INDEX('Semrush Data'!$A$1:$Z$20000,MATCH(A2236,'Semrush Data'!$A$1:$A$20000,0),MATCH("Volume",'Semrush Data'!$A$1:$Z$1,0)),"")</f>
        <v>20</v>
      </c>
      <c r="H2236" s="6" t="n">
        <f aca="false">IFERROR(INDEX('Semrush Data'!$A$1:$Z$20000,MATCH(A2236,'Semrush Data'!$A$1:$A$20000,0),MATCH("Keyword Difficulty*",'Semrush Data'!$A$1:$Z$1,0)),"")</f>
        <v>13</v>
      </c>
      <c r="I2236" s="29" t="n">
        <f aca="false">IFERROR(INDEX('Semrush Data'!$A$1:$Z$20000,MATCH(A2236,'Semrush Data'!$A$1:$A$20000,0),MATCH("CPC*",'Semrush Data'!$A$1:$Z$1,0)),"")</f>
        <v>0</v>
      </c>
      <c r="J2236" s="6" t="str">
        <f aca="false">IFERROR(INDEX('Semrush Data'!$A$1:$Z$20000,MATCH(A2236,'Semrush Data'!$A$1:$A$20000,0),MATCH("Intent",'Semrush Data'!$A$1:$Z$1,0)),"")</f>
        <v>Commercial</v>
      </c>
    </row>
    <row r="2237" customFormat="false" ht="15" hidden="false" customHeight="true" outlineLevel="0" collapsed="false">
      <c r="A2237" s="6" t="s">
        <v>270</v>
      </c>
      <c r="B2237" s="6" t="s">
        <v>239</v>
      </c>
      <c r="C2237" s="6" t="n">
        <v>3</v>
      </c>
      <c r="D2237" s="6" t="s">
        <v>6893</v>
      </c>
      <c r="E2237" s="6" t="n">
        <v>1</v>
      </c>
      <c r="F2237" s="6" t="s">
        <v>139</v>
      </c>
      <c r="G2237" s="28" t="n">
        <f aca="false">IFERROR(INDEX('Semrush Data'!$A$1:$Z$20000,MATCH(A2237,'Semrush Data'!$A$1:$A$20000,0),MATCH("Volume",'Semrush Data'!$A$1:$Z$1,0)),"")</f>
        <v>30</v>
      </c>
      <c r="H2237" s="6" t="n">
        <f aca="false">IFERROR(INDEX('Semrush Data'!$A$1:$Z$20000,MATCH(A2237,'Semrush Data'!$A$1:$A$20000,0),MATCH("Keyword Difficulty*",'Semrush Data'!$A$1:$Z$1,0)),"")</f>
        <v>16</v>
      </c>
      <c r="I2237" s="29" t="n">
        <f aca="false">IFERROR(INDEX('Semrush Data'!$A$1:$Z$20000,MATCH(A2237,'Semrush Data'!$A$1:$A$20000,0),MATCH("CPC*",'Semrush Data'!$A$1:$Z$1,0)),"")</f>
        <v>0</v>
      </c>
      <c r="J2237" s="6" t="str">
        <f aca="false">IFERROR(INDEX('Semrush Data'!$A$1:$Z$20000,MATCH(A2237,'Semrush Data'!$A$1:$A$20000,0),MATCH("Intent",'Semrush Data'!$A$1:$Z$1,0)),"")</f>
        <v>Commercial</v>
      </c>
    </row>
    <row r="2238" customFormat="false" ht="15" hidden="false" customHeight="true" outlineLevel="0" collapsed="false">
      <c r="A2238" s="6" t="s">
        <v>6001</v>
      </c>
      <c r="B2238" s="6" t="s">
        <v>239</v>
      </c>
      <c r="C2238" s="6" t="n">
        <v>3</v>
      </c>
      <c r="D2238" s="6" t="n">
        <v>23</v>
      </c>
      <c r="E2238" s="6" t="n">
        <v>1</v>
      </c>
      <c r="F2238" s="6" t="s">
        <v>5994</v>
      </c>
      <c r="G2238" s="28" t="str">
        <f aca="false">IFERROR(INDEX('Semrush Data'!$A$1:$Z$20000,MATCH(A2238,'Semrush Data'!$A$1:$A$20000,0),MATCH("Volume",'Semrush Data'!$A$1:$Z$1,0)),"")</f>
        <v/>
      </c>
      <c r="H2238" s="6" t="str">
        <f aca="false">IFERROR(INDEX('Semrush Data'!$A$1:$Z$20000,MATCH(A2238,'Semrush Data'!$A$1:$A$20000,0),MATCH("Keyword Difficulty*",'Semrush Data'!$A$1:$Z$1,0)),"")</f>
        <v/>
      </c>
      <c r="I2238" s="29" t="str">
        <f aca="false">IFERROR(INDEX('Semrush Data'!$A$1:$Z$20000,MATCH(A2238,'Semrush Data'!$A$1:$A$20000,0),MATCH("CPC*",'Semrush Data'!$A$1:$Z$1,0)),"")</f>
        <v/>
      </c>
      <c r="J2238" s="6" t="str">
        <f aca="false">IFERROR(INDEX('Semrush Data'!$A$1:$Z$20000,MATCH(A2238,'Semrush Data'!$A$1:$A$20000,0),MATCH("Intent",'Semrush Data'!$A$1:$Z$1,0)),"")</f>
        <v/>
      </c>
    </row>
    <row r="2239" customFormat="false" ht="15" hidden="false" customHeight="true" outlineLevel="0" collapsed="false">
      <c r="A2239" s="6" t="s">
        <v>6960</v>
      </c>
      <c r="B2239" s="6" t="s">
        <v>239</v>
      </c>
      <c r="C2239" s="6" t="n">
        <v>3</v>
      </c>
      <c r="D2239" s="6" t="n">
        <v>23</v>
      </c>
      <c r="E2239" s="6" t="n">
        <v>1</v>
      </c>
      <c r="F2239" s="6" t="s">
        <v>2854</v>
      </c>
      <c r="G2239" s="28" t="str">
        <f aca="false">IFERROR(INDEX('Semrush Data'!$A$1:$Z$20000,MATCH(A2239,'Semrush Data'!$A$1:$A$20000,0),MATCH("Volume",'Semrush Data'!$A$1:$Z$1,0)),"")</f>
        <v/>
      </c>
      <c r="H2239" s="6" t="str">
        <f aca="false">IFERROR(INDEX('Semrush Data'!$A$1:$Z$20000,MATCH(A2239,'Semrush Data'!$A$1:$A$20000,0),MATCH("Keyword Difficulty*",'Semrush Data'!$A$1:$Z$1,0)),"")</f>
        <v/>
      </c>
      <c r="I2239" s="29" t="str">
        <f aca="false">IFERROR(INDEX('Semrush Data'!$A$1:$Z$20000,MATCH(A2239,'Semrush Data'!$A$1:$A$20000,0),MATCH("CPC*",'Semrush Data'!$A$1:$Z$1,0)),"")</f>
        <v/>
      </c>
      <c r="J2239" s="6" t="str">
        <f aca="false">IFERROR(INDEX('Semrush Data'!$A$1:$Z$20000,MATCH(A2239,'Semrush Data'!$A$1:$A$20000,0),MATCH("Intent",'Semrush Data'!$A$1:$Z$1,0)),"")</f>
        <v/>
      </c>
    </row>
    <row r="2240" customFormat="false" ht="15" hidden="false" customHeight="true" outlineLevel="0" collapsed="false">
      <c r="A2240" s="6" t="s">
        <v>6961</v>
      </c>
      <c r="B2240" s="6" t="s">
        <v>239</v>
      </c>
      <c r="C2240" s="6" t="n">
        <v>3</v>
      </c>
      <c r="D2240" s="6" t="n">
        <v>23</v>
      </c>
      <c r="E2240" s="6" t="n">
        <v>1</v>
      </c>
      <c r="F2240" s="6" t="s">
        <v>2854</v>
      </c>
      <c r="G2240" s="28" t="str">
        <f aca="false">IFERROR(INDEX('Semrush Data'!$A$1:$Z$20000,MATCH(A2240,'Semrush Data'!$A$1:$A$20000,0),MATCH("Volume",'Semrush Data'!$A$1:$Z$1,0)),"")</f>
        <v/>
      </c>
      <c r="H2240" s="6" t="str">
        <f aca="false">IFERROR(INDEX('Semrush Data'!$A$1:$Z$20000,MATCH(A2240,'Semrush Data'!$A$1:$A$20000,0),MATCH("Keyword Difficulty*",'Semrush Data'!$A$1:$Z$1,0)),"")</f>
        <v/>
      </c>
      <c r="I2240" s="29" t="str">
        <f aca="false">IFERROR(INDEX('Semrush Data'!$A$1:$Z$20000,MATCH(A2240,'Semrush Data'!$A$1:$A$20000,0),MATCH("CPC*",'Semrush Data'!$A$1:$Z$1,0)),"")</f>
        <v/>
      </c>
      <c r="J2240" s="6" t="str">
        <f aca="false">IFERROR(INDEX('Semrush Data'!$A$1:$Z$20000,MATCH(A2240,'Semrush Data'!$A$1:$A$20000,0),MATCH("Intent",'Semrush Data'!$A$1:$Z$1,0)),"")</f>
        <v/>
      </c>
    </row>
    <row r="2241" customFormat="false" ht="15" hidden="false" customHeight="true" outlineLevel="0" collapsed="false">
      <c r="A2241" s="6" t="s">
        <v>6962</v>
      </c>
      <c r="B2241" s="6" t="s">
        <v>239</v>
      </c>
      <c r="C2241" s="6" t="n">
        <v>3</v>
      </c>
      <c r="D2241" s="6" t="n">
        <v>23</v>
      </c>
      <c r="E2241" s="6" t="n">
        <v>1</v>
      </c>
      <c r="F2241" s="6" t="s">
        <v>2854</v>
      </c>
      <c r="G2241" s="28" t="str">
        <f aca="false">IFERROR(INDEX('Semrush Data'!$A$1:$Z$20000,MATCH(A2241,'Semrush Data'!$A$1:$A$20000,0),MATCH("Volume",'Semrush Data'!$A$1:$Z$1,0)),"")</f>
        <v/>
      </c>
      <c r="H2241" s="6" t="str">
        <f aca="false">IFERROR(INDEX('Semrush Data'!$A$1:$Z$20000,MATCH(A2241,'Semrush Data'!$A$1:$A$20000,0),MATCH("Keyword Difficulty*",'Semrush Data'!$A$1:$Z$1,0)),"")</f>
        <v/>
      </c>
      <c r="I2241" s="29" t="str">
        <f aca="false">IFERROR(INDEX('Semrush Data'!$A$1:$Z$20000,MATCH(A2241,'Semrush Data'!$A$1:$A$20000,0),MATCH("CPC*",'Semrush Data'!$A$1:$Z$1,0)),"")</f>
        <v/>
      </c>
      <c r="J2241" s="6" t="str">
        <f aca="false">IFERROR(INDEX('Semrush Data'!$A$1:$Z$20000,MATCH(A2241,'Semrush Data'!$A$1:$A$20000,0),MATCH("Intent",'Semrush Data'!$A$1:$Z$1,0)),"")</f>
        <v/>
      </c>
    </row>
    <row r="2242" customFormat="false" ht="15" hidden="false" customHeight="true" outlineLevel="0" collapsed="false">
      <c r="A2242" s="6" t="s">
        <v>6963</v>
      </c>
      <c r="B2242" s="6" t="s">
        <v>239</v>
      </c>
      <c r="C2242" s="6" t="n">
        <v>3</v>
      </c>
      <c r="D2242" s="6" t="n">
        <v>23</v>
      </c>
      <c r="E2242" s="6" t="n">
        <v>1</v>
      </c>
      <c r="F2242" s="6" t="s">
        <v>2866</v>
      </c>
      <c r="G2242" s="28" t="str">
        <f aca="false">IFERROR(INDEX('Semrush Data'!$A$1:$Z$20000,MATCH(A2242,'Semrush Data'!$A$1:$A$20000,0),MATCH("Volume",'Semrush Data'!$A$1:$Z$1,0)),"")</f>
        <v/>
      </c>
      <c r="H2242" s="6" t="str">
        <f aca="false">IFERROR(INDEX('Semrush Data'!$A$1:$Z$20000,MATCH(A2242,'Semrush Data'!$A$1:$A$20000,0),MATCH("Keyword Difficulty*",'Semrush Data'!$A$1:$Z$1,0)),"")</f>
        <v/>
      </c>
      <c r="I2242" s="29" t="str">
        <f aca="false">IFERROR(INDEX('Semrush Data'!$A$1:$Z$20000,MATCH(A2242,'Semrush Data'!$A$1:$A$20000,0),MATCH("CPC*",'Semrush Data'!$A$1:$Z$1,0)),"")</f>
        <v/>
      </c>
      <c r="J2242" s="6" t="str">
        <f aca="false">IFERROR(INDEX('Semrush Data'!$A$1:$Z$20000,MATCH(A2242,'Semrush Data'!$A$1:$A$20000,0),MATCH("Intent",'Semrush Data'!$A$1:$Z$1,0)),"")</f>
        <v/>
      </c>
    </row>
    <row r="2243" customFormat="false" ht="15" hidden="false" customHeight="true" outlineLevel="0" collapsed="false">
      <c r="A2243" s="6" t="s">
        <v>6964</v>
      </c>
      <c r="B2243" s="6" t="s">
        <v>239</v>
      </c>
      <c r="C2243" s="6" t="n">
        <v>3</v>
      </c>
      <c r="D2243" s="6" t="n">
        <v>23</v>
      </c>
      <c r="E2243" s="6" t="n">
        <v>1</v>
      </c>
      <c r="F2243" s="6" t="s">
        <v>2866</v>
      </c>
      <c r="G2243" s="28" t="str">
        <f aca="false">IFERROR(INDEX('Semrush Data'!$A$1:$Z$20000,MATCH(A2243,'Semrush Data'!$A$1:$A$20000,0),MATCH("Volume",'Semrush Data'!$A$1:$Z$1,0)),"")</f>
        <v/>
      </c>
      <c r="H2243" s="6" t="str">
        <f aca="false">IFERROR(INDEX('Semrush Data'!$A$1:$Z$20000,MATCH(A2243,'Semrush Data'!$A$1:$A$20000,0),MATCH("Keyword Difficulty*",'Semrush Data'!$A$1:$Z$1,0)),"")</f>
        <v/>
      </c>
      <c r="I2243" s="29" t="str">
        <f aca="false">IFERROR(INDEX('Semrush Data'!$A$1:$Z$20000,MATCH(A2243,'Semrush Data'!$A$1:$A$20000,0),MATCH("CPC*",'Semrush Data'!$A$1:$Z$1,0)),"")</f>
        <v/>
      </c>
      <c r="J2243" s="6" t="str">
        <f aca="false">IFERROR(INDEX('Semrush Data'!$A$1:$Z$20000,MATCH(A2243,'Semrush Data'!$A$1:$A$20000,0),MATCH("Intent",'Semrush Data'!$A$1:$Z$1,0)),"")</f>
        <v/>
      </c>
    </row>
    <row r="2244" customFormat="false" ht="15" hidden="false" customHeight="true" outlineLevel="0" collapsed="false">
      <c r="A2244" s="6" t="s">
        <v>6965</v>
      </c>
      <c r="B2244" s="6" t="s">
        <v>239</v>
      </c>
      <c r="C2244" s="6" t="n">
        <v>3</v>
      </c>
      <c r="D2244" s="6" t="n">
        <v>23</v>
      </c>
      <c r="E2244" s="6" t="n">
        <v>1</v>
      </c>
      <c r="F2244" s="6" t="s">
        <v>2866</v>
      </c>
      <c r="G2244" s="28" t="str">
        <f aca="false">IFERROR(INDEX('Semrush Data'!$A$1:$Z$20000,MATCH(A2244,'Semrush Data'!$A$1:$A$20000,0),MATCH("Volume",'Semrush Data'!$A$1:$Z$1,0)),"")</f>
        <v/>
      </c>
      <c r="H2244" s="6" t="str">
        <f aca="false">IFERROR(INDEX('Semrush Data'!$A$1:$Z$20000,MATCH(A2244,'Semrush Data'!$A$1:$A$20000,0),MATCH("Keyword Difficulty*",'Semrush Data'!$A$1:$Z$1,0)),"")</f>
        <v/>
      </c>
      <c r="I2244" s="29" t="str">
        <f aca="false">IFERROR(INDEX('Semrush Data'!$A$1:$Z$20000,MATCH(A2244,'Semrush Data'!$A$1:$A$20000,0),MATCH("CPC*",'Semrush Data'!$A$1:$Z$1,0)),"")</f>
        <v/>
      </c>
      <c r="J2244" s="6" t="str">
        <f aca="false">IFERROR(INDEX('Semrush Data'!$A$1:$Z$20000,MATCH(A2244,'Semrush Data'!$A$1:$A$20000,0),MATCH("Intent",'Semrush Data'!$A$1:$Z$1,0)),"")</f>
        <v/>
      </c>
    </row>
    <row r="2245" customFormat="false" ht="15" hidden="false" customHeight="true" outlineLevel="0" collapsed="false">
      <c r="A2245" s="6" t="s">
        <v>6966</v>
      </c>
      <c r="B2245" s="6" t="s">
        <v>239</v>
      </c>
      <c r="C2245" s="6" t="n">
        <v>3</v>
      </c>
      <c r="D2245" s="6" t="n">
        <v>23</v>
      </c>
      <c r="E2245" s="6" t="n">
        <v>1</v>
      </c>
      <c r="F2245" s="6" t="s">
        <v>2866</v>
      </c>
      <c r="G2245" s="28" t="str">
        <f aca="false">IFERROR(INDEX('Semrush Data'!$A$1:$Z$20000,MATCH(A2245,'Semrush Data'!$A$1:$A$20000,0),MATCH("Volume",'Semrush Data'!$A$1:$Z$1,0)),"")</f>
        <v/>
      </c>
      <c r="H2245" s="6" t="str">
        <f aca="false">IFERROR(INDEX('Semrush Data'!$A$1:$Z$20000,MATCH(A2245,'Semrush Data'!$A$1:$A$20000,0),MATCH("Keyword Difficulty*",'Semrush Data'!$A$1:$Z$1,0)),"")</f>
        <v/>
      </c>
      <c r="I2245" s="29" t="str">
        <f aca="false">IFERROR(INDEX('Semrush Data'!$A$1:$Z$20000,MATCH(A2245,'Semrush Data'!$A$1:$A$20000,0),MATCH("CPC*",'Semrush Data'!$A$1:$Z$1,0)),"")</f>
        <v/>
      </c>
      <c r="J2245" s="6" t="str">
        <f aca="false">IFERROR(INDEX('Semrush Data'!$A$1:$Z$20000,MATCH(A2245,'Semrush Data'!$A$1:$A$20000,0),MATCH("Intent",'Semrush Data'!$A$1:$Z$1,0)),"")</f>
        <v/>
      </c>
    </row>
    <row r="2246" customFormat="false" ht="15" hidden="false" customHeight="true" outlineLevel="0" collapsed="false">
      <c r="A2246" s="6" t="s">
        <v>6967</v>
      </c>
      <c r="B2246" s="6" t="s">
        <v>239</v>
      </c>
      <c r="C2246" s="6" t="n">
        <v>3</v>
      </c>
      <c r="D2246" s="6" t="n">
        <v>23</v>
      </c>
      <c r="E2246" s="6" t="n">
        <v>1</v>
      </c>
      <c r="F2246" s="6" t="s">
        <v>2866</v>
      </c>
      <c r="G2246" s="28" t="str">
        <f aca="false">IFERROR(INDEX('Semrush Data'!$A$1:$Z$20000,MATCH(A2246,'Semrush Data'!$A$1:$A$20000,0),MATCH("Volume",'Semrush Data'!$A$1:$Z$1,0)),"")</f>
        <v/>
      </c>
      <c r="H2246" s="6" t="str">
        <f aca="false">IFERROR(INDEX('Semrush Data'!$A$1:$Z$20000,MATCH(A2246,'Semrush Data'!$A$1:$A$20000,0),MATCH("Keyword Difficulty*",'Semrush Data'!$A$1:$Z$1,0)),"")</f>
        <v/>
      </c>
      <c r="I2246" s="29" t="str">
        <f aca="false">IFERROR(INDEX('Semrush Data'!$A$1:$Z$20000,MATCH(A2246,'Semrush Data'!$A$1:$A$20000,0),MATCH("CPC*",'Semrush Data'!$A$1:$Z$1,0)),"")</f>
        <v/>
      </c>
      <c r="J2246" s="6" t="str">
        <f aca="false">IFERROR(INDEX('Semrush Data'!$A$1:$Z$20000,MATCH(A2246,'Semrush Data'!$A$1:$A$20000,0),MATCH("Intent",'Semrush Data'!$A$1:$Z$1,0)),"")</f>
        <v/>
      </c>
    </row>
    <row r="2247" customFormat="false" ht="15" hidden="false" customHeight="true" outlineLevel="0" collapsed="false">
      <c r="A2247" s="6" t="s">
        <v>6968</v>
      </c>
      <c r="B2247" s="6" t="s">
        <v>239</v>
      </c>
      <c r="C2247" s="6" t="n">
        <v>3</v>
      </c>
      <c r="D2247" s="6" t="n">
        <v>23</v>
      </c>
      <c r="E2247" s="6" t="n">
        <v>1</v>
      </c>
      <c r="F2247" s="6" t="s">
        <v>2879</v>
      </c>
      <c r="G2247" s="28" t="str">
        <f aca="false">IFERROR(INDEX('Semrush Data'!$A$1:$Z$20000,MATCH(A2247,'Semrush Data'!$A$1:$A$20000,0),MATCH("Volume",'Semrush Data'!$A$1:$Z$1,0)),"")</f>
        <v/>
      </c>
      <c r="H2247" s="6" t="str">
        <f aca="false">IFERROR(INDEX('Semrush Data'!$A$1:$Z$20000,MATCH(A2247,'Semrush Data'!$A$1:$A$20000,0),MATCH("Keyword Difficulty*",'Semrush Data'!$A$1:$Z$1,0)),"")</f>
        <v/>
      </c>
      <c r="I2247" s="29" t="str">
        <f aca="false">IFERROR(INDEX('Semrush Data'!$A$1:$Z$20000,MATCH(A2247,'Semrush Data'!$A$1:$A$20000,0),MATCH("CPC*",'Semrush Data'!$A$1:$Z$1,0)),"")</f>
        <v/>
      </c>
      <c r="J2247" s="6" t="str">
        <f aca="false">IFERROR(INDEX('Semrush Data'!$A$1:$Z$20000,MATCH(A2247,'Semrush Data'!$A$1:$A$20000,0),MATCH("Intent",'Semrush Data'!$A$1:$Z$1,0)),"")</f>
        <v/>
      </c>
    </row>
    <row r="2248" customFormat="false" ht="15" hidden="false" customHeight="true" outlineLevel="0" collapsed="false">
      <c r="A2248" s="6" t="s">
        <v>6969</v>
      </c>
      <c r="B2248" s="6" t="s">
        <v>239</v>
      </c>
      <c r="C2248" s="6" t="n">
        <v>3</v>
      </c>
      <c r="D2248" s="6" t="n">
        <v>23</v>
      </c>
      <c r="E2248" s="6" t="n">
        <v>1</v>
      </c>
      <c r="F2248" s="6" t="s">
        <v>2879</v>
      </c>
      <c r="G2248" s="28" t="str">
        <f aca="false">IFERROR(INDEX('Semrush Data'!$A$1:$Z$20000,MATCH(A2248,'Semrush Data'!$A$1:$A$20000,0),MATCH("Volume",'Semrush Data'!$A$1:$Z$1,0)),"")</f>
        <v/>
      </c>
      <c r="H2248" s="6" t="str">
        <f aca="false">IFERROR(INDEX('Semrush Data'!$A$1:$Z$20000,MATCH(A2248,'Semrush Data'!$A$1:$A$20000,0),MATCH("Keyword Difficulty*",'Semrush Data'!$A$1:$Z$1,0)),"")</f>
        <v/>
      </c>
      <c r="I2248" s="29" t="str">
        <f aca="false">IFERROR(INDEX('Semrush Data'!$A$1:$Z$20000,MATCH(A2248,'Semrush Data'!$A$1:$A$20000,0),MATCH("CPC*",'Semrush Data'!$A$1:$Z$1,0)),"")</f>
        <v/>
      </c>
      <c r="J2248" s="6" t="str">
        <f aca="false">IFERROR(INDEX('Semrush Data'!$A$1:$Z$20000,MATCH(A2248,'Semrush Data'!$A$1:$A$20000,0),MATCH("Intent",'Semrush Data'!$A$1:$Z$1,0)),"")</f>
        <v/>
      </c>
    </row>
    <row r="2249" customFormat="false" ht="15" hidden="false" customHeight="true" outlineLevel="0" collapsed="false">
      <c r="A2249" s="6" t="s">
        <v>6970</v>
      </c>
      <c r="B2249" s="6" t="s">
        <v>239</v>
      </c>
      <c r="C2249" s="6" t="n">
        <v>3</v>
      </c>
      <c r="D2249" s="6" t="n">
        <v>23</v>
      </c>
      <c r="E2249" s="6" t="n">
        <v>1</v>
      </c>
      <c r="F2249" s="6" t="s">
        <v>2879</v>
      </c>
      <c r="G2249" s="28" t="str">
        <f aca="false">IFERROR(INDEX('Semrush Data'!$A$1:$Z$20000,MATCH(A2249,'Semrush Data'!$A$1:$A$20000,0),MATCH("Volume",'Semrush Data'!$A$1:$Z$1,0)),"")</f>
        <v/>
      </c>
      <c r="H2249" s="6" t="str">
        <f aca="false">IFERROR(INDEX('Semrush Data'!$A$1:$Z$20000,MATCH(A2249,'Semrush Data'!$A$1:$A$20000,0),MATCH("Keyword Difficulty*",'Semrush Data'!$A$1:$Z$1,0)),"")</f>
        <v/>
      </c>
      <c r="I2249" s="29" t="str">
        <f aca="false">IFERROR(INDEX('Semrush Data'!$A$1:$Z$20000,MATCH(A2249,'Semrush Data'!$A$1:$A$20000,0),MATCH("CPC*",'Semrush Data'!$A$1:$Z$1,0)),"")</f>
        <v/>
      </c>
      <c r="J2249" s="6" t="str">
        <f aca="false">IFERROR(INDEX('Semrush Data'!$A$1:$Z$20000,MATCH(A2249,'Semrush Data'!$A$1:$A$20000,0),MATCH("Intent",'Semrush Data'!$A$1:$Z$1,0)),"")</f>
        <v/>
      </c>
    </row>
    <row r="2250" customFormat="false" ht="15" hidden="false" customHeight="true" outlineLevel="0" collapsed="false">
      <c r="A2250" s="6" t="s">
        <v>6971</v>
      </c>
      <c r="B2250" s="6" t="s">
        <v>239</v>
      </c>
      <c r="C2250" s="6" t="n">
        <v>3</v>
      </c>
      <c r="D2250" s="6" t="n">
        <v>23</v>
      </c>
      <c r="E2250" s="6" t="n">
        <v>1</v>
      </c>
      <c r="F2250" s="6" t="s">
        <v>2879</v>
      </c>
      <c r="G2250" s="28" t="str">
        <f aca="false">IFERROR(INDEX('Semrush Data'!$A$1:$Z$20000,MATCH(A2250,'Semrush Data'!$A$1:$A$20000,0),MATCH("Volume",'Semrush Data'!$A$1:$Z$1,0)),"")</f>
        <v/>
      </c>
      <c r="H2250" s="6" t="str">
        <f aca="false">IFERROR(INDEX('Semrush Data'!$A$1:$Z$20000,MATCH(A2250,'Semrush Data'!$A$1:$A$20000,0),MATCH("Keyword Difficulty*",'Semrush Data'!$A$1:$Z$1,0)),"")</f>
        <v/>
      </c>
      <c r="I2250" s="29" t="str">
        <f aca="false">IFERROR(INDEX('Semrush Data'!$A$1:$Z$20000,MATCH(A2250,'Semrush Data'!$A$1:$A$20000,0),MATCH("CPC*",'Semrush Data'!$A$1:$Z$1,0)),"")</f>
        <v/>
      </c>
      <c r="J2250" s="6" t="str">
        <f aca="false">IFERROR(INDEX('Semrush Data'!$A$1:$Z$20000,MATCH(A2250,'Semrush Data'!$A$1:$A$20000,0),MATCH("Intent",'Semrush Data'!$A$1:$Z$1,0)),"")</f>
        <v/>
      </c>
    </row>
    <row r="2251" customFormat="false" ht="15" hidden="false" customHeight="true" outlineLevel="0" collapsed="false">
      <c r="A2251" s="6" t="s">
        <v>6972</v>
      </c>
      <c r="B2251" s="6" t="s">
        <v>239</v>
      </c>
      <c r="C2251" s="6" t="n">
        <v>3</v>
      </c>
      <c r="D2251" s="6" t="n">
        <v>23</v>
      </c>
      <c r="E2251" s="6" t="n">
        <v>1</v>
      </c>
      <c r="F2251" s="6" t="s">
        <v>2879</v>
      </c>
      <c r="G2251" s="28" t="str">
        <f aca="false">IFERROR(INDEX('Semrush Data'!$A$1:$Z$20000,MATCH(A2251,'Semrush Data'!$A$1:$A$20000,0),MATCH("Volume",'Semrush Data'!$A$1:$Z$1,0)),"")</f>
        <v/>
      </c>
      <c r="H2251" s="6" t="str">
        <f aca="false">IFERROR(INDEX('Semrush Data'!$A$1:$Z$20000,MATCH(A2251,'Semrush Data'!$A$1:$A$20000,0),MATCH("Keyword Difficulty*",'Semrush Data'!$A$1:$Z$1,0)),"")</f>
        <v/>
      </c>
      <c r="I2251" s="29" t="str">
        <f aca="false">IFERROR(INDEX('Semrush Data'!$A$1:$Z$20000,MATCH(A2251,'Semrush Data'!$A$1:$A$20000,0),MATCH("CPC*",'Semrush Data'!$A$1:$Z$1,0)),"")</f>
        <v/>
      </c>
      <c r="J2251" s="6" t="str">
        <f aca="false">IFERROR(INDEX('Semrush Data'!$A$1:$Z$20000,MATCH(A2251,'Semrush Data'!$A$1:$A$20000,0),MATCH("Intent",'Semrush Data'!$A$1:$Z$1,0)),"")</f>
        <v/>
      </c>
    </row>
    <row r="2252" customFormat="false" ht="15" hidden="false" customHeight="true" outlineLevel="0" collapsed="false">
      <c r="A2252" s="6" t="s">
        <v>6973</v>
      </c>
      <c r="B2252" s="6" t="s">
        <v>239</v>
      </c>
      <c r="C2252" s="6" t="n">
        <v>3</v>
      </c>
      <c r="D2252" s="6" t="n">
        <v>23</v>
      </c>
      <c r="E2252" s="6" t="n">
        <v>1</v>
      </c>
      <c r="F2252" s="6" t="s">
        <v>2890</v>
      </c>
      <c r="G2252" s="28" t="str">
        <f aca="false">IFERROR(INDEX('Semrush Data'!$A$1:$Z$20000,MATCH(A2252,'Semrush Data'!$A$1:$A$20000,0),MATCH("Volume",'Semrush Data'!$A$1:$Z$1,0)),"")</f>
        <v/>
      </c>
      <c r="H2252" s="6" t="str">
        <f aca="false">IFERROR(INDEX('Semrush Data'!$A$1:$Z$20000,MATCH(A2252,'Semrush Data'!$A$1:$A$20000,0),MATCH("Keyword Difficulty*",'Semrush Data'!$A$1:$Z$1,0)),"")</f>
        <v/>
      </c>
      <c r="I2252" s="29" t="str">
        <f aca="false">IFERROR(INDEX('Semrush Data'!$A$1:$Z$20000,MATCH(A2252,'Semrush Data'!$A$1:$A$20000,0),MATCH("CPC*",'Semrush Data'!$A$1:$Z$1,0)),"")</f>
        <v/>
      </c>
      <c r="J2252" s="6" t="str">
        <f aca="false">IFERROR(INDEX('Semrush Data'!$A$1:$Z$20000,MATCH(A2252,'Semrush Data'!$A$1:$A$20000,0),MATCH("Intent",'Semrush Data'!$A$1:$Z$1,0)),"")</f>
        <v/>
      </c>
    </row>
    <row r="2253" customFormat="false" ht="15" hidden="false" customHeight="true" outlineLevel="0" collapsed="false">
      <c r="A2253" s="6" t="s">
        <v>6974</v>
      </c>
      <c r="B2253" s="6" t="s">
        <v>239</v>
      </c>
      <c r="C2253" s="6" t="n">
        <v>3</v>
      </c>
      <c r="D2253" s="6" t="n">
        <v>23</v>
      </c>
      <c r="E2253" s="6" t="n">
        <v>1</v>
      </c>
      <c r="F2253" s="6" t="s">
        <v>2890</v>
      </c>
      <c r="G2253" s="28" t="str">
        <f aca="false">IFERROR(INDEX('Semrush Data'!$A$1:$Z$20000,MATCH(A2253,'Semrush Data'!$A$1:$A$20000,0),MATCH("Volume",'Semrush Data'!$A$1:$Z$1,0)),"")</f>
        <v/>
      </c>
      <c r="H2253" s="6" t="str">
        <f aca="false">IFERROR(INDEX('Semrush Data'!$A$1:$Z$20000,MATCH(A2253,'Semrush Data'!$A$1:$A$20000,0),MATCH("Keyword Difficulty*",'Semrush Data'!$A$1:$Z$1,0)),"")</f>
        <v/>
      </c>
      <c r="I2253" s="29" t="str">
        <f aca="false">IFERROR(INDEX('Semrush Data'!$A$1:$Z$20000,MATCH(A2253,'Semrush Data'!$A$1:$A$20000,0),MATCH("CPC*",'Semrush Data'!$A$1:$Z$1,0)),"")</f>
        <v/>
      </c>
      <c r="J2253" s="6" t="str">
        <f aca="false">IFERROR(INDEX('Semrush Data'!$A$1:$Z$20000,MATCH(A2253,'Semrush Data'!$A$1:$A$20000,0),MATCH("Intent",'Semrush Data'!$A$1:$Z$1,0)),"")</f>
        <v/>
      </c>
    </row>
    <row r="2254" customFormat="false" ht="15" hidden="false" customHeight="true" outlineLevel="0" collapsed="false">
      <c r="A2254" s="6" t="s">
        <v>6975</v>
      </c>
      <c r="B2254" s="6" t="s">
        <v>239</v>
      </c>
      <c r="C2254" s="6" t="n">
        <v>3</v>
      </c>
      <c r="D2254" s="6" t="n">
        <v>23</v>
      </c>
      <c r="E2254" s="6" t="n">
        <v>1</v>
      </c>
      <c r="F2254" s="6" t="s">
        <v>2890</v>
      </c>
      <c r="G2254" s="28" t="str">
        <f aca="false">IFERROR(INDEX('Semrush Data'!$A$1:$Z$20000,MATCH(A2254,'Semrush Data'!$A$1:$A$20000,0),MATCH("Volume",'Semrush Data'!$A$1:$Z$1,0)),"")</f>
        <v/>
      </c>
      <c r="H2254" s="6" t="str">
        <f aca="false">IFERROR(INDEX('Semrush Data'!$A$1:$Z$20000,MATCH(A2254,'Semrush Data'!$A$1:$A$20000,0),MATCH("Keyword Difficulty*",'Semrush Data'!$A$1:$Z$1,0)),"")</f>
        <v/>
      </c>
      <c r="I2254" s="29" t="str">
        <f aca="false">IFERROR(INDEX('Semrush Data'!$A$1:$Z$20000,MATCH(A2254,'Semrush Data'!$A$1:$A$20000,0),MATCH("CPC*",'Semrush Data'!$A$1:$Z$1,0)),"")</f>
        <v/>
      </c>
      <c r="J2254" s="6" t="str">
        <f aca="false">IFERROR(INDEX('Semrush Data'!$A$1:$Z$20000,MATCH(A2254,'Semrush Data'!$A$1:$A$20000,0),MATCH("Intent",'Semrush Data'!$A$1:$Z$1,0)),"")</f>
        <v/>
      </c>
    </row>
    <row r="2255" customFormat="false" ht="15" hidden="false" customHeight="true" outlineLevel="0" collapsed="false">
      <c r="A2255" s="6" t="s">
        <v>6976</v>
      </c>
      <c r="B2255" s="6" t="s">
        <v>239</v>
      </c>
      <c r="C2255" s="6" t="n">
        <v>3</v>
      </c>
      <c r="D2255" s="6" t="n">
        <v>23</v>
      </c>
      <c r="E2255" s="6" t="n">
        <v>1</v>
      </c>
      <c r="F2255" s="6" t="s">
        <v>2890</v>
      </c>
      <c r="G2255" s="28" t="str">
        <f aca="false">IFERROR(INDEX('Semrush Data'!$A$1:$Z$20000,MATCH(A2255,'Semrush Data'!$A$1:$A$20000,0),MATCH("Volume",'Semrush Data'!$A$1:$Z$1,0)),"")</f>
        <v/>
      </c>
      <c r="H2255" s="6" t="str">
        <f aca="false">IFERROR(INDEX('Semrush Data'!$A$1:$Z$20000,MATCH(A2255,'Semrush Data'!$A$1:$A$20000,0),MATCH("Keyword Difficulty*",'Semrush Data'!$A$1:$Z$1,0)),"")</f>
        <v/>
      </c>
      <c r="I2255" s="29" t="str">
        <f aca="false">IFERROR(INDEX('Semrush Data'!$A$1:$Z$20000,MATCH(A2255,'Semrush Data'!$A$1:$A$20000,0),MATCH("CPC*",'Semrush Data'!$A$1:$Z$1,0)),"")</f>
        <v/>
      </c>
      <c r="J2255" s="6" t="str">
        <f aca="false">IFERROR(INDEX('Semrush Data'!$A$1:$Z$20000,MATCH(A2255,'Semrush Data'!$A$1:$A$20000,0),MATCH("Intent",'Semrush Data'!$A$1:$Z$1,0)),"")</f>
        <v/>
      </c>
    </row>
    <row r="2256" customFormat="false" ht="15" hidden="false" customHeight="true" outlineLevel="0" collapsed="false">
      <c r="A2256" s="6" t="s">
        <v>6977</v>
      </c>
      <c r="B2256" s="6" t="s">
        <v>239</v>
      </c>
      <c r="C2256" s="6" t="n">
        <v>3</v>
      </c>
      <c r="D2256" s="6" t="n">
        <v>23</v>
      </c>
      <c r="E2256" s="6" t="n">
        <v>1</v>
      </c>
      <c r="F2256" s="6" t="s">
        <v>2890</v>
      </c>
      <c r="G2256" s="28" t="str">
        <f aca="false">IFERROR(INDEX('Semrush Data'!$A$1:$Z$20000,MATCH(A2256,'Semrush Data'!$A$1:$A$20000,0),MATCH("Volume",'Semrush Data'!$A$1:$Z$1,0)),"")</f>
        <v/>
      </c>
      <c r="H2256" s="6" t="str">
        <f aca="false">IFERROR(INDEX('Semrush Data'!$A$1:$Z$20000,MATCH(A2256,'Semrush Data'!$A$1:$A$20000,0),MATCH("Keyword Difficulty*",'Semrush Data'!$A$1:$Z$1,0)),"")</f>
        <v/>
      </c>
      <c r="I2256" s="29" t="str">
        <f aca="false">IFERROR(INDEX('Semrush Data'!$A$1:$Z$20000,MATCH(A2256,'Semrush Data'!$A$1:$A$20000,0),MATCH("CPC*",'Semrush Data'!$A$1:$Z$1,0)),"")</f>
        <v/>
      </c>
      <c r="J2256" s="6" t="str">
        <f aca="false">IFERROR(INDEX('Semrush Data'!$A$1:$Z$20000,MATCH(A2256,'Semrush Data'!$A$1:$A$20000,0),MATCH("Intent",'Semrush Data'!$A$1:$Z$1,0)),"")</f>
        <v/>
      </c>
    </row>
    <row r="2257" customFormat="false" ht="15" hidden="false" customHeight="true" outlineLevel="0" collapsed="false">
      <c r="A2257" s="6" t="s">
        <v>6978</v>
      </c>
      <c r="B2257" s="6" t="s">
        <v>239</v>
      </c>
      <c r="C2257" s="6" t="n">
        <v>3</v>
      </c>
      <c r="D2257" s="6" t="n">
        <v>23</v>
      </c>
      <c r="E2257" s="6" t="n">
        <v>1</v>
      </c>
      <c r="F2257" s="6" t="s">
        <v>2903</v>
      </c>
      <c r="G2257" s="28" t="str">
        <f aca="false">IFERROR(INDEX('Semrush Data'!$A$1:$Z$20000,MATCH(A2257,'Semrush Data'!$A$1:$A$20000,0),MATCH("Volume",'Semrush Data'!$A$1:$Z$1,0)),"")</f>
        <v/>
      </c>
      <c r="H2257" s="6" t="str">
        <f aca="false">IFERROR(INDEX('Semrush Data'!$A$1:$Z$20000,MATCH(A2257,'Semrush Data'!$A$1:$A$20000,0),MATCH("Keyword Difficulty*",'Semrush Data'!$A$1:$Z$1,0)),"")</f>
        <v/>
      </c>
      <c r="I2257" s="29" t="str">
        <f aca="false">IFERROR(INDEX('Semrush Data'!$A$1:$Z$20000,MATCH(A2257,'Semrush Data'!$A$1:$A$20000,0),MATCH("CPC*",'Semrush Data'!$A$1:$Z$1,0)),"")</f>
        <v/>
      </c>
      <c r="J2257" s="6" t="str">
        <f aca="false">IFERROR(INDEX('Semrush Data'!$A$1:$Z$20000,MATCH(A2257,'Semrush Data'!$A$1:$A$20000,0),MATCH("Intent",'Semrush Data'!$A$1:$Z$1,0)),"")</f>
        <v/>
      </c>
    </row>
    <row r="2258" customFormat="false" ht="15" hidden="false" customHeight="true" outlineLevel="0" collapsed="false">
      <c r="A2258" s="6" t="s">
        <v>6979</v>
      </c>
      <c r="B2258" s="6" t="s">
        <v>239</v>
      </c>
      <c r="C2258" s="6" t="n">
        <v>3</v>
      </c>
      <c r="D2258" s="6" t="n">
        <v>23</v>
      </c>
      <c r="E2258" s="6" t="n">
        <v>1</v>
      </c>
      <c r="F2258" s="6" t="s">
        <v>2903</v>
      </c>
      <c r="G2258" s="28" t="str">
        <f aca="false">IFERROR(INDEX('Semrush Data'!$A$1:$Z$20000,MATCH(A2258,'Semrush Data'!$A$1:$A$20000,0),MATCH("Volume",'Semrush Data'!$A$1:$Z$1,0)),"")</f>
        <v/>
      </c>
      <c r="H2258" s="6" t="str">
        <f aca="false">IFERROR(INDEX('Semrush Data'!$A$1:$Z$20000,MATCH(A2258,'Semrush Data'!$A$1:$A$20000,0),MATCH("Keyword Difficulty*",'Semrush Data'!$A$1:$Z$1,0)),"")</f>
        <v/>
      </c>
      <c r="I2258" s="29" t="str">
        <f aca="false">IFERROR(INDEX('Semrush Data'!$A$1:$Z$20000,MATCH(A2258,'Semrush Data'!$A$1:$A$20000,0),MATCH("CPC*",'Semrush Data'!$A$1:$Z$1,0)),"")</f>
        <v/>
      </c>
      <c r="J2258" s="6" t="str">
        <f aca="false">IFERROR(INDEX('Semrush Data'!$A$1:$Z$20000,MATCH(A2258,'Semrush Data'!$A$1:$A$20000,0),MATCH("Intent",'Semrush Data'!$A$1:$Z$1,0)),"")</f>
        <v/>
      </c>
    </row>
    <row r="2259" customFormat="false" ht="15" hidden="false" customHeight="true" outlineLevel="0" collapsed="false">
      <c r="A2259" s="6" t="s">
        <v>6980</v>
      </c>
      <c r="B2259" s="6" t="s">
        <v>239</v>
      </c>
      <c r="C2259" s="6" t="n">
        <v>3</v>
      </c>
      <c r="D2259" s="6" t="n">
        <v>23</v>
      </c>
      <c r="E2259" s="6" t="n">
        <v>1</v>
      </c>
      <c r="F2259" s="6" t="s">
        <v>2903</v>
      </c>
      <c r="G2259" s="28" t="str">
        <f aca="false">IFERROR(INDEX('Semrush Data'!$A$1:$Z$20000,MATCH(A2259,'Semrush Data'!$A$1:$A$20000,0),MATCH("Volume",'Semrush Data'!$A$1:$Z$1,0)),"")</f>
        <v/>
      </c>
      <c r="H2259" s="6" t="str">
        <f aca="false">IFERROR(INDEX('Semrush Data'!$A$1:$Z$20000,MATCH(A2259,'Semrush Data'!$A$1:$A$20000,0),MATCH("Keyword Difficulty*",'Semrush Data'!$A$1:$Z$1,0)),"")</f>
        <v/>
      </c>
      <c r="I2259" s="29" t="str">
        <f aca="false">IFERROR(INDEX('Semrush Data'!$A$1:$Z$20000,MATCH(A2259,'Semrush Data'!$A$1:$A$20000,0),MATCH("CPC*",'Semrush Data'!$A$1:$Z$1,0)),"")</f>
        <v/>
      </c>
      <c r="J2259" s="6" t="str">
        <f aca="false">IFERROR(INDEX('Semrush Data'!$A$1:$Z$20000,MATCH(A2259,'Semrush Data'!$A$1:$A$20000,0),MATCH("Intent",'Semrush Data'!$A$1:$Z$1,0)),"")</f>
        <v/>
      </c>
    </row>
    <row r="2260" customFormat="false" ht="15" hidden="false" customHeight="true" outlineLevel="0" collapsed="false">
      <c r="A2260" s="6" t="s">
        <v>6981</v>
      </c>
      <c r="B2260" s="6" t="s">
        <v>239</v>
      </c>
      <c r="C2260" s="6" t="n">
        <v>3</v>
      </c>
      <c r="D2260" s="6" t="n">
        <v>23</v>
      </c>
      <c r="E2260" s="6" t="n">
        <v>1</v>
      </c>
      <c r="F2260" s="6" t="s">
        <v>2903</v>
      </c>
      <c r="G2260" s="28" t="str">
        <f aca="false">IFERROR(INDEX('Semrush Data'!$A$1:$Z$20000,MATCH(A2260,'Semrush Data'!$A$1:$A$20000,0),MATCH("Volume",'Semrush Data'!$A$1:$Z$1,0)),"")</f>
        <v/>
      </c>
      <c r="H2260" s="6" t="str">
        <f aca="false">IFERROR(INDEX('Semrush Data'!$A$1:$Z$20000,MATCH(A2260,'Semrush Data'!$A$1:$A$20000,0),MATCH("Keyword Difficulty*",'Semrush Data'!$A$1:$Z$1,0)),"")</f>
        <v/>
      </c>
      <c r="I2260" s="29" t="str">
        <f aca="false">IFERROR(INDEX('Semrush Data'!$A$1:$Z$20000,MATCH(A2260,'Semrush Data'!$A$1:$A$20000,0),MATCH("CPC*",'Semrush Data'!$A$1:$Z$1,0)),"")</f>
        <v/>
      </c>
      <c r="J2260" s="6" t="str">
        <f aca="false">IFERROR(INDEX('Semrush Data'!$A$1:$Z$20000,MATCH(A2260,'Semrush Data'!$A$1:$A$20000,0),MATCH("Intent",'Semrush Data'!$A$1:$Z$1,0)),"")</f>
        <v/>
      </c>
    </row>
    <row r="2261" customFormat="false" ht="15" hidden="false" customHeight="true" outlineLevel="0" collapsed="false">
      <c r="A2261" s="6" t="s">
        <v>6982</v>
      </c>
      <c r="B2261" s="6" t="s">
        <v>239</v>
      </c>
      <c r="C2261" s="6" t="n">
        <v>3</v>
      </c>
      <c r="D2261" s="6" t="n">
        <v>23</v>
      </c>
      <c r="E2261" s="6" t="n">
        <v>1</v>
      </c>
      <c r="F2261" s="6" t="s">
        <v>2916</v>
      </c>
      <c r="G2261" s="28" t="str">
        <f aca="false">IFERROR(INDEX('Semrush Data'!$A$1:$Z$20000,MATCH(A2261,'Semrush Data'!$A$1:$A$20000,0),MATCH("Volume",'Semrush Data'!$A$1:$Z$1,0)),"")</f>
        <v/>
      </c>
      <c r="H2261" s="6" t="str">
        <f aca="false">IFERROR(INDEX('Semrush Data'!$A$1:$Z$20000,MATCH(A2261,'Semrush Data'!$A$1:$A$20000,0),MATCH("Keyword Difficulty*",'Semrush Data'!$A$1:$Z$1,0)),"")</f>
        <v/>
      </c>
      <c r="I2261" s="29" t="str">
        <f aca="false">IFERROR(INDEX('Semrush Data'!$A$1:$Z$20000,MATCH(A2261,'Semrush Data'!$A$1:$A$20000,0),MATCH("CPC*",'Semrush Data'!$A$1:$Z$1,0)),"")</f>
        <v/>
      </c>
      <c r="J2261" s="6" t="str">
        <f aca="false">IFERROR(INDEX('Semrush Data'!$A$1:$Z$20000,MATCH(A2261,'Semrush Data'!$A$1:$A$20000,0),MATCH("Intent",'Semrush Data'!$A$1:$Z$1,0)),"")</f>
        <v/>
      </c>
    </row>
    <row r="2262" customFormat="false" ht="15" hidden="false" customHeight="true" outlineLevel="0" collapsed="false">
      <c r="A2262" s="6" t="s">
        <v>6983</v>
      </c>
      <c r="B2262" s="6" t="s">
        <v>239</v>
      </c>
      <c r="C2262" s="6" t="n">
        <v>3</v>
      </c>
      <c r="D2262" s="6" t="n">
        <v>23</v>
      </c>
      <c r="E2262" s="6" t="n">
        <v>1</v>
      </c>
      <c r="F2262" s="6" t="s">
        <v>2916</v>
      </c>
      <c r="G2262" s="28" t="str">
        <f aca="false">IFERROR(INDEX('Semrush Data'!$A$1:$Z$20000,MATCH(A2262,'Semrush Data'!$A$1:$A$20000,0),MATCH("Volume",'Semrush Data'!$A$1:$Z$1,0)),"")</f>
        <v/>
      </c>
      <c r="H2262" s="6" t="str">
        <f aca="false">IFERROR(INDEX('Semrush Data'!$A$1:$Z$20000,MATCH(A2262,'Semrush Data'!$A$1:$A$20000,0),MATCH("Keyword Difficulty*",'Semrush Data'!$A$1:$Z$1,0)),"")</f>
        <v/>
      </c>
      <c r="I2262" s="29" t="str">
        <f aca="false">IFERROR(INDEX('Semrush Data'!$A$1:$Z$20000,MATCH(A2262,'Semrush Data'!$A$1:$A$20000,0),MATCH("CPC*",'Semrush Data'!$A$1:$Z$1,0)),"")</f>
        <v/>
      </c>
      <c r="J2262" s="6" t="str">
        <f aca="false">IFERROR(INDEX('Semrush Data'!$A$1:$Z$20000,MATCH(A2262,'Semrush Data'!$A$1:$A$20000,0),MATCH("Intent",'Semrush Data'!$A$1:$Z$1,0)),"")</f>
        <v/>
      </c>
    </row>
    <row r="2263" customFormat="false" ht="15" hidden="false" customHeight="true" outlineLevel="0" collapsed="false">
      <c r="A2263" s="6" t="s">
        <v>6984</v>
      </c>
      <c r="B2263" s="6" t="s">
        <v>239</v>
      </c>
      <c r="C2263" s="6" t="n">
        <v>3</v>
      </c>
      <c r="D2263" s="6" t="n">
        <v>23</v>
      </c>
      <c r="E2263" s="6" t="n">
        <v>1</v>
      </c>
      <c r="F2263" s="6" t="s">
        <v>2916</v>
      </c>
      <c r="G2263" s="28" t="str">
        <f aca="false">IFERROR(INDEX('Semrush Data'!$A$1:$Z$20000,MATCH(A2263,'Semrush Data'!$A$1:$A$20000,0),MATCH("Volume",'Semrush Data'!$A$1:$Z$1,0)),"")</f>
        <v/>
      </c>
      <c r="H2263" s="6" t="str">
        <f aca="false">IFERROR(INDEX('Semrush Data'!$A$1:$Z$20000,MATCH(A2263,'Semrush Data'!$A$1:$A$20000,0),MATCH("Keyword Difficulty*",'Semrush Data'!$A$1:$Z$1,0)),"")</f>
        <v/>
      </c>
      <c r="I2263" s="29" t="str">
        <f aca="false">IFERROR(INDEX('Semrush Data'!$A$1:$Z$20000,MATCH(A2263,'Semrush Data'!$A$1:$A$20000,0),MATCH("CPC*",'Semrush Data'!$A$1:$Z$1,0)),"")</f>
        <v/>
      </c>
      <c r="J2263" s="6" t="str">
        <f aca="false">IFERROR(INDEX('Semrush Data'!$A$1:$Z$20000,MATCH(A2263,'Semrush Data'!$A$1:$A$20000,0),MATCH("Intent",'Semrush Data'!$A$1:$Z$1,0)),"")</f>
        <v/>
      </c>
    </row>
    <row r="2264" customFormat="false" ht="15" hidden="false" customHeight="true" outlineLevel="0" collapsed="false">
      <c r="A2264" s="6" t="s">
        <v>6985</v>
      </c>
      <c r="B2264" s="6" t="s">
        <v>239</v>
      </c>
      <c r="C2264" s="6" t="n">
        <v>3</v>
      </c>
      <c r="D2264" s="6" t="n">
        <v>23</v>
      </c>
      <c r="E2264" s="6" t="n">
        <v>1</v>
      </c>
      <c r="F2264" s="6" t="s">
        <v>2955</v>
      </c>
      <c r="G2264" s="28" t="str">
        <f aca="false">IFERROR(INDEX('Semrush Data'!$A$1:$Z$20000,MATCH(A2264,'Semrush Data'!$A$1:$A$20000,0),MATCH("Volume",'Semrush Data'!$A$1:$Z$1,0)),"")</f>
        <v/>
      </c>
      <c r="H2264" s="6" t="str">
        <f aca="false">IFERROR(INDEX('Semrush Data'!$A$1:$Z$20000,MATCH(A2264,'Semrush Data'!$A$1:$A$20000,0),MATCH("Keyword Difficulty*",'Semrush Data'!$A$1:$Z$1,0)),"")</f>
        <v/>
      </c>
      <c r="I2264" s="29" t="str">
        <f aca="false">IFERROR(INDEX('Semrush Data'!$A$1:$Z$20000,MATCH(A2264,'Semrush Data'!$A$1:$A$20000,0),MATCH("CPC*",'Semrush Data'!$A$1:$Z$1,0)),"")</f>
        <v/>
      </c>
      <c r="J2264" s="6" t="str">
        <f aca="false">IFERROR(INDEX('Semrush Data'!$A$1:$Z$20000,MATCH(A2264,'Semrush Data'!$A$1:$A$20000,0),MATCH("Intent",'Semrush Data'!$A$1:$Z$1,0)),"")</f>
        <v/>
      </c>
    </row>
    <row r="2265" customFormat="false" ht="15" hidden="false" customHeight="true" outlineLevel="0" collapsed="false">
      <c r="A2265" s="6" t="s">
        <v>6986</v>
      </c>
      <c r="B2265" s="6" t="s">
        <v>239</v>
      </c>
      <c r="C2265" s="6" t="n">
        <v>3</v>
      </c>
      <c r="D2265" s="6" t="n">
        <v>23</v>
      </c>
      <c r="E2265" s="6" t="n">
        <v>1</v>
      </c>
      <c r="F2265" s="6" t="s">
        <v>2955</v>
      </c>
      <c r="G2265" s="28" t="str">
        <f aca="false">IFERROR(INDEX('Semrush Data'!$A$1:$Z$20000,MATCH(A2265,'Semrush Data'!$A$1:$A$20000,0),MATCH("Volume",'Semrush Data'!$A$1:$Z$1,0)),"")</f>
        <v/>
      </c>
      <c r="H2265" s="6" t="str">
        <f aca="false">IFERROR(INDEX('Semrush Data'!$A$1:$Z$20000,MATCH(A2265,'Semrush Data'!$A$1:$A$20000,0),MATCH("Keyword Difficulty*",'Semrush Data'!$A$1:$Z$1,0)),"")</f>
        <v/>
      </c>
      <c r="I2265" s="29" t="str">
        <f aca="false">IFERROR(INDEX('Semrush Data'!$A$1:$Z$20000,MATCH(A2265,'Semrush Data'!$A$1:$A$20000,0),MATCH("CPC*",'Semrush Data'!$A$1:$Z$1,0)),"")</f>
        <v/>
      </c>
      <c r="J2265" s="6" t="str">
        <f aca="false">IFERROR(INDEX('Semrush Data'!$A$1:$Z$20000,MATCH(A2265,'Semrush Data'!$A$1:$A$20000,0),MATCH("Intent",'Semrush Data'!$A$1:$Z$1,0)),"")</f>
        <v/>
      </c>
    </row>
    <row r="2266" customFormat="false" ht="15" hidden="false" customHeight="true" outlineLevel="0" collapsed="false">
      <c r="A2266" s="6" t="s">
        <v>6987</v>
      </c>
      <c r="B2266" s="6" t="s">
        <v>239</v>
      </c>
      <c r="C2266" s="6" t="n">
        <v>3</v>
      </c>
      <c r="D2266" s="6" t="n">
        <v>23</v>
      </c>
      <c r="E2266" s="6" t="n">
        <v>1</v>
      </c>
      <c r="F2266" s="6" t="s">
        <v>2955</v>
      </c>
      <c r="G2266" s="28" t="str">
        <f aca="false">IFERROR(INDEX('Semrush Data'!$A$1:$Z$20000,MATCH(A2266,'Semrush Data'!$A$1:$A$20000,0),MATCH("Volume",'Semrush Data'!$A$1:$Z$1,0)),"")</f>
        <v/>
      </c>
      <c r="H2266" s="6" t="str">
        <f aca="false">IFERROR(INDEX('Semrush Data'!$A$1:$Z$20000,MATCH(A2266,'Semrush Data'!$A$1:$A$20000,0),MATCH("Keyword Difficulty*",'Semrush Data'!$A$1:$Z$1,0)),"")</f>
        <v/>
      </c>
      <c r="I2266" s="29" t="str">
        <f aca="false">IFERROR(INDEX('Semrush Data'!$A$1:$Z$20000,MATCH(A2266,'Semrush Data'!$A$1:$A$20000,0),MATCH("CPC*",'Semrush Data'!$A$1:$Z$1,0)),"")</f>
        <v/>
      </c>
      <c r="J2266" s="6" t="str">
        <f aca="false">IFERROR(INDEX('Semrush Data'!$A$1:$Z$20000,MATCH(A2266,'Semrush Data'!$A$1:$A$20000,0),MATCH("Intent",'Semrush Data'!$A$1:$Z$1,0)),"")</f>
        <v/>
      </c>
    </row>
    <row r="2267" customFormat="false" ht="15" hidden="false" customHeight="true" outlineLevel="0" collapsed="false">
      <c r="A2267" s="6" t="s">
        <v>6988</v>
      </c>
      <c r="B2267" s="6" t="s">
        <v>239</v>
      </c>
      <c r="C2267" s="6" t="n">
        <v>3</v>
      </c>
      <c r="D2267" s="6" t="n">
        <v>23</v>
      </c>
      <c r="E2267" s="6" t="n">
        <v>1</v>
      </c>
      <c r="F2267" s="6" t="s">
        <v>2955</v>
      </c>
      <c r="G2267" s="28" t="str">
        <f aca="false">IFERROR(INDEX('Semrush Data'!$A$1:$Z$20000,MATCH(A2267,'Semrush Data'!$A$1:$A$20000,0),MATCH("Volume",'Semrush Data'!$A$1:$Z$1,0)),"")</f>
        <v/>
      </c>
      <c r="H2267" s="6" t="str">
        <f aca="false">IFERROR(INDEX('Semrush Data'!$A$1:$Z$20000,MATCH(A2267,'Semrush Data'!$A$1:$A$20000,0),MATCH("Keyword Difficulty*",'Semrush Data'!$A$1:$Z$1,0)),"")</f>
        <v/>
      </c>
      <c r="I2267" s="29" t="str">
        <f aca="false">IFERROR(INDEX('Semrush Data'!$A$1:$Z$20000,MATCH(A2267,'Semrush Data'!$A$1:$A$20000,0),MATCH("CPC*",'Semrush Data'!$A$1:$Z$1,0)),"")</f>
        <v/>
      </c>
      <c r="J2267" s="6" t="str">
        <f aca="false">IFERROR(INDEX('Semrush Data'!$A$1:$Z$20000,MATCH(A2267,'Semrush Data'!$A$1:$A$20000,0),MATCH("Intent",'Semrush Data'!$A$1:$Z$1,0)),"")</f>
        <v/>
      </c>
    </row>
    <row r="2268" customFormat="false" ht="15" hidden="false" customHeight="true" outlineLevel="0" collapsed="false">
      <c r="A2268" s="6" t="s">
        <v>6989</v>
      </c>
      <c r="B2268" s="6" t="s">
        <v>239</v>
      </c>
      <c r="C2268" s="6" t="n">
        <v>3</v>
      </c>
      <c r="D2268" s="6" t="n">
        <v>23</v>
      </c>
      <c r="E2268" s="6" t="n">
        <v>1</v>
      </c>
      <c r="F2268" s="6" t="s">
        <v>2955</v>
      </c>
      <c r="G2268" s="28" t="str">
        <f aca="false">IFERROR(INDEX('Semrush Data'!$A$1:$Z$20000,MATCH(A2268,'Semrush Data'!$A$1:$A$20000,0),MATCH("Volume",'Semrush Data'!$A$1:$Z$1,0)),"")</f>
        <v/>
      </c>
      <c r="H2268" s="6" t="str">
        <f aca="false">IFERROR(INDEX('Semrush Data'!$A$1:$Z$20000,MATCH(A2268,'Semrush Data'!$A$1:$A$20000,0),MATCH("Keyword Difficulty*",'Semrush Data'!$A$1:$Z$1,0)),"")</f>
        <v/>
      </c>
      <c r="I2268" s="29" t="str">
        <f aca="false">IFERROR(INDEX('Semrush Data'!$A$1:$Z$20000,MATCH(A2268,'Semrush Data'!$A$1:$A$20000,0),MATCH("CPC*",'Semrush Data'!$A$1:$Z$1,0)),"")</f>
        <v/>
      </c>
      <c r="J2268" s="6" t="str">
        <f aca="false">IFERROR(INDEX('Semrush Data'!$A$1:$Z$20000,MATCH(A2268,'Semrush Data'!$A$1:$A$20000,0),MATCH("Intent",'Semrush Data'!$A$1:$Z$1,0)),"")</f>
        <v/>
      </c>
    </row>
    <row r="2269" customFormat="false" ht="15" hidden="false" customHeight="true" outlineLevel="0" collapsed="false">
      <c r="A2269" s="6" t="s">
        <v>287</v>
      </c>
      <c r="B2269" s="6" t="s">
        <v>239</v>
      </c>
      <c r="C2269" s="6" t="n">
        <v>3</v>
      </c>
      <c r="D2269" s="6" t="s">
        <v>6870</v>
      </c>
      <c r="E2269" s="6" t="n">
        <v>1</v>
      </c>
      <c r="F2269" s="6" t="s">
        <v>87</v>
      </c>
      <c r="G2269" s="28" t="n">
        <f aca="false">IFERROR(INDEX('Semrush Data'!$A$1:$Z$20000,MATCH(A2269,'Semrush Data'!$A$1:$A$20000,0),MATCH("Volume",'Semrush Data'!$A$1:$Z$1,0)),"")</f>
        <v>20</v>
      </c>
      <c r="H2269" s="6" t="n">
        <f aca="false">IFERROR(INDEX('Semrush Data'!$A$1:$Z$20000,MATCH(A2269,'Semrush Data'!$A$1:$A$20000,0),MATCH("Keyword Difficulty*",'Semrush Data'!$A$1:$Z$1,0)),"")</f>
        <v>9</v>
      </c>
      <c r="I2269" s="29" t="n">
        <f aca="false">IFERROR(INDEX('Semrush Data'!$A$1:$Z$20000,MATCH(A2269,'Semrush Data'!$A$1:$A$20000,0),MATCH("CPC*",'Semrush Data'!$A$1:$Z$1,0)),"")</f>
        <v>1.11</v>
      </c>
      <c r="J2269" s="6" t="str">
        <f aca="false">IFERROR(INDEX('Semrush Data'!$A$1:$Z$20000,MATCH(A2269,'Semrush Data'!$A$1:$A$20000,0),MATCH("Intent",'Semrush Data'!$A$1:$Z$1,0)),"")</f>
        <v>Informational Transactional</v>
      </c>
    </row>
    <row r="2270" customFormat="false" ht="15" hidden="false" customHeight="true" outlineLevel="0" collapsed="false">
      <c r="A2270" s="6" t="s">
        <v>6990</v>
      </c>
      <c r="B2270" s="6" t="s">
        <v>239</v>
      </c>
      <c r="C2270" s="6" t="n">
        <v>3</v>
      </c>
      <c r="D2270" s="6" t="n">
        <v>23</v>
      </c>
      <c r="E2270" s="6" t="n">
        <v>1</v>
      </c>
      <c r="F2270" s="6" t="s">
        <v>87</v>
      </c>
      <c r="G2270" s="28" t="str">
        <f aca="false">IFERROR(INDEX('Semrush Data'!$A$1:$Z$20000,MATCH(A2270,'Semrush Data'!$A$1:$A$20000,0),MATCH("Volume",'Semrush Data'!$A$1:$Z$1,0)),"")</f>
        <v/>
      </c>
      <c r="H2270" s="6" t="str">
        <f aca="false">IFERROR(INDEX('Semrush Data'!$A$1:$Z$20000,MATCH(A2270,'Semrush Data'!$A$1:$A$20000,0),MATCH("Keyword Difficulty*",'Semrush Data'!$A$1:$Z$1,0)),"")</f>
        <v/>
      </c>
      <c r="I2270" s="29" t="str">
        <f aca="false">IFERROR(INDEX('Semrush Data'!$A$1:$Z$20000,MATCH(A2270,'Semrush Data'!$A$1:$A$20000,0),MATCH("CPC*",'Semrush Data'!$A$1:$Z$1,0)),"")</f>
        <v/>
      </c>
      <c r="J2270" s="6" t="str">
        <f aca="false">IFERROR(INDEX('Semrush Data'!$A$1:$Z$20000,MATCH(A2270,'Semrush Data'!$A$1:$A$20000,0),MATCH("Intent",'Semrush Data'!$A$1:$Z$1,0)),"")</f>
        <v/>
      </c>
    </row>
    <row r="2271" customFormat="false" ht="15" hidden="false" customHeight="true" outlineLevel="0" collapsed="false">
      <c r="A2271" s="6" t="s">
        <v>6991</v>
      </c>
      <c r="B2271" s="6" t="s">
        <v>239</v>
      </c>
      <c r="C2271" s="6" t="n">
        <v>3</v>
      </c>
      <c r="D2271" s="6" t="n">
        <v>23</v>
      </c>
      <c r="E2271" s="6" t="n">
        <v>1</v>
      </c>
      <c r="F2271" s="6" t="s">
        <v>87</v>
      </c>
      <c r="G2271" s="28" t="str">
        <f aca="false">IFERROR(INDEX('Semrush Data'!$A$1:$Z$20000,MATCH(A2271,'Semrush Data'!$A$1:$A$20000,0),MATCH("Volume",'Semrush Data'!$A$1:$Z$1,0)),"")</f>
        <v/>
      </c>
      <c r="H2271" s="6" t="str">
        <f aca="false">IFERROR(INDEX('Semrush Data'!$A$1:$Z$20000,MATCH(A2271,'Semrush Data'!$A$1:$A$20000,0),MATCH("Keyword Difficulty*",'Semrush Data'!$A$1:$Z$1,0)),"")</f>
        <v/>
      </c>
      <c r="I2271" s="29" t="str">
        <f aca="false">IFERROR(INDEX('Semrush Data'!$A$1:$Z$20000,MATCH(A2271,'Semrush Data'!$A$1:$A$20000,0),MATCH("CPC*",'Semrush Data'!$A$1:$Z$1,0)),"")</f>
        <v/>
      </c>
      <c r="J2271" s="6" t="str">
        <f aca="false">IFERROR(INDEX('Semrush Data'!$A$1:$Z$20000,MATCH(A2271,'Semrush Data'!$A$1:$A$20000,0),MATCH("Intent",'Semrush Data'!$A$1:$Z$1,0)),"")</f>
        <v/>
      </c>
    </row>
    <row r="2272" customFormat="false" ht="15" hidden="false" customHeight="true" outlineLevel="0" collapsed="false">
      <c r="A2272" s="6" t="s">
        <v>247</v>
      </c>
      <c r="B2272" s="6" t="s">
        <v>239</v>
      </c>
      <c r="C2272" s="6" t="n">
        <v>3</v>
      </c>
      <c r="D2272" s="6" t="s">
        <v>6870</v>
      </c>
      <c r="E2272" s="6" t="n">
        <v>1</v>
      </c>
      <c r="F2272" s="6" t="s">
        <v>87</v>
      </c>
      <c r="G2272" s="28" t="n">
        <f aca="false">IFERROR(INDEX('Semrush Data'!$A$1:$Z$20000,MATCH(A2272,'Semrush Data'!$A$1:$A$20000,0),MATCH("Volume",'Semrush Data'!$A$1:$Z$1,0)),"")</f>
        <v>720</v>
      </c>
      <c r="H2272" s="6" t="n">
        <f aca="false">IFERROR(INDEX('Semrush Data'!$A$1:$Z$20000,MATCH(A2272,'Semrush Data'!$A$1:$A$20000,0),MATCH("Keyword Difficulty*",'Semrush Data'!$A$1:$Z$1,0)),"")</f>
        <v>16</v>
      </c>
      <c r="I2272" s="29" t="n">
        <f aca="false">IFERROR(INDEX('Semrush Data'!$A$1:$Z$20000,MATCH(A2272,'Semrush Data'!$A$1:$A$20000,0),MATCH("CPC*",'Semrush Data'!$A$1:$Z$1,0)),"")</f>
        <v>0.27</v>
      </c>
      <c r="J2272" s="6" t="str">
        <f aca="false">IFERROR(INDEX('Semrush Data'!$A$1:$Z$20000,MATCH(A2272,'Semrush Data'!$A$1:$A$20000,0),MATCH("Intent",'Semrush Data'!$A$1:$Z$1,0)),"")</f>
        <v>Transactional</v>
      </c>
    </row>
    <row r="2273" customFormat="false" ht="15" hidden="false" customHeight="true" outlineLevel="0" collapsed="false">
      <c r="A2273" s="6" t="s">
        <v>6992</v>
      </c>
      <c r="B2273" s="6" t="s">
        <v>239</v>
      </c>
      <c r="C2273" s="6" t="n">
        <v>3</v>
      </c>
      <c r="D2273" s="6" t="n">
        <v>23</v>
      </c>
      <c r="E2273" s="6" t="n">
        <v>1</v>
      </c>
      <c r="F2273" s="6" t="s">
        <v>87</v>
      </c>
      <c r="G2273" s="28" t="str">
        <f aca="false">IFERROR(INDEX('Semrush Data'!$A$1:$Z$20000,MATCH(A2273,'Semrush Data'!$A$1:$A$20000,0),MATCH("Volume",'Semrush Data'!$A$1:$Z$1,0)),"")</f>
        <v/>
      </c>
      <c r="H2273" s="6" t="str">
        <f aca="false">IFERROR(INDEX('Semrush Data'!$A$1:$Z$20000,MATCH(A2273,'Semrush Data'!$A$1:$A$20000,0),MATCH("Keyword Difficulty*",'Semrush Data'!$A$1:$Z$1,0)),"")</f>
        <v/>
      </c>
      <c r="I2273" s="29" t="str">
        <f aca="false">IFERROR(INDEX('Semrush Data'!$A$1:$Z$20000,MATCH(A2273,'Semrush Data'!$A$1:$A$20000,0),MATCH("CPC*",'Semrush Data'!$A$1:$Z$1,0)),"")</f>
        <v/>
      </c>
      <c r="J2273" s="6" t="str">
        <f aca="false">IFERROR(INDEX('Semrush Data'!$A$1:$Z$20000,MATCH(A2273,'Semrush Data'!$A$1:$A$20000,0),MATCH("Intent",'Semrush Data'!$A$1:$Z$1,0)),"")</f>
        <v/>
      </c>
    </row>
    <row r="2274" customFormat="false" ht="15" hidden="false" customHeight="true" outlineLevel="0" collapsed="false">
      <c r="A2274" s="6" t="s">
        <v>6993</v>
      </c>
      <c r="B2274" s="6" t="s">
        <v>239</v>
      </c>
      <c r="C2274" s="6" t="n">
        <v>3</v>
      </c>
      <c r="D2274" s="6" t="n">
        <v>23</v>
      </c>
      <c r="E2274" s="6" t="n">
        <v>1</v>
      </c>
      <c r="F2274" s="6" t="s">
        <v>2943</v>
      </c>
      <c r="G2274" s="28" t="str">
        <f aca="false">IFERROR(INDEX('Semrush Data'!$A$1:$Z$20000,MATCH(A2274,'Semrush Data'!$A$1:$A$20000,0),MATCH("Volume",'Semrush Data'!$A$1:$Z$1,0)),"")</f>
        <v/>
      </c>
      <c r="H2274" s="6" t="str">
        <f aca="false">IFERROR(INDEX('Semrush Data'!$A$1:$Z$20000,MATCH(A2274,'Semrush Data'!$A$1:$A$20000,0),MATCH("Keyword Difficulty*",'Semrush Data'!$A$1:$Z$1,0)),"")</f>
        <v/>
      </c>
      <c r="I2274" s="29" t="str">
        <f aca="false">IFERROR(INDEX('Semrush Data'!$A$1:$Z$20000,MATCH(A2274,'Semrush Data'!$A$1:$A$20000,0),MATCH("CPC*",'Semrush Data'!$A$1:$Z$1,0)),"")</f>
        <v/>
      </c>
      <c r="J2274" s="6" t="str">
        <f aca="false">IFERROR(INDEX('Semrush Data'!$A$1:$Z$20000,MATCH(A2274,'Semrush Data'!$A$1:$A$20000,0),MATCH("Intent",'Semrush Data'!$A$1:$Z$1,0)),"")</f>
        <v/>
      </c>
    </row>
    <row r="2275" customFormat="false" ht="15" hidden="false" customHeight="true" outlineLevel="0" collapsed="false">
      <c r="A2275" s="6" t="s">
        <v>6994</v>
      </c>
      <c r="B2275" s="6" t="s">
        <v>239</v>
      </c>
      <c r="C2275" s="6" t="n">
        <v>3</v>
      </c>
      <c r="D2275" s="6" t="n">
        <v>23</v>
      </c>
      <c r="E2275" s="6" t="n">
        <v>1</v>
      </c>
      <c r="F2275" s="6" t="s">
        <v>2943</v>
      </c>
      <c r="G2275" s="28" t="str">
        <f aca="false">IFERROR(INDEX('Semrush Data'!$A$1:$Z$20000,MATCH(A2275,'Semrush Data'!$A$1:$A$20000,0),MATCH("Volume",'Semrush Data'!$A$1:$Z$1,0)),"")</f>
        <v/>
      </c>
      <c r="H2275" s="6" t="str">
        <f aca="false">IFERROR(INDEX('Semrush Data'!$A$1:$Z$20000,MATCH(A2275,'Semrush Data'!$A$1:$A$20000,0),MATCH("Keyword Difficulty*",'Semrush Data'!$A$1:$Z$1,0)),"")</f>
        <v/>
      </c>
      <c r="I2275" s="29" t="str">
        <f aca="false">IFERROR(INDEX('Semrush Data'!$A$1:$Z$20000,MATCH(A2275,'Semrush Data'!$A$1:$A$20000,0),MATCH("CPC*",'Semrush Data'!$A$1:$Z$1,0)),"")</f>
        <v/>
      </c>
      <c r="J2275" s="6" t="str">
        <f aca="false">IFERROR(INDEX('Semrush Data'!$A$1:$Z$20000,MATCH(A2275,'Semrush Data'!$A$1:$A$20000,0),MATCH("Intent",'Semrush Data'!$A$1:$Z$1,0)),"")</f>
        <v/>
      </c>
    </row>
    <row r="2276" customFormat="false" ht="15" hidden="false" customHeight="true" outlineLevel="0" collapsed="false">
      <c r="A2276" s="6" t="s">
        <v>6995</v>
      </c>
      <c r="B2276" s="6" t="s">
        <v>239</v>
      </c>
      <c r="C2276" s="6" t="n">
        <v>3</v>
      </c>
      <c r="D2276" s="6" t="n">
        <v>23</v>
      </c>
      <c r="E2276" s="6" t="n">
        <v>1</v>
      </c>
      <c r="F2276" s="6" t="s">
        <v>2943</v>
      </c>
      <c r="G2276" s="28" t="str">
        <f aca="false">IFERROR(INDEX('Semrush Data'!$A$1:$Z$20000,MATCH(A2276,'Semrush Data'!$A$1:$A$20000,0),MATCH("Volume",'Semrush Data'!$A$1:$Z$1,0)),"")</f>
        <v/>
      </c>
      <c r="H2276" s="6" t="str">
        <f aca="false">IFERROR(INDEX('Semrush Data'!$A$1:$Z$20000,MATCH(A2276,'Semrush Data'!$A$1:$A$20000,0),MATCH("Keyword Difficulty*",'Semrush Data'!$A$1:$Z$1,0)),"")</f>
        <v/>
      </c>
      <c r="I2276" s="29" t="str">
        <f aca="false">IFERROR(INDEX('Semrush Data'!$A$1:$Z$20000,MATCH(A2276,'Semrush Data'!$A$1:$A$20000,0),MATCH("CPC*",'Semrush Data'!$A$1:$Z$1,0)),"")</f>
        <v/>
      </c>
      <c r="J2276" s="6" t="str">
        <f aca="false">IFERROR(INDEX('Semrush Data'!$A$1:$Z$20000,MATCH(A2276,'Semrush Data'!$A$1:$A$20000,0),MATCH("Intent",'Semrush Data'!$A$1:$Z$1,0)),"")</f>
        <v/>
      </c>
    </row>
    <row r="2277" customFormat="false" ht="15" hidden="false" customHeight="true" outlineLevel="0" collapsed="false">
      <c r="A2277" s="6" t="s">
        <v>6996</v>
      </c>
      <c r="B2277" s="6" t="s">
        <v>239</v>
      </c>
      <c r="C2277" s="6" t="n">
        <v>3</v>
      </c>
      <c r="D2277" s="6" t="n">
        <v>23</v>
      </c>
      <c r="E2277" s="6" t="n">
        <v>1</v>
      </c>
      <c r="F2277" s="6" t="s">
        <v>2943</v>
      </c>
      <c r="G2277" s="28" t="str">
        <f aca="false">IFERROR(INDEX('Semrush Data'!$A$1:$Z$20000,MATCH(A2277,'Semrush Data'!$A$1:$A$20000,0),MATCH("Volume",'Semrush Data'!$A$1:$Z$1,0)),"")</f>
        <v/>
      </c>
      <c r="H2277" s="6" t="str">
        <f aca="false">IFERROR(INDEX('Semrush Data'!$A$1:$Z$20000,MATCH(A2277,'Semrush Data'!$A$1:$A$20000,0),MATCH("Keyword Difficulty*",'Semrush Data'!$A$1:$Z$1,0)),"")</f>
        <v/>
      </c>
      <c r="I2277" s="29" t="str">
        <f aca="false">IFERROR(INDEX('Semrush Data'!$A$1:$Z$20000,MATCH(A2277,'Semrush Data'!$A$1:$A$20000,0),MATCH("CPC*",'Semrush Data'!$A$1:$Z$1,0)),"")</f>
        <v/>
      </c>
      <c r="J2277" s="6" t="str">
        <f aca="false">IFERROR(INDEX('Semrush Data'!$A$1:$Z$20000,MATCH(A2277,'Semrush Data'!$A$1:$A$20000,0),MATCH("Intent",'Semrush Data'!$A$1:$Z$1,0)),"")</f>
        <v/>
      </c>
    </row>
    <row r="2278" customFormat="false" ht="15" hidden="false" customHeight="true" outlineLevel="0" collapsed="false">
      <c r="A2278" s="6" t="s">
        <v>6997</v>
      </c>
      <c r="B2278" s="6" t="s">
        <v>239</v>
      </c>
      <c r="C2278" s="6" t="n">
        <v>3</v>
      </c>
      <c r="D2278" s="6" t="n">
        <v>23</v>
      </c>
      <c r="E2278" s="6" t="n">
        <v>1</v>
      </c>
      <c r="F2278" s="6" t="s">
        <v>3000</v>
      </c>
      <c r="G2278" s="28" t="str">
        <f aca="false">IFERROR(INDEX('Semrush Data'!$A$1:$Z$20000,MATCH(A2278,'Semrush Data'!$A$1:$A$20000,0),MATCH("Volume",'Semrush Data'!$A$1:$Z$1,0)),"")</f>
        <v/>
      </c>
      <c r="H2278" s="6" t="str">
        <f aca="false">IFERROR(INDEX('Semrush Data'!$A$1:$Z$20000,MATCH(A2278,'Semrush Data'!$A$1:$A$20000,0),MATCH("Keyword Difficulty*",'Semrush Data'!$A$1:$Z$1,0)),"")</f>
        <v/>
      </c>
      <c r="I2278" s="29" t="str">
        <f aca="false">IFERROR(INDEX('Semrush Data'!$A$1:$Z$20000,MATCH(A2278,'Semrush Data'!$A$1:$A$20000,0),MATCH("CPC*",'Semrush Data'!$A$1:$Z$1,0)),"")</f>
        <v/>
      </c>
      <c r="J2278" s="6" t="str">
        <f aca="false">IFERROR(INDEX('Semrush Data'!$A$1:$Z$20000,MATCH(A2278,'Semrush Data'!$A$1:$A$20000,0),MATCH("Intent",'Semrush Data'!$A$1:$Z$1,0)),"")</f>
        <v/>
      </c>
    </row>
    <row r="2279" customFormat="false" ht="15" hidden="false" customHeight="true" outlineLevel="0" collapsed="false">
      <c r="A2279" s="6" t="s">
        <v>6998</v>
      </c>
      <c r="B2279" s="6" t="s">
        <v>239</v>
      </c>
      <c r="C2279" s="6" t="n">
        <v>3</v>
      </c>
      <c r="D2279" s="6" t="n">
        <v>23</v>
      </c>
      <c r="E2279" s="6" t="n">
        <v>1</v>
      </c>
      <c r="F2279" s="6" t="s">
        <v>3000</v>
      </c>
      <c r="G2279" s="28" t="str">
        <f aca="false">IFERROR(INDEX('Semrush Data'!$A$1:$Z$20000,MATCH(A2279,'Semrush Data'!$A$1:$A$20000,0),MATCH("Volume",'Semrush Data'!$A$1:$Z$1,0)),"")</f>
        <v/>
      </c>
      <c r="H2279" s="6" t="str">
        <f aca="false">IFERROR(INDEX('Semrush Data'!$A$1:$Z$20000,MATCH(A2279,'Semrush Data'!$A$1:$A$20000,0),MATCH("Keyword Difficulty*",'Semrush Data'!$A$1:$Z$1,0)),"")</f>
        <v/>
      </c>
      <c r="I2279" s="29" t="str">
        <f aca="false">IFERROR(INDEX('Semrush Data'!$A$1:$Z$20000,MATCH(A2279,'Semrush Data'!$A$1:$A$20000,0),MATCH("CPC*",'Semrush Data'!$A$1:$Z$1,0)),"")</f>
        <v/>
      </c>
      <c r="J2279" s="6" t="str">
        <f aca="false">IFERROR(INDEX('Semrush Data'!$A$1:$Z$20000,MATCH(A2279,'Semrush Data'!$A$1:$A$20000,0),MATCH("Intent",'Semrush Data'!$A$1:$Z$1,0)),"")</f>
        <v/>
      </c>
    </row>
    <row r="2280" customFormat="false" ht="15" hidden="false" customHeight="true" outlineLevel="0" collapsed="false">
      <c r="A2280" s="6" t="s">
        <v>6999</v>
      </c>
      <c r="B2280" s="6" t="s">
        <v>239</v>
      </c>
      <c r="C2280" s="6" t="n">
        <v>3</v>
      </c>
      <c r="D2280" s="6" t="n">
        <v>23</v>
      </c>
      <c r="E2280" s="6" t="n">
        <v>1</v>
      </c>
      <c r="F2280" s="6" t="s">
        <v>3011</v>
      </c>
      <c r="G2280" s="28" t="str">
        <f aca="false">IFERROR(INDEX('Semrush Data'!$A$1:$Z$20000,MATCH(A2280,'Semrush Data'!$A$1:$A$20000,0),MATCH("Volume",'Semrush Data'!$A$1:$Z$1,0)),"")</f>
        <v/>
      </c>
      <c r="H2280" s="6" t="str">
        <f aca="false">IFERROR(INDEX('Semrush Data'!$A$1:$Z$20000,MATCH(A2280,'Semrush Data'!$A$1:$A$20000,0),MATCH("Keyword Difficulty*",'Semrush Data'!$A$1:$Z$1,0)),"")</f>
        <v/>
      </c>
      <c r="I2280" s="29" t="str">
        <f aca="false">IFERROR(INDEX('Semrush Data'!$A$1:$Z$20000,MATCH(A2280,'Semrush Data'!$A$1:$A$20000,0),MATCH("CPC*",'Semrush Data'!$A$1:$Z$1,0)),"")</f>
        <v/>
      </c>
      <c r="J2280" s="6" t="str">
        <f aca="false">IFERROR(INDEX('Semrush Data'!$A$1:$Z$20000,MATCH(A2280,'Semrush Data'!$A$1:$A$20000,0),MATCH("Intent",'Semrush Data'!$A$1:$Z$1,0)),"")</f>
        <v/>
      </c>
    </row>
    <row r="2281" customFormat="false" ht="15" hidden="false" customHeight="true" outlineLevel="0" collapsed="false">
      <c r="A2281" s="6" t="s">
        <v>7000</v>
      </c>
      <c r="B2281" s="6" t="s">
        <v>239</v>
      </c>
      <c r="C2281" s="6" t="n">
        <v>3</v>
      </c>
      <c r="D2281" s="6" t="n">
        <v>23</v>
      </c>
      <c r="E2281" s="6" t="n">
        <v>1</v>
      </c>
      <c r="F2281" s="6" t="s">
        <v>3011</v>
      </c>
      <c r="G2281" s="28" t="str">
        <f aca="false">IFERROR(INDEX('Semrush Data'!$A$1:$Z$20000,MATCH(A2281,'Semrush Data'!$A$1:$A$20000,0),MATCH("Volume",'Semrush Data'!$A$1:$Z$1,0)),"")</f>
        <v/>
      </c>
      <c r="H2281" s="6" t="str">
        <f aca="false">IFERROR(INDEX('Semrush Data'!$A$1:$Z$20000,MATCH(A2281,'Semrush Data'!$A$1:$A$20000,0),MATCH("Keyword Difficulty*",'Semrush Data'!$A$1:$Z$1,0)),"")</f>
        <v/>
      </c>
      <c r="I2281" s="29" t="str">
        <f aca="false">IFERROR(INDEX('Semrush Data'!$A$1:$Z$20000,MATCH(A2281,'Semrush Data'!$A$1:$A$20000,0),MATCH("CPC*",'Semrush Data'!$A$1:$Z$1,0)),"")</f>
        <v/>
      </c>
      <c r="J2281" s="6" t="str">
        <f aca="false">IFERROR(INDEX('Semrush Data'!$A$1:$Z$20000,MATCH(A2281,'Semrush Data'!$A$1:$A$20000,0),MATCH("Intent",'Semrush Data'!$A$1:$Z$1,0)),"")</f>
        <v/>
      </c>
    </row>
    <row r="2282" customFormat="false" ht="15" hidden="false" customHeight="true" outlineLevel="0" collapsed="false">
      <c r="A2282" s="6" t="s">
        <v>7001</v>
      </c>
      <c r="B2282" s="6" t="s">
        <v>239</v>
      </c>
      <c r="C2282" s="6" t="n">
        <v>3</v>
      </c>
      <c r="D2282" s="6" t="n">
        <v>23</v>
      </c>
      <c r="E2282" s="6" t="n">
        <v>1</v>
      </c>
      <c r="F2282" s="6" t="s">
        <v>3011</v>
      </c>
      <c r="G2282" s="28" t="str">
        <f aca="false">IFERROR(INDEX('Semrush Data'!$A$1:$Z$20000,MATCH(A2282,'Semrush Data'!$A$1:$A$20000,0),MATCH("Volume",'Semrush Data'!$A$1:$Z$1,0)),"")</f>
        <v/>
      </c>
      <c r="H2282" s="6" t="str">
        <f aca="false">IFERROR(INDEX('Semrush Data'!$A$1:$Z$20000,MATCH(A2282,'Semrush Data'!$A$1:$A$20000,0),MATCH("Keyword Difficulty*",'Semrush Data'!$A$1:$Z$1,0)),"")</f>
        <v/>
      </c>
      <c r="I2282" s="29" t="str">
        <f aca="false">IFERROR(INDEX('Semrush Data'!$A$1:$Z$20000,MATCH(A2282,'Semrush Data'!$A$1:$A$20000,0),MATCH("CPC*",'Semrush Data'!$A$1:$Z$1,0)),"")</f>
        <v/>
      </c>
      <c r="J2282" s="6" t="str">
        <f aca="false">IFERROR(INDEX('Semrush Data'!$A$1:$Z$20000,MATCH(A2282,'Semrush Data'!$A$1:$A$20000,0),MATCH("Intent",'Semrush Data'!$A$1:$Z$1,0)),"")</f>
        <v/>
      </c>
    </row>
    <row r="2283" customFormat="false" ht="15" hidden="false" customHeight="true" outlineLevel="0" collapsed="false">
      <c r="A2283" s="6" t="s">
        <v>7002</v>
      </c>
      <c r="B2283" s="6" t="s">
        <v>239</v>
      </c>
      <c r="C2283" s="6" t="n">
        <v>3</v>
      </c>
      <c r="D2283" s="6" t="n">
        <v>23</v>
      </c>
      <c r="E2283" s="6" t="n">
        <v>1</v>
      </c>
      <c r="F2283" s="6" t="s">
        <v>3011</v>
      </c>
      <c r="G2283" s="28" t="str">
        <f aca="false">IFERROR(INDEX('Semrush Data'!$A$1:$Z$20000,MATCH(A2283,'Semrush Data'!$A$1:$A$20000,0),MATCH("Volume",'Semrush Data'!$A$1:$Z$1,0)),"")</f>
        <v/>
      </c>
      <c r="H2283" s="6" t="str">
        <f aca="false">IFERROR(INDEX('Semrush Data'!$A$1:$Z$20000,MATCH(A2283,'Semrush Data'!$A$1:$A$20000,0),MATCH("Keyword Difficulty*",'Semrush Data'!$A$1:$Z$1,0)),"")</f>
        <v/>
      </c>
      <c r="I2283" s="29" t="str">
        <f aca="false">IFERROR(INDEX('Semrush Data'!$A$1:$Z$20000,MATCH(A2283,'Semrush Data'!$A$1:$A$20000,0),MATCH("CPC*",'Semrush Data'!$A$1:$Z$1,0)),"")</f>
        <v/>
      </c>
      <c r="J2283" s="6" t="str">
        <f aca="false">IFERROR(INDEX('Semrush Data'!$A$1:$Z$20000,MATCH(A2283,'Semrush Data'!$A$1:$A$20000,0),MATCH("Intent",'Semrush Data'!$A$1:$Z$1,0)),"")</f>
        <v/>
      </c>
    </row>
    <row r="2284" customFormat="false" ht="15" hidden="false" customHeight="true" outlineLevel="0" collapsed="false">
      <c r="A2284" s="6" t="s">
        <v>7003</v>
      </c>
      <c r="B2284" s="6" t="s">
        <v>239</v>
      </c>
      <c r="C2284" s="6" t="n">
        <v>3</v>
      </c>
      <c r="D2284" s="6" t="n">
        <v>23</v>
      </c>
      <c r="E2284" s="6" t="n">
        <v>1</v>
      </c>
      <c r="F2284" s="6" t="s">
        <v>3011</v>
      </c>
      <c r="G2284" s="28" t="str">
        <f aca="false">IFERROR(INDEX('Semrush Data'!$A$1:$Z$20000,MATCH(A2284,'Semrush Data'!$A$1:$A$20000,0),MATCH("Volume",'Semrush Data'!$A$1:$Z$1,0)),"")</f>
        <v/>
      </c>
      <c r="H2284" s="6" t="str">
        <f aca="false">IFERROR(INDEX('Semrush Data'!$A$1:$Z$20000,MATCH(A2284,'Semrush Data'!$A$1:$A$20000,0),MATCH("Keyword Difficulty*",'Semrush Data'!$A$1:$Z$1,0)),"")</f>
        <v/>
      </c>
      <c r="I2284" s="29" t="str">
        <f aca="false">IFERROR(INDEX('Semrush Data'!$A$1:$Z$20000,MATCH(A2284,'Semrush Data'!$A$1:$A$20000,0),MATCH("CPC*",'Semrush Data'!$A$1:$Z$1,0)),"")</f>
        <v/>
      </c>
      <c r="J2284" s="6" t="str">
        <f aca="false">IFERROR(INDEX('Semrush Data'!$A$1:$Z$20000,MATCH(A2284,'Semrush Data'!$A$1:$A$20000,0),MATCH("Intent",'Semrush Data'!$A$1:$Z$1,0)),"")</f>
        <v/>
      </c>
    </row>
    <row r="2285" customFormat="false" ht="15" hidden="false" customHeight="true" outlineLevel="0" collapsed="false">
      <c r="A2285" s="6" t="s">
        <v>7004</v>
      </c>
      <c r="B2285" s="6" t="s">
        <v>239</v>
      </c>
      <c r="C2285" s="6" t="n">
        <v>3</v>
      </c>
      <c r="D2285" s="6" t="n">
        <v>23</v>
      </c>
      <c r="E2285" s="6" t="n">
        <v>1</v>
      </c>
      <c r="F2285" s="6" t="s">
        <v>2966</v>
      </c>
      <c r="G2285" s="28" t="str">
        <f aca="false">IFERROR(INDEX('Semrush Data'!$A$1:$Z$20000,MATCH(A2285,'Semrush Data'!$A$1:$A$20000,0),MATCH("Volume",'Semrush Data'!$A$1:$Z$1,0)),"")</f>
        <v/>
      </c>
      <c r="H2285" s="6" t="str">
        <f aca="false">IFERROR(INDEX('Semrush Data'!$A$1:$Z$20000,MATCH(A2285,'Semrush Data'!$A$1:$A$20000,0),MATCH("Keyword Difficulty*",'Semrush Data'!$A$1:$Z$1,0)),"")</f>
        <v/>
      </c>
      <c r="I2285" s="29" t="str">
        <f aca="false">IFERROR(INDEX('Semrush Data'!$A$1:$Z$20000,MATCH(A2285,'Semrush Data'!$A$1:$A$20000,0),MATCH("CPC*",'Semrush Data'!$A$1:$Z$1,0)),"")</f>
        <v/>
      </c>
      <c r="J2285" s="6" t="str">
        <f aca="false">IFERROR(INDEX('Semrush Data'!$A$1:$Z$20000,MATCH(A2285,'Semrush Data'!$A$1:$A$20000,0),MATCH("Intent",'Semrush Data'!$A$1:$Z$1,0)),"")</f>
        <v/>
      </c>
    </row>
    <row r="2286" customFormat="false" ht="15" hidden="false" customHeight="true" outlineLevel="0" collapsed="false">
      <c r="A2286" s="6" t="s">
        <v>7005</v>
      </c>
      <c r="B2286" s="6" t="s">
        <v>239</v>
      </c>
      <c r="C2286" s="6" t="n">
        <v>3</v>
      </c>
      <c r="D2286" s="6" t="n">
        <v>23</v>
      </c>
      <c r="E2286" s="6" t="n">
        <v>1</v>
      </c>
      <c r="F2286" s="6" t="s">
        <v>2966</v>
      </c>
      <c r="G2286" s="28" t="str">
        <f aca="false">IFERROR(INDEX('Semrush Data'!$A$1:$Z$20000,MATCH(A2286,'Semrush Data'!$A$1:$A$20000,0),MATCH("Volume",'Semrush Data'!$A$1:$Z$1,0)),"")</f>
        <v/>
      </c>
      <c r="H2286" s="6" t="str">
        <f aca="false">IFERROR(INDEX('Semrush Data'!$A$1:$Z$20000,MATCH(A2286,'Semrush Data'!$A$1:$A$20000,0),MATCH("Keyword Difficulty*",'Semrush Data'!$A$1:$Z$1,0)),"")</f>
        <v/>
      </c>
      <c r="I2286" s="29" t="str">
        <f aca="false">IFERROR(INDEX('Semrush Data'!$A$1:$Z$20000,MATCH(A2286,'Semrush Data'!$A$1:$A$20000,0),MATCH("CPC*",'Semrush Data'!$A$1:$Z$1,0)),"")</f>
        <v/>
      </c>
      <c r="J2286" s="6" t="str">
        <f aca="false">IFERROR(INDEX('Semrush Data'!$A$1:$Z$20000,MATCH(A2286,'Semrush Data'!$A$1:$A$20000,0),MATCH("Intent",'Semrush Data'!$A$1:$Z$1,0)),"")</f>
        <v/>
      </c>
    </row>
    <row r="2287" customFormat="false" ht="15" hidden="false" customHeight="true" outlineLevel="0" collapsed="false">
      <c r="A2287" s="6" t="s">
        <v>7006</v>
      </c>
      <c r="B2287" s="6" t="s">
        <v>239</v>
      </c>
      <c r="C2287" s="6" t="n">
        <v>3</v>
      </c>
      <c r="D2287" s="6" t="n">
        <v>23</v>
      </c>
      <c r="E2287" s="6" t="n">
        <v>1</v>
      </c>
      <c r="F2287" s="6" t="s">
        <v>2966</v>
      </c>
      <c r="G2287" s="28" t="str">
        <f aca="false">IFERROR(INDEX('Semrush Data'!$A$1:$Z$20000,MATCH(A2287,'Semrush Data'!$A$1:$A$20000,0),MATCH("Volume",'Semrush Data'!$A$1:$Z$1,0)),"")</f>
        <v/>
      </c>
      <c r="H2287" s="6" t="str">
        <f aca="false">IFERROR(INDEX('Semrush Data'!$A$1:$Z$20000,MATCH(A2287,'Semrush Data'!$A$1:$A$20000,0),MATCH("Keyword Difficulty*",'Semrush Data'!$A$1:$Z$1,0)),"")</f>
        <v/>
      </c>
      <c r="I2287" s="29" t="str">
        <f aca="false">IFERROR(INDEX('Semrush Data'!$A$1:$Z$20000,MATCH(A2287,'Semrush Data'!$A$1:$A$20000,0),MATCH("CPC*",'Semrush Data'!$A$1:$Z$1,0)),"")</f>
        <v/>
      </c>
      <c r="J2287" s="6" t="str">
        <f aca="false">IFERROR(INDEX('Semrush Data'!$A$1:$Z$20000,MATCH(A2287,'Semrush Data'!$A$1:$A$20000,0),MATCH("Intent",'Semrush Data'!$A$1:$Z$1,0)),"")</f>
        <v/>
      </c>
    </row>
    <row r="2288" customFormat="false" ht="15" hidden="false" customHeight="true" outlineLevel="0" collapsed="false">
      <c r="A2288" s="6" t="s">
        <v>7007</v>
      </c>
      <c r="B2288" s="6" t="s">
        <v>239</v>
      </c>
      <c r="C2288" s="6" t="n">
        <v>3</v>
      </c>
      <c r="D2288" s="6" t="n">
        <v>23</v>
      </c>
      <c r="E2288" s="6" t="n">
        <v>1</v>
      </c>
      <c r="F2288" s="6" t="s">
        <v>2966</v>
      </c>
      <c r="G2288" s="28" t="str">
        <f aca="false">IFERROR(INDEX('Semrush Data'!$A$1:$Z$20000,MATCH(A2288,'Semrush Data'!$A$1:$A$20000,0),MATCH("Volume",'Semrush Data'!$A$1:$Z$1,0)),"")</f>
        <v/>
      </c>
      <c r="H2288" s="6" t="str">
        <f aca="false">IFERROR(INDEX('Semrush Data'!$A$1:$Z$20000,MATCH(A2288,'Semrush Data'!$A$1:$A$20000,0),MATCH("Keyword Difficulty*",'Semrush Data'!$A$1:$Z$1,0)),"")</f>
        <v/>
      </c>
      <c r="I2288" s="29" t="str">
        <f aca="false">IFERROR(INDEX('Semrush Data'!$A$1:$Z$20000,MATCH(A2288,'Semrush Data'!$A$1:$A$20000,0),MATCH("CPC*",'Semrush Data'!$A$1:$Z$1,0)),"")</f>
        <v/>
      </c>
      <c r="J2288" s="6" t="str">
        <f aca="false">IFERROR(INDEX('Semrush Data'!$A$1:$Z$20000,MATCH(A2288,'Semrush Data'!$A$1:$A$20000,0),MATCH("Intent",'Semrush Data'!$A$1:$Z$1,0)),"")</f>
        <v/>
      </c>
    </row>
    <row r="2289" customFormat="false" ht="15" hidden="false" customHeight="true" outlineLevel="0" collapsed="false">
      <c r="A2289" s="6" t="s">
        <v>7008</v>
      </c>
      <c r="B2289" s="6" t="s">
        <v>239</v>
      </c>
      <c r="C2289" s="6" t="n">
        <v>3</v>
      </c>
      <c r="D2289" s="6" t="n">
        <v>23</v>
      </c>
      <c r="E2289" s="6" t="n">
        <v>1</v>
      </c>
      <c r="F2289" s="6" t="s">
        <v>2966</v>
      </c>
      <c r="G2289" s="28" t="str">
        <f aca="false">IFERROR(INDEX('Semrush Data'!$A$1:$Z$20000,MATCH(A2289,'Semrush Data'!$A$1:$A$20000,0),MATCH("Volume",'Semrush Data'!$A$1:$Z$1,0)),"")</f>
        <v/>
      </c>
      <c r="H2289" s="6" t="str">
        <f aca="false">IFERROR(INDEX('Semrush Data'!$A$1:$Z$20000,MATCH(A2289,'Semrush Data'!$A$1:$A$20000,0),MATCH("Keyword Difficulty*",'Semrush Data'!$A$1:$Z$1,0)),"")</f>
        <v/>
      </c>
      <c r="I2289" s="29" t="str">
        <f aca="false">IFERROR(INDEX('Semrush Data'!$A$1:$Z$20000,MATCH(A2289,'Semrush Data'!$A$1:$A$20000,0),MATCH("CPC*",'Semrush Data'!$A$1:$Z$1,0)),"")</f>
        <v/>
      </c>
      <c r="J2289" s="6" t="str">
        <f aca="false">IFERROR(INDEX('Semrush Data'!$A$1:$Z$20000,MATCH(A2289,'Semrush Data'!$A$1:$A$20000,0),MATCH("Intent",'Semrush Data'!$A$1:$Z$1,0)),"")</f>
        <v/>
      </c>
    </row>
    <row r="2290" customFormat="false" ht="15" hidden="false" customHeight="true" outlineLevel="0" collapsed="false">
      <c r="A2290" s="6" t="s">
        <v>7009</v>
      </c>
      <c r="B2290" s="6" t="s">
        <v>239</v>
      </c>
      <c r="C2290" s="6" t="n">
        <v>3</v>
      </c>
      <c r="D2290" s="6" t="n">
        <v>23</v>
      </c>
      <c r="E2290" s="6" t="n">
        <v>1</v>
      </c>
      <c r="F2290" s="6" t="s">
        <v>3062</v>
      </c>
      <c r="G2290" s="28" t="str">
        <f aca="false">IFERROR(INDEX('Semrush Data'!$A$1:$Z$20000,MATCH(A2290,'Semrush Data'!$A$1:$A$20000,0),MATCH("Volume",'Semrush Data'!$A$1:$Z$1,0)),"")</f>
        <v/>
      </c>
      <c r="H2290" s="6" t="str">
        <f aca="false">IFERROR(INDEX('Semrush Data'!$A$1:$Z$20000,MATCH(A2290,'Semrush Data'!$A$1:$A$20000,0),MATCH("Keyword Difficulty*",'Semrush Data'!$A$1:$Z$1,0)),"")</f>
        <v/>
      </c>
      <c r="I2290" s="29" t="str">
        <f aca="false">IFERROR(INDEX('Semrush Data'!$A$1:$Z$20000,MATCH(A2290,'Semrush Data'!$A$1:$A$20000,0),MATCH("CPC*",'Semrush Data'!$A$1:$Z$1,0)),"")</f>
        <v/>
      </c>
      <c r="J2290" s="6" t="str">
        <f aca="false">IFERROR(INDEX('Semrush Data'!$A$1:$Z$20000,MATCH(A2290,'Semrush Data'!$A$1:$A$20000,0),MATCH("Intent",'Semrush Data'!$A$1:$Z$1,0)),"")</f>
        <v/>
      </c>
    </row>
    <row r="2291" customFormat="false" ht="15" hidden="false" customHeight="true" outlineLevel="0" collapsed="false">
      <c r="A2291" s="6" t="s">
        <v>7010</v>
      </c>
      <c r="B2291" s="6" t="s">
        <v>239</v>
      </c>
      <c r="C2291" s="6" t="n">
        <v>3</v>
      </c>
      <c r="D2291" s="6" t="n">
        <v>23</v>
      </c>
      <c r="E2291" s="6" t="n">
        <v>1</v>
      </c>
      <c r="F2291" s="6" t="s">
        <v>3062</v>
      </c>
      <c r="G2291" s="28" t="str">
        <f aca="false">IFERROR(INDEX('Semrush Data'!$A$1:$Z$20000,MATCH(A2291,'Semrush Data'!$A$1:$A$20000,0),MATCH("Volume",'Semrush Data'!$A$1:$Z$1,0)),"")</f>
        <v/>
      </c>
      <c r="H2291" s="6" t="str">
        <f aca="false">IFERROR(INDEX('Semrush Data'!$A$1:$Z$20000,MATCH(A2291,'Semrush Data'!$A$1:$A$20000,0),MATCH("Keyword Difficulty*",'Semrush Data'!$A$1:$Z$1,0)),"")</f>
        <v/>
      </c>
      <c r="I2291" s="29" t="str">
        <f aca="false">IFERROR(INDEX('Semrush Data'!$A$1:$Z$20000,MATCH(A2291,'Semrush Data'!$A$1:$A$20000,0),MATCH("CPC*",'Semrush Data'!$A$1:$Z$1,0)),"")</f>
        <v/>
      </c>
      <c r="J2291" s="6" t="str">
        <f aca="false">IFERROR(INDEX('Semrush Data'!$A$1:$Z$20000,MATCH(A2291,'Semrush Data'!$A$1:$A$20000,0),MATCH("Intent",'Semrush Data'!$A$1:$Z$1,0)),"")</f>
        <v/>
      </c>
    </row>
    <row r="2292" customFormat="false" ht="15" hidden="false" customHeight="true" outlineLevel="0" collapsed="false">
      <c r="A2292" s="6" t="s">
        <v>7011</v>
      </c>
      <c r="B2292" s="6" t="s">
        <v>239</v>
      </c>
      <c r="C2292" s="6" t="n">
        <v>3</v>
      </c>
      <c r="D2292" s="6" t="n">
        <v>23</v>
      </c>
      <c r="E2292" s="6" t="n">
        <v>1</v>
      </c>
      <c r="F2292" s="6" t="s">
        <v>3062</v>
      </c>
      <c r="G2292" s="28" t="str">
        <f aca="false">IFERROR(INDEX('Semrush Data'!$A$1:$Z$20000,MATCH(A2292,'Semrush Data'!$A$1:$A$20000,0),MATCH("Volume",'Semrush Data'!$A$1:$Z$1,0)),"")</f>
        <v/>
      </c>
      <c r="H2292" s="6" t="str">
        <f aca="false">IFERROR(INDEX('Semrush Data'!$A$1:$Z$20000,MATCH(A2292,'Semrush Data'!$A$1:$A$20000,0),MATCH("Keyword Difficulty*",'Semrush Data'!$A$1:$Z$1,0)),"")</f>
        <v/>
      </c>
      <c r="I2292" s="29" t="str">
        <f aca="false">IFERROR(INDEX('Semrush Data'!$A$1:$Z$20000,MATCH(A2292,'Semrush Data'!$A$1:$A$20000,0),MATCH("CPC*",'Semrush Data'!$A$1:$Z$1,0)),"")</f>
        <v/>
      </c>
      <c r="J2292" s="6" t="str">
        <f aca="false">IFERROR(INDEX('Semrush Data'!$A$1:$Z$20000,MATCH(A2292,'Semrush Data'!$A$1:$A$20000,0),MATCH("Intent",'Semrush Data'!$A$1:$Z$1,0)),"")</f>
        <v/>
      </c>
    </row>
    <row r="2293" customFormat="false" ht="15" hidden="false" customHeight="true" outlineLevel="0" collapsed="false">
      <c r="A2293" s="6" t="s">
        <v>7012</v>
      </c>
      <c r="B2293" s="6" t="s">
        <v>239</v>
      </c>
      <c r="C2293" s="6" t="n">
        <v>3</v>
      </c>
      <c r="D2293" s="6" t="n">
        <v>23</v>
      </c>
      <c r="E2293" s="6" t="n">
        <v>1</v>
      </c>
      <c r="F2293" s="6" t="s">
        <v>3062</v>
      </c>
      <c r="G2293" s="28" t="str">
        <f aca="false">IFERROR(INDEX('Semrush Data'!$A$1:$Z$20000,MATCH(A2293,'Semrush Data'!$A$1:$A$20000,0),MATCH("Volume",'Semrush Data'!$A$1:$Z$1,0)),"")</f>
        <v/>
      </c>
      <c r="H2293" s="6" t="str">
        <f aca="false">IFERROR(INDEX('Semrush Data'!$A$1:$Z$20000,MATCH(A2293,'Semrush Data'!$A$1:$A$20000,0),MATCH("Keyword Difficulty*",'Semrush Data'!$A$1:$Z$1,0)),"")</f>
        <v/>
      </c>
      <c r="I2293" s="29" t="str">
        <f aca="false">IFERROR(INDEX('Semrush Data'!$A$1:$Z$20000,MATCH(A2293,'Semrush Data'!$A$1:$A$20000,0),MATCH("CPC*",'Semrush Data'!$A$1:$Z$1,0)),"")</f>
        <v/>
      </c>
      <c r="J2293" s="6" t="str">
        <f aca="false">IFERROR(INDEX('Semrush Data'!$A$1:$Z$20000,MATCH(A2293,'Semrush Data'!$A$1:$A$20000,0),MATCH("Intent",'Semrush Data'!$A$1:$Z$1,0)),"")</f>
        <v/>
      </c>
    </row>
    <row r="2294" customFormat="false" ht="15" hidden="false" customHeight="true" outlineLevel="0" collapsed="false">
      <c r="A2294" s="6" t="s">
        <v>7013</v>
      </c>
      <c r="B2294" s="6" t="s">
        <v>239</v>
      </c>
      <c r="C2294" s="6" t="n">
        <v>3</v>
      </c>
      <c r="D2294" s="6" t="n">
        <v>23</v>
      </c>
      <c r="E2294" s="6" t="n">
        <v>2</v>
      </c>
      <c r="F2294" s="6" t="s">
        <v>6843</v>
      </c>
      <c r="G2294" s="28" t="str">
        <f aca="false">IFERROR(INDEX('Semrush Data'!$A$1:$Z$20000,MATCH(A2294,'Semrush Data'!$A$1:$A$20000,0),MATCH("Volume",'Semrush Data'!$A$1:$Z$1,0)),"")</f>
        <v/>
      </c>
      <c r="H2294" s="6" t="str">
        <f aca="false">IFERROR(INDEX('Semrush Data'!$A$1:$Z$20000,MATCH(A2294,'Semrush Data'!$A$1:$A$20000,0),MATCH("Keyword Difficulty*",'Semrush Data'!$A$1:$Z$1,0)),"")</f>
        <v/>
      </c>
      <c r="I2294" s="29" t="str">
        <f aca="false">IFERROR(INDEX('Semrush Data'!$A$1:$Z$20000,MATCH(A2294,'Semrush Data'!$A$1:$A$20000,0),MATCH("CPC*",'Semrush Data'!$A$1:$Z$1,0)),"")</f>
        <v/>
      </c>
      <c r="J2294" s="6" t="str">
        <f aca="false">IFERROR(INDEX('Semrush Data'!$A$1:$Z$20000,MATCH(A2294,'Semrush Data'!$A$1:$A$20000,0),MATCH("Intent",'Semrush Data'!$A$1:$Z$1,0)),"")</f>
        <v/>
      </c>
    </row>
    <row r="2295" customFormat="false" ht="15" hidden="false" customHeight="true" outlineLevel="0" collapsed="false">
      <c r="A2295" s="6" t="s">
        <v>7014</v>
      </c>
      <c r="B2295" s="6" t="s">
        <v>239</v>
      </c>
      <c r="C2295" s="6" t="n">
        <v>3</v>
      </c>
      <c r="D2295" s="6" t="n">
        <v>23</v>
      </c>
      <c r="E2295" s="6" t="n">
        <v>2</v>
      </c>
      <c r="F2295" s="6" t="s">
        <v>6843</v>
      </c>
      <c r="G2295" s="28" t="str">
        <f aca="false">IFERROR(INDEX('Semrush Data'!$A$1:$Z$20000,MATCH(A2295,'Semrush Data'!$A$1:$A$20000,0),MATCH("Volume",'Semrush Data'!$A$1:$Z$1,0)),"")</f>
        <v/>
      </c>
      <c r="H2295" s="6" t="str">
        <f aca="false">IFERROR(INDEX('Semrush Data'!$A$1:$Z$20000,MATCH(A2295,'Semrush Data'!$A$1:$A$20000,0),MATCH("Keyword Difficulty*",'Semrush Data'!$A$1:$Z$1,0)),"")</f>
        <v/>
      </c>
      <c r="I2295" s="29" t="str">
        <f aca="false">IFERROR(INDEX('Semrush Data'!$A$1:$Z$20000,MATCH(A2295,'Semrush Data'!$A$1:$A$20000,0),MATCH("CPC*",'Semrush Data'!$A$1:$Z$1,0)),"")</f>
        <v/>
      </c>
      <c r="J2295" s="6" t="str">
        <f aca="false">IFERROR(INDEX('Semrush Data'!$A$1:$Z$20000,MATCH(A2295,'Semrush Data'!$A$1:$A$20000,0),MATCH("Intent",'Semrush Data'!$A$1:$Z$1,0)),"")</f>
        <v/>
      </c>
    </row>
    <row r="2296" customFormat="false" ht="15" hidden="false" customHeight="true" outlineLevel="0" collapsed="false">
      <c r="A2296" s="6" t="s">
        <v>7015</v>
      </c>
      <c r="B2296" s="6" t="s">
        <v>239</v>
      </c>
      <c r="C2296" s="6" t="n">
        <v>3</v>
      </c>
      <c r="D2296" s="6" t="n">
        <v>23</v>
      </c>
      <c r="E2296" s="6" t="n">
        <v>2</v>
      </c>
      <c r="F2296" s="6" t="s">
        <v>6843</v>
      </c>
      <c r="G2296" s="28" t="str">
        <f aca="false">IFERROR(INDEX('Semrush Data'!$A$1:$Z$20000,MATCH(A2296,'Semrush Data'!$A$1:$A$20000,0),MATCH("Volume",'Semrush Data'!$A$1:$Z$1,0)),"")</f>
        <v/>
      </c>
      <c r="H2296" s="6" t="str">
        <f aca="false">IFERROR(INDEX('Semrush Data'!$A$1:$Z$20000,MATCH(A2296,'Semrush Data'!$A$1:$A$20000,0),MATCH("Keyword Difficulty*",'Semrush Data'!$A$1:$Z$1,0)),"")</f>
        <v/>
      </c>
      <c r="I2296" s="29" t="str">
        <f aca="false">IFERROR(INDEX('Semrush Data'!$A$1:$Z$20000,MATCH(A2296,'Semrush Data'!$A$1:$A$20000,0),MATCH("CPC*",'Semrush Data'!$A$1:$Z$1,0)),"")</f>
        <v/>
      </c>
      <c r="J2296" s="6" t="str">
        <f aca="false">IFERROR(INDEX('Semrush Data'!$A$1:$Z$20000,MATCH(A2296,'Semrush Data'!$A$1:$A$20000,0),MATCH("Intent",'Semrush Data'!$A$1:$Z$1,0)),"")</f>
        <v/>
      </c>
    </row>
    <row r="2297" customFormat="false" ht="15" hidden="false" customHeight="true" outlineLevel="0" collapsed="false">
      <c r="A2297" s="6" t="s">
        <v>7016</v>
      </c>
      <c r="B2297" s="6" t="s">
        <v>239</v>
      </c>
      <c r="C2297" s="6" t="n">
        <v>3</v>
      </c>
      <c r="D2297" s="6" t="n">
        <v>23</v>
      </c>
      <c r="E2297" s="6" t="n">
        <v>2</v>
      </c>
      <c r="F2297" s="6" t="s">
        <v>6843</v>
      </c>
      <c r="G2297" s="28" t="str">
        <f aca="false">IFERROR(INDEX('Semrush Data'!$A$1:$Z$20000,MATCH(A2297,'Semrush Data'!$A$1:$A$20000,0),MATCH("Volume",'Semrush Data'!$A$1:$Z$1,0)),"")</f>
        <v/>
      </c>
      <c r="H2297" s="6" t="str">
        <f aca="false">IFERROR(INDEX('Semrush Data'!$A$1:$Z$20000,MATCH(A2297,'Semrush Data'!$A$1:$A$20000,0),MATCH("Keyword Difficulty*",'Semrush Data'!$A$1:$Z$1,0)),"")</f>
        <v/>
      </c>
      <c r="I2297" s="29" t="str">
        <f aca="false">IFERROR(INDEX('Semrush Data'!$A$1:$Z$20000,MATCH(A2297,'Semrush Data'!$A$1:$A$20000,0),MATCH("CPC*",'Semrush Data'!$A$1:$Z$1,0)),"")</f>
        <v/>
      </c>
      <c r="J2297" s="6" t="str">
        <f aca="false">IFERROR(INDEX('Semrush Data'!$A$1:$Z$20000,MATCH(A2297,'Semrush Data'!$A$1:$A$20000,0),MATCH("Intent",'Semrush Data'!$A$1:$Z$1,0)),"")</f>
        <v/>
      </c>
    </row>
    <row r="2298" customFormat="false" ht="15" hidden="false" customHeight="true" outlineLevel="0" collapsed="false">
      <c r="A2298" s="6" t="s">
        <v>7017</v>
      </c>
      <c r="B2298" s="6" t="s">
        <v>239</v>
      </c>
      <c r="C2298" s="6" t="n">
        <v>3</v>
      </c>
      <c r="D2298" s="6" t="n">
        <v>23</v>
      </c>
      <c r="E2298" s="6" t="n">
        <v>2</v>
      </c>
      <c r="F2298" s="6" t="s">
        <v>6843</v>
      </c>
      <c r="G2298" s="28" t="str">
        <f aca="false">IFERROR(INDEX('Semrush Data'!$A$1:$Z$20000,MATCH(A2298,'Semrush Data'!$A$1:$A$20000,0),MATCH("Volume",'Semrush Data'!$A$1:$Z$1,0)),"")</f>
        <v/>
      </c>
      <c r="H2298" s="6" t="str">
        <f aca="false">IFERROR(INDEX('Semrush Data'!$A$1:$Z$20000,MATCH(A2298,'Semrush Data'!$A$1:$A$20000,0),MATCH("Keyword Difficulty*",'Semrush Data'!$A$1:$Z$1,0)),"")</f>
        <v/>
      </c>
      <c r="I2298" s="29" t="str">
        <f aca="false">IFERROR(INDEX('Semrush Data'!$A$1:$Z$20000,MATCH(A2298,'Semrush Data'!$A$1:$A$20000,0),MATCH("CPC*",'Semrush Data'!$A$1:$Z$1,0)),"")</f>
        <v/>
      </c>
      <c r="J2298" s="6" t="str">
        <f aca="false">IFERROR(INDEX('Semrush Data'!$A$1:$Z$20000,MATCH(A2298,'Semrush Data'!$A$1:$A$20000,0),MATCH("Intent",'Semrush Data'!$A$1:$Z$1,0)),"")</f>
        <v/>
      </c>
    </row>
    <row r="2299" customFormat="false" ht="15" hidden="false" customHeight="true" outlineLevel="0" collapsed="false">
      <c r="A2299" s="6" t="s">
        <v>7018</v>
      </c>
      <c r="B2299" s="6" t="s">
        <v>239</v>
      </c>
      <c r="C2299" s="6" t="n">
        <v>3</v>
      </c>
      <c r="D2299" s="6" t="n">
        <v>23</v>
      </c>
      <c r="E2299" s="6" t="n">
        <v>2</v>
      </c>
      <c r="F2299" s="6" t="s">
        <v>6842</v>
      </c>
      <c r="G2299" s="28" t="str">
        <f aca="false">IFERROR(INDEX('Semrush Data'!$A$1:$Z$20000,MATCH(A2299,'Semrush Data'!$A$1:$A$20000,0),MATCH("Volume",'Semrush Data'!$A$1:$Z$1,0)),"")</f>
        <v/>
      </c>
      <c r="H2299" s="6" t="str">
        <f aca="false">IFERROR(INDEX('Semrush Data'!$A$1:$Z$20000,MATCH(A2299,'Semrush Data'!$A$1:$A$20000,0),MATCH("Keyword Difficulty*",'Semrush Data'!$A$1:$Z$1,0)),"")</f>
        <v/>
      </c>
      <c r="I2299" s="29" t="str">
        <f aca="false">IFERROR(INDEX('Semrush Data'!$A$1:$Z$20000,MATCH(A2299,'Semrush Data'!$A$1:$A$20000,0),MATCH("CPC*",'Semrush Data'!$A$1:$Z$1,0)),"")</f>
        <v/>
      </c>
      <c r="J2299" s="6" t="str">
        <f aca="false">IFERROR(INDEX('Semrush Data'!$A$1:$Z$20000,MATCH(A2299,'Semrush Data'!$A$1:$A$20000,0),MATCH("Intent",'Semrush Data'!$A$1:$Z$1,0)),"")</f>
        <v/>
      </c>
    </row>
    <row r="2300" customFormat="false" ht="15" hidden="false" customHeight="true" outlineLevel="0" collapsed="false">
      <c r="A2300" s="6" t="s">
        <v>7019</v>
      </c>
      <c r="B2300" s="6" t="s">
        <v>239</v>
      </c>
      <c r="C2300" s="6" t="n">
        <v>3</v>
      </c>
      <c r="D2300" s="6" t="n">
        <v>23</v>
      </c>
      <c r="E2300" s="6" t="n">
        <v>2</v>
      </c>
      <c r="F2300" s="6" t="s">
        <v>6842</v>
      </c>
      <c r="G2300" s="28" t="str">
        <f aca="false">IFERROR(INDEX('Semrush Data'!$A$1:$Z$20000,MATCH(A2300,'Semrush Data'!$A$1:$A$20000,0),MATCH("Volume",'Semrush Data'!$A$1:$Z$1,0)),"")</f>
        <v/>
      </c>
      <c r="H2300" s="6" t="str">
        <f aca="false">IFERROR(INDEX('Semrush Data'!$A$1:$Z$20000,MATCH(A2300,'Semrush Data'!$A$1:$A$20000,0),MATCH("Keyword Difficulty*",'Semrush Data'!$A$1:$Z$1,0)),"")</f>
        <v/>
      </c>
      <c r="I2300" s="29" t="str">
        <f aca="false">IFERROR(INDEX('Semrush Data'!$A$1:$Z$20000,MATCH(A2300,'Semrush Data'!$A$1:$A$20000,0),MATCH("CPC*",'Semrush Data'!$A$1:$Z$1,0)),"")</f>
        <v/>
      </c>
      <c r="J2300" s="6" t="str">
        <f aca="false">IFERROR(INDEX('Semrush Data'!$A$1:$Z$20000,MATCH(A2300,'Semrush Data'!$A$1:$A$20000,0),MATCH("Intent",'Semrush Data'!$A$1:$Z$1,0)),"")</f>
        <v/>
      </c>
    </row>
    <row r="2301" customFormat="false" ht="15" hidden="false" customHeight="true" outlineLevel="0" collapsed="false">
      <c r="A2301" s="6" t="s">
        <v>7020</v>
      </c>
      <c r="B2301" s="6" t="s">
        <v>239</v>
      </c>
      <c r="C2301" s="6" t="n">
        <v>3</v>
      </c>
      <c r="D2301" s="6" t="n">
        <v>23</v>
      </c>
      <c r="E2301" s="6" t="n">
        <v>2</v>
      </c>
      <c r="F2301" s="6" t="s">
        <v>6842</v>
      </c>
      <c r="G2301" s="28" t="str">
        <f aca="false">IFERROR(INDEX('Semrush Data'!$A$1:$Z$20000,MATCH(A2301,'Semrush Data'!$A$1:$A$20000,0),MATCH("Volume",'Semrush Data'!$A$1:$Z$1,0)),"")</f>
        <v/>
      </c>
      <c r="H2301" s="6" t="str">
        <f aca="false">IFERROR(INDEX('Semrush Data'!$A$1:$Z$20000,MATCH(A2301,'Semrush Data'!$A$1:$A$20000,0),MATCH("Keyword Difficulty*",'Semrush Data'!$A$1:$Z$1,0)),"")</f>
        <v/>
      </c>
      <c r="I2301" s="29" t="str">
        <f aca="false">IFERROR(INDEX('Semrush Data'!$A$1:$Z$20000,MATCH(A2301,'Semrush Data'!$A$1:$A$20000,0),MATCH("CPC*",'Semrush Data'!$A$1:$Z$1,0)),"")</f>
        <v/>
      </c>
      <c r="J2301" s="6" t="str">
        <f aca="false">IFERROR(INDEX('Semrush Data'!$A$1:$Z$20000,MATCH(A2301,'Semrush Data'!$A$1:$A$20000,0),MATCH("Intent",'Semrush Data'!$A$1:$Z$1,0)),"")</f>
        <v/>
      </c>
    </row>
    <row r="2302" customFormat="false" ht="15" hidden="false" customHeight="true" outlineLevel="0" collapsed="false">
      <c r="A2302" s="6" t="s">
        <v>7021</v>
      </c>
      <c r="B2302" s="6" t="s">
        <v>239</v>
      </c>
      <c r="C2302" s="6" t="n">
        <v>3</v>
      </c>
      <c r="D2302" s="6" t="n">
        <v>24</v>
      </c>
      <c r="E2302" s="6" t="n">
        <v>1</v>
      </c>
      <c r="F2302" s="6" t="s">
        <v>3161</v>
      </c>
      <c r="G2302" s="28" t="str">
        <f aca="false">IFERROR(INDEX('Semrush Data'!$A$1:$Z$20000,MATCH(A2302,'Semrush Data'!$A$1:$A$20000,0),MATCH("Volume",'Semrush Data'!$A$1:$Z$1,0)),"")</f>
        <v/>
      </c>
      <c r="H2302" s="6" t="str">
        <f aca="false">IFERROR(INDEX('Semrush Data'!$A$1:$Z$20000,MATCH(A2302,'Semrush Data'!$A$1:$A$20000,0),MATCH("Keyword Difficulty*",'Semrush Data'!$A$1:$Z$1,0)),"")</f>
        <v/>
      </c>
      <c r="I2302" s="29" t="str">
        <f aca="false">IFERROR(INDEX('Semrush Data'!$A$1:$Z$20000,MATCH(A2302,'Semrush Data'!$A$1:$A$20000,0),MATCH("CPC*",'Semrush Data'!$A$1:$Z$1,0)),"")</f>
        <v/>
      </c>
      <c r="J2302" s="6" t="str">
        <f aca="false">IFERROR(INDEX('Semrush Data'!$A$1:$Z$20000,MATCH(A2302,'Semrush Data'!$A$1:$A$20000,0),MATCH("Intent",'Semrush Data'!$A$1:$Z$1,0)),"")</f>
        <v/>
      </c>
    </row>
    <row r="2303" customFormat="false" ht="15" hidden="false" customHeight="true" outlineLevel="0" collapsed="false">
      <c r="A2303" s="6" t="s">
        <v>7022</v>
      </c>
      <c r="B2303" s="6" t="s">
        <v>239</v>
      </c>
      <c r="C2303" s="6" t="n">
        <v>3</v>
      </c>
      <c r="D2303" s="6" t="n">
        <v>24</v>
      </c>
      <c r="E2303" s="6" t="n">
        <v>1</v>
      </c>
      <c r="F2303" s="6" t="s">
        <v>3121</v>
      </c>
      <c r="G2303" s="28" t="str">
        <f aca="false">IFERROR(INDEX('Semrush Data'!$A$1:$Z$20000,MATCH(A2303,'Semrush Data'!$A$1:$A$20000,0),MATCH("Volume",'Semrush Data'!$A$1:$Z$1,0)),"")</f>
        <v/>
      </c>
      <c r="H2303" s="6" t="str">
        <f aca="false">IFERROR(INDEX('Semrush Data'!$A$1:$Z$20000,MATCH(A2303,'Semrush Data'!$A$1:$A$20000,0),MATCH("Keyword Difficulty*",'Semrush Data'!$A$1:$Z$1,0)),"")</f>
        <v/>
      </c>
      <c r="I2303" s="29" t="str">
        <f aca="false">IFERROR(INDEX('Semrush Data'!$A$1:$Z$20000,MATCH(A2303,'Semrush Data'!$A$1:$A$20000,0),MATCH("CPC*",'Semrush Data'!$A$1:$Z$1,0)),"")</f>
        <v/>
      </c>
      <c r="J2303" s="6" t="str">
        <f aca="false">IFERROR(INDEX('Semrush Data'!$A$1:$Z$20000,MATCH(A2303,'Semrush Data'!$A$1:$A$20000,0),MATCH("Intent",'Semrush Data'!$A$1:$Z$1,0)),"")</f>
        <v/>
      </c>
    </row>
    <row r="2304" customFormat="false" ht="15" hidden="false" customHeight="true" outlineLevel="0" collapsed="false">
      <c r="A2304" s="6" t="s">
        <v>7023</v>
      </c>
      <c r="B2304" s="6" t="s">
        <v>239</v>
      </c>
      <c r="C2304" s="6" t="n">
        <v>3</v>
      </c>
      <c r="D2304" s="6" t="n">
        <v>24</v>
      </c>
      <c r="E2304" s="6" t="n">
        <v>1</v>
      </c>
      <c r="F2304" s="6" t="s">
        <v>3121</v>
      </c>
      <c r="G2304" s="28" t="str">
        <f aca="false">IFERROR(INDEX('Semrush Data'!$A$1:$Z$20000,MATCH(A2304,'Semrush Data'!$A$1:$A$20000,0),MATCH("Volume",'Semrush Data'!$A$1:$Z$1,0)),"")</f>
        <v/>
      </c>
      <c r="H2304" s="6" t="str">
        <f aca="false">IFERROR(INDEX('Semrush Data'!$A$1:$Z$20000,MATCH(A2304,'Semrush Data'!$A$1:$A$20000,0),MATCH("Keyword Difficulty*",'Semrush Data'!$A$1:$Z$1,0)),"")</f>
        <v/>
      </c>
      <c r="I2304" s="29" t="str">
        <f aca="false">IFERROR(INDEX('Semrush Data'!$A$1:$Z$20000,MATCH(A2304,'Semrush Data'!$A$1:$A$20000,0),MATCH("CPC*",'Semrush Data'!$A$1:$Z$1,0)),"")</f>
        <v/>
      </c>
      <c r="J2304" s="6" t="str">
        <f aca="false">IFERROR(INDEX('Semrush Data'!$A$1:$Z$20000,MATCH(A2304,'Semrush Data'!$A$1:$A$20000,0),MATCH("Intent",'Semrush Data'!$A$1:$Z$1,0)),"")</f>
        <v/>
      </c>
    </row>
    <row r="2305" customFormat="false" ht="15" hidden="false" customHeight="true" outlineLevel="0" collapsed="false">
      <c r="A2305" s="6" t="s">
        <v>7024</v>
      </c>
      <c r="B2305" s="6" t="s">
        <v>239</v>
      </c>
      <c r="C2305" s="6" t="n">
        <v>3</v>
      </c>
      <c r="D2305" s="6" t="n">
        <v>24</v>
      </c>
      <c r="E2305" s="6" t="n">
        <v>1</v>
      </c>
      <c r="F2305" s="6" t="s">
        <v>3121</v>
      </c>
      <c r="G2305" s="28" t="str">
        <f aca="false">IFERROR(INDEX('Semrush Data'!$A$1:$Z$20000,MATCH(A2305,'Semrush Data'!$A$1:$A$20000,0),MATCH("Volume",'Semrush Data'!$A$1:$Z$1,0)),"")</f>
        <v/>
      </c>
      <c r="H2305" s="6" t="str">
        <f aca="false">IFERROR(INDEX('Semrush Data'!$A$1:$Z$20000,MATCH(A2305,'Semrush Data'!$A$1:$A$20000,0),MATCH("Keyword Difficulty*",'Semrush Data'!$A$1:$Z$1,0)),"")</f>
        <v/>
      </c>
      <c r="I2305" s="29" t="str">
        <f aca="false">IFERROR(INDEX('Semrush Data'!$A$1:$Z$20000,MATCH(A2305,'Semrush Data'!$A$1:$A$20000,0),MATCH("CPC*",'Semrush Data'!$A$1:$Z$1,0)),"")</f>
        <v/>
      </c>
      <c r="J2305" s="6" t="str">
        <f aca="false">IFERROR(INDEX('Semrush Data'!$A$1:$Z$20000,MATCH(A2305,'Semrush Data'!$A$1:$A$20000,0),MATCH("Intent",'Semrush Data'!$A$1:$Z$1,0)),"")</f>
        <v/>
      </c>
    </row>
    <row r="2306" customFormat="false" ht="15" hidden="false" customHeight="true" outlineLevel="0" collapsed="false">
      <c r="A2306" s="6" t="s">
        <v>7025</v>
      </c>
      <c r="B2306" s="6" t="s">
        <v>239</v>
      </c>
      <c r="C2306" s="6" t="n">
        <v>3</v>
      </c>
      <c r="D2306" s="6" t="n">
        <v>24</v>
      </c>
      <c r="E2306" s="6" t="n">
        <v>1</v>
      </c>
      <c r="F2306" s="6" t="s">
        <v>3121</v>
      </c>
      <c r="G2306" s="28" t="str">
        <f aca="false">IFERROR(INDEX('Semrush Data'!$A$1:$Z$20000,MATCH(A2306,'Semrush Data'!$A$1:$A$20000,0),MATCH("Volume",'Semrush Data'!$A$1:$Z$1,0)),"")</f>
        <v/>
      </c>
      <c r="H2306" s="6" t="str">
        <f aca="false">IFERROR(INDEX('Semrush Data'!$A$1:$Z$20000,MATCH(A2306,'Semrush Data'!$A$1:$A$20000,0),MATCH("Keyword Difficulty*",'Semrush Data'!$A$1:$Z$1,0)),"")</f>
        <v/>
      </c>
      <c r="I2306" s="29" t="str">
        <f aca="false">IFERROR(INDEX('Semrush Data'!$A$1:$Z$20000,MATCH(A2306,'Semrush Data'!$A$1:$A$20000,0),MATCH("CPC*",'Semrush Data'!$A$1:$Z$1,0)),"")</f>
        <v/>
      </c>
      <c r="J2306" s="6" t="str">
        <f aca="false">IFERROR(INDEX('Semrush Data'!$A$1:$Z$20000,MATCH(A2306,'Semrush Data'!$A$1:$A$20000,0),MATCH("Intent",'Semrush Data'!$A$1:$Z$1,0)),"")</f>
        <v/>
      </c>
    </row>
    <row r="2307" customFormat="false" ht="15" hidden="false" customHeight="true" outlineLevel="0" collapsed="false">
      <c r="A2307" s="6" t="s">
        <v>7026</v>
      </c>
      <c r="B2307" s="6" t="s">
        <v>239</v>
      </c>
      <c r="C2307" s="6" t="n">
        <v>3</v>
      </c>
      <c r="D2307" s="6" t="n">
        <v>24</v>
      </c>
      <c r="E2307" s="6" t="n">
        <v>1</v>
      </c>
      <c r="F2307" s="6" t="s">
        <v>3121</v>
      </c>
      <c r="G2307" s="28" t="str">
        <f aca="false">IFERROR(INDEX('Semrush Data'!$A$1:$Z$20000,MATCH(A2307,'Semrush Data'!$A$1:$A$20000,0),MATCH("Volume",'Semrush Data'!$A$1:$Z$1,0)),"")</f>
        <v/>
      </c>
      <c r="H2307" s="6" t="str">
        <f aca="false">IFERROR(INDEX('Semrush Data'!$A$1:$Z$20000,MATCH(A2307,'Semrush Data'!$A$1:$A$20000,0),MATCH("Keyword Difficulty*",'Semrush Data'!$A$1:$Z$1,0)),"")</f>
        <v/>
      </c>
      <c r="I2307" s="29" t="str">
        <f aca="false">IFERROR(INDEX('Semrush Data'!$A$1:$Z$20000,MATCH(A2307,'Semrush Data'!$A$1:$A$20000,0),MATCH("CPC*",'Semrush Data'!$A$1:$Z$1,0)),"")</f>
        <v/>
      </c>
      <c r="J2307" s="6" t="str">
        <f aca="false">IFERROR(INDEX('Semrush Data'!$A$1:$Z$20000,MATCH(A2307,'Semrush Data'!$A$1:$A$20000,0),MATCH("Intent",'Semrush Data'!$A$1:$Z$1,0)),"")</f>
        <v/>
      </c>
    </row>
    <row r="2308" customFormat="false" ht="15" hidden="false" customHeight="true" outlineLevel="0" collapsed="false">
      <c r="A2308" s="6" t="s">
        <v>7027</v>
      </c>
      <c r="B2308" s="6" t="s">
        <v>239</v>
      </c>
      <c r="C2308" s="6" t="n">
        <v>3</v>
      </c>
      <c r="D2308" s="6" t="n">
        <v>24</v>
      </c>
      <c r="E2308" s="6" t="n">
        <v>1</v>
      </c>
      <c r="F2308" s="6" t="s">
        <v>3121</v>
      </c>
      <c r="G2308" s="28" t="str">
        <f aca="false">IFERROR(INDEX('Semrush Data'!$A$1:$Z$20000,MATCH(A2308,'Semrush Data'!$A$1:$A$20000,0),MATCH("Volume",'Semrush Data'!$A$1:$Z$1,0)),"")</f>
        <v/>
      </c>
      <c r="H2308" s="6" t="str">
        <f aca="false">IFERROR(INDEX('Semrush Data'!$A$1:$Z$20000,MATCH(A2308,'Semrush Data'!$A$1:$A$20000,0),MATCH("Keyword Difficulty*",'Semrush Data'!$A$1:$Z$1,0)),"")</f>
        <v/>
      </c>
      <c r="I2308" s="29" t="str">
        <f aca="false">IFERROR(INDEX('Semrush Data'!$A$1:$Z$20000,MATCH(A2308,'Semrush Data'!$A$1:$A$20000,0),MATCH("CPC*",'Semrush Data'!$A$1:$Z$1,0)),"")</f>
        <v/>
      </c>
      <c r="J2308" s="6" t="str">
        <f aca="false">IFERROR(INDEX('Semrush Data'!$A$1:$Z$20000,MATCH(A2308,'Semrush Data'!$A$1:$A$20000,0),MATCH("Intent",'Semrush Data'!$A$1:$Z$1,0)),"")</f>
        <v/>
      </c>
    </row>
    <row r="2309" customFormat="false" ht="15" hidden="false" customHeight="true" outlineLevel="0" collapsed="false">
      <c r="A2309" s="6" t="s">
        <v>7028</v>
      </c>
      <c r="B2309" s="6" t="s">
        <v>239</v>
      </c>
      <c r="C2309" s="6" t="n">
        <v>3</v>
      </c>
      <c r="D2309" s="6" t="n">
        <v>24</v>
      </c>
      <c r="E2309" s="6" t="n">
        <v>1</v>
      </c>
      <c r="F2309" s="6" t="s">
        <v>79</v>
      </c>
      <c r="G2309" s="28" t="str">
        <f aca="false">IFERROR(INDEX('Semrush Data'!$A$1:$Z$20000,MATCH(A2309,'Semrush Data'!$A$1:$A$20000,0),MATCH("Volume",'Semrush Data'!$A$1:$Z$1,0)),"")</f>
        <v/>
      </c>
      <c r="H2309" s="6" t="str">
        <f aca="false">IFERROR(INDEX('Semrush Data'!$A$1:$Z$20000,MATCH(A2309,'Semrush Data'!$A$1:$A$20000,0),MATCH("Keyword Difficulty*",'Semrush Data'!$A$1:$Z$1,0)),"")</f>
        <v/>
      </c>
      <c r="I2309" s="29" t="str">
        <f aca="false">IFERROR(INDEX('Semrush Data'!$A$1:$Z$20000,MATCH(A2309,'Semrush Data'!$A$1:$A$20000,0),MATCH("CPC*",'Semrush Data'!$A$1:$Z$1,0)),"")</f>
        <v/>
      </c>
      <c r="J2309" s="6" t="str">
        <f aca="false">IFERROR(INDEX('Semrush Data'!$A$1:$Z$20000,MATCH(A2309,'Semrush Data'!$A$1:$A$20000,0),MATCH("Intent",'Semrush Data'!$A$1:$Z$1,0)),"")</f>
        <v/>
      </c>
    </row>
    <row r="2310" customFormat="false" ht="15" hidden="false" customHeight="true" outlineLevel="0" collapsed="false">
      <c r="A2310" s="6" t="s">
        <v>288</v>
      </c>
      <c r="B2310" s="6" t="s">
        <v>239</v>
      </c>
      <c r="C2310" s="6" t="n">
        <v>3</v>
      </c>
      <c r="D2310" s="6" t="s">
        <v>6870</v>
      </c>
      <c r="E2310" s="6" t="n">
        <v>1</v>
      </c>
      <c r="F2310" s="6" t="s">
        <v>79</v>
      </c>
      <c r="G2310" s="28" t="n">
        <f aca="false">IFERROR(INDEX('Semrush Data'!$A$1:$Z$20000,MATCH(A2310,'Semrush Data'!$A$1:$A$20000,0),MATCH("Volume",'Semrush Data'!$A$1:$Z$1,0)),"")</f>
        <v>20</v>
      </c>
      <c r="H2310" s="6" t="n">
        <f aca="false">IFERROR(INDEX('Semrush Data'!$A$1:$Z$20000,MATCH(A2310,'Semrush Data'!$A$1:$A$20000,0),MATCH("Keyword Difficulty*",'Semrush Data'!$A$1:$Z$1,0)),"")</f>
        <v>19</v>
      </c>
      <c r="I2310" s="29" t="n">
        <f aca="false">IFERROR(INDEX('Semrush Data'!$A$1:$Z$20000,MATCH(A2310,'Semrush Data'!$A$1:$A$20000,0),MATCH("CPC*",'Semrush Data'!$A$1:$Z$1,0)),"")</f>
        <v>0</v>
      </c>
      <c r="J2310" s="6" t="str">
        <f aca="false">IFERROR(INDEX('Semrush Data'!$A$1:$Z$20000,MATCH(A2310,'Semrush Data'!$A$1:$A$20000,0),MATCH("Intent",'Semrush Data'!$A$1:$Z$1,0)),"")</f>
        <v>Informational</v>
      </c>
    </row>
    <row r="2311" customFormat="false" ht="15" hidden="false" customHeight="true" outlineLevel="0" collapsed="false">
      <c r="A2311" s="6" t="s">
        <v>253</v>
      </c>
      <c r="B2311" s="6" t="s">
        <v>239</v>
      </c>
      <c r="C2311" s="6" t="n">
        <v>3</v>
      </c>
      <c r="D2311" s="6" t="s">
        <v>6870</v>
      </c>
      <c r="E2311" s="6" t="n">
        <v>1</v>
      </c>
      <c r="F2311" s="6" t="s">
        <v>79</v>
      </c>
      <c r="G2311" s="28" t="n">
        <f aca="false">IFERROR(INDEX('Semrush Data'!$A$1:$Z$20000,MATCH(A2311,'Semrush Data'!$A$1:$A$20000,0),MATCH("Volume",'Semrush Data'!$A$1:$Z$1,0)),"")</f>
        <v>320</v>
      </c>
      <c r="H2311" s="6" t="n">
        <f aca="false">IFERROR(INDEX('Semrush Data'!$A$1:$Z$20000,MATCH(A2311,'Semrush Data'!$A$1:$A$20000,0),MATCH("Keyword Difficulty*",'Semrush Data'!$A$1:$Z$1,0)),"")</f>
        <v>19</v>
      </c>
      <c r="I2311" s="29" t="n">
        <f aca="false">IFERROR(INDEX('Semrush Data'!$A$1:$Z$20000,MATCH(A2311,'Semrush Data'!$A$1:$A$20000,0),MATCH("CPC*",'Semrush Data'!$A$1:$Z$1,0)),"")</f>
        <v>0.41</v>
      </c>
      <c r="J2311" s="6" t="str">
        <f aca="false">IFERROR(INDEX('Semrush Data'!$A$1:$Z$20000,MATCH(A2311,'Semrush Data'!$A$1:$A$20000,0),MATCH("Intent",'Semrush Data'!$A$1:$Z$1,0)),"")</f>
        <v>Informational Transactional</v>
      </c>
    </row>
    <row r="2312" customFormat="false" ht="15" hidden="false" customHeight="true" outlineLevel="0" collapsed="false">
      <c r="A2312" s="6" t="s">
        <v>7029</v>
      </c>
      <c r="B2312" s="6" t="s">
        <v>239</v>
      </c>
      <c r="C2312" s="6" t="n">
        <v>3</v>
      </c>
      <c r="D2312" s="6" t="n">
        <v>24</v>
      </c>
      <c r="E2312" s="6" t="n">
        <v>1</v>
      </c>
      <c r="F2312" s="6" t="s">
        <v>79</v>
      </c>
      <c r="G2312" s="28" t="str">
        <f aca="false">IFERROR(INDEX('Semrush Data'!$A$1:$Z$20000,MATCH(A2312,'Semrush Data'!$A$1:$A$20000,0),MATCH("Volume",'Semrush Data'!$A$1:$Z$1,0)),"")</f>
        <v/>
      </c>
      <c r="H2312" s="6" t="str">
        <f aca="false">IFERROR(INDEX('Semrush Data'!$A$1:$Z$20000,MATCH(A2312,'Semrush Data'!$A$1:$A$20000,0),MATCH("Keyword Difficulty*",'Semrush Data'!$A$1:$Z$1,0)),"")</f>
        <v/>
      </c>
      <c r="I2312" s="29" t="str">
        <f aca="false">IFERROR(INDEX('Semrush Data'!$A$1:$Z$20000,MATCH(A2312,'Semrush Data'!$A$1:$A$20000,0),MATCH("CPC*",'Semrush Data'!$A$1:$Z$1,0)),"")</f>
        <v/>
      </c>
      <c r="J2312" s="6" t="str">
        <f aca="false">IFERROR(INDEX('Semrush Data'!$A$1:$Z$20000,MATCH(A2312,'Semrush Data'!$A$1:$A$20000,0),MATCH("Intent",'Semrush Data'!$A$1:$Z$1,0)),"")</f>
        <v/>
      </c>
    </row>
    <row r="2313" customFormat="false" ht="15" hidden="false" customHeight="true" outlineLevel="0" collapsed="false">
      <c r="A2313" s="6" t="s">
        <v>7030</v>
      </c>
      <c r="B2313" s="6" t="s">
        <v>239</v>
      </c>
      <c r="C2313" s="6" t="n">
        <v>3</v>
      </c>
      <c r="D2313" s="6" t="n">
        <v>24</v>
      </c>
      <c r="E2313" s="6" t="n">
        <v>1</v>
      </c>
      <c r="F2313" s="6" t="s">
        <v>3131</v>
      </c>
      <c r="G2313" s="28" t="str">
        <f aca="false">IFERROR(INDEX('Semrush Data'!$A$1:$Z$20000,MATCH(A2313,'Semrush Data'!$A$1:$A$20000,0),MATCH("Volume",'Semrush Data'!$A$1:$Z$1,0)),"")</f>
        <v/>
      </c>
      <c r="H2313" s="6" t="str">
        <f aca="false">IFERROR(INDEX('Semrush Data'!$A$1:$Z$20000,MATCH(A2313,'Semrush Data'!$A$1:$A$20000,0),MATCH("Keyword Difficulty*",'Semrush Data'!$A$1:$Z$1,0)),"")</f>
        <v/>
      </c>
      <c r="I2313" s="29" t="str">
        <f aca="false">IFERROR(INDEX('Semrush Data'!$A$1:$Z$20000,MATCH(A2313,'Semrush Data'!$A$1:$A$20000,0),MATCH("CPC*",'Semrush Data'!$A$1:$Z$1,0)),"")</f>
        <v/>
      </c>
      <c r="J2313" s="6" t="str">
        <f aca="false">IFERROR(INDEX('Semrush Data'!$A$1:$Z$20000,MATCH(A2313,'Semrush Data'!$A$1:$A$20000,0),MATCH("Intent",'Semrush Data'!$A$1:$Z$1,0)),"")</f>
        <v/>
      </c>
    </row>
    <row r="2314" customFormat="false" ht="15" hidden="false" customHeight="true" outlineLevel="0" collapsed="false">
      <c r="A2314" s="6" t="s">
        <v>7031</v>
      </c>
      <c r="B2314" s="6" t="s">
        <v>239</v>
      </c>
      <c r="C2314" s="6" t="n">
        <v>3</v>
      </c>
      <c r="D2314" s="6" t="n">
        <v>24</v>
      </c>
      <c r="E2314" s="6" t="n">
        <v>1</v>
      </c>
      <c r="F2314" s="6" t="s">
        <v>3131</v>
      </c>
      <c r="G2314" s="28" t="str">
        <f aca="false">IFERROR(INDEX('Semrush Data'!$A$1:$Z$20000,MATCH(A2314,'Semrush Data'!$A$1:$A$20000,0),MATCH("Volume",'Semrush Data'!$A$1:$Z$1,0)),"")</f>
        <v/>
      </c>
      <c r="H2314" s="6" t="str">
        <f aca="false">IFERROR(INDEX('Semrush Data'!$A$1:$Z$20000,MATCH(A2314,'Semrush Data'!$A$1:$A$20000,0),MATCH("Keyword Difficulty*",'Semrush Data'!$A$1:$Z$1,0)),"")</f>
        <v/>
      </c>
      <c r="I2314" s="29" t="str">
        <f aca="false">IFERROR(INDEX('Semrush Data'!$A$1:$Z$20000,MATCH(A2314,'Semrush Data'!$A$1:$A$20000,0),MATCH("CPC*",'Semrush Data'!$A$1:$Z$1,0)),"")</f>
        <v/>
      </c>
      <c r="J2314" s="6" t="str">
        <f aca="false">IFERROR(INDEX('Semrush Data'!$A$1:$Z$20000,MATCH(A2314,'Semrush Data'!$A$1:$A$20000,0),MATCH("Intent",'Semrush Data'!$A$1:$Z$1,0)),"")</f>
        <v/>
      </c>
    </row>
    <row r="2315" customFormat="false" ht="15" hidden="false" customHeight="true" outlineLevel="0" collapsed="false">
      <c r="A2315" s="6" t="s">
        <v>7032</v>
      </c>
      <c r="B2315" s="6" t="s">
        <v>239</v>
      </c>
      <c r="C2315" s="6" t="n">
        <v>3</v>
      </c>
      <c r="D2315" s="6" t="n">
        <v>24</v>
      </c>
      <c r="E2315" s="6" t="n">
        <v>1</v>
      </c>
      <c r="F2315" s="6" t="s">
        <v>3131</v>
      </c>
      <c r="G2315" s="28" t="str">
        <f aca="false">IFERROR(INDEX('Semrush Data'!$A$1:$Z$20000,MATCH(A2315,'Semrush Data'!$A$1:$A$20000,0),MATCH("Volume",'Semrush Data'!$A$1:$Z$1,0)),"")</f>
        <v/>
      </c>
      <c r="H2315" s="6" t="str">
        <f aca="false">IFERROR(INDEX('Semrush Data'!$A$1:$Z$20000,MATCH(A2315,'Semrush Data'!$A$1:$A$20000,0),MATCH("Keyword Difficulty*",'Semrush Data'!$A$1:$Z$1,0)),"")</f>
        <v/>
      </c>
      <c r="I2315" s="29" t="str">
        <f aca="false">IFERROR(INDEX('Semrush Data'!$A$1:$Z$20000,MATCH(A2315,'Semrush Data'!$A$1:$A$20000,0),MATCH("CPC*",'Semrush Data'!$A$1:$Z$1,0)),"")</f>
        <v/>
      </c>
      <c r="J2315" s="6" t="str">
        <f aca="false">IFERROR(INDEX('Semrush Data'!$A$1:$Z$20000,MATCH(A2315,'Semrush Data'!$A$1:$A$20000,0),MATCH("Intent",'Semrush Data'!$A$1:$Z$1,0)),"")</f>
        <v/>
      </c>
    </row>
    <row r="2316" customFormat="false" ht="15" hidden="false" customHeight="true" outlineLevel="0" collapsed="false">
      <c r="A2316" s="6" t="s">
        <v>7033</v>
      </c>
      <c r="B2316" s="6" t="s">
        <v>239</v>
      </c>
      <c r="C2316" s="6" t="n">
        <v>3</v>
      </c>
      <c r="D2316" s="6" t="n">
        <v>24</v>
      </c>
      <c r="E2316" s="6" t="n">
        <v>1</v>
      </c>
      <c r="F2316" s="6" t="s">
        <v>3131</v>
      </c>
      <c r="G2316" s="28" t="str">
        <f aca="false">IFERROR(INDEX('Semrush Data'!$A$1:$Z$20000,MATCH(A2316,'Semrush Data'!$A$1:$A$20000,0),MATCH("Volume",'Semrush Data'!$A$1:$Z$1,0)),"")</f>
        <v/>
      </c>
      <c r="H2316" s="6" t="str">
        <f aca="false">IFERROR(INDEX('Semrush Data'!$A$1:$Z$20000,MATCH(A2316,'Semrush Data'!$A$1:$A$20000,0),MATCH("Keyword Difficulty*",'Semrush Data'!$A$1:$Z$1,0)),"")</f>
        <v/>
      </c>
      <c r="I2316" s="29" t="str">
        <f aca="false">IFERROR(INDEX('Semrush Data'!$A$1:$Z$20000,MATCH(A2316,'Semrush Data'!$A$1:$A$20000,0),MATCH("CPC*",'Semrush Data'!$A$1:$Z$1,0)),"")</f>
        <v/>
      </c>
      <c r="J2316" s="6" t="str">
        <f aca="false">IFERROR(INDEX('Semrush Data'!$A$1:$Z$20000,MATCH(A2316,'Semrush Data'!$A$1:$A$20000,0),MATCH("Intent",'Semrush Data'!$A$1:$Z$1,0)),"")</f>
        <v/>
      </c>
    </row>
    <row r="2317" customFormat="false" ht="15" hidden="false" customHeight="true" outlineLevel="0" collapsed="false">
      <c r="A2317" s="6" t="s">
        <v>7034</v>
      </c>
      <c r="B2317" s="6" t="s">
        <v>239</v>
      </c>
      <c r="C2317" s="6" t="n">
        <v>3</v>
      </c>
      <c r="D2317" s="6" t="n">
        <v>24</v>
      </c>
      <c r="E2317" s="6" t="n">
        <v>1</v>
      </c>
      <c r="F2317" s="6" t="s">
        <v>3131</v>
      </c>
      <c r="G2317" s="28" t="str">
        <f aca="false">IFERROR(INDEX('Semrush Data'!$A$1:$Z$20000,MATCH(A2317,'Semrush Data'!$A$1:$A$20000,0),MATCH("Volume",'Semrush Data'!$A$1:$Z$1,0)),"")</f>
        <v/>
      </c>
      <c r="H2317" s="6" t="str">
        <f aca="false">IFERROR(INDEX('Semrush Data'!$A$1:$Z$20000,MATCH(A2317,'Semrush Data'!$A$1:$A$20000,0),MATCH("Keyword Difficulty*",'Semrush Data'!$A$1:$Z$1,0)),"")</f>
        <v/>
      </c>
      <c r="I2317" s="29" t="str">
        <f aca="false">IFERROR(INDEX('Semrush Data'!$A$1:$Z$20000,MATCH(A2317,'Semrush Data'!$A$1:$A$20000,0),MATCH("CPC*",'Semrush Data'!$A$1:$Z$1,0)),"")</f>
        <v/>
      </c>
      <c r="J2317" s="6" t="str">
        <f aca="false">IFERROR(INDEX('Semrush Data'!$A$1:$Z$20000,MATCH(A2317,'Semrush Data'!$A$1:$A$20000,0),MATCH("Intent",'Semrush Data'!$A$1:$Z$1,0)),"")</f>
        <v/>
      </c>
    </row>
    <row r="2318" customFormat="false" ht="15" hidden="false" customHeight="true" outlineLevel="0" collapsed="false">
      <c r="A2318" s="6" t="s">
        <v>7035</v>
      </c>
      <c r="B2318" s="6" t="s">
        <v>239</v>
      </c>
      <c r="C2318" s="6" t="n">
        <v>3</v>
      </c>
      <c r="D2318" s="6" t="n">
        <v>24</v>
      </c>
      <c r="E2318" s="6" t="n">
        <v>1</v>
      </c>
      <c r="F2318" s="6" t="s">
        <v>3141</v>
      </c>
      <c r="G2318" s="28" t="str">
        <f aca="false">IFERROR(INDEX('Semrush Data'!$A$1:$Z$20000,MATCH(A2318,'Semrush Data'!$A$1:$A$20000,0),MATCH("Volume",'Semrush Data'!$A$1:$Z$1,0)),"")</f>
        <v/>
      </c>
      <c r="H2318" s="6" t="str">
        <f aca="false">IFERROR(INDEX('Semrush Data'!$A$1:$Z$20000,MATCH(A2318,'Semrush Data'!$A$1:$A$20000,0),MATCH("Keyword Difficulty*",'Semrush Data'!$A$1:$Z$1,0)),"")</f>
        <v/>
      </c>
      <c r="I2318" s="29" t="str">
        <f aca="false">IFERROR(INDEX('Semrush Data'!$A$1:$Z$20000,MATCH(A2318,'Semrush Data'!$A$1:$A$20000,0),MATCH("CPC*",'Semrush Data'!$A$1:$Z$1,0)),"")</f>
        <v/>
      </c>
      <c r="J2318" s="6" t="str">
        <f aca="false">IFERROR(INDEX('Semrush Data'!$A$1:$Z$20000,MATCH(A2318,'Semrush Data'!$A$1:$A$20000,0),MATCH("Intent",'Semrush Data'!$A$1:$Z$1,0)),"")</f>
        <v/>
      </c>
    </row>
    <row r="2319" customFormat="false" ht="15" hidden="false" customHeight="true" outlineLevel="0" collapsed="false">
      <c r="A2319" s="6" t="s">
        <v>7036</v>
      </c>
      <c r="B2319" s="6" t="s">
        <v>239</v>
      </c>
      <c r="C2319" s="6" t="n">
        <v>3</v>
      </c>
      <c r="D2319" s="6" t="n">
        <v>24</v>
      </c>
      <c r="E2319" s="6" t="n">
        <v>1</v>
      </c>
      <c r="F2319" s="6" t="s">
        <v>3141</v>
      </c>
      <c r="G2319" s="28" t="str">
        <f aca="false">IFERROR(INDEX('Semrush Data'!$A$1:$Z$20000,MATCH(A2319,'Semrush Data'!$A$1:$A$20000,0),MATCH("Volume",'Semrush Data'!$A$1:$Z$1,0)),"")</f>
        <v/>
      </c>
      <c r="H2319" s="6" t="str">
        <f aca="false">IFERROR(INDEX('Semrush Data'!$A$1:$Z$20000,MATCH(A2319,'Semrush Data'!$A$1:$A$20000,0),MATCH("Keyword Difficulty*",'Semrush Data'!$A$1:$Z$1,0)),"")</f>
        <v/>
      </c>
      <c r="I2319" s="29" t="str">
        <f aca="false">IFERROR(INDEX('Semrush Data'!$A$1:$Z$20000,MATCH(A2319,'Semrush Data'!$A$1:$A$20000,0),MATCH("CPC*",'Semrush Data'!$A$1:$Z$1,0)),"")</f>
        <v/>
      </c>
      <c r="J2319" s="6" t="str">
        <f aca="false">IFERROR(INDEX('Semrush Data'!$A$1:$Z$20000,MATCH(A2319,'Semrush Data'!$A$1:$A$20000,0),MATCH("Intent",'Semrush Data'!$A$1:$Z$1,0)),"")</f>
        <v/>
      </c>
    </row>
    <row r="2320" customFormat="false" ht="15" hidden="false" customHeight="true" outlineLevel="0" collapsed="false">
      <c r="A2320" s="6" t="s">
        <v>7037</v>
      </c>
      <c r="B2320" s="6" t="s">
        <v>239</v>
      </c>
      <c r="C2320" s="6" t="n">
        <v>3</v>
      </c>
      <c r="D2320" s="6" t="n">
        <v>24</v>
      </c>
      <c r="E2320" s="6" t="n">
        <v>1</v>
      </c>
      <c r="F2320" s="6" t="s">
        <v>3141</v>
      </c>
      <c r="G2320" s="28" t="str">
        <f aca="false">IFERROR(INDEX('Semrush Data'!$A$1:$Z$20000,MATCH(A2320,'Semrush Data'!$A$1:$A$20000,0),MATCH("Volume",'Semrush Data'!$A$1:$Z$1,0)),"")</f>
        <v/>
      </c>
      <c r="H2320" s="6" t="str">
        <f aca="false">IFERROR(INDEX('Semrush Data'!$A$1:$Z$20000,MATCH(A2320,'Semrush Data'!$A$1:$A$20000,0),MATCH("Keyword Difficulty*",'Semrush Data'!$A$1:$Z$1,0)),"")</f>
        <v/>
      </c>
      <c r="I2320" s="29" t="str">
        <f aca="false">IFERROR(INDEX('Semrush Data'!$A$1:$Z$20000,MATCH(A2320,'Semrush Data'!$A$1:$A$20000,0),MATCH("CPC*",'Semrush Data'!$A$1:$Z$1,0)),"")</f>
        <v/>
      </c>
      <c r="J2320" s="6" t="str">
        <f aca="false">IFERROR(INDEX('Semrush Data'!$A$1:$Z$20000,MATCH(A2320,'Semrush Data'!$A$1:$A$20000,0),MATCH("Intent",'Semrush Data'!$A$1:$Z$1,0)),"")</f>
        <v/>
      </c>
    </row>
    <row r="2321" customFormat="false" ht="15" hidden="false" customHeight="true" outlineLevel="0" collapsed="false">
      <c r="A2321" s="6" t="s">
        <v>7038</v>
      </c>
      <c r="B2321" s="6" t="s">
        <v>239</v>
      </c>
      <c r="C2321" s="6" t="n">
        <v>3</v>
      </c>
      <c r="D2321" s="6" t="n">
        <v>24</v>
      </c>
      <c r="E2321" s="6" t="n">
        <v>1</v>
      </c>
      <c r="F2321" s="6" t="s">
        <v>3151</v>
      </c>
      <c r="G2321" s="28" t="str">
        <f aca="false">IFERROR(INDEX('Semrush Data'!$A$1:$Z$20000,MATCH(A2321,'Semrush Data'!$A$1:$A$20000,0),MATCH("Volume",'Semrush Data'!$A$1:$Z$1,0)),"")</f>
        <v/>
      </c>
      <c r="H2321" s="6" t="str">
        <f aca="false">IFERROR(INDEX('Semrush Data'!$A$1:$Z$20000,MATCH(A2321,'Semrush Data'!$A$1:$A$20000,0),MATCH("Keyword Difficulty*",'Semrush Data'!$A$1:$Z$1,0)),"")</f>
        <v/>
      </c>
      <c r="I2321" s="29" t="str">
        <f aca="false">IFERROR(INDEX('Semrush Data'!$A$1:$Z$20000,MATCH(A2321,'Semrush Data'!$A$1:$A$20000,0),MATCH("CPC*",'Semrush Data'!$A$1:$Z$1,0)),"")</f>
        <v/>
      </c>
      <c r="J2321" s="6" t="str">
        <f aca="false">IFERROR(INDEX('Semrush Data'!$A$1:$Z$20000,MATCH(A2321,'Semrush Data'!$A$1:$A$20000,0),MATCH("Intent",'Semrush Data'!$A$1:$Z$1,0)),"")</f>
        <v/>
      </c>
    </row>
    <row r="2322" customFormat="false" ht="15" hidden="false" customHeight="true" outlineLevel="0" collapsed="false">
      <c r="A2322" s="6" t="s">
        <v>7039</v>
      </c>
      <c r="B2322" s="6" t="s">
        <v>239</v>
      </c>
      <c r="C2322" s="6" t="n">
        <v>3</v>
      </c>
      <c r="D2322" s="6" t="n">
        <v>24</v>
      </c>
      <c r="E2322" s="6" t="n">
        <v>1</v>
      </c>
      <c r="F2322" s="6" t="s">
        <v>3151</v>
      </c>
      <c r="G2322" s="28" t="str">
        <f aca="false">IFERROR(INDEX('Semrush Data'!$A$1:$Z$20000,MATCH(A2322,'Semrush Data'!$A$1:$A$20000,0),MATCH("Volume",'Semrush Data'!$A$1:$Z$1,0)),"")</f>
        <v/>
      </c>
      <c r="H2322" s="6" t="str">
        <f aca="false">IFERROR(INDEX('Semrush Data'!$A$1:$Z$20000,MATCH(A2322,'Semrush Data'!$A$1:$A$20000,0),MATCH("Keyword Difficulty*",'Semrush Data'!$A$1:$Z$1,0)),"")</f>
        <v/>
      </c>
      <c r="I2322" s="29" t="str">
        <f aca="false">IFERROR(INDEX('Semrush Data'!$A$1:$Z$20000,MATCH(A2322,'Semrush Data'!$A$1:$A$20000,0),MATCH("CPC*",'Semrush Data'!$A$1:$Z$1,0)),"")</f>
        <v/>
      </c>
      <c r="J2322" s="6" t="str">
        <f aca="false">IFERROR(INDEX('Semrush Data'!$A$1:$Z$20000,MATCH(A2322,'Semrush Data'!$A$1:$A$20000,0),MATCH("Intent",'Semrush Data'!$A$1:$Z$1,0)),"")</f>
        <v/>
      </c>
    </row>
    <row r="2323" customFormat="false" ht="15" hidden="false" customHeight="true" outlineLevel="0" collapsed="false">
      <c r="A2323" s="6" t="s">
        <v>7040</v>
      </c>
      <c r="B2323" s="6" t="s">
        <v>239</v>
      </c>
      <c r="C2323" s="6" t="n">
        <v>3</v>
      </c>
      <c r="D2323" s="6" t="n">
        <v>24</v>
      </c>
      <c r="E2323" s="6" t="n">
        <v>1</v>
      </c>
      <c r="F2323" s="6" t="s">
        <v>3151</v>
      </c>
      <c r="G2323" s="28" t="str">
        <f aca="false">IFERROR(INDEX('Semrush Data'!$A$1:$Z$20000,MATCH(A2323,'Semrush Data'!$A$1:$A$20000,0),MATCH("Volume",'Semrush Data'!$A$1:$Z$1,0)),"")</f>
        <v/>
      </c>
      <c r="H2323" s="6" t="str">
        <f aca="false">IFERROR(INDEX('Semrush Data'!$A$1:$Z$20000,MATCH(A2323,'Semrush Data'!$A$1:$A$20000,0),MATCH("Keyword Difficulty*",'Semrush Data'!$A$1:$Z$1,0)),"")</f>
        <v/>
      </c>
      <c r="I2323" s="29" t="str">
        <f aca="false">IFERROR(INDEX('Semrush Data'!$A$1:$Z$20000,MATCH(A2323,'Semrush Data'!$A$1:$A$20000,0),MATCH("CPC*",'Semrush Data'!$A$1:$Z$1,0)),"")</f>
        <v/>
      </c>
      <c r="J2323" s="6" t="str">
        <f aca="false">IFERROR(INDEX('Semrush Data'!$A$1:$Z$20000,MATCH(A2323,'Semrush Data'!$A$1:$A$20000,0),MATCH("Intent",'Semrush Data'!$A$1:$Z$1,0)),"")</f>
        <v/>
      </c>
    </row>
    <row r="2324" customFormat="false" ht="15" hidden="false" customHeight="true" outlineLevel="0" collapsed="false">
      <c r="A2324" s="6" t="s">
        <v>7041</v>
      </c>
      <c r="B2324" s="6" t="s">
        <v>239</v>
      </c>
      <c r="C2324" s="6" t="n">
        <v>3</v>
      </c>
      <c r="D2324" s="6" t="n">
        <v>24</v>
      </c>
      <c r="E2324" s="6" t="n">
        <v>1</v>
      </c>
      <c r="F2324" s="6" t="s">
        <v>3151</v>
      </c>
      <c r="G2324" s="28" t="str">
        <f aca="false">IFERROR(INDEX('Semrush Data'!$A$1:$Z$20000,MATCH(A2324,'Semrush Data'!$A$1:$A$20000,0),MATCH("Volume",'Semrush Data'!$A$1:$Z$1,0)),"")</f>
        <v/>
      </c>
      <c r="H2324" s="6" t="str">
        <f aca="false">IFERROR(INDEX('Semrush Data'!$A$1:$Z$20000,MATCH(A2324,'Semrush Data'!$A$1:$A$20000,0),MATCH("Keyword Difficulty*",'Semrush Data'!$A$1:$Z$1,0)),"")</f>
        <v/>
      </c>
      <c r="I2324" s="29" t="str">
        <f aca="false">IFERROR(INDEX('Semrush Data'!$A$1:$Z$20000,MATCH(A2324,'Semrush Data'!$A$1:$A$20000,0),MATCH("CPC*",'Semrush Data'!$A$1:$Z$1,0)),"")</f>
        <v/>
      </c>
      <c r="J2324" s="6" t="str">
        <f aca="false">IFERROR(INDEX('Semrush Data'!$A$1:$Z$20000,MATCH(A2324,'Semrush Data'!$A$1:$A$20000,0),MATCH("Intent",'Semrush Data'!$A$1:$Z$1,0)),"")</f>
        <v/>
      </c>
    </row>
    <row r="2325" customFormat="false" ht="15" hidden="false" customHeight="true" outlineLevel="0" collapsed="false">
      <c r="A2325" s="6" t="s">
        <v>7042</v>
      </c>
      <c r="B2325" s="6" t="s">
        <v>239</v>
      </c>
      <c r="C2325" s="6" t="n">
        <v>3</v>
      </c>
      <c r="D2325" s="6" t="n">
        <v>24</v>
      </c>
      <c r="E2325" s="6" t="n">
        <v>1</v>
      </c>
      <c r="F2325" s="6" t="s">
        <v>3151</v>
      </c>
      <c r="G2325" s="28" t="str">
        <f aca="false">IFERROR(INDEX('Semrush Data'!$A$1:$Z$20000,MATCH(A2325,'Semrush Data'!$A$1:$A$20000,0),MATCH("Volume",'Semrush Data'!$A$1:$Z$1,0)),"")</f>
        <v/>
      </c>
      <c r="H2325" s="6" t="str">
        <f aca="false">IFERROR(INDEX('Semrush Data'!$A$1:$Z$20000,MATCH(A2325,'Semrush Data'!$A$1:$A$20000,0),MATCH("Keyword Difficulty*",'Semrush Data'!$A$1:$Z$1,0)),"")</f>
        <v/>
      </c>
      <c r="I2325" s="29" t="str">
        <f aca="false">IFERROR(INDEX('Semrush Data'!$A$1:$Z$20000,MATCH(A2325,'Semrush Data'!$A$1:$A$20000,0),MATCH("CPC*",'Semrush Data'!$A$1:$Z$1,0)),"")</f>
        <v/>
      </c>
      <c r="J2325" s="6" t="str">
        <f aca="false">IFERROR(INDEX('Semrush Data'!$A$1:$Z$20000,MATCH(A2325,'Semrush Data'!$A$1:$A$20000,0),MATCH("Intent",'Semrush Data'!$A$1:$Z$1,0)),"")</f>
        <v/>
      </c>
    </row>
    <row r="2326" customFormat="false" ht="15" hidden="false" customHeight="true" outlineLevel="0" collapsed="false">
      <c r="A2326" s="6" t="s">
        <v>7043</v>
      </c>
      <c r="B2326" s="6" t="s">
        <v>239</v>
      </c>
      <c r="C2326" s="6" t="n">
        <v>3</v>
      </c>
      <c r="D2326" s="6" t="n">
        <v>24</v>
      </c>
      <c r="E2326" s="6" t="n">
        <v>1</v>
      </c>
      <c r="F2326" s="6" t="s">
        <v>3151</v>
      </c>
      <c r="G2326" s="28" t="str">
        <f aca="false">IFERROR(INDEX('Semrush Data'!$A$1:$Z$20000,MATCH(A2326,'Semrush Data'!$A$1:$A$20000,0),MATCH("Volume",'Semrush Data'!$A$1:$Z$1,0)),"")</f>
        <v/>
      </c>
      <c r="H2326" s="6" t="str">
        <f aca="false">IFERROR(INDEX('Semrush Data'!$A$1:$Z$20000,MATCH(A2326,'Semrush Data'!$A$1:$A$20000,0),MATCH("Keyword Difficulty*",'Semrush Data'!$A$1:$Z$1,0)),"")</f>
        <v/>
      </c>
      <c r="I2326" s="29" t="str">
        <f aca="false">IFERROR(INDEX('Semrush Data'!$A$1:$Z$20000,MATCH(A2326,'Semrush Data'!$A$1:$A$20000,0),MATCH("CPC*",'Semrush Data'!$A$1:$Z$1,0)),"")</f>
        <v/>
      </c>
      <c r="J2326" s="6" t="str">
        <f aca="false">IFERROR(INDEX('Semrush Data'!$A$1:$Z$20000,MATCH(A2326,'Semrush Data'!$A$1:$A$20000,0),MATCH("Intent",'Semrush Data'!$A$1:$Z$1,0)),"")</f>
        <v/>
      </c>
    </row>
    <row r="2327" customFormat="false" ht="15" hidden="false" customHeight="true" outlineLevel="0" collapsed="false">
      <c r="A2327" s="6" t="s">
        <v>7044</v>
      </c>
      <c r="B2327" s="6" t="s">
        <v>239</v>
      </c>
      <c r="C2327" s="6" t="n">
        <v>3</v>
      </c>
      <c r="D2327" s="6" t="n">
        <v>24</v>
      </c>
      <c r="E2327" s="6" t="n">
        <v>1</v>
      </c>
      <c r="F2327" s="6" t="s">
        <v>145</v>
      </c>
      <c r="G2327" s="28" t="str">
        <f aca="false">IFERROR(INDEX('Semrush Data'!$A$1:$Z$20000,MATCH(A2327,'Semrush Data'!$A$1:$A$20000,0),MATCH("Volume",'Semrush Data'!$A$1:$Z$1,0)),"")</f>
        <v/>
      </c>
      <c r="H2327" s="6" t="str">
        <f aca="false">IFERROR(INDEX('Semrush Data'!$A$1:$Z$20000,MATCH(A2327,'Semrush Data'!$A$1:$A$20000,0),MATCH("Keyword Difficulty*",'Semrush Data'!$A$1:$Z$1,0)),"")</f>
        <v/>
      </c>
      <c r="I2327" s="29" t="str">
        <f aca="false">IFERROR(INDEX('Semrush Data'!$A$1:$Z$20000,MATCH(A2327,'Semrush Data'!$A$1:$A$20000,0),MATCH("CPC*",'Semrush Data'!$A$1:$Z$1,0)),"")</f>
        <v/>
      </c>
      <c r="J2327" s="6" t="str">
        <f aca="false">IFERROR(INDEX('Semrush Data'!$A$1:$Z$20000,MATCH(A2327,'Semrush Data'!$A$1:$A$20000,0),MATCH("Intent",'Semrush Data'!$A$1:$Z$1,0)),"")</f>
        <v/>
      </c>
    </row>
    <row r="2328" customFormat="false" ht="15" hidden="false" customHeight="true" outlineLevel="0" collapsed="false">
      <c r="A2328" s="6" t="s">
        <v>289</v>
      </c>
      <c r="B2328" s="6" t="s">
        <v>239</v>
      </c>
      <c r="C2328" s="6" t="n">
        <v>3</v>
      </c>
      <c r="D2328" s="6" t="s">
        <v>6893</v>
      </c>
      <c r="E2328" s="6" t="n">
        <v>1</v>
      </c>
      <c r="F2328" s="6" t="s">
        <v>145</v>
      </c>
      <c r="G2328" s="28" t="n">
        <f aca="false">IFERROR(INDEX('Semrush Data'!$A$1:$Z$20000,MATCH(A2328,'Semrush Data'!$A$1:$A$20000,0),MATCH("Volume",'Semrush Data'!$A$1:$Z$1,0)),"")</f>
        <v>20</v>
      </c>
      <c r="H2328" s="6" t="n">
        <f aca="false">IFERROR(INDEX('Semrush Data'!$A$1:$Z$20000,MATCH(A2328,'Semrush Data'!$A$1:$A$20000,0),MATCH("Keyword Difficulty*",'Semrush Data'!$A$1:$Z$1,0)),"")</f>
        <v>12</v>
      </c>
      <c r="I2328" s="29" t="n">
        <f aca="false">IFERROR(INDEX('Semrush Data'!$A$1:$Z$20000,MATCH(A2328,'Semrush Data'!$A$1:$A$20000,0),MATCH("CPC*",'Semrush Data'!$A$1:$Z$1,0)),"")</f>
        <v>0</v>
      </c>
      <c r="J2328" s="6" t="str">
        <f aca="false">IFERROR(INDEX('Semrush Data'!$A$1:$Z$20000,MATCH(A2328,'Semrush Data'!$A$1:$A$20000,0),MATCH("Intent",'Semrush Data'!$A$1:$Z$1,0)),"")</f>
        <v>Informational</v>
      </c>
    </row>
    <row r="2329" customFormat="false" ht="15" hidden="false" customHeight="true" outlineLevel="0" collapsed="false">
      <c r="A2329" s="6" t="s">
        <v>7045</v>
      </c>
      <c r="B2329" s="6" t="s">
        <v>239</v>
      </c>
      <c r="C2329" s="6" t="n">
        <v>3</v>
      </c>
      <c r="D2329" s="6" t="n">
        <v>24</v>
      </c>
      <c r="E2329" s="6" t="n">
        <v>1</v>
      </c>
      <c r="F2329" s="6" t="s">
        <v>145</v>
      </c>
      <c r="G2329" s="28" t="str">
        <f aca="false">IFERROR(INDEX('Semrush Data'!$A$1:$Z$20000,MATCH(A2329,'Semrush Data'!$A$1:$A$20000,0),MATCH("Volume",'Semrush Data'!$A$1:$Z$1,0)),"")</f>
        <v/>
      </c>
      <c r="H2329" s="6" t="str">
        <f aca="false">IFERROR(INDEX('Semrush Data'!$A$1:$Z$20000,MATCH(A2329,'Semrush Data'!$A$1:$A$20000,0),MATCH("Keyword Difficulty*",'Semrush Data'!$A$1:$Z$1,0)),"")</f>
        <v/>
      </c>
      <c r="I2329" s="29" t="str">
        <f aca="false">IFERROR(INDEX('Semrush Data'!$A$1:$Z$20000,MATCH(A2329,'Semrush Data'!$A$1:$A$20000,0),MATCH("CPC*",'Semrush Data'!$A$1:$Z$1,0)),"")</f>
        <v/>
      </c>
      <c r="J2329" s="6" t="str">
        <f aca="false">IFERROR(INDEX('Semrush Data'!$A$1:$Z$20000,MATCH(A2329,'Semrush Data'!$A$1:$A$20000,0),MATCH("Intent",'Semrush Data'!$A$1:$Z$1,0)),"")</f>
        <v/>
      </c>
    </row>
    <row r="2330" customFormat="false" ht="15" hidden="false" customHeight="true" outlineLevel="0" collapsed="false">
      <c r="A2330" s="6" t="s">
        <v>7046</v>
      </c>
      <c r="B2330" s="6" t="s">
        <v>239</v>
      </c>
      <c r="C2330" s="6" t="n">
        <v>3</v>
      </c>
      <c r="D2330" s="6" t="n">
        <v>24</v>
      </c>
      <c r="E2330" s="6" t="n">
        <v>1</v>
      </c>
      <c r="F2330" s="6" t="s">
        <v>145</v>
      </c>
      <c r="G2330" s="28" t="str">
        <f aca="false">IFERROR(INDEX('Semrush Data'!$A$1:$Z$20000,MATCH(A2330,'Semrush Data'!$A$1:$A$20000,0),MATCH("Volume",'Semrush Data'!$A$1:$Z$1,0)),"")</f>
        <v/>
      </c>
      <c r="H2330" s="6" t="str">
        <f aca="false">IFERROR(INDEX('Semrush Data'!$A$1:$Z$20000,MATCH(A2330,'Semrush Data'!$A$1:$A$20000,0),MATCH("Keyword Difficulty*",'Semrush Data'!$A$1:$Z$1,0)),"")</f>
        <v/>
      </c>
      <c r="I2330" s="29" t="str">
        <f aca="false">IFERROR(INDEX('Semrush Data'!$A$1:$Z$20000,MATCH(A2330,'Semrush Data'!$A$1:$A$20000,0),MATCH("CPC*",'Semrush Data'!$A$1:$Z$1,0)),"")</f>
        <v/>
      </c>
      <c r="J2330" s="6" t="str">
        <f aca="false">IFERROR(INDEX('Semrush Data'!$A$1:$Z$20000,MATCH(A2330,'Semrush Data'!$A$1:$A$20000,0),MATCH("Intent",'Semrush Data'!$A$1:$Z$1,0)),"")</f>
        <v/>
      </c>
    </row>
    <row r="2331" customFormat="false" ht="15" hidden="false" customHeight="true" outlineLevel="0" collapsed="false">
      <c r="A2331" s="6" t="s">
        <v>290</v>
      </c>
      <c r="B2331" s="6" t="s">
        <v>239</v>
      </c>
      <c r="C2331" s="6" t="n">
        <v>3</v>
      </c>
      <c r="D2331" s="6" t="s">
        <v>6893</v>
      </c>
      <c r="E2331" s="6" t="n">
        <v>1</v>
      </c>
      <c r="F2331" s="6" t="s">
        <v>145</v>
      </c>
      <c r="G2331" s="28" t="n">
        <f aca="false">IFERROR(INDEX('Semrush Data'!$A$1:$Z$20000,MATCH(A2331,'Semrush Data'!$A$1:$A$20000,0),MATCH("Volume",'Semrush Data'!$A$1:$Z$1,0)),"")</f>
        <v>20</v>
      </c>
      <c r="H2331" s="6" t="n">
        <f aca="false">IFERROR(INDEX('Semrush Data'!$A$1:$Z$20000,MATCH(A2331,'Semrush Data'!$A$1:$A$20000,0),MATCH("Keyword Difficulty*",'Semrush Data'!$A$1:$Z$1,0)),"")</f>
        <v>9</v>
      </c>
      <c r="I2331" s="29" t="n">
        <f aca="false">IFERROR(INDEX('Semrush Data'!$A$1:$Z$20000,MATCH(A2331,'Semrush Data'!$A$1:$A$20000,0),MATCH("CPC*",'Semrush Data'!$A$1:$Z$1,0)),"")</f>
        <v>0</v>
      </c>
      <c r="J2331" s="6" t="str">
        <f aca="false">IFERROR(INDEX('Semrush Data'!$A$1:$Z$20000,MATCH(A2331,'Semrush Data'!$A$1:$A$20000,0),MATCH("Intent",'Semrush Data'!$A$1:$Z$1,0)),"")</f>
        <v>Commercial</v>
      </c>
    </row>
    <row r="2332" customFormat="false" ht="15" hidden="false" customHeight="true" outlineLevel="0" collapsed="false">
      <c r="A2332" s="6" t="s">
        <v>7047</v>
      </c>
      <c r="B2332" s="6" t="s">
        <v>239</v>
      </c>
      <c r="C2332" s="6" t="n">
        <v>3</v>
      </c>
      <c r="D2332" s="6" t="n">
        <v>24</v>
      </c>
      <c r="E2332" s="6" t="n">
        <v>1</v>
      </c>
      <c r="F2332" s="6" t="s">
        <v>3161</v>
      </c>
      <c r="G2332" s="28" t="str">
        <f aca="false">IFERROR(INDEX('Semrush Data'!$A$1:$Z$20000,MATCH(A2332,'Semrush Data'!$A$1:$A$20000,0),MATCH("Volume",'Semrush Data'!$A$1:$Z$1,0)),"")</f>
        <v/>
      </c>
      <c r="H2332" s="6" t="str">
        <f aca="false">IFERROR(INDEX('Semrush Data'!$A$1:$Z$20000,MATCH(A2332,'Semrush Data'!$A$1:$A$20000,0),MATCH("Keyword Difficulty*",'Semrush Data'!$A$1:$Z$1,0)),"")</f>
        <v/>
      </c>
      <c r="I2332" s="29" t="str">
        <f aca="false">IFERROR(INDEX('Semrush Data'!$A$1:$Z$20000,MATCH(A2332,'Semrush Data'!$A$1:$A$20000,0),MATCH("CPC*",'Semrush Data'!$A$1:$Z$1,0)),"")</f>
        <v/>
      </c>
      <c r="J2332" s="6" t="str">
        <f aca="false">IFERROR(INDEX('Semrush Data'!$A$1:$Z$20000,MATCH(A2332,'Semrush Data'!$A$1:$A$20000,0),MATCH("Intent",'Semrush Data'!$A$1:$Z$1,0)),"")</f>
        <v/>
      </c>
    </row>
    <row r="2333" customFormat="false" ht="15" hidden="false" customHeight="true" outlineLevel="0" collapsed="false">
      <c r="A2333" s="6" t="s">
        <v>7048</v>
      </c>
      <c r="B2333" s="6" t="s">
        <v>239</v>
      </c>
      <c r="C2333" s="6" t="n">
        <v>3</v>
      </c>
      <c r="D2333" s="6" t="n">
        <v>24</v>
      </c>
      <c r="E2333" s="6" t="n">
        <v>1</v>
      </c>
      <c r="F2333" s="6" t="s">
        <v>3161</v>
      </c>
      <c r="G2333" s="28" t="str">
        <f aca="false">IFERROR(INDEX('Semrush Data'!$A$1:$Z$20000,MATCH(A2333,'Semrush Data'!$A$1:$A$20000,0),MATCH("Volume",'Semrush Data'!$A$1:$Z$1,0)),"")</f>
        <v/>
      </c>
      <c r="H2333" s="6" t="str">
        <f aca="false">IFERROR(INDEX('Semrush Data'!$A$1:$Z$20000,MATCH(A2333,'Semrush Data'!$A$1:$A$20000,0),MATCH("Keyword Difficulty*",'Semrush Data'!$A$1:$Z$1,0)),"")</f>
        <v/>
      </c>
      <c r="I2333" s="29" t="str">
        <f aca="false">IFERROR(INDEX('Semrush Data'!$A$1:$Z$20000,MATCH(A2333,'Semrush Data'!$A$1:$A$20000,0),MATCH("CPC*",'Semrush Data'!$A$1:$Z$1,0)),"")</f>
        <v/>
      </c>
      <c r="J2333" s="6" t="str">
        <f aca="false">IFERROR(INDEX('Semrush Data'!$A$1:$Z$20000,MATCH(A2333,'Semrush Data'!$A$1:$A$20000,0),MATCH("Intent",'Semrush Data'!$A$1:$Z$1,0)),"")</f>
        <v/>
      </c>
    </row>
    <row r="2334" customFormat="false" ht="15" hidden="false" customHeight="true" outlineLevel="0" collapsed="false">
      <c r="A2334" s="6" t="s">
        <v>7049</v>
      </c>
      <c r="B2334" s="6" t="s">
        <v>239</v>
      </c>
      <c r="C2334" s="6" t="n">
        <v>3</v>
      </c>
      <c r="D2334" s="6" t="n">
        <v>24</v>
      </c>
      <c r="E2334" s="6" t="n">
        <v>1</v>
      </c>
      <c r="F2334" s="6" t="s">
        <v>3161</v>
      </c>
      <c r="G2334" s="28" t="str">
        <f aca="false">IFERROR(INDEX('Semrush Data'!$A$1:$Z$20000,MATCH(A2334,'Semrush Data'!$A$1:$A$20000,0),MATCH("Volume",'Semrush Data'!$A$1:$Z$1,0)),"")</f>
        <v/>
      </c>
      <c r="H2334" s="6" t="str">
        <f aca="false">IFERROR(INDEX('Semrush Data'!$A$1:$Z$20000,MATCH(A2334,'Semrush Data'!$A$1:$A$20000,0),MATCH("Keyword Difficulty*",'Semrush Data'!$A$1:$Z$1,0)),"")</f>
        <v/>
      </c>
      <c r="I2334" s="29" t="str">
        <f aca="false">IFERROR(INDEX('Semrush Data'!$A$1:$Z$20000,MATCH(A2334,'Semrush Data'!$A$1:$A$20000,0),MATCH("CPC*",'Semrush Data'!$A$1:$Z$1,0)),"")</f>
        <v/>
      </c>
      <c r="J2334" s="6" t="str">
        <f aca="false">IFERROR(INDEX('Semrush Data'!$A$1:$Z$20000,MATCH(A2334,'Semrush Data'!$A$1:$A$20000,0),MATCH("Intent",'Semrush Data'!$A$1:$Z$1,0)),"")</f>
        <v/>
      </c>
    </row>
    <row r="2335" customFormat="false" ht="15" hidden="false" customHeight="true" outlineLevel="0" collapsed="false">
      <c r="A2335" s="6" t="s">
        <v>7050</v>
      </c>
      <c r="B2335" s="6" t="s">
        <v>239</v>
      </c>
      <c r="C2335" s="6" t="n">
        <v>3</v>
      </c>
      <c r="D2335" s="6" t="n">
        <v>24</v>
      </c>
      <c r="E2335" s="6" t="n">
        <v>1</v>
      </c>
      <c r="F2335" s="6" t="s">
        <v>3161</v>
      </c>
      <c r="G2335" s="28" t="str">
        <f aca="false">IFERROR(INDEX('Semrush Data'!$A$1:$Z$20000,MATCH(A2335,'Semrush Data'!$A$1:$A$20000,0),MATCH("Volume",'Semrush Data'!$A$1:$Z$1,0)),"")</f>
        <v/>
      </c>
      <c r="H2335" s="6" t="str">
        <f aca="false">IFERROR(INDEX('Semrush Data'!$A$1:$Z$20000,MATCH(A2335,'Semrush Data'!$A$1:$A$20000,0),MATCH("Keyword Difficulty*",'Semrush Data'!$A$1:$Z$1,0)),"")</f>
        <v/>
      </c>
      <c r="I2335" s="29" t="str">
        <f aca="false">IFERROR(INDEX('Semrush Data'!$A$1:$Z$20000,MATCH(A2335,'Semrush Data'!$A$1:$A$20000,0),MATCH("CPC*",'Semrush Data'!$A$1:$Z$1,0)),"")</f>
        <v/>
      </c>
      <c r="J2335" s="6" t="str">
        <f aca="false">IFERROR(INDEX('Semrush Data'!$A$1:$Z$20000,MATCH(A2335,'Semrush Data'!$A$1:$A$20000,0),MATCH("Intent",'Semrush Data'!$A$1:$Z$1,0)),"")</f>
        <v/>
      </c>
    </row>
    <row r="2336" customFormat="false" ht="15" hidden="false" customHeight="true" outlineLevel="0" collapsed="false">
      <c r="A2336" s="6" t="s">
        <v>7051</v>
      </c>
      <c r="B2336" s="6" t="s">
        <v>239</v>
      </c>
      <c r="C2336" s="6" t="n">
        <v>3</v>
      </c>
      <c r="D2336" s="6" t="n">
        <v>24</v>
      </c>
      <c r="E2336" s="6" t="n">
        <v>1</v>
      </c>
      <c r="F2336" s="6" t="s">
        <v>3161</v>
      </c>
      <c r="G2336" s="28" t="str">
        <f aca="false">IFERROR(INDEX('Semrush Data'!$A$1:$Z$20000,MATCH(A2336,'Semrush Data'!$A$1:$A$20000,0),MATCH("Volume",'Semrush Data'!$A$1:$Z$1,0)),"")</f>
        <v/>
      </c>
      <c r="H2336" s="6" t="str">
        <f aca="false">IFERROR(INDEX('Semrush Data'!$A$1:$Z$20000,MATCH(A2336,'Semrush Data'!$A$1:$A$20000,0),MATCH("Keyword Difficulty*",'Semrush Data'!$A$1:$Z$1,0)),"")</f>
        <v/>
      </c>
      <c r="I2336" s="29" t="str">
        <f aca="false">IFERROR(INDEX('Semrush Data'!$A$1:$Z$20000,MATCH(A2336,'Semrush Data'!$A$1:$A$20000,0),MATCH("CPC*",'Semrush Data'!$A$1:$Z$1,0)),"")</f>
        <v/>
      </c>
      <c r="J2336" s="6" t="str">
        <f aca="false">IFERROR(INDEX('Semrush Data'!$A$1:$Z$20000,MATCH(A2336,'Semrush Data'!$A$1:$A$20000,0),MATCH("Intent",'Semrush Data'!$A$1:$Z$1,0)),"")</f>
        <v/>
      </c>
    </row>
    <row r="2337" customFormat="false" ht="15" hidden="false" customHeight="true" outlineLevel="0" collapsed="false">
      <c r="A2337" s="6" t="s">
        <v>7052</v>
      </c>
      <c r="B2337" s="6" t="s">
        <v>239</v>
      </c>
      <c r="C2337" s="6" t="n">
        <v>3</v>
      </c>
      <c r="D2337" s="6" t="n">
        <v>24</v>
      </c>
      <c r="E2337" s="6" t="n">
        <v>1</v>
      </c>
      <c r="F2337" s="6" t="s">
        <v>3099</v>
      </c>
      <c r="G2337" s="28" t="str">
        <f aca="false">IFERROR(INDEX('Semrush Data'!$A$1:$Z$20000,MATCH(A2337,'Semrush Data'!$A$1:$A$20000,0),MATCH("Volume",'Semrush Data'!$A$1:$Z$1,0)),"")</f>
        <v/>
      </c>
      <c r="H2337" s="6" t="str">
        <f aca="false">IFERROR(INDEX('Semrush Data'!$A$1:$Z$20000,MATCH(A2337,'Semrush Data'!$A$1:$A$20000,0),MATCH("Keyword Difficulty*",'Semrush Data'!$A$1:$Z$1,0)),"")</f>
        <v/>
      </c>
      <c r="I2337" s="29" t="str">
        <f aca="false">IFERROR(INDEX('Semrush Data'!$A$1:$Z$20000,MATCH(A2337,'Semrush Data'!$A$1:$A$20000,0),MATCH("CPC*",'Semrush Data'!$A$1:$Z$1,0)),"")</f>
        <v/>
      </c>
      <c r="J2337" s="6" t="str">
        <f aca="false">IFERROR(INDEX('Semrush Data'!$A$1:$Z$20000,MATCH(A2337,'Semrush Data'!$A$1:$A$20000,0),MATCH("Intent",'Semrush Data'!$A$1:$Z$1,0)),"")</f>
        <v/>
      </c>
    </row>
    <row r="2338" customFormat="false" ht="15" hidden="false" customHeight="true" outlineLevel="0" collapsed="false">
      <c r="A2338" s="6" t="s">
        <v>7053</v>
      </c>
      <c r="B2338" s="6" t="s">
        <v>239</v>
      </c>
      <c r="C2338" s="6" t="n">
        <v>3</v>
      </c>
      <c r="D2338" s="6" t="n">
        <v>24</v>
      </c>
      <c r="E2338" s="6" t="n">
        <v>1</v>
      </c>
      <c r="F2338" s="6" t="s">
        <v>3099</v>
      </c>
      <c r="G2338" s="28" t="str">
        <f aca="false">IFERROR(INDEX('Semrush Data'!$A$1:$Z$20000,MATCH(A2338,'Semrush Data'!$A$1:$A$20000,0),MATCH("Volume",'Semrush Data'!$A$1:$Z$1,0)),"")</f>
        <v/>
      </c>
      <c r="H2338" s="6" t="str">
        <f aca="false">IFERROR(INDEX('Semrush Data'!$A$1:$Z$20000,MATCH(A2338,'Semrush Data'!$A$1:$A$20000,0),MATCH("Keyword Difficulty*",'Semrush Data'!$A$1:$Z$1,0)),"")</f>
        <v/>
      </c>
      <c r="I2338" s="29" t="str">
        <f aca="false">IFERROR(INDEX('Semrush Data'!$A$1:$Z$20000,MATCH(A2338,'Semrush Data'!$A$1:$A$20000,0),MATCH("CPC*",'Semrush Data'!$A$1:$Z$1,0)),"")</f>
        <v/>
      </c>
      <c r="J2338" s="6" t="str">
        <f aca="false">IFERROR(INDEX('Semrush Data'!$A$1:$Z$20000,MATCH(A2338,'Semrush Data'!$A$1:$A$20000,0),MATCH("Intent",'Semrush Data'!$A$1:$Z$1,0)),"")</f>
        <v/>
      </c>
    </row>
    <row r="2339" customFormat="false" ht="15" hidden="false" customHeight="true" outlineLevel="0" collapsed="false">
      <c r="A2339" s="6" t="s">
        <v>7054</v>
      </c>
      <c r="B2339" s="6" t="s">
        <v>239</v>
      </c>
      <c r="C2339" s="6" t="n">
        <v>3</v>
      </c>
      <c r="D2339" s="6" t="n">
        <v>24</v>
      </c>
      <c r="E2339" s="6" t="n">
        <v>1</v>
      </c>
      <c r="F2339" s="6" t="s">
        <v>3099</v>
      </c>
      <c r="G2339" s="28" t="str">
        <f aca="false">IFERROR(INDEX('Semrush Data'!$A$1:$Z$20000,MATCH(A2339,'Semrush Data'!$A$1:$A$20000,0),MATCH("Volume",'Semrush Data'!$A$1:$Z$1,0)),"")</f>
        <v/>
      </c>
      <c r="H2339" s="6" t="str">
        <f aca="false">IFERROR(INDEX('Semrush Data'!$A$1:$Z$20000,MATCH(A2339,'Semrush Data'!$A$1:$A$20000,0),MATCH("Keyword Difficulty*",'Semrush Data'!$A$1:$Z$1,0)),"")</f>
        <v/>
      </c>
      <c r="I2339" s="29" t="str">
        <f aca="false">IFERROR(INDEX('Semrush Data'!$A$1:$Z$20000,MATCH(A2339,'Semrush Data'!$A$1:$A$20000,0),MATCH("CPC*",'Semrush Data'!$A$1:$Z$1,0)),"")</f>
        <v/>
      </c>
      <c r="J2339" s="6" t="str">
        <f aca="false">IFERROR(INDEX('Semrush Data'!$A$1:$Z$20000,MATCH(A2339,'Semrush Data'!$A$1:$A$20000,0),MATCH("Intent",'Semrush Data'!$A$1:$Z$1,0)),"")</f>
        <v/>
      </c>
    </row>
    <row r="2340" customFormat="false" ht="15" hidden="false" customHeight="true" outlineLevel="0" collapsed="false">
      <c r="A2340" s="6" t="s">
        <v>7055</v>
      </c>
      <c r="B2340" s="6" t="s">
        <v>239</v>
      </c>
      <c r="C2340" s="6" t="n">
        <v>3</v>
      </c>
      <c r="D2340" s="6" t="n">
        <v>24</v>
      </c>
      <c r="E2340" s="6" t="n">
        <v>1</v>
      </c>
      <c r="F2340" s="6" t="s">
        <v>3099</v>
      </c>
      <c r="G2340" s="28" t="str">
        <f aca="false">IFERROR(INDEX('Semrush Data'!$A$1:$Z$20000,MATCH(A2340,'Semrush Data'!$A$1:$A$20000,0),MATCH("Volume",'Semrush Data'!$A$1:$Z$1,0)),"")</f>
        <v/>
      </c>
      <c r="H2340" s="6" t="str">
        <f aca="false">IFERROR(INDEX('Semrush Data'!$A$1:$Z$20000,MATCH(A2340,'Semrush Data'!$A$1:$A$20000,0),MATCH("Keyword Difficulty*",'Semrush Data'!$A$1:$Z$1,0)),"")</f>
        <v/>
      </c>
      <c r="I2340" s="29" t="str">
        <f aca="false">IFERROR(INDEX('Semrush Data'!$A$1:$Z$20000,MATCH(A2340,'Semrush Data'!$A$1:$A$20000,0),MATCH("CPC*",'Semrush Data'!$A$1:$Z$1,0)),"")</f>
        <v/>
      </c>
      <c r="J2340" s="6" t="str">
        <f aca="false">IFERROR(INDEX('Semrush Data'!$A$1:$Z$20000,MATCH(A2340,'Semrush Data'!$A$1:$A$20000,0),MATCH("Intent",'Semrush Data'!$A$1:$Z$1,0)),"")</f>
        <v/>
      </c>
    </row>
    <row r="2341" customFormat="false" ht="15" hidden="false" customHeight="true" outlineLevel="0" collapsed="false">
      <c r="A2341" s="6" t="s">
        <v>7056</v>
      </c>
      <c r="B2341" s="6" t="s">
        <v>239</v>
      </c>
      <c r="C2341" s="6" t="n">
        <v>3</v>
      </c>
      <c r="D2341" s="6" t="n">
        <v>24</v>
      </c>
      <c r="E2341" s="6" t="n">
        <v>1</v>
      </c>
      <c r="F2341" s="6" t="s">
        <v>3099</v>
      </c>
      <c r="G2341" s="28" t="str">
        <f aca="false">IFERROR(INDEX('Semrush Data'!$A$1:$Z$20000,MATCH(A2341,'Semrush Data'!$A$1:$A$20000,0),MATCH("Volume",'Semrush Data'!$A$1:$Z$1,0)),"")</f>
        <v/>
      </c>
      <c r="H2341" s="6" t="str">
        <f aca="false">IFERROR(INDEX('Semrush Data'!$A$1:$Z$20000,MATCH(A2341,'Semrush Data'!$A$1:$A$20000,0),MATCH("Keyword Difficulty*",'Semrush Data'!$A$1:$Z$1,0)),"")</f>
        <v/>
      </c>
      <c r="I2341" s="29" t="str">
        <f aca="false">IFERROR(INDEX('Semrush Data'!$A$1:$Z$20000,MATCH(A2341,'Semrush Data'!$A$1:$A$20000,0),MATCH("CPC*",'Semrush Data'!$A$1:$Z$1,0)),"")</f>
        <v/>
      </c>
      <c r="J2341" s="6" t="str">
        <f aca="false">IFERROR(INDEX('Semrush Data'!$A$1:$Z$20000,MATCH(A2341,'Semrush Data'!$A$1:$A$20000,0),MATCH("Intent",'Semrush Data'!$A$1:$Z$1,0)),"")</f>
        <v/>
      </c>
    </row>
    <row r="2342" customFormat="false" ht="15" hidden="false" customHeight="true" outlineLevel="0" collapsed="false">
      <c r="A2342" s="6" t="s">
        <v>7057</v>
      </c>
      <c r="B2342" s="6" t="s">
        <v>239</v>
      </c>
      <c r="C2342" s="6" t="n">
        <v>3</v>
      </c>
      <c r="D2342" s="6" t="n">
        <v>24</v>
      </c>
      <c r="E2342" s="6" t="n">
        <v>2</v>
      </c>
      <c r="F2342" s="6" t="s">
        <v>6844</v>
      </c>
      <c r="G2342" s="28" t="str">
        <f aca="false">IFERROR(INDEX('Semrush Data'!$A$1:$Z$20000,MATCH(A2342,'Semrush Data'!$A$1:$A$20000,0),MATCH("Volume",'Semrush Data'!$A$1:$Z$1,0)),"")</f>
        <v/>
      </c>
      <c r="H2342" s="6" t="str">
        <f aca="false">IFERROR(INDEX('Semrush Data'!$A$1:$Z$20000,MATCH(A2342,'Semrush Data'!$A$1:$A$20000,0),MATCH("Keyword Difficulty*",'Semrush Data'!$A$1:$Z$1,0)),"")</f>
        <v/>
      </c>
      <c r="I2342" s="29" t="str">
        <f aca="false">IFERROR(INDEX('Semrush Data'!$A$1:$Z$20000,MATCH(A2342,'Semrush Data'!$A$1:$A$20000,0),MATCH("CPC*",'Semrush Data'!$A$1:$Z$1,0)),"")</f>
        <v/>
      </c>
      <c r="J2342" s="6" t="str">
        <f aca="false">IFERROR(INDEX('Semrush Data'!$A$1:$Z$20000,MATCH(A2342,'Semrush Data'!$A$1:$A$20000,0),MATCH("Intent",'Semrush Data'!$A$1:$Z$1,0)),"")</f>
        <v/>
      </c>
    </row>
    <row r="2343" customFormat="false" ht="15" hidden="false" customHeight="true" outlineLevel="0" collapsed="false">
      <c r="A2343" s="6" t="s">
        <v>7058</v>
      </c>
      <c r="B2343" s="6" t="s">
        <v>239</v>
      </c>
      <c r="C2343" s="6" t="n">
        <v>3</v>
      </c>
      <c r="D2343" s="6" t="n">
        <v>24</v>
      </c>
      <c r="E2343" s="6" t="n">
        <v>2</v>
      </c>
      <c r="F2343" s="6" t="s">
        <v>6844</v>
      </c>
      <c r="G2343" s="28" t="str">
        <f aca="false">IFERROR(INDEX('Semrush Data'!$A$1:$Z$20000,MATCH(A2343,'Semrush Data'!$A$1:$A$20000,0),MATCH("Volume",'Semrush Data'!$A$1:$Z$1,0)),"")</f>
        <v/>
      </c>
      <c r="H2343" s="6" t="str">
        <f aca="false">IFERROR(INDEX('Semrush Data'!$A$1:$Z$20000,MATCH(A2343,'Semrush Data'!$A$1:$A$20000,0),MATCH("Keyword Difficulty*",'Semrush Data'!$A$1:$Z$1,0)),"")</f>
        <v/>
      </c>
      <c r="I2343" s="29" t="str">
        <f aca="false">IFERROR(INDEX('Semrush Data'!$A$1:$Z$20000,MATCH(A2343,'Semrush Data'!$A$1:$A$20000,0),MATCH("CPC*",'Semrush Data'!$A$1:$Z$1,0)),"")</f>
        <v/>
      </c>
      <c r="J2343" s="6" t="str">
        <f aca="false">IFERROR(INDEX('Semrush Data'!$A$1:$Z$20000,MATCH(A2343,'Semrush Data'!$A$1:$A$20000,0),MATCH("Intent",'Semrush Data'!$A$1:$Z$1,0)),"")</f>
        <v/>
      </c>
    </row>
    <row r="2344" customFormat="false" ht="15" hidden="false" customHeight="true" outlineLevel="0" collapsed="false">
      <c r="A2344" s="6" t="s">
        <v>291</v>
      </c>
      <c r="B2344" s="6" t="s">
        <v>239</v>
      </c>
      <c r="C2344" s="6" t="n">
        <v>3</v>
      </c>
      <c r="D2344" s="6" t="s">
        <v>6870</v>
      </c>
      <c r="E2344" s="6" t="n">
        <v>2</v>
      </c>
      <c r="F2344" s="6" t="s">
        <v>6844</v>
      </c>
      <c r="G2344" s="28" t="n">
        <f aca="false">IFERROR(INDEX('Semrush Data'!$A$1:$Z$20000,MATCH(A2344,'Semrush Data'!$A$1:$A$20000,0),MATCH("Volume",'Semrush Data'!$A$1:$Z$1,0)),"")</f>
        <v>20</v>
      </c>
      <c r="H2344" s="6" t="n">
        <f aca="false">IFERROR(INDEX('Semrush Data'!$A$1:$Z$20000,MATCH(A2344,'Semrush Data'!$A$1:$A$20000,0),MATCH("Keyword Difficulty*",'Semrush Data'!$A$1:$Z$1,0)),"")</f>
        <v>13</v>
      </c>
      <c r="I2344" s="29" t="n">
        <f aca="false">IFERROR(INDEX('Semrush Data'!$A$1:$Z$20000,MATCH(A2344,'Semrush Data'!$A$1:$A$20000,0),MATCH("CPC*",'Semrush Data'!$A$1:$Z$1,0)),"")</f>
        <v>0.24</v>
      </c>
      <c r="J2344" s="6" t="str">
        <f aca="false">IFERROR(INDEX('Semrush Data'!$A$1:$Z$20000,MATCH(A2344,'Semrush Data'!$A$1:$A$20000,0),MATCH("Intent",'Semrush Data'!$A$1:$Z$1,0)),"")</f>
        <v>Informational</v>
      </c>
    </row>
    <row r="2345" customFormat="false" ht="15" hidden="false" customHeight="true" outlineLevel="0" collapsed="false">
      <c r="A2345" s="6" t="s">
        <v>7059</v>
      </c>
      <c r="B2345" s="6" t="s">
        <v>239</v>
      </c>
      <c r="C2345" s="6" t="n">
        <v>3</v>
      </c>
      <c r="D2345" s="6" t="n">
        <v>24</v>
      </c>
      <c r="E2345" s="6" t="n">
        <v>2</v>
      </c>
      <c r="F2345" s="6" t="s">
        <v>6844</v>
      </c>
      <c r="G2345" s="28" t="str">
        <f aca="false">IFERROR(INDEX('Semrush Data'!$A$1:$Z$20000,MATCH(A2345,'Semrush Data'!$A$1:$A$20000,0),MATCH("Volume",'Semrush Data'!$A$1:$Z$1,0)),"")</f>
        <v/>
      </c>
      <c r="H2345" s="6" t="str">
        <f aca="false">IFERROR(INDEX('Semrush Data'!$A$1:$Z$20000,MATCH(A2345,'Semrush Data'!$A$1:$A$20000,0),MATCH("Keyword Difficulty*",'Semrush Data'!$A$1:$Z$1,0)),"")</f>
        <v/>
      </c>
      <c r="I2345" s="29" t="str">
        <f aca="false">IFERROR(INDEX('Semrush Data'!$A$1:$Z$20000,MATCH(A2345,'Semrush Data'!$A$1:$A$20000,0),MATCH("CPC*",'Semrush Data'!$A$1:$Z$1,0)),"")</f>
        <v/>
      </c>
      <c r="J2345" s="6" t="str">
        <f aca="false">IFERROR(INDEX('Semrush Data'!$A$1:$Z$20000,MATCH(A2345,'Semrush Data'!$A$1:$A$20000,0),MATCH("Intent",'Semrush Data'!$A$1:$Z$1,0)),"")</f>
        <v/>
      </c>
    </row>
    <row r="2346" customFormat="false" ht="15" hidden="false" customHeight="true" outlineLevel="0" collapsed="false">
      <c r="A2346" s="6" t="s">
        <v>7060</v>
      </c>
      <c r="B2346" s="6" t="s">
        <v>239</v>
      </c>
      <c r="C2346" s="6" t="n">
        <v>3</v>
      </c>
      <c r="D2346" s="6" t="s">
        <v>6870</v>
      </c>
      <c r="E2346" s="6" t="n">
        <v>2</v>
      </c>
      <c r="F2346" s="6" t="s">
        <v>6844</v>
      </c>
      <c r="G2346" s="28" t="n">
        <f aca="false">IFERROR(INDEX('Semrush Data'!$A$1:$Z$20000,MATCH(A2346,'Semrush Data'!$A$1:$A$20000,0),MATCH("Volume",'Semrush Data'!$A$1:$Z$1,0)),"")</f>
        <v>10</v>
      </c>
      <c r="H2346" s="6" t="n">
        <f aca="false">IFERROR(INDEX('Semrush Data'!$A$1:$Z$20000,MATCH(A2346,'Semrush Data'!$A$1:$A$20000,0),MATCH("Keyword Difficulty*",'Semrush Data'!$A$1:$Z$1,0)),"")</f>
        <v>16</v>
      </c>
      <c r="I2346" s="29" t="n">
        <f aca="false">IFERROR(INDEX('Semrush Data'!$A$1:$Z$20000,MATCH(A2346,'Semrush Data'!$A$1:$A$20000,0),MATCH("CPC*",'Semrush Data'!$A$1:$Z$1,0)),"")</f>
        <v>0</v>
      </c>
      <c r="J2346" s="6" t="str">
        <f aca="false">IFERROR(INDEX('Semrush Data'!$A$1:$Z$20000,MATCH(A2346,'Semrush Data'!$A$1:$A$20000,0),MATCH("Intent",'Semrush Data'!$A$1:$Z$1,0)),"")</f>
        <v>Commercial</v>
      </c>
    </row>
    <row r="2347" customFormat="false" ht="15" hidden="false" customHeight="true" outlineLevel="0" collapsed="false">
      <c r="A2347" s="6" t="s">
        <v>244</v>
      </c>
      <c r="B2347" s="6" t="s">
        <v>239</v>
      </c>
      <c r="C2347" s="6" t="n">
        <v>3</v>
      </c>
      <c r="D2347" s="6" t="s">
        <v>6870</v>
      </c>
      <c r="E2347" s="6" t="n">
        <v>2</v>
      </c>
      <c r="F2347" s="6" t="s">
        <v>6845</v>
      </c>
      <c r="G2347" s="28" t="n">
        <f aca="false">IFERROR(INDEX('Semrush Data'!$A$1:$Z$20000,MATCH(A2347,'Semrush Data'!$A$1:$A$20000,0),MATCH("Volume",'Semrush Data'!$A$1:$Z$1,0)),"")</f>
        <v>2400</v>
      </c>
      <c r="H2347" s="6" t="n">
        <f aca="false">IFERROR(INDEX('Semrush Data'!$A$1:$Z$20000,MATCH(A2347,'Semrush Data'!$A$1:$A$20000,0),MATCH("Keyword Difficulty*",'Semrush Data'!$A$1:$Z$1,0)),"")</f>
        <v>17</v>
      </c>
      <c r="I2347" s="29" t="n">
        <f aca="false">IFERROR(INDEX('Semrush Data'!$A$1:$Z$20000,MATCH(A2347,'Semrush Data'!$A$1:$A$20000,0),MATCH("CPC*",'Semrush Data'!$A$1:$Z$1,0)),"")</f>
        <v>0.36</v>
      </c>
      <c r="J2347" s="6" t="str">
        <f aca="false">IFERROR(INDEX('Semrush Data'!$A$1:$Z$20000,MATCH(A2347,'Semrush Data'!$A$1:$A$20000,0),MATCH("Intent",'Semrush Data'!$A$1:$Z$1,0)),"")</f>
        <v>Informational</v>
      </c>
    </row>
    <row r="2348" customFormat="false" ht="15" hidden="false" customHeight="true" outlineLevel="0" collapsed="false">
      <c r="A2348" s="6" t="s">
        <v>242</v>
      </c>
      <c r="B2348" s="6" t="s">
        <v>239</v>
      </c>
      <c r="C2348" s="6" t="n">
        <v>3</v>
      </c>
      <c r="D2348" s="6" t="s">
        <v>6870</v>
      </c>
      <c r="E2348" s="6" t="n">
        <v>2</v>
      </c>
      <c r="F2348" s="6" t="s">
        <v>6845</v>
      </c>
      <c r="G2348" s="28" t="n">
        <f aca="false">IFERROR(INDEX('Semrush Data'!$A$1:$Z$20000,MATCH(A2348,'Semrush Data'!$A$1:$A$20000,0),MATCH("Volume",'Semrush Data'!$A$1:$Z$1,0)),"")</f>
        <v>2900</v>
      </c>
      <c r="H2348" s="6" t="n">
        <f aca="false">IFERROR(INDEX('Semrush Data'!$A$1:$Z$20000,MATCH(A2348,'Semrush Data'!$A$1:$A$20000,0),MATCH("Keyword Difficulty*",'Semrush Data'!$A$1:$Z$1,0)),"")</f>
        <v>16</v>
      </c>
      <c r="I2348" s="29" t="n">
        <f aca="false">IFERROR(INDEX('Semrush Data'!$A$1:$Z$20000,MATCH(A2348,'Semrush Data'!$A$1:$A$20000,0),MATCH("CPC*",'Semrush Data'!$A$1:$Z$1,0)),"")</f>
        <v>0.36</v>
      </c>
      <c r="J2348" s="6" t="str">
        <f aca="false">IFERROR(INDEX('Semrush Data'!$A$1:$Z$20000,MATCH(A2348,'Semrush Data'!$A$1:$A$20000,0),MATCH("Intent",'Semrush Data'!$A$1:$Z$1,0)),"")</f>
        <v>Informational</v>
      </c>
    </row>
    <row r="2349" customFormat="false" ht="15" hidden="false" customHeight="true" outlineLevel="0" collapsed="false">
      <c r="A2349" s="6" t="s">
        <v>7061</v>
      </c>
      <c r="B2349" s="6" t="s">
        <v>239</v>
      </c>
      <c r="C2349" s="6" t="n">
        <v>3</v>
      </c>
      <c r="D2349" s="6" t="n">
        <v>24</v>
      </c>
      <c r="E2349" s="6" t="n">
        <v>2</v>
      </c>
      <c r="F2349" s="6" t="s">
        <v>6845</v>
      </c>
      <c r="G2349" s="28" t="str">
        <f aca="false">IFERROR(INDEX('Semrush Data'!$A$1:$Z$20000,MATCH(A2349,'Semrush Data'!$A$1:$A$20000,0),MATCH("Volume",'Semrush Data'!$A$1:$Z$1,0)),"")</f>
        <v/>
      </c>
      <c r="H2349" s="6" t="str">
        <f aca="false">IFERROR(INDEX('Semrush Data'!$A$1:$Z$20000,MATCH(A2349,'Semrush Data'!$A$1:$A$20000,0),MATCH("Keyword Difficulty*",'Semrush Data'!$A$1:$Z$1,0)),"")</f>
        <v/>
      </c>
      <c r="I2349" s="29" t="str">
        <f aca="false">IFERROR(INDEX('Semrush Data'!$A$1:$Z$20000,MATCH(A2349,'Semrush Data'!$A$1:$A$20000,0),MATCH("CPC*",'Semrush Data'!$A$1:$Z$1,0)),"")</f>
        <v/>
      </c>
      <c r="J2349" s="6" t="str">
        <f aca="false">IFERROR(INDEX('Semrush Data'!$A$1:$Z$20000,MATCH(A2349,'Semrush Data'!$A$1:$A$20000,0),MATCH("Intent",'Semrush Data'!$A$1:$Z$1,0)),"")</f>
        <v/>
      </c>
    </row>
    <row r="2350" customFormat="false" ht="15" hidden="false" customHeight="true" outlineLevel="0" collapsed="false">
      <c r="A2350" s="6" t="s">
        <v>7062</v>
      </c>
      <c r="B2350" s="6" t="s">
        <v>239</v>
      </c>
      <c r="C2350" s="6" t="n">
        <v>3</v>
      </c>
      <c r="D2350" s="6" t="n">
        <v>24</v>
      </c>
      <c r="E2350" s="6" t="n">
        <v>1</v>
      </c>
      <c r="F2350" s="6" t="s">
        <v>3210</v>
      </c>
      <c r="G2350" s="28" t="str">
        <f aca="false">IFERROR(INDEX('Semrush Data'!$A$1:$Z$20000,MATCH(A2350,'Semrush Data'!$A$1:$A$20000,0),MATCH("Volume",'Semrush Data'!$A$1:$Z$1,0)),"")</f>
        <v/>
      </c>
      <c r="H2350" s="6" t="str">
        <f aca="false">IFERROR(INDEX('Semrush Data'!$A$1:$Z$20000,MATCH(A2350,'Semrush Data'!$A$1:$A$20000,0),MATCH("Keyword Difficulty*",'Semrush Data'!$A$1:$Z$1,0)),"")</f>
        <v/>
      </c>
      <c r="I2350" s="29" t="str">
        <f aca="false">IFERROR(INDEX('Semrush Data'!$A$1:$Z$20000,MATCH(A2350,'Semrush Data'!$A$1:$A$20000,0),MATCH("CPC*",'Semrush Data'!$A$1:$Z$1,0)),"")</f>
        <v/>
      </c>
      <c r="J2350" s="6" t="str">
        <f aca="false">IFERROR(INDEX('Semrush Data'!$A$1:$Z$20000,MATCH(A2350,'Semrush Data'!$A$1:$A$20000,0),MATCH("Intent",'Semrush Data'!$A$1:$Z$1,0)),"")</f>
        <v/>
      </c>
    </row>
    <row r="2351" customFormat="false" ht="15" hidden="false" customHeight="true" outlineLevel="0" collapsed="false">
      <c r="A2351" s="6" t="s">
        <v>7063</v>
      </c>
      <c r="B2351" s="6" t="s">
        <v>239</v>
      </c>
      <c r="C2351" s="6" t="n">
        <v>3</v>
      </c>
      <c r="D2351" s="6" t="n">
        <v>24</v>
      </c>
      <c r="E2351" s="6" t="n">
        <v>1</v>
      </c>
      <c r="F2351" s="6" t="s">
        <v>3210</v>
      </c>
      <c r="G2351" s="28" t="str">
        <f aca="false">IFERROR(INDEX('Semrush Data'!$A$1:$Z$20000,MATCH(A2351,'Semrush Data'!$A$1:$A$20000,0),MATCH("Volume",'Semrush Data'!$A$1:$Z$1,0)),"")</f>
        <v/>
      </c>
      <c r="H2351" s="6" t="str">
        <f aca="false">IFERROR(INDEX('Semrush Data'!$A$1:$Z$20000,MATCH(A2351,'Semrush Data'!$A$1:$A$20000,0),MATCH("Keyword Difficulty*",'Semrush Data'!$A$1:$Z$1,0)),"")</f>
        <v/>
      </c>
      <c r="I2351" s="29" t="str">
        <f aca="false">IFERROR(INDEX('Semrush Data'!$A$1:$Z$20000,MATCH(A2351,'Semrush Data'!$A$1:$A$20000,0),MATCH("CPC*",'Semrush Data'!$A$1:$Z$1,0)),"")</f>
        <v/>
      </c>
      <c r="J2351" s="6" t="str">
        <f aca="false">IFERROR(INDEX('Semrush Data'!$A$1:$Z$20000,MATCH(A2351,'Semrush Data'!$A$1:$A$20000,0),MATCH("Intent",'Semrush Data'!$A$1:$Z$1,0)),"")</f>
        <v/>
      </c>
    </row>
    <row r="2352" customFormat="false" ht="15" hidden="false" customHeight="true" outlineLevel="0" collapsed="false">
      <c r="A2352" s="6" t="s">
        <v>7064</v>
      </c>
      <c r="B2352" s="6" t="s">
        <v>239</v>
      </c>
      <c r="C2352" s="6" t="n">
        <v>3</v>
      </c>
      <c r="D2352" s="6" t="n">
        <v>24</v>
      </c>
      <c r="E2352" s="6" t="n">
        <v>1</v>
      </c>
      <c r="F2352" s="6" t="s">
        <v>3210</v>
      </c>
      <c r="G2352" s="28" t="str">
        <f aca="false">IFERROR(INDEX('Semrush Data'!$A$1:$Z$20000,MATCH(A2352,'Semrush Data'!$A$1:$A$20000,0),MATCH("Volume",'Semrush Data'!$A$1:$Z$1,0)),"")</f>
        <v/>
      </c>
      <c r="H2352" s="6" t="str">
        <f aca="false">IFERROR(INDEX('Semrush Data'!$A$1:$Z$20000,MATCH(A2352,'Semrush Data'!$A$1:$A$20000,0),MATCH("Keyword Difficulty*",'Semrush Data'!$A$1:$Z$1,0)),"")</f>
        <v/>
      </c>
      <c r="I2352" s="29" t="str">
        <f aca="false">IFERROR(INDEX('Semrush Data'!$A$1:$Z$20000,MATCH(A2352,'Semrush Data'!$A$1:$A$20000,0),MATCH("CPC*",'Semrush Data'!$A$1:$Z$1,0)),"")</f>
        <v/>
      </c>
      <c r="J2352" s="6" t="str">
        <f aca="false">IFERROR(INDEX('Semrush Data'!$A$1:$Z$20000,MATCH(A2352,'Semrush Data'!$A$1:$A$20000,0),MATCH("Intent",'Semrush Data'!$A$1:$Z$1,0)),"")</f>
        <v/>
      </c>
    </row>
    <row r="2353" customFormat="false" ht="15" hidden="false" customHeight="true" outlineLevel="0" collapsed="false">
      <c r="A2353" s="6" t="s">
        <v>7065</v>
      </c>
      <c r="B2353" s="6" t="s">
        <v>239</v>
      </c>
      <c r="C2353" s="6" t="n">
        <v>3</v>
      </c>
      <c r="D2353" s="6" t="n">
        <v>24</v>
      </c>
      <c r="E2353" s="6" t="n">
        <v>1</v>
      </c>
      <c r="F2353" s="6" t="s">
        <v>3210</v>
      </c>
      <c r="G2353" s="28" t="str">
        <f aca="false">IFERROR(INDEX('Semrush Data'!$A$1:$Z$20000,MATCH(A2353,'Semrush Data'!$A$1:$A$20000,0),MATCH("Volume",'Semrush Data'!$A$1:$Z$1,0)),"")</f>
        <v/>
      </c>
      <c r="H2353" s="6" t="str">
        <f aca="false">IFERROR(INDEX('Semrush Data'!$A$1:$Z$20000,MATCH(A2353,'Semrush Data'!$A$1:$A$20000,0),MATCH("Keyword Difficulty*",'Semrush Data'!$A$1:$Z$1,0)),"")</f>
        <v/>
      </c>
      <c r="I2353" s="29" t="str">
        <f aca="false">IFERROR(INDEX('Semrush Data'!$A$1:$Z$20000,MATCH(A2353,'Semrush Data'!$A$1:$A$20000,0),MATCH("CPC*",'Semrush Data'!$A$1:$Z$1,0)),"")</f>
        <v/>
      </c>
      <c r="J2353" s="6" t="str">
        <f aca="false">IFERROR(INDEX('Semrush Data'!$A$1:$Z$20000,MATCH(A2353,'Semrush Data'!$A$1:$A$20000,0),MATCH("Intent",'Semrush Data'!$A$1:$Z$1,0)),"")</f>
        <v/>
      </c>
    </row>
    <row r="2354" customFormat="false" ht="15" hidden="false" customHeight="true" outlineLevel="0" collapsed="false">
      <c r="A2354" s="6" t="s">
        <v>7066</v>
      </c>
      <c r="B2354" s="6" t="s">
        <v>239</v>
      </c>
      <c r="C2354" s="6" t="n">
        <v>3</v>
      </c>
      <c r="D2354" s="6" t="n">
        <v>24</v>
      </c>
      <c r="E2354" s="6" t="n">
        <v>1</v>
      </c>
      <c r="F2354" s="6" t="s">
        <v>3210</v>
      </c>
      <c r="G2354" s="28" t="str">
        <f aca="false">IFERROR(INDEX('Semrush Data'!$A$1:$Z$20000,MATCH(A2354,'Semrush Data'!$A$1:$A$20000,0),MATCH("Volume",'Semrush Data'!$A$1:$Z$1,0)),"")</f>
        <v/>
      </c>
      <c r="H2354" s="6" t="str">
        <f aca="false">IFERROR(INDEX('Semrush Data'!$A$1:$Z$20000,MATCH(A2354,'Semrush Data'!$A$1:$A$20000,0),MATCH("Keyword Difficulty*",'Semrush Data'!$A$1:$Z$1,0)),"")</f>
        <v/>
      </c>
      <c r="I2354" s="29" t="str">
        <f aca="false">IFERROR(INDEX('Semrush Data'!$A$1:$Z$20000,MATCH(A2354,'Semrush Data'!$A$1:$A$20000,0),MATCH("CPC*",'Semrush Data'!$A$1:$Z$1,0)),"")</f>
        <v/>
      </c>
      <c r="J2354" s="6" t="str">
        <f aca="false">IFERROR(INDEX('Semrush Data'!$A$1:$Z$20000,MATCH(A2354,'Semrush Data'!$A$1:$A$20000,0),MATCH("Intent",'Semrush Data'!$A$1:$Z$1,0)),"")</f>
        <v/>
      </c>
    </row>
    <row r="2355" customFormat="false" ht="15" hidden="false" customHeight="true" outlineLevel="0" collapsed="false">
      <c r="A2355" s="6" t="s">
        <v>3264</v>
      </c>
      <c r="B2355" s="6" t="s">
        <v>239</v>
      </c>
      <c r="C2355" s="6" t="n">
        <v>3</v>
      </c>
      <c r="D2355" s="6" t="n">
        <v>24</v>
      </c>
      <c r="E2355" s="6" t="n">
        <v>1</v>
      </c>
      <c r="F2355" s="6" t="s">
        <v>3256</v>
      </c>
      <c r="G2355" s="28" t="str">
        <f aca="false">IFERROR(INDEX('Semrush Data'!$A$1:$Z$20000,MATCH(A2355,'Semrush Data'!$A$1:$A$20000,0),MATCH("Volume",'Semrush Data'!$A$1:$Z$1,0)),"")</f>
        <v/>
      </c>
      <c r="H2355" s="6" t="str">
        <f aca="false">IFERROR(INDEX('Semrush Data'!$A$1:$Z$20000,MATCH(A2355,'Semrush Data'!$A$1:$A$20000,0),MATCH("Keyword Difficulty*",'Semrush Data'!$A$1:$Z$1,0)),"")</f>
        <v/>
      </c>
      <c r="I2355" s="29" t="str">
        <f aca="false">IFERROR(INDEX('Semrush Data'!$A$1:$Z$20000,MATCH(A2355,'Semrush Data'!$A$1:$A$20000,0),MATCH("CPC*",'Semrush Data'!$A$1:$Z$1,0)),"")</f>
        <v/>
      </c>
      <c r="J2355" s="6" t="str">
        <f aca="false">IFERROR(INDEX('Semrush Data'!$A$1:$Z$20000,MATCH(A2355,'Semrush Data'!$A$1:$A$20000,0),MATCH("Intent",'Semrush Data'!$A$1:$Z$1,0)),"")</f>
        <v/>
      </c>
    </row>
    <row r="2356" customFormat="false" ht="15" hidden="false" customHeight="true" outlineLevel="0" collapsed="false">
      <c r="A2356" s="6" t="s">
        <v>7067</v>
      </c>
      <c r="B2356" s="6" t="s">
        <v>239</v>
      </c>
      <c r="C2356" s="6" t="n">
        <v>3</v>
      </c>
      <c r="D2356" s="6" t="n">
        <v>24</v>
      </c>
      <c r="E2356" s="6" t="n">
        <v>1</v>
      </c>
      <c r="F2356" s="6" t="s">
        <v>131</v>
      </c>
      <c r="G2356" s="28" t="str">
        <f aca="false">IFERROR(INDEX('Semrush Data'!$A$1:$Z$20000,MATCH(A2356,'Semrush Data'!$A$1:$A$20000,0),MATCH("Volume",'Semrush Data'!$A$1:$Z$1,0)),"")</f>
        <v/>
      </c>
      <c r="H2356" s="6" t="str">
        <f aca="false">IFERROR(INDEX('Semrush Data'!$A$1:$Z$20000,MATCH(A2356,'Semrush Data'!$A$1:$A$20000,0),MATCH("Keyword Difficulty*",'Semrush Data'!$A$1:$Z$1,0)),"")</f>
        <v/>
      </c>
      <c r="I2356" s="29" t="str">
        <f aca="false">IFERROR(INDEX('Semrush Data'!$A$1:$Z$20000,MATCH(A2356,'Semrush Data'!$A$1:$A$20000,0),MATCH("CPC*",'Semrush Data'!$A$1:$Z$1,0)),"")</f>
        <v/>
      </c>
      <c r="J2356" s="6" t="str">
        <f aca="false">IFERROR(INDEX('Semrush Data'!$A$1:$Z$20000,MATCH(A2356,'Semrush Data'!$A$1:$A$20000,0),MATCH("Intent",'Semrush Data'!$A$1:$Z$1,0)),"")</f>
        <v/>
      </c>
    </row>
    <row r="2357" customFormat="false" ht="15" hidden="false" customHeight="true" outlineLevel="0" collapsed="false">
      <c r="A2357" s="6" t="s">
        <v>292</v>
      </c>
      <c r="B2357" s="6" t="s">
        <v>239</v>
      </c>
      <c r="C2357" s="6" t="n">
        <v>3</v>
      </c>
      <c r="D2357" s="6" t="s">
        <v>6893</v>
      </c>
      <c r="E2357" s="6" t="n">
        <v>1</v>
      </c>
      <c r="F2357" s="6" t="s">
        <v>131</v>
      </c>
      <c r="G2357" s="28" t="n">
        <f aca="false">IFERROR(INDEX('Semrush Data'!$A$1:$Z$20000,MATCH(A2357,'Semrush Data'!$A$1:$A$20000,0),MATCH("Volume",'Semrush Data'!$A$1:$Z$1,0)),"")</f>
        <v>20</v>
      </c>
      <c r="H2357" s="6" t="n">
        <f aca="false">IFERROR(INDEX('Semrush Data'!$A$1:$Z$20000,MATCH(A2357,'Semrush Data'!$A$1:$A$20000,0),MATCH("Keyword Difficulty*",'Semrush Data'!$A$1:$Z$1,0)),"")</f>
        <v>12</v>
      </c>
      <c r="I2357" s="29" t="n">
        <f aca="false">IFERROR(INDEX('Semrush Data'!$A$1:$Z$20000,MATCH(A2357,'Semrush Data'!$A$1:$A$20000,0),MATCH("CPC*",'Semrush Data'!$A$1:$Z$1,0)),"")</f>
        <v>0</v>
      </c>
      <c r="J2357" s="6" t="str">
        <f aca="false">IFERROR(INDEX('Semrush Data'!$A$1:$Z$20000,MATCH(A2357,'Semrush Data'!$A$1:$A$20000,0),MATCH("Intent",'Semrush Data'!$A$1:$Z$1,0)),"")</f>
        <v>Informational</v>
      </c>
    </row>
    <row r="2358" customFormat="false" ht="15" hidden="false" customHeight="true" outlineLevel="0" collapsed="false">
      <c r="A2358" s="6" t="s">
        <v>7068</v>
      </c>
      <c r="B2358" s="6" t="s">
        <v>239</v>
      </c>
      <c r="C2358" s="6" t="n">
        <v>3</v>
      </c>
      <c r="D2358" s="6" t="s">
        <v>6893</v>
      </c>
      <c r="E2358" s="6" t="n">
        <v>1</v>
      </c>
      <c r="F2358" s="6" t="s">
        <v>131</v>
      </c>
      <c r="G2358" s="28" t="n">
        <f aca="false">IFERROR(INDEX('Semrush Data'!$A$1:$Z$20000,MATCH(A2358,'Semrush Data'!$A$1:$A$20000,0),MATCH("Volume",'Semrush Data'!$A$1:$Z$1,0)),"")</f>
        <v>20</v>
      </c>
      <c r="H2358" s="6" t="n">
        <f aca="false">IFERROR(INDEX('Semrush Data'!$A$1:$Z$20000,MATCH(A2358,'Semrush Data'!$A$1:$A$20000,0),MATCH("Keyword Difficulty*",'Semrush Data'!$A$1:$Z$1,0)),"")</f>
        <v>10</v>
      </c>
      <c r="I2358" s="29" t="n">
        <f aca="false">IFERROR(INDEX('Semrush Data'!$A$1:$Z$20000,MATCH(A2358,'Semrush Data'!$A$1:$A$20000,0),MATCH("CPC*",'Semrush Data'!$A$1:$Z$1,0)),"")</f>
        <v>0</v>
      </c>
      <c r="J2358" s="6" t="str">
        <f aca="false">IFERROR(INDEX('Semrush Data'!$A$1:$Z$20000,MATCH(A2358,'Semrush Data'!$A$1:$A$20000,0),MATCH("Intent",'Semrush Data'!$A$1:$Z$1,0)),"")</f>
        <v>Commercial</v>
      </c>
    </row>
    <row r="2359" customFormat="false" ht="15" hidden="false" customHeight="true" outlineLevel="0" collapsed="false">
      <c r="A2359" s="6" t="s">
        <v>7069</v>
      </c>
      <c r="B2359" s="6" t="s">
        <v>239</v>
      </c>
      <c r="C2359" s="6" t="n">
        <v>3</v>
      </c>
      <c r="D2359" s="6" t="n">
        <v>24</v>
      </c>
      <c r="E2359" s="6" t="n">
        <v>1</v>
      </c>
      <c r="F2359" s="6" t="s">
        <v>3268</v>
      </c>
      <c r="G2359" s="28" t="str">
        <f aca="false">IFERROR(INDEX('Semrush Data'!$A$1:$Z$20000,MATCH(A2359,'Semrush Data'!$A$1:$A$20000,0),MATCH("Volume",'Semrush Data'!$A$1:$Z$1,0)),"")</f>
        <v/>
      </c>
      <c r="H2359" s="6" t="str">
        <f aca="false">IFERROR(INDEX('Semrush Data'!$A$1:$Z$20000,MATCH(A2359,'Semrush Data'!$A$1:$A$20000,0),MATCH("Keyword Difficulty*",'Semrush Data'!$A$1:$Z$1,0)),"")</f>
        <v/>
      </c>
      <c r="I2359" s="29" t="str">
        <f aca="false">IFERROR(INDEX('Semrush Data'!$A$1:$Z$20000,MATCH(A2359,'Semrush Data'!$A$1:$A$20000,0),MATCH("CPC*",'Semrush Data'!$A$1:$Z$1,0)),"")</f>
        <v/>
      </c>
      <c r="J2359" s="6" t="str">
        <f aca="false">IFERROR(INDEX('Semrush Data'!$A$1:$Z$20000,MATCH(A2359,'Semrush Data'!$A$1:$A$20000,0),MATCH("Intent",'Semrush Data'!$A$1:$Z$1,0)),"")</f>
        <v/>
      </c>
    </row>
    <row r="2360" customFormat="false" ht="15" hidden="false" customHeight="true" outlineLevel="0" collapsed="false">
      <c r="A2360" s="6" t="s">
        <v>7070</v>
      </c>
      <c r="B2360" s="6" t="s">
        <v>239</v>
      </c>
      <c r="C2360" s="6" t="n">
        <v>3</v>
      </c>
      <c r="D2360" s="6" t="n">
        <v>24</v>
      </c>
      <c r="E2360" s="6" t="n">
        <v>1</v>
      </c>
      <c r="F2360" s="6" t="s">
        <v>3268</v>
      </c>
      <c r="G2360" s="28" t="str">
        <f aca="false">IFERROR(INDEX('Semrush Data'!$A$1:$Z$20000,MATCH(A2360,'Semrush Data'!$A$1:$A$20000,0),MATCH("Volume",'Semrush Data'!$A$1:$Z$1,0)),"")</f>
        <v/>
      </c>
      <c r="H2360" s="6" t="str">
        <f aca="false">IFERROR(INDEX('Semrush Data'!$A$1:$Z$20000,MATCH(A2360,'Semrush Data'!$A$1:$A$20000,0),MATCH("Keyword Difficulty*",'Semrush Data'!$A$1:$Z$1,0)),"")</f>
        <v/>
      </c>
      <c r="I2360" s="29" t="str">
        <f aca="false">IFERROR(INDEX('Semrush Data'!$A$1:$Z$20000,MATCH(A2360,'Semrush Data'!$A$1:$A$20000,0),MATCH("CPC*",'Semrush Data'!$A$1:$Z$1,0)),"")</f>
        <v/>
      </c>
      <c r="J2360" s="6" t="str">
        <f aca="false">IFERROR(INDEX('Semrush Data'!$A$1:$Z$20000,MATCH(A2360,'Semrush Data'!$A$1:$A$20000,0),MATCH("Intent",'Semrush Data'!$A$1:$Z$1,0)),"")</f>
        <v/>
      </c>
    </row>
    <row r="2361" customFormat="false" ht="15" hidden="false" customHeight="true" outlineLevel="0" collapsed="false">
      <c r="A2361" s="6" t="s">
        <v>7071</v>
      </c>
      <c r="B2361" s="6" t="s">
        <v>239</v>
      </c>
      <c r="C2361" s="6" t="n">
        <v>3</v>
      </c>
      <c r="D2361" s="6" t="n">
        <v>24</v>
      </c>
      <c r="E2361" s="6" t="n">
        <v>1</v>
      </c>
      <c r="F2361" s="6" t="s">
        <v>3268</v>
      </c>
      <c r="G2361" s="28" t="str">
        <f aca="false">IFERROR(INDEX('Semrush Data'!$A$1:$Z$20000,MATCH(A2361,'Semrush Data'!$A$1:$A$20000,0),MATCH("Volume",'Semrush Data'!$A$1:$Z$1,0)),"")</f>
        <v/>
      </c>
      <c r="H2361" s="6" t="str">
        <f aca="false">IFERROR(INDEX('Semrush Data'!$A$1:$Z$20000,MATCH(A2361,'Semrush Data'!$A$1:$A$20000,0),MATCH("Keyword Difficulty*",'Semrush Data'!$A$1:$Z$1,0)),"")</f>
        <v/>
      </c>
      <c r="I2361" s="29" t="str">
        <f aca="false">IFERROR(INDEX('Semrush Data'!$A$1:$Z$20000,MATCH(A2361,'Semrush Data'!$A$1:$A$20000,0),MATCH("CPC*",'Semrush Data'!$A$1:$Z$1,0)),"")</f>
        <v/>
      </c>
      <c r="J2361" s="6" t="str">
        <f aca="false">IFERROR(INDEX('Semrush Data'!$A$1:$Z$20000,MATCH(A2361,'Semrush Data'!$A$1:$A$20000,0),MATCH("Intent",'Semrush Data'!$A$1:$Z$1,0)),"")</f>
        <v/>
      </c>
    </row>
    <row r="2362" customFormat="false" ht="15" hidden="false" customHeight="true" outlineLevel="0" collapsed="false">
      <c r="A2362" s="6" t="s">
        <v>7072</v>
      </c>
      <c r="B2362" s="6" t="s">
        <v>239</v>
      </c>
      <c r="C2362" s="6" t="n">
        <v>3</v>
      </c>
      <c r="D2362" s="6" t="n">
        <v>24</v>
      </c>
      <c r="E2362" s="6" t="n">
        <v>1</v>
      </c>
      <c r="F2362" s="6" t="s">
        <v>3268</v>
      </c>
      <c r="G2362" s="28" t="str">
        <f aca="false">IFERROR(INDEX('Semrush Data'!$A$1:$Z$20000,MATCH(A2362,'Semrush Data'!$A$1:$A$20000,0),MATCH("Volume",'Semrush Data'!$A$1:$Z$1,0)),"")</f>
        <v/>
      </c>
      <c r="H2362" s="6" t="str">
        <f aca="false">IFERROR(INDEX('Semrush Data'!$A$1:$Z$20000,MATCH(A2362,'Semrush Data'!$A$1:$A$20000,0),MATCH("Keyword Difficulty*",'Semrush Data'!$A$1:$Z$1,0)),"")</f>
        <v/>
      </c>
      <c r="I2362" s="29" t="str">
        <f aca="false">IFERROR(INDEX('Semrush Data'!$A$1:$Z$20000,MATCH(A2362,'Semrush Data'!$A$1:$A$20000,0),MATCH("CPC*",'Semrush Data'!$A$1:$Z$1,0)),"")</f>
        <v/>
      </c>
      <c r="J2362" s="6" t="str">
        <f aca="false">IFERROR(INDEX('Semrush Data'!$A$1:$Z$20000,MATCH(A2362,'Semrush Data'!$A$1:$A$20000,0),MATCH("Intent",'Semrush Data'!$A$1:$Z$1,0)),"")</f>
        <v/>
      </c>
    </row>
    <row r="2363" customFormat="false" ht="15" hidden="false" customHeight="true" outlineLevel="0" collapsed="false">
      <c r="A2363" s="6" t="s">
        <v>7073</v>
      </c>
      <c r="B2363" s="6" t="s">
        <v>239</v>
      </c>
      <c r="C2363" s="6" t="n">
        <v>3</v>
      </c>
      <c r="D2363" s="6" t="n">
        <v>24</v>
      </c>
      <c r="E2363" s="6" t="n">
        <v>1</v>
      </c>
      <c r="F2363" s="6" t="s">
        <v>3268</v>
      </c>
      <c r="G2363" s="28" t="str">
        <f aca="false">IFERROR(INDEX('Semrush Data'!$A$1:$Z$20000,MATCH(A2363,'Semrush Data'!$A$1:$A$20000,0),MATCH("Volume",'Semrush Data'!$A$1:$Z$1,0)),"")</f>
        <v/>
      </c>
      <c r="H2363" s="6" t="str">
        <f aca="false">IFERROR(INDEX('Semrush Data'!$A$1:$Z$20000,MATCH(A2363,'Semrush Data'!$A$1:$A$20000,0),MATCH("Keyword Difficulty*",'Semrush Data'!$A$1:$Z$1,0)),"")</f>
        <v/>
      </c>
      <c r="I2363" s="29" t="str">
        <f aca="false">IFERROR(INDEX('Semrush Data'!$A$1:$Z$20000,MATCH(A2363,'Semrush Data'!$A$1:$A$20000,0),MATCH("CPC*",'Semrush Data'!$A$1:$Z$1,0)),"")</f>
        <v/>
      </c>
      <c r="J2363" s="6" t="str">
        <f aca="false">IFERROR(INDEX('Semrush Data'!$A$1:$Z$20000,MATCH(A2363,'Semrush Data'!$A$1:$A$20000,0),MATCH("Intent",'Semrush Data'!$A$1:$Z$1,0)),"")</f>
        <v/>
      </c>
    </row>
    <row r="2364" customFormat="false" ht="15" hidden="false" customHeight="true" outlineLevel="0" collapsed="false">
      <c r="A2364" s="6" t="s">
        <v>7074</v>
      </c>
      <c r="B2364" s="6" t="s">
        <v>239</v>
      </c>
      <c r="C2364" s="6" t="n">
        <v>3</v>
      </c>
      <c r="D2364" s="6" t="n">
        <v>24</v>
      </c>
      <c r="E2364" s="6" t="n">
        <v>2</v>
      </c>
      <c r="F2364" s="6" t="s">
        <v>6847</v>
      </c>
      <c r="G2364" s="28" t="str">
        <f aca="false">IFERROR(INDEX('Semrush Data'!$A$1:$Z$20000,MATCH(A2364,'Semrush Data'!$A$1:$A$20000,0),MATCH("Volume",'Semrush Data'!$A$1:$Z$1,0)),"")</f>
        <v/>
      </c>
      <c r="H2364" s="6" t="str">
        <f aca="false">IFERROR(INDEX('Semrush Data'!$A$1:$Z$20000,MATCH(A2364,'Semrush Data'!$A$1:$A$20000,0),MATCH("Keyword Difficulty*",'Semrush Data'!$A$1:$Z$1,0)),"")</f>
        <v/>
      </c>
      <c r="I2364" s="29" t="str">
        <f aca="false">IFERROR(INDEX('Semrush Data'!$A$1:$Z$20000,MATCH(A2364,'Semrush Data'!$A$1:$A$20000,0),MATCH("CPC*",'Semrush Data'!$A$1:$Z$1,0)),"")</f>
        <v/>
      </c>
      <c r="J2364" s="6" t="str">
        <f aca="false">IFERROR(INDEX('Semrush Data'!$A$1:$Z$20000,MATCH(A2364,'Semrush Data'!$A$1:$A$20000,0),MATCH("Intent",'Semrush Data'!$A$1:$Z$1,0)),"")</f>
        <v/>
      </c>
    </row>
    <row r="2365" customFormat="false" ht="15" hidden="false" customHeight="true" outlineLevel="0" collapsed="false">
      <c r="A2365" s="6" t="s">
        <v>7075</v>
      </c>
      <c r="B2365" s="6" t="s">
        <v>239</v>
      </c>
      <c r="C2365" s="6" t="n">
        <v>3</v>
      </c>
      <c r="D2365" s="6" t="n">
        <v>24</v>
      </c>
      <c r="E2365" s="6" t="n">
        <v>2</v>
      </c>
      <c r="F2365" s="6" t="s">
        <v>6847</v>
      </c>
      <c r="G2365" s="28" t="str">
        <f aca="false">IFERROR(INDEX('Semrush Data'!$A$1:$Z$20000,MATCH(A2365,'Semrush Data'!$A$1:$A$20000,0),MATCH("Volume",'Semrush Data'!$A$1:$Z$1,0)),"")</f>
        <v/>
      </c>
      <c r="H2365" s="6" t="str">
        <f aca="false">IFERROR(INDEX('Semrush Data'!$A$1:$Z$20000,MATCH(A2365,'Semrush Data'!$A$1:$A$20000,0),MATCH("Keyword Difficulty*",'Semrush Data'!$A$1:$Z$1,0)),"")</f>
        <v/>
      </c>
      <c r="I2365" s="29" t="str">
        <f aca="false">IFERROR(INDEX('Semrush Data'!$A$1:$Z$20000,MATCH(A2365,'Semrush Data'!$A$1:$A$20000,0),MATCH("CPC*",'Semrush Data'!$A$1:$Z$1,0)),"")</f>
        <v/>
      </c>
      <c r="J2365" s="6" t="str">
        <f aca="false">IFERROR(INDEX('Semrush Data'!$A$1:$Z$20000,MATCH(A2365,'Semrush Data'!$A$1:$A$20000,0),MATCH("Intent",'Semrush Data'!$A$1:$Z$1,0)),"")</f>
        <v/>
      </c>
    </row>
    <row r="2366" customFormat="false" ht="15" hidden="false" customHeight="true" outlineLevel="0" collapsed="false">
      <c r="A2366" s="6" t="s">
        <v>7076</v>
      </c>
      <c r="B2366" s="6" t="s">
        <v>239</v>
      </c>
      <c r="C2366" s="6" t="n">
        <v>3</v>
      </c>
      <c r="D2366" s="6" t="n">
        <v>24</v>
      </c>
      <c r="E2366" s="6" t="n">
        <v>2</v>
      </c>
      <c r="F2366" s="6" t="s">
        <v>6847</v>
      </c>
      <c r="G2366" s="28" t="str">
        <f aca="false">IFERROR(INDEX('Semrush Data'!$A$1:$Z$20000,MATCH(A2366,'Semrush Data'!$A$1:$A$20000,0),MATCH("Volume",'Semrush Data'!$A$1:$Z$1,0)),"")</f>
        <v/>
      </c>
      <c r="H2366" s="6" t="str">
        <f aca="false">IFERROR(INDEX('Semrush Data'!$A$1:$Z$20000,MATCH(A2366,'Semrush Data'!$A$1:$A$20000,0),MATCH("Keyword Difficulty*",'Semrush Data'!$A$1:$Z$1,0)),"")</f>
        <v/>
      </c>
      <c r="I2366" s="29" t="str">
        <f aca="false">IFERROR(INDEX('Semrush Data'!$A$1:$Z$20000,MATCH(A2366,'Semrush Data'!$A$1:$A$20000,0),MATCH("CPC*",'Semrush Data'!$A$1:$Z$1,0)),"")</f>
        <v/>
      </c>
      <c r="J2366" s="6" t="str">
        <f aca="false">IFERROR(INDEX('Semrush Data'!$A$1:$Z$20000,MATCH(A2366,'Semrush Data'!$A$1:$A$20000,0),MATCH("Intent",'Semrush Data'!$A$1:$Z$1,0)),"")</f>
        <v/>
      </c>
    </row>
    <row r="2367" customFormat="false" ht="15" hidden="false" customHeight="true" outlineLevel="0" collapsed="false">
      <c r="A2367" s="6" t="s">
        <v>7077</v>
      </c>
      <c r="B2367" s="6" t="s">
        <v>239</v>
      </c>
      <c r="C2367" s="6" t="n">
        <v>3</v>
      </c>
      <c r="D2367" s="6" t="s">
        <v>6893</v>
      </c>
      <c r="E2367" s="6" t="n">
        <v>2</v>
      </c>
      <c r="F2367" s="6" t="s">
        <v>6847</v>
      </c>
      <c r="G2367" s="28" t="n">
        <f aca="false">IFERROR(INDEX('Semrush Data'!$A$1:$Z$20000,MATCH(A2367,'Semrush Data'!$A$1:$A$20000,0),MATCH("Volume",'Semrush Data'!$A$1:$Z$1,0)),"")</f>
        <v>0</v>
      </c>
      <c r="H2367" s="6" t="n">
        <f aca="false">IFERROR(INDEX('Semrush Data'!$A$1:$Z$20000,MATCH(A2367,'Semrush Data'!$A$1:$A$20000,0),MATCH("Keyword Difficulty*",'Semrush Data'!$A$1:$Z$1,0)),"")</f>
        <v>9</v>
      </c>
      <c r="I2367" s="29" t="n">
        <f aca="false">IFERROR(INDEX('Semrush Data'!$A$1:$Z$20000,MATCH(A2367,'Semrush Data'!$A$1:$A$20000,0),MATCH("CPC*",'Semrush Data'!$A$1:$Z$1,0)),"")</f>
        <v>0</v>
      </c>
      <c r="J2367" s="6" t="str">
        <f aca="false">IFERROR(INDEX('Semrush Data'!$A$1:$Z$20000,MATCH(A2367,'Semrush Data'!$A$1:$A$20000,0),MATCH("Intent",'Semrush Data'!$A$1:$Z$1,0)),"")</f>
        <v>Informational</v>
      </c>
    </row>
    <row r="2368" customFormat="false" ht="15" hidden="false" customHeight="true" outlineLevel="0" collapsed="false">
      <c r="A2368" s="6" t="s">
        <v>7078</v>
      </c>
      <c r="B2368" s="6" t="s">
        <v>239</v>
      </c>
      <c r="C2368" s="6" t="n">
        <v>3</v>
      </c>
      <c r="D2368" s="6" t="s">
        <v>6893</v>
      </c>
      <c r="E2368" s="6" t="n">
        <v>2</v>
      </c>
      <c r="F2368" s="6" t="s">
        <v>6847</v>
      </c>
      <c r="G2368" s="28" t="n">
        <f aca="false">IFERROR(INDEX('Semrush Data'!$A$1:$Z$20000,MATCH(A2368,'Semrush Data'!$A$1:$A$20000,0),MATCH("Volume",'Semrush Data'!$A$1:$Z$1,0)),"")</f>
        <v>0</v>
      </c>
      <c r="H2368" s="6" t="n">
        <f aca="false">IFERROR(INDEX('Semrush Data'!$A$1:$Z$20000,MATCH(A2368,'Semrush Data'!$A$1:$A$20000,0),MATCH("Keyword Difficulty*",'Semrush Data'!$A$1:$Z$1,0)),"")</f>
        <v>9</v>
      </c>
      <c r="I2368" s="29" t="n">
        <f aca="false">IFERROR(INDEX('Semrush Data'!$A$1:$Z$20000,MATCH(A2368,'Semrush Data'!$A$1:$A$20000,0),MATCH("CPC*",'Semrush Data'!$A$1:$Z$1,0)),"")</f>
        <v>0</v>
      </c>
      <c r="J2368" s="6" t="str">
        <f aca="false">IFERROR(INDEX('Semrush Data'!$A$1:$Z$20000,MATCH(A2368,'Semrush Data'!$A$1:$A$20000,0),MATCH("Intent",'Semrush Data'!$A$1:$Z$1,0)),"")</f>
        <v>Commercial</v>
      </c>
    </row>
    <row r="2369" customFormat="false" ht="15" hidden="false" customHeight="true" outlineLevel="0" collapsed="false">
      <c r="A2369" s="6" t="s">
        <v>7079</v>
      </c>
      <c r="B2369" s="6" t="s">
        <v>239</v>
      </c>
      <c r="C2369" s="6" t="n">
        <v>3</v>
      </c>
      <c r="D2369" s="6" t="n">
        <v>24</v>
      </c>
      <c r="E2369" s="6" t="n">
        <v>2</v>
      </c>
      <c r="F2369" s="6" t="s">
        <v>6848</v>
      </c>
      <c r="G2369" s="28" t="str">
        <f aca="false">IFERROR(INDEX('Semrush Data'!$A$1:$Z$20000,MATCH(A2369,'Semrush Data'!$A$1:$A$20000,0),MATCH("Volume",'Semrush Data'!$A$1:$Z$1,0)),"")</f>
        <v/>
      </c>
      <c r="H2369" s="6" t="str">
        <f aca="false">IFERROR(INDEX('Semrush Data'!$A$1:$Z$20000,MATCH(A2369,'Semrush Data'!$A$1:$A$20000,0),MATCH("Keyword Difficulty*",'Semrush Data'!$A$1:$Z$1,0)),"")</f>
        <v/>
      </c>
      <c r="I2369" s="29" t="str">
        <f aca="false">IFERROR(INDEX('Semrush Data'!$A$1:$Z$20000,MATCH(A2369,'Semrush Data'!$A$1:$A$20000,0),MATCH("CPC*",'Semrush Data'!$A$1:$Z$1,0)),"")</f>
        <v/>
      </c>
      <c r="J2369" s="6" t="str">
        <f aca="false">IFERROR(INDEX('Semrush Data'!$A$1:$Z$20000,MATCH(A2369,'Semrush Data'!$A$1:$A$20000,0),MATCH("Intent",'Semrush Data'!$A$1:$Z$1,0)),"")</f>
        <v/>
      </c>
    </row>
    <row r="2370" customFormat="false" ht="15" hidden="false" customHeight="true" outlineLevel="0" collapsed="false">
      <c r="A2370" s="6" t="s">
        <v>7080</v>
      </c>
      <c r="B2370" s="6" t="s">
        <v>239</v>
      </c>
      <c r="C2370" s="6" t="n">
        <v>3</v>
      </c>
      <c r="D2370" s="6" t="n">
        <v>24</v>
      </c>
      <c r="E2370" s="6" t="n">
        <v>2</v>
      </c>
      <c r="F2370" s="6" t="s">
        <v>6848</v>
      </c>
      <c r="G2370" s="28" t="str">
        <f aca="false">IFERROR(INDEX('Semrush Data'!$A$1:$Z$20000,MATCH(A2370,'Semrush Data'!$A$1:$A$20000,0),MATCH("Volume",'Semrush Data'!$A$1:$Z$1,0)),"")</f>
        <v/>
      </c>
      <c r="H2370" s="6" t="str">
        <f aca="false">IFERROR(INDEX('Semrush Data'!$A$1:$Z$20000,MATCH(A2370,'Semrush Data'!$A$1:$A$20000,0),MATCH("Keyword Difficulty*",'Semrush Data'!$A$1:$Z$1,0)),"")</f>
        <v/>
      </c>
      <c r="I2370" s="29" t="str">
        <f aca="false">IFERROR(INDEX('Semrush Data'!$A$1:$Z$20000,MATCH(A2370,'Semrush Data'!$A$1:$A$20000,0),MATCH("CPC*",'Semrush Data'!$A$1:$Z$1,0)),"")</f>
        <v/>
      </c>
      <c r="J2370" s="6" t="str">
        <f aca="false">IFERROR(INDEX('Semrush Data'!$A$1:$Z$20000,MATCH(A2370,'Semrush Data'!$A$1:$A$20000,0),MATCH("Intent",'Semrush Data'!$A$1:$Z$1,0)),"")</f>
        <v/>
      </c>
    </row>
    <row r="2371" customFormat="false" ht="15" hidden="false" customHeight="true" outlineLevel="0" collapsed="false">
      <c r="A2371" s="6" t="s">
        <v>7081</v>
      </c>
      <c r="B2371" s="6" t="s">
        <v>239</v>
      </c>
      <c r="C2371" s="6" t="n">
        <v>3</v>
      </c>
      <c r="D2371" s="6" t="n">
        <v>24</v>
      </c>
      <c r="E2371" s="6" t="n">
        <v>2</v>
      </c>
      <c r="F2371" s="6" t="s">
        <v>6848</v>
      </c>
      <c r="G2371" s="28" t="str">
        <f aca="false">IFERROR(INDEX('Semrush Data'!$A$1:$Z$20000,MATCH(A2371,'Semrush Data'!$A$1:$A$20000,0),MATCH("Volume",'Semrush Data'!$A$1:$Z$1,0)),"")</f>
        <v/>
      </c>
      <c r="H2371" s="6" t="str">
        <f aca="false">IFERROR(INDEX('Semrush Data'!$A$1:$Z$20000,MATCH(A2371,'Semrush Data'!$A$1:$A$20000,0),MATCH("Keyword Difficulty*",'Semrush Data'!$A$1:$Z$1,0)),"")</f>
        <v/>
      </c>
      <c r="I2371" s="29" t="str">
        <f aca="false">IFERROR(INDEX('Semrush Data'!$A$1:$Z$20000,MATCH(A2371,'Semrush Data'!$A$1:$A$20000,0),MATCH("CPC*",'Semrush Data'!$A$1:$Z$1,0)),"")</f>
        <v/>
      </c>
      <c r="J2371" s="6" t="str">
        <f aca="false">IFERROR(INDEX('Semrush Data'!$A$1:$Z$20000,MATCH(A2371,'Semrush Data'!$A$1:$A$20000,0),MATCH("Intent",'Semrush Data'!$A$1:$Z$1,0)),"")</f>
        <v/>
      </c>
    </row>
    <row r="2372" customFormat="false" ht="15" hidden="false" customHeight="true" outlineLevel="0" collapsed="false">
      <c r="A2372" s="6" t="s">
        <v>7082</v>
      </c>
      <c r="B2372" s="6" t="s">
        <v>239</v>
      </c>
      <c r="C2372" s="6" t="n">
        <v>3</v>
      </c>
      <c r="D2372" s="6" t="n">
        <v>24</v>
      </c>
      <c r="E2372" s="6" t="n">
        <v>2</v>
      </c>
      <c r="F2372" s="6" t="s">
        <v>6848</v>
      </c>
      <c r="G2372" s="28" t="str">
        <f aca="false">IFERROR(INDEX('Semrush Data'!$A$1:$Z$20000,MATCH(A2372,'Semrush Data'!$A$1:$A$20000,0),MATCH("Volume",'Semrush Data'!$A$1:$Z$1,0)),"")</f>
        <v/>
      </c>
      <c r="H2372" s="6" t="str">
        <f aca="false">IFERROR(INDEX('Semrush Data'!$A$1:$Z$20000,MATCH(A2372,'Semrush Data'!$A$1:$A$20000,0),MATCH("Keyword Difficulty*",'Semrush Data'!$A$1:$Z$1,0)),"")</f>
        <v/>
      </c>
      <c r="I2372" s="29" t="str">
        <f aca="false">IFERROR(INDEX('Semrush Data'!$A$1:$Z$20000,MATCH(A2372,'Semrush Data'!$A$1:$A$20000,0),MATCH("CPC*",'Semrush Data'!$A$1:$Z$1,0)),"")</f>
        <v/>
      </c>
      <c r="J2372" s="6" t="str">
        <f aca="false">IFERROR(INDEX('Semrush Data'!$A$1:$Z$20000,MATCH(A2372,'Semrush Data'!$A$1:$A$20000,0),MATCH("Intent",'Semrush Data'!$A$1:$Z$1,0)),"")</f>
        <v/>
      </c>
    </row>
    <row r="2373" customFormat="false" ht="15" hidden="false" customHeight="true" outlineLevel="0" collapsed="false">
      <c r="A2373" s="6" t="s">
        <v>7083</v>
      </c>
      <c r="B2373" s="6" t="s">
        <v>239</v>
      </c>
      <c r="C2373" s="6" t="n">
        <v>3</v>
      </c>
      <c r="D2373" s="6" t="n">
        <v>24</v>
      </c>
      <c r="E2373" s="6" t="n">
        <v>2</v>
      </c>
      <c r="F2373" s="6" t="s">
        <v>6848</v>
      </c>
      <c r="G2373" s="28" t="str">
        <f aca="false">IFERROR(INDEX('Semrush Data'!$A$1:$Z$20000,MATCH(A2373,'Semrush Data'!$A$1:$A$20000,0),MATCH("Volume",'Semrush Data'!$A$1:$Z$1,0)),"")</f>
        <v/>
      </c>
      <c r="H2373" s="6" t="str">
        <f aca="false">IFERROR(INDEX('Semrush Data'!$A$1:$Z$20000,MATCH(A2373,'Semrush Data'!$A$1:$A$20000,0),MATCH("Keyword Difficulty*",'Semrush Data'!$A$1:$Z$1,0)),"")</f>
        <v/>
      </c>
      <c r="I2373" s="29" t="str">
        <f aca="false">IFERROR(INDEX('Semrush Data'!$A$1:$Z$20000,MATCH(A2373,'Semrush Data'!$A$1:$A$20000,0),MATCH("CPC*",'Semrush Data'!$A$1:$Z$1,0)),"")</f>
        <v/>
      </c>
      <c r="J2373" s="6" t="str">
        <f aca="false">IFERROR(INDEX('Semrush Data'!$A$1:$Z$20000,MATCH(A2373,'Semrush Data'!$A$1:$A$20000,0),MATCH("Intent",'Semrush Data'!$A$1:$Z$1,0)),"")</f>
        <v/>
      </c>
    </row>
    <row r="2374" customFormat="false" ht="15" hidden="false" customHeight="true" outlineLevel="0" collapsed="false">
      <c r="A2374" s="6" t="s">
        <v>7084</v>
      </c>
      <c r="B2374" s="6" t="s">
        <v>239</v>
      </c>
      <c r="C2374" s="6" t="n">
        <v>3</v>
      </c>
      <c r="D2374" s="6" t="n">
        <v>24</v>
      </c>
      <c r="E2374" s="6" t="n">
        <v>2</v>
      </c>
      <c r="F2374" s="6" t="s">
        <v>6848</v>
      </c>
      <c r="G2374" s="28" t="str">
        <f aca="false">IFERROR(INDEX('Semrush Data'!$A$1:$Z$20000,MATCH(A2374,'Semrush Data'!$A$1:$A$20000,0),MATCH("Volume",'Semrush Data'!$A$1:$Z$1,0)),"")</f>
        <v/>
      </c>
      <c r="H2374" s="6" t="str">
        <f aca="false">IFERROR(INDEX('Semrush Data'!$A$1:$Z$20000,MATCH(A2374,'Semrush Data'!$A$1:$A$20000,0),MATCH("Keyword Difficulty*",'Semrush Data'!$A$1:$Z$1,0)),"")</f>
        <v/>
      </c>
      <c r="I2374" s="29" t="str">
        <f aca="false">IFERROR(INDEX('Semrush Data'!$A$1:$Z$20000,MATCH(A2374,'Semrush Data'!$A$1:$A$20000,0),MATCH("CPC*",'Semrush Data'!$A$1:$Z$1,0)),"")</f>
        <v/>
      </c>
      <c r="J2374" s="6" t="str">
        <f aca="false">IFERROR(INDEX('Semrush Data'!$A$1:$Z$20000,MATCH(A2374,'Semrush Data'!$A$1:$A$20000,0),MATCH("Intent",'Semrush Data'!$A$1:$Z$1,0)),"")</f>
        <v/>
      </c>
    </row>
    <row r="2375" customFormat="false" ht="15" hidden="false" customHeight="true" outlineLevel="0" collapsed="false">
      <c r="A2375" s="6" t="s">
        <v>7085</v>
      </c>
      <c r="B2375" s="6" t="s">
        <v>239</v>
      </c>
      <c r="C2375" s="6" t="n">
        <v>3</v>
      </c>
      <c r="D2375" s="6" t="n">
        <v>24</v>
      </c>
      <c r="E2375" s="6" t="n">
        <v>1</v>
      </c>
      <c r="F2375" s="6" t="s">
        <v>147</v>
      </c>
      <c r="G2375" s="28" t="str">
        <f aca="false">IFERROR(INDEX('Semrush Data'!$A$1:$Z$20000,MATCH(A2375,'Semrush Data'!$A$1:$A$20000,0),MATCH("Volume",'Semrush Data'!$A$1:$Z$1,0)),"")</f>
        <v/>
      </c>
      <c r="H2375" s="6" t="str">
        <f aca="false">IFERROR(INDEX('Semrush Data'!$A$1:$Z$20000,MATCH(A2375,'Semrush Data'!$A$1:$A$20000,0),MATCH("Keyword Difficulty*",'Semrush Data'!$A$1:$Z$1,0)),"")</f>
        <v/>
      </c>
      <c r="I2375" s="29" t="str">
        <f aca="false">IFERROR(INDEX('Semrush Data'!$A$1:$Z$20000,MATCH(A2375,'Semrush Data'!$A$1:$A$20000,0),MATCH("CPC*",'Semrush Data'!$A$1:$Z$1,0)),"")</f>
        <v/>
      </c>
      <c r="J2375" s="6" t="str">
        <f aca="false">IFERROR(INDEX('Semrush Data'!$A$1:$Z$20000,MATCH(A2375,'Semrush Data'!$A$1:$A$20000,0),MATCH("Intent",'Semrush Data'!$A$1:$Z$1,0)),"")</f>
        <v/>
      </c>
    </row>
    <row r="2376" customFormat="false" ht="15" hidden="false" customHeight="true" outlineLevel="0" collapsed="false">
      <c r="A2376" s="6" t="s">
        <v>7086</v>
      </c>
      <c r="B2376" s="6" t="s">
        <v>239</v>
      </c>
      <c r="C2376" s="6" t="n">
        <v>3</v>
      </c>
      <c r="D2376" s="6" t="n">
        <v>24</v>
      </c>
      <c r="E2376" s="6" t="n">
        <v>1</v>
      </c>
      <c r="F2376" s="6" t="s">
        <v>147</v>
      </c>
      <c r="G2376" s="28" t="str">
        <f aca="false">IFERROR(INDEX('Semrush Data'!$A$1:$Z$20000,MATCH(A2376,'Semrush Data'!$A$1:$A$20000,0),MATCH("Volume",'Semrush Data'!$A$1:$Z$1,0)),"")</f>
        <v/>
      </c>
      <c r="H2376" s="6" t="str">
        <f aca="false">IFERROR(INDEX('Semrush Data'!$A$1:$Z$20000,MATCH(A2376,'Semrush Data'!$A$1:$A$20000,0),MATCH("Keyword Difficulty*",'Semrush Data'!$A$1:$Z$1,0)),"")</f>
        <v/>
      </c>
      <c r="I2376" s="29" t="str">
        <f aca="false">IFERROR(INDEX('Semrush Data'!$A$1:$Z$20000,MATCH(A2376,'Semrush Data'!$A$1:$A$20000,0),MATCH("CPC*",'Semrush Data'!$A$1:$Z$1,0)),"")</f>
        <v/>
      </c>
      <c r="J2376" s="6" t="str">
        <f aca="false">IFERROR(INDEX('Semrush Data'!$A$1:$Z$20000,MATCH(A2376,'Semrush Data'!$A$1:$A$20000,0),MATCH("Intent",'Semrush Data'!$A$1:$Z$1,0)),"")</f>
        <v/>
      </c>
    </row>
    <row r="2377" customFormat="false" ht="15" hidden="false" customHeight="true" outlineLevel="0" collapsed="false">
      <c r="A2377" s="6" t="s">
        <v>7087</v>
      </c>
      <c r="B2377" s="6" t="s">
        <v>239</v>
      </c>
      <c r="C2377" s="6" t="n">
        <v>3</v>
      </c>
      <c r="D2377" s="6" t="s">
        <v>6893</v>
      </c>
      <c r="E2377" s="6" t="n">
        <v>1</v>
      </c>
      <c r="F2377" s="6" t="s">
        <v>147</v>
      </c>
      <c r="G2377" s="28" t="n">
        <f aca="false">IFERROR(INDEX('Semrush Data'!$A$1:$Z$20000,MATCH(A2377,'Semrush Data'!$A$1:$A$20000,0),MATCH("Volume",'Semrush Data'!$A$1:$Z$1,0)),"")</f>
        <v>0</v>
      </c>
      <c r="H2377" s="6" t="n">
        <f aca="false">IFERROR(INDEX('Semrush Data'!$A$1:$Z$20000,MATCH(A2377,'Semrush Data'!$A$1:$A$20000,0),MATCH("Keyword Difficulty*",'Semrush Data'!$A$1:$Z$1,0)),"")</f>
        <v>5</v>
      </c>
      <c r="I2377" s="29" t="n">
        <f aca="false">IFERROR(INDEX('Semrush Data'!$A$1:$Z$20000,MATCH(A2377,'Semrush Data'!$A$1:$A$20000,0),MATCH("CPC*",'Semrush Data'!$A$1:$Z$1,0)),"")</f>
        <v>0</v>
      </c>
      <c r="J2377" s="6" t="str">
        <f aca="false">IFERROR(INDEX('Semrush Data'!$A$1:$Z$20000,MATCH(A2377,'Semrush Data'!$A$1:$A$20000,0),MATCH("Intent",'Semrush Data'!$A$1:$Z$1,0)),"")</f>
        <v>Informational Transactional</v>
      </c>
    </row>
    <row r="2378" customFormat="false" ht="15" hidden="false" customHeight="true" outlineLevel="0" collapsed="false">
      <c r="A2378" s="6" t="s">
        <v>7088</v>
      </c>
      <c r="B2378" s="6" t="s">
        <v>239</v>
      </c>
      <c r="C2378" s="6" t="n">
        <v>3</v>
      </c>
      <c r="D2378" s="6" t="n">
        <v>24</v>
      </c>
      <c r="E2378" s="6" t="n">
        <v>1</v>
      </c>
      <c r="F2378" s="6" t="s">
        <v>147</v>
      </c>
      <c r="G2378" s="28" t="str">
        <f aca="false">IFERROR(INDEX('Semrush Data'!$A$1:$Z$20000,MATCH(A2378,'Semrush Data'!$A$1:$A$20000,0),MATCH("Volume",'Semrush Data'!$A$1:$Z$1,0)),"")</f>
        <v/>
      </c>
      <c r="H2378" s="6" t="str">
        <f aca="false">IFERROR(INDEX('Semrush Data'!$A$1:$Z$20000,MATCH(A2378,'Semrush Data'!$A$1:$A$20000,0),MATCH("Keyword Difficulty*",'Semrush Data'!$A$1:$Z$1,0)),"")</f>
        <v/>
      </c>
      <c r="I2378" s="29" t="str">
        <f aca="false">IFERROR(INDEX('Semrush Data'!$A$1:$Z$20000,MATCH(A2378,'Semrush Data'!$A$1:$A$20000,0),MATCH("CPC*",'Semrush Data'!$A$1:$Z$1,0)),"")</f>
        <v/>
      </c>
      <c r="J2378" s="6" t="str">
        <f aca="false">IFERROR(INDEX('Semrush Data'!$A$1:$Z$20000,MATCH(A2378,'Semrush Data'!$A$1:$A$20000,0),MATCH("Intent",'Semrush Data'!$A$1:$Z$1,0)),"")</f>
        <v/>
      </c>
    </row>
    <row r="2379" customFormat="false" ht="15" hidden="false" customHeight="true" outlineLevel="0" collapsed="false">
      <c r="A2379" s="6" t="s">
        <v>7089</v>
      </c>
      <c r="B2379" s="6" t="s">
        <v>239</v>
      </c>
      <c r="C2379" s="6" t="n">
        <v>3</v>
      </c>
      <c r="D2379" s="6" t="s">
        <v>6893</v>
      </c>
      <c r="E2379" s="6" t="n">
        <v>1</v>
      </c>
      <c r="F2379" s="6" t="s">
        <v>147</v>
      </c>
      <c r="G2379" s="28" t="n">
        <f aca="false">IFERROR(INDEX('Semrush Data'!$A$1:$Z$20000,MATCH(A2379,'Semrush Data'!$A$1:$A$20000,0),MATCH("Volume",'Semrush Data'!$A$1:$Z$1,0)),"")</f>
        <v>0</v>
      </c>
      <c r="H2379" s="6" t="n">
        <f aca="false">IFERROR(INDEX('Semrush Data'!$A$1:$Z$20000,MATCH(A2379,'Semrush Data'!$A$1:$A$20000,0),MATCH("Keyword Difficulty*",'Semrush Data'!$A$1:$Z$1,0)),"")</f>
        <v>12</v>
      </c>
      <c r="I2379" s="29" t="n">
        <f aca="false">IFERROR(INDEX('Semrush Data'!$A$1:$Z$20000,MATCH(A2379,'Semrush Data'!$A$1:$A$20000,0),MATCH("CPC*",'Semrush Data'!$A$1:$Z$1,0)),"")</f>
        <v>0</v>
      </c>
      <c r="J2379" s="6" t="str">
        <f aca="false">IFERROR(INDEX('Semrush Data'!$A$1:$Z$20000,MATCH(A2379,'Semrush Data'!$A$1:$A$20000,0),MATCH("Intent",'Semrush Data'!$A$1:$Z$1,0)),"")</f>
        <v>Informational</v>
      </c>
    </row>
    <row r="2380" customFormat="false" ht="15" hidden="false" customHeight="true" outlineLevel="0" collapsed="false">
      <c r="A2380" s="6" t="s">
        <v>7090</v>
      </c>
      <c r="B2380" s="6" t="s">
        <v>239</v>
      </c>
      <c r="C2380" s="6" t="n">
        <v>3</v>
      </c>
      <c r="D2380" s="6" t="s">
        <v>6893</v>
      </c>
      <c r="E2380" s="6" t="n">
        <v>1</v>
      </c>
      <c r="F2380" s="6" t="s">
        <v>1157</v>
      </c>
      <c r="G2380" s="28" t="n">
        <f aca="false">IFERROR(INDEX('Semrush Data'!$A$1:$Z$20000,MATCH(A2380,'Semrush Data'!$A$1:$A$20000,0),MATCH("Volume",'Semrush Data'!$A$1:$Z$1,0)),"")</f>
        <v>0</v>
      </c>
      <c r="H2380" s="6" t="n">
        <f aca="false">IFERROR(INDEX('Semrush Data'!$A$1:$Z$20000,MATCH(A2380,'Semrush Data'!$A$1:$A$20000,0),MATCH("Keyword Difficulty*",'Semrush Data'!$A$1:$Z$1,0)),"")</f>
        <v>20</v>
      </c>
      <c r="I2380" s="29" t="n">
        <f aca="false">IFERROR(INDEX('Semrush Data'!$A$1:$Z$20000,MATCH(A2380,'Semrush Data'!$A$1:$A$20000,0),MATCH("CPC*",'Semrush Data'!$A$1:$Z$1,0)),"")</f>
        <v>0</v>
      </c>
      <c r="J2380" s="6" t="str">
        <f aca="false">IFERROR(INDEX('Semrush Data'!$A$1:$Z$20000,MATCH(A2380,'Semrush Data'!$A$1:$A$20000,0),MATCH("Intent",'Semrush Data'!$A$1:$Z$1,0)),"")</f>
        <v>Commercial</v>
      </c>
    </row>
    <row r="2381" customFormat="false" ht="15" hidden="false" customHeight="true" outlineLevel="0" collapsed="false">
      <c r="A2381" s="6" t="s">
        <v>7091</v>
      </c>
      <c r="B2381" s="6" t="s">
        <v>239</v>
      </c>
      <c r="C2381" s="6" t="n">
        <v>3</v>
      </c>
      <c r="D2381" s="6" t="n">
        <v>24</v>
      </c>
      <c r="E2381" s="6" t="n">
        <v>1</v>
      </c>
      <c r="F2381" s="6" t="s">
        <v>3393</v>
      </c>
      <c r="G2381" s="28" t="str">
        <f aca="false">IFERROR(INDEX('Semrush Data'!$A$1:$Z$20000,MATCH(A2381,'Semrush Data'!$A$1:$A$20000,0),MATCH("Volume",'Semrush Data'!$A$1:$Z$1,0)),"")</f>
        <v/>
      </c>
      <c r="H2381" s="6" t="str">
        <f aca="false">IFERROR(INDEX('Semrush Data'!$A$1:$Z$20000,MATCH(A2381,'Semrush Data'!$A$1:$A$20000,0),MATCH("Keyword Difficulty*",'Semrush Data'!$A$1:$Z$1,0)),"")</f>
        <v/>
      </c>
      <c r="I2381" s="29" t="str">
        <f aca="false">IFERROR(INDEX('Semrush Data'!$A$1:$Z$20000,MATCH(A2381,'Semrush Data'!$A$1:$A$20000,0),MATCH("CPC*",'Semrush Data'!$A$1:$Z$1,0)),"")</f>
        <v/>
      </c>
      <c r="J2381" s="6" t="str">
        <f aca="false">IFERROR(INDEX('Semrush Data'!$A$1:$Z$20000,MATCH(A2381,'Semrush Data'!$A$1:$A$20000,0),MATCH("Intent",'Semrush Data'!$A$1:$Z$1,0)),"")</f>
        <v/>
      </c>
    </row>
    <row r="2382" customFormat="false" ht="15" hidden="false" customHeight="true" outlineLevel="0" collapsed="false">
      <c r="A2382" s="6" t="s">
        <v>7092</v>
      </c>
      <c r="B2382" s="6" t="s">
        <v>239</v>
      </c>
      <c r="C2382" s="6" t="n">
        <v>3</v>
      </c>
      <c r="D2382" s="6" t="n">
        <v>24</v>
      </c>
      <c r="E2382" s="6" t="n">
        <v>1</v>
      </c>
      <c r="F2382" s="6" t="s">
        <v>3393</v>
      </c>
      <c r="G2382" s="28" t="str">
        <f aca="false">IFERROR(INDEX('Semrush Data'!$A$1:$Z$20000,MATCH(A2382,'Semrush Data'!$A$1:$A$20000,0),MATCH("Volume",'Semrush Data'!$A$1:$Z$1,0)),"")</f>
        <v/>
      </c>
      <c r="H2382" s="6" t="str">
        <f aca="false">IFERROR(INDEX('Semrush Data'!$A$1:$Z$20000,MATCH(A2382,'Semrush Data'!$A$1:$A$20000,0),MATCH("Keyword Difficulty*",'Semrush Data'!$A$1:$Z$1,0)),"")</f>
        <v/>
      </c>
      <c r="I2382" s="29" t="str">
        <f aca="false">IFERROR(INDEX('Semrush Data'!$A$1:$Z$20000,MATCH(A2382,'Semrush Data'!$A$1:$A$20000,0),MATCH("CPC*",'Semrush Data'!$A$1:$Z$1,0)),"")</f>
        <v/>
      </c>
      <c r="J2382" s="6" t="str">
        <f aca="false">IFERROR(INDEX('Semrush Data'!$A$1:$Z$20000,MATCH(A2382,'Semrush Data'!$A$1:$A$20000,0),MATCH("Intent",'Semrush Data'!$A$1:$Z$1,0)),"")</f>
        <v/>
      </c>
    </row>
    <row r="2383" customFormat="false" ht="15" hidden="false" customHeight="true" outlineLevel="0" collapsed="false">
      <c r="A2383" s="6" t="s">
        <v>7093</v>
      </c>
      <c r="B2383" s="6" t="s">
        <v>239</v>
      </c>
      <c r="C2383" s="6" t="n">
        <v>3</v>
      </c>
      <c r="D2383" s="6" t="n">
        <v>24</v>
      </c>
      <c r="E2383" s="6" t="n">
        <v>1</v>
      </c>
      <c r="F2383" s="6" t="s">
        <v>3404</v>
      </c>
      <c r="G2383" s="28" t="str">
        <f aca="false">IFERROR(INDEX('Semrush Data'!$A$1:$Z$20000,MATCH(A2383,'Semrush Data'!$A$1:$A$20000,0),MATCH("Volume",'Semrush Data'!$A$1:$Z$1,0)),"")</f>
        <v/>
      </c>
      <c r="H2383" s="6" t="str">
        <f aca="false">IFERROR(INDEX('Semrush Data'!$A$1:$Z$20000,MATCH(A2383,'Semrush Data'!$A$1:$A$20000,0),MATCH("Keyword Difficulty*",'Semrush Data'!$A$1:$Z$1,0)),"")</f>
        <v/>
      </c>
      <c r="I2383" s="29" t="str">
        <f aca="false">IFERROR(INDEX('Semrush Data'!$A$1:$Z$20000,MATCH(A2383,'Semrush Data'!$A$1:$A$20000,0),MATCH("CPC*",'Semrush Data'!$A$1:$Z$1,0)),"")</f>
        <v/>
      </c>
      <c r="J2383" s="6" t="str">
        <f aca="false">IFERROR(INDEX('Semrush Data'!$A$1:$Z$20000,MATCH(A2383,'Semrush Data'!$A$1:$A$20000,0),MATCH("Intent",'Semrush Data'!$A$1:$Z$1,0)),"")</f>
        <v/>
      </c>
    </row>
    <row r="2384" customFormat="false" ht="15" hidden="false" customHeight="true" outlineLevel="0" collapsed="false">
      <c r="A2384" s="6" t="s">
        <v>7094</v>
      </c>
      <c r="B2384" s="6" t="s">
        <v>239</v>
      </c>
      <c r="C2384" s="6" t="n">
        <v>3</v>
      </c>
      <c r="D2384" s="6" t="n">
        <v>24</v>
      </c>
      <c r="E2384" s="6" t="n">
        <v>1</v>
      </c>
      <c r="F2384" s="6" t="s">
        <v>3404</v>
      </c>
      <c r="G2384" s="28" t="str">
        <f aca="false">IFERROR(INDEX('Semrush Data'!$A$1:$Z$20000,MATCH(A2384,'Semrush Data'!$A$1:$A$20000,0),MATCH("Volume",'Semrush Data'!$A$1:$Z$1,0)),"")</f>
        <v/>
      </c>
      <c r="H2384" s="6" t="str">
        <f aca="false">IFERROR(INDEX('Semrush Data'!$A$1:$Z$20000,MATCH(A2384,'Semrush Data'!$A$1:$A$20000,0),MATCH("Keyword Difficulty*",'Semrush Data'!$A$1:$Z$1,0)),"")</f>
        <v/>
      </c>
      <c r="I2384" s="29" t="str">
        <f aca="false">IFERROR(INDEX('Semrush Data'!$A$1:$Z$20000,MATCH(A2384,'Semrush Data'!$A$1:$A$20000,0),MATCH("CPC*",'Semrush Data'!$A$1:$Z$1,0)),"")</f>
        <v/>
      </c>
      <c r="J2384" s="6" t="str">
        <f aca="false">IFERROR(INDEX('Semrush Data'!$A$1:$Z$20000,MATCH(A2384,'Semrush Data'!$A$1:$A$20000,0),MATCH("Intent",'Semrush Data'!$A$1:$Z$1,0)),"")</f>
        <v/>
      </c>
    </row>
    <row r="2385" customFormat="false" ht="15" hidden="false" customHeight="true" outlineLevel="0" collapsed="false">
      <c r="A2385" s="6" t="s">
        <v>7095</v>
      </c>
      <c r="B2385" s="6" t="s">
        <v>239</v>
      </c>
      <c r="C2385" s="6" t="n">
        <v>3</v>
      </c>
      <c r="D2385" s="6" t="n">
        <v>24</v>
      </c>
      <c r="E2385" s="6" t="n">
        <v>1</v>
      </c>
      <c r="F2385" s="6" t="s">
        <v>3404</v>
      </c>
      <c r="G2385" s="28" t="str">
        <f aca="false">IFERROR(INDEX('Semrush Data'!$A$1:$Z$20000,MATCH(A2385,'Semrush Data'!$A$1:$A$20000,0),MATCH("Volume",'Semrush Data'!$A$1:$Z$1,0)),"")</f>
        <v/>
      </c>
      <c r="H2385" s="6" t="str">
        <f aca="false">IFERROR(INDEX('Semrush Data'!$A$1:$Z$20000,MATCH(A2385,'Semrush Data'!$A$1:$A$20000,0),MATCH("Keyword Difficulty*",'Semrush Data'!$A$1:$Z$1,0)),"")</f>
        <v/>
      </c>
      <c r="I2385" s="29" t="str">
        <f aca="false">IFERROR(INDEX('Semrush Data'!$A$1:$Z$20000,MATCH(A2385,'Semrush Data'!$A$1:$A$20000,0),MATCH("CPC*",'Semrush Data'!$A$1:$Z$1,0)),"")</f>
        <v/>
      </c>
      <c r="J2385" s="6" t="str">
        <f aca="false">IFERROR(INDEX('Semrush Data'!$A$1:$Z$20000,MATCH(A2385,'Semrush Data'!$A$1:$A$20000,0),MATCH("Intent",'Semrush Data'!$A$1:$Z$1,0)),"")</f>
        <v/>
      </c>
    </row>
    <row r="2386" customFormat="false" ht="15" hidden="false" customHeight="true" outlineLevel="0" collapsed="false">
      <c r="A2386" s="6" t="s">
        <v>7096</v>
      </c>
      <c r="B2386" s="6" t="s">
        <v>239</v>
      </c>
      <c r="C2386" s="6" t="n">
        <v>3</v>
      </c>
      <c r="D2386" s="6" t="n">
        <v>24</v>
      </c>
      <c r="E2386" s="6" t="n">
        <v>1</v>
      </c>
      <c r="F2386" s="6" t="s">
        <v>3383</v>
      </c>
      <c r="G2386" s="28" t="str">
        <f aca="false">IFERROR(INDEX('Semrush Data'!$A$1:$Z$20000,MATCH(A2386,'Semrush Data'!$A$1:$A$20000,0),MATCH("Volume",'Semrush Data'!$A$1:$Z$1,0)),"")</f>
        <v/>
      </c>
      <c r="H2386" s="6" t="str">
        <f aca="false">IFERROR(INDEX('Semrush Data'!$A$1:$Z$20000,MATCH(A2386,'Semrush Data'!$A$1:$A$20000,0),MATCH("Keyword Difficulty*",'Semrush Data'!$A$1:$Z$1,0)),"")</f>
        <v/>
      </c>
      <c r="I2386" s="29" t="str">
        <f aca="false">IFERROR(INDEX('Semrush Data'!$A$1:$Z$20000,MATCH(A2386,'Semrush Data'!$A$1:$A$20000,0),MATCH("CPC*",'Semrush Data'!$A$1:$Z$1,0)),"")</f>
        <v/>
      </c>
      <c r="J2386" s="6" t="str">
        <f aca="false">IFERROR(INDEX('Semrush Data'!$A$1:$Z$20000,MATCH(A2386,'Semrush Data'!$A$1:$A$20000,0),MATCH("Intent",'Semrush Data'!$A$1:$Z$1,0)),"")</f>
        <v/>
      </c>
    </row>
    <row r="2387" customFormat="false" ht="15" hidden="false" customHeight="true" outlineLevel="0" collapsed="false">
      <c r="A2387" s="6" t="s">
        <v>7097</v>
      </c>
      <c r="B2387" s="6" t="s">
        <v>239</v>
      </c>
      <c r="C2387" s="6" t="n">
        <v>3</v>
      </c>
      <c r="D2387" s="6" t="n">
        <v>24</v>
      </c>
      <c r="E2387" s="6" t="n">
        <v>1</v>
      </c>
      <c r="F2387" s="6" t="s">
        <v>71</v>
      </c>
      <c r="G2387" s="28" t="str">
        <f aca="false">IFERROR(INDEX('Semrush Data'!$A$1:$Z$20000,MATCH(A2387,'Semrush Data'!$A$1:$A$20000,0),MATCH("Volume",'Semrush Data'!$A$1:$Z$1,0)),"")</f>
        <v/>
      </c>
      <c r="H2387" s="6" t="str">
        <f aca="false">IFERROR(INDEX('Semrush Data'!$A$1:$Z$20000,MATCH(A2387,'Semrush Data'!$A$1:$A$20000,0),MATCH("Keyword Difficulty*",'Semrush Data'!$A$1:$Z$1,0)),"")</f>
        <v/>
      </c>
      <c r="I2387" s="29" t="str">
        <f aca="false">IFERROR(INDEX('Semrush Data'!$A$1:$Z$20000,MATCH(A2387,'Semrush Data'!$A$1:$A$20000,0),MATCH("CPC*",'Semrush Data'!$A$1:$Z$1,0)),"")</f>
        <v/>
      </c>
      <c r="J2387" s="6" t="str">
        <f aca="false">IFERROR(INDEX('Semrush Data'!$A$1:$Z$20000,MATCH(A2387,'Semrush Data'!$A$1:$A$20000,0),MATCH("Intent",'Semrush Data'!$A$1:$Z$1,0)),"")</f>
        <v/>
      </c>
    </row>
    <row r="2388" customFormat="false" ht="15" hidden="false" customHeight="true" outlineLevel="0" collapsed="false">
      <c r="A2388" s="6" t="s">
        <v>7098</v>
      </c>
      <c r="B2388" s="6" t="s">
        <v>239</v>
      </c>
      <c r="C2388" s="6" t="n">
        <v>3</v>
      </c>
      <c r="D2388" s="6" t="n">
        <v>24</v>
      </c>
      <c r="E2388" s="6" t="n">
        <v>1</v>
      </c>
      <c r="F2388" s="6" t="s">
        <v>3383</v>
      </c>
      <c r="G2388" s="28" t="str">
        <f aca="false">IFERROR(INDEX('Semrush Data'!$A$1:$Z$20000,MATCH(A2388,'Semrush Data'!$A$1:$A$20000,0),MATCH("Volume",'Semrush Data'!$A$1:$Z$1,0)),"")</f>
        <v/>
      </c>
      <c r="H2388" s="6" t="str">
        <f aca="false">IFERROR(INDEX('Semrush Data'!$A$1:$Z$20000,MATCH(A2388,'Semrush Data'!$A$1:$A$20000,0),MATCH("Keyword Difficulty*",'Semrush Data'!$A$1:$Z$1,0)),"")</f>
        <v/>
      </c>
      <c r="I2388" s="29" t="str">
        <f aca="false">IFERROR(INDEX('Semrush Data'!$A$1:$Z$20000,MATCH(A2388,'Semrush Data'!$A$1:$A$20000,0),MATCH("CPC*",'Semrush Data'!$A$1:$Z$1,0)),"")</f>
        <v/>
      </c>
      <c r="J2388" s="6" t="str">
        <f aca="false">IFERROR(INDEX('Semrush Data'!$A$1:$Z$20000,MATCH(A2388,'Semrush Data'!$A$1:$A$20000,0),MATCH("Intent",'Semrush Data'!$A$1:$Z$1,0)),"")</f>
        <v/>
      </c>
    </row>
    <row r="2389" customFormat="false" ht="15" hidden="false" customHeight="true" outlineLevel="0" collapsed="false">
      <c r="A2389" s="6" t="s">
        <v>7099</v>
      </c>
      <c r="B2389" s="6" t="s">
        <v>239</v>
      </c>
      <c r="C2389" s="6" t="n">
        <v>3</v>
      </c>
      <c r="D2389" s="6" t="n">
        <v>24</v>
      </c>
      <c r="E2389" s="6" t="n">
        <v>1</v>
      </c>
      <c r="F2389" s="6" t="s">
        <v>3383</v>
      </c>
      <c r="G2389" s="28" t="str">
        <f aca="false">IFERROR(INDEX('Semrush Data'!$A$1:$Z$20000,MATCH(A2389,'Semrush Data'!$A$1:$A$20000,0),MATCH("Volume",'Semrush Data'!$A$1:$Z$1,0)),"")</f>
        <v/>
      </c>
      <c r="H2389" s="6" t="str">
        <f aca="false">IFERROR(INDEX('Semrush Data'!$A$1:$Z$20000,MATCH(A2389,'Semrush Data'!$A$1:$A$20000,0),MATCH("Keyword Difficulty*",'Semrush Data'!$A$1:$Z$1,0)),"")</f>
        <v/>
      </c>
      <c r="I2389" s="29" t="str">
        <f aca="false">IFERROR(INDEX('Semrush Data'!$A$1:$Z$20000,MATCH(A2389,'Semrush Data'!$A$1:$A$20000,0),MATCH("CPC*",'Semrush Data'!$A$1:$Z$1,0)),"")</f>
        <v/>
      </c>
      <c r="J2389" s="6" t="str">
        <f aca="false">IFERROR(INDEX('Semrush Data'!$A$1:$Z$20000,MATCH(A2389,'Semrush Data'!$A$1:$A$20000,0),MATCH("Intent",'Semrush Data'!$A$1:$Z$1,0)),"")</f>
        <v/>
      </c>
    </row>
    <row r="2390" customFormat="false" ht="15" hidden="false" customHeight="true" outlineLevel="0" collapsed="false">
      <c r="A2390" s="6" t="s">
        <v>7100</v>
      </c>
      <c r="B2390" s="6" t="s">
        <v>239</v>
      </c>
      <c r="C2390" s="6" t="n">
        <v>3</v>
      </c>
      <c r="D2390" s="6" t="n">
        <v>24</v>
      </c>
      <c r="E2390" s="6" t="n">
        <v>1</v>
      </c>
      <c r="F2390" s="6" t="s">
        <v>3383</v>
      </c>
      <c r="G2390" s="28" t="str">
        <f aca="false">IFERROR(INDEX('Semrush Data'!$A$1:$Z$20000,MATCH(A2390,'Semrush Data'!$A$1:$A$20000,0),MATCH("Volume",'Semrush Data'!$A$1:$Z$1,0)),"")</f>
        <v/>
      </c>
      <c r="H2390" s="6" t="str">
        <f aca="false">IFERROR(INDEX('Semrush Data'!$A$1:$Z$20000,MATCH(A2390,'Semrush Data'!$A$1:$A$20000,0),MATCH("Keyword Difficulty*",'Semrush Data'!$A$1:$Z$1,0)),"")</f>
        <v/>
      </c>
      <c r="I2390" s="29" t="str">
        <f aca="false">IFERROR(INDEX('Semrush Data'!$A$1:$Z$20000,MATCH(A2390,'Semrush Data'!$A$1:$A$20000,0),MATCH("CPC*",'Semrush Data'!$A$1:$Z$1,0)),"")</f>
        <v/>
      </c>
      <c r="J2390" s="6" t="str">
        <f aca="false">IFERROR(INDEX('Semrush Data'!$A$1:$Z$20000,MATCH(A2390,'Semrush Data'!$A$1:$A$20000,0),MATCH("Intent",'Semrush Data'!$A$1:$Z$1,0)),"")</f>
        <v/>
      </c>
    </row>
    <row r="2391" customFormat="false" ht="15" hidden="false" customHeight="true" outlineLevel="0" collapsed="false">
      <c r="A2391" s="6" t="s">
        <v>7101</v>
      </c>
      <c r="B2391" s="6" t="s">
        <v>239</v>
      </c>
      <c r="C2391" s="6" t="n">
        <v>3</v>
      </c>
      <c r="D2391" s="6" t="n">
        <v>24</v>
      </c>
      <c r="E2391" s="6" t="n">
        <v>1</v>
      </c>
      <c r="F2391" s="6" t="s">
        <v>3350</v>
      </c>
      <c r="G2391" s="28" t="str">
        <f aca="false">IFERROR(INDEX('Semrush Data'!$A$1:$Z$20000,MATCH(A2391,'Semrush Data'!$A$1:$A$20000,0),MATCH("Volume",'Semrush Data'!$A$1:$Z$1,0)),"")</f>
        <v/>
      </c>
      <c r="H2391" s="6" t="str">
        <f aca="false">IFERROR(INDEX('Semrush Data'!$A$1:$Z$20000,MATCH(A2391,'Semrush Data'!$A$1:$A$20000,0),MATCH("Keyword Difficulty*",'Semrush Data'!$A$1:$Z$1,0)),"")</f>
        <v/>
      </c>
      <c r="I2391" s="29" t="str">
        <f aca="false">IFERROR(INDEX('Semrush Data'!$A$1:$Z$20000,MATCH(A2391,'Semrush Data'!$A$1:$A$20000,0),MATCH("CPC*",'Semrush Data'!$A$1:$Z$1,0)),"")</f>
        <v/>
      </c>
      <c r="J2391" s="6" t="str">
        <f aca="false">IFERROR(INDEX('Semrush Data'!$A$1:$Z$20000,MATCH(A2391,'Semrush Data'!$A$1:$A$20000,0),MATCH("Intent",'Semrush Data'!$A$1:$Z$1,0)),"")</f>
        <v/>
      </c>
    </row>
    <row r="2392" customFormat="false" ht="15" hidden="false" customHeight="true" outlineLevel="0" collapsed="false">
      <c r="A2392" s="6" t="s">
        <v>7102</v>
      </c>
      <c r="B2392" s="6" t="s">
        <v>239</v>
      </c>
      <c r="C2392" s="6" t="n">
        <v>3</v>
      </c>
      <c r="D2392" s="6" t="n">
        <v>24</v>
      </c>
      <c r="E2392" s="6" t="n">
        <v>1</v>
      </c>
      <c r="F2392" s="6" t="s">
        <v>3350</v>
      </c>
      <c r="G2392" s="28" t="str">
        <f aca="false">IFERROR(INDEX('Semrush Data'!$A$1:$Z$20000,MATCH(A2392,'Semrush Data'!$A$1:$A$20000,0),MATCH("Volume",'Semrush Data'!$A$1:$Z$1,0)),"")</f>
        <v/>
      </c>
      <c r="H2392" s="6" t="str">
        <f aca="false">IFERROR(INDEX('Semrush Data'!$A$1:$Z$20000,MATCH(A2392,'Semrush Data'!$A$1:$A$20000,0),MATCH("Keyword Difficulty*",'Semrush Data'!$A$1:$Z$1,0)),"")</f>
        <v/>
      </c>
      <c r="I2392" s="29" t="str">
        <f aca="false">IFERROR(INDEX('Semrush Data'!$A$1:$Z$20000,MATCH(A2392,'Semrush Data'!$A$1:$A$20000,0),MATCH("CPC*",'Semrush Data'!$A$1:$Z$1,0)),"")</f>
        <v/>
      </c>
      <c r="J2392" s="6" t="str">
        <f aca="false">IFERROR(INDEX('Semrush Data'!$A$1:$Z$20000,MATCH(A2392,'Semrush Data'!$A$1:$A$20000,0),MATCH("Intent",'Semrush Data'!$A$1:$Z$1,0)),"")</f>
        <v/>
      </c>
    </row>
    <row r="2393" customFormat="false" ht="15" hidden="false" customHeight="true" outlineLevel="0" collapsed="false">
      <c r="A2393" s="6" t="s">
        <v>7103</v>
      </c>
      <c r="B2393" s="6" t="s">
        <v>239</v>
      </c>
      <c r="C2393" s="6" t="n">
        <v>3</v>
      </c>
      <c r="D2393" s="6" t="n">
        <v>24</v>
      </c>
      <c r="E2393" s="6" t="n">
        <v>1</v>
      </c>
      <c r="F2393" s="6" t="s">
        <v>3350</v>
      </c>
      <c r="G2393" s="28" t="str">
        <f aca="false">IFERROR(INDEX('Semrush Data'!$A$1:$Z$20000,MATCH(A2393,'Semrush Data'!$A$1:$A$20000,0),MATCH("Volume",'Semrush Data'!$A$1:$Z$1,0)),"")</f>
        <v/>
      </c>
      <c r="H2393" s="6" t="str">
        <f aca="false">IFERROR(INDEX('Semrush Data'!$A$1:$Z$20000,MATCH(A2393,'Semrush Data'!$A$1:$A$20000,0),MATCH("Keyword Difficulty*",'Semrush Data'!$A$1:$Z$1,0)),"")</f>
        <v/>
      </c>
      <c r="I2393" s="29" t="str">
        <f aca="false">IFERROR(INDEX('Semrush Data'!$A$1:$Z$20000,MATCH(A2393,'Semrush Data'!$A$1:$A$20000,0),MATCH("CPC*",'Semrush Data'!$A$1:$Z$1,0)),"")</f>
        <v/>
      </c>
      <c r="J2393" s="6" t="str">
        <f aca="false">IFERROR(INDEX('Semrush Data'!$A$1:$Z$20000,MATCH(A2393,'Semrush Data'!$A$1:$A$20000,0),MATCH("Intent",'Semrush Data'!$A$1:$Z$1,0)),"")</f>
        <v/>
      </c>
    </row>
    <row r="2394" customFormat="false" ht="15" hidden="false" customHeight="true" outlineLevel="0" collapsed="false">
      <c r="A2394" s="6" t="s">
        <v>7104</v>
      </c>
      <c r="B2394" s="6" t="s">
        <v>239</v>
      </c>
      <c r="C2394" s="6" t="n">
        <v>3</v>
      </c>
      <c r="D2394" s="6" t="n">
        <v>24</v>
      </c>
      <c r="E2394" s="6" t="n">
        <v>1</v>
      </c>
      <c r="F2394" s="6" t="s">
        <v>3350</v>
      </c>
      <c r="G2394" s="28" t="str">
        <f aca="false">IFERROR(INDEX('Semrush Data'!$A$1:$Z$20000,MATCH(A2394,'Semrush Data'!$A$1:$A$20000,0),MATCH("Volume",'Semrush Data'!$A$1:$Z$1,0)),"")</f>
        <v/>
      </c>
      <c r="H2394" s="6" t="str">
        <f aca="false">IFERROR(INDEX('Semrush Data'!$A$1:$Z$20000,MATCH(A2394,'Semrush Data'!$A$1:$A$20000,0),MATCH("Keyword Difficulty*",'Semrush Data'!$A$1:$Z$1,0)),"")</f>
        <v/>
      </c>
      <c r="I2394" s="29" t="str">
        <f aca="false">IFERROR(INDEX('Semrush Data'!$A$1:$Z$20000,MATCH(A2394,'Semrush Data'!$A$1:$A$20000,0),MATCH("CPC*",'Semrush Data'!$A$1:$Z$1,0)),"")</f>
        <v/>
      </c>
      <c r="J2394" s="6" t="str">
        <f aca="false">IFERROR(INDEX('Semrush Data'!$A$1:$Z$20000,MATCH(A2394,'Semrush Data'!$A$1:$A$20000,0),MATCH("Intent",'Semrush Data'!$A$1:$Z$1,0)),"")</f>
        <v/>
      </c>
    </row>
    <row r="2395" customFormat="false" ht="15" hidden="false" customHeight="true" outlineLevel="0" collapsed="false">
      <c r="A2395" s="6" t="s">
        <v>7105</v>
      </c>
      <c r="B2395" s="6" t="s">
        <v>239</v>
      </c>
      <c r="C2395" s="6" t="n">
        <v>3</v>
      </c>
      <c r="D2395" s="6" t="n">
        <v>24</v>
      </c>
      <c r="E2395" s="6" t="n">
        <v>1</v>
      </c>
      <c r="F2395" s="6" t="s">
        <v>3350</v>
      </c>
      <c r="G2395" s="28" t="str">
        <f aca="false">IFERROR(INDEX('Semrush Data'!$A$1:$Z$20000,MATCH(A2395,'Semrush Data'!$A$1:$A$20000,0),MATCH("Volume",'Semrush Data'!$A$1:$Z$1,0)),"")</f>
        <v/>
      </c>
      <c r="H2395" s="6" t="str">
        <f aca="false">IFERROR(INDEX('Semrush Data'!$A$1:$Z$20000,MATCH(A2395,'Semrush Data'!$A$1:$A$20000,0),MATCH("Keyword Difficulty*",'Semrush Data'!$A$1:$Z$1,0)),"")</f>
        <v/>
      </c>
      <c r="I2395" s="29" t="str">
        <f aca="false">IFERROR(INDEX('Semrush Data'!$A$1:$Z$20000,MATCH(A2395,'Semrush Data'!$A$1:$A$20000,0),MATCH("CPC*",'Semrush Data'!$A$1:$Z$1,0)),"")</f>
        <v/>
      </c>
      <c r="J2395" s="6" t="str">
        <f aca="false">IFERROR(INDEX('Semrush Data'!$A$1:$Z$20000,MATCH(A2395,'Semrush Data'!$A$1:$A$20000,0),MATCH("Intent",'Semrush Data'!$A$1:$Z$1,0)),"")</f>
        <v/>
      </c>
    </row>
    <row r="2396" customFormat="false" ht="15" hidden="false" customHeight="true" outlineLevel="0" collapsed="false">
      <c r="A2396" s="6" t="s">
        <v>7106</v>
      </c>
      <c r="B2396" s="6" t="s">
        <v>239</v>
      </c>
      <c r="C2396" s="6" t="n">
        <v>3</v>
      </c>
      <c r="D2396" s="6" t="s">
        <v>6870</v>
      </c>
      <c r="E2396" s="6" t="n">
        <v>1</v>
      </c>
      <c r="F2396" s="6" t="s">
        <v>71</v>
      </c>
      <c r="G2396" s="28" t="n">
        <f aca="false">IFERROR(INDEX('Semrush Data'!$A$1:$Z$20000,MATCH(A2396,'Semrush Data'!$A$1:$A$20000,0),MATCH("Volume",'Semrush Data'!$A$1:$Z$1,0)),"")</f>
        <v>20</v>
      </c>
      <c r="H2396" s="6" t="n">
        <f aca="false">IFERROR(INDEX('Semrush Data'!$A$1:$Z$20000,MATCH(A2396,'Semrush Data'!$A$1:$A$20000,0),MATCH("Keyword Difficulty*",'Semrush Data'!$A$1:$Z$1,0)),"")</f>
        <v>16</v>
      </c>
      <c r="I2396" s="29" t="n">
        <f aca="false">IFERROR(INDEX('Semrush Data'!$A$1:$Z$20000,MATCH(A2396,'Semrush Data'!$A$1:$A$20000,0),MATCH("CPC*",'Semrush Data'!$A$1:$Z$1,0)),"")</f>
        <v>0</v>
      </c>
      <c r="J2396" s="6" t="str">
        <f aca="false">IFERROR(INDEX('Semrush Data'!$A$1:$Z$20000,MATCH(A2396,'Semrush Data'!$A$1:$A$20000,0),MATCH("Intent",'Semrush Data'!$A$1:$Z$1,0)),"")</f>
        <v>Informational</v>
      </c>
    </row>
    <row r="2397" customFormat="false" ht="15" hidden="false" customHeight="true" outlineLevel="0" collapsed="false">
      <c r="A2397" s="6" t="s">
        <v>7107</v>
      </c>
      <c r="B2397" s="6" t="s">
        <v>239</v>
      </c>
      <c r="C2397" s="6" t="n">
        <v>3</v>
      </c>
      <c r="D2397" s="6" t="n">
        <v>24</v>
      </c>
      <c r="E2397" s="6" t="n">
        <v>1</v>
      </c>
      <c r="F2397" s="6" t="s">
        <v>3361</v>
      </c>
      <c r="G2397" s="28" t="str">
        <f aca="false">IFERROR(INDEX('Semrush Data'!$A$1:$Z$20000,MATCH(A2397,'Semrush Data'!$A$1:$A$20000,0),MATCH("Volume",'Semrush Data'!$A$1:$Z$1,0)),"")</f>
        <v/>
      </c>
      <c r="H2397" s="6" t="str">
        <f aca="false">IFERROR(INDEX('Semrush Data'!$A$1:$Z$20000,MATCH(A2397,'Semrush Data'!$A$1:$A$20000,0),MATCH("Keyword Difficulty*",'Semrush Data'!$A$1:$Z$1,0)),"")</f>
        <v/>
      </c>
      <c r="I2397" s="29" t="str">
        <f aca="false">IFERROR(INDEX('Semrush Data'!$A$1:$Z$20000,MATCH(A2397,'Semrush Data'!$A$1:$A$20000,0),MATCH("CPC*",'Semrush Data'!$A$1:$Z$1,0)),"")</f>
        <v/>
      </c>
      <c r="J2397" s="6" t="str">
        <f aca="false">IFERROR(INDEX('Semrush Data'!$A$1:$Z$20000,MATCH(A2397,'Semrush Data'!$A$1:$A$20000,0),MATCH("Intent",'Semrush Data'!$A$1:$Z$1,0)),"")</f>
        <v/>
      </c>
    </row>
    <row r="2398" customFormat="false" ht="15" hidden="false" customHeight="true" outlineLevel="0" collapsed="false">
      <c r="A2398" s="6" t="s">
        <v>7108</v>
      </c>
      <c r="B2398" s="6" t="s">
        <v>239</v>
      </c>
      <c r="C2398" s="6" t="n">
        <v>3</v>
      </c>
      <c r="D2398" s="6" t="n">
        <v>24</v>
      </c>
      <c r="E2398" s="6" t="n">
        <v>1</v>
      </c>
      <c r="F2398" s="6" t="s">
        <v>3361</v>
      </c>
      <c r="G2398" s="28" t="str">
        <f aca="false">IFERROR(INDEX('Semrush Data'!$A$1:$Z$20000,MATCH(A2398,'Semrush Data'!$A$1:$A$20000,0),MATCH("Volume",'Semrush Data'!$A$1:$Z$1,0)),"")</f>
        <v/>
      </c>
      <c r="H2398" s="6" t="str">
        <f aca="false">IFERROR(INDEX('Semrush Data'!$A$1:$Z$20000,MATCH(A2398,'Semrush Data'!$A$1:$A$20000,0),MATCH("Keyword Difficulty*",'Semrush Data'!$A$1:$Z$1,0)),"")</f>
        <v/>
      </c>
      <c r="I2398" s="29" t="str">
        <f aca="false">IFERROR(INDEX('Semrush Data'!$A$1:$Z$20000,MATCH(A2398,'Semrush Data'!$A$1:$A$20000,0),MATCH("CPC*",'Semrush Data'!$A$1:$Z$1,0)),"")</f>
        <v/>
      </c>
      <c r="J2398" s="6" t="str">
        <f aca="false">IFERROR(INDEX('Semrush Data'!$A$1:$Z$20000,MATCH(A2398,'Semrush Data'!$A$1:$A$20000,0),MATCH("Intent",'Semrush Data'!$A$1:$Z$1,0)),"")</f>
        <v/>
      </c>
    </row>
    <row r="2399" customFormat="false" ht="15" hidden="false" customHeight="true" outlineLevel="0" collapsed="false">
      <c r="A2399" s="6" t="s">
        <v>7109</v>
      </c>
      <c r="B2399" s="6" t="s">
        <v>239</v>
      </c>
      <c r="C2399" s="6" t="n">
        <v>3</v>
      </c>
      <c r="D2399" s="6" t="n">
        <v>24</v>
      </c>
      <c r="E2399" s="6" t="n">
        <v>1</v>
      </c>
      <c r="F2399" s="6" t="s">
        <v>3361</v>
      </c>
      <c r="G2399" s="28" t="str">
        <f aca="false">IFERROR(INDEX('Semrush Data'!$A$1:$Z$20000,MATCH(A2399,'Semrush Data'!$A$1:$A$20000,0),MATCH("Volume",'Semrush Data'!$A$1:$Z$1,0)),"")</f>
        <v/>
      </c>
      <c r="H2399" s="6" t="str">
        <f aca="false">IFERROR(INDEX('Semrush Data'!$A$1:$Z$20000,MATCH(A2399,'Semrush Data'!$A$1:$A$20000,0),MATCH("Keyword Difficulty*",'Semrush Data'!$A$1:$Z$1,0)),"")</f>
        <v/>
      </c>
      <c r="I2399" s="29" t="str">
        <f aca="false">IFERROR(INDEX('Semrush Data'!$A$1:$Z$20000,MATCH(A2399,'Semrush Data'!$A$1:$A$20000,0),MATCH("CPC*",'Semrush Data'!$A$1:$Z$1,0)),"")</f>
        <v/>
      </c>
      <c r="J2399" s="6" t="str">
        <f aca="false">IFERROR(INDEX('Semrush Data'!$A$1:$Z$20000,MATCH(A2399,'Semrush Data'!$A$1:$A$20000,0),MATCH("Intent",'Semrush Data'!$A$1:$Z$1,0)),"")</f>
        <v/>
      </c>
    </row>
    <row r="2400" customFormat="false" ht="15" hidden="false" customHeight="true" outlineLevel="0" collapsed="false">
      <c r="A2400" s="6" t="s">
        <v>7110</v>
      </c>
      <c r="B2400" s="6" t="s">
        <v>239</v>
      </c>
      <c r="C2400" s="6" t="n">
        <v>3</v>
      </c>
      <c r="D2400" s="6" t="n">
        <v>24</v>
      </c>
      <c r="E2400" s="6" t="n">
        <v>1</v>
      </c>
      <c r="F2400" s="6" t="s">
        <v>3361</v>
      </c>
      <c r="G2400" s="28" t="str">
        <f aca="false">IFERROR(INDEX('Semrush Data'!$A$1:$Z$20000,MATCH(A2400,'Semrush Data'!$A$1:$A$20000,0),MATCH("Volume",'Semrush Data'!$A$1:$Z$1,0)),"")</f>
        <v/>
      </c>
      <c r="H2400" s="6" t="str">
        <f aca="false">IFERROR(INDEX('Semrush Data'!$A$1:$Z$20000,MATCH(A2400,'Semrush Data'!$A$1:$A$20000,0),MATCH("Keyword Difficulty*",'Semrush Data'!$A$1:$Z$1,0)),"")</f>
        <v/>
      </c>
      <c r="I2400" s="29" t="str">
        <f aca="false">IFERROR(INDEX('Semrush Data'!$A$1:$Z$20000,MATCH(A2400,'Semrush Data'!$A$1:$A$20000,0),MATCH("CPC*",'Semrush Data'!$A$1:$Z$1,0)),"")</f>
        <v/>
      </c>
      <c r="J2400" s="6" t="str">
        <f aca="false">IFERROR(INDEX('Semrush Data'!$A$1:$Z$20000,MATCH(A2400,'Semrush Data'!$A$1:$A$20000,0),MATCH("Intent",'Semrush Data'!$A$1:$Z$1,0)),"")</f>
        <v/>
      </c>
    </row>
    <row r="2401" customFormat="false" ht="15" hidden="false" customHeight="true" outlineLevel="0" collapsed="false">
      <c r="A2401" s="6" t="s">
        <v>7111</v>
      </c>
      <c r="B2401" s="6" t="s">
        <v>239</v>
      </c>
      <c r="C2401" s="6" t="n">
        <v>3</v>
      </c>
      <c r="D2401" s="6" t="n">
        <v>24</v>
      </c>
      <c r="E2401" s="6" t="n">
        <v>1</v>
      </c>
      <c r="F2401" s="6" t="s">
        <v>3361</v>
      </c>
      <c r="G2401" s="28" t="str">
        <f aca="false">IFERROR(INDEX('Semrush Data'!$A$1:$Z$20000,MATCH(A2401,'Semrush Data'!$A$1:$A$20000,0),MATCH("Volume",'Semrush Data'!$A$1:$Z$1,0)),"")</f>
        <v/>
      </c>
      <c r="H2401" s="6" t="str">
        <f aca="false">IFERROR(INDEX('Semrush Data'!$A$1:$Z$20000,MATCH(A2401,'Semrush Data'!$A$1:$A$20000,0),MATCH("Keyword Difficulty*",'Semrush Data'!$A$1:$Z$1,0)),"")</f>
        <v/>
      </c>
      <c r="I2401" s="29" t="str">
        <f aca="false">IFERROR(INDEX('Semrush Data'!$A$1:$Z$20000,MATCH(A2401,'Semrush Data'!$A$1:$A$20000,0),MATCH("CPC*",'Semrush Data'!$A$1:$Z$1,0)),"")</f>
        <v/>
      </c>
      <c r="J2401" s="6" t="str">
        <f aca="false">IFERROR(INDEX('Semrush Data'!$A$1:$Z$20000,MATCH(A2401,'Semrush Data'!$A$1:$A$20000,0),MATCH("Intent",'Semrush Data'!$A$1:$Z$1,0)),"")</f>
        <v/>
      </c>
    </row>
    <row r="2402" customFormat="false" ht="15" hidden="false" customHeight="true" outlineLevel="0" collapsed="false">
      <c r="A2402" s="6" t="s">
        <v>7112</v>
      </c>
      <c r="B2402" s="6" t="s">
        <v>239</v>
      </c>
      <c r="C2402" s="6" t="n">
        <v>3</v>
      </c>
      <c r="D2402" s="6" t="n">
        <v>25</v>
      </c>
      <c r="E2402" s="6" t="n">
        <v>1</v>
      </c>
      <c r="F2402" s="6" t="s">
        <v>3361</v>
      </c>
      <c r="G2402" s="28" t="str">
        <f aca="false">IFERROR(INDEX('Semrush Data'!$A$1:$Z$20000,MATCH(A2402,'Semrush Data'!$A$1:$A$20000,0),MATCH("Volume",'Semrush Data'!$A$1:$Z$1,0)),"")</f>
        <v/>
      </c>
      <c r="H2402" s="6" t="str">
        <f aca="false">IFERROR(INDEX('Semrush Data'!$A$1:$Z$20000,MATCH(A2402,'Semrush Data'!$A$1:$A$20000,0),MATCH("Keyword Difficulty*",'Semrush Data'!$A$1:$Z$1,0)),"")</f>
        <v/>
      </c>
      <c r="I2402" s="29" t="str">
        <f aca="false">IFERROR(INDEX('Semrush Data'!$A$1:$Z$20000,MATCH(A2402,'Semrush Data'!$A$1:$A$20000,0),MATCH("CPC*",'Semrush Data'!$A$1:$Z$1,0)),"")</f>
        <v/>
      </c>
      <c r="J2402" s="6" t="str">
        <f aca="false">IFERROR(INDEX('Semrush Data'!$A$1:$Z$20000,MATCH(A2402,'Semrush Data'!$A$1:$A$20000,0),MATCH("Intent",'Semrush Data'!$A$1:$Z$1,0)),"")</f>
        <v/>
      </c>
    </row>
    <row r="2403" customFormat="false" ht="15" hidden="false" customHeight="true" outlineLevel="0" collapsed="false">
      <c r="A2403" s="6" t="s">
        <v>7113</v>
      </c>
      <c r="B2403" s="6" t="s">
        <v>239</v>
      </c>
      <c r="C2403" s="6" t="n">
        <v>3</v>
      </c>
      <c r="D2403" s="6" t="n">
        <v>25</v>
      </c>
      <c r="E2403" s="6" t="n">
        <v>1</v>
      </c>
      <c r="F2403" s="6" t="s">
        <v>71</v>
      </c>
      <c r="G2403" s="28" t="str">
        <f aca="false">IFERROR(INDEX('Semrush Data'!$A$1:$Z$20000,MATCH(A2403,'Semrush Data'!$A$1:$A$20000,0),MATCH("Volume",'Semrush Data'!$A$1:$Z$1,0)),"")</f>
        <v/>
      </c>
      <c r="H2403" s="6" t="str">
        <f aca="false">IFERROR(INDEX('Semrush Data'!$A$1:$Z$20000,MATCH(A2403,'Semrush Data'!$A$1:$A$20000,0),MATCH("Keyword Difficulty*",'Semrush Data'!$A$1:$Z$1,0)),"")</f>
        <v/>
      </c>
      <c r="I2403" s="29" t="str">
        <f aca="false">IFERROR(INDEX('Semrush Data'!$A$1:$Z$20000,MATCH(A2403,'Semrush Data'!$A$1:$A$20000,0),MATCH("CPC*",'Semrush Data'!$A$1:$Z$1,0)),"")</f>
        <v/>
      </c>
      <c r="J2403" s="6" t="str">
        <f aca="false">IFERROR(INDEX('Semrush Data'!$A$1:$Z$20000,MATCH(A2403,'Semrush Data'!$A$1:$A$20000,0),MATCH("Intent",'Semrush Data'!$A$1:$Z$1,0)),"")</f>
        <v/>
      </c>
    </row>
    <row r="2404" customFormat="false" ht="15" hidden="false" customHeight="true" outlineLevel="0" collapsed="false">
      <c r="A2404" s="6" t="s">
        <v>243</v>
      </c>
      <c r="B2404" s="6" t="s">
        <v>239</v>
      </c>
      <c r="C2404" s="6" t="n">
        <v>3</v>
      </c>
      <c r="D2404" s="6" t="s">
        <v>6870</v>
      </c>
      <c r="E2404" s="6" t="n">
        <v>1</v>
      </c>
      <c r="F2404" s="6" t="s">
        <v>71</v>
      </c>
      <c r="G2404" s="28" t="n">
        <f aca="false">IFERROR(INDEX('Semrush Data'!$A$1:$Z$20000,MATCH(A2404,'Semrush Data'!$A$1:$A$20000,0),MATCH("Volume",'Semrush Data'!$A$1:$Z$1,0)),"")</f>
        <v>2900</v>
      </c>
      <c r="H2404" s="6" t="n">
        <f aca="false">IFERROR(INDEX('Semrush Data'!$A$1:$Z$20000,MATCH(A2404,'Semrush Data'!$A$1:$A$20000,0),MATCH("Keyword Difficulty*",'Semrush Data'!$A$1:$Z$1,0)),"")</f>
        <v>13</v>
      </c>
      <c r="I2404" s="29" t="n">
        <f aca="false">IFERROR(INDEX('Semrush Data'!$A$1:$Z$20000,MATCH(A2404,'Semrush Data'!$A$1:$A$20000,0),MATCH("CPC*",'Semrush Data'!$A$1:$Z$1,0)),"")</f>
        <v>0.4</v>
      </c>
      <c r="J2404" s="6" t="str">
        <f aca="false">IFERROR(INDEX('Semrush Data'!$A$1:$Z$20000,MATCH(A2404,'Semrush Data'!$A$1:$A$20000,0),MATCH("Intent",'Semrush Data'!$A$1:$Z$1,0)),"")</f>
        <v>Informational</v>
      </c>
    </row>
    <row r="2405" customFormat="false" ht="15" hidden="false" customHeight="true" outlineLevel="0" collapsed="false">
      <c r="A2405" s="6" t="s">
        <v>7114</v>
      </c>
      <c r="B2405" s="6" t="s">
        <v>239</v>
      </c>
      <c r="C2405" s="6" t="n">
        <v>3</v>
      </c>
      <c r="D2405" s="6" t="n">
        <v>25</v>
      </c>
      <c r="E2405" s="6" t="n">
        <v>1</v>
      </c>
      <c r="F2405" s="6" t="s">
        <v>3383</v>
      </c>
      <c r="G2405" s="28" t="str">
        <f aca="false">IFERROR(INDEX('Semrush Data'!$A$1:$Z$20000,MATCH(A2405,'Semrush Data'!$A$1:$A$20000,0),MATCH("Volume",'Semrush Data'!$A$1:$Z$1,0)),"")</f>
        <v/>
      </c>
      <c r="H2405" s="6" t="str">
        <f aca="false">IFERROR(INDEX('Semrush Data'!$A$1:$Z$20000,MATCH(A2405,'Semrush Data'!$A$1:$A$20000,0),MATCH("Keyword Difficulty*",'Semrush Data'!$A$1:$Z$1,0)),"")</f>
        <v/>
      </c>
      <c r="I2405" s="29" t="str">
        <f aca="false">IFERROR(INDEX('Semrush Data'!$A$1:$Z$20000,MATCH(A2405,'Semrush Data'!$A$1:$A$20000,0),MATCH("CPC*",'Semrush Data'!$A$1:$Z$1,0)),"")</f>
        <v/>
      </c>
      <c r="J2405" s="6" t="str">
        <f aca="false">IFERROR(INDEX('Semrush Data'!$A$1:$Z$20000,MATCH(A2405,'Semrush Data'!$A$1:$A$20000,0),MATCH("Intent",'Semrush Data'!$A$1:$Z$1,0)),"")</f>
        <v/>
      </c>
    </row>
    <row r="2406" customFormat="false" ht="15" hidden="false" customHeight="true" outlineLevel="0" collapsed="false">
      <c r="A2406" s="6" t="s">
        <v>7115</v>
      </c>
      <c r="B2406" s="6" t="s">
        <v>239</v>
      </c>
      <c r="C2406" s="6" t="n">
        <v>3</v>
      </c>
      <c r="D2406" s="6" t="n">
        <v>25</v>
      </c>
      <c r="E2406" s="6" t="n">
        <v>1</v>
      </c>
      <c r="F2406" s="6" t="s">
        <v>3393</v>
      </c>
      <c r="G2406" s="28" t="str">
        <f aca="false">IFERROR(INDEX('Semrush Data'!$A$1:$Z$20000,MATCH(A2406,'Semrush Data'!$A$1:$A$20000,0),MATCH("Volume",'Semrush Data'!$A$1:$Z$1,0)),"")</f>
        <v/>
      </c>
      <c r="H2406" s="6" t="str">
        <f aca="false">IFERROR(INDEX('Semrush Data'!$A$1:$Z$20000,MATCH(A2406,'Semrush Data'!$A$1:$A$20000,0),MATCH("Keyword Difficulty*",'Semrush Data'!$A$1:$Z$1,0)),"")</f>
        <v/>
      </c>
      <c r="I2406" s="29" t="str">
        <f aca="false">IFERROR(INDEX('Semrush Data'!$A$1:$Z$20000,MATCH(A2406,'Semrush Data'!$A$1:$A$20000,0),MATCH("CPC*",'Semrush Data'!$A$1:$Z$1,0)),"")</f>
        <v/>
      </c>
      <c r="J2406" s="6" t="str">
        <f aca="false">IFERROR(INDEX('Semrush Data'!$A$1:$Z$20000,MATCH(A2406,'Semrush Data'!$A$1:$A$20000,0),MATCH("Intent",'Semrush Data'!$A$1:$Z$1,0)),"")</f>
        <v/>
      </c>
    </row>
    <row r="2407" customFormat="false" ht="15" hidden="false" customHeight="true" outlineLevel="0" collapsed="false">
      <c r="A2407" s="6" t="s">
        <v>7116</v>
      </c>
      <c r="B2407" s="6" t="s">
        <v>239</v>
      </c>
      <c r="C2407" s="6" t="n">
        <v>3</v>
      </c>
      <c r="D2407" s="6" t="n">
        <v>25</v>
      </c>
      <c r="E2407" s="6" t="n">
        <v>1</v>
      </c>
      <c r="F2407" s="6" t="s">
        <v>3372</v>
      </c>
      <c r="G2407" s="28" t="str">
        <f aca="false">IFERROR(INDEX('Semrush Data'!$A$1:$Z$20000,MATCH(A2407,'Semrush Data'!$A$1:$A$20000,0),MATCH("Volume",'Semrush Data'!$A$1:$Z$1,0)),"")</f>
        <v/>
      </c>
      <c r="H2407" s="6" t="str">
        <f aca="false">IFERROR(INDEX('Semrush Data'!$A$1:$Z$20000,MATCH(A2407,'Semrush Data'!$A$1:$A$20000,0),MATCH("Keyword Difficulty*",'Semrush Data'!$A$1:$Z$1,0)),"")</f>
        <v/>
      </c>
      <c r="I2407" s="29" t="str">
        <f aca="false">IFERROR(INDEX('Semrush Data'!$A$1:$Z$20000,MATCH(A2407,'Semrush Data'!$A$1:$A$20000,0),MATCH("CPC*",'Semrush Data'!$A$1:$Z$1,0)),"")</f>
        <v/>
      </c>
      <c r="J2407" s="6" t="str">
        <f aca="false">IFERROR(INDEX('Semrush Data'!$A$1:$Z$20000,MATCH(A2407,'Semrush Data'!$A$1:$A$20000,0),MATCH("Intent",'Semrush Data'!$A$1:$Z$1,0)),"")</f>
        <v/>
      </c>
    </row>
    <row r="2408" customFormat="false" ht="15" hidden="false" customHeight="true" outlineLevel="0" collapsed="false">
      <c r="A2408" s="6" t="s">
        <v>7117</v>
      </c>
      <c r="B2408" s="6" t="s">
        <v>239</v>
      </c>
      <c r="C2408" s="6" t="n">
        <v>3</v>
      </c>
      <c r="D2408" s="6" t="n">
        <v>25</v>
      </c>
      <c r="E2408" s="6" t="n">
        <v>1</v>
      </c>
      <c r="F2408" s="6" t="s">
        <v>3372</v>
      </c>
      <c r="G2408" s="28" t="str">
        <f aca="false">IFERROR(INDEX('Semrush Data'!$A$1:$Z$20000,MATCH(A2408,'Semrush Data'!$A$1:$A$20000,0),MATCH("Volume",'Semrush Data'!$A$1:$Z$1,0)),"")</f>
        <v/>
      </c>
      <c r="H2408" s="6" t="str">
        <f aca="false">IFERROR(INDEX('Semrush Data'!$A$1:$Z$20000,MATCH(A2408,'Semrush Data'!$A$1:$A$20000,0),MATCH("Keyword Difficulty*",'Semrush Data'!$A$1:$Z$1,0)),"")</f>
        <v/>
      </c>
      <c r="I2408" s="29" t="str">
        <f aca="false">IFERROR(INDEX('Semrush Data'!$A$1:$Z$20000,MATCH(A2408,'Semrush Data'!$A$1:$A$20000,0),MATCH("CPC*",'Semrush Data'!$A$1:$Z$1,0)),"")</f>
        <v/>
      </c>
      <c r="J2408" s="6" t="str">
        <f aca="false">IFERROR(INDEX('Semrush Data'!$A$1:$Z$20000,MATCH(A2408,'Semrush Data'!$A$1:$A$20000,0),MATCH("Intent",'Semrush Data'!$A$1:$Z$1,0)),"")</f>
        <v/>
      </c>
    </row>
    <row r="2409" customFormat="false" ht="15" hidden="false" customHeight="true" outlineLevel="0" collapsed="false">
      <c r="A2409" s="6" t="s">
        <v>7118</v>
      </c>
      <c r="B2409" s="6" t="s">
        <v>239</v>
      </c>
      <c r="C2409" s="6" t="n">
        <v>3</v>
      </c>
      <c r="D2409" s="6" t="n">
        <v>25</v>
      </c>
      <c r="E2409" s="6" t="n">
        <v>1</v>
      </c>
      <c r="F2409" s="6" t="s">
        <v>3372</v>
      </c>
      <c r="G2409" s="28" t="str">
        <f aca="false">IFERROR(INDEX('Semrush Data'!$A$1:$Z$20000,MATCH(A2409,'Semrush Data'!$A$1:$A$20000,0),MATCH("Volume",'Semrush Data'!$A$1:$Z$1,0)),"")</f>
        <v/>
      </c>
      <c r="H2409" s="6" t="str">
        <f aca="false">IFERROR(INDEX('Semrush Data'!$A$1:$Z$20000,MATCH(A2409,'Semrush Data'!$A$1:$A$20000,0),MATCH("Keyword Difficulty*",'Semrush Data'!$A$1:$Z$1,0)),"")</f>
        <v/>
      </c>
      <c r="I2409" s="29" t="str">
        <f aca="false">IFERROR(INDEX('Semrush Data'!$A$1:$Z$20000,MATCH(A2409,'Semrush Data'!$A$1:$A$20000,0),MATCH("CPC*",'Semrush Data'!$A$1:$Z$1,0)),"")</f>
        <v/>
      </c>
      <c r="J2409" s="6" t="str">
        <f aca="false">IFERROR(INDEX('Semrush Data'!$A$1:$Z$20000,MATCH(A2409,'Semrush Data'!$A$1:$A$20000,0),MATCH("Intent",'Semrush Data'!$A$1:$Z$1,0)),"")</f>
        <v/>
      </c>
    </row>
    <row r="2410" customFormat="false" ht="15" hidden="false" customHeight="true" outlineLevel="0" collapsed="false">
      <c r="A2410" s="6" t="s">
        <v>7119</v>
      </c>
      <c r="B2410" s="6" t="s">
        <v>239</v>
      </c>
      <c r="C2410" s="6" t="n">
        <v>3</v>
      </c>
      <c r="D2410" s="6" t="n">
        <v>25</v>
      </c>
      <c r="E2410" s="6" t="n">
        <v>1</v>
      </c>
      <c r="F2410" s="6" t="s">
        <v>3372</v>
      </c>
      <c r="G2410" s="28" t="str">
        <f aca="false">IFERROR(INDEX('Semrush Data'!$A$1:$Z$20000,MATCH(A2410,'Semrush Data'!$A$1:$A$20000,0),MATCH("Volume",'Semrush Data'!$A$1:$Z$1,0)),"")</f>
        <v/>
      </c>
      <c r="H2410" s="6" t="str">
        <f aca="false">IFERROR(INDEX('Semrush Data'!$A$1:$Z$20000,MATCH(A2410,'Semrush Data'!$A$1:$A$20000,0),MATCH("Keyword Difficulty*",'Semrush Data'!$A$1:$Z$1,0)),"")</f>
        <v/>
      </c>
      <c r="I2410" s="29" t="str">
        <f aca="false">IFERROR(INDEX('Semrush Data'!$A$1:$Z$20000,MATCH(A2410,'Semrush Data'!$A$1:$A$20000,0),MATCH("CPC*",'Semrush Data'!$A$1:$Z$1,0)),"")</f>
        <v/>
      </c>
      <c r="J2410" s="6" t="str">
        <f aca="false">IFERROR(INDEX('Semrush Data'!$A$1:$Z$20000,MATCH(A2410,'Semrush Data'!$A$1:$A$20000,0),MATCH("Intent",'Semrush Data'!$A$1:$Z$1,0)),"")</f>
        <v/>
      </c>
    </row>
    <row r="2411" customFormat="false" ht="15" hidden="false" customHeight="true" outlineLevel="0" collapsed="false">
      <c r="A2411" s="6" t="s">
        <v>7120</v>
      </c>
      <c r="B2411" s="6" t="s">
        <v>239</v>
      </c>
      <c r="C2411" s="6" t="n">
        <v>3</v>
      </c>
      <c r="D2411" s="6" t="n">
        <v>25</v>
      </c>
      <c r="E2411" s="6" t="n">
        <v>1</v>
      </c>
      <c r="F2411" s="6" t="s">
        <v>3372</v>
      </c>
      <c r="G2411" s="28" t="str">
        <f aca="false">IFERROR(INDEX('Semrush Data'!$A$1:$Z$20000,MATCH(A2411,'Semrush Data'!$A$1:$A$20000,0),MATCH("Volume",'Semrush Data'!$A$1:$Z$1,0)),"")</f>
        <v/>
      </c>
      <c r="H2411" s="6" t="str">
        <f aca="false">IFERROR(INDEX('Semrush Data'!$A$1:$Z$20000,MATCH(A2411,'Semrush Data'!$A$1:$A$20000,0),MATCH("Keyword Difficulty*",'Semrush Data'!$A$1:$Z$1,0)),"")</f>
        <v/>
      </c>
      <c r="I2411" s="29" t="str">
        <f aca="false">IFERROR(INDEX('Semrush Data'!$A$1:$Z$20000,MATCH(A2411,'Semrush Data'!$A$1:$A$20000,0),MATCH("CPC*",'Semrush Data'!$A$1:$Z$1,0)),"")</f>
        <v/>
      </c>
      <c r="J2411" s="6" t="str">
        <f aca="false">IFERROR(INDEX('Semrush Data'!$A$1:$Z$20000,MATCH(A2411,'Semrush Data'!$A$1:$A$20000,0),MATCH("Intent",'Semrush Data'!$A$1:$Z$1,0)),"")</f>
        <v/>
      </c>
    </row>
    <row r="2412" customFormat="false" ht="15" hidden="false" customHeight="true" outlineLevel="0" collapsed="false">
      <c r="A2412" s="6" t="s">
        <v>7121</v>
      </c>
      <c r="B2412" s="6" t="s">
        <v>239</v>
      </c>
      <c r="C2412" s="6" t="n">
        <v>3</v>
      </c>
      <c r="D2412" s="6" t="n">
        <v>25</v>
      </c>
      <c r="E2412" s="6" t="n">
        <v>1</v>
      </c>
      <c r="F2412" s="6" t="s">
        <v>3404</v>
      </c>
      <c r="G2412" s="28" t="str">
        <f aca="false">IFERROR(INDEX('Semrush Data'!$A$1:$Z$20000,MATCH(A2412,'Semrush Data'!$A$1:$A$20000,0),MATCH("Volume",'Semrush Data'!$A$1:$Z$1,0)),"")</f>
        <v/>
      </c>
      <c r="H2412" s="6" t="str">
        <f aca="false">IFERROR(INDEX('Semrush Data'!$A$1:$Z$20000,MATCH(A2412,'Semrush Data'!$A$1:$A$20000,0),MATCH("Keyword Difficulty*",'Semrush Data'!$A$1:$Z$1,0)),"")</f>
        <v/>
      </c>
      <c r="I2412" s="29" t="str">
        <f aca="false">IFERROR(INDEX('Semrush Data'!$A$1:$Z$20000,MATCH(A2412,'Semrush Data'!$A$1:$A$20000,0),MATCH("CPC*",'Semrush Data'!$A$1:$Z$1,0)),"")</f>
        <v/>
      </c>
      <c r="J2412" s="6" t="str">
        <f aca="false">IFERROR(INDEX('Semrush Data'!$A$1:$Z$20000,MATCH(A2412,'Semrush Data'!$A$1:$A$20000,0),MATCH("Intent",'Semrush Data'!$A$1:$Z$1,0)),"")</f>
        <v/>
      </c>
    </row>
    <row r="2413" customFormat="false" ht="15" hidden="false" customHeight="true" outlineLevel="0" collapsed="false">
      <c r="A2413" s="6" t="s">
        <v>7122</v>
      </c>
      <c r="B2413" s="6" t="s">
        <v>239</v>
      </c>
      <c r="C2413" s="6" t="n">
        <v>3</v>
      </c>
      <c r="D2413" s="6" t="n">
        <v>25</v>
      </c>
      <c r="E2413" s="6" t="n">
        <v>1</v>
      </c>
      <c r="F2413" s="6" t="s">
        <v>3414</v>
      </c>
      <c r="G2413" s="28" t="str">
        <f aca="false">IFERROR(INDEX('Semrush Data'!$A$1:$Z$20000,MATCH(A2413,'Semrush Data'!$A$1:$A$20000,0),MATCH("Volume",'Semrush Data'!$A$1:$Z$1,0)),"")</f>
        <v/>
      </c>
      <c r="H2413" s="6" t="str">
        <f aca="false">IFERROR(INDEX('Semrush Data'!$A$1:$Z$20000,MATCH(A2413,'Semrush Data'!$A$1:$A$20000,0),MATCH("Keyword Difficulty*",'Semrush Data'!$A$1:$Z$1,0)),"")</f>
        <v/>
      </c>
      <c r="I2413" s="29" t="str">
        <f aca="false">IFERROR(INDEX('Semrush Data'!$A$1:$Z$20000,MATCH(A2413,'Semrush Data'!$A$1:$A$20000,0),MATCH("CPC*",'Semrush Data'!$A$1:$Z$1,0)),"")</f>
        <v/>
      </c>
      <c r="J2413" s="6" t="str">
        <f aca="false">IFERROR(INDEX('Semrush Data'!$A$1:$Z$20000,MATCH(A2413,'Semrush Data'!$A$1:$A$20000,0),MATCH("Intent",'Semrush Data'!$A$1:$Z$1,0)),"")</f>
        <v/>
      </c>
    </row>
    <row r="2414" customFormat="false" ht="15" hidden="false" customHeight="true" outlineLevel="0" collapsed="false">
      <c r="A2414" s="6" t="s">
        <v>7123</v>
      </c>
      <c r="B2414" s="6" t="s">
        <v>239</v>
      </c>
      <c r="C2414" s="6" t="n">
        <v>3</v>
      </c>
      <c r="D2414" s="6" t="n">
        <v>25</v>
      </c>
      <c r="E2414" s="6" t="n">
        <v>1</v>
      </c>
      <c r="F2414" s="6" t="s">
        <v>3414</v>
      </c>
      <c r="G2414" s="28" t="str">
        <f aca="false">IFERROR(INDEX('Semrush Data'!$A$1:$Z$20000,MATCH(A2414,'Semrush Data'!$A$1:$A$20000,0),MATCH("Volume",'Semrush Data'!$A$1:$Z$1,0)),"")</f>
        <v/>
      </c>
      <c r="H2414" s="6" t="str">
        <f aca="false">IFERROR(INDEX('Semrush Data'!$A$1:$Z$20000,MATCH(A2414,'Semrush Data'!$A$1:$A$20000,0),MATCH("Keyword Difficulty*",'Semrush Data'!$A$1:$Z$1,0)),"")</f>
        <v/>
      </c>
      <c r="I2414" s="29" t="str">
        <f aca="false">IFERROR(INDEX('Semrush Data'!$A$1:$Z$20000,MATCH(A2414,'Semrush Data'!$A$1:$A$20000,0),MATCH("CPC*",'Semrush Data'!$A$1:$Z$1,0)),"")</f>
        <v/>
      </c>
      <c r="J2414" s="6" t="str">
        <f aca="false">IFERROR(INDEX('Semrush Data'!$A$1:$Z$20000,MATCH(A2414,'Semrush Data'!$A$1:$A$20000,0),MATCH("Intent",'Semrush Data'!$A$1:$Z$1,0)),"")</f>
        <v/>
      </c>
    </row>
    <row r="2415" customFormat="false" ht="15" hidden="false" customHeight="true" outlineLevel="0" collapsed="false">
      <c r="A2415" s="6" t="s">
        <v>7124</v>
      </c>
      <c r="B2415" s="6" t="s">
        <v>239</v>
      </c>
      <c r="C2415" s="6" t="n">
        <v>3</v>
      </c>
      <c r="D2415" s="6" t="n">
        <v>25</v>
      </c>
      <c r="E2415" s="6" t="n">
        <v>1</v>
      </c>
      <c r="F2415" s="6" t="s">
        <v>3414</v>
      </c>
      <c r="G2415" s="28" t="str">
        <f aca="false">IFERROR(INDEX('Semrush Data'!$A$1:$Z$20000,MATCH(A2415,'Semrush Data'!$A$1:$A$20000,0),MATCH("Volume",'Semrush Data'!$A$1:$Z$1,0)),"")</f>
        <v/>
      </c>
      <c r="H2415" s="6" t="str">
        <f aca="false">IFERROR(INDEX('Semrush Data'!$A$1:$Z$20000,MATCH(A2415,'Semrush Data'!$A$1:$A$20000,0),MATCH("Keyword Difficulty*",'Semrush Data'!$A$1:$Z$1,0)),"")</f>
        <v/>
      </c>
      <c r="I2415" s="29" t="str">
        <f aca="false">IFERROR(INDEX('Semrush Data'!$A$1:$Z$20000,MATCH(A2415,'Semrush Data'!$A$1:$A$20000,0),MATCH("CPC*",'Semrush Data'!$A$1:$Z$1,0)),"")</f>
        <v/>
      </c>
      <c r="J2415" s="6" t="str">
        <f aca="false">IFERROR(INDEX('Semrush Data'!$A$1:$Z$20000,MATCH(A2415,'Semrush Data'!$A$1:$A$20000,0),MATCH("Intent",'Semrush Data'!$A$1:$Z$1,0)),"")</f>
        <v/>
      </c>
    </row>
    <row r="2416" customFormat="false" ht="15" hidden="false" customHeight="true" outlineLevel="0" collapsed="false">
      <c r="A2416" s="6" t="s">
        <v>7125</v>
      </c>
      <c r="B2416" s="6" t="s">
        <v>239</v>
      </c>
      <c r="C2416" s="6" t="n">
        <v>3</v>
      </c>
      <c r="D2416" s="6" t="n">
        <v>25</v>
      </c>
      <c r="E2416" s="6" t="n">
        <v>1</v>
      </c>
      <c r="F2416" s="6" t="s">
        <v>3414</v>
      </c>
      <c r="G2416" s="28" t="str">
        <f aca="false">IFERROR(INDEX('Semrush Data'!$A$1:$Z$20000,MATCH(A2416,'Semrush Data'!$A$1:$A$20000,0),MATCH("Volume",'Semrush Data'!$A$1:$Z$1,0)),"")</f>
        <v/>
      </c>
      <c r="H2416" s="6" t="str">
        <f aca="false">IFERROR(INDEX('Semrush Data'!$A$1:$Z$20000,MATCH(A2416,'Semrush Data'!$A$1:$A$20000,0),MATCH("Keyword Difficulty*",'Semrush Data'!$A$1:$Z$1,0)),"")</f>
        <v/>
      </c>
      <c r="I2416" s="29" t="str">
        <f aca="false">IFERROR(INDEX('Semrush Data'!$A$1:$Z$20000,MATCH(A2416,'Semrush Data'!$A$1:$A$20000,0),MATCH("CPC*",'Semrush Data'!$A$1:$Z$1,0)),"")</f>
        <v/>
      </c>
      <c r="J2416" s="6" t="str">
        <f aca="false">IFERROR(INDEX('Semrush Data'!$A$1:$Z$20000,MATCH(A2416,'Semrush Data'!$A$1:$A$20000,0),MATCH("Intent",'Semrush Data'!$A$1:$Z$1,0)),"")</f>
        <v/>
      </c>
    </row>
    <row r="2417" customFormat="false" ht="15" hidden="false" customHeight="true" outlineLevel="0" collapsed="false">
      <c r="A2417" s="6" t="s">
        <v>7126</v>
      </c>
      <c r="B2417" s="6" t="s">
        <v>239</v>
      </c>
      <c r="C2417" s="6" t="n">
        <v>3</v>
      </c>
      <c r="D2417" s="6" t="n">
        <v>25</v>
      </c>
      <c r="E2417" s="6" t="n">
        <v>1</v>
      </c>
      <c r="F2417" s="6" t="s">
        <v>3427</v>
      </c>
      <c r="G2417" s="28" t="str">
        <f aca="false">IFERROR(INDEX('Semrush Data'!$A$1:$Z$20000,MATCH(A2417,'Semrush Data'!$A$1:$A$20000,0),MATCH("Volume",'Semrush Data'!$A$1:$Z$1,0)),"")</f>
        <v/>
      </c>
      <c r="H2417" s="6" t="str">
        <f aca="false">IFERROR(INDEX('Semrush Data'!$A$1:$Z$20000,MATCH(A2417,'Semrush Data'!$A$1:$A$20000,0),MATCH("Keyword Difficulty*",'Semrush Data'!$A$1:$Z$1,0)),"")</f>
        <v/>
      </c>
      <c r="I2417" s="29" t="str">
        <f aca="false">IFERROR(INDEX('Semrush Data'!$A$1:$Z$20000,MATCH(A2417,'Semrush Data'!$A$1:$A$20000,0),MATCH("CPC*",'Semrush Data'!$A$1:$Z$1,0)),"")</f>
        <v/>
      </c>
      <c r="J2417" s="6" t="str">
        <f aca="false">IFERROR(INDEX('Semrush Data'!$A$1:$Z$20000,MATCH(A2417,'Semrush Data'!$A$1:$A$20000,0),MATCH("Intent",'Semrush Data'!$A$1:$Z$1,0)),"")</f>
        <v/>
      </c>
    </row>
    <row r="2418" customFormat="false" ht="15" hidden="false" customHeight="true" outlineLevel="0" collapsed="false">
      <c r="A2418" s="6" t="s">
        <v>7127</v>
      </c>
      <c r="B2418" s="6" t="s">
        <v>239</v>
      </c>
      <c r="C2418" s="6" t="n">
        <v>3</v>
      </c>
      <c r="D2418" s="6" t="n">
        <v>25</v>
      </c>
      <c r="E2418" s="6" t="n">
        <v>1</v>
      </c>
      <c r="F2418" s="6" t="s">
        <v>3427</v>
      </c>
      <c r="G2418" s="28" t="str">
        <f aca="false">IFERROR(INDEX('Semrush Data'!$A$1:$Z$20000,MATCH(A2418,'Semrush Data'!$A$1:$A$20000,0),MATCH("Volume",'Semrush Data'!$A$1:$Z$1,0)),"")</f>
        <v/>
      </c>
      <c r="H2418" s="6" t="str">
        <f aca="false">IFERROR(INDEX('Semrush Data'!$A$1:$Z$20000,MATCH(A2418,'Semrush Data'!$A$1:$A$20000,0),MATCH("Keyword Difficulty*",'Semrush Data'!$A$1:$Z$1,0)),"")</f>
        <v/>
      </c>
      <c r="I2418" s="29" t="str">
        <f aca="false">IFERROR(INDEX('Semrush Data'!$A$1:$Z$20000,MATCH(A2418,'Semrush Data'!$A$1:$A$20000,0),MATCH("CPC*",'Semrush Data'!$A$1:$Z$1,0)),"")</f>
        <v/>
      </c>
      <c r="J2418" s="6" t="str">
        <f aca="false">IFERROR(INDEX('Semrush Data'!$A$1:$Z$20000,MATCH(A2418,'Semrush Data'!$A$1:$A$20000,0),MATCH("Intent",'Semrush Data'!$A$1:$Z$1,0)),"")</f>
        <v/>
      </c>
    </row>
    <row r="2419" customFormat="false" ht="15" hidden="false" customHeight="true" outlineLevel="0" collapsed="false">
      <c r="A2419" s="6" t="s">
        <v>7128</v>
      </c>
      <c r="B2419" s="6" t="s">
        <v>239</v>
      </c>
      <c r="C2419" s="6" t="n">
        <v>3</v>
      </c>
      <c r="D2419" s="6" t="n">
        <v>25</v>
      </c>
      <c r="E2419" s="6" t="n">
        <v>1</v>
      </c>
      <c r="F2419" s="6" t="s">
        <v>3427</v>
      </c>
      <c r="G2419" s="28" t="str">
        <f aca="false">IFERROR(INDEX('Semrush Data'!$A$1:$Z$20000,MATCH(A2419,'Semrush Data'!$A$1:$A$20000,0),MATCH("Volume",'Semrush Data'!$A$1:$Z$1,0)),"")</f>
        <v/>
      </c>
      <c r="H2419" s="6" t="str">
        <f aca="false">IFERROR(INDEX('Semrush Data'!$A$1:$Z$20000,MATCH(A2419,'Semrush Data'!$A$1:$A$20000,0),MATCH("Keyword Difficulty*",'Semrush Data'!$A$1:$Z$1,0)),"")</f>
        <v/>
      </c>
      <c r="I2419" s="29" t="str">
        <f aca="false">IFERROR(INDEX('Semrush Data'!$A$1:$Z$20000,MATCH(A2419,'Semrush Data'!$A$1:$A$20000,0),MATCH("CPC*",'Semrush Data'!$A$1:$Z$1,0)),"")</f>
        <v/>
      </c>
      <c r="J2419" s="6" t="str">
        <f aca="false">IFERROR(INDEX('Semrush Data'!$A$1:$Z$20000,MATCH(A2419,'Semrush Data'!$A$1:$A$20000,0),MATCH("Intent",'Semrush Data'!$A$1:$Z$1,0)),"")</f>
        <v/>
      </c>
    </row>
    <row r="2420" customFormat="false" ht="15" hidden="false" customHeight="true" outlineLevel="0" collapsed="false">
      <c r="A2420" s="6" t="s">
        <v>7129</v>
      </c>
      <c r="B2420" s="6" t="s">
        <v>239</v>
      </c>
      <c r="C2420" s="6" t="n">
        <v>3</v>
      </c>
      <c r="D2420" s="6" t="n">
        <v>25</v>
      </c>
      <c r="E2420" s="6" t="n">
        <v>1</v>
      </c>
      <c r="F2420" s="6" t="s">
        <v>3427</v>
      </c>
      <c r="G2420" s="28" t="str">
        <f aca="false">IFERROR(INDEX('Semrush Data'!$A$1:$Z$20000,MATCH(A2420,'Semrush Data'!$A$1:$A$20000,0),MATCH("Volume",'Semrush Data'!$A$1:$Z$1,0)),"")</f>
        <v/>
      </c>
      <c r="H2420" s="6" t="str">
        <f aca="false">IFERROR(INDEX('Semrush Data'!$A$1:$Z$20000,MATCH(A2420,'Semrush Data'!$A$1:$A$20000,0),MATCH("Keyword Difficulty*",'Semrush Data'!$A$1:$Z$1,0)),"")</f>
        <v/>
      </c>
      <c r="I2420" s="29" t="str">
        <f aca="false">IFERROR(INDEX('Semrush Data'!$A$1:$Z$20000,MATCH(A2420,'Semrush Data'!$A$1:$A$20000,0),MATCH("CPC*",'Semrush Data'!$A$1:$Z$1,0)),"")</f>
        <v/>
      </c>
      <c r="J2420" s="6" t="str">
        <f aca="false">IFERROR(INDEX('Semrush Data'!$A$1:$Z$20000,MATCH(A2420,'Semrush Data'!$A$1:$A$20000,0),MATCH("Intent",'Semrush Data'!$A$1:$Z$1,0)),"")</f>
        <v/>
      </c>
    </row>
    <row r="2421" customFormat="false" ht="15" hidden="false" customHeight="true" outlineLevel="0" collapsed="false">
      <c r="A2421" s="6" t="s">
        <v>7130</v>
      </c>
      <c r="B2421" s="6" t="s">
        <v>239</v>
      </c>
      <c r="C2421" s="6" t="n">
        <v>3</v>
      </c>
      <c r="D2421" s="6" t="n">
        <v>25</v>
      </c>
      <c r="E2421" s="6" t="n">
        <v>1</v>
      </c>
      <c r="F2421" s="6" t="s">
        <v>3438</v>
      </c>
      <c r="G2421" s="28" t="str">
        <f aca="false">IFERROR(INDEX('Semrush Data'!$A$1:$Z$20000,MATCH(A2421,'Semrush Data'!$A$1:$A$20000,0),MATCH("Volume",'Semrush Data'!$A$1:$Z$1,0)),"")</f>
        <v/>
      </c>
      <c r="H2421" s="6" t="str">
        <f aca="false">IFERROR(INDEX('Semrush Data'!$A$1:$Z$20000,MATCH(A2421,'Semrush Data'!$A$1:$A$20000,0),MATCH("Keyword Difficulty*",'Semrush Data'!$A$1:$Z$1,0)),"")</f>
        <v/>
      </c>
      <c r="I2421" s="29" t="str">
        <f aca="false">IFERROR(INDEX('Semrush Data'!$A$1:$Z$20000,MATCH(A2421,'Semrush Data'!$A$1:$A$20000,0),MATCH("CPC*",'Semrush Data'!$A$1:$Z$1,0)),"")</f>
        <v/>
      </c>
      <c r="J2421" s="6" t="str">
        <f aca="false">IFERROR(INDEX('Semrush Data'!$A$1:$Z$20000,MATCH(A2421,'Semrush Data'!$A$1:$A$20000,0),MATCH("Intent",'Semrush Data'!$A$1:$Z$1,0)),"")</f>
        <v/>
      </c>
    </row>
    <row r="2422" customFormat="false" ht="15" hidden="false" customHeight="true" outlineLevel="0" collapsed="false">
      <c r="A2422" s="6" t="s">
        <v>7131</v>
      </c>
      <c r="B2422" s="6" t="s">
        <v>239</v>
      </c>
      <c r="C2422" s="6" t="n">
        <v>3</v>
      </c>
      <c r="D2422" s="6" t="n">
        <v>25</v>
      </c>
      <c r="E2422" s="6" t="n">
        <v>1</v>
      </c>
      <c r="F2422" s="6" t="s">
        <v>3438</v>
      </c>
      <c r="G2422" s="28" t="str">
        <f aca="false">IFERROR(INDEX('Semrush Data'!$A$1:$Z$20000,MATCH(A2422,'Semrush Data'!$A$1:$A$20000,0),MATCH("Volume",'Semrush Data'!$A$1:$Z$1,0)),"")</f>
        <v/>
      </c>
      <c r="H2422" s="6" t="str">
        <f aca="false">IFERROR(INDEX('Semrush Data'!$A$1:$Z$20000,MATCH(A2422,'Semrush Data'!$A$1:$A$20000,0),MATCH("Keyword Difficulty*",'Semrush Data'!$A$1:$Z$1,0)),"")</f>
        <v/>
      </c>
      <c r="I2422" s="29" t="str">
        <f aca="false">IFERROR(INDEX('Semrush Data'!$A$1:$Z$20000,MATCH(A2422,'Semrush Data'!$A$1:$A$20000,0),MATCH("CPC*",'Semrush Data'!$A$1:$Z$1,0)),"")</f>
        <v/>
      </c>
      <c r="J2422" s="6" t="str">
        <f aca="false">IFERROR(INDEX('Semrush Data'!$A$1:$Z$20000,MATCH(A2422,'Semrush Data'!$A$1:$A$20000,0),MATCH("Intent",'Semrush Data'!$A$1:$Z$1,0)),"")</f>
        <v/>
      </c>
    </row>
    <row r="2423" customFormat="false" ht="15" hidden="false" customHeight="true" outlineLevel="0" collapsed="false">
      <c r="A2423" s="6" t="s">
        <v>7132</v>
      </c>
      <c r="B2423" s="6" t="s">
        <v>239</v>
      </c>
      <c r="C2423" s="6" t="n">
        <v>3</v>
      </c>
      <c r="D2423" s="6" t="n">
        <v>25</v>
      </c>
      <c r="E2423" s="6" t="n">
        <v>1</v>
      </c>
      <c r="F2423" s="6" t="s">
        <v>3438</v>
      </c>
      <c r="G2423" s="28" t="str">
        <f aca="false">IFERROR(INDEX('Semrush Data'!$A$1:$Z$20000,MATCH(A2423,'Semrush Data'!$A$1:$A$20000,0),MATCH("Volume",'Semrush Data'!$A$1:$Z$1,0)),"")</f>
        <v/>
      </c>
      <c r="H2423" s="6" t="str">
        <f aca="false">IFERROR(INDEX('Semrush Data'!$A$1:$Z$20000,MATCH(A2423,'Semrush Data'!$A$1:$A$20000,0),MATCH("Keyword Difficulty*",'Semrush Data'!$A$1:$Z$1,0)),"")</f>
        <v/>
      </c>
      <c r="I2423" s="29" t="str">
        <f aca="false">IFERROR(INDEX('Semrush Data'!$A$1:$Z$20000,MATCH(A2423,'Semrush Data'!$A$1:$A$20000,0),MATCH("CPC*",'Semrush Data'!$A$1:$Z$1,0)),"")</f>
        <v/>
      </c>
      <c r="J2423" s="6" t="str">
        <f aca="false">IFERROR(INDEX('Semrush Data'!$A$1:$Z$20000,MATCH(A2423,'Semrush Data'!$A$1:$A$20000,0),MATCH("Intent",'Semrush Data'!$A$1:$Z$1,0)),"")</f>
        <v/>
      </c>
    </row>
    <row r="2424" customFormat="false" ht="15" hidden="false" customHeight="true" outlineLevel="0" collapsed="false">
      <c r="A2424" s="6" t="s">
        <v>7133</v>
      </c>
      <c r="B2424" s="6" t="s">
        <v>239</v>
      </c>
      <c r="C2424" s="6" t="n">
        <v>3</v>
      </c>
      <c r="D2424" s="6" t="n">
        <v>25</v>
      </c>
      <c r="E2424" s="6" t="n">
        <v>1</v>
      </c>
      <c r="F2424" s="6" t="s">
        <v>3438</v>
      </c>
      <c r="G2424" s="28" t="str">
        <f aca="false">IFERROR(INDEX('Semrush Data'!$A$1:$Z$20000,MATCH(A2424,'Semrush Data'!$A$1:$A$20000,0),MATCH("Volume",'Semrush Data'!$A$1:$Z$1,0)),"")</f>
        <v/>
      </c>
      <c r="H2424" s="6" t="str">
        <f aca="false">IFERROR(INDEX('Semrush Data'!$A$1:$Z$20000,MATCH(A2424,'Semrush Data'!$A$1:$A$20000,0),MATCH("Keyword Difficulty*",'Semrush Data'!$A$1:$Z$1,0)),"")</f>
        <v/>
      </c>
      <c r="I2424" s="29" t="str">
        <f aca="false">IFERROR(INDEX('Semrush Data'!$A$1:$Z$20000,MATCH(A2424,'Semrush Data'!$A$1:$A$20000,0),MATCH("CPC*",'Semrush Data'!$A$1:$Z$1,0)),"")</f>
        <v/>
      </c>
      <c r="J2424" s="6" t="str">
        <f aca="false">IFERROR(INDEX('Semrush Data'!$A$1:$Z$20000,MATCH(A2424,'Semrush Data'!$A$1:$A$20000,0),MATCH("Intent",'Semrush Data'!$A$1:$Z$1,0)),"")</f>
        <v/>
      </c>
    </row>
    <row r="2425" customFormat="false" ht="15" hidden="false" customHeight="true" outlineLevel="0" collapsed="false">
      <c r="A2425" s="6" t="s">
        <v>7134</v>
      </c>
      <c r="B2425" s="6" t="s">
        <v>239</v>
      </c>
      <c r="C2425" s="6" t="n">
        <v>3</v>
      </c>
      <c r="D2425" s="6" t="s">
        <v>6870</v>
      </c>
      <c r="E2425" s="6" t="n">
        <v>1</v>
      </c>
      <c r="F2425" s="6" t="s">
        <v>111</v>
      </c>
      <c r="G2425" s="28" t="n">
        <f aca="false">IFERROR(INDEX('Semrush Data'!$A$1:$Z$20000,MATCH(A2425,'Semrush Data'!$A$1:$A$20000,0),MATCH("Volume",'Semrush Data'!$A$1:$Z$1,0)),"")</f>
        <v>10</v>
      </c>
      <c r="H2425" s="6" t="n">
        <f aca="false">IFERROR(INDEX('Semrush Data'!$A$1:$Z$20000,MATCH(A2425,'Semrush Data'!$A$1:$A$20000,0),MATCH("Keyword Difficulty*",'Semrush Data'!$A$1:$Z$1,0)),"")</f>
        <v>18</v>
      </c>
      <c r="I2425" s="29" t="n">
        <f aca="false">IFERROR(INDEX('Semrush Data'!$A$1:$Z$20000,MATCH(A2425,'Semrush Data'!$A$1:$A$20000,0),MATCH("CPC*",'Semrush Data'!$A$1:$Z$1,0)),"")</f>
        <v>0</v>
      </c>
      <c r="J2425" s="6" t="str">
        <f aca="false">IFERROR(INDEX('Semrush Data'!$A$1:$Z$20000,MATCH(A2425,'Semrush Data'!$A$1:$A$20000,0),MATCH("Intent",'Semrush Data'!$A$1:$Z$1,0)),"")</f>
        <v>Informational Transactional</v>
      </c>
    </row>
    <row r="2426" customFormat="false" ht="15" hidden="false" customHeight="true" outlineLevel="0" collapsed="false">
      <c r="A2426" s="6" t="s">
        <v>7135</v>
      </c>
      <c r="B2426" s="6" t="s">
        <v>239</v>
      </c>
      <c r="C2426" s="6" t="n">
        <v>3</v>
      </c>
      <c r="D2426" s="6" t="n">
        <v>25</v>
      </c>
      <c r="E2426" s="6" t="n">
        <v>1</v>
      </c>
      <c r="F2426" s="6" t="s">
        <v>111</v>
      </c>
      <c r="G2426" s="28" t="str">
        <f aca="false">IFERROR(INDEX('Semrush Data'!$A$1:$Z$20000,MATCH(A2426,'Semrush Data'!$A$1:$A$20000,0),MATCH("Volume",'Semrush Data'!$A$1:$Z$1,0)),"")</f>
        <v/>
      </c>
      <c r="H2426" s="6" t="str">
        <f aca="false">IFERROR(INDEX('Semrush Data'!$A$1:$Z$20000,MATCH(A2426,'Semrush Data'!$A$1:$A$20000,0),MATCH("Keyword Difficulty*",'Semrush Data'!$A$1:$Z$1,0)),"")</f>
        <v/>
      </c>
      <c r="I2426" s="29" t="str">
        <f aca="false">IFERROR(INDEX('Semrush Data'!$A$1:$Z$20000,MATCH(A2426,'Semrush Data'!$A$1:$A$20000,0),MATCH("CPC*",'Semrush Data'!$A$1:$Z$1,0)),"")</f>
        <v/>
      </c>
      <c r="J2426" s="6" t="str">
        <f aca="false">IFERROR(INDEX('Semrush Data'!$A$1:$Z$20000,MATCH(A2426,'Semrush Data'!$A$1:$A$20000,0),MATCH("Intent",'Semrush Data'!$A$1:$Z$1,0)),"")</f>
        <v/>
      </c>
    </row>
    <row r="2427" customFormat="false" ht="15" hidden="false" customHeight="true" outlineLevel="0" collapsed="false">
      <c r="A2427" s="6" t="s">
        <v>7136</v>
      </c>
      <c r="B2427" s="6" t="s">
        <v>239</v>
      </c>
      <c r="C2427" s="6" t="n">
        <v>3</v>
      </c>
      <c r="D2427" s="6" t="n">
        <v>25</v>
      </c>
      <c r="E2427" s="6" t="n">
        <v>1</v>
      </c>
      <c r="F2427" s="6" t="s">
        <v>111</v>
      </c>
      <c r="G2427" s="28" t="str">
        <f aca="false">IFERROR(INDEX('Semrush Data'!$A$1:$Z$20000,MATCH(A2427,'Semrush Data'!$A$1:$A$20000,0),MATCH("Volume",'Semrush Data'!$A$1:$Z$1,0)),"")</f>
        <v/>
      </c>
      <c r="H2427" s="6" t="str">
        <f aca="false">IFERROR(INDEX('Semrush Data'!$A$1:$Z$20000,MATCH(A2427,'Semrush Data'!$A$1:$A$20000,0),MATCH("Keyword Difficulty*",'Semrush Data'!$A$1:$Z$1,0)),"")</f>
        <v/>
      </c>
      <c r="I2427" s="29" t="str">
        <f aca="false">IFERROR(INDEX('Semrush Data'!$A$1:$Z$20000,MATCH(A2427,'Semrush Data'!$A$1:$A$20000,0),MATCH("CPC*",'Semrush Data'!$A$1:$Z$1,0)),"")</f>
        <v/>
      </c>
      <c r="J2427" s="6" t="str">
        <f aca="false">IFERROR(INDEX('Semrush Data'!$A$1:$Z$20000,MATCH(A2427,'Semrush Data'!$A$1:$A$20000,0),MATCH("Intent",'Semrush Data'!$A$1:$Z$1,0)),"")</f>
        <v/>
      </c>
    </row>
    <row r="2428" customFormat="false" ht="15" hidden="false" customHeight="true" outlineLevel="0" collapsed="false">
      <c r="A2428" s="6" t="s">
        <v>7137</v>
      </c>
      <c r="B2428" s="6" t="s">
        <v>239</v>
      </c>
      <c r="C2428" s="6" t="n">
        <v>3</v>
      </c>
      <c r="D2428" s="6" t="s">
        <v>6870</v>
      </c>
      <c r="E2428" s="6" t="n">
        <v>1</v>
      </c>
      <c r="F2428" s="6" t="s">
        <v>111</v>
      </c>
      <c r="G2428" s="28" t="n">
        <f aca="false">IFERROR(INDEX('Semrush Data'!$A$1:$Z$20000,MATCH(A2428,'Semrush Data'!$A$1:$A$20000,0),MATCH("Volume",'Semrush Data'!$A$1:$Z$1,0)),"")</f>
        <v>20</v>
      </c>
      <c r="H2428" s="6" t="n">
        <f aca="false">IFERROR(INDEX('Semrush Data'!$A$1:$Z$20000,MATCH(A2428,'Semrush Data'!$A$1:$A$20000,0),MATCH("Keyword Difficulty*",'Semrush Data'!$A$1:$Z$1,0)),"")</f>
        <v>13</v>
      </c>
      <c r="I2428" s="29" t="n">
        <f aca="false">IFERROR(INDEX('Semrush Data'!$A$1:$Z$20000,MATCH(A2428,'Semrush Data'!$A$1:$A$20000,0),MATCH("CPC*",'Semrush Data'!$A$1:$Z$1,0)),"")</f>
        <v>0</v>
      </c>
      <c r="J2428" s="6" t="str">
        <f aca="false">IFERROR(INDEX('Semrush Data'!$A$1:$Z$20000,MATCH(A2428,'Semrush Data'!$A$1:$A$20000,0),MATCH("Intent",'Semrush Data'!$A$1:$Z$1,0)),"")</f>
        <v>Commercial</v>
      </c>
    </row>
    <row r="2429" customFormat="false" ht="15" hidden="false" customHeight="true" outlineLevel="0" collapsed="false">
      <c r="A2429" s="6" t="s">
        <v>5481</v>
      </c>
      <c r="B2429" s="6" t="s">
        <v>239</v>
      </c>
      <c r="C2429" s="6" t="n">
        <v>3</v>
      </c>
      <c r="D2429" s="6" t="n">
        <v>25</v>
      </c>
      <c r="E2429" s="6" t="n">
        <v>2</v>
      </c>
      <c r="F2429" s="6" t="s">
        <v>7138</v>
      </c>
      <c r="G2429" s="28" t="str">
        <f aca="false">IFERROR(INDEX('Semrush Data'!$A$1:$Z$20000,MATCH(A2429,'Semrush Data'!$A$1:$A$20000,0),MATCH("Volume",'Semrush Data'!$A$1:$Z$1,0)),"")</f>
        <v/>
      </c>
      <c r="H2429" s="6" t="str">
        <f aca="false">IFERROR(INDEX('Semrush Data'!$A$1:$Z$20000,MATCH(A2429,'Semrush Data'!$A$1:$A$20000,0),MATCH("Keyword Difficulty*",'Semrush Data'!$A$1:$Z$1,0)),"")</f>
        <v/>
      </c>
      <c r="I2429" s="29" t="str">
        <f aca="false">IFERROR(INDEX('Semrush Data'!$A$1:$Z$20000,MATCH(A2429,'Semrush Data'!$A$1:$A$20000,0),MATCH("CPC*",'Semrush Data'!$A$1:$Z$1,0)),"")</f>
        <v/>
      </c>
      <c r="J2429" s="6" t="str">
        <f aca="false">IFERROR(INDEX('Semrush Data'!$A$1:$Z$20000,MATCH(A2429,'Semrush Data'!$A$1:$A$20000,0),MATCH("Intent",'Semrush Data'!$A$1:$Z$1,0)),"")</f>
        <v/>
      </c>
    </row>
    <row r="2430" customFormat="false" ht="15" hidden="false" customHeight="true" outlineLevel="0" collapsed="false">
      <c r="A2430" s="6" t="s">
        <v>7139</v>
      </c>
      <c r="B2430" s="6" t="s">
        <v>239</v>
      </c>
      <c r="C2430" s="6" t="n">
        <v>3</v>
      </c>
      <c r="D2430" s="6" t="n">
        <v>25</v>
      </c>
      <c r="E2430" s="6" t="n">
        <v>1</v>
      </c>
      <c r="F2430" s="6" t="s">
        <v>121</v>
      </c>
      <c r="G2430" s="28" t="str">
        <f aca="false">IFERROR(INDEX('Semrush Data'!$A$1:$Z$20000,MATCH(A2430,'Semrush Data'!$A$1:$A$20000,0),MATCH("Volume",'Semrush Data'!$A$1:$Z$1,0)),"")</f>
        <v/>
      </c>
      <c r="H2430" s="6" t="str">
        <f aca="false">IFERROR(INDEX('Semrush Data'!$A$1:$Z$20000,MATCH(A2430,'Semrush Data'!$A$1:$A$20000,0),MATCH("Keyword Difficulty*",'Semrush Data'!$A$1:$Z$1,0)),"")</f>
        <v/>
      </c>
      <c r="I2430" s="29" t="str">
        <f aca="false">IFERROR(INDEX('Semrush Data'!$A$1:$Z$20000,MATCH(A2430,'Semrush Data'!$A$1:$A$20000,0),MATCH("CPC*",'Semrush Data'!$A$1:$Z$1,0)),"")</f>
        <v/>
      </c>
      <c r="J2430" s="6" t="str">
        <f aca="false">IFERROR(INDEX('Semrush Data'!$A$1:$Z$20000,MATCH(A2430,'Semrush Data'!$A$1:$A$20000,0),MATCH("Intent",'Semrush Data'!$A$1:$Z$1,0)),"")</f>
        <v/>
      </c>
    </row>
    <row r="2431" customFormat="false" ht="15" hidden="false" customHeight="true" outlineLevel="0" collapsed="false">
      <c r="A2431" s="6" t="s">
        <v>7140</v>
      </c>
      <c r="B2431" s="6" t="s">
        <v>239</v>
      </c>
      <c r="C2431" s="6" t="n">
        <v>3</v>
      </c>
      <c r="D2431" s="6" t="s">
        <v>6870</v>
      </c>
      <c r="E2431" s="6" t="n">
        <v>1</v>
      </c>
      <c r="F2431" s="6" t="s">
        <v>121</v>
      </c>
      <c r="G2431" s="28" t="n">
        <f aca="false">IFERROR(INDEX('Semrush Data'!$A$1:$Z$20000,MATCH(A2431,'Semrush Data'!$A$1:$A$20000,0),MATCH("Volume",'Semrush Data'!$A$1:$Z$1,0)),"")</f>
        <v>20</v>
      </c>
      <c r="H2431" s="6" t="n">
        <f aca="false">IFERROR(INDEX('Semrush Data'!$A$1:$Z$20000,MATCH(A2431,'Semrush Data'!$A$1:$A$20000,0),MATCH("Keyword Difficulty*",'Semrush Data'!$A$1:$Z$1,0)),"")</f>
        <v>19</v>
      </c>
      <c r="I2431" s="29" t="n">
        <f aca="false">IFERROR(INDEX('Semrush Data'!$A$1:$Z$20000,MATCH(A2431,'Semrush Data'!$A$1:$A$20000,0),MATCH("CPC*",'Semrush Data'!$A$1:$Z$1,0)),"")</f>
        <v>0</v>
      </c>
      <c r="J2431" s="6" t="str">
        <f aca="false">IFERROR(INDEX('Semrush Data'!$A$1:$Z$20000,MATCH(A2431,'Semrush Data'!$A$1:$A$20000,0),MATCH("Intent",'Semrush Data'!$A$1:$Z$1,0)),"")</f>
        <v>Informational</v>
      </c>
    </row>
    <row r="2432" customFormat="false" ht="15" hidden="false" customHeight="true" outlineLevel="0" collapsed="false">
      <c r="A2432" s="6" t="s">
        <v>7141</v>
      </c>
      <c r="B2432" s="6" t="s">
        <v>239</v>
      </c>
      <c r="C2432" s="6" t="n">
        <v>3</v>
      </c>
      <c r="D2432" s="6" t="n">
        <v>25</v>
      </c>
      <c r="E2432" s="6" t="n">
        <v>1</v>
      </c>
      <c r="F2432" s="6" t="s">
        <v>121</v>
      </c>
      <c r="G2432" s="28" t="str">
        <f aca="false">IFERROR(INDEX('Semrush Data'!$A$1:$Z$20000,MATCH(A2432,'Semrush Data'!$A$1:$A$20000,0),MATCH("Volume",'Semrush Data'!$A$1:$Z$1,0)),"")</f>
        <v/>
      </c>
      <c r="H2432" s="6" t="str">
        <f aca="false">IFERROR(INDEX('Semrush Data'!$A$1:$Z$20000,MATCH(A2432,'Semrush Data'!$A$1:$A$20000,0),MATCH("Keyword Difficulty*",'Semrush Data'!$A$1:$Z$1,0)),"")</f>
        <v/>
      </c>
      <c r="I2432" s="29" t="str">
        <f aca="false">IFERROR(INDEX('Semrush Data'!$A$1:$Z$20000,MATCH(A2432,'Semrush Data'!$A$1:$A$20000,0),MATCH("CPC*",'Semrush Data'!$A$1:$Z$1,0)),"")</f>
        <v/>
      </c>
      <c r="J2432" s="6" t="str">
        <f aca="false">IFERROR(INDEX('Semrush Data'!$A$1:$Z$20000,MATCH(A2432,'Semrush Data'!$A$1:$A$20000,0),MATCH("Intent",'Semrush Data'!$A$1:$Z$1,0)),"")</f>
        <v/>
      </c>
    </row>
    <row r="2433" customFormat="false" ht="15" hidden="false" customHeight="true" outlineLevel="0" collapsed="false">
      <c r="A2433" s="6" t="s">
        <v>7142</v>
      </c>
      <c r="B2433" s="6" t="s">
        <v>239</v>
      </c>
      <c r="C2433" s="6" t="n">
        <v>3</v>
      </c>
      <c r="D2433" s="6" t="n">
        <v>25</v>
      </c>
      <c r="E2433" s="6" t="n">
        <v>1</v>
      </c>
      <c r="F2433" s="6" t="s">
        <v>121</v>
      </c>
      <c r="G2433" s="28" t="str">
        <f aca="false">IFERROR(INDEX('Semrush Data'!$A$1:$Z$20000,MATCH(A2433,'Semrush Data'!$A$1:$A$20000,0),MATCH("Volume",'Semrush Data'!$A$1:$Z$1,0)),"")</f>
        <v/>
      </c>
      <c r="H2433" s="6" t="str">
        <f aca="false">IFERROR(INDEX('Semrush Data'!$A$1:$Z$20000,MATCH(A2433,'Semrush Data'!$A$1:$A$20000,0),MATCH("Keyword Difficulty*",'Semrush Data'!$A$1:$Z$1,0)),"")</f>
        <v/>
      </c>
      <c r="I2433" s="29" t="str">
        <f aca="false">IFERROR(INDEX('Semrush Data'!$A$1:$Z$20000,MATCH(A2433,'Semrush Data'!$A$1:$A$20000,0),MATCH("CPC*",'Semrush Data'!$A$1:$Z$1,0)),"")</f>
        <v/>
      </c>
      <c r="J2433" s="6" t="str">
        <f aca="false">IFERROR(INDEX('Semrush Data'!$A$1:$Z$20000,MATCH(A2433,'Semrush Data'!$A$1:$A$20000,0),MATCH("Intent",'Semrush Data'!$A$1:$Z$1,0)),"")</f>
        <v/>
      </c>
    </row>
    <row r="2434" customFormat="false" ht="15" hidden="false" customHeight="true" outlineLevel="0" collapsed="false">
      <c r="A2434" s="6" t="s">
        <v>7143</v>
      </c>
      <c r="B2434" s="6" t="s">
        <v>239</v>
      </c>
      <c r="C2434" s="6" t="n">
        <v>3</v>
      </c>
      <c r="D2434" s="6" t="s">
        <v>6870</v>
      </c>
      <c r="E2434" s="6" t="n">
        <v>1</v>
      </c>
      <c r="F2434" s="6" t="s">
        <v>121</v>
      </c>
      <c r="G2434" s="28" t="n">
        <f aca="false">IFERROR(INDEX('Semrush Data'!$A$1:$Z$20000,MATCH(A2434,'Semrush Data'!$A$1:$A$20000,0),MATCH("Volume",'Semrush Data'!$A$1:$Z$1,0)),"")</f>
        <v>20</v>
      </c>
      <c r="H2434" s="6" t="n">
        <f aca="false">IFERROR(INDEX('Semrush Data'!$A$1:$Z$20000,MATCH(A2434,'Semrush Data'!$A$1:$A$20000,0),MATCH("Keyword Difficulty*",'Semrush Data'!$A$1:$Z$1,0)),"")</f>
        <v>10</v>
      </c>
      <c r="I2434" s="29" t="n">
        <f aca="false">IFERROR(INDEX('Semrush Data'!$A$1:$Z$20000,MATCH(A2434,'Semrush Data'!$A$1:$A$20000,0),MATCH("CPC*",'Semrush Data'!$A$1:$Z$1,0)),"")</f>
        <v>0</v>
      </c>
      <c r="J2434" s="6" t="str">
        <f aca="false">IFERROR(INDEX('Semrush Data'!$A$1:$Z$20000,MATCH(A2434,'Semrush Data'!$A$1:$A$20000,0),MATCH("Intent",'Semrush Data'!$A$1:$Z$1,0)),"")</f>
        <v>Commercial</v>
      </c>
    </row>
    <row r="2435" customFormat="false" ht="15" hidden="false" customHeight="true" outlineLevel="0" collapsed="false">
      <c r="A2435" s="6" t="s">
        <v>7144</v>
      </c>
      <c r="B2435" s="6" t="s">
        <v>239</v>
      </c>
      <c r="C2435" s="6" t="n">
        <v>3</v>
      </c>
      <c r="D2435" s="6" t="n">
        <v>25</v>
      </c>
      <c r="E2435" s="6" t="n">
        <v>1</v>
      </c>
      <c r="F2435" s="6" t="s">
        <v>3491</v>
      </c>
      <c r="G2435" s="28" t="str">
        <f aca="false">IFERROR(INDEX('Semrush Data'!$A$1:$Z$20000,MATCH(A2435,'Semrush Data'!$A$1:$A$20000,0),MATCH("Volume",'Semrush Data'!$A$1:$Z$1,0)),"")</f>
        <v/>
      </c>
      <c r="H2435" s="6" t="str">
        <f aca="false">IFERROR(INDEX('Semrush Data'!$A$1:$Z$20000,MATCH(A2435,'Semrush Data'!$A$1:$A$20000,0),MATCH("Keyword Difficulty*",'Semrush Data'!$A$1:$Z$1,0)),"")</f>
        <v/>
      </c>
      <c r="I2435" s="29" t="str">
        <f aca="false">IFERROR(INDEX('Semrush Data'!$A$1:$Z$20000,MATCH(A2435,'Semrush Data'!$A$1:$A$20000,0),MATCH("CPC*",'Semrush Data'!$A$1:$Z$1,0)),"")</f>
        <v/>
      </c>
      <c r="J2435" s="6" t="str">
        <f aca="false">IFERROR(INDEX('Semrush Data'!$A$1:$Z$20000,MATCH(A2435,'Semrush Data'!$A$1:$A$20000,0),MATCH("Intent",'Semrush Data'!$A$1:$Z$1,0)),"")</f>
        <v/>
      </c>
    </row>
    <row r="2436" customFormat="false" ht="15" hidden="false" customHeight="true" outlineLevel="0" collapsed="false">
      <c r="A2436" s="6" t="s">
        <v>7145</v>
      </c>
      <c r="B2436" s="6" t="s">
        <v>239</v>
      </c>
      <c r="C2436" s="6" t="n">
        <v>3</v>
      </c>
      <c r="D2436" s="6" t="n">
        <v>25</v>
      </c>
      <c r="E2436" s="6" t="n">
        <v>1</v>
      </c>
      <c r="F2436" s="6" t="s">
        <v>3491</v>
      </c>
      <c r="G2436" s="28" t="str">
        <f aca="false">IFERROR(INDEX('Semrush Data'!$A$1:$Z$20000,MATCH(A2436,'Semrush Data'!$A$1:$A$20000,0),MATCH("Volume",'Semrush Data'!$A$1:$Z$1,0)),"")</f>
        <v/>
      </c>
      <c r="H2436" s="6" t="str">
        <f aca="false">IFERROR(INDEX('Semrush Data'!$A$1:$Z$20000,MATCH(A2436,'Semrush Data'!$A$1:$A$20000,0),MATCH("Keyword Difficulty*",'Semrush Data'!$A$1:$Z$1,0)),"")</f>
        <v/>
      </c>
      <c r="I2436" s="29" t="str">
        <f aca="false">IFERROR(INDEX('Semrush Data'!$A$1:$Z$20000,MATCH(A2436,'Semrush Data'!$A$1:$A$20000,0),MATCH("CPC*",'Semrush Data'!$A$1:$Z$1,0)),"")</f>
        <v/>
      </c>
      <c r="J2436" s="6" t="str">
        <f aca="false">IFERROR(INDEX('Semrush Data'!$A$1:$Z$20000,MATCH(A2436,'Semrush Data'!$A$1:$A$20000,0),MATCH("Intent",'Semrush Data'!$A$1:$Z$1,0)),"")</f>
        <v/>
      </c>
    </row>
    <row r="2437" customFormat="false" ht="15" hidden="false" customHeight="true" outlineLevel="0" collapsed="false">
      <c r="A2437" s="6" t="s">
        <v>7146</v>
      </c>
      <c r="B2437" s="6" t="s">
        <v>239</v>
      </c>
      <c r="C2437" s="6" t="n">
        <v>3</v>
      </c>
      <c r="D2437" s="6" t="n">
        <v>25</v>
      </c>
      <c r="E2437" s="6" t="n">
        <v>1</v>
      </c>
      <c r="F2437" s="6" t="s">
        <v>3491</v>
      </c>
      <c r="G2437" s="28" t="str">
        <f aca="false">IFERROR(INDEX('Semrush Data'!$A$1:$Z$20000,MATCH(A2437,'Semrush Data'!$A$1:$A$20000,0),MATCH("Volume",'Semrush Data'!$A$1:$Z$1,0)),"")</f>
        <v/>
      </c>
      <c r="H2437" s="6" t="str">
        <f aca="false">IFERROR(INDEX('Semrush Data'!$A$1:$Z$20000,MATCH(A2437,'Semrush Data'!$A$1:$A$20000,0),MATCH("Keyword Difficulty*",'Semrush Data'!$A$1:$Z$1,0)),"")</f>
        <v/>
      </c>
      <c r="I2437" s="29" t="str">
        <f aca="false">IFERROR(INDEX('Semrush Data'!$A$1:$Z$20000,MATCH(A2437,'Semrush Data'!$A$1:$A$20000,0),MATCH("CPC*",'Semrush Data'!$A$1:$Z$1,0)),"")</f>
        <v/>
      </c>
      <c r="J2437" s="6" t="str">
        <f aca="false">IFERROR(INDEX('Semrush Data'!$A$1:$Z$20000,MATCH(A2437,'Semrush Data'!$A$1:$A$20000,0),MATCH("Intent",'Semrush Data'!$A$1:$Z$1,0)),"")</f>
        <v/>
      </c>
    </row>
    <row r="2438" customFormat="false" ht="15" hidden="false" customHeight="true" outlineLevel="0" collapsed="false">
      <c r="A2438" s="6" t="s">
        <v>7147</v>
      </c>
      <c r="B2438" s="6" t="s">
        <v>239</v>
      </c>
      <c r="C2438" s="6" t="n">
        <v>3</v>
      </c>
      <c r="D2438" s="6" t="n">
        <v>25</v>
      </c>
      <c r="E2438" s="6" t="n">
        <v>1</v>
      </c>
      <c r="F2438" s="6" t="s">
        <v>3491</v>
      </c>
      <c r="G2438" s="28" t="str">
        <f aca="false">IFERROR(INDEX('Semrush Data'!$A$1:$Z$20000,MATCH(A2438,'Semrush Data'!$A$1:$A$20000,0),MATCH("Volume",'Semrush Data'!$A$1:$Z$1,0)),"")</f>
        <v/>
      </c>
      <c r="H2438" s="6" t="str">
        <f aca="false">IFERROR(INDEX('Semrush Data'!$A$1:$Z$20000,MATCH(A2438,'Semrush Data'!$A$1:$A$20000,0),MATCH("Keyword Difficulty*",'Semrush Data'!$A$1:$Z$1,0)),"")</f>
        <v/>
      </c>
      <c r="I2438" s="29" t="str">
        <f aca="false">IFERROR(INDEX('Semrush Data'!$A$1:$Z$20000,MATCH(A2438,'Semrush Data'!$A$1:$A$20000,0),MATCH("CPC*",'Semrush Data'!$A$1:$Z$1,0)),"")</f>
        <v/>
      </c>
      <c r="J2438" s="6" t="str">
        <f aca="false">IFERROR(INDEX('Semrush Data'!$A$1:$Z$20000,MATCH(A2438,'Semrush Data'!$A$1:$A$20000,0),MATCH("Intent",'Semrush Data'!$A$1:$Z$1,0)),"")</f>
        <v/>
      </c>
    </row>
    <row r="2439" customFormat="false" ht="15" hidden="false" customHeight="true" outlineLevel="0" collapsed="false">
      <c r="A2439" s="6" t="s">
        <v>7148</v>
      </c>
      <c r="B2439" s="6" t="s">
        <v>239</v>
      </c>
      <c r="C2439" s="6" t="n">
        <v>3</v>
      </c>
      <c r="D2439" s="6" t="n">
        <v>25</v>
      </c>
      <c r="E2439" s="6" t="n">
        <v>1</v>
      </c>
      <c r="F2439" s="6" t="s">
        <v>3491</v>
      </c>
      <c r="G2439" s="28" t="str">
        <f aca="false">IFERROR(INDEX('Semrush Data'!$A$1:$Z$20000,MATCH(A2439,'Semrush Data'!$A$1:$A$20000,0),MATCH("Volume",'Semrush Data'!$A$1:$Z$1,0)),"")</f>
        <v/>
      </c>
      <c r="H2439" s="6" t="str">
        <f aca="false">IFERROR(INDEX('Semrush Data'!$A$1:$Z$20000,MATCH(A2439,'Semrush Data'!$A$1:$A$20000,0),MATCH("Keyword Difficulty*",'Semrush Data'!$A$1:$Z$1,0)),"")</f>
        <v/>
      </c>
      <c r="I2439" s="29" t="str">
        <f aca="false">IFERROR(INDEX('Semrush Data'!$A$1:$Z$20000,MATCH(A2439,'Semrush Data'!$A$1:$A$20000,0),MATCH("CPC*",'Semrush Data'!$A$1:$Z$1,0)),"")</f>
        <v/>
      </c>
      <c r="J2439" s="6" t="str">
        <f aca="false">IFERROR(INDEX('Semrush Data'!$A$1:$Z$20000,MATCH(A2439,'Semrush Data'!$A$1:$A$20000,0),MATCH("Intent",'Semrush Data'!$A$1:$Z$1,0)),"")</f>
        <v/>
      </c>
    </row>
    <row r="2440" customFormat="false" ht="15" hidden="false" customHeight="true" outlineLevel="0" collapsed="false">
      <c r="A2440" s="6" t="s">
        <v>7149</v>
      </c>
      <c r="B2440" s="6" t="s">
        <v>239</v>
      </c>
      <c r="C2440" s="6" t="n">
        <v>3</v>
      </c>
      <c r="D2440" s="6" t="n">
        <v>25</v>
      </c>
      <c r="E2440" s="6" t="n">
        <v>1</v>
      </c>
      <c r="F2440" s="6" t="s">
        <v>3514</v>
      </c>
      <c r="G2440" s="28" t="str">
        <f aca="false">IFERROR(INDEX('Semrush Data'!$A$1:$Z$20000,MATCH(A2440,'Semrush Data'!$A$1:$A$20000,0),MATCH("Volume",'Semrush Data'!$A$1:$Z$1,0)),"")</f>
        <v/>
      </c>
      <c r="H2440" s="6" t="str">
        <f aca="false">IFERROR(INDEX('Semrush Data'!$A$1:$Z$20000,MATCH(A2440,'Semrush Data'!$A$1:$A$20000,0),MATCH("Keyword Difficulty*",'Semrush Data'!$A$1:$Z$1,0)),"")</f>
        <v/>
      </c>
      <c r="I2440" s="29" t="str">
        <f aca="false">IFERROR(INDEX('Semrush Data'!$A$1:$Z$20000,MATCH(A2440,'Semrush Data'!$A$1:$A$20000,0),MATCH("CPC*",'Semrush Data'!$A$1:$Z$1,0)),"")</f>
        <v/>
      </c>
      <c r="J2440" s="6" t="str">
        <f aca="false">IFERROR(INDEX('Semrush Data'!$A$1:$Z$20000,MATCH(A2440,'Semrush Data'!$A$1:$A$20000,0),MATCH("Intent",'Semrush Data'!$A$1:$Z$1,0)),"")</f>
        <v/>
      </c>
    </row>
    <row r="2441" customFormat="false" ht="15" hidden="false" customHeight="true" outlineLevel="0" collapsed="false">
      <c r="A2441" s="6" t="s">
        <v>7150</v>
      </c>
      <c r="B2441" s="6" t="s">
        <v>239</v>
      </c>
      <c r="C2441" s="6" t="n">
        <v>3</v>
      </c>
      <c r="D2441" s="6" t="n">
        <v>25</v>
      </c>
      <c r="E2441" s="6" t="n">
        <v>1</v>
      </c>
      <c r="F2441" s="6" t="s">
        <v>3514</v>
      </c>
      <c r="G2441" s="28" t="str">
        <f aca="false">IFERROR(INDEX('Semrush Data'!$A$1:$Z$20000,MATCH(A2441,'Semrush Data'!$A$1:$A$20000,0),MATCH("Volume",'Semrush Data'!$A$1:$Z$1,0)),"")</f>
        <v/>
      </c>
      <c r="H2441" s="6" t="str">
        <f aca="false">IFERROR(INDEX('Semrush Data'!$A$1:$Z$20000,MATCH(A2441,'Semrush Data'!$A$1:$A$20000,0),MATCH("Keyword Difficulty*",'Semrush Data'!$A$1:$Z$1,0)),"")</f>
        <v/>
      </c>
      <c r="I2441" s="29" t="str">
        <f aca="false">IFERROR(INDEX('Semrush Data'!$A$1:$Z$20000,MATCH(A2441,'Semrush Data'!$A$1:$A$20000,0),MATCH("CPC*",'Semrush Data'!$A$1:$Z$1,0)),"")</f>
        <v/>
      </c>
      <c r="J2441" s="6" t="str">
        <f aca="false">IFERROR(INDEX('Semrush Data'!$A$1:$Z$20000,MATCH(A2441,'Semrush Data'!$A$1:$A$20000,0),MATCH("Intent",'Semrush Data'!$A$1:$Z$1,0)),"")</f>
        <v/>
      </c>
    </row>
    <row r="2442" customFormat="false" ht="15" hidden="false" customHeight="true" outlineLevel="0" collapsed="false">
      <c r="A2442" s="6" t="s">
        <v>7151</v>
      </c>
      <c r="B2442" s="6" t="s">
        <v>239</v>
      </c>
      <c r="C2442" s="6" t="n">
        <v>3</v>
      </c>
      <c r="D2442" s="6" t="n">
        <v>25</v>
      </c>
      <c r="E2442" s="6" t="n">
        <v>1</v>
      </c>
      <c r="F2442" s="6" t="s">
        <v>3514</v>
      </c>
      <c r="G2442" s="28" t="str">
        <f aca="false">IFERROR(INDEX('Semrush Data'!$A$1:$Z$20000,MATCH(A2442,'Semrush Data'!$A$1:$A$20000,0),MATCH("Volume",'Semrush Data'!$A$1:$Z$1,0)),"")</f>
        <v/>
      </c>
      <c r="H2442" s="6" t="str">
        <f aca="false">IFERROR(INDEX('Semrush Data'!$A$1:$Z$20000,MATCH(A2442,'Semrush Data'!$A$1:$A$20000,0),MATCH("Keyword Difficulty*",'Semrush Data'!$A$1:$Z$1,0)),"")</f>
        <v/>
      </c>
      <c r="I2442" s="29" t="str">
        <f aca="false">IFERROR(INDEX('Semrush Data'!$A$1:$Z$20000,MATCH(A2442,'Semrush Data'!$A$1:$A$20000,0),MATCH("CPC*",'Semrush Data'!$A$1:$Z$1,0)),"")</f>
        <v/>
      </c>
      <c r="J2442" s="6" t="str">
        <f aca="false">IFERROR(INDEX('Semrush Data'!$A$1:$Z$20000,MATCH(A2442,'Semrush Data'!$A$1:$A$20000,0),MATCH("Intent",'Semrush Data'!$A$1:$Z$1,0)),"")</f>
        <v/>
      </c>
    </row>
    <row r="2443" customFormat="false" ht="15" hidden="false" customHeight="true" outlineLevel="0" collapsed="false">
      <c r="A2443" s="6" t="s">
        <v>7152</v>
      </c>
      <c r="B2443" s="6" t="s">
        <v>239</v>
      </c>
      <c r="C2443" s="6" t="n">
        <v>3</v>
      </c>
      <c r="D2443" s="6" t="n">
        <v>25</v>
      </c>
      <c r="E2443" s="6" t="n">
        <v>1</v>
      </c>
      <c r="F2443" s="6" t="s">
        <v>3514</v>
      </c>
      <c r="G2443" s="28" t="str">
        <f aca="false">IFERROR(INDEX('Semrush Data'!$A$1:$Z$20000,MATCH(A2443,'Semrush Data'!$A$1:$A$20000,0),MATCH("Volume",'Semrush Data'!$A$1:$Z$1,0)),"")</f>
        <v/>
      </c>
      <c r="H2443" s="6" t="str">
        <f aca="false">IFERROR(INDEX('Semrush Data'!$A$1:$Z$20000,MATCH(A2443,'Semrush Data'!$A$1:$A$20000,0),MATCH("Keyword Difficulty*",'Semrush Data'!$A$1:$Z$1,0)),"")</f>
        <v/>
      </c>
      <c r="I2443" s="29" t="str">
        <f aca="false">IFERROR(INDEX('Semrush Data'!$A$1:$Z$20000,MATCH(A2443,'Semrush Data'!$A$1:$A$20000,0),MATCH("CPC*",'Semrush Data'!$A$1:$Z$1,0)),"")</f>
        <v/>
      </c>
      <c r="J2443" s="6" t="str">
        <f aca="false">IFERROR(INDEX('Semrush Data'!$A$1:$Z$20000,MATCH(A2443,'Semrush Data'!$A$1:$A$20000,0),MATCH("Intent",'Semrush Data'!$A$1:$Z$1,0)),"")</f>
        <v/>
      </c>
    </row>
    <row r="2444" customFormat="false" ht="15" hidden="false" customHeight="true" outlineLevel="0" collapsed="false">
      <c r="A2444" s="6" t="s">
        <v>7153</v>
      </c>
      <c r="B2444" s="6" t="s">
        <v>239</v>
      </c>
      <c r="C2444" s="6" t="n">
        <v>3</v>
      </c>
      <c r="D2444" s="6" t="n">
        <v>25</v>
      </c>
      <c r="E2444" s="6" t="n">
        <v>1</v>
      </c>
      <c r="F2444" s="6" t="s">
        <v>3514</v>
      </c>
      <c r="G2444" s="28" t="str">
        <f aca="false">IFERROR(INDEX('Semrush Data'!$A$1:$Z$20000,MATCH(A2444,'Semrush Data'!$A$1:$A$20000,0),MATCH("Volume",'Semrush Data'!$A$1:$Z$1,0)),"")</f>
        <v/>
      </c>
      <c r="H2444" s="6" t="str">
        <f aca="false">IFERROR(INDEX('Semrush Data'!$A$1:$Z$20000,MATCH(A2444,'Semrush Data'!$A$1:$A$20000,0),MATCH("Keyword Difficulty*",'Semrush Data'!$A$1:$Z$1,0)),"")</f>
        <v/>
      </c>
      <c r="I2444" s="29" t="str">
        <f aca="false">IFERROR(INDEX('Semrush Data'!$A$1:$Z$20000,MATCH(A2444,'Semrush Data'!$A$1:$A$20000,0),MATCH("CPC*",'Semrush Data'!$A$1:$Z$1,0)),"")</f>
        <v/>
      </c>
      <c r="J2444" s="6" t="str">
        <f aca="false">IFERROR(INDEX('Semrush Data'!$A$1:$Z$20000,MATCH(A2444,'Semrush Data'!$A$1:$A$20000,0),MATCH("Intent",'Semrush Data'!$A$1:$Z$1,0)),"")</f>
        <v/>
      </c>
    </row>
    <row r="2445" customFormat="false" ht="15" hidden="false" customHeight="true" outlineLevel="0" collapsed="false">
      <c r="A2445" s="6" t="s">
        <v>7154</v>
      </c>
      <c r="B2445" s="6" t="s">
        <v>239</v>
      </c>
      <c r="C2445" s="6" t="n">
        <v>3</v>
      </c>
      <c r="D2445" s="6" t="n">
        <v>25</v>
      </c>
      <c r="E2445" s="6" t="n">
        <v>1</v>
      </c>
      <c r="F2445" s="6" t="s">
        <v>93</v>
      </c>
      <c r="G2445" s="28" t="str">
        <f aca="false">IFERROR(INDEX('Semrush Data'!$A$1:$Z$20000,MATCH(A2445,'Semrush Data'!$A$1:$A$20000,0),MATCH("Volume",'Semrush Data'!$A$1:$Z$1,0)),"")</f>
        <v/>
      </c>
      <c r="H2445" s="6" t="str">
        <f aca="false">IFERROR(INDEX('Semrush Data'!$A$1:$Z$20000,MATCH(A2445,'Semrush Data'!$A$1:$A$20000,0),MATCH("Keyword Difficulty*",'Semrush Data'!$A$1:$Z$1,0)),"")</f>
        <v/>
      </c>
      <c r="I2445" s="29" t="str">
        <f aca="false">IFERROR(INDEX('Semrush Data'!$A$1:$Z$20000,MATCH(A2445,'Semrush Data'!$A$1:$A$20000,0),MATCH("CPC*",'Semrush Data'!$A$1:$Z$1,0)),"")</f>
        <v/>
      </c>
      <c r="J2445" s="6" t="str">
        <f aca="false">IFERROR(INDEX('Semrush Data'!$A$1:$Z$20000,MATCH(A2445,'Semrush Data'!$A$1:$A$20000,0),MATCH("Intent",'Semrush Data'!$A$1:$Z$1,0)),"")</f>
        <v/>
      </c>
    </row>
    <row r="2446" customFormat="false" ht="15" hidden="false" customHeight="true" outlineLevel="0" collapsed="false">
      <c r="A2446" s="6" t="s">
        <v>7155</v>
      </c>
      <c r="B2446" s="6" t="s">
        <v>239</v>
      </c>
      <c r="C2446" s="6" t="n">
        <v>3</v>
      </c>
      <c r="D2446" s="6" t="n">
        <v>25</v>
      </c>
      <c r="E2446" s="6" t="n">
        <v>1</v>
      </c>
      <c r="F2446" s="6" t="s">
        <v>93</v>
      </c>
      <c r="G2446" s="28" t="str">
        <f aca="false">IFERROR(INDEX('Semrush Data'!$A$1:$Z$20000,MATCH(A2446,'Semrush Data'!$A$1:$A$20000,0),MATCH("Volume",'Semrush Data'!$A$1:$Z$1,0)),"")</f>
        <v/>
      </c>
      <c r="H2446" s="6" t="str">
        <f aca="false">IFERROR(INDEX('Semrush Data'!$A$1:$Z$20000,MATCH(A2446,'Semrush Data'!$A$1:$A$20000,0),MATCH("Keyword Difficulty*",'Semrush Data'!$A$1:$Z$1,0)),"")</f>
        <v/>
      </c>
      <c r="I2446" s="29" t="str">
        <f aca="false">IFERROR(INDEX('Semrush Data'!$A$1:$Z$20000,MATCH(A2446,'Semrush Data'!$A$1:$A$20000,0),MATCH("CPC*",'Semrush Data'!$A$1:$Z$1,0)),"")</f>
        <v/>
      </c>
      <c r="J2446" s="6" t="str">
        <f aca="false">IFERROR(INDEX('Semrush Data'!$A$1:$Z$20000,MATCH(A2446,'Semrush Data'!$A$1:$A$20000,0),MATCH("Intent",'Semrush Data'!$A$1:$Z$1,0)),"")</f>
        <v/>
      </c>
    </row>
    <row r="2447" customFormat="false" ht="15" hidden="false" customHeight="true" outlineLevel="0" collapsed="false">
      <c r="A2447" s="6" t="s">
        <v>262</v>
      </c>
      <c r="B2447" s="6" t="s">
        <v>239</v>
      </c>
      <c r="C2447" s="6" t="n">
        <v>3</v>
      </c>
      <c r="D2447" s="6" t="s">
        <v>6870</v>
      </c>
      <c r="E2447" s="6" t="n">
        <v>1</v>
      </c>
      <c r="F2447" s="6" t="s">
        <v>93</v>
      </c>
      <c r="G2447" s="28" t="n">
        <f aca="false">IFERROR(INDEX('Semrush Data'!$A$1:$Z$20000,MATCH(A2447,'Semrush Data'!$A$1:$A$20000,0),MATCH("Volume",'Semrush Data'!$A$1:$Z$1,0)),"")</f>
        <v>70</v>
      </c>
      <c r="H2447" s="6" t="n">
        <f aca="false">IFERROR(INDEX('Semrush Data'!$A$1:$Z$20000,MATCH(A2447,'Semrush Data'!$A$1:$A$20000,0),MATCH("Keyword Difficulty*",'Semrush Data'!$A$1:$Z$1,0)),"")</f>
        <v>18</v>
      </c>
      <c r="I2447" s="29" t="n">
        <f aca="false">IFERROR(INDEX('Semrush Data'!$A$1:$Z$20000,MATCH(A2447,'Semrush Data'!$A$1:$A$20000,0),MATCH("CPC*",'Semrush Data'!$A$1:$Z$1,0)),"")</f>
        <v>0.27</v>
      </c>
      <c r="J2447" s="6" t="str">
        <f aca="false">IFERROR(INDEX('Semrush Data'!$A$1:$Z$20000,MATCH(A2447,'Semrush Data'!$A$1:$A$20000,0),MATCH("Intent",'Semrush Data'!$A$1:$Z$1,0)),"")</f>
        <v>Informational</v>
      </c>
    </row>
    <row r="2448" customFormat="false" ht="15" hidden="false" customHeight="true" outlineLevel="0" collapsed="false">
      <c r="A2448" s="6" t="s">
        <v>7156</v>
      </c>
      <c r="B2448" s="6" t="s">
        <v>239</v>
      </c>
      <c r="C2448" s="6" t="n">
        <v>3</v>
      </c>
      <c r="D2448" s="6" t="n">
        <v>25</v>
      </c>
      <c r="E2448" s="6" t="n">
        <v>1</v>
      </c>
      <c r="F2448" s="6" t="s">
        <v>93</v>
      </c>
      <c r="G2448" s="28" t="str">
        <f aca="false">IFERROR(INDEX('Semrush Data'!$A$1:$Z$20000,MATCH(A2448,'Semrush Data'!$A$1:$A$20000,0),MATCH("Volume",'Semrush Data'!$A$1:$Z$1,0)),"")</f>
        <v/>
      </c>
      <c r="H2448" s="6" t="str">
        <f aca="false">IFERROR(INDEX('Semrush Data'!$A$1:$Z$20000,MATCH(A2448,'Semrush Data'!$A$1:$A$20000,0),MATCH("Keyword Difficulty*",'Semrush Data'!$A$1:$Z$1,0)),"")</f>
        <v/>
      </c>
      <c r="I2448" s="29" t="str">
        <f aca="false">IFERROR(INDEX('Semrush Data'!$A$1:$Z$20000,MATCH(A2448,'Semrush Data'!$A$1:$A$20000,0),MATCH("CPC*",'Semrush Data'!$A$1:$Z$1,0)),"")</f>
        <v/>
      </c>
      <c r="J2448" s="6" t="str">
        <f aca="false">IFERROR(INDEX('Semrush Data'!$A$1:$Z$20000,MATCH(A2448,'Semrush Data'!$A$1:$A$20000,0),MATCH("Intent",'Semrush Data'!$A$1:$Z$1,0)),"")</f>
        <v/>
      </c>
    </row>
    <row r="2449" customFormat="false" ht="15" hidden="false" customHeight="true" outlineLevel="0" collapsed="false">
      <c r="A2449" s="6" t="s">
        <v>7157</v>
      </c>
      <c r="B2449" s="6" t="s">
        <v>239</v>
      </c>
      <c r="C2449" s="6" t="n">
        <v>3</v>
      </c>
      <c r="D2449" s="6" t="s">
        <v>6870</v>
      </c>
      <c r="E2449" s="6" t="n">
        <v>1</v>
      </c>
      <c r="F2449" s="6" t="s">
        <v>93</v>
      </c>
      <c r="G2449" s="28" t="n">
        <f aca="false">IFERROR(INDEX('Semrush Data'!$A$1:$Z$20000,MATCH(A2449,'Semrush Data'!$A$1:$A$20000,0),MATCH("Volume",'Semrush Data'!$A$1:$Z$1,0)),"")</f>
        <v>20</v>
      </c>
      <c r="H2449" s="6" t="n">
        <f aca="false">IFERROR(INDEX('Semrush Data'!$A$1:$Z$20000,MATCH(A2449,'Semrush Data'!$A$1:$A$20000,0),MATCH("Keyword Difficulty*",'Semrush Data'!$A$1:$Z$1,0)),"")</f>
        <v>16</v>
      </c>
      <c r="I2449" s="29" t="n">
        <f aca="false">IFERROR(INDEX('Semrush Data'!$A$1:$Z$20000,MATCH(A2449,'Semrush Data'!$A$1:$A$20000,0),MATCH("CPC*",'Semrush Data'!$A$1:$Z$1,0)),"")</f>
        <v>0</v>
      </c>
      <c r="J2449" s="6" t="str">
        <f aca="false">IFERROR(INDEX('Semrush Data'!$A$1:$Z$20000,MATCH(A2449,'Semrush Data'!$A$1:$A$20000,0),MATCH("Intent",'Semrush Data'!$A$1:$Z$1,0)),"")</f>
        <v>Commercial</v>
      </c>
    </row>
    <row r="2450" customFormat="false" ht="15" hidden="false" customHeight="true" outlineLevel="0" collapsed="false">
      <c r="A2450" s="6" t="s">
        <v>1253</v>
      </c>
      <c r="B2450" s="6" t="s">
        <v>239</v>
      </c>
      <c r="C2450" s="6" t="n">
        <v>3</v>
      </c>
      <c r="D2450" s="6" t="s">
        <v>6893</v>
      </c>
      <c r="E2450" s="6" t="n">
        <v>1</v>
      </c>
      <c r="F2450" s="6" t="s">
        <v>1246</v>
      </c>
      <c r="G2450" s="28" t="n">
        <f aca="false">IFERROR(INDEX('Semrush Data'!$A$1:$Z$20000,MATCH(A2450,'Semrush Data'!$A$1:$A$20000,0),MATCH("Volume",'Semrush Data'!$A$1:$Z$1,0)),"")</f>
        <v>0</v>
      </c>
      <c r="H2450" s="6" t="n">
        <f aca="false">IFERROR(INDEX('Semrush Data'!$A$1:$Z$20000,MATCH(A2450,'Semrush Data'!$A$1:$A$20000,0),MATCH("Keyword Difficulty*",'Semrush Data'!$A$1:$Z$1,0)),"")</f>
        <v>22</v>
      </c>
      <c r="I2450" s="29" t="n">
        <f aca="false">IFERROR(INDEX('Semrush Data'!$A$1:$Z$20000,MATCH(A2450,'Semrush Data'!$A$1:$A$20000,0),MATCH("CPC*",'Semrush Data'!$A$1:$Z$1,0)),"")</f>
        <v>0</v>
      </c>
      <c r="J2450" s="6" t="str">
        <f aca="false">IFERROR(INDEX('Semrush Data'!$A$1:$Z$20000,MATCH(A2450,'Semrush Data'!$A$1:$A$20000,0),MATCH("Intent",'Semrush Data'!$A$1:$Z$1,0)),"")</f>
        <v>Informational Transactional</v>
      </c>
    </row>
    <row r="2451" customFormat="false" ht="15" hidden="false" customHeight="true" outlineLevel="0" collapsed="false">
      <c r="A2451" s="6" t="s">
        <v>1191</v>
      </c>
      <c r="B2451" s="6" t="s">
        <v>239</v>
      </c>
      <c r="C2451" s="6" t="n">
        <v>3</v>
      </c>
      <c r="D2451" s="6" t="s">
        <v>6893</v>
      </c>
      <c r="E2451" s="6" t="n">
        <v>1</v>
      </c>
      <c r="F2451" s="6" t="s">
        <v>1185</v>
      </c>
      <c r="G2451" s="28" t="n">
        <f aca="false">IFERROR(INDEX('Semrush Data'!$A$1:$Z$20000,MATCH(A2451,'Semrush Data'!$A$1:$A$20000,0),MATCH("Volume",'Semrush Data'!$A$1:$Z$1,0)),"")</f>
        <v>0</v>
      </c>
      <c r="H2451" s="6" t="n">
        <f aca="false">IFERROR(INDEX('Semrush Data'!$A$1:$Z$20000,MATCH(A2451,'Semrush Data'!$A$1:$A$20000,0),MATCH("Keyword Difficulty*",'Semrush Data'!$A$1:$Z$1,0)),"")</f>
        <v>15</v>
      </c>
      <c r="I2451" s="29" t="n">
        <f aca="false">IFERROR(INDEX('Semrush Data'!$A$1:$Z$20000,MATCH(A2451,'Semrush Data'!$A$1:$A$20000,0),MATCH("CPC*",'Semrush Data'!$A$1:$Z$1,0)),"")</f>
        <v>0</v>
      </c>
      <c r="J2451" s="6" t="str">
        <f aca="false">IFERROR(INDEX('Semrush Data'!$A$1:$Z$20000,MATCH(A2451,'Semrush Data'!$A$1:$A$20000,0),MATCH("Intent",'Semrush Data'!$A$1:$Z$1,0)),"")</f>
        <v>Transactional Navigational</v>
      </c>
    </row>
    <row r="2452" customFormat="false" ht="15" hidden="false" customHeight="true" outlineLevel="0" collapsed="false">
      <c r="A2452" s="6" t="s">
        <v>7158</v>
      </c>
      <c r="B2452" s="6" t="s">
        <v>239</v>
      </c>
      <c r="C2452" s="6" t="n">
        <v>3</v>
      </c>
      <c r="D2452" s="6" t="n">
        <v>25</v>
      </c>
      <c r="E2452" s="6" t="n">
        <v>1</v>
      </c>
      <c r="F2452" s="6" t="s">
        <v>1178</v>
      </c>
      <c r="G2452" s="28" t="str">
        <f aca="false">IFERROR(INDEX('Semrush Data'!$A$1:$Z$20000,MATCH(A2452,'Semrush Data'!$A$1:$A$20000,0),MATCH("Volume",'Semrush Data'!$A$1:$Z$1,0)),"")</f>
        <v/>
      </c>
      <c r="H2452" s="6" t="str">
        <f aca="false">IFERROR(INDEX('Semrush Data'!$A$1:$Z$20000,MATCH(A2452,'Semrush Data'!$A$1:$A$20000,0),MATCH("Keyword Difficulty*",'Semrush Data'!$A$1:$Z$1,0)),"")</f>
        <v/>
      </c>
      <c r="I2452" s="29" t="str">
        <f aca="false">IFERROR(INDEX('Semrush Data'!$A$1:$Z$20000,MATCH(A2452,'Semrush Data'!$A$1:$A$20000,0),MATCH("CPC*",'Semrush Data'!$A$1:$Z$1,0)),"")</f>
        <v/>
      </c>
      <c r="J2452" s="6" t="str">
        <f aca="false">IFERROR(INDEX('Semrush Data'!$A$1:$Z$20000,MATCH(A2452,'Semrush Data'!$A$1:$A$20000,0),MATCH("Intent",'Semrush Data'!$A$1:$Z$1,0)),"")</f>
        <v/>
      </c>
    </row>
    <row r="2453" customFormat="false" ht="15" hidden="false" customHeight="true" outlineLevel="0" collapsed="false">
      <c r="A2453" s="6" t="s">
        <v>7159</v>
      </c>
      <c r="B2453" s="6" t="s">
        <v>239</v>
      </c>
      <c r="C2453" s="6" t="n">
        <v>3</v>
      </c>
      <c r="D2453" s="6" t="s">
        <v>6893</v>
      </c>
      <c r="E2453" s="6" t="n">
        <v>1</v>
      </c>
      <c r="F2453" s="6" t="s">
        <v>1178</v>
      </c>
      <c r="G2453" s="28" t="n">
        <f aca="false">IFERROR(INDEX('Semrush Data'!$A$1:$Z$20000,MATCH(A2453,'Semrush Data'!$A$1:$A$20000,0),MATCH("Volume",'Semrush Data'!$A$1:$Z$1,0)),"")</f>
        <v>0</v>
      </c>
      <c r="H2453" s="6" t="n">
        <f aca="false">IFERROR(INDEX('Semrush Data'!$A$1:$Z$20000,MATCH(A2453,'Semrush Data'!$A$1:$A$20000,0),MATCH("Keyword Difficulty*",'Semrush Data'!$A$1:$Z$1,0)),"")</f>
        <v>14</v>
      </c>
      <c r="I2453" s="29" t="n">
        <f aca="false">IFERROR(INDEX('Semrush Data'!$A$1:$Z$20000,MATCH(A2453,'Semrush Data'!$A$1:$A$20000,0),MATCH("CPC*",'Semrush Data'!$A$1:$Z$1,0)),"")</f>
        <v>0</v>
      </c>
      <c r="J2453" s="6" t="str">
        <f aca="false">IFERROR(INDEX('Semrush Data'!$A$1:$Z$20000,MATCH(A2453,'Semrush Data'!$A$1:$A$20000,0),MATCH("Intent",'Semrush Data'!$A$1:$Z$1,0)),"")</f>
        <v>Commercial</v>
      </c>
    </row>
    <row r="2454" customFormat="false" ht="15" hidden="false" customHeight="true" outlineLevel="0" collapsed="false">
      <c r="A2454" s="6" t="s">
        <v>7160</v>
      </c>
      <c r="B2454" s="6" t="s">
        <v>239</v>
      </c>
      <c r="C2454" s="6" t="n">
        <v>3</v>
      </c>
      <c r="D2454" s="6" t="n">
        <v>25</v>
      </c>
      <c r="E2454" s="6" t="n">
        <v>1</v>
      </c>
      <c r="F2454" s="6" t="s">
        <v>958</v>
      </c>
      <c r="G2454" s="28" t="str">
        <f aca="false">IFERROR(INDEX('Semrush Data'!$A$1:$Z$20000,MATCH(A2454,'Semrush Data'!$A$1:$A$20000,0),MATCH("Volume",'Semrush Data'!$A$1:$Z$1,0)),"")</f>
        <v/>
      </c>
      <c r="H2454" s="6" t="str">
        <f aca="false">IFERROR(INDEX('Semrush Data'!$A$1:$Z$20000,MATCH(A2454,'Semrush Data'!$A$1:$A$20000,0),MATCH("Keyword Difficulty*",'Semrush Data'!$A$1:$Z$1,0)),"")</f>
        <v/>
      </c>
      <c r="I2454" s="29" t="str">
        <f aca="false">IFERROR(INDEX('Semrush Data'!$A$1:$Z$20000,MATCH(A2454,'Semrush Data'!$A$1:$A$20000,0),MATCH("CPC*",'Semrush Data'!$A$1:$Z$1,0)),"")</f>
        <v/>
      </c>
      <c r="J2454" s="6" t="str">
        <f aca="false">IFERROR(INDEX('Semrush Data'!$A$1:$Z$20000,MATCH(A2454,'Semrush Data'!$A$1:$A$20000,0),MATCH("Intent",'Semrush Data'!$A$1:$Z$1,0)),"")</f>
        <v/>
      </c>
    </row>
    <row r="2455" customFormat="false" ht="15" hidden="false" customHeight="true" outlineLevel="0" collapsed="false">
      <c r="A2455" s="6" t="s">
        <v>7161</v>
      </c>
      <c r="B2455" s="6" t="s">
        <v>239</v>
      </c>
      <c r="C2455" s="6" t="n">
        <v>3</v>
      </c>
      <c r="D2455" s="6" t="s">
        <v>6893</v>
      </c>
      <c r="E2455" s="6" t="n">
        <v>1</v>
      </c>
      <c r="F2455" s="6" t="s">
        <v>958</v>
      </c>
      <c r="G2455" s="28" t="n">
        <f aca="false">IFERROR(INDEX('Semrush Data'!$A$1:$Z$20000,MATCH(A2455,'Semrush Data'!$A$1:$A$20000,0),MATCH("Volume",'Semrush Data'!$A$1:$Z$1,0)),"")</f>
        <v>0</v>
      </c>
      <c r="H2455" s="6" t="n">
        <f aca="false">IFERROR(INDEX('Semrush Data'!$A$1:$Z$20000,MATCH(A2455,'Semrush Data'!$A$1:$A$20000,0),MATCH("Keyword Difficulty*",'Semrush Data'!$A$1:$Z$1,0)),"")</f>
        <v>28</v>
      </c>
      <c r="I2455" s="29" t="n">
        <f aca="false">IFERROR(INDEX('Semrush Data'!$A$1:$Z$20000,MATCH(A2455,'Semrush Data'!$A$1:$A$20000,0),MATCH("CPC*",'Semrush Data'!$A$1:$Z$1,0)),"")</f>
        <v>0</v>
      </c>
      <c r="J2455" s="6" t="str">
        <f aca="false">IFERROR(INDEX('Semrush Data'!$A$1:$Z$20000,MATCH(A2455,'Semrush Data'!$A$1:$A$20000,0),MATCH("Intent",'Semrush Data'!$A$1:$Z$1,0)),"")</f>
        <v>Navigational Commercial</v>
      </c>
    </row>
    <row r="2456" customFormat="false" ht="15" hidden="false" customHeight="true" outlineLevel="0" collapsed="false">
      <c r="A2456" s="6" t="s">
        <v>7162</v>
      </c>
      <c r="B2456" s="6" t="s">
        <v>239</v>
      </c>
      <c r="C2456" s="6" t="n">
        <v>3</v>
      </c>
      <c r="D2456" s="6" t="s">
        <v>6893</v>
      </c>
      <c r="E2456" s="6" t="n">
        <v>1</v>
      </c>
      <c r="F2456" s="6" t="s">
        <v>1219</v>
      </c>
      <c r="G2456" s="28" t="n">
        <f aca="false">IFERROR(INDEX('Semrush Data'!$A$1:$Z$20000,MATCH(A2456,'Semrush Data'!$A$1:$A$20000,0),MATCH("Volume",'Semrush Data'!$A$1:$Z$1,0)),"")</f>
        <v>0</v>
      </c>
      <c r="H2456" s="6" t="n">
        <f aca="false">IFERROR(INDEX('Semrush Data'!$A$1:$Z$20000,MATCH(A2456,'Semrush Data'!$A$1:$A$20000,0),MATCH("Keyword Difficulty*",'Semrush Data'!$A$1:$Z$1,0)),"")</f>
        <v>18</v>
      </c>
      <c r="I2456" s="29" t="n">
        <f aca="false">IFERROR(INDEX('Semrush Data'!$A$1:$Z$20000,MATCH(A2456,'Semrush Data'!$A$1:$A$20000,0),MATCH("CPC*",'Semrush Data'!$A$1:$Z$1,0)),"")</f>
        <v>0</v>
      </c>
      <c r="J2456" s="6" t="str">
        <f aca="false">IFERROR(INDEX('Semrush Data'!$A$1:$Z$20000,MATCH(A2456,'Semrush Data'!$A$1:$A$20000,0),MATCH("Intent",'Semrush Data'!$A$1:$Z$1,0)),"")</f>
        <v>Commercial</v>
      </c>
    </row>
    <row r="2457" customFormat="false" ht="15" hidden="false" customHeight="true" outlineLevel="0" collapsed="false">
      <c r="A2457" s="6" t="s">
        <v>7163</v>
      </c>
      <c r="B2457" s="6" t="s">
        <v>239</v>
      </c>
      <c r="C2457" s="6" t="n">
        <v>3</v>
      </c>
      <c r="D2457" s="6" t="n">
        <v>25</v>
      </c>
      <c r="E2457" s="6" t="n">
        <v>1</v>
      </c>
      <c r="F2457" s="6" t="s">
        <v>1150</v>
      </c>
      <c r="G2457" s="28" t="str">
        <f aca="false">IFERROR(INDEX('Semrush Data'!$A$1:$Z$20000,MATCH(A2457,'Semrush Data'!$A$1:$A$20000,0),MATCH("Volume",'Semrush Data'!$A$1:$Z$1,0)),"")</f>
        <v/>
      </c>
      <c r="H2457" s="6" t="str">
        <f aca="false">IFERROR(INDEX('Semrush Data'!$A$1:$Z$20000,MATCH(A2457,'Semrush Data'!$A$1:$A$20000,0),MATCH("Keyword Difficulty*",'Semrush Data'!$A$1:$Z$1,0)),"")</f>
        <v/>
      </c>
      <c r="I2457" s="29" t="str">
        <f aca="false">IFERROR(INDEX('Semrush Data'!$A$1:$Z$20000,MATCH(A2457,'Semrush Data'!$A$1:$A$20000,0),MATCH("CPC*",'Semrush Data'!$A$1:$Z$1,0)),"")</f>
        <v/>
      </c>
      <c r="J2457" s="6" t="str">
        <f aca="false">IFERROR(INDEX('Semrush Data'!$A$1:$Z$20000,MATCH(A2457,'Semrush Data'!$A$1:$A$20000,0),MATCH("Intent",'Semrush Data'!$A$1:$Z$1,0)),"")</f>
        <v/>
      </c>
    </row>
    <row r="2458" customFormat="false" ht="15" hidden="false" customHeight="true" outlineLevel="0" collapsed="false">
      <c r="A2458" s="6" t="s">
        <v>7164</v>
      </c>
      <c r="B2458" s="6" t="s">
        <v>239</v>
      </c>
      <c r="C2458" s="6" t="n">
        <v>3</v>
      </c>
      <c r="D2458" s="6" t="s">
        <v>6893</v>
      </c>
      <c r="E2458" s="6" t="n">
        <v>1</v>
      </c>
      <c r="F2458" s="6" t="s">
        <v>1150</v>
      </c>
      <c r="G2458" s="28" t="n">
        <f aca="false">IFERROR(INDEX('Semrush Data'!$A$1:$Z$20000,MATCH(A2458,'Semrush Data'!$A$1:$A$20000,0),MATCH("Volume",'Semrush Data'!$A$1:$Z$1,0)),"")</f>
        <v>0</v>
      </c>
      <c r="H2458" s="6" t="n">
        <f aca="false">IFERROR(INDEX('Semrush Data'!$A$1:$Z$20000,MATCH(A2458,'Semrush Data'!$A$1:$A$20000,0),MATCH("Keyword Difficulty*",'Semrush Data'!$A$1:$Z$1,0)),"")</f>
        <v>17</v>
      </c>
      <c r="I2458" s="29" t="n">
        <f aca="false">IFERROR(INDEX('Semrush Data'!$A$1:$Z$20000,MATCH(A2458,'Semrush Data'!$A$1:$A$20000,0),MATCH("CPC*",'Semrush Data'!$A$1:$Z$1,0)),"")</f>
        <v>0</v>
      </c>
      <c r="J2458" s="6" t="str">
        <f aca="false">IFERROR(INDEX('Semrush Data'!$A$1:$Z$20000,MATCH(A2458,'Semrush Data'!$A$1:$A$20000,0),MATCH("Intent",'Semrush Data'!$A$1:$Z$1,0)),"")</f>
        <v>Commercial</v>
      </c>
    </row>
    <row r="2459" customFormat="false" ht="15" hidden="false" customHeight="true" outlineLevel="0" collapsed="false">
      <c r="A2459" s="6" t="s">
        <v>1238</v>
      </c>
      <c r="B2459" s="6" t="s">
        <v>239</v>
      </c>
      <c r="C2459" s="6" t="n">
        <v>3</v>
      </c>
      <c r="D2459" s="6" t="s">
        <v>6893</v>
      </c>
      <c r="E2459" s="6" t="n">
        <v>2</v>
      </c>
      <c r="F2459" s="6" t="s">
        <v>7165</v>
      </c>
      <c r="G2459" s="28" t="n">
        <f aca="false">IFERROR(INDEX('Semrush Data'!$A$1:$Z$20000,MATCH(A2459,'Semrush Data'!$A$1:$A$20000,0),MATCH("Volume",'Semrush Data'!$A$1:$Z$1,0)),"")</f>
        <v>0</v>
      </c>
      <c r="H2459" s="6" t="n">
        <f aca="false">IFERROR(INDEX('Semrush Data'!$A$1:$Z$20000,MATCH(A2459,'Semrush Data'!$A$1:$A$20000,0),MATCH("Keyword Difficulty*",'Semrush Data'!$A$1:$Z$1,0)),"")</f>
        <v>24</v>
      </c>
      <c r="I2459" s="29" t="n">
        <f aca="false">IFERROR(INDEX('Semrush Data'!$A$1:$Z$20000,MATCH(A2459,'Semrush Data'!$A$1:$A$20000,0),MATCH("CPC*",'Semrush Data'!$A$1:$Z$1,0)),"")</f>
        <v>0</v>
      </c>
      <c r="J2459" s="6" t="str">
        <f aca="false">IFERROR(INDEX('Semrush Data'!$A$1:$Z$20000,MATCH(A2459,'Semrush Data'!$A$1:$A$20000,0),MATCH("Intent",'Semrush Data'!$A$1:$Z$1,0)),"")</f>
        <v>Navigational Commercial</v>
      </c>
    </row>
    <row r="2460" customFormat="false" ht="15" hidden="false" customHeight="true" outlineLevel="0" collapsed="false">
      <c r="A2460" s="6" t="s">
        <v>7166</v>
      </c>
      <c r="B2460" s="6" t="s">
        <v>239</v>
      </c>
      <c r="C2460" s="6" t="n">
        <v>3</v>
      </c>
      <c r="D2460" s="6" t="s">
        <v>6893</v>
      </c>
      <c r="E2460" s="6" t="n">
        <v>1</v>
      </c>
      <c r="F2460" s="6" t="s">
        <v>1135</v>
      </c>
      <c r="G2460" s="28" t="n">
        <f aca="false">IFERROR(INDEX('Semrush Data'!$A$1:$Z$20000,MATCH(A2460,'Semrush Data'!$A$1:$A$20000,0),MATCH("Volume",'Semrush Data'!$A$1:$Z$1,0)),"")</f>
        <v>0</v>
      </c>
      <c r="H2460" s="6" t="n">
        <f aca="false">IFERROR(INDEX('Semrush Data'!$A$1:$Z$20000,MATCH(A2460,'Semrush Data'!$A$1:$A$20000,0),MATCH("Keyword Difficulty*",'Semrush Data'!$A$1:$Z$1,0)),"")</f>
        <v>28</v>
      </c>
      <c r="I2460" s="29" t="n">
        <f aca="false">IFERROR(INDEX('Semrush Data'!$A$1:$Z$20000,MATCH(A2460,'Semrush Data'!$A$1:$A$20000,0),MATCH("CPC*",'Semrush Data'!$A$1:$Z$1,0)),"")</f>
        <v>0</v>
      </c>
      <c r="J2460" s="6" t="str">
        <f aca="false">IFERROR(INDEX('Semrush Data'!$A$1:$Z$20000,MATCH(A2460,'Semrush Data'!$A$1:$A$20000,0),MATCH("Intent",'Semrush Data'!$A$1:$Z$1,0)),"")</f>
        <v>Commercial</v>
      </c>
    </row>
    <row r="2461" customFormat="false" ht="15" hidden="false" customHeight="true" outlineLevel="0" collapsed="false">
      <c r="A2461" s="6" t="s">
        <v>7167</v>
      </c>
      <c r="B2461" s="6" t="s">
        <v>239</v>
      </c>
      <c r="C2461" s="6" t="n">
        <v>3</v>
      </c>
      <c r="D2461" s="6" t="n">
        <v>25</v>
      </c>
      <c r="E2461" s="6" t="n">
        <v>1</v>
      </c>
      <c r="F2461" s="6" t="s">
        <v>926</v>
      </c>
      <c r="G2461" s="28" t="str">
        <f aca="false">IFERROR(INDEX('Semrush Data'!$A$1:$Z$20000,MATCH(A2461,'Semrush Data'!$A$1:$A$20000,0),MATCH("Volume",'Semrush Data'!$A$1:$Z$1,0)),"")</f>
        <v/>
      </c>
      <c r="H2461" s="6" t="str">
        <f aca="false">IFERROR(INDEX('Semrush Data'!$A$1:$Z$20000,MATCH(A2461,'Semrush Data'!$A$1:$A$20000,0),MATCH("Keyword Difficulty*",'Semrush Data'!$A$1:$Z$1,0)),"")</f>
        <v/>
      </c>
      <c r="I2461" s="29" t="str">
        <f aca="false">IFERROR(INDEX('Semrush Data'!$A$1:$Z$20000,MATCH(A2461,'Semrush Data'!$A$1:$A$20000,0),MATCH("CPC*",'Semrush Data'!$A$1:$Z$1,0)),"")</f>
        <v/>
      </c>
      <c r="J2461" s="6" t="str">
        <f aca="false">IFERROR(INDEX('Semrush Data'!$A$1:$Z$20000,MATCH(A2461,'Semrush Data'!$A$1:$A$20000,0),MATCH("Intent",'Semrush Data'!$A$1:$Z$1,0)),"")</f>
        <v/>
      </c>
    </row>
    <row r="2462" customFormat="false" ht="15" hidden="false" customHeight="true" outlineLevel="0" collapsed="false">
      <c r="A2462" s="6" t="s">
        <v>7168</v>
      </c>
      <c r="B2462" s="6" t="s">
        <v>239</v>
      </c>
      <c r="C2462" s="6" t="n">
        <v>3</v>
      </c>
      <c r="D2462" s="6" t="s">
        <v>6893</v>
      </c>
      <c r="E2462" s="6" t="n">
        <v>1</v>
      </c>
      <c r="F2462" s="6" t="s">
        <v>926</v>
      </c>
      <c r="G2462" s="28" t="n">
        <f aca="false">IFERROR(INDEX('Semrush Data'!$A$1:$Z$20000,MATCH(A2462,'Semrush Data'!$A$1:$A$20000,0),MATCH("Volume",'Semrush Data'!$A$1:$Z$1,0)),"")</f>
        <v>0</v>
      </c>
      <c r="H2462" s="6" t="n">
        <f aca="false">IFERROR(INDEX('Semrush Data'!$A$1:$Z$20000,MATCH(A2462,'Semrush Data'!$A$1:$A$20000,0),MATCH("Keyword Difficulty*",'Semrush Data'!$A$1:$Z$1,0)),"")</f>
        <v>16</v>
      </c>
      <c r="I2462" s="29" t="n">
        <f aca="false">IFERROR(INDEX('Semrush Data'!$A$1:$Z$20000,MATCH(A2462,'Semrush Data'!$A$1:$A$20000,0),MATCH("CPC*",'Semrush Data'!$A$1:$Z$1,0)),"")</f>
        <v>0</v>
      </c>
      <c r="J2462" s="6" t="str">
        <f aca="false">IFERROR(INDEX('Semrush Data'!$A$1:$Z$20000,MATCH(A2462,'Semrush Data'!$A$1:$A$20000,0),MATCH("Intent",'Semrush Data'!$A$1:$Z$1,0)),"")</f>
        <v>Commercial</v>
      </c>
    </row>
    <row r="2463" customFormat="false" ht="15" hidden="false" customHeight="true" outlineLevel="0" collapsed="false">
      <c r="A2463" s="6" t="s">
        <v>7169</v>
      </c>
      <c r="B2463" s="6" t="s">
        <v>239</v>
      </c>
      <c r="C2463" s="6" t="n">
        <v>3</v>
      </c>
      <c r="D2463" s="6" t="n">
        <v>25</v>
      </c>
      <c r="E2463" s="6" t="n">
        <v>1</v>
      </c>
      <c r="F2463" s="6" t="s">
        <v>1171</v>
      </c>
      <c r="G2463" s="28" t="str">
        <f aca="false">IFERROR(INDEX('Semrush Data'!$A$1:$Z$20000,MATCH(A2463,'Semrush Data'!$A$1:$A$20000,0),MATCH("Volume",'Semrush Data'!$A$1:$Z$1,0)),"")</f>
        <v/>
      </c>
      <c r="H2463" s="6" t="str">
        <f aca="false">IFERROR(INDEX('Semrush Data'!$A$1:$Z$20000,MATCH(A2463,'Semrush Data'!$A$1:$A$20000,0),MATCH("Keyword Difficulty*",'Semrush Data'!$A$1:$Z$1,0)),"")</f>
        <v/>
      </c>
      <c r="I2463" s="29" t="str">
        <f aca="false">IFERROR(INDEX('Semrush Data'!$A$1:$Z$20000,MATCH(A2463,'Semrush Data'!$A$1:$A$20000,0),MATCH("CPC*",'Semrush Data'!$A$1:$Z$1,0)),"")</f>
        <v/>
      </c>
      <c r="J2463" s="6" t="str">
        <f aca="false">IFERROR(INDEX('Semrush Data'!$A$1:$Z$20000,MATCH(A2463,'Semrush Data'!$A$1:$A$20000,0),MATCH("Intent",'Semrush Data'!$A$1:$Z$1,0)),"")</f>
        <v/>
      </c>
    </row>
    <row r="2464" customFormat="false" ht="15" hidden="false" customHeight="true" outlineLevel="0" collapsed="false">
      <c r="A2464" s="6" t="s">
        <v>7170</v>
      </c>
      <c r="B2464" s="6" t="s">
        <v>239</v>
      </c>
      <c r="C2464" s="6" t="n">
        <v>3</v>
      </c>
      <c r="D2464" s="6" t="n">
        <v>25</v>
      </c>
      <c r="E2464" s="6" t="n">
        <v>1</v>
      </c>
      <c r="F2464" s="6" t="s">
        <v>1171</v>
      </c>
      <c r="G2464" s="28" t="str">
        <f aca="false">IFERROR(INDEX('Semrush Data'!$A$1:$Z$20000,MATCH(A2464,'Semrush Data'!$A$1:$A$20000,0),MATCH("Volume",'Semrush Data'!$A$1:$Z$1,0)),"")</f>
        <v/>
      </c>
      <c r="H2464" s="6" t="str">
        <f aca="false">IFERROR(INDEX('Semrush Data'!$A$1:$Z$20000,MATCH(A2464,'Semrush Data'!$A$1:$A$20000,0),MATCH("Keyword Difficulty*",'Semrush Data'!$A$1:$Z$1,0)),"")</f>
        <v/>
      </c>
      <c r="I2464" s="29" t="str">
        <f aca="false">IFERROR(INDEX('Semrush Data'!$A$1:$Z$20000,MATCH(A2464,'Semrush Data'!$A$1:$A$20000,0),MATCH("CPC*",'Semrush Data'!$A$1:$Z$1,0)),"")</f>
        <v/>
      </c>
      <c r="J2464" s="6" t="str">
        <f aca="false">IFERROR(INDEX('Semrush Data'!$A$1:$Z$20000,MATCH(A2464,'Semrush Data'!$A$1:$A$20000,0),MATCH("Intent",'Semrush Data'!$A$1:$Z$1,0)),"")</f>
        <v/>
      </c>
    </row>
    <row r="2465" customFormat="false" ht="15" hidden="false" customHeight="true" outlineLevel="0" collapsed="false">
      <c r="A2465" s="6" t="s">
        <v>7171</v>
      </c>
      <c r="B2465" s="6" t="s">
        <v>239</v>
      </c>
      <c r="C2465" s="6" t="n">
        <v>3</v>
      </c>
      <c r="D2465" s="6" t="n">
        <v>25</v>
      </c>
      <c r="E2465" s="6" t="n">
        <v>1</v>
      </c>
      <c r="F2465" s="6" t="s">
        <v>1171</v>
      </c>
      <c r="G2465" s="28" t="str">
        <f aca="false">IFERROR(INDEX('Semrush Data'!$A$1:$Z$20000,MATCH(A2465,'Semrush Data'!$A$1:$A$20000,0),MATCH("Volume",'Semrush Data'!$A$1:$Z$1,0)),"")</f>
        <v/>
      </c>
      <c r="H2465" s="6" t="str">
        <f aca="false">IFERROR(INDEX('Semrush Data'!$A$1:$Z$20000,MATCH(A2465,'Semrush Data'!$A$1:$A$20000,0),MATCH("Keyword Difficulty*",'Semrush Data'!$A$1:$Z$1,0)),"")</f>
        <v/>
      </c>
      <c r="I2465" s="29" t="str">
        <f aca="false">IFERROR(INDEX('Semrush Data'!$A$1:$Z$20000,MATCH(A2465,'Semrush Data'!$A$1:$A$20000,0),MATCH("CPC*",'Semrush Data'!$A$1:$Z$1,0)),"")</f>
        <v/>
      </c>
      <c r="J2465" s="6" t="str">
        <f aca="false">IFERROR(INDEX('Semrush Data'!$A$1:$Z$20000,MATCH(A2465,'Semrush Data'!$A$1:$A$20000,0),MATCH("Intent",'Semrush Data'!$A$1:$Z$1,0)),"")</f>
        <v/>
      </c>
    </row>
    <row r="2466" customFormat="false" ht="15" hidden="false" customHeight="true" outlineLevel="0" collapsed="false">
      <c r="A2466" s="6" t="s">
        <v>7172</v>
      </c>
      <c r="B2466" s="6" t="s">
        <v>239</v>
      </c>
      <c r="C2466" s="6" t="n">
        <v>3</v>
      </c>
      <c r="D2466" s="6" t="n">
        <v>25</v>
      </c>
      <c r="E2466" s="6" t="n">
        <v>1</v>
      </c>
      <c r="F2466" s="6" t="s">
        <v>1171</v>
      </c>
      <c r="G2466" s="28" t="str">
        <f aca="false">IFERROR(INDEX('Semrush Data'!$A$1:$Z$20000,MATCH(A2466,'Semrush Data'!$A$1:$A$20000,0),MATCH("Volume",'Semrush Data'!$A$1:$Z$1,0)),"")</f>
        <v/>
      </c>
      <c r="H2466" s="6" t="str">
        <f aca="false">IFERROR(INDEX('Semrush Data'!$A$1:$Z$20000,MATCH(A2466,'Semrush Data'!$A$1:$A$20000,0),MATCH("Keyword Difficulty*",'Semrush Data'!$A$1:$Z$1,0)),"")</f>
        <v/>
      </c>
      <c r="I2466" s="29" t="str">
        <f aca="false">IFERROR(INDEX('Semrush Data'!$A$1:$Z$20000,MATCH(A2466,'Semrush Data'!$A$1:$A$20000,0),MATCH("CPC*",'Semrush Data'!$A$1:$Z$1,0)),"")</f>
        <v/>
      </c>
      <c r="J2466" s="6" t="str">
        <f aca="false">IFERROR(INDEX('Semrush Data'!$A$1:$Z$20000,MATCH(A2466,'Semrush Data'!$A$1:$A$20000,0),MATCH("Intent",'Semrush Data'!$A$1:$Z$1,0)),"")</f>
        <v/>
      </c>
    </row>
    <row r="2467" customFormat="false" ht="15" hidden="false" customHeight="true" outlineLevel="0" collapsed="false">
      <c r="A2467" s="6" t="s">
        <v>7173</v>
      </c>
      <c r="B2467" s="6" t="s">
        <v>239</v>
      </c>
      <c r="C2467" s="6" t="n">
        <v>3</v>
      </c>
      <c r="D2467" s="6" t="s">
        <v>6893</v>
      </c>
      <c r="E2467" s="6" t="n">
        <v>1</v>
      </c>
      <c r="F2467" s="6" t="s">
        <v>1171</v>
      </c>
      <c r="G2467" s="28" t="n">
        <f aca="false">IFERROR(INDEX('Semrush Data'!$A$1:$Z$20000,MATCH(A2467,'Semrush Data'!$A$1:$A$20000,0),MATCH("Volume",'Semrush Data'!$A$1:$Z$1,0)),"")</f>
        <v>0</v>
      </c>
      <c r="H2467" s="6" t="n">
        <f aca="false">IFERROR(INDEX('Semrush Data'!$A$1:$Z$20000,MATCH(A2467,'Semrush Data'!$A$1:$A$20000,0),MATCH("Keyword Difficulty*",'Semrush Data'!$A$1:$Z$1,0)),"")</f>
        <v>22</v>
      </c>
      <c r="I2467" s="29" t="n">
        <f aca="false">IFERROR(INDEX('Semrush Data'!$A$1:$Z$20000,MATCH(A2467,'Semrush Data'!$A$1:$A$20000,0),MATCH("CPC*",'Semrush Data'!$A$1:$Z$1,0)),"")</f>
        <v>0</v>
      </c>
      <c r="J2467" s="6" t="str">
        <f aca="false">IFERROR(INDEX('Semrush Data'!$A$1:$Z$20000,MATCH(A2467,'Semrush Data'!$A$1:$A$20000,0),MATCH("Intent",'Semrush Data'!$A$1:$Z$1,0)),"")</f>
        <v>Commercial</v>
      </c>
    </row>
    <row r="2468" customFormat="false" ht="15" hidden="false" customHeight="true" outlineLevel="0" collapsed="false">
      <c r="A2468" s="6" t="s">
        <v>7174</v>
      </c>
      <c r="B2468" s="6" t="s">
        <v>239</v>
      </c>
      <c r="C2468" s="6" t="n">
        <v>3</v>
      </c>
      <c r="D2468" s="6" t="n">
        <v>25</v>
      </c>
      <c r="E2468" s="6" t="n">
        <v>1</v>
      </c>
      <c r="F2468" s="6" t="s">
        <v>1157</v>
      </c>
      <c r="G2468" s="28" t="str">
        <f aca="false">IFERROR(INDEX('Semrush Data'!$A$1:$Z$20000,MATCH(A2468,'Semrush Data'!$A$1:$A$20000,0),MATCH("Volume",'Semrush Data'!$A$1:$Z$1,0)),"")</f>
        <v/>
      </c>
      <c r="H2468" s="6" t="str">
        <f aca="false">IFERROR(INDEX('Semrush Data'!$A$1:$Z$20000,MATCH(A2468,'Semrush Data'!$A$1:$A$20000,0),MATCH("Keyword Difficulty*",'Semrush Data'!$A$1:$Z$1,0)),"")</f>
        <v/>
      </c>
      <c r="I2468" s="29" t="str">
        <f aca="false">IFERROR(INDEX('Semrush Data'!$A$1:$Z$20000,MATCH(A2468,'Semrush Data'!$A$1:$A$20000,0),MATCH("CPC*",'Semrush Data'!$A$1:$Z$1,0)),"")</f>
        <v/>
      </c>
      <c r="J2468" s="6" t="str">
        <f aca="false">IFERROR(INDEX('Semrush Data'!$A$1:$Z$20000,MATCH(A2468,'Semrush Data'!$A$1:$A$20000,0),MATCH("Intent",'Semrush Data'!$A$1:$Z$1,0)),"")</f>
        <v/>
      </c>
    </row>
    <row r="2469" customFormat="false" ht="15" hidden="false" customHeight="true" outlineLevel="0" collapsed="false">
      <c r="A2469" s="6" t="s">
        <v>7175</v>
      </c>
      <c r="B2469" s="6" t="s">
        <v>239</v>
      </c>
      <c r="C2469" s="6" t="n">
        <v>3</v>
      </c>
      <c r="D2469" s="6" t="n">
        <v>25</v>
      </c>
      <c r="E2469" s="6" t="n">
        <v>1</v>
      </c>
      <c r="F2469" s="6" t="s">
        <v>1157</v>
      </c>
      <c r="G2469" s="28" t="str">
        <f aca="false">IFERROR(INDEX('Semrush Data'!$A$1:$Z$20000,MATCH(A2469,'Semrush Data'!$A$1:$A$20000,0),MATCH("Volume",'Semrush Data'!$A$1:$Z$1,0)),"")</f>
        <v/>
      </c>
      <c r="H2469" s="6" t="str">
        <f aca="false">IFERROR(INDEX('Semrush Data'!$A$1:$Z$20000,MATCH(A2469,'Semrush Data'!$A$1:$A$20000,0),MATCH("Keyword Difficulty*",'Semrush Data'!$A$1:$Z$1,0)),"")</f>
        <v/>
      </c>
      <c r="I2469" s="29" t="str">
        <f aca="false">IFERROR(INDEX('Semrush Data'!$A$1:$Z$20000,MATCH(A2469,'Semrush Data'!$A$1:$A$20000,0),MATCH("CPC*",'Semrush Data'!$A$1:$Z$1,0)),"")</f>
        <v/>
      </c>
      <c r="J2469" s="6" t="str">
        <f aca="false">IFERROR(INDEX('Semrush Data'!$A$1:$Z$20000,MATCH(A2469,'Semrush Data'!$A$1:$A$20000,0),MATCH("Intent",'Semrush Data'!$A$1:$Z$1,0)),"")</f>
        <v/>
      </c>
    </row>
    <row r="2470" customFormat="false" ht="15" hidden="false" customHeight="true" outlineLevel="0" collapsed="false">
      <c r="A2470" s="6" t="s">
        <v>7176</v>
      </c>
      <c r="B2470" s="6" t="s">
        <v>239</v>
      </c>
      <c r="C2470" s="6" t="n">
        <v>3</v>
      </c>
      <c r="D2470" s="6" t="n">
        <v>25</v>
      </c>
      <c r="E2470" s="6" t="n">
        <v>1</v>
      </c>
      <c r="F2470" s="6" t="s">
        <v>1157</v>
      </c>
      <c r="G2470" s="28" t="str">
        <f aca="false">IFERROR(INDEX('Semrush Data'!$A$1:$Z$20000,MATCH(A2470,'Semrush Data'!$A$1:$A$20000,0),MATCH("Volume",'Semrush Data'!$A$1:$Z$1,0)),"")</f>
        <v/>
      </c>
      <c r="H2470" s="6" t="str">
        <f aca="false">IFERROR(INDEX('Semrush Data'!$A$1:$Z$20000,MATCH(A2470,'Semrush Data'!$A$1:$A$20000,0),MATCH("Keyword Difficulty*",'Semrush Data'!$A$1:$Z$1,0)),"")</f>
        <v/>
      </c>
      <c r="I2470" s="29" t="str">
        <f aca="false">IFERROR(INDEX('Semrush Data'!$A$1:$Z$20000,MATCH(A2470,'Semrush Data'!$A$1:$A$20000,0),MATCH("CPC*",'Semrush Data'!$A$1:$Z$1,0)),"")</f>
        <v/>
      </c>
      <c r="J2470" s="6" t="str">
        <f aca="false">IFERROR(INDEX('Semrush Data'!$A$1:$Z$20000,MATCH(A2470,'Semrush Data'!$A$1:$A$20000,0),MATCH("Intent",'Semrush Data'!$A$1:$Z$1,0)),"")</f>
        <v/>
      </c>
    </row>
    <row r="2471" customFormat="false" ht="15" hidden="false" customHeight="true" outlineLevel="0" collapsed="false">
      <c r="A2471" s="6" t="s">
        <v>1058</v>
      </c>
      <c r="B2471" s="6" t="s">
        <v>239</v>
      </c>
      <c r="C2471" s="6" t="n">
        <v>3</v>
      </c>
      <c r="D2471" s="6" t="s">
        <v>6893</v>
      </c>
      <c r="E2471" s="6" t="n">
        <v>1</v>
      </c>
      <c r="F2471" s="6" t="s">
        <v>1052</v>
      </c>
      <c r="G2471" s="28" t="n">
        <f aca="false">IFERROR(INDEX('Semrush Data'!$A$1:$Z$20000,MATCH(A2471,'Semrush Data'!$A$1:$A$20000,0),MATCH("Volume",'Semrush Data'!$A$1:$Z$1,0)),"")</f>
        <v>0</v>
      </c>
      <c r="H2471" s="6" t="n">
        <f aca="false">IFERROR(INDEX('Semrush Data'!$A$1:$Z$20000,MATCH(A2471,'Semrush Data'!$A$1:$A$20000,0),MATCH("Keyword Difficulty*",'Semrush Data'!$A$1:$Z$1,0)),"")</f>
        <v>14</v>
      </c>
      <c r="I2471" s="29" t="n">
        <f aca="false">IFERROR(INDEX('Semrush Data'!$A$1:$Z$20000,MATCH(A2471,'Semrush Data'!$A$1:$A$20000,0),MATCH("CPC*",'Semrush Data'!$A$1:$Z$1,0)),"")</f>
        <v>0</v>
      </c>
      <c r="J2471" s="6" t="str">
        <f aca="false">IFERROR(INDEX('Semrush Data'!$A$1:$Z$20000,MATCH(A2471,'Semrush Data'!$A$1:$A$20000,0),MATCH("Intent",'Semrush Data'!$A$1:$Z$1,0)),"")</f>
        <v>Commercial</v>
      </c>
    </row>
    <row r="2472" customFormat="false" ht="15" hidden="false" customHeight="true" outlineLevel="0" collapsed="false">
      <c r="A2472" s="6" t="s">
        <v>7177</v>
      </c>
      <c r="B2472" s="6" t="s">
        <v>239</v>
      </c>
      <c r="C2472" s="6" t="n">
        <v>3</v>
      </c>
      <c r="D2472" s="6" t="n">
        <v>25</v>
      </c>
      <c r="E2472" s="6" t="n">
        <v>1</v>
      </c>
      <c r="F2472" s="6" t="s">
        <v>1206</v>
      </c>
      <c r="G2472" s="28" t="str">
        <f aca="false">IFERROR(INDEX('Semrush Data'!$A$1:$Z$20000,MATCH(A2472,'Semrush Data'!$A$1:$A$20000,0),MATCH("Volume",'Semrush Data'!$A$1:$Z$1,0)),"")</f>
        <v/>
      </c>
      <c r="H2472" s="6" t="str">
        <f aca="false">IFERROR(INDEX('Semrush Data'!$A$1:$Z$20000,MATCH(A2472,'Semrush Data'!$A$1:$A$20000,0),MATCH("Keyword Difficulty*",'Semrush Data'!$A$1:$Z$1,0)),"")</f>
        <v/>
      </c>
      <c r="I2472" s="29" t="str">
        <f aca="false">IFERROR(INDEX('Semrush Data'!$A$1:$Z$20000,MATCH(A2472,'Semrush Data'!$A$1:$A$20000,0),MATCH("CPC*",'Semrush Data'!$A$1:$Z$1,0)),"")</f>
        <v/>
      </c>
      <c r="J2472" s="6" t="str">
        <f aca="false">IFERROR(INDEX('Semrush Data'!$A$1:$Z$20000,MATCH(A2472,'Semrush Data'!$A$1:$A$20000,0),MATCH("Intent",'Semrush Data'!$A$1:$Z$1,0)),"")</f>
        <v/>
      </c>
    </row>
    <row r="2473" customFormat="false" ht="15" hidden="false" customHeight="true" outlineLevel="0" collapsed="false">
      <c r="A2473" s="6" t="s">
        <v>7178</v>
      </c>
      <c r="B2473" s="6" t="s">
        <v>239</v>
      </c>
      <c r="C2473" s="6" t="n">
        <v>3</v>
      </c>
      <c r="D2473" s="6" t="n">
        <v>25</v>
      </c>
      <c r="E2473" s="6" t="n">
        <v>1</v>
      </c>
      <c r="F2473" s="6" t="s">
        <v>1206</v>
      </c>
      <c r="G2473" s="28" t="str">
        <f aca="false">IFERROR(INDEX('Semrush Data'!$A$1:$Z$20000,MATCH(A2473,'Semrush Data'!$A$1:$A$20000,0),MATCH("Volume",'Semrush Data'!$A$1:$Z$1,0)),"")</f>
        <v/>
      </c>
      <c r="H2473" s="6" t="str">
        <f aca="false">IFERROR(INDEX('Semrush Data'!$A$1:$Z$20000,MATCH(A2473,'Semrush Data'!$A$1:$A$20000,0),MATCH("Keyword Difficulty*",'Semrush Data'!$A$1:$Z$1,0)),"")</f>
        <v/>
      </c>
      <c r="I2473" s="29" t="str">
        <f aca="false">IFERROR(INDEX('Semrush Data'!$A$1:$Z$20000,MATCH(A2473,'Semrush Data'!$A$1:$A$20000,0),MATCH("CPC*",'Semrush Data'!$A$1:$Z$1,0)),"")</f>
        <v/>
      </c>
      <c r="J2473" s="6" t="str">
        <f aca="false">IFERROR(INDEX('Semrush Data'!$A$1:$Z$20000,MATCH(A2473,'Semrush Data'!$A$1:$A$20000,0),MATCH("Intent",'Semrush Data'!$A$1:$Z$1,0)),"")</f>
        <v/>
      </c>
    </row>
    <row r="2474" customFormat="false" ht="15" hidden="false" customHeight="true" outlineLevel="0" collapsed="false">
      <c r="A2474" s="6" t="s">
        <v>7179</v>
      </c>
      <c r="B2474" s="6" t="s">
        <v>239</v>
      </c>
      <c r="C2474" s="6" t="n">
        <v>3</v>
      </c>
      <c r="D2474" s="6" t="s">
        <v>6893</v>
      </c>
      <c r="E2474" s="6" t="n">
        <v>1</v>
      </c>
      <c r="F2474" s="6" t="s">
        <v>1206</v>
      </c>
      <c r="G2474" s="28" t="n">
        <f aca="false">IFERROR(INDEX('Semrush Data'!$A$1:$Z$20000,MATCH(A2474,'Semrush Data'!$A$1:$A$20000,0),MATCH("Volume",'Semrush Data'!$A$1:$Z$1,0)),"")</f>
        <v>0</v>
      </c>
      <c r="H2474" s="6" t="n">
        <f aca="false">IFERROR(INDEX('Semrush Data'!$A$1:$Z$20000,MATCH(A2474,'Semrush Data'!$A$1:$A$20000,0),MATCH("Keyword Difficulty*",'Semrush Data'!$A$1:$Z$1,0)),"")</f>
        <v>14</v>
      </c>
      <c r="I2474" s="29" t="n">
        <f aca="false">IFERROR(INDEX('Semrush Data'!$A$1:$Z$20000,MATCH(A2474,'Semrush Data'!$A$1:$A$20000,0),MATCH("CPC*",'Semrush Data'!$A$1:$Z$1,0)),"")</f>
        <v>0</v>
      </c>
      <c r="J2474" s="6" t="str">
        <f aca="false">IFERROR(INDEX('Semrush Data'!$A$1:$Z$20000,MATCH(A2474,'Semrush Data'!$A$1:$A$20000,0),MATCH("Intent",'Semrush Data'!$A$1:$Z$1,0)),"")</f>
        <v>Commercial</v>
      </c>
    </row>
    <row r="2475" customFormat="false" ht="15" hidden="false" customHeight="true" outlineLevel="0" collapsed="false">
      <c r="A2475" s="6" t="s">
        <v>7180</v>
      </c>
      <c r="B2475" s="6" t="s">
        <v>239</v>
      </c>
      <c r="C2475" s="6" t="n">
        <v>3</v>
      </c>
      <c r="D2475" s="6" t="n">
        <v>25</v>
      </c>
      <c r="E2475" s="6" t="n">
        <v>1</v>
      </c>
      <c r="F2475" s="6" t="s">
        <v>1206</v>
      </c>
      <c r="G2475" s="28" t="str">
        <f aca="false">IFERROR(INDEX('Semrush Data'!$A$1:$Z$20000,MATCH(A2475,'Semrush Data'!$A$1:$A$20000,0),MATCH("Volume",'Semrush Data'!$A$1:$Z$1,0)),"")</f>
        <v/>
      </c>
      <c r="H2475" s="6" t="str">
        <f aca="false">IFERROR(INDEX('Semrush Data'!$A$1:$Z$20000,MATCH(A2475,'Semrush Data'!$A$1:$A$20000,0),MATCH("Keyword Difficulty*",'Semrush Data'!$A$1:$Z$1,0)),"")</f>
        <v/>
      </c>
      <c r="I2475" s="29" t="str">
        <f aca="false">IFERROR(INDEX('Semrush Data'!$A$1:$Z$20000,MATCH(A2475,'Semrush Data'!$A$1:$A$20000,0),MATCH("CPC*",'Semrush Data'!$A$1:$Z$1,0)),"")</f>
        <v/>
      </c>
      <c r="J2475" s="6" t="str">
        <f aca="false">IFERROR(INDEX('Semrush Data'!$A$1:$Z$20000,MATCH(A2475,'Semrush Data'!$A$1:$A$20000,0),MATCH("Intent",'Semrush Data'!$A$1:$Z$1,0)),"")</f>
        <v/>
      </c>
    </row>
    <row r="2476" customFormat="false" ht="15" hidden="false" customHeight="true" outlineLevel="0" collapsed="false">
      <c r="A2476" s="6" t="s">
        <v>7181</v>
      </c>
      <c r="B2476" s="6" t="s">
        <v>239</v>
      </c>
      <c r="C2476" s="6" t="n">
        <v>3</v>
      </c>
      <c r="D2476" s="6" t="n">
        <v>25</v>
      </c>
      <c r="E2476" s="6" t="n">
        <v>1</v>
      </c>
      <c r="F2476" s="6" t="s">
        <v>1206</v>
      </c>
      <c r="G2476" s="28" t="str">
        <f aca="false">IFERROR(INDEX('Semrush Data'!$A$1:$Z$20000,MATCH(A2476,'Semrush Data'!$A$1:$A$20000,0),MATCH("Volume",'Semrush Data'!$A$1:$Z$1,0)),"")</f>
        <v/>
      </c>
      <c r="H2476" s="6" t="str">
        <f aca="false">IFERROR(INDEX('Semrush Data'!$A$1:$Z$20000,MATCH(A2476,'Semrush Data'!$A$1:$A$20000,0),MATCH("Keyword Difficulty*",'Semrush Data'!$A$1:$Z$1,0)),"")</f>
        <v/>
      </c>
      <c r="I2476" s="29" t="str">
        <f aca="false">IFERROR(INDEX('Semrush Data'!$A$1:$Z$20000,MATCH(A2476,'Semrush Data'!$A$1:$A$20000,0),MATCH("CPC*",'Semrush Data'!$A$1:$Z$1,0)),"")</f>
        <v/>
      </c>
      <c r="J2476" s="6" t="str">
        <f aca="false">IFERROR(INDEX('Semrush Data'!$A$1:$Z$20000,MATCH(A2476,'Semrush Data'!$A$1:$A$20000,0),MATCH("Intent",'Semrush Data'!$A$1:$Z$1,0)),"")</f>
        <v/>
      </c>
    </row>
    <row r="2477" customFormat="false" ht="15" hidden="false" customHeight="true" outlineLevel="0" collapsed="false">
      <c r="A2477" s="6" t="s">
        <v>7182</v>
      </c>
      <c r="B2477" s="6" t="s">
        <v>239</v>
      </c>
      <c r="C2477" s="6" t="n">
        <v>3</v>
      </c>
      <c r="D2477" s="6" t="n">
        <v>25</v>
      </c>
      <c r="E2477" s="6" t="n">
        <v>1</v>
      </c>
      <c r="F2477" s="6" t="s">
        <v>1206</v>
      </c>
      <c r="G2477" s="28" t="str">
        <f aca="false">IFERROR(INDEX('Semrush Data'!$A$1:$Z$20000,MATCH(A2477,'Semrush Data'!$A$1:$A$20000,0),MATCH("Volume",'Semrush Data'!$A$1:$Z$1,0)),"")</f>
        <v/>
      </c>
      <c r="H2477" s="6" t="str">
        <f aca="false">IFERROR(INDEX('Semrush Data'!$A$1:$Z$20000,MATCH(A2477,'Semrush Data'!$A$1:$A$20000,0),MATCH("Keyword Difficulty*",'Semrush Data'!$A$1:$Z$1,0)),"")</f>
        <v/>
      </c>
      <c r="I2477" s="29" t="str">
        <f aca="false">IFERROR(INDEX('Semrush Data'!$A$1:$Z$20000,MATCH(A2477,'Semrush Data'!$A$1:$A$20000,0),MATCH("CPC*",'Semrush Data'!$A$1:$Z$1,0)),"")</f>
        <v/>
      </c>
      <c r="J2477" s="6" t="str">
        <f aca="false">IFERROR(INDEX('Semrush Data'!$A$1:$Z$20000,MATCH(A2477,'Semrush Data'!$A$1:$A$20000,0),MATCH("Intent",'Semrush Data'!$A$1:$Z$1,0)),"")</f>
        <v/>
      </c>
    </row>
    <row r="2478" customFormat="false" ht="15" hidden="false" customHeight="true" outlineLevel="0" collapsed="false">
      <c r="A2478" s="6" t="s">
        <v>1051</v>
      </c>
      <c r="B2478" s="6" t="s">
        <v>239</v>
      </c>
      <c r="C2478" s="6" t="n">
        <v>3</v>
      </c>
      <c r="D2478" s="6" t="s">
        <v>6893</v>
      </c>
      <c r="E2478" s="6" t="n">
        <v>1</v>
      </c>
      <c r="F2478" s="6" t="s">
        <v>1045</v>
      </c>
      <c r="G2478" s="28" t="n">
        <f aca="false">IFERROR(INDEX('Semrush Data'!$A$1:$Z$20000,MATCH(A2478,'Semrush Data'!$A$1:$A$20000,0),MATCH("Volume",'Semrush Data'!$A$1:$Z$1,0)),"")</f>
        <v>0</v>
      </c>
      <c r="H2478" s="6" t="n">
        <f aca="false">IFERROR(INDEX('Semrush Data'!$A$1:$Z$20000,MATCH(A2478,'Semrush Data'!$A$1:$A$20000,0),MATCH("Keyword Difficulty*",'Semrush Data'!$A$1:$Z$1,0)),"")</f>
        <v>14</v>
      </c>
      <c r="I2478" s="29" t="n">
        <f aca="false">IFERROR(INDEX('Semrush Data'!$A$1:$Z$20000,MATCH(A2478,'Semrush Data'!$A$1:$A$20000,0),MATCH("CPC*",'Semrush Data'!$A$1:$Z$1,0)),"")</f>
        <v>0</v>
      </c>
      <c r="J2478" s="6" t="str">
        <f aca="false">IFERROR(INDEX('Semrush Data'!$A$1:$Z$20000,MATCH(A2478,'Semrush Data'!$A$1:$A$20000,0),MATCH("Intent",'Semrush Data'!$A$1:$Z$1,0)),"")</f>
        <v>Transactional Navigational</v>
      </c>
    </row>
    <row r="2479" customFormat="false" ht="15" hidden="false" customHeight="true" outlineLevel="0" collapsed="false">
      <c r="A2479" s="6" t="s">
        <v>1356</v>
      </c>
      <c r="B2479" s="6" t="s">
        <v>239</v>
      </c>
      <c r="C2479" s="6" t="n">
        <v>3</v>
      </c>
      <c r="D2479" s="6" t="s">
        <v>6893</v>
      </c>
      <c r="E2479" s="6" t="n">
        <v>1</v>
      </c>
      <c r="F2479" s="6" t="s">
        <v>1350</v>
      </c>
      <c r="G2479" s="28" t="n">
        <f aca="false">IFERROR(INDEX('Semrush Data'!$A$1:$Z$20000,MATCH(A2479,'Semrush Data'!$A$1:$A$20000,0),MATCH("Volume",'Semrush Data'!$A$1:$Z$1,0)),"")</f>
        <v>0</v>
      </c>
      <c r="H2479" s="6" t="n">
        <f aca="false">IFERROR(INDEX('Semrush Data'!$A$1:$Z$20000,MATCH(A2479,'Semrush Data'!$A$1:$A$20000,0),MATCH("Keyword Difficulty*",'Semrush Data'!$A$1:$Z$1,0)),"")</f>
        <v>9</v>
      </c>
      <c r="I2479" s="29" t="n">
        <f aca="false">IFERROR(INDEX('Semrush Data'!$A$1:$Z$20000,MATCH(A2479,'Semrush Data'!$A$1:$A$20000,0),MATCH("CPC*",'Semrush Data'!$A$1:$Z$1,0)),"")</f>
        <v>0</v>
      </c>
      <c r="J2479" s="6" t="str">
        <f aca="false">IFERROR(INDEX('Semrush Data'!$A$1:$Z$20000,MATCH(A2479,'Semrush Data'!$A$1:$A$20000,0),MATCH("Intent",'Semrush Data'!$A$1:$Z$1,0)),"")</f>
        <v>Commercial</v>
      </c>
    </row>
    <row r="2480" customFormat="false" ht="15" hidden="false" customHeight="true" outlineLevel="0" collapsed="false">
      <c r="A2480" s="6" t="s">
        <v>7183</v>
      </c>
      <c r="B2480" s="6" t="s">
        <v>239</v>
      </c>
      <c r="C2480" s="6" t="n">
        <v>3</v>
      </c>
      <c r="D2480" s="6" t="n">
        <v>25</v>
      </c>
      <c r="E2480" s="6" t="n">
        <v>1</v>
      </c>
      <c r="F2480" s="6" t="s">
        <v>1164</v>
      </c>
      <c r="G2480" s="28" t="str">
        <f aca="false">IFERROR(INDEX('Semrush Data'!$A$1:$Z$20000,MATCH(A2480,'Semrush Data'!$A$1:$A$20000,0),MATCH("Volume",'Semrush Data'!$A$1:$Z$1,0)),"")</f>
        <v/>
      </c>
      <c r="H2480" s="6" t="str">
        <f aca="false">IFERROR(INDEX('Semrush Data'!$A$1:$Z$20000,MATCH(A2480,'Semrush Data'!$A$1:$A$20000,0),MATCH("Keyword Difficulty*",'Semrush Data'!$A$1:$Z$1,0)),"")</f>
        <v/>
      </c>
      <c r="I2480" s="29" t="str">
        <f aca="false">IFERROR(INDEX('Semrush Data'!$A$1:$Z$20000,MATCH(A2480,'Semrush Data'!$A$1:$A$20000,0),MATCH("CPC*",'Semrush Data'!$A$1:$Z$1,0)),"")</f>
        <v/>
      </c>
      <c r="J2480" s="6" t="str">
        <f aca="false">IFERROR(INDEX('Semrush Data'!$A$1:$Z$20000,MATCH(A2480,'Semrush Data'!$A$1:$A$20000,0),MATCH("Intent",'Semrush Data'!$A$1:$Z$1,0)),"")</f>
        <v/>
      </c>
    </row>
    <row r="2481" customFormat="false" ht="15" hidden="false" customHeight="true" outlineLevel="0" collapsed="false">
      <c r="A2481" s="6" t="s">
        <v>7184</v>
      </c>
      <c r="B2481" s="6" t="s">
        <v>239</v>
      </c>
      <c r="C2481" s="6" t="n">
        <v>3</v>
      </c>
      <c r="D2481" s="6" t="n">
        <v>25</v>
      </c>
      <c r="E2481" s="6" t="n">
        <v>1</v>
      </c>
      <c r="F2481" s="6" t="s">
        <v>1164</v>
      </c>
      <c r="G2481" s="28" t="str">
        <f aca="false">IFERROR(INDEX('Semrush Data'!$A$1:$Z$20000,MATCH(A2481,'Semrush Data'!$A$1:$A$20000,0),MATCH("Volume",'Semrush Data'!$A$1:$Z$1,0)),"")</f>
        <v/>
      </c>
      <c r="H2481" s="6" t="str">
        <f aca="false">IFERROR(INDEX('Semrush Data'!$A$1:$Z$20000,MATCH(A2481,'Semrush Data'!$A$1:$A$20000,0),MATCH("Keyword Difficulty*",'Semrush Data'!$A$1:$Z$1,0)),"")</f>
        <v/>
      </c>
      <c r="I2481" s="29" t="str">
        <f aca="false">IFERROR(INDEX('Semrush Data'!$A$1:$Z$20000,MATCH(A2481,'Semrush Data'!$A$1:$A$20000,0),MATCH("CPC*",'Semrush Data'!$A$1:$Z$1,0)),"")</f>
        <v/>
      </c>
      <c r="J2481" s="6" t="str">
        <f aca="false">IFERROR(INDEX('Semrush Data'!$A$1:$Z$20000,MATCH(A2481,'Semrush Data'!$A$1:$A$20000,0),MATCH("Intent",'Semrush Data'!$A$1:$Z$1,0)),"")</f>
        <v/>
      </c>
    </row>
    <row r="2482" customFormat="false" ht="15" hidden="false" customHeight="true" outlineLevel="0" collapsed="false">
      <c r="A2482" s="6" t="s">
        <v>7185</v>
      </c>
      <c r="B2482" s="6" t="s">
        <v>239</v>
      </c>
      <c r="C2482" s="6" t="n">
        <v>3</v>
      </c>
      <c r="D2482" s="6" t="n">
        <v>25</v>
      </c>
      <c r="E2482" s="6" t="n">
        <v>1</v>
      </c>
      <c r="F2482" s="6" t="s">
        <v>1164</v>
      </c>
      <c r="G2482" s="28" t="str">
        <f aca="false">IFERROR(INDEX('Semrush Data'!$A$1:$Z$20000,MATCH(A2482,'Semrush Data'!$A$1:$A$20000,0),MATCH("Volume",'Semrush Data'!$A$1:$Z$1,0)),"")</f>
        <v/>
      </c>
      <c r="H2482" s="6" t="str">
        <f aca="false">IFERROR(INDEX('Semrush Data'!$A$1:$Z$20000,MATCH(A2482,'Semrush Data'!$A$1:$A$20000,0),MATCH("Keyword Difficulty*",'Semrush Data'!$A$1:$Z$1,0)),"")</f>
        <v/>
      </c>
      <c r="I2482" s="29" t="str">
        <f aca="false">IFERROR(INDEX('Semrush Data'!$A$1:$Z$20000,MATCH(A2482,'Semrush Data'!$A$1:$A$20000,0),MATCH("CPC*",'Semrush Data'!$A$1:$Z$1,0)),"")</f>
        <v/>
      </c>
      <c r="J2482" s="6" t="str">
        <f aca="false">IFERROR(INDEX('Semrush Data'!$A$1:$Z$20000,MATCH(A2482,'Semrush Data'!$A$1:$A$20000,0),MATCH("Intent",'Semrush Data'!$A$1:$Z$1,0)),"")</f>
        <v/>
      </c>
    </row>
    <row r="2483" customFormat="false" ht="15" hidden="false" customHeight="true" outlineLevel="0" collapsed="false">
      <c r="A2483" s="6" t="s">
        <v>7186</v>
      </c>
      <c r="B2483" s="6" t="s">
        <v>239</v>
      </c>
      <c r="C2483" s="6" t="n">
        <v>3</v>
      </c>
      <c r="D2483" s="6" t="s">
        <v>6893</v>
      </c>
      <c r="E2483" s="6" t="n">
        <v>1</v>
      </c>
      <c r="F2483" s="6" t="s">
        <v>1164</v>
      </c>
      <c r="G2483" s="28" t="n">
        <f aca="false">IFERROR(INDEX('Semrush Data'!$A$1:$Z$20000,MATCH(A2483,'Semrush Data'!$A$1:$A$20000,0),MATCH("Volume",'Semrush Data'!$A$1:$Z$1,0)),"")</f>
        <v>0</v>
      </c>
      <c r="H2483" s="6" t="n">
        <f aca="false">IFERROR(INDEX('Semrush Data'!$A$1:$Z$20000,MATCH(A2483,'Semrush Data'!$A$1:$A$20000,0),MATCH("Keyword Difficulty*",'Semrush Data'!$A$1:$Z$1,0)),"")</f>
        <v>22</v>
      </c>
      <c r="I2483" s="29" t="n">
        <f aca="false">IFERROR(INDEX('Semrush Data'!$A$1:$Z$20000,MATCH(A2483,'Semrush Data'!$A$1:$A$20000,0),MATCH("CPC*",'Semrush Data'!$A$1:$Z$1,0)),"")</f>
        <v>0</v>
      </c>
      <c r="J2483" s="6" t="str">
        <f aca="false">IFERROR(INDEX('Semrush Data'!$A$1:$Z$20000,MATCH(A2483,'Semrush Data'!$A$1:$A$20000,0),MATCH("Intent",'Semrush Data'!$A$1:$Z$1,0)),"")</f>
        <v>Commercial</v>
      </c>
    </row>
    <row r="2484" customFormat="false" ht="15" hidden="false" customHeight="true" outlineLevel="0" collapsed="false">
      <c r="A2484" s="6" t="s">
        <v>7187</v>
      </c>
      <c r="B2484" s="6" t="s">
        <v>239</v>
      </c>
      <c r="C2484" s="6" t="n">
        <v>3</v>
      </c>
      <c r="D2484" s="6" t="n">
        <v>25</v>
      </c>
      <c r="E2484" s="6" t="n">
        <v>1</v>
      </c>
      <c r="F2484" s="6" t="s">
        <v>1103</v>
      </c>
      <c r="G2484" s="28" t="str">
        <f aca="false">IFERROR(INDEX('Semrush Data'!$A$1:$Z$20000,MATCH(A2484,'Semrush Data'!$A$1:$A$20000,0),MATCH("Volume",'Semrush Data'!$A$1:$Z$1,0)),"")</f>
        <v/>
      </c>
      <c r="H2484" s="6" t="str">
        <f aca="false">IFERROR(INDEX('Semrush Data'!$A$1:$Z$20000,MATCH(A2484,'Semrush Data'!$A$1:$A$20000,0),MATCH("Keyword Difficulty*",'Semrush Data'!$A$1:$Z$1,0)),"")</f>
        <v/>
      </c>
      <c r="I2484" s="29" t="str">
        <f aca="false">IFERROR(INDEX('Semrush Data'!$A$1:$Z$20000,MATCH(A2484,'Semrush Data'!$A$1:$A$20000,0),MATCH("CPC*",'Semrush Data'!$A$1:$Z$1,0)),"")</f>
        <v/>
      </c>
      <c r="J2484" s="6" t="str">
        <f aca="false">IFERROR(INDEX('Semrush Data'!$A$1:$Z$20000,MATCH(A2484,'Semrush Data'!$A$1:$A$20000,0),MATCH("Intent",'Semrush Data'!$A$1:$Z$1,0)),"")</f>
        <v/>
      </c>
    </row>
    <row r="2485" customFormat="false" ht="15" hidden="false" customHeight="true" outlineLevel="0" collapsed="false">
      <c r="A2485" s="6" t="s">
        <v>7188</v>
      </c>
      <c r="B2485" s="6" t="s">
        <v>239</v>
      </c>
      <c r="C2485" s="6" t="n">
        <v>3</v>
      </c>
      <c r="D2485" s="6" t="n">
        <v>25</v>
      </c>
      <c r="E2485" s="6" t="n">
        <v>1</v>
      </c>
      <c r="F2485" s="6" t="s">
        <v>1103</v>
      </c>
      <c r="G2485" s="28" t="str">
        <f aca="false">IFERROR(INDEX('Semrush Data'!$A$1:$Z$20000,MATCH(A2485,'Semrush Data'!$A$1:$A$20000,0),MATCH("Volume",'Semrush Data'!$A$1:$Z$1,0)),"")</f>
        <v/>
      </c>
      <c r="H2485" s="6" t="str">
        <f aca="false">IFERROR(INDEX('Semrush Data'!$A$1:$Z$20000,MATCH(A2485,'Semrush Data'!$A$1:$A$20000,0),MATCH("Keyword Difficulty*",'Semrush Data'!$A$1:$Z$1,0)),"")</f>
        <v/>
      </c>
      <c r="I2485" s="29" t="str">
        <f aca="false">IFERROR(INDEX('Semrush Data'!$A$1:$Z$20000,MATCH(A2485,'Semrush Data'!$A$1:$A$20000,0),MATCH("CPC*",'Semrush Data'!$A$1:$Z$1,0)),"")</f>
        <v/>
      </c>
      <c r="J2485" s="6" t="str">
        <f aca="false">IFERROR(INDEX('Semrush Data'!$A$1:$Z$20000,MATCH(A2485,'Semrush Data'!$A$1:$A$20000,0),MATCH("Intent",'Semrush Data'!$A$1:$Z$1,0)),"")</f>
        <v/>
      </c>
    </row>
    <row r="2486" customFormat="false" ht="15" hidden="false" customHeight="true" outlineLevel="0" collapsed="false">
      <c r="A2486" s="6" t="s">
        <v>7189</v>
      </c>
      <c r="B2486" s="6" t="s">
        <v>239</v>
      </c>
      <c r="C2486" s="6" t="n">
        <v>3</v>
      </c>
      <c r="D2486" s="6" t="n">
        <v>25</v>
      </c>
      <c r="E2486" s="6" t="n">
        <v>1</v>
      </c>
      <c r="F2486" s="6" t="s">
        <v>1103</v>
      </c>
      <c r="G2486" s="28" t="str">
        <f aca="false">IFERROR(INDEX('Semrush Data'!$A$1:$Z$20000,MATCH(A2486,'Semrush Data'!$A$1:$A$20000,0),MATCH("Volume",'Semrush Data'!$A$1:$Z$1,0)),"")</f>
        <v/>
      </c>
      <c r="H2486" s="6" t="str">
        <f aca="false">IFERROR(INDEX('Semrush Data'!$A$1:$Z$20000,MATCH(A2486,'Semrush Data'!$A$1:$A$20000,0),MATCH("Keyword Difficulty*",'Semrush Data'!$A$1:$Z$1,0)),"")</f>
        <v/>
      </c>
      <c r="I2486" s="29" t="str">
        <f aca="false">IFERROR(INDEX('Semrush Data'!$A$1:$Z$20000,MATCH(A2486,'Semrush Data'!$A$1:$A$20000,0),MATCH("CPC*",'Semrush Data'!$A$1:$Z$1,0)),"")</f>
        <v/>
      </c>
      <c r="J2486" s="6" t="str">
        <f aca="false">IFERROR(INDEX('Semrush Data'!$A$1:$Z$20000,MATCH(A2486,'Semrush Data'!$A$1:$A$20000,0),MATCH("Intent",'Semrush Data'!$A$1:$Z$1,0)),"")</f>
        <v/>
      </c>
    </row>
    <row r="2487" customFormat="false" ht="15" hidden="false" customHeight="true" outlineLevel="0" collapsed="false">
      <c r="A2487" s="6" t="s">
        <v>7190</v>
      </c>
      <c r="B2487" s="6" t="s">
        <v>239</v>
      </c>
      <c r="C2487" s="6" t="n">
        <v>3</v>
      </c>
      <c r="D2487" s="6" t="n">
        <v>25</v>
      </c>
      <c r="E2487" s="6" t="n">
        <v>1</v>
      </c>
      <c r="F2487" s="6" t="s">
        <v>1103</v>
      </c>
      <c r="G2487" s="28" t="str">
        <f aca="false">IFERROR(INDEX('Semrush Data'!$A$1:$Z$20000,MATCH(A2487,'Semrush Data'!$A$1:$A$20000,0),MATCH("Volume",'Semrush Data'!$A$1:$Z$1,0)),"")</f>
        <v/>
      </c>
      <c r="H2487" s="6" t="str">
        <f aca="false">IFERROR(INDEX('Semrush Data'!$A$1:$Z$20000,MATCH(A2487,'Semrush Data'!$A$1:$A$20000,0),MATCH("Keyword Difficulty*",'Semrush Data'!$A$1:$Z$1,0)),"")</f>
        <v/>
      </c>
      <c r="I2487" s="29" t="str">
        <f aca="false">IFERROR(INDEX('Semrush Data'!$A$1:$Z$20000,MATCH(A2487,'Semrush Data'!$A$1:$A$20000,0),MATCH("CPC*",'Semrush Data'!$A$1:$Z$1,0)),"")</f>
        <v/>
      </c>
      <c r="J2487" s="6" t="str">
        <f aca="false">IFERROR(INDEX('Semrush Data'!$A$1:$Z$20000,MATCH(A2487,'Semrush Data'!$A$1:$A$20000,0),MATCH("Intent",'Semrush Data'!$A$1:$Z$1,0)),"")</f>
        <v/>
      </c>
    </row>
    <row r="2488" customFormat="false" ht="15" hidden="false" customHeight="true" outlineLevel="0" collapsed="false">
      <c r="A2488" s="6" t="s">
        <v>7191</v>
      </c>
      <c r="B2488" s="6" t="s">
        <v>239</v>
      </c>
      <c r="C2488" s="6" t="n">
        <v>3</v>
      </c>
      <c r="D2488" s="6" t="s">
        <v>6893</v>
      </c>
      <c r="E2488" s="6" t="n">
        <v>1</v>
      </c>
      <c r="F2488" s="6" t="s">
        <v>1103</v>
      </c>
      <c r="G2488" s="28" t="n">
        <f aca="false">IFERROR(INDEX('Semrush Data'!$A$1:$Z$20000,MATCH(A2488,'Semrush Data'!$A$1:$A$20000,0),MATCH("Volume",'Semrush Data'!$A$1:$Z$1,0)),"")</f>
        <v>0</v>
      </c>
      <c r="H2488" s="6" t="n">
        <f aca="false">IFERROR(INDEX('Semrush Data'!$A$1:$Z$20000,MATCH(A2488,'Semrush Data'!$A$1:$A$20000,0),MATCH("Keyword Difficulty*",'Semrush Data'!$A$1:$Z$1,0)),"")</f>
        <v>28</v>
      </c>
      <c r="I2488" s="29" t="n">
        <f aca="false">IFERROR(INDEX('Semrush Data'!$A$1:$Z$20000,MATCH(A2488,'Semrush Data'!$A$1:$A$20000,0),MATCH("CPC*",'Semrush Data'!$A$1:$Z$1,0)),"")</f>
        <v>0</v>
      </c>
      <c r="J2488" s="6" t="str">
        <f aca="false">IFERROR(INDEX('Semrush Data'!$A$1:$Z$20000,MATCH(A2488,'Semrush Data'!$A$1:$A$20000,0),MATCH("Intent",'Semrush Data'!$A$1:$Z$1,0)),"")</f>
        <v>Navigational Commercial</v>
      </c>
    </row>
    <row r="2489" customFormat="false" ht="15" hidden="false" customHeight="true" outlineLevel="0" collapsed="false">
      <c r="A2489" s="6" t="s">
        <v>7192</v>
      </c>
      <c r="B2489" s="6" t="s">
        <v>239</v>
      </c>
      <c r="C2489" s="6" t="n">
        <v>3</v>
      </c>
      <c r="D2489" s="6" t="n">
        <v>25</v>
      </c>
      <c r="E2489" s="6" t="n">
        <v>1</v>
      </c>
      <c r="F2489" s="6" t="s">
        <v>1066</v>
      </c>
      <c r="G2489" s="28" t="str">
        <f aca="false">IFERROR(INDEX('Semrush Data'!$A$1:$Z$20000,MATCH(A2489,'Semrush Data'!$A$1:$A$20000,0),MATCH("Volume",'Semrush Data'!$A$1:$Z$1,0)),"")</f>
        <v/>
      </c>
      <c r="H2489" s="6" t="str">
        <f aca="false">IFERROR(INDEX('Semrush Data'!$A$1:$Z$20000,MATCH(A2489,'Semrush Data'!$A$1:$A$20000,0),MATCH("Keyword Difficulty*",'Semrush Data'!$A$1:$Z$1,0)),"")</f>
        <v/>
      </c>
      <c r="I2489" s="29" t="str">
        <f aca="false">IFERROR(INDEX('Semrush Data'!$A$1:$Z$20000,MATCH(A2489,'Semrush Data'!$A$1:$A$20000,0),MATCH("CPC*",'Semrush Data'!$A$1:$Z$1,0)),"")</f>
        <v/>
      </c>
      <c r="J2489" s="6" t="str">
        <f aca="false">IFERROR(INDEX('Semrush Data'!$A$1:$Z$20000,MATCH(A2489,'Semrush Data'!$A$1:$A$20000,0),MATCH("Intent",'Semrush Data'!$A$1:$Z$1,0)),"")</f>
        <v/>
      </c>
    </row>
    <row r="2490" customFormat="false" ht="15" hidden="false" customHeight="true" outlineLevel="0" collapsed="false">
      <c r="A2490" s="6" t="s">
        <v>7193</v>
      </c>
      <c r="B2490" s="6" t="s">
        <v>239</v>
      </c>
      <c r="C2490" s="6" t="n">
        <v>3</v>
      </c>
      <c r="D2490" s="6" t="s">
        <v>6893</v>
      </c>
      <c r="E2490" s="6" t="n">
        <v>1</v>
      </c>
      <c r="F2490" s="6" t="s">
        <v>1066</v>
      </c>
      <c r="G2490" s="28" t="n">
        <f aca="false">IFERROR(INDEX('Semrush Data'!$A$1:$Z$20000,MATCH(A2490,'Semrush Data'!$A$1:$A$20000,0),MATCH("Volume",'Semrush Data'!$A$1:$Z$1,0)),"")</f>
        <v>0</v>
      </c>
      <c r="H2490" s="6" t="n">
        <f aca="false">IFERROR(INDEX('Semrush Data'!$A$1:$Z$20000,MATCH(A2490,'Semrush Data'!$A$1:$A$20000,0),MATCH("Keyword Difficulty*",'Semrush Data'!$A$1:$Z$1,0)),"")</f>
        <v>15</v>
      </c>
      <c r="I2490" s="29" t="n">
        <f aca="false">IFERROR(INDEX('Semrush Data'!$A$1:$Z$20000,MATCH(A2490,'Semrush Data'!$A$1:$A$20000,0),MATCH("CPC*",'Semrush Data'!$A$1:$Z$1,0)),"")</f>
        <v>0</v>
      </c>
      <c r="J2490" s="6" t="str">
        <f aca="false">IFERROR(INDEX('Semrush Data'!$A$1:$Z$20000,MATCH(A2490,'Semrush Data'!$A$1:$A$20000,0),MATCH("Intent",'Semrush Data'!$A$1:$Z$1,0)),"")</f>
        <v>Commercial</v>
      </c>
    </row>
    <row r="2491" customFormat="false" ht="15" hidden="false" customHeight="true" outlineLevel="0" collapsed="false">
      <c r="A2491" s="6" t="s">
        <v>1013</v>
      </c>
      <c r="B2491" s="6" t="s">
        <v>239</v>
      </c>
      <c r="C2491" s="6" t="n">
        <v>3</v>
      </c>
      <c r="D2491" s="6" t="s">
        <v>6893</v>
      </c>
      <c r="E2491" s="6" t="n">
        <v>1</v>
      </c>
      <c r="F2491" s="6" t="s">
        <v>1006</v>
      </c>
      <c r="G2491" s="28" t="n">
        <f aca="false">IFERROR(INDEX('Semrush Data'!$A$1:$Z$20000,MATCH(A2491,'Semrush Data'!$A$1:$A$20000,0),MATCH("Volume",'Semrush Data'!$A$1:$Z$1,0)),"")</f>
        <v>0</v>
      </c>
      <c r="H2491" s="6" t="n">
        <f aca="false">IFERROR(INDEX('Semrush Data'!$A$1:$Z$20000,MATCH(A2491,'Semrush Data'!$A$1:$A$20000,0),MATCH("Keyword Difficulty*",'Semrush Data'!$A$1:$Z$1,0)),"")</f>
        <v>16</v>
      </c>
      <c r="I2491" s="29" t="n">
        <f aca="false">IFERROR(INDEX('Semrush Data'!$A$1:$Z$20000,MATCH(A2491,'Semrush Data'!$A$1:$A$20000,0),MATCH("CPC*",'Semrush Data'!$A$1:$Z$1,0)),"")</f>
        <v>0</v>
      </c>
      <c r="J2491" s="6" t="str">
        <f aca="false">IFERROR(INDEX('Semrush Data'!$A$1:$Z$20000,MATCH(A2491,'Semrush Data'!$A$1:$A$20000,0),MATCH("Intent",'Semrush Data'!$A$1:$Z$1,0)),"")</f>
        <v>Commercial</v>
      </c>
    </row>
    <row r="2492" customFormat="false" ht="15" hidden="false" customHeight="true" outlineLevel="0" collapsed="false">
      <c r="A2492" s="6" t="s">
        <v>7194</v>
      </c>
      <c r="B2492" s="6" t="s">
        <v>239</v>
      </c>
      <c r="C2492" s="6" t="n">
        <v>3</v>
      </c>
      <c r="D2492" s="6" t="n">
        <v>25</v>
      </c>
      <c r="E2492" s="6" t="n">
        <v>1</v>
      </c>
      <c r="F2492" s="6" t="s">
        <v>1192</v>
      </c>
      <c r="G2492" s="28" t="str">
        <f aca="false">IFERROR(INDEX('Semrush Data'!$A$1:$Z$20000,MATCH(A2492,'Semrush Data'!$A$1:$A$20000,0),MATCH("Volume",'Semrush Data'!$A$1:$Z$1,0)),"")</f>
        <v/>
      </c>
      <c r="H2492" s="6" t="str">
        <f aca="false">IFERROR(INDEX('Semrush Data'!$A$1:$Z$20000,MATCH(A2492,'Semrush Data'!$A$1:$A$20000,0),MATCH("Keyword Difficulty*",'Semrush Data'!$A$1:$Z$1,0)),"")</f>
        <v/>
      </c>
      <c r="I2492" s="29" t="str">
        <f aca="false">IFERROR(INDEX('Semrush Data'!$A$1:$Z$20000,MATCH(A2492,'Semrush Data'!$A$1:$A$20000,0),MATCH("CPC*",'Semrush Data'!$A$1:$Z$1,0)),"")</f>
        <v/>
      </c>
      <c r="J2492" s="6" t="str">
        <f aca="false">IFERROR(INDEX('Semrush Data'!$A$1:$Z$20000,MATCH(A2492,'Semrush Data'!$A$1:$A$20000,0),MATCH("Intent",'Semrush Data'!$A$1:$Z$1,0)),"")</f>
        <v/>
      </c>
    </row>
    <row r="2493" customFormat="false" ht="15" hidden="false" customHeight="true" outlineLevel="0" collapsed="false">
      <c r="A2493" s="6" t="s">
        <v>7195</v>
      </c>
      <c r="B2493" s="6" t="s">
        <v>239</v>
      </c>
      <c r="C2493" s="6" t="n">
        <v>3</v>
      </c>
      <c r="D2493" s="6" t="n">
        <v>25</v>
      </c>
      <c r="E2493" s="6" t="n">
        <v>1</v>
      </c>
      <c r="F2493" s="6" t="s">
        <v>1192</v>
      </c>
      <c r="G2493" s="28" t="str">
        <f aca="false">IFERROR(INDEX('Semrush Data'!$A$1:$Z$20000,MATCH(A2493,'Semrush Data'!$A$1:$A$20000,0),MATCH("Volume",'Semrush Data'!$A$1:$Z$1,0)),"")</f>
        <v/>
      </c>
      <c r="H2493" s="6" t="str">
        <f aca="false">IFERROR(INDEX('Semrush Data'!$A$1:$Z$20000,MATCH(A2493,'Semrush Data'!$A$1:$A$20000,0),MATCH("Keyword Difficulty*",'Semrush Data'!$A$1:$Z$1,0)),"")</f>
        <v/>
      </c>
      <c r="I2493" s="29" t="str">
        <f aca="false">IFERROR(INDEX('Semrush Data'!$A$1:$Z$20000,MATCH(A2493,'Semrush Data'!$A$1:$A$20000,0),MATCH("CPC*",'Semrush Data'!$A$1:$Z$1,0)),"")</f>
        <v/>
      </c>
      <c r="J2493" s="6" t="str">
        <f aca="false">IFERROR(INDEX('Semrush Data'!$A$1:$Z$20000,MATCH(A2493,'Semrush Data'!$A$1:$A$20000,0),MATCH("Intent",'Semrush Data'!$A$1:$Z$1,0)),"")</f>
        <v/>
      </c>
    </row>
    <row r="2494" customFormat="false" ht="15" hidden="false" customHeight="true" outlineLevel="0" collapsed="false">
      <c r="A2494" s="6" t="s">
        <v>7196</v>
      </c>
      <c r="B2494" s="6" t="s">
        <v>239</v>
      </c>
      <c r="C2494" s="6" t="n">
        <v>3</v>
      </c>
      <c r="D2494" s="6" t="n">
        <v>25</v>
      </c>
      <c r="E2494" s="6" t="n">
        <v>1</v>
      </c>
      <c r="F2494" s="6" t="s">
        <v>1192</v>
      </c>
      <c r="G2494" s="28" t="str">
        <f aca="false">IFERROR(INDEX('Semrush Data'!$A$1:$Z$20000,MATCH(A2494,'Semrush Data'!$A$1:$A$20000,0),MATCH("Volume",'Semrush Data'!$A$1:$Z$1,0)),"")</f>
        <v/>
      </c>
      <c r="H2494" s="6" t="str">
        <f aca="false">IFERROR(INDEX('Semrush Data'!$A$1:$Z$20000,MATCH(A2494,'Semrush Data'!$A$1:$A$20000,0),MATCH("Keyword Difficulty*",'Semrush Data'!$A$1:$Z$1,0)),"")</f>
        <v/>
      </c>
      <c r="I2494" s="29" t="str">
        <f aca="false">IFERROR(INDEX('Semrush Data'!$A$1:$Z$20000,MATCH(A2494,'Semrush Data'!$A$1:$A$20000,0),MATCH("CPC*",'Semrush Data'!$A$1:$Z$1,0)),"")</f>
        <v/>
      </c>
      <c r="J2494" s="6" t="str">
        <f aca="false">IFERROR(INDEX('Semrush Data'!$A$1:$Z$20000,MATCH(A2494,'Semrush Data'!$A$1:$A$20000,0),MATCH("Intent",'Semrush Data'!$A$1:$Z$1,0)),"")</f>
        <v/>
      </c>
    </row>
    <row r="2495" customFormat="false" ht="15" hidden="false" customHeight="true" outlineLevel="0" collapsed="false">
      <c r="A2495" s="6" t="s">
        <v>7197</v>
      </c>
      <c r="B2495" s="6" t="s">
        <v>239</v>
      </c>
      <c r="C2495" s="6" t="n">
        <v>3</v>
      </c>
      <c r="D2495" s="6" t="s">
        <v>6893</v>
      </c>
      <c r="E2495" s="6" t="n">
        <v>1</v>
      </c>
      <c r="F2495" s="6" t="s">
        <v>1192</v>
      </c>
      <c r="G2495" s="28" t="n">
        <f aca="false">IFERROR(INDEX('Semrush Data'!$A$1:$Z$20000,MATCH(A2495,'Semrush Data'!$A$1:$A$20000,0),MATCH("Volume",'Semrush Data'!$A$1:$Z$1,0)),"")</f>
        <v>0</v>
      </c>
      <c r="H2495" s="6" t="n">
        <f aca="false">IFERROR(INDEX('Semrush Data'!$A$1:$Z$20000,MATCH(A2495,'Semrush Data'!$A$1:$A$20000,0),MATCH("Keyword Difficulty*",'Semrush Data'!$A$1:$Z$1,0)),"")</f>
        <v>35</v>
      </c>
      <c r="I2495" s="29" t="n">
        <f aca="false">IFERROR(INDEX('Semrush Data'!$A$1:$Z$20000,MATCH(A2495,'Semrush Data'!$A$1:$A$20000,0),MATCH("CPC*",'Semrush Data'!$A$1:$Z$1,0)),"")</f>
        <v>0</v>
      </c>
      <c r="J2495" s="6" t="str">
        <f aca="false">IFERROR(INDEX('Semrush Data'!$A$1:$Z$20000,MATCH(A2495,'Semrush Data'!$A$1:$A$20000,0),MATCH("Intent",'Semrush Data'!$A$1:$Z$1,0)),"")</f>
        <v>Transactional</v>
      </c>
    </row>
    <row r="2496" customFormat="false" ht="15" hidden="false" customHeight="true" outlineLevel="0" collapsed="false">
      <c r="A2496" s="6" t="s">
        <v>977</v>
      </c>
      <c r="B2496" s="6" t="s">
        <v>239</v>
      </c>
      <c r="C2496" s="6" t="n">
        <v>3</v>
      </c>
      <c r="D2496" s="6" t="s">
        <v>6893</v>
      </c>
      <c r="E2496" s="6" t="n">
        <v>1</v>
      </c>
      <c r="F2496" s="6" t="s">
        <v>971</v>
      </c>
      <c r="G2496" s="28" t="n">
        <f aca="false">IFERROR(INDEX('Semrush Data'!$A$1:$Z$20000,MATCH(A2496,'Semrush Data'!$A$1:$A$20000,0),MATCH("Volume",'Semrush Data'!$A$1:$Z$1,0)),"")</f>
        <v>0</v>
      </c>
      <c r="H2496" s="6" t="n">
        <f aca="false">IFERROR(INDEX('Semrush Data'!$A$1:$Z$20000,MATCH(A2496,'Semrush Data'!$A$1:$A$20000,0),MATCH("Keyword Difficulty*",'Semrush Data'!$A$1:$Z$1,0)),"")</f>
        <v>3</v>
      </c>
      <c r="I2496" s="29" t="n">
        <f aca="false">IFERROR(INDEX('Semrush Data'!$A$1:$Z$20000,MATCH(A2496,'Semrush Data'!$A$1:$A$20000,0),MATCH("CPC*",'Semrush Data'!$A$1:$Z$1,0)),"")</f>
        <v>0</v>
      </c>
      <c r="J2496" s="6" t="str">
        <f aca="false">IFERROR(INDEX('Semrush Data'!$A$1:$Z$20000,MATCH(A2496,'Semrush Data'!$A$1:$A$20000,0),MATCH("Intent",'Semrush Data'!$A$1:$Z$1,0)),"")</f>
        <v>Navigational Commercial</v>
      </c>
    </row>
    <row r="2497" customFormat="false" ht="15" hidden="false" customHeight="true" outlineLevel="0" collapsed="false">
      <c r="A2497" s="6" t="s">
        <v>7198</v>
      </c>
      <c r="B2497" s="6" t="s">
        <v>239</v>
      </c>
      <c r="C2497" s="6" t="n">
        <v>3</v>
      </c>
      <c r="D2497" s="6" t="n">
        <v>25</v>
      </c>
      <c r="E2497" s="6" t="n">
        <v>1</v>
      </c>
      <c r="F2497" s="6" t="s">
        <v>1199</v>
      </c>
      <c r="G2497" s="28" t="str">
        <f aca="false">IFERROR(INDEX('Semrush Data'!$A$1:$Z$20000,MATCH(A2497,'Semrush Data'!$A$1:$A$20000,0),MATCH("Volume",'Semrush Data'!$A$1:$Z$1,0)),"")</f>
        <v/>
      </c>
      <c r="H2497" s="6" t="str">
        <f aca="false">IFERROR(INDEX('Semrush Data'!$A$1:$Z$20000,MATCH(A2497,'Semrush Data'!$A$1:$A$20000,0),MATCH("Keyword Difficulty*",'Semrush Data'!$A$1:$Z$1,0)),"")</f>
        <v/>
      </c>
      <c r="I2497" s="29" t="str">
        <f aca="false">IFERROR(INDEX('Semrush Data'!$A$1:$Z$20000,MATCH(A2497,'Semrush Data'!$A$1:$A$20000,0),MATCH("CPC*",'Semrush Data'!$A$1:$Z$1,0)),"")</f>
        <v/>
      </c>
      <c r="J2497" s="6" t="str">
        <f aca="false">IFERROR(INDEX('Semrush Data'!$A$1:$Z$20000,MATCH(A2497,'Semrush Data'!$A$1:$A$20000,0),MATCH("Intent",'Semrush Data'!$A$1:$Z$1,0)),"")</f>
        <v/>
      </c>
    </row>
    <row r="2498" customFormat="false" ht="15" hidden="false" customHeight="true" outlineLevel="0" collapsed="false">
      <c r="A2498" s="6" t="s">
        <v>7199</v>
      </c>
      <c r="B2498" s="6" t="s">
        <v>239</v>
      </c>
      <c r="C2498" s="6" t="n">
        <v>3</v>
      </c>
      <c r="D2498" s="6" t="n">
        <v>25</v>
      </c>
      <c r="E2498" s="6" t="n">
        <v>1</v>
      </c>
      <c r="F2498" s="6" t="s">
        <v>1199</v>
      </c>
      <c r="G2498" s="28" t="str">
        <f aca="false">IFERROR(INDEX('Semrush Data'!$A$1:$Z$20000,MATCH(A2498,'Semrush Data'!$A$1:$A$20000,0),MATCH("Volume",'Semrush Data'!$A$1:$Z$1,0)),"")</f>
        <v/>
      </c>
      <c r="H2498" s="6" t="str">
        <f aca="false">IFERROR(INDEX('Semrush Data'!$A$1:$Z$20000,MATCH(A2498,'Semrush Data'!$A$1:$A$20000,0),MATCH("Keyword Difficulty*",'Semrush Data'!$A$1:$Z$1,0)),"")</f>
        <v/>
      </c>
      <c r="I2498" s="29" t="str">
        <f aca="false">IFERROR(INDEX('Semrush Data'!$A$1:$Z$20000,MATCH(A2498,'Semrush Data'!$A$1:$A$20000,0),MATCH("CPC*",'Semrush Data'!$A$1:$Z$1,0)),"")</f>
        <v/>
      </c>
      <c r="J2498" s="6" t="str">
        <f aca="false">IFERROR(INDEX('Semrush Data'!$A$1:$Z$20000,MATCH(A2498,'Semrush Data'!$A$1:$A$20000,0),MATCH("Intent",'Semrush Data'!$A$1:$Z$1,0)),"")</f>
        <v/>
      </c>
    </row>
    <row r="2499" customFormat="false" ht="15" hidden="false" customHeight="true" outlineLevel="0" collapsed="false">
      <c r="A2499" s="6" t="s">
        <v>7200</v>
      </c>
      <c r="B2499" s="6" t="s">
        <v>239</v>
      </c>
      <c r="C2499" s="6" t="n">
        <v>3</v>
      </c>
      <c r="D2499" s="6" t="n">
        <v>25</v>
      </c>
      <c r="E2499" s="6" t="n">
        <v>1</v>
      </c>
      <c r="F2499" s="6" t="s">
        <v>1199</v>
      </c>
      <c r="G2499" s="28" t="str">
        <f aca="false">IFERROR(INDEX('Semrush Data'!$A$1:$Z$20000,MATCH(A2499,'Semrush Data'!$A$1:$A$20000,0),MATCH("Volume",'Semrush Data'!$A$1:$Z$1,0)),"")</f>
        <v/>
      </c>
      <c r="H2499" s="6" t="str">
        <f aca="false">IFERROR(INDEX('Semrush Data'!$A$1:$Z$20000,MATCH(A2499,'Semrush Data'!$A$1:$A$20000,0),MATCH("Keyword Difficulty*",'Semrush Data'!$A$1:$Z$1,0)),"")</f>
        <v/>
      </c>
      <c r="I2499" s="29" t="str">
        <f aca="false">IFERROR(INDEX('Semrush Data'!$A$1:$Z$20000,MATCH(A2499,'Semrush Data'!$A$1:$A$20000,0),MATCH("CPC*",'Semrush Data'!$A$1:$Z$1,0)),"")</f>
        <v/>
      </c>
      <c r="J2499" s="6" t="str">
        <f aca="false">IFERROR(INDEX('Semrush Data'!$A$1:$Z$20000,MATCH(A2499,'Semrush Data'!$A$1:$A$20000,0),MATCH("Intent",'Semrush Data'!$A$1:$Z$1,0)),"")</f>
        <v/>
      </c>
    </row>
    <row r="2500" customFormat="false" ht="15" hidden="false" customHeight="true" outlineLevel="0" collapsed="false">
      <c r="A2500" s="6" t="s">
        <v>7201</v>
      </c>
      <c r="B2500" s="6" t="s">
        <v>239</v>
      </c>
      <c r="C2500" s="6" t="n">
        <v>3</v>
      </c>
      <c r="D2500" s="6" t="s">
        <v>6893</v>
      </c>
      <c r="E2500" s="6" t="n">
        <v>1</v>
      </c>
      <c r="F2500" s="6" t="s">
        <v>1199</v>
      </c>
      <c r="G2500" s="28" t="n">
        <f aca="false">IFERROR(INDEX('Semrush Data'!$A$1:$Z$20000,MATCH(A2500,'Semrush Data'!$A$1:$A$20000,0),MATCH("Volume",'Semrush Data'!$A$1:$Z$1,0)),"")</f>
        <v>0</v>
      </c>
      <c r="H2500" s="6" t="n">
        <f aca="false">IFERROR(INDEX('Semrush Data'!$A$1:$Z$20000,MATCH(A2500,'Semrush Data'!$A$1:$A$20000,0),MATCH("Keyword Difficulty*",'Semrush Data'!$A$1:$Z$1,0)),"")</f>
        <v>29</v>
      </c>
      <c r="I2500" s="29" t="n">
        <f aca="false">IFERROR(INDEX('Semrush Data'!$A$1:$Z$20000,MATCH(A2500,'Semrush Data'!$A$1:$A$20000,0),MATCH("CPC*",'Semrush Data'!$A$1:$Z$1,0)),"")</f>
        <v>0</v>
      </c>
      <c r="J2500" s="6" t="str">
        <f aca="false">IFERROR(INDEX('Semrush Data'!$A$1:$Z$20000,MATCH(A2500,'Semrush Data'!$A$1:$A$20000,0),MATCH("Intent",'Semrush Data'!$A$1:$Z$1,0)),"")</f>
        <v>Commercial</v>
      </c>
    </row>
    <row r="2501" customFormat="false" ht="15" hidden="false" customHeight="true" outlineLevel="0" collapsed="false">
      <c r="A2501" s="6" t="s">
        <v>7202</v>
      </c>
      <c r="B2501" s="6" t="s">
        <v>239</v>
      </c>
      <c r="C2501" s="6" t="n">
        <v>3</v>
      </c>
      <c r="D2501" s="6" t="n">
        <v>25</v>
      </c>
      <c r="E2501" s="6" t="n">
        <v>1</v>
      </c>
      <c r="F2501" s="6" t="s">
        <v>1059</v>
      </c>
      <c r="G2501" s="28" t="str">
        <f aca="false">IFERROR(INDEX('Semrush Data'!$A$1:$Z$20000,MATCH(A2501,'Semrush Data'!$A$1:$A$20000,0),MATCH("Volume",'Semrush Data'!$A$1:$Z$1,0)),"")</f>
        <v/>
      </c>
      <c r="H2501" s="6" t="str">
        <f aca="false">IFERROR(INDEX('Semrush Data'!$A$1:$Z$20000,MATCH(A2501,'Semrush Data'!$A$1:$A$20000,0),MATCH("Keyword Difficulty*",'Semrush Data'!$A$1:$Z$1,0)),"")</f>
        <v/>
      </c>
      <c r="I2501" s="29" t="str">
        <f aca="false">IFERROR(INDEX('Semrush Data'!$A$1:$Z$20000,MATCH(A2501,'Semrush Data'!$A$1:$A$20000,0),MATCH("CPC*",'Semrush Data'!$A$1:$Z$1,0)),"")</f>
        <v/>
      </c>
      <c r="J2501" s="6" t="str">
        <f aca="false">IFERROR(INDEX('Semrush Data'!$A$1:$Z$20000,MATCH(A2501,'Semrush Data'!$A$1:$A$20000,0),MATCH("Intent",'Semrush Data'!$A$1:$Z$1,0)),"")</f>
        <v/>
      </c>
    </row>
    <row r="2502" customFormat="false" ht="15" hidden="false" customHeight="true" outlineLevel="0" collapsed="false">
      <c r="A2502" s="6" t="s">
        <v>7203</v>
      </c>
      <c r="B2502" s="6" t="s">
        <v>239</v>
      </c>
      <c r="C2502" s="6" t="n">
        <v>3</v>
      </c>
      <c r="D2502" s="6" t="n">
        <v>26</v>
      </c>
      <c r="E2502" s="6" t="n">
        <v>1</v>
      </c>
      <c r="F2502" s="6" t="s">
        <v>1059</v>
      </c>
      <c r="G2502" s="28" t="str">
        <f aca="false">IFERROR(INDEX('Semrush Data'!$A$1:$Z$20000,MATCH(A2502,'Semrush Data'!$A$1:$A$20000,0),MATCH("Volume",'Semrush Data'!$A$1:$Z$1,0)),"")</f>
        <v/>
      </c>
      <c r="H2502" s="6" t="str">
        <f aca="false">IFERROR(INDEX('Semrush Data'!$A$1:$Z$20000,MATCH(A2502,'Semrush Data'!$A$1:$A$20000,0),MATCH("Keyword Difficulty*",'Semrush Data'!$A$1:$Z$1,0)),"")</f>
        <v/>
      </c>
      <c r="I2502" s="29" t="str">
        <f aca="false">IFERROR(INDEX('Semrush Data'!$A$1:$Z$20000,MATCH(A2502,'Semrush Data'!$A$1:$A$20000,0),MATCH("CPC*",'Semrush Data'!$A$1:$Z$1,0)),"")</f>
        <v/>
      </c>
      <c r="J2502" s="6" t="str">
        <f aca="false">IFERROR(INDEX('Semrush Data'!$A$1:$Z$20000,MATCH(A2502,'Semrush Data'!$A$1:$A$20000,0),MATCH("Intent",'Semrush Data'!$A$1:$Z$1,0)),"")</f>
        <v/>
      </c>
    </row>
    <row r="2503" customFormat="false" ht="15" hidden="false" customHeight="true" outlineLevel="0" collapsed="false">
      <c r="A2503" s="6" t="s">
        <v>7204</v>
      </c>
      <c r="B2503" s="6" t="s">
        <v>239</v>
      </c>
      <c r="C2503" s="6" t="n">
        <v>3</v>
      </c>
      <c r="D2503" s="6" t="s">
        <v>6893</v>
      </c>
      <c r="E2503" s="6" t="n">
        <v>1</v>
      </c>
      <c r="F2503" s="6" t="s">
        <v>1059</v>
      </c>
      <c r="G2503" s="28" t="n">
        <f aca="false">IFERROR(INDEX('Semrush Data'!$A$1:$Z$20000,MATCH(A2503,'Semrush Data'!$A$1:$A$20000,0),MATCH("Volume",'Semrush Data'!$A$1:$Z$1,0)),"")</f>
        <v>0</v>
      </c>
      <c r="H2503" s="6" t="n">
        <f aca="false">IFERROR(INDEX('Semrush Data'!$A$1:$Z$20000,MATCH(A2503,'Semrush Data'!$A$1:$A$20000,0),MATCH("Keyword Difficulty*",'Semrush Data'!$A$1:$Z$1,0)),"")</f>
        <v>7</v>
      </c>
      <c r="I2503" s="29" t="n">
        <f aca="false">IFERROR(INDEX('Semrush Data'!$A$1:$Z$20000,MATCH(A2503,'Semrush Data'!$A$1:$A$20000,0),MATCH("CPC*",'Semrush Data'!$A$1:$Z$1,0)),"")</f>
        <v>0</v>
      </c>
      <c r="J2503" s="6" t="str">
        <f aca="false">IFERROR(INDEX('Semrush Data'!$A$1:$Z$20000,MATCH(A2503,'Semrush Data'!$A$1:$A$20000,0),MATCH("Intent",'Semrush Data'!$A$1:$Z$1,0)),"")</f>
        <v>Commercial</v>
      </c>
    </row>
    <row r="2504" customFormat="false" ht="15" hidden="false" customHeight="true" outlineLevel="0" collapsed="false">
      <c r="A2504" s="6" t="s">
        <v>7205</v>
      </c>
      <c r="B2504" s="6" t="s">
        <v>239</v>
      </c>
      <c r="C2504" s="6" t="n">
        <v>3</v>
      </c>
      <c r="D2504" s="6" t="n">
        <v>26</v>
      </c>
      <c r="E2504" s="6" t="n">
        <v>1</v>
      </c>
      <c r="F2504" s="6" t="s">
        <v>1239</v>
      </c>
      <c r="G2504" s="28" t="str">
        <f aca="false">IFERROR(INDEX('Semrush Data'!$A$1:$Z$20000,MATCH(A2504,'Semrush Data'!$A$1:$A$20000,0),MATCH("Volume",'Semrush Data'!$A$1:$Z$1,0)),"")</f>
        <v/>
      </c>
      <c r="H2504" s="6" t="str">
        <f aca="false">IFERROR(INDEX('Semrush Data'!$A$1:$Z$20000,MATCH(A2504,'Semrush Data'!$A$1:$A$20000,0),MATCH("Keyword Difficulty*",'Semrush Data'!$A$1:$Z$1,0)),"")</f>
        <v/>
      </c>
      <c r="I2504" s="29" t="str">
        <f aca="false">IFERROR(INDEX('Semrush Data'!$A$1:$Z$20000,MATCH(A2504,'Semrush Data'!$A$1:$A$20000,0),MATCH("CPC*",'Semrush Data'!$A$1:$Z$1,0)),"")</f>
        <v/>
      </c>
      <c r="J2504" s="6" t="str">
        <f aca="false">IFERROR(INDEX('Semrush Data'!$A$1:$Z$20000,MATCH(A2504,'Semrush Data'!$A$1:$A$20000,0),MATCH("Intent",'Semrush Data'!$A$1:$Z$1,0)),"")</f>
        <v/>
      </c>
    </row>
    <row r="2505" customFormat="false" ht="15" hidden="false" customHeight="true" outlineLevel="0" collapsed="false">
      <c r="A2505" s="6" t="s">
        <v>7206</v>
      </c>
      <c r="B2505" s="6" t="s">
        <v>239</v>
      </c>
      <c r="C2505" s="6" t="n">
        <v>3</v>
      </c>
      <c r="D2505" s="6" t="n">
        <v>26</v>
      </c>
      <c r="E2505" s="6" t="n">
        <v>1</v>
      </c>
      <c r="F2505" s="6" t="s">
        <v>1239</v>
      </c>
      <c r="G2505" s="28" t="str">
        <f aca="false">IFERROR(INDEX('Semrush Data'!$A$1:$Z$20000,MATCH(A2505,'Semrush Data'!$A$1:$A$20000,0),MATCH("Volume",'Semrush Data'!$A$1:$Z$1,0)),"")</f>
        <v/>
      </c>
      <c r="H2505" s="6" t="str">
        <f aca="false">IFERROR(INDEX('Semrush Data'!$A$1:$Z$20000,MATCH(A2505,'Semrush Data'!$A$1:$A$20000,0),MATCH("Keyword Difficulty*",'Semrush Data'!$A$1:$Z$1,0)),"")</f>
        <v/>
      </c>
      <c r="I2505" s="29" t="str">
        <f aca="false">IFERROR(INDEX('Semrush Data'!$A$1:$Z$20000,MATCH(A2505,'Semrush Data'!$A$1:$A$20000,0),MATCH("CPC*",'Semrush Data'!$A$1:$Z$1,0)),"")</f>
        <v/>
      </c>
      <c r="J2505" s="6" t="str">
        <f aca="false">IFERROR(INDEX('Semrush Data'!$A$1:$Z$20000,MATCH(A2505,'Semrush Data'!$A$1:$A$20000,0),MATCH("Intent",'Semrush Data'!$A$1:$Z$1,0)),"")</f>
        <v/>
      </c>
    </row>
    <row r="2506" customFormat="false" ht="15" hidden="false" customHeight="true" outlineLevel="0" collapsed="false">
      <c r="A2506" s="6" t="s">
        <v>7207</v>
      </c>
      <c r="B2506" s="6" t="s">
        <v>239</v>
      </c>
      <c r="C2506" s="6" t="n">
        <v>3</v>
      </c>
      <c r="D2506" s="6" t="n">
        <v>26</v>
      </c>
      <c r="E2506" s="6" t="n">
        <v>1</v>
      </c>
      <c r="F2506" s="6" t="s">
        <v>1239</v>
      </c>
      <c r="G2506" s="28" t="str">
        <f aca="false">IFERROR(INDEX('Semrush Data'!$A$1:$Z$20000,MATCH(A2506,'Semrush Data'!$A$1:$A$20000,0),MATCH("Volume",'Semrush Data'!$A$1:$Z$1,0)),"")</f>
        <v/>
      </c>
      <c r="H2506" s="6" t="str">
        <f aca="false">IFERROR(INDEX('Semrush Data'!$A$1:$Z$20000,MATCH(A2506,'Semrush Data'!$A$1:$A$20000,0),MATCH("Keyword Difficulty*",'Semrush Data'!$A$1:$Z$1,0)),"")</f>
        <v/>
      </c>
      <c r="I2506" s="29" t="str">
        <f aca="false">IFERROR(INDEX('Semrush Data'!$A$1:$Z$20000,MATCH(A2506,'Semrush Data'!$A$1:$A$20000,0),MATCH("CPC*",'Semrush Data'!$A$1:$Z$1,0)),"")</f>
        <v/>
      </c>
      <c r="J2506" s="6" t="str">
        <f aca="false">IFERROR(INDEX('Semrush Data'!$A$1:$Z$20000,MATCH(A2506,'Semrush Data'!$A$1:$A$20000,0),MATCH("Intent",'Semrush Data'!$A$1:$Z$1,0)),"")</f>
        <v/>
      </c>
    </row>
    <row r="2507" customFormat="false" ht="15" hidden="false" customHeight="true" outlineLevel="0" collapsed="false">
      <c r="A2507" s="6" t="s">
        <v>7208</v>
      </c>
      <c r="B2507" s="6" t="s">
        <v>239</v>
      </c>
      <c r="C2507" s="6" t="n">
        <v>3</v>
      </c>
      <c r="D2507" s="6" t="n">
        <v>26</v>
      </c>
      <c r="E2507" s="6" t="n">
        <v>1</v>
      </c>
      <c r="F2507" s="6" t="s">
        <v>1239</v>
      </c>
      <c r="G2507" s="28" t="str">
        <f aca="false">IFERROR(INDEX('Semrush Data'!$A$1:$Z$20000,MATCH(A2507,'Semrush Data'!$A$1:$A$20000,0),MATCH("Volume",'Semrush Data'!$A$1:$Z$1,0)),"")</f>
        <v/>
      </c>
      <c r="H2507" s="6" t="str">
        <f aca="false">IFERROR(INDEX('Semrush Data'!$A$1:$Z$20000,MATCH(A2507,'Semrush Data'!$A$1:$A$20000,0),MATCH("Keyword Difficulty*",'Semrush Data'!$A$1:$Z$1,0)),"")</f>
        <v/>
      </c>
      <c r="I2507" s="29" t="str">
        <f aca="false">IFERROR(INDEX('Semrush Data'!$A$1:$Z$20000,MATCH(A2507,'Semrush Data'!$A$1:$A$20000,0),MATCH("CPC*",'Semrush Data'!$A$1:$Z$1,0)),"")</f>
        <v/>
      </c>
      <c r="J2507" s="6" t="str">
        <f aca="false">IFERROR(INDEX('Semrush Data'!$A$1:$Z$20000,MATCH(A2507,'Semrush Data'!$A$1:$A$20000,0),MATCH("Intent",'Semrush Data'!$A$1:$Z$1,0)),"")</f>
        <v/>
      </c>
    </row>
    <row r="2508" customFormat="false" ht="15" hidden="false" customHeight="true" outlineLevel="0" collapsed="false">
      <c r="A2508" s="6" t="s">
        <v>7209</v>
      </c>
      <c r="B2508" s="6" t="s">
        <v>239</v>
      </c>
      <c r="C2508" s="6" t="n">
        <v>3</v>
      </c>
      <c r="D2508" s="6" t="s">
        <v>6893</v>
      </c>
      <c r="E2508" s="6" t="n">
        <v>1</v>
      </c>
      <c r="F2508" s="6" t="s">
        <v>1239</v>
      </c>
      <c r="G2508" s="28" t="n">
        <f aca="false">IFERROR(INDEX('Semrush Data'!$A$1:$Z$20000,MATCH(A2508,'Semrush Data'!$A$1:$A$20000,0),MATCH("Volume",'Semrush Data'!$A$1:$Z$1,0)),"")</f>
        <v>0</v>
      </c>
      <c r="H2508" s="6" t="n">
        <f aca="false">IFERROR(INDEX('Semrush Data'!$A$1:$Z$20000,MATCH(A2508,'Semrush Data'!$A$1:$A$20000,0),MATCH("Keyword Difficulty*",'Semrush Data'!$A$1:$Z$1,0)),"")</f>
        <v>21</v>
      </c>
      <c r="I2508" s="29" t="n">
        <f aca="false">IFERROR(INDEX('Semrush Data'!$A$1:$Z$20000,MATCH(A2508,'Semrush Data'!$A$1:$A$20000,0),MATCH("CPC*",'Semrush Data'!$A$1:$Z$1,0)),"")</f>
        <v>0</v>
      </c>
      <c r="J2508" s="6" t="str">
        <f aca="false">IFERROR(INDEX('Semrush Data'!$A$1:$Z$20000,MATCH(A2508,'Semrush Data'!$A$1:$A$20000,0),MATCH("Intent",'Semrush Data'!$A$1:$Z$1,0)),"")</f>
        <v>Commercial</v>
      </c>
    </row>
    <row r="2509" customFormat="false" ht="15" hidden="false" customHeight="true" outlineLevel="0" collapsed="false">
      <c r="A2509" s="6" t="s">
        <v>7210</v>
      </c>
      <c r="B2509" s="6" t="s">
        <v>239</v>
      </c>
      <c r="C2509" s="6" t="n">
        <v>3</v>
      </c>
      <c r="D2509" s="6" t="s">
        <v>6893</v>
      </c>
      <c r="E2509" s="6" t="n">
        <v>1</v>
      </c>
      <c r="F2509" s="6" t="s">
        <v>1014</v>
      </c>
      <c r="G2509" s="28" t="n">
        <f aca="false">IFERROR(INDEX('Semrush Data'!$A$1:$Z$20000,MATCH(A2509,'Semrush Data'!$A$1:$A$20000,0),MATCH("Volume",'Semrush Data'!$A$1:$Z$1,0)),"")</f>
        <v>0</v>
      </c>
      <c r="H2509" s="6" t="n">
        <f aca="false">IFERROR(INDEX('Semrush Data'!$A$1:$Z$20000,MATCH(A2509,'Semrush Data'!$A$1:$A$20000,0),MATCH("Keyword Difficulty*",'Semrush Data'!$A$1:$Z$1,0)),"")</f>
        <v>22</v>
      </c>
      <c r="I2509" s="29" t="n">
        <f aca="false">IFERROR(INDEX('Semrush Data'!$A$1:$Z$20000,MATCH(A2509,'Semrush Data'!$A$1:$A$20000,0),MATCH("CPC*",'Semrush Data'!$A$1:$Z$1,0)),"")</f>
        <v>0</v>
      </c>
      <c r="J2509" s="6" t="str">
        <f aca="false">IFERROR(INDEX('Semrush Data'!$A$1:$Z$20000,MATCH(A2509,'Semrush Data'!$A$1:$A$20000,0),MATCH("Intent",'Semrush Data'!$A$1:$Z$1,0)),"")</f>
        <v>Navigational Commercial</v>
      </c>
    </row>
    <row r="2510" customFormat="false" ht="15" hidden="false" customHeight="true" outlineLevel="0" collapsed="false">
      <c r="A2510" s="6" t="s">
        <v>998</v>
      </c>
      <c r="B2510" s="6" t="s">
        <v>239</v>
      </c>
      <c r="C2510" s="6" t="n">
        <v>3</v>
      </c>
      <c r="D2510" s="6" t="s">
        <v>6893</v>
      </c>
      <c r="E2510" s="6" t="n">
        <v>1</v>
      </c>
      <c r="F2510" s="6" t="s">
        <v>992</v>
      </c>
      <c r="G2510" s="28" t="n">
        <f aca="false">IFERROR(INDEX('Semrush Data'!$A$1:$Z$20000,MATCH(A2510,'Semrush Data'!$A$1:$A$20000,0),MATCH("Volume",'Semrush Data'!$A$1:$Z$1,0)),"")</f>
        <v>0</v>
      </c>
      <c r="H2510" s="6" t="n">
        <f aca="false">IFERROR(INDEX('Semrush Data'!$A$1:$Z$20000,MATCH(A2510,'Semrush Data'!$A$1:$A$20000,0),MATCH("Keyword Difficulty*",'Semrush Data'!$A$1:$Z$1,0)),"")</f>
        <v>25</v>
      </c>
      <c r="I2510" s="29" t="n">
        <f aca="false">IFERROR(INDEX('Semrush Data'!$A$1:$Z$20000,MATCH(A2510,'Semrush Data'!$A$1:$A$20000,0),MATCH("CPC*",'Semrush Data'!$A$1:$Z$1,0)),"")</f>
        <v>0</v>
      </c>
      <c r="J2510" s="6" t="str">
        <f aca="false">IFERROR(INDEX('Semrush Data'!$A$1:$Z$20000,MATCH(A2510,'Semrush Data'!$A$1:$A$20000,0),MATCH("Intent",'Semrush Data'!$A$1:$Z$1,0)),"")</f>
        <v>Navigational Commercial</v>
      </c>
    </row>
    <row r="2511" customFormat="false" ht="15" hidden="false" customHeight="true" outlineLevel="0" collapsed="false">
      <c r="A2511" s="6" t="s">
        <v>1005</v>
      </c>
      <c r="B2511" s="6" t="s">
        <v>239</v>
      </c>
      <c r="C2511" s="6" t="n">
        <v>3</v>
      </c>
      <c r="D2511" s="6" t="s">
        <v>6893</v>
      </c>
      <c r="E2511" s="6" t="n">
        <v>1</v>
      </c>
      <c r="F2511" s="6" t="s">
        <v>999</v>
      </c>
      <c r="G2511" s="28" t="n">
        <f aca="false">IFERROR(INDEX('Semrush Data'!$A$1:$Z$20000,MATCH(A2511,'Semrush Data'!$A$1:$A$20000,0),MATCH("Volume",'Semrush Data'!$A$1:$Z$1,0)),"")</f>
        <v>0</v>
      </c>
      <c r="H2511" s="6" t="n">
        <f aca="false">IFERROR(INDEX('Semrush Data'!$A$1:$Z$20000,MATCH(A2511,'Semrush Data'!$A$1:$A$20000,0),MATCH("Keyword Difficulty*",'Semrush Data'!$A$1:$Z$1,0)),"")</f>
        <v>28</v>
      </c>
      <c r="I2511" s="29" t="n">
        <f aca="false">IFERROR(INDEX('Semrush Data'!$A$1:$Z$20000,MATCH(A2511,'Semrush Data'!$A$1:$A$20000,0),MATCH("CPC*",'Semrush Data'!$A$1:$Z$1,0)),"")</f>
        <v>0</v>
      </c>
      <c r="J2511" s="6" t="str">
        <f aca="false">IFERROR(INDEX('Semrush Data'!$A$1:$Z$20000,MATCH(A2511,'Semrush Data'!$A$1:$A$20000,0),MATCH("Intent",'Semrush Data'!$A$1:$Z$1,0)),"")</f>
        <v>Commercial</v>
      </c>
    </row>
    <row r="2512" customFormat="false" ht="15" hidden="false" customHeight="true" outlineLevel="0" collapsed="false">
      <c r="A2512" s="6" t="s">
        <v>7211</v>
      </c>
      <c r="B2512" s="6" t="s">
        <v>239</v>
      </c>
      <c r="C2512" s="6" t="n">
        <v>3</v>
      </c>
      <c r="D2512" s="6" t="n">
        <v>26</v>
      </c>
      <c r="E2512" s="6" t="n">
        <v>1</v>
      </c>
      <c r="F2512" s="6" t="s">
        <v>3536</v>
      </c>
      <c r="G2512" s="28" t="str">
        <f aca="false">IFERROR(INDEX('Semrush Data'!$A$1:$Z$20000,MATCH(A2512,'Semrush Data'!$A$1:$A$20000,0),MATCH("Volume",'Semrush Data'!$A$1:$Z$1,0)),"")</f>
        <v/>
      </c>
      <c r="H2512" s="6" t="str">
        <f aca="false">IFERROR(INDEX('Semrush Data'!$A$1:$Z$20000,MATCH(A2512,'Semrush Data'!$A$1:$A$20000,0),MATCH("Keyword Difficulty*",'Semrush Data'!$A$1:$Z$1,0)),"")</f>
        <v/>
      </c>
      <c r="I2512" s="29" t="str">
        <f aca="false">IFERROR(INDEX('Semrush Data'!$A$1:$Z$20000,MATCH(A2512,'Semrush Data'!$A$1:$A$20000,0),MATCH("CPC*",'Semrush Data'!$A$1:$Z$1,0)),"")</f>
        <v/>
      </c>
      <c r="J2512" s="6" t="str">
        <f aca="false">IFERROR(INDEX('Semrush Data'!$A$1:$Z$20000,MATCH(A2512,'Semrush Data'!$A$1:$A$20000,0),MATCH("Intent",'Semrush Data'!$A$1:$Z$1,0)),"")</f>
        <v/>
      </c>
    </row>
    <row r="2513" customFormat="false" ht="15" hidden="false" customHeight="true" outlineLevel="0" collapsed="false">
      <c r="A2513" s="6" t="s">
        <v>7212</v>
      </c>
      <c r="B2513" s="6" t="s">
        <v>239</v>
      </c>
      <c r="C2513" s="6" t="n">
        <v>3</v>
      </c>
      <c r="D2513" s="6" t="n">
        <v>26</v>
      </c>
      <c r="E2513" s="6" t="n">
        <v>1</v>
      </c>
      <c r="F2513" s="6" t="s">
        <v>3536</v>
      </c>
      <c r="G2513" s="28" t="str">
        <f aca="false">IFERROR(INDEX('Semrush Data'!$A$1:$Z$20000,MATCH(A2513,'Semrush Data'!$A$1:$A$20000,0),MATCH("Volume",'Semrush Data'!$A$1:$Z$1,0)),"")</f>
        <v/>
      </c>
      <c r="H2513" s="6" t="str">
        <f aca="false">IFERROR(INDEX('Semrush Data'!$A$1:$Z$20000,MATCH(A2513,'Semrush Data'!$A$1:$A$20000,0),MATCH("Keyword Difficulty*",'Semrush Data'!$A$1:$Z$1,0)),"")</f>
        <v/>
      </c>
      <c r="I2513" s="29" t="str">
        <f aca="false">IFERROR(INDEX('Semrush Data'!$A$1:$Z$20000,MATCH(A2513,'Semrush Data'!$A$1:$A$20000,0),MATCH("CPC*",'Semrush Data'!$A$1:$Z$1,0)),"")</f>
        <v/>
      </c>
      <c r="J2513" s="6" t="str">
        <f aca="false">IFERROR(INDEX('Semrush Data'!$A$1:$Z$20000,MATCH(A2513,'Semrush Data'!$A$1:$A$20000,0),MATCH("Intent",'Semrush Data'!$A$1:$Z$1,0)),"")</f>
        <v/>
      </c>
    </row>
    <row r="2514" customFormat="false" ht="15" hidden="false" customHeight="true" outlineLevel="0" collapsed="false">
      <c r="A2514" s="6" t="s">
        <v>7213</v>
      </c>
      <c r="B2514" s="6" t="s">
        <v>239</v>
      </c>
      <c r="C2514" s="6" t="n">
        <v>3</v>
      </c>
      <c r="D2514" s="6" t="n">
        <v>26</v>
      </c>
      <c r="E2514" s="6" t="n">
        <v>1</v>
      </c>
      <c r="F2514" s="6" t="s">
        <v>3536</v>
      </c>
      <c r="G2514" s="28" t="str">
        <f aca="false">IFERROR(INDEX('Semrush Data'!$A$1:$Z$20000,MATCH(A2514,'Semrush Data'!$A$1:$A$20000,0),MATCH("Volume",'Semrush Data'!$A$1:$Z$1,0)),"")</f>
        <v/>
      </c>
      <c r="H2514" s="6" t="str">
        <f aca="false">IFERROR(INDEX('Semrush Data'!$A$1:$Z$20000,MATCH(A2514,'Semrush Data'!$A$1:$A$20000,0),MATCH("Keyword Difficulty*",'Semrush Data'!$A$1:$Z$1,0)),"")</f>
        <v/>
      </c>
      <c r="I2514" s="29" t="str">
        <f aca="false">IFERROR(INDEX('Semrush Data'!$A$1:$Z$20000,MATCH(A2514,'Semrush Data'!$A$1:$A$20000,0),MATCH("CPC*",'Semrush Data'!$A$1:$Z$1,0)),"")</f>
        <v/>
      </c>
      <c r="J2514" s="6" t="str">
        <f aca="false">IFERROR(INDEX('Semrush Data'!$A$1:$Z$20000,MATCH(A2514,'Semrush Data'!$A$1:$A$20000,0),MATCH("Intent",'Semrush Data'!$A$1:$Z$1,0)),"")</f>
        <v/>
      </c>
    </row>
    <row r="2515" customFormat="false" ht="15" hidden="false" customHeight="true" outlineLevel="0" collapsed="false">
      <c r="A2515" s="6" t="s">
        <v>7214</v>
      </c>
      <c r="B2515" s="6" t="s">
        <v>239</v>
      </c>
      <c r="C2515" s="6" t="n">
        <v>3</v>
      </c>
      <c r="D2515" s="6" t="n">
        <v>26</v>
      </c>
      <c r="E2515" s="6" t="n">
        <v>1</v>
      </c>
      <c r="F2515" s="6" t="s">
        <v>3536</v>
      </c>
      <c r="G2515" s="28" t="str">
        <f aca="false">IFERROR(INDEX('Semrush Data'!$A$1:$Z$20000,MATCH(A2515,'Semrush Data'!$A$1:$A$20000,0),MATCH("Volume",'Semrush Data'!$A$1:$Z$1,0)),"")</f>
        <v/>
      </c>
      <c r="H2515" s="6" t="str">
        <f aca="false">IFERROR(INDEX('Semrush Data'!$A$1:$Z$20000,MATCH(A2515,'Semrush Data'!$A$1:$A$20000,0),MATCH("Keyword Difficulty*",'Semrush Data'!$A$1:$Z$1,0)),"")</f>
        <v/>
      </c>
      <c r="I2515" s="29" t="str">
        <f aca="false">IFERROR(INDEX('Semrush Data'!$A$1:$Z$20000,MATCH(A2515,'Semrush Data'!$A$1:$A$20000,0),MATCH("CPC*",'Semrush Data'!$A$1:$Z$1,0)),"")</f>
        <v/>
      </c>
      <c r="J2515" s="6" t="str">
        <f aca="false">IFERROR(INDEX('Semrush Data'!$A$1:$Z$20000,MATCH(A2515,'Semrush Data'!$A$1:$A$20000,0),MATCH("Intent",'Semrush Data'!$A$1:$Z$1,0)),"")</f>
        <v/>
      </c>
    </row>
    <row r="2516" customFormat="false" ht="15" hidden="false" customHeight="true" outlineLevel="0" collapsed="false">
      <c r="A2516" s="6" t="s">
        <v>7215</v>
      </c>
      <c r="B2516" s="6" t="s">
        <v>239</v>
      </c>
      <c r="C2516" s="6" t="n">
        <v>3</v>
      </c>
      <c r="D2516" s="6" t="n">
        <v>26</v>
      </c>
      <c r="E2516" s="6" t="n">
        <v>1</v>
      </c>
      <c r="F2516" s="6" t="s">
        <v>48</v>
      </c>
      <c r="G2516" s="28" t="str">
        <f aca="false">IFERROR(INDEX('Semrush Data'!$A$1:$Z$20000,MATCH(A2516,'Semrush Data'!$A$1:$A$20000,0),MATCH("Volume",'Semrush Data'!$A$1:$Z$1,0)),"")</f>
        <v/>
      </c>
      <c r="H2516" s="6" t="str">
        <f aca="false">IFERROR(INDEX('Semrush Data'!$A$1:$Z$20000,MATCH(A2516,'Semrush Data'!$A$1:$A$20000,0),MATCH("Keyword Difficulty*",'Semrush Data'!$A$1:$Z$1,0)),"")</f>
        <v/>
      </c>
      <c r="I2516" s="29" t="str">
        <f aca="false">IFERROR(INDEX('Semrush Data'!$A$1:$Z$20000,MATCH(A2516,'Semrush Data'!$A$1:$A$20000,0),MATCH("CPC*",'Semrush Data'!$A$1:$Z$1,0)),"")</f>
        <v/>
      </c>
      <c r="J2516" s="6" t="str">
        <f aca="false">IFERROR(INDEX('Semrush Data'!$A$1:$Z$20000,MATCH(A2516,'Semrush Data'!$A$1:$A$20000,0),MATCH("Intent",'Semrush Data'!$A$1:$Z$1,0)),"")</f>
        <v/>
      </c>
    </row>
    <row r="2517" customFormat="false" ht="15" hidden="false" customHeight="true" outlineLevel="0" collapsed="false">
      <c r="A2517" s="6" t="s">
        <v>7216</v>
      </c>
      <c r="B2517" s="6" t="s">
        <v>239</v>
      </c>
      <c r="C2517" s="6" t="n">
        <v>3</v>
      </c>
      <c r="D2517" s="6" t="n">
        <v>26</v>
      </c>
      <c r="E2517" s="6" t="n">
        <v>1</v>
      </c>
      <c r="F2517" s="6" t="s">
        <v>48</v>
      </c>
      <c r="G2517" s="28" t="str">
        <f aca="false">IFERROR(INDEX('Semrush Data'!$A$1:$Z$20000,MATCH(A2517,'Semrush Data'!$A$1:$A$20000,0),MATCH("Volume",'Semrush Data'!$A$1:$Z$1,0)),"")</f>
        <v/>
      </c>
      <c r="H2517" s="6" t="str">
        <f aca="false">IFERROR(INDEX('Semrush Data'!$A$1:$Z$20000,MATCH(A2517,'Semrush Data'!$A$1:$A$20000,0),MATCH("Keyword Difficulty*",'Semrush Data'!$A$1:$Z$1,0)),"")</f>
        <v/>
      </c>
      <c r="I2517" s="29" t="str">
        <f aca="false">IFERROR(INDEX('Semrush Data'!$A$1:$Z$20000,MATCH(A2517,'Semrush Data'!$A$1:$A$20000,0),MATCH("CPC*",'Semrush Data'!$A$1:$Z$1,0)),"")</f>
        <v/>
      </c>
      <c r="J2517" s="6" t="str">
        <f aca="false">IFERROR(INDEX('Semrush Data'!$A$1:$Z$20000,MATCH(A2517,'Semrush Data'!$A$1:$A$20000,0),MATCH("Intent",'Semrush Data'!$A$1:$Z$1,0)),"")</f>
        <v/>
      </c>
    </row>
    <row r="2518" customFormat="false" ht="15" hidden="false" customHeight="true" outlineLevel="0" collapsed="false">
      <c r="A2518" s="6" t="s">
        <v>256</v>
      </c>
      <c r="B2518" s="6" t="s">
        <v>239</v>
      </c>
      <c r="C2518" s="6" t="n">
        <v>3</v>
      </c>
      <c r="D2518" s="6" t="s">
        <v>6870</v>
      </c>
      <c r="E2518" s="6" t="n">
        <v>1</v>
      </c>
      <c r="F2518" s="6" t="s">
        <v>48</v>
      </c>
      <c r="G2518" s="28" t="n">
        <f aca="false">IFERROR(INDEX('Semrush Data'!$A$1:$Z$20000,MATCH(A2518,'Semrush Data'!$A$1:$A$20000,0),MATCH("Volume",'Semrush Data'!$A$1:$Z$1,0)),"")</f>
        <v>210</v>
      </c>
      <c r="H2518" s="6" t="n">
        <f aca="false">IFERROR(INDEX('Semrush Data'!$A$1:$Z$20000,MATCH(A2518,'Semrush Data'!$A$1:$A$20000,0),MATCH("Keyword Difficulty*",'Semrush Data'!$A$1:$Z$1,0)),"")</f>
        <v>29</v>
      </c>
      <c r="I2518" s="29" t="n">
        <f aca="false">IFERROR(INDEX('Semrush Data'!$A$1:$Z$20000,MATCH(A2518,'Semrush Data'!$A$1:$A$20000,0),MATCH("CPC*",'Semrush Data'!$A$1:$Z$1,0)),"")</f>
        <v>0.8</v>
      </c>
      <c r="J2518" s="6" t="str">
        <f aca="false">IFERROR(INDEX('Semrush Data'!$A$1:$Z$20000,MATCH(A2518,'Semrush Data'!$A$1:$A$20000,0),MATCH("Intent",'Semrush Data'!$A$1:$Z$1,0)),"")</f>
        <v>Transactional Navigational</v>
      </c>
    </row>
    <row r="2519" customFormat="false" ht="15" hidden="false" customHeight="true" outlineLevel="0" collapsed="false">
      <c r="A2519" s="6" t="s">
        <v>241</v>
      </c>
      <c r="B2519" s="6" t="s">
        <v>239</v>
      </c>
      <c r="C2519" s="6" t="n">
        <v>3</v>
      </c>
      <c r="D2519" s="6" t="s">
        <v>6870</v>
      </c>
      <c r="E2519" s="6" t="n">
        <v>1</v>
      </c>
      <c r="F2519" s="6" t="s">
        <v>48</v>
      </c>
      <c r="G2519" s="28" t="n">
        <f aca="false">IFERROR(INDEX('Semrush Data'!$A$1:$Z$20000,MATCH(A2519,'Semrush Data'!$A$1:$A$20000,0),MATCH("Volume",'Semrush Data'!$A$1:$Z$1,0)),"")</f>
        <v>5400</v>
      </c>
      <c r="H2519" s="6" t="n">
        <f aca="false">IFERROR(INDEX('Semrush Data'!$A$1:$Z$20000,MATCH(A2519,'Semrush Data'!$A$1:$A$20000,0),MATCH("Keyword Difficulty*",'Semrush Data'!$A$1:$Z$1,0)),"")</f>
        <v>35</v>
      </c>
      <c r="I2519" s="29" t="n">
        <f aca="false">IFERROR(INDEX('Semrush Data'!$A$1:$Z$20000,MATCH(A2519,'Semrush Data'!$A$1:$A$20000,0),MATCH("CPC*",'Semrush Data'!$A$1:$Z$1,0)),"")</f>
        <v>0.66</v>
      </c>
      <c r="J2519" s="6" t="str">
        <f aca="false">IFERROR(INDEX('Semrush Data'!$A$1:$Z$20000,MATCH(A2519,'Semrush Data'!$A$1:$A$20000,0),MATCH("Intent",'Semrush Data'!$A$1:$Z$1,0)),"")</f>
        <v>Informational</v>
      </c>
    </row>
    <row r="2520" customFormat="false" ht="15" hidden="false" customHeight="true" outlineLevel="0" collapsed="false">
      <c r="A2520" s="6" t="s">
        <v>7217</v>
      </c>
      <c r="B2520" s="6" t="s">
        <v>239</v>
      </c>
      <c r="C2520" s="6" t="n">
        <v>3</v>
      </c>
      <c r="D2520" s="6" t="n">
        <v>26</v>
      </c>
      <c r="E2520" s="6" t="n">
        <v>1</v>
      </c>
      <c r="F2520" s="6" t="s">
        <v>3591</v>
      </c>
      <c r="G2520" s="28" t="str">
        <f aca="false">IFERROR(INDEX('Semrush Data'!$A$1:$Z$20000,MATCH(A2520,'Semrush Data'!$A$1:$A$20000,0),MATCH("Volume",'Semrush Data'!$A$1:$Z$1,0)),"")</f>
        <v/>
      </c>
      <c r="H2520" s="6" t="str">
        <f aca="false">IFERROR(INDEX('Semrush Data'!$A$1:$Z$20000,MATCH(A2520,'Semrush Data'!$A$1:$A$20000,0),MATCH("Keyword Difficulty*",'Semrush Data'!$A$1:$Z$1,0)),"")</f>
        <v/>
      </c>
      <c r="I2520" s="29" t="str">
        <f aca="false">IFERROR(INDEX('Semrush Data'!$A$1:$Z$20000,MATCH(A2520,'Semrush Data'!$A$1:$A$20000,0),MATCH("CPC*",'Semrush Data'!$A$1:$Z$1,0)),"")</f>
        <v/>
      </c>
      <c r="J2520" s="6" t="str">
        <f aca="false">IFERROR(INDEX('Semrush Data'!$A$1:$Z$20000,MATCH(A2520,'Semrush Data'!$A$1:$A$20000,0),MATCH("Intent",'Semrush Data'!$A$1:$Z$1,0)),"")</f>
        <v/>
      </c>
    </row>
    <row r="2521" customFormat="false" ht="15" hidden="false" customHeight="true" outlineLevel="0" collapsed="false">
      <c r="A2521" s="6" t="s">
        <v>7218</v>
      </c>
      <c r="B2521" s="6" t="s">
        <v>239</v>
      </c>
      <c r="C2521" s="6" t="n">
        <v>3</v>
      </c>
      <c r="D2521" s="6" t="n">
        <v>26</v>
      </c>
      <c r="E2521" s="6" t="n">
        <v>1</v>
      </c>
      <c r="F2521" s="6" t="s">
        <v>3591</v>
      </c>
      <c r="G2521" s="28" t="str">
        <f aca="false">IFERROR(INDEX('Semrush Data'!$A$1:$Z$20000,MATCH(A2521,'Semrush Data'!$A$1:$A$20000,0),MATCH("Volume",'Semrush Data'!$A$1:$Z$1,0)),"")</f>
        <v/>
      </c>
      <c r="H2521" s="6" t="str">
        <f aca="false">IFERROR(INDEX('Semrush Data'!$A$1:$Z$20000,MATCH(A2521,'Semrush Data'!$A$1:$A$20000,0),MATCH("Keyword Difficulty*",'Semrush Data'!$A$1:$Z$1,0)),"")</f>
        <v/>
      </c>
      <c r="I2521" s="29" t="str">
        <f aca="false">IFERROR(INDEX('Semrush Data'!$A$1:$Z$20000,MATCH(A2521,'Semrush Data'!$A$1:$A$20000,0),MATCH("CPC*",'Semrush Data'!$A$1:$Z$1,0)),"")</f>
        <v/>
      </c>
      <c r="J2521" s="6" t="str">
        <f aca="false">IFERROR(INDEX('Semrush Data'!$A$1:$Z$20000,MATCH(A2521,'Semrush Data'!$A$1:$A$20000,0),MATCH("Intent",'Semrush Data'!$A$1:$Z$1,0)),"")</f>
        <v/>
      </c>
    </row>
    <row r="2522" customFormat="false" ht="15" hidden="false" customHeight="true" outlineLevel="0" collapsed="false">
      <c r="A2522" s="6" t="s">
        <v>7219</v>
      </c>
      <c r="B2522" s="6" t="s">
        <v>239</v>
      </c>
      <c r="C2522" s="6" t="n">
        <v>3</v>
      </c>
      <c r="D2522" s="6" t="n">
        <v>26</v>
      </c>
      <c r="E2522" s="6" t="n">
        <v>1</v>
      </c>
      <c r="F2522" s="6" t="s">
        <v>3591</v>
      </c>
      <c r="G2522" s="28" t="str">
        <f aca="false">IFERROR(INDEX('Semrush Data'!$A$1:$Z$20000,MATCH(A2522,'Semrush Data'!$A$1:$A$20000,0),MATCH("Volume",'Semrush Data'!$A$1:$Z$1,0)),"")</f>
        <v/>
      </c>
      <c r="H2522" s="6" t="str">
        <f aca="false">IFERROR(INDEX('Semrush Data'!$A$1:$Z$20000,MATCH(A2522,'Semrush Data'!$A$1:$A$20000,0),MATCH("Keyword Difficulty*",'Semrush Data'!$A$1:$Z$1,0)),"")</f>
        <v/>
      </c>
      <c r="I2522" s="29" t="str">
        <f aca="false">IFERROR(INDEX('Semrush Data'!$A$1:$Z$20000,MATCH(A2522,'Semrush Data'!$A$1:$A$20000,0),MATCH("CPC*",'Semrush Data'!$A$1:$Z$1,0)),"")</f>
        <v/>
      </c>
      <c r="J2522" s="6" t="str">
        <f aca="false">IFERROR(INDEX('Semrush Data'!$A$1:$Z$20000,MATCH(A2522,'Semrush Data'!$A$1:$A$20000,0),MATCH("Intent",'Semrush Data'!$A$1:$Z$1,0)),"")</f>
        <v/>
      </c>
    </row>
    <row r="2523" customFormat="false" ht="15" hidden="false" customHeight="true" outlineLevel="0" collapsed="false">
      <c r="A2523" s="6" t="s">
        <v>7220</v>
      </c>
      <c r="B2523" s="6" t="s">
        <v>239</v>
      </c>
      <c r="C2523" s="6" t="n">
        <v>3</v>
      </c>
      <c r="D2523" s="6" t="n">
        <v>26</v>
      </c>
      <c r="E2523" s="6" t="n">
        <v>1</v>
      </c>
      <c r="F2523" s="6" t="s">
        <v>3591</v>
      </c>
      <c r="G2523" s="28" t="str">
        <f aca="false">IFERROR(INDEX('Semrush Data'!$A$1:$Z$20000,MATCH(A2523,'Semrush Data'!$A$1:$A$20000,0),MATCH("Volume",'Semrush Data'!$A$1:$Z$1,0)),"")</f>
        <v/>
      </c>
      <c r="H2523" s="6" t="str">
        <f aca="false">IFERROR(INDEX('Semrush Data'!$A$1:$Z$20000,MATCH(A2523,'Semrush Data'!$A$1:$A$20000,0),MATCH("Keyword Difficulty*",'Semrush Data'!$A$1:$Z$1,0)),"")</f>
        <v/>
      </c>
      <c r="I2523" s="29" t="str">
        <f aca="false">IFERROR(INDEX('Semrush Data'!$A$1:$Z$20000,MATCH(A2523,'Semrush Data'!$A$1:$A$20000,0),MATCH("CPC*",'Semrush Data'!$A$1:$Z$1,0)),"")</f>
        <v/>
      </c>
      <c r="J2523" s="6" t="str">
        <f aca="false">IFERROR(INDEX('Semrush Data'!$A$1:$Z$20000,MATCH(A2523,'Semrush Data'!$A$1:$A$20000,0),MATCH("Intent",'Semrush Data'!$A$1:$Z$1,0)),"")</f>
        <v/>
      </c>
    </row>
    <row r="2524" customFormat="false" ht="15" hidden="false" customHeight="true" outlineLevel="0" collapsed="false">
      <c r="A2524" s="6" t="s">
        <v>7221</v>
      </c>
      <c r="B2524" s="6" t="s">
        <v>239</v>
      </c>
      <c r="C2524" s="6" t="n">
        <v>3</v>
      </c>
      <c r="D2524" s="6" t="n">
        <v>26</v>
      </c>
      <c r="E2524" s="6" t="n">
        <v>1</v>
      </c>
      <c r="F2524" s="6" t="s">
        <v>3569</v>
      </c>
      <c r="G2524" s="28" t="str">
        <f aca="false">IFERROR(INDEX('Semrush Data'!$A$1:$Z$20000,MATCH(A2524,'Semrush Data'!$A$1:$A$20000,0),MATCH("Volume",'Semrush Data'!$A$1:$Z$1,0)),"")</f>
        <v/>
      </c>
      <c r="H2524" s="6" t="str">
        <f aca="false">IFERROR(INDEX('Semrush Data'!$A$1:$Z$20000,MATCH(A2524,'Semrush Data'!$A$1:$A$20000,0),MATCH("Keyword Difficulty*",'Semrush Data'!$A$1:$Z$1,0)),"")</f>
        <v/>
      </c>
      <c r="I2524" s="29" t="str">
        <f aca="false">IFERROR(INDEX('Semrush Data'!$A$1:$Z$20000,MATCH(A2524,'Semrush Data'!$A$1:$A$20000,0),MATCH("CPC*",'Semrush Data'!$A$1:$Z$1,0)),"")</f>
        <v/>
      </c>
      <c r="J2524" s="6" t="str">
        <f aca="false">IFERROR(INDEX('Semrush Data'!$A$1:$Z$20000,MATCH(A2524,'Semrush Data'!$A$1:$A$20000,0),MATCH("Intent",'Semrush Data'!$A$1:$Z$1,0)),"")</f>
        <v/>
      </c>
    </row>
    <row r="2525" customFormat="false" ht="15" hidden="false" customHeight="true" outlineLevel="0" collapsed="false">
      <c r="A2525" s="6" t="s">
        <v>7222</v>
      </c>
      <c r="B2525" s="6" t="s">
        <v>239</v>
      </c>
      <c r="C2525" s="6" t="n">
        <v>3</v>
      </c>
      <c r="D2525" s="6" t="n">
        <v>26</v>
      </c>
      <c r="E2525" s="6" t="n">
        <v>1</v>
      </c>
      <c r="F2525" s="6" t="s">
        <v>3569</v>
      </c>
      <c r="G2525" s="28" t="str">
        <f aca="false">IFERROR(INDEX('Semrush Data'!$A$1:$Z$20000,MATCH(A2525,'Semrush Data'!$A$1:$A$20000,0),MATCH("Volume",'Semrush Data'!$A$1:$Z$1,0)),"")</f>
        <v/>
      </c>
      <c r="H2525" s="6" t="str">
        <f aca="false">IFERROR(INDEX('Semrush Data'!$A$1:$Z$20000,MATCH(A2525,'Semrush Data'!$A$1:$A$20000,0),MATCH("Keyword Difficulty*",'Semrush Data'!$A$1:$Z$1,0)),"")</f>
        <v/>
      </c>
      <c r="I2525" s="29" t="str">
        <f aca="false">IFERROR(INDEX('Semrush Data'!$A$1:$Z$20000,MATCH(A2525,'Semrush Data'!$A$1:$A$20000,0),MATCH("CPC*",'Semrush Data'!$A$1:$Z$1,0)),"")</f>
        <v/>
      </c>
      <c r="J2525" s="6" t="str">
        <f aca="false">IFERROR(INDEX('Semrush Data'!$A$1:$Z$20000,MATCH(A2525,'Semrush Data'!$A$1:$A$20000,0),MATCH("Intent",'Semrush Data'!$A$1:$Z$1,0)),"")</f>
        <v/>
      </c>
    </row>
    <row r="2526" customFormat="false" ht="15" hidden="false" customHeight="true" outlineLevel="0" collapsed="false">
      <c r="A2526" s="6" t="s">
        <v>7223</v>
      </c>
      <c r="B2526" s="6" t="s">
        <v>239</v>
      </c>
      <c r="C2526" s="6" t="n">
        <v>3</v>
      </c>
      <c r="D2526" s="6" t="n">
        <v>26</v>
      </c>
      <c r="E2526" s="6" t="n">
        <v>1</v>
      </c>
      <c r="F2526" s="6" t="s">
        <v>3569</v>
      </c>
      <c r="G2526" s="28" t="str">
        <f aca="false">IFERROR(INDEX('Semrush Data'!$A$1:$Z$20000,MATCH(A2526,'Semrush Data'!$A$1:$A$20000,0),MATCH("Volume",'Semrush Data'!$A$1:$Z$1,0)),"")</f>
        <v/>
      </c>
      <c r="H2526" s="6" t="str">
        <f aca="false">IFERROR(INDEX('Semrush Data'!$A$1:$Z$20000,MATCH(A2526,'Semrush Data'!$A$1:$A$20000,0),MATCH("Keyword Difficulty*",'Semrush Data'!$A$1:$Z$1,0)),"")</f>
        <v/>
      </c>
      <c r="I2526" s="29" t="str">
        <f aca="false">IFERROR(INDEX('Semrush Data'!$A$1:$Z$20000,MATCH(A2526,'Semrush Data'!$A$1:$A$20000,0),MATCH("CPC*",'Semrush Data'!$A$1:$Z$1,0)),"")</f>
        <v/>
      </c>
      <c r="J2526" s="6" t="str">
        <f aca="false">IFERROR(INDEX('Semrush Data'!$A$1:$Z$20000,MATCH(A2526,'Semrush Data'!$A$1:$A$20000,0),MATCH("Intent",'Semrush Data'!$A$1:$Z$1,0)),"")</f>
        <v/>
      </c>
    </row>
    <row r="2527" customFormat="false" ht="15" hidden="false" customHeight="true" outlineLevel="0" collapsed="false">
      <c r="A2527" s="6" t="s">
        <v>7224</v>
      </c>
      <c r="B2527" s="6" t="s">
        <v>239</v>
      </c>
      <c r="C2527" s="6" t="n">
        <v>3</v>
      </c>
      <c r="D2527" s="6" t="n">
        <v>26</v>
      </c>
      <c r="E2527" s="6" t="n">
        <v>1</v>
      </c>
      <c r="F2527" s="6" t="s">
        <v>3569</v>
      </c>
      <c r="G2527" s="28" t="str">
        <f aca="false">IFERROR(INDEX('Semrush Data'!$A$1:$Z$20000,MATCH(A2527,'Semrush Data'!$A$1:$A$20000,0),MATCH("Volume",'Semrush Data'!$A$1:$Z$1,0)),"")</f>
        <v/>
      </c>
      <c r="H2527" s="6" t="str">
        <f aca="false">IFERROR(INDEX('Semrush Data'!$A$1:$Z$20000,MATCH(A2527,'Semrush Data'!$A$1:$A$20000,0),MATCH("Keyword Difficulty*",'Semrush Data'!$A$1:$Z$1,0)),"")</f>
        <v/>
      </c>
      <c r="I2527" s="29" t="str">
        <f aca="false">IFERROR(INDEX('Semrush Data'!$A$1:$Z$20000,MATCH(A2527,'Semrush Data'!$A$1:$A$20000,0),MATCH("CPC*",'Semrush Data'!$A$1:$Z$1,0)),"")</f>
        <v/>
      </c>
      <c r="J2527" s="6" t="str">
        <f aca="false">IFERROR(INDEX('Semrush Data'!$A$1:$Z$20000,MATCH(A2527,'Semrush Data'!$A$1:$A$20000,0),MATCH("Intent",'Semrush Data'!$A$1:$Z$1,0)),"")</f>
        <v/>
      </c>
    </row>
    <row r="2528" customFormat="false" ht="15" hidden="false" customHeight="true" outlineLevel="0" collapsed="false">
      <c r="A2528" s="6" t="s">
        <v>7225</v>
      </c>
      <c r="B2528" s="6" t="s">
        <v>239</v>
      </c>
      <c r="C2528" s="6" t="n">
        <v>3</v>
      </c>
      <c r="D2528" s="6" t="n">
        <v>26</v>
      </c>
      <c r="E2528" s="6" t="n">
        <v>1</v>
      </c>
      <c r="F2528" s="6" t="s">
        <v>3569</v>
      </c>
      <c r="G2528" s="28" t="str">
        <f aca="false">IFERROR(INDEX('Semrush Data'!$A$1:$Z$20000,MATCH(A2528,'Semrush Data'!$A$1:$A$20000,0),MATCH("Volume",'Semrush Data'!$A$1:$Z$1,0)),"")</f>
        <v/>
      </c>
      <c r="H2528" s="6" t="str">
        <f aca="false">IFERROR(INDEX('Semrush Data'!$A$1:$Z$20000,MATCH(A2528,'Semrush Data'!$A$1:$A$20000,0),MATCH("Keyword Difficulty*",'Semrush Data'!$A$1:$Z$1,0)),"")</f>
        <v/>
      </c>
      <c r="I2528" s="29" t="str">
        <f aca="false">IFERROR(INDEX('Semrush Data'!$A$1:$Z$20000,MATCH(A2528,'Semrush Data'!$A$1:$A$20000,0),MATCH("CPC*",'Semrush Data'!$A$1:$Z$1,0)),"")</f>
        <v/>
      </c>
      <c r="J2528" s="6" t="str">
        <f aca="false">IFERROR(INDEX('Semrush Data'!$A$1:$Z$20000,MATCH(A2528,'Semrush Data'!$A$1:$A$20000,0),MATCH("Intent",'Semrush Data'!$A$1:$Z$1,0)),"")</f>
        <v/>
      </c>
    </row>
    <row r="2529" customFormat="false" ht="15" hidden="false" customHeight="true" outlineLevel="0" collapsed="false">
      <c r="A2529" s="6" t="s">
        <v>7226</v>
      </c>
      <c r="B2529" s="6" t="s">
        <v>239</v>
      </c>
      <c r="C2529" s="6" t="n">
        <v>3</v>
      </c>
      <c r="D2529" s="6" t="n">
        <v>26</v>
      </c>
      <c r="E2529" s="6" t="n">
        <v>1</v>
      </c>
      <c r="F2529" s="6" t="s">
        <v>133</v>
      </c>
      <c r="G2529" s="28" t="str">
        <f aca="false">IFERROR(INDEX('Semrush Data'!$A$1:$Z$20000,MATCH(A2529,'Semrush Data'!$A$1:$A$20000,0),MATCH("Volume",'Semrush Data'!$A$1:$Z$1,0)),"")</f>
        <v/>
      </c>
      <c r="H2529" s="6" t="str">
        <f aca="false">IFERROR(INDEX('Semrush Data'!$A$1:$Z$20000,MATCH(A2529,'Semrush Data'!$A$1:$A$20000,0),MATCH("Keyword Difficulty*",'Semrush Data'!$A$1:$Z$1,0)),"")</f>
        <v/>
      </c>
      <c r="I2529" s="29" t="str">
        <f aca="false">IFERROR(INDEX('Semrush Data'!$A$1:$Z$20000,MATCH(A2529,'Semrush Data'!$A$1:$A$20000,0),MATCH("CPC*",'Semrush Data'!$A$1:$Z$1,0)),"")</f>
        <v/>
      </c>
      <c r="J2529" s="6" t="str">
        <f aca="false">IFERROR(INDEX('Semrush Data'!$A$1:$Z$20000,MATCH(A2529,'Semrush Data'!$A$1:$A$20000,0),MATCH("Intent",'Semrush Data'!$A$1:$Z$1,0)),"")</f>
        <v/>
      </c>
    </row>
    <row r="2530" customFormat="false" ht="15" hidden="false" customHeight="true" outlineLevel="0" collapsed="false">
      <c r="A2530" s="6" t="s">
        <v>7227</v>
      </c>
      <c r="B2530" s="6" t="s">
        <v>239</v>
      </c>
      <c r="C2530" s="6" t="n">
        <v>3</v>
      </c>
      <c r="D2530" s="6" t="n">
        <v>26</v>
      </c>
      <c r="E2530" s="6" t="n">
        <v>1</v>
      </c>
      <c r="F2530" s="6" t="s">
        <v>133</v>
      </c>
      <c r="G2530" s="28" t="str">
        <f aca="false">IFERROR(INDEX('Semrush Data'!$A$1:$Z$20000,MATCH(A2530,'Semrush Data'!$A$1:$A$20000,0),MATCH("Volume",'Semrush Data'!$A$1:$Z$1,0)),"")</f>
        <v/>
      </c>
      <c r="H2530" s="6" t="str">
        <f aca="false">IFERROR(INDEX('Semrush Data'!$A$1:$Z$20000,MATCH(A2530,'Semrush Data'!$A$1:$A$20000,0),MATCH("Keyword Difficulty*",'Semrush Data'!$A$1:$Z$1,0)),"")</f>
        <v/>
      </c>
      <c r="I2530" s="29" t="str">
        <f aca="false">IFERROR(INDEX('Semrush Data'!$A$1:$Z$20000,MATCH(A2530,'Semrush Data'!$A$1:$A$20000,0),MATCH("CPC*",'Semrush Data'!$A$1:$Z$1,0)),"")</f>
        <v/>
      </c>
      <c r="J2530" s="6" t="str">
        <f aca="false">IFERROR(INDEX('Semrush Data'!$A$1:$Z$20000,MATCH(A2530,'Semrush Data'!$A$1:$A$20000,0),MATCH("Intent",'Semrush Data'!$A$1:$Z$1,0)),"")</f>
        <v/>
      </c>
    </row>
    <row r="2531" customFormat="false" ht="15" hidden="false" customHeight="true" outlineLevel="0" collapsed="false">
      <c r="A2531" s="6" t="s">
        <v>7228</v>
      </c>
      <c r="B2531" s="6" t="s">
        <v>239</v>
      </c>
      <c r="C2531" s="6" t="n">
        <v>3</v>
      </c>
      <c r="D2531" s="6" t="s">
        <v>6893</v>
      </c>
      <c r="E2531" s="6" t="n">
        <v>1</v>
      </c>
      <c r="F2531" s="6" t="s">
        <v>133</v>
      </c>
      <c r="G2531" s="28" t="n">
        <f aca="false">IFERROR(INDEX('Semrush Data'!$A$1:$Z$20000,MATCH(A2531,'Semrush Data'!$A$1:$A$20000,0),MATCH("Volume",'Semrush Data'!$A$1:$Z$1,0)),"")</f>
        <v>20</v>
      </c>
      <c r="H2531" s="6" t="n">
        <f aca="false">IFERROR(INDEX('Semrush Data'!$A$1:$Z$20000,MATCH(A2531,'Semrush Data'!$A$1:$A$20000,0),MATCH("Keyword Difficulty*",'Semrush Data'!$A$1:$Z$1,0)),"")</f>
        <v>9</v>
      </c>
      <c r="I2531" s="29" t="n">
        <f aca="false">IFERROR(INDEX('Semrush Data'!$A$1:$Z$20000,MATCH(A2531,'Semrush Data'!$A$1:$A$20000,0),MATCH("CPC*",'Semrush Data'!$A$1:$Z$1,0)),"")</f>
        <v>0</v>
      </c>
      <c r="J2531" s="6" t="str">
        <f aca="false">IFERROR(INDEX('Semrush Data'!$A$1:$Z$20000,MATCH(A2531,'Semrush Data'!$A$1:$A$20000,0),MATCH("Intent",'Semrush Data'!$A$1:$Z$1,0)),"")</f>
        <v>Informational</v>
      </c>
    </row>
    <row r="2532" customFormat="false" ht="15" hidden="false" customHeight="true" outlineLevel="0" collapsed="false">
      <c r="A2532" s="6" t="s">
        <v>7229</v>
      </c>
      <c r="B2532" s="6" t="s">
        <v>239</v>
      </c>
      <c r="C2532" s="6" t="n">
        <v>3</v>
      </c>
      <c r="D2532" s="6" t="n">
        <v>26</v>
      </c>
      <c r="E2532" s="6" t="n">
        <v>1</v>
      </c>
      <c r="F2532" s="6" t="s">
        <v>133</v>
      </c>
      <c r="G2532" s="28" t="str">
        <f aca="false">IFERROR(INDEX('Semrush Data'!$A$1:$Z$20000,MATCH(A2532,'Semrush Data'!$A$1:$A$20000,0),MATCH("Volume",'Semrush Data'!$A$1:$Z$1,0)),"")</f>
        <v/>
      </c>
      <c r="H2532" s="6" t="str">
        <f aca="false">IFERROR(INDEX('Semrush Data'!$A$1:$Z$20000,MATCH(A2532,'Semrush Data'!$A$1:$A$20000,0),MATCH("Keyword Difficulty*",'Semrush Data'!$A$1:$Z$1,0)),"")</f>
        <v/>
      </c>
      <c r="I2532" s="29" t="str">
        <f aca="false">IFERROR(INDEX('Semrush Data'!$A$1:$Z$20000,MATCH(A2532,'Semrush Data'!$A$1:$A$20000,0),MATCH("CPC*",'Semrush Data'!$A$1:$Z$1,0)),"")</f>
        <v/>
      </c>
      <c r="J2532" s="6" t="str">
        <f aca="false">IFERROR(INDEX('Semrush Data'!$A$1:$Z$20000,MATCH(A2532,'Semrush Data'!$A$1:$A$20000,0),MATCH("Intent",'Semrush Data'!$A$1:$Z$1,0)),"")</f>
        <v/>
      </c>
    </row>
    <row r="2533" customFormat="false" ht="15" hidden="false" customHeight="true" outlineLevel="0" collapsed="false">
      <c r="A2533" s="6" t="s">
        <v>7230</v>
      </c>
      <c r="B2533" s="6" t="s">
        <v>239</v>
      </c>
      <c r="C2533" s="6" t="n">
        <v>3</v>
      </c>
      <c r="D2533" s="6" t="s">
        <v>6893</v>
      </c>
      <c r="E2533" s="6" t="n">
        <v>1</v>
      </c>
      <c r="F2533" s="6" t="s">
        <v>133</v>
      </c>
      <c r="G2533" s="28" t="n">
        <f aca="false">IFERROR(INDEX('Semrush Data'!$A$1:$Z$20000,MATCH(A2533,'Semrush Data'!$A$1:$A$20000,0),MATCH("Volume",'Semrush Data'!$A$1:$Z$1,0)),"")</f>
        <v>20</v>
      </c>
      <c r="H2533" s="6" t="n">
        <f aca="false">IFERROR(INDEX('Semrush Data'!$A$1:$Z$20000,MATCH(A2533,'Semrush Data'!$A$1:$A$20000,0),MATCH("Keyword Difficulty*",'Semrush Data'!$A$1:$Z$1,0)),"")</f>
        <v>14</v>
      </c>
      <c r="I2533" s="29" t="n">
        <f aca="false">IFERROR(INDEX('Semrush Data'!$A$1:$Z$20000,MATCH(A2533,'Semrush Data'!$A$1:$A$20000,0),MATCH("CPC*",'Semrush Data'!$A$1:$Z$1,0)),"")</f>
        <v>0</v>
      </c>
      <c r="J2533" s="6" t="str">
        <f aca="false">IFERROR(INDEX('Semrush Data'!$A$1:$Z$20000,MATCH(A2533,'Semrush Data'!$A$1:$A$20000,0),MATCH("Intent",'Semrush Data'!$A$1:$Z$1,0)),"")</f>
        <v>Commercial</v>
      </c>
    </row>
    <row r="2534" customFormat="false" ht="15" hidden="false" customHeight="true" outlineLevel="0" collapsed="false">
      <c r="A2534" s="6" t="s">
        <v>7231</v>
      </c>
      <c r="B2534" s="6" t="s">
        <v>239</v>
      </c>
      <c r="C2534" s="6" t="n">
        <v>3</v>
      </c>
      <c r="D2534" s="6" t="n">
        <v>26</v>
      </c>
      <c r="E2534" s="6" t="n">
        <v>1</v>
      </c>
      <c r="F2534" s="6" t="s">
        <v>3604</v>
      </c>
      <c r="G2534" s="28" t="str">
        <f aca="false">IFERROR(INDEX('Semrush Data'!$A$1:$Z$20000,MATCH(A2534,'Semrush Data'!$A$1:$A$20000,0),MATCH("Volume",'Semrush Data'!$A$1:$Z$1,0)),"")</f>
        <v/>
      </c>
      <c r="H2534" s="6" t="str">
        <f aca="false">IFERROR(INDEX('Semrush Data'!$A$1:$Z$20000,MATCH(A2534,'Semrush Data'!$A$1:$A$20000,0),MATCH("Keyword Difficulty*",'Semrush Data'!$A$1:$Z$1,0)),"")</f>
        <v/>
      </c>
      <c r="I2534" s="29" t="str">
        <f aca="false">IFERROR(INDEX('Semrush Data'!$A$1:$Z$20000,MATCH(A2534,'Semrush Data'!$A$1:$A$20000,0),MATCH("CPC*",'Semrush Data'!$A$1:$Z$1,0)),"")</f>
        <v/>
      </c>
      <c r="J2534" s="6" t="str">
        <f aca="false">IFERROR(INDEX('Semrush Data'!$A$1:$Z$20000,MATCH(A2534,'Semrush Data'!$A$1:$A$20000,0),MATCH("Intent",'Semrush Data'!$A$1:$Z$1,0)),"")</f>
        <v/>
      </c>
    </row>
    <row r="2535" customFormat="false" ht="15" hidden="false" customHeight="true" outlineLevel="0" collapsed="false">
      <c r="A2535" s="6" t="s">
        <v>7232</v>
      </c>
      <c r="B2535" s="6" t="s">
        <v>239</v>
      </c>
      <c r="C2535" s="6" t="n">
        <v>3</v>
      </c>
      <c r="D2535" s="6" t="n">
        <v>26</v>
      </c>
      <c r="E2535" s="6" t="n">
        <v>1</v>
      </c>
      <c r="F2535" s="6" t="s">
        <v>3604</v>
      </c>
      <c r="G2535" s="28" t="str">
        <f aca="false">IFERROR(INDEX('Semrush Data'!$A$1:$Z$20000,MATCH(A2535,'Semrush Data'!$A$1:$A$20000,0),MATCH("Volume",'Semrush Data'!$A$1:$Z$1,0)),"")</f>
        <v/>
      </c>
      <c r="H2535" s="6" t="str">
        <f aca="false">IFERROR(INDEX('Semrush Data'!$A$1:$Z$20000,MATCH(A2535,'Semrush Data'!$A$1:$A$20000,0),MATCH("Keyword Difficulty*",'Semrush Data'!$A$1:$Z$1,0)),"")</f>
        <v/>
      </c>
      <c r="I2535" s="29" t="str">
        <f aca="false">IFERROR(INDEX('Semrush Data'!$A$1:$Z$20000,MATCH(A2535,'Semrush Data'!$A$1:$A$20000,0),MATCH("CPC*",'Semrush Data'!$A$1:$Z$1,0)),"")</f>
        <v/>
      </c>
      <c r="J2535" s="6" t="str">
        <f aca="false">IFERROR(INDEX('Semrush Data'!$A$1:$Z$20000,MATCH(A2535,'Semrush Data'!$A$1:$A$20000,0),MATCH("Intent",'Semrush Data'!$A$1:$Z$1,0)),"")</f>
        <v/>
      </c>
    </row>
    <row r="2536" customFormat="false" ht="15" hidden="false" customHeight="true" outlineLevel="0" collapsed="false">
      <c r="A2536" s="6" t="s">
        <v>7233</v>
      </c>
      <c r="B2536" s="6" t="s">
        <v>239</v>
      </c>
      <c r="C2536" s="6" t="n">
        <v>3</v>
      </c>
      <c r="D2536" s="6" t="n">
        <v>26</v>
      </c>
      <c r="E2536" s="6" t="n">
        <v>1</v>
      </c>
      <c r="F2536" s="6" t="s">
        <v>3604</v>
      </c>
      <c r="G2536" s="28" t="str">
        <f aca="false">IFERROR(INDEX('Semrush Data'!$A$1:$Z$20000,MATCH(A2536,'Semrush Data'!$A$1:$A$20000,0),MATCH("Volume",'Semrush Data'!$A$1:$Z$1,0)),"")</f>
        <v/>
      </c>
      <c r="H2536" s="6" t="str">
        <f aca="false">IFERROR(INDEX('Semrush Data'!$A$1:$Z$20000,MATCH(A2536,'Semrush Data'!$A$1:$A$20000,0),MATCH("Keyword Difficulty*",'Semrush Data'!$A$1:$Z$1,0)),"")</f>
        <v/>
      </c>
      <c r="I2536" s="29" t="str">
        <f aca="false">IFERROR(INDEX('Semrush Data'!$A$1:$Z$20000,MATCH(A2536,'Semrush Data'!$A$1:$A$20000,0),MATCH("CPC*",'Semrush Data'!$A$1:$Z$1,0)),"")</f>
        <v/>
      </c>
      <c r="J2536" s="6" t="str">
        <f aca="false">IFERROR(INDEX('Semrush Data'!$A$1:$Z$20000,MATCH(A2536,'Semrush Data'!$A$1:$A$20000,0),MATCH("Intent",'Semrush Data'!$A$1:$Z$1,0)),"")</f>
        <v/>
      </c>
    </row>
    <row r="2537" customFormat="false" ht="15" hidden="false" customHeight="true" outlineLevel="0" collapsed="false">
      <c r="A2537" s="6" t="s">
        <v>7234</v>
      </c>
      <c r="B2537" s="6" t="s">
        <v>239</v>
      </c>
      <c r="C2537" s="6" t="n">
        <v>3</v>
      </c>
      <c r="D2537" s="6" t="n">
        <v>26</v>
      </c>
      <c r="E2537" s="6" t="n">
        <v>1</v>
      </c>
      <c r="F2537" s="6" t="s">
        <v>3604</v>
      </c>
      <c r="G2537" s="28" t="str">
        <f aca="false">IFERROR(INDEX('Semrush Data'!$A$1:$Z$20000,MATCH(A2537,'Semrush Data'!$A$1:$A$20000,0),MATCH("Volume",'Semrush Data'!$A$1:$Z$1,0)),"")</f>
        <v/>
      </c>
      <c r="H2537" s="6" t="str">
        <f aca="false">IFERROR(INDEX('Semrush Data'!$A$1:$Z$20000,MATCH(A2537,'Semrush Data'!$A$1:$A$20000,0),MATCH("Keyword Difficulty*",'Semrush Data'!$A$1:$Z$1,0)),"")</f>
        <v/>
      </c>
      <c r="I2537" s="29" t="str">
        <f aca="false">IFERROR(INDEX('Semrush Data'!$A$1:$Z$20000,MATCH(A2537,'Semrush Data'!$A$1:$A$20000,0),MATCH("CPC*",'Semrush Data'!$A$1:$Z$1,0)),"")</f>
        <v/>
      </c>
      <c r="J2537" s="6" t="str">
        <f aca="false">IFERROR(INDEX('Semrush Data'!$A$1:$Z$20000,MATCH(A2537,'Semrush Data'!$A$1:$A$20000,0),MATCH("Intent",'Semrush Data'!$A$1:$Z$1,0)),"")</f>
        <v/>
      </c>
    </row>
    <row r="2538" customFormat="false" ht="15" hidden="false" customHeight="true" outlineLevel="0" collapsed="false">
      <c r="A2538" s="6" t="s">
        <v>7235</v>
      </c>
      <c r="B2538" s="6" t="s">
        <v>239</v>
      </c>
      <c r="C2538" s="6" t="n">
        <v>3</v>
      </c>
      <c r="D2538" s="6" t="n">
        <v>26</v>
      </c>
      <c r="E2538" s="6" t="n">
        <v>1</v>
      </c>
      <c r="F2538" s="6" t="s">
        <v>3616</v>
      </c>
      <c r="G2538" s="28" t="str">
        <f aca="false">IFERROR(INDEX('Semrush Data'!$A$1:$Z$20000,MATCH(A2538,'Semrush Data'!$A$1:$A$20000,0),MATCH("Volume",'Semrush Data'!$A$1:$Z$1,0)),"")</f>
        <v/>
      </c>
      <c r="H2538" s="6" t="str">
        <f aca="false">IFERROR(INDEX('Semrush Data'!$A$1:$Z$20000,MATCH(A2538,'Semrush Data'!$A$1:$A$20000,0),MATCH("Keyword Difficulty*",'Semrush Data'!$A$1:$Z$1,0)),"")</f>
        <v/>
      </c>
      <c r="I2538" s="29" t="str">
        <f aca="false">IFERROR(INDEX('Semrush Data'!$A$1:$Z$20000,MATCH(A2538,'Semrush Data'!$A$1:$A$20000,0),MATCH("CPC*",'Semrush Data'!$A$1:$Z$1,0)),"")</f>
        <v/>
      </c>
      <c r="J2538" s="6" t="str">
        <f aca="false">IFERROR(INDEX('Semrush Data'!$A$1:$Z$20000,MATCH(A2538,'Semrush Data'!$A$1:$A$20000,0),MATCH("Intent",'Semrush Data'!$A$1:$Z$1,0)),"")</f>
        <v/>
      </c>
    </row>
    <row r="2539" customFormat="false" ht="15" hidden="false" customHeight="true" outlineLevel="0" collapsed="false">
      <c r="A2539" s="6" t="s">
        <v>7236</v>
      </c>
      <c r="B2539" s="6" t="s">
        <v>239</v>
      </c>
      <c r="C2539" s="6" t="n">
        <v>3</v>
      </c>
      <c r="D2539" s="6" t="n">
        <v>26</v>
      </c>
      <c r="E2539" s="6" t="n">
        <v>1</v>
      </c>
      <c r="F2539" s="6" t="s">
        <v>3616</v>
      </c>
      <c r="G2539" s="28" t="str">
        <f aca="false">IFERROR(INDEX('Semrush Data'!$A$1:$Z$20000,MATCH(A2539,'Semrush Data'!$A$1:$A$20000,0),MATCH("Volume",'Semrush Data'!$A$1:$Z$1,0)),"")</f>
        <v/>
      </c>
      <c r="H2539" s="6" t="str">
        <f aca="false">IFERROR(INDEX('Semrush Data'!$A$1:$Z$20000,MATCH(A2539,'Semrush Data'!$A$1:$A$20000,0),MATCH("Keyword Difficulty*",'Semrush Data'!$A$1:$Z$1,0)),"")</f>
        <v/>
      </c>
      <c r="I2539" s="29" t="str">
        <f aca="false">IFERROR(INDEX('Semrush Data'!$A$1:$Z$20000,MATCH(A2539,'Semrush Data'!$A$1:$A$20000,0),MATCH("CPC*",'Semrush Data'!$A$1:$Z$1,0)),"")</f>
        <v/>
      </c>
      <c r="J2539" s="6" t="str">
        <f aca="false">IFERROR(INDEX('Semrush Data'!$A$1:$Z$20000,MATCH(A2539,'Semrush Data'!$A$1:$A$20000,0),MATCH("Intent",'Semrush Data'!$A$1:$Z$1,0)),"")</f>
        <v/>
      </c>
    </row>
    <row r="2540" customFormat="false" ht="15" hidden="false" customHeight="true" outlineLevel="0" collapsed="false">
      <c r="A2540" s="6" t="s">
        <v>7237</v>
      </c>
      <c r="B2540" s="6" t="s">
        <v>239</v>
      </c>
      <c r="C2540" s="6" t="n">
        <v>3</v>
      </c>
      <c r="D2540" s="6" t="n">
        <v>26</v>
      </c>
      <c r="E2540" s="6" t="n">
        <v>1</v>
      </c>
      <c r="F2540" s="6" t="s">
        <v>3616</v>
      </c>
      <c r="G2540" s="28" t="str">
        <f aca="false">IFERROR(INDEX('Semrush Data'!$A$1:$Z$20000,MATCH(A2540,'Semrush Data'!$A$1:$A$20000,0),MATCH("Volume",'Semrush Data'!$A$1:$Z$1,0)),"")</f>
        <v/>
      </c>
      <c r="H2540" s="6" t="str">
        <f aca="false">IFERROR(INDEX('Semrush Data'!$A$1:$Z$20000,MATCH(A2540,'Semrush Data'!$A$1:$A$20000,0),MATCH("Keyword Difficulty*",'Semrush Data'!$A$1:$Z$1,0)),"")</f>
        <v/>
      </c>
      <c r="I2540" s="29" t="str">
        <f aca="false">IFERROR(INDEX('Semrush Data'!$A$1:$Z$20000,MATCH(A2540,'Semrush Data'!$A$1:$A$20000,0),MATCH("CPC*",'Semrush Data'!$A$1:$Z$1,0)),"")</f>
        <v/>
      </c>
      <c r="J2540" s="6" t="str">
        <f aca="false">IFERROR(INDEX('Semrush Data'!$A$1:$Z$20000,MATCH(A2540,'Semrush Data'!$A$1:$A$20000,0),MATCH("Intent",'Semrush Data'!$A$1:$Z$1,0)),"")</f>
        <v/>
      </c>
    </row>
    <row r="2541" customFormat="false" ht="15" hidden="false" customHeight="true" outlineLevel="0" collapsed="false">
      <c r="A2541" s="6" t="s">
        <v>7238</v>
      </c>
      <c r="B2541" s="6" t="s">
        <v>239</v>
      </c>
      <c r="C2541" s="6" t="n">
        <v>3</v>
      </c>
      <c r="D2541" s="6" t="n">
        <v>26</v>
      </c>
      <c r="E2541" s="6" t="n">
        <v>1</v>
      </c>
      <c r="F2541" s="6" t="s">
        <v>3616</v>
      </c>
      <c r="G2541" s="28" t="str">
        <f aca="false">IFERROR(INDEX('Semrush Data'!$A$1:$Z$20000,MATCH(A2541,'Semrush Data'!$A$1:$A$20000,0),MATCH("Volume",'Semrush Data'!$A$1:$Z$1,0)),"")</f>
        <v/>
      </c>
      <c r="H2541" s="6" t="str">
        <f aca="false">IFERROR(INDEX('Semrush Data'!$A$1:$Z$20000,MATCH(A2541,'Semrush Data'!$A$1:$A$20000,0),MATCH("Keyword Difficulty*",'Semrush Data'!$A$1:$Z$1,0)),"")</f>
        <v/>
      </c>
      <c r="I2541" s="29" t="str">
        <f aca="false">IFERROR(INDEX('Semrush Data'!$A$1:$Z$20000,MATCH(A2541,'Semrush Data'!$A$1:$A$20000,0),MATCH("CPC*",'Semrush Data'!$A$1:$Z$1,0)),"")</f>
        <v/>
      </c>
      <c r="J2541" s="6" t="str">
        <f aca="false">IFERROR(INDEX('Semrush Data'!$A$1:$Z$20000,MATCH(A2541,'Semrush Data'!$A$1:$A$20000,0),MATCH("Intent",'Semrush Data'!$A$1:$Z$1,0)),"")</f>
        <v/>
      </c>
    </row>
    <row r="2542" customFormat="false" ht="15" hidden="false" customHeight="true" outlineLevel="0" collapsed="false">
      <c r="A2542" s="6" t="s">
        <v>7239</v>
      </c>
      <c r="B2542" s="6" t="s">
        <v>239</v>
      </c>
      <c r="C2542" s="6" t="n">
        <v>3</v>
      </c>
      <c r="D2542" s="6" t="n">
        <v>26</v>
      </c>
      <c r="E2542" s="6" t="n">
        <v>1</v>
      </c>
      <c r="F2542" s="6" t="s">
        <v>3699</v>
      </c>
      <c r="G2542" s="28" t="str">
        <f aca="false">IFERROR(INDEX('Semrush Data'!$A$1:$Z$20000,MATCH(A2542,'Semrush Data'!$A$1:$A$20000,0),MATCH("Volume",'Semrush Data'!$A$1:$Z$1,0)),"")</f>
        <v/>
      </c>
      <c r="H2542" s="6" t="str">
        <f aca="false">IFERROR(INDEX('Semrush Data'!$A$1:$Z$20000,MATCH(A2542,'Semrush Data'!$A$1:$A$20000,0),MATCH("Keyword Difficulty*",'Semrush Data'!$A$1:$Z$1,0)),"")</f>
        <v/>
      </c>
      <c r="I2542" s="29" t="str">
        <f aca="false">IFERROR(INDEX('Semrush Data'!$A$1:$Z$20000,MATCH(A2542,'Semrush Data'!$A$1:$A$20000,0),MATCH("CPC*",'Semrush Data'!$A$1:$Z$1,0)),"")</f>
        <v/>
      </c>
      <c r="J2542" s="6" t="str">
        <f aca="false">IFERROR(INDEX('Semrush Data'!$A$1:$Z$20000,MATCH(A2542,'Semrush Data'!$A$1:$A$20000,0),MATCH("Intent",'Semrush Data'!$A$1:$Z$1,0)),"")</f>
        <v/>
      </c>
    </row>
    <row r="2543" customFormat="false" ht="15" hidden="false" customHeight="true" outlineLevel="0" collapsed="false">
      <c r="A2543" s="6" t="s">
        <v>7240</v>
      </c>
      <c r="B2543" s="6" t="s">
        <v>239</v>
      </c>
      <c r="C2543" s="6" t="n">
        <v>3</v>
      </c>
      <c r="D2543" s="6" t="n">
        <v>26</v>
      </c>
      <c r="E2543" s="6" t="n">
        <v>1</v>
      </c>
      <c r="F2543" s="6" t="s">
        <v>3699</v>
      </c>
      <c r="G2543" s="28" t="str">
        <f aca="false">IFERROR(INDEX('Semrush Data'!$A$1:$Z$20000,MATCH(A2543,'Semrush Data'!$A$1:$A$20000,0),MATCH("Volume",'Semrush Data'!$A$1:$Z$1,0)),"")</f>
        <v/>
      </c>
      <c r="H2543" s="6" t="str">
        <f aca="false">IFERROR(INDEX('Semrush Data'!$A$1:$Z$20000,MATCH(A2543,'Semrush Data'!$A$1:$A$20000,0),MATCH("Keyword Difficulty*",'Semrush Data'!$A$1:$Z$1,0)),"")</f>
        <v/>
      </c>
      <c r="I2543" s="29" t="str">
        <f aca="false">IFERROR(INDEX('Semrush Data'!$A$1:$Z$20000,MATCH(A2543,'Semrush Data'!$A$1:$A$20000,0),MATCH("CPC*",'Semrush Data'!$A$1:$Z$1,0)),"")</f>
        <v/>
      </c>
      <c r="J2543" s="6" t="str">
        <f aca="false">IFERROR(INDEX('Semrush Data'!$A$1:$Z$20000,MATCH(A2543,'Semrush Data'!$A$1:$A$20000,0),MATCH("Intent",'Semrush Data'!$A$1:$Z$1,0)),"")</f>
        <v/>
      </c>
    </row>
    <row r="2544" customFormat="false" ht="15" hidden="false" customHeight="true" outlineLevel="0" collapsed="false">
      <c r="A2544" s="6" t="s">
        <v>7241</v>
      </c>
      <c r="B2544" s="6" t="s">
        <v>239</v>
      </c>
      <c r="C2544" s="6" t="n">
        <v>3</v>
      </c>
      <c r="D2544" s="6" t="n">
        <v>26</v>
      </c>
      <c r="E2544" s="6" t="n">
        <v>1</v>
      </c>
      <c r="F2544" s="6" t="s">
        <v>3699</v>
      </c>
      <c r="G2544" s="28" t="str">
        <f aca="false">IFERROR(INDEX('Semrush Data'!$A$1:$Z$20000,MATCH(A2544,'Semrush Data'!$A$1:$A$20000,0),MATCH("Volume",'Semrush Data'!$A$1:$Z$1,0)),"")</f>
        <v/>
      </c>
      <c r="H2544" s="6" t="str">
        <f aca="false">IFERROR(INDEX('Semrush Data'!$A$1:$Z$20000,MATCH(A2544,'Semrush Data'!$A$1:$A$20000,0),MATCH("Keyword Difficulty*",'Semrush Data'!$A$1:$Z$1,0)),"")</f>
        <v/>
      </c>
      <c r="I2544" s="29" t="str">
        <f aca="false">IFERROR(INDEX('Semrush Data'!$A$1:$Z$20000,MATCH(A2544,'Semrush Data'!$A$1:$A$20000,0),MATCH("CPC*",'Semrush Data'!$A$1:$Z$1,0)),"")</f>
        <v/>
      </c>
      <c r="J2544" s="6" t="str">
        <f aca="false">IFERROR(INDEX('Semrush Data'!$A$1:$Z$20000,MATCH(A2544,'Semrush Data'!$A$1:$A$20000,0),MATCH("Intent",'Semrush Data'!$A$1:$Z$1,0)),"")</f>
        <v/>
      </c>
    </row>
    <row r="2545" customFormat="false" ht="15" hidden="false" customHeight="true" outlineLevel="0" collapsed="false">
      <c r="A2545" s="6" t="s">
        <v>7242</v>
      </c>
      <c r="B2545" s="6" t="s">
        <v>239</v>
      </c>
      <c r="C2545" s="6" t="n">
        <v>3</v>
      </c>
      <c r="D2545" s="6" t="n">
        <v>26</v>
      </c>
      <c r="E2545" s="6" t="n">
        <v>1</v>
      </c>
      <c r="F2545" s="6" t="s">
        <v>3677</v>
      </c>
      <c r="G2545" s="28" t="str">
        <f aca="false">IFERROR(INDEX('Semrush Data'!$A$1:$Z$20000,MATCH(A2545,'Semrush Data'!$A$1:$A$20000,0),MATCH("Volume",'Semrush Data'!$A$1:$Z$1,0)),"")</f>
        <v/>
      </c>
      <c r="H2545" s="6" t="str">
        <f aca="false">IFERROR(INDEX('Semrush Data'!$A$1:$Z$20000,MATCH(A2545,'Semrush Data'!$A$1:$A$20000,0),MATCH("Keyword Difficulty*",'Semrush Data'!$A$1:$Z$1,0)),"")</f>
        <v/>
      </c>
      <c r="I2545" s="29" t="str">
        <f aca="false">IFERROR(INDEX('Semrush Data'!$A$1:$Z$20000,MATCH(A2545,'Semrush Data'!$A$1:$A$20000,0),MATCH("CPC*",'Semrush Data'!$A$1:$Z$1,0)),"")</f>
        <v/>
      </c>
      <c r="J2545" s="6" t="str">
        <f aca="false">IFERROR(INDEX('Semrush Data'!$A$1:$Z$20000,MATCH(A2545,'Semrush Data'!$A$1:$A$20000,0),MATCH("Intent",'Semrush Data'!$A$1:$Z$1,0)),"")</f>
        <v/>
      </c>
    </row>
    <row r="2546" customFormat="false" ht="15" hidden="false" customHeight="true" outlineLevel="0" collapsed="false">
      <c r="A2546" s="6" t="s">
        <v>7243</v>
      </c>
      <c r="B2546" s="6" t="s">
        <v>239</v>
      </c>
      <c r="C2546" s="6" t="n">
        <v>3</v>
      </c>
      <c r="D2546" s="6" t="n">
        <v>26</v>
      </c>
      <c r="E2546" s="6" t="n">
        <v>1</v>
      </c>
      <c r="F2546" s="6" t="s">
        <v>3677</v>
      </c>
      <c r="G2546" s="28" t="str">
        <f aca="false">IFERROR(INDEX('Semrush Data'!$A$1:$Z$20000,MATCH(A2546,'Semrush Data'!$A$1:$A$20000,0),MATCH("Volume",'Semrush Data'!$A$1:$Z$1,0)),"")</f>
        <v/>
      </c>
      <c r="H2546" s="6" t="str">
        <f aca="false">IFERROR(INDEX('Semrush Data'!$A$1:$Z$20000,MATCH(A2546,'Semrush Data'!$A$1:$A$20000,0),MATCH("Keyword Difficulty*",'Semrush Data'!$A$1:$Z$1,0)),"")</f>
        <v/>
      </c>
      <c r="I2546" s="29" t="str">
        <f aca="false">IFERROR(INDEX('Semrush Data'!$A$1:$Z$20000,MATCH(A2546,'Semrush Data'!$A$1:$A$20000,0),MATCH("CPC*",'Semrush Data'!$A$1:$Z$1,0)),"")</f>
        <v/>
      </c>
      <c r="J2546" s="6" t="str">
        <f aca="false">IFERROR(INDEX('Semrush Data'!$A$1:$Z$20000,MATCH(A2546,'Semrush Data'!$A$1:$A$20000,0),MATCH("Intent",'Semrush Data'!$A$1:$Z$1,0)),"")</f>
        <v/>
      </c>
    </row>
    <row r="2547" customFormat="false" ht="15" hidden="false" customHeight="true" outlineLevel="0" collapsed="false">
      <c r="A2547" s="6" t="s">
        <v>7244</v>
      </c>
      <c r="B2547" s="6" t="s">
        <v>239</v>
      </c>
      <c r="C2547" s="6" t="n">
        <v>3</v>
      </c>
      <c r="D2547" s="6" t="n">
        <v>26</v>
      </c>
      <c r="E2547" s="6" t="n">
        <v>1</v>
      </c>
      <c r="F2547" s="6" t="s">
        <v>3677</v>
      </c>
      <c r="G2547" s="28" t="str">
        <f aca="false">IFERROR(INDEX('Semrush Data'!$A$1:$Z$20000,MATCH(A2547,'Semrush Data'!$A$1:$A$20000,0),MATCH("Volume",'Semrush Data'!$A$1:$Z$1,0)),"")</f>
        <v/>
      </c>
      <c r="H2547" s="6" t="str">
        <f aca="false">IFERROR(INDEX('Semrush Data'!$A$1:$Z$20000,MATCH(A2547,'Semrush Data'!$A$1:$A$20000,0),MATCH("Keyword Difficulty*",'Semrush Data'!$A$1:$Z$1,0)),"")</f>
        <v/>
      </c>
      <c r="I2547" s="29" t="str">
        <f aca="false">IFERROR(INDEX('Semrush Data'!$A$1:$Z$20000,MATCH(A2547,'Semrush Data'!$A$1:$A$20000,0),MATCH("CPC*",'Semrush Data'!$A$1:$Z$1,0)),"")</f>
        <v/>
      </c>
      <c r="J2547" s="6" t="str">
        <f aca="false">IFERROR(INDEX('Semrush Data'!$A$1:$Z$20000,MATCH(A2547,'Semrush Data'!$A$1:$A$20000,0),MATCH("Intent",'Semrush Data'!$A$1:$Z$1,0)),"")</f>
        <v/>
      </c>
    </row>
    <row r="2548" customFormat="false" ht="15" hidden="false" customHeight="true" outlineLevel="0" collapsed="false">
      <c r="A2548" s="6" t="s">
        <v>7245</v>
      </c>
      <c r="B2548" s="6" t="s">
        <v>239</v>
      </c>
      <c r="C2548" s="6" t="n">
        <v>3</v>
      </c>
      <c r="D2548" s="6" t="n">
        <v>26</v>
      </c>
      <c r="E2548" s="6" t="n">
        <v>1</v>
      </c>
      <c r="F2548" s="6" t="s">
        <v>3677</v>
      </c>
      <c r="G2548" s="28" t="str">
        <f aca="false">IFERROR(INDEX('Semrush Data'!$A$1:$Z$20000,MATCH(A2548,'Semrush Data'!$A$1:$A$20000,0),MATCH("Volume",'Semrush Data'!$A$1:$Z$1,0)),"")</f>
        <v/>
      </c>
      <c r="H2548" s="6" t="str">
        <f aca="false">IFERROR(INDEX('Semrush Data'!$A$1:$Z$20000,MATCH(A2548,'Semrush Data'!$A$1:$A$20000,0),MATCH("Keyword Difficulty*",'Semrush Data'!$A$1:$Z$1,0)),"")</f>
        <v/>
      </c>
      <c r="I2548" s="29" t="str">
        <f aca="false">IFERROR(INDEX('Semrush Data'!$A$1:$Z$20000,MATCH(A2548,'Semrush Data'!$A$1:$A$20000,0),MATCH("CPC*",'Semrush Data'!$A$1:$Z$1,0)),"")</f>
        <v/>
      </c>
      <c r="J2548" s="6" t="str">
        <f aca="false">IFERROR(INDEX('Semrush Data'!$A$1:$Z$20000,MATCH(A2548,'Semrush Data'!$A$1:$A$20000,0),MATCH("Intent",'Semrush Data'!$A$1:$Z$1,0)),"")</f>
        <v/>
      </c>
    </row>
    <row r="2549" customFormat="false" ht="15" hidden="false" customHeight="true" outlineLevel="0" collapsed="false">
      <c r="A2549" s="6" t="s">
        <v>7246</v>
      </c>
      <c r="B2549" s="6" t="s">
        <v>239</v>
      </c>
      <c r="C2549" s="6" t="n">
        <v>3</v>
      </c>
      <c r="D2549" s="6" t="n">
        <v>26</v>
      </c>
      <c r="E2549" s="6" t="n">
        <v>1</v>
      </c>
      <c r="F2549" s="6" t="s">
        <v>3677</v>
      </c>
      <c r="G2549" s="28" t="str">
        <f aca="false">IFERROR(INDEX('Semrush Data'!$A$1:$Z$20000,MATCH(A2549,'Semrush Data'!$A$1:$A$20000,0),MATCH("Volume",'Semrush Data'!$A$1:$Z$1,0)),"")</f>
        <v/>
      </c>
      <c r="H2549" s="6" t="str">
        <f aca="false">IFERROR(INDEX('Semrush Data'!$A$1:$Z$20000,MATCH(A2549,'Semrush Data'!$A$1:$A$20000,0),MATCH("Keyword Difficulty*",'Semrush Data'!$A$1:$Z$1,0)),"")</f>
        <v/>
      </c>
      <c r="I2549" s="29" t="str">
        <f aca="false">IFERROR(INDEX('Semrush Data'!$A$1:$Z$20000,MATCH(A2549,'Semrush Data'!$A$1:$A$20000,0),MATCH("CPC*",'Semrush Data'!$A$1:$Z$1,0)),"")</f>
        <v/>
      </c>
      <c r="J2549" s="6" t="str">
        <f aca="false">IFERROR(INDEX('Semrush Data'!$A$1:$Z$20000,MATCH(A2549,'Semrush Data'!$A$1:$A$20000,0),MATCH("Intent",'Semrush Data'!$A$1:$Z$1,0)),"")</f>
        <v/>
      </c>
    </row>
    <row r="2550" customFormat="false" ht="15" hidden="false" customHeight="true" outlineLevel="0" collapsed="false">
      <c r="A2550" s="6" t="s">
        <v>7247</v>
      </c>
      <c r="B2550" s="6" t="s">
        <v>239</v>
      </c>
      <c r="C2550" s="6" t="n">
        <v>3</v>
      </c>
      <c r="D2550" s="6" t="n">
        <v>26</v>
      </c>
      <c r="E2550" s="6" t="n">
        <v>1</v>
      </c>
      <c r="F2550" s="6" t="s">
        <v>3630</v>
      </c>
      <c r="G2550" s="28" t="str">
        <f aca="false">IFERROR(INDEX('Semrush Data'!$A$1:$Z$20000,MATCH(A2550,'Semrush Data'!$A$1:$A$20000,0),MATCH("Volume",'Semrush Data'!$A$1:$Z$1,0)),"")</f>
        <v/>
      </c>
      <c r="H2550" s="6" t="str">
        <f aca="false">IFERROR(INDEX('Semrush Data'!$A$1:$Z$20000,MATCH(A2550,'Semrush Data'!$A$1:$A$20000,0),MATCH("Keyword Difficulty*",'Semrush Data'!$A$1:$Z$1,0)),"")</f>
        <v/>
      </c>
      <c r="I2550" s="29" t="str">
        <f aca="false">IFERROR(INDEX('Semrush Data'!$A$1:$Z$20000,MATCH(A2550,'Semrush Data'!$A$1:$A$20000,0),MATCH("CPC*",'Semrush Data'!$A$1:$Z$1,0)),"")</f>
        <v/>
      </c>
      <c r="J2550" s="6" t="str">
        <f aca="false">IFERROR(INDEX('Semrush Data'!$A$1:$Z$20000,MATCH(A2550,'Semrush Data'!$A$1:$A$20000,0),MATCH("Intent",'Semrush Data'!$A$1:$Z$1,0)),"")</f>
        <v/>
      </c>
    </row>
    <row r="2551" customFormat="false" ht="15" hidden="false" customHeight="true" outlineLevel="0" collapsed="false">
      <c r="A2551" s="6" t="s">
        <v>7248</v>
      </c>
      <c r="B2551" s="6" t="s">
        <v>239</v>
      </c>
      <c r="C2551" s="6" t="n">
        <v>3</v>
      </c>
      <c r="D2551" s="6" t="n">
        <v>26</v>
      </c>
      <c r="E2551" s="6" t="n">
        <v>1</v>
      </c>
      <c r="F2551" s="6" t="s">
        <v>3630</v>
      </c>
      <c r="G2551" s="28" t="str">
        <f aca="false">IFERROR(INDEX('Semrush Data'!$A$1:$Z$20000,MATCH(A2551,'Semrush Data'!$A$1:$A$20000,0),MATCH("Volume",'Semrush Data'!$A$1:$Z$1,0)),"")</f>
        <v/>
      </c>
      <c r="H2551" s="6" t="str">
        <f aca="false">IFERROR(INDEX('Semrush Data'!$A$1:$Z$20000,MATCH(A2551,'Semrush Data'!$A$1:$A$20000,0),MATCH("Keyword Difficulty*",'Semrush Data'!$A$1:$Z$1,0)),"")</f>
        <v/>
      </c>
      <c r="I2551" s="29" t="str">
        <f aca="false">IFERROR(INDEX('Semrush Data'!$A$1:$Z$20000,MATCH(A2551,'Semrush Data'!$A$1:$A$20000,0),MATCH("CPC*",'Semrush Data'!$A$1:$Z$1,0)),"")</f>
        <v/>
      </c>
      <c r="J2551" s="6" t="str">
        <f aca="false">IFERROR(INDEX('Semrush Data'!$A$1:$Z$20000,MATCH(A2551,'Semrush Data'!$A$1:$A$20000,0),MATCH("Intent",'Semrush Data'!$A$1:$Z$1,0)),"")</f>
        <v/>
      </c>
    </row>
    <row r="2552" customFormat="false" ht="15" hidden="false" customHeight="true" outlineLevel="0" collapsed="false">
      <c r="A2552" s="6" t="s">
        <v>252</v>
      </c>
      <c r="B2552" s="6" t="s">
        <v>239</v>
      </c>
      <c r="C2552" s="6" t="n">
        <v>3</v>
      </c>
      <c r="D2552" s="6" t="s">
        <v>6870</v>
      </c>
      <c r="E2552" s="6" t="n">
        <v>2</v>
      </c>
      <c r="F2552" s="6" t="s">
        <v>6851</v>
      </c>
      <c r="G2552" s="28" t="n">
        <f aca="false">IFERROR(INDEX('Semrush Data'!$A$1:$Z$20000,MATCH(A2552,'Semrush Data'!$A$1:$A$20000,0),MATCH("Volume",'Semrush Data'!$A$1:$Z$1,0)),"")</f>
        <v>390</v>
      </c>
      <c r="H2552" s="6" t="n">
        <f aca="false">IFERROR(INDEX('Semrush Data'!$A$1:$Z$20000,MATCH(A2552,'Semrush Data'!$A$1:$A$20000,0),MATCH("Keyword Difficulty*",'Semrush Data'!$A$1:$Z$1,0)),"")</f>
        <v>16</v>
      </c>
      <c r="I2552" s="29" t="n">
        <f aca="false">IFERROR(INDEX('Semrush Data'!$A$1:$Z$20000,MATCH(A2552,'Semrush Data'!$A$1:$A$20000,0),MATCH("CPC*",'Semrush Data'!$A$1:$Z$1,0)),"")</f>
        <v>0.48</v>
      </c>
      <c r="J2552" s="6" t="str">
        <f aca="false">IFERROR(INDEX('Semrush Data'!$A$1:$Z$20000,MATCH(A2552,'Semrush Data'!$A$1:$A$20000,0),MATCH("Intent",'Semrush Data'!$A$1:$Z$1,0)),"")</f>
        <v>Informational Transactional</v>
      </c>
    </row>
    <row r="2553" customFormat="false" ht="15" hidden="false" customHeight="true" outlineLevel="0" collapsed="false">
      <c r="A2553" s="6" t="s">
        <v>251</v>
      </c>
      <c r="B2553" s="6" t="s">
        <v>239</v>
      </c>
      <c r="C2553" s="6" t="n">
        <v>3</v>
      </c>
      <c r="D2553" s="6" t="s">
        <v>6870</v>
      </c>
      <c r="E2553" s="6" t="n">
        <v>2</v>
      </c>
      <c r="F2553" s="6" t="s">
        <v>6851</v>
      </c>
      <c r="G2553" s="28" t="n">
        <f aca="false">IFERROR(INDEX('Semrush Data'!$A$1:$Z$20000,MATCH(A2553,'Semrush Data'!$A$1:$A$20000,0),MATCH("Volume",'Semrush Data'!$A$1:$Z$1,0)),"")</f>
        <v>480</v>
      </c>
      <c r="H2553" s="6" t="n">
        <f aca="false">IFERROR(INDEX('Semrush Data'!$A$1:$Z$20000,MATCH(A2553,'Semrush Data'!$A$1:$A$20000,0),MATCH("Keyword Difficulty*",'Semrush Data'!$A$1:$Z$1,0)),"")</f>
        <v>16</v>
      </c>
      <c r="I2553" s="29" t="n">
        <f aca="false">IFERROR(INDEX('Semrush Data'!$A$1:$Z$20000,MATCH(A2553,'Semrush Data'!$A$1:$A$20000,0),MATCH("CPC*",'Semrush Data'!$A$1:$Z$1,0)),"")</f>
        <v>0.44</v>
      </c>
      <c r="J2553" s="6" t="str">
        <f aca="false">IFERROR(INDEX('Semrush Data'!$A$1:$Z$20000,MATCH(A2553,'Semrush Data'!$A$1:$A$20000,0),MATCH("Intent",'Semrush Data'!$A$1:$Z$1,0)),"")</f>
        <v>Informational Transactional</v>
      </c>
    </row>
    <row r="2554" customFormat="false" ht="15" hidden="false" customHeight="true" outlineLevel="0" collapsed="false">
      <c r="A2554" s="6" t="s">
        <v>7249</v>
      </c>
      <c r="B2554" s="6" t="s">
        <v>239</v>
      </c>
      <c r="C2554" s="6" t="n">
        <v>3</v>
      </c>
      <c r="D2554" s="6" t="n">
        <v>26</v>
      </c>
      <c r="E2554" s="6" t="n">
        <v>2</v>
      </c>
      <c r="F2554" s="6" t="s">
        <v>6851</v>
      </c>
      <c r="G2554" s="28" t="str">
        <f aca="false">IFERROR(INDEX('Semrush Data'!$A$1:$Z$20000,MATCH(A2554,'Semrush Data'!$A$1:$A$20000,0),MATCH("Volume",'Semrush Data'!$A$1:$Z$1,0)),"")</f>
        <v/>
      </c>
      <c r="H2554" s="6" t="str">
        <f aca="false">IFERROR(INDEX('Semrush Data'!$A$1:$Z$20000,MATCH(A2554,'Semrush Data'!$A$1:$A$20000,0),MATCH("Keyword Difficulty*",'Semrush Data'!$A$1:$Z$1,0)),"")</f>
        <v/>
      </c>
      <c r="I2554" s="29" t="str">
        <f aca="false">IFERROR(INDEX('Semrush Data'!$A$1:$Z$20000,MATCH(A2554,'Semrush Data'!$A$1:$A$20000,0),MATCH("CPC*",'Semrush Data'!$A$1:$Z$1,0)),"")</f>
        <v/>
      </c>
      <c r="J2554" s="6" t="str">
        <f aca="false">IFERROR(INDEX('Semrush Data'!$A$1:$Z$20000,MATCH(A2554,'Semrush Data'!$A$1:$A$20000,0),MATCH("Intent",'Semrush Data'!$A$1:$Z$1,0)),"")</f>
        <v/>
      </c>
    </row>
    <row r="2555" customFormat="false" ht="15" hidden="false" customHeight="true" outlineLevel="0" collapsed="false">
      <c r="A2555" s="6" t="s">
        <v>7250</v>
      </c>
      <c r="B2555" s="6" t="s">
        <v>239</v>
      </c>
      <c r="C2555" s="6" t="n">
        <v>3</v>
      </c>
      <c r="D2555" s="6" t="n">
        <v>26</v>
      </c>
      <c r="E2555" s="6" t="n">
        <v>2</v>
      </c>
      <c r="F2555" s="6" t="s">
        <v>6851</v>
      </c>
      <c r="G2555" s="28" t="str">
        <f aca="false">IFERROR(INDEX('Semrush Data'!$A$1:$Z$20000,MATCH(A2555,'Semrush Data'!$A$1:$A$20000,0),MATCH("Volume",'Semrush Data'!$A$1:$Z$1,0)),"")</f>
        <v/>
      </c>
      <c r="H2555" s="6" t="str">
        <f aca="false">IFERROR(INDEX('Semrush Data'!$A$1:$Z$20000,MATCH(A2555,'Semrush Data'!$A$1:$A$20000,0),MATCH("Keyword Difficulty*",'Semrush Data'!$A$1:$Z$1,0)),"")</f>
        <v/>
      </c>
      <c r="I2555" s="29" t="str">
        <f aca="false">IFERROR(INDEX('Semrush Data'!$A$1:$Z$20000,MATCH(A2555,'Semrush Data'!$A$1:$A$20000,0),MATCH("CPC*",'Semrush Data'!$A$1:$Z$1,0)),"")</f>
        <v/>
      </c>
      <c r="J2555" s="6" t="str">
        <f aca="false">IFERROR(INDEX('Semrush Data'!$A$1:$Z$20000,MATCH(A2555,'Semrush Data'!$A$1:$A$20000,0),MATCH("Intent",'Semrush Data'!$A$1:$Z$1,0)),"")</f>
        <v/>
      </c>
    </row>
    <row r="2556" customFormat="false" ht="15" hidden="false" customHeight="true" outlineLevel="0" collapsed="false">
      <c r="A2556" s="6" t="s">
        <v>7251</v>
      </c>
      <c r="B2556" s="6" t="s">
        <v>239</v>
      </c>
      <c r="C2556" s="6" t="n">
        <v>3</v>
      </c>
      <c r="D2556" s="6" t="n">
        <v>26</v>
      </c>
      <c r="E2556" s="6" t="n">
        <v>1</v>
      </c>
      <c r="F2556" s="6" t="s">
        <v>3720</v>
      </c>
      <c r="G2556" s="28" t="str">
        <f aca="false">IFERROR(INDEX('Semrush Data'!$A$1:$Z$20000,MATCH(A2556,'Semrush Data'!$A$1:$A$20000,0),MATCH("Volume",'Semrush Data'!$A$1:$Z$1,0)),"")</f>
        <v/>
      </c>
      <c r="H2556" s="6" t="str">
        <f aca="false">IFERROR(INDEX('Semrush Data'!$A$1:$Z$20000,MATCH(A2556,'Semrush Data'!$A$1:$A$20000,0),MATCH("Keyword Difficulty*",'Semrush Data'!$A$1:$Z$1,0)),"")</f>
        <v/>
      </c>
      <c r="I2556" s="29" t="str">
        <f aca="false">IFERROR(INDEX('Semrush Data'!$A$1:$Z$20000,MATCH(A2556,'Semrush Data'!$A$1:$A$20000,0),MATCH("CPC*",'Semrush Data'!$A$1:$Z$1,0)),"")</f>
        <v/>
      </c>
      <c r="J2556" s="6" t="str">
        <f aca="false">IFERROR(INDEX('Semrush Data'!$A$1:$Z$20000,MATCH(A2556,'Semrush Data'!$A$1:$A$20000,0),MATCH("Intent",'Semrush Data'!$A$1:$Z$1,0)),"")</f>
        <v/>
      </c>
    </row>
    <row r="2557" customFormat="false" ht="15" hidden="false" customHeight="true" outlineLevel="0" collapsed="false">
      <c r="A2557" s="6" t="s">
        <v>7252</v>
      </c>
      <c r="B2557" s="6" t="s">
        <v>239</v>
      </c>
      <c r="C2557" s="6" t="n">
        <v>3</v>
      </c>
      <c r="D2557" s="6" t="n">
        <v>26</v>
      </c>
      <c r="E2557" s="6" t="n">
        <v>1</v>
      </c>
      <c r="F2557" s="6" t="s">
        <v>3666</v>
      </c>
      <c r="G2557" s="28" t="str">
        <f aca="false">IFERROR(INDEX('Semrush Data'!$A$1:$Z$20000,MATCH(A2557,'Semrush Data'!$A$1:$A$20000,0),MATCH("Volume",'Semrush Data'!$A$1:$Z$1,0)),"")</f>
        <v/>
      </c>
      <c r="H2557" s="6" t="str">
        <f aca="false">IFERROR(INDEX('Semrush Data'!$A$1:$Z$20000,MATCH(A2557,'Semrush Data'!$A$1:$A$20000,0),MATCH("Keyword Difficulty*",'Semrush Data'!$A$1:$Z$1,0)),"")</f>
        <v/>
      </c>
      <c r="I2557" s="29" t="str">
        <f aca="false">IFERROR(INDEX('Semrush Data'!$A$1:$Z$20000,MATCH(A2557,'Semrush Data'!$A$1:$A$20000,0),MATCH("CPC*",'Semrush Data'!$A$1:$Z$1,0)),"")</f>
        <v/>
      </c>
      <c r="J2557" s="6" t="str">
        <f aca="false">IFERROR(INDEX('Semrush Data'!$A$1:$Z$20000,MATCH(A2557,'Semrush Data'!$A$1:$A$20000,0),MATCH("Intent",'Semrush Data'!$A$1:$Z$1,0)),"")</f>
        <v/>
      </c>
    </row>
    <row r="2558" customFormat="false" ht="15" hidden="false" customHeight="true" outlineLevel="0" collapsed="false">
      <c r="A2558" s="6" t="s">
        <v>7253</v>
      </c>
      <c r="B2558" s="6" t="s">
        <v>239</v>
      </c>
      <c r="C2558" s="6" t="n">
        <v>3</v>
      </c>
      <c r="D2558" s="6" t="n">
        <v>26</v>
      </c>
      <c r="E2558" s="6" t="n">
        <v>1</v>
      </c>
      <c r="F2558" s="6" t="s">
        <v>3666</v>
      </c>
      <c r="G2558" s="28" t="str">
        <f aca="false">IFERROR(INDEX('Semrush Data'!$A$1:$Z$20000,MATCH(A2558,'Semrush Data'!$A$1:$A$20000,0),MATCH("Volume",'Semrush Data'!$A$1:$Z$1,0)),"")</f>
        <v/>
      </c>
      <c r="H2558" s="6" t="str">
        <f aca="false">IFERROR(INDEX('Semrush Data'!$A$1:$Z$20000,MATCH(A2558,'Semrush Data'!$A$1:$A$20000,0),MATCH("Keyword Difficulty*",'Semrush Data'!$A$1:$Z$1,0)),"")</f>
        <v/>
      </c>
      <c r="I2558" s="29" t="str">
        <f aca="false">IFERROR(INDEX('Semrush Data'!$A$1:$Z$20000,MATCH(A2558,'Semrush Data'!$A$1:$A$20000,0),MATCH("CPC*",'Semrush Data'!$A$1:$Z$1,0)),"")</f>
        <v/>
      </c>
      <c r="J2558" s="6" t="str">
        <f aca="false">IFERROR(INDEX('Semrush Data'!$A$1:$Z$20000,MATCH(A2558,'Semrush Data'!$A$1:$A$20000,0),MATCH("Intent",'Semrush Data'!$A$1:$Z$1,0)),"")</f>
        <v/>
      </c>
    </row>
    <row r="2559" customFormat="false" ht="15" hidden="false" customHeight="true" outlineLevel="0" collapsed="false">
      <c r="A2559" s="6" t="s">
        <v>7254</v>
      </c>
      <c r="B2559" s="6" t="s">
        <v>239</v>
      </c>
      <c r="C2559" s="6" t="n">
        <v>3</v>
      </c>
      <c r="D2559" s="6" t="n">
        <v>26</v>
      </c>
      <c r="E2559" s="6" t="n">
        <v>1</v>
      </c>
      <c r="F2559" s="6" t="s">
        <v>3655</v>
      </c>
      <c r="G2559" s="28" t="str">
        <f aca="false">IFERROR(INDEX('Semrush Data'!$A$1:$Z$20000,MATCH(A2559,'Semrush Data'!$A$1:$A$20000,0),MATCH("Volume",'Semrush Data'!$A$1:$Z$1,0)),"")</f>
        <v/>
      </c>
      <c r="H2559" s="6" t="str">
        <f aca="false">IFERROR(INDEX('Semrush Data'!$A$1:$Z$20000,MATCH(A2559,'Semrush Data'!$A$1:$A$20000,0),MATCH("Keyword Difficulty*",'Semrush Data'!$A$1:$Z$1,0)),"")</f>
        <v/>
      </c>
      <c r="I2559" s="29" t="str">
        <f aca="false">IFERROR(INDEX('Semrush Data'!$A$1:$Z$20000,MATCH(A2559,'Semrush Data'!$A$1:$A$20000,0),MATCH("CPC*",'Semrush Data'!$A$1:$Z$1,0)),"")</f>
        <v/>
      </c>
      <c r="J2559" s="6" t="str">
        <f aca="false">IFERROR(INDEX('Semrush Data'!$A$1:$Z$20000,MATCH(A2559,'Semrush Data'!$A$1:$A$20000,0),MATCH("Intent",'Semrush Data'!$A$1:$Z$1,0)),"")</f>
        <v/>
      </c>
    </row>
    <row r="2560" customFormat="false" ht="15" hidden="false" customHeight="true" outlineLevel="0" collapsed="false">
      <c r="A2560" s="6" t="s">
        <v>7255</v>
      </c>
      <c r="B2560" s="6" t="s">
        <v>239</v>
      </c>
      <c r="C2560" s="6" t="n">
        <v>3</v>
      </c>
      <c r="D2560" s="6" t="n">
        <v>26</v>
      </c>
      <c r="E2560" s="6" t="n">
        <v>1</v>
      </c>
      <c r="F2560" s="6" t="s">
        <v>3655</v>
      </c>
      <c r="G2560" s="28" t="str">
        <f aca="false">IFERROR(INDEX('Semrush Data'!$A$1:$Z$20000,MATCH(A2560,'Semrush Data'!$A$1:$A$20000,0),MATCH("Volume",'Semrush Data'!$A$1:$Z$1,0)),"")</f>
        <v/>
      </c>
      <c r="H2560" s="6" t="str">
        <f aca="false">IFERROR(INDEX('Semrush Data'!$A$1:$Z$20000,MATCH(A2560,'Semrush Data'!$A$1:$A$20000,0),MATCH("Keyword Difficulty*",'Semrush Data'!$A$1:$Z$1,0)),"")</f>
        <v/>
      </c>
      <c r="I2560" s="29" t="str">
        <f aca="false">IFERROR(INDEX('Semrush Data'!$A$1:$Z$20000,MATCH(A2560,'Semrush Data'!$A$1:$A$20000,0),MATCH("CPC*",'Semrush Data'!$A$1:$Z$1,0)),"")</f>
        <v/>
      </c>
      <c r="J2560" s="6" t="str">
        <f aca="false">IFERROR(INDEX('Semrush Data'!$A$1:$Z$20000,MATCH(A2560,'Semrush Data'!$A$1:$A$20000,0),MATCH("Intent",'Semrush Data'!$A$1:$Z$1,0)),"")</f>
        <v/>
      </c>
    </row>
    <row r="2561" customFormat="false" ht="15" hidden="false" customHeight="true" outlineLevel="0" collapsed="false">
      <c r="A2561" s="6" t="s">
        <v>7256</v>
      </c>
      <c r="B2561" s="6" t="s">
        <v>239</v>
      </c>
      <c r="C2561" s="6" t="n">
        <v>3</v>
      </c>
      <c r="D2561" s="6" t="n">
        <v>26</v>
      </c>
      <c r="E2561" s="6" t="n">
        <v>1</v>
      </c>
      <c r="F2561" s="6" t="s">
        <v>3655</v>
      </c>
      <c r="G2561" s="28" t="str">
        <f aca="false">IFERROR(INDEX('Semrush Data'!$A$1:$Z$20000,MATCH(A2561,'Semrush Data'!$A$1:$A$20000,0),MATCH("Volume",'Semrush Data'!$A$1:$Z$1,0)),"")</f>
        <v/>
      </c>
      <c r="H2561" s="6" t="str">
        <f aca="false">IFERROR(INDEX('Semrush Data'!$A$1:$Z$20000,MATCH(A2561,'Semrush Data'!$A$1:$A$20000,0),MATCH("Keyword Difficulty*",'Semrush Data'!$A$1:$Z$1,0)),"")</f>
        <v/>
      </c>
      <c r="I2561" s="29" t="str">
        <f aca="false">IFERROR(INDEX('Semrush Data'!$A$1:$Z$20000,MATCH(A2561,'Semrush Data'!$A$1:$A$20000,0),MATCH("CPC*",'Semrush Data'!$A$1:$Z$1,0)),"")</f>
        <v/>
      </c>
      <c r="J2561" s="6" t="str">
        <f aca="false">IFERROR(INDEX('Semrush Data'!$A$1:$Z$20000,MATCH(A2561,'Semrush Data'!$A$1:$A$20000,0),MATCH("Intent",'Semrush Data'!$A$1:$Z$1,0)),"")</f>
        <v/>
      </c>
    </row>
    <row r="2562" customFormat="false" ht="15" hidden="false" customHeight="true" outlineLevel="0" collapsed="false">
      <c r="A2562" s="6" t="s">
        <v>7257</v>
      </c>
      <c r="B2562" s="6" t="s">
        <v>239</v>
      </c>
      <c r="C2562" s="6" t="n">
        <v>3</v>
      </c>
      <c r="D2562" s="6" t="n">
        <v>26</v>
      </c>
      <c r="E2562" s="6" t="n">
        <v>1</v>
      </c>
      <c r="F2562" s="6" t="s">
        <v>3655</v>
      </c>
      <c r="G2562" s="28" t="str">
        <f aca="false">IFERROR(INDEX('Semrush Data'!$A$1:$Z$20000,MATCH(A2562,'Semrush Data'!$A$1:$A$20000,0),MATCH("Volume",'Semrush Data'!$A$1:$Z$1,0)),"")</f>
        <v/>
      </c>
      <c r="H2562" s="6" t="str">
        <f aca="false">IFERROR(INDEX('Semrush Data'!$A$1:$Z$20000,MATCH(A2562,'Semrush Data'!$A$1:$A$20000,0),MATCH("Keyword Difficulty*",'Semrush Data'!$A$1:$Z$1,0)),"")</f>
        <v/>
      </c>
      <c r="I2562" s="29" t="str">
        <f aca="false">IFERROR(INDEX('Semrush Data'!$A$1:$Z$20000,MATCH(A2562,'Semrush Data'!$A$1:$A$20000,0),MATCH("CPC*",'Semrush Data'!$A$1:$Z$1,0)),"")</f>
        <v/>
      </c>
      <c r="J2562" s="6" t="str">
        <f aca="false">IFERROR(INDEX('Semrush Data'!$A$1:$Z$20000,MATCH(A2562,'Semrush Data'!$A$1:$A$20000,0),MATCH("Intent",'Semrush Data'!$A$1:$Z$1,0)),"")</f>
        <v/>
      </c>
    </row>
    <row r="2563" customFormat="false" ht="15" hidden="false" customHeight="true" outlineLevel="0" collapsed="false">
      <c r="A2563" s="6" t="s">
        <v>7258</v>
      </c>
      <c r="B2563" s="6" t="s">
        <v>239</v>
      </c>
      <c r="C2563" s="6" t="n">
        <v>3</v>
      </c>
      <c r="D2563" s="6" t="n">
        <v>26</v>
      </c>
      <c r="E2563" s="6" t="n">
        <v>1</v>
      </c>
      <c r="F2563" s="6" t="s">
        <v>3655</v>
      </c>
      <c r="G2563" s="28" t="str">
        <f aca="false">IFERROR(INDEX('Semrush Data'!$A$1:$Z$20000,MATCH(A2563,'Semrush Data'!$A$1:$A$20000,0),MATCH("Volume",'Semrush Data'!$A$1:$Z$1,0)),"")</f>
        <v/>
      </c>
      <c r="H2563" s="6" t="str">
        <f aca="false">IFERROR(INDEX('Semrush Data'!$A$1:$Z$20000,MATCH(A2563,'Semrush Data'!$A$1:$A$20000,0),MATCH("Keyword Difficulty*",'Semrush Data'!$A$1:$Z$1,0)),"")</f>
        <v/>
      </c>
      <c r="I2563" s="29" t="str">
        <f aca="false">IFERROR(INDEX('Semrush Data'!$A$1:$Z$20000,MATCH(A2563,'Semrush Data'!$A$1:$A$20000,0),MATCH("CPC*",'Semrush Data'!$A$1:$Z$1,0)),"")</f>
        <v/>
      </c>
      <c r="J2563" s="6" t="str">
        <f aca="false">IFERROR(INDEX('Semrush Data'!$A$1:$Z$20000,MATCH(A2563,'Semrush Data'!$A$1:$A$20000,0),MATCH("Intent",'Semrush Data'!$A$1:$Z$1,0)),"")</f>
        <v/>
      </c>
    </row>
    <row r="2564" customFormat="false" ht="15" hidden="false" customHeight="true" outlineLevel="0" collapsed="false">
      <c r="A2564" s="6" t="s">
        <v>7259</v>
      </c>
      <c r="B2564" s="6" t="s">
        <v>239</v>
      </c>
      <c r="C2564" s="6" t="n">
        <v>3</v>
      </c>
      <c r="D2564" s="6" t="n">
        <v>26</v>
      </c>
      <c r="E2564" s="6" t="n">
        <v>2</v>
      </c>
      <c r="F2564" s="6" t="s">
        <v>6851</v>
      </c>
      <c r="G2564" s="28" t="str">
        <f aca="false">IFERROR(INDEX('Semrush Data'!$A$1:$Z$20000,MATCH(A2564,'Semrush Data'!$A$1:$A$20000,0),MATCH("Volume",'Semrush Data'!$A$1:$Z$1,0)),"")</f>
        <v/>
      </c>
      <c r="H2564" s="6" t="str">
        <f aca="false">IFERROR(INDEX('Semrush Data'!$A$1:$Z$20000,MATCH(A2564,'Semrush Data'!$A$1:$A$20000,0),MATCH("Keyword Difficulty*",'Semrush Data'!$A$1:$Z$1,0)),"")</f>
        <v/>
      </c>
      <c r="I2564" s="29" t="str">
        <f aca="false">IFERROR(INDEX('Semrush Data'!$A$1:$Z$20000,MATCH(A2564,'Semrush Data'!$A$1:$A$20000,0),MATCH("CPC*",'Semrush Data'!$A$1:$Z$1,0)),"")</f>
        <v/>
      </c>
      <c r="J2564" s="6" t="str">
        <f aca="false">IFERROR(INDEX('Semrush Data'!$A$1:$Z$20000,MATCH(A2564,'Semrush Data'!$A$1:$A$20000,0),MATCH("Intent",'Semrush Data'!$A$1:$Z$1,0)),"")</f>
        <v/>
      </c>
    </row>
    <row r="2565" customFormat="false" ht="15" hidden="false" customHeight="true" outlineLevel="0" collapsed="false">
      <c r="A2565" s="6" t="s">
        <v>7260</v>
      </c>
      <c r="B2565" s="6" t="s">
        <v>239</v>
      </c>
      <c r="C2565" s="6" t="n">
        <v>3</v>
      </c>
      <c r="D2565" s="6" t="n">
        <v>26</v>
      </c>
      <c r="E2565" s="6" t="n">
        <v>1</v>
      </c>
      <c r="F2565" s="6" t="s">
        <v>3699</v>
      </c>
      <c r="G2565" s="28" t="str">
        <f aca="false">IFERROR(INDEX('Semrush Data'!$A$1:$Z$20000,MATCH(A2565,'Semrush Data'!$A$1:$A$20000,0),MATCH("Volume",'Semrush Data'!$A$1:$Z$1,0)),"")</f>
        <v/>
      </c>
      <c r="H2565" s="6" t="str">
        <f aca="false">IFERROR(INDEX('Semrush Data'!$A$1:$Z$20000,MATCH(A2565,'Semrush Data'!$A$1:$A$20000,0),MATCH("Keyword Difficulty*",'Semrush Data'!$A$1:$Z$1,0)),"")</f>
        <v/>
      </c>
      <c r="I2565" s="29" t="str">
        <f aca="false">IFERROR(INDEX('Semrush Data'!$A$1:$Z$20000,MATCH(A2565,'Semrush Data'!$A$1:$A$20000,0),MATCH("CPC*",'Semrush Data'!$A$1:$Z$1,0)),"")</f>
        <v/>
      </c>
      <c r="J2565" s="6" t="str">
        <f aca="false">IFERROR(INDEX('Semrush Data'!$A$1:$Z$20000,MATCH(A2565,'Semrush Data'!$A$1:$A$20000,0),MATCH("Intent",'Semrush Data'!$A$1:$Z$1,0)),"")</f>
        <v/>
      </c>
    </row>
    <row r="2566" customFormat="false" ht="15" hidden="false" customHeight="true" outlineLevel="0" collapsed="false">
      <c r="A2566" s="6" t="s">
        <v>7261</v>
      </c>
      <c r="B2566" s="6" t="s">
        <v>239</v>
      </c>
      <c r="C2566" s="6" t="n">
        <v>3</v>
      </c>
      <c r="D2566" s="6" t="n">
        <v>26</v>
      </c>
      <c r="E2566" s="6" t="n">
        <v>2</v>
      </c>
      <c r="F2566" s="6" t="s">
        <v>6850</v>
      </c>
      <c r="G2566" s="28" t="str">
        <f aca="false">IFERROR(INDEX('Semrush Data'!$A$1:$Z$20000,MATCH(A2566,'Semrush Data'!$A$1:$A$20000,0),MATCH("Volume",'Semrush Data'!$A$1:$Z$1,0)),"")</f>
        <v/>
      </c>
      <c r="H2566" s="6" t="str">
        <f aca="false">IFERROR(INDEX('Semrush Data'!$A$1:$Z$20000,MATCH(A2566,'Semrush Data'!$A$1:$A$20000,0),MATCH("Keyword Difficulty*",'Semrush Data'!$A$1:$Z$1,0)),"")</f>
        <v/>
      </c>
      <c r="I2566" s="29" t="str">
        <f aca="false">IFERROR(INDEX('Semrush Data'!$A$1:$Z$20000,MATCH(A2566,'Semrush Data'!$A$1:$A$20000,0),MATCH("CPC*",'Semrush Data'!$A$1:$Z$1,0)),"")</f>
        <v/>
      </c>
      <c r="J2566" s="6" t="str">
        <f aca="false">IFERROR(INDEX('Semrush Data'!$A$1:$Z$20000,MATCH(A2566,'Semrush Data'!$A$1:$A$20000,0),MATCH("Intent",'Semrush Data'!$A$1:$Z$1,0)),"")</f>
        <v/>
      </c>
    </row>
    <row r="2567" customFormat="false" ht="15" hidden="false" customHeight="true" outlineLevel="0" collapsed="false">
      <c r="A2567" s="6" t="s">
        <v>7262</v>
      </c>
      <c r="B2567" s="6" t="s">
        <v>239</v>
      </c>
      <c r="C2567" s="6" t="n">
        <v>3</v>
      </c>
      <c r="D2567" s="6" t="n">
        <v>26</v>
      </c>
      <c r="E2567" s="6" t="n">
        <v>2</v>
      </c>
      <c r="F2567" s="6" t="s">
        <v>6850</v>
      </c>
      <c r="G2567" s="28" t="str">
        <f aca="false">IFERROR(INDEX('Semrush Data'!$A$1:$Z$20000,MATCH(A2567,'Semrush Data'!$A$1:$A$20000,0),MATCH("Volume",'Semrush Data'!$A$1:$Z$1,0)),"")</f>
        <v/>
      </c>
      <c r="H2567" s="6" t="str">
        <f aca="false">IFERROR(INDEX('Semrush Data'!$A$1:$Z$20000,MATCH(A2567,'Semrush Data'!$A$1:$A$20000,0),MATCH("Keyword Difficulty*",'Semrush Data'!$A$1:$Z$1,0)),"")</f>
        <v/>
      </c>
      <c r="I2567" s="29" t="str">
        <f aca="false">IFERROR(INDEX('Semrush Data'!$A$1:$Z$20000,MATCH(A2567,'Semrush Data'!$A$1:$A$20000,0),MATCH("CPC*",'Semrush Data'!$A$1:$Z$1,0)),"")</f>
        <v/>
      </c>
      <c r="J2567" s="6" t="str">
        <f aca="false">IFERROR(INDEX('Semrush Data'!$A$1:$Z$20000,MATCH(A2567,'Semrush Data'!$A$1:$A$20000,0),MATCH("Intent",'Semrush Data'!$A$1:$Z$1,0)),"")</f>
        <v/>
      </c>
    </row>
    <row r="2568" customFormat="false" ht="15" hidden="false" customHeight="true" outlineLevel="0" collapsed="false">
      <c r="A2568" s="6" t="s">
        <v>7263</v>
      </c>
      <c r="B2568" s="6" t="s">
        <v>239</v>
      </c>
      <c r="C2568" s="6" t="n">
        <v>3</v>
      </c>
      <c r="D2568" s="6" t="n">
        <v>26</v>
      </c>
      <c r="E2568" s="6" t="n">
        <v>1</v>
      </c>
      <c r="F2568" s="6" t="s">
        <v>3688</v>
      </c>
      <c r="G2568" s="28" t="str">
        <f aca="false">IFERROR(INDEX('Semrush Data'!$A$1:$Z$20000,MATCH(A2568,'Semrush Data'!$A$1:$A$20000,0),MATCH("Volume",'Semrush Data'!$A$1:$Z$1,0)),"")</f>
        <v/>
      </c>
      <c r="H2568" s="6" t="str">
        <f aca="false">IFERROR(INDEX('Semrush Data'!$A$1:$Z$20000,MATCH(A2568,'Semrush Data'!$A$1:$A$20000,0),MATCH("Keyword Difficulty*",'Semrush Data'!$A$1:$Z$1,0)),"")</f>
        <v/>
      </c>
      <c r="I2568" s="29" t="str">
        <f aca="false">IFERROR(INDEX('Semrush Data'!$A$1:$Z$20000,MATCH(A2568,'Semrush Data'!$A$1:$A$20000,0),MATCH("CPC*",'Semrush Data'!$A$1:$Z$1,0)),"")</f>
        <v/>
      </c>
      <c r="J2568" s="6" t="str">
        <f aca="false">IFERROR(INDEX('Semrush Data'!$A$1:$Z$20000,MATCH(A2568,'Semrush Data'!$A$1:$A$20000,0),MATCH("Intent",'Semrush Data'!$A$1:$Z$1,0)),"")</f>
        <v/>
      </c>
    </row>
    <row r="2569" customFormat="false" ht="15" hidden="false" customHeight="true" outlineLevel="0" collapsed="false">
      <c r="A2569" s="6" t="s">
        <v>7264</v>
      </c>
      <c r="B2569" s="6" t="s">
        <v>239</v>
      </c>
      <c r="C2569" s="6" t="n">
        <v>3</v>
      </c>
      <c r="D2569" s="6" t="n">
        <v>26</v>
      </c>
      <c r="E2569" s="6" t="n">
        <v>1</v>
      </c>
      <c r="F2569" s="6" t="s">
        <v>3688</v>
      </c>
      <c r="G2569" s="28" t="str">
        <f aca="false">IFERROR(INDEX('Semrush Data'!$A$1:$Z$20000,MATCH(A2569,'Semrush Data'!$A$1:$A$20000,0),MATCH("Volume",'Semrush Data'!$A$1:$Z$1,0)),"")</f>
        <v/>
      </c>
      <c r="H2569" s="6" t="str">
        <f aca="false">IFERROR(INDEX('Semrush Data'!$A$1:$Z$20000,MATCH(A2569,'Semrush Data'!$A$1:$A$20000,0),MATCH("Keyword Difficulty*",'Semrush Data'!$A$1:$Z$1,0)),"")</f>
        <v/>
      </c>
      <c r="I2569" s="29" t="str">
        <f aca="false">IFERROR(INDEX('Semrush Data'!$A$1:$Z$20000,MATCH(A2569,'Semrush Data'!$A$1:$A$20000,0),MATCH("CPC*",'Semrush Data'!$A$1:$Z$1,0)),"")</f>
        <v/>
      </c>
      <c r="J2569" s="6" t="str">
        <f aca="false">IFERROR(INDEX('Semrush Data'!$A$1:$Z$20000,MATCH(A2569,'Semrush Data'!$A$1:$A$20000,0),MATCH("Intent",'Semrush Data'!$A$1:$Z$1,0)),"")</f>
        <v/>
      </c>
    </row>
    <row r="2570" customFormat="false" ht="15" hidden="false" customHeight="true" outlineLevel="0" collapsed="false">
      <c r="A2570" s="6" t="s">
        <v>7265</v>
      </c>
      <c r="B2570" s="6" t="s">
        <v>239</v>
      </c>
      <c r="C2570" s="6" t="n">
        <v>3</v>
      </c>
      <c r="D2570" s="6" t="n">
        <v>26</v>
      </c>
      <c r="E2570" s="6" t="n">
        <v>1</v>
      </c>
      <c r="F2570" s="6" t="s">
        <v>3688</v>
      </c>
      <c r="G2570" s="28" t="str">
        <f aca="false">IFERROR(INDEX('Semrush Data'!$A$1:$Z$20000,MATCH(A2570,'Semrush Data'!$A$1:$A$20000,0),MATCH("Volume",'Semrush Data'!$A$1:$Z$1,0)),"")</f>
        <v/>
      </c>
      <c r="H2570" s="6" t="str">
        <f aca="false">IFERROR(INDEX('Semrush Data'!$A$1:$Z$20000,MATCH(A2570,'Semrush Data'!$A$1:$A$20000,0),MATCH("Keyword Difficulty*",'Semrush Data'!$A$1:$Z$1,0)),"")</f>
        <v/>
      </c>
      <c r="I2570" s="29" t="str">
        <f aca="false">IFERROR(INDEX('Semrush Data'!$A$1:$Z$20000,MATCH(A2570,'Semrush Data'!$A$1:$A$20000,0),MATCH("CPC*",'Semrush Data'!$A$1:$Z$1,0)),"")</f>
        <v/>
      </c>
      <c r="J2570" s="6" t="str">
        <f aca="false">IFERROR(INDEX('Semrush Data'!$A$1:$Z$20000,MATCH(A2570,'Semrush Data'!$A$1:$A$20000,0),MATCH("Intent",'Semrush Data'!$A$1:$Z$1,0)),"")</f>
        <v/>
      </c>
    </row>
    <row r="2571" customFormat="false" ht="15" hidden="false" customHeight="true" outlineLevel="0" collapsed="false">
      <c r="A2571" s="6" t="s">
        <v>7266</v>
      </c>
      <c r="B2571" s="6" t="s">
        <v>239</v>
      </c>
      <c r="C2571" s="6" t="n">
        <v>3</v>
      </c>
      <c r="D2571" s="6" t="n">
        <v>26</v>
      </c>
      <c r="E2571" s="6" t="n">
        <v>1</v>
      </c>
      <c r="F2571" s="6" t="s">
        <v>3688</v>
      </c>
      <c r="G2571" s="28" t="str">
        <f aca="false">IFERROR(INDEX('Semrush Data'!$A$1:$Z$20000,MATCH(A2571,'Semrush Data'!$A$1:$A$20000,0),MATCH("Volume",'Semrush Data'!$A$1:$Z$1,0)),"")</f>
        <v/>
      </c>
      <c r="H2571" s="6" t="str">
        <f aca="false">IFERROR(INDEX('Semrush Data'!$A$1:$Z$20000,MATCH(A2571,'Semrush Data'!$A$1:$A$20000,0),MATCH("Keyword Difficulty*",'Semrush Data'!$A$1:$Z$1,0)),"")</f>
        <v/>
      </c>
      <c r="I2571" s="29" t="str">
        <f aca="false">IFERROR(INDEX('Semrush Data'!$A$1:$Z$20000,MATCH(A2571,'Semrush Data'!$A$1:$A$20000,0),MATCH("CPC*",'Semrush Data'!$A$1:$Z$1,0)),"")</f>
        <v/>
      </c>
      <c r="J2571" s="6" t="str">
        <f aca="false">IFERROR(INDEX('Semrush Data'!$A$1:$Z$20000,MATCH(A2571,'Semrush Data'!$A$1:$A$20000,0),MATCH("Intent",'Semrush Data'!$A$1:$Z$1,0)),"")</f>
        <v/>
      </c>
    </row>
    <row r="2572" customFormat="false" ht="15" hidden="false" customHeight="true" outlineLevel="0" collapsed="false">
      <c r="A2572" s="6" t="s">
        <v>7267</v>
      </c>
      <c r="B2572" s="6" t="s">
        <v>239</v>
      </c>
      <c r="C2572" s="6" t="n">
        <v>3</v>
      </c>
      <c r="D2572" s="6" t="n">
        <v>26</v>
      </c>
      <c r="E2572" s="6" t="n">
        <v>1</v>
      </c>
      <c r="F2572" s="6" t="s">
        <v>3699</v>
      </c>
      <c r="G2572" s="28" t="str">
        <f aca="false">IFERROR(INDEX('Semrush Data'!$A$1:$Z$20000,MATCH(A2572,'Semrush Data'!$A$1:$A$20000,0),MATCH("Volume",'Semrush Data'!$A$1:$Z$1,0)),"")</f>
        <v/>
      </c>
      <c r="H2572" s="6" t="str">
        <f aca="false">IFERROR(INDEX('Semrush Data'!$A$1:$Z$20000,MATCH(A2572,'Semrush Data'!$A$1:$A$20000,0),MATCH("Keyword Difficulty*",'Semrush Data'!$A$1:$Z$1,0)),"")</f>
        <v/>
      </c>
      <c r="I2572" s="29" t="str">
        <f aca="false">IFERROR(INDEX('Semrush Data'!$A$1:$Z$20000,MATCH(A2572,'Semrush Data'!$A$1:$A$20000,0),MATCH("CPC*",'Semrush Data'!$A$1:$Z$1,0)),"")</f>
        <v/>
      </c>
      <c r="J2572" s="6" t="str">
        <f aca="false">IFERROR(INDEX('Semrush Data'!$A$1:$Z$20000,MATCH(A2572,'Semrush Data'!$A$1:$A$20000,0),MATCH("Intent",'Semrush Data'!$A$1:$Z$1,0)),"")</f>
        <v/>
      </c>
    </row>
    <row r="2573" customFormat="false" ht="15" hidden="false" customHeight="true" outlineLevel="0" collapsed="false">
      <c r="A2573" s="6" t="s">
        <v>7268</v>
      </c>
      <c r="B2573" s="6" t="s">
        <v>239</v>
      </c>
      <c r="C2573" s="6" t="n">
        <v>3</v>
      </c>
      <c r="D2573" s="6" t="n">
        <v>26</v>
      </c>
      <c r="E2573" s="6" t="n">
        <v>1</v>
      </c>
      <c r="F2573" s="6" t="s">
        <v>3699</v>
      </c>
      <c r="G2573" s="28" t="str">
        <f aca="false">IFERROR(INDEX('Semrush Data'!$A$1:$Z$20000,MATCH(A2573,'Semrush Data'!$A$1:$A$20000,0),MATCH("Volume",'Semrush Data'!$A$1:$Z$1,0)),"")</f>
        <v/>
      </c>
      <c r="H2573" s="6" t="str">
        <f aca="false">IFERROR(INDEX('Semrush Data'!$A$1:$Z$20000,MATCH(A2573,'Semrush Data'!$A$1:$A$20000,0),MATCH("Keyword Difficulty*",'Semrush Data'!$A$1:$Z$1,0)),"")</f>
        <v/>
      </c>
      <c r="I2573" s="29" t="str">
        <f aca="false">IFERROR(INDEX('Semrush Data'!$A$1:$Z$20000,MATCH(A2573,'Semrush Data'!$A$1:$A$20000,0),MATCH("CPC*",'Semrush Data'!$A$1:$Z$1,0)),"")</f>
        <v/>
      </c>
      <c r="J2573" s="6" t="str">
        <f aca="false">IFERROR(INDEX('Semrush Data'!$A$1:$Z$20000,MATCH(A2573,'Semrush Data'!$A$1:$A$20000,0),MATCH("Intent",'Semrush Data'!$A$1:$Z$1,0)),"")</f>
        <v/>
      </c>
    </row>
    <row r="2574" customFormat="false" ht="15" hidden="false" customHeight="true" outlineLevel="0" collapsed="false">
      <c r="A2574" s="6" t="s">
        <v>7269</v>
      </c>
      <c r="B2574" s="6" t="s">
        <v>239</v>
      </c>
      <c r="C2574" s="6" t="n">
        <v>3</v>
      </c>
      <c r="D2574" s="6" t="n">
        <v>26</v>
      </c>
      <c r="E2574" s="6" t="n">
        <v>2</v>
      </c>
      <c r="F2574" s="6" t="s">
        <v>6850</v>
      </c>
      <c r="G2574" s="28" t="str">
        <f aca="false">IFERROR(INDEX('Semrush Data'!$A$1:$Z$20000,MATCH(A2574,'Semrush Data'!$A$1:$A$20000,0),MATCH("Volume",'Semrush Data'!$A$1:$Z$1,0)),"")</f>
        <v/>
      </c>
      <c r="H2574" s="6" t="str">
        <f aca="false">IFERROR(INDEX('Semrush Data'!$A$1:$Z$20000,MATCH(A2574,'Semrush Data'!$A$1:$A$20000,0),MATCH("Keyword Difficulty*",'Semrush Data'!$A$1:$Z$1,0)),"")</f>
        <v/>
      </c>
      <c r="I2574" s="29" t="str">
        <f aca="false">IFERROR(INDEX('Semrush Data'!$A$1:$Z$20000,MATCH(A2574,'Semrush Data'!$A$1:$A$20000,0),MATCH("CPC*",'Semrush Data'!$A$1:$Z$1,0)),"")</f>
        <v/>
      </c>
      <c r="J2574" s="6" t="str">
        <f aca="false">IFERROR(INDEX('Semrush Data'!$A$1:$Z$20000,MATCH(A2574,'Semrush Data'!$A$1:$A$20000,0),MATCH("Intent",'Semrush Data'!$A$1:$Z$1,0)),"")</f>
        <v/>
      </c>
    </row>
    <row r="2575" customFormat="false" ht="15" hidden="false" customHeight="true" outlineLevel="0" collapsed="false">
      <c r="A2575" s="6" t="s">
        <v>7270</v>
      </c>
      <c r="B2575" s="6" t="s">
        <v>239</v>
      </c>
      <c r="C2575" s="6" t="n">
        <v>3</v>
      </c>
      <c r="D2575" s="6" t="n">
        <v>26</v>
      </c>
      <c r="E2575" s="6" t="n">
        <v>2</v>
      </c>
      <c r="F2575" s="6" t="s">
        <v>6850</v>
      </c>
      <c r="G2575" s="28" t="str">
        <f aca="false">IFERROR(INDEX('Semrush Data'!$A$1:$Z$20000,MATCH(A2575,'Semrush Data'!$A$1:$A$20000,0),MATCH("Volume",'Semrush Data'!$A$1:$Z$1,0)),"")</f>
        <v/>
      </c>
      <c r="H2575" s="6" t="str">
        <f aca="false">IFERROR(INDEX('Semrush Data'!$A$1:$Z$20000,MATCH(A2575,'Semrush Data'!$A$1:$A$20000,0),MATCH("Keyword Difficulty*",'Semrush Data'!$A$1:$Z$1,0)),"")</f>
        <v/>
      </c>
      <c r="I2575" s="29" t="str">
        <f aca="false">IFERROR(INDEX('Semrush Data'!$A$1:$Z$20000,MATCH(A2575,'Semrush Data'!$A$1:$A$20000,0),MATCH("CPC*",'Semrush Data'!$A$1:$Z$1,0)),"")</f>
        <v/>
      </c>
      <c r="J2575" s="6" t="str">
        <f aca="false">IFERROR(INDEX('Semrush Data'!$A$1:$Z$20000,MATCH(A2575,'Semrush Data'!$A$1:$A$20000,0),MATCH("Intent",'Semrush Data'!$A$1:$Z$1,0)),"")</f>
        <v/>
      </c>
    </row>
    <row r="2576" customFormat="false" ht="15" hidden="false" customHeight="true" outlineLevel="0" collapsed="false">
      <c r="A2576" s="6" t="s">
        <v>7271</v>
      </c>
      <c r="B2576" s="6" t="s">
        <v>239</v>
      </c>
      <c r="C2576" s="6" t="n">
        <v>3</v>
      </c>
      <c r="D2576" s="6" t="n">
        <v>26</v>
      </c>
      <c r="E2576" s="6" t="n">
        <v>2</v>
      </c>
      <c r="F2576" s="6" t="s">
        <v>6850</v>
      </c>
      <c r="G2576" s="28" t="str">
        <f aca="false">IFERROR(INDEX('Semrush Data'!$A$1:$Z$20000,MATCH(A2576,'Semrush Data'!$A$1:$A$20000,0),MATCH("Volume",'Semrush Data'!$A$1:$Z$1,0)),"")</f>
        <v/>
      </c>
      <c r="H2576" s="6" t="str">
        <f aca="false">IFERROR(INDEX('Semrush Data'!$A$1:$Z$20000,MATCH(A2576,'Semrush Data'!$A$1:$A$20000,0),MATCH("Keyword Difficulty*",'Semrush Data'!$A$1:$Z$1,0)),"")</f>
        <v/>
      </c>
      <c r="I2576" s="29" t="str">
        <f aca="false">IFERROR(INDEX('Semrush Data'!$A$1:$Z$20000,MATCH(A2576,'Semrush Data'!$A$1:$A$20000,0),MATCH("CPC*",'Semrush Data'!$A$1:$Z$1,0)),"")</f>
        <v/>
      </c>
      <c r="J2576" s="6" t="str">
        <f aca="false">IFERROR(INDEX('Semrush Data'!$A$1:$Z$20000,MATCH(A2576,'Semrush Data'!$A$1:$A$20000,0),MATCH("Intent",'Semrush Data'!$A$1:$Z$1,0)),"")</f>
        <v/>
      </c>
    </row>
    <row r="2577" customFormat="false" ht="15" hidden="false" customHeight="true" outlineLevel="0" collapsed="false">
      <c r="A2577" s="6" t="s">
        <v>7272</v>
      </c>
      <c r="B2577" s="6" t="s">
        <v>239</v>
      </c>
      <c r="C2577" s="6" t="n">
        <v>3</v>
      </c>
      <c r="D2577" s="6" t="n">
        <v>26</v>
      </c>
      <c r="E2577" s="6" t="n">
        <v>2</v>
      </c>
      <c r="F2577" s="6" t="s">
        <v>6850</v>
      </c>
      <c r="G2577" s="28" t="str">
        <f aca="false">IFERROR(INDEX('Semrush Data'!$A$1:$Z$20000,MATCH(A2577,'Semrush Data'!$A$1:$A$20000,0),MATCH("Volume",'Semrush Data'!$A$1:$Z$1,0)),"")</f>
        <v/>
      </c>
      <c r="H2577" s="6" t="str">
        <f aca="false">IFERROR(INDEX('Semrush Data'!$A$1:$Z$20000,MATCH(A2577,'Semrush Data'!$A$1:$A$20000,0),MATCH("Keyword Difficulty*",'Semrush Data'!$A$1:$Z$1,0)),"")</f>
        <v/>
      </c>
      <c r="I2577" s="29" t="str">
        <f aca="false">IFERROR(INDEX('Semrush Data'!$A$1:$Z$20000,MATCH(A2577,'Semrush Data'!$A$1:$A$20000,0),MATCH("CPC*",'Semrush Data'!$A$1:$Z$1,0)),"")</f>
        <v/>
      </c>
      <c r="J2577" s="6" t="str">
        <f aca="false">IFERROR(INDEX('Semrush Data'!$A$1:$Z$20000,MATCH(A2577,'Semrush Data'!$A$1:$A$20000,0),MATCH("Intent",'Semrush Data'!$A$1:$Z$1,0)),"")</f>
        <v/>
      </c>
    </row>
    <row r="2578" customFormat="false" ht="15" hidden="false" customHeight="true" outlineLevel="0" collapsed="false">
      <c r="A2578" s="6" t="s">
        <v>7273</v>
      </c>
      <c r="B2578" s="6" t="s">
        <v>239</v>
      </c>
      <c r="C2578" s="6" t="n">
        <v>3</v>
      </c>
      <c r="D2578" s="6" t="n">
        <v>26</v>
      </c>
      <c r="E2578" s="6" t="n">
        <v>1</v>
      </c>
      <c r="F2578" s="6" t="s">
        <v>3720</v>
      </c>
      <c r="G2578" s="28" t="str">
        <f aca="false">IFERROR(INDEX('Semrush Data'!$A$1:$Z$20000,MATCH(A2578,'Semrush Data'!$A$1:$A$20000,0),MATCH("Volume",'Semrush Data'!$A$1:$Z$1,0)),"")</f>
        <v/>
      </c>
      <c r="H2578" s="6" t="str">
        <f aca="false">IFERROR(INDEX('Semrush Data'!$A$1:$Z$20000,MATCH(A2578,'Semrush Data'!$A$1:$A$20000,0),MATCH("Keyword Difficulty*",'Semrush Data'!$A$1:$Z$1,0)),"")</f>
        <v/>
      </c>
      <c r="I2578" s="29" t="str">
        <f aca="false">IFERROR(INDEX('Semrush Data'!$A$1:$Z$20000,MATCH(A2578,'Semrush Data'!$A$1:$A$20000,0),MATCH("CPC*",'Semrush Data'!$A$1:$Z$1,0)),"")</f>
        <v/>
      </c>
      <c r="J2578" s="6" t="str">
        <f aca="false">IFERROR(INDEX('Semrush Data'!$A$1:$Z$20000,MATCH(A2578,'Semrush Data'!$A$1:$A$20000,0),MATCH("Intent",'Semrush Data'!$A$1:$Z$1,0)),"")</f>
        <v/>
      </c>
    </row>
    <row r="2579" customFormat="false" ht="15" hidden="false" customHeight="true" outlineLevel="0" collapsed="false">
      <c r="A2579" s="6" t="s">
        <v>7274</v>
      </c>
      <c r="B2579" s="6" t="s">
        <v>239</v>
      </c>
      <c r="C2579" s="6" t="n">
        <v>3</v>
      </c>
      <c r="D2579" s="6" t="n">
        <v>26</v>
      </c>
      <c r="E2579" s="6" t="n">
        <v>1</v>
      </c>
      <c r="F2579" s="6" t="s">
        <v>3666</v>
      </c>
      <c r="G2579" s="28" t="str">
        <f aca="false">IFERROR(INDEX('Semrush Data'!$A$1:$Z$20000,MATCH(A2579,'Semrush Data'!$A$1:$A$20000,0),MATCH("Volume",'Semrush Data'!$A$1:$Z$1,0)),"")</f>
        <v/>
      </c>
      <c r="H2579" s="6" t="str">
        <f aca="false">IFERROR(INDEX('Semrush Data'!$A$1:$Z$20000,MATCH(A2579,'Semrush Data'!$A$1:$A$20000,0),MATCH("Keyword Difficulty*",'Semrush Data'!$A$1:$Z$1,0)),"")</f>
        <v/>
      </c>
      <c r="I2579" s="29" t="str">
        <f aca="false">IFERROR(INDEX('Semrush Data'!$A$1:$Z$20000,MATCH(A2579,'Semrush Data'!$A$1:$A$20000,0),MATCH("CPC*",'Semrush Data'!$A$1:$Z$1,0)),"")</f>
        <v/>
      </c>
      <c r="J2579" s="6" t="str">
        <f aca="false">IFERROR(INDEX('Semrush Data'!$A$1:$Z$20000,MATCH(A2579,'Semrush Data'!$A$1:$A$20000,0),MATCH("Intent",'Semrush Data'!$A$1:$Z$1,0)),"")</f>
        <v/>
      </c>
    </row>
    <row r="2580" customFormat="false" ht="15" hidden="false" customHeight="true" outlineLevel="0" collapsed="false">
      <c r="A2580" s="6" t="s">
        <v>7275</v>
      </c>
      <c r="B2580" s="6" t="s">
        <v>239</v>
      </c>
      <c r="C2580" s="6" t="n">
        <v>3</v>
      </c>
      <c r="D2580" s="6" t="n">
        <v>26</v>
      </c>
      <c r="E2580" s="6" t="n">
        <v>1</v>
      </c>
      <c r="F2580" s="6" t="s">
        <v>3666</v>
      </c>
      <c r="G2580" s="28" t="str">
        <f aca="false">IFERROR(INDEX('Semrush Data'!$A$1:$Z$20000,MATCH(A2580,'Semrush Data'!$A$1:$A$20000,0),MATCH("Volume",'Semrush Data'!$A$1:$Z$1,0)),"")</f>
        <v/>
      </c>
      <c r="H2580" s="6" t="str">
        <f aca="false">IFERROR(INDEX('Semrush Data'!$A$1:$Z$20000,MATCH(A2580,'Semrush Data'!$A$1:$A$20000,0),MATCH("Keyword Difficulty*",'Semrush Data'!$A$1:$Z$1,0)),"")</f>
        <v/>
      </c>
      <c r="I2580" s="29" t="str">
        <f aca="false">IFERROR(INDEX('Semrush Data'!$A$1:$Z$20000,MATCH(A2580,'Semrush Data'!$A$1:$A$20000,0),MATCH("CPC*",'Semrush Data'!$A$1:$Z$1,0)),"")</f>
        <v/>
      </c>
      <c r="J2580" s="6" t="str">
        <f aca="false">IFERROR(INDEX('Semrush Data'!$A$1:$Z$20000,MATCH(A2580,'Semrush Data'!$A$1:$A$20000,0),MATCH("Intent",'Semrush Data'!$A$1:$Z$1,0)),"")</f>
        <v/>
      </c>
    </row>
    <row r="2581" customFormat="false" ht="15" hidden="false" customHeight="true" outlineLevel="0" collapsed="false">
      <c r="A2581" s="6" t="s">
        <v>7276</v>
      </c>
      <c r="B2581" s="6" t="s">
        <v>239</v>
      </c>
      <c r="C2581" s="6" t="n">
        <v>3</v>
      </c>
      <c r="D2581" s="6" t="n">
        <v>26</v>
      </c>
      <c r="E2581" s="6" t="n">
        <v>1</v>
      </c>
      <c r="F2581" s="6" t="s">
        <v>3666</v>
      </c>
      <c r="G2581" s="28" t="str">
        <f aca="false">IFERROR(INDEX('Semrush Data'!$A$1:$Z$20000,MATCH(A2581,'Semrush Data'!$A$1:$A$20000,0),MATCH("Volume",'Semrush Data'!$A$1:$Z$1,0)),"")</f>
        <v/>
      </c>
      <c r="H2581" s="6" t="str">
        <f aca="false">IFERROR(INDEX('Semrush Data'!$A$1:$Z$20000,MATCH(A2581,'Semrush Data'!$A$1:$A$20000,0),MATCH("Keyword Difficulty*",'Semrush Data'!$A$1:$Z$1,0)),"")</f>
        <v/>
      </c>
      <c r="I2581" s="29" t="str">
        <f aca="false">IFERROR(INDEX('Semrush Data'!$A$1:$Z$20000,MATCH(A2581,'Semrush Data'!$A$1:$A$20000,0),MATCH("CPC*",'Semrush Data'!$A$1:$Z$1,0)),"")</f>
        <v/>
      </c>
      <c r="J2581" s="6" t="str">
        <f aca="false">IFERROR(INDEX('Semrush Data'!$A$1:$Z$20000,MATCH(A2581,'Semrush Data'!$A$1:$A$20000,0),MATCH("Intent",'Semrush Data'!$A$1:$Z$1,0)),"")</f>
        <v/>
      </c>
    </row>
    <row r="2582" customFormat="false" ht="15" hidden="false" customHeight="true" outlineLevel="0" collapsed="false">
      <c r="A2582" s="6" t="s">
        <v>7277</v>
      </c>
      <c r="B2582" s="6" t="s">
        <v>239</v>
      </c>
      <c r="C2582" s="6" t="n">
        <v>3</v>
      </c>
      <c r="D2582" s="6" t="n">
        <v>26</v>
      </c>
      <c r="E2582" s="6" t="n">
        <v>1</v>
      </c>
      <c r="F2582" s="6" t="s">
        <v>3720</v>
      </c>
      <c r="G2582" s="28" t="str">
        <f aca="false">IFERROR(INDEX('Semrush Data'!$A$1:$Z$20000,MATCH(A2582,'Semrush Data'!$A$1:$A$20000,0),MATCH("Volume",'Semrush Data'!$A$1:$Z$1,0)),"")</f>
        <v/>
      </c>
      <c r="H2582" s="6" t="str">
        <f aca="false">IFERROR(INDEX('Semrush Data'!$A$1:$Z$20000,MATCH(A2582,'Semrush Data'!$A$1:$A$20000,0),MATCH("Keyword Difficulty*",'Semrush Data'!$A$1:$Z$1,0)),"")</f>
        <v/>
      </c>
      <c r="I2582" s="29" t="str">
        <f aca="false">IFERROR(INDEX('Semrush Data'!$A$1:$Z$20000,MATCH(A2582,'Semrush Data'!$A$1:$A$20000,0),MATCH("CPC*",'Semrush Data'!$A$1:$Z$1,0)),"")</f>
        <v/>
      </c>
      <c r="J2582" s="6" t="str">
        <f aca="false">IFERROR(INDEX('Semrush Data'!$A$1:$Z$20000,MATCH(A2582,'Semrush Data'!$A$1:$A$20000,0),MATCH("Intent",'Semrush Data'!$A$1:$Z$1,0)),"")</f>
        <v/>
      </c>
    </row>
    <row r="2583" customFormat="false" ht="15" hidden="false" customHeight="true" outlineLevel="0" collapsed="false">
      <c r="A2583" s="6" t="s">
        <v>7278</v>
      </c>
      <c r="B2583" s="6" t="s">
        <v>239</v>
      </c>
      <c r="C2583" s="6" t="n">
        <v>3</v>
      </c>
      <c r="D2583" s="6" t="n">
        <v>26</v>
      </c>
      <c r="E2583" s="6" t="n">
        <v>1</v>
      </c>
      <c r="F2583" s="6" t="s">
        <v>3720</v>
      </c>
      <c r="G2583" s="28" t="str">
        <f aca="false">IFERROR(INDEX('Semrush Data'!$A$1:$Z$20000,MATCH(A2583,'Semrush Data'!$A$1:$A$20000,0),MATCH("Volume",'Semrush Data'!$A$1:$Z$1,0)),"")</f>
        <v/>
      </c>
      <c r="H2583" s="6" t="str">
        <f aca="false">IFERROR(INDEX('Semrush Data'!$A$1:$Z$20000,MATCH(A2583,'Semrush Data'!$A$1:$A$20000,0),MATCH("Keyword Difficulty*",'Semrush Data'!$A$1:$Z$1,0)),"")</f>
        <v/>
      </c>
      <c r="I2583" s="29" t="str">
        <f aca="false">IFERROR(INDEX('Semrush Data'!$A$1:$Z$20000,MATCH(A2583,'Semrush Data'!$A$1:$A$20000,0),MATCH("CPC*",'Semrush Data'!$A$1:$Z$1,0)),"")</f>
        <v/>
      </c>
      <c r="J2583" s="6" t="str">
        <f aca="false">IFERROR(INDEX('Semrush Data'!$A$1:$Z$20000,MATCH(A2583,'Semrush Data'!$A$1:$A$20000,0),MATCH("Intent",'Semrush Data'!$A$1:$Z$1,0)),"")</f>
        <v/>
      </c>
    </row>
    <row r="2584" customFormat="false" ht="15" hidden="false" customHeight="true" outlineLevel="0" collapsed="false">
      <c r="A2584" s="6" t="s">
        <v>7279</v>
      </c>
      <c r="B2584" s="6" t="s">
        <v>239</v>
      </c>
      <c r="C2584" s="6" t="n">
        <v>3</v>
      </c>
      <c r="D2584" s="6" t="n">
        <v>26</v>
      </c>
      <c r="E2584" s="6" t="n">
        <v>1</v>
      </c>
      <c r="F2584" s="6" t="s">
        <v>3720</v>
      </c>
      <c r="G2584" s="28" t="str">
        <f aca="false">IFERROR(INDEX('Semrush Data'!$A$1:$Z$20000,MATCH(A2584,'Semrush Data'!$A$1:$A$20000,0),MATCH("Volume",'Semrush Data'!$A$1:$Z$1,0)),"")</f>
        <v/>
      </c>
      <c r="H2584" s="6" t="str">
        <f aca="false">IFERROR(INDEX('Semrush Data'!$A$1:$Z$20000,MATCH(A2584,'Semrush Data'!$A$1:$A$20000,0),MATCH("Keyword Difficulty*",'Semrush Data'!$A$1:$Z$1,0)),"")</f>
        <v/>
      </c>
      <c r="I2584" s="29" t="str">
        <f aca="false">IFERROR(INDEX('Semrush Data'!$A$1:$Z$20000,MATCH(A2584,'Semrush Data'!$A$1:$A$20000,0),MATCH("CPC*",'Semrush Data'!$A$1:$Z$1,0)),"")</f>
        <v/>
      </c>
      <c r="J2584" s="6" t="str">
        <f aca="false">IFERROR(INDEX('Semrush Data'!$A$1:$Z$20000,MATCH(A2584,'Semrush Data'!$A$1:$A$20000,0),MATCH("Intent",'Semrush Data'!$A$1:$Z$1,0)),"")</f>
        <v/>
      </c>
    </row>
    <row r="2585" customFormat="false" ht="15" hidden="false" customHeight="true" outlineLevel="0" collapsed="false">
      <c r="A2585" s="6" t="s">
        <v>7280</v>
      </c>
      <c r="B2585" s="6" t="s">
        <v>239</v>
      </c>
      <c r="C2585" s="6" t="n">
        <v>3</v>
      </c>
      <c r="D2585" s="6" t="n">
        <v>26</v>
      </c>
      <c r="E2585" s="6" t="n">
        <v>1</v>
      </c>
      <c r="F2585" s="6" t="s">
        <v>3761</v>
      </c>
      <c r="G2585" s="28" t="str">
        <f aca="false">IFERROR(INDEX('Semrush Data'!$A$1:$Z$20000,MATCH(A2585,'Semrush Data'!$A$1:$A$20000,0),MATCH("Volume",'Semrush Data'!$A$1:$Z$1,0)),"")</f>
        <v/>
      </c>
      <c r="H2585" s="6" t="str">
        <f aca="false">IFERROR(INDEX('Semrush Data'!$A$1:$Z$20000,MATCH(A2585,'Semrush Data'!$A$1:$A$20000,0),MATCH("Keyword Difficulty*",'Semrush Data'!$A$1:$Z$1,0)),"")</f>
        <v/>
      </c>
      <c r="I2585" s="29" t="str">
        <f aca="false">IFERROR(INDEX('Semrush Data'!$A$1:$Z$20000,MATCH(A2585,'Semrush Data'!$A$1:$A$20000,0),MATCH("CPC*",'Semrush Data'!$A$1:$Z$1,0)),"")</f>
        <v/>
      </c>
      <c r="J2585" s="6" t="str">
        <f aca="false">IFERROR(INDEX('Semrush Data'!$A$1:$Z$20000,MATCH(A2585,'Semrush Data'!$A$1:$A$20000,0),MATCH("Intent",'Semrush Data'!$A$1:$Z$1,0)),"")</f>
        <v/>
      </c>
    </row>
    <row r="2586" customFormat="false" ht="15" hidden="false" customHeight="true" outlineLevel="0" collapsed="false">
      <c r="A2586" s="6" t="s">
        <v>7281</v>
      </c>
      <c r="B2586" s="6" t="s">
        <v>239</v>
      </c>
      <c r="C2586" s="6" t="n">
        <v>3</v>
      </c>
      <c r="D2586" s="6" t="n">
        <v>26</v>
      </c>
      <c r="E2586" s="6" t="n">
        <v>1</v>
      </c>
      <c r="F2586" s="6" t="s">
        <v>3772</v>
      </c>
      <c r="G2586" s="28" t="str">
        <f aca="false">IFERROR(INDEX('Semrush Data'!$A$1:$Z$20000,MATCH(A2586,'Semrush Data'!$A$1:$A$20000,0),MATCH("Volume",'Semrush Data'!$A$1:$Z$1,0)),"")</f>
        <v/>
      </c>
      <c r="H2586" s="6" t="str">
        <f aca="false">IFERROR(INDEX('Semrush Data'!$A$1:$Z$20000,MATCH(A2586,'Semrush Data'!$A$1:$A$20000,0),MATCH("Keyword Difficulty*",'Semrush Data'!$A$1:$Z$1,0)),"")</f>
        <v/>
      </c>
      <c r="I2586" s="29" t="str">
        <f aca="false">IFERROR(INDEX('Semrush Data'!$A$1:$Z$20000,MATCH(A2586,'Semrush Data'!$A$1:$A$20000,0),MATCH("CPC*",'Semrush Data'!$A$1:$Z$1,0)),"")</f>
        <v/>
      </c>
      <c r="J2586" s="6" t="str">
        <f aca="false">IFERROR(INDEX('Semrush Data'!$A$1:$Z$20000,MATCH(A2586,'Semrush Data'!$A$1:$A$20000,0),MATCH("Intent",'Semrush Data'!$A$1:$Z$1,0)),"")</f>
        <v/>
      </c>
    </row>
    <row r="2587" customFormat="false" ht="15" hidden="false" customHeight="true" outlineLevel="0" collapsed="false">
      <c r="A2587" s="6" t="s">
        <v>7282</v>
      </c>
      <c r="B2587" s="6" t="s">
        <v>239</v>
      </c>
      <c r="C2587" s="6" t="n">
        <v>3</v>
      </c>
      <c r="D2587" s="6" t="n">
        <v>26</v>
      </c>
      <c r="E2587" s="6" t="n">
        <v>1</v>
      </c>
      <c r="F2587" s="6" t="s">
        <v>3851</v>
      </c>
      <c r="G2587" s="28" t="str">
        <f aca="false">IFERROR(INDEX('Semrush Data'!$A$1:$Z$20000,MATCH(A2587,'Semrush Data'!$A$1:$A$20000,0),MATCH("Volume",'Semrush Data'!$A$1:$Z$1,0)),"")</f>
        <v/>
      </c>
      <c r="H2587" s="6" t="str">
        <f aca="false">IFERROR(INDEX('Semrush Data'!$A$1:$Z$20000,MATCH(A2587,'Semrush Data'!$A$1:$A$20000,0),MATCH("Keyword Difficulty*",'Semrush Data'!$A$1:$Z$1,0)),"")</f>
        <v/>
      </c>
      <c r="I2587" s="29" t="str">
        <f aca="false">IFERROR(INDEX('Semrush Data'!$A$1:$Z$20000,MATCH(A2587,'Semrush Data'!$A$1:$A$20000,0),MATCH("CPC*",'Semrush Data'!$A$1:$Z$1,0)),"")</f>
        <v/>
      </c>
      <c r="J2587" s="6" t="str">
        <f aca="false">IFERROR(INDEX('Semrush Data'!$A$1:$Z$20000,MATCH(A2587,'Semrush Data'!$A$1:$A$20000,0),MATCH("Intent",'Semrush Data'!$A$1:$Z$1,0)),"")</f>
        <v/>
      </c>
    </row>
    <row r="2588" customFormat="false" ht="15" hidden="false" customHeight="true" outlineLevel="0" collapsed="false">
      <c r="A2588" s="6" t="s">
        <v>7283</v>
      </c>
      <c r="B2588" s="6" t="s">
        <v>239</v>
      </c>
      <c r="C2588" s="6" t="n">
        <v>3</v>
      </c>
      <c r="D2588" s="6" t="n">
        <v>26</v>
      </c>
      <c r="E2588" s="6" t="n">
        <v>1</v>
      </c>
      <c r="F2588" s="6" t="s">
        <v>3851</v>
      </c>
      <c r="G2588" s="28" t="str">
        <f aca="false">IFERROR(INDEX('Semrush Data'!$A$1:$Z$20000,MATCH(A2588,'Semrush Data'!$A$1:$A$20000,0),MATCH("Volume",'Semrush Data'!$A$1:$Z$1,0)),"")</f>
        <v/>
      </c>
      <c r="H2588" s="6" t="str">
        <f aca="false">IFERROR(INDEX('Semrush Data'!$A$1:$Z$20000,MATCH(A2588,'Semrush Data'!$A$1:$A$20000,0),MATCH("Keyword Difficulty*",'Semrush Data'!$A$1:$Z$1,0)),"")</f>
        <v/>
      </c>
      <c r="I2588" s="29" t="str">
        <f aca="false">IFERROR(INDEX('Semrush Data'!$A$1:$Z$20000,MATCH(A2588,'Semrush Data'!$A$1:$A$20000,0),MATCH("CPC*",'Semrush Data'!$A$1:$Z$1,0)),"")</f>
        <v/>
      </c>
      <c r="J2588" s="6" t="str">
        <f aca="false">IFERROR(INDEX('Semrush Data'!$A$1:$Z$20000,MATCH(A2588,'Semrush Data'!$A$1:$A$20000,0),MATCH("Intent",'Semrush Data'!$A$1:$Z$1,0)),"")</f>
        <v/>
      </c>
    </row>
    <row r="2589" customFormat="false" ht="15" hidden="false" customHeight="true" outlineLevel="0" collapsed="false">
      <c r="A2589" s="6" t="s">
        <v>7284</v>
      </c>
      <c r="B2589" s="6" t="s">
        <v>239</v>
      </c>
      <c r="C2589" s="6" t="n">
        <v>3</v>
      </c>
      <c r="D2589" s="6" t="n">
        <v>26</v>
      </c>
      <c r="E2589" s="6" t="n">
        <v>1</v>
      </c>
      <c r="F2589" s="6" t="s">
        <v>3851</v>
      </c>
      <c r="G2589" s="28" t="str">
        <f aca="false">IFERROR(INDEX('Semrush Data'!$A$1:$Z$20000,MATCH(A2589,'Semrush Data'!$A$1:$A$20000,0),MATCH("Volume",'Semrush Data'!$A$1:$Z$1,0)),"")</f>
        <v/>
      </c>
      <c r="H2589" s="6" t="str">
        <f aca="false">IFERROR(INDEX('Semrush Data'!$A$1:$Z$20000,MATCH(A2589,'Semrush Data'!$A$1:$A$20000,0),MATCH("Keyword Difficulty*",'Semrush Data'!$A$1:$Z$1,0)),"")</f>
        <v/>
      </c>
      <c r="I2589" s="29" t="str">
        <f aca="false">IFERROR(INDEX('Semrush Data'!$A$1:$Z$20000,MATCH(A2589,'Semrush Data'!$A$1:$A$20000,0),MATCH("CPC*",'Semrush Data'!$A$1:$Z$1,0)),"")</f>
        <v/>
      </c>
      <c r="J2589" s="6" t="str">
        <f aca="false">IFERROR(INDEX('Semrush Data'!$A$1:$Z$20000,MATCH(A2589,'Semrush Data'!$A$1:$A$20000,0),MATCH("Intent",'Semrush Data'!$A$1:$Z$1,0)),"")</f>
        <v/>
      </c>
    </row>
    <row r="2590" customFormat="false" ht="15" hidden="false" customHeight="true" outlineLevel="0" collapsed="false">
      <c r="A2590" s="6" t="s">
        <v>7285</v>
      </c>
      <c r="B2590" s="6" t="s">
        <v>239</v>
      </c>
      <c r="C2590" s="6" t="n">
        <v>3</v>
      </c>
      <c r="D2590" s="6" t="n">
        <v>26</v>
      </c>
      <c r="E2590" s="6" t="n">
        <v>1</v>
      </c>
      <c r="F2590" s="6" t="s">
        <v>3851</v>
      </c>
      <c r="G2590" s="28" t="str">
        <f aca="false">IFERROR(INDEX('Semrush Data'!$A$1:$Z$20000,MATCH(A2590,'Semrush Data'!$A$1:$A$20000,0),MATCH("Volume",'Semrush Data'!$A$1:$Z$1,0)),"")</f>
        <v/>
      </c>
      <c r="H2590" s="6" t="str">
        <f aca="false">IFERROR(INDEX('Semrush Data'!$A$1:$Z$20000,MATCH(A2590,'Semrush Data'!$A$1:$A$20000,0),MATCH("Keyword Difficulty*",'Semrush Data'!$A$1:$Z$1,0)),"")</f>
        <v/>
      </c>
      <c r="I2590" s="29" t="str">
        <f aca="false">IFERROR(INDEX('Semrush Data'!$A$1:$Z$20000,MATCH(A2590,'Semrush Data'!$A$1:$A$20000,0),MATCH("CPC*",'Semrush Data'!$A$1:$Z$1,0)),"")</f>
        <v/>
      </c>
      <c r="J2590" s="6" t="str">
        <f aca="false">IFERROR(INDEX('Semrush Data'!$A$1:$Z$20000,MATCH(A2590,'Semrush Data'!$A$1:$A$20000,0),MATCH("Intent",'Semrush Data'!$A$1:$Z$1,0)),"")</f>
        <v/>
      </c>
    </row>
    <row r="2591" customFormat="false" ht="15" hidden="false" customHeight="true" outlineLevel="0" collapsed="false">
      <c r="A2591" s="6" t="s">
        <v>7286</v>
      </c>
      <c r="B2591" s="6" t="s">
        <v>239</v>
      </c>
      <c r="C2591" s="6" t="n">
        <v>3</v>
      </c>
      <c r="D2591" s="6" t="n">
        <v>26</v>
      </c>
      <c r="E2591" s="6" t="n">
        <v>1</v>
      </c>
      <c r="F2591" s="6" t="s">
        <v>3862</v>
      </c>
      <c r="G2591" s="28" t="str">
        <f aca="false">IFERROR(INDEX('Semrush Data'!$A$1:$Z$20000,MATCH(A2591,'Semrush Data'!$A$1:$A$20000,0),MATCH("Volume",'Semrush Data'!$A$1:$Z$1,0)),"")</f>
        <v/>
      </c>
      <c r="H2591" s="6" t="str">
        <f aca="false">IFERROR(INDEX('Semrush Data'!$A$1:$Z$20000,MATCH(A2591,'Semrush Data'!$A$1:$A$20000,0),MATCH("Keyword Difficulty*",'Semrush Data'!$A$1:$Z$1,0)),"")</f>
        <v/>
      </c>
      <c r="I2591" s="29" t="str">
        <f aca="false">IFERROR(INDEX('Semrush Data'!$A$1:$Z$20000,MATCH(A2591,'Semrush Data'!$A$1:$A$20000,0),MATCH("CPC*",'Semrush Data'!$A$1:$Z$1,0)),"")</f>
        <v/>
      </c>
      <c r="J2591" s="6" t="str">
        <f aca="false">IFERROR(INDEX('Semrush Data'!$A$1:$Z$20000,MATCH(A2591,'Semrush Data'!$A$1:$A$20000,0),MATCH("Intent",'Semrush Data'!$A$1:$Z$1,0)),"")</f>
        <v/>
      </c>
    </row>
    <row r="2592" customFormat="false" ht="15" hidden="false" customHeight="true" outlineLevel="0" collapsed="false">
      <c r="A2592" s="6" t="s">
        <v>7287</v>
      </c>
      <c r="B2592" s="6" t="s">
        <v>239</v>
      </c>
      <c r="C2592" s="6" t="n">
        <v>3</v>
      </c>
      <c r="D2592" s="6" t="n">
        <v>26</v>
      </c>
      <c r="E2592" s="6" t="n">
        <v>1</v>
      </c>
      <c r="F2592" s="6" t="s">
        <v>3862</v>
      </c>
      <c r="G2592" s="28" t="str">
        <f aca="false">IFERROR(INDEX('Semrush Data'!$A$1:$Z$20000,MATCH(A2592,'Semrush Data'!$A$1:$A$20000,0),MATCH("Volume",'Semrush Data'!$A$1:$Z$1,0)),"")</f>
        <v/>
      </c>
      <c r="H2592" s="6" t="str">
        <f aca="false">IFERROR(INDEX('Semrush Data'!$A$1:$Z$20000,MATCH(A2592,'Semrush Data'!$A$1:$A$20000,0),MATCH("Keyword Difficulty*",'Semrush Data'!$A$1:$Z$1,0)),"")</f>
        <v/>
      </c>
      <c r="I2592" s="29" t="str">
        <f aca="false">IFERROR(INDEX('Semrush Data'!$A$1:$Z$20000,MATCH(A2592,'Semrush Data'!$A$1:$A$20000,0),MATCH("CPC*",'Semrush Data'!$A$1:$Z$1,0)),"")</f>
        <v/>
      </c>
      <c r="J2592" s="6" t="str">
        <f aca="false">IFERROR(INDEX('Semrush Data'!$A$1:$Z$20000,MATCH(A2592,'Semrush Data'!$A$1:$A$20000,0),MATCH("Intent",'Semrush Data'!$A$1:$Z$1,0)),"")</f>
        <v/>
      </c>
    </row>
    <row r="2593" customFormat="false" ht="15" hidden="false" customHeight="true" outlineLevel="0" collapsed="false">
      <c r="A2593" s="6" t="s">
        <v>7288</v>
      </c>
      <c r="B2593" s="6" t="s">
        <v>239</v>
      </c>
      <c r="C2593" s="6" t="n">
        <v>3</v>
      </c>
      <c r="D2593" s="6" t="n">
        <v>26</v>
      </c>
      <c r="E2593" s="6" t="n">
        <v>1</v>
      </c>
      <c r="F2593" s="6" t="s">
        <v>3862</v>
      </c>
      <c r="G2593" s="28" t="str">
        <f aca="false">IFERROR(INDEX('Semrush Data'!$A$1:$Z$20000,MATCH(A2593,'Semrush Data'!$A$1:$A$20000,0),MATCH("Volume",'Semrush Data'!$A$1:$Z$1,0)),"")</f>
        <v/>
      </c>
      <c r="H2593" s="6" t="str">
        <f aca="false">IFERROR(INDEX('Semrush Data'!$A$1:$Z$20000,MATCH(A2593,'Semrush Data'!$A$1:$A$20000,0),MATCH("Keyword Difficulty*",'Semrush Data'!$A$1:$Z$1,0)),"")</f>
        <v/>
      </c>
      <c r="I2593" s="29" t="str">
        <f aca="false">IFERROR(INDEX('Semrush Data'!$A$1:$Z$20000,MATCH(A2593,'Semrush Data'!$A$1:$A$20000,0),MATCH("CPC*",'Semrush Data'!$A$1:$Z$1,0)),"")</f>
        <v/>
      </c>
      <c r="J2593" s="6" t="str">
        <f aca="false">IFERROR(INDEX('Semrush Data'!$A$1:$Z$20000,MATCH(A2593,'Semrush Data'!$A$1:$A$20000,0),MATCH("Intent",'Semrush Data'!$A$1:$Z$1,0)),"")</f>
        <v/>
      </c>
    </row>
    <row r="2594" customFormat="false" ht="15" hidden="false" customHeight="true" outlineLevel="0" collapsed="false">
      <c r="A2594" s="6" t="s">
        <v>7289</v>
      </c>
      <c r="B2594" s="6" t="s">
        <v>239</v>
      </c>
      <c r="C2594" s="6" t="n">
        <v>3</v>
      </c>
      <c r="D2594" s="6" t="n">
        <v>26</v>
      </c>
      <c r="E2594" s="6" t="n">
        <v>1</v>
      </c>
      <c r="F2594" s="6" t="s">
        <v>3862</v>
      </c>
      <c r="G2594" s="28" t="str">
        <f aca="false">IFERROR(INDEX('Semrush Data'!$A$1:$Z$20000,MATCH(A2594,'Semrush Data'!$A$1:$A$20000,0),MATCH("Volume",'Semrush Data'!$A$1:$Z$1,0)),"")</f>
        <v/>
      </c>
      <c r="H2594" s="6" t="str">
        <f aca="false">IFERROR(INDEX('Semrush Data'!$A$1:$Z$20000,MATCH(A2594,'Semrush Data'!$A$1:$A$20000,0),MATCH("Keyword Difficulty*",'Semrush Data'!$A$1:$Z$1,0)),"")</f>
        <v/>
      </c>
      <c r="I2594" s="29" t="str">
        <f aca="false">IFERROR(INDEX('Semrush Data'!$A$1:$Z$20000,MATCH(A2594,'Semrush Data'!$A$1:$A$20000,0),MATCH("CPC*",'Semrush Data'!$A$1:$Z$1,0)),"")</f>
        <v/>
      </c>
      <c r="J2594" s="6" t="str">
        <f aca="false">IFERROR(INDEX('Semrush Data'!$A$1:$Z$20000,MATCH(A2594,'Semrush Data'!$A$1:$A$20000,0),MATCH("Intent",'Semrush Data'!$A$1:$Z$1,0)),"")</f>
        <v/>
      </c>
    </row>
    <row r="2595" customFormat="false" ht="15" hidden="false" customHeight="true" outlineLevel="0" collapsed="false">
      <c r="A2595" s="6" t="s">
        <v>7290</v>
      </c>
      <c r="B2595" s="6" t="s">
        <v>239</v>
      </c>
      <c r="C2595" s="6" t="n">
        <v>3</v>
      </c>
      <c r="D2595" s="6" t="n">
        <v>26</v>
      </c>
      <c r="E2595" s="6" t="n">
        <v>1</v>
      </c>
      <c r="F2595" s="6" t="s">
        <v>3874</v>
      </c>
      <c r="G2595" s="28" t="str">
        <f aca="false">IFERROR(INDEX('Semrush Data'!$A$1:$Z$20000,MATCH(A2595,'Semrush Data'!$A$1:$A$20000,0),MATCH("Volume",'Semrush Data'!$A$1:$Z$1,0)),"")</f>
        <v/>
      </c>
      <c r="H2595" s="6" t="str">
        <f aca="false">IFERROR(INDEX('Semrush Data'!$A$1:$Z$20000,MATCH(A2595,'Semrush Data'!$A$1:$A$20000,0),MATCH("Keyword Difficulty*",'Semrush Data'!$A$1:$Z$1,0)),"")</f>
        <v/>
      </c>
      <c r="I2595" s="29" t="str">
        <f aca="false">IFERROR(INDEX('Semrush Data'!$A$1:$Z$20000,MATCH(A2595,'Semrush Data'!$A$1:$A$20000,0),MATCH("CPC*",'Semrush Data'!$A$1:$Z$1,0)),"")</f>
        <v/>
      </c>
      <c r="J2595" s="6" t="str">
        <f aca="false">IFERROR(INDEX('Semrush Data'!$A$1:$Z$20000,MATCH(A2595,'Semrush Data'!$A$1:$A$20000,0),MATCH("Intent",'Semrush Data'!$A$1:$Z$1,0)),"")</f>
        <v/>
      </c>
    </row>
    <row r="2596" customFormat="false" ht="15" hidden="false" customHeight="true" outlineLevel="0" collapsed="false">
      <c r="A2596" s="6" t="s">
        <v>7291</v>
      </c>
      <c r="B2596" s="6" t="s">
        <v>239</v>
      </c>
      <c r="C2596" s="6" t="n">
        <v>3</v>
      </c>
      <c r="D2596" s="6" t="n">
        <v>26</v>
      </c>
      <c r="E2596" s="6" t="n">
        <v>1</v>
      </c>
      <c r="F2596" s="6" t="s">
        <v>3874</v>
      </c>
      <c r="G2596" s="28" t="str">
        <f aca="false">IFERROR(INDEX('Semrush Data'!$A$1:$Z$20000,MATCH(A2596,'Semrush Data'!$A$1:$A$20000,0),MATCH("Volume",'Semrush Data'!$A$1:$Z$1,0)),"")</f>
        <v/>
      </c>
      <c r="H2596" s="6" t="str">
        <f aca="false">IFERROR(INDEX('Semrush Data'!$A$1:$Z$20000,MATCH(A2596,'Semrush Data'!$A$1:$A$20000,0),MATCH("Keyword Difficulty*",'Semrush Data'!$A$1:$Z$1,0)),"")</f>
        <v/>
      </c>
      <c r="I2596" s="29" t="str">
        <f aca="false">IFERROR(INDEX('Semrush Data'!$A$1:$Z$20000,MATCH(A2596,'Semrush Data'!$A$1:$A$20000,0),MATCH("CPC*",'Semrush Data'!$A$1:$Z$1,0)),"")</f>
        <v/>
      </c>
      <c r="J2596" s="6" t="str">
        <f aca="false">IFERROR(INDEX('Semrush Data'!$A$1:$Z$20000,MATCH(A2596,'Semrush Data'!$A$1:$A$20000,0),MATCH("Intent",'Semrush Data'!$A$1:$Z$1,0)),"")</f>
        <v/>
      </c>
    </row>
    <row r="2597" customFormat="false" ht="15" hidden="false" customHeight="true" outlineLevel="0" collapsed="false">
      <c r="A2597" s="6" t="s">
        <v>7292</v>
      </c>
      <c r="B2597" s="6" t="s">
        <v>239</v>
      </c>
      <c r="C2597" s="6" t="n">
        <v>3</v>
      </c>
      <c r="D2597" s="6" t="n">
        <v>26</v>
      </c>
      <c r="E2597" s="6" t="n">
        <v>1</v>
      </c>
      <c r="F2597" s="6" t="s">
        <v>3874</v>
      </c>
      <c r="G2597" s="28" t="str">
        <f aca="false">IFERROR(INDEX('Semrush Data'!$A$1:$Z$20000,MATCH(A2597,'Semrush Data'!$A$1:$A$20000,0),MATCH("Volume",'Semrush Data'!$A$1:$Z$1,0)),"")</f>
        <v/>
      </c>
      <c r="H2597" s="6" t="str">
        <f aca="false">IFERROR(INDEX('Semrush Data'!$A$1:$Z$20000,MATCH(A2597,'Semrush Data'!$A$1:$A$20000,0),MATCH("Keyword Difficulty*",'Semrush Data'!$A$1:$Z$1,0)),"")</f>
        <v/>
      </c>
      <c r="I2597" s="29" t="str">
        <f aca="false">IFERROR(INDEX('Semrush Data'!$A$1:$Z$20000,MATCH(A2597,'Semrush Data'!$A$1:$A$20000,0),MATCH("CPC*",'Semrush Data'!$A$1:$Z$1,0)),"")</f>
        <v/>
      </c>
      <c r="J2597" s="6" t="str">
        <f aca="false">IFERROR(INDEX('Semrush Data'!$A$1:$Z$20000,MATCH(A2597,'Semrush Data'!$A$1:$A$20000,0),MATCH("Intent",'Semrush Data'!$A$1:$Z$1,0)),"")</f>
        <v/>
      </c>
    </row>
    <row r="2598" customFormat="false" ht="15" hidden="false" customHeight="true" outlineLevel="0" collapsed="false">
      <c r="A2598" s="6" t="s">
        <v>7293</v>
      </c>
      <c r="B2598" s="6" t="s">
        <v>239</v>
      </c>
      <c r="C2598" s="6" t="n">
        <v>3</v>
      </c>
      <c r="D2598" s="6" t="n">
        <v>26</v>
      </c>
      <c r="E2598" s="6" t="n">
        <v>1</v>
      </c>
      <c r="F2598" s="6" t="s">
        <v>3874</v>
      </c>
      <c r="G2598" s="28" t="str">
        <f aca="false">IFERROR(INDEX('Semrush Data'!$A$1:$Z$20000,MATCH(A2598,'Semrush Data'!$A$1:$A$20000,0),MATCH("Volume",'Semrush Data'!$A$1:$Z$1,0)),"")</f>
        <v/>
      </c>
      <c r="H2598" s="6" t="str">
        <f aca="false">IFERROR(INDEX('Semrush Data'!$A$1:$Z$20000,MATCH(A2598,'Semrush Data'!$A$1:$A$20000,0),MATCH("Keyword Difficulty*",'Semrush Data'!$A$1:$Z$1,0)),"")</f>
        <v/>
      </c>
      <c r="I2598" s="29" t="str">
        <f aca="false">IFERROR(INDEX('Semrush Data'!$A$1:$Z$20000,MATCH(A2598,'Semrush Data'!$A$1:$A$20000,0),MATCH("CPC*",'Semrush Data'!$A$1:$Z$1,0)),"")</f>
        <v/>
      </c>
      <c r="J2598" s="6" t="str">
        <f aca="false">IFERROR(INDEX('Semrush Data'!$A$1:$Z$20000,MATCH(A2598,'Semrush Data'!$A$1:$A$20000,0),MATCH("Intent",'Semrush Data'!$A$1:$Z$1,0)),"")</f>
        <v/>
      </c>
    </row>
    <row r="2599" customFormat="false" ht="15" hidden="false" customHeight="true" outlineLevel="0" collapsed="false">
      <c r="A2599" s="6" t="s">
        <v>7294</v>
      </c>
      <c r="B2599" s="6" t="s">
        <v>239</v>
      </c>
      <c r="C2599" s="6" t="n">
        <v>3</v>
      </c>
      <c r="D2599" s="6" t="n">
        <v>26</v>
      </c>
      <c r="E2599" s="6" t="n">
        <v>1</v>
      </c>
      <c r="F2599" s="6" t="s">
        <v>3874</v>
      </c>
      <c r="G2599" s="28" t="str">
        <f aca="false">IFERROR(INDEX('Semrush Data'!$A$1:$Z$20000,MATCH(A2599,'Semrush Data'!$A$1:$A$20000,0),MATCH("Volume",'Semrush Data'!$A$1:$Z$1,0)),"")</f>
        <v/>
      </c>
      <c r="H2599" s="6" t="str">
        <f aca="false">IFERROR(INDEX('Semrush Data'!$A$1:$Z$20000,MATCH(A2599,'Semrush Data'!$A$1:$A$20000,0),MATCH("Keyword Difficulty*",'Semrush Data'!$A$1:$Z$1,0)),"")</f>
        <v/>
      </c>
      <c r="I2599" s="29" t="str">
        <f aca="false">IFERROR(INDEX('Semrush Data'!$A$1:$Z$20000,MATCH(A2599,'Semrush Data'!$A$1:$A$20000,0),MATCH("CPC*",'Semrush Data'!$A$1:$Z$1,0)),"")</f>
        <v/>
      </c>
      <c r="J2599" s="6" t="str">
        <f aca="false">IFERROR(INDEX('Semrush Data'!$A$1:$Z$20000,MATCH(A2599,'Semrush Data'!$A$1:$A$20000,0),MATCH("Intent",'Semrush Data'!$A$1:$Z$1,0)),"")</f>
        <v/>
      </c>
    </row>
    <row r="2600" customFormat="false" ht="15" hidden="false" customHeight="true" outlineLevel="0" collapsed="false">
      <c r="A2600" s="6" t="s">
        <v>7295</v>
      </c>
      <c r="B2600" s="6" t="s">
        <v>239</v>
      </c>
      <c r="C2600" s="6" t="n">
        <v>3</v>
      </c>
      <c r="D2600" s="6" t="n">
        <v>26</v>
      </c>
      <c r="E2600" s="6" t="n">
        <v>1</v>
      </c>
      <c r="F2600" s="6" t="s">
        <v>3885</v>
      </c>
      <c r="G2600" s="28" t="str">
        <f aca="false">IFERROR(INDEX('Semrush Data'!$A$1:$Z$20000,MATCH(A2600,'Semrush Data'!$A$1:$A$20000,0),MATCH("Volume",'Semrush Data'!$A$1:$Z$1,0)),"")</f>
        <v/>
      </c>
      <c r="H2600" s="6" t="str">
        <f aca="false">IFERROR(INDEX('Semrush Data'!$A$1:$Z$20000,MATCH(A2600,'Semrush Data'!$A$1:$A$20000,0),MATCH("Keyword Difficulty*",'Semrush Data'!$A$1:$Z$1,0)),"")</f>
        <v/>
      </c>
      <c r="I2600" s="29" t="str">
        <f aca="false">IFERROR(INDEX('Semrush Data'!$A$1:$Z$20000,MATCH(A2600,'Semrush Data'!$A$1:$A$20000,0),MATCH("CPC*",'Semrush Data'!$A$1:$Z$1,0)),"")</f>
        <v/>
      </c>
      <c r="J2600" s="6" t="str">
        <f aca="false">IFERROR(INDEX('Semrush Data'!$A$1:$Z$20000,MATCH(A2600,'Semrush Data'!$A$1:$A$20000,0),MATCH("Intent",'Semrush Data'!$A$1:$Z$1,0)),"")</f>
        <v/>
      </c>
    </row>
    <row r="2601" customFormat="false" ht="15" hidden="false" customHeight="true" outlineLevel="0" collapsed="false">
      <c r="A2601" s="6" t="s">
        <v>7296</v>
      </c>
      <c r="B2601" s="6" t="s">
        <v>239</v>
      </c>
      <c r="C2601" s="6" t="n">
        <v>3</v>
      </c>
      <c r="D2601" s="6" t="n">
        <v>26</v>
      </c>
      <c r="E2601" s="6" t="n">
        <v>1</v>
      </c>
      <c r="F2601" s="6" t="s">
        <v>3885</v>
      </c>
      <c r="G2601" s="28" t="str">
        <f aca="false">IFERROR(INDEX('Semrush Data'!$A$1:$Z$20000,MATCH(A2601,'Semrush Data'!$A$1:$A$20000,0),MATCH("Volume",'Semrush Data'!$A$1:$Z$1,0)),"")</f>
        <v/>
      </c>
      <c r="H2601" s="6" t="str">
        <f aca="false">IFERROR(INDEX('Semrush Data'!$A$1:$Z$20000,MATCH(A2601,'Semrush Data'!$A$1:$A$20000,0),MATCH("Keyword Difficulty*",'Semrush Data'!$A$1:$Z$1,0)),"")</f>
        <v/>
      </c>
      <c r="I2601" s="29" t="str">
        <f aca="false">IFERROR(INDEX('Semrush Data'!$A$1:$Z$20000,MATCH(A2601,'Semrush Data'!$A$1:$A$20000,0),MATCH("CPC*",'Semrush Data'!$A$1:$Z$1,0)),"")</f>
        <v/>
      </c>
      <c r="J2601" s="6" t="str">
        <f aca="false">IFERROR(INDEX('Semrush Data'!$A$1:$Z$20000,MATCH(A2601,'Semrush Data'!$A$1:$A$20000,0),MATCH("Intent",'Semrush Data'!$A$1:$Z$1,0)),"")</f>
        <v/>
      </c>
    </row>
    <row r="2602" customFormat="false" ht="15" hidden="false" customHeight="true" outlineLevel="0" collapsed="false">
      <c r="A2602" s="6" t="s">
        <v>7297</v>
      </c>
      <c r="B2602" s="6" t="s">
        <v>239</v>
      </c>
      <c r="C2602" s="6" t="n">
        <v>3</v>
      </c>
      <c r="D2602" s="6" t="n">
        <v>27</v>
      </c>
      <c r="E2602" s="6" t="n">
        <v>1</v>
      </c>
      <c r="F2602" s="6" t="s">
        <v>3885</v>
      </c>
      <c r="G2602" s="28" t="str">
        <f aca="false">IFERROR(INDEX('Semrush Data'!$A$1:$Z$20000,MATCH(A2602,'Semrush Data'!$A$1:$A$20000,0),MATCH("Volume",'Semrush Data'!$A$1:$Z$1,0)),"")</f>
        <v/>
      </c>
      <c r="H2602" s="6" t="str">
        <f aca="false">IFERROR(INDEX('Semrush Data'!$A$1:$Z$20000,MATCH(A2602,'Semrush Data'!$A$1:$A$20000,0),MATCH("Keyword Difficulty*",'Semrush Data'!$A$1:$Z$1,0)),"")</f>
        <v/>
      </c>
      <c r="I2602" s="29" t="str">
        <f aca="false">IFERROR(INDEX('Semrush Data'!$A$1:$Z$20000,MATCH(A2602,'Semrush Data'!$A$1:$A$20000,0),MATCH("CPC*",'Semrush Data'!$A$1:$Z$1,0)),"")</f>
        <v/>
      </c>
      <c r="J2602" s="6" t="str">
        <f aca="false">IFERROR(INDEX('Semrush Data'!$A$1:$Z$20000,MATCH(A2602,'Semrush Data'!$A$1:$A$20000,0),MATCH("Intent",'Semrush Data'!$A$1:$Z$1,0)),"")</f>
        <v/>
      </c>
    </row>
    <row r="2603" customFormat="false" ht="15" hidden="false" customHeight="true" outlineLevel="0" collapsed="false">
      <c r="A2603" s="6" t="s">
        <v>7298</v>
      </c>
      <c r="B2603" s="6" t="s">
        <v>239</v>
      </c>
      <c r="C2603" s="6" t="n">
        <v>3</v>
      </c>
      <c r="D2603" s="6" t="n">
        <v>27</v>
      </c>
      <c r="E2603" s="6" t="n">
        <v>1</v>
      </c>
      <c r="F2603" s="6" t="s">
        <v>3885</v>
      </c>
      <c r="G2603" s="28" t="str">
        <f aca="false">IFERROR(INDEX('Semrush Data'!$A$1:$Z$20000,MATCH(A2603,'Semrush Data'!$A$1:$A$20000,0),MATCH("Volume",'Semrush Data'!$A$1:$Z$1,0)),"")</f>
        <v/>
      </c>
      <c r="H2603" s="6" t="str">
        <f aca="false">IFERROR(INDEX('Semrush Data'!$A$1:$Z$20000,MATCH(A2603,'Semrush Data'!$A$1:$A$20000,0),MATCH("Keyword Difficulty*",'Semrush Data'!$A$1:$Z$1,0)),"")</f>
        <v/>
      </c>
      <c r="I2603" s="29" t="str">
        <f aca="false">IFERROR(INDEX('Semrush Data'!$A$1:$Z$20000,MATCH(A2603,'Semrush Data'!$A$1:$A$20000,0),MATCH("CPC*",'Semrush Data'!$A$1:$Z$1,0)),"")</f>
        <v/>
      </c>
      <c r="J2603" s="6" t="str">
        <f aca="false">IFERROR(INDEX('Semrush Data'!$A$1:$Z$20000,MATCH(A2603,'Semrush Data'!$A$1:$A$20000,0),MATCH("Intent",'Semrush Data'!$A$1:$Z$1,0)),"")</f>
        <v/>
      </c>
    </row>
    <row r="2604" customFormat="false" ht="15" hidden="false" customHeight="true" outlineLevel="0" collapsed="false">
      <c r="A2604" s="6" t="s">
        <v>7299</v>
      </c>
      <c r="B2604" s="6" t="s">
        <v>239</v>
      </c>
      <c r="C2604" s="6" t="n">
        <v>3</v>
      </c>
      <c r="D2604" s="6" t="n">
        <v>27</v>
      </c>
      <c r="E2604" s="6" t="n">
        <v>1</v>
      </c>
      <c r="F2604" s="6" t="s">
        <v>3885</v>
      </c>
      <c r="G2604" s="28" t="str">
        <f aca="false">IFERROR(INDEX('Semrush Data'!$A$1:$Z$20000,MATCH(A2604,'Semrush Data'!$A$1:$A$20000,0),MATCH("Volume",'Semrush Data'!$A$1:$Z$1,0)),"")</f>
        <v/>
      </c>
      <c r="H2604" s="6" t="str">
        <f aca="false">IFERROR(INDEX('Semrush Data'!$A$1:$Z$20000,MATCH(A2604,'Semrush Data'!$A$1:$A$20000,0),MATCH("Keyword Difficulty*",'Semrush Data'!$A$1:$Z$1,0)),"")</f>
        <v/>
      </c>
      <c r="I2604" s="29" t="str">
        <f aca="false">IFERROR(INDEX('Semrush Data'!$A$1:$Z$20000,MATCH(A2604,'Semrush Data'!$A$1:$A$20000,0),MATCH("CPC*",'Semrush Data'!$A$1:$Z$1,0)),"")</f>
        <v/>
      </c>
      <c r="J2604" s="6" t="str">
        <f aca="false">IFERROR(INDEX('Semrush Data'!$A$1:$Z$20000,MATCH(A2604,'Semrush Data'!$A$1:$A$20000,0),MATCH("Intent",'Semrush Data'!$A$1:$Z$1,0)),"")</f>
        <v/>
      </c>
    </row>
    <row r="2605" customFormat="false" ht="15" hidden="false" customHeight="true" outlineLevel="0" collapsed="false">
      <c r="A2605" s="6" t="s">
        <v>7300</v>
      </c>
      <c r="B2605" s="6" t="s">
        <v>239</v>
      </c>
      <c r="C2605" s="6" t="n">
        <v>3</v>
      </c>
      <c r="D2605" s="6" t="n">
        <v>27</v>
      </c>
      <c r="E2605" s="6" t="n">
        <v>1</v>
      </c>
      <c r="F2605" s="6" t="s">
        <v>3748</v>
      </c>
      <c r="G2605" s="28" t="str">
        <f aca="false">IFERROR(INDEX('Semrush Data'!$A$1:$Z$20000,MATCH(A2605,'Semrush Data'!$A$1:$A$20000,0),MATCH("Volume",'Semrush Data'!$A$1:$Z$1,0)),"")</f>
        <v/>
      </c>
      <c r="H2605" s="6" t="str">
        <f aca="false">IFERROR(INDEX('Semrush Data'!$A$1:$Z$20000,MATCH(A2605,'Semrush Data'!$A$1:$A$20000,0),MATCH("Keyword Difficulty*",'Semrush Data'!$A$1:$Z$1,0)),"")</f>
        <v/>
      </c>
      <c r="I2605" s="29" t="str">
        <f aca="false">IFERROR(INDEX('Semrush Data'!$A$1:$Z$20000,MATCH(A2605,'Semrush Data'!$A$1:$A$20000,0),MATCH("CPC*",'Semrush Data'!$A$1:$Z$1,0)),"")</f>
        <v/>
      </c>
      <c r="J2605" s="6" t="str">
        <f aca="false">IFERROR(INDEX('Semrush Data'!$A$1:$Z$20000,MATCH(A2605,'Semrush Data'!$A$1:$A$20000,0),MATCH("Intent",'Semrush Data'!$A$1:$Z$1,0)),"")</f>
        <v/>
      </c>
    </row>
    <row r="2606" customFormat="false" ht="15" hidden="false" customHeight="true" outlineLevel="0" collapsed="false">
      <c r="A2606" s="6" t="s">
        <v>7301</v>
      </c>
      <c r="B2606" s="6" t="s">
        <v>239</v>
      </c>
      <c r="C2606" s="6" t="n">
        <v>3</v>
      </c>
      <c r="D2606" s="6" t="n">
        <v>27</v>
      </c>
      <c r="E2606" s="6" t="n">
        <v>1</v>
      </c>
      <c r="F2606" s="6" t="s">
        <v>3761</v>
      </c>
      <c r="G2606" s="28" t="str">
        <f aca="false">IFERROR(INDEX('Semrush Data'!$A$1:$Z$20000,MATCH(A2606,'Semrush Data'!$A$1:$A$20000,0),MATCH("Volume",'Semrush Data'!$A$1:$Z$1,0)),"")</f>
        <v/>
      </c>
      <c r="H2606" s="6" t="str">
        <f aca="false">IFERROR(INDEX('Semrush Data'!$A$1:$Z$20000,MATCH(A2606,'Semrush Data'!$A$1:$A$20000,0),MATCH("Keyword Difficulty*",'Semrush Data'!$A$1:$Z$1,0)),"")</f>
        <v/>
      </c>
      <c r="I2606" s="29" t="str">
        <f aca="false">IFERROR(INDEX('Semrush Data'!$A$1:$Z$20000,MATCH(A2606,'Semrush Data'!$A$1:$A$20000,0),MATCH("CPC*",'Semrush Data'!$A$1:$Z$1,0)),"")</f>
        <v/>
      </c>
      <c r="J2606" s="6" t="str">
        <f aca="false">IFERROR(INDEX('Semrush Data'!$A$1:$Z$20000,MATCH(A2606,'Semrush Data'!$A$1:$A$20000,0),MATCH("Intent",'Semrush Data'!$A$1:$Z$1,0)),"")</f>
        <v/>
      </c>
    </row>
    <row r="2607" customFormat="false" ht="15" hidden="false" customHeight="true" outlineLevel="0" collapsed="false">
      <c r="A2607" s="6" t="s">
        <v>7302</v>
      </c>
      <c r="B2607" s="6" t="s">
        <v>239</v>
      </c>
      <c r="C2607" s="6" t="n">
        <v>3</v>
      </c>
      <c r="D2607" s="6" t="n">
        <v>27</v>
      </c>
      <c r="E2607" s="6" t="n">
        <v>1</v>
      </c>
      <c r="F2607" s="6" t="s">
        <v>3761</v>
      </c>
      <c r="G2607" s="28" t="str">
        <f aca="false">IFERROR(INDEX('Semrush Data'!$A$1:$Z$20000,MATCH(A2607,'Semrush Data'!$A$1:$A$20000,0),MATCH("Volume",'Semrush Data'!$A$1:$Z$1,0)),"")</f>
        <v/>
      </c>
      <c r="H2607" s="6" t="str">
        <f aca="false">IFERROR(INDEX('Semrush Data'!$A$1:$Z$20000,MATCH(A2607,'Semrush Data'!$A$1:$A$20000,0),MATCH("Keyword Difficulty*",'Semrush Data'!$A$1:$Z$1,0)),"")</f>
        <v/>
      </c>
      <c r="I2607" s="29" t="str">
        <f aca="false">IFERROR(INDEX('Semrush Data'!$A$1:$Z$20000,MATCH(A2607,'Semrush Data'!$A$1:$A$20000,0),MATCH("CPC*",'Semrush Data'!$A$1:$Z$1,0)),"")</f>
        <v/>
      </c>
      <c r="J2607" s="6" t="str">
        <f aca="false">IFERROR(INDEX('Semrush Data'!$A$1:$Z$20000,MATCH(A2607,'Semrush Data'!$A$1:$A$20000,0),MATCH("Intent",'Semrush Data'!$A$1:$Z$1,0)),"")</f>
        <v/>
      </c>
    </row>
    <row r="2608" customFormat="false" ht="15" hidden="false" customHeight="true" outlineLevel="0" collapsed="false">
      <c r="A2608" s="6" t="s">
        <v>7303</v>
      </c>
      <c r="B2608" s="6" t="s">
        <v>239</v>
      </c>
      <c r="C2608" s="6" t="n">
        <v>3</v>
      </c>
      <c r="D2608" s="6" t="n">
        <v>27</v>
      </c>
      <c r="E2608" s="6" t="n">
        <v>1</v>
      </c>
      <c r="F2608" s="6" t="s">
        <v>3772</v>
      </c>
      <c r="G2608" s="28" t="str">
        <f aca="false">IFERROR(INDEX('Semrush Data'!$A$1:$Z$20000,MATCH(A2608,'Semrush Data'!$A$1:$A$20000,0),MATCH("Volume",'Semrush Data'!$A$1:$Z$1,0)),"")</f>
        <v/>
      </c>
      <c r="H2608" s="6" t="str">
        <f aca="false">IFERROR(INDEX('Semrush Data'!$A$1:$Z$20000,MATCH(A2608,'Semrush Data'!$A$1:$A$20000,0),MATCH("Keyword Difficulty*",'Semrush Data'!$A$1:$Z$1,0)),"")</f>
        <v/>
      </c>
      <c r="I2608" s="29" t="str">
        <f aca="false">IFERROR(INDEX('Semrush Data'!$A$1:$Z$20000,MATCH(A2608,'Semrush Data'!$A$1:$A$20000,0),MATCH("CPC*",'Semrush Data'!$A$1:$Z$1,0)),"")</f>
        <v/>
      </c>
      <c r="J2608" s="6" t="str">
        <f aca="false">IFERROR(INDEX('Semrush Data'!$A$1:$Z$20000,MATCH(A2608,'Semrush Data'!$A$1:$A$20000,0),MATCH("Intent",'Semrush Data'!$A$1:$Z$1,0)),"")</f>
        <v/>
      </c>
    </row>
    <row r="2609" customFormat="false" ht="15" hidden="false" customHeight="true" outlineLevel="0" collapsed="false">
      <c r="A2609" s="6" t="s">
        <v>7304</v>
      </c>
      <c r="B2609" s="6" t="s">
        <v>239</v>
      </c>
      <c r="C2609" s="6" t="n">
        <v>3</v>
      </c>
      <c r="D2609" s="6" t="n">
        <v>27</v>
      </c>
      <c r="E2609" s="6" t="n">
        <v>1</v>
      </c>
      <c r="F2609" s="6" t="s">
        <v>3735</v>
      </c>
      <c r="G2609" s="28" t="str">
        <f aca="false">IFERROR(INDEX('Semrush Data'!$A$1:$Z$20000,MATCH(A2609,'Semrush Data'!$A$1:$A$20000,0),MATCH("Volume",'Semrush Data'!$A$1:$Z$1,0)),"")</f>
        <v/>
      </c>
      <c r="H2609" s="6" t="str">
        <f aca="false">IFERROR(INDEX('Semrush Data'!$A$1:$Z$20000,MATCH(A2609,'Semrush Data'!$A$1:$A$20000,0),MATCH("Keyword Difficulty*",'Semrush Data'!$A$1:$Z$1,0)),"")</f>
        <v/>
      </c>
      <c r="I2609" s="29" t="str">
        <f aca="false">IFERROR(INDEX('Semrush Data'!$A$1:$Z$20000,MATCH(A2609,'Semrush Data'!$A$1:$A$20000,0),MATCH("CPC*",'Semrush Data'!$A$1:$Z$1,0)),"")</f>
        <v/>
      </c>
      <c r="J2609" s="6" t="str">
        <f aca="false">IFERROR(INDEX('Semrush Data'!$A$1:$Z$20000,MATCH(A2609,'Semrush Data'!$A$1:$A$20000,0),MATCH("Intent",'Semrush Data'!$A$1:$Z$1,0)),"")</f>
        <v/>
      </c>
    </row>
    <row r="2610" customFormat="false" ht="15" hidden="false" customHeight="true" outlineLevel="0" collapsed="false">
      <c r="A2610" s="6" t="s">
        <v>7305</v>
      </c>
      <c r="B2610" s="6" t="s">
        <v>239</v>
      </c>
      <c r="C2610" s="6" t="n">
        <v>3</v>
      </c>
      <c r="D2610" s="6" t="n">
        <v>27</v>
      </c>
      <c r="E2610" s="6" t="n">
        <v>1</v>
      </c>
      <c r="F2610" s="6" t="s">
        <v>3735</v>
      </c>
      <c r="G2610" s="28" t="str">
        <f aca="false">IFERROR(INDEX('Semrush Data'!$A$1:$Z$20000,MATCH(A2610,'Semrush Data'!$A$1:$A$20000,0),MATCH("Volume",'Semrush Data'!$A$1:$Z$1,0)),"")</f>
        <v/>
      </c>
      <c r="H2610" s="6" t="str">
        <f aca="false">IFERROR(INDEX('Semrush Data'!$A$1:$Z$20000,MATCH(A2610,'Semrush Data'!$A$1:$A$20000,0),MATCH("Keyword Difficulty*",'Semrush Data'!$A$1:$Z$1,0)),"")</f>
        <v/>
      </c>
      <c r="I2610" s="29" t="str">
        <f aca="false">IFERROR(INDEX('Semrush Data'!$A$1:$Z$20000,MATCH(A2610,'Semrush Data'!$A$1:$A$20000,0),MATCH("CPC*",'Semrush Data'!$A$1:$Z$1,0)),"")</f>
        <v/>
      </c>
      <c r="J2610" s="6" t="str">
        <f aca="false">IFERROR(INDEX('Semrush Data'!$A$1:$Z$20000,MATCH(A2610,'Semrush Data'!$A$1:$A$20000,0),MATCH("Intent",'Semrush Data'!$A$1:$Z$1,0)),"")</f>
        <v/>
      </c>
    </row>
    <row r="2611" customFormat="false" ht="15" hidden="false" customHeight="true" outlineLevel="0" collapsed="false">
      <c r="A2611" s="6" t="s">
        <v>7306</v>
      </c>
      <c r="B2611" s="6" t="s">
        <v>239</v>
      </c>
      <c r="C2611" s="6" t="n">
        <v>3</v>
      </c>
      <c r="D2611" s="6" t="n">
        <v>27</v>
      </c>
      <c r="E2611" s="6" t="n">
        <v>1</v>
      </c>
      <c r="F2611" s="6" t="s">
        <v>3735</v>
      </c>
      <c r="G2611" s="28" t="str">
        <f aca="false">IFERROR(INDEX('Semrush Data'!$A$1:$Z$20000,MATCH(A2611,'Semrush Data'!$A$1:$A$20000,0),MATCH("Volume",'Semrush Data'!$A$1:$Z$1,0)),"")</f>
        <v/>
      </c>
      <c r="H2611" s="6" t="str">
        <f aca="false">IFERROR(INDEX('Semrush Data'!$A$1:$Z$20000,MATCH(A2611,'Semrush Data'!$A$1:$A$20000,0),MATCH("Keyword Difficulty*",'Semrush Data'!$A$1:$Z$1,0)),"")</f>
        <v/>
      </c>
      <c r="I2611" s="29" t="str">
        <f aca="false">IFERROR(INDEX('Semrush Data'!$A$1:$Z$20000,MATCH(A2611,'Semrush Data'!$A$1:$A$20000,0),MATCH("CPC*",'Semrush Data'!$A$1:$Z$1,0)),"")</f>
        <v/>
      </c>
      <c r="J2611" s="6" t="str">
        <f aca="false">IFERROR(INDEX('Semrush Data'!$A$1:$Z$20000,MATCH(A2611,'Semrush Data'!$A$1:$A$20000,0),MATCH("Intent",'Semrush Data'!$A$1:$Z$1,0)),"")</f>
        <v/>
      </c>
    </row>
    <row r="2612" customFormat="false" ht="15" hidden="false" customHeight="true" outlineLevel="0" collapsed="false">
      <c r="A2612" s="6" t="s">
        <v>7307</v>
      </c>
      <c r="B2612" s="6" t="s">
        <v>239</v>
      </c>
      <c r="C2612" s="6" t="n">
        <v>3</v>
      </c>
      <c r="D2612" s="6" t="n">
        <v>27</v>
      </c>
      <c r="E2612" s="6" t="n">
        <v>1</v>
      </c>
      <c r="F2612" s="6" t="s">
        <v>3735</v>
      </c>
      <c r="G2612" s="28" t="str">
        <f aca="false">IFERROR(INDEX('Semrush Data'!$A$1:$Z$20000,MATCH(A2612,'Semrush Data'!$A$1:$A$20000,0),MATCH("Volume",'Semrush Data'!$A$1:$Z$1,0)),"")</f>
        <v/>
      </c>
      <c r="H2612" s="6" t="str">
        <f aca="false">IFERROR(INDEX('Semrush Data'!$A$1:$Z$20000,MATCH(A2612,'Semrush Data'!$A$1:$A$20000,0),MATCH("Keyword Difficulty*",'Semrush Data'!$A$1:$Z$1,0)),"")</f>
        <v/>
      </c>
      <c r="I2612" s="29" t="str">
        <f aca="false">IFERROR(INDEX('Semrush Data'!$A$1:$Z$20000,MATCH(A2612,'Semrush Data'!$A$1:$A$20000,0),MATCH("CPC*",'Semrush Data'!$A$1:$Z$1,0)),"")</f>
        <v/>
      </c>
      <c r="J2612" s="6" t="str">
        <f aca="false">IFERROR(INDEX('Semrush Data'!$A$1:$Z$20000,MATCH(A2612,'Semrush Data'!$A$1:$A$20000,0),MATCH("Intent",'Semrush Data'!$A$1:$Z$1,0)),"")</f>
        <v/>
      </c>
    </row>
    <row r="2613" customFormat="false" ht="15" hidden="false" customHeight="true" outlineLevel="0" collapsed="false">
      <c r="A2613" s="6" t="s">
        <v>7308</v>
      </c>
      <c r="B2613" s="6" t="s">
        <v>239</v>
      </c>
      <c r="C2613" s="6" t="n">
        <v>3</v>
      </c>
      <c r="D2613" s="6" t="n">
        <v>27</v>
      </c>
      <c r="E2613" s="6" t="n">
        <v>1</v>
      </c>
      <c r="F2613" s="6" t="s">
        <v>3735</v>
      </c>
      <c r="G2613" s="28" t="str">
        <f aca="false">IFERROR(INDEX('Semrush Data'!$A$1:$Z$20000,MATCH(A2613,'Semrush Data'!$A$1:$A$20000,0),MATCH("Volume",'Semrush Data'!$A$1:$Z$1,0)),"")</f>
        <v/>
      </c>
      <c r="H2613" s="6" t="str">
        <f aca="false">IFERROR(INDEX('Semrush Data'!$A$1:$Z$20000,MATCH(A2613,'Semrush Data'!$A$1:$A$20000,0),MATCH("Keyword Difficulty*",'Semrush Data'!$A$1:$Z$1,0)),"")</f>
        <v/>
      </c>
      <c r="I2613" s="29" t="str">
        <f aca="false">IFERROR(INDEX('Semrush Data'!$A$1:$Z$20000,MATCH(A2613,'Semrush Data'!$A$1:$A$20000,0),MATCH("CPC*",'Semrush Data'!$A$1:$Z$1,0)),"")</f>
        <v/>
      </c>
      <c r="J2613" s="6" t="str">
        <f aca="false">IFERROR(INDEX('Semrush Data'!$A$1:$Z$20000,MATCH(A2613,'Semrush Data'!$A$1:$A$20000,0),MATCH("Intent",'Semrush Data'!$A$1:$Z$1,0)),"")</f>
        <v/>
      </c>
    </row>
    <row r="2614" customFormat="false" ht="15" hidden="false" customHeight="true" outlineLevel="0" collapsed="false">
      <c r="A2614" s="6" t="s">
        <v>7309</v>
      </c>
      <c r="B2614" s="6" t="s">
        <v>239</v>
      </c>
      <c r="C2614" s="6" t="n">
        <v>3</v>
      </c>
      <c r="D2614" s="6" t="n">
        <v>27</v>
      </c>
      <c r="E2614" s="6" t="n">
        <v>1</v>
      </c>
      <c r="F2614" s="6" t="s">
        <v>3748</v>
      </c>
      <c r="G2614" s="28" t="str">
        <f aca="false">IFERROR(INDEX('Semrush Data'!$A$1:$Z$20000,MATCH(A2614,'Semrush Data'!$A$1:$A$20000,0),MATCH("Volume",'Semrush Data'!$A$1:$Z$1,0)),"")</f>
        <v/>
      </c>
      <c r="H2614" s="6" t="str">
        <f aca="false">IFERROR(INDEX('Semrush Data'!$A$1:$Z$20000,MATCH(A2614,'Semrush Data'!$A$1:$A$20000,0),MATCH("Keyword Difficulty*",'Semrush Data'!$A$1:$Z$1,0)),"")</f>
        <v/>
      </c>
      <c r="I2614" s="29" t="str">
        <f aca="false">IFERROR(INDEX('Semrush Data'!$A$1:$Z$20000,MATCH(A2614,'Semrush Data'!$A$1:$A$20000,0),MATCH("CPC*",'Semrush Data'!$A$1:$Z$1,0)),"")</f>
        <v/>
      </c>
      <c r="J2614" s="6" t="str">
        <f aca="false">IFERROR(INDEX('Semrush Data'!$A$1:$Z$20000,MATCH(A2614,'Semrush Data'!$A$1:$A$20000,0),MATCH("Intent",'Semrush Data'!$A$1:$Z$1,0)),"")</f>
        <v/>
      </c>
    </row>
    <row r="2615" customFormat="false" ht="15" hidden="false" customHeight="true" outlineLevel="0" collapsed="false">
      <c r="A2615" s="6" t="s">
        <v>7310</v>
      </c>
      <c r="B2615" s="6" t="s">
        <v>239</v>
      </c>
      <c r="C2615" s="6" t="n">
        <v>3</v>
      </c>
      <c r="D2615" s="6" t="n">
        <v>27</v>
      </c>
      <c r="E2615" s="6" t="n">
        <v>1</v>
      </c>
      <c r="F2615" s="6" t="s">
        <v>3748</v>
      </c>
      <c r="G2615" s="28" t="str">
        <f aca="false">IFERROR(INDEX('Semrush Data'!$A$1:$Z$20000,MATCH(A2615,'Semrush Data'!$A$1:$A$20000,0),MATCH("Volume",'Semrush Data'!$A$1:$Z$1,0)),"")</f>
        <v/>
      </c>
      <c r="H2615" s="6" t="str">
        <f aca="false">IFERROR(INDEX('Semrush Data'!$A$1:$Z$20000,MATCH(A2615,'Semrush Data'!$A$1:$A$20000,0),MATCH("Keyword Difficulty*",'Semrush Data'!$A$1:$Z$1,0)),"")</f>
        <v/>
      </c>
      <c r="I2615" s="29" t="str">
        <f aca="false">IFERROR(INDEX('Semrush Data'!$A$1:$Z$20000,MATCH(A2615,'Semrush Data'!$A$1:$A$20000,0),MATCH("CPC*",'Semrush Data'!$A$1:$Z$1,0)),"")</f>
        <v/>
      </c>
      <c r="J2615" s="6" t="str">
        <f aca="false">IFERROR(INDEX('Semrush Data'!$A$1:$Z$20000,MATCH(A2615,'Semrush Data'!$A$1:$A$20000,0),MATCH("Intent",'Semrush Data'!$A$1:$Z$1,0)),"")</f>
        <v/>
      </c>
    </row>
    <row r="2616" customFormat="false" ht="15" hidden="false" customHeight="true" outlineLevel="0" collapsed="false">
      <c r="A2616" s="6" t="s">
        <v>7311</v>
      </c>
      <c r="B2616" s="6" t="s">
        <v>239</v>
      </c>
      <c r="C2616" s="6" t="n">
        <v>3</v>
      </c>
      <c r="D2616" s="6" t="n">
        <v>27</v>
      </c>
      <c r="E2616" s="6" t="n">
        <v>1</v>
      </c>
      <c r="F2616" s="6" t="s">
        <v>3748</v>
      </c>
      <c r="G2616" s="28" t="str">
        <f aca="false">IFERROR(INDEX('Semrush Data'!$A$1:$Z$20000,MATCH(A2616,'Semrush Data'!$A$1:$A$20000,0),MATCH("Volume",'Semrush Data'!$A$1:$Z$1,0)),"")</f>
        <v/>
      </c>
      <c r="H2616" s="6" t="str">
        <f aca="false">IFERROR(INDEX('Semrush Data'!$A$1:$Z$20000,MATCH(A2616,'Semrush Data'!$A$1:$A$20000,0),MATCH("Keyword Difficulty*",'Semrush Data'!$A$1:$Z$1,0)),"")</f>
        <v/>
      </c>
      <c r="I2616" s="29" t="str">
        <f aca="false">IFERROR(INDEX('Semrush Data'!$A$1:$Z$20000,MATCH(A2616,'Semrush Data'!$A$1:$A$20000,0),MATCH("CPC*",'Semrush Data'!$A$1:$Z$1,0)),"")</f>
        <v/>
      </c>
      <c r="J2616" s="6" t="str">
        <f aca="false">IFERROR(INDEX('Semrush Data'!$A$1:$Z$20000,MATCH(A2616,'Semrush Data'!$A$1:$A$20000,0),MATCH("Intent",'Semrush Data'!$A$1:$Z$1,0)),"")</f>
        <v/>
      </c>
    </row>
    <row r="2617" customFormat="false" ht="15" hidden="false" customHeight="true" outlineLevel="0" collapsed="false">
      <c r="A2617" s="6" t="s">
        <v>7312</v>
      </c>
      <c r="B2617" s="6" t="s">
        <v>239</v>
      </c>
      <c r="C2617" s="6" t="n">
        <v>3</v>
      </c>
      <c r="D2617" s="6" t="n">
        <v>27</v>
      </c>
      <c r="E2617" s="6" t="n">
        <v>1</v>
      </c>
      <c r="F2617" s="6" t="s">
        <v>3761</v>
      </c>
      <c r="G2617" s="28" t="str">
        <f aca="false">IFERROR(INDEX('Semrush Data'!$A$1:$Z$20000,MATCH(A2617,'Semrush Data'!$A$1:$A$20000,0),MATCH("Volume",'Semrush Data'!$A$1:$Z$1,0)),"")</f>
        <v/>
      </c>
      <c r="H2617" s="6" t="str">
        <f aca="false">IFERROR(INDEX('Semrush Data'!$A$1:$Z$20000,MATCH(A2617,'Semrush Data'!$A$1:$A$20000,0),MATCH("Keyword Difficulty*",'Semrush Data'!$A$1:$Z$1,0)),"")</f>
        <v/>
      </c>
      <c r="I2617" s="29" t="str">
        <f aca="false">IFERROR(INDEX('Semrush Data'!$A$1:$Z$20000,MATCH(A2617,'Semrush Data'!$A$1:$A$20000,0),MATCH("CPC*",'Semrush Data'!$A$1:$Z$1,0)),"")</f>
        <v/>
      </c>
      <c r="J2617" s="6" t="str">
        <f aca="false">IFERROR(INDEX('Semrush Data'!$A$1:$Z$20000,MATCH(A2617,'Semrush Data'!$A$1:$A$20000,0),MATCH("Intent",'Semrush Data'!$A$1:$Z$1,0)),"")</f>
        <v/>
      </c>
    </row>
    <row r="2618" customFormat="false" ht="15" hidden="false" customHeight="true" outlineLevel="0" collapsed="false">
      <c r="A2618" s="6" t="s">
        <v>7313</v>
      </c>
      <c r="B2618" s="6" t="s">
        <v>239</v>
      </c>
      <c r="C2618" s="6" t="n">
        <v>3</v>
      </c>
      <c r="D2618" s="6" t="n">
        <v>27</v>
      </c>
      <c r="E2618" s="6" t="n">
        <v>1</v>
      </c>
      <c r="F2618" s="6" t="s">
        <v>3772</v>
      </c>
      <c r="G2618" s="28" t="str">
        <f aca="false">IFERROR(INDEX('Semrush Data'!$A$1:$Z$20000,MATCH(A2618,'Semrush Data'!$A$1:$A$20000,0),MATCH("Volume",'Semrush Data'!$A$1:$Z$1,0)),"")</f>
        <v/>
      </c>
      <c r="H2618" s="6" t="str">
        <f aca="false">IFERROR(INDEX('Semrush Data'!$A$1:$Z$20000,MATCH(A2618,'Semrush Data'!$A$1:$A$20000,0),MATCH("Keyword Difficulty*",'Semrush Data'!$A$1:$Z$1,0)),"")</f>
        <v/>
      </c>
      <c r="I2618" s="29" t="str">
        <f aca="false">IFERROR(INDEX('Semrush Data'!$A$1:$Z$20000,MATCH(A2618,'Semrush Data'!$A$1:$A$20000,0),MATCH("CPC*",'Semrush Data'!$A$1:$Z$1,0)),"")</f>
        <v/>
      </c>
      <c r="J2618" s="6" t="str">
        <f aca="false">IFERROR(INDEX('Semrush Data'!$A$1:$Z$20000,MATCH(A2618,'Semrush Data'!$A$1:$A$20000,0),MATCH("Intent",'Semrush Data'!$A$1:$Z$1,0)),"")</f>
        <v/>
      </c>
    </row>
    <row r="2619" customFormat="false" ht="15" hidden="false" customHeight="true" outlineLevel="0" collapsed="false">
      <c r="A2619" s="6" t="s">
        <v>7314</v>
      </c>
      <c r="B2619" s="6" t="s">
        <v>239</v>
      </c>
      <c r="C2619" s="6" t="n">
        <v>3</v>
      </c>
      <c r="D2619" s="6" t="n">
        <v>27</v>
      </c>
      <c r="E2619" s="6" t="n">
        <v>1</v>
      </c>
      <c r="F2619" s="6" t="s">
        <v>3772</v>
      </c>
      <c r="G2619" s="28" t="str">
        <f aca="false">IFERROR(INDEX('Semrush Data'!$A$1:$Z$20000,MATCH(A2619,'Semrush Data'!$A$1:$A$20000,0),MATCH("Volume",'Semrush Data'!$A$1:$Z$1,0)),"")</f>
        <v/>
      </c>
      <c r="H2619" s="6" t="str">
        <f aca="false">IFERROR(INDEX('Semrush Data'!$A$1:$Z$20000,MATCH(A2619,'Semrush Data'!$A$1:$A$20000,0),MATCH("Keyword Difficulty*",'Semrush Data'!$A$1:$Z$1,0)),"")</f>
        <v/>
      </c>
      <c r="I2619" s="29" t="str">
        <f aca="false">IFERROR(INDEX('Semrush Data'!$A$1:$Z$20000,MATCH(A2619,'Semrush Data'!$A$1:$A$20000,0),MATCH("CPC*",'Semrush Data'!$A$1:$Z$1,0)),"")</f>
        <v/>
      </c>
      <c r="J2619" s="6" t="str">
        <f aca="false">IFERROR(INDEX('Semrush Data'!$A$1:$Z$20000,MATCH(A2619,'Semrush Data'!$A$1:$A$20000,0),MATCH("Intent",'Semrush Data'!$A$1:$Z$1,0)),"")</f>
        <v/>
      </c>
    </row>
    <row r="2620" customFormat="false" ht="15" hidden="false" customHeight="true" outlineLevel="0" collapsed="false">
      <c r="A2620" s="6" t="s">
        <v>7315</v>
      </c>
      <c r="B2620" s="6" t="s">
        <v>239</v>
      </c>
      <c r="C2620" s="6" t="n">
        <v>3</v>
      </c>
      <c r="D2620" s="6" t="n">
        <v>27</v>
      </c>
      <c r="E2620" s="6" t="n">
        <v>1</v>
      </c>
      <c r="F2620" s="6" t="s">
        <v>3772</v>
      </c>
      <c r="G2620" s="28" t="str">
        <f aca="false">IFERROR(INDEX('Semrush Data'!$A$1:$Z$20000,MATCH(A2620,'Semrush Data'!$A$1:$A$20000,0),MATCH("Volume",'Semrush Data'!$A$1:$Z$1,0)),"")</f>
        <v/>
      </c>
      <c r="H2620" s="6" t="str">
        <f aca="false">IFERROR(INDEX('Semrush Data'!$A$1:$Z$20000,MATCH(A2620,'Semrush Data'!$A$1:$A$20000,0),MATCH("Keyword Difficulty*",'Semrush Data'!$A$1:$Z$1,0)),"")</f>
        <v/>
      </c>
      <c r="I2620" s="29" t="str">
        <f aca="false">IFERROR(INDEX('Semrush Data'!$A$1:$Z$20000,MATCH(A2620,'Semrush Data'!$A$1:$A$20000,0),MATCH("CPC*",'Semrush Data'!$A$1:$Z$1,0)),"")</f>
        <v/>
      </c>
      <c r="J2620" s="6" t="str">
        <f aca="false">IFERROR(INDEX('Semrush Data'!$A$1:$Z$20000,MATCH(A2620,'Semrush Data'!$A$1:$A$20000,0),MATCH("Intent",'Semrush Data'!$A$1:$Z$1,0)),"")</f>
        <v/>
      </c>
    </row>
    <row r="2621" customFormat="false" ht="15" hidden="false" customHeight="true" outlineLevel="0" collapsed="false">
      <c r="A2621" s="6" t="s">
        <v>7316</v>
      </c>
      <c r="B2621" s="6" t="s">
        <v>239</v>
      </c>
      <c r="C2621" s="6" t="n">
        <v>3</v>
      </c>
      <c r="D2621" s="6" t="n">
        <v>27</v>
      </c>
      <c r="E2621" s="6" t="n">
        <v>1</v>
      </c>
      <c r="F2621" s="6" t="s">
        <v>3783</v>
      </c>
      <c r="G2621" s="28" t="str">
        <f aca="false">IFERROR(INDEX('Semrush Data'!$A$1:$Z$20000,MATCH(A2621,'Semrush Data'!$A$1:$A$20000,0),MATCH("Volume",'Semrush Data'!$A$1:$Z$1,0)),"")</f>
        <v/>
      </c>
      <c r="H2621" s="6" t="str">
        <f aca="false">IFERROR(INDEX('Semrush Data'!$A$1:$Z$20000,MATCH(A2621,'Semrush Data'!$A$1:$A$20000,0),MATCH("Keyword Difficulty*",'Semrush Data'!$A$1:$Z$1,0)),"")</f>
        <v/>
      </c>
      <c r="I2621" s="29" t="str">
        <f aca="false">IFERROR(INDEX('Semrush Data'!$A$1:$Z$20000,MATCH(A2621,'Semrush Data'!$A$1:$A$20000,0),MATCH("CPC*",'Semrush Data'!$A$1:$Z$1,0)),"")</f>
        <v/>
      </c>
      <c r="J2621" s="6" t="str">
        <f aca="false">IFERROR(INDEX('Semrush Data'!$A$1:$Z$20000,MATCH(A2621,'Semrush Data'!$A$1:$A$20000,0),MATCH("Intent",'Semrush Data'!$A$1:$Z$1,0)),"")</f>
        <v/>
      </c>
    </row>
    <row r="2622" customFormat="false" ht="15" hidden="false" customHeight="true" outlineLevel="0" collapsed="false">
      <c r="A2622" s="6" t="s">
        <v>7317</v>
      </c>
      <c r="B2622" s="6" t="s">
        <v>239</v>
      </c>
      <c r="C2622" s="6" t="n">
        <v>3</v>
      </c>
      <c r="D2622" s="6" t="n">
        <v>27</v>
      </c>
      <c r="E2622" s="6" t="n">
        <v>1</v>
      </c>
      <c r="F2622" s="6" t="s">
        <v>3783</v>
      </c>
      <c r="G2622" s="28" t="str">
        <f aca="false">IFERROR(INDEX('Semrush Data'!$A$1:$Z$20000,MATCH(A2622,'Semrush Data'!$A$1:$A$20000,0),MATCH("Volume",'Semrush Data'!$A$1:$Z$1,0)),"")</f>
        <v/>
      </c>
      <c r="H2622" s="6" t="str">
        <f aca="false">IFERROR(INDEX('Semrush Data'!$A$1:$Z$20000,MATCH(A2622,'Semrush Data'!$A$1:$A$20000,0),MATCH("Keyword Difficulty*",'Semrush Data'!$A$1:$Z$1,0)),"")</f>
        <v/>
      </c>
      <c r="I2622" s="29" t="str">
        <f aca="false">IFERROR(INDEX('Semrush Data'!$A$1:$Z$20000,MATCH(A2622,'Semrush Data'!$A$1:$A$20000,0),MATCH("CPC*",'Semrush Data'!$A$1:$Z$1,0)),"")</f>
        <v/>
      </c>
      <c r="J2622" s="6" t="str">
        <f aca="false">IFERROR(INDEX('Semrush Data'!$A$1:$Z$20000,MATCH(A2622,'Semrush Data'!$A$1:$A$20000,0),MATCH("Intent",'Semrush Data'!$A$1:$Z$1,0)),"")</f>
        <v/>
      </c>
    </row>
    <row r="2623" customFormat="false" ht="15" hidden="false" customHeight="true" outlineLevel="0" collapsed="false">
      <c r="A2623" s="6" t="s">
        <v>7318</v>
      </c>
      <c r="B2623" s="6" t="s">
        <v>239</v>
      </c>
      <c r="C2623" s="6" t="n">
        <v>3</v>
      </c>
      <c r="D2623" s="6" t="n">
        <v>27</v>
      </c>
      <c r="E2623" s="6" t="n">
        <v>1</v>
      </c>
      <c r="F2623" s="6" t="s">
        <v>3795</v>
      </c>
      <c r="G2623" s="28" t="str">
        <f aca="false">IFERROR(INDEX('Semrush Data'!$A$1:$Z$20000,MATCH(A2623,'Semrush Data'!$A$1:$A$20000,0),MATCH("Volume",'Semrush Data'!$A$1:$Z$1,0)),"")</f>
        <v/>
      </c>
      <c r="H2623" s="6" t="str">
        <f aca="false">IFERROR(INDEX('Semrush Data'!$A$1:$Z$20000,MATCH(A2623,'Semrush Data'!$A$1:$A$20000,0),MATCH("Keyword Difficulty*",'Semrush Data'!$A$1:$Z$1,0)),"")</f>
        <v/>
      </c>
      <c r="I2623" s="29" t="str">
        <f aca="false">IFERROR(INDEX('Semrush Data'!$A$1:$Z$20000,MATCH(A2623,'Semrush Data'!$A$1:$A$20000,0),MATCH("CPC*",'Semrush Data'!$A$1:$Z$1,0)),"")</f>
        <v/>
      </c>
      <c r="J2623" s="6" t="str">
        <f aca="false">IFERROR(INDEX('Semrush Data'!$A$1:$Z$20000,MATCH(A2623,'Semrush Data'!$A$1:$A$20000,0),MATCH("Intent",'Semrush Data'!$A$1:$Z$1,0)),"")</f>
        <v/>
      </c>
    </row>
    <row r="2624" customFormat="false" ht="15" hidden="false" customHeight="true" outlineLevel="0" collapsed="false">
      <c r="A2624" s="6" t="s">
        <v>7319</v>
      </c>
      <c r="B2624" s="6" t="s">
        <v>239</v>
      </c>
      <c r="C2624" s="6" t="n">
        <v>3</v>
      </c>
      <c r="D2624" s="6" t="n">
        <v>27</v>
      </c>
      <c r="E2624" s="6" t="n">
        <v>1</v>
      </c>
      <c r="F2624" s="6" t="s">
        <v>3795</v>
      </c>
      <c r="G2624" s="28" t="str">
        <f aca="false">IFERROR(INDEX('Semrush Data'!$A$1:$Z$20000,MATCH(A2624,'Semrush Data'!$A$1:$A$20000,0),MATCH("Volume",'Semrush Data'!$A$1:$Z$1,0)),"")</f>
        <v/>
      </c>
      <c r="H2624" s="6" t="str">
        <f aca="false">IFERROR(INDEX('Semrush Data'!$A$1:$Z$20000,MATCH(A2624,'Semrush Data'!$A$1:$A$20000,0),MATCH("Keyword Difficulty*",'Semrush Data'!$A$1:$Z$1,0)),"")</f>
        <v/>
      </c>
      <c r="I2624" s="29" t="str">
        <f aca="false">IFERROR(INDEX('Semrush Data'!$A$1:$Z$20000,MATCH(A2624,'Semrush Data'!$A$1:$A$20000,0),MATCH("CPC*",'Semrush Data'!$A$1:$Z$1,0)),"")</f>
        <v/>
      </c>
      <c r="J2624" s="6" t="str">
        <f aca="false">IFERROR(INDEX('Semrush Data'!$A$1:$Z$20000,MATCH(A2624,'Semrush Data'!$A$1:$A$20000,0),MATCH("Intent",'Semrush Data'!$A$1:$Z$1,0)),"")</f>
        <v/>
      </c>
    </row>
    <row r="2625" customFormat="false" ht="15" hidden="false" customHeight="true" outlineLevel="0" collapsed="false">
      <c r="A2625" s="6" t="s">
        <v>7320</v>
      </c>
      <c r="B2625" s="6" t="s">
        <v>239</v>
      </c>
      <c r="C2625" s="6" t="n">
        <v>3</v>
      </c>
      <c r="D2625" s="6" t="n">
        <v>27</v>
      </c>
      <c r="E2625" s="6" t="n">
        <v>1</v>
      </c>
      <c r="F2625" s="6" t="s">
        <v>3795</v>
      </c>
      <c r="G2625" s="28" t="str">
        <f aca="false">IFERROR(INDEX('Semrush Data'!$A$1:$Z$20000,MATCH(A2625,'Semrush Data'!$A$1:$A$20000,0),MATCH("Volume",'Semrush Data'!$A$1:$Z$1,0)),"")</f>
        <v/>
      </c>
      <c r="H2625" s="6" t="str">
        <f aca="false">IFERROR(INDEX('Semrush Data'!$A$1:$Z$20000,MATCH(A2625,'Semrush Data'!$A$1:$A$20000,0),MATCH("Keyword Difficulty*",'Semrush Data'!$A$1:$Z$1,0)),"")</f>
        <v/>
      </c>
      <c r="I2625" s="29" t="str">
        <f aca="false">IFERROR(INDEX('Semrush Data'!$A$1:$Z$20000,MATCH(A2625,'Semrush Data'!$A$1:$A$20000,0),MATCH("CPC*",'Semrush Data'!$A$1:$Z$1,0)),"")</f>
        <v/>
      </c>
      <c r="J2625" s="6" t="str">
        <f aca="false">IFERROR(INDEX('Semrush Data'!$A$1:$Z$20000,MATCH(A2625,'Semrush Data'!$A$1:$A$20000,0),MATCH("Intent",'Semrush Data'!$A$1:$Z$1,0)),"")</f>
        <v/>
      </c>
    </row>
    <row r="2626" customFormat="false" ht="15" hidden="false" customHeight="true" outlineLevel="0" collapsed="false">
      <c r="A2626" s="6" t="s">
        <v>7321</v>
      </c>
      <c r="B2626" s="6" t="s">
        <v>239</v>
      </c>
      <c r="C2626" s="6" t="n">
        <v>3</v>
      </c>
      <c r="D2626" s="6" t="n">
        <v>27</v>
      </c>
      <c r="E2626" s="6" t="n">
        <v>1</v>
      </c>
      <c r="F2626" s="6" t="s">
        <v>3795</v>
      </c>
      <c r="G2626" s="28" t="str">
        <f aca="false">IFERROR(INDEX('Semrush Data'!$A$1:$Z$20000,MATCH(A2626,'Semrush Data'!$A$1:$A$20000,0),MATCH("Volume",'Semrush Data'!$A$1:$Z$1,0)),"")</f>
        <v/>
      </c>
      <c r="H2626" s="6" t="str">
        <f aca="false">IFERROR(INDEX('Semrush Data'!$A$1:$Z$20000,MATCH(A2626,'Semrush Data'!$A$1:$A$20000,0),MATCH("Keyword Difficulty*",'Semrush Data'!$A$1:$Z$1,0)),"")</f>
        <v/>
      </c>
      <c r="I2626" s="29" t="str">
        <f aca="false">IFERROR(INDEX('Semrush Data'!$A$1:$Z$20000,MATCH(A2626,'Semrush Data'!$A$1:$A$20000,0),MATCH("CPC*",'Semrush Data'!$A$1:$Z$1,0)),"")</f>
        <v/>
      </c>
      <c r="J2626" s="6" t="str">
        <f aca="false">IFERROR(INDEX('Semrush Data'!$A$1:$Z$20000,MATCH(A2626,'Semrush Data'!$A$1:$A$20000,0),MATCH("Intent",'Semrush Data'!$A$1:$Z$1,0)),"")</f>
        <v/>
      </c>
    </row>
    <row r="2627" customFormat="false" ht="15" hidden="false" customHeight="true" outlineLevel="0" collapsed="false">
      <c r="A2627" s="6" t="s">
        <v>7322</v>
      </c>
      <c r="B2627" s="6" t="s">
        <v>239</v>
      </c>
      <c r="C2627" s="6" t="n">
        <v>3</v>
      </c>
      <c r="D2627" s="6" t="n">
        <v>27</v>
      </c>
      <c r="E2627" s="6" t="n">
        <v>1</v>
      </c>
      <c r="F2627" s="6" t="s">
        <v>3795</v>
      </c>
      <c r="G2627" s="28" t="str">
        <f aca="false">IFERROR(INDEX('Semrush Data'!$A$1:$Z$20000,MATCH(A2627,'Semrush Data'!$A$1:$A$20000,0),MATCH("Volume",'Semrush Data'!$A$1:$Z$1,0)),"")</f>
        <v/>
      </c>
      <c r="H2627" s="6" t="str">
        <f aca="false">IFERROR(INDEX('Semrush Data'!$A$1:$Z$20000,MATCH(A2627,'Semrush Data'!$A$1:$A$20000,0),MATCH("Keyword Difficulty*",'Semrush Data'!$A$1:$Z$1,0)),"")</f>
        <v/>
      </c>
      <c r="I2627" s="29" t="str">
        <f aca="false">IFERROR(INDEX('Semrush Data'!$A$1:$Z$20000,MATCH(A2627,'Semrush Data'!$A$1:$A$20000,0),MATCH("CPC*",'Semrush Data'!$A$1:$Z$1,0)),"")</f>
        <v/>
      </c>
      <c r="J2627" s="6" t="str">
        <f aca="false">IFERROR(INDEX('Semrush Data'!$A$1:$Z$20000,MATCH(A2627,'Semrush Data'!$A$1:$A$20000,0),MATCH("Intent",'Semrush Data'!$A$1:$Z$1,0)),"")</f>
        <v/>
      </c>
    </row>
    <row r="2628" customFormat="false" ht="15" hidden="false" customHeight="true" outlineLevel="0" collapsed="false">
      <c r="A2628" s="6" t="s">
        <v>7323</v>
      </c>
      <c r="B2628" s="6" t="s">
        <v>239</v>
      </c>
      <c r="C2628" s="6" t="n">
        <v>3</v>
      </c>
      <c r="D2628" s="6" t="n">
        <v>27</v>
      </c>
      <c r="E2628" s="6" t="n">
        <v>1</v>
      </c>
      <c r="F2628" s="6" t="s">
        <v>3806</v>
      </c>
      <c r="G2628" s="28" t="str">
        <f aca="false">IFERROR(INDEX('Semrush Data'!$A$1:$Z$20000,MATCH(A2628,'Semrush Data'!$A$1:$A$20000,0),MATCH("Volume",'Semrush Data'!$A$1:$Z$1,0)),"")</f>
        <v/>
      </c>
      <c r="H2628" s="6" t="str">
        <f aca="false">IFERROR(INDEX('Semrush Data'!$A$1:$Z$20000,MATCH(A2628,'Semrush Data'!$A$1:$A$20000,0),MATCH("Keyword Difficulty*",'Semrush Data'!$A$1:$Z$1,0)),"")</f>
        <v/>
      </c>
      <c r="I2628" s="29" t="str">
        <f aca="false">IFERROR(INDEX('Semrush Data'!$A$1:$Z$20000,MATCH(A2628,'Semrush Data'!$A$1:$A$20000,0),MATCH("CPC*",'Semrush Data'!$A$1:$Z$1,0)),"")</f>
        <v/>
      </c>
      <c r="J2628" s="6" t="str">
        <f aca="false">IFERROR(INDEX('Semrush Data'!$A$1:$Z$20000,MATCH(A2628,'Semrush Data'!$A$1:$A$20000,0),MATCH("Intent",'Semrush Data'!$A$1:$Z$1,0)),"")</f>
        <v/>
      </c>
    </row>
    <row r="2629" customFormat="false" ht="15" hidden="false" customHeight="true" outlineLevel="0" collapsed="false">
      <c r="A2629" s="6" t="s">
        <v>7324</v>
      </c>
      <c r="B2629" s="6" t="s">
        <v>239</v>
      </c>
      <c r="C2629" s="6" t="n">
        <v>3</v>
      </c>
      <c r="D2629" s="6" t="n">
        <v>27</v>
      </c>
      <c r="E2629" s="6" t="n">
        <v>1</v>
      </c>
      <c r="F2629" s="6" t="s">
        <v>3817</v>
      </c>
      <c r="G2629" s="28" t="str">
        <f aca="false">IFERROR(INDEX('Semrush Data'!$A$1:$Z$20000,MATCH(A2629,'Semrush Data'!$A$1:$A$20000,0),MATCH("Volume",'Semrush Data'!$A$1:$Z$1,0)),"")</f>
        <v/>
      </c>
      <c r="H2629" s="6" t="str">
        <f aca="false">IFERROR(INDEX('Semrush Data'!$A$1:$Z$20000,MATCH(A2629,'Semrush Data'!$A$1:$A$20000,0),MATCH("Keyword Difficulty*",'Semrush Data'!$A$1:$Z$1,0)),"")</f>
        <v/>
      </c>
      <c r="I2629" s="29" t="str">
        <f aca="false">IFERROR(INDEX('Semrush Data'!$A$1:$Z$20000,MATCH(A2629,'Semrush Data'!$A$1:$A$20000,0),MATCH("CPC*",'Semrush Data'!$A$1:$Z$1,0)),"")</f>
        <v/>
      </c>
      <c r="J2629" s="6" t="str">
        <f aca="false">IFERROR(INDEX('Semrush Data'!$A$1:$Z$20000,MATCH(A2629,'Semrush Data'!$A$1:$A$20000,0),MATCH("Intent",'Semrush Data'!$A$1:$Z$1,0)),"")</f>
        <v/>
      </c>
    </row>
    <row r="2630" customFormat="false" ht="15" hidden="false" customHeight="true" outlineLevel="0" collapsed="false">
      <c r="A2630" s="6" t="s">
        <v>7325</v>
      </c>
      <c r="B2630" s="6" t="s">
        <v>239</v>
      </c>
      <c r="C2630" s="6" t="n">
        <v>3</v>
      </c>
      <c r="D2630" s="6" t="n">
        <v>27</v>
      </c>
      <c r="E2630" s="6" t="n">
        <v>1</v>
      </c>
      <c r="F2630" s="6" t="s">
        <v>3817</v>
      </c>
      <c r="G2630" s="28" t="str">
        <f aca="false">IFERROR(INDEX('Semrush Data'!$A$1:$Z$20000,MATCH(A2630,'Semrush Data'!$A$1:$A$20000,0),MATCH("Volume",'Semrush Data'!$A$1:$Z$1,0)),"")</f>
        <v/>
      </c>
      <c r="H2630" s="6" t="str">
        <f aca="false">IFERROR(INDEX('Semrush Data'!$A$1:$Z$20000,MATCH(A2630,'Semrush Data'!$A$1:$A$20000,0),MATCH("Keyword Difficulty*",'Semrush Data'!$A$1:$Z$1,0)),"")</f>
        <v/>
      </c>
      <c r="I2630" s="29" t="str">
        <f aca="false">IFERROR(INDEX('Semrush Data'!$A$1:$Z$20000,MATCH(A2630,'Semrush Data'!$A$1:$A$20000,0),MATCH("CPC*",'Semrush Data'!$A$1:$Z$1,0)),"")</f>
        <v/>
      </c>
      <c r="J2630" s="6" t="str">
        <f aca="false">IFERROR(INDEX('Semrush Data'!$A$1:$Z$20000,MATCH(A2630,'Semrush Data'!$A$1:$A$20000,0),MATCH("Intent",'Semrush Data'!$A$1:$Z$1,0)),"")</f>
        <v/>
      </c>
    </row>
    <row r="2631" customFormat="false" ht="15" hidden="false" customHeight="true" outlineLevel="0" collapsed="false">
      <c r="A2631" s="6" t="s">
        <v>7326</v>
      </c>
      <c r="B2631" s="6" t="s">
        <v>239</v>
      </c>
      <c r="C2631" s="6" t="n">
        <v>3</v>
      </c>
      <c r="D2631" s="6" t="n">
        <v>27</v>
      </c>
      <c r="E2631" s="6" t="n">
        <v>1</v>
      </c>
      <c r="F2631" s="6" t="s">
        <v>3817</v>
      </c>
      <c r="G2631" s="28" t="str">
        <f aca="false">IFERROR(INDEX('Semrush Data'!$A$1:$Z$20000,MATCH(A2631,'Semrush Data'!$A$1:$A$20000,0),MATCH("Volume",'Semrush Data'!$A$1:$Z$1,0)),"")</f>
        <v/>
      </c>
      <c r="H2631" s="6" t="str">
        <f aca="false">IFERROR(INDEX('Semrush Data'!$A$1:$Z$20000,MATCH(A2631,'Semrush Data'!$A$1:$A$20000,0),MATCH("Keyword Difficulty*",'Semrush Data'!$A$1:$Z$1,0)),"")</f>
        <v/>
      </c>
      <c r="I2631" s="29" t="str">
        <f aca="false">IFERROR(INDEX('Semrush Data'!$A$1:$Z$20000,MATCH(A2631,'Semrush Data'!$A$1:$A$20000,0),MATCH("CPC*",'Semrush Data'!$A$1:$Z$1,0)),"")</f>
        <v/>
      </c>
      <c r="J2631" s="6" t="str">
        <f aca="false">IFERROR(INDEX('Semrush Data'!$A$1:$Z$20000,MATCH(A2631,'Semrush Data'!$A$1:$A$20000,0),MATCH("Intent",'Semrush Data'!$A$1:$Z$1,0)),"")</f>
        <v/>
      </c>
    </row>
    <row r="2632" customFormat="false" ht="15" hidden="false" customHeight="true" outlineLevel="0" collapsed="false">
      <c r="A2632" s="6" t="s">
        <v>7327</v>
      </c>
      <c r="B2632" s="6" t="s">
        <v>239</v>
      </c>
      <c r="C2632" s="6" t="n">
        <v>3</v>
      </c>
      <c r="D2632" s="6" t="n">
        <v>27</v>
      </c>
      <c r="E2632" s="6" t="n">
        <v>1</v>
      </c>
      <c r="F2632" s="6" t="s">
        <v>3828</v>
      </c>
      <c r="G2632" s="28" t="str">
        <f aca="false">IFERROR(INDEX('Semrush Data'!$A$1:$Z$20000,MATCH(A2632,'Semrush Data'!$A$1:$A$20000,0),MATCH("Volume",'Semrush Data'!$A$1:$Z$1,0)),"")</f>
        <v/>
      </c>
      <c r="H2632" s="6" t="str">
        <f aca="false">IFERROR(INDEX('Semrush Data'!$A$1:$Z$20000,MATCH(A2632,'Semrush Data'!$A$1:$A$20000,0),MATCH("Keyword Difficulty*",'Semrush Data'!$A$1:$Z$1,0)),"")</f>
        <v/>
      </c>
      <c r="I2632" s="29" t="str">
        <f aca="false">IFERROR(INDEX('Semrush Data'!$A$1:$Z$20000,MATCH(A2632,'Semrush Data'!$A$1:$A$20000,0),MATCH("CPC*",'Semrush Data'!$A$1:$Z$1,0)),"")</f>
        <v/>
      </c>
      <c r="J2632" s="6" t="str">
        <f aca="false">IFERROR(INDEX('Semrush Data'!$A$1:$Z$20000,MATCH(A2632,'Semrush Data'!$A$1:$A$20000,0),MATCH("Intent",'Semrush Data'!$A$1:$Z$1,0)),"")</f>
        <v/>
      </c>
    </row>
    <row r="2633" customFormat="false" ht="15" hidden="false" customHeight="true" outlineLevel="0" collapsed="false">
      <c r="A2633" s="6" t="s">
        <v>7328</v>
      </c>
      <c r="B2633" s="6" t="s">
        <v>239</v>
      </c>
      <c r="C2633" s="6" t="n">
        <v>3</v>
      </c>
      <c r="D2633" s="6" t="n">
        <v>27</v>
      </c>
      <c r="E2633" s="6" t="n">
        <v>1</v>
      </c>
      <c r="F2633" s="6" t="s">
        <v>3828</v>
      </c>
      <c r="G2633" s="28" t="str">
        <f aca="false">IFERROR(INDEX('Semrush Data'!$A$1:$Z$20000,MATCH(A2633,'Semrush Data'!$A$1:$A$20000,0),MATCH("Volume",'Semrush Data'!$A$1:$Z$1,0)),"")</f>
        <v/>
      </c>
      <c r="H2633" s="6" t="str">
        <f aca="false">IFERROR(INDEX('Semrush Data'!$A$1:$Z$20000,MATCH(A2633,'Semrush Data'!$A$1:$A$20000,0),MATCH("Keyword Difficulty*",'Semrush Data'!$A$1:$Z$1,0)),"")</f>
        <v/>
      </c>
      <c r="I2633" s="29" t="str">
        <f aca="false">IFERROR(INDEX('Semrush Data'!$A$1:$Z$20000,MATCH(A2633,'Semrush Data'!$A$1:$A$20000,0),MATCH("CPC*",'Semrush Data'!$A$1:$Z$1,0)),"")</f>
        <v/>
      </c>
      <c r="J2633" s="6" t="str">
        <f aca="false">IFERROR(INDEX('Semrush Data'!$A$1:$Z$20000,MATCH(A2633,'Semrush Data'!$A$1:$A$20000,0),MATCH("Intent",'Semrush Data'!$A$1:$Z$1,0)),"")</f>
        <v/>
      </c>
    </row>
    <row r="2634" customFormat="false" ht="15" hidden="false" customHeight="true" outlineLevel="0" collapsed="false">
      <c r="A2634" s="6" t="s">
        <v>7329</v>
      </c>
      <c r="B2634" s="6" t="s">
        <v>239</v>
      </c>
      <c r="C2634" s="6" t="n">
        <v>3</v>
      </c>
      <c r="D2634" s="6" t="n">
        <v>27</v>
      </c>
      <c r="E2634" s="6" t="n">
        <v>2</v>
      </c>
      <c r="F2634" s="6" t="s">
        <v>7330</v>
      </c>
      <c r="G2634" s="28" t="str">
        <f aca="false">IFERROR(INDEX('Semrush Data'!$A$1:$Z$20000,MATCH(A2634,'Semrush Data'!$A$1:$A$20000,0),MATCH("Volume",'Semrush Data'!$A$1:$Z$1,0)),"")</f>
        <v/>
      </c>
      <c r="H2634" s="6" t="str">
        <f aca="false">IFERROR(INDEX('Semrush Data'!$A$1:$Z$20000,MATCH(A2634,'Semrush Data'!$A$1:$A$20000,0),MATCH("Keyword Difficulty*",'Semrush Data'!$A$1:$Z$1,0)),"")</f>
        <v/>
      </c>
      <c r="I2634" s="29" t="str">
        <f aca="false">IFERROR(INDEX('Semrush Data'!$A$1:$Z$20000,MATCH(A2634,'Semrush Data'!$A$1:$A$20000,0),MATCH("CPC*",'Semrush Data'!$A$1:$Z$1,0)),"")</f>
        <v/>
      </c>
      <c r="J2634" s="6" t="str">
        <f aca="false">IFERROR(INDEX('Semrush Data'!$A$1:$Z$20000,MATCH(A2634,'Semrush Data'!$A$1:$A$20000,0),MATCH("Intent",'Semrush Data'!$A$1:$Z$1,0)),"")</f>
        <v/>
      </c>
    </row>
    <row r="2635" customFormat="false" ht="15" hidden="false" customHeight="true" outlineLevel="0" collapsed="false">
      <c r="A2635" s="6" t="s">
        <v>7331</v>
      </c>
      <c r="B2635" s="6" t="s">
        <v>239</v>
      </c>
      <c r="C2635" s="6" t="n">
        <v>3</v>
      </c>
      <c r="D2635" s="6" t="n">
        <v>27</v>
      </c>
      <c r="E2635" s="6" t="n">
        <v>1</v>
      </c>
      <c r="F2635" s="6" t="s">
        <v>3839</v>
      </c>
      <c r="G2635" s="28" t="str">
        <f aca="false">IFERROR(INDEX('Semrush Data'!$A$1:$Z$20000,MATCH(A2635,'Semrush Data'!$A$1:$A$20000,0),MATCH("Volume",'Semrush Data'!$A$1:$Z$1,0)),"")</f>
        <v/>
      </c>
      <c r="H2635" s="6" t="str">
        <f aca="false">IFERROR(INDEX('Semrush Data'!$A$1:$Z$20000,MATCH(A2635,'Semrush Data'!$A$1:$A$20000,0),MATCH("Keyword Difficulty*",'Semrush Data'!$A$1:$Z$1,0)),"")</f>
        <v/>
      </c>
      <c r="I2635" s="29" t="str">
        <f aca="false">IFERROR(INDEX('Semrush Data'!$A$1:$Z$20000,MATCH(A2635,'Semrush Data'!$A$1:$A$20000,0),MATCH("CPC*",'Semrush Data'!$A$1:$Z$1,0)),"")</f>
        <v/>
      </c>
      <c r="J2635" s="6" t="str">
        <f aca="false">IFERROR(INDEX('Semrush Data'!$A$1:$Z$20000,MATCH(A2635,'Semrush Data'!$A$1:$A$20000,0),MATCH("Intent",'Semrush Data'!$A$1:$Z$1,0)),"")</f>
        <v/>
      </c>
    </row>
    <row r="2636" customFormat="false" ht="15" hidden="false" customHeight="true" outlineLevel="0" collapsed="false">
      <c r="A2636" s="6" t="s">
        <v>7332</v>
      </c>
      <c r="B2636" s="6" t="s">
        <v>239</v>
      </c>
      <c r="C2636" s="6" t="n">
        <v>3</v>
      </c>
      <c r="D2636" s="6" t="n">
        <v>27</v>
      </c>
      <c r="E2636" s="6" t="n">
        <v>1</v>
      </c>
      <c r="F2636" s="6" t="s">
        <v>3839</v>
      </c>
      <c r="G2636" s="28" t="str">
        <f aca="false">IFERROR(INDEX('Semrush Data'!$A$1:$Z$20000,MATCH(A2636,'Semrush Data'!$A$1:$A$20000,0),MATCH("Volume",'Semrush Data'!$A$1:$Z$1,0)),"")</f>
        <v/>
      </c>
      <c r="H2636" s="6" t="str">
        <f aca="false">IFERROR(INDEX('Semrush Data'!$A$1:$Z$20000,MATCH(A2636,'Semrush Data'!$A$1:$A$20000,0),MATCH("Keyword Difficulty*",'Semrush Data'!$A$1:$Z$1,0)),"")</f>
        <v/>
      </c>
      <c r="I2636" s="29" t="str">
        <f aca="false">IFERROR(INDEX('Semrush Data'!$A$1:$Z$20000,MATCH(A2636,'Semrush Data'!$A$1:$A$20000,0),MATCH("CPC*",'Semrush Data'!$A$1:$Z$1,0)),"")</f>
        <v/>
      </c>
      <c r="J2636" s="6" t="str">
        <f aca="false">IFERROR(INDEX('Semrush Data'!$A$1:$Z$20000,MATCH(A2636,'Semrush Data'!$A$1:$A$20000,0),MATCH("Intent",'Semrush Data'!$A$1:$Z$1,0)),"")</f>
        <v/>
      </c>
    </row>
    <row r="2637" customFormat="false" ht="15" hidden="false" customHeight="true" outlineLevel="0" collapsed="false">
      <c r="A2637" s="6" t="s">
        <v>7333</v>
      </c>
      <c r="B2637" s="6" t="s">
        <v>239</v>
      </c>
      <c r="C2637" s="6" t="n">
        <v>3</v>
      </c>
      <c r="D2637" s="6" t="n">
        <v>27</v>
      </c>
      <c r="E2637" s="6" t="n">
        <v>1</v>
      </c>
      <c r="F2637" s="6" t="s">
        <v>3783</v>
      </c>
      <c r="G2637" s="28" t="str">
        <f aca="false">IFERROR(INDEX('Semrush Data'!$A$1:$Z$20000,MATCH(A2637,'Semrush Data'!$A$1:$A$20000,0),MATCH("Volume",'Semrush Data'!$A$1:$Z$1,0)),"")</f>
        <v/>
      </c>
      <c r="H2637" s="6" t="str">
        <f aca="false">IFERROR(INDEX('Semrush Data'!$A$1:$Z$20000,MATCH(A2637,'Semrush Data'!$A$1:$A$20000,0),MATCH("Keyword Difficulty*",'Semrush Data'!$A$1:$Z$1,0)),"")</f>
        <v/>
      </c>
      <c r="I2637" s="29" t="str">
        <f aca="false">IFERROR(INDEX('Semrush Data'!$A$1:$Z$20000,MATCH(A2637,'Semrush Data'!$A$1:$A$20000,0),MATCH("CPC*",'Semrush Data'!$A$1:$Z$1,0)),"")</f>
        <v/>
      </c>
      <c r="J2637" s="6" t="str">
        <f aca="false">IFERROR(INDEX('Semrush Data'!$A$1:$Z$20000,MATCH(A2637,'Semrush Data'!$A$1:$A$20000,0),MATCH("Intent",'Semrush Data'!$A$1:$Z$1,0)),"")</f>
        <v/>
      </c>
    </row>
    <row r="2638" customFormat="false" ht="15" hidden="false" customHeight="true" outlineLevel="0" collapsed="false">
      <c r="A2638" s="6" t="s">
        <v>7334</v>
      </c>
      <c r="B2638" s="6" t="s">
        <v>239</v>
      </c>
      <c r="C2638" s="6" t="n">
        <v>3</v>
      </c>
      <c r="D2638" s="6" t="n">
        <v>27</v>
      </c>
      <c r="E2638" s="6" t="n">
        <v>1</v>
      </c>
      <c r="F2638" s="6" t="s">
        <v>3806</v>
      </c>
      <c r="G2638" s="28" t="str">
        <f aca="false">IFERROR(INDEX('Semrush Data'!$A$1:$Z$20000,MATCH(A2638,'Semrush Data'!$A$1:$A$20000,0),MATCH("Volume",'Semrush Data'!$A$1:$Z$1,0)),"")</f>
        <v/>
      </c>
      <c r="H2638" s="6" t="str">
        <f aca="false">IFERROR(INDEX('Semrush Data'!$A$1:$Z$20000,MATCH(A2638,'Semrush Data'!$A$1:$A$20000,0),MATCH("Keyword Difficulty*",'Semrush Data'!$A$1:$Z$1,0)),"")</f>
        <v/>
      </c>
      <c r="I2638" s="29" t="str">
        <f aca="false">IFERROR(INDEX('Semrush Data'!$A$1:$Z$20000,MATCH(A2638,'Semrush Data'!$A$1:$A$20000,0),MATCH("CPC*",'Semrush Data'!$A$1:$Z$1,0)),"")</f>
        <v/>
      </c>
      <c r="J2638" s="6" t="str">
        <f aca="false">IFERROR(INDEX('Semrush Data'!$A$1:$Z$20000,MATCH(A2638,'Semrush Data'!$A$1:$A$20000,0),MATCH("Intent",'Semrush Data'!$A$1:$Z$1,0)),"")</f>
        <v/>
      </c>
    </row>
    <row r="2639" customFormat="false" ht="15" hidden="false" customHeight="true" outlineLevel="0" collapsed="false">
      <c r="A2639" s="6" t="s">
        <v>7335</v>
      </c>
      <c r="B2639" s="6" t="s">
        <v>239</v>
      </c>
      <c r="C2639" s="6" t="n">
        <v>3</v>
      </c>
      <c r="D2639" s="6" t="n">
        <v>27</v>
      </c>
      <c r="E2639" s="6" t="n">
        <v>1</v>
      </c>
      <c r="F2639" s="6" t="s">
        <v>3806</v>
      </c>
      <c r="G2639" s="28" t="str">
        <f aca="false">IFERROR(INDEX('Semrush Data'!$A$1:$Z$20000,MATCH(A2639,'Semrush Data'!$A$1:$A$20000,0),MATCH("Volume",'Semrush Data'!$A$1:$Z$1,0)),"")</f>
        <v/>
      </c>
      <c r="H2639" s="6" t="str">
        <f aca="false">IFERROR(INDEX('Semrush Data'!$A$1:$Z$20000,MATCH(A2639,'Semrush Data'!$A$1:$A$20000,0),MATCH("Keyword Difficulty*",'Semrush Data'!$A$1:$Z$1,0)),"")</f>
        <v/>
      </c>
      <c r="I2639" s="29" t="str">
        <f aca="false">IFERROR(INDEX('Semrush Data'!$A$1:$Z$20000,MATCH(A2639,'Semrush Data'!$A$1:$A$20000,0),MATCH("CPC*",'Semrush Data'!$A$1:$Z$1,0)),"")</f>
        <v/>
      </c>
      <c r="J2639" s="6" t="str">
        <f aca="false">IFERROR(INDEX('Semrush Data'!$A$1:$Z$20000,MATCH(A2639,'Semrush Data'!$A$1:$A$20000,0),MATCH("Intent",'Semrush Data'!$A$1:$Z$1,0)),"")</f>
        <v/>
      </c>
    </row>
    <row r="2640" customFormat="false" ht="15" hidden="false" customHeight="true" outlineLevel="0" collapsed="false">
      <c r="A2640" s="6" t="s">
        <v>7336</v>
      </c>
      <c r="B2640" s="6" t="s">
        <v>239</v>
      </c>
      <c r="C2640" s="6" t="n">
        <v>3</v>
      </c>
      <c r="D2640" s="6" t="n">
        <v>27</v>
      </c>
      <c r="E2640" s="6" t="n">
        <v>1</v>
      </c>
      <c r="F2640" s="6" t="s">
        <v>3817</v>
      </c>
      <c r="G2640" s="28" t="str">
        <f aca="false">IFERROR(INDEX('Semrush Data'!$A$1:$Z$20000,MATCH(A2640,'Semrush Data'!$A$1:$A$20000,0),MATCH("Volume",'Semrush Data'!$A$1:$Z$1,0)),"")</f>
        <v/>
      </c>
      <c r="H2640" s="6" t="str">
        <f aca="false">IFERROR(INDEX('Semrush Data'!$A$1:$Z$20000,MATCH(A2640,'Semrush Data'!$A$1:$A$20000,0),MATCH("Keyword Difficulty*",'Semrush Data'!$A$1:$Z$1,0)),"")</f>
        <v/>
      </c>
      <c r="I2640" s="29" t="str">
        <f aca="false">IFERROR(INDEX('Semrush Data'!$A$1:$Z$20000,MATCH(A2640,'Semrush Data'!$A$1:$A$20000,0),MATCH("CPC*",'Semrush Data'!$A$1:$Z$1,0)),"")</f>
        <v/>
      </c>
      <c r="J2640" s="6" t="str">
        <f aca="false">IFERROR(INDEX('Semrush Data'!$A$1:$Z$20000,MATCH(A2640,'Semrush Data'!$A$1:$A$20000,0),MATCH("Intent",'Semrush Data'!$A$1:$Z$1,0)),"")</f>
        <v/>
      </c>
    </row>
    <row r="2641" customFormat="false" ht="15" hidden="false" customHeight="true" outlineLevel="0" collapsed="false">
      <c r="A2641" s="6" t="s">
        <v>7337</v>
      </c>
      <c r="B2641" s="6" t="s">
        <v>239</v>
      </c>
      <c r="C2641" s="6" t="n">
        <v>3</v>
      </c>
      <c r="D2641" s="6" t="n">
        <v>27</v>
      </c>
      <c r="E2641" s="6" t="n">
        <v>1</v>
      </c>
      <c r="F2641" s="6" t="s">
        <v>3828</v>
      </c>
      <c r="G2641" s="28" t="str">
        <f aca="false">IFERROR(INDEX('Semrush Data'!$A$1:$Z$20000,MATCH(A2641,'Semrush Data'!$A$1:$A$20000,0),MATCH("Volume",'Semrush Data'!$A$1:$Z$1,0)),"")</f>
        <v/>
      </c>
      <c r="H2641" s="6" t="str">
        <f aca="false">IFERROR(INDEX('Semrush Data'!$A$1:$Z$20000,MATCH(A2641,'Semrush Data'!$A$1:$A$20000,0),MATCH("Keyword Difficulty*",'Semrush Data'!$A$1:$Z$1,0)),"")</f>
        <v/>
      </c>
      <c r="I2641" s="29" t="str">
        <f aca="false">IFERROR(INDEX('Semrush Data'!$A$1:$Z$20000,MATCH(A2641,'Semrush Data'!$A$1:$A$20000,0),MATCH("CPC*",'Semrush Data'!$A$1:$Z$1,0)),"")</f>
        <v/>
      </c>
      <c r="J2641" s="6" t="str">
        <f aca="false">IFERROR(INDEX('Semrush Data'!$A$1:$Z$20000,MATCH(A2641,'Semrush Data'!$A$1:$A$20000,0),MATCH("Intent",'Semrush Data'!$A$1:$Z$1,0)),"")</f>
        <v/>
      </c>
    </row>
    <row r="2642" customFormat="false" ht="15" hidden="false" customHeight="true" outlineLevel="0" collapsed="false">
      <c r="A2642" s="6" t="s">
        <v>7338</v>
      </c>
      <c r="B2642" s="6" t="s">
        <v>239</v>
      </c>
      <c r="C2642" s="6" t="n">
        <v>3</v>
      </c>
      <c r="D2642" s="6" t="n">
        <v>27</v>
      </c>
      <c r="E2642" s="6" t="n">
        <v>1</v>
      </c>
      <c r="F2642" s="6" t="s">
        <v>3839</v>
      </c>
      <c r="G2642" s="28" t="str">
        <f aca="false">IFERROR(INDEX('Semrush Data'!$A$1:$Z$20000,MATCH(A2642,'Semrush Data'!$A$1:$A$20000,0),MATCH("Volume",'Semrush Data'!$A$1:$Z$1,0)),"")</f>
        <v/>
      </c>
      <c r="H2642" s="6" t="str">
        <f aca="false">IFERROR(INDEX('Semrush Data'!$A$1:$Z$20000,MATCH(A2642,'Semrush Data'!$A$1:$A$20000,0),MATCH("Keyword Difficulty*",'Semrush Data'!$A$1:$Z$1,0)),"")</f>
        <v/>
      </c>
      <c r="I2642" s="29" t="str">
        <f aca="false">IFERROR(INDEX('Semrush Data'!$A$1:$Z$20000,MATCH(A2642,'Semrush Data'!$A$1:$A$20000,0),MATCH("CPC*",'Semrush Data'!$A$1:$Z$1,0)),"")</f>
        <v/>
      </c>
      <c r="J2642" s="6" t="str">
        <f aca="false">IFERROR(INDEX('Semrush Data'!$A$1:$Z$20000,MATCH(A2642,'Semrush Data'!$A$1:$A$20000,0),MATCH("Intent",'Semrush Data'!$A$1:$Z$1,0)),"")</f>
        <v/>
      </c>
    </row>
    <row r="2643" customFormat="false" ht="15" hidden="false" customHeight="true" outlineLevel="0" collapsed="false">
      <c r="A2643" s="6" t="s">
        <v>7339</v>
      </c>
      <c r="B2643" s="6" t="s">
        <v>239</v>
      </c>
      <c r="C2643" s="6" t="n">
        <v>3</v>
      </c>
      <c r="D2643" s="6" t="n">
        <v>27</v>
      </c>
      <c r="E2643" s="6" t="n">
        <v>1</v>
      </c>
      <c r="F2643" s="6" t="s">
        <v>3985</v>
      </c>
      <c r="G2643" s="28" t="str">
        <f aca="false">IFERROR(INDEX('Semrush Data'!$A$1:$Z$20000,MATCH(A2643,'Semrush Data'!$A$1:$A$20000,0),MATCH("Volume",'Semrush Data'!$A$1:$Z$1,0)),"")</f>
        <v/>
      </c>
      <c r="H2643" s="6" t="str">
        <f aca="false">IFERROR(INDEX('Semrush Data'!$A$1:$Z$20000,MATCH(A2643,'Semrush Data'!$A$1:$A$20000,0),MATCH("Keyword Difficulty*",'Semrush Data'!$A$1:$Z$1,0)),"")</f>
        <v/>
      </c>
      <c r="I2643" s="29" t="str">
        <f aca="false">IFERROR(INDEX('Semrush Data'!$A$1:$Z$20000,MATCH(A2643,'Semrush Data'!$A$1:$A$20000,0),MATCH("CPC*",'Semrush Data'!$A$1:$Z$1,0)),"")</f>
        <v/>
      </c>
      <c r="J2643" s="6" t="str">
        <f aca="false">IFERROR(INDEX('Semrush Data'!$A$1:$Z$20000,MATCH(A2643,'Semrush Data'!$A$1:$A$20000,0),MATCH("Intent",'Semrush Data'!$A$1:$Z$1,0)),"")</f>
        <v/>
      </c>
    </row>
    <row r="2644" customFormat="false" ht="15" hidden="false" customHeight="true" outlineLevel="0" collapsed="false">
      <c r="A2644" s="6" t="s">
        <v>7340</v>
      </c>
      <c r="B2644" s="6" t="s">
        <v>239</v>
      </c>
      <c r="C2644" s="6" t="n">
        <v>3</v>
      </c>
      <c r="D2644" s="6" t="n">
        <v>27</v>
      </c>
      <c r="E2644" s="6" t="n">
        <v>1</v>
      </c>
      <c r="F2644" s="6" t="s">
        <v>123</v>
      </c>
      <c r="G2644" s="28" t="str">
        <f aca="false">IFERROR(INDEX('Semrush Data'!$A$1:$Z$20000,MATCH(A2644,'Semrush Data'!$A$1:$A$20000,0),MATCH("Volume",'Semrush Data'!$A$1:$Z$1,0)),"")</f>
        <v/>
      </c>
      <c r="H2644" s="6" t="str">
        <f aca="false">IFERROR(INDEX('Semrush Data'!$A$1:$Z$20000,MATCH(A2644,'Semrush Data'!$A$1:$A$20000,0),MATCH("Keyword Difficulty*",'Semrush Data'!$A$1:$Z$1,0)),"")</f>
        <v/>
      </c>
      <c r="I2644" s="29" t="str">
        <f aca="false">IFERROR(INDEX('Semrush Data'!$A$1:$Z$20000,MATCH(A2644,'Semrush Data'!$A$1:$A$20000,0),MATCH("CPC*",'Semrush Data'!$A$1:$Z$1,0)),"")</f>
        <v/>
      </c>
      <c r="J2644" s="6" t="str">
        <f aca="false">IFERROR(INDEX('Semrush Data'!$A$1:$Z$20000,MATCH(A2644,'Semrush Data'!$A$1:$A$20000,0),MATCH("Intent",'Semrush Data'!$A$1:$Z$1,0)),"")</f>
        <v/>
      </c>
    </row>
    <row r="2645" customFormat="false" ht="15" hidden="false" customHeight="true" outlineLevel="0" collapsed="false">
      <c r="A2645" s="6" t="s">
        <v>7341</v>
      </c>
      <c r="B2645" s="6" t="s">
        <v>239</v>
      </c>
      <c r="C2645" s="6" t="n">
        <v>3</v>
      </c>
      <c r="D2645" s="6" t="n">
        <v>27</v>
      </c>
      <c r="E2645" s="6" t="n">
        <v>1</v>
      </c>
      <c r="F2645" s="6" t="s">
        <v>123</v>
      </c>
      <c r="G2645" s="28" t="str">
        <f aca="false">IFERROR(INDEX('Semrush Data'!$A$1:$Z$20000,MATCH(A2645,'Semrush Data'!$A$1:$A$20000,0),MATCH("Volume",'Semrush Data'!$A$1:$Z$1,0)),"")</f>
        <v/>
      </c>
      <c r="H2645" s="6" t="str">
        <f aca="false">IFERROR(INDEX('Semrush Data'!$A$1:$Z$20000,MATCH(A2645,'Semrush Data'!$A$1:$A$20000,0),MATCH("Keyword Difficulty*",'Semrush Data'!$A$1:$Z$1,0)),"")</f>
        <v/>
      </c>
      <c r="I2645" s="29" t="str">
        <f aca="false">IFERROR(INDEX('Semrush Data'!$A$1:$Z$20000,MATCH(A2645,'Semrush Data'!$A$1:$A$20000,0),MATCH("CPC*",'Semrush Data'!$A$1:$Z$1,0)),"")</f>
        <v/>
      </c>
      <c r="J2645" s="6" t="str">
        <f aca="false">IFERROR(INDEX('Semrush Data'!$A$1:$Z$20000,MATCH(A2645,'Semrush Data'!$A$1:$A$20000,0),MATCH("Intent",'Semrush Data'!$A$1:$Z$1,0)),"")</f>
        <v/>
      </c>
    </row>
    <row r="2646" customFormat="false" ht="15" hidden="false" customHeight="true" outlineLevel="0" collapsed="false">
      <c r="A2646" s="6" t="s">
        <v>7342</v>
      </c>
      <c r="B2646" s="6" t="s">
        <v>239</v>
      </c>
      <c r="C2646" s="6" t="n">
        <v>3</v>
      </c>
      <c r="D2646" s="6" t="s">
        <v>6870</v>
      </c>
      <c r="E2646" s="6" t="n">
        <v>1</v>
      </c>
      <c r="F2646" s="6" t="s">
        <v>123</v>
      </c>
      <c r="G2646" s="28" t="n">
        <f aca="false">IFERROR(INDEX('Semrush Data'!$A$1:$Z$20000,MATCH(A2646,'Semrush Data'!$A$1:$A$20000,0),MATCH("Volume",'Semrush Data'!$A$1:$Z$1,0)),"")</f>
        <v>20</v>
      </c>
      <c r="H2646" s="6" t="n">
        <f aca="false">IFERROR(INDEX('Semrush Data'!$A$1:$Z$20000,MATCH(A2646,'Semrush Data'!$A$1:$A$20000,0),MATCH("Keyword Difficulty*",'Semrush Data'!$A$1:$Z$1,0)),"")</f>
        <v>9</v>
      </c>
      <c r="I2646" s="29" t="n">
        <f aca="false">IFERROR(INDEX('Semrush Data'!$A$1:$Z$20000,MATCH(A2646,'Semrush Data'!$A$1:$A$20000,0),MATCH("CPC*",'Semrush Data'!$A$1:$Z$1,0)),"")</f>
        <v>0</v>
      </c>
      <c r="J2646" s="6" t="str">
        <f aca="false">IFERROR(INDEX('Semrush Data'!$A$1:$Z$20000,MATCH(A2646,'Semrush Data'!$A$1:$A$20000,0),MATCH("Intent",'Semrush Data'!$A$1:$Z$1,0)),"")</f>
        <v>Informational</v>
      </c>
    </row>
    <row r="2647" customFormat="false" ht="15" hidden="false" customHeight="true" outlineLevel="0" collapsed="false">
      <c r="A2647" s="6" t="s">
        <v>7343</v>
      </c>
      <c r="B2647" s="6" t="s">
        <v>239</v>
      </c>
      <c r="C2647" s="6" t="n">
        <v>3</v>
      </c>
      <c r="D2647" s="6" t="n">
        <v>27</v>
      </c>
      <c r="E2647" s="6" t="n">
        <v>1</v>
      </c>
      <c r="F2647" s="6" t="s">
        <v>123</v>
      </c>
      <c r="G2647" s="28" t="str">
        <f aca="false">IFERROR(INDEX('Semrush Data'!$A$1:$Z$20000,MATCH(A2647,'Semrush Data'!$A$1:$A$20000,0),MATCH("Volume",'Semrush Data'!$A$1:$Z$1,0)),"")</f>
        <v/>
      </c>
      <c r="H2647" s="6" t="str">
        <f aca="false">IFERROR(INDEX('Semrush Data'!$A$1:$Z$20000,MATCH(A2647,'Semrush Data'!$A$1:$A$20000,0),MATCH("Keyword Difficulty*",'Semrush Data'!$A$1:$Z$1,0)),"")</f>
        <v/>
      </c>
      <c r="I2647" s="29" t="str">
        <f aca="false">IFERROR(INDEX('Semrush Data'!$A$1:$Z$20000,MATCH(A2647,'Semrush Data'!$A$1:$A$20000,0),MATCH("CPC*",'Semrush Data'!$A$1:$Z$1,0)),"")</f>
        <v/>
      </c>
      <c r="J2647" s="6" t="str">
        <f aca="false">IFERROR(INDEX('Semrush Data'!$A$1:$Z$20000,MATCH(A2647,'Semrush Data'!$A$1:$A$20000,0),MATCH("Intent",'Semrush Data'!$A$1:$Z$1,0)),"")</f>
        <v/>
      </c>
    </row>
    <row r="2648" customFormat="false" ht="15" hidden="false" customHeight="true" outlineLevel="0" collapsed="false">
      <c r="A2648" s="6" t="s">
        <v>7344</v>
      </c>
      <c r="B2648" s="6" t="s">
        <v>239</v>
      </c>
      <c r="C2648" s="6" t="n">
        <v>3</v>
      </c>
      <c r="D2648" s="6" t="s">
        <v>6870</v>
      </c>
      <c r="E2648" s="6" t="n">
        <v>1</v>
      </c>
      <c r="F2648" s="6" t="s">
        <v>123</v>
      </c>
      <c r="G2648" s="28" t="n">
        <f aca="false">IFERROR(INDEX('Semrush Data'!$A$1:$Z$20000,MATCH(A2648,'Semrush Data'!$A$1:$A$20000,0),MATCH("Volume",'Semrush Data'!$A$1:$Z$1,0)),"")</f>
        <v>20</v>
      </c>
      <c r="H2648" s="6" t="n">
        <f aca="false">IFERROR(INDEX('Semrush Data'!$A$1:$Z$20000,MATCH(A2648,'Semrush Data'!$A$1:$A$20000,0),MATCH("Keyword Difficulty*",'Semrush Data'!$A$1:$Z$1,0)),"")</f>
        <v>15</v>
      </c>
      <c r="I2648" s="29" t="n">
        <f aca="false">IFERROR(INDEX('Semrush Data'!$A$1:$Z$20000,MATCH(A2648,'Semrush Data'!$A$1:$A$20000,0),MATCH("CPC*",'Semrush Data'!$A$1:$Z$1,0)),"")</f>
        <v>0</v>
      </c>
      <c r="J2648" s="6" t="str">
        <f aca="false">IFERROR(INDEX('Semrush Data'!$A$1:$Z$20000,MATCH(A2648,'Semrush Data'!$A$1:$A$20000,0),MATCH("Intent",'Semrush Data'!$A$1:$Z$1,0)),"")</f>
        <v>Commercial</v>
      </c>
    </row>
    <row r="2649" customFormat="false" ht="15" hidden="false" customHeight="true" outlineLevel="0" collapsed="false">
      <c r="A2649" s="6" t="s">
        <v>3981</v>
      </c>
      <c r="B2649" s="6" t="s">
        <v>239</v>
      </c>
      <c r="C2649" s="6" t="n">
        <v>3</v>
      </c>
      <c r="D2649" s="6" t="n">
        <v>27</v>
      </c>
      <c r="E2649" s="6" t="n">
        <v>1</v>
      </c>
      <c r="F2649" s="6" t="s">
        <v>3974</v>
      </c>
      <c r="G2649" s="28" t="str">
        <f aca="false">IFERROR(INDEX('Semrush Data'!$A$1:$Z$20000,MATCH(A2649,'Semrush Data'!$A$1:$A$20000,0),MATCH("Volume",'Semrush Data'!$A$1:$Z$1,0)),"")</f>
        <v/>
      </c>
      <c r="H2649" s="6" t="str">
        <f aca="false">IFERROR(INDEX('Semrush Data'!$A$1:$Z$20000,MATCH(A2649,'Semrush Data'!$A$1:$A$20000,0),MATCH("Keyword Difficulty*",'Semrush Data'!$A$1:$Z$1,0)),"")</f>
        <v/>
      </c>
      <c r="I2649" s="29" t="str">
        <f aca="false">IFERROR(INDEX('Semrush Data'!$A$1:$Z$20000,MATCH(A2649,'Semrush Data'!$A$1:$A$20000,0),MATCH("CPC*",'Semrush Data'!$A$1:$Z$1,0)),"")</f>
        <v/>
      </c>
      <c r="J2649" s="6" t="str">
        <f aca="false">IFERROR(INDEX('Semrush Data'!$A$1:$Z$20000,MATCH(A2649,'Semrush Data'!$A$1:$A$20000,0),MATCH("Intent",'Semrush Data'!$A$1:$Z$1,0)),"")</f>
        <v/>
      </c>
    </row>
    <row r="2650" customFormat="false" ht="15" hidden="false" customHeight="true" outlineLevel="0" collapsed="false">
      <c r="A2650" s="6" t="s">
        <v>7345</v>
      </c>
      <c r="B2650" s="6" t="s">
        <v>239</v>
      </c>
      <c r="C2650" s="6" t="n">
        <v>3</v>
      </c>
      <c r="D2650" s="6" t="n">
        <v>27</v>
      </c>
      <c r="E2650" s="6" t="n">
        <v>1</v>
      </c>
      <c r="F2650" s="6" t="s">
        <v>3941</v>
      </c>
      <c r="G2650" s="28" t="str">
        <f aca="false">IFERROR(INDEX('Semrush Data'!$A$1:$Z$20000,MATCH(A2650,'Semrush Data'!$A$1:$A$20000,0),MATCH("Volume",'Semrush Data'!$A$1:$Z$1,0)),"")</f>
        <v/>
      </c>
      <c r="H2650" s="6" t="str">
        <f aca="false">IFERROR(INDEX('Semrush Data'!$A$1:$Z$20000,MATCH(A2650,'Semrush Data'!$A$1:$A$20000,0),MATCH("Keyword Difficulty*",'Semrush Data'!$A$1:$Z$1,0)),"")</f>
        <v/>
      </c>
      <c r="I2650" s="29" t="str">
        <f aca="false">IFERROR(INDEX('Semrush Data'!$A$1:$Z$20000,MATCH(A2650,'Semrush Data'!$A$1:$A$20000,0),MATCH("CPC*",'Semrush Data'!$A$1:$Z$1,0)),"")</f>
        <v/>
      </c>
      <c r="J2650" s="6" t="str">
        <f aca="false">IFERROR(INDEX('Semrush Data'!$A$1:$Z$20000,MATCH(A2650,'Semrush Data'!$A$1:$A$20000,0),MATCH("Intent",'Semrush Data'!$A$1:$Z$1,0)),"")</f>
        <v/>
      </c>
    </row>
    <row r="2651" customFormat="false" ht="15" hidden="false" customHeight="true" outlineLevel="0" collapsed="false">
      <c r="A2651" s="6" t="s">
        <v>7346</v>
      </c>
      <c r="B2651" s="6" t="s">
        <v>239</v>
      </c>
      <c r="C2651" s="6" t="n">
        <v>3</v>
      </c>
      <c r="D2651" s="6" t="n">
        <v>27</v>
      </c>
      <c r="E2651" s="6" t="n">
        <v>1</v>
      </c>
      <c r="F2651" s="6" t="s">
        <v>3930</v>
      </c>
      <c r="G2651" s="28" t="str">
        <f aca="false">IFERROR(INDEX('Semrush Data'!$A$1:$Z$20000,MATCH(A2651,'Semrush Data'!$A$1:$A$20000,0),MATCH("Volume",'Semrush Data'!$A$1:$Z$1,0)),"")</f>
        <v/>
      </c>
      <c r="H2651" s="6" t="str">
        <f aca="false">IFERROR(INDEX('Semrush Data'!$A$1:$Z$20000,MATCH(A2651,'Semrush Data'!$A$1:$A$20000,0),MATCH("Keyword Difficulty*",'Semrush Data'!$A$1:$Z$1,0)),"")</f>
        <v/>
      </c>
      <c r="I2651" s="29" t="str">
        <f aca="false">IFERROR(INDEX('Semrush Data'!$A$1:$Z$20000,MATCH(A2651,'Semrush Data'!$A$1:$A$20000,0),MATCH("CPC*",'Semrush Data'!$A$1:$Z$1,0)),"")</f>
        <v/>
      </c>
      <c r="J2651" s="6" t="str">
        <f aca="false">IFERROR(INDEX('Semrush Data'!$A$1:$Z$20000,MATCH(A2651,'Semrush Data'!$A$1:$A$20000,0),MATCH("Intent",'Semrush Data'!$A$1:$Z$1,0)),"")</f>
        <v/>
      </c>
    </row>
    <row r="2652" customFormat="false" ht="15" hidden="false" customHeight="true" outlineLevel="0" collapsed="false">
      <c r="A2652" s="6" t="s">
        <v>7347</v>
      </c>
      <c r="B2652" s="6" t="s">
        <v>239</v>
      </c>
      <c r="C2652" s="6" t="n">
        <v>3</v>
      </c>
      <c r="D2652" s="6" t="n">
        <v>27</v>
      </c>
      <c r="E2652" s="6" t="n">
        <v>1</v>
      </c>
      <c r="F2652" s="6" t="s">
        <v>3930</v>
      </c>
      <c r="G2652" s="28" t="str">
        <f aca="false">IFERROR(INDEX('Semrush Data'!$A$1:$Z$20000,MATCH(A2652,'Semrush Data'!$A$1:$A$20000,0),MATCH("Volume",'Semrush Data'!$A$1:$Z$1,0)),"")</f>
        <v/>
      </c>
      <c r="H2652" s="6" t="str">
        <f aca="false">IFERROR(INDEX('Semrush Data'!$A$1:$Z$20000,MATCH(A2652,'Semrush Data'!$A$1:$A$20000,0),MATCH("Keyword Difficulty*",'Semrush Data'!$A$1:$Z$1,0)),"")</f>
        <v/>
      </c>
      <c r="I2652" s="29" t="str">
        <f aca="false">IFERROR(INDEX('Semrush Data'!$A$1:$Z$20000,MATCH(A2652,'Semrush Data'!$A$1:$A$20000,0),MATCH("CPC*",'Semrush Data'!$A$1:$Z$1,0)),"")</f>
        <v/>
      </c>
      <c r="J2652" s="6" t="str">
        <f aca="false">IFERROR(INDEX('Semrush Data'!$A$1:$Z$20000,MATCH(A2652,'Semrush Data'!$A$1:$A$20000,0),MATCH("Intent",'Semrush Data'!$A$1:$Z$1,0)),"")</f>
        <v/>
      </c>
    </row>
    <row r="2653" customFormat="false" ht="15" hidden="false" customHeight="true" outlineLevel="0" collapsed="false">
      <c r="A2653" s="6" t="s">
        <v>7348</v>
      </c>
      <c r="B2653" s="6" t="s">
        <v>239</v>
      </c>
      <c r="C2653" s="6" t="n">
        <v>3</v>
      </c>
      <c r="D2653" s="6" t="n">
        <v>27</v>
      </c>
      <c r="E2653" s="6" t="n">
        <v>1</v>
      </c>
      <c r="F2653" s="6" t="s">
        <v>3930</v>
      </c>
      <c r="G2653" s="28" t="str">
        <f aca="false">IFERROR(INDEX('Semrush Data'!$A$1:$Z$20000,MATCH(A2653,'Semrush Data'!$A$1:$A$20000,0),MATCH("Volume",'Semrush Data'!$A$1:$Z$1,0)),"")</f>
        <v/>
      </c>
      <c r="H2653" s="6" t="str">
        <f aca="false">IFERROR(INDEX('Semrush Data'!$A$1:$Z$20000,MATCH(A2653,'Semrush Data'!$A$1:$A$20000,0),MATCH("Keyword Difficulty*",'Semrush Data'!$A$1:$Z$1,0)),"")</f>
        <v/>
      </c>
      <c r="I2653" s="29" t="str">
        <f aca="false">IFERROR(INDEX('Semrush Data'!$A$1:$Z$20000,MATCH(A2653,'Semrush Data'!$A$1:$A$20000,0),MATCH("CPC*",'Semrush Data'!$A$1:$Z$1,0)),"")</f>
        <v/>
      </c>
      <c r="J2653" s="6" t="str">
        <f aca="false">IFERROR(INDEX('Semrush Data'!$A$1:$Z$20000,MATCH(A2653,'Semrush Data'!$A$1:$A$20000,0),MATCH("Intent",'Semrush Data'!$A$1:$Z$1,0)),"")</f>
        <v/>
      </c>
    </row>
    <row r="2654" customFormat="false" ht="15" hidden="false" customHeight="true" outlineLevel="0" collapsed="false">
      <c r="A2654" s="6" t="s">
        <v>7349</v>
      </c>
      <c r="B2654" s="6" t="s">
        <v>239</v>
      </c>
      <c r="C2654" s="6" t="n">
        <v>3</v>
      </c>
      <c r="D2654" s="6" t="n">
        <v>27</v>
      </c>
      <c r="E2654" s="6" t="n">
        <v>1</v>
      </c>
      <c r="F2654" s="6" t="s">
        <v>3930</v>
      </c>
      <c r="G2654" s="28" t="str">
        <f aca="false">IFERROR(INDEX('Semrush Data'!$A$1:$Z$20000,MATCH(A2654,'Semrush Data'!$A$1:$A$20000,0),MATCH("Volume",'Semrush Data'!$A$1:$Z$1,0)),"")</f>
        <v/>
      </c>
      <c r="H2654" s="6" t="str">
        <f aca="false">IFERROR(INDEX('Semrush Data'!$A$1:$Z$20000,MATCH(A2654,'Semrush Data'!$A$1:$A$20000,0),MATCH("Keyword Difficulty*",'Semrush Data'!$A$1:$Z$1,0)),"")</f>
        <v/>
      </c>
      <c r="I2654" s="29" t="str">
        <f aca="false">IFERROR(INDEX('Semrush Data'!$A$1:$Z$20000,MATCH(A2654,'Semrush Data'!$A$1:$A$20000,0),MATCH("CPC*",'Semrush Data'!$A$1:$Z$1,0)),"")</f>
        <v/>
      </c>
      <c r="J2654" s="6" t="str">
        <f aca="false">IFERROR(INDEX('Semrush Data'!$A$1:$Z$20000,MATCH(A2654,'Semrush Data'!$A$1:$A$20000,0),MATCH("Intent",'Semrush Data'!$A$1:$Z$1,0)),"")</f>
        <v/>
      </c>
    </row>
    <row r="2655" customFormat="false" ht="15" hidden="false" customHeight="true" outlineLevel="0" collapsed="false">
      <c r="A2655" s="6" t="s">
        <v>7350</v>
      </c>
      <c r="B2655" s="6" t="s">
        <v>239</v>
      </c>
      <c r="C2655" s="6" t="n">
        <v>3</v>
      </c>
      <c r="D2655" s="6" t="n">
        <v>27</v>
      </c>
      <c r="E2655" s="6" t="n">
        <v>1</v>
      </c>
      <c r="F2655" s="6" t="s">
        <v>3930</v>
      </c>
      <c r="G2655" s="28" t="str">
        <f aca="false">IFERROR(INDEX('Semrush Data'!$A$1:$Z$20000,MATCH(A2655,'Semrush Data'!$A$1:$A$20000,0),MATCH("Volume",'Semrush Data'!$A$1:$Z$1,0)),"")</f>
        <v/>
      </c>
      <c r="H2655" s="6" t="str">
        <f aca="false">IFERROR(INDEX('Semrush Data'!$A$1:$Z$20000,MATCH(A2655,'Semrush Data'!$A$1:$A$20000,0),MATCH("Keyword Difficulty*",'Semrush Data'!$A$1:$Z$1,0)),"")</f>
        <v/>
      </c>
      <c r="I2655" s="29" t="str">
        <f aca="false">IFERROR(INDEX('Semrush Data'!$A$1:$Z$20000,MATCH(A2655,'Semrush Data'!$A$1:$A$20000,0),MATCH("CPC*",'Semrush Data'!$A$1:$Z$1,0)),"")</f>
        <v/>
      </c>
      <c r="J2655" s="6" t="str">
        <f aca="false">IFERROR(INDEX('Semrush Data'!$A$1:$Z$20000,MATCH(A2655,'Semrush Data'!$A$1:$A$20000,0),MATCH("Intent",'Semrush Data'!$A$1:$Z$1,0)),"")</f>
        <v/>
      </c>
    </row>
    <row r="2656" customFormat="false" ht="15" hidden="false" customHeight="true" outlineLevel="0" collapsed="false">
      <c r="A2656" s="6" t="s">
        <v>7351</v>
      </c>
      <c r="B2656" s="6" t="s">
        <v>239</v>
      </c>
      <c r="C2656" s="6" t="n">
        <v>3</v>
      </c>
      <c r="D2656" s="6" t="n">
        <v>27</v>
      </c>
      <c r="E2656" s="6" t="n">
        <v>1</v>
      </c>
      <c r="F2656" s="6" t="s">
        <v>3941</v>
      </c>
      <c r="G2656" s="28" t="str">
        <f aca="false">IFERROR(INDEX('Semrush Data'!$A$1:$Z$20000,MATCH(A2656,'Semrush Data'!$A$1:$A$20000,0),MATCH("Volume",'Semrush Data'!$A$1:$Z$1,0)),"")</f>
        <v/>
      </c>
      <c r="H2656" s="6" t="str">
        <f aca="false">IFERROR(INDEX('Semrush Data'!$A$1:$Z$20000,MATCH(A2656,'Semrush Data'!$A$1:$A$20000,0),MATCH("Keyword Difficulty*",'Semrush Data'!$A$1:$Z$1,0)),"")</f>
        <v/>
      </c>
      <c r="I2656" s="29" t="str">
        <f aca="false">IFERROR(INDEX('Semrush Data'!$A$1:$Z$20000,MATCH(A2656,'Semrush Data'!$A$1:$A$20000,0),MATCH("CPC*",'Semrush Data'!$A$1:$Z$1,0)),"")</f>
        <v/>
      </c>
      <c r="J2656" s="6" t="str">
        <f aca="false">IFERROR(INDEX('Semrush Data'!$A$1:$Z$20000,MATCH(A2656,'Semrush Data'!$A$1:$A$20000,0),MATCH("Intent",'Semrush Data'!$A$1:$Z$1,0)),"")</f>
        <v/>
      </c>
    </row>
    <row r="2657" customFormat="false" ht="15" hidden="false" customHeight="true" outlineLevel="0" collapsed="false">
      <c r="A2657" s="6" t="s">
        <v>7352</v>
      </c>
      <c r="B2657" s="6" t="s">
        <v>239</v>
      </c>
      <c r="C2657" s="6" t="n">
        <v>3</v>
      </c>
      <c r="D2657" s="6" t="n">
        <v>27</v>
      </c>
      <c r="E2657" s="6" t="n">
        <v>1</v>
      </c>
      <c r="F2657" s="6" t="s">
        <v>3985</v>
      </c>
      <c r="G2657" s="28" t="str">
        <f aca="false">IFERROR(INDEX('Semrush Data'!$A$1:$Z$20000,MATCH(A2657,'Semrush Data'!$A$1:$A$20000,0),MATCH("Volume",'Semrush Data'!$A$1:$Z$1,0)),"")</f>
        <v/>
      </c>
      <c r="H2657" s="6" t="str">
        <f aca="false">IFERROR(INDEX('Semrush Data'!$A$1:$Z$20000,MATCH(A2657,'Semrush Data'!$A$1:$A$20000,0),MATCH("Keyword Difficulty*",'Semrush Data'!$A$1:$Z$1,0)),"")</f>
        <v/>
      </c>
      <c r="I2657" s="29" t="str">
        <f aca="false">IFERROR(INDEX('Semrush Data'!$A$1:$Z$20000,MATCH(A2657,'Semrush Data'!$A$1:$A$20000,0),MATCH("CPC*",'Semrush Data'!$A$1:$Z$1,0)),"")</f>
        <v/>
      </c>
      <c r="J2657" s="6" t="str">
        <f aca="false">IFERROR(INDEX('Semrush Data'!$A$1:$Z$20000,MATCH(A2657,'Semrush Data'!$A$1:$A$20000,0),MATCH("Intent",'Semrush Data'!$A$1:$Z$1,0)),"")</f>
        <v/>
      </c>
    </row>
    <row r="2658" customFormat="false" ht="15" hidden="false" customHeight="true" outlineLevel="0" collapsed="false">
      <c r="A2658" s="6" t="s">
        <v>7353</v>
      </c>
      <c r="B2658" s="6" t="s">
        <v>239</v>
      </c>
      <c r="C2658" s="6" t="n">
        <v>3</v>
      </c>
      <c r="D2658" s="6" t="n">
        <v>27</v>
      </c>
      <c r="E2658" s="6" t="n">
        <v>1</v>
      </c>
      <c r="F2658" s="6" t="s">
        <v>3985</v>
      </c>
      <c r="G2658" s="28" t="str">
        <f aca="false">IFERROR(INDEX('Semrush Data'!$A$1:$Z$20000,MATCH(A2658,'Semrush Data'!$A$1:$A$20000,0),MATCH("Volume",'Semrush Data'!$A$1:$Z$1,0)),"")</f>
        <v/>
      </c>
      <c r="H2658" s="6" t="str">
        <f aca="false">IFERROR(INDEX('Semrush Data'!$A$1:$Z$20000,MATCH(A2658,'Semrush Data'!$A$1:$A$20000,0),MATCH("Keyword Difficulty*",'Semrush Data'!$A$1:$Z$1,0)),"")</f>
        <v/>
      </c>
      <c r="I2658" s="29" t="str">
        <f aca="false">IFERROR(INDEX('Semrush Data'!$A$1:$Z$20000,MATCH(A2658,'Semrush Data'!$A$1:$A$20000,0),MATCH("CPC*",'Semrush Data'!$A$1:$Z$1,0)),"")</f>
        <v/>
      </c>
      <c r="J2658" s="6" t="str">
        <f aca="false">IFERROR(INDEX('Semrush Data'!$A$1:$Z$20000,MATCH(A2658,'Semrush Data'!$A$1:$A$20000,0),MATCH("Intent",'Semrush Data'!$A$1:$Z$1,0)),"")</f>
        <v/>
      </c>
    </row>
    <row r="2659" customFormat="false" ht="15" hidden="false" customHeight="true" outlineLevel="0" collapsed="false">
      <c r="A2659" s="6" t="s">
        <v>7354</v>
      </c>
      <c r="B2659" s="6" t="s">
        <v>239</v>
      </c>
      <c r="C2659" s="6" t="n">
        <v>3</v>
      </c>
      <c r="D2659" s="6" t="n">
        <v>27</v>
      </c>
      <c r="E2659" s="6" t="n">
        <v>1</v>
      </c>
      <c r="F2659" s="6" t="s">
        <v>3985</v>
      </c>
      <c r="G2659" s="28" t="str">
        <f aca="false">IFERROR(INDEX('Semrush Data'!$A$1:$Z$20000,MATCH(A2659,'Semrush Data'!$A$1:$A$20000,0),MATCH("Volume",'Semrush Data'!$A$1:$Z$1,0)),"")</f>
        <v/>
      </c>
      <c r="H2659" s="6" t="str">
        <f aca="false">IFERROR(INDEX('Semrush Data'!$A$1:$Z$20000,MATCH(A2659,'Semrush Data'!$A$1:$A$20000,0),MATCH("Keyword Difficulty*",'Semrush Data'!$A$1:$Z$1,0)),"")</f>
        <v/>
      </c>
      <c r="I2659" s="29" t="str">
        <f aca="false">IFERROR(INDEX('Semrush Data'!$A$1:$Z$20000,MATCH(A2659,'Semrush Data'!$A$1:$A$20000,0),MATCH("CPC*",'Semrush Data'!$A$1:$Z$1,0)),"")</f>
        <v/>
      </c>
      <c r="J2659" s="6" t="str">
        <f aca="false">IFERROR(INDEX('Semrush Data'!$A$1:$Z$20000,MATCH(A2659,'Semrush Data'!$A$1:$A$20000,0),MATCH("Intent",'Semrush Data'!$A$1:$Z$1,0)),"")</f>
        <v/>
      </c>
    </row>
    <row r="2660" customFormat="false" ht="15" hidden="false" customHeight="true" outlineLevel="0" collapsed="false">
      <c r="A2660" s="6" t="s">
        <v>7355</v>
      </c>
      <c r="B2660" s="6" t="s">
        <v>239</v>
      </c>
      <c r="C2660" s="6" t="n">
        <v>3</v>
      </c>
      <c r="D2660" s="6" t="n">
        <v>27</v>
      </c>
      <c r="E2660" s="6" t="n">
        <v>1</v>
      </c>
      <c r="F2660" s="6" t="s">
        <v>3952</v>
      </c>
      <c r="G2660" s="28" t="str">
        <f aca="false">IFERROR(INDEX('Semrush Data'!$A$1:$Z$20000,MATCH(A2660,'Semrush Data'!$A$1:$A$20000,0),MATCH("Volume",'Semrush Data'!$A$1:$Z$1,0)),"")</f>
        <v/>
      </c>
      <c r="H2660" s="6" t="str">
        <f aca="false">IFERROR(INDEX('Semrush Data'!$A$1:$Z$20000,MATCH(A2660,'Semrush Data'!$A$1:$A$20000,0),MATCH("Keyword Difficulty*",'Semrush Data'!$A$1:$Z$1,0)),"")</f>
        <v/>
      </c>
      <c r="I2660" s="29" t="str">
        <f aca="false">IFERROR(INDEX('Semrush Data'!$A$1:$Z$20000,MATCH(A2660,'Semrush Data'!$A$1:$A$20000,0),MATCH("CPC*",'Semrush Data'!$A$1:$Z$1,0)),"")</f>
        <v/>
      </c>
      <c r="J2660" s="6" t="str">
        <f aca="false">IFERROR(INDEX('Semrush Data'!$A$1:$Z$20000,MATCH(A2660,'Semrush Data'!$A$1:$A$20000,0),MATCH("Intent",'Semrush Data'!$A$1:$Z$1,0)),"")</f>
        <v/>
      </c>
    </row>
    <row r="2661" customFormat="false" ht="15" hidden="false" customHeight="true" outlineLevel="0" collapsed="false">
      <c r="A2661" s="6" t="s">
        <v>7356</v>
      </c>
      <c r="B2661" s="6" t="s">
        <v>239</v>
      </c>
      <c r="C2661" s="6" t="n">
        <v>3</v>
      </c>
      <c r="D2661" s="6" t="n">
        <v>27</v>
      </c>
      <c r="E2661" s="6" t="n">
        <v>1</v>
      </c>
      <c r="F2661" s="6" t="s">
        <v>3952</v>
      </c>
      <c r="G2661" s="28" t="str">
        <f aca="false">IFERROR(INDEX('Semrush Data'!$A$1:$Z$20000,MATCH(A2661,'Semrush Data'!$A$1:$A$20000,0),MATCH("Volume",'Semrush Data'!$A$1:$Z$1,0)),"")</f>
        <v/>
      </c>
      <c r="H2661" s="6" t="str">
        <f aca="false">IFERROR(INDEX('Semrush Data'!$A$1:$Z$20000,MATCH(A2661,'Semrush Data'!$A$1:$A$20000,0),MATCH("Keyword Difficulty*",'Semrush Data'!$A$1:$Z$1,0)),"")</f>
        <v/>
      </c>
      <c r="I2661" s="29" t="str">
        <f aca="false">IFERROR(INDEX('Semrush Data'!$A$1:$Z$20000,MATCH(A2661,'Semrush Data'!$A$1:$A$20000,0),MATCH("CPC*",'Semrush Data'!$A$1:$Z$1,0)),"")</f>
        <v/>
      </c>
      <c r="J2661" s="6" t="str">
        <f aca="false">IFERROR(INDEX('Semrush Data'!$A$1:$Z$20000,MATCH(A2661,'Semrush Data'!$A$1:$A$20000,0),MATCH("Intent",'Semrush Data'!$A$1:$Z$1,0)),"")</f>
        <v/>
      </c>
    </row>
    <row r="2662" customFormat="false" ht="15" hidden="false" customHeight="true" outlineLevel="0" collapsed="false">
      <c r="A2662" s="6" t="s">
        <v>7357</v>
      </c>
      <c r="B2662" s="6" t="s">
        <v>239</v>
      </c>
      <c r="C2662" s="6" t="n">
        <v>3</v>
      </c>
      <c r="D2662" s="6" t="n">
        <v>27</v>
      </c>
      <c r="E2662" s="6" t="n">
        <v>1</v>
      </c>
      <c r="F2662" s="6" t="s">
        <v>3952</v>
      </c>
      <c r="G2662" s="28" t="str">
        <f aca="false">IFERROR(INDEX('Semrush Data'!$A$1:$Z$20000,MATCH(A2662,'Semrush Data'!$A$1:$A$20000,0),MATCH("Volume",'Semrush Data'!$A$1:$Z$1,0)),"")</f>
        <v/>
      </c>
      <c r="H2662" s="6" t="str">
        <f aca="false">IFERROR(INDEX('Semrush Data'!$A$1:$Z$20000,MATCH(A2662,'Semrush Data'!$A$1:$A$20000,0),MATCH("Keyword Difficulty*",'Semrush Data'!$A$1:$Z$1,0)),"")</f>
        <v/>
      </c>
      <c r="I2662" s="29" t="str">
        <f aca="false">IFERROR(INDEX('Semrush Data'!$A$1:$Z$20000,MATCH(A2662,'Semrush Data'!$A$1:$A$20000,0),MATCH("CPC*",'Semrush Data'!$A$1:$Z$1,0)),"")</f>
        <v/>
      </c>
      <c r="J2662" s="6" t="str">
        <f aca="false">IFERROR(INDEX('Semrush Data'!$A$1:$Z$20000,MATCH(A2662,'Semrush Data'!$A$1:$A$20000,0),MATCH("Intent",'Semrush Data'!$A$1:$Z$1,0)),"")</f>
        <v/>
      </c>
    </row>
    <row r="2663" customFormat="false" ht="15" hidden="false" customHeight="true" outlineLevel="0" collapsed="false">
      <c r="A2663" s="6" t="s">
        <v>7358</v>
      </c>
      <c r="B2663" s="6" t="s">
        <v>239</v>
      </c>
      <c r="C2663" s="6" t="n">
        <v>3</v>
      </c>
      <c r="D2663" s="6" t="n">
        <v>27</v>
      </c>
      <c r="E2663" s="6" t="n">
        <v>1</v>
      </c>
      <c r="F2663" s="6" t="s">
        <v>3952</v>
      </c>
      <c r="G2663" s="28" t="str">
        <f aca="false">IFERROR(INDEX('Semrush Data'!$A$1:$Z$20000,MATCH(A2663,'Semrush Data'!$A$1:$A$20000,0),MATCH("Volume",'Semrush Data'!$A$1:$Z$1,0)),"")</f>
        <v/>
      </c>
      <c r="H2663" s="6" t="str">
        <f aca="false">IFERROR(INDEX('Semrush Data'!$A$1:$Z$20000,MATCH(A2663,'Semrush Data'!$A$1:$A$20000,0),MATCH("Keyword Difficulty*",'Semrush Data'!$A$1:$Z$1,0)),"")</f>
        <v/>
      </c>
      <c r="I2663" s="29" t="str">
        <f aca="false">IFERROR(INDEX('Semrush Data'!$A$1:$Z$20000,MATCH(A2663,'Semrush Data'!$A$1:$A$20000,0),MATCH("CPC*",'Semrush Data'!$A$1:$Z$1,0)),"")</f>
        <v/>
      </c>
      <c r="J2663" s="6" t="str">
        <f aca="false">IFERROR(INDEX('Semrush Data'!$A$1:$Z$20000,MATCH(A2663,'Semrush Data'!$A$1:$A$20000,0),MATCH("Intent",'Semrush Data'!$A$1:$Z$1,0)),"")</f>
        <v/>
      </c>
    </row>
    <row r="2664" customFormat="false" ht="15" hidden="false" customHeight="true" outlineLevel="0" collapsed="false">
      <c r="A2664" s="6" t="s">
        <v>7359</v>
      </c>
      <c r="B2664" s="6" t="s">
        <v>239</v>
      </c>
      <c r="C2664" s="6" t="n">
        <v>3</v>
      </c>
      <c r="D2664" s="6" t="n">
        <v>27</v>
      </c>
      <c r="E2664" s="6" t="n">
        <v>1</v>
      </c>
      <c r="F2664" s="6" t="s">
        <v>3952</v>
      </c>
      <c r="G2664" s="28" t="str">
        <f aca="false">IFERROR(INDEX('Semrush Data'!$A$1:$Z$20000,MATCH(A2664,'Semrush Data'!$A$1:$A$20000,0),MATCH("Volume",'Semrush Data'!$A$1:$Z$1,0)),"")</f>
        <v/>
      </c>
      <c r="H2664" s="6" t="str">
        <f aca="false">IFERROR(INDEX('Semrush Data'!$A$1:$Z$20000,MATCH(A2664,'Semrush Data'!$A$1:$A$20000,0),MATCH("Keyword Difficulty*",'Semrush Data'!$A$1:$Z$1,0)),"")</f>
        <v/>
      </c>
      <c r="I2664" s="29" t="str">
        <f aca="false">IFERROR(INDEX('Semrush Data'!$A$1:$Z$20000,MATCH(A2664,'Semrush Data'!$A$1:$A$20000,0),MATCH("CPC*",'Semrush Data'!$A$1:$Z$1,0)),"")</f>
        <v/>
      </c>
      <c r="J2664" s="6" t="str">
        <f aca="false">IFERROR(INDEX('Semrush Data'!$A$1:$Z$20000,MATCH(A2664,'Semrush Data'!$A$1:$A$20000,0),MATCH("Intent",'Semrush Data'!$A$1:$Z$1,0)),"")</f>
        <v/>
      </c>
    </row>
    <row r="2665" customFormat="false" ht="15" hidden="false" customHeight="true" outlineLevel="0" collapsed="false">
      <c r="A2665" s="6" t="s">
        <v>4001</v>
      </c>
      <c r="B2665" s="6" t="s">
        <v>239</v>
      </c>
      <c r="C2665" s="6" t="n">
        <v>3</v>
      </c>
      <c r="D2665" s="6" t="n">
        <v>27</v>
      </c>
      <c r="E2665" s="6" t="n">
        <v>1</v>
      </c>
      <c r="F2665" s="6" t="s">
        <v>3995</v>
      </c>
      <c r="G2665" s="28" t="str">
        <f aca="false">IFERROR(INDEX('Semrush Data'!$A$1:$Z$20000,MATCH(A2665,'Semrush Data'!$A$1:$A$20000,0),MATCH("Volume",'Semrush Data'!$A$1:$Z$1,0)),"")</f>
        <v/>
      </c>
      <c r="H2665" s="6" t="str">
        <f aca="false">IFERROR(INDEX('Semrush Data'!$A$1:$Z$20000,MATCH(A2665,'Semrush Data'!$A$1:$A$20000,0),MATCH("Keyword Difficulty*",'Semrush Data'!$A$1:$Z$1,0)),"")</f>
        <v/>
      </c>
      <c r="I2665" s="29" t="str">
        <f aca="false">IFERROR(INDEX('Semrush Data'!$A$1:$Z$20000,MATCH(A2665,'Semrush Data'!$A$1:$A$20000,0),MATCH("CPC*",'Semrush Data'!$A$1:$Z$1,0)),"")</f>
        <v/>
      </c>
      <c r="J2665" s="6" t="str">
        <f aca="false">IFERROR(INDEX('Semrush Data'!$A$1:$Z$20000,MATCH(A2665,'Semrush Data'!$A$1:$A$20000,0),MATCH("Intent",'Semrush Data'!$A$1:$Z$1,0)),"")</f>
        <v/>
      </c>
    </row>
    <row r="2666" customFormat="false" ht="15" hidden="false" customHeight="true" outlineLevel="0" collapsed="false">
      <c r="A2666" s="6" t="s">
        <v>7360</v>
      </c>
      <c r="B2666" s="6" t="s">
        <v>239</v>
      </c>
      <c r="C2666" s="6" t="n">
        <v>3</v>
      </c>
      <c r="D2666" s="6" t="n">
        <v>27</v>
      </c>
      <c r="E2666" s="6" t="n">
        <v>1</v>
      </c>
      <c r="F2666" s="6" t="s">
        <v>3941</v>
      </c>
      <c r="G2666" s="28" t="str">
        <f aca="false">IFERROR(INDEX('Semrush Data'!$A$1:$Z$20000,MATCH(A2666,'Semrush Data'!$A$1:$A$20000,0),MATCH("Volume",'Semrush Data'!$A$1:$Z$1,0)),"")</f>
        <v/>
      </c>
      <c r="H2666" s="6" t="str">
        <f aca="false">IFERROR(INDEX('Semrush Data'!$A$1:$Z$20000,MATCH(A2666,'Semrush Data'!$A$1:$A$20000,0),MATCH("Keyword Difficulty*",'Semrush Data'!$A$1:$Z$1,0)),"")</f>
        <v/>
      </c>
      <c r="I2666" s="29" t="str">
        <f aca="false">IFERROR(INDEX('Semrush Data'!$A$1:$Z$20000,MATCH(A2666,'Semrush Data'!$A$1:$A$20000,0),MATCH("CPC*",'Semrush Data'!$A$1:$Z$1,0)),"")</f>
        <v/>
      </c>
      <c r="J2666" s="6" t="str">
        <f aca="false">IFERROR(INDEX('Semrush Data'!$A$1:$Z$20000,MATCH(A2666,'Semrush Data'!$A$1:$A$20000,0),MATCH("Intent",'Semrush Data'!$A$1:$Z$1,0)),"")</f>
        <v/>
      </c>
    </row>
    <row r="2667" customFormat="false" ht="15" hidden="false" customHeight="true" outlineLevel="0" collapsed="false">
      <c r="A2667" s="6" t="s">
        <v>7361</v>
      </c>
      <c r="B2667" s="6" t="s">
        <v>239</v>
      </c>
      <c r="C2667" s="6" t="n">
        <v>3</v>
      </c>
      <c r="D2667" s="6" t="n">
        <v>27</v>
      </c>
      <c r="E2667" s="6" t="n">
        <v>1</v>
      </c>
      <c r="F2667" s="6" t="s">
        <v>3985</v>
      </c>
      <c r="G2667" s="28" t="str">
        <f aca="false">IFERROR(INDEX('Semrush Data'!$A$1:$Z$20000,MATCH(A2667,'Semrush Data'!$A$1:$A$20000,0),MATCH("Volume",'Semrush Data'!$A$1:$Z$1,0)),"")</f>
        <v/>
      </c>
      <c r="H2667" s="6" t="str">
        <f aca="false">IFERROR(INDEX('Semrush Data'!$A$1:$Z$20000,MATCH(A2667,'Semrush Data'!$A$1:$A$20000,0),MATCH("Keyword Difficulty*",'Semrush Data'!$A$1:$Z$1,0)),"")</f>
        <v/>
      </c>
      <c r="I2667" s="29" t="str">
        <f aca="false">IFERROR(INDEX('Semrush Data'!$A$1:$Z$20000,MATCH(A2667,'Semrush Data'!$A$1:$A$20000,0),MATCH("CPC*",'Semrush Data'!$A$1:$Z$1,0)),"")</f>
        <v/>
      </c>
      <c r="J2667" s="6" t="str">
        <f aca="false">IFERROR(INDEX('Semrush Data'!$A$1:$Z$20000,MATCH(A2667,'Semrush Data'!$A$1:$A$20000,0),MATCH("Intent",'Semrush Data'!$A$1:$Z$1,0)),"")</f>
        <v/>
      </c>
    </row>
    <row r="2668" customFormat="false" ht="15" hidden="false" customHeight="true" outlineLevel="0" collapsed="false">
      <c r="A2668" s="6" t="s">
        <v>7362</v>
      </c>
      <c r="B2668" s="6" t="s">
        <v>239</v>
      </c>
      <c r="C2668" s="6" t="n">
        <v>3</v>
      </c>
      <c r="D2668" s="6" t="n">
        <v>27</v>
      </c>
      <c r="E2668" s="6" t="n">
        <v>1</v>
      </c>
      <c r="F2668" s="6" t="s">
        <v>3963</v>
      </c>
      <c r="G2668" s="28" t="str">
        <f aca="false">IFERROR(INDEX('Semrush Data'!$A$1:$Z$20000,MATCH(A2668,'Semrush Data'!$A$1:$A$20000,0),MATCH("Volume",'Semrush Data'!$A$1:$Z$1,0)),"")</f>
        <v/>
      </c>
      <c r="H2668" s="6" t="str">
        <f aca="false">IFERROR(INDEX('Semrush Data'!$A$1:$Z$20000,MATCH(A2668,'Semrush Data'!$A$1:$A$20000,0),MATCH("Keyword Difficulty*",'Semrush Data'!$A$1:$Z$1,0)),"")</f>
        <v/>
      </c>
      <c r="I2668" s="29" t="str">
        <f aca="false">IFERROR(INDEX('Semrush Data'!$A$1:$Z$20000,MATCH(A2668,'Semrush Data'!$A$1:$A$20000,0),MATCH("CPC*",'Semrush Data'!$A$1:$Z$1,0)),"")</f>
        <v/>
      </c>
      <c r="J2668" s="6" t="str">
        <f aca="false">IFERROR(INDEX('Semrush Data'!$A$1:$Z$20000,MATCH(A2668,'Semrush Data'!$A$1:$A$20000,0),MATCH("Intent",'Semrush Data'!$A$1:$Z$1,0)),"")</f>
        <v/>
      </c>
    </row>
    <row r="2669" customFormat="false" ht="15" hidden="false" customHeight="true" outlineLevel="0" collapsed="false">
      <c r="A2669" s="6" t="s">
        <v>7363</v>
      </c>
      <c r="B2669" s="6" t="s">
        <v>239</v>
      </c>
      <c r="C2669" s="6" t="n">
        <v>3</v>
      </c>
      <c r="D2669" s="6" t="n">
        <v>27</v>
      </c>
      <c r="E2669" s="6" t="n">
        <v>1</v>
      </c>
      <c r="F2669" s="6" t="s">
        <v>3963</v>
      </c>
      <c r="G2669" s="28" t="str">
        <f aca="false">IFERROR(INDEX('Semrush Data'!$A$1:$Z$20000,MATCH(A2669,'Semrush Data'!$A$1:$A$20000,0),MATCH("Volume",'Semrush Data'!$A$1:$Z$1,0)),"")</f>
        <v/>
      </c>
      <c r="H2669" s="6" t="str">
        <f aca="false">IFERROR(INDEX('Semrush Data'!$A$1:$Z$20000,MATCH(A2669,'Semrush Data'!$A$1:$A$20000,0),MATCH("Keyword Difficulty*",'Semrush Data'!$A$1:$Z$1,0)),"")</f>
        <v/>
      </c>
      <c r="I2669" s="29" t="str">
        <f aca="false">IFERROR(INDEX('Semrush Data'!$A$1:$Z$20000,MATCH(A2669,'Semrush Data'!$A$1:$A$20000,0),MATCH("CPC*",'Semrush Data'!$A$1:$Z$1,0)),"")</f>
        <v/>
      </c>
      <c r="J2669" s="6" t="str">
        <f aca="false">IFERROR(INDEX('Semrush Data'!$A$1:$Z$20000,MATCH(A2669,'Semrush Data'!$A$1:$A$20000,0),MATCH("Intent",'Semrush Data'!$A$1:$Z$1,0)),"")</f>
        <v/>
      </c>
    </row>
    <row r="2670" customFormat="false" ht="15" hidden="false" customHeight="true" outlineLevel="0" collapsed="false">
      <c r="A2670" s="6" t="s">
        <v>7364</v>
      </c>
      <c r="B2670" s="6" t="s">
        <v>239</v>
      </c>
      <c r="C2670" s="6" t="n">
        <v>3</v>
      </c>
      <c r="D2670" s="6" t="n">
        <v>27</v>
      </c>
      <c r="E2670" s="6" t="n">
        <v>1</v>
      </c>
      <c r="F2670" s="6" t="s">
        <v>3963</v>
      </c>
      <c r="G2670" s="28" t="str">
        <f aca="false">IFERROR(INDEX('Semrush Data'!$A$1:$Z$20000,MATCH(A2670,'Semrush Data'!$A$1:$A$20000,0),MATCH("Volume",'Semrush Data'!$A$1:$Z$1,0)),"")</f>
        <v/>
      </c>
      <c r="H2670" s="6" t="str">
        <f aca="false">IFERROR(INDEX('Semrush Data'!$A$1:$Z$20000,MATCH(A2670,'Semrush Data'!$A$1:$A$20000,0),MATCH("Keyword Difficulty*",'Semrush Data'!$A$1:$Z$1,0)),"")</f>
        <v/>
      </c>
      <c r="I2670" s="29" t="str">
        <f aca="false">IFERROR(INDEX('Semrush Data'!$A$1:$Z$20000,MATCH(A2670,'Semrush Data'!$A$1:$A$20000,0),MATCH("CPC*",'Semrush Data'!$A$1:$Z$1,0)),"")</f>
        <v/>
      </c>
      <c r="J2670" s="6" t="str">
        <f aca="false">IFERROR(INDEX('Semrush Data'!$A$1:$Z$20000,MATCH(A2670,'Semrush Data'!$A$1:$A$20000,0),MATCH("Intent",'Semrush Data'!$A$1:$Z$1,0)),"")</f>
        <v/>
      </c>
    </row>
    <row r="2671" customFormat="false" ht="15" hidden="false" customHeight="true" outlineLevel="0" collapsed="false">
      <c r="A2671" s="6" t="s">
        <v>7365</v>
      </c>
      <c r="B2671" s="6" t="s">
        <v>239</v>
      </c>
      <c r="C2671" s="6" t="n">
        <v>3</v>
      </c>
      <c r="D2671" s="6" t="n">
        <v>27</v>
      </c>
      <c r="E2671" s="6" t="n">
        <v>1</v>
      </c>
      <c r="F2671" s="6" t="s">
        <v>3963</v>
      </c>
      <c r="G2671" s="28" t="str">
        <f aca="false">IFERROR(INDEX('Semrush Data'!$A$1:$Z$20000,MATCH(A2671,'Semrush Data'!$A$1:$A$20000,0),MATCH("Volume",'Semrush Data'!$A$1:$Z$1,0)),"")</f>
        <v/>
      </c>
      <c r="H2671" s="6" t="str">
        <f aca="false">IFERROR(INDEX('Semrush Data'!$A$1:$Z$20000,MATCH(A2671,'Semrush Data'!$A$1:$A$20000,0),MATCH("Keyword Difficulty*",'Semrush Data'!$A$1:$Z$1,0)),"")</f>
        <v/>
      </c>
      <c r="I2671" s="29" t="str">
        <f aca="false">IFERROR(INDEX('Semrush Data'!$A$1:$Z$20000,MATCH(A2671,'Semrush Data'!$A$1:$A$20000,0),MATCH("CPC*",'Semrush Data'!$A$1:$Z$1,0)),"")</f>
        <v/>
      </c>
      <c r="J2671" s="6" t="str">
        <f aca="false">IFERROR(INDEX('Semrush Data'!$A$1:$Z$20000,MATCH(A2671,'Semrush Data'!$A$1:$A$20000,0),MATCH("Intent",'Semrush Data'!$A$1:$Z$1,0)),"")</f>
        <v/>
      </c>
    </row>
    <row r="2672" customFormat="false" ht="15" hidden="false" customHeight="true" outlineLevel="0" collapsed="false">
      <c r="A2672" s="6" t="s">
        <v>7366</v>
      </c>
      <c r="B2672" s="6" t="s">
        <v>239</v>
      </c>
      <c r="C2672" s="6" t="n">
        <v>3</v>
      </c>
      <c r="D2672" s="6" t="n">
        <v>27</v>
      </c>
      <c r="E2672" s="6" t="n">
        <v>1</v>
      </c>
      <c r="F2672" s="6" t="s">
        <v>3963</v>
      </c>
      <c r="G2672" s="28" t="str">
        <f aca="false">IFERROR(INDEX('Semrush Data'!$A$1:$Z$20000,MATCH(A2672,'Semrush Data'!$A$1:$A$20000,0),MATCH("Volume",'Semrush Data'!$A$1:$Z$1,0)),"")</f>
        <v/>
      </c>
      <c r="H2672" s="6" t="str">
        <f aca="false">IFERROR(INDEX('Semrush Data'!$A$1:$Z$20000,MATCH(A2672,'Semrush Data'!$A$1:$A$20000,0),MATCH("Keyword Difficulty*",'Semrush Data'!$A$1:$Z$1,0)),"")</f>
        <v/>
      </c>
      <c r="I2672" s="29" t="str">
        <f aca="false">IFERROR(INDEX('Semrush Data'!$A$1:$Z$20000,MATCH(A2672,'Semrush Data'!$A$1:$A$20000,0),MATCH("CPC*",'Semrush Data'!$A$1:$Z$1,0)),"")</f>
        <v/>
      </c>
      <c r="J2672" s="6" t="str">
        <f aca="false">IFERROR(INDEX('Semrush Data'!$A$1:$Z$20000,MATCH(A2672,'Semrush Data'!$A$1:$A$20000,0),MATCH("Intent",'Semrush Data'!$A$1:$Z$1,0)),"")</f>
        <v/>
      </c>
    </row>
    <row r="2673" customFormat="false" ht="15" hidden="false" customHeight="true" outlineLevel="0" collapsed="false">
      <c r="A2673" s="6" t="s">
        <v>7367</v>
      </c>
      <c r="B2673" s="6" t="s">
        <v>239</v>
      </c>
      <c r="C2673" s="6" t="n">
        <v>3</v>
      </c>
      <c r="D2673" s="6" t="n">
        <v>27</v>
      </c>
      <c r="E2673" s="6" t="n">
        <v>1</v>
      </c>
      <c r="F2673" s="6" t="s">
        <v>4005</v>
      </c>
      <c r="G2673" s="28" t="str">
        <f aca="false">IFERROR(INDEX('Semrush Data'!$A$1:$Z$20000,MATCH(A2673,'Semrush Data'!$A$1:$A$20000,0),MATCH("Volume",'Semrush Data'!$A$1:$Z$1,0)),"")</f>
        <v/>
      </c>
      <c r="H2673" s="6" t="str">
        <f aca="false">IFERROR(INDEX('Semrush Data'!$A$1:$Z$20000,MATCH(A2673,'Semrush Data'!$A$1:$A$20000,0),MATCH("Keyword Difficulty*",'Semrush Data'!$A$1:$Z$1,0)),"")</f>
        <v/>
      </c>
      <c r="I2673" s="29" t="str">
        <f aca="false">IFERROR(INDEX('Semrush Data'!$A$1:$Z$20000,MATCH(A2673,'Semrush Data'!$A$1:$A$20000,0),MATCH("CPC*",'Semrush Data'!$A$1:$Z$1,0)),"")</f>
        <v/>
      </c>
      <c r="J2673" s="6" t="str">
        <f aca="false">IFERROR(INDEX('Semrush Data'!$A$1:$Z$20000,MATCH(A2673,'Semrush Data'!$A$1:$A$20000,0),MATCH("Intent",'Semrush Data'!$A$1:$Z$1,0)),"")</f>
        <v/>
      </c>
    </row>
    <row r="2674" customFormat="false" ht="15" hidden="false" customHeight="true" outlineLevel="0" collapsed="false">
      <c r="A2674" s="6" t="s">
        <v>7368</v>
      </c>
      <c r="B2674" s="6" t="s">
        <v>239</v>
      </c>
      <c r="C2674" s="6" t="n">
        <v>3</v>
      </c>
      <c r="D2674" s="6" t="n">
        <v>27</v>
      </c>
      <c r="E2674" s="6" t="n">
        <v>1</v>
      </c>
      <c r="F2674" s="6" t="s">
        <v>4005</v>
      </c>
      <c r="G2674" s="28" t="str">
        <f aca="false">IFERROR(INDEX('Semrush Data'!$A$1:$Z$20000,MATCH(A2674,'Semrush Data'!$A$1:$A$20000,0),MATCH("Volume",'Semrush Data'!$A$1:$Z$1,0)),"")</f>
        <v/>
      </c>
      <c r="H2674" s="6" t="str">
        <f aca="false">IFERROR(INDEX('Semrush Data'!$A$1:$Z$20000,MATCH(A2674,'Semrush Data'!$A$1:$A$20000,0),MATCH("Keyword Difficulty*",'Semrush Data'!$A$1:$Z$1,0)),"")</f>
        <v/>
      </c>
      <c r="I2674" s="29" t="str">
        <f aca="false">IFERROR(INDEX('Semrush Data'!$A$1:$Z$20000,MATCH(A2674,'Semrush Data'!$A$1:$A$20000,0),MATCH("CPC*",'Semrush Data'!$A$1:$Z$1,0)),"")</f>
        <v/>
      </c>
      <c r="J2674" s="6" t="str">
        <f aca="false">IFERROR(INDEX('Semrush Data'!$A$1:$Z$20000,MATCH(A2674,'Semrush Data'!$A$1:$A$20000,0),MATCH("Intent",'Semrush Data'!$A$1:$Z$1,0)),"")</f>
        <v/>
      </c>
    </row>
    <row r="2675" customFormat="false" ht="15" hidden="false" customHeight="true" outlineLevel="0" collapsed="false">
      <c r="A2675" s="6" t="s">
        <v>7369</v>
      </c>
      <c r="B2675" s="6" t="s">
        <v>239</v>
      </c>
      <c r="C2675" s="6" t="n">
        <v>3</v>
      </c>
      <c r="D2675" s="6" t="n">
        <v>27</v>
      </c>
      <c r="E2675" s="6" t="n">
        <v>1</v>
      </c>
      <c r="F2675" s="6" t="s">
        <v>4005</v>
      </c>
      <c r="G2675" s="28" t="str">
        <f aca="false">IFERROR(INDEX('Semrush Data'!$A$1:$Z$20000,MATCH(A2675,'Semrush Data'!$A$1:$A$20000,0),MATCH("Volume",'Semrush Data'!$A$1:$Z$1,0)),"")</f>
        <v/>
      </c>
      <c r="H2675" s="6" t="str">
        <f aca="false">IFERROR(INDEX('Semrush Data'!$A$1:$Z$20000,MATCH(A2675,'Semrush Data'!$A$1:$A$20000,0),MATCH("Keyword Difficulty*",'Semrush Data'!$A$1:$Z$1,0)),"")</f>
        <v/>
      </c>
      <c r="I2675" s="29" t="str">
        <f aca="false">IFERROR(INDEX('Semrush Data'!$A$1:$Z$20000,MATCH(A2675,'Semrush Data'!$A$1:$A$20000,0),MATCH("CPC*",'Semrush Data'!$A$1:$Z$1,0)),"")</f>
        <v/>
      </c>
      <c r="J2675" s="6" t="str">
        <f aca="false">IFERROR(INDEX('Semrush Data'!$A$1:$Z$20000,MATCH(A2675,'Semrush Data'!$A$1:$A$20000,0),MATCH("Intent",'Semrush Data'!$A$1:$Z$1,0)),"")</f>
        <v/>
      </c>
    </row>
    <row r="2676" customFormat="false" ht="15" hidden="false" customHeight="true" outlineLevel="0" collapsed="false">
      <c r="A2676" s="6" t="s">
        <v>7370</v>
      </c>
      <c r="B2676" s="6" t="s">
        <v>239</v>
      </c>
      <c r="C2676" s="6" t="n">
        <v>3</v>
      </c>
      <c r="D2676" s="6" t="n">
        <v>27</v>
      </c>
      <c r="E2676" s="6" t="n">
        <v>1</v>
      </c>
      <c r="F2676" s="6" t="s">
        <v>4005</v>
      </c>
      <c r="G2676" s="28" t="str">
        <f aca="false">IFERROR(INDEX('Semrush Data'!$A$1:$Z$20000,MATCH(A2676,'Semrush Data'!$A$1:$A$20000,0),MATCH("Volume",'Semrush Data'!$A$1:$Z$1,0)),"")</f>
        <v/>
      </c>
      <c r="H2676" s="6" t="str">
        <f aca="false">IFERROR(INDEX('Semrush Data'!$A$1:$Z$20000,MATCH(A2676,'Semrush Data'!$A$1:$A$20000,0),MATCH("Keyword Difficulty*",'Semrush Data'!$A$1:$Z$1,0)),"")</f>
        <v/>
      </c>
      <c r="I2676" s="29" t="str">
        <f aca="false">IFERROR(INDEX('Semrush Data'!$A$1:$Z$20000,MATCH(A2676,'Semrush Data'!$A$1:$A$20000,0),MATCH("CPC*",'Semrush Data'!$A$1:$Z$1,0)),"")</f>
        <v/>
      </c>
      <c r="J2676" s="6" t="str">
        <f aca="false">IFERROR(INDEX('Semrush Data'!$A$1:$Z$20000,MATCH(A2676,'Semrush Data'!$A$1:$A$20000,0),MATCH("Intent",'Semrush Data'!$A$1:$Z$1,0)),"")</f>
        <v/>
      </c>
    </row>
    <row r="2677" customFormat="false" ht="15" hidden="false" customHeight="true" outlineLevel="0" collapsed="false">
      <c r="A2677" s="6" t="s">
        <v>7371</v>
      </c>
      <c r="B2677" s="6" t="s">
        <v>239</v>
      </c>
      <c r="C2677" s="6" t="n">
        <v>3</v>
      </c>
      <c r="D2677" s="6" t="n">
        <v>27</v>
      </c>
      <c r="E2677" s="6" t="n">
        <v>1</v>
      </c>
      <c r="F2677" s="6" t="s">
        <v>4005</v>
      </c>
      <c r="G2677" s="28" t="str">
        <f aca="false">IFERROR(INDEX('Semrush Data'!$A$1:$Z$20000,MATCH(A2677,'Semrush Data'!$A$1:$A$20000,0),MATCH("Volume",'Semrush Data'!$A$1:$Z$1,0)),"")</f>
        <v/>
      </c>
      <c r="H2677" s="6" t="str">
        <f aca="false">IFERROR(INDEX('Semrush Data'!$A$1:$Z$20000,MATCH(A2677,'Semrush Data'!$A$1:$A$20000,0),MATCH("Keyword Difficulty*",'Semrush Data'!$A$1:$Z$1,0)),"")</f>
        <v/>
      </c>
      <c r="I2677" s="29" t="str">
        <f aca="false">IFERROR(INDEX('Semrush Data'!$A$1:$Z$20000,MATCH(A2677,'Semrush Data'!$A$1:$A$20000,0),MATCH("CPC*",'Semrush Data'!$A$1:$Z$1,0)),"")</f>
        <v/>
      </c>
      <c r="J2677" s="6" t="str">
        <f aca="false">IFERROR(INDEX('Semrush Data'!$A$1:$Z$20000,MATCH(A2677,'Semrush Data'!$A$1:$A$20000,0),MATCH("Intent",'Semrush Data'!$A$1:$Z$1,0)),"")</f>
        <v/>
      </c>
    </row>
    <row r="2678" customFormat="false" ht="15" hidden="false" customHeight="true" outlineLevel="0" collapsed="false">
      <c r="A2678" s="6" t="s">
        <v>7372</v>
      </c>
      <c r="B2678" s="6" t="s">
        <v>239</v>
      </c>
      <c r="C2678" s="6" t="n">
        <v>3</v>
      </c>
      <c r="D2678" s="6" t="n">
        <v>27</v>
      </c>
      <c r="E2678" s="6" t="n">
        <v>1</v>
      </c>
      <c r="F2678" s="6" t="s">
        <v>4018</v>
      </c>
      <c r="G2678" s="28" t="str">
        <f aca="false">IFERROR(INDEX('Semrush Data'!$A$1:$Z$20000,MATCH(A2678,'Semrush Data'!$A$1:$A$20000,0),MATCH("Volume",'Semrush Data'!$A$1:$Z$1,0)),"")</f>
        <v/>
      </c>
      <c r="H2678" s="6" t="str">
        <f aca="false">IFERROR(INDEX('Semrush Data'!$A$1:$Z$20000,MATCH(A2678,'Semrush Data'!$A$1:$A$20000,0),MATCH("Keyword Difficulty*",'Semrush Data'!$A$1:$Z$1,0)),"")</f>
        <v/>
      </c>
      <c r="I2678" s="29" t="str">
        <f aca="false">IFERROR(INDEX('Semrush Data'!$A$1:$Z$20000,MATCH(A2678,'Semrush Data'!$A$1:$A$20000,0),MATCH("CPC*",'Semrush Data'!$A$1:$Z$1,0)),"")</f>
        <v/>
      </c>
      <c r="J2678" s="6" t="str">
        <f aca="false">IFERROR(INDEX('Semrush Data'!$A$1:$Z$20000,MATCH(A2678,'Semrush Data'!$A$1:$A$20000,0),MATCH("Intent",'Semrush Data'!$A$1:$Z$1,0)),"")</f>
        <v/>
      </c>
    </row>
    <row r="2679" customFormat="false" ht="15" hidden="false" customHeight="true" outlineLevel="0" collapsed="false">
      <c r="A2679" s="6" t="s">
        <v>7373</v>
      </c>
      <c r="B2679" s="6" t="s">
        <v>239</v>
      </c>
      <c r="C2679" s="6" t="n">
        <v>3</v>
      </c>
      <c r="D2679" s="6" t="n">
        <v>27</v>
      </c>
      <c r="E2679" s="6" t="n">
        <v>1</v>
      </c>
      <c r="F2679" s="6" t="s">
        <v>4018</v>
      </c>
      <c r="G2679" s="28" t="str">
        <f aca="false">IFERROR(INDEX('Semrush Data'!$A$1:$Z$20000,MATCH(A2679,'Semrush Data'!$A$1:$A$20000,0),MATCH("Volume",'Semrush Data'!$A$1:$Z$1,0)),"")</f>
        <v/>
      </c>
      <c r="H2679" s="6" t="str">
        <f aca="false">IFERROR(INDEX('Semrush Data'!$A$1:$Z$20000,MATCH(A2679,'Semrush Data'!$A$1:$A$20000,0),MATCH("Keyword Difficulty*",'Semrush Data'!$A$1:$Z$1,0)),"")</f>
        <v/>
      </c>
      <c r="I2679" s="29" t="str">
        <f aca="false">IFERROR(INDEX('Semrush Data'!$A$1:$Z$20000,MATCH(A2679,'Semrush Data'!$A$1:$A$20000,0),MATCH("CPC*",'Semrush Data'!$A$1:$Z$1,0)),"")</f>
        <v/>
      </c>
      <c r="J2679" s="6" t="str">
        <f aca="false">IFERROR(INDEX('Semrush Data'!$A$1:$Z$20000,MATCH(A2679,'Semrush Data'!$A$1:$A$20000,0),MATCH("Intent",'Semrush Data'!$A$1:$Z$1,0)),"")</f>
        <v/>
      </c>
    </row>
    <row r="2680" customFormat="false" ht="15" hidden="false" customHeight="true" outlineLevel="0" collapsed="false">
      <c r="A2680" s="6" t="s">
        <v>7374</v>
      </c>
      <c r="B2680" s="6" t="s">
        <v>239</v>
      </c>
      <c r="C2680" s="6" t="n">
        <v>3</v>
      </c>
      <c r="D2680" s="6" t="n">
        <v>27</v>
      </c>
      <c r="E2680" s="6" t="n">
        <v>1</v>
      </c>
      <c r="F2680" s="6" t="s">
        <v>4018</v>
      </c>
      <c r="G2680" s="28" t="str">
        <f aca="false">IFERROR(INDEX('Semrush Data'!$A$1:$Z$20000,MATCH(A2680,'Semrush Data'!$A$1:$A$20000,0),MATCH("Volume",'Semrush Data'!$A$1:$Z$1,0)),"")</f>
        <v/>
      </c>
      <c r="H2680" s="6" t="str">
        <f aca="false">IFERROR(INDEX('Semrush Data'!$A$1:$Z$20000,MATCH(A2680,'Semrush Data'!$A$1:$A$20000,0),MATCH("Keyword Difficulty*",'Semrush Data'!$A$1:$Z$1,0)),"")</f>
        <v/>
      </c>
      <c r="I2680" s="29" t="str">
        <f aca="false">IFERROR(INDEX('Semrush Data'!$A$1:$Z$20000,MATCH(A2680,'Semrush Data'!$A$1:$A$20000,0),MATCH("CPC*",'Semrush Data'!$A$1:$Z$1,0)),"")</f>
        <v/>
      </c>
      <c r="J2680" s="6" t="str">
        <f aca="false">IFERROR(INDEX('Semrush Data'!$A$1:$Z$20000,MATCH(A2680,'Semrush Data'!$A$1:$A$20000,0),MATCH("Intent",'Semrush Data'!$A$1:$Z$1,0)),"")</f>
        <v/>
      </c>
    </row>
    <row r="2681" customFormat="false" ht="15" hidden="false" customHeight="true" outlineLevel="0" collapsed="false">
      <c r="A2681" s="6" t="s">
        <v>7375</v>
      </c>
      <c r="B2681" s="6" t="s">
        <v>239</v>
      </c>
      <c r="C2681" s="6" t="n">
        <v>3</v>
      </c>
      <c r="D2681" s="6" t="n">
        <v>27</v>
      </c>
      <c r="E2681" s="6" t="n">
        <v>1</v>
      </c>
      <c r="F2681" s="6" t="s">
        <v>129</v>
      </c>
      <c r="G2681" s="28" t="str">
        <f aca="false">IFERROR(INDEX('Semrush Data'!$A$1:$Z$20000,MATCH(A2681,'Semrush Data'!$A$1:$A$20000,0),MATCH("Volume",'Semrush Data'!$A$1:$Z$1,0)),"")</f>
        <v/>
      </c>
      <c r="H2681" s="6" t="str">
        <f aca="false">IFERROR(INDEX('Semrush Data'!$A$1:$Z$20000,MATCH(A2681,'Semrush Data'!$A$1:$A$20000,0),MATCH("Keyword Difficulty*",'Semrush Data'!$A$1:$Z$1,0)),"")</f>
        <v/>
      </c>
      <c r="I2681" s="29" t="str">
        <f aca="false">IFERROR(INDEX('Semrush Data'!$A$1:$Z$20000,MATCH(A2681,'Semrush Data'!$A$1:$A$20000,0),MATCH("CPC*",'Semrush Data'!$A$1:$Z$1,0)),"")</f>
        <v/>
      </c>
      <c r="J2681" s="6" t="str">
        <f aca="false">IFERROR(INDEX('Semrush Data'!$A$1:$Z$20000,MATCH(A2681,'Semrush Data'!$A$1:$A$20000,0),MATCH("Intent",'Semrush Data'!$A$1:$Z$1,0)),"")</f>
        <v/>
      </c>
    </row>
    <row r="2682" customFormat="false" ht="15" hidden="false" customHeight="true" outlineLevel="0" collapsed="false">
      <c r="A2682" s="6" t="s">
        <v>7376</v>
      </c>
      <c r="B2682" s="6" t="s">
        <v>239</v>
      </c>
      <c r="C2682" s="6" t="n">
        <v>3</v>
      </c>
      <c r="D2682" s="6" t="s">
        <v>6893</v>
      </c>
      <c r="E2682" s="6" t="n">
        <v>1</v>
      </c>
      <c r="F2682" s="6" t="s">
        <v>129</v>
      </c>
      <c r="G2682" s="28" t="n">
        <f aca="false">IFERROR(INDEX('Semrush Data'!$A$1:$Z$20000,MATCH(A2682,'Semrush Data'!$A$1:$A$20000,0),MATCH("Volume",'Semrush Data'!$A$1:$Z$1,0)),"")</f>
        <v>20</v>
      </c>
      <c r="H2682" s="6" t="n">
        <f aca="false">IFERROR(INDEX('Semrush Data'!$A$1:$Z$20000,MATCH(A2682,'Semrush Data'!$A$1:$A$20000,0),MATCH("Keyword Difficulty*",'Semrush Data'!$A$1:$Z$1,0)),"")</f>
        <v>9</v>
      </c>
      <c r="I2682" s="29" t="n">
        <f aca="false">IFERROR(INDEX('Semrush Data'!$A$1:$Z$20000,MATCH(A2682,'Semrush Data'!$A$1:$A$20000,0),MATCH("CPC*",'Semrush Data'!$A$1:$Z$1,0)),"")</f>
        <v>0</v>
      </c>
      <c r="J2682" s="6" t="str">
        <f aca="false">IFERROR(INDEX('Semrush Data'!$A$1:$Z$20000,MATCH(A2682,'Semrush Data'!$A$1:$A$20000,0),MATCH("Intent",'Semrush Data'!$A$1:$Z$1,0)),"")</f>
        <v>Informational</v>
      </c>
    </row>
    <row r="2683" customFormat="false" ht="15" hidden="false" customHeight="true" outlineLevel="0" collapsed="false">
      <c r="A2683" s="6" t="s">
        <v>7377</v>
      </c>
      <c r="B2683" s="6" t="s">
        <v>239</v>
      </c>
      <c r="C2683" s="6" t="n">
        <v>3</v>
      </c>
      <c r="D2683" s="6" t="n">
        <v>27</v>
      </c>
      <c r="E2683" s="6" t="n">
        <v>1</v>
      </c>
      <c r="F2683" s="6" t="s">
        <v>129</v>
      </c>
      <c r="G2683" s="28" t="str">
        <f aca="false">IFERROR(INDEX('Semrush Data'!$A$1:$Z$20000,MATCH(A2683,'Semrush Data'!$A$1:$A$20000,0),MATCH("Volume",'Semrush Data'!$A$1:$Z$1,0)),"")</f>
        <v/>
      </c>
      <c r="H2683" s="6" t="str">
        <f aca="false">IFERROR(INDEX('Semrush Data'!$A$1:$Z$20000,MATCH(A2683,'Semrush Data'!$A$1:$A$20000,0),MATCH("Keyword Difficulty*",'Semrush Data'!$A$1:$Z$1,0)),"")</f>
        <v/>
      </c>
      <c r="I2683" s="29" t="str">
        <f aca="false">IFERROR(INDEX('Semrush Data'!$A$1:$Z$20000,MATCH(A2683,'Semrush Data'!$A$1:$A$20000,0),MATCH("CPC*",'Semrush Data'!$A$1:$Z$1,0)),"")</f>
        <v/>
      </c>
      <c r="J2683" s="6" t="str">
        <f aca="false">IFERROR(INDEX('Semrush Data'!$A$1:$Z$20000,MATCH(A2683,'Semrush Data'!$A$1:$A$20000,0),MATCH("Intent",'Semrush Data'!$A$1:$Z$1,0)),"")</f>
        <v/>
      </c>
    </row>
    <row r="2684" customFormat="false" ht="15" hidden="false" customHeight="true" outlineLevel="0" collapsed="false">
      <c r="A2684" s="6" t="s">
        <v>7378</v>
      </c>
      <c r="B2684" s="6" t="s">
        <v>239</v>
      </c>
      <c r="C2684" s="6" t="n">
        <v>3</v>
      </c>
      <c r="D2684" s="6" t="s">
        <v>6893</v>
      </c>
      <c r="E2684" s="6" t="n">
        <v>1</v>
      </c>
      <c r="F2684" s="6" t="s">
        <v>129</v>
      </c>
      <c r="G2684" s="28" t="n">
        <f aca="false">IFERROR(INDEX('Semrush Data'!$A$1:$Z$20000,MATCH(A2684,'Semrush Data'!$A$1:$A$20000,0),MATCH("Volume",'Semrush Data'!$A$1:$Z$1,0)),"")</f>
        <v>20</v>
      </c>
      <c r="H2684" s="6" t="n">
        <f aca="false">IFERROR(INDEX('Semrush Data'!$A$1:$Z$20000,MATCH(A2684,'Semrush Data'!$A$1:$A$20000,0),MATCH("Keyword Difficulty*",'Semrush Data'!$A$1:$Z$1,0)),"")</f>
        <v>12</v>
      </c>
      <c r="I2684" s="29" t="n">
        <f aca="false">IFERROR(INDEX('Semrush Data'!$A$1:$Z$20000,MATCH(A2684,'Semrush Data'!$A$1:$A$20000,0),MATCH("CPC*",'Semrush Data'!$A$1:$Z$1,0)),"")</f>
        <v>0</v>
      </c>
      <c r="J2684" s="6" t="str">
        <f aca="false">IFERROR(INDEX('Semrush Data'!$A$1:$Z$20000,MATCH(A2684,'Semrush Data'!$A$1:$A$20000,0),MATCH("Intent",'Semrush Data'!$A$1:$Z$1,0)),"")</f>
        <v>Commercial</v>
      </c>
    </row>
    <row r="2685" customFormat="false" ht="15" hidden="false" customHeight="true" outlineLevel="0" collapsed="false">
      <c r="A2685" s="6" t="s">
        <v>7379</v>
      </c>
      <c r="B2685" s="6" t="s">
        <v>239</v>
      </c>
      <c r="C2685" s="6" t="n">
        <v>3</v>
      </c>
      <c r="D2685" s="6" t="n">
        <v>27</v>
      </c>
      <c r="E2685" s="6" t="n">
        <v>1</v>
      </c>
      <c r="F2685" s="6" t="s">
        <v>129</v>
      </c>
      <c r="G2685" s="28" t="str">
        <f aca="false">IFERROR(INDEX('Semrush Data'!$A$1:$Z$20000,MATCH(A2685,'Semrush Data'!$A$1:$A$20000,0),MATCH("Volume",'Semrush Data'!$A$1:$Z$1,0)),"")</f>
        <v/>
      </c>
      <c r="H2685" s="6" t="str">
        <f aca="false">IFERROR(INDEX('Semrush Data'!$A$1:$Z$20000,MATCH(A2685,'Semrush Data'!$A$1:$A$20000,0),MATCH("Keyword Difficulty*",'Semrush Data'!$A$1:$Z$1,0)),"")</f>
        <v/>
      </c>
      <c r="I2685" s="29" t="str">
        <f aca="false">IFERROR(INDEX('Semrush Data'!$A$1:$Z$20000,MATCH(A2685,'Semrush Data'!$A$1:$A$20000,0),MATCH("CPC*",'Semrush Data'!$A$1:$Z$1,0)),"")</f>
        <v/>
      </c>
      <c r="J2685" s="6" t="str">
        <f aca="false">IFERROR(INDEX('Semrush Data'!$A$1:$Z$20000,MATCH(A2685,'Semrush Data'!$A$1:$A$20000,0),MATCH("Intent",'Semrush Data'!$A$1:$Z$1,0)),"")</f>
        <v/>
      </c>
    </row>
    <row r="2686" customFormat="false" ht="15" hidden="false" customHeight="true" outlineLevel="0" collapsed="false">
      <c r="A2686" s="6" t="s">
        <v>7380</v>
      </c>
      <c r="B2686" s="6" t="s">
        <v>239</v>
      </c>
      <c r="C2686" s="6" t="n">
        <v>3</v>
      </c>
      <c r="D2686" s="6" t="n">
        <v>27</v>
      </c>
      <c r="E2686" s="6" t="n">
        <v>1</v>
      </c>
      <c r="F2686" s="6" t="s">
        <v>4040</v>
      </c>
      <c r="G2686" s="28" t="str">
        <f aca="false">IFERROR(INDEX('Semrush Data'!$A$1:$Z$20000,MATCH(A2686,'Semrush Data'!$A$1:$A$20000,0),MATCH("Volume",'Semrush Data'!$A$1:$Z$1,0)),"")</f>
        <v/>
      </c>
      <c r="H2686" s="6" t="str">
        <f aca="false">IFERROR(INDEX('Semrush Data'!$A$1:$Z$20000,MATCH(A2686,'Semrush Data'!$A$1:$A$20000,0),MATCH("Keyword Difficulty*",'Semrush Data'!$A$1:$Z$1,0)),"")</f>
        <v/>
      </c>
      <c r="I2686" s="29" t="str">
        <f aca="false">IFERROR(INDEX('Semrush Data'!$A$1:$Z$20000,MATCH(A2686,'Semrush Data'!$A$1:$A$20000,0),MATCH("CPC*",'Semrush Data'!$A$1:$Z$1,0)),"")</f>
        <v/>
      </c>
      <c r="J2686" s="6" t="str">
        <f aca="false">IFERROR(INDEX('Semrush Data'!$A$1:$Z$20000,MATCH(A2686,'Semrush Data'!$A$1:$A$20000,0),MATCH("Intent",'Semrush Data'!$A$1:$Z$1,0)),"")</f>
        <v/>
      </c>
    </row>
    <row r="2687" customFormat="false" ht="15" hidden="false" customHeight="true" outlineLevel="0" collapsed="false">
      <c r="A2687" s="6" t="s">
        <v>7381</v>
      </c>
      <c r="B2687" s="6" t="s">
        <v>239</v>
      </c>
      <c r="C2687" s="6" t="n">
        <v>3</v>
      </c>
      <c r="D2687" s="6" t="n">
        <v>27</v>
      </c>
      <c r="E2687" s="6" t="n">
        <v>1</v>
      </c>
      <c r="F2687" s="6" t="s">
        <v>4040</v>
      </c>
      <c r="G2687" s="28" t="str">
        <f aca="false">IFERROR(INDEX('Semrush Data'!$A$1:$Z$20000,MATCH(A2687,'Semrush Data'!$A$1:$A$20000,0),MATCH("Volume",'Semrush Data'!$A$1:$Z$1,0)),"")</f>
        <v/>
      </c>
      <c r="H2687" s="6" t="str">
        <f aca="false">IFERROR(INDEX('Semrush Data'!$A$1:$Z$20000,MATCH(A2687,'Semrush Data'!$A$1:$A$20000,0),MATCH("Keyword Difficulty*",'Semrush Data'!$A$1:$Z$1,0)),"")</f>
        <v/>
      </c>
      <c r="I2687" s="29" t="str">
        <f aca="false">IFERROR(INDEX('Semrush Data'!$A$1:$Z$20000,MATCH(A2687,'Semrush Data'!$A$1:$A$20000,0),MATCH("CPC*",'Semrush Data'!$A$1:$Z$1,0)),"")</f>
        <v/>
      </c>
      <c r="J2687" s="6" t="str">
        <f aca="false">IFERROR(INDEX('Semrush Data'!$A$1:$Z$20000,MATCH(A2687,'Semrush Data'!$A$1:$A$20000,0),MATCH("Intent",'Semrush Data'!$A$1:$Z$1,0)),"")</f>
        <v/>
      </c>
    </row>
    <row r="2688" customFormat="false" ht="15" hidden="false" customHeight="true" outlineLevel="0" collapsed="false">
      <c r="A2688" s="6" t="s">
        <v>7382</v>
      </c>
      <c r="B2688" s="6" t="s">
        <v>239</v>
      </c>
      <c r="C2688" s="6" t="n">
        <v>3</v>
      </c>
      <c r="D2688" s="6" t="n">
        <v>27</v>
      </c>
      <c r="E2688" s="6" t="n">
        <v>1</v>
      </c>
      <c r="F2688" s="6" t="s">
        <v>4040</v>
      </c>
      <c r="G2688" s="28" t="str">
        <f aca="false">IFERROR(INDEX('Semrush Data'!$A$1:$Z$20000,MATCH(A2688,'Semrush Data'!$A$1:$A$20000,0),MATCH("Volume",'Semrush Data'!$A$1:$Z$1,0)),"")</f>
        <v/>
      </c>
      <c r="H2688" s="6" t="str">
        <f aca="false">IFERROR(INDEX('Semrush Data'!$A$1:$Z$20000,MATCH(A2688,'Semrush Data'!$A$1:$A$20000,0),MATCH("Keyword Difficulty*",'Semrush Data'!$A$1:$Z$1,0)),"")</f>
        <v/>
      </c>
      <c r="I2688" s="29" t="str">
        <f aca="false">IFERROR(INDEX('Semrush Data'!$A$1:$Z$20000,MATCH(A2688,'Semrush Data'!$A$1:$A$20000,0),MATCH("CPC*",'Semrush Data'!$A$1:$Z$1,0)),"")</f>
        <v/>
      </c>
      <c r="J2688" s="6" t="str">
        <f aca="false">IFERROR(INDEX('Semrush Data'!$A$1:$Z$20000,MATCH(A2688,'Semrush Data'!$A$1:$A$20000,0),MATCH("Intent",'Semrush Data'!$A$1:$Z$1,0)),"")</f>
        <v/>
      </c>
    </row>
    <row r="2689" customFormat="false" ht="15" hidden="false" customHeight="true" outlineLevel="0" collapsed="false">
      <c r="A2689" s="6" t="s">
        <v>7383</v>
      </c>
      <c r="B2689" s="6" t="s">
        <v>239</v>
      </c>
      <c r="C2689" s="6" t="n">
        <v>3</v>
      </c>
      <c r="D2689" s="6" t="n">
        <v>27</v>
      </c>
      <c r="E2689" s="6" t="n">
        <v>1</v>
      </c>
      <c r="F2689" s="6" t="s">
        <v>4040</v>
      </c>
      <c r="G2689" s="28" t="str">
        <f aca="false">IFERROR(INDEX('Semrush Data'!$A$1:$Z$20000,MATCH(A2689,'Semrush Data'!$A$1:$A$20000,0),MATCH("Volume",'Semrush Data'!$A$1:$Z$1,0)),"")</f>
        <v/>
      </c>
      <c r="H2689" s="6" t="str">
        <f aca="false">IFERROR(INDEX('Semrush Data'!$A$1:$Z$20000,MATCH(A2689,'Semrush Data'!$A$1:$A$20000,0),MATCH("Keyword Difficulty*",'Semrush Data'!$A$1:$Z$1,0)),"")</f>
        <v/>
      </c>
      <c r="I2689" s="29" t="str">
        <f aca="false">IFERROR(INDEX('Semrush Data'!$A$1:$Z$20000,MATCH(A2689,'Semrush Data'!$A$1:$A$20000,0),MATCH("CPC*",'Semrush Data'!$A$1:$Z$1,0)),"")</f>
        <v/>
      </c>
      <c r="J2689" s="6" t="str">
        <f aca="false">IFERROR(INDEX('Semrush Data'!$A$1:$Z$20000,MATCH(A2689,'Semrush Data'!$A$1:$A$20000,0),MATCH("Intent",'Semrush Data'!$A$1:$Z$1,0)),"")</f>
        <v/>
      </c>
    </row>
    <row r="2690" customFormat="false" ht="15" hidden="false" customHeight="true" outlineLevel="0" collapsed="false">
      <c r="A2690" s="6" t="s">
        <v>7384</v>
      </c>
      <c r="B2690" s="6" t="s">
        <v>239</v>
      </c>
      <c r="C2690" s="6" t="n">
        <v>3</v>
      </c>
      <c r="D2690" s="6" t="n">
        <v>27</v>
      </c>
      <c r="E2690" s="6" t="n">
        <v>1</v>
      </c>
      <c r="F2690" s="6" t="s">
        <v>4040</v>
      </c>
      <c r="G2690" s="28" t="str">
        <f aca="false">IFERROR(INDEX('Semrush Data'!$A$1:$Z$20000,MATCH(A2690,'Semrush Data'!$A$1:$A$20000,0),MATCH("Volume",'Semrush Data'!$A$1:$Z$1,0)),"")</f>
        <v/>
      </c>
      <c r="H2690" s="6" t="str">
        <f aca="false">IFERROR(INDEX('Semrush Data'!$A$1:$Z$20000,MATCH(A2690,'Semrush Data'!$A$1:$A$20000,0),MATCH("Keyword Difficulty*",'Semrush Data'!$A$1:$Z$1,0)),"")</f>
        <v/>
      </c>
      <c r="I2690" s="29" t="str">
        <f aca="false">IFERROR(INDEX('Semrush Data'!$A$1:$Z$20000,MATCH(A2690,'Semrush Data'!$A$1:$A$20000,0),MATCH("CPC*",'Semrush Data'!$A$1:$Z$1,0)),"")</f>
        <v/>
      </c>
      <c r="J2690" s="6" t="str">
        <f aca="false">IFERROR(INDEX('Semrush Data'!$A$1:$Z$20000,MATCH(A2690,'Semrush Data'!$A$1:$A$20000,0),MATCH("Intent",'Semrush Data'!$A$1:$Z$1,0)),"")</f>
        <v/>
      </c>
    </row>
    <row r="2691" customFormat="false" ht="15" hidden="false" customHeight="true" outlineLevel="0" collapsed="false">
      <c r="A2691" s="6" t="s">
        <v>7385</v>
      </c>
      <c r="B2691" s="6" t="s">
        <v>239</v>
      </c>
      <c r="C2691" s="6" t="n">
        <v>3</v>
      </c>
      <c r="D2691" s="6" t="n">
        <v>27</v>
      </c>
      <c r="E2691" s="6" t="n">
        <v>1</v>
      </c>
      <c r="F2691" s="6" t="s">
        <v>4053</v>
      </c>
      <c r="G2691" s="28" t="str">
        <f aca="false">IFERROR(INDEX('Semrush Data'!$A$1:$Z$20000,MATCH(A2691,'Semrush Data'!$A$1:$A$20000,0),MATCH("Volume",'Semrush Data'!$A$1:$Z$1,0)),"")</f>
        <v/>
      </c>
      <c r="H2691" s="6" t="str">
        <f aca="false">IFERROR(INDEX('Semrush Data'!$A$1:$Z$20000,MATCH(A2691,'Semrush Data'!$A$1:$A$20000,0),MATCH("Keyword Difficulty*",'Semrush Data'!$A$1:$Z$1,0)),"")</f>
        <v/>
      </c>
      <c r="I2691" s="29" t="str">
        <f aca="false">IFERROR(INDEX('Semrush Data'!$A$1:$Z$20000,MATCH(A2691,'Semrush Data'!$A$1:$A$20000,0),MATCH("CPC*",'Semrush Data'!$A$1:$Z$1,0)),"")</f>
        <v/>
      </c>
      <c r="J2691" s="6" t="str">
        <f aca="false">IFERROR(INDEX('Semrush Data'!$A$1:$Z$20000,MATCH(A2691,'Semrush Data'!$A$1:$A$20000,0),MATCH("Intent",'Semrush Data'!$A$1:$Z$1,0)),"")</f>
        <v/>
      </c>
    </row>
    <row r="2692" customFormat="false" ht="15" hidden="false" customHeight="true" outlineLevel="0" collapsed="false">
      <c r="A2692" s="6" t="s">
        <v>7386</v>
      </c>
      <c r="B2692" s="6" t="s">
        <v>239</v>
      </c>
      <c r="C2692" s="6" t="n">
        <v>3</v>
      </c>
      <c r="D2692" s="6" t="n">
        <v>27</v>
      </c>
      <c r="E2692" s="6" t="n">
        <v>1</v>
      </c>
      <c r="F2692" s="6" t="s">
        <v>4053</v>
      </c>
      <c r="G2692" s="28" t="str">
        <f aca="false">IFERROR(INDEX('Semrush Data'!$A$1:$Z$20000,MATCH(A2692,'Semrush Data'!$A$1:$A$20000,0),MATCH("Volume",'Semrush Data'!$A$1:$Z$1,0)),"")</f>
        <v/>
      </c>
      <c r="H2692" s="6" t="str">
        <f aca="false">IFERROR(INDEX('Semrush Data'!$A$1:$Z$20000,MATCH(A2692,'Semrush Data'!$A$1:$A$20000,0),MATCH("Keyword Difficulty*",'Semrush Data'!$A$1:$Z$1,0)),"")</f>
        <v/>
      </c>
      <c r="I2692" s="29" t="str">
        <f aca="false">IFERROR(INDEX('Semrush Data'!$A$1:$Z$20000,MATCH(A2692,'Semrush Data'!$A$1:$A$20000,0),MATCH("CPC*",'Semrush Data'!$A$1:$Z$1,0)),"")</f>
        <v/>
      </c>
      <c r="J2692" s="6" t="str">
        <f aca="false">IFERROR(INDEX('Semrush Data'!$A$1:$Z$20000,MATCH(A2692,'Semrush Data'!$A$1:$A$20000,0),MATCH("Intent",'Semrush Data'!$A$1:$Z$1,0)),"")</f>
        <v/>
      </c>
    </row>
    <row r="2693" customFormat="false" ht="15" hidden="false" customHeight="true" outlineLevel="0" collapsed="false">
      <c r="A2693" s="6" t="s">
        <v>7387</v>
      </c>
      <c r="B2693" s="6" t="s">
        <v>239</v>
      </c>
      <c r="C2693" s="6" t="n">
        <v>3</v>
      </c>
      <c r="D2693" s="6" t="n">
        <v>27</v>
      </c>
      <c r="E2693" s="6" t="n">
        <v>1</v>
      </c>
      <c r="F2693" s="6" t="s">
        <v>4053</v>
      </c>
      <c r="G2693" s="28" t="str">
        <f aca="false">IFERROR(INDEX('Semrush Data'!$A$1:$Z$20000,MATCH(A2693,'Semrush Data'!$A$1:$A$20000,0),MATCH("Volume",'Semrush Data'!$A$1:$Z$1,0)),"")</f>
        <v/>
      </c>
      <c r="H2693" s="6" t="str">
        <f aca="false">IFERROR(INDEX('Semrush Data'!$A$1:$Z$20000,MATCH(A2693,'Semrush Data'!$A$1:$A$20000,0),MATCH("Keyword Difficulty*",'Semrush Data'!$A$1:$Z$1,0)),"")</f>
        <v/>
      </c>
      <c r="I2693" s="29" t="str">
        <f aca="false">IFERROR(INDEX('Semrush Data'!$A$1:$Z$20000,MATCH(A2693,'Semrush Data'!$A$1:$A$20000,0),MATCH("CPC*",'Semrush Data'!$A$1:$Z$1,0)),"")</f>
        <v/>
      </c>
      <c r="J2693" s="6" t="str">
        <f aca="false">IFERROR(INDEX('Semrush Data'!$A$1:$Z$20000,MATCH(A2693,'Semrush Data'!$A$1:$A$20000,0),MATCH("Intent",'Semrush Data'!$A$1:$Z$1,0)),"")</f>
        <v/>
      </c>
    </row>
    <row r="2694" customFormat="false" ht="15" hidden="false" customHeight="true" outlineLevel="0" collapsed="false">
      <c r="A2694" s="6" t="s">
        <v>7388</v>
      </c>
      <c r="B2694" s="6" t="s">
        <v>239</v>
      </c>
      <c r="C2694" s="6" t="n">
        <v>3</v>
      </c>
      <c r="D2694" s="6" t="n">
        <v>27</v>
      </c>
      <c r="E2694" s="6" t="n">
        <v>1</v>
      </c>
      <c r="F2694" s="6" t="s">
        <v>4053</v>
      </c>
      <c r="G2694" s="28" t="str">
        <f aca="false">IFERROR(INDEX('Semrush Data'!$A$1:$Z$20000,MATCH(A2694,'Semrush Data'!$A$1:$A$20000,0),MATCH("Volume",'Semrush Data'!$A$1:$Z$1,0)),"")</f>
        <v/>
      </c>
      <c r="H2694" s="6" t="str">
        <f aca="false">IFERROR(INDEX('Semrush Data'!$A$1:$Z$20000,MATCH(A2694,'Semrush Data'!$A$1:$A$20000,0),MATCH("Keyword Difficulty*",'Semrush Data'!$A$1:$Z$1,0)),"")</f>
        <v/>
      </c>
      <c r="I2694" s="29" t="str">
        <f aca="false">IFERROR(INDEX('Semrush Data'!$A$1:$Z$20000,MATCH(A2694,'Semrush Data'!$A$1:$A$20000,0),MATCH("CPC*",'Semrush Data'!$A$1:$Z$1,0)),"")</f>
        <v/>
      </c>
      <c r="J2694" s="6" t="str">
        <f aca="false">IFERROR(INDEX('Semrush Data'!$A$1:$Z$20000,MATCH(A2694,'Semrush Data'!$A$1:$A$20000,0),MATCH("Intent",'Semrush Data'!$A$1:$Z$1,0)),"")</f>
        <v/>
      </c>
    </row>
    <row r="2695" customFormat="false" ht="15" hidden="false" customHeight="true" outlineLevel="0" collapsed="false">
      <c r="A2695" s="6" t="s">
        <v>7389</v>
      </c>
      <c r="B2695" s="6" t="s">
        <v>239</v>
      </c>
      <c r="C2695" s="6" t="n">
        <v>3</v>
      </c>
      <c r="D2695" s="6" t="n">
        <v>27</v>
      </c>
      <c r="E2695" s="6" t="n">
        <v>1</v>
      </c>
      <c r="F2695" s="6" t="s">
        <v>4053</v>
      </c>
      <c r="G2695" s="28" t="str">
        <f aca="false">IFERROR(INDEX('Semrush Data'!$A$1:$Z$20000,MATCH(A2695,'Semrush Data'!$A$1:$A$20000,0),MATCH("Volume",'Semrush Data'!$A$1:$Z$1,0)),"")</f>
        <v/>
      </c>
      <c r="H2695" s="6" t="str">
        <f aca="false">IFERROR(INDEX('Semrush Data'!$A$1:$Z$20000,MATCH(A2695,'Semrush Data'!$A$1:$A$20000,0),MATCH("Keyword Difficulty*",'Semrush Data'!$A$1:$Z$1,0)),"")</f>
        <v/>
      </c>
      <c r="I2695" s="29" t="str">
        <f aca="false">IFERROR(INDEX('Semrush Data'!$A$1:$Z$20000,MATCH(A2695,'Semrush Data'!$A$1:$A$20000,0),MATCH("CPC*",'Semrush Data'!$A$1:$Z$1,0)),"")</f>
        <v/>
      </c>
      <c r="J2695" s="6" t="str">
        <f aca="false">IFERROR(INDEX('Semrush Data'!$A$1:$Z$20000,MATCH(A2695,'Semrush Data'!$A$1:$A$20000,0),MATCH("Intent",'Semrush Data'!$A$1:$Z$1,0)),"")</f>
        <v/>
      </c>
    </row>
    <row r="2696" customFormat="false" ht="15" hidden="false" customHeight="true" outlineLevel="0" collapsed="false">
      <c r="A2696" s="6" t="s">
        <v>7390</v>
      </c>
      <c r="B2696" s="6" t="s">
        <v>239</v>
      </c>
      <c r="C2696" s="6" t="n">
        <v>3</v>
      </c>
      <c r="D2696" s="6" t="n">
        <v>27</v>
      </c>
      <c r="E2696" s="6" t="n">
        <v>1</v>
      </c>
      <c r="F2696" s="6" t="s">
        <v>4053</v>
      </c>
      <c r="G2696" s="28" t="str">
        <f aca="false">IFERROR(INDEX('Semrush Data'!$A$1:$Z$20000,MATCH(A2696,'Semrush Data'!$A$1:$A$20000,0),MATCH("Volume",'Semrush Data'!$A$1:$Z$1,0)),"")</f>
        <v/>
      </c>
      <c r="H2696" s="6" t="str">
        <f aca="false">IFERROR(INDEX('Semrush Data'!$A$1:$Z$20000,MATCH(A2696,'Semrush Data'!$A$1:$A$20000,0),MATCH("Keyword Difficulty*",'Semrush Data'!$A$1:$Z$1,0)),"")</f>
        <v/>
      </c>
      <c r="I2696" s="29" t="str">
        <f aca="false">IFERROR(INDEX('Semrush Data'!$A$1:$Z$20000,MATCH(A2696,'Semrush Data'!$A$1:$A$20000,0),MATCH("CPC*",'Semrush Data'!$A$1:$Z$1,0)),"")</f>
        <v/>
      </c>
      <c r="J2696" s="6" t="str">
        <f aca="false">IFERROR(INDEX('Semrush Data'!$A$1:$Z$20000,MATCH(A2696,'Semrush Data'!$A$1:$A$20000,0),MATCH("Intent",'Semrush Data'!$A$1:$Z$1,0)),"")</f>
        <v/>
      </c>
    </row>
    <row r="2697" customFormat="false" ht="15" hidden="false" customHeight="true" outlineLevel="0" collapsed="false">
      <c r="A2697" s="6" t="s">
        <v>4086</v>
      </c>
      <c r="B2697" s="6" t="s">
        <v>239</v>
      </c>
      <c r="C2697" s="6" t="n">
        <v>3</v>
      </c>
      <c r="D2697" s="6" t="n">
        <v>27</v>
      </c>
      <c r="E2697" s="6" t="n">
        <v>1</v>
      </c>
      <c r="F2697" s="6" t="s">
        <v>4079</v>
      </c>
      <c r="G2697" s="28" t="str">
        <f aca="false">IFERROR(INDEX('Semrush Data'!$A$1:$Z$20000,MATCH(A2697,'Semrush Data'!$A$1:$A$20000,0),MATCH("Volume",'Semrush Data'!$A$1:$Z$1,0)),"")</f>
        <v/>
      </c>
      <c r="H2697" s="6" t="str">
        <f aca="false">IFERROR(INDEX('Semrush Data'!$A$1:$Z$20000,MATCH(A2697,'Semrush Data'!$A$1:$A$20000,0),MATCH("Keyword Difficulty*",'Semrush Data'!$A$1:$Z$1,0)),"")</f>
        <v/>
      </c>
      <c r="I2697" s="29" t="str">
        <f aca="false">IFERROR(INDEX('Semrush Data'!$A$1:$Z$20000,MATCH(A2697,'Semrush Data'!$A$1:$A$20000,0),MATCH("CPC*",'Semrush Data'!$A$1:$Z$1,0)),"")</f>
        <v/>
      </c>
      <c r="J2697" s="6" t="str">
        <f aca="false">IFERROR(INDEX('Semrush Data'!$A$1:$Z$20000,MATCH(A2697,'Semrush Data'!$A$1:$A$20000,0),MATCH("Intent",'Semrush Data'!$A$1:$Z$1,0)),"")</f>
        <v/>
      </c>
    </row>
    <row r="2698" customFormat="false" ht="15" hidden="false" customHeight="true" outlineLevel="0" collapsed="false">
      <c r="A2698" s="6" t="s">
        <v>4075</v>
      </c>
      <c r="B2698" s="6" t="s">
        <v>239</v>
      </c>
      <c r="C2698" s="6" t="n">
        <v>3</v>
      </c>
      <c r="D2698" s="6" t="n">
        <v>27</v>
      </c>
      <c r="E2698" s="6" t="n">
        <v>1</v>
      </c>
      <c r="F2698" s="6" t="s">
        <v>4066</v>
      </c>
      <c r="G2698" s="28" t="str">
        <f aca="false">IFERROR(INDEX('Semrush Data'!$A$1:$Z$20000,MATCH(A2698,'Semrush Data'!$A$1:$A$20000,0),MATCH("Volume",'Semrush Data'!$A$1:$Z$1,0)),"")</f>
        <v/>
      </c>
      <c r="H2698" s="6" t="str">
        <f aca="false">IFERROR(INDEX('Semrush Data'!$A$1:$Z$20000,MATCH(A2698,'Semrush Data'!$A$1:$A$20000,0),MATCH("Keyword Difficulty*",'Semrush Data'!$A$1:$Z$1,0)),"")</f>
        <v/>
      </c>
      <c r="I2698" s="29" t="str">
        <f aca="false">IFERROR(INDEX('Semrush Data'!$A$1:$Z$20000,MATCH(A2698,'Semrush Data'!$A$1:$A$20000,0),MATCH("CPC*",'Semrush Data'!$A$1:$Z$1,0)),"")</f>
        <v/>
      </c>
      <c r="J2698" s="6" t="str">
        <f aca="false">IFERROR(INDEX('Semrush Data'!$A$1:$Z$20000,MATCH(A2698,'Semrush Data'!$A$1:$A$20000,0),MATCH("Intent",'Semrush Data'!$A$1:$Z$1,0)),"")</f>
        <v/>
      </c>
    </row>
    <row r="2699" customFormat="false" ht="15" hidden="false" customHeight="true" outlineLevel="0" collapsed="false">
      <c r="A2699" s="6" t="s">
        <v>4099</v>
      </c>
      <c r="B2699" s="6" t="s">
        <v>239</v>
      </c>
      <c r="C2699" s="6" t="n">
        <v>3</v>
      </c>
      <c r="D2699" s="6" t="n">
        <v>27</v>
      </c>
      <c r="E2699" s="6" t="n">
        <v>1</v>
      </c>
      <c r="F2699" s="6" t="s">
        <v>4090</v>
      </c>
      <c r="G2699" s="28" t="str">
        <f aca="false">IFERROR(INDEX('Semrush Data'!$A$1:$Z$20000,MATCH(A2699,'Semrush Data'!$A$1:$A$20000,0),MATCH("Volume",'Semrush Data'!$A$1:$Z$1,0)),"")</f>
        <v/>
      </c>
      <c r="H2699" s="6" t="str">
        <f aca="false">IFERROR(INDEX('Semrush Data'!$A$1:$Z$20000,MATCH(A2699,'Semrush Data'!$A$1:$A$20000,0),MATCH("Keyword Difficulty*",'Semrush Data'!$A$1:$Z$1,0)),"")</f>
        <v/>
      </c>
      <c r="I2699" s="29" t="str">
        <f aca="false">IFERROR(INDEX('Semrush Data'!$A$1:$Z$20000,MATCH(A2699,'Semrush Data'!$A$1:$A$20000,0),MATCH("CPC*",'Semrush Data'!$A$1:$Z$1,0)),"")</f>
        <v/>
      </c>
      <c r="J2699" s="6" t="str">
        <f aca="false">IFERROR(INDEX('Semrush Data'!$A$1:$Z$20000,MATCH(A2699,'Semrush Data'!$A$1:$A$20000,0),MATCH("Intent",'Semrush Data'!$A$1:$Z$1,0)),"")</f>
        <v/>
      </c>
    </row>
    <row r="2700" customFormat="false" ht="15" hidden="false" customHeight="true" outlineLevel="0" collapsed="false">
      <c r="A2700" s="6" t="s">
        <v>4110</v>
      </c>
      <c r="B2700" s="6" t="s">
        <v>239</v>
      </c>
      <c r="C2700" s="6" t="n">
        <v>3</v>
      </c>
      <c r="D2700" s="6" t="n">
        <v>27</v>
      </c>
      <c r="E2700" s="6" t="n">
        <v>1</v>
      </c>
      <c r="F2700" s="6" t="s">
        <v>4103</v>
      </c>
      <c r="G2700" s="28" t="str">
        <f aca="false">IFERROR(INDEX('Semrush Data'!$A$1:$Z$20000,MATCH(A2700,'Semrush Data'!$A$1:$A$20000,0),MATCH("Volume",'Semrush Data'!$A$1:$Z$1,0)),"")</f>
        <v/>
      </c>
      <c r="H2700" s="6" t="str">
        <f aca="false">IFERROR(INDEX('Semrush Data'!$A$1:$Z$20000,MATCH(A2700,'Semrush Data'!$A$1:$A$20000,0),MATCH("Keyword Difficulty*",'Semrush Data'!$A$1:$Z$1,0)),"")</f>
        <v/>
      </c>
      <c r="I2700" s="29" t="str">
        <f aca="false">IFERROR(INDEX('Semrush Data'!$A$1:$Z$20000,MATCH(A2700,'Semrush Data'!$A$1:$A$20000,0),MATCH("CPC*",'Semrush Data'!$A$1:$Z$1,0)),"")</f>
        <v/>
      </c>
      <c r="J2700" s="6" t="str">
        <f aca="false">IFERROR(INDEX('Semrush Data'!$A$1:$Z$20000,MATCH(A2700,'Semrush Data'!$A$1:$A$20000,0),MATCH("Intent",'Semrush Data'!$A$1:$Z$1,0)),"")</f>
        <v/>
      </c>
    </row>
    <row r="2701" customFormat="false" ht="15" hidden="false" customHeight="true" outlineLevel="0" collapsed="false">
      <c r="A2701" s="6" t="s">
        <v>7391</v>
      </c>
      <c r="B2701" s="6" t="s">
        <v>239</v>
      </c>
      <c r="C2701" s="6" t="n">
        <v>3</v>
      </c>
      <c r="D2701" s="6" t="n">
        <v>27</v>
      </c>
      <c r="E2701" s="6" t="n">
        <v>1</v>
      </c>
      <c r="F2701" s="6" t="s">
        <v>4114</v>
      </c>
      <c r="G2701" s="28" t="str">
        <f aca="false">IFERROR(INDEX('Semrush Data'!$A$1:$Z$20000,MATCH(A2701,'Semrush Data'!$A$1:$A$20000,0),MATCH("Volume",'Semrush Data'!$A$1:$Z$1,0)),"")</f>
        <v/>
      </c>
      <c r="H2701" s="6" t="str">
        <f aca="false">IFERROR(INDEX('Semrush Data'!$A$1:$Z$20000,MATCH(A2701,'Semrush Data'!$A$1:$A$20000,0),MATCH("Keyword Difficulty*",'Semrush Data'!$A$1:$Z$1,0)),"")</f>
        <v/>
      </c>
      <c r="I2701" s="29" t="str">
        <f aca="false">IFERROR(INDEX('Semrush Data'!$A$1:$Z$20000,MATCH(A2701,'Semrush Data'!$A$1:$A$20000,0),MATCH("CPC*",'Semrush Data'!$A$1:$Z$1,0)),"")</f>
        <v/>
      </c>
      <c r="J2701" s="6" t="str">
        <f aca="false">IFERROR(INDEX('Semrush Data'!$A$1:$Z$20000,MATCH(A2701,'Semrush Data'!$A$1:$A$20000,0),MATCH("Intent",'Semrush Data'!$A$1:$Z$1,0)),"")</f>
        <v/>
      </c>
    </row>
    <row r="2702" customFormat="false" ht="15" hidden="false" customHeight="true" outlineLevel="0" collapsed="false">
      <c r="A2702" s="6" t="s">
        <v>4133</v>
      </c>
      <c r="B2702" s="6" t="s">
        <v>239</v>
      </c>
      <c r="C2702" s="6" t="n">
        <v>3</v>
      </c>
      <c r="D2702" s="6" t="n">
        <v>28</v>
      </c>
      <c r="E2702" s="6" t="n">
        <v>1</v>
      </c>
      <c r="F2702" s="6" t="s">
        <v>4125</v>
      </c>
      <c r="G2702" s="28" t="str">
        <f aca="false">IFERROR(INDEX('Semrush Data'!$A$1:$Z$20000,MATCH(A2702,'Semrush Data'!$A$1:$A$20000,0),MATCH("Volume",'Semrush Data'!$A$1:$Z$1,0)),"")</f>
        <v/>
      </c>
      <c r="H2702" s="6" t="str">
        <f aca="false">IFERROR(INDEX('Semrush Data'!$A$1:$Z$20000,MATCH(A2702,'Semrush Data'!$A$1:$A$20000,0),MATCH("Keyword Difficulty*",'Semrush Data'!$A$1:$Z$1,0)),"")</f>
        <v/>
      </c>
      <c r="I2702" s="29" t="str">
        <f aca="false">IFERROR(INDEX('Semrush Data'!$A$1:$Z$20000,MATCH(A2702,'Semrush Data'!$A$1:$A$20000,0),MATCH("CPC*",'Semrush Data'!$A$1:$Z$1,0)),"")</f>
        <v/>
      </c>
      <c r="J2702" s="6" t="str">
        <f aca="false">IFERROR(INDEX('Semrush Data'!$A$1:$Z$20000,MATCH(A2702,'Semrush Data'!$A$1:$A$20000,0),MATCH("Intent",'Semrush Data'!$A$1:$Z$1,0)),"")</f>
        <v/>
      </c>
    </row>
    <row r="2703" customFormat="false" ht="15" hidden="false" customHeight="true" outlineLevel="0" collapsed="false">
      <c r="A2703" s="6" t="s">
        <v>7392</v>
      </c>
      <c r="B2703" s="6" t="s">
        <v>239</v>
      </c>
      <c r="C2703" s="6" t="n">
        <v>3</v>
      </c>
      <c r="D2703" s="6" t="n">
        <v>28</v>
      </c>
      <c r="E2703" s="6" t="n">
        <v>1</v>
      </c>
      <c r="F2703" s="6" t="s">
        <v>4137</v>
      </c>
      <c r="G2703" s="28" t="str">
        <f aca="false">IFERROR(INDEX('Semrush Data'!$A$1:$Z$20000,MATCH(A2703,'Semrush Data'!$A$1:$A$20000,0),MATCH("Volume",'Semrush Data'!$A$1:$Z$1,0)),"")</f>
        <v/>
      </c>
      <c r="H2703" s="6" t="str">
        <f aca="false">IFERROR(INDEX('Semrush Data'!$A$1:$Z$20000,MATCH(A2703,'Semrush Data'!$A$1:$A$20000,0),MATCH("Keyword Difficulty*",'Semrush Data'!$A$1:$Z$1,0)),"")</f>
        <v/>
      </c>
      <c r="I2703" s="29" t="str">
        <f aca="false">IFERROR(INDEX('Semrush Data'!$A$1:$Z$20000,MATCH(A2703,'Semrush Data'!$A$1:$A$20000,0),MATCH("CPC*",'Semrush Data'!$A$1:$Z$1,0)),"")</f>
        <v/>
      </c>
      <c r="J2703" s="6" t="str">
        <f aca="false">IFERROR(INDEX('Semrush Data'!$A$1:$Z$20000,MATCH(A2703,'Semrush Data'!$A$1:$A$20000,0),MATCH("Intent",'Semrush Data'!$A$1:$Z$1,0)),"")</f>
        <v/>
      </c>
    </row>
    <row r="2704" customFormat="false" ht="15" hidden="false" customHeight="true" outlineLevel="0" collapsed="false">
      <c r="A2704" s="6" t="s">
        <v>7393</v>
      </c>
      <c r="B2704" s="6" t="s">
        <v>239</v>
      </c>
      <c r="C2704" s="6" t="n">
        <v>3</v>
      </c>
      <c r="D2704" s="6" t="n">
        <v>28</v>
      </c>
      <c r="E2704" s="6" t="n">
        <v>1</v>
      </c>
      <c r="F2704" s="6" t="s">
        <v>4137</v>
      </c>
      <c r="G2704" s="28" t="str">
        <f aca="false">IFERROR(INDEX('Semrush Data'!$A$1:$Z$20000,MATCH(A2704,'Semrush Data'!$A$1:$A$20000,0),MATCH("Volume",'Semrush Data'!$A$1:$Z$1,0)),"")</f>
        <v/>
      </c>
      <c r="H2704" s="6" t="str">
        <f aca="false">IFERROR(INDEX('Semrush Data'!$A$1:$Z$20000,MATCH(A2704,'Semrush Data'!$A$1:$A$20000,0),MATCH("Keyword Difficulty*",'Semrush Data'!$A$1:$Z$1,0)),"")</f>
        <v/>
      </c>
      <c r="I2704" s="29" t="str">
        <f aca="false">IFERROR(INDEX('Semrush Data'!$A$1:$Z$20000,MATCH(A2704,'Semrush Data'!$A$1:$A$20000,0),MATCH("CPC*",'Semrush Data'!$A$1:$Z$1,0)),"")</f>
        <v/>
      </c>
      <c r="J2704" s="6" t="str">
        <f aca="false">IFERROR(INDEX('Semrush Data'!$A$1:$Z$20000,MATCH(A2704,'Semrush Data'!$A$1:$A$20000,0),MATCH("Intent",'Semrush Data'!$A$1:$Z$1,0)),"")</f>
        <v/>
      </c>
    </row>
    <row r="2705" customFormat="false" ht="15" hidden="false" customHeight="true" outlineLevel="0" collapsed="false">
      <c r="A2705" s="6" t="s">
        <v>7394</v>
      </c>
      <c r="B2705" s="6" t="s">
        <v>239</v>
      </c>
      <c r="C2705" s="6" t="n">
        <v>3</v>
      </c>
      <c r="D2705" s="6" t="n">
        <v>28</v>
      </c>
      <c r="E2705" s="6" t="n">
        <v>1</v>
      </c>
      <c r="F2705" s="6" t="s">
        <v>4149</v>
      </c>
      <c r="G2705" s="28" t="str">
        <f aca="false">IFERROR(INDEX('Semrush Data'!$A$1:$Z$20000,MATCH(A2705,'Semrush Data'!$A$1:$A$20000,0),MATCH("Volume",'Semrush Data'!$A$1:$Z$1,0)),"")</f>
        <v/>
      </c>
      <c r="H2705" s="6" t="str">
        <f aca="false">IFERROR(INDEX('Semrush Data'!$A$1:$Z$20000,MATCH(A2705,'Semrush Data'!$A$1:$A$20000,0),MATCH("Keyword Difficulty*",'Semrush Data'!$A$1:$Z$1,0)),"")</f>
        <v/>
      </c>
      <c r="I2705" s="29" t="str">
        <f aca="false">IFERROR(INDEX('Semrush Data'!$A$1:$Z$20000,MATCH(A2705,'Semrush Data'!$A$1:$A$20000,0),MATCH("CPC*",'Semrush Data'!$A$1:$Z$1,0)),"")</f>
        <v/>
      </c>
      <c r="J2705" s="6" t="str">
        <f aca="false">IFERROR(INDEX('Semrush Data'!$A$1:$Z$20000,MATCH(A2705,'Semrush Data'!$A$1:$A$20000,0),MATCH("Intent",'Semrush Data'!$A$1:$Z$1,0)),"")</f>
        <v/>
      </c>
    </row>
    <row r="2706" customFormat="false" ht="15" hidden="false" customHeight="true" outlineLevel="0" collapsed="false">
      <c r="A2706" s="6" t="s">
        <v>7395</v>
      </c>
      <c r="B2706" s="6" t="s">
        <v>239</v>
      </c>
      <c r="C2706" s="6" t="n">
        <v>3</v>
      </c>
      <c r="D2706" s="6" t="n">
        <v>28</v>
      </c>
      <c r="E2706" s="6" t="n">
        <v>1</v>
      </c>
      <c r="F2706" s="6" t="s">
        <v>4149</v>
      </c>
      <c r="G2706" s="28" t="str">
        <f aca="false">IFERROR(INDEX('Semrush Data'!$A$1:$Z$20000,MATCH(A2706,'Semrush Data'!$A$1:$A$20000,0),MATCH("Volume",'Semrush Data'!$A$1:$Z$1,0)),"")</f>
        <v/>
      </c>
      <c r="H2706" s="6" t="str">
        <f aca="false">IFERROR(INDEX('Semrush Data'!$A$1:$Z$20000,MATCH(A2706,'Semrush Data'!$A$1:$A$20000,0),MATCH("Keyword Difficulty*",'Semrush Data'!$A$1:$Z$1,0)),"")</f>
        <v/>
      </c>
      <c r="I2706" s="29" t="str">
        <f aca="false">IFERROR(INDEX('Semrush Data'!$A$1:$Z$20000,MATCH(A2706,'Semrush Data'!$A$1:$A$20000,0),MATCH("CPC*",'Semrush Data'!$A$1:$Z$1,0)),"")</f>
        <v/>
      </c>
      <c r="J2706" s="6" t="str">
        <f aca="false">IFERROR(INDEX('Semrush Data'!$A$1:$Z$20000,MATCH(A2706,'Semrush Data'!$A$1:$A$20000,0),MATCH("Intent",'Semrush Data'!$A$1:$Z$1,0)),"")</f>
        <v/>
      </c>
    </row>
    <row r="2707" customFormat="false" ht="15" hidden="false" customHeight="true" outlineLevel="0" collapsed="false">
      <c r="A2707" s="6" t="s">
        <v>4187</v>
      </c>
      <c r="B2707" s="6" t="s">
        <v>239</v>
      </c>
      <c r="C2707" s="6" t="n">
        <v>3</v>
      </c>
      <c r="D2707" s="6" t="n">
        <v>28</v>
      </c>
      <c r="E2707" s="6" t="n">
        <v>1</v>
      </c>
      <c r="F2707" s="6" t="s">
        <v>4180</v>
      </c>
      <c r="G2707" s="28" t="str">
        <f aca="false">IFERROR(INDEX('Semrush Data'!$A$1:$Z$20000,MATCH(A2707,'Semrush Data'!$A$1:$A$20000,0),MATCH("Volume",'Semrush Data'!$A$1:$Z$1,0)),"")</f>
        <v/>
      </c>
      <c r="H2707" s="6" t="str">
        <f aca="false">IFERROR(INDEX('Semrush Data'!$A$1:$Z$20000,MATCH(A2707,'Semrush Data'!$A$1:$A$20000,0),MATCH("Keyword Difficulty*",'Semrush Data'!$A$1:$Z$1,0)),"")</f>
        <v/>
      </c>
      <c r="I2707" s="29" t="str">
        <f aca="false">IFERROR(INDEX('Semrush Data'!$A$1:$Z$20000,MATCH(A2707,'Semrush Data'!$A$1:$A$20000,0),MATCH("CPC*",'Semrush Data'!$A$1:$Z$1,0)),"")</f>
        <v/>
      </c>
      <c r="J2707" s="6" t="str">
        <f aca="false">IFERROR(INDEX('Semrush Data'!$A$1:$Z$20000,MATCH(A2707,'Semrush Data'!$A$1:$A$20000,0),MATCH("Intent",'Semrush Data'!$A$1:$Z$1,0)),"")</f>
        <v/>
      </c>
    </row>
    <row r="2708" customFormat="false" ht="15" hidden="false" customHeight="true" outlineLevel="0" collapsed="false">
      <c r="A2708" s="6" t="s">
        <v>7396</v>
      </c>
      <c r="B2708" s="6" t="s">
        <v>239</v>
      </c>
      <c r="C2708" s="6" t="n">
        <v>3</v>
      </c>
      <c r="D2708" s="6" t="n">
        <v>28</v>
      </c>
      <c r="E2708" s="6" t="n">
        <v>1</v>
      </c>
      <c r="F2708" s="6" t="s">
        <v>4191</v>
      </c>
      <c r="G2708" s="28" t="str">
        <f aca="false">IFERROR(INDEX('Semrush Data'!$A$1:$Z$20000,MATCH(A2708,'Semrush Data'!$A$1:$A$20000,0),MATCH("Volume",'Semrush Data'!$A$1:$Z$1,0)),"")</f>
        <v/>
      </c>
      <c r="H2708" s="6" t="str">
        <f aca="false">IFERROR(INDEX('Semrush Data'!$A$1:$Z$20000,MATCH(A2708,'Semrush Data'!$A$1:$A$20000,0),MATCH("Keyword Difficulty*",'Semrush Data'!$A$1:$Z$1,0)),"")</f>
        <v/>
      </c>
      <c r="I2708" s="29" t="str">
        <f aca="false">IFERROR(INDEX('Semrush Data'!$A$1:$Z$20000,MATCH(A2708,'Semrush Data'!$A$1:$A$20000,0),MATCH("CPC*",'Semrush Data'!$A$1:$Z$1,0)),"")</f>
        <v/>
      </c>
      <c r="J2708" s="6" t="str">
        <f aca="false">IFERROR(INDEX('Semrush Data'!$A$1:$Z$20000,MATCH(A2708,'Semrush Data'!$A$1:$A$20000,0),MATCH("Intent",'Semrush Data'!$A$1:$Z$1,0)),"")</f>
        <v/>
      </c>
    </row>
    <row r="2709" customFormat="false" ht="15" hidden="false" customHeight="true" outlineLevel="0" collapsed="false">
      <c r="A2709" s="6" t="s">
        <v>4233</v>
      </c>
      <c r="B2709" s="6" t="s">
        <v>239</v>
      </c>
      <c r="C2709" s="6" t="n">
        <v>3</v>
      </c>
      <c r="D2709" s="6" t="n">
        <v>28</v>
      </c>
      <c r="E2709" s="6" t="n">
        <v>1</v>
      </c>
      <c r="F2709" s="6" t="s">
        <v>4224</v>
      </c>
      <c r="G2709" s="28" t="str">
        <f aca="false">IFERROR(INDEX('Semrush Data'!$A$1:$Z$20000,MATCH(A2709,'Semrush Data'!$A$1:$A$20000,0),MATCH("Volume",'Semrush Data'!$A$1:$Z$1,0)),"")</f>
        <v/>
      </c>
      <c r="H2709" s="6" t="str">
        <f aca="false">IFERROR(INDEX('Semrush Data'!$A$1:$Z$20000,MATCH(A2709,'Semrush Data'!$A$1:$A$20000,0),MATCH("Keyword Difficulty*",'Semrush Data'!$A$1:$Z$1,0)),"")</f>
        <v/>
      </c>
      <c r="I2709" s="29" t="str">
        <f aca="false">IFERROR(INDEX('Semrush Data'!$A$1:$Z$20000,MATCH(A2709,'Semrush Data'!$A$1:$A$20000,0),MATCH("CPC*",'Semrush Data'!$A$1:$Z$1,0)),"")</f>
        <v/>
      </c>
      <c r="J2709" s="6" t="str">
        <f aca="false">IFERROR(INDEX('Semrush Data'!$A$1:$Z$20000,MATCH(A2709,'Semrush Data'!$A$1:$A$20000,0),MATCH("Intent",'Semrush Data'!$A$1:$Z$1,0)),"")</f>
        <v/>
      </c>
    </row>
    <row r="2710" customFormat="false" ht="15" hidden="false" customHeight="true" outlineLevel="0" collapsed="false">
      <c r="A2710" s="6" t="s">
        <v>4220</v>
      </c>
      <c r="B2710" s="6" t="s">
        <v>239</v>
      </c>
      <c r="C2710" s="6" t="n">
        <v>3</v>
      </c>
      <c r="D2710" s="6" t="n">
        <v>28</v>
      </c>
      <c r="E2710" s="6" t="n">
        <v>1</v>
      </c>
      <c r="F2710" s="6" t="s">
        <v>4212</v>
      </c>
      <c r="G2710" s="28" t="str">
        <f aca="false">IFERROR(INDEX('Semrush Data'!$A$1:$Z$20000,MATCH(A2710,'Semrush Data'!$A$1:$A$20000,0),MATCH("Volume",'Semrush Data'!$A$1:$Z$1,0)),"")</f>
        <v/>
      </c>
      <c r="H2710" s="6" t="str">
        <f aca="false">IFERROR(INDEX('Semrush Data'!$A$1:$Z$20000,MATCH(A2710,'Semrush Data'!$A$1:$A$20000,0),MATCH("Keyword Difficulty*",'Semrush Data'!$A$1:$Z$1,0)),"")</f>
        <v/>
      </c>
      <c r="I2710" s="29" t="str">
        <f aca="false">IFERROR(INDEX('Semrush Data'!$A$1:$Z$20000,MATCH(A2710,'Semrush Data'!$A$1:$A$20000,0),MATCH("CPC*",'Semrush Data'!$A$1:$Z$1,0)),"")</f>
        <v/>
      </c>
      <c r="J2710" s="6" t="str">
        <f aca="false">IFERROR(INDEX('Semrush Data'!$A$1:$Z$20000,MATCH(A2710,'Semrush Data'!$A$1:$A$20000,0),MATCH("Intent",'Semrush Data'!$A$1:$Z$1,0)),"")</f>
        <v/>
      </c>
    </row>
    <row r="2711" customFormat="false" ht="15" hidden="false" customHeight="true" outlineLevel="0" collapsed="false">
      <c r="A2711" s="6" t="s">
        <v>7397</v>
      </c>
      <c r="B2711" s="6" t="s">
        <v>239</v>
      </c>
      <c r="C2711" s="6" t="n">
        <v>3</v>
      </c>
      <c r="D2711" s="6" t="n">
        <v>28</v>
      </c>
      <c r="E2711" s="6" t="n">
        <v>1</v>
      </c>
      <c r="F2711" s="6" t="s">
        <v>4249</v>
      </c>
      <c r="G2711" s="28" t="str">
        <f aca="false">IFERROR(INDEX('Semrush Data'!$A$1:$Z$20000,MATCH(A2711,'Semrush Data'!$A$1:$A$20000,0),MATCH("Volume",'Semrush Data'!$A$1:$Z$1,0)),"")</f>
        <v/>
      </c>
      <c r="H2711" s="6" t="str">
        <f aca="false">IFERROR(INDEX('Semrush Data'!$A$1:$Z$20000,MATCH(A2711,'Semrush Data'!$A$1:$A$20000,0),MATCH("Keyword Difficulty*",'Semrush Data'!$A$1:$Z$1,0)),"")</f>
        <v/>
      </c>
      <c r="I2711" s="29" t="str">
        <f aca="false">IFERROR(INDEX('Semrush Data'!$A$1:$Z$20000,MATCH(A2711,'Semrush Data'!$A$1:$A$20000,0),MATCH("CPC*",'Semrush Data'!$A$1:$Z$1,0)),"")</f>
        <v/>
      </c>
      <c r="J2711" s="6" t="str">
        <f aca="false">IFERROR(INDEX('Semrush Data'!$A$1:$Z$20000,MATCH(A2711,'Semrush Data'!$A$1:$A$20000,0),MATCH("Intent",'Semrush Data'!$A$1:$Z$1,0)),"")</f>
        <v/>
      </c>
    </row>
    <row r="2712" customFormat="false" ht="15" hidden="false" customHeight="true" outlineLevel="0" collapsed="false">
      <c r="A2712" s="6" t="s">
        <v>7398</v>
      </c>
      <c r="B2712" s="6" t="s">
        <v>239</v>
      </c>
      <c r="C2712" s="6" t="n">
        <v>3</v>
      </c>
      <c r="D2712" s="6" t="n">
        <v>28</v>
      </c>
      <c r="E2712" s="6" t="n">
        <v>1</v>
      </c>
      <c r="F2712" s="6" t="s">
        <v>4249</v>
      </c>
      <c r="G2712" s="28" t="str">
        <f aca="false">IFERROR(INDEX('Semrush Data'!$A$1:$Z$20000,MATCH(A2712,'Semrush Data'!$A$1:$A$20000,0),MATCH("Volume",'Semrush Data'!$A$1:$Z$1,0)),"")</f>
        <v/>
      </c>
      <c r="H2712" s="6" t="str">
        <f aca="false">IFERROR(INDEX('Semrush Data'!$A$1:$Z$20000,MATCH(A2712,'Semrush Data'!$A$1:$A$20000,0),MATCH("Keyword Difficulty*",'Semrush Data'!$A$1:$Z$1,0)),"")</f>
        <v/>
      </c>
      <c r="I2712" s="29" t="str">
        <f aca="false">IFERROR(INDEX('Semrush Data'!$A$1:$Z$20000,MATCH(A2712,'Semrush Data'!$A$1:$A$20000,0),MATCH("CPC*",'Semrush Data'!$A$1:$Z$1,0)),"")</f>
        <v/>
      </c>
      <c r="J2712" s="6" t="str">
        <f aca="false">IFERROR(INDEX('Semrush Data'!$A$1:$Z$20000,MATCH(A2712,'Semrush Data'!$A$1:$A$20000,0),MATCH("Intent",'Semrush Data'!$A$1:$Z$1,0)),"")</f>
        <v/>
      </c>
    </row>
    <row r="2713" customFormat="false" ht="15" hidden="false" customHeight="true" outlineLevel="0" collapsed="false">
      <c r="A2713" s="6" t="s">
        <v>7399</v>
      </c>
      <c r="B2713" s="6" t="s">
        <v>239</v>
      </c>
      <c r="C2713" s="6" t="n">
        <v>3</v>
      </c>
      <c r="D2713" s="6" t="n">
        <v>28</v>
      </c>
      <c r="E2713" s="6" t="n">
        <v>1</v>
      </c>
      <c r="F2713" s="6" t="s">
        <v>4260</v>
      </c>
      <c r="G2713" s="28" t="str">
        <f aca="false">IFERROR(INDEX('Semrush Data'!$A$1:$Z$20000,MATCH(A2713,'Semrush Data'!$A$1:$A$20000,0),MATCH("Volume",'Semrush Data'!$A$1:$Z$1,0)),"")</f>
        <v/>
      </c>
      <c r="H2713" s="6" t="str">
        <f aca="false">IFERROR(INDEX('Semrush Data'!$A$1:$Z$20000,MATCH(A2713,'Semrush Data'!$A$1:$A$20000,0),MATCH("Keyword Difficulty*",'Semrush Data'!$A$1:$Z$1,0)),"")</f>
        <v/>
      </c>
      <c r="I2713" s="29" t="str">
        <f aca="false">IFERROR(INDEX('Semrush Data'!$A$1:$Z$20000,MATCH(A2713,'Semrush Data'!$A$1:$A$20000,0),MATCH("CPC*",'Semrush Data'!$A$1:$Z$1,0)),"")</f>
        <v/>
      </c>
      <c r="J2713" s="6" t="str">
        <f aca="false">IFERROR(INDEX('Semrush Data'!$A$1:$Z$20000,MATCH(A2713,'Semrush Data'!$A$1:$A$20000,0),MATCH("Intent",'Semrush Data'!$A$1:$Z$1,0)),"")</f>
        <v/>
      </c>
    </row>
    <row r="2714" customFormat="false" ht="15" hidden="false" customHeight="true" outlineLevel="0" collapsed="false">
      <c r="A2714" s="6" t="s">
        <v>7400</v>
      </c>
      <c r="B2714" s="6" t="s">
        <v>239</v>
      </c>
      <c r="C2714" s="6" t="n">
        <v>3</v>
      </c>
      <c r="D2714" s="6" t="n">
        <v>28</v>
      </c>
      <c r="E2714" s="6" t="n">
        <v>1</v>
      </c>
      <c r="F2714" s="6" t="s">
        <v>4260</v>
      </c>
      <c r="G2714" s="28" t="str">
        <f aca="false">IFERROR(INDEX('Semrush Data'!$A$1:$Z$20000,MATCH(A2714,'Semrush Data'!$A$1:$A$20000,0),MATCH("Volume",'Semrush Data'!$A$1:$Z$1,0)),"")</f>
        <v/>
      </c>
      <c r="H2714" s="6" t="str">
        <f aca="false">IFERROR(INDEX('Semrush Data'!$A$1:$Z$20000,MATCH(A2714,'Semrush Data'!$A$1:$A$20000,0),MATCH("Keyword Difficulty*",'Semrush Data'!$A$1:$Z$1,0)),"")</f>
        <v/>
      </c>
      <c r="I2714" s="29" t="str">
        <f aca="false">IFERROR(INDEX('Semrush Data'!$A$1:$Z$20000,MATCH(A2714,'Semrush Data'!$A$1:$A$20000,0),MATCH("CPC*",'Semrush Data'!$A$1:$Z$1,0)),"")</f>
        <v/>
      </c>
      <c r="J2714" s="6" t="str">
        <f aca="false">IFERROR(INDEX('Semrush Data'!$A$1:$Z$20000,MATCH(A2714,'Semrush Data'!$A$1:$A$20000,0),MATCH("Intent",'Semrush Data'!$A$1:$Z$1,0)),"")</f>
        <v/>
      </c>
    </row>
    <row r="2715" customFormat="false" ht="15" hidden="false" customHeight="true" outlineLevel="0" collapsed="false">
      <c r="A2715" s="6" t="s">
        <v>7401</v>
      </c>
      <c r="B2715" s="6" t="s">
        <v>239</v>
      </c>
      <c r="C2715" s="6" t="n">
        <v>3</v>
      </c>
      <c r="D2715" s="6" t="n">
        <v>28</v>
      </c>
      <c r="E2715" s="6" t="n">
        <v>1</v>
      </c>
      <c r="F2715" s="6" t="s">
        <v>4272</v>
      </c>
      <c r="G2715" s="28" t="str">
        <f aca="false">IFERROR(INDEX('Semrush Data'!$A$1:$Z$20000,MATCH(A2715,'Semrush Data'!$A$1:$A$20000,0),MATCH("Volume",'Semrush Data'!$A$1:$Z$1,0)),"")</f>
        <v/>
      </c>
      <c r="H2715" s="6" t="str">
        <f aca="false">IFERROR(INDEX('Semrush Data'!$A$1:$Z$20000,MATCH(A2715,'Semrush Data'!$A$1:$A$20000,0),MATCH("Keyword Difficulty*",'Semrush Data'!$A$1:$Z$1,0)),"")</f>
        <v/>
      </c>
      <c r="I2715" s="29" t="str">
        <f aca="false">IFERROR(INDEX('Semrush Data'!$A$1:$Z$20000,MATCH(A2715,'Semrush Data'!$A$1:$A$20000,0),MATCH("CPC*",'Semrush Data'!$A$1:$Z$1,0)),"")</f>
        <v/>
      </c>
      <c r="J2715" s="6" t="str">
        <f aca="false">IFERROR(INDEX('Semrush Data'!$A$1:$Z$20000,MATCH(A2715,'Semrush Data'!$A$1:$A$20000,0),MATCH("Intent",'Semrush Data'!$A$1:$Z$1,0)),"")</f>
        <v/>
      </c>
    </row>
    <row r="2716" customFormat="false" ht="15" hidden="false" customHeight="true" outlineLevel="0" collapsed="false">
      <c r="A2716" s="6" t="s">
        <v>7402</v>
      </c>
      <c r="B2716" s="6" t="s">
        <v>239</v>
      </c>
      <c r="C2716" s="6" t="n">
        <v>3</v>
      </c>
      <c r="D2716" s="6" t="n">
        <v>28</v>
      </c>
      <c r="E2716" s="6" t="n">
        <v>1</v>
      </c>
      <c r="F2716" s="6" t="s">
        <v>4272</v>
      </c>
      <c r="G2716" s="28" t="str">
        <f aca="false">IFERROR(INDEX('Semrush Data'!$A$1:$Z$20000,MATCH(A2716,'Semrush Data'!$A$1:$A$20000,0),MATCH("Volume",'Semrush Data'!$A$1:$Z$1,0)),"")</f>
        <v/>
      </c>
      <c r="H2716" s="6" t="str">
        <f aca="false">IFERROR(INDEX('Semrush Data'!$A$1:$Z$20000,MATCH(A2716,'Semrush Data'!$A$1:$A$20000,0),MATCH("Keyword Difficulty*",'Semrush Data'!$A$1:$Z$1,0)),"")</f>
        <v/>
      </c>
      <c r="I2716" s="29" t="str">
        <f aca="false">IFERROR(INDEX('Semrush Data'!$A$1:$Z$20000,MATCH(A2716,'Semrush Data'!$A$1:$A$20000,0),MATCH("CPC*",'Semrush Data'!$A$1:$Z$1,0)),"")</f>
        <v/>
      </c>
      <c r="J2716" s="6" t="str">
        <f aca="false">IFERROR(INDEX('Semrush Data'!$A$1:$Z$20000,MATCH(A2716,'Semrush Data'!$A$1:$A$20000,0),MATCH("Intent",'Semrush Data'!$A$1:$Z$1,0)),"")</f>
        <v/>
      </c>
    </row>
    <row r="2717" customFormat="false" ht="15" hidden="false" customHeight="true" outlineLevel="0" collapsed="false">
      <c r="A2717" s="6" t="s">
        <v>7403</v>
      </c>
      <c r="B2717" s="6" t="s">
        <v>239</v>
      </c>
      <c r="C2717" s="6" t="n">
        <v>3</v>
      </c>
      <c r="D2717" s="6" t="n">
        <v>28</v>
      </c>
      <c r="E2717" s="6" t="n">
        <v>1</v>
      </c>
      <c r="F2717" s="6" t="s">
        <v>4283</v>
      </c>
      <c r="G2717" s="28" t="str">
        <f aca="false">IFERROR(INDEX('Semrush Data'!$A$1:$Z$20000,MATCH(A2717,'Semrush Data'!$A$1:$A$20000,0),MATCH("Volume",'Semrush Data'!$A$1:$Z$1,0)),"")</f>
        <v/>
      </c>
      <c r="H2717" s="6" t="str">
        <f aca="false">IFERROR(INDEX('Semrush Data'!$A$1:$Z$20000,MATCH(A2717,'Semrush Data'!$A$1:$A$20000,0),MATCH("Keyword Difficulty*",'Semrush Data'!$A$1:$Z$1,0)),"")</f>
        <v/>
      </c>
      <c r="I2717" s="29" t="str">
        <f aca="false">IFERROR(INDEX('Semrush Data'!$A$1:$Z$20000,MATCH(A2717,'Semrush Data'!$A$1:$A$20000,0),MATCH("CPC*",'Semrush Data'!$A$1:$Z$1,0)),"")</f>
        <v/>
      </c>
      <c r="J2717" s="6" t="str">
        <f aca="false">IFERROR(INDEX('Semrush Data'!$A$1:$Z$20000,MATCH(A2717,'Semrush Data'!$A$1:$A$20000,0),MATCH("Intent",'Semrush Data'!$A$1:$Z$1,0)),"")</f>
        <v/>
      </c>
    </row>
    <row r="2718" customFormat="false" ht="15" hidden="false" customHeight="true" outlineLevel="0" collapsed="false">
      <c r="A2718" s="6" t="s">
        <v>7404</v>
      </c>
      <c r="B2718" s="6" t="s">
        <v>239</v>
      </c>
      <c r="C2718" s="6" t="n">
        <v>3</v>
      </c>
      <c r="D2718" s="6" t="n">
        <v>28</v>
      </c>
      <c r="E2718" s="6" t="n">
        <v>1</v>
      </c>
      <c r="F2718" s="6" t="s">
        <v>4283</v>
      </c>
      <c r="G2718" s="28" t="str">
        <f aca="false">IFERROR(INDEX('Semrush Data'!$A$1:$Z$20000,MATCH(A2718,'Semrush Data'!$A$1:$A$20000,0),MATCH("Volume",'Semrush Data'!$A$1:$Z$1,0)),"")</f>
        <v/>
      </c>
      <c r="H2718" s="6" t="str">
        <f aca="false">IFERROR(INDEX('Semrush Data'!$A$1:$Z$20000,MATCH(A2718,'Semrush Data'!$A$1:$A$20000,0),MATCH("Keyword Difficulty*",'Semrush Data'!$A$1:$Z$1,0)),"")</f>
        <v/>
      </c>
      <c r="I2718" s="29" t="str">
        <f aca="false">IFERROR(INDEX('Semrush Data'!$A$1:$Z$20000,MATCH(A2718,'Semrush Data'!$A$1:$A$20000,0),MATCH("CPC*",'Semrush Data'!$A$1:$Z$1,0)),"")</f>
        <v/>
      </c>
      <c r="J2718" s="6" t="str">
        <f aca="false">IFERROR(INDEX('Semrush Data'!$A$1:$Z$20000,MATCH(A2718,'Semrush Data'!$A$1:$A$20000,0),MATCH("Intent",'Semrush Data'!$A$1:$Z$1,0)),"")</f>
        <v/>
      </c>
    </row>
    <row r="2719" customFormat="false" ht="15" hidden="false" customHeight="true" outlineLevel="0" collapsed="false">
      <c r="A2719" s="6" t="s">
        <v>7405</v>
      </c>
      <c r="B2719" s="6" t="s">
        <v>239</v>
      </c>
      <c r="C2719" s="6" t="n">
        <v>3</v>
      </c>
      <c r="D2719" s="6" t="n">
        <v>28</v>
      </c>
      <c r="E2719" s="6" t="n">
        <v>1</v>
      </c>
      <c r="F2719" s="6" t="s">
        <v>4283</v>
      </c>
      <c r="G2719" s="28" t="str">
        <f aca="false">IFERROR(INDEX('Semrush Data'!$A$1:$Z$20000,MATCH(A2719,'Semrush Data'!$A$1:$A$20000,0),MATCH("Volume",'Semrush Data'!$A$1:$Z$1,0)),"")</f>
        <v/>
      </c>
      <c r="H2719" s="6" t="str">
        <f aca="false">IFERROR(INDEX('Semrush Data'!$A$1:$Z$20000,MATCH(A2719,'Semrush Data'!$A$1:$A$20000,0),MATCH("Keyword Difficulty*",'Semrush Data'!$A$1:$Z$1,0)),"")</f>
        <v/>
      </c>
      <c r="I2719" s="29" t="str">
        <f aca="false">IFERROR(INDEX('Semrush Data'!$A$1:$Z$20000,MATCH(A2719,'Semrush Data'!$A$1:$A$20000,0),MATCH("CPC*",'Semrush Data'!$A$1:$Z$1,0)),"")</f>
        <v/>
      </c>
      <c r="J2719" s="6" t="str">
        <f aca="false">IFERROR(INDEX('Semrush Data'!$A$1:$Z$20000,MATCH(A2719,'Semrush Data'!$A$1:$A$20000,0),MATCH("Intent",'Semrush Data'!$A$1:$Z$1,0)),"")</f>
        <v/>
      </c>
    </row>
    <row r="2720" customFormat="false" ht="15" hidden="false" customHeight="true" outlineLevel="0" collapsed="false">
      <c r="A2720" s="6" t="s">
        <v>7406</v>
      </c>
      <c r="B2720" s="6" t="s">
        <v>239</v>
      </c>
      <c r="C2720" s="6" t="n">
        <v>3</v>
      </c>
      <c r="D2720" s="6" t="n">
        <v>28</v>
      </c>
      <c r="E2720" s="6" t="n">
        <v>1</v>
      </c>
      <c r="F2720" s="6" t="s">
        <v>4283</v>
      </c>
      <c r="G2720" s="28" t="str">
        <f aca="false">IFERROR(INDEX('Semrush Data'!$A$1:$Z$20000,MATCH(A2720,'Semrush Data'!$A$1:$A$20000,0),MATCH("Volume",'Semrush Data'!$A$1:$Z$1,0)),"")</f>
        <v/>
      </c>
      <c r="H2720" s="6" t="str">
        <f aca="false">IFERROR(INDEX('Semrush Data'!$A$1:$Z$20000,MATCH(A2720,'Semrush Data'!$A$1:$A$20000,0),MATCH("Keyword Difficulty*",'Semrush Data'!$A$1:$Z$1,0)),"")</f>
        <v/>
      </c>
      <c r="I2720" s="29" t="str">
        <f aca="false">IFERROR(INDEX('Semrush Data'!$A$1:$Z$20000,MATCH(A2720,'Semrush Data'!$A$1:$A$20000,0),MATCH("CPC*",'Semrush Data'!$A$1:$Z$1,0)),"")</f>
        <v/>
      </c>
      <c r="J2720" s="6" t="str">
        <f aca="false">IFERROR(INDEX('Semrush Data'!$A$1:$Z$20000,MATCH(A2720,'Semrush Data'!$A$1:$A$20000,0),MATCH("Intent",'Semrush Data'!$A$1:$Z$1,0)),"")</f>
        <v/>
      </c>
    </row>
    <row r="2721" customFormat="false" ht="15" hidden="false" customHeight="true" outlineLevel="0" collapsed="false">
      <c r="A2721" s="6" t="s">
        <v>7407</v>
      </c>
      <c r="B2721" s="6" t="s">
        <v>239</v>
      </c>
      <c r="C2721" s="6" t="n">
        <v>3</v>
      </c>
      <c r="D2721" s="6" t="n">
        <v>28</v>
      </c>
      <c r="E2721" s="6" t="n">
        <v>1</v>
      </c>
      <c r="F2721" s="6" t="s">
        <v>4283</v>
      </c>
      <c r="G2721" s="28" t="str">
        <f aca="false">IFERROR(INDEX('Semrush Data'!$A$1:$Z$20000,MATCH(A2721,'Semrush Data'!$A$1:$A$20000,0),MATCH("Volume",'Semrush Data'!$A$1:$Z$1,0)),"")</f>
        <v/>
      </c>
      <c r="H2721" s="6" t="str">
        <f aca="false">IFERROR(INDEX('Semrush Data'!$A$1:$Z$20000,MATCH(A2721,'Semrush Data'!$A$1:$A$20000,0),MATCH("Keyword Difficulty*",'Semrush Data'!$A$1:$Z$1,0)),"")</f>
        <v/>
      </c>
      <c r="I2721" s="29" t="str">
        <f aca="false">IFERROR(INDEX('Semrush Data'!$A$1:$Z$20000,MATCH(A2721,'Semrush Data'!$A$1:$A$20000,0),MATCH("CPC*",'Semrush Data'!$A$1:$Z$1,0)),"")</f>
        <v/>
      </c>
      <c r="J2721" s="6" t="str">
        <f aca="false">IFERROR(INDEX('Semrush Data'!$A$1:$Z$20000,MATCH(A2721,'Semrush Data'!$A$1:$A$20000,0),MATCH("Intent",'Semrush Data'!$A$1:$Z$1,0)),"")</f>
        <v/>
      </c>
    </row>
    <row r="2722" customFormat="false" ht="15" hidden="false" customHeight="true" outlineLevel="0" collapsed="false">
      <c r="A2722" s="6" t="s">
        <v>7408</v>
      </c>
      <c r="B2722" s="6" t="s">
        <v>239</v>
      </c>
      <c r="C2722" s="6" t="n">
        <v>3</v>
      </c>
      <c r="D2722" s="6" t="n">
        <v>28</v>
      </c>
      <c r="E2722" s="6" t="n">
        <v>1</v>
      </c>
      <c r="F2722" s="6" t="s">
        <v>4297</v>
      </c>
      <c r="G2722" s="28" t="str">
        <f aca="false">IFERROR(INDEX('Semrush Data'!$A$1:$Z$20000,MATCH(A2722,'Semrush Data'!$A$1:$A$20000,0),MATCH("Volume",'Semrush Data'!$A$1:$Z$1,0)),"")</f>
        <v/>
      </c>
      <c r="H2722" s="6" t="str">
        <f aca="false">IFERROR(INDEX('Semrush Data'!$A$1:$Z$20000,MATCH(A2722,'Semrush Data'!$A$1:$A$20000,0),MATCH("Keyword Difficulty*",'Semrush Data'!$A$1:$Z$1,0)),"")</f>
        <v/>
      </c>
      <c r="I2722" s="29" t="str">
        <f aca="false">IFERROR(INDEX('Semrush Data'!$A$1:$Z$20000,MATCH(A2722,'Semrush Data'!$A$1:$A$20000,0),MATCH("CPC*",'Semrush Data'!$A$1:$Z$1,0)),"")</f>
        <v/>
      </c>
      <c r="J2722" s="6" t="str">
        <f aca="false">IFERROR(INDEX('Semrush Data'!$A$1:$Z$20000,MATCH(A2722,'Semrush Data'!$A$1:$A$20000,0),MATCH("Intent",'Semrush Data'!$A$1:$Z$1,0)),"")</f>
        <v/>
      </c>
    </row>
    <row r="2723" customFormat="false" ht="15" hidden="false" customHeight="true" outlineLevel="0" collapsed="false">
      <c r="A2723" s="6" t="s">
        <v>7409</v>
      </c>
      <c r="B2723" s="6" t="s">
        <v>239</v>
      </c>
      <c r="C2723" s="6" t="n">
        <v>3</v>
      </c>
      <c r="D2723" s="6" t="n">
        <v>28</v>
      </c>
      <c r="E2723" s="6" t="n">
        <v>1</v>
      </c>
      <c r="F2723" s="6" t="s">
        <v>4297</v>
      </c>
      <c r="G2723" s="28" t="str">
        <f aca="false">IFERROR(INDEX('Semrush Data'!$A$1:$Z$20000,MATCH(A2723,'Semrush Data'!$A$1:$A$20000,0),MATCH("Volume",'Semrush Data'!$A$1:$Z$1,0)),"")</f>
        <v/>
      </c>
      <c r="H2723" s="6" t="str">
        <f aca="false">IFERROR(INDEX('Semrush Data'!$A$1:$Z$20000,MATCH(A2723,'Semrush Data'!$A$1:$A$20000,0),MATCH("Keyword Difficulty*",'Semrush Data'!$A$1:$Z$1,0)),"")</f>
        <v/>
      </c>
      <c r="I2723" s="29" t="str">
        <f aca="false">IFERROR(INDEX('Semrush Data'!$A$1:$Z$20000,MATCH(A2723,'Semrush Data'!$A$1:$A$20000,0),MATCH("CPC*",'Semrush Data'!$A$1:$Z$1,0)),"")</f>
        <v/>
      </c>
      <c r="J2723" s="6" t="str">
        <f aca="false">IFERROR(INDEX('Semrush Data'!$A$1:$Z$20000,MATCH(A2723,'Semrush Data'!$A$1:$A$20000,0),MATCH("Intent",'Semrush Data'!$A$1:$Z$1,0)),"")</f>
        <v/>
      </c>
    </row>
    <row r="2724" customFormat="false" ht="15" hidden="false" customHeight="true" outlineLevel="0" collapsed="false">
      <c r="A2724" s="6" t="s">
        <v>7410</v>
      </c>
      <c r="B2724" s="6" t="s">
        <v>239</v>
      </c>
      <c r="C2724" s="6" t="n">
        <v>3</v>
      </c>
      <c r="D2724" s="6" t="n">
        <v>28</v>
      </c>
      <c r="E2724" s="6" t="n">
        <v>1</v>
      </c>
      <c r="F2724" s="6" t="s">
        <v>4297</v>
      </c>
      <c r="G2724" s="28" t="str">
        <f aca="false">IFERROR(INDEX('Semrush Data'!$A$1:$Z$20000,MATCH(A2724,'Semrush Data'!$A$1:$A$20000,0),MATCH("Volume",'Semrush Data'!$A$1:$Z$1,0)),"")</f>
        <v/>
      </c>
      <c r="H2724" s="6" t="str">
        <f aca="false">IFERROR(INDEX('Semrush Data'!$A$1:$Z$20000,MATCH(A2724,'Semrush Data'!$A$1:$A$20000,0),MATCH("Keyword Difficulty*",'Semrush Data'!$A$1:$Z$1,0)),"")</f>
        <v/>
      </c>
      <c r="I2724" s="29" t="str">
        <f aca="false">IFERROR(INDEX('Semrush Data'!$A$1:$Z$20000,MATCH(A2724,'Semrush Data'!$A$1:$A$20000,0),MATCH("CPC*",'Semrush Data'!$A$1:$Z$1,0)),"")</f>
        <v/>
      </c>
      <c r="J2724" s="6" t="str">
        <f aca="false">IFERROR(INDEX('Semrush Data'!$A$1:$Z$20000,MATCH(A2724,'Semrush Data'!$A$1:$A$20000,0),MATCH("Intent",'Semrush Data'!$A$1:$Z$1,0)),"")</f>
        <v/>
      </c>
    </row>
    <row r="2725" customFormat="false" ht="15" hidden="false" customHeight="true" outlineLevel="0" collapsed="false">
      <c r="A2725" s="6" t="s">
        <v>7411</v>
      </c>
      <c r="B2725" s="6" t="s">
        <v>239</v>
      </c>
      <c r="C2725" s="6" t="n">
        <v>3</v>
      </c>
      <c r="D2725" s="6" t="n">
        <v>28</v>
      </c>
      <c r="E2725" s="6" t="n">
        <v>1</v>
      </c>
      <c r="F2725" s="6" t="s">
        <v>4297</v>
      </c>
      <c r="G2725" s="28" t="str">
        <f aca="false">IFERROR(INDEX('Semrush Data'!$A$1:$Z$20000,MATCH(A2725,'Semrush Data'!$A$1:$A$20000,0),MATCH("Volume",'Semrush Data'!$A$1:$Z$1,0)),"")</f>
        <v/>
      </c>
      <c r="H2725" s="6" t="str">
        <f aca="false">IFERROR(INDEX('Semrush Data'!$A$1:$Z$20000,MATCH(A2725,'Semrush Data'!$A$1:$A$20000,0),MATCH("Keyword Difficulty*",'Semrush Data'!$A$1:$Z$1,0)),"")</f>
        <v/>
      </c>
      <c r="I2725" s="29" t="str">
        <f aca="false">IFERROR(INDEX('Semrush Data'!$A$1:$Z$20000,MATCH(A2725,'Semrush Data'!$A$1:$A$20000,0),MATCH("CPC*",'Semrush Data'!$A$1:$Z$1,0)),"")</f>
        <v/>
      </c>
      <c r="J2725" s="6" t="str">
        <f aca="false">IFERROR(INDEX('Semrush Data'!$A$1:$Z$20000,MATCH(A2725,'Semrush Data'!$A$1:$A$20000,0),MATCH("Intent",'Semrush Data'!$A$1:$Z$1,0)),"")</f>
        <v/>
      </c>
    </row>
    <row r="2726" customFormat="false" ht="15" hidden="false" customHeight="true" outlineLevel="0" collapsed="false">
      <c r="A2726" s="6" t="s">
        <v>7412</v>
      </c>
      <c r="B2726" s="6" t="s">
        <v>239</v>
      </c>
      <c r="C2726" s="6" t="n">
        <v>3</v>
      </c>
      <c r="D2726" s="6" t="n">
        <v>28</v>
      </c>
      <c r="E2726" s="6" t="n">
        <v>1</v>
      </c>
      <c r="F2726" s="6" t="s">
        <v>4297</v>
      </c>
      <c r="G2726" s="28" t="str">
        <f aca="false">IFERROR(INDEX('Semrush Data'!$A$1:$Z$20000,MATCH(A2726,'Semrush Data'!$A$1:$A$20000,0),MATCH("Volume",'Semrush Data'!$A$1:$Z$1,0)),"")</f>
        <v/>
      </c>
      <c r="H2726" s="6" t="str">
        <f aca="false">IFERROR(INDEX('Semrush Data'!$A$1:$Z$20000,MATCH(A2726,'Semrush Data'!$A$1:$A$20000,0),MATCH("Keyword Difficulty*",'Semrush Data'!$A$1:$Z$1,0)),"")</f>
        <v/>
      </c>
      <c r="I2726" s="29" t="str">
        <f aca="false">IFERROR(INDEX('Semrush Data'!$A$1:$Z$20000,MATCH(A2726,'Semrush Data'!$A$1:$A$20000,0),MATCH("CPC*",'Semrush Data'!$A$1:$Z$1,0)),"")</f>
        <v/>
      </c>
      <c r="J2726" s="6" t="str">
        <f aca="false">IFERROR(INDEX('Semrush Data'!$A$1:$Z$20000,MATCH(A2726,'Semrush Data'!$A$1:$A$20000,0),MATCH("Intent",'Semrush Data'!$A$1:$Z$1,0)),"")</f>
        <v/>
      </c>
    </row>
    <row r="2727" customFormat="false" ht="15" hidden="false" customHeight="true" outlineLevel="0" collapsed="false">
      <c r="A2727" s="6" t="s">
        <v>7413</v>
      </c>
      <c r="B2727" s="6" t="s">
        <v>239</v>
      </c>
      <c r="C2727" s="6" t="n">
        <v>3</v>
      </c>
      <c r="D2727" s="6" t="n">
        <v>28</v>
      </c>
      <c r="E2727" s="6" t="n">
        <v>1</v>
      </c>
      <c r="F2727" s="6" t="s">
        <v>4309</v>
      </c>
      <c r="G2727" s="28" t="str">
        <f aca="false">IFERROR(INDEX('Semrush Data'!$A$1:$Z$20000,MATCH(A2727,'Semrush Data'!$A$1:$A$20000,0),MATCH("Volume",'Semrush Data'!$A$1:$Z$1,0)),"")</f>
        <v/>
      </c>
      <c r="H2727" s="6" t="str">
        <f aca="false">IFERROR(INDEX('Semrush Data'!$A$1:$Z$20000,MATCH(A2727,'Semrush Data'!$A$1:$A$20000,0),MATCH("Keyword Difficulty*",'Semrush Data'!$A$1:$Z$1,0)),"")</f>
        <v/>
      </c>
      <c r="I2727" s="29" t="str">
        <f aca="false">IFERROR(INDEX('Semrush Data'!$A$1:$Z$20000,MATCH(A2727,'Semrush Data'!$A$1:$A$20000,0),MATCH("CPC*",'Semrush Data'!$A$1:$Z$1,0)),"")</f>
        <v/>
      </c>
      <c r="J2727" s="6" t="str">
        <f aca="false">IFERROR(INDEX('Semrush Data'!$A$1:$Z$20000,MATCH(A2727,'Semrush Data'!$A$1:$A$20000,0),MATCH("Intent",'Semrush Data'!$A$1:$Z$1,0)),"")</f>
        <v/>
      </c>
    </row>
    <row r="2728" customFormat="false" ht="15" hidden="false" customHeight="true" outlineLevel="0" collapsed="false">
      <c r="A2728" s="6" t="s">
        <v>7414</v>
      </c>
      <c r="B2728" s="6" t="s">
        <v>239</v>
      </c>
      <c r="C2728" s="6" t="n">
        <v>3</v>
      </c>
      <c r="D2728" s="6" t="n">
        <v>28</v>
      </c>
      <c r="E2728" s="6" t="n">
        <v>1</v>
      </c>
      <c r="F2728" s="6" t="s">
        <v>4309</v>
      </c>
      <c r="G2728" s="28" t="str">
        <f aca="false">IFERROR(INDEX('Semrush Data'!$A$1:$Z$20000,MATCH(A2728,'Semrush Data'!$A$1:$A$20000,0),MATCH("Volume",'Semrush Data'!$A$1:$Z$1,0)),"")</f>
        <v/>
      </c>
      <c r="H2728" s="6" t="str">
        <f aca="false">IFERROR(INDEX('Semrush Data'!$A$1:$Z$20000,MATCH(A2728,'Semrush Data'!$A$1:$A$20000,0),MATCH("Keyword Difficulty*",'Semrush Data'!$A$1:$Z$1,0)),"")</f>
        <v/>
      </c>
      <c r="I2728" s="29" t="str">
        <f aca="false">IFERROR(INDEX('Semrush Data'!$A$1:$Z$20000,MATCH(A2728,'Semrush Data'!$A$1:$A$20000,0),MATCH("CPC*",'Semrush Data'!$A$1:$Z$1,0)),"")</f>
        <v/>
      </c>
      <c r="J2728" s="6" t="str">
        <f aca="false">IFERROR(INDEX('Semrush Data'!$A$1:$Z$20000,MATCH(A2728,'Semrush Data'!$A$1:$A$20000,0),MATCH("Intent",'Semrush Data'!$A$1:$Z$1,0)),"")</f>
        <v/>
      </c>
    </row>
    <row r="2729" customFormat="false" ht="15" hidden="false" customHeight="true" outlineLevel="0" collapsed="false">
      <c r="A2729" s="6" t="s">
        <v>7415</v>
      </c>
      <c r="B2729" s="6" t="s">
        <v>239</v>
      </c>
      <c r="C2729" s="6" t="n">
        <v>3</v>
      </c>
      <c r="D2729" s="6" t="n">
        <v>28</v>
      </c>
      <c r="E2729" s="6" t="n">
        <v>1</v>
      </c>
      <c r="F2729" s="6" t="s">
        <v>4309</v>
      </c>
      <c r="G2729" s="28" t="str">
        <f aca="false">IFERROR(INDEX('Semrush Data'!$A$1:$Z$20000,MATCH(A2729,'Semrush Data'!$A$1:$A$20000,0),MATCH("Volume",'Semrush Data'!$A$1:$Z$1,0)),"")</f>
        <v/>
      </c>
      <c r="H2729" s="6" t="str">
        <f aca="false">IFERROR(INDEX('Semrush Data'!$A$1:$Z$20000,MATCH(A2729,'Semrush Data'!$A$1:$A$20000,0),MATCH("Keyword Difficulty*",'Semrush Data'!$A$1:$Z$1,0)),"")</f>
        <v/>
      </c>
      <c r="I2729" s="29" t="str">
        <f aca="false">IFERROR(INDEX('Semrush Data'!$A$1:$Z$20000,MATCH(A2729,'Semrush Data'!$A$1:$A$20000,0),MATCH("CPC*",'Semrush Data'!$A$1:$Z$1,0)),"")</f>
        <v/>
      </c>
      <c r="J2729" s="6" t="str">
        <f aca="false">IFERROR(INDEX('Semrush Data'!$A$1:$Z$20000,MATCH(A2729,'Semrush Data'!$A$1:$A$20000,0),MATCH("Intent",'Semrush Data'!$A$1:$Z$1,0)),"")</f>
        <v/>
      </c>
    </row>
    <row r="2730" customFormat="false" ht="15" hidden="false" customHeight="true" outlineLevel="0" collapsed="false">
      <c r="A2730" s="6" t="s">
        <v>7416</v>
      </c>
      <c r="B2730" s="6" t="s">
        <v>239</v>
      </c>
      <c r="C2730" s="6" t="n">
        <v>3</v>
      </c>
      <c r="D2730" s="6" t="n">
        <v>28</v>
      </c>
      <c r="E2730" s="6" t="n">
        <v>1</v>
      </c>
      <c r="F2730" s="6" t="s">
        <v>4309</v>
      </c>
      <c r="G2730" s="28" t="str">
        <f aca="false">IFERROR(INDEX('Semrush Data'!$A$1:$Z$20000,MATCH(A2730,'Semrush Data'!$A$1:$A$20000,0),MATCH("Volume",'Semrush Data'!$A$1:$Z$1,0)),"")</f>
        <v/>
      </c>
      <c r="H2730" s="6" t="str">
        <f aca="false">IFERROR(INDEX('Semrush Data'!$A$1:$Z$20000,MATCH(A2730,'Semrush Data'!$A$1:$A$20000,0),MATCH("Keyword Difficulty*",'Semrush Data'!$A$1:$Z$1,0)),"")</f>
        <v/>
      </c>
      <c r="I2730" s="29" t="str">
        <f aca="false">IFERROR(INDEX('Semrush Data'!$A$1:$Z$20000,MATCH(A2730,'Semrush Data'!$A$1:$A$20000,0),MATCH("CPC*",'Semrush Data'!$A$1:$Z$1,0)),"")</f>
        <v/>
      </c>
      <c r="J2730" s="6" t="str">
        <f aca="false">IFERROR(INDEX('Semrush Data'!$A$1:$Z$20000,MATCH(A2730,'Semrush Data'!$A$1:$A$20000,0),MATCH("Intent",'Semrush Data'!$A$1:$Z$1,0)),"")</f>
        <v/>
      </c>
    </row>
    <row r="2731" customFormat="false" ht="15" hidden="false" customHeight="true" outlineLevel="0" collapsed="false">
      <c r="A2731" s="6" t="s">
        <v>7417</v>
      </c>
      <c r="B2731" s="6" t="s">
        <v>239</v>
      </c>
      <c r="C2731" s="6" t="n">
        <v>3</v>
      </c>
      <c r="D2731" s="6" t="n">
        <v>28</v>
      </c>
      <c r="E2731" s="6" t="n">
        <v>1</v>
      </c>
      <c r="F2731" s="6" t="s">
        <v>4320</v>
      </c>
      <c r="G2731" s="28" t="str">
        <f aca="false">IFERROR(INDEX('Semrush Data'!$A$1:$Z$20000,MATCH(A2731,'Semrush Data'!$A$1:$A$20000,0),MATCH("Volume",'Semrush Data'!$A$1:$Z$1,0)),"")</f>
        <v/>
      </c>
      <c r="H2731" s="6" t="str">
        <f aca="false">IFERROR(INDEX('Semrush Data'!$A$1:$Z$20000,MATCH(A2731,'Semrush Data'!$A$1:$A$20000,0),MATCH("Keyword Difficulty*",'Semrush Data'!$A$1:$Z$1,0)),"")</f>
        <v/>
      </c>
      <c r="I2731" s="29" t="str">
        <f aca="false">IFERROR(INDEX('Semrush Data'!$A$1:$Z$20000,MATCH(A2731,'Semrush Data'!$A$1:$A$20000,0),MATCH("CPC*",'Semrush Data'!$A$1:$Z$1,0)),"")</f>
        <v/>
      </c>
      <c r="J2731" s="6" t="str">
        <f aca="false">IFERROR(INDEX('Semrush Data'!$A$1:$Z$20000,MATCH(A2731,'Semrush Data'!$A$1:$A$20000,0),MATCH("Intent",'Semrush Data'!$A$1:$Z$1,0)),"")</f>
        <v/>
      </c>
    </row>
    <row r="2732" customFormat="false" ht="15" hidden="false" customHeight="true" outlineLevel="0" collapsed="false">
      <c r="A2732" s="6" t="s">
        <v>7418</v>
      </c>
      <c r="B2732" s="6" t="s">
        <v>239</v>
      </c>
      <c r="C2732" s="6" t="n">
        <v>3</v>
      </c>
      <c r="D2732" s="6" t="n">
        <v>28</v>
      </c>
      <c r="E2732" s="6" t="n">
        <v>1</v>
      </c>
      <c r="F2732" s="6" t="s">
        <v>4320</v>
      </c>
      <c r="G2732" s="28" t="str">
        <f aca="false">IFERROR(INDEX('Semrush Data'!$A$1:$Z$20000,MATCH(A2732,'Semrush Data'!$A$1:$A$20000,0),MATCH("Volume",'Semrush Data'!$A$1:$Z$1,0)),"")</f>
        <v/>
      </c>
      <c r="H2732" s="6" t="str">
        <f aca="false">IFERROR(INDEX('Semrush Data'!$A$1:$Z$20000,MATCH(A2732,'Semrush Data'!$A$1:$A$20000,0),MATCH("Keyword Difficulty*",'Semrush Data'!$A$1:$Z$1,0)),"")</f>
        <v/>
      </c>
      <c r="I2732" s="29" t="str">
        <f aca="false">IFERROR(INDEX('Semrush Data'!$A$1:$Z$20000,MATCH(A2732,'Semrush Data'!$A$1:$A$20000,0),MATCH("CPC*",'Semrush Data'!$A$1:$Z$1,0)),"")</f>
        <v/>
      </c>
      <c r="J2732" s="6" t="str">
        <f aca="false">IFERROR(INDEX('Semrush Data'!$A$1:$Z$20000,MATCH(A2732,'Semrush Data'!$A$1:$A$20000,0),MATCH("Intent",'Semrush Data'!$A$1:$Z$1,0)),"")</f>
        <v/>
      </c>
    </row>
    <row r="2733" customFormat="false" ht="15" hidden="false" customHeight="true" outlineLevel="0" collapsed="false">
      <c r="A2733" s="6" t="s">
        <v>7419</v>
      </c>
      <c r="B2733" s="6" t="s">
        <v>239</v>
      </c>
      <c r="C2733" s="6" t="n">
        <v>3</v>
      </c>
      <c r="D2733" s="6" t="n">
        <v>28</v>
      </c>
      <c r="E2733" s="6" t="n">
        <v>1</v>
      </c>
      <c r="F2733" s="6" t="s">
        <v>4320</v>
      </c>
      <c r="G2733" s="28" t="str">
        <f aca="false">IFERROR(INDEX('Semrush Data'!$A$1:$Z$20000,MATCH(A2733,'Semrush Data'!$A$1:$A$20000,0),MATCH("Volume",'Semrush Data'!$A$1:$Z$1,0)),"")</f>
        <v/>
      </c>
      <c r="H2733" s="6" t="str">
        <f aca="false">IFERROR(INDEX('Semrush Data'!$A$1:$Z$20000,MATCH(A2733,'Semrush Data'!$A$1:$A$20000,0),MATCH("Keyword Difficulty*",'Semrush Data'!$A$1:$Z$1,0)),"")</f>
        <v/>
      </c>
      <c r="I2733" s="29" t="str">
        <f aca="false">IFERROR(INDEX('Semrush Data'!$A$1:$Z$20000,MATCH(A2733,'Semrush Data'!$A$1:$A$20000,0),MATCH("CPC*",'Semrush Data'!$A$1:$Z$1,0)),"")</f>
        <v/>
      </c>
      <c r="J2733" s="6" t="str">
        <f aca="false">IFERROR(INDEX('Semrush Data'!$A$1:$Z$20000,MATCH(A2733,'Semrush Data'!$A$1:$A$20000,0),MATCH("Intent",'Semrush Data'!$A$1:$Z$1,0)),"")</f>
        <v/>
      </c>
    </row>
    <row r="2734" customFormat="false" ht="15" hidden="false" customHeight="true" outlineLevel="0" collapsed="false">
      <c r="A2734" s="6" t="s">
        <v>7420</v>
      </c>
      <c r="B2734" s="6" t="s">
        <v>239</v>
      </c>
      <c r="C2734" s="6" t="n">
        <v>3</v>
      </c>
      <c r="D2734" s="6" t="n">
        <v>28</v>
      </c>
      <c r="E2734" s="6" t="n">
        <v>1</v>
      </c>
      <c r="F2734" s="6" t="s">
        <v>4320</v>
      </c>
      <c r="G2734" s="28" t="str">
        <f aca="false">IFERROR(INDEX('Semrush Data'!$A$1:$Z$20000,MATCH(A2734,'Semrush Data'!$A$1:$A$20000,0),MATCH("Volume",'Semrush Data'!$A$1:$Z$1,0)),"")</f>
        <v/>
      </c>
      <c r="H2734" s="6" t="str">
        <f aca="false">IFERROR(INDEX('Semrush Data'!$A$1:$Z$20000,MATCH(A2734,'Semrush Data'!$A$1:$A$20000,0),MATCH("Keyword Difficulty*",'Semrush Data'!$A$1:$Z$1,0)),"")</f>
        <v/>
      </c>
      <c r="I2734" s="29" t="str">
        <f aca="false">IFERROR(INDEX('Semrush Data'!$A$1:$Z$20000,MATCH(A2734,'Semrush Data'!$A$1:$A$20000,0),MATCH("CPC*",'Semrush Data'!$A$1:$Z$1,0)),"")</f>
        <v/>
      </c>
      <c r="J2734" s="6" t="str">
        <f aca="false">IFERROR(INDEX('Semrush Data'!$A$1:$Z$20000,MATCH(A2734,'Semrush Data'!$A$1:$A$20000,0),MATCH("Intent",'Semrush Data'!$A$1:$Z$1,0)),"")</f>
        <v/>
      </c>
    </row>
    <row r="2735" customFormat="false" ht="15" hidden="false" customHeight="true" outlineLevel="0" collapsed="false">
      <c r="A2735" s="6" t="s">
        <v>7421</v>
      </c>
      <c r="B2735" s="6" t="s">
        <v>239</v>
      </c>
      <c r="C2735" s="6" t="n">
        <v>3</v>
      </c>
      <c r="D2735" s="6" t="n">
        <v>28</v>
      </c>
      <c r="E2735" s="6" t="n">
        <v>1</v>
      </c>
      <c r="F2735" s="6" t="s">
        <v>4320</v>
      </c>
      <c r="G2735" s="28" t="str">
        <f aca="false">IFERROR(INDEX('Semrush Data'!$A$1:$Z$20000,MATCH(A2735,'Semrush Data'!$A$1:$A$20000,0),MATCH("Volume",'Semrush Data'!$A$1:$Z$1,0)),"")</f>
        <v/>
      </c>
      <c r="H2735" s="6" t="str">
        <f aca="false">IFERROR(INDEX('Semrush Data'!$A$1:$Z$20000,MATCH(A2735,'Semrush Data'!$A$1:$A$20000,0),MATCH("Keyword Difficulty*",'Semrush Data'!$A$1:$Z$1,0)),"")</f>
        <v/>
      </c>
      <c r="I2735" s="29" t="str">
        <f aca="false">IFERROR(INDEX('Semrush Data'!$A$1:$Z$20000,MATCH(A2735,'Semrush Data'!$A$1:$A$20000,0),MATCH("CPC*",'Semrush Data'!$A$1:$Z$1,0)),"")</f>
        <v/>
      </c>
      <c r="J2735" s="6" t="str">
        <f aca="false">IFERROR(INDEX('Semrush Data'!$A$1:$Z$20000,MATCH(A2735,'Semrush Data'!$A$1:$A$20000,0),MATCH("Intent",'Semrush Data'!$A$1:$Z$1,0)),"")</f>
        <v/>
      </c>
    </row>
    <row r="2736" customFormat="false" ht="15" hidden="false" customHeight="true" outlineLevel="0" collapsed="false">
      <c r="A2736" s="6" t="s">
        <v>7422</v>
      </c>
      <c r="B2736" s="6" t="s">
        <v>239</v>
      </c>
      <c r="C2736" s="6" t="n">
        <v>3</v>
      </c>
      <c r="D2736" s="6" t="s">
        <v>6870</v>
      </c>
      <c r="E2736" s="6" t="n">
        <v>1</v>
      </c>
      <c r="F2736" s="6" t="s">
        <v>83</v>
      </c>
      <c r="G2736" s="28" t="n">
        <f aca="false">IFERROR(INDEX('Semrush Data'!$A$1:$Z$20000,MATCH(A2736,'Semrush Data'!$A$1:$A$20000,0),MATCH("Volume",'Semrush Data'!$A$1:$Z$1,0)),"")</f>
        <v>20</v>
      </c>
      <c r="H2736" s="6" t="n">
        <f aca="false">IFERROR(INDEX('Semrush Data'!$A$1:$Z$20000,MATCH(A2736,'Semrush Data'!$A$1:$A$20000,0),MATCH("Keyword Difficulty*",'Semrush Data'!$A$1:$Z$1,0)),"")</f>
        <v>21</v>
      </c>
      <c r="I2736" s="29" t="n">
        <f aca="false">IFERROR(INDEX('Semrush Data'!$A$1:$Z$20000,MATCH(A2736,'Semrush Data'!$A$1:$A$20000,0),MATCH("CPC*",'Semrush Data'!$A$1:$Z$1,0)),"")</f>
        <v>0</v>
      </c>
      <c r="J2736" s="6" t="str">
        <f aca="false">IFERROR(INDEX('Semrush Data'!$A$1:$Z$20000,MATCH(A2736,'Semrush Data'!$A$1:$A$20000,0),MATCH("Intent",'Semrush Data'!$A$1:$Z$1,0)),"")</f>
        <v>Informational</v>
      </c>
    </row>
    <row r="2737" customFormat="false" ht="15" hidden="false" customHeight="true" outlineLevel="0" collapsed="false">
      <c r="A2737" s="6" t="s">
        <v>7423</v>
      </c>
      <c r="B2737" s="6" t="s">
        <v>239</v>
      </c>
      <c r="C2737" s="6" t="n">
        <v>3</v>
      </c>
      <c r="D2737" s="6" t="n">
        <v>28</v>
      </c>
      <c r="E2737" s="6" t="n">
        <v>1</v>
      </c>
      <c r="F2737" s="6" t="s">
        <v>83</v>
      </c>
      <c r="G2737" s="28" t="str">
        <f aca="false">IFERROR(INDEX('Semrush Data'!$A$1:$Z$20000,MATCH(A2737,'Semrush Data'!$A$1:$A$20000,0),MATCH("Volume",'Semrush Data'!$A$1:$Z$1,0)),"")</f>
        <v/>
      </c>
      <c r="H2737" s="6" t="str">
        <f aca="false">IFERROR(INDEX('Semrush Data'!$A$1:$Z$20000,MATCH(A2737,'Semrush Data'!$A$1:$A$20000,0),MATCH("Keyword Difficulty*",'Semrush Data'!$A$1:$Z$1,0)),"")</f>
        <v/>
      </c>
      <c r="I2737" s="29" t="str">
        <f aca="false">IFERROR(INDEX('Semrush Data'!$A$1:$Z$20000,MATCH(A2737,'Semrush Data'!$A$1:$A$20000,0),MATCH("CPC*",'Semrush Data'!$A$1:$Z$1,0)),"")</f>
        <v/>
      </c>
      <c r="J2737" s="6" t="str">
        <f aca="false">IFERROR(INDEX('Semrush Data'!$A$1:$Z$20000,MATCH(A2737,'Semrush Data'!$A$1:$A$20000,0),MATCH("Intent",'Semrush Data'!$A$1:$Z$1,0)),"")</f>
        <v/>
      </c>
    </row>
    <row r="2738" customFormat="false" ht="15" hidden="false" customHeight="true" outlineLevel="0" collapsed="false">
      <c r="A2738" s="6" t="s">
        <v>7424</v>
      </c>
      <c r="B2738" s="6" t="s">
        <v>239</v>
      </c>
      <c r="C2738" s="6" t="n">
        <v>3</v>
      </c>
      <c r="D2738" s="6" t="n">
        <v>28</v>
      </c>
      <c r="E2738" s="6" t="n">
        <v>1</v>
      </c>
      <c r="F2738" s="6" t="s">
        <v>83</v>
      </c>
      <c r="G2738" s="28" t="str">
        <f aca="false">IFERROR(INDEX('Semrush Data'!$A$1:$Z$20000,MATCH(A2738,'Semrush Data'!$A$1:$A$20000,0),MATCH("Volume",'Semrush Data'!$A$1:$Z$1,0)),"")</f>
        <v/>
      </c>
      <c r="H2738" s="6" t="str">
        <f aca="false">IFERROR(INDEX('Semrush Data'!$A$1:$Z$20000,MATCH(A2738,'Semrush Data'!$A$1:$A$20000,0),MATCH("Keyword Difficulty*",'Semrush Data'!$A$1:$Z$1,0)),"")</f>
        <v/>
      </c>
      <c r="I2738" s="29" t="str">
        <f aca="false">IFERROR(INDEX('Semrush Data'!$A$1:$Z$20000,MATCH(A2738,'Semrush Data'!$A$1:$A$20000,0),MATCH("CPC*",'Semrush Data'!$A$1:$Z$1,0)),"")</f>
        <v/>
      </c>
      <c r="J2738" s="6" t="str">
        <f aca="false">IFERROR(INDEX('Semrush Data'!$A$1:$Z$20000,MATCH(A2738,'Semrush Data'!$A$1:$A$20000,0),MATCH("Intent",'Semrush Data'!$A$1:$Z$1,0)),"")</f>
        <v/>
      </c>
    </row>
    <row r="2739" customFormat="false" ht="15" hidden="false" customHeight="true" outlineLevel="0" collapsed="false">
      <c r="A2739" s="6" t="s">
        <v>271</v>
      </c>
      <c r="B2739" s="6" t="s">
        <v>239</v>
      </c>
      <c r="C2739" s="6" t="n">
        <v>3</v>
      </c>
      <c r="D2739" s="6" t="s">
        <v>6870</v>
      </c>
      <c r="E2739" s="6" t="n">
        <v>1</v>
      </c>
      <c r="F2739" s="6" t="s">
        <v>83</v>
      </c>
      <c r="G2739" s="28" t="n">
        <f aca="false">IFERROR(INDEX('Semrush Data'!$A$1:$Z$20000,MATCH(A2739,'Semrush Data'!$A$1:$A$20000,0),MATCH("Volume",'Semrush Data'!$A$1:$Z$1,0)),"")</f>
        <v>30</v>
      </c>
      <c r="H2739" s="6" t="n">
        <f aca="false">IFERROR(INDEX('Semrush Data'!$A$1:$Z$20000,MATCH(A2739,'Semrush Data'!$A$1:$A$20000,0),MATCH("Keyword Difficulty*",'Semrush Data'!$A$1:$Z$1,0)),"")</f>
        <v>25</v>
      </c>
      <c r="I2739" s="29" t="n">
        <f aca="false">IFERROR(INDEX('Semrush Data'!$A$1:$Z$20000,MATCH(A2739,'Semrush Data'!$A$1:$A$20000,0),MATCH("CPC*",'Semrush Data'!$A$1:$Z$1,0)),"")</f>
        <v>0</v>
      </c>
      <c r="J2739" s="6" t="str">
        <f aca="false">IFERROR(INDEX('Semrush Data'!$A$1:$Z$20000,MATCH(A2739,'Semrush Data'!$A$1:$A$20000,0),MATCH("Intent",'Semrush Data'!$A$1:$Z$1,0)),"")</f>
        <v>Commercial</v>
      </c>
    </row>
    <row r="2740" customFormat="false" ht="15" hidden="false" customHeight="true" outlineLevel="0" collapsed="false">
      <c r="A2740" s="6" t="s">
        <v>7425</v>
      </c>
      <c r="B2740" s="6" t="s">
        <v>239</v>
      </c>
      <c r="C2740" s="6" t="n">
        <v>3</v>
      </c>
      <c r="D2740" s="6" t="n">
        <v>28</v>
      </c>
      <c r="E2740" s="6" t="n">
        <v>1</v>
      </c>
      <c r="F2740" s="6" t="s">
        <v>4341</v>
      </c>
      <c r="G2740" s="28" t="str">
        <f aca="false">IFERROR(INDEX('Semrush Data'!$A$1:$Z$20000,MATCH(A2740,'Semrush Data'!$A$1:$A$20000,0),MATCH("Volume",'Semrush Data'!$A$1:$Z$1,0)),"")</f>
        <v/>
      </c>
      <c r="H2740" s="6" t="str">
        <f aca="false">IFERROR(INDEX('Semrush Data'!$A$1:$Z$20000,MATCH(A2740,'Semrush Data'!$A$1:$A$20000,0),MATCH("Keyword Difficulty*",'Semrush Data'!$A$1:$Z$1,0)),"")</f>
        <v/>
      </c>
      <c r="I2740" s="29" t="str">
        <f aca="false">IFERROR(INDEX('Semrush Data'!$A$1:$Z$20000,MATCH(A2740,'Semrush Data'!$A$1:$A$20000,0),MATCH("CPC*",'Semrush Data'!$A$1:$Z$1,0)),"")</f>
        <v/>
      </c>
      <c r="J2740" s="6" t="str">
        <f aca="false">IFERROR(INDEX('Semrush Data'!$A$1:$Z$20000,MATCH(A2740,'Semrush Data'!$A$1:$A$20000,0),MATCH("Intent",'Semrush Data'!$A$1:$Z$1,0)),"")</f>
        <v/>
      </c>
    </row>
    <row r="2741" customFormat="false" ht="15" hidden="false" customHeight="true" outlineLevel="0" collapsed="false">
      <c r="A2741" s="6" t="s">
        <v>7426</v>
      </c>
      <c r="B2741" s="6" t="s">
        <v>239</v>
      </c>
      <c r="C2741" s="6" t="n">
        <v>3</v>
      </c>
      <c r="D2741" s="6" t="n">
        <v>28</v>
      </c>
      <c r="E2741" s="6" t="n">
        <v>1</v>
      </c>
      <c r="F2741" s="6" t="s">
        <v>4341</v>
      </c>
      <c r="G2741" s="28" t="str">
        <f aca="false">IFERROR(INDEX('Semrush Data'!$A$1:$Z$20000,MATCH(A2741,'Semrush Data'!$A$1:$A$20000,0),MATCH("Volume",'Semrush Data'!$A$1:$Z$1,0)),"")</f>
        <v/>
      </c>
      <c r="H2741" s="6" t="str">
        <f aca="false">IFERROR(INDEX('Semrush Data'!$A$1:$Z$20000,MATCH(A2741,'Semrush Data'!$A$1:$A$20000,0),MATCH("Keyword Difficulty*",'Semrush Data'!$A$1:$Z$1,0)),"")</f>
        <v/>
      </c>
      <c r="I2741" s="29" t="str">
        <f aca="false">IFERROR(INDEX('Semrush Data'!$A$1:$Z$20000,MATCH(A2741,'Semrush Data'!$A$1:$A$20000,0),MATCH("CPC*",'Semrush Data'!$A$1:$Z$1,0)),"")</f>
        <v/>
      </c>
      <c r="J2741" s="6" t="str">
        <f aca="false">IFERROR(INDEX('Semrush Data'!$A$1:$Z$20000,MATCH(A2741,'Semrush Data'!$A$1:$A$20000,0),MATCH("Intent",'Semrush Data'!$A$1:$Z$1,0)),"")</f>
        <v/>
      </c>
    </row>
    <row r="2742" customFormat="false" ht="15" hidden="false" customHeight="true" outlineLevel="0" collapsed="false">
      <c r="A2742" s="6" t="s">
        <v>7427</v>
      </c>
      <c r="B2742" s="6" t="s">
        <v>239</v>
      </c>
      <c r="C2742" s="6" t="n">
        <v>3</v>
      </c>
      <c r="D2742" s="6" t="n">
        <v>28</v>
      </c>
      <c r="E2742" s="6" t="n">
        <v>1</v>
      </c>
      <c r="F2742" s="6" t="s">
        <v>4341</v>
      </c>
      <c r="G2742" s="28" t="str">
        <f aca="false">IFERROR(INDEX('Semrush Data'!$A$1:$Z$20000,MATCH(A2742,'Semrush Data'!$A$1:$A$20000,0),MATCH("Volume",'Semrush Data'!$A$1:$Z$1,0)),"")</f>
        <v/>
      </c>
      <c r="H2742" s="6" t="str">
        <f aca="false">IFERROR(INDEX('Semrush Data'!$A$1:$Z$20000,MATCH(A2742,'Semrush Data'!$A$1:$A$20000,0),MATCH("Keyword Difficulty*",'Semrush Data'!$A$1:$Z$1,0)),"")</f>
        <v/>
      </c>
      <c r="I2742" s="29" t="str">
        <f aca="false">IFERROR(INDEX('Semrush Data'!$A$1:$Z$20000,MATCH(A2742,'Semrush Data'!$A$1:$A$20000,0),MATCH("CPC*",'Semrush Data'!$A$1:$Z$1,0)),"")</f>
        <v/>
      </c>
      <c r="J2742" s="6" t="str">
        <f aca="false">IFERROR(INDEX('Semrush Data'!$A$1:$Z$20000,MATCH(A2742,'Semrush Data'!$A$1:$A$20000,0),MATCH("Intent",'Semrush Data'!$A$1:$Z$1,0)),"")</f>
        <v/>
      </c>
    </row>
    <row r="2743" customFormat="false" ht="15" hidden="false" customHeight="true" outlineLevel="0" collapsed="false">
      <c r="A2743" s="6" t="s">
        <v>7428</v>
      </c>
      <c r="B2743" s="6" t="s">
        <v>239</v>
      </c>
      <c r="C2743" s="6" t="n">
        <v>3</v>
      </c>
      <c r="D2743" s="6" t="n">
        <v>28</v>
      </c>
      <c r="E2743" s="6" t="n">
        <v>1</v>
      </c>
      <c r="F2743" s="6" t="s">
        <v>4352</v>
      </c>
      <c r="G2743" s="28" t="str">
        <f aca="false">IFERROR(INDEX('Semrush Data'!$A$1:$Z$20000,MATCH(A2743,'Semrush Data'!$A$1:$A$20000,0),MATCH("Volume",'Semrush Data'!$A$1:$Z$1,0)),"")</f>
        <v/>
      </c>
      <c r="H2743" s="6" t="str">
        <f aca="false">IFERROR(INDEX('Semrush Data'!$A$1:$Z$20000,MATCH(A2743,'Semrush Data'!$A$1:$A$20000,0),MATCH("Keyword Difficulty*",'Semrush Data'!$A$1:$Z$1,0)),"")</f>
        <v/>
      </c>
      <c r="I2743" s="29" t="str">
        <f aca="false">IFERROR(INDEX('Semrush Data'!$A$1:$Z$20000,MATCH(A2743,'Semrush Data'!$A$1:$A$20000,0),MATCH("CPC*",'Semrush Data'!$A$1:$Z$1,0)),"")</f>
        <v/>
      </c>
      <c r="J2743" s="6" t="str">
        <f aca="false">IFERROR(INDEX('Semrush Data'!$A$1:$Z$20000,MATCH(A2743,'Semrush Data'!$A$1:$A$20000,0),MATCH("Intent",'Semrush Data'!$A$1:$Z$1,0)),"")</f>
        <v/>
      </c>
    </row>
    <row r="2744" customFormat="false" ht="15" hidden="false" customHeight="true" outlineLevel="0" collapsed="false">
      <c r="A2744" s="6" t="s">
        <v>7429</v>
      </c>
      <c r="B2744" s="6" t="s">
        <v>239</v>
      </c>
      <c r="C2744" s="6" t="n">
        <v>3</v>
      </c>
      <c r="D2744" s="6" t="n">
        <v>28</v>
      </c>
      <c r="E2744" s="6" t="n">
        <v>1</v>
      </c>
      <c r="F2744" s="6" t="s">
        <v>4352</v>
      </c>
      <c r="G2744" s="28" t="str">
        <f aca="false">IFERROR(INDEX('Semrush Data'!$A$1:$Z$20000,MATCH(A2744,'Semrush Data'!$A$1:$A$20000,0),MATCH("Volume",'Semrush Data'!$A$1:$Z$1,0)),"")</f>
        <v/>
      </c>
      <c r="H2744" s="6" t="str">
        <f aca="false">IFERROR(INDEX('Semrush Data'!$A$1:$Z$20000,MATCH(A2744,'Semrush Data'!$A$1:$A$20000,0),MATCH("Keyword Difficulty*",'Semrush Data'!$A$1:$Z$1,0)),"")</f>
        <v/>
      </c>
      <c r="I2744" s="29" t="str">
        <f aca="false">IFERROR(INDEX('Semrush Data'!$A$1:$Z$20000,MATCH(A2744,'Semrush Data'!$A$1:$A$20000,0),MATCH("CPC*",'Semrush Data'!$A$1:$Z$1,0)),"")</f>
        <v/>
      </c>
      <c r="J2744" s="6" t="str">
        <f aca="false">IFERROR(INDEX('Semrush Data'!$A$1:$Z$20000,MATCH(A2744,'Semrush Data'!$A$1:$A$20000,0),MATCH("Intent",'Semrush Data'!$A$1:$Z$1,0)),"")</f>
        <v/>
      </c>
    </row>
    <row r="2745" customFormat="false" ht="15" hidden="false" customHeight="true" outlineLevel="0" collapsed="false">
      <c r="A2745" s="6" t="s">
        <v>7430</v>
      </c>
      <c r="B2745" s="6" t="s">
        <v>239</v>
      </c>
      <c r="C2745" s="6" t="n">
        <v>3</v>
      </c>
      <c r="D2745" s="6" t="n">
        <v>28</v>
      </c>
      <c r="E2745" s="6" t="n">
        <v>1</v>
      </c>
      <c r="F2745" s="6" t="s">
        <v>4352</v>
      </c>
      <c r="G2745" s="28" t="str">
        <f aca="false">IFERROR(INDEX('Semrush Data'!$A$1:$Z$20000,MATCH(A2745,'Semrush Data'!$A$1:$A$20000,0),MATCH("Volume",'Semrush Data'!$A$1:$Z$1,0)),"")</f>
        <v/>
      </c>
      <c r="H2745" s="6" t="str">
        <f aca="false">IFERROR(INDEX('Semrush Data'!$A$1:$Z$20000,MATCH(A2745,'Semrush Data'!$A$1:$A$20000,0),MATCH("Keyword Difficulty*",'Semrush Data'!$A$1:$Z$1,0)),"")</f>
        <v/>
      </c>
      <c r="I2745" s="29" t="str">
        <f aca="false">IFERROR(INDEX('Semrush Data'!$A$1:$Z$20000,MATCH(A2745,'Semrush Data'!$A$1:$A$20000,0),MATCH("CPC*",'Semrush Data'!$A$1:$Z$1,0)),"")</f>
        <v/>
      </c>
      <c r="J2745" s="6" t="str">
        <f aca="false">IFERROR(INDEX('Semrush Data'!$A$1:$Z$20000,MATCH(A2745,'Semrush Data'!$A$1:$A$20000,0),MATCH("Intent",'Semrush Data'!$A$1:$Z$1,0)),"")</f>
        <v/>
      </c>
    </row>
    <row r="2746" customFormat="false" ht="15" hidden="false" customHeight="true" outlineLevel="0" collapsed="false">
      <c r="A2746" s="6" t="s">
        <v>7431</v>
      </c>
      <c r="B2746" s="6" t="s">
        <v>239</v>
      </c>
      <c r="C2746" s="6" t="n">
        <v>3</v>
      </c>
      <c r="D2746" s="6" t="n">
        <v>28</v>
      </c>
      <c r="E2746" s="6" t="n">
        <v>1</v>
      </c>
      <c r="F2746" s="6" t="s">
        <v>4363</v>
      </c>
      <c r="G2746" s="28" t="str">
        <f aca="false">IFERROR(INDEX('Semrush Data'!$A$1:$Z$20000,MATCH(A2746,'Semrush Data'!$A$1:$A$20000,0),MATCH("Volume",'Semrush Data'!$A$1:$Z$1,0)),"")</f>
        <v/>
      </c>
      <c r="H2746" s="6" t="str">
        <f aca="false">IFERROR(INDEX('Semrush Data'!$A$1:$Z$20000,MATCH(A2746,'Semrush Data'!$A$1:$A$20000,0),MATCH("Keyword Difficulty*",'Semrush Data'!$A$1:$Z$1,0)),"")</f>
        <v/>
      </c>
      <c r="I2746" s="29" t="str">
        <f aca="false">IFERROR(INDEX('Semrush Data'!$A$1:$Z$20000,MATCH(A2746,'Semrush Data'!$A$1:$A$20000,0),MATCH("CPC*",'Semrush Data'!$A$1:$Z$1,0)),"")</f>
        <v/>
      </c>
      <c r="J2746" s="6" t="str">
        <f aca="false">IFERROR(INDEX('Semrush Data'!$A$1:$Z$20000,MATCH(A2746,'Semrush Data'!$A$1:$A$20000,0),MATCH("Intent",'Semrush Data'!$A$1:$Z$1,0)),"")</f>
        <v/>
      </c>
    </row>
    <row r="2747" customFormat="false" ht="15" hidden="false" customHeight="true" outlineLevel="0" collapsed="false">
      <c r="A2747" s="6" t="s">
        <v>7432</v>
      </c>
      <c r="B2747" s="6" t="s">
        <v>239</v>
      </c>
      <c r="C2747" s="6" t="n">
        <v>3</v>
      </c>
      <c r="D2747" s="6" t="n">
        <v>28</v>
      </c>
      <c r="E2747" s="6" t="n">
        <v>1</v>
      </c>
      <c r="F2747" s="6" t="s">
        <v>4363</v>
      </c>
      <c r="G2747" s="28" t="str">
        <f aca="false">IFERROR(INDEX('Semrush Data'!$A$1:$Z$20000,MATCH(A2747,'Semrush Data'!$A$1:$A$20000,0),MATCH("Volume",'Semrush Data'!$A$1:$Z$1,0)),"")</f>
        <v/>
      </c>
      <c r="H2747" s="6" t="str">
        <f aca="false">IFERROR(INDEX('Semrush Data'!$A$1:$Z$20000,MATCH(A2747,'Semrush Data'!$A$1:$A$20000,0),MATCH("Keyword Difficulty*",'Semrush Data'!$A$1:$Z$1,0)),"")</f>
        <v/>
      </c>
      <c r="I2747" s="29" t="str">
        <f aca="false">IFERROR(INDEX('Semrush Data'!$A$1:$Z$20000,MATCH(A2747,'Semrush Data'!$A$1:$A$20000,0),MATCH("CPC*",'Semrush Data'!$A$1:$Z$1,0)),"")</f>
        <v/>
      </c>
      <c r="J2747" s="6" t="str">
        <f aca="false">IFERROR(INDEX('Semrush Data'!$A$1:$Z$20000,MATCH(A2747,'Semrush Data'!$A$1:$A$20000,0),MATCH("Intent",'Semrush Data'!$A$1:$Z$1,0)),"")</f>
        <v/>
      </c>
    </row>
    <row r="2748" customFormat="false" ht="15" hidden="false" customHeight="true" outlineLevel="0" collapsed="false">
      <c r="A2748" s="6" t="s">
        <v>7433</v>
      </c>
      <c r="B2748" s="6" t="s">
        <v>239</v>
      </c>
      <c r="C2748" s="6" t="n">
        <v>3</v>
      </c>
      <c r="D2748" s="6" t="n">
        <v>28</v>
      </c>
      <c r="E2748" s="6" t="n">
        <v>1</v>
      </c>
      <c r="F2748" s="6" t="s">
        <v>4363</v>
      </c>
      <c r="G2748" s="28" t="str">
        <f aca="false">IFERROR(INDEX('Semrush Data'!$A$1:$Z$20000,MATCH(A2748,'Semrush Data'!$A$1:$A$20000,0),MATCH("Volume",'Semrush Data'!$A$1:$Z$1,0)),"")</f>
        <v/>
      </c>
      <c r="H2748" s="6" t="str">
        <f aca="false">IFERROR(INDEX('Semrush Data'!$A$1:$Z$20000,MATCH(A2748,'Semrush Data'!$A$1:$A$20000,0),MATCH("Keyword Difficulty*",'Semrush Data'!$A$1:$Z$1,0)),"")</f>
        <v/>
      </c>
      <c r="I2748" s="29" t="str">
        <f aca="false">IFERROR(INDEX('Semrush Data'!$A$1:$Z$20000,MATCH(A2748,'Semrush Data'!$A$1:$A$20000,0),MATCH("CPC*",'Semrush Data'!$A$1:$Z$1,0)),"")</f>
        <v/>
      </c>
      <c r="J2748" s="6" t="str">
        <f aca="false">IFERROR(INDEX('Semrush Data'!$A$1:$Z$20000,MATCH(A2748,'Semrush Data'!$A$1:$A$20000,0),MATCH("Intent",'Semrush Data'!$A$1:$Z$1,0)),"")</f>
        <v/>
      </c>
    </row>
    <row r="2749" customFormat="false" ht="15" hidden="false" customHeight="true" outlineLevel="0" collapsed="false">
      <c r="A2749" s="6" t="s">
        <v>7434</v>
      </c>
      <c r="B2749" s="6" t="s">
        <v>239</v>
      </c>
      <c r="C2749" s="6" t="n">
        <v>3</v>
      </c>
      <c r="D2749" s="6" t="n">
        <v>28</v>
      </c>
      <c r="E2749" s="6" t="n">
        <v>1</v>
      </c>
      <c r="F2749" s="6" t="s">
        <v>4363</v>
      </c>
      <c r="G2749" s="28" t="str">
        <f aca="false">IFERROR(INDEX('Semrush Data'!$A$1:$Z$20000,MATCH(A2749,'Semrush Data'!$A$1:$A$20000,0),MATCH("Volume",'Semrush Data'!$A$1:$Z$1,0)),"")</f>
        <v/>
      </c>
      <c r="H2749" s="6" t="str">
        <f aca="false">IFERROR(INDEX('Semrush Data'!$A$1:$Z$20000,MATCH(A2749,'Semrush Data'!$A$1:$A$20000,0),MATCH("Keyword Difficulty*",'Semrush Data'!$A$1:$Z$1,0)),"")</f>
        <v/>
      </c>
      <c r="I2749" s="29" t="str">
        <f aca="false">IFERROR(INDEX('Semrush Data'!$A$1:$Z$20000,MATCH(A2749,'Semrush Data'!$A$1:$A$20000,0),MATCH("CPC*",'Semrush Data'!$A$1:$Z$1,0)),"")</f>
        <v/>
      </c>
      <c r="J2749" s="6" t="str">
        <f aca="false">IFERROR(INDEX('Semrush Data'!$A$1:$Z$20000,MATCH(A2749,'Semrush Data'!$A$1:$A$20000,0),MATCH("Intent",'Semrush Data'!$A$1:$Z$1,0)),"")</f>
        <v/>
      </c>
    </row>
    <row r="2750" customFormat="false" ht="15" hidden="false" customHeight="true" outlineLevel="0" collapsed="false">
      <c r="A2750" s="6" t="s">
        <v>7435</v>
      </c>
      <c r="B2750" s="6" t="s">
        <v>239</v>
      </c>
      <c r="C2750" s="6" t="n">
        <v>3</v>
      </c>
      <c r="D2750" s="6" t="n">
        <v>28</v>
      </c>
      <c r="E2750" s="6" t="n">
        <v>1</v>
      </c>
      <c r="F2750" s="6" t="s">
        <v>4363</v>
      </c>
      <c r="G2750" s="28" t="str">
        <f aca="false">IFERROR(INDEX('Semrush Data'!$A$1:$Z$20000,MATCH(A2750,'Semrush Data'!$A$1:$A$20000,0),MATCH("Volume",'Semrush Data'!$A$1:$Z$1,0)),"")</f>
        <v/>
      </c>
      <c r="H2750" s="6" t="str">
        <f aca="false">IFERROR(INDEX('Semrush Data'!$A$1:$Z$20000,MATCH(A2750,'Semrush Data'!$A$1:$A$20000,0),MATCH("Keyword Difficulty*",'Semrush Data'!$A$1:$Z$1,0)),"")</f>
        <v/>
      </c>
      <c r="I2750" s="29" t="str">
        <f aca="false">IFERROR(INDEX('Semrush Data'!$A$1:$Z$20000,MATCH(A2750,'Semrush Data'!$A$1:$A$20000,0),MATCH("CPC*",'Semrush Data'!$A$1:$Z$1,0)),"")</f>
        <v/>
      </c>
      <c r="J2750" s="6" t="str">
        <f aca="false">IFERROR(INDEX('Semrush Data'!$A$1:$Z$20000,MATCH(A2750,'Semrush Data'!$A$1:$A$20000,0),MATCH("Intent",'Semrush Data'!$A$1:$Z$1,0)),"")</f>
        <v/>
      </c>
    </row>
    <row r="2751" customFormat="false" ht="15" hidden="false" customHeight="true" outlineLevel="0" collapsed="false">
      <c r="A2751" s="6" t="s">
        <v>7436</v>
      </c>
      <c r="B2751" s="6" t="s">
        <v>239</v>
      </c>
      <c r="C2751" s="6" t="n">
        <v>3</v>
      </c>
      <c r="D2751" s="6" t="n">
        <v>28</v>
      </c>
      <c r="E2751" s="6" t="n">
        <v>1</v>
      </c>
      <c r="F2751" s="6" t="s">
        <v>4374</v>
      </c>
      <c r="G2751" s="28" t="str">
        <f aca="false">IFERROR(INDEX('Semrush Data'!$A$1:$Z$20000,MATCH(A2751,'Semrush Data'!$A$1:$A$20000,0),MATCH("Volume",'Semrush Data'!$A$1:$Z$1,0)),"")</f>
        <v/>
      </c>
      <c r="H2751" s="6" t="str">
        <f aca="false">IFERROR(INDEX('Semrush Data'!$A$1:$Z$20000,MATCH(A2751,'Semrush Data'!$A$1:$A$20000,0),MATCH("Keyword Difficulty*",'Semrush Data'!$A$1:$Z$1,0)),"")</f>
        <v/>
      </c>
      <c r="I2751" s="29" t="str">
        <f aca="false">IFERROR(INDEX('Semrush Data'!$A$1:$Z$20000,MATCH(A2751,'Semrush Data'!$A$1:$A$20000,0),MATCH("CPC*",'Semrush Data'!$A$1:$Z$1,0)),"")</f>
        <v/>
      </c>
      <c r="J2751" s="6" t="str">
        <f aca="false">IFERROR(INDEX('Semrush Data'!$A$1:$Z$20000,MATCH(A2751,'Semrush Data'!$A$1:$A$20000,0),MATCH("Intent",'Semrush Data'!$A$1:$Z$1,0)),"")</f>
        <v/>
      </c>
    </row>
    <row r="2752" customFormat="false" ht="15" hidden="false" customHeight="true" outlineLevel="0" collapsed="false">
      <c r="A2752" s="6" t="s">
        <v>7437</v>
      </c>
      <c r="B2752" s="6" t="s">
        <v>239</v>
      </c>
      <c r="C2752" s="6" t="n">
        <v>3</v>
      </c>
      <c r="D2752" s="6" t="n">
        <v>28</v>
      </c>
      <c r="E2752" s="6" t="n">
        <v>1</v>
      </c>
      <c r="F2752" s="6" t="s">
        <v>4374</v>
      </c>
      <c r="G2752" s="28" t="str">
        <f aca="false">IFERROR(INDEX('Semrush Data'!$A$1:$Z$20000,MATCH(A2752,'Semrush Data'!$A$1:$A$20000,0),MATCH("Volume",'Semrush Data'!$A$1:$Z$1,0)),"")</f>
        <v/>
      </c>
      <c r="H2752" s="6" t="str">
        <f aca="false">IFERROR(INDEX('Semrush Data'!$A$1:$Z$20000,MATCH(A2752,'Semrush Data'!$A$1:$A$20000,0),MATCH("Keyword Difficulty*",'Semrush Data'!$A$1:$Z$1,0)),"")</f>
        <v/>
      </c>
      <c r="I2752" s="29" t="str">
        <f aca="false">IFERROR(INDEX('Semrush Data'!$A$1:$Z$20000,MATCH(A2752,'Semrush Data'!$A$1:$A$20000,0),MATCH("CPC*",'Semrush Data'!$A$1:$Z$1,0)),"")</f>
        <v/>
      </c>
      <c r="J2752" s="6" t="str">
        <f aca="false">IFERROR(INDEX('Semrush Data'!$A$1:$Z$20000,MATCH(A2752,'Semrush Data'!$A$1:$A$20000,0),MATCH("Intent",'Semrush Data'!$A$1:$Z$1,0)),"")</f>
        <v/>
      </c>
    </row>
    <row r="2753" customFormat="false" ht="15" hidden="false" customHeight="true" outlineLevel="0" collapsed="false">
      <c r="A2753" s="6" t="s">
        <v>7438</v>
      </c>
      <c r="B2753" s="6" t="s">
        <v>239</v>
      </c>
      <c r="C2753" s="6" t="n">
        <v>3</v>
      </c>
      <c r="D2753" s="6" t="n">
        <v>28</v>
      </c>
      <c r="E2753" s="6" t="n">
        <v>1</v>
      </c>
      <c r="F2753" s="6" t="s">
        <v>4374</v>
      </c>
      <c r="G2753" s="28" t="str">
        <f aca="false">IFERROR(INDEX('Semrush Data'!$A$1:$Z$20000,MATCH(A2753,'Semrush Data'!$A$1:$A$20000,0),MATCH("Volume",'Semrush Data'!$A$1:$Z$1,0)),"")</f>
        <v/>
      </c>
      <c r="H2753" s="6" t="str">
        <f aca="false">IFERROR(INDEX('Semrush Data'!$A$1:$Z$20000,MATCH(A2753,'Semrush Data'!$A$1:$A$20000,0),MATCH("Keyword Difficulty*",'Semrush Data'!$A$1:$Z$1,0)),"")</f>
        <v/>
      </c>
      <c r="I2753" s="29" t="str">
        <f aca="false">IFERROR(INDEX('Semrush Data'!$A$1:$Z$20000,MATCH(A2753,'Semrush Data'!$A$1:$A$20000,0),MATCH("CPC*",'Semrush Data'!$A$1:$Z$1,0)),"")</f>
        <v/>
      </c>
      <c r="J2753" s="6" t="str">
        <f aca="false">IFERROR(INDEX('Semrush Data'!$A$1:$Z$20000,MATCH(A2753,'Semrush Data'!$A$1:$A$20000,0),MATCH("Intent",'Semrush Data'!$A$1:$Z$1,0)),"")</f>
        <v/>
      </c>
    </row>
    <row r="2754" customFormat="false" ht="15" hidden="false" customHeight="true" outlineLevel="0" collapsed="false">
      <c r="A2754" s="6" t="s">
        <v>7439</v>
      </c>
      <c r="B2754" s="6" t="s">
        <v>239</v>
      </c>
      <c r="C2754" s="6" t="n">
        <v>3</v>
      </c>
      <c r="D2754" s="6" t="n">
        <v>28</v>
      </c>
      <c r="E2754" s="6" t="n">
        <v>1</v>
      </c>
      <c r="F2754" s="6" t="s">
        <v>4374</v>
      </c>
      <c r="G2754" s="28" t="str">
        <f aca="false">IFERROR(INDEX('Semrush Data'!$A$1:$Z$20000,MATCH(A2754,'Semrush Data'!$A$1:$A$20000,0),MATCH("Volume",'Semrush Data'!$A$1:$Z$1,0)),"")</f>
        <v/>
      </c>
      <c r="H2754" s="6" t="str">
        <f aca="false">IFERROR(INDEX('Semrush Data'!$A$1:$Z$20000,MATCH(A2754,'Semrush Data'!$A$1:$A$20000,0),MATCH("Keyword Difficulty*",'Semrush Data'!$A$1:$Z$1,0)),"")</f>
        <v/>
      </c>
      <c r="I2754" s="29" t="str">
        <f aca="false">IFERROR(INDEX('Semrush Data'!$A$1:$Z$20000,MATCH(A2754,'Semrush Data'!$A$1:$A$20000,0),MATCH("CPC*",'Semrush Data'!$A$1:$Z$1,0)),"")</f>
        <v/>
      </c>
      <c r="J2754" s="6" t="str">
        <f aca="false">IFERROR(INDEX('Semrush Data'!$A$1:$Z$20000,MATCH(A2754,'Semrush Data'!$A$1:$A$20000,0),MATCH("Intent",'Semrush Data'!$A$1:$Z$1,0)),"")</f>
        <v/>
      </c>
    </row>
    <row r="2755" customFormat="false" ht="15" hidden="false" customHeight="true" outlineLevel="0" collapsed="false">
      <c r="A2755" s="6" t="s">
        <v>7440</v>
      </c>
      <c r="B2755" s="6" t="s">
        <v>239</v>
      </c>
      <c r="C2755" s="6" t="n">
        <v>3</v>
      </c>
      <c r="D2755" s="6" t="n">
        <v>28</v>
      </c>
      <c r="E2755" s="6" t="n">
        <v>1</v>
      </c>
      <c r="F2755" s="6" t="s">
        <v>4385</v>
      </c>
      <c r="G2755" s="28" t="str">
        <f aca="false">IFERROR(INDEX('Semrush Data'!$A$1:$Z$20000,MATCH(A2755,'Semrush Data'!$A$1:$A$20000,0),MATCH("Volume",'Semrush Data'!$A$1:$Z$1,0)),"")</f>
        <v/>
      </c>
      <c r="H2755" s="6" t="str">
        <f aca="false">IFERROR(INDEX('Semrush Data'!$A$1:$Z$20000,MATCH(A2755,'Semrush Data'!$A$1:$A$20000,0),MATCH("Keyword Difficulty*",'Semrush Data'!$A$1:$Z$1,0)),"")</f>
        <v/>
      </c>
      <c r="I2755" s="29" t="str">
        <f aca="false">IFERROR(INDEX('Semrush Data'!$A$1:$Z$20000,MATCH(A2755,'Semrush Data'!$A$1:$A$20000,0),MATCH("CPC*",'Semrush Data'!$A$1:$Z$1,0)),"")</f>
        <v/>
      </c>
      <c r="J2755" s="6" t="str">
        <f aca="false">IFERROR(INDEX('Semrush Data'!$A$1:$Z$20000,MATCH(A2755,'Semrush Data'!$A$1:$A$20000,0),MATCH("Intent",'Semrush Data'!$A$1:$Z$1,0)),"")</f>
        <v/>
      </c>
    </row>
    <row r="2756" customFormat="false" ht="15" hidden="false" customHeight="true" outlineLevel="0" collapsed="false">
      <c r="A2756" s="6" t="s">
        <v>7441</v>
      </c>
      <c r="B2756" s="6" t="s">
        <v>239</v>
      </c>
      <c r="C2756" s="6" t="n">
        <v>3</v>
      </c>
      <c r="D2756" s="6" t="n">
        <v>28</v>
      </c>
      <c r="E2756" s="6" t="n">
        <v>1</v>
      </c>
      <c r="F2756" s="6" t="s">
        <v>4385</v>
      </c>
      <c r="G2756" s="28" t="str">
        <f aca="false">IFERROR(INDEX('Semrush Data'!$A$1:$Z$20000,MATCH(A2756,'Semrush Data'!$A$1:$A$20000,0),MATCH("Volume",'Semrush Data'!$A$1:$Z$1,0)),"")</f>
        <v/>
      </c>
      <c r="H2756" s="6" t="str">
        <f aca="false">IFERROR(INDEX('Semrush Data'!$A$1:$Z$20000,MATCH(A2756,'Semrush Data'!$A$1:$A$20000,0),MATCH("Keyword Difficulty*",'Semrush Data'!$A$1:$Z$1,0)),"")</f>
        <v/>
      </c>
      <c r="I2756" s="29" t="str">
        <f aca="false">IFERROR(INDEX('Semrush Data'!$A$1:$Z$20000,MATCH(A2756,'Semrush Data'!$A$1:$A$20000,0),MATCH("CPC*",'Semrush Data'!$A$1:$Z$1,0)),"")</f>
        <v/>
      </c>
      <c r="J2756" s="6" t="str">
        <f aca="false">IFERROR(INDEX('Semrush Data'!$A$1:$Z$20000,MATCH(A2756,'Semrush Data'!$A$1:$A$20000,0),MATCH("Intent",'Semrush Data'!$A$1:$Z$1,0)),"")</f>
        <v/>
      </c>
    </row>
    <row r="2757" customFormat="false" ht="15" hidden="false" customHeight="true" outlineLevel="0" collapsed="false">
      <c r="A2757" s="6" t="s">
        <v>7442</v>
      </c>
      <c r="B2757" s="6" t="s">
        <v>239</v>
      </c>
      <c r="C2757" s="6" t="n">
        <v>3</v>
      </c>
      <c r="D2757" s="6" t="n">
        <v>28</v>
      </c>
      <c r="E2757" s="6" t="n">
        <v>1</v>
      </c>
      <c r="F2757" s="6" t="s">
        <v>4385</v>
      </c>
      <c r="G2757" s="28" t="str">
        <f aca="false">IFERROR(INDEX('Semrush Data'!$A$1:$Z$20000,MATCH(A2757,'Semrush Data'!$A$1:$A$20000,0),MATCH("Volume",'Semrush Data'!$A$1:$Z$1,0)),"")</f>
        <v/>
      </c>
      <c r="H2757" s="6" t="str">
        <f aca="false">IFERROR(INDEX('Semrush Data'!$A$1:$Z$20000,MATCH(A2757,'Semrush Data'!$A$1:$A$20000,0),MATCH("Keyword Difficulty*",'Semrush Data'!$A$1:$Z$1,0)),"")</f>
        <v/>
      </c>
      <c r="I2757" s="29" t="str">
        <f aca="false">IFERROR(INDEX('Semrush Data'!$A$1:$Z$20000,MATCH(A2757,'Semrush Data'!$A$1:$A$20000,0),MATCH("CPC*",'Semrush Data'!$A$1:$Z$1,0)),"")</f>
        <v/>
      </c>
      <c r="J2757" s="6" t="str">
        <f aca="false">IFERROR(INDEX('Semrush Data'!$A$1:$Z$20000,MATCH(A2757,'Semrush Data'!$A$1:$A$20000,0),MATCH("Intent",'Semrush Data'!$A$1:$Z$1,0)),"")</f>
        <v/>
      </c>
    </row>
    <row r="2758" customFormat="false" ht="15" hidden="false" customHeight="true" outlineLevel="0" collapsed="false">
      <c r="A2758" s="6" t="s">
        <v>7443</v>
      </c>
      <c r="B2758" s="6" t="s">
        <v>239</v>
      </c>
      <c r="C2758" s="6" t="n">
        <v>3</v>
      </c>
      <c r="D2758" s="6" t="n">
        <v>28</v>
      </c>
      <c r="E2758" s="6" t="n">
        <v>1</v>
      </c>
      <c r="F2758" s="6" t="s">
        <v>4385</v>
      </c>
      <c r="G2758" s="28" t="str">
        <f aca="false">IFERROR(INDEX('Semrush Data'!$A$1:$Z$20000,MATCH(A2758,'Semrush Data'!$A$1:$A$20000,0),MATCH("Volume",'Semrush Data'!$A$1:$Z$1,0)),"")</f>
        <v/>
      </c>
      <c r="H2758" s="6" t="str">
        <f aca="false">IFERROR(INDEX('Semrush Data'!$A$1:$Z$20000,MATCH(A2758,'Semrush Data'!$A$1:$A$20000,0),MATCH("Keyword Difficulty*",'Semrush Data'!$A$1:$Z$1,0)),"")</f>
        <v/>
      </c>
      <c r="I2758" s="29" t="str">
        <f aca="false">IFERROR(INDEX('Semrush Data'!$A$1:$Z$20000,MATCH(A2758,'Semrush Data'!$A$1:$A$20000,0),MATCH("CPC*",'Semrush Data'!$A$1:$Z$1,0)),"")</f>
        <v/>
      </c>
      <c r="J2758" s="6" t="str">
        <f aca="false">IFERROR(INDEX('Semrush Data'!$A$1:$Z$20000,MATCH(A2758,'Semrush Data'!$A$1:$A$20000,0),MATCH("Intent",'Semrush Data'!$A$1:$Z$1,0)),"")</f>
        <v/>
      </c>
    </row>
    <row r="2759" customFormat="false" ht="15" hidden="false" customHeight="true" outlineLevel="0" collapsed="false">
      <c r="A2759" s="6" t="s">
        <v>7444</v>
      </c>
      <c r="B2759" s="6" t="s">
        <v>239</v>
      </c>
      <c r="C2759" s="6" t="n">
        <v>3</v>
      </c>
      <c r="D2759" s="6" t="n">
        <v>28</v>
      </c>
      <c r="E2759" s="6" t="n">
        <v>1</v>
      </c>
      <c r="F2759" s="6" t="s">
        <v>4397</v>
      </c>
      <c r="G2759" s="28" t="str">
        <f aca="false">IFERROR(INDEX('Semrush Data'!$A$1:$Z$20000,MATCH(A2759,'Semrush Data'!$A$1:$A$20000,0),MATCH("Volume",'Semrush Data'!$A$1:$Z$1,0)),"")</f>
        <v/>
      </c>
      <c r="H2759" s="6" t="str">
        <f aca="false">IFERROR(INDEX('Semrush Data'!$A$1:$Z$20000,MATCH(A2759,'Semrush Data'!$A$1:$A$20000,0),MATCH("Keyword Difficulty*",'Semrush Data'!$A$1:$Z$1,0)),"")</f>
        <v/>
      </c>
      <c r="I2759" s="29" t="str">
        <f aca="false">IFERROR(INDEX('Semrush Data'!$A$1:$Z$20000,MATCH(A2759,'Semrush Data'!$A$1:$A$20000,0),MATCH("CPC*",'Semrush Data'!$A$1:$Z$1,0)),"")</f>
        <v/>
      </c>
      <c r="J2759" s="6" t="str">
        <f aca="false">IFERROR(INDEX('Semrush Data'!$A$1:$Z$20000,MATCH(A2759,'Semrush Data'!$A$1:$A$20000,0),MATCH("Intent",'Semrush Data'!$A$1:$Z$1,0)),"")</f>
        <v/>
      </c>
    </row>
    <row r="2760" customFormat="false" ht="15" hidden="false" customHeight="true" outlineLevel="0" collapsed="false">
      <c r="A2760" s="6" t="s">
        <v>7445</v>
      </c>
      <c r="B2760" s="6" t="s">
        <v>239</v>
      </c>
      <c r="C2760" s="6" t="n">
        <v>3</v>
      </c>
      <c r="D2760" s="6" t="n">
        <v>28</v>
      </c>
      <c r="E2760" s="6" t="n">
        <v>2</v>
      </c>
      <c r="F2760" s="6" t="s">
        <v>7446</v>
      </c>
      <c r="G2760" s="28" t="str">
        <f aca="false">IFERROR(INDEX('Semrush Data'!$A$1:$Z$20000,MATCH(A2760,'Semrush Data'!$A$1:$A$20000,0),MATCH("Volume",'Semrush Data'!$A$1:$Z$1,0)),"")</f>
        <v/>
      </c>
      <c r="H2760" s="6" t="str">
        <f aca="false">IFERROR(INDEX('Semrush Data'!$A$1:$Z$20000,MATCH(A2760,'Semrush Data'!$A$1:$A$20000,0),MATCH("Keyword Difficulty*",'Semrush Data'!$A$1:$Z$1,0)),"")</f>
        <v/>
      </c>
      <c r="I2760" s="29" t="str">
        <f aca="false">IFERROR(INDEX('Semrush Data'!$A$1:$Z$20000,MATCH(A2760,'Semrush Data'!$A$1:$A$20000,0),MATCH("CPC*",'Semrush Data'!$A$1:$Z$1,0)),"")</f>
        <v/>
      </c>
      <c r="J2760" s="6" t="str">
        <f aca="false">IFERROR(INDEX('Semrush Data'!$A$1:$Z$20000,MATCH(A2760,'Semrush Data'!$A$1:$A$20000,0),MATCH("Intent",'Semrush Data'!$A$1:$Z$1,0)),"")</f>
        <v/>
      </c>
    </row>
    <row r="2761" customFormat="false" ht="15" hidden="false" customHeight="true" outlineLevel="0" collapsed="false">
      <c r="A2761" s="6" t="s">
        <v>7447</v>
      </c>
      <c r="B2761" s="6" t="s">
        <v>239</v>
      </c>
      <c r="C2761" s="6" t="n">
        <v>3</v>
      </c>
      <c r="D2761" s="6" t="n">
        <v>28</v>
      </c>
      <c r="E2761" s="6" t="n">
        <v>1</v>
      </c>
      <c r="F2761" s="6" t="s">
        <v>4614</v>
      </c>
      <c r="G2761" s="28" t="str">
        <f aca="false">IFERROR(INDEX('Semrush Data'!$A$1:$Z$20000,MATCH(A2761,'Semrush Data'!$A$1:$A$20000,0),MATCH("Volume",'Semrush Data'!$A$1:$Z$1,0)),"")</f>
        <v/>
      </c>
      <c r="H2761" s="6" t="str">
        <f aca="false">IFERROR(INDEX('Semrush Data'!$A$1:$Z$20000,MATCH(A2761,'Semrush Data'!$A$1:$A$20000,0),MATCH("Keyword Difficulty*",'Semrush Data'!$A$1:$Z$1,0)),"")</f>
        <v/>
      </c>
      <c r="I2761" s="29" t="str">
        <f aca="false">IFERROR(INDEX('Semrush Data'!$A$1:$Z$20000,MATCH(A2761,'Semrush Data'!$A$1:$A$20000,0),MATCH("CPC*",'Semrush Data'!$A$1:$Z$1,0)),"")</f>
        <v/>
      </c>
      <c r="J2761" s="6" t="str">
        <f aca="false">IFERROR(INDEX('Semrush Data'!$A$1:$Z$20000,MATCH(A2761,'Semrush Data'!$A$1:$A$20000,0),MATCH("Intent",'Semrush Data'!$A$1:$Z$1,0)),"")</f>
        <v/>
      </c>
    </row>
    <row r="2762" customFormat="false" ht="15" hidden="false" customHeight="true" outlineLevel="0" collapsed="false">
      <c r="A2762" s="6" t="s">
        <v>7448</v>
      </c>
      <c r="B2762" s="6" t="s">
        <v>239</v>
      </c>
      <c r="C2762" s="6" t="n">
        <v>3</v>
      </c>
      <c r="D2762" s="6" t="n">
        <v>28</v>
      </c>
      <c r="E2762" s="6" t="n">
        <v>1</v>
      </c>
      <c r="F2762" s="6" t="s">
        <v>4614</v>
      </c>
      <c r="G2762" s="28" t="str">
        <f aca="false">IFERROR(INDEX('Semrush Data'!$A$1:$Z$20000,MATCH(A2762,'Semrush Data'!$A$1:$A$20000,0),MATCH("Volume",'Semrush Data'!$A$1:$Z$1,0)),"")</f>
        <v/>
      </c>
      <c r="H2762" s="6" t="str">
        <f aca="false">IFERROR(INDEX('Semrush Data'!$A$1:$Z$20000,MATCH(A2762,'Semrush Data'!$A$1:$A$20000,0),MATCH("Keyword Difficulty*",'Semrush Data'!$A$1:$Z$1,0)),"")</f>
        <v/>
      </c>
      <c r="I2762" s="29" t="str">
        <f aca="false">IFERROR(INDEX('Semrush Data'!$A$1:$Z$20000,MATCH(A2762,'Semrush Data'!$A$1:$A$20000,0),MATCH("CPC*",'Semrush Data'!$A$1:$Z$1,0)),"")</f>
        <v/>
      </c>
      <c r="J2762" s="6" t="str">
        <f aca="false">IFERROR(INDEX('Semrush Data'!$A$1:$Z$20000,MATCH(A2762,'Semrush Data'!$A$1:$A$20000,0),MATCH("Intent",'Semrush Data'!$A$1:$Z$1,0)),"")</f>
        <v/>
      </c>
    </row>
    <row r="2763" customFormat="false" ht="15" hidden="false" customHeight="true" outlineLevel="0" collapsed="false">
      <c r="A2763" s="6" t="s">
        <v>7449</v>
      </c>
      <c r="B2763" s="6" t="s">
        <v>239</v>
      </c>
      <c r="C2763" s="6" t="n">
        <v>3</v>
      </c>
      <c r="D2763" s="6" t="n">
        <v>28</v>
      </c>
      <c r="E2763" s="6" t="n">
        <v>1</v>
      </c>
      <c r="F2763" s="6" t="s">
        <v>4614</v>
      </c>
      <c r="G2763" s="28" t="str">
        <f aca="false">IFERROR(INDEX('Semrush Data'!$A$1:$Z$20000,MATCH(A2763,'Semrush Data'!$A$1:$A$20000,0),MATCH("Volume",'Semrush Data'!$A$1:$Z$1,0)),"")</f>
        <v/>
      </c>
      <c r="H2763" s="6" t="str">
        <f aca="false">IFERROR(INDEX('Semrush Data'!$A$1:$Z$20000,MATCH(A2763,'Semrush Data'!$A$1:$A$20000,0),MATCH("Keyword Difficulty*",'Semrush Data'!$A$1:$Z$1,0)),"")</f>
        <v/>
      </c>
      <c r="I2763" s="29" t="str">
        <f aca="false">IFERROR(INDEX('Semrush Data'!$A$1:$Z$20000,MATCH(A2763,'Semrush Data'!$A$1:$A$20000,0),MATCH("CPC*",'Semrush Data'!$A$1:$Z$1,0)),"")</f>
        <v/>
      </c>
      <c r="J2763" s="6" t="str">
        <f aca="false">IFERROR(INDEX('Semrush Data'!$A$1:$Z$20000,MATCH(A2763,'Semrush Data'!$A$1:$A$20000,0),MATCH("Intent",'Semrush Data'!$A$1:$Z$1,0)),"")</f>
        <v/>
      </c>
    </row>
    <row r="2764" customFormat="false" ht="15" hidden="false" customHeight="true" outlineLevel="0" collapsed="false">
      <c r="A2764" s="6" t="s">
        <v>7450</v>
      </c>
      <c r="B2764" s="6" t="s">
        <v>239</v>
      </c>
      <c r="C2764" s="6" t="n">
        <v>3</v>
      </c>
      <c r="D2764" s="6" t="n">
        <v>28</v>
      </c>
      <c r="E2764" s="6" t="n">
        <v>1</v>
      </c>
      <c r="F2764" s="6" t="s">
        <v>4614</v>
      </c>
      <c r="G2764" s="28" t="str">
        <f aca="false">IFERROR(INDEX('Semrush Data'!$A$1:$Z$20000,MATCH(A2764,'Semrush Data'!$A$1:$A$20000,0),MATCH("Volume",'Semrush Data'!$A$1:$Z$1,0)),"")</f>
        <v/>
      </c>
      <c r="H2764" s="6" t="str">
        <f aca="false">IFERROR(INDEX('Semrush Data'!$A$1:$Z$20000,MATCH(A2764,'Semrush Data'!$A$1:$A$20000,0),MATCH("Keyword Difficulty*",'Semrush Data'!$A$1:$Z$1,0)),"")</f>
        <v/>
      </c>
      <c r="I2764" s="29" t="str">
        <f aca="false">IFERROR(INDEX('Semrush Data'!$A$1:$Z$20000,MATCH(A2764,'Semrush Data'!$A$1:$A$20000,0),MATCH("CPC*",'Semrush Data'!$A$1:$Z$1,0)),"")</f>
        <v/>
      </c>
      <c r="J2764" s="6" t="str">
        <f aca="false">IFERROR(INDEX('Semrush Data'!$A$1:$Z$20000,MATCH(A2764,'Semrush Data'!$A$1:$A$20000,0),MATCH("Intent",'Semrush Data'!$A$1:$Z$1,0)),"")</f>
        <v/>
      </c>
    </row>
    <row r="2765" customFormat="false" ht="15" hidden="false" customHeight="true" outlineLevel="0" collapsed="false">
      <c r="A2765" s="6" t="s">
        <v>7451</v>
      </c>
      <c r="B2765" s="6" t="s">
        <v>239</v>
      </c>
      <c r="C2765" s="6" t="n">
        <v>3</v>
      </c>
      <c r="D2765" s="6" t="n">
        <v>28</v>
      </c>
      <c r="E2765" s="6" t="n">
        <v>1</v>
      </c>
      <c r="F2765" s="6" t="s">
        <v>4397</v>
      </c>
      <c r="G2765" s="28" t="str">
        <f aca="false">IFERROR(INDEX('Semrush Data'!$A$1:$Z$20000,MATCH(A2765,'Semrush Data'!$A$1:$A$20000,0),MATCH("Volume",'Semrush Data'!$A$1:$Z$1,0)),"")</f>
        <v/>
      </c>
      <c r="H2765" s="6" t="str">
        <f aca="false">IFERROR(INDEX('Semrush Data'!$A$1:$Z$20000,MATCH(A2765,'Semrush Data'!$A$1:$A$20000,0),MATCH("Keyword Difficulty*",'Semrush Data'!$A$1:$Z$1,0)),"")</f>
        <v/>
      </c>
      <c r="I2765" s="29" t="str">
        <f aca="false">IFERROR(INDEX('Semrush Data'!$A$1:$Z$20000,MATCH(A2765,'Semrush Data'!$A$1:$A$20000,0),MATCH("CPC*",'Semrush Data'!$A$1:$Z$1,0)),"")</f>
        <v/>
      </c>
      <c r="J2765" s="6" t="str">
        <f aca="false">IFERROR(INDEX('Semrush Data'!$A$1:$Z$20000,MATCH(A2765,'Semrush Data'!$A$1:$A$20000,0),MATCH("Intent",'Semrush Data'!$A$1:$Z$1,0)),"")</f>
        <v/>
      </c>
    </row>
    <row r="2766" customFormat="false" ht="15" hidden="false" customHeight="true" outlineLevel="0" collapsed="false">
      <c r="A2766" s="6" t="s">
        <v>7452</v>
      </c>
      <c r="B2766" s="6" t="s">
        <v>239</v>
      </c>
      <c r="C2766" s="6" t="n">
        <v>3</v>
      </c>
      <c r="D2766" s="6" t="n">
        <v>28</v>
      </c>
      <c r="E2766" s="6" t="n">
        <v>1</v>
      </c>
      <c r="F2766" s="6" t="s">
        <v>4397</v>
      </c>
      <c r="G2766" s="28" t="str">
        <f aca="false">IFERROR(INDEX('Semrush Data'!$A$1:$Z$20000,MATCH(A2766,'Semrush Data'!$A$1:$A$20000,0),MATCH("Volume",'Semrush Data'!$A$1:$Z$1,0)),"")</f>
        <v/>
      </c>
      <c r="H2766" s="6" t="str">
        <f aca="false">IFERROR(INDEX('Semrush Data'!$A$1:$Z$20000,MATCH(A2766,'Semrush Data'!$A$1:$A$20000,0),MATCH("Keyword Difficulty*",'Semrush Data'!$A$1:$Z$1,0)),"")</f>
        <v/>
      </c>
      <c r="I2766" s="29" t="str">
        <f aca="false">IFERROR(INDEX('Semrush Data'!$A$1:$Z$20000,MATCH(A2766,'Semrush Data'!$A$1:$A$20000,0),MATCH("CPC*",'Semrush Data'!$A$1:$Z$1,0)),"")</f>
        <v/>
      </c>
      <c r="J2766" s="6" t="str">
        <f aca="false">IFERROR(INDEX('Semrush Data'!$A$1:$Z$20000,MATCH(A2766,'Semrush Data'!$A$1:$A$20000,0),MATCH("Intent",'Semrush Data'!$A$1:$Z$1,0)),"")</f>
        <v/>
      </c>
    </row>
    <row r="2767" customFormat="false" ht="15" hidden="false" customHeight="true" outlineLevel="0" collapsed="false">
      <c r="A2767" s="6" t="s">
        <v>7453</v>
      </c>
      <c r="B2767" s="6" t="s">
        <v>239</v>
      </c>
      <c r="C2767" s="6" t="n">
        <v>3</v>
      </c>
      <c r="D2767" s="6" t="n">
        <v>28</v>
      </c>
      <c r="E2767" s="6" t="n">
        <v>1</v>
      </c>
      <c r="F2767" s="6" t="s">
        <v>4397</v>
      </c>
      <c r="G2767" s="28" t="str">
        <f aca="false">IFERROR(INDEX('Semrush Data'!$A$1:$Z$20000,MATCH(A2767,'Semrush Data'!$A$1:$A$20000,0),MATCH("Volume",'Semrush Data'!$A$1:$Z$1,0)),"")</f>
        <v/>
      </c>
      <c r="H2767" s="6" t="str">
        <f aca="false">IFERROR(INDEX('Semrush Data'!$A$1:$Z$20000,MATCH(A2767,'Semrush Data'!$A$1:$A$20000,0),MATCH("Keyword Difficulty*",'Semrush Data'!$A$1:$Z$1,0)),"")</f>
        <v/>
      </c>
      <c r="I2767" s="29" t="str">
        <f aca="false">IFERROR(INDEX('Semrush Data'!$A$1:$Z$20000,MATCH(A2767,'Semrush Data'!$A$1:$A$20000,0),MATCH("CPC*",'Semrush Data'!$A$1:$Z$1,0)),"")</f>
        <v/>
      </c>
      <c r="J2767" s="6" t="str">
        <f aca="false">IFERROR(INDEX('Semrush Data'!$A$1:$Z$20000,MATCH(A2767,'Semrush Data'!$A$1:$A$20000,0),MATCH("Intent",'Semrush Data'!$A$1:$Z$1,0)),"")</f>
        <v/>
      </c>
    </row>
    <row r="2768" customFormat="false" ht="15" hidden="false" customHeight="true" outlineLevel="0" collapsed="false">
      <c r="A2768" s="6" t="s">
        <v>7454</v>
      </c>
      <c r="B2768" s="6" t="s">
        <v>239</v>
      </c>
      <c r="C2768" s="6" t="n">
        <v>3</v>
      </c>
      <c r="D2768" s="6" t="n">
        <v>28</v>
      </c>
      <c r="E2768" s="6" t="n">
        <v>1</v>
      </c>
      <c r="F2768" s="6" t="s">
        <v>4408</v>
      </c>
      <c r="G2768" s="28" t="str">
        <f aca="false">IFERROR(INDEX('Semrush Data'!$A$1:$Z$20000,MATCH(A2768,'Semrush Data'!$A$1:$A$20000,0),MATCH("Volume",'Semrush Data'!$A$1:$Z$1,0)),"")</f>
        <v/>
      </c>
      <c r="H2768" s="6" t="str">
        <f aca="false">IFERROR(INDEX('Semrush Data'!$A$1:$Z$20000,MATCH(A2768,'Semrush Data'!$A$1:$A$20000,0),MATCH("Keyword Difficulty*",'Semrush Data'!$A$1:$Z$1,0)),"")</f>
        <v/>
      </c>
      <c r="I2768" s="29" t="str">
        <f aca="false">IFERROR(INDEX('Semrush Data'!$A$1:$Z$20000,MATCH(A2768,'Semrush Data'!$A$1:$A$20000,0),MATCH("CPC*",'Semrush Data'!$A$1:$Z$1,0)),"")</f>
        <v/>
      </c>
      <c r="J2768" s="6" t="str">
        <f aca="false">IFERROR(INDEX('Semrush Data'!$A$1:$Z$20000,MATCH(A2768,'Semrush Data'!$A$1:$A$20000,0),MATCH("Intent",'Semrush Data'!$A$1:$Z$1,0)),"")</f>
        <v/>
      </c>
    </row>
    <row r="2769" customFormat="false" ht="15" hidden="false" customHeight="true" outlineLevel="0" collapsed="false">
      <c r="A2769" s="6" t="s">
        <v>7455</v>
      </c>
      <c r="B2769" s="6" t="s">
        <v>239</v>
      </c>
      <c r="C2769" s="6" t="n">
        <v>3</v>
      </c>
      <c r="D2769" s="6" t="n">
        <v>28</v>
      </c>
      <c r="E2769" s="6" t="n">
        <v>1</v>
      </c>
      <c r="F2769" s="6" t="s">
        <v>4408</v>
      </c>
      <c r="G2769" s="28" t="str">
        <f aca="false">IFERROR(INDEX('Semrush Data'!$A$1:$Z$20000,MATCH(A2769,'Semrush Data'!$A$1:$A$20000,0),MATCH("Volume",'Semrush Data'!$A$1:$Z$1,0)),"")</f>
        <v/>
      </c>
      <c r="H2769" s="6" t="str">
        <f aca="false">IFERROR(INDEX('Semrush Data'!$A$1:$Z$20000,MATCH(A2769,'Semrush Data'!$A$1:$A$20000,0),MATCH("Keyword Difficulty*",'Semrush Data'!$A$1:$Z$1,0)),"")</f>
        <v/>
      </c>
      <c r="I2769" s="29" t="str">
        <f aca="false">IFERROR(INDEX('Semrush Data'!$A$1:$Z$20000,MATCH(A2769,'Semrush Data'!$A$1:$A$20000,0),MATCH("CPC*",'Semrush Data'!$A$1:$Z$1,0)),"")</f>
        <v/>
      </c>
      <c r="J2769" s="6" t="str">
        <f aca="false">IFERROR(INDEX('Semrush Data'!$A$1:$Z$20000,MATCH(A2769,'Semrush Data'!$A$1:$A$20000,0),MATCH("Intent",'Semrush Data'!$A$1:$Z$1,0)),"")</f>
        <v/>
      </c>
    </row>
    <row r="2770" customFormat="false" ht="15" hidden="false" customHeight="true" outlineLevel="0" collapsed="false">
      <c r="A2770" s="6" t="s">
        <v>7456</v>
      </c>
      <c r="B2770" s="6" t="s">
        <v>239</v>
      </c>
      <c r="C2770" s="6" t="n">
        <v>3</v>
      </c>
      <c r="D2770" s="6" t="n">
        <v>28</v>
      </c>
      <c r="E2770" s="6" t="n">
        <v>1</v>
      </c>
      <c r="F2770" s="6" t="s">
        <v>4408</v>
      </c>
      <c r="G2770" s="28" t="str">
        <f aca="false">IFERROR(INDEX('Semrush Data'!$A$1:$Z$20000,MATCH(A2770,'Semrush Data'!$A$1:$A$20000,0),MATCH("Volume",'Semrush Data'!$A$1:$Z$1,0)),"")</f>
        <v/>
      </c>
      <c r="H2770" s="6" t="str">
        <f aca="false">IFERROR(INDEX('Semrush Data'!$A$1:$Z$20000,MATCH(A2770,'Semrush Data'!$A$1:$A$20000,0),MATCH("Keyword Difficulty*",'Semrush Data'!$A$1:$Z$1,0)),"")</f>
        <v/>
      </c>
      <c r="I2770" s="29" t="str">
        <f aca="false">IFERROR(INDEX('Semrush Data'!$A$1:$Z$20000,MATCH(A2770,'Semrush Data'!$A$1:$A$20000,0),MATCH("CPC*",'Semrush Data'!$A$1:$Z$1,0)),"")</f>
        <v/>
      </c>
      <c r="J2770" s="6" t="str">
        <f aca="false">IFERROR(INDEX('Semrush Data'!$A$1:$Z$20000,MATCH(A2770,'Semrush Data'!$A$1:$A$20000,0),MATCH("Intent",'Semrush Data'!$A$1:$Z$1,0)),"")</f>
        <v/>
      </c>
    </row>
    <row r="2771" customFormat="false" ht="15" hidden="false" customHeight="true" outlineLevel="0" collapsed="false">
      <c r="A2771" s="6" t="s">
        <v>7457</v>
      </c>
      <c r="B2771" s="6" t="s">
        <v>239</v>
      </c>
      <c r="C2771" s="6" t="n">
        <v>3</v>
      </c>
      <c r="D2771" s="6" t="n">
        <v>28</v>
      </c>
      <c r="E2771" s="6" t="n">
        <v>1</v>
      </c>
      <c r="F2771" s="6" t="s">
        <v>4408</v>
      </c>
      <c r="G2771" s="28" t="str">
        <f aca="false">IFERROR(INDEX('Semrush Data'!$A$1:$Z$20000,MATCH(A2771,'Semrush Data'!$A$1:$A$20000,0),MATCH("Volume",'Semrush Data'!$A$1:$Z$1,0)),"")</f>
        <v/>
      </c>
      <c r="H2771" s="6" t="str">
        <f aca="false">IFERROR(INDEX('Semrush Data'!$A$1:$Z$20000,MATCH(A2771,'Semrush Data'!$A$1:$A$20000,0),MATCH("Keyword Difficulty*",'Semrush Data'!$A$1:$Z$1,0)),"")</f>
        <v/>
      </c>
      <c r="I2771" s="29" t="str">
        <f aca="false">IFERROR(INDEX('Semrush Data'!$A$1:$Z$20000,MATCH(A2771,'Semrush Data'!$A$1:$A$20000,0),MATCH("CPC*",'Semrush Data'!$A$1:$Z$1,0)),"")</f>
        <v/>
      </c>
      <c r="J2771" s="6" t="str">
        <f aca="false">IFERROR(INDEX('Semrush Data'!$A$1:$Z$20000,MATCH(A2771,'Semrush Data'!$A$1:$A$20000,0),MATCH("Intent",'Semrush Data'!$A$1:$Z$1,0)),"")</f>
        <v/>
      </c>
    </row>
    <row r="2772" customFormat="false" ht="15" hidden="false" customHeight="true" outlineLevel="0" collapsed="false">
      <c r="A2772" s="6" t="s">
        <v>7458</v>
      </c>
      <c r="B2772" s="6" t="s">
        <v>239</v>
      </c>
      <c r="C2772" s="6" t="n">
        <v>3</v>
      </c>
      <c r="D2772" s="6" t="n">
        <v>28</v>
      </c>
      <c r="E2772" s="6" t="n">
        <v>1</v>
      </c>
      <c r="F2772" s="6" t="s">
        <v>4408</v>
      </c>
      <c r="G2772" s="28" t="str">
        <f aca="false">IFERROR(INDEX('Semrush Data'!$A$1:$Z$20000,MATCH(A2772,'Semrush Data'!$A$1:$A$20000,0),MATCH("Volume",'Semrush Data'!$A$1:$Z$1,0)),"")</f>
        <v/>
      </c>
      <c r="H2772" s="6" t="str">
        <f aca="false">IFERROR(INDEX('Semrush Data'!$A$1:$Z$20000,MATCH(A2772,'Semrush Data'!$A$1:$A$20000,0),MATCH("Keyword Difficulty*",'Semrush Data'!$A$1:$Z$1,0)),"")</f>
        <v/>
      </c>
      <c r="I2772" s="29" t="str">
        <f aca="false">IFERROR(INDEX('Semrush Data'!$A$1:$Z$20000,MATCH(A2772,'Semrush Data'!$A$1:$A$20000,0),MATCH("CPC*",'Semrush Data'!$A$1:$Z$1,0)),"")</f>
        <v/>
      </c>
      <c r="J2772" s="6" t="str">
        <f aca="false">IFERROR(INDEX('Semrush Data'!$A$1:$Z$20000,MATCH(A2772,'Semrush Data'!$A$1:$A$20000,0),MATCH("Intent",'Semrush Data'!$A$1:$Z$1,0)),"")</f>
        <v/>
      </c>
    </row>
    <row r="2773" customFormat="false" ht="15" hidden="false" customHeight="true" outlineLevel="0" collapsed="false">
      <c r="A2773" s="6" t="s">
        <v>7459</v>
      </c>
      <c r="B2773" s="6" t="s">
        <v>239</v>
      </c>
      <c r="C2773" s="6" t="n">
        <v>3</v>
      </c>
      <c r="D2773" s="6" t="n">
        <v>28</v>
      </c>
      <c r="E2773" s="6" t="n">
        <v>1</v>
      </c>
      <c r="F2773" s="6" t="s">
        <v>4419</v>
      </c>
      <c r="G2773" s="28" t="str">
        <f aca="false">IFERROR(INDEX('Semrush Data'!$A$1:$Z$20000,MATCH(A2773,'Semrush Data'!$A$1:$A$20000,0),MATCH("Volume",'Semrush Data'!$A$1:$Z$1,0)),"")</f>
        <v/>
      </c>
      <c r="H2773" s="6" t="str">
        <f aca="false">IFERROR(INDEX('Semrush Data'!$A$1:$Z$20000,MATCH(A2773,'Semrush Data'!$A$1:$A$20000,0),MATCH("Keyword Difficulty*",'Semrush Data'!$A$1:$Z$1,0)),"")</f>
        <v/>
      </c>
      <c r="I2773" s="29" t="str">
        <f aca="false">IFERROR(INDEX('Semrush Data'!$A$1:$Z$20000,MATCH(A2773,'Semrush Data'!$A$1:$A$20000,0),MATCH("CPC*",'Semrush Data'!$A$1:$Z$1,0)),"")</f>
        <v/>
      </c>
      <c r="J2773" s="6" t="str">
        <f aca="false">IFERROR(INDEX('Semrush Data'!$A$1:$Z$20000,MATCH(A2773,'Semrush Data'!$A$1:$A$20000,0),MATCH("Intent",'Semrush Data'!$A$1:$Z$1,0)),"")</f>
        <v/>
      </c>
    </row>
    <row r="2774" customFormat="false" ht="15" hidden="false" customHeight="true" outlineLevel="0" collapsed="false">
      <c r="A2774" s="6" t="s">
        <v>7460</v>
      </c>
      <c r="B2774" s="6" t="s">
        <v>239</v>
      </c>
      <c r="C2774" s="6" t="n">
        <v>3</v>
      </c>
      <c r="D2774" s="6" t="n">
        <v>28</v>
      </c>
      <c r="E2774" s="6" t="n">
        <v>1</v>
      </c>
      <c r="F2774" s="6" t="s">
        <v>4419</v>
      </c>
      <c r="G2774" s="28" t="str">
        <f aca="false">IFERROR(INDEX('Semrush Data'!$A$1:$Z$20000,MATCH(A2774,'Semrush Data'!$A$1:$A$20000,0),MATCH("Volume",'Semrush Data'!$A$1:$Z$1,0)),"")</f>
        <v/>
      </c>
      <c r="H2774" s="6" t="str">
        <f aca="false">IFERROR(INDEX('Semrush Data'!$A$1:$Z$20000,MATCH(A2774,'Semrush Data'!$A$1:$A$20000,0),MATCH("Keyword Difficulty*",'Semrush Data'!$A$1:$Z$1,0)),"")</f>
        <v/>
      </c>
      <c r="I2774" s="29" t="str">
        <f aca="false">IFERROR(INDEX('Semrush Data'!$A$1:$Z$20000,MATCH(A2774,'Semrush Data'!$A$1:$A$20000,0),MATCH("CPC*",'Semrush Data'!$A$1:$Z$1,0)),"")</f>
        <v/>
      </c>
      <c r="J2774" s="6" t="str">
        <f aca="false">IFERROR(INDEX('Semrush Data'!$A$1:$Z$20000,MATCH(A2774,'Semrush Data'!$A$1:$A$20000,0),MATCH("Intent",'Semrush Data'!$A$1:$Z$1,0)),"")</f>
        <v/>
      </c>
    </row>
    <row r="2775" customFormat="false" ht="15" hidden="false" customHeight="true" outlineLevel="0" collapsed="false">
      <c r="A2775" s="6" t="s">
        <v>7461</v>
      </c>
      <c r="B2775" s="6" t="s">
        <v>239</v>
      </c>
      <c r="C2775" s="6" t="n">
        <v>3</v>
      </c>
      <c r="D2775" s="6" t="n">
        <v>28</v>
      </c>
      <c r="E2775" s="6" t="n">
        <v>1</v>
      </c>
      <c r="F2775" s="6" t="s">
        <v>4419</v>
      </c>
      <c r="G2775" s="28" t="str">
        <f aca="false">IFERROR(INDEX('Semrush Data'!$A$1:$Z$20000,MATCH(A2775,'Semrush Data'!$A$1:$A$20000,0),MATCH("Volume",'Semrush Data'!$A$1:$Z$1,0)),"")</f>
        <v/>
      </c>
      <c r="H2775" s="6" t="str">
        <f aca="false">IFERROR(INDEX('Semrush Data'!$A$1:$Z$20000,MATCH(A2775,'Semrush Data'!$A$1:$A$20000,0),MATCH("Keyword Difficulty*",'Semrush Data'!$A$1:$Z$1,0)),"")</f>
        <v/>
      </c>
      <c r="I2775" s="29" t="str">
        <f aca="false">IFERROR(INDEX('Semrush Data'!$A$1:$Z$20000,MATCH(A2775,'Semrush Data'!$A$1:$A$20000,0),MATCH("CPC*",'Semrush Data'!$A$1:$Z$1,0)),"")</f>
        <v/>
      </c>
      <c r="J2775" s="6" t="str">
        <f aca="false">IFERROR(INDEX('Semrush Data'!$A$1:$Z$20000,MATCH(A2775,'Semrush Data'!$A$1:$A$20000,0),MATCH("Intent",'Semrush Data'!$A$1:$Z$1,0)),"")</f>
        <v/>
      </c>
    </row>
    <row r="2776" customFormat="false" ht="15" hidden="false" customHeight="true" outlineLevel="0" collapsed="false">
      <c r="A2776" s="6" t="s">
        <v>7462</v>
      </c>
      <c r="B2776" s="6" t="s">
        <v>239</v>
      </c>
      <c r="C2776" s="6" t="n">
        <v>3</v>
      </c>
      <c r="D2776" s="6" t="n">
        <v>28</v>
      </c>
      <c r="E2776" s="6" t="n">
        <v>1</v>
      </c>
      <c r="F2776" s="6" t="s">
        <v>4419</v>
      </c>
      <c r="G2776" s="28" t="str">
        <f aca="false">IFERROR(INDEX('Semrush Data'!$A$1:$Z$20000,MATCH(A2776,'Semrush Data'!$A$1:$A$20000,0),MATCH("Volume",'Semrush Data'!$A$1:$Z$1,0)),"")</f>
        <v/>
      </c>
      <c r="H2776" s="6" t="str">
        <f aca="false">IFERROR(INDEX('Semrush Data'!$A$1:$Z$20000,MATCH(A2776,'Semrush Data'!$A$1:$A$20000,0),MATCH("Keyword Difficulty*",'Semrush Data'!$A$1:$Z$1,0)),"")</f>
        <v/>
      </c>
      <c r="I2776" s="29" t="str">
        <f aca="false">IFERROR(INDEX('Semrush Data'!$A$1:$Z$20000,MATCH(A2776,'Semrush Data'!$A$1:$A$20000,0),MATCH("CPC*",'Semrush Data'!$A$1:$Z$1,0)),"")</f>
        <v/>
      </c>
      <c r="J2776" s="6" t="str">
        <f aca="false">IFERROR(INDEX('Semrush Data'!$A$1:$Z$20000,MATCH(A2776,'Semrush Data'!$A$1:$A$20000,0),MATCH("Intent",'Semrush Data'!$A$1:$Z$1,0)),"")</f>
        <v/>
      </c>
    </row>
    <row r="2777" customFormat="false" ht="15" hidden="false" customHeight="true" outlineLevel="0" collapsed="false">
      <c r="A2777" s="6" t="s">
        <v>7463</v>
      </c>
      <c r="B2777" s="6" t="s">
        <v>239</v>
      </c>
      <c r="C2777" s="6" t="n">
        <v>3</v>
      </c>
      <c r="D2777" s="6" t="s">
        <v>6870</v>
      </c>
      <c r="E2777" s="6" t="n">
        <v>1</v>
      </c>
      <c r="F2777" s="6" t="s">
        <v>99</v>
      </c>
      <c r="G2777" s="28" t="n">
        <f aca="false">IFERROR(INDEX('Semrush Data'!$A$1:$Z$20000,MATCH(A2777,'Semrush Data'!$A$1:$A$20000,0),MATCH("Volume",'Semrush Data'!$A$1:$Z$1,0)),"")</f>
        <v>10</v>
      </c>
      <c r="H2777" s="6" t="n">
        <f aca="false">IFERROR(INDEX('Semrush Data'!$A$1:$Z$20000,MATCH(A2777,'Semrush Data'!$A$1:$A$20000,0),MATCH("Keyword Difficulty*",'Semrush Data'!$A$1:$Z$1,0)),"")</f>
        <v>22</v>
      </c>
      <c r="I2777" s="29" t="n">
        <f aca="false">IFERROR(INDEX('Semrush Data'!$A$1:$Z$20000,MATCH(A2777,'Semrush Data'!$A$1:$A$20000,0),MATCH("CPC*",'Semrush Data'!$A$1:$Z$1,0)),"")</f>
        <v>0</v>
      </c>
      <c r="J2777" s="6" t="str">
        <f aca="false">IFERROR(INDEX('Semrush Data'!$A$1:$Z$20000,MATCH(A2777,'Semrush Data'!$A$1:$A$20000,0),MATCH("Intent",'Semrush Data'!$A$1:$Z$1,0)),"")</f>
        <v>Informational</v>
      </c>
    </row>
    <row r="2778" customFormat="false" ht="15" hidden="false" customHeight="true" outlineLevel="0" collapsed="false">
      <c r="A2778" s="6" t="s">
        <v>7464</v>
      </c>
      <c r="B2778" s="6" t="s">
        <v>239</v>
      </c>
      <c r="C2778" s="6" t="n">
        <v>3</v>
      </c>
      <c r="D2778" s="6" t="n">
        <v>28</v>
      </c>
      <c r="E2778" s="6" t="n">
        <v>1</v>
      </c>
      <c r="F2778" s="6" t="s">
        <v>99</v>
      </c>
      <c r="G2778" s="28" t="str">
        <f aca="false">IFERROR(INDEX('Semrush Data'!$A$1:$Z$20000,MATCH(A2778,'Semrush Data'!$A$1:$A$20000,0),MATCH("Volume",'Semrush Data'!$A$1:$Z$1,0)),"")</f>
        <v/>
      </c>
      <c r="H2778" s="6" t="str">
        <f aca="false">IFERROR(INDEX('Semrush Data'!$A$1:$Z$20000,MATCH(A2778,'Semrush Data'!$A$1:$A$20000,0),MATCH("Keyword Difficulty*",'Semrush Data'!$A$1:$Z$1,0)),"")</f>
        <v/>
      </c>
      <c r="I2778" s="29" t="str">
        <f aca="false">IFERROR(INDEX('Semrush Data'!$A$1:$Z$20000,MATCH(A2778,'Semrush Data'!$A$1:$A$20000,0),MATCH("CPC*",'Semrush Data'!$A$1:$Z$1,0)),"")</f>
        <v/>
      </c>
      <c r="J2778" s="6" t="str">
        <f aca="false">IFERROR(INDEX('Semrush Data'!$A$1:$Z$20000,MATCH(A2778,'Semrush Data'!$A$1:$A$20000,0),MATCH("Intent",'Semrush Data'!$A$1:$Z$1,0)),"")</f>
        <v/>
      </c>
    </row>
    <row r="2779" customFormat="false" ht="15" hidden="false" customHeight="true" outlineLevel="0" collapsed="false">
      <c r="A2779" s="6" t="s">
        <v>7465</v>
      </c>
      <c r="B2779" s="6" t="s">
        <v>239</v>
      </c>
      <c r="C2779" s="6" t="n">
        <v>3</v>
      </c>
      <c r="D2779" s="6" t="n">
        <v>28</v>
      </c>
      <c r="E2779" s="6" t="n">
        <v>1</v>
      </c>
      <c r="F2779" s="6" t="s">
        <v>99</v>
      </c>
      <c r="G2779" s="28" t="str">
        <f aca="false">IFERROR(INDEX('Semrush Data'!$A$1:$Z$20000,MATCH(A2779,'Semrush Data'!$A$1:$A$20000,0),MATCH("Volume",'Semrush Data'!$A$1:$Z$1,0)),"")</f>
        <v/>
      </c>
      <c r="H2779" s="6" t="str">
        <f aca="false">IFERROR(INDEX('Semrush Data'!$A$1:$Z$20000,MATCH(A2779,'Semrush Data'!$A$1:$A$20000,0),MATCH("Keyword Difficulty*",'Semrush Data'!$A$1:$Z$1,0)),"")</f>
        <v/>
      </c>
      <c r="I2779" s="29" t="str">
        <f aca="false">IFERROR(INDEX('Semrush Data'!$A$1:$Z$20000,MATCH(A2779,'Semrush Data'!$A$1:$A$20000,0),MATCH("CPC*",'Semrush Data'!$A$1:$Z$1,0)),"")</f>
        <v/>
      </c>
      <c r="J2779" s="6" t="str">
        <f aca="false">IFERROR(INDEX('Semrush Data'!$A$1:$Z$20000,MATCH(A2779,'Semrush Data'!$A$1:$A$20000,0),MATCH("Intent",'Semrush Data'!$A$1:$Z$1,0)),"")</f>
        <v/>
      </c>
    </row>
    <row r="2780" customFormat="false" ht="15" hidden="false" customHeight="true" outlineLevel="0" collapsed="false">
      <c r="A2780" s="6" t="s">
        <v>7466</v>
      </c>
      <c r="B2780" s="6" t="s">
        <v>239</v>
      </c>
      <c r="C2780" s="6" t="n">
        <v>3</v>
      </c>
      <c r="D2780" s="6" t="n">
        <v>28</v>
      </c>
      <c r="E2780" s="6" t="n">
        <v>1</v>
      </c>
      <c r="F2780" s="6" t="s">
        <v>99</v>
      </c>
      <c r="G2780" s="28" t="str">
        <f aca="false">IFERROR(INDEX('Semrush Data'!$A$1:$Z$20000,MATCH(A2780,'Semrush Data'!$A$1:$A$20000,0),MATCH("Volume",'Semrush Data'!$A$1:$Z$1,0)),"")</f>
        <v/>
      </c>
      <c r="H2780" s="6" t="str">
        <f aca="false">IFERROR(INDEX('Semrush Data'!$A$1:$Z$20000,MATCH(A2780,'Semrush Data'!$A$1:$A$20000,0),MATCH("Keyword Difficulty*",'Semrush Data'!$A$1:$Z$1,0)),"")</f>
        <v/>
      </c>
      <c r="I2780" s="29" t="str">
        <f aca="false">IFERROR(INDEX('Semrush Data'!$A$1:$Z$20000,MATCH(A2780,'Semrush Data'!$A$1:$A$20000,0),MATCH("CPC*",'Semrush Data'!$A$1:$Z$1,0)),"")</f>
        <v/>
      </c>
      <c r="J2780" s="6" t="str">
        <f aca="false">IFERROR(INDEX('Semrush Data'!$A$1:$Z$20000,MATCH(A2780,'Semrush Data'!$A$1:$A$20000,0),MATCH("Intent",'Semrush Data'!$A$1:$Z$1,0)),"")</f>
        <v/>
      </c>
    </row>
    <row r="2781" customFormat="false" ht="15" hidden="false" customHeight="true" outlineLevel="0" collapsed="false">
      <c r="A2781" s="6" t="s">
        <v>272</v>
      </c>
      <c r="B2781" s="6" t="s">
        <v>239</v>
      </c>
      <c r="C2781" s="6" t="n">
        <v>3</v>
      </c>
      <c r="D2781" s="6" t="s">
        <v>6870</v>
      </c>
      <c r="E2781" s="6" t="n">
        <v>1</v>
      </c>
      <c r="F2781" s="6" t="s">
        <v>99</v>
      </c>
      <c r="G2781" s="28" t="n">
        <f aca="false">IFERROR(INDEX('Semrush Data'!$A$1:$Z$20000,MATCH(A2781,'Semrush Data'!$A$1:$A$20000,0),MATCH("Volume",'Semrush Data'!$A$1:$Z$1,0)),"")</f>
        <v>30</v>
      </c>
      <c r="H2781" s="6" t="n">
        <f aca="false">IFERROR(INDEX('Semrush Data'!$A$1:$Z$20000,MATCH(A2781,'Semrush Data'!$A$1:$A$20000,0),MATCH("Keyword Difficulty*",'Semrush Data'!$A$1:$Z$1,0)),"")</f>
        <v>20</v>
      </c>
      <c r="I2781" s="29" t="n">
        <f aca="false">IFERROR(INDEX('Semrush Data'!$A$1:$Z$20000,MATCH(A2781,'Semrush Data'!$A$1:$A$20000,0),MATCH("CPC*",'Semrush Data'!$A$1:$Z$1,0)),"")</f>
        <v>0</v>
      </c>
      <c r="J2781" s="6" t="str">
        <f aca="false">IFERROR(INDEX('Semrush Data'!$A$1:$Z$20000,MATCH(A2781,'Semrush Data'!$A$1:$A$20000,0),MATCH("Intent",'Semrush Data'!$A$1:$Z$1,0)),"")</f>
        <v>Commercial</v>
      </c>
    </row>
    <row r="2782" customFormat="false" ht="15" hidden="false" customHeight="true" outlineLevel="0" collapsed="false">
      <c r="A2782" s="6" t="s">
        <v>7467</v>
      </c>
      <c r="B2782" s="6" t="s">
        <v>239</v>
      </c>
      <c r="C2782" s="6" t="n">
        <v>3</v>
      </c>
      <c r="D2782" s="6" t="n">
        <v>28</v>
      </c>
      <c r="E2782" s="6" t="n">
        <v>1</v>
      </c>
      <c r="F2782" s="6" t="s">
        <v>4439</v>
      </c>
      <c r="G2782" s="28" t="str">
        <f aca="false">IFERROR(INDEX('Semrush Data'!$A$1:$Z$20000,MATCH(A2782,'Semrush Data'!$A$1:$A$20000,0),MATCH("Volume",'Semrush Data'!$A$1:$Z$1,0)),"")</f>
        <v/>
      </c>
      <c r="H2782" s="6" t="str">
        <f aca="false">IFERROR(INDEX('Semrush Data'!$A$1:$Z$20000,MATCH(A2782,'Semrush Data'!$A$1:$A$20000,0),MATCH("Keyword Difficulty*",'Semrush Data'!$A$1:$Z$1,0)),"")</f>
        <v/>
      </c>
      <c r="I2782" s="29" t="str">
        <f aca="false">IFERROR(INDEX('Semrush Data'!$A$1:$Z$20000,MATCH(A2782,'Semrush Data'!$A$1:$A$20000,0),MATCH("CPC*",'Semrush Data'!$A$1:$Z$1,0)),"")</f>
        <v/>
      </c>
      <c r="J2782" s="6" t="str">
        <f aca="false">IFERROR(INDEX('Semrush Data'!$A$1:$Z$20000,MATCH(A2782,'Semrush Data'!$A$1:$A$20000,0),MATCH("Intent",'Semrush Data'!$A$1:$Z$1,0)),"")</f>
        <v/>
      </c>
    </row>
    <row r="2783" customFormat="false" ht="15" hidden="false" customHeight="true" outlineLevel="0" collapsed="false">
      <c r="A2783" s="6" t="s">
        <v>7468</v>
      </c>
      <c r="B2783" s="6" t="s">
        <v>239</v>
      </c>
      <c r="C2783" s="6" t="n">
        <v>3</v>
      </c>
      <c r="D2783" s="6" t="n">
        <v>28</v>
      </c>
      <c r="E2783" s="6" t="n">
        <v>1</v>
      </c>
      <c r="F2783" s="6" t="s">
        <v>4439</v>
      </c>
      <c r="G2783" s="28" t="str">
        <f aca="false">IFERROR(INDEX('Semrush Data'!$A$1:$Z$20000,MATCH(A2783,'Semrush Data'!$A$1:$A$20000,0),MATCH("Volume",'Semrush Data'!$A$1:$Z$1,0)),"")</f>
        <v/>
      </c>
      <c r="H2783" s="6" t="str">
        <f aca="false">IFERROR(INDEX('Semrush Data'!$A$1:$Z$20000,MATCH(A2783,'Semrush Data'!$A$1:$A$20000,0),MATCH("Keyword Difficulty*",'Semrush Data'!$A$1:$Z$1,0)),"")</f>
        <v/>
      </c>
      <c r="I2783" s="29" t="str">
        <f aca="false">IFERROR(INDEX('Semrush Data'!$A$1:$Z$20000,MATCH(A2783,'Semrush Data'!$A$1:$A$20000,0),MATCH("CPC*",'Semrush Data'!$A$1:$Z$1,0)),"")</f>
        <v/>
      </c>
      <c r="J2783" s="6" t="str">
        <f aca="false">IFERROR(INDEX('Semrush Data'!$A$1:$Z$20000,MATCH(A2783,'Semrush Data'!$A$1:$A$20000,0),MATCH("Intent",'Semrush Data'!$A$1:$Z$1,0)),"")</f>
        <v/>
      </c>
    </row>
    <row r="2784" customFormat="false" ht="15" hidden="false" customHeight="true" outlineLevel="0" collapsed="false">
      <c r="A2784" s="6" t="s">
        <v>7469</v>
      </c>
      <c r="B2784" s="6" t="s">
        <v>239</v>
      </c>
      <c r="C2784" s="6" t="n">
        <v>3</v>
      </c>
      <c r="D2784" s="6" t="n">
        <v>28</v>
      </c>
      <c r="E2784" s="6" t="n">
        <v>1</v>
      </c>
      <c r="F2784" s="6" t="s">
        <v>4439</v>
      </c>
      <c r="G2784" s="28" t="str">
        <f aca="false">IFERROR(INDEX('Semrush Data'!$A$1:$Z$20000,MATCH(A2784,'Semrush Data'!$A$1:$A$20000,0),MATCH("Volume",'Semrush Data'!$A$1:$Z$1,0)),"")</f>
        <v/>
      </c>
      <c r="H2784" s="6" t="str">
        <f aca="false">IFERROR(INDEX('Semrush Data'!$A$1:$Z$20000,MATCH(A2784,'Semrush Data'!$A$1:$A$20000,0),MATCH("Keyword Difficulty*",'Semrush Data'!$A$1:$Z$1,0)),"")</f>
        <v/>
      </c>
      <c r="I2784" s="29" t="str">
        <f aca="false">IFERROR(INDEX('Semrush Data'!$A$1:$Z$20000,MATCH(A2784,'Semrush Data'!$A$1:$A$20000,0),MATCH("CPC*",'Semrush Data'!$A$1:$Z$1,0)),"")</f>
        <v/>
      </c>
      <c r="J2784" s="6" t="str">
        <f aca="false">IFERROR(INDEX('Semrush Data'!$A$1:$Z$20000,MATCH(A2784,'Semrush Data'!$A$1:$A$20000,0),MATCH("Intent",'Semrush Data'!$A$1:$Z$1,0)),"")</f>
        <v/>
      </c>
    </row>
    <row r="2785" customFormat="false" ht="15" hidden="false" customHeight="true" outlineLevel="0" collapsed="false">
      <c r="A2785" s="6" t="s">
        <v>7470</v>
      </c>
      <c r="B2785" s="6" t="s">
        <v>239</v>
      </c>
      <c r="C2785" s="6" t="n">
        <v>3</v>
      </c>
      <c r="D2785" s="6" t="n">
        <v>28</v>
      </c>
      <c r="E2785" s="6" t="n">
        <v>1</v>
      </c>
      <c r="F2785" s="6" t="s">
        <v>4439</v>
      </c>
      <c r="G2785" s="28" t="str">
        <f aca="false">IFERROR(INDEX('Semrush Data'!$A$1:$Z$20000,MATCH(A2785,'Semrush Data'!$A$1:$A$20000,0),MATCH("Volume",'Semrush Data'!$A$1:$Z$1,0)),"")</f>
        <v/>
      </c>
      <c r="H2785" s="6" t="str">
        <f aca="false">IFERROR(INDEX('Semrush Data'!$A$1:$Z$20000,MATCH(A2785,'Semrush Data'!$A$1:$A$20000,0),MATCH("Keyword Difficulty*",'Semrush Data'!$A$1:$Z$1,0)),"")</f>
        <v/>
      </c>
      <c r="I2785" s="29" t="str">
        <f aca="false">IFERROR(INDEX('Semrush Data'!$A$1:$Z$20000,MATCH(A2785,'Semrush Data'!$A$1:$A$20000,0),MATCH("CPC*",'Semrush Data'!$A$1:$Z$1,0)),"")</f>
        <v/>
      </c>
      <c r="J2785" s="6" t="str">
        <f aca="false">IFERROR(INDEX('Semrush Data'!$A$1:$Z$20000,MATCH(A2785,'Semrush Data'!$A$1:$A$20000,0),MATCH("Intent",'Semrush Data'!$A$1:$Z$1,0)),"")</f>
        <v/>
      </c>
    </row>
    <row r="2786" customFormat="false" ht="15" hidden="false" customHeight="true" outlineLevel="0" collapsed="false">
      <c r="A2786" s="6" t="s">
        <v>7471</v>
      </c>
      <c r="B2786" s="6" t="s">
        <v>239</v>
      </c>
      <c r="C2786" s="6" t="n">
        <v>3</v>
      </c>
      <c r="D2786" s="6" t="n">
        <v>28</v>
      </c>
      <c r="E2786" s="6" t="n">
        <v>1</v>
      </c>
      <c r="F2786" s="6" t="s">
        <v>4450</v>
      </c>
      <c r="G2786" s="28" t="str">
        <f aca="false">IFERROR(INDEX('Semrush Data'!$A$1:$Z$20000,MATCH(A2786,'Semrush Data'!$A$1:$A$20000,0),MATCH("Volume",'Semrush Data'!$A$1:$Z$1,0)),"")</f>
        <v/>
      </c>
      <c r="H2786" s="6" t="str">
        <f aca="false">IFERROR(INDEX('Semrush Data'!$A$1:$Z$20000,MATCH(A2786,'Semrush Data'!$A$1:$A$20000,0),MATCH("Keyword Difficulty*",'Semrush Data'!$A$1:$Z$1,0)),"")</f>
        <v/>
      </c>
      <c r="I2786" s="29" t="str">
        <f aca="false">IFERROR(INDEX('Semrush Data'!$A$1:$Z$20000,MATCH(A2786,'Semrush Data'!$A$1:$A$20000,0),MATCH("CPC*",'Semrush Data'!$A$1:$Z$1,0)),"")</f>
        <v/>
      </c>
      <c r="J2786" s="6" t="str">
        <f aca="false">IFERROR(INDEX('Semrush Data'!$A$1:$Z$20000,MATCH(A2786,'Semrush Data'!$A$1:$A$20000,0),MATCH("Intent",'Semrush Data'!$A$1:$Z$1,0)),"")</f>
        <v/>
      </c>
    </row>
    <row r="2787" customFormat="false" ht="15" hidden="false" customHeight="true" outlineLevel="0" collapsed="false">
      <c r="A2787" s="6" t="s">
        <v>7472</v>
      </c>
      <c r="B2787" s="6" t="s">
        <v>239</v>
      </c>
      <c r="C2787" s="6" t="n">
        <v>3</v>
      </c>
      <c r="D2787" s="6" t="n">
        <v>28</v>
      </c>
      <c r="E2787" s="6" t="n">
        <v>1</v>
      </c>
      <c r="F2787" s="6" t="s">
        <v>4450</v>
      </c>
      <c r="G2787" s="28" t="str">
        <f aca="false">IFERROR(INDEX('Semrush Data'!$A$1:$Z$20000,MATCH(A2787,'Semrush Data'!$A$1:$A$20000,0),MATCH("Volume",'Semrush Data'!$A$1:$Z$1,0)),"")</f>
        <v/>
      </c>
      <c r="H2787" s="6" t="str">
        <f aca="false">IFERROR(INDEX('Semrush Data'!$A$1:$Z$20000,MATCH(A2787,'Semrush Data'!$A$1:$A$20000,0),MATCH("Keyword Difficulty*",'Semrush Data'!$A$1:$Z$1,0)),"")</f>
        <v/>
      </c>
      <c r="I2787" s="29" t="str">
        <f aca="false">IFERROR(INDEX('Semrush Data'!$A$1:$Z$20000,MATCH(A2787,'Semrush Data'!$A$1:$A$20000,0),MATCH("CPC*",'Semrush Data'!$A$1:$Z$1,0)),"")</f>
        <v/>
      </c>
      <c r="J2787" s="6" t="str">
        <f aca="false">IFERROR(INDEX('Semrush Data'!$A$1:$Z$20000,MATCH(A2787,'Semrush Data'!$A$1:$A$20000,0),MATCH("Intent",'Semrush Data'!$A$1:$Z$1,0)),"")</f>
        <v/>
      </c>
    </row>
    <row r="2788" customFormat="false" ht="15" hidden="false" customHeight="true" outlineLevel="0" collapsed="false">
      <c r="A2788" s="6" t="s">
        <v>7473</v>
      </c>
      <c r="B2788" s="6" t="s">
        <v>239</v>
      </c>
      <c r="C2788" s="6" t="n">
        <v>3</v>
      </c>
      <c r="D2788" s="6" t="n">
        <v>28</v>
      </c>
      <c r="E2788" s="6" t="n">
        <v>1</v>
      </c>
      <c r="F2788" s="6" t="s">
        <v>4450</v>
      </c>
      <c r="G2788" s="28" t="str">
        <f aca="false">IFERROR(INDEX('Semrush Data'!$A$1:$Z$20000,MATCH(A2788,'Semrush Data'!$A$1:$A$20000,0),MATCH("Volume",'Semrush Data'!$A$1:$Z$1,0)),"")</f>
        <v/>
      </c>
      <c r="H2788" s="6" t="str">
        <f aca="false">IFERROR(INDEX('Semrush Data'!$A$1:$Z$20000,MATCH(A2788,'Semrush Data'!$A$1:$A$20000,0),MATCH("Keyword Difficulty*",'Semrush Data'!$A$1:$Z$1,0)),"")</f>
        <v/>
      </c>
      <c r="I2788" s="29" t="str">
        <f aca="false">IFERROR(INDEX('Semrush Data'!$A$1:$Z$20000,MATCH(A2788,'Semrush Data'!$A$1:$A$20000,0),MATCH("CPC*",'Semrush Data'!$A$1:$Z$1,0)),"")</f>
        <v/>
      </c>
      <c r="J2788" s="6" t="str">
        <f aca="false">IFERROR(INDEX('Semrush Data'!$A$1:$Z$20000,MATCH(A2788,'Semrush Data'!$A$1:$A$20000,0),MATCH("Intent",'Semrush Data'!$A$1:$Z$1,0)),"")</f>
        <v/>
      </c>
    </row>
    <row r="2789" customFormat="false" ht="15" hidden="false" customHeight="true" outlineLevel="0" collapsed="false">
      <c r="A2789" s="6" t="s">
        <v>7474</v>
      </c>
      <c r="B2789" s="6" t="s">
        <v>239</v>
      </c>
      <c r="C2789" s="6" t="n">
        <v>3</v>
      </c>
      <c r="D2789" s="6" t="n">
        <v>28</v>
      </c>
      <c r="E2789" s="6" t="n">
        <v>1</v>
      </c>
      <c r="F2789" s="6" t="s">
        <v>4637</v>
      </c>
      <c r="G2789" s="28" t="str">
        <f aca="false">IFERROR(INDEX('Semrush Data'!$A$1:$Z$20000,MATCH(A2789,'Semrush Data'!$A$1:$A$20000,0),MATCH("Volume",'Semrush Data'!$A$1:$Z$1,0)),"")</f>
        <v/>
      </c>
      <c r="H2789" s="6" t="str">
        <f aca="false">IFERROR(INDEX('Semrush Data'!$A$1:$Z$20000,MATCH(A2789,'Semrush Data'!$A$1:$A$20000,0),MATCH("Keyword Difficulty*",'Semrush Data'!$A$1:$Z$1,0)),"")</f>
        <v/>
      </c>
      <c r="I2789" s="29" t="str">
        <f aca="false">IFERROR(INDEX('Semrush Data'!$A$1:$Z$20000,MATCH(A2789,'Semrush Data'!$A$1:$A$20000,0),MATCH("CPC*",'Semrush Data'!$A$1:$Z$1,0)),"")</f>
        <v/>
      </c>
      <c r="J2789" s="6" t="str">
        <f aca="false">IFERROR(INDEX('Semrush Data'!$A$1:$Z$20000,MATCH(A2789,'Semrush Data'!$A$1:$A$20000,0),MATCH("Intent",'Semrush Data'!$A$1:$Z$1,0)),"")</f>
        <v/>
      </c>
    </row>
    <row r="2790" customFormat="false" ht="15" hidden="false" customHeight="true" outlineLevel="0" collapsed="false">
      <c r="A2790" s="6" t="s">
        <v>7475</v>
      </c>
      <c r="B2790" s="6" t="s">
        <v>239</v>
      </c>
      <c r="C2790" s="6" t="n">
        <v>3</v>
      </c>
      <c r="D2790" s="6" t="n">
        <v>28</v>
      </c>
      <c r="E2790" s="6" t="n">
        <v>1</v>
      </c>
      <c r="F2790" s="6" t="s">
        <v>4637</v>
      </c>
      <c r="G2790" s="28" t="str">
        <f aca="false">IFERROR(INDEX('Semrush Data'!$A$1:$Z$20000,MATCH(A2790,'Semrush Data'!$A$1:$A$20000,0),MATCH("Volume",'Semrush Data'!$A$1:$Z$1,0)),"")</f>
        <v/>
      </c>
      <c r="H2790" s="6" t="str">
        <f aca="false">IFERROR(INDEX('Semrush Data'!$A$1:$Z$20000,MATCH(A2790,'Semrush Data'!$A$1:$A$20000,0),MATCH("Keyword Difficulty*",'Semrush Data'!$A$1:$Z$1,0)),"")</f>
        <v/>
      </c>
      <c r="I2790" s="29" t="str">
        <f aca="false">IFERROR(INDEX('Semrush Data'!$A$1:$Z$20000,MATCH(A2790,'Semrush Data'!$A$1:$A$20000,0),MATCH("CPC*",'Semrush Data'!$A$1:$Z$1,0)),"")</f>
        <v/>
      </c>
      <c r="J2790" s="6" t="str">
        <f aca="false">IFERROR(INDEX('Semrush Data'!$A$1:$Z$20000,MATCH(A2790,'Semrush Data'!$A$1:$A$20000,0),MATCH("Intent",'Semrush Data'!$A$1:$Z$1,0)),"")</f>
        <v/>
      </c>
    </row>
    <row r="2791" customFormat="false" ht="15" hidden="false" customHeight="true" outlineLevel="0" collapsed="false">
      <c r="A2791" s="6" t="s">
        <v>7476</v>
      </c>
      <c r="B2791" s="6" t="s">
        <v>239</v>
      </c>
      <c r="C2791" s="6" t="n">
        <v>3</v>
      </c>
      <c r="D2791" s="6" t="n">
        <v>28</v>
      </c>
      <c r="E2791" s="6" t="n">
        <v>1</v>
      </c>
      <c r="F2791" s="6" t="s">
        <v>4637</v>
      </c>
      <c r="G2791" s="28" t="str">
        <f aca="false">IFERROR(INDEX('Semrush Data'!$A$1:$Z$20000,MATCH(A2791,'Semrush Data'!$A$1:$A$20000,0),MATCH("Volume",'Semrush Data'!$A$1:$Z$1,0)),"")</f>
        <v/>
      </c>
      <c r="H2791" s="6" t="str">
        <f aca="false">IFERROR(INDEX('Semrush Data'!$A$1:$Z$20000,MATCH(A2791,'Semrush Data'!$A$1:$A$20000,0),MATCH("Keyword Difficulty*",'Semrush Data'!$A$1:$Z$1,0)),"")</f>
        <v/>
      </c>
      <c r="I2791" s="29" t="str">
        <f aca="false">IFERROR(INDEX('Semrush Data'!$A$1:$Z$20000,MATCH(A2791,'Semrush Data'!$A$1:$A$20000,0),MATCH("CPC*",'Semrush Data'!$A$1:$Z$1,0)),"")</f>
        <v/>
      </c>
      <c r="J2791" s="6" t="str">
        <f aca="false">IFERROR(INDEX('Semrush Data'!$A$1:$Z$20000,MATCH(A2791,'Semrush Data'!$A$1:$A$20000,0),MATCH("Intent",'Semrush Data'!$A$1:$Z$1,0)),"")</f>
        <v/>
      </c>
    </row>
    <row r="2792" customFormat="false" ht="15" hidden="false" customHeight="true" outlineLevel="0" collapsed="false">
      <c r="A2792" s="6" t="s">
        <v>7477</v>
      </c>
      <c r="B2792" s="6" t="s">
        <v>239</v>
      </c>
      <c r="C2792" s="6" t="n">
        <v>3</v>
      </c>
      <c r="D2792" s="6" t="n">
        <v>28</v>
      </c>
      <c r="E2792" s="6" t="n">
        <v>1</v>
      </c>
      <c r="F2792" s="6" t="s">
        <v>115</v>
      </c>
      <c r="G2792" s="28" t="str">
        <f aca="false">IFERROR(INDEX('Semrush Data'!$A$1:$Z$20000,MATCH(A2792,'Semrush Data'!$A$1:$A$20000,0),MATCH("Volume",'Semrush Data'!$A$1:$Z$1,0)),"")</f>
        <v/>
      </c>
      <c r="H2792" s="6" t="str">
        <f aca="false">IFERROR(INDEX('Semrush Data'!$A$1:$Z$20000,MATCH(A2792,'Semrush Data'!$A$1:$A$20000,0),MATCH("Keyword Difficulty*",'Semrush Data'!$A$1:$Z$1,0)),"")</f>
        <v/>
      </c>
      <c r="I2792" s="29" t="str">
        <f aca="false">IFERROR(INDEX('Semrush Data'!$A$1:$Z$20000,MATCH(A2792,'Semrush Data'!$A$1:$A$20000,0),MATCH("CPC*",'Semrush Data'!$A$1:$Z$1,0)),"")</f>
        <v/>
      </c>
      <c r="J2792" s="6" t="str">
        <f aca="false">IFERROR(INDEX('Semrush Data'!$A$1:$Z$20000,MATCH(A2792,'Semrush Data'!$A$1:$A$20000,0),MATCH("Intent",'Semrush Data'!$A$1:$Z$1,0)),"")</f>
        <v/>
      </c>
    </row>
    <row r="2793" customFormat="false" ht="15" hidden="false" customHeight="true" outlineLevel="0" collapsed="false">
      <c r="A2793" s="6" t="s">
        <v>7478</v>
      </c>
      <c r="B2793" s="6" t="s">
        <v>239</v>
      </c>
      <c r="C2793" s="6" t="n">
        <v>3</v>
      </c>
      <c r="D2793" s="6" t="n">
        <v>28</v>
      </c>
      <c r="E2793" s="6" t="n">
        <v>1</v>
      </c>
      <c r="F2793" s="6" t="s">
        <v>115</v>
      </c>
      <c r="G2793" s="28" t="str">
        <f aca="false">IFERROR(INDEX('Semrush Data'!$A$1:$Z$20000,MATCH(A2793,'Semrush Data'!$A$1:$A$20000,0),MATCH("Volume",'Semrush Data'!$A$1:$Z$1,0)),"")</f>
        <v/>
      </c>
      <c r="H2793" s="6" t="str">
        <f aca="false">IFERROR(INDEX('Semrush Data'!$A$1:$Z$20000,MATCH(A2793,'Semrush Data'!$A$1:$A$20000,0),MATCH("Keyword Difficulty*",'Semrush Data'!$A$1:$Z$1,0)),"")</f>
        <v/>
      </c>
      <c r="I2793" s="29" t="str">
        <f aca="false">IFERROR(INDEX('Semrush Data'!$A$1:$Z$20000,MATCH(A2793,'Semrush Data'!$A$1:$A$20000,0),MATCH("CPC*",'Semrush Data'!$A$1:$Z$1,0)),"")</f>
        <v/>
      </c>
      <c r="J2793" s="6" t="str">
        <f aca="false">IFERROR(INDEX('Semrush Data'!$A$1:$Z$20000,MATCH(A2793,'Semrush Data'!$A$1:$A$20000,0),MATCH("Intent",'Semrush Data'!$A$1:$Z$1,0)),"")</f>
        <v/>
      </c>
    </row>
    <row r="2794" customFormat="false" ht="15" hidden="false" customHeight="true" outlineLevel="0" collapsed="false">
      <c r="A2794" s="6" t="s">
        <v>7479</v>
      </c>
      <c r="B2794" s="6" t="s">
        <v>239</v>
      </c>
      <c r="C2794" s="6" t="n">
        <v>3</v>
      </c>
      <c r="D2794" s="6" t="n">
        <v>28</v>
      </c>
      <c r="E2794" s="6" t="n">
        <v>1</v>
      </c>
      <c r="F2794" s="6" t="s">
        <v>115</v>
      </c>
      <c r="G2794" s="28" t="str">
        <f aca="false">IFERROR(INDEX('Semrush Data'!$A$1:$Z$20000,MATCH(A2794,'Semrush Data'!$A$1:$A$20000,0),MATCH("Volume",'Semrush Data'!$A$1:$Z$1,0)),"")</f>
        <v/>
      </c>
      <c r="H2794" s="6" t="str">
        <f aca="false">IFERROR(INDEX('Semrush Data'!$A$1:$Z$20000,MATCH(A2794,'Semrush Data'!$A$1:$A$20000,0),MATCH("Keyword Difficulty*",'Semrush Data'!$A$1:$Z$1,0)),"")</f>
        <v/>
      </c>
      <c r="I2794" s="29" t="str">
        <f aca="false">IFERROR(INDEX('Semrush Data'!$A$1:$Z$20000,MATCH(A2794,'Semrush Data'!$A$1:$A$20000,0),MATCH("CPC*",'Semrush Data'!$A$1:$Z$1,0)),"")</f>
        <v/>
      </c>
      <c r="J2794" s="6" t="str">
        <f aca="false">IFERROR(INDEX('Semrush Data'!$A$1:$Z$20000,MATCH(A2794,'Semrush Data'!$A$1:$A$20000,0),MATCH("Intent",'Semrush Data'!$A$1:$Z$1,0)),"")</f>
        <v/>
      </c>
    </row>
    <row r="2795" customFormat="false" ht="15" hidden="false" customHeight="true" outlineLevel="0" collapsed="false">
      <c r="A2795" s="6" t="s">
        <v>7480</v>
      </c>
      <c r="B2795" s="6" t="s">
        <v>239</v>
      </c>
      <c r="C2795" s="6" t="n">
        <v>3</v>
      </c>
      <c r="D2795" s="6" t="n">
        <v>28</v>
      </c>
      <c r="E2795" s="6" t="n">
        <v>1</v>
      </c>
      <c r="F2795" s="6" t="s">
        <v>115</v>
      </c>
      <c r="G2795" s="28" t="str">
        <f aca="false">IFERROR(INDEX('Semrush Data'!$A$1:$Z$20000,MATCH(A2795,'Semrush Data'!$A$1:$A$20000,0),MATCH("Volume",'Semrush Data'!$A$1:$Z$1,0)),"")</f>
        <v/>
      </c>
      <c r="H2795" s="6" t="str">
        <f aca="false">IFERROR(INDEX('Semrush Data'!$A$1:$Z$20000,MATCH(A2795,'Semrush Data'!$A$1:$A$20000,0),MATCH("Keyword Difficulty*",'Semrush Data'!$A$1:$Z$1,0)),"")</f>
        <v/>
      </c>
      <c r="I2795" s="29" t="str">
        <f aca="false">IFERROR(INDEX('Semrush Data'!$A$1:$Z$20000,MATCH(A2795,'Semrush Data'!$A$1:$A$20000,0),MATCH("CPC*",'Semrush Data'!$A$1:$Z$1,0)),"")</f>
        <v/>
      </c>
      <c r="J2795" s="6" t="str">
        <f aca="false">IFERROR(INDEX('Semrush Data'!$A$1:$Z$20000,MATCH(A2795,'Semrush Data'!$A$1:$A$20000,0),MATCH("Intent",'Semrush Data'!$A$1:$Z$1,0)),"")</f>
        <v/>
      </c>
    </row>
    <row r="2796" customFormat="false" ht="15" hidden="false" customHeight="true" outlineLevel="0" collapsed="false">
      <c r="A2796" s="6" t="s">
        <v>7481</v>
      </c>
      <c r="B2796" s="6" t="s">
        <v>239</v>
      </c>
      <c r="C2796" s="6" t="n">
        <v>3</v>
      </c>
      <c r="D2796" s="6" t="s">
        <v>6870</v>
      </c>
      <c r="E2796" s="6" t="n">
        <v>1</v>
      </c>
      <c r="F2796" s="6" t="s">
        <v>115</v>
      </c>
      <c r="G2796" s="28" t="n">
        <f aca="false">IFERROR(INDEX('Semrush Data'!$A$1:$Z$20000,MATCH(A2796,'Semrush Data'!$A$1:$A$20000,0),MATCH("Volume",'Semrush Data'!$A$1:$Z$1,0)),"")</f>
        <v>20</v>
      </c>
      <c r="H2796" s="6" t="n">
        <f aca="false">IFERROR(INDEX('Semrush Data'!$A$1:$Z$20000,MATCH(A2796,'Semrush Data'!$A$1:$A$20000,0),MATCH("Keyword Difficulty*",'Semrush Data'!$A$1:$Z$1,0)),"")</f>
        <v>18</v>
      </c>
      <c r="I2796" s="29" t="n">
        <f aca="false">IFERROR(INDEX('Semrush Data'!$A$1:$Z$20000,MATCH(A2796,'Semrush Data'!$A$1:$A$20000,0),MATCH("CPC*",'Semrush Data'!$A$1:$Z$1,0)),"")</f>
        <v>0</v>
      </c>
      <c r="J2796" s="6" t="str">
        <f aca="false">IFERROR(INDEX('Semrush Data'!$A$1:$Z$20000,MATCH(A2796,'Semrush Data'!$A$1:$A$20000,0),MATCH("Intent",'Semrush Data'!$A$1:$Z$1,0)),"")</f>
        <v>Informational</v>
      </c>
    </row>
    <row r="2797" customFormat="false" ht="15" hidden="false" customHeight="true" outlineLevel="0" collapsed="false">
      <c r="A2797" s="6" t="s">
        <v>254</v>
      </c>
      <c r="B2797" s="6" t="s">
        <v>239</v>
      </c>
      <c r="C2797" s="6" t="n">
        <v>3</v>
      </c>
      <c r="D2797" s="6" t="s">
        <v>6870</v>
      </c>
      <c r="E2797" s="6" t="n">
        <v>1</v>
      </c>
      <c r="F2797" s="6" t="s">
        <v>115</v>
      </c>
      <c r="G2797" s="28" t="n">
        <f aca="false">IFERROR(INDEX('Semrush Data'!$A$1:$Z$20000,MATCH(A2797,'Semrush Data'!$A$1:$A$20000,0),MATCH("Volume",'Semrush Data'!$A$1:$Z$1,0)),"")</f>
        <v>260</v>
      </c>
      <c r="H2797" s="6" t="n">
        <f aca="false">IFERROR(INDEX('Semrush Data'!$A$1:$Z$20000,MATCH(A2797,'Semrush Data'!$A$1:$A$20000,0),MATCH("Keyword Difficulty*",'Semrush Data'!$A$1:$Z$1,0)),"")</f>
        <v>22</v>
      </c>
      <c r="I2797" s="29" t="n">
        <f aca="false">IFERROR(INDEX('Semrush Data'!$A$1:$Z$20000,MATCH(A2797,'Semrush Data'!$A$1:$A$20000,0),MATCH("CPC*",'Semrush Data'!$A$1:$Z$1,0)),"")</f>
        <v>0.45</v>
      </c>
      <c r="J2797" s="6" t="str">
        <f aca="false">IFERROR(INDEX('Semrush Data'!$A$1:$Z$20000,MATCH(A2797,'Semrush Data'!$A$1:$A$20000,0),MATCH("Intent",'Semrush Data'!$A$1:$Z$1,0)),"")</f>
        <v>Informational</v>
      </c>
    </row>
    <row r="2798" customFormat="false" ht="15" hidden="false" customHeight="true" outlineLevel="0" collapsed="false">
      <c r="A2798" s="6" t="s">
        <v>7482</v>
      </c>
      <c r="B2798" s="6" t="s">
        <v>239</v>
      </c>
      <c r="C2798" s="6" t="n">
        <v>3</v>
      </c>
      <c r="D2798" s="6" t="n">
        <v>28</v>
      </c>
      <c r="E2798" s="6" t="n">
        <v>1</v>
      </c>
      <c r="F2798" s="6" t="s">
        <v>4661</v>
      </c>
      <c r="G2798" s="28" t="str">
        <f aca="false">IFERROR(INDEX('Semrush Data'!$A$1:$Z$20000,MATCH(A2798,'Semrush Data'!$A$1:$A$20000,0),MATCH("Volume",'Semrush Data'!$A$1:$Z$1,0)),"")</f>
        <v/>
      </c>
      <c r="H2798" s="6" t="str">
        <f aca="false">IFERROR(INDEX('Semrush Data'!$A$1:$Z$20000,MATCH(A2798,'Semrush Data'!$A$1:$A$20000,0),MATCH("Keyword Difficulty*",'Semrush Data'!$A$1:$Z$1,0)),"")</f>
        <v/>
      </c>
      <c r="I2798" s="29" t="str">
        <f aca="false">IFERROR(INDEX('Semrush Data'!$A$1:$Z$20000,MATCH(A2798,'Semrush Data'!$A$1:$A$20000,0),MATCH("CPC*",'Semrush Data'!$A$1:$Z$1,0)),"")</f>
        <v/>
      </c>
      <c r="J2798" s="6" t="str">
        <f aca="false">IFERROR(INDEX('Semrush Data'!$A$1:$Z$20000,MATCH(A2798,'Semrush Data'!$A$1:$A$20000,0),MATCH("Intent",'Semrush Data'!$A$1:$Z$1,0)),"")</f>
        <v/>
      </c>
    </row>
    <row r="2799" customFormat="false" ht="15" hidden="false" customHeight="true" outlineLevel="0" collapsed="false">
      <c r="A2799" s="6" t="s">
        <v>7483</v>
      </c>
      <c r="B2799" s="6" t="s">
        <v>239</v>
      </c>
      <c r="C2799" s="6" t="n">
        <v>3</v>
      </c>
      <c r="D2799" s="6" t="n">
        <v>28</v>
      </c>
      <c r="E2799" s="6" t="n">
        <v>1</v>
      </c>
      <c r="F2799" s="6" t="s">
        <v>4661</v>
      </c>
      <c r="G2799" s="28" t="str">
        <f aca="false">IFERROR(INDEX('Semrush Data'!$A$1:$Z$20000,MATCH(A2799,'Semrush Data'!$A$1:$A$20000,0),MATCH("Volume",'Semrush Data'!$A$1:$Z$1,0)),"")</f>
        <v/>
      </c>
      <c r="H2799" s="6" t="str">
        <f aca="false">IFERROR(INDEX('Semrush Data'!$A$1:$Z$20000,MATCH(A2799,'Semrush Data'!$A$1:$A$20000,0),MATCH("Keyword Difficulty*",'Semrush Data'!$A$1:$Z$1,0)),"")</f>
        <v/>
      </c>
      <c r="I2799" s="29" t="str">
        <f aca="false">IFERROR(INDEX('Semrush Data'!$A$1:$Z$20000,MATCH(A2799,'Semrush Data'!$A$1:$A$20000,0),MATCH("CPC*",'Semrush Data'!$A$1:$Z$1,0)),"")</f>
        <v/>
      </c>
      <c r="J2799" s="6" t="str">
        <f aca="false">IFERROR(INDEX('Semrush Data'!$A$1:$Z$20000,MATCH(A2799,'Semrush Data'!$A$1:$A$20000,0),MATCH("Intent",'Semrush Data'!$A$1:$Z$1,0)),"")</f>
        <v/>
      </c>
    </row>
    <row r="2800" customFormat="false" ht="15" hidden="false" customHeight="true" outlineLevel="0" collapsed="false">
      <c r="A2800" s="6" t="s">
        <v>7484</v>
      </c>
      <c r="B2800" s="6" t="s">
        <v>239</v>
      </c>
      <c r="C2800" s="6" t="n">
        <v>3</v>
      </c>
      <c r="D2800" s="6" t="n">
        <v>28</v>
      </c>
      <c r="E2800" s="6" t="n">
        <v>1</v>
      </c>
      <c r="F2800" s="6" t="s">
        <v>4661</v>
      </c>
      <c r="G2800" s="28" t="str">
        <f aca="false">IFERROR(INDEX('Semrush Data'!$A$1:$Z$20000,MATCH(A2800,'Semrush Data'!$A$1:$A$20000,0),MATCH("Volume",'Semrush Data'!$A$1:$Z$1,0)),"")</f>
        <v/>
      </c>
      <c r="H2800" s="6" t="str">
        <f aca="false">IFERROR(INDEX('Semrush Data'!$A$1:$Z$20000,MATCH(A2800,'Semrush Data'!$A$1:$A$20000,0),MATCH("Keyword Difficulty*",'Semrush Data'!$A$1:$Z$1,0)),"")</f>
        <v/>
      </c>
      <c r="I2800" s="29" t="str">
        <f aca="false">IFERROR(INDEX('Semrush Data'!$A$1:$Z$20000,MATCH(A2800,'Semrush Data'!$A$1:$A$20000,0),MATCH("CPC*",'Semrush Data'!$A$1:$Z$1,0)),"")</f>
        <v/>
      </c>
      <c r="J2800" s="6" t="str">
        <f aca="false">IFERROR(INDEX('Semrush Data'!$A$1:$Z$20000,MATCH(A2800,'Semrush Data'!$A$1:$A$20000,0),MATCH("Intent",'Semrush Data'!$A$1:$Z$1,0)),"")</f>
        <v/>
      </c>
    </row>
    <row r="2801" customFormat="false" ht="15" hidden="false" customHeight="true" outlineLevel="0" collapsed="false">
      <c r="A2801" s="6" t="s">
        <v>7485</v>
      </c>
      <c r="B2801" s="6" t="s">
        <v>239</v>
      </c>
      <c r="C2801" s="6" t="n">
        <v>3</v>
      </c>
      <c r="D2801" s="6" t="n">
        <v>28</v>
      </c>
      <c r="E2801" s="6" t="n">
        <v>1</v>
      </c>
      <c r="F2801" s="6" t="s">
        <v>4661</v>
      </c>
      <c r="G2801" s="28" t="str">
        <f aca="false">IFERROR(INDEX('Semrush Data'!$A$1:$Z$20000,MATCH(A2801,'Semrush Data'!$A$1:$A$20000,0),MATCH("Volume",'Semrush Data'!$A$1:$Z$1,0)),"")</f>
        <v/>
      </c>
      <c r="H2801" s="6" t="str">
        <f aca="false">IFERROR(INDEX('Semrush Data'!$A$1:$Z$20000,MATCH(A2801,'Semrush Data'!$A$1:$A$20000,0),MATCH("Keyword Difficulty*",'Semrush Data'!$A$1:$Z$1,0)),"")</f>
        <v/>
      </c>
      <c r="I2801" s="29" t="str">
        <f aca="false">IFERROR(INDEX('Semrush Data'!$A$1:$Z$20000,MATCH(A2801,'Semrush Data'!$A$1:$A$20000,0),MATCH("CPC*",'Semrush Data'!$A$1:$Z$1,0)),"")</f>
        <v/>
      </c>
      <c r="J2801" s="6" t="str">
        <f aca="false">IFERROR(INDEX('Semrush Data'!$A$1:$Z$20000,MATCH(A2801,'Semrush Data'!$A$1:$A$20000,0),MATCH("Intent",'Semrush Data'!$A$1:$Z$1,0)),"")</f>
        <v/>
      </c>
    </row>
    <row r="2802" customFormat="false" ht="15" hidden="false" customHeight="true" outlineLevel="0" collapsed="false">
      <c r="A2802" s="6" t="s">
        <v>7486</v>
      </c>
      <c r="B2802" s="6" t="s">
        <v>239</v>
      </c>
      <c r="C2802" s="6" t="n">
        <v>3</v>
      </c>
      <c r="D2802" s="6" t="n">
        <v>29</v>
      </c>
      <c r="E2802" s="6" t="n">
        <v>1</v>
      </c>
      <c r="F2802" s="6" t="s">
        <v>4661</v>
      </c>
      <c r="G2802" s="28" t="str">
        <f aca="false">IFERROR(INDEX('Semrush Data'!$A$1:$Z$20000,MATCH(A2802,'Semrush Data'!$A$1:$A$20000,0),MATCH("Volume",'Semrush Data'!$A$1:$Z$1,0)),"")</f>
        <v/>
      </c>
      <c r="H2802" s="6" t="str">
        <f aca="false">IFERROR(INDEX('Semrush Data'!$A$1:$Z$20000,MATCH(A2802,'Semrush Data'!$A$1:$A$20000,0),MATCH("Keyword Difficulty*",'Semrush Data'!$A$1:$Z$1,0)),"")</f>
        <v/>
      </c>
      <c r="I2802" s="29" t="str">
        <f aca="false">IFERROR(INDEX('Semrush Data'!$A$1:$Z$20000,MATCH(A2802,'Semrush Data'!$A$1:$A$20000,0),MATCH("CPC*",'Semrush Data'!$A$1:$Z$1,0)),"")</f>
        <v/>
      </c>
      <c r="J2802" s="6" t="str">
        <f aca="false">IFERROR(INDEX('Semrush Data'!$A$1:$Z$20000,MATCH(A2802,'Semrush Data'!$A$1:$A$20000,0),MATCH("Intent",'Semrush Data'!$A$1:$Z$1,0)),"")</f>
        <v/>
      </c>
    </row>
    <row r="2803" customFormat="false" ht="15" hidden="false" customHeight="true" outlineLevel="0" collapsed="false">
      <c r="A2803" s="6" t="s">
        <v>7487</v>
      </c>
      <c r="B2803" s="6" t="s">
        <v>239</v>
      </c>
      <c r="C2803" s="6" t="n">
        <v>3</v>
      </c>
      <c r="D2803" s="6" t="n">
        <v>29</v>
      </c>
      <c r="E2803" s="6" t="n">
        <v>1</v>
      </c>
      <c r="F2803" s="6" t="s">
        <v>4661</v>
      </c>
      <c r="G2803" s="28" t="str">
        <f aca="false">IFERROR(INDEX('Semrush Data'!$A$1:$Z$20000,MATCH(A2803,'Semrush Data'!$A$1:$A$20000,0),MATCH("Volume",'Semrush Data'!$A$1:$Z$1,0)),"")</f>
        <v/>
      </c>
      <c r="H2803" s="6" t="str">
        <f aca="false">IFERROR(INDEX('Semrush Data'!$A$1:$Z$20000,MATCH(A2803,'Semrush Data'!$A$1:$A$20000,0),MATCH("Keyword Difficulty*",'Semrush Data'!$A$1:$Z$1,0)),"")</f>
        <v/>
      </c>
      <c r="I2803" s="29" t="str">
        <f aca="false">IFERROR(INDEX('Semrush Data'!$A$1:$Z$20000,MATCH(A2803,'Semrush Data'!$A$1:$A$20000,0),MATCH("CPC*",'Semrush Data'!$A$1:$Z$1,0)),"")</f>
        <v/>
      </c>
      <c r="J2803" s="6" t="str">
        <f aca="false">IFERROR(INDEX('Semrush Data'!$A$1:$Z$20000,MATCH(A2803,'Semrush Data'!$A$1:$A$20000,0),MATCH("Intent",'Semrush Data'!$A$1:$Z$1,0)),"")</f>
        <v/>
      </c>
    </row>
    <row r="2804" customFormat="false" ht="15" hidden="false" customHeight="true" outlineLevel="0" collapsed="false">
      <c r="A2804" s="6" t="s">
        <v>7488</v>
      </c>
      <c r="B2804" s="6" t="s">
        <v>239</v>
      </c>
      <c r="C2804" s="6" t="n">
        <v>3</v>
      </c>
      <c r="D2804" s="6" t="n">
        <v>29</v>
      </c>
      <c r="E2804" s="6" t="n">
        <v>1</v>
      </c>
      <c r="F2804" s="6" t="s">
        <v>4798</v>
      </c>
      <c r="G2804" s="28" t="str">
        <f aca="false">IFERROR(INDEX('Semrush Data'!$A$1:$Z$20000,MATCH(A2804,'Semrush Data'!$A$1:$A$20000,0),MATCH("Volume",'Semrush Data'!$A$1:$Z$1,0)),"")</f>
        <v/>
      </c>
      <c r="H2804" s="6" t="str">
        <f aca="false">IFERROR(INDEX('Semrush Data'!$A$1:$Z$20000,MATCH(A2804,'Semrush Data'!$A$1:$A$20000,0),MATCH("Keyword Difficulty*",'Semrush Data'!$A$1:$Z$1,0)),"")</f>
        <v/>
      </c>
      <c r="I2804" s="29" t="str">
        <f aca="false">IFERROR(INDEX('Semrush Data'!$A$1:$Z$20000,MATCH(A2804,'Semrush Data'!$A$1:$A$20000,0),MATCH("CPC*",'Semrush Data'!$A$1:$Z$1,0)),"")</f>
        <v/>
      </c>
      <c r="J2804" s="6" t="str">
        <f aca="false">IFERROR(INDEX('Semrush Data'!$A$1:$Z$20000,MATCH(A2804,'Semrush Data'!$A$1:$A$20000,0),MATCH("Intent",'Semrush Data'!$A$1:$Z$1,0)),"")</f>
        <v/>
      </c>
    </row>
    <row r="2805" customFormat="false" ht="15" hidden="false" customHeight="true" outlineLevel="0" collapsed="false">
      <c r="A2805" s="6" t="s">
        <v>7489</v>
      </c>
      <c r="B2805" s="6" t="s">
        <v>239</v>
      </c>
      <c r="C2805" s="6" t="n">
        <v>3</v>
      </c>
      <c r="D2805" s="6" t="n">
        <v>29</v>
      </c>
      <c r="E2805" s="6" t="n">
        <v>1</v>
      </c>
      <c r="F2805" s="6" t="s">
        <v>4746</v>
      </c>
      <c r="G2805" s="28" t="str">
        <f aca="false">IFERROR(INDEX('Semrush Data'!$A$1:$Z$20000,MATCH(A2805,'Semrush Data'!$A$1:$A$20000,0),MATCH("Volume",'Semrush Data'!$A$1:$Z$1,0)),"")</f>
        <v/>
      </c>
      <c r="H2805" s="6" t="str">
        <f aca="false">IFERROR(INDEX('Semrush Data'!$A$1:$Z$20000,MATCH(A2805,'Semrush Data'!$A$1:$A$20000,0),MATCH("Keyword Difficulty*",'Semrush Data'!$A$1:$Z$1,0)),"")</f>
        <v/>
      </c>
      <c r="I2805" s="29" t="str">
        <f aca="false">IFERROR(INDEX('Semrush Data'!$A$1:$Z$20000,MATCH(A2805,'Semrush Data'!$A$1:$A$20000,0),MATCH("CPC*",'Semrush Data'!$A$1:$Z$1,0)),"")</f>
        <v/>
      </c>
      <c r="J2805" s="6" t="str">
        <f aca="false">IFERROR(INDEX('Semrush Data'!$A$1:$Z$20000,MATCH(A2805,'Semrush Data'!$A$1:$A$20000,0),MATCH("Intent",'Semrush Data'!$A$1:$Z$1,0)),"")</f>
        <v/>
      </c>
    </row>
    <row r="2806" customFormat="false" ht="15" hidden="false" customHeight="true" outlineLevel="0" collapsed="false">
      <c r="A2806" s="6" t="s">
        <v>7490</v>
      </c>
      <c r="B2806" s="6" t="s">
        <v>239</v>
      </c>
      <c r="C2806" s="6" t="n">
        <v>3</v>
      </c>
      <c r="D2806" s="6" t="n">
        <v>29</v>
      </c>
      <c r="E2806" s="6" t="n">
        <v>1</v>
      </c>
      <c r="F2806" s="6" t="s">
        <v>4746</v>
      </c>
      <c r="G2806" s="28" t="str">
        <f aca="false">IFERROR(INDEX('Semrush Data'!$A$1:$Z$20000,MATCH(A2806,'Semrush Data'!$A$1:$A$20000,0),MATCH("Volume",'Semrush Data'!$A$1:$Z$1,0)),"")</f>
        <v/>
      </c>
      <c r="H2806" s="6" t="str">
        <f aca="false">IFERROR(INDEX('Semrush Data'!$A$1:$Z$20000,MATCH(A2806,'Semrush Data'!$A$1:$A$20000,0),MATCH("Keyword Difficulty*",'Semrush Data'!$A$1:$Z$1,0)),"")</f>
        <v/>
      </c>
      <c r="I2806" s="29" t="str">
        <f aca="false">IFERROR(INDEX('Semrush Data'!$A$1:$Z$20000,MATCH(A2806,'Semrush Data'!$A$1:$A$20000,0),MATCH("CPC*",'Semrush Data'!$A$1:$Z$1,0)),"")</f>
        <v/>
      </c>
      <c r="J2806" s="6" t="str">
        <f aca="false">IFERROR(INDEX('Semrush Data'!$A$1:$Z$20000,MATCH(A2806,'Semrush Data'!$A$1:$A$20000,0),MATCH("Intent",'Semrush Data'!$A$1:$Z$1,0)),"")</f>
        <v/>
      </c>
    </row>
    <row r="2807" customFormat="false" ht="15" hidden="false" customHeight="true" outlineLevel="0" collapsed="false">
      <c r="A2807" s="6" t="s">
        <v>7491</v>
      </c>
      <c r="B2807" s="6" t="s">
        <v>239</v>
      </c>
      <c r="C2807" s="6" t="n">
        <v>3</v>
      </c>
      <c r="D2807" s="6" t="n">
        <v>29</v>
      </c>
      <c r="E2807" s="6" t="n">
        <v>1</v>
      </c>
      <c r="F2807" s="6" t="s">
        <v>4746</v>
      </c>
      <c r="G2807" s="28" t="str">
        <f aca="false">IFERROR(INDEX('Semrush Data'!$A$1:$Z$20000,MATCH(A2807,'Semrush Data'!$A$1:$A$20000,0),MATCH("Volume",'Semrush Data'!$A$1:$Z$1,0)),"")</f>
        <v/>
      </c>
      <c r="H2807" s="6" t="str">
        <f aca="false">IFERROR(INDEX('Semrush Data'!$A$1:$Z$20000,MATCH(A2807,'Semrush Data'!$A$1:$A$20000,0),MATCH("Keyword Difficulty*",'Semrush Data'!$A$1:$Z$1,0)),"")</f>
        <v/>
      </c>
      <c r="I2807" s="29" t="str">
        <f aca="false">IFERROR(INDEX('Semrush Data'!$A$1:$Z$20000,MATCH(A2807,'Semrush Data'!$A$1:$A$20000,0),MATCH("CPC*",'Semrush Data'!$A$1:$Z$1,0)),"")</f>
        <v/>
      </c>
      <c r="J2807" s="6" t="str">
        <f aca="false">IFERROR(INDEX('Semrush Data'!$A$1:$Z$20000,MATCH(A2807,'Semrush Data'!$A$1:$A$20000,0),MATCH("Intent",'Semrush Data'!$A$1:$Z$1,0)),"")</f>
        <v/>
      </c>
    </row>
    <row r="2808" customFormat="false" ht="15" hidden="false" customHeight="true" outlineLevel="0" collapsed="false">
      <c r="A2808" s="6" t="s">
        <v>7492</v>
      </c>
      <c r="B2808" s="6" t="s">
        <v>239</v>
      </c>
      <c r="C2808" s="6" t="n">
        <v>3</v>
      </c>
      <c r="D2808" s="6" t="n">
        <v>29</v>
      </c>
      <c r="E2808" s="6" t="n">
        <v>1</v>
      </c>
      <c r="F2808" s="6" t="s">
        <v>4746</v>
      </c>
      <c r="G2808" s="28" t="str">
        <f aca="false">IFERROR(INDEX('Semrush Data'!$A$1:$Z$20000,MATCH(A2808,'Semrush Data'!$A$1:$A$20000,0),MATCH("Volume",'Semrush Data'!$A$1:$Z$1,0)),"")</f>
        <v/>
      </c>
      <c r="H2808" s="6" t="str">
        <f aca="false">IFERROR(INDEX('Semrush Data'!$A$1:$Z$20000,MATCH(A2808,'Semrush Data'!$A$1:$A$20000,0),MATCH("Keyword Difficulty*",'Semrush Data'!$A$1:$Z$1,0)),"")</f>
        <v/>
      </c>
      <c r="I2808" s="29" t="str">
        <f aca="false">IFERROR(INDEX('Semrush Data'!$A$1:$Z$20000,MATCH(A2808,'Semrush Data'!$A$1:$A$20000,0),MATCH("CPC*",'Semrush Data'!$A$1:$Z$1,0)),"")</f>
        <v/>
      </c>
      <c r="J2808" s="6" t="str">
        <f aca="false">IFERROR(INDEX('Semrush Data'!$A$1:$Z$20000,MATCH(A2808,'Semrush Data'!$A$1:$A$20000,0),MATCH("Intent",'Semrush Data'!$A$1:$Z$1,0)),"")</f>
        <v/>
      </c>
    </row>
    <row r="2809" customFormat="false" ht="15" hidden="false" customHeight="true" outlineLevel="0" collapsed="false">
      <c r="A2809" s="6" t="s">
        <v>7493</v>
      </c>
      <c r="B2809" s="6" t="s">
        <v>239</v>
      </c>
      <c r="C2809" s="6" t="n">
        <v>3</v>
      </c>
      <c r="D2809" s="6" t="n">
        <v>29</v>
      </c>
      <c r="E2809" s="6" t="n">
        <v>1</v>
      </c>
      <c r="F2809" s="6" t="s">
        <v>4725</v>
      </c>
      <c r="G2809" s="28" t="str">
        <f aca="false">IFERROR(INDEX('Semrush Data'!$A$1:$Z$20000,MATCH(A2809,'Semrush Data'!$A$1:$A$20000,0),MATCH("Volume",'Semrush Data'!$A$1:$Z$1,0)),"")</f>
        <v/>
      </c>
      <c r="H2809" s="6" t="str">
        <f aca="false">IFERROR(INDEX('Semrush Data'!$A$1:$Z$20000,MATCH(A2809,'Semrush Data'!$A$1:$A$20000,0),MATCH("Keyword Difficulty*",'Semrush Data'!$A$1:$Z$1,0)),"")</f>
        <v/>
      </c>
      <c r="I2809" s="29" t="str">
        <f aca="false">IFERROR(INDEX('Semrush Data'!$A$1:$Z$20000,MATCH(A2809,'Semrush Data'!$A$1:$A$20000,0),MATCH("CPC*",'Semrush Data'!$A$1:$Z$1,0)),"")</f>
        <v/>
      </c>
      <c r="J2809" s="6" t="str">
        <f aca="false">IFERROR(INDEX('Semrush Data'!$A$1:$Z$20000,MATCH(A2809,'Semrush Data'!$A$1:$A$20000,0),MATCH("Intent",'Semrush Data'!$A$1:$Z$1,0)),"")</f>
        <v/>
      </c>
    </row>
    <row r="2810" customFormat="false" ht="15" hidden="false" customHeight="true" outlineLevel="0" collapsed="false">
      <c r="A2810" s="6" t="s">
        <v>7494</v>
      </c>
      <c r="B2810" s="6" t="s">
        <v>239</v>
      </c>
      <c r="C2810" s="6" t="n">
        <v>3</v>
      </c>
      <c r="D2810" s="6" t="n">
        <v>29</v>
      </c>
      <c r="E2810" s="6" t="n">
        <v>1</v>
      </c>
      <c r="F2810" s="6" t="s">
        <v>4798</v>
      </c>
      <c r="G2810" s="28" t="str">
        <f aca="false">IFERROR(INDEX('Semrush Data'!$A$1:$Z$20000,MATCH(A2810,'Semrush Data'!$A$1:$A$20000,0),MATCH("Volume",'Semrush Data'!$A$1:$Z$1,0)),"")</f>
        <v/>
      </c>
      <c r="H2810" s="6" t="str">
        <f aca="false">IFERROR(INDEX('Semrush Data'!$A$1:$Z$20000,MATCH(A2810,'Semrush Data'!$A$1:$A$20000,0),MATCH("Keyword Difficulty*",'Semrush Data'!$A$1:$Z$1,0)),"")</f>
        <v/>
      </c>
      <c r="I2810" s="29" t="str">
        <f aca="false">IFERROR(INDEX('Semrush Data'!$A$1:$Z$20000,MATCH(A2810,'Semrush Data'!$A$1:$A$20000,0),MATCH("CPC*",'Semrush Data'!$A$1:$Z$1,0)),"")</f>
        <v/>
      </c>
      <c r="J2810" s="6" t="str">
        <f aca="false">IFERROR(INDEX('Semrush Data'!$A$1:$Z$20000,MATCH(A2810,'Semrush Data'!$A$1:$A$20000,0),MATCH("Intent",'Semrush Data'!$A$1:$Z$1,0)),"")</f>
        <v/>
      </c>
    </row>
    <row r="2811" customFormat="false" ht="15" hidden="false" customHeight="true" outlineLevel="0" collapsed="false">
      <c r="A2811" s="6" t="s">
        <v>7495</v>
      </c>
      <c r="B2811" s="6" t="s">
        <v>239</v>
      </c>
      <c r="C2811" s="6" t="n">
        <v>3</v>
      </c>
      <c r="D2811" s="6" t="n">
        <v>29</v>
      </c>
      <c r="E2811" s="6" t="n">
        <v>1</v>
      </c>
      <c r="F2811" s="6" t="s">
        <v>4725</v>
      </c>
      <c r="G2811" s="28" t="str">
        <f aca="false">IFERROR(INDEX('Semrush Data'!$A$1:$Z$20000,MATCH(A2811,'Semrush Data'!$A$1:$A$20000,0),MATCH("Volume",'Semrush Data'!$A$1:$Z$1,0)),"")</f>
        <v/>
      </c>
      <c r="H2811" s="6" t="str">
        <f aca="false">IFERROR(INDEX('Semrush Data'!$A$1:$Z$20000,MATCH(A2811,'Semrush Data'!$A$1:$A$20000,0),MATCH("Keyword Difficulty*",'Semrush Data'!$A$1:$Z$1,0)),"")</f>
        <v/>
      </c>
      <c r="I2811" s="29" t="str">
        <f aca="false">IFERROR(INDEX('Semrush Data'!$A$1:$Z$20000,MATCH(A2811,'Semrush Data'!$A$1:$A$20000,0),MATCH("CPC*",'Semrush Data'!$A$1:$Z$1,0)),"")</f>
        <v/>
      </c>
      <c r="J2811" s="6" t="str">
        <f aca="false">IFERROR(INDEX('Semrush Data'!$A$1:$Z$20000,MATCH(A2811,'Semrush Data'!$A$1:$A$20000,0),MATCH("Intent",'Semrush Data'!$A$1:$Z$1,0)),"")</f>
        <v/>
      </c>
    </row>
    <row r="2812" customFormat="false" ht="15" hidden="false" customHeight="true" outlineLevel="0" collapsed="false">
      <c r="A2812" s="6" t="s">
        <v>7496</v>
      </c>
      <c r="B2812" s="6" t="s">
        <v>239</v>
      </c>
      <c r="C2812" s="6" t="n">
        <v>3</v>
      </c>
      <c r="D2812" s="6" t="n">
        <v>29</v>
      </c>
      <c r="E2812" s="6" t="n">
        <v>1</v>
      </c>
      <c r="F2812" s="6" t="s">
        <v>4725</v>
      </c>
      <c r="G2812" s="28" t="str">
        <f aca="false">IFERROR(INDEX('Semrush Data'!$A$1:$Z$20000,MATCH(A2812,'Semrush Data'!$A$1:$A$20000,0),MATCH("Volume",'Semrush Data'!$A$1:$Z$1,0)),"")</f>
        <v/>
      </c>
      <c r="H2812" s="6" t="str">
        <f aca="false">IFERROR(INDEX('Semrush Data'!$A$1:$Z$20000,MATCH(A2812,'Semrush Data'!$A$1:$A$20000,0),MATCH("Keyword Difficulty*",'Semrush Data'!$A$1:$Z$1,0)),"")</f>
        <v/>
      </c>
      <c r="I2812" s="29" t="str">
        <f aca="false">IFERROR(INDEX('Semrush Data'!$A$1:$Z$20000,MATCH(A2812,'Semrush Data'!$A$1:$A$20000,0),MATCH("CPC*",'Semrush Data'!$A$1:$Z$1,0)),"")</f>
        <v/>
      </c>
      <c r="J2812" s="6" t="str">
        <f aca="false">IFERROR(INDEX('Semrush Data'!$A$1:$Z$20000,MATCH(A2812,'Semrush Data'!$A$1:$A$20000,0),MATCH("Intent",'Semrush Data'!$A$1:$Z$1,0)),"")</f>
        <v/>
      </c>
    </row>
    <row r="2813" customFormat="false" ht="15" hidden="false" customHeight="true" outlineLevel="0" collapsed="false">
      <c r="A2813" s="6" t="s">
        <v>7497</v>
      </c>
      <c r="B2813" s="6" t="s">
        <v>239</v>
      </c>
      <c r="C2813" s="6" t="n">
        <v>3</v>
      </c>
      <c r="D2813" s="6" t="n">
        <v>29</v>
      </c>
      <c r="E2813" s="6" t="n">
        <v>1</v>
      </c>
      <c r="F2813" s="6" t="s">
        <v>4798</v>
      </c>
      <c r="G2813" s="28" t="str">
        <f aca="false">IFERROR(INDEX('Semrush Data'!$A$1:$Z$20000,MATCH(A2813,'Semrush Data'!$A$1:$A$20000,0),MATCH("Volume",'Semrush Data'!$A$1:$Z$1,0)),"")</f>
        <v/>
      </c>
      <c r="H2813" s="6" t="str">
        <f aca="false">IFERROR(INDEX('Semrush Data'!$A$1:$Z$20000,MATCH(A2813,'Semrush Data'!$A$1:$A$20000,0),MATCH("Keyword Difficulty*",'Semrush Data'!$A$1:$Z$1,0)),"")</f>
        <v/>
      </c>
      <c r="I2813" s="29" t="str">
        <f aca="false">IFERROR(INDEX('Semrush Data'!$A$1:$Z$20000,MATCH(A2813,'Semrush Data'!$A$1:$A$20000,0),MATCH("CPC*",'Semrush Data'!$A$1:$Z$1,0)),"")</f>
        <v/>
      </c>
      <c r="J2813" s="6" t="str">
        <f aca="false">IFERROR(INDEX('Semrush Data'!$A$1:$Z$20000,MATCH(A2813,'Semrush Data'!$A$1:$A$20000,0),MATCH("Intent",'Semrush Data'!$A$1:$Z$1,0)),"")</f>
        <v/>
      </c>
    </row>
    <row r="2814" customFormat="false" ht="15" hidden="false" customHeight="true" outlineLevel="0" collapsed="false">
      <c r="A2814" s="6" t="s">
        <v>7498</v>
      </c>
      <c r="B2814" s="6" t="s">
        <v>239</v>
      </c>
      <c r="C2814" s="6" t="n">
        <v>3</v>
      </c>
      <c r="D2814" s="6" t="n">
        <v>29</v>
      </c>
      <c r="E2814" s="6" t="n">
        <v>1</v>
      </c>
      <c r="F2814" s="6" t="s">
        <v>4798</v>
      </c>
      <c r="G2814" s="28" t="str">
        <f aca="false">IFERROR(INDEX('Semrush Data'!$A$1:$Z$20000,MATCH(A2814,'Semrush Data'!$A$1:$A$20000,0),MATCH("Volume",'Semrush Data'!$A$1:$Z$1,0)),"")</f>
        <v/>
      </c>
      <c r="H2814" s="6" t="str">
        <f aca="false">IFERROR(INDEX('Semrush Data'!$A$1:$Z$20000,MATCH(A2814,'Semrush Data'!$A$1:$A$20000,0),MATCH("Keyword Difficulty*",'Semrush Data'!$A$1:$Z$1,0)),"")</f>
        <v/>
      </c>
      <c r="I2814" s="29" t="str">
        <f aca="false">IFERROR(INDEX('Semrush Data'!$A$1:$Z$20000,MATCH(A2814,'Semrush Data'!$A$1:$A$20000,0),MATCH("CPC*",'Semrush Data'!$A$1:$Z$1,0)),"")</f>
        <v/>
      </c>
      <c r="J2814" s="6" t="str">
        <f aca="false">IFERROR(INDEX('Semrush Data'!$A$1:$Z$20000,MATCH(A2814,'Semrush Data'!$A$1:$A$20000,0),MATCH("Intent",'Semrush Data'!$A$1:$Z$1,0)),"")</f>
        <v/>
      </c>
    </row>
    <row r="2815" customFormat="false" ht="15" hidden="false" customHeight="true" outlineLevel="0" collapsed="false">
      <c r="A2815" s="6" t="s">
        <v>7499</v>
      </c>
      <c r="B2815" s="6" t="s">
        <v>239</v>
      </c>
      <c r="C2815" s="6" t="n">
        <v>3</v>
      </c>
      <c r="D2815" s="6" t="n">
        <v>29</v>
      </c>
      <c r="E2815" s="6" t="n">
        <v>1</v>
      </c>
      <c r="F2815" s="6" t="s">
        <v>4798</v>
      </c>
      <c r="G2815" s="28" t="str">
        <f aca="false">IFERROR(INDEX('Semrush Data'!$A$1:$Z$20000,MATCH(A2815,'Semrush Data'!$A$1:$A$20000,0),MATCH("Volume",'Semrush Data'!$A$1:$Z$1,0)),"")</f>
        <v/>
      </c>
      <c r="H2815" s="6" t="str">
        <f aca="false">IFERROR(INDEX('Semrush Data'!$A$1:$Z$20000,MATCH(A2815,'Semrush Data'!$A$1:$A$20000,0),MATCH("Keyword Difficulty*",'Semrush Data'!$A$1:$Z$1,0)),"")</f>
        <v/>
      </c>
      <c r="I2815" s="29" t="str">
        <f aca="false">IFERROR(INDEX('Semrush Data'!$A$1:$Z$20000,MATCH(A2815,'Semrush Data'!$A$1:$A$20000,0),MATCH("CPC*",'Semrush Data'!$A$1:$Z$1,0)),"")</f>
        <v/>
      </c>
      <c r="J2815" s="6" t="str">
        <f aca="false">IFERROR(INDEX('Semrush Data'!$A$1:$Z$20000,MATCH(A2815,'Semrush Data'!$A$1:$A$20000,0),MATCH("Intent",'Semrush Data'!$A$1:$Z$1,0)),"")</f>
        <v/>
      </c>
    </row>
    <row r="2816" customFormat="false" ht="15" hidden="false" customHeight="true" outlineLevel="0" collapsed="false">
      <c r="A2816" s="6" t="s">
        <v>7500</v>
      </c>
      <c r="B2816" s="6" t="s">
        <v>239</v>
      </c>
      <c r="C2816" s="6" t="n">
        <v>3</v>
      </c>
      <c r="D2816" s="6" t="n">
        <v>29</v>
      </c>
      <c r="E2816" s="6" t="n">
        <v>1</v>
      </c>
      <c r="F2816" s="6" t="s">
        <v>67</v>
      </c>
      <c r="G2816" s="28" t="str">
        <f aca="false">IFERROR(INDEX('Semrush Data'!$A$1:$Z$20000,MATCH(A2816,'Semrush Data'!$A$1:$A$20000,0),MATCH("Volume",'Semrush Data'!$A$1:$Z$1,0)),"")</f>
        <v/>
      </c>
      <c r="H2816" s="6" t="str">
        <f aca="false">IFERROR(INDEX('Semrush Data'!$A$1:$Z$20000,MATCH(A2816,'Semrush Data'!$A$1:$A$20000,0),MATCH("Keyword Difficulty*",'Semrush Data'!$A$1:$Z$1,0)),"")</f>
        <v/>
      </c>
      <c r="I2816" s="29" t="str">
        <f aca="false">IFERROR(INDEX('Semrush Data'!$A$1:$Z$20000,MATCH(A2816,'Semrush Data'!$A$1:$A$20000,0),MATCH("CPC*",'Semrush Data'!$A$1:$Z$1,0)),"")</f>
        <v/>
      </c>
      <c r="J2816" s="6" t="str">
        <f aca="false">IFERROR(INDEX('Semrush Data'!$A$1:$Z$20000,MATCH(A2816,'Semrush Data'!$A$1:$A$20000,0),MATCH("Intent",'Semrush Data'!$A$1:$Z$1,0)),"")</f>
        <v/>
      </c>
    </row>
    <row r="2817" customFormat="false" ht="15" hidden="false" customHeight="true" outlineLevel="0" collapsed="false">
      <c r="A2817" s="6" t="s">
        <v>7501</v>
      </c>
      <c r="B2817" s="6" t="s">
        <v>239</v>
      </c>
      <c r="C2817" s="6" t="n">
        <v>3</v>
      </c>
      <c r="D2817" s="6" t="n">
        <v>29</v>
      </c>
      <c r="E2817" s="6" t="n">
        <v>1</v>
      </c>
      <c r="F2817" s="6" t="s">
        <v>67</v>
      </c>
      <c r="G2817" s="28" t="str">
        <f aca="false">IFERROR(INDEX('Semrush Data'!$A$1:$Z$20000,MATCH(A2817,'Semrush Data'!$A$1:$A$20000,0),MATCH("Volume",'Semrush Data'!$A$1:$Z$1,0)),"")</f>
        <v/>
      </c>
      <c r="H2817" s="6" t="str">
        <f aca="false">IFERROR(INDEX('Semrush Data'!$A$1:$Z$20000,MATCH(A2817,'Semrush Data'!$A$1:$A$20000,0),MATCH("Keyword Difficulty*",'Semrush Data'!$A$1:$Z$1,0)),"")</f>
        <v/>
      </c>
      <c r="I2817" s="29" t="str">
        <f aca="false">IFERROR(INDEX('Semrush Data'!$A$1:$Z$20000,MATCH(A2817,'Semrush Data'!$A$1:$A$20000,0),MATCH("CPC*",'Semrush Data'!$A$1:$Z$1,0)),"")</f>
        <v/>
      </c>
      <c r="J2817" s="6" t="str">
        <f aca="false">IFERROR(INDEX('Semrush Data'!$A$1:$Z$20000,MATCH(A2817,'Semrush Data'!$A$1:$A$20000,0),MATCH("Intent",'Semrush Data'!$A$1:$Z$1,0)),"")</f>
        <v/>
      </c>
    </row>
    <row r="2818" customFormat="false" ht="15" hidden="false" customHeight="true" outlineLevel="0" collapsed="false">
      <c r="A2818" s="6" t="s">
        <v>263</v>
      </c>
      <c r="B2818" s="6" t="s">
        <v>239</v>
      </c>
      <c r="C2818" s="6" t="n">
        <v>3</v>
      </c>
      <c r="D2818" s="6" t="s">
        <v>6870</v>
      </c>
      <c r="E2818" s="6" t="n">
        <v>1</v>
      </c>
      <c r="F2818" s="6" t="s">
        <v>67</v>
      </c>
      <c r="G2818" s="28" t="n">
        <f aca="false">IFERROR(INDEX('Semrush Data'!$A$1:$Z$20000,MATCH(A2818,'Semrush Data'!$A$1:$A$20000,0),MATCH("Volume",'Semrush Data'!$A$1:$Z$1,0)),"")</f>
        <v>70</v>
      </c>
      <c r="H2818" s="6" t="n">
        <f aca="false">IFERROR(INDEX('Semrush Data'!$A$1:$Z$20000,MATCH(A2818,'Semrush Data'!$A$1:$A$20000,0),MATCH("Keyword Difficulty*",'Semrush Data'!$A$1:$Z$1,0)),"")</f>
        <v>20</v>
      </c>
      <c r="I2818" s="29" t="n">
        <f aca="false">IFERROR(INDEX('Semrush Data'!$A$1:$Z$20000,MATCH(A2818,'Semrush Data'!$A$1:$A$20000,0),MATCH("CPC*",'Semrush Data'!$A$1:$Z$1,0)),"")</f>
        <v>0.48</v>
      </c>
      <c r="J2818" s="6" t="str">
        <f aca="false">IFERROR(INDEX('Semrush Data'!$A$1:$Z$20000,MATCH(A2818,'Semrush Data'!$A$1:$A$20000,0),MATCH("Intent",'Semrush Data'!$A$1:$Z$1,0)),"")</f>
        <v>Informational</v>
      </c>
    </row>
    <row r="2819" customFormat="false" ht="15" hidden="false" customHeight="true" outlineLevel="0" collapsed="false">
      <c r="A2819" s="6" t="s">
        <v>7502</v>
      </c>
      <c r="B2819" s="6" t="s">
        <v>239</v>
      </c>
      <c r="C2819" s="6" t="n">
        <v>3</v>
      </c>
      <c r="D2819" s="6" t="s">
        <v>6870</v>
      </c>
      <c r="E2819" s="6" t="n">
        <v>1</v>
      </c>
      <c r="F2819" s="6" t="s">
        <v>67</v>
      </c>
      <c r="G2819" s="28" t="n">
        <f aca="false">IFERROR(INDEX('Semrush Data'!$A$1:$Z$20000,MATCH(A2819,'Semrush Data'!$A$1:$A$20000,0),MATCH("Volume",'Semrush Data'!$A$1:$Z$1,0)),"")</f>
        <v>10</v>
      </c>
      <c r="H2819" s="6" t="n">
        <f aca="false">IFERROR(INDEX('Semrush Data'!$A$1:$Z$20000,MATCH(A2819,'Semrush Data'!$A$1:$A$20000,0),MATCH("Keyword Difficulty*",'Semrush Data'!$A$1:$Z$1,0)),"")</f>
        <v>13</v>
      </c>
      <c r="I2819" s="29" t="n">
        <f aca="false">IFERROR(INDEX('Semrush Data'!$A$1:$Z$20000,MATCH(A2819,'Semrush Data'!$A$1:$A$20000,0),MATCH("CPC*",'Semrush Data'!$A$1:$Z$1,0)),"")</f>
        <v>0</v>
      </c>
      <c r="J2819" s="6" t="str">
        <f aca="false">IFERROR(INDEX('Semrush Data'!$A$1:$Z$20000,MATCH(A2819,'Semrush Data'!$A$1:$A$20000,0),MATCH("Intent",'Semrush Data'!$A$1:$Z$1,0)),"")</f>
        <v>Informational</v>
      </c>
    </row>
    <row r="2820" customFormat="false" ht="15" hidden="false" customHeight="true" outlineLevel="0" collapsed="false">
      <c r="A2820" s="6" t="s">
        <v>7503</v>
      </c>
      <c r="B2820" s="6" t="s">
        <v>239</v>
      </c>
      <c r="C2820" s="6" t="n">
        <v>3</v>
      </c>
      <c r="D2820" s="6" t="n">
        <v>29</v>
      </c>
      <c r="E2820" s="6" t="n">
        <v>1</v>
      </c>
      <c r="F2820" s="6" t="s">
        <v>67</v>
      </c>
      <c r="G2820" s="28" t="str">
        <f aca="false">IFERROR(INDEX('Semrush Data'!$A$1:$Z$20000,MATCH(A2820,'Semrush Data'!$A$1:$A$20000,0),MATCH("Volume",'Semrush Data'!$A$1:$Z$1,0)),"")</f>
        <v/>
      </c>
      <c r="H2820" s="6" t="str">
        <f aca="false">IFERROR(INDEX('Semrush Data'!$A$1:$Z$20000,MATCH(A2820,'Semrush Data'!$A$1:$A$20000,0),MATCH("Keyword Difficulty*",'Semrush Data'!$A$1:$Z$1,0)),"")</f>
        <v/>
      </c>
      <c r="I2820" s="29" t="str">
        <f aca="false">IFERROR(INDEX('Semrush Data'!$A$1:$Z$20000,MATCH(A2820,'Semrush Data'!$A$1:$A$20000,0),MATCH("CPC*",'Semrush Data'!$A$1:$Z$1,0)),"")</f>
        <v/>
      </c>
      <c r="J2820" s="6" t="str">
        <f aca="false">IFERROR(INDEX('Semrush Data'!$A$1:$Z$20000,MATCH(A2820,'Semrush Data'!$A$1:$A$20000,0),MATCH("Intent",'Semrush Data'!$A$1:$Z$1,0)),"")</f>
        <v/>
      </c>
    </row>
    <row r="2821" customFormat="false" ht="15" hidden="false" customHeight="true" outlineLevel="0" collapsed="false">
      <c r="A2821" s="6" t="s">
        <v>7504</v>
      </c>
      <c r="B2821" s="6" t="s">
        <v>239</v>
      </c>
      <c r="C2821" s="6" t="n">
        <v>3</v>
      </c>
      <c r="D2821" s="6" t="n">
        <v>29</v>
      </c>
      <c r="E2821" s="6" t="n">
        <v>1</v>
      </c>
      <c r="F2821" s="6" t="s">
        <v>4756</v>
      </c>
      <c r="G2821" s="28" t="str">
        <f aca="false">IFERROR(INDEX('Semrush Data'!$A$1:$Z$20000,MATCH(A2821,'Semrush Data'!$A$1:$A$20000,0),MATCH("Volume",'Semrush Data'!$A$1:$Z$1,0)),"")</f>
        <v/>
      </c>
      <c r="H2821" s="6" t="str">
        <f aca="false">IFERROR(INDEX('Semrush Data'!$A$1:$Z$20000,MATCH(A2821,'Semrush Data'!$A$1:$A$20000,0),MATCH("Keyword Difficulty*",'Semrush Data'!$A$1:$Z$1,0)),"")</f>
        <v/>
      </c>
      <c r="I2821" s="29" t="str">
        <f aca="false">IFERROR(INDEX('Semrush Data'!$A$1:$Z$20000,MATCH(A2821,'Semrush Data'!$A$1:$A$20000,0),MATCH("CPC*",'Semrush Data'!$A$1:$Z$1,0)),"")</f>
        <v/>
      </c>
      <c r="J2821" s="6" t="str">
        <f aca="false">IFERROR(INDEX('Semrush Data'!$A$1:$Z$20000,MATCH(A2821,'Semrush Data'!$A$1:$A$20000,0),MATCH("Intent",'Semrush Data'!$A$1:$Z$1,0)),"")</f>
        <v/>
      </c>
    </row>
    <row r="2822" customFormat="false" ht="15" hidden="false" customHeight="true" outlineLevel="0" collapsed="false">
      <c r="A2822" s="6" t="s">
        <v>7505</v>
      </c>
      <c r="B2822" s="6" t="s">
        <v>239</v>
      </c>
      <c r="C2822" s="6" t="n">
        <v>3</v>
      </c>
      <c r="D2822" s="6" t="n">
        <v>29</v>
      </c>
      <c r="E2822" s="6" t="n">
        <v>1</v>
      </c>
      <c r="F2822" s="6" t="s">
        <v>4756</v>
      </c>
      <c r="G2822" s="28" t="str">
        <f aca="false">IFERROR(INDEX('Semrush Data'!$A$1:$Z$20000,MATCH(A2822,'Semrush Data'!$A$1:$A$20000,0),MATCH("Volume",'Semrush Data'!$A$1:$Z$1,0)),"")</f>
        <v/>
      </c>
      <c r="H2822" s="6" t="str">
        <f aca="false">IFERROR(INDEX('Semrush Data'!$A$1:$Z$20000,MATCH(A2822,'Semrush Data'!$A$1:$A$20000,0),MATCH("Keyword Difficulty*",'Semrush Data'!$A$1:$Z$1,0)),"")</f>
        <v/>
      </c>
      <c r="I2822" s="29" t="str">
        <f aca="false">IFERROR(INDEX('Semrush Data'!$A$1:$Z$20000,MATCH(A2822,'Semrush Data'!$A$1:$A$20000,0),MATCH("CPC*",'Semrush Data'!$A$1:$Z$1,0)),"")</f>
        <v/>
      </c>
      <c r="J2822" s="6" t="str">
        <f aca="false">IFERROR(INDEX('Semrush Data'!$A$1:$Z$20000,MATCH(A2822,'Semrush Data'!$A$1:$A$20000,0),MATCH("Intent",'Semrush Data'!$A$1:$Z$1,0)),"")</f>
        <v/>
      </c>
    </row>
    <row r="2823" customFormat="false" ht="15" hidden="false" customHeight="true" outlineLevel="0" collapsed="false">
      <c r="A2823" s="6" t="s">
        <v>7506</v>
      </c>
      <c r="B2823" s="6" t="s">
        <v>239</v>
      </c>
      <c r="C2823" s="6" t="n">
        <v>3</v>
      </c>
      <c r="D2823" s="6" t="n">
        <v>29</v>
      </c>
      <c r="E2823" s="6" t="n">
        <v>1</v>
      </c>
      <c r="F2823" s="6" t="s">
        <v>4768</v>
      </c>
      <c r="G2823" s="28" t="str">
        <f aca="false">IFERROR(INDEX('Semrush Data'!$A$1:$Z$20000,MATCH(A2823,'Semrush Data'!$A$1:$A$20000,0),MATCH("Volume",'Semrush Data'!$A$1:$Z$1,0)),"")</f>
        <v/>
      </c>
      <c r="H2823" s="6" t="str">
        <f aca="false">IFERROR(INDEX('Semrush Data'!$A$1:$Z$20000,MATCH(A2823,'Semrush Data'!$A$1:$A$20000,0),MATCH("Keyword Difficulty*",'Semrush Data'!$A$1:$Z$1,0)),"")</f>
        <v/>
      </c>
      <c r="I2823" s="29" t="str">
        <f aca="false">IFERROR(INDEX('Semrush Data'!$A$1:$Z$20000,MATCH(A2823,'Semrush Data'!$A$1:$A$20000,0),MATCH("CPC*",'Semrush Data'!$A$1:$Z$1,0)),"")</f>
        <v/>
      </c>
      <c r="J2823" s="6" t="str">
        <f aca="false">IFERROR(INDEX('Semrush Data'!$A$1:$Z$20000,MATCH(A2823,'Semrush Data'!$A$1:$A$20000,0),MATCH("Intent",'Semrush Data'!$A$1:$Z$1,0)),"")</f>
        <v/>
      </c>
    </row>
    <row r="2824" customFormat="false" ht="15" hidden="false" customHeight="true" outlineLevel="0" collapsed="false">
      <c r="A2824" s="6" t="s">
        <v>4712</v>
      </c>
      <c r="B2824" s="6" t="s">
        <v>239</v>
      </c>
      <c r="C2824" s="6" t="n">
        <v>3</v>
      </c>
      <c r="D2824" s="6" t="n">
        <v>29</v>
      </c>
      <c r="E2824" s="6" t="n">
        <v>1</v>
      </c>
      <c r="F2824" s="6" t="s">
        <v>4704</v>
      </c>
      <c r="G2824" s="28" t="str">
        <f aca="false">IFERROR(INDEX('Semrush Data'!$A$1:$Z$20000,MATCH(A2824,'Semrush Data'!$A$1:$A$20000,0),MATCH("Volume",'Semrush Data'!$A$1:$Z$1,0)),"")</f>
        <v/>
      </c>
      <c r="H2824" s="6" t="str">
        <f aca="false">IFERROR(INDEX('Semrush Data'!$A$1:$Z$20000,MATCH(A2824,'Semrush Data'!$A$1:$A$20000,0),MATCH("Keyword Difficulty*",'Semrush Data'!$A$1:$Z$1,0)),"")</f>
        <v/>
      </c>
      <c r="I2824" s="29" t="str">
        <f aca="false">IFERROR(INDEX('Semrush Data'!$A$1:$Z$20000,MATCH(A2824,'Semrush Data'!$A$1:$A$20000,0),MATCH("CPC*",'Semrush Data'!$A$1:$Z$1,0)),"")</f>
        <v/>
      </c>
      <c r="J2824" s="6" t="str">
        <f aca="false">IFERROR(INDEX('Semrush Data'!$A$1:$Z$20000,MATCH(A2824,'Semrush Data'!$A$1:$A$20000,0),MATCH("Intent",'Semrush Data'!$A$1:$Z$1,0)),"")</f>
        <v/>
      </c>
    </row>
    <row r="2825" customFormat="false" ht="15" hidden="false" customHeight="true" outlineLevel="0" collapsed="false">
      <c r="A2825" s="6" t="s">
        <v>7507</v>
      </c>
      <c r="B2825" s="6" t="s">
        <v>239</v>
      </c>
      <c r="C2825" s="6" t="n">
        <v>3</v>
      </c>
      <c r="D2825" s="6" t="n">
        <v>29</v>
      </c>
      <c r="E2825" s="6" t="n">
        <v>1</v>
      </c>
      <c r="F2825" s="6" t="s">
        <v>4768</v>
      </c>
      <c r="G2825" s="28" t="str">
        <f aca="false">IFERROR(INDEX('Semrush Data'!$A$1:$Z$20000,MATCH(A2825,'Semrush Data'!$A$1:$A$20000,0),MATCH("Volume",'Semrush Data'!$A$1:$Z$1,0)),"")</f>
        <v/>
      </c>
      <c r="H2825" s="6" t="str">
        <f aca="false">IFERROR(INDEX('Semrush Data'!$A$1:$Z$20000,MATCH(A2825,'Semrush Data'!$A$1:$A$20000,0),MATCH("Keyword Difficulty*",'Semrush Data'!$A$1:$Z$1,0)),"")</f>
        <v/>
      </c>
      <c r="I2825" s="29" t="str">
        <f aca="false">IFERROR(INDEX('Semrush Data'!$A$1:$Z$20000,MATCH(A2825,'Semrush Data'!$A$1:$A$20000,0),MATCH("CPC*",'Semrush Data'!$A$1:$Z$1,0)),"")</f>
        <v/>
      </c>
      <c r="J2825" s="6" t="str">
        <f aca="false">IFERROR(INDEX('Semrush Data'!$A$1:$Z$20000,MATCH(A2825,'Semrush Data'!$A$1:$A$20000,0),MATCH("Intent",'Semrush Data'!$A$1:$Z$1,0)),"")</f>
        <v/>
      </c>
    </row>
    <row r="2826" customFormat="false" ht="15" hidden="false" customHeight="true" outlineLevel="0" collapsed="false">
      <c r="A2826" s="6" t="s">
        <v>7508</v>
      </c>
      <c r="B2826" s="6" t="s">
        <v>239</v>
      </c>
      <c r="C2826" s="6" t="n">
        <v>3</v>
      </c>
      <c r="D2826" s="6" t="n">
        <v>29</v>
      </c>
      <c r="E2826" s="6" t="n">
        <v>1</v>
      </c>
      <c r="F2826" s="6" t="s">
        <v>81</v>
      </c>
      <c r="G2826" s="28" t="str">
        <f aca="false">IFERROR(INDEX('Semrush Data'!$A$1:$Z$20000,MATCH(A2826,'Semrush Data'!$A$1:$A$20000,0),MATCH("Volume",'Semrush Data'!$A$1:$Z$1,0)),"")</f>
        <v/>
      </c>
      <c r="H2826" s="6" t="str">
        <f aca="false">IFERROR(INDEX('Semrush Data'!$A$1:$Z$20000,MATCH(A2826,'Semrush Data'!$A$1:$A$20000,0),MATCH("Keyword Difficulty*",'Semrush Data'!$A$1:$Z$1,0)),"")</f>
        <v/>
      </c>
      <c r="I2826" s="29" t="str">
        <f aca="false">IFERROR(INDEX('Semrush Data'!$A$1:$Z$20000,MATCH(A2826,'Semrush Data'!$A$1:$A$20000,0),MATCH("CPC*",'Semrush Data'!$A$1:$Z$1,0)),"")</f>
        <v/>
      </c>
      <c r="J2826" s="6" t="str">
        <f aca="false">IFERROR(INDEX('Semrush Data'!$A$1:$Z$20000,MATCH(A2826,'Semrush Data'!$A$1:$A$20000,0),MATCH("Intent",'Semrush Data'!$A$1:$Z$1,0)),"")</f>
        <v/>
      </c>
    </row>
    <row r="2827" customFormat="false" ht="15" hidden="false" customHeight="true" outlineLevel="0" collapsed="false">
      <c r="A2827" s="6" t="s">
        <v>7509</v>
      </c>
      <c r="B2827" s="6" t="s">
        <v>239</v>
      </c>
      <c r="C2827" s="6" t="n">
        <v>3</v>
      </c>
      <c r="D2827" s="6" t="n">
        <v>29</v>
      </c>
      <c r="E2827" s="6" t="n">
        <v>1</v>
      </c>
      <c r="F2827" s="6" t="s">
        <v>81</v>
      </c>
      <c r="G2827" s="28" t="str">
        <f aca="false">IFERROR(INDEX('Semrush Data'!$A$1:$Z$20000,MATCH(A2827,'Semrush Data'!$A$1:$A$20000,0),MATCH("Volume",'Semrush Data'!$A$1:$Z$1,0)),"")</f>
        <v/>
      </c>
      <c r="H2827" s="6" t="str">
        <f aca="false">IFERROR(INDEX('Semrush Data'!$A$1:$Z$20000,MATCH(A2827,'Semrush Data'!$A$1:$A$20000,0),MATCH("Keyword Difficulty*",'Semrush Data'!$A$1:$Z$1,0)),"")</f>
        <v/>
      </c>
      <c r="I2827" s="29" t="str">
        <f aca="false">IFERROR(INDEX('Semrush Data'!$A$1:$Z$20000,MATCH(A2827,'Semrush Data'!$A$1:$A$20000,0),MATCH("CPC*",'Semrush Data'!$A$1:$Z$1,0)),"")</f>
        <v/>
      </c>
      <c r="J2827" s="6" t="str">
        <f aca="false">IFERROR(INDEX('Semrush Data'!$A$1:$Z$20000,MATCH(A2827,'Semrush Data'!$A$1:$A$20000,0),MATCH("Intent",'Semrush Data'!$A$1:$Z$1,0)),"")</f>
        <v/>
      </c>
    </row>
    <row r="2828" customFormat="false" ht="15" hidden="false" customHeight="true" outlineLevel="0" collapsed="false">
      <c r="A2828" s="6" t="s">
        <v>7510</v>
      </c>
      <c r="B2828" s="6" t="s">
        <v>239</v>
      </c>
      <c r="C2828" s="6" t="n">
        <v>3</v>
      </c>
      <c r="D2828" s="6" t="n">
        <v>29</v>
      </c>
      <c r="E2828" s="6" t="n">
        <v>1</v>
      </c>
      <c r="F2828" s="6" t="s">
        <v>81</v>
      </c>
      <c r="G2828" s="28" t="str">
        <f aca="false">IFERROR(INDEX('Semrush Data'!$A$1:$Z$20000,MATCH(A2828,'Semrush Data'!$A$1:$A$20000,0),MATCH("Volume",'Semrush Data'!$A$1:$Z$1,0)),"")</f>
        <v/>
      </c>
      <c r="H2828" s="6" t="str">
        <f aca="false">IFERROR(INDEX('Semrush Data'!$A$1:$Z$20000,MATCH(A2828,'Semrush Data'!$A$1:$A$20000,0),MATCH("Keyword Difficulty*",'Semrush Data'!$A$1:$Z$1,0)),"")</f>
        <v/>
      </c>
      <c r="I2828" s="29" t="str">
        <f aca="false">IFERROR(INDEX('Semrush Data'!$A$1:$Z$20000,MATCH(A2828,'Semrush Data'!$A$1:$A$20000,0),MATCH("CPC*",'Semrush Data'!$A$1:$Z$1,0)),"")</f>
        <v/>
      </c>
      <c r="J2828" s="6" t="str">
        <f aca="false">IFERROR(INDEX('Semrush Data'!$A$1:$Z$20000,MATCH(A2828,'Semrush Data'!$A$1:$A$20000,0),MATCH("Intent",'Semrush Data'!$A$1:$Z$1,0)),"")</f>
        <v/>
      </c>
    </row>
    <row r="2829" customFormat="false" ht="15" hidden="false" customHeight="true" outlineLevel="0" collapsed="false">
      <c r="A2829" s="6" t="s">
        <v>7511</v>
      </c>
      <c r="B2829" s="6" t="s">
        <v>239</v>
      </c>
      <c r="C2829" s="6" t="n">
        <v>3</v>
      </c>
      <c r="D2829" s="6" t="s">
        <v>6870</v>
      </c>
      <c r="E2829" s="6" t="n">
        <v>1</v>
      </c>
      <c r="F2829" s="6" t="s">
        <v>81</v>
      </c>
      <c r="G2829" s="28" t="n">
        <f aca="false">IFERROR(INDEX('Semrush Data'!$A$1:$Z$20000,MATCH(A2829,'Semrush Data'!$A$1:$A$20000,0),MATCH("Volume",'Semrush Data'!$A$1:$Z$1,0)),"")</f>
        <v>20</v>
      </c>
      <c r="H2829" s="6" t="n">
        <f aca="false">IFERROR(INDEX('Semrush Data'!$A$1:$Z$20000,MATCH(A2829,'Semrush Data'!$A$1:$A$20000,0),MATCH("Keyword Difficulty*",'Semrush Data'!$A$1:$Z$1,0)),"")</f>
        <v>18</v>
      </c>
      <c r="I2829" s="29" t="n">
        <f aca="false">IFERROR(INDEX('Semrush Data'!$A$1:$Z$20000,MATCH(A2829,'Semrush Data'!$A$1:$A$20000,0),MATCH("CPC*",'Semrush Data'!$A$1:$Z$1,0)),"")</f>
        <v>0</v>
      </c>
      <c r="J2829" s="6" t="str">
        <f aca="false">IFERROR(INDEX('Semrush Data'!$A$1:$Z$20000,MATCH(A2829,'Semrush Data'!$A$1:$A$20000,0),MATCH("Intent",'Semrush Data'!$A$1:$Z$1,0)),"")</f>
        <v>Informational Transactional</v>
      </c>
    </row>
    <row r="2830" customFormat="false" ht="15" hidden="false" customHeight="true" outlineLevel="0" collapsed="false">
      <c r="A2830" s="6" t="s">
        <v>7512</v>
      </c>
      <c r="B2830" s="6" t="s">
        <v>239</v>
      </c>
      <c r="C2830" s="6" t="n">
        <v>3</v>
      </c>
      <c r="D2830" s="6" t="n">
        <v>29</v>
      </c>
      <c r="E2830" s="6" t="n">
        <v>1</v>
      </c>
      <c r="F2830" s="6" t="s">
        <v>81</v>
      </c>
      <c r="G2830" s="28" t="str">
        <f aca="false">IFERROR(INDEX('Semrush Data'!$A$1:$Z$20000,MATCH(A2830,'Semrush Data'!$A$1:$A$20000,0),MATCH("Volume",'Semrush Data'!$A$1:$Z$1,0)),"")</f>
        <v/>
      </c>
      <c r="H2830" s="6" t="str">
        <f aca="false">IFERROR(INDEX('Semrush Data'!$A$1:$Z$20000,MATCH(A2830,'Semrush Data'!$A$1:$A$20000,0),MATCH("Keyword Difficulty*",'Semrush Data'!$A$1:$Z$1,0)),"")</f>
        <v/>
      </c>
      <c r="I2830" s="29" t="str">
        <f aca="false">IFERROR(INDEX('Semrush Data'!$A$1:$Z$20000,MATCH(A2830,'Semrush Data'!$A$1:$A$20000,0),MATCH("CPC*",'Semrush Data'!$A$1:$Z$1,0)),"")</f>
        <v/>
      </c>
      <c r="J2830" s="6" t="str">
        <f aca="false">IFERROR(INDEX('Semrush Data'!$A$1:$Z$20000,MATCH(A2830,'Semrush Data'!$A$1:$A$20000,0),MATCH("Intent",'Semrush Data'!$A$1:$Z$1,0)),"")</f>
        <v/>
      </c>
    </row>
    <row r="2831" customFormat="false" ht="15" hidden="false" customHeight="true" outlineLevel="0" collapsed="false">
      <c r="A2831" s="6" t="s">
        <v>7513</v>
      </c>
      <c r="B2831" s="6" t="s">
        <v>239</v>
      </c>
      <c r="C2831" s="6" t="n">
        <v>3</v>
      </c>
      <c r="D2831" s="6" t="s">
        <v>6870</v>
      </c>
      <c r="E2831" s="6" t="n">
        <v>1</v>
      </c>
      <c r="F2831" s="6" t="s">
        <v>81</v>
      </c>
      <c r="G2831" s="28" t="n">
        <f aca="false">IFERROR(INDEX('Semrush Data'!$A$1:$Z$20000,MATCH(A2831,'Semrush Data'!$A$1:$A$20000,0),MATCH("Volume",'Semrush Data'!$A$1:$Z$1,0)),"")</f>
        <v>20</v>
      </c>
      <c r="H2831" s="6" t="n">
        <f aca="false">IFERROR(INDEX('Semrush Data'!$A$1:$Z$20000,MATCH(A2831,'Semrush Data'!$A$1:$A$20000,0),MATCH("Keyword Difficulty*",'Semrush Data'!$A$1:$Z$1,0)),"")</f>
        <v>12</v>
      </c>
      <c r="I2831" s="29" t="n">
        <f aca="false">IFERROR(INDEX('Semrush Data'!$A$1:$Z$20000,MATCH(A2831,'Semrush Data'!$A$1:$A$20000,0),MATCH("CPC*",'Semrush Data'!$A$1:$Z$1,0)),"")</f>
        <v>0</v>
      </c>
      <c r="J2831" s="6" t="str">
        <f aca="false">IFERROR(INDEX('Semrush Data'!$A$1:$Z$20000,MATCH(A2831,'Semrush Data'!$A$1:$A$20000,0),MATCH("Intent",'Semrush Data'!$A$1:$Z$1,0)),"")</f>
        <v>Commercial</v>
      </c>
    </row>
    <row r="2832" customFormat="false" ht="15" hidden="false" customHeight="true" outlineLevel="0" collapsed="false">
      <c r="A2832" s="6" t="s">
        <v>7514</v>
      </c>
      <c r="B2832" s="6" t="s">
        <v>239</v>
      </c>
      <c r="C2832" s="6" t="n">
        <v>3</v>
      </c>
      <c r="D2832" s="6" t="n">
        <v>29</v>
      </c>
      <c r="E2832" s="6" t="n">
        <v>1</v>
      </c>
      <c r="F2832" s="6" t="s">
        <v>59</v>
      </c>
      <c r="G2832" s="28" t="str">
        <f aca="false">IFERROR(INDEX('Semrush Data'!$A$1:$Z$20000,MATCH(A2832,'Semrush Data'!$A$1:$A$20000,0),MATCH("Volume",'Semrush Data'!$A$1:$Z$1,0)),"")</f>
        <v/>
      </c>
      <c r="H2832" s="6" t="str">
        <f aca="false">IFERROR(INDEX('Semrush Data'!$A$1:$Z$20000,MATCH(A2832,'Semrush Data'!$A$1:$A$20000,0),MATCH("Keyword Difficulty*",'Semrush Data'!$A$1:$Z$1,0)),"")</f>
        <v/>
      </c>
      <c r="I2832" s="29" t="str">
        <f aca="false">IFERROR(INDEX('Semrush Data'!$A$1:$Z$20000,MATCH(A2832,'Semrush Data'!$A$1:$A$20000,0),MATCH("CPC*",'Semrush Data'!$A$1:$Z$1,0)),"")</f>
        <v/>
      </c>
      <c r="J2832" s="6" t="str">
        <f aca="false">IFERROR(INDEX('Semrush Data'!$A$1:$Z$20000,MATCH(A2832,'Semrush Data'!$A$1:$A$20000,0),MATCH("Intent",'Semrush Data'!$A$1:$Z$1,0)),"")</f>
        <v/>
      </c>
    </row>
    <row r="2833" customFormat="false" ht="15" hidden="false" customHeight="true" outlineLevel="0" collapsed="false">
      <c r="A2833" s="6" t="s">
        <v>7515</v>
      </c>
      <c r="B2833" s="6" t="s">
        <v>239</v>
      </c>
      <c r="C2833" s="6" t="n">
        <v>3</v>
      </c>
      <c r="D2833" s="6" t="s">
        <v>6870</v>
      </c>
      <c r="E2833" s="6" t="n">
        <v>1</v>
      </c>
      <c r="F2833" s="6" t="s">
        <v>59</v>
      </c>
      <c r="G2833" s="28" t="n">
        <f aca="false">IFERROR(INDEX('Semrush Data'!$A$1:$Z$20000,MATCH(A2833,'Semrush Data'!$A$1:$A$20000,0),MATCH("Volume",'Semrush Data'!$A$1:$Z$1,0)),"")</f>
        <v>20</v>
      </c>
      <c r="H2833" s="6" t="n">
        <f aca="false">IFERROR(INDEX('Semrush Data'!$A$1:$Z$20000,MATCH(A2833,'Semrush Data'!$A$1:$A$20000,0),MATCH("Keyword Difficulty*",'Semrush Data'!$A$1:$Z$1,0)),"")</f>
        <v>4</v>
      </c>
      <c r="I2833" s="29" t="n">
        <f aca="false">IFERROR(INDEX('Semrush Data'!$A$1:$Z$20000,MATCH(A2833,'Semrush Data'!$A$1:$A$20000,0),MATCH("CPC*",'Semrush Data'!$A$1:$Z$1,0)),"")</f>
        <v>0.57</v>
      </c>
      <c r="J2833" s="6" t="str">
        <f aca="false">IFERROR(INDEX('Semrush Data'!$A$1:$Z$20000,MATCH(A2833,'Semrush Data'!$A$1:$A$20000,0),MATCH("Intent",'Semrush Data'!$A$1:$Z$1,0)),"")</f>
        <v>Informational</v>
      </c>
    </row>
    <row r="2834" customFormat="false" ht="15" hidden="false" customHeight="true" outlineLevel="0" collapsed="false">
      <c r="A2834" s="6" t="s">
        <v>7516</v>
      </c>
      <c r="B2834" s="6" t="s">
        <v>239</v>
      </c>
      <c r="C2834" s="6" t="n">
        <v>3</v>
      </c>
      <c r="D2834" s="6" t="n">
        <v>29</v>
      </c>
      <c r="E2834" s="6" t="n">
        <v>1</v>
      </c>
      <c r="F2834" s="6" t="s">
        <v>59</v>
      </c>
      <c r="G2834" s="28" t="str">
        <f aca="false">IFERROR(INDEX('Semrush Data'!$A$1:$Z$20000,MATCH(A2834,'Semrush Data'!$A$1:$A$20000,0),MATCH("Volume",'Semrush Data'!$A$1:$Z$1,0)),"")</f>
        <v/>
      </c>
      <c r="H2834" s="6" t="str">
        <f aca="false">IFERROR(INDEX('Semrush Data'!$A$1:$Z$20000,MATCH(A2834,'Semrush Data'!$A$1:$A$20000,0),MATCH("Keyword Difficulty*",'Semrush Data'!$A$1:$Z$1,0)),"")</f>
        <v/>
      </c>
      <c r="I2834" s="29" t="str">
        <f aca="false">IFERROR(INDEX('Semrush Data'!$A$1:$Z$20000,MATCH(A2834,'Semrush Data'!$A$1:$A$20000,0),MATCH("CPC*",'Semrush Data'!$A$1:$Z$1,0)),"")</f>
        <v/>
      </c>
      <c r="J2834" s="6" t="str">
        <f aca="false">IFERROR(INDEX('Semrush Data'!$A$1:$Z$20000,MATCH(A2834,'Semrush Data'!$A$1:$A$20000,0),MATCH("Intent",'Semrush Data'!$A$1:$Z$1,0)),"")</f>
        <v/>
      </c>
    </row>
    <row r="2835" customFormat="false" ht="15" hidden="false" customHeight="true" outlineLevel="0" collapsed="false">
      <c r="A2835" s="6" t="s">
        <v>257</v>
      </c>
      <c r="B2835" s="6" t="s">
        <v>239</v>
      </c>
      <c r="C2835" s="6" t="n">
        <v>3</v>
      </c>
      <c r="D2835" s="6" t="s">
        <v>6870</v>
      </c>
      <c r="E2835" s="6" t="n">
        <v>1</v>
      </c>
      <c r="F2835" s="6" t="s">
        <v>59</v>
      </c>
      <c r="G2835" s="28" t="n">
        <f aca="false">IFERROR(INDEX('Semrush Data'!$A$1:$Z$20000,MATCH(A2835,'Semrush Data'!$A$1:$A$20000,0),MATCH("Volume",'Semrush Data'!$A$1:$Z$1,0)),"")</f>
        <v>140</v>
      </c>
      <c r="H2835" s="6" t="n">
        <f aca="false">IFERROR(INDEX('Semrush Data'!$A$1:$Z$20000,MATCH(A2835,'Semrush Data'!$A$1:$A$20000,0),MATCH("Keyword Difficulty*",'Semrush Data'!$A$1:$Z$1,0)),"")</f>
        <v>11</v>
      </c>
      <c r="I2835" s="29" t="n">
        <f aca="false">IFERROR(INDEX('Semrush Data'!$A$1:$Z$20000,MATCH(A2835,'Semrush Data'!$A$1:$A$20000,0),MATCH("CPC*",'Semrush Data'!$A$1:$Z$1,0)),"")</f>
        <v>0</v>
      </c>
      <c r="J2835" s="6" t="str">
        <f aca="false">IFERROR(INDEX('Semrush Data'!$A$1:$Z$20000,MATCH(A2835,'Semrush Data'!$A$1:$A$20000,0),MATCH("Intent",'Semrush Data'!$A$1:$Z$1,0)),"")</f>
        <v>Commercial</v>
      </c>
    </row>
    <row r="2836" customFormat="false" ht="15" hidden="false" customHeight="true" outlineLevel="0" collapsed="false">
      <c r="A2836" s="6" t="s">
        <v>7517</v>
      </c>
      <c r="B2836" s="6" t="s">
        <v>239</v>
      </c>
      <c r="C2836" s="6" t="n">
        <v>3</v>
      </c>
      <c r="D2836" s="6" t="n">
        <v>29</v>
      </c>
      <c r="E2836" s="6" t="n">
        <v>1</v>
      </c>
      <c r="F2836" s="6" t="s">
        <v>4778</v>
      </c>
      <c r="G2836" s="28" t="str">
        <f aca="false">IFERROR(INDEX('Semrush Data'!$A$1:$Z$20000,MATCH(A2836,'Semrush Data'!$A$1:$A$20000,0),MATCH("Volume",'Semrush Data'!$A$1:$Z$1,0)),"")</f>
        <v/>
      </c>
      <c r="H2836" s="6" t="str">
        <f aca="false">IFERROR(INDEX('Semrush Data'!$A$1:$Z$20000,MATCH(A2836,'Semrush Data'!$A$1:$A$20000,0),MATCH("Keyword Difficulty*",'Semrush Data'!$A$1:$Z$1,0)),"")</f>
        <v/>
      </c>
      <c r="I2836" s="29" t="str">
        <f aca="false">IFERROR(INDEX('Semrush Data'!$A$1:$Z$20000,MATCH(A2836,'Semrush Data'!$A$1:$A$20000,0),MATCH("CPC*",'Semrush Data'!$A$1:$Z$1,0)),"")</f>
        <v/>
      </c>
      <c r="J2836" s="6" t="str">
        <f aca="false">IFERROR(INDEX('Semrush Data'!$A$1:$Z$20000,MATCH(A2836,'Semrush Data'!$A$1:$A$20000,0),MATCH("Intent",'Semrush Data'!$A$1:$Z$1,0)),"")</f>
        <v/>
      </c>
    </row>
    <row r="2837" customFormat="false" ht="15" hidden="false" customHeight="true" outlineLevel="0" collapsed="false">
      <c r="A2837" s="6" t="s">
        <v>7518</v>
      </c>
      <c r="B2837" s="6" t="s">
        <v>239</v>
      </c>
      <c r="C2837" s="6" t="n">
        <v>3</v>
      </c>
      <c r="D2837" s="6" t="n">
        <v>29</v>
      </c>
      <c r="E2837" s="6" t="n">
        <v>1</v>
      </c>
      <c r="F2837" s="6" t="s">
        <v>4778</v>
      </c>
      <c r="G2837" s="28" t="str">
        <f aca="false">IFERROR(INDEX('Semrush Data'!$A$1:$Z$20000,MATCH(A2837,'Semrush Data'!$A$1:$A$20000,0),MATCH("Volume",'Semrush Data'!$A$1:$Z$1,0)),"")</f>
        <v/>
      </c>
      <c r="H2837" s="6" t="str">
        <f aca="false">IFERROR(INDEX('Semrush Data'!$A$1:$Z$20000,MATCH(A2837,'Semrush Data'!$A$1:$A$20000,0),MATCH("Keyword Difficulty*",'Semrush Data'!$A$1:$Z$1,0)),"")</f>
        <v/>
      </c>
      <c r="I2837" s="29" t="str">
        <f aca="false">IFERROR(INDEX('Semrush Data'!$A$1:$Z$20000,MATCH(A2837,'Semrush Data'!$A$1:$A$20000,0),MATCH("CPC*",'Semrush Data'!$A$1:$Z$1,0)),"")</f>
        <v/>
      </c>
      <c r="J2837" s="6" t="str">
        <f aca="false">IFERROR(INDEX('Semrush Data'!$A$1:$Z$20000,MATCH(A2837,'Semrush Data'!$A$1:$A$20000,0),MATCH("Intent",'Semrush Data'!$A$1:$Z$1,0)),"")</f>
        <v/>
      </c>
    </row>
    <row r="2838" customFormat="false" ht="15" hidden="false" customHeight="true" outlineLevel="0" collapsed="false">
      <c r="A2838" s="6" t="s">
        <v>7519</v>
      </c>
      <c r="B2838" s="6" t="s">
        <v>239</v>
      </c>
      <c r="C2838" s="6" t="n">
        <v>3</v>
      </c>
      <c r="D2838" s="6" t="n">
        <v>29</v>
      </c>
      <c r="E2838" s="6" t="n">
        <v>1</v>
      </c>
      <c r="F2838" s="6" t="s">
        <v>4778</v>
      </c>
      <c r="G2838" s="28" t="str">
        <f aca="false">IFERROR(INDEX('Semrush Data'!$A$1:$Z$20000,MATCH(A2838,'Semrush Data'!$A$1:$A$20000,0),MATCH("Volume",'Semrush Data'!$A$1:$Z$1,0)),"")</f>
        <v/>
      </c>
      <c r="H2838" s="6" t="str">
        <f aca="false">IFERROR(INDEX('Semrush Data'!$A$1:$Z$20000,MATCH(A2838,'Semrush Data'!$A$1:$A$20000,0),MATCH("Keyword Difficulty*",'Semrush Data'!$A$1:$Z$1,0)),"")</f>
        <v/>
      </c>
      <c r="I2838" s="29" t="str">
        <f aca="false">IFERROR(INDEX('Semrush Data'!$A$1:$Z$20000,MATCH(A2838,'Semrush Data'!$A$1:$A$20000,0),MATCH("CPC*",'Semrush Data'!$A$1:$Z$1,0)),"")</f>
        <v/>
      </c>
      <c r="J2838" s="6" t="str">
        <f aca="false">IFERROR(INDEX('Semrush Data'!$A$1:$Z$20000,MATCH(A2838,'Semrush Data'!$A$1:$A$20000,0),MATCH("Intent",'Semrush Data'!$A$1:$Z$1,0)),"")</f>
        <v/>
      </c>
    </row>
    <row r="2839" customFormat="false" ht="15" hidden="false" customHeight="true" outlineLevel="0" collapsed="false">
      <c r="A2839" s="6" t="s">
        <v>7520</v>
      </c>
      <c r="B2839" s="6" t="s">
        <v>239</v>
      </c>
      <c r="C2839" s="6" t="n">
        <v>3</v>
      </c>
      <c r="D2839" s="6" t="n">
        <v>29</v>
      </c>
      <c r="E2839" s="6" t="n">
        <v>1</v>
      </c>
      <c r="F2839" s="6" t="s">
        <v>4778</v>
      </c>
      <c r="G2839" s="28" t="str">
        <f aca="false">IFERROR(INDEX('Semrush Data'!$A$1:$Z$20000,MATCH(A2839,'Semrush Data'!$A$1:$A$20000,0),MATCH("Volume",'Semrush Data'!$A$1:$Z$1,0)),"")</f>
        <v/>
      </c>
      <c r="H2839" s="6" t="str">
        <f aca="false">IFERROR(INDEX('Semrush Data'!$A$1:$Z$20000,MATCH(A2839,'Semrush Data'!$A$1:$A$20000,0),MATCH("Keyword Difficulty*",'Semrush Data'!$A$1:$Z$1,0)),"")</f>
        <v/>
      </c>
      <c r="I2839" s="29" t="str">
        <f aca="false">IFERROR(INDEX('Semrush Data'!$A$1:$Z$20000,MATCH(A2839,'Semrush Data'!$A$1:$A$20000,0),MATCH("CPC*",'Semrush Data'!$A$1:$Z$1,0)),"")</f>
        <v/>
      </c>
      <c r="J2839" s="6" t="str">
        <f aca="false">IFERROR(INDEX('Semrush Data'!$A$1:$Z$20000,MATCH(A2839,'Semrush Data'!$A$1:$A$20000,0),MATCH("Intent",'Semrush Data'!$A$1:$Z$1,0)),"")</f>
        <v/>
      </c>
    </row>
    <row r="2840" customFormat="false" ht="15" hidden="false" customHeight="true" outlineLevel="0" collapsed="false">
      <c r="A2840" s="6" t="s">
        <v>7521</v>
      </c>
      <c r="B2840" s="6" t="s">
        <v>239</v>
      </c>
      <c r="C2840" s="6" t="n">
        <v>3</v>
      </c>
      <c r="D2840" s="6" t="n">
        <v>29</v>
      </c>
      <c r="E2840" s="6" t="n">
        <v>1</v>
      </c>
      <c r="F2840" s="6" t="s">
        <v>4788</v>
      </c>
      <c r="G2840" s="28" t="str">
        <f aca="false">IFERROR(INDEX('Semrush Data'!$A$1:$Z$20000,MATCH(A2840,'Semrush Data'!$A$1:$A$20000,0),MATCH("Volume",'Semrush Data'!$A$1:$Z$1,0)),"")</f>
        <v/>
      </c>
      <c r="H2840" s="6" t="str">
        <f aca="false">IFERROR(INDEX('Semrush Data'!$A$1:$Z$20000,MATCH(A2840,'Semrush Data'!$A$1:$A$20000,0),MATCH("Keyword Difficulty*",'Semrush Data'!$A$1:$Z$1,0)),"")</f>
        <v/>
      </c>
      <c r="I2840" s="29" t="str">
        <f aca="false">IFERROR(INDEX('Semrush Data'!$A$1:$Z$20000,MATCH(A2840,'Semrush Data'!$A$1:$A$20000,0),MATCH("CPC*",'Semrush Data'!$A$1:$Z$1,0)),"")</f>
        <v/>
      </c>
      <c r="J2840" s="6" t="str">
        <f aca="false">IFERROR(INDEX('Semrush Data'!$A$1:$Z$20000,MATCH(A2840,'Semrush Data'!$A$1:$A$20000,0),MATCH("Intent",'Semrush Data'!$A$1:$Z$1,0)),"")</f>
        <v/>
      </c>
    </row>
    <row r="2841" customFormat="false" ht="15" hidden="false" customHeight="true" outlineLevel="0" collapsed="false">
      <c r="A2841" s="6" t="s">
        <v>7522</v>
      </c>
      <c r="B2841" s="6" t="s">
        <v>239</v>
      </c>
      <c r="C2841" s="6" t="n">
        <v>3</v>
      </c>
      <c r="D2841" s="6" t="n">
        <v>29</v>
      </c>
      <c r="E2841" s="6" t="n">
        <v>1</v>
      </c>
      <c r="F2841" s="6" t="s">
        <v>4788</v>
      </c>
      <c r="G2841" s="28" t="str">
        <f aca="false">IFERROR(INDEX('Semrush Data'!$A$1:$Z$20000,MATCH(A2841,'Semrush Data'!$A$1:$A$20000,0),MATCH("Volume",'Semrush Data'!$A$1:$Z$1,0)),"")</f>
        <v/>
      </c>
      <c r="H2841" s="6" t="str">
        <f aca="false">IFERROR(INDEX('Semrush Data'!$A$1:$Z$20000,MATCH(A2841,'Semrush Data'!$A$1:$A$20000,0),MATCH("Keyword Difficulty*",'Semrush Data'!$A$1:$Z$1,0)),"")</f>
        <v/>
      </c>
      <c r="I2841" s="29" t="str">
        <f aca="false">IFERROR(INDEX('Semrush Data'!$A$1:$Z$20000,MATCH(A2841,'Semrush Data'!$A$1:$A$20000,0),MATCH("CPC*",'Semrush Data'!$A$1:$Z$1,0)),"")</f>
        <v/>
      </c>
      <c r="J2841" s="6" t="str">
        <f aca="false">IFERROR(INDEX('Semrush Data'!$A$1:$Z$20000,MATCH(A2841,'Semrush Data'!$A$1:$A$20000,0),MATCH("Intent",'Semrush Data'!$A$1:$Z$1,0)),"")</f>
        <v/>
      </c>
    </row>
    <row r="2842" customFormat="false" ht="15" hidden="false" customHeight="true" outlineLevel="0" collapsed="false">
      <c r="A2842" s="6" t="s">
        <v>7523</v>
      </c>
      <c r="B2842" s="6" t="s">
        <v>239</v>
      </c>
      <c r="C2842" s="6" t="n">
        <v>3</v>
      </c>
      <c r="D2842" s="6" t="n">
        <v>29</v>
      </c>
      <c r="E2842" s="6" t="n">
        <v>1</v>
      </c>
      <c r="F2842" s="6" t="s">
        <v>4788</v>
      </c>
      <c r="G2842" s="28" t="str">
        <f aca="false">IFERROR(INDEX('Semrush Data'!$A$1:$Z$20000,MATCH(A2842,'Semrush Data'!$A$1:$A$20000,0),MATCH("Volume",'Semrush Data'!$A$1:$Z$1,0)),"")</f>
        <v/>
      </c>
      <c r="H2842" s="6" t="str">
        <f aca="false">IFERROR(INDEX('Semrush Data'!$A$1:$Z$20000,MATCH(A2842,'Semrush Data'!$A$1:$A$20000,0),MATCH("Keyword Difficulty*",'Semrush Data'!$A$1:$Z$1,0)),"")</f>
        <v/>
      </c>
      <c r="I2842" s="29" t="str">
        <f aca="false">IFERROR(INDEX('Semrush Data'!$A$1:$Z$20000,MATCH(A2842,'Semrush Data'!$A$1:$A$20000,0),MATCH("CPC*",'Semrush Data'!$A$1:$Z$1,0)),"")</f>
        <v/>
      </c>
      <c r="J2842" s="6" t="str">
        <f aca="false">IFERROR(INDEX('Semrush Data'!$A$1:$Z$20000,MATCH(A2842,'Semrush Data'!$A$1:$A$20000,0),MATCH("Intent",'Semrush Data'!$A$1:$Z$1,0)),"")</f>
        <v/>
      </c>
    </row>
    <row r="2843" customFormat="false" ht="15" hidden="false" customHeight="true" outlineLevel="0" collapsed="false">
      <c r="A2843" s="6" t="s">
        <v>7524</v>
      </c>
      <c r="B2843" s="6" t="s">
        <v>239</v>
      </c>
      <c r="C2843" s="6" t="n">
        <v>3</v>
      </c>
      <c r="D2843" s="6" t="n">
        <v>29</v>
      </c>
      <c r="E2843" s="6" t="n">
        <v>1</v>
      </c>
      <c r="F2843" s="6" t="s">
        <v>4862</v>
      </c>
      <c r="G2843" s="28" t="str">
        <f aca="false">IFERROR(INDEX('Semrush Data'!$A$1:$Z$20000,MATCH(A2843,'Semrush Data'!$A$1:$A$20000,0),MATCH("Volume",'Semrush Data'!$A$1:$Z$1,0)),"")</f>
        <v/>
      </c>
      <c r="H2843" s="6" t="str">
        <f aca="false">IFERROR(INDEX('Semrush Data'!$A$1:$Z$20000,MATCH(A2843,'Semrush Data'!$A$1:$A$20000,0),MATCH("Keyword Difficulty*",'Semrush Data'!$A$1:$Z$1,0)),"")</f>
        <v/>
      </c>
      <c r="I2843" s="29" t="str">
        <f aca="false">IFERROR(INDEX('Semrush Data'!$A$1:$Z$20000,MATCH(A2843,'Semrush Data'!$A$1:$A$20000,0),MATCH("CPC*",'Semrush Data'!$A$1:$Z$1,0)),"")</f>
        <v/>
      </c>
      <c r="J2843" s="6" t="str">
        <f aca="false">IFERROR(INDEX('Semrush Data'!$A$1:$Z$20000,MATCH(A2843,'Semrush Data'!$A$1:$A$20000,0),MATCH("Intent",'Semrush Data'!$A$1:$Z$1,0)),"")</f>
        <v/>
      </c>
    </row>
    <row r="2844" customFormat="false" ht="15" hidden="false" customHeight="true" outlineLevel="0" collapsed="false">
      <c r="A2844" s="6" t="s">
        <v>7525</v>
      </c>
      <c r="B2844" s="6" t="s">
        <v>239</v>
      </c>
      <c r="C2844" s="6" t="n">
        <v>3</v>
      </c>
      <c r="D2844" s="6" t="n">
        <v>29</v>
      </c>
      <c r="E2844" s="6" t="n">
        <v>1</v>
      </c>
      <c r="F2844" s="6" t="s">
        <v>4862</v>
      </c>
      <c r="G2844" s="28" t="str">
        <f aca="false">IFERROR(INDEX('Semrush Data'!$A$1:$Z$20000,MATCH(A2844,'Semrush Data'!$A$1:$A$20000,0),MATCH("Volume",'Semrush Data'!$A$1:$Z$1,0)),"")</f>
        <v/>
      </c>
      <c r="H2844" s="6" t="str">
        <f aca="false">IFERROR(INDEX('Semrush Data'!$A$1:$Z$20000,MATCH(A2844,'Semrush Data'!$A$1:$A$20000,0),MATCH("Keyword Difficulty*",'Semrush Data'!$A$1:$Z$1,0)),"")</f>
        <v/>
      </c>
      <c r="I2844" s="29" t="str">
        <f aca="false">IFERROR(INDEX('Semrush Data'!$A$1:$Z$20000,MATCH(A2844,'Semrush Data'!$A$1:$A$20000,0),MATCH("CPC*",'Semrush Data'!$A$1:$Z$1,0)),"")</f>
        <v/>
      </c>
      <c r="J2844" s="6" t="str">
        <f aca="false">IFERROR(INDEX('Semrush Data'!$A$1:$Z$20000,MATCH(A2844,'Semrush Data'!$A$1:$A$20000,0),MATCH("Intent",'Semrush Data'!$A$1:$Z$1,0)),"")</f>
        <v/>
      </c>
    </row>
    <row r="2845" customFormat="false" ht="15" hidden="false" customHeight="true" outlineLevel="0" collapsed="false">
      <c r="A2845" s="6" t="s">
        <v>7526</v>
      </c>
      <c r="B2845" s="6" t="s">
        <v>239</v>
      </c>
      <c r="C2845" s="6" t="n">
        <v>3</v>
      </c>
      <c r="D2845" s="6" t="n">
        <v>29</v>
      </c>
      <c r="E2845" s="6" t="n">
        <v>1</v>
      </c>
      <c r="F2845" s="6" t="s">
        <v>4862</v>
      </c>
      <c r="G2845" s="28" t="str">
        <f aca="false">IFERROR(INDEX('Semrush Data'!$A$1:$Z$20000,MATCH(A2845,'Semrush Data'!$A$1:$A$20000,0),MATCH("Volume",'Semrush Data'!$A$1:$Z$1,0)),"")</f>
        <v/>
      </c>
      <c r="H2845" s="6" t="str">
        <f aca="false">IFERROR(INDEX('Semrush Data'!$A$1:$Z$20000,MATCH(A2845,'Semrush Data'!$A$1:$A$20000,0),MATCH("Keyword Difficulty*",'Semrush Data'!$A$1:$Z$1,0)),"")</f>
        <v/>
      </c>
      <c r="I2845" s="29" t="str">
        <f aca="false">IFERROR(INDEX('Semrush Data'!$A$1:$Z$20000,MATCH(A2845,'Semrush Data'!$A$1:$A$20000,0),MATCH("CPC*",'Semrush Data'!$A$1:$Z$1,0)),"")</f>
        <v/>
      </c>
      <c r="J2845" s="6" t="str">
        <f aca="false">IFERROR(INDEX('Semrush Data'!$A$1:$Z$20000,MATCH(A2845,'Semrush Data'!$A$1:$A$20000,0),MATCH("Intent",'Semrush Data'!$A$1:$Z$1,0)),"")</f>
        <v/>
      </c>
    </row>
    <row r="2846" customFormat="false" ht="15" hidden="false" customHeight="true" outlineLevel="0" collapsed="false">
      <c r="A2846" s="6" t="s">
        <v>7527</v>
      </c>
      <c r="B2846" s="6" t="s">
        <v>239</v>
      </c>
      <c r="C2846" s="6" t="n">
        <v>3</v>
      </c>
      <c r="D2846" s="6" t="n">
        <v>29</v>
      </c>
      <c r="E2846" s="6" t="n">
        <v>1</v>
      </c>
      <c r="F2846" s="6" t="s">
        <v>4862</v>
      </c>
      <c r="G2846" s="28" t="str">
        <f aca="false">IFERROR(INDEX('Semrush Data'!$A$1:$Z$20000,MATCH(A2846,'Semrush Data'!$A$1:$A$20000,0),MATCH("Volume",'Semrush Data'!$A$1:$Z$1,0)),"")</f>
        <v/>
      </c>
      <c r="H2846" s="6" t="str">
        <f aca="false">IFERROR(INDEX('Semrush Data'!$A$1:$Z$20000,MATCH(A2846,'Semrush Data'!$A$1:$A$20000,0),MATCH("Keyword Difficulty*",'Semrush Data'!$A$1:$Z$1,0)),"")</f>
        <v/>
      </c>
      <c r="I2846" s="29" t="str">
        <f aca="false">IFERROR(INDEX('Semrush Data'!$A$1:$Z$20000,MATCH(A2846,'Semrush Data'!$A$1:$A$20000,0),MATCH("CPC*",'Semrush Data'!$A$1:$Z$1,0)),"")</f>
        <v/>
      </c>
      <c r="J2846" s="6" t="str">
        <f aca="false">IFERROR(INDEX('Semrush Data'!$A$1:$Z$20000,MATCH(A2846,'Semrush Data'!$A$1:$A$20000,0),MATCH("Intent",'Semrush Data'!$A$1:$Z$1,0)),"")</f>
        <v/>
      </c>
    </row>
    <row r="2847" customFormat="false" ht="15" hidden="false" customHeight="true" outlineLevel="0" collapsed="false">
      <c r="A2847" s="6" t="s">
        <v>7528</v>
      </c>
      <c r="B2847" s="6" t="s">
        <v>239</v>
      </c>
      <c r="C2847" s="6" t="n">
        <v>3</v>
      </c>
      <c r="D2847" s="6" t="n">
        <v>29</v>
      </c>
      <c r="E2847" s="6" t="n">
        <v>1</v>
      </c>
      <c r="F2847" s="6" t="s">
        <v>4862</v>
      </c>
      <c r="G2847" s="28" t="str">
        <f aca="false">IFERROR(INDEX('Semrush Data'!$A$1:$Z$20000,MATCH(A2847,'Semrush Data'!$A$1:$A$20000,0),MATCH("Volume",'Semrush Data'!$A$1:$Z$1,0)),"")</f>
        <v/>
      </c>
      <c r="H2847" s="6" t="str">
        <f aca="false">IFERROR(INDEX('Semrush Data'!$A$1:$Z$20000,MATCH(A2847,'Semrush Data'!$A$1:$A$20000,0),MATCH("Keyword Difficulty*",'Semrush Data'!$A$1:$Z$1,0)),"")</f>
        <v/>
      </c>
      <c r="I2847" s="29" t="str">
        <f aca="false">IFERROR(INDEX('Semrush Data'!$A$1:$Z$20000,MATCH(A2847,'Semrush Data'!$A$1:$A$20000,0),MATCH("CPC*",'Semrush Data'!$A$1:$Z$1,0)),"")</f>
        <v/>
      </c>
      <c r="J2847" s="6" t="str">
        <f aca="false">IFERROR(INDEX('Semrush Data'!$A$1:$Z$20000,MATCH(A2847,'Semrush Data'!$A$1:$A$20000,0),MATCH("Intent",'Semrush Data'!$A$1:$Z$1,0)),"")</f>
        <v/>
      </c>
    </row>
    <row r="2848" customFormat="false" ht="15" hidden="false" customHeight="true" outlineLevel="0" collapsed="false">
      <c r="A2848" s="6" t="s">
        <v>7529</v>
      </c>
      <c r="B2848" s="6" t="s">
        <v>239</v>
      </c>
      <c r="C2848" s="6" t="n">
        <v>3</v>
      </c>
      <c r="D2848" s="6" t="s">
        <v>6870</v>
      </c>
      <c r="E2848" s="6" t="n">
        <v>1</v>
      </c>
      <c r="F2848" s="6" t="s">
        <v>125</v>
      </c>
      <c r="G2848" s="28" t="n">
        <f aca="false">IFERROR(INDEX('Semrush Data'!$A$1:$Z$20000,MATCH(A2848,'Semrush Data'!$A$1:$A$20000,0),MATCH("Volume",'Semrush Data'!$A$1:$Z$1,0)),"")</f>
        <v>20</v>
      </c>
      <c r="H2848" s="6" t="n">
        <f aca="false">IFERROR(INDEX('Semrush Data'!$A$1:$Z$20000,MATCH(A2848,'Semrush Data'!$A$1:$A$20000,0),MATCH("Keyword Difficulty*",'Semrush Data'!$A$1:$Z$1,0)),"")</f>
        <v>25</v>
      </c>
      <c r="I2848" s="29" t="n">
        <f aca="false">IFERROR(INDEX('Semrush Data'!$A$1:$Z$20000,MATCH(A2848,'Semrush Data'!$A$1:$A$20000,0),MATCH("CPC*",'Semrush Data'!$A$1:$Z$1,0)),"")</f>
        <v>0.93</v>
      </c>
      <c r="J2848" s="6" t="str">
        <f aca="false">IFERROR(INDEX('Semrush Data'!$A$1:$Z$20000,MATCH(A2848,'Semrush Data'!$A$1:$A$20000,0),MATCH("Intent",'Semrush Data'!$A$1:$Z$1,0)),"")</f>
        <v>Informational</v>
      </c>
    </row>
    <row r="2849" customFormat="false" ht="15" hidden="false" customHeight="true" outlineLevel="0" collapsed="false">
      <c r="A2849" s="6" t="s">
        <v>7530</v>
      </c>
      <c r="B2849" s="6" t="s">
        <v>239</v>
      </c>
      <c r="C2849" s="6" t="n">
        <v>3</v>
      </c>
      <c r="D2849" s="6" t="n">
        <v>29</v>
      </c>
      <c r="E2849" s="6" t="n">
        <v>1</v>
      </c>
      <c r="F2849" s="6" t="s">
        <v>125</v>
      </c>
      <c r="G2849" s="28" t="str">
        <f aca="false">IFERROR(INDEX('Semrush Data'!$A$1:$Z$20000,MATCH(A2849,'Semrush Data'!$A$1:$A$20000,0),MATCH("Volume",'Semrush Data'!$A$1:$Z$1,0)),"")</f>
        <v/>
      </c>
      <c r="H2849" s="6" t="str">
        <f aca="false">IFERROR(INDEX('Semrush Data'!$A$1:$Z$20000,MATCH(A2849,'Semrush Data'!$A$1:$A$20000,0),MATCH("Keyword Difficulty*",'Semrush Data'!$A$1:$Z$1,0)),"")</f>
        <v/>
      </c>
      <c r="I2849" s="29" t="str">
        <f aca="false">IFERROR(INDEX('Semrush Data'!$A$1:$Z$20000,MATCH(A2849,'Semrush Data'!$A$1:$A$20000,0),MATCH("CPC*",'Semrush Data'!$A$1:$Z$1,0)),"")</f>
        <v/>
      </c>
      <c r="J2849" s="6" t="str">
        <f aca="false">IFERROR(INDEX('Semrush Data'!$A$1:$Z$20000,MATCH(A2849,'Semrush Data'!$A$1:$A$20000,0),MATCH("Intent",'Semrush Data'!$A$1:$Z$1,0)),"")</f>
        <v/>
      </c>
    </row>
    <row r="2850" customFormat="false" ht="15" hidden="false" customHeight="true" outlineLevel="0" collapsed="false">
      <c r="A2850" s="6" t="s">
        <v>259</v>
      </c>
      <c r="B2850" s="6" t="s">
        <v>239</v>
      </c>
      <c r="C2850" s="6" t="n">
        <v>3</v>
      </c>
      <c r="D2850" s="6" t="s">
        <v>6870</v>
      </c>
      <c r="E2850" s="6" t="n">
        <v>1</v>
      </c>
      <c r="F2850" s="6" t="s">
        <v>125</v>
      </c>
      <c r="G2850" s="28" t="n">
        <f aca="false">IFERROR(INDEX('Semrush Data'!$A$1:$Z$20000,MATCH(A2850,'Semrush Data'!$A$1:$A$20000,0),MATCH("Volume",'Semrush Data'!$A$1:$Z$1,0)),"")</f>
        <v>140</v>
      </c>
      <c r="H2850" s="6" t="n">
        <f aca="false">IFERROR(INDEX('Semrush Data'!$A$1:$Z$20000,MATCH(A2850,'Semrush Data'!$A$1:$A$20000,0),MATCH("Keyword Difficulty*",'Semrush Data'!$A$1:$Z$1,0)),"")</f>
        <v>22</v>
      </c>
      <c r="I2850" s="29" t="n">
        <f aca="false">IFERROR(INDEX('Semrush Data'!$A$1:$Z$20000,MATCH(A2850,'Semrush Data'!$A$1:$A$20000,0),MATCH("CPC*",'Semrush Data'!$A$1:$Z$1,0)),"")</f>
        <v>1.11</v>
      </c>
      <c r="J2850" s="6" t="str">
        <f aca="false">IFERROR(INDEX('Semrush Data'!$A$1:$Z$20000,MATCH(A2850,'Semrush Data'!$A$1:$A$20000,0),MATCH("Intent",'Semrush Data'!$A$1:$Z$1,0)),"")</f>
        <v>Commercial</v>
      </c>
    </row>
    <row r="2851" customFormat="false" ht="15" hidden="false" customHeight="true" outlineLevel="0" collapsed="false">
      <c r="A2851" s="6" t="s">
        <v>7531</v>
      </c>
      <c r="B2851" s="6" t="s">
        <v>239</v>
      </c>
      <c r="C2851" s="6" t="n">
        <v>3</v>
      </c>
      <c r="D2851" s="6" t="n">
        <v>29</v>
      </c>
      <c r="E2851" s="6" t="n">
        <v>1</v>
      </c>
      <c r="F2851" s="6" t="s">
        <v>125</v>
      </c>
      <c r="G2851" s="28" t="str">
        <f aca="false">IFERROR(INDEX('Semrush Data'!$A$1:$Z$20000,MATCH(A2851,'Semrush Data'!$A$1:$A$20000,0),MATCH("Volume",'Semrush Data'!$A$1:$Z$1,0)),"")</f>
        <v/>
      </c>
      <c r="H2851" s="6" t="str">
        <f aca="false">IFERROR(INDEX('Semrush Data'!$A$1:$Z$20000,MATCH(A2851,'Semrush Data'!$A$1:$A$20000,0),MATCH("Keyword Difficulty*",'Semrush Data'!$A$1:$Z$1,0)),"")</f>
        <v/>
      </c>
      <c r="I2851" s="29" t="str">
        <f aca="false">IFERROR(INDEX('Semrush Data'!$A$1:$Z$20000,MATCH(A2851,'Semrush Data'!$A$1:$A$20000,0),MATCH("CPC*",'Semrush Data'!$A$1:$Z$1,0)),"")</f>
        <v/>
      </c>
      <c r="J2851" s="6" t="str">
        <f aca="false">IFERROR(INDEX('Semrush Data'!$A$1:$Z$20000,MATCH(A2851,'Semrush Data'!$A$1:$A$20000,0),MATCH("Intent",'Semrush Data'!$A$1:$Z$1,0)),"")</f>
        <v/>
      </c>
    </row>
    <row r="2852" customFormat="false" ht="15" hidden="false" customHeight="true" outlineLevel="0" collapsed="false">
      <c r="A2852" s="6" t="s">
        <v>7532</v>
      </c>
      <c r="B2852" s="6" t="s">
        <v>239</v>
      </c>
      <c r="C2852" s="6" t="n">
        <v>3</v>
      </c>
      <c r="D2852" s="6" t="n">
        <v>29</v>
      </c>
      <c r="E2852" s="6" t="n">
        <v>1</v>
      </c>
      <c r="F2852" s="6" t="s">
        <v>4820</v>
      </c>
      <c r="G2852" s="28" t="str">
        <f aca="false">IFERROR(INDEX('Semrush Data'!$A$1:$Z$20000,MATCH(A2852,'Semrush Data'!$A$1:$A$20000,0),MATCH("Volume",'Semrush Data'!$A$1:$Z$1,0)),"")</f>
        <v/>
      </c>
      <c r="H2852" s="6" t="str">
        <f aca="false">IFERROR(INDEX('Semrush Data'!$A$1:$Z$20000,MATCH(A2852,'Semrush Data'!$A$1:$A$20000,0),MATCH("Keyword Difficulty*",'Semrush Data'!$A$1:$Z$1,0)),"")</f>
        <v/>
      </c>
      <c r="I2852" s="29" t="str">
        <f aca="false">IFERROR(INDEX('Semrush Data'!$A$1:$Z$20000,MATCH(A2852,'Semrush Data'!$A$1:$A$20000,0),MATCH("CPC*",'Semrush Data'!$A$1:$Z$1,0)),"")</f>
        <v/>
      </c>
      <c r="J2852" s="6" t="str">
        <f aca="false">IFERROR(INDEX('Semrush Data'!$A$1:$Z$20000,MATCH(A2852,'Semrush Data'!$A$1:$A$20000,0),MATCH("Intent",'Semrush Data'!$A$1:$Z$1,0)),"")</f>
        <v/>
      </c>
    </row>
    <row r="2853" customFormat="false" ht="15" hidden="false" customHeight="true" outlineLevel="0" collapsed="false">
      <c r="A2853" s="6" t="s">
        <v>7533</v>
      </c>
      <c r="B2853" s="6" t="s">
        <v>239</v>
      </c>
      <c r="C2853" s="6" t="n">
        <v>3</v>
      </c>
      <c r="D2853" s="6" t="n">
        <v>29</v>
      </c>
      <c r="E2853" s="6" t="n">
        <v>1</v>
      </c>
      <c r="F2853" s="6" t="s">
        <v>4820</v>
      </c>
      <c r="G2853" s="28" t="str">
        <f aca="false">IFERROR(INDEX('Semrush Data'!$A$1:$Z$20000,MATCH(A2853,'Semrush Data'!$A$1:$A$20000,0),MATCH("Volume",'Semrush Data'!$A$1:$Z$1,0)),"")</f>
        <v/>
      </c>
      <c r="H2853" s="6" t="str">
        <f aca="false">IFERROR(INDEX('Semrush Data'!$A$1:$Z$20000,MATCH(A2853,'Semrush Data'!$A$1:$A$20000,0),MATCH("Keyword Difficulty*",'Semrush Data'!$A$1:$Z$1,0)),"")</f>
        <v/>
      </c>
      <c r="I2853" s="29" t="str">
        <f aca="false">IFERROR(INDEX('Semrush Data'!$A$1:$Z$20000,MATCH(A2853,'Semrush Data'!$A$1:$A$20000,0),MATCH("CPC*",'Semrush Data'!$A$1:$Z$1,0)),"")</f>
        <v/>
      </c>
      <c r="J2853" s="6" t="str">
        <f aca="false">IFERROR(INDEX('Semrush Data'!$A$1:$Z$20000,MATCH(A2853,'Semrush Data'!$A$1:$A$20000,0),MATCH("Intent",'Semrush Data'!$A$1:$Z$1,0)),"")</f>
        <v/>
      </c>
    </row>
    <row r="2854" customFormat="false" ht="15" hidden="false" customHeight="true" outlineLevel="0" collapsed="false">
      <c r="A2854" s="6" t="s">
        <v>7534</v>
      </c>
      <c r="B2854" s="6" t="s">
        <v>239</v>
      </c>
      <c r="C2854" s="6" t="n">
        <v>3</v>
      </c>
      <c r="D2854" s="6" t="n">
        <v>29</v>
      </c>
      <c r="E2854" s="6" t="n">
        <v>1</v>
      </c>
      <c r="F2854" s="6" t="s">
        <v>4873</v>
      </c>
      <c r="G2854" s="28" t="str">
        <f aca="false">IFERROR(INDEX('Semrush Data'!$A$1:$Z$20000,MATCH(A2854,'Semrush Data'!$A$1:$A$20000,0),MATCH("Volume",'Semrush Data'!$A$1:$Z$1,0)),"")</f>
        <v/>
      </c>
      <c r="H2854" s="6" t="str">
        <f aca="false">IFERROR(INDEX('Semrush Data'!$A$1:$Z$20000,MATCH(A2854,'Semrush Data'!$A$1:$A$20000,0),MATCH("Keyword Difficulty*",'Semrush Data'!$A$1:$Z$1,0)),"")</f>
        <v/>
      </c>
      <c r="I2854" s="29" t="str">
        <f aca="false">IFERROR(INDEX('Semrush Data'!$A$1:$Z$20000,MATCH(A2854,'Semrush Data'!$A$1:$A$20000,0),MATCH("CPC*",'Semrush Data'!$A$1:$Z$1,0)),"")</f>
        <v/>
      </c>
      <c r="J2854" s="6" t="str">
        <f aca="false">IFERROR(INDEX('Semrush Data'!$A$1:$Z$20000,MATCH(A2854,'Semrush Data'!$A$1:$A$20000,0),MATCH("Intent",'Semrush Data'!$A$1:$Z$1,0)),"")</f>
        <v/>
      </c>
    </row>
    <row r="2855" customFormat="false" ht="15" hidden="false" customHeight="true" outlineLevel="0" collapsed="false">
      <c r="A2855" s="6" t="s">
        <v>7535</v>
      </c>
      <c r="B2855" s="6" t="s">
        <v>239</v>
      </c>
      <c r="C2855" s="6" t="n">
        <v>3</v>
      </c>
      <c r="D2855" s="6" t="n">
        <v>29</v>
      </c>
      <c r="E2855" s="6" t="n">
        <v>1</v>
      </c>
      <c r="F2855" s="6" t="s">
        <v>4873</v>
      </c>
      <c r="G2855" s="28" t="str">
        <f aca="false">IFERROR(INDEX('Semrush Data'!$A$1:$Z$20000,MATCH(A2855,'Semrush Data'!$A$1:$A$20000,0),MATCH("Volume",'Semrush Data'!$A$1:$Z$1,0)),"")</f>
        <v/>
      </c>
      <c r="H2855" s="6" t="str">
        <f aca="false">IFERROR(INDEX('Semrush Data'!$A$1:$Z$20000,MATCH(A2855,'Semrush Data'!$A$1:$A$20000,0),MATCH("Keyword Difficulty*",'Semrush Data'!$A$1:$Z$1,0)),"")</f>
        <v/>
      </c>
      <c r="I2855" s="29" t="str">
        <f aca="false">IFERROR(INDEX('Semrush Data'!$A$1:$Z$20000,MATCH(A2855,'Semrush Data'!$A$1:$A$20000,0),MATCH("CPC*",'Semrush Data'!$A$1:$Z$1,0)),"")</f>
        <v/>
      </c>
      <c r="J2855" s="6" t="str">
        <f aca="false">IFERROR(INDEX('Semrush Data'!$A$1:$Z$20000,MATCH(A2855,'Semrush Data'!$A$1:$A$20000,0),MATCH("Intent",'Semrush Data'!$A$1:$Z$1,0)),"")</f>
        <v/>
      </c>
    </row>
    <row r="2856" customFormat="false" ht="15" hidden="false" customHeight="true" outlineLevel="0" collapsed="false">
      <c r="A2856" s="6" t="s">
        <v>7536</v>
      </c>
      <c r="B2856" s="6" t="s">
        <v>239</v>
      </c>
      <c r="C2856" s="6" t="n">
        <v>3</v>
      </c>
      <c r="D2856" s="6" t="n">
        <v>29</v>
      </c>
      <c r="E2856" s="6" t="n">
        <v>1</v>
      </c>
      <c r="F2856" s="6" t="s">
        <v>4873</v>
      </c>
      <c r="G2856" s="28" t="str">
        <f aca="false">IFERROR(INDEX('Semrush Data'!$A$1:$Z$20000,MATCH(A2856,'Semrush Data'!$A$1:$A$20000,0),MATCH("Volume",'Semrush Data'!$A$1:$Z$1,0)),"")</f>
        <v/>
      </c>
      <c r="H2856" s="6" t="str">
        <f aca="false">IFERROR(INDEX('Semrush Data'!$A$1:$Z$20000,MATCH(A2856,'Semrush Data'!$A$1:$A$20000,0),MATCH("Keyword Difficulty*",'Semrush Data'!$A$1:$Z$1,0)),"")</f>
        <v/>
      </c>
      <c r="I2856" s="29" t="str">
        <f aca="false">IFERROR(INDEX('Semrush Data'!$A$1:$Z$20000,MATCH(A2856,'Semrush Data'!$A$1:$A$20000,0),MATCH("CPC*",'Semrush Data'!$A$1:$Z$1,0)),"")</f>
        <v/>
      </c>
      <c r="J2856" s="6" t="str">
        <f aca="false">IFERROR(INDEX('Semrush Data'!$A$1:$Z$20000,MATCH(A2856,'Semrush Data'!$A$1:$A$20000,0),MATCH("Intent",'Semrush Data'!$A$1:$Z$1,0)),"")</f>
        <v/>
      </c>
    </row>
    <row r="2857" customFormat="false" ht="15" hidden="false" customHeight="true" outlineLevel="0" collapsed="false">
      <c r="A2857" s="6" t="s">
        <v>7537</v>
      </c>
      <c r="B2857" s="6" t="s">
        <v>239</v>
      </c>
      <c r="C2857" s="6" t="n">
        <v>3</v>
      </c>
      <c r="D2857" s="6" t="n">
        <v>29</v>
      </c>
      <c r="E2857" s="6" t="n">
        <v>1</v>
      </c>
      <c r="F2857" s="6" t="s">
        <v>4832</v>
      </c>
      <c r="G2857" s="28" t="str">
        <f aca="false">IFERROR(INDEX('Semrush Data'!$A$1:$Z$20000,MATCH(A2857,'Semrush Data'!$A$1:$A$20000,0),MATCH("Volume",'Semrush Data'!$A$1:$Z$1,0)),"")</f>
        <v/>
      </c>
      <c r="H2857" s="6" t="str">
        <f aca="false">IFERROR(INDEX('Semrush Data'!$A$1:$Z$20000,MATCH(A2857,'Semrush Data'!$A$1:$A$20000,0),MATCH("Keyword Difficulty*",'Semrush Data'!$A$1:$Z$1,0)),"")</f>
        <v/>
      </c>
      <c r="I2857" s="29" t="str">
        <f aca="false">IFERROR(INDEX('Semrush Data'!$A$1:$Z$20000,MATCH(A2857,'Semrush Data'!$A$1:$A$20000,0),MATCH("CPC*",'Semrush Data'!$A$1:$Z$1,0)),"")</f>
        <v/>
      </c>
      <c r="J2857" s="6" t="str">
        <f aca="false">IFERROR(INDEX('Semrush Data'!$A$1:$Z$20000,MATCH(A2857,'Semrush Data'!$A$1:$A$20000,0),MATCH("Intent",'Semrush Data'!$A$1:$Z$1,0)),"")</f>
        <v/>
      </c>
    </row>
    <row r="2858" customFormat="false" ht="15" hidden="false" customHeight="true" outlineLevel="0" collapsed="false">
      <c r="A2858" s="6" t="s">
        <v>7538</v>
      </c>
      <c r="B2858" s="6" t="s">
        <v>239</v>
      </c>
      <c r="C2858" s="6" t="n">
        <v>3</v>
      </c>
      <c r="D2858" s="6" t="n">
        <v>29</v>
      </c>
      <c r="E2858" s="6" t="n">
        <v>1</v>
      </c>
      <c r="F2858" s="6" t="s">
        <v>4832</v>
      </c>
      <c r="G2858" s="28" t="str">
        <f aca="false">IFERROR(INDEX('Semrush Data'!$A$1:$Z$20000,MATCH(A2858,'Semrush Data'!$A$1:$A$20000,0),MATCH("Volume",'Semrush Data'!$A$1:$Z$1,0)),"")</f>
        <v/>
      </c>
      <c r="H2858" s="6" t="str">
        <f aca="false">IFERROR(INDEX('Semrush Data'!$A$1:$Z$20000,MATCH(A2858,'Semrush Data'!$A$1:$A$20000,0),MATCH("Keyword Difficulty*",'Semrush Data'!$A$1:$Z$1,0)),"")</f>
        <v/>
      </c>
      <c r="I2858" s="29" t="str">
        <f aca="false">IFERROR(INDEX('Semrush Data'!$A$1:$Z$20000,MATCH(A2858,'Semrush Data'!$A$1:$A$20000,0),MATCH("CPC*",'Semrush Data'!$A$1:$Z$1,0)),"")</f>
        <v/>
      </c>
      <c r="J2858" s="6" t="str">
        <f aca="false">IFERROR(INDEX('Semrush Data'!$A$1:$Z$20000,MATCH(A2858,'Semrush Data'!$A$1:$A$20000,0),MATCH("Intent",'Semrush Data'!$A$1:$Z$1,0)),"")</f>
        <v/>
      </c>
    </row>
    <row r="2859" customFormat="false" ht="15" hidden="false" customHeight="true" outlineLevel="0" collapsed="false">
      <c r="A2859" s="6" t="s">
        <v>7539</v>
      </c>
      <c r="B2859" s="6" t="s">
        <v>239</v>
      </c>
      <c r="C2859" s="6" t="n">
        <v>3</v>
      </c>
      <c r="D2859" s="6" t="n">
        <v>29</v>
      </c>
      <c r="E2859" s="6" t="n">
        <v>1</v>
      </c>
      <c r="F2859" s="6" t="s">
        <v>4832</v>
      </c>
      <c r="G2859" s="28" t="str">
        <f aca="false">IFERROR(INDEX('Semrush Data'!$A$1:$Z$20000,MATCH(A2859,'Semrush Data'!$A$1:$A$20000,0),MATCH("Volume",'Semrush Data'!$A$1:$Z$1,0)),"")</f>
        <v/>
      </c>
      <c r="H2859" s="6" t="str">
        <f aca="false">IFERROR(INDEX('Semrush Data'!$A$1:$Z$20000,MATCH(A2859,'Semrush Data'!$A$1:$A$20000,0),MATCH("Keyword Difficulty*",'Semrush Data'!$A$1:$Z$1,0)),"")</f>
        <v/>
      </c>
      <c r="I2859" s="29" t="str">
        <f aca="false">IFERROR(INDEX('Semrush Data'!$A$1:$Z$20000,MATCH(A2859,'Semrush Data'!$A$1:$A$20000,0),MATCH("CPC*",'Semrush Data'!$A$1:$Z$1,0)),"")</f>
        <v/>
      </c>
      <c r="J2859" s="6" t="str">
        <f aca="false">IFERROR(INDEX('Semrush Data'!$A$1:$Z$20000,MATCH(A2859,'Semrush Data'!$A$1:$A$20000,0),MATCH("Intent",'Semrush Data'!$A$1:$Z$1,0)),"")</f>
        <v/>
      </c>
    </row>
    <row r="2860" customFormat="false" ht="15" hidden="false" customHeight="true" outlineLevel="0" collapsed="false">
      <c r="A2860" s="6" t="s">
        <v>7540</v>
      </c>
      <c r="B2860" s="6" t="s">
        <v>239</v>
      </c>
      <c r="C2860" s="6" t="n">
        <v>3</v>
      </c>
      <c r="D2860" s="6" t="n">
        <v>29</v>
      </c>
      <c r="E2860" s="6" t="n">
        <v>1</v>
      </c>
      <c r="F2860" s="6" t="s">
        <v>4832</v>
      </c>
      <c r="G2860" s="28" t="str">
        <f aca="false">IFERROR(INDEX('Semrush Data'!$A$1:$Z$20000,MATCH(A2860,'Semrush Data'!$A$1:$A$20000,0),MATCH("Volume",'Semrush Data'!$A$1:$Z$1,0)),"")</f>
        <v/>
      </c>
      <c r="H2860" s="6" t="str">
        <f aca="false">IFERROR(INDEX('Semrush Data'!$A$1:$Z$20000,MATCH(A2860,'Semrush Data'!$A$1:$A$20000,0),MATCH("Keyword Difficulty*",'Semrush Data'!$A$1:$Z$1,0)),"")</f>
        <v/>
      </c>
      <c r="I2860" s="29" t="str">
        <f aca="false">IFERROR(INDEX('Semrush Data'!$A$1:$Z$20000,MATCH(A2860,'Semrush Data'!$A$1:$A$20000,0),MATCH("CPC*",'Semrush Data'!$A$1:$Z$1,0)),"")</f>
        <v/>
      </c>
      <c r="J2860" s="6" t="str">
        <f aca="false">IFERROR(INDEX('Semrush Data'!$A$1:$Z$20000,MATCH(A2860,'Semrush Data'!$A$1:$A$20000,0),MATCH("Intent",'Semrush Data'!$A$1:$Z$1,0)),"")</f>
        <v/>
      </c>
    </row>
    <row r="2861" customFormat="false" ht="15" hidden="false" customHeight="true" outlineLevel="0" collapsed="false">
      <c r="A2861" s="6" t="s">
        <v>7541</v>
      </c>
      <c r="B2861" s="6" t="s">
        <v>239</v>
      </c>
      <c r="C2861" s="6" t="n">
        <v>3</v>
      </c>
      <c r="D2861" s="6" t="n">
        <v>29</v>
      </c>
      <c r="E2861" s="6" t="n">
        <v>1</v>
      </c>
      <c r="F2861" s="6" t="s">
        <v>4832</v>
      </c>
      <c r="G2861" s="28" t="str">
        <f aca="false">IFERROR(INDEX('Semrush Data'!$A$1:$Z$20000,MATCH(A2861,'Semrush Data'!$A$1:$A$20000,0),MATCH("Volume",'Semrush Data'!$A$1:$Z$1,0)),"")</f>
        <v/>
      </c>
      <c r="H2861" s="6" t="str">
        <f aca="false">IFERROR(INDEX('Semrush Data'!$A$1:$Z$20000,MATCH(A2861,'Semrush Data'!$A$1:$A$20000,0),MATCH("Keyword Difficulty*",'Semrush Data'!$A$1:$Z$1,0)),"")</f>
        <v/>
      </c>
      <c r="I2861" s="29" t="str">
        <f aca="false">IFERROR(INDEX('Semrush Data'!$A$1:$Z$20000,MATCH(A2861,'Semrush Data'!$A$1:$A$20000,0),MATCH("CPC*",'Semrush Data'!$A$1:$Z$1,0)),"")</f>
        <v/>
      </c>
      <c r="J2861" s="6" t="str">
        <f aca="false">IFERROR(INDEX('Semrush Data'!$A$1:$Z$20000,MATCH(A2861,'Semrush Data'!$A$1:$A$20000,0),MATCH("Intent",'Semrush Data'!$A$1:$Z$1,0)),"")</f>
        <v/>
      </c>
    </row>
    <row r="2862" customFormat="false" ht="15" hidden="false" customHeight="true" outlineLevel="0" collapsed="false">
      <c r="A2862" s="6" t="s">
        <v>7542</v>
      </c>
      <c r="B2862" s="6" t="s">
        <v>239</v>
      </c>
      <c r="C2862" s="6" t="n">
        <v>3</v>
      </c>
      <c r="D2862" s="6" t="n">
        <v>29</v>
      </c>
      <c r="E2862" s="6" t="n">
        <v>1</v>
      </c>
      <c r="F2862" s="6" t="s">
        <v>113</v>
      </c>
      <c r="G2862" s="28" t="str">
        <f aca="false">IFERROR(INDEX('Semrush Data'!$A$1:$Z$20000,MATCH(A2862,'Semrush Data'!$A$1:$A$20000,0),MATCH("Volume",'Semrush Data'!$A$1:$Z$1,0)),"")</f>
        <v/>
      </c>
      <c r="H2862" s="6" t="str">
        <f aca="false">IFERROR(INDEX('Semrush Data'!$A$1:$Z$20000,MATCH(A2862,'Semrush Data'!$A$1:$A$20000,0),MATCH("Keyword Difficulty*",'Semrush Data'!$A$1:$Z$1,0)),"")</f>
        <v/>
      </c>
      <c r="I2862" s="29" t="str">
        <f aca="false">IFERROR(INDEX('Semrush Data'!$A$1:$Z$20000,MATCH(A2862,'Semrush Data'!$A$1:$A$20000,0),MATCH("CPC*",'Semrush Data'!$A$1:$Z$1,0)),"")</f>
        <v/>
      </c>
      <c r="J2862" s="6" t="str">
        <f aca="false">IFERROR(INDEX('Semrush Data'!$A$1:$Z$20000,MATCH(A2862,'Semrush Data'!$A$1:$A$20000,0),MATCH("Intent",'Semrush Data'!$A$1:$Z$1,0)),"")</f>
        <v/>
      </c>
    </row>
    <row r="2863" customFormat="false" ht="15" hidden="false" customHeight="true" outlineLevel="0" collapsed="false">
      <c r="A2863" s="6" t="s">
        <v>7543</v>
      </c>
      <c r="B2863" s="6" t="s">
        <v>239</v>
      </c>
      <c r="C2863" s="6" t="n">
        <v>3</v>
      </c>
      <c r="D2863" s="6" t="s">
        <v>6870</v>
      </c>
      <c r="E2863" s="6" t="n">
        <v>1</v>
      </c>
      <c r="F2863" s="6" t="s">
        <v>113</v>
      </c>
      <c r="G2863" s="28" t="n">
        <f aca="false">IFERROR(INDEX('Semrush Data'!$A$1:$Z$20000,MATCH(A2863,'Semrush Data'!$A$1:$A$20000,0),MATCH("Volume",'Semrush Data'!$A$1:$Z$1,0)),"")</f>
        <v>20</v>
      </c>
      <c r="H2863" s="6" t="n">
        <f aca="false">IFERROR(INDEX('Semrush Data'!$A$1:$Z$20000,MATCH(A2863,'Semrush Data'!$A$1:$A$20000,0),MATCH("Keyword Difficulty*",'Semrush Data'!$A$1:$Z$1,0)),"")</f>
        <v>10</v>
      </c>
      <c r="I2863" s="29" t="n">
        <f aca="false">IFERROR(INDEX('Semrush Data'!$A$1:$Z$20000,MATCH(A2863,'Semrush Data'!$A$1:$A$20000,0),MATCH("CPC*",'Semrush Data'!$A$1:$Z$1,0)),"")</f>
        <v>0</v>
      </c>
      <c r="J2863" s="6" t="str">
        <f aca="false">IFERROR(INDEX('Semrush Data'!$A$1:$Z$20000,MATCH(A2863,'Semrush Data'!$A$1:$A$20000,0),MATCH("Intent",'Semrush Data'!$A$1:$Z$1,0)),"")</f>
        <v>Transactional Navigational</v>
      </c>
    </row>
    <row r="2864" customFormat="false" ht="15" hidden="false" customHeight="true" outlineLevel="0" collapsed="false">
      <c r="A2864" s="6" t="s">
        <v>7544</v>
      </c>
      <c r="B2864" s="6" t="s">
        <v>239</v>
      </c>
      <c r="C2864" s="6" t="n">
        <v>3</v>
      </c>
      <c r="D2864" s="6" t="n">
        <v>29</v>
      </c>
      <c r="E2864" s="6" t="n">
        <v>1</v>
      </c>
      <c r="F2864" s="6" t="s">
        <v>113</v>
      </c>
      <c r="G2864" s="28" t="str">
        <f aca="false">IFERROR(INDEX('Semrush Data'!$A$1:$Z$20000,MATCH(A2864,'Semrush Data'!$A$1:$A$20000,0),MATCH("Volume",'Semrush Data'!$A$1:$Z$1,0)),"")</f>
        <v/>
      </c>
      <c r="H2864" s="6" t="str">
        <f aca="false">IFERROR(INDEX('Semrush Data'!$A$1:$Z$20000,MATCH(A2864,'Semrush Data'!$A$1:$A$20000,0),MATCH("Keyword Difficulty*",'Semrush Data'!$A$1:$Z$1,0)),"")</f>
        <v/>
      </c>
      <c r="I2864" s="29" t="str">
        <f aca="false">IFERROR(INDEX('Semrush Data'!$A$1:$Z$20000,MATCH(A2864,'Semrush Data'!$A$1:$A$20000,0),MATCH("CPC*",'Semrush Data'!$A$1:$Z$1,0)),"")</f>
        <v/>
      </c>
      <c r="J2864" s="6" t="str">
        <f aca="false">IFERROR(INDEX('Semrush Data'!$A$1:$Z$20000,MATCH(A2864,'Semrush Data'!$A$1:$A$20000,0),MATCH("Intent",'Semrush Data'!$A$1:$Z$1,0)),"")</f>
        <v/>
      </c>
    </row>
    <row r="2865" customFormat="false" ht="15" hidden="false" customHeight="true" outlineLevel="0" collapsed="false">
      <c r="A2865" s="6" t="s">
        <v>7545</v>
      </c>
      <c r="B2865" s="6" t="s">
        <v>239</v>
      </c>
      <c r="C2865" s="6" t="n">
        <v>3</v>
      </c>
      <c r="D2865" s="6" t="s">
        <v>6870</v>
      </c>
      <c r="E2865" s="6" t="n">
        <v>1</v>
      </c>
      <c r="F2865" s="6" t="s">
        <v>113</v>
      </c>
      <c r="G2865" s="28" t="n">
        <f aca="false">IFERROR(INDEX('Semrush Data'!$A$1:$Z$20000,MATCH(A2865,'Semrush Data'!$A$1:$A$20000,0),MATCH("Volume",'Semrush Data'!$A$1:$Z$1,0)),"")</f>
        <v>20</v>
      </c>
      <c r="H2865" s="6" t="n">
        <f aca="false">IFERROR(INDEX('Semrush Data'!$A$1:$Z$20000,MATCH(A2865,'Semrush Data'!$A$1:$A$20000,0),MATCH("Keyword Difficulty*",'Semrush Data'!$A$1:$Z$1,0)),"")</f>
        <v>14</v>
      </c>
      <c r="I2865" s="29" t="n">
        <f aca="false">IFERROR(INDEX('Semrush Data'!$A$1:$Z$20000,MATCH(A2865,'Semrush Data'!$A$1:$A$20000,0),MATCH("CPC*",'Semrush Data'!$A$1:$Z$1,0)),"")</f>
        <v>0</v>
      </c>
      <c r="J2865" s="6" t="str">
        <f aca="false">IFERROR(INDEX('Semrush Data'!$A$1:$Z$20000,MATCH(A2865,'Semrush Data'!$A$1:$A$20000,0),MATCH("Intent",'Semrush Data'!$A$1:$Z$1,0)),"")</f>
        <v>Commercial</v>
      </c>
    </row>
    <row r="2866" customFormat="false" ht="15" hidden="false" customHeight="true" outlineLevel="0" collapsed="false">
      <c r="A2866" s="6" t="s">
        <v>7546</v>
      </c>
      <c r="B2866" s="6" t="s">
        <v>239</v>
      </c>
      <c r="C2866" s="6" t="n">
        <v>3</v>
      </c>
      <c r="D2866" s="6" t="n">
        <v>29</v>
      </c>
      <c r="E2866" s="6" t="n">
        <v>1</v>
      </c>
      <c r="F2866" s="6" t="s">
        <v>4873</v>
      </c>
      <c r="G2866" s="28" t="str">
        <f aca="false">IFERROR(INDEX('Semrush Data'!$A$1:$Z$20000,MATCH(A2866,'Semrush Data'!$A$1:$A$20000,0),MATCH("Volume",'Semrush Data'!$A$1:$Z$1,0)),"")</f>
        <v/>
      </c>
      <c r="H2866" s="6" t="str">
        <f aca="false">IFERROR(INDEX('Semrush Data'!$A$1:$Z$20000,MATCH(A2866,'Semrush Data'!$A$1:$A$20000,0),MATCH("Keyword Difficulty*",'Semrush Data'!$A$1:$Z$1,0)),"")</f>
        <v/>
      </c>
      <c r="I2866" s="29" t="str">
        <f aca="false">IFERROR(INDEX('Semrush Data'!$A$1:$Z$20000,MATCH(A2866,'Semrush Data'!$A$1:$A$20000,0),MATCH("CPC*",'Semrush Data'!$A$1:$Z$1,0)),"")</f>
        <v/>
      </c>
      <c r="J2866" s="6" t="str">
        <f aca="false">IFERROR(INDEX('Semrush Data'!$A$1:$Z$20000,MATCH(A2866,'Semrush Data'!$A$1:$A$20000,0),MATCH("Intent",'Semrush Data'!$A$1:$Z$1,0)),"")</f>
        <v/>
      </c>
    </row>
    <row r="2867" customFormat="false" ht="15" hidden="false" customHeight="true" outlineLevel="0" collapsed="false">
      <c r="A2867" s="6" t="s">
        <v>7547</v>
      </c>
      <c r="B2867" s="6" t="s">
        <v>239</v>
      </c>
      <c r="C2867" s="6" t="n">
        <v>3</v>
      </c>
      <c r="D2867" s="6" t="n">
        <v>29</v>
      </c>
      <c r="E2867" s="6" t="n">
        <v>1</v>
      </c>
      <c r="F2867" s="6" t="s">
        <v>127</v>
      </c>
      <c r="G2867" s="28" t="str">
        <f aca="false">IFERROR(INDEX('Semrush Data'!$A$1:$Z$20000,MATCH(A2867,'Semrush Data'!$A$1:$A$20000,0),MATCH("Volume",'Semrush Data'!$A$1:$Z$1,0)),"")</f>
        <v/>
      </c>
      <c r="H2867" s="6" t="str">
        <f aca="false">IFERROR(INDEX('Semrush Data'!$A$1:$Z$20000,MATCH(A2867,'Semrush Data'!$A$1:$A$20000,0),MATCH("Keyword Difficulty*",'Semrush Data'!$A$1:$Z$1,0)),"")</f>
        <v/>
      </c>
      <c r="I2867" s="29" t="str">
        <f aca="false">IFERROR(INDEX('Semrush Data'!$A$1:$Z$20000,MATCH(A2867,'Semrush Data'!$A$1:$A$20000,0),MATCH("CPC*",'Semrush Data'!$A$1:$Z$1,0)),"")</f>
        <v/>
      </c>
      <c r="J2867" s="6" t="str">
        <f aca="false">IFERROR(INDEX('Semrush Data'!$A$1:$Z$20000,MATCH(A2867,'Semrush Data'!$A$1:$A$20000,0),MATCH("Intent",'Semrush Data'!$A$1:$Z$1,0)),"")</f>
        <v/>
      </c>
    </row>
    <row r="2868" customFormat="false" ht="15" hidden="false" customHeight="true" outlineLevel="0" collapsed="false">
      <c r="A2868" s="6" t="s">
        <v>7548</v>
      </c>
      <c r="B2868" s="6" t="s">
        <v>239</v>
      </c>
      <c r="C2868" s="6" t="n">
        <v>3</v>
      </c>
      <c r="D2868" s="6" t="n">
        <v>29</v>
      </c>
      <c r="E2868" s="6" t="n">
        <v>1</v>
      </c>
      <c r="F2868" s="6" t="s">
        <v>127</v>
      </c>
      <c r="G2868" s="28" t="str">
        <f aca="false">IFERROR(INDEX('Semrush Data'!$A$1:$Z$20000,MATCH(A2868,'Semrush Data'!$A$1:$A$20000,0),MATCH("Volume",'Semrush Data'!$A$1:$Z$1,0)),"")</f>
        <v/>
      </c>
      <c r="H2868" s="6" t="str">
        <f aca="false">IFERROR(INDEX('Semrush Data'!$A$1:$Z$20000,MATCH(A2868,'Semrush Data'!$A$1:$A$20000,0),MATCH("Keyword Difficulty*",'Semrush Data'!$A$1:$Z$1,0)),"")</f>
        <v/>
      </c>
      <c r="I2868" s="29" t="str">
        <f aca="false">IFERROR(INDEX('Semrush Data'!$A$1:$Z$20000,MATCH(A2868,'Semrush Data'!$A$1:$A$20000,0),MATCH("CPC*",'Semrush Data'!$A$1:$Z$1,0)),"")</f>
        <v/>
      </c>
      <c r="J2868" s="6" t="str">
        <f aca="false">IFERROR(INDEX('Semrush Data'!$A$1:$Z$20000,MATCH(A2868,'Semrush Data'!$A$1:$A$20000,0),MATCH("Intent",'Semrush Data'!$A$1:$Z$1,0)),"")</f>
        <v/>
      </c>
    </row>
    <row r="2869" customFormat="false" ht="15" hidden="false" customHeight="true" outlineLevel="0" collapsed="false">
      <c r="A2869" s="6" t="s">
        <v>7549</v>
      </c>
      <c r="B2869" s="6" t="s">
        <v>239</v>
      </c>
      <c r="C2869" s="6" t="n">
        <v>3</v>
      </c>
      <c r="D2869" s="6" t="s">
        <v>6870</v>
      </c>
      <c r="E2869" s="6" t="n">
        <v>1</v>
      </c>
      <c r="F2869" s="6" t="s">
        <v>127</v>
      </c>
      <c r="G2869" s="28" t="n">
        <f aca="false">IFERROR(INDEX('Semrush Data'!$A$1:$Z$20000,MATCH(A2869,'Semrush Data'!$A$1:$A$20000,0),MATCH("Volume",'Semrush Data'!$A$1:$Z$1,0)),"")</f>
        <v>20</v>
      </c>
      <c r="H2869" s="6" t="n">
        <f aca="false">IFERROR(INDEX('Semrush Data'!$A$1:$Z$20000,MATCH(A2869,'Semrush Data'!$A$1:$A$20000,0),MATCH("Keyword Difficulty*",'Semrush Data'!$A$1:$Z$1,0)),"")</f>
        <v>17</v>
      </c>
      <c r="I2869" s="29" t="n">
        <f aca="false">IFERROR(INDEX('Semrush Data'!$A$1:$Z$20000,MATCH(A2869,'Semrush Data'!$A$1:$A$20000,0),MATCH("CPC*",'Semrush Data'!$A$1:$Z$1,0)),"")</f>
        <v>0</v>
      </c>
      <c r="J2869" s="6" t="str">
        <f aca="false">IFERROR(INDEX('Semrush Data'!$A$1:$Z$20000,MATCH(A2869,'Semrush Data'!$A$1:$A$20000,0),MATCH("Intent",'Semrush Data'!$A$1:$Z$1,0)),"")</f>
        <v>Informational</v>
      </c>
    </row>
    <row r="2870" customFormat="false" ht="15" hidden="false" customHeight="true" outlineLevel="0" collapsed="false">
      <c r="A2870" s="6" t="s">
        <v>7550</v>
      </c>
      <c r="B2870" s="6" t="s">
        <v>239</v>
      </c>
      <c r="C2870" s="6" t="n">
        <v>3</v>
      </c>
      <c r="D2870" s="6" t="s">
        <v>6893</v>
      </c>
      <c r="E2870" s="6" t="n">
        <v>1</v>
      </c>
      <c r="F2870" s="6" t="s">
        <v>127</v>
      </c>
      <c r="G2870" s="28" t="n">
        <f aca="false">IFERROR(INDEX('Semrush Data'!$A$1:$Z$20000,MATCH(A2870,'Semrush Data'!$A$1:$A$20000,0),MATCH("Volume",'Semrush Data'!$A$1:$Z$1,0)),"")</f>
        <v>20</v>
      </c>
      <c r="H2870" s="6" t="n">
        <f aca="false">IFERROR(INDEX('Semrush Data'!$A$1:$Z$20000,MATCH(A2870,'Semrush Data'!$A$1:$A$20000,0),MATCH("Keyword Difficulty*",'Semrush Data'!$A$1:$Z$1,0)),"")</f>
        <v>21</v>
      </c>
      <c r="I2870" s="29" t="n">
        <f aca="false">IFERROR(INDEX('Semrush Data'!$A$1:$Z$20000,MATCH(A2870,'Semrush Data'!$A$1:$A$20000,0),MATCH("CPC*",'Semrush Data'!$A$1:$Z$1,0)),"")</f>
        <v>0.64</v>
      </c>
      <c r="J2870" s="6" t="str">
        <f aca="false">IFERROR(INDEX('Semrush Data'!$A$1:$Z$20000,MATCH(A2870,'Semrush Data'!$A$1:$A$20000,0),MATCH("Intent",'Semrush Data'!$A$1:$Z$1,0)),"")</f>
        <v>Informational Transactional</v>
      </c>
    </row>
    <row r="2871" customFormat="false" ht="15" hidden="false" customHeight="true" outlineLevel="0" collapsed="false">
      <c r="A2871" s="6" t="s">
        <v>7551</v>
      </c>
      <c r="B2871" s="6" t="s">
        <v>239</v>
      </c>
      <c r="C2871" s="6" t="n">
        <v>3</v>
      </c>
      <c r="D2871" s="6" t="n">
        <v>29</v>
      </c>
      <c r="E2871" s="6" t="n">
        <v>1</v>
      </c>
      <c r="F2871" s="6" t="s">
        <v>127</v>
      </c>
      <c r="G2871" s="28" t="str">
        <f aca="false">IFERROR(INDEX('Semrush Data'!$A$1:$Z$20000,MATCH(A2871,'Semrush Data'!$A$1:$A$20000,0),MATCH("Volume",'Semrush Data'!$A$1:$Z$1,0)),"")</f>
        <v/>
      </c>
      <c r="H2871" s="6" t="str">
        <f aca="false">IFERROR(INDEX('Semrush Data'!$A$1:$Z$20000,MATCH(A2871,'Semrush Data'!$A$1:$A$20000,0),MATCH("Keyword Difficulty*",'Semrush Data'!$A$1:$Z$1,0)),"")</f>
        <v/>
      </c>
      <c r="I2871" s="29" t="str">
        <f aca="false">IFERROR(INDEX('Semrush Data'!$A$1:$Z$20000,MATCH(A2871,'Semrush Data'!$A$1:$A$20000,0),MATCH("CPC*",'Semrush Data'!$A$1:$Z$1,0)),"")</f>
        <v/>
      </c>
      <c r="J2871" s="6" t="str">
        <f aca="false">IFERROR(INDEX('Semrush Data'!$A$1:$Z$20000,MATCH(A2871,'Semrush Data'!$A$1:$A$20000,0),MATCH("Intent",'Semrush Data'!$A$1:$Z$1,0)),"")</f>
        <v/>
      </c>
    </row>
    <row r="2872" customFormat="false" ht="15" hidden="false" customHeight="true" outlineLevel="0" collapsed="false">
      <c r="A2872" s="6" t="s">
        <v>4920</v>
      </c>
      <c r="B2872" s="6" t="s">
        <v>239</v>
      </c>
      <c r="C2872" s="6" t="n">
        <v>3</v>
      </c>
      <c r="D2872" s="6" t="n">
        <v>29</v>
      </c>
      <c r="E2872" s="6" t="n">
        <v>1</v>
      </c>
      <c r="F2872" s="6" t="s">
        <v>4913</v>
      </c>
      <c r="G2872" s="28" t="str">
        <f aca="false">IFERROR(INDEX('Semrush Data'!$A$1:$Z$20000,MATCH(A2872,'Semrush Data'!$A$1:$A$20000,0),MATCH("Volume",'Semrush Data'!$A$1:$Z$1,0)),"")</f>
        <v/>
      </c>
      <c r="H2872" s="6" t="str">
        <f aca="false">IFERROR(INDEX('Semrush Data'!$A$1:$Z$20000,MATCH(A2872,'Semrush Data'!$A$1:$A$20000,0),MATCH("Keyword Difficulty*",'Semrush Data'!$A$1:$Z$1,0)),"")</f>
        <v/>
      </c>
      <c r="I2872" s="29" t="str">
        <f aca="false">IFERROR(INDEX('Semrush Data'!$A$1:$Z$20000,MATCH(A2872,'Semrush Data'!$A$1:$A$20000,0),MATCH("CPC*",'Semrush Data'!$A$1:$Z$1,0)),"")</f>
        <v/>
      </c>
      <c r="J2872" s="6" t="str">
        <f aca="false">IFERROR(INDEX('Semrush Data'!$A$1:$Z$20000,MATCH(A2872,'Semrush Data'!$A$1:$A$20000,0),MATCH("Intent",'Semrush Data'!$A$1:$Z$1,0)),"")</f>
        <v/>
      </c>
    </row>
    <row r="2873" customFormat="false" ht="15" hidden="false" customHeight="true" outlineLevel="0" collapsed="false">
      <c r="A2873" s="6" t="s">
        <v>7552</v>
      </c>
      <c r="B2873" s="6" t="s">
        <v>239</v>
      </c>
      <c r="C2873" s="6" t="n">
        <v>3</v>
      </c>
      <c r="D2873" s="6" t="n">
        <v>29</v>
      </c>
      <c r="E2873" s="6" t="n">
        <v>1</v>
      </c>
      <c r="F2873" s="6" t="s">
        <v>4954</v>
      </c>
      <c r="G2873" s="28" t="str">
        <f aca="false">IFERROR(INDEX('Semrush Data'!$A$1:$Z$20000,MATCH(A2873,'Semrush Data'!$A$1:$A$20000,0),MATCH("Volume",'Semrush Data'!$A$1:$Z$1,0)),"")</f>
        <v/>
      </c>
      <c r="H2873" s="6" t="str">
        <f aca="false">IFERROR(INDEX('Semrush Data'!$A$1:$Z$20000,MATCH(A2873,'Semrush Data'!$A$1:$A$20000,0),MATCH("Keyword Difficulty*",'Semrush Data'!$A$1:$Z$1,0)),"")</f>
        <v/>
      </c>
      <c r="I2873" s="29" t="str">
        <f aca="false">IFERROR(INDEX('Semrush Data'!$A$1:$Z$20000,MATCH(A2873,'Semrush Data'!$A$1:$A$20000,0),MATCH("CPC*",'Semrush Data'!$A$1:$Z$1,0)),"")</f>
        <v/>
      </c>
      <c r="J2873" s="6" t="str">
        <f aca="false">IFERROR(INDEX('Semrush Data'!$A$1:$Z$20000,MATCH(A2873,'Semrush Data'!$A$1:$A$20000,0),MATCH("Intent",'Semrush Data'!$A$1:$Z$1,0)),"")</f>
        <v/>
      </c>
    </row>
    <row r="2874" customFormat="false" ht="15" hidden="false" customHeight="true" outlineLevel="0" collapsed="false">
      <c r="A2874" s="6" t="s">
        <v>7553</v>
      </c>
      <c r="B2874" s="6" t="s">
        <v>239</v>
      </c>
      <c r="C2874" s="6" t="n">
        <v>3</v>
      </c>
      <c r="D2874" s="6" t="n">
        <v>29</v>
      </c>
      <c r="E2874" s="6" t="n">
        <v>1</v>
      </c>
      <c r="F2874" s="6" t="s">
        <v>4954</v>
      </c>
      <c r="G2874" s="28" t="str">
        <f aca="false">IFERROR(INDEX('Semrush Data'!$A$1:$Z$20000,MATCH(A2874,'Semrush Data'!$A$1:$A$20000,0),MATCH("Volume",'Semrush Data'!$A$1:$Z$1,0)),"")</f>
        <v/>
      </c>
      <c r="H2874" s="6" t="str">
        <f aca="false">IFERROR(INDEX('Semrush Data'!$A$1:$Z$20000,MATCH(A2874,'Semrush Data'!$A$1:$A$20000,0),MATCH("Keyword Difficulty*",'Semrush Data'!$A$1:$Z$1,0)),"")</f>
        <v/>
      </c>
      <c r="I2874" s="29" t="str">
        <f aca="false">IFERROR(INDEX('Semrush Data'!$A$1:$Z$20000,MATCH(A2874,'Semrush Data'!$A$1:$A$20000,0),MATCH("CPC*",'Semrush Data'!$A$1:$Z$1,0)),"")</f>
        <v/>
      </c>
      <c r="J2874" s="6" t="str">
        <f aca="false">IFERROR(INDEX('Semrush Data'!$A$1:$Z$20000,MATCH(A2874,'Semrush Data'!$A$1:$A$20000,0),MATCH("Intent",'Semrush Data'!$A$1:$Z$1,0)),"")</f>
        <v/>
      </c>
    </row>
    <row r="2875" customFormat="false" ht="15" hidden="false" customHeight="true" outlineLevel="0" collapsed="false">
      <c r="A2875" s="6" t="s">
        <v>7554</v>
      </c>
      <c r="B2875" s="6" t="s">
        <v>239</v>
      </c>
      <c r="C2875" s="6" t="n">
        <v>3</v>
      </c>
      <c r="D2875" s="6" t="n">
        <v>29</v>
      </c>
      <c r="E2875" s="6" t="n">
        <v>2</v>
      </c>
      <c r="F2875" s="6" t="s">
        <v>6856</v>
      </c>
      <c r="G2875" s="28" t="str">
        <f aca="false">IFERROR(INDEX('Semrush Data'!$A$1:$Z$20000,MATCH(A2875,'Semrush Data'!$A$1:$A$20000,0),MATCH("Volume",'Semrush Data'!$A$1:$Z$1,0)),"")</f>
        <v/>
      </c>
      <c r="H2875" s="6" t="str">
        <f aca="false">IFERROR(INDEX('Semrush Data'!$A$1:$Z$20000,MATCH(A2875,'Semrush Data'!$A$1:$A$20000,0),MATCH("Keyword Difficulty*",'Semrush Data'!$A$1:$Z$1,0)),"")</f>
        <v/>
      </c>
      <c r="I2875" s="29" t="str">
        <f aca="false">IFERROR(INDEX('Semrush Data'!$A$1:$Z$20000,MATCH(A2875,'Semrush Data'!$A$1:$A$20000,0),MATCH("CPC*",'Semrush Data'!$A$1:$Z$1,0)),"")</f>
        <v/>
      </c>
      <c r="J2875" s="6" t="str">
        <f aca="false">IFERROR(INDEX('Semrush Data'!$A$1:$Z$20000,MATCH(A2875,'Semrush Data'!$A$1:$A$20000,0),MATCH("Intent",'Semrush Data'!$A$1:$Z$1,0)),"")</f>
        <v/>
      </c>
    </row>
    <row r="2876" customFormat="false" ht="15" hidden="false" customHeight="true" outlineLevel="0" collapsed="false">
      <c r="A2876" s="6" t="s">
        <v>5023</v>
      </c>
      <c r="B2876" s="6" t="s">
        <v>239</v>
      </c>
      <c r="C2876" s="6" t="n">
        <v>3</v>
      </c>
      <c r="D2876" s="6" t="n">
        <v>29</v>
      </c>
      <c r="E2876" s="6" t="n">
        <v>2</v>
      </c>
      <c r="F2876" s="6" t="s">
        <v>6858</v>
      </c>
      <c r="G2876" s="28" t="str">
        <f aca="false">IFERROR(INDEX('Semrush Data'!$A$1:$Z$20000,MATCH(A2876,'Semrush Data'!$A$1:$A$20000,0),MATCH("Volume",'Semrush Data'!$A$1:$Z$1,0)),"")</f>
        <v/>
      </c>
      <c r="H2876" s="6" t="str">
        <f aca="false">IFERROR(INDEX('Semrush Data'!$A$1:$Z$20000,MATCH(A2876,'Semrush Data'!$A$1:$A$20000,0),MATCH("Keyword Difficulty*",'Semrush Data'!$A$1:$Z$1,0)),"")</f>
        <v/>
      </c>
      <c r="I2876" s="29" t="str">
        <f aca="false">IFERROR(INDEX('Semrush Data'!$A$1:$Z$20000,MATCH(A2876,'Semrush Data'!$A$1:$A$20000,0),MATCH("CPC*",'Semrush Data'!$A$1:$Z$1,0)),"")</f>
        <v/>
      </c>
      <c r="J2876" s="6" t="str">
        <f aca="false">IFERROR(INDEX('Semrush Data'!$A$1:$Z$20000,MATCH(A2876,'Semrush Data'!$A$1:$A$20000,0),MATCH("Intent",'Semrush Data'!$A$1:$Z$1,0)),"")</f>
        <v/>
      </c>
    </row>
    <row r="2877" customFormat="false" ht="15" hidden="false" customHeight="true" outlineLevel="0" collapsed="false">
      <c r="A2877" s="6" t="s">
        <v>5039</v>
      </c>
      <c r="B2877" s="6" t="s">
        <v>239</v>
      </c>
      <c r="C2877" s="6" t="n">
        <v>3</v>
      </c>
      <c r="D2877" s="6" t="n">
        <v>29</v>
      </c>
      <c r="E2877" s="6" t="n">
        <v>2</v>
      </c>
      <c r="F2877" s="6" t="s">
        <v>6859</v>
      </c>
      <c r="G2877" s="28" t="str">
        <f aca="false">IFERROR(INDEX('Semrush Data'!$A$1:$Z$20000,MATCH(A2877,'Semrush Data'!$A$1:$A$20000,0),MATCH("Volume",'Semrush Data'!$A$1:$Z$1,0)),"")</f>
        <v/>
      </c>
      <c r="H2877" s="6" t="str">
        <f aca="false">IFERROR(INDEX('Semrush Data'!$A$1:$Z$20000,MATCH(A2877,'Semrush Data'!$A$1:$A$20000,0),MATCH("Keyword Difficulty*",'Semrush Data'!$A$1:$Z$1,0)),"")</f>
        <v/>
      </c>
      <c r="I2877" s="29" t="str">
        <f aca="false">IFERROR(INDEX('Semrush Data'!$A$1:$Z$20000,MATCH(A2877,'Semrush Data'!$A$1:$A$20000,0),MATCH("CPC*",'Semrush Data'!$A$1:$Z$1,0)),"")</f>
        <v/>
      </c>
      <c r="J2877" s="6" t="str">
        <f aca="false">IFERROR(INDEX('Semrush Data'!$A$1:$Z$20000,MATCH(A2877,'Semrush Data'!$A$1:$A$20000,0),MATCH("Intent",'Semrush Data'!$A$1:$Z$1,0)),"")</f>
        <v/>
      </c>
    </row>
    <row r="2878" customFormat="false" ht="15" hidden="false" customHeight="true" outlineLevel="0" collapsed="false">
      <c r="A2878" s="6" t="s">
        <v>5959</v>
      </c>
      <c r="B2878" s="6" t="s">
        <v>239</v>
      </c>
      <c r="C2878" s="6" t="n">
        <v>3</v>
      </c>
      <c r="D2878" s="6" t="n">
        <v>29</v>
      </c>
      <c r="E2878" s="6" t="n">
        <v>1</v>
      </c>
      <c r="F2878" s="6" t="s">
        <v>5952</v>
      </c>
      <c r="G2878" s="28" t="str">
        <f aca="false">IFERROR(INDEX('Semrush Data'!$A$1:$Z$20000,MATCH(A2878,'Semrush Data'!$A$1:$A$20000,0),MATCH("Volume",'Semrush Data'!$A$1:$Z$1,0)),"")</f>
        <v/>
      </c>
      <c r="H2878" s="6" t="str">
        <f aca="false">IFERROR(INDEX('Semrush Data'!$A$1:$Z$20000,MATCH(A2878,'Semrush Data'!$A$1:$A$20000,0),MATCH("Keyword Difficulty*",'Semrush Data'!$A$1:$Z$1,0)),"")</f>
        <v/>
      </c>
      <c r="I2878" s="29" t="str">
        <f aca="false">IFERROR(INDEX('Semrush Data'!$A$1:$Z$20000,MATCH(A2878,'Semrush Data'!$A$1:$A$20000,0),MATCH("CPC*",'Semrush Data'!$A$1:$Z$1,0)),"")</f>
        <v/>
      </c>
      <c r="J2878" s="6" t="str">
        <f aca="false">IFERROR(INDEX('Semrush Data'!$A$1:$Z$20000,MATCH(A2878,'Semrush Data'!$A$1:$A$20000,0),MATCH("Intent",'Semrush Data'!$A$1:$Z$1,0)),"")</f>
        <v/>
      </c>
    </row>
    <row r="2879" customFormat="false" ht="15" hidden="false" customHeight="true" outlineLevel="0" collapsed="false">
      <c r="A2879" s="6" t="s">
        <v>7555</v>
      </c>
      <c r="B2879" s="6" t="s">
        <v>239</v>
      </c>
      <c r="C2879" s="6" t="n">
        <v>3</v>
      </c>
      <c r="D2879" s="6" t="n">
        <v>29</v>
      </c>
      <c r="E2879" s="6" t="n">
        <v>1</v>
      </c>
      <c r="F2879" s="6" t="s">
        <v>5061</v>
      </c>
      <c r="G2879" s="28" t="str">
        <f aca="false">IFERROR(INDEX('Semrush Data'!$A$1:$Z$20000,MATCH(A2879,'Semrush Data'!$A$1:$A$20000,0),MATCH("Volume",'Semrush Data'!$A$1:$Z$1,0)),"")</f>
        <v/>
      </c>
      <c r="H2879" s="6" t="str">
        <f aca="false">IFERROR(INDEX('Semrush Data'!$A$1:$Z$20000,MATCH(A2879,'Semrush Data'!$A$1:$A$20000,0),MATCH("Keyword Difficulty*",'Semrush Data'!$A$1:$Z$1,0)),"")</f>
        <v/>
      </c>
      <c r="I2879" s="29" t="str">
        <f aca="false">IFERROR(INDEX('Semrush Data'!$A$1:$Z$20000,MATCH(A2879,'Semrush Data'!$A$1:$A$20000,0),MATCH("CPC*",'Semrush Data'!$A$1:$Z$1,0)),"")</f>
        <v/>
      </c>
      <c r="J2879" s="6" t="str">
        <f aca="false">IFERROR(INDEX('Semrush Data'!$A$1:$Z$20000,MATCH(A2879,'Semrush Data'!$A$1:$A$20000,0),MATCH("Intent",'Semrush Data'!$A$1:$Z$1,0)),"")</f>
        <v/>
      </c>
    </row>
    <row r="2880" customFormat="false" ht="15" hidden="false" customHeight="true" outlineLevel="0" collapsed="false">
      <c r="A2880" s="6" t="s">
        <v>7556</v>
      </c>
      <c r="B2880" s="6" t="s">
        <v>239</v>
      </c>
      <c r="C2880" s="6" t="n">
        <v>3</v>
      </c>
      <c r="D2880" s="6" t="n">
        <v>29</v>
      </c>
      <c r="E2880" s="6" t="n">
        <v>1</v>
      </c>
      <c r="F2880" s="6" t="s">
        <v>5061</v>
      </c>
      <c r="G2880" s="28" t="str">
        <f aca="false">IFERROR(INDEX('Semrush Data'!$A$1:$Z$20000,MATCH(A2880,'Semrush Data'!$A$1:$A$20000,0),MATCH("Volume",'Semrush Data'!$A$1:$Z$1,0)),"")</f>
        <v/>
      </c>
      <c r="H2880" s="6" t="str">
        <f aca="false">IFERROR(INDEX('Semrush Data'!$A$1:$Z$20000,MATCH(A2880,'Semrush Data'!$A$1:$A$20000,0),MATCH("Keyword Difficulty*",'Semrush Data'!$A$1:$Z$1,0)),"")</f>
        <v/>
      </c>
      <c r="I2880" s="29" t="str">
        <f aca="false">IFERROR(INDEX('Semrush Data'!$A$1:$Z$20000,MATCH(A2880,'Semrush Data'!$A$1:$A$20000,0),MATCH("CPC*",'Semrush Data'!$A$1:$Z$1,0)),"")</f>
        <v/>
      </c>
      <c r="J2880" s="6" t="str">
        <f aca="false">IFERROR(INDEX('Semrush Data'!$A$1:$Z$20000,MATCH(A2880,'Semrush Data'!$A$1:$A$20000,0),MATCH("Intent",'Semrush Data'!$A$1:$Z$1,0)),"")</f>
        <v/>
      </c>
    </row>
    <row r="2881" customFormat="false" ht="15" hidden="false" customHeight="true" outlineLevel="0" collapsed="false">
      <c r="A2881" s="6" t="s">
        <v>7557</v>
      </c>
      <c r="B2881" s="6" t="s">
        <v>239</v>
      </c>
      <c r="C2881" s="6" t="n">
        <v>3</v>
      </c>
      <c r="D2881" s="6" t="n">
        <v>29</v>
      </c>
      <c r="E2881" s="6" t="n">
        <v>1</v>
      </c>
      <c r="F2881" s="6" t="s">
        <v>5061</v>
      </c>
      <c r="G2881" s="28" t="str">
        <f aca="false">IFERROR(INDEX('Semrush Data'!$A$1:$Z$20000,MATCH(A2881,'Semrush Data'!$A$1:$A$20000,0),MATCH("Volume",'Semrush Data'!$A$1:$Z$1,0)),"")</f>
        <v/>
      </c>
      <c r="H2881" s="6" t="str">
        <f aca="false">IFERROR(INDEX('Semrush Data'!$A$1:$Z$20000,MATCH(A2881,'Semrush Data'!$A$1:$A$20000,0),MATCH("Keyword Difficulty*",'Semrush Data'!$A$1:$Z$1,0)),"")</f>
        <v/>
      </c>
      <c r="I2881" s="29" t="str">
        <f aca="false">IFERROR(INDEX('Semrush Data'!$A$1:$Z$20000,MATCH(A2881,'Semrush Data'!$A$1:$A$20000,0),MATCH("CPC*",'Semrush Data'!$A$1:$Z$1,0)),"")</f>
        <v/>
      </c>
      <c r="J2881" s="6" t="str">
        <f aca="false">IFERROR(INDEX('Semrush Data'!$A$1:$Z$20000,MATCH(A2881,'Semrush Data'!$A$1:$A$20000,0),MATCH("Intent",'Semrush Data'!$A$1:$Z$1,0)),"")</f>
        <v/>
      </c>
    </row>
    <row r="2882" customFormat="false" ht="15" hidden="false" customHeight="true" outlineLevel="0" collapsed="false">
      <c r="A2882" s="6" t="s">
        <v>7558</v>
      </c>
      <c r="B2882" s="6" t="s">
        <v>239</v>
      </c>
      <c r="C2882" s="6" t="n">
        <v>3</v>
      </c>
      <c r="D2882" s="6" t="n">
        <v>29</v>
      </c>
      <c r="E2882" s="6" t="n">
        <v>1</v>
      </c>
      <c r="F2882" s="6" t="s">
        <v>1178</v>
      </c>
      <c r="G2882" s="28" t="str">
        <f aca="false">IFERROR(INDEX('Semrush Data'!$A$1:$Z$20000,MATCH(A2882,'Semrush Data'!$A$1:$A$20000,0),MATCH("Volume",'Semrush Data'!$A$1:$Z$1,0)),"")</f>
        <v/>
      </c>
      <c r="H2882" s="6" t="str">
        <f aca="false">IFERROR(INDEX('Semrush Data'!$A$1:$Z$20000,MATCH(A2882,'Semrush Data'!$A$1:$A$20000,0),MATCH("Keyword Difficulty*",'Semrush Data'!$A$1:$Z$1,0)),"")</f>
        <v/>
      </c>
      <c r="I2882" s="29" t="str">
        <f aca="false">IFERROR(INDEX('Semrush Data'!$A$1:$Z$20000,MATCH(A2882,'Semrush Data'!$A$1:$A$20000,0),MATCH("CPC*",'Semrush Data'!$A$1:$Z$1,0)),"")</f>
        <v/>
      </c>
      <c r="J2882" s="6" t="str">
        <f aca="false">IFERROR(INDEX('Semrush Data'!$A$1:$Z$20000,MATCH(A2882,'Semrush Data'!$A$1:$A$20000,0),MATCH("Intent",'Semrush Data'!$A$1:$Z$1,0)),"")</f>
        <v/>
      </c>
    </row>
    <row r="2883" customFormat="false" ht="15" hidden="false" customHeight="true" outlineLevel="0" collapsed="false">
      <c r="A2883" s="6" t="s">
        <v>7559</v>
      </c>
      <c r="B2883" s="6" t="s">
        <v>239</v>
      </c>
      <c r="C2883" s="6" t="n">
        <v>3</v>
      </c>
      <c r="D2883" s="6" t="n">
        <v>29</v>
      </c>
      <c r="E2883" s="6" t="n">
        <v>1</v>
      </c>
      <c r="F2883" s="6" t="s">
        <v>1219</v>
      </c>
      <c r="G2883" s="28" t="str">
        <f aca="false">IFERROR(INDEX('Semrush Data'!$A$1:$Z$20000,MATCH(A2883,'Semrush Data'!$A$1:$A$20000,0),MATCH("Volume",'Semrush Data'!$A$1:$Z$1,0)),"")</f>
        <v/>
      </c>
      <c r="H2883" s="6" t="str">
        <f aca="false">IFERROR(INDEX('Semrush Data'!$A$1:$Z$20000,MATCH(A2883,'Semrush Data'!$A$1:$A$20000,0),MATCH("Keyword Difficulty*",'Semrush Data'!$A$1:$Z$1,0)),"")</f>
        <v/>
      </c>
      <c r="I2883" s="29" t="str">
        <f aca="false">IFERROR(INDEX('Semrush Data'!$A$1:$Z$20000,MATCH(A2883,'Semrush Data'!$A$1:$A$20000,0),MATCH("CPC*",'Semrush Data'!$A$1:$Z$1,0)),"")</f>
        <v/>
      </c>
      <c r="J2883" s="6" t="str">
        <f aca="false">IFERROR(INDEX('Semrush Data'!$A$1:$Z$20000,MATCH(A2883,'Semrush Data'!$A$1:$A$20000,0),MATCH("Intent",'Semrush Data'!$A$1:$Z$1,0)),"")</f>
        <v/>
      </c>
    </row>
    <row r="2884" customFormat="false" ht="15" hidden="false" customHeight="true" outlineLevel="0" collapsed="false">
      <c r="A2884" s="6" t="s">
        <v>7560</v>
      </c>
      <c r="B2884" s="6" t="s">
        <v>239</v>
      </c>
      <c r="C2884" s="6" t="n">
        <v>3</v>
      </c>
      <c r="D2884" s="6" t="n">
        <v>29</v>
      </c>
      <c r="E2884" s="6" t="n">
        <v>1</v>
      </c>
      <c r="F2884" s="6" t="s">
        <v>926</v>
      </c>
      <c r="G2884" s="28" t="str">
        <f aca="false">IFERROR(INDEX('Semrush Data'!$A$1:$Z$20000,MATCH(A2884,'Semrush Data'!$A$1:$A$20000,0),MATCH("Volume",'Semrush Data'!$A$1:$Z$1,0)),"")</f>
        <v/>
      </c>
      <c r="H2884" s="6" t="str">
        <f aca="false">IFERROR(INDEX('Semrush Data'!$A$1:$Z$20000,MATCH(A2884,'Semrush Data'!$A$1:$A$20000,0),MATCH("Keyword Difficulty*",'Semrush Data'!$A$1:$Z$1,0)),"")</f>
        <v/>
      </c>
      <c r="I2884" s="29" t="str">
        <f aca="false">IFERROR(INDEX('Semrush Data'!$A$1:$Z$20000,MATCH(A2884,'Semrush Data'!$A$1:$A$20000,0),MATCH("CPC*",'Semrush Data'!$A$1:$Z$1,0)),"")</f>
        <v/>
      </c>
      <c r="J2884" s="6" t="str">
        <f aca="false">IFERROR(INDEX('Semrush Data'!$A$1:$Z$20000,MATCH(A2884,'Semrush Data'!$A$1:$A$20000,0),MATCH("Intent",'Semrush Data'!$A$1:$Z$1,0)),"")</f>
        <v/>
      </c>
    </row>
    <row r="2885" customFormat="false" ht="15" hidden="false" customHeight="true" outlineLevel="0" collapsed="false">
      <c r="A2885" s="6" t="s">
        <v>7561</v>
      </c>
      <c r="B2885" s="6" t="s">
        <v>239</v>
      </c>
      <c r="C2885" s="6" t="n">
        <v>3</v>
      </c>
      <c r="D2885" s="6" t="n">
        <v>29</v>
      </c>
      <c r="E2885" s="6" t="n">
        <v>1</v>
      </c>
      <c r="F2885" s="6" t="s">
        <v>1014</v>
      </c>
      <c r="G2885" s="28" t="str">
        <f aca="false">IFERROR(INDEX('Semrush Data'!$A$1:$Z$20000,MATCH(A2885,'Semrush Data'!$A$1:$A$20000,0),MATCH("Volume",'Semrush Data'!$A$1:$Z$1,0)),"")</f>
        <v/>
      </c>
      <c r="H2885" s="6" t="str">
        <f aca="false">IFERROR(INDEX('Semrush Data'!$A$1:$Z$20000,MATCH(A2885,'Semrush Data'!$A$1:$A$20000,0),MATCH("Keyword Difficulty*",'Semrush Data'!$A$1:$Z$1,0)),"")</f>
        <v/>
      </c>
      <c r="I2885" s="29" t="str">
        <f aca="false">IFERROR(INDEX('Semrush Data'!$A$1:$Z$20000,MATCH(A2885,'Semrush Data'!$A$1:$A$20000,0),MATCH("CPC*",'Semrush Data'!$A$1:$Z$1,0)),"")</f>
        <v/>
      </c>
      <c r="J2885" s="6" t="str">
        <f aca="false">IFERROR(INDEX('Semrush Data'!$A$1:$Z$20000,MATCH(A2885,'Semrush Data'!$A$1:$A$20000,0),MATCH("Intent",'Semrush Data'!$A$1:$Z$1,0)),"")</f>
        <v/>
      </c>
    </row>
    <row r="2886" customFormat="false" ht="15" hidden="false" customHeight="true" outlineLevel="0" collapsed="false">
      <c r="A2886" s="6" t="s">
        <v>7562</v>
      </c>
      <c r="B2886" s="6" t="s">
        <v>239</v>
      </c>
      <c r="C2886" s="6" t="n">
        <v>3</v>
      </c>
      <c r="D2886" s="6" t="n">
        <v>29</v>
      </c>
      <c r="E2886" s="6" t="n">
        <v>1</v>
      </c>
      <c r="F2886" s="6" t="s">
        <v>549</v>
      </c>
      <c r="G2886" s="28" t="str">
        <f aca="false">IFERROR(INDEX('Semrush Data'!$A$1:$Z$20000,MATCH(A2886,'Semrush Data'!$A$1:$A$20000,0),MATCH("Volume",'Semrush Data'!$A$1:$Z$1,0)),"")</f>
        <v/>
      </c>
      <c r="H2886" s="6" t="str">
        <f aca="false">IFERROR(INDEX('Semrush Data'!$A$1:$Z$20000,MATCH(A2886,'Semrush Data'!$A$1:$A$20000,0),MATCH("Keyword Difficulty*",'Semrush Data'!$A$1:$Z$1,0)),"")</f>
        <v/>
      </c>
      <c r="I2886" s="29" t="str">
        <f aca="false">IFERROR(INDEX('Semrush Data'!$A$1:$Z$20000,MATCH(A2886,'Semrush Data'!$A$1:$A$20000,0),MATCH("CPC*",'Semrush Data'!$A$1:$Z$1,0)),"")</f>
        <v/>
      </c>
      <c r="J2886" s="6" t="str">
        <f aca="false">IFERROR(INDEX('Semrush Data'!$A$1:$Z$20000,MATCH(A2886,'Semrush Data'!$A$1:$A$20000,0),MATCH("Intent",'Semrush Data'!$A$1:$Z$1,0)),"")</f>
        <v/>
      </c>
    </row>
    <row r="2887" customFormat="false" ht="15" hidden="false" customHeight="true" outlineLevel="0" collapsed="false">
      <c r="A2887" s="6" t="s">
        <v>7563</v>
      </c>
      <c r="B2887" s="6" t="s">
        <v>239</v>
      </c>
      <c r="C2887" s="6" t="n">
        <v>3</v>
      </c>
      <c r="D2887" s="6" t="n">
        <v>29</v>
      </c>
      <c r="E2887" s="6" t="n">
        <v>1</v>
      </c>
      <c r="F2887" s="6" t="s">
        <v>470</v>
      </c>
      <c r="G2887" s="28" t="str">
        <f aca="false">IFERROR(INDEX('Semrush Data'!$A$1:$Z$20000,MATCH(A2887,'Semrush Data'!$A$1:$A$20000,0),MATCH("Volume",'Semrush Data'!$A$1:$Z$1,0)),"")</f>
        <v/>
      </c>
      <c r="H2887" s="6" t="str">
        <f aca="false">IFERROR(INDEX('Semrush Data'!$A$1:$Z$20000,MATCH(A2887,'Semrush Data'!$A$1:$A$20000,0),MATCH("Keyword Difficulty*",'Semrush Data'!$A$1:$Z$1,0)),"")</f>
        <v/>
      </c>
      <c r="I2887" s="29" t="str">
        <f aca="false">IFERROR(INDEX('Semrush Data'!$A$1:$Z$20000,MATCH(A2887,'Semrush Data'!$A$1:$A$20000,0),MATCH("CPC*",'Semrush Data'!$A$1:$Z$1,0)),"")</f>
        <v/>
      </c>
      <c r="J2887" s="6" t="str">
        <f aca="false">IFERROR(INDEX('Semrush Data'!$A$1:$Z$20000,MATCH(A2887,'Semrush Data'!$A$1:$A$20000,0),MATCH("Intent",'Semrush Data'!$A$1:$Z$1,0)),"")</f>
        <v/>
      </c>
    </row>
    <row r="2888" customFormat="false" ht="15" hidden="false" customHeight="true" outlineLevel="0" collapsed="false">
      <c r="A2888" s="6" t="s">
        <v>7564</v>
      </c>
      <c r="B2888" s="6" t="s">
        <v>239</v>
      </c>
      <c r="C2888" s="6" t="n">
        <v>3</v>
      </c>
      <c r="D2888" s="6" t="n">
        <v>29</v>
      </c>
      <c r="E2888" s="6" t="n">
        <v>1</v>
      </c>
      <c r="F2888" s="6" t="s">
        <v>618</v>
      </c>
      <c r="G2888" s="28" t="str">
        <f aca="false">IFERROR(INDEX('Semrush Data'!$A$1:$Z$20000,MATCH(A2888,'Semrush Data'!$A$1:$A$20000,0),MATCH("Volume",'Semrush Data'!$A$1:$Z$1,0)),"")</f>
        <v/>
      </c>
      <c r="H2888" s="6" t="str">
        <f aca="false">IFERROR(INDEX('Semrush Data'!$A$1:$Z$20000,MATCH(A2888,'Semrush Data'!$A$1:$A$20000,0),MATCH("Keyword Difficulty*",'Semrush Data'!$A$1:$Z$1,0)),"")</f>
        <v/>
      </c>
      <c r="I2888" s="29" t="str">
        <f aca="false">IFERROR(INDEX('Semrush Data'!$A$1:$Z$20000,MATCH(A2888,'Semrush Data'!$A$1:$A$20000,0),MATCH("CPC*",'Semrush Data'!$A$1:$Z$1,0)),"")</f>
        <v/>
      </c>
      <c r="J2888" s="6" t="str">
        <f aca="false">IFERROR(INDEX('Semrush Data'!$A$1:$Z$20000,MATCH(A2888,'Semrush Data'!$A$1:$A$20000,0),MATCH("Intent",'Semrush Data'!$A$1:$Z$1,0)),"")</f>
        <v/>
      </c>
    </row>
    <row r="2889" customFormat="false" ht="15" hidden="false" customHeight="true" outlineLevel="0" collapsed="false">
      <c r="A2889" s="6" t="s">
        <v>7565</v>
      </c>
      <c r="B2889" s="6" t="s">
        <v>239</v>
      </c>
      <c r="C2889" s="6" t="n">
        <v>3</v>
      </c>
      <c r="D2889" s="6" t="n">
        <v>29</v>
      </c>
      <c r="E2889" s="6" t="n">
        <v>1</v>
      </c>
      <c r="F2889" s="6" t="s">
        <v>618</v>
      </c>
      <c r="G2889" s="28" t="str">
        <f aca="false">IFERROR(INDEX('Semrush Data'!$A$1:$Z$20000,MATCH(A2889,'Semrush Data'!$A$1:$A$20000,0),MATCH("Volume",'Semrush Data'!$A$1:$Z$1,0)),"")</f>
        <v/>
      </c>
      <c r="H2889" s="6" t="str">
        <f aca="false">IFERROR(INDEX('Semrush Data'!$A$1:$Z$20000,MATCH(A2889,'Semrush Data'!$A$1:$A$20000,0),MATCH("Keyword Difficulty*",'Semrush Data'!$A$1:$Z$1,0)),"")</f>
        <v/>
      </c>
      <c r="I2889" s="29" t="str">
        <f aca="false">IFERROR(INDEX('Semrush Data'!$A$1:$Z$20000,MATCH(A2889,'Semrush Data'!$A$1:$A$20000,0),MATCH("CPC*",'Semrush Data'!$A$1:$Z$1,0)),"")</f>
        <v/>
      </c>
      <c r="J2889" s="6" t="str">
        <f aca="false">IFERROR(INDEX('Semrush Data'!$A$1:$Z$20000,MATCH(A2889,'Semrush Data'!$A$1:$A$20000,0),MATCH("Intent",'Semrush Data'!$A$1:$Z$1,0)),"")</f>
        <v/>
      </c>
    </row>
    <row r="2890" customFormat="false" ht="15" hidden="false" customHeight="true" outlineLevel="0" collapsed="false">
      <c r="A2890" s="6" t="s">
        <v>7566</v>
      </c>
      <c r="B2890" s="6" t="s">
        <v>239</v>
      </c>
      <c r="C2890" s="6" t="n">
        <v>3</v>
      </c>
      <c r="D2890" s="6" t="s">
        <v>6893</v>
      </c>
      <c r="E2890" s="6" t="n">
        <v>1</v>
      </c>
      <c r="F2890" s="6" t="s">
        <v>689</v>
      </c>
      <c r="G2890" s="28" t="n">
        <f aca="false">IFERROR(INDEX('Semrush Data'!$A$1:$Z$20000,MATCH(A2890,'Semrush Data'!$A$1:$A$20000,0),MATCH("Volume",'Semrush Data'!$A$1:$Z$1,0)),"")</f>
        <v>0</v>
      </c>
      <c r="H2890" s="6" t="n">
        <f aca="false">IFERROR(INDEX('Semrush Data'!$A$1:$Z$20000,MATCH(A2890,'Semrush Data'!$A$1:$A$20000,0),MATCH("Keyword Difficulty*",'Semrush Data'!$A$1:$Z$1,0)),"")</f>
        <v>28</v>
      </c>
      <c r="I2890" s="29" t="n">
        <f aca="false">IFERROR(INDEX('Semrush Data'!$A$1:$Z$20000,MATCH(A2890,'Semrush Data'!$A$1:$A$20000,0),MATCH("CPC*",'Semrush Data'!$A$1:$Z$1,0)),"")</f>
        <v>0</v>
      </c>
      <c r="J2890" s="6" t="str">
        <f aca="false">IFERROR(INDEX('Semrush Data'!$A$1:$Z$20000,MATCH(A2890,'Semrush Data'!$A$1:$A$20000,0),MATCH("Intent",'Semrush Data'!$A$1:$Z$1,0)),"")</f>
        <v>Informational</v>
      </c>
    </row>
    <row r="2891" customFormat="false" ht="15" hidden="false" customHeight="true" outlineLevel="0" collapsed="false">
      <c r="A2891" s="6" t="s">
        <v>7567</v>
      </c>
      <c r="B2891" s="6" t="s">
        <v>239</v>
      </c>
      <c r="C2891" s="6" t="n">
        <v>3</v>
      </c>
      <c r="D2891" s="6" t="n">
        <v>29</v>
      </c>
      <c r="E2891" s="6" t="n">
        <v>1</v>
      </c>
      <c r="F2891" s="6" t="s">
        <v>4522</v>
      </c>
      <c r="G2891" s="28" t="str">
        <f aca="false">IFERROR(INDEX('Semrush Data'!$A$1:$Z$20000,MATCH(A2891,'Semrush Data'!$A$1:$A$20000,0),MATCH("Volume",'Semrush Data'!$A$1:$Z$1,0)),"")</f>
        <v/>
      </c>
      <c r="H2891" s="6" t="str">
        <f aca="false">IFERROR(INDEX('Semrush Data'!$A$1:$Z$20000,MATCH(A2891,'Semrush Data'!$A$1:$A$20000,0),MATCH("Keyword Difficulty*",'Semrush Data'!$A$1:$Z$1,0)),"")</f>
        <v/>
      </c>
      <c r="I2891" s="29" t="str">
        <f aca="false">IFERROR(INDEX('Semrush Data'!$A$1:$Z$20000,MATCH(A2891,'Semrush Data'!$A$1:$A$20000,0),MATCH("CPC*",'Semrush Data'!$A$1:$Z$1,0)),"")</f>
        <v/>
      </c>
      <c r="J2891" s="6" t="str">
        <f aca="false">IFERROR(INDEX('Semrush Data'!$A$1:$Z$20000,MATCH(A2891,'Semrush Data'!$A$1:$A$20000,0),MATCH("Intent",'Semrush Data'!$A$1:$Z$1,0)),"")</f>
        <v/>
      </c>
    </row>
    <row r="2892" customFormat="false" ht="15" hidden="false" customHeight="true" outlineLevel="0" collapsed="false">
      <c r="A2892" s="6" t="s">
        <v>7568</v>
      </c>
      <c r="B2892" s="6" t="s">
        <v>239</v>
      </c>
      <c r="C2892" s="6" t="n">
        <v>3</v>
      </c>
      <c r="D2892" s="6" t="n">
        <v>29</v>
      </c>
      <c r="E2892" s="6" t="n">
        <v>1</v>
      </c>
      <c r="F2892" s="6" t="s">
        <v>4522</v>
      </c>
      <c r="G2892" s="28" t="str">
        <f aca="false">IFERROR(INDEX('Semrush Data'!$A$1:$Z$20000,MATCH(A2892,'Semrush Data'!$A$1:$A$20000,0),MATCH("Volume",'Semrush Data'!$A$1:$Z$1,0)),"")</f>
        <v/>
      </c>
      <c r="H2892" s="6" t="str">
        <f aca="false">IFERROR(INDEX('Semrush Data'!$A$1:$Z$20000,MATCH(A2892,'Semrush Data'!$A$1:$A$20000,0),MATCH("Keyword Difficulty*",'Semrush Data'!$A$1:$Z$1,0)),"")</f>
        <v/>
      </c>
      <c r="I2892" s="29" t="str">
        <f aca="false">IFERROR(INDEX('Semrush Data'!$A$1:$Z$20000,MATCH(A2892,'Semrush Data'!$A$1:$A$20000,0),MATCH("CPC*",'Semrush Data'!$A$1:$Z$1,0)),"")</f>
        <v/>
      </c>
      <c r="J2892" s="6" t="str">
        <f aca="false">IFERROR(INDEX('Semrush Data'!$A$1:$Z$20000,MATCH(A2892,'Semrush Data'!$A$1:$A$20000,0),MATCH("Intent",'Semrush Data'!$A$1:$Z$1,0)),"")</f>
        <v/>
      </c>
    </row>
    <row r="2893" customFormat="false" ht="15" hidden="false" customHeight="true" outlineLevel="0" collapsed="false">
      <c r="A2893" s="6" t="s">
        <v>7569</v>
      </c>
      <c r="B2893" s="6" t="s">
        <v>239</v>
      </c>
      <c r="C2893" s="6" t="n">
        <v>3</v>
      </c>
      <c r="D2893" s="6" t="n">
        <v>29</v>
      </c>
      <c r="E2893" s="6" t="n">
        <v>1</v>
      </c>
      <c r="F2893" s="6" t="s">
        <v>5139</v>
      </c>
      <c r="G2893" s="28" t="str">
        <f aca="false">IFERROR(INDEX('Semrush Data'!$A$1:$Z$20000,MATCH(A2893,'Semrush Data'!$A$1:$A$20000,0),MATCH("Volume",'Semrush Data'!$A$1:$Z$1,0)),"")</f>
        <v/>
      </c>
      <c r="H2893" s="6" t="str">
        <f aca="false">IFERROR(INDEX('Semrush Data'!$A$1:$Z$20000,MATCH(A2893,'Semrush Data'!$A$1:$A$20000,0),MATCH("Keyword Difficulty*",'Semrush Data'!$A$1:$Z$1,0)),"")</f>
        <v/>
      </c>
      <c r="I2893" s="29" t="str">
        <f aca="false">IFERROR(INDEX('Semrush Data'!$A$1:$Z$20000,MATCH(A2893,'Semrush Data'!$A$1:$A$20000,0),MATCH("CPC*",'Semrush Data'!$A$1:$Z$1,0)),"")</f>
        <v/>
      </c>
      <c r="J2893" s="6" t="str">
        <f aca="false">IFERROR(INDEX('Semrush Data'!$A$1:$Z$20000,MATCH(A2893,'Semrush Data'!$A$1:$A$20000,0),MATCH("Intent",'Semrush Data'!$A$1:$Z$1,0)),"")</f>
        <v/>
      </c>
    </row>
    <row r="2894" customFormat="false" ht="15" hidden="false" customHeight="true" outlineLevel="0" collapsed="false">
      <c r="A2894" s="6" t="s">
        <v>7570</v>
      </c>
      <c r="B2894" s="6" t="s">
        <v>239</v>
      </c>
      <c r="C2894" s="6" t="n">
        <v>3</v>
      </c>
      <c r="D2894" s="6" t="n">
        <v>29</v>
      </c>
      <c r="E2894" s="6" t="n">
        <v>1</v>
      </c>
      <c r="F2894" s="6" t="s">
        <v>5125</v>
      </c>
      <c r="G2894" s="28" t="str">
        <f aca="false">IFERROR(INDEX('Semrush Data'!$A$1:$Z$20000,MATCH(A2894,'Semrush Data'!$A$1:$A$20000,0),MATCH("Volume",'Semrush Data'!$A$1:$Z$1,0)),"")</f>
        <v/>
      </c>
      <c r="H2894" s="6" t="str">
        <f aca="false">IFERROR(INDEX('Semrush Data'!$A$1:$Z$20000,MATCH(A2894,'Semrush Data'!$A$1:$A$20000,0),MATCH("Keyword Difficulty*",'Semrush Data'!$A$1:$Z$1,0)),"")</f>
        <v/>
      </c>
      <c r="I2894" s="29" t="str">
        <f aca="false">IFERROR(INDEX('Semrush Data'!$A$1:$Z$20000,MATCH(A2894,'Semrush Data'!$A$1:$A$20000,0),MATCH("CPC*",'Semrush Data'!$A$1:$Z$1,0)),"")</f>
        <v/>
      </c>
      <c r="J2894" s="6" t="str">
        <f aca="false">IFERROR(INDEX('Semrush Data'!$A$1:$Z$20000,MATCH(A2894,'Semrush Data'!$A$1:$A$20000,0),MATCH("Intent",'Semrush Data'!$A$1:$Z$1,0)),"")</f>
        <v/>
      </c>
    </row>
    <row r="2895" customFormat="false" ht="15" hidden="false" customHeight="true" outlineLevel="0" collapsed="false">
      <c r="A2895" s="6" t="s">
        <v>7571</v>
      </c>
      <c r="B2895" s="6" t="s">
        <v>239</v>
      </c>
      <c r="C2895" s="6" t="n">
        <v>3</v>
      </c>
      <c r="D2895" s="6" t="n">
        <v>29</v>
      </c>
      <c r="E2895" s="6" t="n">
        <v>1</v>
      </c>
      <c r="F2895" s="6" t="s">
        <v>5125</v>
      </c>
      <c r="G2895" s="28" t="str">
        <f aca="false">IFERROR(INDEX('Semrush Data'!$A$1:$Z$20000,MATCH(A2895,'Semrush Data'!$A$1:$A$20000,0),MATCH("Volume",'Semrush Data'!$A$1:$Z$1,0)),"")</f>
        <v/>
      </c>
      <c r="H2895" s="6" t="str">
        <f aca="false">IFERROR(INDEX('Semrush Data'!$A$1:$Z$20000,MATCH(A2895,'Semrush Data'!$A$1:$A$20000,0),MATCH("Keyword Difficulty*",'Semrush Data'!$A$1:$Z$1,0)),"")</f>
        <v/>
      </c>
      <c r="I2895" s="29" t="str">
        <f aca="false">IFERROR(INDEX('Semrush Data'!$A$1:$Z$20000,MATCH(A2895,'Semrush Data'!$A$1:$A$20000,0),MATCH("CPC*",'Semrush Data'!$A$1:$Z$1,0)),"")</f>
        <v/>
      </c>
      <c r="J2895" s="6" t="str">
        <f aca="false">IFERROR(INDEX('Semrush Data'!$A$1:$Z$20000,MATCH(A2895,'Semrush Data'!$A$1:$A$20000,0),MATCH("Intent",'Semrush Data'!$A$1:$Z$1,0)),"")</f>
        <v/>
      </c>
    </row>
    <row r="2896" customFormat="false" ht="15" hidden="false" customHeight="true" outlineLevel="0" collapsed="false">
      <c r="A2896" s="6" t="s">
        <v>7572</v>
      </c>
      <c r="B2896" s="6" t="s">
        <v>239</v>
      </c>
      <c r="C2896" s="6" t="n">
        <v>3</v>
      </c>
      <c r="D2896" s="6" t="n">
        <v>29</v>
      </c>
      <c r="E2896" s="6" t="n">
        <v>1</v>
      </c>
      <c r="F2896" s="6" t="s">
        <v>5125</v>
      </c>
      <c r="G2896" s="28" t="str">
        <f aca="false">IFERROR(INDEX('Semrush Data'!$A$1:$Z$20000,MATCH(A2896,'Semrush Data'!$A$1:$A$20000,0),MATCH("Volume",'Semrush Data'!$A$1:$Z$1,0)),"")</f>
        <v/>
      </c>
      <c r="H2896" s="6" t="str">
        <f aca="false">IFERROR(INDEX('Semrush Data'!$A$1:$Z$20000,MATCH(A2896,'Semrush Data'!$A$1:$A$20000,0),MATCH("Keyword Difficulty*",'Semrush Data'!$A$1:$Z$1,0)),"")</f>
        <v/>
      </c>
      <c r="I2896" s="29" t="str">
        <f aca="false">IFERROR(INDEX('Semrush Data'!$A$1:$Z$20000,MATCH(A2896,'Semrush Data'!$A$1:$A$20000,0),MATCH("CPC*",'Semrush Data'!$A$1:$Z$1,0)),"")</f>
        <v/>
      </c>
      <c r="J2896" s="6" t="str">
        <f aca="false">IFERROR(INDEX('Semrush Data'!$A$1:$Z$20000,MATCH(A2896,'Semrush Data'!$A$1:$A$20000,0),MATCH("Intent",'Semrush Data'!$A$1:$Z$1,0)),"")</f>
        <v/>
      </c>
    </row>
    <row r="2897" customFormat="false" ht="15" hidden="false" customHeight="true" outlineLevel="0" collapsed="false">
      <c r="A2897" s="6" t="s">
        <v>7573</v>
      </c>
      <c r="B2897" s="6" t="s">
        <v>239</v>
      </c>
      <c r="C2897" s="6" t="n">
        <v>3</v>
      </c>
      <c r="D2897" s="6" t="n">
        <v>29</v>
      </c>
      <c r="E2897" s="6" t="n">
        <v>1</v>
      </c>
      <c r="F2897" s="6" t="s">
        <v>5125</v>
      </c>
      <c r="G2897" s="28" t="str">
        <f aca="false">IFERROR(INDEX('Semrush Data'!$A$1:$Z$20000,MATCH(A2897,'Semrush Data'!$A$1:$A$20000,0),MATCH("Volume",'Semrush Data'!$A$1:$Z$1,0)),"")</f>
        <v/>
      </c>
      <c r="H2897" s="6" t="str">
        <f aca="false">IFERROR(INDEX('Semrush Data'!$A$1:$Z$20000,MATCH(A2897,'Semrush Data'!$A$1:$A$20000,0),MATCH("Keyword Difficulty*",'Semrush Data'!$A$1:$Z$1,0)),"")</f>
        <v/>
      </c>
      <c r="I2897" s="29" t="str">
        <f aca="false">IFERROR(INDEX('Semrush Data'!$A$1:$Z$20000,MATCH(A2897,'Semrush Data'!$A$1:$A$20000,0),MATCH("CPC*",'Semrush Data'!$A$1:$Z$1,0)),"")</f>
        <v/>
      </c>
      <c r="J2897" s="6" t="str">
        <f aca="false">IFERROR(INDEX('Semrush Data'!$A$1:$Z$20000,MATCH(A2897,'Semrush Data'!$A$1:$A$20000,0),MATCH("Intent",'Semrush Data'!$A$1:$Z$1,0)),"")</f>
        <v/>
      </c>
    </row>
    <row r="2898" customFormat="false" ht="15" hidden="false" customHeight="true" outlineLevel="0" collapsed="false">
      <c r="A2898" s="6" t="s">
        <v>7574</v>
      </c>
      <c r="B2898" s="6" t="s">
        <v>239</v>
      </c>
      <c r="C2898" s="6" t="n">
        <v>3</v>
      </c>
      <c r="D2898" s="6" t="n">
        <v>29</v>
      </c>
      <c r="E2898" s="6" t="n">
        <v>1</v>
      </c>
      <c r="F2898" s="6" t="s">
        <v>5125</v>
      </c>
      <c r="G2898" s="28" t="str">
        <f aca="false">IFERROR(INDEX('Semrush Data'!$A$1:$Z$20000,MATCH(A2898,'Semrush Data'!$A$1:$A$20000,0),MATCH("Volume",'Semrush Data'!$A$1:$Z$1,0)),"")</f>
        <v/>
      </c>
      <c r="H2898" s="6" t="str">
        <f aca="false">IFERROR(INDEX('Semrush Data'!$A$1:$Z$20000,MATCH(A2898,'Semrush Data'!$A$1:$A$20000,0),MATCH("Keyword Difficulty*",'Semrush Data'!$A$1:$Z$1,0)),"")</f>
        <v/>
      </c>
      <c r="I2898" s="29" t="str">
        <f aca="false">IFERROR(INDEX('Semrush Data'!$A$1:$Z$20000,MATCH(A2898,'Semrush Data'!$A$1:$A$20000,0),MATCH("CPC*",'Semrush Data'!$A$1:$Z$1,0)),"")</f>
        <v/>
      </c>
      <c r="J2898" s="6" t="str">
        <f aca="false">IFERROR(INDEX('Semrush Data'!$A$1:$Z$20000,MATCH(A2898,'Semrush Data'!$A$1:$A$20000,0),MATCH("Intent",'Semrush Data'!$A$1:$Z$1,0)),"")</f>
        <v/>
      </c>
    </row>
    <row r="2899" customFormat="false" ht="15" hidden="false" customHeight="true" outlineLevel="0" collapsed="false">
      <c r="A2899" s="6" t="s">
        <v>7575</v>
      </c>
      <c r="B2899" s="6" t="s">
        <v>239</v>
      </c>
      <c r="C2899" s="6" t="n">
        <v>3</v>
      </c>
      <c r="D2899" s="6" t="n">
        <v>29</v>
      </c>
      <c r="E2899" s="6" t="n">
        <v>1</v>
      </c>
      <c r="F2899" s="6" t="s">
        <v>5139</v>
      </c>
      <c r="G2899" s="28" t="str">
        <f aca="false">IFERROR(INDEX('Semrush Data'!$A$1:$Z$20000,MATCH(A2899,'Semrush Data'!$A$1:$A$20000,0),MATCH("Volume",'Semrush Data'!$A$1:$Z$1,0)),"")</f>
        <v/>
      </c>
      <c r="H2899" s="6" t="str">
        <f aca="false">IFERROR(INDEX('Semrush Data'!$A$1:$Z$20000,MATCH(A2899,'Semrush Data'!$A$1:$A$20000,0),MATCH("Keyword Difficulty*",'Semrush Data'!$A$1:$Z$1,0)),"")</f>
        <v/>
      </c>
      <c r="I2899" s="29" t="str">
        <f aca="false">IFERROR(INDEX('Semrush Data'!$A$1:$Z$20000,MATCH(A2899,'Semrush Data'!$A$1:$A$20000,0),MATCH("CPC*",'Semrush Data'!$A$1:$Z$1,0)),"")</f>
        <v/>
      </c>
      <c r="J2899" s="6" t="str">
        <f aca="false">IFERROR(INDEX('Semrush Data'!$A$1:$Z$20000,MATCH(A2899,'Semrush Data'!$A$1:$A$20000,0),MATCH("Intent",'Semrush Data'!$A$1:$Z$1,0)),"")</f>
        <v/>
      </c>
    </row>
    <row r="2900" customFormat="false" ht="15" hidden="false" customHeight="true" outlineLevel="0" collapsed="false">
      <c r="A2900" s="6" t="s">
        <v>238</v>
      </c>
      <c r="B2900" s="6" t="s">
        <v>239</v>
      </c>
      <c r="C2900" s="6" t="n">
        <v>3</v>
      </c>
      <c r="D2900" s="6" t="s">
        <v>6870</v>
      </c>
      <c r="E2900" s="6" t="n">
        <v>1</v>
      </c>
      <c r="F2900" s="6" t="s">
        <v>55</v>
      </c>
      <c r="G2900" s="28" t="n">
        <f aca="false">IFERROR(INDEX('Semrush Data'!$A$1:$Z$20000,MATCH(A2900,'Semrush Data'!$A$1:$A$20000,0),MATCH("Volume",'Semrush Data'!$A$1:$Z$1,0)),"")</f>
        <v>9900</v>
      </c>
      <c r="H2900" s="6" t="n">
        <f aca="false">IFERROR(INDEX('Semrush Data'!$A$1:$Z$20000,MATCH(A2900,'Semrush Data'!$A$1:$A$20000,0),MATCH("Keyword Difficulty*",'Semrush Data'!$A$1:$Z$1,0)),"")</f>
        <v>23</v>
      </c>
      <c r="I2900" s="29" t="n">
        <f aca="false">IFERROR(INDEX('Semrush Data'!$A$1:$Z$20000,MATCH(A2900,'Semrush Data'!$A$1:$A$20000,0),MATCH("CPC*",'Semrush Data'!$A$1:$Z$1,0)),"")</f>
        <v>0.36</v>
      </c>
      <c r="J2900" s="6" t="str">
        <f aca="false">IFERROR(INDEX('Semrush Data'!$A$1:$Z$20000,MATCH(A2900,'Semrush Data'!$A$1:$A$20000,0),MATCH("Intent",'Semrush Data'!$A$1:$Z$1,0)),"")</f>
        <v>Informational Transactional</v>
      </c>
    </row>
    <row r="2901" customFormat="false" ht="15" hidden="false" customHeight="true" outlineLevel="0" collapsed="false">
      <c r="A2901" s="6" t="s">
        <v>7576</v>
      </c>
      <c r="B2901" s="6" t="s">
        <v>239</v>
      </c>
      <c r="C2901" s="6" t="n">
        <v>3</v>
      </c>
      <c r="D2901" s="6" t="n">
        <v>29</v>
      </c>
      <c r="E2901" s="6" t="n">
        <v>1</v>
      </c>
      <c r="F2901" s="6" t="s">
        <v>55</v>
      </c>
      <c r="G2901" s="28" t="str">
        <f aca="false">IFERROR(INDEX('Semrush Data'!$A$1:$Z$20000,MATCH(A2901,'Semrush Data'!$A$1:$A$20000,0),MATCH("Volume",'Semrush Data'!$A$1:$Z$1,0)),"")</f>
        <v/>
      </c>
      <c r="H2901" s="6" t="str">
        <f aca="false">IFERROR(INDEX('Semrush Data'!$A$1:$Z$20000,MATCH(A2901,'Semrush Data'!$A$1:$A$20000,0),MATCH("Keyword Difficulty*",'Semrush Data'!$A$1:$Z$1,0)),"")</f>
        <v/>
      </c>
      <c r="I2901" s="29" t="str">
        <f aca="false">IFERROR(INDEX('Semrush Data'!$A$1:$Z$20000,MATCH(A2901,'Semrush Data'!$A$1:$A$20000,0),MATCH("CPC*",'Semrush Data'!$A$1:$Z$1,0)),"")</f>
        <v/>
      </c>
      <c r="J2901" s="6" t="str">
        <f aca="false">IFERROR(INDEX('Semrush Data'!$A$1:$Z$20000,MATCH(A2901,'Semrush Data'!$A$1:$A$20000,0),MATCH("Intent",'Semrush Data'!$A$1:$Z$1,0)),"")</f>
        <v/>
      </c>
    </row>
    <row r="2902" customFormat="false" ht="15" hidden="false" customHeight="true" outlineLevel="0" collapsed="false">
      <c r="A2902" s="6" t="s">
        <v>7577</v>
      </c>
      <c r="B2902" s="6" t="s">
        <v>239</v>
      </c>
      <c r="C2902" s="6" t="n">
        <v>3</v>
      </c>
      <c r="D2902" s="6" t="n">
        <v>30</v>
      </c>
      <c r="E2902" s="6" t="n">
        <v>1</v>
      </c>
      <c r="F2902" s="6" t="s">
        <v>55</v>
      </c>
      <c r="G2902" s="28" t="str">
        <f aca="false">IFERROR(INDEX('Semrush Data'!$A$1:$Z$20000,MATCH(A2902,'Semrush Data'!$A$1:$A$20000,0),MATCH("Volume",'Semrush Data'!$A$1:$Z$1,0)),"")</f>
        <v/>
      </c>
      <c r="H2902" s="6" t="str">
        <f aca="false">IFERROR(INDEX('Semrush Data'!$A$1:$Z$20000,MATCH(A2902,'Semrush Data'!$A$1:$A$20000,0),MATCH("Keyword Difficulty*",'Semrush Data'!$A$1:$Z$1,0)),"")</f>
        <v/>
      </c>
      <c r="I2902" s="29" t="str">
        <f aca="false">IFERROR(INDEX('Semrush Data'!$A$1:$Z$20000,MATCH(A2902,'Semrush Data'!$A$1:$A$20000,0),MATCH("CPC*",'Semrush Data'!$A$1:$Z$1,0)),"")</f>
        <v/>
      </c>
      <c r="J2902" s="6" t="str">
        <f aca="false">IFERROR(INDEX('Semrush Data'!$A$1:$Z$20000,MATCH(A2902,'Semrush Data'!$A$1:$A$20000,0),MATCH("Intent",'Semrush Data'!$A$1:$Z$1,0)),"")</f>
        <v/>
      </c>
    </row>
    <row r="2903" customFormat="false" ht="15" hidden="false" customHeight="true" outlineLevel="0" collapsed="false">
      <c r="A2903" s="6" t="s">
        <v>7578</v>
      </c>
      <c r="B2903" s="6" t="s">
        <v>239</v>
      </c>
      <c r="C2903" s="6" t="n">
        <v>3</v>
      </c>
      <c r="D2903" s="6" t="n">
        <v>30</v>
      </c>
      <c r="E2903" s="6" t="n">
        <v>1</v>
      </c>
      <c r="F2903" s="6" t="s">
        <v>55</v>
      </c>
      <c r="G2903" s="28" t="str">
        <f aca="false">IFERROR(INDEX('Semrush Data'!$A$1:$Z$20000,MATCH(A2903,'Semrush Data'!$A$1:$A$20000,0),MATCH("Volume",'Semrush Data'!$A$1:$Z$1,0)),"")</f>
        <v/>
      </c>
      <c r="H2903" s="6" t="str">
        <f aca="false">IFERROR(INDEX('Semrush Data'!$A$1:$Z$20000,MATCH(A2903,'Semrush Data'!$A$1:$A$20000,0),MATCH("Keyword Difficulty*",'Semrush Data'!$A$1:$Z$1,0)),"")</f>
        <v/>
      </c>
      <c r="I2903" s="29" t="str">
        <f aca="false">IFERROR(INDEX('Semrush Data'!$A$1:$Z$20000,MATCH(A2903,'Semrush Data'!$A$1:$A$20000,0),MATCH("CPC*",'Semrush Data'!$A$1:$Z$1,0)),"")</f>
        <v/>
      </c>
      <c r="J2903" s="6" t="str">
        <f aca="false">IFERROR(INDEX('Semrush Data'!$A$1:$Z$20000,MATCH(A2903,'Semrush Data'!$A$1:$A$20000,0),MATCH("Intent",'Semrush Data'!$A$1:$Z$1,0)),"")</f>
        <v/>
      </c>
    </row>
    <row r="2904" customFormat="false" ht="15" hidden="false" customHeight="true" outlineLevel="0" collapsed="false">
      <c r="A2904" s="6" t="s">
        <v>7579</v>
      </c>
      <c r="B2904" s="6" t="s">
        <v>239</v>
      </c>
      <c r="C2904" s="6" t="n">
        <v>3</v>
      </c>
      <c r="D2904" s="6" t="n">
        <v>30</v>
      </c>
      <c r="E2904" s="6" t="n">
        <v>1</v>
      </c>
      <c r="F2904" s="6" t="s">
        <v>5216</v>
      </c>
      <c r="G2904" s="28" t="str">
        <f aca="false">IFERROR(INDEX('Semrush Data'!$A$1:$Z$20000,MATCH(A2904,'Semrush Data'!$A$1:$A$20000,0),MATCH("Volume",'Semrush Data'!$A$1:$Z$1,0)),"")</f>
        <v/>
      </c>
      <c r="H2904" s="6" t="str">
        <f aca="false">IFERROR(INDEX('Semrush Data'!$A$1:$Z$20000,MATCH(A2904,'Semrush Data'!$A$1:$A$20000,0),MATCH("Keyword Difficulty*",'Semrush Data'!$A$1:$Z$1,0)),"")</f>
        <v/>
      </c>
      <c r="I2904" s="29" t="str">
        <f aca="false">IFERROR(INDEX('Semrush Data'!$A$1:$Z$20000,MATCH(A2904,'Semrush Data'!$A$1:$A$20000,0),MATCH("CPC*",'Semrush Data'!$A$1:$Z$1,0)),"")</f>
        <v/>
      </c>
      <c r="J2904" s="6" t="str">
        <f aca="false">IFERROR(INDEX('Semrush Data'!$A$1:$Z$20000,MATCH(A2904,'Semrush Data'!$A$1:$A$20000,0),MATCH("Intent",'Semrush Data'!$A$1:$Z$1,0)),"")</f>
        <v/>
      </c>
    </row>
    <row r="2905" customFormat="false" ht="15" hidden="false" customHeight="true" outlineLevel="0" collapsed="false">
      <c r="A2905" s="6" t="s">
        <v>7580</v>
      </c>
      <c r="B2905" s="6" t="s">
        <v>239</v>
      </c>
      <c r="C2905" s="6" t="n">
        <v>3</v>
      </c>
      <c r="D2905" s="6" t="n">
        <v>30</v>
      </c>
      <c r="E2905" s="6" t="n">
        <v>1</v>
      </c>
      <c r="F2905" s="6" t="s">
        <v>5216</v>
      </c>
      <c r="G2905" s="28" t="str">
        <f aca="false">IFERROR(INDEX('Semrush Data'!$A$1:$Z$20000,MATCH(A2905,'Semrush Data'!$A$1:$A$20000,0),MATCH("Volume",'Semrush Data'!$A$1:$Z$1,0)),"")</f>
        <v/>
      </c>
      <c r="H2905" s="6" t="str">
        <f aca="false">IFERROR(INDEX('Semrush Data'!$A$1:$Z$20000,MATCH(A2905,'Semrush Data'!$A$1:$A$20000,0),MATCH("Keyword Difficulty*",'Semrush Data'!$A$1:$Z$1,0)),"")</f>
        <v/>
      </c>
      <c r="I2905" s="29" t="str">
        <f aca="false">IFERROR(INDEX('Semrush Data'!$A$1:$Z$20000,MATCH(A2905,'Semrush Data'!$A$1:$A$20000,0),MATCH("CPC*",'Semrush Data'!$A$1:$Z$1,0)),"")</f>
        <v/>
      </c>
      <c r="J2905" s="6" t="str">
        <f aca="false">IFERROR(INDEX('Semrush Data'!$A$1:$Z$20000,MATCH(A2905,'Semrush Data'!$A$1:$A$20000,0),MATCH("Intent",'Semrush Data'!$A$1:$Z$1,0)),"")</f>
        <v/>
      </c>
    </row>
    <row r="2906" customFormat="false" ht="15" hidden="false" customHeight="true" outlineLevel="0" collapsed="false">
      <c r="A2906" s="6" t="s">
        <v>7581</v>
      </c>
      <c r="B2906" s="6" t="s">
        <v>239</v>
      </c>
      <c r="C2906" s="6" t="n">
        <v>3</v>
      </c>
      <c r="D2906" s="6" t="n">
        <v>30</v>
      </c>
      <c r="E2906" s="6" t="n">
        <v>1</v>
      </c>
      <c r="F2906" s="6" t="s">
        <v>5216</v>
      </c>
      <c r="G2906" s="28" t="str">
        <f aca="false">IFERROR(INDEX('Semrush Data'!$A$1:$Z$20000,MATCH(A2906,'Semrush Data'!$A$1:$A$20000,0),MATCH("Volume",'Semrush Data'!$A$1:$Z$1,0)),"")</f>
        <v/>
      </c>
      <c r="H2906" s="6" t="str">
        <f aca="false">IFERROR(INDEX('Semrush Data'!$A$1:$Z$20000,MATCH(A2906,'Semrush Data'!$A$1:$A$20000,0),MATCH("Keyword Difficulty*",'Semrush Data'!$A$1:$Z$1,0)),"")</f>
        <v/>
      </c>
      <c r="I2906" s="29" t="str">
        <f aca="false">IFERROR(INDEX('Semrush Data'!$A$1:$Z$20000,MATCH(A2906,'Semrush Data'!$A$1:$A$20000,0),MATCH("CPC*",'Semrush Data'!$A$1:$Z$1,0)),"")</f>
        <v/>
      </c>
      <c r="J2906" s="6" t="str">
        <f aca="false">IFERROR(INDEX('Semrush Data'!$A$1:$Z$20000,MATCH(A2906,'Semrush Data'!$A$1:$A$20000,0),MATCH("Intent",'Semrush Data'!$A$1:$Z$1,0)),"")</f>
        <v/>
      </c>
    </row>
    <row r="2907" customFormat="false" ht="15" hidden="false" customHeight="true" outlineLevel="0" collapsed="false">
      <c r="A2907" s="6" t="s">
        <v>7582</v>
      </c>
      <c r="B2907" s="6" t="s">
        <v>239</v>
      </c>
      <c r="C2907" s="6" t="n">
        <v>3</v>
      </c>
      <c r="D2907" s="6" t="n">
        <v>30</v>
      </c>
      <c r="E2907" s="6" t="n">
        <v>1</v>
      </c>
      <c r="F2907" s="6" t="s">
        <v>5216</v>
      </c>
      <c r="G2907" s="28" t="str">
        <f aca="false">IFERROR(INDEX('Semrush Data'!$A$1:$Z$20000,MATCH(A2907,'Semrush Data'!$A$1:$A$20000,0),MATCH("Volume",'Semrush Data'!$A$1:$Z$1,0)),"")</f>
        <v/>
      </c>
      <c r="H2907" s="6" t="str">
        <f aca="false">IFERROR(INDEX('Semrush Data'!$A$1:$Z$20000,MATCH(A2907,'Semrush Data'!$A$1:$A$20000,0),MATCH("Keyword Difficulty*",'Semrush Data'!$A$1:$Z$1,0)),"")</f>
        <v/>
      </c>
      <c r="I2907" s="29" t="str">
        <f aca="false">IFERROR(INDEX('Semrush Data'!$A$1:$Z$20000,MATCH(A2907,'Semrush Data'!$A$1:$A$20000,0),MATCH("CPC*",'Semrush Data'!$A$1:$Z$1,0)),"")</f>
        <v/>
      </c>
      <c r="J2907" s="6" t="str">
        <f aca="false">IFERROR(INDEX('Semrush Data'!$A$1:$Z$20000,MATCH(A2907,'Semrush Data'!$A$1:$A$20000,0),MATCH("Intent",'Semrush Data'!$A$1:$Z$1,0)),"")</f>
        <v/>
      </c>
    </row>
    <row r="2908" customFormat="false" ht="15" hidden="false" customHeight="true" outlineLevel="0" collapsed="false">
      <c r="A2908" s="6" t="s">
        <v>7583</v>
      </c>
      <c r="B2908" s="6" t="s">
        <v>239</v>
      </c>
      <c r="C2908" s="6" t="n">
        <v>3</v>
      </c>
      <c r="D2908" s="6" t="n">
        <v>30</v>
      </c>
      <c r="E2908" s="6" t="n">
        <v>1</v>
      </c>
      <c r="F2908" s="6" t="s">
        <v>5216</v>
      </c>
      <c r="G2908" s="28" t="str">
        <f aca="false">IFERROR(INDEX('Semrush Data'!$A$1:$Z$20000,MATCH(A2908,'Semrush Data'!$A$1:$A$20000,0),MATCH("Volume",'Semrush Data'!$A$1:$Z$1,0)),"")</f>
        <v/>
      </c>
      <c r="H2908" s="6" t="str">
        <f aca="false">IFERROR(INDEX('Semrush Data'!$A$1:$Z$20000,MATCH(A2908,'Semrush Data'!$A$1:$A$20000,0),MATCH("Keyword Difficulty*",'Semrush Data'!$A$1:$Z$1,0)),"")</f>
        <v/>
      </c>
      <c r="I2908" s="29" t="str">
        <f aca="false">IFERROR(INDEX('Semrush Data'!$A$1:$Z$20000,MATCH(A2908,'Semrush Data'!$A$1:$A$20000,0),MATCH("CPC*",'Semrush Data'!$A$1:$Z$1,0)),"")</f>
        <v/>
      </c>
      <c r="J2908" s="6" t="str">
        <f aca="false">IFERROR(INDEX('Semrush Data'!$A$1:$Z$20000,MATCH(A2908,'Semrush Data'!$A$1:$A$20000,0),MATCH("Intent",'Semrush Data'!$A$1:$Z$1,0)),"")</f>
        <v/>
      </c>
    </row>
    <row r="2909" customFormat="false" ht="15" hidden="false" customHeight="true" outlineLevel="0" collapsed="false">
      <c r="A2909" s="6" t="s">
        <v>7584</v>
      </c>
      <c r="B2909" s="6" t="s">
        <v>239</v>
      </c>
      <c r="C2909" s="6" t="n">
        <v>3</v>
      </c>
      <c r="D2909" s="6" t="n">
        <v>30</v>
      </c>
      <c r="E2909" s="6" t="n">
        <v>1</v>
      </c>
      <c r="F2909" s="6" t="s">
        <v>5216</v>
      </c>
      <c r="G2909" s="28" t="str">
        <f aca="false">IFERROR(INDEX('Semrush Data'!$A$1:$Z$20000,MATCH(A2909,'Semrush Data'!$A$1:$A$20000,0),MATCH("Volume",'Semrush Data'!$A$1:$Z$1,0)),"")</f>
        <v/>
      </c>
      <c r="H2909" s="6" t="str">
        <f aca="false">IFERROR(INDEX('Semrush Data'!$A$1:$Z$20000,MATCH(A2909,'Semrush Data'!$A$1:$A$20000,0),MATCH("Keyword Difficulty*",'Semrush Data'!$A$1:$Z$1,0)),"")</f>
        <v/>
      </c>
      <c r="I2909" s="29" t="str">
        <f aca="false">IFERROR(INDEX('Semrush Data'!$A$1:$Z$20000,MATCH(A2909,'Semrush Data'!$A$1:$A$20000,0),MATCH("CPC*",'Semrush Data'!$A$1:$Z$1,0)),"")</f>
        <v/>
      </c>
      <c r="J2909" s="6" t="str">
        <f aca="false">IFERROR(INDEX('Semrush Data'!$A$1:$Z$20000,MATCH(A2909,'Semrush Data'!$A$1:$A$20000,0),MATCH("Intent",'Semrush Data'!$A$1:$Z$1,0)),"")</f>
        <v/>
      </c>
    </row>
    <row r="2910" customFormat="false" ht="15" hidden="false" customHeight="true" outlineLevel="0" collapsed="false">
      <c r="A2910" s="6" t="s">
        <v>264</v>
      </c>
      <c r="B2910" s="6" t="s">
        <v>239</v>
      </c>
      <c r="C2910" s="6" t="n">
        <v>3</v>
      </c>
      <c r="D2910" s="6" t="s">
        <v>6870</v>
      </c>
      <c r="E2910" s="6" t="n">
        <v>1</v>
      </c>
      <c r="F2910" s="6" t="s">
        <v>55</v>
      </c>
      <c r="G2910" s="28" t="n">
        <f aca="false">IFERROR(INDEX('Semrush Data'!$A$1:$Z$20000,MATCH(A2910,'Semrush Data'!$A$1:$A$20000,0),MATCH("Volume",'Semrush Data'!$A$1:$Z$1,0)),"")</f>
        <v>50</v>
      </c>
      <c r="H2910" s="6" t="n">
        <f aca="false">IFERROR(INDEX('Semrush Data'!$A$1:$Z$20000,MATCH(A2910,'Semrush Data'!$A$1:$A$20000,0),MATCH("Keyword Difficulty*",'Semrush Data'!$A$1:$Z$1,0)),"")</f>
        <v>24</v>
      </c>
      <c r="I2910" s="29" t="n">
        <f aca="false">IFERROR(INDEX('Semrush Data'!$A$1:$Z$20000,MATCH(A2910,'Semrush Data'!$A$1:$A$20000,0),MATCH("CPC*",'Semrush Data'!$A$1:$Z$1,0)),"")</f>
        <v>0</v>
      </c>
      <c r="J2910" s="6" t="str">
        <f aca="false">IFERROR(INDEX('Semrush Data'!$A$1:$Z$20000,MATCH(A2910,'Semrush Data'!$A$1:$A$20000,0),MATCH("Intent",'Semrush Data'!$A$1:$Z$1,0)),"")</f>
        <v>Informational</v>
      </c>
    </row>
    <row r="2911" customFormat="false" ht="15" hidden="false" customHeight="true" outlineLevel="0" collapsed="false">
      <c r="A2911" s="6" t="s">
        <v>7585</v>
      </c>
      <c r="B2911" s="6" t="s">
        <v>239</v>
      </c>
      <c r="C2911" s="6" t="n">
        <v>3</v>
      </c>
      <c r="D2911" s="6" t="n">
        <v>30</v>
      </c>
      <c r="E2911" s="6" t="n">
        <v>3</v>
      </c>
      <c r="F2911" s="6" t="s">
        <v>6636</v>
      </c>
      <c r="G2911" s="28" t="str">
        <f aca="false">IFERROR(INDEX('Semrush Data'!$A$1:$Z$20000,MATCH(A2911,'Semrush Data'!$A$1:$A$20000,0),MATCH("Volume",'Semrush Data'!$A$1:$Z$1,0)),"")</f>
        <v/>
      </c>
      <c r="H2911" s="6" t="str">
        <f aca="false">IFERROR(INDEX('Semrush Data'!$A$1:$Z$20000,MATCH(A2911,'Semrush Data'!$A$1:$A$20000,0),MATCH("Keyword Difficulty*",'Semrush Data'!$A$1:$Z$1,0)),"")</f>
        <v/>
      </c>
      <c r="I2911" s="29" t="str">
        <f aca="false">IFERROR(INDEX('Semrush Data'!$A$1:$Z$20000,MATCH(A2911,'Semrush Data'!$A$1:$A$20000,0),MATCH("CPC*",'Semrush Data'!$A$1:$Z$1,0)),"")</f>
        <v/>
      </c>
      <c r="J2911" s="6" t="str">
        <f aca="false">IFERROR(INDEX('Semrush Data'!$A$1:$Z$20000,MATCH(A2911,'Semrush Data'!$A$1:$A$20000,0),MATCH("Intent",'Semrush Data'!$A$1:$Z$1,0)),"")</f>
        <v/>
      </c>
    </row>
    <row r="2912" customFormat="false" ht="15" hidden="false" customHeight="true" outlineLevel="0" collapsed="false">
      <c r="A2912" s="6" t="s">
        <v>7586</v>
      </c>
      <c r="B2912" s="6" t="s">
        <v>239</v>
      </c>
      <c r="C2912" s="6" t="n">
        <v>3</v>
      </c>
      <c r="D2912" s="6" t="n">
        <v>30</v>
      </c>
      <c r="E2912" s="6" t="n">
        <v>3</v>
      </c>
      <c r="F2912" s="6" t="s">
        <v>6636</v>
      </c>
      <c r="G2912" s="28" t="str">
        <f aca="false">IFERROR(INDEX('Semrush Data'!$A$1:$Z$20000,MATCH(A2912,'Semrush Data'!$A$1:$A$20000,0),MATCH("Volume",'Semrush Data'!$A$1:$Z$1,0)),"")</f>
        <v/>
      </c>
      <c r="H2912" s="6" t="str">
        <f aca="false">IFERROR(INDEX('Semrush Data'!$A$1:$Z$20000,MATCH(A2912,'Semrush Data'!$A$1:$A$20000,0),MATCH("Keyword Difficulty*",'Semrush Data'!$A$1:$Z$1,0)),"")</f>
        <v/>
      </c>
      <c r="I2912" s="29" t="str">
        <f aca="false">IFERROR(INDEX('Semrush Data'!$A$1:$Z$20000,MATCH(A2912,'Semrush Data'!$A$1:$A$20000,0),MATCH("CPC*",'Semrush Data'!$A$1:$Z$1,0)),"")</f>
        <v/>
      </c>
      <c r="J2912" s="6" t="str">
        <f aca="false">IFERROR(INDEX('Semrush Data'!$A$1:$Z$20000,MATCH(A2912,'Semrush Data'!$A$1:$A$20000,0),MATCH("Intent",'Semrush Data'!$A$1:$Z$1,0)),"")</f>
        <v/>
      </c>
    </row>
    <row r="2913" customFormat="false" ht="15" hidden="false" customHeight="true" outlineLevel="0" collapsed="false">
      <c r="A2913" s="6" t="s">
        <v>7587</v>
      </c>
      <c r="B2913" s="6" t="s">
        <v>239</v>
      </c>
      <c r="C2913" s="6" t="n">
        <v>3</v>
      </c>
      <c r="D2913" s="6" t="n">
        <v>30</v>
      </c>
      <c r="E2913" s="6" t="n">
        <v>3</v>
      </c>
      <c r="F2913" s="6" t="s">
        <v>6636</v>
      </c>
      <c r="G2913" s="28" t="str">
        <f aca="false">IFERROR(INDEX('Semrush Data'!$A$1:$Z$20000,MATCH(A2913,'Semrush Data'!$A$1:$A$20000,0),MATCH("Volume",'Semrush Data'!$A$1:$Z$1,0)),"")</f>
        <v/>
      </c>
      <c r="H2913" s="6" t="str">
        <f aca="false">IFERROR(INDEX('Semrush Data'!$A$1:$Z$20000,MATCH(A2913,'Semrush Data'!$A$1:$A$20000,0),MATCH("Keyword Difficulty*",'Semrush Data'!$A$1:$Z$1,0)),"")</f>
        <v/>
      </c>
      <c r="I2913" s="29" t="str">
        <f aca="false">IFERROR(INDEX('Semrush Data'!$A$1:$Z$20000,MATCH(A2913,'Semrush Data'!$A$1:$A$20000,0),MATCH("CPC*",'Semrush Data'!$A$1:$Z$1,0)),"")</f>
        <v/>
      </c>
      <c r="J2913" s="6" t="str">
        <f aca="false">IFERROR(INDEX('Semrush Data'!$A$1:$Z$20000,MATCH(A2913,'Semrush Data'!$A$1:$A$20000,0),MATCH("Intent",'Semrush Data'!$A$1:$Z$1,0)),"")</f>
        <v/>
      </c>
    </row>
    <row r="2914" customFormat="false" ht="15" hidden="false" customHeight="true" outlineLevel="0" collapsed="false">
      <c r="A2914" s="6" t="s">
        <v>7588</v>
      </c>
      <c r="B2914" s="6" t="s">
        <v>239</v>
      </c>
      <c r="C2914" s="6" t="n">
        <v>3</v>
      </c>
      <c r="D2914" s="6" t="n">
        <v>30</v>
      </c>
      <c r="E2914" s="6" t="n">
        <v>3</v>
      </c>
      <c r="F2914" s="6" t="s">
        <v>6636</v>
      </c>
      <c r="G2914" s="28" t="str">
        <f aca="false">IFERROR(INDEX('Semrush Data'!$A$1:$Z$20000,MATCH(A2914,'Semrush Data'!$A$1:$A$20000,0),MATCH("Volume",'Semrush Data'!$A$1:$Z$1,0)),"")</f>
        <v/>
      </c>
      <c r="H2914" s="6" t="str">
        <f aca="false">IFERROR(INDEX('Semrush Data'!$A$1:$Z$20000,MATCH(A2914,'Semrush Data'!$A$1:$A$20000,0),MATCH("Keyword Difficulty*",'Semrush Data'!$A$1:$Z$1,0)),"")</f>
        <v/>
      </c>
      <c r="I2914" s="29" t="str">
        <f aca="false">IFERROR(INDEX('Semrush Data'!$A$1:$Z$20000,MATCH(A2914,'Semrush Data'!$A$1:$A$20000,0),MATCH("CPC*",'Semrush Data'!$A$1:$Z$1,0)),"")</f>
        <v/>
      </c>
      <c r="J2914" s="6" t="str">
        <f aca="false">IFERROR(INDEX('Semrush Data'!$A$1:$Z$20000,MATCH(A2914,'Semrush Data'!$A$1:$A$20000,0),MATCH("Intent",'Semrush Data'!$A$1:$Z$1,0)),"")</f>
        <v/>
      </c>
    </row>
    <row r="2915" customFormat="false" ht="15" hidden="false" customHeight="true" outlineLevel="0" collapsed="false">
      <c r="A2915" s="6" t="s">
        <v>7589</v>
      </c>
      <c r="B2915" s="6" t="s">
        <v>239</v>
      </c>
      <c r="C2915" s="6" t="n">
        <v>3</v>
      </c>
      <c r="D2915" s="6" t="n">
        <v>30</v>
      </c>
      <c r="E2915" s="6" t="n">
        <v>3</v>
      </c>
      <c r="F2915" s="6" t="s">
        <v>6636</v>
      </c>
      <c r="G2915" s="28" t="str">
        <f aca="false">IFERROR(INDEX('Semrush Data'!$A$1:$Z$20000,MATCH(A2915,'Semrush Data'!$A$1:$A$20000,0),MATCH("Volume",'Semrush Data'!$A$1:$Z$1,0)),"")</f>
        <v/>
      </c>
      <c r="H2915" s="6" t="str">
        <f aca="false">IFERROR(INDEX('Semrush Data'!$A$1:$Z$20000,MATCH(A2915,'Semrush Data'!$A$1:$A$20000,0),MATCH("Keyword Difficulty*",'Semrush Data'!$A$1:$Z$1,0)),"")</f>
        <v/>
      </c>
      <c r="I2915" s="29" t="str">
        <f aca="false">IFERROR(INDEX('Semrush Data'!$A$1:$Z$20000,MATCH(A2915,'Semrush Data'!$A$1:$A$20000,0),MATCH("CPC*",'Semrush Data'!$A$1:$Z$1,0)),"")</f>
        <v/>
      </c>
      <c r="J2915" s="6" t="str">
        <f aca="false">IFERROR(INDEX('Semrush Data'!$A$1:$Z$20000,MATCH(A2915,'Semrush Data'!$A$1:$A$20000,0),MATCH("Intent",'Semrush Data'!$A$1:$Z$1,0)),"")</f>
        <v/>
      </c>
    </row>
    <row r="2916" customFormat="false" ht="15" hidden="false" customHeight="true" outlineLevel="0" collapsed="false">
      <c r="A2916" s="6" t="s">
        <v>7590</v>
      </c>
      <c r="B2916" s="6" t="s">
        <v>239</v>
      </c>
      <c r="C2916" s="6" t="n">
        <v>3</v>
      </c>
      <c r="D2916" s="6" t="n">
        <v>30</v>
      </c>
      <c r="E2916" s="6" t="n">
        <v>1</v>
      </c>
      <c r="F2916" s="6" t="s">
        <v>5244</v>
      </c>
      <c r="G2916" s="28" t="str">
        <f aca="false">IFERROR(INDEX('Semrush Data'!$A$1:$Z$20000,MATCH(A2916,'Semrush Data'!$A$1:$A$20000,0),MATCH("Volume",'Semrush Data'!$A$1:$Z$1,0)),"")</f>
        <v/>
      </c>
      <c r="H2916" s="6" t="str">
        <f aca="false">IFERROR(INDEX('Semrush Data'!$A$1:$Z$20000,MATCH(A2916,'Semrush Data'!$A$1:$A$20000,0),MATCH("Keyword Difficulty*",'Semrush Data'!$A$1:$Z$1,0)),"")</f>
        <v/>
      </c>
      <c r="I2916" s="29" t="str">
        <f aca="false">IFERROR(INDEX('Semrush Data'!$A$1:$Z$20000,MATCH(A2916,'Semrush Data'!$A$1:$A$20000,0),MATCH("CPC*",'Semrush Data'!$A$1:$Z$1,0)),"")</f>
        <v/>
      </c>
      <c r="J2916" s="6" t="str">
        <f aca="false">IFERROR(INDEX('Semrush Data'!$A$1:$Z$20000,MATCH(A2916,'Semrush Data'!$A$1:$A$20000,0),MATCH("Intent",'Semrush Data'!$A$1:$Z$1,0)),"")</f>
        <v/>
      </c>
    </row>
    <row r="2917" customFormat="false" ht="15" hidden="false" customHeight="true" outlineLevel="0" collapsed="false">
      <c r="A2917" s="6" t="s">
        <v>7591</v>
      </c>
      <c r="B2917" s="6" t="s">
        <v>239</v>
      </c>
      <c r="C2917" s="6" t="n">
        <v>3</v>
      </c>
      <c r="D2917" s="6" t="n">
        <v>30</v>
      </c>
      <c r="E2917" s="6" t="n">
        <v>1</v>
      </c>
      <c r="F2917" s="6" t="s">
        <v>5244</v>
      </c>
      <c r="G2917" s="28" t="str">
        <f aca="false">IFERROR(INDEX('Semrush Data'!$A$1:$Z$20000,MATCH(A2917,'Semrush Data'!$A$1:$A$20000,0),MATCH("Volume",'Semrush Data'!$A$1:$Z$1,0)),"")</f>
        <v/>
      </c>
      <c r="H2917" s="6" t="str">
        <f aca="false">IFERROR(INDEX('Semrush Data'!$A$1:$Z$20000,MATCH(A2917,'Semrush Data'!$A$1:$A$20000,0),MATCH("Keyword Difficulty*",'Semrush Data'!$A$1:$Z$1,0)),"")</f>
        <v/>
      </c>
      <c r="I2917" s="29" t="str">
        <f aca="false">IFERROR(INDEX('Semrush Data'!$A$1:$Z$20000,MATCH(A2917,'Semrush Data'!$A$1:$A$20000,0),MATCH("CPC*",'Semrush Data'!$A$1:$Z$1,0)),"")</f>
        <v/>
      </c>
      <c r="J2917" s="6" t="str">
        <f aca="false">IFERROR(INDEX('Semrush Data'!$A$1:$Z$20000,MATCH(A2917,'Semrush Data'!$A$1:$A$20000,0),MATCH("Intent",'Semrush Data'!$A$1:$Z$1,0)),"")</f>
        <v/>
      </c>
    </row>
    <row r="2918" customFormat="false" ht="15" hidden="false" customHeight="true" outlineLevel="0" collapsed="false">
      <c r="A2918" s="6" t="s">
        <v>7592</v>
      </c>
      <c r="B2918" s="6" t="s">
        <v>239</v>
      </c>
      <c r="C2918" s="6" t="n">
        <v>3</v>
      </c>
      <c r="D2918" s="6" t="n">
        <v>30</v>
      </c>
      <c r="E2918" s="6" t="n">
        <v>1</v>
      </c>
      <c r="F2918" s="6" t="s">
        <v>5257</v>
      </c>
      <c r="G2918" s="28" t="str">
        <f aca="false">IFERROR(INDEX('Semrush Data'!$A$1:$Z$20000,MATCH(A2918,'Semrush Data'!$A$1:$A$20000,0),MATCH("Volume",'Semrush Data'!$A$1:$Z$1,0)),"")</f>
        <v/>
      </c>
      <c r="H2918" s="6" t="str">
        <f aca="false">IFERROR(INDEX('Semrush Data'!$A$1:$Z$20000,MATCH(A2918,'Semrush Data'!$A$1:$A$20000,0),MATCH("Keyword Difficulty*",'Semrush Data'!$A$1:$Z$1,0)),"")</f>
        <v/>
      </c>
      <c r="I2918" s="29" t="str">
        <f aca="false">IFERROR(INDEX('Semrush Data'!$A$1:$Z$20000,MATCH(A2918,'Semrush Data'!$A$1:$A$20000,0),MATCH("CPC*",'Semrush Data'!$A$1:$Z$1,0)),"")</f>
        <v/>
      </c>
      <c r="J2918" s="6" t="str">
        <f aca="false">IFERROR(INDEX('Semrush Data'!$A$1:$Z$20000,MATCH(A2918,'Semrush Data'!$A$1:$A$20000,0),MATCH("Intent",'Semrush Data'!$A$1:$Z$1,0)),"")</f>
        <v/>
      </c>
    </row>
    <row r="2919" customFormat="false" ht="15" hidden="false" customHeight="true" outlineLevel="0" collapsed="false">
      <c r="A2919" s="6" t="s">
        <v>7593</v>
      </c>
      <c r="B2919" s="6" t="s">
        <v>239</v>
      </c>
      <c r="C2919" s="6" t="n">
        <v>3</v>
      </c>
      <c r="D2919" s="6" t="n">
        <v>30</v>
      </c>
      <c r="E2919" s="6" t="n">
        <v>1</v>
      </c>
      <c r="F2919" s="6" t="s">
        <v>5257</v>
      </c>
      <c r="G2919" s="28" t="str">
        <f aca="false">IFERROR(INDEX('Semrush Data'!$A$1:$Z$20000,MATCH(A2919,'Semrush Data'!$A$1:$A$20000,0),MATCH("Volume",'Semrush Data'!$A$1:$Z$1,0)),"")</f>
        <v/>
      </c>
      <c r="H2919" s="6" t="str">
        <f aca="false">IFERROR(INDEX('Semrush Data'!$A$1:$Z$20000,MATCH(A2919,'Semrush Data'!$A$1:$A$20000,0),MATCH("Keyword Difficulty*",'Semrush Data'!$A$1:$Z$1,0)),"")</f>
        <v/>
      </c>
      <c r="I2919" s="29" t="str">
        <f aca="false">IFERROR(INDEX('Semrush Data'!$A$1:$Z$20000,MATCH(A2919,'Semrush Data'!$A$1:$A$20000,0),MATCH("CPC*",'Semrush Data'!$A$1:$Z$1,0)),"")</f>
        <v/>
      </c>
      <c r="J2919" s="6" t="str">
        <f aca="false">IFERROR(INDEX('Semrush Data'!$A$1:$Z$20000,MATCH(A2919,'Semrush Data'!$A$1:$A$20000,0),MATCH("Intent",'Semrush Data'!$A$1:$Z$1,0)),"")</f>
        <v/>
      </c>
    </row>
    <row r="2920" customFormat="false" ht="15" hidden="false" customHeight="true" outlineLevel="0" collapsed="false">
      <c r="A2920" s="6" t="s">
        <v>7594</v>
      </c>
      <c r="B2920" s="6" t="s">
        <v>239</v>
      </c>
      <c r="C2920" s="6" t="n">
        <v>3</v>
      </c>
      <c r="D2920" s="6" t="n">
        <v>30</v>
      </c>
      <c r="E2920" s="6" t="n">
        <v>1</v>
      </c>
      <c r="F2920" s="6" t="s">
        <v>5257</v>
      </c>
      <c r="G2920" s="28" t="str">
        <f aca="false">IFERROR(INDEX('Semrush Data'!$A$1:$Z$20000,MATCH(A2920,'Semrush Data'!$A$1:$A$20000,0),MATCH("Volume",'Semrush Data'!$A$1:$Z$1,0)),"")</f>
        <v/>
      </c>
      <c r="H2920" s="6" t="str">
        <f aca="false">IFERROR(INDEX('Semrush Data'!$A$1:$Z$20000,MATCH(A2920,'Semrush Data'!$A$1:$A$20000,0),MATCH("Keyword Difficulty*",'Semrush Data'!$A$1:$Z$1,0)),"")</f>
        <v/>
      </c>
      <c r="I2920" s="29" t="str">
        <f aca="false">IFERROR(INDEX('Semrush Data'!$A$1:$Z$20000,MATCH(A2920,'Semrush Data'!$A$1:$A$20000,0),MATCH("CPC*",'Semrush Data'!$A$1:$Z$1,0)),"")</f>
        <v/>
      </c>
      <c r="J2920" s="6" t="str">
        <f aca="false">IFERROR(INDEX('Semrush Data'!$A$1:$Z$20000,MATCH(A2920,'Semrush Data'!$A$1:$A$20000,0),MATCH("Intent",'Semrush Data'!$A$1:$Z$1,0)),"")</f>
        <v/>
      </c>
    </row>
    <row r="2921" customFormat="false" ht="15" hidden="false" customHeight="true" outlineLevel="0" collapsed="false">
      <c r="A2921" s="6" t="s">
        <v>7595</v>
      </c>
      <c r="B2921" s="6" t="s">
        <v>239</v>
      </c>
      <c r="C2921" s="6" t="n">
        <v>3</v>
      </c>
      <c r="D2921" s="6" t="n">
        <v>30</v>
      </c>
      <c r="E2921" s="6" t="n">
        <v>1</v>
      </c>
      <c r="F2921" s="6" t="s">
        <v>5270</v>
      </c>
      <c r="G2921" s="28" t="str">
        <f aca="false">IFERROR(INDEX('Semrush Data'!$A$1:$Z$20000,MATCH(A2921,'Semrush Data'!$A$1:$A$20000,0),MATCH("Volume",'Semrush Data'!$A$1:$Z$1,0)),"")</f>
        <v/>
      </c>
      <c r="H2921" s="6" t="str">
        <f aca="false">IFERROR(INDEX('Semrush Data'!$A$1:$Z$20000,MATCH(A2921,'Semrush Data'!$A$1:$A$20000,0),MATCH("Keyword Difficulty*",'Semrush Data'!$A$1:$Z$1,0)),"")</f>
        <v/>
      </c>
      <c r="I2921" s="29" t="str">
        <f aca="false">IFERROR(INDEX('Semrush Data'!$A$1:$Z$20000,MATCH(A2921,'Semrush Data'!$A$1:$A$20000,0),MATCH("CPC*",'Semrush Data'!$A$1:$Z$1,0)),"")</f>
        <v/>
      </c>
      <c r="J2921" s="6" t="str">
        <f aca="false">IFERROR(INDEX('Semrush Data'!$A$1:$Z$20000,MATCH(A2921,'Semrush Data'!$A$1:$A$20000,0),MATCH("Intent",'Semrush Data'!$A$1:$Z$1,0)),"")</f>
        <v/>
      </c>
    </row>
    <row r="2922" customFormat="false" ht="15" hidden="false" customHeight="true" outlineLevel="0" collapsed="false">
      <c r="A2922" s="6" t="s">
        <v>7596</v>
      </c>
      <c r="B2922" s="6" t="s">
        <v>239</v>
      </c>
      <c r="C2922" s="6" t="n">
        <v>3</v>
      </c>
      <c r="D2922" s="6" t="n">
        <v>30</v>
      </c>
      <c r="E2922" s="6" t="n">
        <v>1</v>
      </c>
      <c r="F2922" s="6" t="s">
        <v>5270</v>
      </c>
      <c r="G2922" s="28" t="str">
        <f aca="false">IFERROR(INDEX('Semrush Data'!$A$1:$Z$20000,MATCH(A2922,'Semrush Data'!$A$1:$A$20000,0),MATCH("Volume",'Semrush Data'!$A$1:$Z$1,0)),"")</f>
        <v/>
      </c>
      <c r="H2922" s="6" t="str">
        <f aca="false">IFERROR(INDEX('Semrush Data'!$A$1:$Z$20000,MATCH(A2922,'Semrush Data'!$A$1:$A$20000,0),MATCH("Keyword Difficulty*",'Semrush Data'!$A$1:$Z$1,0)),"")</f>
        <v/>
      </c>
      <c r="I2922" s="29" t="str">
        <f aca="false">IFERROR(INDEX('Semrush Data'!$A$1:$Z$20000,MATCH(A2922,'Semrush Data'!$A$1:$A$20000,0),MATCH("CPC*",'Semrush Data'!$A$1:$Z$1,0)),"")</f>
        <v/>
      </c>
      <c r="J2922" s="6" t="str">
        <f aca="false">IFERROR(INDEX('Semrush Data'!$A$1:$Z$20000,MATCH(A2922,'Semrush Data'!$A$1:$A$20000,0),MATCH("Intent",'Semrush Data'!$A$1:$Z$1,0)),"")</f>
        <v/>
      </c>
    </row>
    <row r="2923" customFormat="false" ht="15" hidden="false" customHeight="true" outlineLevel="0" collapsed="false">
      <c r="A2923" s="6" t="s">
        <v>7597</v>
      </c>
      <c r="B2923" s="6" t="s">
        <v>239</v>
      </c>
      <c r="C2923" s="6" t="n">
        <v>3</v>
      </c>
      <c r="D2923" s="6" t="n">
        <v>30</v>
      </c>
      <c r="E2923" s="6" t="n">
        <v>1</v>
      </c>
      <c r="F2923" s="6" t="s">
        <v>5270</v>
      </c>
      <c r="G2923" s="28" t="str">
        <f aca="false">IFERROR(INDEX('Semrush Data'!$A$1:$Z$20000,MATCH(A2923,'Semrush Data'!$A$1:$A$20000,0),MATCH("Volume",'Semrush Data'!$A$1:$Z$1,0)),"")</f>
        <v/>
      </c>
      <c r="H2923" s="6" t="str">
        <f aca="false">IFERROR(INDEX('Semrush Data'!$A$1:$Z$20000,MATCH(A2923,'Semrush Data'!$A$1:$A$20000,0),MATCH("Keyword Difficulty*",'Semrush Data'!$A$1:$Z$1,0)),"")</f>
        <v/>
      </c>
      <c r="I2923" s="29" t="str">
        <f aca="false">IFERROR(INDEX('Semrush Data'!$A$1:$Z$20000,MATCH(A2923,'Semrush Data'!$A$1:$A$20000,0),MATCH("CPC*",'Semrush Data'!$A$1:$Z$1,0)),"")</f>
        <v/>
      </c>
      <c r="J2923" s="6" t="str">
        <f aca="false">IFERROR(INDEX('Semrush Data'!$A$1:$Z$20000,MATCH(A2923,'Semrush Data'!$A$1:$A$20000,0),MATCH("Intent",'Semrush Data'!$A$1:$Z$1,0)),"")</f>
        <v/>
      </c>
    </row>
    <row r="2924" customFormat="false" ht="15" hidden="false" customHeight="true" outlineLevel="0" collapsed="false">
      <c r="A2924" s="6" t="s">
        <v>7598</v>
      </c>
      <c r="B2924" s="6" t="s">
        <v>239</v>
      </c>
      <c r="C2924" s="6" t="n">
        <v>3</v>
      </c>
      <c r="D2924" s="6" t="n">
        <v>30</v>
      </c>
      <c r="E2924" s="6" t="n">
        <v>1</v>
      </c>
      <c r="F2924" s="6" t="s">
        <v>5973</v>
      </c>
      <c r="G2924" s="28" t="str">
        <f aca="false">IFERROR(INDEX('Semrush Data'!$A$1:$Z$20000,MATCH(A2924,'Semrush Data'!$A$1:$A$20000,0),MATCH("Volume",'Semrush Data'!$A$1:$Z$1,0)),"")</f>
        <v/>
      </c>
      <c r="H2924" s="6" t="str">
        <f aca="false">IFERROR(INDEX('Semrush Data'!$A$1:$Z$20000,MATCH(A2924,'Semrush Data'!$A$1:$A$20000,0),MATCH("Keyword Difficulty*",'Semrush Data'!$A$1:$Z$1,0)),"")</f>
        <v/>
      </c>
      <c r="I2924" s="29" t="str">
        <f aca="false">IFERROR(INDEX('Semrush Data'!$A$1:$Z$20000,MATCH(A2924,'Semrush Data'!$A$1:$A$20000,0),MATCH("CPC*",'Semrush Data'!$A$1:$Z$1,0)),"")</f>
        <v/>
      </c>
      <c r="J2924" s="6" t="str">
        <f aca="false">IFERROR(INDEX('Semrush Data'!$A$1:$Z$20000,MATCH(A2924,'Semrush Data'!$A$1:$A$20000,0),MATCH("Intent",'Semrush Data'!$A$1:$Z$1,0)),"")</f>
        <v/>
      </c>
    </row>
    <row r="2925" customFormat="false" ht="15" hidden="false" customHeight="true" outlineLevel="0" collapsed="false">
      <c r="A2925" s="6" t="s">
        <v>7599</v>
      </c>
      <c r="B2925" s="6" t="s">
        <v>239</v>
      </c>
      <c r="C2925" s="6" t="n">
        <v>3</v>
      </c>
      <c r="D2925" s="6" t="n">
        <v>30</v>
      </c>
      <c r="E2925" s="6" t="n">
        <v>1</v>
      </c>
      <c r="F2925" s="6" t="s">
        <v>5282</v>
      </c>
      <c r="G2925" s="28" t="str">
        <f aca="false">IFERROR(INDEX('Semrush Data'!$A$1:$Z$20000,MATCH(A2925,'Semrush Data'!$A$1:$A$20000,0),MATCH("Volume",'Semrush Data'!$A$1:$Z$1,0)),"")</f>
        <v/>
      </c>
      <c r="H2925" s="6" t="str">
        <f aca="false">IFERROR(INDEX('Semrush Data'!$A$1:$Z$20000,MATCH(A2925,'Semrush Data'!$A$1:$A$20000,0),MATCH("Keyword Difficulty*",'Semrush Data'!$A$1:$Z$1,0)),"")</f>
        <v/>
      </c>
      <c r="I2925" s="29" t="str">
        <f aca="false">IFERROR(INDEX('Semrush Data'!$A$1:$Z$20000,MATCH(A2925,'Semrush Data'!$A$1:$A$20000,0),MATCH("CPC*",'Semrush Data'!$A$1:$Z$1,0)),"")</f>
        <v/>
      </c>
      <c r="J2925" s="6" t="str">
        <f aca="false">IFERROR(INDEX('Semrush Data'!$A$1:$Z$20000,MATCH(A2925,'Semrush Data'!$A$1:$A$20000,0),MATCH("Intent",'Semrush Data'!$A$1:$Z$1,0)),"")</f>
        <v/>
      </c>
    </row>
    <row r="2926" customFormat="false" ht="15" hidden="false" customHeight="true" outlineLevel="0" collapsed="false">
      <c r="A2926" s="6" t="s">
        <v>7600</v>
      </c>
      <c r="B2926" s="6" t="s">
        <v>239</v>
      </c>
      <c r="C2926" s="6" t="n">
        <v>3</v>
      </c>
      <c r="D2926" s="6" t="n">
        <v>30</v>
      </c>
      <c r="E2926" s="6" t="n">
        <v>1</v>
      </c>
      <c r="F2926" s="6" t="s">
        <v>5282</v>
      </c>
      <c r="G2926" s="28" t="str">
        <f aca="false">IFERROR(INDEX('Semrush Data'!$A$1:$Z$20000,MATCH(A2926,'Semrush Data'!$A$1:$A$20000,0),MATCH("Volume",'Semrush Data'!$A$1:$Z$1,0)),"")</f>
        <v/>
      </c>
      <c r="H2926" s="6" t="str">
        <f aca="false">IFERROR(INDEX('Semrush Data'!$A$1:$Z$20000,MATCH(A2926,'Semrush Data'!$A$1:$A$20000,0),MATCH("Keyword Difficulty*",'Semrush Data'!$A$1:$Z$1,0)),"")</f>
        <v/>
      </c>
      <c r="I2926" s="29" t="str">
        <f aca="false">IFERROR(INDEX('Semrush Data'!$A$1:$Z$20000,MATCH(A2926,'Semrush Data'!$A$1:$A$20000,0),MATCH("CPC*",'Semrush Data'!$A$1:$Z$1,0)),"")</f>
        <v/>
      </c>
      <c r="J2926" s="6" t="str">
        <f aca="false">IFERROR(INDEX('Semrush Data'!$A$1:$Z$20000,MATCH(A2926,'Semrush Data'!$A$1:$A$20000,0),MATCH("Intent",'Semrush Data'!$A$1:$Z$1,0)),"")</f>
        <v/>
      </c>
    </row>
    <row r="2927" customFormat="false" ht="15" hidden="false" customHeight="true" outlineLevel="0" collapsed="false">
      <c r="A2927" s="6" t="s">
        <v>7601</v>
      </c>
      <c r="B2927" s="6" t="s">
        <v>239</v>
      </c>
      <c r="C2927" s="6" t="n">
        <v>3</v>
      </c>
      <c r="D2927" s="6" t="n">
        <v>30</v>
      </c>
      <c r="E2927" s="6" t="n">
        <v>1</v>
      </c>
      <c r="F2927" s="6" t="s">
        <v>5270</v>
      </c>
      <c r="G2927" s="28" t="str">
        <f aca="false">IFERROR(INDEX('Semrush Data'!$A$1:$Z$20000,MATCH(A2927,'Semrush Data'!$A$1:$A$20000,0),MATCH("Volume",'Semrush Data'!$A$1:$Z$1,0)),"")</f>
        <v/>
      </c>
      <c r="H2927" s="6" t="str">
        <f aca="false">IFERROR(INDEX('Semrush Data'!$A$1:$Z$20000,MATCH(A2927,'Semrush Data'!$A$1:$A$20000,0),MATCH("Keyword Difficulty*",'Semrush Data'!$A$1:$Z$1,0)),"")</f>
        <v/>
      </c>
      <c r="I2927" s="29" t="str">
        <f aca="false">IFERROR(INDEX('Semrush Data'!$A$1:$Z$20000,MATCH(A2927,'Semrush Data'!$A$1:$A$20000,0),MATCH("CPC*",'Semrush Data'!$A$1:$Z$1,0)),"")</f>
        <v/>
      </c>
      <c r="J2927" s="6" t="str">
        <f aca="false">IFERROR(INDEX('Semrush Data'!$A$1:$Z$20000,MATCH(A2927,'Semrush Data'!$A$1:$A$20000,0),MATCH("Intent",'Semrush Data'!$A$1:$Z$1,0)),"")</f>
        <v/>
      </c>
    </row>
    <row r="2928" customFormat="false" ht="15" hidden="false" customHeight="true" outlineLevel="0" collapsed="false">
      <c r="A2928" s="6" t="s">
        <v>7602</v>
      </c>
      <c r="B2928" s="6" t="s">
        <v>239</v>
      </c>
      <c r="C2928" s="6" t="n">
        <v>3</v>
      </c>
      <c r="D2928" s="6" t="n">
        <v>30</v>
      </c>
      <c r="E2928" s="6" t="n">
        <v>1</v>
      </c>
      <c r="F2928" s="6" t="s">
        <v>5257</v>
      </c>
      <c r="G2928" s="28" t="str">
        <f aca="false">IFERROR(INDEX('Semrush Data'!$A$1:$Z$20000,MATCH(A2928,'Semrush Data'!$A$1:$A$20000,0),MATCH("Volume",'Semrush Data'!$A$1:$Z$1,0)),"")</f>
        <v/>
      </c>
      <c r="H2928" s="6" t="str">
        <f aca="false">IFERROR(INDEX('Semrush Data'!$A$1:$Z$20000,MATCH(A2928,'Semrush Data'!$A$1:$A$20000,0),MATCH("Keyword Difficulty*",'Semrush Data'!$A$1:$Z$1,0)),"")</f>
        <v/>
      </c>
      <c r="I2928" s="29" t="str">
        <f aca="false">IFERROR(INDEX('Semrush Data'!$A$1:$Z$20000,MATCH(A2928,'Semrush Data'!$A$1:$A$20000,0),MATCH("CPC*",'Semrush Data'!$A$1:$Z$1,0)),"")</f>
        <v/>
      </c>
      <c r="J2928" s="6" t="str">
        <f aca="false">IFERROR(INDEX('Semrush Data'!$A$1:$Z$20000,MATCH(A2928,'Semrush Data'!$A$1:$A$20000,0),MATCH("Intent",'Semrush Data'!$A$1:$Z$1,0)),"")</f>
        <v/>
      </c>
    </row>
    <row r="2929" customFormat="false" ht="15" hidden="false" customHeight="true" outlineLevel="0" collapsed="false">
      <c r="A2929" s="6" t="s">
        <v>7603</v>
      </c>
      <c r="B2929" s="6" t="s">
        <v>239</v>
      </c>
      <c r="C2929" s="6" t="n">
        <v>3</v>
      </c>
      <c r="D2929" s="6" t="n">
        <v>30</v>
      </c>
      <c r="E2929" s="6" t="n">
        <v>1</v>
      </c>
      <c r="F2929" s="6" t="s">
        <v>5294</v>
      </c>
      <c r="G2929" s="28" t="str">
        <f aca="false">IFERROR(INDEX('Semrush Data'!$A$1:$Z$20000,MATCH(A2929,'Semrush Data'!$A$1:$A$20000,0),MATCH("Volume",'Semrush Data'!$A$1:$Z$1,0)),"")</f>
        <v/>
      </c>
      <c r="H2929" s="6" t="str">
        <f aca="false">IFERROR(INDEX('Semrush Data'!$A$1:$Z$20000,MATCH(A2929,'Semrush Data'!$A$1:$A$20000,0),MATCH("Keyword Difficulty*",'Semrush Data'!$A$1:$Z$1,0)),"")</f>
        <v/>
      </c>
      <c r="I2929" s="29" t="str">
        <f aca="false">IFERROR(INDEX('Semrush Data'!$A$1:$Z$20000,MATCH(A2929,'Semrush Data'!$A$1:$A$20000,0),MATCH("CPC*",'Semrush Data'!$A$1:$Z$1,0)),"")</f>
        <v/>
      </c>
      <c r="J2929" s="6" t="str">
        <f aca="false">IFERROR(INDEX('Semrush Data'!$A$1:$Z$20000,MATCH(A2929,'Semrush Data'!$A$1:$A$20000,0),MATCH("Intent",'Semrush Data'!$A$1:$Z$1,0)),"")</f>
        <v/>
      </c>
    </row>
    <row r="2930" customFormat="false" ht="15" hidden="false" customHeight="true" outlineLevel="0" collapsed="false">
      <c r="A2930" s="6" t="s">
        <v>7604</v>
      </c>
      <c r="B2930" s="6" t="s">
        <v>239</v>
      </c>
      <c r="C2930" s="6" t="n">
        <v>3</v>
      </c>
      <c r="D2930" s="6" t="n">
        <v>30</v>
      </c>
      <c r="E2930" s="6" t="n">
        <v>1</v>
      </c>
      <c r="F2930" s="6" t="s">
        <v>5328</v>
      </c>
      <c r="G2930" s="28" t="str">
        <f aca="false">IFERROR(INDEX('Semrush Data'!$A$1:$Z$20000,MATCH(A2930,'Semrush Data'!$A$1:$A$20000,0),MATCH("Volume",'Semrush Data'!$A$1:$Z$1,0)),"")</f>
        <v/>
      </c>
      <c r="H2930" s="6" t="str">
        <f aca="false">IFERROR(INDEX('Semrush Data'!$A$1:$Z$20000,MATCH(A2930,'Semrush Data'!$A$1:$A$20000,0),MATCH("Keyword Difficulty*",'Semrush Data'!$A$1:$Z$1,0)),"")</f>
        <v/>
      </c>
      <c r="I2930" s="29" t="str">
        <f aca="false">IFERROR(INDEX('Semrush Data'!$A$1:$Z$20000,MATCH(A2930,'Semrush Data'!$A$1:$A$20000,0),MATCH("CPC*",'Semrush Data'!$A$1:$Z$1,0)),"")</f>
        <v/>
      </c>
      <c r="J2930" s="6" t="str">
        <f aca="false">IFERROR(INDEX('Semrush Data'!$A$1:$Z$20000,MATCH(A2930,'Semrush Data'!$A$1:$A$20000,0),MATCH("Intent",'Semrush Data'!$A$1:$Z$1,0)),"")</f>
        <v/>
      </c>
    </row>
    <row r="2931" customFormat="false" ht="15" hidden="false" customHeight="true" outlineLevel="0" collapsed="false">
      <c r="A2931" s="6" t="s">
        <v>7605</v>
      </c>
      <c r="B2931" s="6" t="s">
        <v>239</v>
      </c>
      <c r="C2931" s="6" t="n">
        <v>3</v>
      </c>
      <c r="D2931" s="6" t="n">
        <v>30</v>
      </c>
      <c r="E2931" s="6" t="n">
        <v>1</v>
      </c>
      <c r="F2931" s="6" t="s">
        <v>5294</v>
      </c>
      <c r="G2931" s="28" t="str">
        <f aca="false">IFERROR(INDEX('Semrush Data'!$A$1:$Z$20000,MATCH(A2931,'Semrush Data'!$A$1:$A$20000,0),MATCH("Volume",'Semrush Data'!$A$1:$Z$1,0)),"")</f>
        <v/>
      </c>
      <c r="H2931" s="6" t="str">
        <f aca="false">IFERROR(INDEX('Semrush Data'!$A$1:$Z$20000,MATCH(A2931,'Semrush Data'!$A$1:$A$20000,0),MATCH("Keyword Difficulty*",'Semrush Data'!$A$1:$Z$1,0)),"")</f>
        <v/>
      </c>
      <c r="I2931" s="29" t="str">
        <f aca="false">IFERROR(INDEX('Semrush Data'!$A$1:$Z$20000,MATCH(A2931,'Semrush Data'!$A$1:$A$20000,0),MATCH("CPC*",'Semrush Data'!$A$1:$Z$1,0)),"")</f>
        <v/>
      </c>
      <c r="J2931" s="6" t="str">
        <f aca="false">IFERROR(INDEX('Semrush Data'!$A$1:$Z$20000,MATCH(A2931,'Semrush Data'!$A$1:$A$20000,0),MATCH("Intent",'Semrush Data'!$A$1:$Z$1,0)),"")</f>
        <v/>
      </c>
    </row>
    <row r="2932" customFormat="false" ht="15" hidden="false" customHeight="true" outlineLevel="0" collapsed="false">
      <c r="A2932" s="6" t="s">
        <v>7606</v>
      </c>
      <c r="B2932" s="6" t="s">
        <v>239</v>
      </c>
      <c r="C2932" s="6" t="n">
        <v>3</v>
      </c>
      <c r="D2932" s="6" t="n">
        <v>30</v>
      </c>
      <c r="E2932" s="6" t="n">
        <v>1</v>
      </c>
      <c r="F2932" s="6" t="s">
        <v>5294</v>
      </c>
      <c r="G2932" s="28" t="str">
        <f aca="false">IFERROR(INDEX('Semrush Data'!$A$1:$Z$20000,MATCH(A2932,'Semrush Data'!$A$1:$A$20000,0),MATCH("Volume",'Semrush Data'!$A$1:$Z$1,0)),"")</f>
        <v/>
      </c>
      <c r="H2932" s="6" t="str">
        <f aca="false">IFERROR(INDEX('Semrush Data'!$A$1:$Z$20000,MATCH(A2932,'Semrush Data'!$A$1:$A$20000,0),MATCH("Keyword Difficulty*",'Semrush Data'!$A$1:$Z$1,0)),"")</f>
        <v/>
      </c>
      <c r="I2932" s="29" t="str">
        <f aca="false">IFERROR(INDEX('Semrush Data'!$A$1:$Z$20000,MATCH(A2932,'Semrush Data'!$A$1:$A$20000,0),MATCH("CPC*",'Semrush Data'!$A$1:$Z$1,0)),"")</f>
        <v/>
      </c>
      <c r="J2932" s="6" t="str">
        <f aca="false">IFERROR(INDEX('Semrush Data'!$A$1:$Z$20000,MATCH(A2932,'Semrush Data'!$A$1:$A$20000,0),MATCH("Intent",'Semrush Data'!$A$1:$Z$1,0)),"")</f>
        <v/>
      </c>
    </row>
    <row r="2933" customFormat="false" ht="15" hidden="false" customHeight="true" outlineLevel="0" collapsed="false">
      <c r="A2933" s="6" t="s">
        <v>7607</v>
      </c>
      <c r="B2933" s="6" t="s">
        <v>239</v>
      </c>
      <c r="C2933" s="6" t="n">
        <v>3</v>
      </c>
      <c r="D2933" s="6" t="n">
        <v>30</v>
      </c>
      <c r="E2933" s="6" t="n">
        <v>1</v>
      </c>
      <c r="F2933" s="6" t="s">
        <v>5294</v>
      </c>
      <c r="G2933" s="28" t="str">
        <f aca="false">IFERROR(INDEX('Semrush Data'!$A$1:$Z$20000,MATCH(A2933,'Semrush Data'!$A$1:$A$20000,0),MATCH("Volume",'Semrush Data'!$A$1:$Z$1,0)),"")</f>
        <v/>
      </c>
      <c r="H2933" s="6" t="str">
        <f aca="false">IFERROR(INDEX('Semrush Data'!$A$1:$Z$20000,MATCH(A2933,'Semrush Data'!$A$1:$A$20000,0),MATCH("Keyword Difficulty*",'Semrush Data'!$A$1:$Z$1,0)),"")</f>
        <v/>
      </c>
      <c r="I2933" s="29" t="str">
        <f aca="false">IFERROR(INDEX('Semrush Data'!$A$1:$Z$20000,MATCH(A2933,'Semrush Data'!$A$1:$A$20000,0),MATCH("CPC*",'Semrush Data'!$A$1:$Z$1,0)),"")</f>
        <v/>
      </c>
      <c r="J2933" s="6" t="str">
        <f aca="false">IFERROR(INDEX('Semrush Data'!$A$1:$Z$20000,MATCH(A2933,'Semrush Data'!$A$1:$A$20000,0),MATCH("Intent",'Semrush Data'!$A$1:$Z$1,0)),"")</f>
        <v/>
      </c>
    </row>
    <row r="2934" customFormat="false" ht="15" hidden="false" customHeight="true" outlineLevel="0" collapsed="false">
      <c r="A2934" s="6" t="s">
        <v>7608</v>
      </c>
      <c r="B2934" s="6" t="s">
        <v>239</v>
      </c>
      <c r="C2934" s="6" t="n">
        <v>3</v>
      </c>
      <c r="D2934" s="6" t="n">
        <v>30</v>
      </c>
      <c r="E2934" s="6" t="n">
        <v>1</v>
      </c>
      <c r="F2934" s="6" t="s">
        <v>5307</v>
      </c>
      <c r="G2934" s="28" t="str">
        <f aca="false">IFERROR(INDEX('Semrush Data'!$A$1:$Z$20000,MATCH(A2934,'Semrush Data'!$A$1:$A$20000,0),MATCH("Volume",'Semrush Data'!$A$1:$Z$1,0)),"")</f>
        <v/>
      </c>
      <c r="H2934" s="6" t="str">
        <f aca="false">IFERROR(INDEX('Semrush Data'!$A$1:$Z$20000,MATCH(A2934,'Semrush Data'!$A$1:$A$20000,0),MATCH("Keyword Difficulty*",'Semrush Data'!$A$1:$Z$1,0)),"")</f>
        <v/>
      </c>
      <c r="I2934" s="29" t="str">
        <f aca="false">IFERROR(INDEX('Semrush Data'!$A$1:$Z$20000,MATCH(A2934,'Semrush Data'!$A$1:$A$20000,0),MATCH("CPC*",'Semrush Data'!$A$1:$Z$1,0)),"")</f>
        <v/>
      </c>
      <c r="J2934" s="6" t="str">
        <f aca="false">IFERROR(INDEX('Semrush Data'!$A$1:$Z$20000,MATCH(A2934,'Semrush Data'!$A$1:$A$20000,0),MATCH("Intent",'Semrush Data'!$A$1:$Z$1,0)),"")</f>
        <v/>
      </c>
    </row>
    <row r="2935" customFormat="false" ht="15" hidden="false" customHeight="true" outlineLevel="0" collapsed="false">
      <c r="A2935" s="6" t="s">
        <v>7609</v>
      </c>
      <c r="B2935" s="6" t="s">
        <v>239</v>
      </c>
      <c r="C2935" s="6" t="n">
        <v>3</v>
      </c>
      <c r="D2935" s="6" t="n">
        <v>30</v>
      </c>
      <c r="E2935" s="6" t="n">
        <v>1</v>
      </c>
      <c r="F2935" s="6" t="s">
        <v>5349</v>
      </c>
      <c r="G2935" s="28" t="str">
        <f aca="false">IFERROR(INDEX('Semrush Data'!$A$1:$Z$20000,MATCH(A2935,'Semrush Data'!$A$1:$A$20000,0),MATCH("Volume",'Semrush Data'!$A$1:$Z$1,0)),"")</f>
        <v/>
      </c>
      <c r="H2935" s="6" t="str">
        <f aca="false">IFERROR(INDEX('Semrush Data'!$A$1:$Z$20000,MATCH(A2935,'Semrush Data'!$A$1:$A$20000,0),MATCH("Keyword Difficulty*",'Semrush Data'!$A$1:$Z$1,0)),"")</f>
        <v/>
      </c>
      <c r="I2935" s="29" t="str">
        <f aca="false">IFERROR(INDEX('Semrush Data'!$A$1:$Z$20000,MATCH(A2935,'Semrush Data'!$A$1:$A$20000,0),MATCH("CPC*",'Semrush Data'!$A$1:$Z$1,0)),"")</f>
        <v/>
      </c>
      <c r="J2935" s="6" t="str">
        <f aca="false">IFERROR(INDEX('Semrush Data'!$A$1:$Z$20000,MATCH(A2935,'Semrush Data'!$A$1:$A$20000,0),MATCH("Intent",'Semrush Data'!$A$1:$Z$1,0)),"")</f>
        <v/>
      </c>
    </row>
    <row r="2936" customFormat="false" ht="15" hidden="false" customHeight="true" outlineLevel="0" collapsed="false">
      <c r="A2936" s="6" t="s">
        <v>7610</v>
      </c>
      <c r="B2936" s="6" t="s">
        <v>239</v>
      </c>
      <c r="C2936" s="6" t="n">
        <v>3</v>
      </c>
      <c r="D2936" s="6" t="n">
        <v>30</v>
      </c>
      <c r="E2936" s="6" t="n">
        <v>1</v>
      </c>
      <c r="F2936" s="6" t="s">
        <v>5349</v>
      </c>
      <c r="G2936" s="28" t="str">
        <f aca="false">IFERROR(INDEX('Semrush Data'!$A$1:$Z$20000,MATCH(A2936,'Semrush Data'!$A$1:$A$20000,0),MATCH("Volume",'Semrush Data'!$A$1:$Z$1,0)),"")</f>
        <v/>
      </c>
      <c r="H2936" s="6" t="str">
        <f aca="false">IFERROR(INDEX('Semrush Data'!$A$1:$Z$20000,MATCH(A2936,'Semrush Data'!$A$1:$A$20000,0),MATCH("Keyword Difficulty*",'Semrush Data'!$A$1:$Z$1,0)),"")</f>
        <v/>
      </c>
      <c r="I2936" s="29" t="str">
        <f aca="false">IFERROR(INDEX('Semrush Data'!$A$1:$Z$20000,MATCH(A2936,'Semrush Data'!$A$1:$A$20000,0),MATCH("CPC*",'Semrush Data'!$A$1:$Z$1,0)),"")</f>
        <v/>
      </c>
      <c r="J2936" s="6" t="str">
        <f aca="false">IFERROR(INDEX('Semrush Data'!$A$1:$Z$20000,MATCH(A2936,'Semrush Data'!$A$1:$A$20000,0),MATCH("Intent",'Semrush Data'!$A$1:$Z$1,0)),"")</f>
        <v/>
      </c>
    </row>
    <row r="2937" customFormat="false" ht="15" hidden="false" customHeight="true" outlineLevel="0" collapsed="false">
      <c r="A2937" s="6" t="s">
        <v>7611</v>
      </c>
      <c r="B2937" s="6" t="s">
        <v>239</v>
      </c>
      <c r="C2937" s="6" t="n">
        <v>3</v>
      </c>
      <c r="D2937" s="6" t="n">
        <v>30</v>
      </c>
      <c r="E2937" s="6" t="n">
        <v>1</v>
      </c>
      <c r="F2937" s="6" t="s">
        <v>5362</v>
      </c>
      <c r="G2937" s="28" t="str">
        <f aca="false">IFERROR(INDEX('Semrush Data'!$A$1:$Z$20000,MATCH(A2937,'Semrush Data'!$A$1:$A$20000,0),MATCH("Volume",'Semrush Data'!$A$1:$Z$1,0)),"")</f>
        <v/>
      </c>
      <c r="H2937" s="6" t="str">
        <f aca="false">IFERROR(INDEX('Semrush Data'!$A$1:$Z$20000,MATCH(A2937,'Semrush Data'!$A$1:$A$20000,0),MATCH("Keyword Difficulty*",'Semrush Data'!$A$1:$Z$1,0)),"")</f>
        <v/>
      </c>
      <c r="I2937" s="29" t="str">
        <f aca="false">IFERROR(INDEX('Semrush Data'!$A$1:$Z$20000,MATCH(A2937,'Semrush Data'!$A$1:$A$20000,0),MATCH("CPC*",'Semrush Data'!$A$1:$Z$1,0)),"")</f>
        <v/>
      </c>
      <c r="J2937" s="6" t="str">
        <f aca="false">IFERROR(INDEX('Semrush Data'!$A$1:$Z$20000,MATCH(A2937,'Semrush Data'!$A$1:$A$20000,0),MATCH("Intent",'Semrush Data'!$A$1:$Z$1,0)),"")</f>
        <v/>
      </c>
    </row>
    <row r="2938" customFormat="false" ht="15" hidden="false" customHeight="true" outlineLevel="0" collapsed="false">
      <c r="A2938" s="6" t="s">
        <v>7612</v>
      </c>
      <c r="B2938" s="6" t="s">
        <v>239</v>
      </c>
      <c r="C2938" s="6" t="n">
        <v>3</v>
      </c>
      <c r="D2938" s="6" t="n">
        <v>30</v>
      </c>
      <c r="E2938" s="6" t="n">
        <v>1</v>
      </c>
      <c r="F2938" s="6" t="s">
        <v>5373</v>
      </c>
      <c r="G2938" s="28" t="str">
        <f aca="false">IFERROR(INDEX('Semrush Data'!$A$1:$Z$20000,MATCH(A2938,'Semrush Data'!$A$1:$A$20000,0),MATCH("Volume",'Semrush Data'!$A$1:$Z$1,0)),"")</f>
        <v/>
      </c>
      <c r="H2938" s="6" t="str">
        <f aca="false">IFERROR(INDEX('Semrush Data'!$A$1:$Z$20000,MATCH(A2938,'Semrush Data'!$A$1:$A$20000,0),MATCH("Keyword Difficulty*",'Semrush Data'!$A$1:$Z$1,0)),"")</f>
        <v/>
      </c>
      <c r="I2938" s="29" t="str">
        <f aca="false">IFERROR(INDEX('Semrush Data'!$A$1:$Z$20000,MATCH(A2938,'Semrush Data'!$A$1:$A$20000,0),MATCH("CPC*",'Semrush Data'!$A$1:$Z$1,0)),"")</f>
        <v/>
      </c>
      <c r="J2938" s="6" t="str">
        <f aca="false">IFERROR(INDEX('Semrush Data'!$A$1:$Z$20000,MATCH(A2938,'Semrush Data'!$A$1:$A$20000,0),MATCH("Intent",'Semrush Data'!$A$1:$Z$1,0)),"")</f>
        <v/>
      </c>
    </row>
    <row r="2939" customFormat="false" ht="15" hidden="false" customHeight="true" outlineLevel="0" collapsed="false">
      <c r="A2939" s="6" t="s">
        <v>7613</v>
      </c>
      <c r="B2939" s="6" t="s">
        <v>239</v>
      </c>
      <c r="C2939" s="6" t="n">
        <v>3</v>
      </c>
      <c r="D2939" s="6" t="n">
        <v>30</v>
      </c>
      <c r="E2939" s="6" t="n">
        <v>1</v>
      </c>
      <c r="F2939" s="6" t="s">
        <v>5282</v>
      </c>
      <c r="G2939" s="28" t="str">
        <f aca="false">IFERROR(INDEX('Semrush Data'!$A$1:$Z$20000,MATCH(A2939,'Semrush Data'!$A$1:$A$20000,0),MATCH("Volume",'Semrush Data'!$A$1:$Z$1,0)),"")</f>
        <v/>
      </c>
      <c r="H2939" s="6" t="str">
        <f aca="false">IFERROR(INDEX('Semrush Data'!$A$1:$Z$20000,MATCH(A2939,'Semrush Data'!$A$1:$A$20000,0),MATCH("Keyword Difficulty*",'Semrush Data'!$A$1:$Z$1,0)),"")</f>
        <v/>
      </c>
      <c r="I2939" s="29" t="str">
        <f aca="false">IFERROR(INDEX('Semrush Data'!$A$1:$Z$20000,MATCH(A2939,'Semrush Data'!$A$1:$A$20000,0),MATCH("CPC*",'Semrush Data'!$A$1:$Z$1,0)),"")</f>
        <v/>
      </c>
      <c r="J2939" s="6" t="str">
        <f aca="false">IFERROR(INDEX('Semrush Data'!$A$1:$Z$20000,MATCH(A2939,'Semrush Data'!$A$1:$A$20000,0),MATCH("Intent",'Semrush Data'!$A$1:$Z$1,0)),"")</f>
        <v/>
      </c>
    </row>
    <row r="2940" customFormat="false" ht="15" hidden="false" customHeight="true" outlineLevel="0" collapsed="false">
      <c r="A2940" s="6" t="s">
        <v>7614</v>
      </c>
      <c r="B2940" s="6" t="s">
        <v>239</v>
      </c>
      <c r="C2940" s="6" t="n">
        <v>3</v>
      </c>
      <c r="D2940" s="6" t="n">
        <v>30</v>
      </c>
      <c r="E2940" s="6" t="n">
        <v>1</v>
      </c>
      <c r="F2940" s="6" t="s">
        <v>5282</v>
      </c>
      <c r="G2940" s="28" t="str">
        <f aca="false">IFERROR(INDEX('Semrush Data'!$A$1:$Z$20000,MATCH(A2940,'Semrush Data'!$A$1:$A$20000,0),MATCH("Volume",'Semrush Data'!$A$1:$Z$1,0)),"")</f>
        <v/>
      </c>
      <c r="H2940" s="6" t="str">
        <f aca="false">IFERROR(INDEX('Semrush Data'!$A$1:$Z$20000,MATCH(A2940,'Semrush Data'!$A$1:$A$20000,0),MATCH("Keyword Difficulty*",'Semrush Data'!$A$1:$Z$1,0)),"")</f>
        <v/>
      </c>
      <c r="I2940" s="29" t="str">
        <f aca="false">IFERROR(INDEX('Semrush Data'!$A$1:$Z$20000,MATCH(A2940,'Semrush Data'!$A$1:$A$20000,0),MATCH("CPC*",'Semrush Data'!$A$1:$Z$1,0)),"")</f>
        <v/>
      </c>
      <c r="J2940" s="6" t="str">
        <f aca="false">IFERROR(INDEX('Semrush Data'!$A$1:$Z$20000,MATCH(A2940,'Semrush Data'!$A$1:$A$20000,0),MATCH("Intent",'Semrush Data'!$A$1:$Z$1,0)),"")</f>
        <v/>
      </c>
    </row>
    <row r="2941" customFormat="false" ht="15" hidden="false" customHeight="true" outlineLevel="0" collapsed="false">
      <c r="A2941" s="6" t="s">
        <v>7615</v>
      </c>
      <c r="B2941" s="6" t="s">
        <v>239</v>
      </c>
      <c r="C2941" s="6" t="n">
        <v>3</v>
      </c>
      <c r="D2941" s="6" t="n">
        <v>30</v>
      </c>
      <c r="E2941" s="6" t="n">
        <v>1</v>
      </c>
      <c r="F2941" s="6" t="s">
        <v>5282</v>
      </c>
      <c r="G2941" s="28" t="str">
        <f aca="false">IFERROR(INDEX('Semrush Data'!$A$1:$Z$20000,MATCH(A2941,'Semrush Data'!$A$1:$A$20000,0),MATCH("Volume",'Semrush Data'!$A$1:$Z$1,0)),"")</f>
        <v/>
      </c>
      <c r="H2941" s="6" t="str">
        <f aca="false">IFERROR(INDEX('Semrush Data'!$A$1:$Z$20000,MATCH(A2941,'Semrush Data'!$A$1:$A$20000,0),MATCH("Keyword Difficulty*",'Semrush Data'!$A$1:$Z$1,0)),"")</f>
        <v/>
      </c>
      <c r="I2941" s="29" t="str">
        <f aca="false">IFERROR(INDEX('Semrush Data'!$A$1:$Z$20000,MATCH(A2941,'Semrush Data'!$A$1:$A$20000,0),MATCH("CPC*",'Semrush Data'!$A$1:$Z$1,0)),"")</f>
        <v/>
      </c>
      <c r="J2941" s="6" t="str">
        <f aca="false">IFERROR(INDEX('Semrush Data'!$A$1:$Z$20000,MATCH(A2941,'Semrush Data'!$A$1:$A$20000,0),MATCH("Intent",'Semrush Data'!$A$1:$Z$1,0)),"")</f>
        <v/>
      </c>
    </row>
    <row r="2942" customFormat="false" ht="15" hidden="false" customHeight="true" outlineLevel="0" collapsed="false">
      <c r="A2942" s="6" t="s">
        <v>7616</v>
      </c>
      <c r="B2942" s="6" t="s">
        <v>239</v>
      </c>
      <c r="C2942" s="6" t="n">
        <v>3</v>
      </c>
      <c r="D2942" s="6" t="n">
        <v>30</v>
      </c>
      <c r="E2942" s="6" t="n">
        <v>1</v>
      </c>
      <c r="F2942" s="6" t="s">
        <v>143</v>
      </c>
      <c r="G2942" s="28" t="str">
        <f aca="false">IFERROR(INDEX('Semrush Data'!$A$1:$Z$20000,MATCH(A2942,'Semrush Data'!$A$1:$A$20000,0),MATCH("Volume",'Semrush Data'!$A$1:$Z$1,0)),"")</f>
        <v/>
      </c>
      <c r="H2942" s="6" t="str">
        <f aca="false">IFERROR(INDEX('Semrush Data'!$A$1:$Z$20000,MATCH(A2942,'Semrush Data'!$A$1:$A$20000,0),MATCH("Keyword Difficulty*",'Semrush Data'!$A$1:$Z$1,0)),"")</f>
        <v/>
      </c>
      <c r="I2942" s="29" t="str">
        <f aca="false">IFERROR(INDEX('Semrush Data'!$A$1:$Z$20000,MATCH(A2942,'Semrush Data'!$A$1:$A$20000,0),MATCH("CPC*",'Semrush Data'!$A$1:$Z$1,0)),"")</f>
        <v/>
      </c>
      <c r="J2942" s="6" t="str">
        <f aca="false">IFERROR(INDEX('Semrush Data'!$A$1:$Z$20000,MATCH(A2942,'Semrush Data'!$A$1:$A$20000,0),MATCH("Intent",'Semrush Data'!$A$1:$Z$1,0)),"")</f>
        <v/>
      </c>
    </row>
    <row r="2943" customFormat="false" ht="15" hidden="false" customHeight="true" outlineLevel="0" collapsed="false">
      <c r="A2943" s="6" t="s">
        <v>7617</v>
      </c>
      <c r="B2943" s="6" t="s">
        <v>239</v>
      </c>
      <c r="C2943" s="6" t="n">
        <v>3</v>
      </c>
      <c r="D2943" s="6" t="s">
        <v>6893</v>
      </c>
      <c r="E2943" s="6" t="n">
        <v>1</v>
      </c>
      <c r="F2943" s="6" t="s">
        <v>143</v>
      </c>
      <c r="G2943" s="28" t="n">
        <f aca="false">IFERROR(INDEX('Semrush Data'!$A$1:$Z$20000,MATCH(A2943,'Semrush Data'!$A$1:$A$20000,0),MATCH("Volume",'Semrush Data'!$A$1:$Z$1,0)),"")</f>
        <v>20</v>
      </c>
      <c r="H2943" s="6" t="n">
        <f aca="false">IFERROR(INDEX('Semrush Data'!$A$1:$Z$20000,MATCH(A2943,'Semrush Data'!$A$1:$A$20000,0),MATCH("Keyword Difficulty*",'Semrush Data'!$A$1:$Z$1,0)),"")</f>
        <v>23</v>
      </c>
      <c r="I2943" s="29" t="n">
        <f aca="false">IFERROR(INDEX('Semrush Data'!$A$1:$Z$20000,MATCH(A2943,'Semrush Data'!$A$1:$A$20000,0),MATCH("CPC*",'Semrush Data'!$A$1:$Z$1,0)),"")</f>
        <v>0</v>
      </c>
      <c r="J2943" s="6" t="str">
        <f aca="false">IFERROR(INDEX('Semrush Data'!$A$1:$Z$20000,MATCH(A2943,'Semrush Data'!$A$1:$A$20000,0),MATCH("Intent",'Semrush Data'!$A$1:$Z$1,0)),"")</f>
        <v>Informational</v>
      </c>
    </row>
    <row r="2944" customFormat="false" ht="15" hidden="false" customHeight="true" outlineLevel="0" collapsed="false">
      <c r="A2944" s="6" t="s">
        <v>7618</v>
      </c>
      <c r="B2944" s="6" t="s">
        <v>239</v>
      </c>
      <c r="C2944" s="6" t="n">
        <v>3</v>
      </c>
      <c r="D2944" s="6" t="n">
        <v>30</v>
      </c>
      <c r="E2944" s="6" t="n">
        <v>1</v>
      </c>
      <c r="F2944" s="6" t="s">
        <v>143</v>
      </c>
      <c r="G2944" s="28" t="str">
        <f aca="false">IFERROR(INDEX('Semrush Data'!$A$1:$Z$20000,MATCH(A2944,'Semrush Data'!$A$1:$A$20000,0),MATCH("Volume",'Semrush Data'!$A$1:$Z$1,0)),"")</f>
        <v/>
      </c>
      <c r="H2944" s="6" t="str">
        <f aca="false">IFERROR(INDEX('Semrush Data'!$A$1:$Z$20000,MATCH(A2944,'Semrush Data'!$A$1:$A$20000,0),MATCH("Keyword Difficulty*",'Semrush Data'!$A$1:$Z$1,0)),"")</f>
        <v/>
      </c>
      <c r="I2944" s="29" t="str">
        <f aca="false">IFERROR(INDEX('Semrush Data'!$A$1:$Z$20000,MATCH(A2944,'Semrush Data'!$A$1:$A$20000,0),MATCH("CPC*",'Semrush Data'!$A$1:$Z$1,0)),"")</f>
        <v/>
      </c>
      <c r="J2944" s="6" t="str">
        <f aca="false">IFERROR(INDEX('Semrush Data'!$A$1:$Z$20000,MATCH(A2944,'Semrush Data'!$A$1:$A$20000,0),MATCH("Intent",'Semrush Data'!$A$1:$Z$1,0)),"")</f>
        <v/>
      </c>
    </row>
    <row r="2945" customFormat="false" ht="15" hidden="false" customHeight="true" outlineLevel="0" collapsed="false">
      <c r="A2945" s="6" t="s">
        <v>7619</v>
      </c>
      <c r="B2945" s="6" t="s">
        <v>239</v>
      </c>
      <c r="C2945" s="6" t="n">
        <v>3</v>
      </c>
      <c r="D2945" s="6" t="s">
        <v>6893</v>
      </c>
      <c r="E2945" s="6" t="n">
        <v>1</v>
      </c>
      <c r="F2945" s="6" t="s">
        <v>143</v>
      </c>
      <c r="G2945" s="28" t="n">
        <f aca="false">IFERROR(INDEX('Semrush Data'!$A$1:$Z$20000,MATCH(A2945,'Semrush Data'!$A$1:$A$20000,0),MATCH("Volume",'Semrush Data'!$A$1:$Z$1,0)),"")</f>
        <v>20</v>
      </c>
      <c r="H2945" s="6" t="n">
        <f aca="false">IFERROR(INDEX('Semrush Data'!$A$1:$Z$20000,MATCH(A2945,'Semrush Data'!$A$1:$A$20000,0),MATCH("Keyword Difficulty*",'Semrush Data'!$A$1:$Z$1,0)),"")</f>
        <v>10</v>
      </c>
      <c r="I2945" s="29" t="n">
        <f aca="false">IFERROR(INDEX('Semrush Data'!$A$1:$Z$20000,MATCH(A2945,'Semrush Data'!$A$1:$A$20000,0),MATCH("CPC*",'Semrush Data'!$A$1:$Z$1,0)),"")</f>
        <v>0</v>
      </c>
      <c r="J2945" s="6" t="str">
        <f aca="false">IFERROR(INDEX('Semrush Data'!$A$1:$Z$20000,MATCH(A2945,'Semrush Data'!$A$1:$A$20000,0),MATCH("Intent",'Semrush Data'!$A$1:$Z$1,0)),"")</f>
        <v>Commercial</v>
      </c>
    </row>
    <row r="2946" customFormat="false" ht="15" hidden="false" customHeight="true" outlineLevel="0" collapsed="false">
      <c r="A2946" s="6" t="s">
        <v>7620</v>
      </c>
      <c r="B2946" s="6" t="s">
        <v>239</v>
      </c>
      <c r="C2946" s="6" t="n">
        <v>3</v>
      </c>
      <c r="D2946" s="6" t="n">
        <v>30</v>
      </c>
      <c r="E2946" s="6" t="n">
        <v>1</v>
      </c>
      <c r="F2946" s="6" t="s">
        <v>143</v>
      </c>
      <c r="G2946" s="28" t="str">
        <f aca="false">IFERROR(INDEX('Semrush Data'!$A$1:$Z$20000,MATCH(A2946,'Semrush Data'!$A$1:$A$20000,0),MATCH("Volume",'Semrush Data'!$A$1:$Z$1,0)),"")</f>
        <v/>
      </c>
      <c r="H2946" s="6" t="str">
        <f aca="false">IFERROR(INDEX('Semrush Data'!$A$1:$Z$20000,MATCH(A2946,'Semrush Data'!$A$1:$A$20000,0),MATCH("Keyword Difficulty*",'Semrush Data'!$A$1:$Z$1,0)),"")</f>
        <v/>
      </c>
      <c r="I2946" s="29" t="str">
        <f aca="false">IFERROR(INDEX('Semrush Data'!$A$1:$Z$20000,MATCH(A2946,'Semrush Data'!$A$1:$A$20000,0),MATCH("CPC*",'Semrush Data'!$A$1:$Z$1,0)),"")</f>
        <v/>
      </c>
      <c r="J2946" s="6" t="str">
        <f aca="false">IFERROR(INDEX('Semrush Data'!$A$1:$Z$20000,MATCH(A2946,'Semrush Data'!$A$1:$A$20000,0),MATCH("Intent",'Semrush Data'!$A$1:$Z$1,0)),"")</f>
        <v/>
      </c>
    </row>
    <row r="2947" customFormat="false" ht="15" hidden="false" customHeight="true" outlineLevel="0" collapsed="false">
      <c r="A2947" s="6" t="s">
        <v>7621</v>
      </c>
      <c r="B2947" s="6" t="s">
        <v>239</v>
      </c>
      <c r="C2947" s="6" t="n">
        <v>3</v>
      </c>
      <c r="D2947" s="6" t="n">
        <v>30</v>
      </c>
      <c r="E2947" s="6" t="n">
        <v>1</v>
      </c>
      <c r="F2947" s="6" t="s">
        <v>5406</v>
      </c>
      <c r="G2947" s="28" t="str">
        <f aca="false">IFERROR(INDEX('Semrush Data'!$A$1:$Z$20000,MATCH(A2947,'Semrush Data'!$A$1:$A$20000,0),MATCH("Volume",'Semrush Data'!$A$1:$Z$1,0)),"")</f>
        <v/>
      </c>
      <c r="H2947" s="6" t="str">
        <f aca="false">IFERROR(INDEX('Semrush Data'!$A$1:$Z$20000,MATCH(A2947,'Semrush Data'!$A$1:$A$20000,0),MATCH("Keyword Difficulty*",'Semrush Data'!$A$1:$Z$1,0)),"")</f>
        <v/>
      </c>
      <c r="I2947" s="29" t="str">
        <f aca="false">IFERROR(INDEX('Semrush Data'!$A$1:$Z$20000,MATCH(A2947,'Semrush Data'!$A$1:$A$20000,0),MATCH("CPC*",'Semrush Data'!$A$1:$Z$1,0)),"")</f>
        <v/>
      </c>
      <c r="J2947" s="6" t="str">
        <f aca="false">IFERROR(INDEX('Semrush Data'!$A$1:$Z$20000,MATCH(A2947,'Semrush Data'!$A$1:$A$20000,0),MATCH("Intent",'Semrush Data'!$A$1:$Z$1,0)),"")</f>
        <v/>
      </c>
    </row>
    <row r="2948" customFormat="false" ht="15" hidden="false" customHeight="true" outlineLevel="0" collapsed="false">
      <c r="A2948" s="6" t="s">
        <v>7622</v>
      </c>
      <c r="B2948" s="6" t="s">
        <v>239</v>
      </c>
      <c r="C2948" s="6" t="n">
        <v>3</v>
      </c>
      <c r="D2948" s="6" t="n">
        <v>30</v>
      </c>
      <c r="E2948" s="6" t="n">
        <v>1</v>
      </c>
      <c r="F2948" s="6" t="s">
        <v>5406</v>
      </c>
      <c r="G2948" s="28" t="str">
        <f aca="false">IFERROR(INDEX('Semrush Data'!$A$1:$Z$20000,MATCH(A2948,'Semrush Data'!$A$1:$A$20000,0),MATCH("Volume",'Semrush Data'!$A$1:$Z$1,0)),"")</f>
        <v/>
      </c>
      <c r="H2948" s="6" t="str">
        <f aca="false">IFERROR(INDEX('Semrush Data'!$A$1:$Z$20000,MATCH(A2948,'Semrush Data'!$A$1:$A$20000,0),MATCH("Keyword Difficulty*",'Semrush Data'!$A$1:$Z$1,0)),"")</f>
        <v/>
      </c>
      <c r="I2948" s="29" t="str">
        <f aca="false">IFERROR(INDEX('Semrush Data'!$A$1:$Z$20000,MATCH(A2948,'Semrush Data'!$A$1:$A$20000,0),MATCH("CPC*",'Semrush Data'!$A$1:$Z$1,0)),"")</f>
        <v/>
      </c>
      <c r="J2948" s="6" t="str">
        <f aca="false">IFERROR(INDEX('Semrush Data'!$A$1:$Z$20000,MATCH(A2948,'Semrush Data'!$A$1:$A$20000,0),MATCH("Intent",'Semrush Data'!$A$1:$Z$1,0)),"")</f>
        <v/>
      </c>
    </row>
    <row r="2949" customFormat="false" ht="15" hidden="false" customHeight="true" outlineLevel="0" collapsed="false">
      <c r="A2949" s="6" t="s">
        <v>7623</v>
      </c>
      <c r="B2949" s="6" t="s">
        <v>239</v>
      </c>
      <c r="C2949" s="6" t="n">
        <v>3</v>
      </c>
      <c r="D2949" s="6" t="n">
        <v>30</v>
      </c>
      <c r="E2949" s="6" t="n">
        <v>1</v>
      </c>
      <c r="F2949" s="6" t="s">
        <v>5406</v>
      </c>
      <c r="G2949" s="28" t="str">
        <f aca="false">IFERROR(INDEX('Semrush Data'!$A$1:$Z$20000,MATCH(A2949,'Semrush Data'!$A$1:$A$20000,0),MATCH("Volume",'Semrush Data'!$A$1:$Z$1,0)),"")</f>
        <v/>
      </c>
      <c r="H2949" s="6" t="str">
        <f aca="false">IFERROR(INDEX('Semrush Data'!$A$1:$Z$20000,MATCH(A2949,'Semrush Data'!$A$1:$A$20000,0),MATCH("Keyword Difficulty*",'Semrush Data'!$A$1:$Z$1,0)),"")</f>
        <v/>
      </c>
      <c r="I2949" s="29" t="str">
        <f aca="false">IFERROR(INDEX('Semrush Data'!$A$1:$Z$20000,MATCH(A2949,'Semrush Data'!$A$1:$A$20000,0),MATCH("CPC*",'Semrush Data'!$A$1:$Z$1,0)),"")</f>
        <v/>
      </c>
      <c r="J2949" s="6" t="str">
        <f aca="false">IFERROR(INDEX('Semrush Data'!$A$1:$Z$20000,MATCH(A2949,'Semrush Data'!$A$1:$A$20000,0),MATCH("Intent",'Semrush Data'!$A$1:$Z$1,0)),"")</f>
        <v/>
      </c>
    </row>
    <row r="2950" customFormat="false" ht="15" hidden="false" customHeight="true" outlineLevel="0" collapsed="false">
      <c r="A2950" s="6" t="s">
        <v>7624</v>
      </c>
      <c r="B2950" s="6" t="s">
        <v>239</v>
      </c>
      <c r="C2950" s="6" t="n">
        <v>3</v>
      </c>
      <c r="D2950" s="6" t="n">
        <v>30</v>
      </c>
      <c r="E2950" s="6" t="n">
        <v>1</v>
      </c>
      <c r="F2950" s="6" t="s">
        <v>5406</v>
      </c>
      <c r="G2950" s="28" t="str">
        <f aca="false">IFERROR(INDEX('Semrush Data'!$A$1:$Z$20000,MATCH(A2950,'Semrush Data'!$A$1:$A$20000,0),MATCH("Volume",'Semrush Data'!$A$1:$Z$1,0)),"")</f>
        <v/>
      </c>
      <c r="H2950" s="6" t="str">
        <f aca="false">IFERROR(INDEX('Semrush Data'!$A$1:$Z$20000,MATCH(A2950,'Semrush Data'!$A$1:$A$20000,0),MATCH("Keyword Difficulty*",'Semrush Data'!$A$1:$Z$1,0)),"")</f>
        <v/>
      </c>
      <c r="I2950" s="29" t="str">
        <f aca="false">IFERROR(INDEX('Semrush Data'!$A$1:$Z$20000,MATCH(A2950,'Semrush Data'!$A$1:$A$20000,0),MATCH("CPC*",'Semrush Data'!$A$1:$Z$1,0)),"")</f>
        <v/>
      </c>
      <c r="J2950" s="6" t="str">
        <f aca="false">IFERROR(INDEX('Semrush Data'!$A$1:$Z$20000,MATCH(A2950,'Semrush Data'!$A$1:$A$20000,0),MATCH("Intent",'Semrush Data'!$A$1:$Z$1,0)),"")</f>
        <v/>
      </c>
    </row>
    <row r="2951" customFormat="false" ht="15" hidden="false" customHeight="true" outlineLevel="0" collapsed="false">
      <c r="A2951" s="6" t="s">
        <v>7625</v>
      </c>
      <c r="B2951" s="6" t="s">
        <v>239</v>
      </c>
      <c r="C2951" s="6" t="n">
        <v>3</v>
      </c>
      <c r="D2951" s="6" t="n">
        <v>30</v>
      </c>
      <c r="E2951" s="6" t="n">
        <v>1</v>
      </c>
      <c r="F2951" s="6" t="s">
        <v>5406</v>
      </c>
      <c r="G2951" s="28" t="str">
        <f aca="false">IFERROR(INDEX('Semrush Data'!$A$1:$Z$20000,MATCH(A2951,'Semrush Data'!$A$1:$A$20000,0),MATCH("Volume",'Semrush Data'!$A$1:$Z$1,0)),"")</f>
        <v/>
      </c>
      <c r="H2951" s="6" t="str">
        <f aca="false">IFERROR(INDEX('Semrush Data'!$A$1:$Z$20000,MATCH(A2951,'Semrush Data'!$A$1:$A$20000,0),MATCH("Keyword Difficulty*",'Semrush Data'!$A$1:$Z$1,0)),"")</f>
        <v/>
      </c>
      <c r="I2951" s="29" t="str">
        <f aca="false">IFERROR(INDEX('Semrush Data'!$A$1:$Z$20000,MATCH(A2951,'Semrush Data'!$A$1:$A$20000,0),MATCH("CPC*",'Semrush Data'!$A$1:$Z$1,0)),"")</f>
        <v/>
      </c>
      <c r="J2951" s="6" t="str">
        <f aca="false">IFERROR(INDEX('Semrush Data'!$A$1:$Z$20000,MATCH(A2951,'Semrush Data'!$A$1:$A$20000,0),MATCH("Intent",'Semrush Data'!$A$1:$Z$1,0)),"")</f>
        <v/>
      </c>
    </row>
    <row r="2952" customFormat="false" ht="15" hidden="false" customHeight="true" outlineLevel="0" collapsed="false">
      <c r="A2952" s="6" t="s">
        <v>7626</v>
      </c>
      <c r="B2952" s="6" t="s">
        <v>239</v>
      </c>
      <c r="C2952" s="6" t="n">
        <v>3</v>
      </c>
      <c r="D2952" s="6" t="n">
        <v>30</v>
      </c>
      <c r="E2952" s="6" t="n">
        <v>1</v>
      </c>
      <c r="F2952" s="6" t="s">
        <v>4522</v>
      </c>
      <c r="G2952" s="28" t="str">
        <f aca="false">IFERROR(INDEX('Semrush Data'!$A$1:$Z$20000,MATCH(A2952,'Semrush Data'!$A$1:$A$20000,0),MATCH("Volume",'Semrush Data'!$A$1:$Z$1,0)),"")</f>
        <v/>
      </c>
      <c r="H2952" s="6" t="str">
        <f aca="false">IFERROR(INDEX('Semrush Data'!$A$1:$Z$20000,MATCH(A2952,'Semrush Data'!$A$1:$A$20000,0),MATCH("Keyword Difficulty*",'Semrush Data'!$A$1:$Z$1,0)),"")</f>
        <v/>
      </c>
      <c r="I2952" s="29" t="str">
        <f aca="false">IFERROR(INDEX('Semrush Data'!$A$1:$Z$20000,MATCH(A2952,'Semrush Data'!$A$1:$A$20000,0),MATCH("CPC*",'Semrush Data'!$A$1:$Z$1,0)),"")</f>
        <v/>
      </c>
      <c r="J2952" s="6" t="str">
        <f aca="false">IFERROR(INDEX('Semrush Data'!$A$1:$Z$20000,MATCH(A2952,'Semrush Data'!$A$1:$A$20000,0),MATCH("Intent",'Semrush Data'!$A$1:$Z$1,0)),"")</f>
        <v/>
      </c>
    </row>
    <row r="2953" customFormat="false" ht="15" hidden="false" customHeight="true" outlineLevel="0" collapsed="false">
      <c r="A2953" s="6" t="s">
        <v>7627</v>
      </c>
      <c r="B2953" s="6" t="s">
        <v>239</v>
      </c>
      <c r="C2953" s="6" t="n">
        <v>3</v>
      </c>
      <c r="D2953" s="6" t="n">
        <v>30</v>
      </c>
      <c r="E2953" s="6" t="n">
        <v>1</v>
      </c>
      <c r="F2953" s="6" t="s">
        <v>5417</v>
      </c>
      <c r="G2953" s="28" t="str">
        <f aca="false">IFERROR(INDEX('Semrush Data'!$A$1:$Z$20000,MATCH(A2953,'Semrush Data'!$A$1:$A$20000,0),MATCH("Volume",'Semrush Data'!$A$1:$Z$1,0)),"")</f>
        <v/>
      </c>
      <c r="H2953" s="6" t="str">
        <f aca="false">IFERROR(INDEX('Semrush Data'!$A$1:$Z$20000,MATCH(A2953,'Semrush Data'!$A$1:$A$20000,0),MATCH("Keyword Difficulty*",'Semrush Data'!$A$1:$Z$1,0)),"")</f>
        <v/>
      </c>
      <c r="I2953" s="29" t="str">
        <f aca="false">IFERROR(INDEX('Semrush Data'!$A$1:$Z$20000,MATCH(A2953,'Semrush Data'!$A$1:$A$20000,0),MATCH("CPC*",'Semrush Data'!$A$1:$Z$1,0)),"")</f>
        <v/>
      </c>
      <c r="J2953" s="6" t="str">
        <f aca="false">IFERROR(INDEX('Semrush Data'!$A$1:$Z$20000,MATCH(A2953,'Semrush Data'!$A$1:$A$20000,0),MATCH("Intent",'Semrush Data'!$A$1:$Z$1,0)),"")</f>
        <v/>
      </c>
    </row>
    <row r="2954" customFormat="false" ht="15" hidden="false" customHeight="true" outlineLevel="0" collapsed="false">
      <c r="A2954" s="6" t="s">
        <v>7628</v>
      </c>
      <c r="B2954" s="6" t="s">
        <v>239</v>
      </c>
      <c r="C2954" s="6" t="n">
        <v>3</v>
      </c>
      <c r="D2954" s="6" t="n">
        <v>30</v>
      </c>
      <c r="E2954" s="6" t="n">
        <v>1</v>
      </c>
      <c r="F2954" s="6" t="s">
        <v>5417</v>
      </c>
      <c r="G2954" s="28" t="str">
        <f aca="false">IFERROR(INDEX('Semrush Data'!$A$1:$Z$20000,MATCH(A2954,'Semrush Data'!$A$1:$A$20000,0),MATCH("Volume",'Semrush Data'!$A$1:$Z$1,0)),"")</f>
        <v/>
      </c>
      <c r="H2954" s="6" t="str">
        <f aca="false">IFERROR(INDEX('Semrush Data'!$A$1:$Z$20000,MATCH(A2954,'Semrush Data'!$A$1:$A$20000,0),MATCH("Keyword Difficulty*",'Semrush Data'!$A$1:$Z$1,0)),"")</f>
        <v/>
      </c>
      <c r="I2954" s="29" t="str">
        <f aca="false">IFERROR(INDEX('Semrush Data'!$A$1:$Z$20000,MATCH(A2954,'Semrush Data'!$A$1:$A$20000,0),MATCH("CPC*",'Semrush Data'!$A$1:$Z$1,0)),"")</f>
        <v/>
      </c>
      <c r="J2954" s="6" t="str">
        <f aca="false">IFERROR(INDEX('Semrush Data'!$A$1:$Z$20000,MATCH(A2954,'Semrush Data'!$A$1:$A$20000,0),MATCH("Intent",'Semrush Data'!$A$1:$Z$1,0)),"")</f>
        <v/>
      </c>
    </row>
    <row r="2955" customFormat="false" ht="15" hidden="false" customHeight="true" outlineLevel="0" collapsed="false">
      <c r="A2955" s="6" t="s">
        <v>7629</v>
      </c>
      <c r="B2955" s="6" t="s">
        <v>239</v>
      </c>
      <c r="C2955" s="6" t="n">
        <v>3</v>
      </c>
      <c r="D2955" s="6" t="n">
        <v>30</v>
      </c>
      <c r="E2955" s="6" t="n">
        <v>1</v>
      </c>
      <c r="F2955" s="6" t="s">
        <v>5417</v>
      </c>
      <c r="G2955" s="28" t="str">
        <f aca="false">IFERROR(INDEX('Semrush Data'!$A$1:$Z$20000,MATCH(A2955,'Semrush Data'!$A$1:$A$20000,0),MATCH("Volume",'Semrush Data'!$A$1:$Z$1,0)),"")</f>
        <v/>
      </c>
      <c r="H2955" s="6" t="str">
        <f aca="false">IFERROR(INDEX('Semrush Data'!$A$1:$Z$20000,MATCH(A2955,'Semrush Data'!$A$1:$A$20000,0),MATCH("Keyword Difficulty*",'Semrush Data'!$A$1:$Z$1,0)),"")</f>
        <v/>
      </c>
      <c r="I2955" s="29" t="str">
        <f aca="false">IFERROR(INDEX('Semrush Data'!$A$1:$Z$20000,MATCH(A2955,'Semrush Data'!$A$1:$A$20000,0),MATCH("CPC*",'Semrush Data'!$A$1:$Z$1,0)),"")</f>
        <v/>
      </c>
      <c r="J2955" s="6" t="str">
        <f aca="false">IFERROR(INDEX('Semrush Data'!$A$1:$Z$20000,MATCH(A2955,'Semrush Data'!$A$1:$A$20000,0),MATCH("Intent",'Semrush Data'!$A$1:$Z$1,0)),"")</f>
        <v/>
      </c>
    </row>
    <row r="2956" customFormat="false" ht="15" hidden="false" customHeight="true" outlineLevel="0" collapsed="false">
      <c r="A2956" s="6" t="s">
        <v>7630</v>
      </c>
      <c r="B2956" s="6" t="s">
        <v>239</v>
      </c>
      <c r="C2956" s="6" t="n">
        <v>3</v>
      </c>
      <c r="D2956" s="6" t="n">
        <v>30</v>
      </c>
      <c r="E2956" s="6" t="n">
        <v>1</v>
      </c>
      <c r="F2956" s="6" t="s">
        <v>5417</v>
      </c>
      <c r="G2956" s="28" t="str">
        <f aca="false">IFERROR(INDEX('Semrush Data'!$A$1:$Z$20000,MATCH(A2956,'Semrush Data'!$A$1:$A$20000,0),MATCH("Volume",'Semrush Data'!$A$1:$Z$1,0)),"")</f>
        <v/>
      </c>
      <c r="H2956" s="6" t="str">
        <f aca="false">IFERROR(INDEX('Semrush Data'!$A$1:$Z$20000,MATCH(A2956,'Semrush Data'!$A$1:$A$20000,0),MATCH("Keyword Difficulty*",'Semrush Data'!$A$1:$Z$1,0)),"")</f>
        <v/>
      </c>
      <c r="I2956" s="29" t="str">
        <f aca="false">IFERROR(INDEX('Semrush Data'!$A$1:$Z$20000,MATCH(A2956,'Semrush Data'!$A$1:$A$20000,0),MATCH("CPC*",'Semrush Data'!$A$1:$Z$1,0)),"")</f>
        <v/>
      </c>
      <c r="J2956" s="6" t="str">
        <f aca="false">IFERROR(INDEX('Semrush Data'!$A$1:$Z$20000,MATCH(A2956,'Semrush Data'!$A$1:$A$20000,0),MATCH("Intent",'Semrush Data'!$A$1:$Z$1,0)),"")</f>
        <v/>
      </c>
    </row>
    <row r="2957" customFormat="false" ht="15" hidden="false" customHeight="true" outlineLevel="0" collapsed="false">
      <c r="A2957" s="6" t="s">
        <v>7631</v>
      </c>
      <c r="B2957" s="6" t="s">
        <v>239</v>
      </c>
      <c r="C2957" s="6" t="n">
        <v>3</v>
      </c>
      <c r="D2957" s="6" t="n">
        <v>30</v>
      </c>
      <c r="E2957" s="6" t="n">
        <v>1</v>
      </c>
      <c r="F2957" s="6" t="s">
        <v>5431</v>
      </c>
      <c r="G2957" s="28" t="str">
        <f aca="false">IFERROR(INDEX('Semrush Data'!$A$1:$Z$20000,MATCH(A2957,'Semrush Data'!$A$1:$A$20000,0),MATCH("Volume",'Semrush Data'!$A$1:$Z$1,0)),"")</f>
        <v/>
      </c>
      <c r="H2957" s="6" t="str">
        <f aca="false">IFERROR(INDEX('Semrush Data'!$A$1:$Z$20000,MATCH(A2957,'Semrush Data'!$A$1:$A$20000,0),MATCH("Keyword Difficulty*",'Semrush Data'!$A$1:$Z$1,0)),"")</f>
        <v/>
      </c>
      <c r="I2957" s="29" t="str">
        <f aca="false">IFERROR(INDEX('Semrush Data'!$A$1:$Z$20000,MATCH(A2957,'Semrush Data'!$A$1:$A$20000,0),MATCH("CPC*",'Semrush Data'!$A$1:$Z$1,0)),"")</f>
        <v/>
      </c>
      <c r="J2957" s="6" t="str">
        <f aca="false">IFERROR(INDEX('Semrush Data'!$A$1:$Z$20000,MATCH(A2957,'Semrush Data'!$A$1:$A$20000,0),MATCH("Intent",'Semrush Data'!$A$1:$Z$1,0)),"")</f>
        <v/>
      </c>
    </row>
    <row r="2958" customFormat="false" ht="15" hidden="false" customHeight="true" outlineLevel="0" collapsed="false">
      <c r="A2958" s="6" t="s">
        <v>7632</v>
      </c>
      <c r="B2958" s="6" t="s">
        <v>239</v>
      </c>
      <c r="C2958" s="6" t="n">
        <v>3</v>
      </c>
      <c r="D2958" s="6" t="n">
        <v>30</v>
      </c>
      <c r="E2958" s="6" t="n">
        <v>1</v>
      </c>
      <c r="F2958" s="6" t="s">
        <v>5431</v>
      </c>
      <c r="G2958" s="28" t="str">
        <f aca="false">IFERROR(INDEX('Semrush Data'!$A$1:$Z$20000,MATCH(A2958,'Semrush Data'!$A$1:$A$20000,0),MATCH("Volume",'Semrush Data'!$A$1:$Z$1,0)),"")</f>
        <v/>
      </c>
      <c r="H2958" s="6" t="str">
        <f aca="false">IFERROR(INDEX('Semrush Data'!$A$1:$Z$20000,MATCH(A2958,'Semrush Data'!$A$1:$A$20000,0),MATCH("Keyword Difficulty*",'Semrush Data'!$A$1:$Z$1,0)),"")</f>
        <v/>
      </c>
      <c r="I2958" s="29" t="str">
        <f aca="false">IFERROR(INDEX('Semrush Data'!$A$1:$Z$20000,MATCH(A2958,'Semrush Data'!$A$1:$A$20000,0),MATCH("CPC*",'Semrush Data'!$A$1:$Z$1,0)),"")</f>
        <v/>
      </c>
      <c r="J2958" s="6" t="str">
        <f aca="false">IFERROR(INDEX('Semrush Data'!$A$1:$Z$20000,MATCH(A2958,'Semrush Data'!$A$1:$A$20000,0),MATCH("Intent",'Semrush Data'!$A$1:$Z$1,0)),"")</f>
        <v/>
      </c>
    </row>
    <row r="2959" customFormat="false" ht="15" hidden="false" customHeight="true" outlineLevel="0" collapsed="false">
      <c r="A2959" s="6" t="s">
        <v>7633</v>
      </c>
      <c r="B2959" s="6" t="s">
        <v>239</v>
      </c>
      <c r="C2959" s="6" t="n">
        <v>3</v>
      </c>
      <c r="D2959" s="6" t="n">
        <v>30</v>
      </c>
      <c r="E2959" s="6" t="n">
        <v>1</v>
      </c>
      <c r="F2959" s="6" t="s">
        <v>5431</v>
      </c>
      <c r="G2959" s="28" t="str">
        <f aca="false">IFERROR(INDEX('Semrush Data'!$A$1:$Z$20000,MATCH(A2959,'Semrush Data'!$A$1:$A$20000,0),MATCH("Volume",'Semrush Data'!$A$1:$Z$1,0)),"")</f>
        <v/>
      </c>
      <c r="H2959" s="6" t="str">
        <f aca="false">IFERROR(INDEX('Semrush Data'!$A$1:$Z$20000,MATCH(A2959,'Semrush Data'!$A$1:$A$20000,0),MATCH("Keyword Difficulty*",'Semrush Data'!$A$1:$Z$1,0)),"")</f>
        <v/>
      </c>
      <c r="I2959" s="29" t="str">
        <f aca="false">IFERROR(INDEX('Semrush Data'!$A$1:$Z$20000,MATCH(A2959,'Semrush Data'!$A$1:$A$20000,0),MATCH("CPC*",'Semrush Data'!$A$1:$Z$1,0)),"")</f>
        <v/>
      </c>
      <c r="J2959" s="6" t="str">
        <f aca="false">IFERROR(INDEX('Semrush Data'!$A$1:$Z$20000,MATCH(A2959,'Semrush Data'!$A$1:$A$20000,0),MATCH("Intent",'Semrush Data'!$A$1:$Z$1,0)),"")</f>
        <v/>
      </c>
    </row>
    <row r="2960" customFormat="false" ht="15" hidden="false" customHeight="true" outlineLevel="0" collapsed="false">
      <c r="A2960" s="6" t="s">
        <v>7634</v>
      </c>
      <c r="B2960" s="6" t="s">
        <v>239</v>
      </c>
      <c r="C2960" s="6" t="n">
        <v>3</v>
      </c>
      <c r="D2960" s="6" t="n">
        <v>30</v>
      </c>
      <c r="E2960" s="6" t="n">
        <v>1</v>
      </c>
      <c r="F2960" s="6" t="s">
        <v>5431</v>
      </c>
      <c r="G2960" s="28" t="str">
        <f aca="false">IFERROR(INDEX('Semrush Data'!$A$1:$Z$20000,MATCH(A2960,'Semrush Data'!$A$1:$A$20000,0),MATCH("Volume",'Semrush Data'!$A$1:$Z$1,0)),"")</f>
        <v/>
      </c>
      <c r="H2960" s="6" t="str">
        <f aca="false">IFERROR(INDEX('Semrush Data'!$A$1:$Z$20000,MATCH(A2960,'Semrush Data'!$A$1:$A$20000,0),MATCH("Keyword Difficulty*",'Semrush Data'!$A$1:$Z$1,0)),"")</f>
        <v/>
      </c>
      <c r="I2960" s="29" t="str">
        <f aca="false">IFERROR(INDEX('Semrush Data'!$A$1:$Z$20000,MATCH(A2960,'Semrush Data'!$A$1:$A$20000,0),MATCH("CPC*",'Semrush Data'!$A$1:$Z$1,0)),"")</f>
        <v/>
      </c>
      <c r="J2960" s="6" t="str">
        <f aca="false">IFERROR(INDEX('Semrush Data'!$A$1:$Z$20000,MATCH(A2960,'Semrush Data'!$A$1:$A$20000,0),MATCH("Intent",'Semrush Data'!$A$1:$Z$1,0)),"")</f>
        <v/>
      </c>
    </row>
    <row r="2961" customFormat="false" ht="15" hidden="false" customHeight="true" outlineLevel="0" collapsed="false">
      <c r="A2961" s="6" t="s">
        <v>7635</v>
      </c>
      <c r="B2961" s="6" t="s">
        <v>239</v>
      </c>
      <c r="C2961" s="6" t="n">
        <v>3</v>
      </c>
      <c r="D2961" s="6" t="n">
        <v>30</v>
      </c>
      <c r="E2961" s="6" t="n">
        <v>1</v>
      </c>
      <c r="F2961" s="6" t="s">
        <v>5485</v>
      </c>
      <c r="G2961" s="28" t="str">
        <f aca="false">IFERROR(INDEX('Semrush Data'!$A$1:$Z$20000,MATCH(A2961,'Semrush Data'!$A$1:$A$20000,0),MATCH("Volume",'Semrush Data'!$A$1:$Z$1,0)),"")</f>
        <v/>
      </c>
      <c r="H2961" s="6" t="str">
        <f aca="false">IFERROR(INDEX('Semrush Data'!$A$1:$Z$20000,MATCH(A2961,'Semrush Data'!$A$1:$A$20000,0),MATCH("Keyword Difficulty*",'Semrush Data'!$A$1:$Z$1,0)),"")</f>
        <v/>
      </c>
      <c r="I2961" s="29" t="str">
        <f aca="false">IFERROR(INDEX('Semrush Data'!$A$1:$Z$20000,MATCH(A2961,'Semrush Data'!$A$1:$A$20000,0),MATCH("CPC*",'Semrush Data'!$A$1:$Z$1,0)),"")</f>
        <v/>
      </c>
      <c r="J2961" s="6" t="str">
        <f aca="false">IFERROR(INDEX('Semrush Data'!$A$1:$Z$20000,MATCH(A2961,'Semrush Data'!$A$1:$A$20000,0),MATCH("Intent",'Semrush Data'!$A$1:$Z$1,0)),"")</f>
        <v/>
      </c>
    </row>
    <row r="2962" customFormat="false" ht="15" hidden="false" customHeight="true" outlineLevel="0" collapsed="false">
      <c r="A2962" s="6" t="s">
        <v>7636</v>
      </c>
      <c r="B2962" s="6" t="s">
        <v>239</v>
      </c>
      <c r="C2962" s="6" t="n">
        <v>3</v>
      </c>
      <c r="D2962" s="6" t="n">
        <v>30</v>
      </c>
      <c r="E2962" s="6" t="n">
        <v>1</v>
      </c>
      <c r="F2962" s="6" t="s">
        <v>77</v>
      </c>
      <c r="G2962" s="28" t="str">
        <f aca="false">IFERROR(INDEX('Semrush Data'!$A$1:$Z$20000,MATCH(A2962,'Semrush Data'!$A$1:$A$20000,0),MATCH("Volume",'Semrush Data'!$A$1:$Z$1,0)),"")</f>
        <v/>
      </c>
      <c r="H2962" s="6" t="str">
        <f aca="false">IFERROR(INDEX('Semrush Data'!$A$1:$Z$20000,MATCH(A2962,'Semrush Data'!$A$1:$A$20000,0),MATCH("Keyword Difficulty*",'Semrush Data'!$A$1:$Z$1,0)),"")</f>
        <v/>
      </c>
      <c r="I2962" s="29" t="str">
        <f aca="false">IFERROR(INDEX('Semrush Data'!$A$1:$Z$20000,MATCH(A2962,'Semrush Data'!$A$1:$A$20000,0),MATCH("CPC*",'Semrush Data'!$A$1:$Z$1,0)),"")</f>
        <v/>
      </c>
      <c r="J2962" s="6" t="str">
        <f aca="false">IFERROR(INDEX('Semrush Data'!$A$1:$Z$20000,MATCH(A2962,'Semrush Data'!$A$1:$A$20000,0),MATCH("Intent",'Semrush Data'!$A$1:$Z$1,0)),"")</f>
        <v/>
      </c>
    </row>
    <row r="2963" customFormat="false" ht="15" hidden="false" customHeight="true" outlineLevel="0" collapsed="false">
      <c r="A2963" s="6" t="s">
        <v>7637</v>
      </c>
      <c r="B2963" s="6" t="s">
        <v>239</v>
      </c>
      <c r="C2963" s="6" t="n">
        <v>3</v>
      </c>
      <c r="D2963" s="6" t="n">
        <v>30</v>
      </c>
      <c r="E2963" s="6" t="n">
        <v>1</v>
      </c>
      <c r="F2963" s="6" t="s">
        <v>77</v>
      </c>
      <c r="G2963" s="28" t="str">
        <f aca="false">IFERROR(INDEX('Semrush Data'!$A$1:$Z$20000,MATCH(A2963,'Semrush Data'!$A$1:$A$20000,0),MATCH("Volume",'Semrush Data'!$A$1:$Z$1,0)),"")</f>
        <v/>
      </c>
      <c r="H2963" s="6" t="str">
        <f aca="false">IFERROR(INDEX('Semrush Data'!$A$1:$Z$20000,MATCH(A2963,'Semrush Data'!$A$1:$A$20000,0),MATCH("Keyword Difficulty*",'Semrush Data'!$A$1:$Z$1,0)),"")</f>
        <v/>
      </c>
      <c r="I2963" s="29" t="str">
        <f aca="false">IFERROR(INDEX('Semrush Data'!$A$1:$Z$20000,MATCH(A2963,'Semrush Data'!$A$1:$A$20000,0),MATCH("CPC*",'Semrush Data'!$A$1:$Z$1,0)),"")</f>
        <v/>
      </c>
      <c r="J2963" s="6" t="str">
        <f aca="false">IFERROR(INDEX('Semrush Data'!$A$1:$Z$20000,MATCH(A2963,'Semrush Data'!$A$1:$A$20000,0),MATCH("Intent",'Semrush Data'!$A$1:$Z$1,0)),"")</f>
        <v/>
      </c>
    </row>
    <row r="2964" customFormat="false" ht="15" hidden="false" customHeight="true" outlineLevel="0" collapsed="false">
      <c r="A2964" s="6" t="s">
        <v>273</v>
      </c>
      <c r="B2964" s="6" t="s">
        <v>239</v>
      </c>
      <c r="C2964" s="6" t="n">
        <v>3</v>
      </c>
      <c r="D2964" s="6" t="s">
        <v>6870</v>
      </c>
      <c r="E2964" s="6" t="n">
        <v>1</v>
      </c>
      <c r="F2964" s="6" t="s">
        <v>77</v>
      </c>
      <c r="G2964" s="28" t="n">
        <f aca="false">IFERROR(INDEX('Semrush Data'!$A$1:$Z$20000,MATCH(A2964,'Semrush Data'!$A$1:$A$20000,0),MATCH("Volume",'Semrush Data'!$A$1:$Z$1,0)),"")</f>
        <v>30</v>
      </c>
      <c r="H2964" s="6" t="n">
        <f aca="false">IFERROR(INDEX('Semrush Data'!$A$1:$Z$20000,MATCH(A2964,'Semrush Data'!$A$1:$A$20000,0),MATCH("Keyword Difficulty*",'Semrush Data'!$A$1:$Z$1,0)),"")</f>
        <v>10</v>
      </c>
      <c r="I2964" s="29" t="n">
        <f aca="false">IFERROR(INDEX('Semrush Data'!$A$1:$Z$20000,MATCH(A2964,'Semrush Data'!$A$1:$A$20000,0),MATCH("CPC*",'Semrush Data'!$A$1:$Z$1,0)),"")</f>
        <v>0</v>
      </c>
      <c r="J2964" s="6" t="str">
        <f aca="false">IFERROR(INDEX('Semrush Data'!$A$1:$Z$20000,MATCH(A2964,'Semrush Data'!$A$1:$A$20000,0),MATCH("Intent",'Semrush Data'!$A$1:$Z$1,0)),"")</f>
        <v>Informational</v>
      </c>
    </row>
    <row r="2965" customFormat="false" ht="15" hidden="false" customHeight="true" outlineLevel="0" collapsed="false">
      <c r="A2965" s="6" t="s">
        <v>7638</v>
      </c>
      <c r="B2965" s="6" t="s">
        <v>239</v>
      </c>
      <c r="C2965" s="6" t="n">
        <v>3</v>
      </c>
      <c r="D2965" s="6" t="n">
        <v>30</v>
      </c>
      <c r="E2965" s="6" t="n">
        <v>1</v>
      </c>
      <c r="F2965" s="6" t="s">
        <v>77</v>
      </c>
      <c r="G2965" s="28" t="str">
        <f aca="false">IFERROR(INDEX('Semrush Data'!$A$1:$Z$20000,MATCH(A2965,'Semrush Data'!$A$1:$A$20000,0),MATCH("Volume",'Semrush Data'!$A$1:$Z$1,0)),"")</f>
        <v/>
      </c>
      <c r="H2965" s="6" t="str">
        <f aca="false">IFERROR(INDEX('Semrush Data'!$A$1:$Z$20000,MATCH(A2965,'Semrush Data'!$A$1:$A$20000,0),MATCH("Keyword Difficulty*",'Semrush Data'!$A$1:$Z$1,0)),"")</f>
        <v/>
      </c>
      <c r="I2965" s="29" t="str">
        <f aca="false">IFERROR(INDEX('Semrush Data'!$A$1:$Z$20000,MATCH(A2965,'Semrush Data'!$A$1:$A$20000,0),MATCH("CPC*",'Semrush Data'!$A$1:$Z$1,0)),"")</f>
        <v/>
      </c>
      <c r="J2965" s="6" t="str">
        <f aca="false">IFERROR(INDEX('Semrush Data'!$A$1:$Z$20000,MATCH(A2965,'Semrush Data'!$A$1:$A$20000,0),MATCH("Intent",'Semrush Data'!$A$1:$Z$1,0)),"")</f>
        <v/>
      </c>
    </row>
    <row r="2966" customFormat="false" ht="15" hidden="false" customHeight="true" outlineLevel="0" collapsed="false">
      <c r="A2966" s="6" t="s">
        <v>260</v>
      </c>
      <c r="B2966" s="6" t="s">
        <v>239</v>
      </c>
      <c r="C2966" s="6" t="n">
        <v>3</v>
      </c>
      <c r="D2966" s="6" t="s">
        <v>6870</v>
      </c>
      <c r="E2966" s="6" t="n">
        <v>1</v>
      </c>
      <c r="F2966" s="6" t="s">
        <v>77</v>
      </c>
      <c r="G2966" s="28" t="n">
        <f aca="false">IFERROR(INDEX('Semrush Data'!$A$1:$Z$20000,MATCH(A2966,'Semrush Data'!$A$1:$A$20000,0),MATCH("Volume",'Semrush Data'!$A$1:$Z$1,0)),"")</f>
        <v>140</v>
      </c>
      <c r="H2966" s="6" t="n">
        <f aca="false">IFERROR(INDEX('Semrush Data'!$A$1:$Z$20000,MATCH(A2966,'Semrush Data'!$A$1:$A$20000,0),MATCH("Keyword Difficulty*",'Semrush Data'!$A$1:$Z$1,0)),"")</f>
        <v>17</v>
      </c>
      <c r="I2966" s="29" t="n">
        <f aca="false">IFERROR(INDEX('Semrush Data'!$A$1:$Z$20000,MATCH(A2966,'Semrush Data'!$A$1:$A$20000,0),MATCH("CPC*",'Semrush Data'!$A$1:$Z$1,0)),"")</f>
        <v>0</v>
      </c>
      <c r="J2966" s="6" t="str">
        <f aca="false">IFERROR(INDEX('Semrush Data'!$A$1:$Z$20000,MATCH(A2966,'Semrush Data'!$A$1:$A$20000,0),MATCH("Intent",'Semrush Data'!$A$1:$Z$1,0)),"")</f>
        <v>Commercial</v>
      </c>
    </row>
    <row r="2967" customFormat="false" ht="15" hidden="false" customHeight="true" outlineLevel="0" collapsed="false">
      <c r="A2967" s="6" t="s">
        <v>7639</v>
      </c>
      <c r="B2967" s="6" t="s">
        <v>239</v>
      </c>
      <c r="C2967" s="6" t="n">
        <v>3</v>
      </c>
      <c r="D2967" s="6" t="n">
        <v>30</v>
      </c>
      <c r="E2967" s="6" t="n">
        <v>1</v>
      </c>
      <c r="F2967" s="6" t="s">
        <v>61</v>
      </c>
      <c r="G2967" s="28" t="str">
        <f aca="false">IFERROR(INDEX('Semrush Data'!$A$1:$Z$20000,MATCH(A2967,'Semrush Data'!$A$1:$A$20000,0),MATCH("Volume",'Semrush Data'!$A$1:$Z$1,0)),"")</f>
        <v/>
      </c>
      <c r="H2967" s="6" t="str">
        <f aca="false">IFERROR(INDEX('Semrush Data'!$A$1:$Z$20000,MATCH(A2967,'Semrush Data'!$A$1:$A$20000,0),MATCH("Keyword Difficulty*",'Semrush Data'!$A$1:$Z$1,0)),"")</f>
        <v/>
      </c>
      <c r="I2967" s="29" t="str">
        <f aca="false">IFERROR(INDEX('Semrush Data'!$A$1:$Z$20000,MATCH(A2967,'Semrush Data'!$A$1:$A$20000,0),MATCH("CPC*",'Semrush Data'!$A$1:$Z$1,0)),"")</f>
        <v/>
      </c>
      <c r="J2967" s="6" t="str">
        <f aca="false">IFERROR(INDEX('Semrush Data'!$A$1:$Z$20000,MATCH(A2967,'Semrush Data'!$A$1:$A$20000,0),MATCH("Intent",'Semrush Data'!$A$1:$Z$1,0)),"")</f>
        <v/>
      </c>
    </row>
    <row r="2968" customFormat="false" ht="15" hidden="false" customHeight="true" outlineLevel="0" collapsed="false">
      <c r="A2968" s="6" t="s">
        <v>7640</v>
      </c>
      <c r="B2968" s="6" t="s">
        <v>239</v>
      </c>
      <c r="C2968" s="6" t="n">
        <v>3</v>
      </c>
      <c r="D2968" s="6" t="n">
        <v>30</v>
      </c>
      <c r="E2968" s="6" t="n">
        <v>1</v>
      </c>
      <c r="F2968" s="6" t="s">
        <v>61</v>
      </c>
      <c r="G2968" s="28" t="str">
        <f aca="false">IFERROR(INDEX('Semrush Data'!$A$1:$Z$20000,MATCH(A2968,'Semrush Data'!$A$1:$A$20000,0),MATCH("Volume",'Semrush Data'!$A$1:$Z$1,0)),"")</f>
        <v/>
      </c>
      <c r="H2968" s="6" t="str">
        <f aca="false">IFERROR(INDEX('Semrush Data'!$A$1:$Z$20000,MATCH(A2968,'Semrush Data'!$A$1:$A$20000,0),MATCH("Keyword Difficulty*",'Semrush Data'!$A$1:$Z$1,0)),"")</f>
        <v/>
      </c>
      <c r="I2968" s="29" t="str">
        <f aca="false">IFERROR(INDEX('Semrush Data'!$A$1:$Z$20000,MATCH(A2968,'Semrush Data'!$A$1:$A$20000,0),MATCH("CPC*",'Semrush Data'!$A$1:$Z$1,0)),"")</f>
        <v/>
      </c>
      <c r="J2968" s="6" t="str">
        <f aca="false">IFERROR(INDEX('Semrush Data'!$A$1:$Z$20000,MATCH(A2968,'Semrush Data'!$A$1:$A$20000,0),MATCH("Intent",'Semrush Data'!$A$1:$Z$1,0)),"")</f>
        <v/>
      </c>
    </row>
    <row r="2969" customFormat="false" ht="15" hidden="false" customHeight="true" outlineLevel="0" collapsed="false">
      <c r="A2969" s="6" t="s">
        <v>268</v>
      </c>
      <c r="B2969" s="6" t="s">
        <v>239</v>
      </c>
      <c r="C2969" s="6" t="n">
        <v>3</v>
      </c>
      <c r="D2969" s="6" t="s">
        <v>6870</v>
      </c>
      <c r="E2969" s="6" t="n">
        <v>1</v>
      </c>
      <c r="F2969" s="6" t="s">
        <v>61</v>
      </c>
      <c r="G2969" s="28" t="n">
        <f aca="false">IFERROR(INDEX('Semrush Data'!$A$1:$Z$20000,MATCH(A2969,'Semrush Data'!$A$1:$A$20000,0),MATCH("Volume",'Semrush Data'!$A$1:$Z$1,0)),"")</f>
        <v>40</v>
      </c>
      <c r="H2969" s="6" t="n">
        <f aca="false">IFERROR(INDEX('Semrush Data'!$A$1:$Z$20000,MATCH(A2969,'Semrush Data'!$A$1:$A$20000,0),MATCH("Keyword Difficulty*",'Semrush Data'!$A$1:$Z$1,0)),"")</f>
        <v>14</v>
      </c>
      <c r="I2969" s="29" t="n">
        <f aca="false">IFERROR(INDEX('Semrush Data'!$A$1:$Z$20000,MATCH(A2969,'Semrush Data'!$A$1:$A$20000,0),MATCH("CPC*",'Semrush Data'!$A$1:$Z$1,0)),"")</f>
        <v>0</v>
      </c>
      <c r="J2969" s="6" t="str">
        <f aca="false">IFERROR(INDEX('Semrush Data'!$A$1:$Z$20000,MATCH(A2969,'Semrush Data'!$A$1:$A$20000,0),MATCH("Intent",'Semrush Data'!$A$1:$Z$1,0)),"")</f>
        <v>Informational</v>
      </c>
    </row>
    <row r="2970" customFormat="false" ht="15" hidden="false" customHeight="true" outlineLevel="0" collapsed="false">
      <c r="A2970" s="6" t="s">
        <v>245</v>
      </c>
      <c r="B2970" s="6" t="s">
        <v>239</v>
      </c>
      <c r="C2970" s="6" t="n">
        <v>3</v>
      </c>
      <c r="D2970" s="6" t="s">
        <v>6870</v>
      </c>
      <c r="E2970" s="6" t="n">
        <v>1</v>
      </c>
      <c r="F2970" s="6" t="s">
        <v>61</v>
      </c>
      <c r="G2970" s="28" t="n">
        <f aca="false">IFERROR(INDEX('Semrush Data'!$A$1:$Z$20000,MATCH(A2970,'Semrush Data'!$A$1:$A$20000,0),MATCH("Volume",'Semrush Data'!$A$1:$Z$1,0)),"")</f>
        <v>1900</v>
      </c>
      <c r="H2970" s="6" t="n">
        <f aca="false">IFERROR(INDEX('Semrush Data'!$A$1:$Z$20000,MATCH(A2970,'Semrush Data'!$A$1:$A$20000,0),MATCH("Keyword Difficulty*",'Semrush Data'!$A$1:$Z$1,0)),"")</f>
        <v>24</v>
      </c>
      <c r="I2970" s="29" t="n">
        <f aca="false">IFERROR(INDEX('Semrush Data'!$A$1:$Z$20000,MATCH(A2970,'Semrush Data'!$A$1:$A$20000,0),MATCH("CPC*",'Semrush Data'!$A$1:$Z$1,0)),"")</f>
        <v>0.4</v>
      </c>
      <c r="J2970" s="6" t="str">
        <f aca="false">IFERROR(INDEX('Semrush Data'!$A$1:$Z$20000,MATCH(A2970,'Semrush Data'!$A$1:$A$20000,0),MATCH("Intent",'Semrush Data'!$A$1:$Z$1,0)),"")</f>
        <v>Informational</v>
      </c>
    </row>
    <row r="2971" customFormat="false" ht="15" hidden="false" customHeight="true" outlineLevel="0" collapsed="false">
      <c r="A2971" s="6" t="s">
        <v>7641</v>
      </c>
      <c r="B2971" s="6" t="s">
        <v>239</v>
      </c>
      <c r="C2971" s="6" t="n">
        <v>3</v>
      </c>
      <c r="D2971" s="6" t="n">
        <v>30</v>
      </c>
      <c r="E2971" s="6" t="n">
        <v>1</v>
      </c>
      <c r="F2971" s="6" t="s">
        <v>4798</v>
      </c>
      <c r="G2971" s="28" t="str">
        <f aca="false">IFERROR(INDEX('Semrush Data'!$A$1:$Z$20000,MATCH(A2971,'Semrush Data'!$A$1:$A$20000,0),MATCH("Volume",'Semrush Data'!$A$1:$Z$1,0)),"")</f>
        <v/>
      </c>
      <c r="H2971" s="6" t="str">
        <f aca="false">IFERROR(INDEX('Semrush Data'!$A$1:$Z$20000,MATCH(A2971,'Semrush Data'!$A$1:$A$20000,0),MATCH("Keyword Difficulty*",'Semrush Data'!$A$1:$Z$1,0)),"")</f>
        <v/>
      </c>
      <c r="I2971" s="29" t="str">
        <f aca="false">IFERROR(INDEX('Semrush Data'!$A$1:$Z$20000,MATCH(A2971,'Semrush Data'!$A$1:$A$20000,0),MATCH("CPC*",'Semrush Data'!$A$1:$Z$1,0)),"")</f>
        <v/>
      </c>
      <c r="J2971" s="6" t="str">
        <f aca="false">IFERROR(INDEX('Semrush Data'!$A$1:$Z$20000,MATCH(A2971,'Semrush Data'!$A$1:$A$20000,0),MATCH("Intent",'Semrush Data'!$A$1:$Z$1,0)),"")</f>
        <v/>
      </c>
    </row>
    <row r="2972" customFormat="false" ht="15" hidden="false" customHeight="true" outlineLevel="0" collapsed="false">
      <c r="A2972" s="6" t="s">
        <v>7642</v>
      </c>
      <c r="B2972" s="6" t="s">
        <v>239</v>
      </c>
      <c r="C2972" s="6" t="n">
        <v>3</v>
      </c>
      <c r="D2972" s="6" t="n">
        <v>30</v>
      </c>
      <c r="E2972" s="6" t="n">
        <v>1</v>
      </c>
      <c r="F2972" s="6" t="s">
        <v>5516</v>
      </c>
      <c r="G2972" s="28" t="str">
        <f aca="false">IFERROR(INDEX('Semrush Data'!$A$1:$Z$20000,MATCH(A2972,'Semrush Data'!$A$1:$A$20000,0),MATCH("Volume",'Semrush Data'!$A$1:$Z$1,0)),"")</f>
        <v/>
      </c>
      <c r="H2972" s="6" t="str">
        <f aca="false">IFERROR(INDEX('Semrush Data'!$A$1:$Z$20000,MATCH(A2972,'Semrush Data'!$A$1:$A$20000,0),MATCH("Keyword Difficulty*",'Semrush Data'!$A$1:$Z$1,0)),"")</f>
        <v/>
      </c>
      <c r="I2972" s="29" t="str">
        <f aca="false">IFERROR(INDEX('Semrush Data'!$A$1:$Z$20000,MATCH(A2972,'Semrush Data'!$A$1:$A$20000,0),MATCH("CPC*",'Semrush Data'!$A$1:$Z$1,0)),"")</f>
        <v/>
      </c>
      <c r="J2972" s="6" t="str">
        <f aca="false">IFERROR(INDEX('Semrush Data'!$A$1:$Z$20000,MATCH(A2972,'Semrush Data'!$A$1:$A$20000,0),MATCH("Intent",'Semrush Data'!$A$1:$Z$1,0)),"")</f>
        <v/>
      </c>
    </row>
    <row r="2973" customFormat="false" ht="15" hidden="false" customHeight="true" outlineLevel="0" collapsed="false">
      <c r="A2973" s="6" t="s">
        <v>7643</v>
      </c>
      <c r="B2973" s="6" t="s">
        <v>239</v>
      </c>
      <c r="C2973" s="6" t="n">
        <v>3</v>
      </c>
      <c r="D2973" s="6" t="n">
        <v>30</v>
      </c>
      <c r="E2973" s="6" t="n">
        <v>1</v>
      </c>
      <c r="F2973" s="6" t="s">
        <v>5516</v>
      </c>
      <c r="G2973" s="28" t="str">
        <f aca="false">IFERROR(INDEX('Semrush Data'!$A$1:$Z$20000,MATCH(A2973,'Semrush Data'!$A$1:$A$20000,0),MATCH("Volume",'Semrush Data'!$A$1:$Z$1,0)),"")</f>
        <v/>
      </c>
      <c r="H2973" s="6" t="str">
        <f aca="false">IFERROR(INDEX('Semrush Data'!$A$1:$Z$20000,MATCH(A2973,'Semrush Data'!$A$1:$A$20000,0),MATCH("Keyword Difficulty*",'Semrush Data'!$A$1:$Z$1,0)),"")</f>
        <v/>
      </c>
      <c r="I2973" s="29" t="str">
        <f aca="false">IFERROR(INDEX('Semrush Data'!$A$1:$Z$20000,MATCH(A2973,'Semrush Data'!$A$1:$A$20000,0),MATCH("CPC*",'Semrush Data'!$A$1:$Z$1,0)),"")</f>
        <v/>
      </c>
      <c r="J2973" s="6" t="str">
        <f aca="false">IFERROR(INDEX('Semrush Data'!$A$1:$Z$20000,MATCH(A2973,'Semrush Data'!$A$1:$A$20000,0),MATCH("Intent",'Semrush Data'!$A$1:$Z$1,0)),"")</f>
        <v/>
      </c>
    </row>
    <row r="2974" customFormat="false" ht="15" hidden="false" customHeight="true" outlineLevel="0" collapsed="false">
      <c r="A2974" s="6" t="s">
        <v>7644</v>
      </c>
      <c r="B2974" s="6" t="s">
        <v>239</v>
      </c>
      <c r="C2974" s="6" t="n">
        <v>3</v>
      </c>
      <c r="D2974" s="6" t="n">
        <v>30</v>
      </c>
      <c r="E2974" s="6" t="n">
        <v>1</v>
      </c>
      <c r="F2974" s="6" t="s">
        <v>5516</v>
      </c>
      <c r="G2974" s="28" t="str">
        <f aca="false">IFERROR(INDEX('Semrush Data'!$A$1:$Z$20000,MATCH(A2974,'Semrush Data'!$A$1:$A$20000,0),MATCH("Volume",'Semrush Data'!$A$1:$Z$1,0)),"")</f>
        <v/>
      </c>
      <c r="H2974" s="6" t="str">
        <f aca="false">IFERROR(INDEX('Semrush Data'!$A$1:$Z$20000,MATCH(A2974,'Semrush Data'!$A$1:$A$20000,0),MATCH("Keyword Difficulty*",'Semrush Data'!$A$1:$Z$1,0)),"")</f>
        <v/>
      </c>
      <c r="I2974" s="29" t="str">
        <f aca="false">IFERROR(INDEX('Semrush Data'!$A$1:$Z$20000,MATCH(A2974,'Semrush Data'!$A$1:$A$20000,0),MATCH("CPC*",'Semrush Data'!$A$1:$Z$1,0)),"")</f>
        <v/>
      </c>
      <c r="J2974" s="6" t="str">
        <f aca="false">IFERROR(INDEX('Semrush Data'!$A$1:$Z$20000,MATCH(A2974,'Semrush Data'!$A$1:$A$20000,0),MATCH("Intent",'Semrush Data'!$A$1:$Z$1,0)),"")</f>
        <v/>
      </c>
    </row>
    <row r="2975" customFormat="false" ht="15" hidden="false" customHeight="true" outlineLevel="0" collapsed="false">
      <c r="A2975" s="6" t="s">
        <v>7645</v>
      </c>
      <c r="B2975" s="6" t="s">
        <v>239</v>
      </c>
      <c r="C2975" s="6" t="n">
        <v>3</v>
      </c>
      <c r="D2975" s="6" t="n">
        <v>30</v>
      </c>
      <c r="E2975" s="6" t="n">
        <v>1</v>
      </c>
      <c r="F2975" s="6" t="s">
        <v>5516</v>
      </c>
      <c r="G2975" s="28" t="str">
        <f aca="false">IFERROR(INDEX('Semrush Data'!$A$1:$Z$20000,MATCH(A2975,'Semrush Data'!$A$1:$A$20000,0),MATCH("Volume",'Semrush Data'!$A$1:$Z$1,0)),"")</f>
        <v/>
      </c>
      <c r="H2975" s="6" t="str">
        <f aca="false">IFERROR(INDEX('Semrush Data'!$A$1:$Z$20000,MATCH(A2975,'Semrush Data'!$A$1:$A$20000,0),MATCH("Keyword Difficulty*",'Semrush Data'!$A$1:$Z$1,0)),"")</f>
        <v/>
      </c>
      <c r="I2975" s="29" t="str">
        <f aca="false">IFERROR(INDEX('Semrush Data'!$A$1:$Z$20000,MATCH(A2975,'Semrush Data'!$A$1:$A$20000,0),MATCH("CPC*",'Semrush Data'!$A$1:$Z$1,0)),"")</f>
        <v/>
      </c>
      <c r="J2975" s="6" t="str">
        <f aca="false">IFERROR(INDEX('Semrush Data'!$A$1:$Z$20000,MATCH(A2975,'Semrush Data'!$A$1:$A$20000,0),MATCH("Intent",'Semrush Data'!$A$1:$Z$1,0)),"")</f>
        <v/>
      </c>
    </row>
    <row r="2976" customFormat="false" ht="15" hidden="false" customHeight="true" outlineLevel="0" collapsed="false">
      <c r="A2976" s="6" t="s">
        <v>7646</v>
      </c>
      <c r="B2976" s="6" t="s">
        <v>239</v>
      </c>
      <c r="C2976" s="6" t="n">
        <v>3</v>
      </c>
      <c r="D2976" s="6" t="n">
        <v>30</v>
      </c>
      <c r="E2976" s="6" t="n">
        <v>1</v>
      </c>
      <c r="F2976" s="6" t="s">
        <v>5516</v>
      </c>
      <c r="G2976" s="28" t="str">
        <f aca="false">IFERROR(INDEX('Semrush Data'!$A$1:$Z$20000,MATCH(A2976,'Semrush Data'!$A$1:$A$20000,0),MATCH("Volume",'Semrush Data'!$A$1:$Z$1,0)),"")</f>
        <v/>
      </c>
      <c r="H2976" s="6" t="str">
        <f aca="false">IFERROR(INDEX('Semrush Data'!$A$1:$Z$20000,MATCH(A2976,'Semrush Data'!$A$1:$A$20000,0),MATCH("Keyword Difficulty*",'Semrush Data'!$A$1:$Z$1,0)),"")</f>
        <v/>
      </c>
      <c r="I2976" s="29" t="str">
        <f aca="false">IFERROR(INDEX('Semrush Data'!$A$1:$Z$20000,MATCH(A2976,'Semrush Data'!$A$1:$A$20000,0),MATCH("CPC*",'Semrush Data'!$A$1:$Z$1,0)),"")</f>
        <v/>
      </c>
      <c r="J2976" s="6" t="str">
        <f aca="false">IFERROR(INDEX('Semrush Data'!$A$1:$Z$20000,MATCH(A2976,'Semrush Data'!$A$1:$A$20000,0),MATCH("Intent",'Semrush Data'!$A$1:$Z$1,0)),"")</f>
        <v/>
      </c>
    </row>
    <row r="2977" customFormat="false" ht="15" hidden="false" customHeight="true" outlineLevel="0" collapsed="false">
      <c r="A2977" s="6" t="s">
        <v>7647</v>
      </c>
      <c r="B2977" s="6" t="s">
        <v>239</v>
      </c>
      <c r="C2977" s="6" t="n">
        <v>3</v>
      </c>
      <c r="D2977" s="6" t="n">
        <v>30</v>
      </c>
      <c r="E2977" s="6" t="n">
        <v>1</v>
      </c>
      <c r="F2977" s="6" t="s">
        <v>5530</v>
      </c>
      <c r="G2977" s="28" t="str">
        <f aca="false">IFERROR(INDEX('Semrush Data'!$A$1:$Z$20000,MATCH(A2977,'Semrush Data'!$A$1:$A$20000,0),MATCH("Volume",'Semrush Data'!$A$1:$Z$1,0)),"")</f>
        <v/>
      </c>
      <c r="H2977" s="6" t="str">
        <f aca="false">IFERROR(INDEX('Semrush Data'!$A$1:$Z$20000,MATCH(A2977,'Semrush Data'!$A$1:$A$20000,0),MATCH("Keyword Difficulty*",'Semrush Data'!$A$1:$Z$1,0)),"")</f>
        <v/>
      </c>
      <c r="I2977" s="29" t="str">
        <f aca="false">IFERROR(INDEX('Semrush Data'!$A$1:$Z$20000,MATCH(A2977,'Semrush Data'!$A$1:$A$20000,0),MATCH("CPC*",'Semrush Data'!$A$1:$Z$1,0)),"")</f>
        <v/>
      </c>
      <c r="J2977" s="6" t="str">
        <f aca="false">IFERROR(INDEX('Semrush Data'!$A$1:$Z$20000,MATCH(A2977,'Semrush Data'!$A$1:$A$20000,0),MATCH("Intent",'Semrush Data'!$A$1:$Z$1,0)),"")</f>
        <v/>
      </c>
    </row>
    <row r="2978" customFormat="false" ht="15" hidden="false" customHeight="true" outlineLevel="0" collapsed="false">
      <c r="A2978" s="6" t="s">
        <v>7648</v>
      </c>
      <c r="B2978" s="6" t="s">
        <v>239</v>
      </c>
      <c r="C2978" s="6" t="n">
        <v>3</v>
      </c>
      <c r="D2978" s="6" t="n">
        <v>30</v>
      </c>
      <c r="E2978" s="6" t="n">
        <v>1</v>
      </c>
      <c r="F2978" s="6" t="s">
        <v>5530</v>
      </c>
      <c r="G2978" s="28" t="str">
        <f aca="false">IFERROR(INDEX('Semrush Data'!$A$1:$Z$20000,MATCH(A2978,'Semrush Data'!$A$1:$A$20000,0),MATCH("Volume",'Semrush Data'!$A$1:$Z$1,0)),"")</f>
        <v/>
      </c>
      <c r="H2978" s="6" t="str">
        <f aca="false">IFERROR(INDEX('Semrush Data'!$A$1:$Z$20000,MATCH(A2978,'Semrush Data'!$A$1:$A$20000,0),MATCH("Keyword Difficulty*",'Semrush Data'!$A$1:$Z$1,0)),"")</f>
        <v/>
      </c>
      <c r="I2978" s="29" t="str">
        <f aca="false">IFERROR(INDEX('Semrush Data'!$A$1:$Z$20000,MATCH(A2978,'Semrush Data'!$A$1:$A$20000,0),MATCH("CPC*",'Semrush Data'!$A$1:$Z$1,0)),"")</f>
        <v/>
      </c>
      <c r="J2978" s="6" t="str">
        <f aca="false">IFERROR(INDEX('Semrush Data'!$A$1:$Z$20000,MATCH(A2978,'Semrush Data'!$A$1:$A$20000,0),MATCH("Intent",'Semrush Data'!$A$1:$Z$1,0)),"")</f>
        <v/>
      </c>
    </row>
    <row r="2979" customFormat="false" ht="15" hidden="false" customHeight="true" outlineLevel="0" collapsed="false">
      <c r="A2979" s="6" t="s">
        <v>7649</v>
      </c>
      <c r="B2979" s="6" t="s">
        <v>239</v>
      </c>
      <c r="C2979" s="6" t="n">
        <v>3</v>
      </c>
      <c r="D2979" s="6" t="n">
        <v>30</v>
      </c>
      <c r="E2979" s="6" t="n">
        <v>1</v>
      </c>
      <c r="F2979" s="6" t="s">
        <v>5530</v>
      </c>
      <c r="G2979" s="28" t="str">
        <f aca="false">IFERROR(INDEX('Semrush Data'!$A$1:$Z$20000,MATCH(A2979,'Semrush Data'!$A$1:$A$20000,0),MATCH("Volume",'Semrush Data'!$A$1:$Z$1,0)),"")</f>
        <v/>
      </c>
      <c r="H2979" s="6" t="str">
        <f aca="false">IFERROR(INDEX('Semrush Data'!$A$1:$Z$20000,MATCH(A2979,'Semrush Data'!$A$1:$A$20000,0),MATCH("Keyword Difficulty*",'Semrush Data'!$A$1:$Z$1,0)),"")</f>
        <v/>
      </c>
      <c r="I2979" s="29" t="str">
        <f aca="false">IFERROR(INDEX('Semrush Data'!$A$1:$Z$20000,MATCH(A2979,'Semrush Data'!$A$1:$A$20000,0),MATCH("CPC*",'Semrush Data'!$A$1:$Z$1,0)),"")</f>
        <v/>
      </c>
      <c r="J2979" s="6" t="str">
        <f aca="false">IFERROR(INDEX('Semrush Data'!$A$1:$Z$20000,MATCH(A2979,'Semrush Data'!$A$1:$A$20000,0),MATCH("Intent",'Semrush Data'!$A$1:$Z$1,0)),"")</f>
        <v/>
      </c>
    </row>
    <row r="2980" customFormat="false" ht="15" hidden="false" customHeight="true" outlineLevel="0" collapsed="false">
      <c r="A2980" s="6" t="s">
        <v>7650</v>
      </c>
      <c r="B2980" s="6" t="s">
        <v>239</v>
      </c>
      <c r="C2980" s="6" t="n">
        <v>3</v>
      </c>
      <c r="D2980" s="6" t="n">
        <v>30</v>
      </c>
      <c r="E2980" s="6" t="n">
        <v>1</v>
      </c>
      <c r="F2980" s="6" t="s">
        <v>5530</v>
      </c>
      <c r="G2980" s="28" t="str">
        <f aca="false">IFERROR(INDEX('Semrush Data'!$A$1:$Z$20000,MATCH(A2980,'Semrush Data'!$A$1:$A$20000,0),MATCH("Volume",'Semrush Data'!$A$1:$Z$1,0)),"")</f>
        <v/>
      </c>
      <c r="H2980" s="6" t="str">
        <f aca="false">IFERROR(INDEX('Semrush Data'!$A$1:$Z$20000,MATCH(A2980,'Semrush Data'!$A$1:$A$20000,0),MATCH("Keyword Difficulty*",'Semrush Data'!$A$1:$Z$1,0)),"")</f>
        <v/>
      </c>
      <c r="I2980" s="29" t="str">
        <f aca="false">IFERROR(INDEX('Semrush Data'!$A$1:$Z$20000,MATCH(A2980,'Semrush Data'!$A$1:$A$20000,0),MATCH("CPC*",'Semrush Data'!$A$1:$Z$1,0)),"")</f>
        <v/>
      </c>
      <c r="J2980" s="6" t="str">
        <f aca="false">IFERROR(INDEX('Semrush Data'!$A$1:$Z$20000,MATCH(A2980,'Semrush Data'!$A$1:$A$20000,0),MATCH("Intent",'Semrush Data'!$A$1:$Z$1,0)),"")</f>
        <v/>
      </c>
    </row>
    <row r="2981" customFormat="false" ht="15" hidden="false" customHeight="true" outlineLevel="0" collapsed="false">
      <c r="A2981" s="6" t="s">
        <v>7651</v>
      </c>
      <c r="B2981" s="6" t="s">
        <v>239</v>
      </c>
      <c r="C2981" s="6" t="n">
        <v>3</v>
      </c>
      <c r="D2981" s="6" t="n">
        <v>30</v>
      </c>
      <c r="E2981" s="6" t="n">
        <v>1</v>
      </c>
      <c r="F2981" s="6" t="s">
        <v>5530</v>
      </c>
      <c r="G2981" s="28" t="str">
        <f aca="false">IFERROR(INDEX('Semrush Data'!$A$1:$Z$20000,MATCH(A2981,'Semrush Data'!$A$1:$A$20000,0),MATCH("Volume",'Semrush Data'!$A$1:$Z$1,0)),"")</f>
        <v/>
      </c>
      <c r="H2981" s="6" t="str">
        <f aca="false">IFERROR(INDEX('Semrush Data'!$A$1:$Z$20000,MATCH(A2981,'Semrush Data'!$A$1:$A$20000,0),MATCH("Keyword Difficulty*",'Semrush Data'!$A$1:$Z$1,0)),"")</f>
        <v/>
      </c>
      <c r="I2981" s="29" t="str">
        <f aca="false">IFERROR(INDEX('Semrush Data'!$A$1:$Z$20000,MATCH(A2981,'Semrush Data'!$A$1:$A$20000,0),MATCH("CPC*",'Semrush Data'!$A$1:$Z$1,0)),"")</f>
        <v/>
      </c>
      <c r="J2981" s="6" t="str">
        <f aca="false">IFERROR(INDEX('Semrush Data'!$A$1:$Z$20000,MATCH(A2981,'Semrush Data'!$A$1:$A$20000,0),MATCH("Intent",'Semrush Data'!$A$1:$Z$1,0)),"")</f>
        <v/>
      </c>
    </row>
    <row r="2982" customFormat="false" ht="15" hidden="false" customHeight="true" outlineLevel="0" collapsed="false">
      <c r="A2982" s="6" t="s">
        <v>7652</v>
      </c>
      <c r="B2982" s="6" t="s">
        <v>239</v>
      </c>
      <c r="C2982" s="6" t="n">
        <v>3</v>
      </c>
      <c r="D2982" s="6" t="n">
        <v>30</v>
      </c>
      <c r="E2982" s="6" t="n">
        <v>2</v>
      </c>
      <c r="F2982" s="6" t="s">
        <v>6860</v>
      </c>
      <c r="G2982" s="28" t="str">
        <f aca="false">IFERROR(INDEX('Semrush Data'!$A$1:$Z$20000,MATCH(A2982,'Semrush Data'!$A$1:$A$20000,0),MATCH("Volume",'Semrush Data'!$A$1:$Z$1,0)),"")</f>
        <v/>
      </c>
      <c r="H2982" s="6" t="str">
        <f aca="false">IFERROR(INDEX('Semrush Data'!$A$1:$Z$20000,MATCH(A2982,'Semrush Data'!$A$1:$A$20000,0),MATCH("Keyword Difficulty*",'Semrush Data'!$A$1:$Z$1,0)),"")</f>
        <v/>
      </c>
      <c r="I2982" s="29" t="str">
        <f aca="false">IFERROR(INDEX('Semrush Data'!$A$1:$Z$20000,MATCH(A2982,'Semrush Data'!$A$1:$A$20000,0),MATCH("CPC*",'Semrush Data'!$A$1:$Z$1,0)),"")</f>
        <v/>
      </c>
      <c r="J2982" s="6" t="str">
        <f aca="false">IFERROR(INDEX('Semrush Data'!$A$1:$Z$20000,MATCH(A2982,'Semrush Data'!$A$1:$A$20000,0),MATCH("Intent",'Semrush Data'!$A$1:$Z$1,0)),"")</f>
        <v/>
      </c>
    </row>
    <row r="2983" customFormat="false" ht="15" hidden="false" customHeight="true" outlineLevel="0" collapsed="false">
      <c r="A2983" s="6" t="s">
        <v>7653</v>
      </c>
      <c r="B2983" s="6" t="s">
        <v>239</v>
      </c>
      <c r="C2983" s="6" t="n">
        <v>3</v>
      </c>
      <c r="D2983" s="6" t="n">
        <v>30</v>
      </c>
      <c r="E2983" s="6" t="n">
        <v>2</v>
      </c>
      <c r="F2983" s="6" t="s">
        <v>6860</v>
      </c>
      <c r="G2983" s="28" t="str">
        <f aca="false">IFERROR(INDEX('Semrush Data'!$A$1:$Z$20000,MATCH(A2983,'Semrush Data'!$A$1:$A$20000,0),MATCH("Volume",'Semrush Data'!$A$1:$Z$1,0)),"")</f>
        <v/>
      </c>
      <c r="H2983" s="6" t="str">
        <f aca="false">IFERROR(INDEX('Semrush Data'!$A$1:$Z$20000,MATCH(A2983,'Semrush Data'!$A$1:$A$20000,0),MATCH("Keyword Difficulty*",'Semrush Data'!$A$1:$Z$1,0)),"")</f>
        <v/>
      </c>
      <c r="I2983" s="29" t="str">
        <f aca="false">IFERROR(INDEX('Semrush Data'!$A$1:$Z$20000,MATCH(A2983,'Semrush Data'!$A$1:$A$20000,0),MATCH("CPC*",'Semrush Data'!$A$1:$Z$1,0)),"")</f>
        <v/>
      </c>
      <c r="J2983" s="6" t="str">
        <f aca="false">IFERROR(INDEX('Semrush Data'!$A$1:$Z$20000,MATCH(A2983,'Semrush Data'!$A$1:$A$20000,0),MATCH("Intent",'Semrush Data'!$A$1:$Z$1,0)),"")</f>
        <v/>
      </c>
    </row>
    <row r="2984" customFormat="false" ht="15" hidden="false" customHeight="true" outlineLevel="0" collapsed="false">
      <c r="A2984" s="6" t="s">
        <v>7654</v>
      </c>
      <c r="B2984" s="6" t="s">
        <v>239</v>
      </c>
      <c r="C2984" s="6" t="n">
        <v>3</v>
      </c>
      <c r="D2984" s="6" t="s">
        <v>6870</v>
      </c>
      <c r="E2984" s="6" t="n">
        <v>2</v>
      </c>
      <c r="F2984" s="6" t="s">
        <v>6860</v>
      </c>
      <c r="G2984" s="28" t="n">
        <f aca="false">IFERROR(INDEX('Semrush Data'!$A$1:$Z$20000,MATCH(A2984,'Semrush Data'!$A$1:$A$20000,0),MATCH("Volume",'Semrush Data'!$A$1:$Z$1,0)),"")</f>
        <v>10</v>
      </c>
      <c r="H2984" s="6" t="n">
        <f aca="false">IFERROR(INDEX('Semrush Data'!$A$1:$Z$20000,MATCH(A2984,'Semrush Data'!$A$1:$A$20000,0),MATCH("Keyword Difficulty*",'Semrush Data'!$A$1:$Z$1,0)),"")</f>
        <v>18</v>
      </c>
      <c r="I2984" s="29" t="n">
        <f aca="false">IFERROR(INDEX('Semrush Data'!$A$1:$Z$20000,MATCH(A2984,'Semrush Data'!$A$1:$A$20000,0),MATCH("CPC*",'Semrush Data'!$A$1:$Z$1,0)),"")</f>
        <v>0</v>
      </c>
      <c r="J2984" s="6" t="str">
        <f aca="false">IFERROR(INDEX('Semrush Data'!$A$1:$Z$20000,MATCH(A2984,'Semrush Data'!$A$1:$A$20000,0),MATCH("Intent",'Semrush Data'!$A$1:$Z$1,0)),"")</f>
        <v>Informational</v>
      </c>
    </row>
    <row r="2985" customFormat="false" ht="15" hidden="false" customHeight="true" outlineLevel="0" collapsed="false">
      <c r="A2985" s="6" t="s">
        <v>274</v>
      </c>
      <c r="B2985" s="6" t="s">
        <v>239</v>
      </c>
      <c r="C2985" s="6" t="n">
        <v>3</v>
      </c>
      <c r="D2985" s="6" t="s">
        <v>6870</v>
      </c>
      <c r="E2985" s="6" t="n">
        <v>2</v>
      </c>
      <c r="F2985" s="6" t="s">
        <v>6860</v>
      </c>
      <c r="G2985" s="28" t="n">
        <f aca="false">IFERROR(INDEX('Semrush Data'!$A$1:$Z$20000,MATCH(A2985,'Semrush Data'!$A$1:$A$20000,0),MATCH("Volume",'Semrush Data'!$A$1:$Z$1,0)),"")</f>
        <v>30</v>
      </c>
      <c r="H2985" s="6" t="n">
        <f aca="false">IFERROR(INDEX('Semrush Data'!$A$1:$Z$20000,MATCH(A2985,'Semrush Data'!$A$1:$A$20000,0),MATCH("Keyword Difficulty*",'Semrush Data'!$A$1:$Z$1,0)),"")</f>
        <v>16</v>
      </c>
      <c r="I2985" s="29" t="n">
        <f aca="false">IFERROR(INDEX('Semrush Data'!$A$1:$Z$20000,MATCH(A2985,'Semrush Data'!$A$1:$A$20000,0),MATCH("CPC*",'Semrush Data'!$A$1:$Z$1,0)),"")</f>
        <v>0.33</v>
      </c>
      <c r="J2985" s="6" t="str">
        <f aca="false">IFERROR(INDEX('Semrush Data'!$A$1:$Z$20000,MATCH(A2985,'Semrush Data'!$A$1:$A$20000,0),MATCH("Intent",'Semrush Data'!$A$1:$Z$1,0)),"")</f>
        <v>Informational Transactional</v>
      </c>
    </row>
    <row r="2986" customFormat="false" ht="15" hidden="false" customHeight="true" outlineLevel="0" collapsed="false">
      <c r="A2986" s="6" t="s">
        <v>7655</v>
      </c>
      <c r="B2986" s="6" t="s">
        <v>239</v>
      </c>
      <c r="C2986" s="6" t="n">
        <v>3</v>
      </c>
      <c r="D2986" s="6" t="n">
        <v>30</v>
      </c>
      <c r="E2986" s="6" t="n">
        <v>1</v>
      </c>
      <c r="F2986" s="6" t="s">
        <v>5542</v>
      </c>
      <c r="G2986" s="28" t="str">
        <f aca="false">IFERROR(INDEX('Semrush Data'!$A$1:$Z$20000,MATCH(A2986,'Semrush Data'!$A$1:$A$20000,0),MATCH("Volume",'Semrush Data'!$A$1:$Z$1,0)),"")</f>
        <v/>
      </c>
      <c r="H2986" s="6" t="str">
        <f aca="false">IFERROR(INDEX('Semrush Data'!$A$1:$Z$20000,MATCH(A2986,'Semrush Data'!$A$1:$A$20000,0),MATCH("Keyword Difficulty*",'Semrush Data'!$A$1:$Z$1,0)),"")</f>
        <v/>
      </c>
      <c r="I2986" s="29" t="str">
        <f aca="false">IFERROR(INDEX('Semrush Data'!$A$1:$Z$20000,MATCH(A2986,'Semrush Data'!$A$1:$A$20000,0),MATCH("CPC*",'Semrush Data'!$A$1:$Z$1,0)),"")</f>
        <v/>
      </c>
      <c r="J2986" s="6" t="str">
        <f aca="false">IFERROR(INDEX('Semrush Data'!$A$1:$Z$20000,MATCH(A2986,'Semrush Data'!$A$1:$A$20000,0),MATCH("Intent",'Semrush Data'!$A$1:$Z$1,0)),"")</f>
        <v/>
      </c>
    </row>
    <row r="2987" customFormat="false" ht="15" hidden="false" customHeight="true" outlineLevel="0" collapsed="false">
      <c r="A2987" s="6" t="s">
        <v>7656</v>
      </c>
      <c r="B2987" s="6" t="s">
        <v>239</v>
      </c>
      <c r="C2987" s="6" t="n">
        <v>3</v>
      </c>
      <c r="D2987" s="6" t="n">
        <v>30</v>
      </c>
      <c r="E2987" s="6" t="n">
        <v>1</v>
      </c>
      <c r="F2987" s="6" t="s">
        <v>5542</v>
      </c>
      <c r="G2987" s="28" t="str">
        <f aca="false">IFERROR(INDEX('Semrush Data'!$A$1:$Z$20000,MATCH(A2987,'Semrush Data'!$A$1:$A$20000,0),MATCH("Volume",'Semrush Data'!$A$1:$Z$1,0)),"")</f>
        <v/>
      </c>
      <c r="H2987" s="6" t="str">
        <f aca="false">IFERROR(INDEX('Semrush Data'!$A$1:$Z$20000,MATCH(A2987,'Semrush Data'!$A$1:$A$20000,0),MATCH("Keyword Difficulty*",'Semrush Data'!$A$1:$Z$1,0)),"")</f>
        <v/>
      </c>
      <c r="I2987" s="29" t="str">
        <f aca="false">IFERROR(INDEX('Semrush Data'!$A$1:$Z$20000,MATCH(A2987,'Semrush Data'!$A$1:$A$20000,0),MATCH("CPC*",'Semrush Data'!$A$1:$Z$1,0)),"")</f>
        <v/>
      </c>
      <c r="J2987" s="6" t="str">
        <f aca="false">IFERROR(INDEX('Semrush Data'!$A$1:$Z$20000,MATCH(A2987,'Semrush Data'!$A$1:$A$20000,0),MATCH("Intent",'Semrush Data'!$A$1:$Z$1,0)),"")</f>
        <v/>
      </c>
    </row>
    <row r="2988" customFormat="false" ht="15" hidden="false" customHeight="true" outlineLevel="0" collapsed="false">
      <c r="A2988" s="6" t="s">
        <v>7657</v>
      </c>
      <c r="B2988" s="6" t="s">
        <v>239</v>
      </c>
      <c r="C2988" s="6" t="n">
        <v>3</v>
      </c>
      <c r="D2988" s="6" t="n">
        <v>30</v>
      </c>
      <c r="E2988" s="6" t="n">
        <v>1</v>
      </c>
      <c r="F2988" s="6" t="s">
        <v>5542</v>
      </c>
      <c r="G2988" s="28" t="str">
        <f aca="false">IFERROR(INDEX('Semrush Data'!$A$1:$Z$20000,MATCH(A2988,'Semrush Data'!$A$1:$A$20000,0),MATCH("Volume",'Semrush Data'!$A$1:$Z$1,0)),"")</f>
        <v/>
      </c>
      <c r="H2988" s="6" t="str">
        <f aca="false">IFERROR(INDEX('Semrush Data'!$A$1:$Z$20000,MATCH(A2988,'Semrush Data'!$A$1:$A$20000,0),MATCH("Keyword Difficulty*",'Semrush Data'!$A$1:$Z$1,0)),"")</f>
        <v/>
      </c>
      <c r="I2988" s="29" t="str">
        <f aca="false">IFERROR(INDEX('Semrush Data'!$A$1:$Z$20000,MATCH(A2988,'Semrush Data'!$A$1:$A$20000,0),MATCH("CPC*",'Semrush Data'!$A$1:$Z$1,0)),"")</f>
        <v/>
      </c>
      <c r="J2988" s="6" t="str">
        <f aca="false">IFERROR(INDEX('Semrush Data'!$A$1:$Z$20000,MATCH(A2988,'Semrush Data'!$A$1:$A$20000,0),MATCH("Intent",'Semrush Data'!$A$1:$Z$1,0)),"")</f>
        <v/>
      </c>
    </row>
    <row r="2989" customFormat="false" ht="15" hidden="false" customHeight="true" outlineLevel="0" collapsed="false">
      <c r="A2989" s="6" t="s">
        <v>7658</v>
      </c>
      <c r="B2989" s="6" t="s">
        <v>239</v>
      </c>
      <c r="C2989" s="6" t="n">
        <v>3</v>
      </c>
      <c r="D2989" s="6" t="n">
        <v>30</v>
      </c>
      <c r="E2989" s="6" t="n">
        <v>1</v>
      </c>
      <c r="F2989" s="6" t="s">
        <v>5542</v>
      </c>
      <c r="G2989" s="28" t="str">
        <f aca="false">IFERROR(INDEX('Semrush Data'!$A$1:$Z$20000,MATCH(A2989,'Semrush Data'!$A$1:$A$20000,0),MATCH("Volume",'Semrush Data'!$A$1:$Z$1,0)),"")</f>
        <v/>
      </c>
      <c r="H2989" s="6" t="str">
        <f aca="false">IFERROR(INDEX('Semrush Data'!$A$1:$Z$20000,MATCH(A2989,'Semrush Data'!$A$1:$A$20000,0),MATCH("Keyword Difficulty*",'Semrush Data'!$A$1:$Z$1,0)),"")</f>
        <v/>
      </c>
      <c r="I2989" s="29" t="str">
        <f aca="false">IFERROR(INDEX('Semrush Data'!$A$1:$Z$20000,MATCH(A2989,'Semrush Data'!$A$1:$A$20000,0),MATCH("CPC*",'Semrush Data'!$A$1:$Z$1,0)),"")</f>
        <v/>
      </c>
      <c r="J2989" s="6" t="str">
        <f aca="false">IFERROR(INDEX('Semrush Data'!$A$1:$Z$20000,MATCH(A2989,'Semrush Data'!$A$1:$A$20000,0),MATCH("Intent",'Semrush Data'!$A$1:$Z$1,0)),"")</f>
        <v/>
      </c>
    </row>
    <row r="2990" customFormat="false" ht="15" hidden="false" customHeight="true" outlineLevel="0" collapsed="false">
      <c r="A2990" s="6" t="s">
        <v>7659</v>
      </c>
      <c r="B2990" s="6" t="s">
        <v>239</v>
      </c>
      <c r="C2990" s="6" t="n">
        <v>3</v>
      </c>
      <c r="D2990" s="6" t="n">
        <v>30</v>
      </c>
      <c r="E2990" s="6" t="n">
        <v>1</v>
      </c>
      <c r="F2990" s="6" t="s">
        <v>5542</v>
      </c>
      <c r="G2990" s="28" t="str">
        <f aca="false">IFERROR(INDEX('Semrush Data'!$A$1:$Z$20000,MATCH(A2990,'Semrush Data'!$A$1:$A$20000,0),MATCH("Volume",'Semrush Data'!$A$1:$Z$1,0)),"")</f>
        <v/>
      </c>
      <c r="H2990" s="6" t="str">
        <f aca="false">IFERROR(INDEX('Semrush Data'!$A$1:$Z$20000,MATCH(A2990,'Semrush Data'!$A$1:$A$20000,0),MATCH("Keyword Difficulty*",'Semrush Data'!$A$1:$Z$1,0)),"")</f>
        <v/>
      </c>
      <c r="I2990" s="29" t="str">
        <f aca="false">IFERROR(INDEX('Semrush Data'!$A$1:$Z$20000,MATCH(A2990,'Semrush Data'!$A$1:$A$20000,0),MATCH("CPC*",'Semrush Data'!$A$1:$Z$1,0)),"")</f>
        <v/>
      </c>
      <c r="J2990" s="6" t="str">
        <f aca="false">IFERROR(INDEX('Semrush Data'!$A$1:$Z$20000,MATCH(A2990,'Semrush Data'!$A$1:$A$20000,0),MATCH("Intent",'Semrush Data'!$A$1:$Z$1,0)),"")</f>
        <v/>
      </c>
    </row>
    <row r="2991" customFormat="false" ht="15" hidden="false" customHeight="true" outlineLevel="0" collapsed="false">
      <c r="A2991" s="6" t="s">
        <v>7660</v>
      </c>
      <c r="B2991" s="6" t="s">
        <v>239</v>
      </c>
      <c r="C2991" s="6" t="n">
        <v>3</v>
      </c>
      <c r="D2991" s="6" t="n">
        <v>30</v>
      </c>
      <c r="E2991" s="6" t="n">
        <v>1</v>
      </c>
      <c r="F2991" s="6" t="s">
        <v>5555</v>
      </c>
      <c r="G2991" s="28" t="str">
        <f aca="false">IFERROR(INDEX('Semrush Data'!$A$1:$Z$20000,MATCH(A2991,'Semrush Data'!$A$1:$A$20000,0),MATCH("Volume",'Semrush Data'!$A$1:$Z$1,0)),"")</f>
        <v/>
      </c>
      <c r="H2991" s="6" t="str">
        <f aca="false">IFERROR(INDEX('Semrush Data'!$A$1:$Z$20000,MATCH(A2991,'Semrush Data'!$A$1:$A$20000,0),MATCH("Keyword Difficulty*",'Semrush Data'!$A$1:$Z$1,0)),"")</f>
        <v/>
      </c>
      <c r="I2991" s="29" t="str">
        <f aca="false">IFERROR(INDEX('Semrush Data'!$A$1:$Z$20000,MATCH(A2991,'Semrush Data'!$A$1:$A$20000,0),MATCH("CPC*",'Semrush Data'!$A$1:$Z$1,0)),"")</f>
        <v/>
      </c>
      <c r="J2991" s="6" t="str">
        <f aca="false">IFERROR(INDEX('Semrush Data'!$A$1:$Z$20000,MATCH(A2991,'Semrush Data'!$A$1:$A$20000,0),MATCH("Intent",'Semrush Data'!$A$1:$Z$1,0)),"")</f>
        <v/>
      </c>
    </row>
    <row r="2992" customFormat="false" ht="15" hidden="false" customHeight="true" outlineLevel="0" collapsed="false">
      <c r="A2992" s="6" t="s">
        <v>7661</v>
      </c>
      <c r="B2992" s="6" t="s">
        <v>239</v>
      </c>
      <c r="C2992" s="6" t="n">
        <v>3</v>
      </c>
      <c r="D2992" s="6" t="n">
        <v>30</v>
      </c>
      <c r="E2992" s="6" t="n">
        <v>1</v>
      </c>
      <c r="F2992" s="6" t="s">
        <v>5555</v>
      </c>
      <c r="G2992" s="28" t="str">
        <f aca="false">IFERROR(INDEX('Semrush Data'!$A$1:$Z$20000,MATCH(A2992,'Semrush Data'!$A$1:$A$20000,0),MATCH("Volume",'Semrush Data'!$A$1:$Z$1,0)),"")</f>
        <v/>
      </c>
      <c r="H2992" s="6" t="str">
        <f aca="false">IFERROR(INDEX('Semrush Data'!$A$1:$Z$20000,MATCH(A2992,'Semrush Data'!$A$1:$A$20000,0),MATCH("Keyword Difficulty*",'Semrush Data'!$A$1:$Z$1,0)),"")</f>
        <v/>
      </c>
      <c r="I2992" s="29" t="str">
        <f aca="false">IFERROR(INDEX('Semrush Data'!$A$1:$Z$20000,MATCH(A2992,'Semrush Data'!$A$1:$A$20000,0),MATCH("CPC*",'Semrush Data'!$A$1:$Z$1,0)),"")</f>
        <v/>
      </c>
      <c r="J2992" s="6" t="str">
        <f aca="false">IFERROR(INDEX('Semrush Data'!$A$1:$Z$20000,MATCH(A2992,'Semrush Data'!$A$1:$A$20000,0),MATCH("Intent",'Semrush Data'!$A$1:$Z$1,0)),"")</f>
        <v/>
      </c>
    </row>
    <row r="2993" customFormat="false" ht="15" hidden="false" customHeight="true" outlineLevel="0" collapsed="false">
      <c r="A2993" s="6" t="s">
        <v>7662</v>
      </c>
      <c r="B2993" s="6" t="s">
        <v>239</v>
      </c>
      <c r="C2993" s="6" t="n">
        <v>3</v>
      </c>
      <c r="D2993" s="6" t="n">
        <v>30</v>
      </c>
      <c r="E2993" s="6" t="n">
        <v>1</v>
      </c>
      <c r="F2993" s="6" t="s">
        <v>5555</v>
      </c>
      <c r="G2993" s="28" t="str">
        <f aca="false">IFERROR(INDEX('Semrush Data'!$A$1:$Z$20000,MATCH(A2993,'Semrush Data'!$A$1:$A$20000,0),MATCH("Volume",'Semrush Data'!$A$1:$Z$1,0)),"")</f>
        <v/>
      </c>
      <c r="H2993" s="6" t="str">
        <f aca="false">IFERROR(INDEX('Semrush Data'!$A$1:$Z$20000,MATCH(A2993,'Semrush Data'!$A$1:$A$20000,0),MATCH("Keyword Difficulty*",'Semrush Data'!$A$1:$Z$1,0)),"")</f>
        <v/>
      </c>
      <c r="I2993" s="29" t="str">
        <f aca="false">IFERROR(INDEX('Semrush Data'!$A$1:$Z$20000,MATCH(A2993,'Semrush Data'!$A$1:$A$20000,0),MATCH("CPC*",'Semrush Data'!$A$1:$Z$1,0)),"")</f>
        <v/>
      </c>
      <c r="J2993" s="6" t="str">
        <f aca="false">IFERROR(INDEX('Semrush Data'!$A$1:$Z$20000,MATCH(A2993,'Semrush Data'!$A$1:$A$20000,0),MATCH("Intent",'Semrush Data'!$A$1:$Z$1,0)),"")</f>
        <v/>
      </c>
    </row>
    <row r="2994" customFormat="false" ht="15" hidden="false" customHeight="true" outlineLevel="0" collapsed="false">
      <c r="A2994" s="6" t="s">
        <v>7663</v>
      </c>
      <c r="B2994" s="6" t="s">
        <v>239</v>
      </c>
      <c r="C2994" s="6" t="n">
        <v>3</v>
      </c>
      <c r="D2994" s="6" t="n">
        <v>30</v>
      </c>
      <c r="E2994" s="6" t="n">
        <v>1</v>
      </c>
      <c r="F2994" s="6" t="s">
        <v>5555</v>
      </c>
      <c r="G2994" s="28" t="str">
        <f aca="false">IFERROR(INDEX('Semrush Data'!$A$1:$Z$20000,MATCH(A2994,'Semrush Data'!$A$1:$A$20000,0),MATCH("Volume",'Semrush Data'!$A$1:$Z$1,0)),"")</f>
        <v/>
      </c>
      <c r="H2994" s="6" t="str">
        <f aca="false">IFERROR(INDEX('Semrush Data'!$A$1:$Z$20000,MATCH(A2994,'Semrush Data'!$A$1:$A$20000,0),MATCH("Keyword Difficulty*",'Semrush Data'!$A$1:$Z$1,0)),"")</f>
        <v/>
      </c>
      <c r="I2994" s="29" t="str">
        <f aca="false">IFERROR(INDEX('Semrush Data'!$A$1:$Z$20000,MATCH(A2994,'Semrush Data'!$A$1:$A$20000,0),MATCH("CPC*",'Semrush Data'!$A$1:$Z$1,0)),"")</f>
        <v/>
      </c>
      <c r="J2994" s="6" t="str">
        <f aca="false">IFERROR(INDEX('Semrush Data'!$A$1:$Z$20000,MATCH(A2994,'Semrush Data'!$A$1:$A$20000,0),MATCH("Intent",'Semrush Data'!$A$1:$Z$1,0)),"")</f>
        <v/>
      </c>
    </row>
    <row r="2995" customFormat="false" ht="15" hidden="false" customHeight="true" outlineLevel="0" collapsed="false">
      <c r="A2995" s="6" t="s">
        <v>7664</v>
      </c>
      <c r="B2995" s="6" t="s">
        <v>239</v>
      </c>
      <c r="C2995" s="6" t="n">
        <v>3</v>
      </c>
      <c r="D2995" s="6" t="n">
        <v>30</v>
      </c>
      <c r="E2995" s="6" t="n">
        <v>1</v>
      </c>
      <c r="F2995" s="6" t="s">
        <v>5555</v>
      </c>
      <c r="G2995" s="28" t="str">
        <f aca="false">IFERROR(INDEX('Semrush Data'!$A$1:$Z$20000,MATCH(A2995,'Semrush Data'!$A$1:$A$20000,0),MATCH("Volume",'Semrush Data'!$A$1:$Z$1,0)),"")</f>
        <v/>
      </c>
      <c r="H2995" s="6" t="str">
        <f aca="false">IFERROR(INDEX('Semrush Data'!$A$1:$Z$20000,MATCH(A2995,'Semrush Data'!$A$1:$A$20000,0),MATCH("Keyword Difficulty*",'Semrush Data'!$A$1:$Z$1,0)),"")</f>
        <v/>
      </c>
      <c r="I2995" s="29" t="str">
        <f aca="false">IFERROR(INDEX('Semrush Data'!$A$1:$Z$20000,MATCH(A2995,'Semrush Data'!$A$1:$A$20000,0),MATCH("CPC*",'Semrush Data'!$A$1:$Z$1,0)),"")</f>
        <v/>
      </c>
      <c r="J2995" s="6" t="str">
        <f aca="false">IFERROR(INDEX('Semrush Data'!$A$1:$Z$20000,MATCH(A2995,'Semrush Data'!$A$1:$A$20000,0),MATCH("Intent",'Semrush Data'!$A$1:$Z$1,0)),"")</f>
        <v/>
      </c>
    </row>
    <row r="2996" customFormat="false" ht="15" hidden="false" customHeight="true" outlineLevel="0" collapsed="false">
      <c r="A2996" s="6" t="s">
        <v>7665</v>
      </c>
      <c r="B2996" s="6" t="s">
        <v>239</v>
      </c>
      <c r="C2996" s="6" t="n">
        <v>3</v>
      </c>
      <c r="D2996" s="6" t="n">
        <v>30</v>
      </c>
      <c r="E2996" s="6" t="n">
        <v>1</v>
      </c>
      <c r="F2996" s="6" t="s">
        <v>73</v>
      </c>
      <c r="G2996" s="28" t="str">
        <f aca="false">IFERROR(INDEX('Semrush Data'!$A$1:$Z$20000,MATCH(A2996,'Semrush Data'!$A$1:$A$20000,0),MATCH("Volume",'Semrush Data'!$A$1:$Z$1,0)),"")</f>
        <v/>
      </c>
      <c r="H2996" s="6" t="str">
        <f aca="false">IFERROR(INDEX('Semrush Data'!$A$1:$Z$20000,MATCH(A2996,'Semrush Data'!$A$1:$A$20000,0),MATCH("Keyword Difficulty*",'Semrush Data'!$A$1:$Z$1,0)),"")</f>
        <v/>
      </c>
      <c r="I2996" s="29" t="str">
        <f aca="false">IFERROR(INDEX('Semrush Data'!$A$1:$Z$20000,MATCH(A2996,'Semrush Data'!$A$1:$A$20000,0),MATCH("CPC*",'Semrush Data'!$A$1:$Z$1,0)),"")</f>
        <v/>
      </c>
      <c r="J2996" s="6" t="str">
        <f aca="false">IFERROR(INDEX('Semrush Data'!$A$1:$Z$20000,MATCH(A2996,'Semrush Data'!$A$1:$A$20000,0),MATCH("Intent",'Semrush Data'!$A$1:$Z$1,0)),"")</f>
        <v/>
      </c>
    </row>
    <row r="2997" customFormat="false" ht="15" hidden="false" customHeight="true" outlineLevel="0" collapsed="false">
      <c r="A2997" s="6" t="s">
        <v>246</v>
      </c>
      <c r="B2997" s="6" t="s">
        <v>239</v>
      </c>
      <c r="C2997" s="6" t="n">
        <v>3</v>
      </c>
      <c r="D2997" s="6" t="s">
        <v>6870</v>
      </c>
      <c r="E2997" s="6" t="n">
        <v>1</v>
      </c>
      <c r="F2997" s="6" t="s">
        <v>73</v>
      </c>
      <c r="G2997" s="28" t="n">
        <f aca="false">IFERROR(INDEX('Semrush Data'!$A$1:$Z$20000,MATCH(A2997,'Semrush Data'!$A$1:$A$20000,0),MATCH("Volume",'Semrush Data'!$A$1:$Z$1,0)),"")</f>
        <v>1900</v>
      </c>
      <c r="H2997" s="6" t="n">
        <f aca="false">IFERROR(INDEX('Semrush Data'!$A$1:$Z$20000,MATCH(A2997,'Semrush Data'!$A$1:$A$20000,0),MATCH("Keyword Difficulty*",'Semrush Data'!$A$1:$Z$1,0)),"")</f>
        <v>23</v>
      </c>
      <c r="I2997" s="29" t="n">
        <f aca="false">IFERROR(INDEX('Semrush Data'!$A$1:$Z$20000,MATCH(A2997,'Semrush Data'!$A$1:$A$20000,0),MATCH("CPC*",'Semrush Data'!$A$1:$Z$1,0)),"")</f>
        <v>0.41</v>
      </c>
      <c r="J2997" s="6" t="str">
        <f aca="false">IFERROR(INDEX('Semrush Data'!$A$1:$Z$20000,MATCH(A2997,'Semrush Data'!$A$1:$A$20000,0),MATCH("Intent",'Semrush Data'!$A$1:$Z$1,0)),"")</f>
        <v>Informational</v>
      </c>
    </row>
    <row r="2998" customFormat="false" ht="15" hidden="false" customHeight="true" outlineLevel="0" collapsed="false">
      <c r="A2998" s="6" t="s">
        <v>255</v>
      </c>
      <c r="B2998" s="6" t="s">
        <v>239</v>
      </c>
      <c r="C2998" s="6" t="n">
        <v>3</v>
      </c>
      <c r="D2998" s="6" t="s">
        <v>6870</v>
      </c>
      <c r="E2998" s="6" t="n">
        <v>1</v>
      </c>
      <c r="F2998" s="6" t="s">
        <v>73</v>
      </c>
      <c r="G2998" s="28" t="n">
        <f aca="false">IFERROR(INDEX('Semrush Data'!$A$1:$Z$20000,MATCH(A2998,'Semrush Data'!$A$1:$A$20000,0),MATCH("Volume",'Semrush Data'!$A$1:$Z$1,0)),"")</f>
        <v>260</v>
      </c>
      <c r="H2998" s="6" t="n">
        <f aca="false">IFERROR(INDEX('Semrush Data'!$A$1:$Z$20000,MATCH(A2998,'Semrush Data'!$A$1:$A$20000,0),MATCH("Keyword Difficulty*",'Semrush Data'!$A$1:$Z$1,0)),"")</f>
        <v>11</v>
      </c>
      <c r="I2998" s="29" t="n">
        <f aca="false">IFERROR(INDEX('Semrush Data'!$A$1:$Z$20000,MATCH(A2998,'Semrush Data'!$A$1:$A$20000,0),MATCH("CPC*",'Semrush Data'!$A$1:$Z$1,0)),"")</f>
        <v>0.54</v>
      </c>
      <c r="J2998" s="6" t="str">
        <f aca="false">IFERROR(INDEX('Semrush Data'!$A$1:$Z$20000,MATCH(A2998,'Semrush Data'!$A$1:$A$20000,0),MATCH("Intent",'Semrush Data'!$A$1:$Z$1,0)),"")</f>
        <v>Informational</v>
      </c>
    </row>
    <row r="2999" customFormat="false" ht="15" hidden="false" customHeight="true" outlineLevel="0" collapsed="false">
      <c r="A2999" s="6" t="s">
        <v>7666</v>
      </c>
      <c r="B2999" s="6" t="s">
        <v>239</v>
      </c>
      <c r="C2999" s="6" t="n">
        <v>3</v>
      </c>
      <c r="D2999" s="6" t="n">
        <v>30</v>
      </c>
      <c r="E2999" s="6" t="n">
        <v>1</v>
      </c>
      <c r="F2999" s="6" t="s">
        <v>5307</v>
      </c>
      <c r="G2999" s="28" t="str">
        <f aca="false">IFERROR(INDEX('Semrush Data'!$A$1:$Z$20000,MATCH(A2999,'Semrush Data'!$A$1:$A$20000,0),MATCH("Volume",'Semrush Data'!$A$1:$Z$1,0)),"")</f>
        <v/>
      </c>
      <c r="H2999" s="6" t="str">
        <f aca="false">IFERROR(INDEX('Semrush Data'!$A$1:$Z$20000,MATCH(A2999,'Semrush Data'!$A$1:$A$20000,0),MATCH("Keyword Difficulty*",'Semrush Data'!$A$1:$Z$1,0)),"")</f>
        <v/>
      </c>
      <c r="I2999" s="29" t="str">
        <f aca="false">IFERROR(INDEX('Semrush Data'!$A$1:$Z$20000,MATCH(A2999,'Semrush Data'!$A$1:$A$20000,0),MATCH("CPC*",'Semrush Data'!$A$1:$Z$1,0)),"")</f>
        <v/>
      </c>
      <c r="J2999" s="6" t="str">
        <f aca="false">IFERROR(INDEX('Semrush Data'!$A$1:$Z$20000,MATCH(A2999,'Semrush Data'!$A$1:$A$20000,0),MATCH("Intent",'Semrush Data'!$A$1:$Z$1,0)),"")</f>
        <v/>
      </c>
    </row>
    <row r="3000" customFormat="false" ht="15" hidden="false" customHeight="true" outlineLevel="0" collapsed="false">
      <c r="A3000" s="6" t="s">
        <v>7667</v>
      </c>
      <c r="B3000" s="6" t="s">
        <v>239</v>
      </c>
      <c r="C3000" s="6" t="n">
        <v>3</v>
      </c>
      <c r="D3000" s="6" t="n">
        <v>30</v>
      </c>
      <c r="E3000" s="6" t="n">
        <v>1</v>
      </c>
      <c r="F3000" s="6" t="s">
        <v>2734</v>
      </c>
      <c r="G3000" s="28" t="str">
        <f aca="false">IFERROR(INDEX('Semrush Data'!$A$1:$Z$20000,MATCH(A3000,'Semrush Data'!$A$1:$A$20000,0),MATCH("Volume",'Semrush Data'!$A$1:$Z$1,0)),"")</f>
        <v/>
      </c>
      <c r="H3000" s="6" t="str">
        <f aca="false">IFERROR(INDEX('Semrush Data'!$A$1:$Z$20000,MATCH(A3000,'Semrush Data'!$A$1:$A$20000,0),MATCH("Keyword Difficulty*",'Semrush Data'!$A$1:$Z$1,0)),"")</f>
        <v/>
      </c>
      <c r="I3000" s="29" t="str">
        <f aca="false">IFERROR(INDEX('Semrush Data'!$A$1:$Z$20000,MATCH(A3000,'Semrush Data'!$A$1:$A$20000,0),MATCH("CPC*",'Semrush Data'!$A$1:$Z$1,0)),"")</f>
        <v/>
      </c>
      <c r="J3000" s="6" t="str">
        <f aca="false">IFERROR(INDEX('Semrush Data'!$A$1:$Z$20000,MATCH(A3000,'Semrush Data'!$A$1:$A$20000,0),MATCH("Intent",'Semrush Data'!$A$1:$Z$1,0)),"")</f>
        <v/>
      </c>
    </row>
    <row r="3001" customFormat="false" ht="15" hidden="false" customHeight="true" outlineLevel="0" collapsed="false">
      <c r="A3001" s="6" t="s">
        <v>7668</v>
      </c>
      <c r="B3001" s="6" t="s">
        <v>239</v>
      </c>
      <c r="C3001" s="6" t="n">
        <v>3</v>
      </c>
      <c r="D3001" s="6" t="n">
        <v>30</v>
      </c>
      <c r="E3001" s="6" t="n">
        <v>1</v>
      </c>
      <c r="F3001" s="6" t="s">
        <v>4603</v>
      </c>
      <c r="G3001" s="28" t="str">
        <f aca="false">IFERROR(INDEX('Semrush Data'!$A$1:$Z$20000,MATCH(A3001,'Semrush Data'!$A$1:$A$20000,0),MATCH("Volume",'Semrush Data'!$A$1:$Z$1,0)),"")</f>
        <v/>
      </c>
      <c r="H3001" s="6" t="str">
        <f aca="false">IFERROR(INDEX('Semrush Data'!$A$1:$Z$20000,MATCH(A3001,'Semrush Data'!$A$1:$A$20000,0),MATCH("Keyword Difficulty*",'Semrush Data'!$A$1:$Z$1,0)),"")</f>
        <v/>
      </c>
      <c r="I3001" s="29" t="str">
        <f aca="false">IFERROR(INDEX('Semrush Data'!$A$1:$Z$20000,MATCH(A3001,'Semrush Data'!$A$1:$A$20000,0),MATCH("CPC*",'Semrush Data'!$A$1:$Z$1,0)),"")</f>
        <v/>
      </c>
      <c r="J3001" s="6" t="str">
        <f aca="false">IFERROR(INDEX('Semrush Data'!$A$1:$Z$20000,MATCH(A3001,'Semrush Data'!$A$1:$A$20000,0),MATCH("Intent",'Semrush Data'!$A$1:$Z$1,0)),"")</f>
        <v/>
      </c>
    </row>
    <row r="3002" customFormat="false" ht="15" hidden="false" customHeight="true" outlineLevel="0" collapsed="false">
      <c r="A3002" s="6" t="s">
        <v>7669</v>
      </c>
      <c r="B3002" s="6" t="s">
        <v>239</v>
      </c>
      <c r="C3002" s="6" t="n">
        <v>3</v>
      </c>
      <c r="D3002" s="6" t="n">
        <v>31</v>
      </c>
      <c r="E3002" s="6" t="n">
        <v>1</v>
      </c>
      <c r="F3002" s="6" t="s">
        <v>4603</v>
      </c>
      <c r="G3002" s="28" t="str">
        <f aca="false">IFERROR(INDEX('Semrush Data'!$A$1:$Z$20000,MATCH(A3002,'Semrush Data'!$A$1:$A$20000,0),MATCH("Volume",'Semrush Data'!$A$1:$Z$1,0)),"")</f>
        <v/>
      </c>
      <c r="H3002" s="6" t="str">
        <f aca="false">IFERROR(INDEX('Semrush Data'!$A$1:$Z$20000,MATCH(A3002,'Semrush Data'!$A$1:$A$20000,0),MATCH("Keyword Difficulty*",'Semrush Data'!$A$1:$Z$1,0)),"")</f>
        <v/>
      </c>
      <c r="I3002" s="29" t="str">
        <f aca="false">IFERROR(INDEX('Semrush Data'!$A$1:$Z$20000,MATCH(A3002,'Semrush Data'!$A$1:$A$20000,0),MATCH("CPC*",'Semrush Data'!$A$1:$Z$1,0)),"")</f>
        <v/>
      </c>
      <c r="J3002" s="6" t="str">
        <f aca="false">IFERROR(INDEX('Semrush Data'!$A$1:$Z$20000,MATCH(A3002,'Semrush Data'!$A$1:$A$20000,0),MATCH("Intent",'Semrush Data'!$A$1:$Z$1,0)),"")</f>
        <v/>
      </c>
    </row>
    <row r="3003" customFormat="false" ht="15" hidden="false" customHeight="true" outlineLevel="0" collapsed="false">
      <c r="A3003" s="6" t="s">
        <v>7670</v>
      </c>
      <c r="B3003" s="6" t="s">
        <v>239</v>
      </c>
      <c r="C3003" s="6" t="n">
        <v>3</v>
      </c>
      <c r="D3003" s="6" t="n">
        <v>31</v>
      </c>
      <c r="E3003" s="6" t="n">
        <v>1</v>
      </c>
      <c r="F3003" s="6" t="s">
        <v>4603</v>
      </c>
      <c r="G3003" s="28" t="str">
        <f aca="false">IFERROR(INDEX('Semrush Data'!$A$1:$Z$20000,MATCH(A3003,'Semrush Data'!$A$1:$A$20000,0),MATCH("Volume",'Semrush Data'!$A$1:$Z$1,0)),"")</f>
        <v/>
      </c>
      <c r="H3003" s="6" t="str">
        <f aca="false">IFERROR(INDEX('Semrush Data'!$A$1:$Z$20000,MATCH(A3003,'Semrush Data'!$A$1:$A$20000,0),MATCH("Keyword Difficulty*",'Semrush Data'!$A$1:$Z$1,0)),"")</f>
        <v/>
      </c>
      <c r="I3003" s="29" t="str">
        <f aca="false">IFERROR(INDEX('Semrush Data'!$A$1:$Z$20000,MATCH(A3003,'Semrush Data'!$A$1:$A$20000,0),MATCH("CPC*",'Semrush Data'!$A$1:$Z$1,0)),"")</f>
        <v/>
      </c>
      <c r="J3003" s="6" t="str">
        <f aca="false">IFERROR(INDEX('Semrush Data'!$A$1:$Z$20000,MATCH(A3003,'Semrush Data'!$A$1:$A$20000,0),MATCH("Intent",'Semrush Data'!$A$1:$Z$1,0)),"")</f>
        <v/>
      </c>
    </row>
    <row r="3004" customFormat="false" ht="15" hidden="false" customHeight="true" outlineLevel="0" collapsed="false">
      <c r="A3004" s="6" t="s">
        <v>7671</v>
      </c>
      <c r="B3004" s="6" t="s">
        <v>239</v>
      </c>
      <c r="C3004" s="6" t="n">
        <v>3</v>
      </c>
      <c r="D3004" s="6" t="n">
        <v>31</v>
      </c>
      <c r="E3004" s="6" t="n">
        <v>1</v>
      </c>
      <c r="F3004" s="6" t="s">
        <v>5328</v>
      </c>
      <c r="G3004" s="28" t="str">
        <f aca="false">IFERROR(INDEX('Semrush Data'!$A$1:$Z$20000,MATCH(A3004,'Semrush Data'!$A$1:$A$20000,0),MATCH("Volume",'Semrush Data'!$A$1:$Z$1,0)),"")</f>
        <v/>
      </c>
      <c r="H3004" s="6" t="str">
        <f aca="false">IFERROR(INDEX('Semrush Data'!$A$1:$Z$20000,MATCH(A3004,'Semrush Data'!$A$1:$A$20000,0),MATCH("Keyword Difficulty*",'Semrush Data'!$A$1:$Z$1,0)),"")</f>
        <v/>
      </c>
      <c r="I3004" s="29" t="str">
        <f aca="false">IFERROR(INDEX('Semrush Data'!$A$1:$Z$20000,MATCH(A3004,'Semrush Data'!$A$1:$A$20000,0),MATCH("CPC*",'Semrush Data'!$A$1:$Z$1,0)),"")</f>
        <v/>
      </c>
      <c r="J3004" s="6" t="str">
        <f aca="false">IFERROR(INDEX('Semrush Data'!$A$1:$Z$20000,MATCH(A3004,'Semrush Data'!$A$1:$A$20000,0),MATCH("Intent",'Semrush Data'!$A$1:$Z$1,0)),"")</f>
        <v/>
      </c>
    </row>
    <row r="3005" customFormat="false" ht="15" hidden="false" customHeight="true" outlineLevel="0" collapsed="false">
      <c r="A3005" s="6" t="s">
        <v>7672</v>
      </c>
      <c r="B3005" s="6" t="s">
        <v>239</v>
      </c>
      <c r="C3005" s="6" t="n">
        <v>3</v>
      </c>
      <c r="D3005" s="6" t="n">
        <v>31</v>
      </c>
      <c r="E3005" s="6" t="n">
        <v>1</v>
      </c>
      <c r="F3005" s="6" t="s">
        <v>5373</v>
      </c>
      <c r="G3005" s="28" t="str">
        <f aca="false">IFERROR(INDEX('Semrush Data'!$A$1:$Z$20000,MATCH(A3005,'Semrush Data'!$A$1:$A$20000,0),MATCH("Volume",'Semrush Data'!$A$1:$Z$1,0)),"")</f>
        <v/>
      </c>
      <c r="H3005" s="6" t="str">
        <f aca="false">IFERROR(INDEX('Semrush Data'!$A$1:$Z$20000,MATCH(A3005,'Semrush Data'!$A$1:$A$20000,0),MATCH("Keyword Difficulty*",'Semrush Data'!$A$1:$Z$1,0)),"")</f>
        <v/>
      </c>
      <c r="I3005" s="29" t="str">
        <f aca="false">IFERROR(INDEX('Semrush Data'!$A$1:$Z$20000,MATCH(A3005,'Semrush Data'!$A$1:$A$20000,0),MATCH("CPC*",'Semrush Data'!$A$1:$Z$1,0)),"")</f>
        <v/>
      </c>
      <c r="J3005" s="6" t="str">
        <f aca="false">IFERROR(INDEX('Semrush Data'!$A$1:$Z$20000,MATCH(A3005,'Semrush Data'!$A$1:$A$20000,0),MATCH("Intent",'Semrush Data'!$A$1:$Z$1,0)),"")</f>
        <v/>
      </c>
    </row>
    <row r="3006" customFormat="false" ht="15" hidden="false" customHeight="true" outlineLevel="0" collapsed="false">
      <c r="A3006" s="6" t="s">
        <v>7673</v>
      </c>
      <c r="B3006" s="6" t="s">
        <v>239</v>
      </c>
      <c r="C3006" s="6" t="n">
        <v>3</v>
      </c>
      <c r="D3006" s="6" t="n">
        <v>31</v>
      </c>
      <c r="E3006" s="6" t="n">
        <v>1</v>
      </c>
      <c r="F3006" s="6" t="s">
        <v>5665</v>
      </c>
      <c r="G3006" s="28" t="str">
        <f aca="false">IFERROR(INDEX('Semrush Data'!$A$1:$Z$20000,MATCH(A3006,'Semrush Data'!$A$1:$A$20000,0),MATCH("Volume",'Semrush Data'!$A$1:$Z$1,0)),"")</f>
        <v/>
      </c>
      <c r="H3006" s="6" t="str">
        <f aca="false">IFERROR(INDEX('Semrush Data'!$A$1:$Z$20000,MATCH(A3006,'Semrush Data'!$A$1:$A$20000,0),MATCH("Keyword Difficulty*",'Semrush Data'!$A$1:$Z$1,0)),"")</f>
        <v/>
      </c>
      <c r="I3006" s="29" t="str">
        <f aca="false">IFERROR(INDEX('Semrush Data'!$A$1:$Z$20000,MATCH(A3006,'Semrush Data'!$A$1:$A$20000,0),MATCH("CPC*",'Semrush Data'!$A$1:$Z$1,0)),"")</f>
        <v/>
      </c>
      <c r="J3006" s="6" t="str">
        <f aca="false">IFERROR(INDEX('Semrush Data'!$A$1:$Z$20000,MATCH(A3006,'Semrush Data'!$A$1:$A$20000,0),MATCH("Intent",'Semrush Data'!$A$1:$Z$1,0)),"")</f>
        <v/>
      </c>
    </row>
    <row r="3007" customFormat="false" ht="15" hidden="false" customHeight="true" outlineLevel="0" collapsed="false">
      <c r="A3007" s="6" t="s">
        <v>7674</v>
      </c>
      <c r="B3007" s="6" t="s">
        <v>239</v>
      </c>
      <c r="C3007" s="6" t="n">
        <v>3</v>
      </c>
      <c r="D3007" s="6" t="n">
        <v>31</v>
      </c>
      <c r="E3007" s="6" t="n">
        <v>1</v>
      </c>
      <c r="F3007" s="6" t="s">
        <v>5665</v>
      </c>
      <c r="G3007" s="28" t="str">
        <f aca="false">IFERROR(INDEX('Semrush Data'!$A$1:$Z$20000,MATCH(A3007,'Semrush Data'!$A$1:$A$20000,0),MATCH("Volume",'Semrush Data'!$A$1:$Z$1,0)),"")</f>
        <v/>
      </c>
      <c r="H3007" s="6" t="str">
        <f aca="false">IFERROR(INDEX('Semrush Data'!$A$1:$Z$20000,MATCH(A3007,'Semrush Data'!$A$1:$A$20000,0),MATCH("Keyword Difficulty*",'Semrush Data'!$A$1:$Z$1,0)),"")</f>
        <v/>
      </c>
      <c r="I3007" s="29" t="str">
        <f aca="false">IFERROR(INDEX('Semrush Data'!$A$1:$Z$20000,MATCH(A3007,'Semrush Data'!$A$1:$A$20000,0),MATCH("CPC*",'Semrush Data'!$A$1:$Z$1,0)),"")</f>
        <v/>
      </c>
      <c r="J3007" s="6" t="str">
        <f aca="false">IFERROR(INDEX('Semrush Data'!$A$1:$Z$20000,MATCH(A3007,'Semrush Data'!$A$1:$A$20000,0),MATCH("Intent",'Semrush Data'!$A$1:$Z$1,0)),"")</f>
        <v/>
      </c>
    </row>
    <row r="3008" customFormat="false" ht="15" hidden="false" customHeight="true" outlineLevel="0" collapsed="false">
      <c r="A3008" s="6" t="s">
        <v>7675</v>
      </c>
      <c r="B3008" s="6" t="s">
        <v>239</v>
      </c>
      <c r="C3008" s="6" t="n">
        <v>3</v>
      </c>
      <c r="D3008" s="6" t="n">
        <v>31</v>
      </c>
      <c r="E3008" s="6" t="n">
        <v>1</v>
      </c>
      <c r="F3008" s="6" t="s">
        <v>5665</v>
      </c>
      <c r="G3008" s="28" t="str">
        <f aca="false">IFERROR(INDEX('Semrush Data'!$A$1:$Z$20000,MATCH(A3008,'Semrush Data'!$A$1:$A$20000,0),MATCH("Volume",'Semrush Data'!$A$1:$Z$1,0)),"")</f>
        <v/>
      </c>
      <c r="H3008" s="6" t="str">
        <f aca="false">IFERROR(INDEX('Semrush Data'!$A$1:$Z$20000,MATCH(A3008,'Semrush Data'!$A$1:$A$20000,0),MATCH("Keyword Difficulty*",'Semrush Data'!$A$1:$Z$1,0)),"")</f>
        <v/>
      </c>
      <c r="I3008" s="29" t="str">
        <f aca="false">IFERROR(INDEX('Semrush Data'!$A$1:$Z$20000,MATCH(A3008,'Semrush Data'!$A$1:$A$20000,0),MATCH("CPC*",'Semrush Data'!$A$1:$Z$1,0)),"")</f>
        <v/>
      </c>
      <c r="J3008" s="6" t="str">
        <f aca="false">IFERROR(INDEX('Semrush Data'!$A$1:$Z$20000,MATCH(A3008,'Semrush Data'!$A$1:$A$20000,0),MATCH("Intent",'Semrush Data'!$A$1:$Z$1,0)),"")</f>
        <v/>
      </c>
    </row>
    <row r="3009" customFormat="false" ht="15" hidden="false" customHeight="true" outlineLevel="0" collapsed="false">
      <c r="A3009" s="6" t="s">
        <v>7676</v>
      </c>
      <c r="B3009" s="6" t="s">
        <v>239</v>
      </c>
      <c r="C3009" s="6" t="n">
        <v>3</v>
      </c>
      <c r="D3009" s="6" t="n">
        <v>31</v>
      </c>
      <c r="E3009" s="6" t="n">
        <v>1</v>
      </c>
      <c r="F3009" s="6" t="s">
        <v>5665</v>
      </c>
      <c r="G3009" s="28" t="str">
        <f aca="false">IFERROR(INDEX('Semrush Data'!$A$1:$Z$20000,MATCH(A3009,'Semrush Data'!$A$1:$A$20000,0),MATCH("Volume",'Semrush Data'!$A$1:$Z$1,0)),"")</f>
        <v/>
      </c>
      <c r="H3009" s="6" t="str">
        <f aca="false">IFERROR(INDEX('Semrush Data'!$A$1:$Z$20000,MATCH(A3009,'Semrush Data'!$A$1:$A$20000,0),MATCH("Keyword Difficulty*",'Semrush Data'!$A$1:$Z$1,0)),"")</f>
        <v/>
      </c>
      <c r="I3009" s="29" t="str">
        <f aca="false">IFERROR(INDEX('Semrush Data'!$A$1:$Z$20000,MATCH(A3009,'Semrush Data'!$A$1:$A$20000,0),MATCH("CPC*",'Semrush Data'!$A$1:$Z$1,0)),"")</f>
        <v/>
      </c>
      <c r="J3009" s="6" t="str">
        <f aca="false">IFERROR(INDEX('Semrush Data'!$A$1:$Z$20000,MATCH(A3009,'Semrush Data'!$A$1:$A$20000,0),MATCH("Intent",'Semrush Data'!$A$1:$Z$1,0)),"")</f>
        <v/>
      </c>
    </row>
    <row r="3010" customFormat="false" ht="15" hidden="false" customHeight="true" outlineLevel="0" collapsed="false">
      <c r="A3010" s="6" t="s">
        <v>7677</v>
      </c>
      <c r="B3010" s="6" t="s">
        <v>239</v>
      </c>
      <c r="C3010" s="6" t="n">
        <v>3</v>
      </c>
      <c r="D3010" s="6" t="n">
        <v>31</v>
      </c>
      <c r="E3010" s="6" t="n">
        <v>1</v>
      </c>
      <c r="F3010" s="6" t="s">
        <v>5689</v>
      </c>
      <c r="G3010" s="28" t="str">
        <f aca="false">IFERROR(INDEX('Semrush Data'!$A$1:$Z$20000,MATCH(A3010,'Semrush Data'!$A$1:$A$20000,0),MATCH("Volume",'Semrush Data'!$A$1:$Z$1,0)),"")</f>
        <v/>
      </c>
      <c r="H3010" s="6" t="str">
        <f aca="false">IFERROR(INDEX('Semrush Data'!$A$1:$Z$20000,MATCH(A3010,'Semrush Data'!$A$1:$A$20000,0),MATCH("Keyword Difficulty*",'Semrush Data'!$A$1:$Z$1,0)),"")</f>
        <v/>
      </c>
      <c r="I3010" s="29" t="str">
        <f aca="false">IFERROR(INDEX('Semrush Data'!$A$1:$Z$20000,MATCH(A3010,'Semrush Data'!$A$1:$A$20000,0),MATCH("CPC*",'Semrush Data'!$A$1:$Z$1,0)),"")</f>
        <v/>
      </c>
      <c r="J3010" s="6" t="str">
        <f aca="false">IFERROR(INDEX('Semrush Data'!$A$1:$Z$20000,MATCH(A3010,'Semrush Data'!$A$1:$A$20000,0),MATCH("Intent",'Semrush Data'!$A$1:$Z$1,0)),"")</f>
        <v/>
      </c>
    </row>
    <row r="3011" customFormat="false" ht="15" hidden="false" customHeight="true" outlineLevel="0" collapsed="false">
      <c r="A3011" s="6" t="s">
        <v>7678</v>
      </c>
      <c r="B3011" s="6" t="s">
        <v>239</v>
      </c>
      <c r="C3011" s="6" t="n">
        <v>3</v>
      </c>
      <c r="D3011" s="6" t="n">
        <v>31</v>
      </c>
      <c r="E3011" s="6" t="n">
        <v>1</v>
      </c>
      <c r="F3011" s="6" t="s">
        <v>5689</v>
      </c>
      <c r="G3011" s="28" t="str">
        <f aca="false">IFERROR(INDEX('Semrush Data'!$A$1:$Z$20000,MATCH(A3011,'Semrush Data'!$A$1:$A$20000,0),MATCH("Volume",'Semrush Data'!$A$1:$Z$1,0)),"")</f>
        <v/>
      </c>
      <c r="H3011" s="6" t="str">
        <f aca="false">IFERROR(INDEX('Semrush Data'!$A$1:$Z$20000,MATCH(A3011,'Semrush Data'!$A$1:$A$20000,0),MATCH("Keyword Difficulty*",'Semrush Data'!$A$1:$Z$1,0)),"")</f>
        <v/>
      </c>
      <c r="I3011" s="29" t="str">
        <f aca="false">IFERROR(INDEX('Semrush Data'!$A$1:$Z$20000,MATCH(A3011,'Semrush Data'!$A$1:$A$20000,0),MATCH("CPC*",'Semrush Data'!$A$1:$Z$1,0)),"")</f>
        <v/>
      </c>
      <c r="J3011" s="6" t="str">
        <f aca="false">IFERROR(INDEX('Semrush Data'!$A$1:$Z$20000,MATCH(A3011,'Semrush Data'!$A$1:$A$20000,0),MATCH("Intent",'Semrush Data'!$A$1:$Z$1,0)),"")</f>
        <v/>
      </c>
    </row>
    <row r="3012" customFormat="false" ht="15" hidden="false" customHeight="true" outlineLevel="0" collapsed="false">
      <c r="A3012" s="6" t="s">
        <v>7679</v>
      </c>
      <c r="B3012" s="6" t="s">
        <v>239</v>
      </c>
      <c r="C3012" s="6" t="n">
        <v>3</v>
      </c>
      <c r="D3012" s="6" t="n">
        <v>31</v>
      </c>
      <c r="E3012" s="6" t="n">
        <v>1</v>
      </c>
      <c r="F3012" s="6" t="s">
        <v>5701</v>
      </c>
      <c r="G3012" s="28" t="str">
        <f aca="false">IFERROR(INDEX('Semrush Data'!$A$1:$Z$20000,MATCH(A3012,'Semrush Data'!$A$1:$A$20000,0),MATCH("Volume",'Semrush Data'!$A$1:$Z$1,0)),"")</f>
        <v/>
      </c>
      <c r="H3012" s="6" t="str">
        <f aca="false">IFERROR(INDEX('Semrush Data'!$A$1:$Z$20000,MATCH(A3012,'Semrush Data'!$A$1:$A$20000,0),MATCH("Keyword Difficulty*",'Semrush Data'!$A$1:$Z$1,0)),"")</f>
        <v/>
      </c>
      <c r="I3012" s="29" t="str">
        <f aca="false">IFERROR(INDEX('Semrush Data'!$A$1:$Z$20000,MATCH(A3012,'Semrush Data'!$A$1:$A$20000,0),MATCH("CPC*",'Semrush Data'!$A$1:$Z$1,0)),"")</f>
        <v/>
      </c>
      <c r="J3012" s="6" t="str">
        <f aca="false">IFERROR(INDEX('Semrush Data'!$A$1:$Z$20000,MATCH(A3012,'Semrush Data'!$A$1:$A$20000,0),MATCH("Intent",'Semrush Data'!$A$1:$Z$1,0)),"")</f>
        <v/>
      </c>
    </row>
    <row r="3013" customFormat="false" ht="15" hidden="false" customHeight="true" outlineLevel="0" collapsed="false">
      <c r="A3013" s="6" t="s">
        <v>5719</v>
      </c>
      <c r="B3013" s="6" t="s">
        <v>239</v>
      </c>
      <c r="C3013" s="6" t="n">
        <v>3</v>
      </c>
      <c r="D3013" s="6" t="n">
        <v>31</v>
      </c>
      <c r="E3013" s="6" t="n">
        <v>1</v>
      </c>
      <c r="F3013" s="6" t="s">
        <v>5712</v>
      </c>
      <c r="G3013" s="28" t="str">
        <f aca="false">IFERROR(INDEX('Semrush Data'!$A$1:$Z$20000,MATCH(A3013,'Semrush Data'!$A$1:$A$20000,0),MATCH("Volume",'Semrush Data'!$A$1:$Z$1,0)),"")</f>
        <v/>
      </c>
      <c r="H3013" s="6" t="str">
        <f aca="false">IFERROR(INDEX('Semrush Data'!$A$1:$Z$20000,MATCH(A3013,'Semrush Data'!$A$1:$A$20000,0),MATCH("Keyword Difficulty*",'Semrush Data'!$A$1:$Z$1,0)),"")</f>
        <v/>
      </c>
      <c r="I3013" s="29" t="str">
        <f aca="false">IFERROR(INDEX('Semrush Data'!$A$1:$Z$20000,MATCH(A3013,'Semrush Data'!$A$1:$A$20000,0),MATCH("CPC*",'Semrush Data'!$A$1:$Z$1,0)),"")</f>
        <v/>
      </c>
      <c r="J3013" s="6" t="str">
        <f aca="false">IFERROR(INDEX('Semrush Data'!$A$1:$Z$20000,MATCH(A3013,'Semrush Data'!$A$1:$A$20000,0),MATCH("Intent",'Semrush Data'!$A$1:$Z$1,0)),"")</f>
        <v/>
      </c>
    </row>
    <row r="3014" customFormat="false" ht="15" hidden="false" customHeight="true" outlineLevel="0" collapsed="false">
      <c r="A3014" s="6" t="s">
        <v>7680</v>
      </c>
      <c r="B3014" s="6" t="s">
        <v>239</v>
      </c>
      <c r="C3014" s="6" t="n">
        <v>3</v>
      </c>
      <c r="D3014" s="6" t="n">
        <v>31</v>
      </c>
      <c r="E3014" s="6" t="n">
        <v>1</v>
      </c>
      <c r="F3014" s="6" t="s">
        <v>5864</v>
      </c>
      <c r="G3014" s="28" t="str">
        <f aca="false">IFERROR(INDEX('Semrush Data'!$A$1:$Z$20000,MATCH(A3014,'Semrush Data'!$A$1:$A$20000,0),MATCH("Volume",'Semrush Data'!$A$1:$Z$1,0)),"")</f>
        <v/>
      </c>
      <c r="H3014" s="6" t="str">
        <f aca="false">IFERROR(INDEX('Semrush Data'!$A$1:$Z$20000,MATCH(A3014,'Semrush Data'!$A$1:$A$20000,0),MATCH("Keyword Difficulty*",'Semrush Data'!$A$1:$Z$1,0)),"")</f>
        <v/>
      </c>
      <c r="I3014" s="29" t="str">
        <f aca="false">IFERROR(INDEX('Semrush Data'!$A$1:$Z$20000,MATCH(A3014,'Semrush Data'!$A$1:$A$20000,0),MATCH("CPC*",'Semrush Data'!$A$1:$Z$1,0)),"")</f>
        <v/>
      </c>
      <c r="J3014" s="6" t="str">
        <f aca="false">IFERROR(INDEX('Semrush Data'!$A$1:$Z$20000,MATCH(A3014,'Semrush Data'!$A$1:$A$20000,0),MATCH("Intent",'Semrush Data'!$A$1:$Z$1,0)),"")</f>
        <v/>
      </c>
    </row>
    <row r="3015" customFormat="false" ht="15" hidden="false" customHeight="true" outlineLevel="0" collapsed="false">
      <c r="A3015" s="6" t="s">
        <v>7681</v>
      </c>
      <c r="B3015" s="6" t="s">
        <v>239</v>
      </c>
      <c r="C3015" s="6" t="n">
        <v>3</v>
      </c>
      <c r="D3015" s="6" t="n">
        <v>31</v>
      </c>
      <c r="E3015" s="6" t="n">
        <v>1</v>
      </c>
      <c r="F3015" s="6" t="s">
        <v>6074</v>
      </c>
      <c r="G3015" s="28" t="str">
        <f aca="false">IFERROR(INDEX('Semrush Data'!$A$1:$Z$20000,MATCH(A3015,'Semrush Data'!$A$1:$A$20000,0),MATCH("Volume",'Semrush Data'!$A$1:$Z$1,0)),"")</f>
        <v/>
      </c>
      <c r="H3015" s="6" t="str">
        <f aca="false">IFERROR(INDEX('Semrush Data'!$A$1:$Z$20000,MATCH(A3015,'Semrush Data'!$A$1:$A$20000,0),MATCH("Keyword Difficulty*",'Semrush Data'!$A$1:$Z$1,0)),"")</f>
        <v/>
      </c>
      <c r="I3015" s="29" t="str">
        <f aca="false">IFERROR(INDEX('Semrush Data'!$A$1:$Z$20000,MATCH(A3015,'Semrush Data'!$A$1:$A$20000,0),MATCH("CPC*",'Semrush Data'!$A$1:$Z$1,0)),"")</f>
        <v/>
      </c>
      <c r="J3015" s="6" t="str">
        <f aca="false">IFERROR(INDEX('Semrush Data'!$A$1:$Z$20000,MATCH(A3015,'Semrush Data'!$A$1:$A$20000,0),MATCH("Intent",'Semrush Data'!$A$1:$Z$1,0)),"")</f>
        <v/>
      </c>
    </row>
    <row r="3016" customFormat="false" ht="15" hidden="false" customHeight="true" outlineLevel="0" collapsed="false">
      <c r="A3016" s="6" t="s">
        <v>7682</v>
      </c>
      <c r="B3016" s="6" t="s">
        <v>239</v>
      </c>
      <c r="C3016" s="6" t="n">
        <v>3</v>
      </c>
      <c r="D3016" s="6" t="n">
        <v>31</v>
      </c>
      <c r="E3016" s="6" t="n">
        <v>1</v>
      </c>
      <c r="F3016" s="6" t="s">
        <v>5723</v>
      </c>
      <c r="G3016" s="28" t="str">
        <f aca="false">IFERROR(INDEX('Semrush Data'!$A$1:$Z$20000,MATCH(A3016,'Semrush Data'!$A$1:$A$20000,0),MATCH("Volume",'Semrush Data'!$A$1:$Z$1,0)),"")</f>
        <v/>
      </c>
      <c r="H3016" s="6" t="str">
        <f aca="false">IFERROR(INDEX('Semrush Data'!$A$1:$Z$20000,MATCH(A3016,'Semrush Data'!$A$1:$A$20000,0),MATCH("Keyword Difficulty*",'Semrush Data'!$A$1:$Z$1,0)),"")</f>
        <v/>
      </c>
      <c r="I3016" s="29" t="str">
        <f aca="false">IFERROR(INDEX('Semrush Data'!$A$1:$Z$20000,MATCH(A3016,'Semrush Data'!$A$1:$A$20000,0),MATCH("CPC*",'Semrush Data'!$A$1:$Z$1,0)),"")</f>
        <v/>
      </c>
      <c r="J3016" s="6" t="str">
        <f aca="false">IFERROR(INDEX('Semrush Data'!$A$1:$Z$20000,MATCH(A3016,'Semrush Data'!$A$1:$A$20000,0),MATCH("Intent",'Semrush Data'!$A$1:$Z$1,0)),"")</f>
        <v/>
      </c>
    </row>
    <row r="3017" customFormat="false" ht="15" hidden="false" customHeight="true" outlineLevel="0" collapsed="false">
      <c r="A3017" s="6" t="s">
        <v>7683</v>
      </c>
      <c r="B3017" s="6" t="s">
        <v>239</v>
      </c>
      <c r="C3017" s="6" t="n">
        <v>3</v>
      </c>
      <c r="D3017" s="6" t="n">
        <v>31</v>
      </c>
      <c r="E3017" s="6" t="n">
        <v>1</v>
      </c>
      <c r="F3017" s="6" t="s">
        <v>5723</v>
      </c>
      <c r="G3017" s="28" t="str">
        <f aca="false">IFERROR(INDEX('Semrush Data'!$A$1:$Z$20000,MATCH(A3017,'Semrush Data'!$A$1:$A$20000,0),MATCH("Volume",'Semrush Data'!$A$1:$Z$1,0)),"")</f>
        <v/>
      </c>
      <c r="H3017" s="6" t="str">
        <f aca="false">IFERROR(INDEX('Semrush Data'!$A$1:$Z$20000,MATCH(A3017,'Semrush Data'!$A$1:$A$20000,0),MATCH("Keyword Difficulty*",'Semrush Data'!$A$1:$Z$1,0)),"")</f>
        <v/>
      </c>
      <c r="I3017" s="29" t="str">
        <f aca="false">IFERROR(INDEX('Semrush Data'!$A$1:$Z$20000,MATCH(A3017,'Semrush Data'!$A$1:$A$20000,0),MATCH("CPC*",'Semrush Data'!$A$1:$Z$1,0)),"")</f>
        <v/>
      </c>
      <c r="J3017" s="6" t="str">
        <f aca="false">IFERROR(INDEX('Semrush Data'!$A$1:$Z$20000,MATCH(A3017,'Semrush Data'!$A$1:$A$20000,0),MATCH("Intent",'Semrush Data'!$A$1:$Z$1,0)),"")</f>
        <v/>
      </c>
    </row>
    <row r="3018" customFormat="false" ht="15" hidden="false" customHeight="true" outlineLevel="0" collapsed="false">
      <c r="A3018" s="6" t="s">
        <v>7684</v>
      </c>
      <c r="B3018" s="6" t="s">
        <v>239</v>
      </c>
      <c r="C3018" s="6" t="n">
        <v>3</v>
      </c>
      <c r="D3018" s="6" t="n">
        <v>31</v>
      </c>
      <c r="E3018" s="6" t="n">
        <v>1</v>
      </c>
      <c r="F3018" s="6" t="s">
        <v>5723</v>
      </c>
      <c r="G3018" s="28" t="str">
        <f aca="false">IFERROR(INDEX('Semrush Data'!$A$1:$Z$20000,MATCH(A3018,'Semrush Data'!$A$1:$A$20000,0),MATCH("Volume",'Semrush Data'!$A$1:$Z$1,0)),"")</f>
        <v/>
      </c>
      <c r="H3018" s="6" t="str">
        <f aca="false">IFERROR(INDEX('Semrush Data'!$A$1:$Z$20000,MATCH(A3018,'Semrush Data'!$A$1:$A$20000,0),MATCH("Keyword Difficulty*",'Semrush Data'!$A$1:$Z$1,0)),"")</f>
        <v/>
      </c>
      <c r="I3018" s="29" t="str">
        <f aca="false">IFERROR(INDEX('Semrush Data'!$A$1:$Z$20000,MATCH(A3018,'Semrush Data'!$A$1:$A$20000,0),MATCH("CPC*",'Semrush Data'!$A$1:$Z$1,0)),"")</f>
        <v/>
      </c>
      <c r="J3018" s="6" t="str">
        <f aca="false">IFERROR(INDEX('Semrush Data'!$A$1:$Z$20000,MATCH(A3018,'Semrush Data'!$A$1:$A$20000,0),MATCH("Intent",'Semrush Data'!$A$1:$Z$1,0)),"")</f>
        <v/>
      </c>
    </row>
    <row r="3019" customFormat="false" ht="15" hidden="false" customHeight="true" outlineLevel="0" collapsed="false">
      <c r="A3019" s="6" t="s">
        <v>7685</v>
      </c>
      <c r="B3019" s="6" t="s">
        <v>239</v>
      </c>
      <c r="C3019" s="6" t="n">
        <v>3</v>
      </c>
      <c r="D3019" s="6" t="n">
        <v>31</v>
      </c>
      <c r="E3019" s="6" t="n">
        <v>1</v>
      </c>
      <c r="F3019" s="6" t="s">
        <v>5723</v>
      </c>
      <c r="G3019" s="28" t="str">
        <f aca="false">IFERROR(INDEX('Semrush Data'!$A$1:$Z$20000,MATCH(A3019,'Semrush Data'!$A$1:$A$20000,0),MATCH("Volume",'Semrush Data'!$A$1:$Z$1,0)),"")</f>
        <v/>
      </c>
      <c r="H3019" s="6" t="str">
        <f aca="false">IFERROR(INDEX('Semrush Data'!$A$1:$Z$20000,MATCH(A3019,'Semrush Data'!$A$1:$A$20000,0),MATCH("Keyword Difficulty*",'Semrush Data'!$A$1:$Z$1,0)),"")</f>
        <v/>
      </c>
      <c r="I3019" s="29" t="str">
        <f aca="false">IFERROR(INDEX('Semrush Data'!$A$1:$Z$20000,MATCH(A3019,'Semrush Data'!$A$1:$A$20000,0),MATCH("CPC*",'Semrush Data'!$A$1:$Z$1,0)),"")</f>
        <v/>
      </c>
      <c r="J3019" s="6" t="str">
        <f aca="false">IFERROR(INDEX('Semrush Data'!$A$1:$Z$20000,MATCH(A3019,'Semrush Data'!$A$1:$A$20000,0),MATCH("Intent",'Semrush Data'!$A$1:$Z$1,0)),"")</f>
        <v/>
      </c>
    </row>
    <row r="3020" customFormat="false" ht="15" hidden="false" customHeight="true" outlineLevel="0" collapsed="false">
      <c r="A3020" s="6" t="s">
        <v>7686</v>
      </c>
      <c r="B3020" s="6" t="s">
        <v>239</v>
      </c>
      <c r="C3020" s="6" t="n">
        <v>3</v>
      </c>
      <c r="D3020" s="6" t="n">
        <v>31</v>
      </c>
      <c r="E3020" s="6" t="n">
        <v>1</v>
      </c>
      <c r="F3020" s="6" t="s">
        <v>5723</v>
      </c>
      <c r="G3020" s="28" t="str">
        <f aca="false">IFERROR(INDEX('Semrush Data'!$A$1:$Z$20000,MATCH(A3020,'Semrush Data'!$A$1:$A$20000,0),MATCH("Volume",'Semrush Data'!$A$1:$Z$1,0)),"")</f>
        <v/>
      </c>
      <c r="H3020" s="6" t="str">
        <f aca="false">IFERROR(INDEX('Semrush Data'!$A$1:$Z$20000,MATCH(A3020,'Semrush Data'!$A$1:$A$20000,0),MATCH("Keyword Difficulty*",'Semrush Data'!$A$1:$Z$1,0)),"")</f>
        <v/>
      </c>
      <c r="I3020" s="29" t="str">
        <f aca="false">IFERROR(INDEX('Semrush Data'!$A$1:$Z$20000,MATCH(A3020,'Semrush Data'!$A$1:$A$20000,0),MATCH("CPC*",'Semrush Data'!$A$1:$Z$1,0)),"")</f>
        <v/>
      </c>
      <c r="J3020" s="6" t="str">
        <f aca="false">IFERROR(INDEX('Semrush Data'!$A$1:$Z$20000,MATCH(A3020,'Semrush Data'!$A$1:$A$20000,0),MATCH("Intent",'Semrush Data'!$A$1:$Z$1,0)),"")</f>
        <v/>
      </c>
    </row>
    <row r="3021" customFormat="false" ht="15" hidden="false" customHeight="true" outlineLevel="0" collapsed="false">
      <c r="A3021" s="6" t="s">
        <v>7687</v>
      </c>
      <c r="B3021" s="6" t="s">
        <v>239</v>
      </c>
      <c r="C3021" s="6" t="n">
        <v>3</v>
      </c>
      <c r="D3021" s="6" t="n">
        <v>31</v>
      </c>
      <c r="E3021" s="6" t="n">
        <v>1</v>
      </c>
      <c r="F3021" s="6" t="s">
        <v>5736</v>
      </c>
      <c r="G3021" s="28" t="str">
        <f aca="false">IFERROR(INDEX('Semrush Data'!$A$1:$Z$20000,MATCH(A3021,'Semrush Data'!$A$1:$A$20000,0),MATCH("Volume",'Semrush Data'!$A$1:$Z$1,0)),"")</f>
        <v/>
      </c>
      <c r="H3021" s="6" t="str">
        <f aca="false">IFERROR(INDEX('Semrush Data'!$A$1:$Z$20000,MATCH(A3021,'Semrush Data'!$A$1:$A$20000,0),MATCH("Keyword Difficulty*",'Semrush Data'!$A$1:$Z$1,0)),"")</f>
        <v/>
      </c>
      <c r="I3021" s="29" t="str">
        <f aca="false">IFERROR(INDEX('Semrush Data'!$A$1:$Z$20000,MATCH(A3021,'Semrush Data'!$A$1:$A$20000,0),MATCH("CPC*",'Semrush Data'!$A$1:$Z$1,0)),"")</f>
        <v/>
      </c>
      <c r="J3021" s="6" t="str">
        <f aca="false">IFERROR(INDEX('Semrush Data'!$A$1:$Z$20000,MATCH(A3021,'Semrush Data'!$A$1:$A$20000,0),MATCH("Intent",'Semrush Data'!$A$1:$Z$1,0)),"")</f>
        <v/>
      </c>
    </row>
    <row r="3022" customFormat="false" ht="15" hidden="false" customHeight="true" outlineLevel="0" collapsed="false">
      <c r="A3022" s="6" t="s">
        <v>7688</v>
      </c>
      <c r="B3022" s="6" t="s">
        <v>239</v>
      </c>
      <c r="C3022" s="6" t="n">
        <v>3</v>
      </c>
      <c r="D3022" s="6" t="n">
        <v>31</v>
      </c>
      <c r="E3022" s="6" t="n">
        <v>1</v>
      </c>
      <c r="F3022" s="6" t="s">
        <v>5736</v>
      </c>
      <c r="G3022" s="28" t="str">
        <f aca="false">IFERROR(INDEX('Semrush Data'!$A$1:$Z$20000,MATCH(A3022,'Semrush Data'!$A$1:$A$20000,0),MATCH("Volume",'Semrush Data'!$A$1:$Z$1,0)),"")</f>
        <v/>
      </c>
      <c r="H3022" s="6" t="str">
        <f aca="false">IFERROR(INDEX('Semrush Data'!$A$1:$Z$20000,MATCH(A3022,'Semrush Data'!$A$1:$A$20000,0),MATCH("Keyword Difficulty*",'Semrush Data'!$A$1:$Z$1,0)),"")</f>
        <v/>
      </c>
      <c r="I3022" s="29" t="str">
        <f aca="false">IFERROR(INDEX('Semrush Data'!$A$1:$Z$20000,MATCH(A3022,'Semrush Data'!$A$1:$A$20000,0),MATCH("CPC*",'Semrush Data'!$A$1:$Z$1,0)),"")</f>
        <v/>
      </c>
      <c r="J3022" s="6" t="str">
        <f aca="false">IFERROR(INDEX('Semrush Data'!$A$1:$Z$20000,MATCH(A3022,'Semrush Data'!$A$1:$A$20000,0),MATCH("Intent",'Semrush Data'!$A$1:$Z$1,0)),"")</f>
        <v/>
      </c>
    </row>
    <row r="3023" customFormat="false" ht="15" hidden="false" customHeight="true" outlineLevel="0" collapsed="false">
      <c r="A3023" s="6" t="s">
        <v>7689</v>
      </c>
      <c r="B3023" s="6" t="s">
        <v>239</v>
      </c>
      <c r="C3023" s="6" t="n">
        <v>3</v>
      </c>
      <c r="D3023" s="6" t="n">
        <v>31</v>
      </c>
      <c r="E3023" s="6" t="n">
        <v>1</v>
      </c>
      <c r="F3023" s="6" t="s">
        <v>5736</v>
      </c>
      <c r="G3023" s="28" t="str">
        <f aca="false">IFERROR(INDEX('Semrush Data'!$A$1:$Z$20000,MATCH(A3023,'Semrush Data'!$A$1:$A$20000,0),MATCH("Volume",'Semrush Data'!$A$1:$Z$1,0)),"")</f>
        <v/>
      </c>
      <c r="H3023" s="6" t="str">
        <f aca="false">IFERROR(INDEX('Semrush Data'!$A$1:$Z$20000,MATCH(A3023,'Semrush Data'!$A$1:$A$20000,0),MATCH("Keyword Difficulty*",'Semrush Data'!$A$1:$Z$1,0)),"")</f>
        <v/>
      </c>
      <c r="I3023" s="29" t="str">
        <f aca="false">IFERROR(INDEX('Semrush Data'!$A$1:$Z$20000,MATCH(A3023,'Semrush Data'!$A$1:$A$20000,0),MATCH("CPC*",'Semrush Data'!$A$1:$Z$1,0)),"")</f>
        <v/>
      </c>
      <c r="J3023" s="6" t="str">
        <f aca="false">IFERROR(INDEX('Semrush Data'!$A$1:$Z$20000,MATCH(A3023,'Semrush Data'!$A$1:$A$20000,0),MATCH("Intent",'Semrush Data'!$A$1:$Z$1,0)),"")</f>
        <v/>
      </c>
    </row>
    <row r="3024" customFormat="false" ht="15" hidden="false" customHeight="true" outlineLevel="0" collapsed="false">
      <c r="A3024" s="6" t="s">
        <v>7690</v>
      </c>
      <c r="B3024" s="6" t="s">
        <v>239</v>
      </c>
      <c r="C3024" s="6" t="n">
        <v>3</v>
      </c>
      <c r="D3024" s="6" t="n">
        <v>31</v>
      </c>
      <c r="E3024" s="6" t="n">
        <v>1</v>
      </c>
      <c r="F3024" s="6" t="s">
        <v>5736</v>
      </c>
      <c r="G3024" s="28" t="str">
        <f aca="false">IFERROR(INDEX('Semrush Data'!$A$1:$Z$20000,MATCH(A3024,'Semrush Data'!$A$1:$A$20000,0),MATCH("Volume",'Semrush Data'!$A$1:$Z$1,0)),"")</f>
        <v/>
      </c>
      <c r="H3024" s="6" t="str">
        <f aca="false">IFERROR(INDEX('Semrush Data'!$A$1:$Z$20000,MATCH(A3024,'Semrush Data'!$A$1:$A$20000,0),MATCH("Keyword Difficulty*",'Semrush Data'!$A$1:$Z$1,0)),"")</f>
        <v/>
      </c>
      <c r="I3024" s="29" t="str">
        <f aca="false">IFERROR(INDEX('Semrush Data'!$A$1:$Z$20000,MATCH(A3024,'Semrush Data'!$A$1:$A$20000,0),MATCH("CPC*",'Semrush Data'!$A$1:$Z$1,0)),"")</f>
        <v/>
      </c>
      <c r="J3024" s="6" t="str">
        <f aca="false">IFERROR(INDEX('Semrush Data'!$A$1:$Z$20000,MATCH(A3024,'Semrush Data'!$A$1:$A$20000,0),MATCH("Intent",'Semrush Data'!$A$1:$Z$1,0)),"")</f>
        <v/>
      </c>
    </row>
    <row r="3025" customFormat="false" ht="15" hidden="false" customHeight="true" outlineLevel="0" collapsed="false">
      <c r="A3025" s="6" t="s">
        <v>7691</v>
      </c>
      <c r="B3025" s="6" t="s">
        <v>239</v>
      </c>
      <c r="C3025" s="6" t="n">
        <v>3</v>
      </c>
      <c r="D3025" s="6" t="n">
        <v>31</v>
      </c>
      <c r="E3025" s="6" t="n">
        <v>1</v>
      </c>
      <c r="F3025" s="6" t="s">
        <v>5749</v>
      </c>
      <c r="G3025" s="28" t="str">
        <f aca="false">IFERROR(INDEX('Semrush Data'!$A$1:$Z$20000,MATCH(A3025,'Semrush Data'!$A$1:$A$20000,0),MATCH("Volume",'Semrush Data'!$A$1:$Z$1,0)),"")</f>
        <v/>
      </c>
      <c r="H3025" s="6" t="str">
        <f aca="false">IFERROR(INDEX('Semrush Data'!$A$1:$Z$20000,MATCH(A3025,'Semrush Data'!$A$1:$A$20000,0),MATCH("Keyword Difficulty*",'Semrush Data'!$A$1:$Z$1,0)),"")</f>
        <v/>
      </c>
      <c r="I3025" s="29" t="str">
        <f aca="false">IFERROR(INDEX('Semrush Data'!$A$1:$Z$20000,MATCH(A3025,'Semrush Data'!$A$1:$A$20000,0),MATCH("CPC*",'Semrush Data'!$A$1:$Z$1,0)),"")</f>
        <v/>
      </c>
      <c r="J3025" s="6" t="str">
        <f aca="false">IFERROR(INDEX('Semrush Data'!$A$1:$Z$20000,MATCH(A3025,'Semrush Data'!$A$1:$A$20000,0),MATCH("Intent",'Semrush Data'!$A$1:$Z$1,0)),"")</f>
        <v/>
      </c>
    </row>
    <row r="3026" customFormat="false" ht="15" hidden="false" customHeight="true" outlineLevel="0" collapsed="false">
      <c r="A3026" s="6" t="s">
        <v>7692</v>
      </c>
      <c r="B3026" s="6" t="s">
        <v>239</v>
      </c>
      <c r="C3026" s="6" t="n">
        <v>3</v>
      </c>
      <c r="D3026" s="6" t="n">
        <v>31</v>
      </c>
      <c r="E3026" s="6" t="n">
        <v>1</v>
      </c>
      <c r="F3026" s="6" t="s">
        <v>5749</v>
      </c>
      <c r="G3026" s="28" t="str">
        <f aca="false">IFERROR(INDEX('Semrush Data'!$A$1:$Z$20000,MATCH(A3026,'Semrush Data'!$A$1:$A$20000,0),MATCH("Volume",'Semrush Data'!$A$1:$Z$1,0)),"")</f>
        <v/>
      </c>
      <c r="H3026" s="6" t="str">
        <f aca="false">IFERROR(INDEX('Semrush Data'!$A$1:$Z$20000,MATCH(A3026,'Semrush Data'!$A$1:$A$20000,0),MATCH("Keyword Difficulty*",'Semrush Data'!$A$1:$Z$1,0)),"")</f>
        <v/>
      </c>
      <c r="I3026" s="29" t="str">
        <f aca="false">IFERROR(INDEX('Semrush Data'!$A$1:$Z$20000,MATCH(A3026,'Semrush Data'!$A$1:$A$20000,0),MATCH("CPC*",'Semrush Data'!$A$1:$Z$1,0)),"")</f>
        <v/>
      </c>
      <c r="J3026" s="6" t="str">
        <f aca="false">IFERROR(INDEX('Semrush Data'!$A$1:$Z$20000,MATCH(A3026,'Semrush Data'!$A$1:$A$20000,0),MATCH("Intent",'Semrush Data'!$A$1:$Z$1,0)),"")</f>
        <v/>
      </c>
    </row>
    <row r="3027" customFormat="false" ht="15" hidden="false" customHeight="true" outlineLevel="0" collapsed="false">
      <c r="A3027" s="6" t="s">
        <v>7693</v>
      </c>
      <c r="B3027" s="6" t="s">
        <v>239</v>
      </c>
      <c r="C3027" s="6" t="n">
        <v>3</v>
      </c>
      <c r="D3027" s="6" t="n">
        <v>31</v>
      </c>
      <c r="E3027" s="6" t="n">
        <v>1</v>
      </c>
      <c r="F3027" s="6" t="s">
        <v>5749</v>
      </c>
      <c r="G3027" s="28" t="str">
        <f aca="false">IFERROR(INDEX('Semrush Data'!$A$1:$Z$20000,MATCH(A3027,'Semrush Data'!$A$1:$A$20000,0),MATCH("Volume",'Semrush Data'!$A$1:$Z$1,0)),"")</f>
        <v/>
      </c>
      <c r="H3027" s="6" t="str">
        <f aca="false">IFERROR(INDEX('Semrush Data'!$A$1:$Z$20000,MATCH(A3027,'Semrush Data'!$A$1:$A$20000,0),MATCH("Keyword Difficulty*",'Semrush Data'!$A$1:$Z$1,0)),"")</f>
        <v/>
      </c>
      <c r="I3027" s="29" t="str">
        <f aca="false">IFERROR(INDEX('Semrush Data'!$A$1:$Z$20000,MATCH(A3027,'Semrush Data'!$A$1:$A$20000,0),MATCH("CPC*",'Semrush Data'!$A$1:$Z$1,0)),"")</f>
        <v/>
      </c>
      <c r="J3027" s="6" t="str">
        <f aca="false">IFERROR(INDEX('Semrush Data'!$A$1:$Z$20000,MATCH(A3027,'Semrush Data'!$A$1:$A$20000,0),MATCH("Intent",'Semrush Data'!$A$1:$Z$1,0)),"")</f>
        <v/>
      </c>
    </row>
    <row r="3028" customFormat="false" ht="15" hidden="false" customHeight="true" outlineLevel="0" collapsed="false">
      <c r="A3028" s="6" t="s">
        <v>7694</v>
      </c>
      <c r="B3028" s="6" t="s">
        <v>239</v>
      </c>
      <c r="C3028" s="6" t="n">
        <v>3</v>
      </c>
      <c r="D3028" s="6" t="n">
        <v>31</v>
      </c>
      <c r="E3028" s="6" t="n">
        <v>1</v>
      </c>
      <c r="F3028" s="6" t="s">
        <v>5749</v>
      </c>
      <c r="G3028" s="28" t="str">
        <f aca="false">IFERROR(INDEX('Semrush Data'!$A$1:$Z$20000,MATCH(A3028,'Semrush Data'!$A$1:$A$20000,0),MATCH("Volume",'Semrush Data'!$A$1:$Z$1,0)),"")</f>
        <v/>
      </c>
      <c r="H3028" s="6" t="str">
        <f aca="false">IFERROR(INDEX('Semrush Data'!$A$1:$Z$20000,MATCH(A3028,'Semrush Data'!$A$1:$A$20000,0),MATCH("Keyword Difficulty*",'Semrush Data'!$A$1:$Z$1,0)),"")</f>
        <v/>
      </c>
      <c r="I3028" s="29" t="str">
        <f aca="false">IFERROR(INDEX('Semrush Data'!$A$1:$Z$20000,MATCH(A3028,'Semrush Data'!$A$1:$A$20000,0),MATCH("CPC*",'Semrush Data'!$A$1:$Z$1,0)),"")</f>
        <v/>
      </c>
      <c r="J3028" s="6" t="str">
        <f aca="false">IFERROR(INDEX('Semrush Data'!$A$1:$Z$20000,MATCH(A3028,'Semrush Data'!$A$1:$A$20000,0),MATCH("Intent",'Semrush Data'!$A$1:$Z$1,0)),"")</f>
        <v/>
      </c>
    </row>
    <row r="3029" customFormat="false" ht="15" hidden="false" customHeight="true" outlineLevel="0" collapsed="false">
      <c r="A3029" s="6" t="s">
        <v>5769</v>
      </c>
      <c r="B3029" s="6" t="s">
        <v>239</v>
      </c>
      <c r="C3029" s="6" t="n">
        <v>3</v>
      </c>
      <c r="D3029" s="6" t="n">
        <v>31</v>
      </c>
      <c r="E3029" s="6" t="n">
        <v>1</v>
      </c>
      <c r="F3029" s="6" t="s">
        <v>5762</v>
      </c>
      <c r="G3029" s="28" t="str">
        <f aca="false">IFERROR(INDEX('Semrush Data'!$A$1:$Z$20000,MATCH(A3029,'Semrush Data'!$A$1:$A$20000,0),MATCH("Volume",'Semrush Data'!$A$1:$Z$1,0)),"")</f>
        <v/>
      </c>
      <c r="H3029" s="6" t="str">
        <f aca="false">IFERROR(INDEX('Semrush Data'!$A$1:$Z$20000,MATCH(A3029,'Semrush Data'!$A$1:$A$20000,0),MATCH("Keyword Difficulty*",'Semrush Data'!$A$1:$Z$1,0)),"")</f>
        <v/>
      </c>
      <c r="I3029" s="29" t="str">
        <f aca="false">IFERROR(INDEX('Semrush Data'!$A$1:$Z$20000,MATCH(A3029,'Semrush Data'!$A$1:$A$20000,0),MATCH("CPC*",'Semrush Data'!$A$1:$Z$1,0)),"")</f>
        <v/>
      </c>
      <c r="J3029" s="6" t="str">
        <f aca="false">IFERROR(INDEX('Semrush Data'!$A$1:$Z$20000,MATCH(A3029,'Semrush Data'!$A$1:$A$20000,0),MATCH("Intent",'Semrush Data'!$A$1:$Z$1,0)),"")</f>
        <v/>
      </c>
    </row>
    <row r="3030" customFormat="false" ht="15" hidden="false" customHeight="true" outlineLevel="0" collapsed="false">
      <c r="A3030" s="6" t="s">
        <v>7695</v>
      </c>
      <c r="B3030" s="6" t="s">
        <v>239</v>
      </c>
      <c r="C3030" s="6" t="n">
        <v>3</v>
      </c>
      <c r="D3030" s="6" t="n">
        <v>31</v>
      </c>
      <c r="E3030" s="6" t="n">
        <v>1</v>
      </c>
      <c r="F3030" s="6" t="s">
        <v>5773</v>
      </c>
      <c r="G3030" s="28" t="str">
        <f aca="false">IFERROR(INDEX('Semrush Data'!$A$1:$Z$20000,MATCH(A3030,'Semrush Data'!$A$1:$A$20000,0),MATCH("Volume",'Semrush Data'!$A$1:$Z$1,0)),"")</f>
        <v/>
      </c>
      <c r="H3030" s="6" t="str">
        <f aca="false">IFERROR(INDEX('Semrush Data'!$A$1:$Z$20000,MATCH(A3030,'Semrush Data'!$A$1:$A$20000,0),MATCH("Keyword Difficulty*",'Semrush Data'!$A$1:$Z$1,0)),"")</f>
        <v/>
      </c>
      <c r="I3030" s="29" t="str">
        <f aca="false">IFERROR(INDEX('Semrush Data'!$A$1:$Z$20000,MATCH(A3030,'Semrush Data'!$A$1:$A$20000,0),MATCH("CPC*",'Semrush Data'!$A$1:$Z$1,0)),"")</f>
        <v/>
      </c>
      <c r="J3030" s="6" t="str">
        <f aca="false">IFERROR(INDEX('Semrush Data'!$A$1:$Z$20000,MATCH(A3030,'Semrush Data'!$A$1:$A$20000,0),MATCH("Intent",'Semrush Data'!$A$1:$Z$1,0)),"")</f>
        <v/>
      </c>
    </row>
    <row r="3031" customFormat="false" ht="15" hidden="false" customHeight="true" outlineLevel="0" collapsed="false">
      <c r="A3031" s="6" t="s">
        <v>5905</v>
      </c>
      <c r="B3031" s="6" t="s">
        <v>239</v>
      </c>
      <c r="C3031" s="6" t="n">
        <v>3</v>
      </c>
      <c r="D3031" s="6" t="n">
        <v>31</v>
      </c>
      <c r="E3031" s="6" t="n">
        <v>1</v>
      </c>
      <c r="F3031" s="6" t="s">
        <v>5896</v>
      </c>
      <c r="G3031" s="28" t="str">
        <f aca="false">IFERROR(INDEX('Semrush Data'!$A$1:$Z$20000,MATCH(A3031,'Semrush Data'!$A$1:$A$20000,0),MATCH("Volume",'Semrush Data'!$A$1:$Z$1,0)),"")</f>
        <v/>
      </c>
      <c r="H3031" s="6" t="str">
        <f aca="false">IFERROR(INDEX('Semrush Data'!$A$1:$Z$20000,MATCH(A3031,'Semrush Data'!$A$1:$A$20000,0),MATCH("Keyword Difficulty*",'Semrush Data'!$A$1:$Z$1,0)),"")</f>
        <v/>
      </c>
      <c r="I3031" s="29" t="str">
        <f aca="false">IFERROR(INDEX('Semrush Data'!$A$1:$Z$20000,MATCH(A3031,'Semrush Data'!$A$1:$A$20000,0),MATCH("CPC*",'Semrush Data'!$A$1:$Z$1,0)),"")</f>
        <v/>
      </c>
      <c r="J3031" s="6" t="str">
        <f aca="false">IFERROR(INDEX('Semrush Data'!$A$1:$Z$20000,MATCH(A3031,'Semrush Data'!$A$1:$A$20000,0),MATCH("Intent",'Semrush Data'!$A$1:$Z$1,0)),"")</f>
        <v/>
      </c>
    </row>
    <row r="3032" customFormat="false" ht="15" hidden="false" customHeight="true" outlineLevel="0" collapsed="false">
      <c r="A3032" s="6" t="s">
        <v>5792</v>
      </c>
      <c r="B3032" s="6" t="s">
        <v>239</v>
      </c>
      <c r="C3032" s="6" t="n">
        <v>3</v>
      </c>
      <c r="D3032" s="6" t="n">
        <v>31</v>
      </c>
      <c r="E3032" s="6" t="n">
        <v>1</v>
      </c>
      <c r="F3032" s="6" t="s">
        <v>5785</v>
      </c>
      <c r="G3032" s="28" t="str">
        <f aca="false">IFERROR(INDEX('Semrush Data'!$A$1:$Z$20000,MATCH(A3032,'Semrush Data'!$A$1:$A$20000,0),MATCH("Volume",'Semrush Data'!$A$1:$Z$1,0)),"")</f>
        <v/>
      </c>
      <c r="H3032" s="6" t="str">
        <f aca="false">IFERROR(INDEX('Semrush Data'!$A$1:$Z$20000,MATCH(A3032,'Semrush Data'!$A$1:$A$20000,0),MATCH("Keyword Difficulty*",'Semrush Data'!$A$1:$Z$1,0)),"")</f>
        <v/>
      </c>
      <c r="I3032" s="29" t="str">
        <f aca="false">IFERROR(INDEX('Semrush Data'!$A$1:$Z$20000,MATCH(A3032,'Semrush Data'!$A$1:$A$20000,0),MATCH("CPC*",'Semrush Data'!$A$1:$Z$1,0)),"")</f>
        <v/>
      </c>
      <c r="J3032" s="6" t="str">
        <f aca="false">IFERROR(INDEX('Semrush Data'!$A$1:$Z$20000,MATCH(A3032,'Semrush Data'!$A$1:$A$20000,0),MATCH("Intent",'Semrush Data'!$A$1:$Z$1,0)),"")</f>
        <v/>
      </c>
    </row>
    <row r="3033" customFormat="false" ht="15" hidden="false" customHeight="true" outlineLevel="0" collapsed="false">
      <c r="A3033" s="6" t="s">
        <v>7696</v>
      </c>
      <c r="B3033" s="6" t="s">
        <v>239</v>
      </c>
      <c r="C3033" s="6" t="n">
        <v>3</v>
      </c>
      <c r="D3033" s="6" t="n">
        <v>31</v>
      </c>
      <c r="E3033" s="6" t="n">
        <v>1</v>
      </c>
      <c r="F3033" s="6" t="s">
        <v>5749</v>
      </c>
      <c r="G3033" s="28" t="str">
        <f aca="false">IFERROR(INDEX('Semrush Data'!$A$1:$Z$20000,MATCH(A3033,'Semrush Data'!$A$1:$A$20000,0),MATCH("Volume",'Semrush Data'!$A$1:$Z$1,0)),"")</f>
        <v/>
      </c>
      <c r="H3033" s="6" t="str">
        <f aca="false">IFERROR(INDEX('Semrush Data'!$A$1:$Z$20000,MATCH(A3033,'Semrush Data'!$A$1:$A$20000,0),MATCH("Keyword Difficulty*",'Semrush Data'!$A$1:$Z$1,0)),"")</f>
        <v/>
      </c>
      <c r="I3033" s="29" t="str">
        <f aca="false">IFERROR(INDEX('Semrush Data'!$A$1:$Z$20000,MATCH(A3033,'Semrush Data'!$A$1:$A$20000,0),MATCH("CPC*",'Semrush Data'!$A$1:$Z$1,0)),"")</f>
        <v/>
      </c>
      <c r="J3033" s="6" t="str">
        <f aca="false">IFERROR(INDEX('Semrush Data'!$A$1:$Z$20000,MATCH(A3033,'Semrush Data'!$A$1:$A$20000,0),MATCH("Intent",'Semrush Data'!$A$1:$Z$1,0)),"")</f>
        <v/>
      </c>
    </row>
    <row r="3034" customFormat="false" ht="15" hidden="false" customHeight="true" outlineLevel="0" collapsed="false">
      <c r="A3034" s="6" t="s">
        <v>5882</v>
      </c>
      <c r="B3034" s="6" t="s">
        <v>239</v>
      </c>
      <c r="C3034" s="6" t="n">
        <v>3</v>
      </c>
      <c r="D3034" s="6" t="n">
        <v>31</v>
      </c>
      <c r="E3034" s="6" t="n">
        <v>1</v>
      </c>
      <c r="F3034" s="6" t="s">
        <v>5875</v>
      </c>
      <c r="G3034" s="28" t="str">
        <f aca="false">IFERROR(INDEX('Semrush Data'!$A$1:$Z$20000,MATCH(A3034,'Semrush Data'!$A$1:$A$20000,0),MATCH("Volume",'Semrush Data'!$A$1:$Z$1,0)),"")</f>
        <v/>
      </c>
      <c r="H3034" s="6" t="str">
        <f aca="false">IFERROR(INDEX('Semrush Data'!$A$1:$Z$20000,MATCH(A3034,'Semrush Data'!$A$1:$A$20000,0),MATCH("Keyword Difficulty*",'Semrush Data'!$A$1:$Z$1,0)),"")</f>
        <v/>
      </c>
      <c r="I3034" s="29" t="str">
        <f aca="false">IFERROR(INDEX('Semrush Data'!$A$1:$Z$20000,MATCH(A3034,'Semrush Data'!$A$1:$A$20000,0),MATCH("CPC*",'Semrush Data'!$A$1:$Z$1,0)),"")</f>
        <v/>
      </c>
      <c r="J3034" s="6" t="str">
        <f aca="false">IFERROR(INDEX('Semrush Data'!$A$1:$Z$20000,MATCH(A3034,'Semrush Data'!$A$1:$A$20000,0),MATCH("Intent",'Semrush Data'!$A$1:$Z$1,0)),"")</f>
        <v/>
      </c>
    </row>
    <row r="3035" customFormat="false" ht="15" hidden="false" customHeight="true" outlineLevel="0" collapsed="false">
      <c r="A3035" s="6" t="s">
        <v>7697</v>
      </c>
      <c r="B3035" s="6" t="s">
        <v>239</v>
      </c>
      <c r="C3035" s="6" t="n">
        <v>3</v>
      </c>
      <c r="D3035" s="6" t="n">
        <v>31</v>
      </c>
      <c r="E3035" s="6" t="n">
        <v>1</v>
      </c>
      <c r="F3035" s="6" t="s">
        <v>5909</v>
      </c>
      <c r="G3035" s="28" t="str">
        <f aca="false">IFERROR(INDEX('Semrush Data'!$A$1:$Z$20000,MATCH(A3035,'Semrush Data'!$A$1:$A$20000,0),MATCH("Volume",'Semrush Data'!$A$1:$Z$1,0)),"")</f>
        <v/>
      </c>
      <c r="H3035" s="6" t="str">
        <f aca="false">IFERROR(INDEX('Semrush Data'!$A$1:$Z$20000,MATCH(A3035,'Semrush Data'!$A$1:$A$20000,0),MATCH("Keyword Difficulty*",'Semrush Data'!$A$1:$Z$1,0)),"")</f>
        <v/>
      </c>
      <c r="I3035" s="29" t="str">
        <f aca="false">IFERROR(INDEX('Semrush Data'!$A$1:$Z$20000,MATCH(A3035,'Semrush Data'!$A$1:$A$20000,0),MATCH("CPC*",'Semrush Data'!$A$1:$Z$1,0)),"")</f>
        <v/>
      </c>
      <c r="J3035" s="6" t="str">
        <f aca="false">IFERROR(INDEX('Semrush Data'!$A$1:$Z$20000,MATCH(A3035,'Semrush Data'!$A$1:$A$20000,0),MATCH("Intent",'Semrush Data'!$A$1:$Z$1,0)),"")</f>
        <v/>
      </c>
    </row>
    <row r="3036" customFormat="false" ht="15" hidden="false" customHeight="true" outlineLevel="0" collapsed="false">
      <c r="A3036" s="6" t="s">
        <v>7698</v>
      </c>
      <c r="B3036" s="6" t="s">
        <v>239</v>
      </c>
      <c r="C3036" s="6" t="n">
        <v>3</v>
      </c>
      <c r="D3036" s="6" t="n">
        <v>31</v>
      </c>
      <c r="E3036" s="6" t="n">
        <v>1</v>
      </c>
      <c r="F3036" s="6" t="s">
        <v>5909</v>
      </c>
      <c r="G3036" s="28" t="str">
        <f aca="false">IFERROR(INDEX('Semrush Data'!$A$1:$Z$20000,MATCH(A3036,'Semrush Data'!$A$1:$A$20000,0),MATCH("Volume",'Semrush Data'!$A$1:$Z$1,0)),"")</f>
        <v/>
      </c>
      <c r="H3036" s="6" t="str">
        <f aca="false">IFERROR(INDEX('Semrush Data'!$A$1:$Z$20000,MATCH(A3036,'Semrush Data'!$A$1:$A$20000,0),MATCH("Keyword Difficulty*",'Semrush Data'!$A$1:$Z$1,0)),"")</f>
        <v/>
      </c>
      <c r="I3036" s="29" t="str">
        <f aca="false">IFERROR(INDEX('Semrush Data'!$A$1:$Z$20000,MATCH(A3036,'Semrush Data'!$A$1:$A$20000,0),MATCH("CPC*",'Semrush Data'!$A$1:$Z$1,0)),"")</f>
        <v/>
      </c>
      <c r="J3036" s="6" t="str">
        <f aca="false">IFERROR(INDEX('Semrush Data'!$A$1:$Z$20000,MATCH(A3036,'Semrush Data'!$A$1:$A$20000,0),MATCH("Intent",'Semrush Data'!$A$1:$Z$1,0)),"")</f>
        <v/>
      </c>
    </row>
    <row r="3037" customFormat="false" ht="15" hidden="false" customHeight="true" outlineLevel="0" collapsed="false">
      <c r="A3037" s="6" t="s">
        <v>7699</v>
      </c>
      <c r="B3037" s="6" t="s">
        <v>239</v>
      </c>
      <c r="C3037" s="6" t="n">
        <v>3</v>
      </c>
      <c r="D3037" s="6" t="n">
        <v>31</v>
      </c>
      <c r="E3037" s="6" t="n">
        <v>1</v>
      </c>
      <c r="F3037" s="6" t="s">
        <v>5909</v>
      </c>
      <c r="G3037" s="28" t="str">
        <f aca="false">IFERROR(INDEX('Semrush Data'!$A$1:$Z$20000,MATCH(A3037,'Semrush Data'!$A$1:$A$20000,0),MATCH("Volume",'Semrush Data'!$A$1:$Z$1,0)),"")</f>
        <v/>
      </c>
      <c r="H3037" s="6" t="str">
        <f aca="false">IFERROR(INDEX('Semrush Data'!$A$1:$Z$20000,MATCH(A3037,'Semrush Data'!$A$1:$A$20000,0),MATCH("Keyword Difficulty*",'Semrush Data'!$A$1:$Z$1,0)),"")</f>
        <v/>
      </c>
      <c r="I3037" s="29" t="str">
        <f aca="false">IFERROR(INDEX('Semrush Data'!$A$1:$Z$20000,MATCH(A3037,'Semrush Data'!$A$1:$A$20000,0),MATCH("CPC*",'Semrush Data'!$A$1:$Z$1,0)),"")</f>
        <v/>
      </c>
      <c r="J3037" s="6" t="str">
        <f aca="false">IFERROR(INDEX('Semrush Data'!$A$1:$Z$20000,MATCH(A3037,'Semrush Data'!$A$1:$A$20000,0),MATCH("Intent",'Semrush Data'!$A$1:$Z$1,0)),"")</f>
        <v/>
      </c>
    </row>
    <row r="3038" customFormat="false" ht="15" hidden="false" customHeight="true" outlineLevel="0" collapsed="false">
      <c r="A3038" s="6" t="s">
        <v>7700</v>
      </c>
      <c r="B3038" s="6" t="s">
        <v>239</v>
      </c>
      <c r="C3038" s="6" t="n">
        <v>3</v>
      </c>
      <c r="D3038" s="6" t="n">
        <v>31</v>
      </c>
      <c r="E3038" s="6" t="n">
        <v>1</v>
      </c>
      <c r="F3038" s="6" t="s">
        <v>5909</v>
      </c>
      <c r="G3038" s="28" t="str">
        <f aca="false">IFERROR(INDEX('Semrush Data'!$A$1:$Z$20000,MATCH(A3038,'Semrush Data'!$A$1:$A$20000,0),MATCH("Volume",'Semrush Data'!$A$1:$Z$1,0)),"")</f>
        <v/>
      </c>
      <c r="H3038" s="6" t="str">
        <f aca="false">IFERROR(INDEX('Semrush Data'!$A$1:$Z$20000,MATCH(A3038,'Semrush Data'!$A$1:$A$20000,0),MATCH("Keyword Difficulty*",'Semrush Data'!$A$1:$Z$1,0)),"")</f>
        <v/>
      </c>
      <c r="I3038" s="29" t="str">
        <f aca="false">IFERROR(INDEX('Semrush Data'!$A$1:$Z$20000,MATCH(A3038,'Semrush Data'!$A$1:$A$20000,0),MATCH("CPC*",'Semrush Data'!$A$1:$Z$1,0)),"")</f>
        <v/>
      </c>
      <c r="J3038" s="6" t="str">
        <f aca="false">IFERROR(INDEX('Semrush Data'!$A$1:$Z$20000,MATCH(A3038,'Semrush Data'!$A$1:$A$20000,0),MATCH("Intent",'Semrush Data'!$A$1:$Z$1,0)),"")</f>
        <v/>
      </c>
    </row>
    <row r="3039" customFormat="false" ht="15" hidden="false" customHeight="true" outlineLevel="0" collapsed="false">
      <c r="A3039" s="6" t="s">
        <v>7701</v>
      </c>
      <c r="B3039" s="6" t="s">
        <v>239</v>
      </c>
      <c r="C3039" s="6" t="n">
        <v>3</v>
      </c>
      <c r="D3039" s="6" t="n">
        <v>31</v>
      </c>
      <c r="E3039" s="6" t="n">
        <v>1</v>
      </c>
      <c r="F3039" s="6" t="s">
        <v>5886</v>
      </c>
      <c r="G3039" s="28" t="str">
        <f aca="false">IFERROR(INDEX('Semrush Data'!$A$1:$Z$20000,MATCH(A3039,'Semrush Data'!$A$1:$A$20000,0),MATCH("Volume",'Semrush Data'!$A$1:$Z$1,0)),"")</f>
        <v/>
      </c>
      <c r="H3039" s="6" t="str">
        <f aca="false">IFERROR(INDEX('Semrush Data'!$A$1:$Z$20000,MATCH(A3039,'Semrush Data'!$A$1:$A$20000,0),MATCH("Keyword Difficulty*",'Semrush Data'!$A$1:$Z$1,0)),"")</f>
        <v/>
      </c>
      <c r="I3039" s="29" t="str">
        <f aca="false">IFERROR(INDEX('Semrush Data'!$A$1:$Z$20000,MATCH(A3039,'Semrush Data'!$A$1:$A$20000,0),MATCH("CPC*",'Semrush Data'!$A$1:$Z$1,0)),"")</f>
        <v/>
      </c>
      <c r="J3039" s="6" t="str">
        <f aca="false">IFERROR(INDEX('Semrush Data'!$A$1:$Z$20000,MATCH(A3039,'Semrush Data'!$A$1:$A$20000,0),MATCH("Intent",'Semrush Data'!$A$1:$Z$1,0)),"")</f>
        <v/>
      </c>
    </row>
    <row r="3040" customFormat="false" ht="15" hidden="false" customHeight="true" outlineLevel="0" collapsed="false">
      <c r="A3040" s="6" t="s">
        <v>5816</v>
      </c>
      <c r="B3040" s="6" t="s">
        <v>239</v>
      </c>
      <c r="C3040" s="6" t="n">
        <v>3</v>
      </c>
      <c r="D3040" s="6" t="n">
        <v>31</v>
      </c>
      <c r="E3040" s="6" t="n">
        <v>1</v>
      </c>
      <c r="F3040" s="6" t="s">
        <v>5807</v>
      </c>
      <c r="G3040" s="28" t="str">
        <f aca="false">IFERROR(INDEX('Semrush Data'!$A$1:$Z$20000,MATCH(A3040,'Semrush Data'!$A$1:$A$20000,0),MATCH("Volume",'Semrush Data'!$A$1:$Z$1,0)),"")</f>
        <v/>
      </c>
      <c r="H3040" s="6" t="str">
        <f aca="false">IFERROR(INDEX('Semrush Data'!$A$1:$Z$20000,MATCH(A3040,'Semrush Data'!$A$1:$A$20000,0),MATCH("Keyword Difficulty*",'Semrush Data'!$A$1:$Z$1,0)),"")</f>
        <v/>
      </c>
      <c r="I3040" s="29" t="str">
        <f aca="false">IFERROR(INDEX('Semrush Data'!$A$1:$Z$20000,MATCH(A3040,'Semrush Data'!$A$1:$A$20000,0),MATCH("CPC*",'Semrush Data'!$A$1:$Z$1,0)),"")</f>
        <v/>
      </c>
      <c r="J3040" s="6" t="str">
        <f aca="false">IFERROR(INDEX('Semrush Data'!$A$1:$Z$20000,MATCH(A3040,'Semrush Data'!$A$1:$A$20000,0),MATCH("Intent",'Semrush Data'!$A$1:$Z$1,0)),"")</f>
        <v/>
      </c>
    </row>
    <row r="3041" customFormat="false" ht="15" hidden="false" customHeight="true" outlineLevel="0" collapsed="false">
      <c r="A3041" s="6" t="s">
        <v>7702</v>
      </c>
      <c r="B3041" s="6" t="s">
        <v>239</v>
      </c>
      <c r="C3041" s="6" t="n">
        <v>3</v>
      </c>
      <c r="D3041" s="6" t="n">
        <v>31</v>
      </c>
      <c r="E3041" s="6" t="n">
        <v>1</v>
      </c>
      <c r="F3041" s="6" t="s">
        <v>5820</v>
      </c>
      <c r="G3041" s="28" t="str">
        <f aca="false">IFERROR(INDEX('Semrush Data'!$A$1:$Z$20000,MATCH(A3041,'Semrush Data'!$A$1:$A$20000,0),MATCH("Volume",'Semrush Data'!$A$1:$Z$1,0)),"")</f>
        <v/>
      </c>
      <c r="H3041" s="6" t="str">
        <f aca="false">IFERROR(INDEX('Semrush Data'!$A$1:$Z$20000,MATCH(A3041,'Semrush Data'!$A$1:$A$20000,0),MATCH("Keyword Difficulty*",'Semrush Data'!$A$1:$Z$1,0)),"")</f>
        <v/>
      </c>
      <c r="I3041" s="29" t="str">
        <f aca="false">IFERROR(INDEX('Semrush Data'!$A$1:$Z$20000,MATCH(A3041,'Semrush Data'!$A$1:$A$20000,0),MATCH("CPC*",'Semrush Data'!$A$1:$Z$1,0)),"")</f>
        <v/>
      </c>
      <c r="J3041" s="6" t="str">
        <f aca="false">IFERROR(INDEX('Semrush Data'!$A$1:$Z$20000,MATCH(A3041,'Semrush Data'!$A$1:$A$20000,0),MATCH("Intent",'Semrush Data'!$A$1:$Z$1,0)),"")</f>
        <v/>
      </c>
    </row>
    <row r="3042" customFormat="false" ht="15" hidden="false" customHeight="true" outlineLevel="0" collapsed="false">
      <c r="A3042" s="6" t="s">
        <v>7703</v>
      </c>
      <c r="B3042" s="6" t="s">
        <v>239</v>
      </c>
      <c r="C3042" s="6" t="n">
        <v>3</v>
      </c>
      <c r="D3042" s="6" t="n">
        <v>31</v>
      </c>
      <c r="E3042" s="6" t="n">
        <v>1</v>
      </c>
      <c r="F3042" s="6" t="s">
        <v>5820</v>
      </c>
      <c r="G3042" s="28" t="str">
        <f aca="false">IFERROR(INDEX('Semrush Data'!$A$1:$Z$20000,MATCH(A3042,'Semrush Data'!$A$1:$A$20000,0),MATCH("Volume",'Semrush Data'!$A$1:$Z$1,0)),"")</f>
        <v/>
      </c>
      <c r="H3042" s="6" t="str">
        <f aca="false">IFERROR(INDEX('Semrush Data'!$A$1:$Z$20000,MATCH(A3042,'Semrush Data'!$A$1:$A$20000,0),MATCH("Keyword Difficulty*",'Semrush Data'!$A$1:$Z$1,0)),"")</f>
        <v/>
      </c>
      <c r="I3042" s="29" t="str">
        <f aca="false">IFERROR(INDEX('Semrush Data'!$A$1:$Z$20000,MATCH(A3042,'Semrush Data'!$A$1:$A$20000,0),MATCH("CPC*",'Semrush Data'!$A$1:$Z$1,0)),"")</f>
        <v/>
      </c>
      <c r="J3042" s="6" t="str">
        <f aca="false">IFERROR(INDEX('Semrush Data'!$A$1:$Z$20000,MATCH(A3042,'Semrush Data'!$A$1:$A$20000,0),MATCH("Intent",'Semrush Data'!$A$1:$Z$1,0)),"")</f>
        <v/>
      </c>
    </row>
    <row r="3043" customFormat="false" ht="15" hidden="false" customHeight="true" outlineLevel="0" collapsed="false">
      <c r="A3043" s="6" t="s">
        <v>7704</v>
      </c>
      <c r="B3043" s="6" t="s">
        <v>239</v>
      </c>
      <c r="C3043" s="6" t="n">
        <v>3</v>
      </c>
      <c r="D3043" s="6" t="n">
        <v>31</v>
      </c>
      <c r="E3043" s="6" t="n">
        <v>1</v>
      </c>
      <c r="F3043" s="6" t="s">
        <v>5820</v>
      </c>
      <c r="G3043" s="28" t="str">
        <f aca="false">IFERROR(INDEX('Semrush Data'!$A$1:$Z$20000,MATCH(A3043,'Semrush Data'!$A$1:$A$20000,0),MATCH("Volume",'Semrush Data'!$A$1:$Z$1,0)),"")</f>
        <v/>
      </c>
      <c r="H3043" s="6" t="str">
        <f aca="false">IFERROR(INDEX('Semrush Data'!$A$1:$Z$20000,MATCH(A3043,'Semrush Data'!$A$1:$A$20000,0),MATCH("Keyword Difficulty*",'Semrush Data'!$A$1:$Z$1,0)),"")</f>
        <v/>
      </c>
      <c r="I3043" s="29" t="str">
        <f aca="false">IFERROR(INDEX('Semrush Data'!$A$1:$Z$20000,MATCH(A3043,'Semrush Data'!$A$1:$A$20000,0),MATCH("CPC*",'Semrush Data'!$A$1:$Z$1,0)),"")</f>
        <v/>
      </c>
      <c r="J3043" s="6" t="str">
        <f aca="false">IFERROR(INDEX('Semrush Data'!$A$1:$Z$20000,MATCH(A3043,'Semrush Data'!$A$1:$A$20000,0),MATCH("Intent",'Semrush Data'!$A$1:$Z$1,0)),"")</f>
        <v/>
      </c>
    </row>
    <row r="3044" customFormat="false" ht="15" hidden="false" customHeight="true" outlineLevel="0" collapsed="false">
      <c r="A3044" s="6" t="s">
        <v>7705</v>
      </c>
      <c r="B3044" s="6" t="s">
        <v>239</v>
      </c>
      <c r="C3044" s="6" t="n">
        <v>3</v>
      </c>
      <c r="D3044" s="6" t="n">
        <v>31</v>
      </c>
      <c r="E3044" s="6" t="n">
        <v>1</v>
      </c>
      <c r="F3044" s="6" t="s">
        <v>5820</v>
      </c>
      <c r="G3044" s="28" t="str">
        <f aca="false">IFERROR(INDEX('Semrush Data'!$A$1:$Z$20000,MATCH(A3044,'Semrush Data'!$A$1:$A$20000,0),MATCH("Volume",'Semrush Data'!$A$1:$Z$1,0)),"")</f>
        <v/>
      </c>
      <c r="H3044" s="6" t="str">
        <f aca="false">IFERROR(INDEX('Semrush Data'!$A$1:$Z$20000,MATCH(A3044,'Semrush Data'!$A$1:$A$20000,0),MATCH("Keyword Difficulty*",'Semrush Data'!$A$1:$Z$1,0)),"")</f>
        <v/>
      </c>
      <c r="I3044" s="29" t="str">
        <f aca="false">IFERROR(INDEX('Semrush Data'!$A$1:$Z$20000,MATCH(A3044,'Semrush Data'!$A$1:$A$20000,0),MATCH("CPC*",'Semrush Data'!$A$1:$Z$1,0)),"")</f>
        <v/>
      </c>
      <c r="J3044" s="6" t="str">
        <f aca="false">IFERROR(INDEX('Semrush Data'!$A$1:$Z$20000,MATCH(A3044,'Semrush Data'!$A$1:$A$20000,0),MATCH("Intent",'Semrush Data'!$A$1:$Z$1,0)),"")</f>
        <v/>
      </c>
    </row>
    <row r="3045" customFormat="false" ht="15" hidden="false" customHeight="true" outlineLevel="0" collapsed="false">
      <c r="A3045" s="6" t="s">
        <v>7706</v>
      </c>
      <c r="B3045" s="6" t="s">
        <v>239</v>
      </c>
      <c r="C3045" s="6" t="n">
        <v>3</v>
      </c>
      <c r="D3045" s="6" t="n">
        <v>31</v>
      </c>
      <c r="E3045" s="6" t="n">
        <v>1</v>
      </c>
      <c r="F3045" s="6" t="s">
        <v>5831</v>
      </c>
      <c r="G3045" s="28" t="str">
        <f aca="false">IFERROR(INDEX('Semrush Data'!$A$1:$Z$20000,MATCH(A3045,'Semrush Data'!$A$1:$A$20000,0),MATCH("Volume",'Semrush Data'!$A$1:$Z$1,0)),"")</f>
        <v/>
      </c>
      <c r="H3045" s="6" t="str">
        <f aca="false">IFERROR(INDEX('Semrush Data'!$A$1:$Z$20000,MATCH(A3045,'Semrush Data'!$A$1:$A$20000,0),MATCH("Keyword Difficulty*",'Semrush Data'!$A$1:$Z$1,0)),"")</f>
        <v/>
      </c>
      <c r="I3045" s="29" t="str">
        <f aca="false">IFERROR(INDEX('Semrush Data'!$A$1:$Z$20000,MATCH(A3045,'Semrush Data'!$A$1:$A$20000,0),MATCH("CPC*",'Semrush Data'!$A$1:$Z$1,0)),"")</f>
        <v/>
      </c>
      <c r="J3045" s="6" t="str">
        <f aca="false">IFERROR(INDEX('Semrush Data'!$A$1:$Z$20000,MATCH(A3045,'Semrush Data'!$A$1:$A$20000,0),MATCH("Intent",'Semrush Data'!$A$1:$Z$1,0)),"")</f>
        <v/>
      </c>
    </row>
    <row r="3046" customFormat="false" ht="15" hidden="false" customHeight="true" outlineLevel="0" collapsed="false">
      <c r="A3046" s="6" t="s">
        <v>7707</v>
      </c>
      <c r="B3046" s="6" t="s">
        <v>239</v>
      </c>
      <c r="C3046" s="6" t="n">
        <v>3</v>
      </c>
      <c r="D3046" s="6" t="n">
        <v>31</v>
      </c>
      <c r="E3046" s="6" t="n">
        <v>1</v>
      </c>
      <c r="F3046" s="6" t="s">
        <v>5831</v>
      </c>
      <c r="G3046" s="28" t="str">
        <f aca="false">IFERROR(INDEX('Semrush Data'!$A$1:$Z$20000,MATCH(A3046,'Semrush Data'!$A$1:$A$20000,0),MATCH("Volume",'Semrush Data'!$A$1:$Z$1,0)),"")</f>
        <v/>
      </c>
      <c r="H3046" s="6" t="str">
        <f aca="false">IFERROR(INDEX('Semrush Data'!$A$1:$Z$20000,MATCH(A3046,'Semrush Data'!$A$1:$A$20000,0),MATCH("Keyword Difficulty*",'Semrush Data'!$A$1:$Z$1,0)),"")</f>
        <v/>
      </c>
      <c r="I3046" s="29" t="str">
        <f aca="false">IFERROR(INDEX('Semrush Data'!$A$1:$Z$20000,MATCH(A3046,'Semrush Data'!$A$1:$A$20000,0),MATCH("CPC*",'Semrush Data'!$A$1:$Z$1,0)),"")</f>
        <v/>
      </c>
      <c r="J3046" s="6" t="str">
        <f aca="false">IFERROR(INDEX('Semrush Data'!$A$1:$Z$20000,MATCH(A3046,'Semrush Data'!$A$1:$A$20000,0),MATCH("Intent",'Semrush Data'!$A$1:$Z$1,0)),"")</f>
        <v/>
      </c>
    </row>
    <row r="3047" customFormat="false" ht="15" hidden="false" customHeight="true" outlineLevel="0" collapsed="false">
      <c r="A3047" s="6" t="s">
        <v>7708</v>
      </c>
      <c r="B3047" s="6" t="s">
        <v>239</v>
      </c>
      <c r="C3047" s="6" t="n">
        <v>3</v>
      </c>
      <c r="D3047" s="6" t="n">
        <v>31</v>
      </c>
      <c r="E3047" s="6" t="n">
        <v>1</v>
      </c>
      <c r="F3047" s="6" t="s">
        <v>5831</v>
      </c>
      <c r="G3047" s="28" t="str">
        <f aca="false">IFERROR(INDEX('Semrush Data'!$A$1:$Z$20000,MATCH(A3047,'Semrush Data'!$A$1:$A$20000,0),MATCH("Volume",'Semrush Data'!$A$1:$Z$1,0)),"")</f>
        <v/>
      </c>
      <c r="H3047" s="6" t="str">
        <f aca="false">IFERROR(INDEX('Semrush Data'!$A$1:$Z$20000,MATCH(A3047,'Semrush Data'!$A$1:$A$20000,0),MATCH("Keyword Difficulty*",'Semrush Data'!$A$1:$Z$1,0)),"")</f>
        <v/>
      </c>
      <c r="I3047" s="29" t="str">
        <f aca="false">IFERROR(INDEX('Semrush Data'!$A$1:$Z$20000,MATCH(A3047,'Semrush Data'!$A$1:$A$20000,0),MATCH("CPC*",'Semrush Data'!$A$1:$Z$1,0)),"")</f>
        <v/>
      </c>
      <c r="J3047" s="6" t="str">
        <f aca="false">IFERROR(INDEX('Semrush Data'!$A$1:$Z$20000,MATCH(A3047,'Semrush Data'!$A$1:$A$20000,0),MATCH("Intent",'Semrush Data'!$A$1:$Z$1,0)),"")</f>
        <v/>
      </c>
    </row>
    <row r="3048" customFormat="false" ht="15" hidden="false" customHeight="true" outlineLevel="0" collapsed="false">
      <c r="A3048" s="6" t="s">
        <v>7709</v>
      </c>
      <c r="B3048" s="6" t="s">
        <v>239</v>
      </c>
      <c r="C3048" s="6" t="n">
        <v>3</v>
      </c>
      <c r="D3048" s="6" t="n">
        <v>31</v>
      </c>
      <c r="E3048" s="6" t="n">
        <v>1</v>
      </c>
      <c r="F3048" s="6" t="s">
        <v>5831</v>
      </c>
      <c r="G3048" s="28" t="str">
        <f aca="false">IFERROR(INDEX('Semrush Data'!$A$1:$Z$20000,MATCH(A3048,'Semrush Data'!$A$1:$A$20000,0),MATCH("Volume",'Semrush Data'!$A$1:$Z$1,0)),"")</f>
        <v/>
      </c>
      <c r="H3048" s="6" t="str">
        <f aca="false">IFERROR(INDEX('Semrush Data'!$A$1:$Z$20000,MATCH(A3048,'Semrush Data'!$A$1:$A$20000,0),MATCH("Keyword Difficulty*",'Semrush Data'!$A$1:$Z$1,0)),"")</f>
        <v/>
      </c>
      <c r="I3048" s="29" t="str">
        <f aca="false">IFERROR(INDEX('Semrush Data'!$A$1:$Z$20000,MATCH(A3048,'Semrush Data'!$A$1:$A$20000,0),MATCH("CPC*",'Semrush Data'!$A$1:$Z$1,0)),"")</f>
        <v/>
      </c>
      <c r="J3048" s="6" t="str">
        <f aca="false">IFERROR(INDEX('Semrush Data'!$A$1:$Z$20000,MATCH(A3048,'Semrush Data'!$A$1:$A$20000,0),MATCH("Intent",'Semrush Data'!$A$1:$Z$1,0)),"")</f>
        <v/>
      </c>
    </row>
    <row r="3049" customFormat="false" ht="15" hidden="false" customHeight="true" outlineLevel="0" collapsed="false">
      <c r="A3049" s="6" t="s">
        <v>7710</v>
      </c>
      <c r="B3049" s="6" t="s">
        <v>239</v>
      </c>
      <c r="C3049" s="6" t="n">
        <v>3</v>
      </c>
      <c r="D3049" s="6" t="n">
        <v>31</v>
      </c>
      <c r="E3049" s="6" t="n">
        <v>1</v>
      </c>
      <c r="F3049" s="6" t="s">
        <v>5842</v>
      </c>
      <c r="G3049" s="28" t="str">
        <f aca="false">IFERROR(INDEX('Semrush Data'!$A$1:$Z$20000,MATCH(A3049,'Semrush Data'!$A$1:$A$20000,0),MATCH("Volume",'Semrush Data'!$A$1:$Z$1,0)),"")</f>
        <v/>
      </c>
      <c r="H3049" s="6" t="str">
        <f aca="false">IFERROR(INDEX('Semrush Data'!$A$1:$Z$20000,MATCH(A3049,'Semrush Data'!$A$1:$A$20000,0),MATCH("Keyword Difficulty*",'Semrush Data'!$A$1:$Z$1,0)),"")</f>
        <v/>
      </c>
      <c r="I3049" s="29" t="str">
        <f aca="false">IFERROR(INDEX('Semrush Data'!$A$1:$Z$20000,MATCH(A3049,'Semrush Data'!$A$1:$A$20000,0),MATCH("CPC*",'Semrush Data'!$A$1:$Z$1,0)),"")</f>
        <v/>
      </c>
      <c r="J3049" s="6" t="str">
        <f aca="false">IFERROR(INDEX('Semrush Data'!$A$1:$Z$20000,MATCH(A3049,'Semrush Data'!$A$1:$A$20000,0),MATCH("Intent",'Semrush Data'!$A$1:$Z$1,0)),"")</f>
        <v/>
      </c>
    </row>
    <row r="3050" customFormat="false" ht="15" hidden="false" customHeight="true" outlineLevel="0" collapsed="false">
      <c r="A3050" s="6" t="s">
        <v>7711</v>
      </c>
      <c r="B3050" s="6" t="s">
        <v>239</v>
      </c>
      <c r="C3050" s="6" t="n">
        <v>3</v>
      </c>
      <c r="D3050" s="6" t="n">
        <v>31</v>
      </c>
      <c r="E3050" s="6" t="n">
        <v>1</v>
      </c>
      <c r="F3050" s="6" t="s">
        <v>5842</v>
      </c>
      <c r="G3050" s="28" t="str">
        <f aca="false">IFERROR(INDEX('Semrush Data'!$A$1:$Z$20000,MATCH(A3050,'Semrush Data'!$A$1:$A$20000,0),MATCH("Volume",'Semrush Data'!$A$1:$Z$1,0)),"")</f>
        <v/>
      </c>
      <c r="H3050" s="6" t="str">
        <f aca="false">IFERROR(INDEX('Semrush Data'!$A$1:$Z$20000,MATCH(A3050,'Semrush Data'!$A$1:$A$20000,0),MATCH("Keyword Difficulty*",'Semrush Data'!$A$1:$Z$1,0)),"")</f>
        <v/>
      </c>
      <c r="I3050" s="29" t="str">
        <f aca="false">IFERROR(INDEX('Semrush Data'!$A$1:$Z$20000,MATCH(A3050,'Semrush Data'!$A$1:$A$20000,0),MATCH("CPC*",'Semrush Data'!$A$1:$Z$1,0)),"")</f>
        <v/>
      </c>
      <c r="J3050" s="6" t="str">
        <f aca="false">IFERROR(INDEX('Semrush Data'!$A$1:$Z$20000,MATCH(A3050,'Semrush Data'!$A$1:$A$20000,0),MATCH("Intent",'Semrush Data'!$A$1:$Z$1,0)),"")</f>
        <v/>
      </c>
    </row>
    <row r="3051" customFormat="false" ht="15" hidden="false" customHeight="true" outlineLevel="0" collapsed="false">
      <c r="A3051" s="6" t="s">
        <v>7712</v>
      </c>
      <c r="B3051" s="6" t="s">
        <v>239</v>
      </c>
      <c r="C3051" s="6" t="n">
        <v>3</v>
      </c>
      <c r="D3051" s="6" t="n">
        <v>31</v>
      </c>
      <c r="E3051" s="6" t="n">
        <v>1</v>
      </c>
      <c r="F3051" s="6" t="s">
        <v>5842</v>
      </c>
      <c r="G3051" s="28" t="str">
        <f aca="false">IFERROR(INDEX('Semrush Data'!$A$1:$Z$20000,MATCH(A3051,'Semrush Data'!$A$1:$A$20000,0),MATCH("Volume",'Semrush Data'!$A$1:$Z$1,0)),"")</f>
        <v/>
      </c>
      <c r="H3051" s="6" t="str">
        <f aca="false">IFERROR(INDEX('Semrush Data'!$A$1:$Z$20000,MATCH(A3051,'Semrush Data'!$A$1:$A$20000,0),MATCH("Keyword Difficulty*",'Semrush Data'!$A$1:$Z$1,0)),"")</f>
        <v/>
      </c>
      <c r="I3051" s="29" t="str">
        <f aca="false">IFERROR(INDEX('Semrush Data'!$A$1:$Z$20000,MATCH(A3051,'Semrush Data'!$A$1:$A$20000,0),MATCH("CPC*",'Semrush Data'!$A$1:$Z$1,0)),"")</f>
        <v/>
      </c>
      <c r="J3051" s="6" t="str">
        <f aca="false">IFERROR(INDEX('Semrush Data'!$A$1:$Z$20000,MATCH(A3051,'Semrush Data'!$A$1:$A$20000,0),MATCH("Intent",'Semrush Data'!$A$1:$Z$1,0)),"")</f>
        <v/>
      </c>
    </row>
    <row r="3052" customFormat="false" ht="15" hidden="false" customHeight="true" outlineLevel="0" collapsed="false">
      <c r="A3052" s="6" t="s">
        <v>7713</v>
      </c>
      <c r="B3052" s="6" t="s">
        <v>239</v>
      </c>
      <c r="C3052" s="6" t="n">
        <v>3</v>
      </c>
      <c r="D3052" s="6" t="n">
        <v>31</v>
      </c>
      <c r="E3052" s="6" t="n">
        <v>1</v>
      </c>
      <c r="F3052" s="6" t="s">
        <v>5842</v>
      </c>
      <c r="G3052" s="28" t="str">
        <f aca="false">IFERROR(INDEX('Semrush Data'!$A$1:$Z$20000,MATCH(A3052,'Semrush Data'!$A$1:$A$20000,0),MATCH("Volume",'Semrush Data'!$A$1:$Z$1,0)),"")</f>
        <v/>
      </c>
      <c r="H3052" s="6" t="str">
        <f aca="false">IFERROR(INDEX('Semrush Data'!$A$1:$Z$20000,MATCH(A3052,'Semrush Data'!$A$1:$A$20000,0),MATCH("Keyword Difficulty*",'Semrush Data'!$A$1:$Z$1,0)),"")</f>
        <v/>
      </c>
      <c r="I3052" s="29" t="str">
        <f aca="false">IFERROR(INDEX('Semrush Data'!$A$1:$Z$20000,MATCH(A3052,'Semrush Data'!$A$1:$A$20000,0),MATCH("CPC*",'Semrush Data'!$A$1:$Z$1,0)),"")</f>
        <v/>
      </c>
      <c r="J3052" s="6" t="str">
        <f aca="false">IFERROR(INDEX('Semrush Data'!$A$1:$Z$20000,MATCH(A3052,'Semrush Data'!$A$1:$A$20000,0),MATCH("Intent",'Semrush Data'!$A$1:$Z$1,0)),"")</f>
        <v/>
      </c>
    </row>
    <row r="3053" customFormat="false" ht="15" hidden="false" customHeight="true" outlineLevel="0" collapsed="false">
      <c r="A3053" s="6" t="s">
        <v>7714</v>
      </c>
      <c r="B3053" s="6" t="s">
        <v>239</v>
      </c>
      <c r="C3053" s="6" t="n">
        <v>3</v>
      </c>
      <c r="D3053" s="6" t="n">
        <v>31</v>
      </c>
      <c r="E3053" s="6" t="n">
        <v>1</v>
      </c>
      <c r="F3053" s="6" t="s">
        <v>5842</v>
      </c>
      <c r="G3053" s="28" t="str">
        <f aca="false">IFERROR(INDEX('Semrush Data'!$A$1:$Z$20000,MATCH(A3053,'Semrush Data'!$A$1:$A$20000,0),MATCH("Volume",'Semrush Data'!$A$1:$Z$1,0)),"")</f>
        <v/>
      </c>
      <c r="H3053" s="6" t="str">
        <f aca="false">IFERROR(INDEX('Semrush Data'!$A$1:$Z$20000,MATCH(A3053,'Semrush Data'!$A$1:$A$20000,0),MATCH("Keyword Difficulty*",'Semrush Data'!$A$1:$Z$1,0)),"")</f>
        <v/>
      </c>
      <c r="I3053" s="29" t="str">
        <f aca="false">IFERROR(INDEX('Semrush Data'!$A$1:$Z$20000,MATCH(A3053,'Semrush Data'!$A$1:$A$20000,0),MATCH("CPC*",'Semrush Data'!$A$1:$Z$1,0)),"")</f>
        <v/>
      </c>
      <c r="J3053" s="6" t="str">
        <f aca="false">IFERROR(INDEX('Semrush Data'!$A$1:$Z$20000,MATCH(A3053,'Semrush Data'!$A$1:$A$20000,0),MATCH("Intent",'Semrush Data'!$A$1:$Z$1,0)),"")</f>
        <v/>
      </c>
    </row>
    <row r="3054" customFormat="false" ht="15" hidden="false" customHeight="true" outlineLevel="0" collapsed="false">
      <c r="A3054" s="6" t="s">
        <v>7715</v>
      </c>
      <c r="B3054" s="6" t="s">
        <v>239</v>
      </c>
      <c r="C3054" s="6" t="n">
        <v>3</v>
      </c>
      <c r="D3054" s="6" t="n">
        <v>31</v>
      </c>
      <c r="E3054" s="6" t="n">
        <v>1</v>
      </c>
      <c r="F3054" s="6" t="s">
        <v>5886</v>
      </c>
      <c r="G3054" s="28" t="str">
        <f aca="false">IFERROR(INDEX('Semrush Data'!$A$1:$Z$20000,MATCH(A3054,'Semrush Data'!$A$1:$A$20000,0),MATCH("Volume",'Semrush Data'!$A$1:$Z$1,0)),"")</f>
        <v/>
      </c>
      <c r="H3054" s="6" t="str">
        <f aca="false">IFERROR(INDEX('Semrush Data'!$A$1:$Z$20000,MATCH(A3054,'Semrush Data'!$A$1:$A$20000,0),MATCH("Keyword Difficulty*",'Semrush Data'!$A$1:$Z$1,0)),"")</f>
        <v/>
      </c>
      <c r="I3054" s="29" t="str">
        <f aca="false">IFERROR(INDEX('Semrush Data'!$A$1:$Z$20000,MATCH(A3054,'Semrush Data'!$A$1:$A$20000,0),MATCH("CPC*",'Semrush Data'!$A$1:$Z$1,0)),"")</f>
        <v/>
      </c>
      <c r="J3054" s="6" t="str">
        <f aca="false">IFERROR(INDEX('Semrush Data'!$A$1:$Z$20000,MATCH(A3054,'Semrush Data'!$A$1:$A$20000,0),MATCH("Intent",'Semrush Data'!$A$1:$Z$1,0)),"")</f>
        <v/>
      </c>
    </row>
    <row r="3055" customFormat="false" ht="15" hidden="false" customHeight="true" outlineLevel="0" collapsed="false">
      <c r="A3055" s="6" t="s">
        <v>7716</v>
      </c>
      <c r="B3055" s="6" t="s">
        <v>239</v>
      </c>
      <c r="C3055" s="6" t="n">
        <v>3</v>
      </c>
      <c r="D3055" s="6" t="n">
        <v>31</v>
      </c>
      <c r="E3055" s="6" t="n">
        <v>1</v>
      </c>
      <c r="F3055" s="6" t="s">
        <v>5773</v>
      </c>
      <c r="G3055" s="28" t="str">
        <f aca="false">IFERROR(INDEX('Semrush Data'!$A$1:$Z$20000,MATCH(A3055,'Semrush Data'!$A$1:$A$20000,0),MATCH("Volume",'Semrush Data'!$A$1:$Z$1,0)),"")</f>
        <v/>
      </c>
      <c r="H3055" s="6" t="str">
        <f aca="false">IFERROR(INDEX('Semrush Data'!$A$1:$Z$20000,MATCH(A3055,'Semrush Data'!$A$1:$A$20000,0),MATCH("Keyword Difficulty*",'Semrush Data'!$A$1:$Z$1,0)),"")</f>
        <v/>
      </c>
      <c r="I3055" s="29" t="str">
        <f aca="false">IFERROR(INDEX('Semrush Data'!$A$1:$Z$20000,MATCH(A3055,'Semrush Data'!$A$1:$A$20000,0),MATCH("CPC*",'Semrush Data'!$A$1:$Z$1,0)),"")</f>
        <v/>
      </c>
      <c r="J3055" s="6" t="str">
        <f aca="false">IFERROR(INDEX('Semrush Data'!$A$1:$Z$20000,MATCH(A3055,'Semrush Data'!$A$1:$A$20000,0),MATCH("Intent",'Semrush Data'!$A$1:$Z$1,0)),"")</f>
        <v/>
      </c>
    </row>
    <row r="3056" customFormat="false" ht="15" hidden="false" customHeight="true" outlineLevel="0" collapsed="false">
      <c r="A3056" s="6" t="s">
        <v>5928</v>
      </c>
      <c r="B3056" s="6" t="s">
        <v>239</v>
      </c>
      <c r="C3056" s="6" t="n">
        <v>3</v>
      </c>
      <c r="D3056" s="6" t="n">
        <v>31</v>
      </c>
      <c r="E3056" s="6" t="n">
        <v>1</v>
      </c>
      <c r="F3056" s="6" t="s">
        <v>5920</v>
      </c>
      <c r="G3056" s="28" t="str">
        <f aca="false">IFERROR(INDEX('Semrush Data'!$A$1:$Z$20000,MATCH(A3056,'Semrush Data'!$A$1:$A$20000,0),MATCH("Volume",'Semrush Data'!$A$1:$Z$1,0)),"")</f>
        <v/>
      </c>
      <c r="H3056" s="6" t="str">
        <f aca="false">IFERROR(INDEX('Semrush Data'!$A$1:$Z$20000,MATCH(A3056,'Semrush Data'!$A$1:$A$20000,0),MATCH("Keyword Difficulty*",'Semrush Data'!$A$1:$Z$1,0)),"")</f>
        <v/>
      </c>
      <c r="I3056" s="29" t="str">
        <f aca="false">IFERROR(INDEX('Semrush Data'!$A$1:$Z$20000,MATCH(A3056,'Semrush Data'!$A$1:$A$20000,0),MATCH("CPC*",'Semrush Data'!$A$1:$Z$1,0)),"")</f>
        <v/>
      </c>
      <c r="J3056" s="6" t="str">
        <f aca="false">IFERROR(INDEX('Semrush Data'!$A$1:$Z$20000,MATCH(A3056,'Semrush Data'!$A$1:$A$20000,0),MATCH("Intent",'Semrush Data'!$A$1:$Z$1,0)),"")</f>
        <v/>
      </c>
    </row>
    <row r="3057" customFormat="false" ht="15" hidden="false" customHeight="true" outlineLevel="0" collapsed="false">
      <c r="A3057" s="6" t="s">
        <v>7717</v>
      </c>
      <c r="B3057" s="6" t="s">
        <v>239</v>
      </c>
      <c r="C3057" s="6" t="n">
        <v>3</v>
      </c>
      <c r="D3057" s="6" t="n">
        <v>31</v>
      </c>
      <c r="E3057" s="6" t="n">
        <v>1</v>
      </c>
      <c r="F3057" s="6" t="s">
        <v>5853</v>
      </c>
      <c r="G3057" s="28" t="str">
        <f aca="false">IFERROR(INDEX('Semrush Data'!$A$1:$Z$20000,MATCH(A3057,'Semrush Data'!$A$1:$A$20000,0),MATCH("Volume",'Semrush Data'!$A$1:$Z$1,0)),"")</f>
        <v/>
      </c>
      <c r="H3057" s="6" t="str">
        <f aca="false">IFERROR(INDEX('Semrush Data'!$A$1:$Z$20000,MATCH(A3057,'Semrush Data'!$A$1:$A$20000,0),MATCH("Keyword Difficulty*",'Semrush Data'!$A$1:$Z$1,0)),"")</f>
        <v/>
      </c>
      <c r="I3057" s="29" t="str">
        <f aca="false">IFERROR(INDEX('Semrush Data'!$A$1:$Z$20000,MATCH(A3057,'Semrush Data'!$A$1:$A$20000,0),MATCH("CPC*",'Semrush Data'!$A$1:$Z$1,0)),"")</f>
        <v/>
      </c>
      <c r="J3057" s="6" t="str">
        <f aca="false">IFERROR(INDEX('Semrush Data'!$A$1:$Z$20000,MATCH(A3057,'Semrush Data'!$A$1:$A$20000,0),MATCH("Intent",'Semrush Data'!$A$1:$Z$1,0)),"")</f>
        <v/>
      </c>
    </row>
    <row r="3058" customFormat="false" ht="15" hidden="false" customHeight="true" outlineLevel="0" collapsed="false">
      <c r="A3058" s="6" t="s">
        <v>7718</v>
      </c>
      <c r="B3058" s="6" t="s">
        <v>239</v>
      </c>
      <c r="C3058" s="6" t="n">
        <v>3</v>
      </c>
      <c r="D3058" s="6" t="n">
        <v>31</v>
      </c>
      <c r="E3058" s="6" t="n">
        <v>1</v>
      </c>
      <c r="F3058" s="6" t="s">
        <v>5853</v>
      </c>
      <c r="G3058" s="28" t="str">
        <f aca="false">IFERROR(INDEX('Semrush Data'!$A$1:$Z$20000,MATCH(A3058,'Semrush Data'!$A$1:$A$20000,0),MATCH("Volume",'Semrush Data'!$A$1:$Z$1,0)),"")</f>
        <v/>
      </c>
      <c r="H3058" s="6" t="str">
        <f aca="false">IFERROR(INDEX('Semrush Data'!$A$1:$Z$20000,MATCH(A3058,'Semrush Data'!$A$1:$A$20000,0),MATCH("Keyword Difficulty*",'Semrush Data'!$A$1:$Z$1,0)),"")</f>
        <v/>
      </c>
      <c r="I3058" s="29" t="str">
        <f aca="false">IFERROR(INDEX('Semrush Data'!$A$1:$Z$20000,MATCH(A3058,'Semrush Data'!$A$1:$A$20000,0),MATCH("CPC*",'Semrush Data'!$A$1:$Z$1,0)),"")</f>
        <v/>
      </c>
      <c r="J3058" s="6" t="str">
        <f aca="false">IFERROR(INDEX('Semrush Data'!$A$1:$Z$20000,MATCH(A3058,'Semrush Data'!$A$1:$A$20000,0),MATCH("Intent",'Semrush Data'!$A$1:$Z$1,0)),"")</f>
        <v/>
      </c>
    </row>
    <row r="3059" customFormat="false" ht="15" hidden="false" customHeight="true" outlineLevel="0" collapsed="false">
      <c r="A3059" s="6" t="s">
        <v>7719</v>
      </c>
      <c r="B3059" s="6" t="s">
        <v>239</v>
      </c>
      <c r="C3059" s="6" t="n">
        <v>3</v>
      </c>
      <c r="D3059" s="6" t="n">
        <v>31</v>
      </c>
      <c r="E3059" s="6" t="n">
        <v>1</v>
      </c>
      <c r="F3059" s="6" t="s">
        <v>5853</v>
      </c>
      <c r="G3059" s="28" t="str">
        <f aca="false">IFERROR(INDEX('Semrush Data'!$A$1:$Z$20000,MATCH(A3059,'Semrush Data'!$A$1:$A$20000,0),MATCH("Volume",'Semrush Data'!$A$1:$Z$1,0)),"")</f>
        <v/>
      </c>
      <c r="H3059" s="6" t="str">
        <f aca="false">IFERROR(INDEX('Semrush Data'!$A$1:$Z$20000,MATCH(A3059,'Semrush Data'!$A$1:$A$20000,0),MATCH("Keyword Difficulty*",'Semrush Data'!$A$1:$Z$1,0)),"")</f>
        <v/>
      </c>
      <c r="I3059" s="29" t="str">
        <f aca="false">IFERROR(INDEX('Semrush Data'!$A$1:$Z$20000,MATCH(A3059,'Semrush Data'!$A$1:$A$20000,0),MATCH("CPC*",'Semrush Data'!$A$1:$Z$1,0)),"")</f>
        <v/>
      </c>
      <c r="J3059" s="6" t="str">
        <f aca="false">IFERROR(INDEX('Semrush Data'!$A$1:$Z$20000,MATCH(A3059,'Semrush Data'!$A$1:$A$20000,0),MATCH("Intent",'Semrush Data'!$A$1:$Z$1,0)),"")</f>
        <v/>
      </c>
    </row>
    <row r="3060" customFormat="false" ht="15" hidden="false" customHeight="true" outlineLevel="0" collapsed="false">
      <c r="A3060" s="6" t="s">
        <v>7720</v>
      </c>
      <c r="B3060" s="6" t="s">
        <v>239</v>
      </c>
      <c r="C3060" s="6" t="n">
        <v>3</v>
      </c>
      <c r="D3060" s="6" t="n">
        <v>31</v>
      </c>
      <c r="E3060" s="6" t="n">
        <v>1</v>
      </c>
      <c r="F3060" s="6" t="s">
        <v>5853</v>
      </c>
      <c r="G3060" s="28" t="str">
        <f aca="false">IFERROR(INDEX('Semrush Data'!$A$1:$Z$20000,MATCH(A3060,'Semrush Data'!$A$1:$A$20000,0),MATCH("Volume",'Semrush Data'!$A$1:$Z$1,0)),"")</f>
        <v/>
      </c>
      <c r="H3060" s="6" t="str">
        <f aca="false">IFERROR(INDEX('Semrush Data'!$A$1:$Z$20000,MATCH(A3060,'Semrush Data'!$A$1:$A$20000,0),MATCH("Keyword Difficulty*",'Semrush Data'!$A$1:$Z$1,0)),"")</f>
        <v/>
      </c>
      <c r="I3060" s="29" t="str">
        <f aca="false">IFERROR(INDEX('Semrush Data'!$A$1:$Z$20000,MATCH(A3060,'Semrush Data'!$A$1:$A$20000,0),MATCH("CPC*",'Semrush Data'!$A$1:$Z$1,0)),"")</f>
        <v/>
      </c>
      <c r="J3060" s="6" t="str">
        <f aca="false">IFERROR(INDEX('Semrush Data'!$A$1:$Z$20000,MATCH(A3060,'Semrush Data'!$A$1:$A$20000,0),MATCH("Intent",'Semrush Data'!$A$1:$Z$1,0)),"")</f>
        <v/>
      </c>
    </row>
    <row r="3061" customFormat="false" ht="15" hidden="false" customHeight="true" outlineLevel="0" collapsed="false">
      <c r="A3061" s="6" t="s">
        <v>7721</v>
      </c>
      <c r="B3061" s="6" t="s">
        <v>239</v>
      </c>
      <c r="C3061" s="6" t="n">
        <v>3</v>
      </c>
      <c r="D3061" s="6" t="n">
        <v>31</v>
      </c>
      <c r="E3061" s="6" t="n">
        <v>1</v>
      </c>
      <c r="F3061" s="6" t="s">
        <v>5853</v>
      </c>
      <c r="G3061" s="28" t="str">
        <f aca="false">IFERROR(INDEX('Semrush Data'!$A$1:$Z$20000,MATCH(A3061,'Semrush Data'!$A$1:$A$20000,0),MATCH("Volume",'Semrush Data'!$A$1:$Z$1,0)),"")</f>
        <v/>
      </c>
      <c r="H3061" s="6" t="str">
        <f aca="false">IFERROR(INDEX('Semrush Data'!$A$1:$Z$20000,MATCH(A3061,'Semrush Data'!$A$1:$A$20000,0),MATCH("Keyword Difficulty*",'Semrush Data'!$A$1:$Z$1,0)),"")</f>
        <v/>
      </c>
      <c r="I3061" s="29" t="str">
        <f aca="false">IFERROR(INDEX('Semrush Data'!$A$1:$Z$20000,MATCH(A3061,'Semrush Data'!$A$1:$A$20000,0),MATCH("CPC*",'Semrush Data'!$A$1:$Z$1,0)),"")</f>
        <v/>
      </c>
      <c r="J3061" s="6" t="str">
        <f aca="false">IFERROR(INDEX('Semrush Data'!$A$1:$Z$20000,MATCH(A3061,'Semrush Data'!$A$1:$A$20000,0),MATCH("Intent",'Semrush Data'!$A$1:$Z$1,0)),"")</f>
        <v/>
      </c>
    </row>
    <row r="3062" customFormat="false" ht="15" hidden="false" customHeight="true" outlineLevel="0" collapsed="false">
      <c r="A3062" s="6" t="s">
        <v>7722</v>
      </c>
      <c r="B3062" s="6" t="s">
        <v>239</v>
      </c>
      <c r="C3062" s="6" t="n">
        <v>3</v>
      </c>
      <c r="D3062" s="6" t="n">
        <v>31</v>
      </c>
      <c r="E3062" s="6" t="n">
        <v>1</v>
      </c>
      <c r="F3062" s="6" t="s">
        <v>5864</v>
      </c>
      <c r="G3062" s="28" t="str">
        <f aca="false">IFERROR(INDEX('Semrush Data'!$A$1:$Z$20000,MATCH(A3062,'Semrush Data'!$A$1:$A$20000,0),MATCH("Volume",'Semrush Data'!$A$1:$Z$1,0)),"")</f>
        <v/>
      </c>
      <c r="H3062" s="6" t="str">
        <f aca="false">IFERROR(INDEX('Semrush Data'!$A$1:$Z$20000,MATCH(A3062,'Semrush Data'!$A$1:$A$20000,0),MATCH("Keyword Difficulty*",'Semrush Data'!$A$1:$Z$1,0)),"")</f>
        <v/>
      </c>
      <c r="I3062" s="29" t="str">
        <f aca="false">IFERROR(INDEX('Semrush Data'!$A$1:$Z$20000,MATCH(A3062,'Semrush Data'!$A$1:$A$20000,0),MATCH("CPC*",'Semrush Data'!$A$1:$Z$1,0)),"")</f>
        <v/>
      </c>
      <c r="J3062" s="6" t="str">
        <f aca="false">IFERROR(INDEX('Semrush Data'!$A$1:$Z$20000,MATCH(A3062,'Semrush Data'!$A$1:$A$20000,0),MATCH("Intent",'Semrush Data'!$A$1:$Z$1,0)),"")</f>
        <v/>
      </c>
    </row>
    <row r="3063" customFormat="false" ht="15" hidden="false" customHeight="true" outlineLevel="0" collapsed="false">
      <c r="A3063" s="6" t="s">
        <v>7723</v>
      </c>
      <c r="B3063" s="6" t="s">
        <v>239</v>
      </c>
      <c r="C3063" s="6" t="n">
        <v>3</v>
      </c>
      <c r="D3063" s="6" t="n">
        <v>31</v>
      </c>
      <c r="E3063" s="6" t="n">
        <v>1</v>
      </c>
      <c r="F3063" s="6" t="s">
        <v>5864</v>
      </c>
      <c r="G3063" s="28" t="str">
        <f aca="false">IFERROR(INDEX('Semrush Data'!$A$1:$Z$20000,MATCH(A3063,'Semrush Data'!$A$1:$A$20000,0),MATCH("Volume",'Semrush Data'!$A$1:$Z$1,0)),"")</f>
        <v/>
      </c>
      <c r="H3063" s="6" t="str">
        <f aca="false">IFERROR(INDEX('Semrush Data'!$A$1:$Z$20000,MATCH(A3063,'Semrush Data'!$A$1:$A$20000,0),MATCH("Keyword Difficulty*",'Semrush Data'!$A$1:$Z$1,0)),"")</f>
        <v/>
      </c>
      <c r="I3063" s="29" t="str">
        <f aca="false">IFERROR(INDEX('Semrush Data'!$A$1:$Z$20000,MATCH(A3063,'Semrush Data'!$A$1:$A$20000,0),MATCH("CPC*",'Semrush Data'!$A$1:$Z$1,0)),"")</f>
        <v/>
      </c>
      <c r="J3063" s="6" t="str">
        <f aca="false">IFERROR(INDEX('Semrush Data'!$A$1:$Z$20000,MATCH(A3063,'Semrush Data'!$A$1:$A$20000,0),MATCH("Intent",'Semrush Data'!$A$1:$Z$1,0)),"")</f>
        <v/>
      </c>
    </row>
    <row r="3064" customFormat="false" ht="15" hidden="false" customHeight="true" outlineLevel="0" collapsed="false">
      <c r="A3064" s="6" t="s">
        <v>7724</v>
      </c>
      <c r="B3064" s="6" t="s">
        <v>239</v>
      </c>
      <c r="C3064" s="6" t="n">
        <v>3</v>
      </c>
      <c r="D3064" s="6" t="n">
        <v>31</v>
      </c>
      <c r="E3064" s="6" t="n">
        <v>1</v>
      </c>
      <c r="F3064" s="6" t="s">
        <v>6005</v>
      </c>
      <c r="G3064" s="28" t="str">
        <f aca="false">IFERROR(INDEX('Semrush Data'!$A$1:$Z$20000,MATCH(A3064,'Semrush Data'!$A$1:$A$20000,0),MATCH("Volume",'Semrush Data'!$A$1:$Z$1,0)),"")</f>
        <v/>
      </c>
      <c r="H3064" s="6" t="str">
        <f aca="false">IFERROR(INDEX('Semrush Data'!$A$1:$Z$20000,MATCH(A3064,'Semrush Data'!$A$1:$A$20000,0),MATCH("Keyword Difficulty*",'Semrush Data'!$A$1:$Z$1,0)),"")</f>
        <v/>
      </c>
      <c r="I3064" s="29" t="str">
        <f aca="false">IFERROR(INDEX('Semrush Data'!$A$1:$Z$20000,MATCH(A3064,'Semrush Data'!$A$1:$A$20000,0),MATCH("CPC*",'Semrush Data'!$A$1:$Z$1,0)),"")</f>
        <v/>
      </c>
      <c r="J3064" s="6" t="str">
        <f aca="false">IFERROR(INDEX('Semrush Data'!$A$1:$Z$20000,MATCH(A3064,'Semrush Data'!$A$1:$A$20000,0),MATCH("Intent",'Semrush Data'!$A$1:$Z$1,0)),"")</f>
        <v/>
      </c>
    </row>
    <row r="3065" customFormat="false" ht="15" hidden="false" customHeight="true" outlineLevel="0" collapsed="false">
      <c r="A3065" s="6" t="s">
        <v>7725</v>
      </c>
      <c r="B3065" s="6" t="s">
        <v>239</v>
      </c>
      <c r="C3065" s="6" t="n">
        <v>3</v>
      </c>
      <c r="D3065" s="6" t="n">
        <v>31</v>
      </c>
      <c r="E3065" s="6" t="n">
        <v>1</v>
      </c>
      <c r="F3065" s="6" t="s">
        <v>6005</v>
      </c>
      <c r="G3065" s="28" t="str">
        <f aca="false">IFERROR(INDEX('Semrush Data'!$A$1:$Z$20000,MATCH(A3065,'Semrush Data'!$A$1:$A$20000,0),MATCH("Volume",'Semrush Data'!$A$1:$Z$1,0)),"")</f>
        <v/>
      </c>
      <c r="H3065" s="6" t="str">
        <f aca="false">IFERROR(INDEX('Semrush Data'!$A$1:$Z$20000,MATCH(A3065,'Semrush Data'!$A$1:$A$20000,0),MATCH("Keyword Difficulty*",'Semrush Data'!$A$1:$Z$1,0)),"")</f>
        <v/>
      </c>
      <c r="I3065" s="29" t="str">
        <f aca="false">IFERROR(INDEX('Semrush Data'!$A$1:$Z$20000,MATCH(A3065,'Semrush Data'!$A$1:$A$20000,0),MATCH("CPC*",'Semrush Data'!$A$1:$Z$1,0)),"")</f>
        <v/>
      </c>
      <c r="J3065" s="6" t="str">
        <f aca="false">IFERROR(INDEX('Semrush Data'!$A$1:$Z$20000,MATCH(A3065,'Semrush Data'!$A$1:$A$20000,0),MATCH("Intent",'Semrush Data'!$A$1:$Z$1,0)),"")</f>
        <v/>
      </c>
    </row>
    <row r="3066" customFormat="false" ht="15" hidden="false" customHeight="true" outlineLevel="0" collapsed="false">
      <c r="A3066" s="6" t="s">
        <v>7726</v>
      </c>
      <c r="B3066" s="6" t="s">
        <v>239</v>
      </c>
      <c r="C3066" s="6" t="n">
        <v>3</v>
      </c>
      <c r="D3066" s="6" t="n">
        <v>31</v>
      </c>
      <c r="E3066" s="6" t="n">
        <v>1</v>
      </c>
      <c r="F3066" s="6" t="s">
        <v>6005</v>
      </c>
      <c r="G3066" s="28" t="str">
        <f aca="false">IFERROR(INDEX('Semrush Data'!$A$1:$Z$20000,MATCH(A3066,'Semrush Data'!$A$1:$A$20000,0),MATCH("Volume",'Semrush Data'!$A$1:$Z$1,0)),"")</f>
        <v/>
      </c>
      <c r="H3066" s="6" t="str">
        <f aca="false">IFERROR(INDEX('Semrush Data'!$A$1:$Z$20000,MATCH(A3066,'Semrush Data'!$A$1:$A$20000,0),MATCH("Keyword Difficulty*",'Semrush Data'!$A$1:$Z$1,0)),"")</f>
        <v/>
      </c>
      <c r="I3066" s="29" t="str">
        <f aca="false">IFERROR(INDEX('Semrush Data'!$A$1:$Z$20000,MATCH(A3066,'Semrush Data'!$A$1:$A$20000,0),MATCH("CPC*",'Semrush Data'!$A$1:$Z$1,0)),"")</f>
        <v/>
      </c>
      <c r="J3066" s="6" t="str">
        <f aca="false">IFERROR(INDEX('Semrush Data'!$A$1:$Z$20000,MATCH(A3066,'Semrush Data'!$A$1:$A$20000,0),MATCH("Intent",'Semrush Data'!$A$1:$Z$1,0)),"")</f>
        <v/>
      </c>
    </row>
    <row r="3067" customFormat="false" ht="15" hidden="false" customHeight="true" outlineLevel="0" collapsed="false">
      <c r="A3067" s="6" t="s">
        <v>7727</v>
      </c>
      <c r="B3067" s="6" t="s">
        <v>239</v>
      </c>
      <c r="C3067" s="6" t="n">
        <v>3</v>
      </c>
      <c r="D3067" s="6" t="n">
        <v>31</v>
      </c>
      <c r="E3067" s="6" t="n">
        <v>1</v>
      </c>
      <c r="F3067" s="6" t="s">
        <v>6018</v>
      </c>
      <c r="G3067" s="28" t="str">
        <f aca="false">IFERROR(INDEX('Semrush Data'!$A$1:$Z$20000,MATCH(A3067,'Semrush Data'!$A$1:$A$20000,0),MATCH("Volume",'Semrush Data'!$A$1:$Z$1,0)),"")</f>
        <v/>
      </c>
      <c r="H3067" s="6" t="str">
        <f aca="false">IFERROR(INDEX('Semrush Data'!$A$1:$Z$20000,MATCH(A3067,'Semrush Data'!$A$1:$A$20000,0),MATCH("Keyword Difficulty*",'Semrush Data'!$A$1:$Z$1,0)),"")</f>
        <v/>
      </c>
      <c r="I3067" s="29" t="str">
        <f aca="false">IFERROR(INDEX('Semrush Data'!$A$1:$Z$20000,MATCH(A3067,'Semrush Data'!$A$1:$A$20000,0),MATCH("CPC*",'Semrush Data'!$A$1:$Z$1,0)),"")</f>
        <v/>
      </c>
      <c r="J3067" s="6" t="str">
        <f aca="false">IFERROR(INDEX('Semrush Data'!$A$1:$Z$20000,MATCH(A3067,'Semrush Data'!$A$1:$A$20000,0),MATCH("Intent",'Semrush Data'!$A$1:$Z$1,0)),"")</f>
        <v/>
      </c>
    </row>
    <row r="3068" customFormat="false" ht="15" hidden="false" customHeight="true" outlineLevel="0" collapsed="false">
      <c r="A3068" s="6" t="s">
        <v>7728</v>
      </c>
      <c r="B3068" s="6" t="s">
        <v>239</v>
      </c>
      <c r="C3068" s="6" t="n">
        <v>3</v>
      </c>
      <c r="D3068" s="6" t="n">
        <v>31</v>
      </c>
      <c r="E3068" s="6" t="n">
        <v>1</v>
      </c>
      <c r="F3068" s="6" t="s">
        <v>6018</v>
      </c>
      <c r="G3068" s="28" t="str">
        <f aca="false">IFERROR(INDEX('Semrush Data'!$A$1:$Z$20000,MATCH(A3068,'Semrush Data'!$A$1:$A$20000,0),MATCH("Volume",'Semrush Data'!$A$1:$Z$1,0)),"")</f>
        <v/>
      </c>
      <c r="H3068" s="6" t="str">
        <f aca="false">IFERROR(INDEX('Semrush Data'!$A$1:$Z$20000,MATCH(A3068,'Semrush Data'!$A$1:$A$20000,0),MATCH("Keyword Difficulty*",'Semrush Data'!$A$1:$Z$1,0)),"")</f>
        <v/>
      </c>
      <c r="I3068" s="29" t="str">
        <f aca="false">IFERROR(INDEX('Semrush Data'!$A$1:$Z$20000,MATCH(A3068,'Semrush Data'!$A$1:$A$20000,0),MATCH("CPC*",'Semrush Data'!$A$1:$Z$1,0)),"")</f>
        <v/>
      </c>
      <c r="J3068" s="6" t="str">
        <f aca="false">IFERROR(INDEX('Semrush Data'!$A$1:$Z$20000,MATCH(A3068,'Semrush Data'!$A$1:$A$20000,0),MATCH("Intent",'Semrush Data'!$A$1:$Z$1,0)),"")</f>
        <v/>
      </c>
    </row>
    <row r="3069" customFormat="false" ht="15" hidden="false" customHeight="true" outlineLevel="0" collapsed="false">
      <c r="A3069" s="6" t="s">
        <v>7729</v>
      </c>
      <c r="B3069" s="6" t="s">
        <v>239</v>
      </c>
      <c r="C3069" s="6" t="n">
        <v>3</v>
      </c>
      <c r="D3069" s="6" t="n">
        <v>31</v>
      </c>
      <c r="E3069" s="6" t="n">
        <v>1</v>
      </c>
      <c r="F3069" s="6" t="s">
        <v>6018</v>
      </c>
      <c r="G3069" s="28" t="str">
        <f aca="false">IFERROR(INDEX('Semrush Data'!$A$1:$Z$20000,MATCH(A3069,'Semrush Data'!$A$1:$A$20000,0),MATCH("Volume",'Semrush Data'!$A$1:$Z$1,0)),"")</f>
        <v/>
      </c>
      <c r="H3069" s="6" t="str">
        <f aca="false">IFERROR(INDEX('Semrush Data'!$A$1:$Z$20000,MATCH(A3069,'Semrush Data'!$A$1:$A$20000,0),MATCH("Keyword Difficulty*",'Semrush Data'!$A$1:$Z$1,0)),"")</f>
        <v/>
      </c>
      <c r="I3069" s="29" t="str">
        <f aca="false">IFERROR(INDEX('Semrush Data'!$A$1:$Z$20000,MATCH(A3069,'Semrush Data'!$A$1:$A$20000,0),MATCH("CPC*",'Semrush Data'!$A$1:$Z$1,0)),"")</f>
        <v/>
      </c>
      <c r="J3069" s="6" t="str">
        <f aca="false">IFERROR(INDEX('Semrush Data'!$A$1:$Z$20000,MATCH(A3069,'Semrush Data'!$A$1:$A$20000,0),MATCH("Intent",'Semrush Data'!$A$1:$Z$1,0)),"")</f>
        <v/>
      </c>
    </row>
    <row r="3070" customFormat="false" ht="15" hidden="false" customHeight="true" outlineLevel="0" collapsed="false">
      <c r="A3070" s="6" t="s">
        <v>7730</v>
      </c>
      <c r="B3070" s="6" t="s">
        <v>239</v>
      </c>
      <c r="C3070" s="6" t="n">
        <v>3</v>
      </c>
      <c r="D3070" s="6" t="n">
        <v>31</v>
      </c>
      <c r="E3070" s="6" t="n">
        <v>1</v>
      </c>
      <c r="F3070" s="6" t="s">
        <v>6018</v>
      </c>
      <c r="G3070" s="28" t="str">
        <f aca="false">IFERROR(INDEX('Semrush Data'!$A$1:$Z$20000,MATCH(A3070,'Semrush Data'!$A$1:$A$20000,0),MATCH("Volume",'Semrush Data'!$A$1:$Z$1,0)),"")</f>
        <v/>
      </c>
      <c r="H3070" s="6" t="str">
        <f aca="false">IFERROR(INDEX('Semrush Data'!$A$1:$Z$20000,MATCH(A3070,'Semrush Data'!$A$1:$A$20000,0),MATCH("Keyword Difficulty*",'Semrush Data'!$A$1:$Z$1,0)),"")</f>
        <v/>
      </c>
      <c r="I3070" s="29" t="str">
        <f aca="false">IFERROR(INDEX('Semrush Data'!$A$1:$Z$20000,MATCH(A3070,'Semrush Data'!$A$1:$A$20000,0),MATCH("CPC*",'Semrush Data'!$A$1:$Z$1,0)),"")</f>
        <v/>
      </c>
      <c r="J3070" s="6" t="str">
        <f aca="false">IFERROR(INDEX('Semrush Data'!$A$1:$Z$20000,MATCH(A3070,'Semrush Data'!$A$1:$A$20000,0),MATCH("Intent",'Semrush Data'!$A$1:$Z$1,0)),"")</f>
        <v/>
      </c>
    </row>
    <row r="3071" customFormat="false" ht="15" hidden="false" customHeight="true" outlineLevel="0" collapsed="false">
      <c r="A3071" s="6" t="s">
        <v>7731</v>
      </c>
      <c r="B3071" s="6" t="s">
        <v>239</v>
      </c>
      <c r="C3071" s="6" t="n">
        <v>3</v>
      </c>
      <c r="D3071" s="6" t="n">
        <v>31</v>
      </c>
      <c r="E3071" s="6" t="n">
        <v>1</v>
      </c>
      <c r="F3071" s="6" t="s">
        <v>6039</v>
      </c>
      <c r="G3071" s="28" t="str">
        <f aca="false">IFERROR(INDEX('Semrush Data'!$A$1:$Z$20000,MATCH(A3071,'Semrush Data'!$A$1:$A$20000,0),MATCH("Volume",'Semrush Data'!$A$1:$Z$1,0)),"")</f>
        <v/>
      </c>
      <c r="H3071" s="6" t="str">
        <f aca="false">IFERROR(INDEX('Semrush Data'!$A$1:$Z$20000,MATCH(A3071,'Semrush Data'!$A$1:$A$20000,0),MATCH("Keyword Difficulty*",'Semrush Data'!$A$1:$Z$1,0)),"")</f>
        <v/>
      </c>
      <c r="I3071" s="29" t="str">
        <f aca="false">IFERROR(INDEX('Semrush Data'!$A$1:$Z$20000,MATCH(A3071,'Semrush Data'!$A$1:$A$20000,0),MATCH("CPC*",'Semrush Data'!$A$1:$Z$1,0)),"")</f>
        <v/>
      </c>
      <c r="J3071" s="6" t="str">
        <f aca="false">IFERROR(INDEX('Semrush Data'!$A$1:$Z$20000,MATCH(A3071,'Semrush Data'!$A$1:$A$20000,0),MATCH("Intent",'Semrush Data'!$A$1:$Z$1,0)),"")</f>
        <v/>
      </c>
    </row>
    <row r="3072" customFormat="false" ht="15" hidden="false" customHeight="true" outlineLevel="0" collapsed="false">
      <c r="A3072" s="6" t="s">
        <v>7732</v>
      </c>
      <c r="B3072" s="6" t="s">
        <v>239</v>
      </c>
      <c r="C3072" s="6" t="n">
        <v>3</v>
      </c>
      <c r="D3072" s="6" t="n">
        <v>31</v>
      </c>
      <c r="E3072" s="6" t="n">
        <v>1</v>
      </c>
      <c r="F3072" s="6" t="s">
        <v>6039</v>
      </c>
      <c r="G3072" s="28" t="str">
        <f aca="false">IFERROR(INDEX('Semrush Data'!$A$1:$Z$20000,MATCH(A3072,'Semrush Data'!$A$1:$A$20000,0),MATCH("Volume",'Semrush Data'!$A$1:$Z$1,0)),"")</f>
        <v/>
      </c>
      <c r="H3072" s="6" t="str">
        <f aca="false">IFERROR(INDEX('Semrush Data'!$A$1:$Z$20000,MATCH(A3072,'Semrush Data'!$A$1:$A$20000,0),MATCH("Keyword Difficulty*",'Semrush Data'!$A$1:$Z$1,0)),"")</f>
        <v/>
      </c>
      <c r="I3072" s="29" t="str">
        <f aca="false">IFERROR(INDEX('Semrush Data'!$A$1:$Z$20000,MATCH(A3072,'Semrush Data'!$A$1:$A$20000,0),MATCH("CPC*",'Semrush Data'!$A$1:$Z$1,0)),"")</f>
        <v/>
      </c>
      <c r="J3072" s="6" t="str">
        <f aca="false">IFERROR(INDEX('Semrush Data'!$A$1:$Z$20000,MATCH(A3072,'Semrush Data'!$A$1:$A$20000,0),MATCH("Intent",'Semrush Data'!$A$1:$Z$1,0)),"")</f>
        <v/>
      </c>
    </row>
    <row r="3073" customFormat="false" ht="15" hidden="false" customHeight="true" outlineLevel="0" collapsed="false">
      <c r="A3073" s="6" t="s">
        <v>7733</v>
      </c>
      <c r="B3073" s="6" t="s">
        <v>239</v>
      </c>
      <c r="C3073" s="6" t="n">
        <v>3</v>
      </c>
      <c r="D3073" s="6" t="n">
        <v>31</v>
      </c>
      <c r="E3073" s="6" t="n">
        <v>1</v>
      </c>
      <c r="F3073" s="6" t="s">
        <v>6052</v>
      </c>
      <c r="G3073" s="28" t="str">
        <f aca="false">IFERROR(INDEX('Semrush Data'!$A$1:$Z$20000,MATCH(A3073,'Semrush Data'!$A$1:$A$20000,0),MATCH("Volume",'Semrush Data'!$A$1:$Z$1,0)),"")</f>
        <v/>
      </c>
      <c r="H3073" s="6" t="str">
        <f aca="false">IFERROR(INDEX('Semrush Data'!$A$1:$Z$20000,MATCH(A3073,'Semrush Data'!$A$1:$A$20000,0),MATCH("Keyword Difficulty*",'Semrush Data'!$A$1:$Z$1,0)),"")</f>
        <v/>
      </c>
      <c r="I3073" s="29" t="str">
        <f aca="false">IFERROR(INDEX('Semrush Data'!$A$1:$Z$20000,MATCH(A3073,'Semrush Data'!$A$1:$A$20000,0),MATCH("CPC*",'Semrush Data'!$A$1:$Z$1,0)),"")</f>
        <v/>
      </c>
      <c r="J3073" s="6" t="str">
        <f aca="false">IFERROR(INDEX('Semrush Data'!$A$1:$Z$20000,MATCH(A3073,'Semrush Data'!$A$1:$A$20000,0),MATCH("Intent",'Semrush Data'!$A$1:$Z$1,0)),"")</f>
        <v/>
      </c>
    </row>
    <row r="3074" customFormat="false" ht="15" hidden="false" customHeight="true" outlineLevel="0" collapsed="false">
      <c r="A3074" s="6" t="s">
        <v>7734</v>
      </c>
      <c r="B3074" s="6" t="s">
        <v>239</v>
      </c>
      <c r="C3074" s="6" t="n">
        <v>3</v>
      </c>
      <c r="D3074" s="6" t="n">
        <v>31</v>
      </c>
      <c r="E3074" s="6" t="n">
        <v>1</v>
      </c>
      <c r="F3074" s="6" t="s">
        <v>6052</v>
      </c>
      <c r="G3074" s="28" t="str">
        <f aca="false">IFERROR(INDEX('Semrush Data'!$A$1:$Z$20000,MATCH(A3074,'Semrush Data'!$A$1:$A$20000,0),MATCH("Volume",'Semrush Data'!$A$1:$Z$1,0)),"")</f>
        <v/>
      </c>
      <c r="H3074" s="6" t="str">
        <f aca="false">IFERROR(INDEX('Semrush Data'!$A$1:$Z$20000,MATCH(A3074,'Semrush Data'!$A$1:$A$20000,0),MATCH("Keyword Difficulty*",'Semrush Data'!$A$1:$Z$1,0)),"")</f>
        <v/>
      </c>
      <c r="I3074" s="29" t="str">
        <f aca="false">IFERROR(INDEX('Semrush Data'!$A$1:$Z$20000,MATCH(A3074,'Semrush Data'!$A$1:$A$20000,0),MATCH("CPC*",'Semrush Data'!$A$1:$Z$1,0)),"")</f>
        <v/>
      </c>
      <c r="J3074" s="6" t="str">
        <f aca="false">IFERROR(INDEX('Semrush Data'!$A$1:$Z$20000,MATCH(A3074,'Semrush Data'!$A$1:$A$20000,0),MATCH("Intent",'Semrush Data'!$A$1:$Z$1,0)),"")</f>
        <v/>
      </c>
    </row>
    <row r="3075" customFormat="false" ht="15" hidden="false" customHeight="true" outlineLevel="0" collapsed="false">
      <c r="A3075" s="6" t="s">
        <v>7735</v>
      </c>
      <c r="B3075" s="6" t="s">
        <v>239</v>
      </c>
      <c r="C3075" s="6" t="n">
        <v>3</v>
      </c>
      <c r="D3075" s="6" t="n">
        <v>31</v>
      </c>
      <c r="E3075" s="6" t="n">
        <v>1</v>
      </c>
      <c r="F3075" s="6" t="s">
        <v>6052</v>
      </c>
      <c r="G3075" s="28" t="str">
        <f aca="false">IFERROR(INDEX('Semrush Data'!$A$1:$Z$20000,MATCH(A3075,'Semrush Data'!$A$1:$A$20000,0),MATCH("Volume",'Semrush Data'!$A$1:$Z$1,0)),"")</f>
        <v/>
      </c>
      <c r="H3075" s="6" t="str">
        <f aca="false">IFERROR(INDEX('Semrush Data'!$A$1:$Z$20000,MATCH(A3075,'Semrush Data'!$A$1:$A$20000,0),MATCH("Keyword Difficulty*",'Semrush Data'!$A$1:$Z$1,0)),"")</f>
        <v/>
      </c>
      <c r="I3075" s="29" t="str">
        <f aca="false">IFERROR(INDEX('Semrush Data'!$A$1:$Z$20000,MATCH(A3075,'Semrush Data'!$A$1:$A$20000,0),MATCH("CPC*",'Semrush Data'!$A$1:$Z$1,0)),"")</f>
        <v/>
      </c>
      <c r="J3075" s="6" t="str">
        <f aca="false">IFERROR(INDEX('Semrush Data'!$A$1:$Z$20000,MATCH(A3075,'Semrush Data'!$A$1:$A$20000,0),MATCH("Intent",'Semrush Data'!$A$1:$Z$1,0)),"")</f>
        <v/>
      </c>
    </row>
    <row r="3076" customFormat="false" ht="15" hidden="false" customHeight="true" outlineLevel="0" collapsed="false">
      <c r="A3076" s="6" t="s">
        <v>7736</v>
      </c>
      <c r="B3076" s="6" t="s">
        <v>239</v>
      </c>
      <c r="C3076" s="6" t="n">
        <v>3</v>
      </c>
      <c r="D3076" s="6" t="n">
        <v>31</v>
      </c>
      <c r="E3076" s="6" t="n">
        <v>1</v>
      </c>
      <c r="F3076" s="6" t="s">
        <v>6052</v>
      </c>
      <c r="G3076" s="28" t="str">
        <f aca="false">IFERROR(INDEX('Semrush Data'!$A$1:$Z$20000,MATCH(A3076,'Semrush Data'!$A$1:$A$20000,0),MATCH("Volume",'Semrush Data'!$A$1:$Z$1,0)),"")</f>
        <v/>
      </c>
      <c r="H3076" s="6" t="str">
        <f aca="false">IFERROR(INDEX('Semrush Data'!$A$1:$Z$20000,MATCH(A3076,'Semrush Data'!$A$1:$A$20000,0),MATCH("Keyword Difficulty*",'Semrush Data'!$A$1:$Z$1,0)),"")</f>
        <v/>
      </c>
      <c r="I3076" s="29" t="str">
        <f aca="false">IFERROR(INDEX('Semrush Data'!$A$1:$Z$20000,MATCH(A3076,'Semrush Data'!$A$1:$A$20000,0),MATCH("CPC*",'Semrush Data'!$A$1:$Z$1,0)),"")</f>
        <v/>
      </c>
      <c r="J3076" s="6" t="str">
        <f aca="false">IFERROR(INDEX('Semrush Data'!$A$1:$Z$20000,MATCH(A3076,'Semrush Data'!$A$1:$A$20000,0),MATCH("Intent",'Semrush Data'!$A$1:$Z$1,0)),"")</f>
        <v/>
      </c>
    </row>
    <row r="3077" customFormat="false" ht="15" hidden="false" customHeight="true" outlineLevel="0" collapsed="false">
      <c r="A3077" s="6" t="s">
        <v>7737</v>
      </c>
      <c r="B3077" s="6" t="s">
        <v>239</v>
      </c>
      <c r="C3077" s="6" t="n">
        <v>3</v>
      </c>
      <c r="D3077" s="6" t="n">
        <v>31</v>
      </c>
      <c r="E3077" s="6" t="n">
        <v>1</v>
      </c>
      <c r="F3077" s="6" t="s">
        <v>6063</v>
      </c>
      <c r="G3077" s="28" t="str">
        <f aca="false">IFERROR(INDEX('Semrush Data'!$A$1:$Z$20000,MATCH(A3077,'Semrush Data'!$A$1:$A$20000,0),MATCH("Volume",'Semrush Data'!$A$1:$Z$1,0)),"")</f>
        <v/>
      </c>
      <c r="H3077" s="6" t="str">
        <f aca="false">IFERROR(INDEX('Semrush Data'!$A$1:$Z$20000,MATCH(A3077,'Semrush Data'!$A$1:$A$20000,0),MATCH("Keyword Difficulty*",'Semrush Data'!$A$1:$Z$1,0)),"")</f>
        <v/>
      </c>
      <c r="I3077" s="29" t="str">
        <f aca="false">IFERROR(INDEX('Semrush Data'!$A$1:$Z$20000,MATCH(A3077,'Semrush Data'!$A$1:$A$20000,0),MATCH("CPC*",'Semrush Data'!$A$1:$Z$1,0)),"")</f>
        <v/>
      </c>
      <c r="J3077" s="6" t="str">
        <f aca="false">IFERROR(INDEX('Semrush Data'!$A$1:$Z$20000,MATCH(A3077,'Semrush Data'!$A$1:$A$20000,0),MATCH("Intent",'Semrush Data'!$A$1:$Z$1,0)),"")</f>
        <v/>
      </c>
    </row>
    <row r="3078" customFormat="false" ht="15" hidden="false" customHeight="true" outlineLevel="0" collapsed="false">
      <c r="A3078" s="6" t="s">
        <v>7738</v>
      </c>
      <c r="B3078" s="6" t="s">
        <v>239</v>
      </c>
      <c r="C3078" s="6" t="n">
        <v>3</v>
      </c>
      <c r="D3078" s="6" t="n">
        <v>31</v>
      </c>
      <c r="E3078" s="6" t="n">
        <v>1</v>
      </c>
      <c r="F3078" s="6" t="s">
        <v>6063</v>
      </c>
      <c r="G3078" s="28" t="str">
        <f aca="false">IFERROR(INDEX('Semrush Data'!$A$1:$Z$20000,MATCH(A3078,'Semrush Data'!$A$1:$A$20000,0),MATCH("Volume",'Semrush Data'!$A$1:$Z$1,0)),"")</f>
        <v/>
      </c>
      <c r="H3078" s="6" t="str">
        <f aca="false">IFERROR(INDEX('Semrush Data'!$A$1:$Z$20000,MATCH(A3078,'Semrush Data'!$A$1:$A$20000,0),MATCH("Keyword Difficulty*",'Semrush Data'!$A$1:$Z$1,0)),"")</f>
        <v/>
      </c>
      <c r="I3078" s="29" t="str">
        <f aca="false">IFERROR(INDEX('Semrush Data'!$A$1:$Z$20000,MATCH(A3078,'Semrush Data'!$A$1:$A$20000,0),MATCH("CPC*",'Semrush Data'!$A$1:$Z$1,0)),"")</f>
        <v/>
      </c>
      <c r="J3078" s="6" t="str">
        <f aca="false">IFERROR(INDEX('Semrush Data'!$A$1:$Z$20000,MATCH(A3078,'Semrush Data'!$A$1:$A$20000,0),MATCH("Intent",'Semrush Data'!$A$1:$Z$1,0)),"")</f>
        <v/>
      </c>
    </row>
    <row r="3079" customFormat="false" ht="15" hidden="false" customHeight="true" outlineLevel="0" collapsed="false">
      <c r="A3079" s="6" t="s">
        <v>7739</v>
      </c>
      <c r="B3079" s="6" t="s">
        <v>239</v>
      </c>
      <c r="C3079" s="6" t="n">
        <v>3</v>
      </c>
      <c r="D3079" s="6" t="n">
        <v>31</v>
      </c>
      <c r="E3079" s="6" t="n">
        <v>1</v>
      </c>
      <c r="F3079" s="6" t="s">
        <v>6063</v>
      </c>
      <c r="G3079" s="28" t="str">
        <f aca="false">IFERROR(INDEX('Semrush Data'!$A$1:$Z$20000,MATCH(A3079,'Semrush Data'!$A$1:$A$20000,0),MATCH("Volume",'Semrush Data'!$A$1:$Z$1,0)),"")</f>
        <v/>
      </c>
      <c r="H3079" s="6" t="str">
        <f aca="false">IFERROR(INDEX('Semrush Data'!$A$1:$Z$20000,MATCH(A3079,'Semrush Data'!$A$1:$A$20000,0),MATCH("Keyword Difficulty*",'Semrush Data'!$A$1:$Z$1,0)),"")</f>
        <v/>
      </c>
      <c r="I3079" s="29" t="str">
        <f aca="false">IFERROR(INDEX('Semrush Data'!$A$1:$Z$20000,MATCH(A3079,'Semrush Data'!$A$1:$A$20000,0),MATCH("CPC*",'Semrush Data'!$A$1:$Z$1,0)),"")</f>
        <v/>
      </c>
      <c r="J3079" s="6" t="str">
        <f aca="false">IFERROR(INDEX('Semrush Data'!$A$1:$Z$20000,MATCH(A3079,'Semrush Data'!$A$1:$A$20000,0),MATCH("Intent",'Semrush Data'!$A$1:$Z$1,0)),"")</f>
        <v/>
      </c>
    </row>
    <row r="3080" customFormat="false" ht="15" hidden="false" customHeight="true" outlineLevel="0" collapsed="false">
      <c r="A3080" s="6" t="s">
        <v>7740</v>
      </c>
      <c r="B3080" s="6" t="s">
        <v>239</v>
      </c>
      <c r="C3080" s="6" t="n">
        <v>3</v>
      </c>
      <c r="D3080" s="6" t="n">
        <v>31</v>
      </c>
      <c r="E3080" s="6" t="n">
        <v>1</v>
      </c>
      <c r="F3080" s="6" t="s">
        <v>6063</v>
      </c>
      <c r="G3080" s="28" t="str">
        <f aca="false">IFERROR(INDEX('Semrush Data'!$A$1:$Z$20000,MATCH(A3080,'Semrush Data'!$A$1:$A$20000,0),MATCH("Volume",'Semrush Data'!$A$1:$Z$1,0)),"")</f>
        <v/>
      </c>
      <c r="H3080" s="6" t="str">
        <f aca="false">IFERROR(INDEX('Semrush Data'!$A$1:$Z$20000,MATCH(A3080,'Semrush Data'!$A$1:$A$20000,0),MATCH("Keyword Difficulty*",'Semrush Data'!$A$1:$Z$1,0)),"")</f>
        <v/>
      </c>
      <c r="I3080" s="29" t="str">
        <f aca="false">IFERROR(INDEX('Semrush Data'!$A$1:$Z$20000,MATCH(A3080,'Semrush Data'!$A$1:$A$20000,0),MATCH("CPC*",'Semrush Data'!$A$1:$Z$1,0)),"")</f>
        <v/>
      </c>
      <c r="J3080" s="6" t="str">
        <f aca="false">IFERROR(INDEX('Semrush Data'!$A$1:$Z$20000,MATCH(A3080,'Semrush Data'!$A$1:$A$20000,0),MATCH("Intent",'Semrush Data'!$A$1:$Z$1,0)),"")</f>
        <v/>
      </c>
    </row>
    <row r="3081" customFormat="false" ht="15" hidden="false" customHeight="true" outlineLevel="0" collapsed="false">
      <c r="A3081" s="6" t="s">
        <v>7741</v>
      </c>
      <c r="B3081" s="6" t="s">
        <v>239</v>
      </c>
      <c r="C3081" s="6" t="n">
        <v>3</v>
      </c>
      <c r="D3081" s="6" t="n">
        <v>31</v>
      </c>
      <c r="E3081" s="6" t="n">
        <v>1</v>
      </c>
      <c r="F3081" s="6" t="s">
        <v>6074</v>
      </c>
      <c r="G3081" s="28" t="str">
        <f aca="false">IFERROR(INDEX('Semrush Data'!$A$1:$Z$20000,MATCH(A3081,'Semrush Data'!$A$1:$A$20000,0),MATCH("Volume",'Semrush Data'!$A$1:$Z$1,0)),"")</f>
        <v/>
      </c>
      <c r="H3081" s="6" t="str">
        <f aca="false">IFERROR(INDEX('Semrush Data'!$A$1:$Z$20000,MATCH(A3081,'Semrush Data'!$A$1:$A$20000,0),MATCH("Keyword Difficulty*",'Semrush Data'!$A$1:$Z$1,0)),"")</f>
        <v/>
      </c>
      <c r="I3081" s="29" t="str">
        <f aca="false">IFERROR(INDEX('Semrush Data'!$A$1:$Z$20000,MATCH(A3081,'Semrush Data'!$A$1:$A$20000,0),MATCH("CPC*",'Semrush Data'!$A$1:$Z$1,0)),"")</f>
        <v/>
      </c>
      <c r="J3081" s="6" t="str">
        <f aca="false">IFERROR(INDEX('Semrush Data'!$A$1:$Z$20000,MATCH(A3081,'Semrush Data'!$A$1:$A$20000,0),MATCH("Intent",'Semrush Data'!$A$1:$Z$1,0)),"")</f>
        <v/>
      </c>
    </row>
    <row r="3082" customFormat="false" ht="15" hidden="false" customHeight="true" outlineLevel="0" collapsed="false">
      <c r="A3082" s="6" t="s">
        <v>7742</v>
      </c>
      <c r="B3082" s="6" t="s">
        <v>239</v>
      </c>
      <c r="C3082" s="6" t="n">
        <v>3</v>
      </c>
      <c r="D3082" s="6" t="n">
        <v>31</v>
      </c>
      <c r="E3082" s="6" t="n">
        <v>1</v>
      </c>
      <c r="F3082" s="6" t="s">
        <v>6074</v>
      </c>
      <c r="G3082" s="28" t="str">
        <f aca="false">IFERROR(INDEX('Semrush Data'!$A$1:$Z$20000,MATCH(A3082,'Semrush Data'!$A$1:$A$20000,0),MATCH("Volume",'Semrush Data'!$A$1:$Z$1,0)),"")</f>
        <v/>
      </c>
      <c r="H3082" s="6" t="str">
        <f aca="false">IFERROR(INDEX('Semrush Data'!$A$1:$Z$20000,MATCH(A3082,'Semrush Data'!$A$1:$A$20000,0),MATCH("Keyword Difficulty*",'Semrush Data'!$A$1:$Z$1,0)),"")</f>
        <v/>
      </c>
      <c r="I3082" s="29" t="str">
        <f aca="false">IFERROR(INDEX('Semrush Data'!$A$1:$Z$20000,MATCH(A3082,'Semrush Data'!$A$1:$A$20000,0),MATCH("CPC*",'Semrush Data'!$A$1:$Z$1,0)),"")</f>
        <v/>
      </c>
      <c r="J3082" s="6" t="str">
        <f aca="false">IFERROR(INDEX('Semrush Data'!$A$1:$Z$20000,MATCH(A3082,'Semrush Data'!$A$1:$A$20000,0),MATCH("Intent",'Semrush Data'!$A$1:$Z$1,0)),"")</f>
        <v/>
      </c>
    </row>
    <row r="3083" customFormat="false" ht="15" hidden="false" customHeight="true" outlineLevel="0" collapsed="false">
      <c r="A3083" s="6" t="s">
        <v>7743</v>
      </c>
      <c r="B3083" s="6" t="s">
        <v>239</v>
      </c>
      <c r="C3083" s="6" t="n">
        <v>3</v>
      </c>
      <c r="D3083" s="6" t="n">
        <v>31</v>
      </c>
      <c r="E3083" s="6" t="n">
        <v>1</v>
      </c>
      <c r="F3083" s="6" t="s">
        <v>6074</v>
      </c>
      <c r="G3083" s="28" t="str">
        <f aca="false">IFERROR(INDEX('Semrush Data'!$A$1:$Z$20000,MATCH(A3083,'Semrush Data'!$A$1:$A$20000,0),MATCH("Volume",'Semrush Data'!$A$1:$Z$1,0)),"")</f>
        <v/>
      </c>
      <c r="H3083" s="6" t="str">
        <f aca="false">IFERROR(INDEX('Semrush Data'!$A$1:$Z$20000,MATCH(A3083,'Semrush Data'!$A$1:$A$20000,0),MATCH("Keyword Difficulty*",'Semrush Data'!$A$1:$Z$1,0)),"")</f>
        <v/>
      </c>
      <c r="I3083" s="29" t="str">
        <f aca="false">IFERROR(INDEX('Semrush Data'!$A$1:$Z$20000,MATCH(A3083,'Semrush Data'!$A$1:$A$20000,0),MATCH("CPC*",'Semrush Data'!$A$1:$Z$1,0)),"")</f>
        <v/>
      </c>
      <c r="J3083" s="6" t="str">
        <f aca="false">IFERROR(INDEX('Semrush Data'!$A$1:$Z$20000,MATCH(A3083,'Semrush Data'!$A$1:$A$20000,0),MATCH("Intent",'Semrush Data'!$A$1:$Z$1,0)),"")</f>
        <v/>
      </c>
    </row>
    <row r="3084" customFormat="false" ht="15" hidden="false" customHeight="true" outlineLevel="0" collapsed="false">
      <c r="A3084" s="6" t="s">
        <v>7744</v>
      </c>
      <c r="B3084" s="6" t="s">
        <v>239</v>
      </c>
      <c r="C3084" s="6" t="n">
        <v>3</v>
      </c>
      <c r="D3084" s="6" t="n">
        <v>31</v>
      </c>
      <c r="E3084" s="6" t="n">
        <v>1</v>
      </c>
      <c r="F3084" s="6" t="s">
        <v>6085</v>
      </c>
      <c r="G3084" s="28" t="str">
        <f aca="false">IFERROR(INDEX('Semrush Data'!$A$1:$Z$20000,MATCH(A3084,'Semrush Data'!$A$1:$A$20000,0),MATCH("Volume",'Semrush Data'!$A$1:$Z$1,0)),"")</f>
        <v/>
      </c>
      <c r="H3084" s="6" t="str">
        <f aca="false">IFERROR(INDEX('Semrush Data'!$A$1:$Z$20000,MATCH(A3084,'Semrush Data'!$A$1:$A$20000,0),MATCH("Keyword Difficulty*",'Semrush Data'!$A$1:$Z$1,0)),"")</f>
        <v/>
      </c>
      <c r="I3084" s="29" t="str">
        <f aca="false">IFERROR(INDEX('Semrush Data'!$A$1:$Z$20000,MATCH(A3084,'Semrush Data'!$A$1:$A$20000,0),MATCH("CPC*",'Semrush Data'!$A$1:$Z$1,0)),"")</f>
        <v/>
      </c>
      <c r="J3084" s="6" t="str">
        <f aca="false">IFERROR(INDEX('Semrush Data'!$A$1:$Z$20000,MATCH(A3084,'Semrush Data'!$A$1:$A$20000,0),MATCH("Intent",'Semrush Data'!$A$1:$Z$1,0)),"")</f>
        <v/>
      </c>
    </row>
    <row r="3085" customFormat="false" ht="15" hidden="false" customHeight="true" outlineLevel="0" collapsed="false">
      <c r="A3085" s="6" t="s">
        <v>7745</v>
      </c>
      <c r="B3085" s="6" t="s">
        <v>239</v>
      </c>
      <c r="C3085" s="6" t="n">
        <v>3</v>
      </c>
      <c r="D3085" s="6" t="n">
        <v>31</v>
      </c>
      <c r="E3085" s="6" t="n">
        <v>1</v>
      </c>
      <c r="F3085" s="6" t="s">
        <v>6085</v>
      </c>
      <c r="G3085" s="28" t="str">
        <f aca="false">IFERROR(INDEX('Semrush Data'!$A$1:$Z$20000,MATCH(A3085,'Semrush Data'!$A$1:$A$20000,0),MATCH("Volume",'Semrush Data'!$A$1:$Z$1,0)),"")</f>
        <v/>
      </c>
      <c r="H3085" s="6" t="str">
        <f aca="false">IFERROR(INDEX('Semrush Data'!$A$1:$Z$20000,MATCH(A3085,'Semrush Data'!$A$1:$A$20000,0),MATCH("Keyword Difficulty*",'Semrush Data'!$A$1:$Z$1,0)),"")</f>
        <v/>
      </c>
      <c r="I3085" s="29" t="str">
        <f aca="false">IFERROR(INDEX('Semrush Data'!$A$1:$Z$20000,MATCH(A3085,'Semrush Data'!$A$1:$A$20000,0),MATCH("CPC*",'Semrush Data'!$A$1:$Z$1,0)),"")</f>
        <v/>
      </c>
      <c r="J3085" s="6" t="str">
        <f aca="false">IFERROR(INDEX('Semrush Data'!$A$1:$Z$20000,MATCH(A3085,'Semrush Data'!$A$1:$A$20000,0),MATCH("Intent",'Semrush Data'!$A$1:$Z$1,0)),"")</f>
        <v/>
      </c>
    </row>
    <row r="3086" customFormat="false" ht="15" hidden="false" customHeight="true" outlineLevel="0" collapsed="false">
      <c r="A3086" s="6" t="s">
        <v>7746</v>
      </c>
      <c r="B3086" s="6" t="s">
        <v>239</v>
      </c>
      <c r="C3086" s="6" t="n">
        <v>3</v>
      </c>
      <c r="D3086" s="6" t="n">
        <v>31</v>
      </c>
      <c r="E3086" s="6" t="n">
        <v>1</v>
      </c>
      <c r="F3086" s="6" t="s">
        <v>6085</v>
      </c>
      <c r="G3086" s="28" t="str">
        <f aca="false">IFERROR(INDEX('Semrush Data'!$A$1:$Z$20000,MATCH(A3086,'Semrush Data'!$A$1:$A$20000,0),MATCH("Volume",'Semrush Data'!$A$1:$Z$1,0)),"")</f>
        <v/>
      </c>
      <c r="H3086" s="6" t="str">
        <f aca="false">IFERROR(INDEX('Semrush Data'!$A$1:$Z$20000,MATCH(A3086,'Semrush Data'!$A$1:$A$20000,0),MATCH("Keyword Difficulty*",'Semrush Data'!$A$1:$Z$1,0)),"")</f>
        <v/>
      </c>
      <c r="I3086" s="29" t="str">
        <f aca="false">IFERROR(INDEX('Semrush Data'!$A$1:$Z$20000,MATCH(A3086,'Semrush Data'!$A$1:$A$20000,0),MATCH("CPC*",'Semrush Data'!$A$1:$Z$1,0)),"")</f>
        <v/>
      </c>
      <c r="J3086" s="6" t="str">
        <f aca="false">IFERROR(INDEX('Semrush Data'!$A$1:$Z$20000,MATCH(A3086,'Semrush Data'!$A$1:$A$20000,0),MATCH("Intent",'Semrush Data'!$A$1:$Z$1,0)),"")</f>
        <v/>
      </c>
    </row>
    <row r="3087" customFormat="false" ht="15" hidden="false" customHeight="true" outlineLevel="0" collapsed="false">
      <c r="A3087" s="6" t="s">
        <v>7747</v>
      </c>
      <c r="B3087" s="6" t="s">
        <v>239</v>
      </c>
      <c r="C3087" s="6" t="n">
        <v>3</v>
      </c>
      <c r="D3087" s="6" t="n">
        <v>31</v>
      </c>
      <c r="E3087" s="6" t="n">
        <v>1</v>
      </c>
      <c r="F3087" s="6" t="s">
        <v>6085</v>
      </c>
      <c r="G3087" s="28" t="str">
        <f aca="false">IFERROR(INDEX('Semrush Data'!$A$1:$Z$20000,MATCH(A3087,'Semrush Data'!$A$1:$A$20000,0),MATCH("Volume",'Semrush Data'!$A$1:$Z$1,0)),"")</f>
        <v/>
      </c>
      <c r="H3087" s="6" t="str">
        <f aca="false">IFERROR(INDEX('Semrush Data'!$A$1:$Z$20000,MATCH(A3087,'Semrush Data'!$A$1:$A$20000,0),MATCH("Keyword Difficulty*",'Semrush Data'!$A$1:$Z$1,0)),"")</f>
        <v/>
      </c>
      <c r="I3087" s="29" t="str">
        <f aca="false">IFERROR(INDEX('Semrush Data'!$A$1:$Z$20000,MATCH(A3087,'Semrush Data'!$A$1:$A$20000,0),MATCH("CPC*",'Semrush Data'!$A$1:$Z$1,0)),"")</f>
        <v/>
      </c>
      <c r="J3087" s="6" t="str">
        <f aca="false">IFERROR(INDEX('Semrush Data'!$A$1:$Z$20000,MATCH(A3087,'Semrush Data'!$A$1:$A$20000,0),MATCH("Intent",'Semrush Data'!$A$1:$Z$1,0)),"")</f>
        <v/>
      </c>
    </row>
    <row r="3088" customFormat="false" ht="15" hidden="false" customHeight="true" outlineLevel="0" collapsed="false">
      <c r="A3088" s="6" t="s">
        <v>7748</v>
      </c>
      <c r="B3088" s="6" t="s">
        <v>239</v>
      </c>
      <c r="C3088" s="6" t="n">
        <v>3</v>
      </c>
      <c r="D3088" s="6" t="n">
        <v>31</v>
      </c>
      <c r="E3088" s="6" t="n">
        <v>1</v>
      </c>
      <c r="F3088" s="6" t="s">
        <v>6096</v>
      </c>
      <c r="G3088" s="28" t="str">
        <f aca="false">IFERROR(INDEX('Semrush Data'!$A$1:$Z$20000,MATCH(A3088,'Semrush Data'!$A$1:$A$20000,0),MATCH("Volume",'Semrush Data'!$A$1:$Z$1,0)),"")</f>
        <v/>
      </c>
      <c r="H3088" s="6" t="str">
        <f aca="false">IFERROR(INDEX('Semrush Data'!$A$1:$Z$20000,MATCH(A3088,'Semrush Data'!$A$1:$A$20000,0),MATCH("Keyword Difficulty*",'Semrush Data'!$A$1:$Z$1,0)),"")</f>
        <v/>
      </c>
      <c r="I3088" s="29" t="str">
        <f aca="false">IFERROR(INDEX('Semrush Data'!$A$1:$Z$20000,MATCH(A3088,'Semrush Data'!$A$1:$A$20000,0),MATCH("CPC*",'Semrush Data'!$A$1:$Z$1,0)),"")</f>
        <v/>
      </c>
      <c r="J3088" s="6" t="str">
        <f aca="false">IFERROR(INDEX('Semrush Data'!$A$1:$Z$20000,MATCH(A3088,'Semrush Data'!$A$1:$A$20000,0),MATCH("Intent",'Semrush Data'!$A$1:$Z$1,0)),"")</f>
        <v/>
      </c>
    </row>
    <row r="3089" customFormat="false" ht="15" hidden="false" customHeight="true" outlineLevel="0" collapsed="false">
      <c r="A3089" s="6" t="s">
        <v>7749</v>
      </c>
      <c r="B3089" s="6" t="s">
        <v>239</v>
      </c>
      <c r="C3089" s="6" t="n">
        <v>3</v>
      </c>
      <c r="D3089" s="6" t="n">
        <v>31</v>
      </c>
      <c r="E3089" s="6" t="n">
        <v>1</v>
      </c>
      <c r="F3089" s="6" t="s">
        <v>6096</v>
      </c>
      <c r="G3089" s="28" t="str">
        <f aca="false">IFERROR(INDEX('Semrush Data'!$A$1:$Z$20000,MATCH(A3089,'Semrush Data'!$A$1:$A$20000,0),MATCH("Volume",'Semrush Data'!$A$1:$Z$1,0)),"")</f>
        <v/>
      </c>
      <c r="H3089" s="6" t="str">
        <f aca="false">IFERROR(INDEX('Semrush Data'!$A$1:$Z$20000,MATCH(A3089,'Semrush Data'!$A$1:$A$20000,0),MATCH("Keyword Difficulty*",'Semrush Data'!$A$1:$Z$1,0)),"")</f>
        <v/>
      </c>
      <c r="I3089" s="29" t="str">
        <f aca="false">IFERROR(INDEX('Semrush Data'!$A$1:$Z$20000,MATCH(A3089,'Semrush Data'!$A$1:$A$20000,0),MATCH("CPC*",'Semrush Data'!$A$1:$Z$1,0)),"")</f>
        <v/>
      </c>
      <c r="J3089" s="6" t="str">
        <f aca="false">IFERROR(INDEX('Semrush Data'!$A$1:$Z$20000,MATCH(A3089,'Semrush Data'!$A$1:$A$20000,0),MATCH("Intent",'Semrush Data'!$A$1:$Z$1,0)),"")</f>
        <v/>
      </c>
    </row>
    <row r="3090" customFormat="false" ht="15" hidden="false" customHeight="true" outlineLevel="0" collapsed="false">
      <c r="A3090" s="6" t="s">
        <v>7750</v>
      </c>
      <c r="B3090" s="6" t="s">
        <v>239</v>
      </c>
      <c r="C3090" s="6" t="n">
        <v>3</v>
      </c>
      <c r="D3090" s="6" t="n">
        <v>31</v>
      </c>
      <c r="E3090" s="6" t="n">
        <v>1</v>
      </c>
      <c r="F3090" s="6" t="s">
        <v>6096</v>
      </c>
      <c r="G3090" s="28" t="str">
        <f aca="false">IFERROR(INDEX('Semrush Data'!$A$1:$Z$20000,MATCH(A3090,'Semrush Data'!$A$1:$A$20000,0),MATCH("Volume",'Semrush Data'!$A$1:$Z$1,0)),"")</f>
        <v/>
      </c>
      <c r="H3090" s="6" t="str">
        <f aca="false">IFERROR(INDEX('Semrush Data'!$A$1:$Z$20000,MATCH(A3090,'Semrush Data'!$A$1:$A$20000,0),MATCH("Keyword Difficulty*",'Semrush Data'!$A$1:$Z$1,0)),"")</f>
        <v/>
      </c>
      <c r="I3090" s="29" t="str">
        <f aca="false">IFERROR(INDEX('Semrush Data'!$A$1:$Z$20000,MATCH(A3090,'Semrush Data'!$A$1:$A$20000,0),MATCH("CPC*",'Semrush Data'!$A$1:$Z$1,0)),"")</f>
        <v/>
      </c>
      <c r="J3090" s="6" t="str">
        <f aca="false">IFERROR(INDEX('Semrush Data'!$A$1:$Z$20000,MATCH(A3090,'Semrush Data'!$A$1:$A$20000,0),MATCH("Intent",'Semrush Data'!$A$1:$Z$1,0)),"")</f>
        <v/>
      </c>
    </row>
    <row r="3091" customFormat="false" ht="15" hidden="false" customHeight="true" outlineLevel="0" collapsed="false">
      <c r="A3091" s="6" t="s">
        <v>7751</v>
      </c>
      <c r="B3091" s="6" t="s">
        <v>239</v>
      </c>
      <c r="C3091" s="6" t="n">
        <v>3</v>
      </c>
      <c r="D3091" s="6" t="n">
        <v>31</v>
      </c>
      <c r="E3091" s="6" t="n">
        <v>1</v>
      </c>
      <c r="F3091" s="6" t="s">
        <v>6096</v>
      </c>
      <c r="G3091" s="28" t="str">
        <f aca="false">IFERROR(INDEX('Semrush Data'!$A$1:$Z$20000,MATCH(A3091,'Semrush Data'!$A$1:$A$20000,0),MATCH("Volume",'Semrush Data'!$A$1:$Z$1,0)),"")</f>
        <v/>
      </c>
      <c r="H3091" s="6" t="str">
        <f aca="false">IFERROR(INDEX('Semrush Data'!$A$1:$Z$20000,MATCH(A3091,'Semrush Data'!$A$1:$A$20000,0),MATCH("Keyword Difficulty*",'Semrush Data'!$A$1:$Z$1,0)),"")</f>
        <v/>
      </c>
      <c r="I3091" s="29" t="str">
        <f aca="false">IFERROR(INDEX('Semrush Data'!$A$1:$Z$20000,MATCH(A3091,'Semrush Data'!$A$1:$A$20000,0),MATCH("CPC*",'Semrush Data'!$A$1:$Z$1,0)),"")</f>
        <v/>
      </c>
      <c r="J3091" s="6" t="str">
        <f aca="false">IFERROR(INDEX('Semrush Data'!$A$1:$Z$20000,MATCH(A3091,'Semrush Data'!$A$1:$A$20000,0),MATCH("Intent",'Semrush Data'!$A$1:$Z$1,0)),"")</f>
        <v/>
      </c>
    </row>
    <row r="3092" customFormat="false" ht="15" hidden="false" customHeight="true" outlineLevel="0" collapsed="false">
      <c r="A3092" s="6" t="s">
        <v>7752</v>
      </c>
      <c r="B3092" s="6" t="s">
        <v>239</v>
      </c>
      <c r="C3092" s="6" t="n">
        <v>3</v>
      </c>
      <c r="D3092" s="6" t="n">
        <v>31</v>
      </c>
      <c r="E3092" s="6" t="n">
        <v>1</v>
      </c>
      <c r="F3092" s="6" t="s">
        <v>6107</v>
      </c>
      <c r="G3092" s="28" t="str">
        <f aca="false">IFERROR(INDEX('Semrush Data'!$A$1:$Z$20000,MATCH(A3092,'Semrush Data'!$A$1:$A$20000,0),MATCH("Volume",'Semrush Data'!$A$1:$Z$1,0)),"")</f>
        <v/>
      </c>
      <c r="H3092" s="6" t="str">
        <f aca="false">IFERROR(INDEX('Semrush Data'!$A$1:$Z$20000,MATCH(A3092,'Semrush Data'!$A$1:$A$20000,0),MATCH("Keyword Difficulty*",'Semrush Data'!$A$1:$Z$1,0)),"")</f>
        <v/>
      </c>
      <c r="I3092" s="29" t="str">
        <f aca="false">IFERROR(INDEX('Semrush Data'!$A$1:$Z$20000,MATCH(A3092,'Semrush Data'!$A$1:$A$20000,0),MATCH("CPC*",'Semrush Data'!$A$1:$Z$1,0)),"")</f>
        <v/>
      </c>
      <c r="J3092" s="6" t="str">
        <f aca="false">IFERROR(INDEX('Semrush Data'!$A$1:$Z$20000,MATCH(A3092,'Semrush Data'!$A$1:$A$20000,0),MATCH("Intent",'Semrush Data'!$A$1:$Z$1,0)),"")</f>
        <v/>
      </c>
    </row>
    <row r="3093" customFormat="false" ht="15" hidden="false" customHeight="true" outlineLevel="0" collapsed="false">
      <c r="A3093" s="6" t="s">
        <v>7753</v>
      </c>
      <c r="B3093" s="6" t="s">
        <v>239</v>
      </c>
      <c r="C3093" s="6" t="n">
        <v>3</v>
      </c>
      <c r="D3093" s="6" t="n">
        <v>31</v>
      </c>
      <c r="E3093" s="6" t="n">
        <v>1</v>
      </c>
      <c r="F3093" s="6" t="s">
        <v>6107</v>
      </c>
      <c r="G3093" s="28" t="str">
        <f aca="false">IFERROR(INDEX('Semrush Data'!$A$1:$Z$20000,MATCH(A3093,'Semrush Data'!$A$1:$A$20000,0),MATCH("Volume",'Semrush Data'!$A$1:$Z$1,0)),"")</f>
        <v/>
      </c>
      <c r="H3093" s="6" t="str">
        <f aca="false">IFERROR(INDEX('Semrush Data'!$A$1:$Z$20000,MATCH(A3093,'Semrush Data'!$A$1:$A$20000,0),MATCH("Keyword Difficulty*",'Semrush Data'!$A$1:$Z$1,0)),"")</f>
        <v/>
      </c>
      <c r="I3093" s="29" t="str">
        <f aca="false">IFERROR(INDEX('Semrush Data'!$A$1:$Z$20000,MATCH(A3093,'Semrush Data'!$A$1:$A$20000,0),MATCH("CPC*",'Semrush Data'!$A$1:$Z$1,0)),"")</f>
        <v/>
      </c>
      <c r="J3093" s="6" t="str">
        <f aca="false">IFERROR(INDEX('Semrush Data'!$A$1:$Z$20000,MATCH(A3093,'Semrush Data'!$A$1:$A$20000,0),MATCH("Intent",'Semrush Data'!$A$1:$Z$1,0)),"")</f>
        <v/>
      </c>
    </row>
    <row r="3094" customFormat="false" ht="15" hidden="false" customHeight="true" outlineLevel="0" collapsed="false">
      <c r="A3094" s="6" t="s">
        <v>7754</v>
      </c>
      <c r="B3094" s="6" t="s">
        <v>239</v>
      </c>
      <c r="C3094" s="6" t="n">
        <v>3</v>
      </c>
      <c r="D3094" s="6" t="n">
        <v>31</v>
      </c>
      <c r="E3094" s="6" t="n">
        <v>1</v>
      </c>
      <c r="F3094" s="6" t="s">
        <v>6107</v>
      </c>
      <c r="G3094" s="28" t="str">
        <f aca="false">IFERROR(INDEX('Semrush Data'!$A$1:$Z$20000,MATCH(A3094,'Semrush Data'!$A$1:$A$20000,0),MATCH("Volume",'Semrush Data'!$A$1:$Z$1,0)),"")</f>
        <v/>
      </c>
      <c r="H3094" s="6" t="str">
        <f aca="false">IFERROR(INDEX('Semrush Data'!$A$1:$Z$20000,MATCH(A3094,'Semrush Data'!$A$1:$A$20000,0),MATCH("Keyword Difficulty*",'Semrush Data'!$A$1:$Z$1,0)),"")</f>
        <v/>
      </c>
      <c r="I3094" s="29" t="str">
        <f aca="false">IFERROR(INDEX('Semrush Data'!$A$1:$Z$20000,MATCH(A3094,'Semrush Data'!$A$1:$A$20000,0),MATCH("CPC*",'Semrush Data'!$A$1:$Z$1,0)),"")</f>
        <v/>
      </c>
      <c r="J3094" s="6" t="str">
        <f aca="false">IFERROR(INDEX('Semrush Data'!$A$1:$Z$20000,MATCH(A3094,'Semrush Data'!$A$1:$A$20000,0),MATCH("Intent",'Semrush Data'!$A$1:$Z$1,0)),"")</f>
        <v/>
      </c>
    </row>
    <row r="3095" customFormat="false" ht="15" hidden="false" customHeight="true" outlineLevel="0" collapsed="false">
      <c r="A3095" s="6" t="s">
        <v>7755</v>
      </c>
      <c r="B3095" s="6" t="s">
        <v>239</v>
      </c>
      <c r="C3095" s="6" t="n">
        <v>3</v>
      </c>
      <c r="D3095" s="6" t="n">
        <v>31</v>
      </c>
      <c r="E3095" s="6" t="n">
        <v>1</v>
      </c>
      <c r="F3095" s="6" t="s">
        <v>6107</v>
      </c>
      <c r="G3095" s="28" t="str">
        <f aca="false">IFERROR(INDEX('Semrush Data'!$A$1:$Z$20000,MATCH(A3095,'Semrush Data'!$A$1:$A$20000,0),MATCH("Volume",'Semrush Data'!$A$1:$Z$1,0)),"")</f>
        <v/>
      </c>
      <c r="H3095" s="6" t="str">
        <f aca="false">IFERROR(INDEX('Semrush Data'!$A$1:$Z$20000,MATCH(A3095,'Semrush Data'!$A$1:$A$20000,0),MATCH("Keyword Difficulty*",'Semrush Data'!$A$1:$Z$1,0)),"")</f>
        <v/>
      </c>
      <c r="I3095" s="29" t="str">
        <f aca="false">IFERROR(INDEX('Semrush Data'!$A$1:$Z$20000,MATCH(A3095,'Semrush Data'!$A$1:$A$20000,0),MATCH("CPC*",'Semrush Data'!$A$1:$Z$1,0)),"")</f>
        <v/>
      </c>
      <c r="J3095" s="6" t="str">
        <f aca="false">IFERROR(INDEX('Semrush Data'!$A$1:$Z$20000,MATCH(A3095,'Semrush Data'!$A$1:$A$20000,0),MATCH("Intent",'Semrush Data'!$A$1:$Z$1,0)),"")</f>
        <v/>
      </c>
    </row>
    <row r="3096" customFormat="false" ht="15" hidden="false" customHeight="true" outlineLevel="0" collapsed="false">
      <c r="A3096" s="6" t="s">
        <v>7756</v>
      </c>
      <c r="B3096" s="6" t="s">
        <v>239</v>
      </c>
      <c r="C3096" s="6" t="n">
        <v>3</v>
      </c>
      <c r="D3096" s="6" t="n">
        <v>31</v>
      </c>
      <c r="E3096" s="6" t="n">
        <v>1</v>
      </c>
      <c r="F3096" s="6" t="s">
        <v>6118</v>
      </c>
      <c r="G3096" s="28" t="str">
        <f aca="false">IFERROR(INDEX('Semrush Data'!$A$1:$Z$20000,MATCH(A3096,'Semrush Data'!$A$1:$A$20000,0),MATCH("Volume",'Semrush Data'!$A$1:$Z$1,0)),"")</f>
        <v/>
      </c>
      <c r="H3096" s="6" t="str">
        <f aca="false">IFERROR(INDEX('Semrush Data'!$A$1:$Z$20000,MATCH(A3096,'Semrush Data'!$A$1:$A$20000,0),MATCH("Keyword Difficulty*",'Semrush Data'!$A$1:$Z$1,0)),"")</f>
        <v/>
      </c>
      <c r="I3096" s="29" t="str">
        <f aca="false">IFERROR(INDEX('Semrush Data'!$A$1:$Z$20000,MATCH(A3096,'Semrush Data'!$A$1:$A$20000,0),MATCH("CPC*",'Semrush Data'!$A$1:$Z$1,0)),"")</f>
        <v/>
      </c>
      <c r="J3096" s="6" t="str">
        <f aca="false">IFERROR(INDEX('Semrush Data'!$A$1:$Z$20000,MATCH(A3096,'Semrush Data'!$A$1:$A$20000,0),MATCH("Intent",'Semrush Data'!$A$1:$Z$1,0)),"")</f>
        <v/>
      </c>
    </row>
    <row r="3097" customFormat="false" ht="15" hidden="false" customHeight="true" outlineLevel="0" collapsed="false">
      <c r="A3097" s="6" t="s">
        <v>7757</v>
      </c>
      <c r="B3097" s="6" t="s">
        <v>239</v>
      </c>
      <c r="C3097" s="6" t="n">
        <v>3</v>
      </c>
      <c r="D3097" s="6" t="n">
        <v>31</v>
      </c>
      <c r="E3097" s="6" t="n">
        <v>1</v>
      </c>
      <c r="F3097" s="6" t="s">
        <v>6118</v>
      </c>
      <c r="G3097" s="28" t="str">
        <f aca="false">IFERROR(INDEX('Semrush Data'!$A$1:$Z$20000,MATCH(A3097,'Semrush Data'!$A$1:$A$20000,0),MATCH("Volume",'Semrush Data'!$A$1:$Z$1,0)),"")</f>
        <v/>
      </c>
      <c r="H3097" s="6" t="str">
        <f aca="false">IFERROR(INDEX('Semrush Data'!$A$1:$Z$20000,MATCH(A3097,'Semrush Data'!$A$1:$A$20000,0),MATCH("Keyword Difficulty*",'Semrush Data'!$A$1:$Z$1,0)),"")</f>
        <v/>
      </c>
      <c r="I3097" s="29" t="str">
        <f aca="false">IFERROR(INDEX('Semrush Data'!$A$1:$Z$20000,MATCH(A3097,'Semrush Data'!$A$1:$A$20000,0),MATCH("CPC*",'Semrush Data'!$A$1:$Z$1,0)),"")</f>
        <v/>
      </c>
      <c r="J3097" s="6" t="str">
        <f aca="false">IFERROR(INDEX('Semrush Data'!$A$1:$Z$20000,MATCH(A3097,'Semrush Data'!$A$1:$A$20000,0),MATCH("Intent",'Semrush Data'!$A$1:$Z$1,0)),"")</f>
        <v/>
      </c>
    </row>
    <row r="3098" customFormat="false" ht="15" hidden="false" customHeight="true" outlineLevel="0" collapsed="false">
      <c r="A3098" s="6" t="s">
        <v>7758</v>
      </c>
      <c r="B3098" s="6" t="s">
        <v>239</v>
      </c>
      <c r="C3098" s="6" t="n">
        <v>3</v>
      </c>
      <c r="D3098" s="6" t="n">
        <v>31</v>
      </c>
      <c r="E3098" s="6" t="n">
        <v>1</v>
      </c>
      <c r="F3098" s="6" t="s">
        <v>6118</v>
      </c>
      <c r="G3098" s="28" t="str">
        <f aca="false">IFERROR(INDEX('Semrush Data'!$A$1:$Z$20000,MATCH(A3098,'Semrush Data'!$A$1:$A$20000,0),MATCH("Volume",'Semrush Data'!$A$1:$Z$1,0)),"")</f>
        <v/>
      </c>
      <c r="H3098" s="6" t="str">
        <f aca="false">IFERROR(INDEX('Semrush Data'!$A$1:$Z$20000,MATCH(A3098,'Semrush Data'!$A$1:$A$20000,0),MATCH("Keyword Difficulty*",'Semrush Data'!$A$1:$Z$1,0)),"")</f>
        <v/>
      </c>
      <c r="I3098" s="29" t="str">
        <f aca="false">IFERROR(INDEX('Semrush Data'!$A$1:$Z$20000,MATCH(A3098,'Semrush Data'!$A$1:$A$20000,0),MATCH("CPC*",'Semrush Data'!$A$1:$Z$1,0)),"")</f>
        <v/>
      </c>
      <c r="J3098" s="6" t="str">
        <f aca="false">IFERROR(INDEX('Semrush Data'!$A$1:$Z$20000,MATCH(A3098,'Semrush Data'!$A$1:$A$20000,0),MATCH("Intent",'Semrush Data'!$A$1:$Z$1,0)),"")</f>
        <v/>
      </c>
    </row>
    <row r="3099" customFormat="false" ht="15" hidden="false" customHeight="true" outlineLevel="0" collapsed="false">
      <c r="A3099" s="6" t="s">
        <v>7759</v>
      </c>
      <c r="B3099" s="6" t="s">
        <v>239</v>
      </c>
      <c r="C3099" s="6" t="n">
        <v>3</v>
      </c>
      <c r="D3099" s="6" t="n">
        <v>31</v>
      </c>
      <c r="E3099" s="6" t="n">
        <v>1</v>
      </c>
      <c r="F3099" s="6" t="s">
        <v>6039</v>
      </c>
      <c r="G3099" s="28" t="str">
        <f aca="false">IFERROR(INDEX('Semrush Data'!$A$1:$Z$20000,MATCH(A3099,'Semrush Data'!$A$1:$A$20000,0),MATCH("Volume",'Semrush Data'!$A$1:$Z$1,0)),"")</f>
        <v/>
      </c>
      <c r="H3099" s="6" t="str">
        <f aca="false">IFERROR(INDEX('Semrush Data'!$A$1:$Z$20000,MATCH(A3099,'Semrush Data'!$A$1:$A$20000,0),MATCH("Keyword Difficulty*",'Semrush Data'!$A$1:$Z$1,0)),"")</f>
        <v/>
      </c>
      <c r="I3099" s="29" t="str">
        <f aca="false">IFERROR(INDEX('Semrush Data'!$A$1:$Z$20000,MATCH(A3099,'Semrush Data'!$A$1:$A$20000,0),MATCH("CPC*",'Semrush Data'!$A$1:$Z$1,0)),"")</f>
        <v/>
      </c>
      <c r="J3099" s="6" t="str">
        <f aca="false">IFERROR(INDEX('Semrush Data'!$A$1:$Z$20000,MATCH(A3099,'Semrush Data'!$A$1:$A$20000,0),MATCH("Intent",'Semrush Data'!$A$1:$Z$1,0)),"")</f>
        <v/>
      </c>
    </row>
    <row r="3100" customFormat="false" ht="15" hidden="false" customHeight="true" outlineLevel="0" collapsed="false">
      <c r="A3100" s="6" t="s">
        <v>7760</v>
      </c>
      <c r="B3100" s="6" t="s">
        <v>239</v>
      </c>
      <c r="C3100" s="6" t="n">
        <v>3</v>
      </c>
      <c r="D3100" s="6" t="n">
        <v>31</v>
      </c>
      <c r="E3100" s="6" t="n">
        <v>1</v>
      </c>
      <c r="F3100" s="6" t="s">
        <v>6063</v>
      </c>
      <c r="G3100" s="28" t="str">
        <f aca="false">IFERROR(INDEX('Semrush Data'!$A$1:$Z$20000,MATCH(A3100,'Semrush Data'!$A$1:$A$20000,0),MATCH("Volume",'Semrush Data'!$A$1:$Z$1,0)),"")</f>
        <v/>
      </c>
      <c r="H3100" s="6" t="str">
        <f aca="false">IFERROR(INDEX('Semrush Data'!$A$1:$Z$20000,MATCH(A3100,'Semrush Data'!$A$1:$A$20000,0),MATCH("Keyword Difficulty*",'Semrush Data'!$A$1:$Z$1,0)),"")</f>
        <v/>
      </c>
      <c r="I3100" s="29" t="str">
        <f aca="false">IFERROR(INDEX('Semrush Data'!$A$1:$Z$20000,MATCH(A3100,'Semrush Data'!$A$1:$A$20000,0),MATCH("CPC*",'Semrush Data'!$A$1:$Z$1,0)),"")</f>
        <v/>
      </c>
      <c r="J3100" s="6" t="str">
        <f aca="false">IFERROR(INDEX('Semrush Data'!$A$1:$Z$20000,MATCH(A3100,'Semrush Data'!$A$1:$A$20000,0),MATCH("Intent",'Semrush Data'!$A$1:$Z$1,0)),"")</f>
        <v/>
      </c>
    </row>
    <row r="3101" customFormat="false" ht="15" hidden="false" customHeight="true" outlineLevel="0" collapsed="false">
      <c r="A3101" s="6" t="s">
        <v>7761</v>
      </c>
      <c r="B3101" s="6" t="s">
        <v>239</v>
      </c>
      <c r="C3101" s="6" t="n">
        <v>3</v>
      </c>
      <c r="D3101" s="6" t="n">
        <v>31</v>
      </c>
      <c r="E3101" s="6" t="n">
        <v>1</v>
      </c>
      <c r="F3101" s="6" t="s">
        <v>6074</v>
      </c>
      <c r="G3101" s="28" t="str">
        <f aca="false">IFERROR(INDEX('Semrush Data'!$A$1:$Z$20000,MATCH(A3101,'Semrush Data'!$A$1:$A$20000,0),MATCH("Volume",'Semrush Data'!$A$1:$Z$1,0)),"")</f>
        <v/>
      </c>
      <c r="H3101" s="6" t="str">
        <f aca="false">IFERROR(INDEX('Semrush Data'!$A$1:$Z$20000,MATCH(A3101,'Semrush Data'!$A$1:$A$20000,0),MATCH("Keyword Difficulty*",'Semrush Data'!$A$1:$Z$1,0)),"")</f>
        <v/>
      </c>
      <c r="I3101" s="29" t="str">
        <f aca="false">IFERROR(INDEX('Semrush Data'!$A$1:$Z$20000,MATCH(A3101,'Semrush Data'!$A$1:$A$20000,0),MATCH("CPC*",'Semrush Data'!$A$1:$Z$1,0)),"")</f>
        <v/>
      </c>
      <c r="J3101" s="6" t="str">
        <f aca="false">IFERROR(INDEX('Semrush Data'!$A$1:$Z$20000,MATCH(A3101,'Semrush Data'!$A$1:$A$20000,0),MATCH("Intent",'Semrush Data'!$A$1:$Z$1,0)),"")</f>
        <v/>
      </c>
    </row>
    <row r="3102" customFormat="false" ht="15" hidden="false" customHeight="true" outlineLevel="0" collapsed="false">
      <c r="A3102" s="6" t="s">
        <v>7762</v>
      </c>
      <c r="B3102" s="6" t="s">
        <v>239</v>
      </c>
      <c r="C3102" s="6" t="n">
        <v>3</v>
      </c>
      <c r="D3102" s="6" t="n">
        <v>32</v>
      </c>
      <c r="E3102" s="6" t="n">
        <v>1</v>
      </c>
      <c r="F3102" s="6" t="s">
        <v>6096</v>
      </c>
      <c r="G3102" s="28" t="str">
        <f aca="false">IFERROR(INDEX('Semrush Data'!$A$1:$Z$20000,MATCH(A3102,'Semrush Data'!$A$1:$A$20000,0),MATCH("Volume",'Semrush Data'!$A$1:$Z$1,0)),"")</f>
        <v/>
      </c>
      <c r="H3102" s="6" t="str">
        <f aca="false">IFERROR(INDEX('Semrush Data'!$A$1:$Z$20000,MATCH(A3102,'Semrush Data'!$A$1:$A$20000,0),MATCH("Keyword Difficulty*",'Semrush Data'!$A$1:$Z$1,0)),"")</f>
        <v/>
      </c>
      <c r="I3102" s="29" t="str">
        <f aca="false">IFERROR(INDEX('Semrush Data'!$A$1:$Z$20000,MATCH(A3102,'Semrush Data'!$A$1:$A$20000,0),MATCH("CPC*",'Semrush Data'!$A$1:$Z$1,0)),"")</f>
        <v/>
      </c>
      <c r="J3102" s="6" t="str">
        <f aca="false">IFERROR(INDEX('Semrush Data'!$A$1:$Z$20000,MATCH(A3102,'Semrush Data'!$A$1:$A$20000,0),MATCH("Intent",'Semrush Data'!$A$1:$Z$1,0)),"")</f>
        <v/>
      </c>
    </row>
    <row r="3103" customFormat="false" ht="15" hidden="false" customHeight="true" outlineLevel="0" collapsed="false">
      <c r="A3103" s="6" t="s">
        <v>7763</v>
      </c>
      <c r="B3103" s="6" t="s">
        <v>239</v>
      </c>
      <c r="C3103" s="6" t="n">
        <v>3</v>
      </c>
      <c r="D3103" s="6" t="n">
        <v>32</v>
      </c>
      <c r="E3103" s="6" t="n">
        <v>1</v>
      </c>
      <c r="F3103" s="6" t="s">
        <v>6118</v>
      </c>
      <c r="G3103" s="28" t="str">
        <f aca="false">IFERROR(INDEX('Semrush Data'!$A$1:$Z$20000,MATCH(A3103,'Semrush Data'!$A$1:$A$20000,0),MATCH("Volume",'Semrush Data'!$A$1:$Z$1,0)),"")</f>
        <v/>
      </c>
      <c r="H3103" s="6" t="str">
        <f aca="false">IFERROR(INDEX('Semrush Data'!$A$1:$Z$20000,MATCH(A3103,'Semrush Data'!$A$1:$A$20000,0),MATCH("Keyword Difficulty*",'Semrush Data'!$A$1:$Z$1,0)),"")</f>
        <v/>
      </c>
      <c r="I3103" s="29" t="str">
        <f aca="false">IFERROR(INDEX('Semrush Data'!$A$1:$Z$20000,MATCH(A3103,'Semrush Data'!$A$1:$A$20000,0),MATCH("CPC*",'Semrush Data'!$A$1:$Z$1,0)),"")</f>
        <v/>
      </c>
      <c r="J3103" s="6" t="str">
        <f aca="false">IFERROR(INDEX('Semrush Data'!$A$1:$Z$20000,MATCH(A3103,'Semrush Data'!$A$1:$A$20000,0),MATCH("Intent",'Semrush Data'!$A$1:$Z$1,0)),"")</f>
        <v/>
      </c>
    </row>
    <row r="3104" customFormat="false" ht="15" hidden="false" customHeight="true" outlineLevel="0" collapsed="false">
      <c r="A3104" s="6" t="s">
        <v>7764</v>
      </c>
      <c r="B3104" s="6" t="s">
        <v>239</v>
      </c>
      <c r="C3104" s="6" t="n">
        <v>3</v>
      </c>
      <c r="D3104" s="6" t="n">
        <v>32</v>
      </c>
      <c r="E3104" s="6" t="n">
        <v>1</v>
      </c>
      <c r="F3104" s="6" t="s">
        <v>6129</v>
      </c>
      <c r="G3104" s="28" t="str">
        <f aca="false">IFERROR(INDEX('Semrush Data'!$A$1:$Z$20000,MATCH(A3104,'Semrush Data'!$A$1:$A$20000,0),MATCH("Volume",'Semrush Data'!$A$1:$Z$1,0)),"")</f>
        <v/>
      </c>
      <c r="H3104" s="6" t="str">
        <f aca="false">IFERROR(INDEX('Semrush Data'!$A$1:$Z$20000,MATCH(A3104,'Semrush Data'!$A$1:$A$20000,0),MATCH("Keyword Difficulty*",'Semrush Data'!$A$1:$Z$1,0)),"")</f>
        <v/>
      </c>
      <c r="I3104" s="29" t="str">
        <f aca="false">IFERROR(INDEX('Semrush Data'!$A$1:$Z$20000,MATCH(A3104,'Semrush Data'!$A$1:$A$20000,0),MATCH("CPC*",'Semrush Data'!$A$1:$Z$1,0)),"")</f>
        <v/>
      </c>
      <c r="J3104" s="6" t="str">
        <f aca="false">IFERROR(INDEX('Semrush Data'!$A$1:$Z$20000,MATCH(A3104,'Semrush Data'!$A$1:$A$20000,0),MATCH("Intent",'Semrush Data'!$A$1:$Z$1,0)),"")</f>
        <v/>
      </c>
    </row>
    <row r="3105" customFormat="false" ht="15" hidden="false" customHeight="true" outlineLevel="0" collapsed="false">
      <c r="A3105" s="6" t="s">
        <v>7765</v>
      </c>
      <c r="B3105" s="6" t="s">
        <v>239</v>
      </c>
      <c r="C3105" s="6" t="n">
        <v>3</v>
      </c>
      <c r="D3105" s="6" t="n">
        <v>32</v>
      </c>
      <c r="E3105" s="6" t="n">
        <v>1</v>
      </c>
      <c r="F3105" s="6" t="s">
        <v>6129</v>
      </c>
      <c r="G3105" s="28" t="str">
        <f aca="false">IFERROR(INDEX('Semrush Data'!$A$1:$Z$20000,MATCH(A3105,'Semrush Data'!$A$1:$A$20000,0),MATCH("Volume",'Semrush Data'!$A$1:$Z$1,0)),"")</f>
        <v/>
      </c>
      <c r="H3105" s="6" t="str">
        <f aca="false">IFERROR(INDEX('Semrush Data'!$A$1:$Z$20000,MATCH(A3105,'Semrush Data'!$A$1:$A$20000,0),MATCH("Keyword Difficulty*",'Semrush Data'!$A$1:$Z$1,0)),"")</f>
        <v/>
      </c>
      <c r="I3105" s="29" t="str">
        <f aca="false">IFERROR(INDEX('Semrush Data'!$A$1:$Z$20000,MATCH(A3105,'Semrush Data'!$A$1:$A$20000,0),MATCH("CPC*",'Semrush Data'!$A$1:$Z$1,0)),"")</f>
        <v/>
      </c>
      <c r="J3105" s="6" t="str">
        <f aca="false">IFERROR(INDEX('Semrush Data'!$A$1:$Z$20000,MATCH(A3105,'Semrush Data'!$A$1:$A$20000,0),MATCH("Intent",'Semrush Data'!$A$1:$Z$1,0)),"")</f>
        <v/>
      </c>
    </row>
    <row r="3106" customFormat="false" ht="15" hidden="false" customHeight="true" outlineLevel="0" collapsed="false">
      <c r="A3106" s="6" t="s">
        <v>7766</v>
      </c>
      <c r="B3106" s="6" t="s">
        <v>239</v>
      </c>
      <c r="C3106" s="6" t="n">
        <v>3</v>
      </c>
      <c r="D3106" s="6" t="n">
        <v>32</v>
      </c>
      <c r="E3106" s="6" t="n">
        <v>1</v>
      </c>
      <c r="F3106" s="6" t="s">
        <v>6129</v>
      </c>
      <c r="G3106" s="28" t="str">
        <f aca="false">IFERROR(INDEX('Semrush Data'!$A$1:$Z$20000,MATCH(A3106,'Semrush Data'!$A$1:$A$20000,0),MATCH("Volume",'Semrush Data'!$A$1:$Z$1,0)),"")</f>
        <v/>
      </c>
      <c r="H3106" s="6" t="str">
        <f aca="false">IFERROR(INDEX('Semrush Data'!$A$1:$Z$20000,MATCH(A3106,'Semrush Data'!$A$1:$A$20000,0),MATCH("Keyword Difficulty*",'Semrush Data'!$A$1:$Z$1,0)),"")</f>
        <v/>
      </c>
      <c r="I3106" s="29" t="str">
        <f aca="false">IFERROR(INDEX('Semrush Data'!$A$1:$Z$20000,MATCH(A3106,'Semrush Data'!$A$1:$A$20000,0),MATCH("CPC*",'Semrush Data'!$A$1:$Z$1,0)),"")</f>
        <v/>
      </c>
      <c r="J3106" s="6" t="str">
        <f aca="false">IFERROR(INDEX('Semrush Data'!$A$1:$Z$20000,MATCH(A3106,'Semrush Data'!$A$1:$A$20000,0),MATCH("Intent",'Semrush Data'!$A$1:$Z$1,0)),"")</f>
        <v/>
      </c>
    </row>
    <row r="3107" customFormat="false" ht="15" hidden="false" customHeight="true" outlineLevel="0" collapsed="false">
      <c r="A3107" s="6" t="s">
        <v>7767</v>
      </c>
      <c r="B3107" s="6" t="s">
        <v>239</v>
      </c>
      <c r="C3107" s="6" t="n">
        <v>3</v>
      </c>
      <c r="D3107" s="6" t="n">
        <v>32</v>
      </c>
      <c r="E3107" s="6" t="n">
        <v>1</v>
      </c>
      <c r="F3107" s="6" t="s">
        <v>6129</v>
      </c>
      <c r="G3107" s="28" t="str">
        <f aca="false">IFERROR(INDEX('Semrush Data'!$A$1:$Z$20000,MATCH(A3107,'Semrush Data'!$A$1:$A$20000,0),MATCH("Volume",'Semrush Data'!$A$1:$Z$1,0)),"")</f>
        <v/>
      </c>
      <c r="H3107" s="6" t="str">
        <f aca="false">IFERROR(INDEX('Semrush Data'!$A$1:$Z$20000,MATCH(A3107,'Semrush Data'!$A$1:$A$20000,0),MATCH("Keyword Difficulty*",'Semrush Data'!$A$1:$Z$1,0)),"")</f>
        <v/>
      </c>
      <c r="I3107" s="29" t="str">
        <f aca="false">IFERROR(INDEX('Semrush Data'!$A$1:$Z$20000,MATCH(A3107,'Semrush Data'!$A$1:$A$20000,0),MATCH("CPC*",'Semrush Data'!$A$1:$Z$1,0)),"")</f>
        <v/>
      </c>
      <c r="J3107" s="6" t="str">
        <f aca="false">IFERROR(INDEX('Semrush Data'!$A$1:$Z$20000,MATCH(A3107,'Semrush Data'!$A$1:$A$20000,0),MATCH("Intent",'Semrush Data'!$A$1:$Z$1,0)),"")</f>
        <v/>
      </c>
    </row>
    <row r="3108" customFormat="false" ht="15" hidden="false" customHeight="true" outlineLevel="0" collapsed="false">
      <c r="A3108" s="6" t="s">
        <v>7768</v>
      </c>
      <c r="B3108" s="6" t="s">
        <v>239</v>
      </c>
      <c r="C3108" s="6" t="n">
        <v>3</v>
      </c>
      <c r="D3108" s="6" t="n">
        <v>32</v>
      </c>
      <c r="E3108" s="6" t="n">
        <v>1</v>
      </c>
      <c r="F3108" s="6" t="s">
        <v>6129</v>
      </c>
      <c r="G3108" s="28" t="str">
        <f aca="false">IFERROR(INDEX('Semrush Data'!$A$1:$Z$20000,MATCH(A3108,'Semrush Data'!$A$1:$A$20000,0),MATCH("Volume",'Semrush Data'!$A$1:$Z$1,0)),"")</f>
        <v/>
      </c>
      <c r="H3108" s="6" t="str">
        <f aca="false">IFERROR(INDEX('Semrush Data'!$A$1:$Z$20000,MATCH(A3108,'Semrush Data'!$A$1:$A$20000,0),MATCH("Keyword Difficulty*",'Semrush Data'!$A$1:$Z$1,0)),"")</f>
        <v/>
      </c>
      <c r="I3108" s="29" t="str">
        <f aca="false">IFERROR(INDEX('Semrush Data'!$A$1:$Z$20000,MATCH(A3108,'Semrush Data'!$A$1:$A$20000,0),MATCH("CPC*",'Semrush Data'!$A$1:$Z$1,0)),"")</f>
        <v/>
      </c>
      <c r="J3108" s="6" t="str">
        <f aca="false">IFERROR(INDEX('Semrush Data'!$A$1:$Z$20000,MATCH(A3108,'Semrush Data'!$A$1:$A$20000,0),MATCH("Intent",'Semrush Data'!$A$1:$Z$1,0)),"")</f>
        <v/>
      </c>
    </row>
    <row r="3109" customFormat="false" ht="15" hidden="false" customHeight="true" outlineLevel="0" collapsed="false">
      <c r="A3109" s="6" t="s">
        <v>7769</v>
      </c>
      <c r="B3109" s="6" t="s">
        <v>239</v>
      </c>
      <c r="C3109" s="6" t="n">
        <v>3</v>
      </c>
      <c r="D3109" s="6" t="n">
        <v>32</v>
      </c>
      <c r="E3109" s="6" t="n">
        <v>1</v>
      </c>
      <c r="F3109" s="6" t="s">
        <v>6142</v>
      </c>
      <c r="G3109" s="28" t="str">
        <f aca="false">IFERROR(INDEX('Semrush Data'!$A$1:$Z$20000,MATCH(A3109,'Semrush Data'!$A$1:$A$20000,0),MATCH("Volume",'Semrush Data'!$A$1:$Z$1,0)),"")</f>
        <v/>
      </c>
      <c r="H3109" s="6" t="str">
        <f aca="false">IFERROR(INDEX('Semrush Data'!$A$1:$Z$20000,MATCH(A3109,'Semrush Data'!$A$1:$A$20000,0),MATCH("Keyword Difficulty*",'Semrush Data'!$A$1:$Z$1,0)),"")</f>
        <v/>
      </c>
      <c r="I3109" s="29" t="str">
        <f aca="false">IFERROR(INDEX('Semrush Data'!$A$1:$Z$20000,MATCH(A3109,'Semrush Data'!$A$1:$A$20000,0),MATCH("CPC*",'Semrush Data'!$A$1:$Z$1,0)),"")</f>
        <v/>
      </c>
      <c r="J3109" s="6" t="str">
        <f aca="false">IFERROR(INDEX('Semrush Data'!$A$1:$Z$20000,MATCH(A3109,'Semrush Data'!$A$1:$A$20000,0),MATCH("Intent",'Semrush Data'!$A$1:$Z$1,0)),"")</f>
        <v/>
      </c>
    </row>
    <row r="3110" customFormat="false" ht="15" hidden="false" customHeight="true" outlineLevel="0" collapsed="false">
      <c r="A3110" s="6" t="s">
        <v>7770</v>
      </c>
      <c r="B3110" s="6" t="s">
        <v>239</v>
      </c>
      <c r="C3110" s="6" t="n">
        <v>3</v>
      </c>
      <c r="D3110" s="6" t="n">
        <v>32</v>
      </c>
      <c r="E3110" s="6" t="n">
        <v>1</v>
      </c>
      <c r="F3110" s="6" t="s">
        <v>6142</v>
      </c>
      <c r="G3110" s="28" t="str">
        <f aca="false">IFERROR(INDEX('Semrush Data'!$A$1:$Z$20000,MATCH(A3110,'Semrush Data'!$A$1:$A$20000,0),MATCH("Volume",'Semrush Data'!$A$1:$Z$1,0)),"")</f>
        <v/>
      </c>
      <c r="H3110" s="6" t="str">
        <f aca="false">IFERROR(INDEX('Semrush Data'!$A$1:$Z$20000,MATCH(A3110,'Semrush Data'!$A$1:$A$20000,0),MATCH("Keyword Difficulty*",'Semrush Data'!$A$1:$Z$1,0)),"")</f>
        <v/>
      </c>
      <c r="I3110" s="29" t="str">
        <f aca="false">IFERROR(INDEX('Semrush Data'!$A$1:$Z$20000,MATCH(A3110,'Semrush Data'!$A$1:$A$20000,0),MATCH("CPC*",'Semrush Data'!$A$1:$Z$1,0)),"")</f>
        <v/>
      </c>
      <c r="J3110" s="6" t="str">
        <f aca="false">IFERROR(INDEX('Semrush Data'!$A$1:$Z$20000,MATCH(A3110,'Semrush Data'!$A$1:$A$20000,0),MATCH("Intent",'Semrush Data'!$A$1:$Z$1,0)),"")</f>
        <v/>
      </c>
    </row>
    <row r="3111" customFormat="false" ht="15" hidden="false" customHeight="true" outlineLevel="0" collapsed="false">
      <c r="A3111" s="6" t="s">
        <v>7771</v>
      </c>
      <c r="B3111" s="6" t="s">
        <v>239</v>
      </c>
      <c r="C3111" s="6" t="n">
        <v>3</v>
      </c>
      <c r="D3111" s="6" t="n">
        <v>32</v>
      </c>
      <c r="E3111" s="6" t="n">
        <v>1</v>
      </c>
      <c r="F3111" s="6" t="s">
        <v>6142</v>
      </c>
      <c r="G3111" s="28" t="str">
        <f aca="false">IFERROR(INDEX('Semrush Data'!$A$1:$Z$20000,MATCH(A3111,'Semrush Data'!$A$1:$A$20000,0),MATCH("Volume",'Semrush Data'!$A$1:$Z$1,0)),"")</f>
        <v/>
      </c>
      <c r="H3111" s="6" t="str">
        <f aca="false">IFERROR(INDEX('Semrush Data'!$A$1:$Z$20000,MATCH(A3111,'Semrush Data'!$A$1:$A$20000,0),MATCH("Keyword Difficulty*",'Semrush Data'!$A$1:$Z$1,0)),"")</f>
        <v/>
      </c>
      <c r="I3111" s="29" t="str">
        <f aca="false">IFERROR(INDEX('Semrush Data'!$A$1:$Z$20000,MATCH(A3111,'Semrush Data'!$A$1:$A$20000,0),MATCH("CPC*",'Semrush Data'!$A$1:$Z$1,0)),"")</f>
        <v/>
      </c>
      <c r="J3111" s="6" t="str">
        <f aca="false">IFERROR(INDEX('Semrush Data'!$A$1:$Z$20000,MATCH(A3111,'Semrush Data'!$A$1:$A$20000,0),MATCH("Intent",'Semrush Data'!$A$1:$Z$1,0)),"")</f>
        <v/>
      </c>
    </row>
    <row r="3112" customFormat="false" ht="15" hidden="false" customHeight="true" outlineLevel="0" collapsed="false">
      <c r="A3112" s="6" t="s">
        <v>7772</v>
      </c>
      <c r="B3112" s="6" t="s">
        <v>239</v>
      </c>
      <c r="C3112" s="6" t="n">
        <v>3</v>
      </c>
      <c r="D3112" s="6" t="n">
        <v>32</v>
      </c>
      <c r="E3112" s="6" t="n">
        <v>1</v>
      </c>
      <c r="F3112" s="6" t="s">
        <v>6142</v>
      </c>
      <c r="G3112" s="28" t="str">
        <f aca="false">IFERROR(INDEX('Semrush Data'!$A$1:$Z$20000,MATCH(A3112,'Semrush Data'!$A$1:$A$20000,0),MATCH("Volume",'Semrush Data'!$A$1:$Z$1,0)),"")</f>
        <v/>
      </c>
      <c r="H3112" s="6" t="str">
        <f aca="false">IFERROR(INDEX('Semrush Data'!$A$1:$Z$20000,MATCH(A3112,'Semrush Data'!$A$1:$A$20000,0),MATCH("Keyword Difficulty*",'Semrush Data'!$A$1:$Z$1,0)),"")</f>
        <v/>
      </c>
      <c r="I3112" s="29" t="str">
        <f aca="false">IFERROR(INDEX('Semrush Data'!$A$1:$Z$20000,MATCH(A3112,'Semrush Data'!$A$1:$A$20000,0),MATCH("CPC*",'Semrush Data'!$A$1:$Z$1,0)),"")</f>
        <v/>
      </c>
      <c r="J3112" s="6" t="str">
        <f aca="false">IFERROR(INDEX('Semrush Data'!$A$1:$Z$20000,MATCH(A3112,'Semrush Data'!$A$1:$A$20000,0),MATCH("Intent",'Semrush Data'!$A$1:$Z$1,0)),"")</f>
        <v/>
      </c>
    </row>
    <row r="3113" customFormat="false" ht="15" hidden="false" customHeight="true" outlineLevel="0" collapsed="false">
      <c r="A3113" s="6" t="s">
        <v>7773</v>
      </c>
      <c r="B3113" s="6" t="s">
        <v>239</v>
      </c>
      <c r="C3113" s="6" t="n">
        <v>3</v>
      </c>
      <c r="D3113" s="6" t="n">
        <v>32</v>
      </c>
      <c r="E3113" s="6" t="n">
        <v>2</v>
      </c>
      <c r="F3113" s="6" t="s">
        <v>6861</v>
      </c>
      <c r="G3113" s="28" t="str">
        <f aca="false">IFERROR(INDEX('Semrush Data'!$A$1:$Z$20000,MATCH(A3113,'Semrush Data'!$A$1:$A$20000,0),MATCH("Volume",'Semrush Data'!$A$1:$Z$1,0)),"")</f>
        <v/>
      </c>
      <c r="H3113" s="6" t="str">
        <f aca="false">IFERROR(INDEX('Semrush Data'!$A$1:$Z$20000,MATCH(A3113,'Semrush Data'!$A$1:$A$20000,0),MATCH("Keyword Difficulty*",'Semrush Data'!$A$1:$Z$1,0)),"")</f>
        <v/>
      </c>
      <c r="I3113" s="29" t="str">
        <f aca="false">IFERROR(INDEX('Semrush Data'!$A$1:$Z$20000,MATCH(A3113,'Semrush Data'!$A$1:$A$20000,0),MATCH("CPC*",'Semrush Data'!$A$1:$Z$1,0)),"")</f>
        <v/>
      </c>
      <c r="J3113" s="6" t="str">
        <f aca="false">IFERROR(INDEX('Semrush Data'!$A$1:$Z$20000,MATCH(A3113,'Semrush Data'!$A$1:$A$20000,0),MATCH("Intent",'Semrush Data'!$A$1:$Z$1,0)),"")</f>
        <v/>
      </c>
    </row>
    <row r="3114" customFormat="false" ht="15" hidden="false" customHeight="true" outlineLevel="0" collapsed="false">
      <c r="A3114" s="6" t="s">
        <v>7774</v>
      </c>
      <c r="B3114" s="6" t="s">
        <v>239</v>
      </c>
      <c r="C3114" s="6" t="n">
        <v>3</v>
      </c>
      <c r="D3114" s="6" t="n">
        <v>32</v>
      </c>
      <c r="E3114" s="6" t="n">
        <v>2</v>
      </c>
      <c r="F3114" s="6" t="s">
        <v>6861</v>
      </c>
      <c r="G3114" s="28" t="str">
        <f aca="false">IFERROR(INDEX('Semrush Data'!$A$1:$Z$20000,MATCH(A3114,'Semrush Data'!$A$1:$A$20000,0),MATCH("Volume",'Semrush Data'!$A$1:$Z$1,0)),"")</f>
        <v/>
      </c>
      <c r="H3114" s="6" t="str">
        <f aca="false">IFERROR(INDEX('Semrush Data'!$A$1:$Z$20000,MATCH(A3114,'Semrush Data'!$A$1:$A$20000,0),MATCH("Keyword Difficulty*",'Semrush Data'!$A$1:$Z$1,0)),"")</f>
        <v/>
      </c>
      <c r="I3114" s="29" t="str">
        <f aca="false">IFERROR(INDEX('Semrush Data'!$A$1:$Z$20000,MATCH(A3114,'Semrush Data'!$A$1:$A$20000,0),MATCH("CPC*",'Semrush Data'!$A$1:$Z$1,0)),"")</f>
        <v/>
      </c>
      <c r="J3114" s="6" t="str">
        <f aca="false">IFERROR(INDEX('Semrush Data'!$A$1:$Z$20000,MATCH(A3114,'Semrush Data'!$A$1:$A$20000,0),MATCH("Intent",'Semrush Data'!$A$1:$Z$1,0)),"")</f>
        <v/>
      </c>
    </row>
    <row r="3115" customFormat="false" ht="15" hidden="false" customHeight="true" outlineLevel="0" collapsed="false">
      <c r="A3115" s="6" t="s">
        <v>7775</v>
      </c>
      <c r="B3115" s="6" t="s">
        <v>239</v>
      </c>
      <c r="C3115" s="6" t="n">
        <v>3</v>
      </c>
      <c r="D3115" s="6" t="n">
        <v>32</v>
      </c>
      <c r="E3115" s="6" t="n">
        <v>2</v>
      </c>
      <c r="F3115" s="6" t="s">
        <v>6861</v>
      </c>
      <c r="G3115" s="28" t="str">
        <f aca="false">IFERROR(INDEX('Semrush Data'!$A$1:$Z$20000,MATCH(A3115,'Semrush Data'!$A$1:$A$20000,0),MATCH("Volume",'Semrush Data'!$A$1:$Z$1,0)),"")</f>
        <v/>
      </c>
      <c r="H3115" s="6" t="str">
        <f aca="false">IFERROR(INDEX('Semrush Data'!$A$1:$Z$20000,MATCH(A3115,'Semrush Data'!$A$1:$A$20000,0),MATCH("Keyword Difficulty*",'Semrush Data'!$A$1:$Z$1,0)),"")</f>
        <v/>
      </c>
      <c r="I3115" s="29" t="str">
        <f aca="false">IFERROR(INDEX('Semrush Data'!$A$1:$Z$20000,MATCH(A3115,'Semrush Data'!$A$1:$A$20000,0),MATCH("CPC*",'Semrush Data'!$A$1:$Z$1,0)),"")</f>
        <v/>
      </c>
      <c r="J3115" s="6" t="str">
        <f aca="false">IFERROR(INDEX('Semrush Data'!$A$1:$Z$20000,MATCH(A3115,'Semrush Data'!$A$1:$A$20000,0),MATCH("Intent",'Semrush Data'!$A$1:$Z$1,0)),"")</f>
        <v/>
      </c>
    </row>
    <row r="3116" customFormat="false" ht="15" hidden="false" customHeight="true" outlineLevel="0" collapsed="false">
      <c r="A3116" s="6" t="s">
        <v>7776</v>
      </c>
      <c r="B3116" s="6" t="s">
        <v>239</v>
      </c>
      <c r="C3116" s="6" t="n">
        <v>3</v>
      </c>
      <c r="D3116" s="6" t="n">
        <v>32</v>
      </c>
      <c r="E3116" s="6" t="n">
        <v>2</v>
      </c>
      <c r="F3116" s="6" t="s">
        <v>6861</v>
      </c>
      <c r="G3116" s="28" t="str">
        <f aca="false">IFERROR(INDEX('Semrush Data'!$A$1:$Z$20000,MATCH(A3116,'Semrush Data'!$A$1:$A$20000,0),MATCH("Volume",'Semrush Data'!$A$1:$Z$1,0)),"")</f>
        <v/>
      </c>
      <c r="H3116" s="6" t="str">
        <f aca="false">IFERROR(INDEX('Semrush Data'!$A$1:$Z$20000,MATCH(A3116,'Semrush Data'!$A$1:$A$20000,0),MATCH("Keyword Difficulty*",'Semrush Data'!$A$1:$Z$1,0)),"")</f>
        <v/>
      </c>
      <c r="I3116" s="29" t="str">
        <f aca="false">IFERROR(INDEX('Semrush Data'!$A$1:$Z$20000,MATCH(A3116,'Semrush Data'!$A$1:$A$20000,0),MATCH("CPC*",'Semrush Data'!$A$1:$Z$1,0)),"")</f>
        <v/>
      </c>
      <c r="J3116" s="6" t="str">
        <f aca="false">IFERROR(INDEX('Semrush Data'!$A$1:$Z$20000,MATCH(A3116,'Semrush Data'!$A$1:$A$20000,0),MATCH("Intent",'Semrush Data'!$A$1:$Z$1,0)),"")</f>
        <v/>
      </c>
    </row>
    <row r="3117" customFormat="false" ht="15" hidden="false" customHeight="true" outlineLevel="0" collapsed="false">
      <c r="A3117" s="6" t="s">
        <v>7777</v>
      </c>
      <c r="B3117" s="6" t="s">
        <v>239</v>
      </c>
      <c r="C3117" s="6" t="n">
        <v>3</v>
      </c>
      <c r="D3117" s="6" t="n">
        <v>32</v>
      </c>
      <c r="E3117" s="6" t="n">
        <v>2</v>
      </c>
      <c r="F3117" s="6" t="s">
        <v>6861</v>
      </c>
      <c r="G3117" s="28" t="str">
        <f aca="false">IFERROR(INDEX('Semrush Data'!$A$1:$Z$20000,MATCH(A3117,'Semrush Data'!$A$1:$A$20000,0),MATCH("Volume",'Semrush Data'!$A$1:$Z$1,0)),"")</f>
        <v/>
      </c>
      <c r="H3117" s="6" t="str">
        <f aca="false">IFERROR(INDEX('Semrush Data'!$A$1:$Z$20000,MATCH(A3117,'Semrush Data'!$A$1:$A$20000,0),MATCH("Keyword Difficulty*",'Semrush Data'!$A$1:$Z$1,0)),"")</f>
        <v/>
      </c>
      <c r="I3117" s="29" t="str">
        <f aca="false">IFERROR(INDEX('Semrush Data'!$A$1:$Z$20000,MATCH(A3117,'Semrush Data'!$A$1:$A$20000,0),MATCH("CPC*",'Semrush Data'!$A$1:$Z$1,0)),"")</f>
        <v/>
      </c>
      <c r="J3117" s="6" t="str">
        <f aca="false">IFERROR(INDEX('Semrush Data'!$A$1:$Z$20000,MATCH(A3117,'Semrush Data'!$A$1:$A$20000,0),MATCH("Intent",'Semrush Data'!$A$1:$Z$1,0)),"")</f>
        <v/>
      </c>
    </row>
    <row r="3118" customFormat="false" ht="15" hidden="false" customHeight="true" outlineLevel="0" collapsed="false">
      <c r="A3118" s="6" t="s">
        <v>7778</v>
      </c>
      <c r="B3118" s="6" t="s">
        <v>239</v>
      </c>
      <c r="C3118" s="6" t="n">
        <v>3</v>
      </c>
      <c r="D3118" s="6" t="n">
        <v>32</v>
      </c>
      <c r="E3118" s="6" t="n">
        <v>1</v>
      </c>
      <c r="F3118" s="6" t="s">
        <v>6188</v>
      </c>
      <c r="G3118" s="28" t="str">
        <f aca="false">IFERROR(INDEX('Semrush Data'!$A$1:$Z$20000,MATCH(A3118,'Semrush Data'!$A$1:$A$20000,0),MATCH("Volume",'Semrush Data'!$A$1:$Z$1,0)),"")</f>
        <v/>
      </c>
      <c r="H3118" s="6" t="str">
        <f aca="false">IFERROR(INDEX('Semrush Data'!$A$1:$Z$20000,MATCH(A3118,'Semrush Data'!$A$1:$A$20000,0),MATCH("Keyword Difficulty*",'Semrush Data'!$A$1:$Z$1,0)),"")</f>
        <v/>
      </c>
      <c r="I3118" s="29" t="str">
        <f aca="false">IFERROR(INDEX('Semrush Data'!$A$1:$Z$20000,MATCH(A3118,'Semrush Data'!$A$1:$A$20000,0),MATCH("CPC*",'Semrush Data'!$A$1:$Z$1,0)),"")</f>
        <v/>
      </c>
      <c r="J3118" s="6" t="str">
        <f aca="false">IFERROR(INDEX('Semrush Data'!$A$1:$Z$20000,MATCH(A3118,'Semrush Data'!$A$1:$A$20000,0),MATCH("Intent",'Semrush Data'!$A$1:$Z$1,0)),"")</f>
        <v/>
      </c>
    </row>
    <row r="3119" customFormat="false" ht="15" hidden="false" customHeight="true" outlineLevel="0" collapsed="false">
      <c r="A3119" s="6" t="s">
        <v>7779</v>
      </c>
      <c r="B3119" s="6" t="s">
        <v>239</v>
      </c>
      <c r="C3119" s="6" t="n">
        <v>3</v>
      </c>
      <c r="D3119" s="6" t="n">
        <v>32</v>
      </c>
      <c r="E3119" s="6" t="n">
        <v>1</v>
      </c>
      <c r="F3119" s="6" t="s">
        <v>6188</v>
      </c>
      <c r="G3119" s="28" t="str">
        <f aca="false">IFERROR(INDEX('Semrush Data'!$A$1:$Z$20000,MATCH(A3119,'Semrush Data'!$A$1:$A$20000,0),MATCH("Volume",'Semrush Data'!$A$1:$Z$1,0)),"")</f>
        <v/>
      </c>
      <c r="H3119" s="6" t="str">
        <f aca="false">IFERROR(INDEX('Semrush Data'!$A$1:$Z$20000,MATCH(A3119,'Semrush Data'!$A$1:$A$20000,0),MATCH("Keyword Difficulty*",'Semrush Data'!$A$1:$Z$1,0)),"")</f>
        <v/>
      </c>
      <c r="I3119" s="29" t="str">
        <f aca="false">IFERROR(INDEX('Semrush Data'!$A$1:$Z$20000,MATCH(A3119,'Semrush Data'!$A$1:$A$20000,0),MATCH("CPC*",'Semrush Data'!$A$1:$Z$1,0)),"")</f>
        <v/>
      </c>
      <c r="J3119" s="6" t="str">
        <f aca="false">IFERROR(INDEX('Semrush Data'!$A$1:$Z$20000,MATCH(A3119,'Semrush Data'!$A$1:$A$20000,0),MATCH("Intent",'Semrush Data'!$A$1:$Z$1,0)),"")</f>
        <v/>
      </c>
    </row>
    <row r="3120" customFormat="false" ht="15" hidden="false" customHeight="true" outlineLevel="0" collapsed="false">
      <c r="A3120" s="6" t="s">
        <v>7780</v>
      </c>
      <c r="B3120" s="6" t="s">
        <v>239</v>
      </c>
      <c r="C3120" s="6" t="n">
        <v>3</v>
      </c>
      <c r="D3120" s="6" t="n">
        <v>32</v>
      </c>
      <c r="E3120" s="6" t="n">
        <v>1</v>
      </c>
      <c r="F3120" s="6" t="s">
        <v>6188</v>
      </c>
      <c r="G3120" s="28" t="str">
        <f aca="false">IFERROR(INDEX('Semrush Data'!$A$1:$Z$20000,MATCH(A3120,'Semrush Data'!$A$1:$A$20000,0),MATCH("Volume",'Semrush Data'!$A$1:$Z$1,0)),"")</f>
        <v/>
      </c>
      <c r="H3120" s="6" t="str">
        <f aca="false">IFERROR(INDEX('Semrush Data'!$A$1:$Z$20000,MATCH(A3120,'Semrush Data'!$A$1:$A$20000,0),MATCH("Keyword Difficulty*",'Semrush Data'!$A$1:$Z$1,0)),"")</f>
        <v/>
      </c>
      <c r="I3120" s="29" t="str">
        <f aca="false">IFERROR(INDEX('Semrush Data'!$A$1:$Z$20000,MATCH(A3120,'Semrush Data'!$A$1:$A$20000,0),MATCH("CPC*",'Semrush Data'!$A$1:$Z$1,0)),"")</f>
        <v/>
      </c>
      <c r="J3120" s="6" t="str">
        <f aca="false">IFERROR(INDEX('Semrush Data'!$A$1:$Z$20000,MATCH(A3120,'Semrush Data'!$A$1:$A$20000,0),MATCH("Intent",'Semrush Data'!$A$1:$Z$1,0)),"")</f>
        <v/>
      </c>
    </row>
    <row r="3121" customFormat="false" ht="15" hidden="false" customHeight="true" outlineLevel="0" collapsed="false">
      <c r="A3121" s="6" t="s">
        <v>7781</v>
      </c>
      <c r="B3121" s="6" t="s">
        <v>239</v>
      </c>
      <c r="C3121" s="6" t="n">
        <v>3</v>
      </c>
      <c r="D3121" s="6" t="n">
        <v>32</v>
      </c>
      <c r="E3121" s="6" t="n">
        <v>1</v>
      </c>
      <c r="F3121" s="6" t="s">
        <v>6188</v>
      </c>
      <c r="G3121" s="28" t="str">
        <f aca="false">IFERROR(INDEX('Semrush Data'!$A$1:$Z$20000,MATCH(A3121,'Semrush Data'!$A$1:$A$20000,0),MATCH("Volume",'Semrush Data'!$A$1:$Z$1,0)),"")</f>
        <v/>
      </c>
      <c r="H3121" s="6" t="str">
        <f aca="false">IFERROR(INDEX('Semrush Data'!$A$1:$Z$20000,MATCH(A3121,'Semrush Data'!$A$1:$A$20000,0),MATCH("Keyword Difficulty*",'Semrush Data'!$A$1:$Z$1,0)),"")</f>
        <v/>
      </c>
      <c r="I3121" s="29" t="str">
        <f aca="false">IFERROR(INDEX('Semrush Data'!$A$1:$Z$20000,MATCH(A3121,'Semrush Data'!$A$1:$A$20000,0),MATCH("CPC*",'Semrush Data'!$A$1:$Z$1,0)),"")</f>
        <v/>
      </c>
      <c r="J3121" s="6" t="str">
        <f aca="false">IFERROR(INDEX('Semrush Data'!$A$1:$Z$20000,MATCH(A3121,'Semrush Data'!$A$1:$A$20000,0),MATCH("Intent",'Semrush Data'!$A$1:$Z$1,0)),"")</f>
        <v/>
      </c>
    </row>
    <row r="3122" customFormat="false" ht="15" hidden="false" customHeight="true" outlineLevel="0" collapsed="false">
      <c r="A3122" s="6" t="s">
        <v>7782</v>
      </c>
      <c r="B3122" s="6" t="s">
        <v>239</v>
      </c>
      <c r="C3122" s="6" t="n">
        <v>3</v>
      </c>
      <c r="D3122" s="6" t="n">
        <v>32</v>
      </c>
      <c r="E3122" s="6" t="n">
        <v>1</v>
      </c>
      <c r="F3122" s="6" t="s">
        <v>6209</v>
      </c>
      <c r="G3122" s="28" t="str">
        <f aca="false">IFERROR(INDEX('Semrush Data'!$A$1:$Z$20000,MATCH(A3122,'Semrush Data'!$A$1:$A$20000,0),MATCH("Volume",'Semrush Data'!$A$1:$Z$1,0)),"")</f>
        <v/>
      </c>
      <c r="H3122" s="6" t="str">
        <f aca="false">IFERROR(INDEX('Semrush Data'!$A$1:$Z$20000,MATCH(A3122,'Semrush Data'!$A$1:$A$20000,0),MATCH("Keyword Difficulty*",'Semrush Data'!$A$1:$Z$1,0)),"")</f>
        <v/>
      </c>
      <c r="I3122" s="29" t="str">
        <f aca="false">IFERROR(INDEX('Semrush Data'!$A$1:$Z$20000,MATCH(A3122,'Semrush Data'!$A$1:$A$20000,0),MATCH("CPC*",'Semrush Data'!$A$1:$Z$1,0)),"")</f>
        <v/>
      </c>
      <c r="J3122" s="6" t="str">
        <f aca="false">IFERROR(INDEX('Semrush Data'!$A$1:$Z$20000,MATCH(A3122,'Semrush Data'!$A$1:$A$20000,0),MATCH("Intent",'Semrush Data'!$A$1:$Z$1,0)),"")</f>
        <v/>
      </c>
    </row>
    <row r="3123" customFormat="false" ht="15" hidden="false" customHeight="true" outlineLevel="0" collapsed="false">
      <c r="A3123" s="6" t="s">
        <v>7783</v>
      </c>
      <c r="B3123" s="6" t="s">
        <v>239</v>
      </c>
      <c r="C3123" s="6" t="n">
        <v>3</v>
      </c>
      <c r="D3123" s="6" t="n">
        <v>32</v>
      </c>
      <c r="E3123" s="6" t="n">
        <v>1</v>
      </c>
      <c r="F3123" s="6" t="s">
        <v>6209</v>
      </c>
      <c r="G3123" s="28" t="str">
        <f aca="false">IFERROR(INDEX('Semrush Data'!$A$1:$Z$20000,MATCH(A3123,'Semrush Data'!$A$1:$A$20000,0),MATCH("Volume",'Semrush Data'!$A$1:$Z$1,0)),"")</f>
        <v/>
      </c>
      <c r="H3123" s="6" t="str">
        <f aca="false">IFERROR(INDEX('Semrush Data'!$A$1:$Z$20000,MATCH(A3123,'Semrush Data'!$A$1:$A$20000,0),MATCH("Keyword Difficulty*",'Semrush Data'!$A$1:$Z$1,0)),"")</f>
        <v/>
      </c>
      <c r="I3123" s="29" t="str">
        <f aca="false">IFERROR(INDEX('Semrush Data'!$A$1:$Z$20000,MATCH(A3123,'Semrush Data'!$A$1:$A$20000,0),MATCH("CPC*",'Semrush Data'!$A$1:$Z$1,0)),"")</f>
        <v/>
      </c>
      <c r="J3123" s="6" t="str">
        <f aca="false">IFERROR(INDEX('Semrush Data'!$A$1:$Z$20000,MATCH(A3123,'Semrush Data'!$A$1:$A$20000,0),MATCH("Intent",'Semrush Data'!$A$1:$Z$1,0)),"")</f>
        <v/>
      </c>
    </row>
    <row r="3124" customFormat="false" ht="15" hidden="false" customHeight="true" outlineLevel="0" collapsed="false">
      <c r="A3124" s="6" t="s">
        <v>7784</v>
      </c>
      <c r="B3124" s="6" t="s">
        <v>239</v>
      </c>
      <c r="C3124" s="6" t="n">
        <v>3</v>
      </c>
      <c r="D3124" s="6" t="n">
        <v>32</v>
      </c>
      <c r="E3124" s="6" t="n">
        <v>1</v>
      </c>
      <c r="F3124" s="6" t="s">
        <v>6209</v>
      </c>
      <c r="G3124" s="28" t="str">
        <f aca="false">IFERROR(INDEX('Semrush Data'!$A$1:$Z$20000,MATCH(A3124,'Semrush Data'!$A$1:$A$20000,0),MATCH("Volume",'Semrush Data'!$A$1:$Z$1,0)),"")</f>
        <v/>
      </c>
      <c r="H3124" s="6" t="str">
        <f aca="false">IFERROR(INDEX('Semrush Data'!$A$1:$Z$20000,MATCH(A3124,'Semrush Data'!$A$1:$A$20000,0),MATCH("Keyword Difficulty*",'Semrush Data'!$A$1:$Z$1,0)),"")</f>
        <v/>
      </c>
      <c r="I3124" s="29" t="str">
        <f aca="false">IFERROR(INDEX('Semrush Data'!$A$1:$Z$20000,MATCH(A3124,'Semrush Data'!$A$1:$A$20000,0),MATCH("CPC*",'Semrush Data'!$A$1:$Z$1,0)),"")</f>
        <v/>
      </c>
      <c r="J3124" s="6" t="str">
        <f aca="false">IFERROR(INDEX('Semrush Data'!$A$1:$Z$20000,MATCH(A3124,'Semrush Data'!$A$1:$A$20000,0),MATCH("Intent",'Semrush Data'!$A$1:$Z$1,0)),"")</f>
        <v/>
      </c>
    </row>
    <row r="3125" customFormat="false" ht="15" hidden="false" customHeight="true" outlineLevel="0" collapsed="false">
      <c r="A3125" s="6" t="s">
        <v>7785</v>
      </c>
      <c r="B3125" s="6" t="s">
        <v>239</v>
      </c>
      <c r="C3125" s="6" t="n">
        <v>3</v>
      </c>
      <c r="D3125" s="6" t="n">
        <v>32</v>
      </c>
      <c r="E3125" s="6" t="n">
        <v>1</v>
      </c>
      <c r="F3125" s="6" t="s">
        <v>6209</v>
      </c>
      <c r="G3125" s="28" t="str">
        <f aca="false">IFERROR(INDEX('Semrush Data'!$A$1:$Z$20000,MATCH(A3125,'Semrush Data'!$A$1:$A$20000,0),MATCH("Volume",'Semrush Data'!$A$1:$Z$1,0)),"")</f>
        <v/>
      </c>
      <c r="H3125" s="6" t="str">
        <f aca="false">IFERROR(INDEX('Semrush Data'!$A$1:$Z$20000,MATCH(A3125,'Semrush Data'!$A$1:$A$20000,0),MATCH("Keyword Difficulty*",'Semrush Data'!$A$1:$Z$1,0)),"")</f>
        <v/>
      </c>
      <c r="I3125" s="29" t="str">
        <f aca="false">IFERROR(INDEX('Semrush Data'!$A$1:$Z$20000,MATCH(A3125,'Semrush Data'!$A$1:$A$20000,0),MATCH("CPC*",'Semrush Data'!$A$1:$Z$1,0)),"")</f>
        <v/>
      </c>
      <c r="J3125" s="6" t="str">
        <f aca="false">IFERROR(INDEX('Semrush Data'!$A$1:$Z$20000,MATCH(A3125,'Semrush Data'!$A$1:$A$20000,0),MATCH("Intent",'Semrush Data'!$A$1:$Z$1,0)),"")</f>
        <v/>
      </c>
    </row>
    <row r="3126" customFormat="false" ht="15" hidden="false" customHeight="true" outlineLevel="0" collapsed="false">
      <c r="A3126" s="6" t="s">
        <v>7786</v>
      </c>
      <c r="B3126" s="6" t="s">
        <v>239</v>
      </c>
      <c r="C3126" s="6" t="n">
        <v>3</v>
      </c>
      <c r="D3126" s="6" t="n">
        <v>32</v>
      </c>
      <c r="E3126" s="6" t="n">
        <v>1</v>
      </c>
      <c r="F3126" s="6" t="s">
        <v>6209</v>
      </c>
      <c r="G3126" s="28" t="str">
        <f aca="false">IFERROR(INDEX('Semrush Data'!$A$1:$Z$20000,MATCH(A3126,'Semrush Data'!$A$1:$A$20000,0),MATCH("Volume",'Semrush Data'!$A$1:$Z$1,0)),"")</f>
        <v/>
      </c>
      <c r="H3126" s="6" t="str">
        <f aca="false">IFERROR(INDEX('Semrush Data'!$A$1:$Z$20000,MATCH(A3126,'Semrush Data'!$A$1:$A$20000,0),MATCH("Keyword Difficulty*",'Semrush Data'!$A$1:$Z$1,0)),"")</f>
        <v/>
      </c>
      <c r="I3126" s="29" t="str">
        <f aca="false">IFERROR(INDEX('Semrush Data'!$A$1:$Z$20000,MATCH(A3126,'Semrush Data'!$A$1:$A$20000,0),MATCH("CPC*",'Semrush Data'!$A$1:$Z$1,0)),"")</f>
        <v/>
      </c>
      <c r="J3126" s="6" t="str">
        <f aca="false">IFERROR(INDEX('Semrush Data'!$A$1:$Z$20000,MATCH(A3126,'Semrush Data'!$A$1:$A$20000,0),MATCH("Intent",'Semrush Data'!$A$1:$Z$1,0)),"")</f>
        <v/>
      </c>
    </row>
    <row r="3127" customFormat="false" ht="15" hidden="false" customHeight="true" outlineLevel="0" collapsed="false">
      <c r="A3127" s="6" t="s">
        <v>7787</v>
      </c>
      <c r="B3127" s="6" t="s">
        <v>239</v>
      </c>
      <c r="C3127" s="6" t="n">
        <v>3</v>
      </c>
      <c r="D3127" s="6" t="n">
        <v>32</v>
      </c>
      <c r="E3127" s="6" t="n">
        <v>1</v>
      </c>
      <c r="F3127" s="6" t="s">
        <v>6220</v>
      </c>
      <c r="G3127" s="28" t="str">
        <f aca="false">IFERROR(INDEX('Semrush Data'!$A$1:$Z$20000,MATCH(A3127,'Semrush Data'!$A$1:$A$20000,0),MATCH("Volume",'Semrush Data'!$A$1:$Z$1,0)),"")</f>
        <v/>
      </c>
      <c r="H3127" s="6" t="str">
        <f aca="false">IFERROR(INDEX('Semrush Data'!$A$1:$Z$20000,MATCH(A3127,'Semrush Data'!$A$1:$A$20000,0),MATCH("Keyword Difficulty*",'Semrush Data'!$A$1:$Z$1,0)),"")</f>
        <v/>
      </c>
      <c r="I3127" s="29" t="str">
        <f aca="false">IFERROR(INDEX('Semrush Data'!$A$1:$Z$20000,MATCH(A3127,'Semrush Data'!$A$1:$A$20000,0),MATCH("CPC*",'Semrush Data'!$A$1:$Z$1,0)),"")</f>
        <v/>
      </c>
      <c r="J3127" s="6" t="str">
        <f aca="false">IFERROR(INDEX('Semrush Data'!$A$1:$Z$20000,MATCH(A3127,'Semrush Data'!$A$1:$A$20000,0),MATCH("Intent",'Semrush Data'!$A$1:$Z$1,0)),"")</f>
        <v/>
      </c>
    </row>
    <row r="3128" customFormat="false" ht="15" hidden="false" customHeight="true" outlineLevel="0" collapsed="false">
      <c r="A3128" s="6" t="s">
        <v>7788</v>
      </c>
      <c r="B3128" s="6" t="s">
        <v>239</v>
      </c>
      <c r="C3128" s="6" t="n">
        <v>3</v>
      </c>
      <c r="D3128" s="6" t="n">
        <v>32</v>
      </c>
      <c r="E3128" s="6" t="n">
        <v>1</v>
      </c>
      <c r="F3128" s="6" t="s">
        <v>6220</v>
      </c>
      <c r="G3128" s="28" t="str">
        <f aca="false">IFERROR(INDEX('Semrush Data'!$A$1:$Z$20000,MATCH(A3128,'Semrush Data'!$A$1:$A$20000,0),MATCH("Volume",'Semrush Data'!$A$1:$Z$1,0)),"")</f>
        <v/>
      </c>
      <c r="H3128" s="6" t="str">
        <f aca="false">IFERROR(INDEX('Semrush Data'!$A$1:$Z$20000,MATCH(A3128,'Semrush Data'!$A$1:$A$20000,0),MATCH("Keyword Difficulty*",'Semrush Data'!$A$1:$Z$1,0)),"")</f>
        <v/>
      </c>
      <c r="I3128" s="29" t="str">
        <f aca="false">IFERROR(INDEX('Semrush Data'!$A$1:$Z$20000,MATCH(A3128,'Semrush Data'!$A$1:$A$20000,0),MATCH("CPC*",'Semrush Data'!$A$1:$Z$1,0)),"")</f>
        <v/>
      </c>
      <c r="J3128" s="6" t="str">
        <f aca="false">IFERROR(INDEX('Semrush Data'!$A$1:$Z$20000,MATCH(A3128,'Semrush Data'!$A$1:$A$20000,0),MATCH("Intent",'Semrush Data'!$A$1:$Z$1,0)),"")</f>
        <v/>
      </c>
    </row>
    <row r="3129" customFormat="false" ht="15" hidden="false" customHeight="true" outlineLevel="0" collapsed="false">
      <c r="A3129" s="6" t="s">
        <v>7789</v>
      </c>
      <c r="B3129" s="6" t="s">
        <v>239</v>
      </c>
      <c r="C3129" s="6" t="n">
        <v>3</v>
      </c>
      <c r="D3129" s="6" t="n">
        <v>32</v>
      </c>
      <c r="E3129" s="6" t="n">
        <v>1</v>
      </c>
      <c r="F3129" s="6" t="s">
        <v>6220</v>
      </c>
      <c r="G3129" s="28" t="str">
        <f aca="false">IFERROR(INDEX('Semrush Data'!$A$1:$Z$20000,MATCH(A3129,'Semrush Data'!$A$1:$A$20000,0),MATCH("Volume",'Semrush Data'!$A$1:$Z$1,0)),"")</f>
        <v/>
      </c>
      <c r="H3129" s="6" t="str">
        <f aca="false">IFERROR(INDEX('Semrush Data'!$A$1:$Z$20000,MATCH(A3129,'Semrush Data'!$A$1:$A$20000,0),MATCH("Keyword Difficulty*",'Semrush Data'!$A$1:$Z$1,0)),"")</f>
        <v/>
      </c>
      <c r="I3129" s="29" t="str">
        <f aca="false">IFERROR(INDEX('Semrush Data'!$A$1:$Z$20000,MATCH(A3129,'Semrush Data'!$A$1:$A$20000,0),MATCH("CPC*",'Semrush Data'!$A$1:$Z$1,0)),"")</f>
        <v/>
      </c>
      <c r="J3129" s="6" t="str">
        <f aca="false">IFERROR(INDEX('Semrush Data'!$A$1:$Z$20000,MATCH(A3129,'Semrush Data'!$A$1:$A$20000,0),MATCH("Intent",'Semrush Data'!$A$1:$Z$1,0)),"")</f>
        <v/>
      </c>
    </row>
    <row r="3130" customFormat="false" ht="15" hidden="false" customHeight="true" outlineLevel="0" collapsed="false">
      <c r="A3130" s="6" t="s">
        <v>7790</v>
      </c>
      <c r="B3130" s="6" t="s">
        <v>239</v>
      </c>
      <c r="C3130" s="6" t="n">
        <v>3</v>
      </c>
      <c r="D3130" s="6" t="n">
        <v>32</v>
      </c>
      <c r="E3130" s="6" t="n">
        <v>1</v>
      </c>
      <c r="F3130" s="6" t="s">
        <v>6220</v>
      </c>
      <c r="G3130" s="28" t="str">
        <f aca="false">IFERROR(INDEX('Semrush Data'!$A$1:$Z$20000,MATCH(A3130,'Semrush Data'!$A$1:$A$20000,0),MATCH("Volume",'Semrush Data'!$A$1:$Z$1,0)),"")</f>
        <v/>
      </c>
      <c r="H3130" s="6" t="str">
        <f aca="false">IFERROR(INDEX('Semrush Data'!$A$1:$Z$20000,MATCH(A3130,'Semrush Data'!$A$1:$A$20000,0),MATCH("Keyword Difficulty*",'Semrush Data'!$A$1:$Z$1,0)),"")</f>
        <v/>
      </c>
      <c r="I3130" s="29" t="str">
        <f aca="false">IFERROR(INDEX('Semrush Data'!$A$1:$Z$20000,MATCH(A3130,'Semrush Data'!$A$1:$A$20000,0),MATCH("CPC*",'Semrush Data'!$A$1:$Z$1,0)),"")</f>
        <v/>
      </c>
      <c r="J3130" s="6" t="str">
        <f aca="false">IFERROR(INDEX('Semrush Data'!$A$1:$Z$20000,MATCH(A3130,'Semrush Data'!$A$1:$A$20000,0),MATCH("Intent",'Semrush Data'!$A$1:$Z$1,0)),"")</f>
        <v/>
      </c>
    </row>
    <row r="3131" customFormat="false" ht="15" hidden="false" customHeight="true" outlineLevel="0" collapsed="false">
      <c r="A3131" s="6" t="s">
        <v>7791</v>
      </c>
      <c r="B3131" s="6" t="s">
        <v>239</v>
      </c>
      <c r="C3131" s="6" t="n">
        <v>3</v>
      </c>
      <c r="D3131" s="6" t="n">
        <v>32</v>
      </c>
      <c r="E3131" s="6" t="n">
        <v>1</v>
      </c>
      <c r="F3131" s="6" t="s">
        <v>6231</v>
      </c>
      <c r="G3131" s="28" t="str">
        <f aca="false">IFERROR(INDEX('Semrush Data'!$A$1:$Z$20000,MATCH(A3131,'Semrush Data'!$A$1:$A$20000,0),MATCH("Volume",'Semrush Data'!$A$1:$Z$1,0)),"")</f>
        <v/>
      </c>
      <c r="H3131" s="6" t="str">
        <f aca="false">IFERROR(INDEX('Semrush Data'!$A$1:$Z$20000,MATCH(A3131,'Semrush Data'!$A$1:$A$20000,0),MATCH("Keyword Difficulty*",'Semrush Data'!$A$1:$Z$1,0)),"")</f>
        <v/>
      </c>
      <c r="I3131" s="29" t="str">
        <f aca="false">IFERROR(INDEX('Semrush Data'!$A$1:$Z$20000,MATCH(A3131,'Semrush Data'!$A$1:$A$20000,0),MATCH("CPC*",'Semrush Data'!$A$1:$Z$1,0)),"")</f>
        <v/>
      </c>
      <c r="J3131" s="6" t="str">
        <f aca="false">IFERROR(INDEX('Semrush Data'!$A$1:$Z$20000,MATCH(A3131,'Semrush Data'!$A$1:$A$20000,0),MATCH("Intent",'Semrush Data'!$A$1:$Z$1,0)),"")</f>
        <v/>
      </c>
    </row>
    <row r="3132" customFormat="false" ht="15" hidden="false" customHeight="true" outlineLevel="0" collapsed="false">
      <c r="A3132" s="6" t="s">
        <v>7792</v>
      </c>
      <c r="B3132" s="6" t="s">
        <v>239</v>
      </c>
      <c r="C3132" s="6" t="n">
        <v>3</v>
      </c>
      <c r="D3132" s="6" t="n">
        <v>32</v>
      </c>
      <c r="E3132" s="6" t="n">
        <v>1</v>
      </c>
      <c r="F3132" s="6" t="s">
        <v>6231</v>
      </c>
      <c r="G3132" s="28" t="str">
        <f aca="false">IFERROR(INDEX('Semrush Data'!$A$1:$Z$20000,MATCH(A3132,'Semrush Data'!$A$1:$A$20000,0),MATCH("Volume",'Semrush Data'!$A$1:$Z$1,0)),"")</f>
        <v/>
      </c>
      <c r="H3132" s="6" t="str">
        <f aca="false">IFERROR(INDEX('Semrush Data'!$A$1:$Z$20000,MATCH(A3132,'Semrush Data'!$A$1:$A$20000,0),MATCH("Keyword Difficulty*",'Semrush Data'!$A$1:$Z$1,0)),"")</f>
        <v/>
      </c>
      <c r="I3132" s="29" t="str">
        <f aca="false">IFERROR(INDEX('Semrush Data'!$A$1:$Z$20000,MATCH(A3132,'Semrush Data'!$A$1:$A$20000,0),MATCH("CPC*",'Semrush Data'!$A$1:$Z$1,0)),"")</f>
        <v/>
      </c>
      <c r="J3132" s="6" t="str">
        <f aca="false">IFERROR(INDEX('Semrush Data'!$A$1:$Z$20000,MATCH(A3132,'Semrush Data'!$A$1:$A$20000,0),MATCH("Intent",'Semrush Data'!$A$1:$Z$1,0)),"")</f>
        <v/>
      </c>
    </row>
    <row r="3133" customFormat="false" ht="15" hidden="false" customHeight="true" outlineLevel="0" collapsed="false">
      <c r="A3133" s="6" t="s">
        <v>7793</v>
      </c>
      <c r="B3133" s="6" t="s">
        <v>239</v>
      </c>
      <c r="C3133" s="6" t="n">
        <v>3</v>
      </c>
      <c r="D3133" s="6" t="n">
        <v>32</v>
      </c>
      <c r="E3133" s="6" t="n">
        <v>1</v>
      </c>
      <c r="F3133" s="6" t="s">
        <v>6231</v>
      </c>
      <c r="G3133" s="28" t="str">
        <f aca="false">IFERROR(INDEX('Semrush Data'!$A$1:$Z$20000,MATCH(A3133,'Semrush Data'!$A$1:$A$20000,0),MATCH("Volume",'Semrush Data'!$A$1:$Z$1,0)),"")</f>
        <v/>
      </c>
      <c r="H3133" s="6" t="str">
        <f aca="false">IFERROR(INDEX('Semrush Data'!$A$1:$Z$20000,MATCH(A3133,'Semrush Data'!$A$1:$A$20000,0),MATCH("Keyword Difficulty*",'Semrush Data'!$A$1:$Z$1,0)),"")</f>
        <v/>
      </c>
      <c r="I3133" s="29" t="str">
        <f aca="false">IFERROR(INDEX('Semrush Data'!$A$1:$Z$20000,MATCH(A3133,'Semrush Data'!$A$1:$A$20000,0),MATCH("CPC*",'Semrush Data'!$A$1:$Z$1,0)),"")</f>
        <v/>
      </c>
      <c r="J3133" s="6" t="str">
        <f aca="false">IFERROR(INDEX('Semrush Data'!$A$1:$Z$20000,MATCH(A3133,'Semrush Data'!$A$1:$A$20000,0),MATCH("Intent",'Semrush Data'!$A$1:$Z$1,0)),"")</f>
        <v/>
      </c>
    </row>
    <row r="3134" customFormat="false" ht="15" hidden="false" customHeight="true" outlineLevel="0" collapsed="false">
      <c r="A3134" s="6" t="s">
        <v>7794</v>
      </c>
      <c r="B3134" s="6" t="s">
        <v>239</v>
      </c>
      <c r="C3134" s="6" t="n">
        <v>3</v>
      </c>
      <c r="D3134" s="6" t="n">
        <v>32</v>
      </c>
      <c r="E3134" s="6" t="n">
        <v>1</v>
      </c>
      <c r="F3134" s="6" t="s">
        <v>6231</v>
      </c>
      <c r="G3134" s="28" t="str">
        <f aca="false">IFERROR(INDEX('Semrush Data'!$A$1:$Z$20000,MATCH(A3134,'Semrush Data'!$A$1:$A$20000,0),MATCH("Volume",'Semrush Data'!$A$1:$Z$1,0)),"")</f>
        <v/>
      </c>
      <c r="H3134" s="6" t="str">
        <f aca="false">IFERROR(INDEX('Semrush Data'!$A$1:$Z$20000,MATCH(A3134,'Semrush Data'!$A$1:$A$20000,0),MATCH("Keyword Difficulty*",'Semrush Data'!$A$1:$Z$1,0)),"")</f>
        <v/>
      </c>
      <c r="I3134" s="29" t="str">
        <f aca="false">IFERROR(INDEX('Semrush Data'!$A$1:$Z$20000,MATCH(A3134,'Semrush Data'!$A$1:$A$20000,0),MATCH("CPC*",'Semrush Data'!$A$1:$Z$1,0)),"")</f>
        <v/>
      </c>
      <c r="J3134" s="6" t="str">
        <f aca="false">IFERROR(INDEX('Semrush Data'!$A$1:$Z$20000,MATCH(A3134,'Semrush Data'!$A$1:$A$20000,0),MATCH("Intent",'Semrush Data'!$A$1:$Z$1,0)),"")</f>
        <v/>
      </c>
    </row>
    <row r="3135" customFormat="false" ht="15" hidden="false" customHeight="true" outlineLevel="0" collapsed="false">
      <c r="A3135" s="6" t="s">
        <v>7795</v>
      </c>
      <c r="B3135" s="6" t="s">
        <v>239</v>
      </c>
      <c r="C3135" s="6" t="n">
        <v>3</v>
      </c>
      <c r="D3135" s="6" t="n">
        <v>32</v>
      </c>
      <c r="E3135" s="6" t="n">
        <v>1</v>
      </c>
      <c r="F3135" s="6" t="s">
        <v>6242</v>
      </c>
      <c r="G3135" s="28" t="str">
        <f aca="false">IFERROR(INDEX('Semrush Data'!$A$1:$Z$20000,MATCH(A3135,'Semrush Data'!$A$1:$A$20000,0),MATCH("Volume",'Semrush Data'!$A$1:$Z$1,0)),"")</f>
        <v/>
      </c>
      <c r="H3135" s="6" t="str">
        <f aca="false">IFERROR(INDEX('Semrush Data'!$A$1:$Z$20000,MATCH(A3135,'Semrush Data'!$A$1:$A$20000,0),MATCH("Keyword Difficulty*",'Semrush Data'!$A$1:$Z$1,0)),"")</f>
        <v/>
      </c>
      <c r="I3135" s="29" t="str">
        <f aca="false">IFERROR(INDEX('Semrush Data'!$A$1:$Z$20000,MATCH(A3135,'Semrush Data'!$A$1:$A$20000,0),MATCH("CPC*",'Semrush Data'!$A$1:$Z$1,0)),"")</f>
        <v/>
      </c>
      <c r="J3135" s="6" t="str">
        <f aca="false">IFERROR(INDEX('Semrush Data'!$A$1:$Z$20000,MATCH(A3135,'Semrush Data'!$A$1:$A$20000,0),MATCH("Intent",'Semrush Data'!$A$1:$Z$1,0)),"")</f>
        <v/>
      </c>
    </row>
    <row r="3136" customFormat="false" ht="15" hidden="false" customHeight="true" outlineLevel="0" collapsed="false">
      <c r="A3136" s="6" t="s">
        <v>7796</v>
      </c>
      <c r="B3136" s="6" t="s">
        <v>239</v>
      </c>
      <c r="C3136" s="6" t="n">
        <v>3</v>
      </c>
      <c r="D3136" s="6" t="n">
        <v>32</v>
      </c>
      <c r="E3136" s="6" t="n">
        <v>1</v>
      </c>
      <c r="F3136" s="6" t="s">
        <v>6242</v>
      </c>
      <c r="G3136" s="28" t="str">
        <f aca="false">IFERROR(INDEX('Semrush Data'!$A$1:$Z$20000,MATCH(A3136,'Semrush Data'!$A$1:$A$20000,0),MATCH("Volume",'Semrush Data'!$A$1:$Z$1,0)),"")</f>
        <v/>
      </c>
      <c r="H3136" s="6" t="str">
        <f aca="false">IFERROR(INDEX('Semrush Data'!$A$1:$Z$20000,MATCH(A3136,'Semrush Data'!$A$1:$A$20000,0),MATCH("Keyword Difficulty*",'Semrush Data'!$A$1:$Z$1,0)),"")</f>
        <v/>
      </c>
      <c r="I3136" s="29" t="str">
        <f aca="false">IFERROR(INDEX('Semrush Data'!$A$1:$Z$20000,MATCH(A3136,'Semrush Data'!$A$1:$A$20000,0),MATCH("CPC*",'Semrush Data'!$A$1:$Z$1,0)),"")</f>
        <v/>
      </c>
      <c r="J3136" s="6" t="str">
        <f aca="false">IFERROR(INDEX('Semrush Data'!$A$1:$Z$20000,MATCH(A3136,'Semrush Data'!$A$1:$A$20000,0),MATCH("Intent",'Semrush Data'!$A$1:$Z$1,0)),"")</f>
        <v/>
      </c>
    </row>
    <row r="3137" customFormat="false" ht="15" hidden="false" customHeight="true" outlineLevel="0" collapsed="false">
      <c r="A3137" s="6" t="s">
        <v>7797</v>
      </c>
      <c r="B3137" s="6" t="s">
        <v>239</v>
      </c>
      <c r="C3137" s="6" t="n">
        <v>3</v>
      </c>
      <c r="D3137" s="6" t="n">
        <v>32</v>
      </c>
      <c r="E3137" s="6" t="n">
        <v>1</v>
      </c>
      <c r="F3137" s="6" t="s">
        <v>6242</v>
      </c>
      <c r="G3137" s="28" t="str">
        <f aca="false">IFERROR(INDEX('Semrush Data'!$A$1:$Z$20000,MATCH(A3137,'Semrush Data'!$A$1:$A$20000,0),MATCH("Volume",'Semrush Data'!$A$1:$Z$1,0)),"")</f>
        <v/>
      </c>
      <c r="H3137" s="6" t="str">
        <f aca="false">IFERROR(INDEX('Semrush Data'!$A$1:$Z$20000,MATCH(A3137,'Semrush Data'!$A$1:$A$20000,0),MATCH("Keyword Difficulty*",'Semrush Data'!$A$1:$Z$1,0)),"")</f>
        <v/>
      </c>
      <c r="I3137" s="29" t="str">
        <f aca="false">IFERROR(INDEX('Semrush Data'!$A$1:$Z$20000,MATCH(A3137,'Semrush Data'!$A$1:$A$20000,0),MATCH("CPC*",'Semrush Data'!$A$1:$Z$1,0)),"")</f>
        <v/>
      </c>
      <c r="J3137" s="6" t="str">
        <f aca="false">IFERROR(INDEX('Semrush Data'!$A$1:$Z$20000,MATCH(A3137,'Semrush Data'!$A$1:$A$20000,0),MATCH("Intent",'Semrush Data'!$A$1:$Z$1,0)),"")</f>
        <v/>
      </c>
    </row>
    <row r="3138" customFormat="false" ht="15" hidden="false" customHeight="true" outlineLevel="0" collapsed="false">
      <c r="A3138" s="6" t="s">
        <v>7798</v>
      </c>
      <c r="B3138" s="6" t="s">
        <v>239</v>
      </c>
      <c r="C3138" s="6" t="n">
        <v>3</v>
      </c>
      <c r="D3138" s="6" t="n">
        <v>32</v>
      </c>
      <c r="E3138" s="6" t="n">
        <v>1</v>
      </c>
      <c r="F3138" s="6" t="s">
        <v>6242</v>
      </c>
      <c r="G3138" s="28" t="str">
        <f aca="false">IFERROR(INDEX('Semrush Data'!$A$1:$Z$20000,MATCH(A3138,'Semrush Data'!$A$1:$A$20000,0),MATCH("Volume",'Semrush Data'!$A$1:$Z$1,0)),"")</f>
        <v/>
      </c>
      <c r="H3138" s="6" t="str">
        <f aca="false">IFERROR(INDEX('Semrush Data'!$A$1:$Z$20000,MATCH(A3138,'Semrush Data'!$A$1:$A$20000,0),MATCH("Keyword Difficulty*",'Semrush Data'!$A$1:$Z$1,0)),"")</f>
        <v/>
      </c>
      <c r="I3138" s="29" t="str">
        <f aca="false">IFERROR(INDEX('Semrush Data'!$A$1:$Z$20000,MATCH(A3138,'Semrush Data'!$A$1:$A$20000,0),MATCH("CPC*",'Semrush Data'!$A$1:$Z$1,0)),"")</f>
        <v/>
      </c>
      <c r="J3138" s="6" t="str">
        <f aca="false">IFERROR(INDEX('Semrush Data'!$A$1:$Z$20000,MATCH(A3138,'Semrush Data'!$A$1:$A$20000,0),MATCH("Intent",'Semrush Data'!$A$1:$Z$1,0)),"")</f>
        <v/>
      </c>
    </row>
    <row r="3139" customFormat="false" ht="15" hidden="false" customHeight="true" outlineLevel="0" collapsed="false">
      <c r="A3139" s="6" t="s">
        <v>7799</v>
      </c>
      <c r="B3139" s="6" t="s">
        <v>239</v>
      </c>
      <c r="C3139" s="6" t="n">
        <v>3</v>
      </c>
      <c r="D3139" s="6" t="s">
        <v>6870</v>
      </c>
      <c r="E3139" s="6" t="n">
        <v>1</v>
      </c>
      <c r="F3139" s="6" t="s">
        <v>105</v>
      </c>
      <c r="G3139" s="28" t="n">
        <f aca="false">IFERROR(INDEX('Semrush Data'!$A$1:$Z$20000,MATCH(A3139,'Semrush Data'!$A$1:$A$20000,0),MATCH("Volume",'Semrush Data'!$A$1:$Z$1,0)),"")</f>
        <v>20</v>
      </c>
      <c r="H3139" s="6" t="n">
        <f aca="false">IFERROR(INDEX('Semrush Data'!$A$1:$Z$20000,MATCH(A3139,'Semrush Data'!$A$1:$A$20000,0),MATCH("Keyword Difficulty*",'Semrush Data'!$A$1:$Z$1,0)),"")</f>
        <v>4</v>
      </c>
      <c r="I3139" s="29" t="n">
        <f aca="false">IFERROR(INDEX('Semrush Data'!$A$1:$Z$20000,MATCH(A3139,'Semrush Data'!$A$1:$A$20000,0),MATCH("CPC*",'Semrush Data'!$A$1:$Z$1,0)),"")</f>
        <v>0.81</v>
      </c>
      <c r="J3139" s="6" t="str">
        <f aca="false">IFERROR(INDEX('Semrush Data'!$A$1:$Z$20000,MATCH(A3139,'Semrush Data'!$A$1:$A$20000,0),MATCH("Intent",'Semrush Data'!$A$1:$Z$1,0)),"")</f>
        <v>Informational</v>
      </c>
    </row>
    <row r="3140" customFormat="false" ht="15" hidden="false" customHeight="true" outlineLevel="0" collapsed="false">
      <c r="A3140" s="6" t="s">
        <v>7800</v>
      </c>
      <c r="B3140" s="6" t="s">
        <v>239</v>
      </c>
      <c r="C3140" s="6" t="n">
        <v>3</v>
      </c>
      <c r="D3140" s="6" t="n">
        <v>32</v>
      </c>
      <c r="E3140" s="6" t="n">
        <v>1</v>
      </c>
      <c r="F3140" s="6" t="s">
        <v>105</v>
      </c>
      <c r="G3140" s="28" t="str">
        <f aca="false">IFERROR(INDEX('Semrush Data'!$A$1:$Z$20000,MATCH(A3140,'Semrush Data'!$A$1:$A$20000,0),MATCH("Volume",'Semrush Data'!$A$1:$Z$1,0)),"")</f>
        <v/>
      </c>
      <c r="H3140" s="6" t="str">
        <f aca="false">IFERROR(INDEX('Semrush Data'!$A$1:$Z$20000,MATCH(A3140,'Semrush Data'!$A$1:$A$20000,0),MATCH("Keyword Difficulty*",'Semrush Data'!$A$1:$Z$1,0)),"")</f>
        <v/>
      </c>
      <c r="I3140" s="29" t="str">
        <f aca="false">IFERROR(INDEX('Semrush Data'!$A$1:$Z$20000,MATCH(A3140,'Semrush Data'!$A$1:$A$20000,0),MATCH("CPC*",'Semrush Data'!$A$1:$Z$1,0)),"")</f>
        <v/>
      </c>
      <c r="J3140" s="6" t="str">
        <f aca="false">IFERROR(INDEX('Semrush Data'!$A$1:$Z$20000,MATCH(A3140,'Semrush Data'!$A$1:$A$20000,0),MATCH("Intent",'Semrush Data'!$A$1:$Z$1,0)),"")</f>
        <v/>
      </c>
    </row>
    <row r="3141" customFormat="false" ht="15" hidden="false" customHeight="true" outlineLevel="0" collapsed="false">
      <c r="A3141" s="6" t="s">
        <v>7801</v>
      </c>
      <c r="B3141" s="6" t="s">
        <v>239</v>
      </c>
      <c r="C3141" s="6" t="n">
        <v>3</v>
      </c>
      <c r="D3141" s="6" t="n">
        <v>32</v>
      </c>
      <c r="E3141" s="6" t="n">
        <v>1</v>
      </c>
      <c r="F3141" s="6" t="s">
        <v>105</v>
      </c>
      <c r="G3141" s="28" t="str">
        <f aca="false">IFERROR(INDEX('Semrush Data'!$A$1:$Z$20000,MATCH(A3141,'Semrush Data'!$A$1:$A$20000,0),MATCH("Volume",'Semrush Data'!$A$1:$Z$1,0)),"")</f>
        <v/>
      </c>
      <c r="H3141" s="6" t="str">
        <f aca="false">IFERROR(INDEX('Semrush Data'!$A$1:$Z$20000,MATCH(A3141,'Semrush Data'!$A$1:$A$20000,0),MATCH("Keyword Difficulty*",'Semrush Data'!$A$1:$Z$1,0)),"")</f>
        <v/>
      </c>
      <c r="I3141" s="29" t="str">
        <f aca="false">IFERROR(INDEX('Semrush Data'!$A$1:$Z$20000,MATCH(A3141,'Semrush Data'!$A$1:$A$20000,0),MATCH("CPC*",'Semrush Data'!$A$1:$Z$1,0)),"")</f>
        <v/>
      </c>
      <c r="J3141" s="6" t="str">
        <f aca="false">IFERROR(INDEX('Semrush Data'!$A$1:$Z$20000,MATCH(A3141,'Semrush Data'!$A$1:$A$20000,0),MATCH("Intent",'Semrush Data'!$A$1:$Z$1,0)),"")</f>
        <v/>
      </c>
    </row>
    <row r="3142" customFormat="false" ht="15" hidden="false" customHeight="true" outlineLevel="0" collapsed="false">
      <c r="A3142" s="6" t="s">
        <v>7802</v>
      </c>
      <c r="B3142" s="6" t="s">
        <v>239</v>
      </c>
      <c r="C3142" s="6" t="n">
        <v>3</v>
      </c>
      <c r="D3142" s="6" t="s">
        <v>6870</v>
      </c>
      <c r="E3142" s="6" t="n">
        <v>1</v>
      </c>
      <c r="F3142" s="6" t="s">
        <v>105</v>
      </c>
      <c r="G3142" s="28" t="n">
        <f aca="false">IFERROR(INDEX('Semrush Data'!$A$1:$Z$20000,MATCH(A3142,'Semrush Data'!$A$1:$A$20000,0),MATCH("Volume",'Semrush Data'!$A$1:$Z$1,0)),"")</f>
        <v>10</v>
      </c>
      <c r="H3142" s="6" t="n">
        <f aca="false">IFERROR(INDEX('Semrush Data'!$A$1:$Z$20000,MATCH(A3142,'Semrush Data'!$A$1:$A$20000,0),MATCH("Keyword Difficulty*",'Semrush Data'!$A$1:$Z$1,0)),"")</f>
        <v>18</v>
      </c>
      <c r="I3142" s="29" t="n">
        <f aca="false">IFERROR(INDEX('Semrush Data'!$A$1:$Z$20000,MATCH(A3142,'Semrush Data'!$A$1:$A$20000,0),MATCH("CPC*",'Semrush Data'!$A$1:$Z$1,0)),"")</f>
        <v>0</v>
      </c>
      <c r="J3142" s="6" t="str">
        <f aca="false">IFERROR(INDEX('Semrush Data'!$A$1:$Z$20000,MATCH(A3142,'Semrush Data'!$A$1:$A$20000,0),MATCH("Intent",'Semrush Data'!$A$1:$Z$1,0)),"")</f>
        <v>Commercial</v>
      </c>
    </row>
    <row r="3143" customFormat="false" ht="15" hidden="false" customHeight="true" outlineLevel="0" collapsed="false">
      <c r="A3143" s="6" t="s">
        <v>7803</v>
      </c>
      <c r="B3143" s="6" t="s">
        <v>239</v>
      </c>
      <c r="C3143" s="6" t="n">
        <v>3</v>
      </c>
      <c r="D3143" s="6" t="n">
        <v>32</v>
      </c>
      <c r="E3143" s="6" t="n">
        <v>1</v>
      </c>
      <c r="F3143" s="6" t="s">
        <v>6263</v>
      </c>
      <c r="G3143" s="28" t="str">
        <f aca="false">IFERROR(INDEX('Semrush Data'!$A$1:$Z$20000,MATCH(A3143,'Semrush Data'!$A$1:$A$20000,0),MATCH("Volume",'Semrush Data'!$A$1:$Z$1,0)),"")</f>
        <v/>
      </c>
      <c r="H3143" s="6" t="str">
        <f aca="false">IFERROR(INDEX('Semrush Data'!$A$1:$Z$20000,MATCH(A3143,'Semrush Data'!$A$1:$A$20000,0),MATCH("Keyword Difficulty*",'Semrush Data'!$A$1:$Z$1,0)),"")</f>
        <v/>
      </c>
      <c r="I3143" s="29" t="str">
        <f aca="false">IFERROR(INDEX('Semrush Data'!$A$1:$Z$20000,MATCH(A3143,'Semrush Data'!$A$1:$A$20000,0),MATCH("CPC*",'Semrush Data'!$A$1:$Z$1,0)),"")</f>
        <v/>
      </c>
      <c r="J3143" s="6" t="str">
        <f aca="false">IFERROR(INDEX('Semrush Data'!$A$1:$Z$20000,MATCH(A3143,'Semrush Data'!$A$1:$A$20000,0),MATCH("Intent",'Semrush Data'!$A$1:$Z$1,0)),"")</f>
        <v/>
      </c>
    </row>
    <row r="3144" customFormat="false" ht="15" hidden="false" customHeight="true" outlineLevel="0" collapsed="false">
      <c r="A3144" s="6" t="s">
        <v>7804</v>
      </c>
      <c r="B3144" s="6" t="s">
        <v>239</v>
      </c>
      <c r="C3144" s="6" t="n">
        <v>3</v>
      </c>
      <c r="D3144" s="6" t="n">
        <v>32</v>
      </c>
      <c r="E3144" s="6" t="n">
        <v>1</v>
      </c>
      <c r="F3144" s="6" t="s">
        <v>6263</v>
      </c>
      <c r="G3144" s="28" t="str">
        <f aca="false">IFERROR(INDEX('Semrush Data'!$A$1:$Z$20000,MATCH(A3144,'Semrush Data'!$A$1:$A$20000,0),MATCH("Volume",'Semrush Data'!$A$1:$Z$1,0)),"")</f>
        <v/>
      </c>
      <c r="H3144" s="6" t="str">
        <f aca="false">IFERROR(INDEX('Semrush Data'!$A$1:$Z$20000,MATCH(A3144,'Semrush Data'!$A$1:$A$20000,0),MATCH("Keyword Difficulty*",'Semrush Data'!$A$1:$Z$1,0)),"")</f>
        <v/>
      </c>
      <c r="I3144" s="29" t="str">
        <f aca="false">IFERROR(INDEX('Semrush Data'!$A$1:$Z$20000,MATCH(A3144,'Semrush Data'!$A$1:$A$20000,0),MATCH("CPC*",'Semrush Data'!$A$1:$Z$1,0)),"")</f>
        <v/>
      </c>
      <c r="J3144" s="6" t="str">
        <f aca="false">IFERROR(INDEX('Semrush Data'!$A$1:$Z$20000,MATCH(A3144,'Semrush Data'!$A$1:$A$20000,0),MATCH("Intent",'Semrush Data'!$A$1:$Z$1,0)),"")</f>
        <v/>
      </c>
    </row>
    <row r="3145" customFormat="false" ht="15" hidden="false" customHeight="true" outlineLevel="0" collapsed="false">
      <c r="A3145" s="6" t="s">
        <v>7805</v>
      </c>
      <c r="B3145" s="6" t="s">
        <v>239</v>
      </c>
      <c r="C3145" s="6" t="n">
        <v>3</v>
      </c>
      <c r="D3145" s="6" t="n">
        <v>32</v>
      </c>
      <c r="E3145" s="6" t="n">
        <v>1</v>
      </c>
      <c r="F3145" s="6" t="s">
        <v>6263</v>
      </c>
      <c r="G3145" s="28" t="str">
        <f aca="false">IFERROR(INDEX('Semrush Data'!$A$1:$Z$20000,MATCH(A3145,'Semrush Data'!$A$1:$A$20000,0),MATCH("Volume",'Semrush Data'!$A$1:$Z$1,0)),"")</f>
        <v/>
      </c>
      <c r="H3145" s="6" t="str">
        <f aca="false">IFERROR(INDEX('Semrush Data'!$A$1:$Z$20000,MATCH(A3145,'Semrush Data'!$A$1:$A$20000,0),MATCH("Keyword Difficulty*",'Semrush Data'!$A$1:$Z$1,0)),"")</f>
        <v/>
      </c>
      <c r="I3145" s="29" t="str">
        <f aca="false">IFERROR(INDEX('Semrush Data'!$A$1:$Z$20000,MATCH(A3145,'Semrush Data'!$A$1:$A$20000,0),MATCH("CPC*",'Semrush Data'!$A$1:$Z$1,0)),"")</f>
        <v/>
      </c>
      <c r="J3145" s="6" t="str">
        <f aca="false">IFERROR(INDEX('Semrush Data'!$A$1:$Z$20000,MATCH(A3145,'Semrush Data'!$A$1:$A$20000,0),MATCH("Intent",'Semrush Data'!$A$1:$Z$1,0)),"")</f>
        <v/>
      </c>
    </row>
    <row r="3146" customFormat="false" ht="15" hidden="false" customHeight="true" outlineLevel="0" collapsed="false">
      <c r="A3146" s="6" t="s">
        <v>7806</v>
      </c>
      <c r="B3146" s="6" t="s">
        <v>239</v>
      </c>
      <c r="C3146" s="6" t="n">
        <v>3</v>
      </c>
      <c r="D3146" s="6" t="n">
        <v>32</v>
      </c>
      <c r="E3146" s="6" t="n">
        <v>1</v>
      </c>
      <c r="F3146" s="6" t="s">
        <v>6263</v>
      </c>
      <c r="G3146" s="28" t="str">
        <f aca="false">IFERROR(INDEX('Semrush Data'!$A$1:$Z$20000,MATCH(A3146,'Semrush Data'!$A$1:$A$20000,0),MATCH("Volume",'Semrush Data'!$A$1:$Z$1,0)),"")</f>
        <v/>
      </c>
      <c r="H3146" s="6" t="str">
        <f aca="false">IFERROR(INDEX('Semrush Data'!$A$1:$Z$20000,MATCH(A3146,'Semrush Data'!$A$1:$A$20000,0),MATCH("Keyword Difficulty*",'Semrush Data'!$A$1:$Z$1,0)),"")</f>
        <v/>
      </c>
      <c r="I3146" s="29" t="str">
        <f aca="false">IFERROR(INDEX('Semrush Data'!$A$1:$Z$20000,MATCH(A3146,'Semrush Data'!$A$1:$A$20000,0),MATCH("CPC*",'Semrush Data'!$A$1:$Z$1,0)),"")</f>
        <v/>
      </c>
      <c r="J3146" s="6" t="str">
        <f aca="false">IFERROR(INDEX('Semrush Data'!$A$1:$Z$20000,MATCH(A3146,'Semrush Data'!$A$1:$A$20000,0),MATCH("Intent",'Semrush Data'!$A$1:$Z$1,0)),"")</f>
        <v/>
      </c>
    </row>
    <row r="3147" customFormat="false" ht="15" hidden="false" customHeight="true" outlineLevel="0" collapsed="false">
      <c r="A3147" s="6" t="s">
        <v>7807</v>
      </c>
      <c r="B3147" s="6" t="s">
        <v>239</v>
      </c>
      <c r="C3147" s="6" t="n">
        <v>3</v>
      </c>
      <c r="D3147" s="6" t="n">
        <v>32</v>
      </c>
      <c r="E3147" s="6" t="n">
        <v>1</v>
      </c>
      <c r="F3147" s="6" t="s">
        <v>6274</v>
      </c>
      <c r="G3147" s="28" t="str">
        <f aca="false">IFERROR(INDEX('Semrush Data'!$A$1:$Z$20000,MATCH(A3147,'Semrush Data'!$A$1:$A$20000,0),MATCH("Volume",'Semrush Data'!$A$1:$Z$1,0)),"")</f>
        <v/>
      </c>
      <c r="H3147" s="6" t="str">
        <f aca="false">IFERROR(INDEX('Semrush Data'!$A$1:$Z$20000,MATCH(A3147,'Semrush Data'!$A$1:$A$20000,0),MATCH("Keyword Difficulty*",'Semrush Data'!$A$1:$Z$1,0)),"")</f>
        <v/>
      </c>
      <c r="I3147" s="29" t="str">
        <f aca="false">IFERROR(INDEX('Semrush Data'!$A$1:$Z$20000,MATCH(A3147,'Semrush Data'!$A$1:$A$20000,0),MATCH("CPC*",'Semrush Data'!$A$1:$Z$1,0)),"")</f>
        <v/>
      </c>
      <c r="J3147" s="6" t="str">
        <f aca="false">IFERROR(INDEX('Semrush Data'!$A$1:$Z$20000,MATCH(A3147,'Semrush Data'!$A$1:$A$20000,0),MATCH("Intent",'Semrush Data'!$A$1:$Z$1,0)),"")</f>
        <v/>
      </c>
    </row>
    <row r="3148" customFormat="false" ht="15" hidden="false" customHeight="true" outlineLevel="0" collapsed="false">
      <c r="A3148" s="6" t="s">
        <v>7808</v>
      </c>
      <c r="B3148" s="6" t="s">
        <v>239</v>
      </c>
      <c r="C3148" s="6" t="n">
        <v>3</v>
      </c>
      <c r="D3148" s="6" t="n">
        <v>32</v>
      </c>
      <c r="E3148" s="6" t="n">
        <v>1</v>
      </c>
      <c r="F3148" s="6" t="s">
        <v>6274</v>
      </c>
      <c r="G3148" s="28" t="str">
        <f aca="false">IFERROR(INDEX('Semrush Data'!$A$1:$Z$20000,MATCH(A3148,'Semrush Data'!$A$1:$A$20000,0),MATCH("Volume",'Semrush Data'!$A$1:$Z$1,0)),"")</f>
        <v/>
      </c>
      <c r="H3148" s="6" t="str">
        <f aca="false">IFERROR(INDEX('Semrush Data'!$A$1:$Z$20000,MATCH(A3148,'Semrush Data'!$A$1:$A$20000,0),MATCH("Keyword Difficulty*",'Semrush Data'!$A$1:$Z$1,0)),"")</f>
        <v/>
      </c>
      <c r="I3148" s="29" t="str">
        <f aca="false">IFERROR(INDEX('Semrush Data'!$A$1:$Z$20000,MATCH(A3148,'Semrush Data'!$A$1:$A$20000,0),MATCH("CPC*",'Semrush Data'!$A$1:$Z$1,0)),"")</f>
        <v/>
      </c>
      <c r="J3148" s="6" t="str">
        <f aca="false">IFERROR(INDEX('Semrush Data'!$A$1:$Z$20000,MATCH(A3148,'Semrush Data'!$A$1:$A$20000,0),MATCH("Intent",'Semrush Data'!$A$1:$Z$1,0)),"")</f>
        <v/>
      </c>
    </row>
    <row r="3149" customFormat="false" ht="15" hidden="false" customHeight="true" outlineLevel="0" collapsed="false">
      <c r="A3149" s="6" t="s">
        <v>7809</v>
      </c>
      <c r="B3149" s="6" t="s">
        <v>239</v>
      </c>
      <c r="C3149" s="6" t="n">
        <v>3</v>
      </c>
      <c r="D3149" s="6" t="n">
        <v>32</v>
      </c>
      <c r="E3149" s="6" t="n">
        <v>1</v>
      </c>
      <c r="F3149" s="6" t="s">
        <v>6274</v>
      </c>
      <c r="G3149" s="28" t="str">
        <f aca="false">IFERROR(INDEX('Semrush Data'!$A$1:$Z$20000,MATCH(A3149,'Semrush Data'!$A$1:$A$20000,0),MATCH("Volume",'Semrush Data'!$A$1:$Z$1,0)),"")</f>
        <v/>
      </c>
      <c r="H3149" s="6" t="str">
        <f aca="false">IFERROR(INDEX('Semrush Data'!$A$1:$Z$20000,MATCH(A3149,'Semrush Data'!$A$1:$A$20000,0),MATCH("Keyword Difficulty*",'Semrush Data'!$A$1:$Z$1,0)),"")</f>
        <v/>
      </c>
      <c r="I3149" s="29" t="str">
        <f aca="false">IFERROR(INDEX('Semrush Data'!$A$1:$Z$20000,MATCH(A3149,'Semrush Data'!$A$1:$A$20000,0),MATCH("CPC*",'Semrush Data'!$A$1:$Z$1,0)),"")</f>
        <v/>
      </c>
      <c r="J3149" s="6" t="str">
        <f aca="false">IFERROR(INDEX('Semrush Data'!$A$1:$Z$20000,MATCH(A3149,'Semrush Data'!$A$1:$A$20000,0),MATCH("Intent",'Semrush Data'!$A$1:$Z$1,0)),"")</f>
        <v/>
      </c>
    </row>
    <row r="3150" customFormat="false" ht="15" hidden="false" customHeight="true" outlineLevel="0" collapsed="false">
      <c r="A3150" s="6" t="s">
        <v>7810</v>
      </c>
      <c r="B3150" s="6" t="s">
        <v>239</v>
      </c>
      <c r="C3150" s="6" t="n">
        <v>3</v>
      </c>
      <c r="D3150" s="6" t="n">
        <v>32</v>
      </c>
      <c r="E3150" s="6" t="n">
        <v>1</v>
      </c>
      <c r="F3150" s="6" t="s">
        <v>6274</v>
      </c>
      <c r="G3150" s="28" t="str">
        <f aca="false">IFERROR(INDEX('Semrush Data'!$A$1:$Z$20000,MATCH(A3150,'Semrush Data'!$A$1:$A$20000,0),MATCH("Volume",'Semrush Data'!$A$1:$Z$1,0)),"")</f>
        <v/>
      </c>
      <c r="H3150" s="6" t="str">
        <f aca="false">IFERROR(INDEX('Semrush Data'!$A$1:$Z$20000,MATCH(A3150,'Semrush Data'!$A$1:$A$20000,0),MATCH("Keyword Difficulty*",'Semrush Data'!$A$1:$Z$1,0)),"")</f>
        <v/>
      </c>
      <c r="I3150" s="29" t="str">
        <f aca="false">IFERROR(INDEX('Semrush Data'!$A$1:$Z$20000,MATCH(A3150,'Semrush Data'!$A$1:$A$20000,0),MATCH("CPC*",'Semrush Data'!$A$1:$Z$1,0)),"")</f>
        <v/>
      </c>
      <c r="J3150" s="6" t="str">
        <f aca="false">IFERROR(INDEX('Semrush Data'!$A$1:$Z$20000,MATCH(A3150,'Semrush Data'!$A$1:$A$20000,0),MATCH("Intent",'Semrush Data'!$A$1:$Z$1,0)),"")</f>
        <v/>
      </c>
    </row>
    <row r="3151" customFormat="false" ht="15" hidden="false" customHeight="true" outlineLevel="0" collapsed="false">
      <c r="A3151" s="6" t="s">
        <v>7811</v>
      </c>
      <c r="B3151" s="6" t="s">
        <v>239</v>
      </c>
      <c r="C3151" s="6" t="n">
        <v>3</v>
      </c>
      <c r="D3151" s="6" t="n">
        <v>32</v>
      </c>
      <c r="E3151" s="6" t="n">
        <v>1</v>
      </c>
      <c r="F3151" s="6" t="s">
        <v>6274</v>
      </c>
      <c r="G3151" s="28" t="str">
        <f aca="false">IFERROR(INDEX('Semrush Data'!$A$1:$Z$20000,MATCH(A3151,'Semrush Data'!$A$1:$A$20000,0),MATCH("Volume",'Semrush Data'!$A$1:$Z$1,0)),"")</f>
        <v/>
      </c>
      <c r="H3151" s="6" t="str">
        <f aca="false">IFERROR(INDEX('Semrush Data'!$A$1:$Z$20000,MATCH(A3151,'Semrush Data'!$A$1:$A$20000,0),MATCH("Keyword Difficulty*",'Semrush Data'!$A$1:$Z$1,0)),"")</f>
        <v/>
      </c>
      <c r="I3151" s="29" t="str">
        <f aca="false">IFERROR(INDEX('Semrush Data'!$A$1:$Z$20000,MATCH(A3151,'Semrush Data'!$A$1:$A$20000,0),MATCH("CPC*",'Semrush Data'!$A$1:$Z$1,0)),"")</f>
        <v/>
      </c>
      <c r="J3151" s="6" t="str">
        <f aca="false">IFERROR(INDEX('Semrush Data'!$A$1:$Z$20000,MATCH(A3151,'Semrush Data'!$A$1:$A$20000,0),MATCH("Intent",'Semrush Data'!$A$1:$Z$1,0)),"")</f>
        <v/>
      </c>
    </row>
    <row r="3152" customFormat="false" ht="15" hidden="false" customHeight="true" outlineLevel="0" collapsed="false">
      <c r="A3152" s="6" t="s">
        <v>7812</v>
      </c>
      <c r="B3152" s="6" t="s">
        <v>239</v>
      </c>
      <c r="C3152" s="6" t="n">
        <v>3</v>
      </c>
      <c r="D3152" s="6" t="n">
        <v>32</v>
      </c>
      <c r="E3152" s="6" t="n">
        <v>1</v>
      </c>
      <c r="F3152" s="6" t="s">
        <v>6285</v>
      </c>
      <c r="G3152" s="28" t="str">
        <f aca="false">IFERROR(INDEX('Semrush Data'!$A$1:$Z$20000,MATCH(A3152,'Semrush Data'!$A$1:$A$20000,0),MATCH("Volume",'Semrush Data'!$A$1:$Z$1,0)),"")</f>
        <v/>
      </c>
      <c r="H3152" s="6" t="str">
        <f aca="false">IFERROR(INDEX('Semrush Data'!$A$1:$Z$20000,MATCH(A3152,'Semrush Data'!$A$1:$A$20000,0),MATCH("Keyword Difficulty*",'Semrush Data'!$A$1:$Z$1,0)),"")</f>
        <v/>
      </c>
      <c r="I3152" s="29" t="str">
        <f aca="false">IFERROR(INDEX('Semrush Data'!$A$1:$Z$20000,MATCH(A3152,'Semrush Data'!$A$1:$A$20000,0),MATCH("CPC*",'Semrush Data'!$A$1:$Z$1,0)),"")</f>
        <v/>
      </c>
      <c r="J3152" s="6" t="str">
        <f aca="false">IFERROR(INDEX('Semrush Data'!$A$1:$Z$20000,MATCH(A3152,'Semrush Data'!$A$1:$A$20000,0),MATCH("Intent",'Semrush Data'!$A$1:$Z$1,0)),"")</f>
        <v/>
      </c>
    </row>
    <row r="3153" customFormat="false" ht="15" hidden="false" customHeight="true" outlineLevel="0" collapsed="false">
      <c r="A3153" s="6" t="s">
        <v>7813</v>
      </c>
      <c r="B3153" s="6" t="s">
        <v>239</v>
      </c>
      <c r="C3153" s="6" t="n">
        <v>3</v>
      </c>
      <c r="D3153" s="6" t="n">
        <v>32</v>
      </c>
      <c r="E3153" s="6" t="n">
        <v>1</v>
      </c>
      <c r="F3153" s="6" t="s">
        <v>6285</v>
      </c>
      <c r="G3153" s="28" t="str">
        <f aca="false">IFERROR(INDEX('Semrush Data'!$A$1:$Z$20000,MATCH(A3153,'Semrush Data'!$A$1:$A$20000,0),MATCH("Volume",'Semrush Data'!$A$1:$Z$1,0)),"")</f>
        <v/>
      </c>
      <c r="H3153" s="6" t="str">
        <f aca="false">IFERROR(INDEX('Semrush Data'!$A$1:$Z$20000,MATCH(A3153,'Semrush Data'!$A$1:$A$20000,0),MATCH("Keyword Difficulty*",'Semrush Data'!$A$1:$Z$1,0)),"")</f>
        <v/>
      </c>
      <c r="I3153" s="29" t="str">
        <f aca="false">IFERROR(INDEX('Semrush Data'!$A$1:$Z$20000,MATCH(A3153,'Semrush Data'!$A$1:$A$20000,0),MATCH("CPC*",'Semrush Data'!$A$1:$Z$1,0)),"")</f>
        <v/>
      </c>
      <c r="J3153" s="6" t="str">
        <f aca="false">IFERROR(INDEX('Semrush Data'!$A$1:$Z$20000,MATCH(A3153,'Semrush Data'!$A$1:$A$20000,0),MATCH("Intent",'Semrush Data'!$A$1:$Z$1,0)),"")</f>
        <v/>
      </c>
    </row>
    <row r="3154" customFormat="false" ht="15" hidden="false" customHeight="true" outlineLevel="0" collapsed="false">
      <c r="A3154" s="6" t="s">
        <v>7814</v>
      </c>
      <c r="B3154" s="6" t="s">
        <v>239</v>
      </c>
      <c r="C3154" s="6" t="n">
        <v>3</v>
      </c>
      <c r="D3154" s="6" t="n">
        <v>32</v>
      </c>
      <c r="E3154" s="6" t="n">
        <v>1</v>
      </c>
      <c r="F3154" s="6" t="s">
        <v>6306</v>
      </c>
      <c r="G3154" s="28" t="str">
        <f aca="false">IFERROR(INDEX('Semrush Data'!$A$1:$Z$20000,MATCH(A3154,'Semrush Data'!$A$1:$A$20000,0),MATCH("Volume",'Semrush Data'!$A$1:$Z$1,0)),"")</f>
        <v/>
      </c>
      <c r="H3154" s="6" t="str">
        <f aca="false">IFERROR(INDEX('Semrush Data'!$A$1:$Z$20000,MATCH(A3154,'Semrush Data'!$A$1:$A$20000,0),MATCH("Keyword Difficulty*",'Semrush Data'!$A$1:$Z$1,0)),"")</f>
        <v/>
      </c>
      <c r="I3154" s="29" t="str">
        <f aca="false">IFERROR(INDEX('Semrush Data'!$A$1:$Z$20000,MATCH(A3154,'Semrush Data'!$A$1:$A$20000,0),MATCH("CPC*",'Semrush Data'!$A$1:$Z$1,0)),"")</f>
        <v/>
      </c>
      <c r="J3154" s="6" t="str">
        <f aca="false">IFERROR(INDEX('Semrush Data'!$A$1:$Z$20000,MATCH(A3154,'Semrush Data'!$A$1:$A$20000,0),MATCH("Intent",'Semrush Data'!$A$1:$Z$1,0)),"")</f>
        <v/>
      </c>
    </row>
    <row r="3155" customFormat="false" ht="15" hidden="false" customHeight="true" outlineLevel="0" collapsed="false">
      <c r="A3155" s="6" t="s">
        <v>7815</v>
      </c>
      <c r="B3155" s="6" t="s">
        <v>239</v>
      </c>
      <c r="C3155" s="6" t="n">
        <v>3</v>
      </c>
      <c r="D3155" s="6" t="n">
        <v>32</v>
      </c>
      <c r="E3155" s="6" t="n">
        <v>1</v>
      </c>
      <c r="F3155" s="6" t="s">
        <v>6306</v>
      </c>
      <c r="G3155" s="28" t="str">
        <f aca="false">IFERROR(INDEX('Semrush Data'!$A$1:$Z$20000,MATCH(A3155,'Semrush Data'!$A$1:$A$20000,0),MATCH("Volume",'Semrush Data'!$A$1:$Z$1,0)),"")</f>
        <v/>
      </c>
      <c r="H3155" s="6" t="str">
        <f aca="false">IFERROR(INDEX('Semrush Data'!$A$1:$Z$20000,MATCH(A3155,'Semrush Data'!$A$1:$A$20000,0),MATCH("Keyword Difficulty*",'Semrush Data'!$A$1:$Z$1,0)),"")</f>
        <v/>
      </c>
      <c r="I3155" s="29" t="str">
        <f aca="false">IFERROR(INDEX('Semrush Data'!$A$1:$Z$20000,MATCH(A3155,'Semrush Data'!$A$1:$A$20000,0),MATCH("CPC*",'Semrush Data'!$A$1:$Z$1,0)),"")</f>
        <v/>
      </c>
      <c r="J3155" s="6" t="str">
        <f aca="false">IFERROR(INDEX('Semrush Data'!$A$1:$Z$20000,MATCH(A3155,'Semrush Data'!$A$1:$A$20000,0),MATCH("Intent",'Semrush Data'!$A$1:$Z$1,0)),"")</f>
        <v/>
      </c>
    </row>
    <row r="3156" customFormat="false" ht="15" hidden="false" customHeight="true" outlineLevel="0" collapsed="false">
      <c r="A3156" s="6" t="s">
        <v>7816</v>
      </c>
      <c r="B3156" s="6" t="s">
        <v>239</v>
      </c>
      <c r="C3156" s="6" t="n">
        <v>3</v>
      </c>
      <c r="D3156" s="6" t="n">
        <v>32</v>
      </c>
      <c r="E3156" s="6" t="n">
        <v>1</v>
      </c>
      <c r="F3156" s="6" t="s">
        <v>6306</v>
      </c>
      <c r="G3156" s="28" t="str">
        <f aca="false">IFERROR(INDEX('Semrush Data'!$A$1:$Z$20000,MATCH(A3156,'Semrush Data'!$A$1:$A$20000,0),MATCH("Volume",'Semrush Data'!$A$1:$Z$1,0)),"")</f>
        <v/>
      </c>
      <c r="H3156" s="6" t="str">
        <f aca="false">IFERROR(INDEX('Semrush Data'!$A$1:$Z$20000,MATCH(A3156,'Semrush Data'!$A$1:$A$20000,0),MATCH("Keyword Difficulty*",'Semrush Data'!$A$1:$Z$1,0)),"")</f>
        <v/>
      </c>
      <c r="I3156" s="29" t="str">
        <f aca="false">IFERROR(INDEX('Semrush Data'!$A$1:$Z$20000,MATCH(A3156,'Semrush Data'!$A$1:$A$20000,0),MATCH("CPC*",'Semrush Data'!$A$1:$Z$1,0)),"")</f>
        <v/>
      </c>
      <c r="J3156" s="6" t="str">
        <f aca="false">IFERROR(INDEX('Semrush Data'!$A$1:$Z$20000,MATCH(A3156,'Semrush Data'!$A$1:$A$20000,0),MATCH("Intent",'Semrush Data'!$A$1:$Z$1,0)),"")</f>
        <v/>
      </c>
    </row>
    <row r="3157" customFormat="false" ht="15" hidden="false" customHeight="true" outlineLevel="0" collapsed="false">
      <c r="A3157" s="6" t="s">
        <v>7817</v>
      </c>
      <c r="B3157" s="6" t="s">
        <v>239</v>
      </c>
      <c r="C3157" s="6" t="n">
        <v>3</v>
      </c>
      <c r="D3157" s="6" t="n">
        <v>32</v>
      </c>
      <c r="E3157" s="6" t="n">
        <v>1</v>
      </c>
      <c r="F3157" s="6" t="s">
        <v>6306</v>
      </c>
      <c r="G3157" s="28" t="str">
        <f aca="false">IFERROR(INDEX('Semrush Data'!$A$1:$Z$20000,MATCH(A3157,'Semrush Data'!$A$1:$A$20000,0),MATCH("Volume",'Semrush Data'!$A$1:$Z$1,0)),"")</f>
        <v/>
      </c>
      <c r="H3157" s="6" t="str">
        <f aca="false">IFERROR(INDEX('Semrush Data'!$A$1:$Z$20000,MATCH(A3157,'Semrush Data'!$A$1:$A$20000,0),MATCH("Keyword Difficulty*",'Semrush Data'!$A$1:$Z$1,0)),"")</f>
        <v/>
      </c>
      <c r="I3157" s="29" t="str">
        <f aca="false">IFERROR(INDEX('Semrush Data'!$A$1:$Z$20000,MATCH(A3157,'Semrush Data'!$A$1:$A$20000,0),MATCH("CPC*",'Semrush Data'!$A$1:$Z$1,0)),"")</f>
        <v/>
      </c>
      <c r="J3157" s="6" t="str">
        <f aca="false">IFERROR(INDEX('Semrush Data'!$A$1:$Z$20000,MATCH(A3157,'Semrush Data'!$A$1:$A$20000,0),MATCH("Intent",'Semrush Data'!$A$1:$Z$1,0)),"")</f>
        <v/>
      </c>
    </row>
    <row r="3158" customFormat="false" ht="15" hidden="false" customHeight="true" outlineLevel="0" collapsed="false">
      <c r="A3158" s="6" t="s">
        <v>7818</v>
      </c>
      <c r="B3158" s="6" t="s">
        <v>239</v>
      </c>
      <c r="C3158" s="6" t="n">
        <v>3</v>
      </c>
      <c r="D3158" s="6" t="n">
        <v>32</v>
      </c>
      <c r="E3158" s="6" t="n">
        <v>1</v>
      </c>
      <c r="F3158" s="6" t="s">
        <v>6306</v>
      </c>
      <c r="G3158" s="28" t="str">
        <f aca="false">IFERROR(INDEX('Semrush Data'!$A$1:$Z$20000,MATCH(A3158,'Semrush Data'!$A$1:$A$20000,0),MATCH("Volume",'Semrush Data'!$A$1:$Z$1,0)),"")</f>
        <v/>
      </c>
      <c r="H3158" s="6" t="str">
        <f aca="false">IFERROR(INDEX('Semrush Data'!$A$1:$Z$20000,MATCH(A3158,'Semrush Data'!$A$1:$A$20000,0),MATCH("Keyword Difficulty*",'Semrush Data'!$A$1:$Z$1,0)),"")</f>
        <v/>
      </c>
      <c r="I3158" s="29" t="str">
        <f aca="false">IFERROR(INDEX('Semrush Data'!$A$1:$Z$20000,MATCH(A3158,'Semrush Data'!$A$1:$A$20000,0),MATCH("CPC*",'Semrush Data'!$A$1:$Z$1,0)),"")</f>
        <v/>
      </c>
      <c r="J3158" s="6" t="str">
        <f aca="false">IFERROR(INDEX('Semrush Data'!$A$1:$Z$20000,MATCH(A3158,'Semrush Data'!$A$1:$A$20000,0),MATCH("Intent",'Semrush Data'!$A$1:$Z$1,0)),"")</f>
        <v/>
      </c>
    </row>
    <row r="3159" customFormat="false" ht="15" hidden="false" customHeight="true" outlineLevel="0" collapsed="false">
      <c r="A3159" s="6" t="s">
        <v>7819</v>
      </c>
      <c r="B3159" s="6" t="s">
        <v>239</v>
      </c>
      <c r="C3159" s="6" t="n">
        <v>3</v>
      </c>
      <c r="D3159" s="6" t="n">
        <v>32</v>
      </c>
      <c r="E3159" s="6" t="n">
        <v>1</v>
      </c>
      <c r="F3159" s="6" t="s">
        <v>6317</v>
      </c>
      <c r="G3159" s="28" t="str">
        <f aca="false">IFERROR(INDEX('Semrush Data'!$A$1:$Z$20000,MATCH(A3159,'Semrush Data'!$A$1:$A$20000,0),MATCH("Volume",'Semrush Data'!$A$1:$Z$1,0)),"")</f>
        <v/>
      </c>
      <c r="H3159" s="6" t="str">
        <f aca="false">IFERROR(INDEX('Semrush Data'!$A$1:$Z$20000,MATCH(A3159,'Semrush Data'!$A$1:$A$20000,0),MATCH("Keyword Difficulty*",'Semrush Data'!$A$1:$Z$1,0)),"")</f>
        <v/>
      </c>
      <c r="I3159" s="29" t="str">
        <f aca="false">IFERROR(INDEX('Semrush Data'!$A$1:$Z$20000,MATCH(A3159,'Semrush Data'!$A$1:$A$20000,0),MATCH("CPC*",'Semrush Data'!$A$1:$Z$1,0)),"")</f>
        <v/>
      </c>
      <c r="J3159" s="6" t="str">
        <f aca="false">IFERROR(INDEX('Semrush Data'!$A$1:$Z$20000,MATCH(A3159,'Semrush Data'!$A$1:$A$20000,0),MATCH("Intent",'Semrush Data'!$A$1:$Z$1,0)),"")</f>
        <v/>
      </c>
    </row>
    <row r="3160" customFormat="false" ht="15" hidden="false" customHeight="true" outlineLevel="0" collapsed="false">
      <c r="A3160" s="6" t="s">
        <v>7820</v>
      </c>
      <c r="B3160" s="6" t="s">
        <v>239</v>
      </c>
      <c r="C3160" s="6" t="n">
        <v>3</v>
      </c>
      <c r="D3160" s="6" t="n">
        <v>32</v>
      </c>
      <c r="E3160" s="6" t="n">
        <v>1</v>
      </c>
      <c r="F3160" s="6" t="s">
        <v>6317</v>
      </c>
      <c r="G3160" s="28" t="str">
        <f aca="false">IFERROR(INDEX('Semrush Data'!$A$1:$Z$20000,MATCH(A3160,'Semrush Data'!$A$1:$A$20000,0),MATCH("Volume",'Semrush Data'!$A$1:$Z$1,0)),"")</f>
        <v/>
      </c>
      <c r="H3160" s="6" t="str">
        <f aca="false">IFERROR(INDEX('Semrush Data'!$A$1:$Z$20000,MATCH(A3160,'Semrush Data'!$A$1:$A$20000,0),MATCH("Keyword Difficulty*",'Semrush Data'!$A$1:$Z$1,0)),"")</f>
        <v/>
      </c>
      <c r="I3160" s="29" t="str">
        <f aca="false">IFERROR(INDEX('Semrush Data'!$A$1:$Z$20000,MATCH(A3160,'Semrush Data'!$A$1:$A$20000,0),MATCH("CPC*",'Semrush Data'!$A$1:$Z$1,0)),"")</f>
        <v/>
      </c>
      <c r="J3160" s="6" t="str">
        <f aca="false">IFERROR(INDEX('Semrush Data'!$A$1:$Z$20000,MATCH(A3160,'Semrush Data'!$A$1:$A$20000,0),MATCH("Intent",'Semrush Data'!$A$1:$Z$1,0)),"")</f>
        <v/>
      </c>
    </row>
    <row r="3161" customFormat="false" ht="15" hidden="false" customHeight="true" outlineLevel="0" collapsed="false">
      <c r="A3161" s="6" t="s">
        <v>7821</v>
      </c>
      <c r="B3161" s="6" t="s">
        <v>239</v>
      </c>
      <c r="C3161" s="6" t="n">
        <v>3</v>
      </c>
      <c r="D3161" s="6" t="n">
        <v>32</v>
      </c>
      <c r="E3161" s="6" t="n">
        <v>1</v>
      </c>
      <c r="F3161" s="6" t="s">
        <v>6317</v>
      </c>
      <c r="G3161" s="28" t="str">
        <f aca="false">IFERROR(INDEX('Semrush Data'!$A$1:$Z$20000,MATCH(A3161,'Semrush Data'!$A$1:$A$20000,0),MATCH("Volume",'Semrush Data'!$A$1:$Z$1,0)),"")</f>
        <v/>
      </c>
      <c r="H3161" s="6" t="str">
        <f aca="false">IFERROR(INDEX('Semrush Data'!$A$1:$Z$20000,MATCH(A3161,'Semrush Data'!$A$1:$A$20000,0),MATCH("Keyword Difficulty*",'Semrush Data'!$A$1:$Z$1,0)),"")</f>
        <v/>
      </c>
      <c r="I3161" s="29" t="str">
        <f aca="false">IFERROR(INDEX('Semrush Data'!$A$1:$Z$20000,MATCH(A3161,'Semrush Data'!$A$1:$A$20000,0),MATCH("CPC*",'Semrush Data'!$A$1:$Z$1,0)),"")</f>
        <v/>
      </c>
      <c r="J3161" s="6" t="str">
        <f aca="false">IFERROR(INDEX('Semrush Data'!$A$1:$Z$20000,MATCH(A3161,'Semrush Data'!$A$1:$A$20000,0),MATCH("Intent",'Semrush Data'!$A$1:$Z$1,0)),"")</f>
        <v/>
      </c>
    </row>
    <row r="3162" customFormat="false" ht="15" hidden="false" customHeight="true" outlineLevel="0" collapsed="false">
      <c r="A3162" s="6" t="s">
        <v>7822</v>
      </c>
      <c r="B3162" s="6" t="s">
        <v>239</v>
      </c>
      <c r="C3162" s="6" t="n">
        <v>3</v>
      </c>
      <c r="D3162" s="6" t="n">
        <v>32</v>
      </c>
      <c r="E3162" s="6" t="n">
        <v>1</v>
      </c>
      <c r="F3162" s="6" t="s">
        <v>6317</v>
      </c>
      <c r="G3162" s="28" t="str">
        <f aca="false">IFERROR(INDEX('Semrush Data'!$A$1:$Z$20000,MATCH(A3162,'Semrush Data'!$A$1:$A$20000,0),MATCH("Volume",'Semrush Data'!$A$1:$Z$1,0)),"")</f>
        <v/>
      </c>
      <c r="H3162" s="6" t="str">
        <f aca="false">IFERROR(INDEX('Semrush Data'!$A$1:$Z$20000,MATCH(A3162,'Semrush Data'!$A$1:$A$20000,0),MATCH("Keyword Difficulty*",'Semrush Data'!$A$1:$Z$1,0)),"")</f>
        <v/>
      </c>
      <c r="I3162" s="29" t="str">
        <f aca="false">IFERROR(INDEX('Semrush Data'!$A$1:$Z$20000,MATCH(A3162,'Semrush Data'!$A$1:$A$20000,0),MATCH("CPC*",'Semrush Data'!$A$1:$Z$1,0)),"")</f>
        <v/>
      </c>
      <c r="J3162" s="6" t="str">
        <f aca="false">IFERROR(INDEX('Semrush Data'!$A$1:$Z$20000,MATCH(A3162,'Semrush Data'!$A$1:$A$20000,0),MATCH("Intent",'Semrush Data'!$A$1:$Z$1,0)),"")</f>
        <v/>
      </c>
    </row>
    <row r="3163" customFormat="false" ht="15" hidden="false" customHeight="true" outlineLevel="0" collapsed="false">
      <c r="A3163" s="6" t="s">
        <v>7823</v>
      </c>
      <c r="B3163" s="6" t="s">
        <v>239</v>
      </c>
      <c r="C3163" s="6" t="n">
        <v>3</v>
      </c>
      <c r="D3163" s="6" t="n">
        <v>32</v>
      </c>
      <c r="E3163" s="6" t="n">
        <v>1</v>
      </c>
      <c r="F3163" s="6" t="s">
        <v>6340</v>
      </c>
      <c r="G3163" s="28" t="str">
        <f aca="false">IFERROR(INDEX('Semrush Data'!$A$1:$Z$20000,MATCH(A3163,'Semrush Data'!$A$1:$A$20000,0),MATCH("Volume",'Semrush Data'!$A$1:$Z$1,0)),"")</f>
        <v/>
      </c>
      <c r="H3163" s="6" t="str">
        <f aca="false">IFERROR(INDEX('Semrush Data'!$A$1:$Z$20000,MATCH(A3163,'Semrush Data'!$A$1:$A$20000,0),MATCH("Keyword Difficulty*",'Semrush Data'!$A$1:$Z$1,0)),"")</f>
        <v/>
      </c>
      <c r="I3163" s="29" t="str">
        <f aca="false">IFERROR(INDEX('Semrush Data'!$A$1:$Z$20000,MATCH(A3163,'Semrush Data'!$A$1:$A$20000,0),MATCH("CPC*",'Semrush Data'!$A$1:$Z$1,0)),"")</f>
        <v/>
      </c>
      <c r="J3163" s="6" t="str">
        <f aca="false">IFERROR(INDEX('Semrush Data'!$A$1:$Z$20000,MATCH(A3163,'Semrush Data'!$A$1:$A$20000,0),MATCH("Intent",'Semrush Data'!$A$1:$Z$1,0)),"")</f>
        <v/>
      </c>
    </row>
    <row r="3164" customFormat="false" ht="15" hidden="false" customHeight="true" outlineLevel="0" collapsed="false">
      <c r="A3164" s="6" t="s">
        <v>7824</v>
      </c>
      <c r="B3164" s="6" t="s">
        <v>239</v>
      </c>
      <c r="C3164" s="6" t="n">
        <v>3</v>
      </c>
      <c r="D3164" s="6" t="n">
        <v>32</v>
      </c>
      <c r="E3164" s="6" t="n">
        <v>1</v>
      </c>
      <c r="F3164" s="6" t="s">
        <v>6340</v>
      </c>
      <c r="G3164" s="28" t="str">
        <f aca="false">IFERROR(INDEX('Semrush Data'!$A$1:$Z$20000,MATCH(A3164,'Semrush Data'!$A$1:$A$20000,0),MATCH("Volume",'Semrush Data'!$A$1:$Z$1,0)),"")</f>
        <v/>
      </c>
      <c r="H3164" s="6" t="str">
        <f aca="false">IFERROR(INDEX('Semrush Data'!$A$1:$Z$20000,MATCH(A3164,'Semrush Data'!$A$1:$A$20000,0),MATCH("Keyword Difficulty*",'Semrush Data'!$A$1:$Z$1,0)),"")</f>
        <v/>
      </c>
      <c r="I3164" s="29" t="str">
        <f aca="false">IFERROR(INDEX('Semrush Data'!$A$1:$Z$20000,MATCH(A3164,'Semrush Data'!$A$1:$A$20000,0),MATCH("CPC*",'Semrush Data'!$A$1:$Z$1,0)),"")</f>
        <v/>
      </c>
      <c r="J3164" s="6" t="str">
        <f aca="false">IFERROR(INDEX('Semrush Data'!$A$1:$Z$20000,MATCH(A3164,'Semrush Data'!$A$1:$A$20000,0),MATCH("Intent",'Semrush Data'!$A$1:$Z$1,0)),"")</f>
        <v/>
      </c>
    </row>
    <row r="3165" customFormat="false" ht="15" hidden="false" customHeight="true" outlineLevel="0" collapsed="false">
      <c r="A3165" s="6" t="s">
        <v>7825</v>
      </c>
      <c r="B3165" s="6" t="s">
        <v>239</v>
      </c>
      <c r="C3165" s="6" t="n">
        <v>3</v>
      </c>
      <c r="D3165" s="6" t="n">
        <v>32</v>
      </c>
      <c r="E3165" s="6" t="n">
        <v>1</v>
      </c>
      <c r="F3165" s="6" t="s">
        <v>6340</v>
      </c>
      <c r="G3165" s="28" t="str">
        <f aca="false">IFERROR(INDEX('Semrush Data'!$A$1:$Z$20000,MATCH(A3165,'Semrush Data'!$A$1:$A$20000,0),MATCH("Volume",'Semrush Data'!$A$1:$Z$1,0)),"")</f>
        <v/>
      </c>
      <c r="H3165" s="6" t="str">
        <f aca="false">IFERROR(INDEX('Semrush Data'!$A$1:$Z$20000,MATCH(A3165,'Semrush Data'!$A$1:$A$20000,0),MATCH("Keyword Difficulty*",'Semrush Data'!$A$1:$Z$1,0)),"")</f>
        <v/>
      </c>
      <c r="I3165" s="29" t="str">
        <f aca="false">IFERROR(INDEX('Semrush Data'!$A$1:$Z$20000,MATCH(A3165,'Semrush Data'!$A$1:$A$20000,0),MATCH("CPC*",'Semrush Data'!$A$1:$Z$1,0)),"")</f>
        <v/>
      </c>
      <c r="J3165" s="6" t="str">
        <f aca="false">IFERROR(INDEX('Semrush Data'!$A$1:$Z$20000,MATCH(A3165,'Semrush Data'!$A$1:$A$20000,0),MATCH("Intent",'Semrush Data'!$A$1:$Z$1,0)),"")</f>
        <v/>
      </c>
    </row>
    <row r="3166" customFormat="false" ht="15" hidden="false" customHeight="true" outlineLevel="0" collapsed="false">
      <c r="A3166" s="6" t="s">
        <v>7826</v>
      </c>
      <c r="B3166" s="6" t="s">
        <v>239</v>
      </c>
      <c r="C3166" s="6" t="n">
        <v>3</v>
      </c>
      <c r="D3166" s="6" t="n">
        <v>32</v>
      </c>
      <c r="E3166" s="6" t="n">
        <v>1</v>
      </c>
      <c r="F3166" s="6" t="s">
        <v>6340</v>
      </c>
      <c r="G3166" s="28" t="str">
        <f aca="false">IFERROR(INDEX('Semrush Data'!$A$1:$Z$20000,MATCH(A3166,'Semrush Data'!$A$1:$A$20000,0),MATCH("Volume",'Semrush Data'!$A$1:$Z$1,0)),"")</f>
        <v/>
      </c>
      <c r="H3166" s="6" t="str">
        <f aca="false">IFERROR(INDEX('Semrush Data'!$A$1:$Z$20000,MATCH(A3166,'Semrush Data'!$A$1:$A$20000,0),MATCH("Keyword Difficulty*",'Semrush Data'!$A$1:$Z$1,0)),"")</f>
        <v/>
      </c>
      <c r="I3166" s="29" t="str">
        <f aca="false">IFERROR(INDEX('Semrush Data'!$A$1:$Z$20000,MATCH(A3166,'Semrush Data'!$A$1:$A$20000,0),MATCH("CPC*",'Semrush Data'!$A$1:$Z$1,0)),"")</f>
        <v/>
      </c>
      <c r="J3166" s="6" t="str">
        <f aca="false">IFERROR(INDEX('Semrush Data'!$A$1:$Z$20000,MATCH(A3166,'Semrush Data'!$A$1:$A$20000,0),MATCH("Intent",'Semrush Data'!$A$1:$Z$1,0)),"")</f>
        <v/>
      </c>
    </row>
    <row r="3167" customFormat="false" ht="15" hidden="false" customHeight="true" outlineLevel="0" collapsed="false">
      <c r="A3167" s="6" t="s">
        <v>7827</v>
      </c>
      <c r="B3167" s="6" t="s">
        <v>239</v>
      </c>
      <c r="C3167" s="6" t="n">
        <v>3</v>
      </c>
      <c r="D3167" s="6" t="n">
        <v>32</v>
      </c>
      <c r="E3167" s="6" t="n">
        <v>1</v>
      </c>
      <c r="F3167" s="6" t="s">
        <v>6432</v>
      </c>
      <c r="G3167" s="28" t="str">
        <f aca="false">IFERROR(INDEX('Semrush Data'!$A$1:$Z$20000,MATCH(A3167,'Semrush Data'!$A$1:$A$20000,0),MATCH("Volume",'Semrush Data'!$A$1:$Z$1,0)),"")</f>
        <v/>
      </c>
      <c r="H3167" s="6" t="str">
        <f aca="false">IFERROR(INDEX('Semrush Data'!$A$1:$Z$20000,MATCH(A3167,'Semrush Data'!$A$1:$A$20000,0),MATCH("Keyword Difficulty*",'Semrush Data'!$A$1:$Z$1,0)),"")</f>
        <v/>
      </c>
      <c r="I3167" s="29" t="str">
        <f aca="false">IFERROR(INDEX('Semrush Data'!$A$1:$Z$20000,MATCH(A3167,'Semrush Data'!$A$1:$A$20000,0),MATCH("CPC*",'Semrush Data'!$A$1:$Z$1,0)),"")</f>
        <v/>
      </c>
      <c r="J3167" s="6" t="str">
        <f aca="false">IFERROR(INDEX('Semrush Data'!$A$1:$Z$20000,MATCH(A3167,'Semrush Data'!$A$1:$A$20000,0),MATCH("Intent",'Semrush Data'!$A$1:$Z$1,0)),"")</f>
        <v/>
      </c>
    </row>
    <row r="3168" customFormat="false" ht="15" hidden="false" customHeight="true" outlineLevel="0" collapsed="false">
      <c r="A3168" s="6" t="s">
        <v>7828</v>
      </c>
      <c r="B3168" s="6" t="s">
        <v>239</v>
      </c>
      <c r="C3168" s="6" t="n">
        <v>3</v>
      </c>
      <c r="D3168" s="6" t="n">
        <v>32</v>
      </c>
      <c r="E3168" s="6" t="n">
        <v>1</v>
      </c>
      <c r="F3168" s="6" t="s">
        <v>6432</v>
      </c>
      <c r="G3168" s="28" t="str">
        <f aca="false">IFERROR(INDEX('Semrush Data'!$A$1:$Z$20000,MATCH(A3168,'Semrush Data'!$A$1:$A$20000,0),MATCH("Volume",'Semrush Data'!$A$1:$Z$1,0)),"")</f>
        <v/>
      </c>
      <c r="H3168" s="6" t="str">
        <f aca="false">IFERROR(INDEX('Semrush Data'!$A$1:$Z$20000,MATCH(A3168,'Semrush Data'!$A$1:$A$20000,0),MATCH("Keyword Difficulty*",'Semrush Data'!$A$1:$Z$1,0)),"")</f>
        <v/>
      </c>
      <c r="I3168" s="29" t="str">
        <f aca="false">IFERROR(INDEX('Semrush Data'!$A$1:$Z$20000,MATCH(A3168,'Semrush Data'!$A$1:$A$20000,0),MATCH("CPC*",'Semrush Data'!$A$1:$Z$1,0)),"")</f>
        <v/>
      </c>
      <c r="J3168" s="6" t="str">
        <f aca="false">IFERROR(INDEX('Semrush Data'!$A$1:$Z$20000,MATCH(A3168,'Semrush Data'!$A$1:$A$20000,0),MATCH("Intent",'Semrush Data'!$A$1:$Z$1,0)),"")</f>
        <v/>
      </c>
    </row>
    <row r="3169" customFormat="false" ht="15" hidden="false" customHeight="true" outlineLevel="0" collapsed="false">
      <c r="A3169" s="6" t="s">
        <v>7829</v>
      </c>
      <c r="B3169" s="6" t="s">
        <v>239</v>
      </c>
      <c r="C3169" s="6" t="n">
        <v>3</v>
      </c>
      <c r="D3169" s="6" t="n">
        <v>32</v>
      </c>
      <c r="E3169" s="6" t="n">
        <v>1</v>
      </c>
      <c r="F3169" s="6" t="s">
        <v>6432</v>
      </c>
      <c r="G3169" s="28" t="str">
        <f aca="false">IFERROR(INDEX('Semrush Data'!$A$1:$Z$20000,MATCH(A3169,'Semrush Data'!$A$1:$A$20000,0),MATCH("Volume",'Semrush Data'!$A$1:$Z$1,0)),"")</f>
        <v/>
      </c>
      <c r="H3169" s="6" t="str">
        <f aca="false">IFERROR(INDEX('Semrush Data'!$A$1:$Z$20000,MATCH(A3169,'Semrush Data'!$A$1:$A$20000,0),MATCH("Keyword Difficulty*",'Semrush Data'!$A$1:$Z$1,0)),"")</f>
        <v/>
      </c>
      <c r="I3169" s="29" t="str">
        <f aca="false">IFERROR(INDEX('Semrush Data'!$A$1:$Z$20000,MATCH(A3169,'Semrush Data'!$A$1:$A$20000,0),MATCH("CPC*",'Semrush Data'!$A$1:$Z$1,0)),"")</f>
        <v/>
      </c>
      <c r="J3169" s="6" t="str">
        <f aca="false">IFERROR(INDEX('Semrush Data'!$A$1:$Z$20000,MATCH(A3169,'Semrush Data'!$A$1:$A$20000,0),MATCH("Intent",'Semrush Data'!$A$1:$Z$1,0)),"")</f>
        <v/>
      </c>
    </row>
    <row r="3170" customFormat="false" ht="15" hidden="false" customHeight="true" outlineLevel="0" collapsed="false">
      <c r="A3170" s="6" t="s">
        <v>7830</v>
      </c>
      <c r="B3170" s="6" t="s">
        <v>239</v>
      </c>
      <c r="C3170" s="6" t="n">
        <v>3</v>
      </c>
      <c r="D3170" s="6" t="n">
        <v>32</v>
      </c>
      <c r="E3170" s="6" t="n">
        <v>1</v>
      </c>
      <c r="F3170" s="6" t="s">
        <v>6432</v>
      </c>
      <c r="G3170" s="28" t="str">
        <f aca="false">IFERROR(INDEX('Semrush Data'!$A$1:$Z$20000,MATCH(A3170,'Semrush Data'!$A$1:$A$20000,0),MATCH("Volume",'Semrush Data'!$A$1:$Z$1,0)),"")</f>
        <v/>
      </c>
      <c r="H3170" s="6" t="str">
        <f aca="false">IFERROR(INDEX('Semrush Data'!$A$1:$Z$20000,MATCH(A3170,'Semrush Data'!$A$1:$A$20000,0),MATCH("Keyword Difficulty*",'Semrush Data'!$A$1:$Z$1,0)),"")</f>
        <v/>
      </c>
      <c r="I3170" s="29" t="str">
        <f aca="false">IFERROR(INDEX('Semrush Data'!$A$1:$Z$20000,MATCH(A3170,'Semrush Data'!$A$1:$A$20000,0),MATCH("CPC*",'Semrush Data'!$A$1:$Z$1,0)),"")</f>
        <v/>
      </c>
      <c r="J3170" s="6" t="str">
        <f aca="false">IFERROR(INDEX('Semrush Data'!$A$1:$Z$20000,MATCH(A3170,'Semrush Data'!$A$1:$A$20000,0),MATCH("Intent",'Semrush Data'!$A$1:$Z$1,0)),"")</f>
        <v/>
      </c>
    </row>
    <row r="3171" customFormat="false" ht="15" hidden="false" customHeight="true" outlineLevel="0" collapsed="false">
      <c r="A3171" s="6" t="s">
        <v>7831</v>
      </c>
      <c r="B3171" s="6" t="s">
        <v>239</v>
      </c>
      <c r="C3171" s="6" t="n">
        <v>3</v>
      </c>
      <c r="D3171" s="6" t="n">
        <v>32</v>
      </c>
      <c r="E3171" s="6" t="n">
        <v>1</v>
      </c>
      <c r="F3171" s="6" t="s">
        <v>6432</v>
      </c>
      <c r="G3171" s="28" t="str">
        <f aca="false">IFERROR(INDEX('Semrush Data'!$A$1:$Z$20000,MATCH(A3171,'Semrush Data'!$A$1:$A$20000,0),MATCH("Volume",'Semrush Data'!$A$1:$Z$1,0)),"")</f>
        <v/>
      </c>
      <c r="H3171" s="6" t="str">
        <f aca="false">IFERROR(INDEX('Semrush Data'!$A$1:$Z$20000,MATCH(A3171,'Semrush Data'!$A$1:$A$20000,0),MATCH("Keyword Difficulty*",'Semrush Data'!$A$1:$Z$1,0)),"")</f>
        <v/>
      </c>
      <c r="I3171" s="29" t="str">
        <f aca="false">IFERROR(INDEX('Semrush Data'!$A$1:$Z$20000,MATCH(A3171,'Semrush Data'!$A$1:$A$20000,0),MATCH("CPC*",'Semrush Data'!$A$1:$Z$1,0)),"")</f>
        <v/>
      </c>
      <c r="J3171" s="6" t="str">
        <f aca="false">IFERROR(INDEX('Semrush Data'!$A$1:$Z$20000,MATCH(A3171,'Semrush Data'!$A$1:$A$20000,0),MATCH("Intent",'Semrush Data'!$A$1:$Z$1,0)),"")</f>
        <v/>
      </c>
    </row>
    <row r="3172" customFormat="false" ht="15" hidden="false" customHeight="true" outlineLevel="0" collapsed="false">
      <c r="A3172" s="6" t="s">
        <v>7832</v>
      </c>
      <c r="B3172" s="6" t="s">
        <v>239</v>
      </c>
      <c r="C3172" s="6" t="n">
        <v>3</v>
      </c>
      <c r="D3172" s="6" t="n">
        <v>32</v>
      </c>
      <c r="E3172" s="6" t="n">
        <v>1</v>
      </c>
      <c r="F3172" s="6" t="s">
        <v>6410</v>
      </c>
      <c r="G3172" s="28" t="str">
        <f aca="false">IFERROR(INDEX('Semrush Data'!$A$1:$Z$20000,MATCH(A3172,'Semrush Data'!$A$1:$A$20000,0),MATCH("Volume",'Semrush Data'!$A$1:$Z$1,0)),"")</f>
        <v/>
      </c>
      <c r="H3172" s="6" t="str">
        <f aca="false">IFERROR(INDEX('Semrush Data'!$A$1:$Z$20000,MATCH(A3172,'Semrush Data'!$A$1:$A$20000,0),MATCH("Keyword Difficulty*",'Semrush Data'!$A$1:$Z$1,0)),"")</f>
        <v/>
      </c>
      <c r="I3172" s="29" t="str">
        <f aca="false">IFERROR(INDEX('Semrush Data'!$A$1:$Z$20000,MATCH(A3172,'Semrush Data'!$A$1:$A$20000,0),MATCH("CPC*",'Semrush Data'!$A$1:$Z$1,0)),"")</f>
        <v/>
      </c>
      <c r="J3172" s="6" t="str">
        <f aca="false">IFERROR(INDEX('Semrush Data'!$A$1:$Z$20000,MATCH(A3172,'Semrush Data'!$A$1:$A$20000,0),MATCH("Intent",'Semrush Data'!$A$1:$Z$1,0)),"")</f>
        <v/>
      </c>
    </row>
    <row r="3173" customFormat="false" ht="15" hidden="false" customHeight="true" outlineLevel="0" collapsed="false">
      <c r="A3173" s="6" t="s">
        <v>7833</v>
      </c>
      <c r="B3173" s="6" t="s">
        <v>239</v>
      </c>
      <c r="C3173" s="6" t="n">
        <v>3</v>
      </c>
      <c r="D3173" s="6" t="n">
        <v>32</v>
      </c>
      <c r="E3173" s="6" t="n">
        <v>1</v>
      </c>
      <c r="F3173" s="6" t="s">
        <v>6410</v>
      </c>
      <c r="G3173" s="28" t="str">
        <f aca="false">IFERROR(INDEX('Semrush Data'!$A$1:$Z$20000,MATCH(A3173,'Semrush Data'!$A$1:$A$20000,0),MATCH("Volume",'Semrush Data'!$A$1:$Z$1,0)),"")</f>
        <v/>
      </c>
      <c r="H3173" s="6" t="str">
        <f aca="false">IFERROR(INDEX('Semrush Data'!$A$1:$Z$20000,MATCH(A3173,'Semrush Data'!$A$1:$A$20000,0),MATCH("Keyword Difficulty*",'Semrush Data'!$A$1:$Z$1,0)),"")</f>
        <v/>
      </c>
      <c r="I3173" s="29" t="str">
        <f aca="false">IFERROR(INDEX('Semrush Data'!$A$1:$Z$20000,MATCH(A3173,'Semrush Data'!$A$1:$A$20000,0),MATCH("CPC*",'Semrush Data'!$A$1:$Z$1,0)),"")</f>
        <v/>
      </c>
      <c r="J3173" s="6" t="str">
        <f aca="false">IFERROR(INDEX('Semrush Data'!$A$1:$Z$20000,MATCH(A3173,'Semrush Data'!$A$1:$A$20000,0),MATCH("Intent",'Semrush Data'!$A$1:$Z$1,0)),"")</f>
        <v/>
      </c>
    </row>
    <row r="3174" customFormat="false" ht="15" hidden="false" customHeight="true" outlineLevel="0" collapsed="false">
      <c r="A3174" s="6" t="s">
        <v>7834</v>
      </c>
      <c r="B3174" s="6" t="s">
        <v>239</v>
      </c>
      <c r="C3174" s="6" t="n">
        <v>3</v>
      </c>
      <c r="D3174" s="6" t="n">
        <v>32</v>
      </c>
      <c r="E3174" s="6" t="n">
        <v>1</v>
      </c>
      <c r="F3174" s="6" t="s">
        <v>6410</v>
      </c>
      <c r="G3174" s="28" t="str">
        <f aca="false">IFERROR(INDEX('Semrush Data'!$A$1:$Z$20000,MATCH(A3174,'Semrush Data'!$A$1:$A$20000,0),MATCH("Volume",'Semrush Data'!$A$1:$Z$1,0)),"")</f>
        <v/>
      </c>
      <c r="H3174" s="6" t="str">
        <f aca="false">IFERROR(INDEX('Semrush Data'!$A$1:$Z$20000,MATCH(A3174,'Semrush Data'!$A$1:$A$20000,0),MATCH("Keyword Difficulty*",'Semrush Data'!$A$1:$Z$1,0)),"")</f>
        <v/>
      </c>
      <c r="I3174" s="29" t="str">
        <f aca="false">IFERROR(INDEX('Semrush Data'!$A$1:$Z$20000,MATCH(A3174,'Semrush Data'!$A$1:$A$20000,0),MATCH("CPC*",'Semrush Data'!$A$1:$Z$1,0)),"")</f>
        <v/>
      </c>
      <c r="J3174" s="6" t="str">
        <f aca="false">IFERROR(INDEX('Semrush Data'!$A$1:$Z$20000,MATCH(A3174,'Semrush Data'!$A$1:$A$20000,0),MATCH("Intent",'Semrush Data'!$A$1:$Z$1,0)),"")</f>
        <v/>
      </c>
    </row>
    <row r="3175" customFormat="false" ht="15" hidden="false" customHeight="true" outlineLevel="0" collapsed="false">
      <c r="A3175" s="6" t="s">
        <v>7835</v>
      </c>
      <c r="B3175" s="6" t="s">
        <v>239</v>
      </c>
      <c r="C3175" s="6" t="n">
        <v>3</v>
      </c>
      <c r="D3175" s="6" t="n">
        <v>32</v>
      </c>
      <c r="E3175" s="6" t="n">
        <v>1</v>
      </c>
      <c r="F3175" s="6" t="s">
        <v>6410</v>
      </c>
      <c r="G3175" s="28" t="str">
        <f aca="false">IFERROR(INDEX('Semrush Data'!$A$1:$Z$20000,MATCH(A3175,'Semrush Data'!$A$1:$A$20000,0),MATCH("Volume",'Semrush Data'!$A$1:$Z$1,0)),"")</f>
        <v/>
      </c>
      <c r="H3175" s="6" t="str">
        <f aca="false">IFERROR(INDEX('Semrush Data'!$A$1:$Z$20000,MATCH(A3175,'Semrush Data'!$A$1:$A$20000,0),MATCH("Keyword Difficulty*",'Semrush Data'!$A$1:$Z$1,0)),"")</f>
        <v/>
      </c>
      <c r="I3175" s="29" t="str">
        <f aca="false">IFERROR(INDEX('Semrush Data'!$A$1:$Z$20000,MATCH(A3175,'Semrush Data'!$A$1:$A$20000,0),MATCH("CPC*",'Semrush Data'!$A$1:$Z$1,0)),"")</f>
        <v/>
      </c>
      <c r="J3175" s="6" t="str">
        <f aca="false">IFERROR(INDEX('Semrush Data'!$A$1:$Z$20000,MATCH(A3175,'Semrush Data'!$A$1:$A$20000,0),MATCH("Intent",'Semrush Data'!$A$1:$Z$1,0)),"")</f>
        <v/>
      </c>
    </row>
    <row r="3176" customFormat="false" ht="15" hidden="false" customHeight="true" outlineLevel="0" collapsed="false">
      <c r="A3176" s="6" t="s">
        <v>6460</v>
      </c>
      <c r="B3176" s="6" t="s">
        <v>239</v>
      </c>
      <c r="C3176" s="6" t="n">
        <v>3</v>
      </c>
      <c r="D3176" s="6" t="n">
        <v>32</v>
      </c>
      <c r="E3176" s="6" t="n">
        <v>1</v>
      </c>
      <c r="F3176" s="6" t="s">
        <v>6453</v>
      </c>
      <c r="G3176" s="28" t="str">
        <f aca="false">IFERROR(INDEX('Semrush Data'!$A$1:$Z$20000,MATCH(A3176,'Semrush Data'!$A$1:$A$20000,0),MATCH("Volume",'Semrush Data'!$A$1:$Z$1,0)),"")</f>
        <v/>
      </c>
      <c r="H3176" s="6" t="str">
        <f aca="false">IFERROR(INDEX('Semrush Data'!$A$1:$Z$20000,MATCH(A3176,'Semrush Data'!$A$1:$A$20000,0),MATCH("Keyword Difficulty*",'Semrush Data'!$A$1:$Z$1,0)),"")</f>
        <v/>
      </c>
      <c r="I3176" s="29" t="str">
        <f aca="false">IFERROR(INDEX('Semrush Data'!$A$1:$Z$20000,MATCH(A3176,'Semrush Data'!$A$1:$A$20000,0),MATCH("CPC*",'Semrush Data'!$A$1:$Z$1,0)),"")</f>
        <v/>
      </c>
      <c r="J3176" s="6" t="str">
        <f aca="false">IFERROR(INDEX('Semrush Data'!$A$1:$Z$20000,MATCH(A3176,'Semrush Data'!$A$1:$A$20000,0),MATCH("Intent",'Semrush Data'!$A$1:$Z$1,0)),"")</f>
        <v/>
      </c>
    </row>
    <row r="3177" customFormat="false" ht="15" hidden="false" customHeight="true" outlineLevel="0" collapsed="false">
      <c r="A3177" s="6" t="s">
        <v>7836</v>
      </c>
      <c r="B3177" s="6" t="s">
        <v>239</v>
      </c>
      <c r="C3177" s="6" t="n">
        <v>3</v>
      </c>
      <c r="D3177" s="6" t="n">
        <v>32</v>
      </c>
      <c r="E3177" s="6" t="n">
        <v>1</v>
      </c>
      <c r="F3177" s="6" t="s">
        <v>534</v>
      </c>
      <c r="G3177" s="28" t="str">
        <f aca="false">IFERROR(INDEX('Semrush Data'!$A$1:$Z$20000,MATCH(A3177,'Semrush Data'!$A$1:$A$20000,0),MATCH("Volume",'Semrush Data'!$A$1:$Z$1,0)),"")</f>
        <v/>
      </c>
      <c r="H3177" s="6" t="str">
        <f aca="false">IFERROR(INDEX('Semrush Data'!$A$1:$Z$20000,MATCH(A3177,'Semrush Data'!$A$1:$A$20000,0),MATCH("Keyword Difficulty*",'Semrush Data'!$A$1:$Z$1,0)),"")</f>
        <v/>
      </c>
      <c r="I3177" s="29" t="str">
        <f aca="false">IFERROR(INDEX('Semrush Data'!$A$1:$Z$20000,MATCH(A3177,'Semrush Data'!$A$1:$A$20000,0),MATCH("CPC*",'Semrush Data'!$A$1:$Z$1,0)),"")</f>
        <v/>
      </c>
      <c r="J3177" s="6" t="str">
        <f aca="false">IFERROR(INDEX('Semrush Data'!$A$1:$Z$20000,MATCH(A3177,'Semrush Data'!$A$1:$A$20000,0),MATCH("Intent",'Semrush Data'!$A$1:$Z$1,0)),"")</f>
        <v/>
      </c>
    </row>
    <row r="3178" customFormat="false" ht="15" hidden="false" customHeight="true" outlineLevel="0" collapsed="false">
      <c r="A3178" s="6" t="s">
        <v>7837</v>
      </c>
      <c r="B3178" s="6" t="s">
        <v>239</v>
      </c>
      <c r="C3178" s="6" t="n">
        <v>3</v>
      </c>
      <c r="D3178" s="6" t="n">
        <v>32</v>
      </c>
      <c r="E3178" s="6" t="n">
        <v>1</v>
      </c>
      <c r="F3178" s="6" t="s">
        <v>534</v>
      </c>
      <c r="G3178" s="28" t="str">
        <f aca="false">IFERROR(INDEX('Semrush Data'!$A$1:$Z$20000,MATCH(A3178,'Semrush Data'!$A$1:$A$20000,0),MATCH("Volume",'Semrush Data'!$A$1:$Z$1,0)),"")</f>
        <v/>
      </c>
      <c r="H3178" s="6" t="str">
        <f aca="false">IFERROR(INDEX('Semrush Data'!$A$1:$Z$20000,MATCH(A3178,'Semrush Data'!$A$1:$A$20000,0),MATCH("Keyword Difficulty*",'Semrush Data'!$A$1:$Z$1,0)),"")</f>
        <v/>
      </c>
      <c r="I3178" s="29" t="str">
        <f aca="false">IFERROR(INDEX('Semrush Data'!$A$1:$Z$20000,MATCH(A3178,'Semrush Data'!$A$1:$A$20000,0),MATCH("CPC*",'Semrush Data'!$A$1:$Z$1,0)),"")</f>
        <v/>
      </c>
      <c r="J3178" s="6" t="str">
        <f aca="false">IFERROR(INDEX('Semrush Data'!$A$1:$Z$20000,MATCH(A3178,'Semrush Data'!$A$1:$A$20000,0),MATCH("Intent",'Semrush Data'!$A$1:$Z$1,0)),"")</f>
        <v/>
      </c>
    </row>
    <row r="3179" customFormat="false" ht="15" hidden="false" customHeight="true" outlineLevel="0" collapsed="false">
      <c r="A3179" s="6" t="s">
        <v>7838</v>
      </c>
      <c r="B3179" s="6" t="s">
        <v>239</v>
      </c>
      <c r="C3179" s="6" t="n">
        <v>3</v>
      </c>
      <c r="D3179" s="6" t="n">
        <v>32</v>
      </c>
      <c r="E3179" s="6" t="n">
        <v>1</v>
      </c>
      <c r="F3179" s="6" t="s">
        <v>534</v>
      </c>
      <c r="G3179" s="28" t="str">
        <f aca="false">IFERROR(INDEX('Semrush Data'!$A$1:$Z$20000,MATCH(A3179,'Semrush Data'!$A$1:$A$20000,0),MATCH("Volume",'Semrush Data'!$A$1:$Z$1,0)),"")</f>
        <v/>
      </c>
      <c r="H3179" s="6" t="str">
        <f aca="false">IFERROR(INDEX('Semrush Data'!$A$1:$Z$20000,MATCH(A3179,'Semrush Data'!$A$1:$A$20000,0),MATCH("Keyword Difficulty*",'Semrush Data'!$A$1:$Z$1,0)),"")</f>
        <v/>
      </c>
      <c r="I3179" s="29" t="str">
        <f aca="false">IFERROR(INDEX('Semrush Data'!$A$1:$Z$20000,MATCH(A3179,'Semrush Data'!$A$1:$A$20000,0),MATCH("CPC*",'Semrush Data'!$A$1:$Z$1,0)),"")</f>
        <v/>
      </c>
      <c r="J3179" s="6" t="str">
        <f aca="false">IFERROR(INDEX('Semrush Data'!$A$1:$Z$20000,MATCH(A3179,'Semrush Data'!$A$1:$A$20000,0),MATCH("Intent",'Semrush Data'!$A$1:$Z$1,0)),"")</f>
        <v/>
      </c>
    </row>
    <row r="3180" customFormat="false" ht="15" hidden="false" customHeight="true" outlineLevel="0" collapsed="false">
      <c r="A3180" s="6" t="s">
        <v>7839</v>
      </c>
      <c r="B3180" s="6" t="s">
        <v>239</v>
      </c>
      <c r="C3180" s="6" t="n">
        <v>3</v>
      </c>
      <c r="D3180" s="6" t="n">
        <v>32</v>
      </c>
      <c r="E3180" s="6" t="n">
        <v>1</v>
      </c>
      <c r="F3180" s="6" t="s">
        <v>534</v>
      </c>
      <c r="G3180" s="28" t="str">
        <f aca="false">IFERROR(INDEX('Semrush Data'!$A$1:$Z$20000,MATCH(A3180,'Semrush Data'!$A$1:$A$20000,0),MATCH("Volume",'Semrush Data'!$A$1:$Z$1,0)),"")</f>
        <v/>
      </c>
      <c r="H3180" s="6" t="str">
        <f aca="false">IFERROR(INDEX('Semrush Data'!$A$1:$Z$20000,MATCH(A3180,'Semrush Data'!$A$1:$A$20000,0),MATCH("Keyword Difficulty*",'Semrush Data'!$A$1:$Z$1,0)),"")</f>
        <v/>
      </c>
      <c r="I3180" s="29" t="str">
        <f aca="false">IFERROR(INDEX('Semrush Data'!$A$1:$Z$20000,MATCH(A3180,'Semrush Data'!$A$1:$A$20000,0),MATCH("CPC*",'Semrush Data'!$A$1:$Z$1,0)),"")</f>
        <v/>
      </c>
      <c r="J3180" s="6" t="str">
        <f aca="false">IFERROR(INDEX('Semrush Data'!$A$1:$Z$20000,MATCH(A3180,'Semrush Data'!$A$1:$A$20000,0),MATCH("Intent",'Semrush Data'!$A$1:$Z$1,0)),"")</f>
        <v/>
      </c>
    </row>
    <row r="3181" customFormat="false" ht="15" hidden="false" customHeight="true" outlineLevel="0" collapsed="false">
      <c r="A3181" s="6" t="s">
        <v>7840</v>
      </c>
      <c r="B3181" s="6" t="s">
        <v>239</v>
      </c>
      <c r="C3181" s="6" t="n">
        <v>3</v>
      </c>
      <c r="D3181" s="6" t="s">
        <v>6893</v>
      </c>
      <c r="E3181" s="6" t="n">
        <v>1</v>
      </c>
      <c r="F3181" s="6" t="s">
        <v>534</v>
      </c>
      <c r="G3181" s="28" t="n">
        <f aca="false">IFERROR(INDEX('Semrush Data'!$A$1:$Z$20000,MATCH(A3181,'Semrush Data'!$A$1:$A$20000,0),MATCH("Volume",'Semrush Data'!$A$1:$Z$1,0)),"")</f>
        <v>0</v>
      </c>
      <c r="H3181" s="6" t="n">
        <f aca="false">IFERROR(INDEX('Semrush Data'!$A$1:$Z$20000,MATCH(A3181,'Semrush Data'!$A$1:$A$20000,0),MATCH("Keyword Difficulty*",'Semrush Data'!$A$1:$Z$1,0)),"")</f>
        <v>32</v>
      </c>
      <c r="I3181" s="29" t="n">
        <f aca="false">IFERROR(INDEX('Semrush Data'!$A$1:$Z$20000,MATCH(A3181,'Semrush Data'!$A$1:$A$20000,0),MATCH("CPC*",'Semrush Data'!$A$1:$Z$1,0)),"")</f>
        <v>0</v>
      </c>
      <c r="J3181" s="6" t="str">
        <f aca="false">IFERROR(INDEX('Semrush Data'!$A$1:$Z$20000,MATCH(A3181,'Semrush Data'!$A$1:$A$20000,0),MATCH("Intent",'Semrush Data'!$A$1:$Z$1,0)),"")</f>
        <v>Commercial</v>
      </c>
    </row>
    <row r="3182" customFormat="false" ht="15" hidden="false" customHeight="true" outlineLevel="0" collapsed="false">
      <c r="A3182" s="6" t="s">
        <v>7841</v>
      </c>
      <c r="B3182" s="6" t="s">
        <v>239</v>
      </c>
      <c r="C3182" s="6" t="n">
        <v>3</v>
      </c>
      <c r="D3182" s="6" t="s">
        <v>6893</v>
      </c>
      <c r="E3182" s="6" t="n">
        <v>1</v>
      </c>
      <c r="F3182" s="6" t="s">
        <v>541</v>
      </c>
      <c r="G3182" s="28" t="n">
        <f aca="false">IFERROR(INDEX('Semrush Data'!$A$1:$Z$20000,MATCH(A3182,'Semrush Data'!$A$1:$A$20000,0),MATCH("Volume",'Semrush Data'!$A$1:$Z$1,0)),"")</f>
        <v>0</v>
      </c>
      <c r="H3182" s="6" t="n">
        <f aca="false">IFERROR(INDEX('Semrush Data'!$A$1:$Z$20000,MATCH(A3182,'Semrush Data'!$A$1:$A$20000,0),MATCH("Keyword Difficulty*",'Semrush Data'!$A$1:$Z$1,0)),"")</f>
        <v>21</v>
      </c>
      <c r="I3182" s="29" t="n">
        <f aca="false">IFERROR(INDEX('Semrush Data'!$A$1:$Z$20000,MATCH(A3182,'Semrush Data'!$A$1:$A$20000,0),MATCH("CPC*",'Semrush Data'!$A$1:$Z$1,0)),"")</f>
        <v>0</v>
      </c>
      <c r="J3182" s="6" t="str">
        <f aca="false">IFERROR(INDEX('Semrush Data'!$A$1:$Z$20000,MATCH(A3182,'Semrush Data'!$A$1:$A$20000,0),MATCH("Intent",'Semrush Data'!$A$1:$Z$1,0)),"")</f>
        <v>Navigational Commercial</v>
      </c>
    </row>
    <row r="3183" customFormat="false" ht="15" hidden="false" customHeight="true" outlineLevel="0" collapsed="false">
      <c r="A3183" s="6" t="s">
        <v>7842</v>
      </c>
      <c r="B3183" s="6" t="s">
        <v>239</v>
      </c>
      <c r="C3183" s="6" t="n">
        <v>3</v>
      </c>
      <c r="D3183" s="6" t="n">
        <v>32</v>
      </c>
      <c r="E3183" s="6" t="n">
        <v>1</v>
      </c>
      <c r="F3183" s="6" t="s">
        <v>541</v>
      </c>
      <c r="G3183" s="28" t="str">
        <f aca="false">IFERROR(INDEX('Semrush Data'!$A$1:$Z$20000,MATCH(A3183,'Semrush Data'!$A$1:$A$20000,0),MATCH("Volume",'Semrush Data'!$A$1:$Z$1,0)),"")</f>
        <v/>
      </c>
      <c r="H3183" s="6" t="str">
        <f aca="false">IFERROR(INDEX('Semrush Data'!$A$1:$Z$20000,MATCH(A3183,'Semrush Data'!$A$1:$A$20000,0),MATCH("Keyword Difficulty*",'Semrush Data'!$A$1:$Z$1,0)),"")</f>
        <v/>
      </c>
      <c r="I3183" s="29" t="str">
        <f aca="false">IFERROR(INDEX('Semrush Data'!$A$1:$Z$20000,MATCH(A3183,'Semrush Data'!$A$1:$A$20000,0),MATCH("CPC*",'Semrush Data'!$A$1:$Z$1,0)),"")</f>
        <v/>
      </c>
      <c r="J3183" s="6" t="str">
        <f aca="false">IFERROR(INDEX('Semrush Data'!$A$1:$Z$20000,MATCH(A3183,'Semrush Data'!$A$1:$A$20000,0),MATCH("Intent",'Semrush Data'!$A$1:$Z$1,0)),"")</f>
        <v/>
      </c>
    </row>
    <row r="3184" customFormat="false" ht="15" hidden="false" customHeight="true" outlineLevel="0" collapsed="false">
      <c r="A3184" s="6" t="s">
        <v>7843</v>
      </c>
      <c r="B3184" s="6" t="s">
        <v>239</v>
      </c>
      <c r="C3184" s="6" t="n">
        <v>3</v>
      </c>
      <c r="D3184" s="6" t="n">
        <v>32</v>
      </c>
      <c r="E3184" s="6" t="n">
        <v>1</v>
      </c>
      <c r="F3184" s="6" t="s">
        <v>549</v>
      </c>
      <c r="G3184" s="28" t="str">
        <f aca="false">IFERROR(INDEX('Semrush Data'!$A$1:$Z$20000,MATCH(A3184,'Semrush Data'!$A$1:$A$20000,0),MATCH("Volume",'Semrush Data'!$A$1:$Z$1,0)),"")</f>
        <v/>
      </c>
      <c r="H3184" s="6" t="str">
        <f aca="false">IFERROR(INDEX('Semrush Data'!$A$1:$Z$20000,MATCH(A3184,'Semrush Data'!$A$1:$A$20000,0),MATCH("Keyword Difficulty*",'Semrush Data'!$A$1:$Z$1,0)),"")</f>
        <v/>
      </c>
      <c r="I3184" s="29" t="str">
        <f aca="false">IFERROR(INDEX('Semrush Data'!$A$1:$Z$20000,MATCH(A3184,'Semrush Data'!$A$1:$A$20000,0),MATCH("CPC*",'Semrush Data'!$A$1:$Z$1,0)),"")</f>
        <v/>
      </c>
      <c r="J3184" s="6" t="str">
        <f aca="false">IFERROR(INDEX('Semrush Data'!$A$1:$Z$20000,MATCH(A3184,'Semrush Data'!$A$1:$A$20000,0),MATCH("Intent",'Semrush Data'!$A$1:$Z$1,0)),"")</f>
        <v/>
      </c>
    </row>
    <row r="3185" customFormat="false" ht="15" hidden="false" customHeight="true" outlineLevel="0" collapsed="false">
      <c r="A3185" s="6" t="s">
        <v>7844</v>
      </c>
      <c r="B3185" s="6" t="s">
        <v>239</v>
      </c>
      <c r="C3185" s="6" t="n">
        <v>3</v>
      </c>
      <c r="D3185" s="6" t="s">
        <v>6893</v>
      </c>
      <c r="E3185" s="6" t="n">
        <v>1</v>
      </c>
      <c r="F3185" s="6" t="s">
        <v>549</v>
      </c>
      <c r="G3185" s="28" t="n">
        <f aca="false">IFERROR(INDEX('Semrush Data'!$A$1:$Z$20000,MATCH(A3185,'Semrush Data'!$A$1:$A$20000,0),MATCH("Volume",'Semrush Data'!$A$1:$Z$1,0)),"")</f>
        <v>0</v>
      </c>
      <c r="H3185" s="6" t="n">
        <f aca="false">IFERROR(INDEX('Semrush Data'!$A$1:$Z$20000,MATCH(A3185,'Semrush Data'!$A$1:$A$20000,0),MATCH("Keyword Difficulty*",'Semrush Data'!$A$1:$Z$1,0)),"")</f>
        <v>16</v>
      </c>
      <c r="I3185" s="29" t="n">
        <f aca="false">IFERROR(INDEX('Semrush Data'!$A$1:$Z$20000,MATCH(A3185,'Semrush Data'!$A$1:$A$20000,0),MATCH("CPC*",'Semrush Data'!$A$1:$Z$1,0)),"")</f>
        <v>0</v>
      </c>
      <c r="J3185" s="6" t="str">
        <f aca="false">IFERROR(INDEX('Semrush Data'!$A$1:$Z$20000,MATCH(A3185,'Semrush Data'!$A$1:$A$20000,0),MATCH("Intent",'Semrush Data'!$A$1:$Z$1,0)),"")</f>
        <v>Commercial</v>
      </c>
    </row>
    <row r="3186" customFormat="false" ht="15" hidden="false" customHeight="true" outlineLevel="0" collapsed="false">
      <c r="A3186" s="6" t="s">
        <v>568</v>
      </c>
      <c r="B3186" s="6" t="s">
        <v>239</v>
      </c>
      <c r="C3186" s="6" t="n">
        <v>3</v>
      </c>
      <c r="D3186" s="6" t="s">
        <v>6893</v>
      </c>
      <c r="E3186" s="6" t="n">
        <v>1</v>
      </c>
      <c r="F3186" s="6" t="s">
        <v>559</v>
      </c>
      <c r="G3186" s="28" t="n">
        <f aca="false">IFERROR(INDEX('Semrush Data'!$A$1:$Z$20000,MATCH(A3186,'Semrush Data'!$A$1:$A$20000,0),MATCH("Volume",'Semrush Data'!$A$1:$Z$1,0)),"")</f>
        <v>0</v>
      </c>
      <c r="H3186" s="6" t="n">
        <f aca="false">IFERROR(INDEX('Semrush Data'!$A$1:$Z$20000,MATCH(A3186,'Semrush Data'!$A$1:$A$20000,0),MATCH("Keyword Difficulty*",'Semrush Data'!$A$1:$Z$1,0)),"")</f>
        <v>28</v>
      </c>
      <c r="I3186" s="29" t="n">
        <f aca="false">IFERROR(INDEX('Semrush Data'!$A$1:$Z$20000,MATCH(A3186,'Semrush Data'!$A$1:$A$20000,0),MATCH("CPC*",'Semrush Data'!$A$1:$Z$1,0)),"")</f>
        <v>0</v>
      </c>
      <c r="J3186" s="6" t="str">
        <f aca="false">IFERROR(INDEX('Semrush Data'!$A$1:$Z$20000,MATCH(A3186,'Semrush Data'!$A$1:$A$20000,0),MATCH("Intent",'Semrush Data'!$A$1:$Z$1,0)),"")</f>
        <v>Commercial</v>
      </c>
    </row>
    <row r="3187" customFormat="false" ht="15" hidden="false" customHeight="true" outlineLevel="0" collapsed="false">
      <c r="A3187" s="6" t="s">
        <v>7845</v>
      </c>
      <c r="B3187" s="6" t="s">
        <v>239</v>
      </c>
      <c r="C3187" s="6" t="n">
        <v>3</v>
      </c>
      <c r="D3187" s="6" t="n">
        <v>32</v>
      </c>
      <c r="E3187" s="6" t="n">
        <v>1</v>
      </c>
      <c r="F3187" s="6" t="s">
        <v>470</v>
      </c>
      <c r="G3187" s="28" t="str">
        <f aca="false">IFERROR(INDEX('Semrush Data'!$A$1:$Z$20000,MATCH(A3187,'Semrush Data'!$A$1:$A$20000,0),MATCH("Volume",'Semrush Data'!$A$1:$Z$1,0)),"")</f>
        <v/>
      </c>
      <c r="H3187" s="6" t="str">
        <f aca="false">IFERROR(INDEX('Semrush Data'!$A$1:$Z$20000,MATCH(A3187,'Semrush Data'!$A$1:$A$20000,0),MATCH("Keyword Difficulty*",'Semrush Data'!$A$1:$Z$1,0)),"")</f>
        <v/>
      </c>
      <c r="I3187" s="29" t="str">
        <f aca="false">IFERROR(INDEX('Semrush Data'!$A$1:$Z$20000,MATCH(A3187,'Semrush Data'!$A$1:$A$20000,0),MATCH("CPC*",'Semrush Data'!$A$1:$Z$1,0)),"")</f>
        <v/>
      </c>
      <c r="J3187" s="6" t="str">
        <f aca="false">IFERROR(INDEX('Semrush Data'!$A$1:$Z$20000,MATCH(A3187,'Semrush Data'!$A$1:$A$20000,0),MATCH("Intent",'Semrush Data'!$A$1:$Z$1,0)),"")</f>
        <v/>
      </c>
    </row>
    <row r="3188" customFormat="false" ht="15" hidden="false" customHeight="true" outlineLevel="0" collapsed="false">
      <c r="A3188" s="6" t="s">
        <v>7846</v>
      </c>
      <c r="B3188" s="6" t="s">
        <v>239</v>
      </c>
      <c r="C3188" s="6" t="n">
        <v>3</v>
      </c>
      <c r="D3188" s="6" t="s">
        <v>6893</v>
      </c>
      <c r="E3188" s="6" t="n">
        <v>1</v>
      </c>
      <c r="F3188" s="6" t="s">
        <v>710</v>
      </c>
      <c r="G3188" s="28" t="n">
        <f aca="false">IFERROR(INDEX('Semrush Data'!$A$1:$Z$20000,MATCH(A3188,'Semrush Data'!$A$1:$A$20000,0),MATCH("Volume",'Semrush Data'!$A$1:$Z$1,0)),"")</f>
        <v>0</v>
      </c>
      <c r="H3188" s="6" t="n">
        <f aca="false">IFERROR(INDEX('Semrush Data'!$A$1:$Z$20000,MATCH(A3188,'Semrush Data'!$A$1:$A$20000,0),MATCH("Keyword Difficulty*",'Semrush Data'!$A$1:$Z$1,0)),"")</f>
        <v>23</v>
      </c>
      <c r="I3188" s="29" t="n">
        <f aca="false">IFERROR(INDEX('Semrush Data'!$A$1:$Z$20000,MATCH(A3188,'Semrush Data'!$A$1:$A$20000,0),MATCH("CPC*",'Semrush Data'!$A$1:$Z$1,0)),"")</f>
        <v>0</v>
      </c>
      <c r="J3188" s="6" t="str">
        <f aca="false">IFERROR(INDEX('Semrush Data'!$A$1:$Z$20000,MATCH(A3188,'Semrush Data'!$A$1:$A$20000,0),MATCH("Intent",'Semrush Data'!$A$1:$Z$1,0)),"")</f>
        <v>Commercial</v>
      </c>
    </row>
    <row r="3189" customFormat="false" ht="15" hidden="false" customHeight="true" outlineLevel="0" collapsed="false">
      <c r="A3189" s="6" t="s">
        <v>7847</v>
      </c>
      <c r="B3189" s="6" t="s">
        <v>239</v>
      </c>
      <c r="C3189" s="6" t="n">
        <v>3</v>
      </c>
      <c r="D3189" s="6" t="n">
        <v>32</v>
      </c>
      <c r="E3189" s="6" t="n">
        <v>1</v>
      </c>
      <c r="F3189" s="6" t="s">
        <v>470</v>
      </c>
      <c r="G3189" s="28" t="str">
        <f aca="false">IFERROR(INDEX('Semrush Data'!$A$1:$Z$20000,MATCH(A3189,'Semrush Data'!$A$1:$A$20000,0),MATCH("Volume",'Semrush Data'!$A$1:$Z$1,0)),"")</f>
        <v/>
      </c>
      <c r="H3189" s="6" t="str">
        <f aca="false">IFERROR(INDEX('Semrush Data'!$A$1:$Z$20000,MATCH(A3189,'Semrush Data'!$A$1:$A$20000,0),MATCH("Keyword Difficulty*",'Semrush Data'!$A$1:$Z$1,0)),"")</f>
        <v/>
      </c>
      <c r="I3189" s="29" t="str">
        <f aca="false">IFERROR(INDEX('Semrush Data'!$A$1:$Z$20000,MATCH(A3189,'Semrush Data'!$A$1:$A$20000,0),MATCH("CPC*",'Semrush Data'!$A$1:$Z$1,0)),"")</f>
        <v/>
      </c>
      <c r="J3189" s="6" t="str">
        <f aca="false">IFERROR(INDEX('Semrush Data'!$A$1:$Z$20000,MATCH(A3189,'Semrush Data'!$A$1:$A$20000,0),MATCH("Intent",'Semrush Data'!$A$1:$Z$1,0)),"")</f>
        <v/>
      </c>
    </row>
    <row r="3190" customFormat="false" ht="15" hidden="false" customHeight="true" outlineLevel="0" collapsed="false">
      <c r="A3190" s="6" t="s">
        <v>7848</v>
      </c>
      <c r="B3190" s="6" t="s">
        <v>239</v>
      </c>
      <c r="C3190" s="6" t="n">
        <v>3</v>
      </c>
      <c r="D3190" s="6" t="s">
        <v>6893</v>
      </c>
      <c r="E3190" s="6" t="n">
        <v>1</v>
      </c>
      <c r="F3190" s="6" t="s">
        <v>470</v>
      </c>
      <c r="G3190" s="28" t="n">
        <f aca="false">IFERROR(INDEX('Semrush Data'!$A$1:$Z$20000,MATCH(A3190,'Semrush Data'!$A$1:$A$20000,0),MATCH("Volume",'Semrush Data'!$A$1:$Z$1,0)),"")</f>
        <v>0</v>
      </c>
      <c r="H3190" s="6" t="n">
        <f aca="false">IFERROR(INDEX('Semrush Data'!$A$1:$Z$20000,MATCH(A3190,'Semrush Data'!$A$1:$A$20000,0),MATCH("Keyword Difficulty*",'Semrush Data'!$A$1:$Z$1,0)),"")</f>
        <v>32</v>
      </c>
      <c r="I3190" s="29" t="n">
        <f aca="false">IFERROR(INDEX('Semrush Data'!$A$1:$Z$20000,MATCH(A3190,'Semrush Data'!$A$1:$A$20000,0),MATCH("CPC*",'Semrush Data'!$A$1:$Z$1,0)),"")</f>
        <v>0</v>
      </c>
      <c r="J3190" s="6" t="str">
        <f aca="false">IFERROR(INDEX('Semrush Data'!$A$1:$Z$20000,MATCH(A3190,'Semrush Data'!$A$1:$A$20000,0),MATCH("Intent",'Semrush Data'!$A$1:$Z$1,0)),"")</f>
        <v>Commercial</v>
      </c>
    </row>
    <row r="3191" customFormat="false" ht="15" hidden="false" customHeight="true" outlineLevel="0" collapsed="false">
      <c r="A3191" s="6" t="s">
        <v>7849</v>
      </c>
      <c r="B3191" s="6" t="s">
        <v>239</v>
      </c>
      <c r="C3191" s="6" t="n">
        <v>3</v>
      </c>
      <c r="D3191" s="6" t="n">
        <v>32</v>
      </c>
      <c r="E3191" s="6" t="n">
        <v>1</v>
      </c>
      <c r="F3191" s="6" t="s">
        <v>611</v>
      </c>
      <c r="G3191" s="28" t="str">
        <f aca="false">IFERROR(INDEX('Semrush Data'!$A$1:$Z$20000,MATCH(A3191,'Semrush Data'!$A$1:$A$20000,0),MATCH("Volume",'Semrush Data'!$A$1:$Z$1,0)),"")</f>
        <v/>
      </c>
      <c r="H3191" s="6" t="str">
        <f aca="false">IFERROR(INDEX('Semrush Data'!$A$1:$Z$20000,MATCH(A3191,'Semrush Data'!$A$1:$A$20000,0),MATCH("Keyword Difficulty*",'Semrush Data'!$A$1:$Z$1,0)),"")</f>
        <v/>
      </c>
      <c r="I3191" s="29" t="str">
        <f aca="false">IFERROR(INDEX('Semrush Data'!$A$1:$Z$20000,MATCH(A3191,'Semrush Data'!$A$1:$A$20000,0),MATCH("CPC*",'Semrush Data'!$A$1:$Z$1,0)),"")</f>
        <v/>
      </c>
      <c r="J3191" s="6" t="str">
        <f aca="false">IFERROR(INDEX('Semrush Data'!$A$1:$Z$20000,MATCH(A3191,'Semrush Data'!$A$1:$A$20000,0),MATCH("Intent",'Semrush Data'!$A$1:$Z$1,0)),"")</f>
        <v/>
      </c>
    </row>
    <row r="3192" customFormat="false" ht="15" hidden="false" customHeight="true" outlineLevel="0" collapsed="false">
      <c r="A3192" s="6" t="s">
        <v>7850</v>
      </c>
      <c r="B3192" s="6" t="s">
        <v>239</v>
      </c>
      <c r="C3192" s="6" t="n">
        <v>3</v>
      </c>
      <c r="D3192" s="6" t="s">
        <v>6893</v>
      </c>
      <c r="E3192" s="6" t="n">
        <v>1</v>
      </c>
      <c r="F3192" s="6" t="s">
        <v>611</v>
      </c>
      <c r="G3192" s="28" t="n">
        <f aca="false">IFERROR(INDEX('Semrush Data'!$A$1:$Z$20000,MATCH(A3192,'Semrush Data'!$A$1:$A$20000,0),MATCH("Volume",'Semrush Data'!$A$1:$Z$1,0)),"")</f>
        <v>0</v>
      </c>
      <c r="H3192" s="6" t="n">
        <f aca="false">IFERROR(INDEX('Semrush Data'!$A$1:$Z$20000,MATCH(A3192,'Semrush Data'!$A$1:$A$20000,0),MATCH("Keyword Difficulty*",'Semrush Data'!$A$1:$Z$1,0)),"")</f>
        <v>35</v>
      </c>
      <c r="I3192" s="29" t="n">
        <f aca="false">IFERROR(INDEX('Semrush Data'!$A$1:$Z$20000,MATCH(A3192,'Semrush Data'!$A$1:$A$20000,0),MATCH("CPC*",'Semrush Data'!$A$1:$Z$1,0)),"")</f>
        <v>0</v>
      </c>
      <c r="J3192" s="6" t="str">
        <f aca="false">IFERROR(INDEX('Semrush Data'!$A$1:$Z$20000,MATCH(A3192,'Semrush Data'!$A$1:$A$20000,0),MATCH("Intent",'Semrush Data'!$A$1:$Z$1,0)),"")</f>
        <v>Commercial</v>
      </c>
    </row>
    <row r="3193" customFormat="false" ht="15" hidden="false" customHeight="true" outlineLevel="0" collapsed="false">
      <c r="A3193" s="6" t="s">
        <v>7851</v>
      </c>
      <c r="B3193" s="6" t="s">
        <v>239</v>
      </c>
      <c r="C3193" s="6" t="n">
        <v>3</v>
      </c>
      <c r="D3193" s="6" t="n">
        <v>32</v>
      </c>
      <c r="E3193" s="6" t="n">
        <v>1</v>
      </c>
      <c r="F3193" s="6" t="s">
        <v>447</v>
      </c>
      <c r="G3193" s="28" t="str">
        <f aca="false">IFERROR(INDEX('Semrush Data'!$A$1:$Z$20000,MATCH(A3193,'Semrush Data'!$A$1:$A$20000,0),MATCH("Volume",'Semrush Data'!$A$1:$Z$1,0)),"")</f>
        <v/>
      </c>
      <c r="H3193" s="6" t="str">
        <f aca="false">IFERROR(INDEX('Semrush Data'!$A$1:$Z$20000,MATCH(A3193,'Semrush Data'!$A$1:$A$20000,0),MATCH("Keyword Difficulty*",'Semrush Data'!$A$1:$Z$1,0)),"")</f>
        <v/>
      </c>
      <c r="I3193" s="29" t="str">
        <f aca="false">IFERROR(INDEX('Semrush Data'!$A$1:$Z$20000,MATCH(A3193,'Semrush Data'!$A$1:$A$20000,0),MATCH("CPC*",'Semrush Data'!$A$1:$Z$1,0)),"")</f>
        <v/>
      </c>
      <c r="J3193" s="6" t="str">
        <f aca="false">IFERROR(INDEX('Semrush Data'!$A$1:$Z$20000,MATCH(A3193,'Semrush Data'!$A$1:$A$20000,0),MATCH("Intent",'Semrush Data'!$A$1:$Z$1,0)),"")</f>
        <v/>
      </c>
    </row>
    <row r="3194" customFormat="false" ht="15" hidden="false" customHeight="true" outlineLevel="0" collapsed="false">
      <c r="A3194" s="6" t="s">
        <v>7852</v>
      </c>
      <c r="B3194" s="6" t="s">
        <v>239</v>
      </c>
      <c r="C3194" s="6" t="n">
        <v>3</v>
      </c>
      <c r="D3194" s="6" t="n">
        <v>32</v>
      </c>
      <c r="E3194" s="6" t="n">
        <v>1</v>
      </c>
      <c r="F3194" s="6" t="s">
        <v>447</v>
      </c>
      <c r="G3194" s="28" t="str">
        <f aca="false">IFERROR(INDEX('Semrush Data'!$A$1:$Z$20000,MATCH(A3194,'Semrush Data'!$A$1:$A$20000,0),MATCH("Volume",'Semrush Data'!$A$1:$Z$1,0)),"")</f>
        <v/>
      </c>
      <c r="H3194" s="6" t="str">
        <f aca="false">IFERROR(INDEX('Semrush Data'!$A$1:$Z$20000,MATCH(A3194,'Semrush Data'!$A$1:$A$20000,0),MATCH("Keyword Difficulty*",'Semrush Data'!$A$1:$Z$1,0)),"")</f>
        <v/>
      </c>
      <c r="I3194" s="29" t="str">
        <f aca="false">IFERROR(INDEX('Semrush Data'!$A$1:$Z$20000,MATCH(A3194,'Semrush Data'!$A$1:$A$20000,0),MATCH("CPC*",'Semrush Data'!$A$1:$Z$1,0)),"")</f>
        <v/>
      </c>
      <c r="J3194" s="6" t="str">
        <f aca="false">IFERROR(INDEX('Semrush Data'!$A$1:$Z$20000,MATCH(A3194,'Semrush Data'!$A$1:$A$20000,0),MATCH("Intent",'Semrush Data'!$A$1:$Z$1,0)),"")</f>
        <v/>
      </c>
    </row>
    <row r="3195" customFormat="false" ht="15" hidden="false" customHeight="true" outlineLevel="0" collapsed="false">
      <c r="A3195" s="6" t="s">
        <v>7853</v>
      </c>
      <c r="B3195" s="6" t="s">
        <v>239</v>
      </c>
      <c r="C3195" s="6" t="n">
        <v>3</v>
      </c>
      <c r="D3195" s="6" t="n">
        <v>32</v>
      </c>
      <c r="E3195" s="6" t="n">
        <v>1</v>
      </c>
      <c r="F3195" s="6" t="s">
        <v>447</v>
      </c>
      <c r="G3195" s="28" t="str">
        <f aca="false">IFERROR(INDEX('Semrush Data'!$A$1:$Z$20000,MATCH(A3195,'Semrush Data'!$A$1:$A$20000,0),MATCH("Volume",'Semrush Data'!$A$1:$Z$1,0)),"")</f>
        <v/>
      </c>
      <c r="H3195" s="6" t="str">
        <f aca="false">IFERROR(INDEX('Semrush Data'!$A$1:$Z$20000,MATCH(A3195,'Semrush Data'!$A$1:$A$20000,0),MATCH("Keyword Difficulty*",'Semrush Data'!$A$1:$Z$1,0)),"")</f>
        <v/>
      </c>
      <c r="I3195" s="29" t="str">
        <f aca="false">IFERROR(INDEX('Semrush Data'!$A$1:$Z$20000,MATCH(A3195,'Semrush Data'!$A$1:$A$20000,0),MATCH("CPC*",'Semrush Data'!$A$1:$Z$1,0)),"")</f>
        <v/>
      </c>
      <c r="J3195" s="6" t="str">
        <f aca="false">IFERROR(INDEX('Semrush Data'!$A$1:$Z$20000,MATCH(A3195,'Semrush Data'!$A$1:$A$20000,0),MATCH("Intent",'Semrush Data'!$A$1:$Z$1,0)),"")</f>
        <v/>
      </c>
    </row>
    <row r="3196" customFormat="false" ht="15" hidden="false" customHeight="true" outlineLevel="0" collapsed="false">
      <c r="A3196" s="6" t="s">
        <v>7854</v>
      </c>
      <c r="B3196" s="6" t="s">
        <v>239</v>
      </c>
      <c r="C3196" s="6" t="n">
        <v>3</v>
      </c>
      <c r="D3196" s="6" t="s">
        <v>6893</v>
      </c>
      <c r="E3196" s="6" t="n">
        <v>1</v>
      </c>
      <c r="F3196" s="6" t="s">
        <v>447</v>
      </c>
      <c r="G3196" s="28" t="n">
        <f aca="false">IFERROR(INDEX('Semrush Data'!$A$1:$Z$20000,MATCH(A3196,'Semrush Data'!$A$1:$A$20000,0),MATCH("Volume",'Semrush Data'!$A$1:$Z$1,0)),"")</f>
        <v>0</v>
      </c>
      <c r="H3196" s="6" t="n">
        <f aca="false">IFERROR(INDEX('Semrush Data'!$A$1:$Z$20000,MATCH(A3196,'Semrush Data'!$A$1:$A$20000,0),MATCH("Keyword Difficulty*",'Semrush Data'!$A$1:$Z$1,0)),"")</f>
        <v>13</v>
      </c>
      <c r="I3196" s="29" t="n">
        <f aca="false">IFERROR(INDEX('Semrush Data'!$A$1:$Z$20000,MATCH(A3196,'Semrush Data'!$A$1:$A$20000,0),MATCH("CPC*",'Semrush Data'!$A$1:$Z$1,0)),"")</f>
        <v>0</v>
      </c>
      <c r="J3196" s="6" t="str">
        <f aca="false">IFERROR(INDEX('Semrush Data'!$A$1:$Z$20000,MATCH(A3196,'Semrush Data'!$A$1:$A$20000,0),MATCH("Intent",'Semrush Data'!$A$1:$Z$1,0)),"")</f>
        <v>Commercial</v>
      </c>
    </row>
    <row r="3197" customFormat="false" ht="15" hidden="false" customHeight="true" outlineLevel="0" collapsed="false">
      <c r="A3197" s="6" t="s">
        <v>7855</v>
      </c>
      <c r="B3197" s="6" t="s">
        <v>239</v>
      </c>
      <c r="C3197" s="6" t="n">
        <v>3</v>
      </c>
      <c r="D3197" s="6" t="n">
        <v>32</v>
      </c>
      <c r="E3197" s="6" t="n">
        <v>1</v>
      </c>
      <c r="F3197" s="6" t="s">
        <v>618</v>
      </c>
      <c r="G3197" s="28" t="str">
        <f aca="false">IFERROR(INDEX('Semrush Data'!$A$1:$Z$20000,MATCH(A3197,'Semrush Data'!$A$1:$A$20000,0),MATCH("Volume",'Semrush Data'!$A$1:$Z$1,0)),"")</f>
        <v/>
      </c>
      <c r="H3197" s="6" t="str">
        <f aca="false">IFERROR(INDEX('Semrush Data'!$A$1:$Z$20000,MATCH(A3197,'Semrush Data'!$A$1:$A$20000,0),MATCH("Keyword Difficulty*",'Semrush Data'!$A$1:$Z$1,0)),"")</f>
        <v/>
      </c>
      <c r="I3197" s="29" t="str">
        <f aca="false">IFERROR(INDEX('Semrush Data'!$A$1:$Z$20000,MATCH(A3197,'Semrush Data'!$A$1:$A$20000,0),MATCH("CPC*",'Semrush Data'!$A$1:$Z$1,0)),"")</f>
        <v/>
      </c>
      <c r="J3197" s="6" t="str">
        <f aca="false">IFERROR(INDEX('Semrush Data'!$A$1:$Z$20000,MATCH(A3197,'Semrush Data'!$A$1:$A$20000,0),MATCH("Intent",'Semrush Data'!$A$1:$Z$1,0)),"")</f>
        <v/>
      </c>
    </row>
    <row r="3198" customFormat="false" ht="15" hidden="false" customHeight="true" outlineLevel="0" collapsed="false">
      <c r="A3198" s="6" t="s">
        <v>7856</v>
      </c>
      <c r="B3198" s="6" t="s">
        <v>239</v>
      </c>
      <c r="C3198" s="6" t="n">
        <v>3</v>
      </c>
      <c r="D3198" s="6" t="s">
        <v>6893</v>
      </c>
      <c r="E3198" s="6" t="n">
        <v>1</v>
      </c>
      <c r="F3198" s="6" t="s">
        <v>618</v>
      </c>
      <c r="G3198" s="28" t="n">
        <f aca="false">IFERROR(INDEX('Semrush Data'!$A$1:$Z$20000,MATCH(A3198,'Semrush Data'!$A$1:$A$20000,0),MATCH("Volume",'Semrush Data'!$A$1:$Z$1,0)),"")</f>
        <v>0</v>
      </c>
      <c r="H3198" s="6" t="n">
        <f aca="false">IFERROR(INDEX('Semrush Data'!$A$1:$Z$20000,MATCH(A3198,'Semrush Data'!$A$1:$A$20000,0),MATCH("Keyword Difficulty*",'Semrush Data'!$A$1:$Z$1,0)),"")</f>
        <v>23</v>
      </c>
      <c r="I3198" s="29" t="n">
        <f aca="false">IFERROR(INDEX('Semrush Data'!$A$1:$Z$20000,MATCH(A3198,'Semrush Data'!$A$1:$A$20000,0),MATCH("CPC*",'Semrush Data'!$A$1:$Z$1,0)),"")</f>
        <v>0</v>
      </c>
      <c r="J3198" s="6" t="str">
        <f aca="false">IFERROR(INDEX('Semrush Data'!$A$1:$Z$20000,MATCH(A3198,'Semrush Data'!$A$1:$A$20000,0),MATCH("Intent",'Semrush Data'!$A$1:$Z$1,0)),"")</f>
        <v>Commercial</v>
      </c>
    </row>
    <row r="3199" customFormat="false" ht="15" hidden="false" customHeight="true" outlineLevel="0" collapsed="false">
      <c r="A3199" s="6" t="s">
        <v>7857</v>
      </c>
      <c r="B3199" s="6" t="s">
        <v>239</v>
      </c>
      <c r="C3199" s="6" t="n">
        <v>3</v>
      </c>
      <c r="D3199" s="6" t="n">
        <v>32</v>
      </c>
      <c r="E3199" s="6" t="n">
        <v>1</v>
      </c>
      <c r="F3199" s="6" t="s">
        <v>480</v>
      </c>
      <c r="G3199" s="28" t="str">
        <f aca="false">IFERROR(INDEX('Semrush Data'!$A$1:$Z$20000,MATCH(A3199,'Semrush Data'!$A$1:$A$20000,0),MATCH("Volume",'Semrush Data'!$A$1:$Z$1,0)),"")</f>
        <v/>
      </c>
      <c r="H3199" s="6" t="str">
        <f aca="false">IFERROR(INDEX('Semrush Data'!$A$1:$Z$20000,MATCH(A3199,'Semrush Data'!$A$1:$A$20000,0),MATCH("Keyword Difficulty*",'Semrush Data'!$A$1:$Z$1,0)),"")</f>
        <v/>
      </c>
      <c r="I3199" s="29" t="str">
        <f aca="false">IFERROR(INDEX('Semrush Data'!$A$1:$Z$20000,MATCH(A3199,'Semrush Data'!$A$1:$A$20000,0),MATCH("CPC*",'Semrush Data'!$A$1:$Z$1,0)),"")</f>
        <v/>
      </c>
      <c r="J3199" s="6" t="str">
        <f aca="false">IFERROR(INDEX('Semrush Data'!$A$1:$Z$20000,MATCH(A3199,'Semrush Data'!$A$1:$A$20000,0),MATCH("Intent",'Semrush Data'!$A$1:$Z$1,0)),"")</f>
        <v/>
      </c>
    </row>
    <row r="3200" customFormat="false" ht="15" hidden="false" customHeight="true" outlineLevel="0" collapsed="false">
      <c r="A3200" s="6" t="s">
        <v>7858</v>
      </c>
      <c r="B3200" s="6" t="s">
        <v>239</v>
      </c>
      <c r="C3200" s="6" t="n">
        <v>3</v>
      </c>
      <c r="D3200" s="6" t="n">
        <v>32</v>
      </c>
      <c r="E3200" s="6" t="n">
        <v>1</v>
      </c>
      <c r="F3200" s="6" t="s">
        <v>480</v>
      </c>
      <c r="G3200" s="28" t="str">
        <f aca="false">IFERROR(INDEX('Semrush Data'!$A$1:$Z$20000,MATCH(A3200,'Semrush Data'!$A$1:$A$20000,0),MATCH("Volume",'Semrush Data'!$A$1:$Z$1,0)),"")</f>
        <v/>
      </c>
      <c r="H3200" s="6" t="str">
        <f aca="false">IFERROR(INDEX('Semrush Data'!$A$1:$Z$20000,MATCH(A3200,'Semrush Data'!$A$1:$A$20000,0),MATCH("Keyword Difficulty*",'Semrush Data'!$A$1:$Z$1,0)),"")</f>
        <v/>
      </c>
      <c r="I3200" s="29" t="str">
        <f aca="false">IFERROR(INDEX('Semrush Data'!$A$1:$Z$20000,MATCH(A3200,'Semrush Data'!$A$1:$A$20000,0),MATCH("CPC*",'Semrush Data'!$A$1:$Z$1,0)),"")</f>
        <v/>
      </c>
      <c r="J3200" s="6" t="str">
        <f aca="false">IFERROR(INDEX('Semrush Data'!$A$1:$Z$20000,MATCH(A3200,'Semrush Data'!$A$1:$A$20000,0),MATCH("Intent",'Semrush Data'!$A$1:$Z$1,0)),"")</f>
        <v/>
      </c>
    </row>
    <row r="3201" customFormat="false" ht="15" hidden="false" customHeight="true" outlineLevel="0" collapsed="false">
      <c r="A3201" s="6" t="s">
        <v>7859</v>
      </c>
      <c r="B3201" s="6" t="s">
        <v>239</v>
      </c>
      <c r="C3201" s="6" t="n">
        <v>3</v>
      </c>
      <c r="D3201" s="6" t="s">
        <v>6893</v>
      </c>
      <c r="E3201" s="6" t="n">
        <v>1</v>
      </c>
      <c r="F3201" s="6" t="s">
        <v>480</v>
      </c>
      <c r="G3201" s="28" t="n">
        <f aca="false">IFERROR(INDEX('Semrush Data'!$A$1:$Z$20000,MATCH(A3201,'Semrush Data'!$A$1:$A$20000,0),MATCH("Volume",'Semrush Data'!$A$1:$Z$1,0)),"")</f>
        <v>20</v>
      </c>
      <c r="H3201" s="6" t="n">
        <f aca="false">IFERROR(INDEX('Semrush Data'!$A$1:$Z$20000,MATCH(A3201,'Semrush Data'!$A$1:$A$20000,0),MATCH("Keyword Difficulty*",'Semrush Data'!$A$1:$Z$1,0)),"")</f>
        <v>25</v>
      </c>
      <c r="I3201" s="29" t="n">
        <f aca="false">IFERROR(INDEX('Semrush Data'!$A$1:$Z$20000,MATCH(A3201,'Semrush Data'!$A$1:$A$20000,0),MATCH("CPC*",'Semrush Data'!$A$1:$Z$1,0)),"")</f>
        <v>0</v>
      </c>
      <c r="J3201" s="6" t="str">
        <f aca="false">IFERROR(INDEX('Semrush Data'!$A$1:$Z$20000,MATCH(A3201,'Semrush Data'!$A$1:$A$20000,0),MATCH("Intent",'Semrush Data'!$A$1:$Z$1,0)),"")</f>
        <v>Navigational Commercial</v>
      </c>
    </row>
    <row r="3202" customFormat="false" ht="15" hidden="false" customHeight="true" outlineLevel="0" collapsed="false">
      <c r="A3202" s="6" t="s">
        <v>7860</v>
      </c>
      <c r="B3202" s="6" t="s">
        <v>239</v>
      </c>
      <c r="C3202" s="6" t="n">
        <v>3</v>
      </c>
      <c r="D3202" s="6" t="n">
        <v>33</v>
      </c>
      <c r="E3202" s="6" t="n">
        <v>1</v>
      </c>
      <c r="F3202" s="6" t="s">
        <v>447</v>
      </c>
      <c r="G3202" s="28" t="str">
        <f aca="false">IFERROR(INDEX('Semrush Data'!$A$1:$Z$20000,MATCH(A3202,'Semrush Data'!$A$1:$A$20000,0),MATCH("Volume",'Semrush Data'!$A$1:$Z$1,0)),"")</f>
        <v/>
      </c>
      <c r="H3202" s="6" t="str">
        <f aca="false">IFERROR(INDEX('Semrush Data'!$A$1:$Z$20000,MATCH(A3202,'Semrush Data'!$A$1:$A$20000,0),MATCH("Keyword Difficulty*",'Semrush Data'!$A$1:$Z$1,0)),"")</f>
        <v/>
      </c>
      <c r="I3202" s="29" t="str">
        <f aca="false">IFERROR(INDEX('Semrush Data'!$A$1:$Z$20000,MATCH(A3202,'Semrush Data'!$A$1:$A$20000,0),MATCH("CPC*",'Semrush Data'!$A$1:$Z$1,0)),"")</f>
        <v/>
      </c>
      <c r="J3202" s="6" t="str">
        <f aca="false">IFERROR(INDEX('Semrush Data'!$A$1:$Z$20000,MATCH(A3202,'Semrush Data'!$A$1:$A$20000,0),MATCH("Intent",'Semrush Data'!$A$1:$Z$1,0)),"")</f>
        <v/>
      </c>
    </row>
    <row r="3203" customFormat="false" ht="15" hidden="false" customHeight="true" outlineLevel="0" collapsed="false">
      <c r="A3203" s="6" t="s">
        <v>7861</v>
      </c>
      <c r="B3203" s="6" t="s">
        <v>239</v>
      </c>
      <c r="C3203" s="6" t="n">
        <v>3</v>
      </c>
      <c r="D3203" s="6" t="n">
        <v>33</v>
      </c>
      <c r="E3203" s="6" t="n">
        <v>1</v>
      </c>
      <c r="F3203" s="6" t="s">
        <v>637</v>
      </c>
      <c r="G3203" s="28" t="str">
        <f aca="false">IFERROR(INDEX('Semrush Data'!$A$1:$Z$20000,MATCH(A3203,'Semrush Data'!$A$1:$A$20000,0),MATCH("Volume",'Semrush Data'!$A$1:$Z$1,0)),"")</f>
        <v/>
      </c>
      <c r="H3203" s="6" t="str">
        <f aca="false">IFERROR(INDEX('Semrush Data'!$A$1:$Z$20000,MATCH(A3203,'Semrush Data'!$A$1:$A$20000,0),MATCH("Keyword Difficulty*",'Semrush Data'!$A$1:$Z$1,0)),"")</f>
        <v/>
      </c>
      <c r="I3203" s="29" t="str">
        <f aca="false">IFERROR(INDEX('Semrush Data'!$A$1:$Z$20000,MATCH(A3203,'Semrush Data'!$A$1:$A$20000,0),MATCH("CPC*",'Semrush Data'!$A$1:$Z$1,0)),"")</f>
        <v/>
      </c>
      <c r="J3203" s="6" t="str">
        <f aca="false">IFERROR(INDEX('Semrush Data'!$A$1:$Z$20000,MATCH(A3203,'Semrush Data'!$A$1:$A$20000,0),MATCH("Intent",'Semrush Data'!$A$1:$Z$1,0)),"")</f>
        <v/>
      </c>
    </row>
    <row r="3204" customFormat="false" ht="15" hidden="false" customHeight="true" outlineLevel="0" collapsed="false">
      <c r="A3204" s="6" t="s">
        <v>7862</v>
      </c>
      <c r="B3204" s="6" t="s">
        <v>239</v>
      </c>
      <c r="C3204" s="6" t="n">
        <v>3</v>
      </c>
      <c r="D3204" s="6" t="n">
        <v>33</v>
      </c>
      <c r="E3204" s="6" t="n">
        <v>1</v>
      </c>
      <c r="F3204" s="6" t="s">
        <v>637</v>
      </c>
      <c r="G3204" s="28" t="str">
        <f aca="false">IFERROR(INDEX('Semrush Data'!$A$1:$Z$20000,MATCH(A3204,'Semrush Data'!$A$1:$A$20000,0),MATCH("Volume",'Semrush Data'!$A$1:$Z$1,0)),"")</f>
        <v/>
      </c>
      <c r="H3204" s="6" t="str">
        <f aca="false">IFERROR(INDEX('Semrush Data'!$A$1:$Z$20000,MATCH(A3204,'Semrush Data'!$A$1:$A$20000,0),MATCH("Keyword Difficulty*",'Semrush Data'!$A$1:$Z$1,0)),"")</f>
        <v/>
      </c>
      <c r="I3204" s="29" t="str">
        <f aca="false">IFERROR(INDEX('Semrush Data'!$A$1:$Z$20000,MATCH(A3204,'Semrush Data'!$A$1:$A$20000,0),MATCH("CPC*",'Semrush Data'!$A$1:$Z$1,0)),"")</f>
        <v/>
      </c>
      <c r="J3204" s="6" t="str">
        <f aca="false">IFERROR(INDEX('Semrush Data'!$A$1:$Z$20000,MATCH(A3204,'Semrush Data'!$A$1:$A$20000,0),MATCH("Intent",'Semrush Data'!$A$1:$Z$1,0)),"")</f>
        <v/>
      </c>
    </row>
    <row r="3205" customFormat="false" ht="15" hidden="false" customHeight="true" outlineLevel="0" collapsed="false">
      <c r="A3205" s="6" t="s">
        <v>7863</v>
      </c>
      <c r="B3205" s="6" t="s">
        <v>239</v>
      </c>
      <c r="C3205" s="6" t="n">
        <v>3</v>
      </c>
      <c r="D3205" s="6" t="n">
        <v>33</v>
      </c>
      <c r="E3205" s="6" t="n">
        <v>1</v>
      </c>
      <c r="F3205" s="6" t="s">
        <v>637</v>
      </c>
      <c r="G3205" s="28" t="str">
        <f aca="false">IFERROR(INDEX('Semrush Data'!$A$1:$Z$20000,MATCH(A3205,'Semrush Data'!$A$1:$A$20000,0),MATCH("Volume",'Semrush Data'!$A$1:$Z$1,0)),"")</f>
        <v/>
      </c>
      <c r="H3205" s="6" t="str">
        <f aca="false">IFERROR(INDEX('Semrush Data'!$A$1:$Z$20000,MATCH(A3205,'Semrush Data'!$A$1:$A$20000,0),MATCH("Keyword Difficulty*",'Semrush Data'!$A$1:$Z$1,0)),"")</f>
        <v/>
      </c>
      <c r="I3205" s="29" t="str">
        <f aca="false">IFERROR(INDEX('Semrush Data'!$A$1:$Z$20000,MATCH(A3205,'Semrush Data'!$A$1:$A$20000,0),MATCH("CPC*",'Semrush Data'!$A$1:$Z$1,0)),"")</f>
        <v/>
      </c>
      <c r="J3205" s="6" t="str">
        <f aca="false">IFERROR(INDEX('Semrush Data'!$A$1:$Z$20000,MATCH(A3205,'Semrush Data'!$A$1:$A$20000,0),MATCH("Intent",'Semrush Data'!$A$1:$Z$1,0)),"")</f>
        <v/>
      </c>
    </row>
    <row r="3206" customFormat="false" ht="15" hidden="false" customHeight="true" outlineLevel="0" collapsed="false">
      <c r="A3206" s="6" t="s">
        <v>7864</v>
      </c>
      <c r="B3206" s="6" t="s">
        <v>239</v>
      </c>
      <c r="C3206" s="6" t="n">
        <v>3</v>
      </c>
      <c r="D3206" s="6" t="s">
        <v>6893</v>
      </c>
      <c r="E3206" s="6" t="n">
        <v>1</v>
      </c>
      <c r="F3206" s="6" t="s">
        <v>637</v>
      </c>
      <c r="G3206" s="28" t="n">
        <f aca="false">IFERROR(INDEX('Semrush Data'!$A$1:$Z$20000,MATCH(A3206,'Semrush Data'!$A$1:$A$20000,0),MATCH("Volume",'Semrush Data'!$A$1:$Z$1,0)),"")</f>
        <v>0</v>
      </c>
      <c r="H3206" s="6" t="n">
        <f aca="false">IFERROR(INDEX('Semrush Data'!$A$1:$Z$20000,MATCH(A3206,'Semrush Data'!$A$1:$A$20000,0),MATCH("Keyword Difficulty*",'Semrush Data'!$A$1:$Z$1,0)),"")</f>
        <v>14</v>
      </c>
      <c r="I3206" s="29" t="n">
        <f aca="false">IFERROR(INDEX('Semrush Data'!$A$1:$Z$20000,MATCH(A3206,'Semrush Data'!$A$1:$A$20000,0),MATCH("CPC*",'Semrush Data'!$A$1:$Z$1,0)),"")</f>
        <v>0</v>
      </c>
      <c r="J3206" s="6" t="str">
        <f aca="false">IFERROR(INDEX('Semrush Data'!$A$1:$Z$20000,MATCH(A3206,'Semrush Data'!$A$1:$A$20000,0),MATCH("Intent",'Semrush Data'!$A$1:$Z$1,0)),"")</f>
        <v>Commercial</v>
      </c>
    </row>
    <row r="3207" customFormat="false" ht="15" hidden="false" customHeight="true" outlineLevel="0" collapsed="false">
      <c r="A3207" s="6" t="s">
        <v>7865</v>
      </c>
      <c r="B3207" s="6" t="s">
        <v>239</v>
      </c>
      <c r="C3207" s="6" t="n">
        <v>3</v>
      </c>
      <c r="D3207" s="6" t="n">
        <v>33</v>
      </c>
      <c r="E3207" s="6" t="n">
        <v>3</v>
      </c>
      <c r="F3207" s="6" t="s">
        <v>6864</v>
      </c>
      <c r="G3207" s="28" t="str">
        <f aca="false">IFERROR(INDEX('Semrush Data'!$A$1:$Z$20000,MATCH(A3207,'Semrush Data'!$A$1:$A$20000,0),MATCH("Volume",'Semrush Data'!$A$1:$Z$1,0)),"")</f>
        <v/>
      </c>
      <c r="H3207" s="6" t="str">
        <f aca="false">IFERROR(INDEX('Semrush Data'!$A$1:$Z$20000,MATCH(A3207,'Semrush Data'!$A$1:$A$20000,0),MATCH("Keyword Difficulty*",'Semrush Data'!$A$1:$Z$1,0)),"")</f>
        <v/>
      </c>
      <c r="I3207" s="29" t="str">
        <f aca="false">IFERROR(INDEX('Semrush Data'!$A$1:$Z$20000,MATCH(A3207,'Semrush Data'!$A$1:$A$20000,0),MATCH("CPC*",'Semrush Data'!$A$1:$Z$1,0)),"")</f>
        <v/>
      </c>
      <c r="J3207" s="6" t="str">
        <f aca="false">IFERROR(INDEX('Semrush Data'!$A$1:$Z$20000,MATCH(A3207,'Semrush Data'!$A$1:$A$20000,0),MATCH("Intent",'Semrush Data'!$A$1:$Z$1,0)),"")</f>
        <v/>
      </c>
    </row>
    <row r="3208" customFormat="false" ht="15" hidden="false" customHeight="true" outlineLevel="0" collapsed="false">
      <c r="A3208" s="6" t="s">
        <v>7866</v>
      </c>
      <c r="B3208" s="6" t="s">
        <v>239</v>
      </c>
      <c r="C3208" s="6" t="n">
        <v>3</v>
      </c>
      <c r="D3208" s="6" t="n">
        <v>33</v>
      </c>
      <c r="E3208" s="6" t="n">
        <v>3</v>
      </c>
      <c r="F3208" s="6" t="s">
        <v>6864</v>
      </c>
      <c r="G3208" s="28" t="str">
        <f aca="false">IFERROR(INDEX('Semrush Data'!$A$1:$Z$20000,MATCH(A3208,'Semrush Data'!$A$1:$A$20000,0),MATCH("Volume",'Semrush Data'!$A$1:$Z$1,0)),"")</f>
        <v/>
      </c>
      <c r="H3208" s="6" t="str">
        <f aca="false">IFERROR(INDEX('Semrush Data'!$A$1:$Z$20000,MATCH(A3208,'Semrush Data'!$A$1:$A$20000,0),MATCH("Keyword Difficulty*",'Semrush Data'!$A$1:$Z$1,0)),"")</f>
        <v/>
      </c>
      <c r="I3208" s="29" t="str">
        <f aca="false">IFERROR(INDEX('Semrush Data'!$A$1:$Z$20000,MATCH(A3208,'Semrush Data'!$A$1:$A$20000,0),MATCH("CPC*",'Semrush Data'!$A$1:$Z$1,0)),"")</f>
        <v/>
      </c>
      <c r="J3208" s="6" t="str">
        <f aca="false">IFERROR(INDEX('Semrush Data'!$A$1:$Z$20000,MATCH(A3208,'Semrush Data'!$A$1:$A$20000,0),MATCH("Intent",'Semrush Data'!$A$1:$Z$1,0)),"")</f>
        <v/>
      </c>
    </row>
    <row r="3209" customFormat="false" ht="15" hidden="false" customHeight="true" outlineLevel="0" collapsed="false">
      <c r="A3209" s="6" t="s">
        <v>7867</v>
      </c>
      <c r="B3209" s="6" t="s">
        <v>239</v>
      </c>
      <c r="C3209" s="6" t="n">
        <v>3</v>
      </c>
      <c r="D3209" s="6" t="n">
        <v>33</v>
      </c>
      <c r="E3209" s="6" t="n">
        <v>3</v>
      </c>
      <c r="F3209" s="6" t="s">
        <v>6864</v>
      </c>
      <c r="G3209" s="28" t="str">
        <f aca="false">IFERROR(INDEX('Semrush Data'!$A$1:$Z$20000,MATCH(A3209,'Semrush Data'!$A$1:$A$20000,0),MATCH("Volume",'Semrush Data'!$A$1:$Z$1,0)),"")</f>
        <v/>
      </c>
      <c r="H3209" s="6" t="str">
        <f aca="false">IFERROR(INDEX('Semrush Data'!$A$1:$Z$20000,MATCH(A3209,'Semrush Data'!$A$1:$A$20000,0),MATCH("Keyword Difficulty*",'Semrush Data'!$A$1:$Z$1,0)),"")</f>
        <v/>
      </c>
      <c r="I3209" s="29" t="str">
        <f aca="false">IFERROR(INDEX('Semrush Data'!$A$1:$Z$20000,MATCH(A3209,'Semrush Data'!$A$1:$A$20000,0),MATCH("CPC*",'Semrush Data'!$A$1:$Z$1,0)),"")</f>
        <v/>
      </c>
      <c r="J3209" s="6" t="str">
        <f aca="false">IFERROR(INDEX('Semrush Data'!$A$1:$Z$20000,MATCH(A3209,'Semrush Data'!$A$1:$A$20000,0),MATCH("Intent",'Semrush Data'!$A$1:$Z$1,0)),"")</f>
        <v/>
      </c>
    </row>
    <row r="3210" customFormat="false" ht="15" hidden="false" customHeight="true" outlineLevel="0" collapsed="false">
      <c r="A3210" s="6" t="s">
        <v>7868</v>
      </c>
      <c r="B3210" s="6" t="s">
        <v>239</v>
      </c>
      <c r="C3210" s="6" t="n">
        <v>3</v>
      </c>
      <c r="D3210" s="6" t="n">
        <v>33</v>
      </c>
      <c r="E3210" s="6" t="n">
        <v>3</v>
      </c>
      <c r="F3210" s="6" t="s">
        <v>6864</v>
      </c>
      <c r="G3210" s="28" t="str">
        <f aca="false">IFERROR(INDEX('Semrush Data'!$A$1:$Z$20000,MATCH(A3210,'Semrush Data'!$A$1:$A$20000,0),MATCH("Volume",'Semrush Data'!$A$1:$Z$1,0)),"")</f>
        <v/>
      </c>
      <c r="H3210" s="6" t="str">
        <f aca="false">IFERROR(INDEX('Semrush Data'!$A$1:$Z$20000,MATCH(A3210,'Semrush Data'!$A$1:$A$20000,0),MATCH("Keyword Difficulty*",'Semrush Data'!$A$1:$Z$1,0)),"")</f>
        <v/>
      </c>
      <c r="I3210" s="29" t="str">
        <f aca="false">IFERROR(INDEX('Semrush Data'!$A$1:$Z$20000,MATCH(A3210,'Semrush Data'!$A$1:$A$20000,0),MATCH("CPC*",'Semrush Data'!$A$1:$Z$1,0)),"")</f>
        <v/>
      </c>
      <c r="J3210" s="6" t="str">
        <f aca="false">IFERROR(INDEX('Semrush Data'!$A$1:$Z$20000,MATCH(A3210,'Semrush Data'!$A$1:$A$20000,0),MATCH("Intent",'Semrush Data'!$A$1:$Z$1,0)),"")</f>
        <v/>
      </c>
    </row>
    <row r="3211" customFormat="false" ht="15" hidden="false" customHeight="true" outlineLevel="0" collapsed="false">
      <c r="A3211" s="6" t="s">
        <v>7869</v>
      </c>
      <c r="B3211" s="6" t="s">
        <v>239</v>
      </c>
      <c r="C3211" s="6" t="n">
        <v>3</v>
      </c>
      <c r="D3211" s="6" t="s">
        <v>6893</v>
      </c>
      <c r="E3211" s="6" t="n">
        <v>3</v>
      </c>
      <c r="F3211" s="6" t="s">
        <v>6864</v>
      </c>
      <c r="G3211" s="28" t="n">
        <f aca="false">IFERROR(INDEX('Semrush Data'!$A$1:$Z$20000,MATCH(A3211,'Semrush Data'!$A$1:$A$20000,0),MATCH("Volume",'Semrush Data'!$A$1:$Z$1,0)),"")</f>
        <v>20</v>
      </c>
      <c r="H3211" s="6" t="n">
        <f aca="false">IFERROR(INDEX('Semrush Data'!$A$1:$Z$20000,MATCH(A3211,'Semrush Data'!$A$1:$A$20000,0),MATCH("Keyword Difficulty*",'Semrush Data'!$A$1:$Z$1,0)),"")</f>
        <v>18</v>
      </c>
      <c r="I3211" s="29" t="n">
        <f aca="false">IFERROR(INDEX('Semrush Data'!$A$1:$Z$20000,MATCH(A3211,'Semrush Data'!$A$1:$A$20000,0),MATCH("CPC*",'Semrush Data'!$A$1:$Z$1,0)),"")</f>
        <v>0</v>
      </c>
      <c r="J3211" s="6" t="str">
        <f aca="false">IFERROR(INDEX('Semrush Data'!$A$1:$Z$20000,MATCH(A3211,'Semrush Data'!$A$1:$A$20000,0),MATCH("Intent",'Semrush Data'!$A$1:$Z$1,0)),"")</f>
        <v>Commercial</v>
      </c>
    </row>
    <row r="3212" customFormat="false" ht="15" hidden="false" customHeight="true" outlineLevel="0" collapsed="false">
      <c r="A3212" s="6" t="s">
        <v>7870</v>
      </c>
      <c r="B3212" s="6" t="s">
        <v>239</v>
      </c>
      <c r="C3212" s="6" t="n">
        <v>3</v>
      </c>
      <c r="D3212" s="6" t="n">
        <v>33</v>
      </c>
      <c r="E3212" s="6" t="n">
        <v>3</v>
      </c>
      <c r="F3212" s="6" t="s">
        <v>6864</v>
      </c>
      <c r="G3212" s="28" t="str">
        <f aca="false">IFERROR(INDEX('Semrush Data'!$A$1:$Z$20000,MATCH(A3212,'Semrush Data'!$A$1:$A$20000,0),MATCH("Volume",'Semrush Data'!$A$1:$Z$1,0)),"")</f>
        <v/>
      </c>
      <c r="H3212" s="6" t="str">
        <f aca="false">IFERROR(INDEX('Semrush Data'!$A$1:$Z$20000,MATCH(A3212,'Semrush Data'!$A$1:$A$20000,0),MATCH("Keyword Difficulty*",'Semrush Data'!$A$1:$Z$1,0)),"")</f>
        <v/>
      </c>
      <c r="I3212" s="29" t="str">
        <f aca="false">IFERROR(INDEX('Semrush Data'!$A$1:$Z$20000,MATCH(A3212,'Semrush Data'!$A$1:$A$20000,0),MATCH("CPC*",'Semrush Data'!$A$1:$Z$1,0)),"")</f>
        <v/>
      </c>
      <c r="J3212" s="6" t="str">
        <f aca="false">IFERROR(INDEX('Semrush Data'!$A$1:$Z$20000,MATCH(A3212,'Semrush Data'!$A$1:$A$20000,0),MATCH("Intent",'Semrush Data'!$A$1:$Z$1,0)),"")</f>
        <v/>
      </c>
    </row>
    <row r="3213" customFormat="false" ht="15" hidden="false" customHeight="true" outlineLevel="0" collapsed="false">
      <c r="A3213" s="6" t="s">
        <v>636</v>
      </c>
      <c r="B3213" s="6" t="s">
        <v>239</v>
      </c>
      <c r="C3213" s="6" t="n">
        <v>3</v>
      </c>
      <c r="D3213" s="6" t="s">
        <v>6893</v>
      </c>
      <c r="E3213" s="6" t="n">
        <v>1</v>
      </c>
      <c r="F3213" s="6" t="s">
        <v>629</v>
      </c>
      <c r="G3213" s="28" t="n">
        <f aca="false">IFERROR(INDEX('Semrush Data'!$A$1:$Z$20000,MATCH(A3213,'Semrush Data'!$A$1:$A$20000,0),MATCH("Volume",'Semrush Data'!$A$1:$Z$1,0)),"")</f>
        <v>0</v>
      </c>
      <c r="H3213" s="6" t="n">
        <f aca="false">IFERROR(INDEX('Semrush Data'!$A$1:$Z$20000,MATCH(A3213,'Semrush Data'!$A$1:$A$20000,0),MATCH("Keyword Difficulty*",'Semrush Data'!$A$1:$Z$1,0)),"")</f>
        <v>16</v>
      </c>
      <c r="I3213" s="29" t="n">
        <f aca="false">IFERROR(INDEX('Semrush Data'!$A$1:$Z$20000,MATCH(A3213,'Semrush Data'!$A$1:$A$20000,0),MATCH("CPC*",'Semrush Data'!$A$1:$Z$1,0)),"")</f>
        <v>0</v>
      </c>
      <c r="J3213" s="6" t="str">
        <f aca="false">IFERROR(INDEX('Semrush Data'!$A$1:$Z$20000,MATCH(A3213,'Semrush Data'!$A$1:$A$20000,0),MATCH("Intent",'Semrush Data'!$A$1:$Z$1,0)),"")</f>
        <v>Informational Transactional</v>
      </c>
    </row>
    <row r="3214" customFormat="false" ht="15" hidden="false" customHeight="true" outlineLevel="0" collapsed="false">
      <c r="A3214" s="6" t="s">
        <v>495</v>
      </c>
      <c r="B3214" s="6" t="s">
        <v>239</v>
      </c>
      <c r="C3214" s="6" t="n">
        <v>3</v>
      </c>
      <c r="D3214" s="6" t="s">
        <v>6893</v>
      </c>
      <c r="E3214" s="6" t="n">
        <v>1</v>
      </c>
      <c r="F3214" s="6" t="s">
        <v>489</v>
      </c>
      <c r="G3214" s="28" t="n">
        <f aca="false">IFERROR(INDEX('Semrush Data'!$A$1:$Z$20000,MATCH(A3214,'Semrush Data'!$A$1:$A$20000,0),MATCH("Volume",'Semrush Data'!$A$1:$Z$1,0)),"")</f>
        <v>0</v>
      </c>
      <c r="H3214" s="6" t="n">
        <f aca="false">IFERROR(INDEX('Semrush Data'!$A$1:$Z$20000,MATCH(A3214,'Semrush Data'!$A$1:$A$20000,0),MATCH("Keyword Difficulty*",'Semrush Data'!$A$1:$Z$1,0)),"")</f>
        <v>19</v>
      </c>
      <c r="I3214" s="29" t="n">
        <f aca="false">IFERROR(INDEX('Semrush Data'!$A$1:$Z$20000,MATCH(A3214,'Semrush Data'!$A$1:$A$20000,0),MATCH("CPC*",'Semrush Data'!$A$1:$Z$1,0)),"")</f>
        <v>0</v>
      </c>
      <c r="J3214" s="6" t="str">
        <f aca="false">IFERROR(INDEX('Semrush Data'!$A$1:$Z$20000,MATCH(A3214,'Semrush Data'!$A$1:$A$20000,0),MATCH("Intent",'Semrush Data'!$A$1:$Z$1,0)),"")</f>
        <v>Commercial</v>
      </c>
    </row>
    <row r="3215" customFormat="false" ht="15" hidden="false" customHeight="true" outlineLevel="0" collapsed="false">
      <c r="A3215" s="6" t="s">
        <v>7871</v>
      </c>
      <c r="B3215" s="6" t="s">
        <v>239</v>
      </c>
      <c r="C3215" s="6" t="n">
        <v>3</v>
      </c>
      <c r="D3215" s="6" t="s">
        <v>6893</v>
      </c>
      <c r="E3215" s="6" t="n">
        <v>1</v>
      </c>
      <c r="F3215" s="6" t="s">
        <v>496</v>
      </c>
      <c r="G3215" s="28" t="n">
        <f aca="false">IFERROR(INDEX('Semrush Data'!$A$1:$Z$20000,MATCH(A3215,'Semrush Data'!$A$1:$A$20000,0),MATCH("Volume",'Semrush Data'!$A$1:$Z$1,0)),"")</f>
        <v>0</v>
      </c>
      <c r="H3215" s="6" t="n">
        <f aca="false">IFERROR(INDEX('Semrush Data'!$A$1:$Z$20000,MATCH(A3215,'Semrush Data'!$A$1:$A$20000,0),MATCH("Keyword Difficulty*",'Semrush Data'!$A$1:$Z$1,0)),"")</f>
        <v>28</v>
      </c>
      <c r="I3215" s="29" t="n">
        <f aca="false">IFERROR(INDEX('Semrush Data'!$A$1:$Z$20000,MATCH(A3215,'Semrush Data'!$A$1:$A$20000,0),MATCH("CPC*",'Semrush Data'!$A$1:$Z$1,0)),"")</f>
        <v>0</v>
      </c>
      <c r="J3215" s="6" t="str">
        <f aca="false">IFERROR(INDEX('Semrush Data'!$A$1:$Z$20000,MATCH(A3215,'Semrush Data'!$A$1:$A$20000,0),MATCH("Intent",'Semrush Data'!$A$1:$Z$1,0)),"")</f>
        <v>Commercial</v>
      </c>
    </row>
    <row r="3216" customFormat="false" ht="15" hidden="false" customHeight="true" outlineLevel="0" collapsed="false">
      <c r="A3216" s="6" t="s">
        <v>7872</v>
      </c>
      <c r="B3216" s="6" t="s">
        <v>239</v>
      </c>
      <c r="C3216" s="6" t="n">
        <v>3</v>
      </c>
      <c r="D3216" s="6" t="n">
        <v>33</v>
      </c>
      <c r="E3216" s="6" t="n">
        <v>1</v>
      </c>
      <c r="F3216" s="6" t="s">
        <v>637</v>
      </c>
      <c r="G3216" s="28" t="str">
        <f aca="false">IFERROR(INDEX('Semrush Data'!$A$1:$Z$20000,MATCH(A3216,'Semrush Data'!$A$1:$A$20000,0),MATCH("Volume",'Semrush Data'!$A$1:$Z$1,0)),"")</f>
        <v/>
      </c>
      <c r="H3216" s="6" t="str">
        <f aca="false">IFERROR(INDEX('Semrush Data'!$A$1:$Z$20000,MATCH(A3216,'Semrush Data'!$A$1:$A$20000,0),MATCH("Keyword Difficulty*",'Semrush Data'!$A$1:$Z$1,0)),"")</f>
        <v/>
      </c>
      <c r="I3216" s="29" t="str">
        <f aca="false">IFERROR(INDEX('Semrush Data'!$A$1:$Z$20000,MATCH(A3216,'Semrush Data'!$A$1:$A$20000,0),MATCH("CPC*",'Semrush Data'!$A$1:$Z$1,0)),"")</f>
        <v/>
      </c>
      <c r="J3216" s="6" t="str">
        <f aca="false">IFERROR(INDEX('Semrush Data'!$A$1:$Z$20000,MATCH(A3216,'Semrush Data'!$A$1:$A$20000,0),MATCH("Intent",'Semrush Data'!$A$1:$Z$1,0)),"")</f>
        <v/>
      </c>
    </row>
    <row r="3217" customFormat="false" ht="15" hidden="false" customHeight="true" outlineLevel="0" collapsed="false">
      <c r="A3217" s="6" t="s">
        <v>7873</v>
      </c>
      <c r="B3217" s="6" t="s">
        <v>239</v>
      </c>
      <c r="C3217" s="6" t="n">
        <v>3</v>
      </c>
      <c r="D3217" s="6" t="n">
        <v>33</v>
      </c>
      <c r="E3217" s="6" t="n">
        <v>1</v>
      </c>
      <c r="F3217" s="6" t="s">
        <v>496</v>
      </c>
      <c r="G3217" s="28" t="str">
        <f aca="false">IFERROR(INDEX('Semrush Data'!$A$1:$Z$20000,MATCH(A3217,'Semrush Data'!$A$1:$A$20000,0),MATCH("Volume",'Semrush Data'!$A$1:$Z$1,0)),"")</f>
        <v/>
      </c>
      <c r="H3217" s="6" t="str">
        <f aca="false">IFERROR(INDEX('Semrush Data'!$A$1:$Z$20000,MATCH(A3217,'Semrush Data'!$A$1:$A$20000,0),MATCH("Keyword Difficulty*",'Semrush Data'!$A$1:$Z$1,0)),"")</f>
        <v/>
      </c>
      <c r="I3217" s="29" t="str">
        <f aca="false">IFERROR(INDEX('Semrush Data'!$A$1:$Z$20000,MATCH(A3217,'Semrush Data'!$A$1:$A$20000,0),MATCH("CPC*",'Semrush Data'!$A$1:$Z$1,0)),"")</f>
        <v/>
      </c>
      <c r="J3217" s="6" t="str">
        <f aca="false">IFERROR(INDEX('Semrush Data'!$A$1:$Z$20000,MATCH(A3217,'Semrush Data'!$A$1:$A$20000,0),MATCH("Intent",'Semrush Data'!$A$1:$Z$1,0)),"")</f>
        <v/>
      </c>
    </row>
    <row r="3218" customFormat="false" ht="15" hidden="false" customHeight="true" outlineLevel="0" collapsed="false">
      <c r="A3218" s="6" t="s">
        <v>7874</v>
      </c>
      <c r="B3218" s="6" t="s">
        <v>239</v>
      </c>
      <c r="C3218" s="6" t="n">
        <v>3</v>
      </c>
      <c r="D3218" s="6" t="n">
        <v>33</v>
      </c>
      <c r="E3218" s="6" t="n">
        <v>6</v>
      </c>
      <c r="F3218" s="6" t="s">
        <v>7875</v>
      </c>
      <c r="G3218" s="28" t="str">
        <f aca="false">IFERROR(INDEX('Semrush Data'!$A$1:$Z$20000,MATCH(A3218,'Semrush Data'!$A$1:$A$20000,0),MATCH("Volume",'Semrush Data'!$A$1:$Z$1,0)),"")</f>
        <v/>
      </c>
      <c r="H3218" s="6" t="str">
        <f aca="false">IFERROR(INDEX('Semrush Data'!$A$1:$Z$20000,MATCH(A3218,'Semrush Data'!$A$1:$A$20000,0),MATCH("Keyword Difficulty*",'Semrush Data'!$A$1:$Z$1,0)),"")</f>
        <v/>
      </c>
      <c r="I3218" s="29" t="str">
        <f aca="false">IFERROR(INDEX('Semrush Data'!$A$1:$Z$20000,MATCH(A3218,'Semrush Data'!$A$1:$A$20000,0),MATCH("CPC*",'Semrush Data'!$A$1:$Z$1,0)),"")</f>
        <v/>
      </c>
      <c r="J3218" s="6" t="str">
        <f aca="false">IFERROR(INDEX('Semrush Data'!$A$1:$Z$20000,MATCH(A3218,'Semrush Data'!$A$1:$A$20000,0),MATCH("Intent",'Semrush Data'!$A$1:$Z$1,0)),"")</f>
        <v/>
      </c>
    </row>
    <row r="3219" customFormat="false" ht="15" hidden="false" customHeight="true" outlineLevel="0" collapsed="false">
      <c r="A3219" s="6" t="s">
        <v>7876</v>
      </c>
      <c r="B3219" s="6" t="s">
        <v>239</v>
      </c>
      <c r="C3219" s="6" t="n">
        <v>3</v>
      </c>
      <c r="D3219" s="6" t="s">
        <v>6893</v>
      </c>
      <c r="E3219" s="6" t="n">
        <v>7</v>
      </c>
      <c r="F3219" s="6" t="s">
        <v>7877</v>
      </c>
      <c r="G3219" s="28" t="n">
        <f aca="false">IFERROR(INDEX('Semrush Data'!$A$1:$Z$20000,MATCH(A3219,'Semrush Data'!$A$1:$A$20000,0),MATCH("Volume",'Semrush Data'!$A$1:$Z$1,0)),"")</f>
        <v>0</v>
      </c>
      <c r="H3219" s="6" t="n">
        <f aca="false">IFERROR(INDEX('Semrush Data'!$A$1:$Z$20000,MATCH(A3219,'Semrush Data'!$A$1:$A$20000,0),MATCH("Keyword Difficulty*",'Semrush Data'!$A$1:$Z$1,0)),"")</f>
        <v>11</v>
      </c>
      <c r="I3219" s="29" t="n">
        <f aca="false">IFERROR(INDEX('Semrush Data'!$A$1:$Z$20000,MATCH(A3219,'Semrush Data'!$A$1:$A$20000,0),MATCH("CPC*",'Semrush Data'!$A$1:$Z$1,0)),"")</f>
        <v>0</v>
      </c>
      <c r="J3219" s="6" t="str">
        <f aca="false">IFERROR(INDEX('Semrush Data'!$A$1:$Z$20000,MATCH(A3219,'Semrush Data'!$A$1:$A$20000,0),MATCH("Intent",'Semrush Data'!$A$1:$Z$1,0)),"")</f>
        <v>Commercial</v>
      </c>
    </row>
    <row r="3220" customFormat="false" ht="15" hidden="false" customHeight="true" outlineLevel="0" collapsed="false">
      <c r="A3220" s="6" t="s">
        <v>7878</v>
      </c>
      <c r="B3220" s="6" t="s">
        <v>239</v>
      </c>
      <c r="C3220" s="6" t="n">
        <v>3</v>
      </c>
      <c r="D3220" s="6" t="n">
        <v>33</v>
      </c>
      <c r="E3220" s="6" t="n">
        <v>1</v>
      </c>
      <c r="F3220" s="6" t="s">
        <v>644</v>
      </c>
      <c r="G3220" s="28" t="str">
        <f aca="false">IFERROR(INDEX('Semrush Data'!$A$1:$Z$20000,MATCH(A3220,'Semrush Data'!$A$1:$A$20000,0),MATCH("Volume",'Semrush Data'!$A$1:$Z$1,0)),"")</f>
        <v/>
      </c>
      <c r="H3220" s="6" t="str">
        <f aca="false">IFERROR(INDEX('Semrush Data'!$A$1:$Z$20000,MATCH(A3220,'Semrush Data'!$A$1:$A$20000,0),MATCH("Keyword Difficulty*",'Semrush Data'!$A$1:$Z$1,0)),"")</f>
        <v/>
      </c>
      <c r="I3220" s="29" t="str">
        <f aca="false">IFERROR(INDEX('Semrush Data'!$A$1:$Z$20000,MATCH(A3220,'Semrush Data'!$A$1:$A$20000,0),MATCH("CPC*",'Semrush Data'!$A$1:$Z$1,0)),"")</f>
        <v/>
      </c>
      <c r="J3220" s="6" t="str">
        <f aca="false">IFERROR(INDEX('Semrush Data'!$A$1:$Z$20000,MATCH(A3220,'Semrush Data'!$A$1:$A$20000,0),MATCH("Intent",'Semrush Data'!$A$1:$Z$1,0)),"")</f>
        <v/>
      </c>
    </row>
    <row r="3221" customFormat="false" ht="15" hidden="false" customHeight="true" outlineLevel="0" collapsed="false">
      <c r="A3221" s="6" t="s">
        <v>7879</v>
      </c>
      <c r="B3221" s="6" t="s">
        <v>239</v>
      </c>
      <c r="C3221" s="6" t="n">
        <v>3</v>
      </c>
      <c r="D3221" s="6" t="n">
        <v>33</v>
      </c>
      <c r="E3221" s="6" t="n">
        <v>1</v>
      </c>
      <c r="F3221" s="6" t="s">
        <v>644</v>
      </c>
      <c r="G3221" s="28" t="str">
        <f aca="false">IFERROR(INDEX('Semrush Data'!$A$1:$Z$20000,MATCH(A3221,'Semrush Data'!$A$1:$A$20000,0),MATCH("Volume",'Semrush Data'!$A$1:$Z$1,0)),"")</f>
        <v/>
      </c>
      <c r="H3221" s="6" t="str">
        <f aca="false">IFERROR(INDEX('Semrush Data'!$A$1:$Z$20000,MATCH(A3221,'Semrush Data'!$A$1:$A$20000,0),MATCH("Keyword Difficulty*",'Semrush Data'!$A$1:$Z$1,0)),"")</f>
        <v/>
      </c>
      <c r="I3221" s="29" t="str">
        <f aca="false">IFERROR(INDEX('Semrush Data'!$A$1:$Z$20000,MATCH(A3221,'Semrush Data'!$A$1:$A$20000,0),MATCH("CPC*",'Semrush Data'!$A$1:$Z$1,0)),"")</f>
        <v/>
      </c>
      <c r="J3221" s="6" t="str">
        <f aca="false">IFERROR(INDEX('Semrush Data'!$A$1:$Z$20000,MATCH(A3221,'Semrush Data'!$A$1:$A$20000,0),MATCH("Intent",'Semrush Data'!$A$1:$Z$1,0)),"")</f>
        <v/>
      </c>
    </row>
    <row r="3222" customFormat="false" ht="15" hidden="false" customHeight="true" outlineLevel="0" collapsed="false">
      <c r="A3222" s="6" t="s">
        <v>7880</v>
      </c>
      <c r="B3222" s="6" t="s">
        <v>239</v>
      </c>
      <c r="C3222" s="6" t="n">
        <v>3</v>
      </c>
      <c r="D3222" s="6" t="n">
        <v>33</v>
      </c>
      <c r="E3222" s="6" t="n">
        <v>1</v>
      </c>
      <c r="F3222" s="6" t="s">
        <v>644</v>
      </c>
      <c r="G3222" s="28" t="str">
        <f aca="false">IFERROR(INDEX('Semrush Data'!$A$1:$Z$20000,MATCH(A3222,'Semrush Data'!$A$1:$A$20000,0),MATCH("Volume",'Semrush Data'!$A$1:$Z$1,0)),"")</f>
        <v/>
      </c>
      <c r="H3222" s="6" t="str">
        <f aca="false">IFERROR(INDEX('Semrush Data'!$A$1:$Z$20000,MATCH(A3222,'Semrush Data'!$A$1:$A$20000,0),MATCH("Keyword Difficulty*",'Semrush Data'!$A$1:$Z$1,0)),"")</f>
        <v/>
      </c>
      <c r="I3222" s="29" t="str">
        <f aca="false">IFERROR(INDEX('Semrush Data'!$A$1:$Z$20000,MATCH(A3222,'Semrush Data'!$A$1:$A$20000,0),MATCH("CPC*",'Semrush Data'!$A$1:$Z$1,0)),"")</f>
        <v/>
      </c>
      <c r="J3222" s="6" t="str">
        <f aca="false">IFERROR(INDEX('Semrush Data'!$A$1:$Z$20000,MATCH(A3222,'Semrush Data'!$A$1:$A$20000,0),MATCH("Intent",'Semrush Data'!$A$1:$Z$1,0)),"")</f>
        <v/>
      </c>
    </row>
    <row r="3223" customFormat="false" ht="15" hidden="false" customHeight="true" outlineLevel="0" collapsed="false">
      <c r="A3223" s="6" t="s">
        <v>7881</v>
      </c>
      <c r="B3223" s="6" t="s">
        <v>239</v>
      </c>
      <c r="C3223" s="6" t="n">
        <v>3</v>
      </c>
      <c r="D3223" s="6" t="s">
        <v>6893</v>
      </c>
      <c r="E3223" s="6" t="n">
        <v>1</v>
      </c>
      <c r="F3223" s="6" t="s">
        <v>644</v>
      </c>
      <c r="G3223" s="28" t="n">
        <f aca="false">IFERROR(INDEX('Semrush Data'!$A$1:$Z$20000,MATCH(A3223,'Semrush Data'!$A$1:$A$20000,0),MATCH("Volume",'Semrush Data'!$A$1:$Z$1,0)),"")</f>
        <v>0</v>
      </c>
      <c r="H3223" s="6" t="n">
        <f aca="false">IFERROR(INDEX('Semrush Data'!$A$1:$Z$20000,MATCH(A3223,'Semrush Data'!$A$1:$A$20000,0),MATCH("Keyword Difficulty*",'Semrush Data'!$A$1:$Z$1,0)),"")</f>
        <v>15</v>
      </c>
      <c r="I3223" s="29" t="n">
        <f aca="false">IFERROR(INDEX('Semrush Data'!$A$1:$Z$20000,MATCH(A3223,'Semrush Data'!$A$1:$A$20000,0),MATCH("CPC*",'Semrush Data'!$A$1:$Z$1,0)),"")</f>
        <v>0</v>
      </c>
      <c r="J3223" s="6" t="str">
        <f aca="false">IFERROR(INDEX('Semrush Data'!$A$1:$Z$20000,MATCH(A3223,'Semrush Data'!$A$1:$A$20000,0),MATCH("Intent",'Semrush Data'!$A$1:$Z$1,0)),"")</f>
        <v>Commercial</v>
      </c>
    </row>
    <row r="3224" customFormat="false" ht="15" hidden="false" customHeight="true" outlineLevel="0" collapsed="false">
      <c r="A3224" s="6" t="s">
        <v>7882</v>
      </c>
      <c r="B3224" s="6" t="s">
        <v>239</v>
      </c>
      <c r="C3224" s="6" t="n">
        <v>3</v>
      </c>
      <c r="D3224" s="6" t="s">
        <v>6893</v>
      </c>
      <c r="E3224" s="6" t="n">
        <v>1</v>
      </c>
      <c r="F3224" s="6" t="s">
        <v>503</v>
      </c>
      <c r="G3224" s="28" t="n">
        <f aca="false">IFERROR(INDEX('Semrush Data'!$A$1:$Z$20000,MATCH(A3224,'Semrush Data'!$A$1:$A$20000,0),MATCH("Volume",'Semrush Data'!$A$1:$Z$1,0)),"")</f>
        <v>0</v>
      </c>
      <c r="H3224" s="6" t="n">
        <f aca="false">IFERROR(INDEX('Semrush Data'!$A$1:$Z$20000,MATCH(A3224,'Semrush Data'!$A$1:$A$20000,0),MATCH("Keyword Difficulty*",'Semrush Data'!$A$1:$Z$1,0)),"")</f>
        <v>32</v>
      </c>
      <c r="I3224" s="29" t="n">
        <f aca="false">IFERROR(INDEX('Semrush Data'!$A$1:$Z$20000,MATCH(A3224,'Semrush Data'!$A$1:$A$20000,0),MATCH("CPC*",'Semrush Data'!$A$1:$Z$1,0)),"")</f>
        <v>0</v>
      </c>
      <c r="J3224" s="6" t="str">
        <f aca="false">IFERROR(INDEX('Semrush Data'!$A$1:$Z$20000,MATCH(A3224,'Semrush Data'!$A$1:$A$20000,0),MATCH("Intent",'Semrush Data'!$A$1:$Z$1,0)),"")</f>
        <v>Commercial</v>
      </c>
    </row>
    <row r="3225" customFormat="false" ht="15" hidden="false" customHeight="true" outlineLevel="0" collapsed="false">
      <c r="A3225" s="6" t="s">
        <v>7883</v>
      </c>
      <c r="B3225" s="6" t="s">
        <v>239</v>
      </c>
      <c r="C3225" s="6" t="n">
        <v>3</v>
      </c>
      <c r="D3225" s="6" t="n">
        <v>33</v>
      </c>
      <c r="E3225" s="6" t="n">
        <v>2</v>
      </c>
      <c r="F3225" s="6" t="s">
        <v>6865</v>
      </c>
      <c r="G3225" s="28" t="str">
        <f aca="false">IFERROR(INDEX('Semrush Data'!$A$1:$Z$20000,MATCH(A3225,'Semrush Data'!$A$1:$A$20000,0),MATCH("Volume",'Semrush Data'!$A$1:$Z$1,0)),"")</f>
        <v/>
      </c>
      <c r="H3225" s="6" t="str">
        <f aca="false">IFERROR(INDEX('Semrush Data'!$A$1:$Z$20000,MATCH(A3225,'Semrush Data'!$A$1:$A$20000,0),MATCH("Keyword Difficulty*",'Semrush Data'!$A$1:$Z$1,0)),"")</f>
        <v/>
      </c>
      <c r="I3225" s="29" t="str">
        <f aca="false">IFERROR(INDEX('Semrush Data'!$A$1:$Z$20000,MATCH(A3225,'Semrush Data'!$A$1:$A$20000,0),MATCH("CPC*",'Semrush Data'!$A$1:$Z$1,0)),"")</f>
        <v/>
      </c>
      <c r="J3225" s="6" t="str">
        <f aca="false">IFERROR(INDEX('Semrush Data'!$A$1:$Z$20000,MATCH(A3225,'Semrush Data'!$A$1:$A$20000,0),MATCH("Intent",'Semrush Data'!$A$1:$Z$1,0)),"")</f>
        <v/>
      </c>
    </row>
    <row r="3226" customFormat="false" ht="15" hidden="false" customHeight="true" outlineLevel="0" collapsed="false">
      <c r="A3226" s="6" t="s">
        <v>7884</v>
      </c>
      <c r="B3226" s="6" t="s">
        <v>239</v>
      </c>
      <c r="C3226" s="6" t="n">
        <v>3</v>
      </c>
      <c r="D3226" s="6" t="n">
        <v>33</v>
      </c>
      <c r="E3226" s="6" t="n">
        <v>2</v>
      </c>
      <c r="F3226" s="6" t="s">
        <v>6865</v>
      </c>
      <c r="G3226" s="28" t="str">
        <f aca="false">IFERROR(INDEX('Semrush Data'!$A$1:$Z$20000,MATCH(A3226,'Semrush Data'!$A$1:$A$20000,0),MATCH("Volume",'Semrush Data'!$A$1:$Z$1,0)),"")</f>
        <v/>
      </c>
      <c r="H3226" s="6" t="str">
        <f aca="false">IFERROR(INDEX('Semrush Data'!$A$1:$Z$20000,MATCH(A3226,'Semrush Data'!$A$1:$A$20000,0),MATCH("Keyword Difficulty*",'Semrush Data'!$A$1:$Z$1,0)),"")</f>
        <v/>
      </c>
      <c r="I3226" s="29" t="str">
        <f aca="false">IFERROR(INDEX('Semrush Data'!$A$1:$Z$20000,MATCH(A3226,'Semrush Data'!$A$1:$A$20000,0),MATCH("CPC*",'Semrush Data'!$A$1:$Z$1,0)),"")</f>
        <v/>
      </c>
      <c r="J3226" s="6" t="str">
        <f aca="false">IFERROR(INDEX('Semrush Data'!$A$1:$Z$20000,MATCH(A3226,'Semrush Data'!$A$1:$A$20000,0),MATCH("Intent",'Semrush Data'!$A$1:$Z$1,0)),"")</f>
        <v/>
      </c>
    </row>
    <row r="3227" customFormat="false" ht="15" hidden="false" customHeight="true" outlineLevel="0" collapsed="false">
      <c r="A3227" s="6" t="s">
        <v>7885</v>
      </c>
      <c r="B3227" s="6" t="s">
        <v>239</v>
      </c>
      <c r="C3227" s="6" t="n">
        <v>3</v>
      </c>
      <c r="D3227" s="6" t="n">
        <v>33</v>
      </c>
      <c r="E3227" s="6" t="n">
        <v>2</v>
      </c>
      <c r="F3227" s="6" t="s">
        <v>6865</v>
      </c>
      <c r="G3227" s="28" t="str">
        <f aca="false">IFERROR(INDEX('Semrush Data'!$A$1:$Z$20000,MATCH(A3227,'Semrush Data'!$A$1:$A$20000,0),MATCH("Volume",'Semrush Data'!$A$1:$Z$1,0)),"")</f>
        <v/>
      </c>
      <c r="H3227" s="6" t="str">
        <f aca="false">IFERROR(INDEX('Semrush Data'!$A$1:$Z$20000,MATCH(A3227,'Semrush Data'!$A$1:$A$20000,0),MATCH("Keyword Difficulty*",'Semrush Data'!$A$1:$Z$1,0)),"")</f>
        <v/>
      </c>
      <c r="I3227" s="29" t="str">
        <f aca="false">IFERROR(INDEX('Semrush Data'!$A$1:$Z$20000,MATCH(A3227,'Semrush Data'!$A$1:$A$20000,0),MATCH("CPC*",'Semrush Data'!$A$1:$Z$1,0)),"")</f>
        <v/>
      </c>
      <c r="J3227" s="6" t="str">
        <f aca="false">IFERROR(INDEX('Semrush Data'!$A$1:$Z$20000,MATCH(A3227,'Semrush Data'!$A$1:$A$20000,0),MATCH("Intent",'Semrush Data'!$A$1:$Z$1,0)),"")</f>
        <v/>
      </c>
    </row>
    <row r="3228" customFormat="false" ht="15" hidden="false" customHeight="true" outlineLevel="0" collapsed="false">
      <c r="A3228" s="6" t="s">
        <v>7886</v>
      </c>
      <c r="B3228" s="6" t="s">
        <v>239</v>
      </c>
      <c r="C3228" s="6" t="n">
        <v>3</v>
      </c>
      <c r="D3228" s="6" t="s">
        <v>6893</v>
      </c>
      <c r="E3228" s="6" t="n">
        <v>2</v>
      </c>
      <c r="F3228" s="6" t="s">
        <v>6865</v>
      </c>
      <c r="G3228" s="28" t="n">
        <f aca="false">IFERROR(INDEX('Semrush Data'!$A$1:$Z$20000,MATCH(A3228,'Semrush Data'!$A$1:$A$20000,0),MATCH("Volume",'Semrush Data'!$A$1:$Z$1,0)),"")</f>
        <v>0</v>
      </c>
      <c r="H3228" s="6" t="n">
        <f aca="false">IFERROR(INDEX('Semrush Data'!$A$1:$Z$20000,MATCH(A3228,'Semrush Data'!$A$1:$A$20000,0),MATCH("Keyword Difficulty*",'Semrush Data'!$A$1:$Z$1,0)),"")</f>
        <v>31</v>
      </c>
      <c r="I3228" s="29" t="n">
        <f aca="false">IFERROR(INDEX('Semrush Data'!$A$1:$Z$20000,MATCH(A3228,'Semrush Data'!$A$1:$A$20000,0),MATCH("CPC*",'Semrush Data'!$A$1:$Z$1,0)),"")</f>
        <v>0</v>
      </c>
      <c r="J3228" s="6" t="str">
        <f aca="false">IFERROR(INDEX('Semrush Data'!$A$1:$Z$20000,MATCH(A3228,'Semrush Data'!$A$1:$A$20000,0),MATCH("Intent",'Semrush Data'!$A$1:$Z$1,0)),"")</f>
        <v>Commercial</v>
      </c>
    </row>
    <row r="3229" customFormat="false" ht="15" hidden="false" customHeight="true" outlineLevel="0" collapsed="false">
      <c r="A3229" s="6" t="s">
        <v>7887</v>
      </c>
      <c r="B3229" s="6" t="s">
        <v>239</v>
      </c>
      <c r="C3229" s="6" t="n">
        <v>3</v>
      </c>
      <c r="D3229" s="6" t="s">
        <v>6893</v>
      </c>
      <c r="E3229" s="6" t="n">
        <v>1</v>
      </c>
      <c r="F3229" s="6" t="s">
        <v>512</v>
      </c>
      <c r="G3229" s="28" t="n">
        <f aca="false">IFERROR(INDEX('Semrush Data'!$A$1:$Z$20000,MATCH(A3229,'Semrush Data'!$A$1:$A$20000,0),MATCH("Volume",'Semrush Data'!$A$1:$Z$1,0)),"")</f>
        <v>0</v>
      </c>
      <c r="H3229" s="6" t="n">
        <f aca="false">IFERROR(INDEX('Semrush Data'!$A$1:$Z$20000,MATCH(A3229,'Semrush Data'!$A$1:$A$20000,0),MATCH("Keyword Difficulty*",'Semrush Data'!$A$1:$Z$1,0)),"")</f>
        <v>28</v>
      </c>
      <c r="I3229" s="29" t="n">
        <f aca="false">IFERROR(INDEX('Semrush Data'!$A$1:$Z$20000,MATCH(A3229,'Semrush Data'!$A$1:$A$20000,0),MATCH("CPC*",'Semrush Data'!$A$1:$Z$1,0)),"")</f>
        <v>0</v>
      </c>
      <c r="J3229" s="6" t="str">
        <f aca="false">IFERROR(INDEX('Semrush Data'!$A$1:$Z$20000,MATCH(A3229,'Semrush Data'!$A$1:$A$20000,0),MATCH("Intent",'Semrush Data'!$A$1:$Z$1,0)),"")</f>
        <v>Commercial</v>
      </c>
    </row>
    <row r="3230" customFormat="false" ht="15" hidden="false" customHeight="true" outlineLevel="0" collapsed="false">
      <c r="A3230" s="6" t="s">
        <v>7888</v>
      </c>
      <c r="B3230" s="6" t="s">
        <v>239</v>
      </c>
      <c r="C3230" s="6" t="n">
        <v>3</v>
      </c>
      <c r="D3230" s="6" t="n">
        <v>33</v>
      </c>
      <c r="E3230" s="6" t="n">
        <v>1</v>
      </c>
      <c r="F3230" s="6" t="s">
        <v>519</v>
      </c>
      <c r="G3230" s="28" t="str">
        <f aca="false">IFERROR(INDEX('Semrush Data'!$A$1:$Z$20000,MATCH(A3230,'Semrush Data'!$A$1:$A$20000,0),MATCH("Volume",'Semrush Data'!$A$1:$Z$1,0)),"")</f>
        <v/>
      </c>
      <c r="H3230" s="6" t="str">
        <f aca="false">IFERROR(INDEX('Semrush Data'!$A$1:$Z$20000,MATCH(A3230,'Semrush Data'!$A$1:$A$20000,0),MATCH("Keyword Difficulty*",'Semrush Data'!$A$1:$Z$1,0)),"")</f>
        <v/>
      </c>
      <c r="I3230" s="29" t="str">
        <f aca="false">IFERROR(INDEX('Semrush Data'!$A$1:$Z$20000,MATCH(A3230,'Semrush Data'!$A$1:$A$20000,0),MATCH("CPC*",'Semrush Data'!$A$1:$Z$1,0)),"")</f>
        <v/>
      </c>
      <c r="J3230" s="6" t="str">
        <f aca="false">IFERROR(INDEX('Semrush Data'!$A$1:$Z$20000,MATCH(A3230,'Semrush Data'!$A$1:$A$20000,0),MATCH("Intent",'Semrush Data'!$A$1:$Z$1,0)),"")</f>
        <v/>
      </c>
    </row>
    <row r="3231" customFormat="false" ht="15" hidden="false" customHeight="true" outlineLevel="0" collapsed="false">
      <c r="A3231" s="6" t="s">
        <v>7889</v>
      </c>
      <c r="B3231" s="6" t="s">
        <v>239</v>
      </c>
      <c r="C3231" s="6" t="n">
        <v>3</v>
      </c>
      <c r="D3231" s="6" t="n">
        <v>33</v>
      </c>
      <c r="E3231" s="6" t="n">
        <v>1</v>
      </c>
      <c r="F3231" s="6" t="s">
        <v>519</v>
      </c>
      <c r="G3231" s="28" t="str">
        <f aca="false">IFERROR(INDEX('Semrush Data'!$A$1:$Z$20000,MATCH(A3231,'Semrush Data'!$A$1:$A$20000,0),MATCH("Volume",'Semrush Data'!$A$1:$Z$1,0)),"")</f>
        <v/>
      </c>
      <c r="H3231" s="6" t="str">
        <f aca="false">IFERROR(INDEX('Semrush Data'!$A$1:$Z$20000,MATCH(A3231,'Semrush Data'!$A$1:$A$20000,0),MATCH("Keyword Difficulty*",'Semrush Data'!$A$1:$Z$1,0)),"")</f>
        <v/>
      </c>
      <c r="I3231" s="29" t="str">
        <f aca="false">IFERROR(INDEX('Semrush Data'!$A$1:$Z$20000,MATCH(A3231,'Semrush Data'!$A$1:$A$20000,0),MATCH("CPC*",'Semrush Data'!$A$1:$Z$1,0)),"")</f>
        <v/>
      </c>
      <c r="J3231" s="6" t="str">
        <f aca="false">IFERROR(INDEX('Semrush Data'!$A$1:$Z$20000,MATCH(A3231,'Semrush Data'!$A$1:$A$20000,0),MATCH("Intent",'Semrush Data'!$A$1:$Z$1,0)),"")</f>
        <v/>
      </c>
    </row>
    <row r="3232" customFormat="false" ht="15" hidden="false" customHeight="true" outlineLevel="0" collapsed="false">
      <c r="A3232" s="6" t="s">
        <v>7890</v>
      </c>
      <c r="B3232" s="6" t="s">
        <v>239</v>
      </c>
      <c r="C3232" s="6" t="n">
        <v>3</v>
      </c>
      <c r="D3232" s="6" t="n">
        <v>33</v>
      </c>
      <c r="E3232" s="6" t="n">
        <v>1</v>
      </c>
      <c r="F3232" s="6" t="s">
        <v>519</v>
      </c>
      <c r="G3232" s="28" t="str">
        <f aca="false">IFERROR(INDEX('Semrush Data'!$A$1:$Z$20000,MATCH(A3232,'Semrush Data'!$A$1:$A$20000,0),MATCH("Volume",'Semrush Data'!$A$1:$Z$1,0)),"")</f>
        <v/>
      </c>
      <c r="H3232" s="6" t="str">
        <f aca="false">IFERROR(INDEX('Semrush Data'!$A$1:$Z$20000,MATCH(A3232,'Semrush Data'!$A$1:$A$20000,0),MATCH("Keyword Difficulty*",'Semrush Data'!$A$1:$Z$1,0)),"")</f>
        <v/>
      </c>
      <c r="I3232" s="29" t="str">
        <f aca="false">IFERROR(INDEX('Semrush Data'!$A$1:$Z$20000,MATCH(A3232,'Semrush Data'!$A$1:$A$20000,0),MATCH("CPC*",'Semrush Data'!$A$1:$Z$1,0)),"")</f>
        <v/>
      </c>
      <c r="J3232" s="6" t="str">
        <f aca="false">IFERROR(INDEX('Semrush Data'!$A$1:$Z$20000,MATCH(A3232,'Semrush Data'!$A$1:$A$20000,0),MATCH("Intent",'Semrush Data'!$A$1:$Z$1,0)),"")</f>
        <v/>
      </c>
    </row>
    <row r="3233" customFormat="false" ht="15" hidden="false" customHeight="true" outlineLevel="0" collapsed="false">
      <c r="A3233" s="6" t="s">
        <v>7891</v>
      </c>
      <c r="B3233" s="6" t="s">
        <v>239</v>
      </c>
      <c r="C3233" s="6" t="n">
        <v>3</v>
      </c>
      <c r="D3233" s="6" t="n">
        <v>33</v>
      </c>
      <c r="E3233" s="6" t="n">
        <v>1</v>
      </c>
      <c r="F3233" s="6" t="s">
        <v>519</v>
      </c>
      <c r="G3233" s="28" t="str">
        <f aca="false">IFERROR(INDEX('Semrush Data'!$A$1:$Z$20000,MATCH(A3233,'Semrush Data'!$A$1:$A$20000,0),MATCH("Volume",'Semrush Data'!$A$1:$Z$1,0)),"")</f>
        <v/>
      </c>
      <c r="H3233" s="6" t="str">
        <f aca="false">IFERROR(INDEX('Semrush Data'!$A$1:$Z$20000,MATCH(A3233,'Semrush Data'!$A$1:$A$20000,0),MATCH("Keyword Difficulty*",'Semrush Data'!$A$1:$Z$1,0)),"")</f>
        <v/>
      </c>
      <c r="I3233" s="29" t="str">
        <f aca="false">IFERROR(INDEX('Semrush Data'!$A$1:$Z$20000,MATCH(A3233,'Semrush Data'!$A$1:$A$20000,0),MATCH("CPC*",'Semrush Data'!$A$1:$Z$1,0)),"")</f>
        <v/>
      </c>
      <c r="J3233" s="6" t="str">
        <f aca="false">IFERROR(INDEX('Semrush Data'!$A$1:$Z$20000,MATCH(A3233,'Semrush Data'!$A$1:$A$20000,0),MATCH("Intent",'Semrush Data'!$A$1:$Z$1,0)),"")</f>
        <v/>
      </c>
    </row>
    <row r="3234" customFormat="false" ht="15" hidden="false" customHeight="true" outlineLevel="0" collapsed="false">
      <c r="A3234" s="6" t="s">
        <v>7892</v>
      </c>
      <c r="B3234" s="6" t="s">
        <v>239</v>
      </c>
      <c r="C3234" s="6" t="n">
        <v>3</v>
      </c>
      <c r="D3234" s="6" t="s">
        <v>6893</v>
      </c>
      <c r="E3234" s="6" t="n">
        <v>1</v>
      </c>
      <c r="F3234" s="6" t="s">
        <v>519</v>
      </c>
      <c r="G3234" s="28" t="n">
        <f aca="false">IFERROR(INDEX('Semrush Data'!$A$1:$Z$20000,MATCH(A3234,'Semrush Data'!$A$1:$A$20000,0),MATCH("Volume",'Semrush Data'!$A$1:$Z$1,0)),"")</f>
        <v>0</v>
      </c>
      <c r="H3234" s="6" t="n">
        <f aca="false">IFERROR(INDEX('Semrush Data'!$A$1:$Z$20000,MATCH(A3234,'Semrush Data'!$A$1:$A$20000,0),MATCH("Keyword Difficulty*",'Semrush Data'!$A$1:$Z$1,0)),"")</f>
        <v>23</v>
      </c>
      <c r="I3234" s="29" t="n">
        <f aca="false">IFERROR(INDEX('Semrush Data'!$A$1:$Z$20000,MATCH(A3234,'Semrush Data'!$A$1:$A$20000,0),MATCH("CPC*",'Semrush Data'!$A$1:$Z$1,0)),"")</f>
        <v>0</v>
      </c>
      <c r="J3234" s="6" t="str">
        <f aca="false">IFERROR(INDEX('Semrush Data'!$A$1:$Z$20000,MATCH(A3234,'Semrush Data'!$A$1:$A$20000,0),MATCH("Intent",'Semrush Data'!$A$1:$Z$1,0)),"")</f>
        <v>Commercial</v>
      </c>
    </row>
    <row r="3235" customFormat="false" ht="15" hidden="false" customHeight="true" outlineLevel="0" collapsed="false">
      <c r="A3235" s="6" t="s">
        <v>7893</v>
      </c>
      <c r="B3235" s="6" t="s">
        <v>239</v>
      </c>
      <c r="C3235" s="6" t="n">
        <v>3</v>
      </c>
      <c r="D3235" s="6" t="n">
        <v>33</v>
      </c>
      <c r="E3235" s="6" t="n">
        <v>1</v>
      </c>
      <c r="F3235" s="6" t="s">
        <v>423</v>
      </c>
      <c r="G3235" s="28" t="str">
        <f aca="false">IFERROR(INDEX('Semrush Data'!$A$1:$Z$20000,MATCH(A3235,'Semrush Data'!$A$1:$A$20000,0),MATCH("Volume",'Semrush Data'!$A$1:$Z$1,0)),"")</f>
        <v/>
      </c>
      <c r="H3235" s="6" t="str">
        <f aca="false">IFERROR(INDEX('Semrush Data'!$A$1:$Z$20000,MATCH(A3235,'Semrush Data'!$A$1:$A$20000,0),MATCH("Keyword Difficulty*",'Semrush Data'!$A$1:$Z$1,0)),"")</f>
        <v/>
      </c>
      <c r="I3235" s="29" t="str">
        <f aca="false">IFERROR(INDEX('Semrush Data'!$A$1:$Z$20000,MATCH(A3235,'Semrush Data'!$A$1:$A$20000,0),MATCH("CPC*",'Semrush Data'!$A$1:$Z$1,0)),"")</f>
        <v/>
      </c>
      <c r="J3235" s="6" t="str">
        <f aca="false">IFERROR(INDEX('Semrush Data'!$A$1:$Z$20000,MATCH(A3235,'Semrush Data'!$A$1:$A$20000,0),MATCH("Intent",'Semrush Data'!$A$1:$Z$1,0)),"")</f>
        <v/>
      </c>
    </row>
    <row r="3236" customFormat="false" ht="15" hidden="false" customHeight="true" outlineLevel="0" collapsed="false">
      <c r="A3236" s="6" t="s">
        <v>7894</v>
      </c>
      <c r="B3236" s="6" t="s">
        <v>239</v>
      </c>
      <c r="C3236" s="6" t="n">
        <v>3</v>
      </c>
      <c r="D3236" s="6" t="n">
        <v>33</v>
      </c>
      <c r="E3236" s="6" t="n">
        <v>1</v>
      </c>
      <c r="F3236" s="6" t="s">
        <v>423</v>
      </c>
      <c r="G3236" s="28" t="str">
        <f aca="false">IFERROR(INDEX('Semrush Data'!$A$1:$Z$20000,MATCH(A3236,'Semrush Data'!$A$1:$A$20000,0),MATCH("Volume",'Semrush Data'!$A$1:$Z$1,0)),"")</f>
        <v/>
      </c>
      <c r="H3236" s="6" t="str">
        <f aca="false">IFERROR(INDEX('Semrush Data'!$A$1:$Z$20000,MATCH(A3236,'Semrush Data'!$A$1:$A$20000,0),MATCH("Keyword Difficulty*",'Semrush Data'!$A$1:$Z$1,0)),"")</f>
        <v/>
      </c>
      <c r="I3236" s="29" t="str">
        <f aca="false">IFERROR(INDEX('Semrush Data'!$A$1:$Z$20000,MATCH(A3236,'Semrush Data'!$A$1:$A$20000,0),MATCH("CPC*",'Semrush Data'!$A$1:$Z$1,0)),"")</f>
        <v/>
      </c>
      <c r="J3236" s="6" t="str">
        <f aca="false">IFERROR(INDEX('Semrush Data'!$A$1:$Z$20000,MATCH(A3236,'Semrush Data'!$A$1:$A$20000,0),MATCH("Intent",'Semrush Data'!$A$1:$Z$1,0)),"")</f>
        <v/>
      </c>
    </row>
    <row r="3237" customFormat="false" ht="15" hidden="false" customHeight="true" outlineLevel="0" collapsed="false">
      <c r="A3237" s="6" t="s">
        <v>7895</v>
      </c>
      <c r="B3237" s="6" t="s">
        <v>239</v>
      </c>
      <c r="C3237" s="6" t="n">
        <v>3</v>
      </c>
      <c r="D3237" s="6" t="n">
        <v>33</v>
      </c>
      <c r="E3237" s="6" t="n">
        <v>1</v>
      </c>
      <c r="F3237" s="6" t="s">
        <v>423</v>
      </c>
      <c r="G3237" s="28" t="str">
        <f aca="false">IFERROR(INDEX('Semrush Data'!$A$1:$Z$20000,MATCH(A3237,'Semrush Data'!$A$1:$A$20000,0),MATCH("Volume",'Semrush Data'!$A$1:$Z$1,0)),"")</f>
        <v/>
      </c>
      <c r="H3237" s="6" t="str">
        <f aca="false">IFERROR(INDEX('Semrush Data'!$A$1:$Z$20000,MATCH(A3237,'Semrush Data'!$A$1:$A$20000,0),MATCH("Keyword Difficulty*",'Semrush Data'!$A$1:$Z$1,0)),"")</f>
        <v/>
      </c>
      <c r="I3237" s="29" t="str">
        <f aca="false">IFERROR(INDEX('Semrush Data'!$A$1:$Z$20000,MATCH(A3237,'Semrush Data'!$A$1:$A$20000,0),MATCH("CPC*",'Semrush Data'!$A$1:$Z$1,0)),"")</f>
        <v/>
      </c>
      <c r="J3237" s="6" t="str">
        <f aca="false">IFERROR(INDEX('Semrush Data'!$A$1:$Z$20000,MATCH(A3237,'Semrush Data'!$A$1:$A$20000,0),MATCH("Intent",'Semrush Data'!$A$1:$Z$1,0)),"")</f>
        <v/>
      </c>
    </row>
    <row r="3238" customFormat="false" ht="15" hidden="false" customHeight="true" outlineLevel="0" collapsed="false">
      <c r="A3238" s="6" t="s">
        <v>7896</v>
      </c>
      <c r="B3238" s="6" t="s">
        <v>239</v>
      </c>
      <c r="C3238" s="6" t="n">
        <v>3</v>
      </c>
      <c r="D3238" s="6" t="n">
        <v>33</v>
      </c>
      <c r="E3238" s="6" t="n">
        <v>1</v>
      </c>
      <c r="F3238" s="6" t="s">
        <v>423</v>
      </c>
      <c r="G3238" s="28" t="str">
        <f aca="false">IFERROR(INDEX('Semrush Data'!$A$1:$Z$20000,MATCH(A3238,'Semrush Data'!$A$1:$A$20000,0),MATCH("Volume",'Semrush Data'!$A$1:$Z$1,0)),"")</f>
        <v/>
      </c>
      <c r="H3238" s="6" t="str">
        <f aca="false">IFERROR(INDEX('Semrush Data'!$A$1:$Z$20000,MATCH(A3238,'Semrush Data'!$A$1:$A$20000,0),MATCH("Keyword Difficulty*",'Semrush Data'!$A$1:$Z$1,0)),"")</f>
        <v/>
      </c>
      <c r="I3238" s="29" t="str">
        <f aca="false">IFERROR(INDEX('Semrush Data'!$A$1:$Z$20000,MATCH(A3238,'Semrush Data'!$A$1:$A$20000,0),MATCH("CPC*",'Semrush Data'!$A$1:$Z$1,0)),"")</f>
        <v/>
      </c>
      <c r="J3238" s="6" t="str">
        <f aca="false">IFERROR(INDEX('Semrush Data'!$A$1:$Z$20000,MATCH(A3238,'Semrush Data'!$A$1:$A$20000,0),MATCH("Intent",'Semrush Data'!$A$1:$Z$1,0)),"")</f>
        <v/>
      </c>
    </row>
    <row r="3239" customFormat="false" ht="15" hidden="false" customHeight="true" outlineLevel="0" collapsed="false">
      <c r="A3239" s="6" t="s">
        <v>7897</v>
      </c>
      <c r="B3239" s="6" t="s">
        <v>239</v>
      </c>
      <c r="C3239" s="6" t="n">
        <v>3</v>
      </c>
      <c r="D3239" s="6" t="s">
        <v>6893</v>
      </c>
      <c r="E3239" s="6" t="n">
        <v>1</v>
      </c>
      <c r="F3239" s="6" t="s">
        <v>423</v>
      </c>
      <c r="G3239" s="28" t="n">
        <f aca="false">IFERROR(INDEX('Semrush Data'!$A$1:$Z$20000,MATCH(A3239,'Semrush Data'!$A$1:$A$20000,0),MATCH("Volume",'Semrush Data'!$A$1:$Z$1,0)),"")</f>
        <v>0</v>
      </c>
      <c r="H3239" s="6" t="n">
        <f aca="false">IFERROR(INDEX('Semrush Data'!$A$1:$Z$20000,MATCH(A3239,'Semrush Data'!$A$1:$A$20000,0),MATCH("Keyword Difficulty*",'Semrush Data'!$A$1:$Z$1,0)),"")</f>
        <v>31</v>
      </c>
      <c r="I3239" s="29" t="n">
        <f aca="false">IFERROR(INDEX('Semrush Data'!$A$1:$Z$20000,MATCH(A3239,'Semrush Data'!$A$1:$A$20000,0),MATCH("CPC*",'Semrush Data'!$A$1:$Z$1,0)),"")</f>
        <v>0</v>
      </c>
      <c r="J3239" s="6" t="str">
        <f aca="false">IFERROR(INDEX('Semrush Data'!$A$1:$Z$20000,MATCH(A3239,'Semrush Data'!$A$1:$A$20000,0),MATCH("Intent",'Semrush Data'!$A$1:$Z$1,0)),"")</f>
        <v>Commercial</v>
      </c>
    </row>
    <row r="3240" customFormat="false" ht="15" hidden="false" customHeight="true" outlineLevel="0" collapsed="false">
      <c r="A3240" s="6" t="s">
        <v>7898</v>
      </c>
      <c r="B3240" s="6" t="s">
        <v>239</v>
      </c>
      <c r="C3240" s="6" t="n">
        <v>3</v>
      </c>
      <c r="D3240" s="6" t="n">
        <v>33</v>
      </c>
      <c r="E3240" s="6" t="n">
        <v>1</v>
      </c>
      <c r="F3240" s="6" t="s">
        <v>454</v>
      </c>
      <c r="G3240" s="28" t="str">
        <f aca="false">IFERROR(INDEX('Semrush Data'!$A$1:$Z$20000,MATCH(A3240,'Semrush Data'!$A$1:$A$20000,0),MATCH("Volume",'Semrush Data'!$A$1:$Z$1,0)),"")</f>
        <v/>
      </c>
      <c r="H3240" s="6" t="str">
        <f aca="false">IFERROR(INDEX('Semrush Data'!$A$1:$Z$20000,MATCH(A3240,'Semrush Data'!$A$1:$A$20000,0),MATCH("Keyword Difficulty*",'Semrush Data'!$A$1:$Z$1,0)),"")</f>
        <v/>
      </c>
      <c r="I3240" s="29" t="str">
        <f aca="false">IFERROR(INDEX('Semrush Data'!$A$1:$Z$20000,MATCH(A3240,'Semrush Data'!$A$1:$A$20000,0),MATCH("CPC*",'Semrush Data'!$A$1:$Z$1,0)),"")</f>
        <v/>
      </c>
      <c r="J3240" s="6" t="str">
        <f aca="false">IFERROR(INDEX('Semrush Data'!$A$1:$Z$20000,MATCH(A3240,'Semrush Data'!$A$1:$A$20000,0),MATCH("Intent",'Semrush Data'!$A$1:$Z$1,0)),"")</f>
        <v/>
      </c>
    </row>
    <row r="3241" customFormat="false" ht="15" hidden="false" customHeight="true" outlineLevel="0" collapsed="false">
      <c r="A3241" s="6" t="s">
        <v>7899</v>
      </c>
      <c r="B3241" s="6" t="s">
        <v>239</v>
      </c>
      <c r="C3241" s="6" t="n">
        <v>3</v>
      </c>
      <c r="D3241" s="6" t="s">
        <v>6893</v>
      </c>
      <c r="E3241" s="6" t="n">
        <v>1</v>
      </c>
      <c r="F3241" s="6" t="s">
        <v>454</v>
      </c>
      <c r="G3241" s="28" t="n">
        <f aca="false">IFERROR(INDEX('Semrush Data'!$A$1:$Z$20000,MATCH(A3241,'Semrush Data'!$A$1:$A$20000,0),MATCH("Volume",'Semrush Data'!$A$1:$Z$1,0)),"")</f>
        <v>0</v>
      </c>
      <c r="H3241" s="6" t="n">
        <f aca="false">IFERROR(INDEX('Semrush Data'!$A$1:$Z$20000,MATCH(A3241,'Semrush Data'!$A$1:$A$20000,0),MATCH("Keyword Difficulty*",'Semrush Data'!$A$1:$Z$1,0)),"")</f>
        <v>22</v>
      </c>
      <c r="I3241" s="29" t="n">
        <f aca="false">IFERROR(INDEX('Semrush Data'!$A$1:$Z$20000,MATCH(A3241,'Semrush Data'!$A$1:$A$20000,0),MATCH("CPC*",'Semrush Data'!$A$1:$Z$1,0)),"")</f>
        <v>0</v>
      </c>
      <c r="J3241" s="6" t="str">
        <f aca="false">IFERROR(INDEX('Semrush Data'!$A$1:$Z$20000,MATCH(A3241,'Semrush Data'!$A$1:$A$20000,0),MATCH("Intent",'Semrush Data'!$A$1:$Z$1,0)),"")</f>
        <v>Commercial</v>
      </c>
    </row>
    <row r="3242" customFormat="false" ht="15" hidden="false" customHeight="true" outlineLevel="0" collapsed="false">
      <c r="A3242" s="6" t="s">
        <v>7900</v>
      </c>
      <c r="B3242" s="6" t="s">
        <v>239</v>
      </c>
      <c r="C3242" s="6" t="n">
        <v>3</v>
      </c>
      <c r="D3242" s="6" t="n">
        <v>33</v>
      </c>
      <c r="E3242" s="6" t="n">
        <v>1</v>
      </c>
      <c r="F3242" s="6" t="s">
        <v>512</v>
      </c>
      <c r="G3242" s="28" t="str">
        <f aca="false">IFERROR(INDEX('Semrush Data'!$A$1:$Z$20000,MATCH(A3242,'Semrush Data'!$A$1:$A$20000,0),MATCH("Volume",'Semrush Data'!$A$1:$Z$1,0)),"")</f>
        <v/>
      </c>
      <c r="H3242" s="6" t="str">
        <f aca="false">IFERROR(INDEX('Semrush Data'!$A$1:$Z$20000,MATCH(A3242,'Semrush Data'!$A$1:$A$20000,0),MATCH("Keyword Difficulty*",'Semrush Data'!$A$1:$Z$1,0)),"")</f>
        <v/>
      </c>
      <c r="I3242" s="29" t="str">
        <f aca="false">IFERROR(INDEX('Semrush Data'!$A$1:$Z$20000,MATCH(A3242,'Semrush Data'!$A$1:$A$20000,0),MATCH("CPC*",'Semrush Data'!$A$1:$Z$1,0)),"")</f>
        <v/>
      </c>
      <c r="J3242" s="6" t="str">
        <f aca="false">IFERROR(INDEX('Semrush Data'!$A$1:$Z$20000,MATCH(A3242,'Semrush Data'!$A$1:$A$20000,0),MATCH("Intent",'Semrush Data'!$A$1:$Z$1,0)),"")</f>
        <v/>
      </c>
    </row>
    <row r="3243" customFormat="false" ht="15" hidden="false" customHeight="true" outlineLevel="0" collapsed="false">
      <c r="A3243" s="6" t="s">
        <v>7901</v>
      </c>
      <c r="B3243" s="6" t="s">
        <v>239</v>
      </c>
      <c r="C3243" s="6" t="n">
        <v>3</v>
      </c>
      <c r="D3243" s="6" t="n">
        <v>33</v>
      </c>
      <c r="E3243" s="6" t="n">
        <v>1</v>
      </c>
      <c r="F3243" s="6" t="s">
        <v>689</v>
      </c>
      <c r="G3243" s="28" t="str">
        <f aca="false">IFERROR(INDEX('Semrush Data'!$A$1:$Z$20000,MATCH(A3243,'Semrush Data'!$A$1:$A$20000,0),MATCH("Volume",'Semrush Data'!$A$1:$Z$1,0)),"")</f>
        <v/>
      </c>
      <c r="H3243" s="6" t="str">
        <f aca="false">IFERROR(INDEX('Semrush Data'!$A$1:$Z$20000,MATCH(A3243,'Semrush Data'!$A$1:$A$20000,0),MATCH("Keyword Difficulty*",'Semrush Data'!$A$1:$Z$1,0)),"")</f>
        <v/>
      </c>
      <c r="I3243" s="29" t="str">
        <f aca="false">IFERROR(INDEX('Semrush Data'!$A$1:$Z$20000,MATCH(A3243,'Semrush Data'!$A$1:$A$20000,0),MATCH("CPC*",'Semrush Data'!$A$1:$Z$1,0)),"")</f>
        <v/>
      </c>
      <c r="J3243" s="6" t="str">
        <f aca="false">IFERROR(INDEX('Semrush Data'!$A$1:$Z$20000,MATCH(A3243,'Semrush Data'!$A$1:$A$20000,0),MATCH("Intent",'Semrush Data'!$A$1:$Z$1,0)),"")</f>
        <v/>
      </c>
    </row>
    <row r="3244" customFormat="false" ht="15" hidden="false" customHeight="true" outlineLevel="0" collapsed="false">
      <c r="A3244" s="6" t="s">
        <v>7902</v>
      </c>
      <c r="B3244" s="6" t="s">
        <v>239</v>
      </c>
      <c r="C3244" s="6" t="n">
        <v>3</v>
      </c>
      <c r="D3244" s="6" t="n">
        <v>33</v>
      </c>
      <c r="E3244" s="6" t="n">
        <v>1</v>
      </c>
      <c r="F3244" s="6" t="s">
        <v>6018</v>
      </c>
      <c r="G3244" s="28" t="str">
        <f aca="false">IFERROR(INDEX('Semrush Data'!$A$1:$Z$20000,MATCH(A3244,'Semrush Data'!$A$1:$A$20000,0),MATCH("Volume",'Semrush Data'!$A$1:$Z$1,0)),"")</f>
        <v/>
      </c>
      <c r="H3244" s="6" t="str">
        <f aca="false">IFERROR(INDEX('Semrush Data'!$A$1:$Z$20000,MATCH(A3244,'Semrush Data'!$A$1:$A$20000,0),MATCH("Keyword Difficulty*",'Semrush Data'!$A$1:$Z$1,0)),"")</f>
        <v/>
      </c>
      <c r="I3244" s="29" t="str">
        <f aca="false">IFERROR(INDEX('Semrush Data'!$A$1:$Z$20000,MATCH(A3244,'Semrush Data'!$A$1:$A$20000,0),MATCH("CPC*",'Semrush Data'!$A$1:$Z$1,0)),"")</f>
        <v/>
      </c>
      <c r="J3244" s="6" t="str">
        <f aca="false">IFERROR(INDEX('Semrush Data'!$A$1:$Z$20000,MATCH(A3244,'Semrush Data'!$A$1:$A$20000,0),MATCH("Intent",'Semrush Data'!$A$1:$Z$1,0)),"")</f>
        <v/>
      </c>
    </row>
    <row r="3245" customFormat="false" ht="15" hidden="false" customHeight="true" outlineLevel="0" collapsed="false">
      <c r="A3245" s="6" t="s">
        <v>2459</v>
      </c>
      <c r="B3245" s="6" t="s">
        <v>249</v>
      </c>
      <c r="C3245" s="6" t="n">
        <v>3</v>
      </c>
      <c r="D3245" s="6" t="n">
        <v>33</v>
      </c>
      <c r="E3245" s="6" t="n">
        <v>1</v>
      </c>
      <c r="F3245" s="6" t="s">
        <v>2448</v>
      </c>
      <c r="G3245" s="28" t="str">
        <f aca="false">IFERROR(INDEX('Semrush Data'!$A$1:$Z$20000,MATCH(A3245,'Semrush Data'!$A$1:$A$20000,0),MATCH("Volume",'Semrush Data'!$A$1:$Z$1,0)),"")</f>
        <v/>
      </c>
      <c r="H3245" s="6" t="str">
        <f aca="false">IFERROR(INDEX('Semrush Data'!$A$1:$Z$20000,MATCH(A3245,'Semrush Data'!$A$1:$A$20000,0),MATCH("Keyword Difficulty*",'Semrush Data'!$A$1:$Z$1,0)),"")</f>
        <v/>
      </c>
      <c r="I3245" s="29" t="str">
        <f aca="false">IFERROR(INDEX('Semrush Data'!$A$1:$Z$20000,MATCH(A3245,'Semrush Data'!$A$1:$A$20000,0),MATCH("CPC*",'Semrush Data'!$A$1:$Z$1,0)),"")</f>
        <v/>
      </c>
      <c r="J3245" s="6" t="str">
        <f aca="false">IFERROR(INDEX('Semrush Data'!$A$1:$Z$20000,MATCH(A3245,'Semrush Data'!$A$1:$A$20000,0),MATCH("Intent",'Semrush Data'!$A$1:$Z$1,0)),"")</f>
        <v/>
      </c>
    </row>
    <row r="3246" customFormat="false" ht="15" hidden="false" customHeight="true" outlineLevel="0" collapsed="false">
      <c r="A3246" s="6" t="s">
        <v>2471</v>
      </c>
      <c r="B3246" s="6" t="s">
        <v>249</v>
      </c>
      <c r="C3246" s="6" t="n">
        <v>3</v>
      </c>
      <c r="D3246" s="6" t="n">
        <v>33</v>
      </c>
      <c r="E3246" s="6" t="n">
        <v>1</v>
      </c>
      <c r="F3246" s="6" t="s">
        <v>2466</v>
      </c>
      <c r="G3246" s="28" t="str">
        <f aca="false">IFERROR(INDEX('Semrush Data'!$A$1:$Z$20000,MATCH(A3246,'Semrush Data'!$A$1:$A$20000,0),MATCH("Volume",'Semrush Data'!$A$1:$Z$1,0)),"")</f>
        <v/>
      </c>
      <c r="H3246" s="6" t="str">
        <f aca="false">IFERROR(INDEX('Semrush Data'!$A$1:$Z$20000,MATCH(A3246,'Semrush Data'!$A$1:$A$20000,0),MATCH("Keyword Difficulty*",'Semrush Data'!$A$1:$Z$1,0)),"")</f>
        <v/>
      </c>
      <c r="I3246" s="29" t="str">
        <f aca="false">IFERROR(INDEX('Semrush Data'!$A$1:$Z$20000,MATCH(A3246,'Semrush Data'!$A$1:$A$20000,0),MATCH("CPC*",'Semrush Data'!$A$1:$Z$1,0)),"")</f>
        <v/>
      </c>
      <c r="J3246" s="6" t="str">
        <f aca="false">IFERROR(INDEX('Semrush Data'!$A$1:$Z$20000,MATCH(A3246,'Semrush Data'!$A$1:$A$20000,0),MATCH("Intent",'Semrush Data'!$A$1:$Z$1,0)),"")</f>
        <v/>
      </c>
    </row>
    <row r="3247" customFormat="false" ht="15" hidden="false" customHeight="true" outlineLevel="0" collapsed="false">
      <c r="A3247" s="6" t="s">
        <v>2556</v>
      </c>
      <c r="B3247" s="6" t="s">
        <v>249</v>
      </c>
      <c r="C3247" s="6" t="n">
        <v>3</v>
      </c>
      <c r="D3247" s="6" t="n">
        <v>33</v>
      </c>
      <c r="E3247" s="6" t="n">
        <v>1</v>
      </c>
      <c r="F3247" s="6" t="s">
        <v>2549</v>
      </c>
      <c r="G3247" s="28" t="str">
        <f aca="false">IFERROR(INDEX('Semrush Data'!$A$1:$Z$20000,MATCH(A3247,'Semrush Data'!$A$1:$A$20000,0),MATCH("Volume",'Semrush Data'!$A$1:$Z$1,0)),"")</f>
        <v/>
      </c>
      <c r="H3247" s="6" t="str">
        <f aca="false">IFERROR(INDEX('Semrush Data'!$A$1:$Z$20000,MATCH(A3247,'Semrush Data'!$A$1:$A$20000,0),MATCH("Keyword Difficulty*",'Semrush Data'!$A$1:$Z$1,0)),"")</f>
        <v/>
      </c>
      <c r="I3247" s="29" t="str">
        <f aca="false">IFERROR(INDEX('Semrush Data'!$A$1:$Z$20000,MATCH(A3247,'Semrush Data'!$A$1:$A$20000,0),MATCH("CPC*",'Semrush Data'!$A$1:$Z$1,0)),"")</f>
        <v/>
      </c>
      <c r="J3247" s="6" t="str">
        <f aca="false">IFERROR(INDEX('Semrush Data'!$A$1:$Z$20000,MATCH(A3247,'Semrush Data'!$A$1:$A$20000,0),MATCH("Intent",'Semrush Data'!$A$1:$Z$1,0)),"")</f>
        <v/>
      </c>
    </row>
    <row r="3248" customFormat="false" ht="15" hidden="false" customHeight="true" outlineLevel="0" collapsed="false">
      <c r="A3248" s="6" t="s">
        <v>2498</v>
      </c>
      <c r="B3248" s="6" t="s">
        <v>249</v>
      </c>
      <c r="C3248" s="6" t="n">
        <v>3</v>
      </c>
      <c r="D3248" s="6" t="n">
        <v>33</v>
      </c>
      <c r="E3248" s="6" t="n">
        <v>1</v>
      </c>
      <c r="F3248" s="6" t="s">
        <v>2492</v>
      </c>
      <c r="G3248" s="28" t="str">
        <f aca="false">IFERROR(INDEX('Semrush Data'!$A$1:$Z$20000,MATCH(A3248,'Semrush Data'!$A$1:$A$20000,0),MATCH("Volume",'Semrush Data'!$A$1:$Z$1,0)),"")</f>
        <v/>
      </c>
      <c r="H3248" s="6" t="str">
        <f aca="false">IFERROR(INDEX('Semrush Data'!$A$1:$Z$20000,MATCH(A3248,'Semrush Data'!$A$1:$A$20000,0),MATCH("Keyword Difficulty*",'Semrush Data'!$A$1:$Z$1,0)),"")</f>
        <v/>
      </c>
      <c r="I3248" s="29" t="str">
        <f aca="false">IFERROR(INDEX('Semrush Data'!$A$1:$Z$20000,MATCH(A3248,'Semrush Data'!$A$1:$A$20000,0),MATCH("CPC*",'Semrush Data'!$A$1:$Z$1,0)),"")</f>
        <v/>
      </c>
      <c r="J3248" s="6" t="str">
        <f aca="false">IFERROR(INDEX('Semrush Data'!$A$1:$Z$20000,MATCH(A3248,'Semrush Data'!$A$1:$A$20000,0),MATCH("Intent",'Semrush Data'!$A$1:$Z$1,0)),"")</f>
        <v/>
      </c>
    </row>
    <row r="3249" customFormat="false" ht="15" hidden="false" customHeight="true" outlineLevel="0" collapsed="false">
      <c r="A3249" s="6" t="s">
        <v>2485</v>
      </c>
      <c r="B3249" s="6" t="s">
        <v>249</v>
      </c>
      <c r="C3249" s="6" t="n">
        <v>3</v>
      </c>
      <c r="D3249" s="6" t="n">
        <v>33</v>
      </c>
      <c r="E3249" s="6" t="n">
        <v>1</v>
      </c>
      <c r="F3249" s="6" t="s">
        <v>2477</v>
      </c>
      <c r="G3249" s="28" t="str">
        <f aca="false">IFERROR(INDEX('Semrush Data'!$A$1:$Z$20000,MATCH(A3249,'Semrush Data'!$A$1:$A$20000,0),MATCH("Volume",'Semrush Data'!$A$1:$Z$1,0)),"")</f>
        <v/>
      </c>
      <c r="H3249" s="6" t="str">
        <f aca="false">IFERROR(INDEX('Semrush Data'!$A$1:$Z$20000,MATCH(A3249,'Semrush Data'!$A$1:$A$20000,0),MATCH("Keyword Difficulty*",'Semrush Data'!$A$1:$Z$1,0)),"")</f>
        <v/>
      </c>
      <c r="I3249" s="29" t="str">
        <f aca="false">IFERROR(INDEX('Semrush Data'!$A$1:$Z$20000,MATCH(A3249,'Semrush Data'!$A$1:$A$20000,0),MATCH("CPC*",'Semrush Data'!$A$1:$Z$1,0)),"")</f>
        <v/>
      </c>
      <c r="J3249" s="6" t="str">
        <f aca="false">IFERROR(INDEX('Semrush Data'!$A$1:$Z$20000,MATCH(A3249,'Semrush Data'!$A$1:$A$20000,0),MATCH("Intent",'Semrush Data'!$A$1:$Z$1,0)),"")</f>
        <v/>
      </c>
    </row>
    <row r="3250" customFormat="false" ht="15" hidden="false" customHeight="true" outlineLevel="0" collapsed="false">
      <c r="A3250" s="6" t="s">
        <v>2566</v>
      </c>
      <c r="B3250" s="6" t="s">
        <v>249</v>
      </c>
      <c r="C3250" s="6" t="n">
        <v>3</v>
      </c>
      <c r="D3250" s="6" t="n">
        <v>33</v>
      </c>
      <c r="E3250" s="6" t="n">
        <v>1</v>
      </c>
      <c r="F3250" s="6" t="s">
        <v>2560</v>
      </c>
      <c r="G3250" s="28" t="str">
        <f aca="false">IFERROR(INDEX('Semrush Data'!$A$1:$Z$20000,MATCH(A3250,'Semrush Data'!$A$1:$A$20000,0),MATCH("Volume",'Semrush Data'!$A$1:$Z$1,0)),"")</f>
        <v/>
      </c>
      <c r="H3250" s="6" t="str">
        <f aca="false">IFERROR(INDEX('Semrush Data'!$A$1:$Z$20000,MATCH(A3250,'Semrush Data'!$A$1:$A$20000,0),MATCH("Keyword Difficulty*",'Semrush Data'!$A$1:$Z$1,0)),"")</f>
        <v/>
      </c>
      <c r="I3250" s="29" t="str">
        <f aca="false">IFERROR(INDEX('Semrush Data'!$A$1:$Z$20000,MATCH(A3250,'Semrush Data'!$A$1:$A$20000,0),MATCH("CPC*",'Semrush Data'!$A$1:$Z$1,0)),"")</f>
        <v/>
      </c>
      <c r="J3250" s="6" t="str">
        <f aca="false">IFERROR(INDEX('Semrush Data'!$A$1:$Z$20000,MATCH(A3250,'Semrush Data'!$A$1:$A$20000,0),MATCH("Intent",'Semrush Data'!$A$1:$Z$1,0)),"")</f>
        <v/>
      </c>
    </row>
    <row r="3251" customFormat="false" ht="15" hidden="false" customHeight="true" outlineLevel="0" collapsed="false">
      <c r="A3251" s="6" t="s">
        <v>2509</v>
      </c>
      <c r="B3251" s="6" t="s">
        <v>249</v>
      </c>
      <c r="C3251" s="6" t="n">
        <v>3</v>
      </c>
      <c r="D3251" s="6" t="n">
        <v>33</v>
      </c>
      <c r="E3251" s="6" t="n">
        <v>1</v>
      </c>
      <c r="F3251" s="6" t="s">
        <v>2503</v>
      </c>
      <c r="G3251" s="28" t="str">
        <f aca="false">IFERROR(INDEX('Semrush Data'!$A$1:$Z$20000,MATCH(A3251,'Semrush Data'!$A$1:$A$20000,0),MATCH("Volume",'Semrush Data'!$A$1:$Z$1,0)),"")</f>
        <v/>
      </c>
      <c r="H3251" s="6" t="str">
        <f aca="false">IFERROR(INDEX('Semrush Data'!$A$1:$Z$20000,MATCH(A3251,'Semrush Data'!$A$1:$A$20000,0),MATCH("Keyword Difficulty*",'Semrush Data'!$A$1:$Z$1,0)),"")</f>
        <v/>
      </c>
      <c r="I3251" s="29" t="str">
        <f aca="false">IFERROR(INDEX('Semrush Data'!$A$1:$Z$20000,MATCH(A3251,'Semrush Data'!$A$1:$A$20000,0),MATCH("CPC*",'Semrush Data'!$A$1:$Z$1,0)),"")</f>
        <v/>
      </c>
      <c r="J3251" s="6" t="str">
        <f aca="false">IFERROR(INDEX('Semrush Data'!$A$1:$Z$20000,MATCH(A3251,'Semrush Data'!$A$1:$A$20000,0),MATCH("Intent",'Semrush Data'!$A$1:$Z$1,0)),"")</f>
        <v/>
      </c>
    </row>
    <row r="3252" customFormat="false" ht="15" hidden="false" customHeight="true" outlineLevel="0" collapsed="false">
      <c r="A3252" s="6" t="s">
        <v>2520</v>
      </c>
      <c r="B3252" s="6" t="s">
        <v>249</v>
      </c>
      <c r="C3252" s="6" t="n">
        <v>3</v>
      </c>
      <c r="D3252" s="6" t="n">
        <v>33</v>
      </c>
      <c r="E3252" s="6" t="n">
        <v>1</v>
      </c>
      <c r="F3252" s="6" t="s">
        <v>141</v>
      </c>
      <c r="G3252" s="28" t="str">
        <f aca="false">IFERROR(INDEX('Semrush Data'!$A$1:$Z$20000,MATCH(A3252,'Semrush Data'!$A$1:$A$20000,0),MATCH("Volume",'Semrush Data'!$A$1:$Z$1,0)),"")</f>
        <v/>
      </c>
      <c r="H3252" s="6" t="str">
        <f aca="false">IFERROR(INDEX('Semrush Data'!$A$1:$Z$20000,MATCH(A3252,'Semrush Data'!$A$1:$A$20000,0),MATCH("Keyword Difficulty*",'Semrush Data'!$A$1:$Z$1,0)),"")</f>
        <v/>
      </c>
      <c r="I3252" s="29" t="str">
        <f aca="false">IFERROR(INDEX('Semrush Data'!$A$1:$Z$20000,MATCH(A3252,'Semrush Data'!$A$1:$A$20000,0),MATCH("CPC*",'Semrush Data'!$A$1:$Z$1,0)),"")</f>
        <v/>
      </c>
      <c r="J3252" s="6" t="str">
        <f aca="false">IFERROR(INDEX('Semrush Data'!$A$1:$Z$20000,MATCH(A3252,'Semrush Data'!$A$1:$A$20000,0),MATCH("Intent",'Semrush Data'!$A$1:$Z$1,0)),"")</f>
        <v/>
      </c>
    </row>
    <row r="3253" customFormat="false" ht="15" hidden="false" customHeight="true" outlineLevel="0" collapsed="false">
      <c r="A3253" s="6" t="s">
        <v>2531</v>
      </c>
      <c r="B3253" s="6" t="s">
        <v>249</v>
      </c>
      <c r="C3253" s="6" t="n">
        <v>3</v>
      </c>
      <c r="D3253" s="6" t="n">
        <v>33</v>
      </c>
      <c r="E3253" s="6" t="n">
        <v>1</v>
      </c>
      <c r="F3253" s="6" t="s">
        <v>135</v>
      </c>
      <c r="G3253" s="28" t="str">
        <f aca="false">IFERROR(INDEX('Semrush Data'!$A$1:$Z$20000,MATCH(A3253,'Semrush Data'!$A$1:$A$20000,0),MATCH("Volume",'Semrush Data'!$A$1:$Z$1,0)),"")</f>
        <v/>
      </c>
      <c r="H3253" s="6" t="str">
        <f aca="false">IFERROR(INDEX('Semrush Data'!$A$1:$Z$20000,MATCH(A3253,'Semrush Data'!$A$1:$A$20000,0),MATCH("Keyword Difficulty*",'Semrush Data'!$A$1:$Z$1,0)),"")</f>
        <v/>
      </c>
      <c r="I3253" s="29" t="str">
        <f aca="false">IFERROR(INDEX('Semrush Data'!$A$1:$Z$20000,MATCH(A3253,'Semrush Data'!$A$1:$A$20000,0),MATCH("CPC*",'Semrush Data'!$A$1:$Z$1,0)),"")</f>
        <v/>
      </c>
      <c r="J3253" s="6" t="str">
        <f aca="false">IFERROR(INDEX('Semrush Data'!$A$1:$Z$20000,MATCH(A3253,'Semrush Data'!$A$1:$A$20000,0),MATCH("Intent",'Semrush Data'!$A$1:$Z$1,0)),"")</f>
        <v/>
      </c>
    </row>
    <row r="3254" customFormat="false" ht="15" hidden="false" customHeight="true" outlineLevel="0" collapsed="false">
      <c r="A3254" s="6" t="s">
        <v>2542</v>
      </c>
      <c r="B3254" s="6" t="s">
        <v>249</v>
      </c>
      <c r="C3254" s="6" t="n">
        <v>3</v>
      </c>
      <c r="D3254" s="6" t="n">
        <v>33</v>
      </c>
      <c r="E3254" s="6" t="n">
        <v>1</v>
      </c>
      <c r="F3254" s="6" t="s">
        <v>117</v>
      </c>
      <c r="G3254" s="28" t="str">
        <f aca="false">IFERROR(INDEX('Semrush Data'!$A$1:$Z$20000,MATCH(A3254,'Semrush Data'!$A$1:$A$20000,0),MATCH("Volume",'Semrush Data'!$A$1:$Z$1,0)),"")</f>
        <v/>
      </c>
      <c r="H3254" s="6" t="str">
        <f aca="false">IFERROR(INDEX('Semrush Data'!$A$1:$Z$20000,MATCH(A3254,'Semrush Data'!$A$1:$A$20000,0),MATCH("Keyword Difficulty*",'Semrush Data'!$A$1:$Z$1,0)),"")</f>
        <v/>
      </c>
      <c r="I3254" s="29" t="str">
        <f aca="false">IFERROR(INDEX('Semrush Data'!$A$1:$Z$20000,MATCH(A3254,'Semrush Data'!$A$1:$A$20000,0),MATCH("CPC*",'Semrush Data'!$A$1:$Z$1,0)),"")</f>
        <v/>
      </c>
      <c r="J3254" s="6" t="str">
        <f aca="false">IFERROR(INDEX('Semrush Data'!$A$1:$Z$20000,MATCH(A3254,'Semrush Data'!$A$1:$A$20000,0),MATCH("Intent",'Semrush Data'!$A$1:$Z$1,0)),"")</f>
        <v/>
      </c>
    </row>
    <row r="3255" customFormat="false" ht="15" hidden="false" customHeight="true" outlineLevel="0" collapsed="false">
      <c r="A3255" s="6" t="s">
        <v>5936</v>
      </c>
      <c r="B3255" s="6" t="s">
        <v>249</v>
      </c>
      <c r="C3255" s="6" t="n">
        <v>3</v>
      </c>
      <c r="D3255" s="6" t="n">
        <v>33</v>
      </c>
      <c r="E3255" s="6" t="n">
        <v>1</v>
      </c>
      <c r="F3255" s="6" t="s">
        <v>103</v>
      </c>
      <c r="G3255" s="28" t="str">
        <f aca="false">IFERROR(INDEX('Semrush Data'!$A$1:$Z$20000,MATCH(A3255,'Semrush Data'!$A$1:$A$20000,0),MATCH("Volume",'Semrush Data'!$A$1:$Z$1,0)),"")</f>
        <v/>
      </c>
      <c r="H3255" s="6" t="str">
        <f aca="false">IFERROR(INDEX('Semrush Data'!$A$1:$Z$20000,MATCH(A3255,'Semrush Data'!$A$1:$A$20000,0),MATCH("Keyword Difficulty*",'Semrush Data'!$A$1:$Z$1,0)),"")</f>
        <v/>
      </c>
      <c r="I3255" s="29" t="str">
        <f aca="false">IFERROR(INDEX('Semrush Data'!$A$1:$Z$20000,MATCH(A3255,'Semrush Data'!$A$1:$A$20000,0),MATCH("CPC*",'Semrush Data'!$A$1:$Z$1,0)),"")</f>
        <v/>
      </c>
      <c r="J3255" s="6" t="str">
        <f aca="false">IFERROR(INDEX('Semrush Data'!$A$1:$Z$20000,MATCH(A3255,'Semrush Data'!$A$1:$A$20000,0),MATCH("Intent",'Semrush Data'!$A$1:$Z$1,0)),"")</f>
        <v/>
      </c>
    </row>
    <row r="3256" customFormat="false" ht="15" hidden="false" customHeight="true" outlineLevel="0" collapsed="false">
      <c r="A3256" s="6" t="s">
        <v>2575</v>
      </c>
      <c r="B3256" s="6" t="s">
        <v>249</v>
      </c>
      <c r="C3256" s="6" t="n">
        <v>3</v>
      </c>
      <c r="D3256" s="6" t="n">
        <v>33</v>
      </c>
      <c r="E3256" s="6" t="n">
        <v>1</v>
      </c>
      <c r="F3256" s="6" t="s">
        <v>2569</v>
      </c>
      <c r="G3256" s="28" t="str">
        <f aca="false">IFERROR(INDEX('Semrush Data'!$A$1:$Z$20000,MATCH(A3256,'Semrush Data'!$A$1:$A$20000,0),MATCH("Volume",'Semrush Data'!$A$1:$Z$1,0)),"")</f>
        <v/>
      </c>
      <c r="H3256" s="6" t="str">
        <f aca="false">IFERROR(INDEX('Semrush Data'!$A$1:$Z$20000,MATCH(A3256,'Semrush Data'!$A$1:$A$20000,0),MATCH("Keyword Difficulty*",'Semrush Data'!$A$1:$Z$1,0)),"")</f>
        <v/>
      </c>
      <c r="I3256" s="29" t="str">
        <f aca="false">IFERROR(INDEX('Semrush Data'!$A$1:$Z$20000,MATCH(A3256,'Semrush Data'!$A$1:$A$20000,0),MATCH("CPC*",'Semrush Data'!$A$1:$Z$1,0)),"")</f>
        <v/>
      </c>
      <c r="J3256" s="6" t="str">
        <f aca="false">IFERROR(INDEX('Semrush Data'!$A$1:$Z$20000,MATCH(A3256,'Semrush Data'!$A$1:$A$20000,0),MATCH("Intent",'Semrush Data'!$A$1:$Z$1,0)),"")</f>
        <v/>
      </c>
    </row>
    <row r="3257" customFormat="false" ht="15" hidden="false" customHeight="true" outlineLevel="0" collapsed="false">
      <c r="A3257" s="6" t="s">
        <v>2588</v>
      </c>
      <c r="B3257" s="6" t="s">
        <v>249</v>
      </c>
      <c r="C3257" s="6" t="n">
        <v>3</v>
      </c>
      <c r="D3257" s="6" t="n">
        <v>33</v>
      </c>
      <c r="E3257" s="6" t="n">
        <v>1</v>
      </c>
      <c r="F3257" s="6" t="s">
        <v>2582</v>
      </c>
      <c r="G3257" s="28" t="str">
        <f aca="false">IFERROR(INDEX('Semrush Data'!$A$1:$Z$20000,MATCH(A3257,'Semrush Data'!$A$1:$A$20000,0),MATCH("Volume",'Semrush Data'!$A$1:$Z$1,0)),"")</f>
        <v/>
      </c>
      <c r="H3257" s="6" t="str">
        <f aca="false">IFERROR(INDEX('Semrush Data'!$A$1:$Z$20000,MATCH(A3257,'Semrush Data'!$A$1:$A$20000,0),MATCH("Keyword Difficulty*",'Semrush Data'!$A$1:$Z$1,0)),"")</f>
        <v/>
      </c>
      <c r="I3257" s="29" t="str">
        <f aca="false">IFERROR(INDEX('Semrush Data'!$A$1:$Z$20000,MATCH(A3257,'Semrush Data'!$A$1:$A$20000,0),MATCH("CPC*",'Semrush Data'!$A$1:$Z$1,0)),"")</f>
        <v/>
      </c>
      <c r="J3257" s="6" t="str">
        <f aca="false">IFERROR(INDEX('Semrush Data'!$A$1:$Z$20000,MATCH(A3257,'Semrush Data'!$A$1:$A$20000,0),MATCH("Intent",'Semrush Data'!$A$1:$Z$1,0)),"")</f>
        <v/>
      </c>
    </row>
    <row r="3258" customFormat="false" ht="15" hidden="false" customHeight="true" outlineLevel="0" collapsed="false">
      <c r="A3258" s="6" t="s">
        <v>2601</v>
      </c>
      <c r="B3258" s="6" t="s">
        <v>249</v>
      </c>
      <c r="C3258" s="6" t="n">
        <v>3</v>
      </c>
      <c r="D3258" s="6" t="n">
        <v>33</v>
      </c>
      <c r="E3258" s="6" t="n">
        <v>1</v>
      </c>
      <c r="F3258" s="6" t="s">
        <v>2595</v>
      </c>
      <c r="G3258" s="28" t="str">
        <f aca="false">IFERROR(INDEX('Semrush Data'!$A$1:$Z$20000,MATCH(A3258,'Semrush Data'!$A$1:$A$20000,0),MATCH("Volume",'Semrush Data'!$A$1:$Z$1,0)),"")</f>
        <v/>
      </c>
      <c r="H3258" s="6" t="str">
        <f aca="false">IFERROR(INDEX('Semrush Data'!$A$1:$Z$20000,MATCH(A3258,'Semrush Data'!$A$1:$A$20000,0),MATCH("Keyword Difficulty*",'Semrush Data'!$A$1:$Z$1,0)),"")</f>
        <v/>
      </c>
      <c r="I3258" s="29" t="str">
        <f aca="false">IFERROR(INDEX('Semrush Data'!$A$1:$Z$20000,MATCH(A3258,'Semrush Data'!$A$1:$A$20000,0),MATCH("CPC*",'Semrush Data'!$A$1:$Z$1,0)),"")</f>
        <v/>
      </c>
      <c r="J3258" s="6" t="str">
        <f aca="false">IFERROR(INDEX('Semrush Data'!$A$1:$Z$20000,MATCH(A3258,'Semrush Data'!$A$1:$A$20000,0),MATCH("Intent",'Semrush Data'!$A$1:$Z$1,0)),"")</f>
        <v/>
      </c>
    </row>
    <row r="3259" customFormat="false" ht="15" hidden="false" customHeight="true" outlineLevel="0" collapsed="false">
      <c r="A3259" s="6" t="s">
        <v>2613</v>
      </c>
      <c r="B3259" s="6" t="s">
        <v>249</v>
      </c>
      <c r="C3259" s="6" t="n">
        <v>3</v>
      </c>
      <c r="D3259" s="6" t="n">
        <v>33</v>
      </c>
      <c r="E3259" s="6" t="n">
        <v>1</v>
      </c>
      <c r="F3259" s="6" t="s">
        <v>2607</v>
      </c>
      <c r="G3259" s="28" t="str">
        <f aca="false">IFERROR(INDEX('Semrush Data'!$A$1:$Z$20000,MATCH(A3259,'Semrush Data'!$A$1:$A$20000,0),MATCH("Volume",'Semrush Data'!$A$1:$Z$1,0)),"")</f>
        <v/>
      </c>
      <c r="H3259" s="6" t="str">
        <f aca="false">IFERROR(INDEX('Semrush Data'!$A$1:$Z$20000,MATCH(A3259,'Semrush Data'!$A$1:$A$20000,0),MATCH("Keyword Difficulty*",'Semrush Data'!$A$1:$Z$1,0)),"")</f>
        <v/>
      </c>
      <c r="I3259" s="29" t="str">
        <f aca="false">IFERROR(INDEX('Semrush Data'!$A$1:$Z$20000,MATCH(A3259,'Semrush Data'!$A$1:$A$20000,0),MATCH("CPC*",'Semrush Data'!$A$1:$Z$1,0)),"")</f>
        <v/>
      </c>
      <c r="J3259" s="6" t="str">
        <f aca="false">IFERROR(INDEX('Semrush Data'!$A$1:$Z$20000,MATCH(A3259,'Semrush Data'!$A$1:$A$20000,0),MATCH("Intent",'Semrush Data'!$A$1:$Z$1,0)),"")</f>
        <v/>
      </c>
    </row>
    <row r="3260" customFormat="false" ht="15" hidden="false" customHeight="true" outlineLevel="0" collapsed="false">
      <c r="A3260" s="6" t="s">
        <v>2740</v>
      </c>
      <c r="B3260" s="6" t="s">
        <v>249</v>
      </c>
      <c r="C3260" s="6" t="n">
        <v>3</v>
      </c>
      <c r="D3260" s="6" t="n">
        <v>33</v>
      </c>
      <c r="E3260" s="6" t="n">
        <v>1</v>
      </c>
      <c r="F3260" s="6" t="s">
        <v>2734</v>
      </c>
      <c r="G3260" s="28" t="str">
        <f aca="false">IFERROR(INDEX('Semrush Data'!$A$1:$Z$20000,MATCH(A3260,'Semrush Data'!$A$1:$A$20000,0),MATCH("Volume",'Semrush Data'!$A$1:$Z$1,0)),"")</f>
        <v/>
      </c>
      <c r="H3260" s="6" t="str">
        <f aca="false">IFERROR(INDEX('Semrush Data'!$A$1:$Z$20000,MATCH(A3260,'Semrush Data'!$A$1:$A$20000,0),MATCH("Keyword Difficulty*",'Semrush Data'!$A$1:$Z$1,0)),"")</f>
        <v/>
      </c>
      <c r="I3260" s="29" t="str">
        <f aca="false">IFERROR(INDEX('Semrush Data'!$A$1:$Z$20000,MATCH(A3260,'Semrush Data'!$A$1:$A$20000,0),MATCH("CPC*",'Semrush Data'!$A$1:$Z$1,0)),"")</f>
        <v/>
      </c>
      <c r="J3260" s="6" t="str">
        <f aca="false">IFERROR(INDEX('Semrush Data'!$A$1:$Z$20000,MATCH(A3260,'Semrush Data'!$A$1:$A$20000,0),MATCH("Intent",'Semrush Data'!$A$1:$Z$1,0)),"")</f>
        <v/>
      </c>
    </row>
    <row r="3261" customFormat="false" ht="15" hidden="false" customHeight="true" outlineLevel="0" collapsed="false">
      <c r="A3261" s="6" t="s">
        <v>2631</v>
      </c>
      <c r="B3261" s="6" t="s">
        <v>249</v>
      </c>
      <c r="C3261" s="6" t="n">
        <v>3</v>
      </c>
      <c r="D3261" s="6" t="n">
        <v>33</v>
      </c>
      <c r="E3261" s="6" t="n">
        <v>1</v>
      </c>
      <c r="F3261" s="6" t="s">
        <v>109</v>
      </c>
      <c r="G3261" s="28" t="str">
        <f aca="false">IFERROR(INDEX('Semrush Data'!$A$1:$Z$20000,MATCH(A3261,'Semrush Data'!$A$1:$A$20000,0),MATCH("Volume",'Semrush Data'!$A$1:$Z$1,0)),"")</f>
        <v/>
      </c>
      <c r="H3261" s="6" t="str">
        <f aca="false">IFERROR(INDEX('Semrush Data'!$A$1:$Z$20000,MATCH(A3261,'Semrush Data'!$A$1:$A$20000,0),MATCH("Keyword Difficulty*",'Semrush Data'!$A$1:$Z$1,0)),"")</f>
        <v/>
      </c>
      <c r="I3261" s="29" t="str">
        <f aca="false">IFERROR(INDEX('Semrush Data'!$A$1:$Z$20000,MATCH(A3261,'Semrush Data'!$A$1:$A$20000,0),MATCH("CPC*",'Semrush Data'!$A$1:$Z$1,0)),"")</f>
        <v/>
      </c>
      <c r="J3261" s="6" t="str">
        <f aca="false">IFERROR(INDEX('Semrush Data'!$A$1:$Z$20000,MATCH(A3261,'Semrush Data'!$A$1:$A$20000,0),MATCH("Intent",'Semrush Data'!$A$1:$Z$1,0)),"")</f>
        <v/>
      </c>
    </row>
    <row r="3262" customFormat="false" ht="15" hidden="false" customHeight="true" outlineLevel="0" collapsed="false">
      <c r="A3262" s="6" t="s">
        <v>2623</v>
      </c>
      <c r="B3262" s="6" t="s">
        <v>249</v>
      </c>
      <c r="C3262" s="6" t="n">
        <v>3</v>
      </c>
      <c r="D3262" s="6" t="s">
        <v>6870</v>
      </c>
      <c r="E3262" s="6" t="n">
        <v>1</v>
      </c>
      <c r="F3262" s="6" t="s">
        <v>75</v>
      </c>
      <c r="G3262" s="28" t="n">
        <f aca="false">IFERROR(INDEX('Semrush Data'!$A$1:$Z$20000,MATCH(A3262,'Semrush Data'!$A$1:$A$20000,0),MATCH("Volume",'Semrush Data'!$A$1:$Z$1,0)),"")</f>
        <v>20</v>
      </c>
      <c r="H3262" s="6" t="n">
        <f aca="false">IFERROR(INDEX('Semrush Data'!$A$1:$Z$20000,MATCH(A3262,'Semrush Data'!$A$1:$A$20000,0),MATCH("Keyword Difficulty*",'Semrush Data'!$A$1:$Z$1,0)),"")</f>
        <v>11</v>
      </c>
      <c r="I3262" s="29" t="n">
        <f aca="false">IFERROR(INDEX('Semrush Data'!$A$1:$Z$20000,MATCH(A3262,'Semrush Data'!$A$1:$A$20000,0),MATCH("CPC*",'Semrush Data'!$A$1:$Z$1,0)),"")</f>
        <v>0</v>
      </c>
      <c r="J3262" s="6" t="str">
        <f aca="false">IFERROR(INDEX('Semrush Data'!$A$1:$Z$20000,MATCH(A3262,'Semrush Data'!$A$1:$A$20000,0),MATCH("Intent",'Semrush Data'!$A$1:$Z$1,0)),"")</f>
        <v>Transactional</v>
      </c>
    </row>
    <row r="3263" customFormat="false" ht="15" hidden="false" customHeight="true" outlineLevel="0" collapsed="false">
      <c r="A3263" s="6" t="s">
        <v>2642</v>
      </c>
      <c r="B3263" s="6" t="s">
        <v>249</v>
      </c>
      <c r="C3263" s="6" t="n">
        <v>3</v>
      </c>
      <c r="D3263" s="6" t="n">
        <v>33</v>
      </c>
      <c r="E3263" s="6" t="n">
        <v>1</v>
      </c>
      <c r="F3263" s="6" t="s">
        <v>2637</v>
      </c>
      <c r="G3263" s="28" t="str">
        <f aca="false">IFERROR(INDEX('Semrush Data'!$A$1:$Z$20000,MATCH(A3263,'Semrush Data'!$A$1:$A$20000,0),MATCH("Volume",'Semrush Data'!$A$1:$Z$1,0)),"")</f>
        <v/>
      </c>
      <c r="H3263" s="6" t="str">
        <f aca="false">IFERROR(INDEX('Semrush Data'!$A$1:$Z$20000,MATCH(A3263,'Semrush Data'!$A$1:$A$20000,0),MATCH("Keyword Difficulty*",'Semrush Data'!$A$1:$Z$1,0)),"")</f>
        <v/>
      </c>
      <c r="I3263" s="29" t="str">
        <f aca="false">IFERROR(INDEX('Semrush Data'!$A$1:$Z$20000,MATCH(A3263,'Semrush Data'!$A$1:$A$20000,0),MATCH("CPC*",'Semrush Data'!$A$1:$Z$1,0)),"")</f>
        <v/>
      </c>
      <c r="J3263" s="6" t="str">
        <f aca="false">IFERROR(INDEX('Semrush Data'!$A$1:$Z$20000,MATCH(A3263,'Semrush Data'!$A$1:$A$20000,0),MATCH("Intent",'Semrush Data'!$A$1:$Z$1,0)),"")</f>
        <v/>
      </c>
    </row>
    <row r="3264" customFormat="false" ht="15" hidden="false" customHeight="true" outlineLevel="0" collapsed="false">
      <c r="A3264" s="6" t="s">
        <v>2652</v>
      </c>
      <c r="B3264" s="6" t="s">
        <v>249</v>
      </c>
      <c r="C3264" s="6" t="n">
        <v>3</v>
      </c>
      <c r="D3264" s="6" t="n">
        <v>33</v>
      </c>
      <c r="E3264" s="6" t="n">
        <v>1</v>
      </c>
      <c r="F3264" s="6" t="s">
        <v>119</v>
      </c>
      <c r="G3264" s="28" t="str">
        <f aca="false">IFERROR(INDEX('Semrush Data'!$A$1:$Z$20000,MATCH(A3264,'Semrush Data'!$A$1:$A$20000,0),MATCH("Volume",'Semrush Data'!$A$1:$Z$1,0)),"")</f>
        <v/>
      </c>
      <c r="H3264" s="6" t="str">
        <f aca="false">IFERROR(INDEX('Semrush Data'!$A$1:$Z$20000,MATCH(A3264,'Semrush Data'!$A$1:$A$20000,0),MATCH("Keyword Difficulty*",'Semrush Data'!$A$1:$Z$1,0)),"")</f>
        <v/>
      </c>
      <c r="I3264" s="29" t="str">
        <f aca="false">IFERROR(INDEX('Semrush Data'!$A$1:$Z$20000,MATCH(A3264,'Semrush Data'!$A$1:$A$20000,0),MATCH("CPC*",'Semrush Data'!$A$1:$Z$1,0)),"")</f>
        <v/>
      </c>
      <c r="J3264" s="6" t="str">
        <f aca="false">IFERROR(INDEX('Semrush Data'!$A$1:$Z$20000,MATCH(A3264,'Semrush Data'!$A$1:$A$20000,0),MATCH("Intent",'Semrush Data'!$A$1:$Z$1,0)),"")</f>
        <v/>
      </c>
    </row>
    <row r="3265" customFormat="false" ht="15" hidden="false" customHeight="true" outlineLevel="0" collapsed="false">
      <c r="A3265" s="6" t="s">
        <v>2663</v>
      </c>
      <c r="B3265" s="6" t="s">
        <v>249</v>
      </c>
      <c r="C3265" s="6" t="n">
        <v>3</v>
      </c>
      <c r="D3265" s="6" t="n">
        <v>33</v>
      </c>
      <c r="E3265" s="6" t="n">
        <v>1</v>
      </c>
      <c r="F3265" s="6" t="s">
        <v>2658</v>
      </c>
      <c r="G3265" s="28" t="str">
        <f aca="false">IFERROR(INDEX('Semrush Data'!$A$1:$Z$20000,MATCH(A3265,'Semrush Data'!$A$1:$A$20000,0),MATCH("Volume",'Semrush Data'!$A$1:$Z$1,0)),"")</f>
        <v/>
      </c>
      <c r="H3265" s="6" t="str">
        <f aca="false">IFERROR(INDEX('Semrush Data'!$A$1:$Z$20000,MATCH(A3265,'Semrush Data'!$A$1:$A$20000,0),MATCH("Keyword Difficulty*",'Semrush Data'!$A$1:$Z$1,0)),"")</f>
        <v/>
      </c>
      <c r="I3265" s="29" t="str">
        <f aca="false">IFERROR(INDEX('Semrush Data'!$A$1:$Z$20000,MATCH(A3265,'Semrush Data'!$A$1:$A$20000,0),MATCH("CPC*",'Semrush Data'!$A$1:$Z$1,0)),"")</f>
        <v/>
      </c>
      <c r="J3265" s="6" t="str">
        <f aca="false">IFERROR(INDEX('Semrush Data'!$A$1:$Z$20000,MATCH(A3265,'Semrush Data'!$A$1:$A$20000,0),MATCH("Intent",'Semrush Data'!$A$1:$Z$1,0)),"")</f>
        <v/>
      </c>
    </row>
    <row r="3266" customFormat="false" ht="15" hidden="false" customHeight="true" outlineLevel="0" collapsed="false">
      <c r="A3266" s="6" t="s">
        <v>2675</v>
      </c>
      <c r="B3266" s="6" t="s">
        <v>249</v>
      </c>
      <c r="C3266" s="6" t="n">
        <v>3</v>
      </c>
      <c r="D3266" s="6" t="n">
        <v>33</v>
      </c>
      <c r="E3266" s="6" t="n">
        <v>1</v>
      </c>
      <c r="F3266" s="6" t="s">
        <v>2670</v>
      </c>
      <c r="G3266" s="28" t="str">
        <f aca="false">IFERROR(INDEX('Semrush Data'!$A$1:$Z$20000,MATCH(A3266,'Semrush Data'!$A$1:$A$20000,0),MATCH("Volume",'Semrush Data'!$A$1:$Z$1,0)),"")</f>
        <v/>
      </c>
      <c r="H3266" s="6" t="str">
        <f aca="false">IFERROR(INDEX('Semrush Data'!$A$1:$Z$20000,MATCH(A3266,'Semrush Data'!$A$1:$A$20000,0),MATCH("Keyword Difficulty*",'Semrush Data'!$A$1:$Z$1,0)),"")</f>
        <v/>
      </c>
      <c r="I3266" s="29" t="str">
        <f aca="false">IFERROR(INDEX('Semrush Data'!$A$1:$Z$20000,MATCH(A3266,'Semrush Data'!$A$1:$A$20000,0),MATCH("CPC*",'Semrush Data'!$A$1:$Z$1,0)),"")</f>
        <v/>
      </c>
      <c r="J3266" s="6" t="str">
        <f aca="false">IFERROR(INDEX('Semrush Data'!$A$1:$Z$20000,MATCH(A3266,'Semrush Data'!$A$1:$A$20000,0),MATCH("Intent",'Semrush Data'!$A$1:$Z$1,0)),"")</f>
        <v/>
      </c>
    </row>
    <row r="3267" customFormat="false" ht="15" hidden="false" customHeight="true" outlineLevel="0" collapsed="false">
      <c r="A3267" s="6" t="s">
        <v>2686</v>
      </c>
      <c r="B3267" s="6" t="s">
        <v>249</v>
      </c>
      <c r="C3267" s="6" t="n">
        <v>3</v>
      </c>
      <c r="D3267" s="6" t="n">
        <v>33</v>
      </c>
      <c r="E3267" s="6" t="n">
        <v>1</v>
      </c>
      <c r="F3267" s="6" t="s">
        <v>2681</v>
      </c>
      <c r="G3267" s="28" t="str">
        <f aca="false">IFERROR(INDEX('Semrush Data'!$A$1:$Z$20000,MATCH(A3267,'Semrush Data'!$A$1:$A$20000,0),MATCH("Volume",'Semrush Data'!$A$1:$Z$1,0)),"")</f>
        <v/>
      </c>
      <c r="H3267" s="6" t="str">
        <f aca="false">IFERROR(INDEX('Semrush Data'!$A$1:$Z$20000,MATCH(A3267,'Semrush Data'!$A$1:$A$20000,0),MATCH("Keyword Difficulty*",'Semrush Data'!$A$1:$Z$1,0)),"")</f>
        <v/>
      </c>
      <c r="I3267" s="29" t="str">
        <f aca="false">IFERROR(INDEX('Semrush Data'!$A$1:$Z$20000,MATCH(A3267,'Semrush Data'!$A$1:$A$20000,0),MATCH("CPC*",'Semrush Data'!$A$1:$Z$1,0)),"")</f>
        <v/>
      </c>
      <c r="J3267" s="6" t="str">
        <f aca="false">IFERROR(INDEX('Semrush Data'!$A$1:$Z$20000,MATCH(A3267,'Semrush Data'!$A$1:$A$20000,0),MATCH("Intent",'Semrush Data'!$A$1:$Z$1,0)),"")</f>
        <v/>
      </c>
    </row>
    <row r="3268" customFormat="false" ht="15" hidden="false" customHeight="true" outlineLevel="0" collapsed="false">
      <c r="A3268" s="6" t="s">
        <v>2706</v>
      </c>
      <c r="B3268" s="6" t="s">
        <v>249</v>
      </c>
      <c r="C3268" s="6" t="n">
        <v>3</v>
      </c>
      <c r="D3268" s="6" t="n">
        <v>33</v>
      </c>
      <c r="E3268" s="6" t="n">
        <v>1</v>
      </c>
      <c r="F3268" s="6" t="s">
        <v>2701</v>
      </c>
      <c r="G3268" s="28" t="str">
        <f aca="false">IFERROR(INDEX('Semrush Data'!$A$1:$Z$20000,MATCH(A3268,'Semrush Data'!$A$1:$A$20000,0),MATCH("Volume",'Semrush Data'!$A$1:$Z$1,0)),"")</f>
        <v/>
      </c>
      <c r="H3268" s="6" t="str">
        <f aca="false">IFERROR(INDEX('Semrush Data'!$A$1:$Z$20000,MATCH(A3268,'Semrush Data'!$A$1:$A$20000,0),MATCH("Keyword Difficulty*",'Semrush Data'!$A$1:$Z$1,0)),"")</f>
        <v/>
      </c>
      <c r="I3268" s="29" t="str">
        <f aca="false">IFERROR(INDEX('Semrush Data'!$A$1:$Z$20000,MATCH(A3268,'Semrush Data'!$A$1:$A$20000,0),MATCH("CPC*",'Semrush Data'!$A$1:$Z$1,0)),"")</f>
        <v/>
      </c>
      <c r="J3268" s="6" t="str">
        <f aca="false">IFERROR(INDEX('Semrush Data'!$A$1:$Z$20000,MATCH(A3268,'Semrush Data'!$A$1:$A$20000,0),MATCH("Intent",'Semrush Data'!$A$1:$Z$1,0)),"")</f>
        <v/>
      </c>
    </row>
    <row r="3269" customFormat="false" ht="15" hidden="false" customHeight="true" outlineLevel="0" collapsed="false">
      <c r="A3269" s="6" t="s">
        <v>2717</v>
      </c>
      <c r="B3269" s="6" t="s">
        <v>249</v>
      </c>
      <c r="C3269" s="6" t="n">
        <v>3</v>
      </c>
      <c r="D3269" s="6" t="n">
        <v>33</v>
      </c>
      <c r="E3269" s="6" t="n">
        <v>1</v>
      </c>
      <c r="F3269" s="6" t="s">
        <v>2712</v>
      </c>
      <c r="G3269" s="28" t="str">
        <f aca="false">IFERROR(INDEX('Semrush Data'!$A$1:$Z$20000,MATCH(A3269,'Semrush Data'!$A$1:$A$20000,0),MATCH("Volume",'Semrush Data'!$A$1:$Z$1,0)),"")</f>
        <v/>
      </c>
      <c r="H3269" s="6" t="str">
        <f aca="false">IFERROR(INDEX('Semrush Data'!$A$1:$Z$20000,MATCH(A3269,'Semrush Data'!$A$1:$A$20000,0),MATCH("Keyword Difficulty*",'Semrush Data'!$A$1:$Z$1,0)),"")</f>
        <v/>
      </c>
      <c r="I3269" s="29" t="str">
        <f aca="false">IFERROR(INDEX('Semrush Data'!$A$1:$Z$20000,MATCH(A3269,'Semrush Data'!$A$1:$A$20000,0),MATCH("CPC*",'Semrush Data'!$A$1:$Z$1,0)),"")</f>
        <v/>
      </c>
      <c r="J3269" s="6" t="str">
        <f aca="false">IFERROR(INDEX('Semrush Data'!$A$1:$Z$20000,MATCH(A3269,'Semrush Data'!$A$1:$A$20000,0),MATCH("Intent",'Semrush Data'!$A$1:$Z$1,0)),"")</f>
        <v/>
      </c>
    </row>
    <row r="3270" customFormat="false" ht="15" hidden="false" customHeight="true" outlineLevel="0" collapsed="false">
      <c r="A3270" s="6" t="s">
        <v>2728</v>
      </c>
      <c r="B3270" s="6" t="s">
        <v>249</v>
      </c>
      <c r="C3270" s="6" t="n">
        <v>3</v>
      </c>
      <c r="D3270" s="6" t="n">
        <v>33</v>
      </c>
      <c r="E3270" s="6" t="n">
        <v>1</v>
      </c>
      <c r="F3270" s="6" t="s">
        <v>2723</v>
      </c>
      <c r="G3270" s="28" t="str">
        <f aca="false">IFERROR(INDEX('Semrush Data'!$A$1:$Z$20000,MATCH(A3270,'Semrush Data'!$A$1:$A$20000,0),MATCH("Volume",'Semrush Data'!$A$1:$Z$1,0)),"")</f>
        <v/>
      </c>
      <c r="H3270" s="6" t="str">
        <f aca="false">IFERROR(INDEX('Semrush Data'!$A$1:$Z$20000,MATCH(A3270,'Semrush Data'!$A$1:$A$20000,0),MATCH("Keyword Difficulty*",'Semrush Data'!$A$1:$Z$1,0)),"")</f>
        <v/>
      </c>
      <c r="I3270" s="29" t="str">
        <f aca="false">IFERROR(INDEX('Semrush Data'!$A$1:$Z$20000,MATCH(A3270,'Semrush Data'!$A$1:$A$20000,0),MATCH("CPC*",'Semrush Data'!$A$1:$Z$1,0)),"")</f>
        <v/>
      </c>
      <c r="J3270" s="6" t="str">
        <f aca="false">IFERROR(INDEX('Semrush Data'!$A$1:$Z$20000,MATCH(A3270,'Semrush Data'!$A$1:$A$20000,0),MATCH("Intent",'Semrush Data'!$A$1:$Z$1,0)),"")</f>
        <v/>
      </c>
    </row>
    <row r="3271" customFormat="false" ht="15" hidden="false" customHeight="true" outlineLevel="0" collapsed="false">
      <c r="A3271" s="6" t="s">
        <v>2695</v>
      </c>
      <c r="B3271" s="6" t="s">
        <v>249</v>
      </c>
      <c r="C3271" s="6" t="n">
        <v>3</v>
      </c>
      <c r="D3271" s="6" t="n">
        <v>33</v>
      </c>
      <c r="E3271" s="6" t="n">
        <v>1</v>
      </c>
      <c r="F3271" s="6" t="s">
        <v>95</v>
      </c>
      <c r="G3271" s="28" t="str">
        <f aca="false">IFERROR(INDEX('Semrush Data'!$A$1:$Z$20000,MATCH(A3271,'Semrush Data'!$A$1:$A$20000,0),MATCH("Volume",'Semrush Data'!$A$1:$Z$1,0)),"")</f>
        <v/>
      </c>
      <c r="H3271" s="6" t="str">
        <f aca="false">IFERROR(INDEX('Semrush Data'!$A$1:$Z$20000,MATCH(A3271,'Semrush Data'!$A$1:$A$20000,0),MATCH("Keyword Difficulty*",'Semrush Data'!$A$1:$Z$1,0)),"")</f>
        <v/>
      </c>
      <c r="I3271" s="29" t="str">
        <f aca="false">IFERROR(INDEX('Semrush Data'!$A$1:$Z$20000,MATCH(A3271,'Semrush Data'!$A$1:$A$20000,0),MATCH("CPC*",'Semrush Data'!$A$1:$Z$1,0)),"")</f>
        <v/>
      </c>
      <c r="J3271" s="6" t="str">
        <f aca="false">IFERROR(INDEX('Semrush Data'!$A$1:$Z$20000,MATCH(A3271,'Semrush Data'!$A$1:$A$20000,0),MATCH("Intent",'Semrush Data'!$A$1:$Z$1,0)),"")</f>
        <v/>
      </c>
    </row>
    <row r="3272" customFormat="false" ht="15" hidden="false" customHeight="true" outlineLevel="0" collapsed="false">
      <c r="A3272" s="6" t="s">
        <v>2753</v>
      </c>
      <c r="B3272" s="6" t="s">
        <v>249</v>
      </c>
      <c r="C3272" s="6" t="n">
        <v>3</v>
      </c>
      <c r="D3272" s="6" t="n">
        <v>33</v>
      </c>
      <c r="E3272" s="6" t="n">
        <v>3</v>
      </c>
      <c r="F3272" s="6" t="s">
        <v>6836</v>
      </c>
      <c r="G3272" s="28" t="str">
        <f aca="false">IFERROR(INDEX('Semrush Data'!$A$1:$Z$20000,MATCH(A3272,'Semrush Data'!$A$1:$A$20000,0),MATCH("Volume",'Semrush Data'!$A$1:$Z$1,0)),"")</f>
        <v/>
      </c>
      <c r="H3272" s="6" t="str">
        <f aca="false">IFERROR(INDEX('Semrush Data'!$A$1:$Z$20000,MATCH(A3272,'Semrush Data'!$A$1:$A$20000,0),MATCH("Keyword Difficulty*",'Semrush Data'!$A$1:$Z$1,0)),"")</f>
        <v/>
      </c>
      <c r="I3272" s="29" t="str">
        <f aca="false">IFERROR(INDEX('Semrush Data'!$A$1:$Z$20000,MATCH(A3272,'Semrush Data'!$A$1:$A$20000,0),MATCH("CPC*",'Semrush Data'!$A$1:$Z$1,0)),"")</f>
        <v/>
      </c>
      <c r="J3272" s="6" t="str">
        <f aca="false">IFERROR(INDEX('Semrush Data'!$A$1:$Z$20000,MATCH(A3272,'Semrush Data'!$A$1:$A$20000,0),MATCH("Intent",'Semrush Data'!$A$1:$Z$1,0)),"")</f>
        <v/>
      </c>
    </row>
    <row r="3273" customFormat="false" ht="15" hidden="false" customHeight="true" outlineLevel="0" collapsed="false">
      <c r="A3273" s="6" t="s">
        <v>2767</v>
      </c>
      <c r="B3273" s="6" t="s">
        <v>249</v>
      </c>
      <c r="C3273" s="6" t="n">
        <v>3</v>
      </c>
      <c r="D3273" s="6" t="n">
        <v>33</v>
      </c>
      <c r="E3273" s="6" t="n">
        <v>3</v>
      </c>
      <c r="F3273" s="6" t="s">
        <v>6837</v>
      </c>
      <c r="G3273" s="28" t="str">
        <f aca="false">IFERROR(INDEX('Semrush Data'!$A$1:$Z$20000,MATCH(A3273,'Semrush Data'!$A$1:$A$20000,0),MATCH("Volume",'Semrush Data'!$A$1:$Z$1,0)),"")</f>
        <v/>
      </c>
      <c r="H3273" s="6" t="str">
        <f aca="false">IFERROR(INDEX('Semrush Data'!$A$1:$Z$20000,MATCH(A3273,'Semrush Data'!$A$1:$A$20000,0),MATCH("Keyword Difficulty*",'Semrush Data'!$A$1:$Z$1,0)),"")</f>
        <v/>
      </c>
      <c r="I3273" s="29" t="str">
        <f aca="false">IFERROR(INDEX('Semrush Data'!$A$1:$Z$20000,MATCH(A3273,'Semrush Data'!$A$1:$A$20000,0),MATCH("CPC*",'Semrush Data'!$A$1:$Z$1,0)),"")</f>
        <v/>
      </c>
      <c r="J3273" s="6" t="str">
        <f aca="false">IFERROR(INDEX('Semrush Data'!$A$1:$Z$20000,MATCH(A3273,'Semrush Data'!$A$1:$A$20000,0),MATCH("Intent",'Semrush Data'!$A$1:$Z$1,0)),"")</f>
        <v/>
      </c>
    </row>
    <row r="3274" customFormat="false" ht="15" hidden="false" customHeight="true" outlineLevel="0" collapsed="false">
      <c r="A3274" s="6" t="s">
        <v>2780</v>
      </c>
      <c r="B3274" s="6" t="s">
        <v>249</v>
      </c>
      <c r="C3274" s="6" t="n">
        <v>3</v>
      </c>
      <c r="D3274" s="6" t="n">
        <v>33</v>
      </c>
      <c r="E3274" s="6" t="n">
        <v>3</v>
      </c>
      <c r="F3274" s="6" t="s">
        <v>6838</v>
      </c>
      <c r="G3274" s="28" t="str">
        <f aca="false">IFERROR(INDEX('Semrush Data'!$A$1:$Z$20000,MATCH(A3274,'Semrush Data'!$A$1:$A$20000,0),MATCH("Volume",'Semrush Data'!$A$1:$Z$1,0)),"")</f>
        <v/>
      </c>
      <c r="H3274" s="6" t="str">
        <f aca="false">IFERROR(INDEX('Semrush Data'!$A$1:$Z$20000,MATCH(A3274,'Semrush Data'!$A$1:$A$20000,0),MATCH("Keyword Difficulty*",'Semrush Data'!$A$1:$Z$1,0)),"")</f>
        <v/>
      </c>
      <c r="I3274" s="29" t="str">
        <f aca="false">IFERROR(INDEX('Semrush Data'!$A$1:$Z$20000,MATCH(A3274,'Semrush Data'!$A$1:$A$20000,0),MATCH("CPC*",'Semrush Data'!$A$1:$Z$1,0)),"")</f>
        <v/>
      </c>
      <c r="J3274" s="6" t="str">
        <f aca="false">IFERROR(INDEX('Semrush Data'!$A$1:$Z$20000,MATCH(A3274,'Semrush Data'!$A$1:$A$20000,0),MATCH("Intent",'Semrush Data'!$A$1:$Z$1,0)),"")</f>
        <v/>
      </c>
    </row>
    <row r="3275" customFormat="false" ht="15" hidden="false" customHeight="true" outlineLevel="0" collapsed="false">
      <c r="A3275" s="6" t="s">
        <v>2792</v>
      </c>
      <c r="B3275" s="6" t="s">
        <v>249</v>
      </c>
      <c r="C3275" s="6" t="n">
        <v>3</v>
      </c>
      <c r="D3275" s="6" t="n">
        <v>33</v>
      </c>
      <c r="E3275" s="6" t="n">
        <v>3</v>
      </c>
      <c r="F3275" s="6" t="s">
        <v>6839</v>
      </c>
      <c r="G3275" s="28" t="str">
        <f aca="false">IFERROR(INDEX('Semrush Data'!$A$1:$Z$20000,MATCH(A3275,'Semrush Data'!$A$1:$A$20000,0),MATCH("Volume",'Semrush Data'!$A$1:$Z$1,0)),"")</f>
        <v/>
      </c>
      <c r="H3275" s="6" t="str">
        <f aca="false">IFERROR(INDEX('Semrush Data'!$A$1:$Z$20000,MATCH(A3275,'Semrush Data'!$A$1:$A$20000,0),MATCH("Keyword Difficulty*",'Semrush Data'!$A$1:$Z$1,0)),"")</f>
        <v/>
      </c>
      <c r="I3275" s="29" t="str">
        <f aca="false">IFERROR(INDEX('Semrush Data'!$A$1:$Z$20000,MATCH(A3275,'Semrush Data'!$A$1:$A$20000,0),MATCH("CPC*",'Semrush Data'!$A$1:$Z$1,0)),"")</f>
        <v/>
      </c>
      <c r="J3275" s="6" t="str">
        <f aca="false">IFERROR(INDEX('Semrush Data'!$A$1:$Z$20000,MATCH(A3275,'Semrush Data'!$A$1:$A$20000,0),MATCH("Intent",'Semrush Data'!$A$1:$Z$1,0)),"")</f>
        <v/>
      </c>
    </row>
    <row r="3276" customFormat="false" ht="15" hidden="false" customHeight="true" outlineLevel="0" collapsed="false">
      <c r="A3276" s="6" t="s">
        <v>2805</v>
      </c>
      <c r="B3276" s="6" t="s">
        <v>249</v>
      </c>
      <c r="C3276" s="6" t="n">
        <v>3</v>
      </c>
      <c r="D3276" s="6" t="n">
        <v>33</v>
      </c>
      <c r="E3276" s="6" t="n">
        <v>4</v>
      </c>
      <c r="F3276" s="6" t="s">
        <v>6840</v>
      </c>
      <c r="G3276" s="28" t="str">
        <f aca="false">IFERROR(INDEX('Semrush Data'!$A$1:$Z$20000,MATCH(A3276,'Semrush Data'!$A$1:$A$20000,0),MATCH("Volume",'Semrush Data'!$A$1:$Z$1,0)),"")</f>
        <v/>
      </c>
      <c r="H3276" s="6" t="str">
        <f aca="false">IFERROR(INDEX('Semrush Data'!$A$1:$Z$20000,MATCH(A3276,'Semrush Data'!$A$1:$A$20000,0),MATCH("Keyword Difficulty*",'Semrush Data'!$A$1:$Z$1,0)),"")</f>
        <v/>
      </c>
      <c r="I3276" s="29" t="str">
        <f aca="false">IFERROR(INDEX('Semrush Data'!$A$1:$Z$20000,MATCH(A3276,'Semrush Data'!$A$1:$A$20000,0),MATCH("CPC*",'Semrush Data'!$A$1:$Z$1,0)),"")</f>
        <v/>
      </c>
      <c r="J3276" s="6" t="str">
        <f aca="false">IFERROR(INDEX('Semrush Data'!$A$1:$Z$20000,MATCH(A3276,'Semrush Data'!$A$1:$A$20000,0),MATCH("Intent",'Semrush Data'!$A$1:$Z$1,0)),"")</f>
        <v/>
      </c>
    </row>
    <row r="3277" customFormat="false" ht="15" hidden="false" customHeight="true" outlineLevel="0" collapsed="false">
      <c r="A3277" s="6" t="s">
        <v>2822</v>
      </c>
      <c r="B3277" s="6" t="s">
        <v>249</v>
      </c>
      <c r="C3277" s="6" t="n">
        <v>3</v>
      </c>
      <c r="D3277" s="6" t="n">
        <v>33</v>
      </c>
      <c r="E3277" s="6" t="n">
        <v>1</v>
      </c>
      <c r="F3277" s="6" t="s">
        <v>139</v>
      </c>
      <c r="G3277" s="28" t="str">
        <f aca="false">IFERROR(INDEX('Semrush Data'!$A$1:$Z$20000,MATCH(A3277,'Semrush Data'!$A$1:$A$20000,0),MATCH("Volume",'Semrush Data'!$A$1:$Z$1,0)),"")</f>
        <v/>
      </c>
      <c r="H3277" s="6" t="str">
        <f aca="false">IFERROR(INDEX('Semrush Data'!$A$1:$Z$20000,MATCH(A3277,'Semrush Data'!$A$1:$A$20000,0),MATCH("Keyword Difficulty*",'Semrush Data'!$A$1:$Z$1,0)),"")</f>
        <v/>
      </c>
      <c r="I3277" s="29" t="str">
        <f aca="false">IFERROR(INDEX('Semrush Data'!$A$1:$Z$20000,MATCH(A3277,'Semrush Data'!$A$1:$A$20000,0),MATCH("CPC*",'Semrush Data'!$A$1:$Z$1,0)),"")</f>
        <v/>
      </c>
      <c r="J3277" s="6" t="str">
        <f aca="false">IFERROR(INDEX('Semrush Data'!$A$1:$Z$20000,MATCH(A3277,'Semrush Data'!$A$1:$A$20000,0),MATCH("Intent",'Semrush Data'!$A$1:$Z$1,0)),"")</f>
        <v/>
      </c>
    </row>
    <row r="3278" customFormat="false" ht="15" hidden="false" customHeight="true" outlineLevel="0" collapsed="false">
      <c r="A3278" s="6" t="s">
        <v>2837</v>
      </c>
      <c r="B3278" s="6" t="s">
        <v>249</v>
      </c>
      <c r="C3278" s="6" t="n">
        <v>3</v>
      </c>
      <c r="D3278" s="6" t="n">
        <v>33</v>
      </c>
      <c r="E3278" s="6" t="n">
        <v>1</v>
      </c>
      <c r="F3278" s="6" t="s">
        <v>2829</v>
      </c>
      <c r="G3278" s="28" t="str">
        <f aca="false">IFERROR(INDEX('Semrush Data'!$A$1:$Z$20000,MATCH(A3278,'Semrush Data'!$A$1:$A$20000,0),MATCH("Volume",'Semrush Data'!$A$1:$Z$1,0)),"")</f>
        <v/>
      </c>
      <c r="H3278" s="6" t="str">
        <f aca="false">IFERROR(INDEX('Semrush Data'!$A$1:$Z$20000,MATCH(A3278,'Semrush Data'!$A$1:$A$20000,0),MATCH("Keyword Difficulty*",'Semrush Data'!$A$1:$Z$1,0)),"")</f>
        <v/>
      </c>
      <c r="I3278" s="29" t="str">
        <f aca="false">IFERROR(INDEX('Semrush Data'!$A$1:$Z$20000,MATCH(A3278,'Semrush Data'!$A$1:$A$20000,0),MATCH("CPC*",'Semrush Data'!$A$1:$Z$1,0)),"")</f>
        <v/>
      </c>
      <c r="J3278" s="6" t="str">
        <f aca="false">IFERROR(INDEX('Semrush Data'!$A$1:$Z$20000,MATCH(A3278,'Semrush Data'!$A$1:$A$20000,0),MATCH("Intent",'Semrush Data'!$A$1:$Z$1,0)),"")</f>
        <v/>
      </c>
    </row>
    <row r="3279" customFormat="false" ht="15" hidden="false" customHeight="true" outlineLevel="0" collapsed="false">
      <c r="A3279" s="6" t="s">
        <v>2848</v>
      </c>
      <c r="B3279" s="6" t="s">
        <v>249</v>
      </c>
      <c r="C3279" s="6" t="n">
        <v>3</v>
      </c>
      <c r="D3279" s="6" t="n">
        <v>33</v>
      </c>
      <c r="E3279" s="6" t="n">
        <v>1</v>
      </c>
      <c r="F3279" s="6" t="s">
        <v>2843</v>
      </c>
      <c r="G3279" s="28" t="str">
        <f aca="false">IFERROR(INDEX('Semrush Data'!$A$1:$Z$20000,MATCH(A3279,'Semrush Data'!$A$1:$A$20000,0),MATCH("Volume",'Semrush Data'!$A$1:$Z$1,0)),"")</f>
        <v/>
      </c>
      <c r="H3279" s="6" t="str">
        <f aca="false">IFERROR(INDEX('Semrush Data'!$A$1:$Z$20000,MATCH(A3279,'Semrush Data'!$A$1:$A$20000,0),MATCH("Keyword Difficulty*",'Semrush Data'!$A$1:$Z$1,0)),"")</f>
        <v/>
      </c>
      <c r="I3279" s="29" t="str">
        <f aca="false">IFERROR(INDEX('Semrush Data'!$A$1:$Z$20000,MATCH(A3279,'Semrush Data'!$A$1:$A$20000,0),MATCH("CPC*",'Semrush Data'!$A$1:$Z$1,0)),"")</f>
        <v/>
      </c>
      <c r="J3279" s="6" t="str">
        <f aca="false">IFERROR(INDEX('Semrush Data'!$A$1:$Z$20000,MATCH(A3279,'Semrush Data'!$A$1:$A$20000,0),MATCH("Intent",'Semrush Data'!$A$1:$Z$1,0)),"")</f>
        <v/>
      </c>
    </row>
    <row r="3280" customFormat="false" ht="15" hidden="false" customHeight="true" outlineLevel="0" collapsed="false">
      <c r="A3280" s="6" t="s">
        <v>2859</v>
      </c>
      <c r="B3280" s="6" t="s">
        <v>249</v>
      </c>
      <c r="C3280" s="6" t="n">
        <v>3</v>
      </c>
      <c r="D3280" s="6" t="n">
        <v>33</v>
      </c>
      <c r="E3280" s="6" t="n">
        <v>1</v>
      </c>
      <c r="F3280" s="6" t="s">
        <v>2854</v>
      </c>
      <c r="G3280" s="28" t="str">
        <f aca="false">IFERROR(INDEX('Semrush Data'!$A$1:$Z$20000,MATCH(A3280,'Semrush Data'!$A$1:$A$20000,0),MATCH("Volume",'Semrush Data'!$A$1:$Z$1,0)),"")</f>
        <v/>
      </c>
      <c r="H3280" s="6" t="str">
        <f aca="false">IFERROR(INDEX('Semrush Data'!$A$1:$Z$20000,MATCH(A3280,'Semrush Data'!$A$1:$A$20000,0),MATCH("Keyword Difficulty*",'Semrush Data'!$A$1:$Z$1,0)),"")</f>
        <v/>
      </c>
      <c r="I3280" s="29" t="str">
        <f aca="false">IFERROR(INDEX('Semrush Data'!$A$1:$Z$20000,MATCH(A3280,'Semrush Data'!$A$1:$A$20000,0),MATCH("CPC*",'Semrush Data'!$A$1:$Z$1,0)),"")</f>
        <v/>
      </c>
      <c r="J3280" s="6" t="str">
        <f aca="false">IFERROR(INDEX('Semrush Data'!$A$1:$Z$20000,MATCH(A3280,'Semrush Data'!$A$1:$A$20000,0),MATCH("Intent",'Semrush Data'!$A$1:$Z$1,0)),"")</f>
        <v/>
      </c>
    </row>
    <row r="3281" customFormat="false" ht="15" hidden="false" customHeight="true" outlineLevel="0" collapsed="false">
      <c r="A3281" s="6" t="s">
        <v>2872</v>
      </c>
      <c r="B3281" s="6" t="s">
        <v>249</v>
      </c>
      <c r="C3281" s="6" t="n">
        <v>3</v>
      </c>
      <c r="D3281" s="6" t="n">
        <v>33</v>
      </c>
      <c r="E3281" s="6" t="n">
        <v>1</v>
      </c>
      <c r="F3281" s="6" t="s">
        <v>2866</v>
      </c>
      <c r="G3281" s="28" t="str">
        <f aca="false">IFERROR(INDEX('Semrush Data'!$A$1:$Z$20000,MATCH(A3281,'Semrush Data'!$A$1:$A$20000,0),MATCH("Volume",'Semrush Data'!$A$1:$Z$1,0)),"")</f>
        <v/>
      </c>
      <c r="H3281" s="6" t="str">
        <f aca="false">IFERROR(INDEX('Semrush Data'!$A$1:$Z$20000,MATCH(A3281,'Semrush Data'!$A$1:$A$20000,0),MATCH("Keyword Difficulty*",'Semrush Data'!$A$1:$Z$1,0)),"")</f>
        <v/>
      </c>
      <c r="I3281" s="29" t="str">
        <f aca="false">IFERROR(INDEX('Semrush Data'!$A$1:$Z$20000,MATCH(A3281,'Semrush Data'!$A$1:$A$20000,0),MATCH("CPC*",'Semrush Data'!$A$1:$Z$1,0)),"")</f>
        <v/>
      </c>
      <c r="J3281" s="6" t="str">
        <f aca="false">IFERROR(INDEX('Semrush Data'!$A$1:$Z$20000,MATCH(A3281,'Semrush Data'!$A$1:$A$20000,0),MATCH("Intent",'Semrush Data'!$A$1:$Z$1,0)),"")</f>
        <v/>
      </c>
    </row>
    <row r="3282" customFormat="false" ht="15" hidden="false" customHeight="true" outlineLevel="0" collapsed="false">
      <c r="A3282" s="6" t="s">
        <v>2884</v>
      </c>
      <c r="B3282" s="6" t="s">
        <v>249</v>
      </c>
      <c r="C3282" s="6" t="n">
        <v>3</v>
      </c>
      <c r="D3282" s="6" t="n">
        <v>33</v>
      </c>
      <c r="E3282" s="6" t="n">
        <v>1</v>
      </c>
      <c r="F3282" s="6" t="s">
        <v>2879</v>
      </c>
      <c r="G3282" s="28" t="str">
        <f aca="false">IFERROR(INDEX('Semrush Data'!$A$1:$Z$20000,MATCH(A3282,'Semrush Data'!$A$1:$A$20000,0),MATCH("Volume",'Semrush Data'!$A$1:$Z$1,0)),"")</f>
        <v/>
      </c>
      <c r="H3282" s="6" t="str">
        <f aca="false">IFERROR(INDEX('Semrush Data'!$A$1:$Z$20000,MATCH(A3282,'Semrush Data'!$A$1:$A$20000,0),MATCH("Keyword Difficulty*",'Semrush Data'!$A$1:$Z$1,0)),"")</f>
        <v/>
      </c>
      <c r="I3282" s="29" t="str">
        <f aca="false">IFERROR(INDEX('Semrush Data'!$A$1:$Z$20000,MATCH(A3282,'Semrush Data'!$A$1:$A$20000,0),MATCH("CPC*",'Semrush Data'!$A$1:$Z$1,0)),"")</f>
        <v/>
      </c>
      <c r="J3282" s="6" t="str">
        <f aca="false">IFERROR(INDEX('Semrush Data'!$A$1:$Z$20000,MATCH(A3282,'Semrush Data'!$A$1:$A$20000,0),MATCH("Intent",'Semrush Data'!$A$1:$Z$1,0)),"")</f>
        <v/>
      </c>
    </row>
    <row r="3283" customFormat="false" ht="15" hidden="false" customHeight="true" outlineLevel="0" collapsed="false">
      <c r="A3283" s="6" t="s">
        <v>2896</v>
      </c>
      <c r="B3283" s="6" t="s">
        <v>249</v>
      </c>
      <c r="C3283" s="6" t="n">
        <v>3</v>
      </c>
      <c r="D3283" s="6" t="n">
        <v>33</v>
      </c>
      <c r="E3283" s="6" t="n">
        <v>1</v>
      </c>
      <c r="F3283" s="6" t="s">
        <v>2890</v>
      </c>
      <c r="G3283" s="28" t="str">
        <f aca="false">IFERROR(INDEX('Semrush Data'!$A$1:$Z$20000,MATCH(A3283,'Semrush Data'!$A$1:$A$20000,0),MATCH("Volume",'Semrush Data'!$A$1:$Z$1,0)),"")</f>
        <v/>
      </c>
      <c r="H3283" s="6" t="str">
        <f aca="false">IFERROR(INDEX('Semrush Data'!$A$1:$Z$20000,MATCH(A3283,'Semrush Data'!$A$1:$A$20000,0),MATCH("Keyword Difficulty*",'Semrush Data'!$A$1:$Z$1,0)),"")</f>
        <v/>
      </c>
      <c r="I3283" s="29" t="str">
        <f aca="false">IFERROR(INDEX('Semrush Data'!$A$1:$Z$20000,MATCH(A3283,'Semrush Data'!$A$1:$A$20000,0),MATCH("CPC*",'Semrush Data'!$A$1:$Z$1,0)),"")</f>
        <v/>
      </c>
      <c r="J3283" s="6" t="str">
        <f aca="false">IFERROR(INDEX('Semrush Data'!$A$1:$Z$20000,MATCH(A3283,'Semrush Data'!$A$1:$A$20000,0),MATCH("Intent",'Semrush Data'!$A$1:$Z$1,0)),"")</f>
        <v/>
      </c>
    </row>
    <row r="3284" customFormat="false" ht="15" hidden="false" customHeight="true" outlineLevel="0" collapsed="false">
      <c r="A3284" s="6" t="s">
        <v>2909</v>
      </c>
      <c r="B3284" s="6" t="s">
        <v>249</v>
      </c>
      <c r="C3284" s="6" t="n">
        <v>3</v>
      </c>
      <c r="D3284" s="6" t="n">
        <v>33</v>
      </c>
      <c r="E3284" s="6" t="n">
        <v>1</v>
      </c>
      <c r="F3284" s="6" t="s">
        <v>2903</v>
      </c>
      <c r="G3284" s="28" t="str">
        <f aca="false">IFERROR(INDEX('Semrush Data'!$A$1:$Z$20000,MATCH(A3284,'Semrush Data'!$A$1:$A$20000,0),MATCH("Volume",'Semrush Data'!$A$1:$Z$1,0)),"")</f>
        <v/>
      </c>
      <c r="H3284" s="6" t="str">
        <f aca="false">IFERROR(INDEX('Semrush Data'!$A$1:$Z$20000,MATCH(A3284,'Semrush Data'!$A$1:$A$20000,0),MATCH("Keyword Difficulty*",'Semrush Data'!$A$1:$Z$1,0)),"")</f>
        <v/>
      </c>
      <c r="I3284" s="29" t="str">
        <f aca="false">IFERROR(INDEX('Semrush Data'!$A$1:$Z$20000,MATCH(A3284,'Semrush Data'!$A$1:$A$20000,0),MATCH("CPC*",'Semrush Data'!$A$1:$Z$1,0)),"")</f>
        <v/>
      </c>
      <c r="J3284" s="6" t="str">
        <f aca="false">IFERROR(INDEX('Semrush Data'!$A$1:$Z$20000,MATCH(A3284,'Semrush Data'!$A$1:$A$20000,0),MATCH("Intent",'Semrush Data'!$A$1:$Z$1,0)),"")</f>
        <v/>
      </c>
    </row>
    <row r="3285" customFormat="false" ht="15" hidden="false" customHeight="true" outlineLevel="0" collapsed="false">
      <c r="A3285" s="6" t="s">
        <v>2922</v>
      </c>
      <c r="B3285" s="6" t="s">
        <v>249</v>
      </c>
      <c r="C3285" s="6" t="n">
        <v>3</v>
      </c>
      <c r="D3285" s="6" t="n">
        <v>33</v>
      </c>
      <c r="E3285" s="6" t="n">
        <v>1</v>
      </c>
      <c r="F3285" s="6" t="s">
        <v>2916</v>
      </c>
      <c r="G3285" s="28" t="str">
        <f aca="false">IFERROR(INDEX('Semrush Data'!$A$1:$Z$20000,MATCH(A3285,'Semrush Data'!$A$1:$A$20000,0),MATCH("Volume",'Semrush Data'!$A$1:$Z$1,0)),"")</f>
        <v/>
      </c>
      <c r="H3285" s="6" t="str">
        <f aca="false">IFERROR(INDEX('Semrush Data'!$A$1:$Z$20000,MATCH(A3285,'Semrush Data'!$A$1:$A$20000,0),MATCH("Keyword Difficulty*",'Semrush Data'!$A$1:$Z$1,0)),"")</f>
        <v/>
      </c>
      <c r="I3285" s="29" t="str">
        <f aca="false">IFERROR(INDEX('Semrush Data'!$A$1:$Z$20000,MATCH(A3285,'Semrush Data'!$A$1:$A$20000,0),MATCH("CPC*",'Semrush Data'!$A$1:$Z$1,0)),"")</f>
        <v/>
      </c>
      <c r="J3285" s="6" t="str">
        <f aca="false">IFERROR(INDEX('Semrush Data'!$A$1:$Z$20000,MATCH(A3285,'Semrush Data'!$A$1:$A$20000,0),MATCH("Intent",'Semrush Data'!$A$1:$Z$1,0)),"")</f>
        <v/>
      </c>
    </row>
    <row r="3286" customFormat="false" ht="15" hidden="false" customHeight="true" outlineLevel="0" collapsed="false">
      <c r="A3286" s="6" t="s">
        <v>2960</v>
      </c>
      <c r="B3286" s="6" t="s">
        <v>249</v>
      </c>
      <c r="C3286" s="6" t="n">
        <v>3</v>
      </c>
      <c r="D3286" s="6" t="n">
        <v>33</v>
      </c>
      <c r="E3286" s="6" t="n">
        <v>1</v>
      </c>
      <c r="F3286" s="6" t="s">
        <v>2955</v>
      </c>
      <c r="G3286" s="28" t="str">
        <f aca="false">IFERROR(INDEX('Semrush Data'!$A$1:$Z$20000,MATCH(A3286,'Semrush Data'!$A$1:$A$20000,0),MATCH("Volume",'Semrush Data'!$A$1:$Z$1,0)),"")</f>
        <v/>
      </c>
      <c r="H3286" s="6" t="str">
        <f aca="false">IFERROR(INDEX('Semrush Data'!$A$1:$Z$20000,MATCH(A3286,'Semrush Data'!$A$1:$A$20000,0),MATCH("Keyword Difficulty*",'Semrush Data'!$A$1:$Z$1,0)),"")</f>
        <v/>
      </c>
      <c r="I3286" s="29" t="str">
        <f aca="false">IFERROR(INDEX('Semrush Data'!$A$1:$Z$20000,MATCH(A3286,'Semrush Data'!$A$1:$A$20000,0),MATCH("CPC*",'Semrush Data'!$A$1:$Z$1,0)),"")</f>
        <v/>
      </c>
      <c r="J3286" s="6" t="str">
        <f aca="false">IFERROR(INDEX('Semrush Data'!$A$1:$Z$20000,MATCH(A3286,'Semrush Data'!$A$1:$A$20000,0),MATCH("Intent",'Semrush Data'!$A$1:$Z$1,0)),"")</f>
        <v/>
      </c>
    </row>
    <row r="3287" customFormat="false" ht="15" hidden="false" customHeight="true" outlineLevel="0" collapsed="false">
      <c r="A3287" s="6" t="s">
        <v>269</v>
      </c>
      <c r="B3287" s="6" t="s">
        <v>249</v>
      </c>
      <c r="C3287" s="6" t="n">
        <v>3</v>
      </c>
      <c r="D3287" s="6" t="s">
        <v>6870</v>
      </c>
      <c r="E3287" s="6" t="n">
        <v>1</v>
      </c>
      <c r="F3287" s="6" t="s">
        <v>87</v>
      </c>
      <c r="G3287" s="28" t="n">
        <f aca="false">IFERROR(INDEX('Semrush Data'!$A$1:$Z$20000,MATCH(A3287,'Semrush Data'!$A$1:$A$20000,0),MATCH("Volume",'Semrush Data'!$A$1:$Z$1,0)),"")</f>
        <v>40</v>
      </c>
      <c r="H3287" s="6" t="n">
        <f aca="false">IFERROR(INDEX('Semrush Data'!$A$1:$Z$20000,MATCH(A3287,'Semrush Data'!$A$1:$A$20000,0),MATCH("Keyword Difficulty*",'Semrush Data'!$A$1:$Z$1,0)),"")</f>
        <v>12</v>
      </c>
      <c r="I3287" s="29" t="n">
        <f aca="false">IFERROR(INDEX('Semrush Data'!$A$1:$Z$20000,MATCH(A3287,'Semrush Data'!$A$1:$A$20000,0),MATCH("CPC*",'Semrush Data'!$A$1:$Z$1,0)),"")</f>
        <v>0.46</v>
      </c>
      <c r="J3287" s="6" t="str">
        <f aca="false">IFERROR(INDEX('Semrush Data'!$A$1:$Z$20000,MATCH(A3287,'Semrush Data'!$A$1:$A$20000,0),MATCH("Intent",'Semrush Data'!$A$1:$Z$1,0)),"")</f>
        <v>Transactional</v>
      </c>
    </row>
    <row r="3288" customFormat="false" ht="15" hidden="false" customHeight="true" outlineLevel="0" collapsed="false">
      <c r="A3288" s="6" t="s">
        <v>2982</v>
      </c>
      <c r="B3288" s="6" t="s">
        <v>249</v>
      </c>
      <c r="C3288" s="6" t="n">
        <v>3</v>
      </c>
      <c r="D3288" s="6" t="n">
        <v>33</v>
      </c>
      <c r="E3288" s="6" t="n">
        <v>2</v>
      </c>
      <c r="F3288" s="6" t="s">
        <v>6841</v>
      </c>
      <c r="G3288" s="28" t="str">
        <f aca="false">IFERROR(INDEX('Semrush Data'!$A$1:$Z$20000,MATCH(A3288,'Semrush Data'!$A$1:$A$20000,0),MATCH("Volume",'Semrush Data'!$A$1:$Z$1,0)),"")</f>
        <v/>
      </c>
      <c r="H3288" s="6" t="str">
        <f aca="false">IFERROR(INDEX('Semrush Data'!$A$1:$Z$20000,MATCH(A3288,'Semrush Data'!$A$1:$A$20000,0),MATCH("Keyword Difficulty*",'Semrush Data'!$A$1:$Z$1,0)),"")</f>
        <v/>
      </c>
      <c r="I3288" s="29" t="str">
        <f aca="false">IFERROR(INDEX('Semrush Data'!$A$1:$Z$20000,MATCH(A3288,'Semrush Data'!$A$1:$A$20000,0),MATCH("CPC*",'Semrush Data'!$A$1:$Z$1,0)),"")</f>
        <v/>
      </c>
      <c r="J3288" s="6" t="str">
        <f aca="false">IFERROR(INDEX('Semrush Data'!$A$1:$Z$20000,MATCH(A3288,'Semrush Data'!$A$1:$A$20000,0),MATCH("Intent",'Semrush Data'!$A$1:$Z$1,0)),"")</f>
        <v/>
      </c>
    </row>
    <row r="3289" customFormat="false" ht="15" hidden="false" customHeight="true" outlineLevel="0" collapsed="false">
      <c r="A3289" s="6" t="s">
        <v>2938</v>
      </c>
      <c r="B3289" s="6" t="s">
        <v>249</v>
      </c>
      <c r="C3289" s="6" t="n">
        <v>3</v>
      </c>
      <c r="D3289" s="6" t="n">
        <v>33</v>
      </c>
      <c r="E3289" s="6" t="n">
        <v>1</v>
      </c>
      <c r="F3289" s="6" t="s">
        <v>2929</v>
      </c>
      <c r="G3289" s="28" t="str">
        <f aca="false">IFERROR(INDEX('Semrush Data'!$A$1:$Z$20000,MATCH(A3289,'Semrush Data'!$A$1:$A$20000,0),MATCH("Volume",'Semrush Data'!$A$1:$Z$1,0)),"")</f>
        <v/>
      </c>
      <c r="H3289" s="6" t="str">
        <f aca="false">IFERROR(INDEX('Semrush Data'!$A$1:$Z$20000,MATCH(A3289,'Semrush Data'!$A$1:$A$20000,0),MATCH("Keyword Difficulty*",'Semrush Data'!$A$1:$Z$1,0)),"")</f>
        <v/>
      </c>
      <c r="I3289" s="29" t="str">
        <f aca="false">IFERROR(INDEX('Semrush Data'!$A$1:$Z$20000,MATCH(A3289,'Semrush Data'!$A$1:$A$20000,0),MATCH("CPC*",'Semrush Data'!$A$1:$Z$1,0)),"")</f>
        <v/>
      </c>
      <c r="J3289" s="6" t="str">
        <f aca="false">IFERROR(INDEX('Semrush Data'!$A$1:$Z$20000,MATCH(A3289,'Semrush Data'!$A$1:$A$20000,0),MATCH("Intent",'Semrush Data'!$A$1:$Z$1,0)),"")</f>
        <v/>
      </c>
    </row>
    <row r="3290" customFormat="false" ht="15" hidden="false" customHeight="true" outlineLevel="0" collapsed="false">
      <c r="A3290" s="6" t="s">
        <v>3027</v>
      </c>
      <c r="B3290" s="6" t="s">
        <v>249</v>
      </c>
      <c r="C3290" s="6" t="n">
        <v>3</v>
      </c>
      <c r="D3290" s="6" t="n">
        <v>33</v>
      </c>
      <c r="E3290" s="6" t="n">
        <v>1</v>
      </c>
      <c r="F3290" s="6" t="s">
        <v>3022</v>
      </c>
      <c r="G3290" s="28" t="str">
        <f aca="false">IFERROR(INDEX('Semrush Data'!$A$1:$Z$20000,MATCH(A3290,'Semrush Data'!$A$1:$A$20000,0),MATCH("Volume",'Semrush Data'!$A$1:$Z$1,0)),"")</f>
        <v/>
      </c>
      <c r="H3290" s="6" t="str">
        <f aca="false">IFERROR(INDEX('Semrush Data'!$A$1:$Z$20000,MATCH(A3290,'Semrush Data'!$A$1:$A$20000,0),MATCH("Keyword Difficulty*",'Semrush Data'!$A$1:$Z$1,0)),"")</f>
        <v/>
      </c>
      <c r="I3290" s="29" t="str">
        <f aca="false">IFERROR(INDEX('Semrush Data'!$A$1:$Z$20000,MATCH(A3290,'Semrush Data'!$A$1:$A$20000,0),MATCH("CPC*",'Semrush Data'!$A$1:$Z$1,0)),"")</f>
        <v/>
      </c>
      <c r="J3290" s="6" t="str">
        <f aca="false">IFERROR(INDEX('Semrush Data'!$A$1:$Z$20000,MATCH(A3290,'Semrush Data'!$A$1:$A$20000,0),MATCH("Intent",'Semrush Data'!$A$1:$Z$1,0)),"")</f>
        <v/>
      </c>
    </row>
    <row r="3291" customFormat="false" ht="15" hidden="false" customHeight="true" outlineLevel="0" collapsed="false">
      <c r="A3291" s="6" t="s">
        <v>3038</v>
      </c>
      <c r="B3291" s="6" t="s">
        <v>249</v>
      </c>
      <c r="C3291" s="6" t="n">
        <v>3</v>
      </c>
      <c r="D3291" s="6" t="n">
        <v>33</v>
      </c>
      <c r="E3291" s="6" t="n">
        <v>1</v>
      </c>
      <c r="F3291" s="6" t="s">
        <v>3031</v>
      </c>
      <c r="G3291" s="28" t="str">
        <f aca="false">IFERROR(INDEX('Semrush Data'!$A$1:$Z$20000,MATCH(A3291,'Semrush Data'!$A$1:$A$20000,0),MATCH("Volume",'Semrush Data'!$A$1:$Z$1,0)),"")</f>
        <v/>
      </c>
      <c r="H3291" s="6" t="str">
        <f aca="false">IFERROR(INDEX('Semrush Data'!$A$1:$Z$20000,MATCH(A3291,'Semrush Data'!$A$1:$A$20000,0),MATCH("Keyword Difficulty*",'Semrush Data'!$A$1:$Z$1,0)),"")</f>
        <v/>
      </c>
      <c r="I3291" s="29" t="str">
        <f aca="false">IFERROR(INDEX('Semrush Data'!$A$1:$Z$20000,MATCH(A3291,'Semrush Data'!$A$1:$A$20000,0),MATCH("CPC*",'Semrush Data'!$A$1:$Z$1,0)),"")</f>
        <v/>
      </c>
      <c r="J3291" s="6" t="str">
        <f aca="false">IFERROR(INDEX('Semrush Data'!$A$1:$Z$20000,MATCH(A3291,'Semrush Data'!$A$1:$A$20000,0),MATCH("Intent",'Semrush Data'!$A$1:$Z$1,0)),"")</f>
        <v/>
      </c>
    </row>
    <row r="3292" customFormat="false" ht="15" hidden="false" customHeight="true" outlineLevel="0" collapsed="false">
      <c r="A3292" s="6" t="s">
        <v>2948</v>
      </c>
      <c r="B3292" s="6" t="s">
        <v>249</v>
      </c>
      <c r="C3292" s="6" t="n">
        <v>3</v>
      </c>
      <c r="D3292" s="6" t="n">
        <v>33</v>
      </c>
      <c r="E3292" s="6" t="n">
        <v>1</v>
      </c>
      <c r="F3292" s="6" t="s">
        <v>2943</v>
      </c>
      <c r="G3292" s="28" t="str">
        <f aca="false">IFERROR(INDEX('Semrush Data'!$A$1:$Z$20000,MATCH(A3292,'Semrush Data'!$A$1:$A$20000,0),MATCH("Volume",'Semrush Data'!$A$1:$Z$1,0)),"")</f>
        <v/>
      </c>
      <c r="H3292" s="6" t="str">
        <f aca="false">IFERROR(INDEX('Semrush Data'!$A$1:$Z$20000,MATCH(A3292,'Semrush Data'!$A$1:$A$20000,0),MATCH("Keyword Difficulty*",'Semrush Data'!$A$1:$Z$1,0)),"")</f>
        <v/>
      </c>
      <c r="I3292" s="29" t="str">
        <f aca="false">IFERROR(INDEX('Semrush Data'!$A$1:$Z$20000,MATCH(A3292,'Semrush Data'!$A$1:$A$20000,0),MATCH("CPC*",'Semrush Data'!$A$1:$Z$1,0)),"")</f>
        <v/>
      </c>
      <c r="J3292" s="6" t="str">
        <f aca="false">IFERROR(INDEX('Semrush Data'!$A$1:$Z$20000,MATCH(A3292,'Semrush Data'!$A$1:$A$20000,0),MATCH("Intent",'Semrush Data'!$A$1:$Z$1,0)),"")</f>
        <v/>
      </c>
    </row>
    <row r="3293" customFormat="false" ht="15" hidden="false" customHeight="true" outlineLevel="0" collapsed="false">
      <c r="A3293" s="6" t="s">
        <v>3005</v>
      </c>
      <c r="B3293" s="6" t="s">
        <v>249</v>
      </c>
      <c r="C3293" s="6" t="n">
        <v>3</v>
      </c>
      <c r="D3293" s="6" t="n">
        <v>33</v>
      </c>
      <c r="E3293" s="6" t="n">
        <v>1</v>
      </c>
      <c r="F3293" s="6" t="s">
        <v>3000</v>
      </c>
      <c r="G3293" s="28" t="str">
        <f aca="false">IFERROR(INDEX('Semrush Data'!$A$1:$Z$20000,MATCH(A3293,'Semrush Data'!$A$1:$A$20000,0),MATCH("Volume",'Semrush Data'!$A$1:$Z$1,0)),"")</f>
        <v/>
      </c>
      <c r="H3293" s="6" t="str">
        <f aca="false">IFERROR(INDEX('Semrush Data'!$A$1:$Z$20000,MATCH(A3293,'Semrush Data'!$A$1:$A$20000,0),MATCH("Keyword Difficulty*",'Semrush Data'!$A$1:$Z$1,0)),"")</f>
        <v/>
      </c>
      <c r="I3293" s="29" t="str">
        <f aca="false">IFERROR(INDEX('Semrush Data'!$A$1:$Z$20000,MATCH(A3293,'Semrush Data'!$A$1:$A$20000,0),MATCH("CPC*",'Semrush Data'!$A$1:$Z$1,0)),"")</f>
        <v/>
      </c>
      <c r="J3293" s="6" t="str">
        <f aca="false">IFERROR(INDEX('Semrush Data'!$A$1:$Z$20000,MATCH(A3293,'Semrush Data'!$A$1:$A$20000,0),MATCH("Intent",'Semrush Data'!$A$1:$Z$1,0)),"")</f>
        <v/>
      </c>
    </row>
    <row r="3294" customFormat="false" ht="15" hidden="false" customHeight="true" outlineLevel="0" collapsed="false">
      <c r="A3294" s="6" t="s">
        <v>3016</v>
      </c>
      <c r="B3294" s="6" t="s">
        <v>249</v>
      </c>
      <c r="C3294" s="6" t="n">
        <v>3</v>
      </c>
      <c r="D3294" s="6" t="n">
        <v>33</v>
      </c>
      <c r="E3294" s="6" t="n">
        <v>1</v>
      </c>
      <c r="F3294" s="6" t="s">
        <v>3011</v>
      </c>
      <c r="G3294" s="28" t="str">
        <f aca="false">IFERROR(INDEX('Semrush Data'!$A$1:$Z$20000,MATCH(A3294,'Semrush Data'!$A$1:$A$20000,0),MATCH("Volume",'Semrush Data'!$A$1:$Z$1,0)),"")</f>
        <v/>
      </c>
      <c r="H3294" s="6" t="str">
        <f aca="false">IFERROR(INDEX('Semrush Data'!$A$1:$Z$20000,MATCH(A3294,'Semrush Data'!$A$1:$A$20000,0),MATCH("Keyword Difficulty*",'Semrush Data'!$A$1:$Z$1,0)),"")</f>
        <v/>
      </c>
      <c r="I3294" s="29" t="str">
        <f aca="false">IFERROR(INDEX('Semrush Data'!$A$1:$Z$20000,MATCH(A3294,'Semrush Data'!$A$1:$A$20000,0),MATCH("CPC*",'Semrush Data'!$A$1:$Z$1,0)),"")</f>
        <v/>
      </c>
      <c r="J3294" s="6" t="str">
        <f aca="false">IFERROR(INDEX('Semrush Data'!$A$1:$Z$20000,MATCH(A3294,'Semrush Data'!$A$1:$A$20000,0),MATCH("Intent",'Semrush Data'!$A$1:$Z$1,0)),"")</f>
        <v/>
      </c>
    </row>
    <row r="3295" customFormat="false" ht="15" hidden="false" customHeight="true" outlineLevel="0" collapsed="false">
      <c r="A3295" s="6" t="s">
        <v>2971</v>
      </c>
      <c r="B3295" s="6" t="s">
        <v>249</v>
      </c>
      <c r="C3295" s="6" t="n">
        <v>3</v>
      </c>
      <c r="D3295" s="6" t="n">
        <v>33</v>
      </c>
      <c r="E3295" s="6" t="n">
        <v>1</v>
      </c>
      <c r="F3295" s="6" t="s">
        <v>2966</v>
      </c>
      <c r="G3295" s="28" t="str">
        <f aca="false">IFERROR(INDEX('Semrush Data'!$A$1:$Z$20000,MATCH(A3295,'Semrush Data'!$A$1:$A$20000,0),MATCH("Volume",'Semrush Data'!$A$1:$Z$1,0)),"")</f>
        <v/>
      </c>
      <c r="H3295" s="6" t="str">
        <f aca="false">IFERROR(INDEX('Semrush Data'!$A$1:$Z$20000,MATCH(A3295,'Semrush Data'!$A$1:$A$20000,0),MATCH("Keyword Difficulty*",'Semrush Data'!$A$1:$Z$1,0)),"")</f>
        <v/>
      </c>
      <c r="I3295" s="29" t="str">
        <f aca="false">IFERROR(INDEX('Semrush Data'!$A$1:$Z$20000,MATCH(A3295,'Semrush Data'!$A$1:$A$20000,0),MATCH("CPC*",'Semrush Data'!$A$1:$Z$1,0)),"")</f>
        <v/>
      </c>
      <c r="J3295" s="6" t="str">
        <f aca="false">IFERROR(INDEX('Semrush Data'!$A$1:$Z$20000,MATCH(A3295,'Semrush Data'!$A$1:$A$20000,0),MATCH("Intent",'Semrush Data'!$A$1:$Z$1,0)),"")</f>
        <v/>
      </c>
    </row>
    <row r="3296" customFormat="false" ht="15" hidden="false" customHeight="true" outlineLevel="0" collapsed="false">
      <c r="A3296" s="6" t="s">
        <v>3068</v>
      </c>
      <c r="B3296" s="6" t="s">
        <v>249</v>
      </c>
      <c r="C3296" s="6" t="n">
        <v>3</v>
      </c>
      <c r="D3296" s="6" t="n">
        <v>33</v>
      </c>
      <c r="E3296" s="6" t="n">
        <v>1</v>
      </c>
      <c r="F3296" s="6" t="s">
        <v>3062</v>
      </c>
      <c r="G3296" s="28" t="str">
        <f aca="false">IFERROR(INDEX('Semrush Data'!$A$1:$Z$20000,MATCH(A3296,'Semrush Data'!$A$1:$A$20000,0),MATCH("Volume",'Semrush Data'!$A$1:$Z$1,0)),"")</f>
        <v/>
      </c>
      <c r="H3296" s="6" t="str">
        <f aca="false">IFERROR(INDEX('Semrush Data'!$A$1:$Z$20000,MATCH(A3296,'Semrush Data'!$A$1:$A$20000,0),MATCH("Keyword Difficulty*",'Semrush Data'!$A$1:$Z$1,0)),"")</f>
        <v/>
      </c>
      <c r="I3296" s="29" t="str">
        <f aca="false">IFERROR(INDEX('Semrush Data'!$A$1:$Z$20000,MATCH(A3296,'Semrush Data'!$A$1:$A$20000,0),MATCH("CPC*",'Semrush Data'!$A$1:$Z$1,0)),"")</f>
        <v/>
      </c>
      <c r="J3296" s="6" t="str">
        <f aca="false">IFERROR(INDEX('Semrush Data'!$A$1:$Z$20000,MATCH(A3296,'Semrush Data'!$A$1:$A$20000,0),MATCH("Intent",'Semrush Data'!$A$1:$Z$1,0)),"")</f>
        <v/>
      </c>
    </row>
    <row r="3297" customFormat="false" ht="15" hidden="false" customHeight="true" outlineLevel="0" collapsed="false">
      <c r="A3297" s="6" t="s">
        <v>3079</v>
      </c>
      <c r="B3297" s="6" t="s">
        <v>249</v>
      </c>
      <c r="C3297" s="6" t="n">
        <v>3</v>
      </c>
      <c r="D3297" s="6" t="n">
        <v>33</v>
      </c>
      <c r="E3297" s="6" t="n">
        <v>2</v>
      </c>
      <c r="F3297" s="6" t="s">
        <v>6843</v>
      </c>
      <c r="G3297" s="28" t="str">
        <f aca="false">IFERROR(INDEX('Semrush Data'!$A$1:$Z$20000,MATCH(A3297,'Semrush Data'!$A$1:$A$20000,0),MATCH("Volume",'Semrush Data'!$A$1:$Z$1,0)),"")</f>
        <v/>
      </c>
      <c r="H3297" s="6" t="str">
        <f aca="false">IFERROR(INDEX('Semrush Data'!$A$1:$Z$20000,MATCH(A3297,'Semrush Data'!$A$1:$A$20000,0),MATCH("Keyword Difficulty*",'Semrush Data'!$A$1:$Z$1,0)),"")</f>
        <v/>
      </c>
      <c r="I3297" s="29" t="str">
        <f aca="false">IFERROR(INDEX('Semrush Data'!$A$1:$Z$20000,MATCH(A3297,'Semrush Data'!$A$1:$A$20000,0),MATCH("CPC*",'Semrush Data'!$A$1:$Z$1,0)),"")</f>
        <v/>
      </c>
      <c r="J3297" s="6" t="str">
        <f aca="false">IFERROR(INDEX('Semrush Data'!$A$1:$Z$20000,MATCH(A3297,'Semrush Data'!$A$1:$A$20000,0),MATCH("Intent",'Semrush Data'!$A$1:$Z$1,0)),"")</f>
        <v/>
      </c>
    </row>
    <row r="3298" customFormat="false" ht="15" hidden="false" customHeight="true" outlineLevel="0" collapsed="false">
      <c r="A3298" s="6" t="s">
        <v>3050</v>
      </c>
      <c r="B3298" s="6" t="s">
        <v>249</v>
      </c>
      <c r="C3298" s="6" t="n">
        <v>3</v>
      </c>
      <c r="D3298" s="6" t="n">
        <v>33</v>
      </c>
      <c r="E3298" s="6" t="n">
        <v>2</v>
      </c>
      <c r="F3298" s="6" t="s">
        <v>6842</v>
      </c>
      <c r="G3298" s="28" t="str">
        <f aca="false">IFERROR(INDEX('Semrush Data'!$A$1:$Z$20000,MATCH(A3298,'Semrush Data'!$A$1:$A$20000,0),MATCH("Volume",'Semrush Data'!$A$1:$Z$1,0)),"")</f>
        <v/>
      </c>
      <c r="H3298" s="6" t="str">
        <f aca="false">IFERROR(INDEX('Semrush Data'!$A$1:$Z$20000,MATCH(A3298,'Semrush Data'!$A$1:$A$20000,0),MATCH("Keyword Difficulty*",'Semrush Data'!$A$1:$Z$1,0)),"")</f>
        <v/>
      </c>
      <c r="I3298" s="29" t="str">
        <f aca="false">IFERROR(INDEX('Semrush Data'!$A$1:$Z$20000,MATCH(A3298,'Semrush Data'!$A$1:$A$20000,0),MATCH("CPC*",'Semrush Data'!$A$1:$Z$1,0)),"")</f>
        <v/>
      </c>
      <c r="J3298" s="6" t="str">
        <f aca="false">IFERROR(INDEX('Semrush Data'!$A$1:$Z$20000,MATCH(A3298,'Semrush Data'!$A$1:$A$20000,0),MATCH("Intent",'Semrush Data'!$A$1:$Z$1,0)),"")</f>
        <v/>
      </c>
    </row>
    <row r="3299" customFormat="false" ht="15" hidden="false" customHeight="true" outlineLevel="0" collapsed="false">
      <c r="A3299" s="6" t="s">
        <v>3126</v>
      </c>
      <c r="B3299" s="6" t="s">
        <v>249</v>
      </c>
      <c r="C3299" s="6" t="n">
        <v>3</v>
      </c>
      <c r="D3299" s="6" t="n">
        <v>33</v>
      </c>
      <c r="E3299" s="6" t="n">
        <v>1</v>
      </c>
      <c r="F3299" s="6" t="s">
        <v>3121</v>
      </c>
      <c r="G3299" s="28" t="str">
        <f aca="false">IFERROR(INDEX('Semrush Data'!$A$1:$Z$20000,MATCH(A3299,'Semrush Data'!$A$1:$A$20000,0),MATCH("Volume",'Semrush Data'!$A$1:$Z$1,0)),"")</f>
        <v/>
      </c>
      <c r="H3299" s="6" t="str">
        <f aca="false">IFERROR(INDEX('Semrush Data'!$A$1:$Z$20000,MATCH(A3299,'Semrush Data'!$A$1:$A$20000,0),MATCH("Keyword Difficulty*",'Semrush Data'!$A$1:$Z$1,0)),"")</f>
        <v/>
      </c>
      <c r="I3299" s="29" t="str">
        <f aca="false">IFERROR(INDEX('Semrush Data'!$A$1:$Z$20000,MATCH(A3299,'Semrush Data'!$A$1:$A$20000,0),MATCH("CPC*",'Semrush Data'!$A$1:$Z$1,0)),"")</f>
        <v/>
      </c>
      <c r="J3299" s="6" t="str">
        <f aca="false">IFERROR(INDEX('Semrush Data'!$A$1:$Z$20000,MATCH(A3299,'Semrush Data'!$A$1:$A$20000,0),MATCH("Intent",'Semrush Data'!$A$1:$Z$1,0)),"")</f>
        <v/>
      </c>
    </row>
    <row r="3300" customFormat="false" ht="15" hidden="false" customHeight="true" outlineLevel="0" collapsed="false">
      <c r="A3300" s="6" t="s">
        <v>3092</v>
      </c>
      <c r="B3300" s="6" t="s">
        <v>249</v>
      </c>
      <c r="C3300" s="6" t="n">
        <v>3</v>
      </c>
      <c r="D3300" s="6" t="s">
        <v>6870</v>
      </c>
      <c r="E3300" s="6" t="n">
        <v>1</v>
      </c>
      <c r="F3300" s="6" t="s">
        <v>79</v>
      </c>
      <c r="G3300" s="28" t="n">
        <f aca="false">IFERROR(INDEX('Semrush Data'!$A$1:$Z$20000,MATCH(A3300,'Semrush Data'!$A$1:$A$20000,0),MATCH("Volume",'Semrush Data'!$A$1:$Z$1,0)),"")</f>
        <v>20</v>
      </c>
      <c r="H3300" s="6" t="n">
        <f aca="false">IFERROR(INDEX('Semrush Data'!$A$1:$Z$20000,MATCH(A3300,'Semrush Data'!$A$1:$A$20000,0),MATCH("Keyword Difficulty*",'Semrush Data'!$A$1:$Z$1,0)),"")</f>
        <v>13</v>
      </c>
      <c r="I3300" s="29" t="n">
        <f aca="false">IFERROR(INDEX('Semrush Data'!$A$1:$Z$20000,MATCH(A3300,'Semrush Data'!$A$1:$A$20000,0),MATCH("CPC*",'Semrush Data'!$A$1:$Z$1,0)),"")</f>
        <v>0</v>
      </c>
      <c r="J3300" s="6" t="str">
        <f aca="false">IFERROR(INDEX('Semrush Data'!$A$1:$Z$20000,MATCH(A3300,'Semrush Data'!$A$1:$A$20000,0),MATCH("Intent",'Semrush Data'!$A$1:$Z$1,0)),"")</f>
        <v>Transactional</v>
      </c>
    </row>
    <row r="3301" customFormat="false" ht="15" hidden="false" customHeight="true" outlineLevel="0" collapsed="false">
      <c r="A3301" s="6" t="s">
        <v>3136</v>
      </c>
      <c r="B3301" s="6" t="s">
        <v>249</v>
      </c>
      <c r="C3301" s="6" t="n">
        <v>3</v>
      </c>
      <c r="D3301" s="6" t="n">
        <v>33</v>
      </c>
      <c r="E3301" s="6" t="n">
        <v>1</v>
      </c>
      <c r="F3301" s="6" t="s">
        <v>3131</v>
      </c>
      <c r="G3301" s="28" t="str">
        <f aca="false">IFERROR(INDEX('Semrush Data'!$A$1:$Z$20000,MATCH(A3301,'Semrush Data'!$A$1:$A$20000,0),MATCH("Volume",'Semrush Data'!$A$1:$Z$1,0)),"")</f>
        <v/>
      </c>
      <c r="H3301" s="6" t="str">
        <f aca="false">IFERROR(INDEX('Semrush Data'!$A$1:$Z$20000,MATCH(A3301,'Semrush Data'!$A$1:$A$20000,0),MATCH("Keyword Difficulty*",'Semrush Data'!$A$1:$Z$1,0)),"")</f>
        <v/>
      </c>
      <c r="I3301" s="29" t="str">
        <f aca="false">IFERROR(INDEX('Semrush Data'!$A$1:$Z$20000,MATCH(A3301,'Semrush Data'!$A$1:$A$20000,0),MATCH("CPC*",'Semrush Data'!$A$1:$Z$1,0)),"")</f>
        <v/>
      </c>
      <c r="J3301" s="6" t="str">
        <f aca="false">IFERROR(INDEX('Semrush Data'!$A$1:$Z$20000,MATCH(A3301,'Semrush Data'!$A$1:$A$20000,0),MATCH("Intent",'Semrush Data'!$A$1:$Z$1,0)),"")</f>
        <v/>
      </c>
    </row>
    <row r="3302" customFormat="false" ht="15" hidden="false" customHeight="true" outlineLevel="0" collapsed="false">
      <c r="A3302" s="6" t="s">
        <v>3146</v>
      </c>
      <c r="B3302" s="6" t="s">
        <v>249</v>
      </c>
      <c r="C3302" s="6" t="n">
        <v>3</v>
      </c>
      <c r="D3302" s="6" t="n">
        <v>34</v>
      </c>
      <c r="E3302" s="6" t="n">
        <v>1</v>
      </c>
      <c r="F3302" s="6" t="s">
        <v>3141</v>
      </c>
      <c r="G3302" s="28" t="str">
        <f aca="false">IFERROR(INDEX('Semrush Data'!$A$1:$Z$20000,MATCH(A3302,'Semrush Data'!$A$1:$A$20000,0),MATCH("Volume",'Semrush Data'!$A$1:$Z$1,0)),"")</f>
        <v/>
      </c>
      <c r="H3302" s="6" t="str">
        <f aca="false">IFERROR(INDEX('Semrush Data'!$A$1:$Z$20000,MATCH(A3302,'Semrush Data'!$A$1:$A$20000,0),MATCH("Keyword Difficulty*",'Semrush Data'!$A$1:$Z$1,0)),"")</f>
        <v/>
      </c>
      <c r="I3302" s="29" t="str">
        <f aca="false">IFERROR(INDEX('Semrush Data'!$A$1:$Z$20000,MATCH(A3302,'Semrush Data'!$A$1:$A$20000,0),MATCH("CPC*",'Semrush Data'!$A$1:$Z$1,0)),"")</f>
        <v/>
      </c>
      <c r="J3302" s="6" t="str">
        <f aca="false">IFERROR(INDEX('Semrush Data'!$A$1:$Z$20000,MATCH(A3302,'Semrush Data'!$A$1:$A$20000,0),MATCH("Intent",'Semrush Data'!$A$1:$Z$1,0)),"")</f>
        <v/>
      </c>
    </row>
    <row r="3303" customFormat="false" ht="15" hidden="false" customHeight="true" outlineLevel="0" collapsed="false">
      <c r="A3303" s="6" t="s">
        <v>3156</v>
      </c>
      <c r="B3303" s="6" t="s">
        <v>249</v>
      </c>
      <c r="C3303" s="6" t="n">
        <v>3</v>
      </c>
      <c r="D3303" s="6" t="n">
        <v>34</v>
      </c>
      <c r="E3303" s="6" t="n">
        <v>1</v>
      </c>
      <c r="F3303" s="6" t="s">
        <v>3151</v>
      </c>
      <c r="G3303" s="28" t="str">
        <f aca="false">IFERROR(INDEX('Semrush Data'!$A$1:$Z$20000,MATCH(A3303,'Semrush Data'!$A$1:$A$20000,0),MATCH("Volume",'Semrush Data'!$A$1:$Z$1,0)),"")</f>
        <v/>
      </c>
      <c r="H3303" s="6" t="str">
        <f aca="false">IFERROR(INDEX('Semrush Data'!$A$1:$Z$20000,MATCH(A3303,'Semrush Data'!$A$1:$A$20000,0),MATCH("Keyword Difficulty*",'Semrush Data'!$A$1:$Z$1,0)),"")</f>
        <v/>
      </c>
      <c r="I3303" s="29" t="str">
        <f aca="false">IFERROR(INDEX('Semrush Data'!$A$1:$Z$20000,MATCH(A3303,'Semrush Data'!$A$1:$A$20000,0),MATCH("CPC*",'Semrush Data'!$A$1:$Z$1,0)),"")</f>
        <v/>
      </c>
      <c r="J3303" s="6" t="str">
        <f aca="false">IFERROR(INDEX('Semrush Data'!$A$1:$Z$20000,MATCH(A3303,'Semrush Data'!$A$1:$A$20000,0),MATCH("Intent",'Semrush Data'!$A$1:$Z$1,0)),"")</f>
        <v/>
      </c>
    </row>
    <row r="3304" customFormat="false" ht="15" hidden="false" customHeight="true" outlineLevel="0" collapsed="false">
      <c r="A3304" s="6" t="s">
        <v>3115</v>
      </c>
      <c r="B3304" s="6" t="s">
        <v>249</v>
      </c>
      <c r="C3304" s="6" t="n">
        <v>3</v>
      </c>
      <c r="D3304" s="6" t="n">
        <v>34</v>
      </c>
      <c r="E3304" s="6" t="n">
        <v>1</v>
      </c>
      <c r="F3304" s="6" t="s">
        <v>145</v>
      </c>
      <c r="G3304" s="28" t="str">
        <f aca="false">IFERROR(INDEX('Semrush Data'!$A$1:$Z$20000,MATCH(A3304,'Semrush Data'!$A$1:$A$20000,0),MATCH("Volume",'Semrush Data'!$A$1:$Z$1,0)),"")</f>
        <v/>
      </c>
      <c r="H3304" s="6" t="str">
        <f aca="false">IFERROR(INDEX('Semrush Data'!$A$1:$Z$20000,MATCH(A3304,'Semrush Data'!$A$1:$A$20000,0),MATCH("Keyword Difficulty*",'Semrush Data'!$A$1:$Z$1,0)),"")</f>
        <v/>
      </c>
      <c r="I3304" s="29" t="str">
        <f aca="false">IFERROR(INDEX('Semrush Data'!$A$1:$Z$20000,MATCH(A3304,'Semrush Data'!$A$1:$A$20000,0),MATCH("CPC*",'Semrush Data'!$A$1:$Z$1,0)),"")</f>
        <v/>
      </c>
      <c r="J3304" s="6" t="str">
        <f aca="false">IFERROR(INDEX('Semrush Data'!$A$1:$Z$20000,MATCH(A3304,'Semrush Data'!$A$1:$A$20000,0),MATCH("Intent",'Semrush Data'!$A$1:$Z$1,0)),"")</f>
        <v/>
      </c>
    </row>
    <row r="3305" customFormat="false" ht="15" hidden="false" customHeight="true" outlineLevel="0" collapsed="false">
      <c r="A3305" s="6" t="s">
        <v>3166</v>
      </c>
      <c r="B3305" s="6" t="s">
        <v>249</v>
      </c>
      <c r="C3305" s="6" t="n">
        <v>3</v>
      </c>
      <c r="D3305" s="6" t="n">
        <v>34</v>
      </c>
      <c r="E3305" s="6" t="n">
        <v>1</v>
      </c>
      <c r="F3305" s="6" t="s">
        <v>3161</v>
      </c>
      <c r="G3305" s="28" t="str">
        <f aca="false">IFERROR(INDEX('Semrush Data'!$A$1:$Z$20000,MATCH(A3305,'Semrush Data'!$A$1:$A$20000,0),MATCH("Volume",'Semrush Data'!$A$1:$Z$1,0)),"")</f>
        <v/>
      </c>
      <c r="H3305" s="6" t="str">
        <f aca="false">IFERROR(INDEX('Semrush Data'!$A$1:$Z$20000,MATCH(A3305,'Semrush Data'!$A$1:$A$20000,0),MATCH("Keyword Difficulty*",'Semrush Data'!$A$1:$Z$1,0)),"")</f>
        <v/>
      </c>
      <c r="I3305" s="29" t="str">
        <f aca="false">IFERROR(INDEX('Semrush Data'!$A$1:$Z$20000,MATCH(A3305,'Semrush Data'!$A$1:$A$20000,0),MATCH("CPC*",'Semrush Data'!$A$1:$Z$1,0)),"")</f>
        <v/>
      </c>
      <c r="J3305" s="6" t="str">
        <f aca="false">IFERROR(INDEX('Semrush Data'!$A$1:$Z$20000,MATCH(A3305,'Semrush Data'!$A$1:$A$20000,0),MATCH("Intent",'Semrush Data'!$A$1:$Z$1,0)),"")</f>
        <v/>
      </c>
    </row>
    <row r="3306" customFormat="false" ht="15" hidden="false" customHeight="true" outlineLevel="0" collapsed="false">
      <c r="A3306" s="6" t="s">
        <v>3104</v>
      </c>
      <c r="B3306" s="6" t="s">
        <v>249</v>
      </c>
      <c r="C3306" s="6" t="n">
        <v>3</v>
      </c>
      <c r="D3306" s="6" t="n">
        <v>34</v>
      </c>
      <c r="E3306" s="6" t="n">
        <v>1</v>
      </c>
      <c r="F3306" s="6" t="s">
        <v>3099</v>
      </c>
      <c r="G3306" s="28" t="str">
        <f aca="false">IFERROR(INDEX('Semrush Data'!$A$1:$Z$20000,MATCH(A3306,'Semrush Data'!$A$1:$A$20000,0),MATCH("Volume",'Semrush Data'!$A$1:$Z$1,0)),"")</f>
        <v/>
      </c>
      <c r="H3306" s="6" t="str">
        <f aca="false">IFERROR(INDEX('Semrush Data'!$A$1:$Z$20000,MATCH(A3306,'Semrush Data'!$A$1:$A$20000,0),MATCH("Keyword Difficulty*",'Semrush Data'!$A$1:$Z$1,0)),"")</f>
        <v/>
      </c>
      <c r="I3306" s="29" t="str">
        <f aca="false">IFERROR(INDEX('Semrush Data'!$A$1:$Z$20000,MATCH(A3306,'Semrush Data'!$A$1:$A$20000,0),MATCH("CPC*",'Semrush Data'!$A$1:$Z$1,0)),"")</f>
        <v/>
      </c>
      <c r="J3306" s="6" t="str">
        <f aca="false">IFERROR(INDEX('Semrush Data'!$A$1:$Z$20000,MATCH(A3306,'Semrush Data'!$A$1:$A$20000,0),MATCH("Intent",'Semrush Data'!$A$1:$Z$1,0)),"")</f>
        <v/>
      </c>
    </row>
    <row r="3307" customFormat="false" ht="15" hidden="false" customHeight="true" outlineLevel="0" collapsed="false">
      <c r="A3307" s="6" t="s">
        <v>3177</v>
      </c>
      <c r="B3307" s="6" t="s">
        <v>249</v>
      </c>
      <c r="C3307" s="6" t="n">
        <v>3</v>
      </c>
      <c r="D3307" s="6" t="n">
        <v>34</v>
      </c>
      <c r="E3307" s="6" t="n">
        <v>1</v>
      </c>
      <c r="F3307" s="6" t="s">
        <v>3171</v>
      </c>
      <c r="G3307" s="28" t="str">
        <f aca="false">IFERROR(INDEX('Semrush Data'!$A$1:$Z$20000,MATCH(A3307,'Semrush Data'!$A$1:$A$20000,0),MATCH("Volume",'Semrush Data'!$A$1:$Z$1,0)),"")</f>
        <v/>
      </c>
      <c r="H3307" s="6" t="str">
        <f aca="false">IFERROR(INDEX('Semrush Data'!$A$1:$Z$20000,MATCH(A3307,'Semrush Data'!$A$1:$A$20000,0),MATCH("Keyword Difficulty*",'Semrush Data'!$A$1:$Z$1,0)),"")</f>
        <v/>
      </c>
      <c r="I3307" s="29" t="str">
        <f aca="false">IFERROR(INDEX('Semrush Data'!$A$1:$Z$20000,MATCH(A3307,'Semrush Data'!$A$1:$A$20000,0),MATCH("CPC*",'Semrush Data'!$A$1:$Z$1,0)),"")</f>
        <v/>
      </c>
      <c r="J3307" s="6" t="str">
        <f aca="false">IFERROR(INDEX('Semrush Data'!$A$1:$Z$20000,MATCH(A3307,'Semrush Data'!$A$1:$A$20000,0),MATCH("Intent",'Semrush Data'!$A$1:$Z$1,0)),"")</f>
        <v/>
      </c>
    </row>
    <row r="3308" customFormat="false" ht="15" hidden="false" customHeight="true" outlineLevel="0" collapsed="false">
      <c r="A3308" s="6" t="s">
        <v>3227</v>
      </c>
      <c r="B3308" s="6" t="s">
        <v>249</v>
      </c>
      <c r="C3308" s="6" t="n">
        <v>3</v>
      </c>
      <c r="D3308" s="6" t="n">
        <v>34</v>
      </c>
      <c r="E3308" s="6" t="n">
        <v>1</v>
      </c>
      <c r="F3308" s="6" t="s">
        <v>3222</v>
      </c>
      <c r="G3308" s="28" t="str">
        <f aca="false">IFERROR(INDEX('Semrush Data'!$A$1:$Z$20000,MATCH(A3308,'Semrush Data'!$A$1:$A$20000,0),MATCH("Volume",'Semrush Data'!$A$1:$Z$1,0)),"")</f>
        <v/>
      </c>
      <c r="H3308" s="6" t="str">
        <f aca="false">IFERROR(INDEX('Semrush Data'!$A$1:$Z$20000,MATCH(A3308,'Semrush Data'!$A$1:$A$20000,0),MATCH("Keyword Difficulty*",'Semrush Data'!$A$1:$Z$1,0)),"")</f>
        <v/>
      </c>
      <c r="I3308" s="29" t="str">
        <f aca="false">IFERROR(INDEX('Semrush Data'!$A$1:$Z$20000,MATCH(A3308,'Semrush Data'!$A$1:$A$20000,0),MATCH("CPC*",'Semrush Data'!$A$1:$Z$1,0)),"")</f>
        <v/>
      </c>
      <c r="J3308" s="6" t="str">
        <f aca="false">IFERROR(INDEX('Semrush Data'!$A$1:$Z$20000,MATCH(A3308,'Semrush Data'!$A$1:$A$20000,0),MATCH("Intent",'Semrush Data'!$A$1:$Z$1,0)),"")</f>
        <v/>
      </c>
    </row>
    <row r="3309" customFormat="false" ht="15" hidden="false" customHeight="true" outlineLevel="0" collapsed="false">
      <c r="A3309" s="6" t="s">
        <v>3236</v>
      </c>
      <c r="B3309" s="6" t="s">
        <v>249</v>
      </c>
      <c r="C3309" s="6" t="n">
        <v>3</v>
      </c>
      <c r="D3309" s="6" t="n">
        <v>34</v>
      </c>
      <c r="E3309" s="6" t="n">
        <v>2</v>
      </c>
      <c r="F3309" s="6" t="s">
        <v>6844</v>
      </c>
      <c r="G3309" s="28" t="str">
        <f aca="false">IFERROR(INDEX('Semrush Data'!$A$1:$Z$20000,MATCH(A3309,'Semrush Data'!$A$1:$A$20000,0),MATCH("Volume",'Semrush Data'!$A$1:$Z$1,0)),"")</f>
        <v/>
      </c>
      <c r="H3309" s="6" t="str">
        <f aca="false">IFERROR(INDEX('Semrush Data'!$A$1:$Z$20000,MATCH(A3309,'Semrush Data'!$A$1:$A$20000,0),MATCH("Keyword Difficulty*",'Semrush Data'!$A$1:$Z$1,0)),"")</f>
        <v/>
      </c>
      <c r="I3309" s="29" t="str">
        <f aca="false">IFERROR(INDEX('Semrush Data'!$A$1:$Z$20000,MATCH(A3309,'Semrush Data'!$A$1:$A$20000,0),MATCH("CPC*",'Semrush Data'!$A$1:$Z$1,0)),"")</f>
        <v/>
      </c>
      <c r="J3309" s="6" t="str">
        <f aca="false">IFERROR(INDEX('Semrush Data'!$A$1:$Z$20000,MATCH(A3309,'Semrush Data'!$A$1:$A$20000,0),MATCH("Intent",'Semrush Data'!$A$1:$Z$1,0)),"")</f>
        <v/>
      </c>
    </row>
    <row r="3310" customFormat="false" ht="15" hidden="false" customHeight="true" outlineLevel="0" collapsed="false">
      <c r="A3310" s="6" t="s">
        <v>3248</v>
      </c>
      <c r="B3310" s="6" t="s">
        <v>249</v>
      </c>
      <c r="C3310" s="6" t="n">
        <v>3</v>
      </c>
      <c r="D3310" s="6" t="n">
        <v>34</v>
      </c>
      <c r="E3310" s="6" t="n">
        <v>2</v>
      </c>
      <c r="F3310" s="6" t="s">
        <v>6846</v>
      </c>
      <c r="G3310" s="28" t="str">
        <f aca="false">IFERROR(INDEX('Semrush Data'!$A$1:$Z$20000,MATCH(A3310,'Semrush Data'!$A$1:$A$20000,0),MATCH("Volume",'Semrush Data'!$A$1:$Z$1,0)),"")</f>
        <v/>
      </c>
      <c r="H3310" s="6" t="str">
        <f aca="false">IFERROR(INDEX('Semrush Data'!$A$1:$Z$20000,MATCH(A3310,'Semrush Data'!$A$1:$A$20000,0),MATCH("Keyword Difficulty*",'Semrush Data'!$A$1:$Z$1,0)),"")</f>
        <v/>
      </c>
      <c r="I3310" s="29" t="str">
        <f aca="false">IFERROR(INDEX('Semrush Data'!$A$1:$Z$20000,MATCH(A3310,'Semrush Data'!$A$1:$A$20000,0),MATCH("CPC*",'Semrush Data'!$A$1:$Z$1,0)),"")</f>
        <v/>
      </c>
      <c r="J3310" s="6" t="str">
        <f aca="false">IFERROR(INDEX('Semrush Data'!$A$1:$Z$20000,MATCH(A3310,'Semrush Data'!$A$1:$A$20000,0),MATCH("Intent",'Semrush Data'!$A$1:$Z$1,0)),"")</f>
        <v/>
      </c>
    </row>
    <row r="3311" customFormat="false" ht="15" hidden="false" customHeight="true" outlineLevel="0" collapsed="false">
      <c r="A3311" s="6" t="s">
        <v>3261</v>
      </c>
      <c r="B3311" s="6" t="s">
        <v>249</v>
      </c>
      <c r="C3311" s="6" t="n">
        <v>3</v>
      </c>
      <c r="D3311" s="6" t="n">
        <v>34</v>
      </c>
      <c r="E3311" s="6" t="n">
        <v>1</v>
      </c>
      <c r="F3311" s="6" t="s">
        <v>3256</v>
      </c>
      <c r="G3311" s="28" t="str">
        <f aca="false">IFERROR(INDEX('Semrush Data'!$A$1:$Z$20000,MATCH(A3311,'Semrush Data'!$A$1:$A$20000,0),MATCH("Volume",'Semrush Data'!$A$1:$Z$1,0)),"")</f>
        <v/>
      </c>
      <c r="H3311" s="6" t="str">
        <f aca="false">IFERROR(INDEX('Semrush Data'!$A$1:$Z$20000,MATCH(A3311,'Semrush Data'!$A$1:$A$20000,0),MATCH("Keyword Difficulty*",'Semrush Data'!$A$1:$Z$1,0)),"")</f>
        <v/>
      </c>
      <c r="I3311" s="29" t="str">
        <f aca="false">IFERROR(INDEX('Semrush Data'!$A$1:$Z$20000,MATCH(A3311,'Semrush Data'!$A$1:$A$20000,0),MATCH("CPC*",'Semrush Data'!$A$1:$Z$1,0)),"")</f>
        <v/>
      </c>
      <c r="J3311" s="6" t="str">
        <f aca="false">IFERROR(INDEX('Semrush Data'!$A$1:$Z$20000,MATCH(A3311,'Semrush Data'!$A$1:$A$20000,0),MATCH("Intent",'Semrush Data'!$A$1:$Z$1,0)),"")</f>
        <v/>
      </c>
    </row>
    <row r="3312" customFormat="false" ht="15" hidden="false" customHeight="true" outlineLevel="0" collapsed="false">
      <c r="A3312" s="6" t="s">
        <v>3186</v>
      </c>
      <c r="B3312" s="6" t="s">
        <v>249</v>
      </c>
      <c r="C3312" s="6" t="n">
        <v>3</v>
      </c>
      <c r="D3312" s="6" t="s">
        <v>6870</v>
      </c>
      <c r="E3312" s="6" t="n">
        <v>2</v>
      </c>
      <c r="F3312" s="6" t="s">
        <v>6845</v>
      </c>
      <c r="G3312" s="28" t="n">
        <f aca="false">IFERROR(INDEX('Semrush Data'!$A$1:$Z$20000,MATCH(A3312,'Semrush Data'!$A$1:$A$20000,0),MATCH("Volume",'Semrush Data'!$A$1:$Z$1,0)),"")</f>
        <v>20</v>
      </c>
      <c r="H3312" s="6" t="n">
        <f aca="false">IFERROR(INDEX('Semrush Data'!$A$1:$Z$20000,MATCH(A3312,'Semrush Data'!$A$1:$A$20000,0),MATCH("Keyword Difficulty*",'Semrush Data'!$A$1:$Z$1,0)),"")</f>
        <v>12</v>
      </c>
      <c r="I3312" s="29" t="n">
        <f aca="false">IFERROR(INDEX('Semrush Data'!$A$1:$Z$20000,MATCH(A3312,'Semrush Data'!$A$1:$A$20000,0),MATCH("CPC*",'Semrush Data'!$A$1:$Z$1,0)),"")</f>
        <v>0.13</v>
      </c>
      <c r="J3312" s="6" t="str">
        <f aca="false">IFERROR(INDEX('Semrush Data'!$A$1:$Z$20000,MATCH(A3312,'Semrush Data'!$A$1:$A$20000,0),MATCH("Intent",'Semrush Data'!$A$1:$Z$1,0)),"")</f>
        <v>Transactional</v>
      </c>
    </row>
    <row r="3313" customFormat="false" ht="15" hidden="false" customHeight="true" outlineLevel="0" collapsed="false">
      <c r="A3313" s="6" t="s">
        <v>3216</v>
      </c>
      <c r="B3313" s="6" t="s">
        <v>249</v>
      </c>
      <c r="C3313" s="6" t="n">
        <v>3</v>
      </c>
      <c r="D3313" s="6" t="n">
        <v>34</v>
      </c>
      <c r="E3313" s="6" t="n">
        <v>1</v>
      </c>
      <c r="F3313" s="6" t="s">
        <v>3210</v>
      </c>
      <c r="G3313" s="28" t="str">
        <f aca="false">IFERROR(INDEX('Semrush Data'!$A$1:$Z$20000,MATCH(A3313,'Semrush Data'!$A$1:$A$20000,0),MATCH("Volume",'Semrush Data'!$A$1:$Z$1,0)),"")</f>
        <v/>
      </c>
      <c r="H3313" s="6" t="str">
        <f aca="false">IFERROR(INDEX('Semrush Data'!$A$1:$Z$20000,MATCH(A3313,'Semrush Data'!$A$1:$A$20000,0),MATCH("Keyword Difficulty*",'Semrush Data'!$A$1:$Z$1,0)),"")</f>
        <v/>
      </c>
      <c r="I3313" s="29" t="str">
        <f aca="false">IFERROR(INDEX('Semrush Data'!$A$1:$Z$20000,MATCH(A3313,'Semrush Data'!$A$1:$A$20000,0),MATCH("CPC*",'Semrush Data'!$A$1:$Z$1,0)),"")</f>
        <v/>
      </c>
      <c r="J3313" s="6" t="str">
        <f aca="false">IFERROR(INDEX('Semrush Data'!$A$1:$Z$20000,MATCH(A3313,'Semrush Data'!$A$1:$A$20000,0),MATCH("Intent",'Semrush Data'!$A$1:$Z$1,0)),"")</f>
        <v/>
      </c>
    </row>
    <row r="3314" customFormat="false" ht="15" hidden="false" customHeight="true" outlineLevel="0" collapsed="false">
      <c r="A3314" s="6" t="s">
        <v>3198</v>
      </c>
      <c r="B3314" s="6" t="s">
        <v>249</v>
      </c>
      <c r="C3314" s="6" t="n">
        <v>3</v>
      </c>
      <c r="D3314" s="6" t="n">
        <v>34</v>
      </c>
      <c r="E3314" s="6" t="n">
        <v>1</v>
      </c>
      <c r="F3314" s="6" t="s">
        <v>3193</v>
      </c>
      <c r="G3314" s="28" t="str">
        <f aca="false">IFERROR(INDEX('Semrush Data'!$A$1:$Z$20000,MATCH(A3314,'Semrush Data'!$A$1:$A$20000,0),MATCH("Volume",'Semrush Data'!$A$1:$Z$1,0)),"")</f>
        <v/>
      </c>
      <c r="H3314" s="6" t="str">
        <f aca="false">IFERROR(INDEX('Semrush Data'!$A$1:$Z$20000,MATCH(A3314,'Semrush Data'!$A$1:$A$20000,0),MATCH("Keyword Difficulty*",'Semrush Data'!$A$1:$Z$1,0)),"")</f>
        <v/>
      </c>
      <c r="I3314" s="29" t="str">
        <f aca="false">IFERROR(INDEX('Semrush Data'!$A$1:$Z$20000,MATCH(A3314,'Semrush Data'!$A$1:$A$20000,0),MATCH("CPC*",'Semrush Data'!$A$1:$Z$1,0)),"")</f>
        <v/>
      </c>
      <c r="J3314" s="6" t="str">
        <f aca="false">IFERROR(INDEX('Semrush Data'!$A$1:$Z$20000,MATCH(A3314,'Semrush Data'!$A$1:$A$20000,0),MATCH("Intent",'Semrush Data'!$A$1:$Z$1,0)),"")</f>
        <v/>
      </c>
    </row>
    <row r="3315" customFormat="false" ht="15" hidden="false" customHeight="true" outlineLevel="0" collapsed="false">
      <c r="A3315" s="6" t="s">
        <v>3314</v>
      </c>
      <c r="B3315" s="6" t="s">
        <v>249</v>
      </c>
      <c r="C3315" s="6" t="n">
        <v>3</v>
      </c>
      <c r="D3315" s="6" t="n">
        <v>34</v>
      </c>
      <c r="E3315" s="6" t="n">
        <v>1</v>
      </c>
      <c r="F3315" s="6" t="s">
        <v>3308</v>
      </c>
      <c r="G3315" s="28" t="str">
        <f aca="false">IFERROR(INDEX('Semrush Data'!$A$1:$Z$20000,MATCH(A3315,'Semrush Data'!$A$1:$A$20000,0),MATCH("Volume",'Semrush Data'!$A$1:$Z$1,0)),"")</f>
        <v/>
      </c>
      <c r="H3315" s="6" t="str">
        <f aca="false">IFERROR(INDEX('Semrush Data'!$A$1:$Z$20000,MATCH(A3315,'Semrush Data'!$A$1:$A$20000,0),MATCH("Keyword Difficulty*",'Semrush Data'!$A$1:$Z$1,0)),"")</f>
        <v/>
      </c>
      <c r="I3315" s="29" t="str">
        <f aca="false">IFERROR(INDEX('Semrush Data'!$A$1:$Z$20000,MATCH(A3315,'Semrush Data'!$A$1:$A$20000,0),MATCH("CPC*",'Semrush Data'!$A$1:$Z$1,0)),"")</f>
        <v/>
      </c>
      <c r="J3315" s="6" t="str">
        <f aca="false">IFERROR(INDEX('Semrush Data'!$A$1:$Z$20000,MATCH(A3315,'Semrush Data'!$A$1:$A$20000,0),MATCH("Intent",'Semrush Data'!$A$1:$Z$1,0)),"")</f>
        <v/>
      </c>
    </row>
    <row r="3316" customFormat="false" ht="15" hidden="false" customHeight="true" outlineLevel="0" collapsed="false">
      <c r="A3316" s="6" t="s">
        <v>3323</v>
      </c>
      <c r="B3316" s="6" t="s">
        <v>249</v>
      </c>
      <c r="C3316" s="6" t="n">
        <v>3</v>
      </c>
      <c r="D3316" s="6" t="n">
        <v>34</v>
      </c>
      <c r="E3316" s="6" t="n">
        <v>1</v>
      </c>
      <c r="F3316" s="6" t="s">
        <v>131</v>
      </c>
      <c r="G3316" s="28" t="str">
        <f aca="false">IFERROR(INDEX('Semrush Data'!$A$1:$Z$20000,MATCH(A3316,'Semrush Data'!$A$1:$A$20000,0),MATCH("Volume",'Semrush Data'!$A$1:$Z$1,0)),"")</f>
        <v/>
      </c>
      <c r="H3316" s="6" t="str">
        <f aca="false">IFERROR(INDEX('Semrush Data'!$A$1:$Z$20000,MATCH(A3316,'Semrush Data'!$A$1:$A$20000,0),MATCH("Keyword Difficulty*",'Semrush Data'!$A$1:$Z$1,0)),"")</f>
        <v/>
      </c>
      <c r="I3316" s="29" t="str">
        <f aca="false">IFERROR(INDEX('Semrush Data'!$A$1:$Z$20000,MATCH(A3316,'Semrush Data'!$A$1:$A$20000,0),MATCH("CPC*",'Semrush Data'!$A$1:$Z$1,0)),"")</f>
        <v/>
      </c>
      <c r="J3316" s="6" t="str">
        <f aca="false">IFERROR(INDEX('Semrush Data'!$A$1:$Z$20000,MATCH(A3316,'Semrush Data'!$A$1:$A$20000,0),MATCH("Intent",'Semrush Data'!$A$1:$Z$1,0)),"")</f>
        <v/>
      </c>
    </row>
    <row r="3317" customFormat="false" ht="15" hidden="false" customHeight="true" outlineLevel="0" collapsed="false">
      <c r="A3317" s="6" t="s">
        <v>3274</v>
      </c>
      <c r="B3317" s="6" t="s">
        <v>249</v>
      </c>
      <c r="C3317" s="6" t="n">
        <v>3</v>
      </c>
      <c r="D3317" s="6" t="n">
        <v>34</v>
      </c>
      <c r="E3317" s="6" t="n">
        <v>1</v>
      </c>
      <c r="F3317" s="6" t="s">
        <v>3268</v>
      </c>
      <c r="G3317" s="28" t="str">
        <f aca="false">IFERROR(INDEX('Semrush Data'!$A$1:$Z$20000,MATCH(A3317,'Semrush Data'!$A$1:$A$20000,0),MATCH("Volume",'Semrush Data'!$A$1:$Z$1,0)),"")</f>
        <v/>
      </c>
      <c r="H3317" s="6" t="str">
        <f aca="false">IFERROR(INDEX('Semrush Data'!$A$1:$Z$20000,MATCH(A3317,'Semrush Data'!$A$1:$A$20000,0),MATCH("Keyword Difficulty*",'Semrush Data'!$A$1:$Z$1,0)),"")</f>
        <v/>
      </c>
      <c r="I3317" s="29" t="str">
        <f aca="false">IFERROR(INDEX('Semrush Data'!$A$1:$Z$20000,MATCH(A3317,'Semrush Data'!$A$1:$A$20000,0),MATCH("CPC*",'Semrush Data'!$A$1:$Z$1,0)),"")</f>
        <v/>
      </c>
      <c r="J3317" s="6" t="str">
        <f aca="false">IFERROR(INDEX('Semrush Data'!$A$1:$Z$20000,MATCH(A3317,'Semrush Data'!$A$1:$A$20000,0),MATCH("Intent",'Semrush Data'!$A$1:$Z$1,0)),"")</f>
        <v/>
      </c>
    </row>
    <row r="3318" customFormat="false" ht="15" hidden="false" customHeight="true" outlineLevel="0" collapsed="false">
      <c r="A3318" s="6" t="s">
        <v>3284</v>
      </c>
      <c r="B3318" s="6" t="s">
        <v>249</v>
      </c>
      <c r="C3318" s="6" t="n">
        <v>3</v>
      </c>
      <c r="D3318" s="6" t="n">
        <v>34</v>
      </c>
      <c r="E3318" s="6" t="n">
        <v>2</v>
      </c>
      <c r="F3318" s="6" t="s">
        <v>6847</v>
      </c>
      <c r="G3318" s="28" t="str">
        <f aca="false">IFERROR(INDEX('Semrush Data'!$A$1:$Z$20000,MATCH(A3318,'Semrush Data'!$A$1:$A$20000,0),MATCH("Volume",'Semrush Data'!$A$1:$Z$1,0)),"")</f>
        <v/>
      </c>
      <c r="H3318" s="6" t="str">
        <f aca="false">IFERROR(INDEX('Semrush Data'!$A$1:$Z$20000,MATCH(A3318,'Semrush Data'!$A$1:$A$20000,0),MATCH("Keyword Difficulty*",'Semrush Data'!$A$1:$Z$1,0)),"")</f>
        <v/>
      </c>
      <c r="I3318" s="29" t="str">
        <f aca="false">IFERROR(INDEX('Semrush Data'!$A$1:$Z$20000,MATCH(A3318,'Semrush Data'!$A$1:$A$20000,0),MATCH("CPC*",'Semrush Data'!$A$1:$Z$1,0)),"")</f>
        <v/>
      </c>
      <c r="J3318" s="6" t="str">
        <f aca="false">IFERROR(INDEX('Semrush Data'!$A$1:$Z$20000,MATCH(A3318,'Semrush Data'!$A$1:$A$20000,0),MATCH("Intent",'Semrush Data'!$A$1:$Z$1,0)),"")</f>
        <v/>
      </c>
    </row>
    <row r="3319" customFormat="false" ht="15" hidden="false" customHeight="true" outlineLevel="0" collapsed="false">
      <c r="A3319" s="6" t="s">
        <v>3297</v>
      </c>
      <c r="B3319" s="6" t="s">
        <v>249</v>
      </c>
      <c r="C3319" s="6" t="n">
        <v>3</v>
      </c>
      <c r="D3319" s="6" t="n">
        <v>34</v>
      </c>
      <c r="E3319" s="6" t="n">
        <v>2</v>
      </c>
      <c r="F3319" s="6" t="s">
        <v>6848</v>
      </c>
      <c r="G3319" s="28" t="str">
        <f aca="false">IFERROR(INDEX('Semrush Data'!$A$1:$Z$20000,MATCH(A3319,'Semrush Data'!$A$1:$A$20000,0),MATCH("Volume",'Semrush Data'!$A$1:$Z$1,0)),"")</f>
        <v/>
      </c>
      <c r="H3319" s="6" t="str">
        <f aca="false">IFERROR(INDEX('Semrush Data'!$A$1:$Z$20000,MATCH(A3319,'Semrush Data'!$A$1:$A$20000,0),MATCH("Keyword Difficulty*",'Semrush Data'!$A$1:$Z$1,0)),"")</f>
        <v/>
      </c>
      <c r="I3319" s="29" t="str">
        <f aca="false">IFERROR(INDEX('Semrush Data'!$A$1:$Z$20000,MATCH(A3319,'Semrush Data'!$A$1:$A$20000,0),MATCH("CPC*",'Semrush Data'!$A$1:$Z$1,0)),"")</f>
        <v/>
      </c>
      <c r="J3319" s="6" t="str">
        <f aca="false">IFERROR(INDEX('Semrush Data'!$A$1:$Z$20000,MATCH(A3319,'Semrush Data'!$A$1:$A$20000,0),MATCH("Intent",'Semrush Data'!$A$1:$Z$1,0)),"")</f>
        <v/>
      </c>
    </row>
    <row r="3320" customFormat="false" ht="15" hidden="false" customHeight="true" outlineLevel="0" collapsed="false">
      <c r="A3320" s="6" t="s">
        <v>3332</v>
      </c>
      <c r="B3320" s="6" t="s">
        <v>249</v>
      </c>
      <c r="C3320" s="6" t="n">
        <v>3</v>
      </c>
      <c r="D3320" s="6" t="n">
        <v>34</v>
      </c>
      <c r="E3320" s="6" t="n">
        <v>1</v>
      </c>
      <c r="F3320" s="6" t="s">
        <v>147</v>
      </c>
      <c r="G3320" s="28" t="str">
        <f aca="false">IFERROR(INDEX('Semrush Data'!$A$1:$Z$20000,MATCH(A3320,'Semrush Data'!$A$1:$A$20000,0),MATCH("Volume",'Semrush Data'!$A$1:$Z$1,0)),"")</f>
        <v/>
      </c>
      <c r="H3320" s="6" t="str">
        <f aca="false">IFERROR(INDEX('Semrush Data'!$A$1:$Z$20000,MATCH(A3320,'Semrush Data'!$A$1:$A$20000,0),MATCH("Keyword Difficulty*",'Semrush Data'!$A$1:$Z$1,0)),"")</f>
        <v/>
      </c>
      <c r="I3320" s="29" t="str">
        <f aca="false">IFERROR(INDEX('Semrush Data'!$A$1:$Z$20000,MATCH(A3320,'Semrush Data'!$A$1:$A$20000,0),MATCH("CPC*",'Semrush Data'!$A$1:$Z$1,0)),"")</f>
        <v/>
      </c>
      <c r="J3320" s="6" t="str">
        <f aca="false">IFERROR(INDEX('Semrush Data'!$A$1:$Z$20000,MATCH(A3320,'Semrush Data'!$A$1:$A$20000,0),MATCH("Intent",'Semrush Data'!$A$1:$Z$1,0)),"")</f>
        <v/>
      </c>
    </row>
    <row r="3321" customFormat="false" ht="15" hidden="false" customHeight="true" outlineLevel="0" collapsed="false">
      <c r="A3321" s="6" t="s">
        <v>5999</v>
      </c>
      <c r="B3321" s="6" t="s">
        <v>249</v>
      </c>
      <c r="C3321" s="6" t="n">
        <v>3</v>
      </c>
      <c r="D3321" s="6" t="n">
        <v>34</v>
      </c>
      <c r="E3321" s="6" t="n">
        <v>1</v>
      </c>
      <c r="F3321" s="6" t="s">
        <v>5994</v>
      </c>
      <c r="G3321" s="28" t="str">
        <f aca="false">IFERROR(INDEX('Semrush Data'!$A$1:$Z$20000,MATCH(A3321,'Semrush Data'!$A$1:$A$20000,0),MATCH("Volume",'Semrush Data'!$A$1:$Z$1,0)),"")</f>
        <v/>
      </c>
      <c r="H3321" s="6" t="str">
        <f aca="false">IFERROR(INDEX('Semrush Data'!$A$1:$Z$20000,MATCH(A3321,'Semrush Data'!$A$1:$A$20000,0),MATCH("Keyword Difficulty*",'Semrush Data'!$A$1:$Z$1,0)),"")</f>
        <v/>
      </c>
      <c r="I3321" s="29" t="str">
        <f aca="false">IFERROR(INDEX('Semrush Data'!$A$1:$Z$20000,MATCH(A3321,'Semrush Data'!$A$1:$A$20000,0),MATCH("CPC*",'Semrush Data'!$A$1:$Z$1,0)),"")</f>
        <v/>
      </c>
      <c r="J3321" s="6" t="str">
        <f aca="false">IFERROR(INDEX('Semrush Data'!$A$1:$Z$20000,MATCH(A3321,'Semrush Data'!$A$1:$A$20000,0),MATCH("Intent",'Semrush Data'!$A$1:$Z$1,0)),"")</f>
        <v/>
      </c>
    </row>
    <row r="3322" customFormat="false" ht="15" hidden="false" customHeight="true" outlineLevel="0" collapsed="false">
      <c r="A3322" s="6" t="s">
        <v>3398</v>
      </c>
      <c r="B3322" s="6" t="s">
        <v>249</v>
      </c>
      <c r="C3322" s="6" t="n">
        <v>3</v>
      </c>
      <c r="D3322" s="6" t="n">
        <v>34</v>
      </c>
      <c r="E3322" s="6" t="n">
        <v>1</v>
      </c>
      <c r="F3322" s="6" t="s">
        <v>3393</v>
      </c>
      <c r="G3322" s="28" t="str">
        <f aca="false">IFERROR(INDEX('Semrush Data'!$A$1:$Z$20000,MATCH(A3322,'Semrush Data'!$A$1:$A$20000,0),MATCH("Volume",'Semrush Data'!$A$1:$Z$1,0)),"")</f>
        <v/>
      </c>
      <c r="H3322" s="6" t="str">
        <f aca="false">IFERROR(INDEX('Semrush Data'!$A$1:$Z$20000,MATCH(A3322,'Semrush Data'!$A$1:$A$20000,0),MATCH("Keyword Difficulty*",'Semrush Data'!$A$1:$Z$1,0)),"")</f>
        <v/>
      </c>
      <c r="I3322" s="29" t="str">
        <f aca="false">IFERROR(INDEX('Semrush Data'!$A$1:$Z$20000,MATCH(A3322,'Semrush Data'!$A$1:$A$20000,0),MATCH("CPC*",'Semrush Data'!$A$1:$Z$1,0)),"")</f>
        <v/>
      </c>
      <c r="J3322" s="6" t="str">
        <f aca="false">IFERROR(INDEX('Semrush Data'!$A$1:$Z$20000,MATCH(A3322,'Semrush Data'!$A$1:$A$20000,0),MATCH("Intent",'Semrush Data'!$A$1:$Z$1,0)),"")</f>
        <v/>
      </c>
    </row>
    <row r="3323" customFormat="false" ht="15" hidden="false" customHeight="true" outlineLevel="0" collapsed="false">
      <c r="A3323" s="6" t="s">
        <v>3409</v>
      </c>
      <c r="B3323" s="6" t="s">
        <v>249</v>
      </c>
      <c r="C3323" s="6" t="n">
        <v>3</v>
      </c>
      <c r="D3323" s="6" t="n">
        <v>34</v>
      </c>
      <c r="E3323" s="6" t="n">
        <v>1</v>
      </c>
      <c r="F3323" s="6" t="s">
        <v>3404</v>
      </c>
      <c r="G3323" s="28" t="str">
        <f aca="false">IFERROR(INDEX('Semrush Data'!$A$1:$Z$20000,MATCH(A3323,'Semrush Data'!$A$1:$A$20000,0),MATCH("Volume",'Semrush Data'!$A$1:$Z$1,0)),"")</f>
        <v/>
      </c>
      <c r="H3323" s="6" t="str">
        <f aca="false">IFERROR(INDEX('Semrush Data'!$A$1:$Z$20000,MATCH(A3323,'Semrush Data'!$A$1:$A$20000,0),MATCH("Keyword Difficulty*",'Semrush Data'!$A$1:$Z$1,0)),"")</f>
        <v/>
      </c>
      <c r="I3323" s="29" t="str">
        <f aca="false">IFERROR(INDEX('Semrush Data'!$A$1:$Z$20000,MATCH(A3323,'Semrush Data'!$A$1:$A$20000,0),MATCH("CPC*",'Semrush Data'!$A$1:$Z$1,0)),"")</f>
        <v/>
      </c>
      <c r="J3323" s="6" t="str">
        <f aca="false">IFERROR(INDEX('Semrush Data'!$A$1:$Z$20000,MATCH(A3323,'Semrush Data'!$A$1:$A$20000,0),MATCH("Intent",'Semrush Data'!$A$1:$Z$1,0)),"")</f>
        <v/>
      </c>
    </row>
    <row r="3324" customFormat="false" ht="15" hidden="false" customHeight="true" outlineLevel="0" collapsed="false">
      <c r="A3324" s="6" t="s">
        <v>3388</v>
      </c>
      <c r="B3324" s="6" t="s">
        <v>249</v>
      </c>
      <c r="C3324" s="6" t="n">
        <v>3</v>
      </c>
      <c r="D3324" s="6" t="n">
        <v>34</v>
      </c>
      <c r="E3324" s="6" t="n">
        <v>1</v>
      </c>
      <c r="F3324" s="6" t="s">
        <v>3383</v>
      </c>
      <c r="G3324" s="28" t="str">
        <f aca="false">IFERROR(INDEX('Semrush Data'!$A$1:$Z$20000,MATCH(A3324,'Semrush Data'!$A$1:$A$20000,0),MATCH("Volume",'Semrush Data'!$A$1:$Z$1,0)),"")</f>
        <v/>
      </c>
      <c r="H3324" s="6" t="str">
        <f aca="false">IFERROR(INDEX('Semrush Data'!$A$1:$Z$20000,MATCH(A3324,'Semrush Data'!$A$1:$A$20000,0),MATCH("Keyword Difficulty*",'Semrush Data'!$A$1:$Z$1,0)),"")</f>
        <v/>
      </c>
      <c r="I3324" s="29" t="str">
        <f aca="false">IFERROR(INDEX('Semrush Data'!$A$1:$Z$20000,MATCH(A3324,'Semrush Data'!$A$1:$A$20000,0),MATCH("CPC*",'Semrush Data'!$A$1:$Z$1,0)),"")</f>
        <v/>
      </c>
      <c r="J3324" s="6" t="str">
        <f aca="false">IFERROR(INDEX('Semrush Data'!$A$1:$Z$20000,MATCH(A3324,'Semrush Data'!$A$1:$A$20000,0),MATCH("Intent",'Semrush Data'!$A$1:$Z$1,0)),"")</f>
        <v/>
      </c>
    </row>
    <row r="3325" customFormat="false" ht="15" hidden="false" customHeight="true" outlineLevel="0" collapsed="false">
      <c r="A3325" s="6" t="s">
        <v>3355</v>
      </c>
      <c r="B3325" s="6" t="s">
        <v>249</v>
      </c>
      <c r="C3325" s="6" t="n">
        <v>3</v>
      </c>
      <c r="D3325" s="6" t="n">
        <v>34</v>
      </c>
      <c r="E3325" s="6" t="n">
        <v>1</v>
      </c>
      <c r="F3325" s="6" t="s">
        <v>3350</v>
      </c>
      <c r="G3325" s="28" t="str">
        <f aca="false">IFERROR(INDEX('Semrush Data'!$A$1:$Z$20000,MATCH(A3325,'Semrush Data'!$A$1:$A$20000,0),MATCH("Volume",'Semrush Data'!$A$1:$Z$1,0)),"")</f>
        <v/>
      </c>
      <c r="H3325" s="6" t="str">
        <f aca="false">IFERROR(INDEX('Semrush Data'!$A$1:$Z$20000,MATCH(A3325,'Semrush Data'!$A$1:$A$20000,0),MATCH("Keyword Difficulty*",'Semrush Data'!$A$1:$Z$1,0)),"")</f>
        <v/>
      </c>
      <c r="I3325" s="29" t="str">
        <f aca="false">IFERROR(INDEX('Semrush Data'!$A$1:$Z$20000,MATCH(A3325,'Semrush Data'!$A$1:$A$20000,0),MATCH("CPC*",'Semrush Data'!$A$1:$Z$1,0)),"")</f>
        <v/>
      </c>
      <c r="J3325" s="6" t="str">
        <f aca="false">IFERROR(INDEX('Semrush Data'!$A$1:$Z$20000,MATCH(A3325,'Semrush Data'!$A$1:$A$20000,0),MATCH("Intent",'Semrush Data'!$A$1:$Z$1,0)),"")</f>
        <v/>
      </c>
    </row>
    <row r="3326" customFormat="false" ht="15" hidden="false" customHeight="true" outlineLevel="0" collapsed="false">
      <c r="A3326" s="6" t="s">
        <v>3366</v>
      </c>
      <c r="B3326" s="6" t="s">
        <v>249</v>
      </c>
      <c r="C3326" s="6" t="n">
        <v>3</v>
      </c>
      <c r="D3326" s="6" t="n">
        <v>34</v>
      </c>
      <c r="E3326" s="6" t="n">
        <v>1</v>
      </c>
      <c r="F3326" s="6" t="s">
        <v>3361</v>
      </c>
      <c r="G3326" s="28" t="str">
        <f aca="false">IFERROR(INDEX('Semrush Data'!$A$1:$Z$20000,MATCH(A3326,'Semrush Data'!$A$1:$A$20000,0),MATCH("Volume",'Semrush Data'!$A$1:$Z$1,0)),"")</f>
        <v/>
      </c>
      <c r="H3326" s="6" t="str">
        <f aca="false">IFERROR(INDEX('Semrush Data'!$A$1:$Z$20000,MATCH(A3326,'Semrush Data'!$A$1:$A$20000,0),MATCH("Keyword Difficulty*",'Semrush Data'!$A$1:$Z$1,0)),"")</f>
        <v/>
      </c>
      <c r="I3326" s="29" t="str">
        <f aca="false">IFERROR(INDEX('Semrush Data'!$A$1:$Z$20000,MATCH(A3326,'Semrush Data'!$A$1:$A$20000,0),MATCH("CPC*",'Semrush Data'!$A$1:$Z$1,0)),"")</f>
        <v/>
      </c>
      <c r="J3326" s="6" t="str">
        <f aca="false">IFERROR(INDEX('Semrush Data'!$A$1:$Z$20000,MATCH(A3326,'Semrush Data'!$A$1:$A$20000,0),MATCH("Intent",'Semrush Data'!$A$1:$Z$1,0)),"")</f>
        <v/>
      </c>
    </row>
    <row r="3327" customFormat="false" ht="15" hidden="false" customHeight="true" outlineLevel="0" collapsed="false">
      <c r="A3327" s="6" t="s">
        <v>3343</v>
      </c>
      <c r="B3327" s="6" t="s">
        <v>249</v>
      </c>
      <c r="C3327" s="6" t="n">
        <v>3</v>
      </c>
      <c r="D3327" s="6" t="s">
        <v>6870</v>
      </c>
      <c r="E3327" s="6" t="n">
        <v>2</v>
      </c>
      <c r="F3327" s="6" t="s">
        <v>7903</v>
      </c>
      <c r="G3327" s="28" t="n">
        <f aca="false">IFERROR(INDEX('Semrush Data'!$A$1:$Z$20000,MATCH(A3327,'Semrush Data'!$A$1:$A$20000,0),MATCH("Volume",'Semrush Data'!$A$1:$Z$1,0)),"")</f>
        <v>20</v>
      </c>
      <c r="H3327" s="6" t="n">
        <f aca="false">IFERROR(INDEX('Semrush Data'!$A$1:$Z$20000,MATCH(A3327,'Semrush Data'!$A$1:$A$20000,0),MATCH("Keyword Difficulty*",'Semrush Data'!$A$1:$Z$1,0)),"")</f>
        <v>22</v>
      </c>
      <c r="I3327" s="29" t="n">
        <f aca="false">IFERROR(INDEX('Semrush Data'!$A$1:$Z$20000,MATCH(A3327,'Semrush Data'!$A$1:$A$20000,0),MATCH("CPC*",'Semrush Data'!$A$1:$Z$1,0)),"")</f>
        <v>0</v>
      </c>
      <c r="J3327" s="6" t="str">
        <f aca="false">IFERROR(INDEX('Semrush Data'!$A$1:$Z$20000,MATCH(A3327,'Semrush Data'!$A$1:$A$20000,0),MATCH("Intent",'Semrush Data'!$A$1:$Z$1,0)),"")</f>
        <v>Transactional</v>
      </c>
    </row>
    <row r="3328" customFormat="false" ht="15" hidden="false" customHeight="true" outlineLevel="0" collapsed="false">
      <c r="A3328" s="6" t="s">
        <v>3377</v>
      </c>
      <c r="B3328" s="6" t="s">
        <v>249</v>
      </c>
      <c r="C3328" s="6" t="n">
        <v>3</v>
      </c>
      <c r="D3328" s="6" t="n">
        <v>34</v>
      </c>
      <c r="E3328" s="6" t="n">
        <v>1</v>
      </c>
      <c r="F3328" s="6" t="s">
        <v>3372</v>
      </c>
      <c r="G3328" s="28" t="str">
        <f aca="false">IFERROR(INDEX('Semrush Data'!$A$1:$Z$20000,MATCH(A3328,'Semrush Data'!$A$1:$A$20000,0),MATCH("Volume",'Semrush Data'!$A$1:$Z$1,0)),"")</f>
        <v/>
      </c>
      <c r="H3328" s="6" t="str">
        <f aca="false">IFERROR(INDEX('Semrush Data'!$A$1:$Z$20000,MATCH(A3328,'Semrush Data'!$A$1:$A$20000,0),MATCH("Keyword Difficulty*",'Semrush Data'!$A$1:$Z$1,0)),"")</f>
        <v/>
      </c>
      <c r="I3328" s="29" t="str">
        <f aca="false">IFERROR(INDEX('Semrush Data'!$A$1:$Z$20000,MATCH(A3328,'Semrush Data'!$A$1:$A$20000,0),MATCH("CPC*",'Semrush Data'!$A$1:$Z$1,0)),"")</f>
        <v/>
      </c>
      <c r="J3328" s="6" t="str">
        <f aca="false">IFERROR(INDEX('Semrush Data'!$A$1:$Z$20000,MATCH(A3328,'Semrush Data'!$A$1:$A$20000,0),MATCH("Intent",'Semrush Data'!$A$1:$Z$1,0)),"")</f>
        <v/>
      </c>
    </row>
    <row r="3329" customFormat="false" ht="15" hidden="false" customHeight="true" outlineLevel="0" collapsed="false">
      <c r="A3329" s="6" t="s">
        <v>3420</v>
      </c>
      <c r="B3329" s="6" t="s">
        <v>249</v>
      </c>
      <c r="C3329" s="6" t="n">
        <v>3</v>
      </c>
      <c r="D3329" s="6" t="n">
        <v>34</v>
      </c>
      <c r="E3329" s="6" t="n">
        <v>1</v>
      </c>
      <c r="F3329" s="6" t="s">
        <v>3414</v>
      </c>
      <c r="G3329" s="28" t="str">
        <f aca="false">IFERROR(INDEX('Semrush Data'!$A$1:$Z$20000,MATCH(A3329,'Semrush Data'!$A$1:$A$20000,0),MATCH("Volume",'Semrush Data'!$A$1:$Z$1,0)),"")</f>
        <v/>
      </c>
      <c r="H3329" s="6" t="str">
        <f aca="false">IFERROR(INDEX('Semrush Data'!$A$1:$Z$20000,MATCH(A3329,'Semrush Data'!$A$1:$A$20000,0),MATCH("Keyword Difficulty*",'Semrush Data'!$A$1:$Z$1,0)),"")</f>
        <v/>
      </c>
      <c r="I3329" s="29" t="str">
        <f aca="false">IFERROR(INDEX('Semrush Data'!$A$1:$Z$20000,MATCH(A3329,'Semrush Data'!$A$1:$A$20000,0),MATCH("CPC*",'Semrush Data'!$A$1:$Z$1,0)),"")</f>
        <v/>
      </c>
      <c r="J3329" s="6" t="str">
        <f aca="false">IFERROR(INDEX('Semrush Data'!$A$1:$Z$20000,MATCH(A3329,'Semrush Data'!$A$1:$A$20000,0),MATCH("Intent",'Semrush Data'!$A$1:$Z$1,0)),"")</f>
        <v/>
      </c>
    </row>
    <row r="3330" customFormat="false" ht="15" hidden="false" customHeight="true" outlineLevel="0" collapsed="false">
      <c r="A3330" s="6" t="s">
        <v>3432</v>
      </c>
      <c r="B3330" s="6" t="s">
        <v>249</v>
      </c>
      <c r="C3330" s="6" t="n">
        <v>3</v>
      </c>
      <c r="D3330" s="6" t="n">
        <v>34</v>
      </c>
      <c r="E3330" s="6" t="n">
        <v>1</v>
      </c>
      <c r="F3330" s="6" t="s">
        <v>3427</v>
      </c>
      <c r="G3330" s="28" t="str">
        <f aca="false">IFERROR(INDEX('Semrush Data'!$A$1:$Z$20000,MATCH(A3330,'Semrush Data'!$A$1:$A$20000,0),MATCH("Volume",'Semrush Data'!$A$1:$Z$1,0)),"")</f>
        <v/>
      </c>
      <c r="H3330" s="6" t="str">
        <f aca="false">IFERROR(INDEX('Semrush Data'!$A$1:$Z$20000,MATCH(A3330,'Semrush Data'!$A$1:$A$20000,0),MATCH("Keyword Difficulty*",'Semrush Data'!$A$1:$Z$1,0)),"")</f>
        <v/>
      </c>
      <c r="I3330" s="29" t="str">
        <f aca="false">IFERROR(INDEX('Semrush Data'!$A$1:$Z$20000,MATCH(A3330,'Semrush Data'!$A$1:$A$20000,0),MATCH("CPC*",'Semrush Data'!$A$1:$Z$1,0)),"")</f>
        <v/>
      </c>
      <c r="J3330" s="6" t="str">
        <f aca="false">IFERROR(INDEX('Semrush Data'!$A$1:$Z$20000,MATCH(A3330,'Semrush Data'!$A$1:$A$20000,0),MATCH("Intent",'Semrush Data'!$A$1:$Z$1,0)),"")</f>
        <v/>
      </c>
    </row>
    <row r="3331" customFormat="false" ht="15" hidden="false" customHeight="true" outlineLevel="0" collapsed="false">
      <c r="A3331" s="6" t="s">
        <v>3465</v>
      </c>
      <c r="B3331" s="6" t="s">
        <v>249</v>
      </c>
      <c r="C3331" s="6" t="n">
        <v>3</v>
      </c>
      <c r="D3331" s="6" t="n">
        <v>34</v>
      </c>
      <c r="E3331" s="6" t="n">
        <v>1</v>
      </c>
      <c r="F3331" s="6" t="s">
        <v>3460</v>
      </c>
      <c r="G3331" s="28" t="str">
        <f aca="false">IFERROR(INDEX('Semrush Data'!$A$1:$Z$20000,MATCH(A3331,'Semrush Data'!$A$1:$A$20000,0),MATCH("Volume",'Semrush Data'!$A$1:$Z$1,0)),"")</f>
        <v/>
      </c>
      <c r="H3331" s="6" t="str">
        <f aca="false">IFERROR(INDEX('Semrush Data'!$A$1:$Z$20000,MATCH(A3331,'Semrush Data'!$A$1:$A$20000,0),MATCH("Keyword Difficulty*",'Semrush Data'!$A$1:$Z$1,0)),"")</f>
        <v/>
      </c>
      <c r="I3331" s="29" t="str">
        <f aca="false">IFERROR(INDEX('Semrush Data'!$A$1:$Z$20000,MATCH(A3331,'Semrush Data'!$A$1:$A$20000,0),MATCH("CPC*",'Semrush Data'!$A$1:$Z$1,0)),"")</f>
        <v/>
      </c>
      <c r="J3331" s="6" t="str">
        <f aca="false">IFERROR(INDEX('Semrush Data'!$A$1:$Z$20000,MATCH(A3331,'Semrush Data'!$A$1:$A$20000,0),MATCH("Intent",'Semrush Data'!$A$1:$Z$1,0)),"")</f>
        <v/>
      </c>
    </row>
    <row r="3332" customFormat="false" ht="15" hidden="false" customHeight="true" outlineLevel="0" collapsed="false">
      <c r="A3332" s="6" t="s">
        <v>3443</v>
      </c>
      <c r="B3332" s="6" t="s">
        <v>249</v>
      </c>
      <c r="C3332" s="6" t="n">
        <v>3</v>
      </c>
      <c r="D3332" s="6" t="n">
        <v>34</v>
      </c>
      <c r="E3332" s="6" t="n">
        <v>1</v>
      </c>
      <c r="F3332" s="6" t="s">
        <v>3438</v>
      </c>
      <c r="G3332" s="28" t="str">
        <f aca="false">IFERROR(INDEX('Semrush Data'!$A$1:$Z$20000,MATCH(A3332,'Semrush Data'!$A$1:$A$20000,0),MATCH("Volume",'Semrush Data'!$A$1:$Z$1,0)),"")</f>
        <v/>
      </c>
      <c r="H3332" s="6" t="str">
        <f aca="false">IFERROR(INDEX('Semrush Data'!$A$1:$Z$20000,MATCH(A3332,'Semrush Data'!$A$1:$A$20000,0),MATCH("Keyword Difficulty*",'Semrush Data'!$A$1:$Z$1,0)),"")</f>
        <v/>
      </c>
      <c r="I3332" s="29" t="str">
        <f aca="false">IFERROR(INDEX('Semrush Data'!$A$1:$Z$20000,MATCH(A3332,'Semrush Data'!$A$1:$A$20000,0),MATCH("CPC*",'Semrush Data'!$A$1:$Z$1,0)),"")</f>
        <v/>
      </c>
      <c r="J3332" s="6" t="str">
        <f aca="false">IFERROR(INDEX('Semrush Data'!$A$1:$Z$20000,MATCH(A3332,'Semrush Data'!$A$1:$A$20000,0),MATCH("Intent",'Semrush Data'!$A$1:$Z$1,0)),"")</f>
        <v/>
      </c>
    </row>
    <row r="3333" customFormat="false" ht="15" hidden="false" customHeight="true" outlineLevel="0" collapsed="false">
      <c r="A3333" s="6" t="s">
        <v>3453</v>
      </c>
      <c r="B3333" s="6" t="s">
        <v>249</v>
      </c>
      <c r="C3333" s="6" t="n">
        <v>3</v>
      </c>
      <c r="D3333" s="6" t="n">
        <v>34</v>
      </c>
      <c r="E3333" s="6" t="n">
        <v>1</v>
      </c>
      <c r="F3333" s="6" t="s">
        <v>111</v>
      </c>
      <c r="G3333" s="28" t="str">
        <f aca="false">IFERROR(INDEX('Semrush Data'!$A$1:$Z$20000,MATCH(A3333,'Semrush Data'!$A$1:$A$20000,0),MATCH("Volume",'Semrush Data'!$A$1:$Z$1,0)),"")</f>
        <v/>
      </c>
      <c r="H3333" s="6" t="str">
        <f aca="false">IFERROR(INDEX('Semrush Data'!$A$1:$Z$20000,MATCH(A3333,'Semrush Data'!$A$1:$A$20000,0),MATCH("Keyword Difficulty*",'Semrush Data'!$A$1:$Z$1,0)),"")</f>
        <v/>
      </c>
      <c r="I3333" s="29" t="str">
        <f aca="false">IFERROR(INDEX('Semrush Data'!$A$1:$Z$20000,MATCH(A3333,'Semrush Data'!$A$1:$A$20000,0),MATCH("CPC*",'Semrush Data'!$A$1:$Z$1,0)),"")</f>
        <v/>
      </c>
      <c r="J3333" s="6" t="str">
        <f aca="false">IFERROR(INDEX('Semrush Data'!$A$1:$Z$20000,MATCH(A3333,'Semrush Data'!$A$1:$A$20000,0),MATCH("Intent",'Semrush Data'!$A$1:$Z$1,0)),"")</f>
        <v/>
      </c>
    </row>
    <row r="3334" customFormat="false" ht="15" hidden="false" customHeight="true" outlineLevel="0" collapsed="false">
      <c r="A3334" s="6" t="s">
        <v>3486</v>
      </c>
      <c r="B3334" s="6" t="s">
        <v>249</v>
      </c>
      <c r="C3334" s="6" t="n">
        <v>3</v>
      </c>
      <c r="D3334" s="6" t="n">
        <v>34</v>
      </c>
      <c r="E3334" s="6" t="n">
        <v>1</v>
      </c>
      <c r="F3334" s="6" t="s">
        <v>3481</v>
      </c>
      <c r="G3334" s="28" t="str">
        <f aca="false">IFERROR(INDEX('Semrush Data'!$A$1:$Z$20000,MATCH(A3334,'Semrush Data'!$A$1:$A$20000,0),MATCH("Volume",'Semrush Data'!$A$1:$Z$1,0)),"")</f>
        <v/>
      </c>
      <c r="H3334" s="6" t="str">
        <f aca="false">IFERROR(INDEX('Semrush Data'!$A$1:$Z$20000,MATCH(A3334,'Semrush Data'!$A$1:$A$20000,0),MATCH("Keyword Difficulty*",'Semrush Data'!$A$1:$Z$1,0)),"")</f>
        <v/>
      </c>
      <c r="I3334" s="29" t="str">
        <f aca="false">IFERROR(INDEX('Semrush Data'!$A$1:$Z$20000,MATCH(A3334,'Semrush Data'!$A$1:$A$20000,0),MATCH("CPC*",'Semrush Data'!$A$1:$Z$1,0)),"")</f>
        <v/>
      </c>
      <c r="J3334" s="6" t="str">
        <f aca="false">IFERROR(INDEX('Semrush Data'!$A$1:$Z$20000,MATCH(A3334,'Semrush Data'!$A$1:$A$20000,0),MATCH("Intent",'Semrush Data'!$A$1:$Z$1,0)),"")</f>
        <v/>
      </c>
    </row>
    <row r="3335" customFormat="false" ht="15" hidden="false" customHeight="true" outlineLevel="0" collapsed="false">
      <c r="A3335" s="6" t="s">
        <v>3475</v>
      </c>
      <c r="B3335" s="6" t="s">
        <v>249</v>
      </c>
      <c r="C3335" s="6" t="n">
        <v>3</v>
      </c>
      <c r="D3335" s="6" t="n">
        <v>34</v>
      </c>
      <c r="E3335" s="6" t="n">
        <v>1</v>
      </c>
      <c r="F3335" s="6" t="s">
        <v>3469</v>
      </c>
      <c r="G3335" s="28" t="str">
        <f aca="false">IFERROR(INDEX('Semrush Data'!$A$1:$Z$20000,MATCH(A3335,'Semrush Data'!$A$1:$A$20000,0),MATCH("Volume",'Semrush Data'!$A$1:$Z$1,0)),"")</f>
        <v/>
      </c>
      <c r="H3335" s="6" t="str">
        <f aca="false">IFERROR(INDEX('Semrush Data'!$A$1:$Z$20000,MATCH(A3335,'Semrush Data'!$A$1:$A$20000,0),MATCH("Keyword Difficulty*",'Semrush Data'!$A$1:$Z$1,0)),"")</f>
        <v/>
      </c>
      <c r="I3335" s="29" t="str">
        <f aca="false">IFERROR(INDEX('Semrush Data'!$A$1:$Z$20000,MATCH(A3335,'Semrush Data'!$A$1:$A$20000,0),MATCH("CPC*",'Semrush Data'!$A$1:$Z$1,0)),"")</f>
        <v/>
      </c>
      <c r="J3335" s="6" t="str">
        <f aca="false">IFERROR(INDEX('Semrush Data'!$A$1:$Z$20000,MATCH(A3335,'Semrush Data'!$A$1:$A$20000,0),MATCH("Intent",'Semrush Data'!$A$1:$Z$1,0)),"")</f>
        <v/>
      </c>
    </row>
    <row r="3336" customFormat="false" ht="15" hidden="false" customHeight="true" outlineLevel="0" collapsed="false">
      <c r="A3336" s="6" t="s">
        <v>3507</v>
      </c>
      <c r="B3336" s="6" t="s">
        <v>249</v>
      </c>
      <c r="C3336" s="6" t="n">
        <v>3</v>
      </c>
      <c r="D3336" s="6" t="n">
        <v>34</v>
      </c>
      <c r="E3336" s="6" t="n">
        <v>1</v>
      </c>
      <c r="F3336" s="6" t="s">
        <v>121</v>
      </c>
      <c r="G3336" s="28" t="str">
        <f aca="false">IFERROR(INDEX('Semrush Data'!$A$1:$Z$20000,MATCH(A3336,'Semrush Data'!$A$1:$A$20000,0),MATCH("Volume",'Semrush Data'!$A$1:$Z$1,0)),"")</f>
        <v/>
      </c>
      <c r="H3336" s="6" t="str">
        <f aca="false">IFERROR(INDEX('Semrush Data'!$A$1:$Z$20000,MATCH(A3336,'Semrush Data'!$A$1:$A$20000,0),MATCH("Keyword Difficulty*",'Semrush Data'!$A$1:$Z$1,0)),"")</f>
        <v/>
      </c>
      <c r="I3336" s="29" t="str">
        <f aca="false">IFERROR(INDEX('Semrush Data'!$A$1:$Z$20000,MATCH(A3336,'Semrush Data'!$A$1:$A$20000,0),MATCH("CPC*",'Semrush Data'!$A$1:$Z$1,0)),"")</f>
        <v/>
      </c>
      <c r="J3336" s="6" t="str">
        <f aca="false">IFERROR(INDEX('Semrush Data'!$A$1:$Z$20000,MATCH(A3336,'Semrush Data'!$A$1:$A$20000,0),MATCH("Intent",'Semrush Data'!$A$1:$Z$1,0)),"")</f>
        <v/>
      </c>
    </row>
    <row r="3337" customFormat="false" ht="15" hidden="false" customHeight="true" outlineLevel="0" collapsed="false">
      <c r="A3337" s="6" t="s">
        <v>3497</v>
      </c>
      <c r="B3337" s="6" t="s">
        <v>249</v>
      </c>
      <c r="C3337" s="6" t="n">
        <v>3</v>
      </c>
      <c r="D3337" s="6" t="n">
        <v>34</v>
      </c>
      <c r="E3337" s="6" t="n">
        <v>1</v>
      </c>
      <c r="F3337" s="6" t="s">
        <v>3491</v>
      </c>
      <c r="G3337" s="28" t="str">
        <f aca="false">IFERROR(INDEX('Semrush Data'!$A$1:$Z$20000,MATCH(A3337,'Semrush Data'!$A$1:$A$20000,0),MATCH("Volume",'Semrush Data'!$A$1:$Z$1,0)),"")</f>
        <v/>
      </c>
      <c r="H3337" s="6" t="str">
        <f aca="false">IFERROR(INDEX('Semrush Data'!$A$1:$Z$20000,MATCH(A3337,'Semrush Data'!$A$1:$A$20000,0),MATCH("Keyword Difficulty*",'Semrush Data'!$A$1:$Z$1,0)),"")</f>
        <v/>
      </c>
      <c r="I3337" s="29" t="str">
        <f aca="false">IFERROR(INDEX('Semrush Data'!$A$1:$Z$20000,MATCH(A3337,'Semrush Data'!$A$1:$A$20000,0),MATCH("CPC*",'Semrush Data'!$A$1:$Z$1,0)),"")</f>
        <v/>
      </c>
      <c r="J3337" s="6" t="str">
        <f aca="false">IFERROR(INDEX('Semrush Data'!$A$1:$Z$20000,MATCH(A3337,'Semrush Data'!$A$1:$A$20000,0),MATCH("Intent",'Semrush Data'!$A$1:$Z$1,0)),"")</f>
        <v/>
      </c>
    </row>
    <row r="3338" customFormat="false" ht="15" hidden="false" customHeight="true" outlineLevel="0" collapsed="false">
      <c r="A3338" s="6" t="s">
        <v>3520</v>
      </c>
      <c r="B3338" s="6" t="s">
        <v>249</v>
      </c>
      <c r="C3338" s="6" t="n">
        <v>3</v>
      </c>
      <c r="D3338" s="6" t="n">
        <v>34</v>
      </c>
      <c r="E3338" s="6" t="n">
        <v>1</v>
      </c>
      <c r="F3338" s="6" t="s">
        <v>3514</v>
      </c>
      <c r="G3338" s="28" t="str">
        <f aca="false">IFERROR(INDEX('Semrush Data'!$A$1:$Z$20000,MATCH(A3338,'Semrush Data'!$A$1:$A$20000,0),MATCH("Volume",'Semrush Data'!$A$1:$Z$1,0)),"")</f>
        <v/>
      </c>
      <c r="H3338" s="6" t="str">
        <f aca="false">IFERROR(INDEX('Semrush Data'!$A$1:$Z$20000,MATCH(A3338,'Semrush Data'!$A$1:$A$20000,0),MATCH("Keyword Difficulty*",'Semrush Data'!$A$1:$Z$1,0)),"")</f>
        <v/>
      </c>
      <c r="I3338" s="29" t="str">
        <f aca="false">IFERROR(INDEX('Semrush Data'!$A$1:$Z$20000,MATCH(A3338,'Semrush Data'!$A$1:$A$20000,0),MATCH("CPC*",'Semrush Data'!$A$1:$Z$1,0)),"")</f>
        <v/>
      </c>
      <c r="J3338" s="6" t="str">
        <f aca="false">IFERROR(INDEX('Semrush Data'!$A$1:$Z$20000,MATCH(A3338,'Semrush Data'!$A$1:$A$20000,0),MATCH("Intent",'Semrush Data'!$A$1:$Z$1,0)),"")</f>
        <v/>
      </c>
    </row>
    <row r="3339" customFormat="false" ht="15" hidden="false" customHeight="true" outlineLevel="0" collapsed="false">
      <c r="A3339" s="6" t="s">
        <v>3530</v>
      </c>
      <c r="B3339" s="6" t="s">
        <v>249</v>
      </c>
      <c r="C3339" s="6" t="n">
        <v>3</v>
      </c>
      <c r="D3339" s="6" t="n">
        <v>34</v>
      </c>
      <c r="E3339" s="6" t="n">
        <v>1</v>
      </c>
      <c r="F3339" s="6" t="s">
        <v>93</v>
      </c>
      <c r="G3339" s="28" t="str">
        <f aca="false">IFERROR(INDEX('Semrush Data'!$A$1:$Z$20000,MATCH(A3339,'Semrush Data'!$A$1:$A$20000,0),MATCH("Volume",'Semrush Data'!$A$1:$Z$1,0)),"")</f>
        <v/>
      </c>
      <c r="H3339" s="6" t="str">
        <f aca="false">IFERROR(INDEX('Semrush Data'!$A$1:$Z$20000,MATCH(A3339,'Semrush Data'!$A$1:$A$20000,0),MATCH("Keyword Difficulty*",'Semrush Data'!$A$1:$Z$1,0)),"")</f>
        <v/>
      </c>
      <c r="I3339" s="29" t="str">
        <f aca="false">IFERROR(INDEX('Semrush Data'!$A$1:$Z$20000,MATCH(A3339,'Semrush Data'!$A$1:$A$20000,0),MATCH("CPC*",'Semrush Data'!$A$1:$Z$1,0)),"")</f>
        <v/>
      </c>
      <c r="J3339" s="6" t="str">
        <f aca="false">IFERROR(INDEX('Semrush Data'!$A$1:$Z$20000,MATCH(A3339,'Semrush Data'!$A$1:$A$20000,0),MATCH("Intent",'Semrush Data'!$A$1:$Z$1,0)),"")</f>
        <v/>
      </c>
    </row>
    <row r="3340" customFormat="false" ht="15" hidden="false" customHeight="true" outlineLevel="0" collapsed="false">
      <c r="A3340" s="6" t="s">
        <v>2294</v>
      </c>
      <c r="B3340" s="6" t="s">
        <v>249</v>
      </c>
      <c r="C3340" s="6" t="n">
        <v>3</v>
      </c>
      <c r="D3340" s="6" t="n">
        <v>34</v>
      </c>
      <c r="E3340" s="6" t="n">
        <v>1</v>
      </c>
      <c r="F3340" s="6" t="s">
        <v>1246</v>
      </c>
      <c r="G3340" s="28" t="str">
        <f aca="false">IFERROR(INDEX('Semrush Data'!$A$1:$Z$20000,MATCH(A3340,'Semrush Data'!$A$1:$A$20000,0),MATCH("Volume",'Semrush Data'!$A$1:$Z$1,0)),"")</f>
        <v/>
      </c>
      <c r="H3340" s="6" t="str">
        <f aca="false">IFERROR(INDEX('Semrush Data'!$A$1:$Z$20000,MATCH(A3340,'Semrush Data'!$A$1:$A$20000,0),MATCH("Keyword Difficulty*",'Semrush Data'!$A$1:$Z$1,0)),"")</f>
        <v/>
      </c>
      <c r="I3340" s="29" t="str">
        <f aca="false">IFERROR(INDEX('Semrush Data'!$A$1:$Z$20000,MATCH(A3340,'Semrush Data'!$A$1:$A$20000,0),MATCH("CPC*",'Semrush Data'!$A$1:$Z$1,0)),"")</f>
        <v/>
      </c>
      <c r="J3340" s="6" t="str">
        <f aca="false">IFERROR(INDEX('Semrush Data'!$A$1:$Z$20000,MATCH(A3340,'Semrush Data'!$A$1:$A$20000,0),MATCH("Intent",'Semrush Data'!$A$1:$Z$1,0)),"")</f>
        <v/>
      </c>
    </row>
    <row r="3341" customFormat="false" ht="15" hidden="false" customHeight="true" outlineLevel="0" collapsed="false">
      <c r="A3341" s="6" t="s">
        <v>1983</v>
      </c>
      <c r="B3341" s="6" t="s">
        <v>249</v>
      </c>
      <c r="C3341" s="6" t="n">
        <v>3</v>
      </c>
      <c r="D3341" s="6" t="n">
        <v>34</v>
      </c>
      <c r="E3341" s="6" t="n">
        <v>1</v>
      </c>
      <c r="F3341" s="6" t="s">
        <v>939</v>
      </c>
      <c r="G3341" s="28" t="str">
        <f aca="false">IFERROR(INDEX('Semrush Data'!$A$1:$Z$20000,MATCH(A3341,'Semrush Data'!$A$1:$A$20000,0),MATCH("Volume",'Semrush Data'!$A$1:$Z$1,0)),"")</f>
        <v/>
      </c>
      <c r="H3341" s="6" t="str">
        <f aca="false">IFERROR(INDEX('Semrush Data'!$A$1:$Z$20000,MATCH(A3341,'Semrush Data'!$A$1:$A$20000,0),MATCH("Keyword Difficulty*",'Semrush Data'!$A$1:$Z$1,0)),"")</f>
        <v/>
      </c>
      <c r="I3341" s="29" t="str">
        <f aca="false">IFERROR(INDEX('Semrush Data'!$A$1:$Z$20000,MATCH(A3341,'Semrush Data'!$A$1:$A$20000,0),MATCH("CPC*",'Semrush Data'!$A$1:$Z$1,0)),"")</f>
        <v/>
      </c>
      <c r="J3341" s="6" t="str">
        <f aca="false">IFERROR(INDEX('Semrush Data'!$A$1:$Z$20000,MATCH(A3341,'Semrush Data'!$A$1:$A$20000,0),MATCH("Intent",'Semrush Data'!$A$1:$Z$1,0)),"")</f>
        <v/>
      </c>
    </row>
    <row r="3342" customFormat="false" ht="15" hidden="false" customHeight="true" outlineLevel="0" collapsed="false">
      <c r="A3342" s="6" t="s">
        <v>2385</v>
      </c>
      <c r="B3342" s="6" t="s">
        <v>249</v>
      </c>
      <c r="C3342" s="6" t="n">
        <v>3</v>
      </c>
      <c r="D3342" s="6" t="n">
        <v>34</v>
      </c>
      <c r="E3342" s="6" t="n">
        <v>1</v>
      </c>
      <c r="F3342" s="6" t="s">
        <v>1338</v>
      </c>
      <c r="G3342" s="28" t="str">
        <f aca="false">IFERROR(INDEX('Semrush Data'!$A$1:$Z$20000,MATCH(A3342,'Semrush Data'!$A$1:$A$20000,0),MATCH("Volume",'Semrush Data'!$A$1:$Z$1,0)),"")</f>
        <v/>
      </c>
      <c r="H3342" s="6" t="str">
        <f aca="false">IFERROR(INDEX('Semrush Data'!$A$1:$Z$20000,MATCH(A3342,'Semrush Data'!$A$1:$A$20000,0),MATCH("Keyword Difficulty*",'Semrush Data'!$A$1:$Z$1,0)),"")</f>
        <v/>
      </c>
      <c r="I3342" s="29" t="str">
        <f aca="false">IFERROR(INDEX('Semrush Data'!$A$1:$Z$20000,MATCH(A3342,'Semrush Data'!$A$1:$A$20000,0),MATCH("CPC*",'Semrush Data'!$A$1:$Z$1,0)),"")</f>
        <v/>
      </c>
      <c r="J3342" s="6" t="str">
        <f aca="false">IFERROR(INDEX('Semrush Data'!$A$1:$Z$20000,MATCH(A3342,'Semrush Data'!$A$1:$A$20000,0),MATCH("Intent",'Semrush Data'!$A$1:$Z$1,0)),"")</f>
        <v/>
      </c>
    </row>
    <row r="3343" customFormat="false" ht="15" hidden="false" customHeight="true" outlineLevel="0" collapsed="false">
      <c r="A3343" s="6" t="s">
        <v>2320</v>
      </c>
      <c r="B3343" s="6" t="s">
        <v>249</v>
      </c>
      <c r="C3343" s="6" t="n">
        <v>3</v>
      </c>
      <c r="D3343" s="6" t="n">
        <v>34</v>
      </c>
      <c r="E3343" s="6" t="n">
        <v>1</v>
      </c>
      <c r="F3343" s="6" t="s">
        <v>1272</v>
      </c>
      <c r="G3343" s="28" t="str">
        <f aca="false">IFERROR(INDEX('Semrush Data'!$A$1:$Z$20000,MATCH(A3343,'Semrush Data'!$A$1:$A$20000,0),MATCH("Volume",'Semrush Data'!$A$1:$Z$1,0)),"")</f>
        <v/>
      </c>
      <c r="H3343" s="6" t="str">
        <f aca="false">IFERROR(INDEX('Semrush Data'!$A$1:$Z$20000,MATCH(A3343,'Semrush Data'!$A$1:$A$20000,0),MATCH("Keyword Difficulty*",'Semrush Data'!$A$1:$Z$1,0)),"")</f>
        <v/>
      </c>
      <c r="I3343" s="29" t="str">
        <f aca="false">IFERROR(INDEX('Semrush Data'!$A$1:$Z$20000,MATCH(A3343,'Semrush Data'!$A$1:$A$20000,0),MATCH("CPC*",'Semrush Data'!$A$1:$Z$1,0)),"")</f>
        <v/>
      </c>
      <c r="J3343" s="6" t="str">
        <f aca="false">IFERROR(INDEX('Semrush Data'!$A$1:$Z$20000,MATCH(A3343,'Semrush Data'!$A$1:$A$20000,0),MATCH("Intent",'Semrush Data'!$A$1:$Z$1,0)),"")</f>
        <v/>
      </c>
    </row>
    <row r="3344" customFormat="false" ht="15" hidden="false" customHeight="true" outlineLevel="0" collapsed="false">
      <c r="A3344" s="6" t="s">
        <v>2326</v>
      </c>
      <c r="B3344" s="6" t="s">
        <v>249</v>
      </c>
      <c r="C3344" s="6" t="n">
        <v>3</v>
      </c>
      <c r="D3344" s="6" t="n">
        <v>34</v>
      </c>
      <c r="E3344" s="6" t="n">
        <v>1</v>
      </c>
      <c r="F3344" s="6" t="s">
        <v>1278</v>
      </c>
      <c r="G3344" s="28" t="str">
        <f aca="false">IFERROR(INDEX('Semrush Data'!$A$1:$Z$20000,MATCH(A3344,'Semrush Data'!$A$1:$A$20000,0),MATCH("Volume",'Semrush Data'!$A$1:$Z$1,0)),"")</f>
        <v/>
      </c>
      <c r="H3344" s="6" t="str">
        <f aca="false">IFERROR(INDEX('Semrush Data'!$A$1:$Z$20000,MATCH(A3344,'Semrush Data'!$A$1:$A$20000,0),MATCH("Keyword Difficulty*",'Semrush Data'!$A$1:$Z$1,0)),"")</f>
        <v/>
      </c>
      <c r="I3344" s="29" t="str">
        <f aca="false">IFERROR(INDEX('Semrush Data'!$A$1:$Z$20000,MATCH(A3344,'Semrush Data'!$A$1:$A$20000,0),MATCH("CPC*",'Semrush Data'!$A$1:$Z$1,0)),"")</f>
        <v/>
      </c>
      <c r="J3344" s="6" t="str">
        <f aca="false">IFERROR(INDEX('Semrush Data'!$A$1:$Z$20000,MATCH(A3344,'Semrush Data'!$A$1:$A$20000,0),MATCH("Intent",'Semrush Data'!$A$1:$Z$1,0)),"")</f>
        <v/>
      </c>
    </row>
    <row r="3345" customFormat="false" ht="15" hidden="false" customHeight="true" outlineLevel="0" collapsed="false">
      <c r="A3345" s="6" t="s">
        <v>1960</v>
      </c>
      <c r="B3345" s="6" t="s">
        <v>249</v>
      </c>
      <c r="C3345" s="6" t="n">
        <v>3</v>
      </c>
      <c r="D3345" s="6" t="n">
        <v>34</v>
      </c>
      <c r="E3345" s="6" t="n">
        <v>1</v>
      </c>
      <c r="F3345" s="6" t="s">
        <v>920</v>
      </c>
      <c r="G3345" s="28" t="str">
        <f aca="false">IFERROR(INDEX('Semrush Data'!$A$1:$Z$20000,MATCH(A3345,'Semrush Data'!$A$1:$A$20000,0),MATCH("Volume",'Semrush Data'!$A$1:$Z$1,0)),"")</f>
        <v/>
      </c>
      <c r="H3345" s="6" t="str">
        <f aca="false">IFERROR(INDEX('Semrush Data'!$A$1:$Z$20000,MATCH(A3345,'Semrush Data'!$A$1:$A$20000,0),MATCH("Keyword Difficulty*",'Semrush Data'!$A$1:$Z$1,0)),"")</f>
        <v/>
      </c>
      <c r="I3345" s="29" t="str">
        <f aca="false">IFERROR(INDEX('Semrush Data'!$A$1:$Z$20000,MATCH(A3345,'Semrush Data'!$A$1:$A$20000,0),MATCH("CPC*",'Semrush Data'!$A$1:$Z$1,0)),"")</f>
        <v/>
      </c>
      <c r="J3345" s="6" t="str">
        <f aca="false">IFERROR(INDEX('Semrush Data'!$A$1:$Z$20000,MATCH(A3345,'Semrush Data'!$A$1:$A$20000,0),MATCH("Intent",'Semrush Data'!$A$1:$Z$1,0)),"")</f>
        <v/>
      </c>
    </row>
    <row r="3346" customFormat="false" ht="15" hidden="false" customHeight="true" outlineLevel="0" collapsed="false">
      <c r="A3346" s="6" t="s">
        <v>2168</v>
      </c>
      <c r="B3346" s="6" t="s">
        <v>249</v>
      </c>
      <c r="C3346" s="6" t="n">
        <v>3</v>
      </c>
      <c r="D3346" s="6" t="n">
        <v>34</v>
      </c>
      <c r="E3346" s="6" t="n">
        <v>1</v>
      </c>
      <c r="F3346" s="6" t="s">
        <v>1117</v>
      </c>
      <c r="G3346" s="28" t="str">
        <f aca="false">IFERROR(INDEX('Semrush Data'!$A$1:$Z$20000,MATCH(A3346,'Semrush Data'!$A$1:$A$20000,0),MATCH("Volume",'Semrush Data'!$A$1:$Z$1,0)),"")</f>
        <v/>
      </c>
      <c r="H3346" s="6" t="str">
        <f aca="false">IFERROR(INDEX('Semrush Data'!$A$1:$Z$20000,MATCH(A3346,'Semrush Data'!$A$1:$A$20000,0),MATCH("Keyword Difficulty*",'Semrush Data'!$A$1:$Z$1,0)),"")</f>
        <v/>
      </c>
      <c r="I3346" s="29" t="str">
        <f aca="false">IFERROR(INDEX('Semrush Data'!$A$1:$Z$20000,MATCH(A3346,'Semrush Data'!$A$1:$A$20000,0),MATCH("CPC*",'Semrush Data'!$A$1:$Z$1,0)),"")</f>
        <v/>
      </c>
      <c r="J3346" s="6" t="str">
        <f aca="false">IFERROR(INDEX('Semrush Data'!$A$1:$Z$20000,MATCH(A3346,'Semrush Data'!$A$1:$A$20000,0),MATCH("Intent",'Semrush Data'!$A$1:$Z$1,0)),"")</f>
        <v/>
      </c>
    </row>
    <row r="3347" customFormat="false" ht="15" hidden="false" customHeight="true" outlineLevel="0" collapsed="false">
      <c r="A3347" s="6" t="s">
        <v>2268</v>
      </c>
      <c r="B3347" s="6" t="s">
        <v>249</v>
      </c>
      <c r="C3347" s="6" t="n">
        <v>3</v>
      </c>
      <c r="D3347" s="6" t="n">
        <v>34</v>
      </c>
      <c r="E3347" s="6" t="n">
        <v>1</v>
      </c>
      <c r="F3347" s="6" t="s">
        <v>1219</v>
      </c>
      <c r="G3347" s="28" t="str">
        <f aca="false">IFERROR(INDEX('Semrush Data'!$A$1:$Z$20000,MATCH(A3347,'Semrush Data'!$A$1:$A$20000,0),MATCH("Volume",'Semrush Data'!$A$1:$Z$1,0)),"")</f>
        <v/>
      </c>
      <c r="H3347" s="6" t="str">
        <f aca="false">IFERROR(INDEX('Semrush Data'!$A$1:$Z$20000,MATCH(A3347,'Semrush Data'!$A$1:$A$20000,0),MATCH("Keyword Difficulty*",'Semrush Data'!$A$1:$Z$1,0)),"")</f>
        <v/>
      </c>
      <c r="I3347" s="29" t="str">
        <f aca="false">IFERROR(INDEX('Semrush Data'!$A$1:$Z$20000,MATCH(A3347,'Semrush Data'!$A$1:$A$20000,0),MATCH("CPC*",'Semrush Data'!$A$1:$Z$1,0)),"")</f>
        <v/>
      </c>
      <c r="J3347" s="6" t="str">
        <f aca="false">IFERROR(INDEX('Semrush Data'!$A$1:$Z$20000,MATCH(A3347,'Semrush Data'!$A$1:$A$20000,0),MATCH("Intent",'Semrush Data'!$A$1:$Z$1,0)),"")</f>
        <v/>
      </c>
    </row>
    <row r="3348" customFormat="false" ht="15" hidden="false" customHeight="true" outlineLevel="0" collapsed="false">
      <c r="A3348" s="6" t="s">
        <v>2005</v>
      </c>
      <c r="B3348" s="6" t="s">
        <v>249</v>
      </c>
      <c r="C3348" s="6" t="n">
        <v>3</v>
      </c>
      <c r="D3348" s="6" t="n">
        <v>34</v>
      </c>
      <c r="E3348" s="6" t="n">
        <v>1</v>
      </c>
      <c r="F3348" s="6" t="s">
        <v>958</v>
      </c>
      <c r="G3348" s="28" t="str">
        <f aca="false">IFERROR(INDEX('Semrush Data'!$A$1:$Z$20000,MATCH(A3348,'Semrush Data'!$A$1:$A$20000,0),MATCH("Volume",'Semrush Data'!$A$1:$Z$1,0)),"")</f>
        <v/>
      </c>
      <c r="H3348" s="6" t="str">
        <f aca="false">IFERROR(INDEX('Semrush Data'!$A$1:$Z$20000,MATCH(A3348,'Semrush Data'!$A$1:$A$20000,0),MATCH("Keyword Difficulty*",'Semrush Data'!$A$1:$Z$1,0)),"")</f>
        <v/>
      </c>
      <c r="I3348" s="29" t="str">
        <f aca="false">IFERROR(INDEX('Semrush Data'!$A$1:$Z$20000,MATCH(A3348,'Semrush Data'!$A$1:$A$20000,0),MATCH("CPC*",'Semrush Data'!$A$1:$Z$1,0)),"")</f>
        <v/>
      </c>
      <c r="J3348" s="6" t="str">
        <f aca="false">IFERROR(INDEX('Semrush Data'!$A$1:$Z$20000,MATCH(A3348,'Semrush Data'!$A$1:$A$20000,0),MATCH("Intent",'Semrush Data'!$A$1:$Z$1,0)),"")</f>
        <v/>
      </c>
    </row>
    <row r="3349" customFormat="false" ht="15" hidden="false" customHeight="true" outlineLevel="0" collapsed="false">
      <c r="A3349" s="6" t="s">
        <v>2262</v>
      </c>
      <c r="B3349" s="6" t="s">
        <v>249</v>
      </c>
      <c r="C3349" s="6" t="n">
        <v>3</v>
      </c>
      <c r="D3349" s="6" t="n">
        <v>34</v>
      </c>
      <c r="E3349" s="6" t="n">
        <v>1</v>
      </c>
      <c r="F3349" s="6" t="s">
        <v>1213</v>
      </c>
      <c r="G3349" s="28" t="str">
        <f aca="false">IFERROR(INDEX('Semrush Data'!$A$1:$Z$20000,MATCH(A3349,'Semrush Data'!$A$1:$A$20000,0),MATCH("Volume",'Semrush Data'!$A$1:$Z$1,0)),"")</f>
        <v/>
      </c>
      <c r="H3349" s="6" t="str">
        <f aca="false">IFERROR(INDEX('Semrush Data'!$A$1:$Z$20000,MATCH(A3349,'Semrush Data'!$A$1:$A$20000,0),MATCH("Keyword Difficulty*",'Semrush Data'!$A$1:$Z$1,0)),"")</f>
        <v/>
      </c>
      <c r="I3349" s="29" t="str">
        <f aca="false">IFERROR(INDEX('Semrush Data'!$A$1:$Z$20000,MATCH(A3349,'Semrush Data'!$A$1:$A$20000,0),MATCH("CPC*",'Semrush Data'!$A$1:$Z$1,0)),"")</f>
        <v/>
      </c>
      <c r="J3349" s="6" t="str">
        <f aca="false">IFERROR(INDEX('Semrush Data'!$A$1:$Z$20000,MATCH(A3349,'Semrush Data'!$A$1:$A$20000,0),MATCH("Intent",'Semrush Data'!$A$1:$Z$1,0)),"")</f>
        <v/>
      </c>
    </row>
    <row r="3350" customFormat="false" ht="15" hidden="false" customHeight="true" outlineLevel="0" collapsed="false">
      <c r="A3350" s="6" t="s">
        <v>2201</v>
      </c>
      <c r="B3350" s="6" t="s">
        <v>249</v>
      </c>
      <c r="C3350" s="6" t="n">
        <v>3</v>
      </c>
      <c r="D3350" s="6" t="n">
        <v>34</v>
      </c>
      <c r="E3350" s="6" t="n">
        <v>1</v>
      </c>
      <c r="F3350" s="6" t="s">
        <v>1150</v>
      </c>
      <c r="G3350" s="28" t="str">
        <f aca="false">IFERROR(INDEX('Semrush Data'!$A$1:$Z$20000,MATCH(A3350,'Semrush Data'!$A$1:$A$20000,0),MATCH("Volume",'Semrush Data'!$A$1:$Z$1,0)),"")</f>
        <v/>
      </c>
      <c r="H3350" s="6" t="str">
        <f aca="false">IFERROR(INDEX('Semrush Data'!$A$1:$Z$20000,MATCH(A3350,'Semrush Data'!$A$1:$A$20000,0),MATCH("Keyword Difficulty*",'Semrush Data'!$A$1:$Z$1,0)),"")</f>
        <v/>
      </c>
      <c r="I3350" s="29" t="str">
        <f aca="false">IFERROR(INDEX('Semrush Data'!$A$1:$Z$20000,MATCH(A3350,'Semrush Data'!$A$1:$A$20000,0),MATCH("CPC*",'Semrush Data'!$A$1:$Z$1,0)),"")</f>
        <v/>
      </c>
      <c r="J3350" s="6" t="str">
        <f aca="false">IFERROR(INDEX('Semrush Data'!$A$1:$Z$20000,MATCH(A3350,'Semrush Data'!$A$1:$A$20000,0),MATCH("Intent",'Semrush Data'!$A$1:$Z$1,0)),"")</f>
        <v/>
      </c>
    </row>
    <row r="3351" customFormat="false" ht="15" hidden="false" customHeight="true" outlineLevel="0" collapsed="false">
      <c r="A3351" s="6" t="s">
        <v>2281</v>
      </c>
      <c r="B3351" s="6" t="s">
        <v>249</v>
      </c>
      <c r="C3351" s="6" t="n">
        <v>3</v>
      </c>
      <c r="D3351" s="6" t="n">
        <v>34</v>
      </c>
      <c r="E3351" s="6" t="n">
        <v>1</v>
      </c>
      <c r="F3351" s="6" t="s">
        <v>1232</v>
      </c>
      <c r="G3351" s="28" t="str">
        <f aca="false">IFERROR(INDEX('Semrush Data'!$A$1:$Z$20000,MATCH(A3351,'Semrush Data'!$A$1:$A$20000,0),MATCH("Volume",'Semrush Data'!$A$1:$Z$1,0)),"")</f>
        <v/>
      </c>
      <c r="H3351" s="6" t="str">
        <f aca="false">IFERROR(INDEX('Semrush Data'!$A$1:$Z$20000,MATCH(A3351,'Semrush Data'!$A$1:$A$20000,0),MATCH("Keyword Difficulty*",'Semrush Data'!$A$1:$Z$1,0)),"")</f>
        <v/>
      </c>
      <c r="I3351" s="29" t="str">
        <f aca="false">IFERROR(INDEX('Semrush Data'!$A$1:$Z$20000,MATCH(A3351,'Semrush Data'!$A$1:$A$20000,0),MATCH("CPC*",'Semrush Data'!$A$1:$Z$1,0)),"")</f>
        <v/>
      </c>
      <c r="J3351" s="6" t="str">
        <f aca="false">IFERROR(INDEX('Semrush Data'!$A$1:$Z$20000,MATCH(A3351,'Semrush Data'!$A$1:$A$20000,0),MATCH("Intent",'Semrush Data'!$A$1:$Z$1,0)),"")</f>
        <v/>
      </c>
    </row>
    <row r="3352" customFormat="false" ht="15" hidden="false" customHeight="true" outlineLevel="0" collapsed="false">
      <c r="A3352" s="6" t="s">
        <v>2189</v>
      </c>
      <c r="B3352" s="6" t="s">
        <v>249</v>
      </c>
      <c r="C3352" s="6" t="n">
        <v>3</v>
      </c>
      <c r="D3352" s="6" t="n">
        <v>34</v>
      </c>
      <c r="E3352" s="6" t="n">
        <v>1</v>
      </c>
      <c r="F3352" s="6" t="s">
        <v>1135</v>
      </c>
      <c r="G3352" s="28" t="str">
        <f aca="false">IFERROR(INDEX('Semrush Data'!$A$1:$Z$20000,MATCH(A3352,'Semrush Data'!$A$1:$A$20000,0),MATCH("Volume",'Semrush Data'!$A$1:$Z$1,0)),"")</f>
        <v/>
      </c>
      <c r="H3352" s="6" t="str">
        <f aca="false">IFERROR(INDEX('Semrush Data'!$A$1:$Z$20000,MATCH(A3352,'Semrush Data'!$A$1:$A$20000,0),MATCH("Keyword Difficulty*",'Semrush Data'!$A$1:$Z$1,0)),"")</f>
        <v/>
      </c>
      <c r="I3352" s="29" t="str">
        <f aca="false">IFERROR(INDEX('Semrush Data'!$A$1:$Z$20000,MATCH(A3352,'Semrush Data'!$A$1:$A$20000,0),MATCH("CPC*",'Semrush Data'!$A$1:$Z$1,0)),"")</f>
        <v/>
      </c>
      <c r="J3352" s="6" t="str">
        <f aca="false">IFERROR(INDEX('Semrush Data'!$A$1:$Z$20000,MATCH(A3352,'Semrush Data'!$A$1:$A$20000,0),MATCH("Intent",'Semrush Data'!$A$1:$Z$1,0)),"")</f>
        <v/>
      </c>
    </row>
    <row r="3353" customFormat="false" ht="15" hidden="false" customHeight="true" outlineLevel="0" collapsed="false">
      <c r="A3353" s="6" t="s">
        <v>2350</v>
      </c>
      <c r="B3353" s="6" t="s">
        <v>249</v>
      </c>
      <c r="C3353" s="6" t="n">
        <v>3</v>
      </c>
      <c r="D3353" s="6" t="n">
        <v>34</v>
      </c>
      <c r="E3353" s="6" t="n">
        <v>1</v>
      </c>
      <c r="F3353" s="6" t="s">
        <v>1302</v>
      </c>
      <c r="G3353" s="28" t="str">
        <f aca="false">IFERROR(INDEX('Semrush Data'!$A$1:$Z$20000,MATCH(A3353,'Semrush Data'!$A$1:$A$20000,0),MATCH("Volume",'Semrush Data'!$A$1:$Z$1,0)),"")</f>
        <v/>
      </c>
      <c r="H3353" s="6" t="str">
        <f aca="false">IFERROR(INDEX('Semrush Data'!$A$1:$Z$20000,MATCH(A3353,'Semrush Data'!$A$1:$A$20000,0),MATCH("Keyword Difficulty*",'Semrush Data'!$A$1:$Z$1,0)),"")</f>
        <v/>
      </c>
      <c r="I3353" s="29" t="str">
        <f aca="false">IFERROR(INDEX('Semrush Data'!$A$1:$Z$20000,MATCH(A3353,'Semrush Data'!$A$1:$A$20000,0),MATCH("CPC*",'Semrush Data'!$A$1:$Z$1,0)),"")</f>
        <v/>
      </c>
      <c r="J3353" s="6" t="str">
        <f aca="false">IFERROR(INDEX('Semrush Data'!$A$1:$Z$20000,MATCH(A3353,'Semrush Data'!$A$1:$A$20000,0),MATCH("Intent",'Semrush Data'!$A$1:$Z$1,0)),"")</f>
        <v/>
      </c>
    </row>
    <row r="3354" customFormat="false" ht="15" hidden="false" customHeight="true" outlineLevel="0" collapsed="false">
      <c r="A3354" s="6" t="s">
        <v>1967</v>
      </c>
      <c r="B3354" s="6" t="s">
        <v>249</v>
      </c>
      <c r="C3354" s="6" t="n">
        <v>3</v>
      </c>
      <c r="D3354" s="6" t="n">
        <v>34</v>
      </c>
      <c r="E3354" s="6" t="n">
        <v>1</v>
      </c>
      <c r="F3354" s="6" t="s">
        <v>926</v>
      </c>
      <c r="G3354" s="28" t="str">
        <f aca="false">IFERROR(INDEX('Semrush Data'!$A$1:$Z$20000,MATCH(A3354,'Semrush Data'!$A$1:$A$20000,0),MATCH("Volume",'Semrush Data'!$A$1:$Z$1,0)),"")</f>
        <v/>
      </c>
      <c r="H3354" s="6" t="str">
        <f aca="false">IFERROR(INDEX('Semrush Data'!$A$1:$Z$20000,MATCH(A3354,'Semrush Data'!$A$1:$A$20000,0),MATCH("Keyword Difficulty*",'Semrush Data'!$A$1:$Z$1,0)),"")</f>
        <v/>
      </c>
      <c r="I3354" s="29" t="str">
        <f aca="false">IFERROR(INDEX('Semrush Data'!$A$1:$Z$20000,MATCH(A3354,'Semrush Data'!$A$1:$A$20000,0),MATCH("CPC*",'Semrush Data'!$A$1:$Z$1,0)),"")</f>
        <v/>
      </c>
      <c r="J3354" s="6" t="str">
        <f aca="false">IFERROR(INDEX('Semrush Data'!$A$1:$Z$20000,MATCH(A3354,'Semrush Data'!$A$1:$A$20000,0),MATCH("Intent",'Semrush Data'!$A$1:$Z$1,0)),"")</f>
        <v/>
      </c>
    </row>
    <row r="3355" customFormat="false" ht="15" hidden="false" customHeight="true" outlineLevel="0" collapsed="false">
      <c r="A3355" s="6" t="s">
        <v>2208</v>
      </c>
      <c r="B3355" s="6" t="s">
        <v>249</v>
      </c>
      <c r="C3355" s="6" t="n">
        <v>3</v>
      </c>
      <c r="D3355" s="6" t="n">
        <v>34</v>
      </c>
      <c r="E3355" s="6" t="n">
        <v>1</v>
      </c>
      <c r="F3355" s="6" t="s">
        <v>1157</v>
      </c>
      <c r="G3355" s="28" t="str">
        <f aca="false">IFERROR(INDEX('Semrush Data'!$A$1:$Z$20000,MATCH(A3355,'Semrush Data'!$A$1:$A$20000,0),MATCH("Volume",'Semrush Data'!$A$1:$Z$1,0)),"")</f>
        <v/>
      </c>
      <c r="H3355" s="6" t="str">
        <f aca="false">IFERROR(INDEX('Semrush Data'!$A$1:$Z$20000,MATCH(A3355,'Semrush Data'!$A$1:$A$20000,0),MATCH("Keyword Difficulty*",'Semrush Data'!$A$1:$Z$1,0)),"")</f>
        <v/>
      </c>
      <c r="I3355" s="29" t="str">
        <f aca="false">IFERROR(INDEX('Semrush Data'!$A$1:$Z$20000,MATCH(A3355,'Semrush Data'!$A$1:$A$20000,0),MATCH("CPC*",'Semrush Data'!$A$1:$Z$1,0)),"")</f>
        <v/>
      </c>
      <c r="J3355" s="6" t="str">
        <f aca="false">IFERROR(INDEX('Semrush Data'!$A$1:$Z$20000,MATCH(A3355,'Semrush Data'!$A$1:$A$20000,0),MATCH("Intent",'Semrush Data'!$A$1:$Z$1,0)),"")</f>
        <v/>
      </c>
    </row>
    <row r="3356" customFormat="false" ht="15" hidden="false" customHeight="true" outlineLevel="0" collapsed="false">
      <c r="A3356" s="6" t="s">
        <v>1952</v>
      </c>
      <c r="B3356" s="6" t="s">
        <v>249</v>
      </c>
      <c r="C3356" s="6" t="n">
        <v>3</v>
      </c>
      <c r="D3356" s="6" t="n">
        <v>34</v>
      </c>
      <c r="E3356" s="6" t="n">
        <v>1</v>
      </c>
      <c r="F3356" s="6" t="s">
        <v>914</v>
      </c>
      <c r="G3356" s="28" t="str">
        <f aca="false">IFERROR(INDEX('Semrush Data'!$A$1:$Z$20000,MATCH(A3356,'Semrush Data'!$A$1:$A$20000,0),MATCH("Volume",'Semrush Data'!$A$1:$Z$1,0)),"")</f>
        <v/>
      </c>
      <c r="H3356" s="6" t="str">
        <f aca="false">IFERROR(INDEX('Semrush Data'!$A$1:$Z$20000,MATCH(A3356,'Semrush Data'!$A$1:$A$20000,0),MATCH("Keyword Difficulty*",'Semrush Data'!$A$1:$Z$1,0)),"")</f>
        <v/>
      </c>
      <c r="I3356" s="29" t="str">
        <f aca="false">IFERROR(INDEX('Semrush Data'!$A$1:$Z$20000,MATCH(A3356,'Semrush Data'!$A$1:$A$20000,0),MATCH("CPC*",'Semrush Data'!$A$1:$Z$1,0)),"")</f>
        <v/>
      </c>
      <c r="J3356" s="6" t="str">
        <f aca="false">IFERROR(INDEX('Semrush Data'!$A$1:$Z$20000,MATCH(A3356,'Semrush Data'!$A$1:$A$20000,0),MATCH("Intent",'Semrush Data'!$A$1:$Z$1,0)),"")</f>
        <v/>
      </c>
    </row>
    <row r="3357" customFormat="false" ht="15" hidden="false" customHeight="true" outlineLevel="0" collapsed="false">
      <c r="A3357" s="6" t="s">
        <v>2221</v>
      </c>
      <c r="B3357" s="6" t="s">
        <v>249</v>
      </c>
      <c r="C3357" s="6" t="n">
        <v>3</v>
      </c>
      <c r="D3357" s="6" t="n">
        <v>34</v>
      </c>
      <c r="E3357" s="6" t="n">
        <v>1</v>
      </c>
      <c r="F3357" s="6" t="s">
        <v>1171</v>
      </c>
      <c r="G3357" s="28" t="str">
        <f aca="false">IFERROR(INDEX('Semrush Data'!$A$1:$Z$20000,MATCH(A3357,'Semrush Data'!$A$1:$A$20000,0),MATCH("Volume",'Semrush Data'!$A$1:$Z$1,0)),"")</f>
        <v/>
      </c>
      <c r="H3357" s="6" t="str">
        <f aca="false">IFERROR(INDEX('Semrush Data'!$A$1:$Z$20000,MATCH(A3357,'Semrush Data'!$A$1:$A$20000,0),MATCH("Keyword Difficulty*",'Semrush Data'!$A$1:$Z$1,0)),"")</f>
        <v/>
      </c>
      <c r="I3357" s="29" t="str">
        <f aca="false">IFERROR(INDEX('Semrush Data'!$A$1:$Z$20000,MATCH(A3357,'Semrush Data'!$A$1:$A$20000,0),MATCH("CPC*",'Semrush Data'!$A$1:$Z$1,0)),"")</f>
        <v/>
      </c>
      <c r="J3357" s="6" t="str">
        <f aca="false">IFERROR(INDEX('Semrush Data'!$A$1:$Z$20000,MATCH(A3357,'Semrush Data'!$A$1:$A$20000,0),MATCH("Intent",'Semrush Data'!$A$1:$Z$1,0)),"")</f>
        <v/>
      </c>
    </row>
    <row r="3358" customFormat="false" ht="15" hidden="false" customHeight="true" outlineLevel="0" collapsed="false">
      <c r="A3358" s="6" t="s">
        <v>1945</v>
      </c>
      <c r="B3358" s="6" t="s">
        <v>249</v>
      </c>
      <c r="C3358" s="6" t="n">
        <v>3</v>
      </c>
      <c r="D3358" s="6" t="n">
        <v>34</v>
      </c>
      <c r="E3358" s="6" t="n">
        <v>1</v>
      </c>
      <c r="F3358" s="6" t="s">
        <v>905</v>
      </c>
      <c r="G3358" s="28" t="str">
        <f aca="false">IFERROR(INDEX('Semrush Data'!$A$1:$Z$20000,MATCH(A3358,'Semrush Data'!$A$1:$A$20000,0),MATCH("Volume",'Semrush Data'!$A$1:$Z$1,0)),"")</f>
        <v/>
      </c>
      <c r="H3358" s="6" t="str">
        <f aca="false">IFERROR(INDEX('Semrush Data'!$A$1:$Z$20000,MATCH(A3358,'Semrush Data'!$A$1:$A$20000,0),MATCH("Keyword Difficulty*",'Semrush Data'!$A$1:$Z$1,0)),"")</f>
        <v/>
      </c>
      <c r="I3358" s="29" t="str">
        <f aca="false">IFERROR(INDEX('Semrush Data'!$A$1:$Z$20000,MATCH(A3358,'Semrush Data'!$A$1:$A$20000,0),MATCH("CPC*",'Semrush Data'!$A$1:$Z$1,0)),"")</f>
        <v/>
      </c>
      <c r="J3358" s="6" t="str">
        <f aca="false">IFERROR(INDEX('Semrush Data'!$A$1:$Z$20000,MATCH(A3358,'Semrush Data'!$A$1:$A$20000,0),MATCH("Intent",'Semrush Data'!$A$1:$Z$1,0)),"")</f>
        <v/>
      </c>
    </row>
    <row r="3359" customFormat="false" ht="15" hidden="false" customHeight="true" outlineLevel="0" collapsed="false">
      <c r="A3359" s="6" t="s">
        <v>2344</v>
      </c>
      <c r="B3359" s="6" t="s">
        <v>249</v>
      </c>
      <c r="C3359" s="6" t="n">
        <v>3</v>
      </c>
      <c r="D3359" s="6" t="n">
        <v>34</v>
      </c>
      <c r="E3359" s="6" t="n">
        <v>1</v>
      </c>
      <c r="F3359" s="6" t="s">
        <v>1296</v>
      </c>
      <c r="G3359" s="28" t="str">
        <f aca="false">IFERROR(INDEX('Semrush Data'!$A$1:$Z$20000,MATCH(A3359,'Semrush Data'!$A$1:$A$20000,0),MATCH("Volume",'Semrush Data'!$A$1:$Z$1,0)),"")</f>
        <v/>
      </c>
      <c r="H3359" s="6" t="str">
        <f aca="false">IFERROR(INDEX('Semrush Data'!$A$1:$Z$20000,MATCH(A3359,'Semrush Data'!$A$1:$A$20000,0),MATCH("Keyword Difficulty*",'Semrush Data'!$A$1:$Z$1,0)),"")</f>
        <v/>
      </c>
      <c r="I3359" s="29" t="str">
        <f aca="false">IFERROR(INDEX('Semrush Data'!$A$1:$Z$20000,MATCH(A3359,'Semrush Data'!$A$1:$A$20000,0),MATCH("CPC*",'Semrush Data'!$A$1:$Z$1,0)),"")</f>
        <v/>
      </c>
      <c r="J3359" s="6" t="str">
        <f aca="false">IFERROR(INDEX('Semrush Data'!$A$1:$Z$20000,MATCH(A3359,'Semrush Data'!$A$1:$A$20000,0),MATCH("Intent",'Semrush Data'!$A$1:$Z$1,0)),"")</f>
        <v/>
      </c>
    </row>
    <row r="3360" customFormat="false" ht="15" hidden="false" customHeight="true" outlineLevel="0" collapsed="false">
      <c r="A3360" s="6" t="s">
        <v>2338</v>
      </c>
      <c r="B3360" s="6" t="s">
        <v>249</v>
      </c>
      <c r="C3360" s="6" t="n">
        <v>3</v>
      </c>
      <c r="D3360" s="6" t="n">
        <v>34</v>
      </c>
      <c r="E3360" s="6" t="n">
        <v>1</v>
      </c>
      <c r="F3360" s="6" t="s">
        <v>1290</v>
      </c>
      <c r="G3360" s="28" t="str">
        <f aca="false">IFERROR(INDEX('Semrush Data'!$A$1:$Z$20000,MATCH(A3360,'Semrush Data'!$A$1:$A$20000,0),MATCH("Volume",'Semrush Data'!$A$1:$Z$1,0)),"")</f>
        <v/>
      </c>
      <c r="H3360" s="6" t="str">
        <f aca="false">IFERROR(INDEX('Semrush Data'!$A$1:$Z$20000,MATCH(A3360,'Semrush Data'!$A$1:$A$20000,0),MATCH("Keyword Difficulty*",'Semrush Data'!$A$1:$Z$1,0)),"")</f>
        <v/>
      </c>
      <c r="I3360" s="29" t="str">
        <f aca="false">IFERROR(INDEX('Semrush Data'!$A$1:$Z$20000,MATCH(A3360,'Semrush Data'!$A$1:$A$20000,0),MATCH("CPC*",'Semrush Data'!$A$1:$Z$1,0)),"")</f>
        <v/>
      </c>
      <c r="J3360" s="6" t="str">
        <f aca="false">IFERROR(INDEX('Semrush Data'!$A$1:$Z$20000,MATCH(A3360,'Semrush Data'!$A$1:$A$20000,0),MATCH("Intent",'Semrush Data'!$A$1:$Z$1,0)),"")</f>
        <v/>
      </c>
    </row>
    <row r="3361" customFormat="false" ht="15" hidden="false" customHeight="true" outlineLevel="0" collapsed="false">
      <c r="A3361" s="6" t="s">
        <v>2445</v>
      </c>
      <c r="B3361" s="6" t="s">
        <v>249</v>
      </c>
      <c r="C3361" s="6" t="n">
        <v>3</v>
      </c>
      <c r="D3361" s="6" t="n">
        <v>34</v>
      </c>
      <c r="E3361" s="6" t="n">
        <v>1</v>
      </c>
      <c r="F3361" s="6" t="s">
        <v>1399</v>
      </c>
      <c r="G3361" s="28" t="str">
        <f aca="false">IFERROR(INDEX('Semrush Data'!$A$1:$Z$20000,MATCH(A3361,'Semrush Data'!$A$1:$A$20000,0),MATCH("Volume",'Semrush Data'!$A$1:$Z$1,0)),"")</f>
        <v/>
      </c>
      <c r="H3361" s="6" t="str">
        <f aca="false">IFERROR(INDEX('Semrush Data'!$A$1:$Z$20000,MATCH(A3361,'Semrush Data'!$A$1:$A$20000,0),MATCH("Keyword Difficulty*",'Semrush Data'!$A$1:$Z$1,0)),"")</f>
        <v/>
      </c>
      <c r="I3361" s="29" t="str">
        <f aca="false">IFERROR(INDEX('Semrush Data'!$A$1:$Z$20000,MATCH(A3361,'Semrush Data'!$A$1:$A$20000,0),MATCH("CPC*",'Semrush Data'!$A$1:$Z$1,0)),"")</f>
        <v/>
      </c>
      <c r="J3361" s="6" t="str">
        <f aca="false">IFERROR(INDEX('Semrush Data'!$A$1:$Z$20000,MATCH(A3361,'Semrush Data'!$A$1:$A$20000,0),MATCH("Intent",'Semrush Data'!$A$1:$Z$1,0)),"")</f>
        <v/>
      </c>
    </row>
    <row r="3362" customFormat="false" ht="15" hidden="false" customHeight="true" outlineLevel="0" collapsed="false">
      <c r="A3362" s="6" t="s">
        <v>2433</v>
      </c>
      <c r="B3362" s="6" t="s">
        <v>249</v>
      </c>
      <c r="C3362" s="6" t="n">
        <v>3</v>
      </c>
      <c r="D3362" s="6" t="n">
        <v>34</v>
      </c>
      <c r="E3362" s="6" t="n">
        <v>1</v>
      </c>
      <c r="F3362" s="6" t="s">
        <v>1387</v>
      </c>
      <c r="G3362" s="28" t="str">
        <f aca="false">IFERROR(INDEX('Semrush Data'!$A$1:$Z$20000,MATCH(A3362,'Semrush Data'!$A$1:$A$20000,0),MATCH("Volume",'Semrush Data'!$A$1:$Z$1,0)),"")</f>
        <v/>
      </c>
      <c r="H3362" s="6" t="str">
        <f aca="false">IFERROR(INDEX('Semrush Data'!$A$1:$Z$20000,MATCH(A3362,'Semrush Data'!$A$1:$A$20000,0),MATCH("Keyword Difficulty*",'Semrush Data'!$A$1:$Z$1,0)),"")</f>
        <v/>
      </c>
      <c r="I3362" s="29" t="str">
        <f aca="false">IFERROR(INDEX('Semrush Data'!$A$1:$Z$20000,MATCH(A3362,'Semrush Data'!$A$1:$A$20000,0),MATCH("CPC*",'Semrush Data'!$A$1:$Z$1,0)),"")</f>
        <v/>
      </c>
      <c r="J3362" s="6" t="str">
        <f aca="false">IFERROR(INDEX('Semrush Data'!$A$1:$Z$20000,MATCH(A3362,'Semrush Data'!$A$1:$A$20000,0),MATCH("Intent",'Semrush Data'!$A$1:$Z$1,0)),"")</f>
        <v/>
      </c>
    </row>
    <row r="3363" customFormat="false" ht="15" hidden="false" customHeight="true" outlineLevel="0" collapsed="false">
      <c r="A3363" s="6" t="s">
        <v>1975</v>
      </c>
      <c r="B3363" s="6" t="s">
        <v>249</v>
      </c>
      <c r="C3363" s="6" t="n">
        <v>3</v>
      </c>
      <c r="D3363" s="6" t="n">
        <v>34</v>
      </c>
      <c r="E3363" s="6" t="n">
        <v>1</v>
      </c>
      <c r="F3363" s="6" t="s">
        <v>933</v>
      </c>
      <c r="G3363" s="28" t="str">
        <f aca="false">IFERROR(INDEX('Semrush Data'!$A$1:$Z$20000,MATCH(A3363,'Semrush Data'!$A$1:$A$20000,0),MATCH("Volume",'Semrush Data'!$A$1:$Z$1,0)),"")</f>
        <v/>
      </c>
      <c r="H3363" s="6" t="str">
        <f aca="false">IFERROR(INDEX('Semrush Data'!$A$1:$Z$20000,MATCH(A3363,'Semrush Data'!$A$1:$A$20000,0),MATCH("Keyword Difficulty*",'Semrush Data'!$A$1:$Z$1,0)),"")</f>
        <v/>
      </c>
      <c r="I3363" s="29" t="str">
        <f aca="false">IFERROR(INDEX('Semrush Data'!$A$1:$Z$20000,MATCH(A3363,'Semrush Data'!$A$1:$A$20000,0),MATCH("CPC*",'Semrush Data'!$A$1:$Z$1,0)),"")</f>
        <v/>
      </c>
      <c r="J3363" s="6" t="str">
        <f aca="false">IFERROR(INDEX('Semrush Data'!$A$1:$Z$20000,MATCH(A3363,'Semrush Data'!$A$1:$A$20000,0),MATCH("Intent",'Semrush Data'!$A$1:$Z$1,0)),"")</f>
        <v/>
      </c>
    </row>
    <row r="3364" customFormat="false" ht="15" hidden="false" customHeight="true" outlineLevel="0" collapsed="false">
      <c r="A3364" s="6" t="s">
        <v>2421</v>
      </c>
      <c r="B3364" s="6" t="s">
        <v>249</v>
      </c>
      <c r="C3364" s="6" t="n">
        <v>3</v>
      </c>
      <c r="D3364" s="6" t="n">
        <v>34</v>
      </c>
      <c r="E3364" s="6" t="n">
        <v>1</v>
      </c>
      <c r="F3364" s="6" t="s">
        <v>1375</v>
      </c>
      <c r="G3364" s="28" t="str">
        <f aca="false">IFERROR(INDEX('Semrush Data'!$A$1:$Z$20000,MATCH(A3364,'Semrush Data'!$A$1:$A$20000,0),MATCH("Volume",'Semrush Data'!$A$1:$Z$1,0)),"")</f>
        <v/>
      </c>
      <c r="H3364" s="6" t="str">
        <f aca="false">IFERROR(INDEX('Semrush Data'!$A$1:$Z$20000,MATCH(A3364,'Semrush Data'!$A$1:$A$20000,0),MATCH("Keyword Difficulty*",'Semrush Data'!$A$1:$Z$1,0)),"")</f>
        <v/>
      </c>
      <c r="I3364" s="29" t="str">
        <f aca="false">IFERROR(INDEX('Semrush Data'!$A$1:$Z$20000,MATCH(A3364,'Semrush Data'!$A$1:$A$20000,0),MATCH("CPC*",'Semrush Data'!$A$1:$Z$1,0)),"")</f>
        <v/>
      </c>
      <c r="J3364" s="6" t="str">
        <f aca="false">IFERROR(INDEX('Semrush Data'!$A$1:$Z$20000,MATCH(A3364,'Semrush Data'!$A$1:$A$20000,0),MATCH("Intent",'Semrush Data'!$A$1:$Z$1,0)),"")</f>
        <v/>
      </c>
    </row>
    <row r="3365" customFormat="false" ht="15" hidden="false" customHeight="true" outlineLevel="0" collapsed="false">
      <c r="A3365" s="6" t="s">
        <v>2100</v>
      </c>
      <c r="B3365" s="6" t="s">
        <v>249</v>
      </c>
      <c r="C3365" s="6" t="n">
        <v>3</v>
      </c>
      <c r="D3365" s="6" t="n">
        <v>34</v>
      </c>
      <c r="E3365" s="6" t="n">
        <v>1</v>
      </c>
      <c r="F3365" s="6" t="s">
        <v>1052</v>
      </c>
      <c r="G3365" s="28" t="str">
        <f aca="false">IFERROR(INDEX('Semrush Data'!$A$1:$Z$20000,MATCH(A3365,'Semrush Data'!$A$1:$A$20000,0),MATCH("Volume",'Semrush Data'!$A$1:$Z$1,0)),"")</f>
        <v/>
      </c>
      <c r="H3365" s="6" t="str">
        <f aca="false">IFERROR(INDEX('Semrush Data'!$A$1:$Z$20000,MATCH(A3365,'Semrush Data'!$A$1:$A$20000,0),MATCH("Keyword Difficulty*",'Semrush Data'!$A$1:$Z$1,0)),"")</f>
        <v/>
      </c>
      <c r="I3365" s="29" t="str">
        <f aca="false">IFERROR(INDEX('Semrush Data'!$A$1:$Z$20000,MATCH(A3365,'Semrush Data'!$A$1:$A$20000,0),MATCH("CPC*",'Semrush Data'!$A$1:$Z$1,0)),"")</f>
        <v/>
      </c>
      <c r="J3365" s="6" t="str">
        <f aca="false">IFERROR(INDEX('Semrush Data'!$A$1:$Z$20000,MATCH(A3365,'Semrush Data'!$A$1:$A$20000,0),MATCH("Intent",'Semrush Data'!$A$1:$Z$1,0)),"")</f>
        <v/>
      </c>
    </row>
    <row r="3366" customFormat="false" ht="15" hidden="false" customHeight="true" outlineLevel="0" collapsed="false">
      <c r="A3366" s="6" t="s">
        <v>2195</v>
      </c>
      <c r="B3366" s="6" t="s">
        <v>249</v>
      </c>
      <c r="C3366" s="6" t="n">
        <v>3</v>
      </c>
      <c r="D3366" s="6" t="n">
        <v>34</v>
      </c>
      <c r="E3366" s="6" t="n">
        <v>1</v>
      </c>
      <c r="F3366" s="6" t="s">
        <v>1142</v>
      </c>
      <c r="G3366" s="28" t="str">
        <f aca="false">IFERROR(INDEX('Semrush Data'!$A$1:$Z$20000,MATCH(A3366,'Semrush Data'!$A$1:$A$20000,0),MATCH("Volume",'Semrush Data'!$A$1:$Z$1,0)),"")</f>
        <v/>
      </c>
      <c r="H3366" s="6" t="str">
        <f aca="false">IFERROR(INDEX('Semrush Data'!$A$1:$Z$20000,MATCH(A3366,'Semrush Data'!$A$1:$A$20000,0),MATCH("Keyword Difficulty*",'Semrush Data'!$A$1:$Z$1,0)),"")</f>
        <v/>
      </c>
      <c r="I3366" s="29" t="str">
        <f aca="false">IFERROR(INDEX('Semrush Data'!$A$1:$Z$20000,MATCH(A3366,'Semrush Data'!$A$1:$A$20000,0),MATCH("CPC*",'Semrush Data'!$A$1:$Z$1,0)),"")</f>
        <v/>
      </c>
      <c r="J3366" s="6" t="str">
        <f aca="false">IFERROR(INDEX('Semrush Data'!$A$1:$Z$20000,MATCH(A3366,'Semrush Data'!$A$1:$A$20000,0),MATCH("Intent",'Semrush Data'!$A$1:$Z$1,0)),"")</f>
        <v/>
      </c>
    </row>
    <row r="3367" customFormat="false" ht="15" hidden="false" customHeight="true" outlineLevel="0" collapsed="false">
      <c r="A3367" s="6" t="s">
        <v>2255</v>
      </c>
      <c r="B3367" s="6" t="s">
        <v>249</v>
      </c>
      <c r="C3367" s="6" t="n">
        <v>3</v>
      </c>
      <c r="D3367" s="6" t="n">
        <v>34</v>
      </c>
      <c r="E3367" s="6" t="n">
        <v>1</v>
      </c>
      <c r="F3367" s="6" t="s">
        <v>1206</v>
      </c>
      <c r="G3367" s="28" t="str">
        <f aca="false">IFERROR(INDEX('Semrush Data'!$A$1:$Z$20000,MATCH(A3367,'Semrush Data'!$A$1:$A$20000,0),MATCH("Volume",'Semrush Data'!$A$1:$Z$1,0)),"")</f>
        <v/>
      </c>
      <c r="H3367" s="6" t="str">
        <f aca="false">IFERROR(INDEX('Semrush Data'!$A$1:$Z$20000,MATCH(A3367,'Semrush Data'!$A$1:$A$20000,0),MATCH("Keyword Difficulty*",'Semrush Data'!$A$1:$Z$1,0)),"")</f>
        <v/>
      </c>
      <c r="I3367" s="29" t="str">
        <f aca="false">IFERROR(INDEX('Semrush Data'!$A$1:$Z$20000,MATCH(A3367,'Semrush Data'!$A$1:$A$20000,0),MATCH("CPC*",'Semrush Data'!$A$1:$Z$1,0)),"")</f>
        <v/>
      </c>
      <c r="J3367" s="6" t="str">
        <f aca="false">IFERROR(INDEX('Semrush Data'!$A$1:$Z$20000,MATCH(A3367,'Semrush Data'!$A$1:$A$20000,0),MATCH("Intent",'Semrush Data'!$A$1:$Z$1,0)),"")</f>
        <v/>
      </c>
    </row>
    <row r="3368" customFormat="false" ht="15" hidden="false" customHeight="true" outlineLevel="0" collapsed="false">
      <c r="A3368" s="6" t="s">
        <v>2094</v>
      </c>
      <c r="B3368" s="6" t="s">
        <v>249</v>
      </c>
      <c r="C3368" s="6" t="n">
        <v>3</v>
      </c>
      <c r="D3368" s="6" t="n">
        <v>34</v>
      </c>
      <c r="E3368" s="6" t="n">
        <v>1</v>
      </c>
      <c r="F3368" s="6" t="s">
        <v>1045</v>
      </c>
      <c r="G3368" s="28" t="str">
        <f aca="false">IFERROR(INDEX('Semrush Data'!$A$1:$Z$20000,MATCH(A3368,'Semrush Data'!$A$1:$A$20000,0),MATCH("Volume",'Semrush Data'!$A$1:$Z$1,0)),"")</f>
        <v/>
      </c>
      <c r="H3368" s="6" t="str">
        <f aca="false">IFERROR(INDEX('Semrush Data'!$A$1:$Z$20000,MATCH(A3368,'Semrush Data'!$A$1:$A$20000,0),MATCH("Keyword Difficulty*",'Semrush Data'!$A$1:$Z$1,0)),"")</f>
        <v/>
      </c>
      <c r="I3368" s="29" t="str">
        <f aca="false">IFERROR(INDEX('Semrush Data'!$A$1:$Z$20000,MATCH(A3368,'Semrush Data'!$A$1:$A$20000,0),MATCH("CPC*",'Semrush Data'!$A$1:$Z$1,0)),"")</f>
        <v/>
      </c>
      <c r="J3368" s="6" t="str">
        <f aca="false">IFERROR(INDEX('Semrush Data'!$A$1:$Z$20000,MATCH(A3368,'Semrush Data'!$A$1:$A$20000,0),MATCH("Intent",'Semrush Data'!$A$1:$Z$1,0)),"")</f>
        <v/>
      </c>
    </row>
    <row r="3369" customFormat="false" ht="15" hidden="false" customHeight="true" outlineLevel="0" collapsed="false">
      <c r="A3369" s="6" t="s">
        <v>2033</v>
      </c>
      <c r="B3369" s="6" t="s">
        <v>249</v>
      </c>
      <c r="C3369" s="6" t="n">
        <v>3</v>
      </c>
      <c r="D3369" s="6" t="n">
        <v>34</v>
      </c>
      <c r="E3369" s="6" t="n">
        <v>1</v>
      </c>
      <c r="F3369" s="6" t="s">
        <v>985</v>
      </c>
      <c r="G3369" s="28" t="str">
        <f aca="false">IFERROR(INDEX('Semrush Data'!$A$1:$Z$20000,MATCH(A3369,'Semrush Data'!$A$1:$A$20000,0),MATCH("Volume",'Semrush Data'!$A$1:$Z$1,0)),"")</f>
        <v/>
      </c>
      <c r="H3369" s="6" t="str">
        <f aca="false">IFERROR(INDEX('Semrush Data'!$A$1:$Z$20000,MATCH(A3369,'Semrush Data'!$A$1:$A$20000,0),MATCH("Keyword Difficulty*",'Semrush Data'!$A$1:$Z$1,0)),"")</f>
        <v/>
      </c>
      <c r="I3369" s="29" t="str">
        <f aca="false">IFERROR(INDEX('Semrush Data'!$A$1:$Z$20000,MATCH(A3369,'Semrush Data'!$A$1:$A$20000,0),MATCH("CPC*",'Semrush Data'!$A$1:$Z$1,0)),"")</f>
        <v/>
      </c>
      <c r="J3369" s="6" t="str">
        <f aca="false">IFERROR(INDEX('Semrush Data'!$A$1:$Z$20000,MATCH(A3369,'Semrush Data'!$A$1:$A$20000,0),MATCH("Intent",'Semrush Data'!$A$1:$Z$1,0)),"")</f>
        <v/>
      </c>
    </row>
    <row r="3370" customFormat="false" ht="15" hidden="false" customHeight="true" outlineLevel="0" collapsed="false">
      <c r="A3370" s="6" t="s">
        <v>2439</v>
      </c>
      <c r="B3370" s="6" t="s">
        <v>249</v>
      </c>
      <c r="C3370" s="6" t="n">
        <v>3</v>
      </c>
      <c r="D3370" s="6" t="n">
        <v>34</v>
      </c>
      <c r="E3370" s="6" t="n">
        <v>1</v>
      </c>
      <c r="F3370" s="6" t="s">
        <v>1393</v>
      </c>
      <c r="G3370" s="28" t="str">
        <f aca="false">IFERROR(INDEX('Semrush Data'!$A$1:$Z$20000,MATCH(A3370,'Semrush Data'!$A$1:$A$20000,0),MATCH("Volume",'Semrush Data'!$A$1:$Z$1,0)),"")</f>
        <v/>
      </c>
      <c r="H3370" s="6" t="str">
        <f aca="false">IFERROR(INDEX('Semrush Data'!$A$1:$Z$20000,MATCH(A3370,'Semrush Data'!$A$1:$A$20000,0),MATCH("Keyword Difficulty*",'Semrush Data'!$A$1:$Z$1,0)),"")</f>
        <v/>
      </c>
      <c r="I3370" s="29" t="str">
        <f aca="false">IFERROR(INDEX('Semrush Data'!$A$1:$Z$20000,MATCH(A3370,'Semrush Data'!$A$1:$A$20000,0),MATCH("CPC*",'Semrush Data'!$A$1:$Z$1,0)),"")</f>
        <v/>
      </c>
      <c r="J3370" s="6" t="str">
        <f aca="false">IFERROR(INDEX('Semrush Data'!$A$1:$Z$20000,MATCH(A3370,'Semrush Data'!$A$1:$A$20000,0),MATCH("Intent",'Semrush Data'!$A$1:$Z$1,0)),"")</f>
        <v/>
      </c>
    </row>
    <row r="3371" customFormat="false" ht="15" hidden="false" customHeight="true" outlineLevel="0" collapsed="false">
      <c r="A3371" s="6" t="s">
        <v>2397</v>
      </c>
      <c r="B3371" s="6" t="s">
        <v>249</v>
      </c>
      <c r="C3371" s="6" t="n">
        <v>3</v>
      </c>
      <c r="D3371" s="6" t="n">
        <v>34</v>
      </c>
      <c r="E3371" s="6" t="n">
        <v>1</v>
      </c>
      <c r="F3371" s="6" t="s">
        <v>1350</v>
      </c>
      <c r="G3371" s="28" t="str">
        <f aca="false">IFERROR(INDEX('Semrush Data'!$A$1:$Z$20000,MATCH(A3371,'Semrush Data'!$A$1:$A$20000,0),MATCH("Volume",'Semrush Data'!$A$1:$Z$1,0)),"")</f>
        <v/>
      </c>
      <c r="H3371" s="6" t="str">
        <f aca="false">IFERROR(INDEX('Semrush Data'!$A$1:$Z$20000,MATCH(A3371,'Semrush Data'!$A$1:$A$20000,0),MATCH("Keyword Difficulty*",'Semrush Data'!$A$1:$Z$1,0)),"")</f>
        <v/>
      </c>
      <c r="I3371" s="29" t="str">
        <f aca="false">IFERROR(INDEX('Semrush Data'!$A$1:$Z$20000,MATCH(A3371,'Semrush Data'!$A$1:$A$20000,0),MATCH("CPC*",'Semrush Data'!$A$1:$Z$1,0)),"")</f>
        <v/>
      </c>
      <c r="J3371" s="6" t="str">
        <f aca="false">IFERROR(INDEX('Semrush Data'!$A$1:$Z$20000,MATCH(A3371,'Semrush Data'!$A$1:$A$20000,0),MATCH("Intent",'Semrush Data'!$A$1:$Z$1,0)),"")</f>
        <v/>
      </c>
    </row>
    <row r="3372" customFormat="false" ht="15" hidden="false" customHeight="true" outlineLevel="0" collapsed="false">
      <c r="A3372" s="6" t="s">
        <v>2214</v>
      </c>
      <c r="B3372" s="6" t="s">
        <v>249</v>
      </c>
      <c r="C3372" s="6" t="n">
        <v>3</v>
      </c>
      <c r="D3372" s="6" t="n">
        <v>34</v>
      </c>
      <c r="E3372" s="6" t="n">
        <v>1</v>
      </c>
      <c r="F3372" s="6" t="s">
        <v>1164</v>
      </c>
      <c r="G3372" s="28" t="str">
        <f aca="false">IFERROR(INDEX('Semrush Data'!$A$1:$Z$20000,MATCH(A3372,'Semrush Data'!$A$1:$A$20000,0),MATCH("Volume",'Semrush Data'!$A$1:$Z$1,0)),"")</f>
        <v/>
      </c>
      <c r="H3372" s="6" t="str">
        <f aca="false">IFERROR(INDEX('Semrush Data'!$A$1:$Z$20000,MATCH(A3372,'Semrush Data'!$A$1:$A$20000,0),MATCH("Keyword Difficulty*",'Semrush Data'!$A$1:$Z$1,0)),"")</f>
        <v/>
      </c>
      <c r="I3372" s="29" t="str">
        <f aca="false">IFERROR(INDEX('Semrush Data'!$A$1:$Z$20000,MATCH(A3372,'Semrush Data'!$A$1:$A$20000,0),MATCH("CPC*",'Semrush Data'!$A$1:$Z$1,0)),"")</f>
        <v/>
      </c>
      <c r="J3372" s="6" t="str">
        <f aca="false">IFERROR(INDEX('Semrush Data'!$A$1:$Z$20000,MATCH(A3372,'Semrush Data'!$A$1:$A$20000,0),MATCH("Intent",'Semrush Data'!$A$1:$Z$1,0)),"")</f>
        <v/>
      </c>
    </row>
    <row r="3373" customFormat="false" ht="15" hidden="false" customHeight="true" outlineLevel="0" collapsed="false">
      <c r="A3373" s="6" t="s">
        <v>2373</v>
      </c>
      <c r="B3373" s="6" t="s">
        <v>249</v>
      </c>
      <c r="C3373" s="6" t="n">
        <v>3</v>
      </c>
      <c r="D3373" s="6" t="n">
        <v>34</v>
      </c>
      <c r="E3373" s="6" t="n">
        <v>1</v>
      </c>
      <c r="F3373" s="6" t="s">
        <v>1326</v>
      </c>
      <c r="G3373" s="28" t="str">
        <f aca="false">IFERROR(INDEX('Semrush Data'!$A$1:$Z$20000,MATCH(A3373,'Semrush Data'!$A$1:$A$20000,0),MATCH("Volume",'Semrush Data'!$A$1:$Z$1,0)),"")</f>
        <v/>
      </c>
      <c r="H3373" s="6" t="str">
        <f aca="false">IFERROR(INDEX('Semrush Data'!$A$1:$Z$20000,MATCH(A3373,'Semrush Data'!$A$1:$A$20000,0),MATCH("Keyword Difficulty*",'Semrush Data'!$A$1:$Z$1,0)),"")</f>
        <v/>
      </c>
      <c r="I3373" s="29" t="str">
        <f aca="false">IFERROR(INDEX('Semrush Data'!$A$1:$Z$20000,MATCH(A3373,'Semrush Data'!$A$1:$A$20000,0),MATCH("CPC*",'Semrush Data'!$A$1:$Z$1,0)),"")</f>
        <v/>
      </c>
      <c r="J3373" s="6" t="str">
        <f aca="false">IFERROR(INDEX('Semrush Data'!$A$1:$Z$20000,MATCH(A3373,'Semrush Data'!$A$1:$A$20000,0),MATCH("Intent",'Semrush Data'!$A$1:$Z$1,0)),"")</f>
        <v/>
      </c>
    </row>
    <row r="3374" customFormat="false" ht="15" hidden="false" customHeight="true" outlineLevel="0" collapsed="false">
      <c r="A3374" s="6" t="s">
        <v>2154</v>
      </c>
      <c r="B3374" s="6" t="s">
        <v>249</v>
      </c>
      <c r="C3374" s="6" t="n">
        <v>3</v>
      </c>
      <c r="D3374" s="6" t="n">
        <v>34</v>
      </c>
      <c r="E3374" s="6" t="n">
        <v>1</v>
      </c>
      <c r="F3374" s="6" t="s">
        <v>1103</v>
      </c>
      <c r="G3374" s="28" t="str">
        <f aca="false">IFERROR(INDEX('Semrush Data'!$A$1:$Z$20000,MATCH(A3374,'Semrush Data'!$A$1:$A$20000,0),MATCH("Volume",'Semrush Data'!$A$1:$Z$1,0)),"")</f>
        <v/>
      </c>
      <c r="H3374" s="6" t="str">
        <f aca="false">IFERROR(INDEX('Semrush Data'!$A$1:$Z$20000,MATCH(A3374,'Semrush Data'!$A$1:$A$20000,0),MATCH("Keyword Difficulty*",'Semrush Data'!$A$1:$Z$1,0)),"")</f>
        <v/>
      </c>
      <c r="I3374" s="29" t="str">
        <f aca="false">IFERROR(INDEX('Semrush Data'!$A$1:$Z$20000,MATCH(A3374,'Semrush Data'!$A$1:$A$20000,0),MATCH("CPC*",'Semrush Data'!$A$1:$Z$1,0)),"")</f>
        <v/>
      </c>
      <c r="J3374" s="6" t="str">
        <f aca="false">IFERROR(INDEX('Semrush Data'!$A$1:$Z$20000,MATCH(A3374,'Semrush Data'!$A$1:$A$20000,0),MATCH("Intent",'Semrush Data'!$A$1:$Z$1,0)),"")</f>
        <v/>
      </c>
    </row>
    <row r="3375" customFormat="false" ht="15" hidden="false" customHeight="true" outlineLevel="0" collapsed="false">
      <c r="A3375" s="6" t="s">
        <v>2403</v>
      </c>
      <c r="B3375" s="6" t="s">
        <v>249</v>
      </c>
      <c r="C3375" s="6" t="n">
        <v>3</v>
      </c>
      <c r="D3375" s="6" t="n">
        <v>34</v>
      </c>
      <c r="E3375" s="6" t="n">
        <v>1</v>
      </c>
      <c r="F3375" s="6" t="s">
        <v>1357</v>
      </c>
      <c r="G3375" s="28" t="str">
        <f aca="false">IFERROR(INDEX('Semrush Data'!$A$1:$Z$20000,MATCH(A3375,'Semrush Data'!$A$1:$A$20000,0),MATCH("Volume",'Semrush Data'!$A$1:$Z$1,0)),"")</f>
        <v/>
      </c>
      <c r="H3375" s="6" t="str">
        <f aca="false">IFERROR(INDEX('Semrush Data'!$A$1:$Z$20000,MATCH(A3375,'Semrush Data'!$A$1:$A$20000,0),MATCH("Keyword Difficulty*",'Semrush Data'!$A$1:$Z$1,0)),"")</f>
        <v/>
      </c>
      <c r="I3375" s="29" t="str">
        <f aca="false">IFERROR(INDEX('Semrush Data'!$A$1:$Z$20000,MATCH(A3375,'Semrush Data'!$A$1:$A$20000,0),MATCH("CPC*",'Semrush Data'!$A$1:$Z$1,0)),"")</f>
        <v/>
      </c>
      <c r="J3375" s="6" t="str">
        <f aca="false">IFERROR(INDEX('Semrush Data'!$A$1:$Z$20000,MATCH(A3375,'Semrush Data'!$A$1:$A$20000,0),MATCH("Intent",'Semrush Data'!$A$1:$Z$1,0)),"")</f>
        <v/>
      </c>
    </row>
    <row r="3376" customFormat="false" ht="15" hidden="false" customHeight="true" outlineLevel="0" collapsed="false">
      <c r="A3376" s="6" t="s">
        <v>2367</v>
      </c>
      <c r="B3376" s="6" t="s">
        <v>249</v>
      </c>
      <c r="C3376" s="6" t="n">
        <v>3</v>
      </c>
      <c r="D3376" s="6" t="n">
        <v>34</v>
      </c>
      <c r="E3376" s="6" t="n">
        <v>1</v>
      </c>
      <c r="F3376" s="6" t="s">
        <v>1320</v>
      </c>
      <c r="G3376" s="28" t="str">
        <f aca="false">IFERROR(INDEX('Semrush Data'!$A$1:$Z$20000,MATCH(A3376,'Semrush Data'!$A$1:$A$20000,0),MATCH("Volume",'Semrush Data'!$A$1:$Z$1,0)),"")</f>
        <v/>
      </c>
      <c r="H3376" s="6" t="str">
        <f aca="false">IFERROR(INDEX('Semrush Data'!$A$1:$Z$20000,MATCH(A3376,'Semrush Data'!$A$1:$A$20000,0),MATCH("Keyword Difficulty*",'Semrush Data'!$A$1:$Z$1,0)),"")</f>
        <v/>
      </c>
      <c r="I3376" s="29" t="str">
        <f aca="false">IFERROR(INDEX('Semrush Data'!$A$1:$Z$20000,MATCH(A3376,'Semrush Data'!$A$1:$A$20000,0),MATCH("CPC*",'Semrush Data'!$A$1:$Z$1,0)),"")</f>
        <v/>
      </c>
      <c r="J3376" s="6" t="str">
        <f aca="false">IFERROR(INDEX('Semrush Data'!$A$1:$Z$20000,MATCH(A3376,'Semrush Data'!$A$1:$A$20000,0),MATCH("Intent",'Semrush Data'!$A$1:$Z$1,0)),"")</f>
        <v/>
      </c>
    </row>
    <row r="3377" customFormat="false" ht="15" hidden="false" customHeight="true" outlineLevel="0" collapsed="false">
      <c r="A3377" s="6" t="s">
        <v>2391</v>
      </c>
      <c r="B3377" s="6" t="s">
        <v>249</v>
      </c>
      <c r="C3377" s="6" t="n">
        <v>3</v>
      </c>
      <c r="D3377" s="6" t="n">
        <v>34</v>
      </c>
      <c r="E3377" s="6" t="n">
        <v>1</v>
      </c>
      <c r="F3377" s="6" t="s">
        <v>1344</v>
      </c>
      <c r="G3377" s="28" t="str">
        <f aca="false">IFERROR(INDEX('Semrush Data'!$A$1:$Z$20000,MATCH(A3377,'Semrush Data'!$A$1:$A$20000,0),MATCH("Volume",'Semrush Data'!$A$1:$Z$1,0)),"")</f>
        <v/>
      </c>
      <c r="H3377" s="6" t="str">
        <f aca="false">IFERROR(INDEX('Semrush Data'!$A$1:$Z$20000,MATCH(A3377,'Semrush Data'!$A$1:$A$20000,0),MATCH("Keyword Difficulty*",'Semrush Data'!$A$1:$Z$1,0)),"")</f>
        <v/>
      </c>
      <c r="I3377" s="29" t="str">
        <f aca="false">IFERROR(INDEX('Semrush Data'!$A$1:$Z$20000,MATCH(A3377,'Semrush Data'!$A$1:$A$20000,0),MATCH("CPC*",'Semrush Data'!$A$1:$Z$1,0)),"")</f>
        <v/>
      </c>
      <c r="J3377" s="6" t="str">
        <f aca="false">IFERROR(INDEX('Semrush Data'!$A$1:$Z$20000,MATCH(A3377,'Semrush Data'!$A$1:$A$20000,0),MATCH("Intent",'Semrush Data'!$A$1:$Z$1,0)),"")</f>
        <v/>
      </c>
    </row>
    <row r="3378" customFormat="false" ht="15" hidden="false" customHeight="true" outlineLevel="0" collapsed="false">
      <c r="A3378" s="6" t="s">
        <v>2356</v>
      </c>
      <c r="B3378" s="6" t="s">
        <v>249</v>
      </c>
      <c r="C3378" s="6" t="n">
        <v>3</v>
      </c>
      <c r="D3378" s="6" t="n">
        <v>34</v>
      </c>
      <c r="E3378" s="6" t="n">
        <v>1</v>
      </c>
      <c r="F3378" s="6" t="s">
        <v>1308</v>
      </c>
      <c r="G3378" s="28" t="str">
        <f aca="false">IFERROR(INDEX('Semrush Data'!$A$1:$Z$20000,MATCH(A3378,'Semrush Data'!$A$1:$A$20000,0),MATCH("Volume",'Semrush Data'!$A$1:$Z$1,0)),"")</f>
        <v/>
      </c>
      <c r="H3378" s="6" t="str">
        <f aca="false">IFERROR(INDEX('Semrush Data'!$A$1:$Z$20000,MATCH(A3378,'Semrush Data'!$A$1:$A$20000,0),MATCH("Keyword Difficulty*",'Semrush Data'!$A$1:$Z$1,0)),"")</f>
        <v/>
      </c>
      <c r="I3378" s="29" t="str">
        <f aca="false">IFERROR(INDEX('Semrush Data'!$A$1:$Z$20000,MATCH(A3378,'Semrush Data'!$A$1:$A$20000,0),MATCH("CPC*",'Semrush Data'!$A$1:$Z$1,0)),"")</f>
        <v/>
      </c>
      <c r="J3378" s="6" t="str">
        <f aca="false">IFERROR(INDEX('Semrush Data'!$A$1:$Z$20000,MATCH(A3378,'Semrush Data'!$A$1:$A$20000,0),MATCH("Intent",'Semrush Data'!$A$1:$Z$1,0)),"")</f>
        <v/>
      </c>
    </row>
    <row r="3379" customFormat="false" ht="15" hidden="false" customHeight="true" outlineLevel="0" collapsed="false">
      <c r="A3379" s="6" t="s">
        <v>2362</v>
      </c>
      <c r="B3379" s="6" t="s">
        <v>249</v>
      </c>
      <c r="C3379" s="6" t="n">
        <v>3</v>
      </c>
      <c r="D3379" s="6" t="n">
        <v>34</v>
      </c>
      <c r="E3379" s="6" t="n">
        <v>1</v>
      </c>
      <c r="F3379" s="6" t="s">
        <v>1314</v>
      </c>
      <c r="G3379" s="28" t="str">
        <f aca="false">IFERROR(INDEX('Semrush Data'!$A$1:$Z$20000,MATCH(A3379,'Semrush Data'!$A$1:$A$20000,0),MATCH("Volume",'Semrush Data'!$A$1:$Z$1,0)),"")</f>
        <v/>
      </c>
      <c r="H3379" s="6" t="str">
        <f aca="false">IFERROR(INDEX('Semrush Data'!$A$1:$Z$20000,MATCH(A3379,'Semrush Data'!$A$1:$A$20000,0),MATCH("Keyword Difficulty*",'Semrush Data'!$A$1:$Z$1,0)),"")</f>
        <v/>
      </c>
      <c r="I3379" s="29" t="str">
        <f aca="false">IFERROR(INDEX('Semrush Data'!$A$1:$Z$20000,MATCH(A3379,'Semrush Data'!$A$1:$A$20000,0),MATCH("CPC*",'Semrush Data'!$A$1:$Z$1,0)),"")</f>
        <v/>
      </c>
      <c r="J3379" s="6" t="str">
        <f aca="false">IFERROR(INDEX('Semrush Data'!$A$1:$Z$20000,MATCH(A3379,'Semrush Data'!$A$1:$A$20000,0),MATCH("Intent",'Semrush Data'!$A$1:$Z$1,0)),"")</f>
        <v/>
      </c>
    </row>
    <row r="3380" customFormat="false" ht="15" hidden="false" customHeight="true" outlineLevel="0" collapsed="false">
      <c r="A3380" s="6" t="s">
        <v>2026</v>
      </c>
      <c r="B3380" s="6" t="s">
        <v>249</v>
      </c>
      <c r="C3380" s="6" t="n">
        <v>3</v>
      </c>
      <c r="D3380" s="6" t="n">
        <v>34</v>
      </c>
      <c r="E3380" s="6" t="n">
        <v>1</v>
      </c>
      <c r="F3380" s="6" t="s">
        <v>978</v>
      </c>
      <c r="G3380" s="28" t="str">
        <f aca="false">IFERROR(INDEX('Semrush Data'!$A$1:$Z$20000,MATCH(A3380,'Semrush Data'!$A$1:$A$20000,0),MATCH("Volume",'Semrush Data'!$A$1:$Z$1,0)),"")</f>
        <v/>
      </c>
      <c r="H3380" s="6" t="str">
        <f aca="false">IFERROR(INDEX('Semrush Data'!$A$1:$Z$20000,MATCH(A3380,'Semrush Data'!$A$1:$A$20000,0),MATCH("Keyword Difficulty*",'Semrush Data'!$A$1:$Z$1,0)),"")</f>
        <v/>
      </c>
      <c r="I3380" s="29" t="str">
        <f aca="false">IFERROR(INDEX('Semrush Data'!$A$1:$Z$20000,MATCH(A3380,'Semrush Data'!$A$1:$A$20000,0),MATCH("CPC*",'Semrush Data'!$A$1:$Z$1,0)),"")</f>
        <v/>
      </c>
      <c r="J3380" s="6" t="str">
        <f aca="false">IFERROR(INDEX('Semrush Data'!$A$1:$Z$20000,MATCH(A3380,'Semrush Data'!$A$1:$A$20000,0),MATCH("Intent",'Semrush Data'!$A$1:$Z$1,0)),"")</f>
        <v/>
      </c>
    </row>
    <row r="3381" customFormat="false" ht="15" hidden="false" customHeight="true" outlineLevel="0" collapsed="false">
      <c r="A3381" s="6" t="s">
        <v>2332</v>
      </c>
      <c r="B3381" s="6" t="s">
        <v>249</v>
      </c>
      <c r="C3381" s="6" t="n">
        <v>3</v>
      </c>
      <c r="D3381" s="6" t="n">
        <v>34</v>
      </c>
      <c r="E3381" s="6" t="n">
        <v>1</v>
      </c>
      <c r="F3381" s="6" t="s">
        <v>1284</v>
      </c>
      <c r="G3381" s="28" t="str">
        <f aca="false">IFERROR(INDEX('Semrush Data'!$A$1:$Z$20000,MATCH(A3381,'Semrush Data'!$A$1:$A$20000,0),MATCH("Volume",'Semrush Data'!$A$1:$Z$1,0)),"")</f>
        <v/>
      </c>
      <c r="H3381" s="6" t="str">
        <f aca="false">IFERROR(INDEX('Semrush Data'!$A$1:$Z$20000,MATCH(A3381,'Semrush Data'!$A$1:$A$20000,0),MATCH("Keyword Difficulty*",'Semrush Data'!$A$1:$Z$1,0)),"")</f>
        <v/>
      </c>
      <c r="I3381" s="29" t="str">
        <f aca="false">IFERROR(INDEX('Semrush Data'!$A$1:$Z$20000,MATCH(A3381,'Semrush Data'!$A$1:$A$20000,0),MATCH("CPC*",'Semrush Data'!$A$1:$Z$1,0)),"")</f>
        <v/>
      </c>
      <c r="J3381" s="6" t="str">
        <f aca="false">IFERROR(INDEX('Semrush Data'!$A$1:$Z$20000,MATCH(A3381,'Semrush Data'!$A$1:$A$20000,0),MATCH("Intent",'Semrush Data'!$A$1:$Z$1,0)),"")</f>
        <v/>
      </c>
    </row>
    <row r="3382" customFormat="false" ht="15" hidden="false" customHeight="true" outlineLevel="0" collapsed="false">
      <c r="A3382" s="6" t="s">
        <v>2147</v>
      </c>
      <c r="B3382" s="6" t="s">
        <v>249</v>
      </c>
      <c r="C3382" s="6" t="n">
        <v>3</v>
      </c>
      <c r="D3382" s="6" t="n">
        <v>34</v>
      </c>
      <c r="E3382" s="6" t="n">
        <v>1</v>
      </c>
      <c r="F3382" s="6" t="s">
        <v>1097</v>
      </c>
      <c r="G3382" s="28" t="str">
        <f aca="false">IFERROR(INDEX('Semrush Data'!$A$1:$Z$20000,MATCH(A3382,'Semrush Data'!$A$1:$A$20000,0),MATCH("Volume",'Semrush Data'!$A$1:$Z$1,0)),"")</f>
        <v/>
      </c>
      <c r="H3382" s="6" t="str">
        <f aca="false">IFERROR(INDEX('Semrush Data'!$A$1:$Z$20000,MATCH(A3382,'Semrush Data'!$A$1:$A$20000,0),MATCH("Keyword Difficulty*",'Semrush Data'!$A$1:$Z$1,0)),"")</f>
        <v/>
      </c>
      <c r="I3382" s="29" t="str">
        <f aca="false">IFERROR(INDEX('Semrush Data'!$A$1:$Z$20000,MATCH(A3382,'Semrush Data'!$A$1:$A$20000,0),MATCH("CPC*",'Semrush Data'!$A$1:$Z$1,0)),"")</f>
        <v/>
      </c>
      <c r="J3382" s="6" t="str">
        <f aca="false">IFERROR(INDEX('Semrush Data'!$A$1:$Z$20000,MATCH(A3382,'Semrush Data'!$A$1:$A$20000,0),MATCH("Intent",'Semrush Data'!$A$1:$Z$1,0)),"")</f>
        <v/>
      </c>
    </row>
    <row r="3383" customFormat="false" ht="15" hidden="false" customHeight="true" outlineLevel="0" collapsed="false">
      <c r="A3383" s="6" t="s">
        <v>2415</v>
      </c>
      <c r="B3383" s="6" t="s">
        <v>249</v>
      </c>
      <c r="C3383" s="6" t="n">
        <v>3</v>
      </c>
      <c r="D3383" s="6" t="n">
        <v>34</v>
      </c>
      <c r="E3383" s="6" t="n">
        <v>1</v>
      </c>
      <c r="F3383" s="6" t="s">
        <v>1369</v>
      </c>
      <c r="G3383" s="28" t="str">
        <f aca="false">IFERROR(INDEX('Semrush Data'!$A$1:$Z$20000,MATCH(A3383,'Semrush Data'!$A$1:$A$20000,0),MATCH("Volume",'Semrush Data'!$A$1:$Z$1,0)),"")</f>
        <v/>
      </c>
      <c r="H3383" s="6" t="str">
        <f aca="false">IFERROR(INDEX('Semrush Data'!$A$1:$Z$20000,MATCH(A3383,'Semrush Data'!$A$1:$A$20000,0),MATCH("Keyword Difficulty*",'Semrush Data'!$A$1:$Z$1,0)),"")</f>
        <v/>
      </c>
      <c r="I3383" s="29" t="str">
        <f aca="false">IFERROR(INDEX('Semrush Data'!$A$1:$Z$20000,MATCH(A3383,'Semrush Data'!$A$1:$A$20000,0),MATCH("CPC*",'Semrush Data'!$A$1:$Z$1,0)),"")</f>
        <v/>
      </c>
      <c r="J3383" s="6" t="str">
        <f aca="false">IFERROR(INDEX('Semrush Data'!$A$1:$Z$20000,MATCH(A3383,'Semrush Data'!$A$1:$A$20000,0),MATCH("Intent",'Semrush Data'!$A$1:$Z$1,0)),"")</f>
        <v/>
      </c>
    </row>
    <row r="3384" customFormat="false" ht="15" hidden="false" customHeight="true" outlineLevel="0" collapsed="false">
      <c r="A3384" s="6" t="s">
        <v>2114</v>
      </c>
      <c r="B3384" s="6" t="s">
        <v>249</v>
      </c>
      <c r="C3384" s="6" t="n">
        <v>3</v>
      </c>
      <c r="D3384" s="6" t="n">
        <v>34</v>
      </c>
      <c r="E3384" s="6" t="n">
        <v>1</v>
      </c>
      <c r="F3384" s="6" t="s">
        <v>1066</v>
      </c>
      <c r="G3384" s="28" t="str">
        <f aca="false">IFERROR(INDEX('Semrush Data'!$A$1:$Z$20000,MATCH(A3384,'Semrush Data'!$A$1:$A$20000,0),MATCH("Volume",'Semrush Data'!$A$1:$Z$1,0)),"")</f>
        <v/>
      </c>
      <c r="H3384" s="6" t="str">
        <f aca="false">IFERROR(INDEX('Semrush Data'!$A$1:$Z$20000,MATCH(A3384,'Semrush Data'!$A$1:$A$20000,0),MATCH("Keyword Difficulty*",'Semrush Data'!$A$1:$Z$1,0)),"")</f>
        <v/>
      </c>
      <c r="I3384" s="29" t="str">
        <f aca="false">IFERROR(INDEX('Semrush Data'!$A$1:$Z$20000,MATCH(A3384,'Semrush Data'!$A$1:$A$20000,0),MATCH("CPC*",'Semrush Data'!$A$1:$Z$1,0)),"")</f>
        <v/>
      </c>
      <c r="J3384" s="6" t="str">
        <f aca="false">IFERROR(INDEX('Semrush Data'!$A$1:$Z$20000,MATCH(A3384,'Semrush Data'!$A$1:$A$20000,0),MATCH("Intent",'Semrush Data'!$A$1:$Z$1,0)),"")</f>
        <v/>
      </c>
    </row>
    <row r="3385" customFormat="false" ht="15" hidden="false" customHeight="true" outlineLevel="0" collapsed="false">
      <c r="A3385" s="6" t="s">
        <v>2301</v>
      </c>
      <c r="B3385" s="6" t="s">
        <v>249</v>
      </c>
      <c r="C3385" s="6" t="n">
        <v>3</v>
      </c>
      <c r="D3385" s="6" t="n">
        <v>34</v>
      </c>
      <c r="E3385" s="6" t="n">
        <v>1</v>
      </c>
      <c r="F3385" s="6" t="s">
        <v>1254</v>
      </c>
      <c r="G3385" s="28" t="str">
        <f aca="false">IFERROR(INDEX('Semrush Data'!$A$1:$Z$20000,MATCH(A3385,'Semrush Data'!$A$1:$A$20000,0),MATCH("Volume",'Semrush Data'!$A$1:$Z$1,0)),"")</f>
        <v/>
      </c>
      <c r="H3385" s="6" t="str">
        <f aca="false">IFERROR(INDEX('Semrush Data'!$A$1:$Z$20000,MATCH(A3385,'Semrush Data'!$A$1:$A$20000,0),MATCH("Keyword Difficulty*",'Semrush Data'!$A$1:$Z$1,0)),"")</f>
        <v/>
      </c>
      <c r="I3385" s="29" t="str">
        <f aca="false">IFERROR(INDEX('Semrush Data'!$A$1:$Z$20000,MATCH(A3385,'Semrush Data'!$A$1:$A$20000,0),MATCH("CPC*",'Semrush Data'!$A$1:$Z$1,0)),"")</f>
        <v/>
      </c>
      <c r="J3385" s="6" t="str">
        <f aca="false">IFERROR(INDEX('Semrush Data'!$A$1:$Z$20000,MATCH(A3385,'Semrush Data'!$A$1:$A$20000,0),MATCH("Intent",'Semrush Data'!$A$1:$Z$1,0)),"")</f>
        <v/>
      </c>
    </row>
    <row r="3386" customFormat="false" ht="15" hidden="false" customHeight="true" outlineLevel="0" collapsed="false">
      <c r="A3386" s="6" t="s">
        <v>2140</v>
      </c>
      <c r="B3386" s="6" t="s">
        <v>249</v>
      </c>
      <c r="C3386" s="6" t="n">
        <v>3</v>
      </c>
      <c r="D3386" s="6" t="n">
        <v>34</v>
      </c>
      <c r="E3386" s="6" t="n">
        <v>1</v>
      </c>
      <c r="F3386" s="6" t="s">
        <v>1091</v>
      </c>
      <c r="G3386" s="28" t="str">
        <f aca="false">IFERROR(INDEX('Semrush Data'!$A$1:$Z$20000,MATCH(A3386,'Semrush Data'!$A$1:$A$20000,0),MATCH("Volume",'Semrush Data'!$A$1:$Z$1,0)),"")</f>
        <v/>
      </c>
      <c r="H3386" s="6" t="str">
        <f aca="false">IFERROR(INDEX('Semrush Data'!$A$1:$Z$20000,MATCH(A3386,'Semrush Data'!$A$1:$A$20000,0),MATCH("Keyword Difficulty*",'Semrush Data'!$A$1:$Z$1,0)),"")</f>
        <v/>
      </c>
      <c r="I3386" s="29" t="str">
        <f aca="false">IFERROR(INDEX('Semrush Data'!$A$1:$Z$20000,MATCH(A3386,'Semrush Data'!$A$1:$A$20000,0),MATCH("CPC*",'Semrush Data'!$A$1:$Z$1,0)),"")</f>
        <v/>
      </c>
      <c r="J3386" s="6" t="str">
        <f aca="false">IFERROR(INDEX('Semrush Data'!$A$1:$Z$20000,MATCH(A3386,'Semrush Data'!$A$1:$A$20000,0),MATCH("Intent",'Semrush Data'!$A$1:$Z$1,0)),"")</f>
        <v/>
      </c>
    </row>
    <row r="3387" customFormat="false" ht="15" hidden="false" customHeight="true" outlineLevel="0" collapsed="false">
      <c r="A3387" s="6" t="s">
        <v>2053</v>
      </c>
      <c r="B3387" s="6" t="s">
        <v>249</v>
      </c>
      <c r="C3387" s="6" t="n">
        <v>3</v>
      </c>
      <c r="D3387" s="6" t="n">
        <v>34</v>
      </c>
      <c r="E3387" s="6" t="n">
        <v>1</v>
      </c>
      <c r="F3387" s="6" t="s">
        <v>1006</v>
      </c>
      <c r="G3387" s="28" t="str">
        <f aca="false">IFERROR(INDEX('Semrush Data'!$A$1:$Z$20000,MATCH(A3387,'Semrush Data'!$A$1:$A$20000,0),MATCH("Volume",'Semrush Data'!$A$1:$Z$1,0)),"")</f>
        <v/>
      </c>
      <c r="H3387" s="6" t="str">
        <f aca="false">IFERROR(INDEX('Semrush Data'!$A$1:$Z$20000,MATCH(A3387,'Semrush Data'!$A$1:$A$20000,0),MATCH("Keyword Difficulty*",'Semrush Data'!$A$1:$Z$1,0)),"")</f>
        <v/>
      </c>
      <c r="I3387" s="29" t="str">
        <f aca="false">IFERROR(INDEX('Semrush Data'!$A$1:$Z$20000,MATCH(A3387,'Semrush Data'!$A$1:$A$20000,0),MATCH("CPC*",'Semrush Data'!$A$1:$Z$1,0)),"")</f>
        <v/>
      </c>
      <c r="J3387" s="6" t="str">
        <f aca="false">IFERROR(INDEX('Semrush Data'!$A$1:$Z$20000,MATCH(A3387,'Semrush Data'!$A$1:$A$20000,0),MATCH("Intent",'Semrush Data'!$A$1:$Z$1,0)),"")</f>
        <v/>
      </c>
    </row>
    <row r="3388" customFormat="false" ht="15" hidden="false" customHeight="true" outlineLevel="0" collapsed="false">
      <c r="A3388" s="6" t="s">
        <v>2409</v>
      </c>
      <c r="B3388" s="6" t="s">
        <v>249</v>
      </c>
      <c r="C3388" s="6" t="n">
        <v>3</v>
      </c>
      <c r="D3388" s="6" t="n">
        <v>34</v>
      </c>
      <c r="E3388" s="6" t="n">
        <v>1</v>
      </c>
      <c r="F3388" s="6" t="s">
        <v>1363</v>
      </c>
      <c r="G3388" s="28" t="str">
        <f aca="false">IFERROR(INDEX('Semrush Data'!$A$1:$Z$20000,MATCH(A3388,'Semrush Data'!$A$1:$A$20000,0),MATCH("Volume",'Semrush Data'!$A$1:$Z$1,0)),"")</f>
        <v/>
      </c>
      <c r="H3388" s="6" t="str">
        <f aca="false">IFERROR(INDEX('Semrush Data'!$A$1:$Z$20000,MATCH(A3388,'Semrush Data'!$A$1:$A$20000,0),MATCH("Keyword Difficulty*",'Semrush Data'!$A$1:$Z$1,0)),"")</f>
        <v/>
      </c>
      <c r="I3388" s="29" t="str">
        <f aca="false">IFERROR(INDEX('Semrush Data'!$A$1:$Z$20000,MATCH(A3388,'Semrush Data'!$A$1:$A$20000,0),MATCH("CPC*",'Semrush Data'!$A$1:$Z$1,0)),"")</f>
        <v/>
      </c>
      <c r="J3388" s="6" t="str">
        <f aca="false">IFERROR(INDEX('Semrush Data'!$A$1:$Z$20000,MATCH(A3388,'Semrush Data'!$A$1:$A$20000,0),MATCH("Intent",'Semrush Data'!$A$1:$Z$1,0)),"")</f>
        <v/>
      </c>
    </row>
    <row r="3389" customFormat="false" ht="15" hidden="false" customHeight="true" outlineLevel="0" collapsed="false">
      <c r="A3389" s="6" t="s">
        <v>2427</v>
      </c>
      <c r="B3389" s="6" t="s">
        <v>249</v>
      </c>
      <c r="C3389" s="6" t="n">
        <v>3</v>
      </c>
      <c r="D3389" s="6" t="n">
        <v>34</v>
      </c>
      <c r="E3389" s="6" t="n">
        <v>1</v>
      </c>
      <c r="F3389" s="6" t="s">
        <v>1381</v>
      </c>
      <c r="G3389" s="28" t="str">
        <f aca="false">IFERROR(INDEX('Semrush Data'!$A$1:$Z$20000,MATCH(A3389,'Semrush Data'!$A$1:$A$20000,0),MATCH("Volume",'Semrush Data'!$A$1:$Z$1,0)),"")</f>
        <v/>
      </c>
      <c r="H3389" s="6" t="str">
        <f aca="false">IFERROR(INDEX('Semrush Data'!$A$1:$Z$20000,MATCH(A3389,'Semrush Data'!$A$1:$A$20000,0),MATCH("Keyword Difficulty*",'Semrush Data'!$A$1:$Z$1,0)),"")</f>
        <v/>
      </c>
      <c r="I3389" s="29" t="str">
        <f aca="false">IFERROR(INDEX('Semrush Data'!$A$1:$Z$20000,MATCH(A3389,'Semrush Data'!$A$1:$A$20000,0),MATCH("CPC*",'Semrush Data'!$A$1:$Z$1,0)),"")</f>
        <v/>
      </c>
      <c r="J3389" s="6" t="str">
        <f aca="false">IFERROR(INDEX('Semrush Data'!$A$1:$Z$20000,MATCH(A3389,'Semrush Data'!$A$1:$A$20000,0),MATCH("Intent",'Semrush Data'!$A$1:$Z$1,0)),"")</f>
        <v/>
      </c>
    </row>
    <row r="3390" customFormat="false" ht="15" hidden="false" customHeight="true" outlineLevel="0" collapsed="false">
      <c r="A3390" s="6" t="s">
        <v>2161</v>
      </c>
      <c r="B3390" s="6" t="s">
        <v>249</v>
      </c>
      <c r="C3390" s="6" t="n">
        <v>3</v>
      </c>
      <c r="D3390" s="6" t="n">
        <v>34</v>
      </c>
      <c r="E3390" s="6" t="n">
        <v>1</v>
      </c>
      <c r="F3390" s="6" t="s">
        <v>1111</v>
      </c>
      <c r="G3390" s="28" t="str">
        <f aca="false">IFERROR(INDEX('Semrush Data'!$A$1:$Z$20000,MATCH(A3390,'Semrush Data'!$A$1:$A$20000,0),MATCH("Volume",'Semrush Data'!$A$1:$Z$1,0)),"")</f>
        <v/>
      </c>
      <c r="H3390" s="6" t="str">
        <f aca="false">IFERROR(INDEX('Semrush Data'!$A$1:$Z$20000,MATCH(A3390,'Semrush Data'!$A$1:$A$20000,0),MATCH("Keyword Difficulty*",'Semrush Data'!$A$1:$Z$1,0)),"")</f>
        <v/>
      </c>
      <c r="I3390" s="29" t="str">
        <f aca="false">IFERROR(INDEX('Semrush Data'!$A$1:$Z$20000,MATCH(A3390,'Semrush Data'!$A$1:$A$20000,0),MATCH("CPC*",'Semrush Data'!$A$1:$Z$1,0)),"")</f>
        <v/>
      </c>
      <c r="J3390" s="6" t="str">
        <f aca="false">IFERROR(INDEX('Semrush Data'!$A$1:$Z$20000,MATCH(A3390,'Semrush Data'!$A$1:$A$20000,0),MATCH("Intent",'Semrush Data'!$A$1:$Z$1,0)),"")</f>
        <v/>
      </c>
    </row>
    <row r="3391" customFormat="false" ht="15" hidden="false" customHeight="true" outlineLevel="0" collapsed="false">
      <c r="A3391" s="6" t="s">
        <v>1990</v>
      </c>
      <c r="B3391" s="6" t="s">
        <v>249</v>
      </c>
      <c r="C3391" s="6" t="n">
        <v>3</v>
      </c>
      <c r="D3391" s="6" t="n">
        <v>34</v>
      </c>
      <c r="E3391" s="6" t="n">
        <v>1</v>
      </c>
      <c r="F3391" s="6" t="s">
        <v>945</v>
      </c>
      <c r="G3391" s="28" t="str">
        <f aca="false">IFERROR(INDEX('Semrush Data'!$A$1:$Z$20000,MATCH(A3391,'Semrush Data'!$A$1:$A$20000,0),MATCH("Volume",'Semrush Data'!$A$1:$Z$1,0)),"")</f>
        <v/>
      </c>
      <c r="H3391" s="6" t="str">
        <f aca="false">IFERROR(INDEX('Semrush Data'!$A$1:$Z$20000,MATCH(A3391,'Semrush Data'!$A$1:$A$20000,0),MATCH("Keyword Difficulty*",'Semrush Data'!$A$1:$Z$1,0)),"")</f>
        <v/>
      </c>
      <c r="I3391" s="29" t="str">
        <f aca="false">IFERROR(INDEX('Semrush Data'!$A$1:$Z$20000,MATCH(A3391,'Semrush Data'!$A$1:$A$20000,0),MATCH("CPC*",'Semrush Data'!$A$1:$Z$1,0)),"")</f>
        <v/>
      </c>
      <c r="J3391" s="6" t="str">
        <f aca="false">IFERROR(INDEX('Semrush Data'!$A$1:$Z$20000,MATCH(A3391,'Semrush Data'!$A$1:$A$20000,0),MATCH("Intent",'Semrush Data'!$A$1:$Z$1,0)),"")</f>
        <v/>
      </c>
    </row>
    <row r="3392" customFormat="false" ht="15" hidden="false" customHeight="true" outlineLevel="0" collapsed="false">
      <c r="A3392" s="6" t="s">
        <v>2089</v>
      </c>
      <c r="B3392" s="6" t="s">
        <v>249</v>
      </c>
      <c r="C3392" s="6" t="n">
        <v>3</v>
      </c>
      <c r="D3392" s="6" t="n">
        <v>34</v>
      </c>
      <c r="E3392" s="6" t="n">
        <v>1</v>
      </c>
      <c r="F3392" s="6" t="s">
        <v>1039</v>
      </c>
      <c r="G3392" s="28" t="str">
        <f aca="false">IFERROR(INDEX('Semrush Data'!$A$1:$Z$20000,MATCH(A3392,'Semrush Data'!$A$1:$A$20000,0),MATCH("Volume",'Semrush Data'!$A$1:$Z$1,0)),"")</f>
        <v/>
      </c>
      <c r="H3392" s="6" t="str">
        <f aca="false">IFERROR(INDEX('Semrush Data'!$A$1:$Z$20000,MATCH(A3392,'Semrush Data'!$A$1:$A$20000,0),MATCH("Keyword Difficulty*",'Semrush Data'!$A$1:$Z$1,0)),"")</f>
        <v/>
      </c>
      <c r="I3392" s="29" t="str">
        <f aca="false">IFERROR(INDEX('Semrush Data'!$A$1:$Z$20000,MATCH(A3392,'Semrush Data'!$A$1:$A$20000,0),MATCH("CPC*",'Semrush Data'!$A$1:$Z$1,0)),"")</f>
        <v/>
      </c>
      <c r="J3392" s="6" t="str">
        <f aca="false">IFERROR(INDEX('Semrush Data'!$A$1:$Z$20000,MATCH(A3392,'Semrush Data'!$A$1:$A$20000,0),MATCH("Intent",'Semrush Data'!$A$1:$Z$1,0)),"")</f>
        <v/>
      </c>
    </row>
    <row r="3393" customFormat="false" ht="15" hidden="false" customHeight="true" outlineLevel="0" collapsed="false">
      <c r="A3393" s="6" t="s">
        <v>2235</v>
      </c>
      <c r="B3393" s="6" t="s">
        <v>249</v>
      </c>
      <c r="C3393" s="6" t="n">
        <v>3</v>
      </c>
      <c r="D3393" s="6" t="n">
        <v>34</v>
      </c>
      <c r="E3393" s="6" t="n">
        <v>1</v>
      </c>
      <c r="F3393" s="6" t="s">
        <v>1185</v>
      </c>
      <c r="G3393" s="28" t="str">
        <f aca="false">IFERROR(INDEX('Semrush Data'!$A$1:$Z$20000,MATCH(A3393,'Semrush Data'!$A$1:$A$20000,0),MATCH("Volume",'Semrush Data'!$A$1:$Z$1,0)),"")</f>
        <v/>
      </c>
      <c r="H3393" s="6" t="str">
        <f aca="false">IFERROR(INDEX('Semrush Data'!$A$1:$Z$20000,MATCH(A3393,'Semrush Data'!$A$1:$A$20000,0),MATCH("Keyword Difficulty*",'Semrush Data'!$A$1:$Z$1,0)),"")</f>
        <v/>
      </c>
      <c r="I3393" s="29" t="str">
        <f aca="false">IFERROR(INDEX('Semrush Data'!$A$1:$Z$20000,MATCH(A3393,'Semrush Data'!$A$1:$A$20000,0),MATCH("CPC*",'Semrush Data'!$A$1:$Z$1,0)),"")</f>
        <v/>
      </c>
      <c r="J3393" s="6" t="str">
        <f aca="false">IFERROR(INDEX('Semrush Data'!$A$1:$Z$20000,MATCH(A3393,'Semrush Data'!$A$1:$A$20000,0),MATCH("Intent",'Semrush Data'!$A$1:$Z$1,0)),"")</f>
        <v/>
      </c>
    </row>
    <row r="3394" customFormat="false" ht="15" hidden="false" customHeight="true" outlineLevel="0" collapsed="false">
      <c r="A3394" s="6" t="s">
        <v>1998</v>
      </c>
      <c r="B3394" s="6" t="s">
        <v>249</v>
      </c>
      <c r="C3394" s="6" t="n">
        <v>3</v>
      </c>
      <c r="D3394" s="6" t="n">
        <v>34</v>
      </c>
      <c r="E3394" s="6" t="n">
        <v>1</v>
      </c>
      <c r="F3394" s="6" t="s">
        <v>952</v>
      </c>
      <c r="G3394" s="28" t="str">
        <f aca="false">IFERROR(INDEX('Semrush Data'!$A$1:$Z$20000,MATCH(A3394,'Semrush Data'!$A$1:$A$20000,0),MATCH("Volume",'Semrush Data'!$A$1:$Z$1,0)),"")</f>
        <v/>
      </c>
      <c r="H3394" s="6" t="str">
        <f aca="false">IFERROR(INDEX('Semrush Data'!$A$1:$Z$20000,MATCH(A3394,'Semrush Data'!$A$1:$A$20000,0),MATCH("Keyword Difficulty*",'Semrush Data'!$A$1:$Z$1,0)),"")</f>
        <v/>
      </c>
      <c r="I3394" s="29" t="str">
        <f aca="false">IFERROR(INDEX('Semrush Data'!$A$1:$Z$20000,MATCH(A3394,'Semrush Data'!$A$1:$A$20000,0),MATCH("CPC*",'Semrush Data'!$A$1:$Z$1,0)),"")</f>
        <v/>
      </c>
      <c r="J3394" s="6" t="str">
        <f aca="false">IFERROR(INDEX('Semrush Data'!$A$1:$Z$20000,MATCH(A3394,'Semrush Data'!$A$1:$A$20000,0),MATCH("Intent",'Semrush Data'!$A$1:$Z$1,0)),"")</f>
        <v/>
      </c>
    </row>
    <row r="3395" customFormat="false" ht="15" hidden="false" customHeight="true" outlineLevel="0" collapsed="false">
      <c r="A3395" s="6" t="s">
        <v>2228</v>
      </c>
      <c r="B3395" s="6" t="s">
        <v>249</v>
      </c>
      <c r="C3395" s="6" t="n">
        <v>3</v>
      </c>
      <c r="D3395" s="6" t="n">
        <v>34</v>
      </c>
      <c r="E3395" s="6" t="n">
        <v>1</v>
      </c>
      <c r="F3395" s="6" t="s">
        <v>1178</v>
      </c>
      <c r="G3395" s="28" t="str">
        <f aca="false">IFERROR(INDEX('Semrush Data'!$A$1:$Z$20000,MATCH(A3395,'Semrush Data'!$A$1:$A$20000,0),MATCH("Volume",'Semrush Data'!$A$1:$Z$1,0)),"")</f>
        <v/>
      </c>
      <c r="H3395" s="6" t="str">
        <f aca="false">IFERROR(INDEX('Semrush Data'!$A$1:$Z$20000,MATCH(A3395,'Semrush Data'!$A$1:$A$20000,0),MATCH("Keyword Difficulty*",'Semrush Data'!$A$1:$Z$1,0)),"")</f>
        <v/>
      </c>
      <c r="I3395" s="29" t="str">
        <f aca="false">IFERROR(INDEX('Semrush Data'!$A$1:$Z$20000,MATCH(A3395,'Semrush Data'!$A$1:$A$20000,0),MATCH("CPC*",'Semrush Data'!$A$1:$Z$1,0)),"")</f>
        <v/>
      </c>
      <c r="J3395" s="6" t="str">
        <f aca="false">IFERROR(INDEX('Semrush Data'!$A$1:$Z$20000,MATCH(A3395,'Semrush Data'!$A$1:$A$20000,0),MATCH("Intent",'Semrush Data'!$A$1:$Z$1,0)),"")</f>
        <v/>
      </c>
    </row>
    <row r="3396" customFormat="false" ht="15" hidden="false" customHeight="true" outlineLevel="0" collapsed="false">
      <c r="A3396" s="6" t="s">
        <v>2175</v>
      </c>
      <c r="B3396" s="6" t="s">
        <v>249</v>
      </c>
      <c r="C3396" s="6" t="n">
        <v>3</v>
      </c>
      <c r="D3396" s="6" t="n">
        <v>34</v>
      </c>
      <c r="E3396" s="6" t="n">
        <v>1</v>
      </c>
      <c r="F3396" s="6" t="s">
        <v>1123</v>
      </c>
      <c r="G3396" s="28" t="str">
        <f aca="false">IFERROR(INDEX('Semrush Data'!$A$1:$Z$20000,MATCH(A3396,'Semrush Data'!$A$1:$A$20000,0),MATCH("Volume",'Semrush Data'!$A$1:$Z$1,0)),"")</f>
        <v/>
      </c>
      <c r="H3396" s="6" t="str">
        <f aca="false">IFERROR(INDEX('Semrush Data'!$A$1:$Z$20000,MATCH(A3396,'Semrush Data'!$A$1:$A$20000,0),MATCH("Keyword Difficulty*",'Semrush Data'!$A$1:$Z$1,0)),"")</f>
        <v/>
      </c>
      <c r="I3396" s="29" t="str">
        <f aca="false">IFERROR(INDEX('Semrush Data'!$A$1:$Z$20000,MATCH(A3396,'Semrush Data'!$A$1:$A$20000,0),MATCH("CPC*",'Semrush Data'!$A$1:$Z$1,0)),"")</f>
        <v/>
      </c>
      <c r="J3396" s="6" t="str">
        <f aca="false">IFERROR(INDEX('Semrush Data'!$A$1:$Z$20000,MATCH(A3396,'Semrush Data'!$A$1:$A$20000,0),MATCH("Intent",'Semrush Data'!$A$1:$Z$1,0)),"")</f>
        <v/>
      </c>
    </row>
    <row r="3397" customFormat="false" ht="15" hidden="false" customHeight="true" outlineLevel="0" collapsed="false">
      <c r="A3397" s="6" t="s">
        <v>2241</v>
      </c>
      <c r="B3397" s="6" t="s">
        <v>249</v>
      </c>
      <c r="C3397" s="6" t="n">
        <v>3</v>
      </c>
      <c r="D3397" s="6" t="n">
        <v>34</v>
      </c>
      <c r="E3397" s="6" t="n">
        <v>1</v>
      </c>
      <c r="F3397" s="6" t="s">
        <v>1192</v>
      </c>
      <c r="G3397" s="28" t="str">
        <f aca="false">IFERROR(INDEX('Semrush Data'!$A$1:$Z$20000,MATCH(A3397,'Semrush Data'!$A$1:$A$20000,0),MATCH("Volume",'Semrush Data'!$A$1:$Z$1,0)),"")</f>
        <v/>
      </c>
      <c r="H3397" s="6" t="str">
        <f aca="false">IFERROR(INDEX('Semrush Data'!$A$1:$Z$20000,MATCH(A3397,'Semrush Data'!$A$1:$A$20000,0),MATCH("Keyword Difficulty*",'Semrush Data'!$A$1:$Z$1,0)),"")</f>
        <v/>
      </c>
      <c r="I3397" s="29" t="str">
        <f aca="false">IFERROR(INDEX('Semrush Data'!$A$1:$Z$20000,MATCH(A3397,'Semrush Data'!$A$1:$A$20000,0),MATCH("CPC*",'Semrush Data'!$A$1:$Z$1,0)),"")</f>
        <v/>
      </c>
      <c r="J3397" s="6" t="str">
        <f aca="false">IFERROR(INDEX('Semrush Data'!$A$1:$Z$20000,MATCH(A3397,'Semrush Data'!$A$1:$A$20000,0),MATCH("Intent",'Semrush Data'!$A$1:$Z$1,0)),"")</f>
        <v/>
      </c>
    </row>
    <row r="3398" customFormat="false" ht="15" hidden="false" customHeight="true" outlineLevel="0" collapsed="false">
      <c r="A3398" s="6" t="s">
        <v>2013</v>
      </c>
      <c r="B3398" s="6" t="s">
        <v>249</v>
      </c>
      <c r="C3398" s="6" t="n">
        <v>3</v>
      </c>
      <c r="D3398" s="6" t="n">
        <v>34</v>
      </c>
      <c r="E3398" s="6" t="n">
        <v>1</v>
      </c>
      <c r="F3398" s="6" t="s">
        <v>965</v>
      </c>
      <c r="G3398" s="28" t="str">
        <f aca="false">IFERROR(INDEX('Semrush Data'!$A$1:$Z$20000,MATCH(A3398,'Semrush Data'!$A$1:$A$20000,0),MATCH("Volume",'Semrush Data'!$A$1:$Z$1,0)),"")</f>
        <v/>
      </c>
      <c r="H3398" s="6" t="str">
        <f aca="false">IFERROR(INDEX('Semrush Data'!$A$1:$Z$20000,MATCH(A3398,'Semrush Data'!$A$1:$A$20000,0),MATCH("Keyword Difficulty*",'Semrush Data'!$A$1:$Z$1,0)),"")</f>
        <v/>
      </c>
      <c r="I3398" s="29" t="str">
        <f aca="false">IFERROR(INDEX('Semrush Data'!$A$1:$Z$20000,MATCH(A3398,'Semrush Data'!$A$1:$A$20000,0),MATCH("CPC*",'Semrush Data'!$A$1:$Z$1,0)),"")</f>
        <v/>
      </c>
      <c r="J3398" s="6" t="str">
        <f aca="false">IFERROR(INDEX('Semrush Data'!$A$1:$Z$20000,MATCH(A3398,'Semrush Data'!$A$1:$A$20000,0),MATCH("Intent",'Semrush Data'!$A$1:$Z$1,0)),"")</f>
        <v/>
      </c>
    </row>
    <row r="3399" customFormat="false" ht="15" hidden="false" customHeight="true" outlineLevel="0" collapsed="false">
      <c r="A3399" s="6" t="s">
        <v>2182</v>
      </c>
      <c r="B3399" s="6" t="s">
        <v>249</v>
      </c>
      <c r="C3399" s="6" t="n">
        <v>3</v>
      </c>
      <c r="D3399" s="6" t="n">
        <v>34</v>
      </c>
      <c r="E3399" s="6" t="n">
        <v>2</v>
      </c>
      <c r="F3399" s="6" t="s">
        <v>6779</v>
      </c>
      <c r="G3399" s="28" t="str">
        <f aca="false">IFERROR(INDEX('Semrush Data'!$A$1:$Z$20000,MATCH(A3399,'Semrush Data'!$A$1:$A$20000,0),MATCH("Volume",'Semrush Data'!$A$1:$Z$1,0)),"")</f>
        <v/>
      </c>
      <c r="H3399" s="6" t="str">
        <f aca="false">IFERROR(INDEX('Semrush Data'!$A$1:$Z$20000,MATCH(A3399,'Semrush Data'!$A$1:$A$20000,0),MATCH("Keyword Difficulty*",'Semrush Data'!$A$1:$Z$1,0)),"")</f>
        <v/>
      </c>
      <c r="I3399" s="29" t="str">
        <f aca="false">IFERROR(INDEX('Semrush Data'!$A$1:$Z$20000,MATCH(A3399,'Semrush Data'!$A$1:$A$20000,0),MATCH("CPC*",'Semrush Data'!$A$1:$Z$1,0)),"")</f>
        <v/>
      </c>
      <c r="J3399" s="6" t="str">
        <f aca="false">IFERROR(INDEX('Semrush Data'!$A$1:$Z$20000,MATCH(A3399,'Semrush Data'!$A$1:$A$20000,0),MATCH("Intent",'Semrush Data'!$A$1:$Z$1,0)),"")</f>
        <v/>
      </c>
    </row>
    <row r="3400" customFormat="false" ht="15" hidden="false" customHeight="true" outlineLevel="0" collapsed="false">
      <c r="A3400" s="6" t="s">
        <v>2020</v>
      </c>
      <c r="B3400" s="6" t="s">
        <v>249</v>
      </c>
      <c r="C3400" s="6" t="n">
        <v>3</v>
      </c>
      <c r="D3400" s="6" t="n">
        <v>34</v>
      </c>
      <c r="E3400" s="6" t="n">
        <v>1</v>
      </c>
      <c r="F3400" s="6" t="s">
        <v>971</v>
      </c>
      <c r="G3400" s="28" t="str">
        <f aca="false">IFERROR(INDEX('Semrush Data'!$A$1:$Z$20000,MATCH(A3400,'Semrush Data'!$A$1:$A$20000,0),MATCH("Volume",'Semrush Data'!$A$1:$Z$1,0)),"")</f>
        <v/>
      </c>
      <c r="H3400" s="6" t="str">
        <f aca="false">IFERROR(INDEX('Semrush Data'!$A$1:$Z$20000,MATCH(A3400,'Semrush Data'!$A$1:$A$20000,0),MATCH("Keyword Difficulty*",'Semrush Data'!$A$1:$Z$1,0)),"")</f>
        <v/>
      </c>
      <c r="I3400" s="29" t="str">
        <f aca="false">IFERROR(INDEX('Semrush Data'!$A$1:$Z$20000,MATCH(A3400,'Semrush Data'!$A$1:$A$20000,0),MATCH("CPC*",'Semrush Data'!$A$1:$Z$1,0)),"")</f>
        <v/>
      </c>
      <c r="J3400" s="6" t="str">
        <f aca="false">IFERROR(INDEX('Semrush Data'!$A$1:$Z$20000,MATCH(A3400,'Semrush Data'!$A$1:$A$20000,0),MATCH("Intent",'Semrush Data'!$A$1:$Z$1,0)),"")</f>
        <v/>
      </c>
    </row>
    <row r="3401" customFormat="false" ht="15" hidden="false" customHeight="true" outlineLevel="0" collapsed="false">
      <c r="A3401" s="6" t="s">
        <v>2134</v>
      </c>
      <c r="B3401" s="6" t="s">
        <v>249</v>
      </c>
      <c r="C3401" s="6" t="n">
        <v>3</v>
      </c>
      <c r="D3401" s="6" t="n">
        <v>34</v>
      </c>
      <c r="E3401" s="6" t="n">
        <v>1</v>
      </c>
      <c r="F3401" s="6" t="s">
        <v>1085</v>
      </c>
      <c r="G3401" s="28" t="str">
        <f aca="false">IFERROR(INDEX('Semrush Data'!$A$1:$Z$20000,MATCH(A3401,'Semrush Data'!$A$1:$A$20000,0),MATCH("Volume",'Semrush Data'!$A$1:$Z$1,0)),"")</f>
        <v/>
      </c>
      <c r="H3401" s="6" t="str">
        <f aca="false">IFERROR(INDEX('Semrush Data'!$A$1:$Z$20000,MATCH(A3401,'Semrush Data'!$A$1:$A$20000,0),MATCH("Keyword Difficulty*",'Semrush Data'!$A$1:$Z$1,0)),"")</f>
        <v/>
      </c>
      <c r="I3401" s="29" t="str">
        <f aca="false">IFERROR(INDEX('Semrush Data'!$A$1:$Z$20000,MATCH(A3401,'Semrush Data'!$A$1:$A$20000,0),MATCH("CPC*",'Semrush Data'!$A$1:$Z$1,0)),"")</f>
        <v/>
      </c>
      <c r="J3401" s="6" t="str">
        <f aca="false">IFERROR(INDEX('Semrush Data'!$A$1:$Z$20000,MATCH(A3401,'Semrush Data'!$A$1:$A$20000,0),MATCH("Intent",'Semrush Data'!$A$1:$Z$1,0)),"")</f>
        <v/>
      </c>
    </row>
    <row r="3402" customFormat="false" ht="15" hidden="false" customHeight="true" outlineLevel="0" collapsed="false">
      <c r="A3402" s="6" t="s">
        <v>2379</v>
      </c>
      <c r="B3402" s="6" t="s">
        <v>249</v>
      </c>
      <c r="C3402" s="6" t="n">
        <v>3</v>
      </c>
      <c r="D3402" s="6" t="n">
        <v>35</v>
      </c>
      <c r="E3402" s="6" t="n">
        <v>1</v>
      </c>
      <c r="F3402" s="6" t="s">
        <v>1332</v>
      </c>
      <c r="G3402" s="28" t="str">
        <f aca="false">IFERROR(INDEX('Semrush Data'!$A$1:$Z$20000,MATCH(A3402,'Semrush Data'!$A$1:$A$20000,0),MATCH("Volume",'Semrush Data'!$A$1:$Z$1,0)),"")</f>
        <v/>
      </c>
      <c r="H3402" s="6" t="str">
        <f aca="false">IFERROR(INDEX('Semrush Data'!$A$1:$Z$20000,MATCH(A3402,'Semrush Data'!$A$1:$A$20000,0),MATCH("Keyword Difficulty*",'Semrush Data'!$A$1:$Z$1,0)),"")</f>
        <v/>
      </c>
      <c r="I3402" s="29" t="str">
        <f aca="false">IFERROR(INDEX('Semrush Data'!$A$1:$Z$20000,MATCH(A3402,'Semrush Data'!$A$1:$A$20000,0),MATCH("CPC*",'Semrush Data'!$A$1:$Z$1,0)),"")</f>
        <v/>
      </c>
      <c r="J3402" s="6" t="str">
        <f aca="false">IFERROR(INDEX('Semrush Data'!$A$1:$Z$20000,MATCH(A3402,'Semrush Data'!$A$1:$A$20000,0),MATCH("Intent",'Semrush Data'!$A$1:$Z$1,0)),"")</f>
        <v/>
      </c>
    </row>
    <row r="3403" customFormat="false" ht="15" hidden="false" customHeight="true" outlineLevel="0" collapsed="false">
      <c r="A3403" s="6" t="s">
        <v>2128</v>
      </c>
      <c r="B3403" s="6" t="s">
        <v>249</v>
      </c>
      <c r="C3403" s="6" t="n">
        <v>3</v>
      </c>
      <c r="D3403" s="6" t="n">
        <v>35</v>
      </c>
      <c r="E3403" s="6" t="n">
        <v>1</v>
      </c>
      <c r="F3403" s="6" t="s">
        <v>1079</v>
      </c>
      <c r="G3403" s="28" t="str">
        <f aca="false">IFERROR(INDEX('Semrush Data'!$A$1:$Z$20000,MATCH(A3403,'Semrush Data'!$A$1:$A$20000,0),MATCH("Volume",'Semrush Data'!$A$1:$Z$1,0)),"")</f>
        <v/>
      </c>
      <c r="H3403" s="6" t="str">
        <f aca="false">IFERROR(INDEX('Semrush Data'!$A$1:$Z$20000,MATCH(A3403,'Semrush Data'!$A$1:$A$20000,0),MATCH("Keyword Difficulty*",'Semrush Data'!$A$1:$Z$1,0)),"")</f>
        <v/>
      </c>
      <c r="I3403" s="29" t="str">
        <f aca="false">IFERROR(INDEX('Semrush Data'!$A$1:$Z$20000,MATCH(A3403,'Semrush Data'!$A$1:$A$20000,0),MATCH("CPC*",'Semrush Data'!$A$1:$Z$1,0)),"")</f>
        <v/>
      </c>
      <c r="J3403" s="6" t="str">
        <f aca="false">IFERROR(INDEX('Semrush Data'!$A$1:$Z$20000,MATCH(A3403,'Semrush Data'!$A$1:$A$20000,0),MATCH("Intent",'Semrush Data'!$A$1:$Z$1,0)),"")</f>
        <v/>
      </c>
    </row>
    <row r="3404" customFormat="false" ht="15" hidden="false" customHeight="true" outlineLevel="0" collapsed="false">
      <c r="A3404" s="6" t="s">
        <v>2307</v>
      </c>
      <c r="B3404" s="6" t="s">
        <v>249</v>
      </c>
      <c r="C3404" s="6" t="n">
        <v>3</v>
      </c>
      <c r="D3404" s="6" t="n">
        <v>35</v>
      </c>
      <c r="E3404" s="6" t="n">
        <v>1</v>
      </c>
      <c r="F3404" s="6" t="s">
        <v>1260</v>
      </c>
      <c r="G3404" s="28" t="str">
        <f aca="false">IFERROR(INDEX('Semrush Data'!$A$1:$Z$20000,MATCH(A3404,'Semrush Data'!$A$1:$A$20000,0),MATCH("Volume",'Semrush Data'!$A$1:$Z$1,0)),"")</f>
        <v/>
      </c>
      <c r="H3404" s="6" t="str">
        <f aca="false">IFERROR(INDEX('Semrush Data'!$A$1:$Z$20000,MATCH(A3404,'Semrush Data'!$A$1:$A$20000,0),MATCH("Keyword Difficulty*",'Semrush Data'!$A$1:$Z$1,0)),"")</f>
        <v/>
      </c>
      <c r="I3404" s="29" t="str">
        <f aca="false">IFERROR(INDEX('Semrush Data'!$A$1:$Z$20000,MATCH(A3404,'Semrush Data'!$A$1:$A$20000,0),MATCH("CPC*",'Semrush Data'!$A$1:$Z$1,0)),"")</f>
        <v/>
      </c>
      <c r="J3404" s="6" t="str">
        <f aca="false">IFERROR(INDEX('Semrush Data'!$A$1:$Z$20000,MATCH(A3404,'Semrush Data'!$A$1:$A$20000,0),MATCH("Intent",'Semrush Data'!$A$1:$Z$1,0)),"")</f>
        <v/>
      </c>
    </row>
    <row r="3405" customFormat="false" ht="15" hidden="false" customHeight="true" outlineLevel="0" collapsed="false">
      <c r="A3405" s="6" t="s">
        <v>2248</v>
      </c>
      <c r="B3405" s="6" t="s">
        <v>249</v>
      </c>
      <c r="C3405" s="6" t="n">
        <v>3</v>
      </c>
      <c r="D3405" s="6" t="n">
        <v>35</v>
      </c>
      <c r="E3405" s="6" t="n">
        <v>1</v>
      </c>
      <c r="F3405" s="6" t="s">
        <v>1199</v>
      </c>
      <c r="G3405" s="28" t="str">
        <f aca="false">IFERROR(INDEX('Semrush Data'!$A$1:$Z$20000,MATCH(A3405,'Semrush Data'!$A$1:$A$20000,0),MATCH("Volume",'Semrush Data'!$A$1:$Z$1,0)),"")</f>
        <v/>
      </c>
      <c r="H3405" s="6" t="str">
        <f aca="false">IFERROR(INDEX('Semrush Data'!$A$1:$Z$20000,MATCH(A3405,'Semrush Data'!$A$1:$A$20000,0),MATCH("Keyword Difficulty*",'Semrush Data'!$A$1:$Z$1,0)),"")</f>
        <v/>
      </c>
      <c r="I3405" s="29" t="str">
        <f aca="false">IFERROR(INDEX('Semrush Data'!$A$1:$Z$20000,MATCH(A3405,'Semrush Data'!$A$1:$A$20000,0),MATCH("CPC*",'Semrush Data'!$A$1:$Z$1,0)),"")</f>
        <v/>
      </c>
      <c r="J3405" s="6" t="str">
        <f aca="false">IFERROR(INDEX('Semrush Data'!$A$1:$Z$20000,MATCH(A3405,'Semrush Data'!$A$1:$A$20000,0),MATCH("Intent",'Semrush Data'!$A$1:$Z$1,0)),"")</f>
        <v/>
      </c>
    </row>
    <row r="3406" customFormat="false" ht="15" hidden="false" customHeight="true" outlineLevel="0" collapsed="false">
      <c r="A3406" s="6" t="s">
        <v>2121</v>
      </c>
      <c r="B3406" s="6" t="s">
        <v>249</v>
      </c>
      <c r="C3406" s="6" t="n">
        <v>3</v>
      </c>
      <c r="D3406" s="6" t="n">
        <v>35</v>
      </c>
      <c r="E3406" s="6" t="n">
        <v>1</v>
      </c>
      <c r="F3406" s="6" t="s">
        <v>1073</v>
      </c>
      <c r="G3406" s="28" t="str">
        <f aca="false">IFERROR(INDEX('Semrush Data'!$A$1:$Z$20000,MATCH(A3406,'Semrush Data'!$A$1:$A$20000,0),MATCH("Volume",'Semrush Data'!$A$1:$Z$1,0)),"")</f>
        <v/>
      </c>
      <c r="H3406" s="6" t="str">
        <f aca="false">IFERROR(INDEX('Semrush Data'!$A$1:$Z$20000,MATCH(A3406,'Semrush Data'!$A$1:$A$20000,0),MATCH("Keyword Difficulty*",'Semrush Data'!$A$1:$Z$1,0)),"")</f>
        <v/>
      </c>
      <c r="I3406" s="29" t="str">
        <f aca="false">IFERROR(INDEX('Semrush Data'!$A$1:$Z$20000,MATCH(A3406,'Semrush Data'!$A$1:$A$20000,0),MATCH("CPC*",'Semrush Data'!$A$1:$Z$1,0)),"")</f>
        <v/>
      </c>
      <c r="J3406" s="6" t="str">
        <f aca="false">IFERROR(INDEX('Semrush Data'!$A$1:$Z$20000,MATCH(A3406,'Semrush Data'!$A$1:$A$20000,0),MATCH("Intent",'Semrush Data'!$A$1:$Z$1,0)),"")</f>
        <v/>
      </c>
    </row>
    <row r="3407" customFormat="false" ht="15" hidden="false" customHeight="true" outlineLevel="0" collapsed="false">
      <c r="A3407" s="6" t="s">
        <v>2068</v>
      </c>
      <c r="B3407" s="6" t="s">
        <v>249</v>
      </c>
      <c r="C3407" s="6" t="n">
        <v>3</v>
      </c>
      <c r="D3407" s="6" t="n">
        <v>35</v>
      </c>
      <c r="E3407" s="6" t="n">
        <v>1</v>
      </c>
      <c r="F3407" s="6" t="s">
        <v>1021</v>
      </c>
      <c r="G3407" s="28" t="str">
        <f aca="false">IFERROR(INDEX('Semrush Data'!$A$1:$Z$20000,MATCH(A3407,'Semrush Data'!$A$1:$A$20000,0),MATCH("Volume",'Semrush Data'!$A$1:$Z$1,0)),"")</f>
        <v/>
      </c>
      <c r="H3407" s="6" t="str">
        <f aca="false">IFERROR(INDEX('Semrush Data'!$A$1:$Z$20000,MATCH(A3407,'Semrush Data'!$A$1:$A$20000,0),MATCH("Keyword Difficulty*",'Semrush Data'!$A$1:$Z$1,0)),"")</f>
        <v/>
      </c>
      <c r="I3407" s="29" t="str">
        <f aca="false">IFERROR(INDEX('Semrush Data'!$A$1:$Z$20000,MATCH(A3407,'Semrush Data'!$A$1:$A$20000,0),MATCH("CPC*",'Semrush Data'!$A$1:$Z$1,0)),"")</f>
        <v/>
      </c>
      <c r="J3407" s="6" t="str">
        <f aca="false">IFERROR(INDEX('Semrush Data'!$A$1:$Z$20000,MATCH(A3407,'Semrush Data'!$A$1:$A$20000,0),MATCH("Intent",'Semrush Data'!$A$1:$Z$1,0)),"")</f>
        <v/>
      </c>
    </row>
    <row r="3408" customFormat="false" ht="15" hidden="false" customHeight="true" outlineLevel="0" collapsed="false">
      <c r="A3408" s="6" t="s">
        <v>2275</v>
      </c>
      <c r="B3408" s="6" t="s">
        <v>249</v>
      </c>
      <c r="C3408" s="6" t="n">
        <v>3</v>
      </c>
      <c r="D3408" s="6" t="n">
        <v>35</v>
      </c>
      <c r="E3408" s="6" t="n">
        <v>1</v>
      </c>
      <c r="F3408" s="6" t="s">
        <v>1226</v>
      </c>
      <c r="G3408" s="28" t="str">
        <f aca="false">IFERROR(INDEX('Semrush Data'!$A$1:$Z$20000,MATCH(A3408,'Semrush Data'!$A$1:$A$20000,0),MATCH("Volume",'Semrush Data'!$A$1:$Z$1,0)),"")</f>
        <v/>
      </c>
      <c r="H3408" s="6" t="str">
        <f aca="false">IFERROR(INDEX('Semrush Data'!$A$1:$Z$20000,MATCH(A3408,'Semrush Data'!$A$1:$A$20000,0),MATCH("Keyword Difficulty*",'Semrush Data'!$A$1:$Z$1,0)),"")</f>
        <v/>
      </c>
      <c r="I3408" s="29" t="str">
        <f aca="false">IFERROR(INDEX('Semrush Data'!$A$1:$Z$20000,MATCH(A3408,'Semrush Data'!$A$1:$A$20000,0),MATCH("CPC*",'Semrush Data'!$A$1:$Z$1,0)),"")</f>
        <v/>
      </c>
      <c r="J3408" s="6" t="str">
        <f aca="false">IFERROR(INDEX('Semrush Data'!$A$1:$Z$20000,MATCH(A3408,'Semrush Data'!$A$1:$A$20000,0),MATCH("Intent",'Semrush Data'!$A$1:$Z$1,0)),"")</f>
        <v/>
      </c>
    </row>
    <row r="3409" customFormat="false" ht="15" hidden="false" customHeight="true" outlineLevel="0" collapsed="false">
      <c r="A3409" s="6" t="s">
        <v>2106</v>
      </c>
      <c r="B3409" s="6" t="s">
        <v>249</v>
      </c>
      <c r="C3409" s="6" t="n">
        <v>3</v>
      </c>
      <c r="D3409" s="6" t="n">
        <v>35</v>
      </c>
      <c r="E3409" s="6" t="n">
        <v>1</v>
      </c>
      <c r="F3409" s="6" t="s">
        <v>1059</v>
      </c>
      <c r="G3409" s="28" t="str">
        <f aca="false">IFERROR(INDEX('Semrush Data'!$A$1:$Z$20000,MATCH(A3409,'Semrush Data'!$A$1:$A$20000,0),MATCH("Volume",'Semrush Data'!$A$1:$Z$1,0)),"")</f>
        <v/>
      </c>
      <c r="H3409" s="6" t="str">
        <f aca="false">IFERROR(INDEX('Semrush Data'!$A$1:$Z$20000,MATCH(A3409,'Semrush Data'!$A$1:$A$20000,0),MATCH("Keyword Difficulty*",'Semrush Data'!$A$1:$Z$1,0)),"")</f>
        <v/>
      </c>
      <c r="I3409" s="29" t="str">
        <f aca="false">IFERROR(INDEX('Semrush Data'!$A$1:$Z$20000,MATCH(A3409,'Semrush Data'!$A$1:$A$20000,0),MATCH("CPC*",'Semrush Data'!$A$1:$Z$1,0)),"")</f>
        <v/>
      </c>
      <c r="J3409" s="6" t="str">
        <f aca="false">IFERROR(INDEX('Semrush Data'!$A$1:$Z$20000,MATCH(A3409,'Semrush Data'!$A$1:$A$20000,0),MATCH("Intent",'Semrush Data'!$A$1:$Z$1,0)),"")</f>
        <v/>
      </c>
    </row>
    <row r="3410" customFormat="false" ht="15" hidden="false" customHeight="true" outlineLevel="0" collapsed="false">
      <c r="A3410" s="6" t="s">
        <v>2081</v>
      </c>
      <c r="B3410" s="6" t="s">
        <v>249</v>
      </c>
      <c r="C3410" s="6" t="n">
        <v>3</v>
      </c>
      <c r="D3410" s="6" t="n">
        <v>35</v>
      </c>
      <c r="E3410" s="6" t="n">
        <v>1</v>
      </c>
      <c r="F3410" s="6" t="s">
        <v>1033</v>
      </c>
      <c r="G3410" s="28" t="str">
        <f aca="false">IFERROR(INDEX('Semrush Data'!$A$1:$Z$20000,MATCH(A3410,'Semrush Data'!$A$1:$A$20000,0),MATCH("Volume",'Semrush Data'!$A$1:$Z$1,0)),"")</f>
        <v/>
      </c>
      <c r="H3410" s="6" t="str">
        <f aca="false">IFERROR(INDEX('Semrush Data'!$A$1:$Z$20000,MATCH(A3410,'Semrush Data'!$A$1:$A$20000,0),MATCH("Keyword Difficulty*",'Semrush Data'!$A$1:$Z$1,0)),"")</f>
        <v/>
      </c>
      <c r="I3410" s="29" t="str">
        <f aca="false">IFERROR(INDEX('Semrush Data'!$A$1:$Z$20000,MATCH(A3410,'Semrush Data'!$A$1:$A$20000,0),MATCH("CPC*",'Semrush Data'!$A$1:$Z$1,0)),"")</f>
        <v/>
      </c>
      <c r="J3410" s="6" t="str">
        <f aca="false">IFERROR(INDEX('Semrush Data'!$A$1:$Z$20000,MATCH(A3410,'Semrush Data'!$A$1:$A$20000,0),MATCH("Intent",'Semrush Data'!$A$1:$Z$1,0)),"")</f>
        <v/>
      </c>
    </row>
    <row r="3411" customFormat="false" ht="15" hidden="false" customHeight="true" outlineLevel="0" collapsed="false">
      <c r="A3411" s="6" t="s">
        <v>2074</v>
      </c>
      <c r="B3411" s="6" t="s">
        <v>249</v>
      </c>
      <c r="C3411" s="6" t="n">
        <v>3</v>
      </c>
      <c r="D3411" s="6" t="n">
        <v>35</v>
      </c>
      <c r="E3411" s="6" t="n">
        <v>1</v>
      </c>
      <c r="F3411" s="6" t="s">
        <v>1027</v>
      </c>
      <c r="G3411" s="28" t="str">
        <f aca="false">IFERROR(INDEX('Semrush Data'!$A$1:$Z$20000,MATCH(A3411,'Semrush Data'!$A$1:$A$20000,0),MATCH("Volume",'Semrush Data'!$A$1:$Z$1,0)),"")</f>
        <v/>
      </c>
      <c r="H3411" s="6" t="str">
        <f aca="false">IFERROR(INDEX('Semrush Data'!$A$1:$Z$20000,MATCH(A3411,'Semrush Data'!$A$1:$A$20000,0),MATCH("Keyword Difficulty*",'Semrush Data'!$A$1:$Z$1,0)),"")</f>
        <v/>
      </c>
      <c r="I3411" s="29" t="str">
        <f aca="false">IFERROR(INDEX('Semrush Data'!$A$1:$Z$20000,MATCH(A3411,'Semrush Data'!$A$1:$A$20000,0),MATCH("CPC*",'Semrush Data'!$A$1:$Z$1,0)),"")</f>
        <v/>
      </c>
      <c r="J3411" s="6" t="str">
        <f aca="false">IFERROR(INDEX('Semrush Data'!$A$1:$Z$20000,MATCH(A3411,'Semrush Data'!$A$1:$A$20000,0),MATCH("Intent",'Semrush Data'!$A$1:$Z$1,0)),"")</f>
        <v/>
      </c>
    </row>
    <row r="3412" customFormat="false" ht="15" hidden="false" customHeight="true" outlineLevel="0" collapsed="false">
      <c r="A3412" s="6" t="s">
        <v>2288</v>
      </c>
      <c r="B3412" s="6" t="s">
        <v>249</v>
      </c>
      <c r="C3412" s="6" t="n">
        <v>3</v>
      </c>
      <c r="D3412" s="6" t="n">
        <v>35</v>
      </c>
      <c r="E3412" s="6" t="n">
        <v>1</v>
      </c>
      <c r="F3412" s="6" t="s">
        <v>1239</v>
      </c>
      <c r="G3412" s="28" t="str">
        <f aca="false">IFERROR(INDEX('Semrush Data'!$A$1:$Z$20000,MATCH(A3412,'Semrush Data'!$A$1:$A$20000,0),MATCH("Volume",'Semrush Data'!$A$1:$Z$1,0)),"")</f>
        <v/>
      </c>
      <c r="H3412" s="6" t="str">
        <f aca="false">IFERROR(INDEX('Semrush Data'!$A$1:$Z$20000,MATCH(A3412,'Semrush Data'!$A$1:$A$20000,0),MATCH("Keyword Difficulty*",'Semrush Data'!$A$1:$Z$1,0)),"")</f>
        <v/>
      </c>
      <c r="I3412" s="29" t="str">
        <f aca="false">IFERROR(INDEX('Semrush Data'!$A$1:$Z$20000,MATCH(A3412,'Semrush Data'!$A$1:$A$20000,0),MATCH("CPC*",'Semrush Data'!$A$1:$Z$1,0)),"")</f>
        <v/>
      </c>
      <c r="J3412" s="6" t="str">
        <f aca="false">IFERROR(INDEX('Semrush Data'!$A$1:$Z$20000,MATCH(A3412,'Semrush Data'!$A$1:$A$20000,0),MATCH("Intent",'Semrush Data'!$A$1:$Z$1,0)),"")</f>
        <v/>
      </c>
    </row>
    <row r="3413" customFormat="false" ht="15" hidden="false" customHeight="true" outlineLevel="0" collapsed="false">
      <c r="A3413" s="6" t="s">
        <v>2061</v>
      </c>
      <c r="B3413" s="6" t="s">
        <v>249</v>
      </c>
      <c r="C3413" s="6" t="n">
        <v>3</v>
      </c>
      <c r="D3413" s="6" t="n">
        <v>35</v>
      </c>
      <c r="E3413" s="6" t="n">
        <v>1</v>
      </c>
      <c r="F3413" s="6" t="s">
        <v>1014</v>
      </c>
      <c r="G3413" s="28" t="str">
        <f aca="false">IFERROR(INDEX('Semrush Data'!$A$1:$Z$20000,MATCH(A3413,'Semrush Data'!$A$1:$A$20000,0),MATCH("Volume",'Semrush Data'!$A$1:$Z$1,0)),"")</f>
        <v/>
      </c>
      <c r="H3413" s="6" t="str">
        <f aca="false">IFERROR(INDEX('Semrush Data'!$A$1:$Z$20000,MATCH(A3413,'Semrush Data'!$A$1:$A$20000,0),MATCH("Keyword Difficulty*",'Semrush Data'!$A$1:$Z$1,0)),"")</f>
        <v/>
      </c>
      <c r="I3413" s="29" t="str">
        <f aca="false">IFERROR(INDEX('Semrush Data'!$A$1:$Z$20000,MATCH(A3413,'Semrush Data'!$A$1:$A$20000,0),MATCH("CPC*",'Semrush Data'!$A$1:$Z$1,0)),"")</f>
        <v/>
      </c>
      <c r="J3413" s="6" t="str">
        <f aca="false">IFERROR(INDEX('Semrush Data'!$A$1:$Z$20000,MATCH(A3413,'Semrush Data'!$A$1:$A$20000,0),MATCH("Intent",'Semrush Data'!$A$1:$Z$1,0)),"")</f>
        <v/>
      </c>
    </row>
    <row r="3414" customFormat="false" ht="15" hidden="false" customHeight="true" outlineLevel="0" collapsed="false">
      <c r="A3414" s="6" t="s">
        <v>2314</v>
      </c>
      <c r="B3414" s="6" t="s">
        <v>249</v>
      </c>
      <c r="C3414" s="6" t="n">
        <v>3</v>
      </c>
      <c r="D3414" s="6" t="n">
        <v>35</v>
      </c>
      <c r="E3414" s="6" t="n">
        <v>1</v>
      </c>
      <c r="F3414" s="6" t="s">
        <v>1266</v>
      </c>
      <c r="G3414" s="28" t="str">
        <f aca="false">IFERROR(INDEX('Semrush Data'!$A$1:$Z$20000,MATCH(A3414,'Semrush Data'!$A$1:$A$20000,0),MATCH("Volume",'Semrush Data'!$A$1:$Z$1,0)),"")</f>
        <v/>
      </c>
      <c r="H3414" s="6" t="str">
        <f aca="false">IFERROR(INDEX('Semrush Data'!$A$1:$Z$20000,MATCH(A3414,'Semrush Data'!$A$1:$A$20000,0),MATCH("Keyword Difficulty*",'Semrush Data'!$A$1:$Z$1,0)),"")</f>
        <v/>
      </c>
      <c r="I3414" s="29" t="str">
        <f aca="false">IFERROR(INDEX('Semrush Data'!$A$1:$Z$20000,MATCH(A3414,'Semrush Data'!$A$1:$A$20000,0),MATCH("CPC*",'Semrush Data'!$A$1:$Z$1,0)),"")</f>
        <v/>
      </c>
      <c r="J3414" s="6" t="str">
        <f aca="false">IFERROR(INDEX('Semrush Data'!$A$1:$Z$20000,MATCH(A3414,'Semrush Data'!$A$1:$A$20000,0),MATCH("Intent",'Semrush Data'!$A$1:$Z$1,0)),"")</f>
        <v/>
      </c>
    </row>
    <row r="3415" customFormat="false" ht="15" hidden="false" customHeight="true" outlineLevel="0" collapsed="false">
      <c r="A3415" s="6" t="s">
        <v>2040</v>
      </c>
      <c r="B3415" s="6" t="s">
        <v>249</v>
      </c>
      <c r="C3415" s="6" t="n">
        <v>3</v>
      </c>
      <c r="D3415" s="6" t="n">
        <v>35</v>
      </c>
      <c r="E3415" s="6" t="n">
        <v>1</v>
      </c>
      <c r="F3415" s="6" t="s">
        <v>992</v>
      </c>
      <c r="G3415" s="28" t="str">
        <f aca="false">IFERROR(INDEX('Semrush Data'!$A$1:$Z$20000,MATCH(A3415,'Semrush Data'!$A$1:$A$20000,0),MATCH("Volume",'Semrush Data'!$A$1:$Z$1,0)),"")</f>
        <v/>
      </c>
      <c r="H3415" s="6" t="str">
        <f aca="false">IFERROR(INDEX('Semrush Data'!$A$1:$Z$20000,MATCH(A3415,'Semrush Data'!$A$1:$A$20000,0),MATCH("Keyword Difficulty*",'Semrush Data'!$A$1:$Z$1,0)),"")</f>
        <v/>
      </c>
      <c r="I3415" s="29" t="str">
        <f aca="false">IFERROR(INDEX('Semrush Data'!$A$1:$Z$20000,MATCH(A3415,'Semrush Data'!$A$1:$A$20000,0),MATCH("CPC*",'Semrush Data'!$A$1:$Z$1,0)),"")</f>
        <v/>
      </c>
      <c r="J3415" s="6" t="str">
        <f aca="false">IFERROR(INDEX('Semrush Data'!$A$1:$Z$20000,MATCH(A3415,'Semrush Data'!$A$1:$A$20000,0),MATCH("Intent",'Semrush Data'!$A$1:$Z$1,0)),"")</f>
        <v/>
      </c>
    </row>
    <row r="3416" customFormat="false" ht="15" hidden="false" customHeight="true" outlineLevel="0" collapsed="false">
      <c r="A3416" s="6" t="s">
        <v>2047</v>
      </c>
      <c r="B3416" s="6" t="s">
        <v>249</v>
      </c>
      <c r="C3416" s="6" t="n">
        <v>3</v>
      </c>
      <c r="D3416" s="6" t="n">
        <v>35</v>
      </c>
      <c r="E3416" s="6" t="n">
        <v>1</v>
      </c>
      <c r="F3416" s="6" t="s">
        <v>999</v>
      </c>
      <c r="G3416" s="28" t="str">
        <f aca="false">IFERROR(INDEX('Semrush Data'!$A$1:$Z$20000,MATCH(A3416,'Semrush Data'!$A$1:$A$20000,0),MATCH("Volume",'Semrush Data'!$A$1:$Z$1,0)),"")</f>
        <v/>
      </c>
      <c r="H3416" s="6" t="str">
        <f aca="false">IFERROR(INDEX('Semrush Data'!$A$1:$Z$20000,MATCH(A3416,'Semrush Data'!$A$1:$A$20000,0),MATCH("Keyword Difficulty*",'Semrush Data'!$A$1:$Z$1,0)),"")</f>
        <v/>
      </c>
      <c r="I3416" s="29" t="str">
        <f aca="false">IFERROR(INDEX('Semrush Data'!$A$1:$Z$20000,MATCH(A3416,'Semrush Data'!$A$1:$A$20000,0),MATCH("CPC*",'Semrush Data'!$A$1:$Z$1,0)),"")</f>
        <v/>
      </c>
      <c r="J3416" s="6" t="str">
        <f aca="false">IFERROR(INDEX('Semrush Data'!$A$1:$Z$20000,MATCH(A3416,'Semrush Data'!$A$1:$A$20000,0),MATCH("Intent",'Semrush Data'!$A$1:$Z$1,0)),"")</f>
        <v/>
      </c>
    </row>
    <row r="3417" customFormat="false" ht="15" hidden="false" customHeight="true" outlineLevel="0" collapsed="false">
      <c r="A3417" s="6" t="s">
        <v>3555</v>
      </c>
      <c r="B3417" s="6" t="s">
        <v>249</v>
      </c>
      <c r="C3417" s="6" t="n">
        <v>3</v>
      </c>
      <c r="D3417" s="6" t="n">
        <v>35</v>
      </c>
      <c r="E3417" s="6" t="n">
        <v>1</v>
      </c>
      <c r="F3417" s="6" t="s">
        <v>3549</v>
      </c>
      <c r="G3417" s="28" t="str">
        <f aca="false">IFERROR(INDEX('Semrush Data'!$A$1:$Z$20000,MATCH(A3417,'Semrush Data'!$A$1:$A$20000,0),MATCH("Volume",'Semrush Data'!$A$1:$Z$1,0)),"")</f>
        <v/>
      </c>
      <c r="H3417" s="6" t="str">
        <f aca="false">IFERROR(INDEX('Semrush Data'!$A$1:$Z$20000,MATCH(A3417,'Semrush Data'!$A$1:$A$20000,0),MATCH("Keyword Difficulty*",'Semrush Data'!$A$1:$Z$1,0)),"")</f>
        <v/>
      </c>
      <c r="I3417" s="29" t="str">
        <f aca="false">IFERROR(INDEX('Semrush Data'!$A$1:$Z$20000,MATCH(A3417,'Semrush Data'!$A$1:$A$20000,0),MATCH("CPC*",'Semrush Data'!$A$1:$Z$1,0)),"")</f>
        <v/>
      </c>
      <c r="J3417" s="6" t="str">
        <f aca="false">IFERROR(INDEX('Semrush Data'!$A$1:$Z$20000,MATCH(A3417,'Semrush Data'!$A$1:$A$20000,0),MATCH("Intent",'Semrush Data'!$A$1:$Z$1,0)),"")</f>
        <v/>
      </c>
    </row>
    <row r="3418" customFormat="false" ht="15" hidden="false" customHeight="true" outlineLevel="0" collapsed="false">
      <c r="A3418" s="6" t="s">
        <v>3542</v>
      </c>
      <c r="B3418" s="6" t="s">
        <v>249</v>
      </c>
      <c r="C3418" s="6" t="n">
        <v>3</v>
      </c>
      <c r="D3418" s="6" t="n">
        <v>35</v>
      </c>
      <c r="E3418" s="6" t="n">
        <v>1</v>
      </c>
      <c r="F3418" s="6" t="s">
        <v>3536</v>
      </c>
      <c r="G3418" s="28" t="str">
        <f aca="false">IFERROR(INDEX('Semrush Data'!$A$1:$Z$20000,MATCH(A3418,'Semrush Data'!$A$1:$A$20000,0),MATCH("Volume",'Semrush Data'!$A$1:$Z$1,0)),"")</f>
        <v/>
      </c>
      <c r="H3418" s="6" t="str">
        <f aca="false">IFERROR(INDEX('Semrush Data'!$A$1:$Z$20000,MATCH(A3418,'Semrush Data'!$A$1:$A$20000,0),MATCH("Keyword Difficulty*",'Semrush Data'!$A$1:$Z$1,0)),"")</f>
        <v/>
      </c>
      <c r="I3418" s="29" t="str">
        <f aca="false">IFERROR(INDEX('Semrush Data'!$A$1:$Z$20000,MATCH(A3418,'Semrush Data'!$A$1:$A$20000,0),MATCH("CPC*",'Semrush Data'!$A$1:$Z$1,0)),"")</f>
        <v/>
      </c>
      <c r="J3418" s="6" t="str">
        <f aca="false">IFERROR(INDEX('Semrush Data'!$A$1:$Z$20000,MATCH(A3418,'Semrush Data'!$A$1:$A$20000,0),MATCH("Intent",'Semrush Data'!$A$1:$Z$1,0)),"")</f>
        <v/>
      </c>
    </row>
    <row r="3419" customFormat="false" ht="15" hidden="false" customHeight="true" outlineLevel="0" collapsed="false">
      <c r="A3419" s="6" t="s">
        <v>248</v>
      </c>
      <c r="B3419" s="6" t="s">
        <v>249</v>
      </c>
      <c r="C3419" s="6" t="n">
        <v>3</v>
      </c>
      <c r="D3419" s="6" t="s">
        <v>6870</v>
      </c>
      <c r="E3419" s="6" t="n">
        <v>1</v>
      </c>
      <c r="F3419" s="6" t="s">
        <v>48</v>
      </c>
      <c r="G3419" s="28" t="n">
        <f aca="false">IFERROR(INDEX('Semrush Data'!$A$1:$Z$20000,MATCH(A3419,'Semrush Data'!$A$1:$A$20000,0),MATCH("Volume",'Semrush Data'!$A$1:$Z$1,0)),"")</f>
        <v>590</v>
      </c>
      <c r="H3419" s="6" t="n">
        <f aca="false">IFERROR(INDEX('Semrush Data'!$A$1:$Z$20000,MATCH(A3419,'Semrush Data'!$A$1:$A$20000,0),MATCH("Keyword Difficulty*",'Semrush Data'!$A$1:$Z$1,0)),"")</f>
        <v>22</v>
      </c>
      <c r="I3419" s="29" t="n">
        <f aca="false">IFERROR(INDEX('Semrush Data'!$A$1:$Z$20000,MATCH(A3419,'Semrush Data'!$A$1:$A$20000,0),MATCH("CPC*",'Semrush Data'!$A$1:$Z$1,0)),"")</f>
        <v>0.32</v>
      </c>
      <c r="J3419" s="6" t="str">
        <f aca="false">IFERROR(INDEX('Semrush Data'!$A$1:$Z$20000,MATCH(A3419,'Semrush Data'!$A$1:$A$20000,0),MATCH("Intent",'Semrush Data'!$A$1:$Z$1,0)),"")</f>
        <v>Transactional</v>
      </c>
    </row>
    <row r="3420" customFormat="false" ht="15" hidden="false" customHeight="true" outlineLevel="0" collapsed="false">
      <c r="A3420" s="6" t="s">
        <v>3598</v>
      </c>
      <c r="B3420" s="6" t="s">
        <v>249</v>
      </c>
      <c r="C3420" s="6" t="n">
        <v>3</v>
      </c>
      <c r="D3420" s="6" t="n">
        <v>35</v>
      </c>
      <c r="E3420" s="6" t="n">
        <v>1</v>
      </c>
      <c r="F3420" s="6" t="s">
        <v>3591</v>
      </c>
      <c r="G3420" s="28" t="str">
        <f aca="false">IFERROR(INDEX('Semrush Data'!$A$1:$Z$20000,MATCH(A3420,'Semrush Data'!$A$1:$A$20000,0),MATCH("Volume",'Semrush Data'!$A$1:$Z$1,0)),"")</f>
        <v/>
      </c>
      <c r="H3420" s="6" t="str">
        <f aca="false">IFERROR(INDEX('Semrush Data'!$A$1:$Z$20000,MATCH(A3420,'Semrush Data'!$A$1:$A$20000,0),MATCH("Keyword Difficulty*",'Semrush Data'!$A$1:$Z$1,0)),"")</f>
        <v/>
      </c>
      <c r="I3420" s="29" t="str">
        <f aca="false">IFERROR(INDEX('Semrush Data'!$A$1:$Z$20000,MATCH(A3420,'Semrush Data'!$A$1:$A$20000,0),MATCH("CPC*",'Semrush Data'!$A$1:$Z$1,0)),"")</f>
        <v/>
      </c>
      <c r="J3420" s="6" t="str">
        <f aca="false">IFERROR(INDEX('Semrush Data'!$A$1:$Z$20000,MATCH(A3420,'Semrush Data'!$A$1:$A$20000,0),MATCH("Intent",'Semrush Data'!$A$1:$Z$1,0)),"")</f>
        <v/>
      </c>
    </row>
    <row r="3421" customFormat="false" ht="15" hidden="false" customHeight="true" outlineLevel="0" collapsed="false">
      <c r="A3421" s="6" t="s">
        <v>3575</v>
      </c>
      <c r="B3421" s="6" t="s">
        <v>249</v>
      </c>
      <c r="C3421" s="6" t="n">
        <v>3</v>
      </c>
      <c r="D3421" s="6" t="n">
        <v>35</v>
      </c>
      <c r="E3421" s="6" t="n">
        <v>1</v>
      </c>
      <c r="F3421" s="6" t="s">
        <v>3569</v>
      </c>
      <c r="G3421" s="28" t="str">
        <f aca="false">IFERROR(INDEX('Semrush Data'!$A$1:$Z$20000,MATCH(A3421,'Semrush Data'!$A$1:$A$20000,0),MATCH("Volume",'Semrush Data'!$A$1:$Z$1,0)),"")</f>
        <v/>
      </c>
      <c r="H3421" s="6" t="str">
        <f aca="false">IFERROR(INDEX('Semrush Data'!$A$1:$Z$20000,MATCH(A3421,'Semrush Data'!$A$1:$A$20000,0),MATCH("Keyword Difficulty*",'Semrush Data'!$A$1:$Z$1,0)),"")</f>
        <v/>
      </c>
      <c r="I3421" s="29" t="str">
        <f aca="false">IFERROR(INDEX('Semrush Data'!$A$1:$Z$20000,MATCH(A3421,'Semrush Data'!$A$1:$A$20000,0),MATCH("CPC*",'Semrush Data'!$A$1:$Z$1,0)),"")</f>
        <v/>
      </c>
      <c r="J3421" s="6" t="str">
        <f aca="false">IFERROR(INDEX('Semrush Data'!$A$1:$Z$20000,MATCH(A3421,'Semrush Data'!$A$1:$A$20000,0),MATCH("Intent",'Semrush Data'!$A$1:$Z$1,0)),"")</f>
        <v/>
      </c>
    </row>
    <row r="3422" customFormat="false" ht="15" hidden="false" customHeight="true" outlineLevel="0" collapsed="false">
      <c r="A3422" s="6" t="s">
        <v>3585</v>
      </c>
      <c r="B3422" s="6" t="s">
        <v>249</v>
      </c>
      <c r="C3422" s="6" t="n">
        <v>3</v>
      </c>
      <c r="D3422" s="6" t="n">
        <v>35</v>
      </c>
      <c r="E3422" s="6" t="n">
        <v>1</v>
      </c>
      <c r="F3422" s="6" t="s">
        <v>133</v>
      </c>
      <c r="G3422" s="28" t="str">
        <f aca="false">IFERROR(INDEX('Semrush Data'!$A$1:$Z$20000,MATCH(A3422,'Semrush Data'!$A$1:$A$20000,0),MATCH("Volume",'Semrush Data'!$A$1:$Z$1,0)),"")</f>
        <v/>
      </c>
      <c r="H3422" s="6" t="str">
        <f aca="false">IFERROR(INDEX('Semrush Data'!$A$1:$Z$20000,MATCH(A3422,'Semrush Data'!$A$1:$A$20000,0),MATCH("Keyword Difficulty*",'Semrush Data'!$A$1:$Z$1,0)),"")</f>
        <v/>
      </c>
      <c r="I3422" s="29" t="str">
        <f aca="false">IFERROR(INDEX('Semrush Data'!$A$1:$Z$20000,MATCH(A3422,'Semrush Data'!$A$1:$A$20000,0),MATCH("CPC*",'Semrush Data'!$A$1:$Z$1,0)),"")</f>
        <v/>
      </c>
      <c r="J3422" s="6" t="str">
        <f aca="false">IFERROR(INDEX('Semrush Data'!$A$1:$Z$20000,MATCH(A3422,'Semrush Data'!$A$1:$A$20000,0),MATCH("Intent",'Semrush Data'!$A$1:$Z$1,0)),"")</f>
        <v/>
      </c>
    </row>
    <row r="3423" customFormat="false" ht="15" hidden="false" customHeight="true" outlineLevel="0" collapsed="false">
      <c r="A3423" s="6" t="s">
        <v>3610</v>
      </c>
      <c r="B3423" s="6" t="s">
        <v>249</v>
      </c>
      <c r="C3423" s="6" t="n">
        <v>3</v>
      </c>
      <c r="D3423" s="6" t="n">
        <v>35</v>
      </c>
      <c r="E3423" s="6" t="n">
        <v>1</v>
      </c>
      <c r="F3423" s="6" t="s">
        <v>3604</v>
      </c>
      <c r="G3423" s="28" t="str">
        <f aca="false">IFERROR(INDEX('Semrush Data'!$A$1:$Z$20000,MATCH(A3423,'Semrush Data'!$A$1:$A$20000,0),MATCH("Volume",'Semrush Data'!$A$1:$Z$1,0)),"")</f>
        <v/>
      </c>
      <c r="H3423" s="6" t="str">
        <f aca="false">IFERROR(INDEX('Semrush Data'!$A$1:$Z$20000,MATCH(A3423,'Semrush Data'!$A$1:$A$20000,0),MATCH("Keyword Difficulty*",'Semrush Data'!$A$1:$Z$1,0)),"")</f>
        <v/>
      </c>
      <c r="I3423" s="29" t="str">
        <f aca="false">IFERROR(INDEX('Semrush Data'!$A$1:$Z$20000,MATCH(A3423,'Semrush Data'!$A$1:$A$20000,0),MATCH("CPC*",'Semrush Data'!$A$1:$Z$1,0)),"")</f>
        <v/>
      </c>
      <c r="J3423" s="6" t="str">
        <f aca="false">IFERROR(INDEX('Semrush Data'!$A$1:$Z$20000,MATCH(A3423,'Semrush Data'!$A$1:$A$20000,0),MATCH("Intent",'Semrush Data'!$A$1:$Z$1,0)),"")</f>
        <v/>
      </c>
    </row>
    <row r="3424" customFormat="false" ht="15" hidden="false" customHeight="true" outlineLevel="0" collapsed="false">
      <c r="A3424" s="6" t="s">
        <v>3693</v>
      </c>
      <c r="B3424" s="6" t="s">
        <v>249</v>
      </c>
      <c r="C3424" s="6" t="n">
        <v>3</v>
      </c>
      <c r="D3424" s="6" t="n">
        <v>35</v>
      </c>
      <c r="E3424" s="6" t="n">
        <v>1</v>
      </c>
      <c r="F3424" s="6" t="s">
        <v>3688</v>
      </c>
      <c r="G3424" s="28" t="str">
        <f aca="false">IFERROR(INDEX('Semrush Data'!$A$1:$Z$20000,MATCH(A3424,'Semrush Data'!$A$1:$A$20000,0),MATCH("Volume",'Semrush Data'!$A$1:$Z$1,0)),"")</f>
        <v/>
      </c>
      <c r="H3424" s="6" t="str">
        <f aca="false">IFERROR(INDEX('Semrush Data'!$A$1:$Z$20000,MATCH(A3424,'Semrush Data'!$A$1:$A$20000,0),MATCH("Keyword Difficulty*",'Semrush Data'!$A$1:$Z$1,0)),"")</f>
        <v/>
      </c>
      <c r="I3424" s="29" t="str">
        <f aca="false">IFERROR(INDEX('Semrush Data'!$A$1:$Z$20000,MATCH(A3424,'Semrush Data'!$A$1:$A$20000,0),MATCH("CPC*",'Semrush Data'!$A$1:$Z$1,0)),"")</f>
        <v/>
      </c>
      <c r="J3424" s="6" t="str">
        <f aca="false">IFERROR(INDEX('Semrush Data'!$A$1:$Z$20000,MATCH(A3424,'Semrush Data'!$A$1:$A$20000,0),MATCH("Intent",'Semrush Data'!$A$1:$Z$1,0)),"")</f>
        <v/>
      </c>
    </row>
    <row r="3425" customFormat="false" ht="15" hidden="false" customHeight="true" outlineLevel="0" collapsed="false">
      <c r="A3425" s="6" t="s">
        <v>3623</v>
      </c>
      <c r="B3425" s="6" t="s">
        <v>249</v>
      </c>
      <c r="C3425" s="6" t="n">
        <v>3</v>
      </c>
      <c r="D3425" s="6" t="n">
        <v>35</v>
      </c>
      <c r="E3425" s="6" t="n">
        <v>1</v>
      </c>
      <c r="F3425" s="6" t="s">
        <v>3616</v>
      </c>
      <c r="G3425" s="28" t="str">
        <f aca="false">IFERROR(INDEX('Semrush Data'!$A$1:$Z$20000,MATCH(A3425,'Semrush Data'!$A$1:$A$20000,0),MATCH("Volume",'Semrush Data'!$A$1:$Z$1,0)),"")</f>
        <v/>
      </c>
      <c r="H3425" s="6" t="str">
        <f aca="false">IFERROR(INDEX('Semrush Data'!$A$1:$Z$20000,MATCH(A3425,'Semrush Data'!$A$1:$A$20000,0),MATCH("Keyword Difficulty*",'Semrush Data'!$A$1:$Z$1,0)),"")</f>
        <v/>
      </c>
      <c r="I3425" s="29" t="str">
        <f aca="false">IFERROR(INDEX('Semrush Data'!$A$1:$Z$20000,MATCH(A3425,'Semrush Data'!$A$1:$A$20000,0),MATCH("CPC*",'Semrush Data'!$A$1:$Z$1,0)),"")</f>
        <v/>
      </c>
      <c r="J3425" s="6" t="str">
        <f aca="false">IFERROR(INDEX('Semrush Data'!$A$1:$Z$20000,MATCH(A3425,'Semrush Data'!$A$1:$A$20000,0),MATCH("Intent",'Semrush Data'!$A$1:$Z$1,0)),"")</f>
        <v/>
      </c>
    </row>
    <row r="3426" customFormat="false" ht="15" hidden="false" customHeight="true" outlineLevel="0" collapsed="false">
      <c r="A3426" s="6" t="s">
        <v>3704</v>
      </c>
      <c r="B3426" s="6" t="s">
        <v>249</v>
      </c>
      <c r="C3426" s="6" t="n">
        <v>3</v>
      </c>
      <c r="D3426" s="6" t="n">
        <v>35</v>
      </c>
      <c r="E3426" s="6" t="n">
        <v>1</v>
      </c>
      <c r="F3426" s="6" t="s">
        <v>3699</v>
      </c>
      <c r="G3426" s="28" t="str">
        <f aca="false">IFERROR(INDEX('Semrush Data'!$A$1:$Z$20000,MATCH(A3426,'Semrush Data'!$A$1:$A$20000,0),MATCH("Volume",'Semrush Data'!$A$1:$Z$1,0)),"")</f>
        <v/>
      </c>
      <c r="H3426" s="6" t="str">
        <f aca="false">IFERROR(INDEX('Semrush Data'!$A$1:$Z$20000,MATCH(A3426,'Semrush Data'!$A$1:$A$20000,0),MATCH("Keyword Difficulty*",'Semrush Data'!$A$1:$Z$1,0)),"")</f>
        <v/>
      </c>
      <c r="I3426" s="29" t="str">
        <f aca="false">IFERROR(INDEX('Semrush Data'!$A$1:$Z$20000,MATCH(A3426,'Semrush Data'!$A$1:$A$20000,0),MATCH("CPC*",'Semrush Data'!$A$1:$Z$1,0)),"")</f>
        <v/>
      </c>
      <c r="J3426" s="6" t="str">
        <f aca="false">IFERROR(INDEX('Semrush Data'!$A$1:$Z$20000,MATCH(A3426,'Semrush Data'!$A$1:$A$20000,0),MATCH("Intent",'Semrush Data'!$A$1:$Z$1,0)),"")</f>
        <v/>
      </c>
    </row>
    <row r="3427" customFormat="false" ht="15" hidden="false" customHeight="true" outlineLevel="0" collapsed="false">
      <c r="A3427" s="6" t="s">
        <v>3682</v>
      </c>
      <c r="B3427" s="6" t="s">
        <v>249</v>
      </c>
      <c r="C3427" s="6" t="n">
        <v>3</v>
      </c>
      <c r="D3427" s="6" t="n">
        <v>35</v>
      </c>
      <c r="E3427" s="6" t="n">
        <v>1</v>
      </c>
      <c r="F3427" s="6" t="s">
        <v>3677</v>
      </c>
      <c r="G3427" s="28" t="str">
        <f aca="false">IFERROR(INDEX('Semrush Data'!$A$1:$Z$20000,MATCH(A3427,'Semrush Data'!$A$1:$A$20000,0),MATCH("Volume",'Semrush Data'!$A$1:$Z$1,0)),"")</f>
        <v/>
      </c>
      <c r="H3427" s="6" t="str">
        <f aca="false">IFERROR(INDEX('Semrush Data'!$A$1:$Z$20000,MATCH(A3427,'Semrush Data'!$A$1:$A$20000,0),MATCH("Keyword Difficulty*",'Semrush Data'!$A$1:$Z$1,0)),"")</f>
        <v/>
      </c>
      <c r="I3427" s="29" t="str">
        <f aca="false">IFERROR(INDEX('Semrush Data'!$A$1:$Z$20000,MATCH(A3427,'Semrush Data'!$A$1:$A$20000,0),MATCH("CPC*",'Semrush Data'!$A$1:$Z$1,0)),"")</f>
        <v/>
      </c>
      <c r="J3427" s="6" t="str">
        <f aca="false">IFERROR(INDEX('Semrush Data'!$A$1:$Z$20000,MATCH(A3427,'Semrush Data'!$A$1:$A$20000,0),MATCH("Intent",'Semrush Data'!$A$1:$Z$1,0)),"")</f>
        <v/>
      </c>
    </row>
    <row r="3428" customFormat="false" ht="15" hidden="false" customHeight="true" outlineLevel="0" collapsed="false">
      <c r="A3428" s="6" t="s">
        <v>3714</v>
      </c>
      <c r="B3428" s="6" t="s">
        <v>249</v>
      </c>
      <c r="C3428" s="6" t="n">
        <v>3</v>
      </c>
      <c r="D3428" s="6" t="n">
        <v>35</v>
      </c>
      <c r="E3428" s="6" t="n">
        <v>2</v>
      </c>
      <c r="F3428" s="6" t="s">
        <v>6850</v>
      </c>
      <c r="G3428" s="28" t="str">
        <f aca="false">IFERROR(INDEX('Semrush Data'!$A$1:$Z$20000,MATCH(A3428,'Semrush Data'!$A$1:$A$20000,0),MATCH("Volume",'Semrush Data'!$A$1:$Z$1,0)),"")</f>
        <v/>
      </c>
      <c r="H3428" s="6" t="str">
        <f aca="false">IFERROR(INDEX('Semrush Data'!$A$1:$Z$20000,MATCH(A3428,'Semrush Data'!$A$1:$A$20000,0),MATCH("Keyword Difficulty*",'Semrush Data'!$A$1:$Z$1,0)),"")</f>
        <v/>
      </c>
      <c r="I3428" s="29" t="str">
        <f aca="false">IFERROR(INDEX('Semrush Data'!$A$1:$Z$20000,MATCH(A3428,'Semrush Data'!$A$1:$A$20000,0),MATCH("CPC*",'Semrush Data'!$A$1:$Z$1,0)),"")</f>
        <v/>
      </c>
      <c r="J3428" s="6" t="str">
        <f aca="false">IFERROR(INDEX('Semrush Data'!$A$1:$Z$20000,MATCH(A3428,'Semrush Data'!$A$1:$A$20000,0),MATCH("Intent",'Semrush Data'!$A$1:$Z$1,0)),"")</f>
        <v/>
      </c>
    </row>
    <row r="3429" customFormat="false" ht="15" hidden="false" customHeight="true" outlineLevel="0" collapsed="false">
      <c r="A3429" s="6" t="s">
        <v>3635</v>
      </c>
      <c r="B3429" s="6" t="s">
        <v>249</v>
      </c>
      <c r="C3429" s="6" t="n">
        <v>3</v>
      </c>
      <c r="D3429" s="6" t="n">
        <v>35</v>
      </c>
      <c r="E3429" s="6" t="n">
        <v>1</v>
      </c>
      <c r="F3429" s="6" t="s">
        <v>3630</v>
      </c>
      <c r="G3429" s="28" t="str">
        <f aca="false">IFERROR(INDEX('Semrush Data'!$A$1:$Z$20000,MATCH(A3429,'Semrush Data'!$A$1:$A$20000,0),MATCH("Volume",'Semrush Data'!$A$1:$Z$1,0)),"")</f>
        <v/>
      </c>
      <c r="H3429" s="6" t="str">
        <f aca="false">IFERROR(INDEX('Semrush Data'!$A$1:$Z$20000,MATCH(A3429,'Semrush Data'!$A$1:$A$20000,0),MATCH("Keyword Difficulty*",'Semrush Data'!$A$1:$Z$1,0)),"")</f>
        <v/>
      </c>
      <c r="I3429" s="29" t="str">
        <f aca="false">IFERROR(INDEX('Semrush Data'!$A$1:$Z$20000,MATCH(A3429,'Semrush Data'!$A$1:$A$20000,0),MATCH("CPC*",'Semrush Data'!$A$1:$Z$1,0)),"")</f>
        <v/>
      </c>
      <c r="J3429" s="6" t="str">
        <f aca="false">IFERROR(INDEX('Semrush Data'!$A$1:$Z$20000,MATCH(A3429,'Semrush Data'!$A$1:$A$20000,0),MATCH("Intent",'Semrush Data'!$A$1:$Z$1,0)),"")</f>
        <v/>
      </c>
    </row>
    <row r="3430" customFormat="false" ht="15" hidden="false" customHeight="true" outlineLevel="0" collapsed="false">
      <c r="A3430" s="6" t="s">
        <v>3725</v>
      </c>
      <c r="B3430" s="6" t="s">
        <v>249</v>
      </c>
      <c r="C3430" s="6" t="n">
        <v>3</v>
      </c>
      <c r="D3430" s="6" t="n">
        <v>35</v>
      </c>
      <c r="E3430" s="6" t="n">
        <v>1</v>
      </c>
      <c r="F3430" s="6" t="s">
        <v>3720</v>
      </c>
      <c r="G3430" s="28" t="str">
        <f aca="false">IFERROR(INDEX('Semrush Data'!$A$1:$Z$20000,MATCH(A3430,'Semrush Data'!$A$1:$A$20000,0),MATCH("Volume",'Semrush Data'!$A$1:$Z$1,0)),"")</f>
        <v/>
      </c>
      <c r="H3430" s="6" t="str">
        <f aca="false">IFERROR(INDEX('Semrush Data'!$A$1:$Z$20000,MATCH(A3430,'Semrush Data'!$A$1:$A$20000,0),MATCH("Keyword Difficulty*",'Semrush Data'!$A$1:$Z$1,0)),"")</f>
        <v/>
      </c>
      <c r="I3430" s="29" t="str">
        <f aca="false">IFERROR(INDEX('Semrush Data'!$A$1:$Z$20000,MATCH(A3430,'Semrush Data'!$A$1:$A$20000,0),MATCH("CPC*",'Semrush Data'!$A$1:$Z$1,0)),"")</f>
        <v/>
      </c>
      <c r="J3430" s="6" t="str">
        <f aca="false">IFERROR(INDEX('Semrush Data'!$A$1:$Z$20000,MATCH(A3430,'Semrush Data'!$A$1:$A$20000,0),MATCH("Intent",'Semrush Data'!$A$1:$Z$1,0)),"")</f>
        <v/>
      </c>
    </row>
    <row r="3431" customFormat="false" ht="15" hidden="false" customHeight="true" outlineLevel="0" collapsed="false">
      <c r="A3431" s="6" t="s">
        <v>3671</v>
      </c>
      <c r="B3431" s="6" t="s">
        <v>249</v>
      </c>
      <c r="C3431" s="6" t="n">
        <v>3</v>
      </c>
      <c r="D3431" s="6" t="n">
        <v>35</v>
      </c>
      <c r="E3431" s="6" t="n">
        <v>1</v>
      </c>
      <c r="F3431" s="6" t="s">
        <v>3666</v>
      </c>
      <c r="G3431" s="28" t="str">
        <f aca="false">IFERROR(INDEX('Semrush Data'!$A$1:$Z$20000,MATCH(A3431,'Semrush Data'!$A$1:$A$20000,0),MATCH("Volume",'Semrush Data'!$A$1:$Z$1,0)),"")</f>
        <v/>
      </c>
      <c r="H3431" s="6" t="str">
        <f aca="false">IFERROR(INDEX('Semrush Data'!$A$1:$Z$20000,MATCH(A3431,'Semrush Data'!$A$1:$A$20000,0),MATCH("Keyword Difficulty*",'Semrush Data'!$A$1:$Z$1,0)),"")</f>
        <v/>
      </c>
      <c r="I3431" s="29" t="str">
        <f aca="false">IFERROR(INDEX('Semrush Data'!$A$1:$Z$20000,MATCH(A3431,'Semrush Data'!$A$1:$A$20000,0),MATCH("CPC*",'Semrush Data'!$A$1:$Z$1,0)),"")</f>
        <v/>
      </c>
      <c r="J3431" s="6" t="str">
        <f aca="false">IFERROR(INDEX('Semrush Data'!$A$1:$Z$20000,MATCH(A3431,'Semrush Data'!$A$1:$A$20000,0),MATCH("Intent",'Semrush Data'!$A$1:$Z$1,0)),"")</f>
        <v/>
      </c>
    </row>
    <row r="3432" customFormat="false" ht="15" hidden="false" customHeight="true" outlineLevel="0" collapsed="false">
      <c r="A3432" s="6" t="s">
        <v>3660</v>
      </c>
      <c r="B3432" s="6" t="s">
        <v>249</v>
      </c>
      <c r="C3432" s="6" t="n">
        <v>3</v>
      </c>
      <c r="D3432" s="6" t="n">
        <v>35</v>
      </c>
      <c r="E3432" s="6" t="n">
        <v>1</v>
      </c>
      <c r="F3432" s="6" t="s">
        <v>3655</v>
      </c>
      <c r="G3432" s="28" t="str">
        <f aca="false">IFERROR(INDEX('Semrush Data'!$A$1:$Z$20000,MATCH(A3432,'Semrush Data'!$A$1:$A$20000,0),MATCH("Volume",'Semrush Data'!$A$1:$Z$1,0)),"")</f>
        <v/>
      </c>
      <c r="H3432" s="6" t="str">
        <f aca="false">IFERROR(INDEX('Semrush Data'!$A$1:$Z$20000,MATCH(A3432,'Semrush Data'!$A$1:$A$20000,0),MATCH("Keyword Difficulty*",'Semrush Data'!$A$1:$Z$1,0)),"")</f>
        <v/>
      </c>
      <c r="I3432" s="29" t="str">
        <f aca="false">IFERROR(INDEX('Semrush Data'!$A$1:$Z$20000,MATCH(A3432,'Semrush Data'!$A$1:$A$20000,0),MATCH("CPC*",'Semrush Data'!$A$1:$Z$1,0)),"")</f>
        <v/>
      </c>
      <c r="J3432" s="6" t="str">
        <f aca="false">IFERROR(INDEX('Semrush Data'!$A$1:$Z$20000,MATCH(A3432,'Semrush Data'!$A$1:$A$20000,0),MATCH("Intent",'Semrush Data'!$A$1:$Z$1,0)),"")</f>
        <v/>
      </c>
    </row>
    <row r="3433" customFormat="false" ht="15" hidden="false" customHeight="true" outlineLevel="0" collapsed="false">
      <c r="A3433" s="6" t="s">
        <v>3645</v>
      </c>
      <c r="B3433" s="6" t="s">
        <v>249</v>
      </c>
      <c r="C3433" s="6" t="n">
        <v>3</v>
      </c>
      <c r="D3433" s="6" t="n">
        <v>35</v>
      </c>
      <c r="E3433" s="6" t="n">
        <v>2</v>
      </c>
      <c r="F3433" s="6" t="s">
        <v>6851</v>
      </c>
      <c r="G3433" s="28" t="str">
        <f aca="false">IFERROR(INDEX('Semrush Data'!$A$1:$Z$20000,MATCH(A3433,'Semrush Data'!$A$1:$A$20000,0),MATCH("Volume",'Semrush Data'!$A$1:$Z$1,0)),"")</f>
        <v/>
      </c>
      <c r="H3433" s="6" t="str">
        <f aca="false">IFERROR(INDEX('Semrush Data'!$A$1:$Z$20000,MATCH(A3433,'Semrush Data'!$A$1:$A$20000,0),MATCH("Keyword Difficulty*",'Semrush Data'!$A$1:$Z$1,0)),"")</f>
        <v/>
      </c>
      <c r="I3433" s="29" t="str">
        <f aca="false">IFERROR(INDEX('Semrush Data'!$A$1:$Z$20000,MATCH(A3433,'Semrush Data'!$A$1:$A$20000,0),MATCH("CPC*",'Semrush Data'!$A$1:$Z$1,0)),"")</f>
        <v/>
      </c>
      <c r="J3433" s="6" t="str">
        <f aca="false">IFERROR(INDEX('Semrush Data'!$A$1:$Z$20000,MATCH(A3433,'Semrush Data'!$A$1:$A$20000,0),MATCH("Intent",'Semrush Data'!$A$1:$Z$1,0)),"")</f>
        <v/>
      </c>
    </row>
    <row r="3434" customFormat="false" ht="15" hidden="false" customHeight="true" outlineLevel="0" collapsed="false">
      <c r="A3434" s="6" t="s">
        <v>3856</v>
      </c>
      <c r="B3434" s="6" t="s">
        <v>249</v>
      </c>
      <c r="C3434" s="6" t="n">
        <v>3</v>
      </c>
      <c r="D3434" s="6" t="n">
        <v>35</v>
      </c>
      <c r="E3434" s="6" t="n">
        <v>1</v>
      </c>
      <c r="F3434" s="6" t="s">
        <v>3851</v>
      </c>
      <c r="G3434" s="28" t="str">
        <f aca="false">IFERROR(INDEX('Semrush Data'!$A$1:$Z$20000,MATCH(A3434,'Semrush Data'!$A$1:$A$20000,0),MATCH("Volume",'Semrush Data'!$A$1:$Z$1,0)),"")</f>
        <v/>
      </c>
      <c r="H3434" s="6" t="str">
        <f aca="false">IFERROR(INDEX('Semrush Data'!$A$1:$Z$20000,MATCH(A3434,'Semrush Data'!$A$1:$A$20000,0),MATCH("Keyword Difficulty*",'Semrush Data'!$A$1:$Z$1,0)),"")</f>
        <v/>
      </c>
      <c r="I3434" s="29" t="str">
        <f aca="false">IFERROR(INDEX('Semrush Data'!$A$1:$Z$20000,MATCH(A3434,'Semrush Data'!$A$1:$A$20000,0),MATCH("CPC*",'Semrush Data'!$A$1:$Z$1,0)),"")</f>
        <v/>
      </c>
      <c r="J3434" s="6" t="str">
        <f aca="false">IFERROR(INDEX('Semrush Data'!$A$1:$Z$20000,MATCH(A3434,'Semrush Data'!$A$1:$A$20000,0),MATCH("Intent",'Semrush Data'!$A$1:$Z$1,0)),"")</f>
        <v/>
      </c>
    </row>
    <row r="3435" customFormat="false" ht="15" hidden="false" customHeight="true" outlineLevel="0" collapsed="false">
      <c r="A3435" s="6" t="s">
        <v>3867</v>
      </c>
      <c r="B3435" s="6" t="s">
        <v>249</v>
      </c>
      <c r="C3435" s="6" t="n">
        <v>3</v>
      </c>
      <c r="D3435" s="6" t="n">
        <v>35</v>
      </c>
      <c r="E3435" s="6" t="n">
        <v>1</v>
      </c>
      <c r="F3435" s="6" t="s">
        <v>3862</v>
      </c>
      <c r="G3435" s="28" t="str">
        <f aca="false">IFERROR(INDEX('Semrush Data'!$A$1:$Z$20000,MATCH(A3435,'Semrush Data'!$A$1:$A$20000,0),MATCH("Volume",'Semrush Data'!$A$1:$Z$1,0)),"")</f>
        <v/>
      </c>
      <c r="H3435" s="6" t="str">
        <f aca="false">IFERROR(INDEX('Semrush Data'!$A$1:$Z$20000,MATCH(A3435,'Semrush Data'!$A$1:$A$20000,0),MATCH("Keyword Difficulty*",'Semrush Data'!$A$1:$Z$1,0)),"")</f>
        <v/>
      </c>
      <c r="I3435" s="29" t="str">
        <f aca="false">IFERROR(INDEX('Semrush Data'!$A$1:$Z$20000,MATCH(A3435,'Semrush Data'!$A$1:$A$20000,0),MATCH("CPC*",'Semrush Data'!$A$1:$Z$1,0)),"")</f>
        <v/>
      </c>
      <c r="J3435" s="6" t="str">
        <f aca="false">IFERROR(INDEX('Semrush Data'!$A$1:$Z$20000,MATCH(A3435,'Semrush Data'!$A$1:$A$20000,0),MATCH("Intent",'Semrush Data'!$A$1:$Z$1,0)),"")</f>
        <v/>
      </c>
    </row>
    <row r="3436" customFormat="false" ht="15" hidden="false" customHeight="true" outlineLevel="0" collapsed="false">
      <c r="A3436" s="6" t="s">
        <v>3879</v>
      </c>
      <c r="B3436" s="6" t="s">
        <v>249</v>
      </c>
      <c r="C3436" s="6" t="n">
        <v>3</v>
      </c>
      <c r="D3436" s="6" t="n">
        <v>35</v>
      </c>
      <c r="E3436" s="6" t="n">
        <v>1</v>
      </c>
      <c r="F3436" s="6" t="s">
        <v>3874</v>
      </c>
      <c r="G3436" s="28" t="str">
        <f aca="false">IFERROR(INDEX('Semrush Data'!$A$1:$Z$20000,MATCH(A3436,'Semrush Data'!$A$1:$A$20000,0),MATCH("Volume",'Semrush Data'!$A$1:$Z$1,0)),"")</f>
        <v/>
      </c>
      <c r="H3436" s="6" t="str">
        <f aca="false">IFERROR(INDEX('Semrush Data'!$A$1:$Z$20000,MATCH(A3436,'Semrush Data'!$A$1:$A$20000,0),MATCH("Keyword Difficulty*",'Semrush Data'!$A$1:$Z$1,0)),"")</f>
        <v/>
      </c>
      <c r="I3436" s="29" t="str">
        <f aca="false">IFERROR(INDEX('Semrush Data'!$A$1:$Z$20000,MATCH(A3436,'Semrush Data'!$A$1:$A$20000,0),MATCH("CPC*",'Semrush Data'!$A$1:$Z$1,0)),"")</f>
        <v/>
      </c>
      <c r="J3436" s="6" t="str">
        <f aca="false">IFERROR(INDEX('Semrush Data'!$A$1:$Z$20000,MATCH(A3436,'Semrush Data'!$A$1:$A$20000,0),MATCH("Intent",'Semrush Data'!$A$1:$Z$1,0)),"")</f>
        <v/>
      </c>
    </row>
    <row r="3437" customFormat="false" ht="15" hidden="false" customHeight="true" outlineLevel="0" collapsed="false">
      <c r="A3437" s="6" t="s">
        <v>3890</v>
      </c>
      <c r="B3437" s="6" t="s">
        <v>249</v>
      </c>
      <c r="C3437" s="6" t="n">
        <v>3</v>
      </c>
      <c r="D3437" s="6" t="n">
        <v>35</v>
      </c>
      <c r="E3437" s="6" t="n">
        <v>1</v>
      </c>
      <c r="F3437" s="6" t="s">
        <v>3885</v>
      </c>
      <c r="G3437" s="28" t="str">
        <f aca="false">IFERROR(INDEX('Semrush Data'!$A$1:$Z$20000,MATCH(A3437,'Semrush Data'!$A$1:$A$20000,0),MATCH("Volume",'Semrush Data'!$A$1:$Z$1,0)),"")</f>
        <v/>
      </c>
      <c r="H3437" s="6" t="str">
        <f aca="false">IFERROR(INDEX('Semrush Data'!$A$1:$Z$20000,MATCH(A3437,'Semrush Data'!$A$1:$A$20000,0),MATCH("Keyword Difficulty*",'Semrush Data'!$A$1:$Z$1,0)),"")</f>
        <v/>
      </c>
      <c r="I3437" s="29" t="str">
        <f aca="false">IFERROR(INDEX('Semrush Data'!$A$1:$Z$20000,MATCH(A3437,'Semrush Data'!$A$1:$A$20000,0),MATCH("CPC*",'Semrush Data'!$A$1:$Z$1,0)),"")</f>
        <v/>
      </c>
      <c r="J3437" s="6" t="str">
        <f aca="false">IFERROR(INDEX('Semrush Data'!$A$1:$Z$20000,MATCH(A3437,'Semrush Data'!$A$1:$A$20000,0),MATCH("Intent",'Semrush Data'!$A$1:$Z$1,0)),"")</f>
        <v/>
      </c>
    </row>
    <row r="3438" customFormat="false" ht="15" hidden="false" customHeight="true" outlineLevel="0" collapsed="false">
      <c r="A3438" s="6" t="s">
        <v>3741</v>
      </c>
      <c r="B3438" s="6" t="s">
        <v>249</v>
      </c>
      <c r="C3438" s="6" t="n">
        <v>3</v>
      </c>
      <c r="D3438" s="6" t="n">
        <v>35</v>
      </c>
      <c r="E3438" s="6" t="n">
        <v>1</v>
      </c>
      <c r="F3438" s="6" t="s">
        <v>3735</v>
      </c>
      <c r="G3438" s="28" t="str">
        <f aca="false">IFERROR(INDEX('Semrush Data'!$A$1:$Z$20000,MATCH(A3438,'Semrush Data'!$A$1:$A$20000,0),MATCH("Volume",'Semrush Data'!$A$1:$Z$1,0)),"")</f>
        <v/>
      </c>
      <c r="H3438" s="6" t="str">
        <f aca="false">IFERROR(INDEX('Semrush Data'!$A$1:$Z$20000,MATCH(A3438,'Semrush Data'!$A$1:$A$20000,0),MATCH("Keyword Difficulty*",'Semrush Data'!$A$1:$Z$1,0)),"")</f>
        <v/>
      </c>
      <c r="I3438" s="29" t="str">
        <f aca="false">IFERROR(INDEX('Semrush Data'!$A$1:$Z$20000,MATCH(A3438,'Semrush Data'!$A$1:$A$20000,0),MATCH("CPC*",'Semrush Data'!$A$1:$Z$1,0)),"")</f>
        <v/>
      </c>
      <c r="J3438" s="6" t="str">
        <f aca="false">IFERROR(INDEX('Semrush Data'!$A$1:$Z$20000,MATCH(A3438,'Semrush Data'!$A$1:$A$20000,0),MATCH("Intent",'Semrush Data'!$A$1:$Z$1,0)),"")</f>
        <v/>
      </c>
    </row>
    <row r="3439" customFormat="false" ht="15" hidden="false" customHeight="true" outlineLevel="0" collapsed="false">
      <c r="A3439" s="6" t="s">
        <v>3754</v>
      </c>
      <c r="B3439" s="6" t="s">
        <v>249</v>
      </c>
      <c r="C3439" s="6" t="n">
        <v>3</v>
      </c>
      <c r="D3439" s="6" t="n">
        <v>35</v>
      </c>
      <c r="E3439" s="6" t="n">
        <v>1</v>
      </c>
      <c r="F3439" s="6" t="s">
        <v>3748</v>
      </c>
      <c r="G3439" s="28" t="str">
        <f aca="false">IFERROR(INDEX('Semrush Data'!$A$1:$Z$20000,MATCH(A3439,'Semrush Data'!$A$1:$A$20000,0),MATCH("Volume",'Semrush Data'!$A$1:$Z$1,0)),"")</f>
        <v/>
      </c>
      <c r="H3439" s="6" t="str">
        <f aca="false">IFERROR(INDEX('Semrush Data'!$A$1:$Z$20000,MATCH(A3439,'Semrush Data'!$A$1:$A$20000,0),MATCH("Keyword Difficulty*",'Semrush Data'!$A$1:$Z$1,0)),"")</f>
        <v/>
      </c>
      <c r="I3439" s="29" t="str">
        <f aca="false">IFERROR(INDEX('Semrush Data'!$A$1:$Z$20000,MATCH(A3439,'Semrush Data'!$A$1:$A$20000,0),MATCH("CPC*",'Semrush Data'!$A$1:$Z$1,0)),"")</f>
        <v/>
      </c>
      <c r="J3439" s="6" t="str">
        <f aca="false">IFERROR(INDEX('Semrush Data'!$A$1:$Z$20000,MATCH(A3439,'Semrush Data'!$A$1:$A$20000,0),MATCH("Intent",'Semrush Data'!$A$1:$Z$1,0)),"")</f>
        <v/>
      </c>
    </row>
    <row r="3440" customFormat="false" ht="15" hidden="false" customHeight="true" outlineLevel="0" collapsed="false">
      <c r="A3440" s="6" t="s">
        <v>3766</v>
      </c>
      <c r="B3440" s="6" t="s">
        <v>249</v>
      </c>
      <c r="C3440" s="6" t="n">
        <v>3</v>
      </c>
      <c r="D3440" s="6" t="n">
        <v>35</v>
      </c>
      <c r="E3440" s="6" t="n">
        <v>1</v>
      </c>
      <c r="F3440" s="6" t="s">
        <v>3761</v>
      </c>
      <c r="G3440" s="28" t="str">
        <f aca="false">IFERROR(INDEX('Semrush Data'!$A$1:$Z$20000,MATCH(A3440,'Semrush Data'!$A$1:$A$20000,0),MATCH("Volume",'Semrush Data'!$A$1:$Z$1,0)),"")</f>
        <v/>
      </c>
      <c r="H3440" s="6" t="str">
        <f aca="false">IFERROR(INDEX('Semrush Data'!$A$1:$Z$20000,MATCH(A3440,'Semrush Data'!$A$1:$A$20000,0),MATCH("Keyword Difficulty*",'Semrush Data'!$A$1:$Z$1,0)),"")</f>
        <v/>
      </c>
      <c r="I3440" s="29" t="str">
        <f aca="false">IFERROR(INDEX('Semrush Data'!$A$1:$Z$20000,MATCH(A3440,'Semrush Data'!$A$1:$A$20000,0),MATCH("CPC*",'Semrush Data'!$A$1:$Z$1,0)),"")</f>
        <v/>
      </c>
      <c r="J3440" s="6" t="str">
        <f aca="false">IFERROR(INDEX('Semrush Data'!$A$1:$Z$20000,MATCH(A3440,'Semrush Data'!$A$1:$A$20000,0),MATCH("Intent",'Semrush Data'!$A$1:$Z$1,0)),"")</f>
        <v/>
      </c>
    </row>
    <row r="3441" customFormat="false" ht="15" hidden="false" customHeight="true" outlineLevel="0" collapsed="false">
      <c r="A3441" s="6" t="s">
        <v>3777</v>
      </c>
      <c r="B3441" s="6" t="s">
        <v>249</v>
      </c>
      <c r="C3441" s="6" t="n">
        <v>3</v>
      </c>
      <c r="D3441" s="6" t="n">
        <v>35</v>
      </c>
      <c r="E3441" s="6" t="n">
        <v>1</v>
      </c>
      <c r="F3441" s="6" t="s">
        <v>3772</v>
      </c>
      <c r="G3441" s="28" t="str">
        <f aca="false">IFERROR(INDEX('Semrush Data'!$A$1:$Z$20000,MATCH(A3441,'Semrush Data'!$A$1:$A$20000,0),MATCH("Volume",'Semrush Data'!$A$1:$Z$1,0)),"")</f>
        <v/>
      </c>
      <c r="H3441" s="6" t="str">
        <f aca="false">IFERROR(INDEX('Semrush Data'!$A$1:$Z$20000,MATCH(A3441,'Semrush Data'!$A$1:$A$20000,0),MATCH("Keyword Difficulty*",'Semrush Data'!$A$1:$Z$1,0)),"")</f>
        <v/>
      </c>
      <c r="I3441" s="29" t="str">
        <f aca="false">IFERROR(INDEX('Semrush Data'!$A$1:$Z$20000,MATCH(A3441,'Semrush Data'!$A$1:$A$20000,0),MATCH("CPC*",'Semrush Data'!$A$1:$Z$1,0)),"")</f>
        <v/>
      </c>
      <c r="J3441" s="6" t="str">
        <f aca="false">IFERROR(INDEX('Semrush Data'!$A$1:$Z$20000,MATCH(A3441,'Semrush Data'!$A$1:$A$20000,0),MATCH("Intent",'Semrush Data'!$A$1:$Z$1,0)),"")</f>
        <v/>
      </c>
    </row>
    <row r="3442" customFormat="false" ht="15" hidden="false" customHeight="true" outlineLevel="0" collapsed="false">
      <c r="A3442" s="6" t="s">
        <v>3788</v>
      </c>
      <c r="B3442" s="6" t="s">
        <v>249</v>
      </c>
      <c r="C3442" s="6" t="n">
        <v>3</v>
      </c>
      <c r="D3442" s="6" t="n">
        <v>35</v>
      </c>
      <c r="E3442" s="6" t="n">
        <v>1</v>
      </c>
      <c r="F3442" s="6" t="s">
        <v>3783</v>
      </c>
      <c r="G3442" s="28" t="str">
        <f aca="false">IFERROR(INDEX('Semrush Data'!$A$1:$Z$20000,MATCH(A3442,'Semrush Data'!$A$1:$A$20000,0),MATCH("Volume",'Semrush Data'!$A$1:$Z$1,0)),"")</f>
        <v/>
      </c>
      <c r="H3442" s="6" t="str">
        <f aca="false">IFERROR(INDEX('Semrush Data'!$A$1:$Z$20000,MATCH(A3442,'Semrush Data'!$A$1:$A$20000,0),MATCH("Keyword Difficulty*",'Semrush Data'!$A$1:$Z$1,0)),"")</f>
        <v/>
      </c>
      <c r="I3442" s="29" t="str">
        <f aca="false">IFERROR(INDEX('Semrush Data'!$A$1:$Z$20000,MATCH(A3442,'Semrush Data'!$A$1:$A$20000,0),MATCH("CPC*",'Semrush Data'!$A$1:$Z$1,0)),"")</f>
        <v/>
      </c>
      <c r="J3442" s="6" t="str">
        <f aca="false">IFERROR(INDEX('Semrush Data'!$A$1:$Z$20000,MATCH(A3442,'Semrush Data'!$A$1:$A$20000,0),MATCH("Intent",'Semrush Data'!$A$1:$Z$1,0)),"")</f>
        <v/>
      </c>
    </row>
    <row r="3443" customFormat="false" ht="15" hidden="false" customHeight="true" outlineLevel="0" collapsed="false">
      <c r="A3443" s="6" t="s">
        <v>3800</v>
      </c>
      <c r="B3443" s="6" t="s">
        <v>249</v>
      </c>
      <c r="C3443" s="6" t="n">
        <v>3</v>
      </c>
      <c r="D3443" s="6" t="n">
        <v>35</v>
      </c>
      <c r="E3443" s="6" t="n">
        <v>1</v>
      </c>
      <c r="F3443" s="6" t="s">
        <v>3795</v>
      </c>
      <c r="G3443" s="28" t="str">
        <f aca="false">IFERROR(INDEX('Semrush Data'!$A$1:$Z$20000,MATCH(A3443,'Semrush Data'!$A$1:$A$20000,0),MATCH("Volume",'Semrush Data'!$A$1:$Z$1,0)),"")</f>
        <v/>
      </c>
      <c r="H3443" s="6" t="str">
        <f aca="false">IFERROR(INDEX('Semrush Data'!$A$1:$Z$20000,MATCH(A3443,'Semrush Data'!$A$1:$A$20000,0),MATCH("Keyword Difficulty*",'Semrush Data'!$A$1:$Z$1,0)),"")</f>
        <v/>
      </c>
      <c r="I3443" s="29" t="str">
        <f aca="false">IFERROR(INDEX('Semrush Data'!$A$1:$Z$20000,MATCH(A3443,'Semrush Data'!$A$1:$A$20000,0),MATCH("CPC*",'Semrush Data'!$A$1:$Z$1,0)),"")</f>
        <v/>
      </c>
      <c r="J3443" s="6" t="str">
        <f aca="false">IFERROR(INDEX('Semrush Data'!$A$1:$Z$20000,MATCH(A3443,'Semrush Data'!$A$1:$A$20000,0),MATCH("Intent",'Semrush Data'!$A$1:$Z$1,0)),"")</f>
        <v/>
      </c>
    </row>
    <row r="3444" customFormat="false" ht="15" hidden="false" customHeight="true" outlineLevel="0" collapsed="false">
      <c r="A3444" s="6" t="s">
        <v>3811</v>
      </c>
      <c r="B3444" s="6" t="s">
        <v>249</v>
      </c>
      <c r="C3444" s="6" t="n">
        <v>3</v>
      </c>
      <c r="D3444" s="6" t="n">
        <v>35</v>
      </c>
      <c r="E3444" s="6" t="n">
        <v>1</v>
      </c>
      <c r="F3444" s="6" t="s">
        <v>3806</v>
      </c>
      <c r="G3444" s="28" t="str">
        <f aca="false">IFERROR(INDEX('Semrush Data'!$A$1:$Z$20000,MATCH(A3444,'Semrush Data'!$A$1:$A$20000,0),MATCH("Volume",'Semrush Data'!$A$1:$Z$1,0)),"")</f>
        <v/>
      </c>
      <c r="H3444" s="6" t="str">
        <f aca="false">IFERROR(INDEX('Semrush Data'!$A$1:$Z$20000,MATCH(A3444,'Semrush Data'!$A$1:$A$20000,0),MATCH("Keyword Difficulty*",'Semrush Data'!$A$1:$Z$1,0)),"")</f>
        <v/>
      </c>
      <c r="I3444" s="29" t="str">
        <f aca="false">IFERROR(INDEX('Semrush Data'!$A$1:$Z$20000,MATCH(A3444,'Semrush Data'!$A$1:$A$20000,0),MATCH("CPC*",'Semrush Data'!$A$1:$Z$1,0)),"")</f>
        <v/>
      </c>
      <c r="J3444" s="6" t="str">
        <f aca="false">IFERROR(INDEX('Semrush Data'!$A$1:$Z$20000,MATCH(A3444,'Semrush Data'!$A$1:$A$20000,0),MATCH("Intent",'Semrush Data'!$A$1:$Z$1,0)),"")</f>
        <v/>
      </c>
    </row>
    <row r="3445" customFormat="false" ht="15" hidden="false" customHeight="true" outlineLevel="0" collapsed="false">
      <c r="A3445" s="6" t="s">
        <v>3822</v>
      </c>
      <c r="B3445" s="6" t="s">
        <v>249</v>
      </c>
      <c r="C3445" s="6" t="n">
        <v>3</v>
      </c>
      <c r="D3445" s="6" t="n">
        <v>35</v>
      </c>
      <c r="E3445" s="6" t="n">
        <v>1</v>
      </c>
      <c r="F3445" s="6" t="s">
        <v>3817</v>
      </c>
      <c r="G3445" s="28" t="str">
        <f aca="false">IFERROR(INDEX('Semrush Data'!$A$1:$Z$20000,MATCH(A3445,'Semrush Data'!$A$1:$A$20000,0),MATCH("Volume",'Semrush Data'!$A$1:$Z$1,0)),"")</f>
        <v/>
      </c>
      <c r="H3445" s="6" t="str">
        <f aca="false">IFERROR(INDEX('Semrush Data'!$A$1:$Z$20000,MATCH(A3445,'Semrush Data'!$A$1:$A$20000,0),MATCH("Keyword Difficulty*",'Semrush Data'!$A$1:$Z$1,0)),"")</f>
        <v/>
      </c>
      <c r="I3445" s="29" t="str">
        <f aca="false">IFERROR(INDEX('Semrush Data'!$A$1:$Z$20000,MATCH(A3445,'Semrush Data'!$A$1:$A$20000,0),MATCH("CPC*",'Semrush Data'!$A$1:$Z$1,0)),"")</f>
        <v/>
      </c>
      <c r="J3445" s="6" t="str">
        <f aca="false">IFERROR(INDEX('Semrush Data'!$A$1:$Z$20000,MATCH(A3445,'Semrush Data'!$A$1:$A$20000,0),MATCH("Intent",'Semrush Data'!$A$1:$Z$1,0)),"")</f>
        <v/>
      </c>
    </row>
    <row r="3446" customFormat="false" ht="15" hidden="false" customHeight="true" outlineLevel="0" collapsed="false">
      <c r="A3446" s="6" t="s">
        <v>3833</v>
      </c>
      <c r="B3446" s="6" t="s">
        <v>249</v>
      </c>
      <c r="C3446" s="6" t="n">
        <v>3</v>
      </c>
      <c r="D3446" s="6" t="n">
        <v>35</v>
      </c>
      <c r="E3446" s="6" t="n">
        <v>1</v>
      </c>
      <c r="F3446" s="6" t="s">
        <v>3828</v>
      </c>
      <c r="G3446" s="28" t="str">
        <f aca="false">IFERROR(INDEX('Semrush Data'!$A$1:$Z$20000,MATCH(A3446,'Semrush Data'!$A$1:$A$20000,0),MATCH("Volume",'Semrush Data'!$A$1:$Z$1,0)),"")</f>
        <v/>
      </c>
      <c r="H3446" s="6" t="str">
        <f aca="false">IFERROR(INDEX('Semrush Data'!$A$1:$Z$20000,MATCH(A3446,'Semrush Data'!$A$1:$A$20000,0),MATCH("Keyword Difficulty*",'Semrush Data'!$A$1:$Z$1,0)),"")</f>
        <v/>
      </c>
      <c r="I3446" s="29" t="str">
        <f aca="false">IFERROR(INDEX('Semrush Data'!$A$1:$Z$20000,MATCH(A3446,'Semrush Data'!$A$1:$A$20000,0),MATCH("CPC*",'Semrush Data'!$A$1:$Z$1,0)),"")</f>
        <v/>
      </c>
      <c r="J3446" s="6" t="str">
        <f aca="false">IFERROR(INDEX('Semrush Data'!$A$1:$Z$20000,MATCH(A3446,'Semrush Data'!$A$1:$A$20000,0),MATCH("Intent",'Semrush Data'!$A$1:$Z$1,0)),"")</f>
        <v/>
      </c>
    </row>
    <row r="3447" customFormat="false" ht="15" hidden="false" customHeight="true" outlineLevel="0" collapsed="false">
      <c r="A3447" s="6" t="s">
        <v>3844</v>
      </c>
      <c r="B3447" s="6" t="s">
        <v>249</v>
      </c>
      <c r="C3447" s="6" t="n">
        <v>3</v>
      </c>
      <c r="D3447" s="6" t="n">
        <v>35</v>
      </c>
      <c r="E3447" s="6" t="n">
        <v>1</v>
      </c>
      <c r="F3447" s="6" t="s">
        <v>3839</v>
      </c>
      <c r="G3447" s="28" t="str">
        <f aca="false">IFERROR(INDEX('Semrush Data'!$A$1:$Z$20000,MATCH(A3447,'Semrush Data'!$A$1:$A$20000,0),MATCH("Volume",'Semrush Data'!$A$1:$Z$1,0)),"")</f>
        <v/>
      </c>
      <c r="H3447" s="6" t="str">
        <f aca="false">IFERROR(INDEX('Semrush Data'!$A$1:$Z$20000,MATCH(A3447,'Semrush Data'!$A$1:$A$20000,0),MATCH("Keyword Difficulty*",'Semrush Data'!$A$1:$Z$1,0)),"")</f>
        <v/>
      </c>
      <c r="I3447" s="29" t="str">
        <f aca="false">IFERROR(INDEX('Semrush Data'!$A$1:$Z$20000,MATCH(A3447,'Semrush Data'!$A$1:$A$20000,0),MATCH("CPC*",'Semrush Data'!$A$1:$Z$1,0)),"")</f>
        <v/>
      </c>
      <c r="J3447" s="6" t="str">
        <f aca="false">IFERROR(INDEX('Semrush Data'!$A$1:$Z$20000,MATCH(A3447,'Semrush Data'!$A$1:$A$20000,0),MATCH("Intent",'Semrush Data'!$A$1:$Z$1,0)),"")</f>
        <v/>
      </c>
    </row>
    <row r="3448" customFormat="false" ht="15" hidden="false" customHeight="true" outlineLevel="0" collapsed="false">
      <c r="A3448" s="6" t="s">
        <v>3900</v>
      </c>
      <c r="B3448" s="6" t="s">
        <v>249</v>
      </c>
      <c r="C3448" s="6" t="n">
        <v>3</v>
      </c>
      <c r="D3448" s="6" t="n">
        <v>35</v>
      </c>
      <c r="E3448" s="6" t="n">
        <v>1</v>
      </c>
      <c r="F3448" s="6" t="s">
        <v>123</v>
      </c>
      <c r="G3448" s="28" t="str">
        <f aca="false">IFERROR(INDEX('Semrush Data'!$A$1:$Z$20000,MATCH(A3448,'Semrush Data'!$A$1:$A$20000,0),MATCH("Volume",'Semrush Data'!$A$1:$Z$1,0)),"")</f>
        <v/>
      </c>
      <c r="H3448" s="6" t="str">
        <f aca="false">IFERROR(INDEX('Semrush Data'!$A$1:$Z$20000,MATCH(A3448,'Semrush Data'!$A$1:$A$20000,0),MATCH("Keyword Difficulty*",'Semrush Data'!$A$1:$Z$1,0)),"")</f>
        <v/>
      </c>
      <c r="I3448" s="29" t="str">
        <f aca="false">IFERROR(INDEX('Semrush Data'!$A$1:$Z$20000,MATCH(A3448,'Semrush Data'!$A$1:$A$20000,0),MATCH("CPC*",'Semrush Data'!$A$1:$Z$1,0)),"")</f>
        <v/>
      </c>
      <c r="J3448" s="6" t="str">
        <f aca="false">IFERROR(INDEX('Semrush Data'!$A$1:$Z$20000,MATCH(A3448,'Semrush Data'!$A$1:$A$20000,0),MATCH("Intent",'Semrush Data'!$A$1:$Z$1,0)),"")</f>
        <v/>
      </c>
    </row>
    <row r="3449" customFormat="false" ht="15" hidden="false" customHeight="true" outlineLevel="0" collapsed="false">
      <c r="A3449" s="6" t="s">
        <v>3979</v>
      </c>
      <c r="B3449" s="6" t="s">
        <v>249</v>
      </c>
      <c r="C3449" s="6" t="n">
        <v>3</v>
      </c>
      <c r="D3449" s="6" t="n">
        <v>35</v>
      </c>
      <c r="E3449" s="6" t="n">
        <v>1</v>
      </c>
      <c r="F3449" s="6" t="s">
        <v>3974</v>
      </c>
      <c r="G3449" s="28" t="str">
        <f aca="false">IFERROR(INDEX('Semrush Data'!$A$1:$Z$20000,MATCH(A3449,'Semrush Data'!$A$1:$A$20000,0),MATCH("Volume",'Semrush Data'!$A$1:$Z$1,0)),"")</f>
        <v/>
      </c>
      <c r="H3449" s="6" t="str">
        <f aca="false">IFERROR(INDEX('Semrush Data'!$A$1:$Z$20000,MATCH(A3449,'Semrush Data'!$A$1:$A$20000,0),MATCH("Keyword Difficulty*",'Semrush Data'!$A$1:$Z$1,0)),"")</f>
        <v/>
      </c>
      <c r="I3449" s="29" t="str">
        <f aca="false">IFERROR(INDEX('Semrush Data'!$A$1:$Z$20000,MATCH(A3449,'Semrush Data'!$A$1:$A$20000,0),MATCH("CPC*",'Semrush Data'!$A$1:$Z$1,0)),"")</f>
        <v/>
      </c>
      <c r="J3449" s="6" t="str">
        <f aca="false">IFERROR(INDEX('Semrush Data'!$A$1:$Z$20000,MATCH(A3449,'Semrush Data'!$A$1:$A$20000,0),MATCH("Intent",'Semrush Data'!$A$1:$Z$1,0)),"")</f>
        <v/>
      </c>
    </row>
    <row r="3450" customFormat="false" ht="15" hidden="false" customHeight="true" outlineLevel="0" collapsed="false">
      <c r="A3450" s="6" t="s">
        <v>3912</v>
      </c>
      <c r="B3450" s="6" t="s">
        <v>249</v>
      </c>
      <c r="C3450" s="6" t="n">
        <v>3</v>
      </c>
      <c r="D3450" s="6" t="n">
        <v>35</v>
      </c>
      <c r="E3450" s="6" t="n">
        <v>1</v>
      </c>
      <c r="F3450" s="6" t="s">
        <v>3907</v>
      </c>
      <c r="G3450" s="28" t="str">
        <f aca="false">IFERROR(INDEX('Semrush Data'!$A$1:$Z$20000,MATCH(A3450,'Semrush Data'!$A$1:$A$20000,0),MATCH("Volume",'Semrush Data'!$A$1:$Z$1,0)),"")</f>
        <v/>
      </c>
      <c r="H3450" s="6" t="str">
        <f aca="false">IFERROR(INDEX('Semrush Data'!$A$1:$Z$20000,MATCH(A3450,'Semrush Data'!$A$1:$A$20000,0),MATCH("Keyword Difficulty*",'Semrush Data'!$A$1:$Z$1,0)),"")</f>
        <v/>
      </c>
      <c r="I3450" s="29" t="str">
        <f aca="false">IFERROR(INDEX('Semrush Data'!$A$1:$Z$20000,MATCH(A3450,'Semrush Data'!$A$1:$A$20000,0),MATCH("CPC*",'Semrush Data'!$A$1:$Z$1,0)),"")</f>
        <v/>
      </c>
      <c r="J3450" s="6" t="str">
        <f aca="false">IFERROR(INDEX('Semrush Data'!$A$1:$Z$20000,MATCH(A3450,'Semrush Data'!$A$1:$A$20000,0),MATCH("Intent",'Semrush Data'!$A$1:$Z$1,0)),"")</f>
        <v/>
      </c>
    </row>
    <row r="3451" customFormat="false" ht="15" hidden="false" customHeight="true" outlineLevel="0" collapsed="false">
      <c r="A3451" s="6" t="s">
        <v>3924</v>
      </c>
      <c r="B3451" s="6" t="s">
        <v>249</v>
      </c>
      <c r="C3451" s="6" t="n">
        <v>3</v>
      </c>
      <c r="D3451" s="6" t="n">
        <v>35</v>
      </c>
      <c r="E3451" s="6" t="n">
        <v>1</v>
      </c>
      <c r="F3451" s="6" t="s">
        <v>3918</v>
      </c>
      <c r="G3451" s="28" t="str">
        <f aca="false">IFERROR(INDEX('Semrush Data'!$A$1:$Z$20000,MATCH(A3451,'Semrush Data'!$A$1:$A$20000,0),MATCH("Volume",'Semrush Data'!$A$1:$Z$1,0)),"")</f>
        <v/>
      </c>
      <c r="H3451" s="6" t="str">
        <f aca="false">IFERROR(INDEX('Semrush Data'!$A$1:$Z$20000,MATCH(A3451,'Semrush Data'!$A$1:$A$20000,0),MATCH("Keyword Difficulty*",'Semrush Data'!$A$1:$Z$1,0)),"")</f>
        <v/>
      </c>
      <c r="I3451" s="29" t="str">
        <f aca="false">IFERROR(INDEX('Semrush Data'!$A$1:$Z$20000,MATCH(A3451,'Semrush Data'!$A$1:$A$20000,0),MATCH("CPC*",'Semrush Data'!$A$1:$Z$1,0)),"")</f>
        <v/>
      </c>
      <c r="J3451" s="6" t="str">
        <f aca="false">IFERROR(INDEX('Semrush Data'!$A$1:$Z$20000,MATCH(A3451,'Semrush Data'!$A$1:$A$20000,0),MATCH("Intent",'Semrush Data'!$A$1:$Z$1,0)),"")</f>
        <v/>
      </c>
    </row>
    <row r="3452" customFormat="false" ht="15" hidden="false" customHeight="true" outlineLevel="0" collapsed="false">
      <c r="A3452" s="6" t="s">
        <v>3935</v>
      </c>
      <c r="B3452" s="6" t="s">
        <v>249</v>
      </c>
      <c r="C3452" s="6" t="n">
        <v>3</v>
      </c>
      <c r="D3452" s="6" t="n">
        <v>35</v>
      </c>
      <c r="E3452" s="6" t="n">
        <v>1</v>
      </c>
      <c r="F3452" s="6" t="s">
        <v>3930</v>
      </c>
      <c r="G3452" s="28" t="str">
        <f aca="false">IFERROR(INDEX('Semrush Data'!$A$1:$Z$20000,MATCH(A3452,'Semrush Data'!$A$1:$A$20000,0),MATCH("Volume",'Semrush Data'!$A$1:$Z$1,0)),"")</f>
        <v/>
      </c>
      <c r="H3452" s="6" t="str">
        <f aca="false">IFERROR(INDEX('Semrush Data'!$A$1:$Z$20000,MATCH(A3452,'Semrush Data'!$A$1:$A$20000,0),MATCH("Keyword Difficulty*",'Semrush Data'!$A$1:$Z$1,0)),"")</f>
        <v/>
      </c>
      <c r="I3452" s="29" t="str">
        <f aca="false">IFERROR(INDEX('Semrush Data'!$A$1:$Z$20000,MATCH(A3452,'Semrush Data'!$A$1:$A$20000,0),MATCH("CPC*",'Semrush Data'!$A$1:$Z$1,0)),"")</f>
        <v/>
      </c>
      <c r="J3452" s="6" t="str">
        <f aca="false">IFERROR(INDEX('Semrush Data'!$A$1:$Z$20000,MATCH(A3452,'Semrush Data'!$A$1:$A$20000,0),MATCH("Intent",'Semrush Data'!$A$1:$Z$1,0)),"")</f>
        <v/>
      </c>
    </row>
    <row r="3453" customFormat="false" ht="15" hidden="false" customHeight="true" outlineLevel="0" collapsed="false">
      <c r="A3453" s="6" t="s">
        <v>3990</v>
      </c>
      <c r="B3453" s="6" t="s">
        <v>249</v>
      </c>
      <c r="C3453" s="6" t="n">
        <v>3</v>
      </c>
      <c r="D3453" s="6" t="n">
        <v>35</v>
      </c>
      <c r="E3453" s="6" t="n">
        <v>1</v>
      </c>
      <c r="F3453" s="6" t="s">
        <v>3985</v>
      </c>
      <c r="G3453" s="28" t="str">
        <f aca="false">IFERROR(INDEX('Semrush Data'!$A$1:$Z$20000,MATCH(A3453,'Semrush Data'!$A$1:$A$20000,0),MATCH("Volume",'Semrush Data'!$A$1:$Z$1,0)),"")</f>
        <v/>
      </c>
      <c r="H3453" s="6" t="str">
        <f aca="false">IFERROR(INDEX('Semrush Data'!$A$1:$Z$20000,MATCH(A3453,'Semrush Data'!$A$1:$A$20000,0),MATCH("Keyword Difficulty*",'Semrush Data'!$A$1:$Z$1,0)),"")</f>
        <v/>
      </c>
      <c r="I3453" s="29" t="str">
        <f aca="false">IFERROR(INDEX('Semrush Data'!$A$1:$Z$20000,MATCH(A3453,'Semrush Data'!$A$1:$A$20000,0),MATCH("CPC*",'Semrush Data'!$A$1:$Z$1,0)),"")</f>
        <v/>
      </c>
      <c r="J3453" s="6" t="str">
        <f aca="false">IFERROR(INDEX('Semrush Data'!$A$1:$Z$20000,MATCH(A3453,'Semrush Data'!$A$1:$A$20000,0),MATCH("Intent",'Semrush Data'!$A$1:$Z$1,0)),"")</f>
        <v/>
      </c>
    </row>
    <row r="3454" customFormat="false" ht="15" hidden="false" customHeight="true" outlineLevel="0" collapsed="false">
      <c r="A3454" s="6" t="s">
        <v>3957</v>
      </c>
      <c r="B3454" s="6" t="s">
        <v>249</v>
      </c>
      <c r="C3454" s="6" t="n">
        <v>3</v>
      </c>
      <c r="D3454" s="6" t="n">
        <v>35</v>
      </c>
      <c r="E3454" s="6" t="n">
        <v>1</v>
      </c>
      <c r="F3454" s="6" t="s">
        <v>3952</v>
      </c>
      <c r="G3454" s="28" t="str">
        <f aca="false">IFERROR(INDEX('Semrush Data'!$A$1:$Z$20000,MATCH(A3454,'Semrush Data'!$A$1:$A$20000,0),MATCH("Volume",'Semrush Data'!$A$1:$Z$1,0)),"")</f>
        <v/>
      </c>
      <c r="H3454" s="6" t="str">
        <f aca="false">IFERROR(INDEX('Semrush Data'!$A$1:$Z$20000,MATCH(A3454,'Semrush Data'!$A$1:$A$20000,0),MATCH("Keyword Difficulty*",'Semrush Data'!$A$1:$Z$1,0)),"")</f>
        <v/>
      </c>
      <c r="I3454" s="29" t="str">
        <f aca="false">IFERROR(INDEX('Semrush Data'!$A$1:$Z$20000,MATCH(A3454,'Semrush Data'!$A$1:$A$20000,0),MATCH("CPC*",'Semrush Data'!$A$1:$Z$1,0)),"")</f>
        <v/>
      </c>
      <c r="J3454" s="6" t="str">
        <f aca="false">IFERROR(INDEX('Semrush Data'!$A$1:$Z$20000,MATCH(A3454,'Semrush Data'!$A$1:$A$20000,0),MATCH("Intent",'Semrush Data'!$A$1:$Z$1,0)),"")</f>
        <v/>
      </c>
    </row>
    <row r="3455" customFormat="false" ht="15" hidden="false" customHeight="true" outlineLevel="0" collapsed="false">
      <c r="A3455" s="6" t="s">
        <v>4000</v>
      </c>
      <c r="B3455" s="6" t="s">
        <v>249</v>
      </c>
      <c r="C3455" s="6" t="n">
        <v>3</v>
      </c>
      <c r="D3455" s="6" t="n">
        <v>35</v>
      </c>
      <c r="E3455" s="6" t="n">
        <v>1</v>
      </c>
      <c r="F3455" s="6" t="s">
        <v>3995</v>
      </c>
      <c r="G3455" s="28" t="str">
        <f aca="false">IFERROR(INDEX('Semrush Data'!$A$1:$Z$20000,MATCH(A3455,'Semrush Data'!$A$1:$A$20000,0),MATCH("Volume",'Semrush Data'!$A$1:$Z$1,0)),"")</f>
        <v/>
      </c>
      <c r="H3455" s="6" t="str">
        <f aca="false">IFERROR(INDEX('Semrush Data'!$A$1:$Z$20000,MATCH(A3455,'Semrush Data'!$A$1:$A$20000,0),MATCH("Keyword Difficulty*",'Semrush Data'!$A$1:$Z$1,0)),"")</f>
        <v/>
      </c>
      <c r="I3455" s="29" t="str">
        <f aca="false">IFERROR(INDEX('Semrush Data'!$A$1:$Z$20000,MATCH(A3455,'Semrush Data'!$A$1:$A$20000,0),MATCH("CPC*",'Semrush Data'!$A$1:$Z$1,0)),"")</f>
        <v/>
      </c>
      <c r="J3455" s="6" t="str">
        <f aca="false">IFERROR(INDEX('Semrush Data'!$A$1:$Z$20000,MATCH(A3455,'Semrush Data'!$A$1:$A$20000,0),MATCH("Intent",'Semrush Data'!$A$1:$Z$1,0)),"")</f>
        <v/>
      </c>
    </row>
    <row r="3456" customFormat="false" ht="15" hidden="false" customHeight="true" outlineLevel="0" collapsed="false">
      <c r="A3456" s="6" t="s">
        <v>3946</v>
      </c>
      <c r="B3456" s="6" t="s">
        <v>249</v>
      </c>
      <c r="C3456" s="6" t="n">
        <v>3</v>
      </c>
      <c r="D3456" s="6" t="n">
        <v>35</v>
      </c>
      <c r="E3456" s="6" t="n">
        <v>1</v>
      </c>
      <c r="F3456" s="6" t="s">
        <v>3941</v>
      </c>
      <c r="G3456" s="28" t="str">
        <f aca="false">IFERROR(INDEX('Semrush Data'!$A$1:$Z$20000,MATCH(A3456,'Semrush Data'!$A$1:$A$20000,0),MATCH("Volume",'Semrush Data'!$A$1:$Z$1,0)),"")</f>
        <v/>
      </c>
      <c r="H3456" s="6" t="str">
        <f aca="false">IFERROR(INDEX('Semrush Data'!$A$1:$Z$20000,MATCH(A3456,'Semrush Data'!$A$1:$A$20000,0),MATCH("Keyword Difficulty*",'Semrush Data'!$A$1:$Z$1,0)),"")</f>
        <v/>
      </c>
      <c r="I3456" s="29" t="str">
        <f aca="false">IFERROR(INDEX('Semrush Data'!$A$1:$Z$20000,MATCH(A3456,'Semrush Data'!$A$1:$A$20000,0),MATCH("CPC*",'Semrush Data'!$A$1:$Z$1,0)),"")</f>
        <v/>
      </c>
      <c r="J3456" s="6" t="str">
        <f aca="false">IFERROR(INDEX('Semrush Data'!$A$1:$Z$20000,MATCH(A3456,'Semrush Data'!$A$1:$A$20000,0),MATCH("Intent",'Semrush Data'!$A$1:$Z$1,0)),"")</f>
        <v/>
      </c>
    </row>
    <row r="3457" customFormat="false" ht="15" hidden="false" customHeight="true" outlineLevel="0" collapsed="false">
      <c r="A3457" s="6" t="s">
        <v>3968</v>
      </c>
      <c r="B3457" s="6" t="s">
        <v>249</v>
      </c>
      <c r="C3457" s="6" t="n">
        <v>3</v>
      </c>
      <c r="D3457" s="6" t="n">
        <v>35</v>
      </c>
      <c r="E3457" s="6" t="n">
        <v>1</v>
      </c>
      <c r="F3457" s="6" t="s">
        <v>3963</v>
      </c>
      <c r="G3457" s="28" t="str">
        <f aca="false">IFERROR(INDEX('Semrush Data'!$A$1:$Z$20000,MATCH(A3457,'Semrush Data'!$A$1:$A$20000,0),MATCH("Volume",'Semrush Data'!$A$1:$Z$1,0)),"")</f>
        <v/>
      </c>
      <c r="H3457" s="6" t="str">
        <f aca="false">IFERROR(INDEX('Semrush Data'!$A$1:$Z$20000,MATCH(A3457,'Semrush Data'!$A$1:$A$20000,0),MATCH("Keyword Difficulty*",'Semrush Data'!$A$1:$Z$1,0)),"")</f>
        <v/>
      </c>
      <c r="I3457" s="29" t="str">
        <f aca="false">IFERROR(INDEX('Semrush Data'!$A$1:$Z$20000,MATCH(A3457,'Semrush Data'!$A$1:$A$20000,0),MATCH("CPC*",'Semrush Data'!$A$1:$Z$1,0)),"")</f>
        <v/>
      </c>
      <c r="J3457" s="6" t="str">
        <f aca="false">IFERROR(INDEX('Semrush Data'!$A$1:$Z$20000,MATCH(A3457,'Semrush Data'!$A$1:$A$20000,0),MATCH("Intent",'Semrush Data'!$A$1:$Z$1,0)),"")</f>
        <v/>
      </c>
    </row>
    <row r="3458" customFormat="false" ht="15" hidden="false" customHeight="true" outlineLevel="0" collapsed="false">
      <c r="A3458" s="6" t="s">
        <v>4011</v>
      </c>
      <c r="B3458" s="6" t="s">
        <v>249</v>
      </c>
      <c r="C3458" s="6" t="n">
        <v>3</v>
      </c>
      <c r="D3458" s="6" t="n">
        <v>35</v>
      </c>
      <c r="E3458" s="6" t="n">
        <v>1</v>
      </c>
      <c r="F3458" s="6" t="s">
        <v>4005</v>
      </c>
      <c r="G3458" s="28" t="str">
        <f aca="false">IFERROR(INDEX('Semrush Data'!$A$1:$Z$20000,MATCH(A3458,'Semrush Data'!$A$1:$A$20000,0),MATCH("Volume",'Semrush Data'!$A$1:$Z$1,0)),"")</f>
        <v/>
      </c>
      <c r="H3458" s="6" t="str">
        <f aca="false">IFERROR(INDEX('Semrush Data'!$A$1:$Z$20000,MATCH(A3458,'Semrush Data'!$A$1:$A$20000,0),MATCH("Keyword Difficulty*",'Semrush Data'!$A$1:$Z$1,0)),"")</f>
        <v/>
      </c>
      <c r="I3458" s="29" t="str">
        <f aca="false">IFERROR(INDEX('Semrush Data'!$A$1:$Z$20000,MATCH(A3458,'Semrush Data'!$A$1:$A$20000,0),MATCH("CPC*",'Semrush Data'!$A$1:$Z$1,0)),"")</f>
        <v/>
      </c>
      <c r="J3458" s="6" t="str">
        <f aca="false">IFERROR(INDEX('Semrush Data'!$A$1:$Z$20000,MATCH(A3458,'Semrush Data'!$A$1:$A$20000,0),MATCH("Intent",'Semrush Data'!$A$1:$Z$1,0)),"")</f>
        <v/>
      </c>
    </row>
    <row r="3459" customFormat="false" ht="15" hidden="false" customHeight="true" outlineLevel="0" collapsed="false">
      <c r="A3459" s="6" t="s">
        <v>4024</v>
      </c>
      <c r="B3459" s="6" t="s">
        <v>249</v>
      </c>
      <c r="C3459" s="6" t="n">
        <v>3</v>
      </c>
      <c r="D3459" s="6" t="n">
        <v>35</v>
      </c>
      <c r="E3459" s="6" t="n">
        <v>1</v>
      </c>
      <c r="F3459" s="6" t="s">
        <v>4018</v>
      </c>
      <c r="G3459" s="28" t="str">
        <f aca="false">IFERROR(INDEX('Semrush Data'!$A$1:$Z$20000,MATCH(A3459,'Semrush Data'!$A$1:$A$20000,0),MATCH("Volume",'Semrush Data'!$A$1:$Z$1,0)),"")</f>
        <v/>
      </c>
      <c r="H3459" s="6" t="str">
        <f aca="false">IFERROR(INDEX('Semrush Data'!$A$1:$Z$20000,MATCH(A3459,'Semrush Data'!$A$1:$A$20000,0),MATCH("Keyword Difficulty*",'Semrush Data'!$A$1:$Z$1,0)),"")</f>
        <v/>
      </c>
      <c r="I3459" s="29" t="str">
        <f aca="false">IFERROR(INDEX('Semrush Data'!$A$1:$Z$20000,MATCH(A3459,'Semrush Data'!$A$1:$A$20000,0),MATCH("CPC*",'Semrush Data'!$A$1:$Z$1,0)),"")</f>
        <v/>
      </c>
      <c r="J3459" s="6" t="str">
        <f aca="false">IFERROR(INDEX('Semrush Data'!$A$1:$Z$20000,MATCH(A3459,'Semrush Data'!$A$1:$A$20000,0),MATCH("Intent",'Semrush Data'!$A$1:$Z$1,0)),"")</f>
        <v/>
      </c>
    </row>
    <row r="3460" customFormat="false" ht="15" hidden="false" customHeight="true" outlineLevel="0" collapsed="false">
      <c r="A3460" s="6" t="s">
        <v>4034</v>
      </c>
      <c r="B3460" s="6" t="s">
        <v>249</v>
      </c>
      <c r="C3460" s="6" t="n">
        <v>3</v>
      </c>
      <c r="D3460" s="6" t="n">
        <v>35</v>
      </c>
      <c r="E3460" s="6" t="n">
        <v>1</v>
      </c>
      <c r="F3460" s="6" t="s">
        <v>129</v>
      </c>
      <c r="G3460" s="28" t="str">
        <f aca="false">IFERROR(INDEX('Semrush Data'!$A$1:$Z$20000,MATCH(A3460,'Semrush Data'!$A$1:$A$20000,0),MATCH("Volume",'Semrush Data'!$A$1:$Z$1,0)),"")</f>
        <v/>
      </c>
      <c r="H3460" s="6" t="str">
        <f aca="false">IFERROR(INDEX('Semrush Data'!$A$1:$Z$20000,MATCH(A3460,'Semrush Data'!$A$1:$A$20000,0),MATCH("Keyword Difficulty*",'Semrush Data'!$A$1:$Z$1,0)),"")</f>
        <v/>
      </c>
      <c r="I3460" s="29" t="str">
        <f aca="false">IFERROR(INDEX('Semrush Data'!$A$1:$Z$20000,MATCH(A3460,'Semrush Data'!$A$1:$A$20000,0),MATCH("CPC*",'Semrush Data'!$A$1:$Z$1,0)),"")</f>
        <v/>
      </c>
      <c r="J3460" s="6" t="str">
        <f aca="false">IFERROR(INDEX('Semrush Data'!$A$1:$Z$20000,MATCH(A3460,'Semrush Data'!$A$1:$A$20000,0),MATCH("Intent",'Semrush Data'!$A$1:$Z$1,0)),"")</f>
        <v/>
      </c>
    </row>
    <row r="3461" customFormat="false" ht="15" hidden="false" customHeight="true" outlineLevel="0" collapsed="false">
      <c r="A3461" s="6" t="s">
        <v>4046</v>
      </c>
      <c r="B3461" s="6" t="s">
        <v>249</v>
      </c>
      <c r="C3461" s="6" t="n">
        <v>3</v>
      </c>
      <c r="D3461" s="6" t="n">
        <v>35</v>
      </c>
      <c r="E3461" s="6" t="n">
        <v>1</v>
      </c>
      <c r="F3461" s="6" t="s">
        <v>4040</v>
      </c>
      <c r="G3461" s="28" t="str">
        <f aca="false">IFERROR(INDEX('Semrush Data'!$A$1:$Z$20000,MATCH(A3461,'Semrush Data'!$A$1:$A$20000,0),MATCH("Volume",'Semrush Data'!$A$1:$Z$1,0)),"")</f>
        <v/>
      </c>
      <c r="H3461" s="6" t="str">
        <f aca="false">IFERROR(INDEX('Semrush Data'!$A$1:$Z$20000,MATCH(A3461,'Semrush Data'!$A$1:$A$20000,0),MATCH("Keyword Difficulty*",'Semrush Data'!$A$1:$Z$1,0)),"")</f>
        <v/>
      </c>
      <c r="I3461" s="29" t="str">
        <f aca="false">IFERROR(INDEX('Semrush Data'!$A$1:$Z$20000,MATCH(A3461,'Semrush Data'!$A$1:$A$20000,0),MATCH("CPC*",'Semrush Data'!$A$1:$Z$1,0)),"")</f>
        <v/>
      </c>
      <c r="J3461" s="6" t="str">
        <f aca="false">IFERROR(INDEX('Semrush Data'!$A$1:$Z$20000,MATCH(A3461,'Semrush Data'!$A$1:$A$20000,0),MATCH("Intent",'Semrush Data'!$A$1:$Z$1,0)),"")</f>
        <v/>
      </c>
    </row>
    <row r="3462" customFormat="false" ht="15" hidden="false" customHeight="true" outlineLevel="0" collapsed="false">
      <c r="A3462" s="6" t="s">
        <v>4059</v>
      </c>
      <c r="B3462" s="6" t="s">
        <v>249</v>
      </c>
      <c r="C3462" s="6" t="n">
        <v>3</v>
      </c>
      <c r="D3462" s="6" t="n">
        <v>35</v>
      </c>
      <c r="E3462" s="6" t="n">
        <v>1</v>
      </c>
      <c r="F3462" s="6" t="s">
        <v>4053</v>
      </c>
      <c r="G3462" s="28" t="str">
        <f aca="false">IFERROR(INDEX('Semrush Data'!$A$1:$Z$20000,MATCH(A3462,'Semrush Data'!$A$1:$A$20000,0),MATCH("Volume",'Semrush Data'!$A$1:$Z$1,0)),"")</f>
        <v/>
      </c>
      <c r="H3462" s="6" t="str">
        <f aca="false">IFERROR(INDEX('Semrush Data'!$A$1:$Z$20000,MATCH(A3462,'Semrush Data'!$A$1:$A$20000,0),MATCH("Keyword Difficulty*",'Semrush Data'!$A$1:$Z$1,0)),"")</f>
        <v/>
      </c>
      <c r="I3462" s="29" t="str">
        <f aca="false">IFERROR(INDEX('Semrush Data'!$A$1:$Z$20000,MATCH(A3462,'Semrush Data'!$A$1:$A$20000,0),MATCH("CPC*",'Semrush Data'!$A$1:$Z$1,0)),"")</f>
        <v/>
      </c>
      <c r="J3462" s="6" t="str">
        <f aca="false">IFERROR(INDEX('Semrush Data'!$A$1:$Z$20000,MATCH(A3462,'Semrush Data'!$A$1:$A$20000,0),MATCH("Intent",'Semrush Data'!$A$1:$Z$1,0)),"")</f>
        <v/>
      </c>
    </row>
    <row r="3463" customFormat="false" ht="15" hidden="false" customHeight="true" outlineLevel="0" collapsed="false">
      <c r="A3463" s="6" t="s">
        <v>4072</v>
      </c>
      <c r="B3463" s="6" t="s">
        <v>249</v>
      </c>
      <c r="C3463" s="6" t="n">
        <v>3</v>
      </c>
      <c r="D3463" s="6" t="n">
        <v>35</v>
      </c>
      <c r="E3463" s="6" t="n">
        <v>1</v>
      </c>
      <c r="F3463" s="6" t="s">
        <v>4066</v>
      </c>
      <c r="G3463" s="28" t="str">
        <f aca="false">IFERROR(INDEX('Semrush Data'!$A$1:$Z$20000,MATCH(A3463,'Semrush Data'!$A$1:$A$20000,0),MATCH("Volume",'Semrush Data'!$A$1:$Z$1,0)),"")</f>
        <v/>
      </c>
      <c r="H3463" s="6" t="str">
        <f aca="false">IFERROR(INDEX('Semrush Data'!$A$1:$Z$20000,MATCH(A3463,'Semrush Data'!$A$1:$A$20000,0),MATCH("Keyword Difficulty*",'Semrush Data'!$A$1:$Z$1,0)),"")</f>
        <v/>
      </c>
      <c r="I3463" s="29" t="str">
        <f aca="false">IFERROR(INDEX('Semrush Data'!$A$1:$Z$20000,MATCH(A3463,'Semrush Data'!$A$1:$A$20000,0),MATCH("CPC*",'Semrush Data'!$A$1:$Z$1,0)),"")</f>
        <v/>
      </c>
      <c r="J3463" s="6" t="str">
        <f aca="false">IFERROR(INDEX('Semrush Data'!$A$1:$Z$20000,MATCH(A3463,'Semrush Data'!$A$1:$A$20000,0),MATCH("Intent",'Semrush Data'!$A$1:$Z$1,0)),"")</f>
        <v/>
      </c>
    </row>
    <row r="3464" customFormat="false" ht="15" hidden="false" customHeight="true" outlineLevel="0" collapsed="false">
      <c r="A3464" s="6" t="s">
        <v>4084</v>
      </c>
      <c r="B3464" s="6" t="s">
        <v>249</v>
      </c>
      <c r="C3464" s="6" t="n">
        <v>3</v>
      </c>
      <c r="D3464" s="6" t="n">
        <v>35</v>
      </c>
      <c r="E3464" s="6" t="n">
        <v>1</v>
      </c>
      <c r="F3464" s="6" t="s">
        <v>4079</v>
      </c>
      <c r="G3464" s="28" t="str">
        <f aca="false">IFERROR(INDEX('Semrush Data'!$A$1:$Z$20000,MATCH(A3464,'Semrush Data'!$A$1:$A$20000,0),MATCH("Volume",'Semrush Data'!$A$1:$Z$1,0)),"")</f>
        <v/>
      </c>
      <c r="H3464" s="6" t="str">
        <f aca="false">IFERROR(INDEX('Semrush Data'!$A$1:$Z$20000,MATCH(A3464,'Semrush Data'!$A$1:$A$20000,0),MATCH("Keyword Difficulty*",'Semrush Data'!$A$1:$Z$1,0)),"")</f>
        <v/>
      </c>
      <c r="I3464" s="29" t="str">
        <f aca="false">IFERROR(INDEX('Semrush Data'!$A$1:$Z$20000,MATCH(A3464,'Semrush Data'!$A$1:$A$20000,0),MATCH("CPC*",'Semrush Data'!$A$1:$Z$1,0)),"")</f>
        <v/>
      </c>
      <c r="J3464" s="6" t="str">
        <f aca="false">IFERROR(INDEX('Semrush Data'!$A$1:$Z$20000,MATCH(A3464,'Semrush Data'!$A$1:$A$20000,0),MATCH("Intent",'Semrush Data'!$A$1:$Z$1,0)),"")</f>
        <v/>
      </c>
    </row>
    <row r="3465" customFormat="false" ht="15" hidden="false" customHeight="true" outlineLevel="0" collapsed="false">
      <c r="A3465" s="6" t="s">
        <v>4096</v>
      </c>
      <c r="B3465" s="6" t="s">
        <v>249</v>
      </c>
      <c r="C3465" s="6" t="n">
        <v>3</v>
      </c>
      <c r="D3465" s="6" t="n">
        <v>35</v>
      </c>
      <c r="E3465" s="6" t="n">
        <v>1</v>
      </c>
      <c r="F3465" s="6" t="s">
        <v>4090</v>
      </c>
      <c r="G3465" s="28" t="str">
        <f aca="false">IFERROR(INDEX('Semrush Data'!$A$1:$Z$20000,MATCH(A3465,'Semrush Data'!$A$1:$A$20000,0),MATCH("Volume",'Semrush Data'!$A$1:$Z$1,0)),"")</f>
        <v/>
      </c>
      <c r="H3465" s="6" t="str">
        <f aca="false">IFERROR(INDEX('Semrush Data'!$A$1:$Z$20000,MATCH(A3465,'Semrush Data'!$A$1:$A$20000,0),MATCH("Keyword Difficulty*",'Semrush Data'!$A$1:$Z$1,0)),"")</f>
        <v/>
      </c>
      <c r="I3465" s="29" t="str">
        <f aca="false">IFERROR(INDEX('Semrush Data'!$A$1:$Z$20000,MATCH(A3465,'Semrush Data'!$A$1:$A$20000,0),MATCH("CPC*",'Semrush Data'!$A$1:$Z$1,0)),"")</f>
        <v/>
      </c>
      <c r="J3465" s="6" t="str">
        <f aca="false">IFERROR(INDEX('Semrush Data'!$A$1:$Z$20000,MATCH(A3465,'Semrush Data'!$A$1:$A$20000,0),MATCH("Intent",'Semrush Data'!$A$1:$Z$1,0)),"")</f>
        <v/>
      </c>
    </row>
    <row r="3466" customFormat="false" ht="15" hidden="false" customHeight="true" outlineLevel="0" collapsed="false">
      <c r="A3466" s="6" t="s">
        <v>4108</v>
      </c>
      <c r="B3466" s="6" t="s">
        <v>249</v>
      </c>
      <c r="C3466" s="6" t="n">
        <v>3</v>
      </c>
      <c r="D3466" s="6" t="n">
        <v>35</v>
      </c>
      <c r="E3466" s="6" t="n">
        <v>1</v>
      </c>
      <c r="F3466" s="6" t="s">
        <v>4103</v>
      </c>
      <c r="G3466" s="28" t="str">
        <f aca="false">IFERROR(INDEX('Semrush Data'!$A$1:$Z$20000,MATCH(A3466,'Semrush Data'!$A$1:$A$20000,0),MATCH("Volume",'Semrush Data'!$A$1:$Z$1,0)),"")</f>
        <v/>
      </c>
      <c r="H3466" s="6" t="str">
        <f aca="false">IFERROR(INDEX('Semrush Data'!$A$1:$Z$20000,MATCH(A3466,'Semrush Data'!$A$1:$A$20000,0),MATCH("Keyword Difficulty*",'Semrush Data'!$A$1:$Z$1,0)),"")</f>
        <v/>
      </c>
      <c r="I3466" s="29" t="str">
        <f aca="false">IFERROR(INDEX('Semrush Data'!$A$1:$Z$20000,MATCH(A3466,'Semrush Data'!$A$1:$A$20000,0),MATCH("CPC*",'Semrush Data'!$A$1:$Z$1,0)),"")</f>
        <v/>
      </c>
      <c r="J3466" s="6" t="str">
        <f aca="false">IFERROR(INDEX('Semrush Data'!$A$1:$Z$20000,MATCH(A3466,'Semrush Data'!$A$1:$A$20000,0),MATCH("Intent",'Semrush Data'!$A$1:$Z$1,0)),"")</f>
        <v/>
      </c>
    </row>
    <row r="3467" customFormat="false" ht="15" hidden="false" customHeight="true" outlineLevel="0" collapsed="false">
      <c r="A3467" s="6" t="s">
        <v>4119</v>
      </c>
      <c r="B3467" s="6" t="s">
        <v>249</v>
      </c>
      <c r="C3467" s="6" t="n">
        <v>3</v>
      </c>
      <c r="D3467" s="6" t="n">
        <v>35</v>
      </c>
      <c r="E3467" s="6" t="n">
        <v>1</v>
      </c>
      <c r="F3467" s="6" t="s">
        <v>4114</v>
      </c>
      <c r="G3467" s="28" t="str">
        <f aca="false">IFERROR(INDEX('Semrush Data'!$A$1:$Z$20000,MATCH(A3467,'Semrush Data'!$A$1:$A$20000,0),MATCH("Volume",'Semrush Data'!$A$1:$Z$1,0)),"")</f>
        <v/>
      </c>
      <c r="H3467" s="6" t="str">
        <f aca="false">IFERROR(INDEX('Semrush Data'!$A$1:$Z$20000,MATCH(A3467,'Semrush Data'!$A$1:$A$20000,0),MATCH("Keyword Difficulty*",'Semrush Data'!$A$1:$Z$1,0)),"")</f>
        <v/>
      </c>
      <c r="I3467" s="29" t="str">
        <f aca="false">IFERROR(INDEX('Semrush Data'!$A$1:$Z$20000,MATCH(A3467,'Semrush Data'!$A$1:$A$20000,0),MATCH("CPC*",'Semrush Data'!$A$1:$Z$1,0)),"")</f>
        <v/>
      </c>
      <c r="J3467" s="6" t="str">
        <f aca="false">IFERROR(INDEX('Semrush Data'!$A$1:$Z$20000,MATCH(A3467,'Semrush Data'!$A$1:$A$20000,0),MATCH("Intent",'Semrush Data'!$A$1:$Z$1,0)),"")</f>
        <v/>
      </c>
    </row>
    <row r="3468" customFormat="false" ht="15" hidden="false" customHeight="true" outlineLevel="0" collapsed="false">
      <c r="A3468" s="6" t="s">
        <v>4130</v>
      </c>
      <c r="B3468" s="6" t="s">
        <v>249</v>
      </c>
      <c r="C3468" s="6" t="n">
        <v>3</v>
      </c>
      <c r="D3468" s="6" t="n">
        <v>35</v>
      </c>
      <c r="E3468" s="6" t="n">
        <v>1</v>
      </c>
      <c r="F3468" s="6" t="s">
        <v>4125</v>
      </c>
      <c r="G3468" s="28" t="str">
        <f aca="false">IFERROR(INDEX('Semrush Data'!$A$1:$Z$20000,MATCH(A3468,'Semrush Data'!$A$1:$A$20000,0),MATCH("Volume",'Semrush Data'!$A$1:$Z$1,0)),"")</f>
        <v/>
      </c>
      <c r="H3468" s="6" t="str">
        <f aca="false">IFERROR(INDEX('Semrush Data'!$A$1:$Z$20000,MATCH(A3468,'Semrush Data'!$A$1:$A$20000,0),MATCH("Keyword Difficulty*",'Semrush Data'!$A$1:$Z$1,0)),"")</f>
        <v/>
      </c>
      <c r="I3468" s="29" t="str">
        <f aca="false">IFERROR(INDEX('Semrush Data'!$A$1:$Z$20000,MATCH(A3468,'Semrush Data'!$A$1:$A$20000,0),MATCH("CPC*",'Semrush Data'!$A$1:$Z$1,0)),"")</f>
        <v/>
      </c>
      <c r="J3468" s="6" t="str">
        <f aca="false">IFERROR(INDEX('Semrush Data'!$A$1:$Z$20000,MATCH(A3468,'Semrush Data'!$A$1:$A$20000,0),MATCH("Intent",'Semrush Data'!$A$1:$Z$1,0)),"")</f>
        <v/>
      </c>
    </row>
    <row r="3469" customFormat="false" ht="15" hidden="false" customHeight="true" outlineLevel="0" collapsed="false">
      <c r="A3469" s="6" t="s">
        <v>4142</v>
      </c>
      <c r="B3469" s="6" t="s">
        <v>249</v>
      </c>
      <c r="C3469" s="6" t="n">
        <v>3</v>
      </c>
      <c r="D3469" s="6" t="n">
        <v>35</v>
      </c>
      <c r="E3469" s="6" t="n">
        <v>1</v>
      </c>
      <c r="F3469" s="6" t="s">
        <v>4137</v>
      </c>
      <c r="G3469" s="28" t="str">
        <f aca="false">IFERROR(INDEX('Semrush Data'!$A$1:$Z$20000,MATCH(A3469,'Semrush Data'!$A$1:$A$20000,0),MATCH("Volume",'Semrush Data'!$A$1:$Z$1,0)),"")</f>
        <v/>
      </c>
      <c r="H3469" s="6" t="str">
        <f aca="false">IFERROR(INDEX('Semrush Data'!$A$1:$Z$20000,MATCH(A3469,'Semrush Data'!$A$1:$A$20000,0),MATCH("Keyword Difficulty*",'Semrush Data'!$A$1:$Z$1,0)),"")</f>
        <v/>
      </c>
      <c r="I3469" s="29" t="str">
        <f aca="false">IFERROR(INDEX('Semrush Data'!$A$1:$Z$20000,MATCH(A3469,'Semrush Data'!$A$1:$A$20000,0),MATCH("CPC*",'Semrush Data'!$A$1:$Z$1,0)),"")</f>
        <v/>
      </c>
      <c r="J3469" s="6" t="str">
        <f aca="false">IFERROR(INDEX('Semrush Data'!$A$1:$Z$20000,MATCH(A3469,'Semrush Data'!$A$1:$A$20000,0),MATCH("Intent",'Semrush Data'!$A$1:$Z$1,0)),"")</f>
        <v/>
      </c>
    </row>
    <row r="3470" customFormat="false" ht="15" hidden="false" customHeight="true" outlineLevel="0" collapsed="false">
      <c r="A3470" s="6" t="s">
        <v>4154</v>
      </c>
      <c r="B3470" s="6" t="s">
        <v>249</v>
      </c>
      <c r="C3470" s="6" t="n">
        <v>3</v>
      </c>
      <c r="D3470" s="6" t="n">
        <v>35</v>
      </c>
      <c r="E3470" s="6" t="n">
        <v>1</v>
      </c>
      <c r="F3470" s="6" t="s">
        <v>4149</v>
      </c>
      <c r="G3470" s="28" t="str">
        <f aca="false">IFERROR(INDEX('Semrush Data'!$A$1:$Z$20000,MATCH(A3470,'Semrush Data'!$A$1:$A$20000,0),MATCH("Volume",'Semrush Data'!$A$1:$Z$1,0)),"")</f>
        <v/>
      </c>
      <c r="H3470" s="6" t="str">
        <f aca="false">IFERROR(INDEX('Semrush Data'!$A$1:$Z$20000,MATCH(A3470,'Semrush Data'!$A$1:$A$20000,0),MATCH("Keyword Difficulty*",'Semrush Data'!$A$1:$Z$1,0)),"")</f>
        <v/>
      </c>
      <c r="I3470" s="29" t="str">
        <f aca="false">IFERROR(INDEX('Semrush Data'!$A$1:$Z$20000,MATCH(A3470,'Semrush Data'!$A$1:$A$20000,0),MATCH("CPC*",'Semrush Data'!$A$1:$Z$1,0)),"")</f>
        <v/>
      </c>
      <c r="J3470" s="6" t="str">
        <f aca="false">IFERROR(INDEX('Semrush Data'!$A$1:$Z$20000,MATCH(A3470,'Semrush Data'!$A$1:$A$20000,0),MATCH("Intent",'Semrush Data'!$A$1:$Z$1,0)),"")</f>
        <v/>
      </c>
    </row>
    <row r="3471" customFormat="false" ht="15" hidden="false" customHeight="true" outlineLevel="0" collapsed="false">
      <c r="A3471" s="6" t="s">
        <v>4165</v>
      </c>
      <c r="B3471" s="6" t="s">
        <v>249</v>
      </c>
      <c r="C3471" s="6" t="n">
        <v>3</v>
      </c>
      <c r="D3471" s="6" t="n">
        <v>35</v>
      </c>
      <c r="E3471" s="6" t="n">
        <v>1</v>
      </c>
      <c r="F3471" s="6" t="s">
        <v>4160</v>
      </c>
      <c r="G3471" s="28" t="str">
        <f aca="false">IFERROR(INDEX('Semrush Data'!$A$1:$Z$20000,MATCH(A3471,'Semrush Data'!$A$1:$A$20000,0),MATCH("Volume",'Semrush Data'!$A$1:$Z$1,0)),"")</f>
        <v/>
      </c>
      <c r="H3471" s="6" t="str">
        <f aca="false">IFERROR(INDEX('Semrush Data'!$A$1:$Z$20000,MATCH(A3471,'Semrush Data'!$A$1:$A$20000,0),MATCH("Keyword Difficulty*",'Semrush Data'!$A$1:$Z$1,0)),"")</f>
        <v/>
      </c>
      <c r="I3471" s="29" t="str">
        <f aca="false">IFERROR(INDEX('Semrush Data'!$A$1:$Z$20000,MATCH(A3471,'Semrush Data'!$A$1:$A$20000,0),MATCH("CPC*",'Semrush Data'!$A$1:$Z$1,0)),"")</f>
        <v/>
      </c>
      <c r="J3471" s="6" t="str">
        <f aca="false">IFERROR(INDEX('Semrush Data'!$A$1:$Z$20000,MATCH(A3471,'Semrush Data'!$A$1:$A$20000,0),MATCH("Intent",'Semrush Data'!$A$1:$Z$1,0)),"")</f>
        <v/>
      </c>
    </row>
    <row r="3472" customFormat="false" ht="15" hidden="false" customHeight="true" outlineLevel="0" collapsed="false">
      <c r="A3472" s="6" t="s">
        <v>4175</v>
      </c>
      <c r="B3472" s="6" t="s">
        <v>249</v>
      </c>
      <c r="C3472" s="6" t="n">
        <v>3</v>
      </c>
      <c r="D3472" s="6" t="n">
        <v>35</v>
      </c>
      <c r="E3472" s="6" t="n">
        <v>1</v>
      </c>
      <c r="F3472" s="6" t="s">
        <v>4170</v>
      </c>
      <c r="G3472" s="28" t="str">
        <f aca="false">IFERROR(INDEX('Semrush Data'!$A$1:$Z$20000,MATCH(A3472,'Semrush Data'!$A$1:$A$20000,0),MATCH("Volume",'Semrush Data'!$A$1:$Z$1,0)),"")</f>
        <v/>
      </c>
      <c r="H3472" s="6" t="str">
        <f aca="false">IFERROR(INDEX('Semrush Data'!$A$1:$Z$20000,MATCH(A3472,'Semrush Data'!$A$1:$A$20000,0),MATCH("Keyword Difficulty*",'Semrush Data'!$A$1:$Z$1,0)),"")</f>
        <v/>
      </c>
      <c r="I3472" s="29" t="str">
        <f aca="false">IFERROR(INDEX('Semrush Data'!$A$1:$Z$20000,MATCH(A3472,'Semrush Data'!$A$1:$A$20000,0),MATCH("CPC*",'Semrush Data'!$A$1:$Z$1,0)),"")</f>
        <v/>
      </c>
      <c r="J3472" s="6" t="str">
        <f aca="false">IFERROR(INDEX('Semrush Data'!$A$1:$Z$20000,MATCH(A3472,'Semrush Data'!$A$1:$A$20000,0),MATCH("Intent",'Semrush Data'!$A$1:$Z$1,0)),"")</f>
        <v/>
      </c>
    </row>
    <row r="3473" customFormat="false" ht="15" hidden="false" customHeight="true" outlineLevel="0" collapsed="false">
      <c r="A3473" s="6" t="s">
        <v>4185</v>
      </c>
      <c r="B3473" s="6" t="s">
        <v>249</v>
      </c>
      <c r="C3473" s="6" t="n">
        <v>3</v>
      </c>
      <c r="D3473" s="6" t="n">
        <v>35</v>
      </c>
      <c r="E3473" s="6" t="n">
        <v>1</v>
      </c>
      <c r="F3473" s="6" t="s">
        <v>4180</v>
      </c>
      <c r="G3473" s="28" t="str">
        <f aca="false">IFERROR(INDEX('Semrush Data'!$A$1:$Z$20000,MATCH(A3473,'Semrush Data'!$A$1:$A$20000,0),MATCH("Volume",'Semrush Data'!$A$1:$Z$1,0)),"")</f>
        <v/>
      </c>
      <c r="H3473" s="6" t="str">
        <f aca="false">IFERROR(INDEX('Semrush Data'!$A$1:$Z$20000,MATCH(A3473,'Semrush Data'!$A$1:$A$20000,0),MATCH("Keyword Difficulty*",'Semrush Data'!$A$1:$Z$1,0)),"")</f>
        <v/>
      </c>
      <c r="I3473" s="29" t="str">
        <f aca="false">IFERROR(INDEX('Semrush Data'!$A$1:$Z$20000,MATCH(A3473,'Semrush Data'!$A$1:$A$20000,0),MATCH("CPC*",'Semrush Data'!$A$1:$Z$1,0)),"")</f>
        <v/>
      </c>
      <c r="J3473" s="6" t="str">
        <f aca="false">IFERROR(INDEX('Semrush Data'!$A$1:$Z$20000,MATCH(A3473,'Semrush Data'!$A$1:$A$20000,0),MATCH("Intent",'Semrush Data'!$A$1:$Z$1,0)),"")</f>
        <v/>
      </c>
    </row>
    <row r="3474" customFormat="false" ht="15" hidden="false" customHeight="true" outlineLevel="0" collapsed="false">
      <c r="A3474" s="6" t="s">
        <v>4196</v>
      </c>
      <c r="B3474" s="6" t="s">
        <v>249</v>
      </c>
      <c r="C3474" s="6" t="n">
        <v>3</v>
      </c>
      <c r="D3474" s="6" t="n">
        <v>35</v>
      </c>
      <c r="E3474" s="6" t="n">
        <v>1</v>
      </c>
      <c r="F3474" s="6" t="s">
        <v>4191</v>
      </c>
      <c r="G3474" s="28" t="str">
        <f aca="false">IFERROR(INDEX('Semrush Data'!$A$1:$Z$20000,MATCH(A3474,'Semrush Data'!$A$1:$A$20000,0),MATCH("Volume",'Semrush Data'!$A$1:$Z$1,0)),"")</f>
        <v/>
      </c>
      <c r="H3474" s="6" t="str">
        <f aca="false">IFERROR(INDEX('Semrush Data'!$A$1:$Z$20000,MATCH(A3474,'Semrush Data'!$A$1:$A$20000,0),MATCH("Keyword Difficulty*",'Semrush Data'!$A$1:$Z$1,0)),"")</f>
        <v/>
      </c>
      <c r="I3474" s="29" t="str">
        <f aca="false">IFERROR(INDEX('Semrush Data'!$A$1:$Z$20000,MATCH(A3474,'Semrush Data'!$A$1:$A$20000,0),MATCH("CPC*",'Semrush Data'!$A$1:$Z$1,0)),"")</f>
        <v/>
      </c>
      <c r="J3474" s="6" t="str">
        <f aca="false">IFERROR(INDEX('Semrush Data'!$A$1:$Z$20000,MATCH(A3474,'Semrush Data'!$A$1:$A$20000,0),MATCH("Intent",'Semrush Data'!$A$1:$Z$1,0)),"")</f>
        <v/>
      </c>
    </row>
    <row r="3475" customFormat="false" ht="15" hidden="false" customHeight="true" outlineLevel="0" collapsed="false">
      <c r="A3475" s="6" t="s">
        <v>4207</v>
      </c>
      <c r="B3475" s="6" t="s">
        <v>249</v>
      </c>
      <c r="C3475" s="6" t="n">
        <v>3</v>
      </c>
      <c r="D3475" s="6" t="n">
        <v>35</v>
      </c>
      <c r="E3475" s="6" t="n">
        <v>1</v>
      </c>
      <c r="F3475" s="6" t="s">
        <v>4202</v>
      </c>
      <c r="G3475" s="28" t="str">
        <f aca="false">IFERROR(INDEX('Semrush Data'!$A$1:$Z$20000,MATCH(A3475,'Semrush Data'!$A$1:$A$20000,0),MATCH("Volume",'Semrush Data'!$A$1:$Z$1,0)),"")</f>
        <v/>
      </c>
      <c r="H3475" s="6" t="str">
        <f aca="false">IFERROR(INDEX('Semrush Data'!$A$1:$Z$20000,MATCH(A3475,'Semrush Data'!$A$1:$A$20000,0),MATCH("Keyword Difficulty*",'Semrush Data'!$A$1:$Z$1,0)),"")</f>
        <v/>
      </c>
      <c r="I3475" s="29" t="str">
        <f aca="false">IFERROR(INDEX('Semrush Data'!$A$1:$Z$20000,MATCH(A3475,'Semrush Data'!$A$1:$A$20000,0),MATCH("CPC*",'Semrush Data'!$A$1:$Z$1,0)),"")</f>
        <v/>
      </c>
      <c r="J3475" s="6" t="str">
        <f aca="false">IFERROR(INDEX('Semrush Data'!$A$1:$Z$20000,MATCH(A3475,'Semrush Data'!$A$1:$A$20000,0),MATCH("Intent",'Semrush Data'!$A$1:$Z$1,0)),"")</f>
        <v/>
      </c>
    </row>
    <row r="3476" customFormat="false" ht="15" hidden="false" customHeight="true" outlineLevel="0" collapsed="false">
      <c r="A3476" s="6" t="s">
        <v>4217</v>
      </c>
      <c r="B3476" s="6" t="s">
        <v>249</v>
      </c>
      <c r="C3476" s="6" t="n">
        <v>3</v>
      </c>
      <c r="D3476" s="6" t="n">
        <v>35</v>
      </c>
      <c r="E3476" s="6" t="n">
        <v>1</v>
      </c>
      <c r="F3476" s="6" t="s">
        <v>4212</v>
      </c>
      <c r="G3476" s="28" t="str">
        <f aca="false">IFERROR(INDEX('Semrush Data'!$A$1:$Z$20000,MATCH(A3476,'Semrush Data'!$A$1:$A$20000,0),MATCH("Volume",'Semrush Data'!$A$1:$Z$1,0)),"")</f>
        <v/>
      </c>
      <c r="H3476" s="6" t="str">
        <f aca="false">IFERROR(INDEX('Semrush Data'!$A$1:$Z$20000,MATCH(A3476,'Semrush Data'!$A$1:$A$20000,0),MATCH("Keyword Difficulty*",'Semrush Data'!$A$1:$Z$1,0)),"")</f>
        <v/>
      </c>
      <c r="I3476" s="29" t="str">
        <f aca="false">IFERROR(INDEX('Semrush Data'!$A$1:$Z$20000,MATCH(A3476,'Semrush Data'!$A$1:$A$20000,0),MATCH("CPC*",'Semrush Data'!$A$1:$Z$1,0)),"")</f>
        <v/>
      </c>
      <c r="J3476" s="6" t="str">
        <f aca="false">IFERROR(INDEX('Semrush Data'!$A$1:$Z$20000,MATCH(A3476,'Semrush Data'!$A$1:$A$20000,0),MATCH("Intent",'Semrush Data'!$A$1:$Z$1,0)),"")</f>
        <v/>
      </c>
    </row>
    <row r="3477" customFormat="false" ht="15" hidden="false" customHeight="true" outlineLevel="0" collapsed="false">
      <c r="A3477" s="6" t="s">
        <v>4230</v>
      </c>
      <c r="B3477" s="6" t="s">
        <v>249</v>
      </c>
      <c r="C3477" s="6" t="n">
        <v>3</v>
      </c>
      <c r="D3477" s="6" t="n">
        <v>35</v>
      </c>
      <c r="E3477" s="6" t="n">
        <v>1</v>
      </c>
      <c r="F3477" s="6" t="s">
        <v>4224</v>
      </c>
      <c r="G3477" s="28" t="str">
        <f aca="false">IFERROR(INDEX('Semrush Data'!$A$1:$Z$20000,MATCH(A3477,'Semrush Data'!$A$1:$A$20000,0),MATCH("Volume",'Semrush Data'!$A$1:$Z$1,0)),"")</f>
        <v/>
      </c>
      <c r="H3477" s="6" t="str">
        <f aca="false">IFERROR(INDEX('Semrush Data'!$A$1:$Z$20000,MATCH(A3477,'Semrush Data'!$A$1:$A$20000,0),MATCH("Keyword Difficulty*",'Semrush Data'!$A$1:$Z$1,0)),"")</f>
        <v/>
      </c>
      <c r="I3477" s="29" t="str">
        <f aca="false">IFERROR(INDEX('Semrush Data'!$A$1:$Z$20000,MATCH(A3477,'Semrush Data'!$A$1:$A$20000,0),MATCH("CPC*",'Semrush Data'!$A$1:$Z$1,0)),"")</f>
        <v/>
      </c>
      <c r="J3477" s="6" t="str">
        <f aca="false">IFERROR(INDEX('Semrush Data'!$A$1:$Z$20000,MATCH(A3477,'Semrush Data'!$A$1:$A$20000,0),MATCH("Intent",'Semrush Data'!$A$1:$Z$1,0)),"")</f>
        <v/>
      </c>
    </row>
    <row r="3478" customFormat="false" ht="15" hidden="false" customHeight="true" outlineLevel="0" collapsed="false">
      <c r="A3478" s="6" t="s">
        <v>4243</v>
      </c>
      <c r="B3478" s="6" t="s">
        <v>249</v>
      </c>
      <c r="C3478" s="6" t="n">
        <v>3</v>
      </c>
      <c r="D3478" s="6" t="n">
        <v>35</v>
      </c>
      <c r="E3478" s="6" t="n">
        <v>1</v>
      </c>
      <c r="F3478" s="6" t="s">
        <v>4237</v>
      </c>
      <c r="G3478" s="28" t="str">
        <f aca="false">IFERROR(INDEX('Semrush Data'!$A$1:$Z$20000,MATCH(A3478,'Semrush Data'!$A$1:$A$20000,0),MATCH("Volume",'Semrush Data'!$A$1:$Z$1,0)),"")</f>
        <v/>
      </c>
      <c r="H3478" s="6" t="str">
        <f aca="false">IFERROR(INDEX('Semrush Data'!$A$1:$Z$20000,MATCH(A3478,'Semrush Data'!$A$1:$A$20000,0),MATCH("Keyword Difficulty*",'Semrush Data'!$A$1:$Z$1,0)),"")</f>
        <v/>
      </c>
      <c r="I3478" s="29" t="str">
        <f aca="false">IFERROR(INDEX('Semrush Data'!$A$1:$Z$20000,MATCH(A3478,'Semrush Data'!$A$1:$A$20000,0),MATCH("CPC*",'Semrush Data'!$A$1:$Z$1,0)),"")</f>
        <v/>
      </c>
      <c r="J3478" s="6" t="str">
        <f aca="false">IFERROR(INDEX('Semrush Data'!$A$1:$Z$20000,MATCH(A3478,'Semrush Data'!$A$1:$A$20000,0),MATCH("Intent",'Semrush Data'!$A$1:$Z$1,0)),"")</f>
        <v/>
      </c>
    </row>
    <row r="3479" customFormat="false" ht="15" hidden="false" customHeight="true" outlineLevel="0" collapsed="false">
      <c r="A3479" s="6" t="s">
        <v>4254</v>
      </c>
      <c r="B3479" s="6" t="s">
        <v>249</v>
      </c>
      <c r="C3479" s="6" t="n">
        <v>3</v>
      </c>
      <c r="D3479" s="6" t="n">
        <v>35</v>
      </c>
      <c r="E3479" s="6" t="n">
        <v>1</v>
      </c>
      <c r="F3479" s="6" t="s">
        <v>4249</v>
      </c>
      <c r="G3479" s="28" t="str">
        <f aca="false">IFERROR(INDEX('Semrush Data'!$A$1:$Z$20000,MATCH(A3479,'Semrush Data'!$A$1:$A$20000,0),MATCH("Volume",'Semrush Data'!$A$1:$Z$1,0)),"")</f>
        <v/>
      </c>
      <c r="H3479" s="6" t="str">
        <f aca="false">IFERROR(INDEX('Semrush Data'!$A$1:$Z$20000,MATCH(A3479,'Semrush Data'!$A$1:$A$20000,0),MATCH("Keyword Difficulty*",'Semrush Data'!$A$1:$Z$1,0)),"")</f>
        <v/>
      </c>
      <c r="I3479" s="29" t="str">
        <f aca="false">IFERROR(INDEX('Semrush Data'!$A$1:$Z$20000,MATCH(A3479,'Semrush Data'!$A$1:$A$20000,0),MATCH("CPC*",'Semrush Data'!$A$1:$Z$1,0)),"")</f>
        <v/>
      </c>
      <c r="J3479" s="6" t="str">
        <f aca="false">IFERROR(INDEX('Semrush Data'!$A$1:$Z$20000,MATCH(A3479,'Semrush Data'!$A$1:$A$20000,0),MATCH("Intent",'Semrush Data'!$A$1:$Z$1,0)),"")</f>
        <v/>
      </c>
    </row>
    <row r="3480" customFormat="false" ht="15" hidden="false" customHeight="true" outlineLevel="0" collapsed="false">
      <c r="A3480" s="6" t="s">
        <v>4265</v>
      </c>
      <c r="B3480" s="6" t="s">
        <v>249</v>
      </c>
      <c r="C3480" s="6" t="n">
        <v>3</v>
      </c>
      <c r="D3480" s="6" t="n">
        <v>35</v>
      </c>
      <c r="E3480" s="6" t="n">
        <v>1</v>
      </c>
      <c r="F3480" s="6" t="s">
        <v>4260</v>
      </c>
      <c r="G3480" s="28" t="str">
        <f aca="false">IFERROR(INDEX('Semrush Data'!$A$1:$Z$20000,MATCH(A3480,'Semrush Data'!$A$1:$A$20000,0),MATCH("Volume",'Semrush Data'!$A$1:$Z$1,0)),"")</f>
        <v/>
      </c>
      <c r="H3480" s="6" t="str">
        <f aca="false">IFERROR(INDEX('Semrush Data'!$A$1:$Z$20000,MATCH(A3480,'Semrush Data'!$A$1:$A$20000,0),MATCH("Keyword Difficulty*",'Semrush Data'!$A$1:$Z$1,0)),"")</f>
        <v/>
      </c>
      <c r="I3480" s="29" t="str">
        <f aca="false">IFERROR(INDEX('Semrush Data'!$A$1:$Z$20000,MATCH(A3480,'Semrush Data'!$A$1:$A$20000,0),MATCH("CPC*",'Semrush Data'!$A$1:$Z$1,0)),"")</f>
        <v/>
      </c>
      <c r="J3480" s="6" t="str">
        <f aca="false">IFERROR(INDEX('Semrush Data'!$A$1:$Z$20000,MATCH(A3480,'Semrush Data'!$A$1:$A$20000,0),MATCH("Intent",'Semrush Data'!$A$1:$Z$1,0)),"")</f>
        <v/>
      </c>
    </row>
    <row r="3481" customFormat="false" ht="15" hidden="false" customHeight="true" outlineLevel="0" collapsed="false">
      <c r="A3481" s="6" t="s">
        <v>4277</v>
      </c>
      <c r="B3481" s="6" t="s">
        <v>249</v>
      </c>
      <c r="C3481" s="6" t="n">
        <v>3</v>
      </c>
      <c r="D3481" s="6" t="n">
        <v>35</v>
      </c>
      <c r="E3481" s="6" t="n">
        <v>1</v>
      </c>
      <c r="F3481" s="6" t="s">
        <v>4272</v>
      </c>
      <c r="G3481" s="28" t="str">
        <f aca="false">IFERROR(INDEX('Semrush Data'!$A$1:$Z$20000,MATCH(A3481,'Semrush Data'!$A$1:$A$20000,0),MATCH("Volume",'Semrush Data'!$A$1:$Z$1,0)),"")</f>
        <v/>
      </c>
      <c r="H3481" s="6" t="str">
        <f aca="false">IFERROR(INDEX('Semrush Data'!$A$1:$Z$20000,MATCH(A3481,'Semrush Data'!$A$1:$A$20000,0),MATCH("Keyword Difficulty*",'Semrush Data'!$A$1:$Z$1,0)),"")</f>
        <v/>
      </c>
      <c r="I3481" s="29" t="str">
        <f aca="false">IFERROR(INDEX('Semrush Data'!$A$1:$Z$20000,MATCH(A3481,'Semrush Data'!$A$1:$A$20000,0),MATCH("CPC*",'Semrush Data'!$A$1:$Z$1,0)),"")</f>
        <v/>
      </c>
      <c r="J3481" s="6" t="str">
        <f aca="false">IFERROR(INDEX('Semrush Data'!$A$1:$Z$20000,MATCH(A3481,'Semrush Data'!$A$1:$A$20000,0),MATCH("Intent",'Semrush Data'!$A$1:$Z$1,0)),"")</f>
        <v/>
      </c>
    </row>
    <row r="3482" customFormat="false" ht="15" hidden="false" customHeight="true" outlineLevel="0" collapsed="false">
      <c r="A3482" s="6" t="s">
        <v>4290</v>
      </c>
      <c r="B3482" s="6" t="s">
        <v>249</v>
      </c>
      <c r="C3482" s="6" t="n">
        <v>3</v>
      </c>
      <c r="D3482" s="6" t="n">
        <v>35</v>
      </c>
      <c r="E3482" s="6" t="n">
        <v>1</v>
      </c>
      <c r="F3482" s="6" t="s">
        <v>4283</v>
      </c>
      <c r="G3482" s="28" t="str">
        <f aca="false">IFERROR(INDEX('Semrush Data'!$A$1:$Z$20000,MATCH(A3482,'Semrush Data'!$A$1:$A$20000,0),MATCH("Volume",'Semrush Data'!$A$1:$Z$1,0)),"")</f>
        <v/>
      </c>
      <c r="H3482" s="6" t="str">
        <f aca="false">IFERROR(INDEX('Semrush Data'!$A$1:$Z$20000,MATCH(A3482,'Semrush Data'!$A$1:$A$20000,0),MATCH("Keyword Difficulty*",'Semrush Data'!$A$1:$Z$1,0)),"")</f>
        <v/>
      </c>
      <c r="I3482" s="29" t="str">
        <f aca="false">IFERROR(INDEX('Semrush Data'!$A$1:$Z$20000,MATCH(A3482,'Semrush Data'!$A$1:$A$20000,0),MATCH("CPC*",'Semrush Data'!$A$1:$Z$1,0)),"")</f>
        <v/>
      </c>
      <c r="J3482" s="6" t="str">
        <f aca="false">IFERROR(INDEX('Semrush Data'!$A$1:$Z$20000,MATCH(A3482,'Semrush Data'!$A$1:$A$20000,0),MATCH("Intent",'Semrush Data'!$A$1:$Z$1,0)),"")</f>
        <v/>
      </c>
    </row>
    <row r="3483" customFormat="false" ht="15" hidden="false" customHeight="true" outlineLevel="0" collapsed="false">
      <c r="A3483" s="6" t="s">
        <v>4302</v>
      </c>
      <c r="B3483" s="6" t="s">
        <v>249</v>
      </c>
      <c r="C3483" s="6" t="n">
        <v>3</v>
      </c>
      <c r="D3483" s="6" t="n">
        <v>35</v>
      </c>
      <c r="E3483" s="6" t="n">
        <v>1</v>
      </c>
      <c r="F3483" s="6" t="s">
        <v>4297</v>
      </c>
      <c r="G3483" s="28" t="str">
        <f aca="false">IFERROR(INDEX('Semrush Data'!$A$1:$Z$20000,MATCH(A3483,'Semrush Data'!$A$1:$A$20000,0),MATCH("Volume",'Semrush Data'!$A$1:$Z$1,0)),"")</f>
        <v/>
      </c>
      <c r="H3483" s="6" t="str">
        <f aca="false">IFERROR(INDEX('Semrush Data'!$A$1:$Z$20000,MATCH(A3483,'Semrush Data'!$A$1:$A$20000,0),MATCH("Keyword Difficulty*",'Semrush Data'!$A$1:$Z$1,0)),"")</f>
        <v/>
      </c>
      <c r="I3483" s="29" t="str">
        <f aca="false">IFERROR(INDEX('Semrush Data'!$A$1:$Z$20000,MATCH(A3483,'Semrush Data'!$A$1:$A$20000,0),MATCH("CPC*",'Semrush Data'!$A$1:$Z$1,0)),"")</f>
        <v/>
      </c>
      <c r="J3483" s="6" t="str">
        <f aca="false">IFERROR(INDEX('Semrush Data'!$A$1:$Z$20000,MATCH(A3483,'Semrush Data'!$A$1:$A$20000,0),MATCH("Intent",'Semrush Data'!$A$1:$Z$1,0)),"")</f>
        <v/>
      </c>
    </row>
    <row r="3484" customFormat="false" ht="15" hidden="false" customHeight="true" outlineLevel="0" collapsed="false">
      <c r="A3484" s="6" t="s">
        <v>4314</v>
      </c>
      <c r="B3484" s="6" t="s">
        <v>249</v>
      </c>
      <c r="C3484" s="6" t="n">
        <v>3</v>
      </c>
      <c r="D3484" s="6" t="n">
        <v>35</v>
      </c>
      <c r="E3484" s="6" t="n">
        <v>1</v>
      </c>
      <c r="F3484" s="6" t="s">
        <v>4309</v>
      </c>
      <c r="G3484" s="28" t="str">
        <f aca="false">IFERROR(INDEX('Semrush Data'!$A$1:$Z$20000,MATCH(A3484,'Semrush Data'!$A$1:$A$20000,0),MATCH("Volume",'Semrush Data'!$A$1:$Z$1,0)),"")</f>
        <v/>
      </c>
      <c r="H3484" s="6" t="str">
        <f aca="false">IFERROR(INDEX('Semrush Data'!$A$1:$Z$20000,MATCH(A3484,'Semrush Data'!$A$1:$A$20000,0),MATCH("Keyword Difficulty*",'Semrush Data'!$A$1:$Z$1,0)),"")</f>
        <v/>
      </c>
      <c r="I3484" s="29" t="str">
        <f aca="false">IFERROR(INDEX('Semrush Data'!$A$1:$Z$20000,MATCH(A3484,'Semrush Data'!$A$1:$A$20000,0),MATCH("CPC*",'Semrush Data'!$A$1:$Z$1,0)),"")</f>
        <v/>
      </c>
      <c r="J3484" s="6" t="str">
        <f aca="false">IFERROR(INDEX('Semrush Data'!$A$1:$Z$20000,MATCH(A3484,'Semrush Data'!$A$1:$A$20000,0),MATCH("Intent",'Semrush Data'!$A$1:$Z$1,0)),"")</f>
        <v/>
      </c>
    </row>
    <row r="3485" customFormat="false" ht="15" hidden="false" customHeight="true" outlineLevel="0" collapsed="false">
      <c r="A3485" s="6" t="s">
        <v>4325</v>
      </c>
      <c r="B3485" s="6" t="s">
        <v>249</v>
      </c>
      <c r="C3485" s="6" t="n">
        <v>3</v>
      </c>
      <c r="D3485" s="6" t="n">
        <v>35</v>
      </c>
      <c r="E3485" s="6" t="n">
        <v>1</v>
      </c>
      <c r="F3485" s="6" t="s">
        <v>4320</v>
      </c>
      <c r="G3485" s="28" t="str">
        <f aca="false">IFERROR(INDEX('Semrush Data'!$A$1:$Z$20000,MATCH(A3485,'Semrush Data'!$A$1:$A$20000,0),MATCH("Volume",'Semrush Data'!$A$1:$Z$1,0)),"")</f>
        <v/>
      </c>
      <c r="H3485" s="6" t="str">
        <f aca="false">IFERROR(INDEX('Semrush Data'!$A$1:$Z$20000,MATCH(A3485,'Semrush Data'!$A$1:$A$20000,0),MATCH("Keyword Difficulty*",'Semrush Data'!$A$1:$Z$1,0)),"")</f>
        <v/>
      </c>
      <c r="I3485" s="29" t="str">
        <f aca="false">IFERROR(INDEX('Semrush Data'!$A$1:$Z$20000,MATCH(A3485,'Semrush Data'!$A$1:$A$20000,0),MATCH("CPC*",'Semrush Data'!$A$1:$Z$1,0)),"")</f>
        <v/>
      </c>
      <c r="J3485" s="6" t="str">
        <f aca="false">IFERROR(INDEX('Semrush Data'!$A$1:$Z$20000,MATCH(A3485,'Semrush Data'!$A$1:$A$20000,0),MATCH("Intent",'Semrush Data'!$A$1:$Z$1,0)),"")</f>
        <v/>
      </c>
    </row>
    <row r="3486" customFormat="false" ht="15" hidden="false" customHeight="true" outlineLevel="0" collapsed="false">
      <c r="A3486" s="6" t="s">
        <v>4334</v>
      </c>
      <c r="B3486" s="6" t="s">
        <v>249</v>
      </c>
      <c r="C3486" s="6" t="n">
        <v>3</v>
      </c>
      <c r="D3486" s="6" t="s">
        <v>6870</v>
      </c>
      <c r="E3486" s="6" t="n">
        <v>1</v>
      </c>
      <c r="F3486" s="6" t="s">
        <v>83</v>
      </c>
      <c r="G3486" s="28" t="n">
        <f aca="false">IFERROR(INDEX('Semrush Data'!$A$1:$Z$20000,MATCH(A3486,'Semrush Data'!$A$1:$A$20000,0),MATCH("Volume",'Semrush Data'!$A$1:$Z$1,0)),"")</f>
        <v>20</v>
      </c>
      <c r="H3486" s="6" t="n">
        <f aca="false">IFERROR(INDEX('Semrush Data'!$A$1:$Z$20000,MATCH(A3486,'Semrush Data'!$A$1:$A$20000,0),MATCH("Keyword Difficulty*",'Semrush Data'!$A$1:$Z$1,0)),"")</f>
        <v>18</v>
      </c>
      <c r="I3486" s="29" t="n">
        <f aca="false">IFERROR(INDEX('Semrush Data'!$A$1:$Z$20000,MATCH(A3486,'Semrush Data'!$A$1:$A$20000,0),MATCH("CPC*",'Semrush Data'!$A$1:$Z$1,0)),"")</f>
        <v>0</v>
      </c>
      <c r="J3486" s="6" t="str">
        <f aca="false">IFERROR(INDEX('Semrush Data'!$A$1:$Z$20000,MATCH(A3486,'Semrush Data'!$A$1:$A$20000,0),MATCH("Intent",'Semrush Data'!$A$1:$Z$1,0)),"")</f>
        <v>Transactional</v>
      </c>
    </row>
    <row r="3487" customFormat="false" ht="15" hidden="false" customHeight="true" outlineLevel="0" collapsed="false">
      <c r="A3487" s="6" t="s">
        <v>4346</v>
      </c>
      <c r="B3487" s="6" t="s">
        <v>249</v>
      </c>
      <c r="C3487" s="6" t="n">
        <v>3</v>
      </c>
      <c r="D3487" s="6" t="n">
        <v>35</v>
      </c>
      <c r="E3487" s="6" t="n">
        <v>1</v>
      </c>
      <c r="F3487" s="6" t="s">
        <v>4341</v>
      </c>
      <c r="G3487" s="28" t="str">
        <f aca="false">IFERROR(INDEX('Semrush Data'!$A$1:$Z$20000,MATCH(A3487,'Semrush Data'!$A$1:$A$20000,0),MATCH("Volume",'Semrush Data'!$A$1:$Z$1,0)),"")</f>
        <v/>
      </c>
      <c r="H3487" s="6" t="str">
        <f aca="false">IFERROR(INDEX('Semrush Data'!$A$1:$Z$20000,MATCH(A3487,'Semrush Data'!$A$1:$A$20000,0),MATCH("Keyword Difficulty*",'Semrush Data'!$A$1:$Z$1,0)),"")</f>
        <v/>
      </c>
      <c r="I3487" s="29" t="str">
        <f aca="false">IFERROR(INDEX('Semrush Data'!$A$1:$Z$20000,MATCH(A3487,'Semrush Data'!$A$1:$A$20000,0),MATCH("CPC*",'Semrush Data'!$A$1:$Z$1,0)),"")</f>
        <v/>
      </c>
      <c r="J3487" s="6" t="str">
        <f aca="false">IFERROR(INDEX('Semrush Data'!$A$1:$Z$20000,MATCH(A3487,'Semrush Data'!$A$1:$A$20000,0),MATCH("Intent",'Semrush Data'!$A$1:$Z$1,0)),"")</f>
        <v/>
      </c>
    </row>
    <row r="3488" customFormat="false" ht="15" hidden="false" customHeight="true" outlineLevel="0" collapsed="false">
      <c r="A3488" s="6" t="s">
        <v>4357</v>
      </c>
      <c r="B3488" s="6" t="s">
        <v>249</v>
      </c>
      <c r="C3488" s="6" t="n">
        <v>3</v>
      </c>
      <c r="D3488" s="6" t="n">
        <v>35</v>
      </c>
      <c r="E3488" s="6" t="n">
        <v>1</v>
      </c>
      <c r="F3488" s="6" t="s">
        <v>4352</v>
      </c>
      <c r="G3488" s="28" t="str">
        <f aca="false">IFERROR(INDEX('Semrush Data'!$A$1:$Z$20000,MATCH(A3488,'Semrush Data'!$A$1:$A$20000,0),MATCH("Volume",'Semrush Data'!$A$1:$Z$1,0)),"")</f>
        <v/>
      </c>
      <c r="H3488" s="6" t="str">
        <f aca="false">IFERROR(INDEX('Semrush Data'!$A$1:$Z$20000,MATCH(A3488,'Semrush Data'!$A$1:$A$20000,0),MATCH("Keyword Difficulty*",'Semrush Data'!$A$1:$Z$1,0)),"")</f>
        <v/>
      </c>
      <c r="I3488" s="29" t="str">
        <f aca="false">IFERROR(INDEX('Semrush Data'!$A$1:$Z$20000,MATCH(A3488,'Semrush Data'!$A$1:$A$20000,0),MATCH("CPC*",'Semrush Data'!$A$1:$Z$1,0)),"")</f>
        <v/>
      </c>
      <c r="J3488" s="6" t="str">
        <f aca="false">IFERROR(INDEX('Semrush Data'!$A$1:$Z$20000,MATCH(A3488,'Semrush Data'!$A$1:$A$20000,0),MATCH("Intent",'Semrush Data'!$A$1:$Z$1,0)),"")</f>
        <v/>
      </c>
    </row>
    <row r="3489" customFormat="false" ht="15" hidden="false" customHeight="true" outlineLevel="0" collapsed="false">
      <c r="A3489" s="6" t="s">
        <v>4368</v>
      </c>
      <c r="B3489" s="6" t="s">
        <v>249</v>
      </c>
      <c r="C3489" s="6" t="n">
        <v>3</v>
      </c>
      <c r="D3489" s="6" t="n">
        <v>35</v>
      </c>
      <c r="E3489" s="6" t="n">
        <v>1</v>
      </c>
      <c r="F3489" s="6" t="s">
        <v>4363</v>
      </c>
      <c r="G3489" s="28" t="str">
        <f aca="false">IFERROR(INDEX('Semrush Data'!$A$1:$Z$20000,MATCH(A3489,'Semrush Data'!$A$1:$A$20000,0),MATCH("Volume",'Semrush Data'!$A$1:$Z$1,0)),"")</f>
        <v/>
      </c>
      <c r="H3489" s="6" t="str">
        <f aca="false">IFERROR(INDEX('Semrush Data'!$A$1:$Z$20000,MATCH(A3489,'Semrush Data'!$A$1:$A$20000,0),MATCH("Keyword Difficulty*",'Semrush Data'!$A$1:$Z$1,0)),"")</f>
        <v/>
      </c>
      <c r="I3489" s="29" t="str">
        <f aca="false">IFERROR(INDEX('Semrush Data'!$A$1:$Z$20000,MATCH(A3489,'Semrush Data'!$A$1:$A$20000,0),MATCH("CPC*",'Semrush Data'!$A$1:$Z$1,0)),"")</f>
        <v/>
      </c>
      <c r="J3489" s="6" t="str">
        <f aca="false">IFERROR(INDEX('Semrush Data'!$A$1:$Z$20000,MATCH(A3489,'Semrush Data'!$A$1:$A$20000,0),MATCH("Intent",'Semrush Data'!$A$1:$Z$1,0)),"")</f>
        <v/>
      </c>
    </row>
    <row r="3490" customFormat="false" ht="15" hidden="false" customHeight="true" outlineLevel="0" collapsed="false">
      <c r="A3490" s="6" t="s">
        <v>4379</v>
      </c>
      <c r="B3490" s="6" t="s">
        <v>249</v>
      </c>
      <c r="C3490" s="6" t="n">
        <v>3</v>
      </c>
      <c r="D3490" s="6" t="n">
        <v>35</v>
      </c>
      <c r="E3490" s="6" t="n">
        <v>1</v>
      </c>
      <c r="F3490" s="6" t="s">
        <v>4374</v>
      </c>
      <c r="G3490" s="28" t="str">
        <f aca="false">IFERROR(INDEX('Semrush Data'!$A$1:$Z$20000,MATCH(A3490,'Semrush Data'!$A$1:$A$20000,0),MATCH("Volume",'Semrush Data'!$A$1:$Z$1,0)),"")</f>
        <v/>
      </c>
      <c r="H3490" s="6" t="str">
        <f aca="false">IFERROR(INDEX('Semrush Data'!$A$1:$Z$20000,MATCH(A3490,'Semrush Data'!$A$1:$A$20000,0),MATCH("Keyword Difficulty*",'Semrush Data'!$A$1:$Z$1,0)),"")</f>
        <v/>
      </c>
      <c r="I3490" s="29" t="str">
        <f aca="false">IFERROR(INDEX('Semrush Data'!$A$1:$Z$20000,MATCH(A3490,'Semrush Data'!$A$1:$A$20000,0),MATCH("CPC*",'Semrush Data'!$A$1:$Z$1,0)),"")</f>
        <v/>
      </c>
      <c r="J3490" s="6" t="str">
        <f aca="false">IFERROR(INDEX('Semrush Data'!$A$1:$Z$20000,MATCH(A3490,'Semrush Data'!$A$1:$A$20000,0),MATCH("Intent",'Semrush Data'!$A$1:$Z$1,0)),"")</f>
        <v/>
      </c>
    </row>
    <row r="3491" customFormat="false" ht="15" hidden="false" customHeight="true" outlineLevel="0" collapsed="false">
      <c r="A3491" s="6" t="s">
        <v>4390</v>
      </c>
      <c r="B3491" s="6" t="s">
        <v>249</v>
      </c>
      <c r="C3491" s="6" t="n">
        <v>3</v>
      </c>
      <c r="D3491" s="6" t="n">
        <v>35</v>
      </c>
      <c r="E3491" s="6" t="n">
        <v>1</v>
      </c>
      <c r="F3491" s="6" t="s">
        <v>4385</v>
      </c>
      <c r="G3491" s="28" t="str">
        <f aca="false">IFERROR(INDEX('Semrush Data'!$A$1:$Z$20000,MATCH(A3491,'Semrush Data'!$A$1:$A$20000,0),MATCH("Volume",'Semrush Data'!$A$1:$Z$1,0)),"")</f>
        <v/>
      </c>
      <c r="H3491" s="6" t="str">
        <f aca="false">IFERROR(INDEX('Semrush Data'!$A$1:$Z$20000,MATCH(A3491,'Semrush Data'!$A$1:$A$20000,0),MATCH("Keyword Difficulty*",'Semrush Data'!$A$1:$Z$1,0)),"")</f>
        <v/>
      </c>
      <c r="I3491" s="29" t="str">
        <f aca="false">IFERROR(INDEX('Semrush Data'!$A$1:$Z$20000,MATCH(A3491,'Semrush Data'!$A$1:$A$20000,0),MATCH("CPC*",'Semrush Data'!$A$1:$Z$1,0)),"")</f>
        <v/>
      </c>
      <c r="J3491" s="6" t="str">
        <f aca="false">IFERROR(INDEX('Semrush Data'!$A$1:$Z$20000,MATCH(A3491,'Semrush Data'!$A$1:$A$20000,0),MATCH("Intent",'Semrush Data'!$A$1:$Z$1,0)),"")</f>
        <v/>
      </c>
    </row>
    <row r="3492" customFormat="false" ht="15" hidden="false" customHeight="true" outlineLevel="0" collapsed="false">
      <c r="A3492" s="6" t="s">
        <v>4620</v>
      </c>
      <c r="B3492" s="6" t="s">
        <v>249</v>
      </c>
      <c r="C3492" s="6" t="n">
        <v>3</v>
      </c>
      <c r="D3492" s="6" t="n">
        <v>35</v>
      </c>
      <c r="E3492" s="6" t="n">
        <v>1</v>
      </c>
      <c r="F3492" s="6" t="s">
        <v>4614</v>
      </c>
      <c r="G3492" s="28" t="str">
        <f aca="false">IFERROR(INDEX('Semrush Data'!$A$1:$Z$20000,MATCH(A3492,'Semrush Data'!$A$1:$A$20000,0),MATCH("Volume",'Semrush Data'!$A$1:$Z$1,0)),"")</f>
        <v/>
      </c>
      <c r="H3492" s="6" t="str">
        <f aca="false">IFERROR(INDEX('Semrush Data'!$A$1:$Z$20000,MATCH(A3492,'Semrush Data'!$A$1:$A$20000,0),MATCH("Keyword Difficulty*",'Semrush Data'!$A$1:$Z$1,0)),"")</f>
        <v/>
      </c>
      <c r="I3492" s="29" t="str">
        <f aca="false">IFERROR(INDEX('Semrush Data'!$A$1:$Z$20000,MATCH(A3492,'Semrush Data'!$A$1:$A$20000,0),MATCH("CPC*",'Semrush Data'!$A$1:$Z$1,0)),"")</f>
        <v/>
      </c>
      <c r="J3492" s="6" t="str">
        <f aca="false">IFERROR(INDEX('Semrush Data'!$A$1:$Z$20000,MATCH(A3492,'Semrush Data'!$A$1:$A$20000,0),MATCH("Intent",'Semrush Data'!$A$1:$Z$1,0)),"")</f>
        <v/>
      </c>
    </row>
    <row r="3493" customFormat="false" ht="15" hidden="false" customHeight="true" outlineLevel="0" collapsed="false">
      <c r="A3493" s="6" t="s">
        <v>4402</v>
      </c>
      <c r="B3493" s="6" t="s">
        <v>249</v>
      </c>
      <c r="C3493" s="6" t="n">
        <v>3</v>
      </c>
      <c r="D3493" s="6" t="n">
        <v>35</v>
      </c>
      <c r="E3493" s="6" t="n">
        <v>1</v>
      </c>
      <c r="F3493" s="6" t="s">
        <v>4397</v>
      </c>
      <c r="G3493" s="28" t="str">
        <f aca="false">IFERROR(INDEX('Semrush Data'!$A$1:$Z$20000,MATCH(A3493,'Semrush Data'!$A$1:$A$20000,0),MATCH("Volume",'Semrush Data'!$A$1:$Z$1,0)),"")</f>
        <v/>
      </c>
      <c r="H3493" s="6" t="str">
        <f aca="false">IFERROR(INDEX('Semrush Data'!$A$1:$Z$20000,MATCH(A3493,'Semrush Data'!$A$1:$A$20000,0),MATCH("Keyword Difficulty*",'Semrush Data'!$A$1:$Z$1,0)),"")</f>
        <v/>
      </c>
      <c r="I3493" s="29" t="str">
        <f aca="false">IFERROR(INDEX('Semrush Data'!$A$1:$Z$20000,MATCH(A3493,'Semrush Data'!$A$1:$A$20000,0),MATCH("CPC*",'Semrush Data'!$A$1:$Z$1,0)),"")</f>
        <v/>
      </c>
      <c r="J3493" s="6" t="str">
        <f aca="false">IFERROR(INDEX('Semrush Data'!$A$1:$Z$20000,MATCH(A3493,'Semrush Data'!$A$1:$A$20000,0),MATCH("Intent",'Semrush Data'!$A$1:$Z$1,0)),"")</f>
        <v/>
      </c>
    </row>
    <row r="3494" customFormat="false" ht="15" hidden="false" customHeight="true" outlineLevel="0" collapsed="false">
      <c r="A3494" s="6" t="s">
        <v>4413</v>
      </c>
      <c r="B3494" s="6" t="s">
        <v>249</v>
      </c>
      <c r="C3494" s="6" t="n">
        <v>3</v>
      </c>
      <c r="D3494" s="6" t="n">
        <v>35</v>
      </c>
      <c r="E3494" s="6" t="n">
        <v>1</v>
      </c>
      <c r="F3494" s="6" t="s">
        <v>4408</v>
      </c>
      <c r="G3494" s="28" t="str">
        <f aca="false">IFERROR(INDEX('Semrush Data'!$A$1:$Z$20000,MATCH(A3494,'Semrush Data'!$A$1:$A$20000,0),MATCH("Volume",'Semrush Data'!$A$1:$Z$1,0)),"")</f>
        <v/>
      </c>
      <c r="H3494" s="6" t="str">
        <f aca="false">IFERROR(INDEX('Semrush Data'!$A$1:$Z$20000,MATCH(A3494,'Semrush Data'!$A$1:$A$20000,0),MATCH("Keyword Difficulty*",'Semrush Data'!$A$1:$Z$1,0)),"")</f>
        <v/>
      </c>
      <c r="I3494" s="29" t="str">
        <f aca="false">IFERROR(INDEX('Semrush Data'!$A$1:$Z$20000,MATCH(A3494,'Semrush Data'!$A$1:$A$20000,0),MATCH("CPC*",'Semrush Data'!$A$1:$Z$1,0)),"")</f>
        <v/>
      </c>
      <c r="J3494" s="6" t="str">
        <f aca="false">IFERROR(INDEX('Semrush Data'!$A$1:$Z$20000,MATCH(A3494,'Semrush Data'!$A$1:$A$20000,0),MATCH("Intent",'Semrush Data'!$A$1:$Z$1,0)),"")</f>
        <v/>
      </c>
    </row>
    <row r="3495" customFormat="false" ht="15" hidden="false" customHeight="true" outlineLevel="0" collapsed="false">
      <c r="A3495" s="6" t="s">
        <v>4424</v>
      </c>
      <c r="B3495" s="6" t="s">
        <v>249</v>
      </c>
      <c r="C3495" s="6" t="n">
        <v>3</v>
      </c>
      <c r="D3495" s="6" t="n">
        <v>35</v>
      </c>
      <c r="E3495" s="6" t="n">
        <v>1</v>
      </c>
      <c r="F3495" s="6" t="s">
        <v>4419</v>
      </c>
      <c r="G3495" s="28" t="str">
        <f aca="false">IFERROR(INDEX('Semrush Data'!$A$1:$Z$20000,MATCH(A3495,'Semrush Data'!$A$1:$A$20000,0),MATCH("Volume",'Semrush Data'!$A$1:$Z$1,0)),"")</f>
        <v/>
      </c>
      <c r="H3495" s="6" t="str">
        <f aca="false">IFERROR(INDEX('Semrush Data'!$A$1:$Z$20000,MATCH(A3495,'Semrush Data'!$A$1:$A$20000,0),MATCH("Keyword Difficulty*",'Semrush Data'!$A$1:$Z$1,0)),"")</f>
        <v/>
      </c>
      <c r="I3495" s="29" t="str">
        <f aca="false">IFERROR(INDEX('Semrush Data'!$A$1:$Z$20000,MATCH(A3495,'Semrush Data'!$A$1:$A$20000,0),MATCH("CPC*",'Semrush Data'!$A$1:$Z$1,0)),"")</f>
        <v/>
      </c>
      <c r="J3495" s="6" t="str">
        <f aca="false">IFERROR(INDEX('Semrush Data'!$A$1:$Z$20000,MATCH(A3495,'Semrush Data'!$A$1:$A$20000,0),MATCH("Intent",'Semrush Data'!$A$1:$Z$1,0)),"")</f>
        <v/>
      </c>
    </row>
    <row r="3496" customFormat="false" ht="15" hidden="false" customHeight="true" outlineLevel="0" collapsed="false">
      <c r="A3496" s="6" t="s">
        <v>4433</v>
      </c>
      <c r="B3496" s="6" t="s">
        <v>249</v>
      </c>
      <c r="C3496" s="6" t="n">
        <v>3</v>
      </c>
      <c r="D3496" s="6" t="n">
        <v>35</v>
      </c>
      <c r="E3496" s="6" t="n">
        <v>1</v>
      </c>
      <c r="F3496" s="6" t="s">
        <v>99</v>
      </c>
      <c r="G3496" s="28" t="str">
        <f aca="false">IFERROR(INDEX('Semrush Data'!$A$1:$Z$20000,MATCH(A3496,'Semrush Data'!$A$1:$A$20000,0),MATCH("Volume",'Semrush Data'!$A$1:$Z$1,0)),"")</f>
        <v/>
      </c>
      <c r="H3496" s="6" t="str">
        <f aca="false">IFERROR(INDEX('Semrush Data'!$A$1:$Z$20000,MATCH(A3496,'Semrush Data'!$A$1:$A$20000,0),MATCH("Keyword Difficulty*",'Semrush Data'!$A$1:$Z$1,0)),"")</f>
        <v/>
      </c>
      <c r="I3496" s="29" t="str">
        <f aca="false">IFERROR(INDEX('Semrush Data'!$A$1:$Z$20000,MATCH(A3496,'Semrush Data'!$A$1:$A$20000,0),MATCH("CPC*",'Semrush Data'!$A$1:$Z$1,0)),"")</f>
        <v/>
      </c>
      <c r="J3496" s="6" t="str">
        <f aca="false">IFERROR(INDEX('Semrush Data'!$A$1:$Z$20000,MATCH(A3496,'Semrush Data'!$A$1:$A$20000,0),MATCH("Intent",'Semrush Data'!$A$1:$Z$1,0)),"")</f>
        <v/>
      </c>
    </row>
    <row r="3497" customFormat="false" ht="15" hidden="false" customHeight="true" outlineLevel="0" collapsed="false">
      <c r="A3497" s="6" t="s">
        <v>4444</v>
      </c>
      <c r="B3497" s="6" t="s">
        <v>249</v>
      </c>
      <c r="C3497" s="6" t="n">
        <v>3</v>
      </c>
      <c r="D3497" s="6" t="n">
        <v>35</v>
      </c>
      <c r="E3497" s="6" t="n">
        <v>1</v>
      </c>
      <c r="F3497" s="6" t="s">
        <v>4439</v>
      </c>
      <c r="G3497" s="28" t="str">
        <f aca="false">IFERROR(INDEX('Semrush Data'!$A$1:$Z$20000,MATCH(A3497,'Semrush Data'!$A$1:$A$20000,0),MATCH("Volume",'Semrush Data'!$A$1:$Z$1,0)),"")</f>
        <v/>
      </c>
      <c r="H3497" s="6" t="str">
        <f aca="false">IFERROR(INDEX('Semrush Data'!$A$1:$Z$20000,MATCH(A3497,'Semrush Data'!$A$1:$A$20000,0),MATCH("Keyword Difficulty*",'Semrush Data'!$A$1:$Z$1,0)),"")</f>
        <v/>
      </c>
      <c r="I3497" s="29" t="str">
        <f aca="false">IFERROR(INDEX('Semrush Data'!$A$1:$Z$20000,MATCH(A3497,'Semrush Data'!$A$1:$A$20000,0),MATCH("CPC*",'Semrush Data'!$A$1:$Z$1,0)),"")</f>
        <v/>
      </c>
      <c r="J3497" s="6" t="str">
        <f aca="false">IFERROR(INDEX('Semrush Data'!$A$1:$Z$20000,MATCH(A3497,'Semrush Data'!$A$1:$A$20000,0),MATCH("Intent",'Semrush Data'!$A$1:$Z$1,0)),"")</f>
        <v/>
      </c>
    </row>
    <row r="3498" customFormat="false" ht="15" hidden="false" customHeight="true" outlineLevel="0" collapsed="false">
      <c r="A3498" s="6" t="s">
        <v>4455</v>
      </c>
      <c r="B3498" s="6" t="s">
        <v>249</v>
      </c>
      <c r="C3498" s="6" t="n">
        <v>3</v>
      </c>
      <c r="D3498" s="6" t="n">
        <v>35</v>
      </c>
      <c r="E3498" s="6" t="n">
        <v>1</v>
      </c>
      <c r="F3498" s="6" t="s">
        <v>4450</v>
      </c>
      <c r="G3498" s="28" t="str">
        <f aca="false">IFERROR(INDEX('Semrush Data'!$A$1:$Z$20000,MATCH(A3498,'Semrush Data'!$A$1:$A$20000,0),MATCH("Volume",'Semrush Data'!$A$1:$Z$1,0)),"")</f>
        <v/>
      </c>
      <c r="H3498" s="6" t="str">
        <f aca="false">IFERROR(INDEX('Semrush Data'!$A$1:$Z$20000,MATCH(A3498,'Semrush Data'!$A$1:$A$20000,0),MATCH("Keyword Difficulty*",'Semrush Data'!$A$1:$Z$1,0)),"")</f>
        <v/>
      </c>
      <c r="I3498" s="29" t="str">
        <f aca="false">IFERROR(INDEX('Semrush Data'!$A$1:$Z$20000,MATCH(A3498,'Semrush Data'!$A$1:$A$20000,0),MATCH("CPC*",'Semrush Data'!$A$1:$Z$1,0)),"")</f>
        <v/>
      </c>
      <c r="J3498" s="6" t="str">
        <f aca="false">IFERROR(INDEX('Semrush Data'!$A$1:$Z$20000,MATCH(A3498,'Semrush Data'!$A$1:$A$20000,0),MATCH("Intent",'Semrush Data'!$A$1:$Z$1,0)),"")</f>
        <v/>
      </c>
    </row>
    <row r="3499" customFormat="false" ht="15" hidden="false" customHeight="true" outlineLevel="0" collapsed="false">
      <c r="A3499" s="6" t="s">
        <v>4631</v>
      </c>
      <c r="B3499" s="6" t="s">
        <v>249</v>
      </c>
      <c r="C3499" s="6" t="n">
        <v>3</v>
      </c>
      <c r="D3499" s="6" t="n">
        <v>35</v>
      </c>
      <c r="E3499" s="6" t="n">
        <v>1</v>
      </c>
      <c r="F3499" s="6" t="s">
        <v>4625</v>
      </c>
      <c r="G3499" s="28" t="str">
        <f aca="false">IFERROR(INDEX('Semrush Data'!$A$1:$Z$20000,MATCH(A3499,'Semrush Data'!$A$1:$A$20000,0),MATCH("Volume",'Semrush Data'!$A$1:$Z$1,0)),"")</f>
        <v/>
      </c>
      <c r="H3499" s="6" t="str">
        <f aca="false">IFERROR(INDEX('Semrush Data'!$A$1:$Z$20000,MATCH(A3499,'Semrush Data'!$A$1:$A$20000,0),MATCH("Keyword Difficulty*",'Semrush Data'!$A$1:$Z$1,0)),"")</f>
        <v/>
      </c>
      <c r="I3499" s="29" t="str">
        <f aca="false">IFERROR(INDEX('Semrush Data'!$A$1:$Z$20000,MATCH(A3499,'Semrush Data'!$A$1:$A$20000,0),MATCH("CPC*",'Semrush Data'!$A$1:$Z$1,0)),"")</f>
        <v/>
      </c>
      <c r="J3499" s="6" t="str">
        <f aca="false">IFERROR(INDEX('Semrush Data'!$A$1:$Z$20000,MATCH(A3499,'Semrush Data'!$A$1:$A$20000,0),MATCH("Intent",'Semrush Data'!$A$1:$Z$1,0)),"")</f>
        <v/>
      </c>
    </row>
    <row r="3500" customFormat="false" ht="15" hidden="false" customHeight="true" outlineLevel="0" collapsed="false">
      <c r="A3500" s="6" t="s">
        <v>4643</v>
      </c>
      <c r="B3500" s="6" t="s">
        <v>249</v>
      </c>
      <c r="C3500" s="6" t="n">
        <v>3</v>
      </c>
      <c r="D3500" s="6" t="n">
        <v>35</v>
      </c>
      <c r="E3500" s="6" t="n">
        <v>1</v>
      </c>
      <c r="F3500" s="6" t="s">
        <v>4637</v>
      </c>
      <c r="G3500" s="28" t="str">
        <f aca="false">IFERROR(INDEX('Semrush Data'!$A$1:$Z$20000,MATCH(A3500,'Semrush Data'!$A$1:$A$20000,0),MATCH("Volume",'Semrush Data'!$A$1:$Z$1,0)),"")</f>
        <v/>
      </c>
      <c r="H3500" s="6" t="str">
        <f aca="false">IFERROR(INDEX('Semrush Data'!$A$1:$Z$20000,MATCH(A3500,'Semrush Data'!$A$1:$A$20000,0),MATCH("Keyword Difficulty*",'Semrush Data'!$A$1:$Z$1,0)),"")</f>
        <v/>
      </c>
      <c r="I3500" s="29" t="str">
        <f aca="false">IFERROR(INDEX('Semrush Data'!$A$1:$Z$20000,MATCH(A3500,'Semrush Data'!$A$1:$A$20000,0),MATCH("CPC*",'Semrush Data'!$A$1:$Z$1,0)),"")</f>
        <v/>
      </c>
      <c r="J3500" s="6" t="str">
        <f aca="false">IFERROR(INDEX('Semrush Data'!$A$1:$Z$20000,MATCH(A3500,'Semrush Data'!$A$1:$A$20000,0),MATCH("Intent",'Semrush Data'!$A$1:$Z$1,0)),"")</f>
        <v/>
      </c>
    </row>
    <row r="3501" customFormat="false" ht="15" hidden="false" customHeight="true" outlineLevel="0" collapsed="false">
      <c r="A3501" s="6" t="s">
        <v>4654</v>
      </c>
      <c r="B3501" s="6" t="s">
        <v>249</v>
      </c>
      <c r="C3501" s="6" t="n">
        <v>3</v>
      </c>
      <c r="D3501" s="6" t="n">
        <v>35</v>
      </c>
      <c r="E3501" s="6" t="n">
        <v>1</v>
      </c>
      <c r="F3501" s="6" t="s">
        <v>115</v>
      </c>
      <c r="G3501" s="28" t="str">
        <f aca="false">IFERROR(INDEX('Semrush Data'!$A$1:$Z$20000,MATCH(A3501,'Semrush Data'!$A$1:$A$20000,0),MATCH("Volume",'Semrush Data'!$A$1:$Z$1,0)),"")</f>
        <v/>
      </c>
      <c r="H3501" s="6" t="str">
        <f aca="false">IFERROR(INDEX('Semrush Data'!$A$1:$Z$20000,MATCH(A3501,'Semrush Data'!$A$1:$A$20000,0),MATCH("Keyword Difficulty*",'Semrush Data'!$A$1:$Z$1,0)),"")</f>
        <v/>
      </c>
      <c r="I3501" s="29" t="str">
        <f aca="false">IFERROR(INDEX('Semrush Data'!$A$1:$Z$20000,MATCH(A3501,'Semrush Data'!$A$1:$A$20000,0),MATCH("CPC*",'Semrush Data'!$A$1:$Z$1,0)),"")</f>
        <v/>
      </c>
      <c r="J3501" s="6" t="str">
        <f aca="false">IFERROR(INDEX('Semrush Data'!$A$1:$Z$20000,MATCH(A3501,'Semrush Data'!$A$1:$A$20000,0),MATCH("Intent",'Semrush Data'!$A$1:$Z$1,0)),"")</f>
        <v/>
      </c>
    </row>
    <row r="3502" customFormat="false" ht="15" hidden="false" customHeight="true" outlineLevel="0" collapsed="false">
      <c r="A3502" s="6" t="s">
        <v>4666</v>
      </c>
      <c r="B3502" s="6" t="s">
        <v>249</v>
      </c>
      <c r="C3502" s="6" t="n">
        <v>3</v>
      </c>
      <c r="D3502" s="6" t="n">
        <v>36</v>
      </c>
      <c r="E3502" s="6" t="n">
        <v>1</v>
      </c>
      <c r="F3502" s="6" t="s">
        <v>4661</v>
      </c>
      <c r="G3502" s="28" t="str">
        <f aca="false">IFERROR(INDEX('Semrush Data'!$A$1:$Z$20000,MATCH(A3502,'Semrush Data'!$A$1:$A$20000,0),MATCH("Volume",'Semrush Data'!$A$1:$Z$1,0)),"")</f>
        <v/>
      </c>
      <c r="H3502" s="6" t="str">
        <f aca="false">IFERROR(INDEX('Semrush Data'!$A$1:$Z$20000,MATCH(A3502,'Semrush Data'!$A$1:$A$20000,0),MATCH("Keyword Difficulty*",'Semrush Data'!$A$1:$Z$1,0)),"")</f>
        <v/>
      </c>
      <c r="I3502" s="29" t="str">
        <f aca="false">IFERROR(INDEX('Semrush Data'!$A$1:$Z$20000,MATCH(A3502,'Semrush Data'!$A$1:$A$20000,0),MATCH("CPC*",'Semrush Data'!$A$1:$Z$1,0)),"")</f>
        <v/>
      </c>
      <c r="J3502" s="6" t="str">
        <f aca="false">IFERROR(INDEX('Semrush Data'!$A$1:$Z$20000,MATCH(A3502,'Semrush Data'!$A$1:$A$20000,0),MATCH("Intent",'Semrush Data'!$A$1:$Z$1,0)),"")</f>
        <v/>
      </c>
    </row>
    <row r="3503" customFormat="false" ht="15" hidden="false" customHeight="true" outlineLevel="0" collapsed="false">
      <c r="A3503" s="6" t="s">
        <v>4751</v>
      </c>
      <c r="B3503" s="6" t="s">
        <v>249</v>
      </c>
      <c r="C3503" s="6" t="n">
        <v>3</v>
      </c>
      <c r="D3503" s="6" t="n">
        <v>36</v>
      </c>
      <c r="E3503" s="6" t="n">
        <v>1</v>
      </c>
      <c r="F3503" s="6" t="s">
        <v>4746</v>
      </c>
      <c r="G3503" s="28" t="str">
        <f aca="false">IFERROR(INDEX('Semrush Data'!$A$1:$Z$20000,MATCH(A3503,'Semrush Data'!$A$1:$A$20000,0),MATCH("Volume",'Semrush Data'!$A$1:$Z$1,0)),"")</f>
        <v/>
      </c>
      <c r="H3503" s="6" t="str">
        <f aca="false">IFERROR(INDEX('Semrush Data'!$A$1:$Z$20000,MATCH(A3503,'Semrush Data'!$A$1:$A$20000,0),MATCH("Keyword Difficulty*",'Semrush Data'!$A$1:$Z$1,0)),"")</f>
        <v/>
      </c>
      <c r="I3503" s="29" t="str">
        <f aca="false">IFERROR(INDEX('Semrush Data'!$A$1:$Z$20000,MATCH(A3503,'Semrush Data'!$A$1:$A$20000,0),MATCH("CPC*",'Semrush Data'!$A$1:$Z$1,0)),"")</f>
        <v/>
      </c>
      <c r="J3503" s="6" t="str">
        <f aca="false">IFERROR(INDEX('Semrush Data'!$A$1:$Z$20000,MATCH(A3503,'Semrush Data'!$A$1:$A$20000,0),MATCH("Intent",'Semrush Data'!$A$1:$Z$1,0)),"")</f>
        <v/>
      </c>
    </row>
    <row r="3504" customFormat="false" ht="15" hidden="false" customHeight="true" outlineLevel="0" collapsed="false">
      <c r="A3504" s="6" t="s">
        <v>4730</v>
      </c>
      <c r="B3504" s="6" t="s">
        <v>249</v>
      </c>
      <c r="C3504" s="6" t="n">
        <v>3</v>
      </c>
      <c r="D3504" s="6" t="n">
        <v>36</v>
      </c>
      <c r="E3504" s="6" t="n">
        <v>1</v>
      </c>
      <c r="F3504" s="6" t="s">
        <v>4725</v>
      </c>
      <c r="G3504" s="28" t="str">
        <f aca="false">IFERROR(INDEX('Semrush Data'!$A$1:$Z$20000,MATCH(A3504,'Semrush Data'!$A$1:$A$20000,0),MATCH("Volume",'Semrush Data'!$A$1:$Z$1,0)),"")</f>
        <v/>
      </c>
      <c r="H3504" s="6" t="str">
        <f aca="false">IFERROR(INDEX('Semrush Data'!$A$1:$Z$20000,MATCH(A3504,'Semrush Data'!$A$1:$A$20000,0),MATCH("Keyword Difficulty*",'Semrush Data'!$A$1:$Z$1,0)),"")</f>
        <v/>
      </c>
      <c r="I3504" s="29" t="str">
        <f aca="false">IFERROR(INDEX('Semrush Data'!$A$1:$Z$20000,MATCH(A3504,'Semrush Data'!$A$1:$A$20000,0),MATCH("CPC*",'Semrush Data'!$A$1:$Z$1,0)),"")</f>
        <v/>
      </c>
      <c r="J3504" s="6" t="str">
        <f aca="false">IFERROR(INDEX('Semrush Data'!$A$1:$Z$20000,MATCH(A3504,'Semrush Data'!$A$1:$A$20000,0),MATCH("Intent",'Semrush Data'!$A$1:$Z$1,0)),"")</f>
        <v/>
      </c>
    </row>
    <row r="3505" customFormat="false" ht="15" hidden="false" customHeight="true" outlineLevel="0" collapsed="false">
      <c r="A3505" s="6" t="s">
        <v>4803</v>
      </c>
      <c r="B3505" s="6" t="s">
        <v>249</v>
      </c>
      <c r="C3505" s="6" t="n">
        <v>3</v>
      </c>
      <c r="D3505" s="6" t="n">
        <v>36</v>
      </c>
      <c r="E3505" s="6" t="n">
        <v>1</v>
      </c>
      <c r="F3505" s="6" t="s">
        <v>4798</v>
      </c>
      <c r="G3505" s="28" t="str">
        <f aca="false">IFERROR(INDEX('Semrush Data'!$A$1:$Z$20000,MATCH(A3505,'Semrush Data'!$A$1:$A$20000,0),MATCH("Volume",'Semrush Data'!$A$1:$Z$1,0)),"")</f>
        <v/>
      </c>
      <c r="H3505" s="6" t="str">
        <f aca="false">IFERROR(INDEX('Semrush Data'!$A$1:$Z$20000,MATCH(A3505,'Semrush Data'!$A$1:$A$20000,0),MATCH("Keyword Difficulty*",'Semrush Data'!$A$1:$Z$1,0)),"")</f>
        <v/>
      </c>
      <c r="I3505" s="29" t="str">
        <f aca="false">IFERROR(INDEX('Semrush Data'!$A$1:$Z$20000,MATCH(A3505,'Semrush Data'!$A$1:$A$20000,0),MATCH("CPC*",'Semrush Data'!$A$1:$Z$1,0)),"")</f>
        <v/>
      </c>
      <c r="J3505" s="6" t="str">
        <f aca="false">IFERROR(INDEX('Semrush Data'!$A$1:$Z$20000,MATCH(A3505,'Semrush Data'!$A$1:$A$20000,0),MATCH("Intent",'Semrush Data'!$A$1:$Z$1,0)),"")</f>
        <v/>
      </c>
    </row>
    <row r="3506" customFormat="false" ht="15" hidden="false" customHeight="true" outlineLevel="0" collapsed="false">
      <c r="A3506" s="6" t="s">
        <v>4679</v>
      </c>
      <c r="B3506" s="6" t="s">
        <v>249</v>
      </c>
      <c r="C3506" s="6" t="n">
        <v>3</v>
      </c>
      <c r="D3506" s="6" t="n">
        <v>36</v>
      </c>
      <c r="E3506" s="6" t="n">
        <v>1</v>
      </c>
      <c r="F3506" s="6" t="s">
        <v>4673</v>
      </c>
      <c r="G3506" s="28" t="str">
        <f aca="false">IFERROR(INDEX('Semrush Data'!$A$1:$Z$20000,MATCH(A3506,'Semrush Data'!$A$1:$A$20000,0),MATCH("Volume",'Semrush Data'!$A$1:$Z$1,0)),"")</f>
        <v/>
      </c>
      <c r="H3506" s="6" t="str">
        <f aca="false">IFERROR(INDEX('Semrush Data'!$A$1:$Z$20000,MATCH(A3506,'Semrush Data'!$A$1:$A$20000,0),MATCH("Keyword Difficulty*",'Semrush Data'!$A$1:$Z$1,0)),"")</f>
        <v/>
      </c>
      <c r="I3506" s="29" t="str">
        <f aca="false">IFERROR(INDEX('Semrush Data'!$A$1:$Z$20000,MATCH(A3506,'Semrush Data'!$A$1:$A$20000,0),MATCH("CPC*",'Semrush Data'!$A$1:$Z$1,0)),"")</f>
        <v/>
      </c>
      <c r="J3506" s="6" t="str">
        <f aca="false">IFERROR(INDEX('Semrush Data'!$A$1:$Z$20000,MATCH(A3506,'Semrush Data'!$A$1:$A$20000,0),MATCH("Intent",'Semrush Data'!$A$1:$Z$1,0)),"")</f>
        <v/>
      </c>
    </row>
    <row r="3507" customFormat="false" ht="15" hidden="false" customHeight="true" outlineLevel="0" collapsed="false">
      <c r="A3507" s="6" t="s">
        <v>4688</v>
      </c>
      <c r="B3507" s="6" t="s">
        <v>249</v>
      </c>
      <c r="C3507" s="6" t="n">
        <v>3</v>
      </c>
      <c r="D3507" s="6" t="s">
        <v>6870</v>
      </c>
      <c r="E3507" s="6" t="n">
        <v>1</v>
      </c>
      <c r="F3507" s="6" t="s">
        <v>67</v>
      </c>
      <c r="G3507" s="28" t="n">
        <f aca="false">IFERROR(INDEX('Semrush Data'!$A$1:$Z$20000,MATCH(A3507,'Semrush Data'!$A$1:$A$20000,0),MATCH("Volume",'Semrush Data'!$A$1:$Z$1,0)),"")</f>
        <v>20</v>
      </c>
      <c r="H3507" s="6" t="n">
        <f aca="false">IFERROR(INDEX('Semrush Data'!$A$1:$Z$20000,MATCH(A3507,'Semrush Data'!$A$1:$A$20000,0),MATCH("Keyword Difficulty*",'Semrush Data'!$A$1:$Z$1,0)),"")</f>
        <v>13</v>
      </c>
      <c r="I3507" s="29" t="n">
        <f aca="false">IFERROR(INDEX('Semrush Data'!$A$1:$Z$20000,MATCH(A3507,'Semrush Data'!$A$1:$A$20000,0),MATCH("CPC*",'Semrush Data'!$A$1:$Z$1,0)),"")</f>
        <v>0</v>
      </c>
      <c r="J3507" s="6" t="str">
        <f aca="false">IFERROR(INDEX('Semrush Data'!$A$1:$Z$20000,MATCH(A3507,'Semrush Data'!$A$1:$A$20000,0),MATCH("Intent",'Semrush Data'!$A$1:$Z$1,0)),"")</f>
        <v>Transactional</v>
      </c>
    </row>
    <row r="3508" customFormat="false" ht="15" hidden="false" customHeight="true" outlineLevel="0" collapsed="false">
      <c r="A3508" s="6" t="s">
        <v>4762</v>
      </c>
      <c r="B3508" s="6" t="s">
        <v>249</v>
      </c>
      <c r="C3508" s="6" t="n">
        <v>3</v>
      </c>
      <c r="D3508" s="6" t="n">
        <v>36</v>
      </c>
      <c r="E3508" s="6" t="n">
        <v>1</v>
      </c>
      <c r="F3508" s="6" t="s">
        <v>4756</v>
      </c>
      <c r="G3508" s="28" t="str">
        <f aca="false">IFERROR(INDEX('Semrush Data'!$A$1:$Z$20000,MATCH(A3508,'Semrush Data'!$A$1:$A$20000,0),MATCH("Volume",'Semrush Data'!$A$1:$Z$1,0)),"")</f>
        <v/>
      </c>
      <c r="H3508" s="6" t="str">
        <f aca="false">IFERROR(INDEX('Semrush Data'!$A$1:$Z$20000,MATCH(A3508,'Semrush Data'!$A$1:$A$20000,0),MATCH("Keyword Difficulty*",'Semrush Data'!$A$1:$Z$1,0)),"")</f>
        <v/>
      </c>
      <c r="I3508" s="29" t="str">
        <f aca="false">IFERROR(INDEX('Semrush Data'!$A$1:$Z$20000,MATCH(A3508,'Semrush Data'!$A$1:$A$20000,0),MATCH("CPC*",'Semrush Data'!$A$1:$Z$1,0)),"")</f>
        <v/>
      </c>
      <c r="J3508" s="6" t="str">
        <f aca="false">IFERROR(INDEX('Semrush Data'!$A$1:$Z$20000,MATCH(A3508,'Semrush Data'!$A$1:$A$20000,0),MATCH("Intent",'Semrush Data'!$A$1:$Z$1,0)),"")</f>
        <v/>
      </c>
    </row>
    <row r="3509" customFormat="false" ht="15" hidden="false" customHeight="true" outlineLevel="0" collapsed="false">
      <c r="A3509" s="6" t="s">
        <v>4699</v>
      </c>
      <c r="B3509" s="6" t="s">
        <v>249</v>
      </c>
      <c r="C3509" s="6" t="n">
        <v>3</v>
      </c>
      <c r="D3509" s="6" t="n">
        <v>36</v>
      </c>
      <c r="E3509" s="6" t="n">
        <v>1</v>
      </c>
      <c r="F3509" s="6" t="s">
        <v>4694</v>
      </c>
      <c r="G3509" s="28" t="str">
        <f aca="false">IFERROR(INDEX('Semrush Data'!$A$1:$Z$20000,MATCH(A3509,'Semrush Data'!$A$1:$A$20000,0),MATCH("Volume",'Semrush Data'!$A$1:$Z$1,0)),"")</f>
        <v/>
      </c>
      <c r="H3509" s="6" t="str">
        <f aca="false">IFERROR(INDEX('Semrush Data'!$A$1:$Z$20000,MATCH(A3509,'Semrush Data'!$A$1:$A$20000,0),MATCH("Keyword Difficulty*",'Semrush Data'!$A$1:$Z$1,0)),"")</f>
        <v/>
      </c>
      <c r="I3509" s="29" t="str">
        <f aca="false">IFERROR(INDEX('Semrush Data'!$A$1:$Z$20000,MATCH(A3509,'Semrush Data'!$A$1:$A$20000,0),MATCH("CPC*",'Semrush Data'!$A$1:$Z$1,0)),"")</f>
        <v/>
      </c>
      <c r="J3509" s="6" t="str">
        <f aca="false">IFERROR(INDEX('Semrush Data'!$A$1:$Z$20000,MATCH(A3509,'Semrush Data'!$A$1:$A$20000,0),MATCH("Intent",'Semrush Data'!$A$1:$Z$1,0)),"")</f>
        <v/>
      </c>
    </row>
    <row r="3510" customFormat="false" ht="15" hidden="false" customHeight="true" outlineLevel="0" collapsed="false">
      <c r="A3510" s="6" t="s">
        <v>4773</v>
      </c>
      <c r="B3510" s="6" t="s">
        <v>249</v>
      </c>
      <c r="C3510" s="6" t="n">
        <v>3</v>
      </c>
      <c r="D3510" s="6" t="n">
        <v>36</v>
      </c>
      <c r="E3510" s="6" t="n">
        <v>1</v>
      </c>
      <c r="F3510" s="6" t="s">
        <v>4768</v>
      </c>
      <c r="G3510" s="28" t="str">
        <f aca="false">IFERROR(INDEX('Semrush Data'!$A$1:$Z$20000,MATCH(A3510,'Semrush Data'!$A$1:$A$20000,0),MATCH("Volume",'Semrush Data'!$A$1:$Z$1,0)),"")</f>
        <v/>
      </c>
      <c r="H3510" s="6" t="str">
        <f aca="false">IFERROR(INDEX('Semrush Data'!$A$1:$Z$20000,MATCH(A3510,'Semrush Data'!$A$1:$A$20000,0),MATCH("Keyword Difficulty*",'Semrush Data'!$A$1:$Z$1,0)),"")</f>
        <v/>
      </c>
      <c r="I3510" s="29" t="str">
        <f aca="false">IFERROR(INDEX('Semrush Data'!$A$1:$Z$20000,MATCH(A3510,'Semrush Data'!$A$1:$A$20000,0),MATCH("CPC*",'Semrush Data'!$A$1:$Z$1,0)),"")</f>
        <v/>
      </c>
      <c r="J3510" s="6" t="str">
        <f aca="false">IFERROR(INDEX('Semrush Data'!$A$1:$Z$20000,MATCH(A3510,'Semrush Data'!$A$1:$A$20000,0),MATCH("Intent",'Semrush Data'!$A$1:$Z$1,0)),"")</f>
        <v/>
      </c>
    </row>
    <row r="3511" customFormat="false" ht="15" hidden="false" customHeight="true" outlineLevel="0" collapsed="false">
      <c r="A3511" s="6" t="s">
        <v>4709</v>
      </c>
      <c r="B3511" s="6" t="s">
        <v>249</v>
      </c>
      <c r="C3511" s="6" t="n">
        <v>3</v>
      </c>
      <c r="D3511" s="6" t="n">
        <v>36</v>
      </c>
      <c r="E3511" s="6" t="n">
        <v>1</v>
      </c>
      <c r="F3511" s="6" t="s">
        <v>4704</v>
      </c>
      <c r="G3511" s="28" t="str">
        <f aca="false">IFERROR(INDEX('Semrush Data'!$A$1:$Z$20000,MATCH(A3511,'Semrush Data'!$A$1:$A$20000,0),MATCH("Volume",'Semrush Data'!$A$1:$Z$1,0)),"")</f>
        <v/>
      </c>
      <c r="H3511" s="6" t="str">
        <f aca="false">IFERROR(INDEX('Semrush Data'!$A$1:$Z$20000,MATCH(A3511,'Semrush Data'!$A$1:$A$20000,0),MATCH("Keyword Difficulty*",'Semrush Data'!$A$1:$Z$1,0)),"")</f>
        <v/>
      </c>
      <c r="I3511" s="29" t="str">
        <f aca="false">IFERROR(INDEX('Semrush Data'!$A$1:$Z$20000,MATCH(A3511,'Semrush Data'!$A$1:$A$20000,0),MATCH("CPC*",'Semrush Data'!$A$1:$Z$1,0)),"")</f>
        <v/>
      </c>
      <c r="J3511" s="6" t="str">
        <f aca="false">IFERROR(INDEX('Semrush Data'!$A$1:$Z$20000,MATCH(A3511,'Semrush Data'!$A$1:$A$20000,0),MATCH("Intent",'Semrush Data'!$A$1:$Z$1,0)),"")</f>
        <v/>
      </c>
    </row>
    <row r="3512" customFormat="false" ht="15" hidden="false" customHeight="true" outlineLevel="0" collapsed="false">
      <c r="A3512" s="6" t="s">
        <v>4739</v>
      </c>
      <c r="B3512" s="6" t="s">
        <v>249</v>
      </c>
      <c r="C3512" s="6" t="n">
        <v>3</v>
      </c>
      <c r="D3512" s="6" t="s">
        <v>6870</v>
      </c>
      <c r="E3512" s="6" t="n">
        <v>1</v>
      </c>
      <c r="F3512" s="6" t="s">
        <v>81</v>
      </c>
      <c r="G3512" s="28" t="n">
        <f aca="false">IFERROR(INDEX('Semrush Data'!$A$1:$Z$20000,MATCH(A3512,'Semrush Data'!$A$1:$A$20000,0),MATCH("Volume",'Semrush Data'!$A$1:$Z$1,0)),"")</f>
        <v>20</v>
      </c>
      <c r="H3512" s="6" t="n">
        <f aca="false">IFERROR(INDEX('Semrush Data'!$A$1:$Z$20000,MATCH(A3512,'Semrush Data'!$A$1:$A$20000,0),MATCH("Keyword Difficulty*",'Semrush Data'!$A$1:$Z$1,0)),"")</f>
        <v>12</v>
      </c>
      <c r="I3512" s="29" t="n">
        <f aca="false">IFERROR(INDEX('Semrush Data'!$A$1:$Z$20000,MATCH(A3512,'Semrush Data'!$A$1:$A$20000,0),MATCH("CPC*",'Semrush Data'!$A$1:$Z$1,0)),"")</f>
        <v>0</v>
      </c>
      <c r="J3512" s="6" t="str">
        <f aca="false">IFERROR(INDEX('Semrush Data'!$A$1:$Z$20000,MATCH(A3512,'Semrush Data'!$A$1:$A$20000,0),MATCH("Intent",'Semrush Data'!$A$1:$Z$1,0)),"")</f>
        <v>Transactional Navigational</v>
      </c>
    </row>
    <row r="3513" customFormat="false" ht="15" hidden="false" customHeight="true" outlineLevel="0" collapsed="false">
      <c r="A3513" s="6" t="s">
        <v>261</v>
      </c>
      <c r="B3513" s="6" t="s">
        <v>249</v>
      </c>
      <c r="C3513" s="6" t="n">
        <v>3</v>
      </c>
      <c r="D3513" s="6" t="s">
        <v>6870</v>
      </c>
      <c r="E3513" s="6" t="n">
        <v>1</v>
      </c>
      <c r="F3513" s="6" t="s">
        <v>59</v>
      </c>
      <c r="G3513" s="28" t="n">
        <f aca="false">IFERROR(INDEX('Semrush Data'!$A$1:$Z$20000,MATCH(A3513,'Semrush Data'!$A$1:$A$20000,0),MATCH("Volume",'Semrush Data'!$A$1:$Z$1,0)),"")</f>
        <v>110</v>
      </c>
      <c r="H3513" s="6" t="n">
        <f aca="false">IFERROR(INDEX('Semrush Data'!$A$1:$Z$20000,MATCH(A3513,'Semrush Data'!$A$1:$A$20000,0),MATCH("Keyword Difficulty*",'Semrush Data'!$A$1:$Z$1,0)),"")</f>
        <v>19</v>
      </c>
      <c r="I3513" s="29" t="n">
        <f aca="false">IFERROR(INDEX('Semrush Data'!$A$1:$Z$20000,MATCH(A3513,'Semrush Data'!$A$1:$A$20000,0),MATCH("CPC*",'Semrush Data'!$A$1:$Z$1,0)),"")</f>
        <v>0.29</v>
      </c>
      <c r="J3513" s="6" t="str">
        <f aca="false">IFERROR(INDEX('Semrush Data'!$A$1:$Z$20000,MATCH(A3513,'Semrush Data'!$A$1:$A$20000,0),MATCH("Intent",'Semrush Data'!$A$1:$Z$1,0)),"")</f>
        <v>Transactional</v>
      </c>
    </row>
    <row r="3514" customFormat="false" ht="15" hidden="false" customHeight="true" outlineLevel="0" collapsed="false">
      <c r="A3514" s="6" t="s">
        <v>4783</v>
      </c>
      <c r="B3514" s="6" t="s">
        <v>249</v>
      </c>
      <c r="C3514" s="6" t="n">
        <v>3</v>
      </c>
      <c r="D3514" s="6" t="n">
        <v>36</v>
      </c>
      <c r="E3514" s="6" t="n">
        <v>1</v>
      </c>
      <c r="F3514" s="6" t="s">
        <v>4778</v>
      </c>
      <c r="G3514" s="28" t="str">
        <f aca="false">IFERROR(INDEX('Semrush Data'!$A$1:$Z$20000,MATCH(A3514,'Semrush Data'!$A$1:$A$20000,0),MATCH("Volume",'Semrush Data'!$A$1:$Z$1,0)),"")</f>
        <v/>
      </c>
      <c r="H3514" s="6" t="str">
        <f aca="false">IFERROR(INDEX('Semrush Data'!$A$1:$Z$20000,MATCH(A3514,'Semrush Data'!$A$1:$A$20000,0),MATCH("Keyword Difficulty*",'Semrush Data'!$A$1:$Z$1,0)),"")</f>
        <v/>
      </c>
      <c r="I3514" s="29" t="str">
        <f aca="false">IFERROR(INDEX('Semrush Data'!$A$1:$Z$20000,MATCH(A3514,'Semrush Data'!$A$1:$A$20000,0),MATCH("CPC*",'Semrush Data'!$A$1:$Z$1,0)),"")</f>
        <v/>
      </c>
      <c r="J3514" s="6" t="str">
        <f aca="false">IFERROR(INDEX('Semrush Data'!$A$1:$Z$20000,MATCH(A3514,'Semrush Data'!$A$1:$A$20000,0),MATCH("Intent",'Semrush Data'!$A$1:$Z$1,0)),"")</f>
        <v/>
      </c>
    </row>
    <row r="3515" customFormat="false" ht="15" hidden="false" customHeight="true" outlineLevel="0" collapsed="false">
      <c r="A3515" s="6" t="s">
        <v>4793</v>
      </c>
      <c r="B3515" s="6" t="s">
        <v>249</v>
      </c>
      <c r="C3515" s="6" t="n">
        <v>3</v>
      </c>
      <c r="D3515" s="6" t="n">
        <v>36</v>
      </c>
      <c r="E3515" s="6" t="n">
        <v>1</v>
      </c>
      <c r="F3515" s="6" t="s">
        <v>4788</v>
      </c>
      <c r="G3515" s="28" t="str">
        <f aca="false">IFERROR(INDEX('Semrush Data'!$A$1:$Z$20000,MATCH(A3515,'Semrush Data'!$A$1:$A$20000,0),MATCH("Volume",'Semrush Data'!$A$1:$Z$1,0)),"")</f>
        <v/>
      </c>
      <c r="H3515" s="6" t="str">
        <f aca="false">IFERROR(INDEX('Semrush Data'!$A$1:$Z$20000,MATCH(A3515,'Semrush Data'!$A$1:$A$20000,0),MATCH("Keyword Difficulty*",'Semrush Data'!$A$1:$Z$1,0)),"")</f>
        <v/>
      </c>
      <c r="I3515" s="29" t="str">
        <f aca="false">IFERROR(INDEX('Semrush Data'!$A$1:$Z$20000,MATCH(A3515,'Semrush Data'!$A$1:$A$20000,0),MATCH("CPC*",'Semrush Data'!$A$1:$Z$1,0)),"")</f>
        <v/>
      </c>
      <c r="J3515" s="6" t="str">
        <f aca="false">IFERROR(INDEX('Semrush Data'!$A$1:$Z$20000,MATCH(A3515,'Semrush Data'!$A$1:$A$20000,0),MATCH("Intent",'Semrush Data'!$A$1:$Z$1,0)),"")</f>
        <v/>
      </c>
    </row>
    <row r="3516" customFormat="false" ht="15" hidden="false" customHeight="true" outlineLevel="0" collapsed="false">
      <c r="A3516" s="6" t="s">
        <v>4867</v>
      </c>
      <c r="B3516" s="6" t="s">
        <v>249</v>
      </c>
      <c r="C3516" s="6" t="n">
        <v>3</v>
      </c>
      <c r="D3516" s="6" t="n">
        <v>36</v>
      </c>
      <c r="E3516" s="6" t="n">
        <v>1</v>
      </c>
      <c r="F3516" s="6" t="s">
        <v>4862</v>
      </c>
      <c r="G3516" s="28" t="str">
        <f aca="false">IFERROR(INDEX('Semrush Data'!$A$1:$Z$20000,MATCH(A3516,'Semrush Data'!$A$1:$A$20000,0),MATCH("Volume",'Semrush Data'!$A$1:$Z$1,0)),"")</f>
        <v/>
      </c>
      <c r="H3516" s="6" t="str">
        <f aca="false">IFERROR(INDEX('Semrush Data'!$A$1:$Z$20000,MATCH(A3516,'Semrush Data'!$A$1:$A$20000,0),MATCH("Keyword Difficulty*",'Semrush Data'!$A$1:$Z$1,0)),"")</f>
        <v/>
      </c>
      <c r="I3516" s="29" t="str">
        <f aca="false">IFERROR(INDEX('Semrush Data'!$A$1:$Z$20000,MATCH(A3516,'Semrush Data'!$A$1:$A$20000,0),MATCH("CPC*",'Semrush Data'!$A$1:$Z$1,0)),"")</f>
        <v/>
      </c>
      <c r="J3516" s="6" t="str">
        <f aca="false">IFERROR(INDEX('Semrush Data'!$A$1:$Z$20000,MATCH(A3516,'Semrush Data'!$A$1:$A$20000,0),MATCH("Intent",'Semrush Data'!$A$1:$Z$1,0)),"")</f>
        <v/>
      </c>
    </row>
    <row r="3517" customFormat="false" ht="15" hidden="false" customHeight="true" outlineLevel="0" collapsed="false">
      <c r="A3517" s="6" t="s">
        <v>4813</v>
      </c>
      <c r="B3517" s="6" t="s">
        <v>249</v>
      </c>
      <c r="C3517" s="6" t="n">
        <v>3</v>
      </c>
      <c r="D3517" s="6" t="n">
        <v>36</v>
      </c>
      <c r="E3517" s="6" t="n">
        <v>1</v>
      </c>
      <c r="F3517" s="6" t="s">
        <v>125</v>
      </c>
      <c r="G3517" s="28" t="str">
        <f aca="false">IFERROR(INDEX('Semrush Data'!$A$1:$Z$20000,MATCH(A3517,'Semrush Data'!$A$1:$A$20000,0),MATCH("Volume",'Semrush Data'!$A$1:$Z$1,0)),"")</f>
        <v/>
      </c>
      <c r="H3517" s="6" t="str">
        <f aca="false">IFERROR(INDEX('Semrush Data'!$A$1:$Z$20000,MATCH(A3517,'Semrush Data'!$A$1:$A$20000,0),MATCH("Keyword Difficulty*",'Semrush Data'!$A$1:$Z$1,0)),"")</f>
        <v/>
      </c>
      <c r="I3517" s="29" t="str">
        <f aca="false">IFERROR(INDEX('Semrush Data'!$A$1:$Z$20000,MATCH(A3517,'Semrush Data'!$A$1:$A$20000,0),MATCH("CPC*",'Semrush Data'!$A$1:$Z$1,0)),"")</f>
        <v/>
      </c>
      <c r="J3517" s="6" t="str">
        <f aca="false">IFERROR(INDEX('Semrush Data'!$A$1:$Z$20000,MATCH(A3517,'Semrush Data'!$A$1:$A$20000,0),MATCH("Intent",'Semrush Data'!$A$1:$Z$1,0)),"")</f>
        <v/>
      </c>
    </row>
    <row r="3518" customFormat="false" ht="15" hidden="false" customHeight="true" outlineLevel="0" collapsed="false">
      <c r="A3518" s="6" t="s">
        <v>4825</v>
      </c>
      <c r="B3518" s="6" t="s">
        <v>249</v>
      </c>
      <c r="C3518" s="6" t="n">
        <v>3</v>
      </c>
      <c r="D3518" s="6" t="n">
        <v>36</v>
      </c>
      <c r="E3518" s="6" t="n">
        <v>1</v>
      </c>
      <c r="F3518" s="6" t="s">
        <v>4820</v>
      </c>
      <c r="G3518" s="28" t="str">
        <f aca="false">IFERROR(INDEX('Semrush Data'!$A$1:$Z$20000,MATCH(A3518,'Semrush Data'!$A$1:$A$20000,0),MATCH("Volume",'Semrush Data'!$A$1:$Z$1,0)),"")</f>
        <v/>
      </c>
      <c r="H3518" s="6" t="str">
        <f aca="false">IFERROR(INDEX('Semrush Data'!$A$1:$Z$20000,MATCH(A3518,'Semrush Data'!$A$1:$A$20000,0),MATCH("Keyword Difficulty*",'Semrush Data'!$A$1:$Z$1,0)),"")</f>
        <v/>
      </c>
      <c r="I3518" s="29" t="str">
        <f aca="false">IFERROR(INDEX('Semrush Data'!$A$1:$Z$20000,MATCH(A3518,'Semrush Data'!$A$1:$A$20000,0),MATCH("CPC*",'Semrush Data'!$A$1:$Z$1,0)),"")</f>
        <v/>
      </c>
      <c r="J3518" s="6" t="str">
        <f aca="false">IFERROR(INDEX('Semrush Data'!$A$1:$Z$20000,MATCH(A3518,'Semrush Data'!$A$1:$A$20000,0),MATCH("Intent",'Semrush Data'!$A$1:$Z$1,0)),"")</f>
        <v/>
      </c>
    </row>
    <row r="3519" customFormat="false" ht="15" hidden="false" customHeight="true" outlineLevel="0" collapsed="false">
      <c r="A3519" s="6" t="s">
        <v>4878</v>
      </c>
      <c r="B3519" s="6" t="s">
        <v>249</v>
      </c>
      <c r="C3519" s="6" t="n">
        <v>3</v>
      </c>
      <c r="D3519" s="6" t="n">
        <v>36</v>
      </c>
      <c r="E3519" s="6" t="n">
        <v>1</v>
      </c>
      <c r="F3519" s="6" t="s">
        <v>4873</v>
      </c>
      <c r="G3519" s="28" t="str">
        <f aca="false">IFERROR(INDEX('Semrush Data'!$A$1:$Z$20000,MATCH(A3519,'Semrush Data'!$A$1:$A$20000,0),MATCH("Volume",'Semrush Data'!$A$1:$Z$1,0)),"")</f>
        <v/>
      </c>
      <c r="H3519" s="6" t="str">
        <f aca="false">IFERROR(INDEX('Semrush Data'!$A$1:$Z$20000,MATCH(A3519,'Semrush Data'!$A$1:$A$20000,0),MATCH("Keyword Difficulty*",'Semrush Data'!$A$1:$Z$1,0)),"")</f>
        <v/>
      </c>
      <c r="I3519" s="29" t="str">
        <f aca="false">IFERROR(INDEX('Semrush Data'!$A$1:$Z$20000,MATCH(A3519,'Semrush Data'!$A$1:$A$20000,0),MATCH("CPC*",'Semrush Data'!$A$1:$Z$1,0)),"")</f>
        <v/>
      </c>
      <c r="J3519" s="6" t="str">
        <f aca="false">IFERROR(INDEX('Semrush Data'!$A$1:$Z$20000,MATCH(A3519,'Semrush Data'!$A$1:$A$20000,0),MATCH("Intent",'Semrush Data'!$A$1:$Z$1,0)),"")</f>
        <v/>
      </c>
    </row>
    <row r="3520" customFormat="false" ht="15" hidden="false" customHeight="true" outlineLevel="0" collapsed="false">
      <c r="A3520" s="6" t="s">
        <v>4889</v>
      </c>
      <c r="B3520" s="6" t="s">
        <v>249</v>
      </c>
      <c r="C3520" s="6" t="n">
        <v>3</v>
      </c>
      <c r="D3520" s="6" t="n">
        <v>36</v>
      </c>
      <c r="E3520" s="6" t="n">
        <v>1</v>
      </c>
      <c r="F3520" s="6" t="s">
        <v>4884</v>
      </c>
      <c r="G3520" s="28" t="str">
        <f aca="false">IFERROR(INDEX('Semrush Data'!$A$1:$Z$20000,MATCH(A3520,'Semrush Data'!$A$1:$A$20000,0),MATCH("Volume",'Semrush Data'!$A$1:$Z$1,0)),"")</f>
        <v/>
      </c>
      <c r="H3520" s="6" t="str">
        <f aca="false">IFERROR(INDEX('Semrush Data'!$A$1:$Z$20000,MATCH(A3520,'Semrush Data'!$A$1:$A$20000,0),MATCH("Keyword Difficulty*",'Semrush Data'!$A$1:$Z$1,0)),"")</f>
        <v/>
      </c>
      <c r="I3520" s="29" t="str">
        <f aca="false">IFERROR(INDEX('Semrush Data'!$A$1:$Z$20000,MATCH(A3520,'Semrush Data'!$A$1:$A$20000,0),MATCH("CPC*",'Semrush Data'!$A$1:$Z$1,0)),"")</f>
        <v/>
      </c>
      <c r="J3520" s="6" t="str">
        <f aca="false">IFERROR(INDEX('Semrush Data'!$A$1:$Z$20000,MATCH(A3520,'Semrush Data'!$A$1:$A$20000,0),MATCH("Intent",'Semrush Data'!$A$1:$Z$1,0)),"")</f>
        <v/>
      </c>
    </row>
    <row r="3521" customFormat="false" ht="15" hidden="false" customHeight="true" outlineLevel="0" collapsed="false">
      <c r="A3521" s="6" t="s">
        <v>4837</v>
      </c>
      <c r="B3521" s="6" t="s">
        <v>249</v>
      </c>
      <c r="C3521" s="6" t="n">
        <v>3</v>
      </c>
      <c r="D3521" s="6" t="n">
        <v>36</v>
      </c>
      <c r="E3521" s="6" t="n">
        <v>1</v>
      </c>
      <c r="F3521" s="6" t="s">
        <v>4832</v>
      </c>
      <c r="G3521" s="28" t="str">
        <f aca="false">IFERROR(INDEX('Semrush Data'!$A$1:$Z$20000,MATCH(A3521,'Semrush Data'!$A$1:$A$20000,0),MATCH("Volume",'Semrush Data'!$A$1:$Z$1,0)),"")</f>
        <v/>
      </c>
      <c r="H3521" s="6" t="str">
        <f aca="false">IFERROR(INDEX('Semrush Data'!$A$1:$Z$20000,MATCH(A3521,'Semrush Data'!$A$1:$A$20000,0),MATCH("Keyword Difficulty*",'Semrush Data'!$A$1:$Z$1,0)),"")</f>
        <v/>
      </c>
      <c r="I3521" s="29" t="str">
        <f aca="false">IFERROR(INDEX('Semrush Data'!$A$1:$Z$20000,MATCH(A3521,'Semrush Data'!$A$1:$A$20000,0),MATCH("CPC*",'Semrush Data'!$A$1:$Z$1,0)),"")</f>
        <v/>
      </c>
      <c r="J3521" s="6" t="str">
        <f aca="false">IFERROR(INDEX('Semrush Data'!$A$1:$Z$20000,MATCH(A3521,'Semrush Data'!$A$1:$A$20000,0),MATCH("Intent",'Semrush Data'!$A$1:$Z$1,0)),"")</f>
        <v/>
      </c>
    </row>
    <row r="3522" customFormat="false" ht="15" hidden="false" customHeight="true" outlineLevel="0" collapsed="false">
      <c r="A3522" s="6" t="s">
        <v>4847</v>
      </c>
      <c r="B3522" s="6" t="s">
        <v>249</v>
      </c>
      <c r="C3522" s="6" t="n">
        <v>3</v>
      </c>
      <c r="D3522" s="6" t="n">
        <v>36</v>
      </c>
      <c r="E3522" s="6" t="n">
        <v>1</v>
      </c>
      <c r="F3522" s="6" t="s">
        <v>113</v>
      </c>
      <c r="G3522" s="28" t="str">
        <f aca="false">IFERROR(INDEX('Semrush Data'!$A$1:$Z$20000,MATCH(A3522,'Semrush Data'!$A$1:$A$20000,0),MATCH("Volume",'Semrush Data'!$A$1:$Z$1,0)),"")</f>
        <v/>
      </c>
      <c r="H3522" s="6" t="str">
        <f aca="false">IFERROR(INDEX('Semrush Data'!$A$1:$Z$20000,MATCH(A3522,'Semrush Data'!$A$1:$A$20000,0),MATCH("Keyword Difficulty*",'Semrush Data'!$A$1:$Z$1,0)),"")</f>
        <v/>
      </c>
      <c r="I3522" s="29" t="str">
        <f aca="false">IFERROR(INDEX('Semrush Data'!$A$1:$Z$20000,MATCH(A3522,'Semrush Data'!$A$1:$A$20000,0),MATCH("CPC*",'Semrush Data'!$A$1:$Z$1,0)),"")</f>
        <v/>
      </c>
      <c r="J3522" s="6" t="str">
        <f aca="false">IFERROR(INDEX('Semrush Data'!$A$1:$Z$20000,MATCH(A3522,'Semrush Data'!$A$1:$A$20000,0),MATCH("Intent",'Semrush Data'!$A$1:$Z$1,0)),"")</f>
        <v/>
      </c>
    </row>
    <row r="3523" customFormat="false" ht="15" hidden="false" customHeight="true" outlineLevel="0" collapsed="false">
      <c r="A3523" s="6" t="s">
        <v>4856</v>
      </c>
      <c r="B3523" s="6" t="s">
        <v>249</v>
      </c>
      <c r="C3523" s="6" t="n">
        <v>3</v>
      </c>
      <c r="D3523" s="6" t="n">
        <v>36</v>
      </c>
      <c r="E3523" s="6" t="n">
        <v>1</v>
      </c>
      <c r="F3523" s="6" t="s">
        <v>127</v>
      </c>
      <c r="G3523" s="28" t="str">
        <f aca="false">IFERROR(INDEX('Semrush Data'!$A$1:$Z$20000,MATCH(A3523,'Semrush Data'!$A$1:$A$20000,0),MATCH("Volume",'Semrush Data'!$A$1:$Z$1,0)),"")</f>
        <v/>
      </c>
      <c r="H3523" s="6" t="str">
        <f aca="false">IFERROR(INDEX('Semrush Data'!$A$1:$Z$20000,MATCH(A3523,'Semrush Data'!$A$1:$A$20000,0),MATCH("Keyword Difficulty*",'Semrush Data'!$A$1:$Z$1,0)),"")</f>
        <v/>
      </c>
      <c r="I3523" s="29" t="str">
        <f aca="false">IFERROR(INDEX('Semrush Data'!$A$1:$Z$20000,MATCH(A3523,'Semrush Data'!$A$1:$A$20000,0),MATCH("CPC*",'Semrush Data'!$A$1:$Z$1,0)),"")</f>
        <v/>
      </c>
      <c r="J3523" s="6" t="str">
        <f aca="false">IFERROR(INDEX('Semrush Data'!$A$1:$Z$20000,MATCH(A3523,'Semrush Data'!$A$1:$A$20000,0),MATCH("Intent",'Semrush Data'!$A$1:$Z$1,0)),"")</f>
        <v/>
      </c>
    </row>
    <row r="3524" customFormat="false" ht="15" hidden="false" customHeight="true" outlineLevel="0" collapsed="false">
      <c r="A3524" s="6" t="s">
        <v>4944</v>
      </c>
      <c r="B3524" s="6" t="s">
        <v>249</v>
      </c>
      <c r="C3524" s="6" t="n">
        <v>3</v>
      </c>
      <c r="D3524" s="6" t="n">
        <v>36</v>
      </c>
      <c r="E3524" s="6" t="n">
        <v>2</v>
      </c>
      <c r="F3524" s="6" t="s">
        <v>6853</v>
      </c>
      <c r="G3524" s="28" t="str">
        <f aca="false">IFERROR(INDEX('Semrush Data'!$A$1:$Z$20000,MATCH(A3524,'Semrush Data'!$A$1:$A$20000,0),MATCH("Volume",'Semrush Data'!$A$1:$Z$1,0)),"")</f>
        <v/>
      </c>
      <c r="H3524" s="6" t="str">
        <f aca="false">IFERROR(INDEX('Semrush Data'!$A$1:$Z$20000,MATCH(A3524,'Semrush Data'!$A$1:$A$20000,0),MATCH("Keyword Difficulty*",'Semrush Data'!$A$1:$Z$1,0)),"")</f>
        <v/>
      </c>
      <c r="I3524" s="29" t="str">
        <f aca="false">IFERROR(INDEX('Semrush Data'!$A$1:$Z$20000,MATCH(A3524,'Semrush Data'!$A$1:$A$20000,0),MATCH("CPC*",'Semrush Data'!$A$1:$Z$1,0)),"")</f>
        <v/>
      </c>
      <c r="J3524" s="6" t="str">
        <f aca="false">IFERROR(INDEX('Semrush Data'!$A$1:$Z$20000,MATCH(A3524,'Semrush Data'!$A$1:$A$20000,0),MATCH("Intent",'Semrush Data'!$A$1:$Z$1,0)),"")</f>
        <v/>
      </c>
    </row>
    <row r="3525" customFormat="false" ht="15" hidden="false" customHeight="true" outlineLevel="0" collapsed="false">
      <c r="A3525" s="6" t="s">
        <v>4900</v>
      </c>
      <c r="B3525" s="6" t="s">
        <v>249</v>
      </c>
      <c r="C3525" s="6" t="n">
        <v>3</v>
      </c>
      <c r="D3525" s="6" t="n">
        <v>36</v>
      </c>
      <c r="E3525" s="6" t="n">
        <v>2</v>
      </c>
      <c r="F3525" s="6" t="s">
        <v>6854</v>
      </c>
      <c r="G3525" s="28" t="str">
        <f aca="false">IFERROR(INDEX('Semrush Data'!$A$1:$Z$20000,MATCH(A3525,'Semrush Data'!$A$1:$A$20000,0),MATCH("Volume",'Semrush Data'!$A$1:$Z$1,0)),"")</f>
        <v/>
      </c>
      <c r="H3525" s="6" t="str">
        <f aca="false">IFERROR(INDEX('Semrush Data'!$A$1:$Z$20000,MATCH(A3525,'Semrush Data'!$A$1:$A$20000,0),MATCH("Keyword Difficulty*",'Semrush Data'!$A$1:$Z$1,0)),"")</f>
        <v/>
      </c>
      <c r="I3525" s="29" t="str">
        <f aca="false">IFERROR(INDEX('Semrush Data'!$A$1:$Z$20000,MATCH(A3525,'Semrush Data'!$A$1:$A$20000,0),MATCH("CPC*",'Semrush Data'!$A$1:$Z$1,0)),"")</f>
        <v/>
      </c>
      <c r="J3525" s="6" t="str">
        <f aca="false">IFERROR(INDEX('Semrush Data'!$A$1:$Z$20000,MATCH(A3525,'Semrush Data'!$A$1:$A$20000,0),MATCH("Intent",'Semrush Data'!$A$1:$Z$1,0)),"")</f>
        <v/>
      </c>
    </row>
    <row r="3526" customFormat="false" ht="15" hidden="false" customHeight="true" outlineLevel="0" collapsed="false">
      <c r="A3526" s="6" t="s">
        <v>4918</v>
      </c>
      <c r="B3526" s="6" t="s">
        <v>249</v>
      </c>
      <c r="C3526" s="6" t="n">
        <v>3</v>
      </c>
      <c r="D3526" s="6" t="n">
        <v>36</v>
      </c>
      <c r="E3526" s="6" t="n">
        <v>1</v>
      </c>
      <c r="F3526" s="6" t="s">
        <v>4913</v>
      </c>
      <c r="G3526" s="28" t="str">
        <f aca="false">IFERROR(INDEX('Semrush Data'!$A$1:$Z$20000,MATCH(A3526,'Semrush Data'!$A$1:$A$20000,0),MATCH("Volume",'Semrush Data'!$A$1:$Z$1,0)),"")</f>
        <v/>
      </c>
      <c r="H3526" s="6" t="str">
        <f aca="false">IFERROR(INDEX('Semrush Data'!$A$1:$Z$20000,MATCH(A3526,'Semrush Data'!$A$1:$A$20000,0),MATCH("Keyword Difficulty*",'Semrush Data'!$A$1:$Z$1,0)),"")</f>
        <v/>
      </c>
      <c r="I3526" s="29" t="str">
        <f aca="false">IFERROR(INDEX('Semrush Data'!$A$1:$Z$20000,MATCH(A3526,'Semrush Data'!$A$1:$A$20000,0),MATCH("CPC*",'Semrush Data'!$A$1:$Z$1,0)),"")</f>
        <v/>
      </c>
      <c r="J3526" s="6" t="str">
        <f aca="false">IFERROR(INDEX('Semrush Data'!$A$1:$Z$20000,MATCH(A3526,'Semrush Data'!$A$1:$A$20000,0),MATCH("Intent",'Semrush Data'!$A$1:$Z$1,0)),"")</f>
        <v/>
      </c>
    </row>
    <row r="3527" customFormat="false" ht="15" hidden="false" customHeight="true" outlineLevel="0" collapsed="false">
      <c r="A3527" s="6" t="s">
        <v>4929</v>
      </c>
      <c r="B3527" s="6" t="s">
        <v>249</v>
      </c>
      <c r="C3527" s="6" t="n">
        <v>3</v>
      </c>
      <c r="D3527" s="6" t="n">
        <v>36</v>
      </c>
      <c r="E3527" s="6" t="n">
        <v>2</v>
      </c>
      <c r="F3527" s="6" t="s">
        <v>6855</v>
      </c>
      <c r="G3527" s="28" t="str">
        <f aca="false">IFERROR(INDEX('Semrush Data'!$A$1:$Z$20000,MATCH(A3527,'Semrush Data'!$A$1:$A$20000,0),MATCH("Volume",'Semrush Data'!$A$1:$Z$1,0)),"")</f>
        <v/>
      </c>
      <c r="H3527" s="6" t="str">
        <f aca="false">IFERROR(INDEX('Semrush Data'!$A$1:$Z$20000,MATCH(A3527,'Semrush Data'!$A$1:$A$20000,0),MATCH("Keyword Difficulty*",'Semrush Data'!$A$1:$Z$1,0)),"")</f>
        <v/>
      </c>
      <c r="I3527" s="29" t="str">
        <f aca="false">IFERROR(INDEX('Semrush Data'!$A$1:$Z$20000,MATCH(A3527,'Semrush Data'!$A$1:$A$20000,0),MATCH("CPC*",'Semrush Data'!$A$1:$Z$1,0)),"")</f>
        <v/>
      </c>
      <c r="J3527" s="6" t="str">
        <f aca="false">IFERROR(INDEX('Semrush Data'!$A$1:$Z$20000,MATCH(A3527,'Semrush Data'!$A$1:$A$20000,0),MATCH("Intent",'Semrush Data'!$A$1:$Z$1,0)),"")</f>
        <v/>
      </c>
    </row>
    <row r="3528" customFormat="false" ht="15" hidden="false" customHeight="true" outlineLevel="0" collapsed="false">
      <c r="A3528" s="6" t="s">
        <v>4959</v>
      </c>
      <c r="B3528" s="6" t="s">
        <v>249</v>
      </c>
      <c r="C3528" s="6" t="n">
        <v>3</v>
      </c>
      <c r="D3528" s="6" t="n">
        <v>36</v>
      </c>
      <c r="E3528" s="6" t="n">
        <v>1</v>
      </c>
      <c r="F3528" s="6" t="s">
        <v>4954</v>
      </c>
      <c r="G3528" s="28" t="str">
        <f aca="false">IFERROR(INDEX('Semrush Data'!$A$1:$Z$20000,MATCH(A3528,'Semrush Data'!$A$1:$A$20000,0),MATCH("Volume",'Semrush Data'!$A$1:$Z$1,0)),"")</f>
        <v/>
      </c>
      <c r="H3528" s="6" t="str">
        <f aca="false">IFERROR(INDEX('Semrush Data'!$A$1:$Z$20000,MATCH(A3528,'Semrush Data'!$A$1:$A$20000,0),MATCH("Keyword Difficulty*",'Semrush Data'!$A$1:$Z$1,0)),"")</f>
        <v/>
      </c>
      <c r="I3528" s="29" t="str">
        <f aca="false">IFERROR(INDEX('Semrush Data'!$A$1:$Z$20000,MATCH(A3528,'Semrush Data'!$A$1:$A$20000,0),MATCH("CPC*",'Semrush Data'!$A$1:$Z$1,0)),"")</f>
        <v/>
      </c>
      <c r="J3528" s="6" t="str">
        <f aca="false">IFERROR(INDEX('Semrush Data'!$A$1:$Z$20000,MATCH(A3528,'Semrush Data'!$A$1:$A$20000,0),MATCH("Intent",'Semrush Data'!$A$1:$Z$1,0)),"")</f>
        <v/>
      </c>
    </row>
    <row r="3529" customFormat="false" ht="15" hidden="false" customHeight="true" outlineLevel="0" collapsed="false">
      <c r="A3529" s="6" t="s">
        <v>4971</v>
      </c>
      <c r="B3529" s="6" t="s">
        <v>249</v>
      </c>
      <c r="C3529" s="6" t="n">
        <v>3</v>
      </c>
      <c r="D3529" s="6" t="n">
        <v>36</v>
      </c>
      <c r="E3529" s="6" t="n">
        <v>1</v>
      </c>
      <c r="F3529" s="6" t="s">
        <v>4966</v>
      </c>
      <c r="G3529" s="28" t="str">
        <f aca="false">IFERROR(INDEX('Semrush Data'!$A$1:$Z$20000,MATCH(A3529,'Semrush Data'!$A$1:$A$20000,0),MATCH("Volume",'Semrush Data'!$A$1:$Z$1,0)),"")</f>
        <v/>
      </c>
      <c r="H3529" s="6" t="str">
        <f aca="false">IFERROR(INDEX('Semrush Data'!$A$1:$Z$20000,MATCH(A3529,'Semrush Data'!$A$1:$A$20000,0),MATCH("Keyword Difficulty*",'Semrush Data'!$A$1:$Z$1,0)),"")</f>
        <v/>
      </c>
      <c r="I3529" s="29" t="str">
        <f aca="false">IFERROR(INDEX('Semrush Data'!$A$1:$Z$20000,MATCH(A3529,'Semrush Data'!$A$1:$A$20000,0),MATCH("CPC*",'Semrush Data'!$A$1:$Z$1,0)),"")</f>
        <v/>
      </c>
      <c r="J3529" s="6" t="str">
        <f aca="false">IFERROR(INDEX('Semrush Data'!$A$1:$Z$20000,MATCH(A3529,'Semrush Data'!$A$1:$A$20000,0),MATCH("Intent",'Semrush Data'!$A$1:$Z$1,0)),"")</f>
        <v/>
      </c>
    </row>
    <row r="3530" customFormat="false" ht="15" hidden="false" customHeight="true" outlineLevel="0" collapsed="false">
      <c r="A3530" s="6" t="s">
        <v>4981</v>
      </c>
      <c r="B3530" s="6" t="s">
        <v>249</v>
      </c>
      <c r="C3530" s="6" t="n">
        <v>3</v>
      </c>
      <c r="D3530" s="6" t="n">
        <v>36</v>
      </c>
      <c r="E3530" s="6" t="n">
        <v>1</v>
      </c>
      <c r="F3530" s="6" t="s">
        <v>4976</v>
      </c>
      <c r="G3530" s="28" t="str">
        <f aca="false">IFERROR(INDEX('Semrush Data'!$A$1:$Z$20000,MATCH(A3530,'Semrush Data'!$A$1:$A$20000,0),MATCH("Volume",'Semrush Data'!$A$1:$Z$1,0)),"")</f>
        <v/>
      </c>
      <c r="H3530" s="6" t="str">
        <f aca="false">IFERROR(INDEX('Semrush Data'!$A$1:$Z$20000,MATCH(A3530,'Semrush Data'!$A$1:$A$20000,0),MATCH("Keyword Difficulty*",'Semrush Data'!$A$1:$Z$1,0)),"")</f>
        <v/>
      </c>
      <c r="I3530" s="29" t="str">
        <f aca="false">IFERROR(INDEX('Semrush Data'!$A$1:$Z$20000,MATCH(A3530,'Semrush Data'!$A$1:$A$20000,0),MATCH("CPC*",'Semrush Data'!$A$1:$Z$1,0)),"")</f>
        <v/>
      </c>
      <c r="J3530" s="6" t="str">
        <f aca="false">IFERROR(INDEX('Semrush Data'!$A$1:$Z$20000,MATCH(A3530,'Semrush Data'!$A$1:$A$20000,0),MATCH("Intent",'Semrush Data'!$A$1:$Z$1,0)),"")</f>
        <v/>
      </c>
    </row>
    <row r="3531" customFormat="false" ht="15" hidden="false" customHeight="true" outlineLevel="0" collapsed="false">
      <c r="A3531" s="6" t="s">
        <v>4991</v>
      </c>
      <c r="B3531" s="6" t="s">
        <v>249</v>
      </c>
      <c r="C3531" s="6" t="n">
        <v>3</v>
      </c>
      <c r="D3531" s="6" t="n">
        <v>36</v>
      </c>
      <c r="E3531" s="6" t="n">
        <v>2</v>
      </c>
      <c r="F3531" s="6" t="s">
        <v>6856</v>
      </c>
      <c r="G3531" s="28" t="str">
        <f aca="false">IFERROR(INDEX('Semrush Data'!$A$1:$Z$20000,MATCH(A3531,'Semrush Data'!$A$1:$A$20000,0),MATCH("Volume",'Semrush Data'!$A$1:$Z$1,0)),"")</f>
        <v/>
      </c>
      <c r="H3531" s="6" t="str">
        <f aca="false">IFERROR(INDEX('Semrush Data'!$A$1:$Z$20000,MATCH(A3531,'Semrush Data'!$A$1:$A$20000,0),MATCH("Keyword Difficulty*",'Semrush Data'!$A$1:$Z$1,0)),"")</f>
        <v/>
      </c>
      <c r="I3531" s="29" t="str">
        <f aca="false">IFERROR(INDEX('Semrush Data'!$A$1:$Z$20000,MATCH(A3531,'Semrush Data'!$A$1:$A$20000,0),MATCH("CPC*",'Semrush Data'!$A$1:$Z$1,0)),"")</f>
        <v/>
      </c>
      <c r="J3531" s="6" t="str">
        <f aca="false">IFERROR(INDEX('Semrush Data'!$A$1:$Z$20000,MATCH(A3531,'Semrush Data'!$A$1:$A$20000,0),MATCH("Intent",'Semrush Data'!$A$1:$Z$1,0)),"")</f>
        <v/>
      </c>
    </row>
    <row r="3532" customFormat="false" ht="15" hidden="false" customHeight="true" outlineLevel="0" collapsed="false">
      <c r="A3532" s="6" t="s">
        <v>5006</v>
      </c>
      <c r="B3532" s="6" t="s">
        <v>249</v>
      </c>
      <c r="C3532" s="6" t="n">
        <v>3</v>
      </c>
      <c r="D3532" s="6" t="n">
        <v>36</v>
      </c>
      <c r="E3532" s="6" t="n">
        <v>2</v>
      </c>
      <c r="F3532" s="6" t="s">
        <v>6857</v>
      </c>
      <c r="G3532" s="28" t="str">
        <f aca="false">IFERROR(INDEX('Semrush Data'!$A$1:$Z$20000,MATCH(A3532,'Semrush Data'!$A$1:$A$20000,0),MATCH("Volume",'Semrush Data'!$A$1:$Z$1,0)),"")</f>
        <v/>
      </c>
      <c r="H3532" s="6" t="str">
        <f aca="false">IFERROR(INDEX('Semrush Data'!$A$1:$Z$20000,MATCH(A3532,'Semrush Data'!$A$1:$A$20000,0),MATCH("Keyword Difficulty*",'Semrush Data'!$A$1:$Z$1,0)),"")</f>
        <v/>
      </c>
      <c r="I3532" s="29" t="str">
        <f aca="false">IFERROR(INDEX('Semrush Data'!$A$1:$Z$20000,MATCH(A3532,'Semrush Data'!$A$1:$A$20000,0),MATCH("CPC*",'Semrush Data'!$A$1:$Z$1,0)),"")</f>
        <v/>
      </c>
      <c r="J3532" s="6" t="str">
        <f aca="false">IFERROR(INDEX('Semrush Data'!$A$1:$Z$20000,MATCH(A3532,'Semrush Data'!$A$1:$A$20000,0),MATCH("Intent",'Semrush Data'!$A$1:$Z$1,0)),"")</f>
        <v/>
      </c>
    </row>
    <row r="3533" customFormat="false" ht="15" hidden="false" customHeight="true" outlineLevel="0" collapsed="false">
      <c r="A3533" s="6" t="s">
        <v>5021</v>
      </c>
      <c r="B3533" s="6" t="s">
        <v>249</v>
      </c>
      <c r="C3533" s="6" t="n">
        <v>3</v>
      </c>
      <c r="D3533" s="6" t="n">
        <v>36</v>
      </c>
      <c r="E3533" s="6" t="n">
        <v>2</v>
      </c>
      <c r="F3533" s="6" t="s">
        <v>6858</v>
      </c>
      <c r="G3533" s="28" t="str">
        <f aca="false">IFERROR(INDEX('Semrush Data'!$A$1:$Z$20000,MATCH(A3533,'Semrush Data'!$A$1:$A$20000,0),MATCH("Volume",'Semrush Data'!$A$1:$Z$1,0)),"")</f>
        <v/>
      </c>
      <c r="H3533" s="6" t="str">
        <f aca="false">IFERROR(INDEX('Semrush Data'!$A$1:$Z$20000,MATCH(A3533,'Semrush Data'!$A$1:$A$20000,0),MATCH("Keyword Difficulty*",'Semrush Data'!$A$1:$Z$1,0)),"")</f>
        <v/>
      </c>
      <c r="I3533" s="29" t="str">
        <f aca="false">IFERROR(INDEX('Semrush Data'!$A$1:$Z$20000,MATCH(A3533,'Semrush Data'!$A$1:$A$20000,0),MATCH("CPC*",'Semrush Data'!$A$1:$Z$1,0)),"")</f>
        <v/>
      </c>
      <c r="J3533" s="6" t="str">
        <f aca="false">IFERROR(INDEX('Semrush Data'!$A$1:$Z$20000,MATCH(A3533,'Semrush Data'!$A$1:$A$20000,0),MATCH("Intent",'Semrush Data'!$A$1:$Z$1,0)),"")</f>
        <v/>
      </c>
    </row>
    <row r="3534" customFormat="false" ht="15" hidden="false" customHeight="true" outlineLevel="0" collapsed="false">
      <c r="A3534" s="6" t="s">
        <v>5037</v>
      </c>
      <c r="B3534" s="6" t="s">
        <v>249</v>
      </c>
      <c r="C3534" s="6" t="n">
        <v>3</v>
      </c>
      <c r="D3534" s="6" t="n">
        <v>36</v>
      </c>
      <c r="E3534" s="6" t="n">
        <v>2</v>
      </c>
      <c r="F3534" s="6" t="s">
        <v>6859</v>
      </c>
      <c r="G3534" s="28" t="str">
        <f aca="false">IFERROR(INDEX('Semrush Data'!$A$1:$Z$20000,MATCH(A3534,'Semrush Data'!$A$1:$A$20000,0),MATCH("Volume",'Semrush Data'!$A$1:$Z$1,0)),"")</f>
        <v/>
      </c>
      <c r="H3534" s="6" t="str">
        <f aca="false">IFERROR(INDEX('Semrush Data'!$A$1:$Z$20000,MATCH(A3534,'Semrush Data'!$A$1:$A$20000,0),MATCH("Keyword Difficulty*",'Semrush Data'!$A$1:$Z$1,0)),"")</f>
        <v/>
      </c>
      <c r="I3534" s="29" t="str">
        <f aca="false">IFERROR(INDEX('Semrush Data'!$A$1:$Z$20000,MATCH(A3534,'Semrush Data'!$A$1:$A$20000,0),MATCH("CPC*",'Semrush Data'!$A$1:$Z$1,0)),"")</f>
        <v/>
      </c>
      <c r="J3534" s="6" t="str">
        <f aca="false">IFERROR(INDEX('Semrush Data'!$A$1:$Z$20000,MATCH(A3534,'Semrush Data'!$A$1:$A$20000,0),MATCH("Intent",'Semrush Data'!$A$1:$Z$1,0)),"")</f>
        <v/>
      </c>
    </row>
    <row r="3535" customFormat="false" ht="15" hidden="false" customHeight="true" outlineLevel="0" collapsed="false">
      <c r="A3535" s="6" t="s">
        <v>5055</v>
      </c>
      <c r="B3535" s="6" t="s">
        <v>249</v>
      </c>
      <c r="C3535" s="6" t="n">
        <v>3</v>
      </c>
      <c r="D3535" s="6" t="n">
        <v>36</v>
      </c>
      <c r="E3535" s="6" t="n">
        <v>1</v>
      </c>
      <c r="F3535" s="6" t="s">
        <v>5048</v>
      </c>
      <c r="G3535" s="28" t="str">
        <f aca="false">IFERROR(INDEX('Semrush Data'!$A$1:$Z$20000,MATCH(A3535,'Semrush Data'!$A$1:$A$20000,0),MATCH("Volume",'Semrush Data'!$A$1:$Z$1,0)),"")</f>
        <v/>
      </c>
      <c r="H3535" s="6" t="str">
        <f aca="false">IFERROR(INDEX('Semrush Data'!$A$1:$Z$20000,MATCH(A3535,'Semrush Data'!$A$1:$A$20000,0),MATCH("Keyword Difficulty*",'Semrush Data'!$A$1:$Z$1,0)),"")</f>
        <v/>
      </c>
      <c r="I3535" s="29" t="str">
        <f aca="false">IFERROR(INDEX('Semrush Data'!$A$1:$Z$20000,MATCH(A3535,'Semrush Data'!$A$1:$A$20000,0),MATCH("CPC*",'Semrush Data'!$A$1:$Z$1,0)),"")</f>
        <v/>
      </c>
      <c r="J3535" s="6" t="str">
        <f aca="false">IFERROR(INDEX('Semrush Data'!$A$1:$Z$20000,MATCH(A3535,'Semrush Data'!$A$1:$A$20000,0),MATCH("Intent",'Semrush Data'!$A$1:$Z$1,0)),"")</f>
        <v/>
      </c>
    </row>
    <row r="3536" customFormat="false" ht="15" hidden="false" customHeight="true" outlineLevel="0" collapsed="false">
      <c r="A3536" s="6" t="s">
        <v>5990</v>
      </c>
      <c r="B3536" s="6" t="s">
        <v>249</v>
      </c>
      <c r="C3536" s="6" t="n">
        <v>3</v>
      </c>
      <c r="D3536" s="6" t="n">
        <v>36</v>
      </c>
      <c r="E3536" s="6" t="n">
        <v>1</v>
      </c>
      <c r="F3536" s="6" t="s">
        <v>5984</v>
      </c>
      <c r="G3536" s="28" t="str">
        <f aca="false">IFERROR(INDEX('Semrush Data'!$A$1:$Z$20000,MATCH(A3536,'Semrush Data'!$A$1:$A$20000,0),MATCH("Volume",'Semrush Data'!$A$1:$Z$1,0)),"")</f>
        <v/>
      </c>
      <c r="H3536" s="6" t="str">
        <f aca="false">IFERROR(INDEX('Semrush Data'!$A$1:$Z$20000,MATCH(A3536,'Semrush Data'!$A$1:$A$20000,0),MATCH("Keyword Difficulty*",'Semrush Data'!$A$1:$Z$1,0)),"")</f>
        <v/>
      </c>
      <c r="I3536" s="29" t="str">
        <f aca="false">IFERROR(INDEX('Semrush Data'!$A$1:$Z$20000,MATCH(A3536,'Semrush Data'!$A$1:$A$20000,0),MATCH("CPC*",'Semrush Data'!$A$1:$Z$1,0)),"")</f>
        <v/>
      </c>
      <c r="J3536" s="6" t="str">
        <f aca="false">IFERROR(INDEX('Semrush Data'!$A$1:$Z$20000,MATCH(A3536,'Semrush Data'!$A$1:$A$20000,0),MATCH("Intent",'Semrush Data'!$A$1:$Z$1,0)),"")</f>
        <v/>
      </c>
    </row>
    <row r="3537" customFormat="false" ht="15" hidden="false" customHeight="true" outlineLevel="0" collapsed="false">
      <c r="A3537" s="6" t="s">
        <v>5968</v>
      </c>
      <c r="B3537" s="6" t="s">
        <v>249</v>
      </c>
      <c r="C3537" s="6" t="n">
        <v>3</v>
      </c>
      <c r="D3537" s="6" t="n">
        <v>36</v>
      </c>
      <c r="E3537" s="6" t="n">
        <v>1</v>
      </c>
      <c r="F3537" s="6" t="s">
        <v>5963</v>
      </c>
      <c r="G3537" s="28" t="str">
        <f aca="false">IFERROR(INDEX('Semrush Data'!$A$1:$Z$20000,MATCH(A3537,'Semrush Data'!$A$1:$A$20000,0),MATCH("Volume",'Semrush Data'!$A$1:$Z$1,0)),"")</f>
        <v/>
      </c>
      <c r="H3537" s="6" t="str">
        <f aca="false">IFERROR(INDEX('Semrush Data'!$A$1:$Z$20000,MATCH(A3537,'Semrush Data'!$A$1:$A$20000,0),MATCH("Keyword Difficulty*",'Semrush Data'!$A$1:$Z$1,0)),"")</f>
        <v/>
      </c>
      <c r="I3537" s="29" t="str">
        <f aca="false">IFERROR(INDEX('Semrush Data'!$A$1:$Z$20000,MATCH(A3537,'Semrush Data'!$A$1:$A$20000,0),MATCH("CPC*",'Semrush Data'!$A$1:$Z$1,0)),"")</f>
        <v/>
      </c>
      <c r="J3537" s="6" t="str">
        <f aca="false">IFERROR(INDEX('Semrush Data'!$A$1:$Z$20000,MATCH(A3537,'Semrush Data'!$A$1:$A$20000,0),MATCH("Intent",'Semrush Data'!$A$1:$Z$1,0)),"")</f>
        <v/>
      </c>
    </row>
    <row r="3538" customFormat="false" ht="15" hidden="false" customHeight="true" outlineLevel="0" collapsed="false">
      <c r="A3538" s="6" t="s">
        <v>5947</v>
      </c>
      <c r="B3538" s="6" t="s">
        <v>249</v>
      </c>
      <c r="C3538" s="6" t="n">
        <v>3</v>
      </c>
      <c r="D3538" s="6" t="n">
        <v>36</v>
      </c>
      <c r="E3538" s="6" t="n">
        <v>1</v>
      </c>
      <c r="F3538" s="6" t="s">
        <v>5942</v>
      </c>
      <c r="G3538" s="28" t="str">
        <f aca="false">IFERROR(INDEX('Semrush Data'!$A$1:$Z$20000,MATCH(A3538,'Semrush Data'!$A$1:$A$20000,0),MATCH("Volume",'Semrush Data'!$A$1:$Z$1,0)),"")</f>
        <v/>
      </c>
      <c r="H3538" s="6" t="str">
        <f aca="false">IFERROR(INDEX('Semrush Data'!$A$1:$Z$20000,MATCH(A3538,'Semrush Data'!$A$1:$A$20000,0),MATCH("Keyword Difficulty*",'Semrush Data'!$A$1:$Z$1,0)),"")</f>
        <v/>
      </c>
      <c r="I3538" s="29" t="str">
        <f aca="false">IFERROR(INDEX('Semrush Data'!$A$1:$Z$20000,MATCH(A3538,'Semrush Data'!$A$1:$A$20000,0),MATCH("CPC*",'Semrush Data'!$A$1:$Z$1,0)),"")</f>
        <v/>
      </c>
      <c r="J3538" s="6" t="str">
        <f aca="false">IFERROR(INDEX('Semrush Data'!$A$1:$Z$20000,MATCH(A3538,'Semrush Data'!$A$1:$A$20000,0),MATCH("Intent",'Semrush Data'!$A$1:$Z$1,0)),"")</f>
        <v/>
      </c>
    </row>
    <row r="3539" customFormat="false" ht="15" hidden="false" customHeight="true" outlineLevel="0" collapsed="false">
      <c r="A3539" s="6" t="s">
        <v>5957</v>
      </c>
      <c r="B3539" s="6" t="s">
        <v>249</v>
      </c>
      <c r="C3539" s="6" t="n">
        <v>3</v>
      </c>
      <c r="D3539" s="6" t="n">
        <v>36</v>
      </c>
      <c r="E3539" s="6" t="n">
        <v>1</v>
      </c>
      <c r="F3539" s="6" t="s">
        <v>5952</v>
      </c>
      <c r="G3539" s="28" t="str">
        <f aca="false">IFERROR(INDEX('Semrush Data'!$A$1:$Z$20000,MATCH(A3539,'Semrush Data'!$A$1:$A$20000,0),MATCH("Volume",'Semrush Data'!$A$1:$Z$1,0)),"")</f>
        <v/>
      </c>
      <c r="H3539" s="6" t="str">
        <f aca="false">IFERROR(INDEX('Semrush Data'!$A$1:$Z$20000,MATCH(A3539,'Semrush Data'!$A$1:$A$20000,0),MATCH("Keyword Difficulty*",'Semrush Data'!$A$1:$Z$1,0)),"")</f>
        <v/>
      </c>
      <c r="I3539" s="29" t="str">
        <f aca="false">IFERROR(INDEX('Semrush Data'!$A$1:$Z$20000,MATCH(A3539,'Semrush Data'!$A$1:$A$20000,0),MATCH("CPC*",'Semrush Data'!$A$1:$Z$1,0)),"")</f>
        <v/>
      </c>
      <c r="J3539" s="6" t="str">
        <f aca="false">IFERROR(INDEX('Semrush Data'!$A$1:$Z$20000,MATCH(A3539,'Semrush Data'!$A$1:$A$20000,0),MATCH("Intent",'Semrush Data'!$A$1:$Z$1,0)),"")</f>
        <v/>
      </c>
    </row>
    <row r="3540" customFormat="false" ht="15" hidden="false" customHeight="true" outlineLevel="0" collapsed="false">
      <c r="A3540" s="6" t="s">
        <v>5067</v>
      </c>
      <c r="B3540" s="6" t="s">
        <v>249</v>
      </c>
      <c r="C3540" s="6" t="n">
        <v>3</v>
      </c>
      <c r="D3540" s="6" t="n">
        <v>36</v>
      </c>
      <c r="E3540" s="6" t="n">
        <v>1</v>
      </c>
      <c r="F3540" s="6" t="s">
        <v>5061</v>
      </c>
      <c r="G3540" s="28" t="str">
        <f aca="false">IFERROR(INDEX('Semrush Data'!$A$1:$Z$20000,MATCH(A3540,'Semrush Data'!$A$1:$A$20000,0),MATCH("Volume",'Semrush Data'!$A$1:$Z$1,0)),"")</f>
        <v/>
      </c>
      <c r="H3540" s="6" t="str">
        <f aca="false">IFERROR(INDEX('Semrush Data'!$A$1:$Z$20000,MATCH(A3540,'Semrush Data'!$A$1:$A$20000,0),MATCH("Keyword Difficulty*",'Semrush Data'!$A$1:$Z$1,0)),"")</f>
        <v/>
      </c>
      <c r="I3540" s="29" t="str">
        <f aca="false">IFERROR(INDEX('Semrush Data'!$A$1:$Z$20000,MATCH(A3540,'Semrush Data'!$A$1:$A$20000,0),MATCH("CPC*",'Semrush Data'!$A$1:$Z$1,0)),"")</f>
        <v/>
      </c>
      <c r="J3540" s="6" t="str">
        <f aca="false">IFERROR(INDEX('Semrush Data'!$A$1:$Z$20000,MATCH(A3540,'Semrush Data'!$A$1:$A$20000,0),MATCH("Intent",'Semrush Data'!$A$1:$Z$1,0)),"")</f>
        <v/>
      </c>
    </row>
    <row r="3541" customFormat="false" ht="15" hidden="false" customHeight="true" outlineLevel="0" collapsed="false">
      <c r="A3541" s="6" t="s">
        <v>5119</v>
      </c>
      <c r="B3541" s="6" t="s">
        <v>249</v>
      </c>
      <c r="C3541" s="6" t="n">
        <v>3</v>
      </c>
      <c r="D3541" s="6" t="n">
        <v>36</v>
      </c>
      <c r="E3541" s="6" t="n">
        <v>1</v>
      </c>
      <c r="F3541" s="6" t="s">
        <v>107</v>
      </c>
      <c r="G3541" s="28" t="str">
        <f aca="false">IFERROR(INDEX('Semrush Data'!$A$1:$Z$20000,MATCH(A3541,'Semrush Data'!$A$1:$A$20000,0),MATCH("Volume",'Semrush Data'!$A$1:$Z$1,0)),"")</f>
        <v/>
      </c>
      <c r="H3541" s="6" t="str">
        <f aca="false">IFERROR(INDEX('Semrush Data'!$A$1:$Z$20000,MATCH(A3541,'Semrush Data'!$A$1:$A$20000,0),MATCH("Keyword Difficulty*",'Semrush Data'!$A$1:$Z$1,0)),"")</f>
        <v/>
      </c>
      <c r="I3541" s="29" t="str">
        <f aca="false">IFERROR(INDEX('Semrush Data'!$A$1:$Z$20000,MATCH(A3541,'Semrush Data'!$A$1:$A$20000,0),MATCH("CPC*",'Semrush Data'!$A$1:$Z$1,0)),"")</f>
        <v/>
      </c>
      <c r="J3541" s="6" t="str">
        <f aca="false">IFERROR(INDEX('Semrush Data'!$A$1:$Z$20000,MATCH(A3541,'Semrush Data'!$A$1:$A$20000,0),MATCH("Intent",'Semrush Data'!$A$1:$Z$1,0)),"")</f>
        <v/>
      </c>
    </row>
    <row r="3542" customFormat="false" ht="15" hidden="false" customHeight="true" outlineLevel="0" collapsed="false">
      <c r="A3542" s="6" t="s">
        <v>5101</v>
      </c>
      <c r="B3542" s="6" t="s">
        <v>249</v>
      </c>
      <c r="C3542" s="6" t="n">
        <v>3</v>
      </c>
      <c r="D3542" s="6" t="n">
        <v>36</v>
      </c>
      <c r="E3542" s="6" t="n">
        <v>1</v>
      </c>
      <c r="F3542" s="6" t="s">
        <v>5096</v>
      </c>
      <c r="G3542" s="28" t="str">
        <f aca="false">IFERROR(INDEX('Semrush Data'!$A$1:$Z$20000,MATCH(A3542,'Semrush Data'!$A$1:$A$20000,0),MATCH("Volume",'Semrush Data'!$A$1:$Z$1,0)),"")</f>
        <v/>
      </c>
      <c r="H3542" s="6" t="str">
        <f aca="false">IFERROR(INDEX('Semrush Data'!$A$1:$Z$20000,MATCH(A3542,'Semrush Data'!$A$1:$A$20000,0),MATCH("Keyword Difficulty*",'Semrush Data'!$A$1:$Z$1,0)),"")</f>
        <v/>
      </c>
      <c r="I3542" s="29" t="str">
        <f aca="false">IFERROR(INDEX('Semrush Data'!$A$1:$Z$20000,MATCH(A3542,'Semrush Data'!$A$1:$A$20000,0),MATCH("CPC*",'Semrush Data'!$A$1:$Z$1,0)),"")</f>
        <v/>
      </c>
      <c r="J3542" s="6" t="str">
        <f aca="false">IFERROR(INDEX('Semrush Data'!$A$1:$Z$20000,MATCH(A3542,'Semrush Data'!$A$1:$A$20000,0),MATCH("Intent",'Semrush Data'!$A$1:$Z$1,0)),"")</f>
        <v/>
      </c>
    </row>
    <row r="3543" customFormat="false" ht="15" hidden="false" customHeight="true" outlineLevel="0" collapsed="false">
      <c r="A3543" s="6" t="s">
        <v>5079</v>
      </c>
      <c r="B3543" s="6" t="s">
        <v>249</v>
      </c>
      <c r="C3543" s="6" t="n">
        <v>3</v>
      </c>
      <c r="D3543" s="6" t="s">
        <v>6870</v>
      </c>
      <c r="E3543" s="6" t="n">
        <v>1</v>
      </c>
      <c r="F3543" s="6" t="s">
        <v>65</v>
      </c>
      <c r="G3543" s="28" t="n">
        <f aca="false">IFERROR(INDEX('Semrush Data'!$A$1:$Z$20000,MATCH(A3543,'Semrush Data'!$A$1:$A$20000,0),MATCH("Volume",'Semrush Data'!$A$1:$Z$1,0)),"")</f>
        <v>20</v>
      </c>
      <c r="H3543" s="6" t="n">
        <f aca="false">IFERROR(INDEX('Semrush Data'!$A$1:$Z$20000,MATCH(A3543,'Semrush Data'!$A$1:$A$20000,0),MATCH("Keyword Difficulty*",'Semrush Data'!$A$1:$Z$1,0)),"")</f>
        <v>18</v>
      </c>
      <c r="I3543" s="29" t="n">
        <f aca="false">IFERROR(INDEX('Semrush Data'!$A$1:$Z$20000,MATCH(A3543,'Semrush Data'!$A$1:$A$20000,0),MATCH("CPC*",'Semrush Data'!$A$1:$Z$1,0)),"")</f>
        <v>0</v>
      </c>
      <c r="J3543" s="6" t="str">
        <f aca="false">IFERROR(INDEX('Semrush Data'!$A$1:$Z$20000,MATCH(A3543,'Semrush Data'!$A$1:$A$20000,0),MATCH("Intent",'Semrush Data'!$A$1:$Z$1,0)),"")</f>
        <v>Transactional</v>
      </c>
    </row>
    <row r="3544" customFormat="false" ht="15" hidden="false" customHeight="true" outlineLevel="0" collapsed="false">
      <c r="A3544" s="6" t="s">
        <v>5110</v>
      </c>
      <c r="B3544" s="6" t="s">
        <v>249</v>
      </c>
      <c r="C3544" s="6" t="n">
        <v>3</v>
      </c>
      <c r="D3544" s="6" t="n">
        <v>36</v>
      </c>
      <c r="E3544" s="6" t="n">
        <v>1</v>
      </c>
      <c r="F3544" s="6" t="s">
        <v>89</v>
      </c>
      <c r="G3544" s="28" t="str">
        <f aca="false">IFERROR(INDEX('Semrush Data'!$A$1:$Z$20000,MATCH(A3544,'Semrush Data'!$A$1:$A$20000,0),MATCH("Volume",'Semrush Data'!$A$1:$Z$1,0)),"")</f>
        <v/>
      </c>
      <c r="H3544" s="6" t="str">
        <f aca="false">IFERROR(INDEX('Semrush Data'!$A$1:$Z$20000,MATCH(A3544,'Semrush Data'!$A$1:$A$20000,0),MATCH("Keyword Difficulty*",'Semrush Data'!$A$1:$Z$1,0)),"")</f>
        <v/>
      </c>
      <c r="I3544" s="29" t="str">
        <f aca="false">IFERROR(INDEX('Semrush Data'!$A$1:$Z$20000,MATCH(A3544,'Semrush Data'!$A$1:$A$20000,0),MATCH("CPC*",'Semrush Data'!$A$1:$Z$1,0)),"")</f>
        <v/>
      </c>
      <c r="J3544" s="6" t="str">
        <f aca="false">IFERROR(INDEX('Semrush Data'!$A$1:$Z$20000,MATCH(A3544,'Semrush Data'!$A$1:$A$20000,0),MATCH("Intent",'Semrush Data'!$A$1:$Z$1,0)),"")</f>
        <v/>
      </c>
    </row>
    <row r="3545" customFormat="false" ht="15" hidden="false" customHeight="true" outlineLevel="0" collapsed="false">
      <c r="A3545" s="6" t="s">
        <v>5090</v>
      </c>
      <c r="B3545" s="6" t="s">
        <v>249</v>
      </c>
      <c r="C3545" s="6" t="n">
        <v>3</v>
      </c>
      <c r="D3545" s="6" t="n">
        <v>36</v>
      </c>
      <c r="E3545" s="6" t="n">
        <v>1</v>
      </c>
      <c r="F3545" s="6" t="s">
        <v>5085</v>
      </c>
      <c r="G3545" s="28" t="str">
        <f aca="false">IFERROR(INDEX('Semrush Data'!$A$1:$Z$20000,MATCH(A3545,'Semrush Data'!$A$1:$A$20000,0),MATCH("Volume",'Semrush Data'!$A$1:$Z$1,0)),"")</f>
        <v/>
      </c>
      <c r="H3545" s="6" t="str">
        <f aca="false">IFERROR(INDEX('Semrush Data'!$A$1:$Z$20000,MATCH(A3545,'Semrush Data'!$A$1:$A$20000,0),MATCH("Keyword Difficulty*",'Semrush Data'!$A$1:$Z$1,0)),"")</f>
        <v/>
      </c>
      <c r="I3545" s="29" t="str">
        <f aca="false">IFERROR(INDEX('Semrush Data'!$A$1:$Z$20000,MATCH(A3545,'Semrush Data'!$A$1:$A$20000,0),MATCH("CPC*",'Semrush Data'!$A$1:$Z$1,0)),"")</f>
        <v/>
      </c>
      <c r="J3545" s="6" t="str">
        <f aca="false">IFERROR(INDEX('Semrush Data'!$A$1:$Z$20000,MATCH(A3545,'Semrush Data'!$A$1:$A$20000,0),MATCH("Intent",'Semrush Data'!$A$1:$Z$1,0)),"")</f>
        <v/>
      </c>
    </row>
    <row r="3546" customFormat="false" ht="15" hidden="false" customHeight="true" outlineLevel="0" collapsed="false">
      <c r="A3546" s="6" t="s">
        <v>5145</v>
      </c>
      <c r="B3546" s="6" t="s">
        <v>249</v>
      </c>
      <c r="C3546" s="6" t="n">
        <v>3</v>
      </c>
      <c r="D3546" s="6" t="n">
        <v>36</v>
      </c>
      <c r="E3546" s="6" t="n">
        <v>1</v>
      </c>
      <c r="F3546" s="6" t="s">
        <v>5139</v>
      </c>
      <c r="G3546" s="28" t="str">
        <f aca="false">IFERROR(INDEX('Semrush Data'!$A$1:$Z$20000,MATCH(A3546,'Semrush Data'!$A$1:$A$20000,0),MATCH("Volume",'Semrush Data'!$A$1:$Z$1,0)),"")</f>
        <v/>
      </c>
      <c r="H3546" s="6" t="str">
        <f aca="false">IFERROR(INDEX('Semrush Data'!$A$1:$Z$20000,MATCH(A3546,'Semrush Data'!$A$1:$A$20000,0),MATCH("Keyword Difficulty*",'Semrush Data'!$A$1:$Z$1,0)),"")</f>
        <v/>
      </c>
      <c r="I3546" s="29" t="str">
        <f aca="false">IFERROR(INDEX('Semrush Data'!$A$1:$Z$20000,MATCH(A3546,'Semrush Data'!$A$1:$A$20000,0),MATCH("CPC*",'Semrush Data'!$A$1:$Z$1,0)),"")</f>
        <v/>
      </c>
      <c r="J3546" s="6" t="str">
        <f aca="false">IFERROR(INDEX('Semrush Data'!$A$1:$Z$20000,MATCH(A3546,'Semrush Data'!$A$1:$A$20000,0),MATCH("Intent",'Semrush Data'!$A$1:$Z$1,0)),"")</f>
        <v/>
      </c>
    </row>
    <row r="3547" customFormat="false" ht="15" hidden="false" customHeight="true" outlineLevel="0" collapsed="false">
      <c r="A3547" s="6" t="s">
        <v>5132</v>
      </c>
      <c r="B3547" s="6" t="s">
        <v>249</v>
      </c>
      <c r="C3547" s="6" t="n">
        <v>3</v>
      </c>
      <c r="D3547" s="6" t="n">
        <v>36</v>
      </c>
      <c r="E3547" s="6" t="n">
        <v>1</v>
      </c>
      <c r="F3547" s="6" t="s">
        <v>5125</v>
      </c>
      <c r="G3547" s="28" t="str">
        <f aca="false">IFERROR(INDEX('Semrush Data'!$A$1:$Z$20000,MATCH(A3547,'Semrush Data'!$A$1:$A$20000,0),MATCH("Volume",'Semrush Data'!$A$1:$Z$1,0)),"")</f>
        <v/>
      </c>
      <c r="H3547" s="6" t="str">
        <f aca="false">IFERROR(INDEX('Semrush Data'!$A$1:$Z$20000,MATCH(A3547,'Semrush Data'!$A$1:$A$20000,0),MATCH("Keyword Difficulty*",'Semrush Data'!$A$1:$Z$1,0)),"")</f>
        <v/>
      </c>
      <c r="I3547" s="29" t="str">
        <f aca="false">IFERROR(INDEX('Semrush Data'!$A$1:$Z$20000,MATCH(A3547,'Semrush Data'!$A$1:$A$20000,0),MATCH("CPC*",'Semrush Data'!$A$1:$Z$1,0)),"")</f>
        <v/>
      </c>
      <c r="J3547" s="6" t="str">
        <f aca="false">IFERROR(INDEX('Semrush Data'!$A$1:$Z$20000,MATCH(A3547,'Semrush Data'!$A$1:$A$20000,0),MATCH("Intent",'Semrush Data'!$A$1:$Z$1,0)),"")</f>
        <v/>
      </c>
    </row>
    <row r="3548" customFormat="false" ht="15" hidden="false" customHeight="true" outlineLevel="0" collapsed="false">
      <c r="A3548" s="6" t="s">
        <v>5158</v>
      </c>
      <c r="B3548" s="6" t="s">
        <v>249</v>
      </c>
      <c r="C3548" s="6" t="n">
        <v>3</v>
      </c>
      <c r="D3548" s="6" t="n">
        <v>36</v>
      </c>
      <c r="E3548" s="6" t="n">
        <v>1</v>
      </c>
      <c r="F3548" s="6" t="s">
        <v>5151</v>
      </c>
      <c r="G3548" s="28" t="str">
        <f aca="false">IFERROR(INDEX('Semrush Data'!$A$1:$Z$20000,MATCH(A3548,'Semrush Data'!$A$1:$A$20000,0),MATCH("Volume",'Semrush Data'!$A$1:$Z$1,0)),"")</f>
        <v/>
      </c>
      <c r="H3548" s="6" t="str">
        <f aca="false">IFERROR(INDEX('Semrush Data'!$A$1:$Z$20000,MATCH(A3548,'Semrush Data'!$A$1:$A$20000,0),MATCH("Keyword Difficulty*",'Semrush Data'!$A$1:$Z$1,0)),"")</f>
        <v/>
      </c>
      <c r="I3548" s="29" t="str">
        <f aca="false">IFERROR(INDEX('Semrush Data'!$A$1:$Z$20000,MATCH(A3548,'Semrush Data'!$A$1:$A$20000,0),MATCH("CPC*",'Semrush Data'!$A$1:$Z$1,0)),"")</f>
        <v/>
      </c>
      <c r="J3548" s="6" t="str">
        <f aca="false">IFERROR(INDEX('Semrush Data'!$A$1:$Z$20000,MATCH(A3548,'Semrush Data'!$A$1:$A$20000,0),MATCH("Intent",'Semrush Data'!$A$1:$Z$1,0)),"")</f>
        <v/>
      </c>
    </row>
    <row r="3549" customFormat="false" ht="15" hidden="false" customHeight="true" outlineLevel="0" collapsed="false">
      <c r="A3549" s="6" t="s">
        <v>5169</v>
      </c>
      <c r="B3549" s="6" t="s">
        <v>249</v>
      </c>
      <c r="C3549" s="6" t="n">
        <v>3</v>
      </c>
      <c r="D3549" s="6" t="n">
        <v>36</v>
      </c>
      <c r="E3549" s="6" t="n">
        <v>1</v>
      </c>
      <c r="F3549" s="6" t="s">
        <v>5164</v>
      </c>
      <c r="G3549" s="28" t="str">
        <f aca="false">IFERROR(INDEX('Semrush Data'!$A$1:$Z$20000,MATCH(A3549,'Semrush Data'!$A$1:$A$20000,0),MATCH("Volume",'Semrush Data'!$A$1:$Z$1,0)),"")</f>
        <v/>
      </c>
      <c r="H3549" s="6" t="str">
        <f aca="false">IFERROR(INDEX('Semrush Data'!$A$1:$Z$20000,MATCH(A3549,'Semrush Data'!$A$1:$A$20000,0),MATCH("Keyword Difficulty*",'Semrush Data'!$A$1:$Z$1,0)),"")</f>
        <v/>
      </c>
      <c r="I3549" s="29" t="str">
        <f aca="false">IFERROR(INDEX('Semrush Data'!$A$1:$Z$20000,MATCH(A3549,'Semrush Data'!$A$1:$A$20000,0),MATCH("CPC*",'Semrush Data'!$A$1:$Z$1,0)),"")</f>
        <v/>
      </c>
      <c r="J3549" s="6" t="str">
        <f aca="false">IFERROR(INDEX('Semrush Data'!$A$1:$Z$20000,MATCH(A3549,'Semrush Data'!$A$1:$A$20000,0),MATCH("Intent",'Semrush Data'!$A$1:$Z$1,0)),"")</f>
        <v/>
      </c>
    </row>
    <row r="3550" customFormat="false" ht="15" hidden="false" customHeight="true" outlineLevel="0" collapsed="false">
      <c r="A3550" s="6" t="s">
        <v>5181</v>
      </c>
      <c r="B3550" s="6" t="s">
        <v>249</v>
      </c>
      <c r="C3550" s="6" t="n">
        <v>3</v>
      </c>
      <c r="D3550" s="6" t="n">
        <v>36</v>
      </c>
      <c r="E3550" s="6" t="n">
        <v>1</v>
      </c>
      <c r="F3550" s="6" t="s">
        <v>5174</v>
      </c>
      <c r="G3550" s="28" t="str">
        <f aca="false">IFERROR(INDEX('Semrush Data'!$A$1:$Z$20000,MATCH(A3550,'Semrush Data'!$A$1:$A$20000,0),MATCH("Volume",'Semrush Data'!$A$1:$Z$1,0)),"")</f>
        <v/>
      </c>
      <c r="H3550" s="6" t="str">
        <f aca="false">IFERROR(INDEX('Semrush Data'!$A$1:$Z$20000,MATCH(A3550,'Semrush Data'!$A$1:$A$20000,0),MATCH("Keyword Difficulty*",'Semrush Data'!$A$1:$Z$1,0)),"")</f>
        <v/>
      </c>
      <c r="I3550" s="29" t="str">
        <f aca="false">IFERROR(INDEX('Semrush Data'!$A$1:$Z$20000,MATCH(A3550,'Semrush Data'!$A$1:$A$20000,0),MATCH("CPC*",'Semrush Data'!$A$1:$Z$1,0)),"")</f>
        <v/>
      </c>
      <c r="J3550" s="6" t="str">
        <f aca="false">IFERROR(INDEX('Semrush Data'!$A$1:$Z$20000,MATCH(A3550,'Semrush Data'!$A$1:$A$20000,0),MATCH("Intent",'Semrush Data'!$A$1:$Z$1,0)),"")</f>
        <v/>
      </c>
    </row>
    <row r="3551" customFormat="false" ht="15" hidden="false" customHeight="true" outlineLevel="0" collapsed="false">
      <c r="A3551" s="6" t="s">
        <v>5191</v>
      </c>
      <c r="B3551" s="6" t="s">
        <v>249</v>
      </c>
      <c r="C3551" s="6" t="n">
        <v>3</v>
      </c>
      <c r="D3551" s="6" t="n">
        <v>36</v>
      </c>
      <c r="E3551" s="6" t="n">
        <v>1</v>
      </c>
      <c r="F3551" s="6" t="s">
        <v>5186</v>
      </c>
      <c r="G3551" s="28" t="str">
        <f aca="false">IFERROR(INDEX('Semrush Data'!$A$1:$Z$20000,MATCH(A3551,'Semrush Data'!$A$1:$A$20000,0),MATCH("Volume",'Semrush Data'!$A$1:$Z$1,0)),"")</f>
        <v/>
      </c>
      <c r="H3551" s="6" t="str">
        <f aca="false">IFERROR(INDEX('Semrush Data'!$A$1:$Z$20000,MATCH(A3551,'Semrush Data'!$A$1:$A$20000,0),MATCH("Keyword Difficulty*",'Semrush Data'!$A$1:$Z$1,0)),"")</f>
        <v/>
      </c>
      <c r="I3551" s="29" t="str">
        <f aca="false">IFERROR(INDEX('Semrush Data'!$A$1:$Z$20000,MATCH(A3551,'Semrush Data'!$A$1:$A$20000,0),MATCH("CPC*",'Semrush Data'!$A$1:$Z$1,0)),"")</f>
        <v/>
      </c>
      <c r="J3551" s="6" t="str">
        <f aca="false">IFERROR(INDEX('Semrush Data'!$A$1:$Z$20000,MATCH(A3551,'Semrush Data'!$A$1:$A$20000,0),MATCH("Intent",'Semrush Data'!$A$1:$Z$1,0)),"")</f>
        <v/>
      </c>
    </row>
    <row r="3552" customFormat="false" ht="15" hidden="false" customHeight="true" outlineLevel="0" collapsed="false">
      <c r="A3552" s="6" t="s">
        <v>5201</v>
      </c>
      <c r="B3552" s="6" t="s">
        <v>249</v>
      </c>
      <c r="C3552" s="6" t="n">
        <v>3</v>
      </c>
      <c r="D3552" s="6" t="n">
        <v>36</v>
      </c>
      <c r="E3552" s="6" t="n">
        <v>1</v>
      </c>
      <c r="F3552" s="6" t="s">
        <v>5195</v>
      </c>
      <c r="G3552" s="28" t="str">
        <f aca="false">IFERROR(INDEX('Semrush Data'!$A$1:$Z$20000,MATCH(A3552,'Semrush Data'!$A$1:$A$20000,0),MATCH("Volume",'Semrush Data'!$A$1:$Z$1,0)),"")</f>
        <v/>
      </c>
      <c r="H3552" s="6" t="str">
        <f aca="false">IFERROR(INDEX('Semrush Data'!$A$1:$Z$20000,MATCH(A3552,'Semrush Data'!$A$1:$A$20000,0),MATCH("Keyword Difficulty*",'Semrush Data'!$A$1:$Z$1,0)),"")</f>
        <v/>
      </c>
      <c r="I3552" s="29" t="str">
        <f aca="false">IFERROR(INDEX('Semrush Data'!$A$1:$Z$20000,MATCH(A3552,'Semrush Data'!$A$1:$A$20000,0),MATCH("CPC*",'Semrush Data'!$A$1:$Z$1,0)),"")</f>
        <v/>
      </c>
      <c r="J3552" s="6" t="str">
        <f aca="false">IFERROR(INDEX('Semrush Data'!$A$1:$Z$20000,MATCH(A3552,'Semrush Data'!$A$1:$A$20000,0),MATCH("Intent",'Semrush Data'!$A$1:$Z$1,0)),"")</f>
        <v/>
      </c>
    </row>
    <row r="3553" customFormat="false" ht="15" hidden="false" customHeight="true" outlineLevel="0" collapsed="false">
      <c r="A3553" s="6" t="s">
        <v>5221</v>
      </c>
      <c r="B3553" s="6" t="s">
        <v>249</v>
      </c>
      <c r="C3553" s="6" t="n">
        <v>3</v>
      </c>
      <c r="D3553" s="6" t="n">
        <v>36</v>
      </c>
      <c r="E3553" s="6" t="n">
        <v>1</v>
      </c>
      <c r="F3553" s="6" t="s">
        <v>5216</v>
      </c>
      <c r="G3553" s="28" t="str">
        <f aca="false">IFERROR(INDEX('Semrush Data'!$A$1:$Z$20000,MATCH(A3553,'Semrush Data'!$A$1:$A$20000,0),MATCH("Volume",'Semrush Data'!$A$1:$Z$1,0)),"")</f>
        <v/>
      </c>
      <c r="H3553" s="6" t="str">
        <f aca="false">IFERROR(INDEX('Semrush Data'!$A$1:$Z$20000,MATCH(A3553,'Semrush Data'!$A$1:$A$20000,0),MATCH("Keyword Difficulty*",'Semrush Data'!$A$1:$Z$1,0)),"")</f>
        <v/>
      </c>
      <c r="I3553" s="29" t="str">
        <f aca="false">IFERROR(INDEX('Semrush Data'!$A$1:$Z$20000,MATCH(A3553,'Semrush Data'!$A$1:$A$20000,0),MATCH("CPC*",'Semrush Data'!$A$1:$Z$1,0)),"")</f>
        <v/>
      </c>
      <c r="J3553" s="6" t="str">
        <f aca="false">IFERROR(INDEX('Semrush Data'!$A$1:$Z$20000,MATCH(A3553,'Semrush Data'!$A$1:$A$20000,0),MATCH("Intent",'Semrush Data'!$A$1:$Z$1,0)),"")</f>
        <v/>
      </c>
    </row>
    <row r="3554" customFormat="false" ht="15" hidden="false" customHeight="true" outlineLevel="0" collapsed="false">
      <c r="A3554" s="6" t="s">
        <v>275</v>
      </c>
      <c r="B3554" s="6" t="s">
        <v>249</v>
      </c>
      <c r="C3554" s="6" t="n">
        <v>3</v>
      </c>
      <c r="D3554" s="6" t="s">
        <v>6870</v>
      </c>
      <c r="E3554" s="6" t="n">
        <v>1</v>
      </c>
      <c r="F3554" s="6" t="s">
        <v>55</v>
      </c>
      <c r="G3554" s="28" t="n">
        <f aca="false">IFERROR(INDEX('Semrush Data'!$A$1:$Z$20000,MATCH(A3554,'Semrush Data'!$A$1:$A$20000,0),MATCH("Volume",'Semrush Data'!$A$1:$Z$1,0)),"")</f>
        <v>30</v>
      </c>
      <c r="H3554" s="6" t="n">
        <f aca="false">IFERROR(INDEX('Semrush Data'!$A$1:$Z$20000,MATCH(A3554,'Semrush Data'!$A$1:$A$20000,0),MATCH("Keyword Difficulty*",'Semrush Data'!$A$1:$Z$1,0)),"")</f>
        <v>14</v>
      </c>
      <c r="I3554" s="29" t="n">
        <f aca="false">IFERROR(INDEX('Semrush Data'!$A$1:$Z$20000,MATCH(A3554,'Semrush Data'!$A$1:$A$20000,0),MATCH("CPC*",'Semrush Data'!$A$1:$Z$1,0)),"")</f>
        <v>0</v>
      </c>
      <c r="J3554" s="6" t="str">
        <f aca="false">IFERROR(INDEX('Semrush Data'!$A$1:$Z$20000,MATCH(A3554,'Semrush Data'!$A$1:$A$20000,0),MATCH("Intent",'Semrush Data'!$A$1:$Z$1,0)),"")</f>
        <v>Transactional</v>
      </c>
    </row>
    <row r="3555" customFormat="false" ht="15" hidden="false" customHeight="true" outlineLevel="0" collapsed="false">
      <c r="A3555" s="6" t="s">
        <v>5234</v>
      </c>
      <c r="B3555" s="6" t="s">
        <v>249</v>
      </c>
      <c r="C3555" s="6" t="n">
        <v>3</v>
      </c>
      <c r="D3555" s="6" t="n">
        <v>36</v>
      </c>
      <c r="E3555" s="6" t="n">
        <v>3</v>
      </c>
      <c r="F3555" s="6" t="s">
        <v>6636</v>
      </c>
      <c r="G3555" s="28" t="str">
        <f aca="false">IFERROR(INDEX('Semrush Data'!$A$1:$Z$20000,MATCH(A3555,'Semrush Data'!$A$1:$A$20000,0),MATCH("Volume",'Semrush Data'!$A$1:$Z$1,0)),"")</f>
        <v/>
      </c>
      <c r="H3555" s="6" t="str">
        <f aca="false">IFERROR(INDEX('Semrush Data'!$A$1:$Z$20000,MATCH(A3555,'Semrush Data'!$A$1:$A$20000,0),MATCH("Keyword Difficulty*",'Semrush Data'!$A$1:$Z$1,0)),"")</f>
        <v/>
      </c>
      <c r="I3555" s="29" t="str">
        <f aca="false">IFERROR(INDEX('Semrush Data'!$A$1:$Z$20000,MATCH(A3555,'Semrush Data'!$A$1:$A$20000,0),MATCH("CPC*",'Semrush Data'!$A$1:$Z$1,0)),"")</f>
        <v/>
      </c>
      <c r="J3555" s="6" t="str">
        <f aca="false">IFERROR(INDEX('Semrush Data'!$A$1:$Z$20000,MATCH(A3555,'Semrush Data'!$A$1:$A$20000,0),MATCH("Intent",'Semrush Data'!$A$1:$Z$1,0)),"")</f>
        <v/>
      </c>
    </row>
    <row r="3556" customFormat="false" ht="15" hidden="false" customHeight="true" outlineLevel="0" collapsed="false">
      <c r="A3556" s="6" t="s">
        <v>5250</v>
      </c>
      <c r="B3556" s="6" t="s">
        <v>249</v>
      </c>
      <c r="C3556" s="6" t="n">
        <v>3</v>
      </c>
      <c r="D3556" s="6" t="n">
        <v>36</v>
      </c>
      <c r="E3556" s="6" t="n">
        <v>1</v>
      </c>
      <c r="F3556" s="6" t="s">
        <v>5244</v>
      </c>
      <c r="G3556" s="28" t="str">
        <f aca="false">IFERROR(INDEX('Semrush Data'!$A$1:$Z$20000,MATCH(A3556,'Semrush Data'!$A$1:$A$20000,0),MATCH("Volume",'Semrush Data'!$A$1:$Z$1,0)),"")</f>
        <v/>
      </c>
      <c r="H3556" s="6" t="str">
        <f aca="false">IFERROR(INDEX('Semrush Data'!$A$1:$Z$20000,MATCH(A3556,'Semrush Data'!$A$1:$A$20000,0),MATCH("Keyword Difficulty*",'Semrush Data'!$A$1:$Z$1,0)),"")</f>
        <v/>
      </c>
      <c r="I3556" s="29" t="str">
        <f aca="false">IFERROR(INDEX('Semrush Data'!$A$1:$Z$20000,MATCH(A3556,'Semrush Data'!$A$1:$A$20000,0),MATCH("CPC*",'Semrush Data'!$A$1:$Z$1,0)),"")</f>
        <v/>
      </c>
      <c r="J3556" s="6" t="str">
        <f aca="false">IFERROR(INDEX('Semrush Data'!$A$1:$Z$20000,MATCH(A3556,'Semrush Data'!$A$1:$A$20000,0),MATCH("Intent",'Semrush Data'!$A$1:$Z$1,0)),"")</f>
        <v/>
      </c>
    </row>
    <row r="3557" customFormat="false" ht="15" hidden="false" customHeight="true" outlineLevel="0" collapsed="false">
      <c r="A3557" s="6" t="s">
        <v>5263</v>
      </c>
      <c r="B3557" s="6" t="s">
        <v>249</v>
      </c>
      <c r="C3557" s="6" t="n">
        <v>3</v>
      </c>
      <c r="D3557" s="6" t="n">
        <v>36</v>
      </c>
      <c r="E3557" s="6" t="n">
        <v>1</v>
      </c>
      <c r="F3557" s="6" t="s">
        <v>5257</v>
      </c>
      <c r="G3557" s="28" t="str">
        <f aca="false">IFERROR(INDEX('Semrush Data'!$A$1:$Z$20000,MATCH(A3557,'Semrush Data'!$A$1:$A$20000,0),MATCH("Volume",'Semrush Data'!$A$1:$Z$1,0)),"")</f>
        <v/>
      </c>
      <c r="H3557" s="6" t="str">
        <f aca="false">IFERROR(INDEX('Semrush Data'!$A$1:$Z$20000,MATCH(A3557,'Semrush Data'!$A$1:$A$20000,0),MATCH("Keyword Difficulty*",'Semrush Data'!$A$1:$Z$1,0)),"")</f>
        <v/>
      </c>
      <c r="I3557" s="29" t="str">
        <f aca="false">IFERROR(INDEX('Semrush Data'!$A$1:$Z$20000,MATCH(A3557,'Semrush Data'!$A$1:$A$20000,0),MATCH("CPC*",'Semrush Data'!$A$1:$Z$1,0)),"")</f>
        <v/>
      </c>
      <c r="J3557" s="6" t="str">
        <f aca="false">IFERROR(INDEX('Semrush Data'!$A$1:$Z$20000,MATCH(A3557,'Semrush Data'!$A$1:$A$20000,0),MATCH("Intent",'Semrush Data'!$A$1:$Z$1,0)),"")</f>
        <v/>
      </c>
    </row>
    <row r="3558" customFormat="false" ht="15" hidden="false" customHeight="true" outlineLevel="0" collapsed="false">
      <c r="A3558" s="6" t="s">
        <v>5276</v>
      </c>
      <c r="B3558" s="6" t="s">
        <v>249</v>
      </c>
      <c r="C3558" s="6" t="n">
        <v>3</v>
      </c>
      <c r="D3558" s="6" t="n">
        <v>36</v>
      </c>
      <c r="E3558" s="6" t="n">
        <v>1</v>
      </c>
      <c r="F3558" s="6" t="s">
        <v>5270</v>
      </c>
      <c r="G3558" s="28" t="str">
        <f aca="false">IFERROR(INDEX('Semrush Data'!$A$1:$Z$20000,MATCH(A3558,'Semrush Data'!$A$1:$A$20000,0),MATCH("Volume",'Semrush Data'!$A$1:$Z$1,0)),"")</f>
        <v/>
      </c>
      <c r="H3558" s="6" t="str">
        <f aca="false">IFERROR(INDEX('Semrush Data'!$A$1:$Z$20000,MATCH(A3558,'Semrush Data'!$A$1:$A$20000,0),MATCH("Keyword Difficulty*",'Semrush Data'!$A$1:$Z$1,0)),"")</f>
        <v/>
      </c>
      <c r="I3558" s="29" t="str">
        <f aca="false">IFERROR(INDEX('Semrush Data'!$A$1:$Z$20000,MATCH(A3558,'Semrush Data'!$A$1:$A$20000,0),MATCH("CPC*",'Semrush Data'!$A$1:$Z$1,0)),"")</f>
        <v/>
      </c>
      <c r="J3558" s="6" t="str">
        <f aca="false">IFERROR(INDEX('Semrush Data'!$A$1:$Z$20000,MATCH(A3558,'Semrush Data'!$A$1:$A$20000,0),MATCH("Intent",'Semrush Data'!$A$1:$Z$1,0)),"")</f>
        <v/>
      </c>
    </row>
    <row r="3559" customFormat="false" ht="15" hidden="false" customHeight="true" outlineLevel="0" collapsed="false">
      <c r="A3559" s="6" t="s">
        <v>5978</v>
      </c>
      <c r="B3559" s="6" t="s">
        <v>249</v>
      </c>
      <c r="C3559" s="6" t="n">
        <v>3</v>
      </c>
      <c r="D3559" s="6" t="n">
        <v>36</v>
      </c>
      <c r="E3559" s="6" t="n">
        <v>1</v>
      </c>
      <c r="F3559" s="6" t="s">
        <v>5973</v>
      </c>
      <c r="G3559" s="28" t="str">
        <f aca="false">IFERROR(INDEX('Semrush Data'!$A$1:$Z$20000,MATCH(A3559,'Semrush Data'!$A$1:$A$20000,0),MATCH("Volume",'Semrush Data'!$A$1:$Z$1,0)),"")</f>
        <v/>
      </c>
      <c r="H3559" s="6" t="str">
        <f aca="false">IFERROR(INDEX('Semrush Data'!$A$1:$Z$20000,MATCH(A3559,'Semrush Data'!$A$1:$A$20000,0),MATCH("Keyword Difficulty*",'Semrush Data'!$A$1:$Z$1,0)),"")</f>
        <v/>
      </c>
      <c r="I3559" s="29" t="str">
        <f aca="false">IFERROR(INDEX('Semrush Data'!$A$1:$Z$20000,MATCH(A3559,'Semrush Data'!$A$1:$A$20000,0),MATCH("CPC*",'Semrush Data'!$A$1:$Z$1,0)),"")</f>
        <v/>
      </c>
      <c r="J3559" s="6" t="str">
        <f aca="false">IFERROR(INDEX('Semrush Data'!$A$1:$Z$20000,MATCH(A3559,'Semrush Data'!$A$1:$A$20000,0),MATCH("Intent",'Semrush Data'!$A$1:$Z$1,0)),"")</f>
        <v/>
      </c>
    </row>
    <row r="3560" customFormat="false" ht="15" hidden="false" customHeight="true" outlineLevel="0" collapsed="false">
      <c r="A3560" s="6" t="s">
        <v>5288</v>
      </c>
      <c r="B3560" s="6" t="s">
        <v>249</v>
      </c>
      <c r="C3560" s="6" t="n">
        <v>3</v>
      </c>
      <c r="D3560" s="6" t="n">
        <v>36</v>
      </c>
      <c r="E3560" s="6" t="n">
        <v>1</v>
      </c>
      <c r="F3560" s="6" t="s">
        <v>5282</v>
      </c>
      <c r="G3560" s="28" t="str">
        <f aca="false">IFERROR(INDEX('Semrush Data'!$A$1:$Z$20000,MATCH(A3560,'Semrush Data'!$A$1:$A$20000,0),MATCH("Volume",'Semrush Data'!$A$1:$Z$1,0)),"")</f>
        <v/>
      </c>
      <c r="H3560" s="6" t="str">
        <f aca="false">IFERROR(INDEX('Semrush Data'!$A$1:$Z$20000,MATCH(A3560,'Semrush Data'!$A$1:$A$20000,0),MATCH("Keyword Difficulty*",'Semrush Data'!$A$1:$Z$1,0)),"")</f>
        <v/>
      </c>
      <c r="I3560" s="29" t="str">
        <f aca="false">IFERROR(INDEX('Semrush Data'!$A$1:$Z$20000,MATCH(A3560,'Semrush Data'!$A$1:$A$20000,0),MATCH("CPC*",'Semrush Data'!$A$1:$Z$1,0)),"")</f>
        <v/>
      </c>
      <c r="J3560" s="6" t="str">
        <f aca="false">IFERROR(INDEX('Semrush Data'!$A$1:$Z$20000,MATCH(A3560,'Semrush Data'!$A$1:$A$20000,0),MATCH("Intent",'Semrush Data'!$A$1:$Z$1,0)),"")</f>
        <v/>
      </c>
    </row>
    <row r="3561" customFormat="false" ht="15" hidden="false" customHeight="true" outlineLevel="0" collapsed="false">
      <c r="A3561" s="6" t="s">
        <v>5323</v>
      </c>
      <c r="B3561" s="6" t="s">
        <v>249</v>
      </c>
      <c r="C3561" s="6" t="n">
        <v>3</v>
      </c>
      <c r="D3561" s="6" t="n">
        <v>36</v>
      </c>
      <c r="E3561" s="6" t="n">
        <v>1</v>
      </c>
      <c r="F3561" s="6" t="s">
        <v>5318</v>
      </c>
      <c r="G3561" s="28" t="str">
        <f aca="false">IFERROR(INDEX('Semrush Data'!$A$1:$Z$20000,MATCH(A3561,'Semrush Data'!$A$1:$A$20000,0),MATCH("Volume",'Semrush Data'!$A$1:$Z$1,0)),"")</f>
        <v/>
      </c>
      <c r="H3561" s="6" t="str">
        <f aca="false">IFERROR(INDEX('Semrush Data'!$A$1:$Z$20000,MATCH(A3561,'Semrush Data'!$A$1:$A$20000,0),MATCH("Keyword Difficulty*",'Semrush Data'!$A$1:$Z$1,0)),"")</f>
        <v/>
      </c>
      <c r="I3561" s="29" t="str">
        <f aca="false">IFERROR(INDEX('Semrush Data'!$A$1:$Z$20000,MATCH(A3561,'Semrush Data'!$A$1:$A$20000,0),MATCH("CPC*",'Semrush Data'!$A$1:$Z$1,0)),"")</f>
        <v/>
      </c>
      <c r="J3561" s="6" t="str">
        <f aca="false">IFERROR(INDEX('Semrush Data'!$A$1:$Z$20000,MATCH(A3561,'Semrush Data'!$A$1:$A$20000,0),MATCH("Intent",'Semrush Data'!$A$1:$Z$1,0)),"")</f>
        <v/>
      </c>
    </row>
    <row r="3562" customFormat="false" ht="15" hidden="false" customHeight="true" outlineLevel="0" collapsed="false">
      <c r="A3562" s="6" t="s">
        <v>5346</v>
      </c>
      <c r="B3562" s="6" t="s">
        <v>249</v>
      </c>
      <c r="C3562" s="6" t="n">
        <v>3</v>
      </c>
      <c r="D3562" s="6" t="n">
        <v>36</v>
      </c>
      <c r="E3562" s="6" t="n">
        <v>1</v>
      </c>
      <c r="F3562" s="6" t="s">
        <v>5340</v>
      </c>
      <c r="G3562" s="28" t="str">
        <f aca="false">IFERROR(INDEX('Semrush Data'!$A$1:$Z$20000,MATCH(A3562,'Semrush Data'!$A$1:$A$20000,0),MATCH("Volume",'Semrush Data'!$A$1:$Z$1,0)),"")</f>
        <v/>
      </c>
      <c r="H3562" s="6" t="str">
        <f aca="false">IFERROR(INDEX('Semrush Data'!$A$1:$Z$20000,MATCH(A3562,'Semrush Data'!$A$1:$A$20000,0),MATCH("Keyword Difficulty*",'Semrush Data'!$A$1:$Z$1,0)),"")</f>
        <v/>
      </c>
      <c r="I3562" s="29" t="str">
        <f aca="false">IFERROR(INDEX('Semrush Data'!$A$1:$Z$20000,MATCH(A3562,'Semrush Data'!$A$1:$A$20000,0),MATCH("CPC*",'Semrush Data'!$A$1:$Z$1,0)),"")</f>
        <v/>
      </c>
      <c r="J3562" s="6" t="str">
        <f aca="false">IFERROR(INDEX('Semrush Data'!$A$1:$Z$20000,MATCH(A3562,'Semrush Data'!$A$1:$A$20000,0),MATCH("Intent",'Semrush Data'!$A$1:$Z$1,0)),"")</f>
        <v/>
      </c>
    </row>
    <row r="3563" customFormat="false" ht="15" hidden="false" customHeight="true" outlineLevel="0" collapsed="false">
      <c r="A3563" s="6" t="s">
        <v>5333</v>
      </c>
      <c r="B3563" s="6" t="s">
        <v>249</v>
      </c>
      <c r="C3563" s="6" t="n">
        <v>3</v>
      </c>
      <c r="D3563" s="6" t="n">
        <v>36</v>
      </c>
      <c r="E3563" s="6" t="n">
        <v>1</v>
      </c>
      <c r="F3563" s="6" t="s">
        <v>5328</v>
      </c>
      <c r="G3563" s="28" t="str">
        <f aca="false">IFERROR(INDEX('Semrush Data'!$A$1:$Z$20000,MATCH(A3563,'Semrush Data'!$A$1:$A$20000,0),MATCH("Volume",'Semrush Data'!$A$1:$Z$1,0)),"")</f>
        <v/>
      </c>
      <c r="H3563" s="6" t="str">
        <f aca="false">IFERROR(INDEX('Semrush Data'!$A$1:$Z$20000,MATCH(A3563,'Semrush Data'!$A$1:$A$20000,0),MATCH("Keyword Difficulty*",'Semrush Data'!$A$1:$Z$1,0)),"")</f>
        <v/>
      </c>
      <c r="I3563" s="29" t="str">
        <f aca="false">IFERROR(INDEX('Semrush Data'!$A$1:$Z$20000,MATCH(A3563,'Semrush Data'!$A$1:$A$20000,0),MATCH("CPC*",'Semrush Data'!$A$1:$Z$1,0)),"")</f>
        <v/>
      </c>
      <c r="J3563" s="6" t="str">
        <f aca="false">IFERROR(INDEX('Semrush Data'!$A$1:$Z$20000,MATCH(A3563,'Semrush Data'!$A$1:$A$20000,0),MATCH("Intent",'Semrush Data'!$A$1:$Z$1,0)),"")</f>
        <v/>
      </c>
    </row>
    <row r="3564" customFormat="false" ht="15" hidden="false" customHeight="true" outlineLevel="0" collapsed="false">
      <c r="A3564" s="6" t="s">
        <v>5300</v>
      </c>
      <c r="B3564" s="6" t="s">
        <v>249</v>
      </c>
      <c r="C3564" s="6" t="n">
        <v>3</v>
      </c>
      <c r="D3564" s="6" t="n">
        <v>36</v>
      </c>
      <c r="E3564" s="6" t="n">
        <v>1</v>
      </c>
      <c r="F3564" s="6" t="s">
        <v>5294</v>
      </c>
      <c r="G3564" s="28" t="str">
        <f aca="false">IFERROR(INDEX('Semrush Data'!$A$1:$Z$20000,MATCH(A3564,'Semrush Data'!$A$1:$A$20000,0),MATCH("Volume",'Semrush Data'!$A$1:$Z$1,0)),"")</f>
        <v/>
      </c>
      <c r="H3564" s="6" t="str">
        <f aca="false">IFERROR(INDEX('Semrush Data'!$A$1:$Z$20000,MATCH(A3564,'Semrush Data'!$A$1:$A$20000,0),MATCH("Keyword Difficulty*",'Semrush Data'!$A$1:$Z$1,0)),"")</f>
        <v/>
      </c>
      <c r="I3564" s="29" t="str">
        <f aca="false">IFERROR(INDEX('Semrush Data'!$A$1:$Z$20000,MATCH(A3564,'Semrush Data'!$A$1:$A$20000,0),MATCH("CPC*",'Semrush Data'!$A$1:$Z$1,0)),"")</f>
        <v/>
      </c>
      <c r="J3564" s="6" t="str">
        <f aca="false">IFERROR(INDEX('Semrush Data'!$A$1:$Z$20000,MATCH(A3564,'Semrush Data'!$A$1:$A$20000,0),MATCH("Intent",'Semrush Data'!$A$1:$Z$1,0)),"")</f>
        <v/>
      </c>
    </row>
    <row r="3565" customFormat="false" ht="15" hidden="false" customHeight="true" outlineLevel="0" collapsed="false">
      <c r="A3565" s="6" t="s">
        <v>5312</v>
      </c>
      <c r="B3565" s="6" t="s">
        <v>249</v>
      </c>
      <c r="C3565" s="6" t="n">
        <v>3</v>
      </c>
      <c r="D3565" s="6" t="n">
        <v>36</v>
      </c>
      <c r="E3565" s="6" t="n">
        <v>1</v>
      </c>
      <c r="F3565" s="6" t="s">
        <v>5307</v>
      </c>
      <c r="G3565" s="28" t="str">
        <f aca="false">IFERROR(INDEX('Semrush Data'!$A$1:$Z$20000,MATCH(A3565,'Semrush Data'!$A$1:$A$20000,0),MATCH("Volume",'Semrush Data'!$A$1:$Z$1,0)),"")</f>
        <v/>
      </c>
      <c r="H3565" s="6" t="str">
        <f aca="false">IFERROR(INDEX('Semrush Data'!$A$1:$Z$20000,MATCH(A3565,'Semrush Data'!$A$1:$A$20000,0),MATCH("Keyword Difficulty*",'Semrush Data'!$A$1:$Z$1,0)),"")</f>
        <v/>
      </c>
      <c r="I3565" s="29" t="str">
        <f aca="false">IFERROR(INDEX('Semrush Data'!$A$1:$Z$20000,MATCH(A3565,'Semrush Data'!$A$1:$A$20000,0),MATCH("CPC*",'Semrush Data'!$A$1:$Z$1,0)),"")</f>
        <v/>
      </c>
      <c r="J3565" s="6" t="str">
        <f aca="false">IFERROR(INDEX('Semrush Data'!$A$1:$Z$20000,MATCH(A3565,'Semrush Data'!$A$1:$A$20000,0),MATCH("Intent",'Semrush Data'!$A$1:$Z$1,0)),"")</f>
        <v/>
      </c>
    </row>
    <row r="3566" customFormat="false" ht="15" hidden="false" customHeight="true" outlineLevel="0" collapsed="false">
      <c r="A3566" s="6" t="s">
        <v>5355</v>
      </c>
      <c r="B3566" s="6" t="s">
        <v>249</v>
      </c>
      <c r="C3566" s="6" t="n">
        <v>3</v>
      </c>
      <c r="D3566" s="6" t="n">
        <v>36</v>
      </c>
      <c r="E3566" s="6" t="n">
        <v>1</v>
      </c>
      <c r="F3566" s="6" t="s">
        <v>5349</v>
      </c>
      <c r="G3566" s="28" t="str">
        <f aca="false">IFERROR(INDEX('Semrush Data'!$A$1:$Z$20000,MATCH(A3566,'Semrush Data'!$A$1:$A$20000,0),MATCH("Volume",'Semrush Data'!$A$1:$Z$1,0)),"")</f>
        <v/>
      </c>
      <c r="H3566" s="6" t="str">
        <f aca="false">IFERROR(INDEX('Semrush Data'!$A$1:$Z$20000,MATCH(A3566,'Semrush Data'!$A$1:$A$20000,0),MATCH("Keyword Difficulty*",'Semrush Data'!$A$1:$Z$1,0)),"")</f>
        <v/>
      </c>
      <c r="I3566" s="29" t="str">
        <f aca="false">IFERROR(INDEX('Semrush Data'!$A$1:$Z$20000,MATCH(A3566,'Semrush Data'!$A$1:$A$20000,0),MATCH("CPC*",'Semrush Data'!$A$1:$Z$1,0)),"")</f>
        <v/>
      </c>
      <c r="J3566" s="6" t="str">
        <f aca="false">IFERROR(INDEX('Semrush Data'!$A$1:$Z$20000,MATCH(A3566,'Semrush Data'!$A$1:$A$20000,0),MATCH("Intent",'Semrush Data'!$A$1:$Z$1,0)),"")</f>
        <v/>
      </c>
    </row>
    <row r="3567" customFormat="false" ht="15" hidden="false" customHeight="true" outlineLevel="0" collapsed="false">
      <c r="A3567" s="6" t="s">
        <v>5367</v>
      </c>
      <c r="B3567" s="6" t="s">
        <v>249</v>
      </c>
      <c r="C3567" s="6" t="n">
        <v>3</v>
      </c>
      <c r="D3567" s="6" t="n">
        <v>36</v>
      </c>
      <c r="E3567" s="6" t="n">
        <v>1</v>
      </c>
      <c r="F3567" s="6" t="s">
        <v>5362</v>
      </c>
      <c r="G3567" s="28" t="str">
        <f aca="false">IFERROR(INDEX('Semrush Data'!$A$1:$Z$20000,MATCH(A3567,'Semrush Data'!$A$1:$A$20000,0),MATCH("Volume",'Semrush Data'!$A$1:$Z$1,0)),"")</f>
        <v/>
      </c>
      <c r="H3567" s="6" t="str">
        <f aca="false">IFERROR(INDEX('Semrush Data'!$A$1:$Z$20000,MATCH(A3567,'Semrush Data'!$A$1:$A$20000,0),MATCH("Keyword Difficulty*",'Semrush Data'!$A$1:$Z$1,0)),"")</f>
        <v/>
      </c>
      <c r="I3567" s="29" t="str">
        <f aca="false">IFERROR(INDEX('Semrush Data'!$A$1:$Z$20000,MATCH(A3567,'Semrush Data'!$A$1:$A$20000,0),MATCH("CPC*",'Semrush Data'!$A$1:$Z$1,0)),"")</f>
        <v/>
      </c>
      <c r="J3567" s="6" t="str">
        <f aca="false">IFERROR(INDEX('Semrush Data'!$A$1:$Z$20000,MATCH(A3567,'Semrush Data'!$A$1:$A$20000,0),MATCH("Intent",'Semrush Data'!$A$1:$Z$1,0)),"")</f>
        <v/>
      </c>
    </row>
    <row r="3568" customFormat="false" ht="15" hidden="false" customHeight="true" outlineLevel="0" collapsed="false">
      <c r="A3568" s="6" t="s">
        <v>5378</v>
      </c>
      <c r="B3568" s="6" t="s">
        <v>249</v>
      </c>
      <c r="C3568" s="6" t="n">
        <v>3</v>
      </c>
      <c r="D3568" s="6" t="n">
        <v>36</v>
      </c>
      <c r="E3568" s="6" t="n">
        <v>1</v>
      </c>
      <c r="F3568" s="6" t="s">
        <v>5373</v>
      </c>
      <c r="G3568" s="28" t="str">
        <f aca="false">IFERROR(INDEX('Semrush Data'!$A$1:$Z$20000,MATCH(A3568,'Semrush Data'!$A$1:$A$20000,0),MATCH("Volume",'Semrush Data'!$A$1:$Z$1,0)),"")</f>
        <v/>
      </c>
      <c r="H3568" s="6" t="str">
        <f aca="false">IFERROR(INDEX('Semrush Data'!$A$1:$Z$20000,MATCH(A3568,'Semrush Data'!$A$1:$A$20000,0),MATCH("Keyword Difficulty*",'Semrush Data'!$A$1:$Z$1,0)),"")</f>
        <v/>
      </c>
      <c r="I3568" s="29" t="str">
        <f aca="false">IFERROR(INDEX('Semrush Data'!$A$1:$Z$20000,MATCH(A3568,'Semrush Data'!$A$1:$A$20000,0),MATCH("CPC*",'Semrush Data'!$A$1:$Z$1,0)),"")</f>
        <v/>
      </c>
      <c r="J3568" s="6" t="str">
        <f aca="false">IFERROR(INDEX('Semrush Data'!$A$1:$Z$20000,MATCH(A3568,'Semrush Data'!$A$1:$A$20000,0),MATCH("Intent",'Semrush Data'!$A$1:$Z$1,0)),"")</f>
        <v/>
      </c>
    </row>
    <row r="3569" customFormat="false" ht="15" hidden="false" customHeight="true" outlineLevel="0" collapsed="false">
      <c r="A3569" s="6" t="s">
        <v>5390</v>
      </c>
      <c r="B3569" s="6" t="s">
        <v>249</v>
      </c>
      <c r="C3569" s="6" t="n">
        <v>3</v>
      </c>
      <c r="D3569" s="6" t="n">
        <v>36</v>
      </c>
      <c r="E3569" s="6" t="n">
        <v>1</v>
      </c>
      <c r="F3569" s="6" t="s">
        <v>5385</v>
      </c>
      <c r="G3569" s="28" t="str">
        <f aca="false">IFERROR(INDEX('Semrush Data'!$A$1:$Z$20000,MATCH(A3569,'Semrush Data'!$A$1:$A$20000,0),MATCH("Volume",'Semrush Data'!$A$1:$Z$1,0)),"")</f>
        <v/>
      </c>
      <c r="H3569" s="6" t="str">
        <f aca="false">IFERROR(INDEX('Semrush Data'!$A$1:$Z$20000,MATCH(A3569,'Semrush Data'!$A$1:$A$20000,0),MATCH("Keyword Difficulty*",'Semrush Data'!$A$1:$Z$1,0)),"")</f>
        <v/>
      </c>
      <c r="I3569" s="29" t="str">
        <f aca="false">IFERROR(INDEX('Semrush Data'!$A$1:$Z$20000,MATCH(A3569,'Semrush Data'!$A$1:$A$20000,0),MATCH("CPC*",'Semrush Data'!$A$1:$Z$1,0)),"")</f>
        <v/>
      </c>
      <c r="J3569" s="6" t="str">
        <f aca="false">IFERROR(INDEX('Semrush Data'!$A$1:$Z$20000,MATCH(A3569,'Semrush Data'!$A$1:$A$20000,0),MATCH("Intent",'Semrush Data'!$A$1:$Z$1,0)),"")</f>
        <v/>
      </c>
    </row>
    <row r="3570" customFormat="false" ht="15" hidden="false" customHeight="true" outlineLevel="0" collapsed="false">
      <c r="A3570" s="6" t="s">
        <v>5399</v>
      </c>
      <c r="B3570" s="6" t="s">
        <v>249</v>
      </c>
      <c r="C3570" s="6" t="n">
        <v>3</v>
      </c>
      <c r="D3570" s="6" t="n">
        <v>36</v>
      </c>
      <c r="E3570" s="6" t="n">
        <v>1</v>
      </c>
      <c r="F3570" s="6" t="s">
        <v>143</v>
      </c>
      <c r="G3570" s="28" t="str">
        <f aca="false">IFERROR(INDEX('Semrush Data'!$A$1:$Z$20000,MATCH(A3570,'Semrush Data'!$A$1:$A$20000,0),MATCH("Volume",'Semrush Data'!$A$1:$Z$1,0)),"")</f>
        <v/>
      </c>
      <c r="H3570" s="6" t="str">
        <f aca="false">IFERROR(INDEX('Semrush Data'!$A$1:$Z$20000,MATCH(A3570,'Semrush Data'!$A$1:$A$20000,0),MATCH("Keyword Difficulty*",'Semrush Data'!$A$1:$Z$1,0)),"")</f>
        <v/>
      </c>
      <c r="I3570" s="29" t="str">
        <f aca="false">IFERROR(INDEX('Semrush Data'!$A$1:$Z$20000,MATCH(A3570,'Semrush Data'!$A$1:$A$20000,0),MATCH("CPC*",'Semrush Data'!$A$1:$Z$1,0)),"")</f>
        <v/>
      </c>
      <c r="J3570" s="6" t="str">
        <f aca="false">IFERROR(INDEX('Semrush Data'!$A$1:$Z$20000,MATCH(A3570,'Semrush Data'!$A$1:$A$20000,0),MATCH("Intent",'Semrush Data'!$A$1:$Z$1,0)),"")</f>
        <v/>
      </c>
    </row>
    <row r="3571" customFormat="false" ht="15" hidden="false" customHeight="true" outlineLevel="0" collapsed="false">
      <c r="A3571" s="6" t="s">
        <v>5411</v>
      </c>
      <c r="B3571" s="6" t="s">
        <v>249</v>
      </c>
      <c r="C3571" s="6" t="n">
        <v>3</v>
      </c>
      <c r="D3571" s="6" t="n">
        <v>36</v>
      </c>
      <c r="E3571" s="6" t="n">
        <v>1</v>
      </c>
      <c r="F3571" s="6" t="s">
        <v>5406</v>
      </c>
      <c r="G3571" s="28" t="str">
        <f aca="false">IFERROR(INDEX('Semrush Data'!$A$1:$Z$20000,MATCH(A3571,'Semrush Data'!$A$1:$A$20000,0),MATCH("Volume",'Semrush Data'!$A$1:$Z$1,0)),"")</f>
        <v/>
      </c>
      <c r="H3571" s="6" t="str">
        <f aca="false">IFERROR(INDEX('Semrush Data'!$A$1:$Z$20000,MATCH(A3571,'Semrush Data'!$A$1:$A$20000,0),MATCH("Keyword Difficulty*",'Semrush Data'!$A$1:$Z$1,0)),"")</f>
        <v/>
      </c>
      <c r="I3571" s="29" t="str">
        <f aca="false">IFERROR(INDEX('Semrush Data'!$A$1:$Z$20000,MATCH(A3571,'Semrush Data'!$A$1:$A$20000,0),MATCH("CPC*",'Semrush Data'!$A$1:$Z$1,0)),"")</f>
        <v/>
      </c>
      <c r="J3571" s="6" t="str">
        <f aca="false">IFERROR(INDEX('Semrush Data'!$A$1:$Z$20000,MATCH(A3571,'Semrush Data'!$A$1:$A$20000,0),MATCH("Intent",'Semrush Data'!$A$1:$Z$1,0)),"")</f>
        <v/>
      </c>
    </row>
    <row r="3572" customFormat="false" ht="15" hidden="false" customHeight="true" outlineLevel="0" collapsed="false">
      <c r="A3572" s="6" t="s">
        <v>4466</v>
      </c>
      <c r="B3572" s="6" t="s">
        <v>249</v>
      </c>
      <c r="C3572" s="6" t="n">
        <v>3</v>
      </c>
      <c r="D3572" s="6" t="n">
        <v>36</v>
      </c>
      <c r="E3572" s="6" t="n">
        <v>1</v>
      </c>
      <c r="F3572" s="6" t="s">
        <v>4461</v>
      </c>
      <c r="G3572" s="28" t="str">
        <f aca="false">IFERROR(INDEX('Semrush Data'!$A$1:$Z$20000,MATCH(A3572,'Semrush Data'!$A$1:$A$20000,0),MATCH("Volume",'Semrush Data'!$A$1:$Z$1,0)),"")</f>
        <v/>
      </c>
      <c r="H3572" s="6" t="str">
        <f aca="false">IFERROR(INDEX('Semrush Data'!$A$1:$Z$20000,MATCH(A3572,'Semrush Data'!$A$1:$A$20000,0),MATCH("Keyword Difficulty*",'Semrush Data'!$A$1:$Z$1,0)),"")</f>
        <v/>
      </c>
      <c r="I3572" s="29" t="str">
        <f aca="false">IFERROR(INDEX('Semrush Data'!$A$1:$Z$20000,MATCH(A3572,'Semrush Data'!$A$1:$A$20000,0),MATCH("CPC*",'Semrush Data'!$A$1:$Z$1,0)),"")</f>
        <v/>
      </c>
      <c r="J3572" s="6" t="str">
        <f aca="false">IFERROR(INDEX('Semrush Data'!$A$1:$Z$20000,MATCH(A3572,'Semrush Data'!$A$1:$A$20000,0),MATCH("Intent",'Semrush Data'!$A$1:$Z$1,0)),"")</f>
        <v/>
      </c>
    </row>
    <row r="3573" customFormat="false" ht="15" hidden="false" customHeight="true" outlineLevel="0" collapsed="false">
      <c r="A3573" s="6" t="s">
        <v>4476</v>
      </c>
      <c r="B3573" s="6" t="s">
        <v>249</v>
      </c>
      <c r="C3573" s="6" t="n">
        <v>3</v>
      </c>
      <c r="D3573" s="6" t="n">
        <v>36</v>
      </c>
      <c r="E3573" s="6" t="n">
        <v>1</v>
      </c>
      <c r="F3573" s="6" t="s">
        <v>4471</v>
      </c>
      <c r="G3573" s="28" t="str">
        <f aca="false">IFERROR(INDEX('Semrush Data'!$A$1:$Z$20000,MATCH(A3573,'Semrush Data'!$A$1:$A$20000,0),MATCH("Volume",'Semrush Data'!$A$1:$Z$1,0)),"")</f>
        <v/>
      </c>
      <c r="H3573" s="6" t="str">
        <f aca="false">IFERROR(INDEX('Semrush Data'!$A$1:$Z$20000,MATCH(A3573,'Semrush Data'!$A$1:$A$20000,0),MATCH("Keyword Difficulty*",'Semrush Data'!$A$1:$Z$1,0)),"")</f>
        <v/>
      </c>
      <c r="I3573" s="29" t="str">
        <f aca="false">IFERROR(INDEX('Semrush Data'!$A$1:$Z$20000,MATCH(A3573,'Semrush Data'!$A$1:$A$20000,0),MATCH("CPC*",'Semrush Data'!$A$1:$Z$1,0)),"")</f>
        <v/>
      </c>
      <c r="J3573" s="6" t="str">
        <f aca="false">IFERROR(INDEX('Semrush Data'!$A$1:$Z$20000,MATCH(A3573,'Semrush Data'!$A$1:$A$20000,0),MATCH("Intent",'Semrush Data'!$A$1:$Z$1,0)),"")</f>
        <v/>
      </c>
    </row>
    <row r="3574" customFormat="false" ht="15" hidden="false" customHeight="true" outlineLevel="0" collapsed="false">
      <c r="A3574" s="6" t="s">
        <v>4487</v>
      </c>
      <c r="B3574" s="6" t="s">
        <v>249</v>
      </c>
      <c r="C3574" s="6" t="n">
        <v>3</v>
      </c>
      <c r="D3574" s="6" t="n">
        <v>36</v>
      </c>
      <c r="E3574" s="6" t="n">
        <v>1</v>
      </c>
      <c r="F3574" s="6" t="s">
        <v>4482</v>
      </c>
      <c r="G3574" s="28" t="str">
        <f aca="false">IFERROR(INDEX('Semrush Data'!$A$1:$Z$20000,MATCH(A3574,'Semrush Data'!$A$1:$A$20000,0),MATCH("Volume",'Semrush Data'!$A$1:$Z$1,0)),"")</f>
        <v/>
      </c>
      <c r="H3574" s="6" t="str">
        <f aca="false">IFERROR(INDEX('Semrush Data'!$A$1:$Z$20000,MATCH(A3574,'Semrush Data'!$A$1:$A$20000,0),MATCH("Keyword Difficulty*",'Semrush Data'!$A$1:$Z$1,0)),"")</f>
        <v/>
      </c>
      <c r="I3574" s="29" t="str">
        <f aca="false">IFERROR(INDEX('Semrush Data'!$A$1:$Z$20000,MATCH(A3574,'Semrush Data'!$A$1:$A$20000,0),MATCH("CPC*",'Semrush Data'!$A$1:$Z$1,0)),"")</f>
        <v/>
      </c>
      <c r="J3574" s="6" t="str">
        <f aca="false">IFERROR(INDEX('Semrush Data'!$A$1:$Z$20000,MATCH(A3574,'Semrush Data'!$A$1:$A$20000,0),MATCH("Intent",'Semrush Data'!$A$1:$Z$1,0)),"")</f>
        <v/>
      </c>
    </row>
    <row r="3575" customFormat="false" ht="15" hidden="false" customHeight="true" outlineLevel="0" collapsed="false">
      <c r="A3575" s="6" t="s">
        <v>4497</v>
      </c>
      <c r="B3575" s="6" t="s">
        <v>249</v>
      </c>
      <c r="C3575" s="6" t="n">
        <v>3</v>
      </c>
      <c r="D3575" s="6" t="n">
        <v>36</v>
      </c>
      <c r="E3575" s="6" t="n">
        <v>1</v>
      </c>
      <c r="F3575" s="6" t="s">
        <v>4492</v>
      </c>
      <c r="G3575" s="28" t="str">
        <f aca="false">IFERROR(INDEX('Semrush Data'!$A$1:$Z$20000,MATCH(A3575,'Semrush Data'!$A$1:$A$20000,0),MATCH("Volume",'Semrush Data'!$A$1:$Z$1,0)),"")</f>
        <v/>
      </c>
      <c r="H3575" s="6" t="str">
        <f aca="false">IFERROR(INDEX('Semrush Data'!$A$1:$Z$20000,MATCH(A3575,'Semrush Data'!$A$1:$A$20000,0),MATCH("Keyword Difficulty*",'Semrush Data'!$A$1:$Z$1,0)),"")</f>
        <v/>
      </c>
      <c r="I3575" s="29" t="str">
        <f aca="false">IFERROR(INDEX('Semrush Data'!$A$1:$Z$20000,MATCH(A3575,'Semrush Data'!$A$1:$A$20000,0),MATCH("CPC*",'Semrush Data'!$A$1:$Z$1,0)),"")</f>
        <v/>
      </c>
      <c r="J3575" s="6" t="str">
        <f aca="false">IFERROR(INDEX('Semrush Data'!$A$1:$Z$20000,MATCH(A3575,'Semrush Data'!$A$1:$A$20000,0),MATCH("Intent",'Semrush Data'!$A$1:$Z$1,0)),"")</f>
        <v/>
      </c>
    </row>
    <row r="3576" customFormat="false" ht="15" hidden="false" customHeight="true" outlineLevel="0" collapsed="false">
      <c r="A3576" s="6" t="s">
        <v>4507</v>
      </c>
      <c r="B3576" s="6" t="s">
        <v>249</v>
      </c>
      <c r="C3576" s="6" t="n">
        <v>3</v>
      </c>
      <c r="D3576" s="6" t="n">
        <v>36</v>
      </c>
      <c r="E3576" s="6" t="n">
        <v>1</v>
      </c>
      <c r="F3576" s="6" t="s">
        <v>4502</v>
      </c>
      <c r="G3576" s="28" t="str">
        <f aca="false">IFERROR(INDEX('Semrush Data'!$A$1:$Z$20000,MATCH(A3576,'Semrush Data'!$A$1:$A$20000,0),MATCH("Volume",'Semrush Data'!$A$1:$Z$1,0)),"")</f>
        <v/>
      </c>
      <c r="H3576" s="6" t="str">
        <f aca="false">IFERROR(INDEX('Semrush Data'!$A$1:$Z$20000,MATCH(A3576,'Semrush Data'!$A$1:$A$20000,0),MATCH("Keyword Difficulty*",'Semrush Data'!$A$1:$Z$1,0)),"")</f>
        <v/>
      </c>
      <c r="I3576" s="29" t="str">
        <f aca="false">IFERROR(INDEX('Semrush Data'!$A$1:$Z$20000,MATCH(A3576,'Semrush Data'!$A$1:$A$20000,0),MATCH("CPC*",'Semrush Data'!$A$1:$Z$1,0)),"")</f>
        <v/>
      </c>
      <c r="J3576" s="6" t="str">
        <f aca="false">IFERROR(INDEX('Semrush Data'!$A$1:$Z$20000,MATCH(A3576,'Semrush Data'!$A$1:$A$20000,0),MATCH("Intent",'Semrush Data'!$A$1:$Z$1,0)),"")</f>
        <v/>
      </c>
    </row>
    <row r="3577" customFormat="false" ht="15" hidden="false" customHeight="true" outlineLevel="0" collapsed="false">
      <c r="A3577" s="6" t="s">
        <v>4517</v>
      </c>
      <c r="B3577" s="6" t="s">
        <v>249</v>
      </c>
      <c r="C3577" s="6" t="n">
        <v>3</v>
      </c>
      <c r="D3577" s="6" t="n">
        <v>36</v>
      </c>
      <c r="E3577" s="6" t="n">
        <v>1</v>
      </c>
      <c r="F3577" s="6" t="s">
        <v>4512</v>
      </c>
      <c r="G3577" s="28" t="str">
        <f aca="false">IFERROR(INDEX('Semrush Data'!$A$1:$Z$20000,MATCH(A3577,'Semrush Data'!$A$1:$A$20000,0),MATCH("Volume",'Semrush Data'!$A$1:$Z$1,0)),"")</f>
        <v/>
      </c>
      <c r="H3577" s="6" t="str">
        <f aca="false">IFERROR(INDEX('Semrush Data'!$A$1:$Z$20000,MATCH(A3577,'Semrush Data'!$A$1:$A$20000,0),MATCH("Keyword Difficulty*",'Semrush Data'!$A$1:$Z$1,0)),"")</f>
        <v/>
      </c>
      <c r="I3577" s="29" t="str">
        <f aca="false">IFERROR(INDEX('Semrush Data'!$A$1:$Z$20000,MATCH(A3577,'Semrush Data'!$A$1:$A$20000,0),MATCH("CPC*",'Semrush Data'!$A$1:$Z$1,0)),"")</f>
        <v/>
      </c>
      <c r="J3577" s="6" t="str">
        <f aca="false">IFERROR(INDEX('Semrush Data'!$A$1:$Z$20000,MATCH(A3577,'Semrush Data'!$A$1:$A$20000,0),MATCH("Intent",'Semrush Data'!$A$1:$Z$1,0)),"")</f>
        <v/>
      </c>
    </row>
    <row r="3578" customFormat="false" ht="15" hidden="false" customHeight="true" outlineLevel="0" collapsed="false">
      <c r="A3578" s="6" t="s">
        <v>4527</v>
      </c>
      <c r="B3578" s="6" t="s">
        <v>249</v>
      </c>
      <c r="C3578" s="6" t="n">
        <v>3</v>
      </c>
      <c r="D3578" s="6" t="n">
        <v>36</v>
      </c>
      <c r="E3578" s="6" t="n">
        <v>1</v>
      </c>
      <c r="F3578" s="6" t="s">
        <v>4522</v>
      </c>
      <c r="G3578" s="28" t="str">
        <f aca="false">IFERROR(INDEX('Semrush Data'!$A$1:$Z$20000,MATCH(A3578,'Semrush Data'!$A$1:$A$20000,0),MATCH("Volume",'Semrush Data'!$A$1:$Z$1,0)),"")</f>
        <v/>
      </c>
      <c r="H3578" s="6" t="str">
        <f aca="false">IFERROR(INDEX('Semrush Data'!$A$1:$Z$20000,MATCH(A3578,'Semrush Data'!$A$1:$A$20000,0),MATCH("Keyword Difficulty*",'Semrush Data'!$A$1:$Z$1,0)),"")</f>
        <v/>
      </c>
      <c r="I3578" s="29" t="str">
        <f aca="false">IFERROR(INDEX('Semrush Data'!$A$1:$Z$20000,MATCH(A3578,'Semrush Data'!$A$1:$A$20000,0),MATCH("CPC*",'Semrush Data'!$A$1:$Z$1,0)),"")</f>
        <v/>
      </c>
      <c r="J3578" s="6" t="str">
        <f aca="false">IFERROR(INDEX('Semrush Data'!$A$1:$Z$20000,MATCH(A3578,'Semrush Data'!$A$1:$A$20000,0),MATCH("Intent",'Semrush Data'!$A$1:$Z$1,0)),"")</f>
        <v/>
      </c>
    </row>
    <row r="3579" customFormat="false" ht="15" hidden="false" customHeight="true" outlineLevel="0" collapsed="false">
      <c r="A3579" s="6" t="s">
        <v>4538</v>
      </c>
      <c r="B3579" s="6" t="s">
        <v>249</v>
      </c>
      <c r="C3579" s="6" t="n">
        <v>3</v>
      </c>
      <c r="D3579" s="6" t="n">
        <v>36</v>
      </c>
      <c r="E3579" s="6" t="n">
        <v>1</v>
      </c>
      <c r="F3579" s="6" t="s">
        <v>4533</v>
      </c>
      <c r="G3579" s="28" t="str">
        <f aca="false">IFERROR(INDEX('Semrush Data'!$A$1:$Z$20000,MATCH(A3579,'Semrush Data'!$A$1:$A$20000,0),MATCH("Volume",'Semrush Data'!$A$1:$Z$1,0)),"")</f>
        <v/>
      </c>
      <c r="H3579" s="6" t="str">
        <f aca="false">IFERROR(INDEX('Semrush Data'!$A$1:$Z$20000,MATCH(A3579,'Semrush Data'!$A$1:$A$20000,0),MATCH("Keyword Difficulty*",'Semrush Data'!$A$1:$Z$1,0)),"")</f>
        <v/>
      </c>
      <c r="I3579" s="29" t="str">
        <f aca="false">IFERROR(INDEX('Semrush Data'!$A$1:$Z$20000,MATCH(A3579,'Semrush Data'!$A$1:$A$20000,0),MATCH("CPC*",'Semrush Data'!$A$1:$Z$1,0)),"")</f>
        <v/>
      </c>
      <c r="J3579" s="6" t="str">
        <f aca="false">IFERROR(INDEX('Semrush Data'!$A$1:$Z$20000,MATCH(A3579,'Semrush Data'!$A$1:$A$20000,0),MATCH("Intent",'Semrush Data'!$A$1:$Z$1,0)),"")</f>
        <v/>
      </c>
    </row>
    <row r="3580" customFormat="false" ht="15" hidden="false" customHeight="true" outlineLevel="0" collapsed="false">
      <c r="A3580" s="6" t="s">
        <v>4548</v>
      </c>
      <c r="B3580" s="6" t="s">
        <v>249</v>
      </c>
      <c r="C3580" s="6" t="n">
        <v>3</v>
      </c>
      <c r="D3580" s="6" t="n">
        <v>36</v>
      </c>
      <c r="E3580" s="6" t="n">
        <v>1</v>
      </c>
      <c r="F3580" s="6" t="s">
        <v>4543</v>
      </c>
      <c r="G3580" s="28" t="str">
        <f aca="false">IFERROR(INDEX('Semrush Data'!$A$1:$Z$20000,MATCH(A3580,'Semrush Data'!$A$1:$A$20000,0),MATCH("Volume",'Semrush Data'!$A$1:$Z$1,0)),"")</f>
        <v/>
      </c>
      <c r="H3580" s="6" t="str">
        <f aca="false">IFERROR(INDEX('Semrush Data'!$A$1:$Z$20000,MATCH(A3580,'Semrush Data'!$A$1:$A$20000,0),MATCH("Keyword Difficulty*",'Semrush Data'!$A$1:$Z$1,0)),"")</f>
        <v/>
      </c>
      <c r="I3580" s="29" t="str">
        <f aca="false">IFERROR(INDEX('Semrush Data'!$A$1:$Z$20000,MATCH(A3580,'Semrush Data'!$A$1:$A$20000,0),MATCH("CPC*",'Semrush Data'!$A$1:$Z$1,0)),"")</f>
        <v/>
      </c>
      <c r="J3580" s="6" t="str">
        <f aca="false">IFERROR(INDEX('Semrush Data'!$A$1:$Z$20000,MATCH(A3580,'Semrush Data'!$A$1:$A$20000,0),MATCH("Intent",'Semrush Data'!$A$1:$Z$1,0)),"")</f>
        <v/>
      </c>
    </row>
    <row r="3581" customFormat="false" ht="15" hidden="false" customHeight="true" outlineLevel="0" collapsed="false">
      <c r="A3581" s="6" t="s">
        <v>4558</v>
      </c>
      <c r="B3581" s="6" t="s">
        <v>249</v>
      </c>
      <c r="C3581" s="6" t="n">
        <v>3</v>
      </c>
      <c r="D3581" s="6" t="n">
        <v>36</v>
      </c>
      <c r="E3581" s="6" t="n">
        <v>1</v>
      </c>
      <c r="F3581" s="6" t="s">
        <v>4553</v>
      </c>
      <c r="G3581" s="28" t="str">
        <f aca="false">IFERROR(INDEX('Semrush Data'!$A$1:$Z$20000,MATCH(A3581,'Semrush Data'!$A$1:$A$20000,0),MATCH("Volume",'Semrush Data'!$A$1:$Z$1,0)),"")</f>
        <v/>
      </c>
      <c r="H3581" s="6" t="str">
        <f aca="false">IFERROR(INDEX('Semrush Data'!$A$1:$Z$20000,MATCH(A3581,'Semrush Data'!$A$1:$A$20000,0),MATCH("Keyword Difficulty*",'Semrush Data'!$A$1:$Z$1,0)),"")</f>
        <v/>
      </c>
      <c r="I3581" s="29" t="str">
        <f aca="false">IFERROR(INDEX('Semrush Data'!$A$1:$Z$20000,MATCH(A3581,'Semrush Data'!$A$1:$A$20000,0),MATCH("CPC*",'Semrush Data'!$A$1:$Z$1,0)),"")</f>
        <v/>
      </c>
      <c r="J3581" s="6" t="str">
        <f aca="false">IFERROR(INDEX('Semrush Data'!$A$1:$Z$20000,MATCH(A3581,'Semrush Data'!$A$1:$A$20000,0),MATCH("Intent",'Semrush Data'!$A$1:$Z$1,0)),"")</f>
        <v/>
      </c>
    </row>
    <row r="3582" customFormat="false" ht="15" hidden="false" customHeight="true" outlineLevel="0" collapsed="false">
      <c r="A3582" s="6" t="s">
        <v>4568</v>
      </c>
      <c r="B3582" s="6" t="s">
        <v>249</v>
      </c>
      <c r="C3582" s="6" t="n">
        <v>3</v>
      </c>
      <c r="D3582" s="6" t="n">
        <v>36</v>
      </c>
      <c r="E3582" s="6" t="n">
        <v>1</v>
      </c>
      <c r="F3582" s="6" t="s">
        <v>4563</v>
      </c>
      <c r="G3582" s="28" t="str">
        <f aca="false">IFERROR(INDEX('Semrush Data'!$A$1:$Z$20000,MATCH(A3582,'Semrush Data'!$A$1:$A$20000,0),MATCH("Volume",'Semrush Data'!$A$1:$Z$1,0)),"")</f>
        <v/>
      </c>
      <c r="H3582" s="6" t="str">
        <f aca="false">IFERROR(INDEX('Semrush Data'!$A$1:$Z$20000,MATCH(A3582,'Semrush Data'!$A$1:$A$20000,0),MATCH("Keyword Difficulty*",'Semrush Data'!$A$1:$Z$1,0)),"")</f>
        <v/>
      </c>
      <c r="I3582" s="29" t="str">
        <f aca="false">IFERROR(INDEX('Semrush Data'!$A$1:$Z$20000,MATCH(A3582,'Semrush Data'!$A$1:$A$20000,0),MATCH("CPC*",'Semrush Data'!$A$1:$Z$1,0)),"")</f>
        <v/>
      </c>
      <c r="J3582" s="6" t="str">
        <f aca="false">IFERROR(INDEX('Semrush Data'!$A$1:$Z$20000,MATCH(A3582,'Semrush Data'!$A$1:$A$20000,0),MATCH("Intent",'Semrush Data'!$A$1:$Z$1,0)),"")</f>
        <v/>
      </c>
    </row>
    <row r="3583" customFormat="false" ht="15" hidden="false" customHeight="true" outlineLevel="0" collapsed="false">
      <c r="A3583" s="6" t="s">
        <v>4578</v>
      </c>
      <c r="B3583" s="6" t="s">
        <v>249</v>
      </c>
      <c r="C3583" s="6" t="n">
        <v>3</v>
      </c>
      <c r="D3583" s="6" t="n">
        <v>36</v>
      </c>
      <c r="E3583" s="6" t="n">
        <v>1</v>
      </c>
      <c r="F3583" s="6" t="s">
        <v>4573</v>
      </c>
      <c r="G3583" s="28" t="str">
        <f aca="false">IFERROR(INDEX('Semrush Data'!$A$1:$Z$20000,MATCH(A3583,'Semrush Data'!$A$1:$A$20000,0),MATCH("Volume",'Semrush Data'!$A$1:$Z$1,0)),"")</f>
        <v/>
      </c>
      <c r="H3583" s="6" t="str">
        <f aca="false">IFERROR(INDEX('Semrush Data'!$A$1:$Z$20000,MATCH(A3583,'Semrush Data'!$A$1:$A$20000,0),MATCH("Keyword Difficulty*",'Semrush Data'!$A$1:$Z$1,0)),"")</f>
        <v/>
      </c>
      <c r="I3583" s="29" t="str">
        <f aca="false">IFERROR(INDEX('Semrush Data'!$A$1:$Z$20000,MATCH(A3583,'Semrush Data'!$A$1:$A$20000,0),MATCH("CPC*",'Semrush Data'!$A$1:$Z$1,0)),"")</f>
        <v/>
      </c>
      <c r="J3583" s="6" t="str">
        <f aca="false">IFERROR(INDEX('Semrush Data'!$A$1:$Z$20000,MATCH(A3583,'Semrush Data'!$A$1:$A$20000,0),MATCH("Intent",'Semrush Data'!$A$1:$Z$1,0)),"")</f>
        <v/>
      </c>
    </row>
    <row r="3584" customFormat="false" ht="15" hidden="false" customHeight="true" outlineLevel="0" collapsed="false">
      <c r="A3584" s="6" t="s">
        <v>4588</v>
      </c>
      <c r="B3584" s="6" t="s">
        <v>249</v>
      </c>
      <c r="C3584" s="6" t="n">
        <v>3</v>
      </c>
      <c r="D3584" s="6" t="n">
        <v>36</v>
      </c>
      <c r="E3584" s="6" t="n">
        <v>1</v>
      </c>
      <c r="F3584" s="6" t="s">
        <v>4583</v>
      </c>
      <c r="G3584" s="28" t="str">
        <f aca="false">IFERROR(INDEX('Semrush Data'!$A$1:$Z$20000,MATCH(A3584,'Semrush Data'!$A$1:$A$20000,0),MATCH("Volume",'Semrush Data'!$A$1:$Z$1,0)),"")</f>
        <v/>
      </c>
      <c r="H3584" s="6" t="str">
        <f aca="false">IFERROR(INDEX('Semrush Data'!$A$1:$Z$20000,MATCH(A3584,'Semrush Data'!$A$1:$A$20000,0),MATCH("Keyword Difficulty*",'Semrush Data'!$A$1:$Z$1,0)),"")</f>
        <v/>
      </c>
      <c r="I3584" s="29" t="str">
        <f aca="false">IFERROR(INDEX('Semrush Data'!$A$1:$Z$20000,MATCH(A3584,'Semrush Data'!$A$1:$A$20000,0),MATCH("CPC*",'Semrush Data'!$A$1:$Z$1,0)),"")</f>
        <v/>
      </c>
      <c r="J3584" s="6" t="str">
        <f aca="false">IFERROR(INDEX('Semrush Data'!$A$1:$Z$20000,MATCH(A3584,'Semrush Data'!$A$1:$A$20000,0),MATCH("Intent",'Semrush Data'!$A$1:$Z$1,0)),"")</f>
        <v/>
      </c>
    </row>
    <row r="3585" customFormat="false" ht="15" hidden="false" customHeight="true" outlineLevel="0" collapsed="false">
      <c r="A3585" s="6" t="s">
        <v>4598</v>
      </c>
      <c r="B3585" s="6" t="s">
        <v>249</v>
      </c>
      <c r="C3585" s="6" t="n">
        <v>3</v>
      </c>
      <c r="D3585" s="6" t="n">
        <v>36</v>
      </c>
      <c r="E3585" s="6" t="n">
        <v>1</v>
      </c>
      <c r="F3585" s="6" t="s">
        <v>4593</v>
      </c>
      <c r="G3585" s="28" t="str">
        <f aca="false">IFERROR(INDEX('Semrush Data'!$A$1:$Z$20000,MATCH(A3585,'Semrush Data'!$A$1:$A$20000,0),MATCH("Volume",'Semrush Data'!$A$1:$Z$1,0)),"")</f>
        <v/>
      </c>
      <c r="H3585" s="6" t="str">
        <f aca="false">IFERROR(INDEX('Semrush Data'!$A$1:$Z$20000,MATCH(A3585,'Semrush Data'!$A$1:$A$20000,0),MATCH("Keyword Difficulty*",'Semrush Data'!$A$1:$Z$1,0)),"")</f>
        <v/>
      </c>
      <c r="I3585" s="29" t="str">
        <f aca="false">IFERROR(INDEX('Semrush Data'!$A$1:$Z$20000,MATCH(A3585,'Semrush Data'!$A$1:$A$20000,0),MATCH("CPC*",'Semrush Data'!$A$1:$Z$1,0)),"")</f>
        <v/>
      </c>
      <c r="J3585" s="6" t="str">
        <f aca="false">IFERROR(INDEX('Semrush Data'!$A$1:$Z$20000,MATCH(A3585,'Semrush Data'!$A$1:$A$20000,0),MATCH("Intent",'Semrush Data'!$A$1:$Z$1,0)),"")</f>
        <v/>
      </c>
    </row>
    <row r="3586" customFormat="false" ht="15" hidden="false" customHeight="true" outlineLevel="0" collapsed="false">
      <c r="A3586" s="6" t="s">
        <v>5424</v>
      </c>
      <c r="B3586" s="6" t="s">
        <v>249</v>
      </c>
      <c r="C3586" s="6" t="n">
        <v>3</v>
      </c>
      <c r="D3586" s="6" t="n">
        <v>36</v>
      </c>
      <c r="E3586" s="6" t="n">
        <v>1</v>
      </c>
      <c r="F3586" s="6" t="s">
        <v>5417</v>
      </c>
      <c r="G3586" s="28" t="str">
        <f aca="false">IFERROR(INDEX('Semrush Data'!$A$1:$Z$20000,MATCH(A3586,'Semrush Data'!$A$1:$A$20000,0),MATCH("Volume",'Semrush Data'!$A$1:$Z$1,0)),"")</f>
        <v/>
      </c>
      <c r="H3586" s="6" t="str">
        <f aca="false">IFERROR(INDEX('Semrush Data'!$A$1:$Z$20000,MATCH(A3586,'Semrush Data'!$A$1:$A$20000,0),MATCH("Keyword Difficulty*",'Semrush Data'!$A$1:$Z$1,0)),"")</f>
        <v/>
      </c>
      <c r="I3586" s="29" t="str">
        <f aca="false">IFERROR(INDEX('Semrush Data'!$A$1:$Z$20000,MATCH(A3586,'Semrush Data'!$A$1:$A$20000,0),MATCH("CPC*",'Semrush Data'!$A$1:$Z$1,0)),"")</f>
        <v/>
      </c>
      <c r="J3586" s="6" t="str">
        <f aca="false">IFERROR(INDEX('Semrush Data'!$A$1:$Z$20000,MATCH(A3586,'Semrush Data'!$A$1:$A$20000,0),MATCH("Intent",'Semrush Data'!$A$1:$Z$1,0)),"")</f>
        <v/>
      </c>
    </row>
    <row r="3587" customFormat="false" ht="15" hidden="false" customHeight="true" outlineLevel="0" collapsed="false">
      <c r="A3587" s="6" t="s">
        <v>5437</v>
      </c>
      <c r="B3587" s="6" t="s">
        <v>249</v>
      </c>
      <c r="C3587" s="6" t="n">
        <v>3</v>
      </c>
      <c r="D3587" s="6" t="n">
        <v>36</v>
      </c>
      <c r="E3587" s="6" t="n">
        <v>1</v>
      </c>
      <c r="F3587" s="6" t="s">
        <v>5431</v>
      </c>
      <c r="G3587" s="28" t="str">
        <f aca="false">IFERROR(INDEX('Semrush Data'!$A$1:$Z$20000,MATCH(A3587,'Semrush Data'!$A$1:$A$20000,0),MATCH("Volume",'Semrush Data'!$A$1:$Z$1,0)),"")</f>
        <v/>
      </c>
      <c r="H3587" s="6" t="str">
        <f aca="false">IFERROR(INDEX('Semrush Data'!$A$1:$Z$20000,MATCH(A3587,'Semrush Data'!$A$1:$A$20000,0),MATCH("Keyword Difficulty*",'Semrush Data'!$A$1:$Z$1,0)),"")</f>
        <v/>
      </c>
      <c r="I3587" s="29" t="str">
        <f aca="false">IFERROR(INDEX('Semrush Data'!$A$1:$Z$20000,MATCH(A3587,'Semrush Data'!$A$1:$A$20000,0),MATCH("CPC*",'Semrush Data'!$A$1:$Z$1,0)),"")</f>
        <v/>
      </c>
      <c r="J3587" s="6" t="str">
        <f aca="false">IFERROR(INDEX('Semrush Data'!$A$1:$Z$20000,MATCH(A3587,'Semrush Data'!$A$1:$A$20000,0),MATCH("Intent",'Semrush Data'!$A$1:$Z$1,0)),"")</f>
        <v/>
      </c>
    </row>
    <row r="3588" customFormat="false" ht="15" hidden="false" customHeight="true" outlineLevel="0" collapsed="false">
      <c r="A3588" s="6" t="s">
        <v>5490</v>
      </c>
      <c r="B3588" s="6" t="s">
        <v>249</v>
      </c>
      <c r="C3588" s="6" t="n">
        <v>3</v>
      </c>
      <c r="D3588" s="6" t="n">
        <v>36</v>
      </c>
      <c r="E3588" s="6" t="n">
        <v>1</v>
      </c>
      <c r="F3588" s="6" t="s">
        <v>5485</v>
      </c>
      <c r="G3588" s="28" t="str">
        <f aca="false">IFERROR(INDEX('Semrush Data'!$A$1:$Z$20000,MATCH(A3588,'Semrush Data'!$A$1:$A$20000,0),MATCH("Volume",'Semrush Data'!$A$1:$Z$1,0)),"")</f>
        <v/>
      </c>
      <c r="H3588" s="6" t="str">
        <f aca="false">IFERROR(INDEX('Semrush Data'!$A$1:$Z$20000,MATCH(A3588,'Semrush Data'!$A$1:$A$20000,0),MATCH("Keyword Difficulty*",'Semrush Data'!$A$1:$Z$1,0)),"")</f>
        <v/>
      </c>
      <c r="I3588" s="29" t="str">
        <f aca="false">IFERROR(INDEX('Semrush Data'!$A$1:$Z$20000,MATCH(A3588,'Semrush Data'!$A$1:$A$20000,0),MATCH("CPC*",'Semrush Data'!$A$1:$Z$1,0)),"")</f>
        <v/>
      </c>
      <c r="J3588" s="6" t="str">
        <f aca="false">IFERROR(INDEX('Semrush Data'!$A$1:$Z$20000,MATCH(A3588,'Semrush Data'!$A$1:$A$20000,0),MATCH("Intent",'Semrush Data'!$A$1:$Z$1,0)),"")</f>
        <v/>
      </c>
    </row>
    <row r="3589" customFormat="false" ht="15" hidden="false" customHeight="true" outlineLevel="0" collapsed="false">
      <c r="A3589" s="6" t="s">
        <v>5479</v>
      </c>
      <c r="B3589" s="6" t="s">
        <v>249</v>
      </c>
      <c r="C3589" s="6" t="n">
        <v>3</v>
      </c>
      <c r="D3589" s="6" t="n">
        <v>36</v>
      </c>
      <c r="E3589" s="6" t="n">
        <v>1</v>
      </c>
      <c r="F3589" s="6" t="s">
        <v>5474</v>
      </c>
      <c r="G3589" s="28" t="str">
        <f aca="false">IFERROR(INDEX('Semrush Data'!$A$1:$Z$20000,MATCH(A3589,'Semrush Data'!$A$1:$A$20000,0),MATCH("Volume",'Semrush Data'!$A$1:$Z$1,0)),"")</f>
        <v/>
      </c>
      <c r="H3589" s="6" t="str">
        <f aca="false">IFERROR(INDEX('Semrush Data'!$A$1:$Z$20000,MATCH(A3589,'Semrush Data'!$A$1:$A$20000,0),MATCH("Keyword Difficulty*",'Semrush Data'!$A$1:$Z$1,0)),"")</f>
        <v/>
      </c>
      <c r="I3589" s="29" t="str">
        <f aca="false">IFERROR(INDEX('Semrush Data'!$A$1:$Z$20000,MATCH(A3589,'Semrush Data'!$A$1:$A$20000,0),MATCH("CPC*",'Semrush Data'!$A$1:$Z$1,0)),"")</f>
        <v/>
      </c>
      <c r="J3589" s="6" t="str">
        <f aca="false">IFERROR(INDEX('Semrush Data'!$A$1:$Z$20000,MATCH(A3589,'Semrush Data'!$A$1:$A$20000,0),MATCH("Intent",'Semrush Data'!$A$1:$Z$1,0)),"")</f>
        <v/>
      </c>
    </row>
    <row r="3590" customFormat="false" ht="15" hidden="false" customHeight="true" outlineLevel="0" collapsed="false">
      <c r="A3590" s="6" t="s">
        <v>5448</v>
      </c>
      <c r="B3590" s="6" t="s">
        <v>249</v>
      </c>
      <c r="C3590" s="6" t="n">
        <v>3</v>
      </c>
      <c r="D3590" s="6" t="s">
        <v>6870</v>
      </c>
      <c r="E3590" s="6" t="n">
        <v>1</v>
      </c>
      <c r="F3590" s="6" t="s">
        <v>77</v>
      </c>
      <c r="G3590" s="28" t="n">
        <f aca="false">IFERROR(INDEX('Semrush Data'!$A$1:$Z$20000,MATCH(A3590,'Semrush Data'!$A$1:$A$20000,0),MATCH("Volume",'Semrush Data'!$A$1:$Z$1,0)),"")</f>
        <v>20</v>
      </c>
      <c r="H3590" s="6" t="n">
        <f aca="false">IFERROR(INDEX('Semrush Data'!$A$1:$Z$20000,MATCH(A3590,'Semrush Data'!$A$1:$A$20000,0),MATCH("Keyword Difficulty*",'Semrush Data'!$A$1:$Z$1,0)),"")</f>
        <v>13</v>
      </c>
      <c r="I3590" s="29" t="n">
        <f aca="false">IFERROR(INDEX('Semrush Data'!$A$1:$Z$20000,MATCH(A3590,'Semrush Data'!$A$1:$A$20000,0),MATCH("CPC*",'Semrush Data'!$A$1:$Z$1,0)),"")</f>
        <v>0</v>
      </c>
      <c r="J3590" s="6" t="str">
        <f aca="false">IFERROR(INDEX('Semrush Data'!$A$1:$Z$20000,MATCH(A3590,'Semrush Data'!$A$1:$A$20000,0),MATCH("Intent",'Semrush Data'!$A$1:$Z$1,0)),"")</f>
        <v>Transactional</v>
      </c>
    </row>
    <row r="3591" customFormat="false" ht="15" hidden="false" customHeight="true" outlineLevel="0" collapsed="false">
      <c r="A3591" s="6" t="s">
        <v>5511</v>
      </c>
      <c r="B3591" s="6" t="s">
        <v>249</v>
      </c>
      <c r="C3591" s="6" t="n">
        <v>3</v>
      </c>
      <c r="D3591" s="6" t="n">
        <v>36</v>
      </c>
      <c r="E3591" s="6" t="n">
        <v>1</v>
      </c>
      <c r="F3591" s="6" t="s">
        <v>5506</v>
      </c>
      <c r="G3591" s="28" t="str">
        <f aca="false">IFERROR(INDEX('Semrush Data'!$A$1:$Z$20000,MATCH(A3591,'Semrush Data'!$A$1:$A$20000,0),MATCH("Volume",'Semrush Data'!$A$1:$Z$1,0)),"")</f>
        <v/>
      </c>
      <c r="H3591" s="6" t="str">
        <f aca="false">IFERROR(INDEX('Semrush Data'!$A$1:$Z$20000,MATCH(A3591,'Semrush Data'!$A$1:$A$20000,0),MATCH("Keyword Difficulty*",'Semrush Data'!$A$1:$Z$1,0)),"")</f>
        <v/>
      </c>
      <c r="I3591" s="29" t="str">
        <f aca="false">IFERROR(INDEX('Semrush Data'!$A$1:$Z$20000,MATCH(A3591,'Semrush Data'!$A$1:$A$20000,0),MATCH("CPC*",'Semrush Data'!$A$1:$Z$1,0)),"")</f>
        <v/>
      </c>
      <c r="J3591" s="6" t="str">
        <f aca="false">IFERROR(INDEX('Semrush Data'!$A$1:$Z$20000,MATCH(A3591,'Semrush Data'!$A$1:$A$20000,0),MATCH("Intent",'Semrush Data'!$A$1:$Z$1,0)),"")</f>
        <v/>
      </c>
    </row>
    <row r="3592" customFormat="false" ht="15" hidden="false" customHeight="true" outlineLevel="0" collapsed="false">
      <c r="A3592" s="6" t="s">
        <v>5469</v>
      </c>
      <c r="B3592" s="6" t="s">
        <v>249</v>
      </c>
      <c r="C3592" s="6" t="n">
        <v>3</v>
      </c>
      <c r="D3592" s="6" t="n">
        <v>36</v>
      </c>
      <c r="E3592" s="6" t="n">
        <v>1</v>
      </c>
      <c r="F3592" s="6" t="s">
        <v>5464</v>
      </c>
      <c r="G3592" s="28" t="str">
        <f aca="false">IFERROR(INDEX('Semrush Data'!$A$1:$Z$20000,MATCH(A3592,'Semrush Data'!$A$1:$A$20000,0),MATCH("Volume",'Semrush Data'!$A$1:$Z$1,0)),"")</f>
        <v/>
      </c>
      <c r="H3592" s="6" t="str">
        <f aca="false">IFERROR(INDEX('Semrush Data'!$A$1:$Z$20000,MATCH(A3592,'Semrush Data'!$A$1:$A$20000,0),MATCH("Keyword Difficulty*",'Semrush Data'!$A$1:$Z$1,0)),"")</f>
        <v/>
      </c>
      <c r="I3592" s="29" t="str">
        <f aca="false">IFERROR(INDEX('Semrush Data'!$A$1:$Z$20000,MATCH(A3592,'Semrush Data'!$A$1:$A$20000,0),MATCH("CPC*",'Semrush Data'!$A$1:$Z$1,0)),"")</f>
        <v/>
      </c>
      <c r="J3592" s="6" t="str">
        <f aca="false">IFERROR(INDEX('Semrush Data'!$A$1:$Z$20000,MATCH(A3592,'Semrush Data'!$A$1:$A$20000,0),MATCH("Intent",'Semrush Data'!$A$1:$Z$1,0)),"")</f>
        <v/>
      </c>
    </row>
    <row r="3593" customFormat="false" ht="15" hidden="false" customHeight="true" outlineLevel="0" collapsed="false">
      <c r="A3593" s="6" t="s">
        <v>5501</v>
      </c>
      <c r="B3593" s="6" t="s">
        <v>249</v>
      </c>
      <c r="C3593" s="6" t="n">
        <v>3</v>
      </c>
      <c r="D3593" s="6" t="n">
        <v>36</v>
      </c>
      <c r="E3593" s="6" t="n">
        <v>1</v>
      </c>
      <c r="F3593" s="6" t="s">
        <v>5496</v>
      </c>
      <c r="G3593" s="28" t="str">
        <f aca="false">IFERROR(INDEX('Semrush Data'!$A$1:$Z$20000,MATCH(A3593,'Semrush Data'!$A$1:$A$20000,0),MATCH("Volume",'Semrush Data'!$A$1:$Z$1,0)),"")</f>
        <v/>
      </c>
      <c r="H3593" s="6" t="str">
        <f aca="false">IFERROR(INDEX('Semrush Data'!$A$1:$Z$20000,MATCH(A3593,'Semrush Data'!$A$1:$A$20000,0),MATCH("Keyword Difficulty*",'Semrush Data'!$A$1:$Z$1,0)),"")</f>
        <v/>
      </c>
      <c r="I3593" s="29" t="str">
        <f aca="false">IFERROR(INDEX('Semrush Data'!$A$1:$Z$20000,MATCH(A3593,'Semrush Data'!$A$1:$A$20000,0),MATCH("CPC*",'Semrush Data'!$A$1:$Z$1,0)),"")</f>
        <v/>
      </c>
      <c r="J3593" s="6" t="str">
        <f aca="false">IFERROR(INDEX('Semrush Data'!$A$1:$Z$20000,MATCH(A3593,'Semrush Data'!$A$1:$A$20000,0),MATCH("Intent",'Semrush Data'!$A$1:$Z$1,0)),"")</f>
        <v/>
      </c>
    </row>
    <row r="3594" customFormat="false" ht="15" hidden="false" customHeight="true" outlineLevel="0" collapsed="false">
      <c r="A3594" s="6" t="s">
        <v>5458</v>
      </c>
      <c r="B3594" s="6" t="s">
        <v>249</v>
      </c>
      <c r="C3594" s="6" t="n">
        <v>3</v>
      </c>
      <c r="D3594" s="6" t="s">
        <v>6870</v>
      </c>
      <c r="E3594" s="6" t="n">
        <v>1</v>
      </c>
      <c r="F3594" s="6" t="s">
        <v>61</v>
      </c>
      <c r="G3594" s="28" t="n">
        <f aca="false">IFERROR(INDEX('Semrush Data'!$A$1:$Z$20000,MATCH(A3594,'Semrush Data'!$A$1:$A$20000,0),MATCH("Volume",'Semrush Data'!$A$1:$Z$1,0)),"")</f>
        <v>20</v>
      </c>
      <c r="H3594" s="6" t="n">
        <f aca="false">IFERROR(INDEX('Semrush Data'!$A$1:$Z$20000,MATCH(A3594,'Semrush Data'!$A$1:$A$20000,0),MATCH("Keyword Difficulty*",'Semrush Data'!$A$1:$Z$1,0)),"")</f>
        <v>13</v>
      </c>
      <c r="I3594" s="29" t="n">
        <f aca="false">IFERROR(INDEX('Semrush Data'!$A$1:$Z$20000,MATCH(A3594,'Semrush Data'!$A$1:$A$20000,0),MATCH("CPC*",'Semrush Data'!$A$1:$Z$1,0)),"")</f>
        <v>0</v>
      </c>
      <c r="J3594" s="6" t="str">
        <f aca="false">IFERROR(INDEX('Semrush Data'!$A$1:$Z$20000,MATCH(A3594,'Semrush Data'!$A$1:$A$20000,0),MATCH("Intent",'Semrush Data'!$A$1:$Z$1,0)),"")</f>
        <v>Transactional</v>
      </c>
    </row>
    <row r="3595" customFormat="false" ht="15" hidden="false" customHeight="true" outlineLevel="0" collapsed="false">
      <c r="A3595" s="6" t="s">
        <v>5523</v>
      </c>
      <c r="B3595" s="6" t="s">
        <v>249</v>
      </c>
      <c r="C3595" s="6" t="n">
        <v>3</v>
      </c>
      <c r="D3595" s="6" t="n">
        <v>36</v>
      </c>
      <c r="E3595" s="6" t="n">
        <v>1</v>
      </c>
      <c r="F3595" s="6" t="s">
        <v>5516</v>
      </c>
      <c r="G3595" s="28" t="str">
        <f aca="false">IFERROR(INDEX('Semrush Data'!$A$1:$Z$20000,MATCH(A3595,'Semrush Data'!$A$1:$A$20000,0),MATCH("Volume",'Semrush Data'!$A$1:$Z$1,0)),"")</f>
        <v/>
      </c>
      <c r="H3595" s="6" t="str">
        <f aca="false">IFERROR(INDEX('Semrush Data'!$A$1:$Z$20000,MATCH(A3595,'Semrush Data'!$A$1:$A$20000,0),MATCH("Keyword Difficulty*",'Semrush Data'!$A$1:$Z$1,0)),"")</f>
        <v/>
      </c>
      <c r="I3595" s="29" t="str">
        <f aca="false">IFERROR(INDEX('Semrush Data'!$A$1:$Z$20000,MATCH(A3595,'Semrush Data'!$A$1:$A$20000,0),MATCH("CPC*",'Semrush Data'!$A$1:$Z$1,0)),"")</f>
        <v/>
      </c>
      <c r="J3595" s="6" t="str">
        <f aca="false">IFERROR(INDEX('Semrush Data'!$A$1:$Z$20000,MATCH(A3595,'Semrush Data'!$A$1:$A$20000,0),MATCH("Intent",'Semrush Data'!$A$1:$Z$1,0)),"")</f>
        <v/>
      </c>
    </row>
    <row r="3596" customFormat="false" ht="15" hidden="false" customHeight="true" outlineLevel="0" collapsed="false">
      <c r="A3596" s="6" t="s">
        <v>5535</v>
      </c>
      <c r="B3596" s="6" t="s">
        <v>249</v>
      </c>
      <c r="C3596" s="6" t="n">
        <v>3</v>
      </c>
      <c r="D3596" s="6" t="n">
        <v>36</v>
      </c>
      <c r="E3596" s="6" t="n">
        <v>1</v>
      </c>
      <c r="F3596" s="6" t="s">
        <v>5530</v>
      </c>
      <c r="G3596" s="28" t="str">
        <f aca="false">IFERROR(INDEX('Semrush Data'!$A$1:$Z$20000,MATCH(A3596,'Semrush Data'!$A$1:$A$20000,0),MATCH("Volume",'Semrush Data'!$A$1:$Z$1,0)),"")</f>
        <v/>
      </c>
      <c r="H3596" s="6" t="str">
        <f aca="false">IFERROR(INDEX('Semrush Data'!$A$1:$Z$20000,MATCH(A3596,'Semrush Data'!$A$1:$A$20000,0),MATCH("Keyword Difficulty*",'Semrush Data'!$A$1:$Z$1,0)),"")</f>
        <v/>
      </c>
      <c r="I3596" s="29" t="str">
        <f aca="false">IFERROR(INDEX('Semrush Data'!$A$1:$Z$20000,MATCH(A3596,'Semrush Data'!$A$1:$A$20000,0),MATCH("CPC*",'Semrush Data'!$A$1:$Z$1,0)),"")</f>
        <v/>
      </c>
      <c r="J3596" s="6" t="str">
        <f aca="false">IFERROR(INDEX('Semrush Data'!$A$1:$Z$20000,MATCH(A3596,'Semrush Data'!$A$1:$A$20000,0),MATCH("Intent",'Semrush Data'!$A$1:$Z$1,0)),"")</f>
        <v/>
      </c>
    </row>
    <row r="3597" customFormat="false" ht="15" hidden="false" customHeight="true" outlineLevel="0" collapsed="false">
      <c r="A3597" s="6" t="s">
        <v>5569</v>
      </c>
      <c r="B3597" s="6" t="s">
        <v>249</v>
      </c>
      <c r="C3597" s="6" t="n">
        <v>3</v>
      </c>
      <c r="D3597" s="6" t="s">
        <v>6870</v>
      </c>
      <c r="E3597" s="6" t="n">
        <v>2</v>
      </c>
      <c r="F3597" s="6" t="s">
        <v>6860</v>
      </c>
      <c r="G3597" s="28" t="n">
        <f aca="false">IFERROR(INDEX('Semrush Data'!$A$1:$Z$20000,MATCH(A3597,'Semrush Data'!$A$1:$A$20000,0),MATCH("Volume",'Semrush Data'!$A$1:$Z$1,0)),"")</f>
        <v>0</v>
      </c>
      <c r="H3597" s="6" t="n">
        <f aca="false">IFERROR(INDEX('Semrush Data'!$A$1:$Z$20000,MATCH(A3597,'Semrush Data'!$A$1:$A$20000,0),MATCH("Keyword Difficulty*",'Semrush Data'!$A$1:$Z$1,0)),"")</f>
        <v>9</v>
      </c>
      <c r="I3597" s="29" t="n">
        <f aca="false">IFERROR(INDEX('Semrush Data'!$A$1:$Z$20000,MATCH(A3597,'Semrush Data'!$A$1:$A$20000,0),MATCH("CPC*",'Semrush Data'!$A$1:$Z$1,0)),"")</f>
        <v>0</v>
      </c>
      <c r="J3597" s="6" t="str">
        <f aca="false">IFERROR(INDEX('Semrush Data'!$A$1:$Z$20000,MATCH(A3597,'Semrush Data'!$A$1:$A$20000,0),MATCH("Intent",'Semrush Data'!$A$1:$Z$1,0)),"")</f>
        <v>Transactional</v>
      </c>
    </row>
    <row r="3598" customFormat="false" ht="15" hidden="false" customHeight="true" outlineLevel="0" collapsed="false">
      <c r="A3598" s="6" t="s">
        <v>5548</v>
      </c>
      <c r="B3598" s="6" t="s">
        <v>249</v>
      </c>
      <c r="C3598" s="6" t="n">
        <v>3</v>
      </c>
      <c r="D3598" s="6" t="n">
        <v>36</v>
      </c>
      <c r="E3598" s="6" t="n">
        <v>1</v>
      </c>
      <c r="F3598" s="6" t="s">
        <v>5542</v>
      </c>
      <c r="G3598" s="28" t="str">
        <f aca="false">IFERROR(INDEX('Semrush Data'!$A$1:$Z$20000,MATCH(A3598,'Semrush Data'!$A$1:$A$20000,0),MATCH("Volume",'Semrush Data'!$A$1:$Z$1,0)),"")</f>
        <v/>
      </c>
      <c r="H3598" s="6" t="str">
        <f aca="false">IFERROR(INDEX('Semrush Data'!$A$1:$Z$20000,MATCH(A3598,'Semrush Data'!$A$1:$A$20000,0),MATCH("Keyword Difficulty*",'Semrush Data'!$A$1:$Z$1,0)),"")</f>
        <v/>
      </c>
      <c r="I3598" s="29" t="str">
        <f aca="false">IFERROR(INDEX('Semrush Data'!$A$1:$Z$20000,MATCH(A3598,'Semrush Data'!$A$1:$A$20000,0),MATCH("CPC*",'Semrush Data'!$A$1:$Z$1,0)),"")</f>
        <v/>
      </c>
      <c r="J3598" s="6" t="str">
        <f aca="false">IFERROR(INDEX('Semrush Data'!$A$1:$Z$20000,MATCH(A3598,'Semrush Data'!$A$1:$A$20000,0),MATCH("Intent",'Semrush Data'!$A$1:$Z$1,0)),"")</f>
        <v/>
      </c>
    </row>
    <row r="3599" customFormat="false" ht="15" hidden="false" customHeight="true" outlineLevel="0" collapsed="false">
      <c r="A3599" s="6" t="s">
        <v>5560</v>
      </c>
      <c r="B3599" s="6" t="s">
        <v>249</v>
      </c>
      <c r="C3599" s="6" t="n">
        <v>3</v>
      </c>
      <c r="D3599" s="6" t="n">
        <v>36</v>
      </c>
      <c r="E3599" s="6" t="n">
        <v>1</v>
      </c>
      <c r="F3599" s="6" t="s">
        <v>5555</v>
      </c>
      <c r="G3599" s="28" t="str">
        <f aca="false">IFERROR(INDEX('Semrush Data'!$A$1:$Z$20000,MATCH(A3599,'Semrush Data'!$A$1:$A$20000,0),MATCH("Volume",'Semrush Data'!$A$1:$Z$1,0)),"")</f>
        <v/>
      </c>
      <c r="H3599" s="6" t="str">
        <f aca="false">IFERROR(INDEX('Semrush Data'!$A$1:$Z$20000,MATCH(A3599,'Semrush Data'!$A$1:$A$20000,0),MATCH("Keyword Difficulty*",'Semrush Data'!$A$1:$Z$1,0)),"")</f>
        <v/>
      </c>
      <c r="I3599" s="29" t="str">
        <f aca="false">IFERROR(INDEX('Semrush Data'!$A$1:$Z$20000,MATCH(A3599,'Semrush Data'!$A$1:$A$20000,0),MATCH("CPC*",'Semrush Data'!$A$1:$Z$1,0)),"")</f>
        <v/>
      </c>
      <c r="J3599" s="6" t="str">
        <f aca="false">IFERROR(INDEX('Semrush Data'!$A$1:$Z$20000,MATCH(A3599,'Semrush Data'!$A$1:$A$20000,0),MATCH("Intent",'Semrush Data'!$A$1:$Z$1,0)),"")</f>
        <v/>
      </c>
    </row>
    <row r="3600" customFormat="false" ht="15" hidden="false" customHeight="true" outlineLevel="0" collapsed="false">
      <c r="A3600" s="6" t="s">
        <v>5580</v>
      </c>
      <c r="B3600" s="6" t="s">
        <v>249</v>
      </c>
      <c r="C3600" s="6" t="n">
        <v>3</v>
      </c>
      <c r="D3600" s="6" t="s">
        <v>6870</v>
      </c>
      <c r="E3600" s="6" t="n">
        <v>1</v>
      </c>
      <c r="F3600" s="6" t="s">
        <v>73</v>
      </c>
      <c r="G3600" s="28" t="n">
        <f aca="false">IFERROR(INDEX('Semrush Data'!$A$1:$Z$20000,MATCH(A3600,'Semrush Data'!$A$1:$A$20000,0),MATCH("Volume",'Semrush Data'!$A$1:$Z$1,0)),"")</f>
        <v>20</v>
      </c>
      <c r="H3600" s="6" t="n">
        <f aca="false">IFERROR(INDEX('Semrush Data'!$A$1:$Z$20000,MATCH(A3600,'Semrush Data'!$A$1:$A$20000,0),MATCH("Keyword Difficulty*",'Semrush Data'!$A$1:$Z$1,0)),"")</f>
        <v>10</v>
      </c>
      <c r="I3600" s="29" t="n">
        <f aca="false">IFERROR(INDEX('Semrush Data'!$A$1:$Z$20000,MATCH(A3600,'Semrush Data'!$A$1:$A$20000,0),MATCH("CPC*",'Semrush Data'!$A$1:$Z$1,0)),"")</f>
        <v>0</v>
      </c>
      <c r="J3600" s="6" t="str">
        <f aca="false">IFERROR(INDEX('Semrush Data'!$A$1:$Z$20000,MATCH(A3600,'Semrush Data'!$A$1:$A$20000,0),MATCH("Intent",'Semrush Data'!$A$1:$Z$1,0)),"")</f>
        <v>Commercial</v>
      </c>
    </row>
    <row r="3601" customFormat="false" ht="15" hidden="false" customHeight="true" outlineLevel="0" collapsed="false">
      <c r="A3601" s="6" t="s">
        <v>5616</v>
      </c>
      <c r="B3601" s="6" t="s">
        <v>249</v>
      </c>
      <c r="C3601" s="6" t="n">
        <v>3</v>
      </c>
      <c r="D3601" s="6" t="n">
        <v>36</v>
      </c>
      <c r="E3601" s="6" t="n">
        <v>1</v>
      </c>
      <c r="F3601" s="6" t="s">
        <v>5610</v>
      </c>
      <c r="G3601" s="28" t="str">
        <f aca="false">IFERROR(INDEX('Semrush Data'!$A$1:$Z$20000,MATCH(A3601,'Semrush Data'!$A$1:$A$20000,0),MATCH("Volume",'Semrush Data'!$A$1:$Z$1,0)),"")</f>
        <v/>
      </c>
      <c r="H3601" s="6" t="str">
        <f aca="false">IFERROR(INDEX('Semrush Data'!$A$1:$Z$20000,MATCH(A3601,'Semrush Data'!$A$1:$A$20000,0),MATCH("Keyword Difficulty*",'Semrush Data'!$A$1:$Z$1,0)),"")</f>
        <v/>
      </c>
      <c r="I3601" s="29" t="str">
        <f aca="false">IFERROR(INDEX('Semrush Data'!$A$1:$Z$20000,MATCH(A3601,'Semrush Data'!$A$1:$A$20000,0),MATCH("CPC*",'Semrush Data'!$A$1:$Z$1,0)),"")</f>
        <v/>
      </c>
      <c r="J3601" s="6" t="str">
        <f aca="false">IFERROR(INDEX('Semrush Data'!$A$1:$Z$20000,MATCH(A3601,'Semrush Data'!$A$1:$A$20000,0),MATCH("Intent",'Semrush Data'!$A$1:$Z$1,0)),"")</f>
        <v/>
      </c>
    </row>
    <row r="3602" customFormat="false" ht="15" hidden="false" customHeight="true" outlineLevel="0" collapsed="false">
      <c r="A3602" s="6" t="s">
        <v>5595</v>
      </c>
      <c r="B3602" s="6" t="s">
        <v>249</v>
      </c>
      <c r="C3602" s="6" t="n">
        <v>3</v>
      </c>
      <c r="D3602" s="6" t="n">
        <v>37</v>
      </c>
      <c r="E3602" s="6" t="n">
        <v>1</v>
      </c>
      <c r="F3602" s="6" t="s">
        <v>5587</v>
      </c>
      <c r="G3602" s="28" t="str">
        <f aca="false">IFERROR(INDEX('Semrush Data'!$A$1:$Z$20000,MATCH(A3602,'Semrush Data'!$A$1:$A$20000,0),MATCH("Volume",'Semrush Data'!$A$1:$Z$1,0)),"")</f>
        <v/>
      </c>
      <c r="H3602" s="6" t="str">
        <f aca="false">IFERROR(INDEX('Semrush Data'!$A$1:$Z$20000,MATCH(A3602,'Semrush Data'!$A$1:$A$20000,0),MATCH("Keyword Difficulty*",'Semrush Data'!$A$1:$Z$1,0)),"")</f>
        <v/>
      </c>
      <c r="I3602" s="29" t="str">
        <f aca="false">IFERROR(INDEX('Semrush Data'!$A$1:$Z$20000,MATCH(A3602,'Semrush Data'!$A$1:$A$20000,0),MATCH("CPC*",'Semrush Data'!$A$1:$Z$1,0)),"")</f>
        <v/>
      </c>
      <c r="J3602" s="6" t="str">
        <f aca="false">IFERROR(INDEX('Semrush Data'!$A$1:$Z$20000,MATCH(A3602,'Semrush Data'!$A$1:$A$20000,0),MATCH("Intent",'Semrush Data'!$A$1:$Z$1,0)),"")</f>
        <v/>
      </c>
    </row>
    <row r="3603" customFormat="false" ht="15" hidden="false" customHeight="true" outlineLevel="0" collapsed="false">
      <c r="A3603" s="6" t="s">
        <v>5605</v>
      </c>
      <c r="B3603" s="6" t="s">
        <v>249</v>
      </c>
      <c r="C3603" s="6" t="n">
        <v>3</v>
      </c>
      <c r="D3603" s="6" t="n">
        <v>37</v>
      </c>
      <c r="E3603" s="6" t="n">
        <v>1</v>
      </c>
      <c r="F3603" s="6" t="s">
        <v>5600</v>
      </c>
      <c r="G3603" s="28" t="str">
        <f aca="false">IFERROR(INDEX('Semrush Data'!$A$1:$Z$20000,MATCH(A3603,'Semrush Data'!$A$1:$A$20000,0),MATCH("Volume",'Semrush Data'!$A$1:$Z$1,0)),"")</f>
        <v/>
      </c>
      <c r="H3603" s="6" t="str">
        <f aca="false">IFERROR(INDEX('Semrush Data'!$A$1:$Z$20000,MATCH(A3603,'Semrush Data'!$A$1:$A$20000,0),MATCH("Keyword Difficulty*",'Semrush Data'!$A$1:$Z$1,0)),"")</f>
        <v/>
      </c>
      <c r="I3603" s="29" t="str">
        <f aca="false">IFERROR(INDEX('Semrush Data'!$A$1:$Z$20000,MATCH(A3603,'Semrush Data'!$A$1:$A$20000,0),MATCH("CPC*",'Semrush Data'!$A$1:$Z$1,0)),"")</f>
        <v/>
      </c>
      <c r="J3603" s="6" t="str">
        <f aca="false">IFERROR(INDEX('Semrush Data'!$A$1:$Z$20000,MATCH(A3603,'Semrush Data'!$A$1:$A$20000,0),MATCH("Intent",'Semrush Data'!$A$1:$Z$1,0)),"")</f>
        <v/>
      </c>
    </row>
    <row r="3604" customFormat="false" ht="15" hidden="false" customHeight="true" outlineLevel="0" collapsed="false">
      <c r="A3604" s="6" t="s">
        <v>5626</v>
      </c>
      <c r="B3604" s="6" t="s">
        <v>249</v>
      </c>
      <c r="C3604" s="6" t="n">
        <v>3</v>
      </c>
      <c r="D3604" s="6" t="n">
        <v>37</v>
      </c>
      <c r="E3604" s="6" t="n">
        <v>1</v>
      </c>
      <c r="F3604" s="6" t="s">
        <v>5620</v>
      </c>
      <c r="G3604" s="28" t="str">
        <f aca="false">IFERROR(INDEX('Semrush Data'!$A$1:$Z$20000,MATCH(A3604,'Semrush Data'!$A$1:$A$20000,0),MATCH("Volume",'Semrush Data'!$A$1:$Z$1,0)),"")</f>
        <v/>
      </c>
      <c r="H3604" s="6" t="str">
        <f aca="false">IFERROR(INDEX('Semrush Data'!$A$1:$Z$20000,MATCH(A3604,'Semrush Data'!$A$1:$A$20000,0),MATCH("Keyword Difficulty*",'Semrush Data'!$A$1:$Z$1,0)),"")</f>
        <v/>
      </c>
      <c r="I3604" s="29" t="str">
        <f aca="false">IFERROR(INDEX('Semrush Data'!$A$1:$Z$20000,MATCH(A3604,'Semrush Data'!$A$1:$A$20000,0),MATCH("CPC*",'Semrush Data'!$A$1:$Z$1,0)),"")</f>
        <v/>
      </c>
      <c r="J3604" s="6" t="str">
        <f aca="false">IFERROR(INDEX('Semrush Data'!$A$1:$Z$20000,MATCH(A3604,'Semrush Data'!$A$1:$A$20000,0),MATCH("Intent",'Semrush Data'!$A$1:$Z$1,0)),"")</f>
        <v/>
      </c>
    </row>
    <row r="3605" customFormat="false" ht="15" hidden="false" customHeight="true" outlineLevel="0" collapsed="false">
      <c r="A3605" s="6" t="s">
        <v>4608</v>
      </c>
      <c r="B3605" s="6" t="s">
        <v>249</v>
      </c>
      <c r="C3605" s="6" t="n">
        <v>3</v>
      </c>
      <c r="D3605" s="6" t="n">
        <v>37</v>
      </c>
      <c r="E3605" s="6" t="n">
        <v>1</v>
      </c>
      <c r="F3605" s="6" t="s">
        <v>4603</v>
      </c>
      <c r="G3605" s="28" t="str">
        <f aca="false">IFERROR(INDEX('Semrush Data'!$A$1:$Z$20000,MATCH(A3605,'Semrush Data'!$A$1:$A$20000,0),MATCH("Volume",'Semrush Data'!$A$1:$Z$1,0)),"")</f>
        <v/>
      </c>
      <c r="H3605" s="6" t="str">
        <f aca="false">IFERROR(INDEX('Semrush Data'!$A$1:$Z$20000,MATCH(A3605,'Semrush Data'!$A$1:$A$20000,0),MATCH("Keyword Difficulty*",'Semrush Data'!$A$1:$Z$1,0)),"")</f>
        <v/>
      </c>
      <c r="I3605" s="29" t="str">
        <f aca="false">IFERROR(INDEX('Semrush Data'!$A$1:$Z$20000,MATCH(A3605,'Semrush Data'!$A$1:$A$20000,0),MATCH("CPC*",'Semrush Data'!$A$1:$Z$1,0)),"")</f>
        <v/>
      </c>
      <c r="J3605" s="6" t="str">
        <f aca="false">IFERROR(INDEX('Semrush Data'!$A$1:$Z$20000,MATCH(A3605,'Semrush Data'!$A$1:$A$20000,0),MATCH("Intent",'Semrush Data'!$A$1:$Z$1,0)),"")</f>
        <v/>
      </c>
    </row>
    <row r="3606" customFormat="false" ht="15" hidden="false" customHeight="true" outlineLevel="0" collapsed="false">
      <c r="A3606" s="6" t="s">
        <v>5638</v>
      </c>
      <c r="B3606" s="6" t="s">
        <v>249</v>
      </c>
      <c r="C3606" s="6" t="n">
        <v>3</v>
      </c>
      <c r="D3606" s="6" t="n">
        <v>37</v>
      </c>
      <c r="E3606" s="6" t="n">
        <v>1</v>
      </c>
      <c r="F3606" s="6" t="s">
        <v>5632</v>
      </c>
      <c r="G3606" s="28" t="str">
        <f aca="false">IFERROR(INDEX('Semrush Data'!$A$1:$Z$20000,MATCH(A3606,'Semrush Data'!$A$1:$A$20000,0),MATCH("Volume",'Semrush Data'!$A$1:$Z$1,0)),"")</f>
        <v/>
      </c>
      <c r="H3606" s="6" t="str">
        <f aca="false">IFERROR(INDEX('Semrush Data'!$A$1:$Z$20000,MATCH(A3606,'Semrush Data'!$A$1:$A$20000,0),MATCH("Keyword Difficulty*",'Semrush Data'!$A$1:$Z$1,0)),"")</f>
        <v/>
      </c>
      <c r="I3606" s="29" t="str">
        <f aca="false">IFERROR(INDEX('Semrush Data'!$A$1:$Z$20000,MATCH(A3606,'Semrush Data'!$A$1:$A$20000,0),MATCH("CPC*",'Semrush Data'!$A$1:$Z$1,0)),"")</f>
        <v/>
      </c>
      <c r="J3606" s="6" t="str">
        <f aca="false">IFERROR(INDEX('Semrush Data'!$A$1:$Z$20000,MATCH(A3606,'Semrush Data'!$A$1:$A$20000,0),MATCH("Intent",'Semrush Data'!$A$1:$Z$1,0)),"")</f>
        <v/>
      </c>
    </row>
    <row r="3607" customFormat="false" ht="15" hidden="false" customHeight="true" outlineLevel="0" collapsed="false">
      <c r="A3607" s="6" t="s">
        <v>5649</v>
      </c>
      <c r="B3607" s="6" t="s">
        <v>249</v>
      </c>
      <c r="C3607" s="6" t="n">
        <v>3</v>
      </c>
      <c r="D3607" s="6" t="n">
        <v>37</v>
      </c>
      <c r="E3607" s="6" t="n">
        <v>1</v>
      </c>
      <c r="F3607" s="6" t="s">
        <v>5644</v>
      </c>
      <c r="G3607" s="28" t="str">
        <f aca="false">IFERROR(INDEX('Semrush Data'!$A$1:$Z$20000,MATCH(A3607,'Semrush Data'!$A$1:$A$20000,0),MATCH("Volume",'Semrush Data'!$A$1:$Z$1,0)),"")</f>
        <v/>
      </c>
      <c r="H3607" s="6" t="str">
        <f aca="false">IFERROR(INDEX('Semrush Data'!$A$1:$Z$20000,MATCH(A3607,'Semrush Data'!$A$1:$A$20000,0),MATCH("Keyword Difficulty*",'Semrush Data'!$A$1:$Z$1,0)),"")</f>
        <v/>
      </c>
      <c r="I3607" s="29" t="str">
        <f aca="false">IFERROR(INDEX('Semrush Data'!$A$1:$Z$20000,MATCH(A3607,'Semrush Data'!$A$1:$A$20000,0),MATCH("CPC*",'Semrush Data'!$A$1:$Z$1,0)),"")</f>
        <v/>
      </c>
      <c r="J3607" s="6" t="str">
        <f aca="false">IFERROR(INDEX('Semrush Data'!$A$1:$Z$20000,MATCH(A3607,'Semrush Data'!$A$1:$A$20000,0),MATCH("Intent",'Semrush Data'!$A$1:$Z$1,0)),"")</f>
        <v/>
      </c>
    </row>
    <row r="3608" customFormat="false" ht="15" hidden="false" customHeight="true" outlineLevel="0" collapsed="false">
      <c r="A3608" s="6" t="s">
        <v>5660</v>
      </c>
      <c r="B3608" s="6" t="s">
        <v>249</v>
      </c>
      <c r="C3608" s="6" t="n">
        <v>3</v>
      </c>
      <c r="D3608" s="6" t="n">
        <v>37</v>
      </c>
      <c r="E3608" s="6" t="n">
        <v>1</v>
      </c>
      <c r="F3608" s="6" t="s">
        <v>5655</v>
      </c>
      <c r="G3608" s="28" t="str">
        <f aca="false">IFERROR(INDEX('Semrush Data'!$A$1:$Z$20000,MATCH(A3608,'Semrush Data'!$A$1:$A$20000,0),MATCH("Volume",'Semrush Data'!$A$1:$Z$1,0)),"")</f>
        <v/>
      </c>
      <c r="H3608" s="6" t="str">
        <f aca="false">IFERROR(INDEX('Semrush Data'!$A$1:$Z$20000,MATCH(A3608,'Semrush Data'!$A$1:$A$20000,0),MATCH("Keyword Difficulty*",'Semrush Data'!$A$1:$Z$1,0)),"")</f>
        <v/>
      </c>
      <c r="I3608" s="29" t="str">
        <f aca="false">IFERROR(INDEX('Semrush Data'!$A$1:$Z$20000,MATCH(A3608,'Semrush Data'!$A$1:$A$20000,0),MATCH("CPC*",'Semrush Data'!$A$1:$Z$1,0)),"")</f>
        <v/>
      </c>
      <c r="J3608" s="6" t="str">
        <f aca="false">IFERROR(INDEX('Semrush Data'!$A$1:$Z$20000,MATCH(A3608,'Semrush Data'!$A$1:$A$20000,0),MATCH("Intent",'Semrush Data'!$A$1:$Z$1,0)),"")</f>
        <v/>
      </c>
    </row>
    <row r="3609" customFormat="false" ht="15" hidden="false" customHeight="true" outlineLevel="0" collapsed="false">
      <c r="A3609" s="6" t="s">
        <v>5671</v>
      </c>
      <c r="B3609" s="6" t="s">
        <v>249</v>
      </c>
      <c r="C3609" s="6" t="n">
        <v>3</v>
      </c>
      <c r="D3609" s="6" t="n">
        <v>37</v>
      </c>
      <c r="E3609" s="6" t="n">
        <v>1</v>
      </c>
      <c r="F3609" s="6" t="s">
        <v>5665</v>
      </c>
      <c r="G3609" s="28" t="str">
        <f aca="false">IFERROR(INDEX('Semrush Data'!$A$1:$Z$20000,MATCH(A3609,'Semrush Data'!$A$1:$A$20000,0),MATCH("Volume",'Semrush Data'!$A$1:$Z$1,0)),"")</f>
        <v/>
      </c>
      <c r="H3609" s="6" t="str">
        <f aca="false">IFERROR(INDEX('Semrush Data'!$A$1:$Z$20000,MATCH(A3609,'Semrush Data'!$A$1:$A$20000,0),MATCH("Keyword Difficulty*",'Semrush Data'!$A$1:$Z$1,0)),"")</f>
        <v/>
      </c>
      <c r="I3609" s="29" t="str">
        <f aca="false">IFERROR(INDEX('Semrush Data'!$A$1:$Z$20000,MATCH(A3609,'Semrush Data'!$A$1:$A$20000,0),MATCH("CPC*",'Semrush Data'!$A$1:$Z$1,0)),"")</f>
        <v/>
      </c>
      <c r="J3609" s="6" t="str">
        <f aca="false">IFERROR(INDEX('Semrush Data'!$A$1:$Z$20000,MATCH(A3609,'Semrush Data'!$A$1:$A$20000,0),MATCH("Intent",'Semrush Data'!$A$1:$Z$1,0)),"")</f>
        <v/>
      </c>
    </row>
    <row r="3610" customFormat="false" ht="15" hidden="false" customHeight="true" outlineLevel="0" collapsed="false">
      <c r="A3610" s="6" t="s">
        <v>5683</v>
      </c>
      <c r="B3610" s="6" t="s">
        <v>249</v>
      </c>
      <c r="C3610" s="6" t="n">
        <v>3</v>
      </c>
      <c r="D3610" s="6" t="n">
        <v>37</v>
      </c>
      <c r="E3610" s="6" t="n">
        <v>1</v>
      </c>
      <c r="F3610" s="6" t="s">
        <v>5678</v>
      </c>
      <c r="G3610" s="28" t="str">
        <f aca="false">IFERROR(INDEX('Semrush Data'!$A$1:$Z$20000,MATCH(A3610,'Semrush Data'!$A$1:$A$20000,0),MATCH("Volume",'Semrush Data'!$A$1:$Z$1,0)),"")</f>
        <v/>
      </c>
      <c r="H3610" s="6" t="str">
        <f aca="false">IFERROR(INDEX('Semrush Data'!$A$1:$Z$20000,MATCH(A3610,'Semrush Data'!$A$1:$A$20000,0),MATCH("Keyword Difficulty*",'Semrush Data'!$A$1:$Z$1,0)),"")</f>
        <v/>
      </c>
      <c r="I3610" s="29" t="str">
        <f aca="false">IFERROR(INDEX('Semrush Data'!$A$1:$Z$20000,MATCH(A3610,'Semrush Data'!$A$1:$A$20000,0),MATCH("CPC*",'Semrush Data'!$A$1:$Z$1,0)),"")</f>
        <v/>
      </c>
      <c r="J3610" s="6" t="str">
        <f aca="false">IFERROR(INDEX('Semrush Data'!$A$1:$Z$20000,MATCH(A3610,'Semrush Data'!$A$1:$A$20000,0),MATCH("Intent",'Semrush Data'!$A$1:$Z$1,0)),"")</f>
        <v/>
      </c>
    </row>
    <row r="3611" customFormat="false" ht="15" hidden="false" customHeight="true" outlineLevel="0" collapsed="false">
      <c r="A3611" s="6" t="s">
        <v>5694</v>
      </c>
      <c r="B3611" s="6" t="s">
        <v>249</v>
      </c>
      <c r="C3611" s="6" t="n">
        <v>3</v>
      </c>
      <c r="D3611" s="6" t="n">
        <v>37</v>
      </c>
      <c r="E3611" s="6" t="n">
        <v>1</v>
      </c>
      <c r="F3611" s="6" t="s">
        <v>5689</v>
      </c>
      <c r="G3611" s="28" t="str">
        <f aca="false">IFERROR(INDEX('Semrush Data'!$A$1:$Z$20000,MATCH(A3611,'Semrush Data'!$A$1:$A$20000,0),MATCH("Volume",'Semrush Data'!$A$1:$Z$1,0)),"")</f>
        <v/>
      </c>
      <c r="H3611" s="6" t="str">
        <f aca="false">IFERROR(INDEX('Semrush Data'!$A$1:$Z$20000,MATCH(A3611,'Semrush Data'!$A$1:$A$20000,0),MATCH("Keyword Difficulty*",'Semrush Data'!$A$1:$Z$1,0)),"")</f>
        <v/>
      </c>
      <c r="I3611" s="29" t="str">
        <f aca="false">IFERROR(INDEX('Semrush Data'!$A$1:$Z$20000,MATCH(A3611,'Semrush Data'!$A$1:$A$20000,0),MATCH("CPC*",'Semrush Data'!$A$1:$Z$1,0)),"")</f>
        <v/>
      </c>
      <c r="J3611" s="6" t="str">
        <f aca="false">IFERROR(INDEX('Semrush Data'!$A$1:$Z$20000,MATCH(A3611,'Semrush Data'!$A$1:$A$20000,0),MATCH("Intent",'Semrush Data'!$A$1:$Z$1,0)),"")</f>
        <v/>
      </c>
    </row>
    <row r="3612" customFormat="false" ht="15" hidden="false" customHeight="true" outlineLevel="0" collapsed="false">
      <c r="A3612" s="6" t="s">
        <v>5706</v>
      </c>
      <c r="B3612" s="6" t="s">
        <v>249</v>
      </c>
      <c r="C3612" s="6" t="n">
        <v>3</v>
      </c>
      <c r="D3612" s="6" t="n">
        <v>37</v>
      </c>
      <c r="E3612" s="6" t="n">
        <v>1</v>
      </c>
      <c r="F3612" s="6" t="s">
        <v>5701</v>
      </c>
      <c r="G3612" s="28" t="str">
        <f aca="false">IFERROR(INDEX('Semrush Data'!$A$1:$Z$20000,MATCH(A3612,'Semrush Data'!$A$1:$A$20000,0),MATCH("Volume",'Semrush Data'!$A$1:$Z$1,0)),"")</f>
        <v/>
      </c>
      <c r="H3612" s="6" t="str">
        <f aca="false">IFERROR(INDEX('Semrush Data'!$A$1:$Z$20000,MATCH(A3612,'Semrush Data'!$A$1:$A$20000,0),MATCH("Keyword Difficulty*",'Semrush Data'!$A$1:$Z$1,0)),"")</f>
        <v/>
      </c>
      <c r="I3612" s="29" t="str">
        <f aca="false">IFERROR(INDEX('Semrush Data'!$A$1:$Z$20000,MATCH(A3612,'Semrush Data'!$A$1:$A$20000,0),MATCH("CPC*",'Semrush Data'!$A$1:$Z$1,0)),"")</f>
        <v/>
      </c>
      <c r="J3612" s="6" t="str">
        <f aca="false">IFERROR(INDEX('Semrush Data'!$A$1:$Z$20000,MATCH(A3612,'Semrush Data'!$A$1:$A$20000,0),MATCH("Intent",'Semrush Data'!$A$1:$Z$1,0)),"")</f>
        <v/>
      </c>
    </row>
    <row r="3613" customFormat="false" ht="15" hidden="false" customHeight="true" outlineLevel="0" collapsed="false">
      <c r="A3613" s="6" t="s">
        <v>5717</v>
      </c>
      <c r="B3613" s="6" t="s">
        <v>249</v>
      </c>
      <c r="C3613" s="6" t="n">
        <v>3</v>
      </c>
      <c r="D3613" s="6" t="n">
        <v>37</v>
      </c>
      <c r="E3613" s="6" t="n">
        <v>1</v>
      </c>
      <c r="F3613" s="6" t="s">
        <v>5712</v>
      </c>
      <c r="G3613" s="28" t="str">
        <f aca="false">IFERROR(INDEX('Semrush Data'!$A$1:$Z$20000,MATCH(A3613,'Semrush Data'!$A$1:$A$20000,0),MATCH("Volume",'Semrush Data'!$A$1:$Z$1,0)),"")</f>
        <v/>
      </c>
      <c r="H3613" s="6" t="str">
        <f aca="false">IFERROR(INDEX('Semrush Data'!$A$1:$Z$20000,MATCH(A3613,'Semrush Data'!$A$1:$A$20000,0),MATCH("Keyword Difficulty*",'Semrush Data'!$A$1:$Z$1,0)),"")</f>
        <v/>
      </c>
      <c r="I3613" s="29" t="str">
        <f aca="false">IFERROR(INDEX('Semrush Data'!$A$1:$Z$20000,MATCH(A3613,'Semrush Data'!$A$1:$A$20000,0),MATCH("CPC*",'Semrush Data'!$A$1:$Z$1,0)),"")</f>
        <v/>
      </c>
      <c r="J3613" s="6" t="str">
        <f aca="false">IFERROR(INDEX('Semrush Data'!$A$1:$Z$20000,MATCH(A3613,'Semrush Data'!$A$1:$A$20000,0),MATCH("Intent",'Semrush Data'!$A$1:$Z$1,0)),"")</f>
        <v/>
      </c>
    </row>
    <row r="3614" customFormat="false" ht="15" hidden="false" customHeight="true" outlineLevel="0" collapsed="false">
      <c r="A3614" s="6" t="s">
        <v>5729</v>
      </c>
      <c r="B3614" s="6" t="s">
        <v>249</v>
      </c>
      <c r="C3614" s="6" t="n">
        <v>3</v>
      </c>
      <c r="D3614" s="6" t="n">
        <v>37</v>
      </c>
      <c r="E3614" s="6" t="n">
        <v>1</v>
      </c>
      <c r="F3614" s="6" t="s">
        <v>5723</v>
      </c>
      <c r="G3614" s="28" t="str">
        <f aca="false">IFERROR(INDEX('Semrush Data'!$A$1:$Z$20000,MATCH(A3614,'Semrush Data'!$A$1:$A$20000,0),MATCH("Volume",'Semrush Data'!$A$1:$Z$1,0)),"")</f>
        <v/>
      </c>
      <c r="H3614" s="6" t="str">
        <f aca="false">IFERROR(INDEX('Semrush Data'!$A$1:$Z$20000,MATCH(A3614,'Semrush Data'!$A$1:$A$20000,0),MATCH("Keyword Difficulty*",'Semrush Data'!$A$1:$Z$1,0)),"")</f>
        <v/>
      </c>
      <c r="I3614" s="29" t="str">
        <f aca="false">IFERROR(INDEX('Semrush Data'!$A$1:$Z$20000,MATCH(A3614,'Semrush Data'!$A$1:$A$20000,0),MATCH("CPC*",'Semrush Data'!$A$1:$Z$1,0)),"")</f>
        <v/>
      </c>
      <c r="J3614" s="6" t="str">
        <f aca="false">IFERROR(INDEX('Semrush Data'!$A$1:$Z$20000,MATCH(A3614,'Semrush Data'!$A$1:$A$20000,0),MATCH("Intent",'Semrush Data'!$A$1:$Z$1,0)),"")</f>
        <v/>
      </c>
    </row>
    <row r="3615" customFormat="false" ht="15" hidden="false" customHeight="true" outlineLevel="0" collapsed="false">
      <c r="A3615" s="6" t="s">
        <v>5742</v>
      </c>
      <c r="B3615" s="6" t="s">
        <v>249</v>
      </c>
      <c r="C3615" s="6" t="n">
        <v>3</v>
      </c>
      <c r="D3615" s="6" t="n">
        <v>37</v>
      </c>
      <c r="E3615" s="6" t="n">
        <v>1</v>
      </c>
      <c r="F3615" s="6" t="s">
        <v>5736</v>
      </c>
      <c r="G3615" s="28" t="str">
        <f aca="false">IFERROR(INDEX('Semrush Data'!$A$1:$Z$20000,MATCH(A3615,'Semrush Data'!$A$1:$A$20000,0),MATCH("Volume",'Semrush Data'!$A$1:$Z$1,0)),"")</f>
        <v/>
      </c>
      <c r="H3615" s="6" t="str">
        <f aca="false">IFERROR(INDEX('Semrush Data'!$A$1:$Z$20000,MATCH(A3615,'Semrush Data'!$A$1:$A$20000,0),MATCH("Keyword Difficulty*",'Semrush Data'!$A$1:$Z$1,0)),"")</f>
        <v/>
      </c>
      <c r="I3615" s="29" t="str">
        <f aca="false">IFERROR(INDEX('Semrush Data'!$A$1:$Z$20000,MATCH(A3615,'Semrush Data'!$A$1:$A$20000,0),MATCH("CPC*",'Semrush Data'!$A$1:$Z$1,0)),"")</f>
        <v/>
      </c>
      <c r="J3615" s="6" t="str">
        <f aca="false">IFERROR(INDEX('Semrush Data'!$A$1:$Z$20000,MATCH(A3615,'Semrush Data'!$A$1:$A$20000,0),MATCH("Intent",'Semrush Data'!$A$1:$Z$1,0)),"")</f>
        <v/>
      </c>
    </row>
    <row r="3616" customFormat="false" ht="15" hidden="false" customHeight="true" outlineLevel="0" collapsed="false">
      <c r="A3616" s="6" t="s">
        <v>5755</v>
      </c>
      <c r="B3616" s="6" t="s">
        <v>249</v>
      </c>
      <c r="C3616" s="6" t="n">
        <v>3</v>
      </c>
      <c r="D3616" s="6" t="n">
        <v>37</v>
      </c>
      <c r="E3616" s="6" t="n">
        <v>1</v>
      </c>
      <c r="F3616" s="6" t="s">
        <v>5749</v>
      </c>
      <c r="G3616" s="28" t="str">
        <f aca="false">IFERROR(INDEX('Semrush Data'!$A$1:$Z$20000,MATCH(A3616,'Semrush Data'!$A$1:$A$20000,0),MATCH("Volume",'Semrush Data'!$A$1:$Z$1,0)),"")</f>
        <v/>
      </c>
      <c r="H3616" s="6" t="str">
        <f aca="false">IFERROR(INDEX('Semrush Data'!$A$1:$Z$20000,MATCH(A3616,'Semrush Data'!$A$1:$A$20000,0),MATCH("Keyword Difficulty*",'Semrush Data'!$A$1:$Z$1,0)),"")</f>
        <v/>
      </c>
      <c r="I3616" s="29" t="str">
        <f aca="false">IFERROR(INDEX('Semrush Data'!$A$1:$Z$20000,MATCH(A3616,'Semrush Data'!$A$1:$A$20000,0),MATCH("CPC*",'Semrush Data'!$A$1:$Z$1,0)),"")</f>
        <v/>
      </c>
      <c r="J3616" s="6" t="str">
        <f aca="false">IFERROR(INDEX('Semrush Data'!$A$1:$Z$20000,MATCH(A3616,'Semrush Data'!$A$1:$A$20000,0),MATCH("Intent",'Semrush Data'!$A$1:$Z$1,0)),"")</f>
        <v/>
      </c>
    </row>
    <row r="3617" customFormat="false" ht="15" hidden="false" customHeight="true" outlineLevel="0" collapsed="false">
      <c r="A3617" s="6" t="s">
        <v>5767</v>
      </c>
      <c r="B3617" s="6" t="s">
        <v>249</v>
      </c>
      <c r="C3617" s="6" t="n">
        <v>3</v>
      </c>
      <c r="D3617" s="6" t="n">
        <v>37</v>
      </c>
      <c r="E3617" s="6" t="n">
        <v>1</v>
      </c>
      <c r="F3617" s="6" t="s">
        <v>5762</v>
      </c>
      <c r="G3617" s="28" t="str">
        <f aca="false">IFERROR(INDEX('Semrush Data'!$A$1:$Z$20000,MATCH(A3617,'Semrush Data'!$A$1:$A$20000,0),MATCH("Volume",'Semrush Data'!$A$1:$Z$1,0)),"")</f>
        <v/>
      </c>
      <c r="H3617" s="6" t="str">
        <f aca="false">IFERROR(INDEX('Semrush Data'!$A$1:$Z$20000,MATCH(A3617,'Semrush Data'!$A$1:$A$20000,0),MATCH("Keyword Difficulty*",'Semrush Data'!$A$1:$Z$1,0)),"")</f>
        <v/>
      </c>
      <c r="I3617" s="29" t="str">
        <f aca="false">IFERROR(INDEX('Semrush Data'!$A$1:$Z$20000,MATCH(A3617,'Semrush Data'!$A$1:$A$20000,0),MATCH("CPC*",'Semrush Data'!$A$1:$Z$1,0)),"")</f>
        <v/>
      </c>
      <c r="J3617" s="6" t="str">
        <f aca="false">IFERROR(INDEX('Semrush Data'!$A$1:$Z$20000,MATCH(A3617,'Semrush Data'!$A$1:$A$20000,0),MATCH("Intent",'Semrush Data'!$A$1:$Z$1,0)),"")</f>
        <v/>
      </c>
    </row>
    <row r="3618" customFormat="false" ht="15" hidden="false" customHeight="true" outlineLevel="0" collapsed="false">
      <c r="A3618" s="6" t="s">
        <v>5778</v>
      </c>
      <c r="B3618" s="6" t="s">
        <v>249</v>
      </c>
      <c r="C3618" s="6" t="n">
        <v>3</v>
      </c>
      <c r="D3618" s="6" t="n">
        <v>37</v>
      </c>
      <c r="E3618" s="6" t="n">
        <v>1</v>
      </c>
      <c r="F3618" s="6" t="s">
        <v>5773</v>
      </c>
      <c r="G3618" s="28" t="str">
        <f aca="false">IFERROR(INDEX('Semrush Data'!$A$1:$Z$20000,MATCH(A3618,'Semrush Data'!$A$1:$A$20000,0),MATCH("Volume",'Semrush Data'!$A$1:$Z$1,0)),"")</f>
        <v/>
      </c>
      <c r="H3618" s="6" t="str">
        <f aca="false">IFERROR(INDEX('Semrush Data'!$A$1:$Z$20000,MATCH(A3618,'Semrush Data'!$A$1:$A$20000,0),MATCH("Keyword Difficulty*",'Semrush Data'!$A$1:$Z$1,0)),"")</f>
        <v/>
      </c>
      <c r="I3618" s="29" t="str">
        <f aca="false">IFERROR(INDEX('Semrush Data'!$A$1:$Z$20000,MATCH(A3618,'Semrush Data'!$A$1:$A$20000,0),MATCH("CPC*",'Semrush Data'!$A$1:$Z$1,0)),"")</f>
        <v/>
      </c>
      <c r="J3618" s="6" t="str">
        <f aca="false">IFERROR(INDEX('Semrush Data'!$A$1:$Z$20000,MATCH(A3618,'Semrush Data'!$A$1:$A$20000,0),MATCH("Intent",'Semrush Data'!$A$1:$Z$1,0)),"")</f>
        <v/>
      </c>
    </row>
    <row r="3619" customFormat="false" ht="15" hidden="false" customHeight="true" outlineLevel="0" collapsed="false">
      <c r="A3619" s="6" t="s">
        <v>5902</v>
      </c>
      <c r="B3619" s="6" t="s">
        <v>249</v>
      </c>
      <c r="C3619" s="6" t="n">
        <v>3</v>
      </c>
      <c r="D3619" s="6" t="n">
        <v>37</v>
      </c>
      <c r="E3619" s="6" t="n">
        <v>1</v>
      </c>
      <c r="F3619" s="6" t="s">
        <v>5896</v>
      </c>
      <c r="G3619" s="28" t="str">
        <f aca="false">IFERROR(INDEX('Semrush Data'!$A$1:$Z$20000,MATCH(A3619,'Semrush Data'!$A$1:$A$20000,0),MATCH("Volume",'Semrush Data'!$A$1:$Z$1,0)),"")</f>
        <v/>
      </c>
      <c r="H3619" s="6" t="str">
        <f aca="false">IFERROR(INDEX('Semrush Data'!$A$1:$Z$20000,MATCH(A3619,'Semrush Data'!$A$1:$A$20000,0),MATCH("Keyword Difficulty*",'Semrush Data'!$A$1:$Z$1,0)),"")</f>
        <v/>
      </c>
      <c r="I3619" s="29" t="str">
        <f aca="false">IFERROR(INDEX('Semrush Data'!$A$1:$Z$20000,MATCH(A3619,'Semrush Data'!$A$1:$A$20000,0),MATCH("CPC*",'Semrush Data'!$A$1:$Z$1,0)),"")</f>
        <v/>
      </c>
      <c r="J3619" s="6" t="str">
        <f aca="false">IFERROR(INDEX('Semrush Data'!$A$1:$Z$20000,MATCH(A3619,'Semrush Data'!$A$1:$A$20000,0),MATCH("Intent",'Semrush Data'!$A$1:$Z$1,0)),"")</f>
        <v/>
      </c>
    </row>
    <row r="3620" customFormat="false" ht="15" hidden="false" customHeight="true" outlineLevel="0" collapsed="false">
      <c r="A3620" s="6" t="s">
        <v>5790</v>
      </c>
      <c r="B3620" s="6" t="s">
        <v>249</v>
      </c>
      <c r="C3620" s="6" t="n">
        <v>3</v>
      </c>
      <c r="D3620" s="6" t="n">
        <v>37</v>
      </c>
      <c r="E3620" s="6" t="n">
        <v>1</v>
      </c>
      <c r="F3620" s="6" t="s">
        <v>5785</v>
      </c>
      <c r="G3620" s="28" t="str">
        <f aca="false">IFERROR(INDEX('Semrush Data'!$A$1:$Z$20000,MATCH(A3620,'Semrush Data'!$A$1:$A$20000,0),MATCH("Volume",'Semrush Data'!$A$1:$Z$1,0)),"")</f>
        <v/>
      </c>
      <c r="H3620" s="6" t="str">
        <f aca="false">IFERROR(INDEX('Semrush Data'!$A$1:$Z$20000,MATCH(A3620,'Semrush Data'!$A$1:$A$20000,0),MATCH("Keyword Difficulty*",'Semrush Data'!$A$1:$Z$1,0)),"")</f>
        <v/>
      </c>
      <c r="I3620" s="29" t="str">
        <f aca="false">IFERROR(INDEX('Semrush Data'!$A$1:$Z$20000,MATCH(A3620,'Semrush Data'!$A$1:$A$20000,0),MATCH("CPC*",'Semrush Data'!$A$1:$Z$1,0)),"")</f>
        <v/>
      </c>
      <c r="J3620" s="6" t="str">
        <f aca="false">IFERROR(INDEX('Semrush Data'!$A$1:$Z$20000,MATCH(A3620,'Semrush Data'!$A$1:$A$20000,0),MATCH("Intent",'Semrush Data'!$A$1:$Z$1,0)),"")</f>
        <v/>
      </c>
    </row>
    <row r="3621" customFormat="false" ht="15" hidden="false" customHeight="true" outlineLevel="0" collapsed="false">
      <c r="A3621" s="6" t="s">
        <v>5880</v>
      </c>
      <c r="B3621" s="6" t="s">
        <v>249</v>
      </c>
      <c r="C3621" s="6" t="n">
        <v>3</v>
      </c>
      <c r="D3621" s="6" t="n">
        <v>37</v>
      </c>
      <c r="E3621" s="6" t="n">
        <v>1</v>
      </c>
      <c r="F3621" s="6" t="s">
        <v>5875</v>
      </c>
      <c r="G3621" s="28" t="str">
        <f aca="false">IFERROR(INDEX('Semrush Data'!$A$1:$Z$20000,MATCH(A3621,'Semrush Data'!$A$1:$A$20000,0),MATCH("Volume",'Semrush Data'!$A$1:$Z$1,0)),"")</f>
        <v/>
      </c>
      <c r="H3621" s="6" t="str">
        <f aca="false">IFERROR(INDEX('Semrush Data'!$A$1:$Z$20000,MATCH(A3621,'Semrush Data'!$A$1:$A$20000,0),MATCH("Keyword Difficulty*",'Semrush Data'!$A$1:$Z$1,0)),"")</f>
        <v/>
      </c>
      <c r="I3621" s="29" t="str">
        <f aca="false">IFERROR(INDEX('Semrush Data'!$A$1:$Z$20000,MATCH(A3621,'Semrush Data'!$A$1:$A$20000,0),MATCH("CPC*",'Semrush Data'!$A$1:$Z$1,0)),"")</f>
        <v/>
      </c>
      <c r="J3621" s="6" t="str">
        <f aca="false">IFERROR(INDEX('Semrush Data'!$A$1:$Z$20000,MATCH(A3621,'Semrush Data'!$A$1:$A$20000,0),MATCH("Intent",'Semrush Data'!$A$1:$Z$1,0)),"")</f>
        <v/>
      </c>
    </row>
    <row r="3622" customFormat="false" ht="15" hidden="false" customHeight="true" outlineLevel="0" collapsed="false">
      <c r="A3622" s="6" t="s">
        <v>5892</v>
      </c>
      <c r="B3622" s="6" t="s">
        <v>249</v>
      </c>
      <c r="C3622" s="6" t="n">
        <v>3</v>
      </c>
      <c r="D3622" s="6" t="n">
        <v>37</v>
      </c>
      <c r="E3622" s="6" t="n">
        <v>1</v>
      </c>
      <c r="F3622" s="6" t="s">
        <v>5886</v>
      </c>
      <c r="G3622" s="28" t="str">
        <f aca="false">IFERROR(INDEX('Semrush Data'!$A$1:$Z$20000,MATCH(A3622,'Semrush Data'!$A$1:$A$20000,0),MATCH("Volume",'Semrush Data'!$A$1:$Z$1,0)),"")</f>
        <v/>
      </c>
      <c r="H3622" s="6" t="str">
        <f aca="false">IFERROR(INDEX('Semrush Data'!$A$1:$Z$20000,MATCH(A3622,'Semrush Data'!$A$1:$A$20000,0),MATCH("Keyword Difficulty*",'Semrush Data'!$A$1:$Z$1,0)),"")</f>
        <v/>
      </c>
      <c r="I3622" s="29" t="str">
        <f aca="false">IFERROR(INDEX('Semrush Data'!$A$1:$Z$20000,MATCH(A3622,'Semrush Data'!$A$1:$A$20000,0),MATCH("CPC*",'Semrush Data'!$A$1:$Z$1,0)),"")</f>
        <v/>
      </c>
      <c r="J3622" s="6" t="str">
        <f aca="false">IFERROR(INDEX('Semrush Data'!$A$1:$Z$20000,MATCH(A3622,'Semrush Data'!$A$1:$A$20000,0),MATCH("Intent",'Semrush Data'!$A$1:$Z$1,0)),"")</f>
        <v/>
      </c>
    </row>
    <row r="3623" customFormat="false" ht="15" hidden="false" customHeight="true" outlineLevel="0" collapsed="false">
      <c r="A3623" s="6" t="s">
        <v>5914</v>
      </c>
      <c r="B3623" s="6" t="s">
        <v>249</v>
      </c>
      <c r="C3623" s="6" t="n">
        <v>3</v>
      </c>
      <c r="D3623" s="6" t="n">
        <v>37</v>
      </c>
      <c r="E3623" s="6" t="n">
        <v>1</v>
      </c>
      <c r="F3623" s="6" t="s">
        <v>5909</v>
      </c>
      <c r="G3623" s="28" t="str">
        <f aca="false">IFERROR(INDEX('Semrush Data'!$A$1:$Z$20000,MATCH(A3623,'Semrush Data'!$A$1:$A$20000,0),MATCH("Volume",'Semrush Data'!$A$1:$Z$1,0)),"")</f>
        <v/>
      </c>
      <c r="H3623" s="6" t="str">
        <f aca="false">IFERROR(INDEX('Semrush Data'!$A$1:$Z$20000,MATCH(A3623,'Semrush Data'!$A$1:$A$20000,0),MATCH("Keyword Difficulty*",'Semrush Data'!$A$1:$Z$1,0)),"")</f>
        <v/>
      </c>
      <c r="I3623" s="29" t="str">
        <f aca="false">IFERROR(INDEX('Semrush Data'!$A$1:$Z$20000,MATCH(A3623,'Semrush Data'!$A$1:$A$20000,0),MATCH("CPC*",'Semrush Data'!$A$1:$Z$1,0)),"")</f>
        <v/>
      </c>
      <c r="J3623" s="6" t="str">
        <f aca="false">IFERROR(INDEX('Semrush Data'!$A$1:$Z$20000,MATCH(A3623,'Semrush Data'!$A$1:$A$20000,0),MATCH("Intent",'Semrush Data'!$A$1:$Z$1,0)),"")</f>
        <v/>
      </c>
    </row>
    <row r="3624" customFormat="false" ht="15" hidden="false" customHeight="true" outlineLevel="0" collapsed="false">
      <c r="A3624" s="6" t="s">
        <v>5801</v>
      </c>
      <c r="B3624" s="6" t="s">
        <v>249</v>
      </c>
      <c r="C3624" s="6" t="n">
        <v>3</v>
      </c>
      <c r="D3624" s="6" t="n">
        <v>37</v>
      </c>
      <c r="E3624" s="6" t="n">
        <v>1</v>
      </c>
      <c r="F3624" s="6" t="s">
        <v>5796</v>
      </c>
      <c r="G3624" s="28" t="str">
        <f aca="false">IFERROR(INDEX('Semrush Data'!$A$1:$Z$20000,MATCH(A3624,'Semrush Data'!$A$1:$A$20000,0),MATCH("Volume",'Semrush Data'!$A$1:$Z$1,0)),"")</f>
        <v/>
      </c>
      <c r="H3624" s="6" t="str">
        <f aca="false">IFERROR(INDEX('Semrush Data'!$A$1:$Z$20000,MATCH(A3624,'Semrush Data'!$A$1:$A$20000,0),MATCH("Keyword Difficulty*",'Semrush Data'!$A$1:$Z$1,0)),"")</f>
        <v/>
      </c>
      <c r="I3624" s="29" t="str">
        <f aca="false">IFERROR(INDEX('Semrush Data'!$A$1:$Z$20000,MATCH(A3624,'Semrush Data'!$A$1:$A$20000,0),MATCH("CPC*",'Semrush Data'!$A$1:$Z$1,0)),"")</f>
        <v/>
      </c>
      <c r="J3624" s="6" t="str">
        <f aca="false">IFERROR(INDEX('Semrush Data'!$A$1:$Z$20000,MATCH(A3624,'Semrush Data'!$A$1:$A$20000,0),MATCH("Intent",'Semrush Data'!$A$1:$Z$1,0)),"")</f>
        <v/>
      </c>
    </row>
    <row r="3625" customFormat="false" ht="15" hidden="false" customHeight="true" outlineLevel="0" collapsed="false">
      <c r="A3625" s="6" t="s">
        <v>5813</v>
      </c>
      <c r="B3625" s="6" t="s">
        <v>249</v>
      </c>
      <c r="C3625" s="6" t="n">
        <v>3</v>
      </c>
      <c r="D3625" s="6" t="n">
        <v>37</v>
      </c>
      <c r="E3625" s="6" t="n">
        <v>1</v>
      </c>
      <c r="F3625" s="6" t="s">
        <v>5807</v>
      </c>
      <c r="G3625" s="28" t="str">
        <f aca="false">IFERROR(INDEX('Semrush Data'!$A$1:$Z$20000,MATCH(A3625,'Semrush Data'!$A$1:$A$20000,0),MATCH("Volume",'Semrush Data'!$A$1:$Z$1,0)),"")</f>
        <v/>
      </c>
      <c r="H3625" s="6" t="str">
        <f aca="false">IFERROR(INDEX('Semrush Data'!$A$1:$Z$20000,MATCH(A3625,'Semrush Data'!$A$1:$A$20000,0),MATCH("Keyword Difficulty*",'Semrush Data'!$A$1:$Z$1,0)),"")</f>
        <v/>
      </c>
      <c r="I3625" s="29" t="str">
        <f aca="false">IFERROR(INDEX('Semrush Data'!$A$1:$Z$20000,MATCH(A3625,'Semrush Data'!$A$1:$A$20000,0),MATCH("CPC*",'Semrush Data'!$A$1:$Z$1,0)),"")</f>
        <v/>
      </c>
      <c r="J3625" s="6" t="str">
        <f aca="false">IFERROR(INDEX('Semrush Data'!$A$1:$Z$20000,MATCH(A3625,'Semrush Data'!$A$1:$A$20000,0),MATCH("Intent",'Semrush Data'!$A$1:$Z$1,0)),"")</f>
        <v/>
      </c>
    </row>
    <row r="3626" customFormat="false" ht="15" hidden="false" customHeight="true" outlineLevel="0" collapsed="false">
      <c r="A3626" s="6" t="s">
        <v>5825</v>
      </c>
      <c r="B3626" s="6" t="s">
        <v>249</v>
      </c>
      <c r="C3626" s="6" t="n">
        <v>3</v>
      </c>
      <c r="D3626" s="6" t="n">
        <v>37</v>
      </c>
      <c r="E3626" s="6" t="n">
        <v>1</v>
      </c>
      <c r="F3626" s="6" t="s">
        <v>5820</v>
      </c>
      <c r="G3626" s="28" t="str">
        <f aca="false">IFERROR(INDEX('Semrush Data'!$A$1:$Z$20000,MATCH(A3626,'Semrush Data'!$A$1:$A$20000,0),MATCH("Volume",'Semrush Data'!$A$1:$Z$1,0)),"")</f>
        <v/>
      </c>
      <c r="H3626" s="6" t="str">
        <f aca="false">IFERROR(INDEX('Semrush Data'!$A$1:$Z$20000,MATCH(A3626,'Semrush Data'!$A$1:$A$20000,0),MATCH("Keyword Difficulty*",'Semrush Data'!$A$1:$Z$1,0)),"")</f>
        <v/>
      </c>
      <c r="I3626" s="29" t="str">
        <f aca="false">IFERROR(INDEX('Semrush Data'!$A$1:$Z$20000,MATCH(A3626,'Semrush Data'!$A$1:$A$20000,0),MATCH("CPC*",'Semrush Data'!$A$1:$Z$1,0)),"")</f>
        <v/>
      </c>
      <c r="J3626" s="6" t="str">
        <f aca="false">IFERROR(INDEX('Semrush Data'!$A$1:$Z$20000,MATCH(A3626,'Semrush Data'!$A$1:$A$20000,0),MATCH("Intent",'Semrush Data'!$A$1:$Z$1,0)),"")</f>
        <v/>
      </c>
    </row>
    <row r="3627" customFormat="false" ht="15" hidden="false" customHeight="true" outlineLevel="0" collapsed="false">
      <c r="A3627" s="6" t="s">
        <v>5836</v>
      </c>
      <c r="B3627" s="6" t="s">
        <v>249</v>
      </c>
      <c r="C3627" s="6" t="n">
        <v>3</v>
      </c>
      <c r="D3627" s="6" t="n">
        <v>37</v>
      </c>
      <c r="E3627" s="6" t="n">
        <v>1</v>
      </c>
      <c r="F3627" s="6" t="s">
        <v>5831</v>
      </c>
      <c r="G3627" s="28" t="str">
        <f aca="false">IFERROR(INDEX('Semrush Data'!$A$1:$Z$20000,MATCH(A3627,'Semrush Data'!$A$1:$A$20000,0),MATCH("Volume",'Semrush Data'!$A$1:$Z$1,0)),"")</f>
        <v/>
      </c>
      <c r="H3627" s="6" t="str">
        <f aca="false">IFERROR(INDEX('Semrush Data'!$A$1:$Z$20000,MATCH(A3627,'Semrush Data'!$A$1:$A$20000,0),MATCH("Keyword Difficulty*",'Semrush Data'!$A$1:$Z$1,0)),"")</f>
        <v/>
      </c>
      <c r="I3627" s="29" t="str">
        <f aca="false">IFERROR(INDEX('Semrush Data'!$A$1:$Z$20000,MATCH(A3627,'Semrush Data'!$A$1:$A$20000,0),MATCH("CPC*",'Semrush Data'!$A$1:$Z$1,0)),"")</f>
        <v/>
      </c>
      <c r="J3627" s="6" t="str">
        <f aca="false">IFERROR(INDEX('Semrush Data'!$A$1:$Z$20000,MATCH(A3627,'Semrush Data'!$A$1:$A$20000,0),MATCH("Intent",'Semrush Data'!$A$1:$Z$1,0)),"")</f>
        <v/>
      </c>
    </row>
    <row r="3628" customFormat="false" ht="15" hidden="false" customHeight="true" outlineLevel="0" collapsed="false">
      <c r="A3628" s="6" t="s">
        <v>5847</v>
      </c>
      <c r="B3628" s="6" t="s">
        <v>249</v>
      </c>
      <c r="C3628" s="6" t="n">
        <v>3</v>
      </c>
      <c r="D3628" s="6" t="n">
        <v>37</v>
      </c>
      <c r="E3628" s="6" t="n">
        <v>1</v>
      </c>
      <c r="F3628" s="6" t="s">
        <v>5842</v>
      </c>
      <c r="G3628" s="28" t="str">
        <f aca="false">IFERROR(INDEX('Semrush Data'!$A$1:$Z$20000,MATCH(A3628,'Semrush Data'!$A$1:$A$20000,0),MATCH("Volume",'Semrush Data'!$A$1:$Z$1,0)),"")</f>
        <v/>
      </c>
      <c r="H3628" s="6" t="str">
        <f aca="false">IFERROR(INDEX('Semrush Data'!$A$1:$Z$20000,MATCH(A3628,'Semrush Data'!$A$1:$A$20000,0),MATCH("Keyword Difficulty*",'Semrush Data'!$A$1:$Z$1,0)),"")</f>
        <v/>
      </c>
      <c r="I3628" s="29" t="str">
        <f aca="false">IFERROR(INDEX('Semrush Data'!$A$1:$Z$20000,MATCH(A3628,'Semrush Data'!$A$1:$A$20000,0),MATCH("CPC*",'Semrush Data'!$A$1:$Z$1,0)),"")</f>
        <v/>
      </c>
      <c r="J3628" s="6" t="str">
        <f aca="false">IFERROR(INDEX('Semrush Data'!$A$1:$Z$20000,MATCH(A3628,'Semrush Data'!$A$1:$A$20000,0),MATCH("Intent",'Semrush Data'!$A$1:$Z$1,0)),"")</f>
        <v/>
      </c>
    </row>
    <row r="3629" customFormat="false" ht="15" hidden="false" customHeight="true" outlineLevel="0" collapsed="false">
      <c r="A3629" s="6" t="s">
        <v>5925</v>
      </c>
      <c r="B3629" s="6" t="s">
        <v>249</v>
      </c>
      <c r="C3629" s="6" t="n">
        <v>3</v>
      </c>
      <c r="D3629" s="6" t="n">
        <v>37</v>
      </c>
      <c r="E3629" s="6" t="n">
        <v>1</v>
      </c>
      <c r="F3629" s="6" t="s">
        <v>5920</v>
      </c>
      <c r="G3629" s="28" t="str">
        <f aca="false">IFERROR(INDEX('Semrush Data'!$A$1:$Z$20000,MATCH(A3629,'Semrush Data'!$A$1:$A$20000,0),MATCH("Volume",'Semrush Data'!$A$1:$Z$1,0)),"")</f>
        <v/>
      </c>
      <c r="H3629" s="6" t="str">
        <f aca="false">IFERROR(INDEX('Semrush Data'!$A$1:$Z$20000,MATCH(A3629,'Semrush Data'!$A$1:$A$20000,0),MATCH("Keyword Difficulty*",'Semrush Data'!$A$1:$Z$1,0)),"")</f>
        <v/>
      </c>
      <c r="I3629" s="29" t="str">
        <f aca="false">IFERROR(INDEX('Semrush Data'!$A$1:$Z$20000,MATCH(A3629,'Semrush Data'!$A$1:$A$20000,0),MATCH("CPC*",'Semrush Data'!$A$1:$Z$1,0)),"")</f>
        <v/>
      </c>
      <c r="J3629" s="6" t="str">
        <f aca="false">IFERROR(INDEX('Semrush Data'!$A$1:$Z$20000,MATCH(A3629,'Semrush Data'!$A$1:$A$20000,0),MATCH("Intent",'Semrush Data'!$A$1:$Z$1,0)),"")</f>
        <v/>
      </c>
    </row>
    <row r="3630" customFormat="false" ht="15" hidden="false" customHeight="true" outlineLevel="0" collapsed="false">
      <c r="A3630" s="6" t="s">
        <v>5858</v>
      </c>
      <c r="B3630" s="6" t="s">
        <v>249</v>
      </c>
      <c r="C3630" s="6" t="n">
        <v>3</v>
      </c>
      <c r="D3630" s="6" t="n">
        <v>37</v>
      </c>
      <c r="E3630" s="6" t="n">
        <v>1</v>
      </c>
      <c r="F3630" s="6" t="s">
        <v>5853</v>
      </c>
      <c r="G3630" s="28" t="str">
        <f aca="false">IFERROR(INDEX('Semrush Data'!$A$1:$Z$20000,MATCH(A3630,'Semrush Data'!$A$1:$A$20000,0),MATCH("Volume",'Semrush Data'!$A$1:$Z$1,0)),"")</f>
        <v/>
      </c>
      <c r="H3630" s="6" t="str">
        <f aca="false">IFERROR(INDEX('Semrush Data'!$A$1:$Z$20000,MATCH(A3630,'Semrush Data'!$A$1:$A$20000,0),MATCH("Keyword Difficulty*",'Semrush Data'!$A$1:$Z$1,0)),"")</f>
        <v/>
      </c>
      <c r="I3630" s="29" t="str">
        <f aca="false">IFERROR(INDEX('Semrush Data'!$A$1:$Z$20000,MATCH(A3630,'Semrush Data'!$A$1:$A$20000,0),MATCH("CPC*",'Semrush Data'!$A$1:$Z$1,0)),"")</f>
        <v/>
      </c>
      <c r="J3630" s="6" t="str">
        <f aca="false">IFERROR(INDEX('Semrush Data'!$A$1:$Z$20000,MATCH(A3630,'Semrush Data'!$A$1:$A$20000,0),MATCH("Intent",'Semrush Data'!$A$1:$Z$1,0)),"")</f>
        <v/>
      </c>
    </row>
    <row r="3631" customFormat="false" ht="15" hidden="false" customHeight="true" outlineLevel="0" collapsed="false">
      <c r="A3631" s="6" t="s">
        <v>5869</v>
      </c>
      <c r="B3631" s="6" t="s">
        <v>249</v>
      </c>
      <c r="C3631" s="6" t="n">
        <v>3</v>
      </c>
      <c r="D3631" s="6" t="n">
        <v>37</v>
      </c>
      <c r="E3631" s="6" t="n">
        <v>1</v>
      </c>
      <c r="F3631" s="6" t="s">
        <v>5864</v>
      </c>
      <c r="G3631" s="28" t="str">
        <f aca="false">IFERROR(INDEX('Semrush Data'!$A$1:$Z$20000,MATCH(A3631,'Semrush Data'!$A$1:$A$20000,0),MATCH("Volume",'Semrush Data'!$A$1:$Z$1,0)),"")</f>
        <v/>
      </c>
      <c r="H3631" s="6" t="str">
        <f aca="false">IFERROR(INDEX('Semrush Data'!$A$1:$Z$20000,MATCH(A3631,'Semrush Data'!$A$1:$A$20000,0),MATCH("Keyword Difficulty*",'Semrush Data'!$A$1:$Z$1,0)),"")</f>
        <v/>
      </c>
      <c r="I3631" s="29" t="str">
        <f aca="false">IFERROR(INDEX('Semrush Data'!$A$1:$Z$20000,MATCH(A3631,'Semrush Data'!$A$1:$A$20000,0),MATCH("CPC*",'Semrush Data'!$A$1:$Z$1,0)),"")</f>
        <v/>
      </c>
      <c r="J3631" s="6" t="str">
        <f aca="false">IFERROR(INDEX('Semrush Data'!$A$1:$Z$20000,MATCH(A3631,'Semrush Data'!$A$1:$A$20000,0),MATCH("Intent",'Semrush Data'!$A$1:$Z$1,0)),"")</f>
        <v/>
      </c>
    </row>
    <row r="3632" customFormat="false" ht="15" hidden="false" customHeight="true" outlineLevel="0" collapsed="false">
      <c r="A3632" s="6" t="s">
        <v>6011</v>
      </c>
      <c r="B3632" s="6" t="s">
        <v>249</v>
      </c>
      <c r="C3632" s="6" t="n">
        <v>3</v>
      </c>
      <c r="D3632" s="6" t="n">
        <v>37</v>
      </c>
      <c r="E3632" s="6" t="n">
        <v>1</v>
      </c>
      <c r="F3632" s="6" t="s">
        <v>6005</v>
      </c>
      <c r="G3632" s="28" t="str">
        <f aca="false">IFERROR(INDEX('Semrush Data'!$A$1:$Z$20000,MATCH(A3632,'Semrush Data'!$A$1:$A$20000,0),MATCH("Volume",'Semrush Data'!$A$1:$Z$1,0)),"")</f>
        <v/>
      </c>
      <c r="H3632" s="6" t="str">
        <f aca="false">IFERROR(INDEX('Semrush Data'!$A$1:$Z$20000,MATCH(A3632,'Semrush Data'!$A$1:$A$20000,0),MATCH("Keyword Difficulty*",'Semrush Data'!$A$1:$Z$1,0)),"")</f>
        <v/>
      </c>
      <c r="I3632" s="29" t="str">
        <f aca="false">IFERROR(INDEX('Semrush Data'!$A$1:$Z$20000,MATCH(A3632,'Semrush Data'!$A$1:$A$20000,0),MATCH("CPC*",'Semrush Data'!$A$1:$Z$1,0)),"")</f>
        <v/>
      </c>
      <c r="J3632" s="6" t="str">
        <f aca="false">IFERROR(INDEX('Semrush Data'!$A$1:$Z$20000,MATCH(A3632,'Semrush Data'!$A$1:$A$20000,0),MATCH("Intent",'Semrush Data'!$A$1:$Z$1,0)),"")</f>
        <v/>
      </c>
    </row>
    <row r="3633" customFormat="false" ht="15" hidden="false" customHeight="true" outlineLevel="0" collapsed="false">
      <c r="A3633" s="6" t="s">
        <v>6023</v>
      </c>
      <c r="B3633" s="6" t="s">
        <v>249</v>
      </c>
      <c r="C3633" s="6" t="n">
        <v>3</v>
      </c>
      <c r="D3633" s="6" t="n">
        <v>37</v>
      </c>
      <c r="E3633" s="6" t="n">
        <v>1</v>
      </c>
      <c r="F3633" s="6" t="s">
        <v>6018</v>
      </c>
      <c r="G3633" s="28" t="str">
        <f aca="false">IFERROR(INDEX('Semrush Data'!$A$1:$Z$20000,MATCH(A3633,'Semrush Data'!$A$1:$A$20000,0),MATCH("Volume",'Semrush Data'!$A$1:$Z$1,0)),"")</f>
        <v/>
      </c>
      <c r="H3633" s="6" t="str">
        <f aca="false">IFERROR(INDEX('Semrush Data'!$A$1:$Z$20000,MATCH(A3633,'Semrush Data'!$A$1:$A$20000,0),MATCH("Keyword Difficulty*",'Semrush Data'!$A$1:$Z$1,0)),"")</f>
        <v/>
      </c>
      <c r="I3633" s="29" t="str">
        <f aca="false">IFERROR(INDEX('Semrush Data'!$A$1:$Z$20000,MATCH(A3633,'Semrush Data'!$A$1:$A$20000,0),MATCH("CPC*",'Semrush Data'!$A$1:$Z$1,0)),"")</f>
        <v/>
      </c>
      <c r="J3633" s="6" t="str">
        <f aca="false">IFERROR(INDEX('Semrush Data'!$A$1:$Z$20000,MATCH(A3633,'Semrush Data'!$A$1:$A$20000,0),MATCH("Intent",'Semrush Data'!$A$1:$Z$1,0)),"")</f>
        <v/>
      </c>
    </row>
    <row r="3634" customFormat="false" ht="15" hidden="false" customHeight="true" outlineLevel="0" collapsed="false">
      <c r="A3634" s="6" t="s">
        <v>6034</v>
      </c>
      <c r="B3634" s="6" t="s">
        <v>249</v>
      </c>
      <c r="C3634" s="6" t="n">
        <v>3</v>
      </c>
      <c r="D3634" s="6" t="n">
        <v>37</v>
      </c>
      <c r="E3634" s="6" t="n">
        <v>1</v>
      </c>
      <c r="F3634" s="6" t="s">
        <v>6029</v>
      </c>
      <c r="G3634" s="28" t="str">
        <f aca="false">IFERROR(INDEX('Semrush Data'!$A$1:$Z$20000,MATCH(A3634,'Semrush Data'!$A$1:$A$20000,0),MATCH("Volume",'Semrush Data'!$A$1:$Z$1,0)),"")</f>
        <v/>
      </c>
      <c r="H3634" s="6" t="str">
        <f aca="false">IFERROR(INDEX('Semrush Data'!$A$1:$Z$20000,MATCH(A3634,'Semrush Data'!$A$1:$A$20000,0),MATCH("Keyword Difficulty*",'Semrush Data'!$A$1:$Z$1,0)),"")</f>
        <v/>
      </c>
      <c r="I3634" s="29" t="str">
        <f aca="false">IFERROR(INDEX('Semrush Data'!$A$1:$Z$20000,MATCH(A3634,'Semrush Data'!$A$1:$A$20000,0),MATCH("CPC*",'Semrush Data'!$A$1:$Z$1,0)),"")</f>
        <v/>
      </c>
      <c r="J3634" s="6" t="str">
        <f aca="false">IFERROR(INDEX('Semrush Data'!$A$1:$Z$20000,MATCH(A3634,'Semrush Data'!$A$1:$A$20000,0),MATCH("Intent",'Semrush Data'!$A$1:$Z$1,0)),"")</f>
        <v/>
      </c>
    </row>
    <row r="3635" customFormat="false" ht="15" hidden="false" customHeight="true" outlineLevel="0" collapsed="false">
      <c r="A3635" s="6" t="s">
        <v>6045</v>
      </c>
      <c r="B3635" s="6" t="s">
        <v>249</v>
      </c>
      <c r="C3635" s="6" t="n">
        <v>3</v>
      </c>
      <c r="D3635" s="6" t="n">
        <v>37</v>
      </c>
      <c r="E3635" s="6" t="n">
        <v>1</v>
      </c>
      <c r="F3635" s="6" t="s">
        <v>6039</v>
      </c>
      <c r="G3635" s="28" t="str">
        <f aca="false">IFERROR(INDEX('Semrush Data'!$A$1:$Z$20000,MATCH(A3635,'Semrush Data'!$A$1:$A$20000,0),MATCH("Volume",'Semrush Data'!$A$1:$Z$1,0)),"")</f>
        <v/>
      </c>
      <c r="H3635" s="6" t="str">
        <f aca="false">IFERROR(INDEX('Semrush Data'!$A$1:$Z$20000,MATCH(A3635,'Semrush Data'!$A$1:$A$20000,0),MATCH("Keyword Difficulty*",'Semrush Data'!$A$1:$Z$1,0)),"")</f>
        <v/>
      </c>
      <c r="I3635" s="29" t="str">
        <f aca="false">IFERROR(INDEX('Semrush Data'!$A$1:$Z$20000,MATCH(A3635,'Semrush Data'!$A$1:$A$20000,0),MATCH("CPC*",'Semrush Data'!$A$1:$Z$1,0)),"")</f>
        <v/>
      </c>
      <c r="J3635" s="6" t="str">
        <f aca="false">IFERROR(INDEX('Semrush Data'!$A$1:$Z$20000,MATCH(A3635,'Semrush Data'!$A$1:$A$20000,0),MATCH("Intent",'Semrush Data'!$A$1:$Z$1,0)),"")</f>
        <v/>
      </c>
    </row>
    <row r="3636" customFormat="false" ht="15" hidden="false" customHeight="true" outlineLevel="0" collapsed="false">
      <c r="A3636" s="6" t="s">
        <v>6057</v>
      </c>
      <c r="B3636" s="6" t="s">
        <v>249</v>
      </c>
      <c r="C3636" s="6" t="n">
        <v>3</v>
      </c>
      <c r="D3636" s="6" t="n">
        <v>37</v>
      </c>
      <c r="E3636" s="6" t="n">
        <v>1</v>
      </c>
      <c r="F3636" s="6" t="s">
        <v>6052</v>
      </c>
      <c r="G3636" s="28" t="str">
        <f aca="false">IFERROR(INDEX('Semrush Data'!$A$1:$Z$20000,MATCH(A3636,'Semrush Data'!$A$1:$A$20000,0),MATCH("Volume",'Semrush Data'!$A$1:$Z$1,0)),"")</f>
        <v/>
      </c>
      <c r="H3636" s="6" t="str">
        <f aca="false">IFERROR(INDEX('Semrush Data'!$A$1:$Z$20000,MATCH(A3636,'Semrush Data'!$A$1:$A$20000,0),MATCH("Keyword Difficulty*",'Semrush Data'!$A$1:$Z$1,0)),"")</f>
        <v/>
      </c>
      <c r="I3636" s="29" t="str">
        <f aca="false">IFERROR(INDEX('Semrush Data'!$A$1:$Z$20000,MATCH(A3636,'Semrush Data'!$A$1:$A$20000,0),MATCH("CPC*",'Semrush Data'!$A$1:$Z$1,0)),"")</f>
        <v/>
      </c>
      <c r="J3636" s="6" t="str">
        <f aca="false">IFERROR(INDEX('Semrush Data'!$A$1:$Z$20000,MATCH(A3636,'Semrush Data'!$A$1:$A$20000,0),MATCH("Intent",'Semrush Data'!$A$1:$Z$1,0)),"")</f>
        <v/>
      </c>
    </row>
    <row r="3637" customFormat="false" ht="15" hidden="false" customHeight="true" outlineLevel="0" collapsed="false">
      <c r="A3637" s="6" t="s">
        <v>6068</v>
      </c>
      <c r="B3637" s="6" t="s">
        <v>249</v>
      </c>
      <c r="C3637" s="6" t="n">
        <v>3</v>
      </c>
      <c r="D3637" s="6" t="n">
        <v>37</v>
      </c>
      <c r="E3637" s="6" t="n">
        <v>1</v>
      </c>
      <c r="F3637" s="6" t="s">
        <v>6063</v>
      </c>
      <c r="G3637" s="28" t="str">
        <f aca="false">IFERROR(INDEX('Semrush Data'!$A$1:$Z$20000,MATCH(A3637,'Semrush Data'!$A$1:$A$20000,0),MATCH("Volume",'Semrush Data'!$A$1:$Z$1,0)),"")</f>
        <v/>
      </c>
      <c r="H3637" s="6" t="str">
        <f aca="false">IFERROR(INDEX('Semrush Data'!$A$1:$Z$20000,MATCH(A3637,'Semrush Data'!$A$1:$A$20000,0),MATCH("Keyword Difficulty*",'Semrush Data'!$A$1:$Z$1,0)),"")</f>
        <v/>
      </c>
      <c r="I3637" s="29" t="str">
        <f aca="false">IFERROR(INDEX('Semrush Data'!$A$1:$Z$20000,MATCH(A3637,'Semrush Data'!$A$1:$A$20000,0),MATCH("CPC*",'Semrush Data'!$A$1:$Z$1,0)),"")</f>
        <v/>
      </c>
      <c r="J3637" s="6" t="str">
        <f aca="false">IFERROR(INDEX('Semrush Data'!$A$1:$Z$20000,MATCH(A3637,'Semrush Data'!$A$1:$A$20000,0),MATCH("Intent",'Semrush Data'!$A$1:$Z$1,0)),"")</f>
        <v/>
      </c>
    </row>
    <row r="3638" customFormat="false" ht="15" hidden="false" customHeight="true" outlineLevel="0" collapsed="false">
      <c r="A3638" s="6" t="s">
        <v>6079</v>
      </c>
      <c r="B3638" s="6" t="s">
        <v>249</v>
      </c>
      <c r="C3638" s="6" t="n">
        <v>3</v>
      </c>
      <c r="D3638" s="6" t="n">
        <v>37</v>
      </c>
      <c r="E3638" s="6" t="n">
        <v>1</v>
      </c>
      <c r="F3638" s="6" t="s">
        <v>6074</v>
      </c>
      <c r="G3638" s="28" t="str">
        <f aca="false">IFERROR(INDEX('Semrush Data'!$A$1:$Z$20000,MATCH(A3638,'Semrush Data'!$A$1:$A$20000,0),MATCH("Volume",'Semrush Data'!$A$1:$Z$1,0)),"")</f>
        <v/>
      </c>
      <c r="H3638" s="6" t="str">
        <f aca="false">IFERROR(INDEX('Semrush Data'!$A$1:$Z$20000,MATCH(A3638,'Semrush Data'!$A$1:$A$20000,0),MATCH("Keyword Difficulty*",'Semrush Data'!$A$1:$Z$1,0)),"")</f>
        <v/>
      </c>
      <c r="I3638" s="29" t="str">
        <f aca="false">IFERROR(INDEX('Semrush Data'!$A$1:$Z$20000,MATCH(A3638,'Semrush Data'!$A$1:$A$20000,0),MATCH("CPC*",'Semrush Data'!$A$1:$Z$1,0)),"")</f>
        <v/>
      </c>
      <c r="J3638" s="6" t="str">
        <f aca="false">IFERROR(INDEX('Semrush Data'!$A$1:$Z$20000,MATCH(A3638,'Semrush Data'!$A$1:$A$20000,0),MATCH("Intent",'Semrush Data'!$A$1:$Z$1,0)),"")</f>
        <v/>
      </c>
    </row>
    <row r="3639" customFormat="false" ht="15" hidden="false" customHeight="true" outlineLevel="0" collapsed="false">
      <c r="A3639" s="6" t="s">
        <v>6090</v>
      </c>
      <c r="B3639" s="6" t="s">
        <v>249</v>
      </c>
      <c r="C3639" s="6" t="n">
        <v>3</v>
      </c>
      <c r="D3639" s="6" t="n">
        <v>37</v>
      </c>
      <c r="E3639" s="6" t="n">
        <v>1</v>
      </c>
      <c r="F3639" s="6" t="s">
        <v>6085</v>
      </c>
      <c r="G3639" s="28" t="str">
        <f aca="false">IFERROR(INDEX('Semrush Data'!$A$1:$Z$20000,MATCH(A3639,'Semrush Data'!$A$1:$A$20000,0),MATCH("Volume",'Semrush Data'!$A$1:$Z$1,0)),"")</f>
        <v/>
      </c>
      <c r="H3639" s="6" t="str">
        <f aca="false">IFERROR(INDEX('Semrush Data'!$A$1:$Z$20000,MATCH(A3639,'Semrush Data'!$A$1:$A$20000,0),MATCH("Keyword Difficulty*",'Semrush Data'!$A$1:$Z$1,0)),"")</f>
        <v/>
      </c>
      <c r="I3639" s="29" t="str">
        <f aca="false">IFERROR(INDEX('Semrush Data'!$A$1:$Z$20000,MATCH(A3639,'Semrush Data'!$A$1:$A$20000,0),MATCH("CPC*",'Semrush Data'!$A$1:$Z$1,0)),"")</f>
        <v/>
      </c>
      <c r="J3639" s="6" t="str">
        <f aca="false">IFERROR(INDEX('Semrush Data'!$A$1:$Z$20000,MATCH(A3639,'Semrush Data'!$A$1:$A$20000,0),MATCH("Intent",'Semrush Data'!$A$1:$Z$1,0)),"")</f>
        <v/>
      </c>
    </row>
    <row r="3640" customFormat="false" ht="15" hidden="false" customHeight="true" outlineLevel="0" collapsed="false">
      <c r="A3640" s="6" t="s">
        <v>6101</v>
      </c>
      <c r="B3640" s="6" t="s">
        <v>249</v>
      </c>
      <c r="C3640" s="6" t="n">
        <v>3</v>
      </c>
      <c r="D3640" s="6" t="n">
        <v>37</v>
      </c>
      <c r="E3640" s="6" t="n">
        <v>1</v>
      </c>
      <c r="F3640" s="6" t="s">
        <v>6096</v>
      </c>
      <c r="G3640" s="28" t="str">
        <f aca="false">IFERROR(INDEX('Semrush Data'!$A$1:$Z$20000,MATCH(A3640,'Semrush Data'!$A$1:$A$20000,0),MATCH("Volume",'Semrush Data'!$A$1:$Z$1,0)),"")</f>
        <v/>
      </c>
      <c r="H3640" s="6" t="str">
        <f aca="false">IFERROR(INDEX('Semrush Data'!$A$1:$Z$20000,MATCH(A3640,'Semrush Data'!$A$1:$A$20000,0),MATCH("Keyword Difficulty*",'Semrush Data'!$A$1:$Z$1,0)),"")</f>
        <v/>
      </c>
      <c r="I3640" s="29" t="str">
        <f aca="false">IFERROR(INDEX('Semrush Data'!$A$1:$Z$20000,MATCH(A3640,'Semrush Data'!$A$1:$A$20000,0),MATCH("CPC*",'Semrush Data'!$A$1:$Z$1,0)),"")</f>
        <v/>
      </c>
      <c r="J3640" s="6" t="str">
        <f aca="false">IFERROR(INDEX('Semrush Data'!$A$1:$Z$20000,MATCH(A3640,'Semrush Data'!$A$1:$A$20000,0),MATCH("Intent",'Semrush Data'!$A$1:$Z$1,0)),"")</f>
        <v/>
      </c>
    </row>
    <row r="3641" customFormat="false" ht="15" hidden="false" customHeight="true" outlineLevel="0" collapsed="false">
      <c r="A3641" s="6" t="s">
        <v>6112</v>
      </c>
      <c r="B3641" s="6" t="s">
        <v>249</v>
      </c>
      <c r="C3641" s="6" t="n">
        <v>3</v>
      </c>
      <c r="D3641" s="6" t="n">
        <v>37</v>
      </c>
      <c r="E3641" s="6" t="n">
        <v>1</v>
      </c>
      <c r="F3641" s="6" t="s">
        <v>6107</v>
      </c>
      <c r="G3641" s="28" t="str">
        <f aca="false">IFERROR(INDEX('Semrush Data'!$A$1:$Z$20000,MATCH(A3641,'Semrush Data'!$A$1:$A$20000,0),MATCH("Volume",'Semrush Data'!$A$1:$Z$1,0)),"")</f>
        <v/>
      </c>
      <c r="H3641" s="6" t="str">
        <f aca="false">IFERROR(INDEX('Semrush Data'!$A$1:$Z$20000,MATCH(A3641,'Semrush Data'!$A$1:$A$20000,0),MATCH("Keyword Difficulty*",'Semrush Data'!$A$1:$Z$1,0)),"")</f>
        <v/>
      </c>
      <c r="I3641" s="29" t="str">
        <f aca="false">IFERROR(INDEX('Semrush Data'!$A$1:$Z$20000,MATCH(A3641,'Semrush Data'!$A$1:$A$20000,0),MATCH("CPC*",'Semrush Data'!$A$1:$Z$1,0)),"")</f>
        <v/>
      </c>
      <c r="J3641" s="6" t="str">
        <f aca="false">IFERROR(INDEX('Semrush Data'!$A$1:$Z$20000,MATCH(A3641,'Semrush Data'!$A$1:$A$20000,0),MATCH("Intent",'Semrush Data'!$A$1:$Z$1,0)),"")</f>
        <v/>
      </c>
    </row>
    <row r="3642" customFormat="false" ht="15" hidden="false" customHeight="true" outlineLevel="0" collapsed="false">
      <c r="A3642" s="6" t="s">
        <v>6123</v>
      </c>
      <c r="B3642" s="6" t="s">
        <v>249</v>
      </c>
      <c r="C3642" s="6" t="n">
        <v>3</v>
      </c>
      <c r="D3642" s="6" t="n">
        <v>37</v>
      </c>
      <c r="E3642" s="6" t="n">
        <v>1</v>
      </c>
      <c r="F3642" s="6" t="s">
        <v>6118</v>
      </c>
      <c r="G3642" s="28" t="str">
        <f aca="false">IFERROR(INDEX('Semrush Data'!$A$1:$Z$20000,MATCH(A3642,'Semrush Data'!$A$1:$A$20000,0),MATCH("Volume",'Semrush Data'!$A$1:$Z$1,0)),"")</f>
        <v/>
      </c>
      <c r="H3642" s="6" t="str">
        <f aca="false">IFERROR(INDEX('Semrush Data'!$A$1:$Z$20000,MATCH(A3642,'Semrush Data'!$A$1:$A$20000,0),MATCH("Keyword Difficulty*",'Semrush Data'!$A$1:$Z$1,0)),"")</f>
        <v/>
      </c>
      <c r="I3642" s="29" t="str">
        <f aca="false">IFERROR(INDEX('Semrush Data'!$A$1:$Z$20000,MATCH(A3642,'Semrush Data'!$A$1:$A$20000,0),MATCH("CPC*",'Semrush Data'!$A$1:$Z$1,0)),"")</f>
        <v/>
      </c>
      <c r="J3642" s="6" t="str">
        <f aca="false">IFERROR(INDEX('Semrush Data'!$A$1:$Z$20000,MATCH(A3642,'Semrush Data'!$A$1:$A$20000,0),MATCH("Intent",'Semrush Data'!$A$1:$Z$1,0)),"")</f>
        <v/>
      </c>
    </row>
    <row r="3643" customFormat="false" ht="15" hidden="false" customHeight="true" outlineLevel="0" collapsed="false">
      <c r="A3643" s="6" t="s">
        <v>6135</v>
      </c>
      <c r="B3643" s="6" t="s">
        <v>249</v>
      </c>
      <c r="C3643" s="6" t="n">
        <v>3</v>
      </c>
      <c r="D3643" s="6" t="n">
        <v>37</v>
      </c>
      <c r="E3643" s="6" t="n">
        <v>1</v>
      </c>
      <c r="F3643" s="6" t="s">
        <v>6129</v>
      </c>
      <c r="G3643" s="28" t="str">
        <f aca="false">IFERROR(INDEX('Semrush Data'!$A$1:$Z$20000,MATCH(A3643,'Semrush Data'!$A$1:$A$20000,0),MATCH("Volume",'Semrush Data'!$A$1:$Z$1,0)),"")</f>
        <v/>
      </c>
      <c r="H3643" s="6" t="str">
        <f aca="false">IFERROR(INDEX('Semrush Data'!$A$1:$Z$20000,MATCH(A3643,'Semrush Data'!$A$1:$A$20000,0),MATCH("Keyword Difficulty*",'Semrush Data'!$A$1:$Z$1,0)),"")</f>
        <v/>
      </c>
      <c r="I3643" s="29" t="str">
        <f aca="false">IFERROR(INDEX('Semrush Data'!$A$1:$Z$20000,MATCH(A3643,'Semrush Data'!$A$1:$A$20000,0),MATCH("CPC*",'Semrush Data'!$A$1:$Z$1,0)),"")</f>
        <v/>
      </c>
      <c r="J3643" s="6" t="str">
        <f aca="false">IFERROR(INDEX('Semrush Data'!$A$1:$Z$20000,MATCH(A3643,'Semrush Data'!$A$1:$A$20000,0),MATCH("Intent",'Semrush Data'!$A$1:$Z$1,0)),"")</f>
        <v/>
      </c>
    </row>
    <row r="3644" customFormat="false" ht="15" hidden="false" customHeight="true" outlineLevel="0" collapsed="false">
      <c r="A3644" s="6" t="s">
        <v>6147</v>
      </c>
      <c r="B3644" s="6" t="s">
        <v>249</v>
      </c>
      <c r="C3644" s="6" t="n">
        <v>3</v>
      </c>
      <c r="D3644" s="6" t="n">
        <v>37</v>
      </c>
      <c r="E3644" s="6" t="n">
        <v>1</v>
      </c>
      <c r="F3644" s="6" t="s">
        <v>6142</v>
      </c>
      <c r="G3644" s="28" t="str">
        <f aca="false">IFERROR(INDEX('Semrush Data'!$A$1:$Z$20000,MATCH(A3644,'Semrush Data'!$A$1:$A$20000,0),MATCH("Volume",'Semrush Data'!$A$1:$Z$1,0)),"")</f>
        <v/>
      </c>
      <c r="H3644" s="6" t="str">
        <f aca="false">IFERROR(INDEX('Semrush Data'!$A$1:$Z$20000,MATCH(A3644,'Semrush Data'!$A$1:$A$20000,0),MATCH("Keyword Difficulty*",'Semrush Data'!$A$1:$Z$1,0)),"")</f>
        <v/>
      </c>
      <c r="I3644" s="29" t="str">
        <f aca="false">IFERROR(INDEX('Semrush Data'!$A$1:$Z$20000,MATCH(A3644,'Semrush Data'!$A$1:$A$20000,0),MATCH("CPC*",'Semrush Data'!$A$1:$Z$1,0)),"")</f>
        <v/>
      </c>
      <c r="J3644" s="6" t="str">
        <f aca="false">IFERROR(INDEX('Semrush Data'!$A$1:$Z$20000,MATCH(A3644,'Semrush Data'!$A$1:$A$20000,0),MATCH("Intent",'Semrush Data'!$A$1:$Z$1,0)),"")</f>
        <v/>
      </c>
    </row>
    <row r="3645" customFormat="false" ht="15" hidden="false" customHeight="true" outlineLevel="0" collapsed="false">
      <c r="A3645" s="6" t="s">
        <v>6158</v>
      </c>
      <c r="B3645" s="6" t="s">
        <v>249</v>
      </c>
      <c r="C3645" s="6" t="n">
        <v>3</v>
      </c>
      <c r="D3645" s="6" t="n">
        <v>37</v>
      </c>
      <c r="E3645" s="6" t="n">
        <v>1</v>
      </c>
      <c r="F3645" s="6" t="s">
        <v>6153</v>
      </c>
      <c r="G3645" s="28" t="str">
        <f aca="false">IFERROR(INDEX('Semrush Data'!$A$1:$Z$20000,MATCH(A3645,'Semrush Data'!$A$1:$A$20000,0),MATCH("Volume",'Semrush Data'!$A$1:$Z$1,0)),"")</f>
        <v/>
      </c>
      <c r="H3645" s="6" t="str">
        <f aca="false">IFERROR(INDEX('Semrush Data'!$A$1:$Z$20000,MATCH(A3645,'Semrush Data'!$A$1:$A$20000,0),MATCH("Keyword Difficulty*",'Semrush Data'!$A$1:$Z$1,0)),"")</f>
        <v/>
      </c>
      <c r="I3645" s="29" t="str">
        <f aca="false">IFERROR(INDEX('Semrush Data'!$A$1:$Z$20000,MATCH(A3645,'Semrush Data'!$A$1:$A$20000,0),MATCH("CPC*",'Semrush Data'!$A$1:$Z$1,0)),"")</f>
        <v/>
      </c>
      <c r="J3645" s="6" t="str">
        <f aca="false">IFERROR(INDEX('Semrush Data'!$A$1:$Z$20000,MATCH(A3645,'Semrush Data'!$A$1:$A$20000,0),MATCH("Intent",'Semrush Data'!$A$1:$Z$1,0)),"")</f>
        <v/>
      </c>
    </row>
    <row r="3646" customFormat="false" ht="15" hidden="false" customHeight="true" outlineLevel="0" collapsed="false">
      <c r="A3646" s="6" t="s">
        <v>6168</v>
      </c>
      <c r="B3646" s="6" t="s">
        <v>249</v>
      </c>
      <c r="C3646" s="6" t="n">
        <v>3</v>
      </c>
      <c r="D3646" s="6" t="n">
        <v>37</v>
      </c>
      <c r="E3646" s="6" t="n">
        <v>2</v>
      </c>
      <c r="F3646" s="6" t="s">
        <v>6861</v>
      </c>
      <c r="G3646" s="28" t="str">
        <f aca="false">IFERROR(INDEX('Semrush Data'!$A$1:$Z$20000,MATCH(A3646,'Semrush Data'!$A$1:$A$20000,0),MATCH("Volume",'Semrush Data'!$A$1:$Z$1,0)),"")</f>
        <v/>
      </c>
      <c r="H3646" s="6" t="str">
        <f aca="false">IFERROR(INDEX('Semrush Data'!$A$1:$Z$20000,MATCH(A3646,'Semrush Data'!$A$1:$A$20000,0),MATCH("Keyword Difficulty*",'Semrush Data'!$A$1:$Z$1,0)),"")</f>
        <v/>
      </c>
      <c r="I3646" s="29" t="str">
        <f aca="false">IFERROR(INDEX('Semrush Data'!$A$1:$Z$20000,MATCH(A3646,'Semrush Data'!$A$1:$A$20000,0),MATCH("CPC*",'Semrush Data'!$A$1:$Z$1,0)),"")</f>
        <v/>
      </c>
      <c r="J3646" s="6" t="str">
        <f aca="false">IFERROR(INDEX('Semrush Data'!$A$1:$Z$20000,MATCH(A3646,'Semrush Data'!$A$1:$A$20000,0),MATCH("Intent",'Semrush Data'!$A$1:$Z$1,0)),"")</f>
        <v/>
      </c>
    </row>
    <row r="3647" customFormat="false" ht="15" hidden="false" customHeight="true" outlineLevel="0" collapsed="false">
      <c r="A3647" s="6" t="s">
        <v>6183</v>
      </c>
      <c r="B3647" s="6" t="s">
        <v>249</v>
      </c>
      <c r="C3647" s="6" t="n">
        <v>3</v>
      </c>
      <c r="D3647" s="6" t="n">
        <v>37</v>
      </c>
      <c r="E3647" s="6" t="n">
        <v>1</v>
      </c>
      <c r="F3647" s="6" t="s">
        <v>6178</v>
      </c>
      <c r="G3647" s="28" t="str">
        <f aca="false">IFERROR(INDEX('Semrush Data'!$A$1:$Z$20000,MATCH(A3647,'Semrush Data'!$A$1:$A$20000,0),MATCH("Volume",'Semrush Data'!$A$1:$Z$1,0)),"")</f>
        <v/>
      </c>
      <c r="H3647" s="6" t="str">
        <f aca="false">IFERROR(INDEX('Semrush Data'!$A$1:$Z$20000,MATCH(A3647,'Semrush Data'!$A$1:$A$20000,0),MATCH("Keyword Difficulty*",'Semrush Data'!$A$1:$Z$1,0)),"")</f>
        <v/>
      </c>
      <c r="I3647" s="29" t="str">
        <f aca="false">IFERROR(INDEX('Semrush Data'!$A$1:$Z$20000,MATCH(A3647,'Semrush Data'!$A$1:$A$20000,0),MATCH("CPC*",'Semrush Data'!$A$1:$Z$1,0)),"")</f>
        <v/>
      </c>
      <c r="J3647" s="6" t="str">
        <f aca="false">IFERROR(INDEX('Semrush Data'!$A$1:$Z$20000,MATCH(A3647,'Semrush Data'!$A$1:$A$20000,0),MATCH("Intent",'Semrush Data'!$A$1:$Z$1,0)),"")</f>
        <v/>
      </c>
    </row>
    <row r="3648" customFormat="false" ht="15" hidden="false" customHeight="true" outlineLevel="0" collapsed="false">
      <c r="A3648" s="6" t="s">
        <v>6193</v>
      </c>
      <c r="B3648" s="6" t="s">
        <v>249</v>
      </c>
      <c r="C3648" s="6" t="n">
        <v>3</v>
      </c>
      <c r="D3648" s="6" t="n">
        <v>37</v>
      </c>
      <c r="E3648" s="6" t="n">
        <v>1</v>
      </c>
      <c r="F3648" s="6" t="s">
        <v>6188</v>
      </c>
      <c r="G3648" s="28" t="str">
        <f aca="false">IFERROR(INDEX('Semrush Data'!$A$1:$Z$20000,MATCH(A3648,'Semrush Data'!$A$1:$A$20000,0),MATCH("Volume",'Semrush Data'!$A$1:$Z$1,0)),"")</f>
        <v/>
      </c>
      <c r="H3648" s="6" t="str">
        <f aca="false">IFERROR(INDEX('Semrush Data'!$A$1:$Z$20000,MATCH(A3648,'Semrush Data'!$A$1:$A$20000,0),MATCH("Keyword Difficulty*",'Semrush Data'!$A$1:$Z$1,0)),"")</f>
        <v/>
      </c>
      <c r="I3648" s="29" t="str">
        <f aca="false">IFERROR(INDEX('Semrush Data'!$A$1:$Z$20000,MATCH(A3648,'Semrush Data'!$A$1:$A$20000,0),MATCH("CPC*",'Semrush Data'!$A$1:$Z$1,0)),"")</f>
        <v/>
      </c>
      <c r="J3648" s="6" t="str">
        <f aca="false">IFERROR(INDEX('Semrush Data'!$A$1:$Z$20000,MATCH(A3648,'Semrush Data'!$A$1:$A$20000,0),MATCH("Intent",'Semrush Data'!$A$1:$Z$1,0)),"")</f>
        <v/>
      </c>
    </row>
    <row r="3649" customFormat="false" ht="15" hidden="false" customHeight="true" outlineLevel="0" collapsed="false">
      <c r="A3649" s="6" t="s">
        <v>6204</v>
      </c>
      <c r="B3649" s="6" t="s">
        <v>249</v>
      </c>
      <c r="C3649" s="6" t="n">
        <v>3</v>
      </c>
      <c r="D3649" s="6" t="n">
        <v>37</v>
      </c>
      <c r="E3649" s="6" t="n">
        <v>1</v>
      </c>
      <c r="F3649" s="6" t="s">
        <v>6199</v>
      </c>
      <c r="G3649" s="28" t="str">
        <f aca="false">IFERROR(INDEX('Semrush Data'!$A$1:$Z$20000,MATCH(A3649,'Semrush Data'!$A$1:$A$20000,0),MATCH("Volume",'Semrush Data'!$A$1:$Z$1,0)),"")</f>
        <v/>
      </c>
      <c r="H3649" s="6" t="str">
        <f aca="false">IFERROR(INDEX('Semrush Data'!$A$1:$Z$20000,MATCH(A3649,'Semrush Data'!$A$1:$A$20000,0),MATCH("Keyword Difficulty*",'Semrush Data'!$A$1:$Z$1,0)),"")</f>
        <v/>
      </c>
      <c r="I3649" s="29" t="str">
        <f aca="false">IFERROR(INDEX('Semrush Data'!$A$1:$Z$20000,MATCH(A3649,'Semrush Data'!$A$1:$A$20000,0),MATCH("CPC*",'Semrush Data'!$A$1:$Z$1,0)),"")</f>
        <v/>
      </c>
      <c r="J3649" s="6" t="str">
        <f aca="false">IFERROR(INDEX('Semrush Data'!$A$1:$Z$20000,MATCH(A3649,'Semrush Data'!$A$1:$A$20000,0),MATCH("Intent",'Semrush Data'!$A$1:$Z$1,0)),"")</f>
        <v/>
      </c>
    </row>
    <row r="3650" customFormat="false" ht="15" hidden="false" customHeight="true" outlineLevel="0" collapsed="false">
      <c r="A3650" s="6" t="s">
        <v>6214</v>
      </c>
      <c r="B3650" s="6" t="s">
        <v>249</v>
      </c>
      <c r="C3650" s="6" t="n">
        <v>3</v>
      </c>
      <c r="D3650" s="6" t="n">
        <v>37</v>
      </c>
      <c r="E3650" s="6" t="n">
        <v>1</v>
      </c>
      <c r="F3650" s="6" t="s">
        <v>6209</v>
      </c>
      <c r="G3650" s="28" t="str">
        <f aca="false">IFERROR(INDEX('Semrush Data'!$A$1:$Z$20000,MATCH(A3650,'Semrush Data'!$A$1:$A$20000,0),MATCH("Volume",'Semrush Data'!$A$1:$Z$1,0)),"")</f>
        <v/>
      </c>
      <c r="H3650" s="6" t="str">
        <f aca="false">IFERROR(INDEX('Semrush Data'!$A$1:$Z$20000,MATCH(A3650,'Semrush Data'!$A$1:$A$20000,0),MATCH("Keyword Difficulty*",'Semrush Data'!$A$1:$Z$1,0)),"")</f>
        <v/>
      </c>
      <c r="I3650" s="29" t="str">
        <f aca="false">IFERROR(INDEX('Semrush Data'!$A$1:$Z$20000,MATCH(A3650,'Semrush Data'!$A$1:$A$20000,0),MATCH("CPC*",'Semrush Data'!$A$1:$Z$1,0)),"")</f>
        <v/>
      </c>
      <c r="J3650" s="6" t="str">
        <f aca="false">IFERROR(INDEX('Semrush Data'!$A$1:$Z$20000,MATCH(A3650,'Semrush Data'!$A$1:$A$20000,0),MATCH("Intent",'Semrush Data'!$A$1:$Z$1,0)),"")</f>
        <v/>
      </c>
    </row>
    <row r="3651" customFormat="false" ht="15" hidden="false" customHeight="true" outlineLevel="0" collapsed="false">
      <c r="A3651" s="6" t="s">
        <v>6225</v>
      </c>
      <c r="B3651" s="6" t="s">
        <v>249</v>
      </c>
      <c r="C3651" s="6" t="n">
        <v>3</v>
      </c>
      <c r="D3651" s="6" t="n">
        <v>37</v>
      </c>
      <c r="E3651" s="6" t="n">
        <v>1</v>
      </c>
      <c r="F3651" s="6" t="s">
        <v>6220</v>
      </c>
      <c r="G3651" s="28" t="str">
        <f aca="false">IFERROR(INDEX('Semrush Data'!$A$1:$Z$20000,MATCH(A3651,'Semrush Data'!$A$1:$A$20000,0),MATCH("Volume",'Semrush Data'!$A$1:$Z$1,0)),"")</f>
        <v/>
      </c>
      <c r="H3651" s="6" t="str">
        <f aca="false">IFERROR(INDEX('Semrush Data'!$A$1:$Z$20000,MATCH(A3651,'Semrush Data'!$A$1:$A$20000,0),MATCH("Keyword Difficulty*",'Semrush Data'!$A$1:$Z$1,0)),"")</f>
        <v/>
      </c>
      <c r="I3651" s="29" t="str">
        <f aca="false">IFERROR(INDEX('Semrush Data'!$A$1:$Z$20000,MATCH(A3651,'Semrush Data'!$A$1:$A$20000,0),MATCH("CPC*",'Semrush Data'!$A$1:$Z$1,0)),"")</f>
        <v/>
      </c>
      <c r="J3651" s="6" t="str">
        <f aca="false">IFERROR(INDEX('Semrush Data'!$A$1:$Z$20000,MATCH(A3651,'Semrush Data'!$A$1:$A$20000,0),MATCH("Intent",'Semrush Data'!$A$1:$Z$1,0)),"")</f>
        <v/>
      </c>
    </row>
    <row r="3652" customFormat="false" ht="15" hidden="false" customHeight="true" outlineLevel="0" collapsed="false">
      <c r="A3652" s="6" t="s">
        <v>6236</v>
      </c>
      <c r="B3652" s="6" t="s">
        <v>249</v>
      </c>
      <c r="C3652" s="6" t="n">
        <v>3</v>
      </c>
      <c r="D3652" s="6" t="n">
        <v>37</v>
      </c>
      <c r="E3652" s="6" t="n">
        <v>1</v>
      </c>
      <c r="F3652" s="6" t="s">
        <v>6231</v>
      </c>
      <c r="G3652" s="28" t="str">
        <f aca="false">IFERROR(INDEX('Semrush Data'!$A$1:$Z$20000,MATCH(A3652,'Semrush Data'!$A$1:$A$20000,0),MATCH("Volume",'Semrush Data'!$A$1:$Z$1,0)),"")</f>
        <v/>
      </c>
      <c r="H3652" s="6" t="str">
        <f aca="false">IFERROR(INDEX('Semrush Data'!$A$1:$Z$20000,MATCH(A3652,'Semrush Data'!$A$1:$A$20000,0),MATCH("Keyword Difficulty*",'Semrush Data'!$A$1:$Z$1,0)),"")</f>
        <v/>
      </c>
      <c r="I3652" s="29" t="str">
        <f aca="false">IFERROR(INDEX('Semrush Data'!$A$1:$Z$20000,MATCH(A3652,'Semrush Data'!$A$1:$A$20000,0),MATCH("CPC*",'Semrush Data'!$A$1:$Z$1,0)),"")</f>
        <v/>
      </c>
      <c r="J3652" s="6" t="str">
        <f aca="false">IFERROR(INDEX('Semrush Data'!$A$1:$Z$20000,MATCH(A3652,'Semrush Data'!$A$1:$A$20000,0),MATCH("Intent",'Semrush Data'!$A$1:$Z$1,0)),"")</f>
        <v/>
      </c>
    </row>
    <row r="3653" customFormat="false" ht="15" hidden="false" customHeight="true" outlineLevel="0" collapsed="false">
      <c r="A3653" s="6" t="s">
        <v>6247</v>
      </c>
      <c r="B3653" s="6" t="s">
        <v>249</v>
      </c>
      <c r="C3653" s="6" t="n">
        <v>3</v>
      </c>
      <c r="D3653" s="6" t="n">
        <v>37</v>
      </c>
      <c r="E3653" s="6" t="n">
        <v>1</v>
      </c>
      <c r="F3653" s="6" t="s">
        <v>6242</v>
      </c>
      <c r="G3653" s="28" t="str">
        <f aca="false">IFERROR(INDEX('Semrush Data'!$A$1:$Z$20000,MATCH(A3653,'Semrush Data'!$A$1:$A$20000,0),MATCH("Volume",'Semrush Data'!$A$1:$Z$1,0)),"")</f>
        <v/>
      </c>
      <c r="H3653" s="6" t="str">
        <f aca="false">IFERROR(INDEX('Semrush Data'!$A$1:$Z$20000,MATCH(A3653,'Semrush Data'!$A$1:$A$20000,0),MATCH("Keyword Difficulty*",'Semrush Data'!$A$1:$Z$1,0)),"")</f>
        <v/>
      </c>
      <c r="I3653" s="29" t="str">
        <f aca="false">IFERROR(INDEX('Semrush Data'!$A$1:$Z$20000,MATCH(A3653,'Semrush Data'!$A$1:$A$20000,0),MATCH("CPC*",'Semrush Data'!$A$1:$Z$1,0)),"")</f>
        <v/>
      </c>
      <c r="J3653" s="6" t="str">
        <f aca="false">IFERROR(INDEX('Semrush Data'!$A$1:$Z$20000,MATCH(A3653,'Semrush Data'!$A$1:$A$20000,0),MATCH("Intent",'Semrush Data'!$A$1:$Z$1,0)),"")</f>
        <v/>
      </c>
    </row>
    <row r="3654" customFormat="false" ht="15" hidden="false" customHeight="true" outlineLevel="0" collapsed="false">
      <c r="A3654" s="6" t="s">
        <v>6256</v>
      </c>
      <c r="B3654" s="6" t="s">
        <v>249</v>
      </c>
      <c r="C3654" s="6" t="n">
        <v>3</v>
      </c>
      <c r="D3654" s="6" t="n">
        <v>37</v>
      </c>
      <c r="E3654" s="6" t="n">
        <v>1</v>
      </c>
      <c r="F3654" s="6" t="s">
        <v>105</v>
      </c>
      <c r="G3654" s="28" t="str">
        <f aca="false">IFERROR(INDEX('Semrush Data'!$A$1:$Z$20000,MATCH(A3654,'Semrush Data'!$A$1:$A$20000,0),MATCH("Volume",'Semrush Data'!$A$1:$Z$1,0)),"")</f>
        <v/>
      </c>
      <c r="H3654" s="6" t="str">
        <f aca="false">IFERROR(INDEX('Semrush Data'!$A$1:$Z$20000,MATCH(A3654,'Semrush Data'!$A$1:$A$20000,0),MATCH("Keyword Difficulty*",'Semrush Data'!$A$1:$Z$1,0)),"")</f>
        <v/>
      </c>
      <c r="I3654" s="29" t="str">
        <f aca="false">IFERROR(INDEX('Semrush Data'!$A$1:$Z$20000,MATCH(A3654,'Semrush Data'!$A$1:$A$20000,0),MATCH("CPC*",'Semrush Data'!$A$1:$Z$1,0)),"")</f>
        <v/>
      </c>
      <c r="J3654" s="6" t="str">
        <f aca="false">IFERROR(INDEX('Semrush Data'!$A$1:$Z$20000,MATCH(A3654,'Semrush Data'!$A$1:$A$20000,0),MATCH("Intent",'Semrush Data'!$A$1:$Z$1,0)),"")</f>
        <v/>
      </c>
    </row>
    <row r="3655" customFormat="false" ht="15" hidden="false" customHeight="true" outlineLevel="0" collapsed="false">
      <c r="A3655" s="6" t="s">
        <v>6268</v>
      </c>
      <c r="B3655" s="6" t="s">
        <v>249</v>
      </c>
      <c r="C3655" s="6" t="n">
        <v>3</v>
      </c>
      <c r="D3655" s="6" t="n">
        <v>37</v>
      </c>
      <c r="E3655" s="6" t="n">
        <v>1</v>
      </c>
      <c r="F3655" s="6" t="s">
        <v>6263</v>
      </c>
      <c r="G3655" s="28" t="str">
        <f aca="false">IFERROR(INDEX('Semrush Data'!$A$1:$Z$20000,MATCH(A3655,'Semrush Data'!$A$1:$A$20000,0),MATCH("Volume",'Semrush Data'!$A$1:$Z$1,0)),"")</f>
        <v/>
      </c>
      <c r="H3655" s="6" t="str">
        <f aca="false">IFERROR(INDEX('Semrush Data'!$A$1:$Z$20000,MATCH(A3655,'Semrush Data'!$A$1:$A$20000,0),MATCH("Keyword Difficulty*",'Semrush Data'!$A$1:$Z$1,0)),"")</f>
        <v/>
      </c>
      <c r="I3655" s="29" t="str">
        <f aca="false">IFERROR(INDEX('Semrush Data'!$A$1:$Z$20000,MATCH(A3655,'Semrush Data'!$A$1:$A$20000,0),MATCH("CPC*",'Semrush Data'!$A$1:$Z$1,0)),"")</f>
        <v/>
      </c>
      <c r="J3655" s="6" t="str">
        <f aca="false">IFERROR(INDEX('Semrush Data'!$A$1:$Z$20000,MATCH(A3655,'Semrush Data'!$A$1:$A$20000,0),MATCH("Intent",'Semrush Data'!$A$1:$Z$1,0)),"")</f>
        <v/>
      </c>
    </row>
    <row r="3656" customFormat="false" ht="15" hidden="false" customHeight="true" outlineLevel="0" collapsed="false">
      <c r="A3656" s="6" t="s">
        <v>6279</v>
      </c>
      <c r="B3656" s="6" t="s">
        <v>249</v>
      </c>
      <c r="C3656" s="6" t="n">
        <v>3</v>
      </c>
      <c r="D3656" s="6" t="n">
        <v>37</v>
      </c>
      <c r="E3656" s="6" t="n">
        <v>1</v>
      </c>
      <c r="F3656" s="6" t="s">
        <v>6274</v>
      </c>
      <c r="G3656" s="28" t="str">
        <f aca="false">IFERROR(INDEX('Semrush Data'!$A$1:$Z$20000,MATCH(A3656,'Semrush Data'!$A$1:$A$20000,0),MATCH("Volume",'Semrush Data'!$A$1:$Z$1,0)),"")</f>
        <v/>
      </c>
      <c r="H3656" s="6" t="str">
        <f aca="false">IFERROR(INDEX('Semrush Data'!$A$1:$Z$20000,MATCH(A3656,'Semrush Data'!$A$1:$A$20000,0),MATCH("Keyword Difficulty*",'Semrush Data'!$A$1:$Z$1,0)),"")</f>
        <v/>
      </c>
      <c r="I3656" s="29" t="str">
        <f aca="false">IFERROR(INDEX('Semrush Data'!$A$1:$Z$20000,MATCH(A3656,'Semrush Data'!$A$1:$A$20000,0),MATCH("CPC*",'Semrush Data'!$A$1:$Z$1,0)),"")</f>
        <v/>
      </c>
      <c r="J3656" s="6" t="str">
        <f aca="false">IFERROR(INDEX('Semrush Data'!$A$1:$Z$20000,MATCH(A3656,'Semrush Data'!$A$1:$A$20000,0),MATCH("Intent",'Semrush Data'!$A$1:$Z$1,0)),"")</f>
        <v/>
      </c>
    </row>
    <row r="3657" customFormat="false" ht="15" hidden="false" customHeight="true" outlineLevel="0" collapsed="false">
      <c r="A3657" s="6" t="s">
        <v>6290</v>
      </c>
      <c r="B3657" s="6" t="s">
        <v>249</v>
      </c>
      <c r="C3657" s="6" t="n">
        <v>3</v>
      </c>
      <c r="D3657" s="6" t="n">
        <v>37</v>
      </c>
      <c r="E3657" s="6" t="n">
        <v>1</v>
      </c>
      <c r="F3657" s="6" t="s">
        <v>6285</v>
      </c>
      <c r="G3657" s="28" t="str">
        <f aca="false">IFERROR(INDEX('Semrush Data'!$A$1:$Z$20000,MATCH(A3657,'Semrush Data'!$A$1:$A$20000,0),MATCH("Volume",'Semrush Data'!$A$1:$Z$1,0)),"")</f>
        <v/>
      </c>
      <c r="H3657" s="6" t="str">
        <f aca="false">IFERROR(INDEX('Semrush Data'!$A$1:$Z$20000,MATCH(A3657,'Semrush Data'!$A$1:$A$20000,0),MATCH("Keyword Difficulty*",'Semrush Data'!$A$1:$Z$1,0)),"")</f>
        <v/>
      </c>
      <c r="I3657" s="29" t="str">
        <f aca="false">IFERROR(INDEX('Semrush Data'!$A$1:$Z$20000,MATCH(A3657,'Semrush Data'!$A$1:$A$20000,0),MATCH("CPC*",'Semrush Data'!$A$1:$Z$1,0)),"")</f>
        <v/>
      </c>
      <c r="J3657" s="6" t="str">
        <f aca="false">IFERROR(INDEX('Semrush Data'!$A$1:$Z$20000,MATCH(A3657,'Semrush Data'!$A$1:$A$20000,0),MATCH("Intent",'Semrush Data'!$A$1:$Z$1,0)),"")</f>
        <v/>
      </c>
    </row>
    <row r="3658" customFormat="false" ht="15" hidden="false" customHeight="true" outlineLevel="0" collapsed="false">
      <c r="A3658" s="6" t="s">
        <v>6301</v>
      </c>
      <c r="B3658" s="6" t="s">
        <v>249</v>
      </c>
      <c r="C3658" s="6" t="n">
        <v>3</v>
      </c>
      <c r="D3658" s="6" t="n">
        <v>37</v>
      </c>
      <c r="E3658" s="6" t="n">
        <v>1</v>
      </c>
      <c r="F3658" s="6" t="s">
        <v>6296</v>
      </c>
      <c r="G3658" s="28" t="str">
        <f aca="false">IFERROR(INDEX('Semrush Data'!$A$1:$Z$20000,MATCH(A3658,'Semrush Data'!$A$1:$A$20000,0),MATCH("Volume",'Semrush Data'!$A$1:$Z$1,0)),"")</f>
        <v/>
      </c>
      <c r="H3658" s="6" t="str">
        <f aca="false">IFERROR(INDEX('Semrush Data'!$A$1:$Z$20000,MATCH(A3658,'Semrush Data'!$A$1:$A$20000,0),MATCH("Keyword Difficulty*",'Semrush Data'!$A$1:$Z$1,0)),"")</f>
        <v/>
      </c>
      <c r="I3658" s="29" t="str">
        <f aca="false">IFERROR(INDEX('Semrush Data'!$A$1:$Z$20000,MATCH(A3658,'Semrush Data'!$A$1:$A$20000,0),MATCH("CPC*",'Semrush Data'!$A$1:$Z$1,0)),"")</f>
        <v/>
      </c>
      <c r="J3658" s="6" t="str">
        <f aca="false">IFERROR(INDEX('Semrush Data'!$A$1:$Z$20000,MATCH(A3658,'Semrush Data'!$A$1:$A$20000,0),MATCH("Intent",'Semrush Data'!$A$1:$Z$1,0)),"")</f>
        <v/>
      </c>
    </row>
    <row r="3659" customFormat="false" ht="15" hidden="false" customHeight="true" outlineLevel="0" collapsed="false">
      <c r="A3659" s="6" t="s">
        <v>6311</v>
      </c>
      <c r="B3659" s="6" t="s">
        <v>249</v>
      </c>
      <c r="C3659" s="6" t="n">
        <v>3</v>
      </c>
      <c r="D3659" s="6" t="n">
        <v>37</v>
      </c>
      <c r="E3659" s="6" t="n">
        <v>1</v>
      </c>
      <c r="F3659" s="6" t="s">
        <v>6306</v>
      </c>
      <c r="G3659" s="28" t="str">
        <f aca="false">IFERROR(INDEX('Semrush Data'!$A$1:$Z$20000,MATCH(A3659,'Semrush Data'!$A$1:$A$20000,0),MATCH("Volume",'Semrush Data'!$A$1:$Z$1,0)),"")</f>
        <v/>
      </c>
      <c r="H3659" s="6" t="str">
        <f aca="false">IFERROR(INDEX('Semrush Data'!$A$1:$Z$20000,MATCH(A3659,'Semrush Data'!$A$1:$A$20000,0),MATCH("Keyword Difficulty*",'Semrush Data'!$A$1:$Z$1,0)),"")</f>
        <v/>
      </c>
      <c r="I3659" s="29" t="str">
        <f aca="false">IFERROR(INDEX('Semrush Data'!$A$1:$Z$20000,MATCH(A3659,'Semrush Data'!$A$1:$A$20000,0),MATCH("CPC*",'Semrush Data'!$A$1:$Z$1,0)),"")</f>
        <v/>
      </c>
      <c r="J3659" s="6" t="str">
        <f aca="false">IFERROR(INDEX('Semrush Data'!$A$1:$Z$20000,MATCH(A3659,'Semrush Data'!$A$1:$A$20000,0),MATCH("Intent",'Semrush Data'!$A$1:$Z$1,0)),"")</f>
        <v/>
      </c>
    </row>
    <row r="3660" customFormat="false" ht="15" hidden="false" customHeight="true" outlineLevel="0" collapsed="false">
      <c r="A3660" s="6" t="s">
        <v>6322</v>
      </c>
      <c r="B3660" s="6" t="s">
        <v>249</v>
      </c>
      <c r="C3660" s="6" t="n">
        <v>3</v>
      </c>
      <c r="D3660" s="6" t="n">
        <v>37</v>
      </c>
      <c r="E3660" s="6" t="n">
        <v>1</v>
      </c>
      <c r="F3660" s="6" t="s">
        <v>6317</v>
      </c>
      <c r="G3660" s="28" t="str">
        <f aca="false">IFERROR(INDEX('Semrush Data'!$A$1:$Z$20000,MATCH(A3660,'Semrush Data'!$A$1:$A$20000,0),MATCH("Volume",'Semrush Data'!$A$1:$Z$1,0)),"")</f>
        <v/>
      </c>
      <c r="H3660" s="6" t="str">
        <f aca="false">IFERROR(INDEX('Semrush Data'!$A$1:$Z$20000,MATCH(A3660,'Semrush Data'!$A$1:$A$20000,0),MATCH("Keyword Difficulty*",'Semrush Data'!$A$1:$Z$1,0)),"")</f>
        <v/>
      </c>
      <c r="I3660" s="29" t="str">
        <f aca="false">IFERROR(INDEX('Semrush Data'!$A$1:$Z$20000,MATCH(A3660,'Semrush Data'!$A$1:$A$20000,0),MATCH("CPC*",'Semrush Data'!$A$1:$Z$1,0)),"")</f>
        <v/>
      </c>
      <c r="J3660" s="6" t="str">
        <f aca="false">IFERROR(INDEX('Semrush Data'!$A$1:$Z$20000,MATCH(A3660,'Semrush Data'!$A$1:$A$20000,0),MATCH("Intent",'Semrush Data'!$A$1:$Z$1,0)),"")</f>
        <v/>
      </c>
    </row>
    <row r="3661" customFormat="false" ht="15" hidden="false" customHeight="true" outlineLevel="0" collapsed="false">
      <c r="A3661" s="6" t="s">
        <v>6334</v>
      </c>
      <c r="B3661" s="6" t="s">
        <v>249</v>
      </c>
      <c r="C3661" s="6" t="n">
        <v>3</v>
      </c>
      <c r="D3661" s="6" t="n">
        <v>37</v>
      </c>
      <c r="E3661" s="6" t="n">
        <v>1</v>
      </c>
      <c r="F3661" s="6" t="s">
        <v>6328</v>
      </c>
      <c r="G3661" s="28" t="str">
        <f aca="false">IFERROR(INDEX('Semrush Data'!$A$1:$Z$20000,MATCH(A3661,'Semrush Data'!$A$1:$A$20000,0),MATCH("Volume",'Semrush Data'!$A$1:$Z$1,0)),"")</f>
        <v/>
      </c>
      <c r="H3661" s="6" t="str">
        <f aca="false">IFERROR(INDEX('Semrush Data'!$A$1:$Z$20000,MATCH(A3661,'Semrush Data'!$A$1:$A$20000,0),MATCH("Keyword Difficulty*",'Semrush Data'!$A$1:$Z$1,0)),"")</f>
        <v/>
      </c>
      <c r="I3661" s="29" t="str">
        <f aca="false">IFERROR(INDEX('Semrush Data'!$A$1:$Z$20000,MATCH(A3661,'Semrush Data'!$A$1:$A$20000,0),MATCH("CPC*",'Semrush Data'!$A$1:$Z$1,0)),"")</f>
        <v/>
      </c>
      <c r="J3661" s="6" t="str">
        <f aca="false">IFERROR(INDEX('Semrush Data'!$A$1:$Z$20000,MATCH(A3661,'Semrush Data'!$A$1:$A$20000,0),MATCH("Intent",'Semrush Data'!$A$1:$Z$1,0)),"")</f>
        <v/>
      </c>
    </row>
    <row r="3662" customFormat="false" ht="15" hidden="false" customHeight="true" outlineLevel="0" collapsed="false">
      <c r="A3662" s="6" t="s">
        <v>6345</v>
      </c>
      <c r="B3662" s="6" t="s">
        <v>249</v>
      </c>
      <c r="C3662" s="6" t="n">
        <v>3</v>
      </c>
      <c r="D3662" s="6" t="n">
        <v>37</v>
      </c>
      <c r="E3662" s="6" t="n">
        <v>1</v>
      </c>
      <c r="F3662" s="6" t="s">
        <v>6340</v>
      </c>
      <c r="G3662" s="28" t="str">
        <f aca="false">IFERROR(INDEX('Semrush Data'!$A$1:$Z$20000,MATCH(A3662,'Semrush Data'!$A$1:$A$20000,0),MATCH("Volume",'Semrush Data'!$A$1:$Z$1,0)),"")</f>
        <v/>
      </c>
      <c r="H3662" s="6" t="str">
        <f aca="false">IFERROR(INDEX('Semrush Data'!$A$1:$Z$20000,MATCH(A3662,'Semrush Data'!$A$1:$A$20000,0),MATCH("Keyword Difficulty*",'Semrush Data'!$A$1:$Z$1,0)),"")</f>
        <v/>
      </c>
      <c r="I3662" s="29" t="str">
        <f aca="false">IFERROR(INDEX('Semrush Data'!$A$1:$Z$20000,MATCH(A3662,'Semrush Data'!$A$1:$A$20000,0),MATCH("CPC*",'Semrush Data'!$A$1:$Z$1,0)),"")</f>
        <v/>
      </c>
      <c r="J3662" s="6" t="str">
        <f aca="false">IFERROR(INDEX('Semrush Data'!$A$1:$Z$20000,MATCH(A3662,'Semrush Data'!$A$1:$A$20000,0),MATCH("Intent",'Semrush Data'!$A$1:$Z$1,0)),"")</f>
        <v/>
      </c>
    </row>
    <row r="3663" customFormat="false" ht="15" hidden="false" customHeight="true" outlineLevel="0" collapsed="false">
      <c r="A3663" s="6" t="s">
        <v>265</v>
      </c>
      <c r="B3663" s="6" t="s">
        <v>249</v>
      </c>
      <c r="C3663" s="6" t="n">
        <v>3</v>
      </c>
      <c r="D3663" s="6" t="s">
        <v>6870</v>
      </c>
      <c r="E3663" s="6" t="n">
        <v>1</v>
      </c>
      <c r="F3663" s="6" t="s">
        <v>51</v>
      </c>
      <c r="G3663" s="28" t="n">
        <f aca="false">IFERROR(INDEX('Semrush Data'!$A$1:$Z$20000,MATCH(A3663,'Semrush Data'!$A$1:$A$20000,0),MATCH("Volume",'Semrush Data'!$A$1:$Z$1,0)),"")</f>
        <v>50</v>
      </c>
      <c r="H3663" s="6" t="n">
        <f aca="false">IFERROR(INDEX('Semrush Data'!$A$1:$Z$20000,MATCH(A3663,'Semrush Data'!$A$1:$A$20000,0),MATCH("Keyword Difficulty*",'Semrush Data'!$A$1:$Z$1,0)),"")</f>
        <v>14</v>
      </c>
      <c r="I3663" s="29" t="n">
        <f aca="false">IFERROR(INDEX('Semrush Data'!$A$1:$Z$20000,MATCH(A3663,'Semrush Data'!$A$1:$A$20000,0),MATCH("CPC*",'Semrush Data'!$A$1:$Z$1,0)),"")</f>
        <v>0.14</v>
      </c>
      <c r="J3663" s="6" t="str">
        <f aca="false">IFERROR(INDEX('Semrush Data'!$A$1:$Z$20000,MATCH(A3663,'Semrush Data'!$A$1:$A$20000,0),MATCH("Intent",'Semrush Data'!$A$1:$Z$1,0)),"")</f>
        <v>Transactional</v>
      </c>
    </row>
    <row r="3664" customFormat="false" ht="15" hidden="false" customHeight="true" outlineLevel="0" collapsed="false">
      <c r="A3664" s="6" t="s">
        <v>6376</v>
      </c>
      <c r="B3664" s="6" t="s">
        <v>249</v>
      </c>
      <c r="C3664" s="6" t="n">
        <v>3</v>
      </c>
      <c r="D3664" s="6" t="n">
        <v>37</v>
      </c>
      <c r="E3664" s="6" t="n">
        <v>1</v>
      </c>
      <c r="F3664" s="6" t="s">
        <v>97</v>
      </c>
      <c r="G3664" s="28" t="str">
        <f aca="false">IFERROR(INDEX('Semrush Data'!$A$1:$Z$20000,MATCH(A3664,'Semrush Data'!$A$1:$A$20000,0),MATCH("Volume",'Semrush Data'!$A$1:$Z$1,0)),"")</f>
        <v/>
      </c>
      <c r="H3664" s="6" t="str">
        <f aca="false">IFERROR(INDEX('Semrush Data'!$A$1:$Z$20000,MATCH(A3664,'Semrush Data'!$A$1:$A$20000,0),MATCH("Keyword Difficulty*",'Semrush Data'!$A$1:$Z$1,0)),"")</f>
        <v/>
      </c>
      <c r="I3664" s="29" t="str">
        <f aca="false">IFERROR(INDEX('Semrush Data'!$A$1:$Z$20000,MATCH(A3664,'Semrush Data'!$A$1:$A$20000,0),MATCH("CPC*",'Semrush Data'!$A$1:$Z$1,0)),"")</f>
        <v/>
      </c>
      <c r="J3664" s="6" t="str">
        <f aca="false">IFERROR(INDEX('Semrush Data'!$A$1:$Z$20000,MATCH(A3664,'Semrush Data'!$A$1:$A$20000,0),MATCH("Intent",'Semrush Data'!$A$1:$Z$1,0)),"")</f>
        <v/>
      </c>
    </row>
    <row r="3665" customFormat="false" ht="15" hidden="false" customHeight="true" outlineLevel="0" collapsed="false">
      <c r="A3665" s="6" t="s">
        <v>6356</v>
      </c>
      <c r="B3665" s="6" t="s">
        <v>249</v>
      </c>
      <c r="C3665" s="6" t="n">
        <v>3</v>
      </c>
      <c r="D3665" s="6" t="s">
        <v>6870</v>
      </c>
      <c r="E3665" s="6" t="n">
        <v>1</v>
      </c>
      <c r="F3665" s="6" t="s">
        <v>69</v>
      </c>
      <c r="G3665" s="28" t="n">
        <f aca="false">IFERROR(INDEX('Semrush Data'!$A$1:$Z$20000,MATCH(A3665,'Semrush Data'!$A$1:$A$20000,0),MATCH("Volume",'Semrush Data'!$A$1:$Z$1,0)),"")</f>
        <v>20</v>
      </c>
      <c r="H3665" s="6" t="n">
        <f aca="false">IFERROR(INDEX('Semrush Data'!$A$1:$Z$20000,MATCH(A3665,'Semrush Data'!$A$1:$A$20000,0),MATCH("Keyword Difficulty*",'Semrush Data'!$A$1:$Z$1,0)),"")</f>
        <v>18</v>
      </c>
      <c r="I3665" s="29" t="n">
        <f aca="false">IFERROR(INDEX('Semrush Data'!$A$1:$Z$20000,MATCH(A3665,'Semrush Data'!$A$1:$A$20000,0),MATCH("CPC*",'Semrush Data'!$A$1:$Z$1,0)),"")</f>
        <v>0</v>
      </c>
      <c r="J3665" s="6" t="str">
        <f aca="false">IFERROR(INDEX('Semrush Data'!$A$1:$Z$20000,MATCH(A3665,'Semrush Data'!$A$1:$A$20000,0),MATCH("Intent",'Semrush Data'!$A$1:$Z$1,0)),"")</f>
        <v>Transactional</v>
      </c>
    </row>
    <row r="3666" customFormat="false" ht="15" hidden="false" customHeight="true" outlineLevel="0" collapsed="false">
      <c r="A3666" s="6" t="s">
        <v>6391</v>
      </c>
      <c r="B3666" s="6" t="s">
        <v>249</v>
      </c>
      <c r="C3666" s="6" t="n">
        <v>3</v>
      </c>
      <c r="D3666" s="6" t="s">
        <v>6870</v>
      </c>
      <c r="E3666" s="6" t="n">
        <v>1</v>
      </c>
      <c r="F3666" s="6" t="s">
        <v>57</v>
      </c>
      <c r="G3666" s="28" t="n">
        <f aca="false">IFERROR(INDEX('Semrush Data'!$A$1:$Z$20000,MATCH(A3666,'Semrush Data'!$A$1:$A$20000,0),MATCH("Volume",'Semrush Data'!$A$1:$Z$1,0)),"")</f>
        <v>20</v>
      </c>
      <c r="H3666" s="6" t="n">
        <f aca="false">IFERROR(INDEX('Semrush Data'!$A$1:$Z$20000,MATCH(A3666,'Semrush Data'!$A$1:$A$20000,0),MATCH("Keyword Difficulty*",'Semrush Data'!$A$1:$Z$1,0)),"")</f>
        <v>13</v>
      </c>
      <c r="I3666" s="29" t="n">
        <f aca="false">IFERROR(INDEX('Semrush Data'!$A$1:$Z$20000,MATCH(A3666,'Semrush Data'!$A$1:$A$20000,0),MATCH("CPC*",'Semrush Data'!$A$1:$Z$1,0)),"")</f>
        <v>0.26</v>
      </c>
      <c r="J3666" s="6" t="str">
        <f aca="false">IFERROR(INDEX('Semrush Data'!$A$1:$Z$20000,MATCH(A3666,'Semrush Data'!$A$1:$A$20000,0),MATCH("Intent",'Semrush Data'!$A$1:$Z$1,0)),"")</f>
        <v>Transactional</v>
      </c>
    </row>
    <row r="3667" customFormat="false" ht="15" hidden="false" customHeight="true" outlineLevel="0" collapsed="false">
      <c r="A3667" s="6" t="s">
        <v>266</v>
      </c>
      <c r="B3667" s="6" t="s">
        <v>249</v>
      </c>
      <c r="C3667" s="6" t="n">
        <v>3</v>
      </c>
      <c r="D3667" s="6" t="s">
        <v>6870</v>
      </c>
      <c r="E3667" s="6" t="n">
        <v>2</v>
      </c>
      <c r="F3667" s="6" t="s">
        <v>6862</v>
      </c>
      <c r="G3667" s="28" t="n">
        <f aca="false">IFERROR(INDEX('Semrush Data'!$A$1:$Z$20000,MATCH(A3667,'Semrush Data'!$A$1:$A$20000,0),MATCH("Volume",'Semrush Data'!$A$1:$Z$1,0)),"")</f>
        <v>50</v>
      </c>
      <c r="H3667" s="6" t="n">
        <f aca="false">IFERROR(INDEX('Semrush Data'!$A$1:$Z$20000,MATCH(A3667,'Semrush Data'!$A$1:$A$20000,0),MATCH("Keyword Difficulty*",'Semrush Data'!$A$1:$Z$1,0)),"")</f>
        <v>14</v>
      </c>
      <c r="I3667" s="29" t="n">
        <f aca="false">IFERROR(INDEX('Semrush Data'!$A$1:$Z$20000,MATCH(A3667,'Semrush Data'!$A$1:$A$20000,0),MATCH("CPC*",'Semrush Data'!$A$1:$Z$1,0)),"")</f>
        <v>0.34</v>
      </c>
      <c r="J3667" s="6" t="str">
        <f aca="false">IFERROR(INDEX('Semrush Data'!$A$1:$Z$20000,MATCH(A3667,'Semrush Data'!$A$1:$A$20000,0),MATCH("Intent",'Semrush Data'!$A$1:$Z$1,0)),"")</f>
        <v>Transactional</v>
      </c>
    </row>
    <row r="3668" customFormat="false" ht="15" hidden="false" customHeight="true" outlineLevel="0" collapsed="false">
      <c r="A3668" s="6" t="s">
        <v>6426</v>
      </c>
      <c r="B3668" s="6" t="s">
        <v>249</v>
      </c>
      <c r="C3668" s="6" t="n">
        <v>3</v>
      </c>
      <c r="D3668" s="6" t="n">
        <v>37</v>
      </c>
      <c r="E3668" s="6" t="n">
        <v>1</v>
      </c>
      <c r="F3668" s="6" t="s">
        <v>6421</v>
      </c>
      <c r="G3668" s="28" t="str">
        <f aca="false">IFERROR(INDEX('Semrush Data'!$A$1:$Z$20000,MATCH(A3668,'Semrush Data'!$A$1:$A$20000,0),MATCH("Volume",'Semrush Data'!$A$1:$Z$1,0)),"")</f>
        <v/>
      </c>
      <c r="H3668" s="6" t="str">
        <f aca="false">IFERROR(INDEX('Semrush Data'!$A$1:$Z$20000,MATCH(A3668,'Semrush Data'!$A$1:$A$20000,0),MATCH("Keyword Difficulty*",'Semrush Data'!$A$1:$Z$1,0)),"")</f>
        <v/>
      </c>
      <c r="I3668" s="29" t="str">
        <f aca="false">IFERROR(INDEX('Semrush Data'!$A$1:$Z$20000,MATCH(A3668,'Semrush Data'!$A$1:$A$20000,0),MATCH("CPC*",'Semrush Data'!$A$1:$Z$1,0)),"")</f>
        <v/>
      </c>
      <c r="J3668" s="6" t="str">
        <f aca="false">IFERROR(INDEX('Semrush Data'!$A$1:$Z$20000,MATCH(A3668,'Semrush Data'!$A$1:$A$20000,0),MATCH("Intent",'Semrush Data'!$A$1:$Z$1,0)),"")</f>
        <v/>
      </c>
    </row>
    <row r="3669" customFormat="false" ht="15" hidden="false" customHeight="true" outlineLevel="0" collapsed="false">
      <c r="A3669" s="6" t="s">
        <v>6437</v>
      </c>
      <c r="B3669" s="6" t="s">
        <v>249</v>
      </c>
      <c r="C3669" s="6" t="n">
        <v>3</v>
      </c>
      <c r="D3669" s="6" t="n">
        <v>37</v>
      </c>
      <c r="E3669" s="6" t="n">
        <v>1</v>
      </c>
      <c r="F3669" s="6" t="s">
        <v>6432</v>
      </c>
      <c r="G3669" s="28" t="str">
        <f aca="false">IFERROR(INDEX('Semrush Data'!$A$1:$Z$20000,MATCH(A3669,'Semrush Data'!$A$1:$A$20000,0),MATCH("Volume",'Semrush Data'!$A$1:$Z$1,0)),"")</f>
        <v/>
      </c>
      <c r="H3669" s="6" t="str">
        <f aca="false">IFERROR(INDEX('Semrush Data'!$A$1:$Z$20000,MATCH(A3669,'Semrush Data'!$A$1:$A$20000,0),MATCH("Keyword Difficulty*",'Semrush Data'!$A$1:$Z$1,0)),"")</f>
        <v/>
      </c>
      <c r="I3669" s="29" t="str">
        <f aca="false">IFERROR(INDEX('Semrush Data'!$A$1:$Z$20000,MATCH(A3669,'Semrush Data'!$A$1:$A$20000,0),MATCH("CPC*",'Semrush Data'!$A$1:$Z$1,0)),"")</f>
        <v/>
      </c>
      <c r="J3669" s="6" t="str">
        <f aca="false">IFERROR(INDEX('Semrush Data'!$A$1:$Z$20000,MATCH(A3669,'Semrush Data'!$A$1:$A$20000,0),MATCH("Intent",'Semrush Data'!$A$1:$Z$1,0)),"")</f>
        <v/>
      </c>
    </row>
    <row r="3670" customFormat="false" ht="15" hidden="false" customHeight="true" outlineLevel="0" collapsed="false">
      <c r="A3670" s="6" t="s">
        <v>6448</v>
      </c>
      <c r="B3670" s="6" t="s">
        <v>249</v>
      </c>
      <c r="C3670" s="6" t="n">
        <v>3</v>
      </c>
      <c r="D3670" s="6" t="n">
        <v>37</v>
      </c>
      <c r="E3670" s="6" t="n">
        <v>1</v>
      </c>
      <c r="F3670" s="6" t="s">
        <v>6443</v>
      </c>
      <c r="G3670" s="28" t="str">
        <f aca="false">IFERROR(INDEX('Semrush Data'!$A$1:$Z$20000,MATCH(A3670,'Semrush Data'!$A$1:$A$20000,0),MATCH("Volume",'Semrush Data'!$A$1:$Z$1,0)),"")</f>
        <v/>
      </c>
      <c r="H3670" s="6" t="str">
        <f aca="false">IFERROR(INDEX('Semrush Data'!$A$1:$Z$20000,MATCH(A3670,'Semrush Data'!$A$1:$A$20000,0),MATCH("Keyword Difficulty*",'Semrush Data'!$A$1:$Z$1,0)),"")</f>
        <v/>
      </c>
      <c r="I3670" s="29" t="str">
        <f aca="false">IFERROR(INDEX('Semrush Data'!$A$1:$Z$20000,MATCH(A3670,'Semrush Data'!$A$1:$A$20000,0),MATCH("CPC*",'Semrush Data'!$A$1:$Z$1,0)),"")</f>
        <v/>
      </c>
      <c r="J3670" s="6" t="str">
        <f aca="false">IFERROR(INDEX('Semrush Data'!$A$1:$Z$20000,MATCH(A3670,'Semrush Data'!$A$1:$A$20000,0),MATCH("Intent",'Semrush Data'!$A$1:$Z$1,0)),"")</f>
        <v/>
      </c>
    </row>
    <row r="3671" customFormat="false" ht="15" hidden="false" customHeight="true" outlineLevel="0" collapsed="false">
      <c r="A3671" s="6" t="s">
        <v>6404</v>
      </c>
      <c r="B3671" s="6" t="s">
        <v>249</v>
      </c>
      <c r="C3671" s="6" t="n">
        <v>3</v>
      </c>
      <c r="D3671" s="6" t="n">
        <v>37</v>
      </c>
      <c r="E3671" s="6" t="n">
        <v>1</v>
      </c>
      <c r="F3671" s="6" t="s">
        <v>6397</v>
      </c>
      <c r="G3671" s="28" t="str">
        <f aca="false">IFERROR(INDEX('Semrush Data'!$A$1:$Z$20000,MATCH(A3671,'Semrush Data'!$A$1:$A$20000,0),MATCH("Volume",'Semrush Data'!$A$1:$Z$1,0)),"")</f>
        <v/>
      </c>
      <c r="H3671" s="6" t="str">
        <f aca="false">IFERROR(INDEX('Semrush Data'!$A$1:$Z$20000,MATCH(A3671,'Semrush Data'!$A$1:$A$20000,0),MATCH("Keyword Difficulty*",'Semrush Data'!$A$1:$Z$1,0)),"")</f>
        <v/>
      </c>
      <c r="I3671" s="29" t="str">
        <f aca="false">IFERROR(INDEX('Semrush Data'!$A$1:$Z$20000,MATCH(A3671,'Semrush Data'!$A$1:$A$20000,0),MATCH("CPC*",'Semrush Data'!$A$1:$Z$1,0)),"")</f>
        <v/>
      </c>
      <c r="J3671" s="6" t="str">
        <f aca="false">IFERROR(INDEX('Semrush Data'!$A$1:$Z$20000,MATCH(A3671,'Semrush Data'!$A$1:$A$20000,0),MATCH("Intent",'Semrush Data'!$A$1:$Z$1,0)),"")</f>
        <v/>
      </c>
    </row>
    <row r="3672" customFormat="false" ht="15" hidden="false" customHeight="true" outlineLevel="0" collapsed="false">
      <c r="A3672" s="6" t="s">
        <v>6415</v>
      </c>
      <c r="B3672" s="6" t="s">
        <v>249</v>
      </c>
      <c r="C3672" s="6" t="n">
        <v>3</v>
      </c>
      <c r="D3672" s="6" t="n">
        <v>37</v>
      </c>
      <c r="E3672" s="6" t="n">
        <v>1</v>
      </c>
      <c r="F3672" s="6" t="s">
        <v>6410</v>
      </c>
      <c r="G3672" s="28" t="str">
        <f aca="false">IFERROR(INDEX('Semrush Data'!$A$1:$Z$20000,MATCH(A3672,'Semrush Data'!$A$1:$A$20000,0),MATCH("Volume",'Semrush Data'!$A$1:$Z$1,0)),"")</f>
        <v/>
      </c>
      <c r="H3672" s="6" t="str">
        <f aca="false">IFERROR(INDEX('Semrush Data'!$A$1:$Z$20000,MATCH(A3672,'Semrush Data'!$A$1:$A$20000,0),MATCH("Keyword Difficulty*",'Semrush Data'!$A$1:$Z$1,0)),"")</f>
        <v/>
      </c>
      <c r="I3672" s="29" t="str">
        <f aca="false">IFERROR(INDEX('Semrush Data'!$A$1:$Z$20000,MATCH(A3672,'Semrush Data'!$A$1:$A$20000,0),MATCH("CPC*",'Semrush Data'!$A$1:$Z$1,0)),"")</f>
        <v/>
      </c>
      <c r="J3672" s="6" t="str">
        <f aca="false">IFERROR(INDEX('Semrush Data'!$A$1:$Z$20000,MATCH(A3672,'Semrush Data'!$A$1:$A$20000,0),MATCH("Intent",'Semrush Data'!$A$1:$Z$1,0)),"")</f>
        <v/>
      </c>
    </row>
    <row r="3673" customFormat="false" ht="15" hidden="false" customHeight="true" outlineLevel="0" collapsed="false">
      <c r="A3673" s="6" t="s">
        <v>6458</v>
      </c>
      <c r="B3673" s="6" t="s">
        <v>249</v>
      </c>
      <c r="C3673" s="6" t="n">
        <v>3</v>
      </c>
      <c r="D3673" s="6" t="n">
        <v>37</v>
      </c>
      <c r="E3673" s="6" t="n">
        <v>1</v>
      </c>
      <c r="F3673" s="6" t="s">
        <v>6453</v>
      </c>
      <c r="G3673" s="28" t="str">
        <f aca="false">IFERROR(INDEX('Semrush Data'!$A$1:$Z$20000,MATCH(A3673,'Semrush Data'!$A$1:$A$20000,0),MATCH("Volume",'Semrush Data'!$A$1:$Z$1,0)),"")</f>
        <v/>
      </c>
      <c r="H3673" s="6" t="str">
        <f aca="false">IFERROR(INDEX('Semrush Data'!$A$1:$Z$20000,MATCH(A3673,'Semrush Data'!$A$1:$A$20000,0),MATCH("Keyword Difficulty*",'Semrush Data'!$A$1:$Z$1,0)),"")</f>
        <v/>
      </c>
      <c r="I3673" s="29" t="str">
        <f aca="false">IFERROR(INDEX('Semrush Data'!$A$1:$Z$20000,MATCH(A3673,'Semrush Data'!$A$1:$A$20000,0),MATCH("CPC*",'Semrush Data'!$A$1:$Z$1,0)),"")</f>
        <v/>
      </c>
      <c r="J3673" s="6" t="str">
        <f aca="false">IFERROR(INDEX('Semrush Data'!$A$1:$Z$20000,MATCH(A3673,'Semrush Data'!$A$1:$A$20000,0),MATCH("Intent",'Semrush Data'!$A$1:$Z$1,0)),"")</f>
        <v/>
      </c>
    </row>
    <row r="3674" customFormat="false" ht="15" hidden="false" customHeight="true" outlineLevel="0" collapsed="false">
      <c r="A3674" s="6" t="s">
        <v>6470</v>
      </c>
      <c r="B3674" s="6" t="s">
        <v>249</v>
      </c>
      <c r="C3674" s="6" t="n">
        <v>3</v>
      </c>
      <c r="D3674" s="6" t="n">
        <v>37</v>
      </c>
      <c r="E3674" s="6" t="n">
        <v>1</v>
      </c>
      <c r="F3674" s="6" t="s">
        <v>6464</v>
      </c>
      <c r="G3674" s="28" t="str">
        <f aca="false">IFERROR(INDEX('Semrush Data'!$A$1:$Z$20000,MATCH(A3674,'Semrush Data'!$A$1:$A$20000,0),MATCH("Volume",'Semrush Data'!$A$1:$Z$1,0)),"")</f>
        <v/>
      </c>
      <c r="H3674" s="6" t="str">
        <f aca="false">IFERROR(INDEX('Semrush Data'!$A$1:$Z$20000,MATCH(A3674,'Semrush Data'!$A$1:$A$20000,0),MATCH("Keyword Difficulty*",'Semrush Data'!$A$1:$Z$1,0)),"")</f>
        <v/>
      </c>
      <c r="I3674" s="29" t="str">
        <f aca="false">IFERROR(INDEX('Semrush Data'!$A$1:$Z$20000,MATCH(A3674,'Semrush Data'!$A$1:$A$20000,0),MATCH("CPC*",'Semrush Data'!$A$1:$Z$1,0)),"")</f>
        <v/>
      </c>
      <c r="J3674" s="6" t="str">
        <f aca="false">IFERROR(INDEX('Semrush Data'!$A$1:$Z$20000,MATCH(A3674,'Semrush Data'!$A$1:$A$20000,0),MATCH("Intent",'Semrush Data'!$A$1:$Z$1,0)),"")</f>
        <v/>
      </c>
    </row>
    <row r="3675" customFormat="false" ht="15" hidden="false" customHeight="true" outlineLevel="0" collapsed="false">
      <c r="A3675" s="6" t="s">
        <v>1576</v>
      </c>
      <c r="B3675" s="6" t="s">
        <v>249</v>
      </c>
      <c r="C3675" s="6" t="n">
        <v>3</v>
      </c>
      <c r="D3675" s="6" t="n">
        <v>37</v>
      </c>
      <c r="E3675" s="6" t="n">
        <v>1</v>
      </c>
      <c r="F3675" s="6" t="s">
        <v>534</v>
      </c>
      <c r="G3675" s="28" t="str">
        <f aca="false">IFERROR(INDEX('Semrush Data'!$A$1:$Z$20000,MATCH(A3675,'Semrush Data'!$A$1:$A$20000,0),MATCH("Volume",'Semrush Data'!$A$1:$Z$1,0)),"")</f>
        <v/>
      </c>
      <c r="H3675" s="6" t="str">
        <f aca="false">IFERROR(INDEX('Semrush Data'!$A$1:$Z$20000,MATCH(A3675,'Semrush Data'!$A$1:$A$20000,0),MATCH("Keyword Difficulty*",'Semrush Data'!$A$1:$Z$1,0)),"")</f>
        <v/>
      </c>
      <c r="I3675" s="29" t="str">
        <f aca="false">IFERROR(INDEX('Semrush Data'!$A$1:$Z$20000,MATCH(A3675,'Semrush Data'!$A$1:$A$20000,0),MATCH("CPC*",'Semrush Data'!$A$1:$Z$1,0)),"")</f>
        <v/>
      </c>
      <c r="J3675" s="6" t="str">
        <f aca="false">IFERROR(INDEX('Semrush Data'!$A$1:$Z$20000,MATCH(A3675,'Semrush Data'!$A$1:$A$20000,0),MATCH("Intent",'Semrush Data'!$A$1:$Z$1,0)),"")</f>
        <v/>
      </c>
    </row>
    <row r="3676" customFormat="false" ht="15" hidden="false" customHeight="true" outlineLevel="0" collapsed="false">
      <c r="A3676" s="6" t="s">
        <v>1812</v>
      </c>
      <c r="B3676" s="6" t="s">
        <v>249</v>
      </c>
      <c r="C3676" s="6" t="n">
        <v>3</v>
      </c>
      <c r="D3676" s="6" t="n">
        <v>37</v>
      </c>
      <c r="E3676" s="6" t="n">
        <v>1</v>
      </c>
      <c r="F3676" s="6" t="s">
        <v>784</v>
      </c>
      <c r="G3676" s="28" t="str">
        <f aca="false">IFERROR(INDEX('Semrush Data'!$A$1:$Z$20000,MATCH(A3676,'Semrush Data'!$A$1:$A$20000,0),MATCH("Volume",'Semrush Data'!$A$1:$Z$1,0)),"")</f>
        <v/>
      </c>
      <c r="H3676" s="6" t="str">
        <f aca="false">IFERROR(INDEX('Semrush Data'!$A$1:$Z$20000,MATCH(A3676,'Semrush Data'!$A$1:$A$20000,0),MATCH("Keyword Difficulty*",'Semrush Data'!$A$1:$Z$1,0)),"")</f>
        <v/>
      </c>
      <c r="I3676" s="29" t="str">
        <f aca="false">IFERROR(INDEX('Semrush Data'!$A$1:$Z$20000,MATCH(A3676,'Semrush Data'!$A$1:$A$20000,0),MATCH("CPC*",'Semrush Data'!$A$1:$Z$1,0)),"")</f>
        <v/>
      </c>
      <c r="J3676" s="6" t="str">
        <f aca="false">IFERROR(INDEX('Semrush Data'!$A$1:$Z$20000,MATCH(A3676,'Semrush Data'!$A$1:$A$20000,0),MATCH("Intent",'Semrush Data'!$A$1:$Z$1,0)),"")</f>
        <v/>
      </c>
    </row>
    <row r="3677" customFormat="false" ht="15" hidden="false" customHeight="true" outlineLevel="0" collapsed="false">
      <c r="A3677" s="6" t="s">
        <v>1800</v>
      </c>
      <c r="B3677" s="6" t="s">
        <v>249</v>
      </c>
      <c r="C3677" s="6" t="n">
        <v>3</v>
      </c>
      <c r="D3677" s="6" t="n">
        <v>37</v>
      </c>
      <c r="E3677" s="6" t="n">
        <v>1</v>
      </c>
      <c r="F3677" s="6" t="s">
        <v>774</v>
      </c>
      <c r="G3677" s="28" t="str">
        <f aca="false">IFERROR(INDEX('Semrush Data'!$A$1:$Z$20000,MATCH(A3677,'Semrush Data'!$A$1:$A$20000,0),MATCH("Volume",'Semrush Data'!$A$1:$Z$1,0)),"")</f>
        <v/>
      </c>
      <c r="H3677" s="6" t="str">
        <f aca="false">IFERROR(INDEX('Semrush Data'!$A$1:$Z$20000,MATCH(A3677,'Semrush Data'!$A$1:$A$20000,0),MATCH("Keyword Difficulty*",'Semrush Data'!$A$1:$Z$1,0)),"")</f>
        <v/>
      </c>
      <c r="I3677" s="29" t="str">
        <f aca="false">IFERROR(INDEX('Semrush Data'!$A$1:$Z$20000,MATCH(A3677,'Semrush Data'!$A$1:$A$20000,0),MATCH("CPC*",'Semrush Data'!$A$1:$Z$1,0)),"")</f>
        <v/>
      </c>
      <c r="J3677" s="6" t="str">
        <f aca="false">IFERROR(INDEX('Semrush Data'!$A$1:$Z$20000,MATCH(A3677,'Semrush Data'!$A$1:$A$20000,0),MATCH("Intent",'Semrush Data'!$A$1:$Z$1,0)),"")</f>
        <v/>
      </c>
    </row>
    <row r="3678" customFormat="false" ht="15" hidden="false" customHeight="true" outlineLevel="0" collapsed="false">
      <c r="A3678" s="6" t="s">
        <v>1908</v>
      </c>
      <c r="B3678" s="6" t="s">
        <v>249</v>
      </c>
      <c r="C3678" s="6" t="n">
        <v>3</v>
      </c>
      <c r="D3678" s="6" t="n">
        <v>37</v>
      </c>
      <c r="E3678" s="6" t="n">
        <v>1</v>
      </c>
      <c r="F3678" s="6" t="s">
        <v>873</v>
      </c>
      <c r="G3678" s="28" t="str">
        <f aca="false">IFERROR(INDEX('Semrush Data'!$A$1:$Z$20000,MATCH(A3678,'Semrush Data'!$A$1:$A$20000,0),MATCH("Volume",'Semrush Data'!$A$1:$Z$1,0)),"")</f>
        <v/>
      </c>
      <c r="H3678" s="6" t="str">
        <f aca="false">IFERROR(INDEX('Semrush Data'!$A$1:$Z$20000,MATCH(A3678,'Semrush Data'!$A$1:$A$20000,0),MATCH("Keyword Difficulty*",'Semrush Data'!$A$1:$Z$1,0)),"")</f>
        <v/>
      </c>
      <c r="I3678" s="29" t="str">
        <f aca="false">IFERROR(INDEX('Semrush Data'!$A$1:$Z$20000,MATCH(A3678,'Semrush Data'!$A$1:$A$20000,0),MATCH("CPC*",'Semrush Data'!$A$1:$Z$1,0)),"")</f>
        <v/>
      </c>
      <c r="J3678" s="6" t="str">
        <f aca="false">IFERROR(INDEX('Semrush Data'!$A$1:$Z$20000,MATCH(A3678,'Semrush Data'!$A$1:$A$20000,0),MATCH("Intent",'Semrush Data'!$A$1:$Z$1,0)),"")</f>
        <v/>
      </c>
    </row>
    <row r="3679" customFormat="false" ht="15" hidden="false" customHeight="true" outlineLevel="0" collapsed="false">
      <c r="A3679" s="6" t="s">
        <v>1583</v>
      </c>
      <c r="B3679" s="6" t="s">
        <v>249</v>
      </c>
      <c r="C3679" s="6" t="n">
        <v>3</v>
      </c>
      <c r="D3679" s="6" t="n">
        <v>37</v>
      </c>
      <c r="E3679" s="6" t="n">
        <v>1</v>
      </c>
      <c r="F3679" s="6" t="s">
        <v>541</v>
      </c>
      <c r="G3679" s="28" t="str">
        <f aca="false">IFERROR(INDEX('Semrush Data'!$A$1:$Z$20000,MATCH(A3679,'Semrush Data'!$A$1:$A$20000,0),MATCH("Volume",'Semrush Data'!$A$1:$Z$1,0)),"")</f>
        <v/>
      </c>
      <c r="H3679" s="6" t="str">
        <f aca="false">IFERROR(INDEX('Semrush Data'!$A$1:$Z$20000,MATCH(A3679,'Semrush Data'!$A$1:$A$20000,0),MATCH("Keyword Difficulty*",'Semrush Data'!$A$1:$Z$1,0)),"")</f>
        <v/>
      </c>
      <c r="I3679" s="29" t="str">
        <f aca="false">IFERROR(INDEX('Semrush Data'!$A$1:$Z$20000,MATCH(A3679,'Semrush Data'!$A$1:$A$20000,0),MATCH("CPC*",'Semrush Data'!$A$1:$Z$1,0)),"")</f>
        <v/>
      </c>
      <c r="J3679" s="6" t="str">
        <f aca="false">IFERROR(INDEX('Semrush Data'!$A$1:$Z$20000,MATCH(A3679,'Semrush Data'!$A$1:$A$20000,0),MATCH("Intent",'Semrush Data'!$A$1:$Z$1,0)),"")</f>
        <v/>
      </c>
    </row>
    <row r="3680" customFormat="false" ht="15" hidden="false" customHeight="true" outlineLevel="0" collapsed="false">
      <c r="A3680" s="6" t="s">
        <v>1591</v>
      </c>
      <c r="B3680" s="6" t="s">
        <v>249</v>
      </c>
      <c r="C3680" s="6" t="n">
        <v>3</v>
      </c>
      <c r="D3680" s="6" t="n">
        <v>37</v>
      </c>
      <c r="E3680" s="6" t="n">
        <v>1</v>
      </c>
      <c r="F3680" s="6" t="s">
        <v>549</v>
      </c>
      <c r="G3680" s="28" t="str">
        <f aca="false">IFERROR(INDEX('Semrush Data'!$A$1:$Z$20000,MATCH(A3680,'Semrush Data'!$A$1:$A$20000,0),MATCH("Volume",'Semrush Data'!$A$1:$Z$1,0)),"")</f>
        <v/>
      </c>
      <c r="H3680" s="6" t="str">
        <f aca="false">IFERROR(INDEX('Semrush Data'!$A$1:$Z$20000,MATCH(A3680,'Semrush Data'!$A$1:$A$20000,0),MATCH("Keyword Difficulty*",'Semrush Data'!$A$1:$Z$1,0)),"")</f>
        <v/>
      </c>
      <c r="I3680" s="29" t="str">
        <f aca="false">IFERROR(INDEX('Semrush Data'!$A$1:$Z$20000,MATCH(A3680,'Semrush Data'!$A$1:$A$20000,0),MATCH("CPC*",'Semrush Data'!$A$1:$Z$1,0)),"")</f>
        <v/>
      </c>
      <c r="J3680" s="6" t="str">
        <f aca="false">IFERROR(INDEX('Semrush Data'!$A$1:$Z$20000,MATCH(A3680,'Semrush Data'!$A$1:$A$20000,0),MATCH("Intent",'Semrush Data'!$A$1:$Z$1,0)),"")</f>
        <v/>
      </c>
    </row>
    <row r="3681" customFormat="false" ht="15" hidden="false" customHeight="true" outlineLevel="0" collapsed="false">
      <c r="A3681" s="6" t="s">
        <v>1770</v>
      </c>
      <c r="B3681" s="6" t="s">
        <v>249</v>
      </c>
      <c r="C3681" s="6" t="n">
        <v>3</v>
      </c>
      <c r="D3681" s="6" t="n">
        <v>37</v>
      </c>
      <c r="E3681" s="6" t="n">
        <v>1</v>
      </c>
      <c r="F3681" s="6" t="s">
        <v>747</v>
      </c>
      <c r="G3681" s="28" t="str">
        <f aca="false">IFERROR(INDEX('Semrush Data'!$A$1:$Z$20000,MATCH(A3681,'Semrush Data'!$A$1:$A$20000,0),MATCH("Volume",'Semrush Data'!$A$1:$Z$1,0)),"")</f>
        <v/>
      </c>
      <c r="H3681" s="6" t="str">
        <f aca="false">IFERROR(INDEX('Semrush Data'!$A$1:$Z$20000,MATCH(A3681,'Semrush Data'!$A$1:$A$20000,0),MATCH("Keyword Difficulty*",'Semrush Data'!$A$1:$Z$1,0)),"")</f>
        <v/>
      </c>
      <c r="I3681" s="29" t="str">
        <f aca="false">IFERROR(INDEX('Semrush Data'!$A$1:$Z$20000,MATCH(A3681,'Semrush Data'!$A$1:$A$20000,0),MATCH("CPC*",'Semrush Data'!$A$1:$Z$1,0)),"")</f>
        <v/>
      </c>
      <c r="J3681" s="6" t="str">
        <f aca="false">IFERROR(INDEX('Semrush Data'!$A$1:$Z$20000,MATCH(A3681,'Semrush Data'!$A$1:$A$20000,0),MATCH("Intent",'Semrush Data'!$A$1:$Z$1,0)),"")</f>
        <v/>
      </c>
    </row>
    <row r="3682" customFormat="false" ht="15" hidden="false" customHeight="true" outlineLevel="0" collapsed="false">
      <c r="A3682" s="6" t="s">
        <v>1776</v>
      </c>
      <c r="B3682" s="6" t="s">
        <v>249</v>
      </c>
      <c r="C3682" s="6" t="n">
        <v>3</v>
      </c>
      <c r="D3682" s="6" t="n">
        <v>37</v>
      </c>
      <c r="E3682" s="6" t="n">
        <v>2</v>
      </c>
      <c r="F3682" s="6" t="s">
        <v>6863</v>
      </c>
      <c r="G3682" s="28" t="str">
        <f aca="false">IFERROR(INDEX('Semrush Data'!$A$1:$Z$20000,MATCH(A3682,'Semrush Data'!$A$1:$A$20000,0),MATCH("Volume",'Semrush Data'!$A$1:$Z$1,0)),"")</f>
        <v/>
      </c>
      <c r="H3682" s="6" t="str">
        <f aca="false">IFERROR(INDEX('Semrush Data'!$A$1:$Z$20000,MATCH(A3682,'Semrush Data'!$A$1:$A$20000,0),MATCH("Keyword Difficulty*",'Semrush Data'!$A$1:$Z$1,0)),"")</f>
        <v/>
      </c>
      <c r="I3682" s="29" t="str">
        <f aca="false">IFERROR(INDEX('Semrush Data'!$A$1:$Z$20000,MATCH(A3682,'Semrush Data'!$A$1:$A$20000,0),MATCH("CPC*",'Semrush Data'!$A$1:$Z$1,0)),"")</f>
        <v/>
      </c>
      <c r="J3682" s="6" t="str">
        <f aca="false">IFERROR(INDEX('Semrush Data'!$A$1:$Z$20000,MATCH(A3682,'Semrush Data'!$A$1:$A$20000,0),MATCH("Intent",'Semrush Data'!$A$1:$Z$1,0)),"")</f>
        <v/>
      </c>
    </row>
    <row r="3683" customFormat="false" ht="15" hidden="false" customHeight="true" outlineLevel="0" collapsed="false">
      <c r="A3683" s="6" t="s">
        <v>1878</v>
      </c>
      <c r="B3683" s="6" t="s">
        <v>249</v>
      </c>
      <c r="C3683" s="6" t="n">
        <v>3</v>
      </c>
      <c r="D3683" s="6" t="n">
        <v>37</v>
      </c>
      <c r="E3683" s="6" t="n">
        <v>1</v>
      </c>
      <c r="F3683" s="6" t="s">
        <v>846</v>
      </c>
      <c r="G3683" s="28" t="str">
        <f aca="false">IFERROR(INDEX('Semrush Data'!$A$1:$Z$20000,MATCH(A3683,'Semrush Data'!$A$1:$A$20000,0),MATCH("Volume",'Semrush Data'!$A$1:$Z$1,0)),"")</f>
        <v/>
      </c>
      <c r="H3683" s="6" t="str">
        <f aca="false">IFERROR(INDEX('Semrush Data'!$A$1:$Z$20000,MATCH(A3683,'Semrush Data'!$A$1:$A$20000,0),MATCH("Keyword Difficulty*",'Semrush Data'!$A$1:$Z$1,0)),"")</f>
        <v/>
      </c>
      <c r="I3683" s="29" t="str">
        <f aca="false">IFERROR(INDEX('Semrush Data'!$A$1:$Z$20000,MATCH(A3683,'Semrush Data'!$A$1:$A$20000,0),MATCH("CPC*",'Semrush Data'!$A$1:$Z$1,0)),"")</f>
        <v/>
      </c>
      <c r="J3683" s="6" t="str">
        <f aca="false">IFERROR(INDEX('Semrush Data'!$A$1:$Z$20000,MATCH(A3683,'Semrush Data'!$A$1:$A$20000,0),MATCH("Intent",'Semrush Data'!$A$1:$Z$1,0)),"")</f>
        <v/>
      </c>
    </row>
    <row r="3684" customFormat="false" ht="15" hidden="false" customHeight="true" outlineLevel="0" collapsed="false">
      <c r="A3684" s="6" t="s">
        <v>1806</v>
      </c>
      <c r="B3684" s="6" t="s">
        <v>249</v>
      </c>
      <c r="C3684" s="6" t="n">
        <v>3</v>
      </c>
      <c r="D3684" s="6" t="n">
        <v>37</v>
      </c>
      <c r="E3684" s="6" t="n">
        <v>1</v>
      </c>
      <c r="F3684" s="6" t="s">
        <v>779</v>
      </c>
      <c r="G3684" s="28" t="str">
        <f aca="false">IFERROR(INDEX('Semrush Data'!$A$1:$Z$20000,MATCH(A3684,'Semrush Data'!$A$1:$A$20000,0),MATCH("Volume",'Semrush Data'!$A$1:$Z$1,0)),"")</f>
        <v/>
      </c>
      <c r="H3684" s="6" t="str">
        <f aca="false">IFERROR(INDEX('Semrush Data'!$A$1:$Z$20000,MATCH(A3684,'Semrush Data'!$A$1:$A$20000,0),MATCH("Keyword Difficulty*",'Semrush Data'!$A$1:$Z$1,0)),"")</f>
        <v/>
      </c>
      <c r="I3684" s="29" t="str">
        <f aca="false">IFERROR(INDEX('Semrush Data'!$A$1:$Z$20000,MATCH(A3684,'Semrush Data'!$A$1:$A$20000,0),MATCH("CPC*",'Semrush Data'!$A$1:$Z$1,0)),"")</f>
        <v/>
      </c>
      <c r="J3684" s="6" t="str">
        <f aca="false">IFERROR(INDEX('Semrush Data'!$A$1:$Z$20000,MATCH(A3684,'Semrush Data'!$A$1:$A$20000,0),MATCH("Intent",'Semrush Data'!$A$1:$Z$1,0)),"")</f>
        <v/>
      </c>
    </row>
    <row r="3685" customFormat="false" ht="15" hidden="false" customHeight="true" outlineLevel="0" collapsed="false">
      <c r="A3685" s="6" t="s">
        <v>1599</v>
      </c>
      <c r="B3685" s="6" t="s">
        <v>249</v>
      </c>
      <c r="C3685" s="6" t="n">
        <v>3</v>
      </c>
      <c r="D3685" s="6" t="n">
        <v>37</v>
      </c>
      <c r="E3685" s="6" t="n">
        <v>1</v>
      </c>
      <c r="F3685" s="6" t="s">
        <v>559</v>
      </c>
      <c r="G3685" s="28" t="str">
        <f aca="false">IFERROR(INDEX('Semrush Data'!$A$1:$Z$20000,MATCH(A3685,'Semrush Data'!$A$1:$A$20000,0),MATCH("Volume",'Semrush Data'!$A$1:$Z$1,0)),"")</f>
        <v/>
      </c>
      <c r="H3685" s="6" t="str">
        <f aca="false">IFERROR(INDEX('Semrush Data'!$A$1:$Z$20000,MATCH(A3685,'Semrush Data'!$A$1:$A$20000,0),MATCH("Keyword Difficulty*",'Semrush Data'!$A$1:$Z$1,0)),"")</f>
        <v/>
      </c>
      <c r="I3685" s="29" t="str">
        <f aca="false">IFERROR(INDEX('Semrush Data'!$A$1:$Z$20000,MATCH(A3685,'Semrush Data'!$A$1:$A$20000,0),MATCH("CPC*",'Semrush Data'!$A$1:$Z$1,0)),"")</f>
        <v/>
      </c>
      <c r="J3685" s="6" t="str">
        <f aca="false">IFERROR(INDEX('Semrush Data'!$A$1:$Z$20000,MATCH(A3685,'Semrush Data'!$A$1:$A$20000,0),MATCH("Intent",'Semrush Data'!$A$1:$Z$1,0)),"")</f>
        <v/>
      </c>
    </row>
    <row r="3686" customFormat="false" ht="15" hidden="false" customHeight="true" outlineLevel="0" collapsed="false">
      <c r="A3686" s="6" t="s">
        <v>1914</v>
      </c>
      <c r="B3686" s="6" t="s">
        <v>249</v>
      </c>
      <c r="C3686" s="6" t="n">
        <v>3</v>
      </c>
      <c r="D3686" s="6" t="n">
        <v>37</v>
      </c>
      <c r="E3686" s="6" t="n">
        <v>1</v>
      </c>
      <c r="F3686" s="6" t="s">
        <v>878</v>
      </c>
      <c r="G3686" s="28" t="str">
        <f aca="false">IFERROR(INDEX('Semrush Data'!$A$1:$Z$20000,MATCH(A3686,'Semrush Data'!$A$1:$A$20000,0),MATCH("Volume",'Semrush Data'!$A$1:$Z$1,0)),"")</f>
        <v/>
      </c>
      <c r="H3686" s="6" t="str">
        <f aca="false">IFERROR(INDEX('Semrush Data'!$A$1:$Z$20000,MATCH(A3686,'Semrush Data'!$A$1:$A$20000,0),MATCH("Keyword Difficulty*",'Semrush Data'!$A$1:$Z$1,0)),"")</f>
        <v/>
      </c>
      <c r="I3686" s="29" t="str">
        <f aca="false">IFERROR(INDEX('Semrush Data'!$A$1:$Z$20000,MATCH(A3686,'Semrush Data'!$A$1:$A$20000,0),MATCH("CPC*",'Semrush Data'!$A$1:$Z$1,0)),"")</f>
        <v/>
      </c>
      <c r="J3686" s="6" t="str">
        <f aca="false">IFERROR(INDEX('Semrush Data'!$A$1:$Z$20000,MATCH(A3686,'Semrush Data'!$A$1:$A$20000,0),MATCH("Intent",'Semrush Data'!$A$1:$Z$1,0)),"")</f>
        <v/>
      </c>
    </row>
    <row r="3687" customFormat="false" ht="15" hidden="false" customHeight="true" outlineLevel="0" collapsed="false">
      <c r="A3687" s="6" t="s">
        <v>1848</v>
      </c>
      <c r="B3687" s="6" t="s">
        <v>249</v>
      </c>
      <c r="C3687" s="6" t="n">
        <v>3</v>
      </c>
      <c r="D3687" s="6" t="n">
        <v>37</v>
      </c>
      <c r="E3687" s="6" t="n">
        <v>1</v>
      </c>
      <c r="F3687" s="6" t="s">
        <v>818</v>
      </c>
      <c r="G3687" s="28" t="str">
        <f aca="false">IFERROR(INDEX('Semrush Data'!$A$1:$Z$20000,MATCH(A3687,'Semrush Data'!$A$1:$A$20000,0),MATCH("Volume",'Semrush Data'!$A$1:$Z$1,0)),"")</f>
        <v/>
      </c>
      <c r="H3687" s="6" t="str">
        <f aca="false">IFERROR(INDEX('Semrush Data'!$A$1:$Z$20000,MATCH(A3687,'Semrush Data'!$A$1:$A$20000,0),MATCH("Keyword Difficulty*",'Semrush Data'!$A$1:$Z$1,0)),"")</f>
        <v/>
      </c>
      <c r="I3687" s="29" t="str">
        <f aca="false">IFERROR(INDEX('Semrush Data'!$A$1:$Z$20000,MATCH(A3687,'Semrush Data'!$A$1:$A$20000,0),MATCH("CPC*",'Semrush Data'!$A$1:$Z$1,0)),"")</f>
        <v/>
      </c>
      <c r="J3687" s="6" t="str">
        <f aca="false">IFERROR(INDEX('Semrush Data'!$A$1:$Z$20000,MATCH(A3687,'Semrush Data'!$A$1:$A$20000,0),MATCH("Intent",'Semrush Data'!$A$1:$Z$1,0)),"")</f>
        <v/>
      </c>
    </row>
    <row r="3688" customFormat="false" ht="15" hidden="false" customHeight="true" outlineLevel="0" collapsed="false">
      <c r="A3688" s="6" t="s">
        <v>1606</v>
      </c>
      <c r="B3688" s="6" t="s">
        <v>249</v>
      </c>
      <c r="C3688" s="6" t="n">
        <v>3</v>
      </c>
      <c r="D3688" s="6" t="n">
        <v>37</v>
      </c>
      <c r="E3688" s="6" t="n">
        <v>1</v>
      </c>
      <c r="F3688" s="6" t="s">
        <v>569</v>
      </c>
      <c r="G3688" s="28" t="str">
        <f aca="false">IFERROR(INDEX('Semrush Data'!$A$1:$Z$20000,MATCH(A3688,'Semrush Data'!$A$1:$A$20000,0),MATCH("Volume",'Semrush Data'!$A$1:$Z$1,0)),"")</f>
        <v/>
      </c>
      <c r="H3688" s="6" t="str">
        <f aca="false">IFERROR(INDEX('Semrush Data'!$A$1:$Z$20000,MATCH(A3688,'Semrush Data'!$A$1:$A$20000,0),MATCH("Keyword Difficulty*",'Semrush Data'!$A$1:$Z$1,0)),"")</f>
        <v/>
      </c>
      <c r="I3688" s="29" t="str">
        <f aca="false">IFERROR(INDEX('Semrush Data'!$A$1:$Z$20000,MATCH(A3688,'Semrush Data'!$A$1:$A$20000,0),MATCH("CPC*",'Semrush Data'!$A$1:$Z$1,0)),"")</f>
        <v/>
      </c>
      <c r="J3688" s="6" t="str">
        <f aca="false">IFERROR(INDEX('Semrush Data'!$A$1:$Z$20000,MATCH(A3688,'Semrush Data'!$A$1:$A$20000,0),MATCH("Intent",'Semrush Data'!$A$1:$Z$1,0)),"")</f>
        <v/>
      </c>
    </row>
    <row r="3689" customFormat="false" ht="15" hidden="false" customHeight="true" outlineLevel="0" collapsed="false">
      <c r="A3689" s="6" t="s">
        <v>1515</v>
      </c>
      <c r="B3689" s="6" t="s">
        <v>249</v>
      </c>
      <c r="C3689" s="6" t="n">
        <v>3</v>
      </c>
      <c r="D3689" s="6" t="n">
        <v>37</v>
      </c>
      <c r="E3689" s="6" t="n">
        <v>1</v>
      </c>
      <c r="F3689" s="6" t="s">
        <v>464</v>
      </c>
      <c r="G3689" s="28" t="str">
        <f aca="false">IFERROR(INDEX('Semrush Data'!$A$1:$Z$20000,MATCH(A3689,'Semrush Data'!$A$1:$A$20000,0),MATCH("Volume",'Semrush Data'!$A$1:$Z$1,0)),"")</f>
        <v/>
      </c>
      <c r="H3689" s="6" t="str">
        <f aca="false">IFERROR(INDEX('Semrush Data'!$A$1:$Z$20000,MATCH(A3689,'Semrush Data'!$A$1:$A$20000,0),MATCH("Keyword Difficulty*",'Semrush Data'!$A$1:$Z$1,0)),"")</f>
        <v/>
      </c>
      <c r="I3689" s="29" t="str">
        <f aca="false">IFERROR(INDEX('Semrush Data'!$A$1:$Z$20000,MATCH(A3689,'Semrush Data'!$A$1:$A$20000,0),MATCH("CPC*",'Semrush Data'!$A$1:$Z$1,0)),"")</f>
        <v/>
      </c>
      <c r="J3689" s="6" t="str">
        <f aca="false">IFERROR(INDEX('Semrush Data'!$A$1:$Z$20000,MATCH(A3689,'Semrush Data'!$A$1:$A$20000,0),MATCH("Intent",'Semrush Data'!$A$1:$Z$1,0)),"")</f>
        <v/>
      </c>
    </row>
    <row r="3690" customFormat="false" ht="15" hidden="false" customHeight="true" outlineLevel="0" collapsed="false">
      <c r="A3690" s="6" t="s">
        <v>1456</v>
      </c>
      <c r="B3690" s="6" t="s">
        <v>249</v>
      </c>
      <c r="C3690" s="6" t="n">
        <v>3</v>
      </c>
      <c r="D3690" s="6" t="n">
        <v>37</v>
      </c>
      <c r="E3690" s="6" t="n">
        <v>1</v>
      </c>
      <c r="F3690" s="6" t="s">
        <v>394</v>
      </c>
      <c r="G3690" s="28" t="str">
        <f aca="false">IFERROR(INDEX('Semrush Data'!$A$1:$Z$20000,MATCH(A3690,'Semrush Data'!$A$1:$A$20000,0),MATCH("Volume",'Semrush Data'!$A$1:$Z$1,0)),"")</f>
        <v/>
      </c>
      <c r="H3690" s="6" t="str">
        <f aca="false">IFERROR(INDEX('Semrush Data'!$A$1:$Z$20000,MATCH(A3690,'Semrush Data'!$A$1:$A$20000,0),MATCH("Keyword Difficulty*",'Semrush Data'!$A$1:$Z$1,0)),"")</f>
        <v/>
      </c>
      <c r="I3690" s="29" t="str">
        <f aca="false">IFERROR(INDEX('Semrush Data'!$A$1:$Z$20000,MATCH(A3690,'Semrush Data'!$A$1:$A$20000,0),MATCH("CPC*",'Semrush Data'!$A$1:$Z$1,0)),"")</f>
        <v/>
      </c>
      <c r="J3690" s="6" t="str">
        <f aca="false">IFERROR(INDEX('Semrush Data'!$A$1:$Z$20000,MATCH(A3690,'Semrush Data'!$A$1:$A$20000,0),MATCH("Intent",'Semrush Data'!$A$1:$Z$1,0)),"")</f>
        <v/>
      </c>
    </row>
    <row r="3691" customFormat="false" ht="15" hidden="false" customHeight="true" outlineLevel="0" collapsed="false">
      <c r="A3691" s="6" t="s">
        <v>1494</v>
      </c>
      <c r="B3691" s="6" t="s">
        <v>249</v>
      </c>
      <c r="C3691" s="6" t="n">
        <v>3</v>
      </c>
      <c r="D3691" s="6" t="n">
        <v>37</v>
      </c>
      <c r="E3691" s="6" t="n">
        <v>1</v>
      </c>
      <c r="F3691" s="6" t="s">
        <v>441</v>
      </c>
      <c r="G3691" s="28" t="str">
        <f aca="false">IFERROR(INDEX('Semrush Data'!$A$1:$Z$20000,MATCH(A3691,'Semrush Data'!$A$1:$A$20000,0),MATCH("Volume",'Semrush Data'!$A$1:$Z$1,0)),"")</f>
        <v/>
      </c>
      <c r="H3691" s="6" t="str">
        <f aca="false">IFERROR(INDEX('Semrush Data'!$A$1:$Z$20000,MATCH(A3691,'Semrush Data'!$A$1:$A$20000,0),MATCH("Keyword Difficulty*",'Semrush Data'!$A$1:$Z$1,0)),"")</f>
        <v/>
      </c>
      <c r="I3691" s="29" t="str">
        <f aca="false">IFERROR(INDEX('Semrush Data'!$A$1:$Z$20000,MATCH(A3691,'Semrush Data'!$A$1:$A$20000,0),MATCH("CPC*",'Semrush Data'!$A$1:$Z$1,0)),"")</f>
        <v/>
      </c>
      <c r="J3691" s="6" t="str">
        <f aca="false">IFERROR(INDEX('Semrush Data'!$A$1:$Z$20000,MATCH(A3691,'Semrush Data'!$A$1:$A$20000,0),MATCH("Intent",'Semrush Data'!$A$1:$Z$1,0)),"")</f>
        <v/>
      </c>
    </row>
    <row r="3692" customFormat="false" ht="15" hidden="false" customHeight="true" outlineLevel="0" collapsed="false">
      <c r="A3692" s="6" t="s">
        <v>1613</v>
      </c>
      <c r="B3692" s="6" t="s">
        <v>249</v>
      </c>
      <c r="C3692" s="6" t="n">
        <v>3</v>
      </c>
      <c r="D3692" s="6" t="n">
        <v>37</v>
      </c>
      <c r="E3692" s="6" t="n">
        <v>1</v>
      </c>
      <c r="F3692" s="6" t="s">
        <v>577</v>
      </c>
      <c r="G3692" s="28" t="str">
        <f aca="false">IFERROR(INDEX('Semrush Data'!$A$1:$Z$20000,MATCH(A3692,'Semrush Data'!$A$1:$A$20000,0),MATCH("Volume",'Semrush Data'!$A$1:$Z$1,0)),"")</f>
        <v/>
      </c>
      <c r="H3692" s="6" t="str">
        <f aca="false">IFERROR(INDEX('Semrush Data'!$A$1:$Z$20000,MATCH(A3692,'Semrush Data'!$A$1:$A$20000,0),MATCH("Keyword Difficulty*",'Semrush Data'!$A$1:$Z$1,0)),"")</f>
        <v/>
      </c>
      <c r="I3692" s="29" t="str">
        <f aca="false">IFERROR(INDEX('Semrush Data'!$A$1:$Z$20000,MATCH(A3692,'Semrush Data'!$A$1:$A$20000,0),MATCH("CPC*",'Semrush Data'!$A$1:$Z$1,0)),"")</f>
        <v/>
      </c>
      <c r="J3692" s="6" t="str">
        <f aca="false">IFERROR(INDEX('Semrush Data'!$A$1:$Z$20000,MATCH(A3692,'Semrush Data'!$A$1:$A$20000,0),MATCH("Intent",'Semrush Data'!$A$1:$Z$1,0)),"")</f>
        <v/>
      </c>
    </row>
    <row r="3693" customFormat="false" ht="15" hidden="false" customHeight="true" outlineLevel="0" collapsed="false">
      <c r="A3693" s="6" t="s">
        <v>1619</v>
      </c>
      <c r="B3693" s="6" t="s">
        <v>249</v>
      </c>
      <c r="C3693" s="6" t="n">
        <v>3</v>
      </c>
      <c r="D3693" s="6" t="n">
        <v>37</v>
      </c>
      <c r="E3693" s="6" t="n">
        <v>1</v>
      </c>
      <c r="F3693" s="6" t="s">
        <v>583</v>
      </c>
      <c r="G3693" s="28" t="str">
        <f aca="false">IFERROR(INDEX('Semrush Data'!$A$1:$Z$20000,MATCH(A3693,'Semrush Data'!$A$1:$A$20000,0),MATCH("Volume",'Semrush Data'!$A$1:$Z$1,0)),"")</f>
        <v/>
      </c>
      <c r="H3693" s="6" t="str">
        <f aca="false">IFERROR(INDEX('Semrush Data'!$A$1:$Z$20000,MATCH(A3693,'Semrush Data'!$A$1:$A$20000,0),MATCH("Keyword Difficulty*",'Semrush Data'!$A$1:$Z$1,0)),"")</f>
        <v/>
      </c>
      <c r="I3693" s="29" t="str">
        <f aca="false">IFERROR(INDEX('Semrush Data'!$A$1:$Z$20000,MATCH(A3693,'Semrush Data'!$A$1:$A$20000,0),MATCH("CPC*",'Semrush Data'!$A$1:$Z$1,0)),"")</f>
        <v/>
      </c>
      <c r="J3693" s="6" t="str">
        <f aca="false">IFERROR(INDEX('Semrush Data'!$A$1:$Z$20000,MATCH(A3693,'Semrush Data'!$A$1:$A$20000,0),MATCH("Intent",'Semrush Data'!$A$1:$Z$1,0)),"")</f>
        <v/>
      </c>
    </row>
    <row r="3694" customFormat="false" ht="15" hidden="false" customHeight="true" outlineLevel="0" collapsed="false">
      <c r="A3694" s="6" t="s">
        <v>1732</v>
      </c>
      <c r="B3694" s="6" t="s">
        <v>249</v>
      </c>
      <c r="C3694" s="6" t="n">
        <v>3</v>
      </c>
      <c r="D3694" s="6" t="n">
        <v>37</v>
      </c>
      <c r="E3694" s="6" t="n">
        <v>1</v>
      </c>
      <c r="F3694" s="6" t="s">
        <v>710</v>
      </c>
      <c r="G3694" s="28" t="str">
        <f aca="false">IFERROR(INDEX('Semrush Data'!$A$1:$Z$20000,MATCH(A3694,'Semrush Data'!$A$1:$A$20000,0),MATCH("Volume",'Semrush Data'!$A$1:$Z$1,0)),"")</f>
        <v/>
      </c>
      <c r="H3694" s="6" t="str">
        <f aca="false">IFERROR(INDEX('Semrush Data'!$A$1:$Z$20000,MATCH(A3694,'Semrush Data'!$A$1:$A$20000,0),MATCH("Keyword Difficulty*",'Semrush Data'!$A$1:$Z$1,0)),"")</f>
        <v/>
      </c>
      <c r="I3694" s="29" t="str">
        <f aca="false">IFERROR(INDEX('Semrush Data'!$A$1:$Z$20000,MATCH(A3694,'Semrush Data'!$A$1:$A$20000,0),MATCH("CPC*",'Semrush Data'!$A$1:$Z$1,0)),"")</f>
        <v/>
      </c>
      <c r="J3694" s="6" t="str">
        <f aca="false">IFERROR(INDEX('Semrush Data'!$A$1:$Z$20000,MATCH(A3694,'Semrush Data'!$A$1:$A$20000,0),MATCH("Intent",'Semrush Data'!$A$1:$Z$1,0)),"")</f>
        <v/>
      </c>
    </row>
    <row r="3695" customFormat="false" ht="15" hidden="false" customHeight="true" outlineLevel="0" collapsed="false">
      <c r="A3695" s="6" t="s">
        <v>1522</v>
      </c>
      <c r="B3695" s="6" t="s">
        <v>249</v>
      </c>
      <c r="C3695" s="6" t="n">
        <v>3</v>
      </c>
      <c r="D3695" s="6" t="n">
        <v>37</v>
      </c>
      <c r="E3695" s="6" t="n">
        <v>1</v>
      </c>
      <c r="F3695" s="6" t="s">
        <v>470</v>
      </c>
      <c r="G3695" s="28" t="str">
        <f aca="false">IFERROR(INDEX('Semrush Data'!$A$1:$Z$20000,MATCH(A3695,'Semrush Data'!$A$1:$A$20000,0),MATCH("Volume",'Semrush Data'!$A$1:$Z$1,0)),"")</f>
        <v/>
      </c>
      <c r="H3695" s="6" t="str">
        <f aca="false">IFERROR(INDEX('Semrush Data'!$A$1:$Z$20000,MATCH(A3695,'Semrush Data'!$A$1:$A$20000,0),MATCH("Keyword Difficulty*",'Semrush Data'!$A$1:$Z$1,0)),"")</f>
        <v/>
      </c>
      <c r="I3695" s="29" t="str">
        <f aca="false">IFERROR(INDEX('Semrush Data'!$A$1:$Z$20000,MATCH(A3695,'Semrush Data'!$A$1:$A$20000,0),MATCH("CPC*",'Semrush Data'!$A$1:$Z$1,0)),"")</f>
        <v/>
      </c>
      <c r="J3695" s="6" t="str">
        <f aca="false">IFERROR(INDEX('Semrush Data'!$A$1:$Z$20000,MATCH(A3695,'Semrush Data'!$A$1:$A$20000,0),MATCH("Intent",'Semrush Data'!$A$1:$Z$1,0)),"")</f>
        <v/>
      </c>
    </row>
    <row r="3696" customFormat="false" ht="15" hidden="false" customHeight="true" outlineLevel="0" collapsed="false">
      <c r="A3696" s="6" t="s">
        <v>1626</v>
      </c>
      <c r="B3696" s="6" t="s">
        <v>249</v>
      </c>
      <c r="C3696" s="6" t="n">
        <v>3</v>
      </c>
      <c r="D3696" s="6" t="n">
        <v>37</v>
      </c>
      <c r="E3696" s="6" t="n">
        <v>1</v>
      </c>
      <c r="F3696" s="6" t="s">
        <v>592</v>
      </c>
      <c r="G3696" s="28" t="str">
        <f aca="false">IFERROR(INDEX('Semrush Data'!$A$1:$Z$20000,MATCH(A3696,'Semrush Data'!$A$1:$A$20000,0),MATCH("Volume",'Semrush Data'!$A$1:$Z$1,0)),"")</f>
        <v/>
      </c>
      <c r="H3696" s="6" t="str">
        <f aca="false">IFERROR(INDEX('Semrush Data'!$A$1:$Z$20000,MATCH(A3696,'Semrush Data'!$A$1:$A$20000,0),MATCH("Keyword Difficulty*",'Semrush Data'!$A$1:$Z$1,0)),"")</f>
        <v/>
      </c>
      <c r="I3696" s="29" t="str">
        <f aca="false">IFERROR(INDEX('Semrush Data'!$A$1:$Z$20000,MATCH(A3696,'Semrush Data'!$A$1:$A$20000,0),MATCH("CPC*",'Semrush Data'!$A$1:$Z$1,0)),"")</f>
        <v/>
      </c>
      <c r="J3696" s="6" t="str">
        <f aca="false">IFERROR(INDEX('Semrush Data'!$A$1:$Z$20000,MATCH(A3696,'Semrush Data'!$A$1:$A$20000,0),MATCH("Intent",'Semrush Data'!$A$1:$Z$1,0)),"")</f>
        <v/>
      </c>
    </row>
    <row r="3697" customFormat="false" ht="15" hidden="false" customHeight="true" outlineLevel="0" collapsed="false">
      <c r="A3697" s="6" t="s">
        <v>1631</v>
      </c>
      <c r="B3697" s="6" t="s">
        <v>249</v>
      </c>
      <c r="C3697" s="6" t="n">
        <v>3</v>
      </c>
      <c r="D3697" s="6" t="n">
        <v>37</v>
      </c>
      <c r="E3697" s="6" t="n">
        <v>1</v>
      </c>
      <c r="F3697" s="6" t="s">
        <v>599</v>
      </c>
      <c r="G3697" s="28" t="str">
        <f aca="false">IFERROR(INDEX('Semrush Data'!$A$1:$Z$20000,MATCH(A3697,'Semrush Data'!$A$1:$A$20000,0),MATCH("Volume",'Semrush Data'!$A$1:$Z$1,0)),"")</f>
        <v/>
      </c>
      <c r="H3697" s="6" t="str">
        <f aca="false">IFERROR(INDEX('Semrush Data'!$A$1:$Z$20000,MATCH(A3697,'Semrush Data'!$A$1:$A$20000,0),MATCH("Keyword Difficulty*",'Semrush Data'!$A$1:$Z$1,0)),"")</f>
        <v/>
      </c>
      <c r="I3697" s="29" t="str">
        <f aca="false">IFERROR(INDEX('Semrush Data'!$A$1:$Z$20000,MATCH(A3697,'Semrush Data'!$A$1:$A$20000,0),MATCH("CPC*",'Semrush Data'!$A$1:$Z$1,0)),"")</f>
        <v/>
      </c>
      <c r="J3697" s="6" t="str">
        <f aca="false">IFERROR(INDEX('Semrush Data'!$A$1:$Z$20000,MATCH(A3697,'Semrush Data'!$A$1:$A$20000,0),MATCH("Intent",'Semrush Data'!$A$1:$Z$1,0)),"")</f>
        <v/>
      </c>
    </row>
    <row r="3698" customFormat="false" ht="15" hidden="false" customHeight="true" outlineLevel="0" collapsed="false">
      <c r="A3698" s="6" t="s">
        <v>1637</v>
      </c>
      <c r="B3698" s="6" t="s">
        <v>249</v>
      </c>
      <c r="C3698" s="6" t="n">
        <v>3</v>
      </c>
      <c r="D3698" s="6" t="n">
        <v>37</v>
      </c>
      <c r="E3698" s="6" t="n">
        <v>1</v>
      </c>
      <c r="F3698" s="6" t="s">
        <v>605</v>
      </c>
      <c r="G3698" s="28" t="str">
        <f aca="false">IFERROR(INDEX('Semrush Data'!$A$1:$Z$20000,MATCH(A3698,'Semrush Data'!$A$1:$A$20000,0),MATCH("Volume",'Semrush Data'!$A$1:$Z$1,0)),"")</f>
        <v/>
      </c>
      <c r="H3698" s="6" t="str">
        <f aca="false">IFERROR(INDEX('Semrush Data'!$A$1:$Z$20000,MATCH(A3698,'Semrush Data'!$A$1:$A$20000,0),MATCH("Keyword Difficulty*",'Semrush Data'!$A$1:$Z$1,0)),"")</f>
        <v/>
      </c>
      <c r="I3698" s="29" t="str">
        <f aca="false">IFERROR(INDEX('Semrush Data'!$A$1:$Z$20000,MATCH(A3698,'Semrush Data'!$A$1:$A$20000,0),MATCH("CPC*",'Semrush Data'!$A$1:$Z$1,0)),"")</f>
        <v/>
      </c>
      <c r="J3698" s="6" t="str">
        <f aca="false">IFERROR(INDEX('Semrush Data'!$A$1:$Z$20000,MATCH(A3698,'Semrush Data'!$A$1:$A$20000,0),MATCH("Intent",'Semrush Data'!$A$1:$Z$1,0)),"")</f>
        <v/>
      </c>
    </row>
    <row r="3699" customFormat="false" ht="15" hidden="false" customHeight="true" outlineLevel="0" collapsed="false">
      <c r="A3699" s="6" t="s">
        <v>1464</v>
      </c>
      <c r="B3699" s="6" t="s">
        <v>249</v>
      </c>
      <c r="C3699" s="6" t="n">
        <v>3</v>
      </c>
      <c r="D3699" s="6" t="n">
        <v>37</v>
      </c>
      <c r="E3699" s="6" t="n">
        <v>1</v>
      </c>
      <c r="F3699" s="6" t="s">
        <v>404</v>
      </c>
      <c r="G3699" s="28" t="str">
        <f aca="false">IFERROR(INDEX('Semrush Data'!$A$1:$Z$20000,MATCH(A3699,'Semrush Data'!$A$1:$A$20000,0),MATCH("Volume",'Semrush Data'!$A$1:$Z$1,0)),"")</f>
        <v/>
      </c>
      <c r="H3699" s="6" t="str">
        <f aca="false">IFERROR(INDEX('Semrush Data'!$A$1:$Z$20000,MATCH(A3699,'Semrush Data'!$A$1:$A$20000,0),MATCH("Keyword Difficulty*",'Semrush Data'!$A$1:$Z$1,0)),"")</f>
        <v/>
      </c>
      <c r="I3699" s="29" t="str">
        <f aca="false">IFERROR(INDEX('Semrush Data'!$A$1:$Z$20000,MATCH(A3699,'Semrush Data'!$A$1:$A$20000,0),MATCH("CPC*",'Semrush Data'!$A$1:$Z$1,0)),"")</f>
        <v/>
      </c>
      <c r="J3699" s="6" t="str">
        <f aca="false">IFERROR(INDEX('Semrush Data'!$A$1:$Z$20000,MATCH(A3699,'Semrush Data'!$A$1:$A$20000,0),MATCH("Intent",'Semrush Data'!$A$1:$Z$1,0)),"")</f>
        <v/>
      </c>
    </row>
    <row r="3700" customFormat="false" ht="15" hidden="false" customHeight="true" outlineLevel="0" collapsed="false">
      <c r="A3700" s="6" t="s">
        <v>1932</v>
      </c>
      <c r="B3700" s="6" t="s">
        <v>249</v>
      </c>
      <c r="C3700" s="6" t="n">
        <v>3</v>
      </c>
      <c r="D3700" s="6" t="n">
        <v>37</v>
      </c>
      <c r="E3700" s="6" t="n">
        <v>1</v>
      </c>
      <c r="F3700" s="6" t="s">
        <v>895</v>
      </c>
      <c r="G3700" s="28" t="str">
        <f aca="false">IFERROR(INDEX('Semrush Data'!$A$1:$Z$20000,MATCH(A3700,'Semrush Data'!$A$1:$A$20000,0),MATCH("Volume",'Semrush Data'!$A$1:$Z$1,0)),"")</f>
        <v/>
      </c>
      <c r="H3700" s="6" t="str">
        <f aca="false">IFERROR(INDEX('Semrush Data'!$A$1:$Z$20000,MATCH(A3700,'Semrush Data'!$A$1:$A$20000,0),MATCH("Keyword Difficulty*",'Semrush Data'!$A$1:$Z$1,0)),"")</f>
        <v/>
      </c>
      <c r="I3700" s="29" t="str">
        <f aca="false">IFERROR(INDEX('Semrush Data'!$A$1:$Z$20000,MATCH(A3700,'Semrush Data'!$A$1:$A$20000,0),MATCH("CPC*",'Semrush Data'!$A$1:$Z$1,0)),"")</f>
        <v/>
      </c>
      <c r="J3700" s="6" t="str">
        <f aca="false">IFERROR(INDEX('Semrush Data'!$A$1:$Z$20000,MATCH(A3700,'Semrush Data'!$A$1:$A$20000,0),MATCH("Intent",'Semrush Data'!$A$1:$Z$1,0)),"")</f>
        <v/>
      </c>
    </row>
    <row r="3701" customFormat="false" ht="15" hidden="false" customHeight="true" outlineLevel="0" collapsed="false">
      <c r="A3701" s="6" t="s">
        <v>1836</v>
      </c>
      <c r="B3701" s="6" t="s">
        <v>249</v>
      </c>
      <c r="C3701" s="6" t="n">
        <v>3</v>
      </c>
      <c r="D3701" s="6" t="n">
        <v>37</v>
      </c>
      <c r="E3701" s="6" t="n">
        <v>1</v>
      </c>
      <c r="F3701" s="6" t="s">
        <v>808</v>
      </c>
      <c r="G3701" s="28" t="str">
        <f aca="false">IFERROR(INDEX('Semrush Data'!$A$1:$Z$20000,MATCH(A3701,'Semrush Data'!$A$1:$A$20000,0),MATCH("Volume",'Semrush Data'!$A$1:$Z$1,0)),"")</f>
        <v/>
      </c>
      <c r="H3701" s="6" t="str">
        <f aca="false">IFERROR(INDEX('Semrush Data'!$A$1:$Z$20000,MATCH(A3701,'Semrush Data'!$A$1:$A$20000,0),MATCH("Keyword Difficulty*",'Semrush Data'!$A$1:$Z$1,0)),"")</f>
        <v/>
      </c>
      <c r="I3701" s="29" t="str">
        <f aca="false">IFERROR(INDEX('Semrush Data'!$A$1:$Z$20000,MATCH(A3701,'Semrush Data'!$A$1:$A$20000,0),MATCH("CPC*",'Semrush Data'!$A$1:$Z$1,0)),"")</f>
        <v/>
      </c>
      <c r="J3701" s="6" t="str">
        <f aca="false">IFERROR(INDEX('Semrush Data'!$A$1:$Z$20000,MATCH(A3701,'Semrush Data'!$A$1:$A$20000,0),MATCH("Intent",'Semrush Data'!$A$1:$Z$1,0)),"")</f>
        <v/>
      </c>
    </row>
    <row r="3702" customFormat="false" ht="15" hidden="false" customHeight="true" outlineLevel="0" collapsed="false">
      <c r="A3702" s="6" t="s">
        <v>1842</v>
      </c>
      <c r="B3702" s="6" t="s">
        <v>249</v>
      </c>
      <c r="C3702" s="6" t="n">
        <v>3</v>
      </c>
      <c r="D3702" s="6" t="n">
        <v>38</v>
      </c>
      <c r="E3702" s="6" t="n">
        <v>1</v>
      </c>
      <c r="F3702" s="6" t="s">
        <v>813</v>
      </c>
      <c r="G3702" s="28" t="str">
        <f aca="false">IFERROR(INDEX('Semrush Data'!$A$1:$Z$20000,MATCH(A3702,'Semrush Data'!$A$1:$A$20000,0),MATCH("Volume",'Semrush Data'!$A$1:$Z$1,0)),"")</f>
        <v/>
      </c>
      <c r="H3702" s="6" t="str">
        <f aca="false">IFERROR(INDEX('Semrush Data'!$A$1:$Z$20000,MATCH(A3702,'Semrush Data'!$A$1:$A$20000,0),MATCH("Keyword Difficulty*",'Semrush Data'!$A$1:$Z$1,0)),"")</f>
        <v/>
      </c>
      <c r="I3702" s="29" t="str">
        <f aca="false">IFERROR(INDEX('Semrush Data'!$A$1:$Z$20000,MATCH(A3702,'Semrush Data'!$A$1:$A$20000,0),MATCH("CPC*",'Semrush Data'!$A$1:$Z$1,0)),"")</f>
        <v/>
      </c>
      <c r="J3702" s="6" t="str">
        <f aca="false">IFERROR(INDEX('Semrush Data'!$A$1:$Z$20000,MATCH(A3702,'Semrush Data'!$A$1:$A$20000,0),MATCH("Intent",'Semrush Data'!$A$1:$Z$1,0)),"")</f>
        <v/>
      </c>
    </row>
    <row r="3703" customFormat="false" ht="15" hidden="false" customHeight="true" outlineLevel="0" collapsed="false">
      <c r="A3703" s="6" t="s">
        <v>1854</v>
      </c>
      <c r="B3703" s="6" t="s">
        <v>249</v>
      </c>
      <c r="C3703" s="6" t="n">
        <v>3</v>
      </c>
      <c r="D3703" s="6" t="n">
        <v>38</v>
      </c>
      <c r="E3703" s="6" t="n">
        <v>1</v>
      </c>
      <c r="F3703" s="6" t="s">
        <v>824</v>
      </c>
      <c r="G3703" s="28" t="str">
        <f aca="false">IFERROR(INDEX('Semrush Data'!$A$1:$Z$20000,MATCH(A3703,'Semrush Data'!$A$1:$A$20000,0),MATCH("Volume",'Semrush Data'!$A$1:$Z$1,0)),"")</f>
        <v/>
      </c>
      <c r="H3703" s="6" t="str">
        <f aca="false">IFERROR(INDEX('Semrush Data'!$A$1:$Z$20000,MATCH(A3703,'Semrush Data'!$A$1:$A$20000,0),MATCH("Keyword Difficulty*",'Semrush Data'!$A$1:$Z$1,0)),"")</f>
        <v/>
      </c>
      <c r="I3703" s="29" t="str">
        <f aca="false">IFERROR(INDEX('Semrush Data'!$A$1:$Z$20000,MATCH(A3703,'Semrush Data'!$A$1:$A$20000,0),MATCH("CPC*",'Semrush Data'!$A$1:$Z$1,0)),"")</f>
        <v/>
      </c>
      <c r="J3703" s="6" t="str">
        <f aca="false">IFERROR(INDEX('Semrush Data'!$A$1:$Z$20000,MATCH(A3703,'Semrush Data'!$A$1:$A$20000,0),MATCH("Intent",'Semrush Data'!$A$1:$Z$1,0)),"")</f>
        <v/>
      </c>
    </row>
    <row r="3704" customFormat="false" ht="15" hidden="false" customHeight="true" outlineLevel="0" collapsed="false">
      <c r="A3704" s="6" t="s">
        <v>1719</v>
      </c>
      <c r="B3704" s="6" t="s">
        <v>249</v>
      </c>
      <c r="C3704" s="6" t="n">
        <v>3</v>
      </c>
      <c r="D3704" s="6" t="n">
        <v>38</v>
      </c>
      <c r="E3704" s="6" t="n">
        <v>1</v>
      </c>
      <c r="F3704" s="6" t="s">
        <v>697</v>
      </c>
      <c r="G3704" s="28" t="str">
        <f aca="false">IFERROR(INDEX('Semrush Data'!$A$1:$Z$20000,MATCH(A3704,'Semrush Data'!$A$1:$A$20000,0),MATCH("Volume",'Semrush Data'!$A$1:$Z$1,0)),"")</f>
        <v/>
      </c>
      <c r="H3704" s="6" t="str">
        <f aca="false">IFERROR(INDEX('Semrush Data'!$A$1:$Z$20000,MATCH(A3704,'Semrush Data'!$A$1:$A$20000,0),MATCH("Keyword Difficulty*",'Semrush Data'!$A$1:$Z$1,0)),"")</f>
        <v/>
      </c>
      <c r="I3704" s="29" t="str">
        <f aca="false">IFERROR(INDEX('Semrush Data'!$A$1:$Z$20000,MATCH(A3704,'Semrush Data'!$A$1:$A$20000,0),MATCH("CPC*",'Semrush Data'!$A$1:$Z$1,0)),"")</f>
        <v/>
      </c>
      <c r="J3704" s="6" t="str">
        <f aca="false">IFERROR(INDEX('Semrush Data'!$A$1:$Z$20000,MATCH(A3704,'Semrush Data'!$A$1:$A$20000,0),MATCH("Intent",'Semrush Data'!$A$1:$Z$1,0)),"")</f>
        <v/>
      </c>
    </row>
    <row r="3705" customFormat="false" ht="15" hidden="false" customHeight="true" outlineLevel="0" collapsed="false">
      <c r="A3705" s="6" t="s">
        <v>1746</v>
      </c>
      <c r="B3705" s="6" t="s">
        <v>249</v>
      </c>
      <c r="C3705" s="6" t="n">
        <v>3</v>
      </c>
      <c r="D3705" s="6" t="n">
        <v>38</v>
      </c>
      <c r="E3705" s="6" t="n">
        <v>1</v>
      </c>
      <c r="F3705" s="6" t="s">
        <v>724</v>
      </c>
      <c r="G3705" s="28" t="str">
        <f aca="false">IFERROR(INDEX('Semrush Data'!$A$1:$Z$20000,MATCH(A3705,'Semrush Data'!$A$1:$A$20000,0),MATCH("Volume",'Semrush Data'!$A$1:$Z$1,0)),"")</f>
        <v/>
      </c>
      <c r="H3705" s="6" t="str">
        <f aca="false">IFERROR(INDEX('Semrush Data'!$A$1:$Z$20000,MATCH(A3705,'Semrush Data'!$A$1:$A$20000,0),MATCH("Keyword Difficulty*",'Semrush Data'!$A$1:$Z$1,0)),"")</f>
        <v/>
      </c>
      <c r="I3705" s="29" t="str">
        <f aca="false">IFERROR(INDEX('Semrush Data'!$A$1:$Z$20000,MATCH(A3705,'Semrush Data'!$A$1:$A$20000,0),MATCH("CPC*",'Semrush Data'!$A$1:$Z$1,0)),"")</f>
        <v/>
      </c>
      <c r="J3705" s="6" t="str">
        <f aca="false">IFERROR(INDEX('Semrush Data'!$A$1:$Z$20000,MATCH(A3705,'Semrush Data'!$A$1:$A$20000,0),MATCH("Intent",'Semrush Data'!$A$1:$Z$1,0)),"")</f>
        <v/>
      </c>
    </row>
    <row r="3706" customFormat="false" ht="15" hidden="false" customHeight="true" outlineLevel="0" collapsed="false">
      <c r="A3706" s="6" t="s">
        <v>1643</v>
      </c>
      <c r="B3706" s="6" t="s">
        <v>249</v>
      </c>
      <c r="C3706" s="6" t="n">
        <v>3</v>
      </c>
      <c r="D3706" s="6" t="n">
        <v>38</v>
      </c>
      <c r="E3706" s="6" t="n">
        <v>1</v>
      </c>
      <c r="F3706" s="6" t="s">
        <v>611</v>
      </c>
      <c r="G3706" s="28" t="str">
        <f aca="false">IFERROR(INDEX('Semrush Data'!$A$1:$Z$20000,MATCH(A3706,'Semrush Data'!$A$1:$A$20000,0),MATCH("Volume",'Semrush Data'!$A$1:$Z$1,0)),"")</f>
        <v/>
      </c>
      <c r="H3706" s="6" t="str">
        <f aca="false">IFERROR(INDEX('Semrush Data'!$A$1:$Z$20000,MATCH(A3706,'Semrush Data'!$A$1:$A$20000,0),MATCH("Keyword Difficulty*",'Semrush Data'!$A$1:$Z$1,0)),"")</f>
        <v/>
      </c>
      <c r="I3706" s="29" t="str">
        <f aca="false">IFERROR(INDEX('Semrush Data'!$A$1:$Z$20000,MATCH(A3706,'Semrush Data'!$A$1:$A$20000,0),MATCH("CPC*",'Semrush Data'!$A$1:$Z$1,0)),"")</f>
        <v/>
      </c>
      <c r="J3706" s="6" t="str">
        <f aca="false">IFERROR(INDEX('Semrush Data'!$A$1:$Z$20000,MATCH(A3706,'Semrush Data'!$A$1:$A$20000,0),MATCH("Intent",'Semrush Data'!$A$1:$Z$1,0)),"")</f>
        <v/>
      </c>
    </row>
    <row r="3707" customFormat="false" ht="15" hidden="false" customHeight="true" outlineLevel="0" collapsed="false">
      <c r="A3707" s="6" t="s">
        <v>1501</v>
      </c>
      <c r="B3707" s="6" t="s">
        <v>249</v>
      </c>
      <c r="C3707" s="6" t="n">
        <v>3</v>
      </c>
      <c r="D3707" s="6" t="n">
        <v>38</v>
      </c>
      <c r="E3707" s="6" t="n">
        <v>1</v>
      </c>
      <c r="F3707" s="6" t="s">
        <v>447</v>
      </c>
      <c r="G3707" s="28" t="str">
        <f aca="false">IFERROR(INDEX('Semrush Data'!$A$1:$Z$20000,MATCH(A3707,'Semrush Data'!$A$1:$A$20000,0),MATCH("Volume",'Semrush Data'!$A$1:$Z$1,0)),"")</f>
        <v/>
      </c>
      <c r="H3707" s="6" t="str">
        <f aca="false">IFERROR(INDEX('Semrush Data'!$A$1:$Z$20000,MATCH(A3707,'Semrush Data'!$A$1:$A$20000,0),MATCH("Keyword Difficulty*",'Semrush Data'!$A$1:$Z$1,0)),"")</f>
        <v/>
      </c>
      <c r="I3707" s="29" t="str">
        <f aca="false">IFERROR(INDEX('Semrush Data'!$A$1:$Z$20000,MATCH(A3707,'Semrush Data'!$A$1:$A$20000,0),MATCH("CPC*",'Semrush Data'!$A$1:$Z$1,0)),"")</f>
        <v/>
      </c>
      <c r="J3707" s="6" t="str">
        <f aca="false">IFERROR(INDEX('Semrush Data'!$A$1:$Z$20000,MATCH(A3707,'Semrush Data'!$A$1:$A$20000,0),MATCH("Intent",'Semrush Data'!$A$1:$Z$1,0)),"")</f>
        <v/>
      </c>
    </row>
    <row r="3708" customFormat="false" ht="15" hidden="false" customHeight="true" outlineLevel="0" collapsed="false">
      <c r="A3708" s="6" t="s">
        <v>1926</v>
      </c>
      <c r="B3708" s="6" t="s">
        <v>249</v>
      </c>
      <c r="C3708" s="6" t="n">
        <v>3</v>
      </c>
      <c r="D3708" s="6" t="n">
        <v>38</v>
      </c>
      <c r="E3708" s="6" t="n">
        <v>1</v>
      </c>
      <c r="F3708" s="6" t="s">
        <v>890</v>
      </c>
      <c r="G3708" s="28" t="str">
        <f aca="false">IFERROR(INDEX('Semrush Data'!$A$1:$Z$20000,MATCH(A3708,'Semrush Data'!$A$1:$A$20000,0),MATCH("Volume",'Semrush Data'!$A$1:$Z$1,0)),"")</f>
        <v/>
      </c>
      <c r="H3708" s="6" t="str">
        <f aca="false">IFERROR(INDEX('Semrush Data'!$A$1:$Z$20000,MATCH(A3708,'Semrush Data'!$A$1:$A$20000,0),MATCH("Keyword Difficulty*",'Semrush Data'!$A$1:$Z$1,0)),"")</f>
        <v/>
      </c>
      <c r="I3708" s="29" t="str">
        <f aca="false">IFERROR(INDEX('Semrush Data'!$A$1:$Z$20000,MATCH(A3708,'Semrush Data'!$A$1:$A$20000,0),MATCH("CPC*",'Semrush Data'!$A$1:$Z$1,0)),"")</f>
        <v/>
      </c>
      <c r="J3708" s="6" t="str">
        <f aca="false">IFERROR(INDEX('Semrush Data'!$A$1:$Z$20000,MATCH(A3708,'Semrush Data'!$A$1:$A$20000,0),MATCH("Intent",'Semrush Data'!$A$1:$Z$1,0)),"")</f>
        <v/>
      </c>
    </row>
    <row r="3709" customFormat="false" ht="15" hidden="false" customHeight="true" outlineLevel="0" collapsed="false">
      <c r="A3709" s="6" t="s">
        <v>1650</v>
      </c>
      <c r="B3709" s="6" t="s">
        <v>249</v>
      </c>
      <c r="C3709" s="6" t="n">
        <v>3</v>
      </c>
      <c r="D3709" s="6" t="n">
        <v>38</v>
      </c>
      <c r="E3709" s="6" t="n">
        <v>1</v>
      </c>
      <c r="F3709" s="6" t="s">
        <v>618</v>
      </c>
      <c r="G3709" s="28" t="str">
        <f aca="false">IFERROR(INDEX('Semrush Data'!$A$1:$Z$20000,MATCH(A3709,'Semrush Data'!$A$1:$A$20000,0),MATCH("Volume",'Semrush Data'!$A$1:$Z$1,0)),"")</f>
        <v/>
      </c>
      <c r="H3709" s="6" t="str">
        <f aca="false">IFERROR(INDEX('Semrush Data'!$A$1:$Z$20000,MATCH(A3709,'Semrush Data'!$A$1:$A$20000,0),MATCH("Keyword Difficulty*",'Semrush Data'!$A$1:$Z$1,0)),"")</f>
        <v/>
      </c>
      <c r="I3709" s="29" t="str">
        <f aca="false">IFERROR(INDEX('Semrush Data'!$A$1:$Z$20000,MATCH(A3709,'Semrush Data'!$A$1:$A$20000,0),MATCH("CPC*",'Semrush Data'!$A$1:$Z$1,0)),"")</f>
        <v/>
      </c>
      <c r="J3709" s="6" t="str">
        <f aca="false">IFERROR(INDEX('Semrush Data'!$A$1:$Z$20000,MATCH(A3709,'Semrush Data'!$A$1:$A$20000,0),MATCH("Intent",'Semrush Data'!$A$1:$Z$1,0)),"")</f>
        <v/>
      </c>
    </row>
    <row r="3710" customFormat="false" ht="15" hidden="false" customHeight="true" outlineLevel="0" collapsed="false">
      <c r="A3710" s="6" t="s">
        <v>1529</v>
      </c>
      <c r="B3710" s="6" t="s">
        <v>249</v>
      </c>
      <c r="C3710" s="6" t="n">
        <v>3</v>
      </c>
      <c r="D3710" s="6" t="n">
        <v>38</v>
      </c>
      <c r="E3710" s="6" t="n">
        <v>1</v>
      </c>
      <c r="F3710" s="6" t="s">
        <v>480</v>
      </c>
      <c r="G3710" s="28" t="str">
        <f aca="false">IFERROR(INDEX('Semrush Data'!$A$1:$Z$20000,MATCH(A3710,'Semrush Data'!$A$1:$A$20000,0),MATCH("Volume",'Semrush Data'!$A$1:$Z$1,0)),"")</f>
        <v/>
      </c>
      <c r="H3710" s="6" t="str">
        <f aca="false">IFERROR(INDEX('Semrush Data'!$A$1:$Z$20000,MATCH(A3710,'Semrush Data'!$A$1:$A$20000,0),MATCH("Keyword Difficulty*",'Semrush Data'!$A$1:$Z$1,0)),"")</f>
        <v/>
      </c>
      <c r="I3710" s="29" t="str">
        <f aca="false">IFERROR(INDEX('Semrush Data'!$A$1:$Z$20000,MATCH(A3710,'Semrush Data'!$A$1:$A$20000,0),MATCH("CPC*",'Semrush Data'!$A$1:$Z$1,0)),"")</f>
        <v/>
      </c>
      <c r="J3710" s="6" t="str">
        <f aca="false">IFERROR(INDEX('Semrush Data'!$A$1:$Z$20000,MATCH(A3710,'Semrush Data'!$A$1:$A$20000,0),MATCH("Intent",'Semrush Data'!$A$1:$Z$1,0)),"")</f>
        <v/>
      </c>
    </row>
    <row r="3711" customFormat="false" ht="15" hidden="false" customHeight="true" outlineLevel="0" collapsed="false">
      <c r="A3711" s="6" t="s">
        <v>1447</v>
      </c>
      <c r="B3711" s="6" t="s">
        <v>249</v>
      </c>
      <c r="C3711" s="6" t="n">
        <v>3</v>
      </c>
      <c r="D3711" s="6" t="n">
        <v>38</v>
      </c>
      <c r="E3711" s="6" t="n">
        <v>3</v>
      </c>
      <c r="F3711" s="6" t="s">
        <v>6864</v>
      </c>
      <c r="G3711" s="28" t="str">
        <f aca="false">IFERROR(INDEX('Semrush Data'!$A$1:$Z$20000,MATCH(A3711,'Semrush Data'!$A$1:$A$20000,0),MATCH("Volume",'Semrush Data'!$A$1:$Z$1,0)),"")</f>
        <v/>
      </c>
      <c r="H3711" s="6" t="str">
        <f aca="false">IFERROR(INDEX('Semrush Data'!$A$1:$Z$20000,MATCH(A3711,'Semrush Data'!$A$1:$A$20000,0),MATCH("Keyword Difficulty*",'Semrush Data'!$A$1:$Z$1,0)),"")</f>
        <v/>
      </c>
      <c r="I3711" s="29" t="str">
        <f aca="false">IFERROR(INDEX('Semrush Data'!$A$1:$Z$20000,MATCH(A3711,'Semrush Data'!$A$1:$A$20000,0),MATCH("CPC*",'Semrush Data'!$A$1:$Z$1,0)),"")</f>
        <v/>
      </c>
      <c r="J3711" s="6" t="str">
        <f aca="false">IFERROR(INDEX('Semrush Data'!$A$1:$Z$20000,MATCH(A3711,'Semrush Data'!$A$1:$A$20000,0),MATCH("Intent",'Semrush Data'!$A$1:$Z$1,0)),"")</f>
        <v/>
      </c>
    </row>
    <row r="3712" customFormat="false" ht="15" hidden="false" customHeight="true" outlineLevel="0" collapsed="false">
      <c r="A3712" s="6" t="s">
        <v>1890</v>
      </c>
      <c r="B3712" s="6" t="s">
        <v>249</v>
      </c>
      <c r="C3712" s="6" t="n">
        <v>3</v>
      </c>
      <c r="D3712" s="6" t="n">
        <v>38</v>
      </c>
      <c r="E3712" s="6" t="n">
        <v>1</v>
      </c>
      <c r="F3712" s="6" t="s">
        <v>856</v>
      </c>
      <c r="G3712" s="28" t="str">
        <f aca="false">IFERROR(INDEX('Semrush Data'!$A$1:$Z$20000,MATCH(A3712,'Semrush Data'!$A$1:$A$20000,0),MATCH("Volume",'Semrush Data'!$A$1:$Z$1,0)),"")</f>
        <v/>
      </c>
      <c r="H3712" s="6" t="str">
        <f aca="false">IFERROR(INDEX('Semrush Data'!$A$1:$Z$20000,MATCH(A3712,'Semrush Data'!$A$1:$A$20000,0),MATCH("Keyword Difficulty*",'Semrush Data'!$A$1:$Z$1,0)),"")</f>
        <v/>
      </c>
      <c r="I3712" s="29" t="str">
        <f aca="false">IFERROR(INDEX('Semrush Data'!$A$1:$Z$20000,MATCH(A3712,'Semrush Data'!$A$1:$A$20000,0),MATCH("CPC*",'Semrush Data'!$A$1:$Z$1,0)),"")</f>
        <v/>
      </c>
      <c r="J3712" s="6" t="str">
        <f aca="false">IFERROR(INDEX('Semrush Data'!$A$1:$Z$20000,MATCH(A3712,'Semrush Data'!$A$1:$A$20000,0),MATCH("Intent",'Semrush Data'!$A$1:$Z$1,0)),"")</f>
        <v/>
      </c>
    </row>
    <row r="3713" customFormat="false" ht="15" hidden="false" customHeight="true" outlineLevel="0" collapsed="false">
      <c r="A3713" s="6" t="s">
        <v>1920</v>
      </c>
      <c r="B3713" s="6" t="s">
        <v>249</v>
      </c>
      <c r="C3713" s="6" t="n">
        <v>3</v>
      </c>
      <c r="D3713" s="6" t="n">
        <v>38</v>
      </c>
      <c r="E3713" s="6" t="n">
        <v>1</v>
      </c>
      <c r="F3713" s="6" t="s">
        <v>883</v>
      </c>
      <c r="G3713" s="28" t="str">
        <f aca="false">IFERROR(INDEX('Semrush Data'!$A$1:$Z$20000,MATCH(A3713,'Semrush Data'!$A$1:$A$20000,0),MATCH("Volume",'Semrush Data'!$A$1:$Z$1,0)),"")</f>
        <v/>
      </c>
      <c r="H3713" s="6" t="str">
        <f aca="false">IFERROR(INDEX('Semrush Data'!$A$1:$Z$20000,MATCH(A3713,'Semrush Data'!$A$1:$A$20000,0),MATCH("Keyword Difficulty*",'Semrush Data'!$A$1:$Z$1,0)),"")</f>
        <v/>
      </c>
      <c r="I3713" s="29" t="str">
        <f aca="false">IFERROR(INDEX('Semrush Data'!$A$1:$Z$20000,MATCH(A3713,'Semrush Data'!$A$1:$A$20000,0),MATCH("CPC*",'Semrush Data'!$A$1:$Z$1,0)),"")</f>
        <v/>
      </c>
      <c r="J3713" s="6" t="str">
        <f aca="false">IFERROR(INDEX('Semrush Data'!$A$1:$Z$20000,MATCH(A3713,'Semrush Data'!$A$1:$A$20000,0),MATCH("Intent",'Semrush Data'!$A$1:$Z$1,0)),"")</f>
        <v/>
      </c>
    </row>
    <row r="3714" customFormat="false" ht="15" hidden="false" customHeight="true" outlineLevel="0" collapsed="false">
      <c r="A3714" s="6" t="s">
        <v>1659</v>
      </c>
      <c r="B3714" s="6" t="s">
        <v>249</v>
      </c>
      <c r="C3714" s="6" t="n">
        <v>3</v>
      </c>
      <c r="D3714" s="6" t="n">
        <v>38</v>
      </c>
      <c r="E3714" s="6" t="n">
        <v>1</v>
      </c>
      <c r="F3714" s="6" t="s">
        <v>629</v>
      </c>
      <c r="G3714" s="28" t="str">
        <f aca="false">IFERROR(INDEX('Semrush Data'!$A$1:$Z$20000,MATCH(A3714,'Semrush Data'!$A$1:$A$20000,0),MATCH("Volume",'Semrush Data'!$A$1:$Z$1,0)),"")</f>
        <v/>
      </c>
      <c r="H3714" s="6" t="str">
        <f aca="false">IFERROR(INDEX('Semrush Data'!$A$1:$Z$20000,MATCH(A3714,'Semrush Data'!$A$1:$A$20000,0),MATCH("Keyword Difficulty*",'Semrush Data'!$A$1:$Z$1,0)),"")</f>
        <v/>
      </c>
      <c r="I3714" s="29" t="str">
        <f aca="false">IFERROR(INDEX('Semrush Data'!$A$1:$Z$20000,MATCH(A3714,'Semrush Data'!$A$1:$A$20000,0),MATCH("CPC*",'Semrush Data'!$A$1:$Z$1,0)),"")</f>
        <v/>
      </c>
      <c r="J3714" s="6" t="str">
        <f aca="false">IFERROR(INDEX('Semrush Data'!$A$1:$Z$20000,MATCH(A3714,'Semrush Data'!$A$1:$A$20000,0),MATCH("Intent",'Semrush Data'!$A$1:$Z$1,0)),"")</f>
        <v/>
      </c>
    </row>
    <row r="3715" customFormat="false" ht="15" hidden="false" customHeight="true" outlineLevel="0" collapsed="false">
      <c r="A3715" s="6" t="s">
        <v>1536</v>
      </c>
      <c r="B3715" s="6" t="s">
        <v>249</v>
      </c>
      <c r="C3715" s="6" t="n">
        <v>3</v>
      </c>
      <c r="D3715" s="6" t="n">
        <v>38</v>
      </c>
      <c r="E3715" s="6" t="n">
        <v>1</v>
      </c>
      <c r="F3715" s="6" t="s">
        <v>489</v>
      </c>
      <c r="G3715" s="28" t="str">
        <f aca="false">IFERROR(INDEX('Semrush Data'!$A$1:$Z$20000,MATCH(A3715,'Semrush Data'!$A$1:$A$20000,0),MATCH("Volume",'Semrush Data'!$A$1:$Z$1,0)),"")</f>
        <v/>
      </c>
      <c r="H3715" s="6" t="str">
        <f aca="false">IFERROR(INDEX('Semrush Data'!$A$1:$Z$20000,MATCH(A3715,'Semrush Data'!$A$1:$A$20000,0),MATCH("Keyword Difficulty*",'Semrush Data'!$A$1:$Z$1,0)),"")</f>
        <v/>
      </c>
      <c r="I3715" s="29" t="str">
        <f aca="false">IFERROR(INDEX('Semrush Data'!$A$1:$Z$20000,MATCH(A3715,'Semrush Data'!$A$1:$A$20000,0),MATCH("CPC*",'Semrush Data'!$A$1:$Z$1,0)),"")</f>
        <v/>
      </c>
      <c r="J3715" s="6" t="str">
        <f aca="false">IFERROR(INDEX('Semrush Data'!$A$1:$Z$20000,MATCH(A3715,'Semrush Data'!$A$1:$A$20000,0),MATCH("Intent",'Semrush Data'!$A$1:$Z$1,0)),"")</f>
        <v/>
      </c>
    </row>
    <row r="3716" customFormat="false" ht="15" hidden="false" customHeight="true" outlineLevel="0" collapsed="false">
      <c r="A3716" s="6" t="s">
        <v>1665</v>
      </c>
      <c r="B3716" s="6" t="s">
        <v>249</v>
      </c>
      <c r="C3716" s="6" t="n">
        <v>3</v>
      </c>
      <c r="D3716" s="6" t="n">
        <v>38</v>
      </c>
      <c r="E3716" s="6" t="n">
        <v>1</v>
      </c>
      <c r="F3716" s="6" t="s">
        <v>637</v>
      </c>
      <c r="G3716" s="28" t="str">
        <f aca="false">IFERROR(INDEX('Semrush Data'!$A$1:$Z$20000,MATCH(A3716,'Semrush Data'!$A$1:$A$20000,0),MATCH("Volume",'Semrush Data'!$A$1:$Z$1,0)),"")</f>
        <v/>
      </c>
      <c r="H3716" s="6" t="str">
        <f aca="false">IFERROR(INDEX('Semrush Data'!$A$1:$Z$20000,MATCH(A3716,'Semrush Data'!$A$1:$A$20000,0),MATCH("Keyword Difficulty*",'Semrush Data'!$A$1:$Z$1,0)),"")</f>
        <v/>
      </c>
      <c r="I3716" s="29" t="str">
        <f aca="false">IFERROR(INDEX('Semrush Data'!$A$1:$Z$20000,MATCH(A3716,'Semrush Data'!$A$1:$A$20000,0),MATCH("CPC*",'Semrush Data'!$A$1:$Z$1,0)),"")</f>
        <v/>
      </c>
      <c r="J3716" s="6" t="str">
        <f aca="false">IFERROR(INDEX('Semrush Data'!$A$1:$Z$20000,MATCH(A3716,'Semrush Data'!$A$1:$A$20000,0),MATCH("Intent",'Semrush Data'!$A$1:$Z$1,0)),"")</f>
        <v/>
      </c>
    </row>
    <row r="3717" customFormat="false" ht="15" hidden="false" customHeight="true" outlineLevel="0" collapsed="false">
      <c r="A3717" s="6" t="s">
        <v>1542</v>
      </c>
      <c r="B3717" s="6" t="s">
        <v>249</v>
      </c>
      <c r="C3717" s="6" t="n">
        <v>3</v>
      </c>
      <c r="D3717" s="6" t="n">
        <v>38</v>
      </c>
      <c r="E3717" s="6" t="n">
        <v>1</v>
      </c>
      <c r="F3717" s="6" t="s">
        <v>496</v>
      </c>
      <c r="G3717" s="28" t="str">
        <f aca="false">IFERROR(INDEX('Semrush Data'!$A$1:$Z$20000,MATCH(A3717,'Semrush Data'!$A$1:$A$20000,0),MATCH("Volume",'Semrush Data'!$A$1:$Z$1,0)),"")</f>
        <v/>
      </c>
      <c r="H3717" s="6" t="str">
        <f aca="false">IFERROR(INDEX('Semrush Data'!$A$1:$Z$20000,MATCH(A3717,'Semrush Data'!$A$1:$A$20000,0),MATCH("Keyword Difficulty*",'Semrush Data'!$A$1:$Z$1,0)),"")</f>
        <v/>
      </c>
      <c r="I3717" s="29" t="str">
        <f aca="false">IFERROR(INDEX('Semrush Data'!$A$1:$Z$20000,MATCH(A3717,'Semrush Data'!$A$1:$A$20000,0),MATCH("CPC*",'Semrush Data'!$A$1:$Z$1,0)),"")</f>
        <v/>
      </c>
      <c r="J3717" s="6" t="str">
        <f aca="false">IFERROR(INDEX('Semrush Data'!$A$1:$Z$20000,MATCH(A3717,'Semrush Data'!$A$1:$A$20000,0),MATCH("Intent",'Semrush Data'!$A$1:$Z$1,0)),"")</f>
        <v/>
      </c>
    </row>
    <row r="3718" customFormat="false" ht="15" hidden="false" customHeight="true" outlineLevel="0" collapsed="false">
      <c r="A3718" s="6" t="s">
        <v>1896</v>
      </c>
      <c r="B3718" s="6" t="s">
        <v>249</v>
      </c>
      <c r="C3718" s="6" t="n">
        <v>3</v>
      </c>
      <c r="D3718" s="6" t="n">
        <v>38</v>
      </c>
      <c r="E3718" s="6" t="n">
        <v>1</v>
      </c>
      <c r="F3718" s="6" t="s">
        <v>862</v>
      </c>
      <c r="G3718" s="28" t="str">
        <f aca="false">IFERROR(INDEX('Semrush Data'!$A$1:$Z$20000,MATCH(A3718,'Semrush Data'!$A$1:$A$20000,0),MATCH("Volume",'Semrush Data'!$A$1:$Z$1,0)),"")</f>
        <v/>
      </c>
      <c r="H3718" s="6" t="str">
        <f aca="false">IFERROR(INDEX('Semrush Data'!$A$1:$Z$20000,MATCH(A3718,'Semrush Data'!$A$1:$A$20000,0),MATCH("Keyword Difficulty*",'Semrush Data'!$A$1:$Z$1,0)),"")</f>
        <v/>
      </c>
      <c r="I3718" s="29" t="str">
        <f aca="false">IFERROR(INDEX('Semrush Data'!$A$1:$Z$20000,MATCH(A3718,'Semrush Data'!$A$1:$A$20000,0),MATCH("CPC*",'Semrush Data'!$A$1:$Z$1,0)),"")</f>
        <v/>
      </c>
      <c r="J3718" s="6" t="str">
        <f aca="false">IFERROR(INDEX('Semrush Data'!$A$1:$Z$20000,MATCH(A3718,'Semrush Data'!$A$1:$A$20000,0),MATCH("Intent",'Semrush Data'!$A$1:$Z$1,0)),"")</f>
        <v/>
      </c>
    </row>
    <row r="3719" customFormat="false" ht="15" hidden="false" customHeight="true" outlineLevel="0" collapsed="false">
      <c r="A3719" s="6" t="s">
        <v>1938</v>
      </c>
      <c r="B3719" s="6" t="s">
        <v>249</v>
      </c>
      <c r="C3719" s="6" t="n">
        <v>3</v>
      </c>
      <c r="D3719" s="6" t="n">
        <v>38</v>
      </c>
      <c r="E3719" s="6" t="n">
        <v>1</v>
      </c>
      <c r="F3719" s="6" t="s">
        <v>900</v>
      </c>
      <c r="G3719" s="28" t="str">
        <f aca="false">IFERROR(INDEX('Semrush Data'!$A$1:$Z$20000,MATCH(A3719,'Semrush Data'!$A$1:$A$20000,0),MATCH("Volume",'Semrush Data'!$A$1:$Z$1,0)),"")</f>
        <v/>
      </c>
      <c r="H3719" s="6" t="str">
        <f aca="false">IFERROR(INDEX('Semrush Data'!$A$1:$Z$20000,MATCH(A3719,'Semrush Data'!$A$1:$A$20000,0),MATCH("Keyword Difficulty*",'Semrush Data'!$A$1:$Z$1,0)),"")</f>
        <v/>
      </c>
      <c r="I3719" s="29" t="str">
        <f aca="false">IFERROR(INDEX('Semrush Data'!$A$1:$Z$20000,MATCH(A3719,'Semrush Data'!$A$1:$A$20000,0),MATCH("CPC*",'Semrush Data'!$A$1:$Z$1,0)),"")</f>
        <v/>
      </c>
      <c r="J3719" s="6" t="str">
        <f aca="false">IFERROR(INDEX('Semrush Data'!$A$1:$Z$20000,MATCH(A3719,'Semrush Data'!$A$1:$A$20000,0),MATCH("Intent",'Semrush Data'!$A$1:$Z$1,0)),"")</f>
        <v/>
      </c>
    </row>
    <row r="3720" customFormat="false" ht="15" hidden="false" customHeight="true" outlineLevel="0" collapsed="false">
      <c r="A3720" s="6" t="s">
        <v>1671</v>
      </c>
      <c r="B3720" s="6" t="s">
        <v>249</v>
      </c>
      <c r="C3720" s="6" t="n">
        <v>3</v>
      </c>
      <c r="D3720" s="6" t="n">
        <v>38</v>
      </c>
      <c r="E3720" s="6" t="n">
        <v>1</v>
      </c>
      <c r="F3720" s="6" t="s">
        <v>644</v>
      </c>
      <c r="G3720" s="28" t="str">
        <f aca="false">IFERROR(INDEX('Semrush Data'!$A$1:$Z$20000,MATCH(A3720,'Semrush Data'!$A$1:$A$20000,0),MATCH("Volume",'Semrush Data'!$A$1:$Z$1,0)),"")</f>
        <v/>
      </c>
      <c r="H3720" s="6" t="str">
        <f aca="false">IFERROR(INDEX('Semrush Data'!$A$1:$Z$20000,MATCH(A3720,'Semrush Data'!$A$1:$A$20000,0),MATCH("Keyword Difficulty*",'Semrush Data'!$A$1:$Z$1,0)),"")</f>
        <v/>
      </c>
      <c r="I3720" s="29" t="str">
        <f aca="false">IFERROR(INDEX('Semrush Data'!$A$1:$Z$20000,MATCH(A3720,'Semrush Data'!$A$1:$A$20000,0),MATCH("CPC*",'Semrush Data'!$A$1:$Z$1,0)),"")</f>
        <v/>
      </c>
      <c r="J3720" s="6" t="str">
        <f aca="false">IFERROR(INDEX('Semrush Data'!$A$1:$Z$20000,MATCH(A3720,'Semrush Data'!$A$1:$A$20000,0),MATCH("Intent",'Semrush Data'!$A$1:$Z$1,0)),"")</f>
        <v/>
      </c>
    </row>
    <row r="3721" customFormat="false" ht="15" hidden="false" customHeight="true" outlineLevel="0" collapsed="false">
      <c r="A3721" s="6" t="s">
        <v>1726</v>
      </c>
      <c r="B3721" s="6" t="s">
        <v>249</v>
      </c>
      <c r="C3721" s="6" t="n">
        <v>3</v>
      </c>
      <c r="D3721" s="6" t="n">
        <v>38</v>
      </c>
      <c r="E3721" s="6" t="n">
        <v>1</v>
      </c>
      <c r="F3721" s="6" t="s">
        <v>704</v>
      </c>
      <c r="G3721" s="28" t="str">
        <f aca="false">IFERROR(INDEX('Semrush Data'!$A$1:$Z$20000,MATCH(A3721,'Semrush Data'!$A$1:$A$20000,0),MATCH("Volume",'Semrush Data'!$A$1:$Z$1,0)),"")</f>
        <v/>
      </c>
      <c r="H3721" s="6" t="str">
        <f aca="false">IFERROR(INDEX('Semrush Data'!$A$1:$Z$20000,MATCH(A3721,'Semrush Data'!$A$1:$A$20000,0),MATCH("Keyword Difficulty*",'Semrush Data'!$A$1:$Z$1,0)),"")</f>
        <v/>
      </c>
      <c r="I3721" s="29" t="str">
        <f aca="false">IFERROR(INDEX('Semrush Data'!$A$1:$Z$20000,MATCH(A3721,'Semrush Data'!$A$1:$A$20000,0),MATCH("CPC*",'Semrush Data'!$A$1:$Z$1,0)),"")</f>
        <v/>
      </c>
      <c r="J3721" s="6" t="str">
        <f aca="false">IFERROR(INDEX('Semrush Data'!$A$1:$Z$20000,MATCH(A3721,'Semrush Data'!$A$1:$A$20000,0),MATCH("Intent",'Semrush Data'!$A$1:$Z$1,0)),"")</f>
        <v/>
      </c>
    </row>
    <row r="3722" customFormat="false" ht="15" hidden="false" customHeight="true" outlineLevel="0" collapsed="false">
      <c r="A3722" s="6" t="s">
        <v>1679</v>
      </c>
      <c r="B3722" s="6" t="s">
        <v>249</v>
      </c>
      <c r="C3722" s="6" t="n">
        <v>3</v>
      </c>
      <c r="D3722" s="6" t="n">
        <v>38</v>
      </c>
      <c r="E3722" s="6" t="n">
        <v>1</v>
      </c>
      <c r="F3722" s="6" t="s">
        <v>653</v>
      </c>
      <c r="G3722" s="28" t="str">
        <f aca="false">IFERROR(INDEX('Semrush Data'!$A$1:$Z$20000,MATCH(A3722,'Semrush Data'!$A$1:$A$20000,0),MATCH("Volume",'Semrush Data'!$A$1:$Z$1,0)),"")</f>
        <v/>
      </c>
      <c r="H3722" s="6" t="str">
        <f aca="false">IFERROR(INDEX('Semrush Data'!$A$1:$Z$20000,MATCH(A3722,'Semrush Data'!$A$1:$A$20000,0),MATCH("Keyword Difficulty*",'Semrush Data'!$A$1:$Z$1,0)),"")</f>
        <v/>
      </c>
      <c r="I3722" s="29" t="str">
        <f aca="false">IFERROR(INDEX('Semrush Data'!$A$1:$Z$20000,MATCH(A3722,'Semrush Data'!$A$1:$A$20000,0),MATCH("CPC*",'Semrush Data'!$A$1:$Z$1,0)),"")</f>
        <v/>
      </c>
      <c r="J3722" s="6" t="str">
        <f aca="false">IFERROR(INDEX('Semrush Data'!$A$1:$Z$20000,MATCH(A3722,'Semrush Data'!$A$1:$A$20000,0),MATCH("Intent",'Semrush Data'!$A$1:$Z$1,0)),"")</f>
        <v/>
      </c>
    </row>
    <row r="3723" customFormat="false" ht="15" hidden="false" customHeight="true" outlineLevel="0" collapsed="false">
      <c r="A3723" s="6" t="s">
        <v>1739</v>
      </c>
      <c r="B3723" s="6" t="s">
        <v>249</v>
      </c>
      <c r="C3723" s="6" t="n">
        <v>3</v>
      </c>
      <c r="D3723" s="6" t="n">
        <v>38</v>
      </c>
      <c r="E3723" s="6" t="n">
        <v>1</v>
      </c>
      <c r="F3723" s="6" t="s">
        <v>717</v>
      </c>
      <c r="G3723" s="28" t="str">
        <f aca="false">IFERROR(INDEX('Semrush Data'!$A$1:$Z$20000,MATCH(A3723,'Semrush Data'!$A$1:$A$20000,0),MATCH("Volume",'Semrush Data'!$A$1:$Z$1,0)),"")</f>
        <v/>
      </c>
      <c r="H3723" s="6" t="str">
        <f aca="false">IFERROR(INDEX('Semrush Data'!$A$1:$Z$20000,MATCH(A3723,'Semrush Data'!$A$1:$A$20000,0),MATCH("Keyword Difficulty*",'Semrush Data'!$A$1:$Z$1,0)),"")</f>
        <v/>
      </c>
      <c r="I3723" s="29" t="str">
        <f aca="false">IFERROR(INDEX('Semrush Data'!$A$1:$Z$20000,MATCH(A3723,'Semrush Data'!$A$1:$A$20000,0),MATCH("CPC*",'Semrush Data'!$A$1:$Z$1,0)),"")</f>
        <v/>
      </c>
      <c r="J3723" s="6" t="str">
        <f aca="false">IFERROR(INDEX('Semrush Data'!$A$1:$Z$20000,MATCH(A3723,'Semrush Data'!$A$1:$A$20000,0),MATCH("Intent",'Semrush Data'!$A$1:$Z$1,0)),"")</f>
        <v/>
      </c>
    </row>
    <row r="3724" customFormat="false" ht="15" hidden="false" customHeight="true" outlineLevel="0" collapsed="false">
      <c r="A3724" s="6" t="s">
        <v>1548</v>
      </c>
      <c r="B3724" s="6" t="s">
        <v>249</v>
      </c>
      <c r="C3724" s="6" t="n">
        <v>3</v>
      </c>
      <c r="D3724" s="6" t="n">
        <v>38</v>
      </c>
      <c r="E3724" s="6" t="n">
        <v>1</v>
      </c>
      <c r="F3724" s="6" t="s">
        <v>503</v>
      </c>
      <c r="G3724" s="28" t="str">
        <f aca="false">IFERROR(INDEX('Semrush Data'!$A$1:$Z$20000,MATCH(A3724,'Semrush Data'!$A$1:$A$20000,0),MATCH("Volume",'Semrush Data'!$A$1:$Z$1,0)),"")</f>
        <v/>
      </c>
      <c r="H3724" s="6" t="str">
        <f aca="false">IFERROR(INDEX('Semrush Data'!$A$1:$Z$20000,MATCH(A3724,'Semrush Data'!$A$1:$A$20000,0),MATCH("Keyword Difficulty*",'Semrush Data'!$A$1:$Z$1,0)),"")</f>
        <v/>
      </c>
      <c r="I3724" s="29" t="str">
        <f aca="false">IFERROR(INDEX('Semrush Data'!$A$1:$Z$20000,MATCH(A3724,'Semrush Data'!$A$1:$A$20000,0),MATCH("CPC*",'Semrush Data'!$A$1:$Z$1,0)),"")</f>
        <v/>
      </c>
      <c r="J3724" s="6" t="str">
        <f aca="false">IFERROR(INDEX('Semrush Data'!$A$1:$Z$20000,MATCH(A3724,'Semrush Data'!$A$1:$A$20000,0),MATCH("Intent",'Semrush Data'!$A$1:$Z$1,0)),"")</f>
        <v/>
      </c>
    </row>
    <row r="3725" customFormat="false" ht="15" hidden="false" customHeight="true" outlineLevel="0" collapsed="false">
      <c r="A3725" s="6" t="s">
        <v>1686</v>
      </c>
      <c r="B3725" s="6" t="s">
        <v>249</v>
      </c>
      <c r="C3725" s="6" t="n">
        <v>3</v>
      </c>
      <c r="D3725" s="6" t="n">
        <v>38</v>
      </c>
      <c r="E3725" s="6" t="n">
        <v>2</v>
      </c>
      <c r="F3725" s="6" t="s">
        <v>6865</v>
      </c>
      <c r="G3725" s="28" t="str">
        <f aca="false">IFERROR(INDEX('Semrush Data'!$A$1:$Z$20000,MATCH(A3725,'Semrush Data'!$A$1:$A$20000,0),MATCH("Volume",'Semrush Data'!$A$1:$Z$1,0)),"")</f>
        <v/>
      </c>
      <c r="H3725" s="6" t="str">
        <f aca="false">IFERROR(INDEX('Semrush Data'!$A$1:$Z$20000,MATCH(A3725,'Semrush Data'!$A$1:$A$20000,0),MATCH("Keyword Difficulty*",'Semrush Data'!$A$1:$Z$1,0)),"")</f>
        <v/>
      </c>
      <c r="I3725" s="29" t="str">
        <f aca="false">IFERROR(INDEX('Semrush Data'!$A$1:$Z$20000,MATCH(A3725,'Semrush Data'!$A$1:$A$20000,0),MATCH("CPC*",'Semrush Data'!$A$1:$Z$1,0)),"")</f>
        <v/>
      </c>
      <c r="J3725" s="6" t="str">
        <f aca="false">IFERROR(INDEX('Semrush Data'!$A$1:$Z$20000,MATCH(A3725,'Semrush Data'!$A$1:$A$20000,0),MATCH("Intent",'Semrush Data'!$A$1:$Z$1,0)),"")</f>
        <v/>
      </c>
    </row>
    <row r="3726" customFormat="false" ht="15" hidden="false" customHeight="true" outlineLevel="0" collapsed="false">
      <c r="A3726" s="6" t="s">
        <v>1752</v>
      </c>
      <c r="B3726" s="6" t="s">
        <v>249</v>
      </c>
      <c r="C3726" s="6" t="n">
        <v>3</v>
      </c>
      <c r="D3726" s="6" t="n">
        <v>38</v>
      </c>
      <c r="E3726" s="6" t="n">
        <v>1</v>
      </c>
      <c r="F3726" s="6" t="s">
        <v>729</v>
      </c>
      <c r="G3726" s="28" t="str">
        <f aca="false">IFERROR(INDEX('Semrush Data'!$A$1:$Z$20000,MATCH(A3726,'Semrush Data'!$A$1:$A$20000,0),MATCH("Volume",'Semrush Data'!$A$1:$Z$1,0)),"")</f>
        <v/>
      </c>
      <c r="H3726" s="6" t="str">
        <f aca="false">IFERROR(INDEX('Semrush Data'!$A$1:$Z$20000,MATCH(A3726,'Semrush Data'!$A$1:$A$20000,0),MATCH("Keyword Difficulty*",'Semrush Data'!$A$1:$Z$1,0)),"")</f>
        <v/>
      </c>
      <c r="I3726" s="29" t="str">
        <f aca="false">IFERROR(INDEX('Semrush Data'!$A$1:$Z$20000,MATCH(A3726,'Semrush Data'!$A$1:$A$20000,0),MATCH("CPC*",'Semrush Data'!$A$1:$Z$1,0)),"")</f>
        <v/>
      </c>
      <c r="J3726" s="6" t="str">
        <f aca="false">IFERROR(INDEX('Semrush Data'!$A$1:$Z$20000,MATCH(A3726,'Semrush Data'!$A$1:$A$20000,0),MATCH("Intent",'Semrush Data'!$A$1:$Z$1,0)),"")</f>
        <v/>
      </c>
    </row>
    <row r="3727" customFormat="false" ht="15" hidden="false" customHeight="true" outlineLevel="0" collapsed="false">
      <c r="A3727" s="6" t="s">
        <v>1555</v>
      </c>
      <c r="B3727" s="6" t="s">
        <v>249</v>
      </c>
      <c r="C3727" s="6" t="n">
        <v>3</v>
      </c>
      <c r="D3727" s="6" t="n">
        <v>38</v>
      </c>
      <c r="E3727" s="6" t="n">
        <v>1</v>
      </c>
      <c r="F3727" s="6" t="s">
        <v>512</v>
      </c>
      <c r="G3727" s="28" t="str">
        <f aca="false">IFERROR(INDEX('Semrush Data'!$A$1:$Z$20000,MATCH(A3727,'Semrush Data'!$A$1:$A$20000,0),MATCH("Volume",'Semrush Data'!$A$1:$Z$1,0)),"")</f>
        <v/>
      </c>
      <c r="H3727" s="6" t="str">
        <f aca="false">IFERROR(INDEX('Semrush Data'!$A$1:$Z$20000,MATCH(A3727,'Semrush Data'!$A$1:$A$20000,0),MATCH("Keyword Difficulty*",'Semrush Data'!$A$1:$Z$1,0)),"")</f>
        <v/>
      </c>
      <c r="I3727" s="29" t="str">
        <f aca="false">IFERROR(INDEX('Semrush Data'!$A$1:$Z$20000,MATCH(A3727,'Semrush Data'!$A$1:$A$20000,0),MATCH("CPC*",'Semrush Data'!$A$1:$Z$1,0)),"")</f>
        <v/>
      </c>
      <c r="J3727" s="6" t="str">
        <f aca="false">IFERROR(INDEX('Semrush Data'!$A$1:$Z$20000,MATCH(A3727,'Semrush Data'!$A$1:$A$20000,0),MATCH("Intent",'Semrush Data'!$A$1:$Z$1,0)),"")</f>
        <v/>
      </c>
    </row>
    <row r="3728" customFormat="false" ht="15" hidden="false" customHeight="true" outlineLevel="0" collapsed="false">
      <c r="A3728" s="6" t="s">
        <v>1695</v>
      </c>
      <c r="B3728" s="6" t="s">
        <v>249</v>
      </c>
      <c r="C3728" s="6" t="n">
        <v>3</v>
      </c>
      <c r="D3728" s="6" t="n">
        <v>38</v>
      </c>
      <c r="E3728" s="6" t="n">
        <v>1</v>
      </c>
      <c r="F3728" s="6" t="s">
        <v>671</v>
      </c>
      <c r="G3728" s="28" t="str">
        <f aca="false">IFERROR(INDEX('Semrush Data'!$A$1:$Z$20000,MATCH(A3728,'Semrush Data'!$A$1:$A$20000,0),MATCH("Volume",'Semrush Data'!$A$1:$Z$1,0)),"")</f>
        <v/>
      </c>
      <c r="H3728" s="6" t="str">
        <f aca="false">IFERROR(INDEX('Semrush Data'!$A$1:$Z$20000,MATCH(A3728,'Semrush Data'!$A$1:$A$20000,0),MATCH("Keyword Difficulty*",'Semrush Data'!$A$1:$Z$1,0)),"")</f>
        <v/>
      </c>
      <c r="I3728" s="29" t="str">
        <f aca="false">IFERROR(INDEX('Semrush Data'!$A$1:$Z$20000,MATCH(A3728,'Semrush Data'!$A$1:$A$20000,0),MATCH("CPC*",'Semrush Data'!$A$1:$Z$1,0)),"")</f>
        <v/>
      </c>
      <c r="J3728" s="6" t="str">
        <f aca="false">IFERROR(INDEX('Semrush Data'!$A$1:$Z$20000,MATCH(A3728,'Semrush Data'!$A$1:$A$20000,0),MATCH("Intent",'Semrush Data'!$A$1:$Z$1,0)),"")</f>
        <v/>
      </c>
    </row>
    <row r="3729" customFormat="false" ht="15" hidden="false" customHeight="true" outlineLevel="0" collapsed="false">
      <c r="A3729" s="6" t="s">
        <v>1562</v>
      </c>
      <c r="B3729" s="6" t="s">
        <v>249</v>
      </c>
      <c r="C3729" s="6" t="n">
        <v>3</v>
      </c>
      <c r="D3729" s="6" t="n">
        <v>38</v>
      </c>
      <c r="E3729" s="6" t="n">
        <v>1</v>
      </c>
      <c r="F3729" s="6" t="s">
        <v>519</v>
      </c>
      <c r="G3729" s="28" t="str">
        <f aca="false">IFERROR(INDEX('Semrush Data'!$A$1:$Z$20000,MATCH(A3729,'Semrush Data'!$A$1:$A$20000,0),MATCH("Volume",'Semrush Data'!$A$1:$Z$1,0)),"")</f>
        <v/>
      </c>
      <c r="H3729" s="6" t="str">
        <f aca="false">IFERROR(INDEX('Semrush Data'!$A$1:$Z$20000,MATCH(A3729,'Semrush Data'!$A$1:$A$20000,0),MATCH("Keyword Difficulty*",'Semrush Data'!$A$1:$Z$1,0)),"")</f>
        <v/>
      </c>
      <c r="I3729" s="29" t="str">
        <f aca="false">IFERROR(INDEX('Semrush Data'!$A$1:$Z$20000,MATCH(A3729,'Semrush Data'!$A$1:$A$20000,0),MATCH("CPC*",'Semrush Data'!$A$1:$Z$1,0)),"")</f>
        <v/>
      </c>
      <c r="J3729" s="6" t="str">
        <f aca="false">IFERROR(INDEX('Semrush Data'!$A$1:$Z$20000,MATCH(A3729,'Semrush Data'!$A$1:$A$20000,0),MATCH("Intent",'Semrush Data'!$A$1:$Z$1,0)),"")</f>
        <v/>
      </c>
    </row>
    <row r="3730" customFormat="false" ht="15" hidden="false" customHeight="true" outlineLevel="0" collapsed="false">
      <c r="A3730" s="6" t="s">
        <v>1480</v>
      </c>
      <c r="B3730" s="6" t="s">
        <v>249</v>
      </c>
      <c r="C3730" s="6" t="n">
        <v>3</v>
      </c>
      <c r="D3730" s="6" t="n">
        <v>38</v>
      </c>
      <c r="E3730" s="6" t="n">
        <v>1</v>
      </c>
      <c r="F3730" s="6" t="s">
        <v>423</v>
      </c>
      <c r="G3730" s="28" t="str">
        <f aca="false">IFERROR(INDEX('Semrush Data'!$A$1:$Z$20000,MATCH(A3730,'Semrush Data'!$A$1:$A$20000,0),MATCH("Volume",'Semrush Data'!$A$1:$Z$1,0)),"")</f>
        <v/>
      </c>
      <c r="H3730" s="6" t="str">
        <f aca="false">IFERROR(INDEX('Semrush Data'!$A$1:$Z$20000,MATCH(A3730,'Semrush Data'!$A$1:$A$20000,0),MATCH("Keyword Difficulty*",'Semrush Data'!$A$1:$Z$1,0)),"")</f>
        <v/>
      </c>
      <c r="I3730" s="29" t="str">
        <f aca="false">IFERROR(INDEX('Semrush Data'!$A$1:$Z$20000,MATCH(A3730,'Semrush Data'!$A$1:$A$20000,0),MATCH("CPC*",'Semrush Data'!$A$1:$Z$1,0)),"")</f>
        <v/>
      </c>
      <c r="J3730" s="6" t="str">
        <f aca="false">IFERROR(INDEX('Semrush Data'!$A$1:$Z$20000,MATCH(A3730,'Semrush Data'!$A$1:$A$20000,0),MATCH("Intent",'Semrush Data'!$A$1:$Z$1,0)),"")</f>
        <v/>
      </c>
    </row>
    <row r="3731" customFormat="false" ht="15" hidden="false" customHeight="true" outlineLevel="0" collapsed="false">
      <c r="A3731" s="6" t="s">
        <v>1701</v>
      </c>
      <c r="B3731" s="6" t="s">
        <v>249</v>
      </c>
      <c r="C3731" s="6" t="n">
        <v>3</v>
      </c>
      <c r="D3731" s="6" t="n">
        <v>38</v>
      </c>
      <c r="E3731" s="6" t="n">
        <v>1</v>
      </c>
      <c r="F3731" s="6" t="s">
        <v>677</v>
      </c>
      <c r="G3731" s="28" t="str">
        <f aca="false">IFERROR(INDEX('Semrush Data'!$A$1:$Z$20000,MATCH(A3731,'Semrush Data'!$A$1:$A$20000,0),MATCH("Volume",'Semrush Data'!$A$1:$Z$1,0)),"")</f>
        <v/>
      </c>
      <c r="H3731" s="6" t="str">
        <f aca="false">IFERROR(INDEX('Semrush Data'!$A$1:$Z$20000,MATCH(A3731,'Semrush Data'!$A$1:$A$20000,0),MATCH("Keyword Difficulty*",'Semrush Data'!$A$1:$Z$1,0)),"")</f>
        <v/>
      </c>
      <c r="I3731" s="29" t="str">
        <f aca="false">IFERROR(INDEX('Semrush Data'!$A$1:$Z$20000,MATCH(A3731,'Semrush Data'!$A$1:$A$20000,0),MATCH("CPC*",'Semrush Data'!$A$1:$Z$1,0)),"")</f>
        <v/>
      </c>
      <c r="J3731" s="6" t="str">
        <f aca="false">IFERROR(INDEX('Semrush Data'!$A$1:$Z$20000,MATCH(A3731,'Semrush Data'!$A$1:$A$20000,0),MATCH("Intent",'Semrush Data'!$A$1:$Z$1,0)),"")</f>
        <v/>
      </c>
    </row>
    <row r="3732" customFormat="false" ht="15" hidden="false" customHeight="true" outlineLevel="0" collapsed="false">
      <c r="A3732" s="6" t="s">
        <v>1708</v>
      </c>
      <c r="B3732" s="6" t="s">
        <v>249</v>
      </c>
      <c r="C3732" s="6" t="n">
        <v>3</v>
      </c>
      <c r="D3732" s="6" t="n">
        <v>38</v>
      </c>
      <c r="E3732" s="6" t="n">
        <v>1</v>
      </c>
      <c r="F3732" s="6" t="s">
        <v>683</v>
      </c>
      <c r="G3732" s="28" t="str">
        <f aca="false">IFERROR(INDEX('Semrush Data'!$A$1:$Z$20000,MATCH(A3732,'Semrush Data'!$A$1:$A$20000,0),MATCH("Volume",'Semrush Data'!$A$1:$Z$1,0)),"")</f>
        <v/>
      </c>
      <c r="H3732" s="6" t="str">
        <f aca="false">IFERROR(INDEX('Semrush Data'!$A$1:$Z$20000,MATCH(A3732,'Semrush Data'!$A$1:$A$20000,0),MATCH("Keyword Difficulty*",'Semrush Data'!$A$1:$Z$1,0)),"")</f>
        <v/>
      </c>
      <c r="I3732" s="29" t="str">
        <f aca="false">IFERROR(INDEX('Semrush Data'!$A$1:$Z$20000,MATCH(A3732,'Semrush Data'!$A$1:$A$20000,0),MATCH("CPC*",'Semrush Data'!$A$1:$Z$1,0)),"")</f>
        <v/>
      </c>
      <c r="J3732" s="6" t="str">
        <f aca="false">IFERROR(INDEX('Semrush Data'!$A$1:$Z$20000,MATCH(A3732,'Semrush Data'!$A$1:$A$20000,0),MATCH("Intent",'Semrush Data'!$A$1:$Z$1,0)),"")</f>
        <v/>
      </c>
    </row>
    <row r="3733" customFormat="false" ht="15" hidden="false" customHeight="true" outlineLevel="0" collapsed="false">
      <c r="A3733" s="6" t="s">
        <v>1794</v>
      </c>
      <c r="B3733" s="6" t="s">
        <v>249</v>
      </c>
      <c r="C3733" s="6" t="n">
        <v>3</v>
      </c>
      <c r="D3733" s="6" t="n">
        <v>38</v>
      </c>
      <c r="E3733" s="6" t="n">
        <v>1</v>
      </c>
      <c r="F3733" s="6" t="s">
        <v>768</v>
      </c>
      <c r="G3733" s="28" t="str">
        <f aca="false">IFERROR(INDEX('Semrush Data'!$A$1:$Z$20000,MATCH(A3733,'Semrush Data'!$A$1:$A$20000,0),MATCH("Volume",'Semrush Data'!$A$1:$Z$1,0)),"")</f>
        <v/>
      </c>
      <c r="H3733" s="6" t="str">
        <f aca="false">IFERROR(INDEX('Semrush Data'!$A$1:$Z$20000,MATCH(A3733,'Semrush Data'!$A$1:$A$20000,0),MATCH("Keyword Difficulty*",'Semrush Data'!$A$1:$Z$1,0)),"")</f>
        <v/>
      </c>
      <c r="I3733" s="29" t="str">
        <f aca="false">IFERROR(INDEX('Semrush Data'!$A$1:$Z$20000,MATCH(A3733,'Semrush Data'!$A$1:$A$20000,0),MATCH("CPC*",'Semrush Data'!$A$1:$Z$1,0)),"")</f>
        <v/>
      </c>
      <c r="J3733" s="6" t="str">
        <f aca="false">IFERROR(INDEX('Semrush Data'!$A$1:$Z$20000,MATCH(A3733,'Semrush Data'!$A$1:$A$20000,0),MATCH("Intent",'Semrush Data'!$A$1:$Z$1,0)),"")</f>
        <v/>
      </c>
    </row>
    <row r="3734" customFormat="false" ht="15" hidden="false" customHeight="true" outlineLevel="0" collapsed="false">
      <c r="A3734" s="6" t="s">
        <v>1758</v>
      </c>
      <c r="B3734" s="6" t="s">
        <v>249</v>
      </c>
      <c r="C3734" s="6" t="n">
        <v>3</v>
      </c>
      <c r="D3734" s="6" t="n">
        <v>38</v>
      </c>
      <c r="E3734" s="6" t="n">
        <v>1</v>
      </c>
      <c r="F3734" s="6" t="s">
        <v>734</v>
      </c>
      <c r="G3734" s="28" t="str">
        <f aca="false">IFERROR(INDEX('Semrush Data'!$A$1:$Z$20000,MATCH(A3734,'Semrush Data'!$A$1:$A$20000,0),MATCH("Volume",'Semrush Data'!$A$1:$Z$1,0)),"")</f>
        <v/>
      </c>
      <c r="H3734" s="6" t="str">
        <f aca="false">IFERROR(INDEX('Semrush Data'!$A$1:$Z$20000,MATCH(A3734,'Semrush Data'!$A$1:$A$20000,0),MATCH("Keyword Difficulty*",'Semrush Data'!$A$1:$Z$1,0)),"")</f>
        <v/>
      </c>
      <c r="I3734" s="29" t="str">
        <f aca="false">IFERROR(INDEX('Semrush Data'!$A$1:$Z$20000,MATCH(A3734,'Semrush Data'!$A$1:$A$20000,0),MATCH("CPC*",'Semrush Data'!$A$1:$Z$1,0)),"")</f>
        <v/>
      </c>
      <c r="J3734" s="6" t="str">
        <f aca="false">IFERROR(INDEX('Semrush Data'!$A$1:$Z$20000,MATCH(A3734,'Semrush Data'!$A$1:$A$20000,0),MATCH("Intent",'Semrush Data'!$A$1:$Z$1,0)),"")</f>
        <v/>
      </c>
    </row>
    <row r="3735" customFormat="false" ht="15" hidden="false" customHeight="true" outlineLevel="0" collapsed="false">
      <c r="A3735" s="6" t="s">
        <v>1830</v>
      </c>
      <c r="B3735" s="6" t="s">
        <v>249</v>
      </c>
      <c r="C3735" s="6" t="n">
        <v>3</v>
      </c>
      <c r="D3735" s="6" t="n">
        <v>38</v>
      </c>
      <c r="E3735" s="6" t="n">
        <v>1</v>
      </c>
      <c r="F3735" s="6" t="s">
        <v>802</v>
      </c>
      <c r="G3735" s="28" t="str">
        <f aca="false">IFERROR(INDEX('Semrush Data'!$A$1:$Z$20000,MATCH(A3735,'Semrush Data'!$A$1:$A$20000,0),MATCH("Volume",'Semrush Data'!$A$1:$Z$1,0)),"")</f>
        <v/>
      </c>
      <c r="H3735" s="6" t="str">
        <f aca="false">IFERROR(INDEX('Semrush Data'!$A$1:$Z$20000,MATCH(A3735,'Semrush Data'!$A$1:$A$20000,0),MATCH("Keyword Difficulty*",'Semrush Data'!$A$1:$Z$1,0)),"")</f>
        <v/>
      </c>
      <c r="I3735" s="29" t="str">
        <f aca="false">IFERROR(INDEX('Semrush Data'!$A$1:$Z$20000,MATCH(A3735,'Semrush Data'!$A$1:$A$20000,0),MATCH("CPC*",'Semrush Data'!$A$1:$Z$1,0)),"")</f>
        <v/>
      </c>
      <c r="J3735" s="6" t="str">
        <f aca="false">IFERROR(INDEX('Semrush Data'!$A$1:$Z$20000,MATCH(A3735,'Semrush Data'!$A$1:$A$20000,0),MATCH("Intent",'Semrush Data'!$A$1:$Z$1,0)),"")</f>
        <v/>
      </c>
    </row>
    <row r="3736" customFormat="false" ht="15" hidden="false" customHeight="true" outlineLevel="0" collapsed="false">
      <c r="A3736" s="6" t="s">
        <v>1508</v>
      </c>
      <c r="B3736" s="6" t="s">
        <v>249</v>
      </c>
      <c r="C3736" s="6" t="n">
        <v>3</v>
      </c>
      <c r="D3736" s="6" t="n">
        <v>38</v>
      </c>
      <c r="E3736" s="6" t="n">
        <v>1</v>
      </c>
      <c r="F3736" s="6" t="s">
        <v>454</v>
      </c>
      <c r="G3736" s="28" t="str">
        <f aca="false">IFERROR(INDEX('Semrush Data'!$A$1:$Z$20000,MATCH(A3736,'Semrush Data'!$A$1:$A$20000,0),MATCH("Volume",'Semrush Data'!$A$1:$Z$1,0)),"")</f>
        <v/>
      </c>
      <c r="H3736" s="6" t="str">
        <f aca="false">IFERROR(INDEX('Semrush Data'!$A$1:$Z$20000,MATCH(A3736,'Semrush Data'!$A$1:$A$20000,0),MATCH("Keyword Difficulty*",'Semrush Data'!$A$1:$Z$1,0)),"")</f>
        <v/>
      </c>
      <c r="I3736" s="29" t="str">
        <f aca="false">IFERROR(INDEX('Semrush Data'!$A$1:$Z$20000,MATCH(A3736,'Semrush Data'!$A$1:$A$20000,0),MATCH("CPC*",'Semrush Data'!$A$1:$Z$1,0)),"")</f>
        <v/>
      </c>
      <c r="J3736" s="6" t="str">
        <f aca="false">IFERROR(INDEX('Semrush Data'!$A$1:$Z$20000,MATCH(A3736,'Semrush Data'!$A$1:$A$20000,0),MATCH("Intent",'Semrush Data'!$A$1:$Z$1,0)),"")</f>
        <v/>
      </c>
    </row>
    <row r="3737" customFormat="false" ht="15" hidden="false" customHeight="true" outlineLevel="0" collapsed="false">
      <c r="A3737" s="6" t="s">
        <v>1438</v>
      </c>
      <c r="B3737" s="6" t="s">
        <v>249</v>
      </c>
      <c r="C3737" s="6" t="n">
        <v>3</v>
      </c>
      <c r="D3737" s="6" t="n">
        <v>38</v>
      </c>
      <c r="E3737" s="6" t="n">
        <v>1</v>
      </c>
      <c r="F3737" s="6" t="s">
        <v>372</v>
      </c>
      <c r="G3737" s="28" t="str">
        <f aca="false">IFERROR(INDEX('Semrush Data'!$A$1:$Z$20000,MATCH(A3737,'Semrush Data'!$A$1:$A$20000,0),MATCH("Volume",'Semrush Data'!$A$1:$Z$1,0)),"")</f>
        <v/>
      </c>
      <c r="H3737" s="6" t="str">
        <f aca="false">IFERROR(INDEX('Semrush Data'!$A$1:$Z$20000,MATCH(A3737,'Semrush Data'!$A$1:$A$20000,0),MATCH("Keyword Difficulty*",'Semrush Data'!$A$1:$Z$1,0)),"")</f>
        <v/>
      </c>
      <c r="I3737" s="29" t="str">
        <f aca="false">IFERROR(INDEX('Semrush Data'!$A$1:$Z$20000,MATCH(A3737,'Semrush Data'!$A$1:$A$20000,0),MATCH("CPC*",'Semrush Data'!$A$1:$Z$1,0)),"")</f>
        <v/>
      </c>
      <c r="J3737" s="6" t="str">
        <f aca="false">IFERROR(INDEX('Semrush Data'!$A$1:$Z$20000,MATCH(A3737,'Semrush Data'!$A$1:$A$20000,0),MATCH("Intent",'Semrush Data'!$A$1:$Z$1,0)),"")</f>
        <v/>
      </c>
    </row>
    <row r="3738" customFormat="false" ht="15" hidden="false" customHeight="true" outlineLevel="0" collapsed="false">
      <c r="A3738" s="6" t="s">
        <v>1764</v>
      </c>
      <c r="B3738" s="6" t="s">
        <v>249</v>
      </c>
      <c r="C3738" s="6" t="n">
        <v>3</v>
      </c>
      <c r="D3738" s="6" t="n">
        <v>38</v>
      </c>
      <c r="E3738" s="6" t="n">
        <v>1</v>
      </c>
      <c r="F3738" s="6" t="s">
        <v>740</v>
      </c>
      <c r="G3738" s="28" t="str">
        <f aca="false">IFERROR(INDEX('Semrush Data'!$A$1:$Z$20000,MATCH(A3738,'Semrush Data'!$A$1:$A$20000,0),MATCH("Volume",'Semrush Data'!$A$1:$Z$1,0)),"")</f>
        <v/>
      </c>
      <c r="H3738" s="6" t="str">
        <f aca="false">IFERROR(INDEX('Semrush Data'!$A$1:$Z$20000,MATCH(A3738,'Semrush Data'!$A$1:$A$20000,0),MATCH("Keyword Difficulty*",'Semrush Data'!$A$1:$Z$1,0)),"")</f>
        <v/>
      </c>
      <c r="I3738" s="29" t="str">
        <f aca="false">IFERROR(INDEX('Semrush Data'!$A$1:$Z$20000,MATCH(A3738,'Semrush Data'!$A$1:$A$20000,0),MATCH("CPC*",'Semrush Data'!$A$1:$Z$1,0)),"")</f>
        <v/>
      </c>
      <c r="J3738" s="6" t="str">
        <f aca="false">IFERROR(INDEX('Semrush Data'!$A$1:$Z$20000,MATCH(A3738,'Semrush Data'!$A$1:$A$20000,0),MATCH("Intent",'Semrush Data'!$A$1:$Z$1,0)),"")</f>
        <v/>
      </c>
    </row>
    <row r="3739" customFormat="false" ht="15" hidden="false" customHeight="true" outlineLevel="0" collapsed="false">
      <c r="A3739" s="6" t="s">
        <v>1884</v>
      </c>
      <c r="B3739" s="6" t="s">
        <v>249</v>
      </c>
      <c r="C3739" s="6" t="n">
        <v>3</v>
      </c>
      <c r="D3739" s="6" t="n">
        <v>38</v>
      </c>
      <c r="E3739" s="6" t="n">
        <v>1</v>
      </c>
      <c r="F3739" s="6" t="s">
        <v>851</v>
      </c>
      <c r="G3739" s="28" t="str">
        <f aca="false">IFERROR(INDEX('Semrush Data'!$A$1:$Z$20000,MATCH(A3739,'Semrush Data'!$A$1:$A$20000,0),MATCH("Volume",'Semrush Data'!$A$1:$Z$1,0)),"")</f>
        <v/>
      </c>
      <c r="H3739" s="6" t="str">
        <f aca="false">IFERROR(INDEX('Semrush Data'!$A$1:$Z$20000,MATCH(A3739,'Semrush Data'!$A$1:$A$20000,0),MATCH("Keyword Difficulty*",'Semrush Data'!$A$1:$Z$1,0)),"")</f>
        <v/>
      </c>
      <c r="I3739" s="29" t="str">
        <f aca="false">IFERROR(INDEX('Semrush Data'!$A$1:$Z$20000,MATCH(A3739,'Semrush Data'!$A$1:$A$20000,0),MATCH("CPC*",'Semrush Data'!$A$1:$Z$1,0)),"")</f>
        <v/>
      </c>
      <c r="J3739" s="6" t="str">
        <f aca="false">IFERROR(INDEX('Semrush Data'!$A$1:$Z$20000,MATCH(A3739,'Semrush Data'!$A$1:$A$20000,0),MATCH("Intent",'Semrush Data'!$A$1:$Z$1,0)),"")</f>
        <v/>
      </c>
    </row>
    <row r="3740" customFormat="false" ht="15" hidden="false" customHeight="true" outlineLevel="0" collapsed="false">
      <c r="A3740" s="6" t="s">
        <v>1788</v>
      </c>
      <c r="B3740" s="6" t="s">
        <v>249</v>
      </c>
      <c r="C3740" s="6" t="n">
        <v>3</v>
      </c>
      <c r="D3740" s="6" t="n">
        <v>38</v>
      </c>
      <c r="E3740" s="6" t="n">
        <v>1</v>
      </c>
      <c r="F3740" s="6" t="s">
        <v>763</v>
      </c>
      <c r="G3740" s="28" t="str">
        <f aca="false">IFERROR(INDEX('Semrush Data'!$A$1:$Z$20000,MATCH(A3740,'Semrush Data'!$A$1:$A$20000,0),MATCH("Volume",'Semrush Data'!$A$1:$Z$1,0)),"")</f>
        <v/>
      </c>
      <c r="H3740" s="6" t="str">
        <f aca="false">IFERROR(INDEX('Semrush Data'!$A$1:$Z$20000,MATCH(A3740,'Semrush Data'!$A$1:$A$20000,0),MATCH("Keyword Difficulty*",'Semrush Data'!$A$1:$Z$1,0)),"")</f>
        <v/>
      </c>
      <c r="I3740" s="29" t="str">
        <f aca="false">IFERROR(INDEX('Semrush Data'!$A$1:$Z$20000,MATCH(A3740,'Semrush Data'!$A$1:$A$20000,0),MATCH("CPC*",'Semrush Data'!$A$1:$Z$1,0)),"")</f>
        <v/>
      </c>
      <c r="J3740" s="6" t="str">
        <f aca="false">IFERROR(INDEX('Semrush Data'!$A$1:$Z$20000,MATCH(A3740,'Semrush Data'!$A$1:$A$20000,0),MATCH("Intent",'Semrush Data'!$A$1:$Z$1,0)),"")</f>
        <v/>
      </c>
    </row>
    <row r="3741" customFormat="false" ht="15" hidden="false" customHeight="true" outlineLevel="0" collapsed="false">
      <c r="A3741" s="6" t="s">
        <v>1472</v>
      </c>
      <c r="B3741" s="6" t="s">
        <v>249</v>
      </c>
      <c r="C3741" s="6" t="n">
        <v>3</v>
      </c>
      <c r="D3741" s="6" t="n">
        <v>38</v>
      </c>
      <c r="E3741" s="6" t="n">
        <v>1</v>
      </c>
      <c r="F3741" s="6" t="s">
        <v>413</v>
      </c>
      <c r="G3741" s="28" t="str">
        <f aca="false">IFERROR(INDEX('Semrush Data'!$A$1:$Z$20000,MATCH(A3741,'Semrush Data'!$A$1:$A$20000,0),MATCH("Volume",'Semrush Data'!$A$1:$Z$1,0)),"")</f>
        <v/>
      </c>
      <c r="H3741" s="6" t="str">
        <f aca="false">IFERROR(INDEX('Semrush Data'!$A$1:$Z$20000,MATCH(A3741,'Semrush Data'!$A$1:$A$20000,0),MATCH("Keyword Difficulty*",'Semrush Data'!$A$1:$Z$1,0)),"")</f>
        <v/>
      </c>
      <c r="I3741" s="29" t="str">
        <f aca="false">IFERROR(INDEX('Semrush Data'!$A$1:$Z$20000,MATCH(A3741,'Semrush Data'!$A$1:$A$20000,0),MATCH("CPC*",'Semrush Data'!$A$1:$Z$1,0)),"")</f>
        <v/>
      </c>
      <c r="J3741" s="6" t="str">
        <f aca="false">IFERROR(INDEX('Semrush Data'!$A$1:$Z$20000,MATCH(A3741,'Semrush Data'!$A$1:$A$20000,0),MATCH("Intent",'Semrush Data'!$A$1:$Z$1,0)),"")</f>
        <v/>
      </c>
    </row>
    <row r="3742" customFormat="false" ht="15" hidden="false" customHeight="true" outlineLevel="0" collapsed="false">
      <c r="A3742" s="6" t="s">
        <v>1902</v>
      </c>
      <c r="B3742" s="6" t="s">
        <v>249</v>
      </c>
      <c r="C3742" s="6" t="n">
        <v>3</v>
      </c>
      <c r="D3742" s="6" t="n">
        <v>38</v>
      </c>
      <c r="E3742" s="6" t="n">
        <v>1</v>
      </c>
      <c r="F3742" s="6" t="s">
        <v>868</v>
      </c>
      <c r="G3742" s="28" t="str">
        <f aca="false">IFERROR(INDEX('Semrush Data'!$A$1:$Z$20000,MATCH(A3742,'Semrush Data'!$A$1:$A$20000,0),MATCH("Volume",'Semrush Data'!$A$1:$Z$1,0)),"")</f>
        <v/>
      </c>
      <c r="H3742" s="6" t="str">
        <f aca="false">IFERROR(INDEX('Semrush Data'!$A$1:$Z$20000,MATCH(A3742,'Semrush Data'!$A$1:$A$20000,0),MATCH("Keyword Difficulty*",'Semrush Data'!$A$1:$Z$1,0)),"")</f>
        <v/>
      </c>
      <c r="I3742" s="29" t="str">
        <f aca="false">IFERROR(INDEX('Semrush Data'!$A$1:$Z$20000,MATCH(A3742,'Semrush Data'!$A$1:$A$20000,0),MATCH("CPC*",'Semrush Data'!$A$1:$Z$1,0)),"")</f>
        <v/>
      </c>
      <c r="J3742" s="6" t="str">
        <f aca="false">IFERROR(INDEX('Semrush Data'!$A$1:$Z$20000,MATCH(A3742,'Semrush Data'!$A$1:$A$20000,0),MATCH("Intent",'Semrush Data'!$A$1:$Z$1,0)),"")</f>
        <v/>
      </c>
    </row>
    <row r="3743" customFormat="false" ht="15" hidden="false" customHeight="true" outlineLevel="0" collapsed="false">
      <c r="A3743" s="6" t="s">
        <v>1824</v>
      </c>
      <c r="B3743" s="6" t="s">
        <v>249</v>
      </c>
      <c r="C3743" s="6" t="n">
        <v>3</v>
      </c>
      <c r="D3743" s="6" t="n">
        <v>38</v>
      </c>
      <c r="E3743" s="6" t="n">
        <v>1</v>
      </c>
      <c r="F3743" s="6" t="s">
        <v>796</v>
      </c>
      <c r="G3743" s="28" t="str">
        <f aca="false">IFERROR(INDEX('Semrush Data'!$A$1:$Z$20000,MATCH(A3743,'Semrush Data'!$A$1:$A$20000,0),MATCH("Volume",'Semrush Data'!$A$1:$Z$1,0)),"")</f>
        <v/>
      </c>
      <c r="H3743" s="6" t="str">
        <f aca="false">IFERROR(INDEX('Semrush Data'!$A$1:$Z$20000,MATCH(A3743,'Semrush Data'!$A$1:$A$20000,0),MATCH("Keyword Difficulty*",'Semrush Data'!$A$1:$Z$1,0)),"")</f>
        <v/>
      </c>
      <c r="I3743" s="29" t="str">
        <f aca="false">IFERROR(INDEX('Semrush Data'!$A$1:$Z$20000,MATCH(A3743,'Semrush Data'!$A$1:$A$20000,0),MATCH("CPC*",'Semrush Data'!$A$1:$Z$1,0)),"")</f>
        <v/>
      </c>
      <c r="J3743" s="6" t="str">
        <f aca="false">IFERROR(INDEX('Semrush Data'!$A$1:$Z$20000,MATCH(A3743,'Semrush Data'!$A$1:$A$20000,0),MATCH("Intent",'Semrush Data'!$A$1:$Z$1,0)),"")</f>
        <v/>
      </c>
    </row>
    <row r="3744" customFormat="false" ht="15" hidden="false" customHeight="true" outlineLevel="0" collapsed="false">
      <c r="A3744" s="6" t="s">
        <v>1872</v>
      </c>
      <c r="B3744" s="6" t="s">
        <v>249</v>
      </c>
      <c r="C3744" s="6" t="n">
        <v>3</v>
      </c>
      <c r="D3744" s="6" t="n">
        <v>38</v>
      </c>
      <c r="E3744" s="6" t="n">
        <v>1</v>
      </c>
      <c r="F3744" s="6" t="s">
        <v>841</v>
      </c>
      <c r="G3744" s="28" t="str">
        <f aca="false">IFERROR(INDEX('Semrush Data'!$A$1:$Z$20000,MATCH(A3744,'Semrush Data'!$A$1:$A$20000,0),MATCH("Volume",'Semrush Data'!$A$1:$Z$1,0)),"")</f>
        <v/>
      </c>
      <c r="H3744" s="6" t="str">
        <f aca="false">IFERROR(INDEX('Semrush Data'!$A$1:$Z$20000,MATCH(A3744,'Semrush Data'!$A$1:$A$20000,0),MATCH("Keyword Difficulty*",'Semrush Data'!$A$1:$Z$1,0)),"")</f>
        <v/>
      </c>
      <c r="I3744" s="29" t="str">
        <f aca="false">IFERROR(INDEX('Semrush Data'!$A$1:$Z$20000,MATCH(A3744,'Semrush Data'!$A$1:$A$20000,0),MATCH("CPC*",'Semrush Data'!$A$1:$Z$1,0)),"")</f>
        <v/>
      </c>
      <c r="J3744" s="6" t="str">
        <f aca="false">IFERROR(INDEX('Semrush Data'!$A$1:$Z$20000,MATCH(A3744,'Semrush Data'!$A$1:$A$20000,0),MATCH("Intent",'Semrush Data'!$A$1:$Z$1,0)),"")</f>
        <v/>
      </c>
    </row>
    <row r="3745" customFormat="false" ht="15" hidden="false" customHeight="true" outlineLevel="0" collapsed="false">
      <c r="A3745" s="6" t="s">
        <v>1782</v>
      </c>
      <c r="B3745" s="6" t="s">
        <v>249</v>
      </c>
      <c r="C3745" s="6" t="n">
        <v>3</v>
      </c>
      <c r="D3745" s="6" t="n">
        <v>38</v>
      </c>
      <c r="E3745" s="6" t="n">
        <v>1</v>
      </c>
      <c r="F3745" s="6" t="s">
        <v>758</v>
      </c>
      <c r="G3745" s="28" t="str">
        <f aca="false">IFERROR(INDEX('Semrush Data'!$A$1:$Z$20000,MATCH(A3745,'Semrush Data'!$A$1:$A$20000,0),MATCH("Volume",'Semrush Data'!$A$1:$Z$1,0)),"")</f>
        <v/>
      </c>
      <c r="H3745" s="6" t="str">
        <f aca="false">IFERROR(INDEX('Semrush Data'!$A$1:$Z$20000,MATCH(A3745,'Semrush Data'!$A$1:$A$20000,0),MATCH("Keyword Difficulty*",'Semrush Data'!$A$1:$Z$1,0)),"")</f>
        <v/>
      </c>
      <c r="I3745" s="29" t="str">
        <f aca="false">IFERROR(INDEX('Semrush Data'!$A$1:$Z$20000,MATCH(A3745,'Semrush Data'!$A$1:$A$20000,0),MATCH("CPC*",'Semrush Data'!$A$1:$Z$1,0)),"")</f>
        <v/>
      </c>
      <c r="J3745" s="6" t="str">
        <f aca="false">IFERROR(INDEX('Semrush Data'!$A$1:$Z$20000,MATCH(A3745,'Semrush Data'!$A$1:$A$20000,0),MATCH("Intent",'Semrush Data'!$A$1:$Z$1,0)),"")</f>
        <v/>
      </c>
    </row>
    <row r="3746" customFormat="false" ht="15" hidden="false" customHeight="true" outlineLevel="0" collapsed="false">
      <c r="A3746" s="6" t="s">
        <v>1818</v>
      </c>
      <c r="B3746" s="6" t="s">
        <v>249</v>
      </c>
      <c r="C3746" s="6" t="n">
        <v>3</v>
      </c>
      <c r="D3746" s="6" t="n">
        <v>38</v>
      </c>
      <c r="E3746" s="6" t="n">
        <v>1</v>
      </c>
      <c r="F3746" s="6" t="s">
        <v>790</v>
      </c>
      <c r="G3746" s="28" t="str">
        <f aca="false">IFERROR(INDEX('Semrush Data'!$A$1:$Z$20000,MATCH(A3746,'Semrush Data'!$A$1:$A$20000,0),MATCH("Volume",'Semrush Data'!$A$1:$Z$1,0)),"")</f>
        <v/>
      </c>
      <c r="H3746" s="6" t="str">
        <f aca="false">IFERROR(INDEX('Semrush Data'!$A$1:$Z$20000,MATCH(A3746,'Semrush Data'!$A$1:$A$20000,0),MATCH("Keyword Difficulty*",'Semrush Data'!$A$1:$Z$1,0)),"")</f>
        <v/>
      </c>
      <c r="I3746" s="29" t="str">
        <f aca="false">IFERROR(INDEX('Semrush Data'!$A$1:$Z$20000,MATCH(A3746,'Semrush Data'!$A$1:$A$20000,0),MATCH("CPC*",'Semrush Data'!$A$1:$Z$1,0)),"")</f>
        <v/>
      </c>
      <c r="J3746" s="6" t="str">
        <f aca="false">IFERROR(INDEX('Semrush Data'!$A$1:$Z$20000,MATCH(A3746,'Semrush Data'!$A$1:$A$20000,0),MATCH("Intent",'Semrush Data'!$A$1:$Z$1,0)),"")</f>
        <v/>
      </c>
    </row>
    <row r="3747" customFormat="false" ht="15" hidden="false" customHeight="true" outlineLevel="0" collapsed="false">
      <c r="A3747" s="6" t="s">
        <v>1866</v>
      </c>
      <c r="B3747" s="6" t="s">
        <v>249</v>
      </c>
      <c r="C3747" s="6" t="n">
        <v>3</v>
      </c>
      <c r="D3747" s="6" t="n">
        <v>38</v>
      </c>
      <c r="E3747" s="6" t="n">
        <v>1</v>
      </c>
      <c r="F3747" s="6" t="s">
        <v>835</v>
      </c>
      <c r="G3747" s="28" t="str">
        <f aca="false">IFERROR(INDEX('Semrush Data'!$A$1:$Z$20000,MATCH(A3747,'Semrush Data'!$A$1:$A$20000,0),MATCH("Volume",'Semrush Data'!$A$1:$Z$1,0)),"")</f>
        <v/>
      </c>
      <c r="H3747" s="6" t="str">
        <f aca="false">IFERROR(INDEX('Semrush Data'!$A$1:$Z$20000,MATCH(A3747,'Semrush Data'!$A$1:$A$20000,0),MATCH("Keyword Difficulty*",'Semrush Data'!$A$1:$Z$1,0)),"")</f>
        <v/>
      </c>
      <c r="I3747" s="29" t="str">
        <f aca="false">IFERROR(INDEX('Semrush Data'!$A$1:$Z$20000,MATCH(A3747,'Semrush Data'!$A$1:$A$20000,0),MATCH("CPC*",'Semrush Data'!$A$1:$Z$1,0)),"")</f>
        <v/>
      </c>
      <c r="J3747" s="6" t="str">
        <f aca="false">IFERROR(INDEX('Semrush Data'!$A$1:$Z$20000,MATCH(A3747,'Semrush Data'!$A$1:$A$20000,0),MATCH("Intent",'Semrush Data'!$A$1:$Z$1,0)),"")</f>
        <v/>
      </c>
    </row>
    <row r="3748" customFormat="false" ht="15" hidden="false" customHeight="true" outlineLevel="0" collapsed="false">
      <c r="A3748" s="6" t="s">
        <v>1487</v>
      </c>
      <c r="B3748" s="6" t="s">
        <v>249</v>
      </c>
      <c r="C3748" s="6" t="n">
        <v>3</v>
      </c>
      <c r="D3748" s="6" t="n">
        <v>38</v>
      </c>
      <c r="E3748" s="6" t="n">
        <v>1</v>
      </c>
      <c r="F3748" s="6" t="s">
        <v>432</v>
      </c>
      <c r="G3748" s="28" t="str">
        <f aca="false">IFERROR(INDEX('Semrush Data'!$A$1:$Z$20000,MATCH(A3748,'Semrush Data'!$A$1:$A$20000,0),MATCH("Volume",'Semrush Data'!$A$1:$Z$1,0)),"")</f>
        <v/>
      </c>
      <c r="H3748" s="6" t="str">
        <f aca="false">IFERROR(INDEX('Semrush Data'!$A$1:$Z$20000,MATCH(A3748,'Semrush Data'!$A$1:$A$20000,0),MATCH("Keyword Difficulty*",'Semrush Data'!$A$1:$Z$1,0)),"")</f>
        <v/>
      </c>
      <c r="I3748" s="29" t="str">
        <f aca="false">IFERROR(INDEX('Semrush Data'!$A$1:$Z$20000,MATCH(A3748,'Semrush Data'!$A$1:$A$20000,0),MATCH("CPC*",'Semrush Data'!$A$1:$Z$1,0)),"")</f>
        <v/>
      </c>
      <c r="J3748" s="6" t="str">
        <f aca="false">IFERROR(INDEX('Semrush Data'!$A$1:$Z$20000,MATCH(A3748,'Semrush Data'!$A$1:$A$20000,0),MATCH("Intent",'Semrush Data'!$A$1:$Z$1,0)),"")</f>
        <v/>
      </c>
    </row>
    <row r="3749" customFormat="false" ht="15" hidden="false" customHeight="true" outlineLevel="0" collapsed="false">
      <c r="A3749" s="6" t="s">
        <v>1713</v>
      </c>
      <c r="B3749" s="6" t="s">
        <v>249</v>
      </c>
      <c r="C3749" s="6" t="n">
        <v>3</v>
      </c>
      <c r="D3749" s="6" t="n">
        <v>38</v>
      </c>
      <c r="E3749" s="6" t="n">
        <v>1</v>
      </c>
      <c r="F3749" s="6" t="s">
        <v>689</v>
      </c>
      <c r="G3749" s="28" t="str">
        <f aca="false">IFERROR(INDEX('Semrush Data'!$A$1:$Z$20000,MATCH(A3749,'Semrush Data'!$A$1:$A$20000,0),MATCH("Volume",'Semrush Data'!$A$1:$Z$1,0)),"")</f>
        <v/>
      </c>
      <c r="H3749" s="6" t="str">
        <f aca="false">IFERROR(INDEX('Semrush Data'!$A$1:$Z$20000,MATCH(A3749,'Semrush Data'!$A$1:$A$20000,0),MATCH("Keyword Difficulty*",'Semrush Data'!$A$1:$Z$1,0)),"")</f>
        <v/>
      </c>
      <c r="I3749" s="29" t="str">
        <f aca="false">IFERROR(INDEX('Semrush Data'!$A$1:$Z$20000,MATCH(A3749,'Semrush Data'!$A$1:$A$20000,0),MATCH("CPC*",'Semrush Data'!$A$1:$Z$1,0)),"")</f>
        <v/>
      </c>
      <c r="J3749" s="6" t="str">
        <f aca="false">IFERROR(INDEX('Semrush Data'!$A$1:$Z$20000,MATCH(A3749,'Semrush Data'!$A$1:$A$20000,0),MATCH("Intent",'Semrush Data'!$A$1:$Z$1,0)),"")</f>
        <v/>
      </c>
    </row>
    <row r="3750" customFormat="false" ht="15" hidden="false" customHeight="true" outlineLevel="0" collapsed="false">
      <c r="A3750" s="6" t="s">
        <v>1570</v>
      </c>
      <c r="B3750" s="6" t="s">
        <v>249</v>
      </c>
      <c r="C3750" s="6" t="n">
        <v>3</v>
      </c>
      <c r="D3750" s="6" t="n">
        <v>38</v>
      </c>
      <c r="E3750" s="6" t="n">
        <v>1</v>
      </c>
      <c r="F3750" s="6" t="s">
        <v>528</v>
      </c>
      <c r="G3750" s="28" t="str">
        <f aca="false">IFERROR(INDEX('Semrush Data'!$A$1:$Z$20000,MATCH(A3750,'Semrush Data'!$A$1:$A$20000,0),MATCH("Volume",'Semrush Data'!$A$1:$Z$1,0)),"")</f>
        <v/>
      </c>
      <c r="H3750" s="6" t="str">
        <f aca="false">IFERROR(INDEX('Semrush Data'!$A$1:$Z$20000,MATCH(A3750,'Semrush Data'!$A$1:$A$20000,0),MATCH("Keyword Difficulty*",'Semrush Data'!$A$1:$Z$1,0)),"")</f>
        <v/>
      </c>
      <c r="I3750" s="29" t="str">
        <f aca="false">IFERROR(INDEX('Semrush Data'!$A$1:$Z$20000,MATCH(A3750,'Semrush Data'!$A$1:$A$20000,0),MATCH("CPC*",'Semrush Data'!$A$1:$Z$1,0)),"")</f>
        <v/>
      </c>
      <c r="J3750" s="6" t="str">
        <f aca="false">IFERROR(INDEX('Semrush Data'!$A$1:$Z$20000,MATCH(A3750,'Semrush Data'!$A$1:$A$20000,0),MATCH("Intent",'Semrush Data'!$A$1:$Z$1,0)),"")</f>
        <v/>
      </c>
    </row>
    <row r="3751" customFormat="false" ht="15" hidden="false" customHeight="true" outlineLevel="0" collapsed="false">
      <c r="A3751" s="6" t="s">
        <v>1860</v>
      </c>
      <c r="B3751" s="6" t="s">
        <v>249</v>
      </c>
      <c r="C3751" s="6" t="n">
        <v>3</v>
      </c>
      <c r="D3751" s="6" t="n">
        <v>38</v>
      </c>
      <c r="E3751" s="6" t="n">
        <v>1</v>
      </c>
      <c r="F3751" s="6" t="s">
        <v>829</v>
      </c>
      <c r="G3751" s="28" t="str">
        <f aca="false">IFERROR(INDEX('Semrush Data'!$A$1:$Z$20000,MATCH(A3751,'Semrush Data'!$A$1:$A$20000,0),MATCH("Volume",'Semrush Data'!$A$1:$Z$1,0)),"")</f>
        <v/>
      </c>
      <c r="H3751" s="6" t="str">
        <f aca="false">IFERROR(INDEX('Semrush Data'!$A$1:$Z$20000,MATCH(A3751,'Semrush Data'!$A$1:$A$20000,0),MATCH("Keyword Difficulty*",'Semrush Data'!$A$1:$Z$1,0)),"")</f>
        <v/>
      </c>
      <c r="I3751" s="29" t="str">
        <f aca="false">IFERROR(INDEX('Semrush Data'!$A$1:$Z$20000,MATCH(A3751,'Semrush Data'!$A$1:$A$20000,0),MATCH("CPC*",'Semrush Data'!$A$1:$Z$1,0)),"")</f>
        <v/>
      </c>
      <c r="J3751" s="6" t="str">
        <f aca="false">IFERROR(INDEX('Semrush Data'!$A$1:$Z$20000,MATCH(A3751,'Semrush Data'!$A$1:$A$20000,0),MATCH("Intent",'Semrush Data'!$A$1:$Z$1,0)),"")</f>
        <v/>
      </c>
    </row>
    <row r="3752" customFormat="false" ht="15" hidden="false" customHeight="true" outlineLevel="0" collapsed="false">
      <c r="A3752" s="6" t="s">
        <v>6482</v>
      </c>
      <c r="B3752" s="6" t="s">
        <v>249</v>
      </c>
      <c r="C3752" s="6" t="n">
        <v>3</v>
      </c>
      <c r="D3752" s="6" t="n">
        <v>38</v>
      </c>
      <c r="E3752" s="6" t="n">
        <v>1</v>
      </c>
      <c r="F3752" s="6" t="s">
        <v>6476</v>
      </c>
      <c r="G3752" s="28" t="str">
        <f aca="false">IFERROR(INDEX('Semrush Data'!$A$1:$Z$20000,MATCH(A3752,'Semrush Data'!$A$1:$A$20000,0),MATCH("Volume",'Semrush Data'!$A$1:$Z$1,0)),"")</f>
        <v/>
      </c>
      <c r="H3752" s="6" t="str">
        <f aca="false">IFERROR(INDEX('Semrush Data'!$A$1:$Z$20000,MATCH(A3752,'Semrush Data'!$A$1:$A$20000,0),MATCH("Keyword Difficulty*",'Semrush Data'!$A$1:$Z$1,0)),"")</f>
        <v/>
      </c>
      <c r="I3752" s="29" t="str">
        <f aca="false">IFERROR(INDEX('Semrush Data'!$A$1:$Z$20000,MATCH(A3752,'Semrush Data'!$A$1:$A$20000,0),MATCH("CPC*",'Semrush Data'!$A$1:$Z$1,0)),"")</f>
        <v/>
      </c>
      <c r="J3752" s="6" t="str">
        <f aca="false">IFERROR(INDEX('Semrush Data'!$A$1:$Z$20000,MATCH(A3752,'Semrush Data'!$A$1:$A$20000,0),MATCH("Intent",'Semrush Data'!$A$1:$Z$1,0)),"")</f>
        <v/>
      </c>
    </row>
    <row r="3753" customFormat="false" ht="15" hidden="false" customHeight="true" outlineLevel="0" collapsed="false">
      <c r="A3753" s="6" t="s">
        <v>223</v>
      </c>
      <c r="B3753" s="6" t="s">
        <v>192</v>
      </c>
      <c r="C3753" s="6" t="n">
        <v>2</v>
      </c>
      <c r="D3753" s="6" t="s">
        <v>6868</v>
      </c>
      <c r="E3753" s="6" t="n">
        <v>1</v>
      </c>
      <c r="F3753" s="6" t="s">
        <v>394</v>
      </c>
      <c r="G3753" s="28" t="n">
        <f aca="false">IFERROR(INDEX('Semrush Data'!$A$1:$Z$20000,MATCH(A3753,'Semrush Data'!$A$1:$A$20000,0),MATCH("Volume",'Semrush Data'!$A$1:$Z$1,0)),"")</f>
        <v>1300</v>
      </c>
      <c r="H3753" s="6" t="n">
        <f aca="false">IFERROR(INDEX('Semrush Data'!$A$1:$Z$20000,MATCH(A3753,'Semrush Data'!$A$1:$A$20000,0),MATCH("Keyword Difficulty*",'Semrush Data'!$A$1:$Z$1,0)),"")</f>
        <v>19</v>
      </c>
      <c r="I3753" s="29" t="n">
        <f aca="false">IFERROR(INDEX('Semrush Data'!$A$1:$Z$20000,MATCH(A3753,'Semrush Data'!$A$1:$A$20000,0),MATCH("CPC*",'Semrush Data'!$A$1:$Z$1,0)),"")</f>
        <v>0.94</v>
      </c>
      <c r="J3753" s="6" t="str">
        <f aca="false">IFERROR(INDEX('Semrush Data'!$A$1:$Z$20000,MATCH(A3753,'Semrush Data'!$A$1:$A$20000,0),MATCH("Intent",'Semrush Data'!$A$1:$Z$1,0)),"")</f>
        <v>Informational Commercial</v>
      </c>
    </row>
    <row r="3754" customFormat="false" ht="15" hidden="false" customHeight="true" outlineLevel="0" collapsed="false">
      <c r="A3754" s="6" t="s">
        <v>199</v>
      </c>
      <c r="B3754" s="6" t="s">
        <v>192</v>
      </c>
      <c r="C3754" s="6" t="n">
        <v>2</v>
      </c>
      <c r="D3754" s="6" t="s">
        <v>6868</v>
      </c>
      <c r="E3754" s="6" t="n">
        <v>1</v>
      </c>
      <c r="F3754" s="6" t="s">
        <v>404</v>
      </c>
      <c r="G3754" s="28" t="n">
        <f aca="false">IFERROR(INDEX('Semrush Data'!$A$1:$Z$20000,MATCH(A3754,'Semrush Data'!$A$1:$A$20000,0),MATCH("Volume",'Semrush Data'!$A$1:$Z$1,0)),"")</f>
        <v>6600</v>
      </c>
      <c r="H3754" s="6" t="n">
        <f aca="false">IFERROR(INDEX('Semrush Data'!$A$1:$Z$20000,MATCH(A3754,'Semrush Data'!$A$1:$A$20000,0),MATCH("Keyword Difficulty*",'Semrush Data'!$A$1:$Z$1,0)),"")</f>
        <v>26</v>
      </c>
      <c r="I3754" s="29" t="n">
        <f aca="false">IFERROR(INDEX('Semrush Data'!$A$1:$Z$20000,MATCH(A3754,'Semrush Data'!$A$1:$A$20000,0),MATCH("CPC*",'Semrush Data'!$A$1:$Z$1,0)),"")</f>
        <v>2.37</v>
      </c>
      <c r="J3754" s="6" t="str">
        <f aca="false">IFERROR(INDEX('Semrush Data'!$A$1:$Z$20000,MATCH(A3754,'Semrush Data'!$A$1:$A$20000,0),MATCH("Intent",'Semrush Data'!$A$1:$Z$1,0)),"")</f>
        <v>Informational</v>
      </c>
    </row>
    <row r="3755" customFormat="false" ht="15" hidden="false" customHeight="true" outlineLevel="0" collapsed="false">
      <c r="A3755" s="6" t="s">
        <v>206</v>
      </c>
      <c r="B3755" s="6" t="s">
        <v>192</v>
      </c>
      <c r="C3755" s="6" t="n">
        <v>2</v>
      </c>
      <c r="D3755" s="6" t="s">
        <v>6868</v>
      </c>
      <c r="E3755" s="6" t="n">
        <v>1</v>
      </c>
      <c r="F3755" s="6" t="s">
        <v>413</v>
      </c>
      <c r="G3755" s="28" t="n">
        <f aca="false">IFERROR(INDEX('Semrush Data'!$A$1:$Z$20000,MATCH(A3755,'Semrush Data'!$A$1:$A$20000,0),MATCH("Volume",'Semrush Data'!$A$1:$Z$1,0)),"")</f>
        <v>3600</v>
      </c>
      <c r="H3755" s="6" t="n">
        <f aca="false">IFERROR(INDEX('Semrush Data'!$A$1:$Z$20000,MATCH(A3755,'Semrush Data'!$A$1:$A$20000,0),MATCH("Keyword Difficulty*",'Semrush Data'!$A$1:$Z$1,0)),"")</f>
        <v>24</v>
      </c>
      <c r="I3755" s="29" t="n">
        <f aca="false">IFERROR(INDEX('Semrush Data'!$A$1:$Z$20000,MATCH(A3755,'Semrush Data'!$A$1:$A$20000,0),MATCH("CPC*",'Semrush Data'!$A$1:$Z$1,0)),"")</f>
        <v>0.66</v>
      </c>
      <c r="J3755" s="6" t="str">
        <f aca="false">IFERROR(INDEX('Semrush Data'!$A$1:$Z$20000,MATCH(A3755,'Semrush Data'!$A$1:$A$20000,0),MATCH("Intent",'Semrush Data'!$A$1:$Z$1,0)),"")</f>
        <v>Informational</v>
      </c>
    </row>
    <row r="3756" customFormat="false" ht="15" hidden="false" customHeight="true" outlineLevel="0" collapsed="false">
      <c r="A3756" s="6" t="s">
        <v>207</v>
      </c>
      <c r="B3756" s="6" t="s">
        <v>192</v>
      </c>
      <c r="C3756" s="6" t="n">
        <v>2</v>
      </c>
      <c r="D3756" s="6" t="s">
        <v>6868</v>
      </c>
      <c r="E3756" s="6" t="n">
        <v>1</v>
      </c>
      <c r="F3756" s="6" t="s">
        <v>480</v>
      </c>
      <c r="G3756" s="28" t="n">
        <f aca="false">IFERROR(INDEX('Semrush Data'!$A$1:$Z$20000,MATCH(A3756,'Semrush Data'!$A$1:$A$20000,0),MATCH("Volume",'Semrush Data'!$A$1:$Z$1,0)),"")</f>
        <v>3600</v>
      </c>
      <c r="H3756" s="6" t="n">
        <f aca="false">IFERROR(INDEX('Semrush Data'!$A$1:$Z$20000,MATCH(A3756,'Semrush Data'!$A$1:$A$20000,0),MATCH("Keyword Difficulty*",'Semrush Data'!$A$1:$Z$1,0)),"")</f>
        <v>21</v>
      </c>
      <c r="I3756" s="29" t="n">
        <f aca="false">IFERROR(INDEX('Semrush Data'!$A$1:$Z$20000,MATCH(A3756,'Semrush Data'!$A$1:$A$20000,0),MATCH("CPC*",'Semrush Data'!$A$1:$Z$1,0)),"")</f>
        <v>1.06</v>
      </c>
      <c r="J3756" s="6" t="str">
        <f aca="false">IFERROR(INDEX('Semrush Data'!$A$1:$Z$20000,MATCH(A3756,'Semrush Data'!$A$1:$A$20000,0),MATCH("Intent",'Semrush Data'!$A$1:$Z$1,0)),"")</f>
        <v>Informational Commercial</v>
      </c>
    </row>
    <row r="3757" customFormat="false" ht="15" hidden="false" customHeight="true" outlineLevel="0" collapsed="false">
      <c r="A3757" s="6" t="s">
        <v>191</v>
      </c>
      <c r="B3757" s="6" t="s">
        <v>192</v>
      </c>
      <c r="C3757" s="6" t="n">
        <v>2</v>
      </c>
      <c r="D3757" s="6" t="s">
        <v>6868</v>
      </c>
      <c r="E3757" s="6" t="n">
        <v>1</v>
      </c>
      <c r="F3757" s="6" t="s">
        <v>519</v>
      </c>
      <c r="G3757" s="28" t="n">
        <f aca="false">IFERROR(INDEX('Semrush Data'!$A$1:$Z$20000,MATCH(A3757,'Semrush Data'!$A$1:$A$20000,0),MATCH("Volume",'Semrush Data'!$A$1:$Z$1,0)),"")</f>
        <v>22200</v>
      </c>
      <c r="H3757" s="6" t="n">
        <f aca="false">IFERROR(INDEX('Semrush Data'!$A$1:$Z$20000,MATCH(A3757,'Semrush Data'!$A$1:$A$20000,0),MATCH("Keyword Difficulty*",'Semrush Data'!$A$1:$Z$1,0)),"")</f>
        <v>30</v>
      </c>
      <c r="I3757" s="29" t="n">
        <f aca="false">IFERROR(INDEX('Semrush Data'!$A$1:$Z$20000,MATCH(A3757,'Semrush Data'!$A$1:$A$20000,0),MATCH("CPC*",'Semrush Data'!$A$1:$Z$1,0)),"")</f>
        <v>0.87</v>
      </c>
      <c r="J3757" s="6" t="str">
        <f aca="false">IFERROR(INDEX('Semrush Data'!$A$1:$Z$20000,MATCH(A3757,'Semrush Data'!$A$1:$A$20000,0),MATCH("Intent",'Semrush Data'!$A$1:$Z$1,0)),"")</f>
        <v>Informational Transactional</v>
      </c>
    </row>
    <row r="3758" customFormat="false" ht="15" hidden="false" customHeight="true" outlineLevel="0" collapsed="false">
      <c r="A3758" s="6" t="s">
        <v>217</v>
      </c>
      <c r="B3758" s="6" t="s">
        <v>192</v>
      </c>
      <c r="C3758" s="6" t="n">
        <v>2</v>
      </c>
      <c r="D3758" s="6" t="s">
        <v>6868</v>
      </c>
      <c r="E3758" s="6" t="n">
        <v>1</v>
      </c>
      <c r="F3758" s="6" t="s">
        <v>534</v>
      </c>
      <c r="G3758" s="28" t="n">
        <f aca="false">IFERROR(INDEX('Semrush Data'!$A$1:$Z$20000,MATCH(A3758,'Semrush Data'!$A$1:$A$20000,0),MATCH("Volume",'Semrush Data'!$A$1:$Z$1,0)),"")</f>
        <v>1900</v>
      </c>
      <c r="H3758" s="6" t="n">
        <f aca="false">IFERROR(INDEX('Semrush Data'!$A$1:$Z$20000,MATCH(A3758,'Semrush Data'!$A$1:$A$20000,0),MATCH("Keyword Difficulty*",'Semrush Data'!$A$1:$Z$1,0)),"")</f>
        <v>22</v>
      </c>
      <c r="I3758" s="29" t="n">
        <f aca="false">IFERROR(INDEX('Semrush Data'!$A$1:$Z$20000,MATCH(A3758,'Semrush Data'!$A$1:$A$20000,0),MATCH("CPC*",'Semrush Data'!$A$1:$Z$1,0)),"")</f>
        <v>0.73</v>
      </c>
      <c r="J3758" s="6" t="str">
        <f aca="false">IFERROR(INDEX('Semrush Data'!$A$1:$Z$20000,MATCH(A3758,'Semrush Data'!$A$1:$A$20000,0),MATCH("Intent",'Semrush Data'!$A$1:$Z$1,0)),"")</f>
        <v>Informational Commercial</v>
      </c>
    </row>
    <row r="3759" customFormat="false" ht="15" hidden="false" customHeight="true" outlineLevel="0" collapsed="false">
      <c r="A3759" s="6" t="s">
        <v>196</v>
      </c>
      <c r="B3759" s="6" t="s">
        <v>192</v>
      </c>
      <c r="C3759" s="6" t="n">
        <v>2</v>
      </c>
      <c r="D3759" s="6" t="s">
        <v>6868</v>
      </c>
      <c r="E3759" s="6" t="n">
        <v>1</v>
      </c>
      <c r="F3759" s="6" t="s">
        <v>559</v>
      </c>
      <c r="G3759" s="28" t="n">
        <f aca="false">IFERROR(INDEX('Semrush Data'!$A$1:$Z$20000,MATCH(A3759,'Semrush Data'!$A$1:$A$20000,0),MATCH("Volume",'Semrush Data'!$A$1:$Z$1,0)),"")</f>
        <v>9900</v>
      </c>
      <c r="H3759" s="6" t="n">
        <f aca="false">IFERROR(INDEX('Semrush Data'!$A$1:$Z$20000,MATCH(A3759,'Semrush Data'!$A$1:$A$20000,0),MATCH("Keyword Difficulty*",'Semrush Data'!$A$1:$Z$1,0)),"")</f>
        <v>30</v>
      </c>
      <c r="I3759" s="29" t="n">
        <f aca="false">IFERROR(INDEX('Semrush Data'!$A$1:$Z$20000,MATCH(A3759,'Semrush Data'!$A$1:$A$20000,0),MATCH("CPC*",'Semrush Data'!$A$1:$Z$1,0)),"")</f>
        <v>1.02</v>
      </c>
      <c r="J3759" s="6" t="str">
        <f aca="false">IFERROR(INDEX('Semrush Data'!$A$1:$Z$20000,MATCH(A3759,'Semrush Data'!$A$1:$A$20000,0),MATCH("Intent",'Semrush Data'!$A$1:$Z$1,0)),"")</f>
        <v>Informational</v>
      </c>
    </row>
    <row r="3760" customFormat="false" ht="15" hidden="false" customHeight="true" outlineLevel="0" collapsed="false">
      <c r="A3760" s="6" t="s">
        <v>195</v>
      </c>
      <c r="B3760" s="6" t="s">
        <v>192</v>
      </c>
      <c r="C3760" s="6" t="n">
        <v>2</v>
      </c>
      <c r="D3760" s="6" t="s">
        <v>6868</v>
      </c>
      <c r="E3760" s="6" t="n">
        <v>1</v>
      </c>
      <c r="F3760" s="6" t="s">
        <v>583</v>
      </c>
      <c r="G3760" s="28" t="n">
        <f aca="false">IFERROR(INDEX('Semrush Data'!$A$1:$Z$20000,MATCH(A3760,'Semrush Data'!$A$1:$A$20000,0),MATCH("Volume",'Semrush Data'!$A$1:$Z$1,0)),"")</f>
        <v>12100</v>
      </c>
      <c r="H3760" s="6" t="n">
        <f aca="false">IFERROR(INDEX('Semrush Data'!$A$1:$Z$20000,MATCH(A3760,'Semrush Data'!$A$1:$A$20000,0),MATCH("Keyword Difficulty*",'Semrush Data'!$A$1:$Z$1,0)),"")</f>
        <v>18</v>
      </c>
      <c r="I3760" s="29" t="n">
        <f aca="false">IFERROR(INDEX('Semrush Data'!$A$1:$Z$20000,MATCH(A3760,'Semrush Data'!$A$1:$A$20000,0),MATCH("CPC*",'Semrush Data'!$A$1:$Z$1,0)),"")</f>
        <v>0.44</v>
      </c>
      <c r="J3760" s="6" t="str">
        <f aca="false">IFERROR(INDEX('Semrush Data'!$A$1:$Z$20000,MATCH(A3760,'Semrush Data'!$A$1:$A$20000,0),MATCH("Intent",'Semrush Data'!$A$1:$Z$1,0)),"")</f>
        <v>Informational</v>
      </c>
    </row>
    <row r="3761" customFormat="false" ht="15" hidden="false" customHeight="true" outlineLevel="0" collapsed="false">
      <c r="A3761" s="6" t="s">
        <v>220</v>
      </c>
      <c r="B3761" s="6" t="s">
        <v>192</v>
      </c>
      <c r="C3761" s="6" t="n">
        <v>2</v>
      </c>
      <c r="D3761" s="6" t="s">
        <v>6868</v>
      </c>
      <c r="E3761" s="6" t="n">
        <v>1</v>
      </c>
      <c r="F3761" s="6" t="s">
        <v>653</v>
      </c>
      <c r="G3761" s="28" t="n">
        <f aca="false">IFERROR(INDEX('Semrush Data'!$A$1:$Z$20000,MATCH(A3761,'Semrush Data'!$A$1:$A$20000,0),MATCH("Volume",'Semrush Data'!$A$1:$Z$1,0)),"")</f>
        <v>1600</v>
      </c>
      <c r="H3761" s="6" t="n">
        <f aca="false">IFERROR(INDEX('Semrush Data'!$A$1:$Z$20000,MATCH(A3761,'Semrush Data'!$A$1:$A$20000,0),MATCH("Keyword Difficulty*",'Semrush Data'!$A$1:$Z$1,0)),"")</f>
        <v>55</v>
      </c>
      <c r="I3761" s="29" t="n">
        <f aca="false">IFERROR(INDEX('Semrush Data'!$A$1:$Z$20000,MATCH(A3761,'Semrush Data'!$A$1:$A$20000,0),MATCH("CPC*",'Semrush Data'!$A$1:$Z$1,0)),"")</f>
        <v>1.65</v>
      </c>
      <c r="J3761" s="6" t="str">
        <f aca="false">IFERROR(INDEX('Semrush Data'!$A$1:$Z$20000,MATCH(A3761,'Semrush Data'!$A$1:$A$20000,0),MATCH("Intent",'Semrush Data'!$A$1:$Z$1,0)),"")</f>
        <v>Informational</v>
      </c>
    </row>
    <row r="3762" customFormat="false" ht="15" hidden="false" customHeight="true" outlineLevel="0" collapsed="false">
      <c r="A3762" s="6" t="s">
        <v>224</v>
      </c>
      <c r="B3762" s="6" t="s">
        <v>192</v>
      </c>
      <c r="C3762" s="6" t="n">
        <v>2</v>
      </c>
      <c r="D3762" s="6" t="s">
        <v>6868</v>
      </c>
      <c r="E3762" s="6" t="n">
        <v>1</v>
      </c>
      <c r="F3762" s="6" t="s">
        <v>717</v>
      </c>
      <c r="G3762" s="28" t="n">
        <f aca="false">IFERROR(INDEX('Semrush Data'!$A$1:$Z$20000,MATCH(A3762,'Semrush Data'!$A$1:$A$20000,0),MATCH("Volume",'Semrush Data'!$A$1:$Z$1,0)),"")</f>
        <v>1300</v>
      </c>
      <c r="H3762" s="6" t="n">
        <f aca="false">IFERROR(INDEX('Semrush Data'!$A$1:$Z$20000,MATCH(A3762,'Semrush Data'!$A$1:$A$20000,0),MATCH("Keyword Difficulty*",'Semrush Data'!$A$1:$Z$1,0)),"")</f>
        <v>16</v>
      </c>
      <c r="I3762" s="29" t="n">
        <f aca="false">IFERROR(INDEX('Semrush Data'!$A$1:$Z$20000,MATCH(A3762,'Semrush Data'!$A$1:$A$20000,0),MATCH("CPC*",'Semrush Data'!$A$1:$Z$1,0)),"")</f>
        <v>1.47</v>
      </c>
      <c r="J3762" s="6" t="str">
        <f aca="false">IFERROR(INDEX('Semrush Data'!$A$1:$Z$20000,MATCH(A3762,'Semrush Data'!$A$1:$A$20000,0),MATCH("Intent",'Semrush Data'!$A$1:$Z$1,0)),"")</f>
        <v>Informational</v>
      </c>
    </row>
    <row r="3763" customFormat="false" ht="15" hidden="false" customHeight="true" outlineLevel="0" collapsed="false">
      <c r="A3763" s="6" t="s">
        <v>7904</v>
      </c>
      <c r="B3763" s="6" t="s">
        <v>192</v>
      </c>
      <c r="C3763" s="6" t="n">
        <v>2</v>
      </c>
      <c r="D3763" s="6" t="s">
        <v>6868</v>
      </c>
      <c r="E3763" s="6" t="n">
        <v>1</v>
      </c>
      <c r="F3763" s="6" t="s">
        <v>740</v>
      </c>
      <c r="G3763" s="28" t="n">
        <f aca="false">IFERROR(INDEX('Semrush Data'!$A$1:$Z$20000,MATCH(A3763,'Semrush Data'!$A$1:$A$20000,0),MATCH("Volume",'Semrush Data'!$A$1:$Z$1,0)),"")</f>
        <v>50</v>
      </c>
      <c r="H3763" s="6" t="n">
        <f aca="false">IFERROR(INDEX('Semrush Data'!$A$1:$Z$20000,MATCH(A3763,'Semrush Data'!$A$1:$A$20000,0),MATCH("Keyword Difficulty*",'Semrush Data'!$A$1:$Z$1,0)),"")</f>
        <v>1</v>
      </c>
      <c r="I3763" s="29" t="n">
        <f aca="false">IFERROR(INDEX('Semrush Data'!$A$1:$Z$20000,MATCH(A3763,'Semrush Data'!$A$1:$A$20000,0),MATCH("CPC*",'Semrush Data'!$A$1:$Z$1,0)),"")</f>
        <v>1.76</v>
      </c>
      <c r="J3763" s="6" t="str">
        <f aca="false">IFERROR(INDEX('Semrush Data'!$A$1:$Z$20000,MATCH(A3763,'Semrush Data'!$A$1:$A$20000,0),MATCH("Intent",'Semrush Data'!$A$1:$Z$1,0)),"")</f>
        <v>Informational</v>
      </c>
    </row>
    <row r="3764" customFormat="false" ht="15" hidden="false" customHeight="true" outlineLevel="0" collapsed="false">
      <c r="A3764" s="6" t="s">
        <v>7905</v>
      </c>
      <c r="B3764" s="6" t="s">
        <v>189</v>
      </c>
      <c r="C3764" s="6" t="n">
        <v>2</v>
      </c>
      <c r="D3764" s="6" t="s">
        <v>6868</v>
      </c>
      <c r="E3764" s="6" t="n">
        <v>0</v>
      </c>
      <c r="F3764" s="6"/>
      <c r="G3764" s="28" t="n">
        <f aca="false">IFERROR(INDEX('Semrush Data'!$A$1:$Z$20000,MATCH(A3764,'Semrush Data'!$A$1:$A$20000,0),MATCH("Volume",'Semrush Data'!$A$1:$Z$1,0)),"")</f>
        <v>880</v>
      </c>
      <c r="H3764" s="6" t="n">
        <f aca="false">IFERROR(INDEX('Semrush Data'!$A$1:$Z$20000,MATCH(A3764,'Semrush Data'!$A$1:$A$20000,0),MATCH("Keyword Difficulty*",'Semrush Data'!$A$1:$Z$1,0)),"")</f>
        <v>15</v>
      </c>
      <c r="I3764" s="29" t="n">
        <f aca="false">IFERROR(INDEX('Semrush Data'!$A$1:$Z$20000,MATCH(A3764,'Semrush Data'!$A$1:$A$20000,0),MATCH("CPC*",'Semrush Data'!$A$1:$Z$1,0)),"")</f>
        <v>0.69</v>
      </c>
      <c r="J3764" s="6" t="str">
        <f aca="false">IFERROR(INDEX('Semrush Data'!$A$1:$Z$20000,MATCH(A3764,'Semrush Data'!$A$1:$A$20000,0),MATCH("Intent",'Semrush Data'!$A$1:$Z$1,0)),"")</f>
        <v>Informational</v>
      </c>
    </row>
    <row r="3765" customFormat="false" ht="15" hidden="false" customHeight="true" outlineLevel="0" collapsed="false">
      <c r="A3765" s="6" t="s">
        <v>7906</v>
      </c>
      <c r="B3765" s="6" t="s">
        <v>189</v>
      </c>
      <c r="C3765" s="6" t="n">
        <v>2</v>
      </c>
      <c r="D3765" s="6" t="s">
        <v>6868</v>
      </c>
      <c r="E3765" s="6" t="n">
        <v>0</v>
      </c>
      <c r="F3765" s="6"/>
      <c r="G3765" s="28" t="n">
        <f aca="false">IFERROR(INDEX('Semrush Data'!$A$1:$Z$20000,MATCH(A3765,'Semrush Data'!$A$1:$A$20000,0),MATCH("Volume",'Semrush Data'!$A$1:$Z$1,0)),"")</f>
        <v>110</v>
      </c>
      <c r="H3765" s="6" t="n">
        <f aca="false">IFERROR(INDEX('Semrush Data'!$A$1:$Z$20000,MATCH(A3765,'Semrush Data'!$A$1:$A$20000,0),MATCH("Keyword Difficulty*",'Semrush Data'!$A$1:$Z$1,0)),"")</f>
        <v>4</v>
      </c>
      <c r="I3765" s="29" t="n">
        <f aca="false">IFERROR(INDEX('Semrush Data'!$A$1:$Z$20000,MATCH(A3765,'Semrush Data'!$A$1:$A$20000,0),MATCH("CPC*",'Semrush Data'!$A$1:$Z$1,0)),"")</f>
        <v>0.76</v>
      </c>
      <c r="J3765" s="6" t="str">
        <f aca="false">IFERROR(INDEX('Semrush Data'!$A$1:$Z$20000,MATCH(A3765,'Semrush Data'!$A$1:$A$20000,0),MATCH("Intent",'Semrush Data'!$A$1:$Z$1,0)),"")</f>
        <v>Informational</v>
      </c>
    </row>
    <row r="3766" customFormat="false" ht="15" hidden="false" customHeight="true" outlineLevel="0" collapsed="false">
      <c r="A3766" s="6" t="s">
        <v>7907</v>
      </c>
      <c r="B3766" s="6" t="s">
        <v>189</v>
      </c>
      <c r="C3766" s="6" t="n">
        <v>2</v>
      </c>
      <c r="D3766" s="6" t="s">
        <v>6868</v>
      </c>
      <c r="E3766" s="6" t="n">
        <v>0</v>
      </c>
      <c r="F3766" s="6"/>
      <c r="G3766" s="28" t="n">
        <f aca="false">IFERROR(INDEX('Semrush Data'!$A$1:$Z$20000,MATCH(A3766,'Semrush Data'!$A$1:$A$20000,0),MATCH("Volume",'Semrush Data'!$A$1:$Z$1,0)),"")</f>
        <v>110</v>
      </c>
      <c r="H3766" s="6" t="n">
        <f aca="false">IFERROR(INDEX('Semrush Data'!$A$1:$Z$20000,MATCH(A3766,'Semrush Data'!$A$1:$A$20000,0),MATCH("Keyword Difficulty*",'Semrush Data'!$A$1:$Z$1,0)),"")</f>
        <v>5</v>
      </c>
      <c r="I3766" s="29" t="n">
        <f aca="false">IFERROR(INDEX('Semrush Data'!$A$1:$Z$20000,MATCH(A3766,'Semrush Data'!$A$1:$A$20000,0),MATCH("CPC*",'Semrush Data'!$A$1:$Z$1,0)),"")</f>
        <v>0.49</v>
      </c>
      <c r="J3766" s="6" t="str">
        <f aca="false">IFERROR(INDEX('Semrush Data'!$A$1:$Z$20000,MATCH(A3766,'Semrush Data'!$A$1:$A$20000,0),MATCH("Intent",'Semrush Data'!$A$1:$Z$1,0)),"")</f>
        <v>Informational</v>
      </c>
    </row>
    <row r="3767" customFormat="false" ht="15" hidden="false" customHeight="true" outlineLevel="0" collapsed="false">
      <c r="A3767" s="6" t="s">
        <v>7908</v>
      </c>
      <c r="B3767" s="6" t="s">
        <v>189</v>
      </c>
      <c r="C3767" s="6" t="n">
        <v>2</v>
      </c>
      <c r="D3767" s="6" t="s">
        <v>6868</v>
      </c>
      <c r="E3767" s="6" t="n">
        <v>0</v>
      </c>
      <c r="F3767" s="6"/>
      <c r="G3767" s="28" t="n">
        <f aca="false">IFERROR(INDEX('Semrush Data'!$A$1:$Z$20000,MATCH(A3767,'Semrush Data'!$A$1:$A$20000,0),MATCH("Volume",'Semrush Data'!$A$1:$Z$1,0)),"")</f>
        <v>40</v>
      </c>
      <c r="H3767" s="6" t="n">
        <f aca="false">IFERROR(INDEX('Semrush Data'!$A$1:$Z$20000,MATCH(A3767,'Semrush Data'!$A$1:$A$20000,0),MATCH("Keyword Difficulty*",'Semrush Data'!$A$1:$Z$1,0)),"")</f>
        <v>7</v>
      </c>
      <c r="I3767" s="29" t="n">
        <f aca="false">IFERROR(INDEX('Semrush Data'!$A$1:$Z$20000,MATCH(A3767,'Semrush Data'!$A$1:$A$20000,0),MATCH("CPC*",'Semrush Data'!$A$1:$Z$1,0)),"")</f>
        <v>0.96</v>
      </c>
      <c r="J3767" s="6" t="str">
        <f aca="false">IFERROR(INDEX('Semrush Data'!$A$1:$Z$20000,MATCH(A3767,'Semrush Data'!$A$1:$A$20000,0),MATCH("Intent",'Semrush Data'!$A$1:$Z$1,0)),"")</f>
        <v>Informational Transactional</v>
      </c>
    </row>
    <row r="3768" customFormat="false" ht="15" hidden="false" customHeight="true" outlineLevel="0" collapsed="false">
      <c r="A3768" s="6" t="s">
        <v>225</v>
      </c>
      <c r="B3768" s="6" t="s">
        <v>189</v>
      </c>
      <c r="C3768" s="6" t="n">
        <v>2</v>
      </c>
      <c r="D3768" s="6" t="s">
        <v>6868</v>
      </c>
      <c r="E3768" s="6" t="n">
        <v>0</v>
      </c>
      <c r="F3768" s="6"/>
      <c r="G3768" s="28" t="n">
        <f aca="false">IFERROR(INDEX('Semrush Data'!$A$1:$Z$20000,MATCH(A3768,'Semrush Data'!$A$1:$A$20000,0),MATCH("Volume",'Semrush Data'!$A$1:$Z$1,0)),"")</f>
        <v>1300</v>
      </c>
      <c r="H3768" s="6" t="n">
        <f aca="false">IFERROR(INDEX('Semrush Data'!$A$1:$Z$20000,MATCH(A3768,'Semrush Data'!$A$1:$A$20000,0),MATCH("Keyword Difficulty*",'Semrush Data'!$A$1:$Z$1,0)),"")</f>
        <v>13</v>
      </c>
      <c r="I3768" s="29" t="n">
        <f aca="false">IFERROR(INDEX('Semrush Data'!$A$1:$Z$20000,MATCH(A3768,'Semrush Data'!$A$1:$A$20000,0),MATCH("CPC*",'Semrush Data'!$A$1:$Z$1,0)),"")</f>
        <v>0.66</v>
      </c>
      <c r="J3768" s="6" t="str">
        <f aca="false">IFERROR(INDEX('Semrush Data'!$A$1:$Z$20000,MATCH(A3768,'Semrush Data'!$A$1:$A$20000,0),MATCH("Intent",'Semrush Data'!$A$1:$Z$1,0)),"")</f>
        <v>Informational</v>
      </c>
    </row>
    <row r="3769" customFormat="false" ht="15" hidden="false" customHeight="true" outlineLevel="0" collapsed="false">
      <c r="A3769" s="6" t="s">
        <v>7909</v>
      </c>
      <c r="B3769" s="6" t="s">
        <v>189</v>
      </c>
      <c r="C3769" s="6" t="n">
        <v>2</v>
      </c>
      <c r="D3769" s="6" t="s">
        <v>6868</v>
      </c>
      <c r="E3769" s="6" t="n">
        <v>0</v>
      </c>
      <c r="F3769" s="6"/>
      <c r="G3769" s="28" t="n">
        <f aca="false">IFERROR(INDEX('Semrush Data'!$A$1:$Z$20000,MATCH(A3769,'Semrush Data'!$A$1:$A$20000,0),MATCH("Volume",'Semrush Data'!$A$1:$Z$1,0)),"")</f>
        <v>70</v>
      </c>
      <c r="H3769" s="6" t="n">
        <f aca="false">IFERROR(INDEX('Semrush Data'!$A$1:$Z$20000,MATCH(A3769,'Semrush Data'!$A$1:$A$20000,0),MATCH("Keyword Difficulty*",'Semrush Data'!$A$1:$Z$1,0)),"")</f>
        <v>19</v>
      </c>
      <c r="I3769" s="29" t="n">
        <f aca="false">IFERROR(INDEX('Semrush Data'!$A$1:$Z$20000,MATCH(A3769,'Semrush Data'!$A$1:$A$20000,0),MATCH("CPC*",'Semrush Data'!$A$1:$Z$1,0)),"")</f>
        <v>0.74</v>
      </c>
      <c r="J3769" s="6" t="str">
        <f aca="false">IFERROR(INDEX('Semrush Data'!$A$1:$Z$20000,MATCH(A3769,'Semrush Data'!$A$1:$A$20000,0),MATCH("Intent",'Semrush Data'!$A$1:$Z$1,0)),"")</f>
        <v>Informational Transactional</v>
      </c>
    </row>
    <row r="3770" customFormat="false" ht="15" hidden="false" customHeight="true" outlineLevel="0" collapsed="false">
      <c r="A3770" s="6" t="s">
        <v>7910</v>
      </c>
      <c r="B3770" s="6" t="s">
        <v>189</v>
      </c>
      <c r="C3770" s="6" t="n">
        <v>2</v>
      </c>
      <c r="D3770" s="6" t="s">
        <v>6868</v>
      </c>
      <c r="E3770" s="6" t="n">
        <v>0</v>
      </c>
      <c r="F3770" s="6"/>
      <c r="G3770" s="28" t="n">
        <f aca="false">IFERROR(INDEX('Semrush Data'!$A$1:$Z$20000,MATCH(A3770,'Semrush Data'!$A$1:$A$20000,0),MATCH("Volume",'Semrush Data'!$A$1:$Z$1,0)),"")</f>
        <v>90</v>
      </c>
      <c r="H3770" s="6" t="n">
        <f aca="false">IFERROR(INDEX('Semrush Data'!$A$1:$Z$20000,MATCH(A3770,'Semrush Data'!$A$1:$A$20000,0),MATCH("Keyword Difficulty*",'Semrush Data'!$A$1:$Z$1,0)),"")</f>
        <v>9</v>
      </c>
      <c r="I3770" s="29" t="n">
        <f aca="false">IFERROR(INDEX('Semrush Data'!$A$1:$Z$20000,MATCH(A3770,'Semrush Data'!$A$1:$A$20000,0),MATCH("CPC*",'Semrush Data'!$A$1:$Z$1,0)),"")</f>
        <v>0.42</v>
      </c>
      <c r="J3770" s="6" t="str">
        <f aca="false">IFERROR(INDEX('Semrush Data'!$A$1:$Z$20000,MATCH(A3770,'Semrush Data'!$A$1:$A$20000,0),MATCH("Intent",'Semrush Data'!$A$1:$Z$1,0)),"")</f>
        <v>Informational</v>
      </c>
    </row>
    <row r="3771" customFormat="false" ht="15" hidden="false" customHeight="true" outlineLevel="0" collapsed="false">
      <c r="A3771" s="6" t="s">
        <v>212</v>
      </c>
      <c r="B3771" s="6" t="s">
        <v>189</v>
      </c>
      <c r="C3771" s="6" t="n">
        <v>2</v>
      </c>
      <c r="D3771" s="6" t="s">
        <v>6868</v>
      </c>
      <c r="E3771" s="6" t="n">
        <v>0</v>
      </c>
      <c r="F3771" s="6"/>
      <c r="G3771" s="28" t="n">
        <f aca="false">IFERROR(INDEX('Semrush Data'!$A$1:$Z$20000,MATCH(A3771,'Semrush Data'!$A$1:$A$20000,0),MATCH("Volume",'Semrush Data'!$A$1:$Z$1,0)),"")</f>
        <v>2900</v>
      </c>
      <c r="H3771" s="6" t="n">
        <f aca="false">IFERROR(INDEX('Semrush Data'!$A$1:$Z$20000,MATCH(A3771,'Semrush Data'!$A$1:$A$20000,0),MATCH("Keyword Difficulty*",'Semrush Data'!$A$1:$Z$1,0)),"")</f>
        <v>21</v>
      </c>
      <c r="I3771" s="29" t="n">
        <f aca="false">IFERROR(INDEX('Semrush Data'!$A$1:$Z$20000,MATCH(A3771,'Semrush Data'!$A$1:$A$20000,0),MATCH("CPC*",'Semrush Data'!$A$1:$Z$1,0)),"")</f>
        <v>0.43</v>
      </c>
      <c r="J3771" s="6" t="str">
        <f aca="false">IFERROR(INDEX('Semrush Data'!$A$1:$Z$20000,MATCH(A3771,'Semrush Data'!$A$1:$A$20000,0),MATCH("Intent",'Semrush Data'!$A$1:$Z$1,0)),"")</f>
        <v>Informational</v>
      </c>
    </row>
    <row r="3772" customFormat="false" ht="15" hidden="false" customHeight="true" outlineLevel="0" collapsed="false">
      <c r="A3772" s="6" t="s">
        <v>201</v>
      </c>
      <c r="B3772" s="6" t="s">
        <v>189</v>
      </c>
      <c r="C3772" s="6" t="n">
        <v>2</v>
      </c>
      <c r="D3772" s="6" t="s">
        <v>6868</v>
      </c>
      <c r="E3772" s="6" t="n">
        <v>0</v>
      </c>
      <c r="F3772" s="6"/>
      <c r="G3772" s="28" t="n">
        <f aca="false">IFERROR(INDEX('Semrush Data'!$A$1:$Z$20000,MATCH(A3772,'Semrush Data'!$A$1:$A$20000,0),MATCH("Volume",'Semrush Data'!$A$1:$Z$1,0)),"")</f>
        <v>5400</v>
      </c>
      <c r="H3772" s="6" t="n">
        <f aca="false">IFERROR(INDEX('Semrush Data'!$A$1:$Z$20000,MATCH(A3772,'Semrush Data'!$A$1:$A$20000,0),MATCH("Keyword Difficulty*",'Semrush Data'!$A$1:$Z$1,0)),"")</f>
        <v>16</v>
      </c>
      <c r="I3772" s="29" t="n">
        <f aca="false">IFERROR(INDEX('Semrush Data'!$A$1:$Z$20000,MATCH(A3772,'Semrush Data'!$A$1:$A$20000,0),MATCH("CPC*",'Semrush Data'!$A$1:$Z$1,0)),"")</f>
        <v>0.46</v>
      </c>
      <c r="J3772" s="6" t="str">
        <f aca="false">IFERROR(INDEX('Semrush Data'!$A$1:$Z$20000,MATCH(A3772,'Semrush Data'!$A$1:$A$20000,0),MATCH("Intent",'Semrush Data'!$A$1:$Z$1,0)),"")</f>
        <v>Informational</v>
      </c>
    </row>
    <row r="3773" customFormat="false" ht="15" hidden="false" customHeight="true" outlineLevel="0" collapsed="false">
      <c r="A3773" s="6" t="s">
        <v>226</v>
      </c>
      <c r="B3773" s="6" t="s">
        <v>189</v>
      </c>
      <c r="C3773" s="6" t="n">
        <v>2</v>
      </c>
      <c r="D3773" s="6" t="s">
        <v>6868</v>
      </c>
      <c r="E3773" s="6" t="n">
        <v>0</v>
      </c>
      <c r="F3773" s="6"/>
      <c r="G3773" s="28" t="n">
        <f aca="false">IFERROR(INDEX('Semrush Data'!$A$1:$Z$20000,MATCH(A3773,'Semrush Data'!$A$1:$A$20000,0),MATCH("Volume",'Semrush Data'!$A$1:$Z$1,0)),"")</f>
        <v>1300</v>
      </c>
      <c r="H3773" s="6" t="n">
        <f aca="false">IFERROR(INDEX('Semrush Data'!$A$1:$Z$20000,MATCH(A3773,'Semrush Data'!$A$1:$A$20000,0),MATCH("Keyword Difficulty*",'Semrush Data'!$A$1:$Z$1,0)),"")</f>
        <v>10</v>
      </c>
      <c r="I3773" s="29" t="n">
        <f aca="false">IFERROR(INDEX('Semrush Data'!$A$1:$Z$20000,MATCH(A3773,'Semrush Data'!$A$1:$A$20000,0),MATCH("CPC*",'Semrush Data'!$A$1:$Z$1,0)),"")</f>
        <v>0.66</v>
      </c>
      <c r="J3773" s="6" t="str">
        <f aca="false">IFERROR(INDEX('Semrush Data'!$A$1:$Z$20000,MATCH(A3773,'Semrush Data'!$A$1:$A$20000,0),MATCH("Intent",'Semrush Data'!$A$1:$Z$1,0)),"")</f>
        <v>Informational</v>
      </c>
    </row>
    <row r="3774" customFormat="false" ht="15" hidden="false" customHeight="true" outlineLevel="0" collapsed="false">
      <c r="A3774" s="6" t="s">
        <v>205</v>
      </c>
      <c r="B3774" s="6" t="s">
        <v>189</v>
      </c>
      <c r="C3774" s="6" t="n">
        <v>2</v>
      </c>
      <c r="D3774" s="6" t="s">
        <v>6868</v>
      </c>
      <c r="E3774" s="6" t="n">
        <v>0</v>
      </c>
      <c r="F3774" s="6"/>
      <c r="G3774" s="28" t="n">
        <f aca="false">IFERROR(INDEX('Semrush Data'!$A$1:$Z$20000,MATCH(A3774,'Semrush Data'!$A$1:$A$20000,0),MATCH("Volume",'Semrush Data'!$A$1:$Z$1,0)),"")</f>
        <v>4400</v>
      </c>
      <c r="H3774" s="6" t="n">
        <f aca="false">IFERROR(INDEX('Semrush Data'!$A$1:$Z$20000,MATCH(A3774,'Semrush Data'!$A$1:$A$20000,0),MATCH("Keyword Difficulty*",'Semrush Data'!$A$1:$Z$1,0)),"")</f>
        <v>30</v>
      </c>
      <c r="I3774" s="29" t="n">
        <f aca="false">IFERROR(INDEX('Semrush Data'!$A$1:$Z$20000,MATCH(A3774,'Semrush Data'!$A$1:$A$20000,0),MATCH("CPC*",'Semrush Data'!$A$1:$Z$1,0)),"")</f>
        <v>0.49</v>
      </c>
      <c r="J3774" s="6" t="str">
        <f aca="false">IFERROR(INDEX('Semrush Data'!$A$1:$Z$20000,MATCH(A3774,'Semrush Data'!$A$1:$A$20000,0),MATCH("Intent",'Semrush Data'!$A$1:$Z$1,0)),"")</f>
        <v>Informational</v>
      </c>
    </row>
    <row r="3775" customFormat="false" ht="15" hidden="false" customHeight="true" outlineLevel="0" collapsed="false">
      <c r="A3775" s="6" t="s">
        <v>7911</v>
      </c>
      <c r="B3775" s="6" t="s">
        <v>189</v>
      </c>
      <c r="C3775" s="6" t="n">
        <v>2</v>
      </c>
      <c r="D3775" s="6" t="s">
        <v>6868</v>
      </c>
      <c r="E3775" s="6" t="n">
        <v>0</v>
      </c>
      <c r="F3775" s="6"/>
      <c r="G3775" s="28" t="n">
        <f aca="false">IFERROR(INDEX('Semrush Data'!$A$1:$Z$20000,MATCH(A3775,'Semrush Data'!$A$1:$A$20000,0),MATCH("Volume",'Semrush Data'!$A$1:$Z$1,0)),"")</f>
        <v>20</v>
      </c>
      <c r="H3775" s="6" t="n">
        <f aca="false">IFERROR(INDEX('Semrush Data'!$A$1:$Z$20000,MATCH(A3775,'Semrush Data'!$A$1:$A$20000,0),MATCH("Keyword Difficulty*",'Semrush Data'!$A$1:$Z$1,0)),"")</f>
        <v>20</v>
      </c>
      <c r="I3775" s="29" t="n">
        <f aca="false">IFERROR(INDEX('Semrush Data'!$A$1:$Z$20000,MATCH(A3775,'Semrush Data'!$A$1:$A$20000,0),MATCH("CPC*",'Semrush Data'!$A$1:$Z$1,0)),"")</f>
        <v>0.37</v>
      </c>
      <c r="J3775" s="6" t="str">
        <f aca="false">IFERROR(INDEX('Semrush Data'!$A$1:$Z$20000,MATCH(A3775,'Semrush Data'!$A$1:$A$20000,0),MATCH("Intent",'Semrush Data'!$A$1:$Z$1,0)),"")</f>
        <v>Informational Commercial</v>
      </c>
    </row>
    <row r="3776" customFormat="false" ht="15" hidden="false" customHeight="true" outlineLevel="0" collapsed="false">
      <c r="A3776" s="6" t="s">
        <v>7912</v>
      </c>
      <c r="B3776" s="6" t="s">
        <v>189</v>
      </c>
      <c r="C3776" s="6" t="n">
        <v>2</v>
      </c>
      <c r="D3776" s="6" t="s">
        <v>6868</v>
      </c>
      <c r="E3776" s="6" t="n">
        <v>0</v>
      </c>
      <c r="F3776" s="6"/>
      <c r="G3776" s="28" t="n">
        <f aca="false">IFERROR(INDEX('Semrush Data'!$A$1:$Z$20000,MATCH(A3776,'Semrush Data'!$A$1:$A$20000,0),MATCH("Volume",'Semrush Data'!$A$1:$Z$1,0)),"")</f>
        <v>880</v>
      </c>
      <c r="H3776" s="6" t="n">
        <f aca="false">IFERROR(INDEX('Semrush Data'!$A$1:$Z$20000,MATCH(A3776,'Semrush Data'!$A$1:$A$20000,0),MATCH("Keyword Difficulty*",'Semrush Data'!$A$1:$Z$1,0)),"")</f>
        <v>12</v>
      </c>
      <c r="I3776" s="29" t="n">
        <f aca="false">IFERROR(INDEX('Semrush Data'!$A$1:$Z$20000,MATCH(A3776,'Semrush Data'!$A$1:$A$20000,0),MATCH("CPC*",'Semrush Data'!$A$1:$Z$1,0)),"")</f>
        <v>0.39</v>
      </c>
      <c r="J3776" s="6" t="str">
        <f aca="false">IFERROR(INDEX('Semrush Data'!$A$1:$Z$20000,MATCH(A3776,'Semrush Data'!$A$1:$A$20000,0),MATCH("Intent",'Semrush Data'!$A$1:$Z$1,0)),"")</f>
        <v>Informational</v>
      </c>
    </row>
    <row r="3777" customFormat="false" ht="15" hidden="false" customHeight="true" outlineLevel="0" collapsed="false">
      <c r="A3777" s="6" t="s">
        <v>7913</v>
      </c>
      <c r="B3777" s="6" t="s">
        <v>189</v>
      </c>
      <c r="C3777" s="6" t="n">
        <v>2</v>
      </c>
      <c r="D3777" s="6" t="s">
        <v>6868</v>
      </c>
      <c r="E3777" s="6" t="n">
        <v>0</v>
      </c>
      <c r="F3777" s="6"/>
      <c r="G3777" s="28" t="n">
        <f aca="false">IFERROR(INDEX('Semrush Data'!$A$1:$Z$20000,MATCH(A3777,'Semrush Data'!$A$1:$A$20000,0),MATCH("Volume",'Semrush Data'!$A$1:$Z$1,0)),"")</f>
        <v>20</v>
      </c>
      <c r="H3777" s="6" t="n">
        <f aca="false">IFERROR(INDEX('Semrush Data'!$A$1:$Z$20000,MATCH(A3777,'Semrush Data'!$A$1:$A$20000,0),MATCH("Keyword Difficulty*",'Semrush Data'!$A$1:$Z$1,0)),"")</f>
        <v>9</v>
      </c>
      <c r="I3777" s="29" t="n">
        <f aca="false">IFERROR(INDEX('Semrush Data'!$A$1:$Z$20000,MATCH(A3777,'Semrush Data'!$A$1:$A$20000,0),MATCH("CPC*",'Semrush Data'!$A$1:$Z$1,0)),"")</f>
        <v>0</v>
      </c>
      <c r="J3777" s="6" t="str">
        <f aca="false">IFERROR(INDEX('Semrush Data'!$A$1:$Z$20000,MATCH(A3777,'Semrush Data'!$A$1:$A$20000,0),MATCH("Intent",'Semrush Data'!$A$1:$Z$1,0)),"")</f>
        <v>Informational</v>
      </c>
    </row>
    <row r="3778" customFormat="false" ht="15" hidden="false" customHeight="true" outlineLevel="0" collapsed="false">
      <c r="A3778" s="6" t="s">
        <v>193</v>
      </c>
      <c r="B3778" s="6" t="s">
        <v>189</v>
      </c>
      <c r="C3778" s="6" t="n">
        <v>2</v>
      </c>
      <c r="D3778" s="6" t="s">
        <v>6868</v>
      </c>
      <c r="E3778" s="6" t="n">
        <v>0</v>
      </c>
      <c r="F3778" s="6"/>
      <c r="G3778" s="28" t="n">
        <f aca="false">IFERROR(INDEX('Semrush Data'!$A$1:$Z$20000,MATCH(A3778,'Semrush Data'!$A$1:$A$20000,0),MATCH("Volume",'Semrush Data'!$A$1:$Z$1,0)),"")</f>
        <v>18100</v>
      </c>
      <c r="H3778" s="6" t="n">
        <f aca="false">IFERROR(INDEX('Semrush Data'!$A$1:$Z$20000,MATCH(A3778,'Semrush Data'!$A$1:$A$20000,0),MATCH("Keyword Difficulty*",'Semrush Data'!$A$1:$Z$1,0)),"")</f>
        <v>16</v>
      </c>
      <c r="I3778" s="29" t="n">
        <f aca="false">IFERROR(INDEX('Semrush Data'!$A$1:$Z$20000,MATCH(A3778,'Semrush Data'!$A$1:$A$20000,0),MATCH("CPC*",'Semrush Data'!$A$1:$Z$1,0)),"")</f>
        <v>0.31</v>
      </c>
      <c r="J3778" s="6" t="str">
        <f aca="false">IFERROR(INDEX('Semrush Data'!$A$1:$Z$20000,MATCH(A3778,'Semrush Data'!$A$1:$A$20000,0),MATCH("Intent",'Semrush Data'!$A$1:$Z$1,0)),"")</f>
        <v>Informational</v>
      </c>
    </row>
    <row r="3779" customFormat="false" ht="15" hidden="false" customHeight="true" outlineLevel="0" collapsed="false">
      <c r="A3779" s="6" t="s">
        <v>188</v>
      </c>
      <c r="B3779" s="6" t="s">
        <v>189</v>
      </c>
      <c r="C3779" s="6" t="n">
        <v>2</v>
      </c>
      <c r="D3779" s="6" t="s">
        <v>6868</v>
      </c>
      <c r="E3779" s="6" t="n">
        <v>0</v>
      </c>
      <c r="F3779" s="6"/>
      <c r="G3779" s="28" t="n">
        <f aca="false">IFERROR(INDEX('Semrush Data'!$A$1:$Z$20000,MATCH(A3779,'Semrush Data'!$A$1:$A$20000,0),MATCH("Volume",'Semrush Data'!$A$1:$Z$1,0)),"")</f>
        <v>33100</v>
      </c>
      <c r="H3779" s="6" t="n">
        <f aca="false">IFERROR(INDEX('Semrush Data'!$A$1:$Z$20000,MATCH(A3779,'Semrush Data'!$A$1:$A$20000,0),MATCH("Keyword Difficulty*",'Semrush Data'!$A$1:$Z$1,0)),"")</f>
        <v>44</v>
      </c>
      <c r="I3779" s="29" t="n">
        <f aca="false">IFERROR(INDEX('Semrush Data'!$A$1:$Z$20000,MATCH(A3779,'Semrush Data'!$A$1:$A$20000,0),MATCH("CPC*",'Semrush Data'!$A$1:$Z$1,0)),"")</f>
        <v>1.23</v>
      </c>
      <c r="J3779" s="6" t="str">
        <f aca="false">IFERROR(INDEX('Semrush Data'!$A$1:$Z$20000,MATCH(A3779,'Semrush Data'!$A$1:$A$20000,0),MATCH("Intent",'Semrush Data'!$A$1:$Z$1,0)),"")</f>
        <v>Informational Transactional</v>
      </c>
    </row>
    <row r="3780" customFormat="false" ht="15" hidden="false" customHeight="true" outlineLevel="0" collapsed="false">
      <c r="A3780" s="6" t="s">
        <v>228</v>
      </c>
      <c r="B3780" s="6" t="s">
        <v>189</v>
      </c>
      <c r="C3780" s="6" t="n">
        <v>2</v>
      </c>
      <c r="D3780" s="6" t="s">
        <v>6868</v>
      </c>
      <c r="E3780" s="6" t="n">
        <v>0</v>
      </c>
      <c r="F3780" s="6"/>
      <c r="G3780" s="28" t="n">
        <f aca="false">IFERROR(INDEX('Semrush Data'!$A$1:$Z$20000,MATCH(A3780,'Semrush Data'!$A$1:$A$20000,0),MATCH("Volume",'Semrush Data'!$A$1:$Z$1,0)),"")</f>
        <v>1000</v>
      </c>
      <c r="H3780" s="6" t="n">
        <f aca="false">IFERROR(INDEX('Semrush Data'!$A$1:$Z$20000,MATCH(A3780,'Semrush Data'!$A$1:$A$20000,0),MATCH("Keyword Difficulty*",'Semrush Data'!$A$1:$Z$1,0)),"")</f>
        <v>21</v>
      </c>
      <c r="I3780" s="29" t="n">
        <f aca="false">IFERROR(INDEX('Semrush Data'!$A$1:$Z$20000,MATCH(A3780,'Semrush Data'!$A$1:$A$20000,0),MATCH("CPC*",'Semrush Data'!$A$1:$Z$1,0)),"")</f>
        <v>1.04</v>
      </c>
      <c r="J3780" s="6" t="str">
        <f aca="false">IFERROR(INDEX('Semrush Data'!$A$1:$Z$20000,MATCH(A3780,'Semrush Data'!$A$1:$A$20000,0),MATCH("Intent",'Semrush Data'!$A$1:$Z$1,0)),"")</f>
        <v>Informational</v>
      </c>
    </row>
    <row r="3781" customFormat="false" ht="15" hidden="false" customHeight="true" outlineLevel="0" collapsed="false">
      <c r="A3781" s="6" t="s">
        <v>194</v>
      </c>
      <c r="B3781" s="6" t="s">
        <v>189</v>
      </c>
      <c r="C3781" s="6" t="n">
        <v>2</v>
      </c>
      <c r="D3781" s="6" t="s">
        <v>6868</v>
      </c>
      <c r="E3781" s="6" t="n">
        <v>0</v>
      </c>
      <c r="F3781" s="6"/>
      <c r="G3781" s="28" t="n">
        <f aca="false">IFERROR(INDEX('Semrush Data'!$A$1:$Z$20000,MATCH(A3781,'Semrush Data'!$A$1:$A$20000,0),MATCH("Volume",'Semrush Data'!$A$1:$Z$1,0)),"")</f>
        <v>14800</v>
      </c>
      <c r="H3781" s="6" t="n">
        <f aca="false">IFERROR(INDEX('Semrush Data'!$A$1:$Z$20000,MATCH(A3781,'Semrush Data'!$A$1:$A$20000,0),MATCH("Keyword Difficulty*",'Semrush Data'!$A$1:$Z$1,0)),"")</f>
        <v>38</v>
      </c>
      <c r="I3781" s="29" t="n">
        <f aca="false">IFERROR(INDEX('Semrush Data'!$A$1:$Z$20000,MATCH(A3781,'Semrush Data'!$A$1:$A$20000,0),MATCH("CPC*",'Semrush Data'!$A$1:$Z$1,0)),"")</f>
        <v>0.77</v>
      </c>
      <c r="J3781" s="6" t="str">
        <f aca="false">IFERROR(INDEX('Semrush Data'!$A$1:$Z$20000,MATCH(A3781,'Semrush Data'!$A$1:$A$20000,0),MATCH("Intent",'Semrush Data'!$A$1:$Z$1,0)),"")</f>
        <v>Informational</v>
      </c>
    </row>
    <row r="3782" customFormat="false" ht="15" hidden="false" customHeight="true" outlineLevel="0" collapsed="false">
      <c r="A3782" s="6" t="s">
        <v>213</v>
      </c>
      <c r="B3782" s="6" t="s">
        <v>189</v>
      </c>
      <c r="C3782" s="6" t="n">
        <v>2</v>
      </c>
      <c r="D3782" s="6" t="s">
        <v>6868</v>
      </c>
      <c r="E3782" s="6" t="n">
        <v>0</v>
      </c>
      <c r="F3782" s="6"/>
      <c r="G3782" s="28" t="n">
        <f aca="false">IFERROR(INDEX('Semrush Data'!$A$1:$Z$20000,MATCH(A3782,'Semrush Data'!$A$1:$A$20000,0),MATCH("Volume",'Semrush Data'!$A$1:$Z$1,0)),"")</f>
        <v>2900</v>
      </c>
      <c r="H3782" s="6" t="n">
        <f aca="false">IFERROR(INDEX('Semrush Data'!$A$1:$Z$20000,MATCH(A3782,'Semrush Data'!$A$1:$A$20000,0),MATCH("Keyword Difficulty*",'Semrush Data'!$A$1:$Z$1,0)),"")</f>
        <v>19</v>
      </c>
      <c r="I3782" s="29" t="n">
        <f aca="false">IFERROR(INDEX('Semrush Data'!$A$1:$Z$20000,MATCH(A3782,'Semrush Data'!$A$1:$A$20000,0),MATCH("CPC*",'Semrush Data'!$A$1:$Z$1,0)),"")</f>
        <v>1.33</v>
      </c>
      <c r="J3782" s="6" t="str">
        <f aca="false">IFERROR(INDEX('Semrush Data'!$A$1:$Z$20000,MATCH(A3782,'Semrush Data'!$A$1:$A$20000,0),MATCH("Intent",'Semrush Data'!$A$1:$Z$1,0)),"")</f>
        <v>Informational</v>
      </c>
    </row>
    <row r="3783" customFormat="false" ht="15" hidden="false" customHeight="true" outlineLevel="0" collapsed="false">
      <c r="A3783" s="6" t="s">
        <v>229</v>
      </c>
      <c r="B3783" s="6" t="s">
        <v>189</v>
      </c>
      <c r="C3783" s="6" t="n">
        <v>2</v>
      </c>
      <c r="D3783" s="6" t="s">
        <v>6868</v>
      </c>
      <c r="E3783" s="6" t="n">
        <v>0</v>
      </c>
      <c r="F3783" s="6"/>
      <c r="G3783" s="28" t="n">
        <f aca="false">IFERROR(INDEX('Semrush Data'!$A$1:$Z$20000,MATCH(A3783,'Semrush Data'!$A$1:$A$20000,0),MATCH("Volume",'Semrush Data'!$A$1:$Z$1,0)),"")</f>
        <v>1000</v>
      </c>
      <c r="H3783" s="6" t="n">
        <f aca="false">IFERROR(INDEX('Semrush Data'!$A$1:$Z$20000,MATCH(A3783,'Semrush Data'!$A$1:$A$20000,0),MATCH("Keyword Difficulty*",'Semrush Data'!$A$1:$Z$1,0)),"")</f>
        <v>20</v>
      </c>
      <c r="I3783" s="29" t="n">
        <f aca="false">IFERROR(INDEX('Semrush Data'!$A$1:$Z$20000,MATCH(A3783,'Semrush Data'!$A$1:$A$20000,0),MATCH("CPC*",'Semrush Data'!$A$1:$Z$1,0)),"")</f>
        <v>0.99</v>
      </c>
      <c r="J3783" s="6" t="str">
        <f aca="false">IFERROR(INDEX('Semrush Data'!$A$1:$Z$20000,MATCH(A3783,'Semrush Data'!$A$1:$A$20000,0),MATCH("Intent",'Semrush Data'!$A$1:$Z$1,0)),"")</f>
        <v>Informational</v>
      </c>
    </row>
    <row r="3784" customFormat="false" ht="15" hidden="false" customHeight="true" outlineLevel="0" collapsed="false">
      <c r="A3784" s="6" t="s">
        <v>7914</v>
      </c>
      <c r="B3784" s="6" t="s">
        <v>189</v>
      </c>
      <c r="C3784" s="6" t="n">
        <v>2</v>
      </c>
      <c r="D3784" s="6" t="s">
        <v>6868</v>
      </c>
      <c r="E3784" s="6" t="n">
        <v>0</v>
      </c>
      <c r="F3784" s="6"/>
      <c r="G3784" s="28" t="n">
        <f aca="false">IFERROR(INDEX('Semrush Data'!$A$1:$Z$20000,MATCH(A3784,'Semrush Data'!$A$1:$A$20000,0),MATCH("Volume",'Semrush Data'!$A$1:$Z$1,0)),"")</f>
        <v>590</v>
      </c>
      <c r="H3784" s="6" t="n">
        <f aca="false">IFERROR(INDEX('Semrush Data'!$A$1:$Z$20000,MATCH(A3784,'Semrush Data'!$A$1:$A$20000,0),MATCH("Keyword Difficulty*",'Semrush Data'!$A$1:$Z$1,0)),"")</f>
        <v>11</v>
      </c>
      <c r="I3784" s="29" t="n">
        <f aca="false">IFERROR(INDEX('Semrush Data'!$A$1:$Z$20000,MATCH(A3784,'Semrush Data'!$A$1:$A$20000,0),MATCH("CPC*",'Semrush Data'!$A$1:$Z$1,0)),"")</f>
        <v>0.7</v>
      </c>
      <c r="J3784" s="6" t="str">
        <f aca="false">IFERROR(INDEX('Semrush Data'!$A$1:$Z$20000,MATCH(A3784,'Semrush Data'!$A$1:$A$20000,0),MATCH("Intent",'Semrush Data'!$A$1:$Z$1,0)),"")</f>
        <v>Informational</v>
      </c>
    </row>
    <row r="3785" customFormat="false" ht="15" hidden="false" customHeight="true" outlineLevel="0" collapsed="false">
      <c r="A3785" s="6" t="s">
        <v>7915</v>
      </c>
      <c r="B3785" s="6" t="s">
        <v>189</v>
      </c>
      <c r="C3785" s="6" t="n">
        <v>2</v>
      </c>
      <c r="D3785" s="6" t="s">
        <v>6868</v>
      </c>
      <c r="E3785" s="6" t="n">
        <v>0</v>
      </c>
      <c r="F3785" s="6"/>
      <c r="G3785" s="28" t="n">
        <f aca="false">IFERROR(INDEX('Semrush Data'!$A$1:$Z$20000,MATCH(A3785,'Semrush Data'!$A$1:$A$20000,0),MATCH("Volume",'Semrush Data'!$A$1:$Z$1,0)),"")</f>
        <v>590</v>
      </c>
      <c r="H3785" s="6" t="n">
        <f aca="false">IFERROR(INDEX('Semrush Data'!$A$1:$Z$20000,MATCH(A3785,'Semrush Data'!$A$1:$A$20000,0),MATCH("Keyword Difficulty*",'Semrush Data'!$A$1:$Z$1,0)),"")</f>
        <v>9</v>
      </c>
      <c r="I3785" s="29" t="n">
        <f aca="false">IFERROR(INDEX('Semrush Data'!$A$1:$Z$20000,MATCH(A3785,'Semrush Data'!$A$1:$A$20000,0),MATCH("CPC*",'Semrush Data'!$A$1:$Z$1,0)),"")</f>
        <v>0.71</v>
      </c>
      <c r="J3785" s="6" t="str">
        <f aca="false">IFERROR(INDEX('Semrush Data'!$A$1:$Z$20000,MATCH(A3785,'Semrush Data'!$A$1:$A$20000,0),MATCH("Intent",'Semrush Data'!$A$1:$Z$1,0)),"")</f>
        <v>Informational</v>
      </c>
    </row>
    <row r="3786" customFormat="false" ht="15" hidden="false" customHeight="true" outlineLevel="0" collapsed="false">
      <c r="A3786" s="6" t="s">
        <v>7916</v>
      </c>
      <c r="B3786" s="6" t="s">
        <v>189</v>
      </c>
      <c r="C3786" s="6" t="n">
        <v>2</v>
      </c>
      <c r="D3786" s="6" t="s">
        <v>6868</v>
      </c>
      <c r="E3786" s="6" t="n">
        <v>0</v>
      </c>
      <c r="F3786" s="6"/>
      <c r="G3786" s="28" t="n">
        <f aca="false">IFERROR(INDEX('Semrush Data'!$A$1:$Z$20000,MATCH(A3786,'Semrush Data'!$A$1:$A$20000,0),MATCH("Volume",'Semrush Data'!$A$1:$Z$1,0)),"")</f>
        <v>170</v>
      </c>
      <c r="H3786" s="6" t="n">
        <f aca="false">IFERROR(INDEX('Semrush Data'!$A$1:$Z$20000,MATCH(A3786,'Semrush Data'!$A$1:$A$20000,0),MATCH("Keyword Difficulty*",'Semrush Data'!$A$1:$Z$1,0)),"")</f>
        <v>6</v>
      </c>
      <c r="I3786" s="29" t="n">
        <f aca="false">IFERROR(INDEX('Semrush Data'!$A$1:$Z$20000,MATCH(A3786,'Semrush Data'!$A$1:$A$20000,0),MATCH("CPC*",'Semrush Data'!$A$1:$Z$1,0)),"")</f>
        <v>0.46</v>
      </c>
      <c r="J3786" s="6" t="str">
        <f aca="false">IFERROR(INDEX('Semrush Data'!$A$1:$Z$20000,MATCH(A3786,'Semrush Data'!$A$1:$A$20000,0),MATCH("Intent",'Semrush Data'!$A$1:$Z$1,0)),"")</f>
        <v>Informational</v>
      </c>
    </row>
    <row r="3787" customFormat="false" ht="15" hidden="false" customHeight="true" outlineLevel="0" collapsed="false">
      <c r="A3787" s="6" t="s">
        <v>218</v>
      </c>
      <c r="B3787" s="6" t="s">
        <v>189</v>
      </c>
      <c r="C3787" s="6" t="n">
        <v>2</v>
      </c>
      <c r="D3787" s="6" t="s">
        <v>6868</v>
      </c>
      <c r="E3787" s="6" t="n">
        <v>0</v>
      </c>
      <c r="F3787" s="6"/>
      <c r="G3787" s="28" t="n">
        <f aca="false">IFERROR(INDEX('Semrush Data'!$A$1:$Z$20000,MATCH(A3787,'Semrush Data'!$A$1:$A$20000,0),MATCH("Volume",'Semrush Data'!$A$1:$Z$1,0)),"")</f>
        <v>1900</v>
      </c>
      <c r="H3787" s="6" t="n">
        <f aca="false">IFERROR(INDEX('Semrush Data'!$A$1:$Z$20000,MATCH(A3787,'Semrush Data'!$A$1:$A$20000,0),MATCH("Keyword Difficulty*",'Semrush Data'!$A$1:$Z$1,0)),"")</f>
        <v>28</v>
      </c>
      <c r="I3787" s="29" t="n">
        <f aca="false">IFERROR(INDEX('Semrush Data'!$A$1:$Z$20000,MATCH(A3787,'Semrush Data'!$A$1:$A$20000,0),MATCH("CPC*",'Semrush Data'!$A$1:$Z$1,0)),"")</f>
        <v>0.66</v>
      </c>
      <c r="J3787" s="6" t="str">
        <f aca="false">IFERROR(INDEX('Semrush Data'!$A$1:$Z$20000,MATCH(A3787,'Semrush Data'!$A$1:$A$20000,0),MATCH("Intent",'Semrush Data'!$A$1:$Z$1,0)),"")</f>
        <v>Informational Transactional</v>
      </c>
    </row>
    <row r="3788" customFormat="false" ht="15" hidden="false" customHeight="true" outlineLevel="0" collapsed="false">
      <c r="A3788" s="6" t="s">
        <v>7917</v>
      </c>
      <c r="B3788" s="6" t="s">
        <v>189</v>
      </c>
      <c r="C3788" s="6" t="n">
        <v>2</v>
      </c>
      <c r="D3788" s="6" t="s">
        <v>6868</v>
      </c>
      <c r="E3788" s="6" t="n">
        <v>0</v>
      </c>
      <c r="F3788" s="6"/>
      <c r="G3788" s="28" t="n">
        <f aca="false">IFERROR(INDEX('Semrush Data'!$A$1:$Z$20000,MATCH(A3788,'Semrush Data'!$A$1:$A$20000,0),MATCH("Volume",'Semrush Data'!$A$1:$Z$1,0)),"")</f>
        <v>260</v>
      </c>
      <c r="H3788" s="6" t="n">
        <f aca="false">IFERROR(INDEX('Semrush Data'!$A$1:$Z$20000,MATCH(A3788,'Semrush Data'!$A$1:$A$20000,0),MATCH("Keyword Difficulty*",'Semrush Data'!$A$1:$Z$1,0)),"")</f>
        <v>19</v>
      </c>
      <c r="I3788" s="29" t="n">
        <f aca="false">IFERROR(INDEX('Semrush Data'!$A$1:$Z$20000,MATCH(A3788,'Semrush Data'!$A$1:$A$20000,0),MATCH("CPC*",'Semrush Data'!$A$1:$Z$1,0)),"")</f>
        <v>0.4</v>
      </c>
      <c r="J3788" s="6" t="str">
        <f aca="false">IFERROR(INDEX('Semrush Data'!$A$1:$Z$20000,MATCH(A3788,'Semrush Data'!$A$1:$A$20000,0),MATCH("Intent",'Semrush Data'!$A$1:$Z$1,0)),"")</f>
        <v>Informational</v>
      </c>
    </row>
    <row r="3789" customFormat="false" ht="15" hidden="false" customHeight="true" outlineLevel="0" collapsed="false">
      <c r="A3789" s="6" t="s">
        <v>202</v>
      </c>
      <c r="B3789" s="6" t="s">
        <v>189</v>
      </c>
      <c r="C3789" s="6" t="n">
        <v>2</v>
      </c>
      <c r="D3789" s="6" t="s">
        <v>6868</v>
      </c>
      <c r="E3789" s="6" t="n">
        <v>0</v>
      </c>
      <c r="F3789" s="6"/>
      <c r="G3789" s="28" t="n">
        <f aca="false">IFERROR(INDEX('Semrush Data'!$A$1:$Z$20000,MATCH(A3789,'Semrush Data'!$A$1:$A$20000,0),MATCH("Volume",'Semrush Data'!$A$1:$Z$1,0)),"")</f>
        <v>5400</v>
      </c>
      <c r="H3789" s="6" t="n">
        <f aca="false">IFERROR(INDEX('Semrush Data'!$A$1:$Z$20000,MATCH(A3789,'Semrush Data'!$A$1:$A$20000,0),MATCH("Keyword Difficulty*",'Semrush Data'!$A$1:$Z$1,0)),"")</f>
        <v>21</v>
      </c>
      <c r="I3789" s="29" t="n">
        <f aca="false">IFERROR(INDEX('Semrush Data'!$A$1:$Z$20000,MATCH(A3789,'Semrush Data'!$A$1:$A$20000,0),MATCH("CPC*",'Semrush Data'!$A$1:$Z$1,0)),"")</f>
        <v>1.76</v>
      </c>
      <c r="J3789" s="6" t="str">
        <f aca="false">IFERROR(INDEX('Semrush Data'!$A$1:$Z$20000,MATCH(A3789,'Semrush Data'!$A$1:$A$20000,0),MATCH("Intent",'Semrush Data'!$A$1:$Z$1,0)),"")</f>
        <v>Informational Commercial</v>
      </c>
    </row>
    <row r="3790" customFormat="false" ht="15" hidden="false" customHeight="true" outlineLevel="0" collapsed="false">
      <c r="A3790" s="6" t="s">
        <v>214</v>
      </c>
      <c r="B3790" s="6" t="s">
        <v>189</v>
      </c>
      <c r="C3790" s="6" t="n">
        <v>2</v>
      </c>
      <c r="D3790" s="6" t="s">
        <v>6868</v>
      </c>
      <c r="E3790" s="6" t="n">
        <v>0</v>
      </c>
      <c r="F3790" s="6"/>
      <c r="G3790" s="28" t="n">
        <f aca="false">IFERROR(INDEX('Semrush Data'!$A$1:$Z$20000,MATCH(A3790,'Semrush Data'!$A$1:$A$20000,0),MATCH("Volume",'Semrush Data'!$A$1:$Z$1,0)),"")</f>
        <v>2900</v>
      </c>
      <c r="H3790" s="6" t="n">
        <f aca="false">IFERROR(INDEX('Semrush Data'!$A$1:$Z$20000,MATCH(A3790,'Semrush Data'!$A$1:$A$20000,0),MATCH("Keyword Difficulty*",'Semrush Data'!$A$1:$Z$1,0)),"")</f>
        <v>9</v>
      </c>
      <c r="I3790" s="29" t="n">
        <f aca="false">IFERROR(INDEX('Semrush Data'!$A$1:$Z$20000,MATCH(A3790,'Semrush Data'!$A$1:$A$20000,0),MATCH("CPC*",'Semrush Data'!$A$1:$Z$1,0)),"")</f>
        <v>0.33</v>
      </c>
      <c r="J3790" s="6" t="str">
        <f aca="false">IFERROR(INDEX('Semrush Data'!$A$1:$Z$20000,MATCH(A3790,'Semrush Data'!$A$1:$A$20000,0),MATCH("Intent",'Semrush Data'!$A$1:$Z$1,0)),"")</f>
        <v>Informational</v>
      </c>
    </row>
    <row r="3791" customFormat="false" ht="15" hidden="false" customHeight="true" outlineLevel="0" collapsed="false">
      <c r="A3791" s="6" t="s">
        <v>208</v>
      </c>
      <c r="B3791" s="6" t="s">
        <v>189</v>
      </c>
      <c r="C3791" s="6" t="n">
        <v>2</v>
      </c>
      <c r="D3791" s="6" t="s">
        <v>6868</v>
      </c>
      <c r="E3791" s="6" t="n">
        <v>0</v>
      </c>
      <c r="F3791" s="6"/>
      <c r="G3791" s="28" t="n">
        <f aca="false">IFERROR(INDEX('Semrush Data'!$A$1:$Z$20000,MATCH(A3791,'Semrush Data'!$A$1:$A$20000,0),MATCH("Volume",'Semrush Data'!$A$1:$Z$1,0)),"")</f>
        <v>3600</v>
      </c>
      <c r="H3791" s="6" t="n">
        <f aca="false">IFERROR(INDEX('Semrush Data'!$A$1:$Z$20000,MATCH(A3791,'Semrush Data'!$A$1:$A$20000,0),MATCH("Keyword Difficulty*",'Semrush Data'!$A$1:$Z$1,0)),"")</f>
        <v>34</v>
      </c>
      <c r="I3791" s="29" t="n">
        <f aca="false">IFERROR(INDEX('Semrush Data'!$A$1:$Z$20000,MATCH(A3791,'Semrush Data'!$A$1:$A$20000,0),MATCH("CPC*",'Semrush Data'!$A$1:$Z$1,0)),"")</f>
        <v>0.51</v>
      </c>
      <c r="J3791" s="6" t="str">
        <f aca="false">IFERROR(INDEX('Semrush Data'!$A$1:$Z$20000,MATCH(A3791,'Semrush Data'!$A$1:$A$20000,0),MATCH("Intent",'Semrush Data'!$A$1:$Z$1,0)),"")</f>
        <v>Informational</v>
      </c>
    </row>
    <row r="3792" customFormat="false" ht="15" hidden="false" customHeight="true" outlineLevel="0" collapsed="false">
      <c r="A3792" s="6" t="s">
        <v>7918</v>
      </c>
      <c r="B3792" s="6" t="s">
        <v>189</v>
      </c>
      <c r="C3792" s="6" t="n">
        <v>2</v>
      </c>
      <c r="D3792" s="6" t="s">
        <v>6868</v>
      </c>
      <c r="E3792" s="6" t="n">
        <v>0</v>
      </c>
      <c r="F3792" s="6"/>
      <c r="G3792" s="28" t="n">
        <f aca="false">IFERROR(INDEX('Semrush Data'!$A$1:$Z$20000,MATCH(A3792,'Semrush Data'!$A$1:$A$20000,0),MATCH("Volume",'Semrush Data'!$A$1:$Z$1,0)),"")</f>
        <v>140</v>
      </c>
      <c r="H3792" s="6" t="n">
        <f aca="false">IFERROR(INDEX('Semrush Data'!$A$1:$Z$20000,MATCH(A3792,'Semrush Data'!$A$1:$A$20000,0),MATCH("Keyword Difficulty*",'Semrush Data'!$A$1:$Z$1,0)),"")</f>
        <v>7</v>
      </c>
      <c r="I3792" s="29" t="n">
        <f aca="false">IFERROR(INDEX('Semrush Data'!$A$1:$Z$20000,MATCH(A3792,'Semrush Data'!$A$1:$A$20000,0),MATCH("CPC*",'Semrush Data'!$A$1:$Z$1,0)),"")</f>
        <v>0.34</v>
      </c>
      <c r="J3792" s="6" t="str">
        <f aca="false">IFERROR(INDEX('Semrush Data'!$A$1:$Z$20000,MATCH(A3792,'Semrush Data'!$A$1:$A$20000,0),MATCH("Intent",'Semrush Data'!$A$1:$Z$1,0)),"")</f>
        <v>Informational</v>
      </c>
    </row>
    <row r="3793" customFormat="false" ht="15" hidden="false" customHeight="true" outlineLevel="0" collapsed="false">
      <c r="A3793" s="6" t="s">
        <v>7919</v>
      </c>
      <c r="B3793" s="6" t="s">
        <v>189</v>
      </c>
      <c r="C3793" s="6" t="n">
        <v>2</v>
      </c>
      <c r="D3793" s="6" t="s">
        <v>6868</v>
      </c>
      <c r="E3793" s="6" t="n">
        <v>0</v>
      </c>
      <c r="F3793" s="6"/>
      <c r="G3793" s="28" t="n">
        <f aca="false">IFERROR(INDEX('Semrush Data'!$A$1:$Z$20000,MATCH(A3793,'Semrush Data'!$A$1:$A$20000,0),MATCH("Volume",'Semrush Data'!$A$1:$Z$1,0)),"")</f>
        <v>720</v>
      </c>
      <c r="H3793" s="6" t="n">
        <f aca="false">IFERROR(INDEX('Semrush Data'!$A$1:$Z$20000,MATCH(A3793,'Semrush Data'!$A$1:$A$20000,0),MATCH("Keyword Difficulty*",'Semrush Data'!$A$1:$Z$1,0)),"")</f>
        <v>20</v>
      </c>
      <c r="I3793" s="29" t="n">
        <f aca="false">IFERROR(INDEX('Semrush Data'!$A$1:$Z$20000,MATCH(A3793,'Semrush Data'!$A$1:$A$20000,0),MATCH("CPC*",'Semrush Data'!$A$1:$Z$1,0)),"")</f>
        <v>0.3</v>
      </c>
      <c r="J3793" s="6" t="str">
        <f aca="false">IFERROR(INDEX('Semrush Data'!$A$1:$Z$20000,MATCH(A3793,'Semrush Data'!$A$1:$A$20000,0),MATCH("Intent",'Semrush Data'!$A$1:$Z$1,0)),"")</f>
        <v>Informational</v>
      </c>
    </row>
    <row r="3794" customFormat="false" ht="15" hidden="false" customHeight="true" outlineLevel="0" collapsed="false">
      <c r="A3794" s="6" t="s">
        <v>7920</v>
      </c>
      <c r="B3794" s="6" t="s">
        <v>189</v>
      </c>
      <c r="C3794" s="6" t="n">
        <v>2</v>
      </c>
      <c r="D3794" s="6" t="s">
        <v>6868</v>
      </c>
      <c r="E3794" s="6" t="n">
        <v>0</v>
      </c>
      <c r="F3794" s="6"/>
      <c r="G3794" s="28" t="n">
        <f aca="false">IFERROR(INDEX('Semrush Data'!$A$1:$Z$20000,MATCH(A3794,'Semrush Data'!$A$1:$A$20000,0),MATCH("Volume",'Semrush Data'!$A$1:$Z$1,0)),"")</f>
        <v>390</v>
      </c>
      <c r="H3794" s="6" t="n">
        <f aca="false">IFERROR(INDEX('Semrush Data'!$A$1:$Z$20000,MATCH(A3794,'Semrush Data'!$A$1:$A$20000,0),MATCH("Keyword Difficulty*",'Semrush Data'!$A$1:$Z$1,0)),"")</f>
        <v>12</v>
      </c>
      <c r="I3794" s="29" t="n">
        <f aca="false">IFERROR(INDEX('Semrush Data'!$A$1:$Z$20000,MATCH(A3794,'Semrush Data'!$A$1:$A$20000,0),MATCH("CPC*",'Semrush Data'!$A$1:$Z$1,0)),"")</f>
        <v>1</v>
      </c>
      <c r="J3794" s="6" t="str">
        <f aca="false">IFERROR(INDEX('Semrush Data'!$A$1:$Z$20000,MATCH(A3794,'Semrush Data'!$A$1:$A$20000,0),MATCH("Intent",'Semrush Data'!$A$1:$Z$1,0)),"")</f>
        <v>Informational</v>
      </c>
    </row>
    <row r="3795" customFormat="false" ht="15" hidden="false" customHeight="true" outlineLevel="0" collapsed="false">
      <c r="A3795" s="6" t="s">
        <v>7921</v>
      </c>
      <c r="B3795" s="6" t="s">
        <v>189</v>
      </c>
      <c r="C3795" s="6" t="n">
        <v>2</v>
      </c>
      <c r="D3795" s="6" t="s">
        <v>6868</v>
      </c>
      <c r="E3795" s="6" t="n">
        <v>0</v>
      </c>
      <c r="F3795" s="6"/>
      <c r="G3795" s="28" t="n">
        <f aca="false">IFERROR(INDEX('Semrush Data'!$A$1:$Z$20000,MATCH(A3795,'Semrush Data'!$A$1:$A$20000,0),MATCH("Volume",'Semrush Data'!$A$1:$Z$1,0)),"")</f>
        <v>20</v>
      </c>
      <c r="H3795" s="6" t="n">
        <f aca="false">IFERROR(INDEX('Semrush Data'!$A$1:$Z$20000,MATCH(A3795,'Semrush Data'!$A$1:$A$20000,0),MATCH("Keyword Difficulty*",'Semrush Data'!$A$1:$Z$1,0)),"")</f>
        <v>3</v>
      </c>
      <c r="I3795" s="29" t="n">
        <f aca="false">IFERROR(INDEX('Semrush Data'!$A$1:$Z$20000,MATCH(A3795,'Semrush Data'!$A$1:$A$20000,0),MATCH("CPC*",'Semrush Data'!$A$1:$Z$1,0)),"")</f>
        <v>0</v>
      </c>
      <c r="J3795" s="6" t="str">
        <f aca="false">IFERROR(INDEX('Semrush Data'!$A$1:$Z$20000,MATCH(A3795,'Semrush Data'!$A$1:$A$20000,0),MATCH("Intent",'Semrush Data'!$A$1:$Z$1,0)),"")</f>
        <v>Informational Transactional</v>
      </c>
    </row>
    <row r="3796" customFormat="false" ht="15" hidden="false" customHeight="true" outlineLevel="0" collapsed="false">
      <c r="A3796" s="6" t="s">
        <v>7922</v>
      </c>
      <c r="B3796" s="6" t="s">
        <v>189</v>
      </c>
      <c r="C3796" s="6" t="n">
        <v>2</v>
      </c>
      <c r="D3796" s="6" t="s">
        <v>6868</v>
      </c>
      <c r="E3796" s="6" t="n">
        <v>0</v>
      </c>
      <c r="F3796" s="6"/>
      <c r="G3796" s="28" t="n">
        <f aca="false">IFERROR(INDEX('Semrush Data'!$A$1:$Z$20000,MATCH(A3796,'Semrush Data'!$A$1:$A$20000,0),MATCH("Volume",'Semrush Data'!$A$1:$Z$1,0)),"")</f>
        <v>30</v>
      </c>
      <c r="H3796" s="6" t="n">
        <f aca="false">IFERROR(INDEX('Semrush Data'!$A$1:$Z$20000,MATCH(A3796,'Semrush Data'!$A$1:$A$20000,0),MATCH("Keyword Difficulty*",'Semrush Data'!$A$1:$Z$1,0)),"")</f>
        <v>15</v>
      </c>
      <c r="I3796" s="29" t="n">
        <f aca="false">IFERROR(INDEX('Semrush Data'!$A$1:$Z$20000,MATCH(A3796,'Semrush Data'!$A$1:$A$20000,0),MATCH("CPC*",'Semrush Data'!$A$1:$Z$1,0)),"")</f>
        <v>0</v>
      </c>
      <c r="J3796" s="6" t="str">
        <f aca="false">IFERROR(INDEX('Semrush Data'!$A$1:$Z$20000,MATCH(A3796,'Semrush Data'!$A$1:$A$20000,0),MATCH("Intent",'Semrush Data'!$A$1:$Z$1,0)),"")</f>
        <v>Informational</v>
      </c>
    </row>
    <row r="3797" customFormat="false" ht="15" hidden="false" customHeight="true" outlineLevel="0" collapsed="false">
      <c r="A3797" s="6" t="s">
        <v>7923</v>
      </c>
      <c r="B3797" s="6" t="s">
        <v>189</v>
      </c>
      <c r="C3797" s="6" t="n">
        <v>2</v>
      </c>
      <c r="D3797" s="6" t="s">
        <v>6868</v>
      </c>
      <c r="E3797" s="6" t="n">
        <v>0</v>
      </c>
      <c r="F3797" s="6"/>
      <c r="G3797" s="28" t="n">
        <f aca="false">IFERROR(INDEX('Semrush Data'!$A$1:$Z$20000,MATCH(A3797,'Semrush Data'!$A$1:$A$20000,0),MATCH("Volume",'Semrush Data'!$A$1:$Z$1,0)),"")</f>
        <v>140</v>
      </c>
      <c r="H3797" s="6" t="n">
        <f aca="false">IFERROR(INDEX('Semrush Data'!$A$1:$Z$20000,MATCH(A3797,'Semrush Data'!$A$1:$A$20000,0),MATCH("Keyword Difficulty*",'Semrush Data'!$A$1:$Z$1,0)),"")</f>
        <v>25</v>
      </c>
      <c r="I3797" s="29" t="n">
        <f aca="false">IFERROR(INDEX('Semrush Data'!$A$1:$Z$20000,MATCH(A3797,'Semrush Data'!$A$1:$A$20000,0),MATCH("CPC*",'Semrush Data'!$A$1:$Z$1,0)),"")</f>
        <v>0</v>
      </c>
      <c r="J3797" s="6" t="str">
        <f aca="false">IFERROR(INDEX('Semrush Data'!$A$1:$Z$20000,MATCH(A3797,'Semrush Data'!$A$1:$A$20000,0),MATCH("Intent",'Semrush Data'!$A$1:$Z$1,0)),"")</f>
        <v>Informational</v>
      </c>
    </row>
    <row r="3798" customFormat="false" ht="15" hidden="false" customHeight="true" outlineLevel="0" collapsed="false">
      <c r="A3798" s="6" t="s">
        <v>7924</v>
      </c>
      <c r="B3798" s="6" t="s">
        <v>189</v>
      </c>
      <c r="C3798" s="6" t="n">
        <v>2</v>
      </c>
      <c r="D3798" s="6" t="s">
        <v>6868</v>
      </c>
      <c r="E3798" s="6" t="n">
        <v>0</v>
      </c>
      <c r="F3798" s="6"/>
      <c r="G3798" s="28" t="n">
        <f aca="false">IFERROR(INDEX('Semrush Data'!$A$1:$Z$20000,MATCH(A3798,'Semrush Data'!$A$1:$A$20000,0),MATCH("Volume",'Semrush Data'!$A$1:$Z$1,0)),"")</f>
        <v>140</v>
      </c>
      <c r="H3798" s="6" t="n">
        <f aca="false">IFERROR(INDEX('Semrush Data'!$A$1:$Z$20000,MATCH(A3798,'Semrush Data'!$A$1:$A$20000,0),MATCH("Keyword Difficulty*",'Semrush Data'!$A$1:$Z$1,0)),"")</f>
        <v>9</v>
      </c>
      <c r="I3798" s="29" t="n">
        <f aca="false">IFERROR(INDEX('Semrush Data'!$A$1:$Z$20000,MATCH(A3798,'Semrush Data'!$A$1:$A$20000,0),MATCH("CPC*",'Semrush Data'!$A$1:$Z$1,0)),"")</f>
        <v>0</v>
      </c>
      <c r="J3798" s="6" t="str">
        <f aca="false">IFERROR(INDEX('Semrush Data'!$A$1:$Z$20000,MATCH(A3798,'Semrush Data'!$A$1:$A$20000,0),MATCH("Intent",'Semrush Data'!$A$1:$Z$1,0)),"")</f>
        <v>Informational</v>
      </c>
    </row>
    <row r="3799" customFormat="false" ht="15" hidden="false" customHeight="true" outlineLevel="0" collapsed="false">
      <c r="A3799" s="6" t="s">
        <v>219</v>
      </c>
      <c r="B3799" s="6" t="s">
        <v>189</v>
      </c>
      <c r="C3799" s="6" t="n">
        <v>2</v>
      </c>
      <c r="D3799" s="6" t="s">
        <v>6868</v>
      </c>
      <c r="E3799" s="6" t="n">
        <v>0</v>
      </c>
      <c r="F3799" s="6"/>
      <c r="G3799" s="28" t="n">
        <f aca="false">IFERROR(INDEX('Semrush Data'!$A$1:$Z$20000,MATCH(A3799,'Semrush Data'!$A$1:$A$20000,0),MATCH("Volume",'Semrush Data'!$A$1:$Z$1,0)),"")</f>
        <v>1900</v>
      </c>
      <c r="H3799" s="6" t="n">
        <f aca="false">IFERROR(INDEX('Semrush Data'!$A$1:$Z$20000,MATCH(A3799,'Semrush Data'!$A$1:$A$20000,0),MATCH("Keyword Difficulty*",'Semrush Data'!$A$1:$Z$1,0)),"")</f>
        <v>22</v>
      </c>
      <c r="I3799" s="29" t="n">
        <f aca="false">IFERROR(INDEX('Semrush Data'!$A$1:$Z$20000,MATCH(A3799,'Semrush Data'!$A$1:$A$20000,0),MATCH("CPC*",'Semrush Data'!$A$1:$Z$1,0)),"")</f>
        <v>0.8</v>
      </c>
      <c r="J3799" s="6" t="str">
        <f aca="false">IFERROR(INDEX('Semrush Data'!$A$1:$Z$20000,MATCH(A3799,'Semrush Data'!$A$1:$A$20000,0),MATCH("Intent",'Semrush Data'!$A$1:$Z$1,0)),"")</f>
        <v>Informational</v>
      </c>
    </row>
    <row r="3800" customFormat="false" ht="15" hidden="false" customHeight="true" outlineLevel="0" collapsed="false">
      <c r="A3800" s="6" t="s">
        <v>7925</v>
      </c>
      <c r="B3800" s="6" t="s">
        <v>189</v>
      </c>
      <c r="C3800" s="6" t="n">
        <v>2</v>
      </c>
      <c r="D3800" s="6" t="s">
        <v>6868</v>
      </c>
      <c r="E3800" s="6" t="n">
        <v>0</v>
      </c>
      <c r="F3800" s="6"/>
      <c r="G3800" s="28" t="n">
        <f aca="false">IFERROR(INDEX('Semrush Data'!$A$1:$Z$20000,MATCH(A3800,'Semrush Data'!$A$1:$A$20000,0),MATCH("Volume",'Semrush Data'!$A$1:$Z$1,0)),"")</f>
        <v>590</v>
      </c>
      <c r="H3800" s="6" t="n">
        <f aca="false">IFERROR(INDEX('Semrush Data'!$A$1:$Z$20000,MATCH(A3800,'Semrush Data'!$A$1:$A$20000,0),MATCH("Keyword Difficulty*",'Semrush Data'!$A$1:$Z$1,0)),"")</f>
        <v>22</v>
      </c>
      <c r="I3800" s="29" t="n">
        <f aca="false">IFERROR(INDEX('Semrush Data'!$A$1:$Z$20000,MATCH(A3800,'Semrush Data'!$A$1:$A$20000,0),MATCH("CPC*",'Semrush Data'!$A$1:$Z$1,0)),"")</f>
        <v>0.81</v>
      </c>
      <c r="J3800" s="6" t="str">
        <f aca="false">IFERROR(INDEX('Semrush Data'!$A$1:$Z$20000,MATCH(A3800,'Semrush Data'!$A$1:$A$20000,0),MATCH("Intent",'Semrush Data'!$A$1:$Z$1,0)),"")</f>
        <v>Informational</v>
      </c>
    </row>
    <row r="3801" customFormat="false" ht="15" hidden="false" customHeight="true" outlineLevel="0" collapsed="false">
      <c r="A3801" s="6" t="s">
        <v>7926</v>
      </c>
      <c r="B3801" s="6" t="s">
        <v>189</v>
      </c>
      <c r="C3801" s="6" t="n">
        <v>2</v>
      </c>
      <c r="D3801" s="6" t="s">
        <v>7927</v>
      </c>
      <c r="E3801" s="6" t="n">
        <v>0</v>
      </c>
      <c r="F3801" s="6"/>
      <c r="G3801" s="28" t="n">
        <f aca="false">IFERROR(INDEX('Semrush Data'!$A$1:$Z$20000,MATCH(A3801,'Semrush Data'!$A$1:$A$20000,0),MATCH("Volume",'Semrush Data'!$A$1:$Z$1,0)),"")</f>
        <v>390</v>
      </c>
      <c r="H3801" s="6" t="n">
        <f aca="false">IFERROR(INDEX('Semrush Data'!$A$1:$Z$20000,MATCH(A3801,'Semrush Data'!$A$1:$A$20000,0),MATCH("Keyword Difficulty*",'Semrush Data'!$A$1:$Z$1,0)),"")</f>
        <v>22</v>
      </c>
      <c r="I3801" s="29" t="n">
        <f aca="false">IFERROR(INDEX('Semrush Data'!$A$1:$Z$20000,MATCH(A3801,'Semrush Data'!$A$1:$A$20000,0),MATCH("CPC*",'Semrush Data'!$A$1:$Z$1,0)),"")</f>
        <v>0.94</v>
      </c>
      <c r="J3801" s="6" t="str">
        <f aca="false">IFERROR(INDEX('Semrush Data'!$A$1:$Z$20000,MATCH(A3801,'Semrush Data'!$A$1:$A$20000,0),MATCH("Intent",'Semrush Data'!$A$1:$Z$1,0)),"")</f>
        <v>Informational</v>
      </c>
    </row>
    <row r="3802" customFormat="false" ht="15" hidden="false" customHeight="true" outlineLevel="0" collapsed="false">
      <c r="A3802" s="6" t="s">
        <v>7928</v>
      </c>
      <c r="B3802" s="6" t="s">
        <v>189</v>
      </c>
      <c r="C3802" s="6" t="n">
        <v>2</v>
      </c>
      <c r="D3802" s="6" t="s">
        <v>7927</v>
      </c>
      <c r="E3802" s="6" t="n">
        <v>0</v>
      </c>
      <c r="F3802" s="6"/>
      <c r="G3802" s="28" t="n">
        <f aca="false">IFERROR(INDEX('Semrush Data'!$A$1:$Z$20000,MATCH(A3802,'Semrush Data'!$A$1:$A$20000,0),MATCH("Volume",'Semrush Data'!$A$1:$Z$1,0)),"")</f>
        <v>390</v>
      </c>
      <c r="H3802" s="6" t="n">
        <f aca="false">IFERROR(INDEX('Semrush Data'!$A$1:$Z$20000,MATCH(A3802,'Semrush Data'!$A$1:$A$20000,0),MATCH("Keyword Difficulty*",'Semrush Data'!$A$1:$Z$1,0)),"")</f>
        <v>55</v>
      </c>
      <c r="I3802" s="29" t="n">
        <f aca="false">IFERROR(INDEX('Semrush Data'!$A$1:$Z$20000,MATCH(A3802,'Semrush Data'!$A$1:$A$20000,0),MATCH("CPC*",'Semrush Data'!$A$1:$Z$1,0)),"")</f>
        <v>0.64</v>
      </c>
      <c r="J3802" s="6" t="str">
        <f aca="false">IFERROR(INDEX('Semrush Data'!$A$1:$Z$20000,MATCH(A3802,'Semrush Data'!$A$1:$A$20000,0),MATCH("Intent",'Semrush Data'!$A$1:$Z$1,0)),"")</f>
        <v>Informational</v>
      </c>
    </row>
    <row r="3803" customFormat="false" ht="15" hidden="false" customHeight="true" outlineLevel="0" collapsed="false">
      <c r="A3803" s="6" t="s">
        <v>7929</v>
      </c>
      <c r="B3803" s="6" t="s">
        <v>189</v>
      </c>
      <c r="C3803" s="6" t="n">
        <v>2</v>
      </c>
      <c r="D3803" s="6" t="s">
        <v>7927</v>
      </c>
      <c r="E3803" s="6" t="n">
        <v>0</v>
      </c>
      <c r="F3803" s="6"/>
      <c r="G3803" s="28" t="n">
        <f aca="false">IFERROR(INDEX('Semrush Data'!$A$1:$Z$20000,MATCH(A3803,'Semrush Data'!$A$1:$A$20000,0),MATCH("Volume",'Semrush Data'!$A$1:$Z$1,0)),"")</f>
        <v>590</v>
      </c>
      <c r="H3803" s="6" t="n">
        <f aca="false">IFERROR(INDEX('Semrush Data'!$A$1:$Z$20000,MATCH(A3803,'Semrush Data'!$A$1:$A$20000,0),MATCH("Keyword Difficulty*",'Semrush Data'!$A$1:$Z$1,0)),"")</f>
        <v>22</v>
      </c>
      <c r="I3803" s="29" t="n">
        <f aca="false">IFERROR(INDEX('Semrush Data'!$A$1:$Z$20000,MATCH(A3803,'Semrush Data'!$A$1:$A$20000,0),MATCH("CPC*",'Semrush Data'!$A$1:$Z$1,0)),"")</f>
        <v>0.4</v>
      </c>
      <c r="J3803" s="6" t="str">
        <f aca="false">IFERROR(INDEX('Semrush Data'!$A$1:$Z$20000,MATCH(A3803,'Semrush Data'!$A$1:$A$20000,0),MATCH("Intent",'Semrush Data'!$A$1:$Z$1,0)),"")</f>
        <v>Commercial</v>
      </c>
    </row>
    <row r="3804" customFormat="false" ht="15" hidden="false" customHeight="true" outlineLevel="0" collapsed="false">
      <c r="A3804" s="6" t="s">
        <v>200</v>
      </c>
      <c r="B3804" s="6" t="s">
        <v>189</v>
      </c>
      <c r="C3804" s="6" t="n">
        <v>2</v>
      </c>
      <c r="D3804" s="6" t="s">
        <v>7927</v>
      </c>
      <c r="E3804" s="6" t="n">
        <v>0</v>
      </c>
      <c r="F3804" s="6"/>
      <c r="G3804" s="28" t="n">
        <f aca="false">IFERROR(INDEX('Semrush Data'!$A$1:$Z$20000,MATCH(A3804,'Semrush Data'!$A$1:$A$20000,0),MATCH("Volume",'Semrush Data'!$A$1:$Z$1,0)),"")</f>
        <v>6600</v>
      </c>
      <c r="H3804" s="6" t="n">
        <f aca="false">IFERROR(INDEX('Semrush Data'!$A$1:$Z$20000,MATCH(A3804,'Semrush Data'!$A$1:$A$20000,0),MATCH("Keyword Difficulty*",'Semrush Data'!$A$1:$Z$1,0)),"")</f>
        <v>12</v>
      </c>
      <c r="I3804" s="29" t="n">
        <f aca="false">IFERROR(INDEX('Semrush Data'!$A$1:$Z$20000,MATCH(A3804,'Semrush Data'!$A$1:$A$20000,0),MATCH("CPC*",'Semrush Data'!$A$1:$Z$1,0)),"")</f>
        <v>0.76</v>
      </c>
      <c r="J3804" s="6" t="str">
        <f aca="false">IFERROR(INDEX('Semrush Data'!$A$1:$Z$20000,MATCH(A3804,'Semrush Data'!$A$1:$A$20000,0),MATCH("Intent",'Semrush Data'!$A$1:$Z$1,0)),"")</f>
        <v>Informational Transactional</v>
      </c>
    </row>
    <row r="3805" customFormat="false" ht="15" hidden="false" customHeight="true" outlineLevel="0" collapsed="false">
      <c r="A3805" s="6" t="s">
        <v>7930</v>
      </c>
      <c r="B3805" s="6" t="s">
        <v>189</v>
      </c>
      <c r="C3805" s="6" t="n">
        <v>2</v>
      </c>
      <c r="D3805" s="6" t="s">
        <v>7927</v>
      </c>
      <c r="E3805" s="6" t="n">
        <v>0</v>
      </c>
      <c r="F3805" s="6"/>
      <c r="G3805" s="28" t="n">
        <f aca="false">IFERROR(INDEX('Semrush Data'!$A$1:$Z$20000,MATCH(A3805,'Semrush Data'!$A$1:$A$20000,0),MATCH("Volume",'Semrush Data'!$A$1:$Z$1,0)),"")</f>
        <v>210</v>
      </c>
      <c r="H3805" s="6" t="n">
        <f aca="false">IFERROR(INDEX('Semrush Data'!$A$1:$Z$20000,MATCH(A3805,'Semrush Data'!$A$1:$A$20000,0),MATCH("Keyword Difficulty*",'Semrush Data'!$A$1:$Z$1,0)),"")</f>
        <v>11</v>
      </c>
      <c r="I3805" s="29" t="n">
        <f aca="false">IFERROR(INDEX('Semrush Data'!$A$1:$Z$20000,MATCH(A3805,'Semrush Data'!$A$1:$A$20000,0),MATCH("CPC*",'Semrush Data'!$A$1:$Z$1,0)),"")</f>
        <v>0.67</v>
      </c>
      <c r="J3805" s="6" t="str">
        <f aca="false">IFERROR(INDEX('Semrush Data'!$A$1:$Z$20000,MATCH(A3805,'Semrush Data'!$A$1:$A$20000,0),MATCH("Intent",'Semrush Data'!$A$1:$Z$1,0)),"")</f>
        <v>Informational</v>
      </c>
    </row>
    <row r="3806" customFormat="false" ht="15" hidden="false" customHeight="true" outlineLevel="0" collapsed="false">
      <c r="A3806" s="6" t="s">
        <v>7931</v>
      </c>
      <c r="B3806" s="6" t="s">
        <v>189</v>
      </c>
      <c r="C3806" s="6" t="n">
        <v>2</v>
      </c>
      <c r="D3806" s="6" t="s">
        <v>7927</v>
      </c>
      <c r="E3806" s="6" t="n">
        <v>0</v>
      </c>
      <c r="F3806" s="6"/>
      <c r="G3806" s="28" t="n">
        <f aca="false">IFERROR(INDEX('Semrush Data'!$A$1:$Z$20000,MATCH(A3806,'Semrush Data'!$A$1:$A$20000,0),MATCH("Volume",'Semrush Data'!$A$1:$Z$1,0)),"")</f>
        <v>480</v>
      </c>
      <c r="H3806" s="6" t="n">
        <f aca="false">IFERROR(INDEX('Semrush Data'!$A$1:$Z$20000,MATCH(A3806,'Semrush Data'!$A$1:$A$20000,0),MATCH("Keyword Difficulty*",'Semrush Data'!$A$1:$Z$1,0)),"")</f>
        <v>19</v>
      </c>
      <c r="I3806" s="29" t="n">
        <f aca="false">IFERROR(INDEX('Semrush Data'!$A$1:$Z$20000,MATCH(A3806,'Semrush Data'!$A$1:$A$20000,0),MATCH("CPC*",'Semrush Data'!$A$1:$Z$1,0)),"")</f>
        <v>0.46</v>
      </c>
      <c r="J3806" s="6" t="str">
        <f aca="false">IFERROR(INDEX('Semrush Data'!$A$1:$Z$20000,MATCH(A3806,'Semrush Data'!$A$1:$A$20000,0),MATCH("Intent",'Semrush Data'!$A$1:$Z$1,0)),"")</f>
        <v>Informational</v>
      </c>
    </row>
    <row r="3807" customFormat="false" ht="15" hidden="false" customHeight="true" outlineLevel="0" collapsed="false">
      <c r="A3807" s="6" t="s">
        <v>203</v>
      </c>
      <c r="B3807" s="6" t="s">
        <v>189</v>
      </c>
      <c r="C3807" s="6" t="n">
        <v>2</v>
      </c>
      <c r="D3807" s="6" t="s">
        <v>7927</v>
      </c>
      <c r="E3807" s="6" t="n">
        <v>0</v>
      </c>
      <c r="F3807" s="6"/>
      <c r="G3807" s="28" t="n">
        <f aca="false">IFERROR(INDEX('Semrush Data'!$A$1:$Z$20000,MATCH(A3807,'Semrush Data'!$A$1:$A$20000,0),MATCH("Volume",'Semrush Data'!$A$1:$Z$1,0)),"")</f>
        <v>5400</v>
      </c>
      <c r="H3807" s="6" t="n">
        <f aca="false">IFERROR(INDEX('Semrush Data'!$A$1:$Z$20000,MATCH(A3807,'Semrush Data'!$A$1:$A$20000,0),MATCH("Keyword Difficulty*",'Semrush Data'!$A$1:$Z$1,0)),"")</f>
        <v>22</v>
      </c>
      <c r="I3807" s="29" t="n">
        <f aca="false">IFERROR(INDEX('Semrush Data'!$A$1:$Z$20000,MATCH(A3807,'Semrush Data'!$A$1:$A$20000,0),MATCH("CPC*",'Semrush Data'!$A$1:$Z$1,0)),"")</f>
        <v>0.81</v>
      </c>
      <c r="J3807" s="6" t="str">
        <f aca="false">IFERROR(INDEX('Semrush Data'!$A$1:$Z$20000,MATCH(A3807,'Semrush Data'!$A$1:$A$20000,0),MATCH("Intent",'Semrush Data'!$A$1:$Z$1,0)),"")</f>
        <v>Informational Transactional</v>
      </c>
    </row>
    <row r="3808" customFormat="false" ht="15" hidden="false" customHeight="true" outlineLevel="0" collapsed="false">
      <c r="A3808" s="6" t="s">
        <v>230</v>
      </c>
      <c r="B3808" s="6" t="s">
        <v>189</v>
      </c>
      <c r="C3808" s="6" t="n">
        <v>2</v>
      </c>
      <c r="D3808" s="6" t="s">
        <v>7927</v>
      </c>
      <c r="E3808" s="6" t="n">
        <v>0</v>
      </c>
      <c r="F3808" s="6"/>
      <c r="G3808" s="28" t="n">
        <f aca="false">IFERROR(INDEX('Semrush Data'!$A$1:$Z$20000,MATCH(A3808,'Semrush Data'!$A$1:$A$20000,0),MATCH("Volume",'Semrush Data'!$A$1:$Z$1,0)),"")</f>
        <v>1000</v>
      </c>
      <c r="H3808" s="6" t="n">
        <f aca="false">IFERROR(INDEX('Semrush Data'!$A$1:$Z$20000,MATCH(A3808,'Semrush Data'!$A$1:$A$20000,0),MATCH("Keyword Difficulty*",'Semrush Data'!$A$1:$Z$1,0)),"")</f>
        <v>28</v>
      </c>
      <c r="I3808" s="29" t="n">
        <f aca="false">IFERROR(INDEX('Semrush Data'!$A$1:$Z$20000,MATCH(A3808,'Semrush Data'!$A$1:$A$20000,0),MATCH("CPC*",'Semrush Data'!$A$1:$Z$1,0)),"")</f>
        <v>1.63</v>
      </c>
      <c r="J3808" s="6" t="str">
        <f aca="false">IFERROR(INDEX('Semrush Data'!$A$1:$Z$20000,MATCH(A3808,'Semrush Data'!$A$1:$A$20000,0),MATCH("Intent",'Semrush Data'!$A$1:$Z$1,0)),"")</f>
        <v>Informational Commercial</v>
      </c>
    </row>
    <row r="3809" customFormat="false" ht="15" hidden="false" customHeight="true" outlineLevel="0" collapsed="false">
      <c r="A3809" s="6" t="s">
        <v>215</v>
      </c>
      <c r="B3809" s="6" t="s">
        <v>189</v>
      </c>
      <c r="C3809" s="6" t="n">
        <v>2</v>
      </c>
      <c r="D3809" s="6" t="s">
        <v>7927</v>
      </c>
      <c r="E3809" s="6" t="n">
        <v>0</v>
      </c>
      <c r="F3809" s="6"/>
      <c r="G3809" s="28" t="n">
        <f aca="false">IFERROR(INDEX('Semrush Data'!$A$1:$Z$20000,MATCH(A3809,'Semrush Data'!$A$1:$A$20000,0),MATCH("Volume",'Semrush Data'!$A$1:$Z$1,0)),"")</f>
        <v>2900</v>
      </c>
      <c r="H3809" s="6" t="n">
        <f aca="false">IFERROR(INDEX('Semrush Data'!$A$1:$Z$20000,MATCH(A3809,'Semrush Data'!$A$1:$A$20000,0),MATCH("Keyword Difficulty*",'Semrush Data'!$A$1:$Z$1,0)),"")</f>
        <v>20</v>
      </c>
      <c r="I3809" s="29" t="n">
        <f aca="false">IFERROR(INDEX('Semrush Data'!$A$1:$Z$20000,MATCH(A3809,'Semrush Data'!$A$1:$A$20000,0),MATCH("CPC*",'Semrush Data'!$A$1:$Z$1,0)),"")</f>
        <v>0.94</v>
      </c>
      <c r="J3809" s="6" t="str">
        <f aca="false">IFERROR(INDEX('Semrush Data'!$A$1:$Z$20000,MATCH(A3809,'Semrush Data'!$A$1:$A$20000,0),MATCH("Intent",'Semrush Data'!$A$1:$Z$1,0)),"")</f>
        <v>Informational</v>
      </c>
    </row>
    <row r="3810" customFormat="false" ht="15" hidden="false" customHeight="true" outlineLevel="0" collapsed="false">
      <c r="A3810" s="6" t="s">
        <v>7932</v>
      </c>
      <c r="B3810" s="6" t="s">
        <v>189</v>
      </c>
      <c r="C3810" s="6" t="n">
        <v>2</v>
      </c>
      <c r="D3810" s="6" t="s">
        <v>7927</v>
      </c>
      <c r="E3810" s="6" t="n">
        <v>0</v>
      </c>
      <c r="F3810" s="6"/>
      <c r="G3810" s="28" t="n">
        <f aca="false">IFERROR(INDEX('Semrush Data'!$A$1:$Z$20000,MATCH(A3810,'Semrush Data'!$A$1:$A$20000,0),MATCH("Volume",'Semrush Data'!$A$1:$Z$1,0)),"")</f>
        <v>110</v>
      </c>
      <c r="H3810" s="6" t="n">
        <f aca="false">IFERROR(INDEX('Semrush Data'!$A$1:$Z$20000,MATCH(A3810,'Semrush Data'!$A$1:$A$20000,0),MATCH("Keyword Difficulty*",'Semrush Data'!$A$1:$Z$1,0)),"")</f>
        <v>21</v>
      </c>
      <c r="I3810" s="29" t="n">
        <f aca="false">IFERROR(INDEX('Semrush Data'!$A$1:$Z$20000,MATCH(A3810,'Semrush Data'!$A$1:$A$20000,0),MATCH("CPC*",'Semrush Data'!$A$1:$Z$1,0)),"")</f>
        <v>0.23</v>
      </c>
      <c r="J3810" s="6" t="str">
        <f aca="false">IFERROR(INDEX('Semrush Data'!$A$1:$Z$20000,MATCH(A3810,'Semrush Data'!$A$1:$A$20000,0),MATCH("Intent",'Semrush Data'!$A$1:$Z$1,0)),"")</f>
        <v>Informational</v>
      </c>
    </row>
    <row r="3811" customFormat="false" ht="15" hidden="false" customHeight="true" outlineLevel="0" collapsed="false">
      <c r="A3811" s="6" t="s">
        <v>216</v>
      </c>
      <c r="B3811" s="6" t="s">
        <v>189</v>
      </c>
      <c r="C3811" s="6" t="n">
        <v>2</v>
      </c>
      <c r="D3811" s="6" t="s">
        <v>7927</v>
      </c>
      <c r="E3811" s="6" t="n">
        <v>0</v>
      </c>
      <c r="F3811" s="6"/>
      <c r="G3811" s="28" t="n">
        <f aca="false">IFERROR(INDEX('Semrush Data'!$A$1:$Z$20000,MATCH(A3811,'Semrush Data'!$A$1:$A$20000,0),MATCH("Volume",'Semrush Data'!$A$1:$Z$1,0)),"")</f>
        <v>2400</v>
      </c>
      <c r="H3811" s="6" t="n">
        <f aca="false">IFERROR(INDEX('Semrush Data'!$A$1:$Z$20000,MATCH(A3811,'Semrush Data'!$A$1:$A$20000,0),MATCH("Keyword Difficulty*",'Semrush Data'!$A$1:$Z$1,0)),"")</f>
        <v>23</v>
      </c>
      <c r="I3811" s="29" t="n">
        <f aca="false">IFERROR(INDEX('Semrush Data'!$A$1:$Z$20000,MATCH(A3811,'Semrush Data'!$A$1:$A$20000,0),MATCH("CPC*",'Semrush Data'!$A$1:$Z$1,0)),"")</f>
        <v>0.54</v>
      </c>
      <c r="J3811" s="6" t="str">
        <f aca="false">IFERROR(INDEX('Semrush Data'!$A$1:$Z$20000,MATCH(A3811,'Semrush Data'!$A$1:$A$20000,0),MATCH("Intent",'Semrush Data'!$A$1:$Z$1,0)),"")</f>
        <v>Informational</v>
      </c>
    </row>
    <row r="3812" customFormat="false" ht="15" hidden="false" customHeight="true" outlineLevel="0" collapsed="false">
      <c r="A3812" s="6" t="s">
        <v>209</v>
      </c>
      <c r="B3812" s="6" t="s">
        <v>189</v>
      </c>
      <c r="C3812" s="6" t="n">
        <v>2</v>
      </c>
      <c r="D3812" s="6" t="s">
        <v>7927</v>
      </c>
      <c r="E3812" s="6" t="n">
        <v>0</v>
      </c>
      <c r="F3812" s="6"/>
      <c r="G3812" s="28" t="n">
        <f aca="false">IFERROR(INDEX('Semrush Data'!$A$1:$Z$20000,MATCH(A3812,'Semrush Data'!$A$1:$A$20000,0),MATCH("Volume",'Semrush Data'!$A$1:$Z$1,0)),"")</f>
        <v>3600</v>
      </c>
      <c r="H3812" s="6" t="n">
        <f aca="false">IFERROR(INDEX('Semrush Data'!$A$1:$Z$20000,MATCH(A3812,'Semrush Data'!$A$1:$A$20000,0),MATCH("Keyword Difficulty*",'Semrush Data'!$A$1:$Z$1,0)),"")</f>
        <v>37</v>
      </c>
      <c r="I3812" s="29" t="n">
        <f aca="false">IFERROR(INDEX('Semrush Data'!$A$1:$Z$20000,MATCH(A3812,'Semrush Data'!$A$1:$A$20000,0),MATCH("CPC*",'Semrush Data'!$A$1:$Z$1,0)),"")</f>
        <v>0.32</v>
      </c>
      <c r="J3812" s="6" t="str">
        <f aca="false">IFERROR(INDEX('Semrush Data'!$A$1:$Z$20000,MATCH(A3812,'Semrush Data'!$A$1:$A$20000,0),MATCH("Intent",'Semrush Data'!$A$1:$Z$1,0)),"")</f>
        <v>Informational</v>
      </c>
    </row>
    <row r="3813" customFormat="false" ht="15" hidden="false" customHeight="true" outlineLevel="0" collapsed="false">
      <c r="A3813" s="6" t="s">
        <v>7933</v>
      </c>
      <c r="B3813" s="6" t="s">
        <v>189</v>
      </c>
      <c r="C3813" s="6" t="n">
        <v>2</v>
      </c>
      <c r="D3813" s="6" t="s">
        <v>7927</v>
      </c>
      <c r="E3813" s="6" t="n">
        <v>0</v>
      </c>
      <c r="F3813" s="6"/>
      <c r="G3813" s="28" t="n">
        <f aca="false">IFERROR(INDEX('Semrush Data'!$A$1:$Z$20000,MATCH(A3813,'Semrush Data'!$A$1:$A$20000,0),MATCH("Volume",'Semrush Data'!$A$1:$Z$1,0)),"")</f>
        <v>390</v>
      </c>
      <c r="H3813" s="6" t="n">
        <f aca="false">IFERROR(INDEX('Semrush Data'!$A$1:$Z$20000,MATCH(A3813,'Semrush Data'!$A$1:$A$20000,0),MATCH("Keyword Difficulty*",'Semrush Data'!$A$1:$Z$1,0)),"")</f>
        <v>13</v>
      </c>
      <c r="I3813" s="29" t="n">
        <f aca="false">IFERROR(INDEX('Semrush Data'!$A$1:$Z$20000,MATCH(A3813,'Semrush Data'!$A$1:$A$20000,0),MATCH("CPC*",'Semrush Data'!$A$1:$Z$1,0)),"")</f>
        <v>0.24</v>
      </c>
      <c r="J3813" s="6" t="str">
        <f aca="false">IFERROR(INDEX('Semrush Data'!$A$1:$Z$20000,MATCH(A3813,'Semrush Data'!$A$1:$A$20000,0),MATCH("Intent",'Semrush Data'!$A$1:$Z$1,0)),"")</f>
        <v>Informational</v>
      </c>
    </row>
    <row r="3814" customFormat="false" ht="15" hidden="false" customHeight="true" outlineLevel="0" collapsed="false">
      <c r="A3814" s="6" t="s">
        <v>7934</v>
      </c>
      <c r="B3814" s="6" t="s">
        <v>189</v>
      </c>
      <c r="C3814" s="6" t="n">
        <v>2</v>
      </c>
      <c r="D3814" s="6" t="s">
        <v>7927</v>
      </c>
      <c r="E3814" s="6" t="n">
        <v>0</v>
      </c>
      <c r="F3814" s="6"/>
      <c r="G3814" s="28" t="n">
        <f aca="false">IFERROR(INDEX('Semrush Data'!$A$1:$Z$20000,MATCH(A3814,'Semrush Data'!$A$1:$A$20000,0),MATCH("Volume",'Semrush Data'!$A$1:$Z$1,0)),"")</f>
        <v>20</v>
      </c>
      <c r="H3814" s="6" t="n">
        <f aca="false">IFERROR(INDEX('Semrush Data'!$A$1:$Z$20000,MATCH(A3814,'Semrush Data'!$A$1:$A$20000,0),MATCH("Keyword Difficulty*",'Semrush Data'!$A$1:$Z$1,0)),"")</f>
        <v>18</v>
      </c>
      <c r="I3814" s="29" t="n">
        <f aca="false">IFERROR(INDEX('Semrush Data'!$A$1:$Z$20000,MATCH(A3814,'Semrush Data'!$A$1:$A$20000,0),MATCH("CPC*",'Semrush Data'!$A$1:$Z$1,0)),"")</f>
        <v>1.61</v>
      </c>
      <c r="J3814" s="6" t="str">
        <f aca="false">IFERROR(INDEX('Semrush Data'!$A$1:$Z$20000,MATCH(A3814,'Semrush Data'!$A$1:$A$20000,0),MATCH("Intent",'Semrush Data'!$A$1:$Z$1,0)),"")</f>
        <v>Informational</v>
      </c>
    </row>
    <row r="3815" customFormat="false" ht="15" hidden="false" customHeight="true" outlineLevel="0" collapsed="false">
      <c r="A3815" s="6" t="s">
        <v>7935</v>
      </c>
      <c r="B3815" s="6" t="s">
        <v>189</v>
      </c>
      <c r="C3815" s="6" t="n">
        <v>2</v>
      </c>
      <c r="D3815" s="6" t="s">
        <v>7927</v>
      </c>
      <c r="E3815" s="6" t="n">
        <v>0</v>
      </c>
      <c r="F3815" s="6"/>
      <c r="G3815" s="28" t="n">
        <f aca="false">IFERROR(INDEX('Semrush Data'!$A$1:$Z$20000,MATCH(A3815,'Semrush Data'!$A$1:$A$20000,0),MATCH("Volume",'Semrush Data'!$A$1:$Z$1,0)),"")</f>
        <v>0</v>
      </c>
      <c r="H3815" s="6" t="n">
        <f aca="false">IFERROR(INDEX('Semrush Data'!$A$1:$Z$20000,MATCH(A3815,'Semrush Data'!$A$1:$A$20000,0),MATCH("Keyword Difficulty*",'Semrush Data'!$A$1:$Z$1,0)),"")</f>
        <v>31</v>
      </c>
      <c r="I3815" s="29" t="n">
        <f aca="false">IFERROR(INDEX('Semrush Data'!$A$1:$Z$20000,MATCH(A3815,'Semrush Data'!$A$1:$A$20000,0),MATCH("CPC*",'Semrush Data'!$A$1:$Z$1,0)),"")</f>
        <v>0</v>
      </c>
      <c r="J3815" s="6" t="str">
        <f aca="false">IFERROR(INDEX('Semrush Data'!$A$1:$Z$20000,MATCH(A3815,'Semrush Data'!$A$1:$A$20000,0),MATCH("Intent",'Semrush Data'!$A$1:$Z$1,0)),"")</f>
        <v>Commercial</v>
      </c>
    </row>
    <row r="3816" customFormat="false" ht="15" hidden="false" customHeight="true" outlineLevel="0" collapsed="false">
      <c r="A3816" s="6" t="s">
        <v>7936</v>
      </c>
      <c r="B3816" s="6" t="s">
        <v>189</v>
      </c>
      <c r="C3816" s="6" t="n">
        <v>2</v>
      </c>
      <c r="D3816" s="6" t="s">
        <v>7927</v>
      </c>
      <c r="E3816" s="6" t="n">
        <v>0</v>
      </c>
      <c r="F3816" s="6"/>
      <c r="G3816" s="28" t="n">
        <f aca="false">IFERROR(INDEX('Semrush Data'!$A$1:$Z$20000,MATCH(A3816,'Semrush Data'!$A$1:$A$20000,0),MATCH("Volume",'Semrush Data'!$A$1:$Z$1,0)),"")</f>
        <v>0</v>
      </c>
      <c r="H3816" s="6" t="n">
        <f aca="false">IFERROR(INDEX('Semrush Data'!$A$1:$Z$20000,MATCH(A3816,'Semrush Data'!$A$1:$A$20000,0),MATCH("Keyword Difficulty*",'Semrush Data'!$A$1:$Z$1,0)),"")</f>
        <v>33</v>
      </c>
      <c r="I3816" s="29" t="n">
        <f aca="false">IFERROR(INDEX('Semrush Data'!$A$1:$Z$20000,MATCH(A3816,'Semrush Data'!$A$1:$A$20000,0),MATCH("CPC*",'Semrush Data'!$A$1:$Z$1,0)),"")</f>
        <v>0</v>
      </c>
      <c r="J3816" s="6" t="str">
        <f aca="false">IFERROR(INDEX('Semrush Data'!$A$1:$Z$20000,MATCH(A3816,'Semrush Data'!$A$1:$A$20000,0),MATCH("Intent",'Semrush Data'!$A$1:$Z$1,0)),"")</f>
        <v>Informational Commercial</v>
      </c>
    </row>
    <row r="3817" customFormat="false" ht="15" hidden="false" customHeight="true" outlineLevel="0" collapsed="false">
      <c r="A3817" s="6" t="s">
        <v>7937</v>
      </c>
      <c r="B3817" s="6" t="s">
        <v>189</v>
      </c>
      <c r="C3817" s="6" t="n">
        <v>2</v>
      </c>
      <c r="D3817" s="6" t="s">
        <v>7927</v>
      </c>
      <c r="E3817" s="6" t="n">
        <v>0</v>
      </c>
      <c r="F3817" s="6"/>
      <c r="G3817" s="28" t="n">
        <f aca="false">IFERROR(INDEX('Semrush Data'!$A$1:$Z$20000,MATCH(A3817,'Semrush Data'!$A$1:$A$20000,0),MATCH("Volume",'Semrush Data'!$A$1:$Z$1,0)),"")</f>
        <v>140</v>
      </c>
      <c r="H3817" s="6" t="n">
        <f aca="false">IFERROR(INDEX('Semrush Data'!$A$1:$Z$20000,MATCH(A3817,'Semrush Data'!$A$1:$A$20000,0),MATCH("Keyword Difficulty*",'Semrush Data'!$A$1:$Z$1,0)),"")</f>
        <v>15</v>
      </c>
      <c r="I3817" s="29" t="n">
        <f aca="false">IFERROR(INDEX('Semrush Data'!$A$1:$Z$20000,MATCH(A3817,'Semrush Data'!$A$1:$A$20000,0),MATCH("CPC*",'Semrush Data'!$A$1:$Z$1,0)),"")</f>
        <v>0.89</v>
      </c>
      <c r="J3817" s="6" t="str">
        <f aca="false">IFERROR(INDEX('Semrush Data'!$A$1:$Z$20000,MATCH(A3817,'Semrush Data'!$A$1:$A$20000,0),MATCH("Intent",'Semrush Data'!$A$1:$Z$1,0)),"")</f>
        <v>Informational</v>
      </c>
    </row>
    <row r="3818" customFormat="false" ht="15" hidden="false" customHeight="true" outlineLevel="0" collapsed="false">
      <c r="A3818" s="6" t="s">
        <v>7938</v>
      </c>
      <c r="B3818" s="6" t="s">
        <v>189</v>
      </c>
      <c r="C3818" s="6" t="n">
        <v>2</v>
      </c>
      <c r="D3818" s="6" t="s">
        <v>7927</v>
      </c>
      <c r="E3818" s="6" t="n">
        <v>0</v>
      </c>
      <c r="F3818" s="6"/>
      <c r="G3818" s="28" t="n">
        <f aca="false">IFERROR(INDEX('Semrush Data'!$A$1:$Z$20000,MATCH(A3818,'Semrush Data'!$A$1:$A$20000,0),MATCH("Volume",'Semrush Data'!$A$1:$Z$1,0)),"")</f>
        <v>20</v>
      </c>
      <c r="H3818" s="6" t="n">
        <f aca="false">IFERROR(INDEX('Semrush Data'!$A$1:$Z$20000,MATCH(A3818,'Semrush Data'!$A$1:$A$20000,0),MATCH("Keyword Difficulty*",'Semrush Data'!$A$1:$Z$1,0)),"")</f>
        <v>5</v>
      </c>
      <c r="I3818" s="29" t="n">
        <f aca="false">IFERROR(INDEX('Semrush Data'!$A$1:$Z$20000,MATCH(A3818,'Semrush Data'!$A$1:$A$20000,0),MATCH("CPC*",'Semrush Data'!$A$1:$Z$1,0)),"")</f>
        <v>0.88</v>
      </c>
      <c r="J3818" s="6" t="str">
        <f aca="false">IFERROR(INDEX('Semrush Data'!$A$1:$Z$20000,MATCH(A3818,'Semrush Data'!$A$1:$A$20000,0),MATCH("Intent",'Semrush Data'!$A$1:$Z$1,0)),"")</f>
        <v>Informational Transactional</v>
      </c>
    </row>
    <row r="3819" customFormat="false" ht="15" hidden="false" customHeight="true" outlineLevel="0" collapsed="false">
      <c r="A3819" s="6" t="s">
        <v>7939</v>
      </c>
      <c r="B3819" s="6" t="s">
        <v>189</v>
      </c>
      <c r="C3819" s="6" t="n">
        <v>2</v>
      </c>
      <c r="D3819" s="6" t="s">
        <v>7927</v>
      </c>
      <c r="E3819" s="6" t="n">
        <v>0</v>
      </c>
      <c r="F3819" s="6"/>
      <c r="G3819" s="28" t="n">
        <f aca="false">IFERROR(INDEX('Semrush Data'!$A$1:$Z$20000,MATCH(A3819,'Semrush Data'!$A$1:$A$20000,0),MATCH("Volume",'Semrush Data'!$A$1:$Z$1,0)),"")</f>
        <v>390</v>
      </c>
      <c r="H3819" s="6" t="n">
        <f aca="false">IFERROR(INDEX('Semrush Data'!$A$1:$Z$20000,MATCH(A3819,'Semrush Data'!$A$1:$A$20000,0),MATCH("Keyword Difficulty*",'Semrush Data'!$A$1:$Z$1,0)),"")</f>
        <v>10</v>
      </c>
      <c r="I3819" s="29" t="n">
        <f aca="false">IFERROR(INDEX('Semrush Data'!$A$1:$Z$20000,MATCH(A3819,'Semrush Data'!$A$1:$A$20000,0),MATCH("CPC*",'Semrush Data'!$A$1:$Z$1,0)),"")</f>
        <v>0.49</v>
      </c>
      <c r="J3819" s="6" t="str">
        <f aca="false">IFERROR(INDEX('Semrush Data'!$A$1:$Z$20000,MATCH(A3819,'Semrush Data'!$A$1:$A$20000,0),MATCH("Intent",'Semrush Data'!$A$1:$Z$1,0)),"")</f>
        <v>Informational</v>
      </c>
    </row>
    <row r="3820" customFormat="false" ht="15" hidden="false" customHeight="true" outlineLevel="0" collapsed="false">
      <c r="A3820" s="6" t="s">
        <v>197</v>
      </c>
      <c r="B3820" s="6" t="s">
        <v>189</v>
      </c>
      <c r="C3820" s="6" t="n">
        <v>2</v>
      </c>
      <c r="D3820" s="6" t="s">
        <v>7927</v>
      </c>
      <c r="E3820" s="6" t="n">
        <v>0</v>
      </c>
      <c r="F3820" s="6"/>
      <c r="G3820" s="28" t="n">
        <f aca="false">IFERROR(INDEX('Semrush Data'!$A$1:$Z$20000,MATCH(A3820,'Semrush Data'!$A$1:$A$20000,0),MATCH("Volume",'Semrush Data'!$A$1:$Z$1,0)),"")</f>
        <v>9900</v>
      </c>
      <c r="H3820" s="6" t="n">
        <f aca="false">IFERROR(INDEX('Semrush Data'!$A$1:$Z$20000,MATCH(A3820,'Semrush Data'!$A$1:$A$20000,0),MATCH("Keyword Difficulty*",'Semrush Data'!$A$1:$Z$1,0)),"")</f>
        <v>22</v>
      </c>
      <c r="I3820" s="29" t="n">
        <f aca="false">IFERROR(INDEX('Semrush Data'!$A$1:$Z$20000,MATCH(A3820,'Semrush Data'!$A$1:$A$20000,0),MATCH("CPC*",'Semrush Data'!$A$1:$Z$1,0)),"")</f>
        <v>0.78</v>
      </c>
      <c r="J3820" s="6" t="str">
        <f aca="false">IFERROR(INDEX('Semrush Data'!$A$1:$Z$20000,MATCH(A3820,'Semrush Data'!$A$1:$A$20000,0),MATCH("Intent",'Semrush Data'!$A$1:$Z$1,0)),"")</f>
        <v>Informational</v>
      </c>
    </row>
    <row r="3821" customFormat="false" ht="15" hidden="false" customHeight="true" outlineLevel="0" collapsed="false">
      <c r="A3821" s="6" t="s">
        <v>198</v>
      </c>
      <c r="B3821" s="6" t="s">
        <v>189</v>
      </c>
      <c r="C3821" s="6" t="n">
        <v>2</v>
      </c>
      <c r="D3821" s="6" t="s">
        <v>7927</v>
      </c>
      <c r="E3821" s="6" t="n">
        <v>0</v>
      </c>
      <c r="F3821" s="6"/>
      <c r="G3821" s="28" t="n">
        <f aca="false">IFERROR(INDEX('Semrush Data'!$A$1:$Z$20000,MATCH(A3821,'Semrush Data'!$A$1:$A$20000,0),MATCH("Volume",'Semrush Data'!$A$1:$Z$1,0)),"")</f>
        <v>8100</v>
      </c>
      <c r="H3821" s="6" t="n">
        <f aca="false">IFERROR(INDEX('Semrush Data'!$A$1:$Z$20000,MATCH(A3821,'Semrush Data'!$A$1:$A$20000,0),MATCH("Keyword Difficulty*",'Semrush Data'!$A$1:$Z$1,0)),"")</f>
        <v>31</v>
      </c>
      <c r="I3821" s="29" t="n">
        <f aca="false">IFERROR(INDEX('Semrush Data'!$A$1:$Z$20000,MATCH(A3821,'Semrush Data'!$A$1:$A$20000,0),MATCH("CPC*",'Semrush Data'!$A$1:$Z$1,0)),"")</f>
        <v>0.76</v>
      </c>
      <c r="J3821" s="6" t="str">
        <f aca="false">IFERROR(INDEX('Semrush Data'!$A$1:$Z$20000,MATCH(A3821,'Semrush Data'!$A$1:$A$20000,0),MATCH("Intent",'Semrush Data'!$A$1:$Z$1,0)),"")</f>
        <v>Informational Commercial</v>
      </c>
    </row>
    <row r="3822" customFormat="false" ht="15" hidden="false" customHeight="true" outlineLevel="0" collapsed="false">
      <c r="A3822" s="6" t="s">
        <v>210</v>
      </c>
      <c r="B3822" s="6" t="s">
        <v>189</v>
      </c>
      <c r="C3822" s="6" t="n">
        <v>2</v>
      </c>
      <c r="D3822" s="6" t="s">
        <v>7927</v>
      </c>
      <c r="E3822" s="6" t="n">
        <v>0</v>
      </c>
      <c r="F3822" s="6"/>
      <c r="G3822" s="28" t="n">
        <f aca="false">IFERROR(INDEX('Semrush Data'!$A$1:$Z$20000,MATCH(A3822,'Semrush Data'!$A$1:$A$20000,0),MATCH("Volume",'Semrush Data'!$A$1:$Z$1,0)),"")</f>
        <v>3600</v>
      </c>
      <c r="H3822" s="6" t="n">
        <f aca="false">IFERROR(INDEX('Semrush Data'!$A$1:$Z$20000,MATCH(A3822,'Semrush Data'!$A$1:$A$20000,0),MATCH("Keyword Difficulty*",'Semrush Data'!$A$1:$Z$1,0)),"")</f>
        <v>18</v>
      </c>
      <c r="I3822" s="29" t="n">
        <f aca="false">IFERROR(INDEX('Semrush Data'!$A$1:$Z$20000,MATCH(A3822,'Semrush Data'!$A$1:$A$20000,0),MATCH("CPC*",'Semrush Data'!$A$1:$Z$1,0)),"")</f>
        <v>1.17</v>
      </c>
      <c r="J3822" s="6" t="str">
        <f aca="false">IFERROR(INDEX('Semrush Data'!$A$1:$Z$20000,MATCH(A3822,'Semrush Data'!$A$1:$A$20000,0),MATCH("Intent",'Semrush Data'!$A$1:$Z$1,0)),"")</f>
        <v>Informational</v>
      </c>
    </row>
    <row r="3823" customFormat="false" ht="15" hidden="false" customHeight="true" outlineLevel="0" collapsed="false">
      <c r="A3823" s="6" t="s">
        <v>7940</v>
      </c>
      <c r="B3823" s="6" t="s">
        <v>189</v>
      </c>
      <c r="C3823" s="6" t="n">
        <v>2</v>
      </c>
      <c r="D3823" s="6" t="s">
        <v>7927</v>
      </c>
      <c r="E3823" s="6" t="n">
        <v>0</v>
      </c>
      <c r="F3823" s="6"/>
      <c r="G3823" s="28" t="n">
        <f aca="false">IFERROR(INDEX('Semrush Data'!$A$1:$Z$20000,MATCH(A3823,'Semrush Data'!$A$1:$A$20000,0),MATCH("Volume",'Semrush Data'!$A$1:$Z$1,0)),"")</f>
        <v>480</v>
      </c>
      <c r="H3823" s="6" t="n">
        <f aca="false">IFERROR(INDEX('Semrush Data'!$A$1:$Z$20000,MATCH(A3823,'Semrush Data'!$A$1:$A$20000,0),MATCH("Keyword Difficulty*",'Semrush Data'!$A$1:$Z$1,0)),"")</f>
        <v>29</v>
      </c>
      <c r="I3823" s="29" t="n">
        <f aca="false">IFERROR(INDEX('Semrush Data'!$A$1:$Z$20000,MATCH(A3823,'Semrush Data'!$A$1:$A$20000,0),MATCH("CPC*",'Semrush Data'!$A$1:$Z$1,0)),"")</f>
        <v>0.81</v>
      </c>
      <c r="J3823" s="6" t="str">
        <f aca="false">IFERROR(INDEX('Semrush Data'!$A$1:$Z$20000,MATCH(A3823,'Semrush Data'!$A$1:$A$20000,0),MATCH("Intent",'Semrush Data'!$A$1:$Z$1,0)),"")</f>
        <v>Informational</v>
      </c>
    </row>
    <row r="3824" customFormat="false" ht="15" hidden="false" customHeight="true" outlineLevel="0" collapsed="false">
      <c r="A3824" s="6" t="s">
        <v>7941</v>
      </c>
      <c r="B3824" s="6" t="s">
        <v>189</v>
      </c>
      <c r="C3824" s="6" t="n">
        <v>2</v>
      </c>
      <c r="D3824" s="6" t="s">
        <v>7927</v>
      </c>
      <c r="E3824" s="6" t="n">
        <v>0</v>
      </c>
      <c r="F3824" s="6"/>
      <c r="G3824" s="28" t="n">
        <f aca="false">IFERROR(INDEX('Semrush Data'!$A$1:$Z$20000,MATCH(A3824,'Semrush Data'!$A$1:$A$20000,0),MATCH("Volume",'Semrush Data'!$A$1:$Z$1,0)),"")</f>
        <v>590</v>
      </c>
      <c r="H3824" s="6" t="n">
        <f aca="false">IFERROR(INDEX('Semrush Data'!$A$1:$Z$20000,MATCH(A3824,'Semrush Data'!$A$1:$A$20000,0),MATCH("Keyword Difficulty*",'Semrush Data'!$A$1:$Z$1,0)),"")</f>
        <v>23</v>
      </c>
      <c r="I3824" s="29" t="n">
        <f aca="false">IFERROR(INDEX('Semrush Data'!$A$1:$Z$20000,MATCH(A3824,'Semrush Data'!$A$1:$A$20000,0),MATCH("CPC*",'Semrush Data'!$A$1:$Z$1,0)),"")</f>
        <v>1</v>
      </c>
      <c r="J3824" s="6" t="str">
        <f aca="false">IFERROR(INDEX('Semrush Data'!$A$1:$Z$20000,MATCH(A3824,'Semrush Data'!$A$1:$A$20000,0),MATCH("Intent",'Semrush Data'!$A$1:$Z$1,0)),"")</f>
        <v>Informational Commercial</v>
      </c>
    </row>
    <row r="3825" customFormat="false" ht="15" hidden="false" customHeight="true" outlineLevel="0" collapsed="false">
      <c r="A3825" s="6" t="s">
        <v>231</v>
      </c>
      <c r="B3825" s="6" t="s">
        <v>189</v>
      </c>
      <c r="C3825" s="6" t="n">
        <v>2</v>
      </c>
      <c r="D3825" s="6" t="s">
        <v>7927</v>
      </c>
      <c r="E3825" s="6" t="n">
        <v>0</v>
      </c>
      <c r="F3825" s="6"/>
      <c r="G3825" s="28" t="n">
        <f aca="false">IFERROR(INDEX('Semrush Data'!$A$1:$Z$20000,MATCH(A3825,'Semrush Data'!$A$1:$A$20000,0),MATCH("Volume",'Semrush Data'!$A$1:$Z$1,0)),"")</f>
        <v>1000</v>
      </c>
      <c r="H3825" s="6" t="n">
        <f aca="false">IFERROR(INDEX('Semrush Data'!$A$1:$Z$20000,MATCH(A3825,'Semrush Data'!$A$1:$A$20000,0),MATCH("Keyword Difficulty*",'Semrush Data'!$A$1:$Z$1,0)),"")</f>
        <v>22</v>
      </c>
      <c r="I3825" s="29" t="n">
        <f aca="false">IFERROR(INDEX('Semrush Data'!$A$1:$Z$20000,MATCH(A3825,'Semrush Data'!$A$1:$A$20000,0),MATCH("CPC*",'Semrush Data'!$A$1:$Z$1,0)),"")</f>
        <v>0.74</v>
      </c>
      <c r="J3825" s="6" t="str">
        <f aca="false">IFERROR(INDEX('Semrush Data'!$A$1:$Z$20000,MATCH(A3825,'Semrush Data'!$A$1:$A$20000,0),MATCH("Intent",'Semrush Data'!$A$1:$Z$1,0)),"")</f>
        <v>Informational</v>
      </c>
    </row>
    <row r="3826" customFormat="false" ht="15" hidden="false" customHeight="true" outlineLevel="0" collapsed="false">
      <c r="A3826" s="6" t="s">
        <v>221</v>
      </c>
      <c r="B3826" s="6" t="s">
        <v>189</v>
      </c>
      <c r="C3826" s="6" t="n">
        <v>2</v>
      </c>
      <c r="D3826" s="6" t="s">
        <v>7927</v>
      </c>
      <c r="E3826" s="6" t="n">
        <v>0</v>
      </c>
      <c r="F3826" s="6"/>
      <c r="G3826" s="28" t="n">
        <f aca="false">IFERROR(INDEX('Semrush Data'!$A$1:$Z$20000,MATCH(A3826,'Semrush Data'!$A$1:$A$20000,0),MATCH("Volume",'Semrush Data'!$A$1:$Z$1,0)),"")</f>
        <v>1600</v>
      </c>
      <c r="H3826" s="6" t="n">
        <f aca="false">IFERROR(INDEX('Semrush Data'!$A$1:$Z$20000,MATCH(A3826,'Semrush Data'!$A$1:$A$20000,0),MATCH("Keyword Difficulty*",'Semrush Data'!$A$1:$Z$1,0)),"")</f>
        <v>29</v>
      </c>
      <c r="I3826" s="29" t="n">
        <f aca="false">IFERROR(INDEX('Semrush Data'!$A$1:$Z$20000,MATCH(A3826,'Semrush Data'!$A$1:$A$20000,0),MATCH("CPC*",'Semrush Data'!$A$1:$Z$1,0)),"")</f>
        <v>0.87</v>
      </c>
      <c r="J3826" s="6" t="str">
        <f aca="false">IFERROR(INDEX('Semrush Data'!$A$1:$Z$20000,MATCH(A3826,'Semrush Data'!$A$1:$A$20000,0),MATCH("Intent",'Semrush Data'!$A$1:$Z$1,0)),"")</f>
        <v>Informational</v>
      </c>
    </row>
    <row r="3827" customFormat="false" ht="15" hidden="false" customHeight="true" outlineLevel="0" collapsed="false">
      <c r="A3827" s="6" t="s">
        <v>204</v>
      </c>
      <c r="B3827" s="6" t="s">
        <v>189</v>
      </c>
      <c r="C3827" s="6" t="n">
        <v>2</v>
      </c>
      <c r="D3827" s="6" t="s">
        <v>7927</v>
      </c>
      <c r="E3827" s="6" t="n">
        <v>0</v>
      </c>
      <c r="F3827" s="6"/>
      <c r="G3827" s="28" t="n">
        <f aca="false">IFERROR(INDEX('Semrush Data'!$A$1:$Z$20000,MATCH(A3827,'Semrush Data'!$A$1:$A$20000,0),MATCH("Volume",'Semrush Data'!$A$1:$Z$1,0)),"")</f>
        <v>5400</v>
      </c>
      <c r="H3827" s="6" t="n">
        <f aca="false">IFERROR(INDEX('Semrush Data'!$A$1:$Z$20000,MATCH(A3827,'Semrush Data'!$A$1:$A$20000,0),MATCH("Keyword Difficulty*",'Semrush Data'!$A$1:$Z$1,0)),"")</f>
        <v>20</v>
      </c>
      <c r="I3827" s="29" t="n">
        <f aca="false">IFERROR(INDEX('Semrush Data'!$A$1:$Z$20000,MATCH(A3827,'Semrush Data'!$A$1:$A$20000,0),MATCH("CPC*",'Semrush Data'!$A$1:$Z$1,0)),"")</f>
        <v>1.24</v>
      </c>
      <c r="J3827" s="6" t="str">
        <f aca="false">IFERROR(INDEX('Semrush Data'!$A$1:$Z$20000,MATCH(A3827,'Semrush Data'!$A$1:$A$20000,0),MATCH("Intent",'Semrush Data'!$A$1:$Z$1,0)),"")</f>
        <v>Informational</v>
      </c>
    </row>
    <row r="3828" customFormat="false" ht="15" hidden="false" customHeight="true" outlineLevel="0" collapsed="false">
      <c r="A3828" s="6" t="s">
        <v>222</v>
      </c>
      <c r="B3828" s="6" t="s">
        <v>189</v>
      </c>
      <c r="C3828" s="6" t="n">
        <v>2</v>
      </c>
      <c r="D3828" s="6" t="s">
        <v>7927</v>
      </c>
      <c r="E3828" s="6" t="n">
        <v>0</v>
      </c>
      <c r="F3828" s="6"/>
      <c r="G3828" s="28" t="n">
        <f aca="false">IFERROR(INDEX('Semrush Data'!$A$1:$Z$20000,MATCH(A3828,'Semrush Data'!$A$1:$A$20000,0),MATCH("Volume",'Semrush Data'!$A$1:$Z$1,0)),"")</f>
        <v>1600</v>
      </c>
      <c r="H3828" s="6" t="n">
        <f aca="false">IFERROR(INDEX('Semrush Data'!$A$1:$Z$20000,MATCH(A3828,'Semrush Data'!$A$1:$A$20000,0),MATCH("Keyword Difficulty*",'Semrush Data'!$A$1:$Z$1,0)),"")</f>
        <v>22</v>
      </c>
      <c r="I3828" s="29" t="n">
        <f aca="false">IFERROR(INDEX('Semrush Data'!$A$1:$Z$20000,MATCH(A3828,'Semrush Data'!$A$1:$A$20000,0),MATCH("CPC*",'Semrush Data'!$A$1:$Z$1,0)),"")</f>
        <v>1.13</v>
      </c>
      <c r="J3828" s="6" t="str">
        <f aca="false">IFERROR(INDEX('Semrush Data'!$A$1:$Z$20000,MATCH(A3828,'Semrush Data'!$A$1:$A$20000,0),MATCH("Intent",'Semrush Data'!$A$1:$Z$1,0)),"")</f>
        <v>Informational</v>
      </c>
    </row>
    <row r="3829" customFormat="false" ht="15" hidden="false" customHeight="true" outlineLevel="0" collapsed="false">
      <c r="A3829" s="6" t="s">
        <v>227</v>
      </c>
      <c r="B3829" s="6" t="s">
        <v>189</v>
      </c>
      <c r="C3829" s="6" t="n">
        <v>2</v>
      </c>
      <c r="D3829" s="6" t="s">
        <v>7927</v>
      </c>
      <c r="E3829" s="6" t="n">
        <v>0</v>
      </c>
      <c r="F3829" s="6"/>
      <c r="G3829" s="28" t="n">
        <f aca="false">IFERROR(INDEX('Semrush Data'!$A$1:$Z$20000,MATCH(A3829,'Semrush Data'!$A$1:$A$20000,0),MATCH("Volume",'Semrush Data'!$A$1:$Z$1,0)),"")</f>
        <v>1300</v>
      </c>
      <c r="H3829" s="6" t="n">
        <f aca="false">IFERROR(INDEX('Semrush Data'!$A$1:$Z$20000,MATCH(A3829,'Semrush Data'!$A$1:$A$20000,0),MATCH("Keyword Difficulty*",'Semrush Data'!$A$1:$Z$1,0)),"")</f>
        <v>18</v>
      </c>
      <c r="I3829" s="29" t="n">
        <f aca="false">IFERROR(INDEX('Semrush Data'!$A$1:$Z$20000,MATCH(A3829,'Semrush Data'!$A$1:$A$20000,0),MATCH("CPC*",'Semrush Data'!$A$1:$Z$1,0)),"")</f>
        <v>1.13</v>
      </c>
      <c r="J3829" s="6" t="str">
        <f aca="false">IFERROR(INDEX('Semrush Data'!$A$1:$Z$20000,MATCH(A3829,'Semrush Data'!$A$1:$A$20000,0),MATCH("Intent",'Semrush Data'!$A$1:$Z$1,0)),"")</f>
        <v>Informational</v>
      </c>
    </row>
    <row r="3830" customFormat="false" ht="15" hidden="false" customHeight="true" outlineLevel="0" collapsed="false">
      <c r="A3830" s="6" t="s">
        <v>232</v>
      </c>
      <c r="B3830" s="6" t="s">
        <v>189</v>
      </c>
      <c r="C3830" s="6" t="n">
        <v>2</v>
      </c>
      <c r="D3830" s="6" t="s">
        <v>7927</v>
      </c>
      <c r="E3830" s="6" t="n">
        <v>0</v>
      </c>
      <c r="F3830" s="6"/>
      <c r="G3830" s="28" t="n">
        <f aca="false">IFERROR(INDEX('Semrush Data'!$A$1:$Z$20000,MATCH(A3830,'Semrush Data'!$A$1:$A$20000,0),MATCH("Volume",'Semrush Data'!$A$1:$Z$1,0)),"")</f>
        <v>1000</v>
      </c>
      <c r="H3830" s="6" t="n">
        <f aca="false">IFERROR(INDEX('Semrush Data'!$A$1:$Z$20000,MATCH(A3830,'Semrush Data'!$A$1:$A$20000,0),MATCH("Keyword Difficulty*",'Semrush Data'!$A$1:$Z$1,0)),"")</f>
        <v>26</v>
      </c>
      <c r="I3830" s="29" t="n">
        <f aca="false">IFERROR(INDEX('Semrush Data'!$A$1:$Z$20000,MATCH(A3830,'Semrush Data'!$A$1:$A$20000,0),MATCH("CPC*",'Semrush Data'!$A$1:$Z$1,0)),"")</f>
        <v>1.05</v>
      </c>
      <c r="J3830" s="6" t="str">
        <f aca="false">IFERROR(INDEX('Semrush Data'!$A$1:$Z$20000,MATCH(A3830,'Semrush Data'!$A$1:$A$20000,0),MATCH("Intent",'Semrush Data'!$A$1:$Z$1,0)),"")</f>
        <v>Informational</v>
      </c>
    </row>
    <row r="3831" customFormat="false" ht="15" hidden="false" customHeight="true" outlineLevel="0" collapsed="false">
      <c r="A3831" s="6" t="s">
        <v>233</v>
      </c>
      <c r="B3831" s="6" t="s">
        <v>189</v>
      </c>
      <c r="C3831" s="6" t="n">
        <v>2</v>
      </c>
      <c r="D3831" s="6" t="s">
        <v>7927</v>
      </c>
      <c r="E3831" s="6" t="n">
        <v>0</v>
      </c>
      <c r="F3831" s="6"/>
      <c r="G3831" s="28" t="n">
        <f aca="false">IFERROR(INDEX('Semrush Data'!$A$1:$Z$20000,MATCH(A3831,'Semrush Data'!$A$1:$A$20000,0),MATCH("Volume",'Semrush Data'!$A$1:$Z$1,0)),"")</f>
        <v>1000</v>
      </c>
      <c r="H3831" s="6" t="n">
        <f aca="false">IFERROR(INDEX('Semrush Data'!$A$1:$Z$20000,MATCH(A3831,'Semrush Data'!$A$1:$A$20000,0),MATCH("Keyword Difficulty*",'Semrush Data'!$A$1:$Z$1,0)),"")</f>
        <v>19</v>
      </c>
      <c r="I3831" s="29" t="n">
        <f aca="false">IFERROR(INDEX('Semrush Data'!$A$1:$Z$20000,MATCH(A3831,'Semrush Data'!$A$1:$A$20000,0),MATCH("CPC*",'Semrush Data'!$A$1:$Z$1,0)),"")</f>
        <v>1.06</v>
      </c>
      <c r="J3831" s="6" t="str">
        <f aca="false">IFERROR(INDEX('Semrush Data'!$A$1:$Z$20000,MATCH(A3831,'Semrush Data'!$A$1:$A$20000,0),MATCH("Intent",'Semrush Data'!$A$1:$Z$1,0)),"")</f>
        <v>Informational</v>
      </c>
    </row>
    <row r="3832" customFormat="false" ht="15" hidden="false" customHeight="true" outlineLevel="0" collapsed="false">
      <c r="A3832" s="6" t="s">
        <v>7942</v>
      </c>
      <c r="B3832" s="6" t="s">
        <v>189</v>
      </c>
      <c r="C3832" s="6" t="n">
        <v>2</v>
      </c>
      <c r="D3832" s="6" t="s">
        <v>7927</v>
      </c>
      <c r="E3832" s="6" t="n">
        <v>0</v>
      </c>
      <c r="F3832" s="6"/>
      <c r="G3832" s="28" t="n">
        <f aca="false">IFERROR(INDEX('Semrush Data'!$A$1:$Z$20000,MATCH(A3832,'Semrush Data'!$A$1:$A$20000,0),MATCH("Volume",'Semrush Data'!$A$1:$Z$1,0)),"")</f>
        <v>390</v>
      </c>
      <c r="H3832" s="6" t="n">
        <f aca="false">IFERROR(INDEX('Semrush Data'!$A$1:$Z$20000,MATCH(A3832,'Semrush Data'!$A$1:$A$20000,0),MATCH("Keyword Difficulty*",'Semrush Data'!$A$1:$Z$1,0)),"")</f>
        <v>20</v>
      </c>
      <c r="I3832" s="29" t="n">
        <f aca="false">IFERROR(INDEX('Semrush Data'!$A$1:$Z$20000,MATCH(A3832,'Semrush Data'!$A$1:$A$20000,0),MATCH("CPC*",'Semrush Data'!$A$1:$Z$1,0)),"")</f>
        <v>1.01</v>
      </c>
      <c r="J3832" s="6" t="str">
        <f aca="false">IFERROR(INDEX('Semrush Data'!$A$1:$Z$20000,MATCH(A3832,'Semrush Data'!$A$1:$A$20000,0),MATCH("Intent",'Semrush Data'!$A$1:$Z$1,0)),"")</f>
        <v>Informational</v>
      </c>
    </row>
    <row r="3833" customFormat="false" ht="15" hidden="false" customHeight="true" outlineLevel="0" collapsed="false">
      <c r="A3833" s="6" t="s">
        <v>211</v>
      </c>
      <c r="B3833" s="6" t="s">
        <v>189</v>
      </c>
      <c r="C3833" s="6" t="n">
        <v>2</v>
      </c>
      <c r="D3833" s="6" t="s">
        <v>7927</v>
      </c>
      <c r="E3833" s="6" t="n">
        <v>0</v>
      </c>
      <c r="F3833" s="6"/>
      <c r="G3833" s="28" t="n">
        <f aca="false">IFERROR(INDEX('Semrush Data'!$A$1:$Z$20000,MATCH(A3833,'Semrush Data'!$A$1:$A$20000,0),MATCH("Volume",'Semrush Data'!$A$1:$Z$1,0)),"")</f>
        <v>3600</v>
      </c>
      <c r="H3833" s="6" t="n">
        <f aca="false">IFERROR(INDEX('Semrush Data'!$A$1:$Z$20000,MATCH(A3833,'Semrush Data'!$A$1:$A$20000,0),MATCH("Keyword Difficulty*",'Semrush Data'!$A$1:$Z$1,0)),"")</f>
        <v>22</v>
      </c>
      <c r="I3833" s="29" t="n">
        <f aca="false">IFERROR(INDEX('Semrush Data'!$A$1:$Z$20000,MATCH(A3833,'Semrush Data'!$A$1:$A$20000,0),MATCH("CPC*",'Semrush Data'!$A$1:$Z$1,0)),"")</f>
        <v>0.7</v>
      </c>
      <c r="J3833" s="6" t="str">
        <f aca="false">IFERROR(INDEX('Semrush Data'!$A$1:$Z$20000,MATCH(A3833,'Semrush Data'!$A$1:$A$20000,0),MATCH("Intent",'Semrush Data'!$A$1:$Z$1,0)),"")</f>
        <v>Informational</v>
      </c>
    </row>
    <row r="3834" customFormat="false" ht="15" hidden="false" customHeight="true" outlineLevel="0" collapsed="false">
      <c r="A3834" s="6" t="s">
        <v>7943</v>
      </c>
      <c r="B3834" s="6" t="s">
        <v>189</v>
      </c>
      <c r="C3834" s="6" t="n">
        <v>2</v>
      </c>
      <c r="D3834" s="6" t="s">
        <v>7927</v>
      </c>
      <c r="E3834" s="6" t="n">
        <v>0</v>
      </c>
      <c r="F3834" s="6"/>
      <c r="G3834" s="28" t="n">
        <f aca="false">IFERROR(INDEX('Semrush Data'!$A$1:$Z$20000,MATCH(A3834,'Semrush Data'!$A$1:$A$20000,0),MATCH("Volume",'Semrush Data'!$A$1:$Z$1,0)),"")</f>
        <v>880</v>
      </c>
      <c r="H3834" s="6" t="n">
        <f aca="false">IFERROR(INDEX('Semrush Data'!$A$1:$Z$20000,MATCH(A3834,'Semrush Data'!$A$1:$A$20000,0),MATCH("Keyword Difficulty*",'Semrush Data'!$A$1:$Z$1,0)),"")</f>
        <v>12</v>
      </c>
      <c r="I3834" s="29" t="n">
        <f aca="false">IFERROR(INDEX('Semrush Data'!$A$1:$Z$20000,MATCH(A3834,'Semrush Data'!$A$1:$A$20000,0),MATCH("CPC*",'Semrush Data'!$A$1:$Z$1,0)),"")</f>
        <v>0.67</v>
      </c>
      <c r="J3834" s="6" t="str">
        <f aca="false">IFERROR(INDEX('Semrush Data'!$A$1:$Z$20000,MATCH(A3834,'Semrush Data'!$A$1:$A$20000,0),MATCH("Intent",'Semrush Data'!$A$1:$Z$1,0)),"")</f>
        <v>Informational</v>
      </c>
    </row>
    <row r="3835" customFormat="false" ht="15" hidden="false" customHeight="true" outlineLevel="0" collapsed="false">
      <c r="A3835" s="6" t="s">
        <v>7944</v>
      </c>
      <c r="B3835" s="6" t="s">
        <v>189</v>
      </c>
      <c r="C3835" s="6" t="n">
        <v>2</v>
      </c>
      <c r="D3835" s="6" t="s">
        <v>7927</v>
      </c>
      <c r="E3835" s="6" t="n">
        <v>0</v>
      </c>
      <c r="F3835" s="6"/>
      <c r="G3835" s="28" t="n">
        <f aca="false">IFERROR(INDEX('Semrush Data'!$A$1:$Z$20000,MATCH(A3835,'Semrush Data'!$A$1:$A$20000,0),MATCH("Volume",'Semrush Data'!$A$1:$Z$1,0)),"")</f>
        <v>210</v>
      </c>
      <c r="H3835" s="6" t="n">
        <f aca="false">IFERROR(INDEX('Semrush Data'!$A$1:$Z$20000,MATCH(A3835,'Semrush Data'!$A$1:$A$20000,0),MATCH("Keyword Difficulty*",'Semrush Data'!$A$1:$Z$1,0)),"")</f>
        <v>31</v>
      </c>
      <c r="I3835" s="29" t="n">
        <f aca="false">IFERROR(INDEX('Semrush Data'!$A$1:$Z$20000,MATCH(A3835,'Semrush Data'!$A$1:$A$20000,0),MATCH("CPC*",'Semrush Data'!$A$1:$Z$1,0)),"")</f>
        <v>1.71</v>
      </c>
      <c r="J3835" s="6" t="str">
        <f aca="false">IFERROR(INDEX('Semrush Data'!$A$1:$Z$20000,MATCH(A3835,'Semrush Data'!$A$1:$A$20000,0),MATCH("Intent",'Semrush Data'!$A$1:$Z$1,0)),"")</f>
        <v>Informational</v>
      </c>
    </row>
    <row r="3836" customFormat="false" ht="15" hidden="false" customHeight="true" outlineLevel="0" collapsed="false">
      <c r="A3836" s="6" t="s">
        <v>7945</v>
      </c>
      <c r="B3836" s="6" t="s">
        <v>189</v>
      </c>
      <c r="C3836" s="6" t="n">
        <v>2</v>
      </c>
      <c r="D3836" s="6" t="s">
        <v>7927</v>
      </c>
      <c r="E3836" s="6" t="n">
        <v>0</v>
      </c>
      <c r="F3836" s="6"/>
      <c r="G3836" s="28" t="n">
        <f aca="false">IFERROR(INDEX('Semrush Data'!$A$1:$Z$20000,MATCH(A3836,'Semrush Data'!$A$1:$A$20000,0),MATCH("Volume",'Semrush Data'!$A$1:$Z$1,0)),"")</f>
        <v>90</v>
      </c>
      <c r="H3836" s="6" t="n">
        <f aca="false">IFERROR(INDEX('Semrush Data'!$A$1:$Z$20000,MATCH(A3836,'Semrush Data'!$A$1:$A$20000,0),MATCH("Keyword Difficulty*",'Semrush Data'!$A$1:$Z$1,0)),"")</f>
        <v>49</v>
      </c>
      <c r="I3836" s="29" t="n">
        <f aca="false">IFERROR(INDEX('Semrush Data'!$A$1:$Z$20000,MATCH(A3836,'Semrush Data'!$A$1:$A$20000,0),MATCH("CPC*",'Semrush Data'!$A$1:$Z$1,0)),"")</f>
        <v>1.39</v>
      </c>
      <c r="J3836" s="6" t="str">
        <f aca="false">IFERROR(INDEX('Semrush Data'!$A$1:$Z$20000,MATCH(A3836,'Semrush Data'!$A$1:$A$20000,0),MATCH("Intent",'Semrush Data'!$A$1:$Z$1,0)),"")</f>
        <v>Informational</v>
      </c>
    </row>
    <row r="3837" customFormat="false" ht="15" hidden="false" customHeight="true" outlineLevel="0" collapsed="false">
      <c r="A3837" s="6" t="s">
        <v>234</v>
      </c>
      <c r="B3837" s="6" t="s">
        <v>189</v>
      </c>
      <c r="C3837" s="6" t="n">
        <v>2</v>
      </c>
      <c r="D3837" s="6" t="s">
        <v>7927</v>
      </c>
      <c r="E3837" s="6" t="n">
        <v>0</v>
      </c>
      <c r="F3837" s="6"/>
      <c r="G3837" s="28" t="n">
        <f aca="false">IFERROR(INDEX('Semrush Data'!$A$1:$Z$20000,MATCH(A3837,'Semrush Data'!$A$1:$A$20000,0),MATCH("Volume",'Semrush Data'!$A$1:$Z$1,0)),"")</f>
        <v>1000</v>
      </c>
      <c r="H3837" s="6" t="n">
        <f aca="false">IFERROR(INDEX('Semrush Data'!$A$1:$Z$20000,MATCH(A3837,'Semrush Data'!$A$1:$A$20000,0),MATCH("Keyword Difficulty*",'Semrush Data'!$A$1:$Z$1,0)),"")</f>
        <v>22</v>
      </c>
      <c r="I3837" s="29" t="n">
        <f aca="false">IFERROR(INDEX('Semrush Data'!$A$1:$Z$20000,MATCH(A3837,'Semrush Data'!$A$1:$A$20000,0),MATCH("CPC*",'Semrush Data'!$A$1:$Z$1,0)),"")</f>
        <v>0.83</v>
      </c>
      <c r="J3837" s="6" t="str">
        <f aca="false">IFERROR(INDEX('Semrush Data'!$A$1:$Z$20000,MATCH(A3837,'Semrush Data'!$A$1:$A$20000,0),MATCH("Intent",'Semrush Data'!$A$1:$Z$1,0)),"")</f>
        <v>Informational</v>
      </c>
    </row>
    <row r="3838" customFormat="false" ht="15" hidden="false" customHeight="true" outlineLevel="0" collapsed="false">
      <c r="A3838" s="6" t="s">
        <v>7946</v>
      </c>
      <c r="B3838" s="6" t="s">
        <v>189</v>
      </c>
      <c r="C3838" s="6" t="n">
        <v>2</v>
      </c>
      <c r="D3838" s="6" t="s">
        <v>7927</v>
      </c>
      <c r="E3838" s="6" t="n">
        <v>0</v>
      </c>
      <c r="F3838" s="6"/>
      <c r="G3838" s="28" t="n">
        <f aca="false">IFERROR(INDEX('Semrush Data'!$A$1:$Z$20000,MATCH(A3838,'Semrush Data'!$A$1:$A$20000,0),MATCH("Volume",'Semrush Data'!$A$1:$Z$1,0)),"")</f>
        <v>720</v>
      </c>
      <c r="H3838" s="6" t="n">
        <f aca="false">IFERROR(INDEX('Semrush Data'!$A$1:$Z$20000,MATCH(A3838,'Semrush Data'!$A$1:$A$20000,0),MATCH("Keyword Difficulty*",'Semrush Data'!$A$1:$Z$1,0)),"")</f>
        <v>26</v>
      </c>
      <c r="I3838" s="29" t="n">
        <f aca="false">IFERROR(INDEX('Semrush Data'!$A$1:$Z$20000,MATCH(A3838,'Semrush Data'!$A$1:$A$20000,0),MATCH("CPC*",'Semrush Data'!$A$1:$Z$1,0)),"")</f>
        <v>0.78</v>
      </c>
      <c r="J3838" s="6" t="str">
        <f aca="false">IFERROR(INDEX('Semrush Data'!$A$1:$Z$20000,MATCH(A3838,'Semrush Data'!$A$1:$A$20000,0),MATCH("Intent",'Semrush Data'!$A$1:$Z$1,0)),"")</f>
        <v>Informational</v>
      </c>
    </row>
    <row r="3839" customFormat="false" ht="15" hidden="false" customHeight="true" outlineLevel="0" collapsed="false">
      <c r="A3839" s="6" t="s">
        <v>7947</v>
      </c>
      <c r="B3839" s="6" t="s">
        <v>189</v>
      </c>
      <c r="C3839" s="6" t="n">
        <v>2</v>
      </c>
      <c r="D3839" s="6" t="s">
        <v>7927</v>
      </c>
      <c r="E3839" s="6" t="n">
        <v>0</v>
      </c>
      <c r="F3839" s="6"/>
      <c r="G3839" s="28" t="n">
        <f aca="false">IFERROR(INDEX('Semrush Data'!$A$1:$Z$20000,MATCH(A3839,'Semrush Data'!$A$1:$A$20000,0),MATCH("Volume",'Semrush Data'!$A$1:$Z$1,0)),"")</f>
        <v>880</v>
      </c>
      <c r="H3839" s="6" t="n">
        <f aca="false">IFERROR(INDEX('Semrush Data'!$A$1:$Z$20000,MATCH(A3839,'Semrush Data'!$A$1:$A$20000,0),MATCH("Keyword Difficulty*",'Semrush Data'!$A$1:$Z$1,0)),"")</f>
        <v>21</v>
      </c>
      <c r="I3839" s="29" t="n">
        <f aca="false">IFERROR(INDEX('Semrush Data'!$A$1:$Z$20000,MATCH(A3839,'Semrush Data'!$A$1:$A$20000,0),MATCH("CPC*",'Semrush Data'!$A$1:$Z$1,0)),"")</f>
        <v>1.03</v>
      </c>
      <c r="J3839" s="6" t="str">
        <f aca="false">IFERROR(INDEX('Semrush Data'!$A$1:$Z$20000,MATCH(A3839,'Semrush Data'!$A$1:$A$20000,0),MATCH("Intent",'Semrush Data'!$A$1:$Z$1,0)),"")</f>
        <v>Informational</v>
      </c>
    </row>
    <row r="3840" customFormat="false" ht="15" hidden="false" customHeight="true" outlineLevel="0" collapsed="false">
      <c r="A3840" s="6" t="s">
        <v>235</v>
      </c>
      <c r="B3840" s="6" t="s">
        <v>189</v>
      </c>
      <c r="C3840" s="6" t="n">
        <v>2</v>
      </c>
      <c r="D3840" s="6" t="s">
        <v>7927</v>
      </c>
      <c r="E3840" s="6" t="n">
        <v>0</v>
      </c>
      <c r="F3840" s="6"/>
      <c r="G3840" s="28" t="n">
        <f aca="false">IFERROR(INDEX('Semrush Data'!$A$1:$Z$20000,MATCH(A3840,'Semrush Data'!$A$1:$A$20000,0),MATCH("Volume",'Semrush Data'!$A$1:$Z$1,0)),"")</f>
        <v>1000</v>
      </c>
      <c r="H3840" s="6" t="n">
        <f aca="false">IFERROR(INDEX('Semrush Data'!$A$1:$Z$20000,MATCH(A3840,'Semrush Data'!$A$1:$A$20000,0),MATCH("Keyword Difficulty*",'Semrush Data'!$A$1:$Z$1,0)),"")</f>
        <v>24</v>
      </c>
      <c r="I3840" s="29" t="n">
        <f aca="false">IFERROR(INDEX('Semrush Data'!$A$1:$Z$20000,MATCH(A3840,'Semrush Data'!$A$1:$A$20000,0),MATCH("CPC*",'Semrush Data'!$A$1:$Z$1,0)),"")</f>
        <v>0.92</v>
      </c>
      <c r="J3840" s="6" t="str">
        <f aca="false">IFERROR(INDEX('Semrush Data'!$A$1:$Z$20000,MATCH(A3840,'Semrush Data'!$A$1:$A$20000,0),MATCH("Intent",'Semrush Data'!$A$1:$Z$1,0)),"")</f>
        <v>Informational</v>
      </c>
    </row>
    <row r="3841" customFormat="false" ht="15" hidden="false" customHeight="true" outlineLevel="0" collapsed="false">
      <c r="A3841" s="6" t="s">
        <v>7948</v>
      </c>
      <c r="B3841" s="6" t="s">
        <v>189</v>
      </c>
      <c r="C3841" s="6" t="n">
        <v>2</v>
      </c>
      <c r="D3841" s="6" t="s">
        <v>7927</v>
      </c>
      <c r="E3841" s="6" t="n">
        <v>0</v>
      </c>
      <c r="F3841" s="6"/>
      <c r="G3841" s="28" t="n">
        <f aca="false">IFERROR(INDEX('Semrush Data'!$A$1:$Z$20000,MATCH(A3841,'Semrush Data'!$A$1:$A$20000,0),MATCH("Volume",'Semrush Data'!$A$1:$Z$1,0)),"")</f>
        <v>390</v>
      </c>
      <c r="H3841" s="6" t="n">
        <f aca="false">IFERROR(INDEX('Semrush Data'!$A$1:$Z$20000,MATCH(A3841,'Semrush Data'!$A$1:$A$20000,0),MATCH("Keyword Difficulty*",'Semrush Data'!$A$1:$Z$1,0)),"")</f>
        <v>11</v>
      </c>
      <c r="I3841" s="29" t="n">
        <f aca="false">IFERROR(INDEX('Semrush Data'!$A$1:$Z$20000,MATCH(A3841,'Semrush Data'!$A$1:$A$20000,0),MATCH("CPC*",'Semrush Data'!$A$1:$Z$1,0)),"")</f>
        <v>0.87</v>
      </c>
      <c r="J3841" s="6" t="str">
        <f aca="false">IFERROR(INDEX('Semrush Data'!$A$1:$Z$20000,MATCH(A3841,'Semrush Data'!$A$1:$A$20000,0),MATCH("Intent",'Semrush Data'!$A$1:$Z$1,0)),"")</f>
        <v>Informational</v>
      </c>
    </row>
    <row r="3842" customFormat="false" ht="15" hidden="false" customHeight="true" outlineLevel="0" collapsed="false">
      <c r="A3842" s="6" t="s">
        <v>7949</v>
      </c>
      <c r="B3842" s="6" t="s">
        <v>189</v>
      </c>
      <c r="C3842" s="6" t="n">
        <v>2</v>
      </c>
      <c r="D3842" s="6" t="s">
        <v>7927</v>
      </c>
      <c r="E3842" s="6" t="n">
        <v>0</v>
      </c>
      <c r="F3842" s="6"/>
      <c r="G3842" s="28" t="n">
        <f aca="false">IFERROR(INDEX('Semrush Data'!$A$1:$Z$20000,MATCH(A3842,'Semrush Data'!$A$1:$A$20000,0),MATCH("Volume",'Semrush Data'!$A$1:$Z$1,0)),"")</f>
        <v>480</v>
      </c>
      <c r="H3842" s="6" t="n">
        <f aca="false">IFERROR(INDEX('Semrush Data'!$A$1:$Z$20000,MATCH(A3842,'Semrush Data'!$A$1:$A$20000,0),MATCH("Keyword Difficulty*",'Semrush Data'!$A$1:$Z$1,0)),"")</f>
        <v>45</v>
      </c>
      <c r="I3842" s="29" t="n">
        <f aca="false">IFERROR(INDEX('Semrush Data'!$A$1:$Z$20000,MATCH(A3842,'Semrush Data'!$A$1:$A$20000,0),MATCH("CPC*",'Semrush Data'!$A$1:$Z$1,0)),"")</f>
        <v>1.63</v>
      </c>
      <c r="J3842" s="6" t="str">
        <f aca="false">IFERROR(INDEX('Semrush Data'!$A$1:$Z$20000,MATCH(A3842,'Semrush Data'!$A$1:$A$20000,0),MATCH("Intent",'Semrush Data'!$A$1:$Z$1,0)),"")</f>
        <v>Informational</v>
      </c>
    </row>
  </sheetData>
  <autoFilter ref="A1:J38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3" min="1" style="1" width="40"/>
  </cols>
  <sheetData>
    <row r="1" customFormat="false" ht="24" hidden="false" customHeight="true" outlineLevel="0" collapsed="false">
      <c r="A1" s="30" t="s">
        <v>7950</v>
      </c>
      <c r="B1" s="30" t="s">
        <v>7951</v>
      </c>
      <c r="C1" s="30" t="s">
        <v>7952</v>
      </c>
      <c r="D1" s="30" t="s">
        <v>7953</v>
      </c>
      <c r="E1" s="30" t="s">
        <v>7954</v>
      </c>
      <c r="F1" s="30" t="s">
        <v>7955</v>
      </c>
      <c r="G1" s="30" t="s">
        <v>7956</v>
      </c>
      <c r="H1" s="30" t="s">
        <v>7957</v>
      </c>
      <c r="I1" s="30" t="s">
        <v>7958</v>
      </c>
      <c r="J1" s="31" t="s">
        <v>7959</v>
      </c>
      <c r="K1" s="31" t="s">
        <v>7960</v>
      </c>
      <c r="L1" s="31" t="s">
        <v>7961</v>
      </c>
      <c r="M1" s="31" t="s">
        <v>7962</v>
      </c>
      <c r="N1" s="31" t="s">
        <v>7963</v>
      </c>
      <c r="O1" s="31" t="s">
        <v>7964</v>
      </c>
      <c r="P1" s="31" t="s">
        <v>7965</v>
      </c>
      <c r="Q1" s="31" t="s">
        <v>7966</v>
      </c>
      <c r="R1" s="31" t="s">
        <v>7967</v>
      </c>
      <c r="S1" s="31" t="s">
        <v>7968</v>
      </c>
      <c r="T1" s="31" t="s">
        <v>7969</v>
      </c>
      <c r="U1" s="31" t="s">
        <v>7970</v>
      </c>
      <c r="V1" s="31" t="s">
        <v>7971</v>
      </c>
      <c r="W1" s="31" t="s">
        <v>7972</v>
      </c>
      <c r="X1" s="31" t="s">
        <v>7973</v>
      </c>
      <c r="Y1" s="31" t="s">
        <v>7974</v>
      </c>
      <c r="Z1" s="31" t="s">
        <v>7975</v>
      </c>
      <c r="AA1" s="31" t="s">
        <v>7976</v>
      </c>
      <c r="AB1" s="31" t="s">
        <v>7977</v>
      </c>
      <c r="AC1" s="31" t="s">
        <v>7978</v>
      </c>
      <c r="AD1" s="31" t="s">
        <v>7979</v>
      </c>
      <c r="AE1" s="31" t="s">
        <v>7980</v>
      </c>
      <c r="AF1" s="31" t="s">
        <v>7981</v>
      </c>
      <c r="AG1" s="31" t="s">
        <v>7982</v>
      </c>
      <c r="AH1" s="31" t="s">
        <v>7983</v>
      </c>
      <c r="AI1" s="31" t="s">
        <v>7984</v>
      </c>
      <c r="AJ1" s="31" t="s">
        <v>7985</v>
      </c>
      <c r="AK1" s="31" t="s">
        <v>7986</v>
      </c>
      <c r="AL1" s="31" t="s">
        <v>7987</v>
      </c>
      <c r="AM1" s="32" t="s">
        <v>7988</v>
      </c>
      <c r="AN1" s="32" t="s">
        <v>7989</v>
      </c>
      <c r="AO1" s="32" t="s">
        <v>7990</v>
      </c>
      <c r="AP1" s="33" t="s">
        <v>7991</v>
      </c>
      <c r="AQ1" s="33" t="s">
        <v>7992</v>
      </c>
    </row>
    <row r="2" customFormat="false" ht="15" hidden="false" customHeight="true" outlineLevel="0" collapsed="false">
      <c r="A2" s="6" t="s">
        <v>6494</v>
      </c>
      <c r="B2" s="6" t="s">
        <v>324</v>
      </c>
      <c r="C2" s="6" t="s">
        <v>6738</v>
      </c>
      <c r="D2" s="6" t="s">
        <v>2563</v>
      </c>
      <c r="E2" s="6" t="s">
        <v>2198</v>
      </c>
      <c r="F2" s="6" t="s">
        <v>3909</v>
      </c>
      <c r="G2" s="6" t="s">
        <v>5178</v>
      </c>
      <c r="H2" s="6" t="s">
        <v>6211</v>
      </c>
      <c r="I2" s="6" t="s">
        <v>1567</v>
      </c>
      <c r="J2" s="34" t="s">
        <v>2383</v>
      </c>
      <c r="K2" s="34" t="s">
        <v>3786</v>
      </c>
      <c r="L2" s="34" t="s">
        <v>5099</v>
      </c>
      <c r="M2" s="34" t="s">
        <v>6121</v>
      </c>
      <c r="N2" s="34" t="s">
        <v>1900</v>
      </c>
      <c r="O2" s="34" t="s">
        <v>3661</v>
      </c>
      <c r="P2" s="34" t="s">
        <v>5080</v>
      </c>
      <c r="Q2" s="34" t="s">
        <v>6226</v>
      </c>
      <c r="R2" s="34" t="s">
        <v>3397</v>
      </c>
      <c r="S2" s="34" t="s">
        <v>3584</v>
      </c>
      <c r="T2" s="34" t="s">
        <v>4846</v>
      </c>
      <c r="U2" s="34" t="s">
        <v>5891</v>
      </c>
      <c r="V2" s="34" t="s">
        <v>1678</v>
      </c>
      <c r="W2" s="34" t="s">
        <v>6932</v>
      </c>
      <c r="X2" s="34" t="s">
        <v>7021</v>
      </c>
      <c r="Y2" s="34" t="s">
        <v>7112</v>
      </c>
      <c r="Z2" s="34" t="s">
        <v>7203</v>
      </c>
      <c r="AA2" s="34" t="s">
        <v>7297</v>
      </c>
      <c r="AB2" s="34" t="s">
        <v>4133</v>
      </c>
      <c r="AC2" s="34" t="s">
        <v>7486</v>
      </c>
      <c r="AD2" s="34" t="s">
        <v>7577</v>
      </c>
      <c r="AE2" s="34" t="s">
        <v>7669</v>
      </c>
      <c r="AF2" s="34" t="s">
        <v>7762</v>
      </c>
      <c r="AG2" s="34" t="s">
        <v>7860</v>
      </c>
      <c r="AH2" s="34" t="s">
        <v>3146</v>
      </c>
      <c r="AI2" s="34" t="s">
        <v>2379</v>
      </c>
      <c r="AJ2" s="34" t="s">
        <v>4666</v>
      </c>
      <c r="AK2" s="34" t="s">
        <v>5595</v>
      </c>
      <c r="AL2" s="34" t="s">
        <v>1842</v>
      </c>
      <c r="AM2" s="6" t="s">
        <v>3563</v>
      </c>
      <c r="AN2" s="6" t="s">
        <v>4009</v>
      </c>
      <c r="AO2" s="6" t="s">
        <v>7926</v>
      </c>
      <c r="AP2" s="6" t="s">
        <v>3562</v>
      </c>
      <c r="AQ2" s="6" t="s">
        <v>7550</v>
      </c>
    </row>
    <row r="3" customFormat="false" ht="15" hidden="false" customHeight="true" outlineLevel="0" collapsed="false">
      <c r="A3" s="6" t="s">
        <v>6495</v>
      </c>
      <c r="B3" s="6" t="s">
        <v>6612</v>
      </c>
      <c r="C3" s="6" t="s">
        <v>158</v>
      </c>
      <c r="D3" s="6" t="s">
        <v>2506</v>
      </c>
      <c r="E3" s="6" t="s">
        <v>2278</v>
      </c>
      <c r="F3" s="6" t="s">
        <v>3921</v>
      </c>
      <c r="G3" s="6" t="s">
        <v>5188</v>
      </c>
      <c r="H3" s="6" t="s">
        <v>6222</v>
      </c>
      <c r="I3" s="6" t="s">
        <v>1857</v>
      </c>
      <c r="J3" s="34" t="s">
        <v>2318</v>
      </c>
      <c r="K3" s="34" t="s">
        <v>3798</v>
      </c>
      <c r="L3" s="34" t="s">
        <v>5077</v>
      </c>
      <c r="M3" s="34" t="s">
        <v>6133</v>
      </c>
      <c r="N3" s="34" t="s">
        <v>1822</v>
      </c>
      <c r="O3" s="34" t="s">
        <v>3857</v>
      </c>
      <c r="P3" s="34" t="s">
        <v>5111</v>
      </c>
      <c r="Q3" s="34" t="s">
        <v>6237</v>
      </c>
      <c r="R3" s="34" t="s">
        <v>3408</v>
      </c>
      <c r="S3" s="34" t="s">
        <v>3609</v>
      </c>
      <c r="T3" s="34" t="s">
        <v>4855</v>
      </c>
      <c r="U3" s="34" t="s">
        <v>5913</v>
      </c>
      <c r="V3" s="34" t="s">
        <v>1738</v>
      </c>
      <c r="W3" s="34" t="s">
        <v>6933</v>
      </c>
      <c r="X3" s="34" t="s">
        <v>7022</v>
      </c>
      <c r="Y3" s="34" t="s">
        <v>7113</v>
      </c>
      <c r="Z3" s="34" t="s">
        <v>7204</v>
      </c>
      <c r="AA3" s="34" t="s">
        <v>7298</v>
      </c>
      <c r="AB3" s="34" t="s">
        <v>7392</v>
      </c>
      <c r="AC3" s="34" t="s">
        <v>7487</v>
      </c>
      <c r="AD3" s="34" t="s">
        <v>7578</v>
      </c>
      <c r="AE3" s="34" t="s">
        <v>7670</v>
      </c>
      <c r="AF3" s="34" t="s">
        <v>7763</v>
      </c>
      <c r="AG3" s="34" t="s">
        <v>7861</v>
      </c>
      <c r="AH3" s="34" t="s">
        <v>3156</v>
      </c>
      <c r="AI3" s="34" t="s">
        <v>2128</v>
      </c>
      <c r="AJ3" s="34" t="s">
        <v>4751</v>
      </c>
      <c r="AK3" s="34" t="s">
        <v>5605</v>
      </c>
      <c r="AL3" s="34" t="s">
        <v>1854</v>
      </c>
      <c r="AM3" s="6" t="s">
        <v>3561</v>
      </c>
      <c r="AN3" s="6" t="s">
        <v>4291</v>
      </c>
      <c r="AO3" s="6" t="s">
        <v>7928</v>
      </c>
      <c r="AP3" s="6" t="s">
        <v>248</v>
      </c>
      <c r="AQ3" s="6" t="s">
        <v>7378</v>
      </c>
    </row>
    <row r="4" customFormat="false" ht="15" hidden="false" customHeight="true" outlineLevel="0" collapsed="false">
      <c r="A4" s="6" t="s">
        <v>301</v>
      </c>
      <c r="B4" s="6" t="s">
        <v>352</v>
      </c>
      <c r="C4" s="6" t="s">
        <v>159</v>
      </c>
      <c r="D4" s="6" t="s">
        <v>2517</v>
      </c>
      <c r="E4" s="6" t="s">
        <v>2186</v>
      </c>
      <c r="F4" s="6" t="s">
        <v>3943</v>
      </c>
      <c r="G4" s="6" t="s">
        <v>5198</v>
      </c>
      <c r="H4" s="6" t="s">
        <v>6233</v>
      </c>
      <c r="I4" s="6" t="s">
        <v>6479</v>
      </c>
      <c r="J4" s="34" t="s">
        <v>2324</v>
      </c>
      <c r="K4" s="34" t="s">
        <v>3809</v>
      </c>
      <c r="L4" s="34" t="s">
        <v>5108</v>
      </c>
      <c r="M4" s="34" t="s">
        <v>6145</v>
      </c>
      <c r="N4" s="34" t="s">
        <v>1870</v>
      </c>
      <c r="O4" s="34" t="s">
        <v>3868</v>
      </c>
      <c r="P4" s="34" t="s">
        <v>5091</v>
      </c>
      <c r="Q4" s="34" t="s">
        <v>6248</v>
      </c>
      <c r="R4" s="34" t="s">
        <v>3387</v>
      </c>
      <c r="S4" s="34" t="s">
        <v>3692</v>
      </c>
      <c r="T4" s="34" t="s">
        <v>4943</v>
      </c>
      <c r="U4" s="34" t="s">
        <v>5800</v>
      </c>
      <c r="V4" s="34" t="s">
        <v>1547</v>
      </c>
      <c r="W4" s="34" t="s">
        <v>6934</v>
      </c>
      <c r="X4" s="34" t="s">
        <v>7023</v>
      </c>
      <c r="Y4" s="34" t="s">
        <v>243</v>
      </c>
      <c r="Z4" s="34" t="s">
        <v>7205</v>
      </c>
      <c r="AA4" s="34" t="s">
        <v>7299</v>
      </c>
      <c r="AB4" s="34" t="s">
        <v>7393</v>
      </c>
      <c r="AC4" s="34" t="s">
        <v>7488</v>
      </c>
      <c r="AD4" s="34" t="s">
        <v>7579</v>
      </c>
      <c r="AE4" s="34" t="s">
        <v>7671</v>
      </c>
      <c r="AF4" s="34" t="s">
        <v>7764</v>
      </c>
      <c r="AG4" s="34" t="s">
        <v>7862</v>
      </c>
      <c r="AH4" s="34" t="s">
        <v>3115</v>
      </c>
      <c r="AI4" s="34" t="s">
        <v>2307</v>
      </c>
      <c r="AJ4" s="34" t="s">
        <v>4730</v>
      </c>
      <c r="AK4" s="34" t="s">
        <v>5626</v>
      </c>
      <c r="AL4" s="34" t="s">
        <v>1719</v>
      </c>
      <c r="AM4" s="6" t="s">
        <v>6384</v>
      </c>
      <c r="AN4" s="6" t="s">
        <v>4288</v>
      </c>
      <c r="AO4" s="6" t="s">
        <v>7929</v>
      </c>
      <c r="AP4" s="6" t="s">
        <v>6383</v>
      </c>
      <c r="AQ4" s="6" t="s">
        <v>7376</v>
      </c>
    </row>
    <row r="5" customFormat="false" ht="15" hidden="false" customHeight="true" outlineLevel="0" collapsed="false">
      <c r="A5" s="6" t="s">
        <v>6496</v>
      </c>
      <c r="B5" s="6" t="s">
        <v>328</v>
      </c>
      <c r="C5" s="6" t="s">
        <v>6740</v>
      </c>
      <c r="D5" s="6" t="s">
        <v>2528</v>
      </c>
      <c r="E5" s="6" t="s">
        <v>2347</v>
      </c>
      <c r="F5" s="6" t="s">
        <v>3932</v>
      </c>
      <c r="G5" s="6" t="s">
        <v>5207</v>
      </c>
      <c r="H5" s="6" t="s">
        <v>6244</v>
      </c>
      <c r="I5" s="6" t="s">
        <v>2457</v>
      </c>
      <c r="J5" s="34" t="s">
        <v>1958</v>
      </c>
      <c r="K5" s="34" t="s">
        <v>3820</v>
      </c>
      <c r="L5" s="34" t="s">
        <v>5088</v>
      </c>
      <c r="M5" s="34" t="s">
        <v>6156</v>
      </c>
      <c r="N5" s="34" t="s">
        <v>1780</v>
      </c>
      <c r="O5" s="34" t="s">
        <v>3880</v>
      </c>
      <c r="P5" s="34" t="s">
        <v>5133</v>
      </c>
      <c r="Q5" s="34" t="s">
        <v>6257</v>
      </c>
      <c r="R5" s="34" t="s">
        <v>3354</v>
      </c>
      <c r="S5" s="34" t="s">
        <v>3622</v>
      </c>
      <c r="T5" s="34" t="s">
        <v>4899</v>
      </c>
      <c r="U5" s="34" t="s">
        <v>5812</v>
      </c>
      <c r="V5" s="34" t="s">
        <v>1685</v>
      </c>
      <c r="W5" s="34" t="s">
        <v>6935</v>
      </c>
      <c r="X5" s="34" t="s">
        <v>7024</v>
      </c>
      <c r="Y5" s="34" t="s">
        <v>7114</v>
      </c>
      <c r="Z5" s="34" t="s">
        <v>7206</v>
      </c>
      <c r="AA5" s="34" t="s">
        <v>7300</v>
      </c>
      <c r="AB5" s="34" t="s">
        <v>7394</v>
      </c>
      <c r="AC5" s="34" t="s">
        <v>7489</v>
      </c>
      <c r="AD5" s="34" t="s">
        <v>7580</v>
      </c>
      <c r="AE5" s="34" t="s">
        <v>7672</v>
      </c>
      <c r="AF5" s="34" t="s">
        <v>7765</v>
      </c>
      <c r="AG5" s="34" t="s">
        <v>7863</v>
      </c>
      <c r="AH5" s="34" t="s">
        <v>3166</v>
      </c>
      <c r="AI5" s="34" t="s">
        <v>2248</v>
      </c>
      <c r="AJ5" s="34" t="s">
        <v>4803</v>
      </c>
      <c r="AK5" s="34" t="s">
        <v>4608</v>
      </c>
      <c r="AL5" s="34" t="s">
        <v>1746</v>
      </c>
      <c r="AM5" s="6" t="s">
        <v>6382</v>
      </c>
      <c r="AN5" s="6" t="s">
        <v>4791</v>
      </c>
      <c r="AO5" s="6" t="s">
        <v>200</v>
      </c>
      <c r="AP5" s="6" t="s">
        <v>265</v>
      </c>
      <c r="AQ5" s="6" t="s">
        <v>7068</v>
      </c>
    </row>
    <row r="6" customFormat="false" ht="15" hidden="false" customHeight="true" outlineLevel="0" collapsed="false">
      <c r="A6" s="6" t="s">
        <v>306</v>
      </c>
      <c r="B6" s="6" t="s">
        <v>6615</v>
      </c>
      <c r="C6" s="6" t="s">
        <v>6742</v>
      </c>
      <c r="D6" s="6" t="s">
        <v>2539</v>
      </c>
      <c r="E6" s="6" t="s">
        <v>1964</v>
      </c>
      <c r="F6" s="6" t="s">
        <v>3987</v>
      </c>
      <c r="G6" s="6" t="s">
        <v>5218</v>
      </c>
      <c r="H6" s="6" t="s">
        <v>6253</v>
      </c>
      <c r="I6" s="6" t="s">
        <v>2469</v>
      </c>
      <c r="J6" s="34" t="s">
        <v>2166</v>
      </c>
      <c r="K6" s="34" t="s">
        <v>3831</v>
      </c>
      <c r="L6" s="34" t="s">
        <v>5143</v>
      </c>
      <c r="M6" s="34" t="s">
        <v>6166</v>
      </c>
      <c r="N6" s="34" t="s">
        <v>1816</v>
      </c>
      <c r="O6" s="34" t="s">
        <v>3891</v>
      </c>
      <c r="P6" s="34" t="s">
        <v>5159</v>
      </c>
      <c r="Q6" s="34" t="s">
        <v>6269</v>
      </c>
      <c r="R6" s="34" t="s">
        <v>3365</v>
      </c>
      <c r="S6" s="34" t="s">
        <v>3703</v>
      </c>
      <c r="T6" s="34" t="s">
        <v>4917</v>
      </c>
      <c r="U6" s="34" t="s">
        <v>5824</v>
      </c>
      <c r="V6" s="34" t="s">
        <v>1751</v>
      </c>
      <c r="W6" s="34" t="s">
        <v>6936</v>
      </c>
      <c r="X6" s="34" t="s">
        <v>7025</v>
      </c>
      <c r="Y6" s="34" t="s">
        <v>7115</v>
      </c>
      <c r="Z6" s="34" t="s">
        <v>7207</v>
      </c>
      <c r="AA6" s="34" t="s">
        <v>7301</v>
      </c>
      <c r="AB6" s="34" t="s">
        <v>7395</v>
      </c>
      <c r="AC6" s="34" t="s">
        <v>7490</v>
      </c>
      <c r="AD6" s="34" t="s">
        <v>7581</v>
      </c>
      <c r="AE6" s="34" t="s">
        <v>7673</v>
      </c>
      <c r="AF6" s="34" t="s">
        <v>7766</v>
      </c>
      <c r="AG6" s="34" t="s">
        <v>7864</v>
      </c>
      <c r="AH6" s="34" t="s">
        <v>3104</v>
      </c>
      <c r="AI6" s="34" t="s">
        <v>2121</v>
      </c>
      <c r="AJ6" s="34" t="s">
        <v>4679</v>
      </c>
      <c r="AK6" s="34" t="s">
        <v>5638</v>
      </c>
      <c r="AL6" s="34" t="s">
        <v>1643</v>
      </c>
      <c r="AM6" s="6" t="s">
        <v>6365</v>
      </c>
      <c r="AN6" s="6" t="s">
        <v>5743</v>
      </c>
      <c r="AO6" s="6" t="s">
        <v>7930</v>
      </c>
      <c r="AP6" s="6" t="s">
        <v>6364</v>
      </c>
      <c r="AQ6" s="6" t="s">
        <v>292</v>
      </c>
    </row>
    <row r="7" customFormat="false" ht="15" hidden="false" customHeight="true" outlineLevel="0" collapsed="false">
      <c r="A7" s="6" t="s">
        <v>6497</v>
      </c>
      <c r="B7" s="6" t="s">
        <v>6616</v>
      </c>
      <c r="C7" s="6" t="s">
        <v>156</v>
      </c>
      <c r="D7" s="6" t="s">
        <v>5933</v>
      </c>
      <c r="E7" s="6" t="s">
        <v>2205</v>
      </c>
      <c r="F7" s="6" t="s">
        <v>3954</v>
      </c>
      <c r="G7" s="6" t="s">
        <v>5231</v>
      </c>
      <c r="H7" s="6" t="s">
        <v>6265</v>
      </c>
      <c r="I7" s="6" t="s">
        <v>2554</v>
      </c>
      <c r="J7" s="34" t="s">
        <v>2266</v>
      </c>
      <c r="K7" s="34" t="s">
        <v>3842</v>
      </c>
      <c r="L7" s="34" t="s">
        <v>5130</v>
      </c>
      <c r="M7" s="34" t="s">
        <v>6181</v>
      </c>
      <c r="N7" s="34" t="s">
        <v>1864</v>
      </c>
      <c r="O7" s="34" t="s">
        <v>3742</v>
      </c>
      <c r="P7" s="34" t="s">
        <v>5192</v>
      </c>
      <c r="Q7" s="34" t="s">
        <v>6280</v>
      </c>
      <c r="R7" s="34" t="s">
        <v>3342</v>
      </c>
      <c r="S7" s="34" t="s">
        <v>3681</v>
      </c>
      <c r="T7" s="34" t="s">
        <v>4928</v>
      </c>
      <c r="U7" s="34" t="s">
        <v>5835</v>
      </c>
      <c r="V7" s="34" t="s">
        <v>1554</v>
      </c>
      <c r="W7" s="34" t="s">
        <v>6937</v>
      </c>
      <c r="X7" s="34" t="s">
        <v>7026</v>
      </c>
      <c r="Y7" s="34" t="s">
        <v>7116</v>
      </c>
      <c r="Z7" s="34" t="s">
        <v>7208</v>
      </c>
      <c r="AA7" s="34" t="s">
        <v>7302</v>
      </c>
      <c r="AB7" s="34" t="s">
        <v>4187</v>
      </c>
      <c r="AC7" s="34" t="s">
        <v>7491</v>
      </c>
      <c r="AD7" s="34" t="s">
        <v>7582</v>
      </c>
      <c r="AE7" s="34" t="s">
        <v>7674</v>
      </c>
      <c r="AF7" s="34" t="s">
        <v>7767</v>
      </c>
      <c r="AG7" s="34" t="s">
        <v>7865</v>
      </c>
      <c r="AH7" s="34" t="s">
        <v>3177</v>
      </c>
      <c r="AI7" s="34" t="s">
        <v>2068</v>
      </c>
      <c r="AJ7" s="34" t="s">
        <v>4688</v>
      </c>
      <c r="AK7" s="34" t="s">
        <v>5649</v>
      </c>
      <c r="AL7" s="34" t="s">
        <v>1501</v>
      </c>
      <c r="AM7" s="6" t="s">
        <v>6363</v>
      </c>
      <c r="AN7" s="6" t="s">
        <v>5740</v>
      </c>
      <c r="AO7" s="6" t="s">
        <v>7931</v>
      </c>
      <c r="AP7" s="6" t="s">
        <v>266</v>
      </c>
      <c r="AQ7" s="6" t="s">
        <v>7230</v>
      </c>
    </row>
    <row r="8" customFormat="false" ht="15" hidden="false" customHeight="true" outlineLevel="0" collapsed="false">
      <c r="A8" s="6" t="s">
        <v>6498</v>
      </c>
      <c r="B8" s="6" t="s">
        <v>6618</v>
      </c>
      <c r="C8" s="6" t="s">
        <v>176</v>
      </c>
      <c r="D8" s="6" t="s">
        <v>2572</v>
      </c>
      <c r="E8" s="6" t="s">
        <v>1949</v>
      </c>
      <c r="F8" s="6" t="s">
        <v>3997</v>
      </c>
      <c r="G8" s="6" t="s">
        <v>5247</v>
      </c>
      <c r="H8" s="6" t="s">
        <v>6276</v>
      </c>
      <c r="I8" s="6" t="s">
        <v>2496</v>
      </c>
      <c r="J8" s="34" t="s">
        <v>2003</v>
      </c>
      <c r="K8" s="34" t="s">
        <v>3898</v>
      </c>
      <c r="L8" s="34" t="s">
        <v>5156</v>
      </c>
      <c r="M8" s="34" t="s">
        <v>6191</v>
      </c>
      <c r="N8" s="34" t="s">
        <v>1485</v>
      </c>
      <c r="O8" s="34" t="s">
        <v>3755</v>
      </c>
      <c r="P8" s="34" t="s">
        <v>5202</v>
      </c>
      <c r="Q8" s="34" t="s">
        <v>6291</v>
      </c>
      <c r="R8" s="34" t="s">
        <v>3376</v>
      </c>
      <c r="S8" s="34" t="s">
        <v>3713</v>
      </c>
      <c r="T8" s="34" t="s">
        <v>4958</v>
      </c>
      <c r="U8" s="34" t="s">
        <v>5846</v>
      </c>
      <c r="V8" s="34" t="s">
        <v>1694</v>
      </c>
      <c r="W8" s="34" t="s">
        <v>284</v>
      </c>
      <c r="X8" s="34" t="s">
        <v>7027</v>
      </c>
      <c r="Y8" s="34" t="s">
        <v>7117</v>
      </c>
      <c r="Z8" s="34" t="s">
        <v>7209</v>
      </c>
      <c r="AA8" s="34" t="s">
        <v>7303</v>
      </c>
      <c r="AB8" s="34" t="s">
        <v>7396</v>
      </c>
      <c r="AC8" s="34" t="s">
        <v>7492</v>
      </c>
      <c r="AD8" s="34" t="s">
        <v>7583</v>
      </c>
      <c r="AE8" s="34" t="s">
        <v>7675</v>
      </c>
      <c r="AF8" s="34" t="s">
        <v>7768</v>
      </c>
      <c r="AG8" s="34" t="s">
        <v>7866</v>
      </c>
      <c r="AH8" s="34" t="s">
        <v>3227</v>
      </c>
      <c r="AI8" s="34" t="s">
        <v>2275</v>
      </c>
      <c r="AJ8" s="34" t="s">
        <v>4762</v>
      </c>
      <c r="AK8" s="34" t="s">
        <v>5660</v>
      </c>
      <c r="AL8" s="34" t="s">
        <v>1926</v>
      </c>
      <c r="AM8" s="6" t="s">
        <v>5210</v>
      </c>
      <c r="AN8" s="6" t="s">
        <v>2643</v>
      </c>
      <c r="AO8" s="6" t="s">
        <v>203</v>
      </c>
      <c r="AP8" s="6" t="s">
        <v>5209</v>
      </c>
      <c r="AQ8" s="6" t="s">
        <v>7228</v>
      </c>
    </row>
    <row r="9" customFormat="false" ht="15" hidden="false" customHeight="true" outlineLevel="0" collapsed="false">
      <c r="A9" s="6" t="s">
        <v>295</v>
      </c>
      <c r="B9" s="6" t="s">
        <v>337</v>
      </c>
      <c r="C9" s="6" t="s">
        <v>157</v>
      </c>
      <c r="D9" s="6" t="s">
        <v>2620</v>
      </c>
      <c r="E9" s="6" t="s">
        <v>2218</v>
      </c>
      <c r="F9" s="6" t="s">
        <v>3965</v>
      </c>
      <c r="G9" s="6" t="s">
        <v>5260</v>
      </c>
      <c r="H9" s="6" t="s">
        <v>6287</v>
      </c>
      <c r="I9" s="6" t="s">
        <v>2483</v>
      </c>
      <c r="J9" s="34" t="s">
        <v>2260</v>
      </c>
      <c r="K9" s="34" t="s">
        <v>3977</v>
      </c>
      <c r="L9" s="34" t="s">
        <v>5167</v>
      </c>
      <c r="M9" s="34" t="s">
        <v>6202</v>
      </c>
      <c r="N9" s="34" t="s">
        <v>1711</v>
      </c>
      <c r="O9" s="34" t="s">
        <v>3767</v>
      </c>
      <c r="P9" s="34" t="s">
        <v>5210</v>
      </c>
      <c r="Q9" s="34" t="s">
        <v>6302</v>
      </c>
      <c r="R9" s="34" t="s">
        <v>3419</v>
      </c>
      <c r="S9" s="34" t="s">
        <v>3634</v>
      </c>
      <c r="T9" s="34" t="s">
        <v>4970</v>
      </c>
      <c r="U9" s="34" t="s">
        <v>5924</v>
      </c>
      <c r="V9" s="34" t="s">
        <v>1561</v>
      </c>
      <c r="W9" s="34" t="s">
        <v>6938</v>
      </c>
      <c r="X9" s="34" t="s">
        <v>7028</v>
      </c>
      <c r="Y9" s="34" t="s">
        <v>7118</v>
      </c>
      <c r="Z9" s="34" t="s">
        <v>7210</v>
      </c>
      <c r="AA9" s="34" t="s">
        <v>7304</v>
      </c>
      <c r="AB9" s="34" t="s">
        <v>4233</v>
      </c>
      <c r="AC9" s="34" t="s">
        <v>7493</v>
      </c>
      <c r="AD9" s="34" t="s">
        <v>7584</v>
      </c>
      <c r="AE9" s="34" t="s">
        <v>7676</v>
      </c>
      <c r="AF9" s="34" t="s">
        <v>7769</v>
      </c>
      <c r="AG9" s="34" t="s">
        <v>7867</v>
      </c>
      <c r="AH9" s="34" t="s">
        <v>3236</v>
      </c>
      <c r="AI9" s="34" t="s">
        <v>2106</v>
      </c>
      <c r="AJ9" s="34" t="s">
        <v>4699</v>
      </c>
      <c r="AK9" s="34" t="s">
        <v>5671</v>
      </c>
      <c r="AL9" s="34" t="s">
        <v>1650</v>
      </c>
      <c r="AM9" s="6" t="s">
        <v>5208</v>
      </c>
      <c r="AN9" s="6" t="s">
        <v>2961</v>
      </c>
      <c r="AO9" s="6" t="s">
        <v>230</v>
      </c>
      <c r="AP9" s="6" t="s">
        <v>275</v>
      </c>
      <c r="AQ9" s="6" t="s">
        <v>267</v>
      </c>
    </row>
    <row r="10" customFormat="false" ht="15" hidden="false" customHeight="true" outlineLevel="0" collapsed="false">
      <c r="A10" s="6" t="s">
        <v>307</v>
      </c>
      <c r="B10" s="6" t="s">
        <v>353</v>
      </c>
      <c r="C10" s="6" t="s">
        <v>172</v>
      </c>
      <c r="D10" s="6" t="s">
        <v>2585</v>
      </c>
      <c r="E10" s="6" t="s">
        <v>1942</v>
      </c>
      <c r="F10" s="6" t="s">
        <v>4008</v>
      </c>
      <c r="G10" s="6" t="s">
        <v>5273</v>
      </c>
      <c r="H10" s="6" t="s">
        <v>6298</v>
      </c>
      <c r="I10" s="6" t="s">
        <v>2564</v>
      </c>
      <c r="J10" s="34" t="s">
        <v>2199</v>
      </c>
      <c r="K10" s="34" t="s">
        <v>3910</v>
      </c>
      <c r="L10" s="34" t="s">
        <v>5179</v>
      </c>
      <c r="M10" s="34" t="s">
        <v>6212</v>
      </c>
      <c r="N10" s="34" t="s">
        <v>1568</v>
      </c>
      <c r="O10" s="34" t="s">
        <v>3778</v>
      </c>
      <c r="P10" s="34" t="s">
        <v>5222</v>
      </c>
      <c r="Q10" s="34" t="s">
        <v>6312</v>
      </c>
      <c r="R10" s="34" t="s">
        <v>3431</v>
      </c>
      <c r="S10" s="34" t="s">
        <v>3724</v>
      </c>
      <c r="T10" s="34" t="s">
        <v>4980</v>
      </c>
      <c r="U10" s="34" t="s">
        <v>5857</v>
      </c>
      <c r="V10" s="34" t="s">
        <v>1479</v>
      </c>
      <c r="W10" s="34" t="s">
        <v>285</v>
      </c>
      <c r="X10" s="34" t="s">
        <v>288</v>
      </c>
      <c r="Y10" s="34" t="s">
        <v>7119</v>
      </c>
      <c r="Z10" s="34" t="s">
        <v>998</v>
      </c>
      <c r="AA10" s="34" t="s">
        <v>7305</v>
      </c>
      <c r="AB10" s="34" t="s">
        <v>4220</v>
      </c>
      <c r="AC10" s="34" t="s">
        <v>7494</v>
      </c>
      <c r="AD10" s="34" t="s">
        <v>264</v>
      </c>
      <c r="AE10" s="34" t="s">
        <v>7677</v>
      </c>
      <c r="AF10" s="34" t="s">
        <v>7770</v>
      </c>
      <c r="AG10" s="34" t="s">
        <v>7868</v>
      </c>
      <c r="AH10" s="34" t="s">
        <v>3248</v>
      </c>
      <c r="AI10" s="34" t="s">
        <v>2081</v>
      </c>
      <c r="AJ10" s="34" t="s">
        <v>4773</v>
      </c>
      <c r="AK10" s="34" t="s">
        <v>5683</v>
      </c>
      <c r="AL10" s="34" t="s">
        <v>1529</v>
      </c>
      <c r="AM10" s="6" t="s">
        <v>6392</v>
      </c>
      <c r="AN10" s="6" t="s">
        <v>3868</v>
      </c>
      <c r="AO10" s="6" t="s">
        <v>215</v>
      </c>
      <c r="AP10" s="6" t="s">
        <v>6390</v>
      </c>
      <c r="AQ10" s="6" t="s">
        <v>6898</v>
      </c>
    </row>
    <row r="11" customFormat="false" ht="15" hidden="false" customHeight="true" outlineLevel="0" collapsed="false">
      <c r="A11" s="6" t="s">
        <v>308</v>
      </c>
      <c r="B11" s="6" t="s">
        <v>6620</v>
      </c>
      <c r="C11" s="6" t="s">
        <v>162</v>
      </c>
      <c r="D11" s="6" t="s">
        <v>2598</v>
      </c>
      <c r="E11" s="6" t="s">
        <v>2341</v>
      </c>
      <c r="F11" s="6" t="s">
        <v>4021</v>
      </c>
      <c r="G11" s="6" t="s">
        <v>5975</v>
      </c>
      <c r="H11" s="6" t="s">
        <v>6308</v>
      </c>
      <c r="I11" s="6" t="s">
        <v>2507</v>
      </c>
      <c r="J11" s="34" t="s">
        <v>2279</v>
      </c>
      <c r="K11" s="34" t="s">
        <v>3922</v>
      </c>
      <c r="L11" s="34" t="s">
        <v>5189</v>
      </c>
      <c r="M11" s="34" t="s">
        <v>6223</v>
      </c>
      <c r="N11" s="34" t="s">
        <v>1858</v>
      </c>
      <c r="O11" s="34" t="s">
        <v>3789</v>
      </c>
      <c r="P11" s="34" t="s">
        <v>5235</v>
      </c>
      <c r="Q11" s="34" t="s">
        <v>6323</v>
      </c>
      <c r="R11" s="34" t="s">
        <v>3464</v>
      </c>
      <c r="S11" s="34" t="s">
        <v>3670</v>
      </c>
      <c r="T11" s="34" t="s">
        <v>4990</v>
      </c>
      <c r="U11" s="34" t="s">
        <v>5868</v>
      </c>
      <c r="V11" s="34" t="s">
        <v>1700</v>
      </c>
      <c r="W11" s="34" t="s">
        <v>6939</v>
      </c>
      <c r="X11" s="34" t="s">
        <v>253</v>
      </c>
      <c r="Y11" s="34" t="s">
        <v>7120</v>
      </c>
      <c r="Z11" s="34" t="s">
        <v>1005</v>
      </c>
      <c r="AA11" s="34" t="s">
        <v>7306</v>
      </c>
      <c r="AB11" s="34" t="s">
        <v>7397</v>
      </c>
      <c r="AC11" s="34" t="s">
        <v>7495</v>
      </c>
      <c r="AD11" s="34" t="s">
        <v>7585</v>
      </c>
      <c r="AE11" s="34" t="s">
        <v>7678</v>
      </c>
      <c r="AF11" s="34" t="s">
        <v>7771</v>
      </c>
      <c r="AG11" s="34" t="s">
        <v>7869</v>
      </c>
      <c r="AH11" s="34" t="s">
        <v>3261</v>
      </c>
      <c r="AI11" s="34" t="s">
        <v>2074</v>
      </c>
      <c r="AJ11" s="34" t="s">
        <v>4709</v>
      </c>
      <c r="AK11" s="34" t="s">
        <v>5694</v>
      </c>
      <c r="AL11" s="34" t="s">
        <v>1447</v>
      </c>
      <c r="AM11" s="6" t="s">
        <v>6389</v>
      </c>
      <c r="AN11" s="6" t="s">
        <v>3865</v>
      </c>
      <c r="AO11" s="6" t="s">
        <v>7932</v>
      </c>
      <c r="AP11" s="6" t="s">
        <v>6391</v>
      </c>
      <c r="AQ11" s="6" t="s">
        <v>7078</v>
      </c>
    </row>
    <row r="12" customFormat="false" ht="15" hidden="false" customHeight="true" outlineLevel="0" collapsed="false">
      <c r="A12" s="6" t="s">
        <v>6499</v>
      </c>
      <c r="B12" s="6" t="s">
        <v>326</v>
      </c>
      <c r="C12" s="6" t="s">
        <v>164</v>
      </c>
      <c r="D12" s="6" t="s">
        <v>2610</v>
      </c>
      <c r="E12" s="6" t="s">
        <v>2335</v>
      </c>
      <c r="F12" s="6" t="s">
        <v>4031</v>
      </c>
      <c r="G12" s="6" t="s">
        <v>5285</v>
      </c>
      <c r="H12" s="6" t="s">
        <v>6319</v>
      </c>
      <c r="I12" s="6" t="s">
        <v>2518</v>
      </c>
      <c r="J12" s="34" t="s">
        <v>2187</v>
      </c>
      <c r="K12" s="34" t="s">
        <v>3933</v>
      </c>
      <c r="L12" s="34" t="s">
        <v>5199</v>
      </c>
      <c r="M12" s="34" t="s">
        <v>6234</v>
      </c>
      <c r="N12" s="34" t="s">
        <v>6480</v>
      </c>
      <c r="O12" s="34" t="s">
        <v>3801</v>
      </c>
      <c r="P12" s="34" t="s">
        <v>5251</v>
      </c>
      <c r="Q12" s="34" t="s">
        <v>6335</v>
      </c>
      <c r="R12" s="34" t="s">
        <v>3442</v>
      </c>
      <c r="S12" s="34" t="s">
        <v>3659</v>
      </c>
      <c r="T12" s="34" t="s">
        <v>5005</v>
      </c>
      <c r="U12" s="34" t="s">
        <v>6010</v>
      </c>
      <c r="V12" s="34" t="s">
        <v>1707</v>
      </c>
      <c r="W12" s="34" t="s">
        <v>6940</v>
      </c>
      <c r="X12" s="34" t="s">
        <v>7029</v>
      </c>
      <c r="Y12" s="34" t="s">
        <v>7121</v>
      </c>
      <c r="Z12" s="34" t="s">
        <v>7211</v>
      </c>
      <c r="AA12" s="34" t="s">
        <v>7307</v>
      </c>
      <c r="AB12" s="34" t="s">
        <v>7398</v>
      </c>
      <c r="AC12" s="34" t="s">
        <v>7496</v>
      </c>
      <c r="AD12" s="34" t="s">
        <v>7586</v>
      </c>
      <c r="AE12" s="34" t="s">
        <v>7679</v>
      </c>
      <c r="AF12" s="34" t="s">
        <v>7772</v>
      </c>
      <c r="AG12" s="34" t="s">
        <v>7870</v>
      </c>
      <c r="AH12" s="34" t="s">
        <v>3186</v>
      </c>
      <c r="AI12" s="34" t="s">
        <v>2288</v>
      </c>
      <c r="AJ12" s="34" t="s">
        <v>4739</v>
      </c>
      <c r="AK12" s="34" t="s">
        <v>5706</v>
      </c>
      <c r="AL12" s="34" t="s">
        <v>1890</v>
      </c>
      <c r="AM12" s="6" t="s">
        <v>4719</v>
      </c>
      <c r="AN12" s="6" t="s">
        <v>5903</v>
      </c>
      <c r="AO12" s="6" t="s">
        <v>216</v>
      </c>
      <c r="AP12" s="6" t="s">
        <v>4718</v>
      </c>
      <c r="AQ12" s="6" t="s">
        <v>7077</v>
      </c>
    </row>
    <row r="13" customFormat="false" ht="15" hidden="false" customHeight="true" outlineLevel="0" collapsed="false">
      <c r="A13" s="6" t="s">
        <v>6500</v>
      </c>
      <c r="B13" s="6" t="s">
        <v>6622</v>
      </c>
      <c r="C13" s="6" t="s">
        <v>163</v>
      </c>
      <c r="D13" s="6" t="s">
        <v>2737</v>
      </c>
      <c r="E13" s="6" t="s">
        <v>2442</v>
      </c>
      <c r="F13" s="6" t="s">
        <v>4043</v>
      </c>
      <c r="G13" s="6" t="s">
        <v>5320</v>
      </c>
      <c r="H13" s="6" t="s">
        <v>6331</v>
      </c>
      <c r="I13" s="6" t="s">
        <v>2529</v>
      </c>
      <c r="J13" s="34" t="s">
        <v>2348</v>
      </c>
      <c r="K13" s="34" t="s">
        <v>3988</v>
      </c>
      <c r="L13" s="34" t="s">
        <v>5219</v>
      </c>
      <c r="M13" s="34" t="s">
        <v>6245</v>
      </c>
      <c r="N13" s="34" t="s">
        <v>2460</v>
      </c>
      <c r="O13" s="34" t="s">
        <v>3812</v>
      </c>
      <c r="P13" s="34" t="s">
        <v>5264</v>
      </c>
      <c r="Q13" s="34" t="s">
        <v>6346</v>
      </c>
      <c r="R13" s="34" t="s">
        <v>3452</v>
      </c>
      <c r="S13" s="34" t="s">
        <v>3644</v>
      </c>
      <c r="T13" s="34" t="s">
        <v>5020</v>
      </c>
      <c r="U13" s="34" t="s">
        <v>6022</v>
      </c>
      <c r="V13" s="34" t="s">
        <v>1793</v>
      </c>
      <c r="W13" s="34" t="s">
        <v>6941</v>
      </c>
      <c r="X13" s="34" t="s">
        <v>7030</v>
      </c>
      <c r="Y13" s="34" t="s">
        <v>7122</v>
      </c>
      <c r="Z13" s="34" t="s">
        <v>7212</v>
      </c>
      <c r="AA13" s="34" t="s">
        <v>7308</v>
      </c>
      <c r="AB13" s="34" t="s">
        <v>7399</v>
      </c>
      <c r="AC13" s="34" t="s">
        <v>7497</v>
      </c>
      <c r="AD13" s="34" t="s">
        <v>7587</v>
      </c>
      <c r="AE13" s="34" t="s">
        <v>5719</v>
      </c>
      <c r="AF13" s="34" t="s">
        <v>7773</v>
      </c>
      <c r="AG13" s="34" t="s">
        <v>636</v>
      </c>
      <c r="AH13" s="34" t="s">
        <v>3216</v>
      </c>
      <c r="AI13" s="34" t="s">
        <v>2061</v>
      </c>
      <c r="AJ13" s="34" t="s">
        <v>261</v>
      </c>
      <c r="AK13" s="34" t="s">
        <v>5717</v>
      </c>
      <c r="AL13" s="34" t="s">
        <v>1920</v>
      </c>
      <c r="AM13" s="6" t="s">
        <v>4717</v>
      </c>
      <c r="AN13" s="6" t="s">
        <v>5900</v>
      </c>
      <c r="AO13" s="6" t="s">
        <v>209</v>
      </c>
      <c r="AP13" s="6" t="s">
        <v>261</v>
      </c>
      <c r="AQ13" s="6" t="s">
        <v>286</v>
      </c>
    </row>
    <row r="14" customFormat="false" ht="15" hidden="false" customHeight="true" outlineLevel="0" collapsed="false">
      <c r="A14" s="6" t="s">
        <v>304</v>
      </c>
      <c r="B14" s="6" t="s">
        <v>6624</v>
      </c>
      <c r="C14" s="6" t="s">
        <v>6747</v>
      </c>
      <c r="D14" s="6" t="s">
        <v>2628</v>
      </c>
      <c r="E14" s="6" t="s">
        <v>2430</v>
      </c>
      <c r="F14" s="6" t="s">
        <v>4056</v>
      </c>
      <c r="G14" s="6" t="s">
        <v>5343</v>
      </c>
      <c r="H14" s="6" t="s">
        <v>6342</v>
      </c>
      <c r="I14" s="6" t="s">
        <v>2540</v>
      </c>
      <c r="J14" s="34" t="s">
        <v>1965</v>
      </c>
      <c r="K14" s="34" t="s">
        <v>3955</v>
      </c>
      <c r="L14" s="34" t="s">
        <v>5208</v>
      </c>
      <c r="M14" s="34" t="s">
        <v>6254</v>
      </c>
      <c r="N14" s="34" t="s">
        <v>2472</v>
      </c>
      <c r="O14" s="34" t="s">
        <v>3823</v>
      </c>
      <c r="P14" s="34" t="s">
        <v>5277</v>
      </c>
      <c r="Q14" s="34" t="s">
        <v>6384</v>
      </c>
      <c r="R14" s="34" t="s">
        <v>3485</v>
      </c>
      <c r="S14" s="34" t="s">
        <v>3855</v>
      </c>
      <c r="T14" s="34" t="s">
        <v>5036</v>
      </c>
      <c r="U14" s="34" t="s">
        <v>6033</v>
      </c>
      <c r="V14" s="34" t="s">
        <v>1757</v>
      </c>
      <c r="W14" s="34" t="s">
        <v>6942</v>
      </c>
      <c r="X14" s="34" t="s">
        <v>7031</v>
      </c>
      <c r="Y14" s="34" t="s">
        <v>7123</v>
      </c>
      <c r="Z14" s="34" t="s">
        <v>7213</v>
      </c>
      <c r="AA14" s="34" t="s">
        <v>7309</v>
      </c>
      <c r="AB14" s="34" t="s">
        <v>7400</v>
      </c>
      <c r="AC14" s="34" t="s">
        <v>7498</v>
      </c>
      <c r="AD14" s="34" t="s">
        <v>7588</v>
      </c>
      <c r="AE14" s="34" t="s">
        <v>7680</v>
      </c>
      <c r="AF14" s="34" t="s">
        <v>7774</v>
      </c>
      <c r="AG14" s="34" t="s">
        <v>495</v>
      </c>
      <c r="AH14" s="34" t="s">
        <v>3198</v>
      </c>
      <c r="AI14" s="34" t="s">
        <v>2314</v>
      </c>
      <c r="AJ14" s="34" t="s">
        <v>4783</v>
      </c>
      <c r="AK14" s="34" t="s">
        <v>5729</v>
      </c>
      <c r="AL14" s="34" t="s">
        <v>1659</v>
      </c>
      <c r="AM14" s="6" t="s">
        <v>5459</v>
      </c>
      <c r="AN14" s="6" t="s">
        <v>2602</v>
      </c>
      <c r="AO14" s="6" t="s">
        <v>7933</v>
      </c>
      <c r="AP14" s="6" t="s">
        <v>5457</v>
      </c>
      <c r="AQ14" s="6" t="s">
        <v>270</v>
      </c>
    </row>
    <row r="15" customFormat="false" ht="15" hidden="false" customHeight="true" outlineLevel="0" collapsed="false">
      <c r="A15" s="6" t="s">
        <v>6501</v>
      </c>
      <c r="B15" s="6" t="s">
        <v>344</v>
      </c>
      <c r="C15" s="6" t="s">
        <v>153</v>
      </c>
      <c r="D15" s="6" t="s">
        <v>2639</v>
      </c>
      <c r="E15" s="6" t="s">
        <v>1972</v>
      </c>
      <c r="F15" s="6" t="s">
        <v>4069</v>
      </c>
      <c r="G15" s="6" t="s">
        <v>5330</v>
      </c>
      <c r="H15" s="6" t="s">
        <v>6381</v>
      </c>
      <c r="I15" s="6" t="s">
        <v>5934</v>
      </c>
      <c r="J15" s="34" t="s">
        <v>2206</v>
      </c>
      <c r="K15" s="34" t="s">
        <v>3998</v>
      </c>
      <c r="L15" s="34" t="s">
        <v>5232</v>
      </c>
      <c r="M15" s="34" t="s">
        <v>6266</v>
      </c>
      <c r="N15" s="34" t="s">
        <v>2486</v>
      </c>
      <c r="O15" s="34" t="s">
        <v>3834</v>
      </c>
      <c r="P15" s="34" t="s">
        <v>5979</v>
      </c>
      <c r="Q15" s="34" t="s">
        <v>6377</v>
      </c>
      <c r="R15" s="34" t="s">
        <v>3474</v>
      </c>
      <c r="S15" s="34" t="s">
        <v>3866</v>
      </c>
      <c r="T15" s="34" t="s">
        <v>5054</v>
      </c>
      <c r="U15" s="34" t="s">
        <v>6044</v>
      </c>
      <c r="V15" s="34" t="s">
        <v>1829</v>
      </c>
      <c r="W15" s="34" t="s">
        <v>6943</v>
      </c>
      <c r="X15" s="34" t="s">
        <v>7032</v>
      </c>
      <c r="Y15" s="34" t="s">
        <v>7124</v>
      </c>
      <c r="Z15" s="34" t="s">
        <v>7214</v>
      </c>
      <c r="AA15" s="34" t="s">
        <v>7310</v>
      </c>
      <c r="AB15" s="34" t="s">
        <v>7401</v>
      </c>
      <c r="AC15" s="34" t="s">
        <v>7499</v>
      </c>
      <c r="AD15" s="34" t="s">
        <v>7589</v>
      </c>
      <c r="AE15" s="34" t="s">
        <v>7681</v>
      </c>
      <c r="AF15" s="34" t="s">
        <v>7775</v>
      </c>
      <c r="AG15" s="34" t="s">
        <v>7871</v>
      </c>
      <c r="AH15" s="34" t="s">
        <v>3314</v>
      </c>
      <c r="AI15" s="34" t="s">
        <v>2040</v>
      </c>
      <c r="AJ15" s="34" t="s">
        <v>4793</v>
      </c>
      <c r="AK15" s="34" t="s">
        <v>5742</v>
      </c>
      <c r="AL15" s="34" t="s">
        <v>1536</v>
      </c>
      <c r="AM15" s="6" t="s">
        <v>5456</v>
      </c>
      <c r="AN15" s="6" t="s">
        <v>2614</v>
      </c>
      <c r="AO15" s="6" t="s">
        <v>7934</v>
      </c>
      <c r="AP15" s="6" t="s">
        <v>5458</v>
      </c>
      <c r="AQ15" s="6" t="s">
        <v>277</v>
      </c>
    </row>
    <row r="16" customFormat="false" ht="15" hidden="false" customHeight="true" outlineLevel="0" collapsed="false">
      <c r="A16" s="6" t="s">
        <v>6503</v>
      </c>
      <c r="B16" s="6" t="s">
        <v>6626</v>
      </c>
      <c r="C16" s="6" t="s">
        <v>6749</v>
      </c>
      <c r="D16" s="6" t="s">
        <v>2649</v>
      </c>
      <c r="E16" s="6" t="s">
        <v>2418</v>
      </c>
      <c r="F16" s="6" t="s">
        <v>4081</v>
      </c>
      <c r="G16" s="6" t="s">
        <v>5297</v>
      </c>
      <c r="H16" s="6" t="s">
        <v>6373</v>
      </c>
      <c r="I16" s="6" t="s">
        <v>2573</v>
      </c>
      <c r="J16" s="34" t="s">
        <v>1950</v>
      </c>
      <c r="K16" s="34" t="s">
        <v>3944</v>
      </c>
      <c r="L16" s="34" t="s">
        <v>5248</v>
      </c>
      <c r="M16" s="34" t="s">
        <v>6277</v>
      </c>
      <c r="N16" s="34" t="s">
        <v>2510</v>
      </c>
      <c r="O16" s="34" t="s">
        <v>3845</v>
      </c>
      <c r="P16" s="34" t="s">
        <v>5289</v>
      </c>
      <c r="Q16" s="34" t="s">
        <v>6357</v>
      </c>
      <c r="R16" s="34" t="s">
        <v>3506</v>
      </c>
      <c r="S16" s="34" t="s">
        <v>3878</v>
      </c>
      <c r="T16" s="34" t="s">
        <v>5989</v>
      </c>
      <c r="U16" s="34" t="s">
        <v>6056</v>
      </c>
      <c r="V16" s="34" t="s">
        <v>1507</v>
      </c>
      <c r="W16" s="34" t="s">
        <v>6944</v>
      </c>
      <c r="X16" s="34" t="s">
        <v>7033</v>
      </c>
      <c r="Y16" s="34" t="s">
        <v>7125</v>
      </c>
      <c r="Z16" s="34" t="s">
        <v>7215</v>
      </c>
      <c r="AA16" s="34" t="s">
        <v>7311</v>
      </c>
      <c r="AB16" s="34" t="s">
        <v>7402</v>
      </c>
      <c r="AC16" s="34" t="s">
        <v>7500</v>
      </c>
      <c r="AD16" s="34" t="s">
        <v>7590</v>
      </c>
      <c r="AE16" s="34" t="s">
        <v>7682</v>
      </c>
      <c r="AF16" s="34" t="s">
        <v>7776</v>
      </c>
      <c r="AG16" s="34" t="s">
        <v>7872</v>
      </c>
      <c r="AH16" s="34" t="s">
        <v>3323</v>
      </c>
      <c r="AI16" s="34" t="s">
        <v>2047</v>
      </c>
      <c r="AJ16" s="34" t="s">
        <v>4867</v>
      </c>
      <c r="AK16" s="34" t="s">
        <v>5755</v>
      </c>
      <c r="AL16" s="34" t="s">
        <v>1665</v>
      </c>
      <c r="AM16" s="6" t="s">
        <v>3187</v>
      </c>
      <c r="AN16" s="6" t="s">
        <v>2729</v>
      </c>
      <c r="AO16" s="6" t="s">
        <v>7935</v>
      </c>
      <c r="AP16" s="6" t="s">
        <v>3185</v>
      </c>
      <c r="AQ16" s="6" t="s">
        <v>276</v>
      </c>
    </row>
    <row r="17" customFormat="false" ht="15" hidden="false" customHeight="true" outlineLevel="0" collapsed="false">
      <c r="A17" s="6" t="s">
        <v>350</v>
      </c>
      <c r="B17" s="6" t="s">
        <v>317</v>
      </c>
      <c r="C17" s="6" t="s">
        <v>6751</v>
      </c>
      <c r="D17" s="6" t="s">
        <v>2660</v>
      </c>
      <c r="E17" s="6" t="s">
        <v>2097</v>
      </c>
      <c r="F17" s="6" t="s">
        <v>4093</v>
      </c>
      <c r="G17" s="6" t="s">
        <v>5309</v>
      </c>
      <c r="H17" s="6" t="s">
        <v>6353</v>
      </c>
      <c r="I17" s="6" t="s">
        <v>2586</v>
      </c>
      <c r="J17" s="34" t="s">
        <v>2219</v>
      </c>
      <c r="K17" s="34" t="s">
        <v>3966</v>
      </c>
      <c r="L17" s="34" t="s">
        <v>5261</v>
      </c>
      <c r="M17" s="34" t="s">
        <v>6288</v>
      </c>
      <c r="N17" s="34" t="s">
        <v>2521</v>
      </c>
      <c r="O17" s="34" t="s">
        <v>3901</v>
      </c>
      <c r="P17" s="34" t="s">
        <v>5324</v>
      </c>
      <c r="Q17" s="34" t="s">
        <v>6392</v>
      </c>
      <c r="R17" s="34" t="s">
        <v>3496</v>
      </c>
      <c r="S17" s="34" t="s">
        <v>3889</v>
      </c>
      <c r="T17" s="34" t="s">
        <v>5967</v>
      </c>
      <c r="U17" s="34" t="s">
        <v>6067</v>
      </c>
      <c r="V17" s="34" t="s">
        <v>1437</v>
      </c>
      <c r="W17" s="34" t="s">
        <v>6945</v>
      </c>
      <c r="X17" s="34" t="s">
        <v>7034</v>
      </c>
      <c r="Y17" s="34" t="s">
        <v>7126</v>
      </c>
      <c r="Z17" s="34" t="s">
        <v>7216</v>
      </c>
      <c r="AA17" s="34" t="s">
        <v>7312</v>
      </c>
      <c r="AB17" s="34" t="s">
        <v>7403</v>
      </c>
      <c r="AC17" s="34" t="s">
        <v>7501</v>
      </c>
      <c r="AD17" s="34" t="s">
        <v>7591</v>
      </c>
      <c r="AE17" s="34" t="s">
        <v>7683</v>
      </c>
      <c r="AF17" s="34" t="s">
        <v>7777</v>
      </c>
      <c r="AG17" s="34" t="s">
        <v>7873</v>
      </c>
      <c r="AH17" s="34" t="s">
        <v>3274</v>
      </c>
      <c r="AI17" s="34" t="s">
        <v>3555</v>
      </c>
      <c r="AJ17" s="34" t="s">
        <v>4813</v>
      </c>
      <c r="AK17" s="34" t="s">
        <v>5767</v>
      </c>
      <c r="AL17" s="34" t="s">
        <v>1542</v>
      </c>
      <c r="AM17" s="6" t="s">
        <v>4689</v>
      </c>
      <c r="AN17" s="6" t="s">
        <v>3433</v>
      </c>
      <c r="AO17" s="6" t="s">
        <v>7936</v>
      </c>
      <c r="AP17" s="6" t="s">
        <v>3186</v>
      </c>
      <c r="AQ17" s="6" t="s">
        <v>7617</v>
      </c>
    </row>
    <row r="18" customFormat="false" ht="15" hidden="false" customHeight="true" outlineLevel="0" collapsed="false">
      <c r="A18" s="6" t="s">
        <v>6505</v>
      </c>
      <c r="B18" s="6" t="s">
        <v>6628</v>
      </c>
      <c r="C18" s="6" t="s">
        <v>6752</v>
      </c>
      <c r="D18" s="6" t="s">
        <v>2672</v>
      </c>
      <c r="E18" s="6" t="s">
        <v>2192</v>
      </c>
      <c r="F18" s="6" t="s">
        <v>4105</v>
      </c>
      <c r="G18" s="6" t="s">
        <v>5352</v>
      </c>
      <c r="H18" s="6" t="s">
        <v>6388</v>
      </c>
      <c r="I18" s="6" t="s">
        <v>2599</v>
      </c>
      <c r="J18" s="34" t="s">
        <v>1943</v>
      </c>
      <c r="K18" s="34" t="s">
        <v>4009</v>
      </c>
      <c r="L18" s="34" t="s">
        <v>5274</v>
      </c>
      <c r="M18" s="34" t="s">
        <v>6299</v>
      </c>
      <c r="N18" s="34" t="s">
        <v>2532</v>
      </c>
      <c r="O18" s="34" t="s">
        <v>3913</v>
      </c>
      <c r="P18" s="34" t="s">
        <v>5334</v>
      </c>
      <c r="Q18" s="34" t="s">
        <v>6365</v>
      </c>
      <c r="R18" s="34" t="s">
        <v>3519</v>
      </c>
      <c r="S18" s="34" t="s">
        <v>3740</v>
      </c>
      <c r="T18" s="34" t="s">
        <v>5946</v>
      </c>
      <c r="U18" s="34" t="s">
        <v>6078</v>
      </c>
      <c r="V18" s="34" t="s">
        <v>1763</v>
      </c>
      <c r="W18" s="34" t="s">
        <v>6946</v>
      </c>
      <c r="X18" s="34" t="s">
        <v>7035</v>
      </c>
      <c r="Y18" s="34" t="s">
        <v>7127</v>
      </c>
      <c r="Z18" s="34" t="s">
        <v>256</v>
      </c>
      <c r="AA18" s="34" t="s">
        <v>7313</v>
      </c>
      <c r="AB18" s="34" t="s">
        <v>7404</v>
      </c>
      <c r="AC18" s="34" t="s">
        <v>263</v>
      </c>
      <c r="AD18" s="34" t="s">
        <v>7592</v>
      </c>
      <c r="AE18" s="34" t="s">
        <v>7684</v>
      </c>
      <c r="AF18" s="34" t="s">
        <v>7778</v>
      </c>
      <c r="AG18" s="34" t="s">
        <v>7874</v>
      </c>
      <c r="AH18" s="34" t="s">
        <v>3284</v>
      </c>
      <c r="AI18" s="34" t="s">
        <v>3542</v>
      </c>
      <c r="AJ18" s="34" t="s">
        <v>4825</v>
      </c>
      <c r="AK18" s="34" t="s">
        <v>5778</v>
      </c>
      <c r="AL18" s="34" t="s">
        <v>1896</v>
      </c>
      <c r="AM18" s="6" t="s">
        <v>4686</v>
      </c>
      <c r="AN18" s="6" t="s">
        <v>4445</v>
      </c>
      <c r="AO18" s="6" t="s">
        <v>7937</v>
      </c>
      <c r="AP18" s="6" t="s">
        <v>5078</v>
      </c>
      <c r="AQ18" s="6" t="s">
        <v>7619</v>
      </c>
    </row>
    <row r="19" customFormat="false" ht="15" hidden="false" customHeight="true" outlineLevel="0" collapsed="false">
      <c r="A19" s="6" t="s">
        <v>6506</v>
      </c>
      <c r="B19" s="6" t="s">
        <v>6629</v>
      </c>
      <c r="C19" s="6" t="s">
        <v>178</v>
      </c>
      <c r="D19" s="6" t="s">
        <v>2692</v>
      </c>
      <c r="E19" s="6" t="s">
        <v>2252</v>
      </c>
      <c r="F19" s="6" t="s">
        <v>4116</v>
      </c>
      <c r="G19" s="6" t="s">
        <v>5364</v>
      </c>
      <c r="H19" s="6" t="s">
        <v>6362</v>
      </c>
      <c r="I19" s="6" t="s">
        <v>2611</v>
      </c>
      <c r="J19" s="34" t="s">
        <v>2342</v>
      </c>
      <c r="K19" s="34" t="s">
        <v>4022</v>
      </c>
      <c r="L19" s="34" t="s">
        <v>5976</v>
      </c>
      <c r="M19" s="34" t="s">
        <v>6309</v>
      </c>
      <c r="N19" s="34" t="s">
        <v>2543</v>
      </c>
      <c r="O19" s="34" t="s">
        <v>3925</v>
      </c>
      <c r="P19" s="34" t="s">
        <v>5301</v>
      </c>
      <c r="Q19" s="34" t="s">
        <v>6427</v>
      </c>
      <c r="R19" s="34" t="s">
        <v>3529</v>
      </c>
      <c r="S19" s="34" t="s">
        <v>3753</v>
      </c>
      <c r="T19" s="34" t="s">
        <v>5956</v>
      </c>
      <c r="U19" s="34" t="s">
        <v>6089</v>
      </c>
      <c r="V19" s="34" t="s">
        <v>1883</v>
      </c>
      <c r="W19" s="34" t="s">
        <v>6947</v>
      </c>
      <c r="X19" s="34" t="s">
        <v>7036</v>
      </c>
      <c r="Y19" s="34" t="s">
        <v>7128</v>
      </c>
      <c r="Z19" s="34" t="s">
        <v>241</v>
      </c>
      <c r="AA19" s="34" t="s">
        <v>7314</v>
      </c>
      <c r="AB19" s="34" t="s">
        <v>7405</v>
      </c>
      <c r="AC19" s="34" t="s">
        <v>7502</v>
      </c>
      <c r="AD19" s="34" t="s">
        <v>7593</v>
      </c>
      <c r="AE19" s="34" t="s">
        <v>7685</v>
      </c>
      <c r="AF19" s="34" t="s">
        <v>7779</v>
      </c>
      <c r="AG19" s="34" t="s">
        <v>7876</v>
      </c>
      <c r="AH19" s="34" t="s">
        <v>3297</v>
      </c>
      <c r="AI19" s="34" t="s">
        <v>248</v>
      </c>
      <c r="AJ19" s="34" t="s">
        <v>4878</v>
      </c>
      <c r="AK19" s="34" t="s">
        <v>5902</v>
      </c>
      <c r="AL19" s="34" t="s">
        <v>1938</v>
      </c>
      <c r="AM19" s="6" t="s">
        <v>5080</v>
      </c>
      <c r="AN19" s="6" t="s">
        <v>4442</v>
      </c>
      <c r="AO19" s="6" t="s">
        <v>7938</v>
      </c>
      <c r="AP19" s="6" t="s">
        <v>5079</v>
      </c>
      <c r="AQ19" s="6" t="s">
        <v>290</v>
      </c>
    </row>
    <row r="20" customFormat="false" ht="15" hidden="false" customHeight="true" outlineLevel="0" collapsed="false">
      <c r="A20" s="6" t="s">
        <v>6507</v>
      </c>
      <c r="B20" s="6" t="s">
        <v>6631</v>
      </c>
      <c r="C20" s="6" t="s">
        <v>6753</v>
      </c>
      <c r="D20" s="6" t="s">
        <v>2683</v>
      </c>
      <c r="E20" s="6" t="s">
        <v>2091</v>
      </c>
      <c r="F20" s="6" t="s">
        <v>4127</v>
      </c>
      <c r="G20" s="6" t="s">
        <v>5375</v>
      </c>
      <c r="H20" s="6" t="s">
        <v>6423</v>
      </c>
      <c r="I20" s="6" t="s">
        <v>2738</v>
      </c>
      <c r="J20" s="34" t="s">
        <v>2336</v>
      </c>
      <c r="K20" s="34" t="s">
        <v>4032</v>
      </c>
      <c r="L20" s="34" t="s">
        <v>5286</v>
      </c>
      <c r="M20" s="34" t="s">
        <v>6320</v>
      </c>
      <c r="N20" s="34" t="s">
        <v>5937</v>
      </c>
      <c r="O20" s="34" t="s">
        <v>3947</v>
      </c>
      <c r="P20" s="34" t="s">
        <v>5313</v>
      </c>
      <c r="Q20" s="34" t="s">
        <v>6438</v>
      </c>
      <c r="R20" s="34" t="s">
        <v>2293</v>
      </c>
      <c r="S20" s="34" t="s">
        <v>3765</v>
      </c>
      <c r="T20" s="34" t="s">
        <v>5066</v>
      </c>
      <c r="U20" s="34" t="s">
        <v>6100</v>
      </c>
      <c r="V20" s="34" t="s">
        <v>1787</v>
      </c>
      <c r="W20" s="34" t="s">
        <v>2697</v>
      </c>
      <c r="X20" s="34" t="s">
        <v>7037</v>
      </c>
      <c r="Y20" s="34" t="s">
        <v>7129</v>
      </c>
      <c r="Z20" s="34" t="s">
        <v>7217</v>
      </c>
      <c r="AA20" s="34" t="s">
        <v>7315</v>
      </c>
      <c r="AB20" s="34" t="s">
        <v>7406</v>
      </c>
      <c r="AC20" s="34" t="s">
        <v>7503</v>
      </c>
      <c r="AD20" s="34" t="s">
        <v>7594</v>
      </c>
      <c r="AE20" s="34" t="s">
        <v>7686</v>
      </c>
      <c r="AF20" s="34" t="s">
        <v>7780</v>
      </c>
      <c r="AG20" s="34" t="s">
        <v>7878</v>
      </c>
      <c r="AH20" s="34" t="s">
        <v>3332</v>
      </c>
      <c r="AI20" s="34" t="s">
        <v>3598</v>
      </c>
      <c r="AJ20" s="34" t="s">
        <v>4889</v>
      </c>
      <c r="AK20" s="34" t="s">
        <v>5790</v>
      </c>
      <c r="AL20" s="34" t="s">
        <v>1671</v>
      </c>
      <c r="AM20" s="6" t="s">
        <v>5077</v>
      </c>
      <c r="AN20" s="6" t="s">
        <v>2923</v>
      </c>
      <c r="AO20" s="6" t="s">
        <v>7939</v>
      </c>
      <c r="AP20" s="6" t="s">
        <v>4687</v>
      </c>
      <c r="AQ20" s="6" t="s">
        <v>289</v>
      </c>
    </row>
    <row r="21" customFormat="false" ht="15" hidden="false" customHeight="true" outlineLevel="0" collapsed="false">
      <c r="A21" s="6" t="s">
        <v>6509</v>
      </c>
      <c r="B21" s="6" t="s">
        <v>6632</v>
      </c>
      <c r="C21" s="6" t="s">
        <v>185</v>
      </c>
      <c r="D21" s="6" t="s">
        <v>2703</v>
      </c>
      <c r="E21" s="6" t="s">
        <v>2030</v>
      </c>
      <c r="F21" s="6" t="s">
        <v>4139</v>
      </c>
      <c r="G21" s="6" t="s">
        <v>5387</v>
      </c>
      <c r="H21" s="6" t="s">
        <v>6434</v>
      </c>
      <c r="I21" s="6" t="s">
        <v>2629</v>
      </c>
      <c r="J21" s="34" t="s">
        <v>2443</v>
      </c>
      <c r="K21" s="34" t="s">
        <v>4044</v>
      </c>
      <c r="L21" s="34" t="s">
        <v>5321</v>
      </c>
      <c r="M21" s="34" t="s">
        <v>6332</v>
      </c>
      <c r="N21" s="34" t="s">
        <v>2576</v>
      </c>
      <c r="O21" s="34" t="s">
        <v>3936</v>
      </c>
      <c r="P21" s="34" t="s">
        <v>5356</v>
      </c>
      <c r="Q21" s="34" t="s">
        <v>6416</v>
      </c>
      <c r="R21" s="34" t="s">
        <v>1982</v>
      </c>
      <c r="S21" s="34" t="s">
        <v>3776</v>
      </c>
      <c r="T21" s="34" t="s">
        <v>5118</v>
      </c>
      <c r="U21" s="34" t="s">
        <v>6111</v>
      </c>
      <c r="V21" s="34" t="s">
        <v>1471</v>
      </c>
      <c r="W21" s="34" t="s">
        <v>6948</v>
      </c>
      <c r="X21" s="34" t="s">
        <v>7038</v>
      </c>
      <c r="Y21" s="34" t="s">
        <v>7130</v>
      </c>
      <c r="Z21" s="34" t="s">
        <v>7218</v>
      </c>
      <c r="AA21" s="34" t="s">
        <v>7316</v>
      </c>
      <c r="AB21" s="34" t="s">
        <v>7407</v>
      </c>
      <c r="AC21" s="34" t="s">
        <v>7504</v>
      </c>
      <c r="AD21" s="34" t="s">
        <v>7595</v>
      </c>
      <c r="AE21" s="34" t="s">
        <v>7687</v>
      </c>
      <c r="AF21" s="34" t="s">
        <v>7781</v>
      </c>
      <c r="AG21" s="34" t="s">
        <v>7879</v>
      </c>
      <c r="AH21" s="34" t="s">
        <v>5999</v>
      </c>
      <c r="AI21" s="34" t="s">
        <v>3575</v>
      </c>
      <c r="AJ21" s="34" t="s">
        <v>4837</v>
      </c>
      <c r="AK21" s="34" t="s">
        <v>5880</v>
      </c>
      <c r="AL21" s="34" t="s">
        <v>1726</v>
      </c>
      <c r="AM21" s="6" t="s">
        <v>6357</v>
      </c>
      <c r="AN21" s="6" t="s">
        <v>4868</v>
      </c>
      <c r="AO21" s="6" t="s">
        <v>197</v>
      </c>
      <c r="AP21" s="6" t="s">
        <v>4688</v>
      </c>
      <c r="AQ21" s="6" t="s">
        <v>7087</v>
      </c>
    </row>
    <row r="22" customFormat="false" ht="15" hidden="false" customHeight="true" outlineLevel="0" collapsed="false">
      <c r="A22" s="6" t="s">
        <v>6511</v>
      </c>
      <c r="B22" s="6" t="s">
        <v>6633</v>
      </c>
      <c r="C22" s="6" t="s">
        <v>174</v>
      </c>
      <c r="D22" s="6" t="s">
        <v>2714</v>
      </c>
      <c r="E22" s="6" t="s">
        <v>2436</v>
      </c>
      <c r="F22" s="6" t="s">
        <v>4151</v>
      </c>
      <c r="G22" s="6" t="s">
        <v>5396</v>
      </c>
      <c r="H22" s="6" t="s">
        <v>6412</v>
      </c>
      <c r="I22" s="6" t="s">
        <v>2640</v>
      </c>
      <c r="J22" s="34" t="s">
        <v>2431</v>
      </c>
      <c r="K22" s="34" t="s">
        <v>4057</v>
      </c>
      <c r="L22" s="34" t="s">
        <v>5344</v>
      </c>
      <c r="M22" s="34" t="s">
        <v>6343</v>
      </c>
      <c r="N22" s="34" t="s">
        <v>2589</v>
      </c>
      <c r="O22" s="34" t="s">
        <v>3958</v>
      </c>
      <c r="P22" s="34" t="s">
        <v>5368</v>
      </c>
      <c r="Q22" s="34" t="s">
        <v>6405</v>
      </c>
      <c r="R22" s="34" t="s">
        <v>2384</v>
      </c>
      <c r="S22" s="34" t="s">
        <v>3787</v>
      </c>
      <c r="T22" s="34" t="s">
        <v>5100</v>
      </c>
      <c r="U22" s="34" t="s">
        <v>6122</v>
      </c>
      <c r="V22" s="34" t="s">
        <v>1901</v>
      </c>
      <c r="W22" s="34" t="s">
        <v>6949</v>
      </c>
      <c r="X22" s="34" t="s">
        <v>7039</v>
      </c>
      <c r="Y22" s="34" t="s">
        <v>7131</v>
      </c>
      <c r="Z22" s="34" t="s">
        <v>7219</v>
      </c>
      <c r="AA22" s="34" t="s">
        <v>7317</v>
      </c>
      <c r="AB22" s="34" t="s">
        <v>7408</v>
      </c>
      <c r="AC22" s="34" t="s">
        <v>7505</v>
      </c>
      <c r="AD22" s="34" t="s">
        <v>7596</v>
      </c>
      <c r="AE22" s="34" t="s">
        <v>7688</v>
      </c>
      <c r="AF22" s="34" t="s">
        <v>7782</v>
      </c>
      <c r="AG22" s="34" t="s">
        <v>7880</v>
      </c>
      <c r="AH22" s="34" t="s">
        <v>3398</v>
      </c>
      <c r="AI22" s="34" t="s">
        <v>3585</v>
      </c>
      <c r="AJ22" s="34" t="s">
        <v>4847</v>
      </c>
      <c r="AK22" s="34" t="s">
        <v>5892</v>
      </c>
      <c r="AL22" s="34" t="s">
        <v>1679</v>
      </c>
      <c r="AM22" s="6" t="s">
        <v>6354</v>
      </c>
      <c r="AN22" s="6" t="s">
        <v>4865</v>
      </c>
      <c r="AO22" s="6" t="s">
        <v>198</v>
      </c>
      <c r="AP22" s="6" t="s">
        <v>6355</v>
      </c>
      <c r="AQ22" s="6" t="s">
        <v>7089</v>
      </c>
    </row>
    <row r="23" customFormat="false" ht="15" hidden="false" customHeight="true" outlineLevel="0" collapsed="false">
      <c r="A23" s="6" t="s">
        <v>6513</v>
      </c>
      <c r="B23" s="6" t="s">
        <v>6635</v>
      </c>
      <c r="C23" s="6" t="s">
        <v>6755</v>
      </c>
      <c r="D23" s="6" t="s">
        <v>2725</v>
      </c>
      <c r="E23" s="6" t="s">
        <v>2394</v>
      </c>
      <c r="F23" s="6" t="s">
        <v>4162</v>
      </c>
      <c r="G23" s="6" t="s">
        <v>5408</v>
      </c>
      <c r="H23" s="6" t="s">
        <v>6445</v>
      </c>
      <c r="I23" s="6" t="s">
        <v>2650</v>
      </c>
      <c r="J23" s="34" t="s">
        <v>1973</v>
      </c>
      <c r="K23" s="34" t="s">
        <v>4070</v>
      </c>
      <c r="L23" s="34" t="s">
        <v>5331</v>
      </c>
      <c r="M23" s="34" t="s">
        <v>6382</v>
      </c>
      <c r="N23" s="34" t="s">
        <v>2602</v>
      </c>
      <c r="O23" s="34" t="s">
        <v>3969</v>
      </c>
      <c r="P23" s="34" t="s">
        <v>5379</v>
      </c>
      <c r="Q23" s="34" t="s">
        <v>6471</v>
      </c>
      <c r="R23" s="34" t="s">
        <v>2319</v>
      </c>
      <c r="S23" s="34" t="s">
        <v>3799</v>
      </c>
      <c r="T23" s="34" t="s">
        <v>5078</v>
      </c>
      <c r="U23" s="34" t="s">
        <v>6134</v>
      </c>
      <c r="V23" s="34" t="s">
        <v>1823</v>
      </c>
      <c r="W23" s="34" t="s">
        <v>6950</v>
      </c>
      <c r="X23" s="34" t="s">
        <v>7040</v>
      </c>
      <c r="Y23" s="34" t="s">
        <v>7132</v>
      </c>
      <c r="Z23" s="34" t="s">
        <v>7220</v>
      </c>
      <c r="AA23" s="34" t="s">
        <v>7318</v>
      </c>
      <c r="AB23" s="34" t="s">
        <v>7409</v>
      </c>
      <c r="AC23" s="34" t="s">
        <v>7506</v>
      </c>
      <c r="AD23" s="34" t="s">
        <v>7597</v>
      </c>
      <c r="AE23" s="34" t="s">
        <v>7689</v>
      </c>
      <c r="AF23" s="34" t="s">
        <v>7783</v>
      </c>
      <c r="AG23" s="34" t="s">
        <v>7881</v>
      </c>
      <c r="AH23" s="34" t="s">
        <v>3409</v>
      </c>
      <c r="AI23" s="34" t="s">
        <v>3610</v>
      </c>
      <c r="AJ23" s="34" t="s">
        <v>4856</v>
      </c>
      <c r="AK23" s="34" t="s">
        <v>5914</v>
      </c>
      <c r="AL23" s="34" t="s">
        <v>1739</v>
      </c>
      <c r="AM23" s="6" t="s">
        <v>3344</v>
      </c>
      <c r="AN23" s="6" t="s">
        <v>5438</v>
      </c>
      <c r="AO23" s="6" t="s">
        <v>210</v>
      </c>
      <c r="AP23" s="6" t="s">
        <v>6356</v>
      </c>
      <c r="AQ23" s="6" t="s">
        <v>7869</v>
      </c>
    </row>
    <row r="24" customFormat="false" ht="15" hidden="false" customHeight="true" outlineLevel="0" collapsed="false">
      <c r="A24" s="6" t="s">
        <v>4336</v>
      </c>
      <c r="B24" s="6" t="s">
        <v>338</v>
      </c>
      <c r="C24" s="6" t="s">
        <v>6756</v>
      </c>
      <c r="D24" s="6" t="s">
        <v>2750</v>
      </c>
      <c r="E24" s="6" t="s">
        <v>2211</v>
      </c>
      <c r="F24" s="6" t="s">
        <v>4172</v>
      </c>
      <c r="G24" s="6" t="s">
        <v>4463</v>
      </c>
      <c r="H24" s="6" t="s">
        <v>6401</v>
      </c>
      <c r="I24" s="6" t="s">
        <v>2621</v>
      </c>
      <c r="J24" s="34" t="s">
        <v>2419</v>
      </c>
      <c r="K24" s="34" t="s">
        <v>4082</v>
      </c>
      <c r="L24" s="34" t="s">
        <v>5298</v>
      </c>
      <c r="M24" s="34" t="s">
        <v>6374</v>
      </c>
      <c r="N24" s="34" t="s">
        <v>2614</v>
      </c>
      <c r="O24" s="34" t="s">
        <v>4012</v>
      </c>
      <c r="P24" s="34" t="s">
        <v>5391</v>
      </c>
      <c r="Q24" s="34" t="s">
        <v>6483</v>
      </c>
      <c r="R24" s="34" t="s">
        <v>2325</v>
      </c>
      <c r="S24" s="34" t="s">
        <v>3810</v>
      </c>
      <c r="T24" s="34" t="s">
        <v>5109</v>
      </c>
      <c r="U24" s="34" t="s">
        <v>6146</v>
      </c>
      <c r="V24" s="34" t="s">
        <v>1871</v>
      </c>
      <c r="W24" s="34" t="s">
        <v>6951</v>
      </c>
      <c r="X24" s="34" t="s">
        <v>7041</v>
      </c>
      <c r="Y24" s="34" t="s">
        <v>7133</v>
      </c>
      <c r="Z24" s="34" t="s">
        <v>7221</v>
      </c>
      <c r="AA24" s="34" t="s">
        <v>7319</v>
      </c>
      <c r="AB24" s="34" t="s">
        <v>7410</v>
      </c>
      <c r="AC24" s="34" t="s">
        <v>4712</v>
      </c>
      <c r="AD24" s="34" t="s">
        <v>7598</v>
      </c>
      <c r="AE24" s="34" t="s">
        <v>7690</v>
      </c>
      <c r="AF24" s="34" t="s">
        <v>7784</v>
      </c>
      <c r="AG24" s="34" t="s">
        <v>7882</v>
      </c>
      <c r="AH24" s="34" t="s">
        <v>3388</v>
      </c>
      <c r="AI24" s="34" t="s">
        <v>3693</v>
      </c>
      <c r="AJ24" s="34" t="s">
        <v>4944</v>
      </c>
      <c r="AK24" s="34" t="s">
        <v>5801</v>
      </c>
      <c r="AL24" s="34" t="s">
        <v>1548</v>
      </c>
      <c r="AM24" s="6" t="s">
        <v>5581</v>
      </c>
      <c r="AN24" s="6" t="s">
        <v>5435</v>
      </c>
      <c r="AO24" s="6" t="s">
        <v>7940</v>
      </c>
      <c r="AP24" s="6" t="s">
        <v>3342</v>
      </c>
      <c r="AQ24" s="6" t="s">
        <v>7897</v>
      </c>
    </row>
    <row r="25" customFormat="false" ht="15" hidden="false" customHeight="true" outlineLevel="0" collapsed="false">
      <c r="A25" s="6" t="s">
        <v>6516</v>
      </c>
      <c r="B25" s="6" t="s">
        <v>6637</v>
      </c>
      <c r="C25" s="6" t="s">
        <v>6758</v>
      </c>
      <c r="D25" s="6" t="s">
        <v>2764</v>
      </c>
      <c r="E25" s="6" t="s">
        <v>2370</v>
      </c>
      <c r="F25" s="6" t="s">
        <v>4182</v>
      </c>
      <c r="G25" s="6" t="s">
        <v>4473</v>
      </c>
      <c r="H25" s="6" t="s">
        <v>6455</v>
      </c>
      <c r="I25" s="6" t="s">
        <v>2661</v>
      </c>
      <c r="J25" s="34" t="s">
        <v>2098</v>
      </c>
      <c r="K25" s="34" t="s">
        <v>4094</v>
      </c>
      <c r="L25" s="34" t="s">
        <v>5310</v>
      </c>
      <c r="M25" s="34" t="s">
        <v>6354</v>
      </c>
      <c r="N25" s="34" t="s">
        <v>2624</v>
      </c>
      <c r="O25" s="34" t="s">
        <v>4025</v>
      </c>
      <c r="P25" s="34" t="s">
        <v>5400</v>
      </c>
      <c r="Q25" s="34" t="s">
        <v>2458</v>
      </c>
      <c r="R25" s="34" t="s">
        <v>1959</v>
      </c>
      <c r="S25" s="34" t="s">
        <v>3821</v>
      </c>
      <c r="T25" s="34" t="s">
        <v>5089</v>
      </c>
      <c r="U25" s="34" t="s">
        <v>6157</v>
      </c>
      <c r="V25" s="34" t="s">
        <v>1781</v>
      </c>
      <c r="W25" s="34" t="s">
        <v>6952</v>
      </c>
      <c r="X25" s="34" t="s">
        <v>7042</v>
      </c>
      <c r="Y25" s="34" t="s">
        <v>7134</v>
      </c>
      <c r="Z25" s="34" t="s">
        <v>7222</v>
      </c>
      <c r="AA25" s="34" t="s">
        <v>7320</v>
      </c>
      <c r="AB25" s="34" t="s">
        <v>7411</v>
      </c>
      <c r="AC25" s="34" t="s">
        <v>7507</v>
      </c>
      <c r="AD25" s="34" t="s">
        <v>7599</v>
      </c>
      <c r="AE25" s="34" t="s">
        <v>7691</v>
      </c>
      <c r="AF25" s="34" t="s">
        <v>7785</v>
      </c>
      <c r="AG25" s="34" t="s">
        <v>7883</v>
      </c>
      <c r="AH25" s="34" t="s">
        <v>3355</v>
      </c>
      <c r="AI25" s="34" t="s">
        <v>3623</v>
      </c>
      <c r="AJ25" s="34" t="s">
        <v>4900</v>
      </c>
      <c r="AK25" s="34" t="s">
        <v>5813</v>
      </c>
      <c r="AL25" s="34" t="s">
        <v>1686</v>
      </c>
      <c r="AM25" s="6" t="s">
        <v>5578</v>
      </c>
      <c r="AN25" s="6" t="s">
        <v>6148</v>
      </c>
      <c r="AO25" s="6" t="s">
        <v>7941</v>
      </c>
      <c r="AP25" s="6" t="s">
        <v>3343</v>
      </c>
      <c r="AQ25" s="6" t="s">
        <v>7854</v>
      </c>
    </row>
    <row r="26" customFormat="false" ht="15" hidden="false" customHeight="true" outlineLevel="0" collapsed="false">
      <c r="A26" s="6" t="s">
        <v>342</v>
      </c>
      <c r="B26" s="6" t="s">
        <v>6638</v>
      </c>
      <c r="C26" s="6" t="s">
        <v>6760</v>
      </c>
      <c r="D26" s="6" t="s">
        <v>2777</v>
      </c>
      <c r="E26" s="6" t="s">
        <v>2151</v>
      </c>
      <c r="F26" s="6" t="s">
        <v>4193</v>
      </c>
      <c r="G26" s="6" t="s">
        <v>4484</v>
      </c>
      <c r="H26" s="6" t="s">
        <v>6467</v>
      </c>
      <c r="I26" s="6" t="s">
        <v>2673</v>
      </c>
      <c r="J26" s="34" t="s">
        <v>2193</v>
      </c>
      <c r="K26" s="34" t="s">
        <v>4106</v>
      </c>
      <c r="L26" s="34" t="s">
        <v>5353</v>
      </c>
      <c r="M26" s="34" t="s">
        <v>6389</v>
      </c>
      <c r="N26" s="34" t="s">
        <v>2741</v>
      </c>
      <c r="O26" s="34" t="s">
        <v>4035</v>
      </c>
      <c r="P26" s="34" t="s">
        <v>5412</v>
      </c>
      <c r="Q26" s="34" t="s">
        <v>2470</v>
      </c>
      <c r="R26" s="34" t="s">
        <v>2167</v>
      </c>
      <c r="S26" s="34" t="s">
        <v>3832</v>
      </c>
      <c r="T26" s="34" t="s">
        <v>5144</v>
      </c>
      <c r="U26" s="34" t="s">
        <v>6167</v>
      </c>
      <c r="V26" s="34" t="s">
        <v>1817</v>
      </c>
      <c r="W26" s="34" t="s">
        <v>6953</v>
      </c>
      <c r="X26" s="34" t="s">
        <v>7043</v>
      </c>
      <c r="Y26" s="34" t="s">
        <v>7135</v>
      </c>
      <c r="Z26" s="34" t="s">
        <v>7223</v>
      </c>
      <c r="AA26" s="34" t="s">
        <v>7321</v>
      </c>
      <c r="AB26" s="34" t="s">
        <v>7412</v>
      </c>
      <c r="AC26" s="34" t="s">
        <v>7508</v>
      </c>
      <c r="AD26" s="34" t="s">
        <v>7600</v>
      </c>
      <c r="AE26" s="34" t="s">
        <v>7692</v>
      </c>
      <c r="AF26" s="34" t="s">
        <v>7786</v>
      </c>
      <c r="AG26" s="34" t="s">
        <v>7884</v>
      </c>
      <c r="AH26" s="34" t="s">
        <v>3366</v>
      </c>
      <c r="AI26" s="34" t="s">
        <v>3704</v>
      </c>
      <c r="AJ26" s="34" t="s">
        <v>4918</v>
      </c>
      <c r="AK26" s="34" t="s">
        <v>5825</v>
      </c>
      <c r="AL26" s="34" t="s">
        <v>1752</v>
      </c>
      <c r="AM26" s="6" t="s">
        <v>2624</v>
      </c>
      <c r="AN26" s="6" t="s">
        <v>6145</v>
      </c>
      <c r="AO26" s="6" t="s">
        <v>231</v>
      </c>
      <c r="AP26" s="6" t="s">
        <v>5579</v>
      </c>
      <c r="AQ26" s="6" t="s">
        <v>7899</v>
      </c>
    </row>
    <row r="27" customFormat="false" ht="15" hidden="false" customHeight="true" outlineLevel="0" collapsed="false">
      <c r="A27" s="6" t="s">
        <v>6518</v>
      </c>
      <c r="B27" s="6" t="s">
        <v>6639</v>
      </c>
      <c r="C27" s="6" t="s">
        <v>182</v>
      </c>
      <c r="D27" s="6" t="s">
        <v>2789</v>
      </c>
      <c r="E27" s="6" t="s">
        <v>2400</v>
      </c>
      <c r="F27" s="6" t="s">
        <v>4204</v>
      </c>
      <c r="G27" s="6" t="s">
        <v>4494</v>
      </c>
      <c r="H27" s="6" t="s">
        <v>1573</v>
      </c>
      <c r="I27" s="6" t="s">
        <v>2684</v>
      </c>
      <c r="J27" s="34" t="s">
        <v>2253</v>
      </c>
      <c r="K27" s="34" t="s">
        <v>4117</v>
      </c>
      <c r="L27" s="34" t="s">
        <v>5365</v>
      </c>
      <c r="M27" s="34" t="s">
        <v>6363</v>
      </c>
      <c r="N27" s="34" t="s">
        <v>2632</v>
      </c>
      <c r="O27" s="34" t="s">
        <v>4047</v>
      </c>
      <c r="P27" s="34" t="s">
        <v>4467</v>
      </c>
      <c r="Q27" s="34" t="s">
        <v>2555</v>
      </c>
      <c r="R27" s="34" t="s">
        <v>2267</v>
      </c>
      <c r="S27" s="34" t="s">
        <v>3843</v>
      </c>
      <c r="T27" s="34" t="s">
        <v>5131</v>
      </c>
      <c r="U27" s="34" t="s">
        <v>6182</v>
      </c>
      <c r="V27" s="34" t="s">
        <v>1865</v>
      </c>
      <c r="W27" s="34" t="s">
        <v>6954</v>
      </c>
      <c r="X27" s="34" t="s">
        <v>7044</v>
      </c>
      <c r="Y27" s="34" t="s">
        <v>7136</v>
      </c>
      <c r="Z27" s="34" t="s">
        <v>7224</v>
      </c>
      <c r="AA27" s="34" t="s">
        <v>7322</v>
      </c>
      <c r="AB27" s="34" t="s">
        <v>7413</v>
      </c>
      <c r="AC27" s="34" t="s">
        <v>7509</v>
      </c>
      <c r="AD27" s="34" t="s">
        <v>7601</v>
      </c>
      <c r="AE27" s="34" t="s">
        <v>7693</v>
      </c>
      <c r="AF27" s="34" t="s">
        <v>7787</v>
      </c>
      <c r="AG27" s="34" t="s">
        <v>7885</v>
      </c>
      <c r="AH27" s="34" t="s">
        <v>3343</v>
      </c>
      <c r="AI27" s="34" t="s">
        <v>3682</v>
      </c>
      <c r="AJ27" s="34" t="s">
        <v>4929</v>
      </c>
      <c r="AK27" s="34" t="s">
        <v>5836</v>
      </c>
      <c r="AL27" s="34" t="s">
        <v>1555</v>
      </c>
      <c r="AM27" s="6" t="s">
        <v>5449</v>
      </c>
      <c r="AN27" s="6" t="s">
        <v>6226</v>
      </c>
      <c r="AO27" s="6" t="s">
        <v>221</v>
      </c>
      <c r="AP27" s="6" t="s">
        <v>5580</v>
      </c>
      <c r="AQ27" s="6" t="s">
        <v>7848</v>
      </c>
    </row>
    <row r="28" customFormat="false" ht="15" hidden="false" customHeight="true" outlineLevel="0" collapsed="false">
      <c r="A28" s="6" t="s">
        <v>6519</v>
      </c>
      <c r="B28" s="6" t="s">
        <v>6640</v>
      </c>
      <c r="C28" s="6" t="s">
        <v>6763</v>
      </c>
      <c r="D28" s="6" t="s">
        <v>2802</v>
      </c>
      <c r="E28" s="6" t="s">
        <v>2364</v>
      </c>
      <c r="F28" s="6" t="s">
        <v>4214</v>
      </c>
      <c r="G28" s="6" t="s">
        <v>4504</v>
      </c>
      <c r="H28" s="6" t="s">
        <v>1809</v>
      </c>
      <c r="I28" s="6" t="s">
        <v>2704</v>
      </c>
      <c r="J28" s="34" t="s">
        <v>2092</v>
      </c>
      <c r="K28" s="34" t="s">
        <v>4128</v>
      </c>
      <c r="L28" s="34" t="s">
        <v>5376</v>
      </c>
      <c r="M28" s="34" t="s">
        <v>6424</v>
      </c>
      <c r="N28" s="34" t="s">
        <v>2643</v>
      </c>
      <c r="O28" s="34" t="s">
        <v>4060</v>
      </c>
      <c r="P28" s="34" t="s">
        <v>4477</v>
      </c>
      <c r="Q28" s="34" t="s">
        <v>2497</v>
      </c>
      <c r="R28" s="34" t="s">
        <v>2004</v>
      </c>
      <c r="S28" s="34" t="s">
        <v>3899</v>
      </c>
      <c r="T28" s="34" t="s">
        <v>5157</v>
      </c>
      <c r="U28" s="34" t="s">
        <v>6192</v>
      </c>
      <c r="V28" s="34" t="s">
        <v>1486</v>
      </c>
      <c r="W28" s="34" t="s">
        <v>6955</v>
      </c>
      <c r="X28" s="34" t="s">
        <v>289</v>
      </c>
      <c r="Y28" s="34" t="s">
        <v>7137</v>
      </c>
      <c r="Z28" s="34" t="s">
        <v>7225</v>
      </c>
      <c r="AA28" s="34" t="s">
        <v>7323</v>
      </c>
      <c r="AB28" s="34" t="s">
        <v>7414</v>
      </c>
      <c r="AC28" s="34" t="s">
        <v>7510</v>
      </c>
      <c r="AD28" s="34" t="s">
        <v>7602</v>
      </c>
      <c r="AE28" s="34" t="s">
        <v>7694</v>
      </c>
      <c r="AF28" s="34" t="s">
        <v>7788</v>
      </c>
      <c r="AG28" s="34" t="s">
        <v>7886</v>
      </c>
      <c r="AH28" s="34" t="s">
        <v>3377</v>
      </c>
      <c r="AI28" s="34" t="s">
        <v>3714</v>
      </c>
      <c r="AJ28" s="34" t="s">
        <v>4959</v>
      </c>
      <c r="AK28" s="34" t="s">
        <v>5847</v>
      </c>
      <c r="AL28" s="34" t="s">
        <v>1695</v>
      </c>
      <c r="AM28" s="6" t="s">
        <v>5446</v>
      </c>
      <c r="AN28" s="6" t="s">
        <v>6223</v>
      </c>
      <c r="AO28" s="6" t="s">
        <v>204</v>
      </c>
      <c r="AP28" s="6" t="s">
        <v>2622</v>
      </c>
      <c r="AQ28" s="6" t="s">
        <v>7859</v>
      </c>
    </row>
    <row r="29" customFormat="false" ht="15" hidden="false" customHeight="true" outlineLevel="0" collapsed="false">
      <c r="A29" s="6" t="s">
        <v>6521</v>
      </c>
      <c r="B29" s="6" t="s">
        <v>6642</v>
      </c>
      <c r="C29" s="6" t="s">
        <v>6765</v>
      </c>
      <c r="D29" s="6" t="s">
        <v>2819</v>
      </c>
      <c r="E29" s="6" t="s">
        <v>2388</v>
      </c>
      <c r="F29" s="6" t="s">
        <v>4227</v>
      </c>
      <c r="G29" s="6" t="s">
        <v>4514</v>
      </c>
      <c r="H29" s="6" t="s">
        <v>1797</v>
      </c>
      <c r="I29" s="6" t="s">
        <v>2715</v>
      </c>
      <c r="J29" s="34" t="s">
        <v>2031</v>
      </c>
      <c r="K29" s="34" t="s">
        <v>4140</v>
      </c>
      <c r="L29" s="34" t="s">
        <v>5388</v>
      </c>
      <c r="M29" s="34" t="s">
        <v>6435</v>
      </c>
      <c r="N29" s="34" t="s">
        <v>2653</v>
      </c>
      <c r="O29" s="34" t="s">
        <v>4073</v>
      </c>
      <c r="P29" s="34" t="s">
        <v>4488</v>
      </c>
      <c r="Q29" s="34" t="s">
        <v>2484</v>
      </c>
      <c r="R29" s="34" t="s">
        <v>2261</v>
      </c>
      <c r="S29" s="34" t="s">
        <v>3978</v>
      </c>
      <c r="T29" s="34" t="s">
        <v>5168</v>
      </c>
      <c r="U29" s="34" t="s">
        <v>6203</v>
      </c>
      <c r="V29" s="34" t="s">
        <v>1712</v>
      </c>
      <c r="W29" s="34" t="s">
        <v>2756</v>
      </c>
      <c r="X29" s="34" t="s">
        <v>7045</v>
      </c>
      <c r="Y29" s="34" t="s">
        <v>5481</v>
      </c>
      <c r="Z29" s="34" t="s">
        <v>7226</v>
      </c>
      <c r="AA29" s="34" t="s">
        <v>7324</v>
      </c>
      <c r="AB29" s="34" t="s">
        <v>7415</v>
      </c>
      <c r="AC29" s="34" t="s">
        <v>7511</v>
      </c>
      <c r="AD29" s="34" t="s">
        <v>7603</v>
      </c>
      <c r="AE29" s="34" t="s">
        <v>5769</v>
      </c>
      <c r="AF29" s="34" t="s">
        <v>7789</v>
      </c>
      <c r="AG29" s="34" t="s">
        <v>7887</v>
      </c>
      <c r="AH29" s="34" t="s">
        <v>3420</v>
      </c>
      <c r="AI29" s="34" t="s">
        <v>3635</v>
      </c>
      <c r="AJ29" s="34" t="s">
        <v>4971</v>
      </c>
      <c r="AK29" s="34" t="s">
        <v>5925</v>
      </c>
      <c r="AL29" s="34" t="s">
        <v>1562</v>
      </c>
      <c r="AM29" s="6" t="s">
        <v>3093</v>
      </c>
      <c r="AN29" s="6" t="s">
        <v>2510</v>
      </c>
      <c r="AO29" s="6" t="s">
        <v>222</v>
      </c>
      <c r="AP29" s="6" t="s">
        <v>2623</v>
      </c>
      <c r="AQ29" s="6" t="s">
        <v>495</v>
      </c>
    </row>
    <row r="30" customFormat="false" ht="15" hidden="false" customHeight="true" outlineLevel="0" collapsed="false">
      <c r="A30" s="6" t="s">
        <v>6523</v>
      </c>
      <c r="B30" s="6" t="s">
        <v>323</v>
      </c>
      <c r="C30" s="6" t="s">
        <v>6766</v>
      </c>
      <c r="D30" s="6" t="s">
        <v>2834</v>
      </c>
      <c r="E30" s="6" t="s">
        <v>2353</v>
      </c>
      <c r="F30" s="6" t="s">
        <v>4240</v>
      </c>
      <c r="G30" s="6" t="s">
        <v>4524</v>
      </c>
      <c r="H30" s="6" t="s">
        <v>1905</v>
      </c>
      <c r="I30" s="6" t="s">
        <v>2726</v>
      </c>
      <c r="J30" s="34" t="s">
        <v>2437</v>
      </c>
      <c r="K30" s="34" t="s">
        <v>4152</v>
      </c>
      <c r="L30" s="34" t="s">
        <v>5397</v>
      </c>
      <c r="M30" s="34" t="s">
        <v>6446</v>
      </c>
      <c r="N30" s="34" t="s">
        <v>2664</v>
      </c>
      <c r="O30" s="34" t="s">
        <v>4085</v>
      </c>
      <c r="P30" s="34" t="s">
        <v>4498</v>
      </c>
      <c r="Q30" s="34" t="s">
        <v>2565</v>
      </c>
      <c r="R30" s="34" t="s">
        <v>2200</v>
      </c>
      <c r="S30" s="34" t="s">
        <v>3911</v>
      </c>
      <c r="T30" s="34" t="s">
        <v>5180</v>
      </c>
      <c r="U30" s="34" t="s">
        <v>6213</v>
      </c>
      <c r="V30" s="34" t="s">
        <v>1569</v>
      </c>
      <c r="W30" s="34" t="s">
        <v>2769</v>
      </c>
      <c r="X30" s="34" t="s">
        <v>7046</v>
      </c>
      <c r="Y30" s="34" t="s">
        <v>7139</v>
      </c>
      <c r="Z30" s="34" t="s">
        <v>7227</v>
      </c>
      <c r="AA30" s="34" t="s">
        <v>7325</v>
      </c>
      <c r="AB30" s="34" t="s">
        <v>7416</v>
      </c>
      <c r="AC30" s="34" t="s">
        <v>7512</v>
      </c>
      <c r="AD30" s="34" t="s">
        <v>7604</v>
      </c>
      <c r="AE30" s="34" t="s">
        <v>7695</v>
      </c>
      <c r="AF30" s="34" t="s">
        <v>7790</v>
      </c>
      <c r="AG30" s="34" t="s">
        <v>7888</v>
      </c>
      <c r="AH30" s="34" t="s">
        <v>3432</v>
      </c>
      <c r="AI30" s="34" t="s">
        <v>3725</v>
      </c>
      <c r="AJ30" s="34" t="s">
        <v>4981</v>
      </c>
      <c r="AK30" s="34" t="s">
        <v>5858</v>
      </c>
      <c r="AL30" s="34" t="s">
        <v>1480</v>
      </c>
      <c r="AM30" s="6" t="s">
        <v>4335</v>
      </c>
      <c r="AN30" s="6" t="s">
        <v>2707</v>
      </c>
      <c r="AO30" s="6" t="s">
        <v>227</v>
      </c>
      <c r="AP30" s="6" t="s">
        <v>5447</v>
      </c>
      <c r="AQ30" s="6" t="s">
        <v>7871</v>
      </c>
    </row>
    <row r="31" customFormat="false" ht="15" hidden="false" customHeight="true" outlineLevel="0" collapsed="false">
      <c r="A31" s="6" t="s">
        <v>6525</v>
      </c>
      <c r="B31" s="6" t="s">
        <v>6645</v>
      </c>
      <c r="C31" s="6" t="s">
        <v>6768</v>
      </c>
      <c r="D31" s="6" t="s">
        <v>2845</v>
      </c>
      <c r="E31" s="6" t="s">
        <v>2359</v>
      </c>
      <c r="F31" s="6" t="s">
        <v>4251</v>
      </c>
      <c r="G31" s="6" t="s">
        <v>4535</v>
      </c>
      <c r="H31" s="6" t="s">
        <v>1580</v>
      </c>
      <c r="I31" s="6" t="s">
        <v>2693</v>
      </c>
      <c r="J31" s="34" t="s">
        <v>2395</v>
      </c>
      <c r="K31" s="34" t="s">
        <v>4163</v>
      </c>
      <c r="L31" s="34" t="s">
        <v>5409</v>
      </c>
      <c r="M31" s="34" t="s">
        <v>6402</v>
      </c>
      <c r="N31" s="34" t="s">
        <v>2676</v>
      </c>
      <c r="O31" s="34" t="s">
        <v>4097</v>
      </c>
      <c r="P31" s="34" t="s">
        <v>4508</v>
      </c>
      <c r="Q31" s="34" t="s">
        <v>2508</v>
      </c>
      <c r="R31" s="34" t="s">
        <v>2280</v>
      </c>
      <c r="S31" s="34" t="s">
        <v>3923</v>
      </c>
      <c r="T31" s="34" t="s">
        <v>5190</v>
      </c>
      <c r="U31" s="34" t="s">
        <v>6224</v>
      </c>
      <c r="V31" s="34" t="s">
        <v>1859</v>
      </c>
      <c r="W31" s="34" t="s">
        <v>2794</v>
      </c>
      <c r="X31" s="34" t="s">
        <v>290</v>
      </c>
      <c r="Y31" s="34" t="s">
        <v>7140</v>
      </c>
      <c r="Z31" s="34" t="s">
        <v>7228</v>
      </c>
      <c r="AA31" s="34" t="s">
        <v>7326</v>
      </c>
      <c r="AB31" s="34" t="s">
        <v>7417</v>
      </c>
      <c r="AC31" s="34" t="s">
        <v>7513</v>
      </c>
      <c r="AD31" s="34" t="s">
        <v>7605</v>
      </c>
      <c r="AE31" s="34" t="s">
        <v>5905</v>
      </c>
      <c r="AF31" s="34" t="s">
        <v>7791</v>
      </c>
      <c r="AG31" s="34" t="s">
        <v>7889</v>
      </c>
      <c r="AH31" s="34" t="s">
        <v>3465</v>
      </c>
      <c r="AI31" s="34" t="s">
        <v>3671</v>
      </c>
      <c r="AJ31" s="34" t="s">
        <v>4991</v>
      </c>
      <c r="AK31" s="34" t="s">
        <v>5869</v>
      </c>
      <c r="AL31" s="34" t="s">
        <v>1701</v>
      </c>
      <c r="AM31" s="6" t="s">
        <v>4332</v>
      </c>
      <c r="AN31" s="6" t="s">
        <v>3378</v>
      </c>
      <c r="AO31" s="6" t="s">
        <v>232</v>
      </c>
      <c r="AP31" s="6" t="s">
        <v>5448</v>
      </c>
      <c r="AQ31" s="6" t="s">
        <v>7882</v>
      </c>
    </row>
    <row r="32" customFormat="false" ht="15" hidden="false" customHeight="true" outlineLevel="0" collapsed="false">
      <c r="A32" s="6" t="s">
        <v>315</v>
      </c>
      <c r="B32" s="6" t="s">
        <v>6646</v>
      </c>
      <c r="C32" s="6" t="s">
        <v>6769</v>
      </c>
      <c r="D32" s="6" t="s">
        <v>2856</v>
      </c>
      <c r="E32" s="6" t="s">
        <v>2023</v>
      </c>
      <c r="F32" s="6" t="s">
        <v>4262</v>
      </c>
      <c r="G32" s="6" t="s">
        <v>4545</v>
      </c>
      <c r="H32" s="6" t="s">
        <v>1588</v>
      </c>
      <c r="I32" s="6" t="s">
        <v>2751</v>
      </c>
      <c r="J32" s="34" t="s">
        <v>2212</v>
      </c>
      <c r="K32" s="34" t="s">
        <v>4173</v>
      </c>
      <c r="L32" s="34" t="s">
        <v>4464</v>
      </c>
      <c r="M32" s="34" t="s">
        <v>6413</v>
      </c>
      <c r="N32" s="34" t="s">
        <v>2687</v>
      </c>
      <c r="O32" s="34" t="s">
        <v>4109</v>
      </c>
      <c r="P32" s="34" t="s">
        <v>4518</v>
      </c>
      <c r="Q32" s="34" t="s">
        <v>2519</v>
      </c>
      <c r="R32" s="34" t="s">
        <v>2188</v>
      </c>
      <c r="S32" s="34" t="s">
        <v>3945</v>
      </c>
      <c r="T32" s="34" t="s">
        <v>5200</v>
      </c>
      <c r="U32" s="34" t="s">
        <v>6235</v>
      </c>
      <c r="V32" s="34" t="s">
        <v>6481</v>
      </c>
      <c r="W32" s="34" t="s">
        <v>6956</v>
      </c>
      <c r="X32" s="34" t="s">
        <v>7047</v>
      </c>
      <c r="Y32" s="34" t="s">
        <v>7141</v>
      </c>
      <c r="Z32" s="34" t="s">
        <v>7229</v>
      </c>
      <c r="AA32" s="34" t="s">
        <v>7327</v>
      </c>
      <c r="AB32" s="34" t="s">
        <v>7418</v>
      </c>
      <c r="AC32" s="34" t="s">
        <v>7514</v>
      </c>
      <c r="AD32" s="34" t="s">
        <v>7606</v>
      </c>
      <c r="AE32" s="34" t="s">
        <v>5792</v>
      </c>
      <c r="AF32" s="34" t="s">
        <v>7792</v>
      </c>
      <c r="AG32" s="34" t="s">
        <v>7890</v>
      </c>
      <c r="AH32" s="34" t="s">
        <v>3443</v>
      </c>
      <c r="AI32" s="34" t="s">
        <v>3660</v>
      </c>
      <c r="AJ32" s="34" t="s">
        <v>5006</v>
      </c>
      <c r="AK32" s="34" t="s">
        <v>6011</v>
      </c>
      <c r="AL32" s="34" t="s">
        <v>1708</v>
      </c>
      <c r="AM32" s="6" t="s">
        <v>4740</v>
      </c>
      <c r="AN32" s="6" t="s">
        <v>3661</v>
      </c>
      <c r="AO32" s="6" t="s">
        <v>233</v>
      </c>
      <c r="AP32" s="6" t="s">
        <v>3091</v>
      </c>
      <c r="AQ32" s="6" t="s">
        <v>7887</v>
      </c>
    </row>
    <row r="33" customFormat="false" ht="15" hidden="false" customHeight="true" outlineLevel="0" collapsed="false">
      <c r="A33" s="6" t="s">
        <v>6526</v>
      </c>
      <c r="B33" s="6" t="s">
        <v>349</v>
      </c>
      <c r="C33" s="6" t="s">
        <v>175</v>
      </c>
      <c r="D33" s="6" t="s">
        <v>2869</v>
      </c>
      <c r="E33" s="6" t="s">
        <v>2329</v>
      </c>
      <c r="F33" s="6" t="s">
        <v>4274</v>
      </c>
      <c r="G33" s="6" t="s">
        <v>4555</v>
      </c>
      <c r="H33" s="6" t="s">
        <v>1767</v>
      </c>
      <c r="I33" s="6" t="s">
        <v>2765</v>
      </c>
      <c r="J33" s="34" t="s">
        <v>2371</v>
      </c>
      <c r="K33" s="34" t="s">
        <v>4183</v>
      </c>
      <c r="L33" s="34" t="s">
        <v>4474</v>
      </c>
      <c r="M33" s="34" t="s">
        <v>6456</v>
      </c>
      <c r="N33" s="34" t="s">
        <v>2696</v>
      </c>
      <c r="O33" s="34" t="s">
        <v>4120</v>
      </c>
      <c r="P33" s="34" t="s">
        <v>4528</v>
      </c>
      <c r="Q33" s="34" t="s">
        <v>2530</v>
      </c>
      <c r="R33" s="34" t="s">
        <v>2349</v>
      </c>
      <c r="S33" s="34" t="s">
        <v>3934</v>
      </c>
      <c r="T33" s="34" t="s">
        <v>5220</v>
      </c>
      <c r="U33" s="34" t="s">
        <v>6246</v>
      </c>
      <c r="V33" s="34" t="s">
        <v>6871</v>
      </c>
      <c r="W33" s="34" t="s">
        <v>6957</v>
      </c>
      <c r="X33" s="34" t="s">
        <v>7048</v>
      </c>
      <c r="Y33" s="34" t="s">
        <v>7142</v>
      </c>
      <c r="Z33" s="34" t="s">
        <v>7230</v>
      </c>
      <c r="AA33" s="34" t="s">
        <v>7328</v>
      </c>
      <c r="AB33" s="34" t="s">
        <v>7419</v>
      </c>
      <c r="AC33" s="34" t="s">
        <v>7515</v>
      </c>
      <c r="AD33" s="34" t="s">
        <v>7607</v>
      </c>
      <c r="AE33" s="34" t="s">
        <v>7696</v>
      </c>
      <c r="AF33" s="34" t="s">
        <v>7793</v>
      </c>
      <c r="AG33" s="34" t="s">
        <v>7891</v>
      </c>
      <c r="AH33" s="34" t="s">
        <v>3453</v>
      </c>
      <c r="AI33" s="34" t="s">
        <v>3645</v>
      </c>
      <c r="AJ33" s="34" t="s">
        <v>5021</v>
      </c>
      <c r="AK33" s="34" t="s">
        <v>6023</v>
      </c>
      <c r="AL33" s="34" t="s">
        <v>1794</v>
      </c>
      <c r="AM33" s="6" t="s">
        <v>4737</v>
      </c>
      <c r="AN33" s="6" t="s">
        <v>3658</v>
      </c>
      <c r="AO33" s="6" t="s">
        <v>7942</v>
      </c>
      <c r="AP33" s="6" t="s">
        <v>3092</v>
      </c>
      <c r="AQ33" s="6" t="s">
        <v>7892</v>
      </c>
    </row>
    <row r="34" customFormat="false" ht="15" hidden="false" customHeight="true" outlineLevel="0" collapsed="false">
      <c r="A34" s="6" t="s">
        <v>345</v>
      </c>
      <c r="B34" s="6" t="s">
        <v>321</v>
      </c>
      <c r="C34" s="6" t="s">
        <v>177</v>
      </c>
      <c r="D34" s="6" t="s">
        <v>2881</v>
      </c>
      <c r="E34" s="6" t="s">
        <v>2144</v>
      </c>
      <c r="F34" s="6" t="s">
        <v>4287</v>
      </c>
      <c r="G34" s="6" t="s">
        <v>4565</v>
      </c>
      <c r="H34" s="6" t="s">
        <v>1773</v>
      </c>
      <c r="I34" s="6" t="s">
        <v>2778</v>
      </c>
      <c r="J34" s="34" t="s">
        <v>2152</v>
      </c>
      <c r="K34" s="34" t="s">
        <v>4194</v>
      </c>
      <c r="L34" s="34" t="s">
        <v>4485</v>
      </c>
      <c r="M34" s="34" t="s">
        <v>6468</v>
      </c>
      <c r="N34" s="34" t="s">
        <v>2707</v>
      </c>
      <c r="O34" s="34" t="s">
        <v>4131</v>
      </c>
      <c r="P34" s="34" t="s">
        <v>4539</v>
      </c>
      <c r="Q34" s="34" t="s">
        <v>2541</v>
      </c>
      <c r="R34" s="34" t="s">
        <v>1966</v>
      </c>
      <c r="S34" s="34" t="s">
        <v>3989</v>
      </c>
      <c r="T34" s="34" t="s">
        <v>5209</v>
      </c>
      <c r="U34" s="34" t="s">
        <v>6255</v>
      </c>
      <c r="V34" s="34" t="s">
        <v>6872</v>
      </c>
      <c r="W34" s="34" t="s">
        <v>6958</v>
      </c>
      <c r="X34" s="34" t="s">
        <v>7049</v>
      </c>
      <c r="Y34" s="34" t="s">
        <v>7143</v>
      </c>
      <c r="Z34" s="34" t="s">
        <v>7231</v>
      </c>
      <c r="AA34" s="34" t="s">
        <v>7329</v>
      </c>
      <c r="AB34" s="34" t="s">
        <v>7420</v>
      </c>
      <c r="AC34" s="34" t="s">
        <v>7516</v>
      </c>
      <c r="AD34" s="34" t="s">
        <v>7608</v>
      </c>
      <c r="AE34" s="34" t="s">
        <v>5882</v>
      </c>
      <c r="AF34" s="34" t="s">
        <v>7794</v>
      </c>
      <c r="AG34" s="34" t="s">
        <v>7892</v>
      </c>
      <c r="AH34" s="34" t="s">
        <v>3486</v>
      </c>
      <c r="AI34" s="34" t="s">
        <v>3856</v>
      </c>
      <c r="AJ34" s="34" t="s">
        <v>5037</v>
      </c>
      <c r="AK34" s="34" t="s">
        <v>6034</v>
      </c>
      <c r="AL34" s="34" t="s">
        <v>1758</v>
      </c>
      <c r="AM34" s="6" t="s">
        <v>2995</v>
      </c>
      <c r="AN34" s="6" t="s">
        <v>4047</v>
      </c>
      <c r="AO34" s="6" t="s">
        <v>211</v>
      </c>
      <c r="AP34" s="6" t="s">
        <v>4738</v>
      </c>
      <c r="AQ34" s="6" t="s">
        <v>7840</v>
      </c>
    </row>
    <row r="35" customFormat="false" ht="15" hidden="false" customHeight="true" outlineLevel="0" collapsed="false">
      <c r="A35" s="6" t="s">
        <v>6527</v>
      </c>
      <c r="B35" s="6" t="s">
        <v>6649</v>
      </c>
      <c r="C35" s="6" t="s">
        <v>6772</v>
      </c>
      <c r="D35" s="6" t="s">
        <v>2893</v>
      </c>
      <c r="E35" s="6" t="s">
        <v>2412</v>
      </c>
      <c r="F35" s="6" t="s">
        <v>4299</v>
      </c>
      <c r="G35" s="6" t="s">
        <v>4575</v>
      </c>
      <c r="H35" s="6" t="s">
        <v>1875</v>
      </c>
      <c r="I35" s="6" t="s">
        <v>2790</v>
      </c>
      <c r="J35" s="34" t="s">
        <v>2401</v>
      </c>
      <c r="K35" s="34" t="s">
        <v>4205</v>
      </c>
      <c r="L35" s="34" t="s">
        <v>4495</v>
      </c>
      <c r="M35" s="34" t="s">
        <v>1574</v>
      </c>
      <c r="N35" s="34" t="s">
        <v>2718</v>
      </c>
      <c r="O35" s="34" t="s">
        <v>4143</v>
      </c>
      <c r="P35" s="34" t="s">
        <v>4549</v>
      </c>
      <c r="Q35" s="34" t="s">
        <v>5935</v>
      </c>
      <c r="R35" s="34" t="s">
        <v>2207</v>
      </c>
      <c r="S35" s="34" t="s">
        <v>3956</v>
      </c>
      <c r="T35" s="34" t="s">
        <v>5233</v>
      </c>
      <c r="U35" s="34" t="s">
        <v>6267</v>
      </c>
      <c r="V35" s="34" t="s">
        <v>6873</v>
      </c>
      <c r="W35" s="34" t="s">
        <v>6959</v>
      </c>
      <c r="X35" s="34" t="s">
        <v>7050</v>
      </c>
      <c r="Y35" s="34" t="s">
        <v>7144</v>
      </c>
      <c r="Z35" s="34" t="s">
        <v>7232</v>
      </c>
      <c r="AA35" s="34" t="s">
        <v>7331</v>
      </c>
      <c r="AB35" s="34" t="s">
        <v>7421</v>
      </c>
      <c r="AC35" s="34" t="s">
        <v>257</v>
      </c>
      <c r="AD35" s="34" t="s">
        <v>7609</v>
      </c>
      <c r="AE35" s="34" t="s">
        <v>7697</v>
      </c>
      <c r="AF35" s="34" t="s">
        <v>7795</v>
      </c>
      <c r="AG35" s="34" t="s">
        <v>7893</v>
      </c>
      <c r="AH35" s="34" t="s">
        <v>3475</v>
      </c>
      <c r="AI35" s="34" t="s">
        <v>3867</v>
      </c>
      <c r="AJ35" s="34" t="s">
        <v>5055</v>
      </c>
      <c r="AK35" s="34" t="s">
        <v>6045</v>
      </c>
      <c r="AL35" s="34" t="s">
        <v>1830</v>
      </c>
      <c r="AM35" s="6" t="s">
        <v>5111</v>
      </c>
      <c r="AN35" s="6" t="s">
        <v>4044</v>
      </c>
      <c r="AO35" s="6" t="s">
        <v>7943</v>
      </c>
      <c r="AP35" s="6" t="s">
        <v>4739</v>
      </c>
      <c r="AQ35" s="6" t="s">
        <v>7841</v>
      </c>
    </row>
    <row r="36" customFormat="false" ht="15" hidden="false" customHeight="true" outlineLevel="0" collapsed="false">
      <c r="A36" s="6" t="s">
        <v>6528</v>
      </c>
      <c r="B36" s="6" t="s">
        <v>341</v>
      </c>
      <c r="C36" s="6" t="s">
        <v>168</v>
      </c>
      <c r="D36" s="6" t="s">
        <v>2906</v>
      </c>
      <c r="E36" s="6" t="s">
        <v>2111</v>
      </c>
      <c r="F36" s="6" t="s">
        <v>4311</v>
      </c>
      <c r="G36" s="6" t="s">
        <v>4585</v>
      </c>
      <c r="H36" s="6" t="s">
        <v>1803</v>
      </c>
      <c r="I36" s="6" t="s">
        <v>2803</v>
      </c>
      <c r="J36" s="34" t="s">
        <v>2365</v>
      </c>
      <c r="K36" s="34" t="s">
        <v>4215</v>
      </c>
      <c r="L36" s="34" t="s">
        <v>4505</v>
      </c>
      <c r="M36" s="34" t="s">
        <v>1810</v>
      </c>
      <c r="N36" s="34" t="s">
        <v>2729</v>
      </c>
      <c r="O36" s="34" t="s">
        <v>4155</v>
      </c>
      <c r="P36" s="34" t="s">
        <v>4559</v>
      </c>
      <c r="Q36" s="34" t="s">
        <v>2574</v>
      </c>
      <c r="R36" s="34" t="s">
        <v>1951</v>
      </c>
      <c r="S36" s="34" t="s">
        <v>3999</v>
      </c>
      <c r="T36" s="34" t="s">
        <v>5249</v>
      </c>
      <c r="U36" s="34" t="s">
        <v>6278</v>
      </c>
      <c r="V36" s="34" t="s">
        <v>6874</v>
      </c>
      <c r="W36" s="34" t="s">
        <v>286</v>
      </c>
      <c r="X36" s="34" t="s">
        <v>7051</v>
      </c>
      <c r="Y36" s="34" t="s">
        <v>7145</v>
      </c>
      <c r="Z36" s="34" t="s">
        <v>7233</v>
      </c>
      <c r="AA36" s="34" t="s">
        <v>7332</v>
      </c>
      <c r="AB36" s="34" t="s">
        <v>7422</v>
      </c>
      <c r="AC36" s="34" t="s">
        <v>7517</v>
      </c>
      <c r="AD36" s="34" t="s">
        <v>7610</v>
      </c>
      <c r="AE36" s="34" t="s">
        <v>7698</v>
      </c>
      <c r="AF36" s="34" t="s">
        <v>7796</v>
      </c>
      <c r="AG36" s="34" t="s">
        <v>7894</v>
      </c>
      <c r="AH36" s="34" t="s">
        <v>3507</v>
      </c>
      <c r="AI36" s="34" t="s">
        <v>3879</v>
      </c>
      <c r="AJ36" s="34" t="s">
        <v>5990</v>
      </c>
      <c r="AK36" s="34" t="s">
        <v>6057</v>
      </c>
      <c r="AL36" s="34" t="s">
        <v>1508</v>
      </c>
      <c r="AM36" s="6" t="s">
        <v>5108</v>
      </c>
      <c r="AN36" s="6" t="s">
        <v>4414</v>
      </c>
      <c r="AO36" s="6" t="s">
        <v>7944</v>
      </c>
      <c r="AP36" s="6" t="s">
        <v>4333</v>
      </c>
      <c r="AQ36" s="6" t="s">
        <v>7844</v>
      </c>
    </row>
    <row r="37" customFormat="false" ht="15" hidden="false" customHeight="true" outlineLevel="0" collapsed="false">
      <c r="A37" s="6" t="s">
        <v>6530</v>
      </c>
      <c r="B37" s="6" t="s">
        <v>6651</v>
      </c>
      <c r="C37" s="6" t="s">
        <v>169</v>
      </c>
      <c r="D37" s="6" t="s">
        <v>2919</v>
      </c>
      <c r="E37" s="6" t="s">
        <v>2298</v>
      </c>
      <c r="F37" s="6" t="s">
        <v>4322</v>
      </c>
      <c r="G37" s="6" t="s">
        <v>4595</v>
      </c>
      <c r="H37" s="6" t="s">
        <v>1596</v>
      </c>
      <c r="I37" s="6" t="s">
        <v>2820</v>
      </c>
      <c r="J37" s="34" t="s">
        <v>2389</v>
      </c>
      <c r="K37" s="34" t="s">
        <v>4228</v>
      </c>
      <c r="L37" s="34" t="s">
        <v>4515</v>
      </c>
      <c r="M37" s="34" t="s">
        <v>1798</v>
      </c>
      <c r="N37" s="34" t="s">
        <v>2754</v>
      </c>
      <c r="O37" s="34" t="s">
        <v>4166</v>
      </c>
      <c r="P37" s="34" t="s">
        <v>4569</v>
      </c>
      <c r="Q37" s="34" t="s">
        <v>2587</v>
      </c>
      <c r="R37" s="34" t="s">
        <v>2220</v>
      </c>
      <c r="S37" s="34" t="s">
        <v>3967</v>
      </c>
      <c r="T37" s="34" t="s">
        <v>5262</v>
      </c>
      <c r="U37" s="34" t="s">
        <v>6289</v>
      </c>
      <c r="V37" s="34" t="s">
        <v>6875</v>
      </c>
      <c r="W37" s="34" t="s">
        <v>270</v>
      </c>
      <c r="X37" s="34" t="s">
        <v>7052</v>
      </c>
      <c r="Y37" s="34" t="s">
        <v>7146</v>
      </c>
      <c r="Z37" s="34" t="s">
        <v>7234</v>
      </c>
      <c r="AA37" s="34" t="s">
        <v>7333</v>
      </c>
      <c r="AB37" s="34" t="s">
        <v>7423</v>
      </c>
      <c r="AC37" s="34" t="s">
        <v>7518</v>
      </c>
      <c r="AD37" s="34" t="s">
        <v>7611</v>
      </c>
      <c r="AE37" s="34" t="s">
        <v>7699</v>
      </c>
      <c r="AF37" s="34" t="s">
        <v>7797</v>
      </c>
      <c r="AG37" s="34" t="s">
        <v>7895</v>
      </c>
      <c r="AH37" s="34" t="s">
        <v>3497</v>
      </c>
      <c r="AI37" s="34" t="s">
        <v>3890</v>
      </c>
      <c r="AJ37" s="34" t="s">
        <v>5968</v>
      </c>
      <c r="AK37" s="34" t="s">
        <v>6068</v>
      </c>
      <c r="AL37" s="34" t="s">
        <v>1438</v>
      </c>
      <c r="AM37" s="6" t="s">
        <v>5570</v>
      </c>
      <c r="AN37" s="6" t="s">
        <v>4411</v>
      </c>
      <c r="AO37" s="6" t="s">
        <v>7945</v>
      </c>
      <c r="AP37" s="6" t="s">
        <v>4334</v>
      </c>
      <c r="AQ37" s="6" t="s">
        <v>568</v>
      </c>
    </row>
    <row r="38" customFormat="false" ht="15" hidden="false" customHeight="true" outlineLevel="0" collapsed="false">
      <c r="A38" s="6" t="s">
        <v>6532</v>
      </c>
      <c r="B38" s="6" t="s">
        <v>6652</v>
      </c>
      <c r="C38" s="6" t="s">
        <v>165</v>
      </c>
      <c r="D38" s="6" t="s">
        <v>2957</v>
      </c>
      <c r="E38" s="6" t="s">
        <v>2137</v>
      </c>
      <c r="F38" s="6" t="s">
        <v>4331</v>
      </c>
      <c r="G38" s="6" t="s">
        <v>5421</v>
      </c>
      <c r="H38" s="6" t="s">
        <v>1911</v>
      </c>
      <c r="I38" s="6" t="s">
        <v>2835</v>
      </c>
      <c r="J38" s="34" t="s">
        <v>2354</v>
      </c>
      <c r="K38" s="34" t="s">
        <v>4241</v>
      </c>
      <c r="L38" s="34" t="s">
        <v>4525</v>
      </c>
      <c r="M38" s="34" t="s">
        <v>1906</v>
      </c>
      <c r="N38" s="34" t="s">
        <v>2768</v>
      </c>
      <c r="O38" s="34" t="s">
        <v>4176</v>
      </c>
      <c r="P38" s="34" t="s">
        <v>4579</v>
      </c>
      <c r="Q38" s="34" t="s">
        <v>2600</v>
      </c>
      <c r="R38" s="34" t="s">
        <v>1944</v>
      </c>
      <c r="S38" s="34" t="s">
        <v>4010</v>
      </c>
      <c r="T38" s="34" t="s">
        <v>5275</v>
      </c>
      <c r="U38" s="34" t="s">
        <v>6300</v>
      </c>
      <c r="V38" s="34" t="s">
        <v>6876</v>
      </c>
      <c r="W38" s="34" t="s">
        <v>6001</v>
      </c>
      <c r="X38" s="34" t="s">
        <v>7053</v>
      </c>
      <c r="Y38" s="34" t="s">
        <v>7147</v>
      </c>
      <c r="Z38" s="34" t="s">
        <v>7235</v>
      </c>
      <c r="AA38" s="34" t="s">
        <v>7334</v>
      </c>
      <c r="AB38" s="34" t="s">
        <v>7424</v>
      </c>
      <c r="AC38" s="34" t="s">
        <v>7519</v>
      </c>
      <c r="AD38" s="34" t="s">
        <v>7612</v>
      </c>
      <c r="AE38" s="34" t="s">
        <v>7700</v>
      </c>
      <c r="AF38" s="34" t="s">
        <v>7798</v>
      </c>
      <c r="AG38" s="34" t="s">
        <v>7896</v>
      </c>
      <c r="AH38" s="34" t="s">
        <v>3520</v>
      </c>
      <c r="AI38" s="34" t="s">
        <v>3741</v>
      </c>
      <c r="AJ38" s="34" t="s">
        <v>5947</v>
      </c>
      <c r="AK38" s="34" t="s">
        <v>6079</v>
      </c>
      <c r="AL38" s="34" t="s">
        <v>1764</v>
      </c>
      <c r="AM38" s="6" t="s">
        <v>5567</v>
      </c>
      <c r="AN38" s="6" t="s">
        <v>5068</v>
      </c>
      <c r="AO38" s="6" t="s">
        <v>234</v>
      </c>
      <c r="AP38" s="6" t="s">
        <v>5568</v>
      </c>
      <c r="AQ38" s="6" t="s">
        <v>7850</v>
      </c>
    </row>
    <row r="39" customFormat="false" ht="15" hidden="false" customHeight="true" outlineLevel="0" collapsed="false">
      <c r="A39" s="6" t="s">
        <v>325</v>
      </c>
      <c r="B39" s="6" t="s">
        <v>339</v>
      </c>
      <c r="C39" s="6" t="s">
        <v>6775</v>
      </c>
      <c r="D39" s="6" t="s">
        <v>2992</v>
      </c>
      <c r="E39" s="6" t="s">
        <v>2050</v>
      </c>
      <c r="F39" s="6" t="s">
        <v>4343</v>
      </c>
      <c r="G39" s="6" t="s">
        <v>5434</v>
      </c>
      <c r="H39" s="6" t="s">
        <v>1845</v>
      </c>
      <c r="I39" s="6" t="s">
        <v>2846</v>
      </c>
      <c r="J39" s="34" t="s">
        <v>2360</v>
      </c>
      <c r="K39" s="34" t="s">
        <v>4252</v>
      </c>
      <c r="L39" s="34" t="s">
        <v>4536</v>
      </c>
      <c r="M39" s="34" t="s">
        <v>1581</v>
      </c>
      <c r="N39" s="34" t="s">
        <v>2781</v>
      </c>
      <c r="O39" s="34" t="s">
        <v>4186</v>
      </c>
      <c r="P39" s="34" t="s">
        <v>4589</v>
      </c>
      <c r="Q39" s="34" t="s">
        <v>2612</v>
      </c>
      <c r="R39" s="34" t="s">
        <v>2343</v>
      </c>
      <c r="S39" s="34" t="s">
        <v>4023</v>
      </c>
      <c r="T39" s="34" t="s">
        <v>5977</v>
      </c>
      <c r="U39" s="34" t="s">
        <v>6310</v>
      </c>
      <c r="V39" s="34" t="s">
        <v>6877</v>
      </c>
      <c r="W39" s="34" t="s">
        <v>6960</v>
      </c>
      <c r="X39" s="34" t="s">
        <v>7054</v>
      </c>
      <c r="Y39" s="34" t="s">
        <v>7148</v>
      </c>
      <c r="Z39" s="34" t="s">
        <v>7236</v>
      </c>
      <c r="AA39" s="34" t="s">
        <v>7335</v>
      </c>
      <c r="AB39" s="34" t="s">
        <v>271</v>
      </c>
      <c r="AC39" s="34" t="s">
        <v>7520</v>
      </c>
      <c r="AD39" s="34" t="s">
        <v>7613</v>
      </c>
      <c r="AE39" s="34" t="s">
        <v>7701</v>
      </c>
      <c r="AF39" s="34" t="s">
        <v>7799</v>
      </c>
      <c r="AG39" s="34" t="s">
        <v>7897</v>
      </c>
      <c r="AH39" s="34" t="s">
        <v>3530</v>
      </c>
      <c r="AI39" s="34" t="s">
        <v>3754</v>
      </c>
      <c r="AJ39" s="34" t="s">
        <v>5957</v>
      </c>
      <c r="AK39" s="34" t="s">
        <v>6090</v>
      </c>
      <c r="AL39" s="34" t="s">
        <v>1884</v>
      </c>
      <c r="AM39" s="6" t="s">
        <v>3237</v>
      </c>
      <c r="AN39" s="6" t="s">
        <v>5065</v>
      </c>
      <c r="AO39" s="6" t="s">
        <v>7946</v>
      </c>
      <c r="AP39" s="6" t="s">
        <v>5569</v>
      </c>
      <c r="AQ39" s="6" t="s">
        <v>7856</v>
      </c>
    </row>
    <row r="40" customFormat="false" ht="15" hidden="false" customHeight="true" outlineLevel="0" collapsed="false">
      <c r="A40" s="6" t="s">
        <v>354</v>
      </c>
      <c r="B40" s="6" t="s">
        <v>6654</v>
      </c>
      <c r="C40" s="6" t="s">
        <v>160</v>
      </c>
      <c r="D40" s="6" t="s">
        <v>2979</v>
      </c>
      <c r="E40" s="6" t="s">
        <v>2406</v>
      </c>
      <c r="F40" s="6" t="s">
        <v>4354</v>
      </c>
      <c r="G40" s="6" t="s">
        <v>5487</v>
      </c>
      <c r="H40" s="6" t="s">
        <v>1603</v>
      </c>
      <c r="I40" s="6" t="s">
        <v>2857</v>
      </c>
      <c r="J40" s="34" t="s">
        <v>2024</v>
      </c>
      <c r="K40" s="34" t="s">
        <v>4263</v>
      </c>
      <c r="L40" s="34" t="s">
        <v>4546</v>
      </c>
      <c r="M40" s="34" t="s">
        <v>1589</v>
      </c>
      <c r="N40" s="34" t="s">
        <v>2793</v>
      </c>
      <c r="O40" s="34" t="s">
        <v>4197</v>
      </c>
      <c r="P40" s="34" t="s">
        <v>4599</v>
      </c>
      <c r="Q40" s="34" t="s">
        <v>2739</v>
      </c>
      <c r="R40" s="34" t="s">
        <v>2337</v>
      </c>
      <c r="S40" s="34" t="s">
        <v>4033</v>
      </c>
      <c r="T40" s="34" t="s">
        <v>5287</v>
      </c>
      <c r="U40" s="34" t="s">
        <v>6321</v>
      </c>
      <c r="V40" s="34" t="s">
        <v>6878</v>
      </c>
      <c r="W40" s="34" t="s">
        <v>6961</v>
      </c>
      <c r="X40" s="34" t="s">
        <v>7055</v>
      </c>
      <c r="Y40" s="34" t="s">
        <v>7149</v>
      </c>
      <c r="Z40" s="34" t="s">
        <v>7237</v>
      </c>
      <c r="AA40" s="34" t="s">
        <v>7336</v>
      </c>
      <c r="AB40" s="34" t="s">
        <v>7425</v>
      </c>
      <c r="AC40" s="34" t="s">
        <v>7521</v>
      </c>
      <c r="AD40" s="34" t="s">
        <v>7614</v>
      </c>
      <c r="AE40" s="34" t="s">
        <v>5816</v>
      </c>
      <c r="AF40" s="34" t="s">
        <v>7800</v>
      </c>
      <c r="AG40" s="34" t="s">
        <v>7898</v>
      </c>
      <c r="AH40" s="34" t="s">
        <v>2294</v>
      </c>
      <c r="AI40" s="34" t="s">
        <v>3766</v>
      </c>
      <c r="AJ40" s="34" t="s">
        <v>5067</v>
      </c>
      <c r="AK40" s="34" t="s">
        <v>6101</v>
      </c>
      <c r="AL40" s="34" t="s">
        <v>1788</v>
      </c>
      <c r="AM40" s="6" t="s">
        <v>2696</v>
      </c>
      <c r="AN40" s="6" t="s">
        <v>5730</v>
      </c>
      <c r="AO40" s="6" t="s">
        <v>7947</v>
      </c>
      <c r="AP40" s="6" t="s">
        <v>2994</v>
      </c>
      <c r="AQ40" s="6" t="s">
        <v>636</v>
      </c>
    </row>
    <row r="41" customFormat="false" ht="15" hidden="false" customHeight="true" outlineLevel="0" collapsed="false">
      <c r="A41" s="6" t="s">
        <v>331</v>
      </c>
      <c r="B41" s="6" t="s">
        <v>6655</v>
      </c>
      <c r="C41" s="6" t="s">
        <v>179</v>
      </c>
      <c r="D41" s="6" t="s">
        <v>2935</v>
      </c>
      <c r="E41" s="6" t="s">
        <v>2424</v>
      </c>
      <c r="F41" s="6" t="s">
        <v>4365</v>
      </c>
      <c r="G41" s="6" t="s">
        <v>5476</v>
      </c>
      <c r="H41" s="6" t="s">
        <v>1512</v>
      </c>
      <c r="I41" s="6" t="s">
        <v>2870</v>
      </c>
      <c r="J41" s="34" t="s">
        <v>2330</v>
      </c>
      <c r="K41" s="34" t="s">
        <v>4275</v>
      </c>
      <c r="L41" s="34" t="s">
        <v>4556</v>
      </c>
      <c r="M41" s="34" t="s">
        <v>1768</v>
      </c>
      <c r="N41" s="34" t="s">
        <v>2806</v>
      </c>
      <c r="O41" s="34" t="s">
        <v>4208</v>
      </c>
      <c r="P41" s="34" t="s">
        <v>5425</v>
      </c>
      <c r="Q41" s="34" t="s">
        <v>2630</v>
      </c>
      <c r="R41" s="34" t="s">
        <v>2444</v>
      </c>
      <c r="S41" s="34" t="s">
        <v>4045</v>
      </c>
      <c r="T41" s="34" t="s">
        <v>5322</v>
      </c>
      <c r="U41" s="34" t="s">
        <v>6333</v>
      </c>
      <c r="V41" s="34" t="s">
        <v>6879</v>
      </c>
      <c r="W41" s="34" t="s">
        <v>6962</v>
      </c>
      <c r="X41" s="34" t="s">
        <v>7056</v>
      </c>
      <c r="Y41" s="34" t="s">
        <v>7150</v>
      </c>
      <c r="Z41" s="34" t="s">
        <v>7238</v>
      </c>
      <c r="AA41" s="34" t="s">
        <v>7337</v>
      </c>
      <c r="AB41" s="34" t="s">
        <v>7426</v>
      </c>
      <c r="AC41" s="34" t="s">
        <v>7522</v>
      </c>
      <c r="AD41" s="34" t="s">
        <v>7615</v>
      </c>
      <c r="AE41" s="34" t="s">
        <v>7702</v>
      </c>
      <c r="AF41" s="34" t="s">
        <v>7801</v>
      </c>
      <c r="AG41" s="34" t="s">
        <v>7899</v>
      </c>
      <c r="AH41" s="34" t="s">
        <v>1983</v>
      </c>
      <c r="AI41" s="34" t="s">
        <v>3777</v>
      </c>
      <c r="AJ41" s="34" t="s">
        <v>5119</v>
      </c>
      <c r="AK41" s="34" t="s">
        <v>6112</v>
      </c>
      <c r="AL41" s="34" t="s">
        <v>1472</v>
      </c>
      <c r="AM41" s="6" t="s">
        <v>3531</v>
      </c>
      <c r="AN41" s="6" t="s">
        <v>5727</v>
      </c>
      <c r="AO41" s="6" t="s">
        <v>235</v>
      </c>
      <c r="AP41" s="6" t="s">
        <v>269</v>
      </c>
      <c r="AQ41" s="6" t="s">
        <v>7864</v>
      </c>
    </row>
    <row r="42" customFormat="false" ht="15" hidden="false" customHeight="true" outlineLevel="0" collapsed="false">
      <c r="A42" s="6" t="s">
        <v>6535</v>
      </c>
      <c r="B42" s="6" t="s">
        <v>6657</v>
      </c>
      <c r="C42" s="6" t="s">
        <v>6778</v>
      </c>
      <c r="D42" s="6" t="s">
        <v>3035</v>
      </c>
      <c r="E42" s="6" t="s">
        <v>2158</v>
      </c>
      <c r="F42" s="6" t="s">
        <v>4376</v>
      </c>
      <c r="G42" s="6" t="s">
        <v>5445</v>
      </c>
      <c r="H42" s="6" t="s">
        <v>1453</v>
      </c>
      <c r="I42" s="6" t="s">
        <v>2882</v>
      </c>
      <c r="J42" s="34" t="s">
        <v>2145</v>
      </c>
      <c r="K42" s="34" t="s">
        <v>4288</v>
      </c>
      <c r="L42" s="34" t="s">
        <v>4566</v>
      </c>
      <c r="M42" s="34" t="s">
        <v>1774</v>
      </c>
      <c r="N42" s="34" t="s">
        <v>2823</v>
      </c>
      <c r="O42" s="34" t="s">
        <v>4218</v>
      </c>
      <c r="P42" s="34" t="s">
        <v>5438</v>
      </c>
      <c r="Q42" s="34" t="s">
        <v>2622</v>
      </c>
      <c r="R42" s="34" t="s">
        <v>2432</v>
      </c>
      <c r="S42" s="34" t="s">
        <v>4058</v>
      </c>
      <c r="T42" s="34" t="s">
        <v>5345</v>
      </c>
      <c r="U42" s="34" t="s">
        <v>6344</v>
      </c>
      <c r="V42" s="34" t="s">
        <v>6880</v>
      </c>
      <c r="W42" s="34" t="s">
        <v>6963</v>
      </c>
      <c r="X42" s="34" t="s">
        <v>7057</v>
      </c>
      <c r="Y42" s="34" t="s">
        <v>7151</v>
      </c>
      <c r="Z42" s="34" t="s">
        <v>7239</v>
      </c>
      <c r="AA42" s="34" t="s">
        <v>7338</v>
      </c>
      <c r="AB42" s="34" t="s">
        <v>7427</v>
      </c>
      <c r="AC42" s="34" t="s">
        <v>7523</v>
      </c>
      <c r="AD42" s="34" t="s">
        <v>7616</v>
      </c>
      <c r="AE42" s="34" t="s">
        <v>7703</v>
      </c>
      <c r="AF42" s="34" t="s">
        <v>7802</v>
      </c>
      <c r="AG42" s="34" t="s">
        <v>7900</v>
      </c>
      <c r="AH42" s="34" t="s">
        <v>2385</v>
      </c>
      <c r="AI42" s="34" t="s">
        <v>3788</v>
      </c>
      <c r="AJ42" s="34" t="s">
        <v>5101</v>
      </c>
      <c r="AK42" s="34" t="s">
        <v>6123</v>
      </c>
      <c r="AL42" s="34" t="s">
        <v>1902</v>
      </c>
      <c r="AM42" s="6" t="s">
        <v>4434</v>
      </c>
      <c r="AN42" s="6" t="s">
        <v>2949</v>
      </c>
      <c r="AO42" s="6" t="s">
        <v>7948</v>
      </c>
      <c r="AP42" s="6" t="s">
        <v>256</v>
      </c>
      <c r="AQ42" s="6" t="s">
        <v>7881</v>
      </c>
    </row>
    <row r="43" customFormat="false" ht="15" hidden="false" customHeight="true" outlineLevel="0" collapsed="false">
      <c r="A43" s="6" t="s">
        <v>6537</v>
      </c>
      <c r="B43" s="6" t="s">
        <v>6658</v>
      </c>
      <c r="C43" s="6" t="s">
        <v>170</v>
      </c>
      <c r="D43" s="6" t="s">
        <v>3024</v>
      </c>
      <c r="E43" s="6" t="s">
        <v>1987</v>
      </c>
      <c r="F43" s="6" t="s">
        <v>4387</v>
      </c>
      <c r="G43" s="6" t="s">
        <v>5508</v>
      </c>
      <c r="H43" s="6" t="s">
        <v>1491</v>
      </c>
      <c r="I43" s="6" t="s">
        <v>2894</v>
      </c>
      <c r="J43" s="34" t="s">
        <v>2413</v>
      </c>
      <c r="K43" s="34" t="s">
        <v>4300</v>
      </c>
      <c r="L43" s="34" t="s">
        <v>4576</v>
      </c>
      <c r="M43" s="34" t="s">
        <v>1876</v>
      </c>
      <c r="N43" s="34" t="s">
        <v>2838</v>
      </c>
      <c r="O43" s="34" t="s">
        <v>4231</v>
      </c>
      <c r="P43" s="34" t="s">
        <v>5491</v>
      </c>
      <c r="Q43" s="34" t="s">
        <v>2641</v>
      </c>
      <c r="R43" s="34" t="s">
        <v>1974</v>
      </c>
      <c r="S43" s="34" t="s">
        <v>4071</v>
      </c>
      <c r="T43" s="34" t="s">
        <v>5332</v>
      </c>
      <c r="U43" s="34" t="s">
        <v>6383</v>
      </c>
      <c r="V43" s="34" t="s">
        <v>6881</v>
      </c>
      <c r="W43" s="34" t="s">
        <v>6964</v>
      </c>
      <c r="X43" s="34" t="s">
        <v>7058</v>
      </c>
      <c r="Y43" s="34" t="s">
        <v>7152</v>
      </c>
      <c r="Z43" s="34" t="s">
        <v>7240</v>
      </c>
      <c r="AA43" s="34" t="s">
        <v>7339</v>
      </c>
      <c r="AB43" s="34" t="s">
        <v>7428</v>
      </c>
      <c r="AC43" s="34" t="s">
        <v>7524</v>
      </c>
      <c r="AD43" s="34" t="s">
        <v>7617</v>
      </c>
      <c r="AE43" s="34" t="s">
        <v>7704</v>
      </c>
      <c r="AF43" s="34" t="s">
        <v>7803</v>
      </c>
      <c r="AG43" s="34" t="s">
        <v>7901</v>
      </c>
      <c r="AH43" s="34" t="s">
        <v>2320</v>
      </c>
      <c r="AI43" s="34" t="s">
        <v>3800</v>
      </c>
      <c r="AJ43" s="34" t="s">
        <v>5079</v>
      </c>
      <c r="AK43" s="34" t="s">
        <v>6135</v>
      </c>
      <c r="AL43" s="34" t="s">
        <v>1824</v>
      </c>
      <c r="AM43" s="6" t="s">
        <v>4431</v>
      </c>
      <c r="AN43" s="6" t="s">
        <v>3356</v>
      </c>
      <c r="AO43" s="6" t="s">
        <v>7949</v>
      </c>
      <c r="AP43" s="6" t="s">
        <v>241</v>
      </c>
      <c r="AQ43" s="6" t="s">
        <v>7886</v>
      </c>
    </row>
    <row r="44" customFormat="false" ht="15" hidden="false" customHeight="true" outlineLevel="0" collapsed="false">
      <c r="A44" s="6" t="s">
        <v>329</v>
      </c>
      <c r="B44" s="6" t="s">
        <v>6660</v>
      </c>
      <c r="C44" s="6" t="s">
        <v>6780</v>
      </c>
      <c r="D44" s="6" t="s">
        <v>2945</v>
      </c>
      <c r="E44" s="6" t="s">
        <v>2086</v>
      </c>
      <c r="F44" s="6" t="s">
        <v>4399</v>
      </c>
      <c r="G44" s="6" t="s">
        <v>5455</v>
      </c>
      <c r="H44" s="6" t="s">
        <v>1610</v>
      </c>
      <c r="I44" s="6" t="s">
        <v>2907</v>
      </c>
      <c r="J44" s="34" t="s">
        <v>2112</v>
      </c>
      <c r="K44" s="34" t="s">
        <v>4312</v>
      </c>
      <c r="L44" s="34" t="s">
        <v>4586</v>
      </c>
      <c r="M44" s="34" t="s">
        <v>1804</v>
      </c>
      <c r="N44" s="34" t="s">
        <v>2849</v>
      </c>
      <c r="O44" s="34" t="s">
        <v>4244</v>
      </c>
      <c r="P44" s="34" t="s">
        <v>5480</v>
      </c>
      <c r="Q44" s="34" t="s">
        <v>2651</v>
      </c>
      <c r="R44" s="34" t="s">
        <v>2420</v>
      </c>
      <c r="S44" s="34" t="s">
        <v>4083</v>
      </c>
      <c r="T44" s="34" t="s">
        <v>5299</v>
      </c>
      <c r="U44" s="34" t="s">
        <v>6375</v>
      </c>
      <c r="V44" s="34" t="s">
        <v>6882</v>
      </c>
      <c r="W44" s="34" t="s">
        <v>6965</v>
      </c>
      <c r="X44" s="34" t="s">
        <v>291</v>
      </c>
      <c r="Y44" s="34" t="s">
        <v>7153</v>
      </c>
      <c r="Z44" s="34" t="s">
        <v>7241</v>
      </c>
      <c r="AA44" s="34" t="s">
        <v>7340</v>
      </c>
      <c r="AB44" s="34" t="s">
        <v>7429</v>
      </c>
      <c r="AC44" s="34" t="s">
        <v>7525</v>
      </c>
      <c r="AD44" s="34" t="s">
        <v>7618</v>
      </c>
      <c r="AE44" s="34" t="s">
        <v>7705</v>
      </c>
      <c r="AF44" s="34" t="s">
        <v>7804</v>
      </c>
      <c r="AG44" s="34" t="s">
        <v>7902</v>
      </c>
      <c r="AH44" s="34" t="s">
        <v>2326</v>
      </c>
      <c r="AI44" s="34" t="s">
        <v>3811</v>
      </c>
      <c r="AJ44" s="34" t="s">
        <v>5110</v>
      </c>
      <c r="AK44" s="34" t="s">
        <v>6147</v>
      </c>
      <c r="AL44" s="34" t="s">
        <v>1872</v>
      </c>
      <c r="AM44" s="6" t="s">
        <v>6377</v>
      </c>
      <c r="AN44" s="6" t="s">
        <v>3421</v>
      </c>
      <c r="AP44" s="6" t="s">
        <v>264</v>
      </c>
      <c r="AQ44" s="6" t="s">
        <v>7566</v>
      </c>
    </row>
    <row r="45" customFormat="false" ht="15" hidden="false" customHeight="true" outlineLevel="0" collapsed="false">
      <c r="A45" s="6" t="s">
        <v>6540</v>
      </c>
      <c r="B45" s="6" t="s">
        <v>6661</v>
      </c>
      <c r="C45" s="6" t="s">
        <v>167</v>
      </c>
      <c r="D45" s="6" t="s">
        <v>3002</v>
      </c>
      <c r="E45" s="6" t="s">
        <v>2232</v>
      </c>
      <c r="F45" s="6" t="s">
        <v>4617</v>
      </c>
      <c r="G45" s="6" t="s">
        <v>5466</v>
      </c>
      <c r="H45" s="6" t="s">
        <v>1616</v>
      </c>
      <c r="I45" s="6" t="s">
        <v>2920</v>
      </c>
      <c r="J45" s="34" t="s">
        <v>2299</v>
      </c>
      <c r="K45" s="34" t="s">
        <v>4323</v>
      </c>
      <c r="L45" s="34" t="s">
        <v>4596</v>
      </c>
      <c r="M45" s="34" t="s">
        <v>1597</v>
      </c>
      <c r="N45" s="34" t="s">
        <v>2860</v>
      </c>
      <c r="O45" s="34" t="s">
        <v>4255</v>
      </c>
      <c r="P45" s="34" t="s">
        <v>5449</v>
      </c>
      <c r="Q45" s="34" t="s">
        <v>2662</v>
      </c>
      <c r="R45" s="34" t="s">
        <v>2099</v>
      </c>
      <c r="S45" s="34" t="s">
        <v>4095</v>
      </c>
      <c r="T45" s="34" t="s">
        <v>5311</v>
      </c>
      <c r="U45" s="34" t="s">
        <v>6355</v>
      </c>
      <c r="V45" s="34" t="s">
        <v>6883</v>
      </c>
      <c r="W45" s="34" t="s">
        <v>6966</v>
      </c>
      <c r="X45" s="34" t="s">
        <v>7059</v>
      </c>
      <c r="Y45" s="34" t="s">
        <v>7154</v>
      </c>
      <c r="Z45" s="34" t="s">
        <v>7242</v>
      </c>
      <c r="AA45" s="34" t="s">
        <v>7341</v>
      </c>
      <c r="AB45" s="34" t="s">
        <v>7430</v>
      </c>
      <c r="AC45" s="34" t="s">
        <v>7526</v>
      </c>
      <c r="AD45" s="34" t="s">
        <v>7619</v>
      </c>
      <c r="AE45" s="34" t="s">
        <v>7706</v>
      </c>
      <c r="AF45" s="34" t="s">
        <v>7805</v>
      </c>
      <c r="AG45" s="34" t="s">
        <v>2459</v>
      </c>
      <c r="AH45" s="34" t="s">
        <v>1960</v>
      </c>
      <c r="AI45" s="34" t="s">
        <v>3822</v>
      </c>
      <c r="AJ45" s="34" t="s">
        <v>5090</v>
      </c>
      <c r="AK45" s="34" t="s">
        <v>6158</v>
      </c>
      <c r="AL45" s="34" t="s">
        <v>1782</v>
      </c>
      <c r="AM45" s="6" t="s">
        <v>6374</v>
      </c>
      <c r="AN45" s="6" t="s">
        <v>3576</v>
      </c>
      <c r="AP45" s="6" t="s">
        <v>238</v>
      </c>
      <c r="AQ45" s="6" t="s">
        <v>7876</v>
      </c>
    </row>
    <row r="46" customFormat="false" ht="15" hidden="false" customHeight="true" outlineLevel="0" collapsed="false">
      <c r="A46" s="6" t="s">
        <v>6542</v>
      </c>
      <c r="B46" s="6" t="s">
        <v>6662</v>
      </c>
      <c r="C46" s="6" t="s">
        <v>6782</v>
      </c>
      <c r="D46" s="6" t="s">
        <v>3013</v>
      </c>
      <c r="E46" s="6" t="s">
        <v>1995</v>
      </c>
      <c r="F46" s="6" t="s">
        <v>4410</v>
      </c>
      <c r="G46" s="6" t="s">
        <v>5498</v>
      </c>
      <c r="H46" s="6" t="s">
        <v>1729</v>
      </c>
      <c r="I46" s="6" t="s">
        <v>2958</v>
      </c>
      <c r="J46" s="34" t="s">
        <v>2138</v>
      </c>
      <c r="K46" s="34" t="s">
        <v>4332</v>
      </c>
      <c r="L46" s="34" t="s">
        <v>5422</v>
      </c>
      <c r="M46" s="34" t="s">
        <v>1912</v>
      </c>
      <c r="N46" s="34" t="s">
        <v>2873</v>
      </c>
      <c r="O46" s="34" t="s">
        <v>4266</v>
      </c>
      <c r="P46" s="34" t="s">
        <v>5459</v>
      </c>
      <c r="Q46" s="34" t="s">
        <v>2674</v>
      </c>
      <c r="R46" s="34" t="s">
        <v>2194</v>
      </c>
      <c r="S46" s="34" t="s">
        <v>4107</v>
      </c>
      <c r="T46" s="34" t="s">
        <v>5354</v>
      </c>
      <c r="U46" s="34" t="s">
        <v>6390</v>
      </c>
      <c r="V46" s="34" t="s">
        <v>6884</v>
      </c>
      <c r="W46" s="34" t="s">
        <v>6967</v>
      </c>
      <c r="X46" s="34" t="s">
        <v>7060</v>
      </c>
      <c r="Y46" s="34" t="s">
        <v>7155</v>
      </c>
      <c r="Z46" s="34" t="s">
        <v>7243</v>
      </c>
      <c r="AA46" s="34" t="s">
        <v>7342</v>
      </c>
      <c r="AB46" s="34" t="s">
        <v>7431</v>
      </c>
      <c r="AC46" s="34" t="s">
        <v>7527</v>
      </c>
      <c r="AD46" s="34" t="s">
        <v>7620</v>
      </c>
      <c r="AE46" s="34" t="s">
        <v>7707</v>
      </c>
      <c r="AF46" s="34" t="s">
        <v>7806</v>
      </c>
      <c r="AG46" s="34" t="s">
        <v>2471</v>
      </c>
      <c r="AH46" s="34" t="s">
        <v>2168</v>
      </c>
      <c r="AI46" s="34" t="s">
        <v>3833</v>
      </c>
      <c r="AJ46" s="34" t="s">
        <v>5145</v>
      </c>
      <c r="AK46" s="34" t="s">
        <v>6168</v>
      </c>
      <c r="AL46" s="34" t="s">
        <v>1818</v>
      </c>
      <c r="AM46" s="6" t="s">
        <v>3646</v>
      </c>
      <c r="AN46" s="6" t="s">
        <v>3573</v>
      </c>
      <c r="AP46" s="6" t="s">
        <v>257</v>
      </c>
      <c r="AQ46" s="6" t="s">
        <v>7846</v>
      </c>
    </row>
    <row r="47" customFormat="false" ht="15" hidden="false" customHeight="true" outlineLevel="0" collapsed="false">
      <c r="A47" s="6" t="s">
        <v>330</v>
      </c>
      <c r="B47" s="6" t="s">
        <v>6664</v>
      </c>
      <c r="C47" s="6" t="s">
        <v>6784</v>
      </c>
      <c r="D47" s="6" t="s">
        <v>2968</v>
      </c>
      <c r="E47" s="6" t="s">
        <v>2225</v>
      </c>
      <c r="F47" s="6" t="s">
        <v>4421</v>
      </c>
      <c r="G47" s="6" t="s">
        <v>5520</v>
      </c>
      <c r="H47" s="6" t="s">
        <v>1519</v>
      </c>
      <c r="I47" s="6" t="s">
        <v>2993</v>
      </c>
      <c r="J47" s="34" t="s">
        <v>2051</v>
      </c>
      <c r="K47" s="34" t="s">
        <v>4344</v>
      </c>
      <c r="L47" s="34" t="s">
        <v>5435</v>
      </c>
      <c r="M47" s="34" t="s">
        <v>1846</v>
      </c>
      <c r="N47" s="34" t="s">
        <v>2885</v>
      </c>
      <c r="O47" s="34" t="s">
        <v>4278</v>
      </c>
      <c r="P47" s="34" t="s">
        <v>5470</v>
      </c>
      <c r="Q47" s="34" t="s">
        <v>2685</v>
      </c>
      <c r="R47" s="34" t="s">
        <v>2254</v>
      </c>
      <c r="S47" s="34" t="s">
        <v>4118</v>
      </c>
      <c r="T47" s="34" t="s">
        <v>5366</v>
      </c>
      <c r="U47" s="34" t="s">
        <v>6364</v>
      </c>
      <c r="V47" s="34" t="s">
        <v>6885</v>
      </c>
      <c r="W47" s="34" t="s">
        <v>6968</v>
      </c>
      <c r="X47" s="34" t="s">
        <v>244</v>
      </c>
      <c r="Y47" s="34" t="s">
        <v>262</v>
      </c>
      <c r="Z47" s="34" t="s">
        <v>7244</v>
      </c>
      <c r="AA47" s="34" t="s">
        <v>7343</v>
      </c>
      <c r="AB47" s="34" t="s">
        <v>7432</v>
      </c>
      <c r="AC47" s="34" t="s">
        <v>7528</v>
      </c>
      <c r="AD47" s="34" t="s">
        <v>7621</v>
      </c>
      <c r="AE47" s="34" t="s">
        <v>7708</v>
      </c>
      <c r="AF47" s="34" t="s">
        <v>7807</v>
      </c>
      <c r="AG47" s="34" t="s">
        <v>2556</v>
      </c>
      <c r="AH47" s="34" t="s">
        <v>2268</v>
      </c>
      <c r="AI47" s="34" t="s">
        <v>3844</v>
      </c>
      <c r="AJ47" s="34" t="s">
        <v>5132</v>
      </c>
      <c r="AK47" s="34" t="s">
        <v>6183</v>
      </c>
      <c r="AL47" s="34" t="s">
        <v>1866</v>
      </c>
      <c r="AM47" s="6" t="s">
        <v>3643</v>
      </c>
      <c r="AN47" s="6" t="s">
        <v>3723</v>
      </c>
      <c r="AP47" s="6" t="s">
        <v>7515</v>
      </c>
      <c r="AQ47" s="6" t="s">
        <v>7168</v>
      </c>
    </row>
    <row r="48" customFormat="false" ht="15" hidden="false" customHeight="true" outlineLevel="0" collapsed="false">
      <c r="A48" s="6" t="s">
        <v>6545</v>
      </c>
      <c r="B48" s="6" t="s">
        <v>6665</v>
      </c>
      <c r="C48" s="6" t="s">
        <v>6786</v>
      </c>
      <c r="D48" s="6" t="s">
        <v>3065</v>
      </c>
      <c r="E48" s="6" t="s">
        <v>2172</v>
      </c>
      <c r="F48" s="6" t="s">
        <v>4430</v>
      </c>
      <c r="G48" s="6" t="s">
        <v>5532</v>
      </c>
      <c r="H48" s="6" t="s">
        <v>1623</v>
      </c>
      <c r="I48" s="6" t="s">
        <v>2980</v>
      </c>
      <c r="J48" s="34" t="s">
        <v>2407</v>
      </c>
      <c r="K48" s="34" t="s">
        <v>4355</v>
      </c>
      <c r="L48" s="34" t="s">
        <v>5488</v>
      </c>
      <c r="M48" s="34" t="s">
        <v>1604</v>
      </c>
      <c r="N48" s="34" t="s">
        <v>2897</v>
      </c>
      <c r="O48" s="34" t="s">
        <v>4291</v>
      </c>
      <c r="P48" s="34" t="s">
        <v>5502</v>
      </c>
      <c r="Q48" s="34" t="s">
        <v>2705</v>
      </c>
      <c r="R48" s="34" t="s">
        <v>2093</v>
      </c>
      <c r="S48" s="34" t="s">
        <v>4129</v>
      </c>
      <c r="T48" s="34" t="s">
        <v>5377</v>
      </c>
      <c r="U48" s="34" t="s">
        <v>6425</v>
      </c>
      <c r="V48" s="34" t="s">
        <v>6886</v>
      </c>
      <c r="W48" s="34" t="s">
        <v>6969</v>
      </c>
      <c r="X48" s="34" t="s">
        <v>242</v>
      </c>
      <c r="Y48" s="34" t="s">
        <v>7156</v>
      </c>
      <c r="Z48" s="34" t="s">
        <v>7245</v>
      </c>
      <c r="AA48" s="34" t="s">
        <v>7344</v>
      </c>
      <c r="AB48" s="34" t="s">
        <v>7433</v>
      </c>
      <c r="AC48" s="34" t="s">
        <v>7529</v>
      </c>
      <c r="AD48" s="34" t="s">
        <v>7622</v>
      </c>
      <c r="AE48" s="34" t="s">
        <v>7709</v>
      </c>
      <c r="AF48" s="34" t="s">
        <v>7808</v>
      </c>
      <c r="AG48" s="34" t="s">
        <v>2498</v>
      </c>
      <c r="AH48" s="34" t="s">
        <v>2005</v>
      </c>
      <c r="AI48" s="34" t="s">
        <v>3900</v>
      </c>
      <c r="AJ48" s="34" t="s">
        <v>5158</v>
      </c>
      <c r="AK48" s="34" t="s">
        <v>6193</v>
      </c>
      <c r="AL48" s="34" t="s">
        <v>1487</v>
      </c>
      <c r="AM48" s="6" t="s">
        <v>5120</v>
      </c>
      <c r="AN48" s="6" t="s">
        <v>3969</v>
      </c>
      <c r="AP48" s="6" t="s">
        <v>268</v>
      </c>
      <c r="AQ48" s="6" t="s">
        <v>7161</v>
      </c>
    </row>
    <row r="49" customFormat="false" ht="15" hidden="false" customHeight="true" outlineLevel="0" collapsed="false">
      <c r="A49" s="6" t="s">
        <v>6547</v>
      </c>
      <c r="B49" s="6" t="s">
        <v>6666</v>
      </c>
      <c r="C49" s="6" t="s">
        <v>6787</v>
      </c>
      <c r="D49" s="6" t="s">
        <v>3047</v>
      </c>
      <c r="E49" s="6" t="s">
        <v>2238</v>
      </c>
      <c r="F49" s="6" t="s">
        <v>4441</v>
      </c>
      <c r="G49" s="6" t="s">
        <v>5566</v>
      </c>
      <c r="H49" s="6" t="s">
        <v>1628</v>
      </c>
      <c r="I49" s="6" t="s">
        <v>2936</v>
      </c>
      <c r="J49" s="34" t="s">
        <v>2425</v>
      </c>
      <c r="K49" s="34" t="s">
        <v>4366</v>
      </c>
      <c r="L49" s="34" t="s">
        <v>5477</v>
      </c>
      <c r="M49" s="34" t="s">
        <v>1513</v>
      </c>
      <c r="N49" s="34" t="s">
        <v>2910</v>
      </c>
      <c r="O49" s="34" t="s">
        <v>4303</v>
      </c>
      <c r="P49" s="34" t="s">
        <v>5524</v>
      </c>
      <c r="Q49" s="34" t="s">
        <v>2716</v>
      </c>
      <c r="R49" s="34" t="s">
        <v>2032</v>
      </c>
      <c r="S49" s="34" t="s">
        <v>4141</v>
      </c>
      <c r="T49" s="34" t="s">
        <v>5389</v>
      </c>
      <c r="U49" s="34" t="s">
        <v>6436</v>
      </c>
      <c r="V49" s="34" t="s">
        <v>6887</v>
      </c>
      <c r="W49" s="34" t="s">
        <v>6970</v>
      </c>
      <c r="X49" s="34" t="s">
        <v>7061</v>
      </c>
      <c r="Y49" s="34" t="s">
        <v>7157</v>
      </c>
      <c r="Z49" s="34" t="s">
        <v>7246</v>
      </c>
      <c r="AA49" s="34" t="s">
        <v>3981</v>
      </c>
      <c r="AB49" s="34" t="s">
        <v>7434</v>
      </c>
      <c r="AC49" s="34" t="s">
        <v>7530</v>
      </c>
      <c r="AD49" s="34" t="s">
        <v>7623</v>
      </c>
      <c r="AE49" s="34" t="s">
        <v>7710</v>
      </c>
      <c r="AF49" s="34" t="s">
        <v>7809</v>
      </c>
      <c r="AG49" s="34" t="s">
        <v>2485</v>
      </c>
      <c r="AH49" s="34" t="s">
        <v>2262</v>
      </c>
      <c r="AI49" s="34" t="s">
        <v>3979</v>
      </c>
      <c r="AJ49" s="34" t="s">
        <v>5169</v>
      </c>
      <c r="AK49" s="34" t="s">
        <v>6204</v>
      </c>
      <c r="AL49" s="34" t="s">
        <v>1713</v>
      </c>
      <c r="AM49" s="6" t="s">
        <v>5117</v>
      </c>
      <c r="AN49" s="6" t="s">
        <v>3966</v>
      </c>
      <c r="AP49" s="6" t="s">
        <v>245</v>
      </c>
      <c r="AQ49" s="6" t="s">
        <v>977</v>
      </c>
    </row>
    <row r="50" customFormat="false" ht="15" hidden="false" customHeight="true" outlineLevel="0" collapsed="false">
      <c r="A50" s="6" t="s">
        <v>322</v>
      </c>
      <c r="B50" s="6" t="s">
        <v>6668</v>
      </c>
      <c r="C50" s="6" t="s">
        <v>6789</v>
      </c>
      <c r="D50" s="6" t="s">
        <v>3076</v>
      </c>
      <c r="E50" s="6" t="s">
        <v>2010</v>
      </c>
      <c r="F50" s="6" t="s">
        <v>4452</v>
      </c>
      <c r="G50" s="6" t="s">
        <v>5545</v>
      </c>
      <c r="H50" s="6" t="s">
        <v>1634</v>
      </c>
      <c r="I50" s="6" t="s">
        <v>3025</v>
      </c>
      <c r="J50" s="34" t="s">
        <v>2159</v>
      </c>
      <c r="K50" s="34" t="s">
        <v>4377</v>
      </c>
      <c r="L50" s="34" t="s">
        <v>5446</v>
      </c>
      <c r="M50" s="34" t="s">
        <v>1454</v>
      </c>
      <c r="N50" s="34" t="s">
        <v>2923</v>
      </c>
      <c r="O50" s="34" t="s">
        <v>4315</v>
      </c>
      <c r="P50" s="34" t="s">
        <v>5536</v>
      </c>
      <c r="Q50" s="34" t="s">
        <v>2727</v>
      </c>
      <c r="R50" s="34" t="s">
        <v>2438</v>
      </c>
      <c r="S50" s="34" t="s">
        <v>4153</v>
      </c>
      <c r="T50" s="34" t="s">
        <v>5398</v>
      </c>
      <c r="U50" s="34" t="s">
        <v>6447</v>
      </c>
      <c r="V50" s="34" t="s">
        <v>6888</v>
      </c>
      <c r="W50" s="34" t="s">
        <v>6971</v>
      </c>
      <c r="X50" s="34" t="s">
        <v>7062</v>
      </c>
      <c r="Y50" s="34" t="s">
        <v>1253</v>
      </c>
      <c r="Z50" s="34" t="s">
        <v>7247</v>
      </c>
      <c r="AA50" s="34" t="s">
        <v>7345</v>
      </c>
      <c r="AB50" s="34" t="s">
        <v>7435</v>
      </c>
      <c r="AC50" s="34" t="s">
        <v>259</v>
      </c>
      <c r="AD50" s="34" t="s">
        <v>7624</v>
      </c>
      <c r="AE50" s="34" t="s">
        <v>7711</v>
      </c>
      <c r="AF50" s="34" t="s">
        <v>7810</v>
      </c>
      <c r="AG50" s="34" t="s">
        <v>2566</v>
      </c>
      <c r="AH50" s="34" t="s">
        <v>2201</v>
      </c>
      <c r="AI50" s="34" t="s">
        <v>3912</v>
      </c>
      <c r="AJ50" s="34" t="s">
        <v>5181</v>
      </c>
      <c r="AK50" s="34" t="s">
        <v>6214</v>
      </c>
      <c r="AL50" s="34" t="s">
        <v>1570</v>
      </c>
      <c r="AM50" s="6" t="s">
        <v>5937</v>
      </c>
      <c r="AN50" s="6" t="s">
        <v>4391</v>
      </c>
      <c r="AP50" s="6" t="s">
        <v>244</v>
      </c>
      <c r="AQ50" s="6" t="s">
        <v>998</v>
      </c>
    </row>
    <row r="51" customFormat="false" ht="15" hidden="false" customHeight="true" outlineLevel="0" collapsed="false">
      <c r="A51" s="6" t="s">
        <v>6550</v>
      </c>
      <c r="B51" s="6" t="s">
        <v>6669</v>
      </c>
      <c r="C51" s="6" t="s">
        <v>6790</v>
      </c>
      <c r="D51" s="6" t="s">
        <v>3123</v>
      </c>
      <c r="E51" s="6" t="s">
        <v>2179</v>
      </c>
      <c r="F51" s="6" t="s">
        <v>4628</v>
      </c>
      <c r="G51" s="6" t="s">
        <v>5557</v>
      </c>
      <c r="H51" s="6" t="s">
        <v>1461</v>
      </c>
      <c r="I51" s="6" t="s">
        <v>3036</v>
      </c>
      <c r="J51" s="34" t="s">
        <v>1988</v>
      </c>
      <c r="K51" s="34" t="s">
        <v>4388</v>
      </c>
      <c r="L51" s="34" t="s">
        <v>5509</v>
      </c>
      <c r="M51" s="34" t="s">
        <v>1492</v>
      </c>
      <c r="N51" s="34" t="s">
        <v>2961</v>
      </c>
      <c r="O51" s="34" t="s">
        <v>4326</v>
      </c>
      <c r="P51" s="34" t="s">
        <v>5570</v>
      </c>
      <c r="Q51" s="34" t="s">
        <v>2694</v>
      </c>
      <c r="R51" s="34" t="s">
        <v>2396</v>
      </c>
      <c r="S51" s="34" t="s">
        <v>4164</v>
      </c>
      <c r="T51" s="34" t="s">
        <v>5410</v>
      </c>
      <c r="U51" s="34" t="s">
        <v>6403</v>
      </c>
      <c r="V51" s="34" t="s">
        <v>6889</v>
      </c>
      <c r="W51" s="34" t="s">
        <v>6972</v>
      </c>
      <c r="X51" s="34" t="s">
        <v>7063</v>
      </c>
      <c r="Y51" s="34" t="s">
        <v>1191</v>
      </c>
      <c r="Z51" s="34" t="s">
        <v>7248</v>
      </c>
      <c r="AA51" s="34" t="s">
        <v>7346</v>
      </c>
      <c r="AB51" s="34" t="s">
        <v>7436</v>
      </c>
      <c r="AC51" s="34" t="s">
        <v>7531</v>
      </c>
      <c r="AD51" s="34" t="s">
        <v>7625</v>
      </c>
      <c r="AE51" s="34" t="s">
        <v>7712</v>
      </c>
      <c r="AF51" s="34" t="s">
        <v>7811</v>
      </c>
      <c r="AG51" s="34" t="s">
        <v>2509</v>
      </c>
      <c r="AH51" s="34" t="s">
        <v>2281</v>
      </c>
      <c r="AI51" s="34" t="s">
        <v>3924</v>
      </c>
      <c r="AJ51" s="34" t="s">
        <v>5191</v>
      </c>
      <c r="AK51" s="34" t="s">
        <v>6225</v>
      </c>
      <c r="AL51" s="34" t="s">
        <v>1860</v>
      </c>
      <c r="AM51" s="6" t="s">
        <v>6257</v>
      </c>
      <c r="AN51" s="6" t="s">
        <v>4388</v>
      </c>
      <c r="AP51" s="6" t="s">
        <v>242</v>
      </c>
      <c r="AQ51" s="6" t="s">
        <v>1005</v>
      </c>
    </row>
    <row r="52" customFormat="false" ht="15" hidden="false" customHeight="true" outlineLevel="0" collapsed="false">
      <c r="A52" s="6" t="s">
        <v>6551</v>
      </c>
      <c r="B52" s="6" t="s">
        <v>6671</v>
      </c>
      <c r="C52" s="6" t="s">
        <v>6792</v>
      </c>
      <c r="D52" s="6" t="s">
        <v>3089</v>
      </c>
      <c r="E52" s="6" t="s">
        <v>2017</v>
      </c>
      <c r="F52" s="6" t="s">
        <v>4640</v>
      </c>
      <c r="G52" s="6" t="s">
        <v>5577</v>
      </c>
      <c r="H52" s="6" t="s">
        <v>1929</v>
      </c>
      <c r="I52" s="6" t="s">
        <v>2946</v>
      </c>
      <c r="J52" s="34" t="s">
        <v>2087</v>
      </c>
      <c r="K52" s="34" t="s">
        <v>4618</v>
      </c>
      <c r="L52" s="34" t="s">
        <v>5467</v>
      </c>
      <c r="M52" s="34" t="s">
        <v>1611</v>
      </c>
      <c r="N52" s="34" t="s">
        <v>2995</v>
      </c>
      <c r="O52" s="34" t="s">
        <v>4335</v>
      </c>
      <c r="P52" s="34" t="s">
        <v>5549</v>
      </c>
      <c r="Q52" s="34" t="s">
        <v>2752</v>
      </c>
      <c r="R52" s="34" t="s">
        <v>2213</v>
      </c>
      <c r="S52" s="34" t="s">
        <v>4174</v>
      </c>
      <c r="T52" s="34" t="s">
        <v>4465</v>
      </c>
      <c r="U52" s="34" t="s">
        <v>6414</v>
      </c>
      <c r="V52" s="34" t="s">
        <v>6890</v>
      </c>
      <c r="W52" s="34" t="s">
        <v>6973</v>
      </c>
      <c r="X52" s="34" t="s">
        <v>7064</v>
      </c>
      <c r="Y52" s="34" t="s">
        <v>7158</v>
      </c>
      <c r="Z52" s="34" t="s">
        <v>252</v>
      </c>
      <c r="AA52" s="34" t="s">
        <v>7347</v>
      </c>
      <c r="AB52" s="34" t="s">
        <v>7437</v>
      </c>
      <c r="AC52" s="34" t="s">
        <v>7532</v>
      </c>
      <c r="AD52" s="34" t="s">
        <v>7626</v>
      </c>
      <c r="AE52" s="34" t="s">
        <v>7713</v>
      </c>
      <c r="AF52" s="34" t="s">
        <v>7812</v>
      </c>
      <c r="AG52" s="34" t="s">
        <v>2520</v>
      </c>
      <c r="AH52" s="34" t="s">
        <v>2189</v>
      </c>
      <c r="AI52" s="34" t="s">
        <v>3935</v>
      </c>
      <c r="AJ52" s="34" t="s">
        <v>5201</v>
      </c>
      <c r="AK52" s="34" t="s">
        <v>6236</v>
      </c>
      <c r="AL52" s="34" t="s">
        <v>6482</v>
      </c>
      <c r="AM52" s="6" t="s">
        <v>6254</v>
      </c>
      <c r="AN52" s="6" t="s">
        <v>4403</v>
      </c>
      <c r="AP52" s="6" t="s">
        <v>263</v>
      </c>
      <c r="AQ52" s="6" t="s">
        <v>1013</v>
      </c>
    </row>
    <row r="53" customFormat="false" ht="15" hidden="false" customHeight="true" outlineLevel="0" collapsed="false">
      <c r="A53" s="6" t="s">
        <v>6553</v>
      </c>
      <c r="B53" s="6" t="s">
        <v>6672</v>
      </c>
      <c r="C53" s="6" t="s">
        <v>6794</v>
      </c>
      <c r="D53" s="6" t="s">
        <v>3133</v>
      </c>
      <c r="E53" s="6" t="s">
        <v>2131</v>
      </c>
      <c r="F53" s="6" t="s">
        <v>4651</v>
      </c>
      <c r="G53" s="6" t="s">
        <v>5613</v>
      </c>
      <c r="H53" s="6" t="s">
        <v>1839</v>
      </c>
      <c r="I53" s="6" t="s">
        <v>3003</v>
      </c>
      <c r="J53" s="34" t="s">
        <v>2233</v>
      </c>
      <c r="K53" s="34" t="s">
        <v>4400</v>
      </c>
      <c r="L53" s="34" t="s">
        <v>5499</v>
      </c>
      <c r="M53" s="34" t="s">
        <v>1617</v>
      </c>
      <c r="N53" s="34" t="s">
        <v>2983</v>
      </c>
      <c r="O53" s="34" t="s">
        <v>4347</v>
      </c>
      <c r="P53" s="34" t="s">
        <v>5561</v>
      </c>
      <c r="Q53" s="34" t="s">
        <v>2766</v>
      </c>
      <c r="R53" s="34" t="s">
        <v>2372</v>
      </c>
      <c r="S53" s="34" t="s">
        <v>4184</v>
      </c>
      <c r="T53" s="34" t="s">
        <v>4475</v>
      </c>
      <c r="U53" s="34" t="s">
        <v>6457</v>
      </c>
      <c r="V53" s="34" t="s">
        <v>6891</v>
      </c>
      <c r="W53" s="34" t="s">
        <v>6974</v>
      </c>
      <c r="X53" s="34" t="s">
        <v>7065</v>
      </c>
      <c r="Y53" s="34" t="s">
        <v>7159</v>
      </c>
      <c r="Z53" s="34" t="s">
        <v>251</v>
      </c>
      <c r="AA53" s="34" t="s">
        <v>7348</v>
      </c>
      <c r="AB53" s="34" t="s">
        <v>7438</v>
      </c>
      <c r="AC53" s="34" t="s">
        <v>7533</v>
      </c>
      <c r="AD53" s="34" t="s">
        <v>7627</v>
      </c>
      <c r="AE53" s="34" t="s">
        <v>7714</v>
      </c>
      <c r="AF53" s="34" t="s">
        <v>7813</v>
      </c>
      <c r="AG53" s="34" t="s">
        <v>2531</v>
      </c>
      <c r="AH53" s="34" t="s">
        <v>2350</v>
      </c>
      <c r="AI53" s="34" t="s">
        <v>3990</v>
      </c>
      <c r="AJ53" s="34" t="s">
        <v>5221</v>
      </c>
      <c r="AK53" s="34" t="s">
        <v>6247</v>
      </c>
      <c r="AM53" s="6" t="s">
        <v>2632</v>
      </c>
      <c r="AN53" s="6" t="s">
        <v>4400</v>
      </c>
      <c r="AP53" s="6" t="s">
        <v>7502</v>
      </c>
      <c r="AQ53" s="6" t="s">
        <v>7210</v>
      </c>
    </row>
    <row r="54" customFormat="false" ht="15" hidden="false" customHeight="true" outlineLevel="0" collapsed="false">
      <c r="A54" s="6" t="s">
        <v>6554</v>
      </c>
      <c r="B54" s="6" t="s">
        <v>6673</v>
      </c>
      <c r="C54" s="6" t="s">
        <v>6796</v>
      </c>
      <c r="D54" s="6" t="s">
        <v>3143</v>
      </c>
      <c r="E54" s="6" t="s">
        <v>2376</v>
      </c>
      <c r="F54" s="6" t="s">
        <v>4663</v>
      </c>
      <c r="G54" s="6" t="s">
        <v>5592</v>
      </c>
      <c r="H54" s="6" t="s">
        <v>1833</v>
      </c>
      <c r="I54" s="6" t="s">
        <v>3014</v>
      </c>
      <c r="J54" s="34" t="s">
        <v>1996</v>
      </c>
      <c r="K54" s="34" t="s">
        <v>4411</v>
      </c>
      <c r="L54" s="34" t="s">
        <v>5456</v>
      </c>
      <c r="M54" s="34" t="s">
        <v>1730</v>
      </c>
      <c r="N54" s="34" t="s">
        <v>3039</v>
      </c>
      <c r="O54" s="34" t="s">
        <v>4358</v>
      </c>
      <c r="P54" s="34" t="s">
        <v>5581</v>
      </c>
      <c r="Q54" s="34" t="s">
        <v>2779</v>
      </c>
      <c r="R54" s="34" t="s">
        <v>2153</v>
      </c>
      <c r="S54" s="34" t="s">
        <v>4195</v>
      </c>
      <c r="T54" s="34" t="s">
        <v>4486</v>
      </c>
      <c r="U54" s="34" t="s">
        <v>6469</v>
      </c>
      <c r="V54" s="34" t="s">
        <v>6892</v>
      </c>
      <c r="W54" s="34" t="s">
        <v>6975</v>
      </c>
      <c r="X54" s="34" t="s">
        <v>7066</v>
      </c>
      <c r="Y54" s="34" t="s">
        <v>7160</v>
      </c>
      <c r="Z54" s="34" t="s">
        <v>7249</v>
      </c>
      <c r="AA54" s="34" t="s">
        <v>7349</v>
      </c>
      <c r="AB54" s="34" t="s">
        <v>7439</v>
      </c>
      <c r="AC54" s="34" t="s">
        <v>7534</v>
      </c>
      <c r="AD54" s="34" t="s">
        <v>7628</v>
      </c>
      <c r="AE54" s="34" t="s">
        <v>7715</v>
      </c>
      <c r="AF54" s="34" t="s">
        <v>7814</v>
      </c>
      <c r="AG54" s="34" t="s">
        <v>2542</v>
      </c>
      <c r="AH54" s="34" t="s">
        <v>1967</v>
      </c>
      <c r="AI54" s="34" t="s">
        <v>3957</v>
      </c>
      <c r="AJ54" s="34" t="s">
        <v>275</v>
      </c>
      <c r="AK54" s="34" t="s">
        <v>6256</v>
      </c>
      <c r="AM54" s="6" t="s">
        <v>3454</v>
      </c>
      <c r="AN54" s="6" t="s">
        <v>223</v>
      </c>
      <c r="AP54" s="6" t="s">
        <v>7106</v>
      </c>
      <c r="AQ54" s="6" t="s">
        <v>1051</v>
      </c>
    </row>
    <row r="55" customFormat="false" ht="15" hidden="false" customHeight="true" outlineLevel="0" collapsed="false">
      <c r="A55" s="6" t="s">
        <v>6555</v>
      </c>
      <c r="B55" s="6" t="s">
        <v>6674</v>
      </c>
      <c r="C55" s="6" t="s">
        <v>6797</v>
      </c>
      <c r="D55" s="6" t="s">
        <v>3153</v>
      </c>
      <c r="E55" s="6" t="s">
        <v>2125</v>
      </c>
      <c r="F55" s="6" t="s">
        <v>4748</v>
      </c>
      <c r="G55" s="6" t="s">
        <v>5602</v>
      </c>
      <c r="H55" s="6" t="s">
        <v>1851</v>
      </c>
      <c r="I55" s="6" t="s">
        <v>2969</v>
      </c>
      <c r="J55" s="34" t="s">
        <v>2226</v>
      </c>
      <c r="K55" s="34" t="s">
        <v>4422</v>
      </c>
      <c r="L55" s="34" t="s">
        <v>5521</v>
      </c>
      <c r="M55" s="34" t="s">
        <v>1520</v>
      </c>
      <c r="N55" s="34" t="s">
        <v>2949</v>
      </c>
      <c r="O55" s="34" t="s">
        <v>4369</v>
      </c>
      <c r="P55" s="34" t="s">
        <v>5606</v>
      </c>
      <c r="Q55" s="34" t="s">
        <v>2791</v>
      </c>
      <c r="R55" s="34" t="s">
        <v>2402</v>
      </c>
      <c r="S55" s="34" t="s">
        <v>4206</v>
      </c>
      <c r="T55" s="34" t="s">
        <v>4496</v>
      </c>
      <c r="U55" s="34" t="s">
        <v>1575</v>
      </c>
      <c r="V55" s="34" t="s">
        <v>276</v>
      </c>
      <c r="W55" s="34" t="s">
        <v>6976</v>
      </c>
      <c r="X55" s="34" t="s">
        <v>3264</v>
      </c>
      <c r="Y55" s="34" t="s">
        <v>7161</v>
      </c>
      <c r="Z55" s="34" t="s">
        <v>7250</v>
      </c>
      <c r="AA55" s="34" t="s">
        <v>7350</v>
      </c>
      <c r="AB55" s="34" t="s">
        <v>7440</v>
      </c>
      <c r="AC55" s="34" t="s">
        <v>7535</v>
      </c>
      <c r="AD55" s="34" t="s">
        <v>7629</v>
      </c>
      <c r="AE55" s="34" t="s">
        <v>7716</v>
      </c>
      <c r="AF55" s="34" t="s">
        <v>7815</v>
      </c>
      <c r="AG55" s="34" t="s">
        <v>5936</v>
      </c>
      <c r="AH55" s="34" t="s">
        <v>2208</v>
      </c>
      <c r="AI55" s="34" t="s">
        <v>4000</v>
      </c>
      <c r="AJ55" s="34" t="s">
        <v>5234</v>
      </c>
      <c r="AK55" s="34" t="s">
        <v>6268</v>
      </c>
      <c r="AM55" s="6" t="s">
        <v>4655</v>
      </c>
      <c r="AN55" s="6" t="s">
        <v>199</v>
      </c>
      <c r="AP55" s="6" t="s">
        <v>243</v>
      </c>
      <c r="AQ55" s="6" t="s">
        <v>1058</v>
      </c>
    </row>
    <row r="56" customFormat="false" ht="15" hidden="false" customHeight="true" outlineLevel="0" collapsed="false">
      <c r="A56" s="6" t="s">
        <v>6557</v>
      </c>
      <c r="B56" s="6" t="s">
        <v>6676</v>
      </c>
      <c r="C56" s="6" t="s">
        <v>6798</v>
      </c>
      <c r="D56" s="6" t="s">
        <v>3112</v>
      </c>
      <c r="E56" s="6" t="s">
        <v>2304</v>
      </c>
      <c r="F56" s="6" t="s">
        <v>4727</v>
      </c>
      <c r="G56" s="6" t="s">
        <v>5623</v>
      </c>
      <c r="H56" s="6" t="s">
        <v>1716</v>
      </c>
      <c r="I56" s="6" t="s">
        <v>3066</v>
      </c>
      <c r="J56" s="34" t="s">
        <v>2173</v>
      </c>
      <c r="K56" s="34" t="s">
        <v>4431</v>
      </c>
      <c r="L56" s="34" t="s">
        <v>5533</v>
      </c>
      <c r="M56" s="34" t="s">
        <v>1624</v>
      </c>
      <c r="N56" s="34" t="s">
        <v>3006</v>
      </c>
      <c r="O56" s="34" t="s">
        <v>4380</v>
      </c>
      <c r="P56" s="34" t="s">
        <v>5627</v>
      </c>
      <c r="Q56" s="34" t="s">
        <v>2804</v>
      </c>
      <c r="R56" s="34" t="s">
        <v>2366</v>
      </c>
      <c r="S56" s="34" t="s">
        <v>4216</v>
      </c>
      <c r="T56" s="34" t="s">
        <v>4506</v>
      </c>
      <c r="U56" s="34" t="s">
        <v>1811</v>
      </c>
      <c r="V56" s="34" t="s">
        <v>6894</v>
      </c>
      <c r="W56" s="34" t="s">
        <v>6977</v>
      </c>
      <c r="X56" s="34" t="s">
        <v>7067</v>
      </c>
      <c r="Y56" s="34" t="s">
        <v>7162</v>
      </c>
      <c r="Z56" s="34" t="s">
        <v>7251</v>
      </c>
      <c r="AA56" s="34" t="s">
        <v>7351</v>
      </c>
      <c r="AB56" s="34" t="s">
        <v>7441</v>
      </c>
      <c r="AC56" s="34" t="s">
        <v>7536</v>
      </c>
      <c r="AD56" s="34" t="s">
        <v>7630</v>
      </c>
      <c r="AE56" s="34" t="s">
        <v>5928</v>
      </c>
      <c r="AF56" s="34" t="s">
        <v>7816</v>
      </c>
      <c r="AG56" s="34" t="s">
        <v>2575</v>
      </c>
      <c r="AH56" s="34" t="s">
        <v>1952</v>
      </c>
      <c r="AI56" s="34" t="s">
        <v>3946</v>
      </c>
      <c r="AJ56" s="34" t="s">
        <v>5250</v>
      </c>
      <c r="AK56" s="34" t="s">
        <v>6279</v>
      </c>
      <c r="AM56" s="6" t="s">
        <v>4652</v>
      </c>
      <c r="AN56" s="6" t="s">
        <v>206</v>
      </c>
      <c r="AP56" s="6" t="s">
        <v>246</v>
      </c>
      <c r="AQ56" s="6" t="s">
        <v>7204</v>
      </c>
    </row>
    <row r="57" customFormat="false" ht="15" hidden="false" customHeight="true" outlineLevel="0" collapsed="false">
      <c r="A57" s="6" t="s">
        <v>6558</v>
      </c>
      <c r="B57" s="6" t="s">
        <v>6677</v>
      </c>
      <c r="C57" s="6" t="s">
        <v>6800</v>
      </c>
      <c r="D57" s="6" t="s">
        <v>3163</v>
      </c>
      <c r="E57" s="6" t="s">
        <v>2245</v>
      </c>
      <c r="F57" s="6" t="s">
        <v>4800</v>
      </c>
      <c r="G57" s="6" t="s">
        <v>4605</v>
      </c>
      <c r="H57" s="6" t="s">
        <v>1640</v>
      </c>
      <c r="I57" s="6" t="s">
        <v>3077</v>
      </c>
      <c r="J57" s="34" t="s">
        <v>2239</v>
      </c>
      <c r="K57" s="34" t="s">
        <v>4442</v>
      </c>
      <c r="L57" s="34" t="s">
        <v>5567</v>
      </c>
      <c r="M57" s="34" t="s">
        <v>1629</v>
      </c>
      <c r="N57" s="34" t="s">
        <v>3017</v>
      </c>
      <c r="O57" s="34" t="s">
        <v>4391</v>
      </c>
      <c r="P57" s="34" t="s">
        <v>4609</v>
      </c>
      <c r="Q57" s="34" t="s">
        <v>2821</v>
      </c>
      <c r="R57" s="34" t="s">
        <v>2390</v>
      </c>
      <c r="S57" s="34" t="s">
        <v>4229</v>
      </c>
      <c r="T57" s="34" t="s">
        <v>4516</v>
      </c>
      <c r="U57" s="34" t="s">
        <v>1799</v>
      </c>
      <c r="V57" s="34" t="s">
        <v>6895</v>
      </c>
      <c r="W57" s="34" t="s">
        <v>6978</v>
      </c>
      <c r="X57" s="34" t="s">
        <v>292</v>
      </c>
      <c r="Y57" s="34" t="s">
        <v>7163</v>
      </c>
      <c r="Z57" s="34" t="s">
        <v>7252</v>
      </c>
      <c r="AA57" s="34" t="s">
        <v>7352</v>
      </c>
      <c r="AB57" s="34" t="s">
        <v>7442</v>
      </c>
      <c r="AC57" s="34" t="s">
        <v>7537</v>
      </c>
      <c r="AD57" s="34" t="s">
        <v>7631</v>
      </c>
      <c r="AE57" s="34" t="s">
        <v>7717</v>
      </c>
      <c r="AF57" s="34" t="s">
        <v>7817</v>
      </c>
      <c r="AG57" s="34" t="s">
        <v>2588</v>
      </c>
      <c r="AH57" s="34" t="s">
        <v>2221</v>
      </c>
      <c r="AI57" s="34" t="s">
        <v>3968</v>
      </c>
      <c r="AJ57" s="34" t="s">
        <v>5263</v>
      </c>
      <c r="AK57" s="34" t="s">
        <v>6290</v>
      </c>
      <c r="AM57" s="6" t="s">
        <v>4848</v>
      </c>
      <c r="AN57" s="6" t="s">
        <v>207</v>
      </c>
      <c r="AP57" s="6" t="s">
        <v>255</v>
      </c>
      <c r="AQ57" s="6" t="s">
        <v>7193</v>
      </c>
    </row>
    <row r="58" customFormat="false" ht="15" hidden="false" customHeight="true" outlineLevel="0" collapsed="false">
      <c r="A58" s="6" t="s">
        <v>6559</v>
      </c>
      <c r="B58" s="6" t="s">
        <v>6678</v>
      </c>
      <c r="C58" s="6" t="s">
        <v>6801</v>
      </c>
      <c r="D58" s="6" t="s">
        <v>3101</v>
      </c>
      <c r="E58" s="6" t="s">
        <v>2118</v>
      </c>
      <c r="F58" s="6" t="s">
        <v>4676</v>
      </c>
      <c r="G58" s="6" t="s">
        <v>5635</v>
      </c>
      <c r="H58" s="6" t="s">
        <v>1743</v>
      </c>
      <c r="I58" s="6" t="s">
        <v>3048</v>
      </c>
      <c r="J58" s="34" t="s">
        <v>2011</v>
      </c>
      <c r="K58" s="34" t="s">
        <v>4453</v>
      </c>
      <c r="L58" s="34" t="s">
        <v>5546</v>
      </c>
      <c r="M58" s="34" t="s">
        <v>1635</v>
      </c>
      <c r="N58" s="34" t="s">
        <v>2972</v>
      </c>
      <c r="O58" s="34" t="s">
        <v>4403</v>
      </c>
      <c r="P58" s="34" t="s">
        <v>5639</v>
      </c>
      <c r="Q58" s="34" t="s">
        <v>2836</v>
      </c>
      <c r="R58" s="34" t="s">
        <v>2355</v>
      </c>
      <c r="S58" s="34" t="s">
        <v>4242</v>
      </c>
      <c r="T58" s="34" t="s">
        <v>4526</v>
      </c>
      <c r="U58" s="34" t="s">
        <v>1907</v>
      </c>
      <c r="V58" s="34" t="s">
        <v>277</v>
      </c>
      <c r="W58" s="34" t="s">
        <v>6979</v>
      </c>
      <c r="X58" s="34" t="s">
        <v>7068</v>
      </c>
      <c r="Y58" s="34" t="s">
        <v>7164</v>
      </c>
      <c r="Z58" s="34" t="s">
        <v>7253</v>
      </c>
      <c r="AA58" s="34" t="s">
        <v>7353</v>
      </c>
      <c r="AB58" s="34" t="s">
        <v>7443</v>
      </c>
      <c r="AC58" s="34" t="s">
        <v>7538</v>
      </c>
      <c r="AD58" s="34" t="s">
        <v>7632</v>
      </c>
      <c r="AE58" s="34" t="s">
        <v>7718</v>
      </c>
      <c r="AF58" s="34" t="s">
        <v>7818</v>
      </c>
      <c r="AG58" s="34" t="s">
        <v>2601</v>
      </c>
      <c r="AH58" s="34" t="s">
        <v>1945</v>
      </c>
      <c r="AI58" s="34" t="s">
        <v>4011</v>
      </c>
      <c r="AJ58" s="34" t="s">
        <v>5276</v>
      </c>
      <c r="AK58" s="34" t="s">
        <v>6301</v>
      </c>
      <c r="AM58" s="6" t="s">
        <v>4845</v>
      </c>
      <c r="AN58" s="6" t="s">
        <v>191</v>
      </c>
      <c r="AP58" s="6" t="s">
        <v>260</v>
      </c>
      <c r="AQ58" s="6" t="s">
        <v>7191</v>
      </c>
    </row>
    <row r="59" customFormat="false" ht="15" hidden="false" customHeight="true" outlineLevel="0" collapsed="false">
      <c r="A59" s="6" t="s">
        <v>6560</v>
      </c>
      <c r="B59" s="6" t="s">
        <v>6680</v>
      </c>
      <c r="C59" s="6" t="s">
        <v>6803</v>
      </c>
      <c r="D59" s="6" t="s">
        <v>3233</v>
      </c>
      <c r="E59" s="6" t="s">
        <v>2065</v>
      </c>
      <c r="F59" s="6" t="s">
        <v>4685</v>
      </c>
      <c r="G59" s="6" t="s">
        <v>5646</v>
      </c>
      <c r="H59" s="6" t="s">
        <v>1498</v>
      </c>
      <c r="I59" s="6" t="s">
        <v>3124</v>
      </c>
      <c r="J59" s="34" t="s">
        <v>2180</v>
      </c>
      <c r="K59" s="34" t="s">
        <v>4629</v>
      </c>
      <c r="L59" s="34" t="s">
        <v>5558</v>
      </c>
      <c r="M59" s="34" t="s">
        <v>1462</v>
      </c>
      <c r="N59" s="34" t="s">
        <v>3080</v>
      </c>
      <c r="O59" s="34" t="s">
        <v>4414</v>
      </c>
      <c r="P59" s="34" t="s">
        <v>5650</v>
      </c>
      <c r="Q59" s="34" t="s">
        <v>2847</v>
      </c>
      <c r="R59" s="34" t="s">
        <v>2361</v>
      </c>
      <c r="S59" s="34" t="s">
        <v>4253</v>
      </c>
      <c r="T59" s="34" t="s">
        <v>4537</v>
      </c>
      <c r="U59" s="34" t="s">
        <v>1582</v>
      </c>
      <c r="V59" s="34" t="s">
        <v>6896</v>
      </c>
      <c r="W59" s="34" t="s">
        <v>6980</v>
      </c>
      <c r="X59" s="34" t="s">
        <v>7069</v>
      </c>
      <c r="Y59" s="34" t="s">
        <v>1238</v>
      </c>
      <c r="Z59" s="34" t="s">
        <v>7254</v>
      </c>
      <c r="AA59" s="34" t="s">
        <v>7354</v>
      </c>
      <c r="AB59" s="34" t="s">
        <v>7444</v>
      </c>
      <c r="AC59" s="34" t="s">
        <v>7539</v>
      </c>
      <c r="AD59" s="34" t="s">
        <v>7633</v>
      </c>
      <c r="AE59" s="34" t="s">
        <v>7719</v>
      </c>
      <c r="AF59" s="34" t="s">
        <v>7819</v>
      </c>
      <c r="AG59" s="34" t="s">
        <v>2613</v>
      </c>
      <c r="AH59" s="34" t="s">
        <v>2344</v>
      </c>
      <c r="AI59" s="34" t="s">
        <v>4024</v>
      </c>
      <c r="AJ59" s="34" t="s">
        <v>5978</v>
      </c>
      <c r="AK59" s="34" t="s">
        <v>6311</v>
      </c>
      <c r="AM59" s="6" t="s">
        <v>2543</v>
      </c>
      <c r="AN59" s="6" t="s">
        <v>217</v>
      </c>
      <c r="AP59" s="6" t="s">
        <v>273</v>
      </c>
      <c r="AQ59" s="6" t="s">
        <v>7166</v>
      </c>
    </row>
    <row r="60" customFormat="false" ht="15" hidden="false" customHeight="true" outlineLevel="0" collapsed="false">
      <c r="A60" s="6" t="s">
        <v>347</v>
      </c>
      <c r="B60" s="6" t="s">
        <v>6681</v>
      </c>
      <c r="C60" s="6" t="s">
        <v>6805</v>
      </c>
      <c r="D60" s="6" t="s">
        <v>3174</v>
      </c>
      <c r="E60" s="6" t="s">
        <v>2272</v>
      </c>
      <c r="F60" s="6" t="s">
        <v>4759</v>
      </c>
      <c r="G60" s="6" t="s">
        <v>5657</v>
      </c>
      <c r="H60" s="6" t="s">
        <v>1923</v>
      </c>
      <c r="I60" s="6" t="s">
        <v>3090</v>
      </c>
      <c r="J60" s="34" t="s">
        <v>2018</v>
      </c>
      <c r="K60" s="34" t="s">
        <v>4641</v>
      </c>
      <c r="L60" s="34" t="s">
        <v>5578</v>
      </c>
      <c r="M60" s="34" t="s">
        <v>1930</v>
      </c>
      <c r="N60" s="34" t="s">
        <v>3051</v>
      </c>
      <c r="O60" s="34" t="s">
        <v>4425</v>
      </c>
      <c r="P60" s="34" t="s">
        <v>5661</v>
      </c>
      <c r="Q60" s="34" t="s">
        <v>2858</v>
      </c>
      <c r="R60" s="34" t="s">
        <v>2025</v>
      </c>
      <c r="S60" s="34" t="s">
        <v>4264</v>
      </c>
      <c r="T60" s="34" t="s">
        <v>4547</v>
      </c>
      <c r="U60" s="34" t="s">
        <v>1590</v>
      </c>
      <c r="V60" s="34" t="s">
        <v>6897</v>
      </c>
      <c r="W60" s="34" t="s">
        <v>6981</v>
      </c>
      <c r="X60" s="34" t="s">
        <v>7070</v>
      </c>
      <c r="Y60" s="34" t="s">
        <v>7166</v>
      </c>
      <c r="Z60" s="34" t="s">
        <v>7255</v>
      </c>
      <c r="AA60" s="34" t="s">
        <v>7355</v>
      </c>
      <c r="AB60" s="34" t="s">
        <v>7445</v>
      </c>
      <c r="AC60" s="34" t="s">
        <v>7540</v>
      </c>
      <c r="AD60" s="34" t="s">
        <v>7634</v>
      </c>
      <c r="AE60" s="34" t="s">
        <v>7720</v>
      </c>
      <c r="AF60" s="34" t="s">
        <v>7820</v>
      </c>
      <c r="AG60" s="34" t="s">
        <v>2740</v>
      </c>
      <c r="AH60" s="34" t="s">
        <v>2338</v>
      </c>
      <c r="AI60" s="34" t="s">
        <v>4034</v>
      </c>
      <c r="AJ60" s="34" t="s">
        <v>5288</v>
      </c>
      <c r="AK60" s="34" t="s">
        <v>6322</v>
      </c>
      <c r="AM60" s="6" t="s">
        <v>2653</v>
      </c>
      <c r="AN60" s="6" t="s">
        <v>196</v>
      </c>
      <c r="AP60" s="6" t="s">
        <v>288</v>
      </c>
      <c r="AQ60" s="6" t="s">
        <v>7164</v>
      </c>
    </row>
    <row r="61" customFormat="false" ht="15" hidden="false" customHeight="true" outlineLevel="0" collapsed="false">
      <c r="A61" s="6" t="s">
        <v>6563</v>
      </c>
      <c r="B61" s="6" t="s">
        <v>6683</v>
      </c>
      <c r="C61" s="6" t="s">
        <v>6806</v>
      </c>
      <c r="D61" s="6" t="s">
        <v>3224</v>
      </c>
      <c r="E61" s="6" t="s">
        <v>2103</v>
      </c>
      <c r="F61" s="6" t="s">
        <v>4696</v>
      </c>
      <c r="G61" s="6" t="s">
        <v>5668</v>
      </c>
      <c r="H61" s="6" t="s">
        <v>1647</v>
      </c>
      <c r="I61" s="6" t="s">
        <v>3134</v>
      </c>
      <c r="J61" s="34" t="s">
        <v>2132</v>
      </c>
      <c r="K61" s="34" t="s">
        <v>4652</v>
      </c>
      <c r="L61" s="34" t="s">
        <v>5614</v>
      </c>
      <c r="M61" s="34" t="s">
        <v>1834</v>
      </c>
      <c r="N61" s="34" t="s">
        <v>3093</v>
      </c>
      <c r="O61" s="34" t="s">
        <v>4434</v>
      </c>
      <c r="P61" s="34" t="s">
        <v>5672</v>
      </c>
      <c r="Q61" s="34" t="s">
        <v>2871</v>
      </c>
      <c r="R61" s="34" t="s">
        <v>2331</v>
      </c>
      <c r="S61" s="34" t="s">
        <v>4276</v>
      </c>
      <c r="T61" s="34" t="s">
        <v>4557</v>
      </c>
      <c r="U61" s="34" t="s">
        <v>1769</v>
      </c>
      <c r="V61" s="34" t="s">
        <v>6898</v>
      </c>
      <c r="W61" s="34" t="s">
        <v>6982</v>
      </c>
      <c r="X61" s="34" t="s">
        <v>7071</v>
      </c>
      <c r="Y61" s="34" t="s">
        <v>7167</v>
      </c>
      <c r="Z61" s="34" t="s">
        <v>7256</v>
      </c>
      <c r="AA61" s="34" t="s">
        <v>7356</v>
      </c>
      <c r="AB61" s="34" t="s">
        <v>7447</v>
      </c>
      <c r="AC61" s="34" t="s">
        <v>7541</v>
      </c>
      <c r="AD61" s="34" t="s">
        <v>7635</v>
      </c>
      <c r="AE61" s="34" t="s">
        <v>7721</v>
      </c>
      <c r="AF61" s="34" t="s">
        <v>7821</v>
      </c>
      <c r="AG61" s="34" t="s">
        <v>2631</v>
      </c>
      <c r="AH61" s="34" t="s">
        <v>2445</v>
      </c>
      <c r="AI61" s="34" t="s">
        <v>4046</v>
      </c>
      <c r="AJ61" s="34" t="s">
        <v>5323</v>
      </c>
      <c r="AK61" s="34" t="s">
        <v>6334</v>
      </c>
      <c r="AM61" s="6" t="s">
        <v>3508</v>
      </c>
      <c r="AN61" s="6" t="s">
        <v>195</v>
      </c>
      <c r="AP61" s="6" t="s">
        <v>253</v>
      </c>
      <c r="AQ61" s="6" t="s">
        <v>7090</v>
      </c>
    </row>
    <row r="62" customFormat="false" ht="15" hidden="false" customHeight="true" outlineLevel="0" collapsed="false">
      <c r="A62" s="6" t="s">
        <v>6565</v>
      </c>
      <c r="B62" s="6" t="s">
        <v>319</v>
      </c>
      <c r="C62" s="6" t="s">
        <v>1740</v>
      </c>
      <c r="D62" s="6" t="s">
        <v>3183</v>
      </c>
      <c r="E62" s="6" t="s">
        <v>2078</v>
      </c>
      <c r="F62" s="6" t="s">
        <v>4770</v>
      </c>
      <c r="G62" s="6" t="s">
        <v>5680</v>
      </c>
      <c r="H62" s="6" t="s">
        <v>1526</v>
      </c>
      <c r="I62" s="6" t="s">
        <v>3144</v>
      </c>
      <c r="J62" s="34" t="s">
        <v>2377</v>
      </c>
      <c r="K62" s="34" t="s">
        <v>4664</v>
      </c>
      <c r="L62" s="34" t="s">
        <v>5593</v>
      </c>
      <c r="M62" s="34" t="s">
        <v>1840</v>
      </c>
      <c r="N62" s="34" t="s">
        <v>3116</v>
      </c>
      <c r="O62" s="34" t="s">
        <v>4445</v>
      </c>
      <c r="P62" s="34" t="s">
        <v>5684</v>
      </c>
      <c r="Q62" s="34" t="s">
        <v>2883</v>
      </c>
      <c r="R62" s="34" t="s">
        <v>2146</v>
      </c>
      <c r="S62" s="34" t="s">
        <v>4289</v>
      </c>
      <c r="T62" s="34" t="s">
        <v>4567</v>
      </c>
      <c r="U62" s="34" t="s">
        <v>1775</v>
      </c>
      <c r="V62" s="34" t="s">
        <v>267</v>
      </c>
      <c r="W62" s="34" t="s">
        <v>6983</v>
      </c>
      <c r="X62" s="34" t="s">
        <v>7072</v>
      </c>
      <c r="Y62" s="34" t="s">
        <v>7168</v>
      </c>
      <c r="Z62" s="34" t="s">
        <v>7257</v>
      </c>
      <c r="AA62" s="34" t="s">
        <v>7357</v>
      </c>
      <c r="AB62" s="34" t="s">
        <v>7448</v>
      </c>
      <c r="AC62" s="34" t="s">
        <v>7542</v>
      </c>
      <c r="AD62" s="34" t="s">
        <v>7636</v>
      </c>
      <c r="AE62" s="34" t="s">
        <v>7722</v>
      </c>
      <c r="AF62" s="34" t="s">
        <v>7822</v>
      </c>
      <c r="AG62" s="34" t="s">
        <v>2623</v>
      </c>
      <c r="AH62" s="34" t="s">
        <v>2433</v>
      </c>
      <c r="AI62" s="34" t="s">
        <v>4059</v>
      </c>
      <c r="AJ62" s="34" t="s">
        <v>5346</v>
      </c>
      <c r="AK62" s="34" t="s">
        <v>6345</v>
      </c>
      <c r="AM62" s="6" t="s">
        <v>3901</v>
      </c>
      <c r="AN62" s="6" t="s">
        <v>220</v>
      </c>
      <c r="AP62" s="6" t="s">
        <v>7513</v>
      </c>
      <c r="AQ62" s="6" t="s">
        <v>7186</v>
      </c>
    </row>
    <row r="63" customFormat="false" ht="15" hidden="false" customHeight="true" outlineLevel="0" collapsed="false">
      <c r="A63" s="6" t="s">
        <v>320</v>
      </c>
      <c r="B63" s="6" t="s">
        <v>346</v>
      </c>
      <c r="C63" s="6" t="s">
        <v>6809</v>
      </c>
      <c r="D63" s="6" t="s">
        <v>3245</v>
      </c>
      <c r="E63" s="6" t="s">
        <v>2071</v>
      </c>
      <c r="F63" s="6" t="s">
        <v>4706</v>
      </c>
      <c r="G63" s="6" t="s">
        <v>5691</v>
      </c>
      <c r="H63" s="6" t="s">
        <v>1444</v>
      </c>
      <c r="I63" s="6" t="s">
        <v>3154</v>
      </c>
      <c r="J63" s="34" t="s">
        <v>2126</v>
      </c>
      <c r="K63" s="34" t="s">
        <v>4749</v>
      </c>
      <c r="L63" s="34" t="s">
        <v>5603</v>
      </c>
      <c r="M63" s="34" t="s">
        <v>1852</v>
      </c>
      <c r="N63" s="34" t="s">
        <v>3105</v>
      </c>
      <c r="O63" s="34" t="s">
        <v>4456</v>
      </c>
      <c r="P63" s="34" t="s">
        <v>5695</v>
      </c>
      <c r="Q63" s="34" t="s">
        <v>2895</v>
      </c>
      <c r="R63" s="34" t="s">
        <v>2414</v>
      </c>
      <c r="S63" s="34" t="s">
        <v>4301</v>
      </c>
      <c r="T63" s="34" t="s">
        <v>4577</v>
      </c>
      <c r="U63" s="34" t="s">
        <v>1877</v>
      </c>
      <c r="V63" s="34" t="s">
        <v>6899</v>
      </c>
      <c r="W63" s="34" t="s">
        <v>6984</v>
      </c>
      <c r="X63" s="34" t="s">
        <v>7073</v>
      </c>
      <c r="Y63" s="34" t="s">
        <v>7169</v>
      </c>
      <c r="Z63" s="34" t="s">
        <v>7258</v>
      </c>
      <c r="AA63" s="34" t="s">
        <v>7358</v>
      </c>
      <c r="AB63" s="34" t="s">
        <v>7449</v>
      </c>
      <c r="AC63" s="34" t="s">
        <v>7543</v>
      </c>
      <c r="AD63" s="34" t="s">
        <v>7637</v>
      </c>
      <c r="AE63" s="34" t="s">
        <v>7723</v>
      </c>
      <c r="AF63" s="34" t="s">
        <v>7823</v>
      </c>
      <c r="AG63" s="34" t="s">
        <v>2642</v>
      </c>
      <c r="AH63" s="34" t="s">
        <v>1975</v>
      </c>
      <c r="AI63" s="34" t="s">
        <v>4072</v>
      </c>
      <c r="AJ63" s="34" t="s">
        <v>5333</v>
      </c>
      <c r="AK63" s="34" t="s">
        <v>265</v>
      </c>
      <c r="AM63" s="6" t="s">
        <v>3898</v>
      </c>
      <c r="AN63" s="6" t="s">
        <v>224</v>
      </c>
      <c r="AP63" s="6" t="s">
        <v>7511</v>
      </c>
      <c r="AQ63" s="6" t="s">
        <v>7173</v>
      </c>
    </row>
    <row r="64" customFormat="false" ht="15" hidden="false" customHeight="true" outlineLevel="0" collapsed="false">
      <c r="A64" s="6" t="s">
        <v>355</v>
      </c>
      <c r="B64" s="6" t="s">
        <v>6686</v>
      </c>
      <c r="C64" s="6" t="s">
        <v>6810</v>
      </c>
      <c r="D64" s="6" t="s">
        <v>3258</v>
      </c>
      <c r="E64" s="6" t="s">
        <v>2285</v>
      </c>
      <c r="F64" s="6" t="s">
        <v>4736</v>
      </c>
      <c r="G64" s="6" t="s">
        <v>5703</v>
      </c>
      <c r="H64" s="6" t="s">
        <v>1887</v>
      </c>
      <c r="I64" s="6" t="s">
        <v>3113</v>
      </c>
      <c r="J64" s="34" t="s">
        <v>2305</v>
      </c>
      <c r="K64" s="34" t="s">
        <v>4728</v>
      </c>
      <c r="L64" s="34" t="s">
        <v>5624</v>
      </c>
      <c r="M64" s="34" t="s">
        <v>1717</v>
      </c>
      <c r="N64" s="34" t="s">
        <v>3178</v>
      </c>
      <c r="O64" s="34" t="s">
        <v>4632</v>
      </c>
      <c r="P64" s="34" t="s">
        <v>5707</v>
      </c>
      <c r="Q64" s="34" t="s">
        <v>2908</v>
      </c>
      <c r="R64" s="34" t="s">
        <v>2113</v>
      </c>
      <c r="S64" s="34" t="s">
        <v>4313</v>
      </c>
      <c r="T64" s="34" t="s">
        <v>4587</v>
      </c>
      <c r="U64" s="34" t="s">
        <v>1805</v>
      </c>
      <c r="V64" s="34" t="s">
        <v>6900</v>
      </c>
      <c r="W64" s="34" t="s">
        <v>6985</v>
      </c>
      <c r="X64" s="34" t="s">
        <v>7074</v>
      </c>
      <c r="Y64" s="34" t="s">
        <v>7170</v>
      </c>
      <c r="Z64" s="34" t="s">
        <v>7259</v>
      </c>
      <c r="AA64" s="34" t="s">
        <v>7359</v>
      </c>
      <c r="AB64" s="34" t="s">
        <v>7450</v>
      </c>
      <c r="AC64" s="34" t="s">
        <v>7544</v>
      </c>
      <c r="AD64" s="34" t="s">
        <v>273</v>
      </c>
      <c r="AE64" s="34" t="s">
        <v>7724</v>
      </c>
      <c r="AF64" s="34" t="s">
        <v>7824</v>
      </c>
      <c r="AG64" s="34" t="s">
        <v>2652</v>
      </c>
      <c r="AH64" s="34" t="s">
        <v>2421</v>
      </c>
      <c r="AI64" s="34" t="s">
        <v>4084</v>
      </c>
      <c r="AJ64" s="34" t="s">
        <v>5300</v>
      </c>
      <c r="AK64" s="34" t="s">
        <v>6376</v>
      </c>
      <c r="AM64" s="6" t="s">
        <v>4814</v>
      </c>
      <c r="AN64" s="6" t="s">
        <v>7904</v>
      </c>
      <c r="AP64" s="6" t="s">
        <v>271</v>
      </c>
      <c r="AQ64" s="6" t="s">
        <v>7159</v>
      </c>
    </row>
    <row r="65" customFormat="false" ht="15" hidden="false" customHeight="true" outlineLevel="0" collapsed="false">
      <c r="A65" s="6" t="s">
        <v>351</v>
      </c>
      <c r="B65" s="6" t="s">
        <v>6688</v>
      </c>
      <c r="C65" s="6" t="s">
        <v>6812</v>
      </c>
      <c r="D65" s="6" t="s">
        <v>3213</v>
      </c>
      <c r="E65" s="6" t="s">
        <v>2058</v>
      </c>
      <c r="F65" s="6" t="s">
        <v>4716</v>
      </c>
      <c r="G65" s="6" t="s">
        <v>5714</v>
      </c>
      <c r="H65" s="6" t="s">
        <v>1917</v>
      </c>
      <c r="I65" s="6" t="s">
        <v>3164</v>
      </c>
      <c r="J65" s="34" t="s">
        <v>2246</v>
      </c>
      <c r="K65" s="34" t="s">
        <v>4801</v>
      </c>
      <c r="L65" s="34" t="s">
        <v>4606</v>
      </c>
      <c r="M65" s="34" t="s">
        <v>1744</v>
      </c>
      <c r="N65" s="34" t="s">
        <v>3237</v>
      </c>
      <c r="O65" s="34" t="s">
        <v>4644</v>
      </c>
      <c r="P65" s="34" t="s">
        <v>5718</v>
      </c>
      <c r="Q65" s="34" t="s">
        <v>2921</v>
      </c>
      <c r="R65" s="34" t="s">
        <v>2300</v>
      </c>
      <c r="S65" s="34" t="s">
        <v>4324</v>
      </c>
      <c r="T65" s="34" t="s">
        <v>4597</v>
      </c>
      <c r="U65" s="34" t="s">
        <v>1598</v>
      </c>
      <c r="V65" s="34" t="s">
        <v>278</v>
      </c>
      <c r="W65" s="34" t="s">
        <v>6986</v>
      </c>
      <c r="X65" s="34" t="s">
        <v>7075</v>
      </c>
      <c r="Y65" s="34" t="s">
        <v>7171</v>
      </c>
      <c r="Z65" s="34" t="s">
        <v>7260</v>
      </c>
      <c r="AA65" s="34" t="s">
        <v>4001</v>
      </c>
      <c r="AB65" s="34" t="s">
        <v>7451</v>
      </c>
      <c r="AC65" s="34" t="s">
        <v>7545</v>
      </c>
      <c r="AD65" s="34" t="s">
        <v>7638</v>
      </c>
      <c r="AE65" s="34" t="s">
        <v>7725</v>
      </c>
      <c r="AF65" s="34" t="s">
        <v>7825</v>
      </c>
      <c r="AG65" s="34" t="s">
        <v>2663</v>
      </c>
      <c r="AH65" s="34" t="s">
        <v>2100</v>
      </c>
      <c r="AI65" s="34" t="s">
        <v>4096</v>
      </c>
      <c r="AJ65" s="34" t="s">
        <v>5312</v>
      </c>
      <c r="AK65" s="34" t="s">
        <v>6356</v>
      </c>
      <c r="AM65" s="6" t="s">
        <v>4811</v>
      </c>
      <c r="AN65" s="6" t="s">
        <v>7905</v>
      </c>
      <c r="AP65" s="6" t="s">
        <v>7422</v>
      </c>
      <c r="AQ65" s="6" t="s">
        <v>1191</v>
      </c>
    </row>
    <row r="66" customFormat="false" ht="15" hidden="false" customHeight="true" outlineLevel="0" collapsed="false">
      <c r="A66" s="6" t="s">
        <v>332</v>
      </c>
      <c r="B66" s="6" t="s">
        <v>6689</v>
      </c>
      <c r="C66" s="6" t="s">
        <v>6813</v>
      </c>
      <c r="D66" s="6" t="s">
        <v>3195</v>
      </c>
      <c r="E66" s="6" t="s">
        <v>2311</v>
      </c>
      <c r="F66" s="6" t="s">
        <v>4780</v>
      </c>
      <c r="G66" s="6" t="s">
        <v>5726</v>
      </c>
      <c r="H66" s="6" t="s">
        <v>1656</v>
      </c>
      <c r="I66" s="6" t="s">
        <v>3102</v>
      </c>
      <c r="J66" s="34" t="s">
        <v>2119</v>
      </c>
      <c r="K66" s="34" t="s">
        <v>4677</v>
      </c>
      <c r="L66" s="34" t="s">
        <v>5636</v>
      </c>
      <c r="M66" s="34" t="s">
        <v>1641</v>
      </c>
      <c r="N66" s="34" t="s">
        <v>3228</v>
      </c>
      <c r="O66" s="34" t="s">
        <v>4655</v>
      </c>
      <c r="P66" s="34" t="s">
        <v>5730</v>
      </c>
      <c r="Q66" s="34" t="s">
        <v>2959</v>
      </c>
      <c r="R66" s="34" t="s">
        <v>2139</v>
      </c>
      <c r="S66" s="34" t="s">
        <v>4333</v>
      </c>
      <c r="T66" s="34" t="s">
        <v>5423</v>
      </c>
      <c r="U66" s="34" t="s">
        <v>1913</v>
      </c>
      <c r="V66" s="34" t="s">
        <v>6901</v>
      </c>
      <c r="W66" s="34" t="s">
        <v>6987</v>
      </c>
      <c r="X66" s="34" t="s">
        <v>7076</v>
      </c>
      <c r="Y66" s="34" t="s">
        <v>7172</v>
      </c>
      <c r="Z66" s="34" t="s">
        <v>7261</v>
      </c>
      <c r="AA66" s="34" t="s">
        <v>7360</v>
      </c>
      <c r="AB66" s="34" t="s">
        <v>7452</v>
      </c>
      <c r="AC66" s="34" t="s">
        <v>7546</v>
      </c>
      <c r="AD66" s="34" t="s">
        <v>260</v>
      </c>
      <c r="AE66" s="34" t="s">
        <v>7726</v>
      </c>
      <c r="AF66" s="34" t="s">
        <v>7826</v>
      </c>
      <c r="AG66" s="34" t="s">
        <v>2675</v>
      </c>
      <c r="AH66" s="34" t="s">
        <v>2195</v>
      </c>
      <c r="AI66" s="34" t="s">
        <v>4108</v>
      </c>
      <c r="AJ66" s="34" t="s">
        <v>5355</v>
      </c>
      <c r="AK66" s="34" t="s">
        <v>6391</v>
      </c>
      <c r="AM66" s="6" t="s">
        <v>4857</v>
      </c>
      <c r="AN66" s="6" t="s">
        <v>7906</v>
      </c>
      <c r="AP66" s="6" t="s">
        <v>7654</v>
      </c>
      <c r="AQ66" s="6" t="s">
        <v>7197</v>
      </c>
    </row>
    <row r="67" customFormat="false" ht="15" hidden="false" customHeight="true" outlineLevel="0" collapsed="false">
      <c r="A67" s="6" t="s">
        <v>6568</v>
      </c>
      <c r="B67" s="6" t="s">
        <v>6691</v>
      </c>
      <c r="C67" s="6" t="s">
        <v>6814</v>
      </c>
      <c r="D67" s="6" t="s">
        <v>3311</v>
      </c>
      <c r="E67" s="6" t="s">
        <v>2037</v>
      </c>
      <c r="F67" s="6" t="s">
        <v>4790</v>
      </c>
      <c r="G67" s="6" t="s">
        <v>5739</v>
      </c>
      <c r="H67" s="6" t="s">
        <v>1533</v>
      </c>
      <c r="I67" s="6" t="s">
        <v>3175</v>
      </c>
      <c r="J67" s="34" t="s">
        <v>2066</v>
      </c>
      <c r="K67" s="34" t="s">
        <v>4686</v>
      </c>
      <c r="L67" s="34" t="s">
        <v>5647</v>
      </c>
      <c r="M67" s="34" t="s">
        <v>1499</v>
      </c>
      <c r="N67" s="34" t="s">
        <v>3249</v>
      </c>
      <c r="O67" s="34" t="s">
        <v>4667</v>
      </c>
      <c r="P67" s="34" t="s">
        <v>5743</v>
      </c>
      <c r="Q67" s="34" t="s">
        <v>2994</v>
      </c>
      <c r="R67" s="34" t="s">
        <v>2052</v>
      </c>
      <c r="S67" s="34" t="s">
        <v>4345</v>
      </c>
      <c r="T67" s="34" t="s">
        <v>5436</v>
      </c>
      <c r="U67" s="34" t="s">
        <v>1847</v>
      </c>
      <c r="V67" s="34" t="s">
        <v>279</v>
      </c>
      <c r="W67" s="34" t="s">
        <v>6988</v>
      </c>
      <c r="X67" s="34" t="s">
        <v>7077</v>
      </c>
      <c r="Y67" s="34" t="s">
        <v>7173</v>
      </c>
      <c r="Z67" s="34" t="s">
        <v>7262</v>
      </c>
      <c r="AA67" s="34" t="s">
        <v>7361</v>
      </c>
      <c r="AB67" s="34" t="s">
        <v>7453</v>
      </c>
      <c r="AC67" s="34" t="s">
        <v>7547</v>
      </c>
      <c r="AD67" s="34" t="s">
        <v>7639</v>
      </c>
      <c r="AE67" s="34" t="s">
        <v>7727</v>
      </c>
      <c r="AF67" s="34" t="s">
        <v>7827</v>
      </c>
      <c r="AG67" s="34" t="s">
        <v>2686</v>
      </c>
      <c r="AH67" s="34" t="s">
        <v>2255</v>
      </c>
      <c r="AI67" s="34" t="s">
        <v>4119</v>
      </c>
      <c r="AJ67" s="34" t="s">
        <v>5367</v>
      </c>
      <c r="AK67" s="34" t="s">
        <v>266</v>
      </c>
      <c r="AM67" s="6" t="s">
        <v>4854</v>
      </c>
      <c r="AN67" s="6" t="s">
        <v>7907</v>
      </c>
      <c r="AP67" s="6" t="s">
        <v>274</v>
      </c>
      <c r="AQ67" s="6" t="s">
        <v>7201</v>
      </c>
    </row>
    <row r="68" customFormat="false" ht="15" hidden="false" customHeight="true" outlineLevel="0" collapsed="false">
      <c r="A68" s="6" t="s">
        <v>348</v>
      </c>
      <c r="B68" s="6" t="s">
        <v>6692</v>
      </c>
      <c r="C68" s="6" t="s">
        <v>6815</v>
      </c>
      <c r="D68" s="6" t="s">
        <v>3320</v>
      </c>
      <c r="E68" s="6" t="s">
        <v>2044</v>
      </c>
      <c r="F68" s="6" t="s">
        <v>4864</v>
      </c>
      <c r="G68" s="6" t="s">
        <v>5752</v>
      </c>
      <c r="H68" s="6" t="s">
        <v>1662</v>
      </c>
      <c r="I68" s="6" t="s">
        <v>3225</v>
      </c>
      <c r="J68" s="34" t="s">
        <v>2273</v>
      </c>
      <c r="K68" s="34" t="s">
        <v>4760</v>
      </c>
      <c r="L68" s="34" t="s">
        <v>5658</v>
      </c>
      <c r="M68" s="34" t="s">
        <v>1924</v>
      </c>
      <c r="N68" s="34" t="s">
        <v>3187</v>
      </c>
      <c r="O68" s="34" t="s">
        <v>4731</v>
      </c>
      <c r="P68" s="34" t="s">
        <v>5756</v>
      </c>
      <c r="Q68" s="34" t="s">
        <v>2981</v>
      </c>
      <c r="R68" s="34" t="s">
        <v>2408</v>
      </c>
      <c r="S68" s="34" t="s">
        <v>4356</v>
      </c>
      <c r="T68" s="34" t="s">
        <v>5489</v>
      </c>
      <c r="U68" s="34" t="s">
        <v>1605</v>
      </c>
      <c r="V68" s="34" t="s">
        <v>6902</v>
      </c>
      <c r="W68" s="34" t="s">
        <v>6989</v>
      </c>
      <c r="X68" s="34" t="s">
        <v>7078</v>
      </c>
      <c r="Y68" s="34" t="s">
        <v>7174</v>
      </c>
      <c r="Z68" s="34" t="s">
        <v>7263</v>
      </c>
      <c r="AA68" s="34" t="s">
        <v>7362</v>
      </c>
      <c r="AB68" s="34" t="s">
        <v>7454</v>
      </c>
      <c r="AC68" s="34" t="s">
        <v>7548</v>
      </c>
      <c r="AD68" s="34" t="s">
        <v>7640</v>
      </c>
      <c r="AE68" s="34" t="s">
        <v>7728</v>
      </c>
      <c r="AF68" s="34" t="s">
        <v>7828</v>
      </c>
      <c r="AG68" s="34" t="s">
        <v>2706</v>
      </c>
      <c r="AH68" s="34" t="s">
        <v>2094</v>
      </c>
      <c r="AI68" s="34" t="s">
        <v>4130</v>
      </c>
      <c r="AJ68" s="34" t="s">
        <v>5378</v>
      </c>
      <c r="AK68" s="34" t="s">
        <v>6426</v>
      </c>
      <c r="AM68" s="6" t="s">
        <v>2532</v>
      </c>
      <c r="AN68" s="6" t="s">
        <v>7908</v>
      </c>
      <c r="AP68" s="6" t="s">
        <v>247</v>
      </c>
      <c r="AQ68" s="6" t="s">
        <v>7179</v>
      </c>
    </row>
    <row r="69" customFormat="false" ht="15" hidden="false" customHeight="true" outlineLevel="0" collapsed="false">
      <c r="A69" s="6" t="s">
        <v>6570</v>
      </c>
      <c r="B69" s="6" t="s">
        <v>4292</v>
      </c>
      <c r="C69" s="6" t="s">
        <v>6816</v>
      </c>
      <c r="D69" s="6" t="s">
        <v>3271</v>
      </c>
      <c r="E69" s="6" t="s">
        <v>3552</v>
      </c>
      <c r="F69" s="6" t="s">
        <v>4810</v>
      </c>
      <c r="G69" s="6" t="s">
        <v>5764</v>
      </c>
      <c r="H69" s="6" t="s">
        <v>1539</v>
      </c>
      <c r="I69" s="6" t="s">
        <v>3234</v>
      </c>
      <c r="J69" s="34" t="s">
        <v>2104</v>
      </c>
      <c r="K69" s="34" t="s">
        <v>4697</v>
      </c>
      <c r="L69" s="34" t="s">
        <v>5669</v>
      </c>
      <c r="M69" s="34" t="s">
        <v>1648</v>
      </c>
      <c r="N69" s="34" t="s">
        <v>3205</v>
      </c>
      <c r="O69" s="34" t="s">
        <v>4804</v>
      </c>
      <c r="P69" s="34" t="s">
        <v>5768</v>
      </c>
      <c r="Q69" s="34" t="s">
        <v>2937</v>
      </c>
      <c r="R69" s="34" t="s">
        <v>2426</v>
      </c>
      <c r="S69" s="34" t="s">
        <v>4367</v>
      </c>
      <c r="T69" s="34" t="s">
        <v>5478</v>
      </c>
      <c r="U69" s="34" t="s">
        <v>1514</v>
      </c>
      <c r="V69" s="34" t="s">
        <v>280</v>
      </c>
      <c r="W69" s="34" t="s">
        <v>287</v>
      </c>
      <c r="X69" s="34" t="s">
        <v>7079</v>
      </c>
      <c r="Y69" s="34" t="s">
        <v>7175</v>
      </c>
      <c r="Z69" s="34" t="s">
        <v>7264</v>
      </c>
      <c r="AA69" s="34" t="s">
        <v>7363</v>
      </c>
      <c r="AB69" s="34" t="s">
        <v>7455</v>
      </c>
      <c r="AC69" s="34" t="s">
        <v>7549</v>
      </c>
      <c r="AD69" s="34" t="s">
        <v>268</v>
      </c>
      <c r="AE69" s="34" t="s">
        <v>7729</v>
      </c>
      <c r="AF69" s="34" t="s">
        <v>7829</v>
      </c>
      <c r="AG69" s="34" t="s">
        <v>2717</v>
      </c>
      <c r="AH69" s="34" t="s">
        <v>2033</v>
      </c>
      <c r="AI69" s="34" t="s">
        <v>4142</v>
      </c>
      <c r="AJ69" s="34" t="s">
        <v>5390</v>
      </c>
      <c r="AK69" s="34" t="s">
        <v>6437</v>
      </c>
      <c r="AM69" s="6" t="s">
        <v>2823</v>
      </c>
      <c r="AN69" s="6" t="s">
        <v>225</v>
      </c>
      <c r="AP69" s="6" t="s">
        <v>287</v>
      </c>
      <c r="AQ69" s="6" t="s">
        <v>7162</v>
      </c>
    </row>
    <row r="70" customFormat="false" ht="15" hidden="false" customHeight="true" outlineLevel="0" collapsed="false">
      <c r="A70" s="6" t="s">
        <v>6572</v>
      </c>
      <c r="B70" s="6" t="s">
        <v>4478</v>
      </c>
      <c r="C70" s="6" t="s">
        <v>6817</v>
      </c>
      <c r="D70" s="6" t="s">
        <v>3281</v>
      </c>
      <c r="E70" s="6" t="s">
        <v>3539</v>
      </c>
      <c r="F70" s="6" t="s">
        <v>4822</v>
      </c>
      <c r="G70" s="6" t="s">
        <v>5775</v>
      </c>
      <c r="H70" s="6" t="s">
        <v>1893</v>
      </c>
      <c r="I70" s="6" t="s">
        <v>3246</v>
      </c>
      <c r="J70" s="34" t="s">
        <v>2079</v>
      </c>
      <c r="K70" s="34" t="s">
        <v>4771</v>
      </c>
      <c r="L70" s="34" t="s">
        <v>5681</v>
      </c>
      <c r="M70" s="34" t="s">
        <v>1527</v>
      </c>
      <c r="N70" s="34" t="s">
        <v>3262</v>
      </c>
      <c r="O70" s="34" t="s">
        <v>4680</v>
      </c>
      <c r="P70" s="34" t="s">
        <v>5779</v>
      </c>
      <c r="Q70" s="34" t="s">
        <v>3026</v>
      </c>
      <c r="R70" s="34" t="s">
        <v>2160</v>
      </c>
      <c r="S70" s="34" t="s">
        <v>4378</v>
      </c>
      <c r="T70" s="34" t="s">
        <v>5447</v>
      </c>
      <c r="U70" s="34" t="s">
        <v>1455</v>
      </c>
      <c r="V70" s="34" t="s">
        <v>6903</v>
      </c>
      <c r="W70" s="34" t="s">
        <v>6990</v>
      </c>
      <c r="X70" s="34" t="s">
        <v>7080</v>
      </c>
      <c r="Y70" s="34" t="s">
        <v>7176</v>
      </c>
      <c r="Z70" s="34" t="s">
        <v>7265</v>
      </c>
      <c r="AA70" s="34" t="s">
        <v>7364</v>
      </c>
      <c r="AB70" s="34" t="s">
        <v>7456</v>
      </c>
      <c r="AC70" s="34" t="s">
        <v>7550</v>
      </c>
      <c r="AD70" s="34" t="s">
        <v>245</v>
      </c>
      <c r="AE70" s="34" t="s">
        <v>7730</v>
      </c>
      <c r="AF70" s="34" t="s">
        <v>7830</v>
      </c>
      <c r="AG70" s="34" t="s">
        <v>2728</v>
      </c>
      <c r="AH70" s="34" t="s">
        <v>2439</v>
      </c>
      <c r="AI70" s="34" t="s">
        <v>4154</v>
      </c>
      <c r="AJ70" s="34" t="s">
        <v>5399</v>
      </c>
      <c r="AK70" s="34" t="s">
        <v>6448</v>
      </c>
      <c r="AM70" s="6" t="s">
        <v>3285</v>
      </c>
      <c r="AN70" s="6" t="s">
        <v>7909</v>
      </c>
      <c r="AP70" s="6" t="s">
        <v>7060</v>
      </c>
      <c r="AQ70" s="6" t="s">
        <v>1238</v>
      </c>
    </row>
    <row r="71" customFormat="false" ht="15" hidden="false" customHeight="true" outlineLevel="0" collapsed="false">
      <c r="A71" s="6" t="s">
        <v>343</v>
      </c>
      <c r="B71" s="6" t="s">
        <v>4304</v>
      </c>
      <c r="C71" s="6" t="s">
        <v>6818</v>
      </c>
      <c r="D71" s="6" t="s">
        <v>3294</v>
      </c>
      <c r="E71" s="6" t="s">
        <v>3560</v>
      </c>
      <c r="F71" s="6" t="s">
        <v>4875</v>
      </c>
      <c r="G71" s="6" t="s">
        <v>5899</v>
      </c>
      <c r="H71" s="6" t="s">
        <v>1935</v>
      </c>
      <c r="I71" s="6" t="s">
        <v>3259</v>
      </c>
      <c r="J71" s="34" t="s">
        <v>2072</v>
      </c>
      <c r="K71" s="34" t="s">
        <v>4707</v>
      </c>
      <c r="L71" s="34" t="s">
        <v>5692</v>
      </c>
      <c r="M71" s="34" t="s">
        <v>1445</v>
      </c>
      <c r="N71" s="34" t="s">
        <v>3199</v>
      </c>
      <c r="O71" s="34" t="s">
        <v>4689</v>
      </c>
      <c r="P71" s="34" t="s">
        <v>5903</v>
      </c>
      <c r="Q71" s="34" t="s">
        <v>3037</v>
      </c>
      <c r="R71" s="34" t="s">
        <v>1989</v>
      </c>
      <c r="S71" s="34" t="s">
        <v>4389</v>
      </c>
      <c r="T71" s="34" t="s">
        <v>5510</v>
      </c>
      <c r="U71" s="34" t="s">
        <v>1493</v>
      </c>
      <c r="V71" s="34" t="s">
        <v>281</v>
      </c>
      <c r="W71" s="34" t="s">
        <v>6991</v>
      </c>
      <c r="X71" s="34" t="s">
        <v>7081</v>
      </c>
      <c r="Y71" s="34" t="s">
        <v>1058</v>
      </c>
      <c r="Z71" s="34" t="s">
        <v>7266</v>
      </c>
      <c r="AA71" s="34" t="s">
        <v>7365</v>
      </c>
      <c r="AB71" s="34" t="s">
        <v>7457</v>
      </c>
      <c r="AC71" s="34" t="s">
        <v>7551</v>
      </c>
      <c r="AD71" s="34" t="s">
        <v>7641</v>
      </c>
      <c r="AE71" s="34" t="s">
        <v>7731</v>
      </c>
      <c r="AF71" s="34" t="s">
        <v>7831</v>
      </c>
      <c r="AG71" s="34" t="s">
        <v>2695</v>
      </c>
      <c r="AH71" s="34" t="s">
        <v>2397</v>
      </c>
      <c r="AI71" s="34" t="s">
        <v>4165</v>
      </c>
      <c r="AJ71" s="34" t="s">
        <v>5411</v>
      </c>
      <c r="AK71" s="34" t="s">
        <v>6404</v>
      </c>
      <c r="AM71" s="6" t="s">
        <v>3324</v>
      </c>
      <c r="AN71" s="6" t="s">
        <v>7910</v>
      </c>
      <c r="AP71" s="6" t="s">
        <v>291</v>
      </c>
      <c r="AQ71" s="6" t="s">
        <v>7209</v>
      </c>
    </row>
    <row r="72" customFormat="false" ht="15" hidden="false" customHeight="true" outlineLevel="0" collapsed="false">
      <c r="A72" s="6" t="s">
        <v>6575</v>
      </c>
      <c r="B72" s="6" t="s">
        <v>318</v>
      </c>
      <c r="C72" s="6" t="s">
        <v>6819</v>
      </c>
      <c r="D72" s="6" t="s">
        <v>3329</v>
      </c>
      <c r="E72" s="6" t="s">
        <v>3595</v>
      </c>
      <c r="F72" s="6" t="s">
        <v>4886</v>
      </c>
      <c r="G72" s="6" t="s">
        <v>5787</v>
      </c>
      <c r="H72" s="6" t="s">
        <v>1668</v>
      </c>
      <c r="I72" s="6" t="s">
        <v>3184</v>
      </c>
      <c r="J72" s="34" t="s">
        <v>2286</v>
      </c>
      <c r="K72" s="34" t="s">
        <v>4737</v>
      </c>
      <c r="L72" s="34" t="s">
        <v>5704</v>
      </c>
      <c r="M72" s="34" t="s">
        <v>1888</v>
      </c>
      <c r="N72" s="34" t="s">
        <v>3315</v>
      </c>
      <c r="O72" s="34" t="s">
        <v>4700</v>
      </c>
      <c r="P72" s="34" t="s">
        <v>5791</v>
      </c>
      <c r="Q72" s="34" t="s">
        <v>2947</v>
      </c>
      <c r="R72" s="34" t="s">
        <v>2088</v>
      </c>
      <c r="S72" s="34" t="s">
        <v>4619</v>
      </c>
      <c r="T72" s="34" t="s">
        <v>5468</v>
      </c>
      <c r="U72" s="34" t="s">
        <v>1612</v>
      </c>
      <c r="V72" s="34" t="s">
        <v>6904</v>
      </c>
      <c r="W72" s="34" t="s">
        <v>247</v>
      </c>
      <c r="X72" s="34" t="s">
        <v>7082</v>
      </c>
      <c r="Y72" s="34" t="s">
        <v>7177</v>
      </c>
      <c r="Z72" s="34" t="s">
        <v>7267</v>
      </c>
      <c r="AA72" s="34" t="s">
        <v>7366</v>
      </c>
      <c r="AB72" s="34" t="s">
        <v>7458</v>
      </c>
      <c r="AC72" s="34" t="s">
        <v>4920</v>
      </c>
      <c r="AD72" s="34" t="s">
        <v>7642</v>
      </c>
      <c r="AE72" s="34" t="s">
        <v>7732</v>
      </c>
      <c r="AF72" s="34" t="s">
        <v>7832</v>
      </c>
      <c r="AG72" s="34" t="s">
        <v>2753</v>
      </c>
      <c r="AH72" s="34" t="s">
        <v>2214</v>
      </c>
      <c r="AI72" s="34" t="s">
        <v>4175</v>
      </c>
      <c r="AJ72" s="34" t="s">
        <v>4466</v>
      </c>
      <c r="AK72" s="34" t="s">
        <v>6415</v>
      </c>
      <c r="AM72" s="6" t="s">
        <v>3586</v>
      </c>
      <c r="AN72" s="6" t="s">
        <v>212</v>
      </c>
      <c r="AP72" s="6" t="s">
        <v>7157</v>
      </c>
      <c r="AQ72" s="6" t="s">
        <v>1253</v>
      </c>
    </row>
    <row r="73" customFormat="false" ht="15" hidden="false" customHeight="true" outlineLevel="0" collapsed="false">
      <c r="A73" s="6" t="s">
        <v>335</v>
      </c>
      <c r="B73" s="6" t="s">
        <v>171</v>
      </c>
      <c r="C73" s="6" t="s">
        <v>6820</v>
      </c>
      <c r="D73" s="6" t="s">
        <v>5996</v>
      </c>
      <c r="E73" s="6" t="s">
        <v>3572</v>
      </c>
      <c r="F73" s="6" t="s">
        <v>4834</v>
      </c>
      <c r="G73" s="6" t="s">
        <v>5877</v>
      </c>
      <c r="H73" s="6" t="s">
        <v>1723</v>
      </c>
      <c r="I73" s="6" t="s">
        <v>3214</v>
      </c>
      <c r="J73" s="34" t="s">
        <v>2059</v>
      </c>
      <c r="K73" s="34" t="s">
        <v>4717</v>
      </c>
      <c r="L73" s="34" t="s">
        <v>5715</v>
      </c>
      <c r="M73" s="34" t="s">
        <v>1918</v>
      </c>
      <c r="N73" s="34" t="s">
        <v>3324</v>
      </c>
      <c r="O73" s="34" t="s">
        <v>4710</v>
      </c>
      <c r="P73" s="34" t="s">
        <v>5881</v>
      </c>
      <c r="Q73" s="34" t="s">
        <v>3004</v>
      </c>
      <c r="R73" s="34" t="s">
        <v>2234</v>
      </c>
      <c r="S73" s="34" t="s">
        <v>4401</v>
      </c>
      <c r="T73" s="34" t="s">
        <v>5500</v>
      </c>
      <c r="U73" s="34" t="s">
        <v>1618</v>
      </c>
      <c r="V73" s="34" t="s">
        <v>6905</v>
      </c>
      <c r="W73" s="34" t="s">
        <v>6992</v>
      </c>
      <c r="X73" s="34" t="s">
        <v>7083</v>
      </c>
      <c r="Y73" s="34" t="s">
        <v>7178</v>
      </c>
      <c r="Z73" s="34" t="s">
        <v>7268</v>
      </c>
      <c r="AA73" s="34" t="s">
        <v>7367</v>
      </c>
      <c r="AB73" s="34" t="s">
        <v>7459</v>
      </c>
      <c r="AC73" s="34" t="s">
        <v>7552</v>
      </c>
      <c r="AD73" s="34" t="s">
        <v>7643</v>
      </c>
      <c r="AE73" s="34" t="s">
        <v>7733</v>
      </c>
      <c r="AF73" s="34" t="s">
        <v>7833</v>
      </c>
      <c r="AG73" s="34" t="s">
        <v>2767</v>
      </c>
      <c r="AH73" s="34" t="s">
        <v>2373</v>
      </c>
      <c r="AI73" s="34" t="s">
        <v>4185</v>
      </c>
      <c r="AJ73" s="34" t="s">
        <v>4476</v>
      </c>
      <c r="AK73" s="34" t="s">
        <v>6458</v>
      </c>
      <c r="AM73" s="6" t="s">
        <v>3583</v>
      </c>
      <c r="AN73" s="6" t="s">
        <v>201</v>
      </c>
      <c r="AP73" s="6" t="s">
        <v>262</v>
      </c>
      <c r="AQ73" s="6" t="s">
        <v>1356</v>
      </c>
    </row>
    <row r="74" customFormat="false" ht="15" hidden="false" customHeight="true" outlineLevel="0" collapsed="false">
      <c r="A74" s="6" t="s">
        <v>6577</v>
      </c>
      <c r="B74" s="6" t="s">
        <v>6697</v>
      </c>
      <c r="C74" s="6" t="s">
        <v>6821</v>
      </c>
      <c r="D74" s="6" t="s">
        <v>3395</v>
      </c>
      <c r="E74" s="6" t="s">
        <v>3582</v>
      </c>
      <c r="F74" s="6" t="s">
        <v>4844</v>
      </c>
      <c r="G74" s="6" t="s">
        <v>5889</v>
      </c>
      <c r="H74" s="6" t="s">
        <v>1676</v>
      </c>
      <c r="I74" s="6" t="s">
        <v>3196</v>
      </c>
      <c r="J74" s="34" t="s">
        <v>2312</v>
      </c>
      <c r="K74" s="34" t="s">
        <v>4781</v>
      </c>
      <c r="L74" s="34" t="s">
        <v>5727</v>
      </c>
      <c r="M74" s="34" t="s">
        <v>1657</v>
      </c>
      <c r="N74" s="34" t="s">
        <v>3275</v>
      </c>
      <c r="O74" s="34" t="s">
        <v>4740</v>
      </c>
      <c r="P74" s="34" t="s">
        <v>5915</v>
      </c>
      <c r="Q74" s="34" t="s">
        <v>3015</v>
      </c>
      <c r="R74" s="34" t="s">
        <v>1997</v>
      </c>
      <c r="S74" s="34" t="s">
        <v>4412</v>
      </c>
      <c r="T74" s="34" t="s">
        <v>5457</v>
      </c>
      <c r="U74" s="34" t="s">
        <v>1731</v>
      </c>
      <c r="V74" s="34" t="s">
        <v>6906</v>
      </c>
      <c r="W74" s="34" t="s">
        <v>6993</v>
      </c>
      <c r="X74" s="34" t="s">
        <v>7084</v>
      </c>
      <c r="Y74" s="34" t="s">
        <v>7179</v>
      </c>
      <c r="Z74" s="34" t="s">
        <v>7269</v>
      </c>
      <c r="AA74" s="34" t="s">
        <v>7368</v>
      </c>
      <c r="AB74" s="34" t="s">
        <v>7460</v>
      </c>
      <c r="AC74" s="34" t="s">
        <v>7553</v>
      </c>
      <c r="AD74" s="34" t="s">
        <v>7644</v>
      </c>
      <c r="AE74" s="34" t="s">
        <v>7734</v>
      </c>
      <c r="AF74" s="34" t="s">
        <v>7834</v>
      </c>
      <c r="AG74" s="34" t="s">
        <v>2780</v>
      </c>
      <c r="AH74" s="34" t="s">
        <v>2154</v>
      </c>
      <c r="AI74" s="34" t="s">
        <v>4196</v>
      </c>
      <c r="AJ74" s="34" t="s">
        <v>4487</v>
      </c>
      <c r="AK74" s="34" t="s">
        <v>6470</v>
      </c>
      <c r="AM74" s="6" t="s">
        <v>4035</v>
      </c>
      <c r="AN74" s="6" t="s">
        <v>226</v>
      </c>
      <c r="AP74" s="6" t="s">
        <v>2697</v>
      </c>
    </row>
    <row r="75" customFormat="false" ht="15" hidden="false" customHeight="true" outlineLevel="0" collapsed="false">
      <c r="A75" s="6" t="s">
        <v>336</v>
      </c>
      <c r="B75" s="6" t="s">
        <v>6699</v>
      </c>
      <c r="C75" s="6" t="s">
        <v>6822</v>
      </c>
      <c r="D75" s="6" t="s">
        <v>3406</v>
      </c>
      <c r="E75" s="6" t="s">
        <v>3607</v>
      </c>
      <c r="F75" s="6" t="s">
        <v>4853</v>
      </c>
      <c r="G75" s="6" t="s">
        <v>5911</v>
      </c>
      <c r="H75" s="6" t="s">
        <v>1736</v>
      </c>
      <c r="I75" s="6" t="s">
        <v>3312</v>
      </c>
      <c r="J75" s="34" t="s">
        <v>2038</v>
      </c>
      <c r="K75" s="34" t="s">
        <v>4791</v>
      </c>
      <c r="L75" s="34" t="s">
        <v>5740</v>
      </c>
      <c r="M75" s="34" t="s">
        <v>1534</v>
      </c>
      <c r="N75" s="34" t="s">
        <v>3285</v>
      </c>
      <c r="O75" s="34" t="s">
        <v>4719</v>
      </c>
      <c r="P75" s="34" t="s">
        <v>5802</v>
      </c>
      <c r="Q75" s="34" t="s">
        <v>2970</v>
      </c>
      <c r="R75" s="34" t="s">
        <v>2227</v>
      </c>
      <c r="S75" s="34" t="s">
        <v>4423</v>
      </c>
      <c r="T75" s="34" t="s">
        <v>5522</v>
      </c>
      <c r="U75" s="34" t="s">
        <v>1521</v>
      </c>
      <c r="V75" s="34" t="s">
        <v>6907</v>
      </c>
      <c r="W75" s="34" t="s">
        <v>6994</v>
      </c>
      <c r="X75" s="34" t="s">
        <v>7085</v>
      </c>
      <c r="Y75" s="34" t="s">
        <v>7180</v>
      </c>
      <c r="Z75" s="34" t="s">
        <v>7270</v>
      </c>
      <c r="AA75" s="34" t="s">
        <v>7369</v>
      </c>
      <c r="AB75" s="34" t="s">
        <v>7461</v>
      </c>
      <c r="AC75" s="34" t="s">
        <v>7554</v>
      </c>
      <c r="AD75" s="34" t="s">
        <v>7645</v>
      </c>
      <c r="AE75" s="34" t="s">
        <v>7735</v>
      </c>
      <c r="AF75" s="34" t="s">
        <v>7835</v>
      </c>
      <c r="AG75" s="34" t="s">
        <v>2792</v>
      </c>
      <c r="AH75" s="34" t="s">
        <v>2403</v>
      </c>
      <c r="AI75" s="34" t="s">
        <v>4207</v>
      </c>
      <c r="AJ75" s="34" t="s">
        <v>4497</v>
      </c>
      <c r="AK75" s="34" t="s">
        <v>1576</v>
      </c>
      <c r="AM75" s="6" t="s">
        <v>4032</v>
      </c>
      <c r="AN75" s="6" t="s">
        <v>205</v>
      </c>
      <c r="AP75" s="6" t="s">
        <v>272</v>
      </c>
    </row>
    <row r="76" customFormat="false" ht="15" hidden="false" customHeight="true" outlineLevel="0" collapsed="false">
      <c r="A76" s="6" t="s">
        <v>6579</v>
      </c>
      <c r="B76" s="6" t="s">
        <v>161</v>
      </c>
      <c r="C76" s="6" t="s">
        <v>6823</v>
      </c>
      <c r="D76" s="6" t="s">
        <v>3340</v>
      </c>
      <c r="E76" s="6" t="s">
        <v>3620</v>
      </c>
      <c r="F76" s="6" t="s">
        <v>4941</v>
      </c>
      <c r="G76" s="6" t="s">
        <v>5798</v>
      </c>
      <c r="H76" s="6" t="s">
        <v>1545</v>
      </c>
      <c r="I76" s="6" t="s">
        <v>3321</v>
      </c>
      <c r="J76" s="34" t="s">
        <v>2045</v>
      </c>
      <c r="K76" s="34" t="s">
        <v>4865</v>
      </c>
      <c r="L76" s="34" t="s">
        <v>5753</v>
      </c>
      <c r="M76" s="34" t="s">
        <v>1663</v>
      </c>
      <c r="N76" s="34" t="s">
        <v>3298</v>
      </c>
      <c r="O76" s="34" t="s">
        <v>4868</v>
      </c>
      <c r="P76" s="34" t="s">
        <v>5814</v>
      </c>
      <c r="Q76" s="34" t="s">
        <v>3067</v>
      </c>
      <c r="R76" s="34" t="s">
        <v>2174</v>
      </c>
      <c r="S76" s="34" t="s">
        <v>4432</v>
      </c>
      <c r="T76" s="34" t="s">
        <v>5534</v>
      </c>
      <c r="U76" s="34" t="s">
        <v>1625</v>
      </c>
      <c r="V76" s="34" t="s">
        <v>6908</v>
      </c>
      <c r="W76" s="34" t="s">
        <v>6995</v>
      </c>
      <c r="X76" s="34" t="s">
        <v>7086</v>
      </c>
      <c r="Y76" s="34" t="s">
        <v>7181</v>
      </c>
      <c r="Z76" s="34" t="s">
        <v>7271</v>
      </c>
      <c r="AA76" s="34" t="s">
        <v>7370</v>
      </c>
      <c r="AB76" s="34" t="s">
        <v>7462</v>
      </c>
      <c r="AC76" s="34" t="s">
        <v>5023</v>
      </c>
      <c r="AD76" s="34" t="s">
        <v>7646</v>
      </c>
      <c r="AE76" s="34" t="s">
        <v>7736</v>
      </c>
      <c r="AF76" s="34" t="s">
        <v>6460</v>
      </c>
      <c r="AG76" s="34" t="s">
        <v>2805</v>
      </c>
      <c r="AH76" s="34" t="s">
        <v>2367</v>
      </c>
      <c r="AI76" s="34" t="s">
        <v>4217</v>
      </c>
      <c r="AJ76" s="34" t="s">
        <v>4507</v>
      </c>
      <c r="AK76" s="34" t="s">
        <v>1812</v>
      </c>
      <c r="AM76" s="6" t="s">
        <v>2521</v>
      </c>
      <c r="AN76" s="6" t="s">
        <v>7911</v>
      </c>
      <c r="AP76" s="6" t="s">
        <v>7463</v>
      </c>
    </row>
    <row r="77" customFormat="false" ht="15" hidden="false" customHeight="true" outlineLevel="0" collapsed="false">
      <c r="A77" s="6" t="s">
        <v>340</v>
      </c>
      <c r="B77" s="6" t="s">
        <v>6702</v>
      </c>
      <c r="C77" s="6" t="s">
        <v>6824</v>
      </c>
      <c r="D77" s="6" t="s">
        <v>3385</v>
      </c>
      <c r="E77" s="6" t="s">
        <v>3690</v>
      </c>
      <c r="F77" s="6" t="s">
        <v>4897</v>
      </c>
      <c r="G77" s="6" t="s">
        <v>5810</v>
      </c>
      <c r="H77" s="6" t="s">
        <v>1683</v>
      </c>
      <c r="I77" s="6" t="s">
        <v>3272</v>
      </c>
      <c r="J77" s="34" t="s">
        <v>3553</v>
      </c>
      <c r="K77" s="34" t="s">
        <v>4811</v>
      </c>
      <c r="L77" s="34" t="s">
        <v>5765</v>
      </c>
      <c r="M77" s="34" t="s">
        <v>1540</v>
      </c>
      <c r="N77" s="34" t="s">
        <v>3333</v>
      </c>
      <c r="O77" s="34" t="s">
        <v>4814</v>
      </c>
      <c r="P77" s="34" t="s">
        <v>5826</v>
      </c>
      <c r="Q77" s="34" t="s">
        <v>3078</v>
      </c>
      <c r="R77" s="34" t="s">
        <v>2240</v>
      </c>
      <c r="S77" s="34" t="s">
        <v>4443</v>
      </c>
      <c r="T77" s="34" t="s">
        <v>5568</v>
      </c>
      <c r="U77" s="34" t="s">
        <v>1630</v>
      </c>
      <c r="V77" s="34" t="s">
        <v>6909</v>
      </c>
      <c r="W77" s="34" t="s">
        <v>6996</v>
      </c>
      <c r="X77" s="34" t="s">
        <v>7087</v>
      </c>
      <c r="Y77" s="34" t="s">
        <v>7182</v>
      </c>
      <c r="Z77" s="34" t="s">
        <v>7272</v>
      </c>
      <c r="AA77" s="34" t="s">
        <v>7371</v>
      </c>
      <c r="AB77" s="34" t="s">
        <v>7463</v>
      </c>
      <c r="AC77" s="34" t="s">
        <v>5039</v>
      </c>
      <c r="AD77" s="34" t="s">
        <v>7647</v>
      </c>
      <c r="AE77" s="34" t="s">
        <v>7737</v>
      </c>
      <c r="AF77" s="34" t="s">
        <v>7836</v>
      </c>
      <c r="AG77" s="34" t="s">
        <v>2822</v>
      </c>
      <c r="AH77" s="34" t="s">
        <v>2391</v>
      </c>
      <c r="AI77" s="34" t="s">
        <v>4230</v>
      </c>
      <c r="AJ77" s="34" t="s">
        <v>4517</v>
      </c>
      <c r="AK77" s="34" t="s">
        <v>1800</v>
      </c>
      <c r="AM77" s="6" t="s">
        <v>2676</v>
      </c>
      <c r="AN77" s="6" t="s">
        <v>7912</v>
      </c>
      <c r="AP77" s="6" t="s">
        <v>251</v>
      </c>
    </row>
    <row r="78" customFormat="false" ht="15" hidden="false" customHeight="true" outlineLevel="0" collapsed="false">
      <c r="A78" s="6" t="s">
        <v>6581</v>
      </c>
      <c r="B78" s="6" t="s">
        <v>180</v>
      </c>
      <c r="C78" s="6" t="s">
        <v>309</v>
      </c>
      <c r="D78" s="6" t="s">
        <v>3352</v>
      </c>
      <c r="E78" s="6" t="s">
        <v>3701</v>
      </c>
      <c r="F78" s="6" t="s">
        <v>4915</v>
      </c>
      <c r="G78" s="6" t="s">
        <v>5822</v>
      </c>
      <c r="H78" s="6" t="s">
        <v>1749</v>
      </c>
      <c r="I78" s="6" t="s">
        <v>3282</v>
      </c>
      <c r="J78" s="34" t="s">
        <v>3540</v>
      </c>
      <c r="K78" s="34" t="s">
        <v>4823</v>
      </c>
      <c r="L78" s="34" t="s">
        <v>5776</v>
      </c>
      <c r="M78" s="34" t="s">
        <v>1894</v>
      </c>
      <c r="N78" s="34" t="s">
        <v>6000</v>
      </c>
      <c r="O78" s="34" t="s">
        <v>4826</v>
      </c>
      <c r="P78" s="34" t="s">
        <v>5837</v>
      </c>
      <c r="Q78" s="34" t="s">
        <v>3049</v>
      </c>
      <c r="R78" s="34" t="s">
        <v>2012</v>
      </c>
      <c r="S78" s="34" t="s">
        <v>4454</v>
      </c>
      <c r="T78" s="34" t="s">
        <v>5547</v>
      </c>
      <c r="U78" s="34" t="s">
        <v>1636</v>
      </c>
      <c r="V78" s="34" t="s">
        <v>6910</v>
      </c>
      <c r="W78" s="34" t="s">
        <v>6997</v>
      </c>
      <c r="X78" s="34" t="s">
        <v>7088</v>
      </c>
      <c r="Y78" s="34" t="s">
        <v>1051</v>
      </c>
      <c r="Z78" s="34" t="s">
        <v>7273</v>
      </c>
      <c r="AA78" s="34" t="s">
        <v>7372</v>
      </c>
      <c r="AB78" s="34" t="s">
        <v>7464</v>
      </c>
      <c r="AC78" s="34" t="s">
        <v>5959</v>
      </c>
      <c r="AD78" s="34" t="s">
        <v>7648</v>
      </c>
      <c r="AE78" s="34" t="s">
        <v>7738</v>
      </c>
      <c r="AF78" s="34" t="s">
        <v>7837</v>
      </c>
      <c r="AG78" s="34" t="s">
        <v>2837</v>
      </c>
      <c r="AH78" s="34" t="s">
        <v>2356</v>
      </c>
      <c r="AI78" s="34" t="s">
        <v>4243</v>
      </c>
      <c r="AJ78" s="34" t="s">
        <v>4527</v>
      </c>
      <c r="AK78" s="34" t="s">
        <v>1908</v>
      </c>
      <c r="AM78" s="6" t="s">
        <v>3116</v>
      </c>
      <c r="AN78" s="6" t="s">
        <v>7913</v>
      </c>
      <c r="AP78" s="6" t="s">
        <v>252</v>
      </c>
    </row>
    <row r="79" customFormat="false" ht="15" hidden="false" customHeight="true" outlineLevel="0" collapsed="false">
      <c r="A79" s="6" t="s">
        <v>334</v>
      </c>
      <c r="B79" s="6" t="s">
        <v>6704</v>
      </c>
      <c r="C79" s="6" t="s">
        <v>6825</v>
      </c>
      <c r="D79" s="6" t="s">
        <v>3363</v>
      </c>
      <c r="E79" s="6" t="s">
        <v>3679</v>
      </c>
      <c r="F79" s="6" t="s">
        <v>4926</v>
      </c>
      <c r="G79" s="6" t="s">
        <v>5833</v>
      </c>
      <c r="H79" s="6" t="s">
        <v>1552</v>
      </c>
      <c r="I79" s="6" t="s">
        <v>3295</v>
      </c>
      <c r="J79" s="34" t="s">
        <v>3561</v>
      </c>
      <c r="K79" s="34" t="s">
        <v>4876</v>
      </c>
      <c r="L79" s="34" t="s">
        <v>5900</v>
      </c>
      <c r="M79" s="34" t="s">
        <v>1936</v>
      </c>
      <c r="N79" s="34" t="s">
        <v>3344</v>
      </c>
      <c r="O79" s="34" t="s">
        <v>4879</v>
      </c>
      <c r="P79" s="34" t="s">
        <v>5848</v>
      </c>
      <c r="Q79" s="34" t="s">
        <v>3125</v>
      </c>
      <c r="R79" s="34" t="s">
        <v>2181</v>
      </c>
      <c r="S79" s="34" t="s">
        <v>4630</v>
      </c>
      <c r="T79" s="34" t="s">
        <v>5559</v>
      </c>
      <c r="U79" s="34" t="s">
        <v>1463</v>
      </c>
      <c r="V79" s="34" t="s">
        <v>6911</v>
      </c>
      <c r="W79" s="34" t="s">
        <v>6998</v>
      </c>
      <c r="X79" s="34" t="s">
        <v>7089</v>
      </c>
      <c r="Y79" s="34" t="s">
        <v>1356</v>
      </c>
      <c r="Z79" s="34" t="s">
        <v>7274</v>
      </c>
      <c r="AA79" s="34" t="s">
        <v>7373</v>
      </c>
      <c r="AB79" s="34" t="s">
        <v>7465</v>
      </c>
      <c r="AC79" s="34" t="s">
        <v>7555</v>
      </c>
      <c r="AD79" s="34" t="s">
        <v>7649</v>
      </c>
      <c r="AE79" s="34" t="s">
        <v>7739</v>
      </c>
      <c r="AF79" s="34" t="s">
        <v>7838</v>
      </c>
      <c r="AG79" s="34" t="s">
        <v>2848</v>
      </c>
      <c r="AH79" s="34" t="s">
        <v>2362</v>
      </c>
      <c r="AI79" s="34" t="s">
        <v>4254</v>
      </c>
      <c r="AJ79" s="34" t="s">
        <v>4538</v>
      </c>
      <c r="AK79" s="34" t="s">
        <v>1583</v>
      </c>
      <c r="AM79" s="6" t="s">
        <v>3333</v>
      </c>
      <c r="AN79" s="6" t="s">
        <v>193</v>
      </c>
      <c r="AP79" s="6" t="s">
        <v>281</v>
      </c>
    </row>
    <row r="80" customFormat="false" ht="15" hidden="false" customHeight="true" outlineLevel="0" collapsed="false">
      <c r="A80" s="6" t="s">
        <v>6582</v>
      </c>
      <c r="B80" s="6" t="s">
        <v>6705</v>
      </c>
      <c r="C80" s="6" t="s">
        <v>6826</v>
      </c>
      <c r="D80" s="6" t="s">
        <v>3374</v>
      </c>
      <c r="E80" s="6" t="s">
        <v>3711</v>
      </c>
      <c r="F80" s="6" t="s">
        <v>4956</v>
      </c>
      <c r="G80" s="6" t="s">
        <v>5844</v>
      </c>
      <c r="H80" s="6" t="s">
        <v>1692</v>
      </c>
      <c r="I80" s="6" t="s">
        <v>3330</v>
      </c>
      <c r="J80" s="34" t="s">
        <v>3596</v>
      </c>
      <c r="K80" s="34" t="s">
        <v>4887</v>
      </c>
      <c r="L80" s="34" t="s">
        <v>5788</v>
      </c>
      <c r="M80" s="34" t="s">
        <v>1669</v>
      </c>
      <c r="N80" s="34" t="s">
        <v>3356</v>
      </c>
      <c r="O80" s="34" t="s">
        <v>4838</v>
      </c>
      <c r="P80" s="34" t="s">
        <v>5926</v>
      </c>
      <c r="Q80" s="34" t="s">
        <v>3091</v>
      </c>
      <c r="R80" s="34" t="s">
        <v>2019</v>
      </c>
      <c r="S80" s="34" t="s">
        <v>4642</v>
      </c>
      <c r="T80" s="34" t="s">
        <v>5579</v>
      </c>
      <c r="U80" s="34" t="s">
        <v>1931</v>
      </c>
      <c r="V80" s="34" t="s">
        <v>6912</v>
      </c>
      <c r="W80" s="34" t="s">
        <v>6999</v>
      </c>
      <c r="X80" s="34" t="s">
        <v>7090</v>
      </c>
      <c r="Y80" s="34" t="s">
        <v>7183</v>
      </c>
      <c r="Z80" s="34" t="s">
        <v>7275</v>
      </c>
      <c r="AA80" s="34" t="s">
        <v>7374</v>
      </c>
      <c r="AB80" s="34" t="s">
        <v>7466</v>
      </c>
      <c r="AC80" s="34" t="s">
        <v>7556</v>
      </c>
      <c r="AD80" s="34" t="s">
        <v>7650</v>
      </c>
      <c r="AE80" s="34" t="s">
        <v>7740</v>
      </c>
      <c r="AF80" s="34" t="s">
        <v>7839</v>
      </c>
      <c r="AG80" s="34" t="s">
        <v>2859</v>
      </c>
      <c r="AH80" s="34" t="s">
        <v>2026</v>
      </c>
      <c r="AI80" s="34" t="s">
        <v>4265</v>
      </c>
      <c r="AJ80" s="34" t="s">
        <v>4548</v>
      </c>
      <c r="AK80" s="34" t="s">
        <v>1591</v>
      </c>
      <c r="AM80" s="6" t="s">
        <v>3367</v>
      </c>
      <c r="AN80" s="6" t="s">
        <v>188</v>
      </c>
      <c r="AP80" s="6" t="s">
        <v>280</v>
      </c>
    </row>
    <row r="81" customFormat="false" ht="15" hidden="false" customHeight="true" outlineLevel="0" collapsed="false">
      <c r="A81" s="6" t="s">
        <v>6583</v>
      </c>
      <c r="B81" s="6" t="s">
        <v>6707</v>
      </c>
      <c r="C81" s="6" t="s">
        <v>312</v>
      </c>
      <c r="D81" s="6" t="s">
        <v>3417</v>
      </c>
      <c r="E81" s="6" t="s">
        <v>3632</v>
      </c>
      <c r="F81" s="6" t="s">
        <v>4968</v>
      </c>
      <c r="G81" s="6" t="s">
        <v>5922</v>
      </c>
      <c r="H81" s="6" t="s">
        <v>1559</v>
      </c>
      <c r="I81" s="6" t="s">
        <v>5997</v>
      </c>
      <c r="J81" s="34" t="s">
        <v>3573</v>
      </c>
      <c r="K81" s="34" t="s">
        <v>4835</v>
      </c>
      <c r="L81" s="34" t="s">
        <v>5878</v>
      </c>
      <c r="M81" s="34" t="s">
        <v>1724</v>
      </c>
      <c r="N81" s="34" t="s">
        <v>3367</v>
      </c>
      <c r="O81" s="34" t="s">
        <v>4848</v>
      </c>
      <c r="P81" s="34" t="s">
        <v>5859</v>
      </c>
      <c r="Q81" s="34" t="s">
        <v>3135</v>
      </c>
      <c r="R81" s="34" t="s">
        <v>2133</v>
      </c>
      <c r="S81" s="34" t="s">
        <v>4653</v>
      </c>
      <c r="T81" s="34" t="s">
        <v>5615</v>
      </c>
      <c r="U81" s="34" t="s">
        <v>1835</v>
      </c>
      <c r="V81" s="34" t="s">
        <v>6913</v>
      </c>
      <c r="W81" s="34" t="s">
        <v>7000</v>
      </c>
      <c r="X81" s="34" t="s">
        <v>7091</v>
      </c>
      <c r="Y81" s="34" t="s">
        <v>7184</v>
      </c>
      <c r="Z81" s="34" t="s">
        <v>7276</v>
      </c>
      <c r="AA81" s="34" t="s">
        <v>7375</v>
      </c>
      <c r="AB81" s="34" t="s">
        <v>272</v>
      </c>
      <c r="AC81" s="34" t="s">
        <v>7557</v>
      </c>
      <c r="AD81" s="34" t="s">
        <v>7651</v>
      </c>
      <c r="AE81" s="34" t="s">
        <v>7741</v>
      </c>
      <c r="AF81" s="34" t="s">
        <v>7840</v>
      </c>
      <c r="AG81" s="34" t="s">
        <v>2872</v>
      </c>
      <c r="AH81" s="34" t="s">
        <v>2332</v>
      </c>
      <c r="AI81" s="34" t="s">
        <v>4277</v>
      </c>
      <c r="AJ81" s="34" t="s">
        <v>4558</v>
      </c>
      <c r="AK81" s="34" t="s">
        <v>1770</v>
      </c>
      <c r="AM81" s="6" t="s">
        <v>4060</v>
      </c>
      <c r="AN81" s="6" t="s">
        <v>228</v>
      </c>
      <c r="AP81" s="6" t="s">
        <v>7802</v>
      </c>
    </row>
    <row r="82" customFormat="false" ht="15" hidden="false" customHeight="true" outlineLevel="0" collapsed="false">
      <c r="A82" s="6" t="s">
        <v>6585</v>
      </c>
      <c r="B82" s="6" t="s">
        <v>6709</v>
      </c>
      <c r="C82" s="6" t="s">
        <v>305</v>
      </c>
      <c r="D82" s="6" t="s">
        <v>3429</v>
      </c>
      <c r="E82" s="6" t="s">
        <v>3642</v>
      </c>
      <c r="F82" s="6" t="s">
        <v>4978</v>
      </c>
      <c r="G82" s="6" t="s">
        <v>5855</v>
      </c>
      <c r="H82" s="6" t="s">
        <v>1477</v>
      </c>
      <c r="I82" s="6" t="s">
        <v>3396</v>
      </c>
      <c r="J82" s="34" t="s">
        <v>3583</v>
      </c>
      <c r="K82" s="34" t="s">
        <v>4845</v>
      </c>
      <c r="L82" s="34" t="s">
        <v>5890</v>
      </c>
      <c r="M82" s="34" t="s">
        <v>1677</v>
      </c>
      <c r="N82" s="34" t="s">
        <v>3378</v>
      </c>
      <c r="O82" s="34" t="s">
        <v>4857</v>
      </c>
      <c r="P82" s="34" t="s">
        <v>5870</v>
      </c>
      <c r="Q82" s="34" t="s">
        <v>3145</v>
      </c>
      <c r="R82" s="34" t="s">
        <v>2378</v>
      </c>
      <c r="S82" s="34" t="s">
        <v>4665</v>
      </c>
      <c r="T82" s="34" t="s">
        <v>5594</v>
      </c>
      <c r="U82" s="34" t="s">
        <v>1841</v>
      </c>
      <c r="V82" s="34" t="s">
        <v>6914</v>
      </c>
      <c r="W82" s="34" t="s">
        <v>7001</v>
      </c>
      <c r="X82" s="34" t="s">
        <v>7092</v>
      </c>
      <c r="Y82" s="34" t="s">
        <v>7185</v>
      </c>
      <c r="Z82" s="34" t="s">
        <v>7277</v>
      </c>
      <c r="AA82" s="34" t="s">
        <v>7376</v>
      </c>
      <c r="AB82" s="34" t="s">
        <v>7467</v>
      </c>
      <c r="AC82" s="34" t="s">
        <v>7558</v>
      </c>
      <c r="AD82" s="34" t="s">
        <v>7652</v>
      </c>
      <c r="AE82" s="34" t="s">
        <v>7742</v>
      </c>
      <c r="AF82" s="34" t="s">
        <v>7841</v>
      </c>
      <c r="AG82" s="34" t="s">
        <v>2884</v>
      </c>
      <c r="AH82" s="34" t="s">
        <v>2147</v>
      </c>
      <c r="AI82" s="34" t="s">
        <v>4290</v>
      </c>
      <c r="AJ82" s="34" t="s">
        <v>4568</v>
      </c>
      <c r="AK82" s="34" t="s">
        <v>1776</v>
      </c>
      <c r="AM82" s="6" t="s">
        <v>4057</v>
      </c>
      <c r="AN82" s="6" t="s">
        <v>194</v>
      </c>
      <c r="AP82" s="6" t="s">
        <v>7799</v>
      </c>
    </row>
    <row r="83" customFormat="false" ht="15" hidden="false" customHeight="true" outlineLevel="0" collapsed="false">
      <c r="A83" s="6" t="s">
        <v>6586</v>
      </c>
      <c r="B83" s="6" t="s">
        <v>6710</v>
      </c>
      <c r="C83" s="6" t="s">
        <v>310</v>
      </c>
      <c r="D83" s="6" t="s">
        <v>3462</v>
      </c>
      <c r="E83" s="6" t="s">
        <v>3722</v>
      </c>
      <c r="F83" s="6" t="s">
        <v>4988</v>
      </c>
      <c r="G83" s="6" t="s">
        <v>5866</v>
      </c>
      <c r="H83" s="6" t="s">
        <v>1698</v>
      </c>
      <c r="I83" s="6" t="s">
        <v>3407</v>
      </c>
      <c r="J83" s="34" t="s">
        <v>3608</v>
      </c>
      <c r="K83" s="34" t="s">
        <v>4854</v>
      </c>
      <c r="L83" s="34" t="s">
        <v>5912</v>
      </c>
      <c r="M83" s="34" t="s">
        <v>1737</v>
      </c>
      <c r="N83" s="34" t="s">
        <v>3421</v>
      </c>
      <c r="O83" s="34" t="s">
        <v>4945</v>
      </c>
      <c r="P83" s="34" t="s">
        <v>6012</v>
      </c>
      <c r="Q83" s="34" t="s">
        <v>3155</v>
      </c>
      <c r="R83" s="34" t="s">
        <v>2127</v>
      </c>
      <c r="S83" s="34" t="s">
        <v>4750</v>
      </c>
      <c r="T83" s="34" t="s">
        <v>5604</v>
      </c>
      <c r="U83" s="34" t="s">
        <v>1853</v>
      </c>
      <c r="V83" s="34" t="s">
        <v>6915</v>
      </c>
      <c r="W83" s="34" t="s">
        <v>7002</v>
      </c>
      <c r="X83" s="34" t="s">
        <v>7093</v>
      </c>
      <c r="Y83" s="34" t="s">
        <v>7186</v>
      </c>
      <c r="Z83" s="34" t="s">
        <v>7278</v>
      </c>
      <c r="AA83" s="34" t="s">
        <v>7377</v>
      </c>
      <c r="AB83" s="34" t="s">
        <v>7468</v>
      </c>
      <c r="AC83" s="34" t="s">
        <v>7559</v>
      </c>
      <c r="AD83" s="34" t="s">
        <v>7653</v>
      </c>
      <c r="AE83" s="34" t="s">
        <v>7743</v>
      </c>
      <c r="AF83" s="34" t="s">
        <v>7842</v>
      </c>
      <c r="AG83" s="34" t="s">
        <v>2896</v>
      </c>
      <c r="AH83" s="34" t="s">
        <v>2415</v>
      </c>
      <c r="AI83" s="34" t="s">
        <v>4302</v>
      </c>
      <c r="AJ83" s="34" t="s">
        <v>4578</v>
      </c>
      <c r="AK83" s="34" t="s">
        <v>1878</v>
      </c>
      <c r="AM83" s="6" t="s">
        <v>5400</v>
      </c>
      <c r="AN83" s="6" t="s">
        <v>213</v>
      </c>
      <c r="AP83" s="6" t="s">
        <v>283</v>
      </c>
    </row>
    <row r="84" customFormat="false" ht="15" hidden="false" customHeight="true" outlineLevel="0" collapsed="false">
      <c r="A84" s="6" t="s">
        <v>4392</v>
      </c>
      <c r="B84" s="6" t="s">
        <v>6712</v>
      </c>
      <c r="C84" s="6" t="s">
        <v>303</v>
      </c>
      <c r="D84" s="6" t="s">
        <v>3440</v>
      </c>
      <c r="E84" s="6" t="s">
        <v>3668</v>
      </c>
      <c r="F84" s="6" t="s">
        <v>5003</v>
      </c>
      <c r="G84" s="6" t="s">
        <v>6008</v>
      </c>
      <c r="H84" s="6" t="s">
        <v>1705</v>
      </c>
      <c r="I84" s="6" t="s">
        <v>3386</v>
      </c>
      <c r="J84" s="34" t="s">
        <v>3691</v>
      </c>
      <c r="K84" s="34" t="s">
        <v>4942</v>
      </c>
      <c r="L84" s="34" t="s">
        <v>5799</v>
      </c>
      <c r="M84" s="34" t="s">
        <v>1546</v>
      </c>
      <c r="N84" s="34" t="s">
        <v>3433</v>
      </c>
      <c r="O84" s="34" t="s">
        <v>4901</v>
      </c>
      <c r="P84" s="34" t="s">
        <v>6024</v>
      </c>
      <c r="Q84" s="34" t="s">
        <v>3114</v>
      </c>
      <c r="R84" s="34" t="s">
        <v>2306</v>
      </c>
      <c r="S84" s="34" t="s">
        <v>4729</v>
      </c>
      <c r="T84" s="34" t="s">
        <v>5625</v>
      </c>
      <c r="U84" s="34" t="s">
        <v>1718</v>
      </c>
      <c r="V84" s="34" t="s">
        <v>6916</v>
      </c>
      <c r="W84" s="34" t="s">
        <v>7003</v>
      </c>
      <c r="X84" s="34" t="s">
        <v>7094</v>
      </c>
      <c r="Y84" s="34" t="s">
        <v>7187</v>
      </c>
      <c r="Z84" s="34" t="s">
        <v>7279</v>
      </c>
      <c r="AA84" s="34" t="s">
        <v>7378</v>
      </c>
      <c r="AB84" s="34" t="s">
        <v>7469</v>
      </c>
      <c r="AC84" s="34" t="s">
        <v>7560</v>
      </c>
      <c r="AD84" s="34" t="s">
        <v>7654</v>
      </c>
      <c r="AE84" s="34" t="s">
        <v>7744</v>
      </c>
      <c r="AF84" s="34" t="s">
        <v>7843</v>
      </c>
      <c r="AG84" s="34" t="s">
        <v>2909</v>
      </c>
      <c r="AH84" s="34" t="s">
        <v>2114</v>
      </c>
      <c r="AI84" s="34" t="s">
        <v>4314</v>
      </c>
      <c r="AJ84" s="34" t="s">
        <v>4588</v>
      </c>
      <c r="AK84" s="34" t="s">
        <v>1806</v>
      </c>
      <c r="AM84" s="6" t="s">
        <v>5397</v>
      </c>
      <c r="AN84" s="6" t="s">
        <v>229</v>
      </c>
      <c r="AP84" s="6" t="s">
        <v>282</v>
      </c>
    </row>
    <row r="85" customFormat="false" ht="15" hidden="false" customHeight="true" outlineLevel="0" collapsed="false">
      <c r="A85" s="6" t="s">
        <v>6589</v>
      </c>
      <c r="B85" s="6" t="s">
        <v>6713</v>
      </c>
      <c r="C85" s="6" t="s">
        <v>6827</v>
      </c>
      <c r="D85" s="6" t="s">
        <v>3450</v>
      </c>
      <c r="E85" s="6" t="s">
        <v>3657</v>
      </c>
      <c r="F85" s="6" t="s">
        <v>5018</v>
      </c>
      <c r="G85" s="6" t="s">
        <v>6020</v>
      </c>
      <c r="H85" s="6" t="s">
        <v>1791</v>
      </c>
      <c r="I85" s="6" t="s">
        <v>3353</v>
      </c>
      <c r="J85" s="34" t="s">
        <v>3621</v>
      </c>
      <c r="K85" s="34" t="s">
        <v>4898</v>
      </c>
      <c r="L85" s="34" t="s">
        <v>5811</v>
      </c>
      <c r="M85" s="34" t="s">
        <v>1684</v>
      </c>
      <c r="N85" s="34" t="s">
        <v>3444</v>
      </c>
      <c r="O85" s="34" t="s">
        <v>4908</v>
      </c>
      <c r="P85" s="34" t="s">
        <v>6035</v>
      </c>
      <c r="Q85" s="34" t="s">
        <v>3165</v>
      </c>
      <c r="R85" s="34" t="s">
        <v>2247</v>
      </c>
      <c r="S85" s="34" t="s">
        <v>4802</v>
      </c>
      <c r="T85" s="34" t="s">
        <v>4607</v>
      </c>
      <c r="U85" s="34" t="s">
        <v>1745</v>
      </c>
      <c r="V85" s="34" t="s">
        <v>6917</v>
      </c>
      <c r="W85" s="34" t="s">
        <v>7004</v>
      </c>
      <c r="X85" s="34" t="s">
        <v>7095</v>
      </c>
      <c r="Y85" s="34" t="s">
        <v>7188</v>
      </c>
      <c r="Z85" s="34" t="s">
        <v>7280</v>
      </c>
      <c r="AA85" s="34" t="s">
        <v>7379</v>
      </c>
      <c r="AB85" s="34" t="s">
        <v>7470</v>
      </c>
      <c r="AC85" s="34" t="s">
        <v>7561</v>
      </c>
      <c r="AD85" s="34" t="s">
        <v>274</v>
      </c>
      <c r="AE85" s="34" t="s">
        <v>7745</v>
      </c>
      <c r="AF85" s="34" t="s">
        <v>7844</v>
      </c>
      <c r="AG85" s="34" t="s">
        <v>2922</v>
      </c>
      <c r="AH85" s="34" t="s">
        <v>2301</v>
      </c>
      <c r="AI85" s="34" t="s">
        <v>4325</v>
      </c>
      <c r="AJ85" s="34" t="s">
        <v>4598</v>
      </c>
      <c r="AK85" s="34" t="s">
        <v>1599</v>
      </c>
      <c r="AM85" s="6" t="s">
        <v>2486</v>
      </c>
      <c r="AN85" s="6" t="s">
        <v>7914</v>
      </c>
      <c r="AP85" s="6" t="s">
        <v>7137</v>
      </c>
    </row>
    <row r="86" customFormat="false" ht="15" hidden="false" customHeight="true" outlineLevel="0" collapsed="false">
      <c r="A86" s="6" t="s">
        <v>6591</v>
      </c>
      <c r="B86" s="6" t="s">
        <v>6714</v>
      </c>
      <c r="C86" s="6" t="s">
        <v>6828</v>
      </c>
      <c r="D86" s="6" t="s">
        <v>3483</v>
      </c>
      <c r="E86" s="6" t="s">
        <v>3853</v>
      </c>
      <c r="F86" s="6" t="s">
        <v>5034</v>
      </c>
      <c r="G86" s="6" t="s">
        <v>6031</v>
      </c>
      <c r="H86" s="6" t="s">
        <v>1755</v>
      </c>
      <c r="I86" s="6" t="s">
        <v>3364</v>
      </c>
      <c r="J86" s="34" t="s">
        <v>3702</v>
      </c>
      <c r="K86" s="34" t="s">
        <v>4916</v>
      </c>
      <c r="L86" s="34" t="s">
        <v>5823</v>
      </c>
      <c r="M86" s="34" t="s">
        <v>1750</v>
      </c>
      <c r="N86" s="34" t="s">
        <v>3454</v>
      </c>
      <c r="O86" s="34" t="s">
        <v>4919</v>
      </c>
      <c r="P86" s="34" t="s">
        <v>6046</v>
      </c>
      <c r="Q86" s="34" t="s">
        <v>3103</v>
      </c>
      <c r="R86" s="34" t="s">
        <v>2120</v>
      </c>
      <c r="S86" s="34" t="s">
        <v>4678</v>
      </c>
      <c r="T86" s="34" t="s">
        <v>5637</v>
      </c>
      <c r="U86" s="34" t="s">
        <v>1642</v>
      </c>
      <c r="V86" s="34" t="s">
        <v>6918</v>
      </c>
      <c r="W86" s="34" t="s">
        <v>7005</v>
      </c>
      <c r="X86" s="34" t="s">
        <v>7096</v>
      </c>
      <c r="Y86" s="34" t="s">
        <v>7189</v>
      </c>
      <c r="Z86" s="34" t="s">
        <v>7281</v>
      </c>
      <c r="AA86" s="34" t="s">
        <v>7380</v>
      </c>
      <c r="AB86" s="34" t="s">
        <v>7471</v>
      </c>
      <c r="AC86" s="34" t="s">
        <v>7562</v>
      </c>
      <c r="AD86" s="34" t="s">
        <v>7655</v>
      </c>
      <c r="AE86" s="34" t="s">
        <v>7746</v>
      </c>
      <c r="AF86" s="34" t="s">
        <v>568</v>
      </c>
      <c r="AG86" s="34" t="s">
        <v>2960</v>
      </c>
      <c r="AH86" s="34" t="s">
        <v>2140</v>
      </c>
      <c r="AI86" s="34" t="s">
        <v>4334</v>
      </c>
      <c r="AJ86" s="34" t="s">
        <v>5424</v>
      </c>
      <c r="AK86" s="34" t="s">
        <v>1914</v>
      </c>
      <c r="AM86" s="6" t="s">
        <v>2972</v>
      </c>
      <c r="AN86" s="6" t="s">
        <v>7915</v>
      </c>
      <c r="AP86" s="6" t="s">
        <v>7134</v>
      </c>
    </row>
    <row r="87" customFormat="false" ht="15" hidden="false" customHeight="true" outlineLevel="0" collapsed="false">
      <c r="A87" s="6" t="s">
        <v>6593</v>
      </c>
      <c r="B87" s="6" t="s">
        <v>6716</v>
      </c>
      <c r="C87" s="6" t="s">
        <v>6829</v>
      </c>
      <c r="D87" s="6" t="s">
        <v>3472</v>
      </c>
      <c r="E87" s="6" t="s">
        <v>3864</v>
      </c>
      <c r="F87" s="6" t="s">
        <v>5052</v>
      </c>
      <c r="G87" s="6" t="s">
        <v>6042</v>
      </c>
      <c r="H87" s="6" t="s">
        <v>1827</v>
      </c>
      <c r="I87" s="6" t="s">
        <v>3341</v>
      </c>
      <c r="J87" s="34" t="s">
        <v>3680</v>
      </c>
      <c r="K87" s="34" t="s">
        <v>4927</v>
      </c>
      <c r="L87" s="34" t="s">
        <v>5834</v>
      </c>
      <c r="M87" s="34" t="s">
        <v>1553</v>
      </c>
      <c r="N87" s="34" t="s">
        <v>3487</v>
      </c>
      <c r="O87" s="34" t="s">
        <v>4930</v>
      </c>
      <c r="P87" s="34" t="s">
        <v>6058</v>
      </c>
      <c r="Q87" s="34" t="s">
        <v>3176</v>
      </c>
      <c r="R87" s="34" t="s">
        <v>2067</v>
      </c>
      <c r="S87" s="34" t="s">
        <v>4687</v>
      </c>
      <c r="T87" s="34" t="s">
        <v>5648</v>
      </c>
      <c r="U87" s="34" t="s">
        <v>1500</v>
      </c>
      <c r="V87" s="34" t="s">
        <v>6919</v>
      </c>
      <c r="W87" s="34" t="s">
        <v>7006</v>
      </c>
      <c r="X87" s="34" t="s">
        <v>7097</v>
      </c>
      <c r="Y87" s="34" t="s">
        <v>7190</v>
      </c>
      <c r="Z87" s="34" t="s">
        <v>7282</v>
      </c>
      <c r="AA87" s="34" t="s">
        <v>7381</v>
      </c>
      <c r="AB87" s="34" t="s">
        <v>7472</v>
      </c>
      <c r="AC87" s="34" t="s">
        <v>7563</v>
      </c>
      <c r="AD87" s="34" t="s">
        <v>7656</v>
      </c>
      <c r="AE87" s="34" t="s">
        <v>7747</v>
      </c>
      <c r="AF87" s="34" t="s">
        <v>7845</v>
      </c>
      <c r="AG87" s="34" t="s">
        <v>269</v>
      </c>
      <c r="AH87" s="34" t="s">
        <v>2053</v>
      </c>
      <c r="AI87" s="34" t="s">
        <v>4346</v>
      </c>
      <c r="AJ87" s="34" t="s">
        <v>5437</v>
      </c>
      <c r="AK87" s="34" t="s">
        <v>1848</v>
      </c>
      <c r="AM87" s="6" t="s">
        <v>3275</v>
      </c>
      <c r="AN87" s="6" t="s">
        <v>7916</v>
      </c>
      <c r="AP87" s="6" t="s">
        <v>7545</v>
      </c>
    </row>
    <row r="88" customFormat="false" ht="15" hidden="false" customHeight="true" outlineLevel="0" collapsed="false">
      <c r="A88" s="6" t="s">
        <v>6594</v>
      </c>
      <c r="B88" s="6" t="s">
        <v>6717</v>
      </c>
      <c r="C88" s="6" t="s">
        <v>6830</v>
      </c>
      <c r="D88" s="6" t="s">
        <v>3504</v>
      </c>
      <c r="E88" s="6" t="s">
        <v>3876</v>
      </c>
      <c r="F88" s="6" t="s">
        <v>5987</v>
      </c>
      <c r="G88" s="6" t="s">
        <v>6054</v>
      </c>
      <c r="H88" s="6" t="s">
        <v>1505</v>
      </c>
      <c r="I88" s="6" t="s">
        <v>3375</v>
      </c>
      <c r="J88" s="34" t="s">
        <v>3712</v>
      </c>
      <c r="K88" s="34" t="s">
        <v>4957</v>
      </c>
      <c r="L88" s="34" t="s">
        <v>5845</v>
      </c>
      <c r="M88" s="34" t="s">
        <v>1693</v>
      </c>
      <c r="N88" s="34" t="s">
        <v>3476</v>
      </c>
      <c r="O88" s="34" t="s">
        <v>4960</v>
      </c>
      <c r="P88" s="34" t="s">
        <v>6069</v>
      </c>
      <c r="Q88" s="34" t="s">
        <v>3235</v>
      </c>
      <c r="R88" s="34" t="s">
        <v>2274</v>
      </c>
      <c r="S88" s="34" t="s">
        <v>4761</v>
      </c>
      <c r="T88" s="34" t="s">
        <v>5659</v>
      </c>
      <c r="U88" s="34" t="s">
        <v>1925</v>
      </c>
      <c r="V88" s="34" t="s">
        <v>6920</v>
      </c>
      <c r="W88" s="34" t="s">
        <v>7007</v>
      </c>
      <c r="X88" s="34" t="s">
        <v>7098</v>
      </c>
      <c r="Y88" s="34" t="s">
        <v>7191</v>
      </c>
      <c r="Z88" s="34" t="s">
        <v>7283</v>
      </c>
      <c r="AA88" s="34" t="s">
        <v>7382</v>
      </c>
      <c r="AB88" s="34" t="s">
        <v>7473</v>
      </c>
      <c r="AC88" s="34" t="s">
        <v>7564</v>
      </c>
      <c r="AD88" s="34" t="s">
        <v>7657</v>
      </c>
      <c r="AE88" s="34" t="s">
        <v>7748</v>
      </c>
      <c r="AF88" s="34" t="s">
        <v>7846</v>
      </c>
      <c r="AG88" s="34" t="s">
        <v>2982</v>
      </c>
      <c r="AH88" s="34" t="s">
        <v>2409</v>
      </c>
      <c r="AI88" s="34" t="s">
        <v>4357</v>
      </c>
      <c r="AJ88" s="34" t="s">
        <v>5490</v>
      </c>
      <c r="AK88" s="34" t="s">
        <v>1606</v>
      </c>
      <c r="AM88" s="6" t="s">
        <v>3521</v>
      </c>
      <c r="AN88" s="6" t="s">
        <v>218</v>
      </c>
      <c r="AP88" s="6" t="s">
        <v>7543</v>
      </c>
    </row>
    <row r="89" customFormat="false" ht="15" hidden="false" customHeight="true" outlineLevel="0" collapsed="false">
      <c r="A89" s="6" t="s">
        <v>6595</v>
      </c>
      <c r="B89" s="6" t="s">
        <v>6718</v>
      </c>
      <c r="C89" s="6" t="s">
        <v>298</v>
      </c>
      <c r="D89" s="6" t="s">
        <v>3494</v>
      </c>
      <c r="E89" s="6" t="s">
        <v>3887</v>
      </c>
      <c r="F89" s="6" t="s">
        <v>5965</v>
      </c>
      <c r="G89" s="6" t="s">
        <v>6065</v>
      </c>
      <c r="H89" s="6" t="s">
        <v>1435</v>
      </c>
      <c r="I89" s="6" t="s">
        <v>3418</v>
      </c>
      <c r="J89" s="34" t="s">
        <v>3633</v>
      </c>
      <c r="K89" s="34" t="s">
        <v>4969</v>
      </c>
      <c r="L89" s="34" t="s">
        <v>5923</v>
      </c>
      <c r="M89" s="34" t="s">
        <v>1560</v>
      </c>
      <c r="N89" s="34" t="s">
        <v>3508</v>
      </c>
      <c r="O89" s="34" t="s">
        <v>4972</v>
      </c>
      <c r="P89" s="34" t="s">
        <v>6080</v>
      </c>
      <c r="Q89" s="34" t="s">
        <v>3226</v>
      </c>
      <c r="R89" s="34" t="s">
        <v>2105</v>
      </c>
      <c r="S89" s="34" t="s">
        <v>4698</v>
      </c>
      <c r="T89" s="34" t="s">
        <v>5670</v>
      </c>
      <c r="U89" s="34" t="s">
        <v>1649</v>
      </c>
      <c r="V89" s="34" t="s">
        <v>6921</v>
      </c>
      <c r="W89" s="34" t="s">
        <v>7008</v>
      </c>
      <c r="X89" s="34" t="s">
        <v>7099</v>
      </c>
      <c r="Y89" s="34" t="s">
        <v>7192</v>
      </c>
      <c r="Z89" s="34" t="s">
        <v>7284</v>
      </c>
      <c r="AA89" s="34" t="s">
        <v>7383</v>
      </c>
      <c r="AB89" s="34" t="s">
        <v>7474</v>
      </c>
      <c r="AC89" s="34" t="s">
        <v>7565</v>
      </c>
      <c r="AD89" s="34" t="s">
        <v>7658</v>
      </c>
      <c r="AE89" s="34" t="s">
        <v>7749</v>
      </c>
      <c r="AF89" s="34" t="s">
        <v>7847</v>
      </c>
      <c r="AG89" s="34" t="s">
        <v>2938</v>
      </c>
      <c r="AH89" s="34" t="s">
        <v>2427</v>
      </c>
      <c r="AI89" s="34" t="s">
        <v>4368</v>
      </c>
      <c r="AJ89" s="34" t="s">
        <v>5479</v>
      </c>
      <c r="AK89" s="34" t="s">
        <v>1515</v>
      </c>
      <c r="AM89" s="6" t="s">
        <v>3624</v>
      </c>
      <c r="AN89" s="6" t="s">
        <v>7917</v>
      </c>
      <c r="AP89" s="6" t="s">
        <v>7481</v>
      </c>
    </row>
    <row r="90" customFormat="false" ht="15" hidden="false" customHeight="true" outlineLevel="0" collapsed="false">
      <c r="A90" s="6" t="s">
        <v>6597</v>
      </c>
      <c r="B90" s="6" t="s">
        <v>6720</v>
      </c>
      <c r="C90" s="6" t="s">
        <v>6831</v>
      </c>
      <c r="D90" s="6" t="s">
        <v>3517</v>
      </c>
      <c r="E90" s="6" t="s">
        <v>3738</v>
      </c>
      <c r="F90" s="6" t="s">
        <v>5944</v>
      </c>
      <c r="G90" s="6" t="s">
        <v>6076</v>
      </c>
      <c r="H90" s="6" t="s">
        <v>1761</v>
      </c>
      <c r="I90" s="6" t="s">
        <v>3430</v>
      </c>
      <c r="J90" s="34" t="s">
        <v>3723</v>
      </c>
      <c r="K90" s="34" t="s">
        <v>4979</v>
      </c>
      <c r="L90" s="34" t="s">
        <v>5856</v>
      </c>
      <c r="M90" s="34" t="s">
        <v>1478</v>
      </c>
      <c r="N90" s="34" t="s">
        <v>3498</v>
      </c>
      <c r="O90" s="34" t="s">
        <v>4982</v>
      </c>
      <c r="P90" s="34" t="s">
        <v>6091</v>
      </c>
      <c r="Q90" s="34" t="s">
        <v>3247</v>
      </c>
      <c r="R90" s="34" t="s">
        <v>2080</v>
      </c>
      <c r="S90" s="34" t="s">
        <v>4772</v>
      </c>
      <c r="T90" s="34" t="s">
        <v>5682</v>
      </c>
      <c r="U90" s="34" t="s">
        <v>1528</v>
      </c>
      <c r="V90" s="34" t="s">
        <v>6922</v>
      </c>
      <c r="W90" s="34" t="s">
        <v>7009</v>
      </c>
      <c r="X90" s="34" t="s">
        <v>7100</v>
      </c>
      <c r="Y90" s="34" t="s">
        <v>7193</v>
      </c>
      <c r="Z90" s="34" t="s">
        <v>7285</v>
      </c>
      <c r="AA90" s="34" t="s">
        <v>7384</v>
      </c>
      <c r="AB90" s="34" t="s">
        <v>7475</v>
      </c>
      <c r="AC90" s="34" t="s">
        <v>7566</v>
      </c>
      <c r="AD90" s="34" t="s">
        <v>7659</v>
      </c>
      <c r="AE90" s="34" t="s">
        <v>7750</v>
      </c>
      <c r="AF90" s="34" t="s">
        <v>7848</v>
      </c>
      <c r="AG90" s="34" t="s">
        <v>3027</v>
      </c>
      <c r="AH90" s="34" t="s">
        <v>2161</v>
      </c>
      <c r="AI90" s="34" t="s">
        <v>4379</v>
      </c>
      <c r="AJ90" s="34" t="s">
        <v>5448</v>
      </c>
      <c r="AK90" s="34" t="s">
        <v>1456</v>
      </c>
      <c r="AM90" s="6" t="s">
        <v>3621</v>
      </c>
      <c r="AN90" s="6" t="s">
        <v>202</v>
      </c>
      <c r="AP90" s="6" t="s">
        <v>254</v>
      </c>
    </row>
    <row r="91" customFormat="false" ht="15" hidden="false" customHeight="true" outlineLevel="0" collapsed="false">
      <c r="A91" s="6" t="s">
        <v>6599</v>
      </c>
      <c r="B91" s="6" t="s">
        <v>6722</v>
      </c>
      <c r="C91" s="6" t="s">
        <v>6832</v>
      </c>
      <c r="D91" s="6" t="s">
        <v>3527</v>
      </c>
      <c r="E91" s="6" t="s">
        <v>3751</v>
      </c>
      <c r="F91" s="6" t="s">
        <v>5954</v>
      </c>
      <c r="G91" s="6" t="s">
        <v>6087</v>
      </c>
      <c r="H91" s="6" t="s">
        <v>1881</v>
      </c>
      <c r="I91" s="6" t="s">
        <v>3463</v>
      </c>
      <c r="J91" s="34" t="s">
        <v>3669</v>
      </c>
      <c r="K91" s="34" t="s">
        <v>4989</v>
      </c>
      <c r="L91" s="34" t="s">
        <v>5867</v>
      </c>
      <c r="M91" s="34" t="s">
        <v>1699</v>
      </c>
      <c r="N91" s="34" t="s">
        <v>3521</v>
      </c>
      <c r="O91" s="34" t="s">
        <v>4992</v>
      </c>
      <c r="P91" s="34" t="s">
        <v>6102</v>
      </c>
      <c r="Q91" s="34" t="s">
        <v>3185</v>
      </c>
      <c r="R91" s="34" t="s">
        <v>2073</v>
      </c>
      <c r="S91" s="34" t="s">
        <v>4708</v>
      </c>
      <c r="T91" s="34" t="s">
        <v>5693</v>
      </c>
      <c r="U91" s="34" t="s">
        <v>1446</v>
      </c>
      <c r="V91" s="34" t="s">
        <v>6923</v>
      </c>
      <c r="W91" s="34" t="s">
        <v>7010</v>
      </c>
      <c r="X91" s="34" t="s">
        <v>7101</v>
      </c>
      <c r="Y91" s="34" t="s">
        <v>1013</v>
      </c>
      <c r="Z91" s="34" t="s">
        <v>7286</v>
      </c>
      <c r="AA91" s="34" t="s">
        <v>7385</v>
      </c>
      <c r="AB91" s="34" t="s">
        <v>7476</v>
      </c>
      <c r="AC91" s="34" t="s">
        <v>7567</v>
      </c>
      <c r="AD91" s="34" t="s">
        <v>7660</v>
      </c>
      <c r="AE91" s="34" t="s">
        <v>7751</v>
      </c>
      <c r="AF91" s="34" t="s">
        <v>7849</v>
      </c>
      <c r="AG91" s="34" t="s">
        <v>3038</v>
      </c>
      <c r="AH91" s="34" t="s">
        <v>1990</v>
      </c>
      <c r="AI91" s="34" t="s">
        <v>4390</v>
      </c>
      <c r="AJ91" s="34" t="s">
        <v>5511</v>
      </c>
      <c r="AK91" s="34" t="s">
        <v>1494</v>
      </c>
      <c r="AM91" s="6" t="s">
        <v>4749</v>
      </c>
      <c r="AN91" s="6" t="s">
        <v>214</v>
      </c>
      <c r="AP91" s="6" t="s">
        <v>279</v>
      </c>
    </row>
    <row r="92" customFormat="false" ht="15" hidden="false" customHeight="true" outlineLevel="0" collapsed="false">
      <c r="A92" s="6" t="s">
        <v>6601</v>
      </c>
      <c r="B92" s="6" t="s">
        <v>6724</v>
      </c>
      <c r="C92" s="6" t="s">
        <v>6833</v>
      </c>
      <c r="D92" s="6" t="s">
        <v>2291</v>
      </c>
      <c r="E92" s="6" t="s">
        <v>3763</v>
      </c>
      <c r="F92" s="6" t="s">
        <v>5064</v>
      </c>
      <c r="G92" s="6" t="s">
        <v>6098</v>
      </c>
      <c r="H92" s="6" t="s">
        <v>1785</v>
      </c>
      <c r="I92" s="6" t="s">
        <v>3441</v>
      </c>
      <c r="J92" s="34" t="s">
        <v>3658</v>
      </c>
      <c r="K92" s="34" t="s">
        <v>5004</v>
      </c>
      <c r="L92" s="34" t="s">
        <v>6009</v>
      </c>
      <c r="M92" s="34" t="s">
        <v>1706</v>
      </c>
      <c r="N92" s="34" t="s">
        <v>3531</v>
      </c>
      <c r="O92" s="34" t="s">
        <v>5007</v>
      </c>
      <c r="P92" s="34" t="s">
        <v>6113</v>
      </c>
      <c r="Q92" s="34" t="s">
        <v>3260</v>
      </c>
      <c r="R92" s="34" t="s">
        <v>2287</v>
      </c>
      <c r="S92" s="34" t="s">
        <v>4738</v>
      </c>
      <c r="T92" s="34" t="s">
        <v>5705</v>
      </c>
      <c r="U92" s="34" t="s">
        <v>1889</v>
      </c>
      <c r="V92" s="34" t="s">
        <v>6924</v>
      </c>
      <c r="W92" s="34" t="s">
        <v>7011</v>
      </c>
      <c r="X92" s="34" t="s">
        <v>7102</v>
      </c>
      <c r="Y92" s="34" t="s">
        <v>7194</v>
      </c>
      <c r="Z92" s="34" t="s">
        <v>7287</v>
      </c>
      <c r="AA92" s="34" t="s">
        <v>7386</v>
      </c>
      <c r="AB92" s="34" t="s">
        <v>7477</v>
      </c>
      <c r="AC92" s="34" t="s">
        <v>7568</v>
      </c>
      <c r="AD92" s="34" t="s">
        <v>7661</v>
      </c>
      <c r="AE92" s="34" t="s">
        <v>7752</v>
      </c>
      <c r="AF92" s="34" t="s">
        <v>7850</v>
      </c>
      <c r="AG92" s="34" t="s">
        <v>2948</v>
      </c>
      <c r="AH92" s="34" t="s">
        <v>2089</v>
      </c>
      <c r="AI92" s="34" t="s">
        <v>4620</v>
      </c>
      <c r="AJ92" s="34" t="s">
        <v>5469</v>
      </c>
      <c r="AK92" s="34" t="s">
        <v>1613</v>
      </c>
      <c r="AM92" s="6" t="s">
        <v>3080</v>
      </c>
      <c r="AN92" s="6" t="s">
        <v>208</v>
      </c>
      <c r="AP92" s="6" t="s">
        <v>278</v>
      </c>
    </row>
    <row r="93" customFormat="false" ht="15" hidden="false" customHeight="true" outlineLevel="0" collapsed="false">
      <c r="A93" s="6" t="s">
        <v>6603</v>
      </c>
      <c r="B93" s="6" t="s">
        <v>181</v>
      </c>
      <c r="C93" s="6" t="s">
        <v>6834</v>
      </c>
      <c r="D93" s="6" t="s">
        <v>1980</v>
      </c>
      <c r="E93" s="6" t="s">
        <v>3774</v>
      </c>
      <c r="F93" s="6" t="s">
        <v>5116</v>
      </c>
      <c r="G93" s="6" t="s">
        <v>6109</v>
      </c>
      <c r="H93" s="6" t="s">
        <v>1469</v>
      </c>
      <c r="I93" s="6" t="s">
        <v>3451</v>
      </c>
      <c r="J93" s="34" t="s">
        <v>3643</v>
      </c>
      <c r="K93" s="34" t="s">
        <v>5019</v>
      </c>
      <c r="L93" s="34" t="s">
        <v>6021</v>
      </c>
      <c r="M93" s="34" t="s">
        <v>1792</v>
      </c>
      <c r="N93" s="34" t="s">
        <v>3543</v>
      </c>
      <c r="O93" s="34" t="s">
        <v>5022</v>
      </c>
      <c r="P93" s="34" t="s">
        <v>6124</v>
      </c>
      <c r="Q93" s="34" t="s">
        <v>3215</v>
      </c>
      <c r="R93" s="34" t="s">
        <v>2060</v>
      </c>
      <c r="S93" s="34" t="s">
        <v>4718</v>
      </c>
      <c r="T93" s="34" t="s">
        <v>5716</v>
      </c>
      <c r="U93" s="34" t="s">
        <v>1919</v>
      </c>
      <c r="V93" s="34" t="s">
        <v>6925</v>
      </c>
      <c r="W93" s="34" t="s">
        <v>7012</v>
      </c>
      <c r="X93" s="34" t="s">
        <v>7103</v>
      </c>
      <c r="Y93" s="34" t="s">
        <v>7195</v>
      </c>
      <c r="Z93" s="34" t="s">
        <v>7288</v>
      </c>
      <c r="AA93" s="34" t="s">
        <v>7387</v>
      </c>
      <c r="AB93" s="34" t="s">
        <v>7478</v>
      </c>
      <c r="AC93" s="34" t="s">
        <v>7569</v>
      </c>
      <c r="AD93" s="34" t="s">
        <v>7662</v>
      </c>
      <c r="AE93" s="34" t="s">
        <v>7753</v>
      </c>
      <c r="AF93" s="34" t="s">
        <v>7851</v>
      </c>
      <c r="AG93" s="34" t="s">
        <v>3005</v>
      </c>
      <c r="AH93" s="34" t="s">
        <v>2235</v>
      </c>
      <c r="AI93" s="34" t="s">
        <v>4402</v>
      </c>
      <c r="AJ93" s="34" t="s">
        <v>5501</v>
      </c>
      <c r="AK93" s="34" t="s">
        <v>1619</v>
      </c>
      <c r="AM93" s="6" t="s">
        <v>3315</v>
      </c>
      <c r="AN93" s="6" t="s">
        <v>7918</v>
      </c>
      <c r="AP93" s="6" t="s">
        <v>285</v>
      </c>
    </row>
    <row r="94" customFormat="false" ht="15" hidden="false" customHeight="true" outlineLevel="0" collapsed="false">
      <c r="A94" s="6" t="s">
        <v>6604</v>
      </c>
      <c r="B94" s="6" t="s">
        <v>6727</v>
      </c>
      <c r="C94" s="6" t="s">
        <v>302</v>
      </c>
      <c r="D94" s="6" t="s">
        <v>2382</v>
      </c>
      <c r="E94" s="6" t="s">
        <v>3785</v>
      </c>
      <c r="F94" s="6" t="s">
        <v>5098</v>
      </c>
      <c r="G94" s="6" t="s">
        <v>6120</v>
      </c>
      <c r="H94" s="6" t="s">
        <v>1899</v>
      </c>
      <c r="I94" s="6" t="s">
        <v>3484</v>
      </c>
      <c r="J94" s="34" t="s">
        <v>3854</v>
      </c>
      <c r="K94" s="34" t="s">
        <v>5035</v>
      </c>
      <c r="L94" s="34" t="s">
        <v>6032</v>
      </c>
      <c r="M94" s="34" t="s">
        <v>1756</v>
      </c>
      <c r="N94" s="34" t="s">
        <v>3563</v>
      </c>
      <c r="O94" s="34" t="s">
        <v>5038</v>
      </c>
      <c r="P94" s="34" t="s">
        <v>6136</v>
      </c>
      <c r="Q94" s="34" t="s">
        <v>3197</v>
      </c>
      <c r="R94" s="34" t="s">
        <v>2313</v>
      </c>
      <c r="S94" s="34" t="s">
        <v>4782</v>
      </c>
      <c r="T94" s="34" t="s">
        <v>5728</v>
      </c>
      <c r="U94" s="34" t="s">
        <v>1658</v>
      </c>
      <c r="V94" s="34" t="s">
        <v>6926</v>
      </c>
      <c r="W94" s="34" t="s">
        <v>7013</v>
      </c>
      <c r="X94" s="34" t="s">
        <v>7104</v>
      </c>
      <c r="Y94" s="34" t="s">
        <v>7196</v>
      </c>
      <c r="Z94" s="34" t="s">
        <v>7289</v>
      </c>
      <c r="AA94" s="34" t="s">
        <v>7388</v>
      </c>
      <c r="AB94" s="34" t="s">
        <v>7479</v>
      </c>
      <c r="AC94" s="34" t="s">
        <v>7570</v>
      </c>
      <c r="AD94" s="34" t="s">
        <v>7663</v>
      </c>
      <c r="AE94" s="34" t="s">
        <v>7754</v>
      </c>
      <c r="AF94" s="34" t="s">
        <v>7852</v>
      </c>
      <c r="AG94" s="34" t="s">
        <v>3016</v>
      </c>
      <c r="AH94" s="34" t="s">
        <v>1998</v>
      </c>
      <c r="AI94" s="34" t="s">
        <v>4413</v>
      </c>
      <c r="AJ94" s="34" t="s">
        <v>5458</v>
      </c>
      <c r="AK94" s="34" t="s">
        <v>1732</v>
      </c>
      <c r="AM94" s="6" t="s">
        <v>4380</v>
      </c>
      <c r="AN94" s="6" t="s">
        <v>7919</v>
      </c>
      <c r="AP94" s="6" t="s">
        <v>284</v>
      </c>
    </row>
    <row r="95" customFormat="false" ht="15" hidden="false" customHeight="true" outlineLevel="0" collapsed="false">
      <c r="A95" s="6" t="s">
        <v>333</v>
      </c>
      <c r="B95" s="6" t="s">
        <v>183</v>
      </c>
      <c r="C95" s="6" t="s">
        <v>6835</v>
      </c>
      <c r="D95" s="6" t="s">
        <v>2317</v>
      </c>
      <c r="E95" s="6" t="s">
        <v>3797</v>
      </c>
      <c r="F95" s="6" t="s">
        <v>5076</v>
      </c>
      <c r="G95" s="6" t="s">
        <v>6132</v>
      </c>
      <c r="H95" s="6" t="s">
        <v>1821</v>
      </c>
      <c r="I95" s="6" t="s">
        <v>3473</v>
      </c>
      <c r="J95" s="34" t="s">
        <v>3865</v>
      </c>
      <c r="K95" s="34" t="s">
        <v>5053</v>
      </c>
      <c r="L95" s="34" t="s">
        <v>6043</v>
      </c>
      <c r="M95" s="34" t="s">
        <v>1828</v>
      </c>
      <c r="N95" s="34" t="s">
        <v>3576</v>
      </c>
      <c r="O95" s="34" t="s">
        <v>5056</v>
      </c>
      <c r="P95" s="34" t="s">
        <v>6148</v>
      </c>
      <c r="Q95" s="34" t="s">
        <v>3313</v>
      </c>
      <c r="R95" s="34" t="s">
        <v>2039</v>
      </c>
      <c r="S95" s="34" t="s">
        <v>4792</v>
      </c>
      <c r="T95" s="34" t="s">
        <v>5741</v>
      </c>
      <c r="U95" s="34" t="s">
        <v>1535</v>
      </c>
      <c r="V95" s="34" t="s">
        <v>6927</v>
      </c>
      <c r="W95" s="34" t="s">
        <v>7014</v>
      </c>
      <c r="X95" s="34" t="s">
        <v>7105</v>
      </c>
      <c r="Y95" s="34" t="s">
        <v>7197</v>
      </c>
      <c r="Z95" s="34" t="s">
        <v>7290</v>
      </c>
      <c r="AA95" s="34" t="s">
        <v>7389</v>
      </c>
      <c r="AB95" s="34" t="s">
        <v>7480</v>
      </c>
      <c r="AC95" s="34" t="s">
        <v>7571</v>
      </c>
      <c r="AD95" s="34" t="s">
        <v>7664</v>
      </c>
      <c r="AE95" s="34" t="s">
        <v>7755</v>
      </c>
      <c r="AF95" s="34" t="s">
        <v>7853</v>
      </c>
      <c r="AG95" s="34" t="s">
        <v>2971</v>
      </c>
      <c r="AH95" s="34" t="s">
        <v>2228</v>
      </c>
      <c r="AI95" s="34" t="s">
        <v>4424</v>
      </c>
      <c r="AJ95" s="34" t="s">
        <v>5523</v>
      </c>
      <c r="AK95" s="34" t="s">
        <v>1522</v>
      </c>
      <c r="AM95" s="6" t="s">
        <v>4377</v>
      </c>
      <c r="AN95" s="6" t="s">
        <v>7920</v>
      </c>
      <c r="AP95" s="6" t="s">
        <v>7143</v>
      </c>
    </row>
    <row r="96" customFormat="false" ht="15" hidden="false" customHeight="true" outlineLevel="0" collapsed="false">
      <c r="A96" s="6" t="s">
        <v>6605</v>
      </c>
      <c r="B96" s="6" t="s">
        <v>184</v>
      </c>
      <c r="C96" s="6" t="s">
        <v>311</v>
      </c>
      <c r="D96" s="6" t="s">
        <v>2323</v>
      </c>
      <c r="E96" s="6" t="s">
        <v>3808</v>
      </c>
      <c r="F96" s="6" t="s">
        <v>5107</v>
      </c>
      <c r="G96" s="6" t="s">
        <v>6144</v>
      </c>
      <c r="H96" s="6" t="s">
        <v>1869</v>
      </c>
      <c r="I96" s="6" t="s">
        <v>3505</v>
      </c>
      <c r="J96" s="34" t="s">
        <v>3877</v>
      </c>
      <c r="K96" s="34" t="s">
        <v>5988</v>
      </c>
      <c r="L96" s="34" t="s">
        <v>6055</v>
      </c>
      <c r="M96" s="34" t="s">
        <v>1506</v>
      </c>
      <c r="N96" s="34" t="s">
        <v>3586</v>
      </c>
      <c r="O96" s="34" t="s">
        <v>5969</v>
      </c>
      <c r="P96" s="34" t="s">
        <v>6159</v>
      </c>
      <c r="Q96" s="34" t="s">
        <v>3322</v>
      </c>
      <c r="R96" s="34" t="s">
        <v>2046</v>
      </c>
      <c r="S96" s="34" t="s">
        <v>4866</v>
      </c>
      <c r="T96" s="34" t="s">
        <v>5754</v>
      </c>
      <c r="U96" s="34" t="s">
        <v>1664</v>
      </c>
      <c r="V96" s="34" t="s">
        <v>6928</v>
      </c>
      <c r="W96" s="34" t="s">
        <v>7015</v>
      </c>
      <c r="X96" s="34" t="s">
        <v>7106</v>
      </c>
      <c r="Y96" s="34" t="s">
        <v>977</v>
      </c>
      <c r="Z96" s="34" t="s">
        <v>7291</v>
      </c>
      <c r="AA96" s="34" t="s">
        <v>7390</v>
      </c>
      <c r="AB96" s="34" t="s">
        <v>7481</v>
      </c>
      <c r="AC96" s="34" t="s">
        <v>7572</v>
      </c>
      <c r="AD96" s="34" t="s">
        <v>7665</v>
      </c>
      <c r="AE96" s="34" t="s">
        <v>7756</v>
      </c>
      <c r="AF96" s="34" t="s">
        <v>7854</v>
      </c>
      <c r="AG96" s="34" t="s">
        <v>3068</v>
      </c>
      <c r="AH96" s="34" t="s">
        <v>2175</v>
      </c>
      <c r="AI96" s="34" t="s">
        <v>4433</v>
      </c>
      <c r="AJ96" s="34" t="s">
        <v>5535</v>
      </c>
      <c r="AK96" s="34" t="s">
        <v>1626</v>
      </c>
      <c r="AM96" s="6" t="s">
        <v>5202</v>
      </c>
      <c r="AN96" s="6" t="s">
        <v>7921</v>
      </c>
      <c r="AP96" s="6" t="s">
        <v>7140</v>
      </c>
    </row>
    <row r="97" customFormat="false" ht="15" hidden="false" customHeight="true" outlineLevel="0" collapsed="false">
      <c r="A97" s="6" t="s">
        <v>327</v>
      </c>
      <c r="B97" s="6" t="s">
        <v>2308</v>
      </c>
      <c r="C97" s="6" t="s">
        <v>2456</v>
      </c>
      <c r="D97" s="6" t="s">
        <v>1957</v>
      </c>
      <c r="E97" s="6" t="s">
        <v>3819</v>
      </c>
      <c r="F97" s="6" t="s">
        <v>5087</v>
      </c>
      <c r="G97" s="6" t="s">
        <v>6155</v>
      </c>
      <c r="H97" s="6" t="s">
        <v>1779</v>
      </c>
      <c r="I97" s="6" t="s">
        <v>3495</v>
      </c>
      <c r="J97" s="34" t="s">
        <v>3888</v>
      </c>
      <c r="K97" s="34" t="s">
        <v>5966</v>
      </c>
      <c r="L97" s="34" t="s">
        <v>6066</v>
      </c>
      <c r="M97" s="34" t="s">
        <v>1436</v>
      </c>
      <c r="N97" s="34" t="s">
        <v>3624</v>
      </c>
      <c r="O97" s="34" t="s">
        <v>5948</v>
      </c>
      <c r="P97" s="34" t="s">
        <v>6169</v>
      </c>
      <c r="Q97" s="34" t="s">
        <v>3273</v>
      </c>
      <c r="R97" s="34" t="s">
        <v>3554</v>
      </c>
      <c r="S97" s="34" t="s">
        <v>4812</v>
      </c>
      <c r="T97" s="34" t="s">
        <v>5766</v>
      </c>
      <c r="U97" s="34" t="s">
        <v>1541</v>
      </c>
      <c r="V97" s="34" t="s">
        <v>6929</v>
      </c>
      <c r="W97" s="34" t="s">
        <v>7016</v>
      </c>
      <c r="X97" s="34" t="s">
        <v>7107</v>
      </c>
      <c r="Y97" s="34" t="s">
        <v>7198</v>
      </c>
      <c r="Z97" s="34" t="s">
        <v>7292</v>
      </c>
      <c r="AA97" s="34" t="s">
        <v>4086</v>
      </c>
      <c r="AB97" s="34" t="s">
        <v>254</v>
      </c>
      <c r="AC97" s="34" t="s">
        <v>7573</v>
      </c>
      <c r="AD97" s="34" t="s">
        <v>246</v>
      </c>
      <c r="AE97" s="34" t="s">
        <v>7757</v>
      </c>
      <c r="AF97" s="34" t="s">
        <v>7855</v>
      </c>
      <c r="AG97" s="34" t="s">
        <v>3079</v>
      </c>
      <c r="AH97" s="34" t="s">
        <v>2241</v>
      </c>
      <c r="AI97" s="34" t="s">
        <v>4444</v>
      </c>
      <c r="AJ97" s="34" t="s">
        <v>5569</v>
      </c>
      <c r="AK97" s="34" t="s">
        <v>1631</v>
      </c>
      <c r="AM97" s="6" t="s">
        <v>5199</v>
      </c>
      <c r="AN97" s="6" t="s">
        <v>7922</v>
      </c>
      <c r="AP97" s="6" t="s">
        <v>7344</v>
      </c>
    </row>
    <row r="98" customFormat="false" ht="15" hidden="false" customHeight="true" outlineLevel="0" collapsed="false">
      <c r="A98" s="6" t="s">
        <v>6607</v>
      </c>
      <c r="B98" s="6" t="s">
        <v>6732</v>
      </c>
      <c r="C98" s="6" t="s">
        <v>2468</v>
      </c>
      <c r="D98" s="6" t="s">
        <v>2165</v>
      </c>
      <c r="E98" s="6" t="s">
        <v>3830</v>
      </c>
      <c r="F98" s="6" t="s">
        <v>5142</v>
      </c>
      <c r="G98" s="6" t="s">
        <v>6165</v>
      </c>
      <c r="H98" s="6" t="s">
        <v>1815</v>
      </c>
      <c r="I98" s="6" t="s">
        <v>3518</v>
      </c>
      <c r="J98" s="34" t="s">
        <v>3739</v>
      </c>
      <c r="K98" s="34" t="s">
        <v>5945</v>
      </c>
      <c r="L98" s="34" t="s">
        <v>6077</v>
      </c>
      <c r="M98" s="34" t="s">
        <v>1762</v>
      </c>
      <c r="N98" s="34" t="s">
        <v>3683</v>
      </c>
      <c r="O98" s="34" t="s">
        <v>5958</v>
      </c>
      <c r="P98" s="34" t="s">
        <v>6184</v>
      </c>
      <c r="Q98" s="34" t="s">
        <v>3283</v>
      </c>
      <c r="R98" s="34" t="s">
        <v>3541</v>
      </c>
      <c r="S98" s="34" t="s">
        <v>4824</v>
      </c>
      <c r="T98" s="34" t="s">
        <v>5777</v>
      </c>
      <c r="U98" s="34" t="s">
        <v>1895</v>
      </c>
      <c r="V98" s="34" t="s">
        <v>282</v>
      </c>
      <c r="W98" s="34" t="s">
        <v>7017</v>
      </c>
      <c r="X98" s="34" t="s">
        <v>7108</v>
      </c>
      <c r="Y98" s="34" t="s">
        <v>7199</v>
      </c>
      <c r="Z98" s="34" t="s">
        <v>7293</v>
      </c>
      <c r="AA98" s="34" t="s">
        <v>4075</v>
      </c>
      <c r="AB98" s="34" t="s">
        <v>7482</v>
      </c>
      <c r="AC98" s="34" t="s">
        <v>7574</v>
      </c>
      <c r="AD98" s="34" t="s">
        <v>255</v>
      </c>
      <c r="AE98" s="34" t="s">
        <v>7758</v>
      </c>
      <c r="AF98" s="34" t="s">
        <v>7856</v>
      </c>
      <c r="AG98" s="34" t="s">
        <v>3050</v>
      </c>
      <c r="AH98" s="34" t="s">
        <v>2013</v>
      </c>
      <c r="AI98" s="34" t="s">
        <v>4455</v>
      </c>
      <c r="AJ98" s="34" t="s">
        <v>5548</v>
      </c>
      <c r="AK98" s="34" t="s">
        <v>1637</v>
      </c>
      <c r="AM98" s="6" t="s">
        <v>3051</v>
      </c>
      <c r="AN98" s="6" t="s">
        <v>7923</v>
      </c>
      <c r="AP98" s="6" t="s">
        <v>7342</v>
      </c>
    </row>
    <row r="99" customFormat="false" ht="15" hidden="false" customHeight="true" outlineLevel="0" collapsed="false">
      <c r="A99" s="6" t="s">
        <v>6608</v>
      </c>
      <c r="B99" s="6" t="s">
        <v>173</v>
      </c>
      <c r="C99" s="6" t="s">
        <v>2553</v>
      </c>
      <c r="D99" s="6" t="s">
        <v>2265</v>
      </c>
      <c r="E99" s="6" t="s">
        <v>3841</v>
      </c>
      <c r="F99" s="6" t="s">
        <v>5129</v>
      </c>
      <c r="G99" s="6" t="s">
        <v>6180</v>
      </c>
      <c r="H99" s="6" t="s">
        <v>1863</v>
      </c>
      <c r="I99" s="6" t="s">
        <v>3528</v>
      </c>
      <c r="J99" s="34" t="s">
        <v>3752</v>
      </c>
      <c r="K99" s="34" t="s">
        <v>5955</v>
      </c>
      <c r="L99" s="34" t="s">
        <v>6088</v>
      </c>
      <c r="M99" s="34" t="s">
        <v>1882</v>
      </c>
      <c r="N99" s="34" t="s">
        <v>3636</v>
      </c>
      <c r="O99" s="34" t="s">
        <v>5068</v>
      </c>
      <c r="P99" s="34" t="s">
        <v>6194</v>
      </c>
      <c r="Q99" s="34" t="s">
        <v>3296</v>
      </c>
      <c r="R99" s="34" t="s">
        <v>3562</v>
      </c>
      <c r="S99" s="34" t="s">
        <v>4877</v>
      </c>
      <c r="T99" s="34" t="s">
        <v>5901</v>
      </c>
      <c r="U99" s="34" t="s">
        <v>1937</v>
      </c>
      <c r="V99" s="34" t="s">
        <v>6930</v>
      </c>
      <c r="W99" s="34" t="s">
        <v>7018</v>
      </c>
      <c r="X99" s="34" t="s">
        <v>7109</v>
      </c>
      <c r="Y99" s="34" t="s">
        <v>7200</v>
      </c>
      <c r="Z99" s="34" t="s">
        <v>7294</v>
      </c>
      <c r="AA99" s="34" t="s">
        <v>4099</v>
      </c>
      <c r="AB99" s="34" t="s">
        <v>7483</v>
      </c>
      <c r="AC99" s="34" t="s">
        <v>7575</v>
      </c>
      <c r="AD99" s="34" t="s">
        <v>7666</v>
      </c>
      <c r="AE99" s="34" t="s">
        <v>7759</v>
      </c>
      <c r="AF99" s="34" t="s">
        <v>7857</v>
      </c>
      <c r="AG99" s="34" t="s">
        <v>3126</v>
      </c>
      <c r="AH99" s="34" t="s">
        <v>2182</v>
      </c>
      <c r="AI99" s="34" t="s">
        <v>4631</v>
      </c>
      <c r="AJ99" s="34" t="s">
        <v>5560</v>
      </c>
      <c r="AK99" s="34" t="s">
        <v>1464</v>
      </c>
      <c r="AM99" s="6" t="s">
        <v>3683</v>
      </c>
      <c r="AN99" s="6" t="s">
        <v>7924</v>
      </c>
      <c r="AP99" s="6" t="s">
        <v>259</v>
      </c>
    </row>
    <row r="100" customFormat="false" ht="15" hidden="false" customHeight="true" outlineLevel="0" collapsed="false">
      <c r="A100" s="6" t="s">
        <v>6609</v>
      </c>
      <c r="B100" s="6" t="s">
        <v>6735</v>
      </c>
      <c r="C100" s="6" t="s">
        <v>2495</v>
      </c>
      <c r="D100" s="6" t="s">
        <v>2002</v>
      </c>
      <c r="E100" s="6" t="s">
        <v>3897</v>
      </c>
      <c r="F100" s="6" t="s">
        <v>5155</v>
      </c>
      <c r="G100" s="6" t="s">
        <v>6190</v>
      </c>
      <c r="H100" s="6" t="s">
        <v>1484</v>
      </c>
      <c r="I100" s="6" t="s">
        <v>2292</v>
      </c>
      <c r="J100" s="34" t="s">
        <v>3764</v>
      </c>
      <c r="K100" s="34" t="s">
        <v>5065</v>
      </c>
      <c r="L100" s="34" t="s">
        <v>6099</v>
      </c>
      <c r="M100" s="34" t="s">
        <v>1786</v>
      </c>
      <c r="N100" s="34" t="s">
        <v>3646</v>
      </c>
      <c r="O100" s="34" t="s">
        <v>5120</v>
      </c>
      <c r="P100" s="34" t="s">
        <v>6205</v>
      </c>
      <c r="Q100" s="34" t="s">
        <v>3331</v>
      </c>
      <c r="R100" s="34" t="s">
        <v>3597</v>
      </c>
      <c r="S100" s="34" t="s">
        <v>4888</v>
      </c>
      <c r="T100" s="34" t="s">
        <v>5789</v>
      </c>
      <c r="U100" s="34" t="s">
        <v>1670</v>
      </c>
      <c r="V100" s="34" t="s">
        <v>283</v>
      </c>
      <c r="W100" s="34" t="s">
        <v>7019</v>
      </c>
      <c r="X100" s="34" t="s">
        <v>7110</v>
      </c>
      <c r="Y100" s="34" t="s">
        <v>7201</v>
      </c>
      <c r="Z100" s="34" t="s">
        <v>7295</v>
      </c>
      <c r="AA100" s="34" t="s">
        <v>4110</v>
      </c>
      <c r="AB100" s="34" t="s">
        <v>7484</v>
      </c>
      <c r="AC100" s="34" t="s">
        <v>238</v>
      </c>
      <c r="AD100" s="34" t="s">
        <v>7667</v>
      </c>
      <c r="AE100" s="34" t="s">
        <v>7760</v>
      </c>
      <c r="AF100" s="34" t="s">
        <v>7858</v>
      </c>
      <c r="AG100" s="34" t="s">
        <v>3092</v>
      </c>
      <c r="AH100" s="34" t="s">
        <v>2020</v>
      </c>
      <c r="AI100" s="34" t="s">
        <v>4643</v>
      </c>
      <c r="AJ100" s="34" t="s">
        <v>5580</v>
      </c>
      <c r="AK100" s="34" t="s">
        <v>1932</v>
      </c>
      <c r="AM100" s="6" t="s">
        <v>3680</v>
      </c>
      <c r="AN100" s="6" t="s">
        <v>219</v>
      </c>
      <c r="AP100" s="6" t="s">
        <v>7529</v>
      </c>
    </row>
    <row r="101" customFormat="false" ht="15" hidden="false" customHeight="true" outlineLevel="0" collapsed="false">
      <c r="A101" s="6" t="s">
        <v>6610</v>
      </c>
      <c r="B101" s="6" t="s">
        <v>6737</v>
      </c>
      <c r="C101" s="6" t="s">
        <v>2482</v>
      </c>
      <c r="D101" s="6" t="s">
        <v>2259</v>
      </c>
      <c r="E101" s="6" t="s">
        <v>3976</v>
      </c>
      <c r="F101" s="6" t="s">
        <v>5166</v>
      </c>
      <c r="G101" s="6" t="s">
        <v>6201</v>
      </c>
      <c r="H101" s="6" t="s">
        <v>1710</v>
      </c>
      <c r="I101" s="6" t="s">
        <v>1981</v>
      </c>
      <c r="J101" s="34" t="s">
        <v>3775</v>
      </c>
      <c r="K101" s="34" t="s">
        <v>5117</v>
      </c>
      <c r="L101" s="34" t="s">
        <v>6110</v>
      </c>
      <c r="M101" s="34" t="s">
        <v>1470</v>
      </c>
      <c r="N101" s="34" t="s">
        <v>3672</v>
      </c>
      <c r="O101" s="34" t="s">
        <v>5102</v>
      </c>
      <c r="P101" s="34" t="s">
        <v>6215</v>
      </c>
      <c r="Q101" s="34" t="s">
        <v>5998</v>
      </c>
      <c r="R101" s="34" t="s">
        <v>3574</v>
      </c>
      <c r="S101" s="34" t="s">
        <v>4836</v>
      </c>
      <c r="T101" s="34" t="s">
        <v>5879</v>
      </c>
      <c r="U101" s="34" t="s">
        <v>1725</v>
      </c>
      <c r="V101" s="34" t="s">
        <v>6931</v>
      </c>
      <c r="W101" s="34" t="s">
        <v>7020</v>
      </c>
      <c r="X101" s="34" t="s">
        <v>7111</v>
      </c>
      <c r="Y101" s="34" t="s">
        <v>7202</v>
      </c>
      <c r="Z101" s="34" t="s">
        <v>7296</v>
      </c>
      <c r="AA101" s="34" t="s">
        <v>7391</v>
      </c>
      <c r="AB101" s="34" t="s">
        <v>7485</v>
      </c>
      <c r="AC101" s="34" t="s">
        <v>7576</v>
      </c>
      <c r="AD101" s="34" t="s">
        <v>7668</v>
      </c>
      <c r="AE101" s="34" t="s">
        <v>7761</v>
      </c>
      <c r="AF101" s="34" t="s">
        <v>7859</v>
      </c>
      <c r="AG101" s="34" t="s">
        <v>3136</v>
      </c>
      <c r="AH101" s="34" t="s">
        <v>2134</v>
      </c>
      <c r="AI101" s="34" t="s">
        <v>4654</v>
      </c>
      <c r="AJ101" s="34" t="s">
        <v>5616</v>
      </c>
      <c r="AK101" s="34" t="s">
        <v>1836</v>
      </c>
      <c r="AM101" s="6" t="s">
        <v>4012</v>
      </c>
      <c r="AN101" s="6" t="s">
        <v>7925</v>
      </c>
      <c r="AP101" s="6" t="s">
        <v>7549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24"/>
    <col collapsed="false" customWidth="true" hidden="false" outlineLevel="0" max="6" min="3" style="1" width="10"/>
    <col collapsed="false" customWidth="true" hidden="false" outlineLevel="0" max="7" min="7" style="1" width="7"/>
    <col collapsed="false" customWidth="true" hidden="false" outlineLevel="0" max="8" min="8" style="1" width="70"/>
    <col collapsed="false" customWidth="true" hidden="false" outlineLevel="0" max="10" min="10" style="1" width="60"/>
  </cols>
  <sheetData>
    <row r="1" customFormat="false" ht="31.5" hidden="false" customHeight="true" outlineLevel="0" collapsed="false">
      <c r="A1" s="30" t="s">
        <v>151</v>
      </c>
      <c r="B1" s="30" t="s">
        <v>6493</v>
      </c>
      <c r="C1" s="30" t="s">
        <v>43</v>
      </c>
      <c r="D1" s="30" t="s">
        <v>6492</v>
      </c>
      <c r="E1" s="30" t="s">
        <v>7993</v>
      </c>
      <c r="F1" s="30" t="s">
        <v>7994</v>
      </c>
      <c r="G1" s="30" t="s">
        <v>7995</v>
      </c>
      <c r="H1" s="30" t="s">
        <v>7996</v>
      </c>
    </row>
    <row r="2" customFormat="false" ht="15" hidden="false" customHeight="true" outlineLevel="0" collapsed="false">
      <c r="A2" s="6" t="s">
        <v>3560</v>
      </c>
      <c r="B2" s="6" t="s">
        <v>7997</v>
      </c>
      <c r="C2" s="28" t="n">
        <v>60500</v>
      </c>
      <c r="D2" s="6" t="n">
        <v>38</v>
      </c>
      <c r="E2" s="29" t="n">
        <v>0.57</v>
      </c>
      <c r="F2" s="6" t="n">
        <v>1</v>
      </c>
      <c r="G2" s="6" t="n">
        <v>5</v>
      </c>
      <c r="H2" s="6"/>
    </row>
    <row r="3" customFormat="false" ht="15" hidden="false" customHeight="true" outlineLevel="0" collapsed="false">
      <c r="A3" s="6" t="s">
        <v>315</v>
      </c>
      <c r="B3" s="6" t="s">
        <v>7997</v>
      </c>
      <c r="C3" s="28" t="n">
        <v>40500</v>
      </c>
      <c r="D3" s="6" t="n">
        <v>17</v>
      </c>
      <c r="E3" s="29" t="n">
        <v>0.34</v>
      </c>
      <c r="F3" s="6" t="n">
        <v>1</v>
      </c>
      <c r="G3" s="6" t="n">
        <v>1</v>
      </c>
      <c r="H3" s="6"/>
    </row>
    <row r="4" customFormat="false" ht="15" hidden="false" customHeight="true" outlineLevel="0" collapsed="false">
      <c r="A4" s="6" t="s">
        <v>317</v>
      </c>
      <c r="B4" s="6" t="s">
        <v>7998</v>
      </c>
      <c r="C4" s="28" t="n">
        <v>40500</v>
      </c>
      <c r="D4" s="6" t="n">
        <v>32</v>
      </c>
      <c r="E4" s="29" t="n">
        <v>0.33</v>
      </c>
      <c r="F4" s="6" t="n">
        <v>1</v>
      </c>
      <c r="G4" s="6" t="n">
        <v>2</v>
      </c>
      <c r="H4" s="6"/>
    </row>
    <row r="5" customFormat="false" ht="15" hidden="false" customHeight="true" outlineLevel="0" collapsed="false">
      <c r="A5" s="6" t="s">
        <v>318</v>
      </c>
      <c r="B5" s="6" t="s">
        <v>7998</v>
      </c>
      <c r="C5" s="28" t="n">
        <v>40500</v>
      </c>
      <c r="D5" s="6" t="n">
        <v>33</v>
      </c>
      <c r="E5" s="29" t="n">
        <v>0.36</v>
      </c>
      <c r="F5" s="6" t="n">
        <v>1</v>
      </c>
      <c r="G5" s="6" t="n">
        <v>2</v>
      </c>
      <c r="H5" s="6"/>
    </row>
    <row r="6" customFormat="false" ht="15" hidden="false" customHeight="true" outlineLevel="0" collapsed="false">
      <c r="A6" s="6" t="s">
        <v>319</v>
      </c>
      <c r="B6" s="6" t="s">
        <v>7997</v>
      </c>
      <c r="C6" s="28" t="n">
        <v>33100</v>
      </c>
      <c r="D6" s="6" t="n">
        <v>55</v>
      </c>
      <c r="E6" s="29" t="n">
        <v>0.38</v>
      </c>
      <c r="F6" s="6" t="n">
        <v>1</v>
      </c>
      <c r="G6" s="6" t="n">
        <v>2</v>
      </c>
      <c r="H6" s="6"/>
    </row>
    <row r="7" customFormat="false" ht="15" hidden="false" customHeight="true" outlineLevel="0" collapsed="false">
      <c r="A7" s="6" t="s">
        <v>188</v>
      </c>
      <c r="B7" s="6" t="s">
        <v>7997</v>
      </c>
      <c r="C7" s="28" t="n">
        <v>33100</v>
      </c>
      <c r="D7" s="6" t="n">
        <v>44</v>
      </c>
      <c r="E7" s="29" t="n">
        <v>1.23</v>
      </c>
      <c r="F7" s="6" t="n">
        <v>1</v>
      </c>
      <c r="G7" s="6" t="s">
        <v>6868</v>
      </c>
      <c r="H7" s="6"/>
    </row>
    <row r="8" customFormat="false" ht="15" hidden="false" customHeight="true" outlineLevel="0" collapsed="false">
      <c r="A8" s="6" t="s">
        <v>320</v>
      </c>
      <c r="B8" s="6" t="s">
        <v>7997</v>
      </c>
      <c r="C8" s="28" t="n">
        <v>27100</v>
      </c>
      <c r="D8" s="6" t="n">
        <v>42</v>
      </c>
      <c r="E8" s="29" t="n">
        <v>0.56</v>
      </c>
      <c r="F8" s="6" t="n">
        <v>1</v>
      </c>
      <c r="G8" s="6" t="n">
        <v>1</v>
      </c>
      <c r="H8" s="6"/>
    </row>
    <row r="9" customFormat="false" ht="15" hidden="false" customHeight="true" outlineLevel="0" collapsed="false">
      <c r="A9" s="6" t="s">
        <v>321</v>
      </c>
      <c r="B9" s="6" t="s">
        <v>7998</v>
      </c>
      <c r="C9" s="28" t="n">
        <v>27100</v>
      </c>
      <c r="D9" s="6" t="n">
        <v>22</v>
      </c>
      <c r="E9" s="29" t="n">
        <v>0.32</v>
      </c>
      <c r="F9" s="6" t="n">
        <v>1</v>
      </c>
      <c r="G9" s="6" t="n">
        <v>2</v>
      </c>
      <c r="H9" s="6"/>
    </row>
    <row r="10" customFormat="false" ht="15" hidden="false" customHeight="true" outlineLevel="0" collapsed="false">
      <c r="A10" s="6" t="s">
        <v>322</v>
      </c>
      <c r="B10" s="6" t="s">
        <v>7997</v>
      </c>
      <c r="C10" s="28" t="n">
        <v>22200</v>
      </c>
      <c r="D10" s="6" t="n">
        <v>16</v>
      </c>
      <c r="E10" s="29" t="n">
        <v>0.29</v>
      </c>
      <c r="F10" s="6" t="n">
        <v>1</v>
      </c>
      <c r="G10" s="6" t="n">
        <v>1</v>
      </c>
      <c r="H10" s="6"/>
    </row>
    <row r="11" customFormat="false" ht="15" hidden="false" customHeight="true" outlineLevel="0" collapsed="false">
      <c r="A11" s="6" t="s">
        <v>191</v>
      </c>
      <c r="B11" s="6" t="s">
        <v>7997</v>
      </c>
      <c r="C11" s="28" t="n">
        <v>22200</v>
      </c>
      <c r="D11" s="6" t="n">
        <v>30</v>
      </c>
      <c r="E11" s="29" t="n">
        <v>0.87</v>
      </c>
      <c r="F11" s="6" t="n">
        <v>1</v>
      </c>
      <c r="G11" s="6" t="s">
        <v>6868</v>
      </c>
      <c r="H11" s="6"/>
    </row>
    <row r="12" customFormat="false" ht="15" hidden="false" customHeight="true" outlineLevel="0" collapsed="false">
      <c r="A12" s="6" t="s">
        <v>323</v>
      </c>
      <c r="B12" s="6" t="s">
        <v>7998</v>
      </c>
      <c r="C12" s="28" t="n">
        <v>22200</v>
      </c>
      <c r="D12" s="6" t="n">
        <v>36</v>
      </c>
      <c r="E12" s="29" t="n">
        <v>0.44</v>
      </c>
      <c r="F12" s="6" t="n">
        <v>1</v>
      </c>
      <c r="G12" s="6" t="n">
        <v>2</v>
      </c>
      <c r="H12" s="6"/>
    </row>
    <row r="13" customFormat="false" ht="15" hidden="false" customHeight="true" outlineLevel="0" collapsed="false">
      <c r="A13" s="6" t="s">
        <v>6381</v>
      </c>
      <c r="B13" s="6" t="s">
        <v>7998</v>
      </c>
      <c r="C13" s="28" t="n">
        <v>22200</v>
      </c>
      <c r="D13" s="6" t="n">
        <v>22</v>
      </c>
      <c r="E13" s="29" t="n">
        <v>0.49</v>
      </c>
      <c r="F13" s="6" t="n">
        <v>1</v>
      </c>
      <c r="G13" s="6" t="n">
        <v>8</v>
      </c>
      <c r="H13" s="6"/>
    </row>
    <row r="14" customFormat="false" ht="15" hidden="false" customHeight="true" outlineLevel="0" collapsed="false">
      <c r="A14" s="6" t="s">
        <v>193</v>
      </c>
      <c r="B14" s="6" t="s">
        <v>7998</v>
      </c>
      <c r="C14" s="28" t="n">
        <v>18100</v>
      </c>
      <c r="D14" s="6" t="n">
        <v>16</v>
      </c>
      <c r="E14" s="29" t="n">
        <v>0.31</v>
      </c>
      <c r="F14" s="6" t="n">
        <v>1</v>
      </c>
      <c r="G14" s="6" t="s">
        <v>6868</v>
      </c>
      <c r="H14" s="6"/>
    </row>
    <row r="15" customFormat="false" ht="15" hidden="false" customHeight="true" outlineLevel="0" collapsed="false">
      <c r="A15" s="6" t="s">
        <v>324</v>
      </c>
      <c r="B15" s="6" t="s">
        <v>7997</v>
      </c>
      <c r="C15" s="28" t="n">
        <v>18100</v>
      </c>
      <c r="D15" s="6" t="n">
        <v>41</v>
      </c>
      <c r="E15" s="29" t="n">
        <v>0.32</v>
      </c>
      <c r="F15" s="6" t="n">
        <v>1</v>
      </c>
      <c r="G15" s="6" t="n">
        <v>2</v>
      </c>
      <c r="H15" s="6"/>
    </row>
    <row r="16" customFormat="false" ht="15" hidden="false" customHeight="true" outlineLevel="0" collapsed="false">
      <c r="A16" s="6" t="s">
        <v>6362</v>
      </c>
      <c r="B16" s="6" t="s">
        <v>7998</v>
      </c>
      <c r="C16" s="28" t="n">
        <v>18100</v>
      </c>
      <c r="D16" s="6" t="n">
        <v>16</v>
      </c>
      <c r="E16" s="29" t="n">
        <v>0.54</v>
      </c>
      <c r="F16" s="6" t="n">
        <v>1</v>
      </c>
      <c r="G16" s="6" t="n">
        <v>8</v>
      </c>
      <c r="H16" s="6"/>
    </row>
    <row r="17" customFormat="false" ht="15" hidden="false" customHeight="true" outlineLevel="0" collapsed="false">
      <c r="A17" s="6" t="s">
        <v>325</v>
      </c>
      <c r="B17" s="6" t="s">
        <v>7997</v>
      </c>
      <c r="C17" s="28" t="n">
        <v>14800</v>
      </c>
      <c r="D17" s="6" t="n">
        <v>50</v>
      </c>
      <c r="E17" s="29" t="n">
        <v>0.32</v>
      </c>
      <c r="F17" s="6" t="n">
        <v>1</v>
      </c>
      <c r="G17" s="6" t="n">
        <v>1</v>
      </c>
      <c r="H17" s="6"/>
    </row>
    <row r="18" customFormat="false" ht="15" hidden="false" customHeight="true" outlineLevel="0" collapsed="false">
      <c r="A18" s="6" t="s">
        <v>326</v>
      </c>
      <c r="B18" s="6" t="s">
        <v>7998</v>
      </c>
      <c r="C18" s="28" t="n">
        <v>14800</v>
      </c>
      <c r="D18" s="6" t="n">
        <v>41</v>
      </c>
      <c r="E18" s="29" t="n">
        <v>0.32</v>
      </c>
      <c r="F18" s="6" t="n">
        <v>1</v>
      </c>
      <c r="G18" s="6" t="n">
        <v>2</v>
      </c>
      <c r="H18" s="6"/>
    </row>
    <row r="19" customFormat="false" ht="15" hidden="false" customHeight="true" outlineLevel="0" collapsed="false">
      <c r="A19" s="6" t="s">
        <v>194</v>
      </c>
      <c r="B19" s="6" t="s">
        <v>7998</v>
      </c>
      <c r="C19" s="28" t="n">
        <v>14800</v>
      </c>
      <c r="D19" s="6" t="n">
        <v>38</v>
      </c>
      <c r="E19" s="29" t="n">
        <v>0.77</v>
      </c>
      <c r="F19" s="6" t="n">
        <v>1</v>
      </c>
      <c r="G19" s="6" t="s">
        <v>6868</v>
      </c>
      <c r="H19" s="6"/>
    </row>
    <row r="20" customFormat="false" ht="15" hidden="false" customHeight="true" outlineLevel="0" collapsed="false">
      <c r="A20" s="6" t="s">
        <v>195</v>
      </c>
      <c r="B20" s="6" t="s">
        <v>7998</v>
      </c>
      <c r="C20" s="28" t="n">
        <v>12100</v>
      </c>
      <c r="D20" s="6" t="n">
        <v>18</v>
      </c>
      <c r="E20" s="29" t="n">
        <v>0.44</v>
      </c>
      <c r="F20" s="6" t="n">
        <v>1</v>
      </c>
      <c r="G20" s="6" t="s">
        <v>6868</v>
      </c>
      <c r="H20" s="6"/>
    </row>
    <row r="21" customFormat="false" ht="15" hidden="false" customHeight="true" outlineLevel="0" collapsed="false">
      <c r="A21" s="6" t="s">
        <v>327</v>
      </c>
      <c r="B21" s="6" t="s">
        <v>7998</v>
      </c>
      <c r="C21" s="28" t="n">
        <v>12100</v>
      </c>
      <c r="D21" s="6" t="n">
        <v>34</v>
      </c>
      <c r="E21" s="29" t="n">
        <v>0.45</v>
      </c>
      <c r="F21" s="6" t="n">
        <v>1</v>
      </c>
      <c r="G21" s="6" t="n">
        <v>1</v>
      </c>
      <c r="H21" s="6"/>
    </row>
    <row r="22" customFormat="false" ht="15" hidden="false" customHeight="true" outlineLevel="0" collapsed="false">
      <c r="A22" s="6" t="s">
        <v>328</v>
      </c>
      <c r="B22" s="6" t="s">
        <v>7997</v>
      </c>
      <c r="C22" s="28" t="n">
        <v>12100</v>
      </c>
      <c r="D22" s="6" t="n">
        <v>28</v>
      </c>
      <c r="E22" s="29" t="n">
        <v>0.55</v>
      </c>
      <c r="F22" s="6" t="n">
        <v>1</v>
      </c>
      <c r="G22" s="6" t="n">
        <v>2</v>
      </c>
      <c r="H22" s="6"/>
    </row>
    <row r="23" customFormat="false" ht="15" hidden="false" customHeight="true" outlineLevel="0" collapsed="false">
      <c r="A23" s="6" t="s">
        <v>329</v>
      </c>
      <c r="B23" s="6" t="s">
        <v>7997</v>
      </c>
      <c r="C23" s="28" t="n">
        <v>9900</v>
      </c>
      <c r="D23" s="6" t="n">
        <v>34</v>
      </c>
      <c r="E23" s="29" t="n">
        <v>0.27</v>
      </c>
      <c r="F23" s="6" t="n">
        <v>1</v>
      </c>
      <c r="G23" s="6" t="n">
        <v>1</v>
      </c>
      <c r="H23" s="6"/>
    </row>
    <row r="24" customFormat="false" ht="15" hidden="false" customHeight="true" outlineLevel="0" collapsed="false">
      <c r="A24" s="6" t="s">
        <v>330</v>
      </c>
      <c r="B24" s="6" t="s">
        <v>7998</v>
      </c>
      <c r="C24" s="28" t="n">
        <v>9900</v>
      </c>
      <c r="D24" s="6" t="n">
        <v>23</v>
      </c>
      <c r="E24" s="29" t="n">
        <v>0.39</v>
      </c>
      <c r="F24" s="6" t="n">
        <v>1</v>
      </c>
      <c r="G24" s="6" t="n">
        <v>1</v>
      </c>
      <c r="H24" s="6"/>
    </row>
    <row r="25" customFormat="false" ht="15" hidden="false" customHeight="true" outlineLevel="0" collapsed="false">
      <c r="A25" s="6" t="s">
        <v>196</v>
      </c>
      <c r="B25" s="6" t="s">
        <v>7998</v>
      </c>
      <c r="C25" s="28" t="n">
        <v>9900</v>
      </c>
      <c r="D25" s="6" t="n">
        <v>30</v>
      </c>
      <c r="E25" s="29" t="n">
        <v>1.02</v>
      </c>
      <c r="F25" s="6" t="n">
        <v>1</v>
      </c>
      <c r="G25" s="6" t="s">
        <v>6868</v>
      </c>
      <c r="H25" s="6"/>
    </row>
    <row r="26" customFormat="false" ht="15" hidden="false" customHeight="true" outlineLevel="0" collapsed="false">
      <c r="A26" s="6" t="s">
        <v>238</v>
      </c>
      <c r="B26" s="6" t="s">
        <v>7997</v>
      </c>
      <c r="C26" s="28" t="n">
        <v>9900</v>
      </c>
      <c r="D26" s="6" t="n">
        <v>23</v>
      </c>
      <c r="E26" s="29" t="n">
        <v>0.36</v>
      </c>
      <c r="F26" s="6" t="n">
        <v>1</v>
      </c>
      <c r="G26" s="6" t="s">
        <v>6870</v>
      </c>
      <c r="H26" s="6"/>
    </row>
    <row r="27" customFormat="false" ht="15" hidden="false" customHeight="true" outlineLevel="0" collapsed="false">
      <c r="A27" s="6" t="s">
        <v>5207</v>
      </c>
      <c r="B27" s="6" t="s">
        <v>7997</v>
      </c>
      <c r="C27" s="28" t="n">
        <v>9900</v>
      </c>
      <c r="D27" s="6" t="n">
        <v>23</v>
      </c>
      <c r="E27" s="29" t="n">
        <v>0.36</v>
      </c>
      <c r="F27" s="6" t="n">
        <v>1</v>
      </c>
      <c r="G27" s="6" t="n">
        <v>7</v>
      </c>
      <c r="H27" s="6"/>
    </row>
    <row r="28" customFormat="false" ht="15" hidden="false" customHeight="true" outlineLevel="0" collapsed="false">
      <c r="A28" s="6" t="s">
        <v>197</v>
      </c>
      <c r="B28" s="6" t="s">
        <v>7998</v>
      </c>
      <c r="C28" s="28" t="n">
        <v>9900</v>
      </c>
      <c r="D28" s="6" t="n">
        <v>22</v>
      </c>
      <c r="E28" s="29" t="n">
        <v>0.78</v>
      </c>
      <c r="F28" s="6" t="n">
        <v>1</v>
      </c>
      <c r="G28" s="6" t="s">
        <v>7927</v>
      </c>
      <c r="H28" s="6"/>
    </row>
    <row r="29" customFormat="false" ht="15" hidden="false" customHeight="true" outlineLevel="0" collapsed="false">
      <c r="A29" s="6" t="s">
        <v>331</v>
      </c>
      <c r="B29" s="6" t="s">
        <v>7998</v>
      </c>
      <c r="C29" s="28" t="n">
        <v>8100</v>
      </c>
      <c r="D29" s="6" t="n">
        <v>34</v>
      </c>
      <c r="E29" s="29" t="n">
        <v>0.3</v>
      </c>
      <c r="F29" s="6" t="n">
        <v>1</v>
      </c>
      <c r="G29" s="6" t="n">
        <v>1</v>
      </c>
      <c r="H29" s="6"/>
    </row>
    <row r="30" customFormat="false" ht="15" hidden="false" customHeight="true" outlineLevel="0" collapsed="false">
      <c r="A30" s="6" t="s">
        <v>332</v>
      </c>
      <c r="B30" s="6" t="s">
        <v>7998</v>
      </c>
      <c r="C30" s="28" t="n">
        <v>8100</v>
      </c>
      <c r="D30" s="6" t="n">
        <v>23</v>
      </c>
      <c r="E30" s="29" t="n">
        <v>0.33</v>
      </c>
      <c r="F30" s="6" t="n">
        <v>1</v>
      </c>
      <c r="G30" s="6" t="n">
        <v>1</v>
      </c>
      <c r="H30" s="6"/>
    </row>
    <row r="31" customFormat="false" ht="15" hidden="false" customHeight="true" outlineLevel="0" collapsed="false">
      <c r="A31" s="6" t="s">
        <v>333</v>
      </c>
      <c r="B31" s="6" t="s">
        <v>7998</v>
      </c>
      <c r="C31" s="28" t="n">
        <v>8100</v>
      </c>
      <c r="D31" s="6" t="n">
        <v>32</v>
      </c>
      <c r="E31" s="29" t="n">
        <v>0.38</v>
      </c>
      <c r="F31" s="6" t="n">
        <v>1</v>
      </c>
      <c r="G31" s="6" t="n">
        <v>1</v>
      </c>
      <c r="H31" s="6"/>
    </row>
    <row r="32" customFormat="false" ht="15" hidden="false" customHeight="true" outlineLevel="0" collapsed="false">
      <c r="A32" s="6" t="s">
        <v>198</v>
      </c>
      <c r="B32" s="6" t="s">
        <v>7999</v>
      </c>
      <c r="C32" s="28" t="n">
        <v>8100</v>
      </c>
      <c r="D32" s="6" t="n">
        <v>31</v>
      </c>
      <c r="E32" s="29" t="n">
        <v>0.76</v>
      </c>
      <c r="F32" s="6" t="n">
        <v>1</v>
      </c>
      <c r="G32" s="6" t="s">
        <v>7927</v>
      </c>
      <c r="H32" s="6"/>
    </row>
    <row r="33" customFormat="false" ht="15" hidden="false" customHeight="true" outlineLevel="0" collapsed="false">
      <c r="A33" s="6" t="s">
        <v>6388</v>
      </c>
      <c r="B33" s="6" t="s">
        <v>7998</v>
      </c>
      <c r="C33" s="28" t="n">
        <v>8100</v>
      </c>
      <c r="D33" s="6" t="n">
        <v>15</v>
      </c>
      <c r="E33" s="29" t="n">
        <v>0.59</v>
      </c>
      <c r="F33" s="6" t="n">
        <v>1</v>
      </c>
      <c r="G33" s="6" t="n">
        <v>8</v>
      </c>
      <c r="H33" s="6"/>
    </row>
    <row r="34" customFormat="false" ht="15" hidden="false" customHeight="true" outlineLevel="0" collapsed="false">
      <c r="A34" s="6" t="s">
        <v>200</v>
      </c>
      <c r="B34" s="6" t="s">
        <v>7997</v>
      </c>
      <c r="C34" s="28" t="n">
        <v>6600</v>
      </c>
      <c r="D34" s="6" t="n">
        <v>12</v>
      </c>
      <c r="E34" s="29" t="n">
        <v>0.76</v>
      </c>
      <c r="F34" s="6" t="n">
        <v>1</v>
      </c>
      <c r="G34" s="6" t="s">
        <v>7927</v>
      </c>
      <c r="H34" s="6"/>
    </row>
    <row r="35" customFormat="false" ht="15" hidden="false" customHeight="true" outlineLevel="0" collapsed="false">
      <c r="A35" s="6" t="s">
        <v>334</v>
      </c>
      <c r="B35" s="6" t="s">
        <v>7997</v>
      </c>
      <c r="C35" s="28" t="n">
        <v>6600</v>
      </c>
      <c r="D35" s="6" t="n">
        <v>26</v>
      </c>
      <c r="E35" s="29" t="n">
        <v>0.37</v>
      </c>
      <c r="F35" s="6" t="n">
        <v>1</v>
      </c>
      <c r="G35" s="6" t="n">
        <v>1</v>
      </c>
      <c r="H35" s="6"/>
    </row>
    <row r="36" customFormat="false" ht="15" hidden="false" customHeight="true" outlineLevel="0" collapsed="false">
      <c r="A36" s="6" t="s">
        <v>4716</v>
      </c>
      <c r="B36" s="6" t="s">
        <v>8000</v>
      </c>
      <c r="C36" s="28" t="n">
        <v>6600</v>
      </c>
      <c r="D36" s="6" t="n">
        <v>21</v>
      </c>
      <c r="E36" s="29" t="n">
        <v>0.44</v>
      </c>
      <c r="F36" s="6" t="n">
        <v>1</v>
      </c>
      <c r="G36" s="6" t="n">
        <v>6</v>
      </c>
      <c r="H36" s="6"/>
    </row>
    <row r="37" customFormat="false" ht="15" hidden="false" customHeight="true" outlineLevel="0" collapsed="false">
      <c r="A37" s="6" t="s">
        <v>5455</v>
      </c>
      <c r="B37" s="6" t="s">
        <v>7998</v>
      </c>
      <c r="C37" s="28" t="n">
        <v>6600</v>
      </c>
      <c r="D37" s="6" t="n">
        <v>26</v>
      </c>
      <c r="E37" s="29" t="n">
        <v>0.36</v>
      </c>
      <c r="F37" s="6" t="n">
        <v>1</v>
      </c>
      <c r="G37" s="6" t="n">
        <v>7</v>
      </c>
      <c r="H37" s="6"/>
    </row>
    <row r="38" customFormat="false" ht="15" hidden="false" customHeight="true" outlineLevel="0" collapsed="false">
      <c r="A38" s="6" t="s">
        <v>199</v>
      </c>
      <c r="B38" s="6" t="s">
        <v>7998</v>
      </c>
      <c r="C38" s="28" t="n">
        <v>6600</v>
      </c>
      <c r="D38" s="6" t="n">
        <v>26</v>
      </c>
      <c r="E38" s="29" t="n">
        <v>2.37</v>
      </c>
      <c r="F38" s="6" t="n">
        <v>1</v>
      </c>
      <c r="G38" s="6" t="s">
        <v>6868</v>
      </c>
      <c r="H38" s="6"/>
    </row>
    <row r="39" customFormat="false" ht="15" hidden="false" customHeight="true" outlineLevel="0" collapsed="false">
      <c r="A39" s="6" t="s">
        <v>241</v>
      </c>
      <c r="B39" s="6" t="s">
        <v>7998</v>
      </c>
      <c r="C39" s="28" t="n">
        <v>5400</v>
      </c>
      <c r="D39" s="6" t="n">
        <v>35</v>
      </c>
      <c r="E39" s="29" t="n">
        <v>0.66</v>
      </c>
      <c r="F39" s="6" t="n">
        <v>1</v>
      </c>
      <c r="G39" s="6" t="s">
        <v>6870</v>
      </c>
      <c r="H39" s="6"/>
    </row>
    <row r="40" customFormat="false" ht="15" hidden="false" customHeight="true" outlineLevel="0" collapsed="false">
      <c r="A40" s="6" t="s">
        <v>335</v>
      </c>
      <c r="B40" s="6" t="s">
        <v>7998</v>
      </c>
      <c r="C40" s="28" t="n">
        <v>5400</v>
      </c>
      <c r="D40" s="6" t="n">
        <v>28</v>
      </c>
      <c r="E40" s="29" t="n">
        <v>0.41</v>
      </c>
      <c r="F40" s="6" t="n">
        <v>1</v>
      </c>
      <c r="G40" s="6" t="n">
        <v>1</v>
      </c>
      <c r="H40" s="6"/>
    </row>
    <row r="41" customFormat="false" ht="15" hidden="false" customHeight="true" outlineLevel="0" collapsed="false">
      <c r="A41" s="6" t="s">
        <v>336</v>
      </c>
      <c r="B41" s="6" t="s">
        <v>7997</v>
      </c>
      <c r="C41" s="28" t="n">
        <v>5400</v>
      </c>
      <c r="D41" s="6" t="n">
        <v>23</v>
      </c>
      <c r="E41" s="29" t="n">
        <v>0.41</v>
      </c>
      <c r="F41" s="6" t="n">
        <v>1</v>
      </c>
      <c r="G41" s="6" t="n">
        <v>1</v>
      </c>
      <c r="H41" s="6"/>
    </row>
    <row r="42" customFormat="false" ht="15" hidden="false" customHeight="true" outlineLevel="0" collapsed="false">
      <c r="A42" s="6" t="s">
        <v>203</v>
      </c>
      <c r="B42" s="6" t="s">
        <v>7997</v>
      </c>
      <c r="C42" s="28" t="n">
        <v>5400</v>
      </c>
      <c r="D42" s="6" t="n">
        <v>22</v>
      </c>
      <c r="E42" s="29" t="n">
        <v>0.81</v>
      </c>
      <c r="F42" s="6" t="n">
        <v>1</v>
      </c>
      <c r="G42" s="6" t="s">
        <v>7927</v>
      </c>
      <c r="H42" s="6"/>
    </row>
    <row r="43" customFormat="false" ht="15" hidden="false" customHeight="true" outlineLevel="0" collapsed="false">
      <c r="A43" s="6" t="s">
        <v>202</v>
      </c>
      <c r="B43" s="6" t="s">
        <v>7999</v>
      </c>
      <c r="C43" s="28" t="n">
        <v>5400</v>
      </c>
      <c r="D43" s="6" t="n">
        <v>21</v>
      </c>
      <c r="E43" s="29" t="n">
        <v>1.76</v>
      </c>
      <c r="F43" s="6" t="n">
        <v>1</v>
      </c>
      <c r="G43" s="6" t="s">
        <v>6868</v>
      </c>
      <c r="H43" s="6"/>
    </row>
    <row r="44" customFormat="false" ht="15" hidden="false" customHeight="true" outlineLevel="0" collapsed="false">
      <c r="A44" s="6" t="s">
        <v>337</v>
      </c>
      <c r="B44" s="6" t="s">
        <v>7997</v>
      </c>
      <c r="C44" s="28" t="n">
        <v>5400</v>
      </c>
      <c r="D44" s="6" t="n">
        <v>30</v>
      </c>
      <c r="E44" s="29" t="n">
        <v>0.26</v>
      </c>
      <c r="F44" s="6" t="n">
        <v>1</v>
      </c>
      <c r="G44" s="6" t="n">
        <v>2</v>
      </c>
      <c r="H44" s="6"/>
    </row>
    <row r="45" customFormat="false" ht="15" hidden="false" customHeight="true" outlineLevel="0" collapsed="false">
      <c r="A45" s="6" t="s">
        <v>338</v>
      </c>
      <c r="B45" s="6" t="s">
        <v>7997</v>
      </c>
      <c r="C45" s="28" t="n">
        <v>5400</v>
      </c>
      <c r="D45" s="6" t="n">
        <v>16</v>
      </c>
      <c r="E45" s="29" t="n">
        <v>0.29</v>
      </c>
      <c r="F45" s="6" t="n">
        <v>1</v>
      </c>
      <c r="G45" s="6" t="n">
        <v>2</v>
      </c>
      <c r="H45" s="6"/>
    </row>
    <row r="46" customFormat="false" ht="15" hidden="false" customHeight="true" outlineLevel="0" collapsed="false">
      <c r="A46" s="6" t="s">
        <v>201</v>
      </c>
      <c r="B46" s="6" t="s">
        <v>7998</v>
      </c>
      <c r="C46" s="28" t="n">
        <v>5400</v>
      </c>
      <c r="D46" s="6" t="n">
        <v>16</v>
      </c>
      <c r="E46" s="29" t="n">
        <v>0.46</v>
      </c>
      <c r="F46" s="6" t="n">
        <v>1</v>
      </c>
      <c r="G46" s="6" t="s">
        <v>6868</v>
      </c>
      <c r="H46" s="6"/>
    </row>
    <row r="47" customFormat="false" ht="15" hidden="false" customHeight="true" outlineLevel="0" collapsed="false">
      <c r="A47" s="6" t="s">
        <v>339</v>
      </c>
      <c r="B47" s="6" t="s">
        <v>7997</v>
      </c>
      <c r="C47" s="28" t="n">
        <v>5400</v>
      </c>
      <c r="D47" s="6" t="n">
        <v>24</v>
      </c>
      <c r="E47" s="29" t="n">
        <v>0.37</v>
      </c>
      <c r="F47" s="6" t="n">
        <v>1</v>
      </c>
      <c r="G47" s="6" t="n">
        <v>2</v>
      </c>
      <c r="H47" s="6"/>
    </row>
    <row r="48" customFormat="false" ht="15" hidden="false" customHeight="true" outlineLevel="0" collapsed="false">
      <c r="A48" s="6" t="s">
        <v>204</v>
      </c>
      <c r="B48" s="6" t="s">
        <v>7998</v>
      </c>
      <c r="C48" s="28" t="n">
        <v>5400</v>
      </c>
      <c r="D48" s="6" t="n">
        <v>20</v>
      </c>
      <c r="E48" s="29" t="n">
        <v>1.24</v>
      </c>
      <c r="F48" s="6" t="n">
        <v>1</v>
      </c>
      <c r="G48" s="6" t="s">
        <v>7927</v>
      </c>
      <c r="H48" s="6"/>
    </row>
    <row r="49" customFormat="false" ht="15" hidden="false" customHeight="true" outlineLevel="0" collapsed="false">
      <c r="A49" s="6" t="s">
        <v>3183</v>
      </c>
      <c r="B49" s="6" t="s">
        <v>7998</v>
      </c>
      <c r="C49" s="28" t="n">
        <v>4400</v>
      </c>
      <c r="D49" s="6" t="n">
        <v>21</v>
      </c>
      <c r="E49" s="29" t="n">
        <v>0.37</v>
      </c>
      <c r="F49" s="6" t="n">
        <v>1</v>
      </c>
      <c r="G49" s="6" t="n">
        <v>4</v>
      </c>
      <c r="H49" s="6"/>
    </row>
    <row r="50" customFormat="false" ht="15" hidden="false" customHeight="true" outlineLevel="0" collapsed="false">
      <c r="A50" s="6" t="s">
        <v>3563</v>
      </c>
      <c r="B50" s="6" t="s">
        <v>7997</v>
      </c>
      <c r="C50" s="28" t="n">
        <v>4400</v>
      </c>
      <c r="D50" s="6" t="n">
        <v>28</v>
      </c>
      <c r="E50" s="29" t="n">
        <v>0.69</v>
      </c>
      <c r="F50" s="6" t="n">
        <v>1</v>
      </c>
      <c r="G50" s="6" t="s">
        <v>6867</v>
      </c>
      <c r="H50" s="6"/>
    </row>
    <row r="51" customFormat="false" ht="15" hidden="false" customHeight="true" outlineLevel="0" collapsed="false">
      <c r="A51" s="6" t="s">
        <v>4685</v>
      </c>
      <c r="B51" s="6" t="s">
        <v>7998</v>
      </c>
      <c r="C51" s="28" t="n">
        <v>4400</v>
      </c>
      <c r="D51" s="6" t="n">
        <v>29</v>
      </c>
      <c r="E51" s="29" t="n">
        <v>0.43</v>
      </c>
      <c r="F51" s="6" t="n">
        <v>1</v>
      </c>
      <c r="G51" s="6" t="n">
        <v>6</v>
      </c>
      <c r="H51" s="6"/>
    </row>
    <row r="52" customFormat="false" ht="15" hidden="false" customHeight="true" outlineLevel="0" collapsed="false">
      <c r="A52" s="6" t="s">
        <v>5076</v>
      </c>
      <c r="B52" s="6" t="s">
        <v>7998</v>
      </c>
      <c r="C52" s="28" t="n">
        <v>4400</v>
      </c>
      <c r="D52" s="6" t="n">
        <v>28</v>
      </c>
      <c r="E52" s="29" t="n">
        <v>0.45</v>
      </c>
      <c r="F52" s="6" t="n">
        <v>1</v>
      </c>
      <c r="G52" s="6" t="n">
        <v>6</v>
      </c>
      <c r="H52" s="6"/>
    </row>
    <row r="53" customFormat="false" ht="15" hidden="false" customHeight="true" outlineLevel="0" collapsed="false">
      <c r="A53" s="6" t="s">
        <v>205</v>
      </c>
      <c r="B53" s="6" t="s">
        <v>7998</v>
      </c>
      <c r="C53" s="28" t="n">
        <v>4400</v>
      </c>
      <c r="D53" s="6" t="n">
        <v>30</v>
      </c>
      <c r="E53" s="29" t="n">
        <v>0.49</v>
      </c>
      <c r="F53" s="6" t="n">
        <v>1</v>
      </c>
      <c r="G53" s="6" t="s">
        <v>6868</v>
      </c>
      <c r="H53" s="6"/>
    </row>
    <row r="54" customFormat="false" ht="15" hidden="false" customHeight="true" outlineLevel="0" collapsed="false">
      <c r="A54" s="6" t="s">
        <v>208</v>
      </c>
      <c r="B54" s="6" t="s">
        <v>7998</v>
      </c>
      <c r="C54" s="28" t="n">
        <v>3600</v>
      </c>
      <c r="D54" s="6" t="n">
        <v>34</v>
      </c>
      <c r="E54" s="29" t="n">
        <v>0.51</v>
      </c>
      <c r="F54" s="6" t="n">
        <v>1</v>
      </c>
      <c r="G54" s="6" t="s">
        <v>6868</v>
      </c>
      <c r="H54" s="6"/>
    </row>
    <row r="55" customFormat="false" ht="15" hidden="false" customHeight="true" outlineLevel="0" collapsed="false">
      <c r="A55" s="6" t="s">
        <v>340</v>
      </c>
      <c r="B55" s="6" t="s">
        <v>7998</v>
      </c>
      <c r="C55" s="28" t="n">
        <v>3600</v>
      </c>
      <c r="D55" s="6" t="n">
        <v>21</v>
      </c>
      <c r="E55" s="29" t="n">
        <v>0.35</v>
      </c>
      <c r="F55" s="6" t="n">
        <v>1</v>
      </c>
      <c r="G55" s="6" t="n">
        <v>1</v>
      </c>
      <c r="H55" s="6"/>
    </row>
    <row r="56" customFormat="false" ht="15" hidden="false" customHeight="true" outlineLevel="0" collapsed="false">
      <c r="A56" s="6" t="s">
        <v>209</v>
      </c>
      <c r="B56" s="6" t="s">
        <v>7998</v>
      </c>
      <c r="C56" s="28" t="n">
        <v>3600</v>
      </c>
      <c r="D56" s="6" t="n">
        <v>37</v>
      </c>
      <c r="E56" s="29" t="n">
        <v>0.32</v>
      </c>
      <c r="F56" s="6" t="n">
        <v>1</v>
      </c>
      <c r="G56" s="6" t="s">
        <v>7927</v>
      </c>
      <c r="H56" s="6"/>
    </row>
    <row r="57" customFormat="false" ht="15" hidden="false" customHeight="true" outlineLevel="0" collapsed="false">
      <c r="A57" s="6" t="s">
        <v>341</v>
      </c>
      <c r="B57" s="6" t="s">
        <v>7998</v>
      </c>
      <c r="C57" s="28" t="n">
        <v>3600</v>
      </c>
      <c r="D57" s="6" t="n">
        <v>25</v>
      </c>
      <c r="E57" s="29" t="n">
        <v>0.3</v>
      </c>
      <c r="F57" s="6" t="n">
        <v>1</v>
      </c>
      <c r="G57" s="6" t="n">
        <v>2</v>
      </c>
      <c r="H57" s="6"/>
    </row>
    <row r="58" customFormat="false" ht="15" hidden="false" customHeight="true" outlineLevel="0" collapsed="false">
      <c r="A58" s="6" t="s">
        <v>207</v>
      </c>
      <c r="B58" s="6" t="s">
        <v>7999</v>
      </c>
      <c r="C58" s="28" t="n">
        <v>3600</v>
      </c>
      <c r="D58" s="6" t="n">
        <v>21</v>
      </c>
      <c r="E58" s="29" t="n">
        <v>1.06</v>
      </c>
      <c r="F58" s="6" t="n">
        <v>1</v>
      </c>
      <c r="G58" s="6" t="s">
        <v>6868</v>
      </c>
      <c r="H58" s="6"/>
    </row>
    <row r="59" customFormat="false" ht="15" hidden="false" customHeight="true" outlineLevel="0" collapsed="false">
      <c r="A59" s="6" t="s">
        <v>206</v>
      </c>
      <c r="B59" s="6" t="s">
        <v>7998</v>
      </c>
      <c r="C59" s="28" t="n">
        <v>3600</v>
      </c>
      <c r="D59" s="6" t="n">
        <v>24</v>
      </c>
      <c r="E59" s="29" t="n">
        <v>0.66</v>
      </c>
      <c r="F59" s="6" t="n">
        <v>1</v>
      </c>
      <c r="G59" s="6" t="s">
        <v>6868</v>
      </c>
      <c r="H59" s="6"/>
    </row>
    <row r="60" customFormat="false" ht="15" hidden="false" customHeight="true" outlineLevel="0" collapsed="false">
      <c r="A60" s="6" t="s">
        <v>210</v>
      </c>
      <c r="B60" s="6" t="s">
        <v>7998</v>
      </c>
      <c r="C60" s="28" t="n">
        <v>3600</v>
      </c>
      <c r="D60" s="6" t="n">
        <v>18</v>
      </c>
      <c r="E60" s="29" t="n">
        <v>1.17</v>
      </c>
      <c r="F60" s="6" t="n">
        <v>1</v>
      </c>
      <c r="G60" s="6" t="s">
        <v>7927</v>
      </c>
      <c r="H60" s="6"/>
    </row>
    <row r="61" customFormat="false" ht="15" hidden="false" customHeight="true" outlineLevel="0" collapsed="false">
      <c r="A61" s="6" t="s">
        <v>211</v>
      </c>
      <c r="B61" s="6" t="s">
        <v>7998</v>
      </c>
      <c r="C61" s="28" t="n">
        <v>3600</v>
      </c>
      <c r="D61" s="6" t="n">
        <v>22</v>
      </c>
      <c r="E61" s="29" t="n">
        <v>0.7</v>
      </c>
      <c r="F61" s="6" t="n">
        <v>1</v>
      </c>
      <c r="G61" s="6" t="s">
        <v>7927</v>
      </c>
      <c r="H61" s="6"/>
    </row>
    <row r="62" customFormat="false" ht="15" hidden="false" customHeight="true" outlineLevel="0" collapsed="false">
      <c r="A62" s="6" t="s">
        <v>6353</v>
      </c>
      <c r="B62" s="6" t="s">
        <v>7998</v>
      </c>
      <c r="C62" s="28" t="n">
        <v>3600</v>
      </c>
      <c r="D62" s="6" t="n">
        <v>14</v>
      </c>
      <c r="E62" s="29" t="n">
        <v>0.63</v>
      </c>
      <c r="F62" s="6" t="n">
        <v>1</v>
      </c>
      <c r="G62" s="6" t="n">
        <v>8</v>
      </c>
      <c r="H62" s="6"/>
    </row>
    <row r="63" customFormat="false" ht="15" hidden="false" customHeight="true" outlineLevel="0" collapsed="false">
      <c r="A63" s="6" t="s">
        <v>215</v>
      </c>
      <c r="B63" s="6" t="s">
        <v>7998</v>
      </c>
      <c r="C63" s="28" t="n">
        <v>2900</v>
      </c>
      <c r="D63" s="6" t="n">
        <v>20</v>
      </c>
      <c r="E63" s="29" t="n">
        <v>0.94</v>
      </c>
      <c r="F63" s="6" t="n">
        <v>1</v>
      </c>
      <c r="G63" s="6" t="s">
        <v>7927</v>
      </c>
      <c r="H63" s="6"/>
    </row>
    <row r="64" customFormat="false" ht="15" hidden="false" customHeight="true" outlineLevel="0" collapsed="false">
      <c r="A64" s="6" t="s">
        <v>214</v>
      </c>
      <c r="B64" s="6" t="s">
        <v>7998</v>
      </c>
      <c r="C64" s="28" t="n">
        <v>2900</v>
      </c>
      <c r="D64" s="6" t="n">
        <v>9</v>
      </c>
      <c r="E64" s="29" t="n">
        <v>0.33</v>
      </c>
      <c r="F64" s="6" t="n">
        <v>1</v>
      </c>
      <c r="G64" s="6" t="s">
        <v>6868</v>
      </c>
      <c r="H64" s="6"/>
    </row>
    <row r="65" customFormat="false" ht="15" hidden="false" customHeight="true" outlineLevel="0" collapsed="false">
      <c r="A65" s="6" t="s">
        <v>342</v>
      </c>
      <c r="B65" s="6" t="s">
        <v>7998</v>
      </c>
      <c r="C65" s="28" t="n">
        <v>2900</v>
      </c>
      <c r="D65" s="6" t="n">
        <v>23</v>
      </c>
      <c r="E65" s="29" t="n">
        <v>0.31</v>
      </c>
      <c r="F65" s="6" t="n">
        <v>1</v>
      </c>
      <c r="G65" s="6" t="n">
        <v>1</v>
      </c>
      <c r="H65" s="6"/>
    </row>
    <row r="66" customFormat="false" ht="15" hidden="false" customHeight="true" outlineLevel="0" collapsed="false">
      <c r="A66" s="6" t="s">
        <v>242</v>
      </c>
      <c r="B66" s="6" t="s">
        <v>7998</v>
      </c>
      <c r="C66" s="28" t="n">
        <v>2900</v>
      </c>
      <c r="D66" s="6" t="n">
        <v>16</v>
      </c>
      <c r="E66" s="29" t="n">
        <v>0.36</v>
      </c>
      <c r="F66" s="6" t="n">
        <v>1</v>
      </c>
      <c r="G66" s="6" t="s">
        <v>6870</v>
      </c>
      <c r="H66" s="6"/>
    </row>
    <row r="67" customFormat="false" ht="15" hidden="false" customHeight="true" outlineLevel="0" collapsed="false">
      <c r="A67" s="6" t="s">
        <v>3340</v>
      </c>
      <c r="B67" s="6" t="s">
        <v>7998</v>
      </c>
      <c r="C67" s="28" t="n">
        <v>2900</v>
      </c>
      <c r="D67" s="6" t="n">
        <v>22</v>
      </c>
      <c r="E67" s="29" t="n">
        <v>0.47</v>
      </c>
      <c r="F67" s="6" t="n">
        <v>1</v>
      </c>
      <c r="G67" s="6" t="n">
        <v>4</v>
      </c>
      <c r="H67" s="6"/>
    </row>
    <row r="68" customFormat="false" ht="15" hidden="false" customHeight="true" outlineLevel="0" collapsed="false">
      <c r="A68" s="6" t="s">
        <v>243</v>
      </c>
      <c r="B68" s="6" t="s">
        <v>7998</v>
      </c>
      <c r="C68" s="28" t="n">
        <v>2900</v>
      </c>
      <c r="D68" s="6" t="n">
        <v>13</v>
      </c>
      <c r="E68" s="29" t="n">
        <v>0.4</v>
      </c>
      <c r="F68" s="6" t="n">
        <v>1</v>
      </c>
      <c r="G68" s="6" t="s">
        <v>6870</v>
      </c>
      <c r="H68" s="6"/>
    </row>
    <row r="69" customFormat="false" ht="15" hidden="false" customHeight="true" outlineLevel="0" collapsed="false">
      <c r="A69" s="6" t="s">
        <v>153</v>
      </c>
      <c r="B69" s="6" t="s">
        <v>8001</v>
      </c>
      <c r="C69" s="28" t="n">
        <v>2900</v>
      </c>
      <c r="D69" s="6" t="n">
        <v>29</v>
      </c>
      <c r="E69" s="29" t="n">
        <v>0.91</v>
      </c>
      <c r="F69" s="6" t="n">
        <v>1</v>
      </c>
      <c r="G69" s="6" t="n">
        <v>3</v>
      </c>
      <c r="H69" s="6"/>
    </row>
    <row r="70" customFormat="false" ht="15" hidden="false" customHeight="true" outlineLevel="0" collapsed="false">
      <c r="A70" s="6" t="s">
        <v>5577</v>
      </c>
      <c r="B70" s="6" t="s">
        <v>7997</v>
      </c>
      <c r="C70" s="28" t="n">
        <v>2900</v>
      </c>
      <c r="D70" s="6" t="n">
        <v>30</v>
      </c>
      <c r="E70" s="29" t="n">
        <v>0.35</v>
      </c>
      <c r="F70" s="6" t="n">
        <v>1</v>
      </c>
      <c r="G70" s="6" t="n">
        <v>7</v>
      </c>
      <c r="H70" s="6"/>
    </row>
    <row r="71" customFormat="false" ht="15" hidden="false" customHeight="true" outlineLevel="0" collapsed="false">
      <c r="A71" s="6" t="s">
        <v>212</v>
      </c>
      <c r="B71" s="6" t="s">
        <v>7998</v>
      </c>
      <c r="C71" s="28" t="n">
        <v>2900</v>
      </c>
      <c r="D71" s="6" t="n">
        <v>21</v>
      </c>
      <c r="E71" s="29" t="n">
        <v>0.43</v>
      </c>
      <c r="F71" s="6" t="n">
        <v>1</v>
      </c>
      <c r="G71" s="6" t="s">
        <v>6868</v>
      </c>
      <c r="H71" s="6"/>
    </row>
    <row r="72" customFormat="false" ht="15" hidden="false" customHeight="true" outlineLevel="0" collapsed="false">
      <c r="A72" s="6" t="s">
        <v>213</v>
      </c>
      <c r="B72" s="6" t="s">
        <v>7998</v>
      </c>
      <c r="C72" s="28" t="n">
        <v>2900</v>
      </c>
      <c r="D72" s="6" t="n">
        <v>19</v>
      </c>
      <c r="E72" s="29" t="n">
        <v>1.33</v>
      </c>
      <c r="F72" s="6" t="n">
        <v>1</v>
      </c>
      <c r="G72" s="6" t="s">
        <v>6868</v>
      </c>
      <c r="H72" s="6"/>
    </row>
    <row r="73" customFormat="false" ht="15" hidden="false" customHeight="true" outlineLevel="0" collapsed="false">
      <c r="A73" s="6" t="s">
        <v>2620</v>
      </c>
      <c r="B73" s="6" t="s">
        <v>7997</v>
      </c>
      <c r="C73" s="28" t="n">
        <v>2400</v>
      </c>
      <c r="D73" s="6" t="n">
        <v>16</v>
      </c>
      <c r="E73" s="29" t="n">
        <v>0.27</v>
      </c>
      <c r="F73" s="6" t="n">
        <v>1</v>
      </c>
      <c r="G73" s="6" t="n">
        <v>4</v>
      </c>
      <c r="H73" s="6"/>
    </row>
    <row r="74" customFormat="false" ht="15" hidden="false" customHeight="true" outlineLevel="0" collapsed="false">
      <c r="A74" s="6" t="s">
        <v>244</v>
      </c>
      <c r="B74" s="6" t="s">
        <v>7998</v>
      </c>
      <c r="C74" s="28" t="n">
        <v>2400</v>
      </c>
      <c r="D74" s="6" t="n">
        <v>17</v>
      </c>
      <c r="E74" s="29" t="n">
        <v>0.36</v>
      </c>
      <c r="F74" s="6" t="n">
        <v>1</v>
      </c>
      <c r="G74" s="6" t="s">
        <v>6870</v>
      </c>
      <c r="H74" s="6"/>
    </row>
    <row r="75" customFormat="false" ht="15" hidden="false" customHeight="true" outlineLevel="0" collapsed="false">
      <c r="A75" s="6" t="s">
        <v>156</v>
      </c>
      <c r="B75" s="6" t="s">
        <v>7999</v>
      </c>
      <c r="C75" s="28" t="n">
        <v>2400</v>
      </c>
      <c r="D75" s="6" t="n">
        <v>13</v>
      </c>
      <c r="E75" s="29" t="n">
        <v>0.75</v>
      </c>
      <c r="F75" s="6" t="n">
        <v>1</v>
      </c>
      <c r="G75" s="6" t="n">
        <v>3</v>
      </c>
      <c r="H75" s="6"/>
    </row>
    <row r="76" customFormat="false" ht="15" hidden="false" customHeight="true" outlineLevel="0" collapsed="false">
      <c r="A76" s="6" t="s">
        <v>5445</v>
      </c>
      <c r="B76" s="6" t="s">
        <v>7998</v>
      </c>
      <c r="C76" s="28" t="n">
        <v>2400</v>
      </c>
      <c r="D76" s="6" t="n">
        <v>23</v>
      </c>
      <c r="E76" s="29" t="n">
        <v>0.38</v>
      </c>
      <c r="F76" s="6" t="n">
        <v>1</v>
      </c>
      <c r="G76" s="6" t="n">
        <v>7</v>
      </c>
      <c r="H76" s="6"/>
    </row>
    <row r="77" customFormat="false" ht="15" hidden="false" customHeight="true" outlineLevel="0" collapsed="false">
      <c r="A77" s="6" t="s">
        <v>216</v>
      </c>
      <c r="B77" s="6" t="s">
        <v>7998</v>
      </c>
      <c r="C77" s="28" t="n">
        <v>2400</v>
      </c>
      <c r="D77" s="6" t="n">
        <v>23</v>
      </c>
      <c r="E77" s="29" t="n">
        <v>0.54</v>
      </c>
      <c r="F77" s="6" t="n">
        <v>1</v>
      </c>
      <c r="G77" s="6" t="s">
        <v>7927</v>
      </c>
      <c r="H77" s="6"/>
    </row>
    <row r="78" customFormat="false" ht="15" hidden="false" customHeight="true" outlineLevel="0" collapsed="false">
      <c r="A78" s="6" t="s">
        <v>3089</v>
      </c>
      <c r="B78" s="6" t="s">
        <v>7998</v>
      </c>
      <c r="C78" s="28" t="n">
        <v>1900</v>
      </c>
      <c r="D78" s="6" t="n">
        <v>16</v>
      </c>
      <c r="E78" s="29" t="n">
        <v>0.41</v>
      </c>
      <c r="F78" s="6" t="n">
        <v>1</v>
      </c>
      <c r="G78" s="6" t="n">
        <v>4</v>
      </c>
      <c r="H78" s="6"/>
    </row>
    <row r="79" customFormat="false" ht="15" hidden="false" customHeight="true" outlineLevel="0" collapsed="false">
      <c r="A79" s="6" t="s">
        <v>219</v>
      </c>
      <c r="B79" s="6" t="s">
        <v>7998</v>
      </c>
      <c r="C79" s="28" t="n">
        <v>1900</v>
      </c>
      <c r="D79" s="6" t="n">
        <v>22</v>
      </c>
      <c r="E79" s="29" t="n">
        <v>0.8</v>
      </c>
      <c r="F79" s="6" t="n">
        <v>1</v>
      </c>
      <c r="G79" s="6" t="s">
        <v>6868</v>
      </c>
      <c r="H79" s="6"/>
    </row>
    <row r="80" customFormat="false" ht="15" hidden="false" customHeight="true" outlineLevel="0" collapsed="false">
      <c r="A80" s="6" t="s">
        <v>343</v>
      </c>
      <c r="B80" s="6" t="s">
        <v>7998</v>
      </c>
      <c r="C80" s="28" t="n">
        <v>1900</v>
      </c>
      <c r="D80" s="6" t="n">
        <v>16</v>
      </c>
      <c r="E80" s="29" t="n">
        <v>0.4</v>
      </c>
      <c r="F80" s="6" t="n">
        <v>1</v>
      </c>
      <c r="G80" s="6" t="n">
        <v>1</v>
      </c>
      <c r="H80" s="6"/>
    </row>
    <row r="81" customFormat="false" ht="15" hidden="false" customHeight="true" outlineLevel="0" collapsed="false">
      <c r="A81" s="6" t="s">
        <v>157</v>
      </c>
      <c r="B81" s="6" t="s">
        <v>7999</v>
      </c>
      <c r="C81" s="28" t="n">
        <v>1900</v>
      </c>
      <c r="D81" s="6" t="n">
        <v>30</v>
      </c>
      <c r="E81" s="29" t="n">
        <v>0.82</v>
      </c>
      <c r="F81" s="6" t="n">
        <v>1</v>
      </c>
      <c r="G81" s="6" t="n">
        <v>3</v>
      </c>
      <c r="H81" s="6"/>
    </row>
    <row r="82" customFormat="false" ht="15" hidden="false" customHeight="true" outlineLevel="0" collapsed="false">
      <c r="A82" s="6" t="s">
        <v>344</v>
      </c>
      <c r="B82" s="6" t="s">
        <v>7997</v>
      </c>
      <c r="C82" s="28" t="n">
        <v>1900</v>
      </c>
      <c r="D82" s="6" t="n">
        <v>26</v>
      </c>
      <c r="E82" s="29" t="n">
        <v>0.41</v>
      </c>
      <c r="F82" s="6" t="n">
        <v>1</v>
      </c>
      <c r="G82" s="6" t="n">
        <v>2</v>
      </c>
      <c r="H82" s="6"/>
    </row>
    <row r="83" customFormat="false" ht="15" hidden="false" customHeight="true" outlineLevel="0" collapsed="false">
      <c r="A83" s="6" t="s">
        <v>245</v>
      </c>
      <c r="B83" s="6" t="s">
        <v>7998</v>
      </c>
      <c r="C83" s="28" t="n">
        <v>1900</v>
      </c>
      <c r="D83" s="6" t="n">
        <v>24</v>
      </c>
      <c r="E83" s="29" t="n">
        <v>0.4</v>
      </c>
      <c r="F83" s="6" t="n">
        <v>1</v>
      </c>
      <c r="G83" s="6" t="s">
        <v>6870</v>
      </c>
      <c r="H83" s="6"/>
    </row>
    <row r="84" customFormat="false" ht="15" hidden="false" customHeight="true" outlineLevel="0" collapsed="false">
      <c r="A84" s="6" t="s">
        <v>217</v>
      </c>
      <c r="B84" s="6" t="s">
        <v>7999</v>
      </c>
      <c r="C84" s="28" t="n">
        <v>1900</v>
      </c>
      <c r="D84" s="6" t="n">
        <v>22</v>
      </c>
      <c r="E84" s="29" t="n">
        <v>0.73</v>
      </c>
      <c r="F84" s="6" t="n">
        <v>1</v>
      </c>
      <c r="G84" s="6" t="s">
        <v>6868</v>
      </c>
      <c r="H84" s="6"/>
    </row>
    <row r="85" customFormat="false" ht="15" hidden="false" customHeight="true" outlineLevel="0" collapsed="false">
      <c r="A85" s="6" t="s">
        <v>246</v>
      </c>
      <c r="B85" s="6" t="s">
        <v>7998</v>
      </c>
      <c r="C85" s="28" t="n">
        <v>1900</v>
      </c>
      <c r="D85" s="6" t="n">
        <v>23</v>
      </c>
      <c r="E85" s="29" t="n">
        <v>0.41</v>
      </c>
      <c r="F85" s="6" t="n">
        <v>1</v>
      </c>
      <c r="G85" s="6" t="s">
        <v>6870</v>
      </c>
      <c r="H85" s="6"/>
    </row>
    <row r="86" customFormat="false" ht="15" hidden="false" customHeight="true" outlineLevel="0" collapsed="false">
      <c r="A86" s="6" t="s">
        <v>218</v>
      </c>
      <c r="B86" s="6" t="s">
        <v>7997</v>
      </c>
      <c r="C86" s="28" t="n">
        <v>1900</v>
      </c>
      <c r="D86" s="6" t="n">
        <v>28</v>
      </c>
      <c r="E86" s="29" t="n">
        <v>0.66</v>
      </c>
      <c r="F86" s="6" t="n">
        <v>1</v>
      </c>
      <c r="G86" s="6" t="s">
        <v>6868</v>
      </c>
      <c r="H86" s="6"/>
    </row>
    <row r="87" customFormat="false" ht="15" hidden="false" customHeight="true" outlineLevel="0" collapsed="false">
      <c r="A87" s="6" t="s">
        <v>345</v>
      </c>
      <c r="B87" s="6" t="s">
        <v>7997</v>
      </c>
      <c r="C87" s="28" t="n">
        <v>1600</v>
      </c>
      <c r="D87" s="6" t="n">
        <v>25</v>
      </c>
      <c r="E87" s="29" t="n">
        <v>0.31</v>
      </c>
      <c r="F87" s="6" t="n">
        <v>1</v>
      </c>
      <c r="G87" s="6" t="n">
        <v>1</v>
      </c>
      <c r="H87" s="6"/>
    </row>
    <row r="88" customFormat="false" ht="15" hidden="false" customHeight="true" outlineLevel="0" collapsed="false">
      <c r="A88" s="6" t="s">
        <v>158</v>
      </c>
      <c r="B88" s="6" t="s">
        <v>7999</v>
      </c>
      <c r="C88" s="28" t="n">
        <v>1600</v>
      </c>
      <c r="D88" s="6" t="n">
        <v>29</v>
      </c>
      <c r="E88" s="29" t="n">
        <v>0.85</v>
      </c>
      <c r="F88" s="6" t="n">
        <v>1</v>
      </c>
      <c r="G88" s="6" t="n">
        <v>3</v>
      </c>
      <c r="H88" s="6"/>
    </row>
    <row r="89" customFormat="false" ht="15" hidden="false" customHeight="true" outlineLevel="0" collapsed="false">
      <c r="A89" s="6" t="s">
        <v>159</v>
      </c>
      <c r="B89" s="6" t="s">
        <v>7998</v>
      </c>
      <c r="C89" s="28" t="n">
        <v>1600</v>
      </c>
      <c r="D89" s="6" t="n">
        <v>33</v>
      </c>
      <c r="E89" s="29" t="n">
        <v>1.19</v>
      </c>
      <c r="F89" s="6" t="n">
        <v>1</v>
      </c>
      <c r="G89" s="6" t="n">
        <v>3</v>
      </c>
      <c r="H89" s="6"/>
    </row>
    <row r="90" customFormat="false" ht="15" hidden="false" customHeight="true" outlineLevel="0" collapsed="false">
      <c r="A90" s="6" t="s">
        <v>222</v>
      </c>
      <c r="B90" s="6" t="s">
        <v>7998</v>
      </c>
      <c r="C90" s="28" t="n">
        <v>1600</v>
      </c>
      <c r="D90" s="6" t="n">
        <v>22</v>
      </c>
      <c r="E90" s="29" t="n">
        <v>1.13</v>
      </c>
      <c r="F90" s="6" t="n">
        <v>1</v>
      </c>
      <c r="G90" s="6" t="s">
        <v>7927</v>
      </c>
      <c r="H90" s="6"/>
    </row>
    <row r="91" customFormat="false" ht="15" hidden="false" customHeight="true" outlineLevel="0" collapsed="false">
      <c r="A91" s="6" t="s">
        <v>4331</v>
      </c>
      <c r="B91" s="6" t="s">
        <v>7998</v>
      </c>
      <c r="C91" s="28" t="n">
        <v>1600</v>
      </c>
      <c r="D91" s="6" t="n">
        <v>29</v>
      </c>
      <c r="E91" s="29" t="n">
        <v>0.55</v>
      </c>
      <c r="F91" s="6" t="n">
        <v>1</v>
      </c>
      <c r="G91" s="6" t="n">
        <v>6</v>
      </c>
      <c r="H91" s="6"/>
    </row>
    <row r="92" customFormat="false" ht="15" hidden="false" customHeight="true" outlineLevel="0" collapsed="false">
      <c r="A92" s="6" t="s">
        <v>4736</v>
      </c>
      <c r="B92" s="6" t="s">
        <v>7998</v>
      </c>
      <c r="C92" s="28" t="n">
        <v>1600</v>
      </c>
      <c r="D92" s="6" t="n">
        <v>23</v>
      </c>
      <c r="E92" s="29" t="n">
        <v>0.42</v>
      </c>
      <c r="F92" s="6" t="n">
        <v>1</v>
      </c>
      <c r="G92" s="6" t="n">
        <v>6</v>
      </c>
      <c r="H92" s="6"/>
    </row>
    <row r="93" customFormat="false" ht="15" hidden="false" customHeight="true" outlineLevel="0" collapsed="false">
      <c r="A93" s="6" t="s">
        <v>220</v>
      </c>
      <c r="B93" s="6" t="s">
        <v>7998</v>
      </c>
      <c r="C93" s="28" t="n">
        <v>1600</v>
      </c>
      <c r="D93" s="6" t="n">
        <v>55</v>
      </c>
      <c r="E93" s="29" t="n">
        <v>1.65</v>
      </c>
      <c r="F93" s="6" t="n">
        <v>1</v>
      </c>
      <c r="G93" s="6" t="s">
        <v>6868</v>
      </c>
      <c r="H93" s="6"/>
    </row>
    <row r="94" customFormat="false" ht="15" hidden="false" customHeight="true" outlineLevel="0" collapsed="false">
      <c r="A94" s="6" t="s">
        <v>160</v>
      </c>
      <c r="B94" s="6" t="s">
        <v>7998</v>
      </c>
      <c r="C94" s="28" t="n">
        <v>1600</v>
      </c>
      <c r="D94" s="6" t="n">
        <v>31</v>
      </c>
      <c r="E94" s="29" t="n">
        <v>1.05</v>
      </c>
      <c r="F94" s="6" t="n">
        <v>1</v>
      </c>
      <c r="G94" s="6" t="n">
        <v>3</v>
      </c>
      <c r="H94" s="6"/>
    </row>
    <row r="95" customFormat="false" ht="15" hidden="false" customHeight="true" outlineLevel="0" collapsed="false">
      <c r="A95" s="6" t="s">
        <v>221</v>
      </c>
      <c r="B95" s="6" t="s">
        <v>7998</v>
      </c>
      <c r="C95" s="28" t="n">
        <v>1600</v>
      </c>
      <c r="D95" s="6" t="n">
        <v>29</v>
      </c>
      <c r="E95" s="29" t="n">
        <v>0.87</v>
      </c>
      <c r="F95" s="6" t="n">
        <v>1</v>
      </c>
      <c r="G95" s="6" t="s">
        <v>7927</v>
      </c>
      <c r="H95" s="6"/>
    </row>
    <row r="96" customFormat="false" ht="15" hidden="false" customHeight="true" outlineLevel="0" collapsed="false">
      <c r="A96" s="6" t="s">
        <v>6392</v>
      </c>
      <c r="B96" s="6" t="s">
        <v>7998</v>
      </c>
      <c r="C96" s="28" t="n">
        <v>1600</v>
      </c>
      <c r="D96" s="6" t="n">
        <v>16</v>
      </c>
      <c r="E96" s="29" t="n">
        <v>0.5</v>
      </c>
      <c r="F96" s="6" t="n">
        <v>1</v>
      </c>
      <c r="G96" s="6" t="s">
        <v>6867</v>
      </c>
      <c r="H96" s="6"/>
    </row>
    <row r="97" customFormat="false" ht="15" hidden="false" customHeight="true" outlineLevel="0" collapsed="false">
      <c r="A97" s="6" t="s">
        <v>346</v>
      </c>
      <c r="B97" s="6" t="s">
        <v>7997</v>
      </c>
      <c r="C97" s="28" t="n">
        <v>1600</v>
      </c>
      <c r="D97" s="6" t="n">
        <v>39</v>
      </c>
      <c r="E97" s="29" t="n">
        <v>0.35</v>
      </c>
      <c r="F97" s="6" t="n">
        <v>1</v>
      </c>
      <c r="G97" s="6" t="n">
        <v>2</v>
      </c>
      <c r="H97" s="6"/>
    </row>
    <row r="98" customFormat="false" ht="15" hidden="false" customHeight="true" outlineLevel="0" collapsed="false">
      <c r="A98" s="6" t="s">
        <v>2992</v>
      </c>
      <c r="B98" s="6" t="s">
        <v>7997</v>
      </c>
      <c r="C98" s="28" t="n">
        <v>1300</v>
      </c>
      <c r="D98" s="6" t="n">
        <v>19</v>
      </c>
      <c r="E98" s="29" t="n">
        <v>0.34</v>
      </c>
      <c r="F98" s="6" t="n">
        <v>1</v>
      </c>
      <c r="G98" s="6" t="n">
        <v>4</v>
      </c>
      <c r="H98" s="6"/>
    </row>
    <row r="99" customFormat="false" ht="15" hidden="false" customHeight="true" outlineLevel="0" collapsed="false">
      <c r="A99" s="6" t="s">
        <v>161</v>
      </c>
      <c r="B99" s="6" t="s">
        <v>7998</v>
      </c>
      <c r="C99" s="28" t="n">
        <v>1300</v>
      </c>
      <c r="D99" s="6" t="n">
        <v>11</v>
      </c>
      <c r="E99" s="29" t="n">
        <v>0.77</v>
      </c>
      <c r="F99" s="6" t="n">
        <v>1</v>
      </c>
      <c r="G99" s="6" t="n">
        <v>2</v>
      </c>
      <c r="H99" s="6"/>
    </row>
    <row r="100" customFormat="false" ht="15" hidden="false" customHeight="true" outlineLevel="0" collapsed="false">
      <c r="A100" s="6" t="s">
        <v>347</v>
      </c>
      <c r="B100" s="6" t="s">
        <v>7998</v>
      </c>
      <c r="C100" s="28" t="n">
        <v>1300</v>
      </c>
      <c r="D100" s="6" t="n">
        <v>18</v>
      </c>
      <c r="E100" s="29" t="n">
        <v>0.35</v>
      </c>
      <c r="F100" s="6" t="n">
        <v>1</v>
      </c>
      <c r="G100" s="6" t="n">
        <v>1</v>
      </c>
      <c r="H100" s="6"/>
    </row>
    <row r="101" customFormat="false" ht="15" hidden="false" customHeight="true" outlineLevel="0" collapsed="false">
      <c r="A101" s="6" t="s">
        <v>348</v>
      </c>
      <c r="B101" s="6" t="s">
        <v>7997</v>
      </c>
      <c r="C101" s="28" t="n">
        <v>1300</v>
      </c>
      <c r="D101" s="6" t="n">
        <v>28</v>
      </c>
      <c r="E101" s="29" t="n">
        <v>0.3</v>
      </c>
      <c r="F101" s="6" t="n">
        <v>1</v>
      </c>
      <c r="G101" s="6" t="n">
        <v>1</v>
      </c>
      <c r="H101" s="6"/>
    </row>
    <row r="102" customFormat="false" ht="15" hidden="false" customHeight="true" outlineLevel="0" collapsed="false">
      <c r="A102" s="6" t="s">
        <v>5107</v>
      </c>
      <c r="B102" s="6" t="s">
        <v>7998</v>
      </c>
      <c r="C102" s="28" t="n">
        <v>1300</v>
      </c>
      <c r="D102" s="6" t="n">
        <v>23</v>
      </c>
      <c r="E102" s="29" t="n">
        <v>0.58</v>
      </c>
      <c r="F102" s="6" t="n">
        <v>1</v>
      </c>
      <c r="G102" s="6" t="n">
        <v>6</v>
      </c>
      <c r="H102" s="6"/>
    </row>
    <row r="103" customFormat="false" ht="15" hidden="false" customHeight="true" outlineLevel="0" collapsed="false">
      <c r="A103" s="6" t="s">
        <v>349</v>
      </c>
      <c r="B103" s="6" t="s">
        <v>7998</v>
      </c>
      <c r="C103" s="28" t="n">
        <v>1300</v>
      </c>
      <c r="D103" s="6" t="n">
        <v>22</v>
      </c>
      <c r="E103" s="29" t="n">
        <v>0.22</v>
      </c>
      <c r="F103" s="6" t="n">
        <v>1</v>
      </c>
      <c r="G103" s="6" t="n">
        <v>2</v>
      </c>
      <c r="H103" s="6"/>
    </row>
    <row r="104" customFormat="false" ht="15" hidden="false" customHeight="true" outlineLevel="0" collapsed="false">
      <c r="A104" s="6" t="s">
        <v>227</v>
      </c>
      <c r="B104" s="6" t="s">
        <v>7998</v>
      </c>
      <c r="C104" s="28" t="n">
        <v>1300</v>
      </c>
      <c r="D104" s="6" t="n">
        <v>18</v>
      </c>
      <c r="E104" s="29" t="n">
        <v>1.13</v>
      </c>
      <c r="F104" s="6" t="n">
        <v>1</v>
      </c>
      <c r="G104" s="6" t="s">
        <v>7927</v>
      </c>
      <c r="H104" s="6"/>
    </row>
    <row r="105" customFormat="false" ht="15" hidden="false" customHeight="true" outlineLevel="0" collapsed="false">
      <c r="A105" s="6" t="s">
        <v>223</v>
      </c>
      <c r="B105" s="6" t="s">
        <v>7999</v>
      </c>
      <c r="C105" s="28" t="n">
        <v>1300</v>
      </c>
      <c r="D105" s="6" t="n">
        <v>19</v>
      </c>
      <c r="E105" s="29" t="n">
        <v>0.94</v>
      </c>
      <c r="F105" s="6" t="n">
        <v>1</v>
      </c>
      <c r="G105" s="6" t="s">
        <v>6868</v>
      </c>
      <c r="H105" s="6"/>
    </row>
    <row r="106" customFormat="false" ht="15" hidden="false" customHeight="true" outlineLevel="0" collapsed="false">
      <c r="A106" s="6" t="s">
        <v>226</v>
      </c>
      <c r="B106" s="6" t="s">
        <v>7998</v>
      </c>
      <c r="C106" s="28" t="n">
        <v>1300</v>
      </c>
      <c r="D106" s="6" t="n">
        <v>10</v>
      </c>
      <c r="E106" s="29" t="n">
        <v>0.66</v>
      </c>
      <c r="F106" s="6" t="n">
        <v>1</v>
      </c>
      <c r="G106" s="6" t="s">
        <v>6868</v>
      </c>
      <c r="H106" s="6"/>
    </row>
    <row r="107" customFormat="false" ht="15" hidden="false" customHeight="true" outlineLevel="0" collapsed="false">
      <c r="A107" s="6" t="s">
        <v>5566</v>
      </c>
      <c r="B107" s="6" t="s">
        <v>7997</v>
      </c>
      <c r="C107" s="28" t="n">
        <v>1300</v>
      </c>
      <c r="D107" s="6" t="n">
        <v>13</v>
      </c>
      <c r="E107" s="29" t="n">
        <v>0.33</v>
      </c>
      <c r="F107" s="6" t="n">
        <v>1</v>
      </c>
      <c r="G107" s="6" t="n">
        <v>7</v>
      </c>
      <c r="H107" s="6"/>
    </row>
    <row r="108" customFormat="false" ht="15" hidden="false" customHeight="true" outlineLevel="0" collapsed="false">
      <c r="A108" s="6" t="s">
        <v>225</v>
      </c>
      <c r="B108" s="6" t="s">
        <v>7998</v>
      </c>
      <c r="C108" s="28" t="n">
        <v>1300</v>
      </c>
      <c r="D108" s="6" t="n">
        <v>13</v>
      </c>
      <c r="E108" s="29" t="n">
        <v>0.66</v>
      </c>
      <c r="F108" s="6" t="n">
        <v>1</v>
      </c>
      <c r="G108" s="6" t="s">
        <v>6868</v>
      </c>
      <c r="H108" s="6"/>
    </row>
    <row r="109" customFormat="false" ht="15" hidden="false" customHeight="true" outlineLevel="0" collapsed="false">
      <c r="A109" s="6" t="s">
        <v>224</v>
      </c>
      <c r="B109" s="6" t="s">
        <v>7998</v>
      </c>
      <c r="C109" s="28" t="n">
        <v>1300</v>
      </c>
      <c r="D109" s="6" t="n">
        <v>16</v>
      </c>
      <c r="E109" s="29" t="n">
        <v>1.47</v>
      </c>
      <c r="F109" s="6" t="n">
        <v>1</v>
      </c>
      <c r="G109" s="6" t="s">
        <v>6868</v>
      </c>
      <c r="H109" s="6"/>
    </row>
    <row r="110" customFormat="false" ht="15" hidden="false" customHeight="true" outlineLevel="0" collapsed="false">
      <c r="A110" s="6" t="s">
        <v>350</v>
      </c>
      <c r="B110" s="6" t="s">
        <v>7998</v>
      </c>
      <c r="C110" s="28" t="n">
        <v>1000</v>
      </c>
      <c r="D110" s="6" t="n">
        <v>34</v>
      </c>
      <c r="E110" s="29" t="n">
        <v>0.34</v>
      </c>
      <c r="F110" s="6" t="n">
        <v>1</v>
      </c>
      <c r="G110" s="6" t="n">
        <v>1</v>
      </c>
      <c r="H110" s="6"/>
    </row>
    <row r="111" customFormat="false" ht="15" hidden="false" customHeight="true" outlineLevel="0" collapsed="false">
      <c r="A111" s="6" t="s">
        <v>3233</v>
      </c>
      <c r="B111" s="6" t="s">
        <v>7998</v>
      </c>
      <c r="C111" s="28" t="n">
        <v>1000</v>
      </c>
      <c r="D111" s="6" t="n">
        <v>18</v>
      </c>
      <c r="E111" s="29" t="n">
        <v>0.42</v>
      </c>
      <c r="F111" s="6" t="n">
        <v>1</v>
      </c>
      <c r="G111" s="6" t="n">
        <v>4</v>
      </c>
      <c r="H111" s="6"/>
    </row>
    <row r="112" customFormat="false" ht="15" hidden="false" customHeight="true" outlineLevel="0" collapsed="false">
      <c r="A112" s="6" t="s">
        <v>231</v>
      </c>
      <c r="B112" s="6" t="s">
        <v>7998</v>
      </c>
      <c r="C112" s="28" t="n">
        <v>1000</v>
      </c>
      <c r="D112" s="6" t="n">
        <v>22</v>
      </c>
      <c r="E112" s="29" t="n">
        <v>0.74</v>
      </c>
      <c r="F112" s="6" t="n">
        <v>1</v>
      </c>
      <c r="G112" s="6" t="s">
        <v>7927</v>
      </c>
      <c r="H112" s="6"/>
    </row>
    <row r="113" customFormat="false" ht="15" hidden="false" customHeight="true" outlineLevel="0" collapsed="false">
      <c r="A113" s="6" t="s">
        <v>351</v>
      </c>
      <c r="B113" s="6" t="s">
        <v>8002</v>
      </c>
      <c r="C113" s="28" t="n">
        <v>1000</v>
      </c>
      <c r="D113" s="6" t="n">
        <v>32</v>
      </c>
      <c r="E113" s="29" t="n">
        <v>0.53</v>
      </c>
      <c r="F113" s="6" t="n">
        <v>1</v>
      </c>
      <c r="G113" s="6" t="n">
        <v>1</v>
      </c>
      <c r="H113" s="6"/>
    </row>
    <row r="114" customFormat="false" ht="15" hidden="false" customHeight="true" outlineLevel="0" collapsed="false">
      <c r="A114" s="6" t="s">
        <v>352</v>
      </c>
      <c r="B114" s="6" t="s">
        <v>7997</v>
      </c>
      <c r="C114" s="28" t="n">
        <v>1000</v>
      </c>
      <c r="D114" s="6" t="n">
        <v>33</v>
      </c>
      <c r="E114" s="29" t="n">
        <v>0.32</v>
      </c>
      <c r="F114" s="6" t="n">
        <v>1</v>
      </c>
      <c r="G114" s="6" t="n">
        <v>2</v>
      </c>
      <c r="H114" s="6"/>
    </row>
    <row r="115" customFormat="false" ht="15" hidden="false" customHeight="true" outlineLevel="0" collapsed="false">
      <c r="A115" s="6" t="s">
        <v>162</v>
      </c>
      <c r="B115" s="6" t="s">
        <v>7998</v>
      </c>
      <c r="C115" s="28" t="n">
        <v>1000</v>
      </c>
      <c r="D115" s="6" t="n">
        <v>27</v>
      </c>
      <c r="E115" s="29" t="n">
        <v>0.72</v>
      </c>
      <c r="F115" s="6" t="n">
        <v>1</v>
      </c>
      <c r="G115" s="6" t="n">
        <v>3</v>
      </c>
      <c r="H115" s="6"/>
    </row>
    <row r="116" customFormat="false" ht="15" hidden="false" customHeight="true" outlineLevel="0" collapsed="false">
      <c r="A116" s="6" t="s">
        <v>353</v>
      </c>
      <c r="B116" s="6" t="s">
        <v>7997</v>
      </c>
      <c r="C116" s="28" t="n">
        <v>1000</v>
      </c>
      <c r="D116" s="6" t="n">
        <v>22</v>
      </c>
      <c r="E116" s="29" t="n">
        <v>0.29</v>
      </c>
      <c r="F116" s="6" t="n">
        <v>1</v>
      </c>
      <c r="G116" s="6" t="n">
        <v>2</v>
      </c>
      <c r="H116" s="6"/>
    </row>
    <row r="117" customFormat="false" ht="15" hidden="false" customHeight="true" outlineLevel="0" collapsed="false">
      <c r="A117" s="6" t="s">
        <v>163</v>
      </c>
      <c r="B117" s="6" t="s">
        <v>7999</v>
      </c>
      <c r="C117" s="28" t="n">
        <v>1000</v>
      </c>
      <c r="D117" s="6" t="n">
        <v>41</v>
      </c>
      <c r="E117" s="29" t="n">
        <v>0.76</v>
      </c>
      <c r="F117" s="6" t="n">
        <v>1</v>
      </c>
      <c r="G117" s="6" t="n">
        <v>3</v>
      </c>
      <c r="H117" s="6"/>
    </row>
    <row r="118" customFormat="false" ht="15" hidden="false" customHeight="true" outlineLevel="0" collapsed="false">
      <c r="A118" s="6" t="s">
        <v>232</v>
      </c>
      <c r="B118" s="6" t="s">
        <v>7998</v>
      </c>
      <c r="C118" s="28" t="n">
        <v>1000</v>
      </c>
      <c r="D118" s="6" t="n">
        <v>26</v>
      </c>
      <c r="E118" s="29" t="n">
        <v>1.05</v>
      </c>
      <c r="F118" s="6" t="n">
        <v>1</v>
      </c>
      <c r="G118" s="6" t="s">
        <v>7927</v>
      </c>
      <c r="H118" s="6"/>
    </row>
    <row r="119" customFormat="false" ht="15" hidden="false" customHeight="true" outlineLevel="0" collapsed="false">
      <c r="A119" s="6" t="s">
        <v>230</v>
      </c>
      <c r="B119" s="6" t="s">
        <v>7999</v>
      </c>
      <c r="C119" s="28" t="n">
        <v>1000</v>
      </c>
      <c r="D119" s="6" t="n">
        <v>28</v>
      </c>
      <c r="E119" s="29" t="n">
        <v>1.63</v>
      </c>
      <c r="F119" s="6" t="n">
        <v>1</v>
      </c>
      <c r="G119" s="6" t="s">
        <v>7927</v>
      </c>
      <c r="H119" s="6"/>
    </row>
    <row r="120" customFormat="false" ht="15" hidden="false" customHeight="true" outlineLevel="0" collapsed="false">
      <c r="A120" s="6" t="s">
        <v>235</v>
      </c>
      <c r="B120" s="6" t="s">
        <v>7998</v>
      </c>
      <c r="C120" s="28" t="n">
        <v>1000</v>
      </c>
      <c r="D120" s="6" t="n">
        <v>24</v>
      </c>
      <c r="E120" s="29" t="n">
        <v>0.92</v>
      </c>
      <c r="F120" s="6" t="n">
        <v>1</v>
      </c>
      <c r="G120" s="6" t="s">
        <v>7927</v>
      </c>
      <c r="H120" s="6"/>
    </row>
    <row r="121" customFormat="false" ht="15" hidden="false" customHeight="true" outlineLevel="0" collapsed="false">
      <c r="A121" s="6" t="s">
        <v>234</v>
      </c>
      <c r="B121" s="6" t="s">
        <v>7998</v>
      </c>
      <c r="C121" s="28" t="n">
        <v>1000</v>
      </c>
      <c r="D121" s="6" t="n">
        <v>22</v>
      </c>
      <c r="E121" s="29" t="n">
        <v>0.83</v>
      </c>
      <c r="F121" s="6" t="n">
        <v>1</v>
      </c>
      <c r="G121" s="6" t="s">
        <v>7927</v>
      </c>
      <c r="H121" s="6"/>
    </row>
    <row r="122" customFormat="false" ht="15" hidden="false" customHeight="true" outlineLevel="0" collapsed="false">
      <c r="A122" s="6" t="s">
        <v>233</v>
      </c>
      <c r="B122" s="6" t="s">
        <v>7998</v>
      </c>
      <c r="C122" s="28" t="n">
        <v>1000</v>
      </c>
      <c r="D122" s="6" t="n">
        <v>19</v>
      </c>
      <c r="E122" s="29" t="n">
        <v>1.06</v>
      </c>
      <c r="F122" s="6" t="n">
        <v>1</v>
      </c>
      <c r="G122" s="6" t="s">
        <v>7927</v>
      </c>
      <c r="H122" s="6"/>
    </row>
    <row r="123" customFormat="false" ht="15" hidden="false" customHeight="true" outlineLevel="0" collapsed="false">
      <c r="A123" s="6" t="s">
        <v>229</v>
      </c>
      <c r="B123" s="6" t="s">
        <v>7998</v>
      </c>
      <c r="C123" s="28" t="n">
        <v>1000</v>
      </c>
      <c r="D123" s="6" t="n">
        <v>20</v>
      </c>
      <c r="E123" s="29" t="n">
        <v>0.99</v>
      </c>
      <c r="F123" s="6" t="n">
        <v>1</v>
      </c>
      <c r="G123" s="6" t="s">
        <v>6868</v>
      </c>
      <c r="H123" s="6"/>
    </row>
    <row r="124" customFormat="false" ht="15" hidden="false" customHeight="true" outlineLevel="0" collapsed="false">
      <c r="A124" s="6" t="s">
        <v>228</v>
      </c>
      <c r="B124" s="6" t="s">
        <v>7998</v>
      </c>
      <c r="C124" s="28" t="n">
        <v>1000</v>
      </c>
      <c r="D124" s="6" t="n">
        <v>21</v>
      </c>
      <c r="E124" s="29" t="n">
        <v>1.04</v>
      </c>
      <c r="F124" s="6" t="n">
        <v>1</v>
      </c>
      <c r="G124" s="6" t="s">
        <v>6868</v>
      </c>
      <c r="H124" s="6"/>
    </row>
    <row r="125" customFormat="false" ht="15" hidden="false" customHeight="true" outlineLevel="0" collapsed="false">
      <c r="A125" s="6" t="s">
        <v>2692</v>
      </c>
      <c r="B125" s="6" t="s">
        <v>7997</v>
      </c>
      <c r="C125" s="28" t="n">
        <v>880</v>
      </c>
      <c r="D125" s="6" t="n">
        <v>21</v>
      </c>
      <c r="E125" s="29" t="n">
        <v>0.27</v>
      </c>
      <c r="F125" s="6" t="n">
        <v>1</v>
      </c>
      <c r="G125" s="6" t="n">
        <v>4</v>
      </c>
      <c r="H125" s="6"/>
    </row>
    <row r="126" customFormat="false" ht="15" hidden="false" customHeight="true" outlineLevel="0" collapsed="false">
      <c r="A126" s="6" t="s">
        <v>354</v>
      </c>
      <c r="B126" s="6" t="s">
        <v>7997</v>
      </c>
      <c r="C126" s="28" t="n">
        <v>880</v>
      </c>
      <c r="D126" s="6" t="n">
        <v>31</v>
      </c>
      <c r="E126" s="29" t="n">
        <v>0.36</v>
      </c>
      <c r="F126" s="6" t="n">
        <v>1</v>
      </c>
      <c r="G126" s="6" t="n">
        <v>1</v>
      </c>
      <c r="H126" s="6"/>
    </row>
    <row r="127" customFormat="false" ht="15" hidden="false" customHeight="true" outlineLevel="0" collapsed="false">
      <c r="A127" s="6" t="s">
        <v>3527</v>
      </c>
      <c r="B127" s="6" t="s">
        <v>7998</v>
      </c>
      <c r="C127" s="28" t="n">
        <v>880</v>
      </c>
      <c r="D127" s="6" t="n">
        <v>16</v>
      </c>
      <c r="E127" s="29" t="n">
        <v>0.42</v>
      </c>
      <c r="F127" s="6" t="n">
        <v>1</v>
      </c>
      <c r="G127" s="6" t="n">
        <v>4</v>
      </c>
      <c r="H127" s="6"/>
    </row>
    <row r="128" customFormat="false" ht="15" hidden="false" customHeight="true" outlineLevel="0" collapsed="false">
      <c r="A128" s="6" t="s">
        <v>355</v>
      </c>
      <c r="B128" s="6" t="s">
        <v>7998</v>
      </c>
      <c r="C128" s="28" t="n">
        <v>880</v>
      </c>
      <c r="D128" s="6" t="n">
        <v>28</v>
      </c>
      <c r="E128" s="29" t="n">
        <v>0.53</v>
      </c>
      <c r="F128" s="6" t="n">
        <v>1</v>
      </c>
      <c r="G128" s="6" t="n">
        <v>1</v>
      </c>
      <c r="H128" s="6"/>
    </row>
    <row r="129" customFormat="false" ht="15" hidden="false" customHeight="true" outlineLevel="0" collapsed="false">
      <c r="A129" s="6" t="s">
        <v>4430</v>
      </c>
      <c r="B129" s="6" t="s">
        <v>7998</v>
      </c>
      <c r="C129" s="28" t="n">
        <v>880</v>
      </c>
      <c r="D129" s="6" t="n">
        <v>29</v>
      </c>
      <c r="E129" s="29" t="n">
        <v>0.56</v>
      </c>
      <c r="F129" s="6" t="n">
        <v>1</v>
      </c>
      <c r="G129" s="6" t="n">
        <v>6</v>
      </c>
      <c r="H129" s="6"/>
    </row>
    <row r="130" customFormat="false" ht="15" hidden="false" customHeight="true" outlineLevel="0" collapsed="false">
      <c r="A130" s="6" t="s">
        <v>7905</v>
      </c>
      <c r="B130" s="6" t="s">
        <v>7998</v>
      </c>
      <c r="C130" s="28" t="n">
        <v>880</v>
      </c>
      <c r="D130" s="6" t="n">
        <v>15</v>
      </c>
      <c r="E130" s="29" t="n">
        <v>0.69</v>
      </c>
      <c r="F130" s="6" t="n">
        <v>1</v>
      </c>
      <c r="G130" s="6" t="s">
        <v>6868</v>
      </c>
      <c r="H130" s="6"/>
    </row>
    <row r="131" customFormat="false" ht="15" hidden="false" customHeight="true" outlineLevel="0" collapsed="false">
      <c r="A131" s="6" t="s">
        <v>6612</v>
      </c>
      <c r="B131" s="6" t="s">
        <v>7997</v>
      </c>
      <c r="C131" s="28" t="n">
        <v>880</v>
      </c>
      <c r="D131" s="6" t="n">
        <v>15</v>
      </c>
      <c r="E131" s="29" t="n">
        <v>0.38</v>
      </c>
      <c r="F131" s="6" t="n">
        <v>1</v>
      </c>
      <c r="G131" s="6" t="n">
        <v>2</v>
      </c>
      <c r="H131" s="6"/>
    </row>
    <row r="132" customFormat="false" ht="15" hidden="false" customHeight="true" outlineLevel="0" collapsed="false">
      <c r="A132" s="6" t="s">
        <v>7943</v>
      </c>
      <c r="B132" s="6" t="s">
        <v>7998</v>
      </c>
      <c r="C132" s="28" t="n">
        <v>880</v>
      </c>
      <c r="D132" s="6" t="n">
        <v>12</v>
      </c>
      <c r="E132" s="29" t="n">
        <v>0.67</v>
      </c>
      <c r="F132" s="6" t="n">
        <v>1</v>
      </c>
      <c r="G132" s="6" t="s">
        <v>7927</v>
      </c>
      <c r="H132" s="6"/>
    </row>
    <row r="133" customFormat="false" ht="15" hidden="false" customHeight="true" outlineLevel="0" collapsed="false">
      <c r="A133" s="6" t="s">
        <v>7912</v>
      </c>
      <c r="B133" s="6" t="s">
        <v>7998</v>
      </c>
      <c r="C133" s="28" t="n">
        <v>880</v>
      </c>
      <c r="D133" s="6" t="n">
        <v>12</v>
      </c>
      <c r="E133" s="29" t="n">
        <v>0.39</v>
      </c>
      <c r="F133" s="6" t="n">
        <v>1</v>
      </c>
      <c r="G133" s="6" t="s">
        <v>6868</v>
      </c>
      <c r="H133" s="6"/>
    </row>
    <row r="134" customFormat="false" ht="15" hidden="false" customHeight="true" outlineLevel="0" collapsed="false">
      <c r="A134" s="6" t="s">
        <v>7947</v>
      </c>
      <c r="B134" s="6" t="s">
        <v>7998</v>
      </c>
      <c r="C134" s="28" t="n">
        <v>880</v>
      </c>
      <c r="D134" s="6" t="n">
        <v>21</v>
      </c>
      <c r="E134" s="29" t="n">
        <v>1.03</v>
      </c>
      <c r="F134" s="6" t="n">
        <v>1</v>
      </c>
      <c r="G134" s="6" t="s">
        <v>7927</v>
      </c>
      <c r="H134" s="6"/>
    </row>
    <row r="135" customFormat="false" ht="15" hidden="false" customHeight="true" outlineLevel="0" collapsed="false">
      <c r="A135" s="6" t="s">
        <v>6373</v>
      </c>
      <c r="B135" s="6" t="s">
        <v>7998</v>
      </c>
      <c r="C135" s="28" t="n">
        <v>880</v>
      </c>
      <c r="D135" s="6" t="n">
        <v>22</v>
      </c>
      <c r="E135" s="29" t="n">
        <v>0.59</v>
      </c>
      <c r="F135" s="6" t="n">
        <v>1</v>
      </c>
      <c r="G135" s="6" t="n">
        <v>8</v>
      </c>
      <c r="H135" s="6"/>
    </row>
    <row r="136" customFormat="false" ht="15" hidden="false" customHeight="true" outlineLevel="0" collapsed="false">
      <c r="A136" s="6" t="s">
        <v>5933</v>
      </c>
      <c r="B136" s="6" t="s">
        <v>7998</v>
      </c>
      <c r="C136" s="28" t="n">
        <v>720</v>
      </c>
      <c r="D136" s="6" t="n">
        <v>18</v>
      </c>
      <c r="E136" s="29" t="n">
        <v>0.47</v>
      </c>
      <c r="F136" s="6" t="n">
        <v>1</v>
      </c>
      <c r="G136" s="6" t="n">
        <v>4</v>
      </c>
      <c r="H136" s="6"/>
    </row>
    <row r="137" customFormat="false" ht="15" hidden="false" customHeight="true" outlineLevel="0" collapsed="false">
      <c r="A137" s="6" t="s">
        <v>247</v>
      </c>
      <c r="B137" s="6" t="s">
        <v>8002</v>
      </c>
      <c r="C137" s="28" t="n">
        <v>720</v>
      </c>
      <c r="D137" s="6" t="n">
        <v>16</v>
      </c>
      <c r="E137" s="29" t="n">
        <v>0.27</v>
      </c>
      <c r="F137" s="6" t="n">
        <v>1</v>
      </c>
      <c r="G137" s="6" t="s">
        <v>6870</v>
      </c>
      <c r="H137" s="6"/>
    </row>
    <row r="138" customFormat="false" ht="15" hidden="false" customHeight="true" outlineLevel="0" collapsed="false">
      <c r="A138" s="6" t="s">
        <v>7919</v>
      </c>
      <c r="B138" s="6" t="s">
        <v>7998</v>
      </c>
      <c r="C138" s="28" t="n">
        <v>720</v>
      </c>
      <c r="D138" s="6" t="n">
        <v>20</v>
      </c>
      <c r="E138" s="29" t="n">
        <v>0.3</v>
      </c>
      <c r="F138" s="6" t="n">
        <v>1</v>
      </c>
      <c r="G138" s="6" t="s">
        <v>6868</v>
      </c>
      <c r="H138" s="6"/>
    </row>
    <row r="139" customFormat="false" ht="15" hidden="false" customHeight="true" outlineLevel="0" collapsed="false">
      <c r="A139" s="6" t="s">
        <v>6551</v>
      </c>
      <c r="B139" s="6" t="s">
        <v>7997</v>
      </c>
      <c r="C139" s="28" t="n">
        <v>720</v>
      </c>
      <c r="D139" s="6" t="n">
        <v>20</v>
      </c>
      <c r="E139" s="29" t="n">
        <v>0.39</v>
      </c>
      <c r="F139" s="6" t="n">
        <v>1</v>
      </c>
      <c r="G139" s="6" t="n">
        <v>1</v>
      </c>
      <c r="H139" s="6"/>
    </row>
    <row r="140" customFormat="false" ht="15" hidden="false" customHeight="true" outlineLevel="0" collapsed="false">
      <c r="A140" s="6" t="s">
        <v>3642</v>
      </c>
      <c r="B140" s="6" t="s">
        <v>7997</v>
      </c>
      <c r="C140" s="28" t="n">
        <v>720</v>
      </c>
      <c r="D140" s="6" t="n">
        <v>17</v>
      </c>
      <c r="E140" s="29" t="n">
        <v>0.39</v>
      </c>
      <c r="F140" s="6" t="n">
        <v>1</v>
      </c>
      <c r="G140" s="6" t="n">
        <v>5</v>
      </c>
      <c r="H140" s="6"/>
    </row>
    <row r="141" customFormat="false" ht="15" hidden="false" customHeight="true" outlineLevel="0" collapsed="false">
      <c r="A141" s="6" t="s">
        <v>164</v>
      </c>
      <c r="B141" s="6" t="s">
        <v>7998</v>
      </c>
      <c r="C141" s="28" t="n">
        <v>720</v>
      </c>
      <c r="D141" s="6" t="n">
        <v>25</v>
      </c>
      <c r="E141" s="29" t="n">
        <v>0.84</v>
      </c>
      <c r="F141" s="6" t="n">
        <v>1</v>
      </c>
      <c r="G141" s="6" t="n">
        <v>3</v>
      </c>
      <c r="H141" s="6"/>
    </row>
    <row r="142" customFormat="false" ht="15" hidden="false" customHeight="true" outlineLevel="0" collapsed="false">
      <c r="A142" s="6" t="s">
        <v>5116</v>
      </c>
      <c r="B142" s="6" t="s">
        <v>7998</v>
      </c>
      <c r="C142" s="28" t="n">
        <v>720</v>
      </c>
      <c r="D142" s="6" t="n">
        <v>20</v>
      </c>
      <c r="E142" s="29" t="n">
        <v>0.44</v>
      </c>
      <c r="F142" s="6" t="n">
        <v>1</v>
      </c>
      <c r="G142" s="6" t="n">
        <v>6</v>
      </c>
      <c r="H142" s="6"/>
    </row>
    <row r="143" customFormat="false" ht="15" hidden="false" customHeight="true" outlineLevel="0" collapsed="false">
      <c r="A143" s="6" t="s">
        <v>6622</v>
      </c>
      <c r="B143" s="6" t="s">
        <v>7997</v>
      </c>
      <c r="C143" s="28" t="n">
        <v>720</v>
      </c>
      <c r="D143" s="6" t="n">
        <v>34</v>
      </c>
      <c r="E143" s="29" t="n">
        <v>0.36</v>
      </c>
      <c r="F143" s="6" t="n">
        <v>1</v>
      </c>
      <c r="G143" s="6" t="n">
        <v>2</v>
      </c>
      <c r="H143" s="6"/>
    </row>
    <row r="144" customFormat="false" ht="15" hidden="false" customHeight="true" outlineLevel="0" collapsed="false">
      <c r="A144" s="6" t="s">
        <v>6624</v>
      </c>
      <c r="B144" s="6" t="s">
        <v>7997</v>
      </c>
      <c r="C144" s="28" t="n">
        <v>720</v>
      </c>
      <c r="D144" s="6" t="n">
        <v>24</v>
      </c>
      <c r="E144" s="29" t="n">
        <v>0.35</v>
      </c>
      <c r="F144" s="6" t="n">
        <v>1</v>
      </c>
      <c r="G144" s="6" t="n">
        <v>2</v>
      </c>
      <c r="H144" s="6"/>
    </row>
    <row r="145" customFormat="false" ht="15" hidden="false" customHeight="true" outlineLevel="0" collapsed="false">
      <c r="A145" s="6" t="s">
        <v>6645</v>
      </c>
      <c r="B145" s="6" t="s">
        <v>8002</v>
      </c>
      <c r="C145" s="28" t="n">
        <v>720</v>
      </c>
      <c r="D145" s="6" t="n">
        <v>28</v>
      </c>
      <c r="E145" s="29" t="n">
        <v>0.39</v>
      </c>
      <c r="F145" s="6" t="n">
        <v>1</v>
      </c>
      <c r="G145" s="6" t="n">
        <v>2</v>
      </c>
      <c r="H145" s="6"/>
    </row>
    <row r="146" customFormat="false" ht="15" hidden="false" customHeight="true" outlineLevel="0" collapsed="false">
      <c r="A146" s="6" t="s">
        <v>165</v>
      </c>
      <c r="B146" s="6" t="s">
        <v>7998</v>
      </c>
      <c r="C146" s="28" t="n">
        <v>720</v>
      </c>
      <c r="D146" s="6" t="n">
        <v>20</v>
      </c>
      <c r="E146" s="29" t="n">
        <v>0.57</v>
      </c>
      <c r="F146" s="6" t="n">
        <v>1</v>
      </c>
      <c r="G146" s="6" t="n">
        <v>3</v>
      </c>
      <c r="H146" s="6"/>
    </row>
    <row r="147" customFormat="false" ht="15" hidden="false" customHeight="true" outlineLevel="0" collapsed="false">
      <c r="A147" s="6" t="s">
        <v>6671</v>
      </c>
      <c r="B147" s="6" t="s">
        <v>7997</v>
      </c>
      <c r="C147" s="28" t="n">
        <v>720</v>
      </c>
      <c r="D147" s="6" t="n">
        <v>15</v>
      </c>
      <c r="E147" s="29" t="n">
        <v>0.31</v>
      </c>
      <c r="F147" s="6" t="n">
        <v>1</v>
      </c>
      <c r="G147" s="6" t="n">
        <v>2</v>
      </c>
      <c r="H147" s="6"/>
    </row>
    <row r="148" customFormat="false" ht="15" hidden="false" customHeight="true" outlineLevel="0" collapsed="false">
      <c r="A148" s="6" t="s">
        <v>7946</v>
      </c>
      <c r="B148" s="6" t="s">
        <v>7998</v>
      </c>
      <c r="C148" s="28" t="n">
        <v>720</v>
      </c>
      <c r="D148" s="6" t="n">
        <v>26</v>
      </c>
      <c r="E148" s="29" t="n">
        <v>0.78</v>
      </c>
      <c r="F148" s="6" t="n">
        <v>1</v>
      </c>
      <c r="G148" s="6" t="s">
        <v>7927</v>
      </c>
      <c r="H148" s="6"/>
    </row>
    <row r="149" customFormat="false" ht="15" hidden="false" customHeight="true" outlineLevel="0" collapsed="false">
      <c r="A149" s="6" t="s">
        <v>6253</v>
      </c>
      <c r="B149" s="6" t="s">
        <v>7997</v>
      </c>
      <c r="C149" s="28" t="n">
        <v>720</v>
      </c>
      <c r="D149" s="6" t="n">
        <v>19</v>
      </c>
      <c r="E149" s="29" t="n">
        <v>0.52</v>
      </c>
      <c r="F149" s="6" t="n">
        <v>1</v>
      </c>
      <c r="G149" s="6" t="n">
        <v>8</v>
      </c>
      <c r="H149" s="6"/>
    </row>
    <row r="150" customFormat="false" ht="15" hidden="false" customHeight="true" outlineLevel="0" collapsed="false">
      <c r="A150" s="6" t="s">
        <v>6384</v>
      </c>
      <c r="B150" s="6" t="s">
        <v>7998</v>
      </c>
      <c r="C150" s="28" t="n">
        <v>720</v>
      </c>
      <c r="D150" s="6" t="n">
        <v>20</v>
      </c>
      <c r="E150" s="29" t="n">
        <v>0.42</v>
      </c>
      <c r="F150" s="6" t="n">
        <v>1</v>
      </c>
      <c r="G150" s="6" t="s">
        <v>6867</v>
      </c>
      <c r="H150" s="6"/>
    </row>
    <row r="151" customFormat="false" ht="15" hidden="false" customHeight="true" outlineLevel="0" collapsed="false">
      <c r="A151" s="6" t="s">
        <v>167</v>
      </c>
      <c r="B151" s="6" t="s">
        <v>7998</v>
      </c>
      <c r="C151" s="28" t="n">
        <v>720</v>
      </c>
      <c r="D151" s="6" t="n">
        <v>16</v>
      </c>
      <c r="E151" s="29" t="n">
        <v>0.77</v>
      </c>
      <c r="F151" s="6" t="n">
        <v>1</v>
      </c>
      <c r="G151" s="6" t="n">
        <v>3</v>
      </c>
      <c r="H151" s="6"/>
    </row>
    <row r="152" customFormat="false" ht="15" hidden="false" customHeight="true" outlineLevel="0" collapsed="false">
      <c r="A152" s="6" t="s">
        <v>6686</v>
      </c>
      <c r="B152" s="6" t="s">
        <v>7998</v>
      </c>
      <c r="C152" s="28" t="n">
        <v>720</v>
      </c>
      <c r="D152" s="6" t="n">
        <v>15</v>
      </c>
      <c r="E152" s="29" t="n">
        <v>0</v>
      </c>
      <c r="F152" s="6" t="n">
        <v>1</v>
      </c>
      <c r="G152" s="6" t="n">
        <v>2</v>
      </c>
      <c r="H152" s="6"/>
    </row>
    <row r="153" customFormat="false" ht="15" hidden="false" customHeight="true" outlineLevel="0" collapsed="false">
      <c r="A153" s="6" t="s">
        <v>6501</v>
      </c>
      <c r="B153" s="6" t="s">
        <v>7997</v>
      </c>
      <c r="C153" s="28" t="n">
        <v>590</v>
      </c>
      <c r="D153" s="6" t="n">
        <v>21</v>
      </c>
      <c r="E153" s="29" t="n">
        <v>0.3</v>
      </c>
      <c r="F153" s="6" t="n">
        <v>1</v>
      </c>
      <c r="G153" s="6" t="n">
        <v>1</v>
      </c>
      <c r="H153" s="6"/>
    </row>
    <row r="154" customFormat="false" ht="15" hidden="false" customHeight="true" outlineLevel="0" collapsed="false">
      <c r="A154" s="6" t="s">
        <v>2628</v>
      </c>
      <c r="B154" s="6" t="s">
        <v>7997</v>
      </c>
      <c r="C154" s="28" t="n">
        <v>590</v>
      </c>
      <c r="D154" s="6" t="n">
        <v>12</v>
      </c>
      <c r="E154" s="29" t="n">
        <v>0.32</v>
      </c>
      <c r="F154" s="6" t="n">
        <v>1</v>
      </c>
      <c r="G154" s="6" t="n">
        <v>4</v>
      </c>
      <c r="H154" s="6"/>
    </row>
    <row r="155" customFormat="false" ht="15" hidden="false" customHeight="true" outlineLevel="0" collapsed="false">
      <c r="A155" s="6" t="s">
        <v>6519</v>
      </c>
      <c r="B155" s="6" t="s">
        <v>7998</v>
      </c>
      <c r="C155" s="28" t="n">
        <v>590</v>
      </c>
      <c r="D155" s="6" t="n">
        <v>18</v>
      </c>
      <c r="E155" s="29" t="n">
        <v>0.25</v>
      </c>
      <c r="F155" s="6" t="n">
        <v>1</v>
      </c>
      <c r="G155" s="6" t="n">
        <v>1</v>
      </c>
      <c r="H155" s="6"/>
    </row>
    <row r="156" customFormat="false" ht="15" hidden="false" customHeight="true" outlineLevel="0" collapsed="false">
      <c r="A156" s="6" t="s">
        <v>7929</v>
      </c>
      <c r="B156" s="6" t="s">
        <v>8001</v>
      </c>
      <c r="C156" s="28" t="n">
        <v>590</v>
      </c>
      <c r="D156" s="6" t="n">
        <v>22</v>
      </c>
      <c r="E156" s="29" t="n">
        <v>0.4</v>
      </c>
      <c r="F156" s="6" t="n">
        <v>0.88</v>
      </c>
      <c r="G156" s="6" t="s">
        <v>7927</v>
      </c>
      <c r="H156" s="6"/>
    </row>
    <row r="157" customFormat="false" ht="15" hidden="false" customHeight="true" outlineLevel="0" collapsed="false">
      <c r="A157" s="6" t="s">
        <v>6540</v>
      </c>
      <c r="B157" s="6" t="s">
        <v>7998</v>
      </c>
      <c r="C157" s="28" t="n">
        <v>590</v>
      </c>
      <c r="D157" s="6" t="n">
        <v>14</v>
      </c>
      <c r="E157" s="29" t="n">
        <v>0.23</v>
      </c>
      <c r="F157" s="6" t="n">
        <v>1</v>
      </c>
      <c r="G157" s="6" t="n">
        <v>1</v>
      </c>
      <c r="H157" s="6"/>
    </row>
    <row r="158" customFormat="false" ht="15" hidden="false" customHeight="true" outlineLevel="0" collapsed="false">
      <c r="A158" s="6" t="s">
        <v>7914</v>
      </c>
      <c r="B158" s="6" t="s">
        <v>7998</v>
      </c>
      <c r="C158" s="28" t="n">
        <v>590</v>
      </c>
      <c r="D158" s="6" t="n">
        <v>11</v>
      </c>
      <c r="E158" s="29" t="n">
        <v>0.7</v>
      </c>
      <c r="F158" s="6" t="n">
        <v>1</v>
      </c>
      <c r="G158" s="6" t="s">
        <v>6868</v>
      </c>
      <c r="H158" s="6"/>
    </row>
    <row r="159" customFormat="false" ht="15" hidden="false" customHeight="true" outlineLevel="0" collapsed="false">
      <c r="A159" s="6" t="s">
        <v>7915</v>
      </c>
      <c r="B159" s="6" t="s">
        <v>7998</v>
      </c>
      <c r="C159" s="28" t="n">
        <v>590</v>
      </c>
      <c r="D159" s="6" t="n">
        <v>9</v>
      </c>
      <c r="E159" s="29" t="n">
        <v>0.71</v>
      </c>
      <c r="F159" s="6" t="n">
        <v>1</v>
      </c>
      <c r="G159" s="6" t="s">
        <v>6868</v>
      </c>
      <c r="H159" s="6"/>
    </row>
    <row r="160" customFormat="false" ht="15" hidden="false" customHeight="true" outlineLevel="0" collapsed="false">
      <c r="A160" s="6" t="s">
        <v>3450</v>
      </c>
      <c r="B160" s="6" t="s">
        <v>7998</v>
      </c>
      <c r="C160" s="28" t="n">
        <v>590</v>
      </c>
      <c r="D160" s="6" t="n">
        <v>17</v>
      </c>
      <c r="E160" s="29" t="n">
        <v>0.6</v>
      </c>
      <c r="F160" s="6" t="n">
        <v>1</v>
      </c>
      <c r="G160" s="6" t="n">
        <v>4</v>
      </c>
      <c r="H160" s="6"/>
    </row>
    <row r="161" customFormat="false" ht="15" hidden="false" customHeight="true" outlineLevel="0" collapsed="false">
      <c r="A161" s="6" t="s">
        <v>248</v>
      </c>
      <c r="B161" s="6" t="s">
        <v>8002</v>
      </c>
      <c r="C161" s="28" t="n">
        <v>590</v>
      </c>
      <c r="D161" s="6" t="n">
        <v>22</v>
      </c>
      <c r="E161" s="29" t="n">
        <v>0.32</v>
      </c>
      <c r="F161" s="6" t="n">
        <v>1</v>
      </c>
      <c r="G161" s="6" t="s">
        <v>6870</v>
      </c>
      <c r="H161" s="6"/>
    </row>
    <row r="162" customFormat="false" ht="15" hidden="false" customHeight="true" outlineLevel="0" collapsed="false">
      <c r="A162" s="6" t="s">
        <v>4651</v>
      </c>
      <c r="B162" s="6" t="s">
        <v>7998</v>
      </c>
      <c r="C162" s="28" t="n">
        <v>590</v>
      </c>
      <c r="D162" s="6" t="n">
        <v>28</v>
      </c>
      <c r="E162" s="29" t="n">
        <v>0.51</v>
      </c>
      <c r="F162" s="6" t="n">
        <v>1</v>
      </c>
      <c r="G162" s="6" t="n">
        <v>6</v>
      </c>
      <c r="H162" s="6"/>
    </row>
    <row r="163" customFormat="false" ht="15" hidden="false" customHeight="true" outlineLevel="0" collapsed="false">
      <c r="A163" s="6" t="s">
        <v>6608</v>
      </c>
      <c r="B163" s="6" t="s">
        <v>7998</v>
      </c>
      <c r="C163" s="28" t="n">
        <v>590</v>
      </c>
      <c r="D163" s="6" t="n">
        <v>26</v>
      </c>
      <c r="E163" s="29" t="n">
        <v>0.33</v>
      </c>
      <c r="F163" s="6" t="n">
        <v>1</v>
      </c>
      <c r="G163" s="6" t="n">
        <v>1</v>
      </c>
      <c r="H163" s="6"/>
    </row>
    <row r="164" customFormat="false" ht="15" hidden="false" customHeight="true" outlineLevel="0" collapsed="false">
      <c r="A164" s="6" t="s">
        <v>4844</v>
      </c>
      <c r="B164" s="6" t="s">
        <v>7997</v>
      </c>
      <c r="C164" s="28" t="n">
        <v>590</v>
      </c>
      <c r="D164" s="6" t="n">
        <v>19</v>
      </c>
      <c r="E164" s="29" t="n">
        <v>0.68</v>
      </c>
      <c r="F164" s="6" t="n">
        <v>1</v>
      </c>
      <c r="G164" s="6" t="n">
        <v>6</v>
      </c>
      <c r="H164" s="6"/>
    </row>
    <row r="165" customFormat="false" ht="15" hidden="false" customHeight="true" outlineLevel="0" collapsed="false">
      <c r="A165" s="6" t="s">
        <v>7941</v>
      </c>
      <c r="B165" s="6" t="s">
        <v>7999</v>
      </c>
      <c r="C165" s="28" t="n">
        <v>590</v>
      </c>
      <c r="D165" s="6" t="n">
        <v>23</v>
      </c>
      <c r="E165" s="29" t="n">
        <v>1</v>
      </c>
      <c r="F165" s="6" t="n">
        <v>1</v>
      </c>
      <c r="G165" s="6" t="s">
        <v>7927</v>
      </c>
      <c r="H165" s="6"/>
    </row>
    <row r="166" customFormat="false" ht="15" hidden="false" customHeight="true" outlineLevel="0" collapsed="false">
      <c r="A166" s="6" t="s">
        <v>7925</v>
      </c>
      <c r="B166" s="6" t="s">
        <v>7998</v>
      </c>
      <c r="C166" s="28" t="n">
        <v>590</v>
      </c>
      <c r="D166" s="6" t="n">
        <v>22</v>
      </c>
      <c r="E166" s="29" t="n">
        <v>0.81</v>
      </c>
      <c r="F166" s="6" t="n">
        <v>1</v>
      </c>
      <c r="G166" s="6" t="s">
        <v>6868</v>
      </c>
      <c r="H166" s="6"/>
    </row>
    <row r="167" customFormat="false" ht="15" hidden="false" customHeight="true" outlineLevel="0" collapsed="false">
      <c r="A167" s="6" t="s">
        <v>2539</v>
      </c>
      <c r="B167" s="6" t="s">
        <v>7998</v>
      </c>
      <c r="C167" s="28" t="n">
        <v>480</v>
      </c>
      <c r="D167" s="6" t="n">
        <v>13</v>
      </c>
      <c r="E167" s="29" t="n">
        <v>0.55</v>
      </c>
      <c r="F167" s="6" t="n">
        <v>1</v>
      </c>
      <c r="G167" s="6" t="n">
        <v>4</v>
      </c>
      <c r="H167" s="6"/>
    </row>
    <row r="168" customFormat="false" ht="15" hidden="false" customHeight="true" outlineLevel="0" collapsed="false">
      <c r="A168" s="6" t="s">
        <v>2649</v>
      </c>
      <c r="B168" s="6" t="s">
        <v>7998</v>
      </c>
      <c r="C168" s="28" t="n">
        <v>480</v>
      </c>
      <c r="D168" s="6" t="n">
        <v>15</v>
      </c>
      <c r="E168" s="29" t="n">
        <v>0.33</v>
      </c>
      <c r="F168" s="6" t="n">
        <v>1</v>
      </c>
      <c r="G168" s="6" t="n">
        <v>4</v>
      </c>
      <c r="H168" s="6"/>
    </row>
    <row r="169" customFormat="false" ht="15" hidden="false" customHeight="true" outlineLevel="0" collapsed="false">
      <c r="A169" s="6" t="s">
        <v>6542</v>
      </c>
      <c r="B169" s="6" t="s">
        <v>7998</v>
      </c>
      <c r="C169" s="28" t="n">
        <v>480</v>
      </c>
      <c r="D169" s="6" t="n">
        <v>21</v>
      </c>
      <c r="E169" s="29" t="n">
        <v>0.32</v>
      </c>
      <c r="F169" s="6" t="n">
        <v>1</v>
      </c>
      <c r="G169" s="6" t="n">
        <v>1</v>
      </c>
      <c r="H169" s="6"/>
    </row>
    <row r="170" customFormat="false" ht="15" hidden="false" customHeight="true" outlineLevel="0" collapsed="false">
      <c r="A170" s="6" t="s">
        <v>7931</v>
      </c>
      <c r="B170" s="6" t="s">
        <v>7998</v>
      </c>
      <c r="C170" s="28" t="n">
        <v>480</v>
      </c>
      <c r="D170" s="6" t="n">
        <v>19</v>
      </c>
      <c r="E170" s="29" t="n">
        <v>0.46</v>
      </c>
      <c r="F170" s="6" t="n">
        <v>1</v>
      </c>
      <c r="G170" s="6" t="s">
        <v>7927</v>
      </c>
      <c r="H170" s="6"/>
    </row>
    <row r="171" customFormat="false" ht="15" hidden="false" customHeight="true" outlineLevel="0" collapsed="false">
      <c r="A171" s="6" t="s">
        <v>3504</v>
      </c>
      <c r="B171" s="6" t="s">
        <v>7998</v>
      </c>
      <c r="C171" s="28" t="n">
        <v>480</v>
      </c>
      <c r="D171" s="6" t="n">
        <v>20</v>
      </c>
      <c r="E171" s="29" t="n">
        <v>0.46</v>
      </c>
      <c r="F171" s="6" t="n">
        <v>1</v>
      </c>
      <c r="G171" s="6" t="n">
        <v>4</v>
      </c>
      <c r="H171" s="6"/>
    </row>
    <row r="172" customFormat="false" ht="15" hidden="false" customHeight="true" outlineLevel="0" collapsed="false">
      <c r="A172" s="6" t="s">
        <v>251</v>
      </c>
      <c r="B172" s="6" t="s">
        <v>7997</v>
      </c>
      <c r="C172" s="28" t="n">
        <v>480</v>
      </c>
      <c r="D172" s="6" t="n">
        <v>16</v>
      </c>
      <c r="E172" s="29" t="n">
        <v>0.44</v>
      </c>
      <c r="F172" s="6" t="n">
        <v>1</v>
      </c>
      <c r="G172" s="6" t="s">
        <v>6870</v>
      </c>
      <c r="H172" s="6"/>
    </row>
    <row r="173" customFormat="false" ht="15" hidden="false" customHeight="true" outlineLevel="0" collapsed="false">
      <c r="A173" s="6" t="s">
        <v>3897</v>
      </c>
      <c r="B173" s="6" t="s">
        <v>7998</v>
      </c>
      <c r="C173" s="28" t="n">
        <v>480</v>
      </c>
      <c r="D173" s="6" t="n">
        <v>22</v>
      </c>
      <c r="E173" s="29" t="n">
        <v>0.51</v>
      </c>
      <c r="F173" s="6" t="n">
        <v>1</v>
      </c>
      <c r="G173" s="6" t="n">
        <v>5</v>
      </c>
      <c r="H173" s="6"/>
    </row>
    <row r="174" customFormat="false" ht="15" hidden="false" customHeight="true" outlineLevel="0" collapsed="false">
      <c r="A174" s="6" t="s">
        <v>7940</v>
      </c>
      <c r="B174" s="6" t="s">
        <v>7998</v>
      </c>
      <c r="C174" s="28" t="n">
        <v>480</v>
      </c>
      <c r="D174" s="6" t="n">
        <v>29</v>
      </c>
      <c r="E174" s="29" t="n">
        <v>0.81</v>
      </c>
      <c r="F174" s="6" t="n">
        <v>1</v>
      </c>
      <c r="G174" s="6" t="s">
        <v>7927</v>
      </c>
      <c r="H174" s="6"/>
    </row>
    <row r="175" customFormat="false" ht="15" hidden="false" customHeight="true" outlineLevel="0" collapsed="false">
      <c r="A175" s="6" t="s">
        <v>4810</v>
      </c>
      <c r="B175" s="6" t="s">
        <v>7997</v>
      </c>
      <c r="C175" s="28" t="n">
        <v>480</v>
      </c>
      <c r="D175" s="6" t="n">
        <v>23</v>
      </c>
      <c r="E175" s="29" t="n">
        <v>0.9</v>
      </c>
      <c r="F175" s="6" t="n">
        <v>1</v>
      </c>
      <c r="G175" s="6" t="n">
        <v>6</v>
      </c>
      <c r="H175" s="6"/>
    </row>
    <row r="176" customFormat="false" ht="15" hidden="false" customHeight="true" outlineLevel="0" collapsed="false">
      <c r="A176" s="6" t="s">
        <v>4853</v>
      </c>
      <c r="B176" s="6" t="s">
        <v>7997</v>
      </c>
      <c r="C176" s="28" t="n">
        <v>480</v>
      </c>
      <c r="D176" s="6" t="n">
        <v>28</v>
      </c>
      <c r="E176" s="29" t="n">
        <v>0.68</v>
      </c>
      <c r="F176" s="6" t="n">
        <v>1</v>
      </c>
      <c r="G176" s="6" t="n">
        <v>6</v>
      </c>
      <c r="H176" s="6"/>
    </row>
    <row r="177" customFormat="false" ht="15" hidden="false" customHeight="true" outlineLevel="0" collapsed="false">
      <c r="A177" s="6" t="s">
        <v>168</v>
      </c>
      <c r="B177" s="6" t="s">
        <v>7999</v>
      </c>
      <c r="C177" s="28" t="n">
        <v>480</v>
      </c>
      <c r="D177" s="6" t="n">
        <v>21</v>
      </c>
      <c r="E177" s="29" t="n">
        <v>1.16</v>
      </c>
      <c r="F177" s="6" t="n">
        <v>1</v>
      </c>
      <c r="G177" s="6" t="n">
        <v>3</v>
      </c>
      <c r="H177" s="6"/>
    </row>
    <row r="178" customFormat="false" ht="15" hidden="false" customHeight="true" outlineLevel="0" collapsed="false">
      <c r="A178" s="6" t="s">
        <v>169</v>
      </c>
      <c r="B178" s="6" t="s">
        <v>7998</v>
      </c>
      <c r="C178" s="28" t="n">
        <v>480</v>
      </c>
      <c r="D178" s="6" t="n">
        <v>59</v>
      </c>
      <c r="E178" s="29" t="n">
        <v>1.4</v>
      </c>
      <c r="F178" s="6" t="n">
        <v>1</v>
      </c>
      <c r="G178" s="6" t="n">
        <v>3</v>
      </c>
      <c r="H178" s="6"/>
    </row>
    <row r="179" customFormat="false" ht="15" hidden="false" customHeight="true" outlineLevel="0" collapsed="false">
      <c r="A179" s="6" t="s">
        <v>7949</v>
      </c>
      <c r="B179" s="6" t="s">
        <v>7998</v>
      </c>
      <c r="C179" s="28" t="n">
        <v>480</v>
      </c>
      <c r="D179" s="6" t="n">
        <v>45</v>
      </c>
      <c r="E179" s="29" t="n">
        <v>1.63</v>
      </c>
      <c r="F179" s="6" t="n">
        <v>1</v>
      </c>
      <c r="G179" s="6" t="s">
        <v>7927</v>
      </c>
      <c r="H179" s="6"/>
    </row>
    <row r="180" customFormat="false" ht="15" hidden="false" customHeight="true" outlineLevel="0" collapsed="false">
      <c r="A180" s="6" t="s">
        <v>295</v>
      </c>
      <c r="B180" s="6" t="s">
        <v>8001</v>
      </c>
      <c r="C180" s="28" t="n">
        <v>480</v>
      </c>
      <c r="D180" s="6" t="n">
        <v>12</v>
      </c>
      <c r="E180" s="29" t="n">
        <v>1.03</v>
      </c>
      <c r="F180" s="6" t="n">
        <v>1</v>
      </c>
      <c r="G180" s="6" t="n">
        <v>1</v>
      </c>
      <c r="H180" s="6"/>
    </row>
    <row r="181" customFormat="false" ht="15" hidden="false" customHeight="true" outlineLevel="0" collapsed="false">
      <c r="A181" s="6" t="s">
        <v>2528</v>
      </c>
      <c r="B181" s="6" t="s">
        <v>7998</v>
      </c>
      <c r="C181" s="28" t="n">
        <v>390</v>
      </c>
      <c r="D181" s="6" t="n">
        <v>17</v>
      </c>
      <c r="E181" s="29" t="n">
        <v>0.36</v>
      </c>
      <c r="F181" s="6" t="n">
        <v>1</v>
      </c>
      <c r="G181" s="6" t="n">
        <v>4</v>
      </c>
      <c r="H181" s="6"/>
    </row>
    <row r="182" customFormat="false" ht="15" hidden="false" customHeight="true" outlineLevel="0" collapsed="false">
      <c r="A182" s="6" t="s">
        <v>6507</v>
      </c>
      <c r="B182" s="6" t="s">
        <v>7998</v>
      </c>
      <c r="C182" s="28" t="n">
        <v>390</v>
      </c>
      <c r="D182" s="6" t="n">
        <v>36</v>
      </c>
      <c r="E182" s="29" t="n">
        <v>0.29</v>
      </c>
      <c r="F182" s="6" t="n">
        <v>1</v>
      </c>
      <c r="G182" s="6" t="n">
        <v>1</v>
      </c>
      <c r="H182" s="6"/>
    </row>
    <row r="183" customFormat="false" ht="15" hidden="false" customHeight="true" outlineLevel="0" collapsed="false">
      <c r="A183" s="6" t="s">
        <v>2819</v>
      </c>
      <c r="B183" s="6" t="s">
        <v>7998</v>
      </c>
      <c r="C183" s="28" t="n">
        <v>390</v>
      </c>
      <c r="D183" s="6" t="n">
        <v>19</v>
      </c>
      <c r="E183" s="29" t="n">
        <v>0.33</v>
      </c>
      <c r="F183" s="6" t="n">
        <v>1</v>
      </c>
      <c r="G183" s="6" t="n">
        <v>4</v>
      </c>
      <c r="H183" s="6"/>
    </row>
    <row r="184" customFormat="false" ht="15" hidden="false" customHeight="true" outlineLevel="0" collapsed="false">
      <c r="A184" s="6" t="s">
        <v>7920</v>
      </c>
      <c r="B184" s="6" t="s">
        <v>7998</v>
      </c>
      <c r="C184" s="28" t="n">
        <v>390</v>
      </c>
      <c r="D184" s="6" t="n">
        <v>12</v>
      </c>
      <c r="E184" s="29" t="n">
        <v>1</v>
      </c>
      <c r="F184" s="6" t="n">
        <v>1</v>
      </c>
      <c r="G184" s="6" t="s">
        <v>6868</v>
      </c>
      <c r="H184" s="6"/>
    </row>
    <row r="185" customFormat="false" ht="15" hidden="false" customHeight="true" outlineLevel="0" collapsed="false">
      <c r="A185" s="6" t="s">
        <v>6530</v>
      </c>
      <c r="B185" s="6" t="s">
        <v>7998</v>
      </c>
      <c r="C185" s="28" t="n">
        <v>390</v>
      </c>
      <c r="D185" s="6" t="n">
        <v>18</v>
      </c>
      <c r="E185" s="29" t="n">
        <v>0.53</v>
      </c>
      <c r="F185" s="6" t="n">
        <v>1</v>
      </c>
      <c r="G185" s="6" t="n">
        <v>1</v>
      </c>
      <c r="H185" s="6"/>
    </row>
    <row r="186" customFormat="false" ht="15" hidden="false" customHeight="true" outlineLevel="0" collapsed="false">
      <c r="A186" s="6" t="s">
        <v>3320</v>
      </c>
      <c r="B186" s="6" t="s">
        <v>7997</v>
      </c>
      <c r="C186" s="28" t="n">
        <v>390</v>
      </c>
      <c r="D186" s="6" t="n">
        <v>16</v>
      </c>
      <c r="E186" s="29" t="n">
        <v>0.44</v>
      </c>
      <c r="F186" s="6" t="n">
        <v>1</v>
      </c>
      <c r="G186" s="6" t="n">
        <v>4</v>
      </c>
      <c r="H186" s="6"/>
    </row>
    <row r="187" customFormat="false" ht="15" hidden="false" customHeight="true" outlineLevel="0" collapsed="false">
      <c r="A187" s="6" t="s">
        <v>3281</v>
      </c>
      <c r="B187" s="6" t="s">
        <v>7997</v>
      </c>
      <c r="C187" s="28" t="n">
        <v>390</v>
      </c>
      <c r="D187" s="6" t="n">
        <v>17</v>
      </c>
      <c r="E187" s="29" t="n">
        <v>0.62</v>
      </c>
      <c r="F187" s="6" t="n">
        <v>1</v>
      </c>
      <c r="G187" s="6" t="n">
        <v>4</v>
      </c>
      <c r="H187" s="6"/>
    </row>
    <row r="188" customFormat="false" ht="15" hidden="false" customHeight="true" outlineLevel="0" collapsed="false">
      <c r="A188" s="6" t="s">
        <v>6547</v>
      </c>
      <c r="B188" s="6" t="s">
        <v>7997</v>
      </c>
      <c r="C188" s="28" t="n">
        <v>390</v>
      </c>
      <c r="D188" s="6" t="n">
        <v>25</v>
      </c>
      <c r="E188" s="29" t="n">
        <v>0.43</v>
      </c>
      <c r="F188" s="6" t="n">
        <v>1</v>
      </c>
      <c r="G188" s="6" t="n">
        <v>1</v>
      </c>
      <c r="H188" s="6"/>
    </row>
    <row r="189" customFormat="false" ht="15" hidden="false" customHeight="true" outlineLevel="0" collapsed="false">
      <c r="A189" s="6" t="s">
        <v>7939</v>
      </c>
      <c r="B189" s="6" t="s">
        <v>7998</v>
      </c>
      <c r="C189" s="28" t="n">
        <v>390</v>
      </c>
      <c r="D189" s="6" t="n">
        <v>10</v>
      </c>
      <c r="E189" s="29" t="n">
        <v>0.49</v>
      </c>
      <c r="F189" s="6" t="n">
        <v>1</v>
      </c>
      <c r="G189" s="6" t="s">
        <v>7927</v>
      </c>
      <c r="H189" s="6"/>
    </row>
    <row r="190" customFormat="false" ht="15" hidden="false" customHeight="true" outlineLevel="0" collapsed="false">
      <c r="A190" s="6" t="s">
        <v>3582</v>
      </c>
      <c r="B190" s="6" t="s">
        <v>7998</v>
      </c>
      <c r="C190" s="28" t="n">
        <v>390</v>
      </c>
      <c r="D190" s="6" t="n">
        <v>16</v>
      </c>
      <c r="E190" s="29" t="n">
        <v>0.47</v>
      </c>
      <c r="F190" s="6" t="n">
        <v>1</v>
      </c>
      <c r="G190" s="6" t="n">
        <v>5</v>
      </c>
      <c r="H190" s="6"/>
    </row>
    <row r="191" customFormat="false" ht="15" hidden="false" customHeight="true" outlineLevel="0" collapsed="false">
      <c r="A191" s="6" t="s">
        <v>6568</v>
      </c>
      <c r="B191" s="6" t="s">
        <v>7998</v>
      </c>
      <c r="C191" s="28" t="n">
        <v>390</v>
      </c>
      <c r="D191" s="6" t="n">
        <v>22</v>
      </c>
      <c r="E191" s="29" t="n">
        <v>0.4</v>
      </c>
      <c r="F191" s="6" t="n">
        <v>1</v>
      </c>
      <c r="G191" s="6" t="n">
        <v>1</v>
      </c>
      <c r="H191" s="6"/>
    </row>
    <row r="192" customFormat="false" ht="15" hidden="false" customHeight="true" outlineLevel="0" collapsed="false">
      <c r="A192" s="6" t="s">
        <v>252</v>
      </c>
      <c r="B192" s="6" t="s">
        <v>7997</v>
      </c>
      <c r="C192" s="28" t="n">
        <v>390</v>
      </c>
      <c r="D192" s="6" t="n">
        <v>16</v>
      </c>
      <c r="E192" s="29" t="n">
        <v>0.48</v>
      </c>
      <c r="F192" s="6" t="n">
        <v>1</v>
      </c>
      <c r="G192" s="6" t="s">
        <v>6870</v>
      </c>
      <c r="H192" s="6"/>
    </row>
    <row r="193" customFormat="false" ht="15" hidden="false" customHeight="true" outlineLevel="0" collapsed="false">
      <c r="A193" s="6" t="s">
        <v>4031</v>
      </c>
      <c r="B193" s="6" t="s">
        <v>7998</v>
      </c>
      <c r="C193" s="28" t="n">
        <v>390</v>
      </c>
      <c r="D193" s="6" t="n">
        <v>15</v>
      </c>
      <c r="E193" s="29" t="n">
        <v>0.36</v>
      </c>
      <c r="F193" s="6" t="n">
        <v>1</v>
      </c>
      <c r="G193" s="6" t="n">
        <v>6</v>
      </c>
      <c r="H193" s="6"/>
    </row>
    <row r="194" customFormat="false" ht="15" hidden="false" customHeight="true" outlineLevel="0" collapsed="false">
      <c r="A194" s="6" t="s">
        <v>7928</v>
      </c>
      <c r="B194" s="6" t="s">
        <v>7998</v>
      </c>
      <c r="C194" s="28" t="n">
        <v>390</v>
      </c>
      <c r="D194" s="6" t="n">
        <v>55</v>
      </c>
      <c r="E194" s="29" t="n">
        <v>0.64</v>
      </c>
      <c r="F194" s="6" t="n">
        <v>1</v>
      </c>
      <c r="G194" s="6" t="s">
        <v>7927</v>
      </c>
      <c r="H194" s="6"/>
    </row>
    <row r="195" customFormat="false" ht="15" hidden="false" customHeight="true" outlineLevel="0" collapsed="false">
      <c r="A195" s="6" t="s">
        <v>7933</v>
      </c>
      <c r="B195" s="6" t="s">
        <v>7998</v>
      </c>
      <c r="C195" s="28" t="n">
        <v>390</v>
      </c>
      <c r="D195" s="6" t="n">
        <v>13</v>
      </c>
      <c r="E195" s="29" t="n">
        <v>0.24</v>
      </c>
      <c r="F195" s="6" t="n">
        <v>1</v>
      </c>
      <c r="G195" s="6" t="s">
        <v>7927</v>
      </c>
      <c r="H195" s="6"/>
    </row>
    <row r="196" customFormat="false" ht="15" hidden="false" customHeight="true" outlineLevel="0" collapsed="false">
      <c r="A196" s="6" t="s">
        <v>7948</v>
      </c>
      <c r="B196" s="6" t="s">
        <v>7998</v>
      </c>
      <c r="C196" s="28" t="n">
        <v>390</v>
      </c>
      <c r="D196" s="6" t="n">
        <v>11</v>
      </c>
      <c r="E196" s="29" t="n">
        <v>0.87</v>
      </c>
      <c r="F196" s="6" t="n">
        <v>1</v>
      </c>
      <c r="G196" s="6" t="s">
        <v>7927</v>
      </c>
      <c r="H196" s="6"/>
    </row>
    <row r="197" customFormat="false" ht="15" hidden="false" customHeight="true" outlineLevel="0" collapsed="false">
      <c r="A197" s="6" t="s">
        <v>7926</v>
      </c>
      <c r="B197" s="6" t="s">
        <v>7998</v>
      </c>
      <c r="C197" s="28" t="n">
        <v>390</v>
      </c>
      <c r="D197" s="6" t="n">
        <v>22</v>
      </c>
      <c r="E197" s="29" t="n">
        <v>0.94</v>
      </c>
      <c r="F197" s="6" t="n">
        <v>1</v>
      </c>
      <c r="G197" s="6" t="s">
        <v>7927</v>
      </c>
      <c r="H197" s="6"/>
    </row>
    <row r="198" customFormat="false" ht="15" hidden="false" customHeight="true" outlineLevel="0" collapsed="false">
      <c r="A198" s="6" t="s">
        <v>7942</v>
      </c>
      <c r="B198" s="6" t="s">
        <v>7998</v>
      </c>
      <c r="C198" s="28" t="n">
        <v>390</v>
      </c>
      <c r="D198" s="6" t="n">
        <v>20</v>
      </c>
      <c r="E198" s="29" t="n">
        <v>1.01</v>
      </c>
      <c r="F198" s="6" t="n">
        <v>1</v>
      </c>
      <c r="G198" s="6" t="s">
        <v>7927</v>
      </c>
      <c r="H198" s="6"/>
    </row>
    <row r="199" customFormat="false" ht="15" hidden="false" customHeight="true" outlineLevel="0" collapsed="false">
      <c r="A199" s="6" t="s">
        <v>6672</v>
      </c>
      <c r="B199" s="6" t="s">
        <v>7997</v>
      </c>
      <c r="C199" s="28" t="n">
        <v>390</v>
      </c>
      <c r="D199" s="6" t="n">
        <v>16</v>
      </c>
      <c r="E199" s="29" t="n">
        <v>0.39</v>
      </c>
      <c r="F199" s="6" t="n">
        <v>1</v>
      </c>
      <c r="G199" s="6" t="n">
        <v>2</v>
      </c>
      <c r="H199" s="6"/>
    </row>
    <row r="200" customFormat="false" ht="15" hidden="false" customHeight="true" outlineLevel="0" collapsed="false">
      <c r="A200" s="6" t="s">
        <v>298</v>
      </c>
      <c r="B200" s="6" t="s">
        <v>7997</v>
      </c>
      <c r="C200" s="28" t="n">
        <v>390</v>
      </c>
      <c r="D200" s="6" t="n">
        <v>17</v>
      </c>
      <c r="E200" s="29" t="n">
        <v>0.7</v>
      </c>
      <c r="F200" s="6" t="n">
        <v>1</v>
      </c>
      <c r="G200" s="6" t="n">
        <v>3</v>
      </c>
      <c r="H200" s="6"/>
    </row>
    <row r="201" customFormat="false" ht="15" hidden="false" customHeight="true" outlineLevel="0" collapsed="false">
      <c r="A201" s="6" t="s">
        <v>2517</v>
      </c>
      <c r="B201" s="6" t="s">
        <v>7998</v>
      </c>
      <c r="C201" s="28" t="n">
        <v>320</v>
      </c>
      <c r="D201" s="6" t="n">
        <v>11</v>
      </c>
      <c r="E201" s="29" t="n">
        <v>0.45</v>
      </c>
      <c r="F201" s="6" t="n">
        <v>1</v>
      </c>
      <c r="G201" s="6" t="n">
        <v>4</v>
      </c>
      <c r="H201" s="6"/>
    </row>
    <row r="202" customFormat="false" ht="15" hidden="false" customHeight="true" outlineLevel="0" collapsed="false">
      <c r="A202" s="6" t="s">
        <v>2672</v>
      </c>
      <c r="B202" s="6" t="s">
        <v>7997</v>
      </c>
      <c r="C202" s="28" t="n">
        <v>320</v>
      </c>
      <c r="D202" s="6" t="n">
        <v>25</v>
      </c>
      <c r="E202" s="29" t="n">
        <v>0.28</v>
      </c>
      <c r="F202" s="6" t="n">
        <v>1</v>
      </c>
      <c r="G202" s="6" t="n">
        <v>4</v>
      </c>
      <c r="H202" s="6"/>
    </row>
    <row r="203" customFormat="false" ht="15" hidden="false" customHeight="true" outlineLevel="0" collapsed="false">
      <c r="A203" s="6" t="s">
        <v>253</v>
      </c>
      <c r="B203" s="6" t="s">
        <v>7997</v>
      </c>
      <c r="C203" s="28" t="n">
        <v>320</v>
      </c>
      <c r="D203" s="6" t="n">
        <v>19</v>
      </c>
      <c r="E203" s="29" t="n">
        <v>0.41</v>
      </c>
      <c r="F203" s="6" t="n">
        <v>1</v>
      </c>
      <c r="G203" s="6" t="s">
        <v>6870</v>
      </c>
      <c r="H203" s="6"/>
    </row>
    <row r="204" customFormat="false" ht="15" hidden="false" customHeight="true" outlineLevel="0" collapsed="false">
      <c r="A204" s="6" t="s">
        <v>3112</v>
      </c>
      <c r="B204" s="6" t="s">
        <v>7998</v>
      </c>
      <c r="C204" s="28" t="n">
        <v>320</v>
      </c>
      <c r="D204" s="6" t="n">
        <v>18</v>
      </c>
      <c r="E204" s="29" t="n">
        <v>0.41</v>
      </c>
      <c r="F204" s="6" t="n">
        <v>1</v>
      </c>
      <c r="G204" s="6" t="n">
        <v>4</v>
      </c>
      <c r="H204" s="6"/>
    </row>
    <row r="205" customFormat="false" ht="15" hidden="false" customHeight="true" outlineLevel="0" collapsed="false">
      <c r="A205" s="6" t="s">
        <v>3329</v>
      </c>
      <c r="B205" s="6" t="s">
        <v>7998</v>
      </c>
      <c r="C205" s="28" t="n">
        <v>320</v>
      </c>
      <c r="D205" s="6" t="n">
        <v>20</v>
      </c>
      <c r="E205" s="29" t="n">
        <v>0</v>
      </c>
      <c r="F205" s="6" t="n">
        <v>0</v>
      </c>
      <c r="G205" s="6" t="n">
        <v>4</v>
      </c>
      <c r="H205" s="6"/>
    </row>
    <row r="206" customFormat="false" ht="15" hidden="false" customHeight="true" outlineLevel="0" collapsed="false">
      <c r="A206" s="6" t="s">
        <v>3363</v>
      </c>
      <c r="B206" s="6" t="s">
        <v>7998</v>
      </c>
      <c r="C206" s="28" t="n">
        <v>320</v>
      </c>
      <c r="D206" s="6" t="n">
        <v>21</v>
      </c>
      <c r="E206" s="29" t="n">
        <v>0.55</v>
      </c>
      <c r="F206" s="6" t="n">
        <v>1</v>
      </c>
      <c r="G206" s="6" t="n">
        <v>4</v>
      </c>
      <c r="H206" s="6"/>
    </row>
    <row r="207" customFormat="false" ht="15" hidden="false" customHeight="true" outlineLevel="0" collapsed="false">
      <c r="A207" s="6" t="s">
        <v>6550</v>
      </c>
      <c r="B207" s="6" t="s">
        <v>8001</v>
      </c>
      <c r="C207" s="28" t="n">
        <v>320</v>
      </c>
      <c r="D207" s="6" t="n">
        <v>16</v>
      </c>
      <c r="E207" s="29" t="n">
        <v>0.37</v>
      </c>
      <c r="F207" s="6" t="n">
        <v>1</v>
      </c>
      <c r="G207" s="6" t="n">
        <v>1</v>
      </c>
      <c r="H207" s="6"/>
    </row>
    <row r="208" customFormat="false" ht="15" hidden="false" customHeight="true" outlineLevel="0" collapsed="false">
      <c r="A208" s="6" t="s">
        <v>4056</v>
      </c>
      <c r="B208" s="6" t="s">
        <v>7998</v>
      </c>
      <c r="C208" s="28" t="n">
        <v>320</v>
      </c>
      <c r="D208" s="6" t="n">
        <v>25</v>
      </c>
      <c r="E208" s="29" t="n">
        <v>0.63</v>
      </c>
      <c r="F208" s="6" t="n">
        <v>1</v>
      </c>
      <c r="G208" s="6" t="n">
        <v>6</v>
      </c>
      <c r="H208" s="6"/>
    </row>
    <row r="209" customFormat="false" ht="15" hidden="false" customHeight="true" outlineLevel="0" collapsed="false">
      <c r="A209" s="6" t="s">
        <v>6607</v>
      </c>
      <c r="B209" s="6" t="s">
        <v>7998</v>
      </c>
      <c r="C209" s="28" t="n">
        <v>320</v>
      </c>
      <c r="D209" s="6" t="n">
        <v>15</v>
      </c>
      <c r="E209" s="29" t="n">
        <v>0.33</v>
      </c>
      <c r="F209" s="6" t="n">
        <v>1</v>
      </c>
      <c r="G209" s="6" t="n">
        <v>1</v>
      </c>
      <c r="H209" s="6"/>
    </row>
    <row r="210" customFormat="false" ht="15" hidden="false" customHeight="true" outlineLevel="0" collapsed="false">
      <c r="A210" s="6" t="s">
        <v>6626</v>
      </c>
      <c r="B210" s="6" t="s">
        <v>7998</v>
      </c>
      <c r="C210" s="28" t="n">
        <v>320</v>
      </c>
      <c r="D210" s="6" t="n">
        <v>17</v>
      </c>
      <c r="E210" s="29" t="n">
        <v>0</v>
      </c>
      <c r="F210" s="6" t="n">
        <v>1</v>
      </c>
      <c r="G210" s="6" t="n">
        <v>2</v>
      </c>
      <c r="H210" s="6"/>
    </row>
    <row r="211" customFormat="false" ht="15" hidden="false" customHeight="true" outlineLevel="0" collapsed="false">
      <c r="A211" s="6" t="s">
        <v>5396</v>
      </c>
      <c r="B211" s="6" t="s">
        <v>7997</v>
      </c>
      <c r="C211" s="28" t="n">
        <v>320</v>
      </c>
      <c r="D211" s="6" t="n">
        <v>16</v>
      </c>
      <c r="E211" s="29" t="n">
        <v>0.63</v>
      </c>
      <c r="F211" s="6" t="n">
        <v>1</v>
      </c>
      <c r="G211" s="6" t="n">
        <v>7</v>
      </c>
      <c r="H211" s="6"/>
    </row>
    <row r="212" customFormat="false" ht="15" hidden="false" customHeight="true" outlineLevel="0" collapsed="false">
      <c r="A212" s="6" t="s">
        <v>170</v>
      </c>
      <c r="B212" s="6" t="s">
        <v>7998</v>
      </c>
      <c r="C212" s="28" t="n">
        <v>320</v>
      </c>
      <c r="D212" s="6" t="n">
        <v>10</v>
      </c>
      <c r="E212" s="29" t="n">
        <v>1.92</v>
      </c>
      <c r="F212" s="6" t="n">
        <v>1</v>
      </c>
      <c r="G212" s="6" t="n">
        <v>3</v>
      </c>
      <c r="H212" s="6"/>
    </row>
    <row r="213" customFormat="false" ht="15" hidden="false" customHeight="true" outlineLevel="0" collapsed="false">
      <c r="A213" s="6" t="s">
        <v>6365</v>
      </c>
      <c r="B213" s="6" t="s">
        <v>7998</v>
      </c>
      <c r="C213" s="28" t="n">
        <v>320</v>
      </c>
      <c r="D213" s="6" t="n">
        <v>20</v>
      </c>
      <c r="E213" s="29" t="n">
        <v>0.62</v>
      </c>
      <c r="F213" s="6" t="n">
        <v>1</v>
      </c>
      <c r="G213" s="6" t="s">
        <v>6867</v>
      </c>
      <c r="H213" s="6"/>
    </row>
    <row r="214" customFormat="false" ht="15" hidden="false" customHeight="true" outlineLevel="0" collapsed="false">
      <c r="A214" s="6" t="s">
        <v>6691</v>
      </c>
      <c r="B214" s="6" t="s">
        <v>8000</v>
      </c>
      <c r="C214" s="28" t="n">
        <v>320</v>
      </c>
      <c r="D214" s="6" t="n">
        <v>30</v>
      </c>
      <c r="E214" s="29" t="n">
        <v>0.4</v>
      </c>
      <c r="F214" s="6" t="n">
        <v>1</v>
      </c>
      <c r="G214" s="6" t="n">
        <v>2</v>
      </c>
      <c r="H214" s="6"/>
    </row>
    <row r="215" customFormat="false" ht="15" hidden="false" customHeight="true" outlineLevel="0" collapsed="false">
      <c r="A215" s="6" t="s">
        <v>2482</v>
      </c>
      <c r="B215" s="6" t="s">
        <v>7998</v>
      </c>
      <c r="C215" s="28" t="n">
        <v>260</v>
      </c>
      <c r="D215" s="6" t="n">
        <v>12</v>
      </c>
      <c r="E215" s="29" t="n">
        <v>0.48</v>
      </c>
      <c r="F215" s="6" t="n">
        <v>1</v>
      </c>
      <c r="G215" s="6" t="n">
        <v>3</v>
      </c>
      <c r="H215" s="6"/>
    </row>
    <row r="216" customFormat="false" ht="15" hidden="false" customHeight="true" outlineLevel="0" collapsed="false">
      <c r="A216" s="6" t="s">
        <v>2968</v>
      </c>
      <c r="B216" s="6" t="s">
        <v>7997</v>
      </c>
      <c r="C216" s="28" t="n">
        <v>260</v>
      </c>
      <c r="D216" s="6" t="n">
        <v>16</v>
      </c>
      <c r="E216" s="29" t="n">
        <v>0.99</v>
      </c>
      <c r="F216" s="6" t="n">
        <v>1</v>
      </c>
      <c r="G216" s="6" t="n">
        <v>4</v>
      </c>
      <c r="H216" s="6"/>
    </row>
    <row r="217" customFormat="false" ht="15" hidden="false" customHeight="true" outlineLevel="0" collapsed="false">
      <c r="A217" s="6" t="s">
        <v>171</v>
      </c>
      <c r="B217" s="6" t="s">
        <v>7998</v>
      </c>
      <c r="C217" s="28" t="n">
        <v>260</v>
      </c>
      <c r="D217" s="6" t="n">
        <v>19</v>
      </c>
      <c r="E217" s="29" t="n">
        <v>0.76</v>
      </c>
      <c r="F217" s="6" t="n">
        <v>1</v>
      </c>
      <c r="G217" s="6" t="n">
        <v>2</v>
      </c>
      <c r="H217" s="6"/>
    </row>
    <row r="218" customFormat="false" ht="15" hidden="false" customHeight="true" outlineLevel="0" collapsed="false">
      <c r="A218" s="6" t="s">
        <v>3271</v>
      </c>
      <c r="B218" s="6" t="s">
        <v>7997</v>
      </c>
      <c r="C218" s="28" t="n">
        <v>260</v>
      </c>
      <c r="D218" s="6" t="n">
        <v>16</v>
      </c>
      <c r="E218" s="29" t="n">
        <v>0.39</v>
      </c>
      <c r="F218" s="6" t="n">
        <v>1</v>
      </c>
      <c r="G218" s="6" t="n">
        <v>4</v>
      </c>
      <c r="H218" s="6"/>
    </row>
    <row r="219" customFormat="false" ht="15" hidden="false" customHeight="true" outlineLevel="0" collapsed="false">
      <c r="A219" s="6" t="s">
        <v>6545</v>
      </c>
      <c r="B219" s="6" t="s">
        <v>7997</v>
      </c>
      <c r="C219" s="28" t="n">
        <v>260</v>
      </c>
      <c r="D219" s="6" t="n">
        <v>15</v>
      </c>
      <c r="E219" s="29" t="n">
        <v>0.41</v>
      </c>
      <c r="F219" s="6" t="n">
        <v>1</v>
      </c>
      <c r="G219" s="6" t="n">
        <v>1</v>
      </c>
      <c r="H219" s="6"/>
    </row>
    <row r="220" customFormat="false" ht="15" hidden="false" customHeight="true" outlineLevel="0" collapsed="false">
      <c r="A220" s="6" t="s">
        <v>3517</v>
      </c>
      <c r="B220" s="6" t="s">
        <v>7998</v>
      </c>
      <c r="C220" s="28" t="n">
        <v>260</v>
      </c>
      <c r="D220" s="6" t="n">
        <v>9</v>
      </c>
      <c r="E220" s="29" t="n">
        <v>0</v>
      </c>
      <c r="F220" s="6" t="n">
        <v>0.33</v>
      </c>
      <c r="G220" s="6" t="n">
        <v>4</v>
      </c>
      <c r="H220" s="6"/>
    </row>
    <row r="221" customFormat="false" ht="15" hidden="false" customHeight="true" outlineLevel="0" collapsed="false">
      <c r="A221" s="6" t="s">
        <v>3620</v>
      </c>
      <c r="B221" s="6" t="s">
        <v>7998</v>
      </c>
      <c r="C221" s="28" t="n">
        <v>260</v>
      </c>
      <c r="D221" s="6" t="n">
        <v>17</v>
      </c>
      <c r="E221" s="29" t="n">
        <v>0.39</v>
      </c>
      <c r="F221" s="6" t="n">
        <v>1</v>
      </c>
      <c r="G221" s="6" t="n">
        <v>5</v>
      </c>
      <c r="H221" s="6"/>
    </row>
    <row r="222" customFormat="false" ht="15" hidden="false" customHeight="true" outlineLevel="0" collapsed="false">
      <c r="A222" s="6" t="s">
        <v>254</v>
      </c>
      <c r="B222" s="6" t="s">
        <v>7998</v>
      </c>
      <c r="C222" s="28" t="n">
        <v>260</v>
      </c>
      <c r="D222" s="6" t="n">
        <v>22</v>
      </c>
      <c r="E222" s="29" t="n">
        <v>0.45</v>
      </c>
      <c r="F222" s="6" t="n">
        <v>1</v>
      </c>
      <c r="G222" s="6" t="s">
        <v>6870</v>
      </c>
      <c r="H222" s="6"/>
    </row>
    <row r="223" customFormat="false" ht="15" hidden="false" customHeight="true" outlineLevel="0" collapsed="false">
      <c r="A223" s="6" t="s">
        <v>4748</v>
      </c>
      <c r="B223" s="6" t="s">
        <v>8002</v>
      </c>
      <c r="C223" s="28" t="n">
        <v>260</v>
      </c>
      <c r="D223" s="6" t="n">
        <v>18</v>
      </c>
      <c r="E223" s="29" t="n">
        <v>0.5</v>
      </c>
      <c r="F223" s="6" t="n">
        <v>1</v>
      </c>
      <c r="G223" s="6" t="n">
        <v>6</v>
      </c>
      <c r="H223" s="6"/>
    </row>
    <row r="224" customFormat="false" ht="15" hidden="false" customHeight="true" outlineLevel="0" collapsed="false">
      <c r="A224" s="6" t="s">
        <v>4689</v>
      </c>
      <c r="B224" s="6" t="s">
        <v>8003</v>
      </c>
      <c r="C224" s="28" t="n">
        <v>260</v>
      </c>
      <c r="D224" s="6" t="n">
        <v>24</v>
      </c>
      <c r="E224" s="29" t="n">
        <v>0.54</v>
      </c>
      <c r="F224" s="6" t="n">
        <v>0.99</v>
      </c>
      <c r="G224" s="6" t="s">
        <v>6867</v>
      </c>
      <c r="H224" s="6"/>
    </row>
    <row r="225" customFormat="false" ht="15" hidden="false" customHeight="true" outlineLevel="0" collapsed="false">
      <c r="A225" s="6" t="s">
        <v>172</v>
      </c>
      <c r="B225" s="6" t="s">
        <v>7999</v>
      </c>
      <c r="C225" s="28" t="n">
        <v>260</v>
      </c>
      <c r="D225" s="6" t="n">
        <v>22</v>
      </c>
      <c r="E225" s="29" t="n">
        <v>1.43</v>
      </c>
      <c r="F225" s="6" t="n">
        <v>1</v>
      </c>
      <c r="G225" s="6" t="n">
        <v>3</v>
      </c>
      <c r="H225" s="6"/>
    </row>
    <row r="226" customFormat="false" ht="15" hidden="false" customHeight="true" outlineLevel="0" collapsed="false">
      <c r="A226" s="6" t="s">
        <v>6628</v>
      </c>
      <c r="B226" s="6" t="s">
        <v>7998</v>
      </c>
      <c r="C226" s="28" t="n">
        <v>260</v>
      </c>
      <c r="D226" s="6" t="n">
        <v>28</v>
      </c>
      <c r="E226" s="29" t="n">
        <v>0.34</v>
      </c>
      <c r="F226" s="6" t="n">
        <v>1</v>
      </c>
      <c r="G226" s="6" t="n">
        <v>2</v>
      </c>
      <c r="H226" s="6"/>
    </row>
    <row r="227" customFormat="false" ht="15" hidden="false" customHeight="true" outlineLevel="0" collapsed="false">
      <c r="A227" s="6" t="s">
        <v>6631</v>
      </c>
      <c r="B227" s="6" t="s">
        <v>7998</v>
      </c>
      <c r="C227" s="28" t="n">
        <v>260</v>
      </c>
      <c r="D227" s="6" t="n">
        <v>17</v>
      </c>
      <c r="E227" s="29" t="n">
        <v>0.35</v>
      </c>
      <c r="F227" s="6" t="n">
        <v>1</v>
      </c>
      <c r="G227" s="6" t="n">
        <v>2</v>
      </c>
      <c r="H227" s="6"/>
    </row>
    <row r="228" customFormat="false" ht="15" hidden="false" customHeight="true" outlineLevel="0" collapsed="false">
      <c r="A228" s="6" t="s">
        <v>7917</v>
      </c>
      <c r="B228" s="6" t="s">
        <v>7998</v>
      </c>
      <c r="C228" s="28" t="n">
        <v>260</v>
      </c>
      <c r="D228" s="6" t="n">
        <v>19</v>
      </c>
      <c r="E228" s="29" t="n">
        <v>0.4</v>
      </c>
      <c r="F228" s="6" t="n">
        <v>1</v>
      </c>
      <c r="G228" s="6" t="s">
        <v>6868</v>
      </c>
      <c r="H228" s="6"/>
    </row>
    <row r="229" customFormat="false" ht="15" hidden="false" customHeight="true" outlineLevel="0" collapsed="false">
      <c r="A229" s="6" t="s">
        <v>255</v>
      </c>
      <c r="B229" s="6" t="s">
        <v>7998</v>
      </c>
      <c r="C229" s="28" t="n">
        <v>260</v>
      </c>
      <c r="D229" s="6" t="n">
        <v>11</v>
      </c>
      <c r="E229" s="29" t="n">
        <v>0.54</v>
      </c>
      <c r="F229" s="6" t="n">
        <v>1</v>
      </c>
      <c r="G229" s="6" t="s">
        <v>6870</v>
      </c>
      <c r="H229" s="6"/>
    </row>
    <row r="230" customFormat="false" ht="15" hidden="false" customHeight="true" outlineLevel="0" collapsed="false">
      <c r="A230" s="6" t="s">
        <v>6683</v>
      </c>
      <c r="B230" s="6" t="s">
        <v>7998</v>
      </c>
      <c r="C230" s="28" t="n">
        <v>260</v>
      </c>
      <c r="D230" s="6" t="n">
        <v>16</v>
      </c>
      <c r="E230" s="29" t="n">
        <v>0.4</v>
      </c>
      <c r="F230" s="6" t="n">
        <v>1</v>
      </c>
      <c r="G230" s="6" t="n">
        <v>2</v>
      </c>
      <c r="H230" s="6"/>
    </row>
    <row r="231" customFormat="false" ht="15" hidden="false" customHeight="true" outlineLevel="0" collapsed="false">
      <c r="A231" s="6" t="s">
        <v>3076</v>
      </c>
      <c r="B231" s="6" t="s">
        <v>7997</v>
      </c>
      <c r="C231" s="28" t="n">
        <v>210</v>
      </c>
      <c r="D231" s="6" t="n">
        <v>18</v>
      </c>
      <c r="E231" s="29" t="n">
        <v>1.28</v>
      </c>
      <c r="F231" s="6" t="n">
        <v>1</v>
      </c>
      <c r="G231" s="6" t="n">
        <v>4</v>
      </c>
      <c r="H231" s="6"/>
    </row>
    <row r="232" customFormat="false" ht="15" hidden="false" customHeight="true" outlineLevel="0" collapsed="false">
      <c r="A232" s="6" t="s">
        <v>3237</v>
      </c>
      <c r="B232" s="6" t="s">
        <v>7998</v>
      </c>
      <c r="C232" s="28" t="n">
        <v>210</v>
      </c>
      <c r="D232" s="6" t="n">
        <v>22</v>
      </c>
      <c r="E232" s="29" t="n">
        <v>0.4</v>
      </c>
      <c r="F232" s="6" t="n">
        <v>1</v>
      </c>
      <c r="G232" s="6" t="s">
        <v>6867</v>
      </c>
      <c r="H232" s="6"/>
    </row>
    <row r="233" customFormat="false" ht="15" hidden="false" customHeight="true" outlineLevel="0" collapsed="false">
      <c r="A233" s="6" t="s">
        <v>3187</v>
      </c>
      <c r="B233" s="6" t="s">
        <v>7997</v>
      </c>
      <c r="C233" s="28" t="n">
        <v>210</v>
      </c>
      <c r="D233" s="6" t="n">
        <v>13</v>
      </c>
      <c r="E233" s="29" t="n">
        <v>0.45</v>
      </c>
      <c r="F233" s="6" t="n">
        <v>1</v>
      </c>
      <c r="G233" s="6" t="s">
        <v>6867</v>
      </c>
      <c r="H233" s="6"/>
    </row>
    <row r="234" customFormat="false" ht="15" hidden="false" customHeight="true" outlineLevel="0" collapsed="false">
      <c r="A234" s="6" t="s">
        <v>3311</v>
      </c>
      <c r="B234" s="6" t="s">
        <v>7997</v>
      </c>
      <c r="C234" s="28" t="n">
        <v>210</v>
      </c>
      <c r="D234" s="6" t="n">
        <v>14</v>
      </c>
      <c r="E234" s="29" t="n">
        <v>0.45</v>
      </c>
      <c r="F234" s="6" t="n">
        <v>1</v>
      </c>
      <c r="G234" s="6" t="n">
        <v>4</v>
      </c>
      <c r="H234" s="6"/>
    </row>
    <row r="235" customFormat="false" ht="15" hidden="false" customHeight="true" outlineLevel="0" collapsed="false">
      <c r="A235" s="6" t="s">
        <v>7930</v>
      </c>
      <c r="B235" s="6" t="s">
        <v>7998</v>
      </c>
      <c r="C235" s="28" t="n">
        <v>210</v>
      </c>
      <c r="D235" s="6" t="n">
        <v>11</v>
      </c>
      <c r="E235" s="29" t="n">
        <v>0.67</v>
      </c>
      <c r="F235" s="6" t="n">
        <v>1</v>
      </c>
      <c r="G235" s="6" t="s">
        <v>7927</v>
      </c>
      <c r="H235" s="6"/>
    </row>
    <row r="236" customFormat="false" ht="15" hidden="false" customHeight="true" outlineLevel="0" collapsed="false">
      <c r="A236" s="6" t="s">
        <v>256</v>
      </c>
      <c r="B236" s="6" t="s">
        <v>8004</v>
      </c>
      <c r="C236" s="28" t="n">
        <v>210</v>
      </c>
      <c r="D236" s="6" t="n">
        <v>29</v>
      </c>
      <c r="E236" s="29" t="n">
        <v>0.8</v>
      </c>
      <c r="F236" s="6" t="n">
        <v>1</v>
      </c>
      <c r="G236" s="6" t="s">
        <v>6870</v>
      </c>
      <c r="H236" s="6"/>
    </row>
    <row r="237" customFormat="false" ht="15" hidden="false" customHeight="true" outlineLevel="0" collapsed="false">
      <c r="A237" s="6" t="s">
        <v>173</v>
      </c>
      <c r="B237" s="6" t="s">
        <v>7998</v>
      </c>
      <c r="C237" s="28" t="n">
        <v>210</v>
      </c>
      <c r="D237" s="6" t="n">
        <v>20</v>
      </c>
      <c r="E237" s="29" t="n">
        <v>0.67</v>
      </c>
      <c r="F237" s="6" t="n">
        <v>0.99</v>
      </c>
      <c r="G237" s="6" t="n">
        <v>2</v>
      </c>
      <c r="H237" s="6"/>
    </row>
    <row r="238" customFormat="false" ht="15" hidden="false" customHeight="true" outlineLevel="0" collapsed="false">
      <c r="A238" s="6" t="s">
        <v>4376</v>
      </c>
      <c r="B238" s="6" t="s">
        <v>7997</v>
      </c>
      <c r="C238" s="28" t="n">
        <v>210</v>
      </c>
      <c r="D238" s="6" t="n">
        <v>28</v>
      </c>
      <c r="E238" s="29" t="n">
        <v>0</v>
      </c>
      <c r="F238" s="6" t="n">
        <v>1</v>
      </c>
      <c r="G238" s="6" t="n">
        <v>6</v>
      </c>
      <c r="H238" s="6"/>
    </row>
    <row r="239" customFormat="false" ht="15" hidden="false" customHeight="true" outlineLevel="0" collapsed="false">
      <c r="A239" s="6" t="s">
        <v>5198</v>
      </c>
      <c r="B239" s="6" t="s">
        <v>7998</v>
      </c>
      <c r="C239" s="28" t="n">
        <v>210</v>
      </c>
      <c r="D239" s="6" t="n">
        <v>12</v>
      </c>
      <c r="E239" s="29" t="n">
        <v>0.35</v>
      </c>
      <c r="F239" s="6" t="n">
        <v>1</v>
      </c>
      <c r="G239" s="6" t="n">
        <v>7</v>
      </c>
      <c r="H239" s="6"/>
    </row>
    <row r="240" customFormat="false" ht="15" hidden="false" customHeight="true" outlineLevel="0" collapsed="false">
      <c r="A240" s="6" t="s">
        <v>6633</v>
      </c>
      <c r="B240" s="6" t="s">
        <v>7998</v>
      </c>
      <c r="C240" s="28" t="n">
        <v>210</v>
      </c>
      <c r="D240" s="6" t="n">
        <v>20</v>
      </c>
      <c r="E240" s="29" t="n">
        <v>0.39</v>
      </c>
      <c r="F240" s="6" t="n">
        <v>1</v>
      </c>
      <c r="G240" s="6" t="n">
        <v>2</v>
      </c>
      <c r="H240" s="6"/>
    </row>
    <row r="241" customFormat="false" ht="15" hidden="false" customHeight="true" outlineLevel="0" collapsed="false">
      <c r="A241" s="6" t="s">
        <v>5210</v>
      </c>
      <c r="B241" s="6" t="s">
        <v>7998</v>
      </c>
      <c r="C241" s="28" t="n">
        <v>210</v>
      </c>
      <c r="D241" s="6" t="n">
        <v>20</v>
      </c>
      <c r="E241" s="29" t="n">
        <v>0.44</v>
      </c>
      <c r="F241" s="6" t="n">
        <v>1</v>
      </c>
      <c r="G241" s="6" t="s">
        <v>6867</v>
      </c>
      <c r="H241" s="6"/>
    </row>
    <row r="242" customFormat="false" ht="15" hidden="false" customHeight="true" outlineLevel="0" collapsed="false">
      <c r="A242" s="6" t="s">
        <v>5459</v>
      </c>
      <c r="B242" s="6" t="s">
        <v>7997</v>
      </c>
      <c r="C242" s="28" t="n">
        <v>210</v>
      </c>
      <c r="D242" s="6" t="n">
        <v>15</v>
      </c>
      <c r="E242" s="29" t="n">
        <v>0.51</v>
      </c>
      <c r="F242" s="6" t="n">
        <v>1</v>
      </c>
      <c r="G242" s="6" t="s">
        <v>6867</v>
      </c>
      <c r="H242" s="6"/>
    </row>
    <row r="243" customFormat="false" ht="15" hidden="false" customHeight="true" outlineLevel="0" collapsed="false">
      <c r="A243" s="6" t="s">
        <v>174</v>
      </c>
      <c r="B243" s="6" t="s">
        <v>7998</v>
      </c>
      <c r="C243" s="28" t="n">
        <v>210</v>
      </c>
      <c r="D243" s="6" t="n">
        <v>16</v>
      </c>
      <c r="E243" s="29" t="n">
        <v>1.02</v>
      </c>
      <c r="F243" s="6" t="n">
        <v>1</v>
      </c>
      <c r="G243" s="6" t="n">
        <v>3</v>
      </c>
      <c r="H243" s="6"/>
    </row>
    <row r="244" customFormat="false" ht="15" hidden="false" customHeight="true" outlineLevel="0" collapsed="false">
      <c r="A244" s="6" t="s">
        <v>175</v>
      </c>
      <c r="B244" s="6" t="s">
        <v>7998</v>
      </c>
      <c r="C244" s="28" t="n">
        <v>210</v>
      </c>
      <c r="D244" s="6" t="n">
        <v>8</v>
      </c>
      <c r="E244" s="29" t="n">
        <v>0.69</v>
      </c>
      <c r="F244" s="6" t="n">
        <v>0.99</v>
      </c>
      <c r="G244" s="6" t="n">
        <v>3</v>
      </c>
      <c r="H244" s="6"/>
    </row>
    <row r="245" customFormat="false" ht="15" hidden="false" customHeight="true" outlineLevel="0" collapsed="false">
      <c r="A245" s="6" t="s">
        <v>7944</v>
      </c>
      <c r="B245" s="6" t="s">
        <v>7998</v>
      </c>
      <c r="C245" s="28" t="n">
        <v>210</v>
      </c>
      <c r="D245" s="6" t="n">
        <v>31</v>
      </c>
      <c r="E245" s="29" t="n">
        <v>1.71</v>
      </c>
      <c r="F245" s="6" t="n">
        <v>0.99</v>
      </c>
      <c r="G245" s="6" t="s">
        <v>7927</v>
      </c>
      <c r="H245" s="6"/>
    </row>
    <row r="246" customFormat="false" ht="15" hidden="false" customHeight="true" outlineLevel="0" collapsed="false">
      <c r="A246" s="6" t="s">
        <v>6532</v>
      </c>
      <c r="B246" s="6" t="s">
        <v>7998</v>
      </c>
      <c r="C246" s="28" t="n">
        <v>170</v>
      </c>
      <c r="D246" s="6" t="n">
        <v>25</v>
      </c>
      <c r="E246" s="29" t="n">
        <v>0.3</v>
      </c>
      <c r="F246" s="6" t="n">
        <v>1</v>
      </c>
      <c r="G246" s="6" t="n">
        <v>1</v>
      </c>
      <c r="H246" s="6"/>
    </row>
    <row r="247" customFormat="false" ht="15" hidden="false" customHeight="true" outlineLevel="0" collapsed="false">
      <c r="A247" s="6" t="s">
        <v>3047</v>
      </c>
      <c r="B247" s="6" t="s">
        <v>7997</v>
      </c>
      <c r="C247" s="28" t="n">
        <v>170</v>
      </c>
      <c r="D247" s="6" t="n">
        <v>24</v>
      </c>
      <c r="E247" s="29" t="n">
        <v>0.62</v>
      </c>
      <c r="F247" s="6" t="n">
        <v>1</v>
      </c>
      <c r="G247" s="6" t="n">
        <v>4</v>
      </c>
      <c r="H247" s="6"/>
    </row>
    <row r="248" customFormat="false" ht="15" hidden="false" customHeight="true" outlineLevel="0" collapsed="false">
      <c r="A248" s="6" t="s">
        <v>3344</v>
      </c>
      <c r="B248" s="6" t="s">
        <v>7997</v>
      </c>
      <c r="C248" s="28" t="n">
        <v>170</v>
      </c>
      <c r="D248" s="6" t="n">
        <v>15</v>
      </c>
      <c r="E248" s="29" t="n">
        <v>0.61</v>
      </c>
      <c r="F248" s="6" t="n">
        <v>1</v>
      </c>
      <c r="G248" s="6" t="s">
        <v>6867</v>
      </c>
      <c r="H248" s="6"/>
    </row>
    <row r="249" customFormat="false" ht="15" hidden="false" customHeight="true" outlineLevel="0" collapsed="false">
      <c r="A249" s="6" t="s">
        <v>3561</v>
      </c>
      <c r="B249" s="6" t="s">
        <v>7998</v>
      </c>
      <c r="C249" s="28" t="n">
        <v>170</v>
      </c>
      <c r="D249" s="6" t="n">
        <v>39</v>
      </c>
      <c r="E249" s="29" t="n">
        <v>0.62</v>
      </c>
      <c r="F249" s="6" t="n">
        <v>1</v>
      </c>
      <c r="G249" s="6" t="s">
        <v>6867</v>
      </c>
      <c r="H249" s="6"/>
    </row>
    <row r="250" customFormat="false" ht="15" hidden="false" customHeight="true" outlineLevel="0" collapsed="false">
      <c r="A250" s="6" t="s">
        <v>3679</v>
      </c>
      <c r="B250" s="6" t="s">
        <v>7998</v>
      </c>
      <c r="C250" s="28" t="n">
        <v>170</v>
      </c>
      <c r="D250" s="6" t="n">
        <v>22</v>
      </c>
      <c r="E250" s="29" t="n">
        <v>0.5</v>
      </c>
      <c r="F250" s="6" t="n">
        <v>1</v>
      </c>
      <c r="G250" s="6" t="n">
        <v>5</v>
      </c>
      <c r="H250" s="6"/>
    </row>
    <row r="251" customFormat="false" ht="15" hidden="false" customHeight="true" outlineLevel="0" collapsed="false">
      <c r="A251" s="6" t="s">
        <v>4008</v>
      </c>
      <c r="B251" s="6" t="s">
        <v>7999</v>
      </c>
      <c r="C251" s="28" t="n">
        <v>170</v>
      </c>
      <c r="D251" s="6" t="n">
        <v>21</v>
      </c>
      <c r="E251" s="29" t="n">
        <v>0.55</v>
      </c>
      <c r="F251" s="6" t="n">
        <v>1</v>
      </c>
      <c r="G251" s="6" t="n">
        <v>6</v>
      </c>
      <c r="H251" s="6"/>
    </row>
    <row r="252" customFormat="false" ht="15" hidden="false" customHeight="true" outlineLevel="0" collapsed="false">
      <c r="A252" s="6" t="s">
        <v>4287</v>
      </c>
      <c r="B252" s="6" t="s">
        <v>7998</v>
      </c>
      <c r="C252" s="28" t="n">
        <v>170</v>
      </c>
      <c r="D252" s="6" t="n">
        <v>17</v>
      </c>
      <c r="E252" s="29" t="n">
        <v>0</v>
      </c>
      <c r="F252" s="6" t="n">
        <v>1</v>
      </c>
      <c r="G252" s="6" t="n">
        <v>6</v>
      </c>
      <c r="H252" s="6"/>
    </row>
    <row r="253" customFormat="false" ht="15" hidden="false" customHeight="true" outlineLevel="0" collapsed="false">
      <c r="A253" s="6" t="s">
        <v>6603</v>
      </c>
      <c r="B253" s="6" t="s">
        <v>7998</v>
      </c>
      <c r="C253" s="28" t="n">
        <v>170</v>
      </c>
      <c r="D253" s="6" t="n">
        <v>30</v>
      </c>
      <c r="E253" s="29" t="n">
        <v>0.38</v>
      </c>
      <c r="F253" s="6" t="n">
        <v>1</v>
      </c>
      <c r="G253" s="6" t="n">
        <v>1</v>
      </c>
      <c r="H253" s="6"/>
    </row>
    <row r="254" customFormat="false" ht="15" hidden="false" customHeight="true" outlineLevel="0" collapsed="false">
      <c r="A254" s="6" t="s">
        <v>4790</v>
      </c>
      <c r="B254" s="6" t="s">
        <v>7997</v>
      </c>
      <c r="C254" s="28" t="n">
        <v>170</v>
      </c>
      <c r="D254" s="6" t="n">
        <v>24</v>
      </c>
      <c r="E254" s="29" t="n">
        <v>0.53</v>
      </c>
      <c r="F254" s="6" t="n">
        <v>1</v>
      </c>
      <c r="G254" s="6" t="n">
        <v>6</v>
      </c>
      <c r="H254" s="6"/>
    </row>
    <row r="255" customFormat="false" ht="15" hidden="false" customHeight="true" outlineLevel="0" collapsed="false">
      <c r="A255" s="6" t="s">
        <v>5080</v>
      </c>
      <c r="B255" s="6" t="s">
        <v>7998</v>
      </c>
      <c r="C255" s="28" t="n">
        <v>170</v>
      </c>
      <c r="D255" s="6" t="n">
        <v>26</v>
      </c>
      <c r="E255" s="29" t="n">
        <v>0.44</v>
      </c>
      <c r="F255" s="6" t="n">
        <v>1</v>
      </c>
      <c r="G255" s="6" t="s">
        <v>6867</v>
      </c>
      <c r="H255" s="6"/>
    </row>
    <row r="256" customFormat="false" ht="15" hidden="false" customHeight="true" outlineLevel="0" collapsed="false">
      <c r="A256" s="6" t="s">
        <v>7916</v>
      </c>
      <c r="B256" s="6" t="s">
        <v>7998</v>
      </c>
      <c r="C256" s="28" t="n">
        <v>170</v>
      </c>
      <c r="D256" s="6" t="n">
        <v>6</v>
      </c>
      <c r="E256" s="29" t="n">
        <v>0.46</v>
      </c>
      <c r="F256" s="6" t="n">
        <v>1</v>
      </c>
      <c r="G256" s="6" t="s">
        <v>6868</v>
      </c>
      <c r="H256" s="6"/>
    </row>
    <row r="257" customFormat="false" ht="15" hidden="false" customHeight="true" outlineLevel="0" collapsed="false">
      <c r="A257" s="6" t="s">
        <v>6658</v>
      </c>
      <c r="B257" s="6" t="s">
        <v>7998</v>
      </c>
      <c r="C257" s="28" t="n">
        <v>170</v>
      </c>
      <c r="D257" s="6" t="n">
        <v>63</v>
      </c>
      <c r="E257" s="29" t="n">
        <v>0.58</v>
      </c>
      <c r="F257" s="6" t="n">
        <v>1</v>
      </c>
      <c r="G257" s="6" t="n">
        <v>2</v>
      </c>
      <c r="H257" s="6"/>
    </row>
    <row r="258" customFormat="false" ht="15" hidden="false" customHeight="true" outlineLevel="0" collapsed="false">
      <c r="A258" s="6" t="s">
        <v>5739</v>
      </c>
      <c r="B258" s="6" t="s">
        <v>7998</v>
      </c>
      <c r="C258" s="28" t="n">
        <v>170</v>
      </c>
      <c r="D258" s="6" t="n">
        <v>22</v>
      </c>
      <c r="E258" s="29" t="n">
        <v>0.52</v>
      </c>
      <c r="F258" s="6" t="n">
        <v>1</v>
      </c>
      <c r="G258" s="6" t="n">
        <v>7</v>
      </c>
      <c r="H258" s="6"/>
    </row>
    <row r="259" customFormat="false" ht="15" hidden="false" customHeight="true" outlineLevel="0" collapsed="false">
      <c r="A259" s="6" t="s">
        <v>2639</v>
      </c>
      <c r="B259" s="6" t="s">
        <v>7997</v>
      </c>
      <c r="C259" s="28" t="n">
        <v>140</v>
      </c>
      <c r="D259" s="6" t="n">
        <v>10</v>
      </c>
      <c r="E259" s="29" t="n">
        <v>0.61</v>
      </c>
      <c r="F259" s="6" t="n">
        <v>1</v>
      </c>
      <c r="G259" s="6" t="n">
        <v>4</v>
      </c>
      <c r="H259" s="6"/>
    </row>
    <row r="260" customFormat="false" ht="15" hidden="false" customHeight="true" outlineLevel="0" collapsed="false">
      <c r="A260" s="6" t="s">
        <v>2957</v>
      </c>
      <c r="B260" s="6" t="s">
        <v>7998</v>
      </c>
      <c r="C260" s="28" t="n">
        <v>140</v>
      </c>
      <c r="D260" s="6" t="n">
        <v>29</v>
      </c>
      <c r="E260" s="29" t="n">
        <v>0</v>
      </c>
      <c r="F260" s="6" t="n">
        <v>1</v>
      </c>
      <c r="G260" s="6" t="n">
        <v>4</v>
      </c>
      <c r="H260" s="6"/>
    </row>
    <row r="261" customFormat="false" ht="15" hidden="false" customHeight="true" outlineLevel="0" collapsed="false">
      <c r="A261" s="6" t="s">
        <v>3080</v>
      </c>
      <c r="B261" s="6" t="s">
        <v>7997</v>
      </c>
      <c r="C261" s="28" t="n">
        <v>140</v>
      </c>
      <c r="D261" s="6" t="n">
        <v>15</v>
      </c>
      <c r="E261" s="29" t="n">
        <v>0.46</v>
      </c>
      <c r="F261" s="6" t="n">
        <v>1</v>
      </c>
      <c r="G261" s="6" t="s">
        <v>6867</v>
      </c>
      <c r="H261" s="6"/>
    </row>
    <row r="262" customFormat="false" ht="15" hidden="false" customHeight="true" outlineLevel="0" collapsed="false">
      <c r="A262" s="6" t="s">
        <v>301</v>
      </c>
      <c r="B262" s="6" t="s">
        <v>8000</v>
      </c>
      <c r="C262" s="28" t="n">
        <v>140</v>
      </c>
      <c r="D262" s="6" t="n">
        <v>28</v>
      </c>
      <c r="E262" s="29" t="n">
        <v>0.3</v>
      </c>
      <c r="F262" s="6" t="n">
        <v>0.77</v>
      </c>
      <c r="G262" s="6" t="n">
        <v>1</v>
      </c>
      <c r="H262" s="6"/>
    </row>
    <row r="263" customFormat="false" ht="15" hidden="false" customHeight="true" outlineLevel="0" collapsed="false">
      <c r="A263" s="6" t="s">
        <v>3646</v>
      </c>
      <c r="B263" s="6" t="s">
        <v>7997</v>
      </c>
      <c r="C263" s="28" t="n">
        <v>140</v>
      </c>
      <c r="D263" s="6" t="n">
        <v>15</v>
      </c>
      <c r="E263" s="29" t="n">
        <v>0.55</v>
      </c>
      <c r="F263" s="6" t="n">
        <v>1</v>
      </c>
      <c r="G263" s="6" t="s">
        <v>6867</v>
      </c>
      <c r="H263" s="6"/>
    </row>
    <row r="264" customFormat="false" ht="15" hidden="false" customHeight="true" outlineLevel="0" collapsed="false">
      <c r="A264" s="6" t="s">
        <v>3864</v>
      </c>
      <c r="B264" s="6" t="s">
        <v>7998</v>
      </c>
      <c r="C264" s="28" t="n">
        <v>140</v>
      </c>
      <c r="D264" s="6" t="n">
        <v>19</v>
      </c>
      <c r="E264" s="29" t="n">
        <v>0.34</v>
      </c>
      <c r="F264" s="6" t="n">
        <v>1</v>
      </c>
      <c r="G264" s="6" t="n">
        <v>5</v>
      </c>
      <c r="H264" s="6"/>
    </row>
    <row r="265" customFormat="false" ht="15" hidden="false" customHeight="true" outlineLevel="0" collapsed="false">
      <c r="A265" s="6" t="s">
        <v>6575</v>
      </c>
      <c r="B265" s="6" t="s">
        <v>7998</v>
      </c>
      <c r="C265" s="28" t="n">
        <v>140</v>
      </c>
      <c r="D265" s="6" t="n">
        <v>13</v>
      </c>
      <c r="E265" s="29" t="n">
        <v>0.39</v>
      </c>
      <c r="F265" s="6" t="n">
        <v>1</v>
      </c>
      <c r="G265" s="6" t="n">
        <v>1</v>
      </c>
      <c r="H265" s="6"/>
    </row>
    <row r="266" customFormat="false" ht="15" hidden="false" customHeight="true" outlineLevel="0" collapsed="false">
      <c r="A266" s="6" t="s">
        <v>4740</v>
      </c>
      <c r="B266" s="6" t="s">
        <v>7997</v>
      </c>
      <c r="C266" s="28" t="n">
        <v>140</v>
      </c>
      <c r="D266" s="6" t="n">
        <v>25</v>
      </c>
      <c r="E266" s="29" t="n">
        <v>0.45</v>
      </c>
      <c r="F266" s="6" t="n">
        <v>1</v>
      </c>
      <c r="G266" s="6" t="s">
        <v>6867</v>
      </c>
      <c r="H266" s="6"/>
    </row>
    <row r="267" customFormat="false" ht="15" hidden="false" customHeight="true" outlineLevel="0" collapsed="false">
      <c r="A267" s="6" t="s">
        <v>257</v>
      </c>
      <c r="B267" s="6" t="s">
        <v>8001</v>
      </c>
      <c r="C267" s="28" t="n">
        <v>140</v>
      </c>
      <c r="D267" s="6" t="n">
        <v>11</v>
      </c>
      <c r="E267" s="29" t="n">
        <v>0</v>
      </c>
      <c r="F267" s="6" t="n">
        <v>1</v>
      </c>
      <c r="G267" s="6" t="s">
        <v>6870</v>
      </c>
      <c r="H267" s="6"/>
    </row>
    <row r="268" customFormat="false" ht="15" hidden="false" customHeight="true" outlineLevel="0" collapsed="false">
      <c r="A268" s="6" t="s">
        <v>259</v>
      </c>
      <c r="B268" s="6" t="s">
        <v>8001</v>
      </c>
      <c r="C268" s="28" t="n">
        <v>140</v>
      </c>
      <c r="D268" s="6" t="n">
        <v>22</v>
      </c>
      <c r="E268" s="29" t="n">
        <v>1.11</v>
      </c>
      <c r="F268" s="6" t="n">
        <v>1</v>
      </c>
      <c r="G268" s="6" t="s">
        <v>6870</v>
      </c>
      <c r="H268" s="6"/>
    </row>
    <row r="269" customFormat="false" ht="15" hidden="false" customHeight="true" outlineLevel="0" collapsed="false">
      <c r="A269" s="6" t="s">
        <v>6615</v>
      </c>
      <c r="B269" s="6" t="s">
        <v>8001</v>
      </c>
      <c r="C269" s="28" t="n">
        <v>140</v>
      </c>
      <c r="D269" s="6" t="n">
        <v>15</v>
      </c>
      <c r="E269" s="29" t="n">
        <v>0.91</v>
      </c>
      <c r="F269" s="6" t="n">
        <v>1</v>
      </c>
      <c r="G269" s="6" t="n">
        <v>2</v>
      </c>
      <c r="H269" s="6"/>
    </row>
    <row r="270" customFormat="false" ht="15" hidden="false" customHeight="true" outlineLevel="0" collapsed="false">
      <c r="A270" s="6" t="s">
        <v>176</v>
      </c>
      <c r="B270" s="6" t="s">
        <v>7998</v>
      </c>
      <c r="C270" s="28" t="n">
        <v>140</v>
      </c>
      <c r="D270" s="6" t="n">
        <v>22</v>
      </c>
      <c r="E270" s="29" t="n">
        <v>0.94</v>
      </c>
      <c r="F270" s="6" t="n">
        <v>1</v>
      </c>
      <c r="G270" s="6" t="n">
        <v>3</v>
      </c>
      <c r="H270" s="6"/>
    </row>
    <row r="271" customFormat="false" ht="15" hidden="false" customHeight="true" outlineLevel="0" collapsed="false">
      <c r="A271" s="6" t="s">
        <v>7918</v>
      </c>
      <c r="B271" s="6" t="s">
        <v>7998</v>
      </c>
      <c r="C271" s="28" t="n">
        <v>140</v>
      </c>
      <c r="D271" s="6" t="n">
        <v>7</v>
      </c>
      <c r="E271" s="29" t="n">
        <v>0.34</v>
      </c>
      <c r="F271" s="6" t="n">
        <v>0.99</v>
      </c>
      <c r="G271" s="6" t="s">
        <v>6868</v>
      </c>
      <c r="H271" s="6"/>
    </row>
    <row r="272" customFormat="false" ht="15" hidden="false" customHeight="true" outlineLevel="0" collapsed="false">
      <c r="A272" s="6" t="s">
        <v>260</v>
      </c>
      <c r="B272" s="6" t="s">
        <v>8001</v>
      </c>
      <c r="C272" s="28" t="n">
        <v>140</v>
      </c>
      <c r="D272" s="6" t="n">
        <v>17</v>
      </c>
      <c r="E272" s="29" t="n">
        <v>0</v>
      </c>
      <c r="F272" s="6" t="n">
        <v>1</v>
      </c>
      <c r="G272" s="6" t="s">
        <v>6870</v>
      </c>
      <c r="H272" s="6"/>
    </row>
    <row r="273" customFormat="false" ht="15" hidden="false" customHeight="true" outlineLevel="0" collapsed="false">
      <c r="A273" s="6" t="s">
        <v>7937</v>
      </c>
      <c r="B273" s="6" t="s">
        <v>7998</v>
      </c>
      <c r="C273" s="28" t="n">
        <v>140</v>
      </c>
      <c r="D273" s="6" t="n">
        <v>15</v>
      </c>
      <c r="E273" s="29" t="n">
        <v>0.89</v>
      </c>
      <c r="F273" s="6" t="n">
        <v>1</v>
      </c>
      <c r="G273" s="6" t="s">
        <v>7927</v>
      </c>
      <c r="H273" s="6"/>
    </row>
    <row r="274" customFormat="false" ht="15" hidden="false" customHeight="true" outlineLevel="0" collapsed="false">
      <c r="A274" s="6" t="s">
        <v>7923</v>
      </c>
      <c r="B274" s="6" t="s">
        <v>7998</v>
      </c>
      <c r="C274" s="28" t="n">
        <v>140</v>
      </c>
      <c r="D274" s="6" t="n">
        <v>25</v>
      </c>
      <c r="E274" s="29" t="n">
        <v>0</v>
      </c>
      <c r="F274" s="6" t="n">
        <v>1</v>
      </c>
      <c r="G274" s="6" t="s">
        <v>6868</v>
      </c>
      <c r="H274" s="6"/>
    </row>
    <row r="275" customFormat="false" ht="15" hidden="false" customHeight="true" outlineLevel="0" collapsed="false">
      <c r="A275" s="6" t="s">
        <v>177</v>
      </c>
      <c r="B275" s="6" t="s">
        <v>7998</v>
      </c>
      <c r="C275" s="28" t="n">
        <v>140</v>
      </c>
      <c r="D275" s="6" t="n">
        <v>16</v>
      </c>
      <c r="E275" s="29" t="n">
        <v>0.94</v>
      </c>
      <c r="F275" s="6" t="n">
        <v>0.99</v>
      </c>
      <c r="G275" s="6" t="n">
        <v>3</v>
      </c>
      <c r="H275" s="6"/>
    </row>
    <row r="276" customFormat="false" ht="15" hidden="false" customHeight="true" outlineLevel="0" collapsed="false">
      <c r="A276" s="6" t="s">
        <v>5899</v>
      </c>
      <c r="B276" s="6" t="s">
        <v>7998</v>
      </c>
      <c r="C276" s="28" t="n">
        <v>140</v>
      </c>
      <c r="D276" s="6" t="n">
        <v>10</v>
      </c>
      <c r="E276" s="29" t="n">
        <v>0</v>
      </c>
      <c r="F276" s="6" t="n">
        <v>0.01</v>
      </c>
      <c r="G276" s="6" t="n">
        <v>7</v>
      </c>
      <c r="H276" s="6"/>
    </row>
    <row r="277" customFormat="false" ht="15" hidden="false" customHeight="true" outlineLevel="0" collapsed="false">
      <c r="A277" s="6" t="s">
        <v>6357</v>
      </c>
      <c r="B277" s="6" t="s">
        <v>7998</v>
      </c>
      <c r="C277" s="28" t="n">
        <v>140</v>
      </c>
      <c r="D277" s="6" t="n">
        <v>18</v>
      </c>
      <c r="E277" s="29" t="n">
        <v>0.7</v>
      </c>
      <c r="F277" s="6" t="n">
        <v>1</v>
      </c>
      <c r="G277" s="6" t="s">
        <v>6867</v>
      </c>
      <c r="H277" s="6"/>
    </row>
    <row r="278" customFormat="false" ht="15" hidden="false" customHeight="true" outlineLevel="0" collapsed="false">
      <c r="A278" s="6" t="s">
        <v>7924</v>
      </c>
      <c r="B278" s="6" t="s">
        <v>7998</v>
      </c>
      <c r="C278" s="28" t="n">
        <v>140</v>
      </c>
      <c r="D278" s="6" t="n">
        <v>9</v>
      </c>
      <c r="E278" s="29" t="n">
        <v>0</v>
      </c>
      <c r="F278" s="6" t="n">
        <v>0.95</v>
      </c>
      <c r="G278" s="6" t="s">
        <v>6868</v>
      </c>
      <c r="H278" s="6"/>
    </row>
    <row r="279" customFormat="false" ht="15" hidden="false" customHeight="true" outlineLevel="0" collapsed="false">
      <c r="A279" s="6" t="s">
        <v>2598</v>
      </c>
      <c r="B279" s="6" t="s">
        <v>7998</v>
      </c>
      <c r="C279" s="28" t="n">
        <v>110</v>
      </c>
      <c r="D279" s="6" t="n">
        <v>19</v>
      </c>
      <c r="E279" s="29" t="n">
        <v>0</v>
      </c>
      <c r="F279" s="6" t="n">
        <v>1</v>
      </c>
      <c r="G279" s="6" t="n">
        <v>4</v>
      </c>
      <c r="H279" s="6"/>
    </row>
    <row r="280" customFormat="false" ht="15" hidden="false" customHeight="true" outlineLevel="0" collapsed="false">
      <c r="A280" s="6" t="s">
        <v>2610</v>
      </c>
      <c r="B280" s="6" t="s">
        <v>7998</v>
      </c>
      <c r="C280" s="28" t="n">
        <v>110</v>
      </c>
      <c r="D280" s="6" t="n">
        <v>9</v>
      </c>
      <c r="E280" s="29" t="n">
        <v>0</v>
      </c>
      <c r="F280" s="6" t="n">
        <v>1</v>
      </c>
      <c r="G280" s="6" t="n">
        <v>4</v>
      </c>
      <c r="H280" s="6"/>
    </row>
    <row r="281" customFormat="false" ht="15" hidden="false" customHeight="true" outlineLevel="0" collapsed="false">
      <c r="A281" s="6" t="s">
        <v>2725</v>
      </c>
      <c r="B281" s="6" t="s">
        <v>7998</v>
      </c>
      <c r="C281" s="28" t="n">
        <v>110</v>
      </c>
      <c r="D281" s="6" t="n">
        <v>22</v>
      </c>
      <c r="E281" s="29" t="n">
        <v>0.41</v>
      </c>
      <c r="F281" s="6" t="n">
        <v>1</v>
      </c>
      <c r="G281" s="6" t="n">
        <v>4</v>
      </c>
      <c r="H281" s="6"/>
    </row>
    <row r="282" customFormat="false" ht="15" hidden="false" customHeight="true" outlineLevel="0" collapsed="false">
      <c r="A282" s="6" t="s">
        <v>3093</v>
      </c>
      <c r="B282" s="6" t="s">
        <v>7998</v>
      </c>
      <c r="C282" s="28" t="n">
        <v>110</v>
      </c>
      <c r="D282" s="6" t="n">
        <v>17</v>
      </c>
      <c r="E282" s="29" t="n">
        <v>0.4</v>
      </c>
      <c r="F282" s="6" t="n">
        <v>1</v>
      </c>
      <c r="G282" s="6" t="s">
        <v>6867</v>
      </c>
      <c r="H282" s="6"/>
    </row>
    <row r="283" customFormat="false" ht="15" hidden="false" customHeight="true" outlineLevel="0" collapsed="false">
      <c r="A283" s="6" t="s">
        <v>3385</v>
      </c>
      <c r="B283" s="6" t="s">
        <v>7998</v>
      </c>
      <c r="C283" s="28" t="n">
        <v>110</v>
      </c>
      <c r="D283" s="6" t="n">
        <v>13</v>
      </c>
      <c r="E283" s="29" t="n">
        <v>0.5</v>
      </c>
      <c r="F283" s="6" t="n">
        <v>1</v>
      </c>
      <c r="G283" s="6" t="n">
        <v>4</v>
      </c>
      <c r="H283" s="6"/>
    </row>
    <row r="284" customFormat="false" ht="15" hidden="false" customHeight="true" outlineLevel="0" collapsed="false">
      <c r="A284" s="6" t="s">
        <v>3429</v>
      </c>
      <c r="B284" s="6" t="s">
        <v>7997</v>
      </c>
      <c r="C284" s="28" t="n">
        <v>110</v>
      </c>
      <c r="D284" s="6" t="n">
        <v>20</v>
      </c>
      <c r="E284" s="29" t="n">
        <v>0.6</v>
      </c>
      <c r="F284" s="6" t="n">
        <v>1</v>
      </c>
      <c r="G284" s="6" t="n">
        <v>4</v>
      </c>
      <c r="H284" s="6"/>
    </row>
    <row r="285" customFormat="false" ht="15" hidden="false" customHeight="true" outlineLevel="0" collapsed="false">
      <c r="A285" s="6" t="s">
        <v>6563</v>
      </c>
      <c r="B285" s="6" t="s">
        <v>7998</v>
      </c>
      <c r="C285" s="28" t="n">
        <v>110</v>
      </c>
      <c r="D285" s="6" t="n">
        <v>16</v>
      </c>
      <c r="E285" s="29" t="n">
        <v>0.36</v>
      </c>
      <c r="F285" s="6" t="n">
        <v>1</v>
      </c>
      <c r="G285" s="6" t="n">
        <v>1</v>
      </c>
      <c r="H285" s="6"/>
    </row>
    <row r="286" customFormat="false" ht="15" hidden="false" customHeight="true" outlineLevel="0" collapsed="false">
      <c r="A286" s="6" t="s">
        <v>3624</v>
      </c>
      <c r="B286" s="6" t="s">
        <v>7997</v>
      </c>
      <c r="C286" s="28" t="n">
        <v>110</v>
      </c>
      <c r="D286" s="6" t="n">
        <v>22</v>
      </c>
      <c r="E286" s="29" t="n">
        <v>0.53</v>
      </c>
      <c r="F286" s="6" t="n">
        <v>1</v>
      </c>
      <c r="G286" s="6" t="s">
        <v>6867</v>
      </c>
      <c r="H286" s="6"/>
    </row>
    <row r="287" customFormat="false" ht="15" hidden="false" customHeight="true" outlineLevel="0" collapsed="false">
      <c r="A287" s="6" t="s">
        <v>4332</v>
      </c>
      <c r="B287" s="6" t="s">
        <v>7998</v>
      </c>
      <c r="C287" s="28" t="n">
        <v>110</v>
      </c>
      <c r="D287" s="6" t="n">
        <v>19</v>
      </c>
      <c r="E287" s="29" t="n">
        <v>0.64</v>
      </c>
      <c r="F287" s="6" t="n">
        <v>0.93</v>
      </c>
      <c r="G287" s="6" t="s">
        <v>6867</v>
      </c>
      <c r="H287" s="6"/>
    </row>
    <row r="288" customFormat="false" ht="15" hidden="false" customHeight="true" outlineLevel="0" collapsed="false">
      <c r="A288" s="6" t="s">
        <v>4441</v>
      </c>
      <c r="B288" s="6" t="s">
        <v>7998</v>
      </c>
      <c r="C288" s="28" t="n">
        <v>110</v>
      </c>
      <c r="D288" s="6" t="n">
        <v>25</v>
      </c>
      <c r="E288" s="29" t="n">
        <v>0</v>
      </c>
      <c r="F288" s="6" t="n">
        <v>1</v>
      </c>
      <c r="G288" s="6" t="n">
        <v>6</v>
      </c>
      <c r="H288" s="6"/>
    </row>
    <row r="289" customFormat="false" ht="15" hidden="false" customHeight="true" outlineLevel="0" collapsed="false">
      <c r="A289" s="6" t="s">
        <v>7907</v>
      </c>
      <c r="B289" s="6" t="s">
        <v>7998</v>
      </c>
      <c r="C289" s="28" t="n">
        <v>110</v>
      </c>
      <c r="D289" s="6" t="n">
        <v>5</v>
      </c>
      <c r="E289" s="29" t="n">
        <v>0.49</v>
      </c>
      <c r="F289" s="6" t="n">
        <v>1</v>
      </c>
      <c r="G289" s="6" t="s">
        <v>6868</v>
      </c>
      <c r="H289" s="6"/>
    </row>
    <row r="290" customFormat="false" ht="15" hidden="false" customHeight="true" outlineLevel="0" collapsed="false">
      <c r="A290" s="6" t="s">
        <v>7906</v>
      </c>
      <c r="B290" s="6" t="s">
        <v>7998</v>
      </c>
      <c r="C290" s="28" t="n">
        <v>110</v>
      </c>
      <c r="D290" s="6" t="n">
        <v>4</v>
      </c>
      <c r="E290" s="29" t="n">
        <v>0.76</v>
      </c>
      <c r="F290" s="6" t="n">
        <v>1</v>
      </c>
      <c r="G290" s="6" t="s">
        <v>6868</v>
      </c>
      <c r="H290" s="6"/>
    </row>
    <row r="291" customFormat="false" ht="15" hidden="false" customHeight="true" outlineLevel="0" collapsed="false">
      <c r="A291" s="6" t="s">
        <v>4719</v>
      </c>
      <c r="B291" s="6" t="s">
        <v>7998</v>
      </c>
      <c r="C291" s="28" t="n">
        <v>110</v>
      </c>
      <c r="D291" s="6" t="n">
        <v>19</v>
      </c>
      <c r="E291" s="29" t="n">
        <v>0.58</v>
      </c>
      <c r="F291" s="6" t="n">
        <v>1</v>
      </c>
      <c r="G291" s="6" t="s">
        <v>6867</v>
      </c>
      <c r="H291" s="6"/>
    </row>
    <row r="292" customFormat="false" ht="15" hidden="false" customHeight="true" outlineLevel="0" collapsed="false">
      <c r="A292" s="6" t="s">
        <v>261</v>
      </c>
      <c r="B292" s="6" t="s">
        <v>8002</v>
      </c>
      <c r="C292" s="28" t="n">
        <v>110</v>
      </c>
      <c r="D292" s="6" t="n">
        <v>19</v>
      </c>
      <c r="E292" s="29" t="n">
        <v>0.29</v>
      </c>
      <c r="F292" s="6" t="n">
        <v>1</v>
      </c>
      <c r="G292" s="6" t="s">
        <v>6870</v>
      </c>
      <c r="H292" s="6"/>
    </row>
    <row r="293" customFormat="false" ht="15" hidden="false" customHeight="true" outlineLevel="0" collapsed="false">
      <c r="A293" s="6" t="s">
        <v>7932</v>
      </c>
      <c r="B293" s="6" t="s">
        <v>7998</v>
      </c>
      <c r="C293" s="28" t="n">
        <v>110</v>
      </c>
      <c r="D293" s="6" t="n">
        <v>21</v>
      </c>
      <c r="E293" s="29" t="n">
        <v>0.23</v>
      </c>
      <c r="F293" s="6" t="n">
        <v>1</v>
      </c>
      <c r="G293" s="6" t="s">
        <v>7927</v>
      </c>
      <c r="H293" s="6"/>
    </row>
    <row r="294" customFormat="false" ht="15" hidden="false" customHeight="true" outlineLevel="0" collapsed="false">
      <c r="A294" s="6" t="s">
        <v>6662</v>
      </c>
      <c r="B294" s="6" t="s">
        <v>7997</v>
      </c>
      <c r="C294" s="28" t="n">
        <v>110</v>
      </c>
      <c r="D294" s="6" t="n">
        <v>20</v>
      </c>
      <c r="E294" s="29" t="n">
        <v>0.58</v>
      </c>
      <c r="F294" s="6" t="n">
        <v>1</v>
      </c>
      <c r="G294" s="6" t="n">
        <v>2</v>
      </c>
      <c r="H294" s="6"/>
    </row>
    <row r="295" customFormat="false" ht="15" hidden="false" customHeight="true" outlineLevel="0" collapsed="false">
      <c r="A295" s="6" t="s">
        <v>2919</v>
      </c>
      <c r="B295" s="6" t="s">
        <v>7998</v>
      </c>
      <c r="C295" s="28" t="n">
        <v>90</v>
      </c>
      <c r="D295" s="6" t="n">
        <v>10</v>
      </c>
      <c r="E295" s="29" t="n">
        <v>0</v>
      </c>
      <c r="F295" s="6" t="n">
        <v>1</v>
      </c>
      <c r="G295" s="6" t="n">
        <v>4</v>
      </c>
      <c r="H295" s="6"/>
    </row>
    <row r="296" customFormat="false" ht="15" hidden="false" customHeight="true" outlineLevel="0" collapsed="false">
      <c r="A296" s="6" t="s">
        <v>7910</v>
      </c>
      <c r="B296" s="6" t="s">
        <v>7998</v>
      </c>
      <c r="C296" s="28" t="n">
        <v>90</v>
      </c>
      <c r="D296" s="6" t="n">
        <v>9</v>
      </c>
      <c r="E296" s="29" t="n">
        <v>0.42</v>
      </c>
      <c r="F296" s="6" t="n">
        <v>1</v>
      </c>
      <c r="G296" s="6" t="s">
        <v>6868</v>
      </c>
      <c r="H296" s="6"/>
    </row>
    <row r="297" customFormat="false" ht="15" hidden="false" customHeight="true" outlineLevel="0" collapsed="false">
      <c r="A297" s="6" t="s">
        <v>6535</v>
      </c>
      <c r="B297" s="6" t="s">
        <v>7998</v>
      </c>
      <c r="C297" s="28" t="n">
        <v>90</v>
      </c>
      <c r="D297" s="6" t="n">
        <v>24</v>
      </c>
      <c r="E297" s="29" t="n">
        <v>0.35</v>
      </c>
      <c r="F297" s="6" t="n">
        <v>1</v>
      </c>
      <c r="G297" s="6" t="n">
        <v>1</v>
      </c>
      <c r="H297" s="6"/>
    </row>
    <row r="298" customFormat="false" ht="15" hidden="false" customHeight="true" outlineLevel="0" collapsed="false">
      <c r="A298" s="6" t="s">
        <v>7945</v>
      </c>
      <c r="B298" s="6" t="s">
        <v>7998</v>
      </c>
      <c r="C298" s="28" t="n">
        <v>90</v>
      </c>
      <c r="D298" s="6" t="n">
        <v>49</v>
      </c>
      <c r="E298" s="29" t="n">
        <v>1.39</v>
      </c>
      <c r="F298" s="6" t="n">
        <v>1</v>
      </c>
      <c r="G298" s="6" t="s">
        <v>7927</v>
      </c>
      <c r="H298" s="6"/>
    </row>
    <row r="299" customFormat="false" ht="15" hidden="false" customHeight="true" outlineLevel="0" collapsed="false">
      <c r="A299" s="6" t="s">
        <v>6565</v>
      </c>
      <c r="B299" s="6" t="s">
        <v>7998</v>
      </c>
      <c r="C299" s="28" t="n">
        <v>90</v>
      </c>
      <c r="D299" s="6" t="n">
        <v>19</v>
      </c>
      <c r="E299" s="29" t="n">
        <v>0.25</v>
      </c>
      <c r="F299" s="6" t="n">
        <v>1</v>
      </c>
      <c r="G299" s="6" t="n">
        <v>1</v>
      </c>
      <c r="H299" s="6"/>
    </row>
    <row r="300" customFormat="false" ht="15" hidden="false" customHeight="true" outlineLevel="0" collapsed="false">
      <c r="A300" s="6" t="s">
        <v>6582</v>
      </c>
      <c r="B300" s="6" t="s">
        <v>7997</v>
      </c>
      <c r="C300" s="28" t="n">
        <v>90</v>
      </c>
      <c r="D300" s="6" t="n">
        <v>22</v>
      </c>
      <c r="E300" s="29" t="n">
        <v>0.28</v>
      </c>
      <c r="F300" s="6" t="n">
        <v>1</v>
      </c>
      <c r="G300" s="6" t="n">
        <v>1</v>
      </c>
      <c r="H300" s="6"/>
    </row>
    <row r="301" customFormat="false" ht="15" hidden="false" customHeight="true" outlineLevel="0" collapsed="false">
      <c r="A301" s="6" t="s">
        <v>4864</v>
      </c>
      <c r="B301" s="6" t="s">
        <v>7997</v>
      </c>
      <c r="C301" s="28" t="n">
        <v>90</v>
      </c>
      <c r="D301" s="6" t="n">
        <v>20</v>
      </c>
      <c r="E301" s="29" t="n">
        <v>0.78</v>
      </c>
      <c r="F301" s="6" t="n">
        <v>1</v>
      </c>
      <c r="G301" s="6" t="n">
        <v>6</v>
      </c>
      <c r="H301" s="6"/>
    </row>
    <row r="302" customFormat="false" ht="15" hidden="false" customHeight="true" outlineLevel="0" collapsed="false">
      <c r="A302" s="6" t="s">
        <v>5111</v>
      </c>
      <c r="B302" s="6" t="s">
        <v>7998</v>
      </c>
      <c r="C302" s="28" t="n">
        <v>90</v>
      </c>
      <c r="D302" s="6" t="n">
        <v>22</v>
      </c>
      <c r="E302" s="29" t="n">
        <v>0.34</v>
      </c>
      <c r="F302" s="6" t="n">
        <v>1</v>
      </c>
      <c r="G302" s="6" t="s">
        <v>6867</v>
      </c>
      <c r="H302" s="6"/>
    </row>
    <row r="303" customFormat="false" ht="15" hidden="false" customHeight="true" outlineLevel="0" collapsed="false">
      <c r="A303" s="6" t="s">
        <v>6629</v>
      </c>
      <c r="B303" s="6" t="s">
        <v>7998</v>
      </c>
      <c r="C303" s="28" t="n">
        <v>90</v>
      </c>
      <c r="D303" s="6" t="n">
        <v>20</v>
      </c>
      <c r="E303" s="29" t="n">
        <v>0.41</v>
      </c>
      <c r="F303" s="6" t="n">
        <v>1</v>
      </c>
      <c r="G303" s="6" t="n">
        <v>2</v>
      </c>
      <c r="H303" s="6"/>
    </row>
    <row r="304" customFormat="false" ht="15" hidden="false" customHeight="true" outlineLevel="0" collapsed="false">
      <c r="A304" s="6" t="s">
        <v>5434</v>
      </c>
      <c r="B304" s="6" t="s">
        <v>7998</v>
      </c>
      <c r="C304" s="28" t="n">
        <v>90</v>
      </c>
      <c r="D304" s="6" t="n">
        <v>14</v>
      </c>
      <c r="E304" s="29" t="n">
        <v>0.49</v>
      </c>
      <c r="F304" s="6" t="n">
        <v>1</v>
      </c>
      <c r="G304" s="6" t="n">
        <v>7</v>
      </c>
      <c r="H304" s="6"/>
    </row>
    <row r="305" customFormat="false" ht="15" hidden="false" customHeight="true" outlineLevel="0" collapsed="false">
      <c r="A305" s="6" t="s">
        <v>178</v>
      </c>
      <c r="B305" s="6" t="s">
        <v>7998</v>
      </c>
      <c r="C305" s="28" t="n">
        <v>90</v>
      </c>
      <c r="D305" s="6" t="n">
        <v>16</v>
      </c>
      <c r="E305" s="29" t="n">
        <v>0.68</v>
      </c>
      <c r="F305" s="6" t="n">
        <v>1</v>
      </c>
      <c r="G305" s="6" t="n">
        <v>3</v>
      </c>
      <c r="H305" s="6"/>
    </row>
    <row r="306" customFormat="false" ht="15" hidden="false" customHeight="true" outlineLevel="0" collapsed="false">
      <c r="A306" s="6" t="s">
        <v>6660</v>
      </c>
      <c r="B306" s="6" t="s">
        <v>7998</v>
      </c>
      <c r="C306" s="28" t="n">
        <v>90</v>
      </c>
      <c r="D306" s="6" t="n">
        <v>13</v>
      </c>
      <c r="E306" s="29" t="n">
        <v>0.48</v>
      </c>
      <c r="F306" s="6" t="n">
        <v>0.99</v>
      </c>
      <c r="G306" s="6" t="n">
        <v>2</v>
      </c>
      <c r="H306" s="6"/>
    </row>
    <row r="307" customFormat="false" ht="15" hidden="false" customHeight="true" outlineLevel="0" collapsed="false">
      <c r="A307" s="6" t="s">
        <v>179</v>
      </c>
      <c r="B307" s="6" t="s">
        <v>7999</v>
      </c>
      <c r="C307" s="28" t="n">
        <v>90</v>
      </c>
      <c r="D307" s="6" t="n">
        <v>22</v>
      </c>
      <c r="E307" s="29" t="n">
        <v>0.95</v>
      </c>
      <c r="F307" s="6" t="n">
        <v>0.99</v>
      </c>
      <c r="G307" s="6" t="n">
        <v>3</v>
      </c>
      <c r="H307" s="6"/>
    </row>
    <row r="308" customFormat="false" ht="15" hidden="false" customHeight="true" outlineLevel="0" collapsed="false">
      <c r="A308" s="6" t="s">
        <v>6144</v>
      </c>
      <c r="B308" s="6" t="s">
        <v>7998</v>
      </c>
      <c r="C308" s="28" t="n">
        <v>90</v>
      </c>
      <c r="D308" s="6" t="n">
        <v>19</v>
      </c>
      <c r="E308" s="29" t="n">
        <v>0.55</v>
      </c>
      <c r="F308" s="6" t="n">
        <v>1</v>
      </c>
      <c r="G308" s="6" t="n">
        <v>7</v>
      </c>
      <c r="H308" s="6"/>
    </row>
    <row r="309" customFormat="false" ht="15" hidden="false" customHeight="true" outlineLevel="0" collapsed="false">
      <c r="A309" s="6" t="s">
        <v>6222</v>
      </c>
      <c r="B309" s="6" t="s">
        <v>7998</v>
      </c>
      <c r="C309" s="28" t="n">
        <v>90</v>
      </c>
      <c r="D309" s="6" t="n">
        <v>15</v>
      </c>
      <c r="E309" s="29" t="n">
        <v>0.61</v>
      </c>
      <c r="F309" s="6" t="n">
        <v>1</v>
      </c>
      <c r="G309" s="6" t="n">
        <v>8</v>
      </c>
      <c r="H309" s="6"/>
    </row>
    <row r="310" customFormat="false" ht="15" hidden="false" customHeight="true" outlineLevel="0" collapsed="false">
      <c r="A310" s="6" t="s">
        <v>302</v>
      </c>
      <c r="B310" s="6" t="s">
        <v>8000</v>
      </c>
      <c r="C310" s="28" t="n">
        <v>90</v>
      </c>
      <c r="D310" s="6" t="n">
        <v>36</v>
      </c>
      <c r="E310" s="29" t="n">
        <v>1.14</v>
      </c>
      <c r="F310" s="6" t="n">
        <v>1</v>
      </c>
      <c r="G310" s="6" t="n">
        <v>3</v>
      </c>
      <c r="H310" s="6"/>
    </row>
    <row r="311" customFormat="false" ht="15" hidden="false" customHeight="true" outlineLevel="0" collapsed="false">
      <c r="A311" s="6" t="s">
        <v>2506</v>
      </c>
      <c r="B311" s="6" t="s">
        <v>7998</v>
      </c>
      <c r="C311" s="28" t="n">
        <v>70</v>
      </c>
      <c r="D311" s="6" t="n">
        <v>13</v>
      </c>
      <c r="E311" s="29" t="n">
        <v>0.5</v>
      </c>
      <c r="F311" s="6" t="n">
        <v>1</v>
      </c>
      <c r="G311" s="6" t="n">
        <v>4</v>
      </c>
      <c r="H311" s="6"/>
    </row>
    <row r="312" customFormat="false" ht="15" hidden="false" customHeight="true" outlineLevel="0" collapsed="false">
      <c r="A312" s="6" t="s">
        <v>2703</v>
      </c>
      <c r="B312" s="6" t="s">
        <v>7998</v>
      </c>
      <c r="C312" s="28" t="n">
        <v>70</v>
      </c>
      <c r="D312" s="6" t="n">
        <v>19</v>
      </c>
      <c r="E312" s="29" t="n">
        <v>0</v>
      </c>
      <c r="F312" s="6" t="n">
        <v>1</v>
      </c>
      <c r="G312" s="6" t="n">
        <v>4</v>
      </c>
      <c r="H312" s="6"/>
    </row>
    <row r="313" customFormat="false" ht="15" hidden="false" customHeight="true" outlineLevel="0" collapsed="false">
      <c r="A313" s="6" t="s">
        <v>6527</v>
      </c>
      <c r="B313" s="6" t="s">
        <v>7997</v>
      </c>
      <c r="C313" s="28" t="n">
        <v>70</v>
      </c>
      <c r="D313" s="6" t="n">
        <v>13</v>
      </c>
      <c r="E313" s="29" t="n">
        <v>0.2</v>
      </c>
      <c r="F313" s="6" t="n">
        <v>1</v>
      </c>
      <c r="G313" s="6" t="n">
        <v>1</v>
      </c>
      <c r="H313" s="6"/>
    </row>
    <row r="314" customFormat="false" ht="15" hidden="false" customHeight="true" outlineLevel="0" collapsed="false">
      <c r="A314" s="6" t="s">
        <v>180</v>
      </c>
      <c r="B314" s="6" t="s">
        <v>7998</v>
      </c>
      <c r="C314" s="28" t="n">
        <v>70</v>
      </c>
      <c r="D314" s="6" t="n">
        <v>36</v>
      </c>
      <c r="E314" s="29" t="n">
        <v>0.49</v>
      </c>
      <c r="F314" s="6" t="n">
        <v>1</v>
      </c>
      <c r="G314" s="6" t="n">
        <v>2</v>
      </c>
      <c r="H314" s="6"/>
    </row>
    <row r="315" customFormat="false" ht="15" hidden="false" customHeight="true" outlineLevel="0" collapsed="false">
      <c r="A315" s="6" t="s">
        <v>6537</v>
      </c>
      <c r="B315" s="6" t="s">
        <v>7998</v>
      </c>
      <c r="C315" s="28" t="n">
        <v>70</v>
      </c>
      <c r="D315" s="6" t="n">
        <v>28</v>
      </c>
      <c r="E315" s="29" t="n">
        <v>0.25</v>
      </c>
      <c r="F315" s="6" t="n">
        <v>1</v>
      </c>
      <c r="G315" s="6" t="n">
        <v>1</v>
      </c>
      <c r="H315" s="6"/>
    </row>
    <row r="316" customFormat="false" ht="15" hidden="false" customHeight="true" outlineLevel="0" collapsed="false">
      <c r="A316" s="6" t="s">
        <v>3374</v>
      </c>
      <c r="B316" s="6" t="s">
        <v>8000</v>
      </c>
      <c r="C316" s="28" t="n">
        <v>70</v>
      </c>
      <c r="D316" s="6" t="n">
        <v>19</v>
      </c>
      <c r="E316" s="29" t="n">
        <v>0.34</v>
      </c>
      <c r="F316" s="6" t="n">
        <v>1</v>
      </c>
      <c r="G316" s="6" t="n">
        <v>4</v>
      </c>
      <c r="H316" s="6"/>
    </row>
    <row r="317" customFormat="false" ht="15" hidden="false" customHeight="true" outlineLevel="0" collapsed="false">
      <c r="A317" s="6" t="s">
        <v>6560</v>
      </c>
      <c r="B317" s="6" t="s">
        <v>7997</v>
      </c>
      <c r="C317" s="28" t="n">
        <v>70</v>
      </c>
      <c r="D317" s="6" t="n">
        <v>20</v>
      </c>
      <c r="E317" s="29" t="n">
        <v>0</v>
      </c>
      <c r="F317" s="6" t="n">
        <v>0.33</v>
      </c>
      <c r="G317" s="6" t="n">
        <v>1</v>
      </c>
      <c r="H317" s="6"/>
    </row>
    <row r="318" customFormat="false" ht="15" hidden="false" customHeight="true" outlineLevel="0" collapsed="false">
      <c r="A318" s="6" t="s">
        <v>262</v>
      </c>
      <c r="B318" s="6" t="s">
        <v>7998</v>
      </c>
      <c r="C318" s="28" t="n">
        <v>70</v>
      </c>
      <c r="D318" s="6" t="n">
        <v>18</v>
      </c>
      <c r="E318" s="29" t="n">
        <v>0.27</v>
      </c>
      <c r="F318" s="6" t="n">
        <v>1</v>
      </c>
      <c r="G318" s="6" t="s">
        <v>6870</v>
      </c>
      <c r="H318" s="6"/>
    </row>
    <row r="319" customFormat="false" ht="15" hidden="false" customHeight="true" outlineLevel="0" collapsed="false">
      <c r="A319" s="6" t="s">
        <v>181</v>
      </c>
      <c r="B319" s="6" t="s">
        <v>8002</v>
      </c>
      <c r="C319" s="28" t="n">
        <v>70</v>
      </c>
      <c r="D319" s="6" t="n">
        <v>16</v>
      </c>
      <c r="E319" s="29" t="n">
        <v>0.35</v>
      </c>
      <c r="F319" s="6" t="n">
        <v>0.98</v>
      </c>
      <c r="G319" s="6" t="n">
        <v>2</v>
      </c>
      <c r="H319" s="6"/>
    </row>
    <row r="320" customFormat="false" ht="15" hidden="false" customHeight="true" outlineLevel="0" collapsed="false">
      <c r="A320" s="6" t="s">
        <v>303</v>
      </c>
      <c r="B320" s="6" t="s">
        <v>8000</v>
      </c>
      <c r="C320" s="28" t="n">
        <v>70</v>
      </c>
      <c r="D320" s="6" t="n">
        <v>29</v>
      </c>
      <c r="E320" s="29" t="n">
        <v>0.62</v>
      </c>
      <c r="F320" s="6" t="n">
        <v>1</v>
      </c>
      <c r="G320" s="6" t="n">
        <v>3</v>
      </c>
      <c r="H320" s="6"/>
    </row>
    <row r="321" customFormat="false" ht="15" hidden="false" customHeight="true" outlineLevel="0" collapsed="false">
      <c r="A321" s="6" t="s">
        <v>3657</v>
      </c>
      <c r="B321" s="6" t="s">
        <v>7998</v>
      </c>
      <c r="C321" s="28" t="n">
        <v>70</v>
      </c>
      <c r="D321" s="6" t="n">
        <v>21</v>
      </c>
      <c r="E321" s="29" t="n">
        <v>0</v>
      </c>
      <c r="F321" s="6" t="n">
        <v>1</v>
      </c>
      <c r="G321" s="6" t="n">
        <v>5</v>
      </c>
      <c r="H321" s="6"/>
    </row>
    <row r="322" customFormat="false" ht="15" hidden="false" customHeight="true" outlineLevel="0" collapsed="false">
      <c r="A322" s="6" t="s">
        <v>4043</v>
      </c>
      <c r="B322" s="6" t="s">
        <v>7999</v>
      </c>
      <c r="C322" s="28" t="n">
        <v>70</v>
      </c>
      <c r="D322" s="6" t="n">
        <v>20</v>
      </c>
      <c r="E322" s="29" t="n">
        <v>0.44</v>
      </c>
      <c r="F322" s="6" t="n">
        <v>1</v>
      </c>
      <c r="G322" s="6" t="n">
        <v>6</v>
      </c>
      <c r="H322" s="6"/>
    </row>
    <row r="323" customFormat="false" ht="15" hidden="false" customHeight="true" outlineLevel="0" collapsed="false">
      <c r="A323" s="6" t="s">
        <v>4410</v>
      </c>
      <c r="B323" s="6" t="s">
        <v>8002</v>
      </c>
      <c r="C323" s="28" t="n">
        <v>70</v>
      </c>
      <c r="D323" s="6" t="n">
        <v>27</v>
      </c>
      <c r="E323" s="29" t="n">
        <v>0</v>
      </c>
      <c r="F323" s="6" t="n">
        <v>1</v>
      </c>
      <c r="G323" s="6" t="n">
        <v>6</v>
      </c>
      <c r="H323" s="6"/>
    </row>
    <row r="324" customFormat="false" ht="15" hidden="false" customHeight="true" outlineLevel="0" collapsed="false">
      <c r="A324" s="6" t="s">
        <v>263</v>
      </c>
      <c r="B324" s="6" t="s">
        <v>7998</v>
      </c>
      <c r="C324" s="28" t="n">
        <v>70</v>
      </c>
      <c r="D324" s="6" t="n">
        <v>20</v>
      </c>
      <c r="E324" s="29" t="n">
        <v>0.48</v>
      </c>
      <c r="F324" s="6" t="n">
        <v>1</v>
      </c>
      <c r="G324" s="6" t="s">
        <v>6870</v>
      </c>
      <c r="H324" s="6"/>
    </row>
    <row r="325" customFormat="false" ht="15" hidden="false" customHeight="true" outlineLevel="0" collapsed="false">
      <c r="A325" s="6" t="s">
        <v>4857</v>
      </c>
      <c r="B325" s="6" t="s">
        <v>7997</v>
      </c>
      <c r="C325" s="28" t="n">
        <v>70</v>
      </c>
      <c r="D325" s="6" t="n">
        <v>20</v>
      </c>
      <c r="E325" s="29" t="n">
        <v>0.89</v>
      </c>
      <c r="F325" s="6" t="n">
        <v>1</v>
      </c>
      <c r="G325" s="6" t="s">
        <v>6867</v>
      </c>
      <c r="H325" s="6"/>
    </row>
    <row r="326" customFormat="false" ht="15" hidden="false" customHeight="true" outlineLevel="0" collapsed="false">
      <c r="A326" s="6" t="s">
        <v>5064</v>
      </c>
      <c r="B326" s="6" t="s">
        <v>7998</v>
      </c>
      <c r="C326" s="28" t="n">
        <v>70</v>
      </c>
      <c r="D326" s="6" t="n">
        <v>17</v>
      </c>
      <c r="E326" s="29" t="n">
        <v>0.18</v>
      </c>
      <c r="F326" s="6" t="n">
        <v>0.99</v>
      </c>
      <c r="G326" s="6" t="n">
        <v>6</v>
      </c>
      <c r="H326" s="6"/>
    </row>
    <row r="327" customFormat="false" ht="15" hidden="false" customHeight="true" outlineLevel="0" collapsed="false">
      <c r="A327" s="6" t="s">
        <v>6649</v>
      </c>
      <c r="B327" s="6" t="s">
        <v>7998</v>
      </c>
      <c r="C327" s="28" t="n">
        <v>70</v>
      </c>
      <c r="D327" s="6" t="n">
        <v>26</v>
      </c>
      <c r="E327" s="29" t="n">
        <v>0.31</v>
      </c>
      <c r="F327" s="6" t="n">
        <v>1</v>
      </c>
      <c r="G327" s="6" t="n">
        <v>2</v>
      </c>
      <c r="H327" s="6"/>
    </row>
    <row r="328" customFormat="false" ht="15" hidden="false" customHeight="true" outlineLevel="0" collapsed="false">
      <c r="A328" s="6" t="s">
        <v>7909</v>
      </c>
      <c r="B328" s="6" t="s">
        <v>7997</v>
      </c>
      <c r="C328" s="28" t="n">
        <v>70</v>
      </c>
      <c r="D328" s="6" t="n">
        <v>19</v>
      </c>
      <c r="E328" s="29" t="n">
        <v>0.74</v>
      </c>
      <c r="F328" s="6" t="n">
        <v>1</v>
      </c>
      <c r="G328" s="6" t="s">
        <v>6868</v>
      </c>
      <c r="H328" s="6"/>
    </row>
    <row r="329" customFormat="false" ht="15" hidden="false" customHeight="true" outlineLevel="0" collapsed="false">
      <c r="A329" s="6" t="s">
        <v>5726</v>
      </c>
      <c r="B329" s="6" t="s">
        <v>7997</v>
      </c>
      <c r="C329" s="28" t="n">
        <v>70</v>
      </c>
      <c r="D329" s="6" t="n">
        <v>7</v>
      </c>
      <c r="E329" s="29" t="n">
        <v>0</v>
      </c>
      <c r="F329" s="6" t="n">
        <v>0</v>
      </c>
      <c r="G329" s="6" t="n">
        <v>7</v>
      </c>
      <c r="H329" s="6"/>
    </row>
    <row r="330" customFormat="false" ht="15" hidden="false" customHeight="true" outlineLevel="0" collapsed="false">
      <c r="A330" s="6" t="s">
        <v>2945</v>
      </c>
      <c r="B330" s="6" t="s">
        <v>7998</v>
      </c>
      <c r="C330" s="28" t="n">
        <v>50</v>
      </c>
      <c r="D330" s="6" t="n">
        <v>15</v>
      </c>
      <c r="E330" s="29" t="n">
        <v>0</v>
      </c>
      <c r="F330" s="6" t="n">
        <v>1</v>
      </c>
      <c r="G330" s="6" t="n">
        <v>4</v>
      </c>
      <c r="H330" s="6"/>
    </row>
    <row r="331" customFormat="false" ht="15" hidden="false" customHeight="true" outlineLevel="0" collapsed="false">
      <c r="A331" s="6" t="s">
        <v>3352</v>
      </c>
      <c r="B331" s="6" t="s">
        <v>7997</v>
      </c>
      <c r="C331" s="28" t="n">
        <v>50</v>
      </c>
      <c r="D331" s="6" t="n">
        <v>14</v>
      </c>
      <c r="E331" s="29" t="n">
        <v>0.4</v>
      </c>
      <c r="F331" s="6" t="n">
        <v>1</v>
      </c>
      <c r="G331" s="6" t="n">
        <v>4</v>
      </c>
      <c r="H331" s="6"/>
    </row>
    <row r="332" customFormat="false" ht="15" hidden="false" customHeight="true" outlineLevel="0" collapsed="false">
      <c r="A332" s="6" t="s">
        <v>3417</v>
      </c>
      <c r="B332" s="6" t="s">
        <v>7997</v>
      </c>
      <c r="C332" s="28" t="n">
        <v>50</v>
      </c>
      <c r="D332" s="6" t="n">
        <v>15</v>
      </c>
      <c r="E332" s="29" t="n">
        <v>0</v>
      </c>
      <c r="F332" s="6" t="n">
        <v>1</v>
      </c>
      <c r="G332" s="6" t="n">
        <v>4</v>
      </c>
      <c r="H332" s="6"/>
    </row>
    <row r="333" customFormat="false" ht="15" hidden="false" customHeight="true" outlineLevel="0" collapsed="false">
      <c r="A333" s="6" t="s">
        <v>6555</v>
      </c>
      <c r="B333" s="6" t="s">
        <v>7998</v>
      </c>
      <c r="C333" s="28" t="n">
        <v>50</v>
      </c>
      <c r="D333" s="6" t="n">
        <v>24</v>
      </c>
      <c r="E333" s="29" t="n">
        <v>0.21</v>
      </c>
      <c r="F333" s="6" t="n">
        <v>0.97</v>
      </c>
      <c r="G333" s="6" t="n">
        <v>1</v>
      </c>
      <c r="H333" s="6"/>
    </row>
    <row r="334" customFormat="false" ht="15" hidden="false" customHeight="true" outlineLevel="0" collapsed="false">
      <c r="A334" s="6" t="s">
        <v>3572</v>
      </c>
      <c r="B334" s="6" t="s">
        <v>8001</v>
      </c>
      <c r="C334" s="28" t="n">
        <v>50</v>
      </c>
      <c r="D334" s="6" t="n">
        <v>15</v>
      </c>
      <c r="E334" s="29" t="n">
        <v>0.33</v>
      </c>
      <c r="F334" s="6" t="n">
        <v>1</v>
      </c>
      <c r="G334" s="6" t="n">
        <v>5</v>
      </c>
      <c r="H334" s="6"/>
    </row>
    <row r="335" customFormat="false" ht="15" hidden="false" customHeight="true" outlineLevel="0" collapsed="false">
      <c r="A335" s="6" t="s">
        <v>3722</v>
      </c>
      <c r="B335" s="6" t="s">
        <v>7998</v>
      </c>
      <c r="C335" s="28" t="n">
        <v>50</v>
      </c>
      <c r="D335" s="6" t="n">
        <v>14</v>
      </c>
      <c r="E335" s="29" t="n">
        <v>0.44</v>
      </c>
      <c r="F335" s="6" t="n">
        <v>1</v>
      </c>
      <c r="G335" s="6" t="n">
        <v>5</v>
      </c>
      <c r="H335" s="6"/>
    </row>
    <row r="336" customFormat="false" ht="15" hidden="false" customHeight="true" outlineLevel="0" collapsed="false">
      <c r="A336" s="6" t="s">
        <v>3965</v>
      </c>
      <c r="B336" s="6" t="s">
        <v>7998</v>
      </c>
      <c r="C336" s="28" t="n">
        <v>50</v>
      </c>
      <c r="D336" s="6" t="n">
        <v>9</v>
      </c>
      <c r="E336" s="29" t="n">
        <v>0.48</v>
      </c>
      <c r="F336" s="6" t="n">
        <v>1</v>
      </c>
      <c r="G336" s="6" t="n">
        <v>6</v>
      </c>
      <c r="H336" s="6"/>
    </row>
    <row r="337" customFormat="false" ht="15" hidden="false" customHeight="true" outlineLevel="0" collapsed="false">
      <c r="A337" s="6" t="s">
        <v>4387</v>
      </c>
      <c r="B337" s="6" t="s">
        <v>7998</v>
      </c>
      <c r="C337" s="28" t="n">
        <v>50</v>
      </c>
      <c r="D337" s="6" t="n">
        <v>17</v>
      </c>
      <c r="E337" s="29" t="n">
        <v>0</v>
      </c>
      <c r="F337" s="6" t="n">
        <v>0.9</v>
      </c>
      <c r="G337" s="6" t="n">
        <v>6</v>
      </c>
      <c r="H337" s="6"/>
    </row>
    <row r="338" customFormat="false" ht="15" hidden="false" customHeight="true" outlineLevel="0" collapsed="false">
      <c r="A338" s="6" t="s">
        <v>4399</v>
      </c>
      <c r="B338" s="6" t="s">
        <v>8004</v>
      </c>
      <c r="C338" s="28" t="n">
        <v>50</v>
      </c>
      <c r="D338" s="6" t="n">
        <v>23</v>
      </c>
      <c r="E338" s="29" t="n">
        <v>0</v>
      </c>
      <c r="F338" s="6" t="n">
        <v>1</v>
      </c>
      <c r="G338" s="6" t="n">
        <v>6</v>
      </c>
      <c r="H338" s="6"/>
    </row>
    <row r="339" customFormat="false" ht="15" hidden="false" customHeight="true" outlineLevel="0" collapsed="false">
      <c r="A339" s="6" t="s">
        <v>264</v>
      </c>
      <c r="B339" s="6" t="s">
        <v>7998</v>
      </c>
      <c r="C339" s="28" t="n">
        <v>50</v>
      </c>
      <c r="D339" s="6" t="n">
        <v>24</v>
      </c>
      <c r="E339" s="29" t="n">
        <v>0</v>
      </c>
      <c r="F339" s="6" t="n">
        <v>0.1</v>
      </c>
      <c r="G339" s="6" t="s">
        <v>6870</v>
      </c>
      <c r="H339" s="6"/>
    </row>
    <row r="340" customFormat="false" ht="15" hidden="false" customHeight="true" outlineLevel="0" collapsed="false">
      <c r="A340" s="6" t="s">
        <v>5231</v>
      </c>
      <c r="B340" s="6" t="s">
        <v>7998</v>
      </c>
      <c r="C340" s="28" t="n">
        <v>50</v>
      </c>
      <c r="D340" s="6" t="n">
        <v>16</v>
      </c>
      <c r="E340" s="29" t="n">
        <v>0</v>
      </c>
      <c r="F340" s="6" t="n">
        <v>1</v>
      </c>
      <c r="G340" s="6" t="n">
        <v>7</v>
      </c>
      <c r="H340" s="6"/>
    </row>
    <row r="341" customFormat="false" ht="15" hidden="false" customHeight="true" outlineLevel="0" collapsed="false">
      <c r="A341" s="6" t="s">
        <v>5400</v>
      </c>
      <c r="B341" s="6" t="s">
        <v>8000</v>
      </c>
      <c r="C341" s="28" t="n">
        <v>50</v>
      </c>
      <c r="D341" s="6" t="n">
        <v>13</v>
      </c>
      <c r="E341" s="29" t="n">
        <v>0</v>
      </c>
      <c r="F341" s="6" t="n">
        <v>1</v>
      </c>
      <c r="G341" s="6" t="s">
        <v>6867</v>
      </c>
      <c r="H341" s="6"/>
    </row>
    <row r="342" customFormat="false" ht="15" hidden="false" customHeight="true" outlineLevel="0" collapsed="false">
      <c r="A342" s="6" t="s">
        <v>5421</v>
      </c>
      <c r="B342" s="6" t="s">
        <v>7998</v>
      </c>
      <c r="C342" s="28" t="n">
        <v>50</v>
      </c>
      <c r="D342" s="6" t="n">
        <v>20</v>
      </c>
      <c r="E342" s="29" t="n">
        <v>0</v>
      </c>
      <c r="F342" s="6" t="n">
        <v>1</v>
      </c>
      <c r="G342" s="6" t="n">
        <v>7</v>
      </c>
      <c r="H342" s="6"/>
    </row>
    <row r="343" customFormat="false" ht="15" hidden="false" customHeight="true" outlineLevel="0" collapsed="false">
      <c r="A343" s="6" t="s">
        <v>5449</v>
      </c>
      <c r="B343" s="6" t="s">
        <v>7998</v>
      </c>
      <c r="C343" s="28" t="n">
        <v>50</v>
      </c>
      <c r="D343" s="6" t="n">
        <v>19</v>
      </c>
      <c r="E343" s="29" t="n">
        <v>0</v>
      </c>
      <c r="F343" s="6" t="n">
        <v>1</v>
      </c>
      <c r="G343" s="6" t="s">
        <v>6867</v>
      </c>
      <c r="H343" s="6"/>
    </row>
    <row r="344" customFormat="false" ht="15" hidden="false" customHeight="true" outlineLevel="0" collapsed="false">
      <c r="A344" s="6" t="s">
        <v>7904</v>
      </c>
      <c r="B344" s="6" t="s">
        <v>7998</v>
      </c>
      <c r="C344" s="28" t="n">
        <v>50</v>
      </c>
      <c r="D344" s="6" t="n">
        <v>1</v>
      </c>
      <c r="E344" s="29" t="n">
        <v>1.76</v>
      </c>
      <c r="F344" s="6" t="n">
        <v>1</v>
      </c>
      <c r="G344" s="6" t="s">
        <v>6868</v>
      </c>
      <c r="H344" s="6"/>
    </row>
    <row r="345" customFormat="false" ht="15" hidden="false" customHeight="true" outlineLevel="0" collapsed="false">
      <c r="A345" s="6" t="s">
        <v>6657</v>
      </c>
      <c r="B345" s="6" t="s">
        <v>7999</v>
      </c>
      <c r="C345" s="28" t="n">
        <v>50</v>
      </c>
      <c r="D345" s="6" t="n">
        <v>19</v>
      </c>
      <c r="E345" s="29" t="n">
        <v>0.35</v>
      </c>
      <c r="F345" s="6" t="n">
        <v>0.92</v>
      </c>
      <c r="G345" s="6" t="n">
        <v>2</v>
      </c>
      <c r="H345" s="6"/>
    </row>
    <row r="346" customFormat="false" ht="15" hidden="false" customHeight="true" outlineLevel="0" collapsed="false">
      <c r="A346" s="6" t="s">
        <v>265</v>
      </c>
      <c r="B346" s="6" t="s">
        <v>8002</v>
      </c>
      <c r="C346" s="28" t="n">
        <v>50</v>
      </c>
      <c r="D346" s="6" t="n">
        <v>14</v>
      </c>
      <c r="E346" s="29" t="n">
        <v>0.14</v>
      </c>
      <c r="F346" s="6" t="n">
        <v>1</v>
      </c>
      <c r="G346" s="6" t="s">
        <v>6870</v>
      </c>
      <c r="H346" s="6"/>
    </row>
    <row r="347" customFormat="false" ht="15" hidden="false" customHeight="true" outlineLevel="0" collapsed="false">
      <c r="A347" s="6" t="s">
        <v>266</v>
      </c>
      <c r="B347" s="6" t="s">
        <v>8002</v>
      </c>
      <c r="C347" s="28" t="n">
        <v>50</v>
      </c>
      <c r="D347" s="6" t="n">
        <v>14</v>
      </c>
      <c r="E347" s="29" t="n">
        <v>0.34</v>
      </c>
      <c r="F347" s="6" t="n">
        <v>1</v>
      </c>
      <c r="G347" s="6" t="s">
        <v>6870</v>
      </c>
      <c r="H347" s="6"/>
    </row>
    <row r="348" customFormat="false" ht="15" hidden="false" customHeight="true" outlineLevel="0" collapsed="false">
      <c r="A348" s="6" t="s">
        <v>6506</v>
      </c>
      <c r="B348" s="6" t="s">
        <v>7997</v>
      </c>
      <c r="C348" s="28" t="n">
        <v>40</v>
      </c>
      <c r="D348" s="6" t="n">
        <v>17</v>
      </c>
      <c r="E348" s="29" t="n">
        <v>0.3</v>
      </c>
      <c r="F348" s="6" t="n">
        <v>1</v>
      </c>
      <c r="G348" s="6" t="n">
        <v>1</v>
      </c>
      <c r="H348" s="6"/>
    </row>
    <row r="349" customFormat="false" ht="15" hidden="false" customHeight="true" outlineLevel="0" collapsed="false">
      <c r="A349" s="6" t="s">
        <v>267</v>
      </c>
      <c r="B349" s="6" t="s">
        <v>8001</v>
      </c>
      <c r="C349" s="28" t="n">
        <v>40</v>
      </c>
      <c r="D349" s="6" t="n">
        <v>10</v>
      </c>
      <c r="E349" s="29" t="n">
        <v>0</v>
      </c>
      <c r="F349" s="6" t="n">
        <v>1</v>
      </c>
      <c r="G349" s="6" t="s">
        <v>6893</v>
      </c>
      <c r="H349" s="6"/>
    </row>
    <row r="350" customFormat="false" ht="15" hidden="false" customHeight="true" outlineLevel="0" collapsed="false">
      <c r="A350" s="6" t="s">
        <v>4336</v>
      </c>
      <c r="B350" s="6" t="s">
        <v>7998</v>
      </c>
      <c r="C350" s="28" t="n">
        <v>40</v>
      </c>
      <c r="D350" s="6" t="n">
        <v>9</v>
      </c>
      <c r="E350" s="29" t="n">
        <v>0</v>
      </c>
      <c r="F350" s="6" t="n">
        <v>1</v>
      </c>
      <c r="G350" s="6" t="n">
        <v>1</v>
      </c>
      <c r="H350" s="6"/>
    </row>
    <row r="351" customFormat="false" ht="15" hidden="false" customHeight="true" outlineLevel="0" collapsed="false">
      <c r="A351" s="6" t="s">
        <v>269</v>
      </c>
      <c r="B351" s="6" t="s">
        <v>8002</v>
      </c>
      <c r="C351" s="28" t="n">
        <v>40</v>
      </c>
      <c r="D351" s="6" t="n">
        <v>12</v>
      </c>
      <c r="E351" s="29" t="n">
        <v>0.46</v>
      </c>
      <c r="F351" s="6" t="n">
        <v>0.97</v>
      </c>
      <c r="G351" s="6" t="s">
        <v>6870</v>
      </c>
      <c r="H351" s="6"/>
    </row>
    <row r="352" customFormat="false" ht="15" hidden="false" customHeight="true" outlineLevel="0" collapsed="false">
      <c r="A352" s="6" t="s">
        <v>3683</v>
      </c>
      <c r="B352" s="6" t="s">
        <v>7998</v>
      </c>
      <c r="C352" s="28" t="n">
        <v>40</v>
      </c>
      <c r="D352" s="6" t="n">
        <v>22</v>
      </c>
      <c r="E352" s="29" t="n">
        <v>0.39</v>
      </c>
      <c r="F352" s="6" t="n">
        <v>1</v>
      </c>
      <c r="G352" s="6" t="s">
        <v>6867</v>
      </c>
      <c r="H352" s="6"/>
    </row>
    <row r="353" customFormat="false" ht="15" hidden="false" customHeight="true" outlineLevel="0" collapsed="false">
      <c r="A353" s="6" t="s">
        <v>3853</v>
      </c>
      <c r="B353" s="6" t="s">
        <v>7997</v>
      </c>
      <c r="C353" s="28" t="n">
        <v>40</v>
      </c>
      <c r="D353" s="6" t="n">
        <v>9</v>
      </c>
      <c r="E353" s="29" t="n">
        <v>0</v>
      </c>
      <c r="F353" s="6" t="n">
        <v>1</v>
      </c>
      <c r="G353" s="6" t="n">
        <v>5</v>
      </c>
      <c r="H353" s="6"/>
    </row>
    <row r="354" customFormat="false" ht="15" hidden="false" customHeight="true" outlineLevel="0" collapsed="false">
      <c r="A354" s="6" t="s">
        <v>3932</v>
      </c>
      <c r="B354" s="6" t="s">
        <v>8001</v>
      </c>
      <c r="C354" s="28" t="n">
        <v>40</v>
      </c>
      <c r="D354" s="6" t="n">
        <v>19</v>
      </c>
      <c r="E354" s="29" t="n">
        <v>0.52</v>
      </c>
      <c r="F354" s="6" t="n">
        <v>1</v>
      </c>
      <c r="G354" s="6" t="n">
        <v>6</v>
      </c>
      <c r="H354" s="6"/>
    </row>
    <row r="355" customFormat="false" ht="15" hidden="false" customHeight="true" outlineLevel="0" collapsed="false">
      <c r="A355" s="6" t="s">
        <v>6581</v>
      </c>
      <c r="B355" s="6" t="s">
        <v>7998</v>
      </c>
      <c r="C355" s="28" t="n">
        <v>40</v>
      </c>
      <c r="D355" s="6" t="n">
        <v>16</v>
      </c>
      <c r="E355" s="29" t="n">
        <v>0.26</v>
      </c>
      <c r="F355" s="6" t="n">
        <v>1</v>
      </c>
      <c r="G355" s="6" t="n">
        <v>1</v>
      </c>
      <c r="H355" s="6"/>
    </row>
    <row r="356" customFormat="false" ht="15" hidden="false" customHeight="true" outlineLevel="0" collapsed="false">
      <c r="A356" s="6" t="s">
        <v>4311</v>
      </c>
      <c r="B356" s="6" t="s">
        <v>8001</v>
      </c>
      <c r="C356" s="28" t="n">
        <v>40</v>
      </c>
      <c r="D356" s="6" t="n">
        <v>22</v>
      </c>
      <c r="E356" s="29" t="n">
        <v>0</v>
      </c>
      <c r="F356" s="6" t="n">
        <v>0.91</v>
      </c>
      <c r="G356" s="6" t="n">
        <v>6</v>
      </c>
      <c r="H356" s="6"/>
    </row>
    <row r="357" customFormat="false" ht="15" hidden="false" customHeight="true" outlineLevel="0" collapsed="false">
      <c r="A357" s="6" t="s">
        <v>6605</v>
      </c>
      <c r="B357" s="6" t="s">
        <v>7997</v>
      </c>
      <c r="C357" s="28" t="n">
        <v>40</v>
      </c>
      <c r="D357" s="6" t="n">
        <v>20</v>
      </c>
      <c r="E357" s="29" t="n">
        <v>0.38</v>
      </c>
      <c r="F357" s="6" t="n">
        <v>1</v>
      </c>
      <c r="G357" s="6" t="n">
        <v>1</v>
      </c>
      <c r="H357" s="6"/>
    </row>
    <row r="358" customFormat="false" ht="15" hidden="false" customHeight="true" outlineLevel="0" collapsed="false">
      <c r="A358" s="6" t="s">
        <v>4655</v>
      </c>
      <c r="B358" s="6" t="s">
        <v>7998</v>
      </c>
      <c r="C358" s="28" t="n">
        <v>40</v>
      </c>
      <c r="D358" s="6" t="n">
        <v>24</v>
      </c>
      <c r="E358" s="29" t="n">
        <v>0.63</v>
      </c>
      <c r="F358" s="6" t="n">
        <v>1</v>
      </c>
      <c r="G358" s="6" t="s">
        <v>6867</v>
      </c>
      <c r="H358" s="6"/>
    </row>
    <row r="359" customFormat="false" ht="15" hidden="false" customHeight="true" outlineLevel="0" collapsed="false">
      <c r="A359" s="6" t="s">
        <v>7908</v>
      </c>
      <c r="B359" s="6" t="s">
        <v>7997</v>
      </c>
      <c r="C359" s="28" t="n">
        <v>40</v>
      </c>
      <c r="D359" s="6" t="n">
        <v>7</v>
      </c>
      <c r="E359" s="29" t="n">
        <v>0.96</v>
      </c>
      <c r="F359" s="6" t="n">
        <v>1</v>
      </c>
      <c r="G359" s="6" t="s">
        <v>6868</v>
      </c>
      <c r="H359" s="6"/>
    </row>
    <row r="360" customFormat="false" ht="15" hidden="false" customHeight="true" outlineLevel="0" collapsed="false">
      <c r="A360" s="6" t="s">
        <v>4814</v>
      </c>
      <c r="B360" s="6" t="s">
        <v>7997</v>
      </c>
      <c r="C360" s="28" t="n">
        <v>40</v>
      </c>
      <c r="D360" s="6" t="n">
        <v>20</v>
      </c>
      <c r="E360" s="29" t="n">
        <v>0.78</v>
      </c>
      <c r="F360" s="6" t="n">
        <v>1</v>
      </c>
      <c r="G360" s="6" t="s">
        <v>6867</v>
      </c>
      <c r="H360" s="6"/>
    </row>
    <row r="361" customFormat="false" ht="15" hidden="false" customHeight="true" outlineLevel="0" collapsed="false">
      <c r="A361" s="6" t="s">
        <v>6638</v>
      </c>
      <c r="B361" s="6" t="s">
        <v>7998</v>
      </c>
      <c r="C361" s="28" t="n">
        <v>40</v>
      </c>
      <c r="D361" s="6" t="n">
        <v>12</v>
      </c>
      <c r="E361" s="29" t="n">
        <v>0.15</v>
      </c>
      <c r="F361" s="6" t="n">
        <v>1</v>
      </c>
      <c r="G361" s="6" t="n">
        <v>2</v>
      </c>
      <c r="H361" s="6"/>
    </row>
    <row r="362" customFormat="false" ht="15" hidden="false" customHeight="true" outlineLevel="0" collapsed="false">
      <c r="A362" s="6" t="s">
        <v>6642</v>
      </c>
      <c r="B362" s="6" t="s">
        <v>7999</v>
      </c>
      <c r="C362" s="28" t="n">
        <v>40</v>
      </c>
      <c r="D362" s="6" t="n">
        <v>25</v>
      </c>
      <c r="E362" s="29" t="n">
        <v>0.69</v>
      </c>
      <c r="F362" s="6" t="n">
        <v>1</v>
      </c>
      <c r="G362" s="6" t="n">
        <v>2</v>
      </c>
      <c r="H362" s="6"/>
    </row>
    <row r="363" customFormat="false" ht="15" hidden="false" customHeight="true" outlineLevel="0" collapsed="false">
      <c r="A363" s="6" t="s">
        <v>268</v>
      </c>
      <c r="B363" s="6" t="s">
        <v>7998</v>
      </c>
      <c r="C363" s="28" t="n">
        <v>40</v>
      </c>
      <c r="D363" s="6" t="n">
        <v>14</v>
      </c>
      <c r="E363" s="29" t="n">
        <v>0</v>
      </c>
      <c r="F363" s="6" t="n">
        <v>0.96</v>
      </c>
      <c r="G363" s="6" t="s">
        <v>6870</v>
      </c>
      <c r="H363" s="6"/>
    </row>
    <row r="364" customFormat="false" ht="15" hidden="false" customHeight="true" outlineLevel="0" collapsed="false">
      <c r="A364" s="6" t="s">
        <v>182</v>
      </c>
      <c r="B364" s="6" t="s">
        <v>7998</v>
      </c>
      <c r="C364" s="28" t="n">
        <v>40</v>
      </c>
      <c r="D364" s="6" t="n">
        <v>7</v>
      </c>
      <c r="E364" s="29" t="n">
        <v>1.16</v>
      </c>
      <c r="F364" s="6" t="n">
        <v>0.99</v>
      </c>
      <c r="G364" s="6" t="n">
        <v>3</v>
      </c>
      <c r="H364" s="6"/>
    </row>
    <row r="365" customFormat="false" ht="15" hidden="false" customHeight="true" outlineLevel="0" collapsed="false">
      <c r="A365" s="6" t="s">
        <v>6287</v>
      </c>
      <c r="B365" s="6" t="s">
        <v>7998</v>
      </c>
      <c r="C365" s="28" t="n">
        <v>40</v>
      </c>
      <c r="D365" s="6" t="n">
        <v>16</v>
      </c>
      <c r="E365" s="29" t="n">
        <v>0</v>
      </c>
      <c r="F365" s="6" t="n">
        <v>1</v>
      </c>
      <c r="G365" s="6" t="n">
        <v>8</v>
      </c>
      <c r="H365" s="6"/>
    </row>
    <row r="366" customFormat="false" ht="15" hidden="false" customHeight="true" outlineLevel="0" collapsed="false">
      <c r="A366" s="6" t="s">
        <v>6382</v>
      </c>
      <c r="B366" s="6" t="s">
        <v>7998</v>
      </c>
      <c r="C366" s="28" t="n">
        <v>40</v>
      </c>
      <c r="D366" s="6" t="n">
        <v>16</v>
      </c>
      <c r="E366" s="29" t="n">
        <v>0.45</v>
      </c>
      <c r="F366" s="6" t="n">
        <v>0.97</v>
      </c>
      <c r="G366" s="6" t="s">
        <v>6867</v>
      </c>
      <c r="H366" s="6"/>
    </row>
    <row r="367" customFormat="false" ht="15" hidden="false" customHeight="true" outlineLevel="0" collapsed="false">
      <c r="A367" s="6" t="s">
        <v>2486</v>
      </c>
      <c r="B367" s="6" t="s">
        <v>7997</v>
      </c>
      <c r="C367" s="28" t="n">
        <v>30</v>
      </c>
      <c r="D367" s="6" t="n">
        <v>15</v>
      </c>
      <c r="E367" s="29" t="n">
        <v>0.36</v>
      </c>
      <c r="F367" s="6" t="n">
        <v>1</v>
      </c>
      <c r="G367" s="6" t="s">
        <v>6867</v>
      </c>
      <c r="H367" s="6"/>
    </row>
    <row r="368" customFormat="false" ht="15" hidden="false" customHeight="true" outlineLevel="0" collapsed="false">
      <c r="A368" s="6" t="s">
        <v>2676</v>
      </c>
      <c r="B368" s="6" t="s">
        <v>7997</v>
      </c>
      <c r="C368" s="28" t="n">
        <v>30</v>
      </c>
      <c r="D368" s="6" t="n">
        <v>9</v>
      </c>
      <c r="E368" s="29" t="n">
        <v>0</v>
      </c>
      <c r="F368" s="6" t="n">
        <v>0.67</v>
      </c>
      <c r="G368" s="6" t="s">
        <v>6867</v>
      </c>
      <c r="H368" s="6"/>
    </row>
    <row r="369" customFormat="false" ht="15" hidden="false" customHeight="true" outlineLevel="0" collapsed="false">
      <c r="A369" s="6" t="s">
        <v>270</v>
      </c>
      <c r="B369" s="6" t="s">
        <v>8001</v>
      </c>
      <c r="C369" s="28" t="n">
        <v>30</v>
      </c>
      <c r="D369" s="6" t="n">
        <v>16</v>
      </c>
      <c r="E369" s="29" t="n">
        <v>0</v>
      </c>
      <c r="F369" s="6" t="n">
        <v>0.92</v>
      </c>
      <c r="G369" s="6" t="s">
        <v>6893</v>
      </c>
      <c r="H369" s="6"/>
    </row>
    <row r="370" customFormat="false" ht="15" hidden="false" customHeight="true" outlineLevel="0" collapsed="false">
      <c r="A370" s="6" t="s">
        <v>2906</v>
      </c>
      <c r="B370" s="6" t="s">
        <v>7998</v>
      </c>
      <c r="C370" s="28" t="n">
        <v>30</v>
      </c>
      <c r="D370" s="6" t="n">
        <v>47</v>
      </c>
      <c r="E370" s="29" t="n">
        <v>0</v>
      </c>
      <c r="F370" s="6" t="n">
        <v>1</v>
      </c>
      <c r="G370" s="6" t="n">
        <v>4</v>
      </c>
      <c r="H370" s="6" t="s">
        <v>8005</v>
      </c>
    </row>
    <row r="371" customFormat="false" ht="15" hidden="false" customHeight="true" outlineLevel="0" collapsed="false">
      <c r="A371" s="6" t="s">
        <v>2907</v>
      </c>
      <c r="B371" s="6" t="s">
        <v>7998</v>
      </c>
      <c r="C371" s="28" t="n">
        <v>30</v>
      </c>
      <c r="D371" s="6" t="n">
        <v>48</v>
      </c>
      <c r="E371" s="29" t="n">
        <v>0</v>
      </c>
      <c r="F371" s="6" t="n">
        <v>1</v>
      </c>
      <c r="G371" s="6" t="n">
        <v>9</v>
      </c>
      <c r="H371" s="6" t="s">
        <v>8005</v>
      </c>
    </row>
    <row r="372" customFormat="false" ht="15" hidden="false" customHeight="true" outlineLevel="0" collapsed="false">
      <c r="A372" s="6" t="s">
        <v>3002</v>
      </c>
      <c r="B372" s="6" t="s">
        <v>7998</v>
      </c>
      <c r="C372" s="28" t="n">
        <v>30</v>
      </c>
      <c r="D372" s="6" t="n">
        <v>9</v>
      </c>
      <c r="E372" s="29" t="n">
        <v>0.59</v>
      </c>
      <c r="F372" s="6" t="n">
        <v>1</v>
      </c>
      <c r="G372" s="6" t="n">
        <v>4</v>
      </c>
      <c r="H372" s="6"/>
    </row>
    <row r="373" customFormat="false" ht="15" hidden="false" customHeight="true" outlineLevel="0" collapsed="false">
      <c r="A373" s="6" t="s">
        <v>3013</v>
      </c>
      <c r="B373" s="6" t="s">
        <v>8001</v>
      </c>
      <c r="C373" s="28" t="n">
        <v>30</v>
      </c>
      <c r="D373" s="6" t="n">
        <v>19</v>
      </c>
      <c r="E373" s="29" t="n">
        <v>0</v>
      </c>
      <c r="F373" s="6" t="n">
        <v>1</v>
      </c>
      <c r="G373" s="6" t="n">
        <v>4</v>
      </c>
      <c r="H373" s="6"/>
    </row>
    <row r="374" customFormat="false" ht="15" hidden="false" customHeight="true" outlineLevel="0" collapsed="false">
      <c r="A374" s="6" t="s">
        <v>3051</v>
      </c>
      <c r="B374" s="6" t="s">
        <v>7997</v>
      </c>
      <c r="C374" s="28" t="n">
        <v>30</v>
      </c>
      <c r="D374" s="6" t="n">
        <v>14</v>
      </c>
      <c r="E374" s="29" t="n">
        <v>0</v>
      </c>
      <c r="F374" s="6" t="n">
        <v>0.22</v>
      </c>
      <c r="G374" s="6" t="s">
        <v>6867</v>
      </c>
      <c r="H374" s="6"/>
    </row>
    <row r="375" customFormat="false" ht="15" hidden="false" customHeight="true" outlineLevel="0" collapsed="false">
      <c r="A375" s="6" t="s">
        <v>3101</v>
      </c>
      <c r="B375" s="6" t="s">
        <v>7998</v>
      </c>
      <c r="C375" s="28" t="n">
        <v>30</v>
      </c>
      <c r="D375" s="6" t="n">
        <v>20</v>
      </c>
      <c r="E375" s="29" t="n">
        <v>0</v>
      </c>
      <c r="F375" s="6" t="n">
        <v>1</v>
      </c>
      <c r="G375" s="6" t="n">
        <v>4</v>
      </c>
      <c r="H375" s="6"/>
    </row>
    <row r="376" customFormat="false" ht="15" hidden="false" customHeight="true" outlineLevel="0" collapsed="false">
      <c r="A376" s="6" t="s">
        <v>3406</v>
      </c>
      <c r="B376" s="6" t="s">
        <v>7998</v>
      </c>
      <c r="C376" s="28" t="n">
        <v>30</v>
      </c>
      <c r="D376" s="6" t="n">
        <v>12</v>
      </c>
      <c r="E376" s="29" t="n">
        <v>0</v>
      </c>
      <c r="F376" s="6" t="n">
        <v>0.64</v>
      </c>
      <c r="G376" s="6" t="n">
        <v>4</v>
      </c>
      <c r="H376" s="6"/>
    </row>
    <row r="377" customFormat="false" ht="15" hidden="false" customHeight="true" outlineLevel="0" collapsed="false">
      <c r="A377" s="6" t="s">
        <v>305</v>
      </c>
      <c r="B377" s="6" t="s">
        <v>7997</v>
      </c>
      <c r="C377" s="28" t="n">
        <v>30</v>
      </c>
      <c r="D377" s="6" t="n">
        <v>24</v>
      </c>
      <c r="E377" s="29" t="n">
        <v>0</v>
      </c>
      <c r="F377" s="6" t="n">
        <v>1</v>
      </c>
      <c r="G377" s="6" t="n">
        <v>3</v>
      </c>
      <c r="H377" s="6"/>
    </row>
    <row r="378" customFormat="false" ht="15" hidden="false" customHeight="true" outlineLevel="0" collapsed="false">
      <c r="A378" s="6" t="s">
        <v>2238</v>
      </c>
      <c r="B378" s="6" t="s">
        <v>7997</v>
      </c>
      <c r="C378" s="28" t="n">
        <v>30</v>
      </c>
      <c r="D378" s="6" t="n">
        <v>18</v>
      </c>
      <c r="E378" s="29" t="n">
        <v>0</v>
      </c>
      <c r="F378" s="6" t="n">
        <v>1</v>
      </c>
      <c r="G378" s="6" t="n">
        <v>5</v>
      </c>
      <c r="H378" s="6"/>
    </row>
    <row r="379" customFormat="false" ht="15" hidden="false" customHeight="true" outlineLevel="0" collapsed="false">
      <c r="A379" s="6" t="s">
        <v>183</v>
      </c>
      <c r="B379" s="6" t="s">
        <v>8004</v>
      </c>
      <c r="C379" s="28" t="n">
        <v>30</v>
      </c>
      <c r="D379" s="6" t="n">
        <v>21</v>
      </c>
      <c r="E379" s="29" t="n">
        <v>0</v>
      </c>
      <c r="F379" s="6" t="n">
        <v>0</v>
      </c>
      <c r="G379" s="6" t="n">
        <v>2</v>
      </c>
      <c r="H379" s="6"/>
    </row>
    <row r="380" customFormat="false" ht="15" hidden="false" customHeight="true" outlineLevel="0" collapsed="false">
      <c r="A380" s="6" t="s">
        <v>184</v>
      </c>
      <c r="B380" s="6" t="s">
        <v>8000</v>
      </c>
      <c r="C380" s="28" t="n">
        <v>30</v>
      </c>
      <c r="D380" s="6" t="n">
        <v>25</v>
      </c>
      <c r="E380" s="29" t="n">
        <v>0</v>
      </c>
      <c r="F380" s="6" t="n">
        <v>0.33</v>
      </c>
      <c r="G380" s="6" t="n">
        <v>2</v>
      </c>
      <c r="H380" s="6"/>
    </row>
    <row r="381" customFormat="false" ht="15" hidden="false" customHeight="true" outlineLevel="0" collapsed="false">
      <c r="A381" s="6" t="s">
        <v>3576</v>
      </c>
      <c r="B381" s="6" t="s">
        <v>8003</v>
      </c>
      <c r="C381" s="28" t="n">
        <v>30</v>
      </c>
      <c r="D381" s="6" t="n">
        <v>20</v>
      </c>
      <c r="E381" s="29" t="n">
        <v>0</v>
      </c>
      <c r="F381" s="6" t="n">
        <v>1</v>
      </c>
      <c r="G381" s="6" t="s">
        <v>6868</v>
      </c>
      <c r="H381" s="6"/>
    </row>
    <row r="382" customFormat="false" ht="15" hidden="false" customHeight="true" outlineLevel="0" collapsed="false">
      <c r="A382" s="6" t="s">
        <v>3607</v>
      </c>
      <c r="B382" s="6" t="s">
        <v>8002</v>
      </c>
      <c r="C382" s="28" t="n">
        <v>30</v>
      </c>
      <c r="D382" s="6" t="n">
        <v>10</v>
      </c>
      <c r="E382" s="29" t="n">
        <v>0</v>
      </c>
      <c r="F382" s="6" t="n">
        <v>1</v>
      </c>
      <c r="G382" s="6" t="n">
        <v>5</v>
      </c>
      <c r="H382" s="6"/>
    </row>
    <row r="383" customFormat="false" ht="15" hidden="false" customHeight="true" outlineLevel="0" collapsed="false">
      <c r="A383" s="6" t="s">
        <v>3701</v>
      </c>
      <c r="B383" s="6" t="s">
        <v>7997</v>
      </c>
      <c r="C383" s="28" t="n">
        <v>30</v>
      </c>
      <c r="D383" s="6" t="n">
        <v>12</v>
      </c>
      <c r="E383" s="29" t="n">
        <v>0</v>
      </c>
      <c r="F383" s="6" t="n">
        <v>1</v>
      </c>
      <c r="G383" s="6" t="n">
        <v>5</v>
      </c>
      <c r="H383" s="6"/>
    </row>
    <row r="384" customFormat="false" ht="15" hidden="false" customHeight="true" outlineLevel="0" collapsed="false">
      <c r="A384" s="6" t="s">
        <v>3987</v>
      </c>
      <c r="B384" s="6" t="s">
        <v>7998</v>
      </c>
      <c r="C384" s="28" t="n">
        <v>30</v>
      </c>
      <c r="D384" s="6" t="n">
        <v>11</v>
      </c>
      <c r="E384" s="29" t="n">
        <v>0.34</v>
      </c>
      <c r="F384" s="6" t="n">
        <v>1</v>
      </c>
      <c r="G384" s="6" t="n">
        <v>6</v>
      </c>
      <c r="H384" s="6"/>
    </row>
    <row r="385" customFormat="false" ht="15" hidden="false" customHeight="true" outlineLevel="0" collapsed="false">
      <c r="A385" s="6" t="s">
        <v>3954</v>
      </c>
      <c r="B385" s="6" t="s">
        <v>7998</v>
      </c>
      <c r="C385" s="28" t="n">
        <v>30</v>
      </c>
      <c r="D385" s="6" t="n">
        <v>7</v>
      </c>
      <c r="E385" s="29" t="n">
        <v>0</v>
      </c>
      <c r="F385" s="6" t="n">
        <v>1</v>
      </c>
      <c r="G385" s="6" t="n">
        <v>6</v>
      </c>
      <c r="H385" s="6"/>
    </row>
    <row r="386" customFormat="false" ht="15" hidden="false" customHeight="true" outlineLevel="0" collapsed="false">
      <c r="A386" s="6" t="s">
        <v>4392</v>
      </c>
      <c r="B386" s="6" t="s">
        <v>7998</v>
      </c>
      <c r="C386" s="28" t="n">
        <v>30</v>
      </c>
      <c r="D386" s="6" t="n">
        <v>16</v>
      </c>
      <c r="E386" s="29" t="n">
        <v>0.54</v>
      </c>
      <c r="F386" s="6" t="n">
        <v>0.46</v>
      </c>
      <c r="G386" s="6" t="n">
        <v>1</v>
      </c>
      <c r="H386" s="6"/>
    </row>
    <row r="387" customFormat="false" ht="15" hidden="false" customHeight="true" outlineLevel="0" collapsed="false">
      <c r="A387" s="6" t="s">
        <v>4322</v>
      </c>
      <c r="B387" s="6" t="s">
        <v>8000</v>
      </c>
      <c r="C387" s="28" t="n">
        <v>30</v>
      </c>
      <c r="D387" s="6" t="n">
        <v>12</v>
      </c>
      <c r="E387" s="29" t="n">
        <v>0</v>
      </c>
      <c r="F387" s="6" t="n">
        <v>0.79</v>
      </c>
      <c r="G387" s="6" t="n">
        <v>6</v>
      </c>
      <c r="H387" s="6"/>
    </row>
    <row r="388" customFormat="false" ht="15" hidden="false" customHeight="true" outlineLevel="0" collapsed="false">
      <c r="A388" s="6" t="s">
        <v>271</v>
      </c>
      <c r="B388" s="6" t="s">
        <v>8001</v>
      </c>
      <c r="C388" s="28" t="n">
        <v>30</v>
      </c>
      <c r="D388" s="6" t="n">
        <v>25</v>
      </c>
      <c r="E388" s="29" t="n">
        <v>0</v>
      </c>
      <c r="F388" s="6" t="n">
        <v>0.61</v>
      </c>
      <c r="G388" s="6" t="s">
        <v>6870</v>
      </c>
      <c r="H388" s="6"/>
    </row>
    <row r="389" customFormat="false" ht="15" hidden="false" customHeight="true" outlineLevel="0" collapsed="false">
      <c r="A389" s="6" t="s">
        <v>272</v>
      </c>
      <c r="B389" s="6" t="s">
        <v>8001</v>
      </c>
      <c r="C389" s="28" t="n">
        <v>30</v>
      </c>
      <c r="D389" s="6" t="n">
        <v>20</v>
      </c>
      <c r="E389" s="29" t="n">
        <v>0</v>
      </c>
      <c r="F389" s="6" t="n">
        <v>0.5</v>
      </c>
      <c r="G389" s="6" t="s">
        <v>6870</v>
      </c>
      <c r="H389" s="6"/>
    </row>
    <row r="390" customFormat="false" ht="15" hidden="false" customHeight="true" outlineLevel="0" collapsed="false">
      <c r="A390" s="6" t="s">
        <v>4770</v>
      </c>
      <c r="B390" s="6" t="s">
        <v>7998</v>
      </c>
      <c r="C390" s="28" t="n">
        <v>30</v>
      </c>
      <c r="D390" s="6" t="n">
        <v>12</v>
      </c>
      <c r="E390" s="29" t="n">
        <v>0.78</v>
      </c>
      <c r="F390" s="6" t="n">
        <v>0.51</v>
      </c>
      <c r="G390" s="6" t="n">
        <v>6</v>
      </c>
      <c r="H390" s="6"/>
    </row>
    <row r="391" customFormat="false" ht="15" hidden="false" customHeight="true" outlineLevel="0" collapsed="false">
      <c r="A391" s="6" t="s">
        <v>4780</v>
      </c>
      <c r="B391" s="6" t="s">
        <v>8000</v>
      </c>
      <c r="C391" s="28" t="n">
        <v>30</v>
      </c>
      <c r="D391" s="6" t="n">
        <v>17</v>
      </c>
      <c r="E391" s="29" t="n">
        <v>0</v>
      </c>
      <c r="F391" s="6" t="n">
        <v>1</v>
      </c>
      <c r="G391" s="6" t="n">
        <v>6</v>
      </c>
      <c r="H391" s="6"/>
    </row>
    <row r="392" customFormat="false" ht="15" hidden="false" customHeight="true" outlineLevel="0" collapsed="false">
      <c r="A392" s="6" t="s">
        <v>4834</v>
      </c>
      <c r="B392" s="6" t="s">
        <v>7997</v>
      </c>
      <c r="C392" s="28" t="n">
        <v>30</v>
      </c>
      <c r="D392" s="6" t="n">
        <v>16</v>
      </c>
      <c r="E392" s="29" t="n">
        <v>0.58</v>
      </c>
      <c r="F392" s="6" t="n">
        <v>1</v>
      </c>
      <c r="G392" s="6" t="n">
        <v>6</v>
      </c>
      <c r="H392" s="6"/>
    </row>
    <row r="393" customFormat="false" ht="15" hidden="false" customHeight="true" outlineLevel="0" collapsed="false">
      <c r="A393" s="6" t="s">
        <v>275</v>
      </c>
      <c r="B393" s="6" t="s">
        <v>8002</v>
      </c>
      <c r="C393" s="28" t="n">
        <v>30</v>
      </c>
      <c r="D393" s="6" t="n">
        <v>14</v>
      </c>
      <c r="E393" s="29" t="n">
        <v>0</v>
      </c>
      <c r="F393" s="6" t="n">
        <v>0.9</v>
      </c>
      <c r="G393" s="6" t="s">
        <v>6870</v>
      </c>
      <c r="H393" s="6"/>
    </row>
    <row r="394" customFormat="false" ht="15" hidden="false" customHeight="true" outlineLevel="0" collapsed="false">
      <c r="A394" s="6" t="s">
        <v>5438</v>
      </c>
      <c r="B394" s="6" t="s">
        <v>7997</v>
      </c>
      <c r="C394" s="28" t="n">
        <v>30</v>
      </c>
      <c r="D394" s="6" t="n">
        <v>10</v>
      </c>
      <c r="E394" s="29" t="n">
        <v>0</v>
      </c>
      <c r="F394" s="6" t="n">
        <v>1</v>
      </c>
      <c r="G394" s="6" t="s">
        <v>6868</v>
      </c>
      <c r="H394" s="6"/>
    </row>
    <row r="395" customFormat="false" ht="15" hidden="false" customHeight="true" outlineLevel="0" collapsed="false">
      <c r="A395" s="6" t="s">
        <v>273</v>
      </c>
      <c r="B395" s="6" t="s">
        <v>7998</v>
      </c>
      <c r="C395" s="28" t="n">
        <v>30</v>
      </c>
      <c r="D395" s="6" t="n">
        <v>10</v>
      </c>
      <c r="E395" s="29" t="n">
        <v>0</v>
      </c>
      <c r="F395" s="6" t="n">
        <v>0.75</v>
      </c>
      <c r="G395" s="6" t="s">
        <v>6870</v>
      </c>
      <c r="H395" s="6"/>
    </row>
    <row r="396" customFormat="false" ht="15" hidden="false" customHeight="true" outlineLevel="0" collapsed="false">
      <c r="A396" s="6" t="s">
        <v>185</v>
      </c>
      <c r="B396" s="6" t="s">
        <v>7999</v>
      </c>
      <c r="C396" s="28" t="n">
        <v>30</v>
      </c>
      <c r="D396" s="6" t="n">
        <v>12</v>
      </c>
      <c r="E396" s="29" t="n">
        <v>0</v>
      </c>
      <c r="F396" s="6" t="n">
        <v>0.99</v>
      </c>
      <c r="G396" s="6" t="n">
        <v>3</v>
      </c>
      <c r="H396" s="6"/>
    </row>
    <row r="397" customFormat="false" ht="15" hidden="false" customHeight="true" outlineLevel="0" collapsed="false">
      <c r="A397" s="6" t="s">
        <v>274</v>
      </c>
      <c r="B397" s="6" t="s">
        <v>7997</v>
      </c>
      <c r="C397" s="28" t="n">
        <v>30</v>
      </c>
      <c r="D397" s="6" t="n">
        <v>16</v>
      </c>
      <c r="E397" s="29" t="n">
        <v>0.33</v>
      </c>
      <c r="F397" s="6" t="n">
        <v>1</v>
      </c>
      <c r="G397" s="6" t="s">
        <v>6870</v>
      </c>
      <c r="H397" s="6"/>
    </row>
    <row r="398" customFormat="false" ht="15" hidden="false" customHeight="true" outlineLevel="0" collapsed="false">
      <c r="A398" s="6" t="s">
        <v>6655</v>
      </c>
      <c r="B398" s="6" t="s">
        <v>7998</v>
      </c>
      <c r="C398" s="28" t="n">
        <v>30</v>
      </c>
      <c r="D398" s="6" t="n">
        <v>5</v>
      </c>
      <c r="E398" s="29" t="n">
        <v>0.54</v>
      </c>
      <c r="F398" s="6" t="n">
        <v>1</v>
      </c>
      <c r="G398" s="6" t="n">
        <v>2</v>
      </c>
      <c r="H398" s="6"/>
    </row>
    <row r="399" customFormat="false" ht="15" hidden="false" customHeight="true" outlineLevel="0" collapsed="false">
      <c r="A399" s="6" t="s">
        <v>7922</v>
      </c>
      <c r="B399" s="6" t="s">
        <v>7998</v>
      </c>
      <c r="C399" s="28" t="n">
        <v>30</v>
      </c>
      <c r="D399" s="6" t="n">
        <v>15</v>
      </c>
      <c r="E399" s="29" t="n">
        <v>0</v>
      </c>
      <c r="F399" s="6" t="n">
        <v>1</v>
      </c>
      <c r="G399" s="6" t="s">
        <v>6868</v>
      </c>
      <c r="H399" s="6"/>
    </row>
    <row r="400" customFormat="false" ht="15" hidden="false" customHeight="true" outlineLevel="0" collapsed="false">
      <c r="A400" s="6" t="s">
        <v>6363</v>
      </c>
      <c r="B400" s="6" t="s">
        <v>7998</v>
      </c>
      <c r="C400" s="28" t="n">
        <v>30</v>
      </c>
      <c r="D400" s="6" t="n">
        <v>13</v>
      </c>
      <c r="E400" s="29" t="n">
        <v>0</v>
      </c>
      <c r="F400" s="6" t="n">
        <v>0.67</v>
      </c>
      <c r="G400" s="6" t="s">
        <v>6867</v>
      </c>
      <c r="H400" s="6"/>
    </row>
    <row r="401" customFormat="false" ht="15" hidden="false" customHeight="true" outlineLevel="0" collapsed="false">
      <c r="A401" s="6" t="s">
        <v>6794</v>
      </c>
      <c r="B401" s="6" t="s">
        <v>7997</v>
      </c>
      <c r="C401" s="28" t="n">
        <v>30</v>
      </c>
      <c r="D401" s="6" t="n">
        <v>10</v>
      </c>
      <c r="E401" s="29" t="n">
        <v>0.57</v>
      </c>
      <c r="F401" s="6" t="n">
        <v>1</v>
      </c>
      <c r="G401" s="6" t="n">
        <v>3</v>
      </c>
      <c r="H401" s="6"/>
    </row>
    <row r="402" customFormat="false" ht="15" hidden="false" customHeight="true" outlineLevel="0" collapsed="false">
      <c r="A402" s="6" t="s">
        <v>304</v>
      </c>
      <c r="B402" s="6" t="s">
        <v>8000</v>
      </c>
      <c r="C402" s="28" t="n">
        <v>30</v>
      </c>
      <c r="D402" s="6" t="n">
        <v>9</v>
      </c>
      <c r="E402" s="29" t="n">
        <v>0.78</v>
      </c>
      <c r="F402" s="6" t="n">
        <v>1</v>
      </c>
      <c r="G402" s="6" t="n">
        <v>1</v>
      </c>
      <c r="H402" s="6"/>
    </row>
    <row r="403" customFormat="false" ht="15" hidden="false" customHeight="true" outlineLevel="0" collapsed="false">
      <c r="A403" s="6" t="s">
        <v>2456</v>
      </c>
      <c r="B403" s="6" t="s">
        <v>7998</v>
      </c>
      <c r="C403" s="28" t="n">
        <v>20</v>
      </c>
      <c r="D403" s="6" t="n">
        <v>19</v>
      </c>
      <c r="E403" s="29" t="n">
        <v>0</v>
      </c>
      <c r="F403" s="6" t="n">
        <v>1</v>
      </c>
      <c r="G403" s="6" t="n">
        <v>3</v>
      </c>
      <c r="H403" s="6"/>
    </row>
    <row r="404" customFormat="false" ht="15" hidden="false" customHeight="true" outlineLevel="0" collapsed="false">
      <c r="A404" s="6" t="s">
        <v>2468</v>
      </c>
      <c r="B404" s="6" t="s">
        <v>7998</v>
      </c>
      <c r="C404" s="28" t="n">
        <v>20</v>
      </c>
      <c r="D404" s="6" t="n">
        <v>16</v>
      </c>
      <c r="E404" s="29" t="n">
        <v>0</v>
      </c>
      <c r="F404" s="6" t="n">
        <v>1</v>
      </c>
      <c r="G404" s="6" t="n">
        <v>3</v>
      </c>
      <c r="H404" s="6"/>
    </row>
    <row r="405" customFormat="false" ht="15" hidden="false" customHeight="true" outlineLevel="0" collapsed="false">
      <c r="A405" s="6" t="s">
        <v>2553</v>
      </c>
      <c r="B405" s="6" t="s">
        <v>7997</v>
      </c>
      <c r="C405" s="28" t="n">
        <v>20</v>
      </c>
      <c r="D405" s="6" t="n">
        <v>12</v>
      </c>
      <c r="E405" s="29" t="n">
        <v>0</v>
      </c>
      <c r="F405" s="6" t="n">
        <v>1</v>
      </c>
      <c r="G405" s="6" t="n">
        <v>3</v>
      </c>
      <c r="H405" s="6"/>
    </row>
    <row r="406" customFormat="false" ht="15" hidden="false" customHeight="true" outlineLevel="0" collapsed="false">
      <c r="A406" s="6" t="s">
        <v>2495</v>
      </c>
      <c r="B406" s="6" t="s">
        <v>8000</v>
      </c>
      <c r="C406" s="28" t="n">
        <v>20</v>
      </c>
      <c r="D406" s="6" t="n">
        <v>15</v>
      </c>
      <c r="E406" s="29" t="n">
        <v>0</v>
      </c>
      <c r="F406" s="6" t="n">
        <v>1</v>
      </c>
      <c r="G406" s="6" t="n">
        <v>3</v>
      </c>
      <c r="H406" s="6"/>
    </row>
    <row r="407" customFormat="false" ht="15" hidden="false" customHeight="true" outlineLevel="0" collapsed="false">
      <c r="A407" s="6" t="s">
        <v>6505</v>
      </c>
      <c r="B407" s="6" t="s">
        <v>7998</v>
      </c>
      <c r="C407" s="28" t="n">
        <v>20</v>
      </c>
      <c r="D407" s="6" t="n">
        <v>17</v>
      </c>
      <c r="E407" s="29" t="n">
        <v>0.31</v>
      </c>
      <c r="F407" s="6" t="n">
        <v>1</v>
      </c>
      <c r="G407" s="6" t="n">
        <v>1</v>
      </c>
      <c r="H407" s="6"/>
    </row>
    <row r="408" customFormat="false" ht="15" hidden="false" customHeight="true" outlineLevel="0" collapsed="false">
      <c r="A408" s="6" t="s">
        <v>276</v>
      </c>
      <c r="B408" s="6" t="s">
        <v>7999</v>
      </c>
      <c r="C408" s="28" t="n">
        <v>20</v>
      </c>
      <c r="D408" s="6" t="n">
        <v>7</v>
      </c>
      <c r="E408" s="29" t="n">
        <v>0</v>
      </c>
      <c r="F408" s="6" t="n">
        <v>1</v>
      </c>
      <c r="G408" s="6" t="s">
        <v>6893</v>
      </c>
      <c r="H408" s="6"/>
    </row>
    <row r="409" customFormat="false" ht="15" hidden="false" customHeight="true" outlineLevel="0" collapsed="false">
      <c r="A409" s="6" t="s">
        <v>2521</v>
      </c>
      <c r="B409" s="6" t="s">
        <v>7997</v>
      </c>
      <c r="C409" s="28" t="n">
        <v>20</v>
      </c>
      <c r="D409" s="6" t="n">
        <v>13</v>
      </c>
      <c r="E409" s="29" t="n">
        <v>0</v>
      </c>
      <c r="F409" s="6" t="n">
        <v>1</v>
      </c>
      <c r="G409" s="6" t="s">
        <v>6867</v>
      </c>
      <c r="H409" s="6"/>
    </row>
    <row r="410" customFormat="false" ht="15" hidden="false" customHeight="true" outlineLevel="0" collapsed="false">
      <c r="A410" s="6" t="s">
        <v>277</v>
      </c>
      <c r="B410" s="6" t="s">
        <v>8001</v>
      </c>
      <c r="C410" s="28" t="n">
        <v>20</v>
      </c>
      <c r="D410" s="6" t="n">
        <v>10</v>
      </c>
      <c r="E410" s="29" t="n">
        <v>0</v>
      </c>
      <c r="F410" s="6" t="n">
        <v>1</v>
      </c>
      <c r="G410" s="6" t="s">
        <v>6893</v>
      </c>
      <c r="H410" s="6"/>
    </row>
    <row r="411" customFormat="false" ht="15" hidden="false" customHeight="true" outlineLevel="0" collapsed="false">
      <c r="A411" s="6" t="s">
        <v>2518</v>
      </c>
      <c r="B411" s="6" t="s">
        <v>7998</v>
      </c>
      <c r="C411" s="28" t="n">
        <v>20</v>
      </c>
      <c r="D411" s="6" t="n">
        <v>12</v>
      </c>
      <c r="E411" s="29" t="n">
        <v>0</v>
      </c>
      <c r="F411" s="6" t="n">
        <v>1</v>
      </c>
      <c r="G411" s="6" t="n">
        <v>9</v>
      </c>
      <c r="H411" s="6"/>
    </row>
    <row r="412" customFormat="false" ht="15" hidden="false" customHeight="true" outlineLevel="0" collapsed="false">
      <c r="A412" s="6" t="s">
        <v>2532</v>
      </c>
      <c r="B412" s="6" t="s">
        <v>7998</v>
      </c>
      <c r="C412" s="28" t="n">
        <v>20</v>
      </c>
      <c r="D412" s="6" t="n">
        <v>13</v>
      </c>
      <c r="E412" s="29" t="n">
        <v>0</v>
      </c>
      <c r="F412" s="6" t="n">
        <v>1</v>
      </c>
      <c r="G412" s="6" t="s">
        <v>6867</v>
      </c>
      <c r="H412" s="6"/>
    </row>
    <row r="413" customFormat="false" ht="15" hidden="false" customHeight="true" outlineLevel="0" collapsed="false">
      <c r="A413" s="6" t="s">
        <v>278</v>
      </c>
      <c r="B413" s="6" t="s">
        <v>7999</v>
      </c>
      <c r="C413" s="28" t="n">
        <v>20</v>
      </c>
      <c r="D413" s="6" t="n">
        <v>21</v>
      </c>
      <c r="E413" s="29" t="n">
        <v>0</v>
      </c>
      <c r="F413" s="6" t="n">
        <v>1</v>
      </c>
      <c r="G413" s="6" t="s">
        <v>6870</v>
      </c>
      <c r="H413" s="6"/>
    </row>
    <row r="414" customFormat="false" ht="15" hidden="false" customHeight="true" outlineLevel="0" collapsed="false">
      <c r="A414" s="6" t="s">
        <v>2543</v>
      </c>
      <c r="B414" s="6" t="s">
        <v>7998</v>
      </c>
      <c r="C414" s="28" t="n">
        <v>20</v>
      </c>
      <c r="D414" s="6" t="n">
        <v>9</v>
      </c>
      <c r="E414" s="29" t="n">
        <v>0</v>
      </c>
      <c r="F414" s="6" t="n">
        <v>0.75</v>
      </c>
      <c r="G414" s="6" t="s">
        <v>6867</v>
      </c>
      <c r="H414" s="6"/>
    </row>
    <row r="415" customFormat="false" ht="15" hidden="false" customHeight="true" outlineLevel="0" collapsed="false">
      <c r="A415" s="6" t="s">
        <v>279</v>
      </c>
      <c r="B415" s="6" t="s">
        <v>8001</v>
      </c>
      <c r="C415" s="28" t="n">
        <v>20</v>
      </c>
      <c r="D415" s="6" t="n">
        <v>12</v>
      </c>
      <c r="E415" s="29" t="n">
        <v>0</v>
      </c>
      <c r="F415" s="6" t="n">
        <v>1</v>
      </c>
      <c r="G415" s="6" t="s">
        <v>6870</v>
      </c>
      <c r="H415" s="6"/>
    </row>
    <row r="416" customFormat="false" ht="15" hidden="false" customHeight="true" outlineLevel="0" collapsed="false">
      <c r="A416" s="6" t="s">
        <v>2540</v>
      </c>
      <c r="B416" s="6" t="s">
        <v>7998</v>
      </c>
      <c r="C416" s="28" t="n">
        <v>20</v>
      </c>
      <c r="D416" s="6" t="n">
        <v>9</v>
      </c>
      <c r="E416" s="29" t="n">
        <v>0</v>
      </c>
      <c r="F416" s="6" t="n">
        <v>1</v>
      </c>
      <c r="G416" s="6" t="n">
        <v>9</v>
      </c>
      <c r="H416" s="6"/>
    </row>
    <row r="417" customFormat="false" ht="15" hidden="false" customHeight="true" outlineLevel="0" collapsed="false">
      <c r="A417" s="6" t="s">
        <v>280</v>
      </c>
      <c r="B417" s="6" t="s">
        <v>8000</v>
      </c>
      <c r="C417" s="28" t="n">
        <v>20</v>
      </c>
      <c r="D417" s="6" t="n">
        <v>5</v>
      </c>
      <c r="E417" s="29" t="n">
        <v>0.48</v>
      </c>
      <c r="F417" s="6" t="n">
        <v>1</v>
      </c>
      <c r="G417" s="6" t="s">
        <v>6870</v>
      </c>
      <c r="H417" s="6"/>
    </row>
    <row r="418" customFormat="false" ht="15" hidden="false" customHeight="true" outlineLevel="0" collapsed="false">
      <c r="A418" s="6" t="s">
        <v>5937</v>
      </c>
      <c r="B418" s="6" t="s">
        <v>7998</v>
      </c>
      <c r="C418" s="28" t="n">
        <v>20</v>
      </c>
      <c r="D418" s="6" t="n">
        <v>18</v>
      </c>
      <c r="E418" s="29" t="n">
        <v>0</v>
      </c>
      <c r="F418" s="6" t="n">
        <v>0.99</v>
      </c>
      <c r="G418" s="6" t="s">
        <v>6867</v>
      </c>
      <c r="H418" s="6"/>
    </row>
    <row r="419" customFormat="false" ht="15" hidden="false" customHeight="true" outlineLevel="0" collapsed="false">
      <c r="A419" s="6" t="s">
        <v>281</v>
      </c>
      <c r="B419" s="6" t="s">
        <v>8001</v>
      </c>
      <c r="C419" s="28" t="n">
        <v>20</v>
      </c>
      <c r="D419" s="6" t="n">
        <v>12</v>
      </c>
      <c r="E419" s="29" t="n">
        <v>0</v>
      </c>
      <c r="F419" s="6" t="n">
        <v>1</v>
      </c>
      <c r="G419" s="6" t="s">
        <v>6870</v>
      </c>
      <c r="H419" s="6"/>
    </row>
    <row r="420" customFormat="false" ht="15" hidden="false" customHeight="true" outlineLevel="0" collapsed="false">
      <c r="A420" s="6" t="s">
        <v>5934</v>
      </c>
      <c r="B420" s="6" t="s">
        <v>7998</v>
      </c>
      <c r="C420" s="28" t="n">
        <v>20</v>
      </c>
      <c r="D420" s="6" t="n">
        <v>12</v>
      </c>
      <c r="E420" s="29" t="n">
        <v>0</v>
      </c>
      <c r="F420" s="6" t="n">
        <v>1</v>
      </c>
      <c r="G420" s="6" t="n">
        <v>9</v>
      </c>
      <c r="H420" s="6"/>
    </row>
    <row r="421" customFormat="false" ht="15" hidden="false" customHeight="true" outlineLevel="0" collapsed="false">
      <c r="A421" s="6" t="s">
        <v>2572</v>
      </c>
      <c r="B421" s="6" t="s">
        <v>7998</v>
      </c>
      <c r="C421" s="28" t="n">
        <v>20</v>
      </c>
      <c r="D421" s="6" t="n">
        <v>5</v>
      </c>
      <c r="E421" s="29" t="n">
        <v>0</v>
      </c>
      <c r="F421" s="6" t="n">
        <v>0.99</v>
      </c>
      <c r="G421" s="6" t="n">
        <v>4</v>
      </c>
      <c r="H421" s="6"/>
    </row>
    <row r="422" customFormat="false" ht="15" hidden="false" customHeight="true" outlineLevel="0" collapsed="false">
      <c r="A422" s="6" t="s">
        <v>2585</v>
      </c>
      <c r="B422" s="6" t="s">
        <v>7998</v>
      </c>
      <c r="C422" s="28" t="n">
        <v>20</v>
      </c>
      <c r="D422" s="6" t="n">
        <v>12</v>
      </c>
      <c r="E422" s="29" t="n">
        <v>0</v>
      </c>
      <c r="F422" s="6" t="n">
        <v>1</v>
      </c>
      <c r="G422" s="6" t="n">
        <v>4</v>
      </c>
      <c r="H422" s="6"/>
    </row>
    <row r="423" customFormat="false" ht="15" hidden="false" customHeight="true" outlineLevel="0" collapsed="false">
      <c r="A423" s="6" t="s">
        <v>2602</v>
      </c>
      <c r="B423" s="6" t="s">
        <v>7998</v>
      </c>
      <c r="C423" s="28" t="n">
        <v>20</v>
      </c>
      <c r="D423" s="6" t="n">
        <v>13</v>
      </c>
      <c r="E423" s="29" t="n">
        <v>0</v>
      </c>
      <c r="F423" s="6" t="n">
        <v>1</v>
      </c>
      <c r="G423" s="6" t="s">
        <v>6868</v>
      </c>
      <c r="H423" s="6"/>
    </row>
    <row r="424" customFormat="false" ht="15" hidden="false" customHeight="true" outlineLevel="0" collapsed="false">
      <c r="A424" s="6" t="s">
        <v>2614</v>
      </c>
      <c r="B424" s="6" t="s">
        <v>7998</v>
      </c>
      <c r="C424" s="28" t="n">
        <v>20</v>
      </c>
      <c r="D424" s="6" t="n">
        <v>6</v>
      </c>
      <c r="E424" s="29" t="n">
        <v>0</v>
      </c>
      <c r="F424" s="6" t="n">
        <v>0</v>
      </c>
      <c r="G424" s="6" t="s">
        <v>6868</v>
      </c>
      <c r="H424" s="6"/>
    </row>
    <row r="425" customFormat="false" ht="15" hidden="false" customHeight="true" outlineLevel="0" collapsed="false">
      <c r="A425" s="6" t="s">
        <v>2624</v>
      </c>
      <c r="B425" s="6" t="s">
        <v>8004</v>
      </c>
      <c r="C425" s="28" t="n">
        <v>20</v>
      </c>
      <c r="D425" s="6" t="n">
        <v>12</v>
      </c>
      <c r="E425" s="29" t="n">
        <v>0</v>
      </c>
      <c r="F425" s="6" t="n">
        <v>0</v>
      </c>
      <c r="G425" s="6" t="s">
        <v>6867</v>
      </c>
      <c r="H425" s="6"/>
    </row>
    <row r="426" customFormat="false" ht="15" hidden="false" customHeight="true" outlineLevel="0" collapsed="false">
      <c r="A426" s="6" t="s">
        <v>2737</v>
      </c>
      <c r="B426" s="6" t="s">
        <v>7997</v>
      </c>
      <c r="C426" s="28" t="n">
        <v>20</v>
      </c>
      <c r="D426" s="6" t="n">
        <v>13</v>
      </c>
      <c r="E426" s="29" t="n">
        <v>0</v>
      </c>
      <c r="F426" s="6" t="n">
        <v>1</v>
      </c>
      <c r="G426" s="6" t="n">
        <v>4</v>
      </c>
      <c r="H426" s="6"/>
    </row>
    <row r="427" customFormat="false" ht="15" hidden="false" customHeight="true" outlineLevel="0" collapsed="false">
      <c r="A427" s="6" t="s">
        <v>282</v>
      </c>
      <c r="B427" s="6" t="s">
        <v>7997</v>
      </c>
      <c r="C427" s="28" t="n">
        <v>20</v>
      </c>
      <c r="D427" s="6" t="n">
        <v>1</v>
      </c>
      <c r="E427" s="29" t="n">
        <v>0</v>
      </c>
      <c r="F427" s="6" t="n">
        <v>0.99</v>
      </c>
      <c r="G427" s="6" t="s">
        <v>6870</v>
      </c>
      <c r="H427" s="6"/>
    </row>
    <row r="428" customFormat="false" ht="15" hidden="false" customHeight="true" outlineLevel="0" collapsed="false">
      <c r="A428" s="6" t="s">
        <v>2632</v>
      </c>
      <c r="B428" s="6" t="s">
        <v>7997</v>
      </c>
      <c r="C428" s="28" t="n">
        <v>20</v>
      </c>
      <c r="D428" s="6" t="n">
        <v>14</v>
      </c>
      <c r="E428" s="29" t="n">
        <v>0</v>
      </c>
      <c r="F428" s="6" t="n">
        <v>1</v>
      </c>
      <c r="G428" s="6" t="s">
        <v>6867</v>
      </c>
      <c r="H428" s="6"/>
    </row>
    <row r="429" customFormat="false" ht="15" hidden="false" customHeight="true" outlineLevel="0" collapsed="false">
      <c r="A429" s="6" t="s">
        <v>283</v>
      </c>
      <c r="B429" s="6" t="s">
        <v>8001</v>
      </c>
      <c r="C429" s="28" t="n">
        <v>20</v>
      </c>
      <c r="D429" s="6" t="n">
        <v>13</v>
      </c>
      <c r="E429" s="29" t="n">
        <v>0</v>
      </c>
      <c r="F429" s="6" t="n">
        <v>0.92</v>
      </c>
      <c r="G429" s="6" t="s">
        <v>6870</v>
      </c>
      <c r="H429" s="6"/>
    </row>
    <row r="430" customFormat="false" ht="15" hidden="false" customHeight="true" outlineLevel="0" collapsed="false">
      <c r="A430" s="6" t="s">
        <v>2629</v>
      </c>
      <c r="B430" s="6" t="s">
        <v>7997</v>
      </c>
      <c r="C430" s="28" t="n">
        <v>20</v>
      </c>
      <c r="D430" s="6" t="n">
        <v>9</v>
      </c>
      <c r="E430" s="29" t="n">
        <v>0</v>
      </c>
      <c r="F430" s="6" t="n">
        <v>1</v>
      </c>
      <c r="G430" s="6" t="n">
        <v>9</v>
      </c>
      <c r="H430" s="6"/>
    </row>
    <row r="431" customFormat="false" ht="15" hidden="false" customHeight="true" outlineLevel="0" collapsed="false">
      <c r="A431" s="6" t="s">
        <v>2623</v>
      </c>
      <c r="B431" s="6" t="s">
        <v>8002</v>
      </c>
      <c r="C431" s="28" t="n">
        <v>20</v>
      </c>
      <c r="D431" s="6" t="n">
        <v>11</v>
      </c>
      <c r="E431" s="29" t="n">
        <v>0</v>
      </c>
      <c r="F431" s="6" t="n">
        <v>0</v>
      </c>
      <c r="G431" s="6" t="s">
        <v>6870</v>
      </c>
      <c r="H431" s="6"/>
    </row>
    <row r="432" customFormat="false" ht="15" hidden="false" customHeight="true" outlineLevel="0" collapsed="false">
      <c r="A432" s="6" t="s">
        <v>2643</v>
      </c>
      <c r="B432" s="6" t="s">
        <v>7997</v>
      </c>
      <c r="C432" s="28" t="n">
        <v>20</v>
      </c>
      <c r="D432" s="6" t="n">
        <v>12</v>
      </c>
      <c r="E432" s="29" t="n">
        <v>0</v>
      </c>
      <c r="F432" s="6" t="n">
        <v>1</v>
      </c>
      <c r="G432" s="6" t="s">
        <v>6868</v>
      </c>
      <c r="H432" s="6"/>
    </row>
    <row r="433" customFormat="false" ht="15" hidden="false" customHeight="true" outlineLevel="0" collapsed="false">
      <c r="A433" s="6" t="s">
        <v>284</v>
      </c>
      <c r="B433" s="6" t="s">
        <v>7997</v>
      </c>
      <c r="C433" s="28" t="n">
        <v>20</v>
      </c>
      <c r="D433" s="6" t="n">
        <v>6</v>
      </c>
      <c r="E433" s="29" t="n">
        <v>0</v>
      </c>
      <c r="F433" s="6" t="n">
        <v>1</v>
      </c>
      <c r="G433" s="6" t="s">
        <v>6870</v>
      </c>
      <c r="H433" s="6"/>
    </row>
    <row r="434" customFormat="false" ht="15" hidden="false" customHeight="true" outlineLevel="0" collapsed="false">
      <c r="A434" s="6" t="s">
        <v>2653</v>
      </c>
      <c r="B434" s="6" t="s">
        <v>7997</v>
      </c>
      <c r="C434" s="28" t="n">
        <v>20</v>
      </c>
      <c r="D434" s="6" t="n">
        <v>11</v>
      </c>
      <c r="E434" s="29" t="n">
        <v>0</v>
      </c>
      <c r="F434" s="6" t="n">
        <v>1</v>
      </c>
      <c r="G434" s="6" t="s">
        <v>6867</v>
      </c>
      <c r="H434" s="6"/>
    </row>
    <row r="435" customFormat="false" ht="15" hidden="false" customHeight="true" outlineLevel="0" collapsed="false">
      <c r="A435" s="6" t="s">
        <v>285</v>
      </c>
      <c r="B435" s="6" t="s">
        <v>8001</v>
      </c>
      <c r="C435" s="28" t="n">
        <v>20</v>
      </c>
      <c r="D435" s="6" t="n">
        <v>25</v>
      </c>
      <c r="E435" s="29" t="n">
        <v>0</v>
      </c>
      <c r="F435" s="6" t="n">
        <v>1</v>
      </c>
      <c r="G435" s="6" t="s">
        <v>6870</v>
      </c>
      <c r="H435" s="6"/>
    </row>
    <row r="436" customFormat="false" ht="15" hidden="false" customHeight="true" outlineLevel="0" collapsed="false">
      <c r="A436" s="6" t="s">
        <v>2650</v>
      </c>
      <c r="B436" s="6" t="s">
        <v>7997</v>
      </c>
      <c r="C436" s="28" t="n">
        <v>20</v>
      </c>
      <c r="D436" s="6" t="n">
        <v>12</v>
      </c>
      <c r="E436" s="29" t="n">
        <v>0</v>
      </c>
      <c r="F436" s="6" t="n">
        <v>1</v>
      </c>
      <c r="G436" s="6" t="n">
        <v>9</v>
      </c>
      <c r="H436" s="6"/>
    </row>
    <row r="437" customFormat="false" ht="15" hidden="false" customHeight="true" outlineLevel="0" collapsed="false">
      <c r="A437" s="6" t="s">
        <v>2621</v>
      </c>
      <c r="B437" s="6" t="s">
        <v>8000</v>
      </c>
      <c r="C437" s="28" t="n">
        <v>20</v>
      </c>
      <c r="D437" s="6" t="n">
        <v>11</v>
      </c>
      <c r="E437" s="29" t="n">
        <v>0</v>
      </c>
      <c r="F437" s="6" t="n">
        <v>1</v>
      </c>
      <c r="G437" s="6" t="n">
        <v>9</v>
      </c>
      <c r="H437" s="6"/>
    </row>
    <row r="438" customFormat="false" ht="15" hidden="false" customHeight="true" outlineLevel="0" collapsed="false">
      <c r="A438" s="6" t="s">
        <v>2660</v>
      </c>
      <c r="B438" s="6" t="s">
        <v>7998</v>
      </c>
      <c r="C438" s="28" t="n">
        <v>20</v>
      </c>
      <c r="D438" s="6" t="n">
        <v>17</v>
      </c>
      <c r="E438" s="29" t="n">
        <v>0</v>
      </c>
      <c r="F438" s="6" t="n">
        <v>0.95</v>
      </c>
      <c r="G438" s="6" t="n">
        <v>4</v>
      </c>
      <c r="H438" s="6"/>
    </row>
    <row r="439" customFormat="false" ht="15" hidden="false" customHeight="true" outlineLevel="0" collapsed="false">
      <c r="A439" s="6" t="s">
        <v>2673</v>
      </c>
      <c r="B439" s="6" t="s">
        <v>8003</v>
      </c>
      <c r="C439" s="28" t="n">
        <v>20</v>
      </c>
      <c r="D439" s="6" t="n">
        <v>7</v>
      </c>
      <c r="E439" s="29" t="n">
        <v>0</v>
      </c>
      <c r="F439" s="6" t="n">
        <v>0</v>
      </c>
      <c r="G439" s="6" t="n">
        <v>9</v>
      </c>
      <c r="H439" s="6"/>
    </row>
    <row r="440" customFormat="false" ht="15" hidden="false" customHeight="true" outlineLevel="0" collapsed="false">
      <c r="A440" s="6" t="s">
        <v>2714</v>
      </c>
      <c r="B440" s="6" t="s">
        <v>8000</v>
      </c>
      <c r="C440" s="28" t="n">
        <v>20</v>
      </c>
      <c r="D440" s="6" t="n">
        <v>6</v>
      </c>
      <c r="E440" s="29" t="n">
        <v>0</v>
      </c>
      <c r="F440" s="6" t="n">
        <v>1</v>
      </c>
      <c r="G440" s="6" t="n">
        <v>4</v>
      </c>
      <c r="H440" s="6"/>
    </row>
    <row r="441" customFormat="false" ht="15" hidden="false" customHeight="true" outlineLevel="0" collapsed="false">
      <c r="A441" s="6" t="s">
        <v>6511</v>
      </c>
      <c r="B441" s="6" t="s">
        <v>7997</v>
      </c>
      <c r="C441" s="28" t="n">
        <v>20</v>
      </c>
      <c r="D441" s="6" t="n">
        <v>4</v>
      </c>
      <c r="E441" s="29" t="n">
        <v>0</v>
      </c>
      <c r="F441" s="6" t="n">
        <v>1</v>
      </c>
      <c r="G441" s="6" t="n">
        <v>1</v>
      </c>
      <c r="H441" s="6"/>
    </row>
    <row r="442" customFormat="false" ht="15" hidden="false" customHeight="true" outlineLevel="0" collapsed="false">
      <c r="A442" s="6" t="s">
        <v>6516</v>
      </c>
      <c r="B442" s="6" t="s">
        <v>8004</v>
      </c>
      <c r="C442" s="28" t="n">
        <v>20</v>
      </c>
      <c r="D442" s="6" t="n">
        <v>4</v>
      </c>
      <c r="E442" s="29" t="n">
        <v>0</v>
      </c>
      <c r="F442" s="6" t="n">
        <v>1</v>
      </c>
      <c r="G442" s="6" t="n">
        <v>1</v>
      </c>
      <c r="H442" s="6"/>
    </row>
    <row r="443" customFormat="false" ht="15" hidden="false" customHeight="true" outlineLevel="0" collapsed="false">
      <c r="A443" s="6" t="s">
        <v>6518</v>
      </c>
      <c r="B443" s="6" t="s">
        <v>7998</v>
      </c>
      <c r="C443" s="28" t="n">
        <v>20</v>
      </c>
      <c r="D443" s="6" t="n">
        <v>16</v>
      </c>
      <c r="E443" s="29" t="n">
        <v>0</v>
      </c>
      <c r="F443" s="6" t="n">
        <v>1</v>
      </c>
      <c r="G443" s="6" t="n">
        <v>1</v>
      </c>
      <c r="H443" s="6"/>
    </row>
    <row r="444" customFormat="false" ht="15" hidden="false" customHeight="true" outlineLevel="0" collapsed="false">
      <c r="A444" s="6" t="s">
        <v>2823</v>
      </c>
      <c r="B444" s="6" t="s">
        <v>7998</v>
      </c>
      <c r="C444" s="28" t="n">
        <v>20</v>
      </c>
      <c r="D444" s="6" t="n">
        <v>20</v>
      </c>
      <c r="E444" s="29" t="n">
        <v>0</v>
      </c>
      <c r="F444" s="6" t="n">
        <v>1</v>
      </c>
      <c r="G444" s="6" t="s">
        <v>6867</v>
      </c>
      <c r="H444" s="6"/>
    </row>
    <row r="445" customFormat="false" ht="15" hidden="false" customHeight="true" outlineLevel="0" collapsed="false">
      <c r="A445" s="6" t="s">
        <v>286</v>
      </c>
      <c r="B445" s="6" t="s">
        <v>8001</v>
      </c>
      <c r="C445" s="28" t="n">
        <v>20</v>
      </c>
      <c r="D445" s="6" t="n">
        <v>13</v>
      </c>
      <c r="E445" s="29" t="n">
        <v>0</v>
      </c>
      <c r="F445" s="6" t="n">
        <v>0.91</v>
      </c>
      <c r="G445" s="6" t="s">
        <v>6893</v>
      </c>
      <c r="H445" s="6"/>
    </row>
    <row r="446" customFormat="false" ht="15" hidden="false" customHeight="true" outlineLevel="0" collapsed="false">
      <c r="A446" s="6" t="s">
        <v>2856</v>
      </c>
      <c r="B446" s="6" t="s">
        <v>7997</v>
      </c>
      <c r="C446" s="28" t="n">
        <v>20</v>
      </c>
      <c r="D446" s="6" t="n">
        <v>7</v>
      </c>
      <c r="E446" s="29" t="n">
        <v>0</v>
      </c>
      <c r="F446" s="6" t="n">
        <v>1</v>
      </c>
      <c r="G446" s="6" t="n">
        <v>4</v>
      </c>
      <c r="H446" s="6"/>
    </row>
    <row r="447" customFormat="false" ht="15" hidden="false" customHeight="true" outlineLevel="0" collapsed="false">
      <c r="A447" s="6" t="s">
        <v>2869</v>
      </c>
      <c r="B447" s="6" t="s">
        <v>7997</v>
      </c>
      <c r="C447" s="28" t="n">
        <v>20</v>
      </c>
      <c r="D447" s="6" t="n">
        <v>16</v>
      </c>
      <c r="E447" s="29" t="n">
        <v>0</v>
      </c>
      <c r="F447" s="6" t="n">
        <v>1</v>
      </c>
      <c r="G447" s="6" t="n">
        <v>4</v>
      </c>
      <c r="H447" s="6"/>
    </row>
    <row r="448" customFormat="false" ht="15" hidden="false" customHeight="true" outlineLevel="0" collapsed="false">
      <c r="A448" s="6" t="s">
        <v>2881</v>
      </c>
      <c r="B448" s="6" t="s">
        <v>7997</v>
      </c>
      <c r="C448" s="28" t="n">
        <v>20</v>
      </c>
      <c r="D448" s="6" t="n">
        <v>9</v>
      </c>
      <c r="E448" s="29" t="n">
        <v>0</v>
      </c>
      <c r="F448" s="6" t="n">
        <v>1</v>
      </c>
      <c r="G448" s="6" t="n">
        <v>4</v>
      </c>
      <c r="H448" s="6"/>
    </row>
    <row r="449" customFormat="false" ht="15" hidden="false" customHeight="true" outlineLevel="0" collapsed="false">
      <c r="A449" s="6" t="s">
        <v>6521</v>
      </c>
      <c r="B449" s="6" t="s">
        <v>7998</v>
      </c>
      <c r="C449" s="28" t="n">
        <v>20</v>
      </c>
      <c r="D449" s="6" t="n">
        <v>16</v>
      </c>
      <c r="E449" s="29" t="n">
        <v>0</v>
      </c>
      <c r="F449" s="6" t="n">
        <v>1</v>
      </c>
      <c r="G449" s="6" t="n">
        <v>1</v>
      </c>
      <c r="H449" s="6"/>
    </row>
    <row r="450" customFormat="false" ht="15" hidden="false" customHeight="true" outlineLevel="0" collapsed="false">
      <c r="A450" s="6" t="s">
        <v>2893</v>
      </c>
      <c r="B450" s="6" t="s">
        <v>7998</v>
      </c>
      <c r="C450" s="28" t="n">
        <v>20</v>
      </c>
      <c r="D450" s="6" t="n">
        <v>9</v>
      </c>
      <c r="E450" s="29" t="n">
        <v>0</v>
      </c>
      <c r="F450" s="6" t="n">
        <v>1</v>
      </c>
      <c r="G450" s="6" t="n">
        <v>4</v>
      </c>
      <c r="H450" s="6"/>
    </row>
    <row r="451" customFormat="false" ht="15" hidden="false" customHeight="true" outlineLevel="0" collapsed="false">
      <c r="A451" s="6" t="s">
        <v>2923</v>
      </c>
      <c r="B451" s="6" t="s">
        <v>7998</v>
      </c>
      <c r="C451" s="28" t="n">
        <v>20</v>
      </c>
      <c r="D451" s="6" t="n">
        <v>13</v>
      </c>
      <c r="E451" s="29" t="n">
        <v>0</v>
      </c>
      <c r="F451" s="6" t="n">
        <v>0</v>
      </c>
      <c r="G451" s="6" t="s">
        <v>6868</v>
      </c>
      <c r="H451" s="6"/>
    </row>
    <row r="452" customFormat="false" ht="15" hidden="false" customHeight="true" outlineLevel="0" collapsed="false">
      <c r="A452" s="6" t="s">
        <v>7934</v>
      </c>
      <c r="B452" s="6" t="s">
        <v>7998</v>
      </c>
      <c r="C452" s="28" t="n">
        <v>20</v>
      </c>
      <c r="D452" s="6" t="n">
        <v>18</v>
      </c>
      <c r="E452" s="29" t="n">
        <v>1.61</v>
      </c>
      <c r="F452" s="6" t="n">
        <v>1</v>
      </c>
      <c r="G452" s="6" t="s">
        <v>7927</v>
      </c>
      <c r="H452" s="6"/>
    </row>
    <row r="453" customFormat="false" ht="15" hidden="false" customHeight="true" outlineLevel="0" collapsed="false">
      <c r="A453" s="6" t="s">
        <v>2961</v>
      </c>
      <c r="B453" s="6" t="s">
        <v>7997</v>
      </c>
      <c r="C453" s="28" t="n">
        <v>20</v>
      </c>
      <c r="D453" s="6" t="n">
        <v>18</v>
      </c>
      <c r="E453" s="29" t="n">
        <v>0</v>
      </c>
      <c r="F453" s="6" t="n">
        <v>1</v>
      </c>
      <c r="G453" s="6" t="s">
        <v>6868</v>
      </c>
      <c r="H453" s="6"/>
    </row>
    <row r="454" customFormat="false" ht="15" hidden="false" customHeight="true" outlineLevel="0" collapsed="false">
      <c r="A454" s="6" t="s">
        <v>287</v>
      </c>
      <c r="B454" s="6" t="s">
        <v>7997</v>
      </c>
      <c r="C454" s="28" t="n">
        <v>20</v>
      </c>
      <c r="D454" s="6" t="n">
        <v>9</v>
      </c>
      <c r="E454" s="29" t="n">
        <v>1.11</v>
      </c>
      <c r="F454" s="6" t="n">
        <v>0.88</v>
      </c>
      <c r="G454" s="6" t="s">
        <v>6870</v>
      </c>
      <c r="H454" s="6"/>
    </row>
    <row r="455" customFormat="false" ht="15" hidden="false" customHeight="true" outlineLevel="0" collapsed="false">
      <c r="A455" s="6" t="s">
        <v>2995</v>
      </c>
      <c r="B455" s="6" t="s">
        <v>7998</v>
      </c>
      <c r="C455" s="28" t="n">
        <v>20</v>
      </c>
      <c r="D455" s="6" t="n">
        <v>16</v>
      </c>
      <c r="E455" s="29" t="n">
        <v>0</v>
      </c>
      <c r="F455" s="6" t="n">
        <v>0.99</v>
      </c>
      <c r="G455" s="6" t="s">
        <v>6867</v>
      </c>
      <c r="H455" s="6"/>
    </row>
    <row r="456" customFormat="false" ht="15" hidden="false" customHeight="true" outlineLevel="0" collapsed="false">
      <c r="A456" s="6" t="s">
        <v>2949</v>
      </c>
      <c r="B456" s="6" t="s">
        <v>7997</v>
      </c>
      <c r="C456" s="28" t="n">
        <v>20</v>
      </c>
      <c r="D456" s="6" t="n">
        <v>20</v>
      </c>
      <c r="E456" s="29" t="n">
        <v>0</v>
      </c>
      <c r="F456" s="6" t="n">
        <v>1</v>
      </c>
      <c r="G456" s="6" t="s">
        <v>6868</v>
      </c>
      <c r="H456" s="6"/>
    </row>
    <row r="457" customFormat="false" ht="15" hidden="false" customHeight="true" outlineLevel="0" collapsed="false">
      <c r="A457" s="6" t="s">
        <v>2972</v>
      </c>
      <c r="B457" s="6" t="s">
        <v>8002</v>
      </c>
      <c r="C457" s="28" t="n">
        <v>20</v>
      </c>
      <c r="D457" s="6" t="n">
        <v>16</v>
      </c>
      <c r="E457" s="29" t="n">
        <v>0</v>
      </c>
      <c r="F457" s="6" t="n">
        <v>1</v>
      </c>
      <c r="G457" s="6" t="s">
        <v>6867</v>
      </c>
      <c r="H457" s="6"/>
    </row>
    <row r="458" customFormat="false" ht="15" hidden="false" customHeight="true" outlineLevel="0" collapsed="false">
      <c r="A458" s="6" t="s">
        <v>2969</v>
      </c>
      <c r="B458" s="6" t="s">
        <v>7998</v>
      </c>
      <c r="C458" s="28" t="n">
        <v>20</v>
      </c>
      <c r="D458" s="6" t="n">
        <v>15</v>
      </c>
      <c r="E458" s="29" t="n">
        <v>0</v>
      </c>
      <c r="F458" s="6" t="n">
        <v>1</v>
      </c>
      <c r="G458" s="6" t="n">
        <v>9</v>
      </c>
      <c r="H458" s="6"/>
    </row>
    <row r="459" customFormat="false" ht="15" hidden="false" customHeight="true" outlineLevel="0" collapsed="false">
      <c r="A459" s="6" t="s">
        <v>6699</v>
      </c>
      <c r="B459" s="6" t="s">
        <v>7998</v>
      </c>
      <c r="C459" s="28" t="n">
        <v>20</v>
      </c>
      <c r="D459" s="6" t="n">
        <v>13</v>
      </c>
      <c r="E459" s="29" t="n">
        <v>0</v>
      </c>
      <c r="F459" s="6" t="n">
        <v>1</v>
      </c>
      <c r="G459" s="6" t="n">
        <v>2</v>
      </c>
      <c r="H459" s="6"/>
    </row>
    <row r="460" customFormat="false" ht="15" hidden="false" customHeight="true" outlineLevel="0" collapsed="false">
      <c r="A460" s="6" t="s">
        <v>3065</v>
      </c>
      <c r="B460" s="6" t="s">
        <v>7998</v>
      </c>
      <c r="C460" s="28" t="n">
        <v>20</v>
      </c>
      <c r="D460" s="6" t="n">
        <v>20</v>
      </c>
      <c r="E460" s="29" t="n">
        <v>0</v>
      </c>
      <c r="F460" s="6" t="n">
        <v>1</v>
      </c>
      <c r="G460" s="6" t="n">
        <v>4</v>
      </c>
      <c r="H460" s="6"/>
    </row>
    <row r="461" customFormat="false" ht="15" hidden="false" customHeight="true" outlineLevel="0" collapsed="false">
      <c r="A461" s="6" t="s">
        <v>3123</v>
      </c>
      <c r="B461" s="6" t="s">
        <v>7998</v>
      </c>
      <c r="C461" s="28" t="n">
        <v>20</v>
      </c>
      <c r="D461" s="6" t="n">
        <v>12</v>
      </c>
      <c r="E461" s="29" t="n">
        <v>0</v>
      </c>
      <c r="F461" s="6" t="n">
        <v>1</v>
      </c>
      <c r="G461" s="6" t="n">
        <v>4</v>
      </c>
      <c r="H461" s="6"/>
    </row>
    <row r="462" customFormat="false" ht="15" hidden="false" customHeight="true" outlineLevel="0" collapsed="false">
      <c r="A462" s="6" t="s">
        <v>288</v>
      </c>
      <c r="B462" s="6" t="s">
        <v>7998</v>
      </c>
      <c r="C462" s="28" t="n">
        <v>20</v>
      </c>
      <c r="D462" s="6" t="n">
        <v>19</v>
      </c>
      <c r="E462" s="29" t="n">
        <v>0</v>
      </c>
      <c r="F462" s="6" t="n">
        <v>0.69</v>
      </c>
      <c r="G462" s="6" t="s">
        <v>6870</v>
      </c>
      <c r="H462" s="6"/>
    </row>
    <row r="463" customFormat="false" ht="15" hidden="false" customHeight="true" outlineLevel="0" collapsed="false">
      <c r="A463" s="6" t="s">
        <v>3092</v>
      </c>
      <c r="B463" s="6" t="s">
        <v>8002</v>
      </c>
      <c r="C463" s="28" t="n">
        <v>20</v>
      </c>
      <c r="D463" s="6" t="n">
        <v>13</v>
      </c>
      <c r="E463" s="29" t="n">
        <v>0</v>
      </c>
      <c r="F463" s="6" t="n">
        <v>1</v>
      </c>
      <c r="G463" s="6" t="s">
        <v>6870</v>
      </c>
      <c r="H463" s="6"/>
    </row>
    <row r="464" customFormat="false" ht="15" hidden="false" customHeight="true" outlineLevel="0" collapsed="false">
      <c r="A464" s="6" t="s">
        <v>3090</v>
      </c>
      <c r="B464" s="6" t="s">
        <v>7997</v>
      </c>
      <c r="C464" s="28" t="n">
        <v>20</v>
      </c>
      <c r="D464" s="6" t="n">
        <v>14</v>
      </c>
      <c r="E464" s="29" t="n">
        <v>0.49</v>
      </c>
      <c r="F464" s="6" t="n">
        <v>1</v>
      </c>
      <c r="G464" s="6" t="n">
        <v>9</v>
      </c>
      <c r="H464" s="6"/>
    </row>
    <row r="465" customFormat="false" ht="15" hidden="false" customHeight="true" outlineLevel="0" collapsed="false">
      <c r="A465" s="6" t="s">
        <v>3133</v>
      </c>
      <c r="B465" s="6" t="s">
        <v>7997</v>
      </c>
      <c r="C465" s="28" t="n">
        <v>20</v>
      </c>
      <c r="D465" s="6" t="n">
        <v>16</v>
      </c>
      <c r="E465" s="29" t="n">
        <v>0</v>
      </c>
      <c r="F465" s="6" t="n">
        <v>1</v>
      </c>
      <c r="G465" s="6" t="n">
        <v>4</v>
      </c>
      <c r="H465" s="6"/>
    </row>
    <row r="466" customFormat="false" ht="15" hidden="false" customHeight="true" outlineLevel="0" collapsed="false">
      <c r="A466" s="6" t="s">
        <v>3143</v>
      </c>
      <c r="B466" s="6" t="s">
        <v>7997</v>
      </c>
      <c r="C466" s="28" t="n">
        <v>20</v>
      </c>
      <c r="D466" s="6" t="n">
        <v>11</v>
      </c>
      <c r="E466" s="29" t="n">
        <v>0</v>
      </c>
      <c r="F466" s="6" t="n">
        <v>1</v>
      </c>
      <c r="G466" s="6" t="n">
        <v>4</v>
      </c>
      <c r="H466" s="6"/>
    </row>
    <row r="467" customFormat="false" ht="15" hidden="false" customHeight="true" outlineLevel="0" collapsed="false">
      <c r="A467" s="6" t="s">
        <v>3153</v>
      </c>
      <c r="B467" s="6" t="s">
        <v>7997</v>
      </c>
      <c r="C467" s="28" t="n">
        <v>20</v>
      </c>
      <c r="D467" s="6" t="n">
        <v>14</v>
      </c>
      <c r="E467" s="29" t="n">
        <v>0.48</v>
      </c>
      <c r="F467" s="6" t="n">
        <v>1</v>
      </c>
      <c r="G467" s="6" t="n">
        <v>4</v>
      </c>
      <c r="H467" s="6"/>
    </row>
    <row r="468" customFormat="false" ht="15" hidden="false" customHeight="true" outlineLevel="0" collapsed="false">
      <c r="A468" s="6" t="s">
        <v>289</v>
      </c>
      <c r="B468" s="6" t="s">
        <v>7998</v>
      </c>
      <c r="C468" s="28" t="n">
        <v>20</v>
      </c>
      <c r="D468" s="6" t="n">
        <v>12</v>
      </c>
      <c r="E468" s="29" t="n">
        <v>0</v>
      </c>
      <c r="F468" s="6" t="n">
        <v>1</v>
      </c>
      <c r="G468" s="6" t="s">
        <v>6893</v>
      </c>
      <c r="H468" s="6"/>
    </row>
    <row r="469" customFormat="false" ht="15" hidden="false" customHeight="true" outlineLevel="0" collapsed="false">
      <c r="A469" s="6" t="s">
        <v>290</v>
      </c>
      <c r="B469" s="6" t="s">
        <v>8001</v>
      </c>
      <c r="C469" s="28" t="n">
        <v>20</v>
      </c>
      <c r="D469" s="6" t="n">
        <v>9</v>
      </c>
      <c r="E469" s="29" t="n">
        <v>0</v>
      </c>
      <c r="F469" s="6" t="n">
        <v>1</v>
      </c>
      <c r="G469" s="6" t="s">
        <v>6893</v>
      </c>
      <c r="H469" s="6"/>
    </row>
    <row r="470" customFormat="false" ht="15" hidden="false" customHeight="true" outlineLevel="0" collapsed="false">
      <c r="A470" s="6" t="s">
        <v>3113</v>
      </c>
      <c r="B470" s="6" t="s">
        <v>8000</v>
      </c>
      <c r="C470" s="28" t="n">
        <v>20</v>
      </c>
      <c r="D470" s="6" t="n">
        <v>13</v>
      </c>
      <c r="E470" s="29" t="n">
        <v>0</v>
      </c>
      <c r="F470" s="6" t="n">
        <v>1</v>
      </c>
      <c r="G470" s="6" t="n">
        <v>9</v>
      </c>
      <c r="H470" s="6"/>
    </row>
    <row r="471" customFormat="false" ht="15" hidden="false" customHeight="true" outlineLevel="0" collapsed="false">
      <c r="A471" s="6" t="s">
        <v>3163</v>
      </c>
      <c r="B471" s="6" t="s">
        <v>7997</v>
      </c>
      <c r="C471" s="28" t="n">
        <v>20</v>
      </c>
      <c r="D471" s="6" t="n">
        <v>12</v>
      </c>
      <c r="E471" s="29" t="n">
        <v>0</v>
      </c>
      <c r="F471" s="6" t="n">
        <v>1</v>
      </c>
      <c r="G471" s="6" t="n">
        <v>4</v>
      </c>
      <c r="H471" s="6"/>
    </row>
    <row r="472" customFormat="false" ht="15" hidden="false" customHeight="true" outlineLevel="0" collapsed="false">
      <c r="A472" s="6" t="s">
        <v>291</v>
      </c>
      <c r="B472" s="6" t="s">
        <v>7998</v>
      </c>
      <c r="C472" s="28" t="n">
        <v>20</v>
      </c>
      <c r="D472" s="6" t="n">
        <v>13</v>
      </c>
      <c r="E472" s="29" t="n">
        <v>0.24</v>
      </c>
      <c r="F472" s="6" t="n">
        <v>1</v>
      </c>
      <c r="G472" s="6" t="s">
        <v>6870</v>
      </c>
      <c r="H472" s="6"/>
    </row>
    <row r="473" customFormat="false" ht="15" hidden="false" customHeight="true" outlineLevel="0" collapsed="false">
      <c r="A473" s="6" t="s">
        <v>3234</v>
      </c>
      <c r="B473" s="6" t="s">
        <v>7999</v>
      </c>
      <c r="C473" s="28" t="n">
        <v>20</v>
      </c>
      <c r="D473" s="6" t="n">
        <v>11</v>
      </c>
      <c r="E473" s="29" t="n">
        <v>0</v>
      </c>
      <c r="F473" s="6" t="n">
        <v>1</v>
      </c>
      <c r="G473" s="6" t="n">
        <v>9</v>
      </c>
      <c r="H473" s="6"/>
    </row>
    <row r="474" customFormat="false" ht="15" hidden="false" customHeight="true" outlineLevel="0" collapsed="false">
      <c r="A474" s="6" t="s">
        <v>3186</v>
      </c>
      <c r="B474" s="6" t="s">
        <v>8002</v>
      </c>
      <c r="C474" s="28" t="n">
        <v>20</v>
      </c>
      <c r="D474" s="6" t="n">
        <v>12</v>
      </c>
      <c r="E474" s="29" t="n">
        <v>0.13</v>
      </c>
      <c r="F474" s="6" t="n">
        <v>1</v>
      </c>
      <c r="G474" s="6" t="s">
        <v>6870</v>
      </c>
      <c r="H474" s="6"/>
    </row>
    <row r="475" customFormat="false" ht="15" hidden="false" customHeight="true" outlineLevel="0" collapsed="false">
      <c r="A475" s="6" t="s">
        <v>3184</v>
      </c>
      <c r="B475" s="6" t="s">
        <v>8000</v>
      </c>
      <c r="C475" s="28" t="n">
        <v>20</v>
      </c>
      <c r="D475" s="6" t="n">
        <v>11</v>
      </c>
      <c r="E475" s="29" t="n">
        <v>0</v>
      </c>
      <c r="F475" s="6" t="n">
        <v>1</v>
      </c>
      <c r="G475" s="6" t="n">
        <v>9</v>
      </c>
      <c r="H475" s="6"/>
    </row>
    <row r="476" customFormat="false" ht="15" hidden="false" customHeight="true" outlineLevel="0" collapsed="false">
      <c r="A476" s="6" t="s">
        <v>3213</v>
      </c>
      <c r="B476" s="6" t="s">
        <v>7998</v>
      </c>
      <c r="C476" s="28" t="n">
        <v>20</v>
      </c>
      <c r="D476" s="6" t="n">
        <v>13</v>
      </c>
      <c r="E476" s="29" t="n">
        <v>0</v>
      </c>
      <c r="F476" s="6" t="n">
        <v>1</v>
      </c>
      <c r="G476" s="6" t="n">
        <v>4</v>
      </c>
      <c r="H476" s="6"/>
    </row>
    <row r="477" customFormat="false" ht="15" hidden="false" customHeight="true" outlineLevel="0" collapsed="false">
      <c r="A477" s="6" t="s">
        <v>3315</v>
      </c>
      <c r="B477" s="6" t="s">
        <v>7997</v>
      </c>
      <c r="C477" s="28" t="n">
        <v>20</v>
      </c>
      <c r="D477" s="6" t="n">
        <v>11</v>
      </c>
      <c r="E477" s="29" t="n">
        <v>0</v>
      </c>
      <c r="F477" s="6" t="n">
        <v>1</v>
      </c>
      <c r="G477" s="6" t="s">
        <v>6867</v>
      </c>
      <c r="H477" s="6"/>
    </row>
    <row r="478" customFormat="false" ht="15" hidden="false" customHeight="true" outlineLevel="0" collapsed="false">
      <c r="A478" s="6" t="s">
        <v>3324</v>
      </c>
      <c r="B478" s="6" t="s">
        <v>7998</v>
      </c>
      <c r="C478" s="28" t="n">
        <v>20</v>
      </c>
      <c r="D478" s="6" t="n">
        <v>12</v>
      </c>
      <c r="E478" s="29" t="n">
        <v>0.79</v>
      </c>
      <c r="F478" s="6" t="n">
        <v>0.89</v>
      </c>
      <c r="G478" s="6" t="s">
        <v>6867</v>
      </c>
      <c r="H478" s="6"/>
    </row>
    <row r="479" customFormat="false" ht="15" hidden="false" customHeight="true" outlineLevel="0" collapsed="false">
      <c r="A479" s="6" t="s">
        <v>292</v>
      </c>
      <c r="B479" s="6" t="s">
        <v>7998</v>
      </c>
      <c r="C479" s="28" t="n">
        <v>20</v>
      </c>
      <c r="D479" s="6" t="n">
        <v>12</v>
      </c>
      <c r="E479" s="29" t="n">
        <v>0</v>
      </c>
      <c r="F479" s="6" t="n">
        <v>0.71</v>
      </c>
      <c r="G479" s="6" t="s">
        <v>6893</v>
      </c>
      <c r="H479" s="6"/>
    </row>
    <row r="480" customFormat="false" ht="15" hidden="false" customHeight="true" outlineLevel="0" collapsed="false">
      <c r="A480" s="6" t="s">
        <v>7068</v>
      </c>
      <c r="B480" s="6" t="s">
        <v>8001</v>
      </c>
      <c r="C480" s="28" t="n">
        <v>20</v>
      </c>
      <c r="D480" s="6" t="n">
        <v>10</v>
      </c>
      <c r="E480" s="29" t="n">
        <v>0</v>
      </c>
      <c r="F480" s="6" t="n">
        <v>1</v>
      </c>
      <c r="G480" s="6" t="s">
        <v>6893</v>
      </c>
      <c r="H480" s="6"/>
    </row>
    <row r="481" customFormat="false" ht="15" hidden="false" customHeight="true" outlineLevel="0" collapsed="false">
      <c r="A481" s="6" t="s">
        <v>3275</v>
      </c>
      <c r="B481" s="6" t="s">
        <v>7998</v>
      </c>
      <c r="C481" s="28" t="n">
        <v>20</v>
      </c>
      <c r="D481" s="6" t="n">
        <v>12</v>
      </c>
      <c r="E481" s="29" t="n">
        <v>0</v>
      </c>
      <c r="F481" s="6" t="n">
        <v>1</v>
      </c>
      <c r="G481" s="6" t="s">
        <v>6867</v>
      </c>
      <c r="H481" s="6"/>
    </row>
    <row r="482" customFormat="false" ht="15" hidden="false" customHeight="true" outlineLevel="0" collapsed="false">
      <c r="A482" s="6" t="s">
        <v>3285</v>
      </c>
      <c r="B482" s="6" t="s">
        <v>7997</v>
      </c>
      <c r="C482" s="28" t="n">
        <v>20</v>
      </c>
      <c r="D482" s="6" t="n">
        <v>14</v>
      </c>
      <c r="E482" s="29" t="n">
        <v>0</v>
      </c>
      <c r="F482" s="6" t="n">
        <v>0</v>
      </c>
      <c r="G482" s="6" t="s">
        <v>6867</v>
      </c>
      <c r="H482" s="6"/>
    </row>
    <row r="483" customFormat="false" ht="15" hidden="false" customHeight="true" outlineLevel="0" collapsed="false">
      <c r="A483" s="6" t="s">
        <v>7106</v>
      </c>
      <c r="B483" s="6" t="s">
        <v>7998</v>
      </c>
      <c r="C483" s="28" t="n">
        <v>20</v>
      </c>
      <c r="D483" s="6" t="n">
        <v>16</v>
      </c>
      <c r="E483" s="29" t="n">
        <v>0</v>
      </c>
      <c r="F483" s="6" t="n">
        <v>0.83</v>
      </c>
      <c r="G483" s="6" t="s">
        <v>6870</v>
      </c>
      <c r="H483" s="6"/>
    </row>
    <row r="484" customFormat="false" ht="15" hidden="false" customHeight="true" outlineLevel="0" collapsed="false">
      <c r="A484" s="6" t="s">
        <v>3343</v>
      </c>
      <c r="B484" s="6" t="s">
        <v>8002</v>
      </c>
      <c r="C484" s="28" t="n">
        <v>20</v>
      </c>
      <c r="D484" s="6" t="n">
        <v>22</v>
      </c>
      <c r="E484" s="29" t="n">
        <v>0</v>
      </c>
      <c r="F484" s="6" t="n">
        <v>1</v>
      </c>
      <c r="G484" s="6" t="s">
        <v>6870</v>
      </c>
      <c r="H484" s="6"/>
    </row>
    <row r="485" customFormat="false" ht="15" hidden="false" customHeight="true" outlineLevel="0" collapsed="false">
      <c r="A485" s="6" t="s">
        <v>3341</v>
      </c>
      <c r="B485" s="6" t="s">
        <v>7998</v>
      </c>
      <c r="C485" s="28" t="n">
        <v>20</v>
      </c>
      <c r="D485" s="6" t="n">
        <v>18</v>
      </c>
      <c r="E485" s="29" t="n">
        <v>0.45</v>
      </c>
      <c r="F485" s="6" t="n">
        <v>1</v>
      </c>
      <c r="G485" s="6" t="n">
        <v>9</v>
      </c>
      <c r="H485" s="6"/>
    </row>
    <row r="486" customFormat="false" ht="15" hidden="false" customHeight="true" outlineLevel="0" collapsed="false">
      <c r="A486" s="6" t="s">
        <v>3421</v>
      </c>
      <c r="B486" s="6" t="s">
        <v>7998</v>
      </c>
      <c r="C486" s="28" t="n">
        <v>20</v>
      </c>
      <c r="D486" s="6" t="n">
        <v>19</v>
      </c>
      <c r="E486" s="29" t="n">
        <v>0</v>
      </c>
      <c r="F486" s="6" t="n">
        <v>1</v>
      </c>
      <c r="G486" s="6" t="s">
        <v>6868</v>
      </c>
      <c r="H486" s="6"/>
    </row>
    <row r="487" customFormat="false" ht="15" hidden="false" customHeight="true" outlineLevel="0" collapsed="false">
      <c r="A487" s="6" t="s">
        <v>3433</v>
      </c>
      <c r="B487" s="6" t="s">
        <v>7998</v>
      </c>
      <c r="C487" s="28" t="n">
        <v>20</v>
      </c>
      <c r="D487" s="6" t="n">
        <v>16</v>
      </c>
      <c r="E487" s="29" t="n">
        <v>0</v>
      </c>
      <c r="F487" s="6" t="n">
        <v>1</v>
      </c>
      <c r="G487" s="6" t="s">
        <v>6868</v>
      </c>
      <c r="H487" s="6"/>
    </row>
    <row r="488" customFormat="false" ht="15" hidden="false" customHeight="true" outlineLevel="0" collapsed="false">
      <c r="A488" s="6" t="s">
        <v>3440</v>
      </c>
      <c r="B488" s="6" t="s">
        <v>7998</v>
      </c>
      <c r="C488" s="28" t="n">
        <v>20</v>
      </c>
      <c r="D488" s="6" t="n">
        <v>16</v>
      </c>
      <c r="E488" s="29" t="n">
        <v>0</v>
      </c>
      <c r="F488" s="6" t="n">
        <v>0.9</v>
      </c>
      <c r="G488" s="6" t="n">
        <v>4</v>
      </c>
      <c r="H488" s="6"/>
    </row>
    <row r="489" customFormat="false" ht="15" hidden="false" customHeight="true" outlineLevel="0" collapsed="false">
      <c r="A489" s="6" t="s">
        <v>3454</v>
      </c>
      <c r="B489" s="6" t="s">
        <v>7997</v>
      </c>
      <c r="C489" s="28" t="n">
        <v>20</v>
      </c>
      <c r="D489" s="6" t="n">
        <v>7</v>
      </c>
      <c r="E489" s="29" t="n">
        <v>0</v>
      </c>
      <c r="F489" s="6" t="n">
        <v>1</v>
      </c>
      <c r="G489" s="6" t="s">
        <v>6867</v>
      </c>
      <c r="H489" s="6"/>
    </row>
    <row r="490" customFormat="false" ht="15" hidden="false" customHeight="true" outlineLevel="0" collapsed="false">
      <c r="A490" s="6" t="s">
        <v>7137</v>
      </c>
      <c r="B490" s="6" t="s">
        <v>8001</v>
      </c>
      <c r="C490" s="28" t="n">
        <v>20</v>
      </c>
      <c r="D490" s="6" t="n">
        <v>13</v>
      </c>
      <c r="E490" s="29" t="n">
        <v>0</v>
      </c>
      <c r="F490" s="6" t="n">
        <v>1</v>
      </c>
      <c r="G490" s="6" t="s">
        <v>6870</v>
      </c>
      <c r="H490" s="6"/>
    </row>
    <row r="491" customFormat="false" ht="15" hidden="false" customHeight="true" outlineLevel="0" collapsed="false">
      <c r="A491" s="6" t="s">
        <v>3451</v>
      </c>
      <c r="B491" s="6" t="s">
        <v>8000</v>
      </c>
      <c r="C491" s="28" t="n">
        <v>20</v>
      </c>
      <c r="D491" s="6" t="n">
        <v>13</v>
      </c>
      <c r="E491" s="29" t="n">
        <v>0</v>
      </c>
      <c r="F491" s="6" t="n">
        <v>1</v>
      </c>
      <c r="G491" s="6" t="n">
        <v>9</v>
      </c>
      <c r="H491" s="6"/>
    </row>
    <row r="492" customFormat="false" ht="15" hidden="false" customHeight="true" outlineLevel="0" collapsed="false">
      <c r="A492" s="6" t="s">
        <v>6557</v>
      </c>
      <c r="B492" s="6" t="s">
        <v>7998</v>
      </c>
      <c r="C492" s="28" t="n">
        <v>20</v>
      </c>
      <c r="D492" s="6" t="n">
        <v>21</v>
      </c>
      <c r="E492" s="29" t="n">
        <v>0</v>
      </c>
      <c r="F492" s="6" t="n">
        <v>1</v>
      </c>
      <c r="G492" s="6" t="n">
        <v>1</v>
      </c>
      <c r="H492" s="6"/>
    </row>
    <row r="493" customFormat="false" ht="15" hidden="false" customHeight="true" outlineLevel="0" collapsed="false">
      <c r="A493" s="6" t="s">
        <v>3508</v>
      </c>
      <c r="B493" s="6" t="s">
        <v>7998</v>
      </c>
      <c r="C493" s="28" t="n">
        <v>20</v>
      </c>
      <c r="D493" s="6" t="n">
        <v>18</v>
      </c>
      <c r="E493" s="29" t="n">
        <v>0</v>
      </c>
      <c r="F493" s="6" t="n">
        <v>1</v>
      </c>
      <c r="G493" s="6" t="s">
        <v>6867</v>
      </c>
      <c r="H493" s="6"/>
    </row>
    <row r="494" customFormat="false" ht="15" hidden="false" customHeight="true" outlineLevel="0" collapsed="false">
      <c r="A494" s="6" t="s">
        <v>7140</v>
      </c>
      <c r="B494" s="6" t="s">
        <v>7998</v>
      </c>
      <c r="C494" s="28" t="n">
        <v>20</v>
      </c>
      <c r="D494" s="6" t="n">
        <v>19</v>
      </c>
      <c r="E494" s="29" t="n">
        <v>0</v>
      </c>
      <c r="F494" s="6" t="n">
        <v>0.43</v>
      </c>
      <c r="G494" s="6" t="s">
        <v>6870</v>
      </c>
      <c r="H494" s="6"/>
    </row>
    <row r="495" customFormat="false" ht="15" hidden="false" customHeight="true" outlineLevel="0" collapsed="false">
      <c r="A495" s="6" t="s">
        <v>7143</v>
      </c>
      <c r="B495" s="6" t="s">
        <v>8001</v>
      </c>
      <c r="C495" s="28" t="n">
        <v>20</v>
      </c>
      <c r="D495" s="6" t="n">
        <v>10</v>
      </c>
      <c r="E495" s="29" t="n">
        <v>0</v>
      </c>
      <c r="F495" s="6" t="n">
        <v>0.65</v>
      </c>
      <c r="G495" s="6" t="s">
        <v>6870</v>
      </c>
      <c r="H495" s="6"/>
    </row>
    <row r="496" customFormat="false" ht="15" hidden="false" customHeight="true" outlineLevel="0" collapsed="false">
      <c r="A496" s="6" t="s">
        <v>3494</v>
      </c>
      <c r="B496" s="6" t="s">
        <v>7997</v>
      </c>
      <c r="C496" s="28" t="n">
        <v>20</v>
      </c>
      <c r="D496" s="6" t="n">
        <v>9</v>
      </c>
      <c r="E496" s="29" t="n">
        <v>0.38</v>
      </c>
      <c r="F496" s="6" t="n">
        <v>1</v>
      </c>
      <c r="G496" s="6" t="n">
        <v>4</v>
      </c>
      <c r="H496" s="6"/>
    </row>
    <row r="497" customFormat="false" ht="15" hidden="false" customHeight="true" outlineLevel="0" collapsed="false">
      <c r="A497" s="6" t="s">
        <v>3518</v>
      </c>
      <c r="B497" s="6" t="s">
        <v>7998</v>
      </c>
      <c r="C497" s="28" t="n">
        <v>20</v>
      </c>
      <c r="D497" s="6" t="n">
        <v>12</v>
      </c>
      <c r="E497" s="29" t="n">
        <v>0</v>
      </c>
      <c r="F497" s="6" t="n">
        <v>0.33</v>
      </c>
      <c r="G497" s="6" t="n">
        <v>9</v>
      </c>
      <c r="H497" s="6"/>
    </row>
    <row r="498" customFormat="false" ht="15" hidden="false" customHeight="true" outlineLevel="0" collapsed="false">
      <c r="A498" s="6" t="s">
        <v>3531</v>
      </c>
      <c r="B498" s="6" t="s">
        <v>7997</v>
      </c>
      <c r="C498" s="28" t="n">
        <v>20</v>
      </c>
      <c r="D498" s="6" t="n">
        <v>10</v>
      </c>
      <c r="E498" s="29" t="n">
        <v>0</v>
      </c>
      <c r="F498" s="6" t="n">
        <v>0.6</v>
      </c>
      <c r="G498" s="6" t="s">
        <v>6867</v>
      </c>
      <c r="H498" s="6"/>
    </row>
    <row r="499" customFormat="false" ht="15" hidden="false" customHeight="true" outlineLevel="0" collapsed="false">
      <c r="A499" s="6" t="s">
        <v>7157</v>
      </c>
      <c r="B499" s="6" t="s">
        <v>8001</v>
      </c>
      <c r="C499" s="28" t="n">
        <v>20</v>
      </c>
      <c r="D499" s="6" t="n">
        <v>16</v>
      </c>
      <c r="E499" s="29" t="n">
        <v>0</v>
      </c>
      <c r="F499" s="6" t="n">
        <v>0.95</v>
      </c>
      <c r="G499" s="6" t="s">
        <v>6870</v>
      </c>
      <c r="H499" s="6"/>
    </row>
    <row r="500" customFormat="false" ht="15" hidden="false" customHeight="true" outlineLevel="0" collapsed="false">
      <c r="A500" s="6" t="s">
        <v>2265</v>
      </c>
      <c r="B500" s="6" t="s">
        <v>8004</v>
      </c>
      <c r="C500" s="28" t="n">
        <v>20</v>
      </c>
      <c r="D500" s="6" t="n">
        <v>9</v>
      </c>
      <c r="E500" s="29" t="n">
        <v>0</v>
      </c>
      <c r="F500" s="6" t="n">
        <v>0</v>
      </c>
      <c r="G500" s="6" t="n">
        <v>4</v>
      </c>
      <c r="H500" s="6"/>
    </row>
    <row r="501" customFormat="false" ht="15" hidden="false" customHeight="true" outlineLevel="0" collapsed="false">
      <c r="A501" s="6" t="s">
        <v>309</v>
      </c>
      <c r="B501" s="6" t="s">
        <v>7997</v>
      </c>
      <c r="C501" s="28" t="n">
        <v>20</v>
      </c>
      <c r="D501" s="6" t="n">
        <v>14</v>
      </c>
      <c r="E501" s="29" t="n">
        <v>0</v>
      </c>
      <c r="F501" s="6" t="n">
        <v>1</v>
      </c>
      <c r="G501" s="6" t="n">
        <v>3</v>
      </c>
      <c r="H501" s="6"/>
    </row>
    <row r="502" customFormat="false" ht="15" hidden="false" customHeight="true" outlineLevel="0" collapsed="false">
      <c r="A502" s="6" t="s">
        <v>6718</v>
      </c>
      <c r="B502" s="6" t="s">
        <v>8004</v>
      </c>
      <c r="C502" s="28" t="n">
        <v>20</v>
      </c>
      <c r="D502" s="6" t="n">
        <v>14</v>
      </c>
      <c r="E502" s="29" t="n">
        <v>0</v>
      </c>
      <c r="F502" s="6" t="n">
        <v>0</v>
      </c>
      <c r="G502" s="6" t="n">
        <v>2</v>
      </c>
      <c r="H502" s="6"/>
    </row>
    <row r="503" customFormat="false" ht="15" hidden="false" customHeight="true" outlineLevel="0" collapsed="false">
      <c r="A503" s="6" t="s">
        <v>310</v>
      </c>
      <c r="B503" s="6" t="s">
        <v>7997</v>
      </c>
      <c r="C503" s="28" t="n">
        <v>20</v>
      </c>
      <c r="D503" s="6" t="n">
        <v>9</v>
      </c>
      <c r="E503" s="29" t="n">
        <v>0</v>
      </c>
      <c r="F503" s="6" t="n">
        <v>1</v>
      </c>
      <c r="G503" s="6" t="n">
        <v>3</v>
      </c>
      <c r="H503" s="6"/>
    </row>
    <row r="504" customFormat="false" ht="15" hidden="false" customHeight="true" outlineLevel="0" collapsed="false">
      <c r="A504" s="6" t="s">
        <v>2211</v>
      </c>
      <c r="B504" s="6" t="s">
        <v>7997</v>
      </c>
      <c r="C504" s="28" t="n">
        <v>20</v>
      </c>
      <c r="D504" s="6" t="n">
        <v>9</v>
      </c>
      <c r="E504" s="29" t="n">
        <v>0</v>
      </c>
      <c r="F504" s="6" t="n">
        <v>0.79</v>
      </c>
      <c r="G504" s="6" t="n">
        <v>5</v>
      </c>
      <c r="H504" s="6"/>
    </row>
    <row r="505" customFormat="false" ht="15" hidden="false" customHeight="true" outlineLevel="0" collapsed="false">
      <c r="A505" s="6" t="s">
        <v>6722</v>
      </c>
      <c r="B505" s="6" t="s">
        <v>7997</v>
      </c>
      <c r="C505" s="28" t="n">
        <v>20</v>
      </c>
      <c r="D505" s="6" t="n">
        <v>20</v>
      </c>
      <c r="E505" s="29" t="n">
        <v>0</v>
      </c>
      <c r="F505" s="6" t="n">
        <v>1</v>
      </c>
      <c r="G505" s="6" t="n">
        <v>2</v>
      </c>
      <c r="H505" s="6"/>
    </row>
    <row r="506" customFormat="false" ht="15" hidden="false" customHeight="true" outlineLevel="0" collapsed="false">
      <c r="A506" s="6" t="s">
        <v>2151</v>
      </c>
      <c r="B506" s="6" t="s">
        <v>7997</v>
      </c>
      <c r="C506" s="28" t="n">
        <v>20</v>
      </c>
      <c r="D506" s="6" t="n">
        <v>16</v>
      </c>
      <c r="E506" s="29" t="n">
        <v>0</v>
      </c>
      <c r="F506" s="6" t="n">
        <v>0.86</v>
      </c>
      <c r="G506" s="6" t="n">
        <v>5</v>
      </c>
      <c r="H506" s="6"/>
    </row>
    <row r="507" customFormat="false" ht="15" hidden="false" customHeight="true" outlineLevel="0" collapsed="false">
      <c r="A507" s="6" t="s">
        <v>306</v>
      </c>
      <c r="B507" s="6" t="s">
        <v>8000</v>
      </c>
      <c r="C507" s="28" t="n">
        <v>20</v>
      </c>
      <c r="D507" s="6" t="n">
        <v>12</v>
      </c>
      <c r="E507" s="29" t="n">
        <v>0</v>
      </c>
      <c r="F507" s="6" t="n">
        <v>1</v>
      </c>
      <c r="G507" s="6" t="n">
        <v>1</v>
      </c>
      <c r="H507" s="6"/>
    </row>
    <row r="508" customFormat="false" ht="15" hidden="false" customHeight="true" outlineLevel="0" collapsed="false">
      <c r="A508" s="6" t="s">
        <v>2285</v>
      </c>
      <c r="B508" s="6" t="s">
        <v>7997</v>
      </c>
      <c r="C508" s="28" t="n">
        <v>20</v>
      </c>
      <c r="D508" s="6" t="n">
        <v>14</v>
      </c>
      <c r="E508" s="29" t="n">
        <v>0</v>
      </c>
      <c r="F508" s="6" t="n">
        <v>0.33</v>
      </c>
      <c r="G508" s="6" t="n">
        <v>5</v>
      </c>
      <c r="H508" s="6"/>
    </row>
    <row r="509" customFormat="false" ht="15" hidden="false" customHeight="true" outlineLevel="0" collapsed="false">
      <c r="A509" s="6" t="s">
        <v>3539</v>
      </c>
      <c r="B509" s="6" t="s">
        <v>7998</v>
      </c>
      <c r="C509" s="28" t="n">
        <v>20</v>
      </c>
      <c r="D509" s="6" t="n">
        <v>15</v>
      </c>
      <c r="E509" s="29" t="n">
        <v>0</v>
      </c>
      <c r="F509" s="6" t="n">
        <v>1</v>
      </c>
      <c r="G509" s="6" t="n">
        <v>5</v>
      </c>
      <c r="H509" s="6"/>
    </row>
    <row r="510" customFormat="false" ht="15" hidden="false" customHeight="true" outlineLevel="0" collapsed="false">
      <c r="A510" s="6" t="s">
        <v>3586</v>
      </c>
      <c r="B510" s="6" t="s">
        <v>7997</v>
      </c>
      <c r="C510" s="28" t="n">
        <v>20</v>
      </c>
      <c r="D510" s="6" t="n">
        <v>10</v>
      </c>
      <c r="E510" s="29" t="n">
        <v>0</v>
      </c>
      <c r="F510" s="6" t="n">
        <v>1</v>
      </c>
      <c r="G510" s="6" t="s">
        <v>6867</v>
      </c>
      <c r="H510" s="6"/>
    </row>
    <row r="511" customFormat="false" ht="15" hidden="false" customHeight="true" outlineLevel="0" collapsed="false">
      <c r="A511" s="6" t="s">
        <v>7228</v>
      </c>
      <c r="B511" s="6" t="s">
        <v>7998</v>
      </c>
      <c r="C511" s="28" t="n">
        <v>20</v>
      </c>
      <c r="D511" s="6" t="n">
        <v>9</v>
      </c>
      <c r="E511" s="29" t="n">
        <v>0</v>
      </c>
      <c r="F511" s="6" t="n">
        <v>0.92</v>
      </c>
      <c r="G511" s="6" t="s">
        <v>6893</v>
      </c>
      <c r="H511" s="6"/>
    </row>
    <row r="512" customFormat="false" ht="15" hidden="false" customHeight="true" outlineLevel="0" collapsed="false">
      <c r="A512" s="6" t="s">
        <v>7230</v>
      </c>
      <c r="B512" s="6" t="s">
        <v>8001</v>
      </c>
      <c r="C512" s="28" t="n">
        <v>20</v>
      </c>
      <c r="D512" s="6" t="n">
        <v>14</v>
      </c>
      <c r="E512" s="29" t="n">
        <v>0</v>
      </c>
      <c r="F512" s="6" t="n">
        <v>1</v>
      </c>
      <c r="G512" s="6" t="s">
        <v>6893</v>
      </c>
      <c r="H512" s="6"/>
    </row>
    <row r="513" customFormat="false" ht="15" hidden="false" customHeight="true" outlineLevel="0" collapsed="false">
      <c r="A513" s="6" t="s">
        <v>3621</v>
      </c>
      <c r="B513" s="6" t="s">
        <v>7998</v>
      </c>
      <c r="C513" s="28" t="n">
        <v>20</v>
      </c>
      <c r="D513" s="6" t="n">
        <v>13</v>
      </c>
      <c r="E513" s="29" t="n">
        <v>0</v>
      </c>
      <c r="F513" s="6" t="n">
        <v>1</v>
      </c>
      <c r="G513" s="6" t="s">
        <v>6867</v>
      </c>
      <c r="H513" s="6"/>
    </row>
    <row r="514" customFormat="false" ht="15" hidden="false" customHeight="true" outlineLevel="0" collapsed="false">
      <c r="A514" s="6" t="s">
        <v>3711</v>
      </c>
      <c r="B514" s="6" t="s">
        <v>7998</v>
      </c>
      <c r="C514" s="28" t="n">
        <v>20</v>
      </c>
      <c r="D514" s="6" t="n">
        <v>13</v>
      </c>
      <c r="E514" s="29" t="n">
        <v>0</v>
      </c>
      <c r="F514" s="6" t="n">
        <v>1</v>
      </c>
      <c r="G514" s="6" t="n">
        <v>5</v>
      </c>
      <c r="H514" s="6"/>
    </row>
    <row r="515" customFormat="false" ht="15" hidden="false" customHeight="true" outlineLevel="0" collapsed="false">
      <c r="A515" s="6" t="s">
        <v>6572</v>
      </c>
      <c r="B515" s="6" t="s">
        <v>7998</v>
      </c>
      <c r="C515" s="28" t="n">
        <v>20</v>
      </c>
      <c r="D515" s="6" t="n">
        <v>16</v>
      </c>
      <c r="E515" s="29" t="n">
        <v>0.31</v>
      </c>
      <c r="F515" s="6" t="n">
        <v>1</v>
      </c>
      <c r="G515" s="6" t="n">
        <v>1</v>
      </c>
      <c r="H515" s="6"/>
    </row>
    <row r="516" customFormat="false" ht="15" hidden="false" customHeight="true" outlineLevel="0" collapsed="false">
      <c r="A516" s="6" t="s">
        <v>3632</v>
      </c>
      <c r="B516" s="6" t="s">
        <v>7997</v>
      </c>
      <c r="C516" s="28" t="n">
        <v>20</v>
      </c>
      <c r="D516" s="6" t="n">
        <v>19</v>
      </c>
      <c r="E516" s="29" t="n">
        <v>0.45</v>
      </c>
      <c r="F516" s="6" t="n">
        <v>1</v>
      </c>
      <c r="G516" s="6" t="n">
        <v>5</v>
      </c>
      <c r="H516" s="6"/>
    </row>
    <row r="517" customFormat="false" ht="15" hidden="false" customHeight="true" outlineLevel="0" collapsed="false">
      <c r="A517" s="6" t="s">
        <v>3661</v>
      </c>
      <c r="B517" s="6" t="s">
        <v>7998</v>
      </c>
      <c r="C517" s="28" t="n">
        <v>20</v>
      </c>
      <c r="D517" s="6" t="n">
        <v>14</v>
      </c>
      <c r="E517" s="29" t="n">
        <v>0</v>
      </c>
      <c r="F517" s="6" t="n">
        <v>1</v>
      </c>
      <c r="G517" s="6" t="s">
        <v>6868</v>
      </c>
      <c r="H517" s="6"/>
    </row>
    <row r="518" customFormat="false" ht="15" hidden="false" customHeight="true" outlineLevel="0" collapsed="false">
      <c r="A518" s="6" t="s">
        <v>3643</v>
      </c>
      <c r="B518" s="6" t="s">
        <v>7998</v>
      </c>
      <c r="C518" s="28" t="n">
        <v>20</v>
      </c>
      <c r="D518" s="6" t="n">
        <v>14</v>
      </c>
      <c r="E518" s="29" t="n">
        <v>0</v>
      </c>
      <c r="F518" s="6" t="n">
        <v>1</v>
      </c>
      <c r="G518" s="6" t="s">
        <v>6867</v>
      </c>
      <c r="H518" s="6"/>
    </row>
    <row r="519" customFormat="false" ht="15" hidden="false" customHeight="true" outlineLevel="0" collapsed="false">
      <c r="A519" s="6" t="s">
        <v>3868</v>
      </c>
      <c r="B519" s="6" t="s">
        <v>7998</v>
      </c>
      <c r="C519" s="28" t="n">
        <v>20</v>
      </c>
      <c r="D519" s="6" t="n">
        <v>18</v>
      </c>
      <c r="E519" s="29" t="n">
        <v>0</v>
      </c>
      <c r="F519" s="6" t="n">
        <v>1</v>
      </c>
      <c r="G519" s="6" t="s">
        <v>6868</v>
      </c>
      <c r="H519" s="6"/>
    </row>
    <row r="520" customFormat="false" ht="15" hidden="false" customHeight="true" outlineLevel="0" collapsed="false">
      <c r="A520" s="6" t="s">
        <v>3865</v>
      </c>
      <c r="B520" s="6" t="s">
        <v>7998</v>
      </c>
      <c r="C520" s="28" t="n">
        <v>20</v>
      </c>
      <c r="D520" s="6" t="n">
        <v>16</v>
      </c>
      <c r="E520" s="29" t="n">
        <v>0</v>
      </c>
      <c r="F520" s="6" t="n">
        <v>0</v>
      </c>
      <c r="G520" s="6" t="s">
        <v>6868</v>
      </c>
      <c r="H520" s="6"/>
    </row>
    <row r="521" customFormat="false" ht="15" hidden="false" customHeight="true" outlineLevel="0" collapsed="false">
      <c r="A521" s="6" t="s">
        <v>3876</v>
      </c>
      <c r="B521" s="6" t="s">
        <v>8000</v>
      </c>
      <c r="C521" s="28" t="n">
        <v>20</v>
      </c>
      <c r="D521" s="6" t="n">
        <v>17</v>
      </c>
      <c r="E521" s="29" t="n">
        <v>0</v>
      </c>
      <c r="F521" s="6" t="n">
        <v>0.67</v>
      </c>
      <c r="G521" s="6" t="n">
        <v>5</v>
      </c>
      <c r="H521" s="6"/>
    </row>
    <row r="522" customFormat="false" ht="15" hidden="false" customHeight="true" outlineLevel="0" collapsed="false">
      <c r="A522" s="6" t="s">
        <v>3887</v>
      </c>
      <c r="B522" s="6" t="s">
        <v>7998</v>
      </c>
      <c r="C522" s="28" t="n">
        <v>20</v>
      </c>
      <c r="D522" s="6" t="n">
        <v>17</v>
      </c>
      <c r="E522" s="29" t="n">
        <v>0</v>
      </c>
      <c r="F522" s="6" t="n">
        <v>1</v>
      </c>
      <c r="G522" s="6" t="n">
        <v>5</v>
      </c>
      <c r="H522" s="6"/>
    </row>
    <row r="523" customFormat="false" ht="15" hidden="false" customHeight="true" outlineLevel="0" collapsed="false">
      <c r="A523" s="6" t="s">
        <v>3738</v>
      </c>
      <c r="B523" s="6" t="s">
        <v>7998</v>
      </c>
      <c r="C523" s="28" t="n">
        <v>20</v>
      </c>
      <c r="D523" s="6" t="n">
        <v>16</v>
      </c>
      <c r="E523" s="29" t="n">
        <v>0</v>
      </c>
      <c r="F523" s="6" t="n">
        <v>1</v>
      </c>
      <c r="G523" s="6" t="n">
        <v>5</v>
      </c>
      <c r="H523" s="6"/>
    </row>
    <row r="524" customFormat="false" ht="15" hidden="false" customHeight="true" outlineLevel="0" collapsed="false">
      <c r="A524" s="6" t="s">
        <v>3751</v>
      </c>
      <c r="B524" s="6" t="s">
        <v>8000</v>
      </c>
      <c r="C524" s="28" t="n">
        <v>20</v>
      </c>
      <c r="D524" s="6" t="n">
        <v>22</v>
      </c>
      <c r="E524" s="29" t="n">
        <v>0</v>
      </c>
      <c r="F524" s="6" t="n">
        <v>1</v>
      </c>
      <c r="G524" s="6" t="n">
        <v>5</v>
      </c>
      <c r="H524" s="6"/>
    </row>
    <row r="525" customFormat="false" ht="15" hidden="false" customHeight="true" outlineLevel="0" collapsed="false">
      <c r="A525" s="6" t="s">
        <v>3763</v>
      </c>
      <c r="B525" s="6" t="s">
        <v>7997</v>
      </c>
      <c r="C525" s="28" t="n">
        <v>20</v>
      </c>
      <c r="D525" s="6" t="n">
        <v>16</v>
      </c>
      <c r="E525" s="29" t="n">
        <v>0</v>
      </c>
      <c r="F525" s="6" t="n">
        <v>1</v>
      </c>
      <c r="G525" s="6" t="n">
        <v>5</v>
      </c>
      <c r="H525" s="6"/>
    </row>
    <row r="526" customFormat="false" ht="15" hidden="false" customHeight="true" outlineLevel="0" collapsed="false">
      <c r="A526" s="6" t="s">
        <v>3774</v>
      </c>
      <c r="B526" s="6" t="s">
        <v>7998</v>
      </c>
      <c r="C526" s="28" t="n">
        <v>20</v>
      </c>
      <c r="D526" s="6" t="n">
        <v>9</v>
      </c>
      <c r="E526" s="29" t="n">
        <v>0</v>
      </c>
      <c r="F526" s="6" t="n">
        <v>1</v>
      </c>
      <c r="G526" s="6" t="n">
        <v>5</v>
      </c>
      <c r="H526" s="6"/>
    </row>
    <row r="527" customFormat="false" ht="15" hidden="false" customHeight="true" outlineLevel="0" collapsed="false">
      <c r="A527" s="6" t="s">
        <v>3785</v>
      </c>
      <c r="B527" s="6" t="s">
        <v>8000</v>
      </c>
      <c r="C527" s="28" t="n">
        <v>20</v>
      </c>
      <c r="D527" s="6" t="n">
        <v>22</v>
      </c>
      <c r="E527" s="29" t="n">
        <v>0</v>
      </c>
      <c r="F527" s="6" t="n">
        <v>1</v>
      </c>
      <c r="G527" s="6" t="n">
        <v>5</v>
      </c>
      <c r="H527" s="6"/>
    </row>
    <row r="528" customFormat="false" ht="15" hidden="false" customHeight="true" outlineLevel="0" collapsed="false">
      <c r="A528" s="6" t="s">
        <v>3797</v>
      </c>
      <c r="B528" s="6" t="s">
        <v>7998</v>
      </c>
      <c r="C528" s="28" t="n">
        <v>20</v>
      </c>
      <c r="D528" s="6" t="n">
        <v>16</v>
      </c>
      <c r="E528" s="29" t="n">
        <v>0</v>
      </c>
      <c r="F528" s="6" t="n">
        <v>0.99</v>
      </c>
      <c r="G528" s="6" t="n">
        <v>5</v>
      </c>
      <c r="H528" s="6"/>
    </row>
    <row r="529" customFormat="false" ht="15" hidden="false" customHeight="true" outlineLevel="0" collapsed="false">
      <c r="A529" s="6" t="s">
        <v>3808</v>
      </c>
      <c r="B529" s="6" t="s">
        <v>7998</v>
      </c>
      <c r="C529" s="28" t="n">
        <v>20</v>
      </c>
      <c r="D529" s="6" t="n">
        <v>14</v>
      </c>
      <c r="E529" s="29" t="n">
        <v>0</v>
      </c>
      <c r="F529" s="6" t="n">
        <v>0</v>
      </c>
      <c r="G529" s="6" t="n">
        <v>5</v>
      </c>
      <c r="H529" s="6"/>
    </row>
    <row r="530" customFormat="false" ht="15" hidden="false" customHeight="true" outlineLevel="0" collapsed="false">
      <c r="A530" s="6" t="s">
        <v>3819</v>
      </c>
      <c r="B530" s="6" t="s">
        <v>8000</v>
      </c>
      <c r="C530" s="28" t="n">
        <v>20</v>
      </c>
      <c r="D530" s="6" t="n">
        <v>14</v>
      </c>
      <c r="E530" s="29" t="n">
        <v>0</v>
      </c>
      <c r="F530" s="6" t="n">
        <v>0.83</v>
      </c>
      <c r="G530" s="6" t="n">
        <v>5</v>
      </c>
      <c r="H530" s="6"/>
    </row>
    <row r="531" customFormat="false" ht="15" hidden="false" customHeight="true" outlineLevel="0" collapsed="false">
      <c r="A531" s="6" t="s">
        <v>3830</v>
      </c>
      <c r="B531" s="6" t="s">
        <v>7998</v>
      </c>
      <c r="C531" s="28" t="n">
        <v>20</v>
      </c>
      <c r="D531" s="6" t="n">
        <v>18</v>
      </c>
      <c r="E531" s="29" t="n">
        <v>0</v>
      </c>
      <c r="F531" s="6" t="n">
        <v>1</v>
      </c>
      <c r="G531" s="6" t="n">
        <v>5</v>
      </c>
      <c r="H531" s="6"/>
    </row>
    <row r="532" customFormat="false" ht="15" hidden="false" customHeight="true" outlineLevel="0" collapsed="false">
      <c r="A532" s="6" t="s">
        <v>3841</v>
      </c>
      <c r="B532" s="6" t="s">
        <v>8000</v>
      </c>
      <c r="C532" s="28" t="n">
        <v>20</v>
      </c>
      <c r="D532" s="6" t="n">
        <v>13</v>
      </c>
      <c r="E532" s="29" t="n">
        <v>0</v>
      </c>
      <c r="F532" s="6" t="n">
        <v>1</v>
      </c>
      <c r="G532" s="6" t="n">
        <v>5</v>
      </c>
      <c r="H532" s="6"/>
    </row>
    <row r="533" customFormat="false" ht="15" hidden="false" customHeight="true" outlineLevel="0" collapsed="false">
      <c r="A533" s="6" t="s">
        <v>3901</v>
      </c>
      <c r="B533" s="6" t="s">
        <v>7998</v>
      </c>
      <c r="C533" s="28" t="n">
        <v>20</v>
      </c>
      <c r="D533" s="6" t="n">
        <v>18</v>
      </c>
      <c r="E533" s="29" t="n">
        <v>0.46</v>
      </c>
      <c r="F533" s="6" t="n">
        <v>1</v>
      </c>
      <c r="G533" s="6" t="s">
        <v>6867</v>
      </c>
      <c r="H533" s="6"/>
    </row>
    <row r="534" customFormat="false" ht="15" hidden="false" customHeight="true" outlineLevel="0" collapsed="false">
      <c r="A534" s="6" t="s">
        <v>7342</v>
      </c>
      <c r="B534" s="6" t="s">
        <v>7998</v>
      </c>
      <c r="C534" s="28" t="n">
        <v>20</v>
      </c>
      <c r="D534" s="6" t="n">
        <v>9</v>
      </c>
      <c r="E534" s="29" t="n">
        <v>0</v>
      </c>
      <c r="F534" s="6" t="n">
        <v>1</v>
      </c>
      <c r="G534" s="6" t="s">
        <v>6870</v>
      </c>
      <c r="H534" s="6"/>
    </row>
    <row r="535" customFormat="false" ht="15" hidden="false" customHeight="true" outlineLevel="0" collapsed="false">
      <c r="A535" s="6" t="s">
        <v>7344</v>
      </c>
      <c r="B535" s="6" t="s">
        <v>8001</v>
      </c>
      <c r="C535" s="28" t="n">
        <v>20</v>
      </c>
      <c r="D535" s="6" t="n">
        <v>15</v>
      </c>
      <c r="E535" s="29" t="n">
        <v>0</v>
      </c>
      <c r="F535" s="6" t="n">
        <v>1</v>
      </c>
      <c r="G535" s="6" t="s">
        <v>6870</v>
      </c>
      <c r="H535" s="6"/>
    </row>
    <row r="536" customFormat="false" ht="15" hidden="false" customHeight="true" outlineLevel="0" collapsed="false">
      <c r="A536" s="6" t="s">
        <v>3943</v>
      </c>
      <c r="B536" s="6" t="s">
        <v>7998</v>
      </c>
      <c r="C536" s="28" t="n">
        <v>20</v>
      </c>
      <c r="D536" s="6" t="n">
        <v>12</v>
      </c>
      <c r="E536" s="29" t="n">
        <v>0</v>
      </c>
      <c r="F536" s="6" t="n">
        <v>1</v>
      </c>
      <c r="G536" s="6" t="n">
        <v>6</v>
      </c>
      <c r="H536" s="6"/>
    </row>
    <row r="537" customFormat="false" ht="15" hidden="false" customHeight="true" outlineLevel="0" collapsed="false">
      <c r="A537" s="6" t="s">
        <v>3997</v>
      </c>
      <c r="B537" s="6" t="s">
        <v>7998</v>
      </c>
      <c r="C537" s="28" t="n">
        <v>20</v>
      </c>
      <c r="D537" s="6" t="n">
        <v>12</v>
      </c>
      <c r="E537" s="29" t="n">
        <v>0</v>
      </c>
      <c r="F537" s="6" t="n">
        <v>1</v>
      </c>
      <c r="G537" s="6" t="n">
        <v>6</v>
      </c>
      <c r="H537" s="6"/>
    </row>
    <row r="538" customFormat="false" ht="15" hidden="false" customHeight="true" outlineLevel="0" collapsed="false">
      <c r="A538" s="6" t="s">
        <v>3969</v>
      </c>
      <c r="B538" s="6" t="s">
        <v>7997</v>
      </c>
      <c r="C538" s="28" t="n">
        <v>20</v>
      </c>
      <c r="D538" s="6" t="n">
        <v>12</v>
      </c>
      <c r="E538" s="29" t="n">
        <v>0</v>
      </c>
      <c r="F538" s="6" t="n">
        <v>1</v>
      </c>
      <c r="G538" s="6" t="s">
        <v>6868</v>
      </c>
      <c r="H538" s="6"/>
    </row>
    <row r="539" customFormat="false" ht="15" hidden="false" customHeight="true" outlineLevel="0" collapsed="false">
      <c r="A539" s="6" t="s">
        <v>3966</v>
      </c>
      <c r="B539" s="6" t="s">
        <v>7998</v>
      </c>
      <c r="C539" s="28" t="n">
        <v>20</v>
      </c>
      <c r="D539" s="6" t="n">
        <v>13</v>
      </c>
      <c r="E539" s="29" t="n">
        <v>0</v>
      </c>
      <c r="F539" s="6" t="n">
        <v>1</v>
      </c>
      <c r="G539" s="6" t="s">
        <v>6868</v>
      </c>
      <c r="H539" s="6"/>
    </row>
    <row r="540" customFormat="false" ht="15" hidden="false" customHeight="true" outlineLevel="0" collapsed="false">
      <c r="A540" s="6" t="s">
        <v>4012</v>
      </c>
      <c r="B540" s="6" t="s">
        <v>7998</v>
      </c>
      <c r="C540" s="28" t="n">
        <v>20</v>
      </c>
      <c r="D540" s="6" t="n">
        <v>11</v>
      </c>
      <c r="E540" s="29" t="n">
        <v>0.52</v>
      </c>
      <c r="F540" s="6" t="n">
        <v>1</v>
      </c>
      <c r="G540" s="6" t="s">
        <v>6867</v>
      </c>
      <c r="H540" s="6"/>
    </row>
    <row r="541" customFormat="false" ht="15" hidden="false" customHeight="true" outlineLevel="0" collapsed="false">
      <c r="A541" s="6" t="s">
        <v>4035</v>
      </c>
      <c r="B541" s="6" t="s">
        <v>7997</v>
      </c>
      <c r="C541" s="28" t="n">
        <v>20</v>
      </c>
      <c r="D541" s="6" t="n">
        <v>7</v>
      </c>
      <c r="E541" s="29" t="n">
        <v>0</v>
      </c>
      <c r="F541" s="6" t="n">
        <v>0.8</v>
      </c>
      <c r="G541" s="6" t="s">
        <v>6867</v>
      </c>
      <c r="H541" s="6"/>
    </row>
    <row r="542" customFormat="false" ht="15" hidden="false" customHeight="true" outlineLevel="0" collapsed="false">
      <c r="A542" s="6" t="s">
        <v>7376</v>
      </c>
      <c r="B542" s="6" t="s">
        <v>7998</v>
      </c>
      <c r="C542" s="28" t="n">
        <v>20</v>
      </c>
      <c r="D542" s="6" t="n">
        <v>9</v>
      </c>
      <c r="E542" s="29" t="n">
        <v>0</v>
      </c>
      <c r="F542" s="6" t="n">
        <v>0.39</v>
      </c>
      <c r="G542" s="6" t="s">
        <v>6893</v>
      </c>
      <c r="H542" s="6"/>
    </row>
    <row r="543" customFormat="false" ht="15" hidden="false" customHeight="true" outlineLevel="0" collapsed="false">
      <c r="A543" s="6" t="s">
        <v>7378</v>
      </c>
      <c r="B543" s="6" t="s">
        <v>8001</v>
      </c>
      <c r="C543" s="28" t="n">
        <v>20</v>
      </c>
      <c r="D543" s="6" t="n">
        <v>12</v>
      </c>
      <c r="E543" s="29" t="n">
        <v>0</v>
      </c>
      <c r="F543" s="6" t="n">
        <v>0.84</v>
      </c>
      <c r="G543" s="6" t="s">
        <v>6893</v>
      </c>
      <c r="H543" s="6"/>
    </row>
    <row r="544" customFormat="false" ht="15" hidden="false" customHeight="true" outlineLevel="0" collapsed="false">
      <c r="A544" s="6" t="s">
        <v>4032</v>
      </c>
      <c r="B544" s="6" t="s">
        <v>8001</v>
      </c>
      <c r="C544" s="28" t="n">
        <v>20</v>
      </c>
      <c r="D544" s="6" t="n">
        <v>9</v>
      </c>
      <c r="E544" s="29" t="n">
        <v>0</v>
      </c>
      <c r="F544" s="6" t="n">
        <v>1</v>
      </c>
      <c r="G544" s="6" t="s">
        <v>6867</v>
      </c>
      <c r="H544" s="6"/>
    </row>
    <row r="545" customFormat="false" ht="15" hidden="false" customHeight="true" outlineLevel="0" collapsed="false">
      <c r="A545" s="6" t="s">
        <v>4047</v>
      </c>
      <c r="B545" s="6" t="s">
        <v>7997</v>
      </c>
      <c r="C545" s="28" t="n">
        <v>20</v>
      </c>
      <c r="D545" s="6" t="n">
        <v>12</v>
      </c>
      <c r="E545" s="29" t="n">
        <v>0</v>
      </c>
      <c r="F545" s="6" t="n">
        <v>0.89</v>
      </c>
      <c r="G545" s="6" t="s">
        <v>6868</v>
      </c>
      <c r="H545" s="6"/>
    </row>
    <row r="546" customFormat="false" ht="15" hidden="false" customHeight="true" outlineLevel="0" collapsed="false">
      <c r="A546" s="6" t="s">
        <v>4060</v>
      </c>
      <c r="B546" s="6" t="s">
        <v>8000</v>
      </c>
      <c r="C546" s="28" t="n">
        <v>20</v>
      </c>
      <c r="D546" s="6" t="n">
        <v>23</v>
      </c>
      <c r="E546" s="29" t="n">
        <v>0</v>
      </c>
      <c r="F546" s="6" t="n">
        <v>1</v>
      </c>
      <c r="G546" s="6" t="s">
        <v>6867</v>
      </c>
      <c r="H546" s="6"/>
    </row>
    <row r="547" customFormat="false" ht="15" hidden="false" customHeight="true" outlineLevel="0" collapsed="false">
      <c r="A547" s="6" t="s">
        <v>4081</v>
      </c>
      <c r="B547" s="6" t="s">
        <v>7998</v>
      </c>
      <c r="C547" s="28" t="n">
        <v>20</v>
      </c>
      <c r="D547" s="6" t="n">
        <v>9</v>
      </c>
      <c r="E547" s="29" t="n">
        <v>0</v>
      </c>
      <c r="F547" s="6" t="n">
        <v>0</v>
      </c>
      <c r="G547" s="6" t="n">
        <v>6</v>
      </c>
      <c r="H547" s="6"/>
    </row>
    <row r="548" customFormat="false" ht="15" hidden="false" customHeight="true" outlineLevel="0" collapsed="false">
      <c r="A548" s="6" t="s">
        <v>6583</v>
      </c>
      <c r="B548" s="6" t="s">
        <v>7998</v>
      </c>
      <c r="C548" s="28" t="n">
        <v>20</v>
      </c>
      <c r="D548" s="6" t="n">
        <v>9</v>
      </c>
      <c r="E548" s="29" t="n">
        <v>0</v>
      </c>
      <c r="F548" s="6" t="n">
        <v>1</v>
      </c>
      <c r="G548" s="6" t="n">
        <v>1</v>
      </c>
      <c r="H548" s="6"/>
    </row>
    <row r="549" customFormat="false" ht="15" hidden="false" customHeight="true" outlineLevel="0" collapsed="false">
      <c r="A549" s="6" t="s">
        <v>6593</v>
      </c>
      <c r="B549" s="6" t="s">
        <v>7998</v>
      </c>
      <c r="C549" s="28" t="n">
        <v>20</v>
      </c>
      <c r="D549" s="6" t="n">
        <v>10</v>
      </c>
      <c r="E549" s="29" t="n">
        <v>0</v>
      </c>
      <c r="F549" s="6" t="n">
        <v>1</v>
      </c>
      <c r="G549" s="6" t="n">
        <v>1</v>
      </c>
      <c r="H549" s="6"/>
    </row>
    <row r="550" customFormat="false" ht="15" hidden="false" customHeight="true" outlineLevel="0" collapsed="false">
      <c r="A550" s="6" t="s">
        <v>6597</v>
      </c>
      <c r="B550" s="6" t="s">
        <v>7998</v>
      </c>
      <c r="C550" s="28" t="n">
        <v>20</v>
      </c>
      <c r="D550" s="6" t="n">
        <v>0</v>
      </c>
      <c r="E550" s="29" t="n">
        <v>0</v>
      </c>
      <c r="F550" s="6" t="n">
        <v>1</v>
      </c>
      <c r="G550" s="6" t="n">
        <v>1</v>
      </c>
      <c r="H550" s="6"/>
    </row>
    <row r="551" customFormat="false" ht="15" hidden="false" customHeight="true" outlineLevel="0" collapsed="false">
      <c r="A551" s="6" t="s">
        <v>7422</v>
      </c>
      <c r="B551" s="6" t="s">
        <v>7998</v>
      </c>
      <c r="C551" s="28" t="n">
        <v>20</v>
      </c>
      <c r="D551" s="6" t="n">
        <v>21</v>
      </c>
      <c r="E551" s="29" t="n">
        <v>0</v>
      </c>
      <c r="F551" s="6" t="n">
        <v>0.82</v>
      </c>
      <c r="G551" s="6" t="s">
        <v>6870</v>
      </c>
      <c r="H551" s="6"/>
    </row>
    <row r="552" customFormat="false" ht="15" hidden="false" customHeight="true" outlineLevel="0" collapsed="false">
      <c r="A552" s="6" t="s">
        <v>4334</v>
      </c>
      <c r="B552" s="6" t="s">
        <v>8002</v>
      </c>
      <c r="C552" s="28" t="n">
        <v>20</v>
      </c>
      <c r="D552" s="6" t="n">
        <v>18</v>
      </c>
      <c r="E552" s="29" t="n">
        <v>0</v>
      </c>
      <c r="F552" s="6" t="n">
        <v>1</v>
      </c>
      <c r="G552" s="6" t="s">
        <v>6870</v>
      </c>
      <c r="H552" s="6"/>
    </row>
    <row r="553" customFormat="false" ht="15" hidden="false" customHeight="true" outlineLevel="0" collapsed="false">
      <c r="A553" s="6" t="s">
        <v>4343</v>
      </c>
      <c r="B553" s="6" t="s">
        <v>8000</v>
      </c>
      <c r="C553" s="28" t="n">
        <v>20</v>
      </c>
      <c r="D553" s="6" t="n">
        <v>25</v>
      </c>
      <c r="E553" s="29" t="n">
        <v>0</v>
      </c>
      <c r="F553" s="6" t="n">
        <v>0.99</v>
      </c>
      <c r="G553" s="6" t="n">
        <v>6</v>
      </c>
      <c r="H553" s="6"/>
    </row>
    <row r="554" customFormat="false" ht="15" hidden="false" customHeight="true" outlineLevel="0" collapsed="false">
      <c r="A554" s="6" t="s">
        <v>4354</v>
      </c>
      <c r="B554" s="6" t="s">
        <v>7997</v>
      </c>
      <c r="C554" s="28" t="n">
        <v>20</v>
      </c>
      <c r="D554" s="6" t="n">
        <v>15</v>
      </c>
      <c r="E554" s="29" t="n">
        <v>0</v>
      </c>
      <c r="F554" s="6" t="n">
        <v>0.86</v>
      </c>
      <c r="G554" s="6" t="n">
        <v>6</v>
      </c>
      <c r="H554" s="6"/>
    </row>
    <row r="555" customFormat="false" ht="15" hidden="false" customHeight="true" outlineLevel="0" collapsed="false">
      <c r="A555" s="6" t="s">
        <v>4617</v>
      </c>
      <c r="B555" s="6" t="s">
        <v>7997</v>
      </c>
      <c r="C555" s="28" t="n">
        <v>20</v>
      </c>
      <c r="D555" s="6" t="n">
        <v>20</v>
      </c>
      <c r="E555" s="29" t="n">
        <v>0</v>
      </c>
      <c r="F555" s="6" t="n">
        <v>1</v>
      </c>
      <c r="G555" s="6" t="n">
        <v>6</v>
      </c>
      <c r="H555" s="6"/>
    </row>
    <row r="556" customFormat="false" ht="15" hidden="false" customHeight="true" outlineLevel="0" collapsed="false">
      <c r="A556" s="6" t="s">
        <v>4421</v>
      </c>
      <c r="B556" s="6" t="s">
        <v>7997</v>
      </c>
      <c r="C556" s="28" t="n">
        <v>20</v>
      </c>
      <c r="D556" s="6" t="n">
        <v>21</v>
      </c>
      <c r="E556" s="29" t="n">
        <v>0</v>
      </c>
      <c r="F556" s="6" t="n">
        <v>0.96</v>
      </c>
      <c r="G556" s="6" t="n">
        <v>6</v>
      </c>
      <c r="H556" s="6"/>
    </row>
    <row r="557" customFormat="false" ht="15" hidden="false" customHeight="true" outlineLevel="0" collapsed="false">
      <c r="A557" s="6" t="s">
        <v>4431</v>
      </c>
      <c r="B557" s="6" t="s">
        <v>7998</v>
      </c>
      <c r="C557" s="28" t="n">
        <v>20</v>
      </c>
      <c r="D557" s="6" t="n">
        <v>18</v>
      </c>
      <c r="E557" s="29" t="n">
        <v>0</v>
      </c>
      <c r="F557" s="6" t="n">
        <v>1</v>
      </c>
      <c r="G557" s="6" t="s">
        <v>6867</v>
      </c>
      <c r="H557" s="6"/>
    </row>
    <row r="558" customFormat="false" ht="15" hidden="false" customHeight="true" outlineLevel="0" collapsed="false">
      <c r="A558" s="6" t="s">
        <v>4452</v>
      </c>
      <c r="B558" s="6" t="s">
        <v>8004</v>
      </c>
      <c r="C558" s="28" t="n">
        <v>20</v>
      </c>
      <c r="D558" s="6" t="n">
        <v>22</v>
      </c>
      <c r="E558" s="29" t="n">
        <v>0</v>
      </c>
      <c r="F558" s="6" t="n">
        <v>1</v>
      </c>
      <c r="G558" s="6" t="n">
        <v>6</v>
      </c>
      <c r="H558" s="6"/>
    </row>
    <row r="559" customFormat="false" ht="15" hidden="false" customHeight="true" outlineLevel="0" collapsed="false">
      <c r="A559" s="6" t="s">
        <v>4640</v>
      </c>
      <c r="B559" s="6" t="s">
        <v>7998</v>
      </c>
      <c r="C559" s="28" t="n">
        <v>20</v>
      </c>
      <c r="D559" s="6" t="n">
        <v>13</v>
      </c>
      <c r="E559" s="29" t="n">
        <v>0.33</v>
      </c>
      <c r="F559" s="6" t="n">
        <v>1</v>
      </c>
      <c r="G559" s="6" t="n">
        <v>6</v>
      </c>
      <c r="H559" s="6"/>
    </row>
    <row r="560" customFormat="false" ht="15" hidden="false" customHeight="true" outlineLevel="0" collapsed="false">
      <c r="A560" s="6" t="s">
        <v>7481</v>
      </c>
      <c r="B560" s="6" t="s">
        <v>7998</v>
      </c>
      <c r="C560" s="28" t="n">
        <v>20</v>
      </c>
      <c r="D560" s="6" t="n">
        <v>18</v>
      </c>
      <c r="E560" s="29" t="n">
        <v>0</v>
      </c>
      <c r="F560" s="6" t="n">
        <v>1</v>
      </c>
      <c r="G560" s="6" t="s">
        <v>6870</v>
      </c>
      <c r="H560" s="6"/>
    </row>
    <row r="561" customFormat="false" ht="15" hidden="false" customHeight="true" outlineLevel="0" collapsed="false">
      <c r="A561" s="6" t="s">
        <v>4663</v>
      </c>
      <c r="B561" s="6" t="s">
        <v>7998</v>
      </c>
      <c r="C561" s="28" t="n">
        <v>20</v>
      </c>
      <c r="D561" s="6" t="n">
        <v>18</v>
      </c>
      <c r="E561" s="29" t="n">
        <v>0.63</v>
      </c>
      <c r="F561" s="6" t="n">
        <v>1</v>
      </c>
      <c r="G561" s="6" t="n">
        <v>6</v>
      </c>
      <c r="H561" s="6"/>
    </row>
    <row r="562" customFormat="false" ht="15" hidden="false" customHeight="true" outlineLevel="0" collapsed="false">
      <c r="A562" s="6" t="s">
        <v>4688</v>
      </c>
      <c r="B562" s="6" t="s">
        <v>8002</v>
      </c>
      <c r="C562" s="28" t="n">
        <v>20</v>
      </c>
      <c r="D562" s="6" t="n">
        <v>13</v>
      </c>
      <c r="E562" s="29" t="n">
        <v>0</v>
      </c>
      <c r="F562" s="6" t="n">
        <v>1</v>
      </c>
      <c r="G562" s="6" t="s">
        <v>6870</v>
      </c>
      <c r="H562" s="6"/>
    </row>
    <row r="563" customFormat="false" ht="15" hidden="false" customHeight="true" outlineLevel="0" collapsed="false">
      <c r="A563" s="6" t="s">
        <v>4686</v>
      </c>
      <c r="B563" s="6" t="s">
        <v>7997</v>
      </c>
      <c r="C563" s="28" t="n">
        <v>20</v>
      </c>
      <c r="D563" s="6" t="n">
        <v>13</v>
      </c>
      <c r="E563" s="29" t="n">
        <v>0</v>
      </c>
      <c r="F563" s="6" t="n">
        <v>1</v>
      </c>
      <c r="G563" s="6" t="s">
        <v>6867</v>
      </c>
      <c r="H563" s="6"/>
    </row>
    <row r="564" customFormat="false" ht="15" hidden="false" customHeight="true" outlineLevel="0" collapsed="false">
      <c r="A564" s="6" t="s">
        <v>7511</v>
      </c>
      <c r="B564" s="6" t="s">
        <v>7997</v>
      </c>
      <c r="C564" s="28" t="n">
        <v>20</v>
      </c>
      <c r="D564" s="6" t="n">
        <v>18</v>
      </c>
      <c r="E564" s="29" t="n">
        <v>0</v>
      </c>
      <c r="F564" s="6" t="n">
        <v>1</v>
      </c>
      <c r="G564" s="6" t="s">
        <v>6870</v>
      </c>
      <c r="H564" s="6"/>
    </row>
    <row r="565" customFormat="false" ht="15" hidden="false" customHeight="true" outlineLevel="0" collapsed="false">
      <c r="A565" s="6" t="s">
        <v>4739</v>
      </c>
      <c r="B565" s="6" t="s">
        <v>8004</v>
      </c>
      <c r="C565" s="28" t="n">
        <v>20</v>
      </c>
      <c r="D565" s="6" t="n">
        <v>12</v>
      </c>
      <c r="E565" s="29" t="n">
        <v>0</v>
      </c>
      <c r="F565" s="6" t="n">
        <v>1</v>
      </c>
      <c r="G565" s="6" t="s">
        <v>6870</v>
      </c>
      <c r="H565" s="6"/>
    </row>
    <row r="566" customFormat="false" ht="15" hidden="false" customHeight="true" outlineLevel="0" collapsed="false">
      <c r="A566" s="6" t="s">
        <v>7513</v>
      </c>
      <c r="B566" s="6" t="s">
        <v>8001</v>
      </c>
      <c r="C566" s="28" t="n">
        <v>20</v>
      </c>
      <c r="D566" s="6" t="n">
        <v>12</v>
      </c>
      <c r="E566" s="29" t="n">
        <v>0</v>
      </c>
      <c r="F566" s="6" t="n">
        <v>1</v>
      </c>
      <c r="G566" s="6" t="s">
        <v>6870</v>
      </c>
      <c r="H566" s="6"/>
    </row>
    <row r="567" customFormat="false" ht="15" hidden="false" customHeight="true" outlineLevel="0" collapsed="false">
      <c r="A567" s="6" t="s">
        <v>7515</v>
      </c>
      <c r="B567" s="6" t="s">
        <v>7998</v>
      </c>
      <c r="C567" s="28" t="n">
        <v>20</v>
      </c>
      <c r="D567" s="6" t="n">
        <v>4</v>
      </c>
      <c r="E567" s="29" t="n">
        <v>0.57</v>
      </c>
      <c r="F567" s="6" t="n">
        <v>1</v>
      </c>
      <c r="G567" s="6" t="s">
        <v>6870</v>
      </c>
      <c r="H567" s="6"/>
    </row>
    <row r="568" customFormat="false" ht="15" hidden="false" customHeight="true" outlineLevel="0" collapsed="false">
      <c r="A568" s="6" t="s">
        <v>4717</v>
      </c>
      <c r="B568" s="6" t="s">
        <v>8000</v>
      </c>
      <c r="C568" s="28" t="n">
        <v>20</v>
      </c>
      <c r="D568" s="6" t="n">
        <v>16</v>
      </c>
      <c r="E568" s="29" t="n">
        <v>0.47</v>
      </c>
      <c r="F568" s="6" t="n">
        <v>1</v>
      </c>
      <c r="G568" s="6" t="s">
        <v>6867</v>
      </c>
      <c r="H568" s="6"/>
    </row>
    <row r="569" customFormat="false" ht="15" hidden="false" customHeight="true" outlineLevel="0" collapsed="false">
      <c r="A569" s="6" t="s">
        <v>4868</v>
      </c>
      <c r="B569" s="6" t="s">
        <v>8001</v>
      </c>
      <c r="C569" s="28" t="n">
        <v>20</v>
      </c>
      <c r="D569" s="6" t="n">
        <v>15</v>
      </c>
      <c r="E569" s="29" t="n">
        <v>0</v>
      </c>
      <c r="F569" s="6" t="n">
        <v>1</v>
      </c>
      <c r="G569" s="6" t="s">
        <v>6868</v>
      </c>
      <c r="H569" s="6"/>
    </row>
    <row r="570" customFormat="false" ht="15" hidden="false" customHeight="true" outlineLevel="0" collapsed="false">
      <c r="A570" s="6" t="s">
        <v>7529</v>
      </c>
      <c r="B570" s="6" t="s">
        <v>7998</v>
      </c>
      <c r="C570" s="28" t="n">
        <v>20</v>
      </c>
      <c r="D570" s="6" t="n">
        <v>25</v>
      </c>
      <c r="E570" s="29" t="n">
        <v>0.93</v>
      </c>
      <c r="F570" s="6" t="n">
        <v>1</v>
      </c>
      <c r="G570" s="6" t="s">
        <v>6870</v>
      </c>
      <c r="H570" s="6"/>
    </row>
    <row r="571" customFormat="false" ht="15" hidden="false" customHeight="true" outlineLevel="0" collapsed="false">
      <c r="A571" s="6" t="s">
        <v>4848</v>
      </c>
      <c r="B571" s="6" t="s">
        <v>8003</v>
      </c>
      <c r="C571" s="28" t="n">
        <v>20</v>
      </c>
      <c r="D571" s="6" t="n">
        <v>18</v>
      </c>
      <c r="E571" s="29" t="n">
        <v>0.77</v>
      </c>
      <c r="F571" s="6" t="n">
        <v>1</v>
      </c>
      <c r="G571" s="6" t="s">
        <v>6867</v>
      </c>
      <c r="H571" s="6"/>
    </row>
    <row r="572" customFormat="false" ht="15" hidden="false" customHeight="true" outlineLevel="0" collapsed="false">
      <c r="A572" s="6" t="s">
        <v>7543</v>
      </c>
      <c r="B572" s="6" t="s">
        <v>8004</v>
      </c>
      <c r="C572" s="28" t="n">
        <v>20</v>
      </c>
      <c r="D572" s="6" t="n">
        <v>10</v>
      </c>
      <c r="E572" s="29" t="n">
        <v>0</v>
      </c>
      <c r="F572" s="6" t="n">
        <v>0.86</v>
      </c>
      <c r="G572" s="6" t="s">
        <v>6870</v>
      </c>
      <c r="H572" s="6"/>
    </row>
    <row r="573" customFormat="false" ht="15" hidden="false" customHeight="true" outlineLevel="0" collapsed="false">
      <c r="A573" s="6" t="s">
        <v>7545</v>
      </c>
      <c r="B573" s="6" t="s">
        <v>8001</v>
      </c>
      <c r="C573" s="28" t="n">
        <v>20</v>
      </c>
      <c r="D573" s="6" t="n">
        <v>14</v>
      </c>
      <c r="E573" s="29" t="n">
        <v>0</v>
      </c>
      <c r="F573" s="6" t="n">
        <v>1</v>
      </c>
      <c r="G573" s="6" t="s">
        <v>6870</v>
      </c>
      <c r="H573" s="6"/>
    </row>
    <row r="574" customFormat="false" ht="15" hidden="false" customHeight="true" outlineLevel="0" collapsed="false">
      <c r="A574" s="6" t="s">
        <v>4845</v>
      </c>
      <c r="B574" s="6" t="s">
        <v>8000</v>
      </c>
      <c r="C574" s="28" t="n">
        <v>20</v>
      </c>
      <c r="D574" s="6" t="n">
        <v>16</v>
      </c>
      <c r="E574" s="29" t="n">
        <v>0</v>
      </c>
      <c r="F574" s="6" t="n">
        <v>1</v>
      </c>
      <c r="G574" s="6" t="s">
        <v>6867</v>
      </c>
      <c r="H574" s="6"/>
    </row>
    <row r="575" customFormat="false" ht="15" hidden="false" customHeight="true" outlineLevel="0" collapsed="false">
      <c r="A575" s="6" t="s">
        <v>6616</v>
      </c>
      <c r="B575" s="6" t="s">
        <v>7997</v>
      </c>
      <c r="C575" s="28" t="n">
        <v>20</v>
      </c>
      <c r="D575" s="6" t="n">
        <v>30</v>
      </c>
      <c r="E575" s="29" t="n">
        <v>0.43</v>
      </c>
      <c r="F575" s="6" t="n">
        <v>1</v>
      </c>
      <c r="G575" s="6" t="n">
        <v>2</v>
      </c>
      <c r="H575" s="6"/>
    </row>
    <row r="576" customFormat="false" ht="15" hidden="false" customHeight="true" outlineLevel="0" collapsed="false">
      <c r="A576" s="6" t="s">
        <v>7549</v>
      </c>
      <c r="B576" s="6" t="s">
        <v>7998</v>
      </c>
      <c r="C576" s="28" t="n">
        <v>20</v>
      </c>
      <c r="D576" s="6" t="n">
        <v>17</v>
      </c>
      <c r="E576" s="29" t="n">
        <v>0</v>
      </c>
      <c r="F576" s="6" t="n">
        <v>1</v>
      </c>
      <c r="G576" s="6" t="s">
        <v>6870</v>
      </c>
      <c r="H576" s="6"/>
    </row>
    <row r="577" customFormat="false" ht="15" hidden="false" customHeight="true" outlineLevel="0" collapsed="false">
      <c r="A577" s="6" t="s">
        <v>7550</v>
      </c>
      <c r="B577" s="6" t="s">
        <v>7997</v>
      </c>
      <c r="C577" s="28" t="n">
        <v>20</v>
      </c>
      <c r="D577" s="6" t="n">
        <v>21</v>
      </c>
      <c r="E577" s="29" t="n">
        <v>0.64</v>
      </c>
      <c r="F577" s="6" t="n">
        <v>1</v>
      </c>
      <c r="G577" s="6" t="s">
        <v>6893</v>
      </c>
      <c r="H577" s="6"/>
    </row>
    <row r="578" customFormat="false" ht="15" hidden="false" customHeight="true" outlineLevel="0" collapsed="false">
      <c r="A578" s="6" t="s">
        <v>4988</v>
      </c>
      <c r="B578" s="6" t="s">
        <v>7998</v>
      </c>
      <c r="C578" s="28" t="n">
        <v>20</v>
      </c>
      <c r="D578" s="6" t="n">
        <v>21</v>
      </c>
      <c r="E578" s="29" t="n">
        <v>0</v>
      </c>
      <c r="F578" s="6" t="n">
        <v>1</v>
      </c>
      <c r="G578" s="6" t="n">
        <v>6</v>
      </c>
      <c r="H578" s="6"/>
    </row>
    <row r="579" customFormat="false" ht="15" hidden="false" customHeight="true" outlineLevel="0" collapsed="false">
      <c r="A579" s="6" t="s">
        <v>6618</v>
      </c>
      <c r="B579" s="6" t="s">
        <v>7997</v>
      </c>
      <c r="C579" s="28" t="n">
        <v>20</v>
      </c>
      <c r="D579" s="6" t="n">
        <v>19</v>
      </c>
      <c r="E579" s="29" t="n">
        <v>0</v>
      </c>
      <c r="F579" s="6" t="n">
        <v>1</v>
      </c>
      <c r="G579" s="6" t="n">
        <v>2</v>
      </c>
      <c r="H579" s="6"/>
    </row>
    <row r="580" customFormat="false" ht="15" hidden="false" customHeight="true" outlineLevel="0" collapsed="false">
      <c r="A580" s="6" t="s">
        <v>5120</v>
      </c>
      <c r="B580" s="6" t="s">
        <v>7998</v>
      </c>
      <c r="C580" s="28" t="n">
        <v>20</v>
      </c>
      <c r="D580" s="6" t="n">
        <v>16</v>
      </c>
      <c r="E580" s="29" t="n">
        <v>0.57</v>
      </c>
      <c r="F580" s="6" t="n">
        <v>1</v>
      </c>
      <c r="G580" s="6" t="s">
        <v>6867</v>
      </c>
      <c r="H580" s="6"/>
    </row>
    <row r="581" customFormat="false" ht="15" hidden="false" customHeight="true" outlineLevel="0" collapsed="false">
      <c r="A581" s="6" t="s">
        <v>5098</v>
      </c>
      <c r="B581" s="6" t="s">
        <v>7997</v>
      </c>
      <c r="C581" s="28" t="n">
        <v>20</v>
      </c>
      <c r="D581" s="6" t="n">
        <v>4</v>
      </c>
      <c r="E581" s="29" t="n">
        <v>0.45</v>
      </c>
      <c r="F581" s="6" t="n">
        <v>1</v>
      </c>
      <c r="G581" s="6" t="n">
        <v>6</v>
      </c>
      <c r="H581" s="6"/>
    </row>
    <row r="582" customFormat="false" ht="15" hidden="false" customHeight="true" outlineLevel="0" collapsed="false">
      <c r="A582" s="6" t="s">
        <v>5079</v>
      </c>
      <c r="B582" s="6" t="s">
        <v>8002</v>
      </c>
      <c r="C582" s="28" t="n">
        <v>20</v>
      </c>
      <c r="D582" s="6" t="n">
        <v>18</v>
      </c>
      <c r="E582" s="29" t="n">
        <v>0</v>
      </c>
      <c r="F582" s="6" t="n">
        <v>1</v>
      </c>
      <c r="G582" s="6" t="s">
        <v>6870</v>
      </c>
      <c r="H582" s="6"/>
    </row>
    <row r="583" customFormat="false" ht="15" hidden="false" customHeight="true" outlineLevel="0" collapsed="false">
      <c r="A583" s="6" t="s">
        <v>5077</v>
      </c>
      <c r="B583" s="6" t="s">
        <v>7998</v>
      </c>
      <c r="C583" s="28" t="n">
        <v>20</v>
      </c>
      <c r="D583" s="6" t="n">
        <v>22</v>
      </c>
      <c r="E583" s="29" t="n">
        <v>0.29</v>
      </c>
      <c r="F583" s="6" t="n">
        <v>1</v>
      </c>
      <c r="G583" s="6" t="s">
        <v>6867</v>
      </c>
      <c r="H583" s="6"/>
    </row>
    <row r="584" customFormat="false" ht="15" hidden="false" customHeight="true" outlineLevel="0" collapsed="false">
      <c r="A584" s="6" t="s">
        <v>5129</v>
      </c>
      <c r="B584" s="6" t="s">
        <v>7998</v>
      </c>
      <c r="C584" s="28" t="n">
        <v>20</v>
      </c>
      <c r="D584" s="6" t="n">
        <v>16</v>
      </c>
      <c r="E584" s="29" t="n">
        <v>0</v>
      </c>
      <c r="F584" s="6" t="n">
        <v>1</v>
      </c>
      <c r="G584" s="6" t="n">
        <v>6</v>
      </c>
      <c r="H584" s="6"/>
    </row>
    <row r="585" customFormat="false" ht="15" hidden="false" customHeight="true" outlineLevel="0" collapsed="false">
      <c r="A585" s="6" t="s">
        <v>5202</v>
      </c>
      <c r="B585" s="6" t="s">
        <v>7998</v>
      </c>
      <c r="C585" s="28" t="n">
        <v>20</v>
      </c>
      <c r="D585" s="6" t="n">
        <v>18</v>
      </c>
      <c r="E585" s="29" t="n">
        <v>0</v>
      </c>
      <c r="F585" s="6" t="n">
        <v>0.92</v>
      </c>
      <c r="G585" s="6" t="s">
        <v>6867</v>
      </c>
      <c r="H585" s="6"/>
    </row>
    <row r="586" customFormat="false" ht="15" hidden="false" customHeight="true" outlineLevel="0" collapsed="false">
      <c r="A586" s="6" t="s">
        <v>6635</v>
      </c>
      <c r="B586" s="6" t="s">
        <v>7998</v>
      </c>
      <c r="C586" s="28" t="n">
        <v>20</v>
      </c>
      <c r="D586" s="6" t="n">
        <v>15</v>
      </c>
      <c r="E586" s="29" t="n">
        <v>0.23</v>
      </c>
      <c r="F586" s="6" t="n">
        <v>1</v>
      </c>
      <c r="G586" s="6" t="n">
        <v>2</v>
      </c>
      <c r="H586" s="6"/>
    </row>
    <row r="587" customFormat="false" ht="15" hidden="false" customHeight="true" outlineLevel="0" collapsed="false">
      <c r="A587" s="6" t="s">
        <v>5208</v>
      </c>
      <c r="B587" s="6" t="s">
        <v>7999</v>
      </c>
      <c r="C587" s="28" t="n">
        <v>20</v>
      </c>
      <c r="D587" s="6" t="n">
        <v>15</v>
      </c>
      <c r="E587" s="29" t="n">
        <v>0</v>
      </c>
      <c r="F587" s="6" t="n">
        <v>1</v>
      </c>
      <c r="G587" s="6" t="s">
        <v>6867</v>
      </c>
      <c r="H587" s="6"/>
    </row>
    <row r="588" customFormat="false" ht="15" hidden="false" customHeight="true" outlineLevel="0" collapsed="false">
      <c r="A588" s="6" t="s">
        <v>5247</v>
      </c>
      <c r="B588" s="6" t="s">
        <v>7997</v>
      </c>
      <c r="C588" s="28" t="n">
        <v>20</v>
      </c>
      <c r="D588" s="6" t="n">
        <v>18</v>
      </c>
      <c r="E588" s="29" t="n">
        <v>0</v>
      </c>
      <c r="F588" s="6" t="n">
        <v>1</v>
      </c>
      <c r="G588" s="6" t="n">
        <v>7</v>
      </c>
      <c r="H588" s="6"/>
    </row>
    <row r="589" customFormat="false" ht="15" hidden="false" customHeight="true" outlineLevel="0" collapsed="false">
      <c r="A589" s="6" t="s">
        <v>6639</v>
      </c>
      <c r="B589" s="6" t="s">
        <v>7998</v>
      </c>
      <c r="C589" s="28" t="n">
        <v>20</v>
      </c>
      <c r="D589" s="6" t="n">
        <v>9</v>
      </c>
      <c r="E589" s="29" t="n">
        <v>0</v>
      </c>
      <c r="F589" s="6" t="n">
        <v>0.92</v>
      </c>
      <c r="G589" s="6" t="n">
        <v>2</v>
      </c>
      <c r="H589" s="6"/>
    </row>
    <row r="590" customFormat="false" ht="15" hidden="false" customHeight="true" outlineLevel="0" collapsed="false">
      <c r="A590" s="6" t="s">
        <v>5260</v>
      </c>
      <c r="B590" s="6" t="s">
        <v>7998</v>
      </c>
      <c r="C590" s="28" t="n">
        <v>20</v>
      </c>
      <c r="D590" s="6" t="n">
        <v>9</v>
      </c>
      <c r="E590" s="29" t="n">
        <v>0</v>
      </c>
      <c r="F590" s="6" t="n">
        <v>0.86</v>
      </c>
      <c r="G590" s="6" t="n">
        <v>7</v>
      </c>
      <c r="H590" s="6"/>
    </row>
    <row r="591" customFormat="false" ht="15" hidden="false" customHeight="true" outlineLevel="0" collapsed="false">
      <c r="A591" s="6" t="s">
        <v>5273</v>
      </c>
      <c r="B591" s="6" t="s">
        <v>7998</v>
      </c>
      <c r="C591" s="28" t="n">
        <v>20</v>
      </c>
      <c r="D591" s="6" t="n">
        <v>0</v>
      </c>
      <c r="E591" s="29" t="n">
        <v>0</v>
      </c>
      <c r="F591" s="6" t="n">
        <v>1</v>
      </c>
      <c r="G591" s="6" t="n">
        <v>7</v>
      </c>
      <c r="H591" s="6"/>
    </row>
    <row r="592" customFormat="false" ht="15" hidden="false" customHeight="true" outlineLevel="0" collapsed="false">
      <c r="A592" s="6" t="s">
        <v>5975</v>
      </c>
      <c r="B592" s="6" t="s">
        <v>8000</v>
      </c>
      <c r="C592" s="28" t="n">
        <v>20</v>
      </c>
      <c r="D592" s="6" t="n">
        <v>19</v>
      </c>
      <c r="E592" s="29" t="n">
        <v>0</v>
      </c>
      <c r="F592" s="6" t="n">
        <v>1</v>
      </c>
      <c r="G592" s="6" t="n">
        <v>7</v>
      </c>
      <c r="H592" s="6"/>
    </row>
    <row r="593" customFormat="false" ht="15" hidden="false" customHeight="true" outlineLevel="0" collapsed="false">
      <c r="A593" s="6" t="s">
        <v>6640</v>
      </c>
      <c r="B593" s="6" t="s">
        <v>8000</v>
      </c>
      <c r="C593" s="28" t="n">
        <v>20</v>
      </c>
      <c r="D593" s="6" t="n">
        <v>9</v>
      </c>
      <c r="E593" s="29" t="n">
        <v>0</v>
      </c>
      <c r="F593" s="6" t="n">
        <v>1</v>
      </c>
      <c r="G593" s="6" t="n">
        <v>2</v>
      </c>
      <c r="H593" s="6"/>
    </row>
    <row r="594" customFormat="false" ht="15" hidden="false" customHeight="true" outlineLevel="0" collapsed="false">
      <c r="A594" s="6" t="s">
        <v>5297</v>
      </c>
      <c r="B594" s="6" t="s">
        <v>8004</v>
      </c>
      <c r="C594" s="28" t="n">
        <v>20</v>
      </c>
      <c r="D594" s="6" t="n">
        <v>12</v>
      </c>
      <c r="E594" s="29" t="n">
        <v>0</v>
      </c>
      <c r="F594" s="6" t="n">
        <v>1</v>
      </c>
      <c r="G594" s="6" t="n">
        <v>7</v>
      </c>
      <c r="H594" s="6"/>
    </row>
    <row r="595" customFormat="false" ht="15" hidden="false" customHeight="true" outlineLevel="0" collapsed="false">
      <c r="A595" s="6" t="s">
        <v>7913</v>
      </c>
      <c r="B595" s="6" t="s">
        <v>7998</v>
      </c>
      <c r="C595" s="28" t="n">
        <v>20</v>
      </c>
      <c r="D595" s="6" t="n">
        <v>9</v>
      </c>
      <c r="E595" s="29" t="n">
        <v>0</v>
      </c>
      <c r="F595" s="6" t="n">
        <v>1</v>
      </c>
      <c r="G595" s="6" t="s">
        <v>6868</v>
      </c>
      <c r="H595" s="6"/>
    </row>
    <row r="596" customFormat="false" ht="15" hidden="false" customHeight="true" outlineLevel="0" collapsed="false">
      <c r="A596" s="6" t="s">
        <v>5352</v>
      </c>
      <c r="B596" s="6" t="s">
        <v>7997</v>
      </c>
      <c r="C596" s="28" t="n">
        <v>20</v>
      </c>
      <c r="D596" s="6" t="n">
        <v>8</v>
      </c>
      <c r="E596" s="29" t="n">
        <v>0</v>
      </c>
      <c r="F596" s="6" t="n">
        <v>0</v>
      </c>
      <c r="G596" s="6" t="n">
        <v>7</v>
      </c>
      <c r="H596" s="6"/>
    </row>
    <row r="597" customFormat="false" ht="15" hidden="false" customHeight="true" outlineLevel="0" collapsed="false">
      <c r="A597" s="6" t="s">
        <v>5364</v>
      </c>
      <c r="B597" s="6" t="s">
        <v>7998</v>
      </c>
      <c r="C597" s="28" t="n">
        <v>20</v>
      </c>
      <c r="D597" s="6" t="n">
        <v>3</v>
      </c>
      <c r="E597" s="29" t="n">
        <v>0</v>
      </c>
      <c r="F597" s="6" t="n">
        <v>0</v>
      </c>
      <c r="G597" s="6" t="n">
        <v>7</v>
      </c>
      <c r="H597" s="6"/>
    </row>
    <row r="598" customFormat="false" ht="15" hidden="false" customHeight="true" outlineLevel="0" collapsed="false">
      <c r="A598" s="6" t="s">
        <v>7617</v>
      </c>
      <c r="B598" s="6" t="s">
        <v>7998</v>
      </c>
      <c r="C598" s="28" t="n">
        <v>20</v>
      </c>
      <c r="D598" s="6" t="n">
        <v>23</v>
      </c>
      <c r="E598" s="29" t="n">
        <v>0</v>
      </c>
      <c r="F598" s="6" t="n">
        <v>1</v>
      </c>
      <c r="G598" s="6" t="s">
        <v>6893</v>
      </c>
      <c r="H598" s="6"/>
    </row>
    <row r="599" customFormat="false" ht="15" hidden="false" customHeight="true" outlineLevel="0" collapsed="false">
      <c r="A599" s="6" t="s">
        <v>7619</v>
      </c>
      <c r="B599" s="6" t="s">
        <v>8001</v>
      </c>
      <c r="C599" s="28" t="n">
        <v>20</v>
      </c>
      <c r="D599" s="6" t="n">
        <v>10</v>
      </c>
      <c r="E599" s="29" t="n">
        <v>0</v>
      </c>
      <c r="F599" s="6" t="n">
        <v>1</v>
      </c>
      <c r="G599" s="6" t="s">
        <v>6893</v>
      </c>
      <c r="H599" s="6"/>
    </row>
    <row r="600" customFormat="false" ht="15" hidden="false" customHeight="true" outlineLevel="0" collapsed="false">
      <c r="A600" s="6" t="s">
        <v>5408</v>
      </c>
      <c r="B600" s="6" t="s">
        <v>8000</v>
      </c>
      <c r="C600" s="28" t="n">
        <v>20</v>
      </c>
      <c r="D600" s="6" t="n">
        <v>17</v>
      </c>
      <c r="E600" s="29" t="n">
        <v>0</v>
      </c>
      <c r="F600" s="6" t="n">
        <v>1</v>
      </c>
      <c r="G600" s="6" t="n">
        <v>7</v>
      </c>
      <c r="H600" s="6"/>
    </row>
    <row r="601" customFormat="false" ht="15" hidden="false" customHeight="true" outlineLevel="0" collapsed="false">
      <c r="A601" s="6" t="s">
        <v>7911</v>
      </c>
      <c r="B601" s="6" t="s">
        <v>7999</v>
      </c>
      <c r="C601" s="28" t="n">
        <v>20</v>
      </c>
      <c r="D601" s="6" t="n">
        <v>20</v>
      </c>
      <c r="E601" s="29" t="n">
        <v>0.37</v>
      </c>
      <c r="F601" s="6" t="n">
        <v>1</v>
      </c>
      <c r="G601" s="6" t="s">
        <v>6868</v>
      </c>
      <c r="H601" s="6"/>
    </row>
    <row r="602" customFormat="false" ht="15" hidden="false" customHeight="true" outlineLevel="0" collapsed="false">
      <c r="A602" s="6" t="s">
        <v>5487</v>
      </c>
      <c r="B602" s="6" t="s">
        <v>7997</v>
      </c>
      <c r="C602" s="28" t="n">
        <v>20</v>
      </c>
      <c r="D602" s="6" t="n">
        <v>16</v>
      </c>
      <c r="E602" s="29" t="n">
        <v>0</v>
      </c>
      <c r="F602" s="6" t="n">
        <v>1</v>
      </c>
      <c r="G602" s="6" t="n">
        <v>7</v>
      </c>
      <c r="H602" s="6"/>
    </row>
    <row r="603" customFormat="false" ht="15" hidden="false" customHeight="true" outlineLevel="0" collapsed="false">
      <c r="A603" s="6" t="s">
        <v>5448</v>
      </c>
      <c r="B603" s="6" t="s">
        <v>8002</v>
      </c>
      <c r="C603" s="28" t="n">
        <v>20</v>
      </c>
      <c r="D603" s="6" t="n">
        <v>13</v>
      </c>
      <c r="E603" s="29" t="n">
        <v>0</v>
      </c>
      <c r="F603" s="6" t="n">
        <v>1</v>
      </c>
      <c r="G603" s="6" t="s">
        <v>6870</v>
      </c>
      <c r="H603" s="6"/>
    </row>
    <row r="604" customFormat="false" ht="15" hidden="false" customHeight="true" outlineLevel="0" collapsed="false">
      <c r="A604" s="6" t="s">
        <v>5446</v>
      </c>
      <c r="B604" s="6" t="s">
        <v>7998</v>
      </c>
      <c r="C604" s="28" t="n">
        <v>20</v>
      </c>
      <c r="D604" s="6" t="n">
        <v>14</v>
      </c>
      <c r="E604" s="29" t="n">
        <v>0</v>
      </c>
      <c r="F604" s="6" t="n">
        <v>0.5</v>
      </c>
      <c r="G604" s="6" t="s">
        <v>6867</v>
      </c>
      <c r="H604" s="6"/>
    </row>
    <row r="605" customFormat="false" ht="15" hidden="false" customHeight="true" outlineLevel="0" collapsed="false">
      <c r="A605" s="6" t="s">
        <v>5498</v>
      </c>
      <c r="B605" s="6" t="s">
        <v>7998</v>
      </c>
      <c r="C605" s="28" t="n">
        <v>20</v>
      </c>
      <c r="D605" s="6" t="n">
        <v>17</v>
      </c>
      <c r="E605" s="29" t="n">
        <v>0</v>
      </c>
      <c r="F605" s="6" t="n">
        <v>1</v>
      </c>
      <c r="G605" s="6" t="n">
        <v>7</v>
      </c>
      <c r="H605" s="6"/>
    </row>
    <row r="606" customFormat="false" ht="15" hidden="false" customHeight="true" outlineLevel="0" collapsed="false">
      <c r="A606" s="6" t="s">
        <v>5458</v>
      </c>
      <c r="B606" s="6" t="s">
        <v>8002</v>
      </c>
      <c r="C606" s="28" t="n">
        <v>20</v>
      </c>
      <c r="D606" s="6" t="n">
        <v>13</v>
      </c>
      <c r="E606" s="29" t="n">
        <v>0</v>
      </c>
      <c r="F606" s="6" t="n">
        <v>0.86</v>
      </c>
      <c r="G606" s="6" t="s">
        <v>6870</v>
      </c>
      <c r="H606" s="6"/>
    </row>
    <row r="607" customFormat="false" ht="15" hidden="false" customHeight="true" outlineLevel="0" collapsed="false">
      <c r="A607" s="6" t="s">
        <v>5456</v>
      </c>
      <c r="B607" s="6" t="s">
        <v>7997</v>
      </c>
      <c r="C607" s="28" t="n">
        <v>20</v>
      </c>
      <c r="D607" s="6" t="n">
        <v>17</v>
      </c>
      <c r="E607" s="29" t="n">
        <v>0.39</v>
      </c>
      <c r="F607" s="6" t="n">
        <v>1</v>
      </c>
      <c r="G607" s="6" t="s">
        <v>6867</v>
      </c>
      <c r="H607" s="6"/>
    </row>
    <row r="608" customFormat="false" ht="15" hidden="false" customHeight="true" outlineLevel="0" collapsed="false">
      <c r="A608" s="6" t="s">
        <v>6747</v>
      </c>
      <c r="B608" s="6" t="s">
        <v>8001</v>
      </c>
      <c r="C608" s="28" t="n">
        <v>20</v>
      </c>
      <c r="D608" s="6" t="n">
        <v>24</v>
      </c>
      <c r="E608" s="29" t="n">
        <v>0.73</v>
      </c>
      <c r="F608" s="6" t="n">
        <v>0.5</v>
      </c>
      <c r="G608" s="6" t="n">
        <v>3</v>
      </c>
      <c r="H608" s="6"/>
    </row>
    <row r="609" customFormat="false" ht="15" hidden="false" customHeight="true" outlineLevel="0" collapsed="false">
      <c r="A609" s="6" t="s">
        <v>5520</v>
      </c>
      <c r="B609" s="6" t="s">
        <v>7998</v>
      </c>
      <c r="C609" s="28" t="n">
        <v>20</v>
      </c>
      <c r="D609" s="6" t="n">
        <v>10</v>
      </c>
      <c r="E609" s="29" t="n">
        <v>0</v>
      </c>
      <c r="F609" s="6" t="n">
        <v>0.99</v>
      </c>
      <c r="G609" s="6" t="n">
        <v>7</v>
      </c>
      <c r="H609" s="6"/>
    </row>
    <row r="610" customFormat="false" ht="15" hidden="false" customHeight="true" outlineLevel="0" collapsed="false">
      <c r="A610" s="6" t="s">
        <v>5532</v>
      </c>
      <c r="B610" s="6" t="s">
        <v>7997</v>
      </c>
      <c r="C610" s="28" t="n">
        <v>20</v>
      </c>
      <c r="D610" s="6" t="n">
        <v>10</v>
      </c>
      <c r="E610" s="29" t="n">
        <v>0</v>
      </c>
      <c r="F610" s="6" t="n">
        <v>1</v>
      </c>
      <c r="G610" s="6" t="n">
        <v>7</v>
      </c>
      <c r="H610" s="6"/>
    </row>
    <row r="611" customFormat="false" ht="15" hidden="false" customHeight="true" outlineLevel="0" collapsed="false">
      <c r="A611" s="6" t="s">
        <v>6652</v>
      </c>
      <c r="B611" s="6" t="s">
        <v>7998</v>
      </c>
      <c r="C611" s="28" t="n">
        <v>20</v>
      </c>
      <c r="D611" s="6" t="n">
        <v>22</v>
      </c>
      <c r="E611" s="29" t="n">
        <v>0.63</v>
      </c>
      <c r="F611" s="6" t="n">
        <v>1</v>
      </c>
      <c r="G611" s="6" t="n">
        <v>2</v>
      </c>
      <c r="H611" s="6"/>
    </row>
    <row r="612" customFormat="false" ht="15" hidden="false" customHeight="true" outlineLevel="0" collapsed="false">
      <c r="A612" s="6" t="s">
        <v>6751</v>
      </c>
      <c r="B612" s="6" t="s">
        <v>7998</v>
      </c>
      <c r="C612" s="28" t="n">
        <v>20</v>
      </c>
      <c r="D612" s="6" t="n">
        <v>4</v>
      </c>
      <c r="E612" s="29" t="n">
        <v>0.91</v>
      </c>
      <c r="F612" s="6" t="n">
        <v>1</v>
      </c>
      <c r="G612" s="6" t="n">
        <v>3</v>
      </c>
      <c r="H612" s="6"/>
    </row>
    <row r="613" customFormat="false" ht="15" hidden="false" customHeight="true" outlineLevel="0" collapsed="false">
      <c r="A613" s="6" t="s">
        <v>6753</v>
      </c>
      <c r="B613" s="6" t="s">
        <v>7998</v>
      </c>
      <c r="C613" s="28" t="n">
        <v>20</v>
      </c>
      <c r="D613" s="6" t="n">
        <v>6</v>
      </c>
      <c r="E613" s="29" t="n">
        <v>0</v>
      </c>
      <c r="F613" s="6" t="n">
        <v>0.5</v>
      </c>
      <c r="G613" s="6" t="n">
        <v>3</v>
      </c>
      <c r="H613" s="6"/>
    </row>
    <row r="614" customFormat="false" ht="15" hidden="false" customHeight="true" outlineLevel="0" collapsed="false">
      <c r="A614" s="6" t="s">
        <v>6755</v>
      </c>
      <c r="B614" s="6" t="s">
        <v>7998</v>
      </c>
      <c r="C614" s="28" t="n">
        <v>20</v>
      </c>
      <c r="D614" s="6" t="n">
        <v>7</v>
      </c>
      <c r="E614" s="29" t="n">
        <v>0</v>
      </c>
      <c r="F614" s="6" t="n">
        <v>0.99</v>
      </c>
      <c r="G614" s="6" t="n">
        <v>3</v>
      </c>
      <c r="H614" s="6"/>
    </row>
    <row r="615" customFormat="false" ht="15" hidden="false" customHeight="true" outlineLevel="0" collapsed="false">
      <c r="A615" s="6" t="s">
        <v>6766</v>
      </c>
      <c r="B615" s="6" t="s">
        <v>7999</v>
      </c>
      <c r="C615" s="28" t="n">
        <v>20</v>
      </c>
      <c r="D615" s="6" t="n">
        <v>8</v>
      </c>
      <c r="E615" s="29" t="n">
        <v>0</v>
      </c>
      <c r="F615" s="6" t="n">
        <v>1</v>
      </c>
      <c r="G615" s="6" t="n">
        <v>3</v>
      </c>
      <c r="H615" s="6"/>
    </row>
    <row r="616" customFormat="false" ht="15" hidden="false" customHeight="true" outlineLevel="0" collapsed="false">
      <c r="A616" s="6" t="s">
        <v>6768</v>
      </c>
      <c r="B616" s="6" t="s">
        <v>7998</v>
      </c>
      <c r="C616" s="28" t="n">
        <v>20</v>
      </c>
      <c r="D616" s="6" t="n">
        <v>13</v>
      </c>
      <c r="E616" s="29" t="n">
        <v>0</v>
      </c>
      <c r="F616" s="6" t="n">
        <v>0.29</v>
      </c>
      <c r="G616" s="6" t="n">
        <v>3</v>
      </c>
      <c r="H616" s="6"/>
    </row>
    <row r="617" customFormat="false" ht="15" hidden="false" customHeight="true" outlineLevel="0" collapsed="false">
      <c r="A617" s="6" t="s">
        <v>5570</v>
      </c>
      <c r="B617" s="6" t="s">
        <v>7997</v>
      </c>
      <c r="C617" s="28" t="n">
        <v>20</v>
      </c>
      <c r="D617" s="6" t="n">
        <v>16</v>
      </c>
      <c r="E617" s="29" t="n">
        <v>0.5</v>
      </c>
      <c r="F617" s="6" t="n">
        <v>1</v>
      </c>
      <c r="G617" s="6" t="s">
        <v>6867</v>
      </c>
      <c r="H617" s="6"/>
    </row>
    <row r="618" customFormat="false" ht="15" hidden="false" customHeight="true" outlineLevel="0" collapsed="false">
      <c r="A618" s="6" t="s">
        <v>5545</v>
      </c>
      <c r="B618" s="6" t="s">
        <v>7998</v>
      </c>
      <c r="C618" s="28" t="n">
        <v>20</v>
      </c>
      <c r="D618" s="6" t="n">
        <v>13</v>
      </c>
      <c r="E618" s="29" t="n">
        <v>0</v>
      </c>
      <c r="F618" s="6" t="n">
        <v>1</v>
      </c>
      <c r="G618" s="6" t="n">
        <v>7</v>
      </c>
      <c r="H618" s="6"/>
    </row>
    <row r="619" customFormat="false" ht="15" hidden="false" customHeight="true" outlineLevel="0" collapsed="false">
      <c r="A619" s="6" t="s">
        <v>6654</v>
      </c>
      <c r="B619" s="6" t="s">
        <v>7998</v>
      </c>
      <c r="C619" s="28" t="n">
        <v>20</v>
      </c>
      <c r="D619" s="6" t="n">
        <v>16</v>
      </c>
      <c r="E619" s="29" t="n">
        <v>0</v>
      </c>
      <c r="F619" s="6" t="n">
        <v>1</v>
      </c>
      <c r="G619" s="6" t="n">
        <v>2</v>
      </c>
      <c r="H619" s="6"/>
    </row>
    <row r="620" customFormat="false" ht="15" hidden="false" customHeight="true" outlineLevel="0" collapsed="false">
      <c r="A620" s="6" t="s">
        <v>7938</v>
      </c>
      <c r="B620" s="6" t="s">
        <v>7997</v>
      </c>
      <c r="C620" s="28" t="n">
        <v>20</v>
      </c>
      <c r="D620" s="6" t="n">
        <v>5</v>
      </c>
      <c r="E620" s="29" t="n">
        <v>0.88</v>
      </c>
      <c r="F620" s="6" t="n">
        <v>1</v>
      </c>
      <c r="G620" s="6" t="s">
        <v>7927</v>
      </c>
      <c r="H620" s="6"/>
    </row>
    <row r="621" customFormat="false" ht="15" hidden="false" customHeight="true" outlineLevel="0" collapsed="false">
      <c r="A621" s="6" t="s">
        <v>5581</v>
      </c>
      <c r="B621" s="6" t="s">
        <v>8002</v>
      </c>
      <c r="C621" s="28" t="n">
        <v>20</v>
      </c>
      <c r="D621" s="6" t="n">
        <v>13</v>
      </c>
      <c r="E621" s="29" t="n">
        <v>0.35</v>
      </c>
      <c r="F621" s="6" t="n">
        <v>0.95</v>
      </c>
      <c r="G621" s="6" t="s">
        <v>6867</v>
      </c>
      <c r="H621" s="6"/>
    </row>
    <row r="622" customFormat="false" ht="15" hidden="false" customHeight="true" outlineLevel="0" collapsed="false">
      <c r="A622" s="6" t="s">
        <v>5580</v>
      </c>
      <c r="B622" s="6" t="s">
        <v>8001</v>
      </c>
      <c r="C622" s="28" t="n">
        <v>20</v>
      </c>
      <c r="D622" s="6" t="n">
        <v>10</v>
      </c>
      <c r="E622" s="29" t="n">
        <v>0</v>
      </c>
      <c r="F622" s="6" t="n">
        <v>1</v>
      </c>
      <c r="G622" s="6" t="s">
        <v>6870</v>
      </c>
      <c r="H622" s="6"/>
    </row>
    <row r="623" customFormat="false" ht="15" hidden="false" customHeight="true" outlineLevel="0" collapsed="false">
      <c r="A623" s="6" t="s">
        <v>5602</v>
      </c>
      <c r="B623" s="6" t="s">
        <v>7997</v>
      </c>
      <c r="C623" s="28" t="n">
        <v>20</v>
      </c>
      <c r="D623" s="6" t="n">
        <v>17</v>
      </c>
      <c r="E623" s="29" t="n">
        <v>0</v>
      </c>
      <c r="F623" s="6" t="n">
        <v>1</v>
      </c>
      <c r="G623" s="6" t="n">
        <v>7</v>
      </c>
      <c r="H623" s="6"/>
    </row>
    <row r="624" customFormat="false" ht="15" hidden="false" customHeight="true" outlineLevel="0" collapsed="false">
      <c r="A624" s="6" t="s">
        <v>7921</v>
      </c>
      <c r="B624" s="6" t="s">
        <v>7997</v>
      </c>
      <c r="C624" s="28" t="n">
        <v>20</v>
      </c>
      <c r="D624" s="6" t="n">
        <v>3</v>
      </c>
      <c r="E624" s="29" t="n">
        <v>0</v>
      </c>
      <c r="F624" s="6" t="n">
        <v>0.66</v>
      </c>
      <c r="G624" s="6" t="s">
        <v>6868</v>
      </c>
      <c r="H624" s="6"/>
    </row>
    <row r="625" customFormat="false" ht="15" hidden="false" customHeight="true" outlineLevel="0" collapsed="false">
      <c r="A625" s="6" t="s">
        <v>4605</v>
      </c>
      <c r="B625" s="6" t="s">
        <v>8001</v>
      </c>
      <c r="C625" s="28" t="n">
        <v>20</v>
      </c>
      <c r="D625" s="6" t="n">
        <v>20</v>
      </c>
      <c r="E625" s="29" t="n">
        <v>0</v>
      </c>
      <c r="F625" s="6" t="n">
        <v>0.33</v>
      </c>
      <c r="G625" s="6" t="n">
        <v>7</v>
      </c>
      <c r="H625" s="6"/>
    </row>
    <row r="626" customFormat="false" ht="15" hidden="false" customHeight="true" outlineLevel="0" collapsed="false">
      <c r="A626" s="6" t="s">
        <v>5668</v>
      </c>
      <c r="B626" s="6" t="s">
        <v>7998</v>
      </c>
      <c r="C626" s="28" t="n">
        <v>20</v>
      </c>
      <c r="D626" s="6" t="n">
        <v>8</v>
      </c>
      <c r="E626" s="29" t="n">
        <v>0</v>
      </c>
      <c r="F626" s="6" t="n">
        <v>0.33</v>
      </c>
      <c r="G626" s="6" t="n">
        <v>7</v>
      </c>
      <c r="H626" s="6"/>
    </row>
    <row r="627" customFormat="false" ht="15" hidden="false" customHeight="true" outlineLevel="0" collapsed="false">
      <c r="A627" s="6" t="s">
        <v>5691</v>
      </c>
      <c r="B627" s="6" t="s">
        <v>7998</v>
      </c>
      <c r="C627" s="28" t="n">
        <v>20</v>
      </c>
      <c r="D627" s="6" t="n">
        <v>3</v>
      </c>
      <c r="E627" s="29" t="n">
        <v>0</v>
      </c>
      <c r="F627" s="6" t="n">
        <v>1</v>
      </c>
      <c r="G627" s="6" t="n">
        <v>7</v>
      </c>
      <c r="H627" s="6"/>
    </row>
    <row r="628" customFormat="false" ht="15" hidden="false" customHeight="true" outlineLevel="0" collapsed="false">
      <c r="A628" s="6" t="s">
        <v>5703</v>
      </c>
      <c r="B628" s="6" t="s">
        <v>8000</v>
      </c>
      <c r="C628" s="28" t="n">
        <v>20</v>
      </c>
      <c r="D628" s="6" t="n">
        <v>15</v>
      </c>
      <c r="E628" s="29" t="n">
        <v>0</v>
      </c>
      <c r="F628" s="6" t="n">
        <v>1</v>
      </c>
      <c r="G628" s="6" t="n">
        <v>7</v>
      </c>
      <c r="H628" s="6"/>
    </row>
    <row r="629" customFormat="false" ht="15" hidden="false" customHeight="true" outlineLevel="0" collapsed="false">
      <c r="A629" s="6" t="s">
        <v>5743</v>
      </c>
      <c r="B629" s="6" t="s">
        <v>8000</v>
      </c>
      <c r="C629" s="28" t="n">
        <v>20</v>
      </c>
      <c r="D629" s="6" t="n">
        <v>18</v>
      </c>
      <c r="E629" s="29" t="n">
        <v>0</v>
      </c>
      <c r="F629" s="6" t="n">
        <v>1</v>
      </c>
      <c r="G629" s="6" t="s">
        <v>6868</v>
      </c>
      <c r="H629" s="6"/>
    </row>
    <row r="630" customFormat="false" ht="15" hidden="false" customHeight="true" outlineLevel="0" collapsed="false">
      <c r="A630" s="6" t="s">
        <v>5740</v>
      </c>
      <c r="B630" s="6" t="s">
        <v>8000</v>
      </c>
      <c r="C630" s="28" t="n">
        <v>20</v>
      </c>
      <c r="D630" s="6" t="n">
        <v>9</v>
      </c>
      <c r="E630" s="29" t="n">
        <v>0</v>
      </c>
      <c r="F630" s="6" t="n">
        <v>1</v>
      </c>
      <c r="G630" s="6" t="s">
        <v>6868</v>
      </c>
      <c r="H630" s="6"/>
    </row>
    <row r="631" customFormat="false" ht="15" hidden="false" customHeight="true" outlineLevel="0" collapsed="false">
      <c r="A631" s="6" t="s">
        <v>5764</v>
      </c>
      <c r="B631" s="6" t="s">
        <v>7998</v>
      </c>
      <c r="C631" s="28" t="n">
        <v>20</v>
      </c>
      <c r="D631" s="6" t="n">
        <v>8</v>
      </c>
      <c r="E631" s="29" t="n">
        <v>0</v>
      </c>
      <c r="F631" s="6" t="n">
        <v>0.33</v>
      </c>
      <c r="G631" s="6" t="n">
        <v>7</v>
      </c>
      <c r="H631" s="6"/>
    </row>
    <row r="632" customFormat="false" ht="15" hidden="false" customHeight="true" outlineLevel="0" collapsed="false">
      <c r="A632" s="6" t="s">
        <v>5889</v>
      </c>
      <c r="B632" s="6" t="s">
        <v>7997</v>
      </c>
      <c r="C632" s="28" t="n">
        <v>20</v>
      </c>
      <c r="D632" s="6" t="n">
        <v>16</v>
      </c>
      <c r="E632" s="29" t="n">
        <v>0</v>
      </c>
      <c r="F632" s="6" t="n">
        <v>0</v>
      </c>
      <c r="G632" s="6" t="n">
        <v>7</v>
      </c>
      <c r="H632" s="6"/>
    </row>
    <row r="633" customFormat="false" ht="15" hidden="false" customHeight="true" outlineLevel="0" collapsed="false">
      <c r="A633" s="6" t="s">
        <v>5911</v>
      </c>
      <c r="B633" s="6" t="s">
        <v>7998</v>
      </c>
      <c r="C633" s="28" t="n">
        <v>20</v>
      </c>
      <c r="D633" s="6" t="n">
        <v>12</v>
      </c>
      <c r="E633" s="29" t="n">
        <v>0</v>
      </c>
      <c r="F633" s="6" t="n">
        <v>0.94</v>
      </c>
      <c r="G633" s="6" t="n">
        <v>7</v>
      </c>
      <c r="H633" s="6"/>
    </row>
    <row r="634" customFormat="false" ht="15" hidden="false" customHeight="true" outlineLevel="0" collapsed="false">
      <c r="A634" s="6" t="s">
        <v>5822</v>
      </c>
      <c r="B634" s="6" t="s">
        <v>7997</v>
      </c>
      <c r="C634" s="28" t="n">
        <v>20</v>
      </c>
      <c r="D634" s="6" t="n">
        <v>7</v>
      </c>
      <c r="E634" s="29" t="n">
        <v>0</v>
      </c>
      <c r="F634" s="6" t="n">
        <v>1</v>
      </c>
      <c r="G634" s="6" t="n">
        <v>7</v>
      </c>
      <c r="H634" s="6"/>
    </row>
    <row r="635" customFormat="false" ht="15" hidden="false" customHeight="true" outlineLevel="0" collapsed="false">
      <c r="A635" s="6" t="s">
        <v>5833</v>
      </c>
      <c r="B635" s="6" t="s">
        <v>8000</v>
      </c>
      <c r="C635" s="28" t="n">
        <v>20</v>
      </c>
      <c r="D635" s="6" t="n">
        <v>28</v>
      </c>
      <c r="E635" s="29" t="n">
        <v>0</v>
      </c>
      <c r="F635" s="6" t="n">
        <v>0.71</v>
      </c>
      <c r="G635" s="6" t="n">
        <v>7</v>
      </c>
      <c r="H635" s="6"/>
    </row>
    <row r="636" customFormat="false" ht="15" hidden="false" customHeight="true" outlineLevel="0" collapsed="false">
      <c r="A636" s="6" t="s">
        <v>5922</v>
      </c>
      <c r="B636" s="6" t="s">
        <v>7999</v>
      </c>
      <c r="C636" s="28" t="n">
        <v>20</v>
      </c>
      <c r="D636" s="6" t="n">
        <v>6</v>
      </c>
      <c r="E636" s="29" t="n">
        <v>0</v>
      </c>
      <c r="F636" s="6" t="n">
        <v>0.43</v>
      </c>
      <c r="G636" s="6" t="n">
        <v>7</v>
      </c>
      <c r="H636" s="6"/>
    </row>
    <row r="637" customFormat="false" ht="15" hidden="false" customHeight="true" outlineLevel="0" collapsed="false">
      <c r="A637" s="6" t="s">
        <v>5855</v>
      </c>
      <c r="B637" s="6" t="s">
        <v>7998</v>
      </c>
      <c r="C637" s="28" t="n">
        <v>20</v>
      </c>
      <c r="D637" s="6" t="n">
        <v>16</v>
      </c>
      <c r="E637" s="29" t="n">
        <v>0</v>
      </c>
      <c r="F637" s="6" t="n">
        <v>1</v>
      </c>
      <c r="G637" s="6" t="n">
        <v>7</v>
      </c>
      <c r="H637" s="6"/>
    </row>
    <row r="638" customFormat="false" ht="15" hidden="false" customHeight="true" outlineLevel="0" collapsed="false">
      <c r="A638" s="6" t="s">
        <v>6008</v>
      </c>
      <c r="B638" s="6" t="s">
        <v>7998</v>
      </c>
      <c r="C638" s="28" t="n">
        <v>20</v>
      </c>
      <c r="D638" s="6" t="n">
        <v>16</v>
      </c>
      <c r="E638" s="29" t="n">
        <v>0</v>
      </c>
      <c r="F638" s="6" t="n">
        <v>0</v>
      </c>
      <c r="G638" s="6" t="n">
        <v>7</v>
      </c>
      <c r="H638" s="6"/>
    </row>
    <row r="639" customFormat="false" ht="15" hidden="false" customHeight="true" outlineLevel="0" collapsed="false">
      <c r="A639" s="6" t="s">
        <v>6020</v>
      </c>
      <c r="B639" s="6" t="s">
        <v>8000</v>
      </c>
      <c r="C639" s="28" t="n">
        <v>20</v>
      </c>
      <c r="D639" s="6" t="n">
        <v>9</v>
      </c>
      <c r="E639" s="29" t="n">
        <v>0</v>
      </c>
      <c r="F639" s="6" t="n">
        <v>0.33</v>
      </c>
      <c r="G639" s="6" t="n">
        <v>7</v>
      </c>
      <c r="H639" s="6"/>
    </row>
    <row r="640" customFormat="false" ht="15" hidden="false" customHeight="true" outlineLevel="0" collapsed="false">
      <c r="A640" s="6" t="s">
        <v>6042</v>
      </c>
      <c r="B640" s="6" t="s">
        <v>7998</v>
      </c>
      <c r="C640" s="28" t="n">
        <v>20</v>
      </c>
      <c r="D640" s="6" t="n">
        <v>19</v>
      </c>
      <c r="E640" s="29" t="n">
        <v>0</v>
      </c>
      <c r="F640" s="6" t="n">
        <v>1</v>
      </c>
      <c r="G640" s="6" t="n">
        <v>7</v>
      </c>
      <c r="H640" s="6"/>
    </row>
    <row r="641" customFormat="false" ht="15" hidden="false" customHeight="true" outlineLevel="0" collapsed="false">
      <c r="A641" s="6" t="s">
        <v>6681</v>
      </c>
      <c r="B641" s="6" t="s">
        <v>7998</v>
      </c>
      <c r="C641" s="28" t="n">
        <v>20</v>
      </c>
      <c r="D641" s="6" t="n">
        <v>16</v>
      </c>
      <c r="E641" s="29" t="n">
        <v>0</v>
      </c>
      <c r="F641" s="6" t="n">
        <v>1</v>
      </c>
      <c r="G641" s="6" t="n">
        <v>2</v>
      </c>
      <c r="H641" s="6"/>
    </row>
    <row r="642" customFormat="false" ht="15" hidden="false" customHeight="true" outlineLevel="0" collapsed="false">
      <c r="A642" s="6" t="s">
        <v>6065</v>
      </c>
      <c r="B642" s="6" t="s">
        <v>7998</v>
      </c>
      <c r="C642" s="28" t="n">
        <v>20</v>
      </c>
      <c r="D642" s="6" t="n">
        <v>8</v>
      </c>
      <c r="E642" s="29" t="n">
        <v>0</v>
      </c>
      <c r="F642" s="6" t="n">
        <v>0</v>
      </c>
      <c r="G642" s="6" t="n">
        <v>7</v>
      </c>
      <c r="H642" s="6"/>
    </row>
    <row r="643" customFormat="false" ht="15" hidden="false" customHeight="true" outlineLevel="0" collapsed="false">
      <c r="A643" s="6" t="s">
        <v>6076</v>
      </c>
      <c r="B643" s="6" t="s">
        <v>7998</v>
      </c>
      <c r="C643" s="28" t="n">
        <v>20</v>
      </c>
      <c r="D643" s="6" t="n">
        <v>13</v>
      </c>
      <c r="E643" s="29" t="n">
        <v>0</v>
      </c>
      <c r="F643" s="6" t="n">
        <v>1</v>
      </c>
      <c r="G643" s="6" t="n">
        <v>7</v>
      </c>
      <c r="H643" s="6"/>
    </row>
    <row r="644" customFormat="false" ht="15" hidden="false" customHeight="true" outlineLevel="0" collapsed="false">
      <c r="A644" s="6" t="s">
        <v>6087</v>
      </c>
      <c r="B644" s="6" t="s">
        <v>7998</v>
      </c>
      <c r="C644" s="28" t="n">
        <v>20</v>
      </c>
      <c r="D644" s="6" t="n">
        <v>6</v>
      </c>
      <c r="E644" s="29" t="n">
        <v>0</v>
      </c>
      <c r="F644" s="6" t="n">
        <v>1</v>
      </c>
      <c r="G644" s="6" t="n">
        <v>7</v>
      </c>
      <c r="H644" s="6"/>
    </row>
    <row r="645" customFormat="false" ht="15" hidden="false" customHeight="true" outlineLevel="0" collapsed="false">
      <c r="A645" s="6" t="s">
        <v>6109</v>
      </c>
      <c r="B645" s="6" t="s">
        <v>7998</v>
      </c>
      <c r="C645" s="28" t="n">
        <v>20</v>
      </c>
      <c r="D645" s="6" t="n">
        <v>7</v>
      </c>
      <c r="E645" s="29" t="n">
        <v>0</v>
      </c>
      <c r="F645" s="6" t="n">
        <v>0</v>
      </c>
      <c r="G645" s="6" t="n">
        <v>7</v>
      </c>
      <c r="H645" s="6"/>
    </row>
    <row r="646" customFormat="false" ht="15" hidden="false" customHeight="true" outlineLevel="0" collapsed="false">
      <c r="A646" s="6" t="s">
        <v>6120</v>
      </c>
      <c r="B646" s="6" t="s">
        <v>8000</v>
      </c>
      <c r="C646" s="28" t="n">
        <v>20</v>
      </c>
      <c r="D646" s="6" t="n">
        <v>18</v>
      </c>
      <c r="E646" s="29" t="n">
        <v>0</v>
      </c>
      <c r="F646" s="6" t="n">
        <v>1</v>
      </c>
      <c r="G646" s="6" t="n">
        <v>7</v>
      </c>
      <c r="H646" s="6"/>
    </row>
    <row r="647" customFormat="false" ht="15" hidden="false" customHeight="true" outlineLevel="0" collapsed="false">
      <c r="A647" s="6" t="s">
        <v>6132</v>
      </c>
      <c r="B647" s="6" t="s">
        <v>7998</v>
      </c>
      <c r="C647" s="28" t="n">
        <v>20</v>
      </c>
      <c r="D647" s="6" t="n">
        <v>12</v>
      </c>
      <c r="E647" s="29" t="n">
        <v>0</v>
      </c>
      <c r="F647" s="6" t="n">
        <v>1</v>
      </c>
      <c r="G647" s="6" t="n">
        <v>7</v>
      </c>
      <c r="H647" s="6"/>
    </row>
    <row r="648" customFormat="false" ht="15" hidden="false" customHeight="true" outlineLevel="0" collapsed="false">
      <c r="A648" s="6" t="s">
        <v>6148</v>
      </c>
      <c r="B648" s="6" t="s">
        <v>7998</v>
      </c>
      <c r="C648" s="28" t="n">
        <v>20</v>
      </c>
      <c r="D648" s="6" t="n">
        <v>13</v>
      </c>
      <c r="E648" s="29" t="n">
        <v>0</v>
      </c>
      <c r="F648" s="6" t="n">
        <v>1</v>
      </c>
      <c r="G648" s="6" t="s">
        <v>6868</v>
      </c>
      <c r="H648" s="6"/>
    </row>
    <row r="649" customFormat="false" ht="15" hidden="false" customHeight="true" outlineLevel="0" collapsed="false">
      <c r="A649" s="6" t="s">
        <v>6165</v>
      </c>
      <c r="B649" s="6" t="s">
        <v>7998</v>
      </c>
      <c r="C649" s="28" t="n">
        <v>20</v>
      </c>
      <c r="D649" s="6" t="n">
        <v>18</v>
      </c>
      <c r="E649" s="29" t="n">
        <v>0</v>
      </c>
      <c r="F649" s="6" t="n">
        <v>1</v>
      </c>
      <c r="G649" s="6" t="n">
        <v>7</v>
      </c>
      <c r="H649" s="6"/>
    </row>
    <row r="650" customFormat="false" ht="15" hidden="false" customHeight="true" outlineLevel="0" collapsed="false">
      <c r="A650" s="6" t="s">
        <v>6190</v>
      </c>
      <c r="B650" s="6" t="s">
        <v>8001</v>
      </c>
      <c r="C650" s="28" t="n">
        <v>20</v>
      </c>
      <c r="D650" s="6" t="n">
        <v>9</v>
      </c>
      <c r="E650" s="29" t="n">
        <v>0</v>
      </c>
      <c r="F650" s="6" t="n">
        <v>0.8</v>
      </c>
      <c r="G650" s="6" t="n">
        <v>7</v>
      </c>
      <c r="H650" s="6"/>
    </row>
    <row r="651" customFormat="false" ht="15" hidden="false" customHeight="true" outlineLevel="0" collapsed="false">
      <c r="A651" s="6" t="s">
        <v>6201</v>
      </c>
      <c r="B651" s="6" t="s">
        <v>7998</v>
      </c>
      <c r="C651" s="28" t="n">
        <v>20</v>
      </c>
      <c r="D651" s="6" t="n">
        <v>9</v>
      </c>
      <c r="E651" s="29" t="n">
        <v>0</v>
      </c>
      <c r="F651" s="6" t="n">
        <v>1</v>
      </c>
      <c r="G651" s="6" t="n">
        <v>7</v>
      </c>
      <c r="H651" s="6"/>
    </row>
    <row r="652" customFormat="false" ht="15" hidden="false" customHeight="true" outlineLevel="0" collapsed="false">
      <c r="A652" s="6" t="s">
        <v>6226</v>
      </c>
      <c r="B652" s="6" t="s">
        <v>7997</v>
      </c>
      <c r="C652" s="28" t="n">
        <v>20</v>
      </c>
      <c r="D652" s="6" t="n">
        <v>13</v>
      </c>
      <c r="E652" s="29" t="n">
        <v>0</v>
      </c>
      <c r="F652" s="6" t="n">
        <v>1</v>
      </c>
      <c r="G652" s="6" t="s">
        <v>6868</v>
      </c>
      <c r="H652" s="6"/>
    </row>
    <row r="653" customFormat="false" ht="15" hidden="false" customHeight="true" outlineLevel="0" collapsed="false">
      <c r="A653" s="6" t="s">
        <v>6233</v>
      </c>
      <c r="B653" s="6" t="s">
        <v>8004</v>
      </c>
      <c r="C653" s="28" t="n">
        <v>20</v>
      </c>
      <c r="D653" s="6" t="n">
        <v>12</v>
      </c>
      <c r="E653" s="29" t="n">
        <v>0</v>
      </c>
      <c r="F653" s="6" t="n">
        <v>0.95</v>
      </c>
      <c r="G653" s="6" t="n">
        <v>8</v>
      </c>
      <c r="H653" s="6"/>
    </row>
    <row r="654" customFormat="false" ht="15" hidden="false" customHeight="true" outlineLevel="0" collapsed="false">
      <c r="A654" s="6" t="s">
        <v>6244</v>
      </c>
      <c r="B654" s="6" t="s">
        <v>7998</v>
      </c>
      <c r="C654" s="28" t="n">
        <v>20</v>
      </c>
      <c r="D654" s="6" t="n">
        <v>10</v>
      </c>
      <c r="E654" s="29" t="n">
        <v>0</v>
      </c>
      <c r="F654" s="6" t="n">
        <v>0.6</v>
      </c>
      <c r="G654" s="6" t="n">
        <v>8</v>
      </c>
      <c r="H654" s="6"/>
    </row>
    <row r="655" customFormat="false" ht="15" hidden="false" customHeight="true" outlineLevel="0" collapsed="false">
      <c r="A655" s="6" t="s">
        <v>7799</v>
      </c>
      <c r="B655" s="6" t="s">
        <v>7998</v>
      </c>
      <c r="C655" s="28" t="n">
        <v>20</v>
      </c>
      <c r="D655" s="6" t="n">
        <v>4</v>
      </c>
      <c r="E655" s="29" t="n">
        <v>0.81</v>
      </c>
      <c r="F655" s="6" t="n">
        <v>1</v>
      </c>
      <c r="G655" s="6" t="s">
        <v>6870</v>
      </c>
      <c r="H655" s="6"/>
    </row>
    <row r="656" customFormat="false" ht="15" hidden="false" customHeight="true" outlineLevel="0" collapsed="false">
      <c r="A656" s="6" t="s">
        <v>6257</v>
      </c>
      <c r="B656" s="6" t="s">
        <v>8000</v>
      </c>
      <c r="C656" s="28" t="n">
        <v>20</v>
      </c>
      <c r="D656" s="6" t="n">
        <v>16</v>
      </c>
      <c r="E656" s="29" t="n">
        <v>0.66</v>
      </c>
      <c r="F656" s="6" t="n">
        <v>1</v>
      </c>
      <c r="G656" s="6" t="s">
        <v>6867</v>
      </c>
      <c r="H656" s="6"/>
    </row>
    <row r="657" customFormat="false" ht="15" hidden="false" customHeight="true" outlineLevel="0" collapsed="false">
      <c r="A657" s="6" t="s">
        <v>6254</v>
      </c>
      <c r="B657" s="6" t="s">
        <v>7998</v>
      </c>
      <c r="C657" s="28" t="n">
        <v>20</v>
      </c>
      <c r="D657" s="6" t="n">
        <v>11</v>
      </c>
      <c r="E657" s="29" t="n">
        <v>0</v>
      </c>
      <c r="F657" s="6" t="n">
        <v>1</v>
      </c>
      <c r="G657" s="6" t="s">
        <v>6867</v>
      </c>
      <c r="H657" s="6"/>
    </row>
    <row r="658" customFormat="false" ht="15" hidden="false" customHeight="true" outlineLevel="0" collapsed="false">
      <c r="A658" s="6" t="s">
        <v>6265</v>
      </c>
      <c r="B658" s="6" t="s">
        <v>7998</v>
      </c>
      <c r="C658" s="28" t="n">
        <v>20</v>
      </c>
      <c r="D658" s="6" t="n">
        <v>12</v>
      </c>
      <c r="E658" s="29" t="n">
        <v>0</v>
      </c>
      <c r="F658" s="6" t="n">
        <v>0.99</v>
      </c>
      <c r="G658" s="6" t="n">
        <v>8</v>
      </c>
      <c r="H658" s="6"/>
    </row>
    <row r="659" customFormat="false" ht="15" hidden="false" customHeight="true" outlineLevel="0" collapsed="false">
      <c r="A659" s="6" t="s">
        <v>6276</v>
      </c>
      <c r="B659" s="6" t="s">
        <v>7998</v>
      </c>
      <c r="C659" s="28" t="n">
        <v>20</v>
      </c>
      <c r="D659" s="6" t="n">
        <v>7</v>
      </c>
      <c r="E659" s="29" t="n">
        <v>0</v>
      </c>
      <c r="F659" s="6" t="n">
        <v>1</v>
      </c>
      <c r="G659" s="6" t="n">
        <v>8</v>
      </c>
      <c r="H659" s="6"/>
    </row>
    <row r="660" customFormat="false" ht="15" hidden="false" customHeight="true" outlineLevel="0" collapsed="false">
      <c r="A660" s="6" t="s">
        <v>6308</v>
      </c>
      <c r="B660" s="6" t="s">
        <v>8001</v>
      </c>
      <c r="C660" s="28" t="n">
        <v>20</v>
      </c>
      <c r="D660" s="6" t="n">
        <v>19</v>
      </c>
      <c r="E660" s="29" t="n">
        <v>0</v>
      </c>
      <c r="F660" s="6" t="n">
        <v>1</v>
      </c>
      <c r="G660" s="6" t="n">
        <v>8</v>
      </c>
      <c r="H660" s="6"/>
    </row>
    <row r="661" customFormat="false" ht="15" hidden="false" customHeight="true" outlineLevel="0" collapsed="false">
      <c r="A661" s="6" t="s">
        <v>6319</v>
      </c>
      <c r="B661" s="6" t="s">
        <v>7998</v>
      </c>
      <c r="C661" s="28" t="n">
        <v>20</v>
      </c>
      <c r="D661" s="6" t="n">
        <v>5</v>
      </c>
      <c r="E661" s="29" t="n">
        <v>0</v>
      </c>
      <c r="F661" s="6" t="n">
        <v>1</v>
      </c>
      <c r="G661" s="6" t="n">
        <v>8</v>
      </c>
      <c r="H661" s="6"/>
    </row>
    <row r="662" customFormat="false" ht="15" hidden="false" customHeight="true" outlineLevel="0" collapsed="false">
      <c r="A662" s="6" t="s">
        <v>6342</v>
      </c>
      <c r="B662" s="6" t="s">
        <v>7997</v>
      </c>
      <c r="C662" s="28" t="n">
        <v>20</v>
      </c>
      <c r="D662" s="6" t="n">
        <v>16</v>
      </c>
      <c r="E662" s="29" t="n">
        <v>0</v>
      </c>
      <c r="F662" s="6" t="n">
        <v>0.97</v>
      </c>
      <c r="G662" s="6" t="n">
        <v>8</v>
      </c>
      <c r="H662" s="6"/>
    </row>
    <row r="663" customFormat="false" ht="15" hidden="false" customHeight="true" outlineLevel="0" collapsed="false">
      <c r="A663" s="6" t="s">
        <v>6374</v>
      </c>
      <c r="B663" s="6" t="s">
        <v>7998</v>
      </c>
      <c r="C663" s="28" t="n">
        <v>20</v>
      </c>
      <c r="D663" s="6" t="n">
        <v>18</v>
      </c>
      <c r="E663" s="29" t="n">
        <v>0</v>
      </c>
      <c r="F663" s="6" t="n">
        <v>1</v>
      </c>
      <c r="G663" s="6" t="s">
        <v>6867</v>
      </c>
      <c r="H663" s="6"/>
    </row>
    <row r="664" customFormat="false" ht="15" hidden="false" customHeight="true" outlineLevel="0" collapsed="false">
      <c r="A664" s="6" t="s">
        <v>6356</v>
      </c>
      <c r="B664" s="6" t="s">
        <v>8002</v>
      </c>
      <c r="C664" s="28" t="n">
        <v>20</v>
      </c>
      <c r="D664" s="6" t="n">
        <v>18</v>
      </c>
      <c r="E664" s="29" t="n">
        <v>0</v>
      </c>
      <c r="F664" s="6" t="n">
        <v>1</v>
      </c>
      <c r="G664" s="6" t="s">
        <v>6870</v>
      </c>
      <c r="H664" s="6"/>
    </row>
    <row r="665" customFormat="false" ht="15" hidden="false" customHeight="true" outlineLevel="0" collapsed="false">
      <c r="A665" s="6" t="s">
        <v>6354</v>
      </c>
      <c r="B665" s="6" t="s">
        <v>7998</v>
      </c>
      <c r="C665" s="28" t="n">
        <v>20</v>
      </c>
      <c r="D665" s="6" t="n">
        <v>12</v>
      </c>
      <c r="E665" s="29" t="n">
        <v>0.78</v>
      </c>
      <c r="F665" s="6" t="n">
        <v>1</v>
      </c>
      <c r="G665" s="6" t="s">
        <v>6867</v>
      </c>
      <c r="H665" s="6"/>
    </row>
    <row r="666" customFormat="false" ht="15" hidden="false" customHeight="true" outlineLevel="0" collapsed="false">
      <c r="A666" s="6" t="s">
        <v>6391</v>
      </c>
      <c r="B666" s="6" t="s">
        <v>8002</v>
      </c>
      <c r="C666" s="28" t="n">
        <v>20</v>
      </c>
      <c r="D666" s="6" t="n">
        <v>13</v>
      </c>
      <c r="E666" s="29" t="n">
        <v>0.26</v>
      </c>
      <c r="F666" s="6" t="n">
        <v>0.95</v>
      </c>
      <c r="G666" s="6" t="s">
        <v>6870</v>
      </c>
      <c r="H666" s="6"/>
    </row>
    <row r="667" customFormat="false" ht="15" hidden="false" customHeight="true" outlineLevel="0" collapsed="false">
      <c r="A667" s="6" t="s">
        <v>6389</v>
      </c>
      <c r="B667" s="6" t="s">
        <v>7998</v>
      </c>
      <c r="C667" s="28" t="n">
        <v>20</v>
      </c>
      <c r="D667" s="6" t="n">
        <v>12</v>
      </c>
      <c r="E667" s="29" t="n">
        <v>0.59</v>
      </c>
      <c r="F667" s="6" t="n">
        <v>1</v>
      </c>
      <c r="G667" s="6" t="s">
        <v>6867</v>
      </c>
      <c r="H667" s="6"/>
    </row>
    <row r="668" customFormat="false" ht="15" hidden="false" customHeight="true" outlineLevel="0" collapsed="false">
      <c r="A668" s="6" t="s">
        <v>6434</v>
      </c>
      <c r="B668" s="6" t="s">
        <v>7998</v>
      </c>
      <c r="C668" s="28" t="n">
        <v>20</v>
      </c>
      <c r="D668" s="6" t="n">
        <v>20</v>
      </c>
      <c r="E668" s="29" t="n">
        <v>0</v>
      </c>
      <c r="F668" s="6" t="n">
        <v>1</v>
      </c>
      <c r="G668" s="6" t="n">
        <v>8</v>
      </c>
      <c r="H668" s="6"/>
    </row>
    <row r="669" customFormat="false" ht="15" hidden="false" customHeight="true" outlineLevel="0" collapsed="false">
      <c r="A669" s="6" t="s">
        <v>6412</v>
      </c>
      <c r="B669" s="6" t="s">
        <v>7998</v>
      </c>
      <c r="C669" s="28" t="n">
        <v>20</v>
      </c>
      <c r="D669" s="6" t="n">
        <v>16</v>
      </c>
      <c r="E669" s="29" t="n">
        <v>0</v>
      </c>
      <c r="F669" s="6" t="n">
        <v>1</v>
      </c>
      <c r="G669" s="6" t="n">
        <v>8</v>
      </c>
      <c r="H669" s="6"/>
    </row>
    <row r="670" customFormat="false" ht="15" hidden="false" customHeight="true" outlineLevel="0" collapsed="false">
      <c r="A670" s="6" t="s">
        <v>1573</v>
      </c>
      <c r="B670" s="6" t="s">
        <v>7997</v>
      </c>
      <c r="C670" s="28" t="n">
        <v>20</v>
      </c>
      <c r="D670" s="6" t="n">
        <v>22</v>
      </c>
      <c r="E670" s="29" t="n">
        <v>0</v>
      </c>
      <c r="F670" s="6" t="n">
        <v>1</v>
      </c>
      <c r="G670" s="6" t="n">
        <v>8</v>
      </c>
      <c r="H670" s="6"/>
    </row>
    <row r="671" customFormat="false" ht="15" hidden="false" customHeight="true" outlineLevel="0" collapsed="false">
      <c r="A671" s="6" t="s">
        <v>1596</v>
      </c>
      <c r="B671" s="6" t="s">
        <v>7998</v>
      </c>
      <c r="C671" s="28" t="n">
        <v>20</v>
      </c>
      <c r="D671" s="6" t="n">
        <v>14</v>
      </c>
      <c r="E671" s="29" t="n">
        <v>0</v>
      </c>
      <c r="F671" s="6" t="n">
        <v>1</v>
      </c>
      <c r="G671" s="6" t="n">
        <v>8</v>
      </c>
      <c r="H671" s="6"/>
    </row>
    <row r="672" customFormat="false" ht="15" hidden="false" customHeight="true" outlineLevel="0" collapsed="false">
      <c r="A672" s="6" t="s">
        <v>6789</v>
      </c>
      <c r="B672" s="6" t="s">
        <v>7997</v>
      </c>
      <c r="C672" s="28" t="n">
        <v>20</v>
      </c>
      <c r="D672" s="6" t="n">
        <v>10</v>
      </c>
      <c r="E672" s="29" t="n">
        <v>0</v>
      </c>
      <c r="F672" s="6" t="n">
        <v>1</v>
      </c>
      <c r="G672" s="6" t="n">
        <v>3</v>
      </c>
      <c r="H672" s="6"/>
    </row>
    <row r="673" customFormat="false" ht="15" hidden="false" customHeight="true" outlineLevel="0" collapsed="false">
      <c r="A673" s="6" t="s">
        <v>6790</v>
      </c>
      <c r="B673" s="6" t="s">
        <v>7997</v>
      </c>
      <c r="C673" s="28" t="n">
        <v>20</v>
      </c>
      <c r="D673" s="6" t="n">
        <v>8</v>
      </c>
      <c r="E673" s="29" t="n">
        <v>0</v>
      </c>
      <c r="F673" s="6" t="n">
        <v>0.9</v>
      </c>
      <c r="G673" s="6" t="n">
        <v>3</v>
      </c>
      <c r="H673" s="6"/>
    </row>
    <row r="674" customFormat="false" ht="15" hidden="false" customHeight="true" outlineLevel="0" collapsed="false">
      <c r="A674" s="6" t="s">
        <v>1526</v>
      </c>
      <c r="B674" s="6" t="s">
        <v>8004</v>
      </c>
      <c r="C674" s="28" t="n">
        <v>20</v>
      </c>
      <c r="D674" s="6" t="n">
        <v>9</v>
      </c>
      <c r="E674" s="29" t="n">
        <v>0.3</v>
      </c>
      <c r="F674" s="6" t="n">
        <v>0.98</v>
      </c>
      <c r="G674" s="6" t="n">
        <v>8</v>
      </c>
      <c r="H674" s="6"/>
    </row>
    <row r="675" customFormat="false" ht="15" hidden="false" customHeight="true" outlineLevel="0" collapsed="false">
      <c r="A675" s="6" t="s">
        <v>7859</v>
      </c>
      <c r="B675" s="6" t="s">
        <v>8006</v>
      </c>
      <c r="C675" s="28" t="n">
        <v>20</v>
      </c>
      <c r="D675" s="6" t="n">
        <v>25</v>
      </c>
      <c r="E675" s="29" t="n">
        <v>0</v>
      </c>
      <c r="F675" s="6" t="n">
        <v>0.33</v>
      </c>
      <c r="G675" s="6" t="s">
        <v>6893</v>
      </c>
      <c r="H675" s="6"/>
    </row>
    <row r="676" customFormat="false" ht="15" hidden="false" customHeight="true" outlineLevel="0" collapsed="false">
      <c r="A676" s="6" t="s">
        <v>1444</v>
      </c>
      <c r="B676" s="6" t="s">
        <v>7997</v>
      </c>
      <c r="C676" s="28" t="n">
        <v>20</v>
      </c>
      <c r="D676" s="6" t="n">
        <v>26</v>
      </c>
      <c r="E676" s="29" t="n">
        <v>0.55</v>
      </c>
      <c r="F676" s="6" t="n">
        <v>1</v>
      </c>
      <c r="G676" s="6" t="n">
        <v>8</v>
      </c>
      <c r="H676" s="6"/>
    </row>
    <row r="677" customFormat="false" ht="15" hidden="false" customHeight="true" outlineLevel="0" collapsed="false">
      <c r="A677" s="6" t="s">
        <v>7869</v>
      </c>
      <c r="B677" s="6" t="s">
        <v>8001</v>
      </c>
      <c r="C677" s="28" t="n">
        <v>20</v>
      </c>
      <c r="D677" s="6" t="n">
        <v>18</v>
      </c>
      <c r="E677" s="29" t="n">
        <v>0</v>
      </c>
      <c r="F677" s="6" t="n">
        <v>0.71</v>
      </c>
      <c r="G677" s="6" t="s">
        <v>6893</v>
      </c>
      <c r="H677" s="6"/>
    </row>
    <row r="678" customFormat="false" ht="15" hidden="false" customHeight="true" outlineLevel="0" collapsed="false">
      <c r="A678" s="6" t="s">
        <v>6797</v>
      </c>
      <c r="B678" s="6" t="s">
        <v>7997</v>
      </c>
      <c r="C678" s="28" t="n">
        <v>20</v>
      </c>
      <c r="D678" s="6" t="n">
        <v>8</v>
      </c>
      <c r="E678" s="29" t="n">
        <v>0</v>
      </c>
      <c r="F678" s="6" t="n">
        <v>1</v>
      </c>
      <c r="G678" s="6" t="n">
        <v>3</v>
      </c>
      <c r="H678" s="6"/>
    </row>
    <row r="679" customFormat="false" ht="15" hidden="false" customHeight="true" outlineLevel="0" collapsed="false">
      <c r="A679" s="6" t="s">
        <v>6798</v>
      </c>
      <c r="B679" s="6" t="s">
        <v>7997</v>
      </c>
      <c r="C679" s="28" t="n">
        <v>20</v>
      </c>
      <c r="D679" s="6" t="n">
        <v>25</v>
      </c>
      <c r="E679" s="29" t="n">
        <v>0</v>
      </c>
      <c r="F679" s="6" t="n">
        <v>1</v>
      </c>
      <c r="G679" s="6" t="n">
        <v>3</v>
      </c>
      <c r="H679" s="6"/>
    </row>
    <row r="680" customFormat="false" ht="15" hidden="false" customHeight="true" outlineLevel="0" collapsed="false">
      <c r="A680" s="6" t="s">
        <v>6800</v>
      </c>
      <c r="B680" s="6" t="s">
        <v>7997</v>
      </c>
      <c r="C680" s="28" t="n">
        <v>20</v>
      </c>
      <c r="D680" s="6" t="n">
        <v>15</v>
      </c>
      <c r="E680" s="29" t="n">
        <v>0</v>
      </c>
      <c r="F680" s="6" t="n">
        <v>0.99</v>
      </c>
      <c r="G680" s="6" t="n">
        <v>3</v>
      </c>
      <c r="H680" s="6"/>
    </row>
    <row r="681" customFormat="false" ht="15" hidden="false" customHeight="true" outlineLevel="0" collapsed="false">
      <c r="A681" s="6" t="s">
        <v>6801</v>
      </c>
      <c r="B681" s="6" t="s">
        <v>7997</v>
      </c>
      <c r="C681" s="28" t="n">
        <v>20</v>
      </c>
      <c r="D681" s="6" t="n">
        <v>10</v>
      </c>
      <c r="E681" s="29" t="n">
        <v>0.29</v>
      </c>
      <c r="F681" s="6" t="n">
        <v>0.96</v>
      </c>
      <c r="G681" s="6" t="n">
        <v>3</v>
      </c>
      <c r="H681" s="6"/>
    </row>
    <row r="682" customFormat="false" ht="15" hidden="false" customHeight="true" outlineLevel="0" collapsed="false">
      <c r="A682" s="6" t="s">
        <v>1559</v>
      </c>
      <c r="B682" s="6" t="s">
        <v>7997</v>
      </c>
      <c r="C682" s="28" t="n">
        <v>20</v>
      </c>
      <c r="D682" s="6" t="n">
        <v>10</v>
      </c>
      <c r="E682" s="29" t="n">
        <v>0</v>
      </c>
      <c r="F682" s="6" t="n">
        <v>1</v>
      </c>
      <c r="G682" s="6" t="n">
        <v>8</v>
      </c>
      <c r="H682" s="6"/>
    </row>
    <row r="683" customFormat="false" ht="15" hidden="false" customHeight="true" outlineLevel="0" collapsed="false">
      <c r="A683" s="6" t="s">
        <v>1477</v>
      </c>
      <c r="B683" s="6" t="s">
        <v>7998</v>
      </c>
      <c r="C683" s="28" t="n">
        <v>20</v>
      </c>
      <c r="D683" s="6" t="n">
        <v>17</v>
      </c>
      <c r="E683" s="29" t="n">
        <v>0.34</v>
      </c>
      <c r="F683" s="6" t="n">
        <v>1</v>
      </c>
      <c r="G683" s="6" t="n">
        <v>8</v>
      </c>
      <c r="H683" s="6"/>
    </row>
    <row r="684" customFormat="false" ht="15" hidden="false" customHeight="true" outlineLevel="0" collapsed="false">
      <c r="A684" s="6" t="s">
        <v>307</v>
      </c>
      <c r="B684" s="6" t="s">
        <v>8001</v>
      </c>
      <c r="C684" s="28" t="n">
        <v>20</v>
      </c>
      <c r="D684" s="6" t="n">
        <v>33</v>
      </c>
      <c r="E684" s="29" t="n">
        <v>0</v>
      </c>
      <c r="F684" s="6" t="n">
        <v>1</v>
      </c>
      <c r="G684" s="6" t="n">
        <v>1</v>
      </c>
      <c r="H684" s="6"/>
    </row>
    <row r="685" customFormat="false" ht="15" hidden="false" customHeight="true" outlineLevel="0" collapsed="false">
      <c r="A685" s="6" t="s">
        <v>308</v>
      </c>
      <c r="B685" s="6" t="s">
        <v>8001</v>
      </c>
      <c r="C685" s="28" t="n">
        <v>20</v>
      </c>
      <c r="D685" s="6" t="n">
        <v>26</v>
      </c>
      <c r="E685" s="29" t="n">
        <v>0.36</v>
      </c>
      <c r="F685" s="6" t="n">
        <v>1</v>
      </c>
      <c r="G685" s="6" t="n">
        <v>1</v>
      </c>
      <c r="H685" s="6"/>
    </row>
    <row r="686" customFormat="false" ht="15" hidden="false" customHeight="true" outlineLevel="0" collapsed="false">
      <c r="A686" s="6" t="s">
        <v>6806</v>
      </c>
      <c r="B686" s="6" t="s">
        <v>7997</v>
      </c>
      <c r="C686" s="28" t="n">
        <v>20</v>
      </c>
      <c r="D686" s="6" t="n">
        <v>13</v>
      </c>
      <c r="E686" s="29" t="n">
        <v>0.47</v>
      </c>
      <c r="F686" s="6" t="n">
        <v>1</v>
      </c>
      <c r="G686" s="6" t="n">
        <v>3</v>
      </c>
      <c r="H686" s="6"/>
    </row>
    <row r="687" customFormat="false" ht="15" hidden="false" customHeight="true" outlineLevel="0" collapsed="false">
      <c r="A687" s="6" t="s">
        <v>6809</v>
      </c>
      <c r="B687" s="6" t="s">
        <v>7997</v>
      </c>
      <c r="C687" s="28" t="n">
        <v>20</v>
      </c>
      <c r="D687" s="6" t="n">
        <v>18</v>
      </c>
      <c r="E687" s="29" t="n">
        <v>0</v>
      </c>
      <c r="F687" s="6" t="n">
        <v>1</v>
      </c>
      <c r="G687" s="6" t="n">
        <v>3</v>
      </c>
      <c r="H687" s="6"/>
    </row>
    <row r="688" customFormat="false" ht="15" hidden="false" customHeight="true" outlineLevel="0" collapsed="false">
      <c r="A688" s="6" t="s">
        <v>6810</v>
      </c>
      <c r="B688" s="6" t="s">
        <v>7997</v>
      </c>
      <c r="C688" s="28" t="n">
        <v>20</v>
      </c>
      <c r="D688" s="6" t="n">
        <v>16</v>
      </c>
      <c r="E688" s="29" t="n">
        <v>0</v>
      </c>
      <c r="F688" s="6" t="n">
        <v>1</v>
      </c>
      <c r="G688" s="6" t="n">
        <v>3</v>
      </c>
      <c r="H688" s="6"/>
    </row>
    <row r="689" customFormat="false" ht="15" hidden="false" customHeight="true" outlineLevel="0" collapsed="false">
      <c r="A689" s="6" t="s">
        <v>311</v>
      </c>
      <c r="B689" s="6" t="s">
        <v>8003</v>
      </c>
      <c r="C689" s="28" t="n">
        <v>20</v>
      </c>
      <c r="D689" s="6" t="n">
        <v>26</v>
      </c>
      <c r="E689" s="29" t="n">
        <v>0.42</v>
      </c>
      <c r="F689" s="6" t="n">
        <v>1</v>
      </c>
      <c r="G689" s="6" t="n">
        <v>3</v>
      </c>
      <c r="H689" s="6"/>
    </row>
    <row r="690" customFormat="false" ht="15" hidden="false" customHeight="true" outlineLevel="0" collapsed="false">
      <c r="A690" s="6" t="s">
        <v>2483</v>
      </c>
      <c r="B690" s="6" t="s">
        <v>7998</v>
      </c>
      <c r="C690" s="28" t="n">
        <v>10</v>
      </c>
      <c r="D690" s="6" t="n">
        <v>8</v>
      </c>
      <c r="E690" s="29" t="n">
        <v>0</v>
      </c>
      <c r="F690" s="6" t="n">
        <v>0.33</v>
      </c>
      <c r="G690" s="6" t="n">
        <v>9</v>
      </c>
      <c r="H690" s="6"/>
    </row>
    <row r="691" customFormat="false" ht="15" hidden="false" customHeight="true" outlineLevel="0" collapsed="false">
      <c r="A691" s="6" t="s">
        <v>2563</v>
      </c>
      <c r="B691" s="6" t="s">
        <v>7997</v>
      </c>
      <c r="C691" s="28" t="n">
        <v>10</v>
      </c>
      <c r="D691" s="6" t="n">
        <v>9</v>
      </c>
      <c r="E691" s="29" t="n">
        <v>0</v>
      </c>
      <c r="F691" s="6" t="n">
        <v>1</v>
      </c>
      <c r="G691" s="6" t="n">
        <v>4</v>
      </c>
      <c r="H691" s="6"/>
    </row>
    <row r="692" customFormat="false" ht="15" hidden="false" customHeight="true" outlineLevel="0" collapsed="false">
      <c r="A692" s="6" t="s">
        <v>2683</v>
      </c>
      <c r="B692" s="6" t="s">
        <v>7997</v>
      </c>
      <c r="C692" s="28" t="n">
        <v>10</v>
      </c>
      <c r="D692" s="6" t="n">
        <v>7</v>
      </c>
      <c r="E692" s="29" t="n">
        <v>0</v>
      </c>
      <c r="F692" s="6" t="n">
        <v>1</v>
      </c>
      <c r="G692" s="6" t="n">
        <v>4</v>
      </c>
      <c r="H692" s="6"/>
    </row>
    <row r="693" customFormat="false" ht="15" hidden="false" customHeight="true" outlineLevel="0" collapsed="false">
      <c r="A693" s="6" t="s">
        <v>2696</v>
      </c>
      <c r="B693" s="6" t="s">
        <v>7997</v>
      </c>
      <c r="C693" s="28" t="n">
        <v>10</v>
      </c>
      <c r="D693" s="6" t="n">
        <v>9</v>
      </c>
      <c r="E693" s="29" t="n">
        <v>0</v>
      </c>
      <c r="F693" s="6" t="n">
        <v>1</v>
      </c>
      <c r="G693" s="6" t="s">
        <v>6867</v>
      </c>
      <c r="H693" s="6"/>
    </row>
    <row r="694" customFormat="false" ht="15" hidden="false" customHeight="true" outlineLevel="0" collapsed="false">
      <c r="A694" s="6" t="s">
        <v>2729</v>
      </c>
      <c r="B694" s="6" t="s">
        <v>7997</v>
      </c>
      <c r="C694" s="28" t="n">
        <v>10</v>
      </c>
      <c r="D694" s="6" t="n">
        <v>10</v>
      </c>
      <c r="E694" s="29" t="n">
        <v>0</v>
      </c>
      <c r="F694" s="6" t="n">
        <v>0.9</v>
      </c>
      <c r="G694" s="6" t="s">
        <v>6868</v>
      </c>
      <c r="H694" s="6"/>
    </row>
    <row r="695" customFormat="false" ht="15" hidden="false" customHeight="true" outlineLevel="0" collapsed="false">
      <c r="A695" s="6" t="s">
        <v>2726</v>
      </c>
      <c r="B695" s="6" t="s">
        <v>7997</v>
      </c>
      <c r="C695" s="28" t="n">
        <v>10</v>
      </c>
      <c r="D695" s="6" t="n">
        <v>17</v>
      </c>
      <c r="E695" s="29" t="n">
        <v>0</v>
      </c>
      <c r="F695" s="6" t="n">
        <v>1</v>
      </c>
      <c r="G695" s="6" t="n">
        <v>9</v>
      </c>
      <c r="H695" s="6"/>
    </row>
    <row r="696" customFormat="false" ht="15" hidden="false" customHeight="true" outlineLevel="0" collapsed="false">
      <c r="A696" s="6" t="s">
        <v>2693</v>
      </c>
      <c r="B696" s="6" t="s">
        <v>8004</v>
      </c>
      <c r="C696" s="28" t="n">
        <v>10</v>
      </c>
      <c r="D696" s="6" t="n">
        <v>10</v>
      </c>
      <c r="E696" s="29" t="n">
        <v>0</v>
      </c>
      <c r="F696" s="6" t="n">
        <v>0</v>
      </c>
      <c r="G696" s="6" t="n">
        <v>9</v>
      </c>
      <c r="H696" s="6"/>
    </row>
    <row r="697" customFormat="false" ht="15" hidden="false" customHeight="true" outlineLevel="0" collapsed="false">
      <c r="A697" s="6" t="s">
        <v>6526</v>
      </c>
      <c r="B697" s="6" t="s">
        <v>7998</v>
      </c>
      <c r="C697" s="28" t="n">
        <v>10</v>
      </c>
      <c r="D697" s="6" t="n">
        <v>24</v>
      </c>
      <c r="E697" s="29" t="n">
        <v>0.27</v>
      </c>
      <c r="F697" s="6" t="n">
        <v>1</v>
      </c>
      <c r="G697" s="6" t="n">
        <v>1</v>
      </c>
      <c r="H697" s="6"/>
    </row>
    <row r="698" customFormat="false" ht="15" hidden="false" customHeight="true" outlineLevel="0" collapsed="false">
      <c r="A698" s="6" t="s">
        <v>3562</v>
      </c>
      <c r="B698" s="6" t="s">
        <v>8002</v>
      </c>
      <c r="C698" s="28" t="n">
        <v>10</v>
      </c>
      <c r="D698" s="6" t="n">
        <v>33</v>
      </c>
      <c r="E698" s="29" t="n">
        <v>0</v>
      </c>
      <c r="F698" s="6" t="n">
        <v>0</v>
      </c>
      <c r="G698" s="6" t="s">
        <v>6870</v>
      </c>
      <c r="H698" s="6"/>
    </row>
    <row r="699" customFormat="false" ht="15" hidden="false" customHeight="true" outlineLevel="0" collapsed="false">
      <c r="A699" s="6" t="s">
        <v>3116</v>
      </c>
      <c r="B699" s="6" t="s">
        <v>7997</v>
      </c>
      <c r="C699" s="28" t="n">
        <v>10</v>
      </c>
      <c r="D699" s="6" t="n">
        <v>13</v>
      </c>
      <c r="E699" s="29" t="n">
        <v>0</v>
      </c>
      <c r="F699" s="6" t="n">
        <v>1</v>
      </c>
      <c r="G699" s="6" t="s">
        <v>6867</v>
      </c>
      <c r="H699" s="6"/>
    </row>
    <row r="700" customFormat="false" ht="15" hidden="false" customHeight="true" outlineLevel="0" collapsed="false">
      <c r="A700" s="6" t="s">
        <v>7060</v>
      </c>
      <c r="B700" s="6" t="s">
        <v>8001</v>
      </c>
      <c r="C700" s="28" t="n">
        <v>10</v>
      </c>
      <c r="D700" s="6" t="n">
        <v>16</v>
      </c>
      <c r="E700" s="29" t="n">
        <v>0</v>
      </c>
      <c r="F700" s="6" t="n">
        <v>0.74</v>
      </c>
      <c r="G700" s="6" t="s">
        <v>6870</v>
      </c>
      <c r="H700" s="6"/>
    </row>
    <row r="701" customFormat="false" ht="15" hidden="false" customHeight="true" outlineLevel="0" collapsed="false">
      <c r="A701" s="6" t="s">
        <v>3333</v>
      </c>
      <c r="B701" s="6" t="s">
        <v>7997</v>
      </c>
      <c r="C701" s="28" t="n">
        <v>10</v>
      </c>
      <c r="D701" s="6" t="n">
        <v>14</v>
      </c>
      <c r="E701" s="29" t="n">
        <v>0</v>
      </c>
      <c r="F701" s="6" t="n">
        <v>0</v>
      </c>
      <c r="G701" s="6" t="s">
        <v>6867</v>
      </c>
      <c r="H701" s="6"/>
    </row>
    <row r="702" customFormat="false" ht="15" hidden="false" customHeight="true" outlineLevel="0" collapsed="false">
      <c r="A702" s="6" t="s">
        <v>3367</v>
      </c>
      <c r="B702" s="6" t="s">
        <v>7997</v>
      </c>
      <c r="C702" s="28" t="n">
        <v>10</v>
      </c>
      <c r="D702" s="6" t="n">
        <v>17</v>
      </c>
      <c r="E702" s="29" t="n">
        <v>0</v>
      </c>
      <c r="F702" s="6" t="n">
        <v>1</v>
      </c>
      <c r="G702" s="6" t="s">
        <v>6867</v>
      </c>
      <c r="H702" s="6"/>
    </row>
    <row r="703" customFormat="false" ht="15" hidden="false" customHeight="true" outlineLevel="0" collapsed="false">
      <c r="A703" s="6" t="s">
        <v>3378</v>
      </c>
      <c r="B703" s="6" t="s">
        <v>8000</v>
      </c>
      <c r="C703" s="28" t="n">
        <v>10</v>
      </c>
      <c r="D703" s="6" t="n">
        <v>15</v>
      </c>
      <c r="E703" s="29" t="n">
        <v>0.44</v>
      </c>
      <c r="F703" s="6" t="n">
        <v>1</v>
      </c>
      <c r="G703" s="6" t="s">
        <v>6868</v>
      </c>
      <c r="H703" s="6"/>
    </row>
    <row r="704" customFormat="false" ht="15" hidden="false" customHeight="true" outlineLevel="0" collapsed="false">
      <c r="A704" s="6" t="s">
        <v>7134</v>
      </c>
      <c r="B704" s="6" t="s">
        <v>7997</v>
      </c>
      <c r="C704" s="28" t="n">
        <v>10</v>
      </c>
      <c r="D704" s="6" t="n">
        <v>18</v>
      </c>
      <c r="E704" s="29" t="n">
        <v>0</v>
      </c>
      <c r="F704" s="6" t="n">
        <v>1</v>
      </c>
      <c r="G704" s="6" t="s">
        <v>6870</v>
      </c>
      <c r="H704" s="6"/>
    </row>
    <row r="705" customFormat="false" ht="15" hidden="false" customHeight="true" outlineLevel="0" collapsed="false">
      <c r="A705" s="6" t="s">
        <v>3505</v>
      </c>
      <c r="B705" s="6" t="s">
        <v>7998</v>
      </c>
      <c r="C705" s="28" t="n">
        <v>10</v>
      </c>
      <c r="D705" s="6" t="n">
        <v>12</v>
      </c>
      <c r="E705" s="29" t="n">
        <v>0</v>
      </c>
      <c r="F705" s="6" t="n">
        <v>1</v>
      </c>
      <c r="G705" s="6" t="n">
        <v>9</v>
      </c>
      <c r="H705" s="6"/>
    </row>
    <row r="706" customFormat="false" ht="15" hidden="false" customHeight="true" outlineLevel="0" collapsed="false">
      <c r="A706" s="6" t="s">
        <v>3521</v>
      </c>
      <c r="B706" s="6" t="s">
        <v>7997</v>
      </c>
      <c r="C706" s="28" t="n">
        <v>10</v>
      </c>
      <c r="D706" s="6" t="n">
        <v>9</v>
      </c>
      <c r="E706" s="29" t="n">
        <v>0</v>
      </c>
      <c r="F706" s="6" t="n">
        <v>1</v>
      </c>
      <c r="G706" s="6" t="s">
        <v>6867</v>
      </c>
      <c r="H706" s="6"/>
    </row>
    <row r="707" customFormat="false" ht="15" hidden="false" customHeight="true" outlineLevel="0" collapsed="false">
      <c r="A707" s="6" t="s">
        <v>2218</v>
      </c>
      <c r="B707" s="6" t="s">
        <v>8004</v>
      </c>
      <c r="C707" s="28" t="n">
        <v>10</v>
      </c>
      <c r="D707" s="6" t="n">
        <v>8</v>
      </c>
      <c r="E707" s="29" t="n">
        <v>0</v>
      </c>
      <c r="F707" s="6" t="n">
        <v>0</v>
      </c>
      <c r="G707" s="6" t="n">
        <v>5</v>
      </c>
      <c r="H707" s="6"/>
    </row>
    <row r="708" customFormat="false" ht="15" hidden="false" customHeight="true" outlineLevel="0" collapsed="false">
      <c r="A708" s="6" t="s">
        <v>312</v>
      </c>
      <c r="B708" s="6" t="s">
        <v>8004</v>
      </c>
      <c r="C708" s="28" t="n">
        <v>10</v>
      </c>
      <c r="D708" s="6" t="n">
        <v>15</v>
      </c>
      <c r="E708" s="29" t="n">
        <v>0</v>
      </c>
      <c r="F708" s="6" t="n">
        <v>0.33</v>
      </c>
      <c r="G708" s="6" t="n">
        <v>3</v>
      </c>
      <c r="H708" s="6"/>
    </row>
    <row r="709" customFormat="false" ht="15" hidden="false" customHeight="true" outlineLevel="0" collapsed="false">
      <c r="A709" s="6" t="s">
        <v>2158</v>
      </c>
      <c r="B709" s="6" t="s">
        <v>8004</v>
      </c>
      <c r="C709" s="28" t="n">
        <v>10</v>
      </c>
      <c r="D709" s="6" t="n">
        <v>22</v>
      </c>
      <c r="E709" s="29" t="n">
        <v>0</v>
      </c>
      <c r="F709" s="6" t="n">
        <v>1</v>
      </c>
      <c r="G709" s="6" t="n">
        <v>5</v>
      </c>
      <c r="H709" s="6"/>
    </row>
    <row r="710" customFormat="false" ht="15" hidden="false" customHeight="true" outlineLevel="0" collapsed="false">
      <c r="A710" s="6" t="s">
        <v>2103</v>
      </c>
      <c r="B710" s="6" t="s">
        <v>8004</v>
      </c>
      <c r="C710" s="28" t="n">
        <v>10</v>
      </c>
      <c r="D710" s="6" t="n">
        <v>9</v>
      </c>
      <c r="E710" s="29" t="n">
        <v>0</v>
      </c>
      <c r="F710" s="6" t="n">
        <v>1</v>
      </c>
      <c r="G710" s="6" t="n">
        <v>5</v>
      </c>
      <c r="H710" s="6"/>
    </row>
    <row r="711" customFormat="false" ht="15" hidden="false" customHeight="true" outlineLevel="0" collapsed="false">
      <c r="A711" s="6" t="s">
        <v>3690</v>
      </c>
      <c r="B711" s="6" t="s">
        <v>7997</v>
      </c>
      <c r="C711" s="28" t="n">
        <v>10</v>
      </c>
      <c r="D711" s="6" t="n">
        <v>11</v>
      </c>
      <c r="E711" s="29" t="n">
        <v>0</v>
      </c>
      <c r="F711" s="6" t="n">
        <v>1</v>
      </c>
      <c r="G711" s="6" t="n">
        <v>5</v>
      </c>
      <c r="H711" s="6"/>
    </row>
    <row r="712" customFormat="false" ht="15" hidden="false" customHeight="true" outlineLevel="0" collapsed="false">
      <c r="A712" s="6" t="s">
        <v>6570</v>
      </c>
      <c r="B712" s="6" t="s">
        <v>7997</v>
      </c>
      <c r="C712" s="28" t="n">
        <v>10</v>
      </c>
      <c r="D712" s="6" t="n">
        <v>14</v>
      </c>
      <c r="E712" s="29" t="n">
        <v>0.34</v>
      </c>
      <c r="F712" s="6" t="n">
        <v>1</v>
      </c>
      <c r="G712" s="6" t="n">
        <v>1</v>
      </c>
      <c r="H712" s="6"/>
    </row>
    <row r="713" customFormat="false" ht="15" hidden="false" customHeight="true" outlineLevel="0" collapsed="false">
      <c r="A713" s="6" t="s">
        <v>4021</v>
      </c>
      <c r="B713" s="6" t="s">
        <v>8000</v>
      </c>
      <c r="C713" s="28" t="n">
        <v>10</v>
      </c>
      <c r="D713" s="6" t="n">
        <v>12</v>
      </c>
      <c r="E713" s="29" t="n">
        <v>0</v>
      </c>
      <c r="F713" s="6" t="n">
        <v>1</v>
      </c>
      <c r="G713" s="6" t="n">
        <v>6</v>
      </c>
      <c r="H713" s="6"/>
    </row>
    <row r="714" customFormat="false" ht="15" hidden="false" customHeight="true" outlineLevel="0" collapsed="false">
      <c r="A714" s="6" t="s">
        <v>6738</v>
      </c>
      <c r="B714" s="6" t="s">
        <v>7998</v>
      </c>
      <c r="C714" s="28" t="n">
        <v>10</v>
      </c>
      <c r="D714" s="6" t="n">
        <v>16</v>
      </c>
      <c r="E714" s="29" t="n">
        <v>0</v>
      </c>
      <c r="F714" s="6" t="n">
        <v>1</v>
      </c>
      <c r="G714" s="6" t="n">
        <v>3</v>
      </c>
      <c r="H714" s="6"/>
    </row>
    <row r="715" customFormat="false" ht="15" hidden="false" customHeight="true" outlineLevel="0" collapsed="false">
      <c r="A715" s="6" t="s">
        <v>4116</v>
      </c>
      <c r="B715" s="6" t="s">
        <v>8001</v>
      </c>
      <c r="C715" s="28" t="n">
        <v>10</v>
      </c>
      <c r="D715" s="6" t="n">
        <v>25</v>
      </c>
      <c r="E715" s="29" t="n">
        <v>0</v>
      </c>
      <c r="F715" s="6" t="n">
        <v>0.86</v>
      </c>
      <c r="G715" s="6" t="n">
        <v>6</v>
      </c>
      <c r="H715" s="6"/>
    </row>
    <row r="716" customFormat="false" ht="15" hidden="false" customHeight="true" outlineLevel="0" collapsed="false">
      <c r="A716" s="6" t="s">
        <v>4251</v>
      </c>
      <c r="B716" s="6" t="s">
        <v>7998</v>
      </c>
      <c r="C716" s="28" t="n">
        <v>10</v>
      </c>
      <c r="D716" s="6" t="n">
        <v>1</v>
      </c>
      <c r="E716" s="29" t="n">
        <v>0</v>
      </c>
      <c r="F716" s="6" t="n">
        <v>0.33</v>
      </c>
      <c r="G716" s="6" t="n">
        <v>6</v>
      </c>
      <c r="H716" s="6"/>
    </row>
    <row r="717" customFormat="false" ht="15" hidden="false" customHeight="true" outlineLevel="0" collapsed="false">
      <c r="A717" s="6" t="s">
        <v>4299</v>
      </c>
      <c r="B717" s="6" t="s">
        <v>8004</v>
      </c>
      <c r="C717" s="28" t="n">
        <v>10</v>
      </c>
      <c r="D717" s="6" t="n">
        <v>22</v>
      </c>
      <c r="E717" s="29" t="n">
        <v>0</v>
      </c>
      <c r="F717" s="6" t="n">
        <v>0.92</v>
      </c>
      <c r="G717" s="6" t="n">
        <v>6</v>
      </c>
      <c r="H717" s="6"/>
    </row>
    <row r="718" customFormat="false" ht="15" hidden="false" customHeight="true" outlineLevel="0" collapsed="false">
      <c r="A718" s="6" t="s">
        <v>4365</v>
      </c>
      <c r="B718" s="6" t="s">
        <v>8004</v>
      </c>
      <c r="C718" s="28" t="n">
        <v>10</v>
      </c>
      <c r="D718" s="6" t="n">
        <v>14</v>
      </c>
      <c r="E718" s="29" t="n">
        <v>0</v>
      </c>
      <c r="F718" s="6" t="n">
        <v>1</v>
      </c>
      <c r="G718" s="6" t="n">
        <v>6</v>
      </c>
      <c r="H718" s="6"/>
    </row>
    <row r="719" customFormat="false" ht="15" hidden="false" customHeight="true" outlineLevel="0" collapsed="false">
      <c r="A719" s="6" t="s">
        <v>7463</v>
      </c>
      <c r="B719" s="6" t="s">
        <v>7998</v>
      </c>
      <c r="C719" s="28" t="n">
        <v>10</v>
      </c>
      <c r="D719" s="6" t="n">
        <v>22</v>
      </c>
      <c r="E719" s="29" t="n">
        <v>0</v>
      </c>
      <c r="F719" s="6" t="n">
        <v>1</v>
      </c>
      <c r="G719" s="6" t="s">
        <v>6870</v>
      </c>
      <c r="H719" s="6"/>
    </row>
    <row r="720" customFormat="false" ht="15" hidden="false" customHeight="true" outlineLevel="0" collapsed="false">
      <c r="A720" s="6" t="s">
        <v>7502</v>
      </c>
      <c r="B720" s="6" t="s">
        <v>7998</v>
      </c>
      <c r="C720" s="28" t="n">
        <v>10</v>
      </c>
      <c r="D720" s="6" t="n">
        <v>13</v>
      </c>
      <c r="E720" s="29" t="n">
        <v>0</v>
      </c>
      <c r="F720" s="6" t="n">
        <v>0.32</v>
      </c>
      <c r="G720" s="6" t="s">
        <v>6870</v>
      </c>
      <c r="H720" s="6"/>
    </row>
    <row r="721" customFormat="false" ht="15" hidden="false" customHeight="true" outlineLevel="0" collapsed="false">
      <c r="A721" s="6" t="s">
        <v>4822</v>
      </c>
      <c r="B721" s="6" t="s">
        <v>7997</v>
      </c>
      <c r="C721" s="28" t="n">
        <v>10</v>
      </c>
      <c r="D721" s="6" t="n">
        <v>13</v>
      </c>
      <c r="E721" s="29" t="n">
        <v>0.84</v>
      </c>
      <c r="F721" s="6" t="n">
        <v>1</v>
      </c>
      <c r="G721" s="6" t="n">
        <v>6</v>
      </c>
      <c r="H721" s="6"/>
    </row>
    <row r="722" customFormat="false" ht="15" hidden="false" customHeight="true" outlineLevel="0" collapsed="false">
      <c r="A722" s="6" t="s">
        <v>4926</v>
      </c>
      <c r="B722" s="6" t="s">
        <v>8000</v>
      </c>
      <c r="C722" s="28" t="n">
        <v>10</v>
      </c>
      <c r="D722" s="6" t="n">
        <v>8</v>
      </c>
      <c r="E722" s="29" t="n">
        <v>0</v>
      </c>
      <c r="F722" s="6" t="n">
        <v>1</v>
      </c>
      <c r="G722" s="6" t="n">
        <v>6</v>
      </c>
      <c r="H722" s="6"/>
    </row>
    <row r="723" customFormat="false" ht="15" hidden="false" customHeight="true" outlineLevel="0" collapsed="false">
      <c r="A723" s="6" t="s">
        <v>5034</v>
      </c>
      <c r="B723" s="6" t="s">
        <v>8000</v>
      </c>
      <c r="C723" s="28" t="n">
        <v>10</v>
      </c>
      <c r="D723" s="6" t="n">
        <v>9</v>
      </c>
      <c r="E723" s="29" t="n">
        <v>0</v>
      </c>
      <c r="F723" s="6" t="n">
        <v>0.16</v>
      </c>
      <c r="G723" s="6" t="n">
        <v>6</v>
      </c>
      <c r="H723" s="6"/>
    </row>
    <row r="724" customFormat="false" ht="15" hidden="false" customHeight="true" outlineLevel="0" collapsed="false">
      <c r="A724" s="6" t="s">
        <v>5309</v>
      </c>
      <c r="B724" s="6" t="s">
        <v>7997</v>
      </c>
      <c r="C724" s="28" t="n">
        <v>10</v>
      </c>
      <c r="D724" s="6" t="n">
        <v>6</v>
      </c>
      <c r="E724" s="29" t="n">
        <v>0</v>
      </c>
      <c r="F724" s="6" t="n">
        <v>1</v>
      </c>
      <c r="G724" s="6" t="n">
        <v>7</v>
      </c>
      <c r="H724" s="6"/>
    </row>
    <row r="725" customFormat="false" ht="15" hidden="false" customHeight="true" outlineLevel="0" collapsed="false">
      <c r="A725" s="6" t="s">
        <v>6760</v>
      </c>
      <c r="B725" s="6" t="s">
        <v>7998</v>
      </c>
      <c r="C725" s="28" t="n">
        <v>10</v>
      </c>
      <c r="D725" s="6" t="n">
        <v>6</v>
      </c>
      <c r="E725" s="29" t="n">
        <v>0</v>
      </c>
      <c r="F725" s="6" t="n">
        <v>0</v>
      </c>
      <c r="G725" s="6" t="n">
        <v>3</v>
      </c>
      <c r="H725" s="6"/>
    </row>
    <row r="726" customFormat="false" ht="15" hidden="false" customHeight="true" outlineLevel="0" collapsed="false">
      <c r="A726" s="6" t="s">
        <v>7654</v>
      </c>
      <c r="B726" s="6" t="s">
        <v>7998</v>
      </c>
      <c r="C726" s="28" t="n">
        <v>10</v>
      </c>
      <c r="D726" s="6" t="n">
        <v>18</v>
      </c>
      <c r="E726" s="29" t="n">
        <v>0</v>
      </c>
      <c r="F726" s="6" t="n">
        <v>0.33</v>
      </c>
      <c r="G726" s="6" t="s">
        <v>6870</v>
      </c>
      <c r="H726" s="6"/>
    </row>
    <row r="727" customFormat="false" ht="15" hidden="false" customHeight="true" outlineLevel="0" collapsed="false">
      <c r="A727" s="6" t="s">
        <v>6666</v>
      </c>
      <c r="B727" s="6" t="s">
        <v>7997</v>
      </c>
      <c r="C727" s="28" t="n">
        <v>10</v>
      </c>
      <c r="D727" s="6" t="n">
        <v>13</v>
      </c>
      <c r="E727" s="29" t="n">
        <v>0</v>
      </c>
      <c r="F727" s="6" t="n">
        <v>1</v>
      </c>
      <c r="G727" s="6" t="n">
        <v>2</v>
      </c>
      <c r="H727" s="6"/>
    </row>
    <row r="728" customFormat="false" ht="15" hidden="false" customHeight="true" outlineLevel="0" collapsed="false">
      <c r="A728" s="6" t="s">
        <v>5714</v>
      </c>
      <c r="B728" s="6" t="s">
        <v>8000</v>
      </c>
      <c r="C728" s="28" t="n">
        <v>10</v>
      </c>
      <c r="D728" s="6" t="n">
        <v>5</v>
      </c>
      <c r="E728" s="29" t="n">
        <v>0</v>
      </c>
      <c r="F728" s="6" t="n">
        <v>0</v>
      </c>
      <c r="G728" s="6" t="n">
        <v>7</v>
      </c>
      <c r="H728" s="6"/>
    </row>
    <row r="729" customFormat="false" ht="15" hidden="false" customHeight="true" outlineLevel="0" collapsed="false">
      <c r="A729" s="6" t="s">
        <v>5877</v>
      </c>
      <c r="B729" s="6" t="s">
        <v>7997</v>
      </c>
      <c r="C729" s="28" t="n">
        <v>10</v>
      </c>
      <c r="D729" s="6" t="n">
        <v>16</v>
      </c>
      <c r="E729" s="29" t="n">
        <v>0</v>
      </c>
      <c r="F729" s="6" t="n">
        <v>0.6</v>
      </c>
      <c r="G729" s="6" t="n">
        <v>7</v>
      </c>
      <c r="H729" s="6"/>
    </row>
    <row r="730" customFormat="false" ht="15" hidden="false" customHeight="true" outlineLevel="0" collapsed="false">
      <c r="A730" s="6" t="s">
        <v>5844</v>
      </c>
      <c r="B730" s="6" t="s">
        <v>7998</v>
      </c>
      <c r="C730" s="28" t="n">
        <v>10</v>
      </c>
      <c r="D730" s="6" t="n">
        <v>16</v>
      </c>
      <c r="E730" s="29" t="n">
        <v>0</v>
      </c>
      <c r="F730" s="6" t="n">
        <v>0</v>
      </c>
      <c r="G730" s="6" t="n">
        <v>7</v>
      </c>
      <c r="H730" s="6"/>
    </row>
    <row r="731" customFormat="false" ht="15" hidden="false" customHeight="true" outlineLevel="0" collapsed="false">
      <c r="A731" s="6" t="s">
        <v>5866</v>
      </c>
      <c r="B731" s="6" t="s">
        <v>7998</v>
      </c>
      <c r="C731" s="28" t="n">
        <v>10</v>
      </c>
      <c r="D731" s="6" t="n">
        <v>3</v>
      </c>
      <c r="E731" s="29" t="n">
        <v>0</v>
      </c>
      <c r="F731" s="6" t="n">
        <v>0.33</v>
      </c>
      <c r="G731" s="6" t="n">
        <v>7</v>
      </c>
      <c r="H731" s="6"/>
    </row>
    <row r="732" customFormat="false" ht="15" hidden="false" customHeight="true" outlineLevel="0" collapsed="false">
      <c r="A732" s="6" t="s">
        <v>6211</v>
      </c>
      <c r="B732" s="6" t="s">
        <v>8002</v>
      </c>
      <c r="C732" s="28" t="n">
        <v>10</v>
      </c>
      <c r="D732" s="6" t="n">
        <v>12</v>
      </c>
      <c r="E732" s="29" t="n">
        <v>0</v>
      </c>
      <c r="F732" s="6" t="n">
        <v>0</v>
      </c>
      <c r="G732" s="6" t="n">
        <v>8</v>
      </c>
      <c r="H732" s="6"/>
    </row>
    <row r="733" customFormat="false" ht="15" hidden="false" customHeight="true" outlineLevel="0" collapsed="false">
      <c r="A733" s="6" t="s">
        <v>7802</v>
      </c>
      <c r="B733" s="6" t="s">
        <v>8001</v>
      </c>
      <c r="C733" s="28" t="n">
        <v>10</v>
      </c>
      <c r="D733" s="6" t="n">
        <v>18</v>
      </c>
      <c r="E733" s="29" t="n">
        <v>0</v>
      </c>
      <c r="F733" s="6" t="n">
        <v>1</v>
      </c>
      <c r="G733" s="6" t="s">
        <v>6870</v>
      </c>
      <c r="H733" s="6"/>
    </row>
    <row r="734" customFormat="false" ht="15" hidden="false" customHeight="true" outlineLevel="0" collapsed="false">
      <c r="A734" s="6" t="s">
        <v>6377</v>
      </c>
      <c r="B734" s="6" t="s">
        <v>8004</v>
      </c>
      <c r="C734" s="28" t="n">
        <v>10</v>
      </c>
      <c r="D734" s="6" t="n">
        <v>15</v>
      </c>
      <c r="E734" s="29" t="n">
        <v>0.52</v>
      </c>
      <c r="F734" s="6" t="n">
        <v>1</v>
      </c>
      <c r="G734" s="6" t="s">
        <v>6867</v>
      </c>
      <c r="H734" s="6"/>
    </row>
    <row r="735" customFormat="false" ht="15" hidden="false" customHeight="true" outlineLevel="0" collapsed="false">
      <c r="A735" s="6" t="s">
        <v>1519</v>
      </c>
      <c r="B735" s="6" t="s">
        <v>7997</v>
      </c>
      <c r="C735" s="28" t="n">
        <v>10</v>
      </c>
      <c r="D735" s="6" t="n">
        <v>16</v>
      </c>
      <c r="E735" s="29" t="n">
        <v>0</v>
      </c>
      <c r="F735" s="6" t="n">
        <v>0.33</v>
      </c>
      <c r="G735" s="6" t="n">
        <v>8</v>
      </c>
      <c r="H735" s="6"/>
    </row>
    <row r="736" customFormat="false" ht="15" hidden="false" customHeight="true" outlineLevel="0" collapsed="false">
      <c r="A736" s="6" t="s">
        <v>1545</v>
      </c>
      <c r="B736" s="6" t="s">
        <v>7997</v>
      </c>
      <c r="C736" s="28" t="n">
        <v>10</v>
      </c>
      <c r="D736" s="6" t="n">
        <v>7</v>
      </c>
      <c r="E736" s="29" t="n">
        <v>0</v>
      </c>
      <c r="F736" s="6" t="n">
        <v>0.5</v>
      </c>
      <c r="G736" s="6" t="n">
        <v>8</v>
      </c>
      <c r="H736" s="6"/>
    </row>
    <row r="737" customFormat="false" ht="15" hidden="false" customHeight="true" outlineLevel="0" collapsed="false">
      <c r="A737" s="6" t="s">
        <v>2457</v>
      </c>
      <c r="B737" s="6" t="s">
        <v>7998</v>
      </c>
      <c r="C737" s="28" t="n">
        <v>0</v>
      </c>
      <c r="D737" s="6" t="n">
        <v>22</v>
      </c>
      <c r="E737" s="29"/>
      <c r="F737" s="6"/>
      <c r="G737" s="6" t="n">
        <v>9</v>
      </c>
      <c r="H737" s="6" t="s">
        <v>8007</v>
      </c>
    </row>
    <row r="738" customFormat="false" ht="15" hidden="false" customHeight="true" outlineLevel="0" collapsed="false">
      <c r="A738" s="6" t="s">
        <v>2469</v>
      </c>
      <c r="B738" s="6" t="s">
        <v>7998</v>
      </c>
      <c r="C738" s="28" t="n">
        <v>0</v>
      </c>
      <c r="D738" s="6" t="n">
        <v>19</v>
      </c>
      <c r="E738" s="29"/>
      <c r="F738" s="6"/>
      <c r="G738" s="6" t="n">
        <v>9</v>
      </c>
      <c r="H738" s="6" t="s">
        <v>8007</v>
      </c>
    </row>
    <row r="739" customFormat="false" ht="15" hidden="false" customHeight="true" outlineLevel="0" collapsed="false">
      <c r="A739" s="6" t="s">
        <v>6503</v>
      </c>
      <c r="B739" s="6" t="s">
        <v>7997</v>
      </c>
      <c r="C739" s="28" t="n">
        <v>0</v>
      </c>
      <c r="D739" s="6" t="n">
        <v>20</v>
      </c>
      <c r="E739" s="29"/>
      <c r="F739" s="6"/>
      <c r="G739" s="6" t="n">
        <v>1</v>
      </c>
      <c r="H739" s="6" t="s">
        <v>8007</v>
      </c>
    </row>
    <row r="740" customFormat="false" ht="15" hidden="false" customHeight="true" outlineLevel="0" collapsed="false">
      <c r="A740" s="6" t="s">
        <v>2554</v>
      </c>
      <c r="B740" s="6" t="s">
        <v>7997</v>
      </c>
      <c r="C740" s="28" t="n">
        <v>0</v>
      </c>
      <c r="D740" s="6" t="n">
        <v>16</v>
      </c>
      <c r="E740" s="29"/>
      <c r="F740" s="6"/>
      <c r="G740" s="6" t="n">
        <v>9</v>
      </c>
      <c r="H740" s="6" t="s">
        <v>8007</v>
      </c>
    </row>
    <row r="741" customFormat="false" ht="15" hidden="false" customHeight="true" outlineLevel="0" collapsed="false">
      <c r="A741" s="6" t="s">
        <v>2496</v>
      </c>
      <c r="B741" s="6" t="s">
        <v>7998</v>
      </c>
      <c r="C741" s="28" t="n">
        <v>0</v>
      </c>
      <c r="D741" s="6" t="n">
        <v>16</v>
      </c>
      <c r="E741" s="29"/>
      <c r="F741" s="6"/>
      <c r="G741" s="6" t="n">
        <v>9</v>
      </c>
      <c r="H741" s="6" t="s">
        <v>8007</v>
      </c>
    </row>
    <row r="742" customFormat="false" ht="15" hidden="false" customHeight="true" outlineLevel="0" collapsed="false">
      <c r="A742" s="6" t="s">
        <v>2564</v>
      </c>
      <c r="B742" s="6" t="s">
        <v>7997</v>
      </c>
      <c r="C742" s="28" t="n">
        <v>0</v>
      </c>
      <c r="D742" s="6" t="n">
        <v>16</v>
      </c>
      <c r="E742" s="29"/>
      <c r="F742" s="6"/>
      <c r="G742" s="6" t="n">
        <v>9</v>
      </c>
      <c r="H742" s="6" t="s">
        <v>8007</v>
      </c>
    </row>
    <row r="743" customFormat="false" ht="15" hidden="false" customHeight="true" outlineLevel="0" collapsed="false">
      <c r="A743" s="6" t="s">
        <v>2510</v>
      </c>
      <c r="B743" s="6" t="s">
        <v>7997</v>
      </c>
      <c r="C743" s="28" t="n">
        <v>0</v>
      </c>
      <c r="D743" s="6" t="n">
        <v>10</v>
      </c>
      <c r="E743" s="29" t="n">
        <v>0</v>
      </c>
      <c r="F743" s="6" t="n">
        <v>0</v>
      </c>
      <c r="G743" s="6" t="s">
        <v>6868</v>
      </c>
      <c r="H743" s="6"/>
    </row>
    <row r="744" customFormat="false" ht="15" hidden="false" customHeight="true" outlineLevel="0" collapsed="false">
      <c r="A744" s="6" t="s">
        <v>2507</v>
      </c>
      <c r="B744" s="6" t="s">
        <v>7998</v>
      </c>
      <c r="C744" s="28" t="n">
        <v>0</v>
      </c>
      <c r="D744" s="6" t="n">
        <v>16</v>
      </c>
      <c r="E744" s="29"/>
      <c r="F744" s="6"/>
      <c r="G744" s="6" t="n">
        <v>9</v>
      </c>
      <c r="H744" s="6" t="s">
        <v>8007</v>
      </c>
    </row>
    <row r="745" customFormat="false" ht="15" hidden="false" customHeight="true" outlineLevel="0" collapsed="false">
      <c r="A745" s="6" t="s">
        <v>6898</v>
      </c>
      <c r="B745" s="6" t="s">
        <v>7998</v>
      </c>
      <c r="C745" s="28" t="n">
        <v>0</v>
      </c>
      <c r="D745" s="6" t="n">
        <v>8</v>
      </c>
      <c r="E745" s="29" t="n">
        <v>0</v>
      </c>
      <c r="F745" s="6" t="n">
        <v>0</v>
      </c>
      <c r="G745" s="6" t="s">
        <v>6893</v>
      </c>
      <c r="H745" s="6"/>
    </row>
    <row r="746" customFormat="false" ht="15" hidden="false" customHeight="true" outlineLevel="0" collapsed="false">
      <c r="A746" s="6" t="s">
        <v>2529</v>
      </c>
      <c r="B746" s="6" t="s">
        <v>7998</v>
      </c>
      <c r="C746" s="28" t="n">
        <v>0</v>
      </c>
      <c r="D746" s="6" t="n">
        <v>12</v>
      </c>
      <c r="E746" s="29" t="n">
        <v>0</v>
      </c>
      <c r="F746" s="6" t="n">
        <v>0</v>
      </c>
      <c r="G746" s="6" t="n">
        <v>9</v>
      </c>
      <c r="H746" s="6"/>
    </row>
    <row r="747" customFormat="false" ht="15" hidden="false" customHeight="true" outlineLevel="0" collapsed="false">
      <c r="A747" s="6" t="s">
        <v>2573</v>
      </c>
      <c r="B747" s="6" t="s">
        <v>7997</v>
      </c>
      <c r="C747" s="28" t="n">
        <v>0</v>
      </c>
      <c r="D747" s="6" t="n">
        <v>9</v>
      </c>
      <c r="E747" s="29"/>
      <c r="F747" s="6"/>
      <c r="G747" s="6" t="n">
        <v>9</v>
      </c>
      <c r="H747" s="6" t="s">
        <v>8007</v>
      </c>
    </row>
    <row r="748" customFormat="false" ht="15" hidden="false" customHeight="true" outlineLevel="0" collapsed="false">
      <c r="A748" s="6" t="s">
        <v>2586</v>
      </c>
      <c r="B748" s="6" t="s">
        <v>8004</v>
      </c>
      <c r="C748" s="28" t="n">
        <v>0</v>
      </c>
      <c r="D748" s="6" t="n">
        <v>16</v>
      </c>
      <c r="E748" s="29"/>
      <c r="F748" s="6"/>
      <c r="G748" s="6" t="n">
        <v>9</v>
      </c>
      <c r="H748" s="6" t="s">
        <v>8007</v>
      </c>
    </row>
    <row r="749" customFormat="false" ht="15" hidden="false" customHeight="true" outlineLevel="0" collapsed="false">
      <c r="A749" s="6" t="s">
        <v>2599</v>
      </c>
      <c r="B749" s="6" t="s">
        <v>8000</v>
      </c>
      <c r="C749" s="28" t="n">
        <v>0</v>
      </c>
      <c r="D749" s="6" t="n">
        <v>9</v>
      </c>
      <c r="E749" s="29"/>
      <c r="F749" s="6"/>
      <c r="G749" s="6" t="n">
        <v>9</v>
      </c>
      <c r="H749" s="6" t="s">
        <v>8007</v>
      </c>
    </row>
    <row r="750" customFormat="false" ht="15" hidden="false" customHeight="true" outlineLevel="0" collapsed="false">
      <c r="A750" s="6" t="s">
        <v>2611</v>
      </c>
      <c r="B750" s="6" t="s">
        <v>7998</v>
      </c>
      <c r="C750" s="28" t="n">
        <v>0</v>
      </c>
      <c r="D750" s="6" t="n">
        <v>18</v>
      </c>
      <c r="E750" s="29"/>
      <c r="F750" s="6"/>
      <c r="G750" s="6" t="n">
        <v>9</v>
      </c>
      <c r="H750" s="6" t="s">
        <v>8007</v>
      </c>
    </row>
    <row r="751" customFormat="false" ht="15" hidden="false" customHeight="true" outlineLevel="0" collapsed="false">
      <c r="A751" s="6" t="s">
        <v>2738</v>
      </c>
      <c r="B751" s="6" t="s">
        <v>8003</v>
      </c>
      <c r="C751" s="28" t="n">
        <v>0</v>
      </c>
      <c r="D751" s="6" t="n">
        <v>13</v>
      </c>
      <c r="E751" s="29"/>
      <c r="F751" s="6"/>
      <c r="G751" s="6" t="n">
        <v>9</v>
      </c>
      <c r="H751" s="6" t="s">
        <v>8007</v>
      </c>
    </row>
    <row r="752" customFormat="false" ht="15" hidden="false" customHeight="true" outlineLevel="0" collapsed="false">
      <c r="A752" s="6" t="s">
        <v>2640</v>
      </c>
      <c r="B752" s="6" t="s">
        <v>8004</v>
      </c>
      <c r="C752" s="28" t="n">
        <v>0</v>
      </c>
      <c r="D752" s="6" t="n">
        <v>10</v>
      </c>
      <c r="E752" s="29"/>
      <c r="F752" s="6"/>
      <c r="G752" s="6" t="n">
        <v>9</v>
      </c>
      <c r="H752" s="6" t="s">
        <v>8007</v>
      </c>
    </row>
    <row r="753" customFormat="false" ht="15" hidden="false" customHeight="true" outlineLevel="0" collapsed="false">
      <c r="A753" s="6" t="s">
        <v>2661</v>
      </c>
      <c r="B753" s="6" t="s">
        <v>7997</v>
      </c>
      <c r="C753" s="28" t="n">
        <v>0</v>
      </c>
      <c r="D753" s="6" t="n">
        <v>14</v>
      </c>
      <c r="E753" s="29"/>
      <c r="F753" s="6"/>
      <c r="G753" s="6" t="n">
        <v>9</v>
      </c>
      <c r="H753" s="6" t="s">
        <v>8007</v>
      </c>
    </row>
    <row r="754" customFormat="false" ht="15" hidden="false" customHeight="true" outlineLevel="0" collapsed="false">
      <c r="A754" s="6" t="s">
        <v>2684</v>
      </c>
      <c r="B754" s="6" t="s">
        <v>7998</v>
      </c>
      <c r="C754" s="28" t="n">
        <v>0</v>
      </c>
      <c r="D754" s="6" t="n">
        <v>11</v>
      </c>
      <c r="E754" s="29"/>
      <c r="F754" s="6"/>
      <c r="G754" s="6" t="n">
        <v>9</v>
      </c>
      <c r="H754" s="6" t="s">
        <v>8007</v>
      </c>
    </row>
    <row r="755" customFormat="false" ht="15" hidden="false" customHeight="true" outlineLevel="0" collapsed="false">
      <c r="A755" s="6" t="s">
        <v>2697</v>
      </c>
      <c r="B755" s="6" t="s">
        <v>7998</v>
      </c>
      <c r="C755" s="28" t="n">
        <v>0</v>
      </c>
      <c r="D755" s="6" t="n">
        <v>27</v>
      </c>
      <c r="E755" s="29"/>
      <c r="F755" s="6"/>
      <c r="G755" s="6" t="s">
        <v>6870</v>
      </c>
      <c r="H755" s="6" t="s">
        <v>8007</v>
      </c>
    </row>
    <row r="756" customFormat="false" ht="15" hidden="false" customHeight="true" outlineLevel="0" collapsed="false">
      <c r="A756" s="6" t="s">
        <v>2707</v>
      </c>
      <c r="B756" s="6" t="s">
        <v>7997</v>
      </c>
      <c r="C756" s="28" t="n">
        <v>0</v>
      </c>
      <c r="D756" s="6" t="n">
        <v>13</v>
      </c>
      <c r="E756" s="29"/>
      <c r="F756" s="6"/>
      <c r="G756" s="6" t="s">
        <v>6868</v>
      </c>
      <c r="H756" s="6" t="s">
        <v>8007</v>
      </c>
    </row>
    <row r="757" customFormat="false" ht="15" hidden="false" customHeight="true" outlineLevel="0" collapsed="false">
      <c r="A757" s="6" t="s">
        <v>2704</v>
      </c>
      <c r="B757" s="6" t="s">
        <v>8004</v>
      </c>
      <c r="C757" s="28" t="n">
        <v>0</v>
      </c>
      <c r="D757" s="6" t="n">
        <v>17</v>
      </c>
      <c r="E757" s="29"/>
      <c r="F757" s="6"/>
      <c r="G757" s="6" t="n">
        <v>9</v>
      </c>
      <c r="H757" s="6" t="s">
        <v>8007</v>
      </c>
    </row>
    <row r="758" customFormat="false" ht="15" hidden="false" customHeight="true" outlineLevel="0" collapsed="false">
      <c r="A758" s="6" t="s">
        <v>2715</v>
      </c>
      <c r="B758" s="6" t="s">
        <v>8004</v>
      </c>
      <c r="C758" s="28" t="n">
        <v>0</v>
      </c>
      <c r="D758" s="6" t="n">
        <v>12</v>
      </c>
      <c r="E758" s="29"/>
      <c r="F758" s="6"/>
      <c r="G758" s="6" t="n">
        <v>9</v>
      </c>
      <c r="H758" s="6" t="s">
        <v>8007</v>
      </c>
    </row>
    <row r="759" customFormat="false" ht="15" hidden="false" customHeight="true" outlineLevel="0" collapsed="false">
      <c r="A759" s="6" t="s">
        <v>6509</v>
      </c>
      <c r="B759" s="6" t="s">
        <v>7997</v>
      </c>
      <c r="C759" s="28" t="n">
        <v>0</v>
      </c>
      <c r="D759" s="6" t="n">
        <v>2</v>
      </c>
      <c r="E759" s="29" t="n">
        <v>0</v>
      </c>
      <c r="F759" s="6" t="n">
        <v>1</v>
      </c>
      <c r="G759" s="6" t="n">
        <v>1</v>
      </c>
      <c r="H759" s="6"/>
    </row>
    <row r="760" customFormat="false" ht="15" hidden="false" customHeight="true" outlineLevel="0" collapsed="false">
      <c r="A760" s="6" t="s">
        <v>6513</v>
      </c>
      <c r="B760" s="6" t="s">
        <v>7998</v>
      </c>
      <c r="C760" s="28" t="n">
        <v>0</v>
      </c>
      <c r="D760" s="6" t="n">
        <v>15</v>
      </c>
      <c r="E760" s="29"/>
      <c r="F760" s="6"/>
      <c r="G760" s="6" t="n">
        <v>1</v>
      </c>
      <c r="H760" s="6" t="s">
        <v>8007</v>
      </c>
    </row>
    <row r="761" customFormat="false" ht="15" hidden="false" customHeight="true" outlineLevel="0" collapsed="false">
      <c r="A761" s="6" t="s">
        <v>2750</v>
      </c>
      <c r="B761" s="6" t="s">
        <v>8000</v>
      </c>
      <c r="C761" s="28" t="n">
        <v>0</v>
      </c>
      <c r="D761" s="6" t="n">
        <v>17</v>
      </c>
      <c r="E761" s="29"/>
      <c r="F761" s="6"/>
      <c r="G761" s="6" t="n">
        <v>4</v>
      </c>
      <c r="H761" s="6" t="s">
        <v>8007</v>
      </c>
    </row>
    <row r="762" customFormat="false" ht="15" hidden="false" customHeight="true" outlineLevel="0" collapsed="false">
      <c r="A762" s="6" t="s">
        <v>2751</v>
      </c>
      <c r="B762" s="6" t="s">
        <v>8000</v>
      </c>
      <c r="C762" s="28" t="n">
        <v>0</v>
      </c>
      <c r="D762" s="6" t="n">
        <v>17</v>
      </c>
      <c r="E762" s="29"/>
      <c r="F762" s="6"/>
      <c r="G762" s="6" t="n">
        <v>9</v>
      </c>
      <c r="H762" s="6" t="s">
        <v>8007</v>
      </c>
    </row>
    <row r="763" customFormat="false" ht="15" hidden="false" customHeight="true" outlineLevel="0" collapsed="false">
      <c r="A763" s="6" t="s">
        <v>2764</v>
      </c>
      <c r="B763" s="6" t="s">
        <v>8000</v>
      </c>
      <c r="C763" s="28" t="n">
        <v>0</v>
      </c>
      <c r="D763" s="6" t="n">
        <v>12</v>
      </c>
      <c r="E763" s="29"/>
      <c r="F763" s="6"/>
      <c r="G763" s="6" t="n">
        <v>4</v>
      </c>
      <c r="H763" s="6" t="s">
        <v>8007</v>
      </c>
    </row>
    <row r="764" customFormat="false" ht="15" hidden="false" customHeight="true" outlineLevel="0" collapsed="false">
      <c r="A764" s="6" t="s">
        <v>2765</v>
      </c>
      <c r="B764" s="6" t="s">
        <v>8000</v>
      </c>
      <c r="C764" s="28" t="n">
        <v>0</v>
      </c>
      <c r="D764" s="6" t="n">
        <v>11</v>
      </c>
      <c r="E764" s="29"/>
      <c r="F764" s="6"/>
      <c r="G764" s="6" t="n">
        <v>9</v>
      </c>
      <c r="H764" s="6" t="s">
        <v>8007</v>
      </c>
    </row>
    <row r="765" customFormat="false" ht="15" hidden="false" customHeight="true" outlineLevel="0" collapsed="false">
      <c r="A765" s="6" t="s">
        <v>2777</v>
      </c>
      <c r="B765" s="6" t="s">
        <v>8003</v>
      </c>
      <c r="C765" s="28" t="n">
        <v>0</v>
      </c>
      <c r="D765" s="6" t="n">
        <v>3</v>
      </c>
      <c r="E765" s="29" t="n">
        <v>0</v>
      </c>
      <c r="F765" s="6" t="n">
        <v>0</v>
      </c>
      <c r="G765" s="6" t="n">
        <v>4</v>
      </c>
      <c r="H765" s="6"/>
    </row>
    <row r="766" customFormat="false" ht="15" hidden="false" customHeight="true" outlineLevel="0" collapsed="false">
      <c r="A766" s="6" t="s">
        <v>2778</v>
      </c>
      <c r="B766" s="6" t="s">
        <v>8003</v>
      </c>
      <c r="C766" s="28" t="n">
        <v>0</v>
      </c>
      <c r="D766" s="6" t="n">
        <v>11</v>
      </c>
      <c r="E766" s="29"/>
      <c r="F766" s="6"/>
      <c r="G766" s="6" t="n">
        <v>9</v>
      </c>
      <c r="H766" s="6" t="s">
        <v>8007</v>
      </c>
    </row>
    <row r="767" customFormat="false" ht="15" hidden="false" customHeight="true" outlineLevel="0" collapsed="false">
      <c r="A767" s="6" t="s">
        <v>2789</v>
      </c>
      <c r="B767" s="6" t="s">
        <v>8000</v>
      </c>
      <c r="C767" s="28" t="n">
        <v>0</v>
      </c>
      <c r="D767" s="6" t="n">
        <v>12</v>
      </c>
      <c r="E767" s="29"/>
      <c r="F767" s="6"/>
      <c r="G767" s="6" t="n">
        <v>4</v>
      </c>
      <c r="H767" s="6" t="s">
        <v>8007</v>
      </c>
    </row>
    <row r="768" customFormat="false" ht="15" hidden="false" customHeight="true" outlineLevel="0" collapsed="false">
      <c r="A768" s="6" t="s">
        <v>2790</v>
      </c>
      <c r="B768" s="6" t="s">
        <v>8000</v>
      </c>
      <c r="C768" s="28" t="n">
        <v>0</v>
      </c>
      <c r="D768" s="6" t="n">
        <v>11</v>
      </c>
      <c r="E768" s="29"/>
      <c r="F768" s="6"/>
      <c r="G768" s="6" t="n">
        <v>9</v>
      </c>
      <c r="H768" s="6" t="s">
        <v>8007</v>
      </c>
    </row>
    <row r="769" customFormat="false" ht="15" hidden="false" customHeight="true" outlineLevel="0" collapsed="false">
      <c r="A769" s="6" t="s">
        <v>2802</v>
      </c>
      <c r="B769" s="6" t="s">
        <v>8000</v>
      </c>
      <c r="C769" s="28" t="n">
        <v>0</v>
      </c>
      <c r="D769" s="6" t="n">
        <v>12</v>
      </c>
      <c r="E769" s="29"/>
      <c r="F769" s="6"/>
      <c r="G769" s="6" t="n">
        <v>4</v>
      </c>
      <c r="H769" s="6" t="s">
        <v>8007</v>
      </c>
    </row>
    <row r="770" customFormat="false" ht="15" hidden="false" customHeight="true" outlineLevel="0" collapsed="false">
      <c r="A770" s="6" t="s">
        <v>2803</v>
      </c>
      <c r="B770" s="6" t="s">
        <v>8000</v>
      </c>
      <c r="C770" s="28" t="n">
        <v>0</v>
      </c>
      <c r="D770" s="6" t="n">
        <v>16</v>
      </c>
      <c r="E770" s="29"/>
      <c r="F770" s="6"/>
      <c r="G770" s="6" t="n">
        <v>9</v>
      </c>
      <c r="H770" s="6" t="s">
        <v>8007</v>
      </c>
    </row>
    <row r="771" customFormat="false" ht="15" hidden="false" customHeight="true" outlineLevel="0" collapsed="false">
      <c r="A771" s="6" t="s">
        <v>2820</v>
      </c>
      <c r="B771" s="6" t="s">
        <v>7998</v>
      </c>
      <c r="C771" s="28" t="n">
        <v>0</v>
      </c>
      <c r="D771" s="6" t="n">
        <v>9</v>
      </c>
      <c r="E771" s="29" t="n">
        <v>0</v>
      </c>
      <c r="F771" s="6" t="n">
        <v>0</v>
      </c>
      <c r="G771" s="6" t="n">
        <v>9</v>
      </c>
      <c r="H771" s="6"/>
    </row>
    <row r="772" customFormat="false" ht="15" hidden="false" customHeight="true" outlineLevel="0" collapsed="false">
      <c r="A772" s="6" t="s">
        <v>2834</v>
      </c>
      <c r="B772" s="6" t="s">
        <v>7998</v>
      </c>
      <c r="C772" s="28" t="n">
        <v>0</v>
      </c>
      <c r="D772" s="6" t="n">
        <v>9</v>
      </c>
      <c r="E772" s="29"/>
      <c r="F772" s="6"/>
      <c r="G772" s="6" t="n">
        <v>4</v>
      </c>
      <c r="H772" s="6" t="s">
        <v>8007</v>
      </c>
    </row>
    <row r="773" customFormat="false" ht="15" hidden="false" customHeight="true" outlineLevel="0" collapsed="false">
      <c r="A773" s="6" t="s">
        <v>2835</v>
      </c>
      <c r="B773" s="6" t="s">
        <v>7998</v>
      </c>
      <c r="C773" s="28" t="n">
        <v>0</v>
      </c>
      <c r="D773" s="6" t="n">
        <v>8</v>
      </c>
      <c r="E773" s="29"/>
      <c r="F773" s="6"/>
      <c r="G773" s="6" t="n">
        <v>9</v>
      </c>
      <c r="H773" s="6" t="s">
        <v>8007</v>
      </c>
    </row>
    <row r="774" customFormat="false" ht="15" hidden="false" customHeight="true" outlineLevel="0" collapsed="false">
      <c r="A774" s="6" t="s">
        <v>2845</v>
      </c>
      <c r="B774" s="6" t="s">
        <v>7998</v>
      </c>
      <c r="C774" s="28" t="n">
        <v>0</v>
      </c>
      <c r="D774" s="6" t="n">
        <v>17</v>
      </c>
      <c r="E774" s="29"/>
      <c r="F774" s="6"/>
      <c r="G774" s="6" t="n">
        <v>4</v>
      </c>
      <c r="H774" s="6" t="s">
        <v>8007</v>
      </c>
    </row>
    <row r="775" customFormat="false" ht="15" hidden="false" customHeight="true" outlineLevel="0" collapsed="false">
      <c r="A775" s="6" t="s">
        <v>2846</v>
      </c>
      <c r="B775" s="6" t="s">
        <v>7998</v>
      </c>
      <c r="C775" s="28" t="n">
        <v>0</v>
      </c>
      <c r="D775" s="6" t="n">
        <v>8</v>
      </c>
      <c r="E775" s="29"/>
      <c r="F775" s="6"/>
      <c r="G775" s="6" t="n">
        <v>9</v>
      </c>
      <c r="H775" s="6" t="s">
        <v>8007</v>
      </c>
    </row>
    <row r="776" customFormat="false" ht="15" hidden="false" customHeight="true" outlineLevel="0" collapsed="false">
      <c r="A776" s="6" t="s">
        <v>2857</v>
      </c>
      <c r="B776" s="6" t="s">
        <v>7998</v>
      </c>
      <c r="C776" s="28" t="n">
        <v>0</v>
      </c>
      <c r="D776" s="6" t="n">
        <v>11</v>
      </c>
      <c r="E776" s="29"/>
      <c r="F776" s="6"/>
      <c r="G776" s="6" t="n">
        <v>9</v>
      </c>
      <c r="H776" s="6" t="s">
        <v>8007</v>
      </c>
    </row>
    <row r="777" customFormat="false" ht="15" hidden="false" customHeight="true" outlineLevel="0" collapsed="false">
      <c r="A777" s="6" t="s">
        <v>2870</v>
      </c>
      <c r="B777" s="6" t="s">
        <v>8001</v>
      </c>
      <c r="C777" s="28" t="n">
        <v>0</v>
      </c>
      <c r="D777" s="6" t="n">
        <v>13</v>
      </c>
      <c r="E777" s="29"/>
      <c r="F777" s="6"/>
      <c r="G777" s="6" t="n">
        <v>9</v>
      </c>
      <c r="H777" s="6" t="s">
        <v>8007</v>
      </c>
    </row>
    <row r="778" customFormat="false" ht="15" hidden="false" customHeight="true" outlineLevel="0" collapsed="false">
      <c r="A778" s="6" t="s">
        <v>2882</v>
      </c>
      <c r="B778" s="6" t="s">
        <v>7998</v>
      </c>
      <c r="C778" s="28" t="n">
        <v>0</v>
      </c>
      <c r="D778" s="6" t="n">
        <v>17</v>
      </c>
      <c r="E778" s="29"/>
      <c r="F778" s="6"/>
      <c r="G778" s="6" t="n">
        <v>9</v>
      </c>
      <c r="H778" s="6" t="s">
        <v>8007</v>
      </c>
    </row>
    <row r="779" customFormat="false" ht="15" hidden="false" customHeight="true" outlineLevel="0" collapsed="false">
      <c r="A779" s="6" t="s">
        <v>6523</v>
      </c>
      <c r="B779" s="6" t="s">
        <v>7998</v>
      </c>
      <c r="C779" s="28" t="n">
        <v>0</v>
      </c>
      <c r="D779" s="6" t="n">
        <v>9</v>
      </c>
      <c r="E779" s="29" t="n">
        <v>0</v>
      </c>
      <c r="F779" s="6" t="n">
        <v>1</v>
      </c>
      <c r="G779" s="6" t="n">
        <v>1</v>
      </c>
      <c r="H779" s="6"/>
    </row>
    <row r="780" customFormat="false" ht="15" hidden="false" customHeight="true" outlineLevel="0" collapsed="false">
      <c r="A780" s="6" t="s">
        <v>2894</v>
      </c>
      <c r="B780" s="6" t="s">
        <v>7998</v>
      </c>
      <c r="C780" s="28" t="n">
        <v>0</v>
      </c>
      <c r="D780" s="6" t="n">
        <v>12</v>
      </c>
      <c r="E780" s="29"/>
      <c r="F780" s="6"/>
      <c r="G780" s="6" t="n">
        <v>9</v>
      </c>
      <c r="H780" s="6" t="s">
        <v>8007</v>
      </c>
    </row>
    <row r="781" customFormat="false" ht="15" hidden="false" customHeight="true" outlineLevel="0" collapsed="false">
      <c r="A781" s="6" t="s">
        <v>6525</v>
      </c>
      <c r="B781" s="6" t="s">
        <v>8001</v>
      </c>
      <c r="C781" s="28" t="n">
        <v>0</v>
      </c>
      <c r="D781" s="6" t="n">
        <v>22</v>
      </c>
      <c r="E781" s="29"/>
      <c r="F781" s="6"/>
      <c r="G781" s="6" t="n">
        <v>1</v>
      </c>
      <c r="H781" s="6" t="s">
        <v>8007</v>
      </c>
    </row>
    <row r="782" customFormat="false" ht="15" hidden="false" customHeight="true" outlineLevel="0" collapsed="false">
      <c r="A782" s="6" t="s">
        <v>2920</v>
      </c>
      <c r="B782" s="6" t="s">
        <v>7998</v>
      </c>
      <c r="C782" s="28" t="n">
        <v>0</v>
      </c>
      <c r="D782" s="6" t="n">
        <v>18</v>
      </c>
      <c r="E782" s="29"/>
      <c r="F782" s="6"/>
      <c r="G782" s="6" t="n">
        <v>9</v>
      </c>
      <c r="H782" s="6" t="s">
        <v>8007</v>
      </c>
    </row>
    <row r="783" customFormat="false" ht="15" hidden="false" customHeight="true" outlineLevel="0" collapsed="false">
      <c r="A783" s="6" t="s">
        <v>6528</v>
      </c>
      <c r="B783" s="6" t="s">
        <v>7998</v>
      </c>
      <c r="C783" s="28" t="n">
        <v>0</v>
      </c>
      <c r="D783" s="6" t="n">
        <v>14</v>
      </c>
      <c r="E783" s="29"/>
      <c r="F783" s="6"/>
      <c r="G783" s="6" t="n">
        <v>1</v>
      </c>
      <c r="H783" s="6" t="s">
        <v>8007</v>
      </c>
    </row>
    <row r="784" customFormat="false" ht="15" hidden="false" customHeight="true" outlineLevel="0" collapsed="false">
      <c r="A784" s="6" t="s">
        <v>2958</v>
      </c>
      <c r="B784" s="6" t="s">
        <v>7998</v>
      </c>
      <c r="C784" s="28" t="n">
        <v>0</v>
      </c>
      <c r="D784" s="6" t="n">
        <v>10</v>
      </c>
      <c r="E784" s="29" t="n">
        <v>0</v>
      </c>
      <c r="F784" s="6" t="n">
        <v>0.71</v>
      </c>
      <c r="G784" s="6" t="n">
        <v>9</v>
      </c>
      <c r="H784" s="6"/>
    </row>
    <row r="785" customFormat="false" ht="15" hidden="false" customHeight="true" outlineLevel="0" collapsed="false">
      <c r="A785" s="6" t="s">
        <v>2993</v>
      </c>
      <c r="B785" s="6" t="s">
        <v>8001</v>
      </c>
      <c r="C785" s="28" t="n">
        <v>0</v>
      </c>
      <c r="D785" s="6" t="n">
        <v>16</v>
      </c>
      <c r="E785" s="29"/>
      <c r="F785" s="6"/>
      <c r="G785" s="6" t="n">
        <v>9</v>
      </c>
      <c r="H785" s="6" t="s">
        <v>8007</v>
      </c>
    </row>
    <row r="786" customFormat="false" ht="15" hidden="false" customHeight="true" outlineLevel="0" collapsed="false">
      <c r="A786" s="6" t="s">
        <v>2979</v>
      </c>
      <c r="B786" s="6" t="s">
        <v>7998</v>
      </c>
      <c r="C786" s="28" t="n">
        <v>0</v>
      </c>
      <c r="D786" s="6" t="n">
        <v>23</v>
      </c>
      <c r="E786" s="29"/>
      <c r="F786" s="6"/>
      <c r="G786" s="6" t="n">
        <v>4</v>
      </c>
      <c r="H786" s="6" t="s">
        <v>8007</v>
      </c>
    </row>
    <row r="787" customFormat="false" ht="15" hidden="false" customHeight="true" outlineLevel="0" collapsed="false">
      <c r="A787" s="6" t="s">
        <v>2980</v>
      </c>
      <c r="B787" s="6" t="s">
        <v>7998</v>
      </c>
      <c r="C787" s="28" t="n">
        <v>0</v>
      </c>
      <c r="D787" s="6" t="n">
        <v>13</v>
      </c>
      <c r="E787" s="29"/>
      <c r="F787" s="6"/>
      <c r="G787" s="6" t="n">
        <v>9</v>
      </c>
      <c r="H787" s="6" t="s">
        <v>8007</v>
      </c>
    </row>
    <row r="788" customFormat="false" ht="15" hidden="false" customHeight="true" outlineLevel="0" collapsed="false">
      <c r="A788" s="6" t="s">
        <v>2935</v>
      </c>
      <c r="B788" s="6" t="s">
        <v>7999</v>
      </c>
      <c r="C788" s="28" t="n">
        <v>0</v>
      </c>
      <c r="D788" s="6" t="n">
        <v>13</v>
      </c>
      <c r="E788" s="29"/>
      <c r="F788" s="6"/>
      <c r="G788" s="6" t="n">
        <v>4</v>
      </c>
      <c r="H788" s="6" t="s">
        <v>8007</v>
      </c>
    </row>
    <row r="789" customFormat="false" ht="15" hidden="false" customHeight="true" outlineLevel="0" collapsed="false">
      <c r="A789" s="6" t="s">
        <v>2936</v>
      </c>
      <c r="B789" s="6" t="s">
        <v>8000</v>
      </c>
      <c r="C789" s="28" t="n">
        <v>0</v>
      </c>
      <c r="D789" s="6" t="n">
        <v>9</v>
      </c>
      <c r="E789" s="29"/>
      <c r="F789" s="6"/>
      <c r="G789" s="6" t="n">
        <v>9</v>
      </c>
      <c r="H789" s="6" t="s">
        <v>8007</v>
      </c>
    </row>
    <row r="790" customFormat="false" ht="15" hidden="false" customHeight="true" outlineLevel="0" collapsed="false">
      <c r="A790" s="6" t="s">
        <v>3035</v>
      </c>
      <c r="B790" s="6" t="s">
        <v>7998</v>
      </c>
      <c r="C790" s="28" t="n">
        <v>0</v>
      </c>
      <c r="D790" s="6" t="n">
        <v>13</v>
      </c>
      <c r="E790" s="29"/>
      <c r="F790" s="6"/>
      <c r="G790" s="6" t="n">
        <v>4</v>
      </c>
      <c r="H790" s="6" t="s">
        <v>8007</v>
      </c>
    </row>
    <row r="791" customFormat="false" ht="15" hidden="false" customHeight="true" outlineLevel="0" collapsed="false">
      <c r="A791" s="6" t="s">
        <v>3024</v>
      </c>
      <c r="B791" s="6" t="s">
        <v>8002</v>
      </c>
      <c r="C791" s="28" t="n">
        <v>0</v>
      </c>
      <c r="D791" s="6" t="n">
        <v>13</v>
      </c>
      <c r="E791" s="29"/>
      <c r="F791" s="6"/>
      <c r="G791" s="6" t="n">
        <v>4</v>
      </c>
      <c r="H791" s="6" t="s">
        <v>8007</v>
      </c>
    </row>
    <row r="792" customFormat="false" ht="15" hidden="false" customHeight="true" outlineLevel="0" collapsed="false">
      <c r="A792" s="6" t="s">
        <v>3025</v>
      </c>
      <c r="B792" s="6" t="s">
        <v>7997</v>
      </c>
      <c r="C792" s="28" t="n">
        <v>0</v>
      </c>
      <c r="D792" s="6" t="n">
        <v>12</v>
      </c>
      <c r="E792" s="29"/>
      <c r="F792" s="6"/>
      <c r="G792" s="6" t="n">
        <v>9</v>
      </c>
      <c r="H792" s="6" t="s">
        <v>8007</v>
      </c>
    </row>
    <row r="793" customFormat="false" ht="15" hidden="false" customHeight="true" outlineLevel="0" collapsed="false">
      <c r="A793" s="6" t="s">
        <v>3036</v>
      </c>
      <c r="B793" s="6" t="s">
        <v>7998</v>
      </c>
      <c r="C793" s="28" t="n">
        <v>0</v>
      </c>
      <c r="D793" s="6" t="n">
        <v>10</v>
      </c>
      <c r="E793" s="29"/>
      <c r="F793" s="6"/>
      <c r="G793" s="6" t="n">
        <v>9</v>
      </c>
      <c r="H793" s="6" t="s">
        <v>8007</v>
      </c>
    </row>
    <row r="794" customFormat="false" ht="15" hidden="false" customHeight="true" outlineLevel="0" collapsed="false">
      <c r="A794" s="6" t="s">
        <v>2946</v>
      </c>
      <c r="B794" s="6" t="s">
        <v>7998</v>
      </c>
      <c r="C794" s="28" t="n">
        <v>0</v>
      </c>
      <c r="D794" s="6" t="n">
        <v>20</v>
      </c>
      <c r="E794" s="29"/>
      <c r="F794" s="6"/>
      <c r="G794" s="6" t="n">
        <v>9</v>
      </c>
      <c r="H794" s="6" t="s">
        <v>8007</v>
      </c>
    </row>
    <row r="795" customFormat="false" ht="15" hidden="false" customHeight="true" outlineLevel="0" collapsed="false">
      <c r="A795" s="6" t="s">
        <v>3003</v>
      </c>
      <c r="B795" s="6" t="s">
        <v>7998</v>
      </c>
      <c r="C795" s="28" t="n">
        <v>0</v>
      </c>
      <c r="D795" s="6" t="n">
        <v>15</v>
      </c>
      <c r="E795" s="29"/>
      <c r="F795" s="6"/>
      <c r="G795" s="6" t="n">
        <v>9</v>
      </c>
      <c r="H795" s="6" t="s">
        <v>8007</v>
      </c>
    </row>
    <row r="796" customFormat="false" ht="15" hidden="false" customHeight="true" outlineLevel="0" collapsed="false">
      <c r="A796" s="6" t="s">
        <v>3014</v>
      </c>
      <c r="B796" s="6" t="s">
        <v>7998</v>
      </c>
      <c r="C796" s="28" t="n">
        <v>0</v>
      </c>
      <c r="D796" s="6" t="n">
        <v>17</v>
      </c>
      <c r="E796" s="29"/>
      <c r="F796" s="6"/>
      <c r="G796" s="6" t="n">
        <v>9</v>
      </c>
      <c r="H796" s="6" t="s">
        <v>8007</v>
      </c>
    </row>
    <row r="797" customFormat="false" ht="15" hidden="false" customHeight="true" outlineLevel="0" collapsed="false">
      <c r="A797" s="6" t="s">
        <v>6697</v>
      </c>
      <c r="B797" s="6" t="s">
        <v>7998</v>
      </c>
      <c r="C797" s="28" t="n">
        <v>0</v>
      </c>
      <c r="D797" s="6" t="n">
        <v>15</v>
      </c>
      <c r="E797" s="29"/>
      <c r="F797" s="6"/>
      <c r="G797" s="6" t="n">
        <v>2</v>
      </c>
      <c r="H797" s="6" t="s">
        <v>8007</v>
      </c>
    </row>
    <row r="798" customFormat="false" ht="15" hidden="false" customHeight="true" outlineLevel="0" collapsed="false">
      <c r="A798" s="6" t="s">
        <v>6702</v>
      </c>
      <c r="B798" s="6" t="s">
        <v>7999</v>
      </c>
      <c r="C798" s="28" t="n">
        <v>0</v>
      </c>
      <c r="D798" s="6" t="n">
        <v>20</v>
      </c>
      <c r="E798" s="29"/>
      <c r="F798" s="6"/>
      <c r="G798" s="6" t="n">
        <v>2</v>
      </c>
      <c r="H798" s="6" t="s">
        <v>8007</v>
      </c>
    </row>
    <row r="799" customFormat="false" ht="15" hidden="false" customHeight="true" outlineLevel="0" collapsed="false">
      <c r="A799" s="6" t="s">
        <v>6704</v>
      </c>
      <c r="B799" s="6" t="s">
        <v>8001</v>
      </c>
      <c r="C799" s="28" t="n">
        <v>0</v>
      </c>
      <c r="D799" s="6" t="n">
        <v>31</v>
      </c>
      <c r="E799" s="29"/>
      <c r="F799" s="6"/>
      <c r="G799" s="6" t="n">
        <v>2</v>
      </c>
      <c r="H799" s="6" t="s">
        <v>8007</v>
      </c>
    </row>
    <row r="800" customFormat="false" ht="15" hidden="false" customHeight="true" outlineLevel="0" collapsed="false">
      <c r="A800" s="6" t="s">
        <v>6705</v>
      </c>
      <c r="B800" s="6" t="s">
        <v>7998</v>
      </c>
      <c r="C800" s="28" t="n">
        <v>0</v>
      </c>
      <c r="D800" s="6" t="n">
        <v>27</v>
      </c>
      <c r="E800" s="29"/>
      <c r="F800" s="6"/>
      <c r="G800" s="6" t="n">
        <v>2</v>
      </c>
      <c r="H800" s="6" t="s">
        <v>8007</v>
      </c>
    </row>
    <row r="801" customFormat="false" ht="15" hidden="false" customHeight="true" outlineLevel="0" collapsed="false">
      <c r="A801" s="6" t="s">
        <v>3066</v>
      </c>
      <c r="B801" s="6" t="s">
        <v>7998</v>
      </c>
      <c r="C801" s="28" t="n">
        <v>0</v>
      </c>
      <c r="D801" s="6" t="n">
        <v>22</v>
      </c>
      <c r="E801" s="29"/>
      <c r="F801" s="6"/>
      <c r="G801" s="6" t="n">
        <v>9</v>
      </c>
      <c r="H801" s="6" t="s">
        <v>8007</v>
      </c>
    </row>
    <row r="802" customFormat="false" ht="15" hidden="false" customHeight="true" outlineLevel="0" collapsed="false">
      <c r="A802" s="6" t="s">
        <v>3077</v>
      </c>
      <c r="B802" s="6" t="s">
        <v>8000</v>
      </c>
      <c r="C802" s="28" t="n">
        <v>0</v>
      </c>
      <c r="D802" s="6" t="n">
        <v>21</v>
      </c>
      <c r="E802" s="29"/>
      <c r="F802" s="6"/>
      <c r="G802" s="6" t="n">
        <v>9</v>
      </c>
      <c r="H802" s="6" t="s">
        <v>8007</v>
      </c>
    </row>
    <row r="803" customFormat="false" ht="15" hidden="false" customHeight="true" outlineLevel="0" collapsed="false">
      <c r="A803" s="6" t="s">
        <v>3048</v>
      </c>
      <c r="B803" s="6" t="s">
        <v>8000</v>
      </c>
      <c r="C803" s="28" t="n">
        <v>0</v>
      </c>
      <c r="D803" s="6" t="n">
        <v>28</v>
      </c>
      <c r="E803" s="29"/>
      <c r="F803" s="6"/>
      <c r="G803" s="6" t="n">
        <v>9</v>
      </c>
      <c r="H803" s="6" t="s">
        <v>8007</v>
      </c>
    </row>
    <row r="804" customFormat="false" ht="15" hidden="false" customHeight="true" outlineLevel="0" collapsed="false">
      <c r="A804" s="6" t="s">
        <v>2622</v>
      </c>
      <c r="B804" s="6" t="s">
        <v>8002</v>
      </c>
      <c r="C804" s="28" t="n">
        <v>0</v>
      </c>
      <c r="D804" s="6" t="n">
        <v>10</v>
      </c>
      <c r="E804" s="29"/>
      <c r="F804" s="6"/>
      <c r="G804" s="6" t="s">
        <v>6870</v>
      </c>
      <c r="H804" s="6" t="s">
        <v>8007</v>
      </c>
    </row>
    <row r="805" customFormat="false" ht="15" hidden="false" customHeight="true" outlineLevel="0" collapsed="false">
      <c r="A805" s="6" t="s">
        <v>2994</v>
      </c>
      <c r="B805" s="6" t="s">
        <v>8002</v>
      </c>
      <c r="C805" s="28" t="n">
        <v>0</v>
      </c>
      <c r="D805" s="6" t="n">
        <v>18</v>
      </c>
      <c r="E805" s="29"/>
      <c r="F805" s="6"/>
      <c r="G805" s="6" t="s">
        <v>6870</v>
      </c>
      <c r="H805" s="6" t="s">
        <v>8007</v>
      </c>
    </row>
    <row r="806" customFormat="false" ht="15" hidden="false" customHeight="true" outlineLevel="0" collapsed="false">
      <c r="A806" s="6" t="s">
        <v>3091</v>
      </c>
      <c r="B806" s="6" t="s">
        <v>8002</v>
      </c>
      <c r="C806" s="28" t="n">
        <v>0</v>
      </c>
      <c r="D806" s="6" t="n">
        <v>18</v>
      </c>
      <c r="E806" s="29"/>
      <c r="F806" s="6"/>
      <c r="G806" s="6" t="s">
        <v>6870</v>
      </c>
      <c r="H806" s="6" t="s">
        <v>8007</v>
      </c>
    </row>
    <row r="807" customFormat="false" ht="15" hidden="false" customHeight="true" outlineLevel="0" collapsed="false">
      <c r="A807" s="6" t="s">
        <v>3185</v>
      </c>
      <c r="B807" s="6" t="s">
        <v>8002</v>
      </c>
      <c r="C807" s="28" t="n">
        <v>0</v>
      </c>
      <c r="D807" s="6" t="n">
        <v>17</v>
      </c>
      <c r="E807" s="29"/>
      <c r="F807" s="6"/>
      <c r="G807" s="6" t="s">
        <v>6870</v>
      </c>
      <c r="H807" s="6" t="s">
        <v>8007</v>
      </c>
    </row>
    <row r="808" customFormat="false" ht="15" hidden="false" customHeight="true" outlineLevel="0" collapsed="false">
      <c r="A808" s="6" t="s">
        <v>3342</v>
      </c>
      <c r="B808" s="6" t="s">
        <v>8002</v>
      </c>
      <c r="C808" s="28" t="n">
        <v>0</v>
      </c>
      <c r="D808" s="6" t="n">
        <v>23</v>
      </c>
      <c r="E808" s="29"/>
      <c r="F808" s="6"/>
      <c r="G808" s="6" t="s">
        <v>6870</v>
      </c>
      <c r="H808" s="6" t="s">
        <v>8007</v>
      </c>
    </row>
    <row r="809" customFormat="false" ht="15" hidden="false" customHeight="true" outlineLevel="0" collapsed="false">
      <c r="A809" s="6" t="s">
        <v>6812</v>
      </c>
      <c r="B809" s="6" t="s">
        <v>8004</v>
      </c>
      <c r="C809" s="28" t="n">
        <v>0</v>
      </c>
      <c r="D809" s="6" t="n">
        <v>14</v>
      </c>
      <c r="E809" s="29"/>
      <c r="F809" s="6"/>
      <c r="G809" s="6" t="n">
        <v>3</v>
      </c>
      <c r="H809" s="6" t="s">
        <v>8007</v>
      </c>
    </row>
    <row r="810" customFormat="false" ht="15" hidden="false" customHeight="true" outlineLevel="0" collapsed="false">
      <c r="A810" s="6" t="s">
        <v>6813</v>
      </c>
      <c r="B810" s="6" t="s">
        <v>8004</v>
      </c>
      <c r="C810" s="28" t="n">
        <v>0</v>
      </c>
      <c r="D810" s="6" t="n">
        <v>22</v>
      </c>
      <c r="E810" s="29"/>
      <c r="F810" s="6"/>
      <c r="G810" s="6" t="n">
        <v>3</v>
      </c>
      <c r="H810" s="6" t="s">
        <v>8007</v>
      </c>
    </row>
    <row r="811" customFormat="false" ht="15" hidden="false" customHeight="true" outlineLevel="0" collapsed="false">
      <c r="A811" s="6" t="s">
        <v>6814</v>
      </c>
      <c r="B811" s="6" t="s">
        <v>8002</v>
      </c>
      <c r="C811" s="28" t="n">
        <v>0</v>
      </c>
      <c r="D811" s="6" t="n">
        <v>22</v>
      </c>
      <c r="E811" s="29"/>
      <c r="F811" s="6"/>
      <c r="G811" s="6" t="n">
        <v>3</v>
      </c>
      <c r="H811" s="6" t="s">
        <v>8007</v>
      </c>
    </row>
    <row r="812" customFormat="false" ht="15" hidden="false" customHeight="true" outlineLevel="0" collapsed="false">
      <c r="A812" s="6" t="s">
        <v>6494</v>
      </c>
      <c r="B812" s="6" t="s">
        <v>8004</v>
      </c>
      <c r="C812" s="28" t="n">
        <v>0</v>
      </c>
      <c r="D812" s="6" t="n">
        <v>14</v>
      </c>
      <c r="E812" s="29"/>
      <c r="F812" s="6"/>
      <c r="G812" s="6" t="n">
        <v>1</v>
      </c>
      <c r="H812" s="6" t="s">
        <v>8007</v>
      </c>
    </row>
    <row r="813" customFormat="false" ht="15" hidden="false" customHeight="true" outlineLevel="0" collapsed="false">
      <c r="A813" s="6" t="s">
        <v>4333</v>
      </c>
      <c r="B813" s="6" t="s">
        <v>8002</v>
      </c>
      <c r="C813" s="28" t="n">
        <v>0</v>
      </c>
      <c r="D813" s="6" t="n">
        <v>24</v>
      </c>
      <c r="E813" s="29"/>
      <c r="F813" s="6"/>
      <c r="G813" s="6" t="s">
        <v>6870</v>
      </c>
      <c r="H813" s="6" t="s">
        <v>8007</v>
      </c>
    </row>
    <row r="814" customFormat="false" ht="15" hidden="false" customHeight="true" outlineLevel="0" collapsed="false">
      <c r="A814" s="6" t="s">
        <v>4687</v>
      </c>
      <c r="B814" s="6" t="s">
        <v>8002</v>
      </c>
      <c r="C814" s="28" t="n">
        <v>0</v>
      </c>
      <c r="D814" s="6" t="n">
        <v>16</v>
      </c>
      <c r="E814" s="29"/>
      <c r="F814" s="6"/>
      <c r="G814" s="6" t="s">
        <v>6870</v>
      </c>
      <c r="H814" s="6" t="s">
        <v>8007</v>
      </c>
    </row>
    <row r="815" customFormat="false" ht="15" hidden="false" customHeight="true" outlineLevel="0" collapsed="false">
      <c r="A815" s="6" t="s">
        <v>4738</v>
      </c>
      <c r="B815" s="6" t="s">
        <v>8002</v>
      </c>
      <c r="C815" s="28" t="n">
        <v>0</v>
      </c>
      <c r="D815" s="6" t="n">
        <v>28</v>
      </c>
      <c r="E815" s="29"/>
      <c r="F815" s="6"/>
      <c r="G815" s="6" t="s">
        <v>6870</v>
      </c>
      <c r="H815" s="6" t="s">
        <v>8007</v>
      </c>
    </row>
    <row r="816" customFormat="false" ht="15" hidden="false" customHeight="true" outlineLevel="0" collapsed="false">
      <c r="A816" s="6" t="s">
        <v>4718</v>
      </c>
      <c r="B816" s="6" t="s">
        <v>8002</v>
      </c>
      <c r="C816" s="28" t="n">
        <v>0</v>
      </c>
      <c r="D816" s="6" t="n">
        <v>17</v>
      </c>
      <c r="E816" s="29"/>
      <c r="F816" s="6"/>
      <c r="G816" s="6" t="s">
        <v>6870</v>
      </c>
      <c r="H816" s="6" t="s">
        <v>8007</v>
      </c>
    </row>
    <row r="817" customFormat="false" ht="15" hidden="false" customHeight="true" outlineLevel="0" collapsed="false">
      <c r="A817" s="6" t="s">
        <v>5078</v>
      </c>
      <c r="B817" s="6" t="s">
        <v>8002</v>
      </c>
      <c r="C817" s="28" t="n">
        <v>0</v>
      </c>
      <c r="D817" s="6" t="n">
        <v>28</v>
      </c>
      <c r="E817" s="29"/>
      <c r="F817" s="6"/>
      <c r="G817" s="6" t="s">
        <v>6870</v>
      </c>
      <c r="H817" s="6" t="s">
        <v>8007</v>
      </c>
    </row>
    <row r="818" customFormat="false" ht="15" hidden="false" customHeight="true" outlineLevel="0" collapsed="false">
      <c r="A818" s="6" t="s">
        <v>5209</v>
      </c>
      <c r="B818" s="6" t="s">
        <v>8002</v>
      </c>
      <c r="C818" s="28" t="n">
        <v>0</v>
      </c>
      <c r="D818" s="6" t="n">
        <v>18</v>
      </c>
      <c r="E818" s="29"/>
      <c r="F818" s="6"/>
      <c r="G818" s="6" t="s">
        <v>6870</v>
      </c>
      <c r="H818" s="6" t="s">
        <v>8007</v>
      </c>
    </row>
    <row r="819" customFormat="false" ht="15" hidden="false" customHeight="true" outlineLevel="0" collapsed="false">
      <c r="A819" s="6" t="s">
        <v>5447</v>
      </c>
      <c r="B819" s="6" t="s">
        <v>8002</v>
      </c>
      <c r="C819" s="28" t="n">
        <v>0</v>
      </c>
      <c r="D819" s="6" t="n">
        <v>22</v>
      </c>
      <c r="E819" s="29"/>
      <c r="F819" s="6"/>
      <c r="G819" s="6" t="s">
        <v>6870</v>
      </c>
      <c r="H819" s="6" t="s">
        <v>8007</v>
      </c>
    </row>
    <row r="820" customFormat="false" ht="15" hidden="false" customHeight="true" outlineLevel="0" collapsed="false">
      <c r="A820" s="6" t="s">
        <v>5457</v>
      </c>
      <c r="B820" s="6" t="s">
        <v>8002</v>
      </c>
      <c r="C820" s="28" t="n">
        <v>0</v>
      </c>
      <c r="D820" s="6" t="n">
        <v>24</v>
      </c>
      <c r="E820" s="29"/>
      <c r="F820" s="6"/>
      <c r="G820" s="6" t="s">
        <v>6870</v>
      </c>
      <c r="H820" s="6" t="s">
        <v>8007</v>
      </c>
    </row>
    <row r="821" customFormat="false" ht="15" hidden="false" customHeight="true" outlineLevel="0" collapsed="false">
      <c r="A821" s="6" t="s">
        <v>5568</v>
      </c>
      <c r="B821" s="6" t="s">
        <v>8002</v>
      </c>
      <c r="C821" s="28" t="n">
        <v>0</v>
      </c>
      <c r="D821" s="6" t="n">
        <v>13</v>
      </c>
      <c r="E821" s="29"/>
      <c r="F821" s="6"/>
      <c r="G821" s="6" t="s">
        <v>6870</v>
      </c>
      <c r="H821" s="6" t="s">
        <v>8007</v>
      </c>
    </row>
    <row r="822" customFormat="false" ht="15" hidden="false" customHeight="true" outlineLevel="0" collapsed="false">
      <c r="A822" s="6" t="s">
        <v>5579</v>
      </c>
      <c r="B822" s="6" t="s">
        <v>8002</v>
      </c>
      <c r="C822" s="28" t="n">
        <v>0</v>
      </c>
      <c r="D822" s="6" t="n">
        <v>17</v>
      </c>
      <c r="E822" s="29"/>
      <c r="F822" s="6"/>
      <c r="G822" s="6" t="s">
        <v>6870</v>
      </c>
      <c r="H822" s="6" t="s">
        <v>8007</v>
      </c>
    </row>
    <row r="823" customFormat="false" ht="15" hidden="false" customHeight="true" outlineLevel="0" collapsed="false">
      <c r="A823" s="6" t="s">
        <v>6383</v>
      </c>
      <c r="B823" s="6" t="s">
        <v>8002</v>
      </c>
      <c r="C823" s="28" t="n">
        <v>0</v>
      </c>
      <c r="D823" s="6" t="n">
        <v>23</v>
      </c>
      <c r="E823" s="29"/>
      <c r="F823" s="6"/>
      <c r="G823" s="6" t="s">
        <v>6870</v>
      </c>
      <c r="H823" s="6" t="s">
        <v>8007</v>
      </c>
    </row>
    <row r="824" customFormat="false" ht="15" hidden="false" customHeight="true" outlineLevel="0" collapsed="false">
      <c r="A824" s="6" t="s">
        <v>6355</v>
      </c>
      <c r="B824" s="6" t="s">
        <v>8002</v>
      </c>
      <c r="C824" s="28" t="n">
        <v>0</v>
      </c>
      <c r="D824" s="6" t="n">
        <v>22</v>
      </c>
      <c r="E824" s="29"/>
      <c r="F824" s="6"/>
      <c r="G824" s="6" t="s">
        <v>6870</v>
      </c>
      <c r="H824" s="6" t="s">
        <v>8007</v>
      </c>
    </row>
    <row r="825" customFormat="false" ht="15" hidden="false" customHeight="true" outlineLevel="0" collapsed="false">
      <c r="A825" s="6" t="s">
        <v>6390</v>
      </c>
      <c r="B825" s="6" t="s">
        <v>8002</v>
      </c>
      <c r="C825" s="28" t="n">
        <v>0</v>
      </c>
      <c r="D825" s="6" t="n">
        <v>20</v>
      </c>
      <c r="E825" s="29"/>
      <c r="F825" s="6"/>
      <c r="G825" s="6" t="s">
        <v>6870</v>
      </c>
      <c r="H825" s="6" t="s">
        <v>8007</v>
      </c>
    </row>
    <row r="826" customFormat="false" ht="15" hidden="false" customHeight="true" outlineLevel="0" collapsed="false">
      <c r="A826" s="6" t="s">
        <v>6364</v>
      </c>
      <c r="B826" s="6" t="s">
        <v>8002</v>
      </c>
      <c r="C826" s="28" t="n">
        <v>0</v>
      </c>
      <c r="D826" s="6" t="n">
        <v>17</v>
      </c>
      <c r="E826" s="29"/>
      <c r="F826" s="6"/>
      <c r="G826" s="6" t="s">
        <v>6870</v>
      </c>
      <c r="H826" s="6" t="s">
        <v>8007</v>
      </c>
    </row>
    <row r="827" customFormat="false" ht="15" hidden="false" customHeight="true" outlineLevel="0" collapsed="false">
      <c r="A827" s="6" t="s">
        <v>6815</v>
      </c>
      <c r="B827" s="6" t="s">
        <v>8002</v>
      </c>
      <c r="C827" s="28" t="n">
        <v>0</v>
      </c>
      <c r="D827" s="6" t="n">
        <v>20</v>
      </c>
      <c r="E827" s="29"/>
      <c r="F827" s="6"/>
      <c r="G827" s="6" t="n">
        <v>3</v>
      </c>
      <c r="H827" s="6" t="s">
        <v>8007</v>
      </c>
    </row>
    <row r="828" customFormat="false" ht="15" hidden="false" customHeight="true" outlineLevel="0" collapsed="false">
      <c r="A828" s="6" t="s">
        <v>6816</v>
      </c>
      <c r="B828" s="6" t="s">
        <v>8002</v>
      </c>
      <c r="C828" s="28" t="n">
        <v>0</v>
      </c>
      <c r="D828" s="6" t="n">
        <v>25</v>
      </c>
      <c r="E828" s="29"/>
      <c r="F828" s="6"/>
      <c r="G828" s="6" t="n">
        <v>3</v>
      </c>
      <c r="H828" s="6" t="s">
        <v>8007</v>
      </c>
    </row>
    <row r="829" customFormat="false" ht="15" hidden="false" customHeight="true" outlineLevel="0" collapsed="false">
      <c r="A829" s="6" t="s">
        <v>6817</v>
      </c>
      <c r="B829" s="6" t="s">
        <v>8002</v>
      </c>
      <c r="C829" s="28" t="n">
        <v>0</v>
      </c>
      <c r="D829" s="6" t="n">
        <v>17</v>
      </c>
      <c r="E829" s="29"/>
      <c r="F829" s="6"/>
      <c r="G829" s="6" t="n">
        <v>3</v>
      </c>
      <c r="H829" s="6" t="s">
        <v>8007</v>
      </c>
    </row>
    <row r="830" customFormat="false" ht="15" hidden="false" customHeight="true" outlineLevel="0" collapsed="false">
      <c r="A830" s="6" t="s">
        <v>6818</v>
      </c>
      <c r="B830" s="6" t="s">
        <v>8002</v>
      </c>
      <c r="C830" s="28" t="n">
        <v>0</v>
      </c>
      <c r="D830" s="6" t="n">
        <v>30</v>
      </c>
      <c r="E830" s="29"/>
      <c r="F830" s="6"/>
      <c r="G830" s="6" t="n">
        <v>3</v>
      </c>
      <c r="H830" s="6" t="s">
        <v>8007</v>
      </c>
    </row>
    <row r="831" customFormat="false" ht="15" hidden="false" customHeight="true" outlineLevel="0" collapsed="false">
      <c r="A831" s="6" t="s">
        <v>6819</v>
      </c>
      <c r="B831" s="6" t="s">
        <v>8002</v>
      </c>
      <c r="C831" s="28" t="n">
        <v>0</v>
      </c>
      <c r="D831" s="6" t="n">
        <v>20</v>
      </c>
      <c r="E831" s="29"/>
      <c r="F831" s="6"/>
      <c r="G831" s="6" t="n">
        <v>3</v>
      </c>
      <c r="H831" s="6" t="s">
        <v>8007</v>
      </c>
    </row>
    <row r="832" customFormat="false" ht="15" hidden="false" customHeight="true" outlineLevel="0" collapsed="false">
      <c r="A832" s="6" t="s">
        <v>6820</v>
      </c>
      <c r="B832" s="6" t="s">
        <v>7997</v>
      </c>
      <c r="C832" s="28" t="n">
        <v>0</v>
      </c>
      <c r="D832" s="6" t="n">
        <v>20</v>
      </c>
      <c r="E832" s="29"/>
      <c r="F832" s="6"/>
      <c r="G832" s="6" t="n">
        <v>3</v>
      </c>
      <c r="H832" s="6" t="s">
        <v>8007</v>
      </c>
    </row>
    <row r="833" customFormat="false" ht="15" hidden="false" customHeight="true" outlineLevel="0" collapsed="false">
      <c r="A833" s="6" t="s">
        <v>6821</v>
      </c>
      <c r="B833" s="6" t="s">
        <v>7997</v>
      </c>
      <c r="C833" s="28" t="n">
        <v>0</v>
      </c>
      <c r="D833" s="6" t="n">
        <v>35</v>
      </c>
      <c r="E833" s="29"/>
      <c r="F833" s="6"/>
      <c r="G833" s="6" t="n">
        <v>3</v>
      </c>
      <c r="H833" s="6" t="s">
        <v>8007</v>
      </c>
    </row>
    <row r="834" customFormat="false" ht="15" hidden="false" customHeight="true" outlineLevel="0" collapsed="false">
      <c r="A834" s="6" t="s">
        <v>6822</v>
      </c>
      <c r="B834" s="6" t="s">
        <v>8002</v>
      </c>
      <c r="C834" s="28" t="n">
        <v>0</v>
      </c>
      <c r="D834" s="6" t="n">
        <v>25</v>
      </c>
      <c r="E834" s="29"/>
      <c r="F834" s="6"/>
      <c r="G834" s="6" t="n">
        <v>3</v>
      </c>
      <c r="H834" s="6" t="s">
        <v>8007</v>
      </c>
    </row>
    <row r="835" customFormat="false" ht="15" hidden="false" customHeight="true" outlineLevel="0" collapsed="false">
      <c r="A835" s="6" t="s">
        <v>6495</v>
      </c>
      <c r="B835" s="6" t="s">
        <v>8002</v>
      </c>
      <c r="C835" s="28" t="n">
        <v>0</v>
      </c>
      <c r="D835" s="6" t="n">
        <v>19</v>
      </c>
      <c r="E835" s="29"/>
      <c r="F835" s="6"/>
      <c r="G835" s="6" t="n">
        <v>1</v>
      </c>
      <c r="H835" s="6" t="s">
        <v>8007</v>
      </c>
    </row>
    <row r="836" customFormat="false" ht="15" hidden="false" customHeight="true" outlineLevel="0" collapsed="false">
      <c r="A836" s="6" t="s">
        <v>6823</v>
      </c>
      <c r="B836" s="6" t="s">
        <v>8002</v>
      </c>
      <c r="C836" s="28" t="n">
        <v>0</v>
      </c>
      <c r="D836" s="6" t="n">
        <v>13</v>
      </c>
      <c r="E836" s="29"/>
      <c r="F836" s="6"/>
      <c r="G836" s="6" t="n">
        <v>3</v>
      </c>
      <c r="H836" s="6" t="s">
        <v>8007</v>
      </c>
    </row>
    <row r="837" customFormat="false" ht="15" hidden="false" customHeight="true" outlineLevel="0" collapsed="false">
      <c r="A837" s="6" t="s">
        <v>6824</v>
      </c>
      <c r="B837" s="6" t="s">
        <v>8002</v>
      </c>
      <c r="C837" s="28" t="n">
        <v>0</v>
      </c>
      <c r="D837" s="6" t="n">
        <v>21</v>
      </c>
      <c r="E837" s="29"/>
      <c r="F837" s="6"/>
      <c r="G837" s="6" t="n">
        <v>3</v>
      </c>
      <c r="H837" s="6" t="s">
        <v>8007</v>
      </c>
    </row>
    <row r="838" customFormat="false" ht="15" hidden="false" customHeight="true" outlineLevel="0" collapsed="false">
      <c r="A838" s="6" t="s">
        <v>3124</v>
      </c>
      <c r="B838" s="6" t="s">
        <v>7998</v>
      </c>
      <c r="C838" s="28" t="n">
        <v>0</v>
      </c>
      <c r="D838" s="6" t="n">
        <v>17</v>
      </c>
      <c r="E838" s="29"/>
      <c r="F838" s="6"/>
      <c r="G838" s="6" t="n">
        <v>9</v>
      </c>
      <c r="H838" s="6" t="s">
        <v>8007</v>
      </c>
    </row>
    <row r="839" customFormat="false" ht="15" hidden="false" customHeight="true" outlineLevel="0" collapsed="false">
      <c r="A839" s="6" t="s">
        <v>3134</v>
      </c>
      <c r="B839" s="6" t="s">
        <v>7998</v>
      </c>
      <c r="C839" s="28" t="n">
        <v>0</v>
      </c>
      <c r="D839" s="6" t="n">
        <v>18</v>
      </c>
      <c r="E839" s="29"/>
      <c r="F839" s="6"/>
      <c r="G839" s="6" t="n">
        <v>9</v>
      </c>
      <c r="H839" s="6" t="s">
        <v>8007</v>
      </c>
    </row>
    <row r="840" customFormat="false" ht="15" hidden="false" customHeight="true" outlineLevel="0" collapsed="false">
      <c r="A840" s="6" t="s">
        <v>3144</v>
      </c>
      <c r="B840" s="6" t="s">
        <v>7998</v>
      </c>
      <c r="C840" s="28" t="n">
        <v>0</v>
      </c>
      <c r="D840" s="6" t="n">
        <v>16</v>
      </c>
      <c r="E840" s="29"/>
      <c r="F840" s="6"/>
      <c r="G840" s="6" t="n">
        <v>9</v>
      </c>
      <c r="H840" s="6" t="s">
        <v>8007</v>
      </c>
    </row>
    <row r="841" customFormat="false" ht="15" hidden="false" customHeight="true" outlineLevel="0" collapsed="false">
      <c r="A841" s="6" t="s">
        <v>3154</v>
      </c>
      <c r="B841" s="6" t="s">
        <v>7997</v>
      </c>
      <c r="C841" s="28" t="n">
        <v>0</v>
      </c>
      <c r="D841" s="6" t="n">
        <v>17</v>
      </c>
      <c r="E841" s="29"/>
      <c r="F841" s="6"/>
      <c r="G841" s="6" t="n">
        <v>9</v>
      </c>
      <c r="H841" s="6" t="s">
        <v>8007</v>
      </c>
    </row>
    <row r="842" customFormat="false" ht="15" hidden="false" customHeight="true" outlineLevel="0" collapsed="false">
      <c r="A842" s="6" t="s">
        <v>3164</v>
      </c>
      <c r="B842" s="6" t="s">
        <v>7999</v>
      </c>
      <c r="C842" s="28" t="n">
        <v>0</v>
      </c>
      <c r="D842" s="6" t="n">
        <v>16</v>
      </c>
      <c r="E842" s="29"/>
      <c r="F842" s="6"/>
      <c r="G842" s="6" t="n">
        <v>9</v>
      </c>
      <c r="H842" s="6" t="s">
        <v>8007</v>
      </c>
    </row>
    <row r="843" customFormat="false" ht="15" hidden="false" customHeight="true" outlineLevel="0" collapsed="false">
      <c r="A843" s="6" t="s">
        <v>3102</v>
      </c>
      <c r="B843" s="6" t="s">
        <v>7998</v>
      </c>
      <c r="C843" s="28" t="n">
        <v>0</v>
      </c>
      <c r="D843" s="6" t="n">
        <v>22</v>
      </c>
      <c r="E843" s="29"/>
      <c r="F843" s="6"/>
      <c r="G843" s="6" t="n">
        <v>9</v>
      </c>
      <c r="H843" s="6" t="s">
        <v>8007</v>
      </c>
    </row>
    <row r="844" customFormat="false" ht="15" hidden="false" customHeight="true" outlineLevel="0" collapsed="false">
      <c r="A844" s="6" t="s">
        <v>3174</v>
      </c>
      <c r="B844" s="6" t="s">
        <v>7997</v>
      </c>
      <c r="C844" s="28" t="n">
        <v>0</v>
      </c>
      <c r="D844" s="6" t="n">
        <v>19</v>
      </c>
      <c r="E844" s="29"/>
      <c r="F844" s="6"/>
      <c r="G844" s="6" t="n">
        <v>4</v>
      </c>
      <c r="H844" s="6" t="s">
        <v>8007</v>
      </c>
    </row>
    <row r="845" customFormat="false" ht="15" hidden="false" customHeight="true" outlineLevel="0" collapsed="false">
      <c r="A845" s="6" t="s">
        <v>3175</v>
      </c>
      <c r="B845" s="6" t="s">
        <v>7998</v>
      </c>
      <c r="C845" s="28" t="n">
        <v>0</v>
      </c>
      <c r="D845" s="6" t="n">
        <v>17</v>
      </c>
      <c r="E845" s="29"/>
      <c r="F845" s="6"/>
      <c r="G845" s="6" t="n">
        <v>9</v>
      </c>
      <c r="H845" s="6" t="s">
        <v>8007</v>
      </c>
    </row>
    <row r="846" customFormat="false" ht="15" hidden="false" customHeight="true" outlineLevel="0" collapsed="false">
      <c r="A846" s="6" t="s">
        <v>3224</v>
      </c>
      <c r="B846" s="6" t="s">
        <v>7998</v>
      </c>
      <c r="C846" s="28" t="n">
        <v>0</v>
      </c>
      <c r="D846" s="6" t="n">
        <v>22</v>
      </c>
      <c r="E846" s="29"/>
      <c r="F846" s="6"/>
      <c r="G846" s="6" t="n">
        <v>4</v>
      </c>
      <c r="H846" s="6" t="s">
        <v>8007</v>
      </c>
    </row>
    <row r="847" customFormat="false" ht="15" hidden="false" customHeight="true" outlineLevel="0" collapsed="false">
      <c r="A847" s="6" t="s">
        <v>3225</v>
      </c>
      <c r="B847" s="6" t="s">
        <v>7998</v>
      </c>
      <c r="C847" s="28" t="n">
        <v>0</v>
      </c>
      <c r="D847" s="6" t="n">
        <v>17</v>
      </c>
      <c r="E847" s="29"/>
      <c r="F847" s="6"/>
      <c r="G847" s="6" t="n">
        <v>9</v>
      </c>
      <c r="H847" s="6" t="s">
        <v>8007</v>
      </c>
    </row>
    <row r="848" customFormat="false" ht="15" hidden="false" customHeight="true" outlineLevel="0" collapsed="false">
      <c r="A848" s="6" t="s">
        <v>3245</v>
      </c>
      <c r="B848" s="6" t="s">
        <v>7997</v>
      </c>
      <c r="C848" s="28" t="n">
        <v>0</v>
      </c>
      <c r="D848" s="6" t="n">
        <v>17</v>
      </c>
      <c r="E848" s="29"/>
      <c r="F848" s="6"/>
      <c r="G848" s="6" t="n">
        <v>4</v>
      </c>
      <c r="H848" s="6" t="s">
        <v>8007</v>
      </c>
    </row>
    <row r="849" customFormat="false" ht="15" hidden="false" customHeight="true" outlineLevel="0" collapsed="false">
      <c r="A849" s="6" t="s">
        <v>3246</v>
      </c>
      <c r="B849" s="6" t="s">
        <v>7997</v>
      </c>
      <c r="C849" s="28" t="n">
        <v>0</v>
      </c>
      <c r="D849" s="6" t="n">
        <v>17</v>
      </c>
      <c r="E849" s="29"/>
      <c r="F849" s="6"/>
      <c r="G849" s="6" t="n">
        <v>9</v>
      </c>
      <c r="H849" s="6" t="s">
        <v>8007</v>
      </c>
    </row>
    <row r="850" customFormat="false" ht="15" hidden="false" customHeight="true" outlineLevel="0" collapsed="false">
      <c r="A850" s="6" t="s">
        <v>3258</v>
      </c>
      <c r="B850" s="6" t="s">
        <v>7998</v>
      </c>
      <c r="C850" s="28" t="n">
        <v>0</v>
      </c>
      <c r="D850" s="6" t="n">
        <v>16</v>
      </c>
      <c r="E850" s="29"/>
      <c r="F850" s="6"/>
      <c r="G850" s="6" t="n">
        <v>4</v>
      </c>
      <c r="H850" s="6" t="s">
        <v>8007</v>
      </c>
    </row>
    <row r="851" customFormat="false" ht="15" hidden="false" customHeight="true" outlineLevel="0" collapsed="false">
      <c r="A851" s="6" t="s">
        <v>3259</v>
      </c>
      <c r="B851" s="6" t="s">
        <v>7997</v>
      </c>
      <c r="C851" s="28" t="n">
        <v>0</v>
      </c>
      <c r="D851" s="6" t="n">
        <v>16</v>
      </c>
      <c r="E851" s="29"/>
      <c r="F851" s="6"/>
      <c r="G851" s="6" t="n">
        <v>9</v>
      </c>
      <c r="H851" s="6" t="s">
        <v>8007</v>
      </c>
    </row>
    <row r="852" customFormat="false" ht="15" hidden="false" customHeight="true" outlineLevel="0" collapsed="false">
      <c r="A852" s="6" t="s">
        <v>3214</v>
      </c>
      <c r="B852" s="6" t="s">
        <v>8002</v>
      </c>
      <c r="C852" s="28" t="n">
        <v>0</v>
      </c>
      <c r="D852" s="6" t="n">
        <v>17</v>
      </c>
      <c r="E852" s="29"/>
      <c r="F852" s="6"/>
      <c r="G852" s="6" t="n">
        <v>9</v>
      </c>
      <c r="H852" s="6" t="s">
        <v>8007</v>
      </c>
    </row>
    <row r="853" customFormat="false" ht="15" hidden="false" customHeight="true" outlineLevel="0" collapsed="false">
      <c r="A853" s="6" t="s">
        <v>3195</v>
      </c>
      <c r="B853" s="6" t="s">
        <v>7998</v>
      </c>
      <c r="C853" s="28" t="n">
        <v>0</v>
      </c>
      <c r="D853" s="6" t="n">
        <v>17</v>
      </c>
      <c r="E853" s="29"/>
      <c r="F853" s="6"/>
      <c r="G853" s="6" t="n">
        <v>4</v>
      </c>
      <c r="H853" s="6" t="s">
        <v>8007</v>
      </c>
    </row>
    <row r="854" customFormat="false" ht="15" hidden="false" customHeight="true" outlineLevel="0" collapsed="false">
      <c r="A854" s="6" t="s">
        <v>3196</v>
      </c>
      <c r="B854" s="6" t="s">
        <v>7998</v>
      </c>
      <c r="C854" s="28" t="n">
        <v>0</v>
      </c>
      <c r="D854" s="6" t="n">
        <v>16</v>
      </c>
      <c r="E854" s="29"/>
      <c r="F854" s="6"/>
      <c r="G854" s="6" t="n">
        <v>9</v>
      </c>
      <c r="H854" s="6" t="s">
        <v>8007</v>
      </c>
    </row>
    <row r="855" customFormat="false" ht="15" hidden="false" customHeight="true" outlineLevel="0" collapsed="false">
      <c r="A855" s="6" t="s">
        <v>3312</v>
      </c>
      <c r="B855" s="6" t="s">
        <v>7997</v>
      </c>
      <c r="C855" s="28" t="n">
        <v>0</v>
      </c>
      <c r="D855" s="6" t="n">
        <v>16</v>
      </c>
      <c r="E855" s="29"/>
      <c r="F855" s="6"/>
      <c r="G855" s="6" t="n">
        <v>9</v>
      </c>
      <c r="H855" s="6" t="s">
        <v>8007</v>
      </c>
    </row>
    <row r="856" customFormat="false" ht="15" hidden="false" customHeight="true" outlineLevel="0" collapsed="false">
      <c r="A856" s="6" t="s">
        <v>3321</v>
      </c>
      <c r="B856" s="6" t="s">
        <v>7998</v>
      </c>
      <c r="C856" s="28" t="n">
        <v>0</v>
      </c>
      <c r="D856" s="6" t="n">
        <v>17</v>
      </c>
      <c r="E856" s="29"/>
      <c r="F856" s="6"/>
      <c r="G856" s="6" t="n">
        <v>9</v>
      </c>
      <c r="H856" s="6" t="s">
        <v>8007</v>
      </c>
    </row>
    <row r="857" customFormat="false" ht="15" hidden="false" customHeight="true" outlineLevel="0" collapsed="false">
      <c r="A857" s="6" t="s">
        <v>3272</v>
      </c>
      <c r="B857" s="6" t="s">
        <v>7998</v>
      </c>
      <c r="C857" s="28" t="n">
        <v>0</v>
      </c>
      <c r="D857" s="6" t="n">
        <v>9</v>
      </c>
      <c r="E857" s="29" t="n">
        <v>0</v>
      </c>
      <c r="F857" s="6" t="n">
        <v>0</v>
      </c>
      <c r="G857" s="6" t="n">
        <v>9</v>
      </c>
      <c r="H857" s="6"/>
    </row>
    <row r="858" customFormat="false" ht="15" hidden="false" customHeight="true" outlineLevel="0" collapsed="false">
      <c r="A858" s="6" t="s">
        <v>7077</v>
      </c>
      <c r="B858" s="6" t="s">
        <v>7998</v>
      </c>
      <c r="C858" s="28" t="n">
        <v>0</v>
      </c>
      <c r="D858" s="6" t="n">
        <v>9</v>
      </c>
      <c r="E858" s="29" t="n">
        <v>0</v>
      </c>
      <c r="F858" s="6" t="n">
        <v>0</v>
      </c>
      <c r="G858" s="6" t="s">
        <v>6893</v>
      </c>
      <c r="H858" s="6"/>
    </row>
    <row r="859" customFormat="false" ht="15" hidden="false" customHeight="true" outlineLevel="0" collapsed="false">
      <c r="A859" s="6" t="s">
        <v>7078</v>
      </c>
      <c r="B859" s="6" t="s">
        <v>8001</v>
      </c>
      <c r="C859" s="28" t="n">
        <v>0</v>
      </c>
      <c r="D859" s="6" t="n">
        <v>9</v>
      </c>
      <c r="E859" s="29" t="n">
        <v>0</v>
      </c>
      <c r="F859" s="6" t="n">
        <v>0</v>
      </c>
      <c r="G859" s="6" t="s">
        <v>6893</v>
      </c>
      <c r="H859" s="6"/>
    </row>
    <row r="860" customFormat="false" ht="15" hidden="false" customHeight="true" outlineLevel="0" collapsed="false">
      <c r="A860" s="6" t="s">
        <v>3282</v>
      </c>
      <c r="B860" s="6" t="s">
        <v>7997</v>
      </c>
      <c r="C860" s="28" t="n">
        <v>0</v>
      </c>
      <c r="D860" s="6" t="n">
        <v>16</v>
      </c>
      <c r="E860" s="29"/>
      <c r="F860" s="6"/>
      <c r="G860" s="6" t="n">
        <v>9</v>
      </c>
      <c r="H860" s="6" t="s">
        <v>8007</v>
      </c>
    </row>
    <row r="861" customFormat="false" ht="15" hidden="false" customHeight="true" outlineLevel="0" collapsed="false">
      <c r="A861" s="6" t="s">
        <v>3294</v>
      </c>
      <c r="B861" s="6" t="s">
        <v>7997</v>
      </c>
      <c r="C861" s="28" t="n">
        <v>0</v>
      </c>
      <c r="D861" s="6" t="n">
        <v>9</v>
      </c>
      <c r="E861" s="29" t="n">
        <v>0</v>
      </c>
      <c r="F861" s="6" t="n">
        <v>0</v>
      </c>
      <c r="G861" s="6" t="n">
        <v>4</v>
      </c>
      <c r="H861" s="6"/>
    </row>
    <row r="862" customFormat="false" ht="15" hidden="false" customHeight="true" outlineLevel="0" collapsed="false">
      <c r="A862" s="6" t="s">
        <v>3295</v>
      </c>
      <c r="B862" s="6" t="s">
        <v>7998</v>
      </c>
      <c r="C862" s="28" t="n">
        <v>0</v>
      </c>
      <c r="D862" s="6" t="n">
        <v>16</v>
      </c>
      <c r="E862" s="29"/>
      <c r="F862" s="6"/>
      <c r="G862" s="6" t="n">
        <v>9</v>
      </c>
      <c r="H862" s="6" t="s">
        <v>8007</v>
      </c>
    </row>
    <row r="863" customFormat="false" ht="15" hidden="false" customHeight="true" outlineLevel="0" collapsed="false">
      <c r="A863" s="6" t="s">
        <v>7087</v>
      </c>
      <c r="B863" s="6" t="s">
        <v>7997</v>
      </c>
      <c r="C863" s="28" t="n">
        <v>0</v>
      </c>
      <c r="D863" s="6" t="n">
        <v>5</v>
      </c>
      <c r="E863" s="29" t="n">
        <v>0</v>
      </c>
      <c r="F863" s="6" t="n">
        <v>0</v>
      </c>
      <c r="G863" s="6" t="s">
        <v>6893</v>
      </c>
      <c r="H863" s="6"/>
    </row>
    <row r="864" customFormat="false" ht="15" hidden="false" customHeight="true" outlineLevel="0" collapsed="false">
      <c r="A864" s="6" t="s">
        <v>7089</v>
      </c>
      <c r="B864" s="6" t="s">
        <v>7998</v>
      </c>
      <c r="C864" s="28" t="n">
        <v>0</v>
      </c>
      <c r="D864" s="6" t="n">
        <v>12</v>
      </c>
      <c r="E864" s="29" t="n">
        <v>0</v>
      </c>
      <c r="F864" s="6" t="n">
        <v>0</v>
      </c>
      <c r="G864" s="6" t="s">
        <v>6893</v>
      </c>
      <c r="H864" s="6"/>
    </row>
    <row r="865" customFormat="false" ht="15" hidden="false" customHeight="true" outlineLevel="0" collapsed="false">
      <c r="A865" s="6" t="s">
        <v>3330</v>
      </c>
      <c r="B865" s="6" t="s">
        <v>7997</v>
      </c>
      <c r="C865" s="28" t="n">
        <v>0</v>
      </c>
      <c r="D865" s="6" t="n">
        <v>9</v>
      </c>
      <c r="E865" s="29" t="n">
        <v>0</v>
      </c>
      <c r="F865" s="6" t="n">
        <v>0</v>
      </c>
      <c r="G865" s="6" t="n">
        <v>9</v>
      </c>
      <c r="H865" s="6"/>
    </row>
    <row r="866" customFormat="false" ht="15" hidden="false" customHeight="true" outlineLevel="0" collapsed="false">
      <c r="A866" s="6" t="s">
        <v>5996</v>
      </c>
      <c r="B866" s="6" t="s">
        <v>7998</v>
      </c>
      <c r="C866" s="28" t="n">
        <v>0</v>
      </c>
      <c r="D866" s="6" t="n">
        <v>11</v>
      </c>
      <c r="E866" s="29"/>
      <c r="F866" s="6"/>
      <c r="G866" s="6" t="n">
        <v>4</v>
      </c>
      <c r="H866" s="6" t="s">
        <v>8007</v>
      </c>
    </row>
    <row r="867" customFormat="false" ht="15" hidden="false" customHeight="true" outlineLevel="0" collapsed="false">
      <c r="A867" s="6" t="s">
        <v>5997</v>
      </c>
      <c r="B867" s="6" t="s">
        <v>7998</v>
      </c>
      <c r="C867" s="28" t="n">
        <v>0</v>
      </c>
      <c r="D867" s="6" t="n">
        <v>14</v>
      </c>
      <c r="E867" s="29"/>
      <c r="F867" s="6"/>
      <c r="G867" s="6" t="n">
        <v>9</v>
      </c>
      <c r="H867" s="6" t="s">
        <v>8007</v>
      </c>
    </row>
    <row r="868" customFormat="false" ht="15" hidden="false" customHeight="true" outlineLevel="0" collapsed="false">
      <c r="A868" s="6" t="s">
        <v>7090</v>
      </c>
      <c r="B868" s="6" t="s">
        <v>8001</v>
      </c>
      <c r="C868" s="28" t="n">
        <v>0</v>
      </c>
      <c r="D868" s="6" t="n">
        <v>20</v>
      </c>
      <c r="E868" s="29"/>
      <c r="F868" s="6"/>
      <c r="G868" s="6" t="s">
        <v>6893</v>
      </c>
      <c r="H868" s="6" t="s">
        <v>8007</v>
      </c>
    </row>
    <row r="869" customFormat="false" ht="15" hidden="false" customHeight="true" outlineLevel="0" collapsed="false">
      <c r="A869" s="6" t="s">
        <v>3395</v>
      </c>
      <c r="B869" s="6" t="s">
        <v>8000</v>
      </c>
      <c r="C869" s="28" t="n">
        <v>0</v>
      </c>
      <c r="D869" s="6" t="n">
        <v>18</v>
      </c>
      <c r="E869" s="29"/>
      <c r="F869" s="6"/>
      <c r="G869" s="6" t="n">
        <v>4</v>
      </c>
      <c r="H869" s="6" t="s">
        <v>8007</v>
      </c>
    </row>
    <row r="870" customFormat="false" ht="15" hidden="false" customHeight="true" outlineLevel="0" collapsed="false">
      <c r="A870" s="6" t="s">
        <v>3396</v>
      </c>
      <c r="B870" s="6" t="s">
        <v>7998</v>
      </c>
      <c r="C870" s="28" t="n">
        <v>0</v>
      </c>
      <c r="D870" s="6" t="n">
        <v>17</v>
      </c>
      <c r="E870" s="29"/>
      <c r="F870" s="6"/>
      <c r="G870" s="6" t="n">
        <v>9</v>
      </c>
      <c r="H870" s="6" t="s">
        <v>8007</v>
      </c>
    </row>
    <row r="871" customFormat="false" ht="15" hidden="false" customHeight="true" outlineLevel="0" collapsed="false">
      <c r="A871" s="6" t="s">
        <v>3407</v>
      </c>
      <c r="B871" s="6" t="s">
        <v>7997</v>
      </c>
      <c r="C871" s="28" t="n">
        <v>0</v>
      </c>
      <c r="D871" s="6" t="n">
        <v>18</v>
      </c>
      <c r="E871" s="29"/>
      <c r="F871" s="6"/>
      <c r="G871" s="6" t="n">
        <v>9</v>
      </c>
      <c r="H871" s="6" t="s">
        <v>8007</v>
      </c>
    </row>
    <row r="872" customFormat="false" ht="15" hidden="false" customHeight="true" outlineLevel="0" collapsed="false">
      <c r="A872" s="6" t="s">
        <v>3386</v>
      </c>
      <c r="B872" s="6" t="s">
        <v>8001</v>
      </c>
      <c r="C872" s="28" t="n">
        <v>0</v>
      </c>
      <c r="D872" s="6" t="n">
        <v>9</v>
      </c>
      <c r="E872" s="29" t="n">
        <v>0</v>
      </c>
      <c r="F872" s="6" t="n">
        <v>1</v>
      </c>
      <c r="G872" s="6" t="n">
        <v>9</v>
      </c>
      <c r="H872" s="6"/>
    </row>
    <row r="873" customFormat="false" ht="15" hidden="false" customHeight="true" outlineLevel="0" collapsed="false">
      <c r="A873" s="6" t="s">
        <v>3356</v>
      </c>
      <c r="B873" s="6" t="s">
        <v>7998</v>
      </c>
      <c r="C873" s="28" t="n">
        <v>0</v>
      </c>
      <c r="D873" s="6" t="n">
        <v>9</v>
      </c>
      <c r="E873" s="29" t="n">
        <v>0</v>
      </c>
      <c r="F873" s="6" t="n">
        <v>1</v>
      </c>
      <c r="G873" s="6" t="s">
        <v>6868</v>
      </c>
      <c r="H873" s="6"/>
    </row>
    <row r="874" customFormat="false" ht="15" hidden="false" customHeight="true" outlineLevel="0" collapsed="false">
      <c r="A874" s="6" t="s">
        <v>3353</v>
      </c>
      <c r="B874" s="6" t="s">
        <v>7998</v>
      </c>
      <c r="C874" s="28" t="n">
        <v>0</v>
      </c>
      <c r="D874" s="6" t="n">
        <v>22</v>
      </c>
      <c r="E874" s="29"/>
      <c r="F874" s="6"/>
      <c r="G874" s="6" t="n">
        <v>9</v>
      </c>
      <c r="H874" s="6" t="s">
        <v>8007</v>
      </c>
    </row>
    <row r="875" customFormat="false" ht="15" hidden="false" customHeight="true" outlineLevel="0" collapsed="false">
      <c r="A875" s="6" t="s">
        <v>3364</v>
      </c>
      <c r="B875" s="6" t="s">
        <v>8001</v>
      </c>
      <c r="C875" s="28" t="n">
        <v>0</v>
      </c>
      <c r="D875" s="6" t="n">
        <v>15</v>
      </c>
      <c r="E875" s="29" t="n">
        <v>0</v>
      </c>
      <c r="F875" s="6" t="n">
        <v>0</v>
      </c>
      <c r="G875" s="6" t="n">
        <v>9</v>
      </c>
      <c r="H875" s="6"/>
    </row>
    <row r="876" customFormat="false" ht="15" hidden="false" customHeight="true" outlineLevel="0" collapsed="false">
      <c r="A876" s="6" t="s">
        <v>3375</v>
      </c>
      <c r="B876" s="6" t="s">
        <v>8000</v>
      </c>
      <c r="C876" s="28" t="n">
        <v>0</v>
      </c>
      <c r="D876" s="6" t="n">
        <v>9</v>
      </c>
      <c r="E876" s="29" t="n">
        <v>0</v>
      </c>
      <c r="F876" s="6" t="n">
        <v>1</v>
      </c>
      <c r="G876" s="6" t="n">
        <v>9</v>
      </c>
      <c r="H876" s="6"/>
    </row>
    <row r="877" customFormat="false" ht="15" hidden="false" customHeight="true" outlineLevel="0" collapsed="false">
      <c r="A877" s="6" t="s">
        <v>3418</v>
      </c>
      <c r="B877" s="6" t="s">
        <v>7998</v>
      </c>
      <c r="C877" s="28" t="n">
        <v>0</v>
      </c>
      <c r="D877" s="6" t="n">
        <v>23</v>
      </c>
      <c r="E877" s="29"/>
      <c r="F877" s="6"/>
      <c r="G877" s="6" t="n">
        <v>9</v>
      </c>
      <c r="H877" s="6" t="s">
        <v>8007</v>
      </c>
    </row>
    <row r="878" customFormat="false" ht="15" hidden="false" customHeight="true" outlineLevel="0" collapsed="false">
      <c r="A878" s="6" t="s">
        <v>3430</v>
      </c>
      <c r="B878" s="6" t="s">
        <v>7998</v>
      </c>
      <c r="C878" s="28" t="n">
        <v>0</v>
      </c>
      <c r="D878" s="6" t="n">
        <v>22</v>
      </c>
      <c r="E878" s="29"/>
      <c r="F878" s="6"/>
      <c r="G878" s="6" t="n">
        <v>9</v>
      </c>
      <c r="H878" s="6" t="s">
        <v>8007</v>
      </c>
    </row>
    <row r="879" customFormat="false" ht="15" hidden="false" customHeight="true" outlineLevel="0" collapsed="false">
      <c r="A879" s="6" t="s">
        <v>3462</v>
      </c>
      <c r="B879" s="6" t="s">
        <v>8000</v>
      </c>
      <c r="C879" s="28" t="n">
        <v>0</v>
      </c>
      <c r="D879" s="6" t="n">
        <v>8</v>
      </c>
      <c r="E879" s="29"/>
      <c r="F879" s="6"/>
      <c r="G879" s="6" t="n">
        <v>4</v>
      </c>
      <c r="H879" s="6" t="s">
        <v>8007</v>
      </c>
    </row>
    <row r="880" customFormat="false" ht="15" hidden="false" customHeight="true" outlineLevel="0" collapsed="false">
      <c r="A880" s="6" t="s">
        <v>3463</v>
      </c>
      <c r="B880" s="6" t="s">
        <v>7998</v>
      </c>
      <c r="C880" s="28" t="n">
        <v>0</v>
      </c>
      <c r="D880" s="6" t="n">
        <v>15</v>
      </c>
      <c r="E880" s="29"/>
      <c r="F880" s="6"/>
      <c r="G880" s="6" t="n">
        <v>9</v>
      </c>
      <c r="H880" s="6" t="s">
        <v>8007</v>
      </c>
    </row>
    <row r="881" customFormat="false" ht="15" hidden="false" customHeight="true" outlineLevel="0" collapsed="false">
      <c r="A881" s="6" t="s">
        <v>3441</v>
      </c>
      <c r="B881" s="6" t="s">
        <v>8000</v>
      </c>
      <c r="C881" s="28" t="n">
        <v>0</v>
      </c>
      <c r="D881" s="6" t="n">
        <v>15</v>
      </c>
      <c r="E881" s="29"/>
      <c r="F881" s="6"/>
      <c r="G881" s="6" t="n">
        <v>9</v>
      </c>
      <c r="H881" s="6" t="s">
        <v>8007</v>
      </c>
    </row>
    <row r="882" customFormat="false" ht="15" hidden="false" customHeight="true" outlineLevel="0" collapsed="false">
      <c r="A882" s="6" t="s">
        <v>6553</v>
      </c>
      <c r="B882" s="6" t="s">
        <v>7997</v>
      </c>
      <c r="C882" s="28" t="n">
        <v>0</v>
      </c>
      <c r="D882" s="6" t="n">
        <v>16</v>
      </c>
      <c r="E882" s="29" t="n">
        <v>0</v>
      </c>
      <c r="F882" s="6" t="n">
        <v>1</v>
      </c>
      <c r="G882" s="6" t="n">
        <v>1</v>
      </c>
      <c r="H882" s="6"/>
    </row>
    <row r="883" customFormat="false" ht="15" hidden="false" customHeight="true" outlineLevel="0" collapsed="false">
      <c r="A883" s="6" t="s">
        <v>6554</v>
      </c>
      <c r="B883" s="6" t="s">
        <v>7997</v>
      </c>
      <c r="C883" s="28" t="n">
        <v>0</v>
      </c>
      <c r="D883" s="6" t="n">
        <v>9</v>
      </c>
      <c r="E883" s="29" t="n">
        <v>0.46</v>
      </c>
      <c r="F883" s="6" t="n">
        <v>1</v>
      </c>
      <c r="G883" s="6" t="n">
        <v>1</v>
      </c>
      <c r="H883" s="6"/>
    </row>
    <row r="884" customFormat="false" ht="15" hidden="false" customHeight="true" outlineLevel="0" collapsed="false">
      <c r="A884" s="6" t="s">
        <v>3483</v>
      </c>
      <c r="B884" s="6" t="s">
        <v>7998</v>
      </c>
      <c r="C884" s="28" t="n">
        <v>0</v>
      </c>
      <c r="D884" s="6" t="n">
        <v>10</v>
      </c>
      <c r="E884" s="29"/>
      <c r="F884" s="6"/>
      <c r="G884" s="6" t="n">
        <v>4</v>
      </c>
      <c r="H884" s="6" t="s">
        <v>8007</v>
      </c>
    </row>
    <row r="885" customFormat="false" ht="15" hidden="false" customHeight="true" outlineLevel="0" collapsed="false">
      <c r="A885" s="6" t="s">
        <v>3484</v>
      </c>
      <c r="B885" s="6" t="s">
        <v>7998</v>
      </c>
      <c r="C885" s="28" t="n">
        <v>0</v>
      </c>
      <c r="D885" s="6" t="n">
        <v>13</v>
      </c>
      <c r="E885" s="29"/>
      <c r="F885" s="6"/>
      <c r="G885" s="6" t="n">
        <v>9</v>
      </c>
      <c r="H885" s="6" t="s">
        <v>8007</v>
      </c>
    </row>
    <row r="886" customFormat="false" ht="15" hidden="false" customHeight="true" outlineLevel="0" collapsed="false">
      <c r="A886" s="6" t="s">
        <v>3472</v>
      </c>
      <c r="B886" s="6" t="s">
        <v>8004</v>
      </c>
      <c r="C886" s="28" t="n">
        <v>0</v>
      </c>
      <c r="D886" s="6" t="n">
        <v>28</v>
      </c>
      <c r="E886" s="29"/>
      <c r="F886" s="6"/>
      <c r="G886" s="6" t="n">
        <v>4</v>
      </c>
      <c r="H886" s="6" t="s">
        <v>8007</v>
      </c>
    </row>
    <row r="887" customFormat="false" ht="15" hidden="false" customHeight="true" outlineLevel="0" collapsed="false">
      <c r="A887" s="6" t="s">
        <v>3473</v>
      </c>
      <c r="B887" s="6" t="s">
        <v>7998</v>
      </c>
      <c r="C887" s="28" t="n">
        <v>0</v>
      </c>
      <c r="D887" s="6" t="n">
        <v>7</v>
      </c>
      <c r="E887" s="29"/>
      <c r="F887" s="6"/>
      <c r="G887" s="6" t="n">
        <v>9</v>
      </c>
      <c r="H887" s="6" t="s">
        <v>8007</v>
      </c>
    </row>
    <row r="888" customFormat="false" ht="15" hidden="false" customHeight="true" outlineLevel="0" collapsed="false">
      <c r="A888" s="6" t="s">
        <v>6558</v>
      </c>
      <c r="B888" s="6" t="s">
        <v>7998</v>
      </c>
      <c r="C888" s="28" t="n">
        <v>0</v>
      </c>
      <c r="D888" s="6" t="n">
        <v>16</v>
      </c>
      <c r="E888" s="29"/>
      <c r="F888" s="6"/>
      <c r="G888" s="6" t="n">
        <v>1</v>
      </c>
      <c r="H888" s="6" t="s">
        <v>8007</v>
      </c>
    </row>
    <row r="889" customFormat="false" ht="15" hidden="false" customHeight="true" outlineLevel="0" collapsed="false">
      <c r="A889" s="6" t="s">
        <v>6559</v>
      </c>
      <c r="B889" s="6" t="s">
        <v>7999</v>
      </c>
      <c r="C889" s="28" t="n">
        <v>0</v>
      </c>
      <c r="D889" s="6" t="n">
        <v>15</v>
      </c>
      <c r="E889" s="29"/>
      <c r="F889" s="6"/>
      <c r="G889" s="6" t="n">
        <v>1</v>
      </c>
      <c r="H889" s="6" t="s">
        <v>8007</v>
      </c>
    </row>
    <row r="890" customFormat="false" ht="15" hidden="false" customHeight="true" outlineLevel="0" collapsed="false">
      <c r="A890" s="6" t="s">
        <v>6707</v>
      </c>
      <c r="B890" s="6" t="s">
        <v>8001</v>
      </c>
      <c r="C890" s="28" t="n">
        <v>0</v>
      </c>
      <c r="D890" s="6" t="n">
        <v>13</v>
      </c>
      <c r="E890" s="29"/>
      <c r="F890" s="6"/>
      <c r="G890" s="6" t="n">
        <v>2</v>
      </c>
      <c r="H890" s="6" t="s">
        <v>8007</v>
      </c>
    </row>
    <row r="891" customFormat="false" ht="15" hidden="false" customHeight="true" outlineLevel="0" collapsed="false">
      <c r="A891" s="6" t="s">
        <v>3495</v>
      </c>
      <c r="B891" s="6" t="s">
        <v>7999</v>
      </c>
      <c r="C891" s="28" t="n">
        <v>0</v>
      </c>
      <c r="D891" s="6" t="n">
        <v>22</v>
      </c>
      <c r="E891" s="29"/>
      <c r="F891" s="6"/>
      <c r="G891" s="6" t="n">
        <v>9</v>
      </c>
      <c r="H891" s="6" t="s">
        <v>8007</v>
      </c>
    </row>
    <row r="892" customFormat="false" ht="15" hidden="false" customHeight="true" outlineLevel="0" collapsed="false">
      <c r="A892" s="6" t="s">
        <v>3528</v>
      </c>
      <c r="B892" s="6" t="s">
        <v>7998</v>
      </c>
      <c r="C892" s="28" t="n">
        <v>0</v>
      </c>
      <c r="D892" s="6" t="n">
        <v>18</v>
      </c>
      <c r="E892" s="29"/>
      <c r="F892" s="6"/>
      <c r="G892" s="6" t="n">
        <v>9</v>
      </c>
      <c r="H892" s="6" t="s">
        <v>8007</v>
      </c>
    </row>
    <row r="893" customFormat="false" ht="15" hidden="false" customHeight="true" outlineLevel="0" collapsed="false">
      <c r="A893" s="6" t="s">
        <v>1253</v>
      </c>
      <c r="B893" s="6" t="s">
        <v>7997</v>
      </c>
      <c r="C893" s="28" t="n">
        <v>0</v>
      </c>
      <c r="D893" s="6" t="n">
        <v>22</v>
      </c>
      <c r="E893" s="29"/>
      <c r="F893" s="6"/>
      <c r="G893" s="6" t="s">
        <v>6893</v>
      </c>
      <c r="H893" s="6" t="s">
        <v>8007</v>
      </c>
    </row>
    <row r="894" customFormat="false" ht="15" hidden="false" customHeight="true" outlineLevel="0" collapsed="false">
      <c r="A894" s="6" t="s">
        <v>2291</v>
      </c>
      <c r="B894" s="6" t="s">
        <v>7997</v>
      </c>
      <c r="C894" s="28" t="n">
        <v>0</v>
      </c>
      <c r="D894" s="6" t="n">
        <v>14</v>
      </c>
      <c r="E894" s="29"/>
      <c r="F894" s="6"/>
      <c r="G894" s="6" t="n">
        <v>4</v>
      </c>
      <c r="H894" s="6" t="s">
        <v>8007</v>
      </c>
    </row>
    <row r="895" customFormat="false" ht="15" hidden="false" customHeight="true" outlineLevel="0" collapsed="false">
      <c r="A895" s="6" t="s">
        <v>2292</v>
      </c>
      <c r="B895" s="6" t="s">
        <v>8000</v>
      </c>
      <c r="C895" s="28" t="n">
        <v>0</v>
      </c>
      <c r="D895" s="6" t="n">
        <v>17</v>
      </c>
      <c r="E895" s="29"/>
      <c r="F895" s="6"/>
      <c r="G895" s="6" t="n">
        <v>9</v>
      </c>
      <c r="H895" s="6" t="s">
        <v>8007</v>
      </c>
    </row>
    <row r="896" customFormat="false" ht="15" hidden="false" customHeight="true" outlineLevel="0" collapsed="false">
      <c r="A896" s="6" t="s">
        <v>1191</v>
      </c>
      <c r="B896" s="6" t="s">
        <v>8004</v>
      </c>
      <c r="C896" s="28" t="n">
        <v>0</v>
      </c>
      <c r="D896" s="6" t="n">
        <v>15</v>
      </c>
      <c r="E896" s="29"/>
      <c r="F896" s="6"/>
      <c r="G896" s="6" t="s">
        <v>6893</v>
      </c>
      <c r="H896" s="6" t="s">
        <v>8007</v>
      </c>
    </row>
    <row r="897" customFormat="false" ht="15" hidden="false" customHeight="true" outlineLevel="0" collapsed="false">
      <c r="A897" s="6" t="s">
        <v>1980</v>
      </c>
      <c r="B897" s="6" t="s">
        <v>7997</v>
      </c>
      <c r="C897" s="28" t="n">
        <v>0</v>
      </c>
      <c r="D897" s="6" t="n">
        <v>18</v>
      </c>
      <c r="E897" s="29"/>
      <c r="F897" s="6"/>
      <c r="G897" s="6" t="n">
        <v>4</v>
      </c>
      <c r="H897" s="6" t="s">
        <v>8007</v>
      </c>
    </row>
    <row r="898" customFormat="false" ht="15" hidden="false" customHeight="true" outlineLevel="0" collapsed="false">
      <c r="A898" s="6" t="s">
        <v>1981</v>
      </c>
      <c r="B898" s="6" t="s">
        <v>7998</v>
      </c>
      <c r="C898" s="28" t="n">
        <v>0</v>
      </c>
      <c r="D898" s="6" t="n">
        <v>13</v>
      </c>
      <c r="E898" s="29"/>
      <c r="F898" s="6"/>
      <c r="G898" s="6" t="n">
        <v>9</v>
      </c>
      <c r="H898" s="6" t="s">
        <v>8007</v>
      </c>
    </row>
    <row r="899" customFormat="false" ht="15" hidden="false" customHeight="true" outlineLevel="0" collapsed="false">
      <c r="A899" s="6" t="s">
        <v>2382</v>
      </c>
      <c r="B899" s="6" t="s">
        <v>7998</v>
      </c>
      <c r="C899" s="28" t="n">
        <v>0</v>
      </c>
      <c r="D899" s="6" t="n">
        <v>14</v>
      </c>
      <c r="E899" s="29"/>
      <c r="F899" s="6"/>
      <c r="G899" s="6" t="n">
        <v>4</v>
      </c>
      <c r="H899" s="6" t="s">
        <v>8007</v>
      </c>
    </row>
    <row r="900" customFormat="false" ht="15" hidden="false" customHeight="true" outlineLevel="0" collapsed="false">
      <c r="A900" s="6" t="s">
        <v>2317</v>
      </c>
      <c r="B900" s="6" t="s">
        <v>8004</v>
      </c>
      <c r="C900" s="28" t="n">
        <v>0</v>
      </c>
      <c r="D900" s="6" t="n">
        <v>14</v>
      </c>
      <c r="E900" s="29"/>
      <c r="F900" s="6"/>
      <c r="G900" s="6" t="n">
        <v>4</v>
      </c>
      <c r="H900" s="6" t="s">
        <v>8007</v>
      </c>
    </row>
    <row r="901" customFormat="false" ht="15" hidden="false" customHeight="true" outlineLevel="0" collapsed="false">
      <c r="A901" s="6" t="s">
        <v>2323</v>
      </c>
      <c r="B901" s="6" t="s">
        <v>8004</v>
      </c>
      <c r="C901" s="28" t="n">
        <v>0</v>
      </c>
      <c r="D901" s="6" t="n">
        <v>14</v>
      </c>
      <c r="E901" s="29"/>
      <c r="F901" s="6"/>
      <c r="G901" s="6" t="n">
        <v>4</v>
      </c>
      <c r="H901" s="6" t="s">
        <v>8007</v>
      </c>
    </row>
    <row r="902" customFormat="false" ht="15" hidden="false" customHeight="true" outlineLevel="0" collapsed="false">
      <c r="A902" s="6" t="s">
        <v>1957</v>
      </c>
      <c r="B902" s="6" t="s">
        <v>8003</v>
      </c>
      <c r="C902" s="28" t="n">
        <v>0</v>
      </c>
      <c r="D902" s="6" t="n">
        <v>13</v>
      </c>
      <c r="E902" s="29"/>
      <c r="F902" s="6"/>
      <c r="G902" s="6" t="n">
        <v>4</v>
      </c>
      <c r="H902" s="6" t="s">
        <v>8007</v>
      </c>
    </row>
    <row r="903" customFormat="false" ht="15" hidden="false" customHeight="true" outlineLevel="0" collapsed="false">
      <c r="A903" s="6" t="s">
        <v>2165</v>
      </c>
      <c r="B903" s="6" t="s">
        <v>7997</v>
      </c>
      <c r="C903" s="28" t="n">
        <v>0</v>
      </c>
      <c r="D903" s="6" t="n">
        <v>15</v>
      </c>
      <c r="E903" s="29"/>
      <c r="F903" s="6"/>
      <c r="G903" s="6" t="n">
        <v>4</v>
      </c>
      <c r="H903" s="6" t="s">
        <v>8007</v>
      </c>
    </row>
    <row r="904" customFormat="false" ht="15" hidden="false" customHeight="true" outlineLevel="0" collapsed="false">
      <c r="A904" s="6" t="s">
        <v>7159</v>
      </c>
      <c r="B904" s="6" t="s">
        <v>8001</v>
      </c>
      <c r="C904" s="28" t="n">
        <v>0</v>
      </c>
      <c r="D904" s="6" t="n">
        <v>14</v>
      </c>
      <c r="E904" s="29" t="n">
        <v>0</v>
      </c>
      <c r="F904" s="6" t="n">
        <v>0</v>
      </c>
      <c r="G904" s="6" t="s">
        <v>6893</v>
      </c>
      <c r="H904" s="6"/>
    </row>
    <row r="905" customFormat="false" ht="15" hidden="false" customHeight="true" outlineLevel="0" collapsed="false">
      <c r="A905" s="6" t="s">
        <v>7161</v>
      </c>
      <c r="B905" s="6" t="s">
        <v>8006</v>
      </c>
      <c r="C905" s="28" t="n">
        <v>0</v>
      </c>
      <c r="D905" s="6" t="n">
        <v>28</v>
      </c>
      <c r="E905" s="29"/>
      <c r="F905" s="6"/>
      <c r="G905" s="6" t="s">
        <v>6893</v>
      </c>
      <c r="H905" s="6" t="s">
        <v>8007</v>
      </c>
    </row>
    <row r="906" customFormat="false" ht="15" hidden="false" customHeight="true" outlineLevel="0" collapsed="false">
      <c r="A906" s="6" t="s">
        <v>7162</v>
      </c>
      <c r="B906" s="6" t="s">
        <v>8001</v>
      </c>
      <c r="C906" s="28" t="n">
        <v>0</v>
      </c>
      <c r="D906" s="6" t="n">
        <v>18</v>
      </c>
      <c r="E906" s="29"/>
      <c r="F906" s="6"/>
      <c r="G906" s="6" t="s">
        <v>6893</v>
      </c>
      <c r="H906" s="6" t="s">
        <v>8007</v>
      </c>
    </row>
    <row r="907" customFormat="false" ht="15" hidden="false" customHeight="true" outlineLevel="0" collapsed="false">
      <c r="A907" s="6" t="s">
        <v>2002</v>
      </c>
      <c r="B907" s="6" t="s">
        <v>8004</v>
      </c>
      <c r="C907" s="28" t="n">
        <v>0</v>
      </c>
      <c r="D907" s="6" t="n">
        <v>14</v>
      </c>
      <c r="E907" s="29"/>
      <c r="F907" s="6"/>
      <c r="G907" s="6" t="n">
        <v>4</v>
      </c>
      <c r="H907" s="6" t="s">
        <v>8007</v>
      </c>
    </row>
    <row r="908" customFormat="false" ht="15" hidden="false" customHeight="true" outlineLevel="0" collapsed="false">
      <c r="A908" s="6" t="s">
        <v>2259</v>
      </c>
      <c r="B908" s="6" t="s">
        <v>8004</v>
      </c>
      <c r="C908" s="28" t="n">
        <v>0</v>
      </c>
      <c r="D908" s="6" t="n">
        <v>14</v>
      </c>
      <c r="E908" s="29"/>
      <c r="F908" s="6"/>
      <c r="G908" s="6" t="n">
        <v>4</v>
      </c>
      <c r="H908" s="6" t="s">
        <v>8007</v>
      </c>
    </row>
    <row r="909" customFormat="false" ht="15" hidden="false" customHeight="true" outlineLevel="0" collapsed="false">
      <c r="A909" s="6" t="s">
        <v>2198</v>
      </c>
      <c r="B909" s="6" t="s">
        <v>8002</v>
      </c>
      <c r="C909" s="28" t="n">
        <v>0</v>
      </c>
      <c r="D909" s="6" t="n">
        <v>16</v>
      </c>
      <c r="E909" s="29"/>
      <c r="F909" s="6"/>
      <c r="G909" s="6" t="n">
        <v>5</v>
      </c>
      <c r="H909" s="6" t="s">
        <v>8007</v>
      </c>
    </row>
    <row r="910" customFormat="false" ht="15" hidden="false" customHeight="true" outlineLevel="0" collapsed="false">
      <c r="A910" s="6" t="s">
        <v>7164</v>
      </c>
      <c r="B910" s="6" t="s">
        <v>8001</v>
      </c>
      <c r="C910" s="28" t="n">
        <v>0</v>
      </c>
      <c r="D910" s="6" t="n">
        <v>17</v>
      </c>
      <c r="E910" s="29"/>
      <c r="F910" s="6"/>
      <c r="G910" s="6" t="s">
        <v>6893</v>
      </c>
      <c r="H910" s="6" t="s">
        <v>8007</v>
      </c>
    </row>
    <row r="911" customFormat="false" ht="15" hidden="false" customHeight="true" outlineLevel="0" collapsed="false">
      <c r="A911" s="6" t="s">
        <v>2278</v>
      </c>
      <c r="B911" s="6" t="s">
        <v>7997</v>
      </c>
      <c r="C911" s="28" t="n">
        <v>0</v>
      </c>
      <c r="D911" s="6" t="n">
        <v>22</v>
      </c>
      <c r="E911" s="29"/>
      <c r="F911" s="6"/>
      <c r="G911" s="6" t="n">
        <v>5</v>
      </c>
      <c r="H911" s="6" t="s">
        <v>8007</v>
      </c>
    </row>
    <row r="912" customFormat="false" ht="15" hidden="false" customHeight="true" outlineLevel="0" collapsed="false">
      <c r="A912" s="6" t="s">
        <v>1238</v>
      </c>
      <c r="B912" s="6" t="s">
        <v>8006</v>
      </c>
      <c r="C912" s="28" t="n">
        <v>0</v>
      </c>
      <c r="D912" s="6" t="n">
        <v>24</v>
      </c>
      <c r="E912" s="29"/>
      <c r="F912" s="6"/>
      <c r="G912" s="6" t="s">
        <v>6893</v>
      </c>
      <c r="H912" s="6" t="s">
        <v>8007</v>
      </c>
    </row>
    <row r="913" customFormat="false" ht="15" hidden="false" customHeight="true" outlineLevel="0" collapsed="false">
      <c r="A913" s="6" t="s">
        <v>2186</v>
      </c>
      <c r="B913" s="6" t="s">
        <v>7997</v>
      </c>
      <c r="C913" s="28" t="n">
        <v>0</v>
      </c>
      <c r="D913" s="6" t="n">
        <v>18</v>
      </c>
      <c r="E913" s="29"/>
      <c r="F913" s="6"/>
      <c r="G913" s="6" t="n">
        <v>5</v>
      </c>
      <c r="H913" s="6" t="s">
        <v>8007</v>
      </c>
    </row>
    <row r="914" customFormat="false" ht="15" hidden="false" customHeight="true" outlineLevel="0" collapsed="false">
      <c r="A914" s="6" t="s">
        <v>7166</v>
      </c>
      <c r="B914" s="6" t="s">
        <v>8001</v>
      </c>
      <c r="C914" s="28" t="n">
        <v>0</v>
      </c>
      <c r="D914" s="6" t="n">
        <v>28</v>
      </c>
      <c r="E914" s="29"/>
      <c r="F914" s="6"/>
      <c r="G914" s="6" t="s">
        <v>6893</v>
      </c>
      <c r="H914" s="6" t="s">
        <v>8007</v>
      </c>
    </row>
    <row r="915" customFormat="false" ht="15" hidden="false" customHeight="true" outlineLevel="0" collapsed="false">
      <c r="A915" s="6" t="s">
        <v>2347</v>
      </c>
      <c r="B915" s="6" t="s">
        <v>8001</v>
      </c>
      <c r="C915" s="28" t="n">
        <v>0</v>
      </c>
      <c r="D915" s="6" t="n">
        <v>15</v>
      </c>
      <c r="E915" s="29"/>
      <c r="F915" s="6"/>
      <c r="G915" s="6" t="n">
        <v>5</v>
      </c>
      <c r="H915" s="6" t="s">
        <v>8007</v>
      </c>
    </row>
    <row r="916" customFormat="false" ht="15" hidden="false" customHeight="true" outlineLevel="0" collapsed="false">
      <c r="A916" s="6" t="s">
        <v>6709</v>
      </c>
      <c r="B916" s="6" t="s">
        <v>8004</v>
      </c>
      <c r="C916" s="28" t="n">
        <v>0</v>
      </c>
      <c r="D916" s="6" t="n">
        <v>6</v>
      </c>
      <c r="E916" s="29" t="n">
        <v>0</v>
      </c>
      <c r="F916" s="6" t="n">
        <v>0</v>
      </c>
      <c r="G916" s="6" t="n">
        <v>2</v>
      </c>
      <c r="H916" s="6"/>
    </row>
    <row r="917" customFormat="false" ht="15" hidden="false" customHeight="true" outlineLevel="0" collapsed="false">
      <c r="A917" s="6" t="s">
        <v>6710</v>
      </c>
      <c r="B917" s="6" t="s">
        <v>8004</v>
      </c>
      <c r="C917" s="28" t="n">
        <v>0</v>
      </c>
      <c r="D917" s="6" t="n">
        <v>17</v>
      </c>
      <c r="E917" s="29"/>
      <c r="F917" s="6"/>
      <c r="G917" s="6" t="n">
        <v>2</v>
      </c>
      <c r="H917" s="6" t="s">
        <v>8007</v>
      </c>
    </row>
    <row r="918" customFormat="false" ht="15" hidden="false" customHeight="true" outlineLevel="0" collapsed="false">
      <c r="A918" s="6" t="s">
        <v>6712</v>
      </c>
      <c r="B918" s="6" t="s">
        <v>8004</v>
      </c>
      <c r="C918" s="28" t="n">
        <v>0</v>
      </c>
      <c r="D918" s="6" t="n">
        <v>14</v>
      </c>
      <c r="E918" s="29"/>
      <c r="F918" s="6"/>
      <c r="G918" s="6" t="n">
        <v>2</v>
      </c>
      <c r="H918" s="6" t="s">
        <v>8007</v>
      </c>
    </row>
    <row r="919" customFormat="false" ht="15" hidden="false" customHeight="true" outlineLevel="0" collapsed="false">
      <c r="A919" s="6" t="s">
        <v>6713</v>
      </c>
      <c r="B919" s="6" t="s">
        <v>8004</v>
      </c>
      <c r="C919" s="28" t="n">
        <v>0</v>
      </c>
      <c r="D919" s="6" t="n">
        <v>14</v>
      </c>
      <c r="E919" s="29"/>
      <c r="F919" s="6"/>
      <c r="G919" s="6" t="n">
        <v>2</v>
      </c>
      <c r="H919" s="6" t="s">
        <v>8007</v>
      </c>
    </row>
    <row r="920" customFormat="false" ht="15" hidden="false" customHeight="true" outlineLevel="0" collapsed="false">
      <c r="A920" s="6" t="s">
        <v>1964</v>
      </c>
      <c r="B920" s="6" t="s">
        <v>8004</v>
      </c>
      <c r="C920" s="28" t="n">
        <v>0</v>
      </c>
      <c r="D920" s="6" t="n">
        <v>14</v>
      </c>
      <c r="E920" s="29"/>
      <c r="F920" s="6"/>
      <c r="G920" s="6" t="n">
        <v>5</v>
      </c>
      <c r="H920" s="6" t="s">
        <v>8007</v>
      </c>
    </row>
    <row r="921" customFormat="false" ht="15" hidden="false" customHeight="true" outlineLevel="0" collapsed="false">
      <c r="A921" s="6" t="s">
        <v>6714</v>
      </c>
      <c r="B921" s="6" t="s">
        <v>8000</v>
      </c>
      <c r="C921" s="28" t="n">
        <v>0</v>
      </c>
      <c r="D921" s="6" t="n">
        <v>14</v>
      </c>
      <c r="E921" s="29"/>
      <c r="F921" s="6"/>
      <c r="G921" s="6" t="n">
        <v>2</v>
      </c>
      <c r="H921" s="6" t="s">
        <v>8007</v>
      </c>
    </row>
    <row r="922" customFormat="false" ht="15" hidden="false" customHeight="true" outlineLevel="0" collapsed="false">
      <c r="A922" s="6" t="s">
        <v>7168</v>
      </c>
      <c r="B922" s="6" t="s">
        <v>8001</v>
      </c>
      <c r="C922" s="28" t="n">
        <v>0</v>
      </c>
      <c r="D922" s="6" t="n">
        <v>16</v>
      </c>
      <c r="E922" s="29"/>
      <c r="F922" s="6"/>
      <c r="G922" s="6" t="s">
        <v>6893</v>
      </c>
      <c r="H922" s="6" t="s">
        <v>8007</v>
      </c>
    </row>
    <row r="923" customFormat="false" ht="15" hidden="false" customHeight="true" outlineLevel="0" collapsed="false">
      <c r="A923" s="6" t="s">
        <v>6825</v>
      </c>
      <c r="B923" s="6" t="s">
        <v>8004</v>
      </c>
      <c r="C923" s="28" t="n">
        <v>0</v>
      </c>
      <c r="D923" s="6" t="n">
        <v>17</v>
      </c>
      <c r="E923" s="29"/>
      <c r="F923" s="6"/>
      <c r="G923" s="6" t="n">
        <v>3</v>
      </c>
      <c r="H923" s="6" t="s">
        <v>8007</v>
      </c>
    </row>
    <row r="924" customFormat="false" ht="15" hidden="false" customHeight="true" outlineLevel="0" collapsed="false">
      <c r="A924" s="6" t="s">
        <v>6826</v>
      </c>
      <c r="B924" s="6" t="s">
        <v>8004</v>
      </c>
      <c r="C924" s="28" t="n">
        <v>0</v>
      </c>
      <c r="D924" s="6" t="n">
        <v>16</v>
      </c>
      <c r="E924" s="29"/>
      <c r="F924" s="6"/>
      <c r="G924" s="6" t="n">
        <v>3</v>
      </c>
      <c r="H924" s="6" t="s">
        <v>8007</v>
      </c>
    </row>
    <row r="925" customFormat="false" ht="15" hidden="false" customHeight="true" outlineLevel="0" collapsed="false">
      <c r="A925" s="6" t="s">
        <v>2205</v>
      </c>
      <c r="B925" s="6" t="s">
        <v>8003</v>
      </c>
      <c r="C925" s="28" t="n">
        <v>0</v>
      </c>
      <c r="D925" s="6" t="n">
        <v>22</v>
      </c>
      <c r="E925" s="29"/>
      <c r="F925" s="6"/>
      <c r="G925" s="6" t="n">
        <v>5</v>
      </c>
      <c r="H925" s="6" t="s">
        <v>8007</v>
      </c>
    </row>
    <row r="926" customFormat="false" ht="15" hidden="false" customHeight="true" outlineLevel="0" collapsed="false">
      <c r="A926" s="6" t="s">
        <v>1949</v>
      </c>
      <c r="B926" s="6" t="s">
        <v>8004</v>
      </c>
      <c r="C926" s="28" t="n">
        <v>0</v>
      </c>
      <c r="D926" s="6" t="n">
        <v>15</v>
      </c>
      <c r="E926" s="29"/>
      <c r="F926" s="6"/>
      <c r="G926" s="6" t="n">
        <v>5</v>
      </c>
      <c r="H926" s="6" t="s">
        <v>8007</v>
      </c>
    </row>
    <row r="927" customFormat="false" ht="15" hidden="false" customHeight="true" outlineLevel="0" collapsed="false">
      <c r="A927" s="6" t="s">
        <v>7173</v>
      </c>
      <c r="B927" s="6" t="s">
        <v>8001</v>
      </c>
      <c r="C927" s="28" t="n">
        <v>0</v>
      </c>
      <c r="D927" s="6" t="n">
        <v>22</v>
      </c>
      <c r="E927" s="29"/>
      <c r="F927" s="6"/>
      <c r="G927" s="6" t="s">
        <v>6893</v>
      </c>
      <c r="H927" s="6" t="s">
        <v>8007</v>
      </c>
    </row>
    <row r="928" customFormat="false" ht="15" hidden="false" customHeight="true" outlineLevel="0" collapsed="false">
      <c r="A928" s="6" t="s">
        <v>1942</v>
      </c>
      <c r="B928" s="6" t="s">
        <v>8004</v>
      </c>
      <c r="C928" s="28" t="n">
        <v>0</v>
      </c>
      <c r="D928" s="6" t="n">
        <v>14</v>
      </c>
      <c r="E928" s="29"/>
      <c r="F928" s="6"/>
      <c r="G928" s="6" t="n">
        <v>5</v>
      </c>
      <c r="H928" s="6" t="s">
        <v>8007</v>
      </c>
    </row>
    <row r="929" customFormat="false" ht="15" hidden="false" customHeight="true" outlineLevel="0" collapsed="false">
      <c r="A929" s="6" t="s">
        <v>2341</v>
      </c>
      <c r="B929" s="6" t="s">
        <v>8004</v>
      </c>
      <c r="C929" s="28" t="n">
        <v>0</v>
      </c>
      <c r="D929" s="6" t="n">
        <v>18</v>
      </c>
      <c r="E929" s="29"/>
      <c r="F929" s="6"/>
      <c r="G929" s="6" t="n">
        <v>5</v>
      </c>
      <c r="H929" s="6" t="s">
        <v>8007</v>
      </c>
    </row>
    <row r="930" customFormat="false" ht="15" hidden="false" customHeight="true" outlineLevel="0" collapsed="false">
      <c r="A930" s="6" t="s">
        <v>6716</v>
      </c>
      <c r="B930" s="6" t="s">
        <v>8004</v>
      </c>
      <c r="C930" s="28" t="n">
        <v>0</v>
      </c>
      <c r="D930" s="6" t="n">
        <v>30</v>
      </c>
      <c r="E930" s="29"/>
      <c r="F930" s="6"/>
      <c r="G930" s="6" t="n">
        <v>2</v>
      </c>
      <c r="H930" s="6" t="s">
        <v>8007</v>
      </c>
    </row>
    <row r="931" customFormat="false" ht="15" hidden="false" customHeight="true" outlineLevel="0" collapsed="false">
      <c r="A931" s="6" t="s">
        <v>2335</v>
      </c>
      <c r="B931" s="6" t="s">
        <v>7998</v>
      </c>
      <c r="C931" s="28" t="n">
        <v>0</v>
      </c>
      <c r="D931" s="6" t="n">
        <v>15</v>
      </c>
      <c r="E931" s="29"/>
      <c r="F931" s="6"/>
      <c r="G931" s="6" t="n">
        <v>5</v>
      </c>
      <c r="H931" s="6" t="s">
        <v>8007</v>
      </c>
    </row>
    <row r="932" customFormat="false" ht="15" hidden="false" customHeight="true" outlineLevel="0" collapsed="false">
      <c r="A932" s="6" t="s">
        <v>2442</v>
      </c>
      <c r="B932" s="6" t="s">
        <v>8004</v>
      </c>
      <c r="C932" s="28" t="n">
        <v>0</v>
      </c>
      <c r="D932" s="6" t="n">
        <v>12</v>
      </c>
      <c r="E932" s="29"/>
      <c r="F932" s="6"/>
      <c r="G932" s="6" t="n">
        <v>5</v>
      </c>
      <c r="H932" s="6" t="s">
        <v>8007</v>
      </c>
    </row>
    <row r="933" customFormat="false" ht="15" hidden="false" customHeight="true" outlineLevel="0" collapsed="false">
      <c r="A933" s="6" t="s">
        <v>2430</v>
      </c>
      <c r="B933" s="6" t="s">
        <v>7998</v>
      </c>
      <c r="C933" s="28" t="n">
        <v>0</v>
      </c>
      <c r="D933" s="6" t="n">
        <v>20</v>
      </c>
      <c r="E933" s="29"/>
      <c r="F933" s="6"/>
      <c r="G933" s="6" t="n">
        <v>5</v>
      </c>
      <c r="H933" s="6" t="s">
        <v>8007</v>
      </c>
    </row>
    <row r="934" customFormat="false" ht="15" hidden="false" customHeight="true" outlineLevel="0" collapsed="false">
      <c r="A934" s="6" t="s">
        <v>1972</v>
      </c>
      <c r="B934" s="6" t="s">
        <v>8004</v>
      </c>
      <c r="C934" s="28" t="n">
        <v>0</v>
      </c>
      <c r="D934" s="6" t="n">
        <v>19</v>
      </c>
      <c r="E934" s="29"/>
      <c r="F934" s="6"/>
      <c r="G934" s="6" t="n">
        <v>5</v>
      </c>
      <c r="H934" s="6" t="s">
        <v>8007</v>
      </c>
    </row>
    <row r="935" customFormat="false" ht="15" hidden="false" customHeight="true" outlineLevel="0" collapsed="false">
      <c r="A935" s="6" t="s">
        <v>2418</v>
      </c>
      <c r="B935" s="6" t="s">
        <v>7998</v>
      </c>
      <c r="C935" s="28" t="n">
        <v>0</v>
      </c>
      <c r="D935" s="6" t="n">
        <v>14</v>
      </c>
      <c r="E935" s="29"/>
      <c r="F935" s="6"/>
      <c r="G935" s="6" t="n">
        <v>5</v>
      </c>
      <c r="H935" s="6" t="s">
        <v>8007</v>
      </c>
    </row>
    <row r="936" customFormat="false" ht="15" hidden="false" customHeight="true" outlineLevel="0" collapsed="false">
      <c r="A936" s="6" t="s">
        <v>2097</v>
      </c>
      <c r="B936" s="6" t="s">
        <v>8004</v>
      </c>
      <c r="C936" s="28" t="n">
        <v>0</v>
      </c>
      <c r="D936" s="6" t="n">
        <v>6</v>
      </c>
      <c r="E936" s="29" t="n">
        <v>0</v>
      </c>
      <c r="F936" s="6" t="n">
        <v>0</v>
      </c>
      <c r="G936" s="6" t="n">
        <v>5</v>
      </c>
      <c r="H936" s="6"/>
    </row>
    <row r="937" customFormat="false" ht="15" hidden="false" customHeight="true" outlineLevel="0" collapsed="false">
      <c r="A937" s="6" t="s">
        <v>1058</v>
      </c>
      <c r="B937" s="6" t="s">
        <v>8001</v>
      </c>
      <c r="C937" s="28" t="n">
        <v>0</v>
      </c>
      <c r="D937" s="6" t="n">
        <v>14</v>
      </c>
      <c r="E937" s="29"/>
      <c r="F937" s="6"/>
      <c r="G937" s="6" t="s">
        <v>6893</v>
      </c>
      <c r="H937" s="6" t="s">
        <v>8007</v>
      </c>
    </row>
    <row r="938" customFormat="false" ht="15" hidden="false" customHeight="true" outlineLevel="0" collapsed="false">
      <c r="A938" s="6" t="s">
        <v>2192</v>
      </c>
      <c r="B938" s="6" t="s">
        <v>8004</v>
      </c>
      <c r="C938" s="28" t="n">
        <v>0</v>
      </c>
      <c r="D938" s="6" t="n">
        <v>13</v>
      </c>
      <c r="E938" s="29"/>
      <c r="F938" s="6"/>
      <c r="G938" s="6" t="n">
        <v>5</v>
      </c>
      <c r="H938" s="6" t="s">
        <v>8007</v>
      </c>
    </row>
    <row r="939" customFormat="false" ht="15" hidden="false" customHeight="true" outlineLevel="0" collapsed="false">
      <c r="A939" s="6" t="s">
        <v>6717</v>
      </c>
      <c r="B939" s="6" t="s">
        <v>8004</v>
      </c>
      <c r="C939" s="28" t="n">
        <v>0</v>
      </c>
      <c r="D939" s="6" t="n">
        <v>14</v>
      </c>
      <c r="E939" s="29"/>
      <c r="F939" s="6"/>
      <c r="G939" s="6" t="n">
        <v>2</v>
      </c>
      <c r="H939" s="6" t="s">
        <v>8007</v>
      </c>
    </row>
    <row r="940" customFormat="false" ht="15" hidden="false" customHeight="true" outlineLevel="0" collapsed="false">
      <c r="A940" s="6" t="s">
        <v>6720</v>
      </c>
      <c r="B940" s="6" t="s">
        <v>8004</v>
      </c>
      <c r="C940" s="28" t="n">
        <v>0</v>
      </c>
      <c r="D940" s="6" t="n">
        <v>14</v>
      </c>
      <c r="E940" s="29"/>
      <c r="F940" s="6"/>
      <c r="G940" s="6" t="n">
        <v>2</v>
      </c>
      <c r="H940" s="6" t="s">
        <v>8007</v>
      </c>
    </row>
    <row r="941" customFormat="false" ht="15" hidden="false" customHeight="true" outlineLevel="0" collapsed="false">
      <c r="A941" s="6" t="s">
        <v>2252</v>
      </c>
      <c r="B941" s="6" t="s">
        <v>8004</v>
      </c>
      <c r="C941" s="28" t="n">
        <v>0</v>
      </c>
      <c r="D941" s="6" t="n">
        <v>13</v>
      </c>
      <c r="E941" s="29" t="n">
        <v>0</v>
      </c>
      <c r="F941" s="6" t="n">
        <v>0</v>
      </c>
      <c r="G941" s="6" t="n">
        <v>5</v>
      </c>
      <c r="H941" s="6"/>
    </row>
    <row r="942" customFormat="false" ht="15" hidden="false" customHeight="true" outlineLevel="0" collapsed="false">
      <c r="A942" s="6" t="s">
        <v>7179</v>
      </c>
      <c r="B942" s="6" t="s">
        <v>8001</v>
      </c>
      <c r="C942" s="28" t="n">
        <v>0</v>
      </c>
      <c r="D942" s="6" t="n">
        <v>14</v>
      </c>
      <c r="E942" s="29"/>
      <c r="F942" s="6"/>
      <c r="G942" s="6" t="s">
        <v>6893</v>
      </c>
      <c r="H942" s="6" t="s">
        <v>8007</v>
      </c>
    </row>
    <row r="943" customFormat="false" ht="15" hidden="false" customHeight="true" outlineLevel="0" collapsed="false">
      <c r="A943" s="6" t="s">
        <v>2091</v>
      </c>
      <c r="B943" s="6" t="s">
        <v>8000</v>
      </c>
      <c r="C943" s="28" t="n">
        <v>0</v>
      </c>
      <c r="D943" s="6" t="n">
        <v>16</v>
      </c>
      <c r="E943" s="29"/>
      <c r="F943" s="6"/>
      <c r="G943" s="6" t="n">
        <v>5</v>
      </c>
      <c r="H943" s="6" t="s">
        <v>8007</v>
      </c>
    </row>
    <row r="944" customFormat="false" ht="15" hidden="false" customHeight="true" outlineLevel="0" collapsed="false">
      <c r="A944" s="6" t="s">
        <v>1051</v>
      </c>
      <c r="B944" s="6" t="s">
        <v>8004</v>
      </c>
      <c r="C944" s="28" t="n">
        <v>0</v>
      </c>
      <c r="D944" s="6" t="n">
        <v>14</v>
      </c>
      <c r="E944" s="29"/>
      <c r="F944" s="6"/>
      <c r="G944" s="6" t="s">
        <v>6893</v>
      </c>
      <c r="H944" s="6" t="s">
        <v>8007</v>
      </c>
    </row>
    <row r="945" customFormat="false" ht="15" hidden="false" customHeight="true" outlineLevel="0" collapsed="false">
      <c r="A945" s="6" t="s">
        <v>2030</v>
      </c>
      <c r="B945" s="6" t="s">
        <v>8000</v>
      </c>
      <c r="C945" s="28" t="n">
        <v>0</v>
      </c>
      <c r="D945" s="6" t="n">
        <v>14</v>
      </c>
      <c r="E945" s="29"/>
      <c r="F945" s="6"/>
      <c r="G945" s="6" t="n">
        <v>5</v>
      </c>
      <c r="H945" s="6" t="s">
        <v>8007</v>
      </c>
    </row>
    <row r="946" customFormat="false" ht="15" hidden="false" customHeight="true" outlineLevel="0" collapsed="false">
      <c r="A946" s="6" t="s">
        <v>2436</v>
      </c>
      <c r="B946" s="6" t="s">
        <v>7998</v>
      </c>
      <c r="C946" s="28" t="n">
        <v>0</v>
      </c>
      <c r="D946" s="6" t="n">
        <v>27</v>
      </c>
      <c r="E946" s="29"/>
      <c r="F946" s="6"/>
      <c r="G946" s="6" t="n">
        <v>5</v>
      </c>
      <c r="H946" s="6" t="s">
        <v>8007</v>
      </c>
    </row>
    <row r="947" customFormat="false" ht="15" hidden="false" customHeight="true" outlineLevel="0" collapsed="false">
      <c r="A947" s="6" t="s">
        <v>2394</v>
      </c>
      <c r="B947" s="6" t="s">
        <v>8004</v>
      </c>
      <c r="C947" s="28" t="n">
        <v>0</v>
      </c>
      <c r="D947" s="6" t="n">
        <v>12</v>
      </c>
      <c r="E947" s="29" t="n">
        <v>0</v>
      </c>
      <c r="F947" s="6" t="n">
        <v>0</v>
      </c>
      <c r="G947" s="6" t="n">
        <v>5</v>
      </c>
      <c r="H947" s="6"/>
    </row>
    <row r="948" customFormat="false" ht="15" hidden="false" customHeight="true" outlineLevel="0" collapsed="false">
      <c r="A948" s="6" t="s">
        <v>1356</v>
      </c>
      <c r="B948" s="6" t="s">
        <v>8001</v>
      </c>
      <c r="C948" s="28" t="n">
        <v>0</v>
      </c>
      <c r="D948" s="6" t="n">
        <v>9</v>
      </c>
      <c r="E948" s="29"/>
      <c r="F948" s="6"/>
      <c r="G948" s="6" t="s">
        <v>6893</v>
      </c>
      <c r="H948" s="6" t="s">
        <v>8007</v>
      </c>
    </row>
    <row r="949" customFormat="false" ht="15" hidden="false" customHeight="true" outlineLevel="0" collapsed="false">
      <c r="A949" s="6" t="s">
        <v>7186</v>
      </c>
      <c r="B949" s="6" t="s">
        <v>8001</v>
      </c>
      <c r="C949" s="28" t="n">
        <v>0</v>
      </c>
      <c r="D949" s="6" t="n">
        <v>22</v>
      </c>
      <c r="E949" s="29"/>
      <c r="F949" s="6"/>
      <c r="G949" s="6" t="s">
        <v>6893</v>
      </c>
      <c r="H949" s="6" t="s">
        <v>8007</v>
      </c>
    </row>
    <row r="950" customFormat="false" ht="15" hidden="false" customHeight="true" outlineLevel="0" collapsed="false">
      <c r="A950" s="6" t="s">
        <v>2370</v>
      </c>
      <c r="B950" s="6" t="s">
        <v>8004</v>
      </c>
      <c r="C950" s="28" t="n">
        <v>0</v>
      </c>
      <c r="D950" s="6" t="n">
        <v>16</v>
      </c>
      <c r="E950" s="29"/>
      <c r="F950" s="6"/>
      <c r="G950" s="6" t="n">
        <v>5</v>
      </c>
      <c r="H950" s="6" t="s">
        <v>8007</v>
      </c>
    </row>
    <row r="951" customFormat="false" ht="15" hidden="false" customHeight="true" outlineLevel="0" collapsed="false">
      <c r="A951" s="6" t="s">
        <v>7191</v>
      </c>
      <c r="B951" s="6" t="s">
        <v>8006</v>
      </c>
      <c r="C951" s="28" t="n">
        <v>0</v>
      </c>
      <c r="D951" s="6" t="n">
        <v>28</v>
      </c>
      <c r="E951" s="29"/>
      <c r="F951" s="6"/>
      <c r="G951" s="6" t="s">
        <v>6893</v>
      </c>
      <c r="H951" s="6" t="s">
        <v>8007</v>
      </c>
    </row>
    <row r="952" customFormat="false" ht="15" hidden="false" customHeight="true" outlineLevel="0" collapsed="false">
      <c r="A952" s="6" t="s">
        <v>2400</v>
      </c>
      <c r="B952" s="6" t="s">
        <v>8004</v>
      </c>
      <c r="C952" s="28" t="n">
        <v>0</v>
      </c>
      <c r="D952" s="6" t="n">
        <v>20</v>
      </c>
      <c r="E952" s="29"/>
      <c r="F952" s="6"/>
      <c r="G952" s="6" t="n">
        <v>5</v>
      </c>
      <c r="H952" s="6" t="s">
        <v>8007</v>
      </c>
    </row>
    <row r="953" customFormat="false" ht="15" hidden="false" customHeight="true" outlineLevel="0" collapsed="false">
      <c r="A953" s="6" t="s">
        <v>6724</v>
      </c>
      <c r="B953" s="6" t="s">
        <v>8004</v>
      </c>
      <c r="C953" s="28" t="n">
        <v>0</v>
      </c>
      <c r="D953" s="6" t="n">
        <v>22</v>
      </c>
      <c r="E953" s="29"/>
      <c r="F953" s="6"/>
      <c r="G953" s="6" t="n">
        <v>2</v>
      </c>
      <c r="H953" s="6" t="s">
        <v>8007</v>
      </c>
    </row>
    <row r="954" customFormat="false" ht="15" hidden="false" customHeight="true" outlineLevel="0" collapsed="false">
      <c r="A954" s="6" t="s">
        <v>2364</v>
      </c>
      <c r="B954" s="6" t="s">
        <v>7998</v>
      </c>
      <c r="C954" s="28" t="n">
        <v>0</v>
      </c>
      <c r="D954" s="6" t="n">
        <v>14</v>
      </c>
      <c r="E954" s="29"/>
      <c r="F954" s="6"/>
      <c r="G954" s="6" t="n">
        <v>5</v>
      </c>
      <c r="H954" s="6" t="s">
        <v>8007</v>
      </c>
    </row>
    <row r="955" customFormat="false" ht="15" hidden="false" customHeight="true" outlineLevel="0" collapsed="false">
      <c r="A955" s="6" t="s">
        <v>2388</v>
      </c>
      <c r="B955" s="6" t="s">
        <v>7998</v>
      </c>
      <c r="C955" s="28" t="n">
        <v>0</v>
      </c>
      <c r="D955" s="6" t="n">
        <v>14</v>
      </c>
      <c r="E955" s="29"/>
      <c r="F955" s="6"/>
      <c r="G955" s="6" t="n">
        <v>5</v>
      </c>
      <c r="H955" s="6" t="s">
        <v>8007</v>
      </c>
    </row>
    <row r="956" customFormat="false" ht="15" hidden="false" customHeight="true" outlineLevel="0" collapsed="false">
      <c r="A956" s="6" t="s">
        <v>2353</v>
      </c>
      <c r="B956" s="6" t="s">
        <v>8004</v>
      </c>
      <c r="C956" s="28" t="n">
        <v>0</v>
      </c>
      <c r="D956" s="6" t="n">
        <v>20</v>
      </c>
      <c r="E956" s="29"/>
      <c r="F956" s="6"/>
      <c r="G956" s="6" t="n">
        <v>5</v>
      </c>
      <c r="H956" s="6" t="s">
        <v>8007</v>
      </c>
    </row>
    <row r="957" customFormat="false" ht="15" hidden="false" customHeight="true" outlineLevel="0" collapsed="false">
      <c r="A957" s="6" t="s">
        <v>2359</v>
      </c>
      <c r="B957" s="6" t="s">
        <v>8004</v>
      </c>
      <c r="C957" s="28" t="n">
        <v>0</v>
      </c>
      <c r="D957" s="6" t="n">
        <v>27</v>
      </c>
      <c r="E957" s="29"/>
      <c r="F957" s="6"/>
      <c r="G957" s="6" t="n">
        <v>5</v>
      </c>
      <c r="H957" s="6" t="s">
        <v>8007</v>
      </c>
    </row>
    <row r="958" customFormat="false" ht="15" hidden="false" customHeight="true" outlineLevel="0" collapsed="false">
      <c r="A958" s="6" t="s">
        <v>2023</v>
      </c>
      <c r="B958" s="6" t="s">
        <v>7997</v>
      </c>
      <c r="C958" s="28" t="n">
        <v>0</v>
      </c>
      <c r="D958" s="6" t="n">
        <v>22</v>
      </c>
      <c r="E958" s="29"/>
      <c r="F958" s="6"/>
      <c r="G958" s="6" t="n">
        <v>5</v>
      </c>
      <c r="H958" s="6" t="s">
        <v>8007</v>
      </c>
    </row>
    <row r="959" customFormat="false" ht="15" hidden="false" customHeight="true" outlineLevel="0" collapsed="false">
      <c r="A959" s="6" t="s">
        <v>7193</v>
      </c>
      <c r="B959" s="6" t="s">
        <v>8001</v>
      </c>
      <c r="C959" s="28" t="n">
        <v>0</v>
      </c>
      <c r="D959" s="6" t="n">
        <v>15</v>
      </c>
      <c r="E959" s="29" t="n">
        <v>0</v>
      </c>
      <c r="F959" s="6" t="n">
        <v>1</v>
      </c>
      <c r="G959" s="6" t="s">
        <v>6893</v>
      </c>
      <c r="H959" s="6"/>
    </row>
    <row r="960" customFormat="false" ht="15" hidden="false" customHeight="true" outlineLevel="0" collapsed="false">
      <c r="A960" s="6" t="s">
        <v>2329</v>
      </c>
      <c r="B960" s="6" t="s">
        <v>8000</v>
      </c>
      <c r="C960" s="28" t="n">
        <v>0</v>
      </c>
      <c r="D960" s="6" t="n">
        <v>13</v>
      </c>
      <c r="E960" s="29"/>
      <c r="F960" s="6"/>
      <c r="G960" s="6" t="n">
        <v>5</v>
      </c>
      <c r="H960" s="6" t="s">
        <v>8007</v>
      </c>
    </row>
    <row r="961" customFormat="false" ht="15" hidden="false" customHeight="true" outlineLevel="0" collapsed="false">
      <c r="A961" s="6" t="s">
        <v>2144</v>
      </c>
      <c r="B961" s="6" t="s">
        <v>8002</v>
      </c>
      <c r="C961" s="28" t="n">
        <v>0</v>
      </c>
      <c r="D961" s="6" t="n">
        <v>18</v>
      </c>
      <c r="E961" s="29"/>
      <c r="F961" s="6"/>
      <c r="G961" s="6" t="n">
        <v>5</v>
      </c>
      <c r="H961" s="6" t="s">
        <v>8007</v>
      </c>
    </row>
    <row r="962" customFormat="false" ht="15" hidden="false" customHeight="true" outlineLevel="0" collapsed="false">
      <c r="A962" s="6" t="s">
        <v>6727</v>
      </c>
      <c r="B962" s="6" t="s">
        <v>8004</v>
      </c>
      <c r="C962" s="28" t="n">
        <v>0</v>
      </c>
      <c r="D962" s="6" t="n">
        <v>25</v>
      </c>
      <c r="E962" s="29"/>
      <c r="F962" s="6"/>
      <c r="G962" s="6" t="n">
        <v>2</v>
      </c>
      <c r="H962" s="6" t="s">
        <v>8007</v>
      </c>
    </row>
    <row r="963" customFormat="false" ht="15" hidden="false" customHeight="true" outlineLevel="0" collapsed="false">
      <c r="A963" s="6" t="s">
        <v>2412</v>
      </c>
      <c r="B963" s="6" t="s">
        <v>8004</v>
      </c>
      <c r="C963" s="28" t="n">
        <v>0</v>
      </c>
      <c r="D963" s="6" t="n">
        <v>21</v>
      </c>
      <c r="E963" s="29"/>
      <c r="F963" s="6"/>
      <c r="G963" s="6" t="n">
        <v>5</v>
      </c>
      <c r="H963" s="6" t="s">
        <v>8007</v>
      </c>
    </row>
    <row r="964" customFormat="false" ht="15" hidden="false" customHeight="true" outlineLevel="0" collapsed="false">
      <c r="A964" s="6" t="s">
        <v>2111</v>
      </c>
      <c r="B964" s="6" t="s">
        <v>8004</v>
      </c>
      <c r="C964" s="28" t="n">
        <v>0</v>
      </c>
      <c r="D964" s="6" t="n">
        <v>18</v>
      </c>
      <c r="E964" s="29"/>
      <c r="F964" s="6"/>
      <c r="G964" s="6" t="n">
        <v>5</v>
      </c>
      <c r="H964" s="6" t="s">
        <v>8007</v>
      </c>
    </row>
    <row r="965" customFormat="false" ht="15" hidden="false" customHeight="true" outlineLevel="0" collapsed="false">
      <c r="A965" s="6" t="s">
        <v>2298</v>
      </c>
      <c r="B965" s="6" t="s">
        <v>7997</v>
      </c>
      <c r="C965" s="28" t="n">
        <v>0</v>
      </c>
      <c r="D965" s="6" t="n">
        <v>13</v>
      </c>
      <c r="E965" s="29"/>
      <c r="F965" s="6"/>
      <c r="G965" s="6" t="n">
        <v>5</v>
      </c>
      <c r="H965" s="6" t="s">
        <v>8007</v>
      </c>
    </row>
    <row r="966" customFormat="false" ht="15" hidden="false" customHeight="true" outlineLevel="0" collapsed="false">
      <c r="A966" s="6" t="s">
        <v>2137</v>
      </c>
      <c r="B966" s="6" t="s">
        <v>8000</v>
      </c>
      <c r="C966" s="28" t="n">
        <v>0</v>
      </c>
      <c r="D966" s="6" t="n">
        <v>13</v>
      </c>
      <c r="E966" s="29"/>
      <c r="F966" s="6"/>
      <c r="G966" s="6" t="n">
        <v>5</v>
      </c>
      <c r="H966" s="6" t="s">
        <v>8007</v>
      </c>
    </row>
    <row r="967" customFormat="false" ht="15" hidden="false" customHeight="true" outlineLevel="0" collapsed="false">
      <c r="A967" s="6" t="s">
        <v>2050</v>
      </c>
      <c r="B967" s="6" t="s">
        <v>8004</v>
      </c>
      <c r="C967" s="28" t="n">
        <v>0</v>
      </c>
      <c r="D967" s="6" t="n">
        <v>16</v>
      </c>
      <c r="E967" s="29"/>
      <c r="F967" s="6"/>
      <c r="G967" s="6" t="n">
        <v>5</v>
      </c>
      <c r="H967" s="6" t="s">
        <v>8007</v>
      </c>
    </row>
    <row r="968" customFormat="false" ht="15" hidden="false" customHeight="true" outlineLevel="0" collapsed="false">
      <c r="A968" s="6" t="s">
        <v>1013</v>
      </c>
      <c r="B968" s="6" t="s">
        <v>8001</v>
      </c>
      <c r="C968" s="28" t="n">
        <v>0</v>
      </c>
      <c r="D968" s="6" t="n">
        <v>16</v>
      </c>
      <c r="E968" s="29"/>
      <c r="F968" s="6"/>
      <c r="G968" s="6" t="s">
        <v>6893</v>
      </c>
      <c r="H968" s="6" t="s">
        <v>8007</v>
      </c>
    </row>
    <row r="969" customFormat="false" ht="15" hidden="false" customHeight="true" outlineLevel="0" collapsed="false">
      <c r="A969" s="6" t="s">
        <v>2406</v>
      </c>
      <c r="B969" s="6" t="s">
        <v>7998</v>
      </c>
      <c r="C969" s="28" t="n">
        <v>0</v>
      </c>
      <c r="D969" s="6" t="n">
        <v>17</v>
      </c>
      <c r="E969" s="29"/>
      <c r="F969" s="6"/>
      <c r="G969" s="6" t="n">
        <v>5</v>
      </c>
      <c r="H969" s="6" t="s">
        <v>8007</v>
      </c>
    </row>
    <row r="970" customFormat="false" ht="15" hidden="false" customHeight="true" outlineLevel="0" collapsed="false">
      <c r="A970" s="6" t="s">
        <v>2424</v>
      </c>
      <c r="B970" s="6" t="s">
        <v>7998</v>
      </c>
      <c r="C970" s="28" t="n">
        <v>0</v>
      </c>
      <c r="D970" s="6" t="n">
        <v>14</v>
      </c>
      <c r="E970" s="29"/>
      <c r="F970" s="6"/>
      <c r="G970" s="6" t="n">
        <v>5</v>
      </c>
      <c r="H970" s="6" t="s">
        <v>8007</v>
      </c>
    </row>
    <row r="971" customFormat="false" ht="15" hidden="false" customHeight="true" outlineLevel="0" collapsed="false">
      <c r="A971" s="6" t="s">
        <v>6496</v>
      </c>
      <c r="B971" s="6" t="s">
        <v>8000</v>
      </c>
      <c r="C971" s="28" t="n">
        <v>0</v>
      </c>
      <c r="D971" s="6" t="n">
        <v>22</v>
      </c>
      <c r="E971" s="29" t="n">
        <v>0</v>
      </c>
      <c r="F971" s="6" t="n">
        <v>0</v>
      </c>
      <c r="G971" s="6" t="n">
        <v>1</v>
      </c>
      <c r="H971" s="6"/>
    </row>
    <row r="972" customFormat="false" ht="15" hidden="false" customHeight="true" outlineLevel="0" collapsed="false">
      <c r="A972" s="6" t="s">
        <v>1987</v>
      </c>
      <c r="B972" s="6" t="s">
        <v>7997</v>
      </c>
      <c r="C972" s="28" t="n">
        <v>0</v>
      </c>
      <c r="D972" s="6" t="n">
        <v>13</v>
      </c>
      <c r="E972" s="29"/>
      <c r="F972" s="6"/>
      <c r="G972" s="6" t="n">
        <v>5</v>
      </c>
      <c r="H972" s="6" t="s">
        <v>8007</v>
      </c>
    </row>
    <row r="973" customFormat="false" ht="15" hidden="false" customHeight="true" outlineLevel="0" collapsed="false">
      <c r="A973" s="6" t="s">
        <v>2086</v>
      </c>
      <c r="B973" s="6" t="s">
        <v>8004</v>
      </c>
      <c r="C973" s="28" t="n">
        <v>0</v>
      </c>
      <c r="D973" s="6" t="n">
        <v>12</v>
      </c>
      <c r="E973" s="29"/>
      <c r="F973" s="6"/>
      <c r="G973" s="6" t="n">
        <v>5</v>
      </c>
      <c r="H973" s="6" t="s">
        <v>8007</v>
      </c>
    </row>
    <row r="974" customFormat="false" ht="15" hidden="false" customHeight="true" outlineLevel="0" collapsed="false">
      <c r="A974" s="6" t="s">
        <v>6827</v>
      </c>
      <c r="B974" s="6" t="s">
        <v>7998</v>
      </c>
      <c r="C974" s="28" t="n">
        <v>0</v>
      </c>
      <c r="D974" s="6" t="n">
        <v>6</v>
      </c>
      <c r="E974" s="29" t="n">
        <v>0</v>
      </c>
      <c r="F974" s="6" t="n">
        <v>0</v>
      </c>
      <c r="G974" s="6" t="n">
        <v>3</v>
      </c>
      <c r="H974" s="6"/>
    </row>
    <row r="975" customFormat="false" ht="15" hidden="false" customHeight="true" outlineLevel="0" collapsed="false">
      <c r="A975" s="6" t="s">
        <v>2232</v>
      </c>
      <c r="B975" s="6" t="s">
        <v>7997</v>
      </c>
      <c r="C975" s="28" t="n">
        <v>0</v>
      </c>
      <c r="D975" s="6" t="n">
        <v>14</v>
      </c>
      <c r="E975" s="29"/>
      <c r="F975" s="6"/>
      <c r="G975" s="6" t="n">
        <v>5</v>
      </c>
      <c r="H975" s="6" t="s">
        <v>8007</v>
      </c>
    </row>
    <row r="976" customFormat="false" ht="15" hidden="false" customHeight="true" outlineLevel="0" collapsed="false">
      <c r="A976" s="6" t="s">
        <v>1995</v>
      </c>
      <c r="B976" s="6" t="s">
        <v>8004</v>
      </c>
      <c r="C976" s="28" t="n">
        <v>0</v>
      </c>
      <c r="D976" s="6" t="n">
        <v>13</v>
      </c>
      <c r="E976" s="29"/>
      <c r="F976" s="6"/>
      <c r="G976" s="6" t="n">
        <v>5</v>
      </c>
      <c r="H976" s="6" t="s">
        <v>8007</v>
      </c>
    </row>
    <row r="977" customFormat="false" ht="15" hidden="false" customHeight="true" outlineLevel="0" collapsed="false">
      <c r="A977" s="6" t="s">
        <v>6828</v>
      </c>
      <c r="B977" s="6" t="s">
        <v>8004</v>
      </c>
      <c r="C977" s="28" t="n">
        <v>0</v>
      </c>
      <c r="D977" s="6" t="n">
        <v>23</v>
      </c>
      <c r="E977" s="29"/>
      <c r="F977" s="6"/>
      <c r="G977" s="6" t="n">
        <v>3</v>
      </c>
      <c r="H977" s="6" t="s">
        <v>8007</v>
      </c>
    </row>
    <row r="978" customFormat="false" ht="15" hidden="false" customHeight="true" outlineLevel="0" collapsed="false">
      <c r="A978" s="6" t="s">
        <v>6497</v>
      </c>
      <c r="B978" s="6" t="s">
        <v>8004</v>
      </c>
      <c r="C978" s="28" t="n">
        <v>0</v>
      </c>
      <c r="D978" s="6" t="n">
        <v>16</v>
      </c>
      <c r="E978" s="29"/>
      <c r="F978" s="6"/>
      <c r="G978" s="6" t="n">
        <v>1</v>
      </c>
      <c r="H978" s="6" t="s">
        <v>8007</v>
      </c>
    </row>
    <row r="979" customFormat="false" ht="15" hidden="false" customHeight="true" outlineLevel="0" collapsed="false">
      <c r="A979" s="6" t="s">
        <v>2225</v>
      </c>
      <c r="B979" s="6" t="s">
        <v>7998</v>
      </c>
      <c r="C979" s="28" t="n">
        <v>0</v>
      </c>
      <c r="D979" s="6" t="n">
        <v>22</v>
      </c>
      <c r="E979" s="29"/>
      <c r="F979" s="6"/>
      <c r="G979" s="6" t="n">
        <v>5</v>
      </c>
      <c r="H979" s="6" t="s">
        <v>8007</v>
      </c>
    </row>
    <row r="980" customFormat="false" ht="15" hidden="false" customHeight="true" outlineLevel="0" collapsed="false">
      <c r="A980" s="6" t="s">
        <v>2172</v>
      </c>
      <c r="B980" s="6" t="s">
        <v>8000</v>
      </c>
      <c r="C980" s="28" t="n">
        <v>0</v>
      </c>
      <c r="D980" s="6" t="n">
        <v>13</v>
      </c>
      <c r="E980" s="29"/>
      <c r="F980" s="6"/>
      <c r="G980" s="6" t="n">
        <v>5</v>
      </c>
      <c r="H980" s="6" t="s">
        <v>8007</v>
      </c>
    </row>
    <row r="981" customFormat="false" ht="15" hidden="false" customHeight="true" outlineLevel="0" collapsed="false">
      <c r="A981" s="6" t="s">
        <v>7197</v>
      </c>
      <c r="B981" s="6" t="s">
        <v>8002</v>
      </c>
      <c r="C981" s="28" t="n">
        <v>0</v>
      </c>
      <c r="D981" s="6" t="n">
        <v>35</v>
      </c>
      <c r="E981" s="29"/>
      <c r="F981" s="6"/>
      <c r="G981" s="6" t="s">
        <v>6893</v>
      </c>
      <c r="H981" s="6" t="s">
        <v>8007</v>
      </c>
    </row>
    <row r="982" customFormat="false" ht="15" hidden="false" customHeight="true" outlineLevel="0" collapsed="false">
      <c r="A982" s="6" t="s">
        <v>2010</v>
      </c>
      <c r="B982" s="6" t="s">
        <v>7997</v>
      </c>
      <c r="C982" s="28" t="n">
        <v>0</v>
      </c>
      <c r="D982" s="6" t="n">
        <v>12</v>
      </c>
      <c r="E982" s="29"/>
      <c r="F982" s="6"/>
      <c r="G982" s="6" t="n">
        <v>5</v>
      </c>
      <c r="H982" s="6" t="s">
        <v>8007</v>
      </c>
    </row>
    <row r="983" customFormat="false" ht="15" hidden="false" customHeight="true" outlineLevel="0" collapsed="false">
      <c r="A983" s="6" t="s">
        <v>2179</v>
      </c>
      <c r="B983" s="6" t="s">
        <v>8000</v>
      </c>
      <c r="C983" s="28" t="n">
        <v>0</v>
      </c>
      <c r="D983" s="6" t="n">
        <v>15</v>
      </c>
      <c r="E983" s="29"/>
      <c r="F983" s="6"/>
      <c r="G983" s="6" t="n">
        <v>5</v>
      </c>
      <c r="H983" s="6" t="s">
        <v>8007</v>
      </c>
    </row>
    <row r="984" customFormat="false" ht="15" hidden="false" customHeight="true" outlineLevel="0" collapsed="false">
      <c r="A984" s="6" t="s">
        <v>2017</v>
      </c>
      <c r="B984" s="6" t="s">
        <v>8004</v>
      </c>
      <c r="C984" s="28" t="n">
        <v>0</v>
      </c>
      <c r="D984" s="6" t="n">
        <v>13</v>
      </c>
      <c r="E984" s="29" t="n">
        <v>0</v>
      </c>
      <c r="F984" s="6" t="n">
        <v>0</v>
      </c>
      <c r="G984" s="6" t="n">
        <v>5</v>
      </c>
      <c r="H984" s="6"/>
    </row>
    <row r="985" customFormat="false" ht="15" hidden="false" customHeight="true" outlineLevel="0" collapsed="false">
      <c r="A985" s="6" t="s">
        <v>977</v>
      </c>
      <c r="B985" s="6" t="s">
        <v>8006</v>
      </c>
      <c r="C985" s="28" t="n">
        <v>0</v>
      </c>
      <c r="D985" s="6" t="n">
        <v>3</v>
      </c>
      <c r="E985" s="29" t="n">
        <v>0</v>
      </c>
      <c r="F985" s="6" t="n">
        <v>0</v>
      </c>
      <c r="G985" s="6" t="s">
        <v>6893</v>
      </c>
      <c r="H985" s="6"/>
    </row>
    <row r="986" customFormat="false" ht="15" hidden="false" customHeight="true" outlineLevel="0" collapsed="false">
      <c r="A986" s="6" t="s">
        <v>2131</v>
      </c>
      <c r="B986" s="6" t="s">
        <v>7997</v>
      </c>
      <c r="C986" s="28" t="n">
        <v>0</v>
      </c>
      <c r="D986" s="6" t="n">
        <v>12</v>
      </c>
      <c r="E986" s="29"/>
      <c r="F986" s="6"/>
      <c r="G986" s="6" t="n">
        <v>5</v>
      </c>
      <c r="H986" s="6" t="s">
        <v>8007</v>
      </c>
    </row>
    <row r="987" customFormat="false" ht="15" hidden="false" customHeight="true" outlineLevel="0" collapsed="false">
      <c r="A987" s="6" t="s">
        <v>2376</v>
      </c>
      <c r="B987" s="6" t="s">
        <v>7998</v>
      </c>
      <c r="C987" s="28" t="n">
        <v>0</v>
      </c>
      <c r="D987" s="6" t="n">
        <v>14</v>
      </c>
      <c r="E987" s="29"/>
      <c r="F987" s="6"/>
      <c r="G987" s="6" t="n">
        <v>5</v>
      </c>
      <c r="H987" s="6" t="s">
        <v>8007</v>
      </c>
    </row>
    <row r="988" customFormat="false" ht="15" hidden="false" customHeight="true" outlineLevel="0" collapsed="false">
      <c r="A988" s="6" t="s">
        <v>2125</v>
      </c>
      <c r="B988" s="6" t="s">
        <v>7997</v>
      </c>
      <c r="C988" s="28" t="n">
        <v>0</v>
      </c>
      <c r="D988" s="6" t="n">
        <v>22</v>
      </c>
      <c r="E988" s="29"/>
      <c r="F988" s="6"/>
      <c r="G988" s="6" t="n">
        <v>5</v>
      </c>
      <c r="H988" s="6" t="s">
        <v>8007</v>
      </c>
    </row>
    <row r="989" customFormat="false" ht="15" hidden="false" customHeight="true" outlineLevel="0" collapsed="false">
      <c r="A989" s="6" t="s">
        <v>6829</v>
      </c>
      <c r="B989" s="6" t="s">
        <v>8004</v>
      </c>
      <c r="C989" s="28" t="n">
        <v>0</v>
      </c>
      <c r="D989" s="6" t="n">
        <v>21</v>
      </c>
      <c r="E989" s="29"/>
      <c r="F989" s="6"/>
      <c r="G989" s="6" t="n">
        <v>3</v>
      </c>
      <c r="H989" s="6" t="s">
        <v>8007</v>
      </c>
    </row>
    <row r="990" customFormat="false" ht="15" hidden="false" customHeight="true" outlineLevel="0" collapsed="false">
      <c r="A990" s="6" t="s">
        <v>2308</v>
      </c>
      <c r="B990" s="6" t="s">
        <v>8004</v>
      </c>
      <c r="C990" s="28" t="n">
        <v>0</v>
      </c>
      <c r="D990" s="6" t="n">
        <v>23</v>
      </c>
      <c r="E990" s="29"/>
      <c r="F990" s="6"/>
      <c r="G990" s="6" t="n">
        <v>2</v>
      </c>
      <c r="H990" s="6" t="s">
        <v>8007</v>
      </c>
    </row>
    <row r="991" customFormat="false" ht="15" hidden="false" customHeight="true" outlineLevel="0" collapsed="false">
      <c r="A991" s="6" t="s">
        <v>2304</v>
      </c>
      <c r="B991" s="6" t="s">
        <v>7997</v>
      </c>
      <c r="C991" s="28" t="n">
        <v>0</v>
      </c>
      <c r="D991" s="6" t="n">
        <v>14</v>
      </c>
      <c r="E991" s="29"/>
      <c r="F991" s="6"/>
      <c r="G991" s="6" t="n">
        <v>5</v>
      </c>
      <c r="H991" s="6" t="s">
        <v>8007</v>
      </c>
    </row>
    <row r="992" customFormat="false" ht="15" hidden="false" customHeight="true" outlineLevel="0" collapsed="false">
      <c r="A992" s="6" t="s">
        <v>2245</v>
      </c>
      <c r="B992" s="6" t="s">
        <v>8004</v>
      </c>
      <c r="C992" s="28" t="n">
        <v>0</v>
      </c>
      <c r="D992" s="6" t="n">
        <v>29</v>
      </c>
      <c r="E992" s="29"/>
      <c r="F992" s="6"/>
      <c r="G992" s="6" t="n">
        <v>5</v>
      </c>
      <c r="H992" s="6" t="s">
        <v>8007</v>
      </c>
    </row>
    <row r="993" customFormat="false" ht="15" hidden="false" customHeight="true" outlineLevel="0" collapsed="false">
      <c r="A993" s="6" t="s">
        <v>7201</v>
      </c>
      <c r="B993" s="6" t="s">
        <v>8001</v>
      </c>
      <c r="C993" s="28" t="n">
        <v>0</v>
      </c>
      <c r="D993" s="6" t="n">
        <v>29</v>
      </c>
      <c r="E993" s="29"/>
      <c r="F993" s="6"/>
      <c r="G993" s="6" t="s">
        <v>6893</v>
      </c>
      <c r="H993" s="6" t="s">
        <v>8007</v>
      </c>
    </row>
    <row r="994" customFormat="false" ht="15" hidden="false" customHeight="true" outlineLevel="0" collapsed="false">
      <c r="A994" s="6" t="s">
        <v>2118</v>
      </c>
      <c r="B994" s="6" t="s">
        <v>8000</v>
      </c>
      <c r="C994" s="28" t="n">
        <v>0</v>
      </c>
      <c r="D994" s="6" t="n">
        <v>12</v>
      </c>
      <c r="E994" s="29"/>
      <c r="F994" s="6"/>
      <c r="G994" s="6" t="n">
        <v>5</v>
      </c>
      <c r="H994" s="6" t="s">
        <v>8007</v>
      </c>
    </row>
    <row r="995" customFormat="false" ht="15" hidden="false" customHeight="true" outlineLevel="0" collapsed="false">
      <c r="A995" s="6" t="s">
        <v>2065</v>
      </c>
      <c r="B995" s="6" t="s">
        <v>8004</v>
      </c>
      <c r="C995" s="28" t="n">
        <v>0</v>
      </c>
      <c r="D995" s="6" t="n">
        <v>20</v>
      </c>
      <c r="E995" s="29"/>
      <c r="F995" s="6"/>
      <c r="G995" s="6" t="n">
        <v>5</v>
      </c>
      <c r="H995" s="6" t="s">
        <v>8007</v>
      </c>
    </row>
    <row r="996" customFormat="false" ht="15" hidden="false" customHeight="true" outlineLevel="0" collapsed="false">
      <c r="A996" s="6" t="s">
        <v>2272</v>
      </c>
      <c r="B996" s="6" t="s">
        <v>7997</v>
      </c>
      <c r="C996" s="28" t="n">
        <v>0</v>
      </c>
      <c r="D996" s="6" t="n">
        <v>6</v>
      </c>
      <c r="E996" s="29" t="n">
        <v>0</v>
      </c>
      <c r="F996" s="6" t="n">
        <v>0</v>
      </c>
      <c r="G996" s="6" t="n">
        <v>5</v>
      </c>
      <c r="H996" s="6"/>
    </row>
    <row r="997" customFormat="false" ht="15" hidden="false" customHeight="true" outlineLevel="0" collapsed="false">
      <c r="A997" s="6" t="s">
        <v>7204</v>
      </c>
      <c r="B997" s="6" t="s">
        <v>8001</v>
      </c>
      <c r="C997" s="28" t="n">
        <v>0</v>
      </c>
      <c r="D997" s="6" t="n">
        <v>7</v>
      </c>
      <c r="E997" s="29" t="n">
        <v>0</v>
      </c>
      <c r="F997" s="6" t="n">
        <v>0</v>
      </c>
      <c r="G997" s="6" t="s">
        <v>6893</v>
      </c>
      <c r="H997" s="6"/>
    </row>
    <row r="998" customFormat="false" ht="15" hidden="false" customHeight="true" outlineLevel="0" collapsed="false">
      <c r="A998" s="6" t="s">
        <v>2078</v>
      </c>
      <c r="B998" s="6" t="s">
        <v>8003</v>
      </c>
      <c r="C998" s="28" t="n">
        <v>0</v>
      </c>
      <c r="D998" s="6" t="n">
        <v>12</v>
      </c>
      <c r="E998" s="29"/>
      <c r="F998" s="6"/>
      <c r="G998" s="6" t="n">
        <v>5</v>
      </c>
      <c r="H998" s="6" t="s">
        <v>8007</v>
      </c>
    </row>
    <row r="999" customFormat="false" ht="15" hidden="false" customHeight="true" outlineLevel="0" collapsed="false">
      <c r="A999" s="6" t="s">
        <v>2071</v>
      </c>
      <c r="B999" s="6" t="s">
        <v>8004</v>
      </c>
      <c r="C999" s="28" t="n">
        <v>0</v>
      </c>
      <c r="D999" s="6" t="n">
        <v>13</v>
      </c>
      <c r="E999" s="29"/>
      <c r="F999" s="6"/>
      <c r="G999" s="6" t="n">
        <v>5</v>
      </c>
      <c r="H999" s="6" t="s">
        <v>8007</v>
      </c>
    </row>
    <row r="1000" customFormat="false" ht="15" hidden="false" customHeight="true" outlineLevel="0" collapsed="false">
      <c r="A1000" s="6" t="s">
        <v>6732</v>
      </c>
      <c r="B1000" s="6" t="s">
        <v>7997</v>
      </c>
      <c r="C1000" s="28" t="n">
        <v>0</v>
      </c>
      <c r="D1000" s="6" t="n">
        <v>18</v>
      </c>
      <c r="E1000" s="29"/>
      <c r="F1000" s="6"/>
      <c r="G1000" s="6" t="n">
        <v>2</v>
      </c>
      <c r="H1000" s="6" t="s">
        <v>8007</v>
      </c>
    </row>
    <row r="1001" customFormat="false" ht="15" hidden="false" customHeight="true" outlineLevel="0" collapsed="false">
      <c r="A1001" s="6" t="s">
        <v>6498</v>
      </c>
      <c r="B1001" s="6" t="s">
        <v>8000</v>
      </c>
      <c r="C1001" s="28" t="n">
        <v>0</v>
      </c>
      <c r="D1001" s="6" t="n">
        <v>30</v>
      </c>
      <c r="E1001" s="29"/>
      <c r="F1001" s="6"/>
      <c r="G1001" s="6" t="n">
        <v>1</v>
      </c>
      <c r="H1001" s="6" t="s">
        <v>8007</v>
      </c>
    </row>
    <row r="1002" customFormat="false" ht="15" hidden="false" customHeight="true" outlineLevel="0" collapsed="false">
      <c r="A1002" s="6" t="s">
        <v>7209</v>
      </c>
      <c r="B1002" s="6" t="s">
        <v>8001</v>
      </c>
      <c r="C1002" s="28" t="n">
        <v>0</v>
      </c>
      <c r="D1002" s="6" t="n">
        <v>21</v>
      </c>
      <c r="E1002" s="29"/>
      <c r="F1002" s="6"/>
      <c r="G1002" s="6" t="s">
        <v>6893</v>
      </c>
      <c r="H1002" s="6" t="s">
        <v>8007</v>
      </c>
    </row>
    <row r="1003" customFormat="false" ht="15" hidden="false" customHeight="true" outlineLevel="0" collapsed="false">
      <c r="A1003" s="6" t="s">
        <v>2058</v>
      </c>
      <c r="B1003" s="6" t="s">
        <v>8004</v>
      </c>
      <c r="C1003" s="28" t="n">
        <v>0</v>
      </c>
      <c r="D1003" s="6" t="n">
        <v>19</v>
      </c>
      <c r="E1003" s="29"/>
      <c r="F1003" s="6"/>
      <c r="G1003" s="6" t="n">
        <v>5</v>
      </c>
      <c r="H1003" s="6" t="s">
        <v>8007</v>
      </c>
    </row>
    <row r="1004" customFormat="false" ht="15" hidden="false" customHeight="true" outlineLevel="0" collapsed="false">
      <c r="A1004" s="6" t="s">
        <v>7210</v>
      </c>
      <c r="B1004" s="6" t="s">
        <v>8006</v>
      </c>
      <c r="C1004" s="28" t="n">
        <v>0</v>
      </c>
      <c r="D1004" s="6" t="n">
        <v>22</v>
      </c>
      <c r="E1004" s="29"/>
      <c r="F1004" s="6"/>
      <c r="G1004" s="6" t="s">
        <v>6893</v>
      </c>
      <c r="H1004" s="6" t="s">
        <v>8007</v>
      </c>
    </row>
    <row r="1005" customFormat="false" ht="15" hidden="false" customHeight="true" outlineLevel="0" collapsed="false">
      <c r="A1005" s="6" t="s">
        <v>2311</v>
      </c>
      <c r="B1005" s="6" t="s">
        <v>7998</v>
      </c>
      <c r="C1005" s="28" t="n">
        <v>0</v>
      </c>
      <c r="D1005" s="6" t="n">
        <v>28</v>
      </c>
      <c r="E1005" s="29"/>
      <c r="F1005" s="6"/>
      <c r="G1005" s="6" t="n">
        <v>5</v>
      </c>
      <c r="H1005" s="6" t="s">
        <v>8007</v>
      </c>
    </row>
    <row r="1006" customFormat="false" ht="15" hidden="false" customHeight="true" outlineLevel="0" collapsed="false">
      <c r="A1006" s="6" t="s">
        <v>2037</v>
      </c>
      <c r="B1006" s="6" t="s">
        <v>7997</v>
      </c>
      <c r="C1006" s="28" t="n">
        <v>0</v>
      </c>
      <c r="D1006" s="6" t="n">
        <v>15</v>
      </c>
      <c r="E1006" s="29"/>
      <c r="F1006" s="6"/>
      <c r="G1006" s="6" t="n">
        <v>5</v>
      </c>
      <c r="H1006" s="6" t="s">
        <v>8007</v>
      </c>
    </row>
    <row r="1007" customFormat="false" ht="15" hidden="false" customHeight="true" outlineLevel="0" collapsed="false">
      <c r="A1007" s="6" t="s">
        <v>998</v>
      </c>
      <c r="B1007" s="6" t="s">
        <v>8006</v>
      </c>
      <c r="C1007" s="28" t="n">
        <v>0</v>
      </c>
      <c r="D1007" s="6" t="n">
        <v>25</v>
      </c>
      <c r="E1007" s="29"/>
      <c r="F1007" s="6"/>
      <c r="G1007" s="6" t="s">
        <v>6893</v>
      </c>
      <c r="H1007" s="6" t="s">
        <v>8007</v>
      </c>
    </row>
    <row r="1008" customFormat="false" ht="15" hidden="false" customHeight="true" outlineLevel="0" collapsed="false">
      <c r="A1008" s="6" t="s">
        <v>2044</v>
      </c>
      <c r="B1008" s="6" t="s">
        <v>8004</v>
      </c>
      <c r="C1008" s="28" t="n">
        <v>0</v>
      </c>
      <c r="D1008" s="6" t="n">
        <v>16</v>
      </c>
      <c r="E1008" s="29"/>
      <c r="F1008" s="6"/>
      <c r="G1008" s="6" t="n">
        <v>5</v>
      </c>
      <c r="H1008" s="6" t="s">
        <v>8007</v>
      </c>
    </row>
    <row r="1009" customFormat="false" ht="15" hidden="false" customHeight="true" outlineLevel="0" collapsed="false">
      <c r="A1009" s="6" t="s">
        <v>1005</v>
      </c>
      <c r="B1009" s="6" t="s">
        <v>8001</v>
      </c>
      <c r="C1009" s="28" t="n">
        <v>0</v>
      </c>
      <c r="D1009" s="6" t="n">
        <v>28</v>
      </c>
      <c r="E1009" s="29"/>
      <c r="F1009" s="6"/>
      <c r="G1009" s="6" t="s">
        <v>6893</v>
      </c>
      <c r="H1009" s="6" t="s">
        <v>8007</v>
      </c>
    </row>
    <row r="1010" customFormat="false" ht="15" hidden="false" customHeight="true" outlineLevel="0" collapsed="false">
      <c r="A1010" s="6" t="s">
        <v>3552</v>
      </c>
      <c r="B1010" s="6" t="s">
        <v>8004</v>
      </c>
      <c r="C1010" s="28" t="n">
        <v>0</v>
      </c>
      <c r="D1010" s="6" t="n">
        <v>24</v>
      </c>
      <c r="E1010" s="29"/>
      <c r="F1010" s="6"/>
      <c r="G1010" s="6" t="n">
        <v>5</v>
      </c>
      <c r="H1010" s="6" t="s">
        <v>8007</v>
      </c>
    </row>
    <row r="1011" customFormat="false" ht="15" hidden="false" customHeight="true" outlineLevel="0" collapsed="false">
      <c r="A1011" s="6" t="s">
        <v>3595</v>
      </c>
      <c r="B1011" s="6" t="s">
        <v>7997</v>
      </c>
      <c r="C1011" s="28" t="n">
        <v>0</v>
      </c>
      <c r="D1011" s="6" t="n">
        <v>14</v>
      </c>
      <c r="E1011" s="29"/>
      <c r="F1011" s="6"/>
      <c r="G1011" s="6" t="n">
        <v>5</v>
      </c>
      <c r="H1011" s="6" t="s">
        <v>8007</v>
      </c>
    </row>
    <row r="1012" customFormat="false" ht="15" hidden="false" customHeight="true" outlineLevel="0" collapsed="false">
      <c r="A1012" s="6" t="s">
        <v>3573</v>
      </c>
      <c r="B1012" s="6" t="s">
        <v>7998</v>
      </c>
      <c r="C1012" s="28" t="n">
        <v>0</v>
      </c>
      <c r="D1012" s="6" t="n">
        <v>19</v>
      </c>
      <c r="E1012" s="29"/>
      <c r="F1012" s="6"/>
      <c r="G1012" s="6" t="s">
        <v>6868</v>
      </c>
      <c r="H1012" s="6" t="s">
        <v>8007</v>
      </c>
    </row>
    <row r="1013" customFormat="false" ht="15" hidden="false" customHeight="true" outlineLevel="0" collapsed="false">
      <c r="A1013" s="6" t="s">
        <v>3583</v>
      </c>
      <c r="B1013" s="6" t="s">
        <v>7998</v>
      </c>
      <c r="C1013" s="28" t="n">
        <v>0</v>
      </c>
      <c r="D1013" s="6" t="n">
        <v>10</v>
      </c>
      <c r="E1013" s="29" t="n">
        <v>0</v>
      </c>
      <c r="F1013" s="6" t="n">
        <v>0</v>
      </c>
      <c r="G1013" s="6" t="s">
        <v>6867</v>
      </c>
      <c r="H1013" s="6"/>
    </row>
    <row r="1014" customFormat="false" ht="15" hidden="false" customHeight="true" outlineLevel="0" collapsed="false">
      <c r="A1014" s="6" t="s">
        <v>3680</v>
      </c>
      <c r="B1014" s="6" t="s">
        <v>7998</v>
      </c>
      <c r="C1014" s="28" t="n">
        <v>0</v>
      </c>
      <c r="D1014" s="6" t="n">
        <v>10</v>
      </c>
      <c r="E1014" s="29" t="n">
        <v>0</v>
      </c>
      <c r="F1014" s="6" t="n">
        <v>0</v>
      </c>
      <c r="G1014" s="6" t="s">
        <v>6867</v>
      </c>
      <c r="H1014" s="6"/>
    </row>
    <row r="1015" customFormat="false" ht="15" hidden="false" customHeight="true" outlineLevel="0" collapsed="false">
      <c r="A1015" s="6" t="s">
        <v>3723</v>
      </c>
      <c r="B1015" s="6" t="s">
        <v>7998</v>
      </c>
      <c r="C1015" s="28" t="n">
        <v>0</v>
      </c>
      <c r="D1015" s="6" t="n">
        <v>16</v>
      </c>
      <c r="E1015" s="29"/>
      <c r="F1015" s="6"/>
      <c r="G1015" s="6" t="s">
        <v>6868</v>
      </c>
      <c r="H1015" s="6" t="s">
        <v>8007</v>
      </c>
    </row>
    <row r="1016" customFormat="false" ht="15" hidden="false" customHeight="true" outlineLevel="0" collapsed="false">
      <c r="A1016" s="6" t="s">
        <v>3668</v>
      </c>
      <c r="B1016" s="6" t="s">
        <v>7998</v>
      </c>
      <c r="C1016" s="28" t="n">
        <v>0</v>
      </c>
      <c r="D1016" s="6" t="n">
        <v>11</v>
      </c>
      <c r="E1016" s="29" t="n">
        <v>0</v>
      </c>
      <c r="F1016" s="6" t="n">
        <v>1</v>
      </c>
      <c r="G1016" s="6" t="n">
        <v>5</v>
      </c>
      <c r="H1016" s="6"/>
    </row>
    <row r="1017" customFormat="false" ht="15" hidden="false" customHeight="true" outlineLevel="0" collapsed="false">
      <c r="A1017" s="6" t="s">
        <v>3658</v>
      </c>
      <c r="B1017" s="6" t="s">
        <v>7998</v>
      </c>
      <c r="C1017" s="28" t="n">
        <v>0</v>
      </c>
      <c r="D1017" s="6" t="n">
        <v>18</v>
      </c>
      <c r="E1017" s="29"/>
      <c r="F1017" s="6"/>
      <c r="G1017" s="6" t="s">
        <v>6868</v>
      </c>
      <c r="H1017" s="6" t="s">
        <v>8007</v>
      </c>
    </row>
    <row r="1018" customFormat="false" ht="15" hidden="false" customHeight="true" outlineLevel="0" collapsed="false">
      <c r="A1018" s="6" t="s">
        <v>3898</v>
      </c>
      <c r="B1018" s="6" t="s">
        <v>7998</v>
      </c>
      <c r="C1018" s="28" t="n">
        <v>0</v>
      </c>
      <c r="D1018" s="6" t="n">
        <v>23</v>
      </c>
      <c r="E1018" s="29"/>
      <c r="F1018" s="6"/>
      <c r="G1018" s="6" t="s">
        <v>6867</v>
      </c>
      <c r="H1018" s="6" t="s">
        <v>8007</v>
      </c>
    </row>
    <row r="1019" customFormat="false" ht="15" hidden="false" customHeight="true" outlineLevel="0" collapsed="false">
      <c r="A1019" s="6" t="s">
        <v>3976</v>
      </c>
      <c r="B1019" s="6" t="s">
        <v>7997</v>
      </c>
      <c r="C1019" s="28" t="n">
        <v>0</v>
      </c>
      <c r="D1019" s="6" t="n">
        <v>9</v>
      </c>
      <c r="E1019" s="29" t="n">
        <v>0</v>
      </c>
      <c r="F1019" s="6" t="n">
        <v>0</v>
      </c>
      <c r="G1019" s="6" t="n">
        <v>5</v>
      </c>
      <c r="H1019" s="6"/>
    </row>
    <row r="1020" customFormat="false" ht="15" hidden="false" customHeight="true" outlineLevel="0" collapsed="false">
      <c r="A1020" s="6" t="s">
        <v>3909</v>
      </c>
      <c r="B1020" s="6" t="s">
        <v>7998</v>
      </c>
      <c r="C1020" s="28" t="n">
        <v>0</v>
      </c>
      <c r="D1020" s="6" t="n">
        <v>12</v>
      </c>
      <c r="E1020" s="29"/>
      <c r="F1020" s="6"/>
      <c r="G1020" s="6" t="n">
        <v>6</v>
      </c>
      <c r="H1020" s="6" t="s">
        <v>8007</v>
      </c>
    </row>
    <row r="1021" customFormat="false" ht="15" hidden="false" customHeight="true" outlineLevel="0" collapsed="false">
      <c r="A1021" s="6" t="s">
        <v>3921</v>
      </c>
      <c r="B1021" s="6" t="s">
        <v>7997</v>
      </c>
      <c r="C1021" s="28" t="n">
        <v>0</v>
      </c>
      <c r="D1021" s="6" t="n">
        <v>17</v>
      </c>
      <c r="E1021" s="29"/>
      <c r="F1021" s="6"/>
      <c r="G1021" s="6" t="n">
        <v>6</v>
      </c>
      <c r="H1021" s="6" t="s">
        <v>8007</v>
      </c>
    </row>
    <row r="1022" customFormat="false" ht="15" hidden="false" customHeight="true" outlineLevel="0" collapsed="false">
      <c r="A1022" s="6" t="s">
        <v>6577</v>
      </c>
      <c r="B1022" s="6" t="s">
        <v>7997</v>
      </c>
      <c r="C1022" s="28" t="n">
        <v>0</v>
      </c>
      <c r="D1022" s="6" t="n">
        <v>24</v>
      </c>
      <c r="E1022" s="29" t="n">
        <v>0.3</v>
      </c>
      <c r="F1022" s="6" t="n">
        <v>1</v>
      </c>
      <c r="G1022" s="6" t="n">
        <v>1</v>
      </c>
      <c r="H1022" s="6"/>
    </row>
    <row r="1023" customFormat="false" ht="15" hidden="false" customHeight="true" outlineLevel="0" collapsed="false">
      <c r="A1023" s="6" t="s">
        <v>4009</v>
      </c>
      <c r="B1023" s="6" t="s">
        <v>7998</v>
      </c>
      <c r="C1023" s="28" t="n">
        <v>0</v>
      </c>
      <c r="D1023" s="6" t="n">
        <v>27</v>
      </c>
      <c r="E1023" s="29"/>
      <c r="F1023" s="6"/>
      <c r="G1023" s="6" t="s">
        <v>6868</v>
      </c>
      <c r="H1023" s="6" t="s">
        <v>8007</v>
      </c>
    </row>
    <row r="1024" customFormat="false" ht="15" hidden="false" customHeight="true" outlineLevel="0" collapsed="false">
      <c r="A1024" s="6" t="s">
        <v>6579</v>
      </c>
      <c r="B1024" s="6" t="s">
        <v>7998</v>
      </c>
      <c r="C1024" s="28" t="n">
        <v>0</v>
      </c>
      <c r="D1024" s="6" t="n">
        <v>15</v>
      </c>
      <c r="E1024" s="29" t="n">
        <v>0.44</v>
      </c>
      <c r="F1024" s="6" t="n">
        <v>1</v>
      </c>
      <c r="G1024" s="6" t="n">
        <v>1</v>
      </c>
      <c r="H1024" s="6"/>
    </row>
    <row r="1025" customFormat="false" ht="15" hidden="false" customHeight="true" outlineLevel="0" collapsed="false">
      <c r="A1025" s="6" t="s">
        <v>4044</v>
      </c>
      <c r="B1025" s="6" t="s">
        <v>8001</v>
      </c>
      <c r="C1025" s="28" t="n">
        <v>0</v>
      </c>
      <c r="D1025" s="6" t="n">
        <v>14</v>
      </c>
      <c r="E1025" s="29"/>
      <c r="F1025" s="6"/>
      <c r="G1025" s="6" t="s">
        <v>6868</v>
      </c>
      <c r="H1025" s="6" t="s">
        <v>8007</v>
      </c>
    </row>
    <row r="1026" customFormat="false" ht="15" hidden="false" customHeight="true" outlineLevel="0" collapsed="false">
      <c r="A1026" s="6" t="s">
        <v>4057</v>
      </c>
      <c r="B1026" s="6" t="s">
        <v>7999</v>
      </c>
      <c r="C1026" s="28" t="n">
        <v>0</v>
      </c>
      <c r="D1026" s="6" t="n">
        <v>10</v>
      </c>
      <c r="E1026" s="29" t="n">
        <v>0</v>
      </c>
      <c r="F1026" s="6" t="n">
        <v>0</v>
      </c>
      <c r="G1026" s="6" t="s">
        <v>6867</v>
      </c>
      <c r="H1026" s="6"/>
    </row>
    <row r="1027" customFormat="false" ht="15" hidden="false" customHeight="true" outlineLevel="0" collapsed="false">
      <c r="A1027" s="6" t="s">
        <v>4069</v>
      </c>
      <c r="B1027" s="6" t="s">
        <v>7998</v>
      </c>
      <c r="C1027" s="28" t="n">
        <v>0</v>
      </c>
      <c r="D1027" s="6" t="n">
        <v>13</v>
      </c>
      <c r="E1027" s="29"/>
      <c r="F1027" s="6"/>
      <c r="G1027" s="6" t="n">
        <v>6</v>
      </c>
      <c r="H1027" s="6" t="s">
        <v>8007</v>
      </c>
    </row>
    <row r="1028" customFormat="false" ht="15" hidden="false" customHeight="true" outlineLevel="0" collapsed="false">
      <c r="A1028" s="6" t="s">
        <v>6585</v>
      </c>
      <c r="B1028" s="6" t="s">
        <v>7998</v>
      </c>
      <c r="C1028" s="28" t="n">
        <v>0</v>
      </c>
      <c r="D1028" s="6" t="n">
        <v>20</v>
      </c>
      <c r="E1028" s="29"/>
      <c r="F1028" s="6"/>
      <c r="G1028" s="6" t="n">
        <v>1</v>
      </c>
      <c r="H1028" s="6" t="s">
        <v>8007</v>
      </c>
    </row>
    <row r="1029" customFormat="false" ht="15" hidden="false" customHeight="true" outlineLevel="0" collapsed="false">
      <c r="A1029" s="6" t="s">
        <v>6735</v>
      </c>
      <c r="B1029" s="6" t="s">
        <v>7998</v>
      </c>
      <c r="C1029" s="28" t="n">
        <v>0</v>
      </c>
      <c r="D1029" s="6" t="n">
        <v>38</v>
      </c>
      <c r="E1029" s="29"/>
      <c r="F1029" s="6"/>
      <c r="G1029" s="6" t="n">
        <v>2</v>
      </c>
      <c r="H1029" s="6" t="s">
        <v>8007</v>
      </c>
    </row>
    <row r="1030" customFormat="false" ht="15" hidden="false" customHeight="true" outlineLevel="0" collapsed="false">
      <c r="A1030" s="6" t="s">
        <v>6737</v>
      </c>
      <c r="B1030" s="6" t="s">
        <v>7999</v>
      </c>
      <c r="C1030" s="28" t="n">
        <v>0</v>
      </c>
      <c r="D1030" s="6" t="n">
        <v>31</v>
      </c>
      <c r="E1030" s="29"/>
      <c r="F1030" s="6"/>
      <c r="G1030" s="6" t="n">
        <v>2</v>
      </c>
      <c r="H1030" s="6" t="s">
        <v>8007</v>
      </c>
    </row>
    <row r="1031" customFormat="false" ht="15" hidden="false" customHeight="true" outlineLevel="0" collapsed="false">
      <c r="A1031" s="6" t="s">
        <v>6740</v>
      </c>
      <c r="B1031" s="6" t="s">
        <v>7998</v>
      </c>
      <c r="C1031" s="28" t="n">
        <v>0</v>
      </c>
      <c r="D1031" s="6" t="n">
        <v>36</v>
      </c>
      <c r="E1031" s="29"/>
      <c r="F1031" s="6"/>
      <c r="G1031" s="6" t="n">
        <v>3</v>
      </c>
      <c r="H1031" s="6" t="s">
        <v>8007</v>
      </c>
    </row>
    <row r="1032" customFormat="false" ht="15" hidden="false" customHeight="true" outlineLevel="0" collapsed="false">
      <c r="A1032" s="6" t="s">
        <v>6586</v>
      </c>
      <c r="B1032" s="6" t="s">
        <v>8001</v>
      </c>
      <c r="C1032" s="28" t="n">
        <v>0</v>
      </c>
      <c r="D1032" s="6" t="n">
        <v>17</v>
      </c>
      <c r="E1032" s="29"/>
      <c r="F1032" s="6"/>
      <c r="G1032" s="6" t="n">
        <v>1</v>
      </c>
      <c r="H1032" s="6" t="s">
        <v>8007</v>
      </c>
    </row>
    <row r="1033" customFormat="false" ht="15" hidden="false" customHeight="true" outlineLevel="0" collapsed="false">
      <c r="A1033" s="6" t="s">
        <v>6589</v>
      </c>
      <c r="B1033" s="6" t="s">
        <v>7998</v>
      </c>
      <c r="C1033" s="28" t="n">
        <v>0</v>
      </c>
      <c r="D1033" s="6" t="n">
        <v>21</v>
      </c>
      <c r="E1033" s="29"/>
      <c r="F1033" s="6"/>
      <c r="G1033" s="6" t="n">
        <v>1</v>
      </c>
      <c r="H1033" s="6" t="s">
        <v>8007</v>
      </c>
    </row>
    <row r="1034" customFormat="false" ht="15" hidden="false" customHeight="true" outlineLevel="0" collapsed="false">
      <c r="A1034" s="6" t="s">
        <v>6591</v>
      </c>
      <c r="B1034" s="6" t="s">
        <v>7998</v>
      </c>
      <c r="C1034" s="28" t="n">
        <v>0</v>
      </c>
      <c r="D1034" s="6" t="n">
        <v>17</v>
      </c>
      <c r="E1034" s="29"/>
      <c r="F1034" s="6"/>
      <c r="G1034" s="6" t="n">
        <v>1</v>
      </c>
      <c r="H1034" s="6" t="s">
        <v>8007</v>
      </c>
    </row>
    <row r="1035" customFormat="false" ht="15" hidden="false" customHeight="true" outlineLevel="0" collapsed="false">
      <c r="A1035" s="6" t="s">
        <v>6594</v>
      </c>
      <c r="B1035" s="6" t="s">
        <v>7999</v>
      </c>
      <c r="C1035" s="28" t="n">
        <v>0</v>
      </c>
      <c r="D1035" s="6" t="n">
        <v>14</v>
      </c>
      <c r="E1035" s="29"/>
      <c r="F1035" s="6"/>
      <c r="G1035" s="6" t="n">
        <v>1</v>
      </c>
      <c r="H1035" s="6" t="s">
        <v>8007</v>
      </c>
    </row>
    <row r="1036" customFormat="false" ht="15" hidden="false" customHeight="true" outlineLevel="0" collapsed="false">
      <c r="A1036" s="6" t="s">
        <v>6595</v>
      </c>
      <c r="B1036" s="6" t="s">
        <v>8001</v>
      </c>
      <c r="C1036" s="28" t="n">
        <v>0</v>
      </c>
      <c r="D1036" s="6" t="n">
        <v>5</v>
      </c>
      <c r="E1036" s="29" t="n">
        <v>0</v>
      </c>
      <c r="F1036" s="6" t="n">
        <v>0</v>
      </c>
      <c r="G1036" s="6" t="n">
        <v>1</v>
      </c>
      <c r="H1036" s="6"/>
    </row>
    <row r="1037" customFormat="false" ht="15" hidden="false" customHeight="true" outlineLevel="0" collapsed="false">
      <c r="A1037" s="6" t="s">
        <v>4093</v>
      </c>
      <c r="B1037" s="6" t="s">
        <v>7998</v>
      </c>
      <c r="C1037" s="28" t="n">
        <v>0</v>
      </c>
      <c r="D1037" s="6" t="n">
        <v>15</v>
      </c>
      <c r="E1037" s="29"/>
      <c r="F1037" s="6"/>
      <c r="G1037" s="6" t="n">
        <v>6</v>
      </c>
      <c r="H1037" s="6" t="s">
        <v>8007</v>
      </c>
    </row>
    <row r="1038" customFormat="false" ht="15" hidden="false" customHeight="true" outlineLevel="0" collapsed="false">
      <c r="A1038" s="6" t="s">
        <v>4105</v>
      </c>
      <c r="B1038" s="6" t="s">
        <v>7998</v>
      </c>
      <c r="C1038" s="28" t="n">
        <v>0</v>
      </c>
      <c r="D1038" s="6" t="n">
        <v>16</v>
      </c>
      <c r="E1038" s="29"/>
      <c r="F1038" s="6"/>
      <c r="G1038" s="6" t="n">
        <v>6</v>
      </c>
      <c r="H1038" s="6" t="s">
        <v>8007</v>
      </c>
    </row>
    <row r="1039" customFormat="false" ht="15" hidden="false" customHeight="true" outlineLevel="0" collapsed="false">
      <c r="A1039" s="6" t="s">
        <v>4127</v>
      </c>
      <c r="B1039" s="6" t="s">
        <v>7998</v>
      </c>
      <c r="C1039" s="28" t="n">
        <v>0</v>
      </c>
      <c r="D1039" s="6" t="n">
        <v>14</v>
      </c>
      <c r="E1039" s="29"/>
      <c r="F1039" s="6"/>
      <c r="G1039" s="6" t="n">
        <v>6</v>
      </c>
      <c r="H1039" s="6" t="s">
        <v>8007</v>
      </c>
    </row>
    <row r="1040" customFormat="false" ht="15" hidden="false" customHeight="true" outlineLevel="0" collapsed="false">
      <c r="A1040" s="6" t="s">
        <v>4139</v>
      </c>
      <c r="B1040" s="6" t="s">
        <v>7998</v>
      </c>
      <c r="C1040" s="28" t="n">
        <v>0</v>
      </c>
      <c r="D1040" s="6" t="n">
        <v>19</v>
      </c>
      <c r="E1040" s="29"/>
      <c r="F1040" s="6"/>
      <c r="G1040" s="6" t="n">
        <v>6</v>
      </c>
      <c r="H1040" s="6" t="s">
        <v>8007</v>
      </c>
    </row>
    <row r="1041" customFormat="false" ht="15" hidden="false" customHeight="true" outlineLevel="0" collapsed="false">
      <c r="A1041" s="6" t="s">
        <v>4151</v>
      </c>
      <c r="B1041" s="6" t="s">
        <v>7998</v>
      </c>
      <c r="C1041" s="28" t="n">
        <v>0</v>
      </c>
      <c r="D1041" s="6" t="n">
        <v>21</v>
      </c>
      <c r="E1041" s="29"/>
      <c r="F1041" s="6"/>
      <c r="G1041" s="6" t="n">
        <v>6</v>
      </c>
      <c r="H1041" s="6" t="s">
        <v>8007</v>
      </c>
    </row>
    <row r="1042" customFormat="false" ht="15" hidden="false" customHeight="true" outlineLevel="0" collapsed="false">
      <c r="A1042" s="6" t="s">
        <v>4162</v>
      </c>
      <c r="B1042" s="6" t="s">
        <v>8000</v>
      </c>
      <c r="C1042" s="28" t="n">
        <v>0</v>
      </c>
      <c r="D1042" s="6" t="n">
        <v>9</v>
      </c>
      <c r="E1042" s="29" t="n">
        <v>0</v>
      </c>
      <c r="F1042" s="6" t="n">
        <v>0.79</v>
      </c>
      <c r="G1042" s="6" t="n">
        <v>6</v>
      </c>
      <c r="H1042" s="6"/>
    </row>
    <row r="1043" customFormat="false" ht="15" hidden="false" customHeight="true" outlineLevel="0" collapsed="false">
      <c r="A1043" s="6" t="s">
        <v>4172</v>
      </c>
      <c r="B1043" s="6" t="s">
        <v>7998</v>
      </c>
      <c r="C1043" s="28" t="n">
        <v>0</v>
      </c>
      <c r="D1043" s="6" t="n">
        <v>19</v>
      </c>
      <c r="E1043" s="29"/>
      <c r="F1043" s="6"/>
      <c r="G1043" s="6" t="n">
        <v>6</v>
      </c>
      <c r="H1043" s="6" t="s">
        <v>8007</v>
      </c>
    </row>
    <row r="1044" customFormat="false" ht="15" hidden="false" customHeight="true" outlineLevel="0" collapsed="false">
      <c r="A1044" s="6" t="s">
        <v>4182</v>
      </c>
      <c r="B1044" s="6" t="s">
        <v>7998</v>
      </c>
      <c r="C1044" s="28" t="n">
        <v>0</v>
      </c>
      <c r="D1044" s="6" t="n">
        <v>13</v>
      </c>
      <c r="E1044" s="29"/>
      <c r="F1044" s="6"/>
      <c r="G1044" s="6" t="n">
        <v>6</v>
      </c>
      <c r="H1044" s="6" t="s">
        <v>8007</v>
      </c>
    </row>
    <row r="1045" customFormat="false" ht="15" hidden="false" customHeight="true" outlineLevel="0" collapsed="false">
      <c r="A1045" s="6" t="s">
        <v>4193</v>
      </c>
      <c r="B1045" s="6" t="s">
        <v>7998</v>
      </c>
      <c r="C1045" s="28" t="n">
        <v>0</v>
      </c>
      <c r="D1045" s="6" t="n">
        <v>5</v>
      </c>
      <c r="E1045" s="29" t="n">
        <v>0</v>
      </c>
      <c r="F1045" s="6" t="n">
        <v>0</v>
      </c>
      <c r="G1045" s="6" t="n">
        <v>6</v>
      </c>
      <c r="H1045" s="6"/>
    </row>
    <row r="1046" customFormat="false" ht="15" hidden="false" customHeight="true" outlineLevel="0" collapsed="false">
      <c r="A1046" s="6" t="s">
        <v>4204</v>
      </c>
      <c r="B1046" s="6" t="s">
        <v>7998</v>
      </c>
      <c r="C1046" s="28" t="n">
        <v>0</v>
      </c>
      <c r="D1046" s="6" t="n">
        <v>10</v>
      </c>
      <c r="E1046" s="29" t="n">
        <v>0</v>
      </c>
      <c r="F1046" s="6" t="n">
        <v>0</v>
      </c>
      <c r="G1046" s="6" t="n">
        <v>6</v>
      </c>
      <c r="H1046" s="6"/>
    </row>
    <row r="1047" customFormat="false" ht="15" hidden="false" customHeight="true" outlineLevel="0" collapsed="false">
      <c r="A1047" s="6" t="s">
        <v>4214</v>
      </c>
      <c r="B1047" s="6" t="s">
        <v>7998</v>
      </c>
      <c r="C1047" s="28" t="n">
        <v>0</v>
      </c>
      <c r="D1047" s="6" t="n">
        <v>18</v>
      </c>
      <c r="E1047" s="29"/>
      <c r="F1047" s="6"/>
      <c r="G1047" s="6" t="n">
        <v>6</v>
      </c>
      <c r="H1047" s="6" t="s">
        <v>8007</v>
      </c>
    </row>
    <row r="1048" customFormat="false" ht="15" hidden="false" customHeight="true" outlineLevel="0" collapsed="false">
      <c r="A1048" s="6" t="s">
        <v>4227</v>
      </c>
      <c r="B1048" s="6" t="s">
        <v>8000</v>
      </c>
      <c r="C1048" s="28" t="n">
        <v>0</v>
      </c>
      <c r="D1048" s="6" t="n">
        <v>18</v>
      </c>
      <c r="E1048" s="29"/>
      <c r="F1048" s="6"/>
      <c r="G1048" s="6" t="n">
        <v>6</v>
      </c>
      <c r="H1048" s="6" t="s">
        <v>8007</v>
      </c>
    </row>
    <row r="1049" customFormat="false" ht="15" hidden="false" customHeight="true" outlineLevel="0" collapsed="false">
      <c r="A1049" s="6" t="s">
        <v>6599</v>
      </c>
      <c r="B1049" s="6" t="s">
        <v>7998</v>
      </c>
      <c r="C1049" s="28" t="n">
        <v>0</v>
      </c>
      <c r="D1049" s="6" t="n">
        <v>7</v>
      </c>
      <c r="E1049" s="29"/>
      <c r="F1049" s="6"/>
      <c r="G1049" s="6" t="n">
        <v>1</v>
      </c>
      <c r="H1049" s="6" t="s">
        <v>8007</v>
      </c>
    </row>
    <row r="1050" customFormat="false" ht="15" hidden="false" customHeight="true" outlineLevel="0" collapsed="false">
      <c r="A1050" s="6" t="s">
        <v>6601</v>
      </c>
      <c r="B1050" s="6" t="s">
        <v>7997</v>
      </c>
      <c r="C1050" s="28" t="n">
        <v>0</v>
      </c>
      <c r="D1050" s="6" t="n">
        <v>13</v>
      </c>
      <c r="E1050" s="29"/>
      <c r="F1050" s="6"/>
      <c r="G1050" s="6" t="n">
        <v>1</v>
      </c>
      <c r="H1050" s="6" t="s">
        <v>8007</v>
      </c>
    </row>
    <row r="1051" customFormat="false" ht="15" hidden="false" customHeight="true" outlineLevel="0" collapsed="false">
      <c r="A1051" s="6" t="s">
        <v>4240</v>
      </c>
      <c r="B1051" s="6" t="s">
        <v>7998</v>
      </c>
      <c r="C1051" s="28" t="n">
        <v>0</v>
      </c>
      <c r="D1051" s="6" t="n">
        <v>19</v>
      </c>
      <c r="E1051" s="29"/>
      <c r="F1051" s="6"/>
      <c r="G1051" s="6" t="n">
        <v>6</v>
      </c>
      <c r="H1051" s="6" t="s">
        <v>8007</v>
      </c>
    </row>
    <row r="1052" customFormat="false" ht="15" hidden="false" customHeight="true" outlineLevel="0" collapsed="false">
      <c r="A1052" s="6" t="s">
        <v>4262</v>
      </c>
      <c r="B1052" s="6" t="s">
        <v>8001</v>
      </c>
      <c r="C1052" s="28" t="n">
        <v>0</v>
      </c>
      <c r="D1052" s="6" t="n">
        <v>15</v>
      </c>
      <c r="E1052" s="29"/>
      <c r="F1052" s="6"/>
      <c r="G1052" s="6" t="n">
        <v>6</v>
      </c>
      <c r="H1052" s="6" t="s">
        <v>8007</v>
      </c>
    </row>
    <row r="1053" customFormat="false" ht="15" hidden="false" customHeight="true" outlineLevel="0" collapsed="false">
      <c r="A1053" s="6" t="s">
        <v>4274</v>
      </c>
      <c r="B1053" s="6" t="s">
        <v>7998</v>
      </c>
      <c r="C1053" s="28" t="n">
        <v>0</v>
      </c>
      <c r="D1053" s="6" t="n">
        <v>16</v>
      </c>
      <c r="E1053" s="29"/>
      <c r="F1053" s="6"/>
      <c r="G1053" s="6" t="n">
        <v>6</v>
      </c>
      <c r="H1053" s="6" t="s">
        <v>8007</v>
      </c>
    </row>
    <row r="1054" customFormat="false" ht="15" hidden="false" customHeight="true" outlineLevel="0" collapsed="false">
      <c r="A1054" s="6" t="s">
        <v>4291</v>
      </c>
      <c r="B1054" s="6" t="s">
        <v>7998</v>
      </c>
      <c r="C1054" s="28" t="n">
        <v>0</v>
      </c>
      <c r="D1054" s="6" t="n">
        <v>22</v>
      </c>
      <c r="E1054" s="29"/>
      <c r="F1054" s="6"/>
      <c r="G1054" s="6" t="s">
        <v>6868</v>
      </c>
      <c r="H1054" s="6" t="s">
        <v>8007</v>
      </c>
    </row>
    <row r="1055" customFormat="false" ht="15" hidden="false" customHeight="true" outlineLevel="0" collapsed="false">
      <c r="A1055" s="6" t="s">
        <v>4288</v>
      </c>
      <c r="B1055" s="6" t="s">
        <v>7998</v>
      </c>
      <c r="C1055" s="28" t="n">
        <v>0</v>
      </c>
      <c r="D1055" s="6" t="n">
        <v>17</v>
      </c>
      <c r="E1055" s="29"/>
      <c r="F1055" s="6"/>
      <c r="G1055" s="6" t="s">
        <v>6868</v>
      </c>
      <c r="H1055" s="6" t="s">
        <v>8007</v>
      </c>
    </row>
    <row r="1056" customFormat="false" ht="15" hidden="false" customHeight="true" outlineLevel="0" collapsed="false">
      <c r="A1056" s="6" t="s">
        <v>4335</v>
      </c>
      <c r="B1056" s="6" t="s">
        <v>7998</v>
      </c>
      <c r="C1056" s="28" t="n">
        <v>0</v>
      </c>
      <c r="D1056" s="6" t="n">
        <v>28</v>
      </c>
      <c r="E1056" s="29"/>
      <c r="F1056" s="6"/>
      <c r="G1056" s="6" t="s">
        <v>6867</v>
      </c>
      <c r="H1056" s="6" t="s">
        <v>8007</v>
      </c>
    </row>
    <row r="1057" customFormat="false" ht="15" hidden="false" customHeight="true" outlineLevel="0" collapsed="false">
      <c r="A1057" s="6" t="s">
        <v>4380</v>
      </c>
      <c r="B1057" s="6" t="s">
        <v>7998</v>
      </c>
      <c r="C1057" s="28" t="n">
        <v>0</v>
      </c>
      <c r="D1057" s="6" t="n">
        <v>22</v>
      </c>
      <c r="E1057" s="29"/>
      <c r="F1057" s="6"/>
      <c r="G1057" s="6" t="s">
        <v>6867</v>
      </c>
      <c r="H1057" s="6" t="s">
        <v>8007</v>
      </c>
    </row>
    <row r="1058" customFormat="false" ht="15" hidden="false" customHeight="true" outlineLevel="0" collapsed="false">
      <c r="A1058" s="6" t="s">
        <v>4377</v>
      </c>
      <c r="B1058" s="6" t="s">
        <v>7998</v>
      </c>
      <c r="C1058" s="28" t="n">
        <v>0</v>
      </c>
      <c r="D1058" s="6" t="n">
        <v>25</v>
      </c>
      <c r="E1058" s="29"/>
      <c r="F1058" s="6"/>
      <c r="G1058" s="6" t="s">
        <v>6867</v>
      </c>
      <c r="H1058" s="6" t="s">
        <v>8007</v>
      </c>
    </row>
    <row r="1059" customFormat="false" ht="15" hidden="false" customHeight="true" outlineLevel="0" collapsed="false">
      <c r="A1059" s="6" t="s">
        <v>4391</v>
      </c>
      <c r="B1059" s="6" t="s">
        <v>7997</v>
      </c>
      <c r="C1059" s="28" t="n">
        <v>0</v>
      </c>
      <c r="D1059" s="6" t="n">
        <v>16</v>
      </c>
      <c r="E1059" s="29"/>
      <c r="F1059" s="6"/>
      <c r="G1059" s="6" t="s">
        <v>6868</v>
      </c>
      <c r="H1059" s="6" t="s">
        <v>8007</v>
      </c>
    </row>
    <row r="1060" customFormat="false" ht="15" hidden="false" customHeight="true" outlineLevel="0" collapsed="false">
      <c r="A1060" s="6" t="s">
        <v>4388</v>
      </c>
      <c r="B1060" s="6" t="s">
        <v>7998</v>
      </c>
      <c r="C1060" s="28" t="n">
        <v>0</v>
      </c>
      <c r="D1060" s="6" t="n">
        <v>14</v>
      </c>
      <c r="E1060" s="29"/>
      <c r="F1060" s="6"/>
      <c r="G1060" s="6" t="s">
        <v>6868</v>
      </c>
      <c r="H1060" s="6" t="s">
        <v>8007</v>
      </c>
    </row>
    <row r="1061" customFormat="false" ht="15" hidden="false" customHeight="true" outlineLevel="0" collapsed="false">
      <c r="A1061" s="6" t="s">
        <v>4403</v>
      </c>
      <c r="B1061" s="6" t="s">
        <v>7998</v>
      </c>
      <c r="C1061" s="28" t="n">
        <v>0</v>
      </c>
      <c r="D1061" s="6" t="n">
        <v>22</v>
      </c>
      <c r="E1061" s="29"/>
      <c r="F1061" s="6"/>
      <c r="G1061" s="6" t="s">
        <v>6868</v>
      </c>
      <c r="H1061" s="6" t="s">
        <v>8007</v>
      </c>
    </row>
    <row r="1062" customFormat="false" ht="15" hidden="false" customHeight="true" outlineLevel="0" collapsed="false">
      <c r="A1062" s="6" t="s">
        <v>4400</v>
      </c>
      <c r="B1062" s="6" t="s">
        <v>7997</v>
      </c>
      <c r="C1062" s="28" t="n">
        <v>0</v>
      </c>
      <c r="D1062" s="6" t="n">
        <v>22</v>
      </c>
      <c r="E1062" s="29"/>
      <c r="F1062" s="6"/>
      <c r="G1062" s="6" t="s">
        <v>6868</v>
      </c>
      <c r="H1062" s="6" t="s">
        <v>8007</v>
      </c>
    </row>
    <row r="1063" customFormat="false" ht="15" hidden="false" customHeight="true" outlineLevel="0" collapsed="false">
      <c r="A1063" s="6" t="s">
        <v>4414</v>
      </c>
      <c r="B1063" s="6" t="s">
        <v>7998</v>
      </c>
      <c r="C1063" s="28" t="n">
        <v>0</v>
      </c>
      <c r="D1063" s="6" t="n">
        <v>17</v>
      </c>
      <c r="E1063" s="29"/>
      <c r="F1063" s="6"/>
      <c r="G1063" s="6" t="s">
        <v>6868</v>
      </c>
      <c r="H1063" s="6" t="s">
        <v>8007</v>
      </c>
    </row>
    <row r="1064" customFormat="false" ht="15" hidden="false" customHeight="true" outlineLevel="0" collapsed="false">
      <c r="A1064" s="6" t="s">
        <v>4411</v>
      </c>
      <c r="B1064" s="6" t="s">
        <v>7999</v>
      </c>
      <c r="C1064" s="28" t="n">
        <v>0</v>
      </c>
      <c r="D1064" s="6" t="n">
        <v>17</v>
      </c>
      <c r="E1064" s="29"/>
      <c r="F1064" s="6"/>
      <c r="G1064" s="6" t="s">
        <v>6868</v>
      </c>
      <c r="H1064" s="6" t="s">
        <v>8007</v>
      </c>
    </row>
    <row r="1065" customFormat="false" ht="15" hidden="false" customHeight="true" outlineLevel="0" collapsed="false">
      <c r="A1065" s="6" t="s">
        <v>4434</v>
      </c>
      <c r="B1065" s="6" t="s">
        <v>7998</v>
      </c>
      <c r="C1065" s="28" t="n">
        <v>0</v>
      </c>
      <c r="D1065" s="6" t="n">
        <v>20</v>
      </c>
      <c r="E1065" s="29"/>
      <c r="F1065" s="6"/>
      <c r="G1065" s="6" t="s">
        <v>6867</v>
      </c>
      <c r="H1065" s="6" t="s">
        <v>8007</v>
      </c>
    </row>
    <row r="1066" customFormat="false" ht="15" hidden="false" customHeight="true" outlineLevel="0" collapsed="false">
      <c r="A1066" s="6" t="s">
        <v>4445</v>
      </c>
      <c r="B1066" s="6" t="s">
        <v>7997</v>
      </c>
      <c r="C1066" s="28" t="n">
        <v>0</v>
      </c>
      <c r="D1066" s="6" t="n">
        <v>24</v>
      </c>
      <c r="E1066" s="29"/>
      <c r="F1066" s="6"/>
      <c r="G1066" s="6" t="s">
        <v>6868</v>
      </c>
      <c r="H1066" s="6" t="s">
        <v>8007</v>
      </c>
    </row>
    <row r="1067" customFormat="false" ht="15" hidden="false" customHeight="true" outlineLevel="0" collapsed="false">
      <c r="A1067" s="6" t="s">
        <v>4442</v>
      </c>
      <c r="B1067" s="6" t="s">
        <v>7998</v>
      </c>
      <c r="C1067" s="28" t="n">
        <v>0</v>
      </c>
      <c r="D1067" s="6" t="n">
        <v>28</v>
      </c>
      <c r="E1067" s="29"/>
      <c r="F1067" s="6"/>
      <c r="G1067" s="6" t="s">
        <v>6868</v>
      </c>
      <c r="H1067" s="6" t="s">
        <v>8007</v>
      </c>
    </row>
    <row r="1068" customFormat="false" ht="15" hidden="false" customHeight="true" outlineLevel="0" collapsed="false">
      <c r="A1068" s="6" t="s">
        <v>4628</v>
      </c>
      <c r="B1068" s="6" t="s">
        <v>7998</v>
      </c>
      <c r="C1068" s="28" t="n">
        <v>0</v>
      </c>
      <c r="D1068" s="6" t="n">
        <v>16</v>
      </c>
      <c r="E1068" s="29"/>
      <c r="F1068" s="6"/>
      <c r="G1068" s="6" t="n">
        <v>6</v>
      </c>
      <c r="H1068" s="6" t="s">
        <v>8007</v>
      </c>
    </row>
    <row r="1069" customFormat="false" ht="15" hidden="false" customHeight="true" outlineLevel="0" collapsed="false">
      <c r="A1069" s="6" t="s">
        <v>6604</v>
      </c>
      <c r="B1069" s="6" t="s">
        <v>7997</v>
      </c>
      <c r="C1069" s="28" t="n">
        <v>0</v>
      </c>
      <c r="D1069" s="6" t="n">
        <v>29</v>
      </c>
      <c r="E1069" s="29"/>
      <c r="F1069" s="6"/>
      <c r="G1069" s="6" t="n">
        <v>1</v>
      </c>
      <c r="H1069" s="6" t="s">
        <v>8007</v>
      </c>
    </row>
    <row r="1070" customFormat="false" ht="15" hidden="false" customHeight="true" outlineLevel="0" collapsed="false">
      <c r="A1070" s="6" t="s">
        <v>4652</v>
      </c>
      <c r="B1070" s="6" t="s">
        <v>7998</v>
      </c>
      <c r="C1070" s="28" t="n">
        <v>0</v>
      </c>
      <c r="D1070" s="6" t="n">
        <v>17</v>
      </c>
      <c r="E1070" s="29"/>
      <c r="F1070" s="6"/>
      <c r="G1070" s="6" t="s">
        <v>6867</v>
      </c>
      <c r="H1070" s="6" t="s">
        <v>8007</v>
      </c>
    </row>
    <row r="1071" customFormat="false" ht="15" hidden="false" customHeight="true" outlineLevel="0" collapsed="false">
      <c r="A1071" s="6" t="s">
        <v>6609</v>
      </c>
      <c r="B1071" s="6" t="s">
        <v>7999</v>
      </c>
      <c r="C1071" s="28" t="n">
        <v>0</v>
      </c>
      <c r="D1071" s="6" t="n">
        <v>9</v>
      </c>
      <c r="E1071" s="29" t="n">
        <v>0</v>
      </c>
      <c r="F1071" s="6" t="n">
        <v>0</v>
      </c>
      <c r="G1071" s="6" t="n">
        <v>1</v>
      </c>
      <c r="H1071" s="6"/>
    </row>
    <row r="1072" customFormat="false" ht="15" hidden="false" customHeight="true" outlineLevel="0" collapsed="false">
      <c r="A1072" s="6" t="s">
        <v>6610</v>
      </c>
      <c r="B1072" s="6" t="s">
        <v>7998</v>
      </c>
      <c r="C1072" s="28" t="n">
        <v>0</v>
      </c>
      <c r="D1072" s="6" t="n">
        <v>21</v>
      </c>
      <c r="E1072" s="29"/>
      <c r="F1072" s="6"/>
      <c r="G1072" s="6" t="n">
        <v>1</v>
      </c>
      <c r="H1072" s="6" t="s">
        <v>8007</v>
      </c>
    </row>
    <row r="1073" customFormat="false" ht="15" hidden="false" customHeight="true" outlineLevel="0" collapsed="false">
      <c r="A1073" s="6" t="s">
        <v>4749</v>
      </c>
      <c r="B1073" s="6" t="s">
        <v>7997</v>
      </c>
      <c r="C1073" s="28" t="n">
        <v>0</v>
      </c>
      <c r="D1073" s="6" t="n">
        <v>15</v>
      </c>
      <c r="E1073" s="29" t="n">
        <v>0</v>
      </c>
      <c r="F1073" s="6" t="n">
        <v>1</v>
      </c>
      <c r="G1073" s="6" t="s">
        <v>6867</v>
      </c>
      <c r="H1073" s="6"/>
    </row>
    <row r="1074" customFormat="false" ht="15" hidden="false" customHeight="true" outlineLevel="0" collapsed="false">
      <c r="A1074" s="6" t="s">
        <v>4727</v>
      </c>
      <c r="B1074" s="6" t="s">
        <v>7998</v>
      </c>
      <c r="C1074" s="28" t="n">
        <v>0</v>
      </c>
      <c r="D1074" s="6" t="n">
        <v>11</v>
      </c>
      <c r="E1074" s="29" t="n">
        <v>0</v>
      </c>
      <c r="F1074" s="6" t="n">
        <v>1</v>
      </c>
      <c r="G1074" s="6" t="n">
        <v>6</v>
      </c>
      <c r="H1074" s="6"/>
    </row>
    <row r="1075" customFormat="false" ht="15" hidden="false" customHeight="true" outlineLevel="0" collapsed="false">
      <c r="A1075" s="6" t="s">
        <v>4800</v>
      </c>
      <c r="B1075" s="6" t="s">
        <v>7998</v>
      </c>
      <c r="C1075" s="28" t="n">
        <v>0</v>
      </c>
      <c r="D1075" s="6" t="n">
        <v>17</v>
      </c>
      <c r="E1075" s="29"/>
      <c r="F1075" s="6"/>
      <c r="G1075" s="6" t="n">
        <v>6</v>
      </c>
      <c r="H1075" s="6" t="s">
        <v>8007</v>
      </c>
    </row>
    <row r="1076" customFormat="false" ht="15" hidden="false" customHeight="true" outlineLevel="0" collapsed="false">
      <c r="A1076" s="6" t="s">
        <v>4676</v>
      </c>
      <c r="B1076" s="6" t="s">
        <v>8001</v>
      </c>
      <c r="C1076" s="28" t="n">
        <v>0</v>
      </c>
      <c r="D1076" s="6" t="n">
        <v>17</v>
      </c>
      <c r="E1076" s="29"/>
      <c r="F1076" s="6"/>
      <c r="G1076" s="6" t="n">
        <v>6</v>
      </c>
      <c r="H1076" s="6" t="s">
        <v>8007</v>
      </c>
    </row>
    <row r="1077" customFormat="false" ht="15" hidden="false" customHeight="true" outlineLevel="0" collapsed="false">
      <c r="A1077" s="6" t="s">
        <v>4759</v>
      </c>
      <c r="B1077" s="6" t="s">
        <v>7997</v>
      </c>
      <c r="C1077" s="28" t="n">
        <v>0</v>
      </c>
      <c r="D1077" s="6" t="n">
        <v>17</v>
      </c>
      <c r="E1077" s="29"/>
      <c r="F1077" s="6"/>
      <c r="G1077" s="6" t="n">
        <v>6</v>
      </c>
      <c r="H1077" s="6" t="s">
        <v>8007</v>
      </c>
    </row>
    <row r="1078" customFormat="false" ht="15" hidden="false" customHeight="true" outlineLevel="0" collapsed="false">
      <c r="A1078" s="6" t="s">
        <v>4696</v>
      </c>
      <c r="B1078" s="6" t="s">
        <v>7998</v>
      </c>
      <c r="C1078" s="28" t="n">
        <v>0</v>
      </c>
      <c r="D1078" s="6" t="n">
        <v>20</v>
      </c>
      <c r="E1078" s="29"/>
      <c r="F1078" s="6"/>
      <c r="G1078" s="6" t="n">
        <v>6</v>
      </c>
      <c r="H1078" s="6" t="s">
        <v>8007</v>
      </c>
    </row>
    <row r="1079" customFormat="false" ht="15" hidden="false" customHeight="true" outlineLevel="0" collapsed="false">
      <c r="A1079" s="6" t="s">
        <v>4706</v>
      </c>
      <c r="B1079" s="6" t="s">
        <v>8000</v>
      </c>
      <c r="C1079" s="28" t="n">
        <v>0</v>
      </c>
      <c r="D1079" s="6" t="n">
        <v>20</v>
      </c>
      <c r="E1079" s="29"/>
      <c r="F1079" s="6"/>
      <c r="G1079" s="6" t="n">
        <v>6</v>
      </c>
      <c r="H1079" s="6" t="s">
        <v>8007</v>
      </c>
    </row>
    <row r="1080" customFormat="false" ht="15" hidden="false" customHeight="true" outlineLevel="0" collapsed="false">
      <c r="A1080" s="6" t="s">
        <v>4737</v>
      </c>
      <c r="B1080" s="6" t="s">
        <v>8000</v>
      </c>
      <c r="C1080" s="28" t="n">
        <v>0</v>
      </c>
      <c r="D1080" s="6" t="n">
        <v>28</v>
      </c>
      <c r="E1080" s="29"/>
      <c r="F1080" s="6"/>
      <c r="G1080" s="6" t="s">
        <v>6867</v>
      </c>
      <c r="H1080" s="6" t="s">
        <v>8007</v>
      </c>
    </row>
    <row r="1081" customFormat="false" ht="15" hidden="false" customHeight="true" outlineLevel="0" collapsed="false">
      <c r="A1081" s="6" t="s">
        <v>4791</v>
      </c>
      <c r="B1081" s="6" t="s">
        <v>8004</v>
      </c>
      <c r="C1081" s="28" t="n">
        <v>0</v>
      </c>
      <c r="D1081" s="6" t="n">
        <v>23</v>
      </c>
      <c r="E1081" s="29"/>
      <c r="F1081" s="6"/>
      <c r="G1081" s="6" t="s">
        <v>6868</v>
      </c>
      <c r="H1081" s="6" t="s">
        <v>8007</v>
      </c>
    </row>
    <row r="1082" customFormat="false" ht="15" hidden="false" customHeight="true" outlineLevel="0" collapsed="false">
      <c r="A1082" s="6" t="s">
        <v>4865</v>
      </c>
      <c r="B1082" s="6" t="s">
        <v>7997</v>
      </c>
      <c r="C1082" s="28" t="n">
        <v>0</v>
      </c>
      <c r="D1082" s="6" t="n">
        <v>10</v>
      </c>
      <c r="E1082" s="29"/>
      <c r="F1082" s="6"/>
      <c r="G1082" s="6" t="s">
        <v>6868</v>
      </c>
      <c r="H1082" s="6" t="s">
        <v>8007</v>
      </c>
    </row>
    <row r="1083" customFormat="false" ht="15" hidden="false" customHeight="true" outlineLevel="0" collapsed="false">
      <c r="A1083" s="6" t="s">
        <v>4811</v>
      </c>
      <c r="B1083" s="6" t="s">
        <v>8004</v>
      </c>
      <c r="C1083" s="28" t="n">
        <v>0</v>
      </c>
      <c r="D1083" s="6" t="n">
        <v>24</v>
      </c>
      <c r="E1083" s="29"/>
      <c r="F1083" s="6"/>
      <c r="G1083" s="6" t="s">
        <v>6867</v>
      </c>
      <c r="H1083" s="6" t="s">
        <v>8007</v>
      </c>
    </row>
    <row r="1084" customFormat="false" ht="15" hidden="false" customHeight="true" outlineLevel="0" collapsed="false">
      <c r="A1084" s="6" t="s">
        <v>4875</v>
      </c>
      <c r="B1084" s="6" t="s">
        <v>7997</v>
      </c>
      <c r="C1084" s="28" t="n">
        <v>0</v>
      </c>
      <c r="D1084" s="6" t="n">
        <v>14</v>
      </c>
      <c r="E1084" s="29" t="n">
        <v>0</v>
      </c>
      <c r="F1084" s="6" t="n">
        <v>0</v>
      </c>
      <c r="G1084" s="6" t="n">
        <v>6</v>
      </c>
      <c r="H1084" s="6"/>
    </row>
    <row r="1085" customFormat="false" ht="15" hidden="false" customHeight="true" outlineLevel="0" collapsed="false">
      <c r="A1085" s="6" t="s">
        <v>4886</v>
      </c>
      <c r="B1085" s="6" t="s">
        <v>7997</v>
      </c>
      <c r="C1085" s="28" t="n">
        <v>0</v>
      </c>
      <c r="D1085" s="6" t="n">
        <v>19</v>
      </c>
      <c r="E1085" s="29"/>
      <c r="F1085" s="6"/>
      <c r="G1085" s="6" t="n">
        <v>6</v>
      </c>
      <c r="H1085" s="6" t="s">
        <v>8007</v>
      </c>
    </row>
    <row r="1086" customFormat="false" ht="15" hidden="false" customHeight="true" outlineLevel="0" collapsed="false">
      <c r="A1086" s="6" t="s">
        <v>4854</v>
      </c>
      <c r="B1086" s="6" t="s">
        <v>8000</v>
      </c>
      <c r="C1086" s="28" t="n">
        <v>0</v>
      </c>
      <c r="D1086" s="6" t="n">
        <v>21</v>
      </c>
      <c r="E1086" s="29"/>
      <c r="F1086" s="6"/>
      <c r="G1086" s="6" t="s">
        <v>6867</v>
      </c>
      <c r="H1086" s="6" t="s">
        <v>8007</v>
      </c>
    </row>
    <row r="1087" customFormat="false" ht="15" hidden="false" customHeight="true" outlineLevel="0" collapsed="false">
      <c r="A1087" s="6" t="s">
        <v>6742</v>
      </c>
      <c r="B1087" s="6" t="s">
        <v>7998</v>
      </c>
      <c r="C1087" s="28" t="n">
        <v>0</v>
      </c>
      <c r="D1087" s="6" t="n">
        <v>15</v>
      </c>
      <c r="E1087" s="29"/>
      <c r="F1087" s="6"/>
      <c r="G1087" s="6" t="n">
        <v>3</v>
      </c>
      <c r="H1087" s="6" t="s">
        <v>8007</v>
      </c>
    </row>
    <row r="1088" customFormat="false" ht="15" hidden="false" customHeight="true" outlineLevel="0" collapsed="false">
      <c r="A1088" s="6" t="s">
        <v>4941</v>
      </c>
      <c r="B1088" s="6" t="s">
        <v>8001</v>
      </c>
      <c r="C1088" s="28" t="n">
        <v>0</v>
      </c>
      <c r="D1088" s="6" t="n">
        <v>25</v>
      </c>
      <c r="E1088" s="29"/>
      <c r="F1088" s="6"/>
      <c r="G1088" s="6" t="n">
        <v>6</v>
      </c>
      <c r="H1088" s="6" t="s">
        <v>8007</v>
      </c>
    </row>
    <row r="1089" customFormat="false" ht="15" hidden="false" customHeight="true" outlineLevel="0" collapsed="false">
      <c r="A1089" s="6" t="s">
        <v>4897</v>
      </c>
      <c r="B1089" s="6" t="s">
        <v>8004</v>
      </c>
      <c r="C1089" s="28" t="n">
        <v>0</v>
      </c>
      <c r="D1089" s="6" t="n">
        <v>21</v>
      </c>
      <c r="E1089" s="29"/>
      <c r="F1089" s="6"/>
      <c r="G1089" s="6" t="n">
        <v>6</v>
      </c>
      <c r="H1089" s="6" t="s">
        <v>8007</v>
      </c>
    </row>
    <row r="1090" customFormat="false" ht="15" hidden="false" customHeight="true" outlineLevel="0" collapsed="false">
      <c r="A1090" s="6" t="s">
        <v>4915</v>
      </c>
      <c r="B1090" s="6" t="s">
        <v>7998</v>
      </c>
      <c r="C1090" s="28" t="n">
        <v>0</v>
      </c>
      <c r="D1090" s="6" t="n">
        <v>23</v>
      </c>
      <c r="E1090" s="29"/>
      <c r="F1090" s="6"/>
      <c r="G1090" s="6" t="n">
        <v>6</v>
      </c>
      <c r="H1090" s="6" t="s">
        <v>8007</v>
      </c>
    </row>
    <row r="1091" customFormat="false" ht="15" hidden="false" customHeight="true" outlineLevel="0" collapsed="false">
      <c r="A1091" s="6" t="s">
        <v>4956</v>
      </c>
      <c r="B1091" s="6" t="s">
        <v>7997</v>
      </c>
      <c r="C1091" s="28" t="n">
        <v>0</v>
      </c>
      <c r="D1091" s="6" t="n">
        <v>10</v>
      </c>
      <c r="E1091" s="29" t="n">
        <v>0</v>
      </c>
      <c r="F1091" s="6" t="n">
        <v>0</v>
      </c>
      <c r="G1091" s="6" t="n">
        <v>6</v>
      </c>
      <c r="H1091" s="6"/>
    </row>
    <row r="1092" customFormat="false" ht="15" hidden="false" customHeight="true" outlineLevel="0" collapsed="false">
      <c r="A1092" s="6" t="s">
        <v>4968</v>
      </c>
      <c r="B1092" s="6" t="s">
        <v>7998</v>
      </c>
      <c r="C1092" s="28" t="n">
        <v>0</v>
      </c>
      <c r="D1092" s="6" t="n">
        <v>24</v>
      </c>
      <c r="E1092" s="29"/>
      <c r="F1092" s="6"/>
      <c r="G1092" s="6" t="n">
        <v>6</v>
      </c>
      <c r="H1092" s="6" t="s">
        <v>8007</v>
      </c>
    </row>
    <row r="1093" customFormat="false" ht="15" hidden="false" customHeight="true" outlineLevel="0" collapsed="false">
      <c r="A1093" s="6" t="s">
        <v>4978</v>
      </c>
      <c r="B1093" s="6" t="s">
        <v>7997</v>
      </c>
      <c r="C1093" s="28" t="n">
        <v>0</v>
      </c>
      <c r="D1093" s="6" t="n">
        <v>16</v>
      </c>
      <c r="E1093" s="29"/>
      <c r="F1093" s="6"/>
      <c r="G1093" s="6" t="n">
        <v>6</v>
      </c>
      <c r="H1093" s="6" t="s">
        <v>8007</v>
      </c>
    </row>
    <row r="1094" customFormat="false" ht="15" hidden="false" customHeight="true" outlineLevel="0" collapsed="false">
      <c r="A1094" s="6" t="s">
        <v>5003</v>
      </c>
      <c r="B1094" s="6" t="s">
        <v>7998</v>
      </c>
      <c r="C1094" s="28" t="n">
        <v>0</v>
      </c>
      <c r="D1094" s="6" t="n">
        <v>10</v>
      </c>
      <c r="E1094" s="29"/>
      <c r="F1094" s="6"/>
      <c r="G1094" s="6" t="n">
        <v>6</v>
      </c>
      <c r="H1094" s="6" t="s">
        <v>8007</v>
      </c>
    </row>
    <row r="1095" customFormat="false" ht="15" hidden="false" customHeight="true" outlineLevel="0" collapsed="false">
      <c r="A1095" s="6" t="s">
        <v>5018</v>
      </c>
      <c r="B1095" s="6" t="s">
        <v>7998</v>
      </c>
      <c r="C1095" s="28" t="n">
        <v>0</v>
      </c>
      <c r="D1095" s="6" t="n">
        <v>23</v>
      </c>
      <c r="E1095" s="29"/>
      <c r="F1095" s="6"/>
      <c r="G1095" s="6" t="n">
        <v>6</v>
      </c>
      <c r="H1095" s="6" t="s">
        <v>8007</v>
      </c>
    </row>
    <row r="1096" customFormat="false" ht="15" hidden="false" customHeight="true" outlineLevel="0" collapsed="false">
      <c r="A1096" s="6" t="s">
        <v>5052</v>
      </c>
      <c r="B1096" s="6" t="s">
        <v>8000</v>
      </c>
      <c r="C1096" s="28" t="n">
        <v>0</v>
      </c>
      <c r="D1096" s="6" t="n">
        <v>19</v>
      </c>
      <c r="E1096" s="29"/>
      <c r="F1096" s="6"/>
      <c r="G1096" s="6" t="n">
        <v>6</v>
      </c>
      <c r="H1096" s="6" t="s">
        <v>8007</v>
      </c>
    </row>
    <row r="1097" customFormat="false" ht="15" hidden="false" customHeight="true" outlineLevel="0" collapsed="false">
      <c r="A1097" s="6" t="s">
        <v>5987</v>
      </c>
      <c r="B1097" s="6" t="s">
        <v>8000</v>
      </c>
      <c r="C1097" s="28" t="n">
        <v>0</v>
      </c>
      <c r="D1097" s="6" t="n">
        <v>19</v>
      </c>
      <c r="E1097" s="29"/>
      <c r="F1097" s="6"/>
      <c r="G1097" s="6" t="n">
        <v>6</v>
      </c>
      <c r="H1097" s="6" t="s">
        <v>8007</v>
      </c>
    </row>
    <row r="1098" customFormat="false" ht="15" hidden="false" customHeight="true" outlineLevel="0" collapsed="false">
      <c r="A1098" s="6" t="s">
        <v>5965</v>
      </c>
      <c r="B1098" s="6" t="s">
        <v>8000</v>
      </c>
      <c r="C1098" s="28" t="n">
        <v>0</v>
      </c>
      <c r="D1098" s="6" t="n">
        <v>18</v>
      </c>
      <c r="E1098" s="29"/>
      <c r="F1098" s="6"/>
      <c r="G1098" s="6" t="n">
        <v>6</v>
      </c>
      <c r="H1098" s="6" t="s">
        <v>8007</v>
      </c>
    </row>
    <row r="1099" customFormat="false" ht="15" hidden="false" customHeight="true" outlineLevel="0" collapsed="false">
      <c r="A1099" s="6" t="s">
        <v>5944</v>
      </c>
      <c r="B1099" s="6" t="s">
        <v>8000</v>
      </c>
      <c r="C1099" s="28" t="n">
        <v>0</v>
      </c>
      <c r="D1099" s="6" t="n">
        <v>19</v>
      </c>
      <c r="E1099" s="29"/>
      <c r="F1099" s="6"/>
      <c r="G1099" s="6" t="n">
        <v>6</v>
      </c>
      <c r="H1099" s="6" t="s">
        <v>8007</v>
      </c>
    </row>
    <row r="1100" customFormat="false" ht="15" hidden="false" customHeight="true" outlineLevel="0" collapsed="false">
      <c r="A1100" s="6" t="s">
        <v>5954</v>
      </c>
      <c r="B1100" s="6" t="s">
        <v>8002</v>
      </c>
      <c r="C1100" s="28" t="n">
        <v>0</v>
      </c>
      <c r="D1100" s="6" t="n">
        <v>12</v>
      </c>
      <c r="E1100" s="29"/>
      <c r="F1100" s="6"/>
      <c r="G1100" s="6" t="n">
        <v>6</v>
      </c>
      <c r="H1100" s="6" t="s">
        <v>8007</v>
      </c>
    </row>
    <row r="1101" customFormat="false" ht="15" hidden="false" customHeight="true" outlineLevel="0" collapsed="false">
      <c r="A1101" s="6" t="s">
        <v>5068</v>
      </c>
      <c r="B1101" s="6" t="s">
        <v>7998</v>
      </c>
      <c r="C1101" s="28" t="n">
        <v>0</v>
      </c>
      <c r="D1101" s="6" t="n">
        <v>19</v>
      </c>
      <c r="E1101" s="29"/>
      <c r="F1101" s="6"/>
      <c r="G1101" s="6" t="s">
        <v>6868</v>
      </c>
      <c r="H1101" s="6" t="s">
        <v>8007</v>
      </c>
    </row>
    <row r="1102" customFormat="false" ht="15" hidden="false" customHeight="true" outlineLevel="0" collapsed="false">
      <c r="A1102" s="6" t="s">
        <v>5065</v>
      </c>
      <c r="B1102" s="6" t="s">
        <v>7998</v>
      </c>
      <c r="C1102" s="28" t="n">
        <v>0</v>
      </c>
      <c r="D1102" s="6" t="n">
        <v>14</v>
      </c>
      <c r="E1102" s="29"/>
      <c r="F1102" s="6"/>
      <c r="G1102" s="6" t="s">
        <v>6868</v>
      </c>
      <c r="H1102" s="6" t="s">
        <v>8007</v>
      </c>
    </row>
    <row r="1103" customFormat="false" ht="15" hidden="false" customHeight="true" outlineLevel="0" collapsed="false">
      <c r="A1103" s="6" t="s">
        <v>6620</v>
      </c>
      <c r="B1103" s="6" t="s">
        <v>7997</v>
      </c>
      <c r="C1103" s="28" t="n">
        <v>0</v>
      </c>
      <c r="D1103" s="6" t="n">
        <v>12</v>
      </c>
      <c r="E1103" s="29" t="n">
        <v>0.31</v>
      </c>
      <c r="F1103" s="6" t="n">
        <v>1</v>
      </c>
      <c r="G1103" s="6" t="n">
        <v>2</v>
      </c>
      <c r="H1103" s="6"/>
    </row>
    <row r="1104" customFormat="false" ht="15" hidden="false" customHeight="true" outlineLevel="0" collapsed="false">
      <c r="A1104" s="6" t="s">
        <v>7566</v>
      </c>
      <c r="B1104" s="6" t="s">
        <v>7998</v>
      </c>
      <c r="C1104" s="28" t="n">
        <v>0</v>
      </c>
      <c r="D1104" s="6" t="n">
        <v>28</v>
      </c>
      <c r="E1104" s="29"/>
      <c r="F1104" s="6"/>
      <c r="G1104" s="6" t="s">
        <v>6893</v>
      </c>
      <c r="H1104" s="6" t="s">
        <v>8007</v>
      </c>
    </row>
    <row r="1105" customFormat="false" ht="15" hidden="false" customHeight="true" outlineLevel="0" collapsed="false">
      <c r="A1105" s="6" t="s">
        <v>5117</v>
      </c>
      <c r="B1105" s="6" t="s">
        <v>7998</v>
      </c>
      <c r="C1105" s="28" t="n">
        <v>0</v>
      </c>
      <c r="D1105" s="6" t="n">
        <v>13</v>
      </c>
      <c r="E1105" s="29" t="n">
        <v>0</v>
      </c>
      <c r="F1105" s="6" t="n">
        <v>0</v>
      </c>
      <c r="G1105" s="6" t="s">
        <v>6867</v>
      </c>
      <c r="H1105" s="6"/>
    </row>
    <row r="1106" customFormat="false" ht="15" hidden="false" customHeight="true" outlineLevel="0" collapsed="false">
      <c r="A1106" s="6" t="s">
        <v>5108</v>
      </c>
      <c r="B1106" s="6" t="s">
        <v>7998</v>
      </c>
      <c r="C1106" s="28" t="n">
        <v>0</v>
      </c>
      <c r="D1106" s="6" t="n">
        <v>27</v>
      </c>
      <c r="E1106" s="29"/>
      <c r="F1106" s="6"/>
      <c r="G1106" s="6" t="s">
        <v>6867</v>
      </c>
      <c r="H1106" s="6" t="s">
        <v>8007</v>
      </c>
    </row>
    <row r="1107" customFormat="false" ht="15" hidden="false" customHeight="true" outlineLevel="0" collapsed="false">
      <c r="A1107" s="6" t="s">
        <v>5087</v>
      </c>
      <c r="B1107" s="6" t="s">
        <v>7998</v>
      </c>
      <c r="C1107" s="28" t="n">
        <v>0</v>
      </c>
      <c r="D1107" s="6" t="n">
        <v>19</v>
      </c>
      <c r="E1107" s="29"/>
      <c r="F1107" s="6"/>
      <c r="G1107" s="6" t="n">
        <v>6</v>
      </c>
      <c r="H1107" s="6" t="s">
        <v>8007</v>
      </c>
    </row>
    <row r="1108" customFormat="false" ht="15" hidden="false" customHeight="true" outlineLevel="0" collapsed="false">
      <c r="A1108" s="6" t="s">
        <v>7935</v>
      </c>
      <c r="B1108" s="6" t="s">
        <v>8001</v>
      </c>
      <c r="C1108" s="28" t="n">
        <v>0</v>
      </c>
      <c r="D1108" s="6" t="n">
        <v>31</v>
      </c>
      <c r="E1108" s="29"/>
      <c r="F1108" s="6"/>
      <c r="G1108" s="6" t="s">
        <v>7927</v>
      </c>
      <c r="H1108" s="6" t="s">
        <v>8007</v>
      </c>
    </row>
    <row r="1109" customFormat="false" ht="15" hidden="false" customHeight="true" outlineLevel="0" collapsed="false">
      <c r="A1109" s="6" t="s">
        <v>7936</v>
      </c>
      <c r="B1109" s="6" t="s">
        <v>7999</v>
      </c>
      <c r="C1109" s="28" t="n">
        <v>0</v>
      </c>
      <c r="D1109" s="6" t="n">
        <v>33</v>
      </c>
      <c r="E1109" s="29"/>
      <c r="F1109" s="6"/>
      <c r="G1109" s="6" t="s">
        <v>7927</v>
      </c>
      <c r="H1109" s="6" t="s">
        <v>8007</v>
      </c>
    </row>
    <row r="1110" customFormat="false" ht="15" hidden="false" customHeight="true" outlineLevel="0" collapsed="false">
      <c r="A1110" s="6" t="s">
        <v>5142</v>
      </c>
      <c r="B1110" s="6" t="s">
        <v>7997</v>
      </c>
      <c r="C1110" s="28" t="n">
        <v>0</v>
      </c>
      <c r="D1110" s="6" t="n">
        <v>16</v>
      </c>
      <c r="E1110" s="29"/>
      <c r="F1110" s="6"/>
      <c r="G1110" s="6" t="n">
        <v>6</v>
      </c>
      <c r="H1110" s="6" t="s">
        <v>8007</v>
      </c>
    </row>
    <row r="1111" customFormat="false" ht="15" hidden="false" customHeight="true" outlineLevel="0" collapsed="false">
      <c r="A1111" s="6" t="s">
        <v>5155</v>
      </c>
      <c r="B1111" s="6" t="s">
        <v>7998</v>
      </c>
      <c r="C1111" s="28" t="n">
        <v>0</v>
      </c>
      <c r="D1111" s="6" t="n">
        <v>16</v>
      </c>
      <c r="E1111" s="29"/>
      <c r="F1111" s="6"/>
      <c r="G1111" s="6" t="n">
        <v>6</v>
      </c>
      <c r="H1111" s="6" t="s">
        <v>8007</v>
      </c>
    </row>
    <row r="1112" customFormat="false" ht="15" hidden="false" customHeight="true" outlineLevel="0" collapsed="false">
      <c r="A1112" s="6" t="s">
        <v>5166</v>
      </c>
      <c r="B1112" s="6" t="s">
        <v>7998</v>
      </c>
      <c r="C1112" s="28" t="n">
        <v>0</v>
      </c>
      <c r="D1112" s="6" t="n">
        <v>17</v>
      </c>
      <c r="E1112" s="29"/>
      <c r="F1112" s="6"/>
      <c r="G1112" s="6" t="n">
        <v>6</v>
      </c>
      <c r="H1112" s="6" t="s">
        <v>8007</v>
      </c>
    </row>
    <row r="1113" customFormat="false" ht="15" hidden="false" customHeight="true" outlineLevel="0" collapsed="false">
      <c r="A1113" s="6" t="s">
        <v>5178</v>
      </c>
      <c r="B1113" s="6" t="s">
        <v>7997</v>
      </c>
      <c r="C1113" s="28" t="n">
        <v>0</v>
      </c>
      <c r="D1113" s="6" t="n">
        <v>23</v>
      </c>
      <c r="E1113" s="29"/>
      <c r="F1113" s="6"/>
      <c r="G1113" s="6" t="n">
        <v>7</v>
      </c>
      <c r="H1113" s="6" t="s">
        <v>8007</v>
      </c>
    </row>
    <row r="1114" customFormat="false" ht="15" hidden="false" customHeight="true" outlineLevel="0" collapsed="false">
      <c r="A1114" s="6" t="s">
        <v>5188</v>
      </c>
      <c r="B1114" s="6" t="s">
        <v>7997</v>
      </c>
      <c r="C1114" s="28" t="n">
        <v>0</v>
      </c>
      <c r="D1114" s="6" t="n">
        <v>34</v>
      </c>
      <c r="E1114" s="29"/>
      <c r="F1114" s="6"/>
      <c r="G1114" s="6" t="n">
        <v>7</v>
      </c>
      <c r="H1114" s="6" t="s">
        <v>8008</v>
      </c>
    </row>
    <row r="1115" customFormat="false" ht="15" hidden="false" customHeight="true" outlineLevel="0" collapsed="false">
      <c r="A1115" s="6" t="s">
        <v>5199</v>
      </c>
      <c r="B1115" s="6" t="s">
        <v>7998</v>
      </c>
      <c r="C1115" s="28" t="n">
        <v>0</v>
      </c>
      <c r="D1115" s="6" t="n">
        <v>13</v>
      </c>
      <c r="E1115" s="29" t="n">
        <v>0</v>
      </c>
      <c r="F1115" s="6" t="n">
        <v>1</v>
      </c>
      <c r="G1115" s="6" t="s">
        <v>6867</v>
      </c>
      <c r="H1115" s="6"/>
    </row>
    <row r="1116" customFormat="false" ht="15" hidden="false" customHeight="true" outlineLevel="0" collapsed="false">
      <c r="A1116" s="6" t="s">
        <v>6632</v>
      </c>
      <c r="B1116" s="6" t="s">
        <v>7997</v>
      </c>
      <c r="C1116" s="28" t="n">
        <v>0</v>
      </c>
      <c r="D1116" s="6" t="n">
        <v>9</v>
      </c>
      <c r="E1116" s="29" t="n">
        <v>0</v>
      </c>
      <c r="F1116" s="6" t="n">
        <v>1</v>
      </c>
      <c r="G1116" s="6" t="n">
        <v>2</v>
      </c>
      <c r="H1116" s="6"/>
    </row>
    <row r="1117" customFormat="false" ht="15" hidden="false" customHeight="true" outlineLevel="0" collapsed="false">
      <c r="A1117" s="6" t="s">
        <v>5218</v>
      </c>
      <c r="B1117" s="6" t="s">
        <v>7998</v>
      </c>
      <c r="C1117" s="28" t="n">
        <v>0</v>
      </c>
      <c r="D1117" s="6" t="n">
        <v>21</v>
      </c>
      <c r="E1117" s="29"/>
      <c r="F1117" s="6"/>
      <c r="G1117" s="6" t="n">
        <v>7</v>
      </c>
      <c r="H1117" s="6" t="s">
        <v>8007</v>
      </c>
    </row>
    <row r="1118" customFormat="false" ht="15" hidden="false" customHeight="true" outlineLevel="0" collapsed="false">
      <c r="A1118" s="6" t="s">
        <v>6637</v>
      </c>
      <c r="B1118" s="6" t="s">
        <v>7997</v>
      </c>
      <c r="C1118" s="28" t="n">
        <v>0</v>
      </c>
      <c r="D1118" s="6" t="n">
        <v>12</v>
      </c>
      <c r="E1118" s="29" t="n">
        <v>0.41</v>
      </c>
      <c r="F1118" s="6" t="n">
        <v>1</v>
      </c>
      <c r="G1118" s="6" t="n">
        <v>2</v>
      </c>
      <c r="H1118" s="6"/>
    </row>
    <row r="1119" customFormat="false" ht="15" hidden="false" customHeight="true" outlineLevel="0" collapsed="false">
      <c r="A1119" s="6" t="s">
        <v>5285</v>
      </c>
      <c r="B1119" s="6" t="s">
        <v>8000</v>
      </c>
      <c r="C1119" s="28" t="n">
        <v>0</v>
      </c>
      <c r="D1119" s="6" t="n">
        <v>13</v>
      </c>
      <c r="E1119" s="29"/>
      <c r="F1119" s="6"/>
      <c r="G1119" s="6" t="n">
        <v>7</v>
      </c>
      <c r="H1119" s="6" t="s">
        <v>8007</v>
      </c>
    </row>
    <row r="1120" customFormat="false" ht="15" hidden="false" customHeight="true" outlineLevel="0" collapsed="false">
      <c r="A1120" s="6" t="s">
        <v>5320</v>
      </c>
      <c r="B1120" s="6" t="s">
        <v>8000</v>
      </c>
      <c r="C1120" s="28" t="n">
        <v>0</v>
      </c>
      <c r="D1120" s="6" t="n">
        <v>6</v>
      </c>
      <c r="E1120" s="29" t="n">
        <v>0</v>
      </c>
      <c r="F1120" s="6" t="n">
        <v>0</v>
      </c>
      <c r="G1120" s="6" t="n">
        <v>7</v>
      </c>
      <c r="H1120" s="6"/>
    </row>
    <row r="1121" customFormat="false" ht="15" hidden="false" customHeight="true" outlineLevel="0" collapsed="false">
      <c r="A1121" s="6" t="s">
        <v>5343</v>
      </c>
      <c r="B1121" s="6" t="s">
        <v>7998</v>
      </c>
      <c r="C1121" s="28" t="n">
        <v>0</v>
      </c>
      <c r="D1121" s="6" t="n">
        <v>16</v>
      </c>
      <c r="E1121" s="29"/>
      <c r="F1121" s="6"/>
      <c r="G1121" s="6" t="n">
        <v>7</v>
      </c>
      <c r="H1121" s="6" t="s">
        <v>8007</v>
      </c>
    </row>
    <row r="1122" customFormat="false" ht="15" hidden="false" customHeight="true" outlineLevel="0" collapsed="false">
      <c r="A1122" s="6" t="s">
        <v>5330</v>
      </c>
      <c r="B1122" s="6" t="s">
        <v>7998</v>
      </c>
      <c r="C1122" s="28" t="n">
        <v>0</v>
      </c>
      <c r="D1122" s="6" t="n">
        <v>14</v>
      </c>
      <c r="E1122" s="29"/>
      <c r="F1122" s="6"/>
      <c r="G1122" s="6" t="n">
        <v>7</v>
      </c>
      <c r="H1122" s="6" t="s">
        <v>8007</v>
      </c>
    </row>
    <row r="1123" customFormat="false" ht="15" hidden="false" customHeight="true" outlineLevel="0" collapsed="false">
      <c r="A1123" s="6" t="s">
        <v>5375</v>
      </c>
      <c r="B1123" s="6" t="s">
        <v>7998</v>
      </c>
      <c r="C1123" s="28" t="n">
        <v>0</v>
      </c>
      <c r="D1123" s="6" t="n">
        <v>12</v>
      </c>
      <c r="E1123" s="29"/>
      <c r="F1123" s="6"/>
      <c r="G1123" s="6" t="n">
        <v>7</v>
      </c>
      <c r="H1123" s="6" t="s">
        <v>8007</v>
      </c>
    </row>
    <row r="1124" customFormat="false" ht="15" hidden="false" customHeight="true" outlineLevel="0" collapsed="false">
      <c r="A1124" s="6" t="s">
        <v>5387</v>
      </c>
      <c r="B1124" s="6" t="s">
        <v>7998</v>
      </c>
      <c r="C1124" s="28" t="n">
        <v>0</v>
      </c>
      <c r="D1124" s="6" t="n">
        <v>9</v>
      </c>
      <c r="E1124" s="29"/>
      <c r="F1124" s="6"/>
      <c r="G1124" s="6" t="n">
        <v>7</v>
      </c>
      <c r="H1124" s="6" t="s">
        <v>8007</v>
      </c>
    </row>
    <row r="1125" customFormat="false" ht="15" hidden="false" customHeight="true" outlineLevel="0" collapsed="false">
      <c r="A1125" s="6" t="s">
        <v>5397</v>
      </c>
      <c r="B1125" s="6" t="s">
        <v>8000</v>
      </c>
      <c r="C1125" s="28" t="n">
        <v>0</v>
      </c>
      <c r="D1125" s="6" t="n">
        <v>16</v>
      </c>
      <c r="E1125" s="29"/>
      <c r="F1125" s="6"/>
      <c r="G1125" s="6" t="s">
        <v>6867</v>
      </c>
      <c r="H1125" s="6" t="s">
        <v>8007</v>
      </c>
    </row>
    <row r="1126" customFormat="false" ht="15" hidden="false" customHeight="true" outlineLevel="0" collapsed="false">
      <c r="A1126" s="6" t="s">
        <v>6646</v>
      </c>
      <c r="B1126" s="6" t="s">
        <v>7998</v>
      </c>
      <c r="C1126" s="28" t="n">
        <v>0</v>
      </c>
      <c r="D1126" s="6" t="n">
        <v>15</v>
      </c>
      <c r="E1126" s="29"/>
      <c r="F1126" s="6"/>
      <c r="G1126" s="6" t="n">
        <v>2</v>
      </c>
      <c r="H1126" s="6" t="s">
        <v>8007</v>
      </c>
    </row>
    <row r="1127" customFormat="false" ht="15" hidden="false" customHeight="true" outlineLevel="0" collapsed="false">
      <c r="A1127" s="6" t="s">
        <v>4463</v>
      </c>
      <c r="B1127" s="6" t="s">
        <v>7998</v>
      </c>
      <c r="C1127" s="28" t="n">
        <v>0</v>
      </c>
      <c r="D1127" s="6" t="n">
        <v>27</v>
      </c>
      <c r="E1127" s="29"/>
      <c r="F1127" s="6"/>
      <c r="G1127" s="6" t="n">
        <v>7</v>
      </c>
      <c r="H1127" s="6" t="s">
        <v>8007</v>
      </c>
    </row>
    <row r="1128" customFormat="false" ht="15" hidden="false" customHeight="true" outlineLevel="0" collapsed="false">
      <c r="A1128" s="6" t="s">
        <v>4473</v>
      </c>
      <c r="B1128" s="6" t="s">
        <v>8000</v>
      </c>
      <c r="C1128" s="28" t="n">
        <v>0</v>
      </c>
      <c r="D1128" s="6" t="n">
        <v>14</v>
      </c>
      <c r="E1128" s="29"/>
      <c r="F1128" s="6"/>
      <c r="G1128" s="6" t="n">
        <v>7</v>
      </c>
      <c r="H1128" s="6" t="s">
        <v>8007</v>
      </c>
    </row>
    <row r="1129" customFormat="false" ht="15" hidden="false" customHeight="true" outlineLevel="0" collapsed="false">
      <c r="A1129" s="6" t="s">
        <v>4484</v>
      </c>
      <c r="B1129" s="6" t="s">
        <v>8000</v>
      </c>
      <c r="C1129" s="28" t="n">
        <v>0</v>
      </c>
      <c r="D1129" s="6" t="n">
        <v>22</v>
      </c>
      <c r="E1129" s="29"/>
      <c r="F1129" s="6"/>
      <c r="G1129" s="6" t="n">
        <v>7</v>
      </c>
      <c r="H1129" s="6" t="s">
        <v>8007</v>
      </c>
    </row>
    <row r="1130" customFormat="false" ht="15" hidden="false" customHeight="true" outlineLevel="0" collapsed="false">
      <c r="A1130" s="6" t="s">
        <v>4494</v>
      </c>
      <c r="B1130" s="6" t="s">
        <v>7998</v>
      </c>
      <c r="C1130" s="28" t="n">
        <v>0</v>
      </c>
      <c r="D1130" s="6" t="n">
        <v>24</v>
      </c>
      <c r="E1130" s="29"/>
      <c r="F1130" s="6"/>
      <c r="G1130" s="6" t="n">
        <v>7</v>
      </c>
      <c r="H1130" s="6" t="s">
        <v>8007</v>
      </c>
    </row>
    <row r="1131" customFormat="false" ht="15" hidden="false" customHeight="true" outlineLevel="0" collapsed="false">
      <c r="A1131" s="6" t="s">
        <v>4504</v>
      </c>
      <c r="B1131" s="6" t="s">
        <v>7997</v>
      </c>
      <c r="C1131" s="28" t="n">
        <v>0</v>
      </c>
      <c r="D1131" s="6" t="n">
        <v>28</v>
      </c>
      <c r="E1131" s="29"/>
      <c r="F1131" s="6"/>
      <c r="G1131" s="6" t="n">
        <v>7</v>
      </c>
      <c r="H1131" s="6" t="s">
        <v>8007</v>
      </c>
    </row>
    <row r="1132" customFormat="false" ht="15" hidden="false" customHeight="true" outlineLevel="0" collapsed="false">
      <c r="A1132" s="6" t="s">
        <v>4514</v>
      </c>
      <c r="B1132" s="6" t="s">
        <v>7998</v>
      </c>
      <c r="C1132" s="28" t="n">
        <v>0</v>
      </c>
      <c r="D1132" s="6" t="n">
        <v>24</v>
      </c>
      <c r="E1132" s="29"/>
      <c r="F1132" s="6"/>
      <c r="G1132" s="6" t="n">
        <v>7</v>
      </c>
      <c r="H1132" s="6" t="s">
        <v>8007</v>
      </c>
    </row>
    <row r="1133" customFormat="false" ht="15" hidden="false" customHeight="true" outlineLevel="0" collapsed="false">
      <c r="A1133" s="6" t="s">
        <v>4524</v>
      </c>
      <c r="B1133" s="6" t="s">
        <v>8000</v>
      </c>
      <c r="C1133" s="28" t="n">
        <v>0</v>
      </c>
      <c r="D1133" s="6" t="n">
        <v>35</v>
      </c>
      <c r="E1133" s="29"/>
      <c r="F1133" s="6"/>
      <c r="G1133" s="6" t="n">
        <v>7</v>
      </c>
      <c r="H1133" s="6" t="s">
        <v>8007</v>
      </c>
    </row>
    <row r="1134" customFormat="false" ht="15" hidden="false" customHeight="true" outlineLevel="0" collapsed="false">
      <c r="A1134" s="6" t="s">
        <v>4535</v>
      </c>
      <c r="B1134" s="6" t="s">
        <v>8004</v>
      </c>
      <c r="C1134" s="28" t="n">
        <v>0</v>
      </c>
      <c r="D1134" s="6" t="n">
        <v>34</v>
      </c>
      <c r="E1134" s="29"/>
      <c r="F1134" s="6"/>
      <c r="G1134" s="6" t="n">
        <v>7</v>
      </c>
      <c r="H1134" s="6" t="s">
        <v>8007</v>
      </c>
    </row>
    <row r="1135" customFormat="false" ht="15" hidden="false" customHeight="true" outlineLevel="0" collapsed="false">
      <c r="A1135" s="6" t="s">
        <v>4545</v>
      </c>
      <c r="B1135" s="6" t="s">
        <v>7998</v>
      </c>
      <c r="C1135" s="28" t="n">
        <v>0</v>
      </c>
      <c r="D1135" s="6" t="n">
        <v>28</v>
      </c>
      <c r="E1135" s="29"/>
      <c r="F1135" s="6"/>
      <c r="G1135" s="6" t="n">
        <v>7</v>
      </c>
      <c r="H1135" s="6" t="s">
        <v>8007</v>
      </c>
    </row>
    <row r="1136" customFormat="false" ht="15" hidden="false" customHeight="true" outlineLevel="0" collapsed="false">
      <c r="A1136" s="6" t="s">
        <v>4555</v>
      </c>
      <c r="B1136" s="6" t="s">
        <v>7997</v>
      </c>
      <c r="C1136" s="28" t="n">
        <v>0</v>
      </c>
      <c r="D1136" s="6" t="n">
        <v>10</v>
      </c>
      <c r="E1136" s="29"/>
      <c r="F1136" s="6"/>
      <c r="G1136" s="6" t="n">
        <v>7</v>
      </c>
      <c r="H1136" s="6" t="s">
        <v>8007</v>
      </c>
    </row>
    <row r="1137" customFormat="false" ht="15" hidden="false" customHeight="true" outlineLevel="0" collapsed="false">
      <c r="A1137" s="6" t="s">
        <v>4565</v>
      </c>
      <c r="B1137" s="6" t="s">
        <v>7998</v>
      </c>
      <c r="C1137" s="28" t="n">
        <v>0</v>
      </c>
      <c r="D1137" s="6" t="n">
        <v>24</v>
      </c>
      <c r="E1137" s="29"/>
      <c r="F1137" s="6"/>
      <c r="G1137" s="6" t="n">
        <v>7</v>
      </c>
      <c r="H1137" s="6" t="s">
        <v>8007</v>
      </c>
    </row>
    <row r="1138" customFormat="false" ht="15" hidden="false" customHeight="true" outlineLevel="0" collapsed="false">
      <c r="A1138" s="6" t="s">
        <v>4575</v>
      </c>
      <c r="B1138" s="6" t="s">
        <v>7998</v>
      </c>
      <c r="C1138" s="28" t="n">
        <v>0</v>
      </c>
      <c r="D1138" s="6" t="n">
        <v>24</v>
      </c>
      <c r="E1138" s="29"/>
      <c r="F1138" s="6"/>
      <c r="G1138" s="6" t="n">
        <v>7</v>
      </c>
      <c r="H1138" s="6" t="s">
        <v>8007</v>
      </c>
    </row>
    <row r="1139" customFormat="false" ht="15" hidden="false" customHeight="true" outlineLevel="0" collapsed="false">
      <c r="A1139" s="6" t="s">
        <v>4585</v>
      </c>
      <c r="B1139" s="6" t="s">
        <v>8000</v>
      </c>
      <c r="C1139" s="28" t="n">
        <v>0</v>
      </c>
      <c r="D1139" s="6" t="n">
        <v>16</v>
      </c>
      <c r="E1139" s="29"/>
      <c r="F1139" s="6"/>
      <c r="G1139" s="6" t="n">
        <v>7</v>
      </c>
      <c r="H1139" s="6" t="s">
        <v>8007</v>
      </c>
    </row>
    <row r="1140" customFormat="false" ht="15" hidden="false" customHeight="true" outlineLevel="0" collapsed="false">
      <c r="A1140" s="6" t="s">
        <v>4595</v>
      </c>
      <c r="B1140" s="6" t="s">
        <v>7998</v>
      </c>
      <c r="C1140" s="28" t="n">
        <v>0</v>
      </c>
      <c r="D1140" s="6" t="n">
        <v>28</v>
      </c>
      <c r="E1140" s="29"/>
      <c r="F1140" s="6"/>
      <c r="G1140" s="6" t="n">
        <v>7</v>
      </c>
      <c r="H1140" s="6" t="s">
        <v>8007</v>
      </c>
    </row>
    <row r="1141" customFormat="false" ht="15" hidden="false" customHeight="true" outlineLevel="0" collapsed="false">
      <c r="A1141" s="6" t="s">
        <v>5435</v>
      </c>
      <c r="B1141" s="6" t="s">
        <v>7997</v>
      </c>
      <c r="C1141" s="28" t="n">
        <v>0</v>
      </c>
      <c r="D1141" s="6" t="n">
        <v>17</v>
      </c>
      <c r="E1141" s="29"/>
      <c r="F1141" s="6"/>
      <c r="G1141" s="6" t="s">
        <v>6868</v>
      </c>
      <c r="H1141" s="6" t="s">
        <v>8007</v>
      </c>
    </row>
    <row r="1142" customFormat="false" ht="15" hidden="false" customHeight="true" outlineLevel="0" collapsed="false">
      <c r="A1142" s="6" t="s">
        <v>5476</v>
      </c>
      <c r="B1142" s="6" t="s">
        <v>7997</v>
      </c>
      <c r="C1142" s="28" t="n">
        <v>0</v>
      </c>
      <c r="D1142" s="6" t="n">
        <v>24</v>
      </c>
      <c r="E1142" s="29"/>
      <c r="F1142" s="6"/>
      <c r="G1142" s="6" t="n">
        <v>7</v>
      </c>
      <c r="H1142" s="6" t="s">
        <v>8007</v>
      </c>
    </row>
    <row r="1143" customFormat="false" ht="15" hidden="false" customHeight="true" outlineLevel="0" collapsed="false">
      <c r="A1143" s="6" t="s">
        <v>5508</v>
      </c>
      <c r="B1143" s="6" t="s">
        <v>8002</v>
      </c>
      <c r="C1143" s="28" t="n">
        <v>0</v>
      </c>
      <c r="D1143" s="6" t="n">
        <v>22</v>
      </c>
      <c r="E1143" s="29"/>
      <c r="F1143" s="6"/>
      <c r="G1143" s="6" t="n">
        <v>7</v>
      </c>
      <c r="H1143" s="6" t="s">
        <v>8007</v>
      </c>
    </row>
    <row r="1144" customFormat="false" ht="15" hidden="false" customHeight="true" outlineLevel="0" collapsed="false">
      <c r="A1144" s="6" t="s">
        <v>5466</v>
      </c>
      <c r="B1144" s="6" t="s">
        <v>7997</v>
      </c>
      <c r="C1144" s="28" t="n">
        <v>0</v>
      </c>
      <c r="D1144" s="6" t="n">
        <v>17</v>
      </c>
      <c r="E1144" s="29"/>
      <c r="F1144" s="6"/>
      <c r="G1144" s="6" t="n">
        <v>7</v>
      </c>
      <c r="H1144" s="6" t="s">
        <v>8007</v>
      </c>
    </row>
    <row r="1145" customFormat="false" ht="15" hidden="false" customHeight="true" outlineLevel="0" collapsed="false">
      <c r="A1145" s="6" t="s">
        <v>6749</v>
      </c>
      <c r="B1145" s="6" t="s">
        <v>7998</v>
      </c>
      <c r="C1145" s="28" t="n">
        <v>0</v>
      </c>
      <c r="D1145" s="6" t="n">
        <v>22</v>
      </c>
      <c r="E1145" s="29"/>
      <c r="F1145" s="6"/>
      <c r="G1145" s="6" t="n">
        <v>3</v>
      </c>
      <c r="H1145" s="6" t="s">
        <v>8007</v>
      </c>
    </row>
    <row r="1146" customFormat="false" ht="15" hidden="false" customHeight="true" outlineLevel="0" collapsed="false">
      <c r="A1146" s="6" t="s">
        <v>6651</v>
      </c>
      <c r="B1146" s="6" t="s">
        <v>8001</v>
      </c>
      <c r="C1146" s="28" t="n">
        <v>0</v>
      </c>
      <c r="D1146" s="6" t="n">
        <v>11</v>
      </c>
      <c r="E1146" s="29" t="n">
        <v>0.28</v>
      </c>
      <c r="F1146" s="6" t="n">
        <v>1</v>
      </c>
      <c r="G1146" s="6" t="n">
        <v>2</v>
      </c>
      <c r="H1146" s="6"/>
    </row>
    <row r="1147" customFormat="false" ht="15" hidden="false" customHeight="true" outlineLevel="0" collapsed="false">
      <c r="A1147" s="6" t="s">
        <v>6752</v>
      </c>
      <c r="B1147" s="6" t="s">
        <v>7998</v>
      </c>
      <c r="C1147" s="28" t="n">
        <v>0</v>
      </c>
      <c r="D1147" s="6" t="n">
        <v>53</v>
      </c>
      <c r="E1147" s="29" t="n">
        <v>0</v>
      </c>
      <c r="F1147" s="6" t="n">
        <v>0</v>
      </c>
      <c r="G1147" s="6" t="n">
        <v>3</v>
      </c>
      <c r="H1147" s="6"/>
    </row>
    <row r="1148" customFormat="false" ht="15" hidden="false" customHeight="true" outlineLevel="0" collapsed="false">
      <c r="A1148" s="6" t="s">
        <v>6756</v>
      </c>
      <c r="B1148" s="6" t="s">
        <v>7998</v>
      </c>
      <c r="C1148" s="28" t="n">
        <v>0</v>
      </c>
      <c r="D1148" s="6" t="n">
        <v>29</v>
      </c>
      <c r="E1148" s="29"/>
      <c r="F1148" s="6"/>
      <c r="G1148" s="6" t="n">
        <v>3</v>
      </c>
      <c r="H1148" s="6" t="s">
        <v>8007</v>
      </c>
    </row>
    <row r="1149" customFormat="false" ht="15" hidden="false" customHeight="true" outlineLevel="0" collapsed="false">
      <c r="A1149" s="6" t="s">
        <v>6758</v>
      </c>
      <c r="B1149" s="6" t="s">
        <v>7998</v>
      </c>
      <c r="C1149" s="28" t="n">
        <v>0</v>
      </c>
      <c r="D1149" s="6" t="n">
        <v>11</v>
      </c>
      <c r="E1149" s="29"/>
      <c r="F1149" s="6"/>
      <c r="G1149" s="6" t="n">
        <v>3</v>
      </c>
      <c r="H1149" s="6" t="s">
        <v>8007</v>
      </c>
    </row>
    <row r="1150" customFormat="false" ht="15" hidden="false" customHeight="true" outlineLevel="0" collapsed="false">
      <c r="A1150" s="6" t="s">
        <v>6763</v>
      </c>
      <c r="B1150" s="6" t="s">
        <v>7998</v>
      </c>
      <c r="C1150" s="28" t="n">
        <v>0</v>
      </c>
      <c r="D1150" s="6" t="n">
        <v>18</v>
      </c>
      <c r="E1150" s="29"/>
      <c r="F1150" s="6"/>
      <c r="G1150" s="6" t="n">
        <v>3</v>
      </c>
      <c r="H1150" s="6" t="s">
        <v>8007</v>
      </c>
    </row>
    <row r="1151" customFormat="false" ht="15" hidden="false" customHeight="true" outlineLevel="0" collapsed="false">
      <c r="A1151" s="6" t="s">
        <v>6765</v>
      </c>
      <c r="B1151" s="6" t="s">
        <v>7999</v>
      </c>
      <c r="C1151" s="28" t="n">
        <v>0</v>
      </c>
      <c r="D1151" s="6" t="n">
        <v>11</v>
      </c>
      <c r="E1151" s="29" t="n">
        <v>0</v>
      </c>
      <c r="F1151" s="6" t="n">
        <v>0</v>
      </c>
      <c r="G1151" s="6" t="n">
        <v>3</v>
      </c>
      <c r="H1151" s="6"/>
    </row>
    <row r="1152" customFormat="false" ht="15" hidden="false" customHeight="true" outlineLevel="0" collapsed="false">
      <c r="A1152" s="6" t="s">
        <v>6769</v>
      </c>
      <c r="B1152" s="6" t="s">
        <v>8001</v>
      </c>
      <c r="C1152" s="28" t="n">
        <v>0</v>
      </c>
      <c r="D1152" s="6" t="n">
        <v>22</v>
      </c>
      <c r="E1152" s="29"/>
      <c r="F1152" s="6"/>
      <c r="G1152" s="6" t="n">
        <v>3</v>
      </c>
      <c r="H1152" s="6" t="s">
        <v>8007</v>
      </c>
    </row>
    <row r="1153" customFormat="false" ht="15" hidden="false" customHeight="true" outlineLevel="0" collapsed="false">
      <c r="A1153" s="6" t="s">
        <v>6772</v>
      </c>
      <c r="B1153" s="6" t="s">
        <v>7998</v>
      </c>
      <c r="C1153" s="28" t="n">
        <v>0</v>
      </c>
      <c r="D1153" s="6" t="n">
        <v>32</v>
      </c>
      <c r="E1153" s="29"/>
      <c r="F1153" s="6"/>
      <c r="G1153" s="6" t="n">
        <v>3</v>
      </c>
      <c r="H1153" s="6" t="s">
        <v>8007</v>
      </c>
    </row>
    <row r="1154" customFormat="false" ht="15" hidden="false" customHeight="true" outlineLevel="0" collapsed="false">
      <c r="A1154" s="6" t="s">
        <v>6775</v>
      </c>
      <c r="B1154" s="6" t="s">
        <v>7998</v>
      </c>
      <c r="C1154" s="28" t="n">
        <v>0</v>
      </c>
      <c r="D1154" s="6" t="n">
        <v>11</v>
      </c>
      <c r="E1154" s="29"/>
      <c r="F1154" s="6"/>
      <c r="G1154" s="6" t="n">
        <v>3</v>
      </c>
      <c r="H1154" s="6" t="s">
        <v>8007</v>
      </c>
    </row>
    <row r="1155" customFormat="false" ht="15" hidden="false" customHeight="true" outlineLevel="0" collapsed="false">
      <c r="A1155" s="6" t="s">
        <v>5569</v>
      </c>
      <c r="B1155" s="6" t="s">
        <v>8002</v>
      </c>
      <c r="C1155" s="28" t="n">
        <v>0</v>
      </c>
      <c r="D1155" s="6" t="n">
        <v>9</v>
      </c>
      <c r="E1155" s="29" t="n">
        <v>0</v>
      </c>
      <c r="F1155" s="6" t="n">
        <v>0</v>
      </c>
      <c r="G1155" s="6" t="s">
        <v>6870</v>
      </c>
      <c r="H1155" s="6"/>
    </row>
    <row r="1156" customFormat="false" ht="15" hidden="false" customHeight="true" outlineLevel="0" collapsed="false">
      <c r="A1156" s="6" t="s">
        <v>5567</v>
      </c>
      <c r="B1156" s="6" t="s">
        <v>7997</v>
      </c>
      <c r="C1156" s="28" t="n">
        <v>0</v>
      </c>
      <c r="D1156" s="6" t="n">
        <v>15</v>
      </c>
      <c r="E1156" s="29"/>
      <c r="F1156" s="6"/>
      <c r="G1156" s="6" t="s">
        <v>6867</v>
      </c>
      <c r="H1156" s="6" t="s">
        <v>8007</v>
      </c>
    </row>
    <row r="1157" customFormat="false" ht="15" hidden="false" customHeight="true" outlineLevel="0" collapsed="false">
      <c r="A1157" s="6" t="s">
        <v>5557</v>
      </c>
      <c r="B1157" s="6" t="s">
        <v>7998</v>
      </c>
      <c r="C1157" s="28" t="n">
        <v>0</v>
      </c>
      <c r="D1157" s="6" t="n">
        <v>10</v>
      </c>
      <c r="E1157" s="29" t="n">
        <v>0</v>
      </c>
      <c r="F1157" s="6" t="n">
        <v>1</v>
      </c>
      <c r="G1157" s="6" t="n">
        <v>7</v>
      </c>
      <c r="H1157" s="6"/>
    </row>
    <row r="1158" customFormat="false" ht="15" hidden="false" customHeight="true" outlineLevel="0" collapsed="false">
      <c r="A1158" s="6" t="s">
        <v>6661</v>
      </c>
      <c r="B1158" s="6" t="s">
        <v>7998</v>
      </c>
      <c r="C1158" s="28" t="n">
        <v>0</v>
      </c>
      <c r="D1158" s="6" t="n">
        <v>16</v>
      </c>
      <c r="E1158" s="29"/>
      <c r="F1158" s="6"/>
      <c r="G1158" s="6" t="n">
        <v>2</v>
      </c>
      <c r="H1158" s="6" t="s">
        <v>8007</v>
      </c>
    </row>
    <row r="1159" customFormat="false" ht="15" hidden="false" customHeight="true" outlineLevel="0" collapsed="false">
      <c r="A1159" s="6" t="s">
        <v>5578</v>
      </c>
      <c r="B1159" s="6" t="s">
        <v>7998</v>
      </c>
      <c r="C1159" s="28" t="n">
        <v>0</v>
      </c>
      <c r="D1159" s="6" t="n">
        <v>18</v>
      </c>
      <c r="E1159" s="29"/>
      <c r="F1159" s="6"/>
      <c r="G1159" s="6" t="s">
        <v>6867</v>
      </c>
      <c r="H1159" s="6" t="s">
        <v>8007</v>
      </c>
    </row>
    <row r="1160" customFormat="false" ht="15" hidden="false" customHeight="true" outlineLevel="0" collapsed="false">
      <c r="A1160" s="6" t="s">
        <v>5613</v>
      </c>
      <c r="B1160" s="6" t="s">
        <v>7997</v>
      </c>
      <c r="C1160" s="28" t="n">
        <v>0</v>
      </c>
      <c r="D1160" s="6" t="n">
        <v>13</v>
      </c>
      <c r="E1160" s="29"/>
      <c r="F1160" s="6"/>
      <c r="G1160" s="6" t="n">
        <v>7</v>
      </c>
      <c r="H1160" s="6" t="s">
        <v>8007</v>
      </c>
    </row>
    <row r="1161" customFormat="false" ht="15" hidden="false" customHeight="true" outlineLevel="0" collapsed="false">
      <c r="A1161" s="6" t="s">
        <v>5592</v>
      </c>
      <c r="B1161" s="6" t="s">
        <v>8000</v>
      </c>
      <c r="C1161" s="28" t="n">
        <v>0</v>
      </c>
      <c r="D1161" s="6" t="n">
        <v>22</v>
      </c>
      <c r="E1161" s="29"/>
      <c r="F1161" s="6"/>
      <c r="G1161" s="6" t="n">
        <v>7</v>
      </c>
      <c r="H1161" s="6" t="s">
        <v>8007</v>
      </c>
    </row>
    <row r="1162" customFormat="false" ht="15" hidden="false" customHeight="true" outlineLevel="0" collapsed="false">
      <c r="A1162" s="6" t="s">
        <v>6664</v>
      </c>
      <c r="B1162" s="6" t="s">
        <v>7997</v>
      </c>
      <c r="C1162" s="28" t="n">
        <v>0</v>
      </c>
      <c r="D1162" s="6" t="n">
        <v>19</v>
      </c>
      <c r="E1162" s="29"/>
      <c r="F1162" s="6"/>
      <c r="G1162" s="6" t="n">
        <v>2</v>
      </c>
      <c r="H1162" s="6" t="s">
        <v>8007</v>
      </c>
    </row>
    <row r="1163" customFormat="false" ht="15" hidden="false" customHeight="true" outlineLevel="0" collapsed="false">
      <c r="A1163" s="6" t="s">
        <v>5623</v>
      </c>
      <c r="B1163" s="6" t="s">
        <v>7998</v>
      </c>
      <c r="C1163" s="28" t="n">
        <v>0</v>
      </c>
      <c r="D1163" s="6" t="n">
        <v>16</v>
      </c>
      <c r="E1163" s="29"/>
      <c r="F1163" s="6"/>
      <c r="G1163" s="6" t="n">
        <v>7</v>
      </c>
      <c r="H1163" s="6" t="s">
        <v>8007</v>
      </c>
    </row>
    <row r="1164" customFormat="false" ht="15" hidden="false" customHeight="true" outlineLevel="0" collapsed="false">
      <c r="A1164" s="6" t="s">
        <v>6665</v>
      </c>
      <c r="B1164" s="6" t="s">
        <v>7998</v>
      </c>
      <c r="C1164" s="28" t="n">
        <v>0</v>
      </c>
      <c r="D1164" s="6" t="n">
        <v>7</v>
      </c>
      <c r="E1164" s="29" t="n">
        <v>0</v>
      </c>
      <c r="F1164" s="6" t="n">
        <v>1</v>
      </c>
      <c r="G1164" s="6" t="n">
        <v>2</v>
      </c>
      <c r="H1164" s="6"/>
    </row>
    <row r="1165" customFormat="false" ht="15" hidden="false" customHeight="true" outlineLevel="0" collapsed="false">
      <c r="A1165" s="6" t="s">
        <v>5635</v>
      </c>
      <c r="B1165" s="6" t="s">
        <v>8000</v>
      </c>
      <c r="C1165" s="28" t="n">
        <v>0</v>
      </c>
      <c r="D1165" s="6" t="n">
        <v>15</v>
      </c>
      <c r="E1165" s="29" t="n">
        <v>0</v>
      </c>
      <c r="F1165" s="6" t="n">
        <v>0.33</v>
      </c>
      <c r="G1165" s="6" t="n">
        <v>7</v>
      </c>
      <c r="H1165" s="6"/>
    </row>
    <row r="1166" customFormat="false" ht="15" hidden="false" customHeight="true" outlineLevel="0" collapsed="false">
      <c r="A1166" s="6" t="s">
        <v>6668</v>
      </c>
      <c r="B1166" s="6" t="s">
        <v>7997</v>
      </c>
      <c r="C1166" s="28" t="n">
        <v>0</v>
      </c>
      <c r="D1166" s="6" t="n">
        <v>17</v>
      </c>
      <c r="E1166" s="29"/>
      <c r="F1166" s="6"/>
      <c r="G1166" s="6" t="n">
        <v>2</v>
      </c>
      <c r="H1166" s="6" t="s">
        <v>8007</v>
      </c>
    </row>
    <row r="1167" customFormat="false" ht="15" hidden="false" customHeight="true" outlineLevel="0" collapsed="false">
      <c r="A1167" s="6" t="s">
        <v>5646</v>
      </c>
      <c r="B1167" s="6" t="s">
        <v>7998</v>
      </c>
      <c r="C1167" s="28" t="n">
        <v>0</v>
      </c>
      <c r="D1167" s="6" t="n">
        <v>14</v>
      </c>
      <c r="E1167" s="29"/>
      <c r="F1167" s="6"/>
      <c r="G1167" s="6" t="n">
        <v>7</v>
      </c>
      <c r="H1167" s="6" t="s">
        <v>8007</v>
      </c>
    </row>
    <row r="1168" customFormat="false" ht="15" hidden="false" customHeight="true" outlineLevel="0" collapsed="false">
      <c r="A1168" s="6" t="s">
        <v>5657</v>
      </c>
      <c r="B1168" s="6" t="s">
        <v>8004</v>
      </c>
      <c r="C1168" s="28" t="n">
        <v>0</v>
      </c>
      <c r="D1168" s="6" t="n">
        <v>13</v>
      </c>
      <c r="E1168" s="29" t="n">
        <v>0</v>
      </c>
      <c r="F1168" s="6" t="n">
        <v>1</v>
      </c>
      <c r="G1168" s="6" t="n">
        <v>7</v>
      </c>
      <c r="H1168" s="6"/>
    </row>
    <row r="1169" customFormat="false" ht="15" hidden="false" customHeight="true" outlineLevel="0" collapsed="false">
      <c r="A1169" s="6" t="s">
        <v>5680</v>
      </c>
      <c r="B1169" s="6" t="s">
        <v>8000</v>
      </c>
      <c r="C1169" s="28" t="n">
        <v>0</v>
      </c>
      <c r="D1169" s="6" t="n">
        <v>21</v>
      </c>
      <c r="E1169" s="29"/>
      <c r="F1169" s="6"/>
      <c r="G1169" s="6" t="n">
        <v>7</v>
      </c>
      <c r="H1169" s="6" t="s">
        <v>8007</v>
      </c>
    </row>
    <row r="1170" customFormat="false" ht="15" hidden="false" customHeight="true" outlineLevel="0" collapsed="false">
      <c r="A1170" s="6" t="s">
        <v>6669</v>
      </c>
      <c r="B1170" s="6" t="s">
        <v>7998</v>
      </c>
      <c r="C1170" s="28" t="n">
        <v>0</v>
      </c>
      <c r="D1170" s="6" t="n">
        <v>6</v>
      </c>
      <c r="E1170" s="29" t="n">
        <v>0</v>
      </c>
      <c r="F1170" s="6" t="n">
        <v>1</v>
      </c>
      <c r="G1170" s="6" t="n">
        <v>2</v>
      </c>
      <c r="H1170" s="6"/>
    </row>
    <row r="1171" customFormat="false" ht="15" hidden="false" customHeight="true" outlineLevel="0" collapsed="false">
      <c r="A1171" s="6" t="s">
        <v>5730</v>
      </c>
      <c r="B1171" s="6" t="s">
        <v>7998</v>
      </c>
      <c r="C1171" s="28" t="n">
        <v>0</v>
      </c>
      <c r="D1171" s="6" t="n">
        <v>3</v>
      </c>
      <c r="E1171" s="29" t="n">
        <v>0</v>
      </c>
      <c r="F1171" s="6" t="n">
        <v>0</v>
      </c>
      <c r="G1171" s="6" t="s">
        <v>6868</v>
      </c>
      <c r="H1171" s="6"/>
    </row>
    <row r="1172" customFormat="false" ht="15" hidden="false" customHeight="true" outlineLevel="0" collapsed="false">
      <c r="A1172" s="6" t="s">
        <v>5727</v>
      </c>
      <c r="B1172" s="6" t="s">
        <v>7997</v>
      </c>
      <c r="C1172" s="28" t="n">
        <v>0</v>
      </c>
      <c r="D1172" s="6" t="n">
        <v>2</v>
      </c>
      <c r="E1172" s="29" t="n">
        <v>0</v>
      </c>
      <c r="F1172" s="6" t="n">
        <v>0</v>
      </c>
      <c r="G1172" s="6" t="s">
        <v>6868</v>
      </c>
      <c r="H1172" s="6"/>
    </row>
    <row r="1173" customFormat="false" ht="15" hidden="false" customHeight="true" outlineLevel="0" collapsed="false">
      <c r="A1173" s="6" t="s">
        <v>6778</v>
      </c>
      <c r="B1173" s="6" t="s">
        <v>8001</v>
      </c>
      <c r="C1173" s="28" t="n">
        <v>0</v>
      </c>
      <c r="D1173" s="6" t="n">
        <v>26</v>
      </c>
      <c r="E1173" s="29"/>
      <c r="F1173" s="6"/>
      <c r="G1173" s="6" t="n">
        <v>3</v>
      </c>
      <c r="H1173" s="6" t="s">
        <v>8007</v>
      </c>
    </row>
    <row r="1174" customFormat="false" ht="15" hidden="false" customHeight="true" outlineLevel="0" collapsed="false">
      <c r="A1174" s="6" t="s">
        <v>6673</v>
      </c>
      <c r="B1174" s="6" t="s">
        <v>8004</v>
      </c>
      <c r="C1174" s="28" t="n">
        <v>0</v>
      </c>
      <c r="D1174" s="6" t="n">
        <v>13</v>
      </c>
      <c r="E1174" s="29" t="n">
        <v>0</v>
      </c>
      <c r="F1174" s="6" t="n">
        <v>1</v>
      </c>
      <c r="G1174" s="6" t="n">
        <v>2</v>
      </c>
      <c r="H1174" s="6"/>
    </row>
    <row r="1175" customFormat="false" ht="15" hidden="false" customHeight="true" outlineLevel="0" collapsed="false">
      <c r="A1175" s="6" t="s">
        <v>5752</v>
      </c>
      <c r="B1175" s="6" t="s">
        <v>7998</v>
      </c>
      <c r="C1175" s="28" t="n">
        <v>0</v>
      </c>
      <c r="D1175" s="6" t="n">
        <v>14</v>
      </c>
      <c r="E1175" s="29" t="n">
        <v>0</v>
      </c>
      <c r="F1175" s="6" t="n">
        <v>0</v>
      </c>
      <c r="G1175" s="6" t="n">
        <v>7</v>
      </c>
      <c r="H1175" s="6"/>
    </row>
    <row r="1176" customFormat="false" ht="15" hidden="false" customHeight="true" outlineLevel="0" collapsed="false">
      <c r="A1176" s="6" t="s">
        <v>5775</v>
      </c>
      <c r="B1176" s="6" t="s">
        <v>7998</v>
      </c>
      <c r="C1176" s="28" t="n">
        <v>0</v>
      </c>
      <c r="D1176" s="6" t="n">
        <v>23</v>
      </c>
      <c r="E1176" s="29"/>
      <c r="F1176" s="6"/>
      <c r="G1176" s="6" t="n">
        <v>7</v>
      </c>
      <c r="H1176" s="6" t="s">
        <v>8007</v>
      </c>
    </row>
    <row r="1177" customFormat="false" ht="15" hidden="false" customHeight="true" outlineLevel="0" collapsed="false">
      <c r="A1177" s="6" t="s">
        <v>5903</v>
      </c>
      <c r="B1177" s="6" t="s">
        <v>8001</v>
      </c>
      <c r="C1177" s="28" t="n">
        <v>0</v>
      </c>
      <c r="D1177" s="6" t="n">
        <v>19</v>
      </c>
      <c r="E1177" s="29"/>
      <c r="F1177" s="6"/>
      <c r="G1177" s="6" t="s">
        <v>6868</v>
      </c>
      <c r="H1177" s="6" t="s">
        <v>8007</v>
      </c>
    </row>
    <row r="1178" customFormat="false" ht="15" hidden="false" customHeight="true" outlineLevel="0" collapsed="false">
      <c r="A1178" s="6" t="s">
        <v>5900</v>
      </c>
      <c r="B1178" s="6" t="s">
        <v>7999</v>
      </c>
      <c r="C1178" s="28" t="n">
        <v>0</v>
      </c>
      <c r="D1178" s="6" t="n">
        <v>10</v>
      </c>
      <c r="E1178" s="29"/>
      <c r="F1178" s="6"/>
      <c r="G1178" s="6" t="s">
        <v>6868</v>
      </c>
      <c r="H1178" s="6" t="s">
        <v>8007</v>
      </c>
    </row>
    <row r="1179" customFormat="false" ht="15" hidden="false" customHeight="true" outlineLevel="0" collapsed="false">
      <c r="A1179" s="6" t="s">
        <v>5787</v>
      </c>
      <c r="B1179" s="6" t="s">
        <v>7998</v>
      </c>
      <c r="C1179" s="28" t="n">
        <v>0</v>
      </c>
      <c r="D1179" s="6" t="n">
        <v>3</v>
      </c>
      <c r="E1179" s="29" t="n">
        <v>0</v>
      </c>
      <c r="F1179" s="6" t="n">
        <v>1</v>
      </c>
      <c r="G1179" s="6" t="n">
        <v>7</v>
      </c>
      <c r="H1179" s="6"/>
    </row>
    <row r="1180" customFormat="false" ht="15" hidden="false" customHeight="true" outlineLevel="0" collapsed="false">
      <c r="A1180" s="6" t="s">
        <v>6674</v>
      </c>
      <c r="B1180" s="6" t="s">
        <v>7998</v>
      </c>
      <c r="C1180" s="28" t="n">
        <v>0</v>
      </c>
      <c r="D1180" s="6" t="n">
        <v>13</v>
      </c>
      <c r="E1180" s="29"/>
      <c r="F1180" s="6"/>
      <c r="G1180" s="6" t="n">
        <v>2</v>
      </c>
      <c r="H1180" s="6" t="s">
        <v>8007</v>
      </c>
    </row>
    <row r="1181" customFormat="false" ht="15" hidden="false" customHeight="true" outlineLevel="0" collapsed="false">
      <c r="A1181" s="6" t="s">
        <v>6676</v>
      </c>
      <c r="B1181" s="6" t="s">
        <v>7998</v>
      </c>
      <c r="C1181" s="28" t="n">
        <v>0</v>
      </c>
      <c r="D1181" s="6" t="n">
        <v>12</v>
      </c>
      <c r="E1181" s="29"/>
      <c r="F1181" s="6"/>
      <c r="G1181" s="6" t="n">
        <v>2</v>
      </c>
      <c r="H1181" s="6" t="s">
        <v>8007</v>
      </c>
    </row>
    <row r="1182" customFormat="false" ht="15" hidden="false" customHeight="true" outlineLevel="0" collapsed="false">
      <c r="A1182" s="6" t="s">
        <v>6677</v>
      </c>
      <c r="B1182" s="6" t="s">
        <v>7998</v>
      </c>
      <c r="C1182" s="28" t="n">
        <v>0</v>
      </c>
      <c r="D1182" s="6" t="n">
        <v>18</v>
      </c>
      <c r="E1182" s="29"/>
      <c r="F1182" s="6"/>
      <c r="G1182" s="6" t="n">
        <v>2</v>
      </c>
      <c r="H1182" s="6" t="s">
        <v>8007</v>
      </c>
    </row>
    <row r="1183" customFormat="false" ht="15" hidden="false" customHeight="true" outlineLevel="0" collapsed="false">
      <c r="A1183" s="6" t="s">
        <v>5798</v>
      </c>
      <c r="B1183" s="6" t="s">
        <v>7998</v>
      </c>
      <c r="C1183" s="28" t="n">
        <v>0</v>
      </c>
      <c r="D1183" s="6" t="n">
        <v>22</v>
      </c>
      <c r="E1183" s="29"/>
      <c r="F1183" s="6"/>
      <c r="G1183" s="6" t="n">
        <v>7</v>
      </c>
      <c r="H1183" s="6" t="s">
        <v>8007</v>
      </c>
    </row>
    <row r="1184" customFormat="false" ht="15" hidden="false" customHeight="true" outlineLevel="0" collapsed="false">
      <c r="A1184" s="6" t="s">
        <v>5810</v>
      </c>
      <c r="B1184" s="6" t="s">
        <v>7998</v>
      </c>
      <c r="C1184" s="28" t="n">
        <v>0</v>
      </c>
      <c r="D1184" s="6" t="n">
        <v>15</v>
      </c>
      <c r="E1184" s="29"/>
      <c r="F1184" s="6"/>
      <c r="G1184" s="6" t="n">
        <v>7</v>
      </c>
      <c r="H1184" s="6" t="s">
        <v>8007</v>
      </c>
    </row>
    <row r="1185" customFormat="false" ht="15" hidden="false" customHeight="true" outlineLevel="0" collapsed="false">
      <c r="A1185" s="6" t="s">
        <v>6780</v>
      </c>
      <c r="B1185" s="6" t="s">
        <v>7998</v>
      </c>
      <c r="C1185" s="28" t="n">
        <v>0</v>
      </c>
      <c r="D1185" s="6" t="n">
        <v>29</v>
      </c>
      <c r="E1185" s="29"/>
      <c r="F1185" s="6"/>
      <c r="G1185" s="6" t="n">
        <v>3</v>
      </c>
      <c r="H1185" s="6" t="s">
        <v>8007</v>
      </c>
    </row>
    <row r="1186" customFormat="false" ht="15" hidden="false" customHeight="true" outlineLevel="0" collapsed="false">
      <c r="A1186" s="6" t="s">
        <v>6678</v>
      </c>
      <c r="B1186" s="6" t="s">
        <v>7998</v>
      </c>
      <c r="C1186" s="28" t="n">
        <v>0</v>
      </c>
      <c r="D1186" s="6" t="n">
        <v>19</v>
      </c>
      <c r="E1186" s="29"/>
      <c r="F1186" s="6"/>
      <c r="G1186" s="6" t="n">
        <v>2</v>
      </c>
      <c r="H1186" s="6" t="s">
        <v>8007</v>
      </c>
    </row>
    <row r="1187" customFormat="false" ht="15" hidden="false" customHeight="true" outlineLevel="0" collapsed="false">
      <c r="A1187" s="6" t="s">
        <v>6680</v>
      </c>
      <c r="B1187" s="6" t="s">
        <v>7998</v>
      </c>
      <c r="C1187" s="28" t="n">
        <v>0</v>
      </c>
      <c r="D1187" s="6" t="n">
        <v>19</v>
      </c>
      <c r="E1187" s="29"/>
      <c r="F1187" s="6"/>
      <c r="G1187" s="6" t="n">
        <v>2</v>
      </c>
      <c r="H1187" s="6" t="s">
        <v>8007</v>
      </c>
    </row>
    <row r="1188" customFormat="false" ht="15" hidden="false" customHeight="true" outlineLevel="0" collapsed="false">
      <c r="A1188" s="6" t="s">
        <v>6031</v>
      </c>
      <c r="B1188" s="6" t="s">
        <v>7998</v>
      </c>
      <c r="C1188" s="28" t="n">
        <v>0</v>
      </c>
      <c r="D1188" s="6" t="n">
        <v>14</v>
      </c>
      <c r="E1188" s="29"/>
      <c r="F1188" s="6"/>
      <c r="G1188" s="6" t="n">
        <v>7</v>
      </c>
      <c r="H1188" s="6" t="s">
        <v>8007</v>
      </c>
    </row>
    <row r="1189" customFormat="false" ht="15" hidden="false" customHeight="true" outlineLevel="0" collapsed="false">
      <c r="A1189" s="6" t="s">
        <v>6054</v>
      </c>
      <c r="B1189" s="6" t="s">
        <v>7998</v>
      </c>
      <c r="C1189" s="28" t="n">
        <v>0</v>
      </c>
      <c r="D1189" s="6" t="n">
        <v>7</v>
      </c>
      <c r="E1189" s="29" t="n">
        <v>0</v>
      </c>
      <c r="F1189" s="6" t="n">
        <v>0.71</v>
      </c>
      <c r="G1189" s="6" t="n">
        <v>7</v>
      </c>
      <c r="H1189" s="6"/>
    </row>
    <row r="1190" customFormat="false" ht="15" hidden="false" customHeight="true" outlineLevel="0" collapsed="false">
      <c r="A1190" s="6" t="s">
        <v>6098</v>
      </c>
      <c r="B1190" s="6" t="s">
        <v>7998</v>
      </c>
      <c r="C1190" s="28" t="n">
        <v>0</v>
      </c>
      <c r="D1190" s="6" t="n">
        <v>16</v>
      </c>
      <c r="E1190" s="29"/>
      <c r="F1190" s="6"/>
      <c r="G1190" s="6" t="n">
        <v>7</v>
      </c>
      <c r="H1190" s="6" t="s">
        <v>8007</v>
      </c>
    </row>
    <row r="1191" customFormat="false" ht="15" hidden="false" customHeight="true" outlineLevel="0" collapsed="false">
      <c r="A1191" s="6" t="s">
        <v>6145</v>
      </c>
      <c r="B1191" s="6" t="s">
        <v>8001</v>
      </c>
      <c r="C1191" s="28" t="n">
        <v>0</v>
      </c>
      <c r="D1191" s="6" t="n">
        <v>20</v>
      </c>
      <c r="E1191" s="29"/>
      <c r="F1191" s="6"/>
      <c r="G1191" s="6" t="s">
        <v>6868</v>
      </c>
      <c r="H1191" s="6" t="s">
        <v>8007</v>
      </c>
    </row>
    <row r="1192" customFormat="false" ht="15" hidden="false" customHeight="true" outlineLevel="0" collapsed="false">
      <c r="A1192" s="6" t="s">
        <v>6155</v>
      </c>
      <c r="B1192" s="6" t="s">
        <v>7998</v>
      </c>
      <c r="C1192" s="28" t="n">
        <v>0</v>
      </c>
      <c r="D1192" s="6" t="n">
        <v>13</v>
      </c>
      <c r="E1192" s="29"/>
      <c r="F1192" s="6"/>
      <c r="G1192" s="6" t="n">
        <v>7</v>
      </c>
      <c r="H1192" s="6" t="s">
        <v>8007</v>
      </c>
    </row>
    <row r="1193" customFormat="false" ht="15" hidden="false" customHeight="true" outlineLevel="0" collapsed="false">
      <c r="A1193" s="6" t="s">
        <v>6180</v>
      </c>
      <c r="B1193" s="6" t="s">
        <v>8004</v>
      </c>
      <c r="C1193" s="28" t="n">
        <v>0</v>
      </c>
      <c r="D1193" s="6" t="n">
        <v>25</v>
      </c>
      <c r="E1193" s="29"/>
      <c r="F1193" s="6"/>
      <c r="G1193" s="6" t="n">
        <v>7</v>
      </c>
      <c r="H1193" s="6" t="s">
        <v>8007</v>
      </c>
    </row>
    <row r="1194" customFormat="false" ht="15" hidden="false" customHeight="true" outlineLevel="0" collapsed="false">
      <c r="A1194" s="6" t="s">
        <v>6223</v>
      </c>
      <c r="B1194" s="6" t="s">
        <v>7998</v>
      </c>
      <c r="C1194" s="28" t="n">
        <v>0</v>
      </c>
      <c r="D1194" s="6" t="n">
        <v>16</v>
      </c>
      <c r="E1194" s="29"/>
      <c r="F1194" s="6"/>
      <c r="G1194" s="6" t="s">
        <v>6868</v>
      </c>
      <c r="H1194" s="6" t="s">
        <v>8007</v>
      </c>
    </row>
    <row r="1195" customFormat="false" ht="15" hidden="false" customHeight="true" outlineLevel="0" collapsed="false">
      <c r="A1195" s="6" t="s">
        <v>6298</v>
      </c>
      <c r="B1195" s="6" t="s">
        <v>8001</v>
      </c>
      <c r="C1195" s="28" t="n">
        <v>0</v>
      </c>
      <c r="D1195" s="6" t="n">
        <v>22</v>
      </c>
      <c r="E1195" s="29"/>
      <c r="F1195" s="6"/>
      <c r="G1195" s="6" t="n">
        <v>8</v>
      </c>
      <c r="H1195" s="6" t="s">
        <v>8007</v>
      </c>
    </row>
    <row r="1196" customFormat="false" ht="15" hidden="false" customHeight="true" outlineLevel="0" collapsed="false">
      <c r="A1196" s="6" t="s">
        <v>6331</v>
      </c>
      <c r="B1196" s="6" t="s">
        <v>7998</v>
      </c>
      <c r="C1196" s="28" t="n">
        <v>0</v>
      </c>
      <c r="D1196" s="6" t="n">
        <v>9</v>
      </c>
      <c r="E1196" s="29"/>
      <c r="F1196" s="6"/>
      <c r="G1196" s="6" t="n">
        <v>8</v>
      </c>
      <c r="H1196" s="6" t="s">
        <v>8007</v>
      </c>
    </row>
    <row r="1197" customFormat="false" ht="15" hidden="false" customHeight="true" outlineLevel="0" collapsed="false">
      <c r="A1197" s="6" t="s">
        <v>6782</v>
      </c>
      <c r="B1197" s="6" t="s">
        <v>8001</v>
      </c>
      <c r="C1197" s="28" t="n">
        <v>0</v>
      </c>
      <c r="D1197" s="6" t="n">
        <v>24</v>
      </c>
      <c r="E1197" s="29"/>
      <c r="F1197" s="6"/>
      <c r="G1197" s="6" t="n">
        <v>3</v>
      </c>
      <c r="H1197" s="6" t="s">
        <v>8007</v>
      </c>
    </row>
    <row r="1198" customFormat="false" ht="15" hidden="false" customHeight="true" outlineLevel="0" collapsed="false">
      <c r="A1198" s="6" t="s">
        <v>6423</v>
      </c>
      <c r="B1198" s="6" t="s">
        <v>7997</v>
      </c>
      <c r="C1198" s="28" t="n">
        <v>0</v>
      </c>
      <c r="D1198" s="6" t="n">
        <v>22</v>
      </c>
      <c r="E1198" s="29"/>
      <c r="F1198" s="6"/>
      <c r="G1198" s="6" t="n">
        <v>8</v>
      </c>
      <c r="H1198" s="6" t="s">
        <v>8007</v>
      </c>
    </row>
    <row r="1199" customFormat="false" ht="15" hidden="false" customHeight="true" outlineLevel="0" collapsed="false">
      <c r="A1199" s="6" t="s">
        <v>6688</v>
      </c>
      <c r="B1199" s="6" t="s">
        <v>7998</v>
      </c>
      <c r="C1199" s="28" t="n">
        <v>0</v>
      </c>
      <c r="D1199" s="6" t="n">
        <v>6</v>
      </c>
      <c r="E1199" s="29" t="n">
        <v>0</v>
      </c>
      <c r="F1199" s="6" t="n">
        <v>0.8</v>
      </c>
      <c r="G1199" s="6" t="n">
        <v>2</v>
      </c>
      <c r="H1199" s="6"/>
    </row>
    <row r="1200" customFormat="false" ht="15" hidden="false" customHeight="true" outlineLevel="0" collapsed="false">
      <c r="A1200" s="6" t="s">
        <v>6689</v>
      </c>
      <c r="B1200" s="6" t="s">
        <v>7997</v>
      </c>
      <c r="C1200" s="28" t="n">
        <v>0</v>
      </c>
      <c r="D1200" s="6" t="n">
        <v>18</v>
      </c>
      <c r="E1200" s="29" t="n">
        <v>0</v>
      </c>
      <c r="F1200" s="6" t="n">
        <v>0.79</v>
      </c>
      <c r="G1200" s="6" t="n">
        <v>2</v>
      </c>
      <c r="H1200" s="6"/>
    </row>
    <row r="1201" customFormat="false" ht="15" hidden="false" customHeight="true" outlineLevel="0" collapsed="false">
      <c r="A1201" s="6" t="s">
        <v>6445</v>
      </c>
      <c r="B1201" s="6" t="s">
        <v>7997</v>
      </c>
      <c r="C1201" s="28" t="n">
        <v>0</v>
      </c>
      <c r="D1201" s="6" t="n">
        <v>11</v>
      </c>
      <c r="E1201" s="29"/>
      <c r="F1201" s="6"/>
      <c r="G1201" s="6" t="n">
        <v>8</v>
      </c>
      <c r="H1201" s="6" t="s">
        <v>8007</v>
      </c>
    </row>
    <row r="1202" customFormat="false" ht="15" hidden="false" customHeight="true" outlineLevel="0" collapsed="false">
      <c r="A1202" s="6" t="s">
        <v>6401</v>
      </c>
      <c r="B1202" s="6" t="s">
        <v>7997</v>
      </c>
      <c r="C1202" s="28" t="n">
        <v>0</v>
      </c>
      <c r="D1202" s="6" t="n">
        <v>14</v>
      </c>
      <c r="E1202" s="29"/>
      <c r="F1202" s="6"/>
      <c r="G1202" s="6" t="n">
        <v>8</v>
      </c>
      <c r="H1202" s="6" t="s">
        <v>8007</v>
      </c>
    </row>
    <row r="1203" customFormat="false" ht="15" hidden="false" customHeight="true" outlineLevel="0" collapsed="false">
      <c r="A1203" s="6" t="s">
        <v>6455</v>
      </c>
      <c r="B1203" s="6" t="s">
        <v>7997</v>
      </c>
      <c r="C1203" s="28" t="n">
        <v>0</v>
      </c>
      <c r="D1203" s="6" t="n">
        <v>11</v>
      </c>
      <c r="E1203" s="29"/>
      <c r="F1203" s="6"/>
      <c r="G1203" s="6" t="n">
        <v>8</v>
      </c>
      <c r="H1203" s="6" t="s">
        <v>8007</v>
      </c>
    </row>
    <row r="1204" customFormat="false" ht="15" hidden="false" customHeight="true" outlineLevel="0" collapsed="false">
      <c r="A1204" s="6" t="s">
        <v>6467</v>
      </c>
      <c r="B1204" s="6" t="s">
        <v>7997</v>
      </c>
      <c r="C1204" s="28" t="n">
        <v>0</v>
      </c>
      <c r="D1204" s="6" t="n">
        <v>16</v>
      </c>
      <c r="E1204" s="29"/>
      <c r="F1204" s="6"/>
      <c r="G1204" s="6" t="n">
        <v>8</v>
      </c>
      <c r="H1204" s="6" t="s">
        <v>8007</v>
      </c>
    </row>
    <row r="1205" customFormat="false" ht="15" hidden="false" customHeight="true" outlineLevel="0" collapsed="false">
      <c r="A1205" s="6" t="s">
        <v>6692</v>
      </c>
      <c r="B1205" s="6" t="s">
        <v>7998</v>
      </c>
      <c r="C1205" s="28" t="n">
        <v>0</v>
      </c>
      <c r="D1205" s="6" t="n">
        <v>28</v>
      </c>
      <c r="E1205" s="29"/>
      <c r="F1205" s="6"/>
      <c r="G1205" s="6" t="n">
        <v>2</v>
      </c>
      <c r="H1205" s="6" t="s">
        <v>8007</v>
      </c>
    </row>
    <row r="1206" customFormat="false" ht="15" hidden="false" customHeight="true" outlineLevel="0" collapsed="false">
      <c r="A1206" s="6" t="s">
        <v>7840</v>
      </c>
      <c r="B1206" s="6" t="s">
        <v>8001</v>
      </c>
      <c r="C1206" s="28" t="n">
        <v>0</v>
      </c>
      <c r="D1206" s="6" t="n">
        <v>32</v>
      </c>
      <c r="E1206" s="29"/>
      <c r="F1206" s="6"/>
      <c r="G1206" s="6" t="s">
        <v>6893</v>
      </c>
      <c r="H1206" s="6" t="s">
        <v>8007</v>
      </c>
    </row>
    <row r="1207" customFormat="false" ht="15" hidden="false" customHeight="true" outlineLevel="0" collapsed="false">
      <c r="A1207" s="6" t="s">
        <v>1809</v>
      </c>
      <c r="B1207" s="6" t="s">
        <v>7998</v>
      </c>
      <c r="C1207" s="28" t="n">
        <v>0</v>
      </c>
      <c r="D1207" s="6" t="n">
        <v>18</v>
      </c>
      <c r="E1207" s="29"/>
      <c r="F1207" s="6"/>
      <c r="G1207" s="6" t="n">
        <v>8</v>
      </c>
      <c r="H1207" s="6" t="s">
        <v>8007</v>
      </c>
    </row>
    <row r="1208" customFormat="false" ht="15" hidden="false" customHeight="true" outlineLevel="0" collapsed="false">
      <c r="A1208" s="6" t="s">
        <v>1797</v>
      </c>
      <c r="B1208" s="6" t="s">
        <v>8000</v>
      </c>
      <c r="C1208" s="28" t="n">
        <v>0</v>
      </c>
      <c r="D1208" s="6" t="n">
        <v>19</v>
      </c>
      <c r="E1208" s="29"/>
      <c r="F1208" s="6"/>
      <c r="G1208" s="6" t="n">
        <v>8</v>
      </c>
      <c r="H1208" s="6" t="s">
        <v>8007</v>
      </c>
    </row>
    <row r="1209" customFormat="false" ht="15" hidden="false" customHeight="true" outlineLevel="0" collapsed="false">
      <c r="A1209" s="6" t="s">
        <v>7841</v>
      </c>
      <c r="B1209" s="6" t="s">
        <v>8006</v>
      </c>
      <c r="C1209" s="28" t="n">
        <v>0</v>
      </c>
      <c r="D1209" s="6" t="n">
        <v>21</v>
      </c>
      <c r="E1209" s="29"/>
      <c r="F1209" s="6"/>
      <c r="G1209" s="6" t="s">
        <v>6893</v>
      </c>
      <c r="H1209" s="6" t="s">
        <v>8007</v>
      </c>
    </row>
    <row r="1210" customFormat="false" ht="15" hidden="false" customHeight="true" outlineLevel="0" collapsed="false">
      <c r="A1210" s="6" t="s">
        <v>1905</v>
      </c>
      <c r="B1210" s="6" t="s">
        <v>7998</v>
      </c>
      <c r="C1210" s="28" t="n">
        <v>0</v>
      </c>
      <c r="D1210" s="6" t="n">
        <v>16</v>
      </c>
      <c r="E1210" s="29"/>
      <c r="F1210" s="6"/>
      <c r="G1210" s="6" t="n">
        <v>8</v>
      </c>
      <c r="H1210" s="6" t="s">
        <v>8007</v>
      </c>
    </row>
    <row r="1211" customFormat="false" ht="15" hidden="false" customHeight="true" outlineLevel="0" collapsed="false">
      <c r="A1211" s="6" t="s">
        <v>7844</v>
      </c>
      <c r="B1211" s="6" t="s">
        <v>8001</v>
      </c>
      <c r="C1211" s="28" t="n">
        <v>0</v>
      </c>
      <c r="D1211" s="6" t="n">
        <v>16</v>
      </c>
      <c r="E1211" s="29" t="n">
        <v>0</v>
      </c>
      <c r="F1211" s="6" t="n">
        <v>0</v>
      </c>
      <c r="G1211" s="6" t="s">
        <v>6893</v>
      </c>
      <c r="H1211" s="6"/>
    </row>
    <row r="1212" customFormat="false" ht="15" hidden="false" customHeight="true" outlineLevel="0" collapsed="false">
      <c r="A1212" s="6" t="s">
        <v>1580</v>
      </c>
      <c r="B1212" s="6" t="s">
        <v>7997</v>
      </c>
      <c r="C1212" s="28" t="n">
        <v>0</v>
      </c>
      <c r="D1212" s="6" t="n">
        <v>24</v>
      </c>
      <c r="E1212" s="29"/>
      <c r="F1212" s="6"/>
      <c r="G1212" s="6" t="n">
        <v>8</v>
      </c>
      <c r="H1212" s="6" t="s">
        <v>8007</v>
      </c>
    </row>
    <row r="1213" customFormat="false" ht="15" hidden="false" customHeight="true" outlineLevel="0" collapsed="false">
      <c r="A1213" s="6" t="s">
        <v>1588</v>
      </c>
      <c r="B1213" s="6" t="s">
        <v>7997</v>
      </c>
      <c r="C1213" s="28" t="n">
        <v>0</v>
      </c>
      <c r="D1213" s="6" t="n">
        <v>11</v>
      </c>
      <c r="E1213" s="29" t="n">
        <v>0</v>
      </c>
      <c r="F1213" s="6" t="n">
        <v>1</v>
      </c>
      <c r="G1213" s="6" t="n">
        <v>8</v>
      </c>
      <c r="H1213" s="6"/>
    </row>
    <row r="1214" customFormat="false" ht="15" hidden="false" customHeight="true" outlineLevel="0" collapsed="false">
      <c r="A1214" s="6" t="s">
        <v>1767</v>
      </c>
      <c r="B1214" s="6" t="s">
        <v>7997</v>
      </c>
      <c r="C1214" s="28" t="n">
        <v>0</v>
      </c>
      <c r="D1214" s="6" t="n">
        <v>29</v>
      </c>
      <c r="E1214" s="29"/>
      <c r="F1214" s="6"/>
      <c r="G1214" s="6" t="n">
        <v>8</v>
      </c>
      <c r="H1214" s="6" t="s">
        <v>8007</v>
      </c>
    </row>
    <row r="1215" customFormat="false" ht="15" hidden="false" customHeight="true" outlineLevel="0" collapsed="false">
      <c r="A1215" s="6" t="s">
        <v>1773</v>
      </c>
      <c r="B1215" s="6" t="s">
        <v>7997</v>
      </c>
      <c r="C1215" s="28" t="n">
        <v>0</v>
      </c>
      <c r="D1215" s="6" t="n">
        <v>12</v>
      </c>
      <c r="E1215" s="29"/>
      <c r="F1215" s="6"/>
      <c r="G1215" s="6" t="n">
        <v>8</v>
      </c>
      <c r="H1215" s="6" t="s">
        <v>8007</v>
      </c>
    </row>
    <row r="1216" customFormat="false" ht="15" hidden="false" customHeight="true" outlineLevel="0" collapsed="false">
      <c r="A1216" s="6" t="s">
        <v>1875</v>
      </c>
      <c r="B1216" s="6" t="s">
        <v>7998</v>
      </c>
      <c r="C1216" s="28" t="n">
        <v>0</v>
      </c>
      <c r="D1216" s="6" t="n">
        <v>19</v>
      </c>
      <c r="E1216" s="29"/>
      <c r="F1216" s="6"/>
      <c r="G1216" s="6" t="n">
        <v>8</v>
      </c>
      <c r="H1216" s="6" t="s">
        <v>8007</v>
      </c>
    </row>
    <row r="1217" customFormat="false" ht="15" hidden="false" customHeight="true" outlineLevel="0" collapsed="false">
      <c r="A1217" s="6" t="s">
        <v>1803</v>
      </c>
      <c r="B1217" s="6" t="s">
        <v>8000</v>
      </c>
      <c r="C1217" s="28" t="n">
        <v>0</v>
      </c>
      <c r="D1217" s="6" t="n">
        <v>15</v>
      </c>
      <c r="E1217" s="29"/>
      <c r="F1217" s="6"/>
      <c r="G1217" s="6" t="n">
        <v>8</v>
      </c>
      <c r="H1217" s="6" t="s">
        <v>8007</v>
      </c>
    </row>
    <row r="1218" customFormat="false" ht="15" hidden="false" customHeight="true" outlineLevel="0" collapsed="false">
      <c r="A1218" s="6" t="s">
        <v>568</v>
      </c>
      <c r="B1218" s="6" t="s">
        <v>8001</v>
      </c>
      <c r="C1218" s="28" t="n">
        <v>0</v>
      </c>
      <c r="D1218" s="6" t="n">
        <v>28</v>
      </c>
      <c r="E1218" s="29"/>
      <c r="F1218" s="6"/>
      <c r="G1218" s="6" t="s">
        <v>6893</v>
      </c>
      <c r="H1218" s="6" t="s">
        <v>8007</v>
      </c>
    </row>
    <row r="1219" customFormat="false" ht="15" hidden="false" customHeight="true" outlineLevel="0" collapsed="false">
      <c r="A1219" s="6" t="s">
        <v>6784</v>
      </c>
      <c r="B1219" s="6" t="s">
        <v>8002</v>
      </c>
      <c r="C1219" s="28" t="n">
        <v>0</v>
      </c>
      <c r="D1219" s="6" t="n">
        <v>13</v>
      </c>
      <c r="E1219" s="29"/>
      <c r="F1219" s="6"/>
      <c r="G1219" s="6" t="n">
        <v>3</v>
      </c>
      <c r="H1219" s="6" t="s">
        <v>8007</v>
      </c>
    </row>
    <row r="1220" customFormat="false" ht="15" hidden="false" customHeight="true" outlineLevel="0" collapsed="false">
      <c r="A1220" s="6" t="s">
        <v>1911</v>
      </c>
      <c r="B1220" s="6" t="s">
        <v>7997</v>
      </c>
      <c r="C1220" s="28" t="n">
        <v>0</v>
      </c>
      <c r="D1220" s="6" t="n">
        <v>22</v>
      </c>
      <c r="E1220" s="29"/>
      <c r="F1220" s="6"/>
      <c r="G1220" s="6" t="n">
        <v>8</v>
      </c>
      <c r="H1220" s="6" t="s">
        <v>8007</v>
      </c>
    </row>
    <row r="1221" customFormat="false" ht="15" hidden="false" customHeight="true" outlineLevel="0" collapsed="false">
      <c r="A1221" s="6" t="s">
        <v>6786</v>
      </c>
      <c r="B1221" s="6" t="s">
        <v>8004</v>
      </c>
      <c r="C1221" s="28" t="n">
        <v>0</v>
      </c>
      <c r="D1221" s="6" t="n">
        <v>18</v>
      </c>
      <c r="E1221" s="29"/>
      <c r="F1221" s="6"/>
      <c r="G1221" s="6" t="n">
        <v>3</v>
      </c>
      <c r="H1221" s="6" t="s">
        <v>8007</v>
      </c>
    </row>
    <row r="1222" customFormat="false" ht="15" hidden="false" customHeight="true" outlineLevel="0" collapsed="false">
      <c r="A1222" s="6" t="s">
        <v>6787</v>
      </c>
      <c r="B1222" s="6" t="s">
        <v>8002</v>
      </c>
      <c r="C1222" s="28" t="n">
        <v>0</v>
      </c>
      <c r="D1222" s="6" t="n">
        <v>22</v>
      </c>
      <c r="E1222" s="29"/>
      <c r="F1222" s="6"/>
      <c r="G1222" s="6" t="n">
        <v>3</v>
      </c>
      <c r="H1222" s="6" t="s">
        <v>8007</v>
      </c>
    </row>
    <row r="1223" customFormat="false" ht="15" hidden="false" customHeight="true" outlineLevel="0" collapsed="false">
      <c r="A1223" s="6" t="s">
        <v>1845</v>
      </c>
      <c r="B1223" s="6" t="s">
        <v>7997</v>
      </c>
      <c r="C1223" s="28" t="n">
        <v>0</v>
      </c>
      <c r="D1223" s="6" t="n">
        <v>14</v>
      </c>
      <c r="E1223" s="29"/>
      <c r="F1223" s="6"/>
      <c r="G1223" s="6" t="n">
        <v>8</v>
      </c>
      <c r="H1223" s="6" t="s">
        <v>8007</v>
      </c>
    </row>
    <row r="1224" customFormat="false" ht="15" hidden="false" customHeight="true" outlineLevel="0" collapsed="false">
      <c r="A1224" s="6" t="s">
        <v>1603</v>
      </c>
      <c r="B1224" s="6" t="s">
        <v>7997</v>
      </c>
      <c r="C1224" s="28" t="n">
        <v>0</v>
      </c>
      <c r="D1224" s="6" t="n">
        <v>31</v>
      </c>
      <c r="E1224" s="29"/>
      <c r="F1224" s="6"/>
      <c r="G1224" s="6" t="n">
        <v>8</v>
      </c>
      <c r="H1224" s="6" t="s">
        <v>8007</v>
      </c>
    </row>
    <row r="1225" customFormat="false" ht="15" hidden="false" customHeight="true" outlineLevel="0" collapsed="false">
      <c r="A1225" s="6" t="s">
        <v>1512</v>
      </c>
      <c r="B1225" s="6" t="s">
        <v>7997</v>
      </c>
      <c r="C1225" s="28" t="n">
        <v>0</v>
      </c>
      <c r="D1225" s="6" t="n">
        <v>20</v>
      </c>
      <c r="E1225" s="29"/>
      <c r="F1225" s="6"/>
      <c r="G1225" s="6" t="n">
        <v>8</v>
      </c>
      <c r="H1225" s="6" t="s">
        <v>8007</v>
      </c>
    </row>
    <row r="1226" customFormat="false" ht="15" hidden="false" customHeight="true" outlineLevel="0" collapsed="false">
      <c r="A1226" s="6" t="s">
        <v>1453</v>
      </c>
      <c r="B1226" s="6" t="s">
        <v>8003</v>
      </c>
      <c r="C1226" s="28" t="n">
        <v>0</v>
      </c>
      <c r="D1226" s="6" t="n">
        <v>20</v>
      </c>
      <c r="E1226" s="29"/>
      <c r="F1226" s="6"/>
      <c r="G1226" s="6" t="n">
        <v>8</v>
      </c>
      <c r="H1226" s="6" t="s">
        <v>8007</v>
      </c>
    </row>
    <row r="1227" customFormat="false" ht="15" hidden="false" customHeight="true" outlineLevel="0" collapsed="false">
      <c r="A1227" s="6" t="s">
        <v>1491</v>
      </c>
      <c r="B1227" s="6" t="s">
        <v>7997</v>
      </c>
      <c r="C1227" s="28" t="n">
        <v>0</v>
      </c>
      <c r="D1227" s="6" t="n">
        <v>12</v>
      </c>
      <c r="E1227" s="29"/>
      <c r="F1227" s="6"/>
      <c r="G1227" s="6" t="n">
        <v>8</v>
      </c>
      <c r="H1227" s="6" t="s">
        <v>8007</v>
      </c>
    </row>
    <row r="1228" customFormat="false" ht="15" hidden="false" customHeight="true" outlineLevel="0" collapsed="false">
      <c r="A1228" s="6" t="s">
        <v>6830</v>
      </c>
      <c r="B1228" s="6" t="s">
        <v>8003</v>
      </c>
      <c r="C1228" s="28" t="n">
        <v>0</v>
      </c>
      <c r="D1228" s="6" t="n">
        <v>16</v>
      </c>
      <c r="E1228" s="29"/>
      <c r="F1228" s="6"/>
      <c r="G1228" s="6" t="n">
        <v>3</v>
      </c>
      <c r="H1228" s="6" t="s">
        <v>8007</v>
      </c>
    </row>
    <row r="1229" customFormat="false" ht="15" hidden="false" customHeight="true" outlineLevel="0" collapsed="false">
      <c r="A1229" s="6" t="s">
        <v>1610</v>
      </c>
      <c r="B1229" s="6" t="s">
        <v>7997</v>
      </c>
      <c r="C1229" s="28" t="n">
        <v>0</v>
      </c>
      <c r="D1229" s="6" t="n">
        <v>18</v>
      </c>
      <c r="E1229" s="29"/>
      <c r="F1229" s="6"/>
      <c r="G1229" s="6" t="n">
        <v>8</v>
      </c>
      <c r="H1229" s="6" t="s">
        <v>8007</v>
      </c>
    </row>
    <row r="1230" customFormat="false" ht="15" hidden="false" customHeight="true" outlineLevel="0" collapsed="false">
      <c r="A1230" s="6" t="s">
        <v>1616</v>
      </c>
      <c r="B1230" s="6" t="s">
        <v>7997</v>
      </c>
      <c r="C1230" s="28" t="n">
        <v>0</v>
      </c>
      <c r="D1230" s="6" t="n">
        <v>11</v>
      </c>
      <c r="E1230" s="29"/>
      <c r="F1230" s="6"/>
      <c r="G1230" s="6" t="n">
        <v>8</v>
      </c>
      <c r="H1230" s="6" t="s">
        <v>8007</v>
      </c>
    </row>
    <row r="1231" customFormat="false" ht="15" hidden="false" customHeight="true" outlineLevel="0" collapsed="false">
      <c r="A1231" s="6" t="s">
        <v>1729</v>
      </c>
      <c r="B1231" s="6" t="s">
        <v>7997</v>
      </c>
      <c r="C1231" s="28" t="n">
        <v>0</v>
      </c>
      <c r="D1231" s="6" t="n">
        <v>19</v>
      </c>
      <c r="E1231" s="29"/>
      <c r="F1231" s="6"/>
      <c r="G1231" s="6" t="n">
        <v>8</v>
      </c>
      <c r="H1231" s="6" t="s">
        <v>8007</v>
      </c>
    </row>
    <row r="1232" customFormat="false" ht="15" hidden="false" customHeight="true" outlineLevel="0" collapsed="false">
      <c r="A1232" s="6" t="s">
        <v>7846</v>
      </c>
      <c r="B1232" s="6" t="s">
        <v>8001</v>
      </c>
      <c r="C1232" s="28" t="n">
        <v>0</v>
      </c>
      <c r="D1232" s="6" t="n">
        <v>23</v>
      </c>
      <c r="E1232" s="29"/>
      <c r="F1232" s="6"/>
      <c r="G1232" s="6" t="s">
        <v>6893</v>
      </c>
      <c r="H1232" s="6" t="s">
        <v>8007</v>
      </c>
    </row>
    <row r="1233" customFormat="false" ht="15" hidden="false" customHeight="true" outlineLevel="0" collapsed="false">
      <c r="A1233" s="6" t="s">
        <v>7848</v>
      </c>
      <c r="B1233" s="6" t="s">
        <v>8001</v>
      </c>
      <c r="C1233" s="28" t="n">
        <v>0</v>
      </c>
      <c r="D1233" s="6" t="n">
        <v>32</v>
      </c>
      <c r="E1233" s="29"/>
      <c r="F1233" s="6"/>
      <c r="G1233" s="6" t="s">
        <v>6893</v>
      </c>
      <c r="H1233" s="6" t="s">
        <v>8007</v>
      </c>
    </row>
    <row r="1234" customFormat="false" ht="15" hidden="false" customHeight="true" outlineLevel="0" collapsed="false">
      <c r="A1234" s="6" t="s">
        <v>1623</v>
      </c>
      <c r="B1234" s="6" t="s">
        <v>7997</v>
      </c>
      <c r="C1234" s="28" t="n">
        <v>0</v>
      </c>
      <c r="D1234" s="6" t="n">
        <v>11</v>
      </c>
      <c r="E1234" s="29"/>
      <c r="F1234" s="6"/>
      <c r="G1234" s="6" t="n">
        <v>8</v>
      </c>
      <c r="H1234" s="6" t="s">
        <v>8007</v>
      </c>
    </row>
    <row r="1235" customFormat="false" ht="15" hidden="false" customHeight="true" outlineLevel="0" collapsed="false">
      <c r="A1235" s="6" t="s">
        <v>1628</v>
      </c>
      <c r="B1235" s="6" t="s">
        <v>7997</v>
      </c>
      <c r="C1235" s="28" t="n">
        <v>0</v>
      </c>
      <c r="D1235" s="6" t="n">
        <v>21</v>
      </c>
      <c r="E1235" s="29"/>
      <c r="F1235" s="6"/>
      <c r="G1235" s="6" t="n">
        <v>8</v>
      </c>
      <c r="H1235" s="6" t="s">
        <v>8009</v>
      </c>
    </row>
    <row r="1236" customFormat="false" ht="15" hidden="false" customHeight="true" outlineLevel="0" collapsed="false">
      <c r="A1236" s="6" t="s">
        <v>1634</v>
      </c>
      <c r="B1236" s="6" t="s">
        <v>7997</v>
      </c>
      <c r="C1236" s="28" t="n">
        <v>0</v>
      </c>
      <c r="D1236" s="6" t="n">
        <v>18</v>
      </c>
      <c r="E1236" s="29"/>
      <c r="F1236" s="6"/>
      <c r="G1236" s="6" t="n">
        <v>8</v>
      </c>
      <c r="H1236" s="6" t="s">
        <v>8007</v>
      </c>
    </row>
    <row r="1237" customFormat="false" ht="15" hidden="false" customHeight="true" outlineLevel="0" collapsed="false">
      <c r="A1237" s="6" t="s">
        <v>1461</v>
      </c>
      <c r="B1237" s="6" t="s">
        <v>8000</v>
      </c>
      <c r="C1237" s="28" t="n">
        <v>0</v>
      </c>
      <c r="D1237" s="6" t="n">
        <v>18</v>
      </c>
      <c r="E1237" s="29"/>
      <c r="F1237" s="6"/>
      <c r="G1237" s="6" t="n">
        <v>8</v>
      </c>
      <c r="H1237" s="6" t="s">
        <v>8007</v>
      </c>
    </row>
    <row r="1238" customFormat="false" ht="15" hidden="false" customHeight="true" outlineLevel="0" collapsed="false">
      <c r="A1238" s="6" t="s">
        <v>1929</v>
      </c>
      <c r="B1238" s="6" t="s">
        <v>7997</v>
      </c>
      <c r="C1238" s="28" t="n">
        <v>0</v>
      </c>
      <c r="D1238" s="6" t="n">
        <v>13</v>
      </c>
      <c r="E1238" s="29"/>
      <c r="F1238" s="6"/>
      <c r="G1238" s="6" t="n">
        <v>8</v>
      </c>
      <c r="H1238" s="6" t="s">
        <v>8007</v>
      </c>
    </row>
    <row r="1239" customFormat="false" ht="15" hidden="false" customHeight="true" outlineLevel="0" collapsed="false">
      <c r="A1239" s="6" t="s">
        <v>1839</v>
      </c>
      <c r="B1239" s="6" t="s">
        <v>8000</v>
      </c>
      <c r="C1239" s="28" t="n">
        <v>0</v>
      </c>
      <c r="D1239" s="6" t="n">
        <v>20</v>
      </c>
      <c r="E1239" s="29"/>
      <c r="F1239" s="6"/>
      <c r="G1239" s="6" t="n">
        <v>8</v>
      </c>
      <c r="H1239" s="6" t="s">
        <v>8007</v>
      </c>
    </row>
    <row r="1240" customFormat="false" ht="15" hidden="false" customHeight="true" outlineLevel="0" collapsed="false">
      <c r="A1240" s="6" t="s">
        <v>1833</v>
      </c>
      <c r="B1240" s="6" t="s">
        <v>8000</v>
      </c>
      <c r="C1240" s="28" t="n">
        <v>0</v>
      </c>
      <c r="D1240" s="6" t="n">
        <v>12</v>
      </c>
      <c r="E1240" s="29"/>
      <c r="F1240" s="6"/>
      <c r="G1240" s="6" t="n">
        <v>8</v>
      </c>
      <c r="H1240" s="6" t="s">
        <v>8007</v>
      </c>
    </row>
    <row r="1241" customFormat="false" ht="15" hidden="false" customHeight="true" outlineLevel="0" collapsed="false">
      <c r="A1241" s="6" t="s">
        <v>1851</v>
      </c>
      <c r="B1241" s="6" t="s">
        <v>7997</v>
      </c>
      <c r="C1241" s="28" t="n">
        <v>0</v>
      </c>
      <c r="D1241" s="6" t="n">
        <v>14</v>
      </c>
      <c r="E1241" s="29"/>
      <c r="F1241" s="6"/>
      <c r="G1241" s="6" t="n">
        <v>8</v>
      </c>
      <c r="H1241" s="6" t="s">
        <v>8007</v>
      </c>
    </row>
    <row r="1242" customFormat="false" ht="15" hidden="false" customHeight="true" outlineLevel="0" collapsed="false">
      <c r="A1242" s="6" t="s">
        <v>6792</v>
      </c>
      <c r="B1242" s="6" t="s">
        <v>7997</v>
      </c>
      <c r="C1242" s="28" t="n">
        <v>0</v>
      </c>
      <c r="D1242" s="6" t="n">
        <v>22</v>
      </c>
      <c r="E1242" s="29"/>
      <c r="F1242" s="6"/>
      <c r="G1242" s="6" t="n">
        <v>3</v>
      </c>
      <c r="H1242" s="6" t="s">
        <v>8007</v>
      </c>
    </row>
    <row r="1243" customFormat="false" ht="15" hidden="false" customHeight="true" outlineLevel="0" collapsed="false">
      <c r="A1243" s="6" t="s">
        <v>1716</v>
      </c>
      <c r="B1243" s="6" t="s">
        <v>7997</v>
      </c>
      <c r="C1243" s="28" t="n">
        <v>0</v>
      </c>
      <c r="D1243" s="6" t="n">
        <v>23</v>
      </c>
      <c r="E1243" s="29"/>
      <c r="F1243" s="6"/>
      <c r="G1243" s="6" t="n">
        <v>8</v>
      </c>
      <c r="H1243" s="6" t="s">
        <v>8007</v>
      </c>
    </row>
    <row r="1244" customFormat="false" ht="15" hidden="false" customHeight="true" outlineLevel="0" collapsed="false">
      <c r="A1244" s="6" t="s">
        <v>1640</v>
      </c>
      <c r="B1244" s="6" t="s">
        <v>8004</v>
      </c>
      <c r="C1244" s="28" t="n">
        <v>0</v>
      </c>
      <c r="D1244" s="6" t="n">
        <v>33</v>
      </c>
      <c r="E1244" s="29"/>
      <c r="F1244" s="6"/>
      <c r="G1244" s="6" t="n">
        <v>8</v>
      </c>
      <c r="H1244" s="6" t="s">
        <v>8007</v>
      </c>
    </row>
    <row r="1245" customFormat="false" ht="15" hidden="false" customHeight="true" outlineLevel="0" collapsed="false">
      <c r="A1245" s="6" t="s">
        <v>1743</v>
      </c>
      <c r="B1245" s="6" t="s">
        <v>7997</v>
      </c>
      <c r="C1245" s="28" t="n">
        <v>0</v>
      </c>
      <c r="D1245" s="6" t="n">
        <v>18</v>
      </c>
      <c r="E1245" s="29"/>
      <c r="F1245" s="6"/>
      <c r="G1245" s="6" t="n">
        <v>8</v>
      </c>
      <c r="H1245" s="6" t="s">
        <v>8007</v>
      </c>
    </row>
    <row r="1246" customFormat="false" ht="15" hidden="false" customHeight="true" outlineLevel="0" collapsed="false">
      <c r="A1246" s="6" t="s">
        <v>7850</v>
      </c>
      <c r="B1246" s="6" t="s">
        <v>8001</v>
      </c>
      <c r="C1246" s="28" t="n">
        <v>0</v>
      </c>
      <c r="D1246" s="6" t="n">
        <v>35</v>
      </c>
      <c r="E1246" s="29"/>
      <c r="F1246" s="6"/>
      <c r="G1246" s="6" t="s">
        <v>6893</v>
      </c>
      <c r="H1246" s="6" t="s">
        <v>8007</v>
      </c>
    </row>
    <row r="1247" customFormat="false" ht="15" hidden="false" customHeight="true" outlineLevel="0" collapsed="false">
      <c r="A1247" s="6" t="s">
        <v>1498</v>
      </c>
      <c r="B1247" s="6" t="s">
        <v>7997</v>
      </c>
      <c r="C1247" s="28" t="n">
        <v>0</v>
      </c>
      <c r="D1247" s="6" t="n">
        <v>11</v>
      </c>
      <c r="E1247" s="29" t="n">
        <v>0</v>
      </c>
      <c r="F1247" s="6" t="n">
        <v>0</v>
      </c>
      <c r="G1247" s="6" t="n">
        <v>8</v>
      </c>
      <c r="H1247" s="6"/>
    </row>
    <row r="1248" customFormat="false" ht="15" hidden="false" customHeight="true" outlineLevel="0" collapsed="false">
      <c r="A1248" s="6" t="s">
        <v>7854</v>
      </c>
      <c r="B1248" s="6" t="s">
        <v>8001</v>
      </c>
      <c r="C1248" s="28" t="n">
        <v>0</v>
      </c>
      <c r="D1248" s="6" t="n">
        <v>13</v>
      </c>
      <c r="E1248" s="29" t="n">
        <v>0</v>
      </c>
      <c r="F1248" s="6" t="n">
        <v>0</v>
      </c>
      <c r="G1248" s="6" t="s">
        <v>6893</v>
      </c>
      <c r="H1248" s="6"/>
    </row>
    <row r="1249" customFormat="false" ht="15" hidden="false" customHeight="true" outlineLevel="0" collapsed="false">
      <c r="A1249" s="6" t="s">
        <v>1923</v>
      </c>
      <c r="B1249" s="6" t="s">
        <v>8000</v>
      </c>
      <c r="C1249" s="28" t="n">
        <v>0</v>
      </c>
      <c r="D1249" s="6" t="n">
        <v>19</v>
      </c>
      <c r="E1249" s="29"/>
      <c r="F1249" s="6"/>
      <c r="G1249" s="6" t="n">
        <v>8</v>
      </c>
      <c r="H1249" s="6" t="s">
        <v>8007</v>
      </c>
    </row>
    <row r="1250" customFormat="false" ht="15" hidden="false" customHeight="true" outlineLevel="0" collapsed="false">
      <c r="A1250" s="6" t="s">
        <v>1647</v>
      </c>
      <c r="B1250" s="6" t="s">
        <v>7997</v>
      </c>
      <c r="C1250" s="28" t="n">
        <v>0</v>
      </c>
      <c r="D1250" s="6" t="n">
        <v>35</v>
      </c>
      <c r="E1250" s="29"/>
      <c r="F1250" s="6"/>
      <c r="G1250" s="6" t="n">
        <v>8</v>
      </c>
      <c r="H1250" s="6" t="s">
        <v>8007</v>
      </c>
    </row>
    <row r="1251" customFormat="false" ht="15" hidden="false" customHeight="true" outlineLevel="0" collapsed="false">
      <c r="A1251" s="6" t="s">
        <v>7856</v>
      </c>
      <c r="B1251" s="6" t="s">
        <v>8001</v>
      </c>
      <c r="C1251" s="28" t="n">
        <v>0</v>
      </c>
      <c r="D1251" s="6" t="n">
        <v>23</v>
      </c>
      <c r="E1251" s="29"/>
      <c r="F1251" s="6"/>
      <c r="G1251" s="6" t="s">
        <v>6893</v>
      </c>
      <c r="H1251" s="6" t="s">
        <v>8007</v>
      </c>
    </row>
    <row r="1252" customFormat="false" ht="15" hidden="false" customHeight="true" outlineLevel="0" collapsed="false">
      <c r="A1252" s="6" t="s">
        <v>7864</v>
      </c>
      <c r="B1252" s="6" t="s">
        <v>8001</v>
      </c>
      <c r="C1252" s="28" t="n">
        <v>0</v>
      </c>
      <c r="D1252" s="6" t="n">
        <v>14</v>
      </c>
      <c r="E1252" s="29" t="n">
        <v>0</v>
      </c>
      <c r="F1252" s="6" t="n">
        <v>0</v>
      </c>
      <c r="G1252" s="6" t="s">
        <v>6893</v>
      </c>
      <c r="H1252" s="6"/>
    </row>
    <row r="1253" customFormat="false" ht="15" hidden="false" customHeight="true" outlineLevel="0" collapsed="false">
      <c r="A1253" s="6" t="s">
        <v>6796</v>
      </c>
      <c r="B1253" s="6" t="s">
        <v>7997</v>
      </c>
      <c r="C1253" s="28" t="n">
        <v>0</v>
      </c>
      <c r="D1253" s="6" t="n">
        <v>13</v>
      </c>
      <c r="E1253" s="29"/>
      <c r="F1253" s="6"/>
      <c r="G1253" s="6" t="n">
        <v>3</v>
      </c>
      <c r="H1253" s="6" t="s">
        <v>8007</v>
      </c>
    </row>
    <row r="1254" customFormat="false" ht="15" hidden="false" customHeight="true" outlineLevel="0" collapsed="false">
      <c r="A1254" s="6" t="s">
        <v>1887</v>
      </c>
      <c r="B1254" s="6" t="s">
        <v>8004</v>
      </c>
      <c r="C1254" s="28" t="n">
        <v>0</v>
      </c>
      <c r="D1254" s="6" t="n">
        <v>20</v>
      </c>
      <c r="E1254" s="29"/>
      <c r="F1254" s="6"/>
      <c r="G1254" s="6" t="n">
        <v>8</v>
      </c>
      <c r="H1254" s="6" t="s">
        <v>8007</v>
      </c>
    </row>
    <row r="1255" customFormat="false" ht="15" hidden="false" customHeight="true" outlineLevel="0" collapsed="false">
      <c r="A1255" s="6" t="s">
        <v>1917</v>
      </c>
      <c r="B1255" s="6" t="s">
        <v>7998</v>
      </c>
      <c r="C1255" s="28" t="n">
        <v>0</v>
      </c>
      <c r="D1255" s="6" t="n">
        <v>14</v>
      </c>
      <c r="E1255" s="29"/>
      <c r="F1255" s="6"/>
      <c r="G1255" s="6" t="n">
        <v>8</v>
      </c>
      <c r="H1255" s="6" t="s">
        <v>8007</v>
      </c>
    </row>
    <row r="1256" customFormat="false" ht="15" hidden="false" customHeight="true" outlineLevel="0" collapsed="false">
      <c r="A1256" s="6" t="s">
        <v>1656</v>
      </c>
      <c r="B1256" s="6" t="s">
        <v>7997</v>
      </c>
      <c r="C1256" s="28" t="n">
        <v>0</v>
      </c>
      <c r="D1256" s="6" t="n">
        <v>12</v>
      </c>
      <c r="E1256" s="29"/>
      <c r="F1256" s="6"/>
      <c r="G1256" s="6" t="n">
        <v>8</v>
      </c>
      <c r="H1256" s="6" t="s">
        <v>8007</v>
      </c>
    </row>
    <row r="1257" customFormat="false" ht="15" hidden="false" customHeight="true" outlineLevel="0" collapsed="false">
      <c r="A1257" s="6" t="s">
        <v>636</v>
      </c>
      <c r="B1257" s="6" t="s">
        <v>7997</v>
      </c>
      <c r="C1257" s="28" t="n">
        <v>0</v>
      </c>
      <c r="D1257" s="6" t="n">
        <v>16</v>
      </c>
      <c r="E1257" s="29"/>
      <c r="F1257" s="6"/>
      <c r="G1257" s="6" t="s">
        <v>6893</v>
      </c>
      <c r="H1257" s="6" t="s">
        <v>8007</v>
      </c>
    </row>
    <row r="1258" customFormat="false" ht="15" hidden="false" customHeight="true" outlineLevel="0" collapsed="false">
      <c r="A1258" s="6" t="s">
        <v>1533</v>
      </c>
      <c r="B1258" s="6" t="s">
        <v>7997</v>
      </c>
      <c r="C1258" s="28" t="n">
        <v>0</v>
      </c>
      <c r="D1258" s="6" t="n">
        <v>23</v>
      </c>
      <c r="E1258" s="29"/>
      <c r="F1258" s="6"/>
      <c r="G1258" s="6" t="n">
        <v>8</v>
      </c>
      <c r="H1258" s="6" t="s">
        <v>8007</v>
      </c>
    </row>
    <row r="1259" customFormat="false" ht="15" hidden="false" customHeight="true" outlineLevel="0" collapsed="false">
      <c r="A1259" s="6" t="s">
        <v>495</v>
      </c>
      <c r="B1259" s="6" t="s">
        <v>8001</v>
      </c>
      <c r="C1259" s="28" t="n">
        <v>0</v>
      </c>
      <c r="D1259" s="6" t="n">
        <v>19</v>
      </c>
      <c r="E1259" s="29"/>
      <c r="F1259" s="6"/>
      <c r="G1259" s="6" t="s">
        <v>6893</v>
      </c>
      <c r="H1259" s="6" t="s">
        <v>8007</v>
      </c>
    </row>
    <row r="1260" customFormat="false" ht="15" hidden="false" customHeight="true" outlineLevel="0" collapsed="false">
      <c r="A1260" s="6" t="s">
        <v>7871</v>
      </c>
      <c r="B1260" s="6" t="s">
        <v>8001</v>
      </c>
      <c r="C1260" s="28" t="n">
        <v>0</v>
      </c>
      <c r="D1260" s="6" t="n">
        <v>28</v>
      </c>
      <c r="E1260" s="29"/>
      <c r="F1260" s="6"/>
      <c r="G1260" s="6" t="s">
        <v>6893</v>
      </c>
      <c r="H1260" s="6" t="s">
        <v>8007</v>
      </c>
    </row>
    <row r="1261" customFormat="false" ht="15" hidden="false" customHeight="true" outlineLevel="0" collapsed="false">
      <c r="A1261" s="6" t="s">
        <v>1662</v>
      </c>
      <c r="B1261" s="6" t="s">
        <v>7997</v>
      </c>
      <c r="C1261" s="28" t="n">
        <v>0</v>
      </c>
      <c r="D1261" s="6" t="n">
        <v>30</v>
      </c>
      <c r="E1261" s="29"/>
      <c r="F1261" s="6"/>
      <c r="G1261" s="6" t="n">
        <v>8</v>
      </c>
      <c r="H1261" s="6" t="s">
        <v>8007</v>
      </c>
    </row>
    <row r="1262" customFormat="false" ht="15" hidden="false" customHeight="true" outlineLevel="0" collapsed="false">
      <c r="A1262" s="6" t="s">
        <v>1539</v>
      </c>
      <c r="B1262" s="6" t="s">
        <v>7997</v>
      </c>
      <c r="C1262" s="28" t="n">
        <v>0</v>
      </c>
      <c r="D1262" s="6" t="n">
        <v>28</v>
      </c>
      <c r="E1262" s="29"/>
      <c r="F1262" s="6"/>
      <c r="G1262" s="6" t="n">
        <v>8</v>
      </c>
      <c r="H1262" s="6" t="s">
        <v>8007</v>
      </c>
    </row>
    <row r="1263" customFormat="false" ht="15" hidden="false" customHeight="true" outlineLevel="0" collapsed="false">
      <c r="A1263" s="6" t="s">
        <v>7876</v>
      </c>
      <c r="B1263" s="6" t="s">
        <v>8001</v>
      </c>
      <c r="C1263" s="28" t="n">
        <v>0</v>
      </c>
      <c r="D1263" s="6" t="n">
        <v>11</v>
      </c>
      <c r="E1263" s="29" t="n">
        <v>0</v>
      </c>
      <c r="F1263" s="6" t="n">
        <v>0</v>
      </c>
      <c r="G1263" s="6" t="s">
        <v>6893</v>
      </c>
      <c r="H1263" s="6"/>
    </row>
    <row r="1264" customFormat="false" ht="15" hidden="false" customHeight="true" outlineLevel="0" collapsed="false">
      <c r="A1264" s="6" t="s">
        <v>1893</v>
      </c>
      <c r="B1264" s="6" t="s">
        <v>7997</v>
      </c>
      <c r="C1264" s="28" t="n">
        <v>0</v>
      </c>
      <c r="D1264" s="6" t="n">
        <v>14</v>
      </c>
      <c r="E1264" s="29"/>
      <c r="F1264" s="6"/>
      <c r="G1264" s="6" t="n">
        <v>8</v>
      </c>
      <c r="H1264" s="6" t="s">
        <v>8007</v>
      </c>
    </row>
    <row r="1265" customFormat="false" ht="15" hidden="false" customHeight="true" outlineLevel="0" collapsed="false">
      <c r="A1265" s="6" t="s">
        <v>1935</v>
      </c>
      <c r="B1265" s="6" t="s">
        <v>7998</v>
      </c>
      <c r="C1265" s="28" t="n">
        <v>0</v>
      </c>
      <c r="D1265" s="6" t="n">
        <v>12</v>
      </c>
      <c r="E1265" s="29"/>
      <c r="F1265" s="6"/>
      <c r="G1265" s="6" t="n">
        <v>8</v>
      </c>
      <c r="H1265" s="6" t="s">
        <v>8007</v>
      </c>
    </row>
    <row r="1266" customFormat="false" ht="15" hidden="false" customHeight="true" outlineLevel="0" collapsed="false">
      <c r="A1266" s="6" t="s">
        <v>1668</v>
      </c>
      <c r="B1266" s="6" t="s">
        <v>7997</v>
      </c>
      <c r="C1266" s="28" t="n">
        <v>0</v>
      </c>
      <c r="D1266" s="6" t="n">
        <v>5</v>
      </c>
      <c r="E1266" s="29" t="n">
        <v>0</v>
      </c>
      <c r="F1266" s="6" t="n">
        <v>0</v>
      </c>
      <c r="G1266" s="6" t="n">
        <v>8</v>
      </c>
      <c r="H1266" s="6"/>
    </row>
    <row r="1267" customFormat="false" ht="15" hidden="false" customHeight="true" outlineLevel="0" collapsed="false">
      <c r="A1267" s="6" t="s">
        <v>7881</v>
      </c>
      <c r="B1267" s="6" t="s">
        <v>8001</v>
      </c>
      <c r="C1267" s="28" t="n">
        <v>0</v>
      </c>
      <c r="D1267" s="6" t="n">
        <v>15</v>
      </c>
      <c r="E1267" s="29"/>
      <c r="F1267" s="6"/>
      <c r="G1267" s="6" t="s">
        <v>6893</v>
      </c>
      <c r="H1267" s="6" t="s">
        <v>8007</v>
      </c>
    </row>
    <row r="1268" customFormat="false" ht="15" hidden="false" customHeight="true" outlineLevel="0" collapsed="false">
      <c r="A1268" s="6" t="s">
        <v>1723</v>
      </c>
      <c r="B1268" s="6" t="s">
        <v>7997</v>
      </c>
      <c r="C1268" s="28" t="n">
        <v>0</v>
      </c>
      <c r="D1268" s="6" t="n">
        <v>17</v>
      </c>
      <c r="E1268" s="29"/>
      <c r="F1268" s="6"/>
      <c r="G1268" s="6" t="n">
        <v>8</v>
      </c>
      <c r="H1268" s="6" t="s">
        <v>8007</v>
      </c>
    </row>
    <row r="1269" customFormat="false" ht="15" hidden="false" customHeight="true" outlineLevel="0" collapsed="false">
      <c r="A1269" s="6" t="s">
        <v>1676</v>
      </c>
      <c r="B1269" s="6" t="s">
        <v>8000</v>
      </c>
      <c r="C1269" s="28" t="n">
        <v>0</v>
      </c>
      <c r="D1269" s="6" t="n">
        <v>20</v>
      </c>
      <c r="E1269" s="29"/>
      <c r="F1269" s="6"/>
      <c r="G1269" s="6" t="n">
        <v>8</v>
      </c>
      <c r="H1269" s="6" t="s">
        <v>8007</v>
      </c>
    </row>
    <row r="1270" customFormat="false" ht="15" hidden="false" customHeight="true" outlineLevel="0" collapsed="false">
      <c r="A1270" s="6" t="s">
        <v>1736</v>
      </c>
      <c r="B1270" s="6" t="s">
        <v>7998</v>
      </c>
      <c r="C1270" s="28" t="n">
        <v>0</v>
      </c>
      <c r="D1270" s="6" t="n">
        <v>30</v>
      </c>
      <c r="E1270" s="29"/>
      <c r="F1270" s="6"/>
      <c r="G1270" s="6" t="n">
        <v>8</v>
      </c>
      <c r="H1270" s="6" t="s">
        <v>8007</v>
      </c>
    </row>
    <row r="1271" customFormat="false" ht="15" hidden="false" customHeight="true" outlineLevel="0" collapsed="false">
      <c r="A1271" s="6" t="s">
        <v>7882</v>
      </c>
      <c r="B1271" s="6" t="s">
        <v>8001</v>
      </c>
      <c r="C1271" s="28" t="n">
        <v>0</v>
      </c>
      <c r="D1271" s="6" t="n">
        <v>32</v>
      </c>
      <c r="E1271" s="29"/>
      <c r="F1271" s="6"/>
      <c r="G1271" s="6" t="s">
        <v>6893</v>
      </c>
      <c r="H1271" s="6" t="s">
        <v>8007</v>
      </c>
    </row>
    <row r="1272" customFormat="false" ht="15" hidden="false" customHeight="true" outlineLevel="0" collapsed="false">
      <c r="A1272" s="6" t="s">
        <v>1683</v>
      </c>
      <c r="B1272" s="6" t="s">
        <v>7997</v>
      </c>
      <c r="C1272" s="28" t="n">
        <v>0</v>
      </c>
      <c r="D1272" s="6" t="n">
        <v>22</v>
      </c>
      <c r="E1272" s="29"/>
      <c r="F1272" s="6"/>
      <c r="G1272" s="6" t="n">
        <v>8</v>
      </c>
      <c r="H1272" s="6" t="s">
        <v>8007</v>
      </c>
    </row>
    <row r="1273" customFormat="false" ht="15" hidden="false" customHeight="true" outlineLevel="0" collapsed="false">
      <c r="A1273" s="6" t="s">
        <v>7886</v>
      </c>
      <c r="B1273" s="6" t="s">
        <v>8001</v>
      </c>
      <c r="C1273" s="28" t="n">
        <v>0</v>
      </c>
      <c r="D1273" s="6" t="n">
        <v>31</v>
      </c>
      <c r="E1273" s="29"/>
      <c r="F1273" s="6"/>
      <c r="G1273" s="6" t="s">
        <v>6893</v>
      </c>
      <c r="H1273" s="6" t="s">
        <v>8007</v>
      </c>
    </row>
    <row r="1274" customFormat="false" ht="15" hidden="false" customHeight="true" outlineLevel="0" collapsed="false">
      <c r="A1274" s="6" t="s">
        <v>6831</v>
      </c>
      <c r="B1274" s="6" t="s">
        <v>7998</v>
      </c>
      <c r="C1274" s="28" t="n">
        <v>0</v>
      </c>
      <c r="D1274" s="6" t="n">
        <v>14</v>
      </c>
      <c r="E1274" s="29"/>
      <c r="F1274" s="6"/>
      <c r="G1274" s="6" t="n">
        <v>3</v>
      </c>
      <c r="H1274" s="6" t="s">
        <v>8007</v>
      </c>
    </row>
    <row r="1275" customFormat="false" ht="15" hidden="false" customHeight="true" outlineLevel="0" collapsed="false">
      <c r="A1275" s="6" t="s">
        <v>1749</v>
      </c>
      <c r="B1275" s="6" t="s">
        <v>7997</v>
      </c>
      <c r="C1275" s="28" t="n">
        <v>0</v>
      </c>
      <c r="D1275" s="6" t="n">
        <v>14</v>
      </c>
      <c r="E1275" s="29"/>
      <c r="F1275" s="6"/>
      <c r="G1275" s="6" t="n">
        <v>8</v>
      </c>
      <c r="H1275" s="6" t="s">
        <v>8007</v>
      </c>
    </row>
    <row r="1276" customFormat="false" ht="15" hidden="false" customHeight="true" outlineLevel="0" collapsed="false">
      <c r="A1276" s="6" t="s">
        <v>1552</v>
      </c>
      <c r="B1276" s="6" t="s">
        <v>7998</v>
      </c>
      <c r="C1276" s="28" t="n">
        <v>0</v>
      </c>
      <c r="D1276" s="6" t="n">
        <v>20</v>
      </c>
      <c r="E1276" s="29"/>
      <c r="F1276" s="6"/>
      <c r="G1276" s="6" t="n">
        <v>8</v>
      </c>
      <c r="H1276" s="6" t="s">
        <v>8007</v>
      </c>
    </row>
    <row r="1277" customFormat="false" ht="15" hidden="false" customHeight="true" outlineLevel="0" collapsed="false">
      <c r="A1277" s="6" t="s">
        <v>7887</v>
      </c>
      <c r="B1277" s="6" t="s">
        <v>8001</v>
      </c>
      <c r="C1277" s="28" t="n">
        <v>0</v>
      </c>
      <c r="D1277" s="6" t="n">
        <v>28</v>
      </c>
      <c r="E1277" s="29"/>
      <c r="F1277" s="6"/>
      <c r="G1277" s="6" t="s">
        <v>6893</v>
      </c>
      <c r="H1277" s="6" t="s">
        <v>8007</v>
      </c>
    </row>
    <row r="1278" customFormat="false" ht="15" hidden="false" customHeight="true" outlineLevel="0" collapsed="false">
      <c r="A1278" s="6" t="s">
        <v>1692</v>
      </c>
      <c r="B1278" s="6" t="s">
        <v>7997</v>
      </c>
      <c r="C1278" s="28" t="n">
        <v>0</v>
      </c>
      <c r="D1278" s="6" t="n">
        <v>22</v>
      </c>
      <c r="E1278" s="29"/>
      <c r="F1278" s="6"/>
      <c r="G1278" s="6" t="n">
        <v>8</v>
      </c>
      <c r="H1278" s="6" t="s">
        <v>8007</v>
      </c>
    </row>
    <row r="1279" customFormat="false" ht="15" hidden="false" customHeight="true" outlineLevel="0" collapsed="false">
      <c r="A1279" s="6" t="s">
        <v>7892</v>
      </c>
      <c r="B1279" s="6" t="s">
        <v>8001</v>
      </c>
      <c r="C1279" s="28" t="n">
        <v>0</v>
      </c>
      <c r="D1279" s="6" t="n">
        <v>23</v>
      </c>
      <c r="E1279" s="29"/>
      <c r="F1279" s="6"/>
      <c r="G1279" s="6" t="s">
        <v>6893</v>
      </c>
      <c r="H1279" s="6" t="s">
        <v>8007</v>
      </c>
    </row>
    <row r="1280" customFormat="false" ht="15" hidden="false" customHeight="true" outlineLevel="0" collapsed="false">
      <c r="A1280" s="6" t="s">
        <v>7897</v>
      </c>
      <c r="B1280" s="6" t="s">
        <v>8001</v>
      </c>
      <c r="C1280" s="28" t="n">
        <v>0</v>
      </c>
      <c r="D1280" s="6" t="n">
        <v>31</v>
      </c>
      <c r="E1280" s="29"/>
      <c r="F1280" s="6"/>
      <c r="G1280" s="6" t="s">
        <v>6893</v>
      </c>
      <c r="H1280" s="6" t="s">
        <v>8007</v>
      </c>
    </row>
    <row r="1281" customFormat="false" ht="15" hidden="false" customHeight="true" outlineLevel="0" collapsed="false">
      <c r="A1281" s="6" t="s">
        <v>6832</v>
      </c>
      <c r="B1281" s="6" t="s">
        <v>7997</v>
      </c>
      <c r="C1281" s="28" t="n">
        <v>0</v>
      </c>
      <c r="D1281" s="6" t="n">
        <v>25</v>
      </c>
      <c r="E1281" s="29"/>
      <c r="F1281" s="6"/>
      <c r="G1281" s="6" t="n">
        <v>3</v>
      </c>
      <c r="H1281" s="6" t="s">
        <v>8007</v>
      </c>
    </row>
    <row r="1282" customFormat="false" ht="15" hidden="false" customHeight="true" outlineLevel="0" collapsed="false">
      <c r="A1282" s="6" t="s">
        <v>6803</v>
      </c>
      <c r="B1282" s="6" t="s">
        <v>7997</v>
      </c>
      <c r="C1282" s="28" t="n">
        <v>0</v>
      </c>
      <c r="D1282" s="6" t="n">
        <v>30</v>
      </c>
      <c r="E1282" s="29"/>
      <c r="F1282" s="6"/>
      <c r="G1282" s="6" t="n">
        <v>3</v>
      </c>
      <c r="H1282" s="6" t="s">
        <v>8007</v>
      </c>
    </row>
    <row r="1283" customFormat="false" ht="15" hidden="false" customHeight="true" outlineLevel="0" collapsed="false">
      <c r="A1283" s="6" t="s">
        <v>6805</v>
      </c>
      <c r="B1283" s="6" t="s">
        <v>7997</v>
      </c>
      <c r="C1283" s="28" t="n">
        <v>0</v>
      </c>
      <c r="D1283" s="6" t="n">
        <v>5</v>
      </c>
      <c r="E1283" s="29" t="n">
        <v>0</v>
      </c>
      <c r="F1283" s="6" t="n">
        <v>0</v>
      </c>
      <c r="G1283" s="6" t="n">
        <v>3</v>
      </c>
      <c r="H1283" s="6"/>
    </row>
    <row r="1284" customFormat="false" ht="15" hidden="false" customHeight="true" outlineLevel="0" collapsed="false">
      <c r="A1284" s="6" t="s">
        <v>6833</v>
      </c>
      <c r="B1284" s="6" t="s">
        <v>8002</v>
      </c>
      <c r="C1284" s="28" t="n">
        <v>0</v>
      </c>
      <c r="D1284" s="6" t="n">
        <v>16</v>
      </c>
      <c r="E1284" s="29"/>
      <c r="F1284" s="6"/>
      <c r="G1284" s="6" t="n">
        <v>3</v>
      </c>
      <c r="H1284" s="6" t="s">
        <v>8007</v>
      </c>
    </row>
    <row r="1285" customFormat="false" ht="15" hidden="false" customHeight="true" outlineLevel="0" collapsed="false">
      <c r="A1285" s="6" t="s">
        <v>1698</v>
      </c>
      <c r="B1285" s="6" t="s">
        <v>7998</v>
      </c>
      <c r="C1285" s="28" t="n">
        <v>0</v>
      </c>
      <c r="D1285" s="6" t="n">
        <v>27</v>
      </c>
      <c r="E1285" s="29"/>
      <c r="F1285" s="6"/>
      <c r="G1285" s="6" t="n">
        <v>8</v>
      </c>
      <c r="H1285" s="6" t="s">
        <v>8007</v>
      </c>
    </row>
    <row r="1286" customFormat="false" ht="15" hidden="false" customHeight="true" outlineLevel="0" collapsed="false">
      <c r="A1286" s="6" t="s">
        <v>1705</v>
      </c>
      <c r="B1286" s="6" t="s">
        <v>7998</v>
      </c>
      <c r="C1286" s="28" t="n">
        <v>0</v>
      </c>
      <c r="D1286" s="6" t="n">
        <v>10</v>
      </c>
      <c r="E1286" s="29"/>
      <c r="F1286" s="6"/>
      <c r="G1286" s="6" t="n">
        <v>8</v>
      </c>
      <c r="H1286" s="6" t="s">
        <v>8007</v>
      </c>
    </row>
    <row r="1287" customFormat="false" ht="15" hidden="false" customHeight="true" outlineLevel="0" collapsed="false">
      <c r="A1287" s="6" t="s">
        <v>1791</v>
      </c>
      <c r="B1287" s="6" t="s">
        <v>7997</v>
      </c>
      <c r="C1287" s="28" t="n">
        <v>0</v>
      </c>
      <c r="D1287" s="6" t="n">
        <v>12</v>
      </c>
      <c r="E1287" s="29"/>
      <c r="F1287" s="6"/>
      <c r="G1287" s="6" t="n">
        <v>8</v>
      </c>
      <c r="H1287" s="6" t="s">
        <v>8007</v>
      </c>
    </row>
    <row r="1288" customFormat="false" ht="15" hidden="false" customHeight="true" outlineLevel="0" collapsed="false">
      <c r="A1288" s="6" t="s">
        <v>1755</v>
      </c>
      <c r="B1288" s="6" t="s">
        <v>7998</v>
      </c>
      <c r="C1288" s="28" t="n">
        <v>0</v>
      </c>
      <c r="D1288" s="6" t="n">
        <v>12</v>
      </c>
      <c r="E1288" s="29"/>
      <c r="F1288" s="6"/>
      <c r="G1288" s="6" t="n">
        <v>8</v>
      </c>
      <c r="H1288" s="6" t="s">
        <v>8007</v>
      </c>
    </row>
    <row r="1289" customFormat="false" ht="15" hidden="false" customHeight="true" outlineLevel="0" collapsed="false">
      <c r="A1289" s="6" t="s">
        <v>1827</v>
      </c>
      <c r="B1289" s="6" t="s">
        <v>7997</v>
      </c>
      <c r="C1289" s="28" t="n">
        <v>0</v>
      </c>
      <c r="D1289" s="6" t="n">
        <v>12</v>
      </c>
      <c r="E1289" s="29"/>
      <c r="F1289" s="6"/>
      <c r="G1289" s="6" t="n">
        <v>8</v>
      </c>
      <c r="H1289" s="6" t="s">
        <v>8007</v>
      </c>
    </row>
    <row r="1290" customFormat="false" ht="15" hidden="false" customHeight="true" outlineLevel="0" collapsed="false">
      <c r="A1290" s="6" t="s">
        <v>6499</v>
      </c>
      <c r="B1290" s="6" t="s">
        <v>7998</v>
      </c>
      <c r="C1290" s="28" t="n">
        <v>0</v>
      </c>
      <c r="D1290" s="6" t="n">
        <v>21</v>
      </c>
      <c r="E1290" s="29"/>
      <c r="F1290" s="6"/>
      <c r="G1290" s="6" t="n">
        <v>1</v>
      </c>
      <c r="H1290" s="6" t="s">
        <v>8007</v>
      </c>
    </row>
    <row r="1291" customFormat="false" ht="15" hidden="false" customHeight="true" outlineLevel="0" collapsed="false">
      <c r="A1291" s="6" t="s">
        <v>6834</v>
      </c>
      <c r="B1291" s="6" t="s">
        <v>8001</v>
      </c>
      <c r="C1291" s="28" t="n">
        <v>0</v>
      </c>
      <c r="D1291" s="6" t="n">
        <v>18</v>
      </c>
      <c r="E1291" s="29" t="n">
        <v>0</v>
      </c>
      <c r="F1291" s="6" t="n">
        <v>0.69</v>
      </c>
      <c r="G1291" s="6" t="n">
        <v>3</v>
      </c>
      <c r="H1291" s="6"/>
    </row>
    <row r="1292" customFormat="false" ht="15" hidden="false" customHeight="true" outlineLevel="0" collapsed="false">
      <c r="A1292" s="6" t="s">
        <v>1505</v>
      </c>
      <c r="B1292" s="6" t="s">
        <v>7997</v>
      </c>
      <c r="C1292" s="28" t="n">
        <v>0</v>
      </c>
      <c r="D1292" s="6" t="n">
        <v>22</v>
      </c>
      <c r="E1292" s="29"/>
      <c r="F1292" s="6"/>
      <c r="G1292" s="6" t="n">
        <v>8</v>
      </c>
      <c r="H1292" s="6" t="s">
        <v>8007</v>
      </c>
    </row>
    <row r="1293" customFormat="false" ht="15" hidden="false" customHeight="true" outlineLevel="0" collapsed="false">
      <c r="A1293" s="6" t="s">
        <v>7899</v>
      </c>
      <c r="B1293" s="6" t="s">
        <v>8001</v>
      </c>
      <c r="C1293" s="28" t="n">
        <v>0</v>
      </c>
      <c r="D1293" s="6" t="n">
        <v>22</v>
      </c>
      <c r="E1293" s="29"/>
      <c r="F1293" s="6"/>
      <c r="G1293" s="6" t="s">
        <v>6893</v>
      </c>
      <c r="H1293" s="6" t="s">
        <v>8007</v>
      </c>
    </row>
    <row r="1294" customFormat="false" ht="15" hidden="false" customHeight="true" outlineLevel="0" collapsed="false">
      <c r="A1294" s="6" t="s">
        <v>1435</v>
      </c>
      <c r="B1294" s="6" t="s">
        <v>7998</v>
      </c>
      <c r="C1294" s="28" t="n">
        <v>0</v>
      </c>
      <c r="D1294" s="6" t="n">
        <v>16</v>
      </c>
      <c r="E1294" s="29"/>
      <c r="F1294" s="6"/>
      <c r="G1294" s="6" t="n">
        <v>8</v>
      </c>
      <c r="H1294" s="6" t="s">
        <v>8007</v>
      </c>
    </row>
    <row r="1295" customFormat="false" ht="15" hidden="false" customHeight="true" outlineLevel="0" collapsed="false">
      <c r="A1295" s="6" t="s">
        <v>1761</v>
      </c>
      <c r="B1295" s="6" t="s">
        <v>8000</v>
      </c>
      <c r="C1295" s="28" t="n">
        <v>0</v>
      </c>
      <c r="D1295" s="6" t="n">
        <v>12</v>
      </c>
      <c r="E1295" s="29"/>
      <c r="F1295" s="6"/>
      <c r="G1295" s="6" t="n">
        <v>8</v>
      </c>
      <c r="H1295" s="6" t="s">
        <v>8007</v>
      </c>
    </row>
    <row r="1296" customFormat="false" ht="15" hidden="false" customHeight="true" outlineLevel="0" collapsed="false">
      <c r="A1296" s="6" t="s">
        <v>1881</v>
      </c>
      <c r="B1296" s="6" t="s">
        <v>7998</v>
      </c>
      <c r="C1296" s="28" t="n">
        <v>0</v>
      </c>
      <c r="D1296" s="6" t="n">
        <v>15</v>
      </c>
      <c r="E1296" s="29"/>
      <c r="F1296" s="6"/>
      <c r="G1296" s="6" t="n">
        <v>8</v>
      </c>
      <c r="H1296" s="6" t="s">
        <v>8007</v>
      </c>
    </row>
    <row r="1297" customFormat="false" ht="15" hidden="false" customHeight="true" outlineLevel="0" collapsed="false">
      <c r="A1297" s="6" t="s">
        <v>1785</v>
      </c>
      <c r="B1297" s="6" t="s">
        <v>8004</v>
      </c>
      <c r="C1297" s="28" t="n">
        <v>0</v>
      </c>
      <c r="D1297" s="6" t="n">
        <v>30</v>
      </c>
      <c r="E1297" s="29"/>
      <c r="F1297" s="6"/>
      <c r="G1297" s="6" t="n">
        <v>8</v>
      </c>
      <c r="H1297" s="6" t="s">
        <v>8007</v>
      </c>
    </row>
    <row r="1298" customFormat="false" ht="15" hidden="false" customHeight="true" outlineLevel="0" collapsed="false">
      <c r="A1298" s="6" t="s">
        <v>1469</v>
      </c>
      <c r="B1298" s="6" t="s">
        <v>7997</v>
      </c>
      <c r="C1298" s="28" t="n">
        <v>0</v>
      </c>
      <c r="D1298" s="6" t="n">
        <v>25</v>
      </c>
      <c r="E1298" s="29"/>
      <c r="F1298" s="6"/>
      <c r="G1298" s="6" t="n">
        <v>8</v>
      </c>
      <c r="H1298" s="6" t="s">
        <v>8007</v>
      </c>
    </row>
    <row r="1299" customFormat="false" ht="15" hidden="false" customHeight="true" outlineLevel="0" collapsed="false">
      <c r="A1299" s="6" t="s">
        <v>1899</v>
      </c>
      <c r="B1299" s="6" t="s">
        <v>7997</v>
      </c>
      <c r="C1299" s="28" t="n">
        <v>0</v>
      </c>
      <c r="D1299" s="6" t="n">
        <v>12</v>
      </c>
      <c r="E1299" s="29"/>
      <c r="F1299" s="6"/>
      <c r="G1299" s="6" t="n">
        <v>8</v>
      </c>
      <c r="H1299" s="6" t="s">
        <v>8007</v>
      </c>
    </row>
    <row r="1300" customFormat="false" ht="15" hidden="false" customHeight="true" outlineLevel="0" collapsed="false">
      <c r="A1300" s="6" t="s">
        <v>1821</v>
      </c>
      <c r="B1300" s="6" t="s">
        <v>7997</v>
      </c>
      <c r="C1300" s="28" t="n">
        <v>0</v>
      </c>
      <c r="D1300" s="6" t="n">
        <v>14</v>
      </c>
      <c r="E1300" s="29"/>
      <c r="F1300" s="6"/>
      <c r="G1300" s="6" t="n">
        <v>8</v>
      </c>
      <c r="H1300" s="6" t="s">
        <v>8007</v>
      </c>
    </row>
    <row r="1301" customFormat="false" ht="15" hidden="false" customHeight="true" outlineLevel="0" collapsed="false">
      <c r="A1301" s="6" t="s">
        <v>6500</v>
      </c>
      <c r="B1301" s="6" t="s">
        <v>8000</v>
      </c>
      <c r="C1301" s="28" t="n">
        <v>0</v>
      </c>
      <c r="D1301" s="6" t="n">
        <v>33</v>
      </c>
      <c r="E1301" s="29"/>
      <c r="F1301" s="6"/>
      <c r="G1301" s="6" t="n">
        <v>1</v>
      </c>
      <c r="H1301" s="6" t="s">
        <v>8007</v>
      </c>
    </row>
    <row r="1302" customFormat="false" ht="15" hidden="false" customHeight="true" outlineLevel="0" collapsed="false">
      <c r="A1302" s="6" t="s">
        <v>1740</v>
      </c>
      <c r="B1302" s="6" t="s">
        <v>7997</v>
      </c>
      <c r="C1302" s="28" t="n">
        <v>0</v>
      </c>
      <c r="D1302" s="6" t="n">
        <v>22</v>
      </c>
      <c r="E1302" s="29"/>
      <c r="F1302" s="6"/>
      <c r="G1302" s="6" t="n">
        <v>3</v>
      </c>
      <c r="H1302" s="6" t="s">
        <v>8007</v>
      </c>
    </row>
    <row r="1303" customFormat="false" ht="15" hidden="false" customHeight="true" outlineLevel="0" collapsed="false">
      <c r="A1303" s="6" t="s">
        <v>1869</v>
      </c>
      <c r="B1303" s="6" t="s">
        <v>8004</v>
      </c>
      <c r="C1303" s="28" t="n">
        <v>0</v>
      </c>
      <c r="D1303" s="6" t="n">
        <v>11</v>
      </c>
      <c r="E1303" s="29"/>
      <c r="F1303" s="6"/>
      <c r="G1303" s="6" t="n">
        <v>8</v>
      </c>
      <c r="H1303" s="6" t="s">
        <v>8007</v>
      </c>
    </row>
    <row r="1304" customFormat="false" ht="15" hidden="false" customHeight="true" outlineLevel="0" collapsed="false">
      <c r="A1304" s="6" t="s">
        <v>6835</v>
      </c>
      <c r="B1304" s="6" t="s">
        <v>7997</v>
      </c>
      <c r="C1304" s="28" t="n">
        <v>0</v>
      </c>
      <c r="D1304" s="6" t="n">
        <v>29</v>
      </c>
      <c r="E1304" s="29"/>
      <c r="F1304" s="6"/>
      <c r="G1304" s="6" t="n">
        <v>3</v>
      </c>
      <c r="H1304" s="6" t="s">
        <v>8007</v>
      </c>
    </row>
    <row r="1305" customFormat="false" ht="15" hidden="false" customHeight="true" outlineLevel="0" collapsed="false">
      <c r="A1305" s="6" t="s">
        <v>1779</v>
      </c>
      <c r="B1305" s="6" t="s">
        <v>7998</v>
      </c>
      <c r="C1305" s="28" t="n">
        <v>0</v>
      </c>
      <c r="D1305" s="6" t="n">
        <v>12</v>
      </c>
      <c r="E1305" s="29"/>
      <c r="F1305" s="6"/>
      <c r="G1305" s="6" t="n">
        <v>8</v>
      </c>
      <c r="H1305" s="6" t="s">
        <v>8007</v>
      </c>
    </row>
    <row r="1306" customFormat="false" ht="15" hidden="false" customHeight="true" outlineLevel="0" collapsed="false">
      <c r="A1306" s="6" t="s">
        <v>1815</v>
      </c>
      <c r="B1306" s="6" t="s">
        <v>7998</v>
      </c>
      <c r="C1306" s="28" t="n">
        <v>0</v>
      </c>
      <c r="D1306" s="6" t="n">
        <v>12</v>
      </c>
      <c r="E1306" s="29"/>
      <c r="F1306" s="6"/>
      <c r="G1306" s="6" t="n">
        <v>8</v>
      </c>
      <c r="H1306" s="6" t="s">
        <v>8007</v>
      </c>
    </row>
    <row r="1307" customFormat="false" ht="15" hidden="false" customHeight="true" outlineLevel="0" collapsed="false">
      <c r="A1307" s="6" t="s">
        <v>1863</v>
      </c>
      <c r="B1307" s="6" t="s">
        <v>7998</v>
      </c>
      <c r="C1307" s="28" t="n">
        <v>0</v>
      </c>
      <c r="D1307" s="6" t="n">
        <v>17</v>
      </c>
      <c r="E1307" s="29"/>
      <c r="F1307" s="6"/>
      <c r="G1307" s="6" t="n">
        <v>8</v>
      </c>
      <c r="H1307" s="6" t="s">
        <v>8007</v>
      </c>
    </row>
    <row r="1308" customFormat="false" ht="15" hidden="false" customHeight="true" outlineLevel="0" collapsed="false">
      <c r="A1308" s="6" t="s">
        <v>1484</v>
      </c>
      <c r="B1308" s="6" t="s">
        <v>7998</v>
      </c>
      <c r="C1308" s="28" t="n">
        <v>0</v>
      </c>
      <c r="D1308" s="6" t="n">
        <v>20</v>
      </c>
      <c r="E1308" s="29"/>
      <c r="F1308" s="6"/>
      <c r="G1308" s="6" t="n">
        <v>8</v>
      </c>
      <c r="H1308" s="6" t="s">
        <v>8007</v>
      </c>
    </row>
    <row r="1309" customFormat="false" ht="15" hidden="false" customHeight="true" outlineLevel="0" collapsed="false">
      <c r="A1309" s="6" t="s">
        <v>1710</v>
      </c>
      <c r="B1309" s="6" t="s">
        <v>8002</v>
      </c>
      <c r="C1309" s="28" t="n">
        <v>0</v>
      </c>
      <c r="D1309" s="6" t="n">
        <v>32</v>
      </c>
      <c r="E1309" s="29"/>
      <c r="F1309" s="6"/>
      <c r="G1309" s="6" t="n">
        <v>8</v>
      </c>
      <c r="H1309" s="6" t="s">
        <v>8007</v>
      </c>
    </row>
    <row r="1310" customFormat="false" ht="15" hidden="false" customHeight="true" outlineLevel="0" collapsed="false">
      <c r="A1310" s="6" t="s">
        <v>1567</v>
      </c>
      <c r="B1310" s="6" t="s">
        <v>8000</v>
      </c>
      <c r="C1310" s="28" t="n">
        <v>0</v>
      </c>
      <c r="D1310" s="6" t="n">
        <v>20</v>
      </c>
      <c r="E1310" s="29"/>
      <c r="F1310" s="6"/>
      <c r="G1310" s="6" t="n">
        <v>9</v>
      </c>
      <c r="H1310" s="6" t="s">
        <v>8007</v>
      </c>
    </row>
    <row r="1311" customFormat="false" ht="15" hidden="false" customHeight="true" outlineLevel="0" collapsed="false">
      <c r="A1311" s="6" t="s">
        <v>1857</v>
      </c>
      <c r="B1311" s="6" t="s">
        <v>8000</v>
      </c>
      <c r="C1311" s="28" t="n">
        <v>0</v>
      </c>
      <c r="D1311" s="6" t="n">
        <v>12</v>
      </c>
      <c r="E1311" s="29"/>
      <c r="F1311" s="6"/>
      <c r="G1311" s="6" t="n">
        <v>9</v>
      </c>
      <c r="H1311" s="6" t="s">
        <v>8007</v>
      </c>
    </row>
    <row r="1312" customFormat="false" ht="15" hidden="false" customHeight="true" outlineLevel="0" collapsed="false">
      <c r="A1312" s="6" t="s">
        <v>4292</v>
      </c>
      <c r="B1312" s="6" t="s">
        <v>7998</v>
      </c>
      <c r="C1312" s="28" t="n">
        <v>0</v>
      </c>
      <c r="D1312" s="6" t="n">
        <v>14</v>
      </c>
      <c r="E1312" s="29"/>
      <c r="F1312" s="6"/>
      <c r="G1312" s="6" t="n">
        <v>2</v>
      </c>
      <c r="H1312" s="6" t="s">
        <v>8007</v>
      </c>
    </row>
    <row r="1313" customFormat="false" ht="15" hidden="false" customHeight="true" outlineLevel="0" collapsed="false">
      <c r="A1313" s="6" t="s">
        <v>4478</v>
      </c>
      <c r="B1313" s="6" t="s">
        <v>7998</v>
      </c>
      <c r="C1313" s="28" t="n">
        <v>0</v>
      </c>
      <c r="D1313" s="6" t="n">
        <v>21</v>
      </c>
      <c r="E1313" s="29"/>
      <c r="F1313" s="6"/>
      <c r="G1313" s="6" t="n">
        <v>2</v>
      </c>
      <c r="H1313" s="6" t="s">
        <v>8007</v>
      </c>
    </row>
    <row r="1314" customFormat="false" ht="15" hidden="false" customHeight="true" outlineLevel="0" collapsed="false">
      <c r="A1314" s="6" t="s">
        <v>4304</v>
      </c>
      <c r="B1314" s="6" t="s">
        <v>7998</v>
      </c>
      <c r="C1314" s="28" t="n">
        <v>0</v>
      </c>
      <c r="D1314" s="6" t="n">
        <v>17</v>
      </c>
      <c r="E1314" s="29"/>
      <c r="F1314" s="6"/>
      <c r="G1314" s="6" t="n">
        <v>2</v>
      </c>
      <c r="H1314" s="6" t="s">
        <v>8007</v>
      </c>
    </row>
    <row r="1315" customFormat="false" ht="15" hidden="false" customHeight="true" outlineLevel="0" collapsed="false">
      <c r="A1315" s="6" t="s">
        <v>6479</v>
      </c>
      <c r="B1315" s="6" t="s">
        <v>7998</v>
      </c>
      <c r="C1315" s="28" t="n">
        <v>0</v>
      </c>
      <c r="D1315" s="6" t="n">
        <v>24</v>
      </c>
      <c r="E1315" s="29"/>
      <c r="F1315" s="6"/>
      <c r="G1315" s="6" t="n">
        <v>9</v>
      </c>
      <c r="H1315" s="6" t="s">
        <v>8007</v>
      </c>
    </row>
  </sheetData>
  <autoFilter ref="A1:H13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60"/>
    <col collapsed="false" customWidth="true" hidden="false" outlineLevel="0" max="3" min="3" style="1" width="12"/>
  </cols>
  <sheetData>
    <row r="1" customFormat="false" ht="31.5" hidden="false" customHeight="true" outlineLevel="0" collapsed="false">
      <c r="A1" s="16" t="s">
        <v>8010</v>
      </c>
      <c r="B1" s="16" t="s">
        <v>8011</v>
      </c>
      <c r="C1" s="16" t="s">
        <v>8012</v>
      </c>
    </row>
    <row r="2" customFormat="false" ht="15" hidden="false" customHeight="true" outlineLevel="0" collapsed="false">
      <c r="A2" s="6" t="s">
        <v>2456</v>
      </c>
      <c r="B2" s="6" t="s">
        <v>2456</v>
      </c>
      <c r="C2" s="6" t="s">
        <v>8013</v>
      </c>
    </row>
    <row r="3" customFormat="false" ht="15" hidden="false" customHeight="true" outlineLevel="0" collapsed="false">
      <c r="A3" s="6" t="s">
        <v>2456</v>
      </c>
      <c r="B3" s="6" t="s">
        <v>8014</v>
      </c>
      <c r="C3" s="6"/>
    </row>
    <row r="4" customFormat="false" ht="15" hidden="false" customHeight="true" outlineLevel="0" collapsed="false">
      <c r="A4" s="6" t="s">
        <v>2456</v>
      </c>
      <c r="B4" s="6" t="s">
        <v>8015</v>
      </c>
      <c r="C4" s="6"/>
    </row>
    <row r="5" customFormat="false" ht="15" hidden="false" customHeight="true" outlineLevel="0" collapsed="false">
      <c r="A5" s="6" t="s">
        <v>2456</v>
      </c>
      <c r="B5" s="6" t="s">
        <v>8016</v>
      </c>
      <c r="C5" s="6"/>
    </row>
    <row r="6" customFormat="false" ht="15" hidden="false" customHeight="true" outlineLevel="0" collapsed="false">
      <c r="A6" s="6" t="s">
        <v>2456</v>
      </c>
      <c r="B6" s="6" t="s">
        <v>6871</v>
      </c>
      <c r="C6" s="6" t="s">
        <v>8013</v>
      </c>
    </row>
    <row r="7" customFormat="false" ht="15" hidden="false" customHeight="true" outlineLevel="0" collapsed="false">
      <c r="A7" s="6" t="s">
        <v>2456</v>
      </c>
      <c r="B7" s="6" t="s">
        <v>8017</v>
      </c>
      <c r="C7" s="6"/>
    </row>
    <row r="8" customFormat="false" ht="15" hidden="false" customHeight="true" outlineLevel="0" collapsed="false">
      <c r="A8" s="6" t="s">
        <v>2456</v>
      </c>
      <c r="B8" s="6" t="s">
        <v>8018</v>
      </c>
      <c r="C8" s="6"/>
    </row>
    <row r="9" customFormat="false" ht="15" hidden="false" customHeight="true" outlineLevel="0" collapsed="false">
      <c r="A9" s="6" t="s">
        <v>2456</v>
      </c>
      <c r="B9" s="6" t="s">
        <v>6872</v>
      </c>
      <c r="C9" s="6" t="s">
        <v>8013</v>
      </c>
    </row>
    <row r="10" customFormat="false" ht="15" hidden="false" customHeight="true" outlineLevel="0" collapsed="false">
      <c r="A10" s="6" t="s">
        <v>2456</v>
      </c>
      <c r="B10" s="6" t="s">
        <v>8019</v>
      </c>
      <c r="C10" s="6"/>
    </row>
    <row r="11" customFormat="false" ht="15" hidden="false" customHeight="true" outlineLevel="0" collapsed="false">
      <c r="A11" s="6" t="s">
        <v>2456</v>
      </c>
      <c r="B11" s="6" t="s">
        <v>8020</v>
      </c>
      <c r="C11" s="6"/>
    </row>
    <row r="12" customFormat="false" ht="15" hidden="false" customHeight="true" outlineLevel="0" collapsed="false">
      <c r="A12" s="6" t="s">
        <v>2468</v>
      </c>
      <c r="B12" s="6" t="s">
        <v>2468</v>
      </c>
      <c r="C12" s="6" t="s">
        <v>8013</v>
      </c>
    </row>
    <row r="13" customFormat="false" ht="15" hidden="false" customHeight="true" outlineLevel="0" collapsed="false">
      <c r="A13" s="6" t="s">
        <v>2468</v>
      </c>
      <c r="B13" s="6" t="s">
        <v>2472</v>
      </c>
      <c r="C13" s="6" t="s">
        <v>8013</v>
      </c>
    </row>
    <row r="14" customFormat="false" ht="15" hidden="false" customHeight="true" outlineLevel="0" collapsed="false">
      <c r="A14" s="6" t="s">
        <v>2468</v>
      </c>
      <c r="B14" s="6" t="s">
        <v>6876</v>
      </c>
      <c r="C14" s="6" t="s">
        <v>8013</v>
      </c>
    </row>
    <row r="15" customFormat="false" ht="15" hidden="false" customHeight="true" outlineLevel="0" collapsed="false">
      <c r="A15" s="6" t="s">
        <v>2468</v>
      </c>
      <c r="B15" s="6" t="s">
        <v>6875</v>
      </c>
      <c r="C15" s="6" t="s">
        <v>8013</v>
      </c>
    </row>
    <row r="16" customFormat="false" ht="15" hidden="false" customHeight="true" outlineLevel="0" collapsed="false">
      <c r="A16" s="6" t="s">
        <v>2468</v>
      </c>
      <c r="B16" s="6" t="s">
        <v>6873</v>
      </c>
      <c r="C16" s="6" t="s">
        <v>8013</v>
      </c>
    </row>
    <row r="17" customFormat="false" ht="15" hidden="false" customHeight="true" outlineLevel="0" collapsed="false">
      <c r="A17" s="6" t="s">
        <v>2468</v>
      </c>
      <c r="B17" s="6" t="s">
        <v>8021</v>
      </c>
      <c r="C17" s="6"/>
    </row>
    <row r="18" customFormat="false" ht="15" hidden="false" customHeight="true" outlineLevel="0" collapsed="false">
      <c r="A18" s="6" t="s">
        <v>2468</v>
      </c>
      <c r="B18" s="6" t="s">
        <v>6877</v>
      </c>
      <c r="C18" s="6" t="s">
        <v>8013</v>
      </c>
    </row>
    <row r="19" customFormat="false" ht="15" hidden="false" customHeight="true" outlineLevel="0" collapsed="false">
      <c r="A19" s="6" t="s">
        <v>2468</v>
      </c>
      <c r="B19" s="6" t="s">
        <v>6874</v>
      </c>
      <c r="C19" s="6" t="s">
        <v>8013</v>
      </c>
    </row>
    <row r="20" customFormat="false" ht="15" hidden="false" customHeight="true" outlineLevel="0" collapsed="false">
      <c r="A20" s="6" t="s">
        <v>2468</v>
      </c>
      <c r="B20" s="6" t="s">
        <v>8022</v>
      </c>
      <c r="C20" s="6"/>
    </row>
    <row r="21" customFormat="false" ht="15" hidden="false" customHeight="true" outlineLevel="0" collapsed="false">
      <c r="A21" s="6" t="s">
        <v>2468</v>
      </c>
      <c r="B21" s="6" t="s">
        <v>8023</v>
      </c>
      <c r="C21" s="6"/>
    </row>
    <row r="22" customFormat="false" ht="15" hidden="false" customHeight="true" outlineLevel="0" collapsed="false">
      <c r="A22" s="6" t="s">
        <v>6501</v>
      </c>
      <c r="B22" s="6" t="s">
        <v>6501</v>
      </c>
      <c r="C22" s="6" t="s">
        <v>8013</v>
      </c>
    </row>
    <row r="23" customFormat="false" ht="15" hidden="false" customHeight="true" outlineLevel="0" collapsed="false">
      <c r="A23" s="6" t="s">
        <v>6501</v>
      </c>
      <c r="B23" s="6" t="s">
        <v>8024</v>
      </c>
      <c r="C23" s="6"/>
    </row>
    <row r="24" customFormat="false" ht="15" hidden="false" customHeight="true" outlineLevel="0" collapsed="false">
      <c r="A24" s="6" t="s">
        <v>6501</v>
      </c>
      <c r="B24" s="6" t="s">
        <v>8025</v>
      </c>
      <c r="C24" s="6"/>
    </row>
    <row r="25" customFormat="false" ht="15" hidden="false" customHeight="true" outlineLevel="0" collapsed="false">
      <c r="A25" s="6" t="s">
        <v>6501</v>
      </c>
      <c r="B25" s="6" t="s">
        <v>8026</v>
      </c>
      <c r="C25" s="6"/>
    </row>
    <row r="26" customFormat="false" ht="15" hidden="false" customHeight="true" outlineLevel="0" collapsed="false">
      <c r="A26" s="6" t="s">
        <v>6501</v>
      </c>
      <c r="B26" s="6" t="s">
        <v>8027</v>
      </c>
      <c r="C26" s="6"/>
    </row>
    <row r="27" customFormat="false" ht="15" hidden="false" customHeight="true" outlineLevel="0" collapsed="false">
      <c r="A27" s="6" t="s">
        <v>6501</v>
      </c>
      <c r="B27" s="6" t="s">
        <v>8028</v>
      </c>
      <c r="C27" s="6"/>
    </row>
    <row r="28" customFormat="false" ht="15" hidden="false" customHeight="true" outlineLevel="0" collapsed="false">
      <c r="A28" s="6" t="s">
        <v>6501</v>
      </c>
      <c r="B28" s="6" t="s">
        <v>8029</v>
      </c>
      <c r="C28" s="6"/>
    </row>
    <row r="29" customFormat="false" ht="15" hidden="false" customHeight="true" outlineLevel="0" collapsed="false">
      <c r="A29" s="6" t="s">
        <v>6501</v>
      </c>
      <c r="B29" s="6" t="s">
        <v>8030</v>
      </c>
      <c r="C29" s="6"/>
    </row>
    <row r="30" customFormat="false" ht="15" hidden="false" customHeight="true" outlineLevel="0" collapsed="false">
      <c r="A30" s="6" t="s">
        <v>6501</v>
      </c>
      <c r="B30" s="6" t="s">
        <v>8031</v>
      </c>
      <c r="C30" s="6"/>
    </row>
    <row r="31" customFormat="false" ht="15" hidden="false" customHeight="true" outlineLevel="0" collapsed="false">
      <c r="A31" s="6" t="s">
        <v>6501</v>
      </c>
      <c r="B31" s="6" t="s">
        <v>8032</v>
      </c>
      <c r="C31" s="6"/>
    </row>
    <row r="32" customFormat="false" ht="15" hidden="false" customHeight="true" outlineLevel="0" collapsed="false">
      <c r="A32" s="6" t="s">
        <v>2553</v>
      </c>
      <c r="B32" s="6" t="s">
        <v>2553</v>
      </c>
      <c r="C32" s="6" t="s">
        <v>8013</v>
      </c>
    </row>
    <row r="33" customFormat="false" ht="15" hidden="false" customHeight="true" outlineLevel="0" collapsed="false">
      <c r="A33" s="6" t="s">
        <v>2553</v>
      </c>
      <c r="B33" s="6" t="s">
        <v>8033</v>
      </c>
      <c r="C33" s="6"/>
    </row>
    <row r="34" customFormat="false" ht="15" hidden="false" customHeight="true" outlineLevel="0" collapsed="false">
      <c r="A34" s="6" t="s">
        <v>2553</v>
      </c>
      <c r="B34" s="6" t="s">
        <v>6878</v>
      </c>
      <c r="C34" s="6" t="s">
        <v>8013</v>
      </c>
    </row>
    <row r="35" customFormat="false" ht="15" hidden="false" customHeight="true" outlineLevel="0" collapsed="false">
      <c r="A35" s="6" t="s">
        <v>2553</v>
      </c>
      <c r="B35" s="6" t="s">
        <v>6879</v>
      </c>
      <c r="C35" s="6" t="s">
        <v>8013</v>
      </c>
    </row>
    <row r="36" customFormat="false" ht="15" hidden="false" customHeight="true" outlineLevel="0" collapsed="false">
      <c r="A36" s="6" t="s">
        <v>2553</v>
      </c>
      <c r="B36" s="6" t="s">
        <v>8034</v>
      </c>
      <c r="C36" s="6"/>
    </row>
    <row r="37" customFormat="false" ht="15" hidden="false" customHeight="true" outlineLevel="0" collapsed="false">
      <c r="A37" s="6" t="s">
        <v>2553</v>
      </c>
      <c r="B37" s="6" t="s">
        <v>8035</v>
      </c>
      <c r="C37" s="6"/>
    </row>
    <row r="38" customFormat="false" ht="15" hidden="false" customHeight="true" outlineLevel="0" collapsed="false">
      <c r="A38" s="6" t="s">
        <v>2495</v>
      </c>
      <c r="B38" s="6" t="s">
        <v>2495</v>
      </c>
      <c r="C38" s="6" t="s">
        <v>8013</v>
      </c>
    </row>
    <row r="39" customFormat="false" ht="15" hidden="false" customHeight="true" outlineLevel="0" collapsed="false">
      <c r="A39" s="6" t="s">
        <v>2495</v>
      </c>
      <c r="B39" s="6" t="s">
        <v>6880</v>
      </c>
      <c r="C39" s="6" t="s">
        <v>8013</v>
      </c>
    </row>
    <row r="40" customFormat="false" ht="15" hidden="false" customHeight="true" outlineLevel="0" collapsed="false">
      <c r="A40" s="6" t="s">
        <v>2495</v>
      </c>
      <c r="B40" s="6" t="s">
        <v>6881</v>
      </c>
      <c r="C40" s="6" t="s">
        <v>8013</v>
      </c>
    </row>
    <row r="41" customFormat="false" ht="15" hidden="false" customHeight="true" outlineLevel="0" collapsed="false">
      <c r="A41" s="6" t="s">
        <v>2495</v>
      </c>
      <c r="B41" s="6" t="s">
        <v>8036</v>
      </c>
      <c r="C41" s="6"/>
    </row>
    <row r="42" customFormat="false" ht="15" hidden="false" customHeight="true" outlineLevel="0" collapsed="false">
      <c r="A42" s="6" t="s">
        <v>2495</v>
      </c>
      <c r="B42" s="6" t="s">
        <v>8037</v>
      </c>
      <c r="C42" s="6"/>
    </row>
    <row r="43" customFormat="false" ht="15" hidden="false" customHeight="true" outlineLevel="0" collapsed="false">
      <c r="A43" s="6" t="s">
        <v>2495</v>
      </c>
      <c r="B43" s="6" t="s">
        <v>8038</v>
      </c>
      <c r="C43" s="6"/>
    </row>
    <row r="44" customFormat="false" ht="15" hidden="false" customHeight="true" outlineLevel="0" collapsed="false">
      <c r="A44" s="6" t="s">
        <v>2495</v>
      </c>
      <c r="B44" s="6" t="s">
        <v>8039</v>
      </c>
      <c r="C44" s="6"/>
    </row>
    <row r="45" customFormat="false" ht="15" hidden="false" customHeight="true" outlineLevel="0" collapsed="false">
      <c r="A45" s="6" t="s">
        <v>2495</v>
      </c>
      <c r="B45" s="6" t="s">
        <v>8040</v>
      </c>
      <c r="C45" s="6"/>
    </row>
    <row r="46" customFormat="false" ht="15" hidden="false" customHeight="true" outlineLevel="0" collapsed="false">
      <c r="A46" s="6" t="s">
        <v>2495</v>
      </c>
      <c r="B46" s="6" t="s">
        <v>8041</v>
      </c>
      <c r="C46" s="6"/>
    </row>
    <row r="47" customFormat="false" ht="15" hidden="false" customHeight="true" outlineLevel="0" collapsed="false">
      <c r="A47" s="6" t="s">
        <v>2495</v>
      </c>
      <c r="B47" s="6" t="s">
        <v>6882</v>
      </c>
      <c r="C47" s="6" t="s">
        <v>8013</v>
      </c>
    </row>
    <row r="48" customFormat="false" ht="15" hidden="false" customHeight="true" outlineLevel="0" collapsed="false">
      <c r="A48" s="6" t="s">
        <v>2482</v>
      </c>
      <c r="B48" s="6" t="s">
        <v>2482</v>
      </c>
      <c r="C48" s="6" t="s">
        <v>8013</v>
      </c>
    </row>
    <row r="49" customFormat="false" ht="15" hidden="false" customHeight="true" outlineLevel="0" collapsed="false">
      <c r="A49" s="6" t="s">
        <v>2482</v>
      </c>
      <c r="B49" s="6" t="s">
        <v>2486</v>
      </c>
      <c r="C49" s="6" t="s">
        <v>8013</v>
      </c>
    </row>
    <row r="50" customFormat="false" ht="15" hidden="false" customHeight="true" outlineLevel="0" collapsed="false">
      <c r="A50" s="6" t="s">
        <v>2482</v>
      </c>
      <c r="B50" s="6" t="s">
        <v>6886</v>
      </c>
      <c r="C50" s="6" t="s">
        <v>8013</v>
      </c>
    </row>
    <row r="51" customFormat="false" ht="15" hidden="false" customHeight="true" outlineLevel="0" collapsed="false">
      <c r="A51" s="6" t="s">
        <v>2482</v>
      </c>
      <c r="B51" s="6" t="s">
        <v>6883</v>
      </c>
      <c r="C51" s="6" t="s">
        <v>8013</v>
      </c>
    </row>
    <row r="52" customFormat="false" ht="15" hidden="false" customHeight="true" outlineLevel="0" collapsed="false">
      <c r="A52" s="6" t="s">
        <v>2482</v>
      </c>
      <c r="B52" s="6" t="s">
        <v>6884</v>
      </c>
      <c r="C52" s="6" t="s">
        <v>8013</v>
      </c>
    </row>
    <row r="53" customFormat="false" ht="15" hidden="false" customHeight="true" outlineLevel="0" collapsed="false">
      <c r="A53" s="6" t="s">
        <v>2482</v>
      </c>
      <c r="B53" s="6" t="s">
        <v>8042</v>
      </c>
      <c r="C53" s="6"/>
    </row>
    <row r="54" customFormat="false" ht="15" hidden="false" customHeight="true" outlineLevel="0" collapsed="false">
      <c r="A54" s="6" t="s">
        <v>2482</v>
      </c>
      <c r="B54" s="6" t="s">
        <v>6885</v>
      </c>
      <c r="C54" s="6" t="s">
        <v>8013</v>
      </c>
    </row>
    <row r="55" customFormat="false" ht="15" hidden="false" customHeight="true" outlineLevel="0" collapsed="false">
      <c r="A55" s="6" t="s">
        <v>2482</v>
      </c>
      <c r="B55" s="6" t="s">
        <v>8043</v>
      </c>
      <c r="C55" s="6"/>
    </row>
    <row r="56" customFormat="false" ht="15" hidden="false" customHeight="true" outlineLevel="0" collapsed="false">
      <c r="A56" s="6" t="s">
        <v>2482</v>
      </c>
      <c r="B56" s="6" t="s">
        <v>8044</v>
      </c>
      <c r="C56" s="6"/>
    </row>
    <row r="57" customFormat="false" ht="15" hidden="false" customHeight="true" outlineLevel="0" collapsed="false">
      <c r="A57" s="6" t="s">
        <v>2482</v>
      </c>
      <c r="B57" s="6" t="s">
        <v>8045</v>
      </c>
      <c r="C57" s="6"/>
    </row>
    <row r="58" customFormat="false" ht="15" hidden="false" customHeight="true" outlineLevel="0" collapsed="false">
      <c r="A58" s="6" t="s">
        <v>2563</v>
      </c>
      <c r="B58" s="6" t="s">
        <v>2563</v>
      </c>
      <c r="C58" s="6" t="s">
        <v>8013</v>
      </c>
    </row>
    <row r="59" customFormat="false" ht="15" hidden="false" customHeight="true" outlineLevel="0" collapsed="false">
      <c r="A59" s="6" t="s">
        <v>2563</v>
      </c>
      <c r="B59" s="6" t="s">
        <v>8046</v>
      </c>
      <c r="C59" s="6"/>
    </row>
    <row r="60" customFormat="false" ht="15" hidden="false" customHeight="true" outlineLevel="0" collapsed="false">
      <c r="A60" s="6" t="s">
        <v>2563</v>
      </c>
      <c r="B60" s="6" t="s">
        <v>8047</v>
      </c>
      <c r="C60" s="6"/>
    </row>
    <row r="61" customFormat="false" ht="15" hidden="false" customHeight="true" outlineLevel="0" collapsed="false">
      <c r="A61" s="6" t="s">
        <v>2563</v>
      </c>
      <c r="B61" s="6" t="s">
        <v>8048</v>
      </c>
      <c r="C61" s="6"/>
    </row>
    <row r="62" customFormat="false" ht="15" hidden="false" customHeight="true" outlineLevel="0" collapsed="false">
      <c r="A62" s="6" t="s">
        <v>2563</v>
      </c>
      <c r="B62" s="6" t="s">
        <v>8035</v>
      </c>
      <c r="C62" s="6"/>
    </row>
    <row r="63" customFormat="false" ht="15" hidden="false" customHeight="true" outlineLevel="0" collapsed="false">
      <c r="A63" s="6" t="s">
        <v>2506</v>
      </c>
      <c r="B63" s="6" t="s">
        <v>2506</v>
      </c>
      <c r="C63" s="6" t="s">
        <v>8013</v>
      </c>
    </row>
    <row r="64" customFormat="false" ht="15" hidden="false" customHeight="true" outlineLevel="0" collapsed="false">
      <c r="A64" s="6" t="s">
        <v>2506</v>
      </c>
      <c r="B64" s="6" t="s">
        <v>6888</v>
      </c>
      <c r="C64" s="6" t="s">
        <v>8013</v>
      </c>
    </row>
    <row r="65" customFormat="false" ht="15" hidden="false" customHeight="true" outlineLevel="0" collapsed="false">
      <c r="A65" s="6" t="s">
        <v>2506</v>
      </c>
      <c r="B65" s="6" t="s">
        <v>6889</v>
      </c>
      <c r="C65" s="6" t="s">
        <v>8013</v>
      </c>
    </row>
    <row r="66" customFormat="false" ht="15" hidden="false" customHeight="true" outlineLevel="0" collapsed="false">
      <c r="A66" s="6" t="s">
        <v>2506</v>
      </c>
      <c r="B66" s="6" t="s">
        <v>6887</v>
      </c>
      <c r="C66" s="6" t="s">
        <v>8013</v>
      </c>
    </row>
    <row r="67" customFormat="false" ht="15" hidden="false" customHeight="true" outlineLevel="0" collapsed="false">
      <c r="A67" s="6" t="s">
        <v>2506</v>
      </c>
      <c r="B67" s="6" t="s">
        <v>2510</v>
      </c>
      <c r="C67" s="6" t="s">
        <v>8013</v>
      </c>
    </row>
    <row r="68" customFormat="false" ht="15" hidden="false" customHeight="true" outlineLevel="0" collapsed="false">
      <c r="A68" s="6" t="s">
        <v>2506</v>
      </c>
      <c r="B68" s="6" t="s">
        <v>6890</v>
      </c>
      <c r="C68" s="6" t="s">
        <v>8013</v>
      </c>
    </row>
    <row r="69" customFormat="false" ht="15" hidden="false" customHeight="true" outlineLevel="0" collapsed="false">
      <c r="A69" s="6" t="s">
        <v>2506</v>
      </c>
      <c r="B69" s="6" t="s">
        <v>8049</v>
      </c>
      <c r="C69" s="6"/>
    </row>
    <row r="70" customFormat="false" ht="15" hidden="false" customHeight="true" outlineLevel="0" collapsed="false">
      <c r="A70" s="6" t="s">
        <v>2506</v>
      </c>
      <c r="B70" s="6" t="s">
        <v>6891</v>
      </c>
      <c r="C70" s="6" t="s">
        <v>8013</v>
      </c>
    </row>
    <row r="71" customFormat="false" ht="15" hidden="false" customHeight="true" outlineLevel="0" collapsed="false">
      <c r="A71" s="6" t="s">
        <v>2506</v>
      </c>
      <c r="B71" s="6" t="s">
        <v>8050</v>
      </c>
      <c r="C71" s="6"/>
    </row>
    <row r="72" customFormat="false" ht="15" hidden="false" customHeight="true" outlineLevel="0" collapsed="false">
      <c r="A72" s="6" t="s">
        <v>2506</v>
      </c>
      <c r="B72" s="6" t="s">
        <v>8051</v>
      </c>
      <c r="C72" s="6"/>
    </row>
    <row r="73" customFormat="false" ht="15" hidden="false" customHeight="true" outlineLevel="0" collapsed="false">
      <c r="A73" s="6" t="s">
        <v>350</v>
      </c>
      <c r="B73" s="6" t="s">
        <v>350</v>
      </c>
      <c r="C73" s="6" t="s">
        <v>8013</v>
      </c>
    </row>
    <row r="74" customFormat="false" ht="15" hidden="false" customHeight="true" outlineLevel="0" collapsed="false">
      <c r="A74" s="6" t="s">
        <v>350</v>
      </c>
      <c r="B74" s="6" t="s">
        <v>8052</v>
      </c>
      <c r="C74" s="6"/>
    </row>
    <row r="75" customFormat="false" ht="15" hidden="false" customHeight="true" outlineLevel="0" collapsed="false">
      <c r="A75" s="6" t="s">
        <v>350</v>
      </c>
      <c r="B75" s="6" t="s">
        <v>8053</v>
      </c>
      <c r="C75" s="6"/>
    </row>
    <row r="76" customFormat="false" ht="15" hidden="false" customHeight="true" outlineLevel="0" collapsed="false">
      <c r="A76" s="6" t="s">
        <v>350</v>
      </c>
      <c r="B76" s="6" t="s">
        <v>8054</v>
      </c>
      <c r="C76" s="6"/>
    </row>
    <row r="77" customFormat="false" ht="15" hidden="false" customHeight="true" outlineLevel="0" collapsed="false">
      <c r="A77" s="6" t="s">
        <v>350</v>
      </c>
      <c r="B77" s="6" t="s">
        <v>6506</v>
      </c>
      <c r="C77" s="6" t="s">
        <v>8013</v>
      </c>
    </row>
    <row r="78" customFormat="false" ht="15" hidden="false" customHeight="true" outlineLevel="0" collapsed="false">
      <c r="A78" s="6" t="s">
        <v>350</v>
      </c>
      <c r="B78" s="6" t="s">
        <v>8055</v>
      </c>
      <c r="C78" s="6"/>
    </row>
    <row r="79" customFormat="false" ht="15" hidden="false" customHeight="true" outlineLevel="0" collapsed="false">
      <c r="A79" s="6" t="s">
        <v>350</v>
      </c>
      <c r="B79" s="6" t="s">
        <v>8056</v>
      </c>
      <c r="C79" s="6"/>
    </row>
    <row r="80" customFormat="false" ht="15" hidden="false" customHeight="true" outlineLevel="0" collapsed="false">
      <c r="A80" s="6" t="s">
        <v>350</v>
      </c>
      <c r="B80" s="6" t="s">
        <v>8057</v>
      </c>
      <c r="C80" s="6"/>
    </row>
    <row r="81" customFormat="false" ht="15" hidden="false" customHeight="true" outlineLevel="0" collapsed="false">
      <c r="A81" s="6" t="s">
        <v>350</v>
      </c>
      <c r="B81" s="6" t="s">
        <v>8058</v>
      </c>
      <c r="C81" s="6"/>
    </row>
    <row r="82" customFormat="false" ht="15" hidden="false" customHeight="true" outlineLevel="0" collapsed="false">
      <c r="A82" s="6" t="s">
        <v>350</v>
      </c>
      <c r="B82" s="6" t="s">
        <v>8059</v>
      </c>
      <c r="C82" s="6"/>
    </row>
    <row r="83" customFormat="false" ht="15" hidden="false" customHeight="true" outlineLevel="0" collapsed="false">
      <c r="A83" s="6" t="s">
        <v>2517</v>
      </c>
      <c r="B83" s="6" t="s">
        <v>2517</v>
      </c>
      <c r="C83" s="6" t="s">
        <v>8013</v>
      </c>
    </row>
    <row r="84" customFormat="false" ht="15" hidden="false" customHeight="true" outlineLevel="0" collapsed="false">
      <c r="A84" s="6" t="s">
        <v>2517</v>
      </c>
      <c r="B84" s="6" t="s">
        <v>6894</v>
      </c>
      <c r="C84" s="6" t="s">
        <v>8013</v>
      </c>
    </row>
    <row r="85" customFormat="false" ht="15" hidden="false" customHeight="true" outlineLevel="0" collapsed="false">
      <c r="A85" s="6" t="s">
        <v>2517</v>
      </c>
      <c r="B85" s="6" t="s">
        <v>6892</v>
      </c>
      <c r="C85" s="6" t="s">
        <v>8013</v>
      </c>
    </row>
    <row r="86" customFormat="false" ht="15" hidden="false" customHeight="true" outlineLevel="0" collapsed="false">
      <c r="A86" s="6" t="s">
        <v>2517</v>
      </c>
      <c r="B86" s="6" t="s">
        <v>2520</v>
      </c>
      <c r="C86" s="6" t="s">
        <v>8013</v>
      </c>
    </row>
    <row r="87" customFormat="false" ht="15" hidden="false" customHeight="true" outlineLevel="0" collapsed="false">
      <c r="A87" s="6" t="s">
        <v>2517</v>
      </c>
      <c r="B87" s="6" t="s">
        <v>8060</v>
      </c>
      <c r="C87" s="6"/>
    </row>
    <row r="88" customFormat="false" ht="15" hidden="false" customHeight="true" outlineLevel="0" collapsed="false">
      <c r="A88" s="6" t="s">
        <v>2517</v>
      </c>
      <c r="B88" s="6" t="s">
        <v>277</v>
      </c>
      <c r="C88" s="6" t="s">
        <v>8013</v>
      </c>
    </row>
    <row r="89" customFormat="false" ht="15" hidden="false" customHeight="true" outlineLevel="0" collapsed="false">
      <c r="A89" s="6" t="s">
        <v>2517</v>
      </c>
      <c r="B89" s="6" t="s">
        <v>8061</v>
      </c>
      <c r="C89" s="6"/>
    </row>
    <row r="90" customFormat="false" ht="15" hidden="false" customHeight="true" outlineLevel="0" collapsed="false">
      <c r="A90" s="6" t="s">
        <v>2517</v>
      </c>
      <c r="B90" s="6" t="s">
        <v>276</v>
      </c>
      <c r="C90" s="6" t="s">
        <v>8013</v>
      </c>
    </row>
    <row r="91" customFormat="false" ht="15" hidden="false" customHeight="true" outlineLevel="0" collapsed="false">
      <c r="A91" s="6" t="s">
        <v>2517</v>
      </c>
      <c r="B91" s="6" t="s">
        <v>6895</v>
      </c>
      <c r="C91" s="6" t="s">
        <v>8013</v>
      </c>
    </row>
    <row r="92" customFormat="false" ht="15" hidden="false" customHeight="true" outlineLevel="0" collapsed="false">
      <c r="A92" s="6" t="s">
        <v>2517</v>
      </c>
      <c r="B92" s="6" t="s">
        <v>8062</v>
      </c>
      <c r="C92" s="6"/>
    </row>
    <row r="93" customFormat="false" ht="15" hidden="false" customHeight="true" outlineLevel="0" collapsed="false">
      <c r="A93" s="6" t="s">
        <v>2528</v>
      </c>
      <c r="B93" s="6" t="s">
        <v>2528</v>
      </c>
      <c r="C93" s="6" t="s">
        <v>8013</v>
      </c>
    </row>
    <row r="94" customFormat="false" ht="15" hidden="false" customHeight="true" outlineLevel="0" collapsed="false">
      <c r="A94" s="6" t="s">
        <v>2528</v>
      </c>
      <c r="B94" s="6" t="s">
        <v>6897</v>
      </c>
      <c r="C94" s="6" t="s">
        <v>8013</v>
      </c>
    </row>
    <row r="95" customFormat="false" ht="15" hidden="false" customHeight="true" outlineLevel="0" collapsed="false">
      <c r="A95" s="6" t="s">
        <v>2528</v>
      </c>
      <c r="B95" s="6" t="s">
        <v>6896</v>
      </c>
      <c r="C95" s="6" t="s">
        <v>8013</v>
      </c>
    </row>
    <row r="96" customFormat="false" ht="15" hidden="false" customHeight="true" outlineLevel="0" collapsed="false">
      <c r="A96" s="6" t="s">
        <v>2528</v>
      </c>
      <c r="B96" s="6" t="s">
        <v>8063</v>
      </c>
      <c r="C96" s="6"/>
    </row>
    <row r="97" customFormat="false" ht="15" hidden="false" customHeight="true" outlineLevel="0" collapsed="false">
      <c r="A97" s="6" t="s">
        <v>2528</v>
      </c>
      <c r="B97" s="6" t="s">
        <v>2531</v>
      </c>
      <c r="C97" s="6" t="s">
        <v>8013</v>
      </c>
    </row>
    <row r="98" customFormat="false" ht="15" hidden="false" customHeight="true" outlineLevel="0" collapsed="false">
      <c r="A98" s="6" t="s">
        <v>2528</v>
      </c>
      <c r="B98" s="6" t="s">
        <v>2532</v>
      </c>
      <c r="C98" s="6" t="s">
        <v>8013</v>
      </c>
    </row>
    <row r="99" customFormat="false" ht="15" hidden="false" customHeight="true" outlineLevel="0" collapsed="false">
      <c r="A99" s="6" t="s">
        <v>2528</v>
      </c>
      <c r="B99" s="6" t="s">
        <v>6898</v>
      </c>
      <c r="C99" s="6" t="s">
        <v>8013</v>
      </c>
    </row>
    <row r="100" customFormat="false" ht="15" hidden="false" customHeight="true" outlineLevel="0" collapsed="false">
      <c r="A100" s="6" t="s">
        <v>2528</v>
      </c>
      <c r="B100" s="6" t="s">
        <v>267</v>
      </c>
      <c r="C100" s="6" t="s">
        <v>8013</v>
      </c>
    </row>
    <row r="101" customFormat="false" ht="15" hidden="false" customHeight="true" outlineLevel="0" collapsed="false">
      <c r="A101" s="6" t="s">
        <v>2528</v>
      </c>
      <c r="B101" s="6" t="s">
        <v>8064</v>
      </c>
      <c r="C101" s="6"/>
    </row>
    <row r="102" customFormat="false" ht="15" hidden="false" customHeight="true" outlineLevel="0" collapsed="false">
      <c r="A102" s="6" t="s">
        <v>2528</v>
      </c>
      <c r="B102" s="6" t="s">
        <v>8065</v>
      </c>
      <c r="C102" s="6"/>
    </row>
    <row r="103" customFormat="false" ht="15" hidden="false" customHeight="true" outlineLevel="0" collapsed="false">
      <c r="A103" s="6" t="s">
        <v>2539</v>
      </c>
      <c r="B103" s="6" t="s">
        <v>2539</v>
      </c>
      <c r="C103" s="6" t="s">
        <v>8013</v>
      </c>
    </row>
    <row r="104" customFormat="false" ht="15" hidden="false" customHeight="true" outlineLevel="0" collapsed="false">
      <c r="A104" s="6" t="s">
        <v>2539</v>
      </c>
      <c r="B104" s="6" t="s">
        <v>6901</v>
      </c>
      <c r="C104" s="6" t="s">
        <v>8013</v>
      </c>
    </row>
    <row r="105" customFormat="false" ht="15" hidden="false" customHeight="true" outlineLevel="0" collapsed="false">
      <c r="A105" s="6" t="s">
        <v>2539</v>
      </c>
      <c r="B105" s="6" t="s">
        <v>6899</v>
      </c>
      <c r="C105" s="6" t="s">
        <v>8013</v>
      </c>
    </row>
    <row r="106" customFormat="false" ht="15" hidden="false" customHeight="true" outlineLevel="0" collapsed="false">
      <c r="A106" s="6" t="s">
        <v>2539</v>
      </c>
      <c r="B106" s="6" t="s">
        <v>279</v>
      </c>
      <c r="C106" s="6" t="s">
        <v>8013</v>
      </c>
    </row>
    <row r="107" customFormat="false" ht="15" hidden="false" customHeight="true" outlineLevel="0" collapsed="false">
      <c r="A107" s="6" t="s">
        <v>2539</v>
      </c>
      <c r="B107" s="6" t="s">
        <v>278</v>
      </c>
      <c r="C107" s="6" t="s">
        <v>8013</v>
      </c>
    </row>
    <row r="108" customFormat="false" ht="15" hidden="false" customHeight="true" outlineLevel="0" collapsed="false">
      <c r="A108" s="6" t="s">
        <v>2539</v>
      </c>
      <c r="B108" s="6" t="s">
        <v>6900</v>
      </c>
      <c r="C108" s="6" t="s">
        <v>8013</v>
      </c>
    </row>
    <row r="109" customFormat="false" ht="15" hidden="false" customHeight="true" outlineLevel="0" collapsed="false">
      <c r="A109" s="6" t="s">
        <v>2539</v>
      </c>
      <c r="B109" s="6" t="s">
        <v>8066</v>
      </c>
      <c r="C109" s="6"/>
    </row>
    <row r="110" customFormat="false" ht="15" hidden="false" customHeight="true" outlineLevel="0" collapsed="false">
      <c r="A110" s="6" t="s">
        <v>2539</v>
      </c>
      <c r="B110" s="6" t="s">
        <v>2543</v>
      </c>
      <c r="C110" s="6" t="s">
        <v>8013</v>
      </c>
    </row>
    <row r="111" customFormat="false" ht="15" hidden="false" customHeight="true" outlineLevel="0" collapsed="false">
      <c r="A111" s="6" t="s">
        <v>2539</v>
      </c>
      <c r="B111" s="6" t="s">
        <v>8067</v>
      </c>
      <c r="C111" s="6"/>
    </row>
    <row r="112" customFormat="false" ht="15" hidden="false" customHeight="true" outlineLevel="0" collapsed="false">
      <c r="A112" s="6" t="s">
        <v>2539</v>
      </c>
      <c r="B112" s="6" t="s">
        <v>8068</v>
      </c>
      <c r="C112" s="6"/>
    </row>
    <row r="113" customFormat="false" ht="15" hidden="false" customHeight="true" outlineLevel="0" collapsed="false">
      <c r="A113" s="6" t="s">
        <v>5933</v>
      </c>
      <c r="B113" s="6" t="s">
        <v>5933</v>
      </c>
      <c r="C113" s="6" t="s">
        <v>8013</v>
      </c>
    </row>
    <row r="114" customFormat="false" ht="15" hidden="false" customHeight="true" outlineLevel="0" collapsed="false">
      <c r="A114" s="6" t="s">
        <v>5933</v>
      </c>
      <c r="B114" s="6" t="s">
        <v>8069</v>
      </c>
      <c r="C114" s="6"/>
    </row>
    <row r="115" customFormat="false" ht="15" hidden="false" customHeight="true" outlineLevel="0" collapsed="false">
      <c r="A115" s="6" t="s">
        <v>5933</v>
      </c>
      <c r="B115" s="6" t="s">
        <v>281</v>
      </c>
      <c r="C115" s="6" t="s">
        <v>8013</v>
      </c>
    </row>
    <row r="116" customFormat="false" ht="15" hidden="false" customHeight="true" outlineLevel="0" collapsed="false">
      <c r="A116" s="6" t="s">
        <v>5933</v>
      </c>
      <c r="B116" s="6" t="s">
        <v>6903</v>
      </c>
      <c r="C116" s="6" t="s">
        <v>8013</v>
      </c>
    </row>
    <row r="117" customFormat="false" ht="15" hidden="false" customHeight="true" outlineLevel="0" collapsed="false">
      <c r="A117" s="6" t="s">
        <v>5933</v>
      </c>
      <c r="B117" s="6" t="s">
        <v>8070</v>
      </c>
      <c r="C117" s="6"/>
    </row>
    <row r="118" customFormat="false" ht="15" hidden="false" customHeight="true" outlineLevel="0" collapsed="false">
      <c r="A118" s="6" t="s">
        <v>5933</v>
      </c>
      <c r="B118" s="6" t="s">
        <v>6902</v>
      </c>
      <c r="C118" s="6" t="s">
        <v>8013</v>
      </c>
    </row>
    <row r="119" customFormat="false" ht="15" hidden="false" customHeight="true" outlineLevel="0" collapsed="false">
      <c r="A119" s="6" t="s">
        <v>5933</v>
      </c>
      <c r="B119" s="6" t="s">
        <v>8071</v>
      </c>
      <c r="C119" s="6"/>
    </row>
    <row r="120" customFormat="false" ht="15" hidden="false" customHeight="true" outlineLevel="0" collapsed="false">
      <c r="A120" s="6" t="s">
        <v>5933</v>
      </c>
      <c r="B120" s="6" t="s">
        <v>280</v>
      </c>
      <c r="C120" s="6" t="s">
        <v>8013</v>
      </c>
    </row>
    <row r="121" customFormat="false" ht="15" hidden="false" customHeight="true" outlineLevel="0" collapsed="false">
      <c r="A121" s="6" t="s">
        <v>5933</v>
      </c>
      <c r="B121" s="6" t="s">
        <v>5937</v>
      </c>
      <c r="C121" s="6" t="s">
        <v>8013</v>
      </c>
    </row>
    <row r="122" customFormat="false" ht="15" hidden="false" customHeight="true" outlineLevel="0" collapsed="false">
      <c r="A122" s="6" t="s">
        <v>5933</v>
      </c>
      <c r="B122" s="6" t="s">
        <v>8072</v>
      </c>
      <c r="C122" s="6"/>
    </row>
    <row r="123" customFormat="false" ht="15" hidden="false" customHeight="true" outlineLevel="0" collapsed="false">
      <c r="A123" s="6" t="s">
        <v>2572</v>
      </c>
      <c r="B123" s="6" t="s">
        <v>2572</v>
      </c>
      <c r="C123" s="6" t="s">
        <v>8013</v>
      </c>
    </row>
    <row r="124" customFormat="false" ht="15" hidden="false" customHeight="true" outlineLevel="0" collapsed="false">
      <c r="A124" s="6" t="s">
        <v>2572</v>
      </c>
      <c r="B124" s="6" t="s">
        <v>2576</v>
      </c>
      <c r="C124" s="6" t="s">
        <v>8013</v>
      </c>
    </row>
    <row r="125" customFormat="false" ht="15" hidden="false" customHeight="true" outlineLevel="0" collapsed="false">
      <c r="A125" s="6" t="s">
        <v>2572</v>
      </c>
      <c r="B125" s="6" t="s">
        <v>6905</v>
      </c>
      <c r="C125" s="6" t="s">
        <v>8013</v>
      </c>
    </row>
    <row r="126" customFormat="false" ht="15" hidden="false" customHeight="true" outlineLevel="0" collapsed="false">
      <c r="A126" s="6" t="s">
        <v>2572</v>
      </c>
      <c r="B126" s="6" t="s">
        <v>6908</v>
      </c>
      <c r="C126" s="6" t="s">
        <v>8013</v>
      </c>
    </row>
    <row r="127" customFormat="false" ht="15" hidden="false" customHeight="true" outlineLevel="0" collapsed="false">
      <c r="A127" s="6" t="s">
        <v>2572</v>
      </c>
      <c r="B127" s="6" t="s">
        <v>6909</v>
      </c>
      <c r="C127" s="6" t="s">
        <v>8013</v>
      </c>
    </row>
    <row r="128" customFormat="false" ht="15" hidden="false" customHeight="true" outlineLevel="0" collapsed="false">
      <c r="A128" s="6" t="s">
        <v>2572</v>
      </c>
      <c r="B128" s="6" t="s">
        <v>6906</v>
      </c>
      <c r="C128" s="6" t="s">
        <v>8013</v>
      </c>
    </row>
    <row r="129" customFormat="false" ht="15" hidden="false" customHeight="true" outlineLevel="0" collapsed="false">
      <c r="A129" s="6" t="s">
        <v>2572</v>
      </c>
      <c r="B129" s="6" t="s">
        <v>8073</v>
      </c>
      <c r="C129" s="6"/>
    </row>
    <row r="130" customFormat="false" ht="15" hidden="false" customHeight="true" outlineLevel="0" collapsed="false">
      <c r="A130" s="6" t="s">
        <v>2572</v>
      </c>
      <c r="B130" s="6" t="s">
        <v>6907</v>
      </c>
      <c r="C130" s="6" t="s">
        <v>8013</v>
      </c>
    </row>
    <row r="131" customFormat="false" ht="15" hidden="false" customHeight="true" outlineLevel="0" collapsed="false">
      <c r="A131" s="6" t="s">
        <v>2572</v>
      </c>
      <c r="B131" s="6" t="s">
        <v>8074</v>
      </c>
      <c r="C131" s="6"/>
    </row>
    <row r="132" customFormat="false" ht="15" hidden="false" customHeight="true" outlineLevel="0" collapsed="false">
      <c r="A132" s="6" t="s">
        <v>2572</v>
      </c>
      <c r="B132" s="6" t="s">
        <v>8075</v>
      </c>
      <c r="C132" s="6"/>
    </row>
    <row r="133" customFormat="false" ht="15" hidden="false" customHeight="true" outlineLevel="0" collapsed="false">
      <c r="A133" s="6" t="s">
        <v>2620</v>
      </c>
      <c r="B133" s="6" t="s">
        <v>2620</v>
      </c>
      <c r="C133" s="6" t="s">
        <v>8013</v>
      </c>
    </row>
    <row r="134" customFormat="false" ht="15" hidden="false" customHeight="true" outlineLevel="0" collapsed="false">
      <c r="A134" s="6" t="s">
        <v>2620</v>
      </c>
      <c r="B134" s="6" t="s">
        <v>8076</v>
      </c>
      <c r="C134" s="6"/>
    </row>
    <row r="135" customFormat="false" ht="15" hidden="false" customHeight="true" outlineLevel="0" collapsed="false">
      <c r="A135" s="6" t="s">
        <v>2620</v>
      </c>
      <c r="B135" s="6" t="s">
        <v>2628</v>
      </c>
      <c r="C135" s="6" t="s">
        <v>8013</v>
      </c>
    </row>
    <row r="136" customFormat="false" ht="15" hidden="false" customHeight="true" outlineLevel="0" collapsed="false">
      <c r="A136" s="6" t="s">
        <v>2620</v>
      </c>
      <c r="B136" s="6" t="s">
        <v>2649</v>
      </c>
      <c r="C136" s="6" t="s">
        <v>8013</v>
      </c>
    </row>
    <row r="137" customFormat="false" ht="15" hidden="false" customHeight="true" outlineLevel="0" collapsed="false">
      <c r="A137" s="6" t="s">
        <v>2620</v>
      </c>
      <c r="B137" s="6" t="s">
        <v>8077</v>
      </c>
      <c r="C137" s="6"/>
    </row>
    <row r="138" customFormat="false" ht="15" hidden="false" customHeight="true" outlineLevel="0" collapsed="false">
      <c r="A138" s="6" t="s">
        <v>2620</v>
      </c>
      <c r="B138" s="6" t="s">
        <v>8078</v>
      </c>
      <c r="C138" s="6"/>
    </row>
    <row r="139" customFormat="false" ht="15" hidden="false" customHeight="true" outlineLevel="0" collapsed="false">
      <c r="A139" s="6" t="s">
        <v>2620</v>
      </c>
      <c r="B139" s="6" t="s">
        <v>2639</v>
      </c>
      <c r="C139" s="6" t="s">
        <v>8013</v>
      </c>
    </row>
    <row r="140" customFormat="false" ht="15" hidden="false" customHeight="true" outlineLevel="0" collapsed="false">
      <c r="A140" s="6" t="s">
        <v>2620</v>
      </c>
      <c r="B140" s="6" t="s">
        <v>8079</v>
      </c>
      <c r="C140" s="6"/>
    </row>
    <row r="141" customFormat="false" ht="15" hidden="false" customHeight="true" outlineLevel="0" collapsed="false">
      <c r="A141" s="6" t="s">
        <v>2620</v>
      </c>
      <c r="B141" s="6" t="s">
        <v>8080</v>
      </c>
      <c r="C141" s="6"/>
    </row>
    <row r="142" customFormat="false" ht="15" hidden="false" customHeight="true" outlineLevel="0" collapsed="false">
      <c r="A142" s="6" t="s">
        <v>2620</v>
      </c>
      <c r="B142" s="6" t="s">
        <v>2610</v>
      </c>
      <c r="C142" s="6" t="s">
        <v>8013</v>
      </c>
    </row>
    <row r="143" customFormat="false" ht="15" hidden="false" customHeight="true" outlineLevel="0" collapsed="false">
      <c r="A143" s="6" t="s">
        <v>2585</v>
      </c>
      <c r="B143" s="6" t="s">
        <v>2585</v>
      </c>
      <c r="C143" s="6" t="s">
        <v>8013</v>
      </c>
    </row>
    <row r="144" customFormat="false" ht="15" hidden="false" customHeight="true" outlineLevel="0" collapsed="false">
      <c r="A144" s="6" t="s">
        <v>2585</v>
      </c>
      <c r="B144" s="6" t="s">
        <v>6911</v>
      </c>
      <c r="C144" s="6" t="s">
        <v>8013</v>
      </c>
    </row>
    <row r="145" customFormat="false" ht="15" hidden="false" customHeight="true" outlineLevel="0" collapsed="false">
      <c r="A145" s="6" t="s">
        <v>2585</v>
      </c>
      <c r="B145" s="6" t="s">
        <v>6914</v>
      </c>
      <c r="C145" s="6" t="s">
        <v>8013</v>
      </c>
    </row>
    <row r="146" customFormat="false" ht="15" hidden="false" customHeight="true" outlineLevel="0" collapsed="false">
      <c r="A146" s="6" t="s">
        <v>2585</v>
      </c>
      <c r="B146" s="6" t="s">
        <v>6913</v>
      </c>
      <c r="C146" s="6" t="s">
        <v>8013</v>
      </c>
    </row>
    <row r="147" customFormat="false" ht="15" hidden="false" customHeight="true" outlineLevel="0" collapsed="false">
      <c r="A147" s="6" t="s">
        <v>2585</v>
      </c>
      <c r="B147" s="6" t="s">
        <v>6912</v>
      </c>
      <c r="C147" s="6" t="s">
        <v>8013</v>
      </c>
    </row>
    <row r="148" customFormat="false" ht="15" hidden="false" customHeight="true" outlineLevel="0" collapsed="false">
      <c r="A148" s="6" t="s">
        <v>2585</v>
      </c>
      <c r="B148" s="6" t="s">
        <v>6910</v>
      </c>
      <c r="C148" s="6" t="s">
        <v>8013</v>
      </c>
    </row>
    <row r="149" customFormat="false" ht="15" hidden="false" customHeight="true" outlineLevel="0" collapsed="false">
      <c r="A149" s="6" t="s">
        <v>2585</v>
      </c>
      <c r="B149" s="6" t="s">
        <v>8081</v>
      </c>
      <c r="C149" s="6"/>
    </row>
    <row r="150" customFormat="false" ht="15" hidden="false" customHeight="true" outlineLevel="0" collapsed="false">
      <c r="A150" s="6" t="s">
        <v>2585</v>
      </c>
      <c r="B150" s="6" t="s">
        <v>2589</v>
      </c>
      <c r="C150" s="6" t="s">
        <v>8013</v>
      </c>
    </row>
    <row r="151" customFormat="false" ht="15" hidden="false" customHeight="true" outlineLevel="0" collapsed="false">
      <c r="A151" s="6" t="s">
        <v>2585</v>
      </c>
      <c r="B151" s="6" t="s">
        <v>8082</v>
      </c>
      <c r="C151" s="6"/>
    </row>
    <row r="152" customFormat="false" ht="15" hidden="false" customHeight="true" outlineLevel="0" collapsed="false">
      <c r="A152" s="6" t="s">
        <v>2585</v>
      </c>
      <c r="B152" s="6" t="s">
        <v>2588</v>
      </c>
      <c r="C152" s="6" t="s">
        <v>8013</v>
      </c>
    </row>
    <row r="153" customFormat="false" ht="15" hidden="false" customHeight="true" outlineLevel="0" collapsed="false">
      <c r="A153" s="6" t="s">
        <v>2598</v>
      </c>
      <c r="B153" s="6" t="s">
        <v>2598</v>
      </c>
      <c r="C153" s="6" t="s">
        <v>8013</v>
      </c>
    </row>
    <row r="154" customFormat="false" ht="15" hidden="false" customHeight="true" outlineLevel="0" collapsed="false">
      <c r="A154" s="6" t="s">
        <v>2598</v>
      </c>
      <c r="B154" s="6" t="s">
        <v>6917</v>
      </c>
      <c r="C154" s="6" t="s">
        <v>8013</v>
      </c>
    </row>
    <row r="155" customFormat="false" ht="15" hidden="false" customHeight="true" outlineLevel="0" collapsed="false">
      <c r="A155" s="6" t="s">
        <v>2598</v>
      </c>
      <c r="B155" s="6" t="s">
        <v>2602</v>
      </c>
      <c r="C155" s="6" t="s">
        <v>8013</v>
      </c>
    </row>
    <row r="156" customFormat="false" ht="15" hidden="false" customHeight="true" outlineLevel="0" collapsed="false">
      <c r="A156" s="6" t="s">
        <v>2598</v>
      </c>
      <c r="B156" s="6" t="s">
        <v>6916</v>
      </c>
      <c r="C156" s="6" t="s">
        <v>8013</v>
      </c>
    </row>
    <row r="157" customFormat="false" ht="15" hidden="false" customHeight="true" outlineLevel="0" collapsed="false">
      <c r="A157" s="6" t="s">
        <v>2598</v>
      </c>
      <c r="B157" s="6" t="s">
        <v>6919</v>
      </c>
      <c r="C157" s="6" t="s">
        <v>8013</v>
      </c>
    </row>
    <row r="158" customFormat="false" ht="15" hidden="false" customHeight="true" outlineLevel="0" collapsed="false">
      <c r="A158" s="6" t="s">
        <v>2598</v>
      </c>
      <c r="B158" s="6" t="s">
        <v>6918</v>
      </c>
      <c r="C158" s="6" t="s">
        <v>8013</v>
      </c>
    </row>
    <row r="159" customFormat="false" ht="15" hidden="false" customHeight="true" outlineLevel="0" collapsed="false">
      <c r="A159" s="6" t="s">
        <v>2598</v>
      </c>
      <c r="B159" s="6" t="s">
        <v>6915</v>
      </c>
      <c r="C159" s="6" t="s">
        <v>8013</v>
      </c>
    </row>
    <row r="160" customFormat="false" ht="15" hidden="false" customHeight="true" outlineLevel="0" collapsed="false">
      <c r="A160" s="6" t="s">
        <v>2598</v>
      </c>
      <c r="B160" s="6" t="s">
        <v>8083</v>
      </c>
      <c r="C160" s="6"/>
    </row>
    <row r="161" customFormat="false" ht="15" hidden="false" customHeight="true" outlineLevel="0" collapsed="false">
      <c r="A161" s="6" t="s">
        <v>2598</v>
      </c>
      <c r="B161" s="6" t="s">
        <v>8084</v>
      </c>
      <c r="C161" s="6"/>
    </row>
    <row r="162" customFormat="false" ht="15" hidden="false" customHeight="true" outlineLevel="0" collapsed="false">
      <c r="A162" s="6" t="s">
        <v>2598</v>
      </c>
      <c r="B162" s="6" t="s">
        <v>8085</v>
      </c>
      <c r="C162" s="6"/>
    </row>
    <row r="163" customFormat="false" ht="15" hidden="false" customHeight="true" outlineLevel="0" collapsed="false">
      <c r="A163" s="6" t="s">
        <v>2610</v>
      </c>
      <c r="B163" s="6" t="s">
        <v>2610</v>
      </c>
      <c r="C163" s="6" t="s">
        <v>8013</v>
      </c>
    </row>
    <row r="164" customFormat="false" ht="15" hidden="false" customHeight="true" outlineLevel="0" collapsed="false">
      <c r="A164" s="6" t="s">
        <v>2610</v>
      </c>
      <c r="B164" s="6" t="s">
        <v>6921</v>
      </c>
      <c r="C164" s="6" t="s">
        <v>8013</v>
      </c>
    </row>
    <row r="165" customFormat="false" ht="15" hidden="false" customHeight="true" outlineLevel="0" collapsed="false">
      <c r="A165" s="6" t="s">
        <v>2610</v>
      </c>
      <c r="B165" s="6" t="s">
        <v>8086</v>
      </c>
      <c r="C165" s="6"/>
    </row>
    <row r="166" customFormat="false" ht="15" hidden="false" customHeight="true" outlineLevel="0" collapsed="false">
      <c r="A166" s="6" t="s">
        <v>2610</v>
      </c>
      <c r="B166" s="6" t="s">
        <v>6924</v>
      </c>
      <c r="C166" s="6" t="s">
        <v>8013</v>
      </c>
    </row>
    <row r="167" customFormat="false" ht="15" hidden="false" customHeight="true" outlineLevel="0" collapsed="false">
      <c r="A167" s="6" t="s">
        <v>2610</v>
      </c>
      <c r="B167" s="6" t="s">
        <v>6920</v>
      </c>
      <c r="C167" s="6" t="s">
        <v>8013</v>
      </c>
    </row>
    <row r="168" customFormat="false" ht="15" hidden="false" customHeight="true" outlineLevel="0" collapsed="false">
      <c r="A168" s="6" t="s">
        <v>2610</v>
      </c>
      <c r="B168" s="6" t="s">
        <v>6923</v>
      </c>
      <c r="C168" s="6" t="s">
        <v>8013</v>
      </c>
    </row>
    <row r="169" customFormat="false" ht="15" hidden="false" customHeight="true" outlineLevel="0" collapsed="false">
      <c r="A169" s="6" t="s">
        <v>2610</v>
      </c>
      <c r="B169" s="6" t="s">
        <v>2614</v>
      </c>
      <c r="C169" s="6" t="s">
        <v>8013</v>
      </c>
    </row>
    <row r="170" customFormat="false" ht="15" hidden="false" customHeight="true" outlineLevel="0" collapsed="false">
      <c r="A170" s="6" t="s">
        <v>2610</v>
      </c>
      <c r="B170" s="6" t="s">
        <v>8087</v>
      </c>
      <c r="C170" s="6"/>
    </row>
    <row r="171" customFormat="false" ht="15" hidden="false" customHeight="true" outlineLevel="0" collapsed="false">
      <c r="A171" s="6" t="s">
        <v>2610</v>
      </c>
      <c r="B171" s="6" t="s">
        <v>8088</v>
      </c>
      <c r="C171" s="6"/>
    </row>
    <row r="172" customFormat="false" ht="15" hidden="false" customHeight="true" outlineLevel="0" collapsed="false">
      <c r="A172" s="6" t="s">
        <v>2610</v>
      </c>
      <c r="B172" s="6" t="s">
        <v>6922</v>
      </c>
      <c r="C172" s="6" t="s">
        <v>8013</v>
      </c>
    </row>
    <row r="173" customFormat="false" ht="15" hidden="false" customHeight="true" outlineLevel="0" collapsed="false">
      <c r="A173" s="6" t="s">
        <v>2737</v>
      </c>
      <c r="B173" s="6" t="s">
        <v>2737</v>
      </c>
      <c r="C173" s="6" t="s">
        <v>8013</v>
      </c>
    </row>
    <row r="174" customFormat="false" ht="15" hidden="false" customHeight="true" outlineLevel="0" collapsed="false">
      <c r="A174" s="6" t="s">
        <v>2737</v>
      </c>
      <c r="B174" s="6" t="s">
        <v>6925</v>
      </c>
      <c r="C174" s="6" t="s">
        <v>8013</v>
      </c>
    </row>
    <row r="175" customFormat="false" ht="15" hidden="false" customHeight="true" outlineLevel="0" collapsed="false">
      <c r="A175" s="6" t="s">
        <v>2737</v>
      </c>
      <c r="B175" s="6" t="s">
        <v>2741</v>
      </c>
      <c r="C175" s="6" t="s">
        <v>8013</v>
      </c>
    </row>
    <row r="176" customFormat="false" ht="15" hidden="false" customHeight="true" outlineLevel="0" collapsed="false">
      <c r="A176" s="6" t="s">
        <v>2737</v>
      </c>
      <c r="B176" s="6" t="s">
        <v>6928</v>
      </c>
      <c r="C176" s="6" t="s">
        <v>8013</v>
      </c>
    </row>
    <row r="177" customFormat="false" ht="15" hidden="false" customHeight="true" outlineLevel="0" collapsed="false">
      <c r="A177" s="6" t="s">
        <v>2737</v>
      </c>
      <c r="B177" s="6" t="s">
        <v>6927</v>
      </c>
      <c r="C177" s="6" t="s">
        <v>8013</v>
      </c>
    </row>
    <row r="178" customFormat="false" ht="15" hidden="false" customHeight="true" outlineLevel="0" collapsed="false">
      <c r="A178" s="6" t="s">
        <v>2737</v>
      </c>
      <c r="B178" s="6" t="s">
        <v>6926</v>
      </c>
      <c r="C178" s="6" t="s">
        <v>8013</v>
      </c>
    </row>
    <row r="179" customFormat="false" ht="15" hidden="false" customHeight="true" outlineLevel="0" collapsed="false">
      <c r="A179" s="6" t="s">
        <v>2737</v>
      </c>
      <c r="B179" s="6" t="s">
        <v>8089</v>
      </c>
      <c r="C179" s="6"/>
    </row>
    <row r="180" customFormat="false" ht="15" hidden="false" customHeight="true" outlineLevel="0" collapsed="false">
      <c r="A180" s="6" t="s">
        <v>2737</v>
      </c>
      <c r="B180" s="6" t="s">
        <v>8090</v>
      </c>
      <c r="C180" s="6"/>
    </row>
    <row r="181" customFormat="false" ht="15" hidden="false" customHeight="true" outlineLevel="0" collapsed="false">
      <c r="A181" s="6" t="s">
        <v>2737</v>
      </c>
      <c r="B181" s="6" t="s">
        <v>7667</v>
      </c>
      <c r="C181" s="6" t="s">
        <v>8013</v>
      </c>
    </row>
    <row r="182" customFormat="false" ht="15" hidden="false" customHeight="true" outlineLevel="0" collapsed="false">
      <c r="A182" s="6" t="s">
        <v>2737</v>
      </c>
      <c r="B182" s="6" t="s">
        <v>8091</v>
      </c>
      <c r="C182" s="6"/>
    </row>
    <row r="183" customFormat="false" ht="15" hidden="false" customHeight="true" outlineLevel="0" collapsed="false">
      <c r="A183" s="6" t="s">
        <v>2628</v>
      </c>
      <c r="B183" s="6" t="s">
        <v>2628</v>
      </c>
      <c r="C183" s="6" t="s">
        <v>8013</v>
      </c>
    </row>
    <row r="184" customFormat="false" ht="15" hidden="false" customHeight="true" outlineLevel="0" collapsed="false">
      <c r="A184" s="6" t="s">
        <v>2628</v>
      </c>
      <c r="B184" s="6" t="s">
        <v>282</v>
      </c>
      <c r="C184" s="6" t="s">
        <v>8013</v>
      </c>
    </row>
    <row r="185" customFormat="false" ht="15" hidden="false" customHeight="true" outlineLevel="0" collapsed="false">
      <c r="A185" s="6" t="s">
        <v>2628</v>
      </c>
      <c r="B185" s="6" t="s">
        <v>8092</v>
      </c>
      <c r="C185" s="6"/>
    </row>
    <row r="186" customFormat="false" ht="15" hidden="false" customHeight="true" outlineLevel="0" collapsed="false">
      <c r="A186" s="6" t="s">
        <v>2628</v>
      </c>
      <c r="B186" s="6" t="s">
        <v>8093</v>
      </c>
      <c r="C186" s="6"/>
    </row>
    <row r="187" customFormat="false" ht="15" hidden="false" customHeight="true" outlineLevel="0" collapsed="false">
      <c r="A187" s="6" t="s">
        <v>2628</v>
      </c>
      <c r="B187" s="6" t="s">
        <v>2632</v>
      </c>
      <c r="C187" s="6" t="s">
        <v>8013</v>
      </c>
    </row>
    <row r="188" customFormat="false" ht="15" hidden="false" customHeight="true" outlineLevel="0" collapsed="false">
      <c r="A188" s="6" t="s">
        <v>2628</v>
      </c>
      <c r="B188" s="6" t="s">
        <v>6929</v>
      </c>
      <c r="C188" s="6" t="s">
        <v>8013</v>
      </c>
    </row>
    <row r="189" customFormat="false" ht="15" hidden="false" customHeight="true" outlineLevel="0" collapsed="false">
      <c r="A189" s="6" t="s">
        <v>2628</v>
      </c>
      <c r="B189" s="6" t="s">
        <v>6930</v>
      </c>
      <c r="C189" s="6" t="s">
        <v>8013</v>
      </c>
    </row>
    <row r="190" customFormat="false" ht="15" hidden="false" customHeight="true" outlineLevel="0" collapsed="false">
      <c r="A190" s="6" t="s">
        <v>2628</v>
      </c>
      <c r="B190" s="6" t="s">
        <v>283</v>
      </c>
      <c r="C190" s="6" t="s">
        <v>8013</v>
      </c>
    </row>
    <row r="191" customFormat="false" ht="15" hidden="false" customHeight="true" outlineLevel="0" collapsed="false">
      <c r="A191" s="6" t="s">
        <v>2628</v>
      </c>
      <c r="B191" s="6" t="s">
        <v>2631</v>
      </c>
      <c r="C191" s="6" t="s">
        <v>8013</v>
      </c>
    </row>
    <row r="192" customFormat="false" ht="15" hidden="false" customHeight="true" outlineLevel="0" collapsed="false">
      <c r="A192" s="6" t="s">
        <v>2628</v>
      </c>
      <c r="B192" s="6" t="s">
        <v>8094</v>
      </c>
      <c r="C192" s="6"/>
    </row>
    <row r="193" customFormat="false" ht="15" hidden="false" customHeight="true" outlineLevel="0" collapsed="false">
      <c r="A193" s="6" t="s">
        <v>2639</v>
      </c>
      <c r="B193" s="6" t="s">
        <v>2639</v>
      </c>
      <c r="C193" s="6" t="s">
        <v>8013</v>
      </c>
    </row>
    <row r="194" customFormat="false" ht="15" hidden="false" customHeight="true" outlineLevel="0" collapsed="false">
      <c r="A194" s="6" t="s">
        <v>2639</v>
      </c>
      <c r="B194" s="6" t="s">
        <v>6933</v>
      </c>
      <c r="C194" s="6" t="s">
        <v>8013</v>
      </c>
    </row>
    <row r="195" customFormat="false" ht="15" hidden="false" customHeight="true" outlineLevel="0" collapsed="false">
      <c r="A195" s="6" t="s">
        <v>2639</v>
      </c>
      <c r="B195" s="6" t="s">
        <v>8095</v>
      </c>
      <c r="C195" s="6"/>
    </row>
    <row r="196" customFormat="false" ht="15" hidden="false" customHeight="true" outlineLevel="0" collapsed="false">
      <c r="A196" s="6" t="s">
        <v>2639</v>
      </c>
      <c r="B196" s="6" t="s">
        <v>2643</v>
      </c>
      <c r="C196" s="6" t="s">
        <v>8013</v>
      </c>
    </row>
    <row r="197" customFormat="false" ht="15" hidden="false" customHeight="true" outlineLevel="0" collapsed="false">
      <c r="A197" s="6" t="s">
        <v>2639</v>
      </c>
      <c r="B197" s="6" t="s">
        <v>6935</v>
      </c>
      <c r="C197" s="6" t="s">
        <v>8013</v>
      </c>
    </row>
    <row r="198" customFormat="false" ht="15" hidden="false" customHeight="true" outlineLevel="0" collapsed="false">
      <c r="A198" s="6" t="s">
        <v>2639</v>
      </c>
      <c r="B198" s="6" t="s">
        <v>6931</v>
      </c>
      <c r="C198" s="6" t="s">
        <v>8013</v>
      </c>
    </row>
    <row r="199" customFormat="false" ht="15" hidden="false" customHeight="true" outlineLevel="0" collapsed="false">
      <c r="A199" s="6" t="s">
        <v>2639</v>
      </c>
      <c r="B199" s="6" t="s">
        <v>6932</v>
      </c>
      <c r="C199" s="6" t="s">
        <v>8013</v>
      </c>
    </row>
    <row r="200" customFormat="false" ht="15" hidden="false" customHeight="true" outlineLevel="0" collapsed="false">
      <c r="A200" s="6" t="s">
        <v>2639</v>
      </c>
      <c r="B200" s="6" t="s">
        <v>6934</v>
      </c>
      <c r="C200" s="6" t="s">
        <v>8013</v>
      </c>
    </row>
    <row r="201" customFormat="false" ht="15" hidden="false" customHeight="true" outlineLevel="0" collapsed="false">
      <c r="A201" s="6" t="s">
        <v>2639</v>
      </c>
      <c r="B201" s="6" t="s">
        <v>8096</v>
      </c>
      <c r="C201" s="6"/>
    </row>
    <row r="202" customFormat="false" ht="15" hidden="false" customHeight="true" outlineLevel="0" collapsed="false">
      <c r="A202" s="6" t="s">
        <v>2639</v>
      </c>
      <c r="B202" s="6" t="s">
        <v>8097</v>
      </c>
      <c r="C202" s="6"/>
    </row>
    <row r="203" customFormat="false" ht="15" hidden="false" customHeight="true" outlineLevel="0" collapsed="false">
      <c r="A203" s="6" t="s">
        <v>2649</v>
      </c>
      <c r="B203" s="6" t="s">
        <v>2649</v>
      </c>
      <c r="C203" s="6" t="s">
        <v>8013</v>
      </c>
    </row>
    <row r="204" customFormat="false" ht="15" hidden="false" customHeight="true" outlineLevel="0" collapsed="false">
      <c r="A204" s="6" t="s">
        <v>2649</v>
      </c>
      <c r="B204" s="6" t="s">
        <v>6936</v>
      </c>
      <c r="C204" s="6" t="s">
        <v>8013</v>
      </c>
    </row>
    <row r="205" customFormat="false" ht="15" hidden="false" customHeight="true" outlineLevel="0" collapsed="false">
      <c r="A205" s="6" t="s">
        <v>2649</v>
      </c>
      <c r="B205" s="6" t="s">
        <v>284</v>
      </c>
      <c r="C205" s="6" t="s">
        <v>8013</v>
      </c>
    </row>
    <row r="206" customFormat="false" ht="15" hidden="false" customHeight="true" outlineLevel="0" collapsed="false">
      <c r="A206" s="6" t="s">
        <v>2649</v>
      </c>
      <c r="B206" s="6" t="s">
        <v>285</v>
      </c>
      <c r="C206" s="6" t="s">
        <v>8013</v>
      </c>
    </row>
    <row r="207" customFormat="false" ht="15" hidden="false" customHeight="true" outlineLevel="0" collapsed="false">
      <c r="A207" s="6" t="s">
        <v>2649</v>
      </c>
      <c r="B207" s="6" t="s">
        <v>8098</v>
      </c>
      <c r="C207" s="6"/>
    </row>
    <row r="208" customFormat="false" ht="15" hidden="false" customHeight="true" outlineLevel="0" collapsed="false">
      <c r="A208" s="6" t="s">
        <v>2649</v>
      </c>
      <c r="B208" s="6" t="s">
        <v>2653</v>
      </c>
      <c r="C208" s="6" t="s">
        <v>8013</v>
      </c>
    </row>
    <row r="209" customFormat="false" ht="15" hidden="false" customHeight="true" outlineLevel="0" collapsed="false">
      <c r="A209" s="6" t="s">
        <v>2649</v>
      </c>
      <c r="B209" s="6" t="s">
        <v>8099</v>
      </c>
      <c r="C209" s="6"/>
    </row>
    <row r="210" customFormat="false" ht="15" hidden="false" customHeight="true" outlineLevel="0" collapsed="false">
      <c r="A210" s="6" t="s">
        <v>2649</v>
      </c>
      <c r="B210" s="6" t="s">
        <v>6937</v>
      </c>
      <c r="C210" s="6" t="s">
        <v>8013</v>
      </c>
    </row>
    <row r="211" customFormat="false" ht="15" hidden="false" customHeight="true" outlineLevel="0" collapsed="false">
      <c r="A211" s="6" t="s">
        <v>2649</v>
      </c>
      <c r="B211" s="6" t="s">
        <v>6938</v>
      </c>
      <c r="C211" s="6" t="s">
        <v>8013</v>
      </c>
    </row>
    <row r="212" customFormat="false" ht="15" hidden="false" customHeight="true" outlineLevel="0" collapsed="false">
      <c r="A212" s="6" t="s">
        <v>2649</v>
      </c>
      <c r="B212" s="6" t="s">
        <v>8100</v>
      </c>
      <c r="C212" s="6"/>
    </row>
    <row r="213" customFormat="false" ht="15" hidden="false" customHeight="true" outlineLevel="0" collapsed="false">
      <c r="A213" s="6" t="s">
        <v>2660</v>
      </c>
      <c r="B213" s="6" t="s">
        <v>2660</v>
      </c>
      <c r="C213" s="6" t="s">
        <v>8013</v>
      </c>
    </row>
    <row r="214" customFormat="false" ht="15" hidden="false" customHeight="true" outlineLevel="0" collapsed="false">
      <c r="A214" s="6" t="s">
        <v>2660</v>
      </c>
      <c r="B214" s="6" t="s">
        <v>6940</v>
      </c>
      <c r="C214" s="6" t="s">
        <v>8013</v>
      </c>
    </row>
    <row r="215" customFormat="false" ht="15" hidden="false" customHeight="true" outlineLevel="0" collapsed="false">
      <c r="A215" s="6" t="s">
        <v>2660</v>
      </c>
      <c r="B215" s="6" t="s">
        <v>6941</v>
      </c>
      <c r="C215" s="6" t="s">
        <v>8013</v>
      </c>
    </row>
    <row r="216" customFormat="false" ht="15" hidden="false" customHeight="true" outlineLevel="0" collapsed="false">
      <c r="A216" s="6" t="s">
        <v>2660</v>
      </c>
      <c r="B216" s="6" t="s">
        <v>6943</v>
      </c>
      <c r="C216" s="6" t="s">
        <v>8013</v>
      </c>
    </row>
    <row r="217" customFormat="false" ht="15" hidden="false" customHeight="true" outlineLevel="0" collapsed="false">
      <c r="A217" s="6" t="s">
        <v>2660</v>
      </c>
      <c r="B217" s="6" t="s">
        <v>2664</v>
      </c>
      <c r="C217" s="6" t="s">
        <v>8013</v>
      </c>
    </row>
    <row r="218" customFormat="false" ht="15" hidden="false" customHeight="true" outlineLevel="0" collapsed="false">
      <c r="A218" s="6" t="s">
        <v>2660</v>
      </c>
      <c r="B218" s="6" t="s">
        <v>8101</v>
      </c>
      <c r="C218" s="6"/>
    </row>
    <row r="219" customFormat="false" ht="15" hidden="false" customHeight="true" outlineLevel="0" collapsed="false">
      <c r="A219" s="6" t="s">
        <v>2660</v>
      </c>
      <c r="B219" s="6" t="s">
        <v>6939</v>
      </c>
      <c r="C219" s="6" t="s">
        <v>8013</v>
      </c>
    </row>
    <row r="220" customFormat="false" ht="15" hidden="false" customHeight="true" outlineLevel="0" collapsed="false">
      <c r="A220" s="6" t="s">
        <v>2660</v>
      </c>
      <c r="B220" s="6" t="s">
        <v>6942</v>
      </c>
      <c r="C220" s="6" t="s">
        <v>8013</v>
      </c>
    </row>
    <row r="221" customFormat="false" ht="15" hidden="false" customHeight="true" outlineLevel="0" collapsed="false">
      <c r="A221" s="6" t="s">
        <v>2660</v>
      </c>
      <c r="B221" s="6" t="s">
        <v>8102</v>
      </c>
      <c r="C221" s="6"/>
    </row>
    <row r="222" customFormat="false" ht="15" hidden="false" customHeight="true" outlineLevel="0" collapsed="false">
      <c r="A222" s="6" t="s">
        <v>2660</v>
      </c>
      <c r="B222" s="6" t="s">
        <v>8103</v>
      </c>
      <c r="C222" s="6"/>
    </row>
    <row r="223" customFormat="false" ht="15" hidden="false" customHeight="true" outlineLevel="0" collapsed="false">
      <c r="A223" s="6" t="s">
        <v>2672</v>
      </c>
      <c r="B223" s="6" t="s">
        <v>2672</v>
      </c>
      <c r="C223" s="6" t="s">
        <v>8013</v>
      </c>
    </row>
    <row r="224" customFormat="false" ht="15" hidden="false" customHeight="true" outlineLevel="0" collapsed="false">
      <c r="A224" s="6" t="s">
        <v>2672</v>
      </c>
      <c r="B224" s="6" t="s">
        <v>8104</v>
      </c>
      <c r="C224" s="6"/>
    </row>
    <row r="225" customFormat="false" ht="15" hidden="false" customHeight="true" outlineLevel="0" collapsed="false">
      <c r="A225" s="6" t="s">
        <v>2672</v>
      </c>
      <c r="B225" s="6" t="s">
        <v>8105</v>
      </c>
      <c r="C225" s="6"/>
    </row>
    <row r="226" customFormat="false" ht="15" hidden="false" customHeight="true" outlineLevel="0" collapsed="false">
      <c r="A226" s="6" t="s">
        <v>2672</v>
      </c>
      <c r="B226" s="6" t="s">
        <v>8106</v>
      </c>
      <c r="C226" s="6"/>
    </row>
    <row r="227" customFormat="false" ht="15" hidden="false" customHeight="true" outlineLevel="0" collapsed="false">
      <c r="A227" s="6" t="s">
        <v>2672</v>
      </c>
      <c r="B227" s="6" t="s">
        <v>6944</v>
      </c>
      <c r="C227" s="6" t="s">
        <v>8013</v>
      </c>
    </row>
    <row r="228" customFormat="false" ht="15" hidden="false" customHeight="true" outlineLevel="0" collapsed="false">
      <c r="A228" s="6" t="s">
        <v>2672</v>
      </c>
      <c r="B228" s="6" t="s">
        <v>2676</v>
      </c>
      <c r="C228" s="6" t="s">
        <v>8013</v>
      </c>
    </row>
    <row r="229" customFormat="false" ht="15" hidden="false" customHeight="true" outlineLevel="0" collapsed="false">
      <c r="A229" s="6" t="s">
        <v>2672</v>
      </c>
      <c r="B229" s="6" t="s">
        <v>8107</v>
      </c>
      <c r="C229" s="6"/>
    </row>
    <row r="230" customFormat="false" ht="15" hidden="false" customHeight="true" outlineLevel="0" collapsed="false">
      <c r="A230" s="6" t="s">
        <v>2672</v>
      </c>
      <c r="B230" s="6" t="s">
        <v>8108</v>
      </c>
      <c r="C230" s="6"/>
    </row>
    <row r="231" customFormat="false" ht="15" hidden="false" customHeight="true" outlineLevel="0" collapsed="false">
      <c r="A231" s="6" t="s">
        <v>2672</v>
      </c>
      <c r="B231" s="6" t="s">
        <v>8109</v>
      </c>
      <c r="C231" s="6"/>
    </row>
    <row r="232" customFormat="false" ht="15" hidden="false" customHeight="true" outlineLevel="0" collapsed="false">
      <c r="A232" s="6" t="s">
        <v>2672</v>
      </c>
      <c r="B232" s="6" t="s">
        <v>8110</v>
      </c>
      <c r="C232" s="6"/>
    </row>
    <row r="233" customFormat="false" ht="15" hidden="false" customHeight="true" outlineLevel="0" collapsed="false">
      <c r="A233" s="6" t="s">
        <v>2692</v>
      </c>
      <c r="B233" s="6" t="s">
        <v>2692</v>
      </c>
      <c r="C233" s="6" t="s">
        <v>8013</v>
      </c>
    </row>
    <row r="234" customFormat="false" ht="15" hidden="false" customHeight="true" outlineLevel="0" collapsed="false">
      <c r="A234" s="6" t="s">
        <v>2692</v>
      </c>
      <c r="B234" s="6" t="s">
        <v>8111</v>
      </c>
      <c r="C234" s="6"/>
    </row>
    <row r="235" customFormat="false" ht="15" hidden="false" customHeight="true" outlineLevel="0" collapsed="false">
      <c r="A235" s="6" t="s">
        <v>2692</v>
      </c>
      <c r="B235" s="6" t="s">
        <v>2725</v>
      </c>
      <c r="C235" s="6" t="s">
        <v>8013</v>
      </c>
    </row>
    <row r="236" customFormat="false" ht="15" hidden="false" customHeight="true" outlineLevel="0" collapsed="false">
      <c r="A236" s="6" t="s">
        <v>2692</v>
      </c>
      <c r="B236" s="6" t="s">
        <v>2703</v>
      </c>
      <c r="C236" s="6" t="s">
        <v>8013</v>
      </c>
    </row>
    <row r="237" customFormat="false" ht="15" hidden="false" customHeight="true" outlineLevel="0" collapsed="false">
      <c r="A237" s="6" t="s">
        <v>2692</v>
      </c>
      <c r="B237" s="6" t="s">
        <v>2683</v>
      </c>
      <c r="C237" s="6" t="s">
        <v>8013</v>
      </c>
    </row>
    <row r="238" customFormat="false" ht="15" hidden="false" customHeight="true" outlineLevel="0" collapsed="false">
      <c r="A238" s="6" t="s">
        <v>2692</v>
      </c>
      <c r="B238" s="6" t="s">
        <v>8112</v>
      </c>
      <c r="C238" s="6"/>
    </row>
    <row r="239" customFormat="false" ht="15" hidden="false" customHeight="true" outlineLevel="0" collapsed="false">
      <c r="A239" s="6" t="s">
        <v>2692</v>
      </c>
      <c r="B239" s="6" t="s">
        <v>2714</v>
      </c>
      <c r="C239" s="6" t="s">
        <v>8013</v>
      </c>
    </row>
    <row r="240" customFormat="false" ht="15" hidden="false" customHeight="true" outlineLevel="0" collapsed="false">
      <c r="A240" s="6" t="s">
        <v>2692</v>
      </c>
      <c r="B240" s="6" t="s">
        <v>2697</v>
      </c>
      <c r="C240" s="6" t="s">
        <v>8013</v>
      </c>
    </row>
    <row r="241" customFormat="false" ht="15" hidden="false" customHeight="true" outlineLevel="0" collapsed="false">
      <c r="A241" s="6" t="s">
        <v>2692</v>
      </c>
      <c r="B241" s="6" t="s">
        <v>8113</v>
      </c>
      <c r="C241" s="6"/>
    </row>
    <row r="242" customFormat="false" ht="15" hidden="false" customHeight="true" outlineLevel="0" collapsed="false">
      <c r="A242" s="6" t="s">
        <v>2692</v>
      </c>
      <c r="B242" s="6" t="s">
        <v>8114</v>
      </c>
      <c r="C242" s="6"/>
    </row>
    <row r="243" customFormat="false" ht="15" hidden="false" customHeight="true" outlineLevel="0" collapsed="false">
      <c r="A243" s="6" t="s">
        <v>2683</v>
      </c>
      <c r="B243" s="6" t="s">
        <v>2683</v>
      </c>
      <c r="C243" s="6" t="s">
        <v>8013</v>
      </c>
    </row>
    <row r="244" customFormat="false" ht="15" hidden="false" customHeight="true" outlineLevel="0" collapsed="false">
      <c r="A244" s="6" t="s">
        <v>2683</v>
      </c>
      <c r="B244" s="6" t="s">
        <v>6945</v>
      </c>
      <c r="C244" s="6" t="s">
        <v>8013</v>
      </c>
    </row>
    <row r="245" customFormat="false" ht="15" hidden="false" customHeight="true" outlineLevel="0" collapsed="false">
      <c r="A245" s="6" t="s">
        <v>2683</v>
      </c>
      <c r="B245" s="6" t="s">
        <v>6947</v>
      </c>
      <c r="C245" s="6" t="s">
        <v>8013</v>
      </c>
    </row>
    <row r="246" customFormat="false" ht="15" hidden="false" customHeight="true" outlineLevel="0" collapsed="false">
      <c r="A246" s="6" t="s">
        <v>2683</v>
      </c>
      <c r="B246" s="6" t="s">
        <v>2687</v>
      </c>
      <c r="C246" s="6" t="s">
        <v>8013</v>
      </c>
    </row>
    <row r="247" customFormat="false" ht="15" hidden="false" customHeight="true" outlineLevel="0" collapsed="false">
      <c r="A247" s="6" t="s">
        <v>2683</v>
      </c>
      <c r="B247" s="6" t="s">
        <v>8115</v>
      </c>
      <c r="C247" s="6"/>
    </row>
    <row r="248" customFormat="false" ht="15" hidden="false" customHeight="true" outlineLevel="0" collapsed="false">
      <c r="A248" s="6" t="s">
        <v>2683</v>
      </c>
      <c r="B248" s="6" t="s">
        <v>8116</v>
      </c>
      <c r="C248" s="6"/>
    </row>
    <row r="249" customFormat="false" ht="15" hidden="false" customHeight="true" outlineLevel="0" collapsed="false">
      <c r="A249" s="6" t="s">
        <v>2683</v>
      </c>
      <c r="B249" s="6" t="s">
        <v>6946</v>
      </c>
      <c r="C249" s="6" t="s">
        <v>8013</v>
      </c>
    </row>
    <row r="250" customFormat="false" ht="15" hidden="false" customHeight="true" outlineLevel="0" collapsed="false">
      <c r="A250" s="6" t="s">
        <v>2683</v>
      </c>
      <c r="B250" s="6" t="s">
        <v>8117</v>
      </c>
      <c r="C250" s="6"/>
    </row>
    <row r="251" customFormat="false" ht="15" hidden="false" customHeight="true" outlineLevel="0" collapsed="false">
      <c r="A251" s="6" t="s">
        <v>2683</v>
      </c>
      <c r="B251" s="6" t="s">
        <v>8118</v>
      </c>
      <c r="C251" s="6"/>
    </row>
    <row r="252" customFormat="false" ht="15" hidden="false" customHeight="true" outlineLevel="0" collapsed="false">
      <c r="A252" s="6" t="s">
        <v>2683</v>
      </c>
      <c r="B252" s="6" t="s">
        <v>8119</v>
      </c>
      <c r="C252" s="6"/>
    </row>
    <row r="253" customFormat="false" ht="15" hidden="false" customHeight="true" outlineLevel="0" collapsed="false">
      <c r="A253" s="6" t="s">
        <v>2703</v>
      </c>
      <c r="B253" s="6" t="s">
        <v>2703</v>
      </c>
      <c r="C253" s="6" t="s">
        <v>8013</v>
      </c>
    </row>
    <row r="254" customFormat="false" ht="15" hidden="false" customHeight="true" outlineLevel="0" collapsed="false">
      <c r="A254" s="6" t="s">
        <v>2703</v>
      </c>
      <c r="B254" s="6" t="s">
        <v>6948</v>
      </c>
      <c r="C254" s="6" t="s">
        <v>8013</v>
      </c>
    </row>
    <row r="255" customFormat="false" ht="15" hidden="false" customHeight="true" outlineLevel="0" collapsed="false">
      <c r="A255" s="6" t="s">
        <v>2703</v>
      </c>
      <c r="B255" s="6" t="s">
        <v>2707</v>
      </c>
      <c r="C255" s="6" t="s">
        <v>8013</v>
      </c>
    </row>
    <row r="256" customFormat="false" ht="15" hidden="false" customHeight="true" outlineLevel="0" collapsed="false">
      <c r="A256" s="6" t="s">
        <v>2703</v>
      </c>
      <c r="B256" s="6" t="s">
        <v>6949</v>
      </c>
      <c r="C256" s="6" t="s">
        <v>8013</v>
      </c>
    </row>
    <row r="257" customFormat="false" ht="15" hidden="false" customHeight="true" outlineLevel="0" collapsed="false">
      <c r="A257" s="6" t="s">
        <v>2703</v>
      </c>
      <c r="B257" s="6" t="s">
        <v>8120</v>
      </c>
      <c r="C257" s="6"/>
    </row>
    <row r="258" customFormat="false" ht="15" hidden="false" customHeight="true" outlineLevel="0" collapsed="false">
      <c r="A258" s="6" t="s">
        <v>2703</v>
      </c>
      <c r="B258" s="6" t="s">
        <v>8121</v>
      </c>
      <c r="C258" s="6"/>
    </row>
    <row r="259" customFormat="false" ht="15" hidden="false" customHeight="true" outlineLevel="0" collapsed="false">
      <c r="A259" s="6" t="s">
        <v>2703</v>
      </c>
      <c r="B259" s="6" t="s">
        <v>8122</v>
      </c>
      <c r="C259" s="6"/>
    </row>
    <row r="260" customFormat="false" ht="15" hidden="false" customHeight="true" outlineLevel="0" collapsed="false">
      <c r="A260" s="6" t="s">
        <v>2703</v>
      </c>
      <c r="B260" s="6" t="s">
        <v>8123</v>
      </c>
      <c r="C260" s="6"/>
    </row>
    <row r="261" customFormat="false" ht="15" hidden="false" customHeight="true" outlineLevel="0" collapsed="false">
      <c r="A261" s="6" t="s">
        <v>2703</v>
      </c>
      <c r="B261" s="6" t="s">
        <v>6904</v>
      </c>
      <c r="C261" s="6" t="s">
        <v>8013</v>
      </c>
    </row>
    <row r="262" customFormat="false" ht="15" hidden="false" customHeight="true" outlineLevel="0" collapsed="false">
      <c r="A262" s="6" t="s">
        <v>2703</v>
      </c>
      <c r="B262" s="6" t="s">
        <v>8124</v>
      </c>
      <c r="C262" s="6"/>
    </row>
    <row r="263" customFormat="false" ht="15" hidden="false" customHeight="true" outlineLevel="0" collapsed="false">
      <c r="A263" s="6" t="s">
        <v>2714</v>
      </c>
      <c r="B263" s="6" t="s">
        <v>2714</v>
      </c>
      <c r="C263" s="6" t="s">
        <v>8013</v>
      </c>
    </row>
    <row r="264" customFormat="false" ht="15" hidden="false" customHeight="true" outlineLevel="0" collapsed="false">
      <c r="A264" s="6" t="s">
        <v>2714</v>
      </c>
      <c r="B264" s="6" t="s">
        <v>6950</v>
      </c>
      <c r="C264" s="6" t="s">
        <v>8013</v>
      </c>
    </row>
    <row r="265" customFormat="false" ht="15" hidden="false" customHeight="true" outlineLevel="0" collapsed="false">
      <c r="A265" s="6" t="s">
        <v>2714</v>
      </c>
      <c r="B265" s="6" t="s">
        <v>6951</v>
      </c>
      <c r="C265" s="6" t="s">
        <v>8013</v>
      </c>
    </row>
    <row r="266" customFormat="false" ht="15" hidden="false" customHeight="true" outlineLevel="0" collapsed="false">
      <c r="A266" s="6" t="s">
        <v>2714</v>
      </c>
      <c r="B266" s="6" t="s">
        <v>2718</v>
      </c>
      <c r="C266" s="6" t="s">
        <v>8013</v>
      </c>
    </row>
    <row r="267" customFormat="false" ht="15" hidden="false" customHeight="true" outlineLevel="0" collapsed="false">
      <c r="A267" s="6" t="s">
        <v>2714</v>
      </c>
      <c r="B267" s="6" t="s">
        <v>8125</v>
      </c>
      <c r="C267" s="6"/>
    </row>
    <row r="268" customFormat="false" ht="15" hidden="false" customHeight="true" outlineLevel="0" collapsed="false">
      <c r="A268" s="6" t="s">
        <v>2714</v>
      </c>
      <c r="B268" s="6" t="s">
        <v>8126</v>
      </c>
      <c r="C268" s="6"/>
    </row>
    <row r="269" customFormat="false" ht="15" hidden="false" customHeight="true" outlineLevel="0" collapsed="false">
      <c r="A269" s="6" t="s">
        <v>2714</v>
      </c>
      <c r="B269" s="6" t="s">
        <v>8127</v>
      </c>
      <c r="C269" s="6"/>
    </row>
    <row r="270" customFormat="false" ht="15" hidden="false" customHeight="true" outlineLevel="0" collapsed="false">
      <c r="A270" s="6" t="s">
        <v>2714</v>
      </c>
      <c r="B270" s="6" t="s">
        <v>8128</v>
      </c>
      <c r="C270" s="6"/>
    </row>
    <row r="271" customFormat="false" ht="15" hidden="false" customHeight="true" outlineLevel="0" collapsed="false">
      <c r="A271" s="6" t="s">
        <v>2714</v>
      </c>
      <c r="B271" s="6" t="s">
        <v>8129</v>
      </c>
      <c r="C271" s="6"/>
    </row>
    <row r="272" customFormat="false" ht="15" hidden="false" customHeight="true" outlineLevel="0" collapsed="false">
      <c r="A272" s="6" t="s">
        <v>2714</v>
      </c>
      <c r="B272" s="6" t="s">
        <v>8130</v>
      </c>
      <c r="C272" s="6"/>
    </row>
    <row r="273" customFormat="false" ht="15" hidden="false" customHeight="true" outlineLevel="0" collapsed="false">
      <c r="A273" s="6" t="s">
        <v>2725</v>
      </c>
      <c r="B273" s="6" t="s">
        <v>2725</v>
      </c>
      <c r="C273" s="6" t="s">
        <v>8013</v>
      </c>
    </row>
    <row r="274" customFormat="false" ht="15" hidden="false" customHeight="true" outlineLevel="0" collapsed="false">
      <c r="A274" s="6" t="s">
        <v>2725</v>
      </c>
      <c r="B274" s="6" t="s">
        <v>6952</v>
      </c>
      <c r="C274" s="6" t="s">
        <v>8013</v>
      </c>
    </row>
    <row r="275" customFormat="false" ht="15" hidden="false" customHeight="true" outlineLevel="0" collapsed="false">
      <c r="A275" s="6" t="s">
        <v>2725</v>
      </c>
      <c r="B275" s="6" t="s">
        <v>2729</v>
      </c>
      <c r="C275" s="6" t="s">
        <v>8013</v>
      </c>
    </row>
    <row r="276" customFormat="false" ht="15" hidden="false" customHeight="true" outlineLevel="0" collapsed="false">
      <c r="A276" s="6" t="s">
        <v>2725</v>
      </c>
      <c r="B276" s="6" t="s">
        <v>8131</v>
      </c>
      <c r="C276" s="6"/>
    </row>
    <row r="277" customFormat="false" ht="15" hidden="false" customHeight="true" outlineLevel="0" collapsed="false">
      <c r="A277" s="6" t="s">
        <v>2725</v>
      </c>
      <c r="B277" s="6" t="s">
        <v>6955</v>
      </c>
      <c r="C277" s="6" t="s">
        <v>8013</v>
      </c>
    </row>
    <row r="278" customFormat="false" ht="15" hidden="false" customHeight="true" outlineLevel="0" collapsed="false">
      <c r="A278" s="6" t="s">
        <v>2725</v>
      </c>
      <c r="B278" s="6" t="s">
        <v>8132</v>
      </c>
      <c r="C278" s="6"/>
    </row>
    <row r="279" customFormat="false" ht="15" hidden="false" customHeight="true" outlineLevel="0" collapsed="false">
      <c r="A279" s="6" t="s">
        <v>2725</v>
      </c>
      <c r="B279" s="6" t="s">
        <v>8133</v>
      </c>
      <c r="C279" s="6"/>
    </row>
    <row r="280" customFormat="false" ht="15" hidden="false" customHeight="true" outlineLevel="0" collapsed="false">
      <c r="A280" s="6" t="s">
        <v>2725</v>
      </c>
      <c r="B280" s="6" t="s">
        <v>8134</v>
      </c>
      <c r="C280" s="6"/>
    </row>
    <row r="281" customFormat="false" ht="15" hidden="false" customHeight="true" outlineLevel="0" collapsed="false">
      <c r="A281" s="6" t="s">
        <v>2725</v>
      </c>
      <c r="B281" s="6" t="s">
        <v>6953</v>
      </c>
      <c r="C281" s="6" t="s">
        <v>8013</v>
      </c>
    </row>
    <row r="282" customFormat="false" ht="15" hidden="false" customHeight="true" outlineLevel="0" collapsed="false">
      <c r="A282" s="6" t="s">
        <v>2725</v>
      </c>
      <c r="B282" s="6" t="s">
        <v>6954</v>
      </c>
      <c r="C282" s="6" t="s">
        <v>8013</v>
      </c>
    </row>
    <row r="283" customFormat="false" ht="15" hidden="false" customHeight="true" outlineLevel="0" collapsed="false">
      <c r="A283" s="6" t="s">
        <v>6507</v>
      </c>
      <c r="B283" s="6" t="s">
        <v>8135</v>
      </c>
      <c r="C283" s="6"/>
    </row>
    <row r="284" customFormat="false" ht="15" hidden="false" customHeight="true" outlineLevel="0" collapsed="false">
      <c r="A284" s="6" t="s">
        <v>6507</v>
      </c>
      <c r="B284" s="6" t="s">
        <v>8136</v>
      </c>
      <c r="C284" s="6"/>
    </row>
    <row r="285" customFormat="false" ht="15" hidden="false" customHeight="true" outlineLevel="0" collapsed="false">
      <c r="A285" s="6" t="s">
        <v>6507</v>
      </c>
      <c r="B285" s="6" t="s">
        <v>8137</v>
      </c>
      <c r="C285" s="6"/>
    </row>
    <row r="286" customFormat="false" ht="15" hidden="false" customHeight="true" outlineLevel="0" collapsed="false">
      <c r="A286" s="6" t="s">
        <v>6507</v>
      </c>
      <c r="B286" s="6" t="s">
        <v>8138</v>
      </c>
      <c r="C286" s="6"/>
    </row>
    <row r="287" customFormat="false" ht="15" hidden="false" customHeight="true" outlineLevel="0" collapsed="false">
      <c r="A287" s="6" t="s">
        <v>6507</v>
      </c>
      <c r="B287" s="6" t="s">
        <v>8139</v>
      </c>
      <c r="C287" s="6"/>
    </row>
    <row r="288" customFormat="false" ht="15" hidden="false" customHeight="true" outlineLevel="0" collapsed="false">
      <c r="A288" s="6" t="s">
        <v>6507</v>
      </c>
      <c r="B288" s="6" t="s">
        <v>8140</v>
      </c>
      <c r="C288" s="6"/>
    </row>
    <row r="289" customFormat="false" ht="15" hidden="false" customHeight="true" outlineLevel="0" collapsed="false">
      <c r="A289" s="6" t="s">
        <v>6507</v>
      </c>
      <c r="B289" s="6" t="s">
        <v>8141</v>
      </c>
      <c r="C289" s="6"/>
    </row>
    <row r="290" customFormat="false" ht="15" hidden="false" customHeight="true" outlineLevel="0" collapsed="false">
      <c r="A290" s="6" t="s">
        <v>6507</v>
      </c>
      <c r="B290" s="6" t="s">
        <v>8142</v>
      </c>
      <c r="C290" s="6"/>
    </row>
    <row r="291" customFormat="false" ht="15" hidden="false" customHeight="true" outlineLevel="0" collapsed="false">
      <c r="A291" s="6" t="s">
        <v>6507</v>
      </c>
      <c r="B291" s="6" t="s">
        <v>8143</v>
      </c>
      <c r="C291" s="6"/>
    </row>
    <row r="292" customFormat="false" ht="15" hidden="false" customHeight="true" outlineLevel="0" collapsed="false">
      <c r="A292" s="6" t="s">
        <v>6507</v>
      </c>
      <c r="B292" s="6" t="s">
        <v>8144</v>
      </c>
      <c r="C292" s="6"/>
    </row>
    <row r="293" customFormat="false" ht="15" hidden="false" customHeight="true" outlineLevel="0" collapsed="false">
      <c r="A293" s="6" t="s">
        <v>2750</v>
      </c>
      <c r="B293" s="6" t="s">
        <v>2750</v>
      </c>
      <c r="C293" s="6" t="s">
        <v>8013</v>
      </c>
    </row>
    <row r="294" customFormat="false" ht="15" hidden="false" customHeight="true" outlineLevel="0" collapsed="false">
      <c r="A294" s="6" t="s">
        <v>2750</v>
      </c>
      <c r="B294" s="6" t="s">
        <v>8145</v>
      </c>
      <c r="C294" s="6"/>
    </row>
    <row r="295" customFormat="false" ht="15" hidden="false" customHeight="true" outlineLevel="0" collapsed="false">
      <c r="A295" s="6" t="s">
        <v>2750</v>
      </c>
      <c r="B295" s="6" t="s">
        <v>2756</v>
      </c>
      <c r="C295" s="6" t="s">
        <v>8013</v>
      </c>
    </row>
    <row r="296" customFormat="false" ht="15" hidden="false" customHeight="true" outlineLevel="0" collapsed="false">
      <c r="A296" s="6" t="s">
        <v>2750</v>
      </c>
      <c r="B296" s="6" t="s">
        <v>8146</v>
      </c>
      <c r="C296" s="6"/>
    </row>
    <row r="297" customFormat="false" ht="15" hidden="false" customHeight="true" outlineLevel="0" collapsed="false">
      <c r="A297" s="6" t="s">
        <v>2750</v>
      </c>
      <c r="B297" s="6" t="s">
        <v>8147</v>
      </c>
      <c r="C297" s="6"/>
    </row>
    <row r="298" customFormat="false" ht="15" hidden="false" customHeight="true" outlineLevel="0" collapsed="false">
      <c r="A298" s="6" t="s">
        <v>2750</v>
      </c>
      <c r="B298" s="6" t="s">
        <v>8148</v>
      </c>
      <c r="C298" s="6"/>
    </row>
    <row r="299" customFormat="false" ht="15" hidden="false" customHeight="true" outlineLevel="0" collapsed="false">
      <c r="A299" s="6" t="s">
        <v>2750</v>
      </c>
      <c r="B299" s="6" t="s">
        <v>8149</v>
      </c>
      <c r="C299" s="6"/>
    </row>
    <row r="300" customFormat="false" ht="15" hidden="false" customHeight="true" outlineLevel="0" collapsed="false">
      <c r="A300" s="6" t="s">
        <v>2750</v>
      </c>
      <c r="B300" s="6" t="s">
        <v>8150</v>
      </c>
      <c r="C300" s="6"/>
    </row>
    <row r="301" customFormat="false" ht="15" hidden="false" customHeight="true" outlineLevel="0" collapsed="false">
      <c r="A301" s="6" t="s">
        <v>2764</v>
      </c>
      <c r="B301" s="6" t="s">
        <v>2769</v>
      </c>
      <c r="C301" s="6" t="s">
        <v>8013</v>
      </c>
    </row>
    <row r="302" customFormat="false" ht="15" hidden="false" customHeight="true" outlineLevel="0" collapsed="false">
      <c r="A302" s="6" t="s">
        <v>2764</v>
      </c>
      <c r="B302" s="6" t="s">
        <v>2764</v>
      </c>
      <c r="C302" s="6" t="s">
        <v>8013</v>
      </c>
    </row>
    <row r="303" customFormat="false" ht="15" hidden="false" customHeight="true" outlineLevel="0" collapsed="false">
      <c r="A303" s="6" t="s">
        <v>2764</v>
      </c>
      <c r="B303" s="6" t="s">
        <v>8151</v>
      </c>
      <c r="C303" s="6"/>
    </row>
    <row r="304" customFormat="false" ht="15" hidden="false" customHeight="true" outlineLevel="0" collapsed="false">
      <c r="A304" s="6" t="s">
        <v>2764</v>
      </c>
      <c r="B304" s="6" t="s">
        <v>8152</v>
      </c>
      <c r="C304" s="6"/>
    </row>
    <row r="305" customFormat="false" ht="15" hidden="false" customHeight="true" outlineLevel="0" collapsed="false">
      <c r="A305" s="6" t="s">
        <v>2764</v>
      </c>
      <c r="B305" s="6" t="s">
        <v>8153</v>
      </c>
      <c r="C305" s="6"/>
    </row>
    <row r="306" customFormat="false" ht="15" hidden="false" customHeight="true" outlineLevel="0" collapsed="false">
      <c r="A306" s="6" t="s">
        <v>2764</v>
      </c>
      <c r="B306" s="6" t="s">
        <v>8154</v>
      </c>
      <c r="C306" s="6"/>
    </row>
    <row r="307" customFormat="false" ht="15" hidden="false" customHeight="true" outlineLevel="0" collapsed="false">
      <c r="A307" s="6" t="s">
        <v>2764</v>
      </c>
      <c r="B307" s="6" t="s">
        <v>8155</v>
      </c>
      <c r="C307" s="6"/>
    </row>
    <row r="308" customFormat="false" ht="15" hidden="false" customHeight="true" outlineLevel="0" collapsed="false">
      <c r="A308" s="6" t="s">
        <v>2764</v>
      </c>
      <c r="B308" s="6" t="s">
        <v>8156</v>
      </c>
      <c r="C308" s="6"/>
    </row>
    <row r="309" customFormat="false" ht="15" hidden="false" customHeight="true" outlineLevel="0" collapsed="false">
      <c r="A309" s="6" t="s">
        <v>2777</v>
      </c>
      <c r="B309" s="6" t="s">
        <v>2777</v>
      </c>
      <c r="C309" s="6" t="s">
        <v>8013</v>
      </c>
    </row>
    <row r="310" customFormat="false" ht="15" hidden="false" customHeight="true" outlineLevel="0" collapsed="false">
      <c r="A310" s="6" t="s">
        <v>2777</v>
      </c>
      <c r="B310" s="6" t="s">
        <v>8157</v>
      </c>
      <c r="C310" s="6"/>
    </row>
    <row r="311" customFormat="false" ht="15" hidden="false" customHeight="true" outlineLevel="0" collapsed="false">
      <c r="A311" s="6" t="s">
        <v>2777</v>
      </c>
      <c r="B311" s="6" t="s">
        <v>8158</v>
      </c>
      <c r="C311" s="6"/>
    </row>
    <row r="312" customFormat="false" ht="15" hidden="false" customHeight="true" outlineLevel="0" collapsed="false">
      <c r="A312" s="6" t="s">
        <v>2789</v>
      </c>
      <c r="B312" s="6" t="s">
        <v>2789</v>
      </c>
      <c r="C312" s="6" t="s">
        <v>8013</v>
      </c>
    </row>
    <row r="313" customFormat="false" ht="15" hidden="false" customHeight="true" outlineLevel="0" collapsed="false">
      <c r="A313" s="6" t="s">
        <v>2789</v>
      </c>
      <c r="B313" s="6" t="s">
        <v>2794</v>
      </c>
      <c r="C313" s="6" t="s">
        <v>8013</v>
      </c>
    </row>
    <row r="314" customFormat="false" ht="15" hidden="false" customHeight="true" outlineLevel="0" collapsed="false">
      <c r="A314" s="6" t="s">
        <v>2789</v>
      </c>
      <c r="B314" s="6" t="s">
        <v>8159</v>
      </c>
      <c r="C314" s="6"/>
    </row>
    <row r="315" customFormat="false" ht="15" hidden="false" customHeight="true" outlineLevel="0" collapsed="false">
      <c r="A315" s="6" t="s">
        <v>2789</v>
      </c>
      <c r="B315" s="6" t="s">
        <v>8160</v>
      </c>
      <c r="C315" s="6"/>
    </row>
    <row r="316" customFormat="false" ht="15" hidden="false" customHeight="true" outlineLevel="0" collapsed="false">
      <c r="A316" s="6" t="s">
        <v>2789</v>
      </c>
      <c r="B316" s="6" t="s">
        <v>8161</v>
      </c>
      <c r="C316" s="6"/>
    </row>
    <row r="317" customFormat="false" ht="15" hidden="false" customHeight="true" outlineLevel="0" collapsed="false">
      <c r="A317" s="6" t="s">
        <v>2789</v>
      </c>
      <c r="B317" s="6" t="s">
        <v>8162</v>
      </c>
      <c r="C317" s="6"/>
    </row>
    <row r="318" customFormat="false" ht="15" hidden="false" customHeight="true" outlineLevel="0" collapsed="false">
      <c r="A318" s="6" t="s">
        <v>2789</v>
      </c>
      <c r="B318" s="6" t="s">
        <v>8163</v>
      </c>
      <c r="C318" s="6"/>
    </row>
    <row r="319" customFormat="false" ht="15" hidden="false" customHeight="true" outlineLevel="0" collapsed="false">
      <c r="A319" s="6" t="s">
        <v>2789</v>
      </c>
      <c r="B319" s="6" t="s">
        <v>8164</v>
      </c>
      <c r="C319" s="6"/>
    </row>
    <row r="320" customFormat="false" ht="15" hidden="false" customHeight="true" outlineLevel="0" collapsed="false">
      <c r="A320" s="6" t="s">
        <v>2789</v>
      </c>
      <c r="B320" s="6" t="s">
        <v>8165</v>
      </c>
      <c r="C320" s="6"/>
    </row>
    <row r="321" customFormat="false" ht="15" hidden="false" customHeight="true" outlineLevel="0" collapsed="false">
      <c r="A321" s="6" t="s">
        <v>6516</v>
      </c>
      <c r="B321" s="6" t="s">
        <v>6516</v>
      </c>
      <c r="C321" s="6" t="s">
        <v>8013</v>
      </c>
    </row>
    <row r="322" customFormat="false" ht="15" hidden="false" customHeight="true" outlineLevel="0" collapsed="false">
      <c r="A322" s="6" t="s">
        <v>6516</v>
      </c>
      <c r="B322" s="6" t="s">
        <v>8166</v>
      </c>
      <c r="C322" s="6"/>
    </row>
    <row r="323" customFormat="false" ht="15" hidden="false" customHeight="true" outlineLevel="0" collapsed="false">
      <c r="A323" s="6" t="s">
        <v>6516</v>
      </c>
      <c r="B323" s="6" t="s">
        <v>8167</v>
      </c>
      <c r="C323" s="6"/>
    </row>
    <row r="324" customFormat="false" ht="15" hidden="false" customHeight="true" outlineLevel="0" collapsed="false">
      <c r="A324" s="6" t="s">
        <v>6516</v>
      </c>
      <c r="B324" s="6" t="s">
        <v>2794</v>
      </c>
      <c r="C324" s="6" t="s">
        <v>8013</v>
      </c>
    </row>
    <row r="325" customFormat="false" ht="15" hidden="false" customHeight="true" outlineLevel="0" collapsed="false">
      <c r="A325" s="6" t="s">
        <v>6516</v>
      </c>
      <c r="B325" s="6" t="s">
        <v>8168</v>
      </c>
      <c r="C325" s="6"/>
    </row>
    <row r="326" customFormat="false" ht="15" hidden="false" customHeight="true" outlineLevel="0" collapsed="false">
      <c r="A326" s="6" t="s">
        <v>6516</v>
      </c>
      <c r="B326" s="6" t="s">
        <v>2769</v>
      </c>
      <c r="C326" s="6" t="s">
        <v>8013</v>
      </c>
    </row>
    <row r="327" customFormat="false" ht="15" hidden="false" customHeight="true" outlineLevel="0" collapsed="false">
      <c r="A327" s="6" t="s">
        <v>6516</v>
      </c>
      <c r="B327" s="6" t="s">
        <v>2756</v>
      </c>
      <c r="C327" s="6" t="s">
        <v>8013</v>
      </c>
    </row>
    <row r="328" customFormat="false" ht="15" hidden="false" customHeight="true" outlineLevel="0" collapsed="false">
      <c r="A328" s="6" t="s">
        <v>6516</v>
      </c>
      <c r="B328" s="6" t="s">
        <v>8169</v>
      </c>
      <c r="C328" s="6"/>
    </row>
    <row r="329" customFormat="false" ht="15" hidden="false" customHeight="true" outlineLevel="0" collapsed="false">
      <c r="A329" s="6" t="s">
        <v>2802</v>
      </c>
      <c r="B329" s="6" t="s">
        <v>2802</v>
      </c>
      <c r="C329" s="6" t="s">
        <v>8013</v>
      </c>
    </row>
    <row r="330" customFormat="false" ht="15" hidden="false" customHeight="true" outlineLevel="0" collapsed="false">
      <c r="A330" s="6" t="s">
        <v>2802</v>
      </c>
      <c r="B330" s="6" t="s">
        <v>8170</v>
      </c>
      <c r="C330" s="6"/>
    </row>
    <row r="331" customFormat="false" ht="15" hidden="false" customHeight="true" outlineLevel="0" collapsed="false">
      <c r="A331" s="6" t="s">
        <v>2802</v>
      </c>
      <c r="B331" s="6" t="s">
        <v>8171</v>
      </c>
      <c r="C331" s="6"/>
    </row>
    <row r="332" customFormat="false" ht="15" hidden="false" customHeight="true" outlineLevel="0" collapsed="false">
      <c r="A332" s="6" t="s">
        <v>2802</v>
      </c>
      <c r="B332" s="6" t="s">
        <v>8172</v>
      </c>
      <c r="C332" s="6"/>
    </row>
    <row r="333" customFormat="false" ht="15" hidden="false" customHeight="true" outlineLevel="0" collapsed="false">
      <c r="A333" s="6" t="s">
        <v>2802</v>
      </c>
      <c r="B333" s="6" t="s">
        <v>8173</v>
      </c>
      <c r="C333" s="6"/>
    </row>
    <row r="334" customFormat="false" ht="15" hidden="false" customHeight="true" outlineLevel="0" collapsed="false">
      <c r="A334" s="6" t="s">
        <v>2802</v>
      </c>
      <c r="B334" s="6" t="s">
        <v>8174</v>
      </c>
      <c r="C334" s="6"/>
    </row>
    <row r="335" customFormat="false" ht="15" hidden="false" customHeight="true" outlineLevel="0" collapsed="false">
      <c r="A335" s="6" t="s">
        <v>2802</v>
      </c>
      <c r="B335" s="6" t="s">
        <v>8175</v>
      </c>
      <c r="C335" s="6"/>
    </row>
    <row r="336" customFormat="false" ht="15" hidden="false" customHeight="true" outlineLevel="0" collapsed="false">
      <c r="A336" s="6" t="s">
        <v>342</v>
      </c>
      <c r="B336" s="6" t="s">
        <v>342</v>
      </c>
      <c r="C336" s="6" t="s">
        <v>8013</v>
      </c>
    </row>
    <row r="337" customFormat="false" ht="15" hidden="false" customHeight="true" outlineLevel="0" collapsed="false">
      <c r="A337" s="6" t="s">
        <v>342</v>
      </c>
      <c r="B337" s="6" t="s">
        <v>8176</v>
      </c>
      <c r="C337" s="6"/>
    </row>
    <row r="338" customFormat="false" ht="15" hidden="false" customHeight="true" outlineLevel="0" collapsed="false">
      <c r="A338" s="6" t="s">
        <v>342</v>
      </c>
      <c r="B338" s="6" t="s">
        <v>8177</v>
      </c>
      <c r="C338" s="6"/>
    </row>
    <row r="339" customFormat="false" ht="15" hidden="false" customHeight="true" outlineLevel="0" collapsed="false">
      <c r="A339" s="6" t="s">
        <v>342</v>
      </c>
      <c r="B339" s="6" t="s">
        <v>8178</v>
      </c>
      <c r="C339" s="6"/>
    </row>
    <row r="340" customFormat="false" ht="15" hidden="false" customHeight="true" outlineLevel="0" collapsed="false">
      <c r="A340" s="6" t="s">
        <v>342</v>
      </c>
      <c r="B340" s="6" t="s">
        <v>8179</v>
      </c>
      <c r="C340" s="6"/>
    </row>
    <row r="341" customFormat="false" ht="15" hidden="false" customHeight="true" outlineLevel="0" collapsed="false">
      <c r="A341" s="6" t="s">
        <v>342</v>
      </c>
      <c r="B341" s="6" t="s">
        <v>8180</v>
      </c>
      <c r="C341" s="6"/>
    </row>
    <row r="342" customFormat="false" ht="15" hidden="false" customHeight="true" outlineLevel="0" collapsed="false">
      <c r="A342" s="6" t="s">
        <v>342</v>
      </c>
      <c r="B342" s="6" t="s">
        <v>8181</v>
      </c>
      <c r="C342" s="6"/>
    </row>
    <row r="343" customFormat="false" ht="15" hidden="false" customHeight="true" outlineLevel="0" collapsed="false">
      <c r="A343" s="6" t="s">
        <v>342</v>
      </c>
      <c r="B343" s="6" t="s">
        <v>8182</v>
      </c>
      <c r="C343" s="6"/>
    </row>
    <row r="344" customFormat="false" ht="15" hidden="false" customHeight="true" outlineLevel="0" collapsed="false">
      <c r="A344" s="6" t="s">
        <v>342</v>
      </c>
      <c r="B344" s="6" t="s">
        <v>8183</v>
      </c>
      <c r="C344" s="6"/>
    </row>
    <row r="345" customFormat="false" ht="15" hidden="false" customHeight="true" outlineLevel="0" collapsed="false">
      <c r="A345" s="6" t="s">
        <v>342</v>
      </c>
      <c r="B345" s="6" t="s">
        <v>8184</v>
      </c>
      <c r="C345" s="6"/>
    </row>
    <row r="346" customFormat="false" ht="15" hidden="false" customHeight="true" outlineLevel="0" collapsed="false">
      <c r="A346" s="6" t="s">
        <v>2819</v>
      </c>
      <c r="B346" s="6" t="s">
        <v>2819</v>
      </c>
      <c r="C346" s="6" t="s">
        <v>8013</v>
      </c>
    </row>
    <row r="347" customFormat="false" ht="15" hidden="false" customHeight="true" outlineLevel="0" collapsed="false">
      <c r="A347" s="6" t="s">
        <v>2819</v>
      </c>
      <c r="B347" s="6" t="s">
        <v>6958</v>
      </c>
      <c r="C347" s="6" t="s">
        <v>8013</v>
      </c>
    </row>
    <row r="348" customFormat="false" ht="15" hidden="false" customHeight="true" outlineLevel="0" collapsed="false">
      <c r="A348" s="6" t="s">
        <v>2819</v>
      </c>
      <c r="B348" s="6" t="s">
        <v>286</v>
      </c>
      <c r="C348" s="6" t="s">
        <v>8013</v>
      </c>
    </row>
    <row r="349" customFormat="false" ht="15" hidden="false" customHeight="true" outlineLevel="0" collapsed="false">
      <c r="A349" s="6" t="s">
        <v>2819</v>
      </c>
      <c r="B349" s="6" t="s">
        <v>6957</v>
      </c>
      <c r="C349" s="6" t="s">
        <v>8013</v>
      </c>
    </row>
    <row r="350" customFormat="false" ht="15" hidden="false" customHeight="true" outlineLevel="0" collapsed="false">
      <c r="A350" s="6" t="s">
        <v>2819</v>
      </c>
      <c r="B350" s="6" t="s">
        <v>270</v>
      </c>
      <c r="C350" s="6" t="s">
        <v>8013</v>
      </c>
    </row>
    <row r="351" customFormat="false" ht="15" hidden="false" customHeight="true" outlineLevel="0" collapsed="false">
      <c r="A351" s="6" t="s">
        <v>2819</v>
      </c>
      <c r="B351" s="6" t="s">
        <v>6956</v>
      </c>
      <c r="C351" s="6" t="s">
        <v>8013</v>
      </c>
    </row>
    <row r="352" customFormat="false" ht="15" hidden="false" customHeight="true" outlineLevel="0" collapsed="false">
      <c r="A352" s="6" t="s">
        <v>2819</v>
      </c>
      <c r="B352" s="6" t="s">
        <v>2823</v>
      </c>
      <c r="C352" s="6" t="s">
        <v>8013</v>
      </c>
    </row>
    <row r="353" customFormat="false" ht="15" hidden="false" customHeight="true" outlineLevel="0" collapsed="false">
      <c r="A353" s="6" t="s">
        <v>2819</v>
      </c>
      <c r="B353" s="6" t="s">
        <v>6959</v>
      </c>
      <c r="C353" s="6" t="s">
        <v>8013</v>
      </c>
    </row>
    <row r="354" customFormat="false" ht="15" hidden="false" customHeight="true" outlineLevel="0" collapsed="false">
      <c r="A354" s="6" t="s">
        <v>2819</v>
      </c>
      <c r="B354" s="6" t="s">
        <v>8185</v>
      </c>
      <c r="C354" s="6"/>
    </row>
    <row r="355" customFormat="false" ht="15" hidden="false" customHeight="true" outlineLevel="0" collapsed="false">
      <c r="A355" s="6" t="s">
        <v>2819</v>
      </c>
      <c r="B355" s="6" t="s">
        <v>8186</v>
      </c>
      <c r="C355" s="6"/>
    </row>
    <row r="356" customFormat="false" ht="15" hidden="false" customHeight="true" outlineLevel="0" collapsed="false">
      <c r="A356" s="6" t="s">
        <v>2856</v>
      </c>
      <c r="B356" s="6" t="s">
        <v>2856</v>
      </c>
      <c r="C356" s="6" t="s">
        <v>8013</v>
      </c>
    </row>
    <row r="357" customFormat="false" ht="15" hidden="false" customHeight="true" outlineLevel="0" collapsed="false">
      <c r="A357" s="6" t="s">
        <v>2856</v>
      </c>
      <c r="B357" s="6" t="s">
        <v>2860</v>
      </c>
      <c r="C357" s="6" t="s">
        <v>8013</v>
      </c>
    </row>
    <row r="358" customFormat="false" ht="15" hidden="false" customHeight="true" outlineLevel="0" collapsed="false">
      <c r="A358" s="6" t="s">
        <v>2856</v>
      </c>
      <c r="B358" s="6" t="s">
        <v>8187</v>
      </c>
      <c r="C358" s="6"/>
    </row>
    <row r="359" customFormat="false" ht="15" hidden="false" customHeight="true" outlineLevel="0" collapsed="false">
      <c r="A359" s="6" t="s">
        <v>2856</v>
      </c>
      <c r="B359" s="6" t="s">
        <v>6962</v>
      </c>
      <c r="C359" s="6" t="s">
        <v>8013</v>
      </c>
    </row>
    <row r="360" customFormat="false" ht="15" hidden="false" customHeight="true" outlineLevel="0" collapsed="false">
      <c r="A360" s="6" t="s">
        <v>2856</v>
      </c>
      <c r="B360" s="6" t="s">
        <v>6961</v>
      </c>
      <c r="C360" s="6" t="s">
        <v>8013</v>
      </c>
    </row>
    <row r="361" customFormat="false" ht="15" hidden="false" customHeight="true" outlineLevel="0" collapsed="false">
      <c r="A361" s="6" t="s">
        <v>2856</v>
      </c>
      <c r="B361" s="6" t="s">
        <v>8188</v>
      </c>
      <c r="C361" s="6"/>
    </row>
    <row r="362" customFormat="false" ht="15" hidden="false" customHeight="true" outlineLevel="0" collapsed="false">
      <c r="A362" s="6" t="s">
        <v>2856</v>
      </c>
      <c r="B362" s="6" t="s">
        <v>8189</v>
      </c>
      <c r="C362" s="6"/>
    </row>
    <row r="363" customFormat="false" ht="15" hidden="false" customHeight="true" outlineLevel="0" collapsed="false">
      <c r="A363" s="6" t="s">
        <v>2856</v>
      </c>
      <c r="B363" s="6" t="s">
        <v>8190</v>
      </c>
      <c r="C363" s="6"/>
    </row>
    <row r="364" customFormat="false" ht="15" hidden="false" customHeight="true" outlineLevel="0" collapsed="false">
      <c r="A364" s="6" t="s">
        <v>2856</v>
      </c>
      <c r="B364" s="6" t="s">
        <v>8191</v>
      </c>
      <c r="C364" s="6"/>
    </row>
    <row r="365" customFormat="false" ht="15" hidden="false" customHeight="true" outlineLevel="0" collapsed="false">
      <c r="A365" s="6" t="s">
        <v>2856</v>
      </c>
      <c r="B365" s="6" t="s">
        <v>6960</v>
      </c>
      <c r="C365" s="6" t="s">
        <v>8013</v>
      </c>
    </row>
    <row r="366" customFormat="false" ht="15" hidden="false" customHeight="true" outlineLevel="0" collapsed="false">
      <c r="A366" s="6" t="s">
        <v>2869</v>
      </c>
      <c r="B366" s="6" t="s">
        <v>6965</v>
      </c>
      <c r="C366" s="6" t="s">
        <v>8013</v>
      </c>
    </row>
    <row r="367" customFormat="false" ht="15" hidden="false" customHeight="true" outlineLevel="0" collapsed="false">
      <c r="A367" s="6" t="s">
        <v>2869</v>
      </c>
      <c r="B367" s="6" t="s">
        <v>6967</v>
      </c>
      <c r="C367" s="6" t="s">
        <v>8013</v>
      </c>
    </row>
    <row r="368" customFormat="false" ht="15" hidden="false" customHeight="true" outlineLevel="0" collapsed="false">
      <c r="A368" s="6" t="s">
        <v>2869</v>
      </c>
      <c r="B368" s="6" t="s">
        <v>6966</v>
      </c>
      <c r="C368" s="6" t="s">
        <v>8013</v>
      </c>
    </row>
    <row r="369" customFormat="false" ht="15" hidden="false" customHeight="true" outlineLevel="0" collapsed="false">
      <c r="A369" s="6" t="s">
        <v>2869</v>
      </c>
      <c r="B369" s="6" t="s">
        <v>2872</v>
      </c>
      <c r="C369" s="6" t="s">
        <v>8013</v>
      </c>
    </row>
    <row r="370" customFormat="false" ht="15" hidden="false" customHeight="true" outlineLevel="0" collapsed="false">
      <c r="A370" s="6" t="s">
        <v>2869</v>
      </c>
      <c r="B370" s="6" t="s">
        <v>8192</v>
      </c>
      <c r="C370" s="6"/>
    </row>
    <row r="371" customFormat="false" ht="15" hidden="false" customHeight="true" outlineLevel="0" collapsed="false">
      <c r="A371" s="6" t="s">
        <v>2869</v>
      </c>
      <c r="B371" s="6" t="s">
        <v>6964</v>
      </c>
      <c r="C371" s="6" t="s">
        <v>8013</v>
      </c>
    </row>
    <row r="372" customFormat="false" ht="15" hidden="false" customHeight="true" outlineLevel="0" collapsed="false">
      <c r="A372" s="6" t="s">
        <v>2869</v>
      </c>
      <c r="B372" s="6" t="s">
        <v>6963</v>
      </c>
      <c r="C372" s="6" t="s">
        <v>8013</v>
      </c>
    </row>
    <row r="373" customFormat="false" ht="15" hidden="false" customHeight="true" outlineLevel="0" collapsed="false">
      <c r="A373" s="6" t="s">
        <v>2869</v>
      </c>
      <c r="B373" s="6" t="s">
        <v>8193</v>
      </c>
      <c r="C373" s="6"/>
    </row>
    <row r="374" customFormat="false" ht="15" hidden="false" customHeight="true" outlineLevel="0" collapsed="false">
      <c r="A374" s="6" t="s">
        <v>2869</v>
      </c>
      <c r="B374" s="6" t="s">
        <v>8194</v>
      </c>
      <c r="C374" s="6"/>
    </row>
    <row r="375" customFormat="false" ht="15" hidden="false" customHeight="true" outlineLevel="0" collapsed="false">
      <c r="A375" s="6" t="s">
        <v>2869</v>
      </c>
      <c r="B375" s="6" t="s">
        <v>2873</v>
      </c>
      <c r="C375" s="6" t="s">
        <v>8013</v>
      </c>
    </row>
    <row r="376" customFormat="false" ht="15" hidden="false" customHeight="true" outlineLevel="0" collapsed="false">
      <c r="A376" s="6" t="s">
        <v>2881</v>
      </c>
      <c r="B376" s="6" t="s">
        <v>2881</v>
      </c>
      <c r="C376" s="6" t="s">
        <v>8013</v>
      </c>
    </row>
    <row r="377" customFormat="false" ht="15" hidden="false" customHeight="true" outlineLevel="0" collapsed="false">
      <c r="A377" s="6" t="s">
        <v>2881</v>
      </c>
      <c r="B377" s="6" t="s">
        <v>8195</v>
      </c>
      <c r="C377" s="6"/>
    </row>
    <row r="378" customFormat="false" ht="15" hidden="false" customHeight="true" outlineLevel="0" collapsed="false">
      <c r="A378" s="6" t="s">
        <v>2881</v>
      </c>
      <c r="B378" s="6" t="s">
        <v>6969</v>
      </c>
      <c r="C378" s="6" t="s">
        <v>8013</v>
      </c>
    </row>
    <row r="379" customFormat="false" ht="15" hidden="false" customHeight="true" outlineLevel="0" collapsed="false">
      <c r="A379" s="6" t="s">
        <v>2881</v>
      </c>
      <c r="B379" s="6" t="s">
        <v>6970</v>
      </c>
      <c r="C379" s="6" t="s">
        <v>8013</v>
      </c>
    </row>
    <row r="380" customFormat="false" ht="15" hidden="false" customHeight="true" outlineLevel="0" collapsed="false">
      <c r="A380" s="6" t="s">
        <v>2881</v>
      </c>
      <c r="B380" s="6" t="s">
        <v>6968</v>
      </c>
      <c r="C380" s="6" t="s">
        <v>8013</v>
      </c>
    </row>
    <row r="381" customFormat="false" ht="15" hidden="false" customHeight="true" outlineLevel="0" collapsed="false">
      <c r="A381" s="6" t="s">
        <v>2881</v>
      </c>
      <c r="B381" s="6" t="s">
        <v>6971</v>
      </c>
      <c r="C381" s="6" t="s">
        <v>8013</v>
      </c>
    </row>
    <row r="382" customFormat="false" ht="15" hidden="false" customHeight="true" outlineLevel="0" collapsed="false">
      <c r="A382" s="6" t="s">
        <v>2881</v>
      </c>
      <c r="B382" s="6" t="s">
        <v>8196</v>
      </c>
      <c r="C382" s="6"/>
    </row>
    <row r="383" customFormat="false" ht="15" hidden="false" customHeight="true" outlineLevel="0" collapsed="false">
      <c r="A383" s="6" t="s">
        <v>2881</v>
      </c>
      <c r="B383" s="6" t="s">
        <v>6972</v>
      </c>
      <c r="C383" s="6" t="s">
        <v>8013</v>
      </c>
    </row>
    <row r="384" customFormat="false" ht="15" hidden="false" customHeight="true" outlineLevel="0" collapsed="false">
      <c r="A384" s="6" t="s">
        <v>2881</v>
      </c>
      <c r="B384" s="6" t="s">
        <v>8197</v>
      </c>
      <c r="C384" s="6"/>
    </row>
    <row r="385" customFormat="false" ht="15" hidden="false" customHeight="true" outlineLevel="0" collapsed="false">
      <c r="A385" s="6" t="s">
        <v>2881</v>
      </c>
      <c r="B385" s="6" t="s">
        <v>8198</v>
      </c>
      <c r="C385" s="6"/>
    </row>
    <row r="386" customFormat="false" ht="15" hidden="false" customHeight="true" outlineLevel="0" collapsed="false">
      <c r="A386" s="6" t="s">
        <v>6519</v>
      </c>
      <c r="B386" s="6" t="s">
        <v>6519</v>
      </c>
      <c r="C386" s="6" t="s">
        <v>8013</v>
      </c>
    </row>
    <row r="387" customFormat="false" ht="15" hidden="false" customHeight="true" outlineLevel="0" collapsed="false">
      <c r="A387" s="6" t="s">
        <v>6519</v>
      </c>
      <c r="B387" s="6" t="s">
        <v>8199</v>
      </c>
      <c r="C387" s="6"/>
    </row>
    <row r="388" customFormat="false" ht="15" hidden="false" customHeight="true" outlineLevel="0" collapsed="false">
      <c r="A388" s="6" t="s">
        <v>6519</v>
      </c>
      <c r="B388" s="6" t="s">
        <v>8200</v>
      </c>
      <c r="C388" s="6"/>
    </row>
    <row r="389" customFormat="false" ht="15" hidden="false" customHeight="true" outlineLevel="0" collapsed="false">
      <c r="A389" s="6" t="s">
        <v>6519</v>
      </c>
      <c r="B389" s="6" t="s">
        <v>8201</v>
      </c>
      <c r="C389" s="6"/>
    </row>
    <row r="390" customFormat="false" ht="15" hidden="false" customHeight="true" outlineLevel="0" collapsed="false">
      <c r="A390" s="6" t="s">
        <v>6519</v>
      </c>
      <c r="B390" s="6" t="s">
        <v>8202</v>
      </c>
      <c r="C390" s="6"/>
    </row>
    <row r="391" customFormat="false" ht="15" hidden="false" customHeight="true" outlineLevel="0" collapsed="false">
      <c r="A391" s="6" t="s">
        <v>6519</v>
      </c>
      <c r="B391" s="6" t="s">
        <v>8203</v>
      </c>
      <c r="C391" s="6"/>
    </row>
    <row r="392" customFormat="false" ht="15" hidden="false" customHeight="true" outlineLevel="0" collapsed="false">
      <c r="A392" s="6" t="s">
        <v>6519</v>
      </c>
      <c r="B392" s="6" t="s">
        <v>8204</v>
      </c>
      <c r="C392" s="6"/>
    </row>
    <row r="393" customFormat="false" ht="15" hidden="false" customHeight="true" outlineLevel="0" collapsed="false">
      <c r="A393" s="6" t="s">
        <v>6519</v>
      </c>
      <c r="B393" s="6" t="s">
        <v>8205</v>
      </c>
      <c r="C393" s="6"/>
    </row>
    <row r="394" customFormat="false" ht="15" hidden="false" customHeight="true" outlineLevel="0" collapsed="false">
      <c r="A394" s="6" t="s">
        <v>6519</v>
      </c>
      <c r="B394" s="6" t="s">
        <v>8206</v>
      </c>
      <c r="C394" s="6"/>
    </row>
    <row r="395" customFormat="false" ht="15" hidden="false" customHeight="true" outlineLevel="0" collapsed="false">
      <c r="A395" s="6" t="s">
        <v>6519</v>
      </c>
      <c r="B395" s="6" t="s">
        <v>6521</v>
      </c>
      <c r="C395" s="6" t="s">
        <v>8013</v>
      </c>
    </row>
    <row r="396" customFormat="false" ht="15" hidden="false" customHeight="true" outlineLevel="0" collapsed="false">
      <c r="A396" s="6" t="s">
        <v>2893</v>
      </c>
      <c r="B396" s="6" t="s">
        <v>2893</v>
      </c>
      <c r="C396" s="6" t="s">
        <v>8013</v>
      </c>
    </row>
    <row r="397" customFormat="false" ht="15" hidden="false" customHeight="true" outlineLevel="0" collapsed="false">
      <c r="A397" s="6" t="s">
        <v>2893</v>
      </c>
      <c r="B397" s="6" t="s">
        <v>6977</v>
      </c>
      <c r="C397" s="6" t="s">
        <v>8013</v>
      </c>
    </row>
    <row r="398" customFormat="false" ht="15" hidden="false" customHeight="true" outlineLevel="0" collapsed="false">
      <c r="A398" s="6" t="s">
        <v>2893</v>
      </c>
      <c r="B398" s="6" t="s">
        <v>6976</v>
      </c>
      <c r="C398" s="6" t="s">
        <v>8013</v>
      </c>
    </row>
    <row r="399" customFormat="false" ht="15" hidden="false" customHeight="true" outlineLevel="0" collapsed="false">
      <c r="A399" s="6" t="s">
        <v>2893</v>
      </c>
      <c r="B399" s="6" t="s">
        <v>8207</v>
      </c>
      <c r="C399" s="6"/>
    </row>
    <row r="400" customFormat="false" ht="15" hidden="false" customHeight="true" outlineLevel="0" collapsed="false">
      <c r="A400" s="6" t="s">
        <v>2893</v>
      </c>
      <c r="B400" s="6" t="s">
        <v>6974</v>
      </c>
      <c r="C400" s="6" t="s">
        <v>8013</v>
      </c>
    </row>
    <row r="401" customFormat="false" ht="15" hidden="false" customHeight="true" outlineLevel="0" collapsed="false">
      <c r="A401" s="6" t="s">
        <v>2893</v>
      </c>
      <c r="B401" s="6" t="s">
        <v>6975</v>
      </c>
      <c r="C401" s="6" t="s">
        <v>8013</v>
      </c>
    </row>
    <row r="402" customFormat="false" ht="15" hidden="false" customHeight="true" outlineLevel="0" collapsed="false">
      <c r="A402" s="6" t="s">
        <v>2893</v>
      </c>
      <c r="B402" s="6" t="s">
        <v>8208</v>
      </c>
      <c r="C402" s="6"/>
    </row>
    <row r="403" customFormat="false" ht="15" hidden="false" customHeight="true" outlineLevel="0" collapsed="false">
      <c r="A403" s="6" t="s">
        <v>2893</v>
      </c>
      <c r="B403" s="6" t="s">
        <v>6973</v>
      </c>
      <c r="C403" s="6" t="s">
        <v>8013</v>
      </c>
    </row>
    <row r="404" customFormat="false" ht="15" hidden="false" customHeight="true" outlineLevel="0" collapsed="false">
      <c r="A404" s="6" t="s">
        <v>2893</v>
      </c>
      <c r="B404" s="6" t="s">
        <v>2897</v>
      </c>
      <c r="C404" s="6" t="s">
        <v>8013</v>
      </c>
    </row>
    <row r="405" customFormat="false" ht="15" hidden="false" customHeight="true" outlineLevel="0" collapsed="false">
      <c r="A405" s="6" t="s">
        <v>2893</v>
      </c>
      <c r="B405" s="6" t="s">
        <v>2896</v>
      </c>
      <c r="C405" s="6" t="s">
        <v>8013</v>
      </c>
    </row>
    <row r="406" customFormat="false" ht="15" hidden="false" customHeight="true" outlineLevel="0" collapsed="false">
      <c r="A406" s="6" t="s">
        <v>315</v>
      </c>
      <c r="B406" s="6" t="s">
        <v>315</v>
      </c>
      <c r="C406" s="6" t="s">
        <v>8013</v>
      </c>
    </row>
    <row r="407" customFormat="false" ht="15" hidden="false" customHeight="true" outlineLevel="0" collapsed="false">
      <c r="A407" s="6" t="s">
        <v>315</v>
      </c>
      <c r="B407" s="6" t="s">
        <v>8209</v>
      </c>
      <c r="C407" s="6"/>
    </row>
    <row r="408" customFormat="false" ht="15" hidden="false" customHeight="true" outlineLevel="0" collapsed="false">
      <c r="A408" s="6" t="s">
        <v>315</v>
      </c>
      <c r="B408" s="6" t="s">
        <v>8210</v>
      </c>
      <c r="C408" s="6"/>
    </row>
    <row r="409" customFormat="false" ht="15" hidden="false" customHeight="true" outlineLevel="0" collapsed="false">
      <c r="A409" s="6" t="s">
        <v>315</v>
      </c>
      <c r="B409" s="6" t="s">
        <v>8211</v>
      </c>
      <c r="C409" s="6"/>
    </row>
    <row r="410" customFormat="false" ht="15" hidden="false" customHeight="true" outlineLevel="0" collapsed="false">
      <c r="A410" s="6" t="s">
        <v>315</v>
      </c>
      <c r="B410" s="6" t="s">
        <v>8212</v>
      </c>
      <c r="C410" s="6"/>
    </row>
    <row r="411" customFormat="false" ht="15" hidden="false" customHeight="true" outlineLevel="0" collapsed="false">
      <c r="A411" s="6" t="s">
        <v>315</v>
      </c>
      <c r="B411" s="6" t="s">
        <v>8213</v>
      </c>
      <c r="C411" s="6"/>
    </row>
    <row r="412" customFormat="false" ht="15" hidden="false" customHeight="true" outlineLevel="0" collapsed="false">
      <c r="A412" s="6" t="s">
        <v>315</v>
      </c>
      <c r="B412" s="6" t="s">
        <v>8214</v>
      </c>
      <c r="C412" s="6"/>
    </row>
    <row r="413" customFormat="false" ht="15" hidden="false" customHeight="true" outlineLevel="0" collapsed="false">
      <c r="A413" s="6" t="s">
        <v>315</v>
      </c>
      <c r="B413" s="6" t="s">
        <v>8215</v>
      </c>
      <c r="C413" s="6"/>
    </row>
    <row r="414" customFormat="false" ht="15" hidden="false" customHeight="true" outlineLevel="0" collapsed="false">
      <c r="A414" s="6" t="s">
        <v>315</v>
      </c>
      <c r="B414" s="6" t="s">
        <v>8216</v>
      </c>
      <c r="C414" s="6"/>
    </row>
    <row r="415" customFormat="false" ht="15" hidden="false" customHeight="true" outlineLevel="0" collapsed="false">
      <c r="A415" s="6" t="s">
        <v>315</v>
      </c>
      <c r="B415" s="6" t="s">
        <v>8217</v>
      </c>
      <c r="C415" s="6"/>
    </row>
    <row r="416" customFormat="false" ht="15" hidden="false" customHeight="true" outlineLevel="0" collapsed="false">
      <c r="A416" s="6" t="s">
        <v>2906</v>
      </c>
      <c r="B416" s="6" t="s">
        <v>8218</v>
      </c>
      <c r="C416" s="6"/>
    </row>
    <row r="417" customFormat="false" ht="15" hidden="false" customHeight="true" outlineLevel="0" collapsed="false">
      <c r="A417" s="6" t="s">
        <v>2906</v>
      </c>
      <c r="B417" s="6" t="s">
        <v>6978</v>
      </c>
      <c r="C417" s="6" t="s">
        <v>8013</v>
      </c>
    </row>
    <row r="418" customFormat="false" ht="15" hidden="false" customHeight="true" outlineLevel="0" collapsed="false">
      <c r="A418" s="6" t="s">
        <v>2906</v>
      </c>
      <c r="B418" s="6" t="s">
        <v>6981</v>
      </c>
      <c r="C418" s="6" t="s">
        <v>8013</v>
      </c>
    </row>
    <row r="419" customFormat="false" ht="15" hidden="false" customHeight="true" outlineLevel="0" collapsed="false">
      <c r="A419" s="6" t="s">
        <v>2906</v>
      </c>
      <c r="B419" s="6" t="s">
        <v>8219</v>
      </c>
      <c r="C419" s="6"/>
    </row>
    <row r="420" customFormat="false" ht="15" hidden="false" customHeight="true" outlineLevel="0" collapsed="false">
      <c r="A420" s="6" t="s">
        <v>2906</v>
      </c>
      <c r="B420" s="6" t="s">
        <v>8220</v>
      </c>
      <c r="C420" s="6"/>
    </row>
    <row r="421" customFormat="false" ht="15" hidden="false" customHeight="true" outlineLevel="0" collapsed="false">
      <c r="A421" s="6" t="s">
        <v>2906</v>
      </c>
      <c r="B421" s="6" t="s">
        <v>6980</v>
      </c>
      <c r="C421" s="6" t="s">
        <v>8013</v>
      </c>
    </row>
    <row r="422" customFormat="false" ht="15" hidden="false" customHeight="true" outlineLevel="0" collapsed="false">
      <c r="A422" s="6" t="s">
        <v>2906</v>
      </c>
      <c r="B422" s="6" t="s">
        <v>8221</v>
      </c>
      <c r="C422" s="6"/>
    </row>
    <row r="423" customFormat="false" ht="15" hidden="false" customHeight="true" outlineLevel="0" collapsed="false">
      <c r="A423" s="6" t="s">
        <v>2906</v>
      </c>
      <c r="B423" s="6" t="s">
        <v>8222</v>
      </c>
      <c r="C423" s="6"/>
    </row>
    <row r="424" customFormat="false" ht="15" hidden="false" customHeight="true" outlineLevel="0" collapsed="false">
      <c r="A424" s="6" t="s">
        <v>2906</v>
      </c>
      <c r="B424" s="6" t="s">
        <v>6979</v>
      </c>
      <c r="C424" s="6" t="s">
        <v>8013</v>
      </c>
    </row>
    <row r="425" customFormat="false" ht="15" hidden="false" customHeight="true" outlineLevel="0" collapsed="false">
      <c r="A425" s="6" t="s">
        <v>2906</v>
      </c>
      <c r="B425" s="6" t="s">
        <v>8223</v>
      </c>
      <c r="C425" s="6"/>
    </row>
    <row r="426" customFormat="false" ht="15" hidden="false" customHeight="true" outlineLevel="0" collapsed="false">
      <c r="A426" s="6" t="s">
        <v>2919</v>
      </c>
      <c r="B426" s="6" t="s">
        <v>8224</v>
      </c>
      <c r="C426" s="6"/>
    </row>
    <row r="427" customFormat="false" ht="15" hidden="false" customHeight="true" outlineLevel="0" collapsed="false">
      <c r="A427" s="6" t="s">
        <v>2919</v>
      </c>
      <c r="B427" s="6" t="s">
        <v>2919</v>
      </c>
      <c r="C427" s="6" t="s">
        <v>8013</v>
      </c>
    </row>
    <row r="428" customFormat="false" ht="15" hidden="false" customHeight="true" outlineLevel="0" collapsed="false">
      <c r="A428" s="6" t="s">
        <v>2919</v>
      </c>
      <c r="B428" s="6" t="s">
        <v>8225</v>
      </c>
      <c r="C428" s="6"/>
    </row>
    <row r="429" customFormat="false" ht="15" hidden="false" customHeight="true" outlineLevel="0" collapsed="false">
      <c r="A429" s="6" t="s">
        <v>2919</v>
      </c>
      <c r="B429" s="6" t="s">
        <v>6982</v>
      </c>
      <c r="C429" s="6" t="s">
        <v>8013</v>
      </c>
    </row>
    <row r="430" customFormat="false" ht="15" hidden="false" customHeight="true" outlineLevel="0" collapsed="false">
      <c r="A430" s="6" t="s">
        <v>2919</v>
      </c>
      <c r="B430" s="6" t="s">
        <v>8226</v>
      </c>
      <c r="C430" s="6"/>
    </row>
    <row r="431" customFormat="false" ht="15" hidden="false" customHeight="true" outlineLevel="0" collapsed="false">
      <c r="A431" s="6" t="s">
        <v>2919</v>
      </c>
      <c r="B431" s="6" t="s">
        <v>6983</v>
      </c>
      <c r="C431" s="6" t="s">
        <v>8013</v>
      </c>
    </row>
    <row r="432" customFormat="false" ht="15" hidden="false" customHeight="true" outlineLevel="0" collapsed="false">
      <c r="A432" s="6" t="s">
        <v>2919</v>
      </c>
      <c r="B432" s="6" t="s">
        <v>6984</v>
      </c>
      <c r="C432" s="6" t="s">
        <v>8013</v>
      </c>
    </row>
    <row r="433" customFormat="false" ht="15" hidden="false" customHeight="true" outlineLevel="0" collapsed="false">
      <c r="A433" s="6" t="s">
        <v>2919</v>
      </c>
      <c r="B433" s="6" t="s">
        <v>8227</v>
      </c>
      <c r="C433" s="6"/>
    </row>
    <row r="434" customFormat="false" ht="15" hidden="false" customHeight="true" outlineLevel="0" collapsed="false">
      <c r="A434" s="6" t="s">
        <v>2919</v>
      </c>
      <c r="B434" s="6" t="s">
        <v>8228</v>
      </c>
      <c r="C434" s="6"/>
    </row>
    <row r="435" customFormat="false" ht="15" hidden="false" customHeight="true" outlineLevel="0" collapsed="false">
      <c r="A435" s="6" t="s">
        <v>2919</v>
      </c>
      <c r="B435" s="6" t="s">
        <v>8229</v>
      </c>
      <c r="C435" s="6"/>
    </row>
    <row r="436" customFormat="false" ht="15" hidden="false" customHeight="true" outlineLevel="0" collapsed="false">
      <c r="A436" s="6" t="s">
        <v>345</v>
      </c>
      <c r="B436" s="6" t="s">
        <v>345</v>
      </c>
      <c r="C436" s="6" t="s">
        <v>8013</v>
      </c>
    </row>
    <row r="437" customFormat="false" ht="15" hidden="false" customHeight="true" outlineLevel="0" collapsed="false">
      <c r="A437" s="6" t="s">
        <v>345</v>
      </c>
      <c r="B437" s="6" t="s">
        <v>6527</v>
      </c>
      <c r="C437" s="6" t="s">
        <v>8013</v>
      </c>
    </row>
    <row r="438" customFormat="false" ht="15" hidden="false" customHeight="true" outlineLevel="0" collapsed="false">
      <c r="A438" s="6" t="s">
        <v>345</v>
      </c>
      <c r="B438" s="6" t="s">
        <v>8230</v>
      </c>
      <c r="C438" s="6"/>
    </row>
    <row r="439" customFormat="false" ht="15" hidden="false" customHeight="true" outlineLevel="0" collapsed="false">
      <c r="A439" s="6" t="s">
        <v>345</v>
      </c>
      <c r="B439" s="6" t="s">
        <v>8231</v>
      </c>
      <c r="C439" s="6"/>
    </row>
    <row r="440" customFormat="false" ht="15" hidden="false" customHeight="true" outlineLevel="0" collapsed="false">
      <c r="A440" s="6" t="s">
        <v>345</v>
      </c>
      <c r="B440" s="6" t="s">
        <v>8232</v>
      </c>
      <c r="C440" s="6"/>
    </row>
    <row r="441" customFormat="false" ht="15" hidden="false" customHeight="true" outlineLevel="0" collapsed="false">
      <c r="A441" s="6" t="s">
        <v>345</v>
      </c>
      <c r="B441" s="6" t="s">
        <v>8233</v>
      </c>
      <c r="C441" s="6"/>
    </row>
    <row r="442" customFormat="false" ht="15" hidden="false" customHeight="true" outlineLevel="0" collapsed="false">
      <c r="A442" s="6" t="s">
        <v>345</v>
      </c>
      <c r="B442" s="6" t="s">
        <v>8234</v>
      </c>
      <c r="C442" s="6"/>
    </row>
    <row r="443" customFormat="false" ht="15" hidden="false" customHeight="true" outlineLevel="0" collapsed="false">
      <c r="A443" s="6" t="s">
        <v>345</v>
      </c>
      <c r="B443" s="6" t="s">
        <v>8235</v>
      </c>
      <c r="C443" s="6"/>
    </row>
    <row r="444" customFormat="false" ht="15" hidden="false" customHeight="true" outlineLevel="0" collapsed="false">
      <c r="A444" s="6" t="s">
        <v>345</v>
      </c>
      <c r="B444" s="6" t="s">
        <v>8236</v>
      </c>
      <c r="C444" s="6"/>
    </row>
    <row r="445" customFormat="false" ht="15" hidden="false" customHeight="true" outlineLevel="0" collapsed="false">
      <c r="A445" s="6" t="s">
        <v>345</v>
      </c>
      <c r="B445" s="6" t="s">
        <v>8237</v>
      </c>
      <c r="C445" s="6"/>
    </row>
    <row r="446" customFormat="false" ht="15" hidden="false" customHeight="true" outlineLevel="0" collapsed="false">
      <c r="A446" s="6" t="s">
        <v>2957</v>
      </c>
      <c r="B446" s="6" t="s">
        <v>2957</v>
      </c>
      <c r="C446" s="6" t="s">
        <v>8013</v>
      </c>
    </row>
    <row r="447" customFormat="false" ht="15" hidden="false" customHeight="true" outlineLevel="0" collapsed="false">
      <c r="A447" s="6" t="s">
        <v>2957</v>
      </c>
      <c r="B447" s="6" t="s">
        <v>6986</v>
      </c>
      <c r="C447" s="6" t="s">
        <v>8013</v>
      </c>
    </row>
    <row r="448" customFormat="false" ht="15" hidden="false" customHeight="true" outlineLevel="0" collapsed="false">
      <c r="A448" s="6" t="s">
        <v>2957</v>
      </c>
      <c r="B448" s="6" t="s">
        <v>6988</v>
      </c>
      <c r="C448" s="6" t="s">
        <v>8013</v>
      </c>
    </row>
    <row r="449" customFormat="false" ht="15" hidden="false" customHeight="true" outlineLevel="0" collapsed="false">
      <c r="A449" s="6" t="s">
        <v>2957</v>
      </c>
      <c r="B449" s="6" t="s">
        <v>6985</v>
      </c>
      <c r="C449" s="6" t="s">
        <v>8013</v>
      </c>
    </row>
    <row r="450" customFormat="false" ht="15" hidden="false" customHeight="true" outlineLevel="0" collapsed="false">
      <c r="A450" s="6" t="s">
        <v>2957</v>
      </c>
      <c r="B450" s="6" t="s">
        <v>8238</v>
      </c>
      <c r="C450" s="6"/>
    </row>
    <row r="451" customFormat="false" ht="15" hidden="false" customHeight="true" outlineLevel="0" collapsed="false">
      <c r="A451" s="6" t="s">
        <v>2957</v>
      </c>
      <c r="B451" s="6" t="s">
        <v>2961</v>
      </c>
      <c r="C451" s="6" t="s">
        <v>8013</v>
      </c>
    </row>
    <row r="452" customFormat="false" ht="15" hidden="false" customHeight="true" outlineLevel="0" collapsed="false">
      <c r="A452" s="6" t="s">
        <v>2957</v>
      </c>
      <c r="B452" s="6" t="s">
        <v>6989</v>
      </c>
      <c r="C452" s="6" t="s">
        <v>8013</v>
      </c>
    </row>
    <row r="453" customFormat="false" ht="15" hidden="false" customHeight="true" outlineLevel="0" collapsed="false">
      <c r="A453" s="6" t="s">
        <v>2957</v>
      </c>
      <c r="B453" s="6" t="s">
        <v>8239</v>
      </c>
      <c r="C453" s="6"/>
    </row>
    <row r="454" customFormat="false" ht="15" hidden="false" customHeight="true" outlineLevel="0" collapsed="false">
      <c r="A454" s="6" t="s">
        <v>2957</v>
      </c>
      <c r="B454" s="6" t="s">
        <v>6987</v>
      </c>
      <c r="C454" s="6" t="s">
        <v>8013</v>
      </c>
    </row>
    <row r="455" customFormat="false" ht="15" hidden="false" customHeight="true" outlineLevel="0" collapsed="false">
      <c r="A455" s="6" t="s">
        <v>2957</v>
      </c>
      <c r="B455" s="6" t="s">
        <v>8240</v>
      </c>
      <c r="C455" s="6"/>
    </row>
    <row r="456" customFormat="false" ht="15" hidden="false" customHeight="true" outlineLevel="0" collapsed="false">
      <c r="A456" s="6" t="s">
        <v>2992</v>
      </c>
      <c r="B456" s="6" t="s">
        <v>2992</v>
      </c>
      <c r="C456" s="6" t="s">
        <v>8013</v>
      </c>
    </row>
    <row r="457" customFormat="false" ht="15" hidden="false" customHeight="true" outlineLevel="0" collapsed="false">
      <c r="A457" s="6" t="s">
        <v>2992</v>
      </c>
      <c r="B457" s="6" t="s">
        <v>247</v>
      </c>
      <c r="C457" s="6" t="s">
        <v>8013</v>
      </c>
    </row>
    <row r="458" customFormat="false" ht="15" hidden="false" customHeight="true" outlineLevel="0" collapsed="false">
      <c r="A458" s="6" t="s">
        <v>2992</v>
      </c>
      <c r="B458" s="6" t="s">
        <v>287</v>
      </c>
      <c r="C458" s="6" t="s">
        <v>8013</v>
      </c>
    </row>
    <row r="459" customFormat="false" ht="15" hidden="false" customHeight="true" outlineLevel="0" collapsed="false">
      <c r="A459" s="6" t="s">
        <v>2992</v>
      </c>
      <c r="B459" s="6" t="s">
        <v>269</v>
      </c>
      <c r="C459" s="6" t="s">
        <v>8013</v>
      </c>
    </row>
    <row r="460" customFormat="false" ht="15" hidden="false" customHeight="true" outlineLevel="0" collapsed="false">
      <c r="A460" s="6" t="s">
        <v>2992</v>
      </c>
      <c r="B460" s="6" t="s">
        <v>6992</v>
      </c>
      <c r="C460" s="6" t="s">
        <v>8013</v>
      </c>
    </row>
    <row r="461" customFormat="false" ht="15" hidden="false" customHeight="true" outlineLevel="0" collapsed="false">
      <c r="A461" s="6" t="s">
        <v>2992</v>
      </c>
      <c r="B461" s="6" t="s">
        <v>8241</v>
      </c>
      <c r="C461" s="6"/>
    </row>
    <row r="462" customFormat="false" ht="15" hidden="false" customHeight="true" outlineLevel="0" collapsed="false">
      <c r="A462" s="6" t="s">
        <v>2992</v>
      </c>
      <c r="B462" s="6" t="s">
        <v>8242</v>
      </c>
      <c r="C462" s="6"/>
    </row>
    <row r="463" customFormat="false" ht="15" hidden="false" customHeight="true" outlineLevel="0" collapsed="false">
      <c r="A463" s="6" t="s">
        <v>2992</v>
      </c>
      <c r="B463" s="6" t="s">
        <v>6990</v>
      </c>
      <c r="C463" s="6" t="s">
        <v>8013</v>
      </c>
    </row>
    <row r="464" customFormat="false" ht="15" hidden="false" customHeight="true" outlineLevel="0" collapsed="false">
      <c r="A464" s="6" t="s">
        <v>2992</v>
      </c>
      <c r="B464" s="6" t="s">
        <v>6991</v>
      </c>
      <c r="C464" s="6" t="s">
        <v>8013</v>
      </c>
    </row>
    <row r="465" customFormat="false" ht="15" hidden="false" customHeight="true" outlineLevel="0" collapsed="false">
      <c r="A465" s="6" t="s">
        <v>2992</v>
      </c>
      <c r="B465" s="6" t="s">
        <v>8243</v>
      </c>
      <c r="C465" s="6"/>
    </row>
    <row r="466" customFormat="false" ht="15" hidden="false" customHeight="true" outlineLevel="0" collapsed="false">
      <c r="A466" s="6" t="s">
        <v>2945</v>
      </c>
      <c r="B466" s="6" t="s">
        <v>2945</v>
      </c>
      <c r="C466" s="6" t="s">
        <v>8013</v>
      </c>
    </row>
    <row r="467" customFormat="false" ht="15" hidden="false" customHeight="true" outlineLevel="0" collapsed="false">
      <c r="A467" s="6" t="s">
        <v>2945</v>
      </c>
      <c r="B467" s="6" t="s">
        <v>6994</v>
      </c>
      <c r="C467" s="6" t="s">
        <v>8013</v>
      </c>
    </row>
    <row r="468" customFormat="false" ht="15" hidden="false" customHeight="true" outlineLevel="0" collapsed="false">
      <c r="A468" s="6" t="s">
        <v>2945</v>
      </c>
      <c r="B468" s="6" t="s">
        <v>8244</v>
      </c>
      <c r="C468" s="6"/>
    </row>
    <row r="469" customFormat="false" ht="15" hidden="false" customHeight="true" outlineLevel="0" collapsed="false">
      <c r="A469" s="6" t="s">
        <v>2945</v>
      </c>
      <c r="B469" s="6" t="s">
        <v>8245</v>
      </c>
      <c r="C469" s="6"/>
    </row>
    <row r="470" customFormat="false" ht="15" hidden="false" customHeight="true" outlineLevel="0" collapsed="false">
      <c r="A470" s="6" t="s">
        <v>2945</v>
      </c>
      <c r="B470" s="6" t="s">
        <v>6995</v>
      </c>
      <c r="C470" s="6" t="s">
        <v>8013</v>
      </c>
    </row>
    <row r="471" customFormat="false" ht="15" hidden="false" customHeight="true" outlineLevel="0" collapsed="false">
      <c r="A471" s="6" t="s">
        <v>2945</v>
      </c>
      <c r="B471" s="6" t="s">
        <v>6996</v>
      </c>
      <c r="C471" s="6" t="s">
        <v>8013</v>
      </c>
    </row>
    <row r="472" customFormat="false" ht="15" hidden="false" customHeight="true" outlineLevel="0" collapsed="false">
      <c r="A472" s="6" t="s">
        <v>2945</v>
      </c>
      <c r="B472" s="6" t="s">
        <v>6993</v>
      </c>
      <c r="C472" s="6" t="s">
        <v>8013</v>
      </c>
    </row>
    <row r="473" customFormat="false" ht="15" hidden="false" customHeight="true" outlineLevel="0" collapsed="false">
      <c r="A473" s="6" t="s">
        <v>2945</v>
      </c>
      <c r="B473" s="6" t="s">
        <v>8246</v>
      </c>
      <c r="C473" s="6"/>
    </row>
    <row r="474" customFormat="false" ht="15" hidden="false" customHeight="true" outlineLevel="0" collapsed="false">
      <c r="A474" s="6" t="s">
        <v>2945</v>
      </c>
      <c r="B474" s="6" t="s">
        <v>8247</v>
      </c>
      <c r="C474" s="6"/>
    </row>
    <row r="475" customFormat="false" ht="15" hidden="false" customHeight="true" outlineLevel="0" collapsed="false">
      <c r="A475" s="6" t="s">
        <v>2945</v>
      </c>
      <c r="B475" s="6" t="s">
        <v>8248</v>
      </c>
      <c r="C475" s="6"/>
    </row>
    <row r="476" customFormat="false" ht="15" hidden="false" customHeight="true" outlineLevel="0" collapsed="false">
      <c r="A476" s="6" t="s">
        <v>3002</v>
      </c>
      <c r="B476" s="6" t="s">
        <v>8249</v>
      </c>
      <c r="C476" s="6"/>
    </row>
    <row r="477" customFormat="false" ht="15" hidden="false" customHeight="true" outlineLevel="0" collapsed="false">
      <c r="A477" s="6" t="s">
        <v>3002</v>
      </c>
      <c r="B477" s="6" t="s">
        <v>8250</v>
      </c>
      <c r="C477" s="6"/>
    </row>
    <row r="478" customFormat="false" ht="15" hidden="false" customHeight="true" outlineLevel="0" collapsed="false">
      <c r="A478" s="6" t="s">
        <v>3002</v>
      </c>
      <c r="B478" s="6" t="s">
        <v>3002</v>
      </c>
      <c r="C478" s="6" t="s">
        <v>8013</v>
      </c>
    </row>
    <row r="479" customFormat="false" ht="15" hidden="false" customHeight="true" outlineLevel="0" collapsed="false">
      <c r="A479" s="6" t="s">
        <v>3002</v>
      </c>
      <c r="B479" s="6" t="s">
        <v>8251</v>
      </c>
      <c r="C479" s="6"/>
    </row>
    <row r="480" customFormat="false" ht="15" hidden="false" customHeight="true" outlineLevel="0" collapsed="false">
      <c r="A480" s="6" t="s">
        <v>3002</v>
      </c>
      <c r="B480" s="6" t="s">
        <v>6998</v>
      </c>
      <c r="C480" s="6" t="s">
        <v>8013</v>
      </c>
    </row>
    <row r="481" customFormat="false" ht="15" hidden="false" customHeight="true" outlineLevel="0" collapsed="false">
      <c r="A481" s="6" t="s">
        <v>3002</v>
      </c>
      <c r="B481" s="6" t="s">
        <v>8252</v>
      </c>
      <c r="C481" s="6"/>
    </row>
    <row r="482" customFormat="false" ht="15" hidden="false" customHeight="true" outlineLevel="0" collapsed="false">
      <c r="A482" s="6" t="s">
        <v>3002</v>
      </c>
      <c r="B482" s="6" t="s">
        <v>8253</v>
      </c>
      <c r="C482" s="6"/>
    </row>
    <row r="483" customFormat="false" ht="15" hidden="false" customHeight="true" outlineLevel="0" collapsed="false">
      <c r="A483" s="6" t="s">
        <v>3002</v>
      </c>
      <c r="B483" s="6" t="s">
        <v>6997</v>
      </c>
      <c r="C483" s="6" t="s">
        <v>8013</v>
      </c>
    </row>
    <row r="484" customFormat="false" ht="15" hidden="false" customHeight="true" outlineLevel="0" collapsed="false">
      <c r="A484" s="6" t="s">
        <v>3002</v>
      </c>
      <c r="B484" s="6" t="s">
        <v>8254</v>
      </c>
      <c r="C484" s="6"/>
    </row>
    <row r="485" customFormat="false" ht="15" hidden="false" customHeight="true" outlineLevel="0" collapsed="false">
      <c r="A485" s="6" t="s">
        <v>3002</v>
      </c>
      <c r="B485" s="6" t="s">
        <v>8255</v>
      </c>
      <c r="C485" s="6"/>
    </row>
    <row r="486" customFormat="false" ht="15" hidden="false" customHeight="true" outlineLevel="0" collapsed="false">
      <c r="A486" s="6" t="s">
        <v>3013</v>
      </c>
      <c r="B486" s="6" t="s">
        <v>3013</v>
      </c>
      <c r="C486" s="6" t="s">
        <v>8013</v>
      </c>
    </row>
    <row r="487" customFormat="false" ht="15" hidden="false" customHeight="true" outlineLevel="0" collapsed="false">
      <c r="A487" s="6" t="s">
        <v>3013</v>
      </c>
      <c r="B487" s="6" t="s">
        <v>7000</v>
      </c>
      <c r="C487" s="6" t="s">
        <v>8013</v>
      </c>
    </row>
    <row r="488" customFormat="false" ht="15" hidden="false" customHeight="true" outlineLevel="0" collapsed="false">
      <c r="A488" s="6" t="s">
        <v>3013</v>
      </c>
      <c r="B488" s="6" t="s">
        <v>7003</v>
      </c>
      <c r="C488" s="6" t="s">
        <v>8013</v>
      </c>
    </row>
    <row r="489" customFormat="false" ht="15" hidden="false" customHeight="true" outlineLevel="0" collapsed="false">
      <c r="A489" s="6" t="s">
        <v>3013</v>
      </c>
      <c r="B489" s="6" t="s">
        <v>7001</v>
      </c>
      <c r="C489" s="6" t="s">
        <v>8013</v>
      </c>
    </row>
    <row r="490" customFormat="false" ht="15" hidden="false" customHeight="true" outlineLevel="0" collapsed="false">
      <c r="A490" s="6" t="s">
        <v>3013</v>
      </c>
      <c r="B490" s="6" t="s">
        <v>8256</v>
      </c>
      <c r="C490" s="6"/>
    </row>
    <row r="491" customFormat="false" ht="15" hidden="false" customHeight="true" outlineLevel="0" collapsed="false">
      <c r="A491" s="6" t="s">
        <v>3013</v>
      </c>
      <c r="B491" s="6" t="s">
        <v>3016</v>
      </c>
      <c r="C491" s="6" t="s">
        <v>8013</v>
      </c>
    </row>
    <row r="492" customFormat="false" ht="15" hidden="false" customHeight="true" outlineLevel="0" collapsed="false">
      <c r="A492" s="6" t="s">
        <v>3013</v>
      </c>
      <c r="B492" s="6" t="s">
        <v>3017</v>
      </c>
      <c r="C492" s="6" t="s">
        <v>8013</v>
      </c>
    </row>
    <row r="493" customFormat="false" ht="15" hidden="false" customHeight="true" outlineLevel="0" collapsed="false">
      <c r="A493" s="6" t="s">
        <v>3013</v>
      </c>
      <c r="B493" s="6" t="s">
        <v>7002</v>
      </c>
      <c r="C493" s="6" t="s">
        <v>8013</v>
      </c>
    </row>
    <row r="494" customFormat="false" ht="15" hidden="false" customHeight="true" outlineLevel="0" collapsed="false">
      <c r="A494" s="6" t="s">
        <v>3013</v>
      </c>
      <c r="B494" s="6" t="s">
        <v>6999</v>
      </c>
      <c r="C494" s="6" t="s">
        <v>8013</v>
      </c>
    </row>
    <row r="495" customFormat="false" ht="15" hidden="false" customHeight="true" outlineLevel="0" collapsed="false">
      <c r="A495" s="6" t="s">
        <v>3013</v>
      </c>
      <c r="B495" s="6" t="s">
        <v>8257</v>
      </c>
      <c r="C495" s="6"/>
    </row>
    <row r="496" customFormat="false" ht="15" hidden="false" customHeight="true" outlineLevel="0" collapsed="false">
      <c r="A496" s="6" t="s">
        <v>6530</v>
      </c>
      <c r="B496" s="6" t="s">
        <v>6530</v>
      </c>
      <c r="C496" s="6" t="s">
        <v>8013</v>
      </c>
    </row>
    <row r="497" customFormat="false" ht="15" hidden="false" customHeight="true" outlineLevel="0" collapsed="false">
      <c r="A497" s="6" t="s">
        <v>6530</v>
      </c>
      <c r="B497" s="6" t="s">
        <v>6532</v>
      </c>
      <c r="C497" s="6" t="s">
        <v>8013</v>
      </c>
    </row>
    <row r="498" customFormat="false" ht="15" hidden="false" customHeight="true" outlineLevel="0" collapsed="false">
      <c r="A498" s="6" t="s">
        <v>6530</v>
      </c>
      <c r="B498" s="6" t="s">
        <v>8258</v>
      </c>
      <c r="C498" s="6"/>
    </row>
    <row r="499" customFormat="false" ht="15" hidden="false" customHeight="true" outlineLevel="0" collapsed="false">
      <c r="A499" s="6" t="s">
        <v>6530</v>
      </c>
      <c r="B499" s="6" t="s">
        <v>8259</v>
      </c>
      <c r="C499" s="6"/>
    </row>
    <row r="500" customFormat="false" ht="15" hidden="false" customHeight="true" outlineLevel="0" collapsed="false">
      <c r="A500" s="6" t="s">
        <v>6530</v>
      </c>
      <c r="B500" s="6" t="s">
        <v>8260</v>
      </c>
      <c r="C500" s="6"/>
    </row>
    <row r="501" customFormat="false" ht="15" hidden="false" customHeight="true" outlineLevel="0" collapsed="false">
      <c r="A501" s="6" t="s">
        <v>6530</v>
      </c>
      <c r="B501" s="6" t="s">
        <v>8261</v>
      </c>
      <c r="C501" s="6"/>
    </row>
    <row r="502" customFormat="false" ht="15" hidden="false" customHeight="true" outlineLevel="0" collapsed="false">
      <c r="A502" s="6" t="s">
        <v>6530</v>
      </c>
      <c r="B502" s="6" t="s">
        <v>8262</v>
      </c>
      <c r="C502" s="6"/>
    </row>
    <row r="503" customFormat="false" ht="15" hidden="false" customHeight="true" outlineLevel="0" collapsed="false">
      <c r="A503" s="6" t="s">
        <v>6530</v>
      </c>
      <c r="B503" s="6" t="s">
        <v>8263</v>
      </c>
      <c r="C503" s="6"/>
    </row>
    <row r="504" customFormat="false" ht="15" hidden="false" customHeight="true" outlineLevel="0" collapsed="false">
      <c r="A504" s="6" t="s">
        <v>6530</v>
      </c>
      <c r="B504" s="6" t="s">
        <v>8264</v>
      </c>
      <c r="C504" s="6"/>
    </row>
    <row r="505" customFormat="false" ht="15" hidden="false" customHeight="true" outlineLevel="0" collapsed="false">
      <c r="A505" s="6" t="s">
        <v>6530</v>
      </c>
      <c r="B505" s="6" t="s">
        <v>8265</v>
      </c>
      <c r="C505" s="6"/>
    </row>
    <row r="506" customFormat="false" ht="15" hidden="false" customHeight="true" outlineLevel="0" collapsed="false">
      <c r="A506" s="6" t="s">
        <v>2968</v>
      </c>
      <c r="B506" s="6" t="s">
        <v>2968</v>
      </c>
      <c r="C506" s="6" t="s">
        <v>8013</v>
      </c>
    </row>
    <row r="507" customFormat="false" ht="15" hidden="false" customHeight="true" outlineLevel="0" collapsed="false">
      <c r="A507" s="6" t="s">
        <v>2968</v>
      </c>
      <c r="B507" s="6" t="s">
        <v>8266</v>
      </c>
      <c r="C507" s="6"/>
    </row>
    <row r="508" customFormat="false" ht="15" hidden="false" customHeight="true" outlineLevel="0" collapsed="false">
      <c r="A508" s="6" t="s">
        <v>2968</v>
      </c>
      <c r="B508" s="6" t="s">
        <v>8267</v>
      </c>
      <c r="C508" s="6"/>
    </row>
    <row r="509" customFormat="false" ht="15" hidden="false" customHeight="true" outlineLevel="0" collapsed="false">
      <c r="A509" s="6" t="s">
        <v>2968</v>
      </c>
      <c r="B509" s="6" t="s">
        <v>7007</v>
      </c>
      <c r="C509" s="6" t="s">
        <v>8013</v>
      </c>
    </row>
    <row r="510" customFormat="false" ht="15" hidden="false" customHeight="true" outlineLevel="0" collapsed="false">
      <c r="A510" s="6" t="s">
        <v>2968</v>
      </c>
      <c r="B510" s="6" t="s">
        <v>7005</v>
      </c>
      <c r="C510" s="6" t="s">
        <v>8013</v>
      </c>
    </row>
    <row r="511" customFormat="false" ht="15" hidden="false" customHeight="true" outlineLevel="0" collapsed="false">
      <c r="A511" s="6" t="s">
        <v>2968</v>
      </c>
      <c r="B511" s="6" t="s">
        <v>7008</v>
      </c>
      <c r="C511" s="6" t="s">
        <v>8013</v>
      </c>
    </row>
    <row r="512" customFormat="false" ht="15" hidden="false" customHeight="true" outlineLevel="0" collapsed="false">
      <c r="A512" s="6" t="s">
        <v>2968</v>
      </c>
      <c r="B512" s="6" t="s">
        <v>2971</v>
      </c>
      <c r="C512" s="6" t="s">
        <v>8013</v>
      </c>
    </row>
    <row r="513" customFormat="false" ht="15" hidden="false" customHeight="true" outlineLevel="0" collapsed="false">
      <c r="A513" s="6" t="s">
        <v>2968</v>
      </c>
      <c r="B513" s="6" t="s">
        <v>7004</v>
      </c>
      <c r="C513" s="6" t="s">
        <v>8013</v>
      </c>
    </row>
    <row r="514" customFormat="false" ht="15" hidden="false" customHeight="true" outlineLevel="0" collapsed="false">
      <c r="A514" s="6" t="s">
        <v>2968</v>
      </c>
      <c r="B514" s="6" t="s">
        <v>7006</v>
      </c>
      <c r="C514" s="6" t="s">
        <v>8013</v>
      </c>
    </row>
    <row r="515" customFormat="false" ht="15" hidden="false" customHeight="true" outlineLevel="0" collapsed="false">
      <c r="A515" s="6" t="s">
        <v>2968</v>
      </c>
      <c r="B515" s="6" t="s">
        <v>8268</v>
      </c>
      <c r="C515" s="6"/>
    </row>
    <row r="516" customFormat="false" ht="15" hidden="false" customHeight="true" outlineLevel="0" collapsed="false">
      <c r="A516" s="6" t="s">
        <v>3065</v>
      </c>
      <c r="B516" s="6" t="s">
        <v>3065</v>
      </c>
      <c r="C516" s="6" t="s">
        <v>8013</v>
      </c>
    </row>
    <row r="517" customFormat="false" ht="15" hidden="false" customHeight="true" outlineLevel="0" collapsed="false">
      <c r="A517" s="6" t="s">
        <v>3065</v>
      </c>
      <c r="B517" s="6" t="s">
        <v>7009</v>
      </c>
      <c r="C517" s="6" t="s">
        <v>8013</v>
      </c>
    </row>
    <row r="518" customFormat="false" ht="15" hidden="false" customHeight="true" outlineLevel="0" collapsed="false">
      <c r="A518" s="6" t="s">
        <v>3065</v>
      </c>
      <c r="B518" s="6" t="s">
        <v>7011</v>
      </c>
      <c r="C518" s="6" t="s">
        <v>8013</v>
      </c>
    </row>
    <row r="519" customFormat="false" ht="15" hidden="false" customHeight="true" outlineLevel="0" collapsed="false">
      <c r="A519" s="6" t="s">
        <v>3065</v>
      </c>
      <c r="B519" s="6" t="s">
        <v>8269</v>
      </c>
      <c r="C519" s="6"/>
    </row>
    <row r="520" customFormat="false" ht="15" hidden="false" customHeight="true" outlineLevel="0" collapsed="false">
      <c r="A520" s="6" t="s">
        <v>3065</v>
      </c>
      <c r="B520" s="6" t="s">
        <v>8270</v>
      </c>
      <c r="C520" s="6"/>
    </row>
    <row r="521" customFormat="false" ht="15" hidden="false" customHeight="true" outlineLevel="0" collapsed="false">
      <c r="A521" s="6" t="s">
        <v>3065</v>
      </c>
      <c r="B521" s="6" t="s">
        <v>8271</v>
      </c>
      <c r="C521" s="6"/>
    </row>
    <row r="522" customFormat="false" ht="15" hidden="false" customHeight="true" outlineLevel="0" collapsed="false">
      <c r="A522" s="6" t="s">
        <v>3065</v>
      </c>
      <c r="B522" s="6" t="s">
        <v>7010</v>
      </c>
      <c r="C522" s="6" t="s">
        <v>8013</v>
      </c>
    </row>
    <row r="523" customFormat="false" ht="15" hidden="false" customHeight="true" outlineLevel="0" collapsed="false">
      <c r="A523" s="6" t="s">
        <v>3065</v>
      </c>
      <c r="B523" s="6" t="s">
        <v>8272</v>
      </c>
      <c r="C523" s="6"/>
    </row>
    <row r="524" customFormat="false" ht="15" hidden="false" customHeight="true" outlineLevel="0" collapsed="false">
      <c r="A524" s="6" t="s">
        <v>3065</v>
      </c>
      <c r="B524" s="6" t="s">
        <v>8273</v>
      </c>
      <c r="C524" s="6"/>
    </row>
    <row r="525" customFormat="false" ht="15" hidden="false" customHeight="true" outlineLevel="0" collapsed="false">
      <c r="A525" s="6" t="s">
        <v>3065</v>
      </c>
      <c r="B525" s="6" t="s">
        <v>7012</v>
      </c>
      <c r="C525" s="6" t="s">
        <v>8013</v>
      </c>
    </row>
    <row r="526" customFormat="false" ht="15" hidden="false" customHeight="true" outlineLevel="0" collapsed="false">
      <c r="A526" s="6" t="s">
        <v>3047</v>
      </c>
      <c r="B526" s="6" t="s">
        <v>3047</v>
      </c>
      <c r="C526" s="6" t="s">
        <v>8013</v>
      </c>
    </row>
    <row r="527" customFormat="false" ht="15" hidden="false" customHeight="true" outlineLevel="0" collapsed="false">
      <c r="A527" s="6" t="s">
        <v>3047</v>
      </c>
      <c r="B527" s="6" t="s">
        <v>8274</v>
      </c>
      <c r="C527" s="6"/>
    </row>
    <row r="528" customFormat="false" ht="15" hidden="false" customHeight="true" outlineLevel="0" collapsed="false">
      <c r="A528" s="6" t="s">
        <v>3047</v>
      </c>
      <c r="B528" s="6" t="s">
        <v>3076</v>
      </c>
      <c r="C528" s="6" t="s">
        <v>8013</v>
      </c>
    </row>
    <row r="529" customFormat="false" ht="15" hidden="false" customHeight="true" outlineLevel="0" collapsed="false">
      <c r="A529" s="6" t="s">
        <v>3047</v>
      </c>
      <c r="B529" s="6" t="s">
        <v>7020</v>
      </c>
      <c r="C529" s="6" t="s">
        <v>8013</v>
      </c>
    </row>
    <row r="530" customFormat="false" ht="15" hidden="false" customHeight="true" outlineLevel="0" collapsed="false">
      <c r="A530" s="6" t="s">
        <v>3047</v>
      </c>
      <c r="B530" s="6" t="s">
        <v>8275</v>
      </c>
      <c r="C530" s="6"/>
    </row>
    <row r="531" customFormat="false" ht="15" hidden="false" customHeight="true" outlineLevel="0" collapsed="false">
      <c r="A531" s="6" t="s">
        <v>3047</v>
      </c>
      <c r="B531" s="6" t="s">
        <v>3051</v>
      </c>
      <c r="C531" s="6" t="s">
        <v>8013</v>
      </c>
    </row>
    <row r="532" customFormat="false" ht="15" hidden="false" customHeight="true" outlineLevel="0" collapsed="false">
      <c r="A532" s="6" t="s">
        <v>3047</v>
      </c>
      <c r="B532" s="6" t="s">
        <v>3080</v>
      </c>
      <c r="C532" s="6" t="s">
        <v>8013</v>
      </c>
    </row>
    <row r="533" customFormat="false" ht="15" hidden="false" customHeight="true" outlineLevel="0" collapsed="false">
      <c r="A533" s="6" t="s">
        <v>3047</v>
      </c>
      <c r="B533" s="6" t="s">
        <v>7019</v>
      </c>
      <c r="C533" s="6" t="s">
        <v>8013</v>
      </c>
    </row>
    <row r="534" customFormat="false" ht="15" hidden="false" customHeight="true" outlineLevel="0" collapsed="false">
      <c r="A534" s="6" t="s">
        <v>3047</v>
      </c>
      <c r="B534" s="6" t="s">
        <v>7013</v>
      </c>
      <c r="C534" s="6" t="s">
        <v>8013</v>
      </c>
    </row>
    <row r="535" customFormat="false" ht="15" hidden="false" customHeight="true" outlineLevel="0" collapsed="false">
      <c r="A535" s="6" t="s">
        <v>3047</v>
      </c>
      <c r="B535" s="6" t="s">
        <v>7018</v>
      </c>
      <c r="C535" s="6" t="s">
        <v>8013</v>
      </c>
    </row>
    <row r="536" customFormat="false" ht="15" hidden="false" customHeight="true" outlineLevel="0" collapsed="false">
      <c r="A536" s="6" t="s">
        <v>3076</v>
      </c>
      <c r="B536" s="6" t="s">
        <v>3076</v>
      </c>
      <c r="C536" s="6" t="s">
        <v>8013</v>
      </c>
    </row>
    <row r="537" customFormat="false" ht="15" hidden="false" customHeight="true" outlineLevel="0" collapsed="false">
      <c r="A537" s="6" t="s">
        <v>3076</v>
      </c>
      <c r="B537" s="6" t="s">
        <v>3080</v>
      </c>
      <c r="C537" s="6" t="s">
        <v>8013</v>
      </c>
    </row>
    <row r="538" customFormat="false" ht="15" hidden="false" customHeight="true" outlineLevel="0" collapsed="false">
      <c r="A538" s="6" t="s">
        <v>3076</v>
      </c>
      <c r="B538" s="6" t="s">
        <v>7013</v>
      </c>
      <c r="C538" s="6" t="s">
        <v>8013</v>
      </c>
    </row>
    <row r="539" customFormat="false" ht="15" hidden="false" customHeight="true" outlineLevel="0" collapsed="false">
      <c r="A539" s="6" t="s">
        <v>3076</v>
      </c>
      <c r="B539" s="6" t="s">
        <v>7017</v>
      </c>
      <c r="C539" s="6" t="s">
        <v>8013</v>
      </c>
    </row>
    <row r="540" customFormat="false" ht="15" hidden="false" customHeight="true" outlineLevel="0" collapsed="false">
      <c r="A540" s="6" t="s">
        <v>3076</v>
      </c>
      <c r="B540" s="6" t="s">
        <v>7014</v>
      </c>
      <c r="C540" s="6" t="s">
        <v>8013</v>
      </c>
    </row>
    <row r="541" customFormat="false" ht="15" hidden="false" customHeight="true" outlineLevel="0" collapsed="false">
      <c r="A541" s="6" t="s">
        <v>3076</v>
      </c>
      <c r="B541" s="6" t="s">
        <v>7015</v>
      </c>
      <c r="C541" s="6" t="s">
        <v>8013</v>
      </c>
    </row>
    <row r="542" customFormat="false" ht="15" hidden="false" customHeight="true" outlineLevel="0" collapsed="false">
      <c r="A542" s="6" t="s">
        <v>3076</v>
      </c>
      <c r="B542" s="6" t="s">
        <v>7016</v>
      </c>
      <c r="C542" s="6" t="s">
        <v>8013</v>
      </c>
    </row>
    <row r="543" customFormat="false" ht="15" hidden="false" customHeight="true" outlineLevel="0" collapsed="false">
      <c r="A543" s="6" t="s">
        <v>3076</v>
      </c>
      <c r="B543" s="6" t="s">
        <v>8276</v>
      </c>
      <c r="C543" s="6"/>
    </row>
    <row r="544" customFormat="false" ht="15" hidden="false" customHeight="true" outlineLevel="0" collapsed="false">
      <c r="A544" s="6" t="s">
        <v>3076</v>
      </c>
      <c r="B544" s="6" t="s">
        <v>8277</v>
      </c>
      <c r="C544" s="6"/>
    </row>
    <row r="545" customFormat="false" ht="15" hidden="false" customHeight="true" outlineLevel="0" collapsed="false">
      <c r="A545" s="6" t="s">
        <v>3076</v>
      </c>
      <c r="B545" s="6" t="s">
        <v>8278</v>
      </c>
      <c r="C545" s="6"/>
    </row>
    <row r="546" customFormat="false" ht="15" hidden="false" customHeight="true" outlineLevel="0" collapsed="false">
      <c r="A546" s="6" t="s">
        <v>325</v>
      </c>
      <c r="B546" s="6" t="s">
        <v>325</v>
      </c>
      <c r="C546" s="6" t="s">
        <v>8013</v>
      </c>
    </row>
    <row r="547" customFormat="false" ht="15" hidden="false" customHeight="true" outlineLevel="0" collapsed="false">
      <c r="A547" s="6" t="s">
        <v>325</v>
      </c>
      <c r="B547" s="6" t="s">
        <v>8279</v>
      </c>
      <c r="C547" s="6"/>
    </row>
    <row r="548" customFormat="false" ht="15" hidden="false" customHeight="true" outlineLevel="0" collapsed="false">
      <c r="A548" s="6" t="s">
        <v>325</v>
      </c>
      <c r="B548" s="6" t="s">
        <v>8280</v>
      </c>
      <c r="C548" s="6"/>
    </row>
    <row r="549" customFormat="false" ht="15" hidden="false" customHeight="true" outlineLevel="0" collapsed="false">
      <c r="A549" s="6" t="s">
        <v>325</v>
      </c>
      <c r="B549" s="6" t="s">
        <v>8281</v>
      </c>
      <c r="C549" s="6"/>
    </row>
    <row r="550" customFormat="false" ht="15" hidden="false" customHeight="true" outlineLevel="0" collapsed="false">
      <c r="A550" s="6" t="s">
        <v>325</v>
      </c>
      <c r="B550" s="6" t="s">
        <v>8282</v>
      </c>
      <c r="C550" s="6"/>
    </row>
    <row r="551" customFormat="false" ht="15" hidden="false" customHeight="true" outlineLevel="0" collapsed="false">
      <c r="A551" s="6" t="s">
        <v>325</v>
      </c>
      <c r="B551" s="6" t="s">
        <v>8283</v>
      </c>
      <c r="C551" s="6"/>
    </row>
    <row r="552" customFormat="false" ht="15" hidden="false" customHeight="true" outlineLevel="0" collapsed="false">
      <c r="A552" s="6" t="s">
        <v>325</v>
      </c>
      <c r="B552" s="6" t="s">
        <v>8284</v>
      </c>
      <c r="C552" s="6"/>
    </row>
    <row r="553" customFormat="false" ht="15" hidden="false" customHeight="true" outlineLevel="0" collapsed="false">
      <c r="A553" s="6" t="s">
        <v>325</v>
      </c>
      <c r="B553" s="6" t="s">
        <v>8285</v>
      </c>
      <c r="C553" s="6"/>
    </row>
    <row r="554" customFormat="false" ht="15" hidden="false" customHeight="true" outlineLevel="0" collapsed="false">
      <c r="A554" s="6" t="s">
        <v>325</v>
      </c>
      <c r="B554" s="6" t="s">
        <v>8286</v>
      </c>
      <c r="C554" s="6"/>
    </row>
    <row r="555" customFormat="false" ht="15" hidden="false" customHeight="true" outlineLevel="0" collapsed="false">
      <c r="A555" s="6" t="s">
        <v>325</v>
      </c>
      <c r="B555" s="6" t="s">
        <v>8287</v>
      </c>
      <c r="C555" s="6"/>
    </row>
    <row r="556" customFormat="false" ht="15" hidden="false" customHeight="true" outlineLevel="0" collapsed="false">
      <c r="A556" s="6" t="s">
        <v>8288</v>
      </c>
      <c r="B556" s="6" t="s">
        <v>6814</v>
      </c>
      <c r="C556" s="6" t="s">
        <v>8013</v>
      </c>
    </row>
    <row r="557" customFormat="false" ht="15" hidden="false" customHeight="true" outlineLevel="0" collapsed="false">
      <c r="A557" s="6" t="s">
        <v>8288</v>
      </c>
      <c r="B557" s="6" t="s">
        <v>6812</v>
      </c>
      <c r="C557" s="6" t="s">
        <v>8013</v>
      </c>
    </row>
    <row r="558" customFormat="false" ht="15" hidden="false" customHeight="true" outlineLevel="0" collapsed="false">
      <c r="A558" s="6" t="s">
        <v>8288</v>
      </c>
      <c r="B558" s="6" t="s">
        <v>6813</v>
      </c>
      <c r="C558" s="6" t="s">
        <v>8013</v>
      </c>
    </row>
    <row r="559" customFormat="false" ht="15" hidden="false" customHeight="true" outlineLevel="0" collapsed="false">
      <c r="A559" s="6" t="s">
        <v>8288</v>
      </c>
      <c r="B559" s="6" t="s">
        <v>6825</v>
      </c>
      <c r="C559" s="6" t="s">
        <v>8013</v>
      </c>
    </row>
    <row r="560" customFormat="false" ht="15" hidden="false" customHeight="true" outlineLevel="0" collapsed="false">
      <c r="A560" s="6" t="s">
        <v>8288</v>
      </c>
      <c r="B560" s="6" t="s">
        <v>6826</v>
      </c>
      <c r="C560" s="6" t="s">
        <v>8013</v>
      </c>
    </row>
    <row r="561" customFormat="false" ht="15" hidden="false" customHeight="true" outlineLevel="0" collapsed="false">
      <c r="A561" s="6" t="s">
        <v>8288</v>
      </c>
      <c r="B561" s="6" t="s">
        <v>8289</v>
      </c>
      <c r="C561" s="6"/>
    </row>
    <row r="562" customFormat="false" ht="15" hidden="false" customHeight="true" outlineLevel="0" collapsed="false">
      <c r="A562" s="6" t="s">
        <v>8288</v>
      </c>
      <c r="B562" s="6" t="s">
        <v>8290</v>
      </c>
      <c r="C562" s="6"/>
    </row>
    <row r="563" customFormat="false" ht="15" hidden="false" customHeight="true" outlineLevel="0" collapsed="false">
      <c r="A563" s="6" t="s">
        <v>8288</v>
      </c>
      <c r="B563" s="6" t="s">
        <v>6829</v>
      </c>
      <c r="C563" s="6" t="s">
        <v>8013</v>
      </c>
    </row>
    <row r="564" customFormat="false" ht="15" hidden="false" customHeight="true" outlineLevel="0" collapsed="false">
      <c r="A564" s="6" t="s">
        <v>6815</v>
      </c>
      <c r="B564" s="6" t="s">
        <v>6820</v>
      </c>
      <c r="C564" s="6" t="s">
        <v>8013</v>
      </c>
    </row>
    <row r="565" customFormat="false" ht="15" hidden="false" customHeight="true" outlineLevel="0" collapsed="false">
      <c r="A565" s="6" t="s">
        <v>6815</v>
      </c>
      <c r="B565" s="6" t="s">
        <v>6819</v>
      </c>
      <c r="C565" s="6" t="s">
        <v>8013</v>
      </c>
    </row>
    <row r="566" customFormat="false" ht="15" hidden="false" customHeight="true" outlineLevel="0" collapsed="false">
      <c r="A566" s="6" t="s">
        <v>6815</v>
      </c>
      <c r="B566" s="6" t="s">
        <v>6822</v>
      </c>
      <c r="C566" s="6" t="s">
        <v>8013</v>
      </c>
    </row>
    <row r="567" customFormat="false" ht="15" hidden="false" customHeight="true" outlineLevel="0" collapsed="false">
      <c r="A567" s="6" t="s">
        <v>6815</v>
      </c>
      <c r="B567" s="6" t="s">
        <v>6816</v>
      </c>
      <c r="C567" s="6" t="s">
        <v>8013</v>
      </c>
    </row>
    <row r="568" customFormat="false" ht="15" hidden="false" customHeight="true" outlineLevel="0" collapsed="false">
      <c r="A568" s="6" t="s">
        <v>6815</v>
      </c>
      <c r="B568" s="6" t="s">
        <v>6815</v>
      </c>
      <c r="C568" s="6" t="s">
        <v>8013</v>
      </c>
    </row>
    <row r="569" customFormat="false" ht="15" hidden="false" customHeight="true" outlineLevel="0" collapsed="false">
      <c r="A569" s="6" t="s">
        <v>6815</v>
      </c>
      <c r="B569" s="6" t="s">
        <v>6817</v>
      </c>
      <c r="C569" s="6" t="s">
        <v>8013</v>
      </c>
    </row>
    <row r="570" customFormat="false" ht="15" hidden="false" customHeight="true" outlineLevel="0" collapsed="false">
      <c r="A570" s="6" t="s">
        <v>6815</v>
      </c>
      <c r="B570" s="6" t="s">
        <v>6818</v>
      </c>
      <c r="C570" s="6" t="s">
        <v>8013</v>
      </c>
    </row>
    <row r="571" customFormat="false" ht="15" hidden="false" customHeight="true" outlineLevel="0" collapsed="false">
      <c r="A571" s="6" t="s">
        <v>6815</v>
      </c>
      <c r="B571" s="6" t="s">
        <v>6823</v>
      </c>
      <c r="C571" s="6" t="s">
        <v>8013</v>
      </c>
    </row>
    <row r="572" customFormat="false" ht="15" hidden="false" customHeight="true" outlineLevel="0" collapsed="false">
      <c r="A572" s="6" t="s">
        <v>6815</v>
      </c>
      <c r="B572" s="6" t="s">
        <v>6824</v>
      </c>
      <c r="C572" s="6" t="s">
        <v>8013</v>
      </c>
    </row>
    <row r="573" customFormat="false" ht="15" hidden="false" customHeight="true" outlineLevel="0" collapsed="false">
      <c r="A573" s="6" t="s">
        <v>6815</v>
      </c>
      <c r="B573" s="6" t="s">
        <v>6821</v>
      </c>
      <c r="C573" s="6" t="s">
        <v>8013</v>
      </c>
    </row>
    <row r="574" customFormat="false" ht="15" hidden="false" customHeight="true" outlineLevel="0" collapsed="false">
      <c r="A574" s="6" t="s">
        <v>3123</v>
      </c>
      <c r="B574" s="6" t="s">
        <v>3123</v>
      </c>
      <c r="C574" s="6" t="s">
        <v>8013</v>
      </c>
    </row>
    <row r="575" customFormat="false" ht="15" hidden="false" customHeight="true" outlineLevel="0" collapsed="false">
      <c r="A575" s="6" t="s">
        <v>3123</v>
      </c>
      <c r="B575" s="6" t="s">
        <v>7027</v>
      </c>
      <c r="C575" s="6" t="s">
        <v>8013</v>
      </c>
    </row>
    <row r="576" customFormat="false" ht="15" hidden="false" customHeight="true" outlineLevel="0" collapsed="false">
      <c r="A576" s="6" t="s">
        <v>3123</v>
      </c>
      <c r="B576" s="6" t="s">
        <v>7023</v>
      </c>
      <c r="C576" s="6" t="s">
        <v>8013</v>
      </c>
    </row>
    <row r="577" customFormat="false" ht="15" hidden="false" customHeight="true" outlineLevel="0" collapsed="false">
      <c r="A577" s="6" t="s">
        <v>3123</v>
      </c>
      <c r="B577" s="6" t="s">
        <v>8291</v>
      </c>
      <c r="C577" s="6"/>
    </row>
    <row r="578" customFormat="false" ht="15" hidden="false" customHeight="true" outlineLevel="0" collapsed="false">
      <c r="A578" s="6" t="s">
        <v>3123</v>
      </c>
      <c r="B578" s="6" t="s">
        <v>7025</v>
      </c>
      <c r="C578" s="6" t="s">
        <v>8013</v>
      </c>
    </row>
    <row r="579" customFormat="false" ht="15" hidden="false" customHeight="true" outlineLevel="0" collapsed="false">
      <c r="A579" s="6" t="s">
        <v>3123</v>
      </c>
      <c r="B579" s="6" t="s">
        <v>7026</v>
      </c>
      <c r="C579" s="6" t="s">
        <v>8013</v>
      </c>
    </row>
    <row r="580" customFormat="false" ht="15" hidden="false" customHeight="true" outlineLevel="0" collapsed="false">
      <c r="A580" s="6" t="s">
        <v>3123</v>
      </c>
      <c r="B580" s="6" t="s">
        <v>7022</v>
      </c>
      <c r="C580" s="6" t="s">
        <v>8013</v>
      </c>
    </row>
    <row r="581" customFormat="false" ht="15" hidden="false" customHeight="true" outlineLevel="0" collapsed="false">
      <c r="A581" s="6" t="s">
        <v>3123</v>
      </c>
      <c r="B581" s="6" t="s">
        <v>7024</v>
      </c>
      <c r="C581" s="6" t="s">
        <v>8013</v>
      </c>
    </row>
    <row r="582" customFormat="false" ht="15" hidden="false" customHeight="true" outlineLevel="0" collapsed="false">
      <c r="A582" s="6" t="s">
        <v>3123</v>
      </c>
      <c r="B582" s="6" t="s">
        <v>8292</v>
      </c>
      <c r="C582" s="6"/>
    </row>
    <row r="583" customFormat="false" ht="15" hidden="false" customHeight="true" outlineLevel="0" collapsed="false">
      <c r="A583" s="6" t="s">
        <v>3089</v>
      </c>
      <c r="B583" s="6" t="s">
        <v>3089</v>
      </c>
      <c r="C583" s="6" t="s">
        <v>8013</v>
      </c>
    </row>
    <row r="584" customFormat="false" ht="15" hidden="false" customHeight="true" outlineLevel="0" collapsed="false">
      <c r="A584" s="6" t="s">
        <v>3089</v>
      </c>
      <c r="B584" s="6" t="s">
        <v>253</v>
      </c>
      <c r="C584" s="6" t="s">
        <v>8013</v>
      </c>
    </row>
    <row r="585" customFormat="false" ht="15" hidden="false" customHeight="true" outlineLevel="0" collapsed="false">
      <c r="A585" s="6" t="s">
        <v>3089</v>
      </c>
      <c r="B585" s="6" t="s">
        <v>7029</v>
      </c>
      <c r="C585" s="6" t="s">
        <v>8013</v>
      </c>
    </row>
    <row r="586" customFormat="false" ht="15" hidden="false" customHeight="true" outlineLevel="0" collapsed="false">
      <c r="A586" s="6" t="s">
        <v>3089</v>
      </c>
      <c r="B586" s="6" t="s">
        <v>3093</v>
      </c>
      <c r="C586" s="6" t="s">
        <v>8013</v>
      </c>
    </row>
    <row r="587" customFormat="false" ht="15" hidden="false" customHeight="true" outlineLevel="0" collapsed="false">
      <c r="A587" s="6" t="s">
        <v>3089</v>
      </c>
      <c r="B587" s="6" t="s">
        <v>7028</v>
      </c>
      <c r="C587" s="6" t="s">
        <v>8013</v>
      </c>
    </row>
    <row r="588" customFormat="false" ht="15" hidden="false" customHeight="true" outlineLevel="0" collapsed="false">
      <c r="A588" s="6" t="s">
        <v>3089</v>
      </c>
      <c r="B588" s="6" t="s">
        <v>3092</v>
      </c>
      <c r="C588" s="6" t="s">
        <v>8013</v>
      </c>
    </row>
    <row r="589" customFormat="false" ht="15" hidden="false" customHeight="true" outlineLevel="0" collapsed="false">
      <c r="A589" s="6" t="s">
        <v>3089</v>
      </c>
      <c r="B589" s="6" t="s">
        <v>288</v>
      </c>
      <c r="C589" s="6" t="s">
        <v>8013</v>
      </c>
    </row>
    <row r="590" customFormat="false" ht="15" hidden="false" customHeight="true" outlineLevel="0" collapsed="false">
      <c r="A590" s="6" t="s">
        <v>3089</v>
      </c>
      <c r="B590" s="6" t="s">
        <v>8293</v>
      </c>
      <c r="C590" s="6"/>
    </row>
    <row r="591" customFormat="false" ht="15" hidden="false" customHeight="true" outlineLevel="0" collapsed="false">
      <c r="A591" s="6" t="s">
        <v>3089</v>
      </c>
      <c r="B591" s="6" t="s">
        <v>8294</v>
      </c>
      <c r="C591" s="6"/>
    </row>
    <row r="592" customFormat="false" ht="15" hidden="false" customHeight="true" outlineLevel="0" collapsed="false">
      <c r="A592" s="6" t="s">
        <v>3089</v>
      </c>
      <c r="B592" s="6" t="s">
        <v>8295</v>
      </c>
      <c r="C592" s="6"/>
    </row>
    <row r="593" customFormat="false" ht="15" hidden="false" customHeight="true" outlineLevel="0" collapsed="false">
      <c r="A593" s="6" t="s">
        <v>3133</v>
      </c>
      <c r="B593" s="6" t="s">
        <v>3133</v>
      </c>
      <c r="C593" s="6" t="s">
        <v>8013</v>
      </c>
    </row>
    <row r="594" customFormat="false" ht="15" hidden="false" customHeight="true" outlineLevel="0" collapsed="false">
      <c r="A594" s="6" t="s">
        <v>3133</v>
      </c>
      <c r="B594" s="6" t="s">
        <v>7032</v>
      </c>
      <c r="C594" s="6" t="s">
        <v>8013</v>
      </c>
    </row>
    <row r="595" customFormat="false" ht="15" hidden="false" customHeight="true" outlineLevel="0" collapsed="false">
      <c r="A595" s="6" t="s">
        <v>3133</v>
      </c>
      <c r="B595" s="6" t="s">
        <v>7030</v>
      </c>
      <c r="C595" s="6" t="s">
        <v>8013</v>
      </c>
    </row>
    <row r="596" customFormat="false" ht="15" hidden="false" customHeight="true" outlineLevel="0" collapsed="false">
      <c r="A596" s="6" t="s">
        <v>3133</v>
      </c>
      <c r="B596" s="6" t="s">
        <v>7031</v>
      </c>
      <c r="C596" s="6" t="s">
        <v>8013</v>
      </c>
    </row>
    <row r="597" customFormat="false" ht="15" hidden="false" customHeight="true" outlineLevel="0" collapsed="false">
      <c r="A597" s="6" t="s">
        <v>3133</v>
      </c>
      <c r="B597" s="6" t="s">
        <v>8296</v>
      </c>
      <c r="C597" s="6"/>
    </row>
    <row r="598" customFormat="false" ht="15" hidden="false" customHeight="true" outlineLevel="0" collapsed="false">
      <c r="A598" s="6" t="s">
        <v>3133</v>
      </c>
      <c r="B598" s="6" t="s">
        <v>8297</v>
      </c>
      <c r="C598" s="6"/>
    </row>
    <row r="599" customFormat="false" ht="15" hidden="false" customHeight="true" outlineLevel="0" collapsed="false">
      <c r="A599" s="6" t="s">
        <v>3133</v>
      </c>
      <c r="B599" s="6" t="s">
        <v>7034</v>
      </c>
      <c r="C599" s="6" t="s">
        <v>8013</v>
      </c>
    </row>
    <row r="600" customFormat="false" ht="15" hidden="false" customHeight="true" outlineLevel="0" collapsed="false">
      <c r="A600" s="6" t="s">
        <v>3133</v>
      </c>
      <c r="B600" s="6" t="s">
        <v>7033</v>
      </c>
      <c r="C600" s="6" t="s">
        <v>8013</v>
      </c>
    </row>
    <row r="601" customFormat="false" ht="15" hidden="false" customHeight="true" outlineLevel="0" collapsed="false">
      <c r="A601" s="6" t="s">
        <v>3133</v>
      </c>
      <c r="B601" s="6" t="s">
        <v>8298</v>
      </c>
      <c r="C601" s="6"/>
    </row>
    <row r="602" customFormat="false" ht="15" hidden="false" customHeight="true" outlineLevel="0" collapsed="false">
      <c r="A602" s="6" t="s">
        <v>3133</v>
      </c>
      <c r="B602" s="6" t="s">
        <v>8299</v>
      </c>
      <c r="C602" s="6"/>
    </row>
    <row r="603" customFormat="false" ht="15" hidden="false" customHeight="true" outlineLevel="0" collapsed="false">
      <c r="A603" s="6" t="s">
        <v>3143</v>
      </c>
      <c r="B603" s="6" t="s">
        <v>3143</v>
      </c>
      <c r="C603" s="6" t="s">
        <v>8013</v>
      </c>
    </row>
    <row r="604" customFormat="false" ht="15" hidden="false" customHeight="true" outlineLevel="0" collapsed="false">
      <c r="A604" s="6" t="s">
        <v>3143</v>
      </c>
      <c r="B604" s="6" t="s">
        <v>7035</v>
      </c>
      <c r="C604" s="6" t="s">
        <v>8013</v>
      </c>
    </row>
    <row r="605" customFormat="false" ht="15" hidden="false" customHeight="true" outlineLevel="0" collapsed="false">
      <c r="A605" s="6" t="s">
        <v>3143</v>
      </c>
      <c r="B605" s="6" t="s">
        <v>8300</v>
      </c>
      <c r="C605" s="6"/>
    </row>
    <row r="606" customFormat="false" ht="15" hidden="false" customHeight="true" outlineLevel="0" collapsed="false">
      <c r="A606" s="6" t="s">
        <v>3143</v>
      </c>
      <c r="B606" s="6" t="s">
        <v>7037</v>
      </c>
      <c r="C606" s="6" t="s">
        <v>8013</v>
      </c>
    </row>
    <row r="607" customFormat="false" ht="15" hidden="false" customHeight="true" outlineLevel="0" collapsed="false">
      <c r="A607" s="6" t="s">
        <v>3143</v>
      </c>
      <c r="B607" s="6" t="s">
        <v>7036</v>
      </c>
      <c r="C607" s="6" t="s">
        <v>8013</v>
      </c>
    </row>
    <row r="608" customFormat="false" ht="15" hidden="false" customHeight="true" outlineLevel="0" collapsed="false">
      <c r="A608" s="6" t="s">
        <v>3143</v>
      </c>
      <c r="B608" s="6" t="s">
        <v>8299</v>
      </c>
      <c r="C608" s="6"/>
    </row>
    <row r="609" customFormat="false" ht="15" hidden="false" customHeight="true" outlineLevel="0" collapsed="false">
      <c r="A609" s="6" t="s">
        <v>3153</v>
      </c>
      <c r="B609" s="6" t="s">
        <v>3153</v>
      </c>
      <c r="C609" s="6" t="s">
        <v>8013</v>
      </c>
    </row>
    <row r="610" customFormat="false" ht="15" hidden="false" customHeight="true" outlineLevel="0" collapsed="false">
      <c r="A610" s="6" t="s">
        <v>3153</v>
      </c>
      <c r="B610" s="6" t="s">
        <v>7041</v>
      </c>
      <c r="C610" s="6" t="s">
        <v>8013</v>
      </c>
    </row>
    <row r="611" customFormat="false" ht="15" hidden="false" customHeight="true" outlineLevel="0" collapsed="false">
      <c r="A611" s="6" t="s">
        <v>3153</v>
      </c>
      <c r="B611" s="6" t="s">
        <v>7043</v>
      </c>
      <c r="C611" s="6" t="s">
        <v>8013</v>
      </c>
    </row>
    <row r="612" customFormat="false" ht="15" hidden="false" customHeight="true" outlineLevel="0" collapsed="false">
      <c r="A612" s="6" t="s">
        <v>3153</v>
      </c>
      <c r="B612" s="6" t="s">
        <v>7039</v>
      </c>
      <c r="C612" s="6" t="s">
        <v>8013</v>
      </c>
    </row>
    <row r="613" customFormat="false" ht="15" hidden="false" customHeight="true" outlineLevel="0" collapsed="false">
      <c r="A613" s="6" t="s">
        <v>3153</v>
      </c>
      <c r="B613" s="6" t="s">
        <v>7038</v>
      </c>
      <c r="C613" s="6" t="s">
        <v>8013</v>
      </c>
    </row>
    <row r="614" customFormat="false" ht="15" hidden="false" customHeight="true" outlineLevel="0" collapsed="false">
      <c r="A614" s="6" t="s">
        <v>3153</v>
      </c>
      <c r="B614" s="6" t="s">
        <v>8301</v>
      </c>
      <c r="C614" s="6"/>
    </row>
    <row r="615" customFormat="false" ht="15" hidden="false" customHeight="true" outlineLevel="0" collapsed="false">
      <c r="A615" s="6" t="s">
        <v>3153</v>
      </c>
      <c r="B615" s="6" t="s">
        <v>8302</v>
      </c>
      <c r="C615" s="6"/>
    </row>
    <row r="616" customFormat="false" ht="15" hidden="false" customHeight="true" outlineLevel="0" collapsed="false">
      <c r="A616" s="6" t="s">
        <v>3153</v>
      </c>
      <c r="B616" s="6" t="s">
        <v>8303</v>
      </c>
      <c r="C616" s="6"/>
    </row>
    <row r="617" customFormat="false" ht="15" hidden="false" customHeight="true" outlineLevel="0" collapsed="false">
      <c r="A617" s="6" t="s">
        <v>3153</v>
      </c>
      <c r="B617" s="6" t="s">
        <v>7040</v>
      </c>
      <c r="C617" s="6" t="s">
        <v>8013</v>
      </c>
    </row>
    <row r="618" customFormat="false" ht="15" hidden="false" customHeight="true" outlineLevel="0" collapsed="false">
      <c r="A618" s="6" t="s">
        <v>3153</v>
      </c>
      <c r="B618" s="6" t="s">
        <v>7042</v>
      </c>
      <c r="C618" s="6" t="s">
        <v>8013</v>
      </c>
    </row>
    <row r="619" customFormat="false" ht="15" hidden="false" customHeight="true" outlineLevel="0" collapsed="false">
      <c r="A619" s="6" t="s">
        <v>3112</v>
      </c>
      <c r="B619" s="6" t="s">
        <v>3112</v>
      </c>
      <c r="C619" s="6" t="s">
        <v>8013</v>
      </c>
    </row>
    <row r="620" customFormat="false" ht="15" hidden="false" customHeight="true" outlineLevel="0" collapsed="false">
      <c r="A620" s="6" t="s">
        <v>3112</v>
      </c>
      <c r="B620" s="6" t="s">
        <v>3115</v>
      </c>
      <c r="C620" s="6" t="s">
        <v>8013</v>
      </c>
    </row>
    <row r="621" customFormat="false" ht="15" hidden="false" customHeight="true" outlineLevel="0" collapsed="false">
      <c r="A621" s="6" t="s">
        <v>3112</v>
      </c>
      <c r="B621" s="6" t="s">
        <v>7046</v>
      </c>
      <c r="C621" s="6" t="s">
        <v>8013</v>
      </c>
    </row>
    <row r="622" customFormat="false" ht="15" hidden="false" customHeight="true" outlineLevel="0" collapsed="false">
      <c r="A622" s="6" t="s">
        <v>3112</v>
      </c>
      <c r="B622" s="6" t="s">
        <v>289</v>
      </c>
      <c r="C622" s="6" t="s">
        <v>8013</v>
      </c>
    </row>
    <row r="623" customFormat="false" ht="15" hidden="false" customHeight="true" outlineLevel="0" collapsed="false">
      <c r="A623" s="6" t="s">
        <v>3112</v>
      </c>
      <c r="B623" s="6" t="s">
        <v>7044</v>
      </c>
      <c r="C623" s="6" t="s">
        <v>8013</v>
      </c>
    </row>
    <row r="624" customFormat="false" ht="15" hidden="false" customHeight="true" outlineLevel="0" collapsed="false">
      <c r="A624" s="6" t="s">
        <v>3112</v>
      </c>
      <c r="B624" s="6" t="s">
        <v>8304</v>
      </c>
      <c r="C624" s="6"/>
    </row>
    <row r="625" customFormat="false" ht="15" hidden="false" customHeight="true" outlineLevel="0" collapsed="false">
      <c r="A625" s="6" t="s">
        <v>3112</v>
      </c>
      <c r="B625" s="6" t="s">
        <v>7045</v>
      </c>
      <c r="C625" s="6" t="s">
        <v>8013</v>
      </c>
    </row>
    <row r="626" customFormat="false" ht="15" hidden="false" customHeight="true" outlineLevel="0" collapsed="false">
      <c r="A626" s="6" t="s">
        <v>3112</v>
      </c>
      <c r="B626" s="6" t="s">
        <v>8305</v>
      </c>
      <c r="C626" s="6"/>
    </row>
    <row r="627" customFormat="false" ht="15" hidden="false" customHeight="true" outlineLevel="0" collapsed="false">
      <c r="A627" s="6" t="s">
        <v>3112</v>
      </c>
      <c r="B627" s="6" t="s">
        <v>290</v>
      </c>
      <c r="C627" s="6" t="s">
        <v>8013</v>
      </c>
    </row>
    <row r="628" customFormat="false" ht="15" hidden="false" customHeight="true" outlineLevel="0" collapsed="false">
      <c r="A628" s="6" t="s">
        <v>3112</v>
      </c>
      <c r="B628" s="6" t="s">
        <v>8306</v>
      </c>
      <c r="C628" s="6"/>
    </row>
    <row r="629" customFormat="false" ht="15" hidden="false" customHeight="true" outlineLevel="0" collapsed="false">
      <c r="A629" s="6" t="s">
        <v>331</v>
      </c>
      <c r="B629" s="6" t="s">
        <v>331</v>
      </c>
      <c r="C629" s="6" t="s">
        <v>8013</v>
      </c>
    </row>
    <row r="630" customFormat="false" ht="15" hidden="false" customHeight="true" outlineLevel="0" collapsed="false">
      <c r="A630" s="6" t="s">
        <v>331</v>
      </c>
      <c r="B630" s="6" t="s">
        <v>8307</v>
      </c>
      <c r="C630" s="6"/>
    </row>
    <row r="631" customFormat="false" ht="15" hidden="false" customHeight="true" outlineLevel="0" collapsed="false">
      <c r="A631" s="6" t="s">
        <v>331</v>
      </c>
      <c r="B631" s="6" t="s">
        <v>8308</v>
      </c>
      <c r="C631" s="6"/>
    </row>
    <row r="632" customFormat="false" ht="15" hidden="false" customHeight="true" outlineLevel="0" collapsed="false">
      <c r="A632" s="6" t="s">
        <v>331</v>
      </c>
      <c r="B632" s="6" t="s">
        <v>8309</v>
      </c>
      <c r="C632" s="6"/>
    </row>
    <row r="633" customFormat="false" ht="15" hidden="false" customHeight="true" outlineLevel="0" collapsed="false">
      <c r="A633" s="6" t="s">
        <v>331</v>
      </c>
      <c r="B633" s="6" t="s">
        <v>8310</v>
      </c>
      <c r="C633" s="6"/>
    </row>
    <row r="634" customFormat="false" ht="15" hidden="false" customHeight="true" outlineLevel="0" collapsed="false">
      <c r="A634" s="6" t="s">
        <v>331</v>
      </c>
      <c r="B634" s="6" t="s">
        <v>8311</v>
      </c>
      <c r="C634" s="6"/>
    </row>
    <row r="635" customFormat="false" ht="15" hidden="false" customHeight="true" outlineLevel="0" collapsed="false">
      <c r="A635" s="6" t="s">
        <v>331</v>
      </c>
      <c r="B635" s="6" t="s">
        <v>8312</v>
      </c>
      <c r="C635" s="6"/>
    </row>
    <row r="636" customFormat="false" ht="15" hidden="false" customHeight="true" outlineLevel="0" collapsed="false">
      <c r="A636" s="6" t="s">
        <v>331</v>
      </c>
      <c r="B636" s="6" t="s">
        <v>8313</v>
      </c>
      <c r="C636" s="6"/>
    </row>
    <row r="637" customFormat="false" ht="15" hidden="false" customHeight="true" outlineLevel="0" collapsed="false">
      <c r="A637" s="6" t="s">
        <v>331</v>
      </c>
      <c r="B637" s="6" t="s">
        <v>8314</v>
      </c>
      <c r="C637" s="6"/>
    </row>
    <row r="638" customFormat="false" ht="15" hidden="false" customHeight="true" outlineLevel="0" collapsed="false">
      <c r="A638" s="6" t="s">
        <v>331</v>
      </c>
      <c r="B638" s="6" t="s">
        <v>8315</v>
      </c>
      <c r="C638" s="6"/>
    </row>
    <row r="639" customFormat="false" ht="15" hidden="false" customHeight="true" outlineLevel="0" collapsed="false">
      <c r="A639" s="6" t="s">
        <v>3163</v>
      </c>
      <c r="B639" s="6" t="s">
        <v>3163</v>
      </c>
      <c r="C639" s="6" t="s">
        <v>8013</v>
      </c>
    </row>
    <row r="640" customFormat="false" ht="15" hidden="false" customHeight="true" outlineLevel="0" collapsed="false">
      <c r="A640" s="6" t="s">
        <v>3163</v>
      </c>
      <c r="B640" s="6" t="s">
        <v>7051</v>
      </c>
      <c r="C640" s="6" t="s">
        <v>8013</v>
      </c>
    </row>
    <row r="641" customFormat="false" ht="15" hidden="false" customHeight="true" outlineLevel="0" collapsed="false">
      <c r="A641" s="6" t="s">
        <v>3163</v>
      </c>
      <c r="B641" s="6" t="s">
        <v>7048</v>
      </c>
      <c r="C641" s="6" t="s">
        <v>8013</v>
      </c>
    </row>
    <row r="642" customFormat="false" ht="15" hidden="false" customHeight="true" outlineLevel="0" collapsed="false">
      <c r="A642" s="6" t="s">
        <v>3163</v>
      </c>
      <c r="B642" s="6" t="s">
        <v>8316</v>
      </c>
      <c r="C642" s="6"/>
    </row>
    <row r="643" customFormat="false" ht="15" hidden="false" customHeight="true" outlineLevel="0" collapsed="false">
      <c r="A643" s="6" t="s">
        <v>3163</v>
      </c>
      <c r="B643" s="6" t="s">
        <v>7049</v>
      </c>
      <c r="C643" s="6" t="s">
        <v>8013</v>
      </c>
    </row>
    <row r="644" customFormat="false" ht="15" hidden="false" customHeight="true" outlineLevel="0" collapsed="false">
      <c r="A644" s="6" t="s">
        <v>3163</v>
      </c>
      <c r="B644" s="6" t="s">
        <v>7021</v>
      </c>
      <c r="C644" s="6" t="s">
        <v>8013</v>
      </c>
    </row>
    <row r="645" customFormat="false" ht="15" hidden="false" customHeight="true" outlineLevel="0" collapsed="false">
      <c r="A645" s="6" t="s">
        <v>3163</v>
      </c>
      <c r="B645" s="6" t="s">
        <v>7050</v>
      </c>
      <c r="C645" s="6" t="s">
        <v>8013</v>
      </c>
    </row>
    <row r="646" customFormat="false" ht="15" hidden="false" customHeight="true" outlineLevel="0" collapsed="false">
      <c r="A646" s="6" t="s">
        <v>3163</v>
      </c>
      <c r="B646" s="6" t="s">
        <v>7047</v>
      </c>
      <c r="C646" s="6" t="s">
        <v>8013</v>
      </c>
    </row>
    <row r="647" customFormat="false" ht="15" hidden="false" customHeight="true" outlineLevel="0" collapsed="false">
      <c r="A647" s="6" t="s">
        <v>3163</v>
      </c>
      <c r="B647" s="6" t="s">
        <v>8317</v>
      </c>
      <c r="C647" s="6"/>
    </row>
    <row r="648" customFormat="false" ht="15" hidden="false" customHeight="true" outlineLevel="0" collapsed="false">
      <c r="A648" s="6" t="s">
        <v>3101</v>
      </c>
      <c r="B648" s="6" t="s">
        <v>3101</v>
      </c>
      <c r="C648" s="6" t="s">
        <v>8013</v>
      </c>
    </row>
    <row r="649" customFormat="false" ht="15" hidden="false" customHeight="true" outlineLevel="0" collapsed="false">
      <c r="A649" s="6" t="s">
        <v>3101</v>
      </c>
      <c r="B649" s="6" t="s">
        <v>3105</v>
      </c>
      <c r="C649" s="6" t="s">
        <v>8013</v>
      </c>
    </row>
    <row r="650" customFormat="false" ht="15" hidden="false" customHeight="true" outlineLevel="0" collapsed="false">
      <c r="A650" s="6" t="s">
        <v>3101</v>
      </c>
      <c r="B650" s="6" t="s">
        <v>7056</v>
      </c>
      <c r="C650" s="6" t="s">
        <v>8013</v>
      </c>
    </row>
    <row r="651" customFormat="false" ht="15" hidden="false" customHeight="true" outlineLevel="0" collapsed="false">
      <c r="A651" s="6" t="s">
        <v>3101</v>
      </c>
      <c r="B651" s="6" t="s">
        <v>7052</v>
      </c>
      <c r="C651" s="6" t="s">
        <v>8013</v>
      </c>
    </row>
    <row r="652" customFormat="false" ht="15" hidden="false" customHeight="true" outlineLevel="0" collapsed="false">
      <c r="A652" s="6" t="s">
        <v>3101</v>
      </c>
      <c r="B652" s="6" t="s">
        <v>7053</v>
      </c>
      <c r="C652" s="6" t="s">
        <v>8013</v>
      </c>
    </row>
    <row r="653" customFormat="false" ht="15" hidden="false" customHeight="true" outlineLevel="0" collapsed="false">
      <c r="A653" s="6" t="s">
        <v>3101</v>
      </c>
      <c r="B653" s="6" t="s">
        <v>7055</v>
      </c>
      <c r="C653" s="6" t="s">
        <v>8013</v>
      </c>
    </row>
    <row r="654" customFormat="false" ht="15" hidden="false" customHeight="true" outlineLevel="0" collapsed="false">
      <c r="A654" s="6" t="s">
        <v>3101</v>
      </c>
      <c r="B654" s="6" t="s">
        <v>7054</v>
      </c>
      <c r="C654" s="6" t="s">
        <v>8013</v>
      </c>
    </row>
    <row r="655" customFormat="false" ht="15" hidden="false" customHeight="true" outlineLevel="0" collapsed="false">
      <c r="A655" s="6" t="s">
        <v>3101</v>
      </c>
      <c r="B655" s="6" t="s">
        <v>8318</v>
      </c>
      <c r="C655" s="6"/>
    </row>
    <row r="656" customFormat="false" ht="15" hidden="false" customHeight="true" outlineLevel="0" collapsed="false">
      <c r="A656" s="6" t="s">
        <v>3101</v>
      </c>
      <c r="B656" s="6" t="s">
        <v>8319</v>
      </c>
      <c r="C656" s="6"/>
    </row>
    <row r="657" customFormat="false" ht="15" hidden="false" customHeight="true" outlineLevel="0" collapsed="false">
      <c r="A657" s="6" t="s">
        <v>3101</v>
      </c>
      <c r="B657" s="6" t="s">
        <v>3104</v>
      </c>
      <c r="C657" s="6" t="s">
        <v>8013</v>
      </c>
    </row>
    <row r="658" customFormat="false" ht="15" hidden="false" customHeight="true" outlineLevel="0" collapsed="false">
      <c r="A658" s="6" t="s">
        <v>3233</v>
      </c>
      <c r="B658" s="6" t="s">
        <v>3233</v>
      </c>
      <c r="C658" s="6" t="s">
        <v>8013</v>
      </c>
    </row>
    <row r="659" customFormat="false" ht="15" hidden="false" customHeight="true" outlineLevel="0" collapsed="false">
      <c r="A659" s="6" t="s">
        <v>3233</v>
      </c>
      <c r="B659" s="6" t="s">
        <v>3237</v>
      </c>
      <c r="C659" s="6" t="s">
        <v>8013</v>
      </c>
    </row>
    <row r="660" customFormat="false" ht="15" hidden="false" customHeight="true" outlineLevel="0" collapsed="false">
      <c r="A660" s="6" t="s">
        <v>3233</v>
      </c>
      <c r="B660" s="6" t="s">
        <v>291</v>
      </c>
      <c r="C660" s="6" t="s">
        <v>8013</v>
      </c>
    </row>
    <row r="661" customFormat="false" ht="15" hidden="false" customHeight="true" outlineLevel="0" collapsed="false">
      <c r="A661" s="6" t="s">
        <v>3233</v>
      </c>
      <c r="B661" s="6" t="s">
        <v>7057</v>
      </c>
      <c r="C661" s="6" t="s">
        <v>8013</v>
      </c>
    </row>
    <row r="662" customFormat="false" ht="15" hidden="false" customHeight="true" outlineLevel="0" collapsed="false">
      <c r="A662" s="6" t="s">
        <v>3233</v>
      </c>
      <c r="B662" s="6" t="s">
        <v>8320</v>
      </c>
      <c r="C662" s="6"/>
    </row>
    <row r="663" customFormat="false" ht="15" hidden="false" customHeight="true" outlineLevel="0" collapsed="false">
      <c r="A663" s="6" t="s">
        <v>3233</v>
      </c>
      <c r="B663" s="6" t="s">
        <v>8321</v>
      </c>
      <c r="C663" s="6"/>
    </row>
    <row r="664" customFormat="false" ht="15" hidden="false" customHeight="true" outlineLevel="0" collapsed="false">
      <c r="A664" s="6" t="s">
        <v>3233</v>
      </c>
      <c r="B664" s="6" t="s">
        <v>7059</v>
      </c>
      <c r="C664" s="6" t="s">
        <v>8013</v>
      </c>
    </row>
    <row r="665" customFormat="false" ht="15" hidden="false" customHeight="true" outlineLevel="0" collapsed="false">
      <c r="A665" s="6" t="s">
        <v>3233</v>
      </c>
      <c r="B665" s="6" t="s">
        <v>7058</v>
      </c>
      <c r="C665" s="6" t="s">
        <v>8013</v>
      </c>
    </row>
    <row r="666" customFormat="false" ht="15" hidden="false" customHeight="true" outlineLevel="0" collapsed="false">
      <c r="A666" s="6" t="s">
        <v>3233</v>
      </c>
      <c r="B666" s="6" t="s">
        <v>7060</v>
      </c>
      <c r="C666" s="6" t="s">
        <v>8013</v>
      </c>
    </row>
    <row r="667" customFormat="false" ht="15" hidden="false" customHeight="true" outlineLevel="0" collapsed="false">
      <c r="A667" s="6" t="s">
        <v>3233</v>
      </c>
      <c r="B667" s="6" t="s">
        <v>8322</v>
      </c>
      <c r="C667" s="6"/>
    </row>
    <row r="668" customFormat="false" ht="15" hidden="false" customHeight="true" outlineLevel="0" collapsed="false">
      <c r="A668" s="6" t="s">
        <v>3174</v>
      </c>
      <c r="B668" s="6" t="s">
        <v>8323</v>
      </c>
      <c r="C668" s="6"/>
    </row>
    <row r="669" customFormat="false" ht="15" hidden="false" customHeight="true" outlineLevel="0" collapsed="false">
      <c r="A669" s="6" t="s">
        <v>3174</v>
      </c>
      <c r="B669" s="6" t="s">
        <v>8324</v>
      </c>
      <c r="C669" s="6"/>
    </row>
    <row r="670" customFormat="false" ht="15" hidden="false" customHeight="true" outlineLevel="0" collapsed="false">
      <c r="A670" s="6" t="s">
        <v>3183</v>
      </c>
      <c r="B670" s="6" t="s">
        <v>3183</v>
      </c>
      <c r="C670" s="6" t="s">
        <v>8013</v>
      </c>
    </row>
    <row r="671" customFormat="false" ht="15" hidden="false" customHeight="true" outlineLevel="0" collapsed="false">
      <c r="A671" s="6" t="s">
        <v>3183</v>
      </c>
      <c r="B671" s="6" t="s">
        <v>244</v>
      </c>
      <c r="C671" s="6" t="s">
        <v>8013</v>
      </c>
    </row>
    <row r="672" customFormat="false" ht="15" hidden="false" customHeight="true" outlineLevel="0" collapsed="false">
      <c r="A672" s="6" t="s">
        <v>3183</v>
      </c>
      <c r="B672" s="6" t="s">
        <v>242</v>
      </c>
      <c r="C672" s="6" t="s">
        <v>8013</v>
      </c>
    </row>
    <row r="673" customFormat="false" ht="15" hidden="false" customHeight="true" outlineLevel="0" collapsed="false">
      <c r="A673" s="6" t="s">
        <v>3183</v>
      </c>
      <c r="B673" s="6" t="s">
        <v>8325</v>
      </c>
      <c r="C673" s="6"/>
    </row>
    <row r="674" customFormat="false" ht="15" hidden="false" customHeight="true" outlineLevel="0" collapsed="false">
      <c r="A674" s="6" t="s">
        <v>3183</v>
      </c>
      <c r="B674" s="6" t="s">
        <v>8326</v>
      </c>
      <c r="C674" s="6"/>
    </row>
    <row r="675" customFormat="false" ht="15" hidden="false" customHeight="true" outlineLevel="0" collapsed="false">
      <c r="A675" s="6" t="s">
        <v>3183</v>
      </c>
      <c r="B675" s="6" t="s">
        <v>8327</v>
      </c>
      <c r="C675" s="6"/>
    </row>
    <row r="676" customFormat="false" ht="15" hidden="false" customHeight="true" outlineLevel="0" collapsed="false">
      <c r="A676" s="6" t="s">
        <v>3183</v>
      </c>
      <c r="B676" s="6" t="s">
        <v>7061</v>
      </c>
      <c r="C676" s="6" t="s">
        <v>8013</v>
      </c>
    </row>
    <row r="677" customFormat="false" ht="15" hidden="false" customHeight="true" outlineLevel="0" collapsed="false">
      <c r="A677" s="6" t="s">
        <v>3183</v>
      </c>
      <c r="B677" s="6" t="s">
        <v>3187</v>
      </c>
      <c r="C677" s="6" t="s">
        <v>8013</v>
      </c>
    </row>
    <row r="678" customFormat="false" ht="15" hidden="false" customHeight="true" outlineLevel="0" collapsed="false">
      <c r="A678" s="6" t="s">
        <v>3183</v>
      </c>
      <c r="B678" s="6" t="s">
        <v>8328</v>
      </c>
      <c r="C678" s="6"/>
    </row>
    <row r="679" customFormat="false" ht="15" hidden="false" customHeight="true" outlineLevel="0" collapsed="false">
      <c r="A679" s="6" t="s">
        <v>3183</v>
      </c>
      <c r="B679" s="6" t="s">
        <v>8329</v>
      </c>
      <c r="C679" s="6"/>
    </row>
    <row r="680" customFormat="false" ht="15" hidden="false" customHeight="true" outlineLevel="0" collapsed="false">
      <c r="A680" s="6" t="s">
        <v>3258</v>
      </c>
      <c r="B680" s="6" t="s">
        <v>8330</v>
      </c>
      <c r="C680" s="6"/>
    </row>
    <row r="681" customFormat="false" ht="15" hidden="false" customHeight="true" outlineLevel="0" collapsed="false">
      <c r="A681" s="6" t="s">
        <v>3258</v>
      </c>
      <c r="B681" s="6" t="s">
        <v>3264</v>
      </c>
      <c r="C681" s="6" t="s">
        <v>8013</v>
      </c>
    </row>
    <row r="682" customFormat="false" ht="15" hidden="false" customHeight="true" outlineLevel="0" collapsed="false">
      <c r="A682" s="6" t="s">
        <v>3258</v>
      </c>
      <c r="B682" s="6" t="s">
        <v>8331</v>
      </c>
      <c r="C682" s="6"/>
    </row>
    <row r="683" customFormat="false" ht="15" hidden="false" customHeight="true" outlineLevel="0" collapsed="false">
      <c r="A683" s="6" t="s">
        <v>3258</v>
      </c>
      <c r="B683" s="6" t="s">
        <v>8332</v>
      </c>
      <c r="C683" s="6"/>
    </row>
    <row r="684" customFormat="false" ht="15" hidden="false" customHeight="true" outlineLevel="0" collapsed="false">
      <c r="A684" s="6" t="s">
        <v>3213</v>
      </c>
      <c r="B684" s="6" t="s">
        <v>7066</v>
      </c>
      <c r="C684" s="6" t="s">
        <v>8013</v>
      </c>
    </row>
    <row r="685" customFormat="false" ht="15" hidden="false" customHeight="true" outlineLevel="0" collapsed="false">
      <c r="A685" s="6" t="s">
        <v>3213</v>
      </c>
      <c r="B685" s="6" t="s">
        <v>3213</v>
      </c>
      <c r="C685" s="6" t="s">
        <v>8013</v>
      </c>
    </row>
    <row r="686" customFormat="false" ht="15" hidden="false" customHeight="true" outlineLevel="0" collapsed="false">
      <c r="A686" s="6" t="s">
        <v>3213</v>
      </c>
      <c r="B686" s="6" t="s">
        <v>7062</v>
      </c>
      <c r="C686" s="6" t="s">
        <v>8013</v>
      </c>
    </row>
    <row r="687" customFormat="false" ht="15" hidden="false" customHeight="true" outlineLevel="0" collapsed="false">
      <c r="A687" s="6" t="s">
        <v>3213</v>
      </c>
      <c r="B687" s="6" t="s">
        <v>8333</v>
      </c>
      <c r="C687" s="6"/>
    </row>
    <row r="688" customFormat="false" ht="15" hidden="false" customHeight="true" outlineLevel="0" collapsed="false">
      <c r="A688" s="6" t="s">
        <v>3213</v>
      </c>
      <c r="B688" s="6" t="s">
        <v>8334</v>
      </c>
      <c r="C688" s="6"/>
    </row>
    <row r="689" customFormat="false" ht="15" hidden="false" customHeight="true" outlineLevel="0" collapsed="false">
      <c r="A689" s="6" t="s">
        <v>3213</v>
      </c>
      <c r="B689" s="6" t="s">
        <v>7064</v>
      </c>
      <c r="C689" s="6" t="s">
        <v>8013</v>
      </c>
    </row>
    <row r="690" customFormat="false" ht="15" hidden="false" customHeight="true" outlineLevel="0" collapsed="false">
      <c r="A690" s="6" t="s">
        <v>3213</v>
      </c>
      <c r="B690" s="6" t="s">
        <v>7063</v>
      </c>
      <c r="C690" s="6" t="s">
        <v>8013</v>
      </c>
    </row>
    <row r="691" customFormat="false" ht="15" hidden="false" customHeight="true" outlineLevel="0" collapsed="false">
      <c r="A691" s="6" t="s">
        <v>3213</v>
      </c>
      <c r="B691" s="6" t="s">
        <v>7065</v>
      </c>
      <c r="C691" s="6" t="s">
        <v>8013</v>
      </c>
    </row>
    <row r="692" customFormat="false" ht="15" hidden="false" customHeight="true" outlineLevel="0" collapsed="false">
      <c r="A692" s="6" t="s">
        <v>3213</v>
      </c>
      <c r="B692" s="6" t="s">
        <v>8335</v>
      </c>
      <c r="C692" s="6"/>
    </row>
    <row r="693" customFormat="false" ht="15" hidden="false" customHeight="true" outlineLevel="0" collapsed="false">
      <c r="A693" s="6" t="s">
        <v>3213</v>
      </c>
      <c r="B693" s="6" t="s">
        <v>8336</v>
      </c>
      <c r="C693" s="6"/>
    </row>
    <row r="694" customFormat="false" ht="15" hidden="false" customHeight="true" outlineLevel="0" collapsed="false">
      <c r="A694" s="6" t="s">
        <v>329</v>
      </c>
      <c r="B694" s="6" t="s">
        <v>329</v>
      </c>
      <c r="C694" s="6" t="s">
        <v>8013</v>
      </c>
    </row>
    <row r="695" customFormat="false" ht="15" hidden="false" customHeight="true" outlineLevel="0" collapsed="false">
      <c r="A695" s="6" t="s">
        <v>329</v>
      </c>
      <c r="B695" s="6" t="s">
        <v>8337</v>
      </c>
      <c r="C695" s="6"/>
    </row>
    <row r="696" customFormat="false" ht="15" hidden="false" customHeight="true" outlineLevel="0" collapsed="false">
      <c r="A696" s="6" t="s">
        <v>329</v>
      </c>
      <c r="B696" s="6" t="s">
        <v>6540</v>
      </c>
      <c r="C696" s="6" t="s">
        <v>8013</v>
      </c>
    </row>
    <row r="697" customFormat="false" ht="15" hidden="false" customHeight="true" outlineLevel="0" collapsed="false">
      <c r="A697" s="6" t="s">
        <v>329</v>
      </c>
      <c r="B697" s="6" t="s">
        <v>8338</v>
      </c>
      <c r="C697" s="6"/>
    </row>
    <row r="698" customFormat="false" ht="15" hidden="false" customHeight="true" outlineLevel="0" collapsed="false">
      <c r="A698" s="6" t="s">
        <v>329</v>
      </c>
      <c r="B698" s="6" t="s">
        <v>8339</v>
      </c>
      <c r="C698" s="6"/>
    </row>
    <row r="699" customFormat="false" ht="15" hidden="false" customHeight="true" outlineLevel="0" collapsed="false">
      <c r="A699" s="6" t="s">
        <v>329</v>
      </c>
      <c r="B699" s="6" t="s">
        <v>8340</v>
      </c>
      <c r="C699" s="6"/>
    </row>
    <row r="700" customFormat="false" ht="15" hidden="false" customHeight="true" outlineLevel="0" collapsed="false">
      <c r="A700" s="6" t="s">
        <v>329</v>
      </c>
      <c r="B700" s="6" t="s">
        <v>8341</v>
      </c>
      <c r="C700" s="6"/>
    </row>
    <row r="701" customFormat="false" ht="15" hidden="false" customHeight="true" outlineLevel="0" collapsed="false">
      <c r="A701" s="6" t="s">
        <v>329</v>
      </c>
      <c r="B701" s="6" t="s">
        <v>8342</v>
      </c>
      <c r="C701" s="6"/>
    </row>
    <row r="702" customFormat="false" ht="15" hidden="false" customHeight="true" outlineLevel="0" collapsed="false">
      <c r="A702" s="6" t="s">
        <v>329</v>
      </c>
      <c r="B702" s="6" t="s">
        <v>8343</v>
      </c>
      <c r="C702" s="6"/>
    </row>
    <row r="703" customFormat="false" ht="15" hidden="false" customHeight="true" outlineLevel="0" collapsed="false">
      <c r="A703" s="6" t="s">
        <v>329</v>
      </c>
      <c r="B703" s="6" t="s">
        <v>8344</v>
      </c>
      <c r="C703" s="6"/>
    </row>
    <row r="704" customFormat="false" ht="15" hidden="false" customHeight="true" outlineLevel="0" collapsed="false">
      <c r="A704" s="6" t="s">
        <v>3311</v>
      </c>
      <c r="B704" s="6" t="s">
        <v>3311</v>
      </c>
      <c r="C704" s="6" t="s">
        <v>8013</v>
      </c>
    </row>
    <row r="705" customFormat="false" ht="15" hidden="false" customHeight="true" outlineLevel="0" collapsed="false">
      <c r="A705" s="6" t="s">
        <v>3320</v>
      </c>
      <c r="B705" s="6" t="s">
        <v>3320</v>
      </c>
      <c r="C705" s="6" t="s">
        <v>8013</v>
      </c>
    </row>
    <row r="706" customFormat="false" ht="15" hidden="false" customHeight="true" outlineLevel="0" collapsed="false">
      <c r="A706" s="6" t="s">
        <v>3320</v>
      </c>
      <c r="B706" s="6" t="s">
        <v>8345</v>
      </c>
      <c r="C706" s="6"/>
    </row>
    <row r="707" customFormat="false" ht="15" hidden="false" customHeight="true" outlineLevel="0" collapsed="false">
      <c r="A707" s="6" t="s">
        <v>3320</v>
      </c>
      <c r="B707" s="6" t="s">
        <v>8346</v>
      </c>
      <c r="C707" s="6"/>
    </row>
    <row r="708" customFormat="false" ht="15" hidden="false" customHeight="true" outlineLevel="0" collapsed="false">
      <c r="A708" s="6" t="s">
        <v>3320</v>
      </c>
      <c r="B708" s="6" t="s">
        <v>8347</v>
      </c>
      <c r="C708" s="6"/>
    </row>
    <row r="709" customFormat="false" ht="15" hidden="false" customHeight="true" outlineLevel="0" collapsed="false">
      <c r="A709" s="6" t="s">
        <v>3320</v>
      </c>
      <c r="B709" s="6" t="s">
        <v>7067</v>
      </c>
      <c r="C709" s="6" t="s">
        <v>8013</v>
      </c>
    </row>
    <row r="710" customFormat="false" ht="15" hidden="false" customHeight="true" outlineLevel="0" collapsed="false">
      <c r="A710" s="6" t="s">
        <v>3320</v>
      </c>
      <c r="B710" s="6" t="s">
        <v>7068</v>
      </c>
      <c r="C710" s="6" t="s">
        <v>8013</v>
      </c>
    </row>
    <row r="711" customFormat="false" ht="15" hidden="false" customHeight="true" outlineLevel="0" collapsed="false">
      <c r="A711" s="6" t="s">
        <v>3320</v>
      </c>
      <c r="B711" s="6" t="s">
        <v>3324</v>
      </c>
      <c r="C711" s="6" t="s">
        <v>8013</v>
      </c>
    </row>
    <row r="712" customFormat="false" ht="15" hidden="false" customHeight="true" outlineLevel="0" collapsed="false">
      <c r="A712" s="6" t="s">
        <v>3320</v>
      </c>
      <c r="B712" s="6" t="s">
        <v>292</v>
      </c>
      <c r="C712" s="6" t="s">
        <v>8013</v>
      </c>
    </row>
    <row r="713" customFormat="false" ht="15" hidden="false" customHeight="true" outlineLevel="0" collapsed="false">
      <c r="A713" s="6" t="s">
        <v>3320</v>
      </c>
      <c r="B713" s="6" t="s">
        <v>8348</v>
      </c>
      <c r="C713" s="6"/>
    </row>
    <row r="714" customFormat="false" ht="15" hidden="false" customHeight="true" outlineLevel="0" collapsed="false">
      <c r="A714" s="6" t="s">
        <v>3320</v>
      </c>
      <c r="B714" s="6" t="s">
        <v>8349</v>
      </c>
      <c r="C714" s="6"/>
    </row>
    <row r="715" customFormat="false" ht="15" hidden="false" customHeight="true" outlineLevel="0" collapsed="false">
      <c r="A715" s="6" t="s">
        <v>3271</v>
      </c>
      <c r="B715" s="6" t="s">
        <v>3271</v>
      </c>
      <c r="C715" s="6" t="s">
        <v>8013</v>
      </c>
    </row>
    <row r="716" customFormat="false" ht="15" hidden="false" customHeight="true" outlineLevel="0" collapsed="false">
      <c r="A716" s="6" t="s">
        <v>3271</v>
      </c>
      <c r="B716" s="6" t="s">
        <v>7070</v>
      </c>
      <c r="C716" s="6" t="s">
        <v>8013</v>
      </c>
    </row>
    <row r="717" customFormat="false" ht="15" hidden="false" customHeight="true" outlineLevel="0" collapsed="false">
      <c r="A717" s="6" t="s">
        <v>3271</v>
      </c>
      <c r="B717" s="6" t="s">
        <v>8350</v>
      </c>
      <c r="C717" s="6"/>
    </row>
    <row r="718" customFormat="false" ht="15" hidden="false" customHeight="true" outlineLevel="0" collapsed="false">
      <c r="A718" s="6" t="s">
        <v>3271</v>
      </c>
      <c r="B718" s="6" t="s">
        <v>3275</v>
      </c>
      <c r="C718" s="6" t="s">
        <v>8013</v>
      </c>
    </row>
    <row r="719" customFormat="false" ht="15" hidden="false" customHeight="true" outlineLevel="0" collapsed="false">
      <c r="A719" s="6" t="s">
        <v>3271</v>
      </c>
      <c r="B719" s="6" t="s">
        <v>7072</v>
      </c>
      <c r="C719" s="6" t="s">
        <v>8013</v>
      </c>
    </row>
    <row r="720" customFormat="false" ht="15" hidden="false" customHeight="true" outlineLevel="0" collapsed="false">
      <c r="A720" s="6" t="s">
        <v>3271</v>
      </c>
      <c r="B720" s="6" t="s">
        <v>7069</v>
      </c>
      <c r="C720" s="6" t="s">
        <v>8013</v>
      </c>
    </row>
    <row r="721" customFormat="false" ht="15" hidden="false" customHeight="true" outlineLevel="0" collapsed="false">
      <c r="A721" s="6" t="s">
        <v>3271</v>
      </c>
      <c r="B721" s="6" t="s">
        <v>8351</v>
      </c>
      <c r="C721" s="6"/>
    </row>
    <row r="722" customFormat="false" ht="15" hidden="false" customHeight="true" outlineLevel="0" collapsed="false">
      <c r="A722" s="6" t="s">
        <v>3271</v>
      </c>
      <c r="B722" s="6" t="s">
        <v>7071</v>
      </c>
      <c r="C722" s="6" t="s">
        <v>8013</v>
      </c>
    </row>
    <row r="723" customFormat="false" ht="15" hidden="false" customHeight="true" outlineLevel="0" collapsed="false">
      <c r="A723" s="6" t="s">
        <v>3271</v>
      </c>
      <c r="B723" s="6" t="s">
        <v>7073</v>
      </c>
      <c r="C723" s="6" t="s">
        <v>8013</v>
      </c>
    </row>
    <row r="724" customFormat="false" ht="15" hidden="false" customHeight="true" outlineLevel="0" collapsed="false">
      <c r="A724" s="6" t="s">
        <v>3271</v>
      </c>
      <c r="B724" s="6" t="s">
        <v>3274</v>
      </c>
      <c r="C724" s="6" t="s">
        <v>8013</v>
      </c>
    </row>
    <row r="725" customFormat="false" ht="15" hidden="false" customHeight="true" outlineLevel="0" collapsed="false">
      <c r="A725" s="6" t="s">
        <v>3281</v>
      </c>
      <c r="B725" s="6" t="s">
        <v>3281</v>
      </c>
      <c r="C725" s="6" t="s">
        <v>8013</v>
      </c>
    </row>
    <row r="726" customFormat="false" ht="15" hidden="false" customHeight="true" outlineLevel="0" collapsed="false">
      <c r="A726" s="6" t="s">
        <v>3281</v>
      </c>
      <c r="B726" s="6" t="s">
        <v>7074</v>
      </c>
      <c r="C726" s="6" t="s">
        <v>8013</v>
      </c>
    </row>
    <row r="727" customFormat="false" ht="15" hidden="false" customHeight="true" outlineLevel="0" collapsed="false">
      <c r="A727" s="6" t="s">
        <v>3281</v>
      </c>
      <c r="B727" s="6" t="s">
        <v>3285</v>
      </c>
      <c r="C727" s="6" t="s">
        <v>8013</v>
      </c>
    </row>
    <row r="728" customFormat="false" ht="15" hidden="false" customHeight="true" outlineLevel="0" collapsed="false">
      <c r="A728" s="6" t="s">
        <v>3281</v>
      </c>
      <c r="B728" s="6" t="s">
        <v>7077</v>
      </c>
      <c r="C728" s="6" t="s">
        <v>8013</v>
      </c>
    </row>
    <row r="729" customFormat="false" ht="15" hidden="false" customHeight="true" outlineLevel="0" collapsed="false">
      <c r="A729" s="6" t="s">
        <v>3281</v>
      </c>
      <c r="B729" s="6" t="s">
        <v>8352</v>
      </c>
      <c r="C729" s="6"/>
    </row>
    <row r="730" customFormat="false" ht="15" hidden="false" customHeight="true" outlineLevel="0" collapsed="false">
      <c r="A730" s="6" t="s">
        <v>3281</v>
      </c>
      <c r="B730" s="6" t="s">
        <v>7075</v>
      </c>
      <c r="C730" s="6" t="s">
        <v>8013</v>
      </c>
    </row>
    <row r="731" customFormat="false" ht="15" hidden="false" customHeight="true" outlineLevel="0" collapsed="false">
      <c r="A731" s="6" t="s">
        <v>3281</v>
      </c>
      <c r="B731" s="6" t="s">
        <v>7076</v>
      </c>
      <c r="C731" s="6" t="s">
        <v>8013</v>
      </c>
    </row>
    <row r="732" customFormat="false" ht="15" hidden="false" customHeight="true" outlineLevel="0" collapsed="false">
      <c r="A732" s="6" t="s">
        <v>3281</v>
      </c>
      <c r="B732" s="6" t="s">
        <v>7078</v>
      </c>
      <c r="C732" s="6" t="s">
        <v>8013</v>
      </c>
    </row>
    <row r="733" customFormat="false" ht="15" hidden="false" customHeight="true" outlineLevel="0" collapsed="false">
      <c r="A733" s="6" t="s">
        <v>3281</v>
      </c>
      <c r="B733" s="6" t="s">
        <v>8353</v>
      </c>
      <c r="C733" s="6"/>
    </row>
    <row r="734" customFormat="false" ht="15" hidden="false" customHeight="true" outlineLevel="0" collapsed="false">
      <c r="A734" s="6" t="s">
        <v>3281</v>
      </c>
      <c r="B734" s="6" t="s">
        <v>8354</v>
      </c>
      <c r="C734" s="6"/>
    </row>
    <row r="735" customFormat="false" ht="15" hidden="false" customHeight="true" outlineLevel="0" collapsed="false">
      <c r="A735" s="6" t="s">
        <v>3294</v>
      </c>
      <c r="B735" s="6" t="s">
        <v>7079</v>
      </c>
      <c r="C735" s="6" t="s">
        <v>8013</v>
      </c>
    </row>
    <row r="736" customFormat="false" ht="15" hidden="false" customHeight="true" outlineLevel="0" collapsed="false">
      <c r="A736" s="6" t="s">
        <v>3294</v>
      </c>
      <c r="B736" s="6" t="s">
        <v>7080</v>
      </c>
      <c r="C736" s="6" t="s">
        <v>8013</v>
      </c>
    </row>
    <row r="737" customFormat="false" ht="15" hidden="false" customHeight="true" outlineLevel="0" collapsed="false">
      <c r="A737" s="6" t="s">
        <v>3294</v>
      </c>
      <c r="B737" s="6" t="s">
        <v>7083</v>
      </c>
      <c r="C737" s="6" t="s">
        <v>8013</v>
      </c>
    </row>
    <row r="738" customFormat="false" ht="15" hidden="false" customHeight="true" outlineLevel="0" collapsed="false">
      <c r="A738" s="6" t="s">
        <v>3294</v>
      </c>
      <c r="B738" s="6" t="s">
        <v>7084</v>
      </c>
      <c r="C738" s="6" t="s">
        <v>8013</v>
      </c>
    </row>
    <row r="739" customFormat="false" ht="15" hidden="false" customHeight="true" outlineLevel="0" collapsed="false">
      <c r="A739" s="6" t="s">
        <v>3294</v>
      </c>
      <c r="B739" s="6" t="s">
        <v>7082</v>
      </c>
      <c r="C739" s="6" t="s">
        <v>8013</v>
      </c>
    </row>
    <row r="740" customFormat="false" ht="15" hidden="false" customHeight="true" outlineLevel="0" collapsed="false">
      <c r="A740" s="6" t="s">
        <v>3294</v>
      </c>
      <c r="B740" s="6" t="s">
        <v>8355</v>
      </c>
      <c r="C740" s="6"/>
    </row>
    <row r="741" customFormat="false" ht="15" hidden="false" customHeight="true" outlineLevel="0" collapsed="false">
      <c r="A741" s="6" t="s">
        <v>3294</v>
      </c>
      <c r="B741" s="6" t="s">
        <v>7081</v>
      </c>
      <c r="C741" s="6" t="s">
        <v>8013</v>
      </c>
    </row>
    <row r="742" customFormat="false" ht="15" hidden="false" customHeight="true" outlineLevel="0" collapsed="false">
      <c r="A742" s="6" t="s">
        <v>3294</v>
      </c>
      <c r="B742" s="6" t="s">
        <v>8356</v>
      </c>
      <c r="C742" s="6"/>
    </row>
    <row r="743" customFormat="false" ht="15" hidden="false" customHeight="true" outlineLevel="0" collapsed="false">
      <c r="A743" s="6" t="s">
        <v>3294</v>
      </c>
      <c r="B743" s="6" t="s">
        <v>8357</v>
      </c>
      <c r="C743" s="6"/>
    </row>
    <row r="744" customFormat="false" ht="15" hidden="false" customHeight="true" outlineLevel="0" collapsed="false">
      <c r="A744" s="6" t="s">
        <v>3294</v>
      </c>
      <c r="B744" s="6" t="s">
        <v>8358</v>
      </c>
      <c r="C744" s="6"/>
    </row>
    <row r="745" customFormat="false" ht="15" hidden="false" customHeight="true" outlineLevel="0" collapsed="false">
      <c r="A745" s="6" t="s">
        <v>330</v>
      </c>
      <c r="B745" s="6" t="s">
        <v>330</v>
      </c>
      <c r="C745" s="6" t="s">
        <v>8013</v>
      </c>
    </row>
    <row r="746" customFormat="false" ht="15" hidden="false" customHeight="true" outlineLevel="0" collapsed="false">
      <c r="A746" s="6" t="s">
        <v>330</v>
      </c>
      <c r="B746" s="6" t="s">
        <v>8359</v>
      </c>
      <c r="C746" s="6"/>
    </row>
    <row r="747" customFormat="false" ht="15" hidden="false" customHeight="true" outlineLevel="0" collapsed="false">
      <c r="A747" s="6" t="s">
        <v>330</v>
      </c>
      <c r="B747" s="6" t="s">
        <v>8360</v>
      </c>
      <c r="C747" s="6"/>
    </row>
    <row r="748" customFormat="false" ht="15" hidden="false" customHeight="true" outlineLevel="0" collapsed="false">
      <c r="A748" s="6" t="s">
        <v>330</v>
      </c>
      <c r="B748" s="6" t="s">
        <v>8361</v>
      </c>
      <c r="C748" s="6"/>
    </row>
    <row r="749" customFormat="false" ht="15" hidden="false" customHeight="true" outlineLevel="0" collapsed="false">
      <c r="A749" s="6" t="s">
        <v>330</v>
      </c>
      <c r="B749" s="6" t="s">
        <v>8362</v>
      </c>
      <c r="C749" s="6"/>
    </row>
    <row r="750" customFormat="false" ht="15" hidden="false" customHeight="true" outlineLevel="0" collapsed="false">
      <c r="A750" s="6" t="s">
        <v>330</v>
      </c>
      <c r="B750" s="6" t="s">
        <v>8363</v>
      </c>
      <c r="C750" s="6"/>
    </row>
    <row r="751" customFormat="false" ht="15" hidden="false" customHeight="true" outlineLevel="0" collapsed="false">
      <c r="A751" s="6" t="s">
        <v>330</v>
      </c>
      <c r="B751" s="6" t="s">
        <v>8364</v>
      </c>
      <c r="C751" s="6"/>
    </row>
    <row r="752" customFormat="false" ht="15" hidden="false" customHeight="true" outlineLevel="0" collapsed="false">
      <c r="A752" s="6" t="s">
        <v>330</v>
      </c>
      <c r="B752" s="6" t="s">
        <v>8365</v>
      </c>
      <c r="C752" s="6"/>
    </row>
    <row r="753" customFormat="false" ht="15" hidden="false" customHeight="true" outlineLevel="0" collapsed="false">
      <c r="A753" s="6" t="s">
        <v>330</v>
      </c>
      <c r="B753" s="6" t="s">
        <v>8366</v>
      </c>
      <c r="C753" s="6"/>
    </row>
    <row r="754" customFormat="false" ht="15" hidden="false" customHeight="true" outlineLevel="0" collapsed="false">
      <c r="A754" s="6" t="s">
        <v>330</v>
      </c>
      <c r="B754" s="6" t="s">
        <v>8367</v>
      </c>
      <c r="C754" s="6"/>
    </row>
    <row r="755" customFormat="false" ht="15" hidden="false" customHeight="true" outlineLevel="0" collapsed="false">
      <c r="A755" s="6" t="s">
        <v>3329</v>
      </c>
      <c r="B755" s="6" t="s">
        <v>3329</v>
      </c>
      <c r="C755" s="6" t="s">
        <v>8013</v>
      </c>
    </row>
    <row r="756" customFormat="false" ht="15" hidden="false" customHeight="true" outlineLevel="0" collapsed="false">
      <c r="A756" s="6" t="s">
        <v>3329</v>
      </c>
      <c r="B756" s="6" t="s">
        <v>3333</v>
      </c>
      <c r="C756" s="6" t="s">
        <v>8013</v>
      </c>
    </row>
    <row r="757" customFormat="false" ht="15" hidden="false" customHeight="true" outlineLevel="0" collapsed="false">
      <c r="A757" s="6" t="s">
        <v>3329</v>
      </c>
      <c r="B757" s="6" t="s">
        <v>7086</v>
      </c>
      <c r="C757" s="6" t="s">
        <v>8013</v>
      </c>
    </row>
    <row r="758" customFormat="false" ht="15" hidden="false" customHeight="true" outlineLevel="0" collapsed="false">
      <c r="A758" s="6" t="s">
        <v>3329</v>
      </c>
      <c r="B758" s="6" t="s">
        <v>7089</v>
      </c>
      <c r="C758" s="6" t="s">
        <v>8013</v>
      </c>
    </row>
    <row r="759" customFormat="false" ht="15" hidden="false" customHeight="true" outlineLevel="0" collapsed="false">
      <c r="A759" s="6" t="s">
        <v>3329</v>
      </c>
      <c r="B759" s="6" t="s">
        <v>7088</v>
      </c>
      <c r="C759" s="6" t="s">
        <v>8013</v>
      </c>
    </row>
    <row r="760" customFormat="false" ht="15" hidden="false" customHeight="true" outlineLevel="0" collapsed="false">
      <c r="A760" s="6" t="s">
        <v>3329</v>
      </c>
      <c r="B760" s="6" t="s">
        <v>8368</v>
      </c>
      <c r="C760" s="6"/>
    </row>
    <row r="761" customFormat="false" ht="15" hidden="false" customHeight="true" outlineLevel="0" collapsed="false">
      <c r="A761" s="6" t="s">
        <v>3329</v>
      </c>
      <c r="B761" s="6" t="s">
        <v>7087</v>
      </c>
      <c r="C761" s="6" t="s">
        <v>8013</v>
      </c>
    </row>
    <row r="762" customFormat="false" ht="15" hidden="false" customHeight="true" outlineLevel="0" collapsed="false">
      <c r="A762" s="6" t="s">
        <v>3329</v>
      </c>
      <c r="B762" s="6" t="s">
        <v>7085</v>
      </c>
      <c r="C762" s="6" t="s">
        <v>8013</v>
      </c>
    </row>
    <row r="763" customFormat="false" ht="15" hidden="false" customHeight="true" outlineLevel="0" collapsed="false">
      <c r="A763" s="6" t="s">
        <v>3329</v>
      </c>
      <c r="B763" s="6" t="s">
        <v>8369</v>
      </c>
      <c r="C763" s="6"/>
    </row>
    <row r="764" customFormat="false" ht="15" hidden="false" customHeight="true" outlineLevel="0" collapsed="false">
      <c r="A764" s="6" t="s">
        <v>3329</v>
      </c>
      <c r="B764" s="6" t="s">
        <v>8370</v>
      </c>
      <c r="C764" s="6"/>
    </row>
    <row r="765" customFormat="false" ht="15" hidden="false" customHeight="true" outlineLevel="0" collapsed="false">
      <c r="A765" s="6" t="s">
        <v>5996</v>
      </c>
      <c r="B765" s="6" t="s">
        <v>6001</v>
      </c>
      <c r="C765" s="6" t="s">
        <v>8013</v>
      </c>
    </row>
    <row r="766" customFormat="false" ht="15" hidden="false" customHeight="true" outlineLevel="0" collapsed="false">
      <c r="A766" s="6" t="s">
        <v>5996</v>
      </c>
      <c r="B766" s="6" t="s">
        <v>8371</v>
      </c>
      <c r="C766" s="6"/>
    </row>
    <row r="767" customFormat="false" ht="15" hidden="false" customHeight="true" outlineLevel="0" collapsed="false">
      <c r="A767" s="6" t="s">
        <v>5996</v>
      </c>
      <c r="B767" s="6" t="s">
        <v>8372</v>
      </c>
      <c r="C767" s="6"/>
    </row>
    <row r="768" customFormat="false" ht="15" hidden="false" customHeight="true" outlineLevel="0" collapsed="false">
      <c r="A768" s="6" t="s">
        <v>5996</v>
      </c>
      <c r="B768" s="6" t="s">
        <v>8373</v>
      </c>
      <c r="C768" s="6"/>
    </row>
    <row r="769" customFormat="false" ht="15" hidden="false" customHeight="true" outlineLevel="0" collapsed="false">
      <c r="A769" s="6" t="s">
        <v>3395</v>
      </c>
      <c r="B769" s="6" t="s">
        <v>3395</v>
      </c>
      <c r="C769" s="6" t="s">
        <v>8013</v>
      </c>
    </row>
    <row r="770" customFormat="false" ht="15" hidden="false" customHeight="true" outlineLevel="0" collapsed="false">
      <c r="A770" s="6" t="s">
        <v>3395</v>
      </c>
      <c r="B770" s="6" t="s">
        <v>7091</v>
      </c>
      <c r="C770" s="6" t="s">
        <v>8013</v>
      </c>
    </row>
    <row r="771" customFormat="false" ht="15" hidden="false" customHeight="true" outlineLevel="0" collapsed="false">
      <c r="A771" s="6" t="s">
        <v>3395</v>
      </c>
      <c r="B771" s="6" t="s">
        <v>7092</v>
      </c>
      <c r="C771" s="6" t="s">
        <v>8013</v>
      </c>
    </row>
    <row r="772" customFormat="false" ht="15" hidden="false" customHeight="true" outlineLevel="0" collapsed="false">
      <c r="A772" s="6" t="s">
        <v>3395</v>
      </c>
      <c r="B772" s="6" t="s">
        <v>8374</v>
      </c>
      <c r="C772" s="6"/>
    </row>
    <row r="773" customFormat="false" ht="15" hidden="false" customHeight="true" outlineLevel="0" collapsed="false">
      <c r="A773" s="6" t="s">
        <v>3395</v>
      </c>
      <c r="B773" s="6" t="s">
        <v>7115</v>
      </c>
      <c r="C773" s="6" t="s">
        <v>8013</v>
      </c>
    </row>
    <row r="774" customFormat="false" ht="15" hidden="false" customHeight="true" outlineLevel="0" collapsed="false">
      <c r="A774" s="6" t="s">
        <v>3395</v>
      </c>
      <c r="B774" s="6" t="s">
        <v>8375</v>
      </c>
      <c r="C774" s="6"/>
    </row>
    <row r="775" customFormat="false" ht="15" hidden="false" customHeight="true" outlineLevel="0" collapsed="false">
      <c r="A775" s="6" t="s">
        <v>3395</v>
      </c>
      <c r="B775" s="6" t="s">
        <v>8376</v>
      </c>
      <c r="C775" s="6"/>
    </row>
    <row r="776" customFormat="false" ht="15" hidden="false" customHeight="true" outlineLevel="0" collapsed="false">
      <c r="A776" s="6" t="s">
        <v>3395</v>
      </c>
      <c r="B776" s="6" t="s">
        <v>8377</v>
      </c>
      <c r="C776" s="6"/>
    </row>
    <row r="777" customFormat="false" ht="15" hidden="false" customHeight="true" outlineLevel="0" collapsed="false">
      <c r="A777" s="6" t="s">
        <v>3395</v>
      </c>
      <c r="B777" s="6" t="s">
        <v>8378</v>
      </c>
      <c r="C777" s="6"/>
    </row>
    <row r="778" customFormat="false" ht="15" hidden="false" customHeight="true" outlineLevel="0" collapsed="false">
      <c r="A778" s="6" t="s">
        <v>3395</v>
      </c>
      <c r="B778" s="6" t="s">
        <v>8379</v>
      </c>
      <c r="C778" s="6"/>
    </row>
    <row r="779" customFormat="false" ht="15" hidden="false" customHeight="true" outlineLevel="0" collapsed="false">
      <c r="A779" s="6" t="s">
        <v>3406</v>
      </c>
      <c r="B779" s="6" t="s">
        <v>3406</v>
      </c>
      <c r="C779" s="6" t="s">
        <v>8013</v>
      </c>
    </row>
    <row r="780" customFormat="false" ht="15" hidden="false" customHeight="true" outlineLevel="0" collapsed="false">
      <c r="A780" s="6" t="s">
        <v>3406</v>
      </c>
      <c r="B780" s="6" t="s">
        <v>8380</v>
      </c>
      <c r="C780" s="6"/>
    </row>
    <row r="781" customFormat="false" ht="15" hidden="false" customHeight="true" outlineLevel="0" collapsed="false">
      <c r="A781" s="6" t="s">
        <v>3406</v>
      </c>
      <c r="B781" s="6" t="s">
        <v>7093</v>
      </c>
      <c r="C781" s="6" t="s">
        <v>8013</v>
      </c>
    </row>
    <row r="782" customFormat="false" ht="15" hidden="false" customHeight="true" outlineLevel="0" collapsed="false">
      <c r="A782" s="6" t="s">
        <v>3406</v>
      </c>
      <c r="B782" s="6" t="s">
        <v>7094</v>
      </c>
      <c r="C782" s="6" t="s">
        <v>8013</v>
      </c>
    </row>
    <row r="783" customFormat="false" ht="15" hidden="false" customHeight="true" outlineLevel="0" collapsed="false">
      <c r="A783" s="6" t="s">
        <v>3406</v>
      </c>
      <c r="B783" s="6" t="s">
        <v>8381</v>
      </c>
      <c r="C783" s="6"/>
    </row>
    <row r="784" customFormat="false" ht="15" hidden="false" customHeight="true" outlineLevel="0" collapsed="false">
      <c r="A784" s="6" t="s">
        <v>3406</v>
      </c>
      <c r="B784" s="6" t="s">
        <v>8382</v>
      </c>
      <c r="C784" s="6"/>
    </row>
    <row r="785" customFormat="false" ht="15" hidden="false" customHeight="true" outlineLevel="0" collapsed="false">
      <c r="A785" s="6" t="s">
        <v>3406</v>
      </c>
      <c r="B785" s="6" t="s">
        <v>7095</v>
      </c>
      <c r="C785" s="6" t="s">
        <v>8013</v>
      </c>
    </row>
    <row r="786" customFormat="false" ht="15" hidden="false" customHeight="true" outlineLevel="0" collapsed="false">
      <c r="A786" s="6" t="s">
        <v>3406</v>
      </c>
      <c r="B786" s="6" t="s">
        <v>3395</v>
      </c>
      <c r="C786" s="6" t="s">
        <v>8013</v>
      </c>
    </row>
    <row r="787" customFormat="false" ht="15" hidden="false" customHeight="true" outlineLevel="0" collapsed="false">
      <c r="A787" s="6" t="s">
        <v>3406</v>
      </c>
      <c r="B787" s="6" t="s">
        <v>7121</v>
      </c>
      <c r="C787" s="6" t="s">
        <v>8013</v>
      </c>
    </row>
    <row r="788" customFormat="false" ht="15" hidden="false" customHeight="true" outlineLevel="0" collapsed="false">
      <c r="A788" s="6" t="s">
        <v>3406</v>
      </c>
      <c r="B788" s="6" t="s">
        <v>8383</v>
      </c>
      <c r="C788" s="6"/>
    </row>
    <row r="789" customFormat="false" ht="15" hidden="false" customHeight="true" outlineLevel="0" collapsed="false">
      <c r="A789" s="6" t="s">
        <v>3340</v>
      </c>
      <c r="B789" s="6" t="s">
        <v>3340</v>
      </c>
      <c r="C789" s="6" t="s">
        <v>8013</v>
      </c>
    </row>
    <row r="790" customFormat="false" ht="15" hidden="false" customHeight="true" outlineLevel="0" collapsed="false">
      <c r="A790" s="6" t="s">
        <v>3340</v>
      </c>
      <c r="B790" s="6" t="s">
        <v>243</v>
      </c>
      <c r="C790" s="6" t="s">
        <v>8013</v>
      </c>
    </row>
    <row r="791" customFormat="false" ht="15" hidden="false" customHeight="true" outlineLevel="0" collapsed="false">
      <c r="A791" s="6" t="s">
        <v>3340</v>
      </c>
      <c r="B791" s="6" t="s">
        <v>3363</v>
      </c>
      <c r="C791" s="6" t="s">
        <v>8013</v>
      </c>
    </row>
    <row r="792" customFormat="false" ht="15" hidden="false" customHeight="true" outlineLevel="0" collapsed="false">
      <c r="A792" s="6" t="s">
        <v>3340</v>
      </c>
      <c r="B792" s="6" t="s">
        <v>7106</v>
      </c>
      <c r="C792" s="6" t="s">
        <v>8013</v>
      </c>
    </row>
    <row r="793" customFormat="false" ht="15" hidden="false" customHeight="true" outlineLevel="0" collapsed="false">
      <c r="A793" s="6" t="s">
        <v>3340</v>
      </c>
      <c r="B793" s="6" t="s">
        <v>7097</v>
      </c>
      <c r="C793" s="6" t="s">
        <v>8013</v>
      </c>
    </row>
    <row r="794" customFormat="false" ht="15" hidden="false" customHeight="true" outlineLevel="0" collapsed="false">
      <c r="A794" s="6" t="s">
        <v>3340</v>
      </c>
      <c r="B794" s="6" t="s">
        <v>7113</v>
      </c>
      <c r="C794" s="6" t="s">
        <v>8013</v>
      </c>
    </row>
    <row r="795" customFormat="false" ht="15" hidden="false" customHeight="true" outlineLevel="0" collapsed="false">
      <c r="A795" s="6" t="s">
        <v>3340</v>
      </c>
      <c r="B795" s="6" t="s">
        <v>8384</v>
      </c>
      <c r="C795" s="6"/>
    </row>
    <row r="796" customFormat="false" ht="15" hidden="false" customHeight="true" outlineLevel="0" collapsed="false">
      <c r="A796" s="6" t="s">
        <v>3340</v>
      </c>
      <c r="B796" s="6" t="s">
        <v>8385</v>
      </c>
      <c r="C796" s="6"/>
    </row>
    <row r="797" customFormat="false" ht="15" hidden="false" customHeight="true" outlineLevel="0" collapsed="false">
      <c r="A797" s="6" t="s">
        <v>3340</v>
      </c>
      <c r="B797" s="6" t="s">
        <v>8386</v>
      </c>
      <c r="C797" s="6"/>
    </row>
    <row r="798" customFormat="false" ht="15" hidden="false" customHeight="true" outlineLevel="0" collapsed="false">
      <c r="A798" s="6" t="s">
        <v>3340</v>
      </c>
      <c r="B798" s="6" t="s">
        <v>8387</v>
      </c>
      <c r="C798" s="6"/>
    </row>
    <row r="799" customFormat="false" ht="15" hidden="false" customHeight="true" outlineLevel="0" collapsed="false">
      <c r="A799" s="6" t="s">
        <v>3385</v>
      </c>
      <c r="B799" s="6" t="s">
        <v>3385</v>
      </c>
      <c r="C799" s="6" t="s">
        <v>8013</v>
      </c>
    </row>
    <row r="800" customFormat="false" ht="15" hidden="false" customHeight="true" outlineLevel="0" collapsed="false">
      <c r="A800" s="6" t="s">
        <v>3385</v>
      </c>
      <c r="B800" s="6" t="s">
        <v>7098</v>
      </c>
      <c r="C800" s="6" t="s">
        <v>8013</v>
      </c>
    </row>
    <row r="801" customFormat="false" ht="15" hidden="false" customHeight="true" outlineLevel="0" collapsed="false">
      <c r="A801" s="6" t="s">
        <v>3385</v>
      </c>
      <c r="B801" s="6" t="s">
        <v>7099</v>
      </c>
      <c r="C801" s="6" t="s">
        <v>8013</v>
      </c>
    </row>
    <row r="802" customFormat="false" ht="15" hidden="false" customHeight="true" outlineLevel="0" collapsed="false">
      <c r="A802" s="6" t="s">
        <v>3385</v>
      </c>
      <c r="B802" s="6" t="s">
        <v>7096</v>
      </c>
      <c r="C802" s="6" t="s">
        <v>8013</v>
      </c>
    </row>
    <row r="803" customFormat="false" ht="15" hidden="false" customHeight="true" outlineLevel="0" collapsed="false">
      <c r="A803" s="6" t="s">
        <v>3385</v>
      </c>
      <c r="B803" s="6" t="s">
        <v>7114</v>
      </c>
      <c r="C803" s="6" t="s">
        <v>8013</v>
      </c>
    </row>
    <row r="804" customFormat="false" ht="15" hidden="false" customHeight="true" outlineLevel="0" collapsed="false">
      <c r="A804" s="6" t="s">
        <v>3385</v>
      </c>
      <c r="B804" s="6" t="s">
        <v>3343</v>
      </c>
      <c r="C804" s="6" t="s">
        <v>8013</v>
      </c>
    </row>
    <row r="805" customFormat="false" ht="15" hidden="false" customHeight="true" outlineLevel="0" collapsed="false">
      <c r="A805" s="6" t="s">
        <v>3385</v>
      </c>
      <c r="B805" s="6" t="s">
        <v>7100</v>
      </c>
      <c r="C805" s="6" t="s">
        <v>8013</v>
      </c>
    </row>
    <row r="806" customFormat="false" ht="15" hidden="false" customHeight="true" outlineLevel="0" collapsed="false">
      <c r="A806" s="6" t="s">
        <v>3385</v>
      </c>
      <c r="B806" s="6" t="s">
        <v>8388</v>
      </c>
      <c r="C806" s="6"/>
    </row>
    <row r="807" customFormat="false" ht="15" hidden="false" customHeight="true" outlineLevel="0" collapsed="false">
      <c r="A807" s="6" t="s">
        <v>3352</v>
      </c>
      <c r="B807" s="6" t="s">
        <v>3352</v>
      </c>
      <c r="C807" s="6" t="s">
        <v>8013</v>
      </c>
    </row>
    <row r="808" customFormat="false" ht="15" hidden="false" customHeight="true" outlineLevel="0" collapsed="false">
      <c r="A808" s="6" t="s">
        <v>3352</v>
      </c>
      <c r="B808" s="6" t="s">
        <v>7105</v>
      </c>
      <c r="C808" s="6" t="s">
        <v>8013</v>
      </c>
    </row>
    <row r="809" customFormat="false" ht="15" hidden="false" customHeight="true" outlineLevel="0" collapsed="false">
      <c r="A809" s="6" t="s">
        <v>3352</v>
      </c>
      <c r="B809" s="6" t="s">
        <v>7103</v>
      </c>
      <c r="C809" s="6" t="s">
        <v>8013</v>
      </c>
    </row>
    <row r="810" customFormat="false" ht="15" hidden="false" customHeight="true" outlineLevel="0" collapsed="false">
      <c r="A810" s="6" t="s">
        <v>3352</v>
      </c>
      <c r="B810" s="6" t="s">
        <v>3356</v>
      </c>
      <c r="C810" s="6" t="s">
        <v>8013</v>
      </c>
    </row>
    <row r="811" customFormat="false" ht="15" hidden="false" customHeight="true" outlineLevel="0" collapsed="false">
      <c r="A811" s="6" t="s">
        <v>3352</v>
      </c>
      <c r="B811" s="6" t="s">
        <v>7104</v>
      </c>
      <c r="C811" s="6" t="s">
        <v>8013</v>
      </c>
    </row>
    <row r="812" customFormat="false" ht="15" hidden="false" customHeight="true" outlineLevel="0" collapsed="false">
      <c r="A812" s="6" t="s">
        <v>3352</v>
      </c>
      <c r="B812" s="6" t="s">
        <v>7102</v>
      </c>
      <c r="C812" s="6" t="s">
        <v>8013</v>
      </c>
    </row>
    <row r="813" customFormat="false" ht="15" hidden="false" customHeight="true" outlineLevel="0" collapsed="false">
      <c r="A813" s="6" t="s">
        <v>3352</v>
      </c>
      <c r="B813" s="6" t="s">
        <v>7101</v>
      </c>
      <c r="C813" s="6" t="s">
        <v>8013</v>
      </c>
    </row>
    <row r="814" customFormat="false" ht="15" hidden="false" customHeight="true" outlineLevel="0" collapsed="false">
      <c r="A814" s="6" t="s">
        <v>3352</v>
      </c>
      <c r="B814" s="6" t="s">
        <v>8389</v>
      </c>
      <c r="C814" s="6"/>
    </row>
    <row r="815" customFormat="false" ht="15" hidden="false" customHeight="true" outlineLevel="0" collapsed="false">
      <c r="A815" s="6" t="s">
        <v>3352</v>
      </c>
      <c r="B815" s="6" t="s">
        <v>8390</v>
      </c>
      <c r="C815" s="6"/>
    </row>
    <row r="816" customFormat="false" ht="15" hidden="false" customHeight="true" outlineLevel="0" collapsed="false">
      <c r="A816" s="6" t="s">
        <v>3352</v>
      </c>
      <c r="B816" s="6" t="s">
        <v>8391</v>
      </c>
      <c r="C816" s="6"/>
    </row>
    <row r="817" customFormat="false" ht="15" hidden="false" customHeight="true" outlineLevel="0" collapsed="false">
      <c r="A817" s="6" t="s">
        <v>3363</v>
      </c>
      <c r="B817" s="6" t="s">
        <v>3363</v>
      </c>
      <c r="C817" s="6" t="s">
        <v>8013</v>
      </c>
    </row>
    <row r="818" customFormat="false" ht="15" hidden="false" customHeight="true" outlineLevel="0" collapsed="false">
      <c r="A818" s="6" t="s">
        <v>3363</v>
      </c>
      <c r="B818" s="6" t="s">
        <v>7110</v>
      </c>
      <c r="C818" s="6" t="s">
        <v>8013</v>
      </c>
    </row>
    <row r="819" customFormat="false" ht="15" hidden="false" customHeight="true" outlineLevel="0" collapsed="false">
      <c r="A819" s="6" t="s">
        <v>3363</v>
      </c>
      <c r="B819" s="6" t="s">
        <v>7112</v>
      </c>
      <c r="C819" s="6" t="s">
        <v>8013</v>
      </c>
    </row>
    <row r="820" customFormat="false" ht="15" hidden="false" customHeight="true" outlineLevel="0" collapsed="false">
      <c r="A820" s="6" t="s">
        <v>3363</v>
      </c>
      <c r="B820" s="6" t="s">
        <v>7111</v>
      </c>
      <c r="C820" s="6" t="s">
        <v>8013</v>
      </c>
    </row>
    <row r="821" customFormat="false" ht="15" hidden="false" customHeight="true" outlineLevel="0" collapsed="false">
      <c r="A821" s="6" t="s">
        <v>3363</v>
      </c>
      <c r="B821" s="6" t="s">
        <v>8392</v>
      </c>
      <c r="C821" s="6"/>
    </row>
    <row r="822" customFormat="false" ht="15" hidden="false" customHeight="true" outlineLevel="0" collapsed="false">
      <c r="A822" s="6" t="s">
        <v>3363</v>
      </c>
      <c r="B822" s="6" t="s">
        <v>7107</v>
      </c>
      <c r="C822" s="6" t="s">
        <v>8013</v>
      </c>
    </row>
    <row r="823" customFormat="false" ht="15" hidden="false" customHeight="true" outlineLevel="0" collapsed="false">
      <c r="A823" s="6" t="s">
        <v>3363</v>
      </c>
      <c r="B823" s="6" t="s">
        <v>7108</v>
      </c>
      <c r="C823" s="6" t="s">
        <v>8013</v>
      </c>
    </row>
    <row r="824" customFormat="false" ht="15" hidden="false" customHeight="true" outlineLevel="0" collapsed="false">
      <c r="A824" s="6" t="s">
        <v>3363</v>
      </c>
      <c r="B824" s="6" t="s">
        <v>7109</v>
      </c>
      <c r="C824" s="6" t="s">
        <v>8013</v>
      </c>
    </row>
    <row r="825" customFormat="false" ht="15" hidden="false" customHeight="true" outlineLevel="0" collapsed="false">
      <c r="A825" s="6" t="s">
        <v>3363</v>
      </c>
      <c r="B825" s="6" t="s">
        <v>8393</v>
      </c>
      <c r="C825" s="6"/>
    </row>
    <row r="826" customFormat="false" ht="15" hidden="false" customHeight="true" outlineLevel="0" collapsed="false">
      <c r="A826" s="6" t="s">
        <v>3363</v>
      </c>
      <c r="B826" s="6" t="s">
        <v>3367</v>
      </c>
      <c r="C826" s="6" t="s">
        <v>8013</v>
      </c>
    </row>
    <row r="827" customFormat="false" ht="15" hidden="false" customHeight="true" outlineLevel="0" collapsed="false">
      <c r="A827" s="6" t="s">
        <v>322</v>
      </c>
      <c r="B827" s="6" t="s">
        <v>322</v>
      </c>
      <c r="C827" s="6" t="s">
        <v>8013</v>
      </c>
    </row>
    <row r="828" customFormat="false" ht="15" hidden="false" customHeight="true" outlineLevel="0" collapsed="false">
      <c r="A828" s="6" t="s">
        <v>322</v>
      </c>
      <c r="B828" s="6" t="s">
        <v>8394</v>
      </c>
      <c r="C828" s="6"/>
    </row>
    <row r="829" customFormat="false" ht="15" hidden="false" customHeight="true" outlineLevel="0" collapsed="false">
      <c r="A829" s="6" t="s">
        <v>322</v>
      </c>
      <c r="B829" s="6" t="s">
        <v>8395</v>
      </c>
      <c r="C829" s="6"/>
    </row>
    <row r="830" customFormat="false" ht="15" hidden="false" customHeight="true" outlineLevel="0" collapsed="false">
      <c r="A830" s="6" t="s">
        <v>322</v>
      </c>
      <c r="B830" s="6" t="s">
        <v>8396</v>
      </c>
      <c r="C830" s="6"/>
    </row>
    <row r="831" customFormat="false" ht="15" hidden="false" customHeight="true" outlineLevel="0" collapsed="false">
      <c r="A831" s="6" t="s">
        <v>322</v>
      </c>
      <c r="B831" s="6" t="s">
        <v>8397</v>
      </c>
      <c r="C831" s="6"/>
    </row>
    <row r="832" customFormat="false" ht="15" hidden="false" customHeight="true" outlineLevel="0" collapsed="false">
      <c r="A832" s="6" t="s">
        <v>322</v>
      </c>
      <c r="B832" s="6" t="s">
        <v>8398</v>
      </c>
      <c r="C832" s="6"/>
    </row>
    <row r="833" customFormat="false" ht="15" hidden="false" customHeight="true" outlineLevel="0" collapsed="false">
      <c r="A833" s="6" t="s">
        <v>322</v>
      </c>
      <c r="B833" s="6" t="s">
        <v>8399</v>
      </c>
      <c r="C833" s="6"/>
    </row>
    <row r="834" customFormat="false" ht="15" hidden="false" customHeight="true" outlineLevel="0" collapsed="false">
      <c r="A834" s="6" t="s">
        <v>322</v>
      </c>
      <c r="B834" s="6" t="s">
        <v>8400</v>
      </c>
      <c r="C834" s="6"/>
    </row>
    <row r="835" customFormat="false" ht="15" hidden="false" customHeight="true" outlineLevel="0" collapsed="false">
      <c r="A835" s="6" t="s">
        <v>322</v>
      </c>
      <c r="B835" s="6" t="s">
        <v>8401</v>
      </c>
      <c r="C835" s="6"/>
    </row>
    <row r="836" customFormat="false" ht="15" hidden="false" customHeight="true" outlineLevel="0" collapsed="false">
      <c r="A836" s="6" t="s">
        <v>322</v>
      </c>
      <c r="B836" s="6" t="s">
        <v>8402</v>
      </c>
      <c r="C836" s="6"/>
    </row>
    <row r="837" customFormat="false" ht="15" hidden="false" customHeight="true" outlineLevel="0" collapsed="false">
      <c r="A837" s="6" t="s">
        <v>3374</v>
      </c>
      <c r="B837" s="6" t="s">
        <v>3374</v>
      </c>
      <c r="C837" s="6" t="s">
        <v>8013</v>
      </c>
    </row>
    <row r="838" customFormat="false" ht="15" hidden="false" customHeight="true" outlineLevel="0" collapsed="false">
      <c r="A838" s="6" t="s">
        <v>3374</v>
      </c>
      <c r="B838" s="6" t="s">
        <v>7116</v>
      </c>
      <c r="C838" s="6" t="s">
        <v>8013</v>
      </c>
    </row>
    <row r="839" customFormat="false" ht="15" hidden="false" customHeight="true" outlineLevel="0" collapsed="false">
      <c r="A839" s="6" t="s">
        <v>3374</v>
      </c>
      <c r="B839" s="6" t="s">
        <v>3378</v>
      </c>
      <c r="C839" s="6" t="s">
        <v>8013</v>
      </c>
    </row>
    <row r="840" customFormat="false" ht="15" hidden="false" customHeight="true" outlineLevel="0" collapsed="false">
      <c r="A840" s="6" t="s">
        <v>3374</v>
      </c>
      <c r="B840" s="6" t="s">
        <v>7118</v>
      </c>
      <c r="C840" s="6" t="s">
        <v>8013</v>
      </c>
    </row>
    <row r="841" customFormat="false" ht="15" hidden="false" customHeight="true" outlineLevel="0" collapsed="false">
      <c r="A841" s="6" t="s">
        <v>3374</v>
      </c>
      <c r="B841" s="6" t="s">
        <v>7120</v>
      </c>
      <c r="C841" s="6" t="s">
        <v>8013</v>
      </c>
    </row>
    <row r="842" customFormat="false" ht="15" hidden="false" customHeight="true" outlineLevel="0" collapsed="false">
      <c r="A842" s="6" t="s">
        <v>3374</v>
      </c>
      <c r="B842" s="6" t="s">
        <v>8403</v>
      </c>
      <c r="C842" s="6"/>
    </row>
    <row r="843" customFormat="false" ht="15" hidden="false" customHeight="true" outlineLevel="0" collapsed="false">
      <c r="A843" s="6" t="s">
        <v>3374</v>
      </c>
      <c r="B843" s="6" t="s">
        <v>7119</v>
      </c>
      <c r="C843" s="6" t="s">
        <v>8013</v>
      </c>
    </row>
    <row r="844" customFormat="false" ht="15" hidden="false" customHeight="true" outlineLevel="0" collapsed="false">
      <c r="A844" s="6" t="s">
        <v>3374</v>
      </c>
      <c r="B844" s="6" t="s">
        <v>8404</v>
      </c>
      <c r="C844" s="6"/>
    </row>
    <row r="845" customFormat="false" ht="15" hidden="false" customHeight="true" outlineLevel="0" collapsed="false">
      <c r="A845" s="6" t="s">
        <v>3374</v>
      </c>
      <c r="B845" s="6" t="s">
        <v>7117</v>
      </c>
      <c r="C845" s="6" t="s">
        <v>8013</v>
      </c>
    </row>
    <row r="846" customFormat="false" ht="15" hidden="false" customHeight="true" outlineLevel="0" collapsed="false">
      <c r="A846" s="6" t="s">
        <v>3374</v>
      </c>
      <c r="B846" s="6" t="s">
        <v>8405</v>
      </c>
      <c r="C846" s="6"/>
    </row>
    <row r="847" customFormat="false" ht="15" hidden="false" customHeight="true" outlineLevel="0" collapsed="false">
      <c r="A847" s="6" t="s">
        <v>3417</v>
      </c>
      <c r="B847" s="6" t="s">
        <v>3417</v>
      </c>
      <c r="C847" s="6" t="s">
        <v>8013</v>
      </c>
    </row>
    <row r="848" customFormat="false" ht="15" hidden="false" customHeight="true" outlineLevel="0" collapsed="false">
      <c r="A848" s="6" t="s">
        <v>3417</v>
      </c>
      <c r="B848" s="6" t="s">
        <v>3420</v>
      </c>
      <c r="C848" s="6" t="s">
        <v>8013</v>
      </c>
    </row>
    <row r="849" customFormat="false" ht="15" hidden="false" customHeight="true" outlineLevel="0" collapsed="false">
      <c r="A849" s="6" t="s">
        <v>3417</v>
      </c>
      <c r="B849" s="6" t="s">
        <v>7125</v>
      </c>
      <c r="C849" s="6" t="s">
        <v>8013</v>
      </c>
    </row>
    <row r="850" customFormat="false" ht="15" hidden="false" customHeight="true" outlineLevel="0" collapsed="false">
      <c r="A850" s="6" t="s">
        <v>3417</v>
      </c>
      <c r="B850" s="6" t="s">
        <v>7123</v>
      </c>
      <c r="C850" s="6" t="s">
        <v>8013</v>
      </c>
    </row>
    <row r="851" customFormat="false" ht="15" hidden="false" customHeight="true" outlineLevel="0" collapsed="false">
      <c r="A851" s="6" t="s">
        <v>3417</v>
      </c>
      <c r="B851" s="6" t="s">
        <v>3421</v>
      </c>
      <c r="C851" s="6" t="s">
        <v>8013</v>
      </c>
    </row>
    <row r="852" customFormat="false" ht="15" hidden="false" customHeight="true" outlineLevel="0" collapsed="false">
      <c r="A852" s="6" t="s">
        <v>3417</v>
      </c>
      <c r="B852" s="6" t="s">
        <v>8406</v>
      </c>
      <c r="C852" s="6"/>
    </row>
    <row r="853" customFormat="false" ht="15" hidden="false" customHeight="true" outlineLevel="0" collapsed="false">
      <c r="A853" s="6" t="s">
        <v>3417</v>
      </c>
      <c r="B853" s="6" t="s">
        <v>7124</v>
      </c>
      <c r="C853" s="6" t="s">
        <v>8013</v>
      </c>
    </row>
    <row r="854" customFormat="false" ht="15" hidden="false" customHeight="true" outlineLevel="0" collapsed="false">
      <c r="A854" s="6" t="s">
        <v>3417</v>
      </c>
      <c r="B854" s="6" t="s">
        <v>7122</v>
      </c>
      <c r="C854" s="6" t="s">
        <v>8013</v>
      </c>
    </row>
    <row r="855" customFormat="false" ht="15" hidden="false" customHeight="true" outlineLevel="0" collapsed="false">
      <c r="A855" s="6" t="s">
        <v>3417</v>
      </c>
      <c r="B855" s="6" t="s">
        <v>8407</v>
      </c>
      <c r="C855" s="6"/>
    </row>
    <row r="856" customFormat="false" ht="15" hidden="false" customHeight="true" outlineLevel="0" collapsed="false">
      <c r="A856" s="6" t="s">
        <v>3417</v>
      </c>
      <c r="B856" s="6" t="s">
        <v>8408</v>
      </c>
      <c r="C856" s="6"/>
    </row>
    <row r="857" customFormat="false" ht="15" hidden="false" customHeight="true" outlineLevel="0" collapsed="false">
      <c r="A857" s="6" t="s">
        <v>3429</v>
      </c>
      <c r="B857" s="6" t="s">
        <v>3429</v>
      </c>
      <c r="C857" s="6" t="s">
        <v>8013</v>
      </c>
    </row>
    <row r="858" customFormat="false" ht="15" hidden="false" customHeight="true" outlineLevel="0" collapsed="false">
      <c r="A858" s="6" t="s">
        <v>3429</v>
      </c>
      <c r="B858" s="6" t="s">
        <v>7129</v>
      </c>
      <c r="C858" s="6" t="s">
        <v>8013</v>
      </c>
    </row>
    <row r="859" customFormat="false" ht="15" hidden="false" customHeight="true" outlineLevel="0" collapsed="false">
      <c r="A859" s="6" t="s">
        <v>3429</v>
      </c>
      <c r="B859" s="6" t="s">
        <v>3432</v>
      </c>
      <c r="C859" s="6" t="s">
        <v>8013</v>
      </c>
    </row>
    <row r="860" customFormat="false" ht="15" hidden="false" customHeight="true" outlineLevel="0" collapsed="false">
      <c r="A860" s="6" t="s">
        <v>3429</v>
      </c>
      <c r="B860" s="6" t="s">
        <v>7127</v>
      </c>
      <c r="C860" s="6" t="s">
        <v>8013</v>
      </c>
    </row>
    <row r="861" customFormat="false" ht="15" hidden="false" customHeight="true" outlineLevel="0" collapsed="false">
      <c r="A861" s="6" t="s">
        <v>3429</v>
      </c>
      <c r="B861" s="6" t="s">
        <v>3433</v>
      </c>
      <c r="C861" s="6" t="s">
        <v>8013</v>
      </c>
    </row>
    <row r="862" customFormat="false" ht="15" hidden="false" customHeight="true" outlineLevel="0" collapsed="false">
      <c r="A862" s="6" t="s">
        <v>3429</v>
      </c>
      <c r="B862" s="6" t="s">
        <v>8409</v>
      </c>
      <c r="C862" s="6"/>
    </row>
    <row r="863" customFormat="false" ht="15" hidden="false" customHeight="true" outlineLevel="0" collapsed="false">
      <c r="A863" s="6" t="s">
        <v>3429</v>
      </c>
      <c r="B863" s="6" t="s">
        <v>7128</v>
      </c>
      <c r="C863" s="6" t="s">
        <v>8013</v>
      </c>
    </row>
    <row r="864" customFormat="false" ht="15" hidden="false" customHeight="true" outlineLevel="0" collapsed="false">
      <c r="A864" s="6" t="s">
        <v>3429</v>
      </c>
      <c r="B864" s="6" t="s">
        <v>8410</v>
      </c>
      <c r="C864" s="6"/>
    </row>
    <row r="865" customFormat="false" ht="15" hidden="false" customHeight="true" outlineLevel="0" collapsed="false">
      <c r="A865" s="6" t="s">
        <v>3429</v>
      </c>
      <c r="B865" s="6" t="s">
        <v>7126</v>
      </c>
      <c r="C865" s="6" t="s">
        <v>8013</v>
      </c>
    </row>
    <row r="866" customFormat="false" ht="15" hidden="false" customHeight="true" outlineLevel="0" collapsed="false">
      <c r="A866" s="6" t="s">
        <v>3429</v>
      </c>
      <c r="B866" s="6" t="s">
        <v>8411</v>
      </c>
      <c r="C866" s="6"/>
    </row>
    <row r="867" customFormat="false" ht="15" hidden="false" customHeight="true" outlineLevel="0" collapsed="false">
      <c r="A867" s="6" t="s">
        <v>3440</v>
      </c>
      <c r="B867" s="6" t="s">
        <v>3440</v>
      </c>
      <c r="C867" s="6" t="s">
        <v>8013</v>
      </c>
    </row>
    <row r="868" customFormat="false" ht="15" hidden="false" customHeight="true" outlineLevel="0" collapsed="false">
      <c r="A868" s="6" t="s">
        <v>3440</v>
      </c>
      <c r="B868" s="6" t="s">
        <v>3444</v>
      </c>
      <c r="C868" s="6" t="s">
        <v>8013</v>
      </c>
    </row>
    <row r="869" customFormat="false" ht="15" hidden="false" customHeight="true" outlineLevel="0" collapsed="false">
      <c r="A869" s="6" t="s">
        <v>3440</v>
      </c>
      <c r="B869" s="6" t="s">
        <v>7133</v>
      </c>
      <c r="C869" s="6" t="s">
        <v>8013</v>
      </c>
    </row>
    <row r="870" customFormat="false" ht="15" hidden="false" customHeight="true" outlineLevel="0" collapsed="false">
      <c r="A870" s="6" t="s">
        <v>3440</v>
      </c>
      <c r="B870" s="6" t="s">
        <v>8412</v>
      </c>
      <c r="C870" s="6"/>
    </row>
    <row r="871" customFormat="false" ht="15" hidden="false" customHeight="true" outlineLevel="0" collapsed="false">
      <c r="A871" s="6" t="s">
        <v>3440</v>
      </c>
      <c r="B871" s="6" t="s">
        <v>7132</v>
      </c>
      <c r="C871" s="6" t="s">
        <v>8013</v>
      </c>
    </row>
    <row r="872" customFormat="false" ht="15" hidden="false" customHeight="true" outlineLevel="0" collapsed="false">
      <c r="A872" s="6" t="s">
        <v>3440</v>
      </c>
      <c r="B872" s="6" t="s">
        <v>3443</v>
      </c>
      <c r="C872" s="6" t="s">
        <v>8013</v>
      </c>
    </row>
    <row r="873" customFormat="false" ht="15" hidden="false" customHeight="true" outlineLevel="0" collapsed="false">
      <c r="A873" s="6" t="s">
        <v>3440</v>
      </c>
      <c r="B873" s="6" t="s">
        <v>7131</v>
      </c>
      <c r="C873" s="6" t="s">
        <v>8013</v>
      </c>
    </row>
    <row r="874" customFormat="false" ht="15" hidden="false" customHeight="true" outlineLevel="0" collapsed="false">
      <c r="A874" s="6" t="s">
        <v>3440</v>
      </c>
      <c r="B874" s="6" t="s">
        <v>8413</v>
      </c>
      <c r="C874" s="6"/>
    </row>
    <row r="875" customFormat="false" ht="15" hidden="false" customHeight="true" outlineLevel="0" collapsed="false">
      <c r="A875" s="6" t="s">
        <v>3440</v>
      </c>
      <c r="B875" s="6" t="s">
        <v>7130</v>
      </c>
      <c r="C875" s="6" t="s">
        <v>8013</v>
      </c>
    </row>
    <row r="876" customFormat="false" ht="15" hidden="false" customHeight="true" outlineLevel="0" collapsed="false">
      <c r="A876" s="6" t="s">
        <v>3440</v>
      </c>
      <c r="B876" s="6" t="s">
        <v>8414</v>
      </c>
      <c r="C876" s="6"/>
    </row>
    <row r="877" customFormat="false" ht="15" hidden="false" customHeight="true" outlineLevel="0" collapsed="false">
      <c r="A877" s="6" t="s">
        <v>3450</v>
      </c>
      <c r="B877" s="6" t="s">
        <v>3450</v>
      </c>
      <c r="C877" s="6" t="s">
        <v>8013</v>
      </c>
    </row>
    <row r="878" customFormat="false" ht="15" hidden="false" customHeight="true" outlineLevel="0" collapsed="false">
      <c r="A878" s="6" t="s">
        <v>3450</v>
      </c>
      <c r="B878" s="6" t="s">
        <v>3453</v>
      </c>
      <c r="C878" s="6" t="s">
        <v>8013</v>
      </c>
    </row>
    <row r="879" customFormat="false" ht="15" hidden="false" customHeight="true" outlineLevel="0" collapsed="false">
      <c r="A879" s="6" t="s">
        <v>3450</v>
      </c>
      <c r="B879" s="6" t="s">
        <v>7137</v>
      </c>
      <c r="C879" s="6" t="s">
        <v>8013</v>
      </c>
    </row>
    <row r="880" customFormat="false" ht="15" hidden="false" customHeight="true" outlineLevel="0" collapsed="false">
      <c r="A880" s="6" t="s">
        <v>3450</v>
      </c>
      <c r="B880" s="6" t="s">
        <v>7135</v>
      </c>
      <c r="C880" s="6" t="s">
        <v>8013</v>
      </c>
    </row>
    <row r="881" customFormat="false" ht="15" hidden="false" customHeight="true" outlineLevel="0" collapsed="false">
      <c r="A881" s="6" t="s">
        <v>3450</v>
      </c>
      <c r="B881" s="6" t="s">
        <v>7136</v>
      </c>
      <c r="C881" s="6" t="s">
        <v>8013</v>
      </c>
    </row>
    <row r="882" customFormat="false" ht="15" hidden="false" customHeight="true" outlineLevel="0" collapsed="false">
      <c r="A882" s="6" t="s">
        <v>3450</v>
      </c>
      <c r="B882" s="6" t="s">
        <v>3454</v>
      </c>
      <c r="C882" s="6" t="s">
        <v>8013</v>
      </c>
    </row>
    <row r="883" customFormat="false" ht="15" hidden="false" customHeight="true" outlineLevel="0" collapsed="false">
      <c r="A883" s="6" t="s">
        <v>3450</v>
      </c>
      <c r="B883" s="6" t="s">
        <v>7134</v>
      </c>
      <c r="C883" s="6" t="s">
        <v>8013</v>
      </c>
    </row>
    <row r="884" customFormat="false" ht="15" hidden="false" customHeight="true" outlineLevel="0" collapsed="false">
      <c r="A884" s="6" t="s">
        <v>3450</v>
      </c>
      <c r="B884" s="6" t="s">
        <v>8415</v>
      </c>
      <c r="C884" s="6"/>
    </row>
    <row r="885" customFormat="false" ht="15" hidden="false" customHeight="true" outlineLevel="0" collapsed="false">
      <c r="A885" s="6" t="s">
        <v>3450</v>
      </c>
      <c r="B885" s="6" t="s">
        <v>8416</v>
      </c>
      <c r="C885" s="6"/>
    </row>
    <row r="886" customFormat="false" ht="15" hidden="false" customHeight="true" outlineLevel="0" collapsed="false">
      <c r="A886" s="6" t="s">
        <v>3450</v>
      </c>
      <c r="B886" s="6" t="s">
        <v>8417</v>
      </c>
      <c r="C886" s="6"/>
    </row>
    <row r="887" customFormat="false" ht="15" hidden="false" customHeight="true" outlineLevel="0" collapsed="false">
      <c r="A887" s="6" t="s">
        <v>6551</v>
      </c>
      <c r="B887" s="6" t="s">
        <v>6551</v>
      </c>
      <c r="C887" s="6" t="s">
        <v>8013</v>
      </c>
    </row>
    <row r="888" customFormat="false" ht="15" hidden="false" customHeight="true" outlineLevel="0" collapsed="false">
      <c r="A888" s="6" t="s">
        <v>6551</v>
      </c>
      <c r="B888" s="6" t="s">
        <v>8418</v>
      </c>
      <c r="C888" s="6"/>
    </row>
    <row r="889" customFormat="false" ht="15" hidden="false" customHeight="true" outlineLevel="0" collapsed="false">
      <c r="A889" s="6" t="s">
        <v>6551</v>
      </c>
      <c r="B889" s="6" t="s">
        <v>8419</v>
      </c>
      <c r="C889" s="6"/>
    </row>
    <row r="890" customFormat="false" ht="15" hidden="false" customHeight="true" outlineLevel="0" collapsed="false">
      <c r="A890" s="6" t="s">
        <v>6551</v>
      </c>
      <c r="B890" s="6" t="s">
        <v>8420</v>
      </c>
      <c r="C890" s="6"/>
    </row>
    <row r="891" customFormat="false" ht="15" hidden="false" customHeight="true" outlineLevel="0" collapsed="false">
      <c r="A891" s="6" t="s">
        <v>6551</v>
      </c>
      <c r="B891" s="6" t="s">
        <v>8421</v>
      </c>
      <c r="C891" s="6"/>
    </row>
    <row r="892" customFormat="false" ht="15" hidden="false" customHeight="true" outlineLevel="0" collapsed="false">
      <c r="A892" s="6" t="s">
        <v>6551</v>
      </c>
      <c r="B892" s="6" t="s">
        <v>8422</v>
      </c>
      <c r="C892" s="6"/>
    </row>
    <row r="893" customFormat="false" ht="15" hidden="false" customHeight="true" outlineLevel="0" collapsed="false">
      <c r="A893" s="6" t="s">
        <v>6551</v>
      </c>
      <c r="B893" s="6" t="s">
        <v>8423</v>
      </c>
      <c r="C893" s="6"/>
    </row>
    <row r="894" customFormat="false" ht="15" hidden="false" customHeight="true" outlineLevel="0" collapsed="false">
      <c r="A894" s="6" t="s">
        <v>6551</v>
      </c>
      <c r="B894" s="6" t="s">
        <v>8424</v>
      </c>
      <c r="C894" s="6"/>
    </row>
    <row r="895" customFormat="false" ht="15" hidden="false" customHeight="true" outlineLevel="0" collapsed="false">
      <c r="A895" s="6" t="s">
        <v>6551</v>
      </c>
      <c r="B895" s="6" t="s">
        <v>8425</v>
      </c>
      <c r="C895" s="6"/>
    </row>
    <row r="896" customFormat="false" ht="15" hidden="false" customHeight="true" outlineLevel="0" collapsed="false">
      <c r="A896" s="6" t="s">
        <v>6551</v>
      </c>
      <c r="B896" s="6" t="s">
        <v>8426</v>
      </c>
      <c r="C896" s="6"/>
    </row>
    <row r="897" customFormat="false" ht="15" hidden="false" customHeight="true" outlineLevel="0" collapsed="false">
      <c r="A897" s="6" t="s">
        <v>6555</v>
      </c>
      <c r="B897" s="6" t="s">
        <v>6555</v>
      </c>
      <c r="C897" s="6" t="s">
        <v>8013</v>
      </c>
    </row>
    <row r="898" customFormat="false" ht="15" hidden="false" customHeight="true" outlineLevel="0" collapsed="false">
      <c r="A898" s="6" t="s">
        <v>6555</v>
      </c>
      <c r="B898" s="6" t="s">
        <v>8427</v>
      </c>
      <c r="C898" s="6"/>
    </row>
    <row r="899" customFormat="false" ht="15" hidden="false" customHeight="true" outlineLevel="0" collapsed="false">
      <c r="A899" s="6" t="s">
        <v>6555</v>
      </c>
      <c r="B899" s="6" t="s">
        <v>8428</v>
      </c>
      <c r="C899" s="6"/>
    </row>
    <row r="900" customFormat="false" ht="15" hidden="false" customHeight="true" outlineLevel="0" collapsed="false">
      <c r="A900" s="6" t="s">
        <v>6555</v>
      </c>
      <c r="B900" s="6" t="s">
        <v>8429</v>
      </c>
      <c r="C900" s="6"/>
    </row>
    <row r="901" customFormat="false" ht="15" hidden="false" customHeight="true" outlineLevel="0" collapsed="false">
      <c r="A901" s="6" t="s">
        <v>6555</v>
      </c>
      <c r="B901" s="6" t="s">
        <v>8430</v>
      </c>
      <c r="C901" s="6"/>
    </row>
    <row r="902" customFormat="false" ht="15" hidden="false" customHeight="true" outlineLevel="0" collapsed="false">
      <c r="A902" s="6" t="s">
        <v>6555</v>
      </c>
      <c r="B902" s="6" t="s">
        <v>8431</v>
      </c>
      <c r="C902" s="6"/>
    </row>
    <row r="903" customFormat="false" ht="15" hidden="false" customHeight="true" outlineLevel="0" collapsed="false">
      <c r="A903" s="6" t="s">
        <v>6555</v>
      </c>
      <c r="B903" s="6" t="s">
        <v>8432</v>
      </c>
      <c r="C903" s="6"/>
    </row>
    <row r="904" customFormat="false" ht="15" hidden="false" customHeight="true" outlineLevel="0" collapsed="false">
      <c r="A904" s="6" t="s">
        <v>6555</v>
      </c>
      <c r="B904" s="6" t="s">
        <v>8433</v>
      </c>
      <c r="C904" s="6"/>
    </row>
    <row r="905" customFormat="false" ht="15" hidden="false" customHeight="true" outlineLevel="0" collapsed="false">
      <c r="A905" s="6" t="s">
        <v>6555</v>
      </c>
      <c r="B905" s="6" t="s">
        <v>8434</v>
      </c>
      <c r="C905" s="6"/>
    </row>
    <row r="906" customFormat="false" ht="15" hidden="false" customHeight="true" outlineLevel="0" collapsed="false">
      <c r="A906" s="6" t="s">
        <v>6555</v>
      </c>
      <c r="B906" s="6" t="s">
        <v>8435</v>
      </c>
      <c r="C906" s="6"/>
    </row>
    <row r="907" customFormat="false" ht="15" hidden="false" customHeight="true" outlineLevel="0" collapsed="false">
      <c r="A907" s="6" t="s">
        <v>3504</v>
      </c>
      <c r="B907" s="6" t="s">
        <v>3504</v>
      </c>
      <c r="C907" s="6" t="s">
        <v>8013</v>
      </c>
    </row>
    <row r="908" customFormat="false" ht="15" hidden="false" customHeight="true" outlineLevel="0" collapsed="false">
      <c r="A908" s="6" t="s">
        <v>3504</v>
      </c>
      <c r="B908" s="6" t="s">
        <v>7141</v>
      </c>
      <c r="C908" s="6" t="s">
        <v>8013</v>
      </c>
    </row>
    <row r="909" customFormat="false" ht="15" hidden="false" customHeight="true" outlineLevel="0" collapsed="false">
      <c r="A909" s="6" t="s">
        <v>3504</v>
      </c>
      <c r="B909" s="6" t="s">
        <v>3507</v>
      </c>
      <c r="C909" s="6" t="s">
        <v>8013</v>
      </c>
    </row>
    <row r="910" customFormat="false" ht="15" hidden="false" customHeight="true" outlineLevel="0" collapsed="false">
      <c r="A910" s="6" t="s">
        <v>3504</v>
      </c>
      <c r="B910" s="6" t="s">
        <v>7142</v>
      </c>
      <c r="C910" s="6" t="s">
        <v>8013</v>
      </c>
    </row>
    <row r="911" customFormat="false" ht="15" hidden="false" customHeight="true" outlineLevel="0" collapsed="false">
      <c r="A911" s="6" t="s">
        <v>3504</v>
      </c>
      <c r="B911" s="6" t="s">
        <v>8436</v>
      </c>
      <c r="C911" s="6"/>
    </row>
    <row r="912" customFormat="false" ht="15" hidden="false" customHeight="true" outlineLevel="0" collapsed="false">
      <c r="A912" s="6" t="s">
        <v>3504</v>
      </c>
      <c r="B912" s="6" t="s">
        <v>7143</v>
      </c>
      <c r="C912" s="6" t="s">
        <v>8013</v>
      </c>
    </row>
    <row r="913" customFormat="false" ht="15" hidden="false" customHeight="true" outlineLevel="0" collapsed="false">
      <c r="A913" s="6" t="s">
        <v>3504</v>
      </c>
      <c r="B913" s="6" t="s">
        <v>7140</v>
      </c>
      <c r="C913" s="6" t="s">
        <v>8013</v>
      </c>
    </row>
    <row r="914" customFormat="false" ht="15" hidden="false" customHeight="true" outlineLevel="0" collapsed="false">
      <c r="A914" s="6" t="s">
        <v>3504</v>
      </c>
      <c r="B914" s="6" t="s">
        <v>7139</v>
      </c>
      <c r="C914" s="6" t="s">
        <v>8013</v>
      </c>
    </row>
    <row r="915" customFormat="false" ht="15" hidden="false" customHeight="true" outlineLevel="0" collapsed="false">
      <c r="A915" s="6" t="s">
        <v>3504</v>
      </c>
      <c r="B915" s="6" t="s">
        <v>8437</v>
      </c>
      <c r="C915" s="6"/>
    </row>
    <row r="916" customFormat="false" ht="15" hidden="false" customHeight="true" outlineLevel="0" collapsed="false">
      <c r="A916" s="6" t="s">
        <v>3504</v>
      </c>
      <c r="B916" s="6" t="s">
        <v>3508</v>
      </c>
      <c r="C916" s="6" t="s">
        <v>8013</v>
      </c>
    </row>
    <row r="917" customFormat="false" ht="15" hidden="false" customHeight="true" outlineLevel="0" collapsed="false">
      <c r="A917" s="6" t="s">
        <v>3494</v>
      </c>
      <c r="B917" s="6" t="s">
        <v>3494</v>
      </c>
      <c r="C917" s="6" t="s">
        <v>8013</v>
      </c>
    </row>
    <row r="918" customFormat="false" ht="15" hidden="false" customHeight="true" outlineLevel="0" collapsed="false">
      <c r="A918" s="6" t="s">
        <v>3494</v>
      </c>
      <c r="B918" s="6" t="s">
        <v>8438</v>
      </c>
      <c r="C918" s="6"/>
    </row>
    <row r="919" customFormat="false" ht="15" hidden="false" customHeight="true" outlineLevel="0" collapsed="false">
      <c r="A919" s="6" t="s">
        <v>3494</v>
      </c>
      <c r="B919" s="6" t="s">
        <v>7145</v>
      </c>
      <c r="C919" s="6" t="s">
        <v>8013</v>
      </c>
    </row>
    <row r="920" customFormat="false" ht="15" hidden="false" customHeight="true" outlineLevel="0" collapsed="false">
      <c r="A920" s="6" t="s">
        <v>3494</v>
      </c>
      <c r="B920" s="6" t="s">
        <v>7147</v>
      </c>
      <c r="C920" s="6" t="s">
        <v>8013</v>
      </c>
    </row>
    <row r="921" customFormat="false" ht="15" hidden="false" customHeight="true" outlineLevel="0" collapsed="false">
      <c r="A921" s="6" t="s">
        <v>3494</v>
      </c>
      <c r="B921" s="6" t="s">
        <v>7146</v>
      </c>
      <c r="C921" s="6" t="s">
        <v>8013</v>
      </c>
    </row>
    <row r="922" customFormat="false" ht="15" hidden="false" customHeight="true" outlineLevel="0" collapsed="false">
      <c r="A922" s="6" t="s">
        <v>3494</v>
      </c>
      <c r="B922" s="6" t="s">
        <v>3498</v>
      </c>
      <c r="C922" s="6" t="s">
        <v>8013</v>
      </c>
    </row>
    <row r="923" customFormat="false" ht="15" hidden="false" customHeight="true" outlineLevel="0" collapsed="false">
      <c r="A923" s="6" t="s">
        <v>3494</v>
      </c>
      <c r="B923" s="6" t="s">
        <v>8439</v>
      </c>
      <c r="C923" s="6"/>
    </row>
    <row r="924" customFormat="false" ht="15" hidden="false" customHeight="true" outlineLevel="0" collapsed="false">
      <c r="A924" s="6" t="s">
        <v>3494</v>
      </c>
      <c r="B924" s="6" t="s">
        <v>8440</v>
      </c>
      <c r="C924" s="6"/>
    </row>
    <row r="925" customFormat="false" ht="15" hidden="false" customHeight="true" outlineLevel="0" collapsed="false">
      <c r="A925" s="6" t="s">
        <v>3494</v>
      </c>
      <c r="B925" s="6" t="s">
        <v>7148</v>
      </c>
      <c r="C925" s="6" t="s">
        <v>8013</v>
      </c>
    </row>
    <row r="926" customFormat="false" ht="15" hidden="false" customHeight="true" outlineLevel="0" collapsed="false">
      <c r="A926" s="6" t="s">
        <v>3494</v>
      </c>
      <c r="B926" s="6" t="s">
        <v>7144</v>
      </c>
      <c r="C926" s="6" t="s">
        <v>8013</v>
      </c>
    </row>
    <row r="927" customFormat="false" ht="15" hidden="false" customHeight="true" outlineLevel="0" collapsed="false">
      <c r="A927" s="6" t="s">
        <v>3517</v>
      </c>
      <c r="B927" s="6" t="s">
        <v>3517</v>
      </c>
      <c r="C927" s="6" t="s">
        <v>8013</v>
      </c>
    </row>
    <row r="928" customFormat="false" ht="15" hidden="false" customHeight="true" outlineLevel="0" collapsed="false">
      <c r="A928" s="6" t="s">
        <v>3517</v>
      </c>
      <c r="B928" s="6" t="s">
        <v>3520</v>
      </c>
      <c r="C928" s="6" t="s">
        <v>8013</v>
      </c>
    </row>
    <row r="929" customFormat="false" ht="15" hidden="false" customHeight="true" outlineLevel="0" collapsed="false">
      <c r="A929" s="6" t="s">
        <v>3517</v>
      </c>
      <c r="B929" s="6" t="s">
        <v>7151</v>
      </c>
      <c r="C929" s="6" t="s">
        <v>8013</v>
      </c>
    </row>
    <row r="930" customFormat="false" ht="15" hidden="false" customHeight="true" outlineLevel="0" collapsed="false">
      <c r="A930" s="6" t="s">
        <v>3517</v>
      </c>
      <c r="B930" s="6" t="s">
        <v>7150</v>
      </c>
      <c r="C930" s="6" t="s">
        <v>8013</v>
      </c>
    </row>
    <row r="931" customFormat="false" ht="15" hidden="false" customHeight="true" outlineLevel="0" collapsed="false">
      <c r="A931" s="6" t="s">
        <v>3517</v>
      </c>
      <c r="B931" s="6" t="s">
        <v>8441</v>
      </c>
      <c r="C931" s="6"/>
    </row>
    <row r="932" customFormat="false" ht="15" hidden="false" customHeight="true" outlineLevel="0" collapsed="false">
      <c r="A932" s="6" t="s">
        <v>3517</v>
      </c>
      <c r="B932" s="6" t="s">
        <v>7149</v>
      </c>
      <c r="C932" s="6" t="s">
        <v>8013</v>
      </c>
    </row>
    <row r="933" customFormat="false" ht="15" hidden="false" customHeight="true" outlineLevel="0" collapsed="false">
      <c r="A933" s="6" t="s">
        <v>3517</v>
      </c>
      <c r="B933" s="6" t="s">
        <v>7153</v>
      </c>
      <c r="C933" s="6" t="s">
        <v>8013</v>
      </c>
    </row>
    <row r="934" customFormat="false" ht="15" hidden="false" customHeight="true" outlineLevel="0" collapsed="false">
      <c r="A934" s="6" t="s">
        <v>3517</v>
      </c>
      <c r="B934" s="6" t="s">
        <v>3521</v>
      </c>
      <c r="C934" s="6" t="s">
        <v>8013</v>
      </c>
    </row>
    <row r="935" customFormat="false" ht="15" hidden="false" customHeight="true" outlineLevel="0" collapsed="false">
      <c r="A935" s="6" t="s">
        <v>3517</v>
      </c>
      <c r="B935" s="6" t="s">
        <v>7152</v>
      </c>
      <c r="C935" s="6" t="s">
        <v>8013</v>
      </c>
    </row>
    <row r="936" customFormat="false" ht="15" hidden="false" customHeight="true" outlineLevel="0" collapsed="false">
      <c r="A936" s="6" t="s">
        <v>3517</v>
      </c>
      <c r="B936" s="6" t="s">
        <v>8442</v>
      </c>
      <c r="C936" s="6"/>
    </row>
    <row r="937" customFormat="false" ht="15" hidden="false" customHeight="true" outlineLevel="0" collapsed="false">
      <c r="A937" s="6" t="s">
        <v>347</v>
      </c>
      <c r="B937" s="6" t="s">
        <v>347</v>
      </c>
      <c r="C937" s="6" t="s">
        <v>8013</v>
      </c>
    </row>
    <row r="938" customFormat="false" ht="15" hidden="false" customHeight="true" outlineLevel="0" collapsed="false">
      <c r="A938" s="6" t="s">
        <v>347</v>
      </c>
      <c r="B938" s="6" t="s">
        <v>6563</v>
      </c>
      <c r="C938" s="6" t="s">
        <v>8013</v>
      </c>
    </row>
    <row r="939" customFormat="false" ht="15" hidden="false" customHeight="true" outlineLevel="0" collapsed="false">
      <c r="A939" s="6" t="s">
        <v>347</v>
      </c>
      <c r="B939" s="6" t="s">
        <v>6565</v>
      </c>
      <c r="C939" s="6" t="s">
        <v>8013</v>
      </c>
    </row>
    <row r="940" customFormat="false" ht="15" hidden="false" customHeight="true" outlineLevel="0" collapsed="false">
      <c r="A940" s="6" t="s">
        <v>347</v>
      </c>
      <c r="B940" s="6" t="s">
        <v>8443</v>
      </c>
      <c r="C940" s="6"/>
    </row>
    <row r="941" customFormat="false" ht="15" hidden="false" customHeight="true" outlineLevel="0" collapsed="false">
      <c r="A941" s="6" t="s">
        <v>347</v>
      </c>
      <c r="B941" s="6" t="s">
        <v>8444</v>
      </c>
      <c r="C941" s="6"/>
    </row>
    <row r="942" customFormat="false" ht="15" hidden="false" customHeight="true" outlineLevel="0" collapsed="false">
      <c r="A942" s="6" t="s">
        <v>347</v>
      </c>
      <c r="B942" s="6" t="s">
        <v>8445</v>
      </c>
      <c r="C942" s="6"/>
    </row>
    <row r="943" customFormat="false" ht="15" hidden="false" customHeight="true" outlineLevel="0" collapsed="false">
      <c r="A943" s="6" t="s">
        <v>347</v>
      </c>
      <c r="B943" s="6" t="s">
        <v>8446</v>
      </c>
      <c r="C943" s="6"/>
    </row>
    <row r="944" customFormat="false" ht="15" hidden="false" customHeight="true" outlineLevel="0" collapsed="false">
      <c r="A944" s="6" t="s">
        <v>347</v>
      </c>
      <c r="B944" s="6" t="s">
        <v>8447</v>
      </c>
      <c r="C944" s="6"/>
    </row>
    <row r="945" customFormat="false" ht="15" hidden="false" customHeight="true" outlineLevel="0" collapsed="false">
      <c r="A945" s="6" t="s">
        <v>347</v>
      </c>
      <c r="B945" s="6" t="s">
        <v>8448</v>
      </c>
      <c r="C945" s="6"/>
    </row>
    <row r="946" customFormat="false" ht="15" hidden="false" customHeight="true" outlineLevel="0" collapsed="false">
      <c r="A946" s="6" t="s">
        <v>347</v>
      </c>
      <c r="B946" s="6" t="s">
        <v>8449</v>
      </c>
      <c r="C946" s="6"/>
    </row>
    <row r="947" customFormat="false" ht="15" hidden="false" customHeight="true" outlineLevel="0" collapsed="false">
      <c r="A947" s="6" t="s">
        <v>3527</v>
      </c>
      <c r="B947" s="6" t="s">
        <v>3527</v>
      </c>
      <c r="C947" s="6" t="s">
        <v>8013</v>
      </c>
    </row>
    <row r="948" customFormat="false" ht="15" hidden="false" customHeight="true" outlineLevel="0" collapsed="false">
      <c r="A948" s="6" t="s">
        <v>3527</v>
      </c>
      <c r="B948" s="6" t="s">
        <v>262</v>
      </c>
      <c r="C948" s="6" t="s">
        <v>8013</v>
      </c>
    </row>
    <row r="949" customFormat="false" ht="15" hidden="false" customHeight="true" outlineLevel="0" collapsed="false">
      <c r="A949" s="6" t="s">
        <v>3527</v>
      </c>
      <c r="B949" s="6" t="s">
        <v>7154</v>
      </c>
      <c r="C949" s="6" t="s">
        <v>8013</v>
      </c>
    </row>
    <row r="950" customFormat="false" ht="15" hidden="false" customHeight="true" outlineLevel="0" collapsed="false">
      <c r="A950" s="6" t="s">
        <v>3527</v>
      </c>
      <c r="B950" s="6" t="s">
        <v>7157</v>
      </c>
      <c r="C950" s="6" t="s">
        <v>8013</v>
      </c>
    </row>
    <row r="951" customFormat="false" ht="15" hidden="false" customHeight="true" outlineLevel="0" collapsed="false">
      <c r="A951" s="6" t="s">
        <v>3527</v>
      </c>
      <c r="B951" s="6" t="s">
        <v>8450</v>
      </c>
      <c r="C951" s="6"/>
    </row>
    <row r="952" customFormat="false" ht="15" hidden="false" customHeight="true" outlineLevel="0" collapsed="false">
      <c r="A952" s="6" t="s">
        <v>3527</v>
      </c>
      <c r="B952" s="6" t="s">
        <v>3530</v>
      </c>
      <c r="C952" s="6" t="s">
        <v>8013</v>
      </c>
    </row>
    <row r="953" customFormat="false" ht="15" hidden="false" customHeight="true" outlineLevel="0" collapsed="false">
      <c r="A953" s="6" t="s">
        <v>3527</v>
      </c>
      <c r="B953" s="6" t="s">
        <v>7156</v>
      </c>
      <c r="C953" s="6" t="s">
        <v>8013</v>
      </c>
    </row>
    <row r="954" customFormat="false" ht="15" hidden="false" customHeight="true" outlineLevel="0" collapsed="false">
      <c r="A954" s="6" t="s">
        <v>3527</v>
      </c>
      <c r="B954" s="6" t="s">
        <v>7155</v>
      </c>
      <c r="C954" s="6" t="s">
        <v>8013</v>
      </c>
    </row>
    <row r="955" customFormat="false" ht="15" hidden="false" customHeight="true" outlineLevel="0" collapsed="false">
      <c r="A955" s="6" t="s">
        <v>3527</v>
      </c>
      <c r="B955" s="6" t="s">
        <v>8451</v>
      </c>
      <c r="C955" s="6"/>
    </row>
    <row r="956" customFormat="false" ht="15" hidden="false" customHeight="true" outlineLevel="0" collapsed="false">
      <c r="A956" s="6" t="s">
        <v>3527</v>
      </c>
      <c r="B956" s="6" t="s">
        <v>8452</v>
      </c>
      <c r="C956" s="6"/>
    </row>
    <row r="957" customFormat="false" ht="15" hidden="false" customHeight="true" outlineLevel="0" collapsed="false">
      <c r="A957" s="6" t="s">
        <v>301</v>
      </c>
      <c r="B957" s="6" t="s">
        <v>301</v>
      </c>
      <c r="C957" s="6" t="s">
        <v>8013</v>
      </c>
    </row>
    <row r="958" customFormat="false" ht="15" hidden="false" customHeight="true" outlineLevel="0" collapsed="false">
      <c r="A958" s="6" t="s">
        <v>301</v>
      </c>
      <c r="B958" s="6" t="s">
        <v>309</v>
      </c>
      <c r="C958" s="6" t="s">
        <v>8013</v>
      </c>
    </row>
    <row r="959" customFormat="false" ht="15" hidden="false" customHeight="true" outlineLevel="0" collapsed="false">
      <c r="A959" s="6" t="s">
        <v>301</v>
      </c>
      <c r="B959" s="6" t="s">
        <v>181</v>
      </c>
      <c r="C959" s="6" t="s">
        <v>8013</v>
      </c>
    </row>
    <row r="960" customFormat="false" ht="15" hidden="false" customHeight="true" outlineLevel="0" collapsed="false">
      <c r="A960" s="6" t="s">
        <v>301</v>
      </c>
      <c r="B960" s="6" t="s">
        <v>303</v>
      </c>
      <c r="C960" s="6" t="s">
        <v>8013</v>
      </c>
    </row>
    <row r="961" customFormat="false" ht="15" hidden="false" customHeight="true" outlineLevel="0" collapsed="false">
      <c r="A961" s="6" t="s">
        <v>301</v>
      </c>
      <c r="B961" s="6" t="s">
        <v>305</v>
      </c>
      <c r="C961" s="6" t="s">
        <v>8013</v>
      </c>
    </row>
    <row r="962" customFormat="false" ht="15" hidden="false" customHeight="true" outlineLevel="0" collapsed="false">
      <c r="A962" s="6" t="s">
        <v>301</v>
      </c>
      <c r="B962" s="6" t="s">
        <v>183</v>
      </c>
      <c r="C962" s="6" t="s">
        <v>8013</v>
      </c>
    </row>
    <row r="963" customFormat="false" ht="15" hidden="false" customHeight="true" outlineLevel="0" collapsed="false">
      <c r="A963" s="6" t="s">
        <v>301</v>
      </c>
      <c r="B963" s="6" t="s">
        <v>306</v>
      </c>
      <c r="C963" s="6" t="s">
        <v>8013</v>
      </c>
    </row>
    <row r="964" customFormat="false" ht="15" hidden="false" customHeight="true" outlineLevel="0" collapsed="false">
      <c r="A964" s="6" t="s">
        <v>301</v>
      </c>
      <c r="B964" s="6" t="s">
        <v>310</v>
      </c>
      <c r="C964" s="6" t="s">
        <v>8013</v>
      </c>
    </row>
    <row r="965" customFormat="false" ht="15" hidden="false" customHeight="true" outlineLevel="0" collapsed="false">
      <c r="A965" s="6" t="s">
        <v>301</v>
      </c>
      <c r="B965" s="6" t="s">
        <v>312</v>
      </c>
      <c r="C965" s="6" t="s">
        <v>8013</v>
      </c>
    </row>
    <row r="966" customFormat="false" ht="15" hidden="false" customHeight="true" outlineLevel="0" collapsed="false">
      <c r="A966" s="6" t="s">
        <v>301</v>
      </c>
      <c r="B966" s="6" t="s">
        <v>2151</v>
      </c>
      <c r="C966" s="6" t="s">
        <v>8013</v>
      </c>
    </row>
    <row r="967" customFormat="false" ht="15" hidden="false" customHeight="true" outlineLevel="0" collapsed="false">
      <c r="A967" s="6" t="s">
        <v>2291</v>
      </c>
      <c r="B967" s="6" t="s">
        <v>1253</v>
      </c>
      <c r="C967" s="6" t="s">
        <v>8013</v>
      </c>
    </row>
    <row r="968" customFormat="false" ht="15" hidden="false" customHeight="true" outlineLevel="0" collapsed="false">
      <c r="A968" s="6" t="s">
        <v>2291</v>
      </c>
      <c r="B968" s="6" t="s">
        <v>8453</v>
      </c>
      <c r="C968" s="6"/>
    </row>
    <row r="969" customFormat="false" ht="15" hidden="false" customHeight="true" outlineLevel="0" collapsed="false">
      <c r="A969" s="6" t="s">
        <v>2291</v>
      </c>
      <c r="B969" s="6" t="s">
        <v>8454</v>
      </c>
      <c r="C969" s="6"/>
    </row>
    <row r="970" customFormat="false" ht="15" hidden="false" customHeight="true" outlineLevel="0" collapsed="false">
      <c r="A970" s="6" t="s">
        <v>2291</v>
      </c>
      <c r="B970" s="6" t="s">
        <v>8455</v>
      </c>
      <c r="C970" s="6"/>
    </row>
    <row r="971" customFormat="false" ht="15" hidden="false" customHeight="true" outlineLevel="0" collapsed="false">
      <c r="A971" s="6" t="s">
        <v>2291</v>
      </c>
      <c r="B971" s="6" t="s">
        <v>8456</v>
      </c>
      <c r="C971" s="6"/>
    </row>
    <row r="972" customFormat="false" ht="15" hidden="false" customHeight="true" outlineLevel="0" collapsed="false">
      <c r="A972" s="6" t="s">
        <v>2291</v>
      </c>
      <c r="B972" s="6" t="s">
        <v>8457</v>
      </c>
      <c r="C972" s="6"/>
    </row>
    <row r="973" customFormat="false" ht="15" hidden="false" customHeight="true" outlineLevel="0" collapsed="false">
      <c r="A973" s="6" t="s">
        <v>2165</v>
      </c>
      <c r="B973" s="6" t="s">
        <v>2165</v>
      </c>
      <c r="C973" s="6" t="s">
        <v>8013</v>
      </c>
    </row>
    <row r="974" customFormat="false" ht="15" hidden="false" customHeight="true" outlineLevel="0" collapsed="false">
      <c r="A974" s="6" t="s">
        <v>2165</v>
      </c>
      <c r="B974" s="6" t="s">
        <v>8458</v>
      </c>
      <c r="C974" s="6"/>
    </row>
    <row r="975" customFormat="false" ht="15" hidden="false" customHeight="true" outlineLevel="0" collapsed="false">
      <c r="A975" s="6" t="s">
        <v>2165</v>
      </c>
      <c r="B975" s="6" t="s">
        <v>8459</v>
      </c>
      <c r="C975" s="6"/>
    </row>
    <row r="976" customFormat="false" ht="15" hidden="false" customHeight="true" outlineLevel="0" collapsed="false">
      <c r="A976" s="6" t="s">
        <v>2165</v>
      </c>
      <c r="B976" s="6" t="s">
        <v>8460</v>
      </c>
      <c r="C976" s="6"/>
    </row>
    <row r="977" customFormat="false" ht="15" hidden="false" customHeight="true" outlineLevel="0" collapsed="false">
      <c r="A977" s="6" t="s">
        <v>2265</v>
      </c>
      <c r="B977" s="6" t="s">
        <v>2265</v>
      </c>
      <c r="C977" s="6" t="s">
        <v>8013</v>
      </c>
    </row>
    <row r="978" customFormat="false" ht="15" hidden="false" customHeight="true" outlineLevel="0" collapsed="false">
      <c r="A978" s="6" t="s">
        <v>2265</v>
      </c>
      <c r="B978" s="6" t="s">
        <v>7162</v>
      </c>
      <c r="C978" s="6" t="s">
        <v>8013</v>
      </c>
    </row>
    <row r="979" customFormat="false" ht="15" hidden="false" customHeight="true" outlineLevel="0" collapsed="false">
      <c r="A979" s="6" t="s">
        <v>2265</v>
      </c>
      <c r="B979" s="6" t="s">
        <v>8461</v>
      </c>
      <c r="C979" s="6"/>
    </row>
    <row r="980" customFormat="false" ht="15" hidden="false" customHeight="true" outlineLevel="0" collapsed="false">
      <c r="A980" s="6" t="s">
        <v>2265</v>
      </c>
      <c r="B980" s="6" t="s">
        <v>8462</v>
      </c>
      <c r="C980" s="6"/>
    </row>
    <row r="981" customFormat="false" ht="15" hidden="false" customHeight="true" outlineLevel="0" collapsed="false">
      <c r="A981" s="6" t="s">
        <v>2265</v>
      </c>
      <c r="B981" s="6" t="s">
        <v>8463</v>
      </c>
      <c r="C981" s="6"/>
    </row>
    <row r="982" customFormat="false" ht="15" hidden="false" customHeight="true" outlineLevel="0" collapsed="false">
      <c r="A982" s="6" t="s">
        <v>2265</v>
      </c>
      <c r="B982" s="6" t="s">
        <v>8464</v>
      </c>
      <c r="C982" s="6"/>
    </row>
    <row r="983" customFormat="false" ht="15" hidden="false" customHeight="true" outlineLevel="0" collapsed="false">
      <c r="A983" s="6" t="s">
        <v>2265</v>
      </c>
      <c r="B983" s="6" t="s">
        <v>8465</v>
      </c>
      <c r="C983" s="6"/>
    </row>
    <row r="984" customFormat="false" ht="15" hidden="false" customHeight="true" outlineLevel="0" collapsed="false">
      <c r="A984" s="6" t="s">
        <v>2265</v>
      </c>
      <c r="B984" s="6" t="s">
        <v>8466</v>
      </c>
      <c r="C984" s="6"/>
    </row>
    <row r="985" customFormat="false" ht="15" hidden="false" customHeight="true" outlineLevel="0" collapsed="false">
      <c r="A985" s="6" t="s">
        <v>2265</v>
      </c>
      <c r="B985" s="6" t="s">
        <v>7559</v>
      </c>
      <c r="C985" s="6" t="s">
        <v>8013</v>
      </c>
    </row>
    <row r="986" customFormat="false" ht="15" hidden="false" customHeight="true" outlineLevel="0" collapsed="false">
      <c r="A986" s="6" t="s">
        <v>2265</v>
      </c>
      <c r="B986" s="6" t="s">
        <v>8467</v>
      </c>
      <c r="C986" s="6"/>
    </row>
    <row r="987" customFormat="false" ht="15" hidden="false" customHeight="true" outlineLevel="0" collapsed="false">
      <c r="A987" s="6" t="s">
        <v>2002</v>
      </c>
      <c r="B987" s="6" t="s">
        <v>7160</v>
      </c>
      <c r="C987" s="6" t="s">
        <v>8013</v>
      </c>
    </row>
    <row r="988" customFormat="false" ht="15" hidden="false" customHeight="true" outlineLevel="0" collapsed="false">
      <c r="A988" s="6" t="s">
        <v>2002</v>
      </c>
      <c r="B988" s="6" t="s">
        <v>7161</v>
      </c>
      <c r="C988" s="6" t="s">
        <v>8013</v>
      </c>
    </row>
    <row r="989" customFormat="false" ht="15" hidden="false" customHeight="true" outlineLevel="0" collapsed="false">
      <c r="A989" s="6" t="s">
        <v>2002</v>
      </c>
      <c r="B989" s="6" t="s">
        <v>8468</v>
      </c>
      <c r="C989" s="6"/>
    </row>
    <row r="990" customFormat="false" ht="15" hidden="false" customHeight="true" outlineLevel="0" collapsed="false">
      <c r="A990" s="6" t="s">
        <v>2002</v>
      </c>
      <c r="B990" s="6" t="s">
        <v>8469</v>
      </c>
      <c r="C990" s="6"/>
    </row>
    <row r="991" customFormat="false" ht="15" hidden="false" customHeight="true" outlineLevel="0" collapsed="false">
      <c r="A991" s="6" t="s">
        <v>2002</v>
      </c>
      <c r="B991" s="6" t="s">
        <v>8470</v>
      </c>
      <c r="C991" s="6"/>
    </row>
    <row r="992" customFormat="false" ht="15" hidden="false" customHeight="true" outlineLevel="0" collapsed="false">
      <c r="A992" s="6" t="s">
        <v>2002</v>
      </c>
      <c r="B992" s="6" t="s">
        <v>8471</v>
      </c>
      <c r="C992" s="6"/>
    </row>
    <row r="993" customFormat="false" ht="15" hidden="false" customHeight="true" outlineLevel="0" collapsed="false">
      <c r="A993" s="6" t="s">
        <v>2259</v>
      </c>
      <c r="B993" s="6" t="s">
        <v>2259</v>
      </c>
      <c r="C993" s="6" t="s">
        <v>8013</v>
      </c>
    </row>
    <row r="994" customFormat="false" ht="15" hidden="false" customHeight="true" outlineLevel="0" collapsed="false">
      <c r="A994" s="6" t="s">
        <v>2259</v>
      </c>
      <c r="B994" s="6" t="s">
        <v>8472</v>
      </c>
      <c r="C994" s="6"/>
    </row>
    <row r="995" customFormat="false" ht="15" hidden="false" customHeight="true" outlineLevel="0" collapsed="false">
      <c r="A995" s="6" t="s">
        <v>2198</v>
      </c>
      <c r="B995" s="6" t="s">
        <v>2198</v>
      </c>
      <c r="C995" s="6" t="s">
        <v>8013</v>
      </c>
    </row>
    <row r="996" customFormat="false" ht="15" hidden="false" customHeight="true" outlineLevel="0" collapsed="false">
      <c r="A996" s="6" t="s">
        <v>2198</v>
      </c>
      <c r="B996" s="6" t="s">
        <v>7164</v>
      </c>
      <c r="C996" s="6" t="s">
        <v>8013</v>
      </c>
    </row>
    <row r="997" customFormat="false" ht="15" hidden="false" customHeight="true" outlineLevel="0" collapsed="false">
      <c r="A997" s="6" t="s">
        <v>2198</v>
      </c>
      <c r="B997" s="6" t="s">
        <v>7163</v>
      </c>
      <c r="C997" s="6" t="s">
        <v>8013</v>
      </c>
    </row>
    <row r="998" customFormat="false" ht="15" hidden="false" customHeight="true" outlineLevel="0" collapsed="false">
      <c r="A998" s="6" t="s">
        <v>2198</v>
      </c>
      <c r="B998" s="6" t="s">
        <v>8473</v>
      </c>
      <c r="C998" s="6"/>
    </row>
    <row r="999" customFormat="false" ht="15" hidden="false" customHeight="true" outlineLevel="0" collapsed="false">
      <c r="A999" s="6" t="s">
        <v>2198</v>
      </c>
      <c r="B999" s="6" t="s">
        <v>8474</v>
      </c>
      <c r="C999" s="6"/>
    </row>
    <row r="1000" customFormat="false" ht="15" hidden="false" customHeight="true" outlineLevel="0" collapsed="false">
      <c r="A1000" s="6" t="s">
        <v>2198</v>
      </c>
      <c r="B1000" s="6" t="s">
        <v>8475</v>
      </c>
      <c r="C1000" s="6"/>
    </row>
    <row r="1001" customFormat="false" ht="15" hidden="false" customHeight="true" outlineLevel="0" collapsed="false">
      <c r="A1001" s="6" t="s">
        <v>2278</v>
      </c>
      <c r="B1001" s="6" t="s">
        <v>2278</v>
      </c>
      <c r="C1001" s="6" t="s">
        <v>8013</v>
      </c>
    </row>
    <row r="1002" customFormat="false" ht="15" hidden="false" customHeight="true" outlineLevel="0" collapsed="false">
      <c r="A1002" s="6" t="s">
        <v>2278</v>
      </c>
      <c r="B1002" s="6" t="s">
        <v>1238</v>
      </c>
      <c r="C1002" s="6" t="s">
        <v>8013</v>
      </c>
    </row>
    <row r="1003" customFormat="false" ht="15" hidden="false" customHeight="true" outlineLevel="0" collapsed="false">
      <c r="A1003" s="6" t="s">
        <v>2186</v>
      </c>
      <c r="B1003" s="6" t="s">
        <v>2186</v>
      </c>
      <c r="C1003" s="6" t="s">
        <v>8013</v>
      </c>
    </row>
    <row r="1004" customFormat="false" ht="15" hidden="false" customHeight="true" outlineLevel="0" collapsed="false">
      <c r="A1004" s="6" t="s">
        <v>2186</v>
      </c>
      <c r="B1004" s="6" t="s">
        <v>7166</v>
      </c>
      <c r="C1004" s="6" t="s">
        <v>8013</v>
      </c>
    </row>
    <row r="1005" customFormat="false" ht="15" hidden="false" customHeight="true" outlineLevel="0" collapsed="false">
      <c r="A1005" s="6" t="s">
        <v>2186</v>
      </c>
      <c r="B1005" s="6" t="s">
        <v>1238</v>
      </c>
      <c r="C1005" s="6" t="s">
        <v>8013</v>
      </c>
    </row>
    <row r="1006" customFormat="false" ht="15" hidden="false" customHeight="true" outlineLevel="0" collapsed="false">
      <c r="A1006" s="6" t="s">
        <v>1964</v>
      </c>
      <c r="B1006" s="6" t="s">
        <v>1964</v>
      </c>
      <c r="C1006" s="6" t="s">
        <v>8013</v>
      </c>
    </row>
    <row r="1007" customFormat="false" ht="15" hidden="false" customHeight="true" outlineLevel="0" collapsed="false">
      <c r="A1007" s="6" t="s">
        <v>1964</v>
      </c>
      <c r="B1007" s="6" t="s">
        <v>6714</v>
      </c>
      <c r="C1007" s="6" t="s">
        <v>8013</v>
      </c>
    </row>
    <row r="1008" customFormat="false" ht="15" hidden="false" customHeight="true" outlineLevel="0" collapsed="false">
      <c r="A1008" s="6" t="s">
        <v>1964</v>
      </c>
      <c r="B1008" s="6" t="s">
        <v>7168</v>
      </c>
      <c r="C1008" s="6" t="s">
        <v>8013</v>
      </c>
    </row>
    <row r="1009" customFormat="false" ht="15" hidden="false" customHeight="true" outlineLevel="0" collapsed="false">
      <c r="A1009" s="6" t="s">
        <v>1964</v>
      </c>
      <c r="B1009" s="6" t="s">
        <v>7167</v>
      </c>
      <c r="C1009" s="6" t="s">
        <v>8013</v>
      </c>
    </row>
    <row r="1010" customFormat="false" ht="15" hidden="false" customHeight="true" outlineLevel="0" collapsed="false">
      <c r="A1010" s="6" t="s">
        <v>1964</v>
      </c>
      <c r="B1010" s="6" t="s">
        <v>7560</v>
      </c>
      <c r="C1010" s="6" t="s">
        <v>8013</v>
      </c>
    </row>
    <row r="1011" customFormat="false" ht="15" hidden="false" customHeight="true" outlineLevel="0" collapsed="false">
      <c r="A1011" s="6" t="s">
        <v>1964</v>
      </c>
      <c r="B1011" s="6" t="s">
        <v>8476</v>
      </c>
      <c r="C1011" s="6"/>
    </row>
    <row r="1012" customFormat="false" ht="15" hidden="false" customHeight="true" outlineLevel="0" collapsed="false">
      <c r="A1012" s="6" t="s">
        <v>1964</v>
      </c>
      <c r="B1012" s="6" t="s">
        <v>8477</v>
      </c>
      <c r="C1012" s="6"/>
    </row>
    <row r="1013" customFormat="false" ht="15" hidden="false" customHeight="true" outlineLevel="0" collapsed="false">
      <c r="A1013" s="6" t="s">
        <v>1964</v>
      </c>
      <c r="B1013" s="6" t="s">
        <v>8478</v>
      </c>
      <c r="C1013" s="6"/>
    </row>
    <row r="1014" customFormat="false" ht="15" hidden="false" customHeight="true" outlineLevel="0" collapsed="false">
      <c r="A1014" s="6" t="s">
        <v>2205</v>
      </c>
      <c r="B1014" s="6" t="s">
        <v>2205</v>
      </c>
      <c r="C1014" s="6" t="s">
        <v>8013</v>
      </c>
    </row>
    <row r="1015" customFormat="false" ht="15" hidden="false" customHeight="true" outlineLevel="0" collapsed="false">
      <c r="A1015" s="6" t="s">
        <v>2205</v>
      </c>
      <c r="B1015" s="6" t="s">
        <v>7090</v>
      </c>
      <c r="C1015" s="6" t="s">
        <v>8013</v>
      </c>
    </row>
    <row r="1016" customFormat="false" ht="15" hidden="false" customHeight="true" outlineLevel="0" collapsed="false">
      <c r="A1016" s="6" t="s">
        <v>2205</v>
      </c>
      <c r="B1016" s="6" t="s">
        <v>7174</v>
      </c>
      <c r="C1016" s="6" t="s">
        <v>8013</v>
      </c>
    </row>
    <row r="1017" customFormat="false" ht="15" hidden="false" customHeight="true" outlineLevel="0" collapsed="false">
      <c r="A1017" s="6" t="s">
        <v>2205</v>
      </c>
      <c r="B1017" s="6" t="s">
        <v>7176</v>
      </c>
      <c r="C1017" s="6" t="s">
        <v>8013</v>
      </c>
    </row>
    <row r="1018" customFormat="false" ht="15" hidden="false" customHeight="true" outlineLevel="0" collapsed="false">
      <c r="A1018" s="6" t="s">
        <v>2205</v>
      </c>
      <c r="B1018" s="6" t="s">
        <v>7175</v>
      </c>
      <c r="C1018" s="6" t="s">
        <v>8013</v>
      </c>
    </row>
    <row r="1019" customFormat="false" ht="15" hidden="false" customHeight="true" outlineLevel="0" collapsed="false">
      <c r="A1019" s="6" t="s">
        <v>2218</v>
      </c>
      <c r="B1019" s="6" t="s">
        <v>2218</v>
      </c>
      <c r="C1019" s="6" t="s">
        <v>8013</v>
      </c>
    </row>
    <row r="1020" customFormat="false" ht="15" hidden="false" customHeight="true" outlineLevel="0" collapsed="false">
      <c r="A1020" s="6" t="s">
        <v>2218</v>
      </c>
      <c r="B1020" s="6" t="s">
        <v>7173</v>
      </c>
      <c r="C1020" s="6" t="s">
        <v>8013</v>
      </c>
    </row>
    <row r="1021" customFormat="false" ht="15" hidden="false" customHeight="true" outlineLevel="0" collapsed="false">
      <c r="A1021" s="6" t="s">
        <v>2218</v>
      </c>
      <c r="B1021" s="6" t="s">
        <v>7170</v>
      </c>
      <c r="C1021" s="6" t="s">
        <v>8013</v>
      </c>
    </row>
    <row r="1022" customFormat="false" ht="15" hidden="false" customHeight="true" outlineLevel="0" collapsed="false">
      <c r="A1022" s="6" t="s">
        <v>2218</v>
      </c>
      <c r="B1022" s="6" t="s">
        <v>7172</v>
      </c>
      <c r="C1022" s="6" t="s">
        <v>8013</v>
      </c>
    </row>
    <row r="1023" customFormat="false" ht="15" hidden="false" customHeight="true" outlineLevel="0" collapsed="false">
      <c r="A1023" s="6" t="s">
        <v>2218</v>
      </c>
      <c r="B1023" s="6" t="s">
        <v>8479</v>
      </c>
      <c r="C1023" s="6"/>
    </row>
    <row r="1024" customFormat="false" ht="15" hidden="false" customHeight="true" outlineLevel="0" collapsed="false">
      <c r="A1024" s="6" t="s">
        <v>2218</v>
      </c>
      <c r="B1024" s="6" t="s">
        <v>2221</v>
      </c>
      <c r="C1024" s="6" t="s">
        <v>8013</v>
      </c>
    </row>
    <row r="1025" customFormat="false" ht="15" hidden="false" customHeight="true" outlineLevel="0" collapsed="false">
      <c r="A1025" s="6" t="s">
        <v>2218</v>
      </c>
      <c r="B1025" s="6" t="s">
        <v>7171</v>
      </c>
      <c r="C1025" s="6" t="s">
        <v>8013</v>
      </c>
    </row>
    <row r="1026" customFormat="false" ht="15" hidden="false" customHeight="true" outlineLevel="0" collapsed="false">
      <c r="A1026" s="6" t="s">
        <v>2218</v>
      </c>
      <c r="B1026" s="6" t="s">
        <v>8480</v>
      </c>
      <c r="C1026" s="6"/>
    </row>
    <row r="1027" customFormat="false" ht="15" hidden="false" customHeight="true" outlineLevel="0" collapsed="false">
      <c r="A1027" s="6" t="s">
        <v>2218</v>
      </c>
      <c r="B1027" s="6" t="s">
        <v>8481</v>
      </c>
      <c r="C1027" s="6"/>
    </row>
    <row r="1028" customFormat="false" ht="15" hidden="false" customHeight="true" outlineLevel="0" collapsed="false">
      <c r="A1028" s="6" t="s">
        <v>2218</v>
      </c>
      <c r="B1028" s="6" t="s">
        <v>7169</v>
      </c>
      <c r="C1028" s="6" t="s">
        <v>8013</v>
      </c>
    </row>
    <row r="1029" customFormat="false" ht="15" hidden="false" customHeight="true" outlineLevel="0" collapsed="false">
      <c r="A1029" s="6" t="s">
        <v>1942</v>
      </c>
      <c r="B1029" s="6" t="s">
        <v>1942</v>
      </c>
      <c r="C1029" s="6" t="s">
        <v>8013</v>
      </c>
    </row>
    <row r="1030" customFormat="false" ht="15" hidden="false" customHeight="true" outlineLevel="0" collapsed="false">
      <c r="A1030" s="6" t="s">
        <v>2097</v>
      </c>
      <c r="B1030" s="6" t="s">
        <v>2097</v>
      </c>
      <c r="C1030" s="6" t="s">
        <v>8013</v>
      </c>
    </row>
    <row r="1031" customFormat="false" ht="15" hidden="false" customHeight="true" outlineLevel="0" collapsed="false">
      <c r="A1031" s="6" t="s">
        <v>2097</v>
      </c>
      <c r="B1031" s="6" t="s">
        <v>1058</v>
      </c>
      <c r="C1031" s="6" t="s">
        <v>8013</v>
      </c>
    </row>
    <row r="1032" customFormat="false" ht="15" hidden="false" customHeight="true" outlineLevel="0" collapsed="false">
      <c r="A1032" s="6" t="s">
        <v>2097</v>
      </c>
      <c r="B1032" s="6" t="s">
        <v>8482</v>
      </c>
      <c r="C1032" s="6"/>
    </row>
    <row r="1033" customFormat="false" ht="15" hidden="false" customHeight="true" outlineLevel="0" collapsed="false">
      <c r="A1033" s="6" t="s">
        <v>2097</v>
      </c>
      <c r="B1033" s="6" t="s">
        <v>8483</v>
      </c>
      <c r="C1033" s="6"/>
    </row>
    <row r="1034" customFormat="false" ht="15" hidden="false" customHeight="true" outlineLevel="0" collapsed="false">
      <c r="A1034" s="6" t="s">
        <v>2097</v>
      </c>
      <c r="B1034" s="6" t="s">
        <v>8484</v>
      </c>
      <c r="C1034" s="6"/>
    </row>
    <row r="1035" customFormat="false" ht="15" hidden="false" customHeight="true" outlineLevel="0" collapsed="false">
      <c r="A1035" s="6" t="s">
        <v>2252</v>
      </c>
      <c r="B1035" s="6" t="s">
        <v>2252</v>
      </c>
      <c r="C1035" s="6" t="s">
        <v>8013</v>
      </c>
    </row>
    <row r="1036" customFormat="false" ht="15" hidden="false" customHeight="true" outlineLevel="0" collapsed="false">
      <c r="A1036" s="6" t="s">
        <v>2252</v>
      </c>
      <c r="B1036" s="6" t="s">
        <v>7179</v>
      </c>
      <c r="C1036" s="6" t="s">
        <v>8013</v>
      </c>
    </row>
    <row r="1037" customFormat="false" ht="15" hidden="false" customHeight="true" outlineLevel="0" collapsed="false">
      <c r="A1037" s="6" t="s">
        <v>2252</v>
      </c>
      <c r="B1037" s="6" t="s">
        <v>7178</v>
      </c>
      <c r="C1037" s="6" t="s">
        <v>8013</v>
      </c>
    </row>
    <row r="1038" customFormat="false" ht="15" hidden="false" customHeight="true" outlineLevel="0" collapsed="false">
      <c r="A1038" s="6" t="s">
        <v>2252</v>
      </c>
      <c r="B1038" s="6" t="s">
        <v>7180</v>
      </c>
      <c r="C1038" s="6" t="s">
        <v>8013</v>
      </c>
    </row>
    <row r="1039" customFormat="false" ht="15" hidden="false" customHeight="true" outlineLevel="0" collapsed="false">
      <c r="A1039" s="6" t="s">
        <v>2252</v>
      </c>
      <c r="B1039" s="6" t="s">
        <v>7182</v>
      </c>
      <c r="C1039" s="6" t="s">
        <v>8013</v>
      </c>
    </row>
    <row r="1040" customFormat="false" ht="15" hidden="false" customHeight="true" outlineLevel="0" collapsed="false">
      <c r="A1040" s="6" t="s">
        <v>2252</v>
      </c>
      <c r="B1040" s="6" t="s">
        <v>7181</v>
      </c>
      <c r="C1040" s="6" t="s">
        <v>8013</v>
      </c>
    </row>
    <row r="1041" customFormat="false" ht="15" hidden="false" customHeight="true" outlineLevel="0" collapsed="false">
      <c r="A1041" s="6" t="s">
        <v>2252</v>
      </c>
      <c r="B1041" s="6" t="s">
        <v>8485</v>
      </c>
      <c r="C1041" s="6"/>
    </row>
    <row r="1042" customFormat="false" ht="15" hidden="false" customHeight="true" outlineLevel="0" collapsed="false">
      <c r="A1042" s="6" t="s">
        <v>2252</v>
      </c>
      <c r="B1042" s="6" t="s">
        <v>7177</v>
      </c>
      <c r="C1042" s="6" t="s">
        <v>8013</v>
      </c>
    </row>
    <row r="1043" customFormat="false" ht="15" hidden="false" customHeight="true" outlineLevel="0" collapsed="false">
      <c r="A1043" s="6" t="s">
        <v>2252</v>
      </c>
      <c r="B1043" s="6" t="s">
        <v>8486</v>
      </c>
      <c r="C1043" s="6"/>
    </row>
    <row r="1044" customFormat="false" ht="15" hidden="false" customHeight="true" outlineLevel="0" collapsed="false">
      <c r="A1044" s="6" t="s">
        <v>2252</v>
      </c>
      <c r="B1044" s="6" t="s">
        <v>8487</v>
      </c>
      <c r="C1044" s="6"/>
    </row>
    <row r="1045" customFormat="false" ht="15" hidden="false" customHeight="true" outlineLevel="0" collapsed="false">
      <c r="A1045" s="6" t="s">
        <v>2091</v>
      </c>
      <c r="B1045" s="6" t="s">
        <v>2091</v>
      </c>
      <c r="C1045" s="6" t="s">
        <v>8013</v>
      </c>
    </row>
    <row r="1046" customFormat="false" ht="15" hidden="false" customHeight="true" outlineLevel="0" collapsed="false">
      <c r="A1046" s="6" t="s">
        <v>2091</v>
      </c>
      <c r="B1046" s="6" t="s">
        <v>1051</v>
      </c>
      <c r="C1046" s="6" t="s">
        <v>8013</v>
      </c>
    </row>
    <row r="1047" customFormat="false" ht="15" hidden="false" customHeight="true" outlineLevel="0" collapsed="false">
      <c r="A1047" s="6" t="s">
        <v>2091</v>
      </c>
      <c r="B1047" s="6" t="s">
        <v>8488</v>
      </c>
      <c r="C1047" s="6"/>
    </row>
    <row r="1048" customFormat="false" ht="15" hidden="false" customHeight="true" outlineLevel="0" collapsed="false">
      <c r="A1048" s="6" t="s">
        <v>2091</v>
      </c>
      <c r="B1048" s="6" t="s">
        <v>8489</v>
      </c>
      <c r="C1048" s="6"/>
    </row>
    <row r="1049" customFormat="false" ht="15" hidden="false" customHeight="true" outlineLevel="0" collapsed="false">
      <c r="A1049" s="6" t="s">
        <v>2091</v>
      </c>
      <c r="B1049" s="6" t="s">
        <v>8490</v>
      </c>
      <c r="C1049" s="6"/>
    </row>
    <row r="1050" customFormat="false" ht="15" hidden="false" customHeight="true" outlineLevel="0" collapsed="false">
      <c r="A1050" s="6" t="s">
        <v>2091</v>
      </c>
      <c r="B1050" s="6" t="s">
        <v>8491</v>
      </c>
      <c r="C1050" s="6"/>
    </row>
    <row r="1051" customFormat="false" ht="15" hidden="false" customHeight="true" outlineLevel="0" collapsed="false">
      <c r="A1051" s="6" t="s">
        <v>2091</v>
      </c>
      <c r="B1051" s="6" t="s">
        <v>8492</v>
      </c>
      <c r="C1051" s="6"/>
    </row>
    <row r="1052" customFormat="false" ht="15" hidden="false" customHeight="true" outlineLevel="0" collapsed="false">
      <c r="A1052" s="6" t="s">
        <v>2091</v>
      </c>
      <c r="B1052" s="6" t="s">
        <v>8493</v>
      </c>
      <c r="C1052" s="6"/>
    </row>
    <row r="1053" customFormat="false" ht="15" hidden="false" customHeight="true" outlineLevel="0" collapsed="false">
      <c r="A1053" s="6" t="s">
        <v>2394</v>
      </c>
      <c r="B1053" s="6" t="s">
        <v>1356</v>
      </c>
      <c r="C1053" s="6" t="s">
        <v>8013</v>
      </c>
    </row>
    <row r="1054" customFormat="false" ht="15" hidden="false" customHeight="true" outlineLevel="0" collapsed="false">
      <c r="A1054" s="6" t="s">
        <v>2394</v>
      </c>
      <c r="B1054" s="6" t="s">
        <v>8494</v>
      </c>
      <c r="C1054" s="6"/>
    </row>
    <row r="1055" customFormat="false" ht="15" hidden="false" customHeight="true" outlineLevel="0" collapsed="false">
      <c r="A1055" s="6" t="s">
        <v>2394</v>
      </c>
      <c r="B1055" s="6" t="s">
        <v>8290</v>
      </c>
      <c r="C1055" s="6"/>
    </row>
    <row r="1056" customFormat="false" ht="15" hidden="false" customHeight="true" outlineLevel="0" collapsed="false">
      <c r="A1056" s="6" t="s">
        <v>2211</v>
      </c>
      <c r="B1056" s="6" t="s">
        <v>2211</v>
      </c>
      <c r="C1056" s="6" t="s">
        <v>8013</v>
      </c>
    </row>
    <row r="1057" customFormat="false" ht="15" hidden="false" customHeight="true" outlineLevel="0" collapsed="false">
      <c r="A1057" s="6" t="s">
        <v>2211</v>
      </c>
      <c r="B1057" s="6" t="s">
        <v>7186</v>
      </c>
      <c r="C1057" s="6" t="s">
        <v>8013</v>
      </c>
    </row>
    <row r="1058" customFormat="false" ht="15" hidden="false" customHeight="true" outlineLevel="0" collapsed="false">
      <c r="A1058" s="6" t="s">
        <v>2211</v>
      </c>
      <c r="B1058" s="6" t="s">
        <v>7184</v>
      </c>
      <c r="C1058" s="6" t="s">
        <v>8013</v>
      </c>
    </row>
    <row r="1059" customFormat="false" ht="15" hidden="false" customHeight="true" outlineLevel="0" collapsed="false">
      <c r="A1059" s="6" t="s">
        <v>2211</v>
      </c>
      <c r="B1059" s="6" t="s">
        <v>7185</v>
      </c>
      <c r="C1059" s="6" t="s">
        <v>8013</v>
      </c>
    </row>
    <row r="1060" customFormat="false" ht="15" hidden="false" customHeight="true" outlineLevel="0" collapsed="false">
      <c r="A1060" s="6" t="s">
        <v>2211</v>
      </c>
      <c r="B1060" s="6" t="s">
        <v>7183</v>
      </c>
      <c r="C1060" s="6" t="s">
        <v>8013</v>
      </c>
    </row>
    <row r="1061" customFormat="false" ht="15" hidden="false" customHeight="true" outlineLevel="0" collapsed="false">
      <c r="A1061" s="6" t="s">
        <v>2211</v>
      </c>
      <c r="B1061" s="6" t="s">
        <v>8495</v>
      </c>
      <c r="C1061" s="6"/>
    </row>
    <row r="1062" customFormat="false" ht="15" hidden="false" customHeight="true" outlineLevel="0" collapsed="false">
      <c r="A1062" s="6" t="s">
        <v>2211</v>
      </c>
      <c r="B1062" s="6" t="s">
        <v>8496</v>
      </c>
      <c r="C1062" s="6"/>
    </row>
    <row r="1063" customFormat="false" ht="15" hidden="false" customHeight="true" outlineLevel="0" collapsed="false">
      <c r="A1063" s="6" t="s">
        <v>2211</v>
      </c>
      <c r="B1063" s="6" t="s">
        <v>2214</v>
      </c>
      <c r="C1063" s="6" t="s">
        <v>8013</v>
      </c>
    </row>
    <row r="1064" customFormat="false" ht="15" hidden="false" customHeight="true" outlineLevel="0" collapsed="false">
      <c r="A1064" s="6" t="s">
        <v>2211</v>
      </c>
      <c r="B1064" s="6" t="s">
        <v>8497</v>
      </c>
      <c r="C1064" s="6"/>
    </row>
    <row r="1065" customFormat="false" ht="15" hidden="false" customHeight="true" outlineLevel="0" collapsed="false">
      <c r="A1065" s="6" t="s">
        <v>2211</v>
      </c>
      <c r="B1065" s="6" t="s">
        <v>8498</v>
      </c>
      <c r="C1065" s="6"/>
    </row>
    <row r="1066" customFormat="false" ht="15" hidden="false" customHeight="true" outlineLevel="0" collapsed="false">
      <c r="A1066" s="6" t="s">
        <v>2370</v>
      </c>
      <c r="B1066" s="6" t="s">
        <v>1356</v>
      </c>
      <c r="C1066" s="6" t="s">
        <v>8013</v>
      </c>
    </row>
    <row r="1067" customFormat="false" ht="15" hidden="false" customHeight="true" outlineLevel="0" collapsed="false">
      <c r="A1067" s="6" t="s">
        <v>2370</v>
      </c>
      <c r="B1067" s="6" t="s">
        <v>7184</v>
      </c>
      <c r="C1067" s="6" t="s">
        <v>8013</v>
      </c>
    </row>
    <row r="1068" customFormat="false" ht="15" hidden="false" customHeight="true" outlineLevel="0" collapsed="false">
      <c r="A1068" s="6" t="s">
        <v>2151</v>
      </c>
      <c r="B1068" s="6" t="s">
        <v>2151</v>
      </c>
      <c r="C1068" s="6" t="s">
        <v>8013</v>
      </c>
    </row>
    <row r="1069" customFormat="false" ht="15" hidden="false" customHeight="true" outlineLevel="0" collapsed="false">
      <c r="A1069" s="6" t="s">
        <v>2151</v>
      </c>
      <c r="B1069" s="6" t="s">
        <v>7191</v>
      </c>
      <c r="C1069" s="6" t="s">
        <v>8013</v>
      </c>
    </row>
    <row r="1070" customFormat="false" ht="15" hidden="false" customHeight="true" outlineLevel="0" collapsed="false">
      <c r="A1070" s="6" t="s">
        <v>2151</v>
      </c>
      <c r="B1070" s="6" t="s">
        <v>7188</v>
      </c>
      <c r="C1070" s="6" t="s">
        <v>8013</v>
      </c>
    </row>
    <row r="1071" customFormat="false" ht="15" hidden="false" customHeight="true" outlineLevel="0" collapsed="false">
      <c r="A1071" s="6" t="s">
        <v>2151</v>
      </c>
      <c r="B1071" s="6" t="s">
        <v>8499</v>
      </c>
      <c r="C1071" s="6"/>
    </row>
    <row r="1072" customFormat="false" ht="15" hidden="false" customHeight="true" outlineLevel="0" collapsed="false">
      <c r="A1072" s="6" t="s">
        <v>2151</v>
      </c>
      <c r="B1072" s="6" t="s">
        <v>7189</v>
      </c>
      <c r="C1072" s="6" t="s">
        <v>8013</v>
      </c>
    </row>
    <row r="1073" customFormat="false" ht="15" hidden="false" customHeight="true" outlineLevel="0" collapsed="false">
      <c r="A1073" s="6" t="s">
        <v>2151</v>
      </c>
      <c r="B1073" s="6" t="s">
        <v>8500</v>
      </c>
      <c r="C1073" s="6"/>
    </row>
    <row r="1074" customFormat="false" ht="15" hidden="false" customHeight="true" outlineLevel="0" collapsed="false">
      <c r="A1074" s="6" t="s">
        <v>2151</v>
      </c>
      <c r="B1074" s="6" t="s">
        <v>7190</v>
      </c>
      <c r="C1074" s="6" t="s">
        <v>8013</v>
      </c>
    </row>
    <row r="1075" customFormat="false" ht="15" hidden="false" customHeight="true" outlineLevel="0" collapsed="false">
      <c r="A1075" s="6" t="s">
        <v>2151</v>
      </c>
      <c r="B1075" s="6" t="s">
        <v>8501</v>
      </c>
      <c r="C1075" s="6"/>
    </row>
    <row r="1076" customFormat="false" ht="15" hidden="false" customHeight="true" outlineLevel="0" collapsed="false">
      <c r="A1076" s="6" t="s">
        <v>2151</v>
      </c>
      <c r="B1076" s="6" t="s">
        <v>8502</v>
      </c>
      <c r="C1076" s="6"/>
    </row>
    <row r="1077" customFormat="false" ht="15" hidden="false" customHeight="true" outlineLevel="0" collapsed="false">
      <c r="A1077" s="6" t="s">
        <v>2151</v>
      </c>
      <c r="B1077" s="6" t="s">
        <v>7187</v>
      </c>
      <c r="C1077" s="6" t="s">
        <v>8013</v>
      </c>
    </row>
    <row r="1078" customFormat="false" ht="15" hidden="false" customHeight="true" outlineLevel="0" collapsed="false">
      <c r="A1078" s="6" t="s">
        <v>2023</v>
      </c>
      <c r="B1078" s="6" t="s">
        <v>2023</v>
      </c>
      <c r="C1078" s="6" t="s">
        <v>8013</v>
      </c>
    </row>
    <row r="1079" customFormat="false" ht="15" hidden="false" customHeight="true" outlineLevel="0" collapsed="false">
      <c r="A1079" s="6" t="s">
        <v>2023</v>
      </c>
      <c r="B1079" s="6" t="s">
        <v>8503</v>
      </c>
      <c r="C1079" s="6"/>
    </row>
    <row r="1080" customFormat="false" ht="15" hidden="false" customHeight="true" outlineLevel="0" collapsed="false">
      <c r="A1080" s="6" t="s">
        <v>2023</v>
      </c>
      <c r="B1080" s="6" t="s">
        <v>8504</v>
      </c>
      <c r="C1080" s="6"/>
    </row>
    <row r="1081" customFormat="false" ht="15" hidden="false" customHeight="true" outlineLevel="0" collapsed="false">
      <c r="A1081" s="6" t="s">
        <v>2023</v>
      </c>
      <c r="B1081" s="6" t="s">
        <v>8505</v>
      </c>
      <c r="C1081" s="6"/>
    </row>
    <row r="1082" customFormat="false" ht="15" hidden="false" customHeight="true" outlineLevel="0" collapsed="false">
      <c r="A1082" s="6" t="s">
        <v>2023</v>
      </c>
      <c r="B1082" s="6" t="s">
        <v>8506</v>
      </c>
      <c r="C1082" s="6"/>
    </row>
    <row r="1083" customFormat="false" ht="15" hidden="false" customHeight="true" outlineLevel="0" collapsed="false">
      <c r="A1083" s="6" t="s">
        <v>2023</v>
      </c>
      <c r="B1083" s="6" t="s">
        <v>8507</v>
      </c>
      <c r="C1083" s="6"/>
    </row>
    <row r="1084" customFormat="false" ht="15" hidden="false" customHeight="true" outlineLevel="0" collapsed="false">
      <c r="A1084" s="6" t="s">
        <v>2023</v>
      </c>
      <c r="B1084" s="6" t="s">
        <v>8508</v>
      </c>
      <c r="C1084" s="6"/>
    </row>
    <row r="1085" customFormat="false" ht="15" hidden="false" customHeight="true" outlineLevel="0" collapsed="false">
      <c r="A1085" s="6" t="s">
        <v>2023</v>
      </c>
      <c r="B1085" s="6" t="s">
        <v>8509</v>
      </c>
      <c r="C1085" s="6"/>
    </row>
    <row r="1086" customFormat="false" ht="15" hidden="false" customHeight="true" outlineLevel="0" collapsed="false">
      <c r="A1086" s="6" t="s">
        <v>2111</v>
      </c>
      <c r="B1086" s="6" t="s">
        <v>2111</v>
      </c>
      <c r="C1086" s="6" t="s">
        <v>8013</v>
      </c>
    </row>
    <row r="1087" customFormat="false" ht="15" hidden="false" customHeight="true" outlineLevel="0" collapsed="false">
      <c r="A1087" s="6" t="s">
        <v>2111</v>
      </c>
      <c r="B1087" s="6" t="s">
        <v>8510</v>
      </c>
      <c r="C1087" s="6"/>
    </row>
    <row r="1088" customFormat="false" ht="15" hidden="false" customHeight="true" outlineLevel="0" collapsed="false">
      <c r="A1088" s="6" t="s">
        <v>2111</v>
      </c>
      <c r="B1088" s="6" t="s">
        <v>8511</v>
      </c>
      <c r="C1088" s="6"/>
    </row>
    <row r="1089" customFormat="false" ht="15" hidden="false" customHeight="true" outlineLevel="0" collapsed="false">
      <c r="A1089" s="6" t="s">
        <v>2111</v>
      </c>
      <c r="B1089" s="6" t="s">
        <v>8512</v>
      </c>
      <c r="C1089" s="6"/>
    </row>
    <row r="1090" customFormat="false" ht="15" hidden="false" customHeight="true" outlineLevel="0" collapsed="false">
      <c r="A1090" s="6" t="s">
        <v>2111</v>
      </c>
      <c r="B1090" s="6" t="s">
        <v>8513</v>
      </c>
      <c r="C1090" s="6"/>
    </row>
    <row r="1091" customFormat="false" ht="15" hidden="false" customHeight="true" outlineLevel="0" collapsed="false">
      <c r="A1091" s="6" t="s">
        <v>2111</v>
      </c>
      <c r="B1091" s="6" t="s">
        <v>8514</v>
      </c>
      <c r="C1091" s="6"/>
    </row>
    <row r="1092" customFormat="false" ht="15" hidden="false" customHeight="true" outlineLevel="0" collapsed="false">
      <c r="A1092" s="6" t="s">
        <v>2111</v>
      </c>
      <c r="B1092" s="6" t="s">
        <v>8515</v>
      </c>
      <c r="C1092" s="6"/>
    </row>
    <row r="1093" customFormat="false" ht="15" hidden="false" customHeight="true" outlineLevel="0" collapsed="false">
      <c r="A1093" s="6" t="s">
        <v>2111</v>
      </c>
      <c r="B1093" s="6" t="s">
        <v>8516</v>
      </c>
      <c r="C1093" s="6"/>
    </row>
    <row r="1094" customFormat="false" ht="15" hidden="false" customHeight="true" outlineLevel="0" collapsed="false">
      <c r="A1094" s="6" t="s">
        <v>2111</v>
      </c>
      <c r="B1094" s="6" t="s">
        <v>7192</v>
      </c>
      <c r="C1094" s="6" t="s">
        <v>8013</v>
      </c>
    </row>
    <row r="1095" customFormat="false" ht="15" hidden="false" customHeight="true" outlineLevel="0" collapsed="false">
      <c r="A1095" s="6" t="s">
        <v>2111</v>
      </c>
      <c r="B1095" s="6" t="s">
        <v>7193</v>
      </c>
      <c r="C1095" s="6" t="s">
        <v>8013</v>
      </c>
    </row>
    <row r="1096" customFormat="false" ht="15" hidden="false" customHeight="true" outlineLevel="0" collapsed="false">
      <c r="A1096" s="6" t="s">
        <v>2050</v>
      </c>
      <c r="B1096" s="6" t="s">
        <v>1013</v>
      </c>
      <c r="C1096" s="6" t="s">
        <v>8013</v>
      </c>
    </row>
    <row r="1097" customFormat="false" ht="15" hidden="false" customHeight="true" outlineLevel="0" collapsed="false">
      <c r="A1097" s="6" t="s">
        <v>2050</v>
      </c>
      <c r="B1097" s="6" t="s">
        <v>2050</v>
      </c>
      <c r="C1097" s="6" t="s">
        <v>8013</v>
      </c>
    </row>
    <row r="1098" customFormat="false" ht="15" hidden="false" customHeight="true" outlineLevel="0" collapsed="false">
      <c r="A1098" s="6" t="s">
        <v>2050</v>
      </c>
      <c r="B1098" s="6" t="s">
        <v>8517</v>
      </c>
      <c r="C1098" s="6"/>
    </row>
    <row r="1099" customFormat="false" ht="15" hidden="false" customHeight="true" outlineLevel="0" collapsed="false">
      <c r="A1099" s="6" t="s">
        <v>2232</v>
      </c>
      <c r="B1099" s="6" t="s">
        <v>1191</v>
      </c>
      <c r="C1099" s="6" t="s">
        <v>8013</v>
      </c>
    </row>
    <row r="1100" customFormat="false" ht="15" hidden="false" customHeight="true" outlineLevel="0" collapsed="false">
      <c r="A1100" s="6" t="s">
        <v>1995</v>
      </c>
      <c r="B1100" s="6" t="s">
        <v>8518</v>
      </c>
      <c r="C1100" s="6"/>
    </row>
    <row r="1101" customFormat="false" ht="15" hidden="false" customHeight="true" outlineLevel="0" collapsed="false">
      <c r="A1101" s="6" t="s">
        <v>1995</v>
      </c>
      <c r="B1101" s="6" t="s">
        <v>8519</v>
      </c>
      <c r="C1101" s="6"/>
    </row>
    <row r="1102" customFormat="false" ht="15" hidden="false" customHeight="true" outlineLevel="0" collapsed="false">
      <c r="A1102" s="6" t="s">
        <v>1995</v>
      </c>
      <c r="B1102" s="6" t="s">
        <v>8520</v>
      </c>
      <c r="C1102" s="6"/>
    </row>
    <row r="1103" customFormat="false" ht="15" hidden="false" customHeight="true" outlineLevel="0" collapsed="false">
      <c r="A1103" s="6" t="s">
        <v>2225</v>
      </c>
      <c r="B1103" s="6" t="s">
        <v>2225</v>
      </c>
      <c r="C1103" s="6" t="s">
        <v>8013</v>
      </c>
    </row>
    <row r="1104" customFormat="false" ht="15" hidden="false" customHeight="true" outlineLevel="0" collapsed="false">
      <c r="A1104" s="6" t="s">
        <v>2225</v>
      </c>
      <c r="B1104" s="6" t="s">
        <v>8521</v>
      </c>
      <c r="C1104" s="6"/>
    </row>
    <row r="1105" customFormat="false" ht="15" hidden="false" customHeight="true" outlineLevel="0" collapsed="false">
      <c r="A1105" s="6" t="s">
        <v>2225</v>
      </c>
      <c r="B1105" s="6" t="s">
        <v>7158</v>
      </c>
      <c r="C1105" s="6" t="s">
        <v>8013</v>
      </c>
    </row>
    <row r="1106" customFormat="false" ht="15" hidden="false" customHeight="true" outlineLevel="0" collapsed="false">
      <c r="A1106" s="6" t="s">
        <v>2225</v>
      </c>
      <c r="B1106" s="6" t="s">
        <v>8522</v>
      </c>
      <c r="C1106" s="6"/>
    </row>
    <row r="1107" customFormat="false" ht="15" hidden="false" customHeight="true" outlineLevel="0" collapsed="false">
      <c r="A1107" s="6" t="s">
        <v>2225</v>
      </c>
      <c r="B1107" s="6" t="s">
        <v>8523</v>
      </c>
      <c r="C1107" s="6"/>
    </row>
    <row r="1108" customFormat="false" ht="15" hidden="false" customHeight="true" outlineLevel="0" collapsed="false">
      <c r="A1108" s="6" t="s">
        <v>2225</v>
      </c>
      <c r="B1108" s="6" t="s">
        <v>8524</v>
      </c>
      <c r="C1108" s="6"/>
    </row>
    <row r="1109" customFormat="false" ht="15" hidden="false" customHeight="true" outlineLevel="0" collapsed="false">
      <c r="A1109" s="6" t="s">
        <v>2225</v>
      </c>
      <c r="B1109" s="6" t="s">
        <v>7159</v>
      </c>
      <c r="C1109" s="6" t="s">
        <v>8013</v>
      </c>
    </row>
    <row r="1110" customFormat="false" ht="15" hidden="false" customHeight="true" outlineLevel="0" collapsed="false">
      <c r="A1110" s="6" t="s">
        <v>2225</v>
      </c>
      <c r="B1110" s="6" t="s">
        <v>7558</v>
      </c>
      <c r="C1110" s="6" t="s">
        <v>8013</v>
      </c>
    </row>
    <row r="1111" customFormat="false" ht="15" hidden="false" customHeight="true" outlineLevel="0" collapsed="false">
      <c r="A1111" s="6" t="s">
        <v>2238</v>
      </c>
      <c r="B1111" s="6" t="s">
        <v>2238</v>
      </c>
      <c r="C1111" s="6" t="s">
        <v>8013</v>
      </c>
    </row>
    <row r="1112" customFormat="false" ht="15" hidden="false" customHeight="true" outlineLevel="0" collapsed="false">
      <c r="A1112" s="6" t="s">
        <v>2238</v>
      </c>
      <c r="B1112" s="6" t="s">
        <v>7197</v>
      </c>
      <c r="C1112" s="6" t="s">
        <v>8013</v>
      </c>
    </row>
    <row r="1113" customFormat="false" ht="15" hidden="false" customHeight="true" outlineLevel="0" collapsed="false">
      <c r="A1113" s="6" t="s">
        <v>2238</v>
      </c>
      <c r="B1113" s="6" t="s">
        <v>8525</v>
      </c>
      <c r="C1113" s="6"/>
    </row>
    <row r="1114" customFormat="false" ht="15" hidden="false" customHeight="true" outlineLevel="0" collapsed="false">
      <c r="A1114" s="6" t="s">
        <v>2238</v>
      </c>
      <c r="B1114" s="6" t="s">
        <v>7196</v>
      </c>
      <c r="C1114" s="6" t="s">
        <v>8013</v>
      </c>
    </row>
    <row r="1115" customFormat="false" ht="15" hidden="false" customHeight="true" outlineLevel="0" collapsed="false">
      <c r="A1115" s="6" t="s">
        <v>2238</v>
      </c>
      <c r="B1115" s="6" t="s">
        <v>8526</v>
      </c>
      <c r="C1115" s="6"/>
    </row>
    <row r="1116" customFormat="false" ht="15" hidden="false" customHeight="true" outlineLevel="0" collapsed="false">
      <c r="A1116" s="6" t="s">
        <v>2238</v>
      </c>
      <c r="B1116" s="6" t="s">
        <v>8527</v>
      </c>
      <c r="C1116" s="6"/>
    </row>
    <row r="1117" customFormat="false" ht="15" hidden="false" customHeight="true" outlineLevel="0" collapsed="false">
      <c r="A1117" s="6" t="s">
        <v>2238</v>
      </c>
      <c r="B1117" s="6" t="s">
        <v>2241</v>
      </c>
      <c r="C1117" s="6" t="s">
        <v>8013</v>
      </c>
    </row>
    <row r="1118" customFormat="false" ht="15" hidden="false" customHeight="true" outlineLevel="0" collapsed="false">
      <c r="A1118" s="6" t="s">
        <v>2238</v>
      </c>
      <c r="B1118" s="6" t="s">
        <v>7195</v>
      </c>
      <c r="C1118" s="6" t="s">
        <v>8013</v>
      </c>
    </row>
    <row r="1119" customFormat="false" ht="15" hidden="false" customHeight="true" outlineLevel="0" collapsed="false">
      <c r="A1119" s="6" t="s">
        <v>2238</v>
      </c>
      <c r="B1119" s="6" t="s">
        <v>8528</v>
      </c>
      <c r="C1119" s="6"/>
    </row>
    <row r="1120" customFormat="false" ht="15" hidden="false" customHeight="true" outlineLevel="0" collapsed="false">
      <c r="A1120" s="6" t="s">
        <v>2238</v>
      </c>
      <c r="B1120" s="6" t="s">
        <v>7194</v>
      </c>
      <c r="C1120" s="6" t="s">
        <v>8013</v>
      </c>
    </row>
    <row r="1121" customFormat="false" ht="15" hidden="false" customHeight="true" outlineLevel="0" collapsed="false">
      <c r="A1121" s="6" t="s">
        <v>2017</v>
      </c>
      <c r="B1121" s="6" t="s">
        <v>977</v>
      </c>
      <c r="C1121" s="6" t="s">
        <v>8013</v>
      </c>
    </row>
    <row r="1122" customFormat="false" ht="15" hidden="false" customHeight="true" outlineLevel="0" collapsed="false">
      <c r="A1122" s="6" t="s">
        <v>2017</v>
      </c>
      <c r="B1122" s="6" t="s">
        <v>2017</v>
      </c>
      <c r="C1122" s="6" t="s">
        <v>8013</v>
      </c>
    </row>
    <row r="1123" customFormat="false" ht="15" hidden="false" customHeight="true" outlineLevel="0" collapsed="false">
      <c r="A1123" s="6" t="s">
        <v>2245</v>
      </c>
      <c r="B1123" s="6" t="s">
        <v>2245</v>
      </c>
      <c r="C1123" s="6" t="s">
        <v>8013</v>
      </c>
    </row>
    <row r="1124" customFormat="false" ht="15" hidden="false" customHeight="true" outlineLevel="0" collapsed="false">
      <c r="A1124" s="6" t="s">
        <v>2245</v>
      </c>
      <c r="B1124" s="6" t="s">
        <v>7201</v>
      </c>
      <c r="C1124" s="6" t="s">
        <v>8013</v>
      </c>
    </row>
    <row r="1125" customFormat="false" ht="15" hidden="false" customHeight="true" outlineLevel="0" collapsed="false">
      <c r="A1125" s="6" t="s">
        <v>2245</v>
      </c>
      <c r="B1125" s="6" t="s">
        <v>7200</v>
      </c>
      <c r="C1125" s="6" t="s">
        <v>8013</v>
      </c>
    </row>
    <row r="1126" customFormat="false" ht="15" hidden="false" customHeight="true" outlineLevel="0" collapsed="false">
      <c r="A1126" s="6" t="s">
        <v>2245</v>
      </c>
      <c r="B1126" s="6" t="s">
        <v>7198</v>
      </c>
      <c r="C1126" s="6" t="s">
        <v>8013</v>
      </c>
    </row>
    <row r="1127" customFormat="false" ht="15" hidden="false" customHeight="true" outlineLevel="0" collapsed="false">
      <c r="A1127" s="6" t="s">
        <v>2245</v>
      </c>
      <c r="B1127" s="6" t="s">
        <v>7199</v>
      </c>
      <c r="C1127" s="6" t="s">
        <v>8013</v>
      </c>
    </row>
    <row r="1128" customFormat="false" ht="15" hidden="false" customHeight="true" outlineLevel="0" collapsed="false">
      <c r="A1128" s="6" t="s">
        <v>2245</v>
      </c>
      <c r="B1128" s="6" t="s">
        <v>8527</v>
      </c>
      <c r="C1128" s="6"/>
    </row>
    <row r="1129" customFormat="false" ht="15" hidden="false" customHeight="true" outlineLevel="0" collapsed="false">
      <c r="A1129" s="6" t="s">
        <v>2245</v>
      </c>
      <c r="B1129" s="6" t="s">
        <v>8529</v>
      </c>
      <c r="C1129" s="6"/>
    </row>
    <row r="1130" customFormat="false" ht="15" hidden="false" customHeight="true" outlineLevel="0" collapsed="false">
      <c r="A1130" s="6" t="s">
        <v>2245</v>
      </c>
      <c r="B1130" s="6" t="s">
        <v>8530</v>
      </c>
      <c r="C1130" s="6"/>
    </row>
    <row r="1131" customFormat="false" ht="15" hidden="false" customHeight="true" outlineLevel="0" collapsed="false">
      <c r="A1131" s="6" t="s">
        <v>2245</v>
      </c>
      <c r="B1131" s="6" t="s">
        <v>8531</v>
      </c>
      <c r="C1131" s="6"/>
    </row>
    <row r="1132" customFormat="false" ht="15" hidden="false" customHeight="true" outlineLevel="0" collapsed="false">
      <c r="A1132" s="6" t="s">
        <v>2272</v>
      </c>
      <c r="B1132" s="6" t="s">
        <v>2272</v>
      </c>
      <c r="C1132" s="6" t="s">
        <v>8013</v>
      </c>
    </row>
    <row r="1133" customFormat="false" ht="15" hidden="false" customHeight="true" outlineLevel="0" collapsed="false">
      <c r="A1133" s="6" t="s">
        <v>2103</v>
      </c>
      <c r="B1133" s="6" t="s">
        <v>2103</v>
      </c>
      <c r="C1133" s="6" t="s">
        <v>8013</v>
      </c>
    </row>
    <row r="1134" customFormat="false" ht="15" hidden="false" customHeight="true" outlineLevel="0" collapsed="false">
      <c r="A1134" s="6" t="s">
        <v>2103</v>
      </c>
      <c r="B1134" s="6" t="s">
        <v>8532</v>
      </c>
      <c r="C1134" s="6"/>
    </row>
    <row r="1135" customFormat="false" ht="15" hidden="false" customHeight="true" outlineLevel="0" collapsed="false">
      <c r="A1135" s="6" t="s">
        <v>2103</v>
      </c>
      <c r="B1135" s="6" t="s">
        <v>7204</v>
      </c>
      <c r="C1135" s="6" t="s">
        <v>8013</v>
      </c>
    </row>
    <row r="1136" customFormat="false" ht="15" hidden="false" customHeight="true" outlineLevel="0" collapsed="false">
      <c r="A1136" s="6" t="s">
        <v>2103</v>
      </c>
      <c r="B1136" s="6" t="s">
        <v>8533</v>
      </c>
      <c r="C1136" s="6"/>
    </row>
    <row r="1137" customFormat="false" ht="15" hidden="false" customHeight="true" outlineLevel="0" collapsed="false">
      <c r="A1137" s="6" t="s">
        <v>2103</v>
      </c>
      <c r="B1137" s="6" t="s">
        <v>7203</v>
      </c>
      <c r="C1137" s="6" t="s">
        <v>8013</v>
      </c>
    </row>
    <row r="1138" customFormat="false" ht="15" hidden="false" customHeight="true" outlineLevel="0" collapsed="false">
      <c r="A1138" s="6" t="s">
        <v>2103</v>
      </c>
      <c r="B1138" s="6" t="s">
        <v>8534</v>
      </c>
      <c r="C1138" s="6"/>
    </row>
    <row r="1139" customFormat="false" ht="15" hidden="false" customHeight="true" outlineLevel="0" collapsed="false">
      <c r="A1139" s="6" t="s">
        <v>2103</v>
      </c>
      <c r="B1139" s="6" t="s">
        <v>8535</v>
      </c>
      <c r="C1139" s="6"/>
    </row>
    <row r="1140" customFormat="false" ht="15" hidden="false" customHeight="true" outlineLevel="0" collapsed="false">
      <c r="A1140" s="6" t="s">
        <v>2103</v>
      </c>
      <c r="B1140" s="6" t="s">
        <v>2106</v>
      </c>
      <c r="C1140" s="6" t="s">
        <v>8013</v>
      </c>
    </row>
    <row r="1141" customFormat="false" ht="15" hidden="false" customHeight="true" outlineLevel="0" collapsed="false">
      <c r="A1141" s="6" t="s">
        <v>2103</v>
      </c>
      <c r="B1141" s="6" t="s">
        <v>8536</v>
      </c>
      <c r="C1141" s="6"/>
    </row>
    <row r="1142" customFormat="false" ht="15" hidden="false" customHeight="true" outlineLevel="0" collapsed="false">
      <c r="A1142" s="6" t="s">
        <v>2103</v>
      </c>
      <c r="B1142" s="6" t="s">
        <v>7202</v>
      </c>
      <c r="C1142" s="6" t="s">
        <v>8013</v>
      </c>
    </row>
    <row r="1143" customFormat="false" ht="15" hidden="false" customHeight="true" outlineLevel="0" collapsed="false">
      <c r="A1143" s="6" t="s">
        <v>6498</v>
      </c>
      <c r="B1143" s="6" t="s">
        <v>6498</v>
      </c>
      <c r="C1143" s="6" t="s">
        <v>8013</v>
      </c>
    </row>
    <row r="1144" customFormat="false" ht="15" hidden="false" customHeight="true" outlineLevel="0" collapsed="false">
      <c r="A1144" s="6" t="s">
        <v>6498</v>
      </c>
      <c r="B1144" s="6" t="s">
        <v>6827</v>
      </c>
      <c r="C1144" s="6" t="s">
        <v>8013</v>
      </c>
    </row>
    <row r="1145" customFormat="false" ht="15" hidden="false" customHeight="true" outlineLevel="0" collapsed="false">
      <c r="A1145" s="6" t="s">
        <v>6498</v>
      </c>
      <c r="B1145" s="6" t="s">
        <v>8290</v>
      </c>
      <c r="C1145" s="6"/>
    </row>
    <row r="1146" customFormat="false" ht="15" hidden="false" customHeight="true" outlineLevel="0" collapsed="false">
      <c r="A1146" s="6" t="s">
        <v>6498</v>
      </c>
      <c r="B1146" s="6" t="s">
        <v>8537</v>
      </c>
      <c r="C1146" s="6"/>
    </row>
    <row r="1147" customFormat="false" ht="15" hidden="false" customHeight="true" outlineLevel="0" collapsed="false">
      <c r="A1147" s="6" t="s">
        <v>6498</v>
      </c>
      <c r="B1147" s="6" t="s">
        <v>6828</v>
      </c>
      <c r="C1147" s="6" t="s">
        <v>8013</v>
      </c>
    </row>
    <row r="1148" customFormat="false" ht="15" hidden="false" customHeight="true" outlineLevel="0" collapsed="false">
      <c r="A1148" s="6" t="s">
        <v>2285</v>
      </c>
      <c r="B1148" s="6" t="s">
        <v>2285</v>
      </c>
      <c r="C1148" s="6" t="s">
        <v>8013</v>
      </c>
    </row>
    <row r="1149" customFormat="false" ht="15" hidden="false" customHeight="true" outlineLevel="0" collapsed="false">
      <c r="A1149" s="6" t="s">
        <v>2285</v>
      </c>
      <c r="B1149" s="6" t="s">
        <v>8538</v>
      </c>
      <c r="C1149" s="6"/>
    </row>
    <row r="1150" customFormat="false" ht="15" hidden="false" customHeight="true" outlineLevel="0" collapsed="false">
      <c r="A1150" s="6" t="s">
        <v>2285</v>
      </c>
      <c r="B1150" s="6" t="s">
        <v>8539</v>
      </c>
      <c r="C1150" s="6"/>
    </row>
    <row r="1151" customFormat="false" ht="15" hidden="false" customHeight="true" outlineLevel="0" collapsed="false">
      <c r="A1151" s="6" t="s">
        <v>2285</v>
      </c>
      <c r="B1151" s="6" t="s">
        <v>7209</v>
      </c>
      <c r="C1151" s="6" t="s">
        <v>8013</v>
      </c>
    </row>
    <row r="1152" customFormat="false" ht="15" hidden="false" customHeight="true" outlineLevel="0" collapsed="false">
      <c r="A1152" s="6" t="s">
        <v>2285</v>
      </c>
      <c r="B1152" s="6" t="s">
        <v>7205</v>
      </c>
      <c r="C1152" s="6" t="s">
        <v>8013</v>
      </c>
    </row>
    <row r="1153" customFormat="false" ht="15" hidden="false" customHeight="true" outlineLevel="0" collapsed="false">
      <c r="A1153" s="6" t="s">
        <v>2285</v>
      </c>
      <c r="B1153" s="6" t="s">
        <v>7208</v>
      </c>
      <c r="C1153" s="6" t="s">
        <v>8013</v>
      </c>
    </row>
    <row r="1154" customFormat="false" ht="15" hidden="false" customHeight="true" outlineLevel="0" collapsed="false">
      <c r="A1154" s="6" t="s">
        <v>2285</v>
      </c>
      <c r="B1154" s="6" t="s">
        <v>7206</v>
      </c>
      <c r="C1154" s="6" t="s">
        <v>8013</v>
      </c>
    </row>
    <row r="1155" customFormat="false" ht="15" hidden="false" customHeight="true" outlineLevel="0" collapsed="false">
      <c r="A1155" s="6" t="s">
        <v>2285</v>
      </c>
      <c r="B1155" s="6" t="s">
        <v>8540</v>
      </c>
      <c r="C1155" s="6"/>
    </row>
    <row r="1156" customFormat="false" ht="15" hidden="false" customHeight="true" outlineLevel="0" collapsed="false">
      <c r="A1156" s="6" t="s">
        <v>2285</v>
      </c>
      <c r="B1156" s="6" t="s">
        <v>7207</v>
      </c>
      <c r="C1156" s="6" t="s">
        <v>8013</v>
      </c>
    </row>
    <row r="1157" customFormat="false" ht="15" hidden="false" customHeight="true" outlineLevel="0" collapsed="false">
      <c r="A1157" s="6" t="s">
        <v>2285</v>
      </c>
      <c r="B1157" s="6" t="s">
        <v>8541</v>
      </c>
      <c r="C1157" s="6"/>
    </row>
    <row r="1158" customFormat="false" ht="15" hidden="false" customHeight="true" outlineLevel="0" collapsed="false">
      <c r="A1158" s="6" t="s">
        <v>2058</v>
      </c>
      <c r="B1158" s="6" t="s">
        <v>2058</v>
      </c>
      <c r="C1158" s="6" t="s">
        <v>8013</v>
      </c>
    </row>
    <row r="1159" customFormat="false" ht="15" hidden="false" customHeight="true" outlineLevel="0" collapsed="false">
      <c r="A1159" s="6" t="s">
        <v>2058</v>
      </c>
      <c r="B1159" s="6" t="s">
        <v>7210</v>
      </c>
      <c r="C1159" s="6" t="s">
        <v>8013</v>
      </c>
    </row>
    <row r="1160" customFormat="false" ht="15" hidden="false" customHeight="true" outlineLevel="0" collapsed="false">
      <c r="A1160" s="6" t="s">
        <v>2058</v>
      </c>
      <c r="B1160" s="6" t="s">
        <v>7561</v>
      </c>
      <c r="C1160" s="6" t="s">
        <v>8013</v>
      </c>
    </row>
    <row r="1161" customFormat="false" ht="15" hidden="false" customHeight="true" outlineLevel="0" collapsed="false">
      <c r="A1161" s="6" t="s">
        <v>2037</v>
      </c>
      <c r="B1161" s="6" t="s">
        <v>2037</v>
      </c>
      <c r="C1161" s="6" t="s">
        <v>8013</v>
      </c>
    </row>
    <row r="1162" customFormat="false" ht="15" hidden="false" customHeight="true" outlineLevel="0" collapsed="false">
      <c r="A1162" s="6" t="s">
        <v>2037</v>
      </c>
      <c r="B1162" s="6" t="s">
        <v>998</v>
      </c>
      <c r="C1162" s="6" t="s">
        <v>8013</v>
      </c>
    </row>
    <row r="1163" customFormat="false" ht="15" hidden="false" customHeight="true" outlineLevel="0" collapsed="false">
      <c r="A1163" s="6" t="s">
        <v>2037</v>
      </c>
      <c r="B1163" s="6" t="s">
        <v>8542</v>
      </c>
      <c r="C1163" s="6"/>
    </row>
    <row r="1164" customFormat="false" ht="15" hidden="false" customHeight="true" outlineLevel="0" collapsed="false">
      <c r="A1164" s="6" t="s">
        <v>2037</v>
      </c>
      <c r="B1164" s="6" t="s">
        <v>8543</v>
      </c>
      <c r="C1164" s="6"/>
    </row>
    <row r="1165" customFormat="false" ht="15" hidden="false" customHeight="true" outlineLevel="0" collapsed="false">
      <c r="A1165" s="6" t="s">
        <v>2037</v>
      </c>
      <c r="B1165" s="6" t="s">
        <v>8544</v>
      </c>
      <c r="C1165" s="6"/>
    </row>
    <row r="1166" customFormat="false" ht="15" hidden="false" customHeight="true" outlineLevel="0" collapsed="false">
      <c r="A1166" s="6" t="s">
        <v>2037</v>
      </c>
      <c r="B1166" s="6" t="s">
        <v>8545</v>
      </c>
      <c r="C1166" s="6"/>
    </row>
    <row r="1167" customFormat="false" ht="15" hidden="false" customHeight="true" outlineLevel="0" collapsed="false">
      <c r="A1167" s="6" t="s">
        <v>2044</v>
      </c>
      <c r="B1167" s="6" t="s">
        <v>2044</v>
      </c>
      <c r="C1167" s="6" t="s">
        <v>8013</v>
      </c>
    </row>
    <row r="1168" customFormat="false" ht="15" hidden="false" customHeight="true" outlineLevel="0" collapsed="false">
      <c r="A1168" s="6" t="s">
        <v>2044</v>
      </c>
      <c r="B1168" s="6" t="s">
        <v>1005</v>
      </c>
      <c r="C1168" s="6" t="s">
        <v>8013</v>
      </c>
    </row>
    <row r="1169" customFormat="false" ht="15" hidden="false" customHeight="true" outlineLevel="0" collapsed="false">
      <c r="A1169" s="6" t="s">
        <v>3552</v>
      </c>
      <c r="B1169" s="6" t="s">
        <v>8546</v>
      </c>
      <c r="C1169" s="6"/>
    </row>
    <row r="1170" customFormat="false" ht="15" hidden="false" customHeight="true" outlineLevel="0" collapsed="false">
      <c r="A1170" s="6" t="s">
        <v>3552</v>
      </c>
      <c r="B1170" s="6" t="s">
        <v>8547</v>
      </c>
      <c r="C1170" s="6"/>
    </row>
    <row r="1171" customFormat="false" ht="15" hidden="false" customHeight="true" outlineLevel="0" collapsed="false">
      <c r="A1171" s="6" t="s">
        <v>3552</v>
      </c>
      <c r="B1171" s="6" t="s">
        <v>8548</v>
      </c>
      <c r="C1171" s="6"/>
    </row>
    <row r="1172" customFormat="false" ht="15" hidden="false" customHeight="true" outlineLevel="0" collapsed="false">
      <c r="A1172" s="6" t="s">
        <v>3539</v>
      </c>
      <c r="B1172" s="6" t="s">
        <v>3539</v>
      </c>
      <c r="C1172" s="6" t="s">
        <v>8013</v>
      </c>
    </row>
    <row r="1173" customFormat="false" ht="15" hidden="false" customHeight="true" outlineLevel="0" collapsed="false">
      <c r="A1173" s="6" t="s">
        <v>3539</v>
      </c>
      <c r="B1173" s="6" t="s">
        <v>7212</v>
      </c>
      <c r="C1173" s="6" t="s">
        <v>8013</v>
      </c>
    </row>
    <row r="1174" customFormat="false" ht="15" hidden="false" customHeight="true" outlineLevel="0" collapsed="false">
      <c r="A1174" s="6" t="s">
        <v>3539</v>
      </c>
      <c r="B1174" s="6" t="s">
        <v>7213</v>
      </c>
      <c r="C1174" s="6" t="s">
        <v>8013</v>
      </c>
    </row>
    <row r="1175" customFormat="false" ht="15" hidden="false" customHeight="true" outlineLevel="0" collapsed="false">
      <c r="A1175" s="6" t="s">
        <v>3539</v>
      </c>
      <c r="B1175" s="6" t="s">
        <v>8549</v>
      </c>
      <c r="C1175" s="6"/>
    </row>
    <row r="1176" customFormat="false" ht="15" hidden="false" customHeight="true" outlineLevel="0" collapsed="false">
      <c r="A1176" s="6" t="s">
        <v>3539</v>
      </c>
      <c r="B1176" s="6" t="s">
        <v>8550</v>
      </c>
      <c r="C1176" s="6"/>
    </row>
    <row r="1177" customFormat="false" ht="15" hidden="false" customHeight="true" outlineLevel="0" collapsed="false">
      <c r="A1177" s="6" t="s">
        <v>3539</v>
      </c>
      <c r="B1177" s="6" t="s">
        <v>8551</v>
      </c>
      <c r="C1177" s="6"/>
    </row>
    <row r="1178" customFormat="false" ht="15" hidden="false" customHeight="true" outlineLevel="0" collapsed="false">
      <c r="A1178" s="6" t="s">
        <v>3539</v>
      </c>
      <c r="B1178" s="6" t="s">
        <v>7214</v>
      </c>
      <c r="C1178" s="6" t="s">
        <v>8013</v>
      </c>
    </row>
    <row r="1179" customFormat="false" ht="15" hidden="false" customHeight="true" outlineLevel="0" collapsed="false">
      <c r="A1179" s="6" t="s">
        <v>3539</v>
      </c>
      <c r="B1179" s="6" t="s">
        <v>7211</v>
      </c>
      <c r="C1179" s="6" t="s">
        <v>8013</v>
      </c>
    </row>
    <row r="1180" customFormat="false" ht="15" hidden="false" customHeight="true" outlineLevel="0" collapsed="false">
      <c r="A1180" s="6" t="s">
        <v>3539</v>
      </c>
      <c r="B1180" s="6" t="s">
        <v>8552</v>
      </c>
      <c r="C1180" s="6"/>
    </row>
    <row r="1181" customFormat="false" ht="15" hidden="false" customHeight="true" outlineLevel="0" collapsed="false">
      <c r="A1181" s="6" t="s">
        <v>3539</v>
      </c>
      <c r="B1181" s="6" t="s">
        <v>8553</v>
      </c>
      <c r="C1181" s="6"/>
    </row>
    <row r="1182" customFormat="false" ht="15" hidden="false" customHeight="true" outlineLevel="0" collapsed="false">
      <c r="A1182" s="6" t="s">
        <v>320</v>
      </c>
      <c r="B1182" s="6" t="s">
        <v>320</v>
      </c>
      <c r="C1182" s="6" t="s">
        <v>8013</v>
      </c>
    </row>
    <row r="1183" customFormat="false" ht="15" hidden="false" customHeight="true" outlineLevel="0" collapsed="false">
      <c r="A1183" s="6" t="s">
        <v>320</v>
      </c>
      <c r="B1183" s="6" t="s">
        <v>8554</v>
      </c>
      <c r="C1183" s="6"/>
    </row>
    <row r="1184" customFormat="false" ht="15" hidden="false" customHeight="true" outlineLevel="0" collapsed="false">
      <c r="A1184" s="6" t="s">
        <v>320</v>
      </c>
      <c r="B1184" s="6" t="s">
        <v>8555</v>
      </c>
      <c r="C1184" s="6"/>
    </row>
    <row r="1185" customFormat="false" ht="15" hidden="false" customHeight="true" outlineLevel="0" collapsed="false">
      <c r="A1185" s="6" t="s">
        <v>320</v>
      </c>
      <c r="B1185" s="6" t="s">
        <v>8556</v>
      </c>
      <c r="C1185" s="6"/>
    </row>
    <row r="1186" customFormat="false" ht="15" hidden="false" customHeight="true" outlineLevel="0" collapsed="false">
      <c r="A1186" s="6" t="s">
        <v>320</v>
      </c>
      <c r="B1186" s="6" t="s">
        <v>8557</v>
      </c>
      <c r="C1186" s="6"/>
    </row>
    <row r="1187" customFormat="false" ht="15" hidden="false" customHeight="true" outlineLevel="0" collapsed="false">
      <c r="A1187" s="6" t="s">
        <v>320</v>
      </c>
      <c r="B1187" s="6" t="s">
        <v>8558</v>
      </c>
      <c r="C1187" s="6"/>
    </row>
    <row r="1188" customFormat="false" ht="15" hidden="false" customHeight="true" outlineLevel="0" collapsed="false">
      <c r="A1188" s="6" t="s">
        <v>320</v>
      </c>
      <c r="B1188" s="6" t="s">
        <v>8559</v>
      </c>
      <c r="C1188" s="6"/>
    </row>
    <row r="1189" customFormat="false" ht="15" hidden="false" customHeight="true" outlineLevel="0" collapsed="false">
      <c r="A1189" s="6" t="s">
        <v>320</v>
      </c>
      <c r="B1189" s="6" t="s">
        <v>8560</v>
      </c>
      <c r="C1189" s="6"/>
    </row>
    <row r="1190" customFormat="false" ht="15" hidden="false" customHeight="true" outlineLevel="0" collapsed="false">
      <c r="A1190" s="6" t="s">
        <v>320</v>
      </c>
      <c r="B1190" s="6" t="s">
        <v>8561</v>
      </c>
      <c r="C1190" s="6"/>
    </row>
    <row r="1191" customFormat="false" ht="15" hidden="false" customHeight="true" outlineLevel="0" collapsed="false">
      <c r="A1191" s="6" t="s">
        <v>320</v>
      </c>
      <c r="B1191" s="6" t="s">
        <v>8562</v>
      </c>
      <c r="C1191" s="6"/>
    </row>
    <row r="1192" customFormat="false" ht="15" hidden="false" customHeight="true" outlineLevel="0" collapsed="false">
      <c r="A1192" s="6" t="s">
        <v>3560</v>
      </c>
      <c r="B1192" s="6" t="s">
        <v>3560</v>
      </c>
      <c r="C1192" s="6" t="s">
        <v>8013</v>
      </c>
    </row>
    <row r="1193" customFormat="false" ht="15" hidden="false" customHeight="true" outlineLevel="0" collapsed="false">
      <c r="A1193" s="6" t="s">
        <v>3560</v>
      </c>
      <c r="B1193" s="6" t="s">
        <v>8563</v>
      </c>
      <c r="C1193" s="6"/>
    </row>
    <row r="1194" customFormat="false" ht="15" hidden="false" customHeight="true" outlineLevel="0" collapsed="false">
      <c r="A1194" s="6" t="s">
        <v>3560</v>
      </c>
      <c r="B1194" s="6" t="s">
        <v>256</v>
      </c>
      <c r="C1194" s="6" t="s">
        <v>8013</v>
      </c>
    </row>
    <row r="1195" customFormat="false" ht="15" hidden="false" customHeight="true" outlineLevel="0" collapsed="false">
      <c r="A1195" s="6" t="s">
        <v>3560</v>
      </c>
      <c r="B1195" s="6" t="s">
        <v>241</v>
      </c>
      <c r="C1195" s="6" t="s">
        <v>8013</v>
      </c>
    </row>
    <row r="1196" customFormat="false" ht="15" hidden="false" customHeight="true" outlineLevel="0" collapsed="false">
      <c r="A1196" s="6" t="s">
        <v>3560</v>
      </c>
      <c r="B1196" s="6" t="s">
        <v>3563</v>
      </c>
      <c r="C1196" s="6" t="s">
        <v>8013</v>
      </c>
    </row>
    <row r="1197" customFormat="false" ht="15" hidden="false" customHeight="true" outlineLevel="0" collapsed="false">
      <c r="A1197" s="6" t="s">
        <v>3560</v>
      </c>
      <c r="B1197" s="6" t="s">
        <v>248</v>
      </c>
      <c r="C1197" s="6" t="s">
        <v>8013</v>
      </c>
    </row>
    <row r="1198" customFormat="false" ht="15" hidden="false" customHeight="true" outlineLevel="0" collapsed="false">
      <c r="A1198" s="6" t="s">
        <v>3560</v>
      </c>
      <c r="B1198" s="6" t="s">
        <v>7215</v>
      </c>
      <c r="C1198" s="6" t="s">
        <v>8013</v>
      </c>
    </row>
    <row r="1199" customFormat="false" ht="15" hidden="false" customHeight="true" outlineLevel="0" collapsed="false">
      <c r="A1199" s="6" t="s">
        <v>3560</v>
      </c>
      <c r="B1199" s="6" t="s">
        <v>7216</v>
      </c>
      <c r="C1199" s="6" t="s">
        <v>8013</v>
      </c>
    </row>
    <row r="1200" customFormat="false" ht="15" hidden="false" customHeight="true" outlineLevel="0" collapsed="false">
      <c r="A1200" s="6" t="s">
        <v>3560</v>
      </c>
      <c r="B1200" s="6" t="s">
        <v>8564</v>
      </c>
      <c r="C1200" s="6"/>
    </row>
    <row r="1201" customFormat="false" ht="15" hidden="false" customHeight="true" outlineLevel="0" collapsed="false">
      <c r="A1201" s="6" t="s">
        <v>3560</v>
      </c>
      <c r="B1201" s="6" t="s">
        <v>8565</v>
      </c>
      <c r="C1201" s="6"/>
    </row>
    <row r="1202" customFormat="false" ht="15" hidden="false" customHeight="true" outlineLevel="0" collapsed="false">
      <c r="A1202" s="6" t="s">
        <v>3595</v>
      </c>
      <c r="B1202" s="6" t="s">
        <v>7217</v>
      </c>
      <c r="C1202" s="6" t="s">
        <v>8013</v>
      </c>
    </row>
    <row r="1203" customFormat="false" ht="15" hidden="false" customHeight="true" outlineLevel="0" collapsed="false">
      <c r="A1203" s="6" t="s">
        <v>3595</v>
      </c>
      <c r="B1203" s="6" t="s">
        <v>7218</v>
      </c>
      <c r="C1203" s="6" t="s">
        <v>8013</v>
      </c>
    </row>
    <row r="1204" customFormat="false" ht="15" hidden="false" customHeight="true" outlineLevel="0" collapsed="false">
      <c r="A1204" s="6" t="s">
        <v>3595</v>
      </c>
      <c r="B1204" s="6" t="s">
        <v>7220</v>
      </c>
      <c r="C1204" s="6" t="s">
        <v>8013</v>
      </c>
    </row>
    <row r="1205" customFormat="false" ht="15" hidden="false" customHeight="true" outlineLevel="0" collapsed="false">
      <c r="A1205" s="6" t="s">
        <v>3595</v>
      </c>
      <c r="B1205" s="6" t="s">
        <v>8566</v>
      </c>
      <c r="C1205" s="6"/>
    </row>
    <row r="1206" customFormat="false" ht="15" hidden="false" customHeight="true" outlineLevel="0" collapsed="false">
      <c r="A1206" s="6" t="s">
        <v>3595</v>
      </c>
      <c r="B1206" s="6" t="s">
        <v>7219</v>
      </c>
      <c r="C1206" s="6" t="s">
        <v>8013</v>
      </c>
    </row>
    <row r="1207" customFormat="false" ht="15" hidden="false" customHeight="true" outlineLevel="0" collapsed="false">
      <c r="A1207" s="6" t="s">
        <v>3595</v>
      </c>
      <c r="B1207" s="6" t="s">
        <v>8567</v>
      </c>
      <c r="C1207" s="6"/>
    </row>
    <row r="1208" customFormat="false" ht="15" hidden="false" customHeight="true" outlineLevel="0" collapsed="false">
      <c r="A1208" s="6" t="s">
        <v>3595</v>
      </c>
      <c r="B1208" s="6" t="s">
        <v>8568</v>
      </c>
      <c r="C1208" s="6"/>
    </row>
    <row r="1209" customFormat="false" ht="15" hidden="false" customHeight="true" outlineLevel="0" collapsed="false">
      <c r="A1209" s="6" t="s">
        <v>3572</v>
      </c>
      <c r="B1209" s="6" t="s">
        <v>3572</v>
      </c>
      <c r="C1209" s="6" t="s">
        <v>8013</v>
      </c>
    </row>
    <row r="1210" customFormat="false" ht="15" hidden="false" customHeight="true" outlineLevel="0" collapsed="false">
      <c r="A1210" s="6" t="s">
        <v>3572</v>
      </c>
      <c r="B1210" s="6" t="s">
        <v>3576</v>
      </c>
      <c r="C1210" s="6" t="s">
        <v>8013</v>
      </c>
    </row>
    <row r="1211" customFormat="false" ht="15" hidden="false" customHeight="true" outlineLevel="0" collapsed="false">
      <c r="A1211" s="6" t="s">
        <v>3572</v>
      </c>
      <c r="B1211" s="6" t="s">
        <v>7222</v>
      </c>
      <c r="C1211" s="6" t="s">
        <v>8013</v>
      </c>
    </row>
    <row r="1212" customFormat="false" ht="15" hidden="false" customHeight="true" outlineLevel="0" collapsed="false">
      <c r="A1212" s="6" t="s">
        <v>3572</v>
      </c>
      <c r="B1212" s="6" t="s">
        <v>7223</v>
      </c>
      <c r="C1212" s="6" t="s">
        <v>8013</v>
      </c>
    </row>
    <row r="1213" customFormat="false" ht="15" hidden="false" customHeight="true" outlineLevel="0" collapsed="false">
      <c r="A1213" s="6" t="s">
        <v>3572</v>
      </c>
      <c r="B1213" s="6" t="s">
        <v>7224</v>
      </c>
      <c r="C1213" s="6" t="s">
        <v>8013</v>
      </c>
    </row>
    <row r="1214" customFormat="false" ht="15" hidden="false" customHeight="true" outlineLevel="0" collapsed="false">
      <c r="A1214" s="6" t="s">
        <v>3572</v>
      </c>
      <c r="B1214" s="6" t="s">
        <v>8569</v>
      </c>
      <c r="C1214" s="6"/>
    </row>
    <row r="1215" customFormat="false" ht="15" hidden="false" customHeight="true" outlineLevel="0" collapsed="false">
      <c r="A1215" s="6" t="s">
        <v>3572</v>
      </c>
      <c r="B1215" s="6" t="s">
        <v>7221</v>
      </c>
      <c r="C1215" s="6" t="s">
        <v>8013</v>
      </c>
    </row>
    <row r="1216" customFormat="false" ht="15" hidden="false" customHeight="true" outlineLevel="0" collapsed="false">
      <c r="A1216" s="6" t="s">
        <v>3572</v>
      </c>
      <c r="B1216" s="6" t="s">
        <v>7225</v>
      </c>
      <c r="C1216" s="6" t="s">
        <v>8013</v>
      </c>
    </row>
    <row r="1217" customFormat="false" ht="15" hidden="false" customHeight="true" outlineLevel="0" collapsed="false">
      <c r="A1217" s="6" t="s">
        <v>3572</v>
      </c>
      <c r="B1217" s="6" t="s">
        <v>8570</v>
      </c>
      <c r="C1217" s="6"/>
    </row>
    <row r="1218" customFormat="false" ht="15" hidden="false" customHeight="true" outlineLevel="0" collapsed="false">
      <c r="A1218" s="6" t="s">
        <v>3572</v>
      </c>
      <c r="B1218" s="6" t="s">
        <v>8571</v>
      </c>
      <c r="C1218" s="6"/>
    </row>
    <row r="1219" customFormat="false" ht="15" hidden="false" customHeight="true" outlineLevel="0" collapsed="false">
      <c r="A1219" s="6" t="s">
        <v>3582</v>
      </c>
      <c r="B1219" s="6" t="s">
        <v>3582</v>
      </c>
      <c r="C1219" s="6" t="s">
        <v>8013</v>
      </c>
    </row>
    <row r="1220" customFormat="false" ht="15" hidden="false" customHeight="true" outlineLevel="0" collapsed="false">
      <c r="A1220" s="6" t="s">
        <v>3582</v>
      </c>
      <c r="B1220" s="6" t="s">
        <v>8572</v>
      </c>
      <c r="C1220" s="6"/>
    </row>
    <row r="1221" customFormat="false" ht="15" hidden="false" customHeight="true" outlineLevel="0" collapsed="false">
      <c r="A1221" s="6" t="s">
        <v>3582</v>
      </c>
      <c r="B1221" s="6" t="s">
        <v>7229</v>
      </c>
      <c r="C1221" s="6" t="s">
        <v>8013</v>
      </c>
    </row>
    <row r="1222" customFormat="false" ht="15" hidden="false" customHeight="true" outlineLevel="0" collapsed="false">
      <c r="A1222" s="6" t="s">
        <v>3582</v>
      </c>
      <c r="B1222" s="6" t="s">
        <v>7226</v>
      </c>
      <c r="C1222" s="6" t="s">
        <v>8013</v>
      </c>
    </row>
    <row r="1223" customFormat="false" ht="15" hidden="false" customHeight="true" outlineLevel="0" collapsed="false">
      <c r="A1223" s="6" t="s">
        <v>3582</v>
      </c>
      <c r="B1223" s="6" t="s">
        <v>7227</v>
      </c>
      <c r="C1223" s="6" t="s">
        <v>8013</v>
      </c>
    </row>
    <row r="1224" customFormat="false" ht="15" hidden="false" customHeight="true" outlineLevel="0" collapsed="false">
      <c r="A1224" s="6" t="s">
        <v>3582</v>
      </c>
      <c r="B1224" s="6" t="s">
        <v>7228</v>
      </c>
      <c r="C1224" s="6" t="s">
        <v>8013</v>
      </c>
    </row>
    <row r="1225" customFormat="false" ht="15" hidden="false" customHeight="true" outlineLevel="0" collapsed="false">
      <c r="A1225" s="6" t="s">
        <v>3582</v>
      </c>
      <c r="B1225" s="6" t="s">
        <v>7230</v>
      </c>
      <c r="C1225" s="6" t="s">
        <v>8013</v>
      </c>
    </row>
    <row r="1226" customFormat="false" ht="15" hidden="false" customHeight="true" outlineLevel="0" collapsed="false">
      <c r="A1226" s="6" t="s">
        <v>3582</v>
      </c>
      <c r="B1226" s="6" t="s">
        <v>3586</v>
      </c>
      <c r="C1226" s="6" t="s">
        <v>8013</v>
      </c>
    </row>
    <row r="1227" customFormat="false" ht="15" hidden="false" customHeight="true" outlineLevel="0" collapsed="false">
      <c r="A1227" s="6" t="s">
        <v>3582</v>
      </c>
      <c r="B1227" s="6" t="s">
        <v>8573</v>
      </c>
      <c r="C1227" s="6"/>
    </row>
    <row r="1228" customFormat="false" ht="15" hidden="false" customHeight="true" outlineLevel="0" collapsed="false">
      <c r="A1228" s="6" t="s">
        <v>3582</v>
      </c>
      <c r="B1228" s="6" t="s">
        <v>8574</v>
      </c>
      <c r="C1228" s="6"/>
    </row>
    <row r="1229" customFormat="false" ht="15" hidden="false" customHeight="true" outlineLevel="0" collapsed="false">
      <c r="A1229" s="6" t="s">
        <v>3607</v>
      </c>
      <c r="B1229" s="6" t="s">
        <v>3607</v>
      </c>
      <c r="C1229" s="6" t="s">
        <v>8013</v>
      </c>
    </row>
    <row r="1230" customFormat="false" ht="15" hidden="false" customHeight="true" outlineLevel="0" collapsed="false">
      <c r="A1230" s="6" t="s">
        <v>3607</v>
      </c>
      <c r="B1230" s="6" t="s">
        <v>7231</v>
      </c>
      <c r="C1230" s="6" t="s">
        <v>8013</v>
      </c>
    </row>
    <row r="1231" customFormat="false" ht="15" hidden="false" customHeight="true" outlineLevel="0" collapsed="false">
      <c r="A1231" s="6" t="s">
        <v>3607</v>
      </c>
      <c r="B1231" s="6" t="s">
        <v>8575</v>
      </c>
      <c r="C1231" s="6"/>
    </row>
    <row r="1232" customFormat="false" ht="15" hidden="false" customHeight="true" outlineLevel="0" collapsed="false">
      <c r="A1232" s="6" t="s">
        <v>3607</v>
      </c>
      <c r="B1232" s="6" t="s">
        <v>7232</v>
      </c>
      <c r="C1232" s="6" t="s">
        <v>8013</v>
      </c>
    </row>
    <row r="1233" customFormat="false" ht="15" hidden="false" customHeight="true" outlineLevel="0" collapsed="false">
      <c r="A1233" s="6" t="s">
        <v>3607</v>
      </c>
      <c r="B1233" s="6" t="s">
        <v>7234</v>
      </c>
      <c r="C1233" s="6" t="s">
        <v>8013</v>
      </c>
    </row>
    <row r="1234" customFormat="false" ht="15" hidden="false" customHeight="true" outlineLevel="0" collapsed="false">
      <c r="A1234" s="6" t="s">
        <v>3607</v>
      </c>
      <c r="B1234" s="6" t="s">
        <v>7233</v>
      </c>
      <c r="C1234" s="6" t="s">
        <v>8013</v>
      </c>
    </row>
    <row r="1235" customFormat="false" ht="15" hidden="false" customHeight="true" outlineLevel="0" collapsed="false">
      <c r="A1235" s="6" t="s">
        <v>3607</v>
      </c>
      <c r="B1235" s="6" t="s">
        <v>8576</v>
      </c>
      <c r="C1235" s="6"/>
    </row>
    <row r="1236" customFormat="false" ht="15" hidden="false" customHeight="true" outlineLevel="0" collapsed="false">
      <c r="A1236" s="6" t="s">
        <v>3607</v>
      </c>
      <c r="B1236" s="6" t="s">
        <v>8577</v>
      </c>
      <c r="C1236" s="6"/>
    </row>
    <row r="1237" customFormat="false" ht="15" hidden="false" customHeight="true" outlineLevel="0" collapsed="false">
      <c r="A1237" s="6" t="s">
        <v>3607</v>
      </c>
      <c r="B1237" s="6" t="s">
        <v>8578</v>
      </c>
      <c r="C1237" s="6"/>
    </row>
    <row r="1238" customFormat="false" ht="15" hidden="false" customHeight="true" outlineLevel="0" collapsed="false">
      <c r="A1238" s="6" t="s">
        <v>3607</v>
      </c>
      <c r="B1238" s="6" t="s">
        <v>8579</v>
      </c>
      <c r="C1238" s="6"/>
    </row>
    <row r="1239" customFormat="false" ht="15" hidden="false" customHeight="true" outlineLevel="0" collapsed="false">
      <c r="A1239" s="6" t="s">
        <v>332</v>
      </c>
      <c r="B1239" s="6" t="s">
        <v>332</v>
      </c>
      <c r="C1239" s="6" t="s">
        <v>8013</v>
      </c>
    </row>
    <row r="1240" customFormat="false" ht="15" hidden="false" customHeight="true" outlineLevel="0" collapsed="false">
      <c r="A1240" s="6" t="s">
        <v>332</v>
      </c>
      <c r="B1240" s="6" t="s">
        <v>8580</v>
      </c>
      <c r="C1240" s="6"/>
    </row>
    <row r="1241" customFormat="false" ht="15" hidden="false" customHeight="true" outlineLevel="0" collapsed="false">
      <c r="A1241" s="6" t="s">
        <v>332</v>
      </c>
      <c r="B1241" s="6" t="s">
        <v>8581</v>
      </c>
      <c r="C1241" s="6"/>
    </row>
    <row r="1242" customFormat="false" ht="15" hidden="false" customHeight="true" outlineLevel="0" collapsed="false">
      <c r="A1242" s="6" t="s">
        <v>332</v>
      </c>
      <c r="B1242" s="6" t="s">
        <v>8582</v>
      </c>
      <c r="C1242" s="6"/>
    </row>
    <row r="1243" customFormat="false" ht="15" hidden="false" customHeight="true" outlineLevel="0" collapsed="false">
      <c r="A1243" s="6" t="s">
        <v>332</v>
      </c>
      <c r="B1243" s="6" t="s">
        <v>8583</v>
      </c>
      <c r="C1243" s="6"/>
    </row>
    <row r="1244" customFormat="false" ht="15" hidden="false" customHeight="true" outlineLevel="0" collapsed="false">
      <c r="A1244" s="6" t="s">
        <v>332</v>
      </c>
      <c r="B1244" s="6" t="s">
        <v>8584</v>
      </c>
      <c r="C1244" s="6"/>
    </row>
    <row r="1245" customFormat="false" ht="15" hidden="false" customHeight="true" outlineLevel="0" collapsed="false">
      <c r="A1245" s="6" t="s">
        <v>332</v>
      </c>
      <c r="B1245" s="6" t="s">
        <v>8585</v>
      </c>
      <c r="C1245" s="6"/>
    </row>
    <row r="1246" customFormat="false" ht="15" hidden="false" customHeight="true" outlineLevel="0" collapsed="false">
      <c r="A1246" s="6" t="s">
        <v>332</v>
      </c>
      <c r="B1246" s="6" t="s">
        <v>8586</v>
      </c>
      <c r="C1246" s="6"/>
    </row>
    <row r="1247" customFormat="false" ht="15" hidden="false" customHeight="true" outlineLevel="0" collapsed="false">
      <c r="A1247" s="6" t="s">
        <v>332</v>
      </c>
      <c r="B1247" s="6" t="s">
        <v>8587</v>
      </c>
      <c r="C1247" s="6"/>
    </row>
    <row r="1248" customFormat="false" ht="15" hidden="false" customHeight="true" outlineLevel="0" collapsed="false">
      <c r="A1248" s="6" t="s">
        <v>332</v>
      </c>
      <c r="B1248" s="6" t="s">
        <v>8588</v>
      </c>
      <c r="C1248" s="6"/>
    </row>
    <row r="1249" customFormat="false" ht="15" hidden="false" customHeight="true" outlineLevel="0" collapsed="false">
      <c r="A1249" s="6" t="s">
        <v>3620</v>
      </c>
      <c r="B1249" s="6" t="s">
        <v>3620</v>
      </c>
      <c r="C1249" s="6" t="s">
        <v>8013</v>
      </c>
    </row>
    <row r="1250" customFormat="false" ht="15" hidden="false" customHeight="true" outlineLevel="0" collapsed="false">
      <c r="A1250" s="6" t="s">
        <v>3620</v>
      </c>
      <c r="B1250" s="6" t="s">
        <v>8589</v>
      </c>
      <c r="C1250" s="6"/>
    </row>
    <row r="1251" customFormat="false" ht="15" hidden="false" customHeight="true" outlineLevel="0" collapsed="false">
      <c r="A1251" s="6" t="s">
        <v>3620</v>
      </c>
      <c r="B1251" s="6" t="s">
        <v>3624</v>
      </c>
      <c r="C1251" s="6" t="s">
        <v>8013</v>
      </c>
    </row>
    <row r="1252" customFormat="false" ht="15" hidden="false" customHeight="true" outlineLevel="0" collapsed="false">
      <c r="A1252" s="6" t="s">
        <v>3620</v>
      </c>
      <c r="B1252" s="6" t="s">
        <v>7235</v>
      </c>
      <c r="C1252" s="6" t="s">
        <v>8013</v>
      </c>
    </row>
    <row r="1253" customFormat="false" ht="15" hidden="false" customHeight="true" outlineLevel="0" collapsed="false">
      <c r="A1253" s="6" t="s">
        <v>3620</v>
      </c>
      <c r="B1253" s="6" t="s">
        <v>7237</v>
      </c>
      <c r="C1253" s="6" t="s">
        <v>8013</v>
      </c>
    </row>
    <row r="1254" customFormat="false" ht="15" hidden="false" customHeight="true" outlineLevel="0" collapsed="false">
      <c r="A1254" s="6" t="s">
        <v>3620</v>
      </c>
      <c r="B1254" s="6" t="s">
        <v>8590</v>
      </c>
      <c r="C1254" s="6"/>
    </row>
    <row r="1255" customFormat="false" ht="15" hidden="false" customHeight="true" outlineLevel="0" collapsed="false">
      <c r="A1255" s="6" t="s">
        <v>3620</v>
      </c>
      <c r="B1255" s="6" t="s">
        <v>7238</v>
      </c>
      <c r="C1255" s="6" t="s">
        <v>8013</v>
      </c>
    </row>
    <row r="1256" customFormat="false" ht="15" hidden="false" customHeight="true" outlineLevel="0" collapsed="false">
      <c r="A1256" s="6" t="s">
        <v>3620</v>
      </c>
      <c r="B1256" s="6" t="s">
        <v>8591</v>
      </c>
      <c r="C1256" s="6"/>
    </row>
    <row r="1257" customFormat="false" ht="15" hidden="false" customHeight="true" outlineLevel="0" collapsed="false">
      <c r="A1257" s="6" t="s">
        <v>3620</v>
      </c>
      <c r="B1257" s="6" t="s">
        <v>7236</v>
      </c>
      <c r="C1257" s="6" t="s">
        <v>8013</v>
      </c>
    </row>
    <row r="1258" customFormat="false" ht="15" hidden="false" customHeight="true" outlineLevel="0" collapsed="false">
      <c r="A1258" s="6" t="s">
        <v>3620</v>
      </c>
      <c r="B1258" s="6" t="s">
        <v>8592</v>
      </c>
      <c r="C1258" s="6"/>
    </row>
    <row r="1259" customFormat="false" ht="15" hidden="false" customHeight="true" outlineLevel="0" collapsed="false">
      <c r="A1259" s="6" t="s">
        <v>3690</v>
      </c>
      <c r="B1259" s="6" t="s">
        <v>3690</v>
      </c>
      <c r="C1259" s="6" t="s">
        <v>8013</v>
      </c>
    </row>
    <row r="1260" customFormat="false" ht="15" hidden="false" customHeight="true" outlineLevel="0" collapsed="false">
      <c r="A1260" s="6" t="s">
        <v>3690</v>
      </c>
      <c r="B1260" s="6" t="s">
        <v>8593</v>
      </c>
      <c r="C1260" s="6"/>
    </row>
    <row r="1261" customFormat="false" ht="15" hidden="false" customHeight="true" outlineLevel="0" collapsed="false">
      <c r="A1261" s="6" t="s">
        <v>3690</v>
      </c>
      <c r="B1261" s="6" t="s">
        <v>8594</v>
      </c>
      <c r="C1261" s="6"/>
    </row>
    <row r="1262" customFormat="false" ht="15" hidden="false" customHeight="true" outlineLevel="0" collapsed="false">
      <c r="A1262" s="6" t="s">
        <v>3690</v>
      </c>
      <c r="B1262" s="6" t="s">
        <v>7264</v>
      </c>
      <c r="C1262" s="6" t="s">
        <v>8013</v>
      </c>
    </row>
    <row r="1263" customFormat="false" ht="15" hidden="false" customHeight="true" outlineLevel="0" collapsed="false">
      <c r="A1263" s="6" t="s">
        <v>3690</v>
      </c>
      <c r="B1263" s="6" t="s">
        <v>7263</v>
      </c>
      <c r="C1263" s="6" t="s">
        <v>8013</v>
      </c>
    </row>
    <row r="1264" customFormat="false" ht="15" hidden="false" customHeight="true" outlineLevel="0" collapsed="false">
      <c r="A1264" s="6" t="s">
        <v>3690</v>
      </c>
      <c r="B1264" s="6" t="s">
        <v>7265</v>
      </c>
      <c r="C1264" s="6" t="s">
        <v>8013</v>
      </c>
    </row>
    <row r="1265" customFormat="false" ht="15" hidden="false" customHeight="true" outlineLevel="0" collapsed="false">
      <c r="A1265" s="6" t="s">
        <v>3690</v>
      </c>
      <c r="B1265" s="6" t="s">
        <v>8595</v>
      </c>
      <c r="C1265" s="6"/>
    </row>
    <row r="1266" customFormat="false" ht="15" hidden="false" customHeight="true" outlineLevel="0" collapsed="false">
      <c r="A1266" s="6" t="s">
        <v>3690</v>
      </c>
      <c r="B1266" s="6" t="s">
        <v>7266</v>
      </c>
      <c r="C1266" s="6" t="s">
        <v>8013</v>
      </c>
    </row>
    <row r="1267" customFormat="false" ht="15" hidden="false" customHeight="true" outlineLevel="0" collapsed="false">
      <c r="A1267" s="6" t="s">
        <v>3701</v>
      </c>
      <c r="B1267" s="6" t="s">
        <v>7241</v>
      </c>
      <c r="C1267" s="6" t="s">
        <v>8013</v>
      </c>
    </row>
    <row r="1268" customFormat="false" ht="15" hidden="false" customHeight="true" outlineLevel="0" collapsed="false">
      <c r="A1268" s="6" t="s">
        <v>3701</v>
      </c>
      <c r="B1268" s="6" t="s">
        <v>7268</v>
      </c>
      <c r="C1268" s="6" t="s">
        <v>8013</v>
      </c>
    </row>
    <row r="1269" customFormat="false" ht="15" hidden="false" customHeight="true" outlineLevel="0" collapsed="false">
      <c r="A1269" s="6" t="s">
        <v>3701</v>
      </c>
      <c r="B1269" s="6" t="s">
        <v>7260</v>
      </c>
      <c r="C1269" s="6" t="s">
        <v>8013</v>
      </c>
    </row>
    <row r="1270" customFormat="false" ht="15" hidden="false" customHeight="true" outlineLevel="0" collapsed="false">
      <c r="A1270" s="6" t="s">
        <v>3701</v>
      </c>
      <c r="B1270" s="6" t="s">
        <v>7267</v>
      </c>
      <c r="C1270" s="6" t="s">
        <v>8013</v>
      </c>
    </row>
    <row r="1271" customFormat="false" ht="15" hidden="false" customHeight="true" outlineLevel="0" collapsed="false">
      <c r="A1271" s="6" t="s">
        <v>3701</v>
      </c>
      <c r="B1271" s="6" t="s">
        <v>8596</v>
      </c>
      <c r="C1271" s="6"/>
    </row>
    <row r="1272" customFormat="false" ht="15" hidden="false" customHeight="true" outlineLevel="0" collapsed="false">
      <c r="A1272" s="6" t="s">
        <v>3701</v>
      </c>
      <c r="B1272" s="6" t="s">
        <v>8597</v>
      </c>
      <c r="C1272" s="6"/>
    </row>
    <row r="1273" customFormat="false" ht="15" hidden="false" customHeight="true" outlineLevel="0" collapsed="false">
      <c r="A1273" s="6" t="s">
        <v>3701</v>
      </c>
      <c r="B1273" s="6" t="s">
        <v>7240</v>
      </c>
      <c r="C1273" s="6" t="s">
        <v>8013</v>
      </c>
    </row>
    <row r="1274" customFormat="false" ht="15" hidden="false" customHeight="true" outlineLevel="0" collapsed="false">
      <c r="A1274" s="6" t="s">
        <v>3701</v>
      </c>
      <c r="B1274" s="6" t="s">
        <v>8598</v>
      </c>
      <c r="C1274" s="6"/>
    </row>
    <row r="1275" customFormat="false" ht="15" hidden="false" customHeight="true" outlineLevel="0" collapsed="false">
      <c r="A1275" s="6" t="s">
        <v>3701</v>
      </c>
      <c r="B1275" s="6" t="s">
        <v>8599</v>
      </c>
      <c r="C1275" s="6"/>
    </row>
    <row r="1276" customFormat="false" ht="15" hidden="false" customHeight="true" outlineLevel="0" collapsed="false">
      <c r="A1276" s="6" t="s">
        <v>3701</v>
      </c>
      <c r="B1276" s="6" t="s">
        <v>7239</v>
      </c>
      <c r="C1276" s="6" t="s">
        <v>8013</v>
      </c>
    </row>
    <row r="1277" customFormat="false" ht="15" hidden="false" customHeight="true" outlineLevel="0" collapsed="false">
      <c r="A1277" s="6" t="s">
        <v>3679</v>
      </c>
      <c r="B1277" s="6" t="s">
        <v>3679</v>
      </c>
      <c r="C1277" s="6" t="s">
        <v>8013</v>
      </c>
    </row>
    <row r="1278" customFormat="false" ht="15" hidden="false" customHeight="true" outlineLevel="0" collapsed="false">
      <c r="A1278" s="6" t="s">
        <v>3679</v>
      </c>
      <c r="B1278" s="6" t="s">
        <v>7244</v>
      </c>
      <c r="C1278" s="6" t="s">
        <v>8013</v>
      </c>
    </row>
    <row r="1279" customFormat="false" ht="15" hidden="false" customHeight="true" outlineLevel="0" collapsed="false">
      <c r="A1279" s="6" t="s">
        <v>3679</v>
      </c>
      <c r="B1279" s="6" t="s">
        <v>3683</v>
      </c>
      <c r="C1279" s="6" t="s">
        <v>8013</v>
      </c>
    </row>
    <row r="1280" customFormat="false" ht="15" hidden="false" customHeight="true" outlineLevel="0" collapsed="false">
      <c r="A1280" s="6" t="s">
        <v>3679</v>
      </c>
      <c r="B1280" s="6" t="s">
        <v>8600</v>
      </c>
      <c r="C1280" s="6"/>
    </row>
    <row r="1281" customFormat="false" ht="15" hidden="false" customHeight="true" outlineLevel="0" collapsed="false">
      <c r="A1281" s="6" t="s">
        <v>3679</v>
      </c>
      <c r="B1281" s="6" t="s">
        <v>8601</v>
      </c>
      <c r="C1281" s="6"/>
    </row>
    <row r="1282" customFormat="false" ht="15" hidden="false" customHeight="true" outlineLevel="0" collapsed="false">
      <c r="A1282" s="6" t="s">
        <v>3679</v>
      </c>
      <c r="B1282" s="6" t="s">
        <v>7243</v>
      </c>
      <c r="C1282" s="6" t="s">
        <v>8013</v>
      </c>
    </row>
    <row r="1283" customFormat="false" ht="15" hidden="false" customHeight="true" outlineLevel="0" collapsed="false">
      <c r="A1283" s="6" t="s">
        <v>3679</v>
      </c>
      <c r="B1283" s="6" t="s">
        <v>7245</v>
      </c>
      <c r="C1283" s="6" t="s">
        <v>8013</v>
      </c>
    </row>
    <row r="1284" customFormat="false" ht="15" hidden="false" customHeight="true" outlineLevel="0" collapsed="false">
      <c r="A1284" s="6" t="s">
        <v>3679</v>
      </c>
      <c r="B1284" s="6" t="s">
        <v>7242</v>
      </c>
      <c r="C1284" s="6" t="s">
        <v>8013</v>
      </c>
    </row>
    <row r="1285" customFormat="false" ht="15" hidden="false" customHeight="true" outlineLevel="0" collapsed="false">
      <c r="A1285" s="6" t="s">
        <v>3679</v>
      </c>
      <c r="B1285" s="6" t="s">
        <v>8602</v>
      </c>
      <c r="C1285" s="6"/>
    </row>
    <row r="1286" customFormat="false" ht="15" hidden="false" customHeight="true" outlineLevel="0" collapsed="false">
      <c r="A1286" s="6" t="s">
        <v>3679</v>
      </c>
      <c r="B1286" s="6" t="s">
        <v>7246</v>
      </c>
      <c r="C1286" s="6" t="s">
        <v>8013</v>
      </c>
    </row>
    <row r="1287" customFormat="false" ht="15" hidden="false" customHeight="true" outlineLevel="0" collapsed="false">
      <c r="A1287" s="6" t="s">
        <v>3711</v>
      </c>
      <c r="B1287" s="6" t="s">
        <v>7262</v>
      </c>
      <c r="C1287" s="6" t="s">
        <v>8013</v>
      </c>
    </row>
    <row r="1288" customFormat="false" ht="15" hidden="false" customHeight="true" outlineLevel="0" collapsed="false">
      <c r="A1288" s="6" t="s">
        <v>3711</v>
      </c>
      <c r="B1288" s="6" t="s">
        <v>7269</v>
      </c>
      <c r="C1288" s="6" t="s">
        <v>8013</v>
      </c>
    </row>
    <row r="1289" customFormat="false" ht="15" hidden="false" customHeight="true" outlineLevel="0" collapsed="false">
      <c r="A1289" s="6" t="s">
        <v>3711</v>
      </c>
      <c r="B1289" s="6" t="s">
        <v>7271</v>
      </c>
      <c r="C1289" s="6" t="s">
        <v>8013</v>
      </c>
    </row>
    <row r="1290" customFormat="false" ht="15" hidden="false" customHeight="true" outlineLevel="0" collapsed="false">
      <c r="A1290" s="6" t="s">
        <v>3711</v>
      </c>
      <c r="B1290" s="6" t="s">
        <v>7270</v>
      </c>
      <c r="C1290" s="6" t="s">
        <v>8013</v>
      </c>
    </row>
    <row r="1291" customFormat="false" ht="15" hidden="false" customHeight="true" outlineLevel="0" collapsed="false">
      <c r="A1291" s="6" t="s">
        <v>3711</v>
      </c>
      <c r="B1291" s="6" t="s">
        <v>8603</v>
      </c>
      <c r="C1291" s="6"/>
    </row>
    <row r="1292" customFormat="false" ht="15" hidden="false" customHeight="true" outlineLevel="0" collapsed="false">
      <c r="A1292" s="6" t="s">
        <v>3711</v>
      </c>
      <c r="B1292" s="6" t="s">
        <v>8604</v>
      </c>
      <c r="C1292" s="6"/>
    </row>
    <row r="1293" customFormat="false" ht="15" hidden="false" customHeight="true" outlineLevel="0" collapsed="false">
      <c r="A1293" s="6" t="s">
        <v>3711</v>
      </c>
      <c r="B1293" s="6" t="s">
        <v>8605</v>
      </c>
      <c r="C1293" s="6"/>
    </row>
    <row r="1294" customFormat="false" ht="15" hidden="false" customHeight="true" outlineLevel="0" collapsed="false">
      <c r="A1294" s="6" t="s">
        <v>3711</v>
      </c>
      <c r="B1294" s="6" t="s">
        <v>7272</v>
      </c>
      <c r="C1294" s="6" t="s">
        <v>8013</v>
      </c>
    </row>
    <row r="1295" customFormat="false" ht="15" hidden="false" customHeight="true" outlineLevel="0" collapsed="false">
      <c r="A1295" s="6" t="s">
        <v>3711</v>
      </c>
      <c r="B1295" s="6" t="s">
        <v>7261</v>
      </c>
      <c r="C1295" s="6" t="s">
        <v>8013</v>
      </c>
    </row>
    <row r="1296" customFormat="false" ht="15" hidden="false" customHeight="true" outlineLevel="0" collapsed="false">
      <c r="A1296" s="6" t="s">
        <v>3711</v>
      </c>
      <c r="B1296" s="6" t="s">
        <v>8606</v>
      </c>
      <c r="C1296" s="6"/>
    </row>
    <row r="1297" customFormat="false" ht="15" hidden="false" customHeight="true" outlineLevel="0" collapsed="false">
      <c r="A1297" s="6" t="s">
        <v>348</v>
      </c>
      <c r="B1297" s="6" t="s">
        <v>348</v>
      </c>
      <c r="C1297" s="6" t="s">
        <v>8013</v>
      </c>
    </row>
    <row r="1298" customFormat="false" ht="15" hidden="false" customHeight="true" outlineLevel="0" collapsed="false">
      <c r="A1298" s="6" t="s">
        <v>348</v>
      </c>
      <c r="B1298" s="6" t="s">
        <v>8607</v>
      </c>
      <c r="C1298" s="6"/>
    </row>
    <row r="1299" customFormat="false" ht="15" hidden="false" customHeight="true" outlineLevel="0" collapsed="false">
      <c r="A1299" s="6" t="s">
        <v>348</v>
      </c>
      <c r="B1299" s="6" t="s">
        <v>6572</v>
      </c>
      <c r="C1299" s="6" t="s">
        <v>8013</v>
      </c>
    </row>
    <row r="1300" customFormat="false" ht="15" hidden="false" customHeight="true" outlineLevel="0" collapsed="false">
      <c r="A1300" s="6" t="s">
        <v>348</v>
      </c>
      <c r="B1300" s="6" t="s">
        <v>8608</v>
      </c>
      <c r="C1300" s="6"/>
    </row>
    <row r="1301" customFormat="false" ht="15" hidden="false" customHeight="true" outlineLevel="0" collapsed="false">
      <c r="A1301" s="6" t="s">
        <v>348</v>
      </c>
      <c r="B1301" s="6" t="s">
        <v>8609</v>
      </c>
      <c r="C1301" s="6"/>
    </row>
    <row r="1302" customFormat="false" ht="15" hidden="false" customHeight="true" outlineLevel="0" collapsed="false">
      <c r="A1302" s="6" t="s">
        <v>348</v>
      </c>
      <c r="B1302" s="6" t="s">
        <v>8610</v>
      </c>
      <c r="C1302" s="6"/>
    </row>
    <row r="1303" customFormat="false" ht="15" hidden="false" customHeight="true" outlineLevel="0" collapsed="false">
      <c r="A1303" s="6" t="s">
        <v>348</v>
      </c>
      <c r="B1303" s="6" t="s">
        <v>8611</v>
      </c>
      <c r="C1303" s="6"/>
    </row>
    <row r="1304" customFormat="false" ht="15" hidden="false" customHeight="true" outlineLevel="0" collapsed="false">
      <c r="A1304" s="6" t="s">
        <v>348</v>
      </c>
      <c r="B1304" s="6" t="s">
        <v>8612</v>
      </c>
      <c r="C1304" s="6"/>
    </row>
    <row r="1305" customFormat="false" ht="15" hidden="false" customHeight="true" outlineLevel="0" collapsed="false">
      <c r="A1305" s="6" t="s">
        <v>348</v>
      </c>
      <c r="B1305" s="6" t="s">
        <v>8613</v>
      </c>
      <c r="C1305" s="6"/>
    </row>
    <row r="1306" customFormat="false" ht="15" hidden="false" customHeight="true" outlineLevel="0" collapsed="false">
      <c r="A1306" s="6" t="s">
        <v>348</v>
      </c>
      <c r="B1306" s="6" t="s">
        <v>8614</v>
      </c>
      <c r="C1306" s="6"/>
    </row>
    <row r="1307" customFormat="false" ht="15" hidden="false" customHeight="true" outlineLevel="0" collapsed="false">
      <c r="A1307" s="6" t="s">
        <v>3632</v>
      </c>
      <c r="B1307" s="6" t="s">
        <v>3632</v>
      </c>
      <c r="C1307" s="6" t="s">
        <v>8013</v>
      </c>
    </row>
    <row r="1308" customFormat="false" ht="15" hidden="false" customHeight="true" outlineLevel="0" collapsed="false">
      <c r="A1308" s="6" t="s">
        <v>3632</v>
      </c>
      <c r="B1308" s="6" t="s">
        <v>8615</v>
      </c>
      <c r="C1308" s="6"/>
    </row>
    <row r="1309" customFormat="false" ht="15" hidden="false" customHeight="true" outlineLevel="0" collapsed="false">
      <c r="A1309" s="6" t="s">
        <v>3632</v>
      </c>
      <c r="B1309" s="6" t="s">
        <v>3636</v>
      </c>
      <c r="C1309" s="6" t="s">
        <v>8013</v>
      </c>
    </row>
    <row r="1310" customFormat="false" ht="15" hidden="false" customHeight="true" outlineLevel="0" collapsed="false">
      <c r="A1310" s="6" t="s">
        <v>3632</v>
      </c>
      <c r="B1310" s="6" t="s">
        <v>8616</v>
      </c>
      <c r="C1310" s="6"/>
    </row>
    <row r="1311" customFormat="false" ht="15" hidden="false" customHeight="true" outlineLevel="0" collapsed="false">
      <c r="A1311" s="6" t="s">
        <v>3632</v>
      </c>
      <c r="B1311" s="6" t="s">
        <v>8617</v>
      </c>
      <c r="C1311" s="6"/>
    </row>
    <row r="1312" customFormat="false" ht="15" hidden="false" customHeight="true" outlineLevel="0" collapsed="false">
      <c r="A1312" s="6" t="s">
        <v>3632</v>
      </c>
      <c r="B1312" s="6" t="s">
        <v>8618</v>
      </c>
      <c r="C1312" s="6"/>
    </row>
    <row r="1313" customFormat="false" ht="15" hidden="false" customHeight="true" outlineLevel="0" collapsed="false">
      <c r="A1313" s="6" t="s">
        <v>3632</v>
      </c>
      <c r="B1313" s="6" t="s">
        <v>7247</v>
      </c>
      <c r="C1313" s="6" t="s">
        <v>8013</v>
      </c>
    </row>
    <row r="1314" customFormat="false" ht="15" hidden="false" customHeight="true" outlineLevel="0" collapsed="false">
      <c r="A1314" s="6" t="s">
        <v>3632</v>
      </c>
      <c r="B1314" s="6" t="s">
        <v>8619</v>
      </c>
      <c r="C1314" s="6"/>
    </row>
    <row r="1315" customFormat="false" ht="15" hidden="false" customHeight="true" outlineLevel="0" collapsed="false">
      <c r="A1315" s="6" t="s">
        <v>3632</v>
      </c>
      <c r="B1315" s="6" t="s">
        <v>8620</v>
      </c>
      <c r="C1315" s="6"/>
    </row>
    <row r="1316" customFormat="false" ht="15" hidden="false" customHeight="true" outlineLevel="0" collapsed="false">
      <c r="A1316" s="6" t="s">
        <v>3632</v>
      </c>
      <c r="B1316" s="6" t="s">
        <v>7248</v>
      </c>
      <c r="C1316" s="6" t="s">
        <v>8013</v>
      </c>
    </row>
    <row r="1317" customFormat="false" ht="15" hidden="false" customHeight="true" outlineLevel="0" collapsed="false">
      <c r="A1317" s="6" t="s">
        <v>3642</v>
      </c>
      <c r="B1317" s="6" t="s">
        <v>3642</v>
      </c>
      <c r="C1317" s="6" t="s">
        <v>8013</v>
      </c>
    </row>
    <row r="1318" customFormat="false" ht="15" hidden="false" customHeight="true" outlineLevel="0" collapsed="false">
      <c r="A1318" s="6" t="s">
        <v>3642</v>
      </c>
      <c r="B1318" s="6" t="s">
        <v>251</v>
      </c>
      <c r="C1318" s="6" t="s">
        <v>8013</v>
      </c>
    </row>
    <row r="1319" customFormat="false" ht="15" hidden="false" customHeight="true" outlineLevel="0" collapsed="false">
      <c r="A1319" s="6" t="s">
        <v>3642</v>
      </c>
      <c r="B1319" s="6" t="s">
        <v>252</v>
      </c>
      <c r="C1319" s="6" t="s">
        <v>8013</v>
      </c>
    </row>
    <row r="1320" customFormat="false" ht="15" hidden="false" customHeight="true" outlineLevel="0" collapsed="false">
      <c r="A1320" s="6" t="s">
        <v>3642</v>
      </c>
      <c r="B1320" s="6" t="s">
        <v>8621</v>
      </c>
      <c r="C1320" s="6"/>
    </row>
    <row r="1321" customFormat="false" ht="15" hidden="false" customHeight="true" outlineLevel="0" collapsed="false">
      <c r="A1321" s="6" t="s">
        <v>3642</v>
      </c>
      <c r="B1321" s="6" t="s">
        <v>7259</v>
      </c>
      <c r="C1321" s="6" t="s">
        <v>8013</v>
      </c>
    </row>
    <row r="1322" customFormat="false" ht="15" hidden="false" customHeight="true" outlineLevel="0" collapsed="false">
      <c r="A1322" s="6" t="s">
        <v>3642</v>
      </c>
      <c r="B1322" s="6" t="s">
        <v>3646</v>
      </c>
      <c r="C1322" s="6" t="s">
        <v>8013</v>
      </c>
    </row>
    <row r="1323" customFormat="false" ht="15" hidden="false" customHeight="true" outlineLevel="0" collapsed="false">
      <c r="A1323" s="6" t="s">
        <v>3642</v>
      </c>
      <c r="B1323" s="6" t="s">
        <v>7249</v>
      </c>
      <c r="C1323" s="6" t="s">
        <v>8013</v>
      </c>
    </row>
    <row r="1324" customFormat="false" ht="15" hidden="false" customHeight="true" outlineLevel="0" collapsed="false">
      <c r="A1324" s="6" t="s">
        <v>3642</v>
      </c>
      <c r="B1324" s="6" t="s">
        <v>8622</v>
      </c>
      <c r="C1324" s="6"/>
    </row>
    <row r="1325" customFormat="false" ht="15" hidden="false" customHeight="true" outlineLevel="0" collapsed="false">
      <c r="A1325" s="6" t="s">
        <v>3642</v>
      </c>
      <c r="B1325" s="6" t="s">
        <v>7250</v>
      </c>
      <c r="C1325" s="6" t="s">
        <v>8013</v>
      </c>
    </row>
    <row r="1326" customFormat="false" ht="15" hidden="false" customHeight="true" outlineLevel="0" collapsed="false">
      <c r="A1326" s="6" t="s">
        <v>3642</v>
      </c>
      <c r="B1326" s="6" t="s">
        <v>8623</v>
      </c>
      <c r="C1326" s="6"/>
    </row>
    <row r="1327" customFormat="false" ht="15" hidden="false" customHeight="true" outlineLevel="0" collapsed="false">
      <c r="A1327" s="6" t="s">
        <v>3722</v>
      </c>
      <c r="B1327" s="6" t="s">
        <v>3722</v>
      </c>
      <c r="C1327" s="6" t="s">
        <v>8013</v>
      </c>
    </row>
    <row r="1328" customFormat="false" ht="15" hidden="false" customHeight="true" outlineLevel="0" collapsed="false">
      <c r="A1328" s="6" t="s">
        <v>3722</v>
      </c>
      <c r="B1328" s="6" t="s">
        <v>8624</v>
      </c>
      <c r="C1328" s="6"/>
    </row>
    <row r="1329" customFormat="false" ht="15" hidden="false" customHeight="true" outlineLevel="0" collapsed="false">
      <c r="A1329" s="6" t="s">
        <v>3722</v>
      </c>
      <c r="B1329" s="6" t="s">
        <v>8625</v>
      </c>
      <c r="C1329" s="6"/>
    </row>
    <row r="1330" customFormat="false" ht="15" hidden="false" customHeight="true" outlineLevel="0" collapsed="false">
      <c r="A1330" s="6" t="s">
        <v>3722</v>
      </c>
      <c r="B1330" s="6" t="s">
        <v>7273</v>
      </c>
      <c r="C1330" s="6" t="s">
        <v>8013</v>
      </c>
    </row>
    <row r="1331" customFormat="false" ht="15" hidden="false" customHeight="true" outlineLevel="0" collapsed="false">
      <c r="A1331" s="6" t="s">
        <v>3722</v>
      </c>
      <c r="B1331" s="6" t="s">
        <v>8626</v>
      </c>
      <c r="C1331" s="6"/>
    </row>
    <row r="1332" customFormat="false" ht="15" hidden="false" customHeight="true" outlineLevel="0" collapsed="false">
      <c r="A1332" s="6" t="s">
        <v>3722</v>
      </c>
      <c r="B1332" s="6" t="s">
        <v>8627</v>
      </c>
      <c r="C1332" s="6"/>
    </row>
    <row r="1333" customFormat="false" ht="15" hidden="false" customHeight="true" outlineLevel="0" collapsed="false">
      <c r="A1333" s="6" t="s">
        <v>3722</v>
      </c>
      <c r="B1333" s="6" t="s">
        <v>7277</v>
      </c>
      <c r="C1333" s="6" t="s">
        <v>8013</v>
      </c>
    </row>
    <row r="1334" customFormat="false" ht="15" hidden="false" customHeight="true" outlineLevel="0" collapsed="false">
      <c r="A1334" s="6" t="s">
        <v>3722</v>
      </c>
      <c r="B1334" s="6" t="s">
        <v>7279</v>
      </c>
      <c r="C1334" s="6" t="s">
        <v>8013</v>
      </c>
    </row>
    <row r="1335" customFormat="false" ht="15" hidden="false" customHeight="true" outlineLevel="0" collapsed="false">
      <c r="A1335" s="6" t="s">
        <v>3722</v>
      </c>
      <c r="B1335" s="6" t="s">
        <v>7278</v>
      </c>
      <c r="C1335" s="6" t="s">
        <v>8013</v>
      </c>
    </row>
    <row r="1336" customFormat="false" ht="15" hidden="false" customHeight="true" outlineLevel="0" collapsed="false">
      <c r="A1336" s="6" t="s">
        <v>3722</v>
      </c>
      <c r="B1336" s="6" t="s">
        <v>7251</v>
      </c>
      <c r="C1336" s="6" t="s">
        <v>8013</v>
      </c>
    </row>
    <row r="1337" customFormat="false" ht="15" hidden="false" customHeight="true" outlineLevel="0" collapsed="false">
      <c r="A1337" s="6" t="s">
        <v>3668</v>
      </c>
      <c r="B1337" s="6" t="s">
        <v>3668</v>
      </c>
      <c r="C1337" s="6" t="s">
        <v>8013</v>
      </c>
    </row>
    <row r="1338" customFormat="false" ht="15" hidden="false" customHeight="true" outlineLevel="0" collapsed="false">
      <c r="A1338" s="6" t="s">
        <v>3668</v>
      </c>
      <c r="B1338" s="6" t="s">
        <v>3672</v>
      </c>
      <c r="C1338" s="6" t="s">
        <v>8013</v>
      </c>
    </row>
    <row r="1339" customFormat="false" ht="15" hidden="false" customHeight="true" outlineLevel="0" collapsed="false">
      <c r="A1339" s="6" t="s">
        <v>3668</v>
      </c>
      <c r="B1339" s="6" t="s">
        <v>7252</v>
      </c>
      <c r="C1339" s="6" t="s">
        <v>8013</v>
      </c>
    </row>
    <row r="1340" customFormat="false" ht="15" hidden="false" customHeight="true" outlineLevel="0" collapsed="false">
      <c r="A1340" s="6" t="s">
        <v>3668</v>
      </c>
      <c r="B1340" s="6" t="s">
        <v>8628</v>
      </c>
      <c r="C1340" s="6"/>
    </row>
    <row r="1341" customFormat="false" ht="15" hidden="false" customHeight="true" outlineLevel="0" collapsed="false">
      <c r="A1341" s="6" t="s">
        <v>3668</v>
      </c>
      <c r="B1341" s="6" t="s">
        <v>7276</v>
      </c>
      <c r="C1341" s="6" t="s">
        <v>8013</v>
      </c>
    </row>
    <row r="1342" customFormat="false" ht="15" hidden="false" customHeight="true" outlineLevel="0" collapsed="false">
      <c r="A1342" s="6" t="s">
        <v>3668</v>
      </c>
      <c r="B1342" s="6" t="s">
        <v>8629</v>
      </c>
      <c r="C1342" s="6"/>
    </row>
    <row r="1343" customFormat="false" ht="15" hidden="false" customHeight="true" outlineLevel="0" collapsed="false">
      <c r="A1343" s="6" t="s">
        <v>3668</v>
      </c>
      <c r="B1343" s="6" t="s">
        <v>7274</v>
      </c>
      <c r="C1343" s="6" t="s">
        <v>8013</v>
      </c>
    </row>
    <row r="1344" customFormat="false" ht="15" hidden="false" customHeight="true" outlineLevel="0" collapsed="false">
      <c r="A1344" s="6" t="s">
        <v>3668</v>
      </c>
      <c r="B1344" s="6" t="s">
        <v>7275</v>
      </c>
      <c r="C1344" s="6" t="s">
        <v>8013</v>
      </c>
    </row>
    <row r="1345" customFormat="false" ht="15" hidden="false" customHeight="true" outlineLevel="0" collapsed="false">
      <c r="A1345" s="6" t="s">
        <v>3668</v>
      </c>
      <c r="B1345" s="6" t="s">
        <v>7253</v>
      </c>
      <c r="C1345" s="6" t="s">
        <v>8013</v>
      </c>
    </row>
    <row r="1346" customFormat="false" ht="15" hidden="false" customHeight="true" outlineLevel="0" collapsed="false">
      <c r="A1346" s="6" t="s">
        <v>3668</v>
      </c>
      <c r="B1346" s="6" t="s">
        <v>8630</v>
      </c>
      <c r="C1346" s="6"/>
    </row>
    <row r="1347" customFormat="false" ht="15" hidden="false" customHeight="true" outlineLevel="0" collapsed="false">
      <c r="A1347" s="6" t="s">
        <v>3657</v>
      </c>
      <c r="B1347" s="6" t="s">
        <v>3657</v>
      </c>
      <c r="C1347" s="6" t="s">
        <v>8013</v>
      </c>
    </row>
    <row r="1348" customFormat="false" ht="15" hidden="false" customHeight="true" outlineLevel="0" collapsed="false">
      <c r="A1348" s="6" t="s">
        <v>3657</v>
      </c>
      <c r="B1348" s="6" t="s">
        <v>8631</v>
      </c>
      <c r="C1348" s="6"/>
    </row>
    <row r="1349" customFormat="false" ht="15" hidden="false" customHeight="true" outlineLevel="0" collapsed="false">
      <c r="A1349" s="6" t="s">
        <v>3657</v>
      </c>
      <c r="B1349" s="6" t="s">
        <v>7257</v>
      </c>
      <c r="C1349" s="6" t="s">
        <v>8013</v>
      </c>
    </row>
    <row r="1350" customFormat="false" ht="15" hidden="false" customHeight="true" outlineLevel="0" collapsed="false">
      <c r="A1350" s="6" t="s">
        <v>3657</v>
      </c>
      <c r="B1350" s="6" t="s">
        <v>3661</v>
      </c>
      <c r="C1350" s="6" t="s">
        <v>8013</v>
      </c>
    </row>
    <row r="1351" customFormat="false" ht="15" hidden="false" customHeight="true" outlineLevel="0" collapsed="false">
      <c r="A1351" s="6" t="s">
        <v>3657</v>
      </c>
      <c r="B1351" s="6" t="s">
        <v>8632</v>
      </c>
      <c r="C1351" s="6"/>
    </row>
    <row r="1352" customFormat="false" ht="15" hidden="false" customHeight="true" outlineLevel="0" collapsed="false">
      <c r="A1352" s="6" t="s">
        <v>3657</v>
      </c>
      <c r="B1352" s="6" t="s">
        <v>7255</v>
      </c>
      <c r="C1352" s="6" t="s">
        <v>8013</v>
      </c>
    </row>
    <row r="1353" customFormat="false" ht="15" hidden="false" customHeight="true" outlineLevel="0" collapsed="false">
      <c r="A1353" s="6" t="s">
        <v>3657</v>
      </c>
      <c r="B1353" s="6" t="s">
        <v>8633</v>
      </c>
      <c r="C1353" s="6"/>
    </row>
    <row r="1354" customFormat="false" ht="15" hidden="false" customHeight="true" outlineLevel="0" collapsed="false">
      <c r="A1354" s="6" t="s">
        <v>3657</v>
      </c>
      <c r="B1354" s="6" t="s">
        <v>7258</v>
      </c>
      <c r="C1354" s="6" t="s">
        <v>8013</v>
      </c>
    </row>
    <row r="1355" customFormat="false" ht="15" hidden="false" customHeight="true" outlineLevel="0" collapsed="false">
      <c r="A1355" s="6" t="s">
        <v>3657</v>
      </c>
      <c r="B1355" s="6" t="s">
        <v>7256</v>
      </c>
      <c r="C1355" s="6" t="s">
        <v>8013</v>
      </c>
    </row>
    <row r="1356" customFormat="false" ht="15" hidden="false" customHeight="true" outlineLevel="0" collapsed="false">
      <c r="A1356" s="6" t="s">
        <v>3657</v>
      </c>
      <c r="B1356" s="6" t="s">
        <v>7254</v>
      </c>
      <c r="C1356" s="6" t="s">
        <v>8013</v>
      </c>
    </row>
    <row r="1357" customFormat="false" ht="15" hidden="false" customHeight="true" outlineLevel="0" collapsed="false">
      <c r="A1357" s="6" t="s">
        <v>3853</v>
      </c>
      <c r="B1357" s="6" t="s">
        <v>3853</v>
      </c>
      <c r="C1357" s="6" t="s">
        <v>8013</v>
      </c>
    </row>
    <row r="1358" customFormat="false" ht="15" hidden="false" customHeight="true" outlineLevel="0" collapsed="false">
      <c r="A1358" s="6" t="s">
        <v>3853</v>
      </c>
      <c r="B1358" s="6" t="s">
        <v>8634</v>
      </c>
      <c r="C1358" s="6"/>
    </row>
    <row r="1359" customFormat="false" ht="15" hidden="false" customHeight="true" outlineLevel="0" collapsed="false">
      <c r="A1359" s="6" t="s">
        <v>3853</v>
      </c>
      <c r="B1359" s="6" t="s">
        <v>7284</v>
      </c>
      <c r="C1359" s="6" t="s">
        <v>8013</v>
      </c>
    </row>
    <row r="1360" customFormat="false" ht="15" hidden="false" customHeight="true" outlineLevel="0" collapsed="false">
      <c r="A1360" s="6" t="s">
        <v>3853</v>
      </c>
      <c r="B1360" s="6" t="s">
        <v>7283</v>
      </c>
      <c r="C1360" s="6" t="s">
        <v>8013</v>
      </c>
    </row>
    <row r="1361" customFormat="false" ht="15" hidden="false" customHeight="true" outlineLevel="0" collapsed="false">
      <c r="A1361" s="6" t="s">
        <v>3853</v>
      </c>
      <c r="B1361" s="6" t="s">
        <v>7285</v>
      </c>
      <c r="C1361" s="6" t="s">
        <v>8013</v>
      </c>
    </row>
    <row r="1362" customFormat="false" ht="15" hidden="false" customHeight="true" outlineLevel="0" collapsed="false">
      <c r="A1362" s="6" t="s">
        <v>3853</v>
      </c>
      <c r="B1362" s="6" t="s">
        <v>3856</v>
      </c>
      <c r="C1362" s="6" t="s">
        <v>8013</v>
      </c>
    </row>
    <row r="1363" customFormat="false" ht="15" hidden="false" customHeight="true" outlineLevel="0" collapsed="false">
      <c r="A1363" s="6" t="s">
        <v>3853</v>
      </c>
      <c r="B1363" s="6" t="s">
        <v>8635</v>
      </c>
      <c r="C1363" s="6"/>
    </row>
    <row r="1364" customFormat="false" ht="15" hidden="false" customHeight="true" outlineLevel="0" collapsed="false">
      <c r="A1364" s="6" t="s">
        <v>3853</v>
      </c>
      <c r="B1364" s="6" t="s">
        <v>7282</v>
      </c>
      <c r="C1364" s="6" t="s">
        <v>8013</v>
      </c>
    </row>
    <row r="1365" customFormat="false" ht="15" hidden="false" customHeight="true" outlineLevel="0" collapsed="false">
      <c r="A1365" s="6" t="s">
        <v>3853</v>
      </c>
      <c r="B1365" s="6" t="s">
        <v>3857</v>
      </c>
      <c r="C1365" s="6" t="s">
        <v>8013</v>
      </c>
    </row>
    <row r="1366" customFormat="false" ht="15" hidden="false" customHeight="true" outlineLevel="0" collapsed="false">
      <c r="A1366" s="6" t="s">
        <v>3853</v>
      </c>
      <c r="B1366" s="6" t="s">
        <v>8636</v>
      </c>
      <c r="C1366" s="6"/>
    </row>
    <row r="1367" customFormat="false" ht="15" hidden="false" customHeight="true" outlineLevel="0" collapsed="false">
      <c r="A1367" s="6" t="s">
        <v>3864</v>
      </c>
      <c r="B1367" s="6" t="s">
        <v>3864</v>
      </c>
      <c r="C1367" s="6" t="s">
        <v>8013</v>
      </c>
    </row>
    <row r="1368" customFormat="false" ht="15" hidden="false" customHeight="true" outlineLevel="0" collapsed="false">
      <c r="A1368" s="6" t="s">
        <v>3864</v>
      </c>
      <c r="B1368" s="6" t="s">
        <v>8637</v>
      </c>
      <c r="C1368" s="6"/>
    </row>
    <row r="1369" customFormat="false" ht="15" hidden="false" customHeight="true" outlineLevel="0" collapsed="false">
      <c r="A1369" s="6" t="s">
        <v>3864</v>
      </c>
      <c r="B1369" s="6" t="s">
        <v>8638</v>
      </c>
      <c r="C1369" s="6"/>
    </row>
    <row r="1370" customFormat="false" ht="15" hidden="false" customHeight="true" outlineLevel="0" collapsed="false">
      <c r="A1370" s="6" t="s">
        <v>3864</v>
      </c>
      <c r="B1370" s="6" t="s">
        <v>7288</v>
      </c>
      <c r="C1370" s="6" t="s">
        <v>8013</v>
      </c>
    </row>
    <row r="1371" customFormat="false" ht="15" hidden="false" customHeight="true" outlineLevel="0" collapsed="false">
      <c r="A1371" s="6" t="s">
        <v>3864</v>
      </c>
      <c r="B1371" s="6" t="s">
        <v>3867</v>
      </c>
      <c r="C1371" s="6" t="s">
        <v>8013</v>
      </c>
    </row>
    <row r="1372" customFormat="false" ht="15" hidden="false" customHeight="true" outlineLevel="0" collapsed="false">
      <c r="A1372" s="6" t="s">
        <v>3864</v>
      </c>
      <c r="B1372" s="6" t="s">
        <v>7286</v>
      </c>
      <c r="C1372" s="6" t="s">
        <v>8013</v>
      </c>
    </row>
    <row r="1373" customFormat="false" ht="15" hidden="false" customHeight="true" outlineLevel="0" collapsed="false">
      <c r="A1373" s="6" t="s">
        <v>3864</v>
      </c>
      <c r="B1373" s="6" t="s">
        <v>7287</v>
      </c>
      <c r="C1373" s="6" t="s">
        <v>8013</v>
      </c>
    </row>
    <row r="1374" customFormat="false" ht="15" hidden="false" customHeight="true" outlineLevel="0" collapsed="false">
      <c r="A1374" s="6" t="s">
        <v>3864</v>
      </c>
      <c r="B1374" s="6" t="s">
        <v>8639</v>
      </c>
      <c r="C1374" s="6"/>
    </row>
    <row r="1375" customFormat="false" ht="15" hidden="false" customHeight="true" outlineLevel="0" collapsed="false">
      <c r="A1375" s="6" t="s">
        <v>3864</v>
      </c>
      <c r="B1375" s="6" t="s">
        <v>8640</v>
      </c>
      <c r="C1375" s="6"/>
    </row>
    <row r="1376" customFormat="false" ht="15" hidden="false" customHeight="true" outlineLevel="0" collapsed="false">
      <c r="A1376" s="6" t="s">
        <v>3864</v>
      </c>
      <c r="B1376" s="6" t="s">
        <v>7289</v>
      </c>
      <c r="C1376" s="6" t="s">
        <v>8013</v>
      </c>
    </row>
    <row r="1377" customFormat="false" ht="15" hidden="false" customHeight="true" outlineLevel="0" collapsed="false">
      <c r="A1377" s="6" t="s">
        <v>3876</v>
      </c>
      <c r="B1377" s="6" t="s">
        <v>7293</v>
      </c>
      <c r="C1377" s="6" t="s">
        <v>8013</v>
      </c>
    </row>
    <row r="1378" customFormat="false" ht="15" hidden="false" customHeight="true" outlineLevel="0" collapsed="false">
      <c r="A1378" s="6" t="s">
        <v>3876</v>
      </c>
      <c r="B1378" s="6" t="s">
        <v>7292</v>
      </c>
      <c r="C1378" s="6" t="s">
        <v>8013</v>
      </c>
    </row>
    <row r="1379" customFormat="false" ht="15" hidden="false" customHeight="true" outlineLevel="0" collapsed="false">
      <c r="A1379" s="6" t="s">
        <v>3876</v>
      </c>
      <c r="B1379" s="6" t="s">
        <v>8641</v>
      </c>
      <c r="C1379" s="6"/>
    </row>
    <row r="1380" customFormat="false" ht="15" hidden="false" customHeight="true" outlineLevel="0" collapsed="false">
      <c r="A1380" s="6" t="s">
        <v>3876</v>
      </c>
      <c r="B1380" s="6" t="s">
        <v>7294</v>
      </c>
      <c r="C1380" s="6" t="s">
        <v>8013</v>
      </c>
    </row>
    <row r="1381" customFormat="false" ht="15" hidden="false" customHeight="true" outlineLevel="0" collapsed="false">
      <c r="A1381" s="6" t="s">
        <v>3876</v>
      </c>
      <c r="B1381" s="6" t="s">
        <v>3879</v>
      </c>
      <c r="C1381" s="6" t="s">
        <v>8013</v>
      </c>
    </row>
    <row r="1382" customFormat="false" ht="15" hidden="false" customHeight="true" outlineLevel="0" collapsed="false">
      <c r="A1382" s="6" t="s">
        <v>3876</v>
      </c>
      <c r="B1382" s="6" t="s">
        <v>7290</v>
      </c>
      <c r="C1382" s="6" t="s">
        <v>8013</v>
      </c>
    </row>
    <row r="1383" customFormat="false" ht="15" hidden="false" customHeight="true" outlineLevel="0" collapsed="false">
      <c r="A1383" s="6" t="s">
        <v>3876</v>
      </c>
      <c r="B1383" s="6" t="s">
        <v>7291</v>
      </c>
      <c r="C1383" s="6" t="s">
        <v>8013</v>
      </c>
    </row>
    <row r="1384" customFormat="false" ht="15" hidden="false" customHeight="true" outlineLevel="0" collapsed="false">
      <c r="A1384" s="6" t="s">
        <v>3876</v>
      </c>
      <c r="B1384" s="6" t="s">
        <v>8642</v>
      </c>
      <c r="C1384" s="6"/>
    </row>
    <row r="1385" customFormat="false" ht="15" hidden="false" customHeight="true" outlineLevel="0" collapsed="false">
      <c r="A1385" s="6" t="s">
        <v>3876</v>
      </c>
      <c r="B1385" s="6" t="s">
        <v>8643</v>
      </c>
      <c r="C1385" s="6"/>
    </row>
    <row r="1386" customFormat="false" ht="15" hidden="false" customHeight="true" outlineLevel="0" collapsed="false">
      <c r="A1386" s="6" t="s">
        <v>3876</v>
      </c>
      <c r="B1386" s="6" t="s">
        <v>8644</v>
      </c>
      <c r="C1386" s="6"/>
    </row>
    <row r="1387" customFormat="false" ht="15" hidden="false" customHeight="true" outlineLevel="0" collapsed="false">
      <c r="A1387" s="6" t="s">
        <v>3887</v>
      </c>
      <c r="B1387" s="6" t="s">
        <v>3887</v>
      </c>
      <c r="C1387" s="6" t="s">
        <v>8013</v>
      </c>
    </row>
    <row r="1388" customFormat="false" ht="15" hidden="false" customHeight="true" outlineLevel="0" collapsed="false">
      <c r="A1388" s="6" t="s">
        <v>3887</v>
      </c>
      <c r="B1388" s="6" t="s">
        <v>8645</v>
      </c>
      <c r="C1388" s="6"/>
    </row>
    <row r="1389" customFormat="false" ht="15" hidden="false" customHeight="true" outlineLevel="0" collapsed="false">
      <c r="A1389" s="6" t="s">
        <v>3887</v>
      </c>
      <c r="B1389" s="6" t="s">
        <v>7298</v>
      </c>
      <c r="C1389" s="6" t="s">
        <v>8013</v>
      </c>
    </row>
    <row r="1390" customFormat="false" ht="15" hidden="false" customHeight="true" outlineLevel="0" collapsed="false">
      <c r="A1390" s="6" t="s">
        <v>3887</v>
      </c>
      <c r="B1390" s="6" t="s">
        <v>7299</v>
      </c>
      <c r="C1390" s="6" t="s">
        <v>8013</v>
      </c>
    </row>
    <row r="1391" customFormat="false" ht="15" hidden="false" customHeight="true" outlineLevel="0" collapsed="false">
      <c r="A1391" s="6" t="s">
        <v>3887</v>
      </c>
      <c r="B1391" s="6" t="s">
        <v>3891</v>
      </c>
      <c r="C1391" s="6" t="s">
        <v>8013</v>
      </c>
    </row>
    <row r="1392" customFormat="false" ht="15" hidden="false" customHeight="true" outlineLevel="0" collapsed="false">
      <c r="A1392" s="6" t="s">
        <v>3887</v>
      </c>
      <c r="B1392" s="6" t="s">
        <v>7295</v>
      </c>
      <c r="C1392" s="6" t="s">
        <v>8013</v>
      </c>
    </row>
    <row r="1393" customFormat="false" ht="15" hidden="false" customHeight="true" outlineLevel="0" collapsed="false">
      <c r="A1393" s="6" t="s">
        <v>3887</v>
      </c>
      <c r="B1393" s="6" t="s">
        <v>7297</v>
      </c>
      <c r="C1393" s="6" t="s">
        <v>8013</v>
      </c>
    </row>
    <row r="1394" customFormat="false" ht="15" hidden="false" customHeight="true" outlineLevel="0" collapsed="false">
      <c r="A1394" s="6" t="s">
        <v>3887</v>
      </c>
      <c r="B1394" s="6" t="s">
        <v>7296</v>
      </c>
      <c r="C1394" s="6" t="s">
        <v>8013</v>
      </c>
    </row>
    <row r="1395" customFormat="false" ht="15" hidden="false" customHeight="true" outlineLevel="0" collapsed="false">
      <c r="A1395" s="6" t="s">
        <v>3887</v>
      </c>
      <c r="B1395" s="6" t="s">
        <v>8646</v>
      </c>
      <c r="C1395" s="6"/>
    </row>
    <row r="1396" customFormat="false" ht="15" hidden="false" customHeight="true" outlineLevel="0" collapsed="false">
      <c r="A1396" s="6" t="s">
        <v>3887</v>
      </c>
      <c r="B1396" s="6" t="s">
        <v>3890</v>
      </c>
      <c r="C1396" s="6" t="s">
        <v>8013</v>
      </c>
    </row>
    <row r="1397" customFormat="false" ht="15" hidden="false" customHeight="true" outlineLevel="0" collapsed="false">
      <c r="A1397" s="6" t="s">
        <v>343</v>
      </c>
      <c r="B1397" s="6" t="s">
        <v>343</v>
      </c>
      <c r="C1397" s="6" t="s">
        <v>8013</v>
      </c>
    </row>
    <row r="1398" customFormat="false" ht="15" hidden="false" customHeight="true" outlineLevel="0" collapsed="false">
      <c r="A1398" s="6" t="s">
        <v>343</v>
      </c>
      <c r="B1398" s="6" t="s">
        <v>8647</v>
      </c>
      <c r="C1398" s="6"/>
    </row>
    <row r="1399" customFormat="false" ht="15" hidden="false" customHeight="true" outlineLevel="0" collapsed="false">
      <c r="A1399" s="6" t="s">
        <v>343</v>
      </c>
      <c r="B1399" s="6" t="s">
        <v>8648</v>
      </c>
      <c r="C1399" s="6"/>
    </row>
    <row r="1400" customFormat="false" ht="15" hidden="false" customHeight="true" outlineLevel="0" collapsed="false">
      <c r="A1400" s="6" t="s">
        <v>343</v>
      </c>
      <c r="B1400" s="6" t="s">
        <v>8649</v>
      </c>
      <c r="C1400" s="6"/>
    </row>
    <row r="1401" customFormat="false" ht="15" hidden="false" customHeight="true" outlineLevel="0" collapsed="false">
      <c r="A1401" s="6" t="s">
        <v>343</v>
      </c>
      <c r="B1401" s="6" t="s">
        <v>8650</v>
      </c>
      <c r="C1401" s="6"/>
    </row>
    <row r="1402" customFormat="false" ht="15" hidden="false" customHeight="true" outlineLevel="0" collapsed="false">
      <c r="A1402" s="6" t="s">
        <v>343</v>
      </c>
      <c r="B1402" s="6" t="s">
        <v>8651</v>
      </c>
      <c r="C1402" s="6"/>
    </row>
    <row r="1403" customFormat="false" ht="15" hidden="false" customHeight="true" outlineLevel="0" collapsed="false">
      <c r="A1403" s="6" t="s">
        <v>343</v>
      </c>
      <c r="B1403" s="6" t="s">
        <v>8652</v>
      </c>
      <c r="C1403" s="6"/>
    </row>
    <row r="1404" customFormat="false" ht="15" hidden="false" customHeight="true" outlineLevel="0" collapsed="false">
      <c r="A1404" s="6" t="s">
        <v>343</v>
      </c>
      <c r="B1404" s="6" t="s">
        <v>8653</v>
      </c>
      <c r="C1404" s="6"/>
    </row>
    <row r="1405" customFormat="false" ht="15" hidden="false" customHeight="true" outlineLevel="0" collapsed="false">
      <c r="A1405" s="6" t="s">
        <v>343</v>
      </c>
      <c r="B1405" s="6" t="s">
        <v>8654</v>
      </c>
      <c r="C1405" s="6"/>
    </row>
    <row r="1406" customFormat="false" ht="15" hidden="false" customHeight="true" outlineLevel="0" collapsed="false">
      <c r="A1406" s="6" t="s">
        <v>343</v>
      </c>
      <c r="B1406" s="6" t="s">
        <v>8655</v>
      </c>
      <c r="C1406" s="6"/>
    </row>
    <row r="1407" customFormat="false" ht="15" hidden="false" customHeight="true" outlineLevel="0" collapsed="false">
      <c r="A1407" s="6" t="s">
        <v>3738</v>
      </c>
      <c r="B1407" s="6" t="s">
        <v>3738</v>
      </c>
      <c r="C1407" s="6" t="s">
        <v>8013</v>
      </c>
    </row>
    <row r="1408" customFormat="false" ht="15" hidden="false" customHeight="true" outlineLevel="0" collapsed="false">
      <c r="A1408" s="6" t="s">
        <v>3738</v>
      </c>
      <c r="B1408" s="6" t="s">
        <v>8656</v>
      </c>
      <c r="C1408" s="6"/>
    </row>
    <row r="1409" customFormat="false" ht="15" hidden="false" customHeight="true" outlineLevel="0" collapsed="false">
      <c r="A1409" s="6" t="s">
        <v>3738</v>
      </c>
      <c r="B1409" s="6" t="s">
        <v>7306</v>
      </c>
      <c r="C1409" s="6" t="s">
        <v>8013</v>
      </c>
    </row>
    <row r="1410" customFormat="false" ht="15" hidden="false" customHeight="true" outlineLevel="0" collapsed="false">
      <c r="A1410" s="6" t="s">
        <v>3738</v>
      </c>
      <c r="B1410" s="6" t="s">
        <v>7307</v>
      </c>
      <c r="C1410" s="6" t="s">
        <v>8013</v>
      </c>
    </row>
    <row r="1411" customFormat="false" ht="15" hidden="false" customHeight="true" outlineLevel="0" collapsed="false">
      <c r="A1411" s="6" t="s">
        <v>3738</v>
      </c>
      <c r="B1411" s="6" t="s">
        <v>7308</v>
      </c>
      <c r="C1411" s="6" t="s">
        <v>8013</v>
      </c>
    </row>
    <row r="1412" customFormat="false" ht="15" hidden="false" customHeight="true" outlineLevel="0" collapsed="false">
      <c r="A1412" s="6" t="s">
        <v>3738</v>
      </c>
      <c r="B1412" s="6" t="s">
        <v>3742</v>
      </c>
      <c r="C1412" s="6" t="s">
        <v>8013</v>
      </c>
    </row>
    <row r="1413" customFormat="false" ht="15" hidden="false" customHeight="true" outlineLevel="0" collapsed="false">
      <c r="A1413" s="6" t="s">
        <v>3738</v>
      </c>
      <c r="B1413" s="6" t="s">
        <v>7304</v>
      </c>
      <c r="C1413" s="6" t="s">
        <v>8013</v>
      </c>
    </row>
    <row r="1414" customFormat="false" ht="15" hidden="false" customHeight="true" outlineLevel="0" collapsed="false">
      <c r="A1414" s="6" t="s">
        <v>3738</v>
      </c>
      <c r="B1414" s="6" t="s">
        <v>7305</v>
      </c>
      <c r="C1414" s="6" t="s">
        <v>8013</v>
      </c>
    </row>
    <row r="1415" customFormat="false" ht="15" hidden="false" customHeight="true" outlineLevel="0" collapsed="false">
      <c r="A1415" s="6" t="s">
        <v>3738</v>
      </c>
      <c r="B1415" s="6" t="s">
        <v>8657</v>
      </c>
      <c r="C1415" s="6"/>
    </row>
    <row r="1416" customFormat="false" ht="15" hidden="false" customHeight="true" outlineLevel="0" collapsed="false">
      <c r="A1416" s="6" t="s">
        <v>3738</v>
      </c>
      <c r="B1416" s="6" t="s">
        <v>8658</v>
      </c>
      <c r="C1416" s="6"/>
    </row>
    <row r="1417" customFormat="false" ht="15" hidden="false" customHeight="true" outlineLevel="0" collapsed="false">
      <c r="A1417" s="6" t="s">
        <v>3751</v>
      </c>
      <c r="B1417" s="6" t="s">
        <v>3751</v>
      </c>
      <c r="C1417" s="6" t="s">
        <v>8013</v>
      </c>
    </row>
    <row r="1418" customFormat="false" ht="15" hidden="false" customHeight="true" outlineLevel="0" collapsed="false">
      <c r="A1418" s="6" t="s">
        <v>3751</v>
      </c>
      <c r="B1418" s="6" t="s">
        <v>3755</v>
      </c>
      <c r="C1418" s="6" t="s">
        <v>8013</v>
      </c>
    </row>
    <row r="1419" customFormat="false" ht="15" hidden="false" customHeight="true" outlineLevel="0" collapsed="false">
      <c r="A1419" s="6" t="s">
        <v>3751</v>
      </c>
      <c r="B1419" s="6" t="s">
        <v>8659</v>
      </c>
      <c r="C1419" s="6"/>
    </row>
    <row r="1420" customFormat="false" ht="15" hidden="false" customHeight="true" outlineLevel="0" collapsed="false">
      <c r="A1420" s="6" t="s">
        <v>3751</v>
      </c>
      <c r="B1420" s="6" t="s">
        <v>7311</v>
      </c>
      <c r="C1420" s="6" t="s">
        <v>8013</v>
      </c>
    </row>
    <row r="1421" customFormat="false" ht="15" hidden="false" customHeight="true" outlineLevel="0" collapsed="false">
      <c r="A1421" s="6" t="s">
        <v>3751</v>
      </c>
      <c r="B1421" s="6" t="s">
        <v>7310</v>
      </c>
      <c r="C1421" s="6" t="s">
        <v>8013</v>
      </c>
    </row>
    <row r="1422" customFormat="false" ht="15" hidden="false" customHeight="true" outlineLevel="0" collapsed="false">
      <c r="A1422" s="6" t="s">
        <v>3751</v>
      </c>
      <c r="B1422" s="6" t="s">
        <v>8660</v>
      </c>
      <c r="C1422" s="6"/>
    </row>
    <row r="1423" customFormat="false" ht="15" hidden="false" customHeight="true" outlineLevel="0" collapsed="false">
      <c r="A1423" s="6" t="s">
        <v>3751</v>
      </c>
      <c r="B1423" s="6" t="s">
        <v>7309</v>
      </c>
      <c r="C1423" s="6" t="s">
        <v>8013</v>
      </c>
    </row>
    <row r="1424" customFormat="false" ht="15" hidden="false" customHeight="true" outlineLevel="0" collapsed="false">
      <c r="A1424" s="6" t="s">
        <v>3751</v>
      </c>
      <c r="B1424" s="6" t="s">
        <v>8661</v>
      </c>
      <c r="C1424" s="6"/>
    </row>
    <row r="1425" customFormat="false" ht="15" hidden="false" customHeight="true" outlineLevel="0" collapsed="false">
      <c r="A1425" s="6" t="s">
        <v>3751</v>
      </c>
      <c r="B1425" s="6" t="s">
        <v>7300</v>
      </c>
      <c r="C1425" s="6" t="s">
        <v>8013</v>
      </c>
    </row>
    <row r="1426" customFormat="false" ht="15" hidden="false" customHeight="true" outlineLevel="0" collapsed="false">
      <c r="A1426" s="6" t="s">
        <v>3751</v>
      </c>
      <c r="B1426" s="6" t="s">
        <v>8662</v>
      </c>
      <c r="C1426" s="6"/>
    </row>
    <row r="1427" customFormat="false" ht="15" hidden="false" customHeight="true" outlineLevel="0" collapsed="false">
      <c r="A1427" s="6" t="s">
        <v>3763</v>
      </c>
      <c r="B1427" s="6" t="s">
        <v>3763</v>
      </c>
      <c r="C1427" s="6" t="s">
        <v>8013</v>
      </c>
    </row>
    <row r="1428" customFormat="false" ht="15" hidden="false" customHeight="true" outlineLevel="0" collapsed="false">
      <c r="A1428" s="6" t="s">
        <v>3763</v>
      </c>
      <c r="B1428" s="6" t="s">
        <v>8663</v>
      </c>
      <c r="C1428" s="6"/>
    </row>
    <row r="1429" customFormat="false" ht="15" hidden="false" customHeight="true" outlineLevel="0" collapsed="false">
      <c r="A1429" s="6" t="s">
        <v>3763</v>
      </c>
      <c r="B1429" s="6" t="s">
        <v>3767</v>
      </c>
      <c r="C1429" s="6" t="s">
        <v>8013</v>
      </c>
    </row>
    <row r="1430" customFormat="false" ht="15" hidden="false" customHeight="true" outlineLevel="0" collapsed="false">
      <c r="A1430" s="6" t="s">
        <v>3763</v>
      </c>
      <c r="B1430" s="6" t="s">
        <v>7312</v>
      </c>
      <c r="C1430" s="6" t="s">
        <v>8013</v>
      </c>
    </row>
    <row r="1431" customFormat="false" ht="15" hidden="false" customHeight="true" outlineLevel="0" collapsed="false">
      <c r="A1431" s="6" t="s">
        <v>3763</v>
      </c>
      <c r="B1431" s="6" t="s">
        <v>8664</v>
      </c>
      <c r="C1431" s="6"/>
    </row>
    <row r="1432" customFormat="false" ht="15" hidden="false" customHeight="true" outlineLevel="0" collapsed="false">
      <c r="A1432" s="6" t="s">
        <v>3763</v>
      </c>
      <c r="B1432" s="6" t="s">
        <v>8665</v>
      </c>
      <c r="C1432" s="6"/>
    </row>
    <row r="1433" customFormat="false" ht="15" hidden="false" customHeight="true" outlineLevel="0" collapsed="false">
      <c r="A1433" s="6" t="s">
        <v>3763</v>
      </c>
      <c r="B1433" s="6" t="s">
        <v>7301</v>
      </c>
      <c r="C1433" s="6" t="s">
        <v>8013</v>
      </c>
    </row>
    <row r="1434" customFormat="false" ht="15" hidden="false" customHeight="true" outlineLevel="0" collapsed="false">
      <c r="A1434" s="6" t="s">
        <v>3763</v>
      </c>
      <c r="B1434" s="6" t="s">
        <v>7302</v>
      </c>
      <c r="C1434" s="6" t="s">
        <v>8013</v>
      </c>
    </row>
    <row r="1435" customFormat="false" ht="15" hidden="false" customHeight="true" outlineLevel="0" collapsed="false">
      <c r="A1435" s="6" t="s">
        <v>3763</v>
      </c>
      <c r="B1435" s="6" t="s">
        <v>8666</v>
      </c>
      <c r="C1435" s="6"/>
    </row>
    <row r="1436" customFormat="false" ht="15" hidden="false" customHeight="true" outlineLevel="0" collapsed="false">
      <c r="A1436" s="6" t="s">
        <v>3763</v>
      </c>
      <c r="B1436" s="6" t="s">
        <v>7280</v>
      </c>
      <c r="C1436" s="6" t="s">
        <v>8013</v>
      </c>
    </row>
    <row r="1437" customFormat="false" ht="15" hidden="false" customHeight="true" outlineLevel="0" collapsed="false">
      <c r="A1437" s="6" t="s">
        <v>3774</v>
      </c>
      <c r="B1437" s="6" t="s">
        <v>3774</v>
      </c>
      <c r="C1437" s="6" t="s">
        <v>8013</v>
      </c>
    </row>
    <row r="1438" customFormat="false" ht="15" hidden="false" customHeight="true" outlineLevel="0" collapsed="false">
      <c r="A1438" s="6" t="s">
        <v>3774</v>
      </c>
      <c r="B1438" s="6" t="s">
        <v>3778</v>
      </c>
      <c r="C1438" s="6" t="s">
        <v>8013</v>
      </c>
    </row>
    <row r="1439" customFormat="false" ht="15" hidden="false" customHeight="true" outlineLevel="0" collapsed="false">
      <c r="A1439" s="6" t="s">
        <v>3774</v>
      </c>
      <c r="B1439" s="6" t="s">
        <v>8667</v>
      </c>
      <c r="C1439" s="6"/>
    </row>
    <row r="1440" customFormat="false" ht="15" hidden="false" customHeight="true" outlineLevel="0" collapsed="false">
      <c r="A1440" s="6" t="s">
        <v>3774</v>
      </c>
      <c r="B1440" s="6" t="s">
        <v>7315</v>
      </c>
      <c r="C1440" s="6" t="s">
        <v>8013</v>
      </c>
    </row>
    <row r="1441" customFormat="false" ht="15" hidden="false" customHeight="true" outlineLevel="0" collapsed="false">
      <c r="A1441" s="6" t="s">
        <v>3774</v>
      </c>
      <c r="B1441" s="6" t="s">
        <v>7314</v>
      </c>
      <c r="C1441" s="6" t="s">
        <v>8013</v>
      </c>
    </row>
    <row r="1442" customFormat="false" ht="15" hidden="false" customHeight="true" outlineLevel="0" collapsed="false">
      <c r="A1442" s="6" t="s">
        <v>3774</v>
      </c>
      <c r="B1442" s="6" t="s">
        <v>7313</v>
      </c>
      <c r="C1442" s="6" t="s">
        <v>8013</v>
      </c>
    </row>
    <row r="1443" customFormat="false" ht="15" hidden="false" customHeight="true" outlineLevel="0" collapsed="false">
      <c r="A1443" s="6" t="s">
        <v>3774</v>
      </c>
      <c r="B1443" s="6" t="s">
        <v>8668</v>
      </c>
      <c r="C1443" s="6"/>
    </row>
    <row r="1444" customFormat="false" ht="15" hidden="false" customHeight="true" outlineLevel="0" collapsed="false">
      <c r="A1444" s="6" t="s">
        <v>3774</v>
      </c>
      <c r="B1444" s="6" t="s">
        <v>7303</v>
      </c>
      <c r="C1444" s="6" t="s">
        <v>8013</v>
      </c>
    </row>
    <row r="1445" customFormat="false" ht="15" hidden="false" customHeight="true" outlineLevel="0" collapsed="false">
      <c r="A1445" s="6" t="s">
        <v>3774</v>
      </c>
      <c r="B1445" s="6" t="s">
        <v>8669</v>
      </c>
      <c r="C1445" s="6"/>
    </row>
    <row r="1446" customFormat="false" ht="15" hidden="false" customHeight="true" outlineLevel="0" collapsed="false">
      <c r="A1446" s="6" t="s">
        <v>3774</v>
      </c>
      <c r="B1446" s="6" t="s">
        <v>7281</v>
      </c>
      <c r="C1446" s="6" t="s">
        <v>8013</v>
      </c>
    </row>
    <row r="1447" customFormat="false" ht="15" hidden="false" customHeight="true" outlineLevel="0" collapsed="false">
      <c r="A1447" s="6" t="s">
        <v>3785</v>
      </c>
      <c r="B1447" s="6" t="s">
        <v>3785</v>
      </c>
      <c r="C1447" s="6" t="s">
        <v>8013</v>
      </c>
    </row>
    <row r="1448" customFormat="false" ht="15" hidden="false" customHeight="true" outlineLevel="0" collapsed="false">
      <c r="A1448" s="6" t="s">
        <v>3785</v>
      </c>
      <c r="B1448" s="6" t="s">
        <v>3789</v>
      </c>
      <c r="C1448" s="6" t="s">
        <v>8013</v>
      </c>
    </row>
    <row r="1449" customFormat="false" ht="15" hidden="false" customHeight="true" outlineLevel="0" collapsed="false">
      <c r="A1449" s="6" t="s">
        <v>3785</v>
      </c>
      <c r="B1449" s="6" t="s">
        <v>7316</v>
      </c>
      <c r="C1449" s="6" t="s">
        <v>8013</v>
      </c>
    </row>
    <row r="1450" customFormat="false" ht="15" hidden="false" customHeight="true" outlineLevel="0" collapsed="false">
      <c r="A1450" s="6" t="s">
        <v>3785</v>
      </c>
      <c r="B1450" s="6" t="s">
        <v>8670</v>
      </c>
      <c r="C1450" s="6"/>
    </row>
    <row r="1451" customFormat="false" ht="15" hidden="false" customHeight="true" outlineLevel="0" collapsed="false">
      <c r="A1451" s="6" t="s">
        <v>3785</v>
      </c>
      <c r="B1451" s="6" t="s">
        <v>8671</v>
      </c>
      <c r="C1451" s="6"/>
    </row>
    <row r="1452" customFormat="false" ht="15" hidden="false" customHeight="true" outlineLevel="0" collapsed="false">
      <c r="A1452" s="6" t="s">
        <v>3785</v>
      </c>
      <c r="B1452" s="6" t="s">
        <v>7317</v>
      </c>
      <c r="C1452" s="6" t="s">
        <v>8013</v>
      </c>
    </row>
    <row r="1453" customFormat="false" ht="15" hidden="false" customHeight="true" outlineLevel="0" collapsed="false">
      <c r="A1453" s="6" t="s">
        <v>3785</v>
      </c>
      <c r="B1453" s="6" t="s">
        <v>8672</v>
      </c>
      <c r="C1453" s="6"/>
    </row>
    <row r="1454" customFormat="false" ht="15" hidden="false" customHeight="true" outlineLevel="0" collapsed="false">
      <c r="A1454" s="6" t="s">
        <v>3785</v>
      </c>
      <c r="B1454" s="6" t="s">
        <v>7333</v>
      </c>
      <c r="C1454" s="6" t="s">
        <v>8013</v>
      </c>
    </row>
    <row r="1455" customFormat="false" ht="15" hidden="false" customHeight="true" outlineLevel="0" collapsed="false">
      <c r="A1455" s="6" t="s">
        <v>3785</v>
      </c>
      <c r="B1455" s="6" t="s">
        <v>7329</v>
      </c>
      <c r="C1455" s="6" t="s">
        <v>8013</v>
      </c>
    </row>
    <row r="1456" customFormat="false" ht="15" hidden="false" customHeight="true" outlineLevel="0" collapsed="false">
      <c r="A1456" s="6" t="s">
        <v>3785</v>
      </c>
      <c r="B1456" s="6" t="s">
        <v>8673</v>
      </c>
      <c r="C1456" s="6"/>
    </row>
    <row r="1457" customFormat="false" ht="15" hidden="false" customHeight="true" outlineLevel="0" collapsed="false">
      <c r="A1457" s="6" t="s">
        <v>3797</v>
      </c>
      <c r="B1457" s="6" t="s">
        <v>3797</v>
      </c>
      <c r="C1457" s="6" t="s">
        <v>8013</v>
      </c>
    </row>
    <row r="1458" customFormat="false" ht="15" hidden="false" customHeight="true" outlineLevel="0" collapsed="false">
      <c r="A1458" s="6" t="s">
        <v>3797</v>
      </c>
      <c r="B1458" s="6" t="s">
        <v>3801</v>
      </c>
      <c r="C1458" s="6" t="s">
        <v>8013</v>
      </c>
    </row>
    <row r="1459" customFormat="false" ht="15" hidden="false" customHeight="true" outlineLevel="0" collapsed="false">
      <c r="A1459" s="6" t="s">
        <v>3797</v>
      </c>
      <c r="B1459" s="6" t="s">
        <v>7319</v>
      </c>
      <c r="C1459" s="6" t="s">
        <v>8013</v>
      </c>
    </row>
    <row r="1460" customFormat="false" ht="15" hidden="false" customHeight="true" outlineLevel="0" collapsed="false">
      <c r="A1460" s="6" t="s">
        <v>3797</v>
      </c>
      <c r="B1460" s="6" t="s">
        <v>7322</v>
      </c>
      <c r="C1460" s="6" t="s">
        <v>8013</v>
      </c>
    </row>
    <row r="1461" customFormat="false" ht="15" hidden="false" customHeight="true" outlineLevel="0" collapsed="false">
      <c r="A1461" s="6" t="s">
        <v>3797</v>
      </c>
      <c r="B1461" s="6" t="s">
        <v>7321</v>
      </c>
      <c r="C1461" s="6" t="s">
        <v>8013</v>
      </c>
    </row>
    <row r="1462" customFormat="false" ht="15" hidden="false" customHeight="true" outlineLevel="0" collapsed="false">
      <c r="A1462" s="6" t="s">
        <v>3797</v>
      </c>
      <c r="B1462" s="6" t="s">
        <v>8674</v>
      </c>
      <c r="C1462" s="6"/>
    </row>
    <row r="1463" customFormat="false" ht="15" hidden="false" customHeight="true" outlineLevel="0" collapsed="false">
      <c r="A1463" s="6" t="s">
        <v>3797</v>
      </c>
      <c r="B1463" s="6" t="s">
        <v>7320</v>
      </c>
      <c r="C1463" s="6" t="s">
        <v>8013</v>
      </c>
    </row>
    <row r="1464" customFormat="false" ht="15" hidden="false" customHeight="true" outlineLevel="0" collapsed="false">
      <c r="A1464" s="6" t="s">
        <v>3797</v>
      </c>
      <c r="B1464" s="6" t="s">
        <v>7318</v>
      </c>
      <c r="C1464" s="6" t="s">
        <v>8013</v>
      </c>
    </row>
    <row r="1465" customFormat="false" ht="15" hidden="false" customHeight="true" outlineLevel="0" collapsed="false">
      <c r="A1465" s="6" t="s">
        <v>3797</v>
      </c>
      <c r="B1465" s="6" t="s">
        <v>8675</v>
      </c>
      <c r="C1465" s="6"/>
    </row>
    <row r="1466" customFormat="false" ht="15" hidden="false" customHeight="true" outlineLevel="0" collapsed="false">
      <c r="A1466" s="6" t="s">
        <v>3797</v>
      </c>
      <c r="B1466" s="6" t="s">
        <v>8676</v>
      </c>
      <c r="C1466" s="6"/>
    </row>
    <row r="1467" customFormat="false" ht="15" hidden="false" customHeight="true" outlineLevel="0" collapsed="false">
      <c r="A1467" s="6" t="s">
        <v>3808</v>
      </c>
      <c r="B1467" s="6" t="s">
        <v>3808</v>
      </c>
      <c r="C1467" s="6" t="s">
        <v>8013</v>
      </c>
    </row>
    <row r="1468" customFormat="false" ht="15" hidden="false" customHeight="true" outlineLevel="0" collapsed="false">
      <c r="A1468" s="6" t="s">
        <v>3808</v>
      </c>
      <c r="B1468" s="6" t="s">
        <v>8677</v>
      </c>
      <c r="C1468" s="6"/>
    </row>
    <row r="1469" customFormat="false" ht="15" hidden="false" customHeight="true" outlineLevel="0" collapsed="false">
      <c r="A1469" s="6" t="s">
        <v>3808</v>
      </c>
      <c r="B1469" s="6" t="s">
        <v>3812</v>
      </c>
      <c r="C1469" s="6" t="s">
        <v>8013</v>
      </c>
    </row>
    <row r="1470" customFormat="false" ht="15" hidden="false" customHeight="true" outlineLevel="0" collapsed="false">
      <c r="A1470" s="6" t="s">
        <v>3808</v>
      </c>
      <c r="B1470" s="6" t="s">
        <v>7323</v>
      </c>
      <c r="C1470" s="6" t="s">
        <v>8013</v>
      </c>
    </row>
    <row r="1471" customFormat="false" ht="15" hidden="false" customHeight="true" outlineLevel="0" collapsed="false">
      <c r="A1471" s="6" t="s">
        <v>3808</v>
      </c>
      <c r="B1471" s="6" t="s">
        <v>7334</v>
      </c>
      <c r="C1471" s="6" t="s">
        <v>8013</v>
      </c>
    </row>
    <row r="1472" customFormat="false" ht="15" hidden="false" customHeight="true" outlineLevel="0" collapsed="false">
      <c r="A1472" s="6" t="s">
        <v>3808</v>
      </c>
      <c r="B1472" s="6" t="s">
        <v>8678</v>
      </c>
      <c r="C1472" s="6"/>
    </row>
    <row r="1473" customFormat="false" ht="15" hidden="false" customHeight="true" outlineLevel="0" collapsed="false">
      <c r="A1473" s="6" t="s">
        <v>3808</v>
      </c>
      <c r="B1473" s="6" t="s">
        <v>7335</v>
      </c>
      <c r="C1473" s="6" t="s">
        <v>8013</v>
      </c>
    </row>
    <row r="1474" customFormat="false" ht="15" hidden="false" customHeight="true" outlineLevel="0" collapsed="false">
      <c r="A1474" s="6" t="s">
        <v>3808</v>
      </c>
      <c r="B1474" s="6" t="s">
        <v>8679</v>
      </c>
      <c r="C1474" s="6"/>
    </row>
    <row r="1475" customFormat="false" ht="15" hidden="false" customHeight="true" outlineLevel="0" collapsed="false">
      <c r="A1475" s="6" t="s">
        <v>3808</v>
      </c>
      <c r="B1475" s="6" t="s">
        <v>8680</v>
      </c>
      <c r="C1475" s="6"/>
    </row>
    <row r="1476" customFormat="false" ht="15" hidden="false" customHeight="true" outlineLevel="0" collapsed="false">
      <c r="A1476" s="6" t="s">
        <v>3808</v>
      </c>
      <c r="B1476" s="6" t="s">
        <v>8681</v>
      </c>
      <c r="C1476" s="6"/>
    </row>
    <row r="1477" customFormat="false" ht="15" hidden="false" customHeight="true" outlineLevel="0" collapsed="false">
      <c r="A1477" s="6" t="s">
        <v>3819</v>
      </c>
      <c r="B1477" s="6" t="s">
        <v>3819</v>
      </c>
      <c r="C1477" s="6" t="s">
        <v>8013</v>
      </c>
    </row>
    <row r="1478" customFormat="false" ht="15" hidden="false" customHeight="true" outlineLevel="0" collapsed="false">
      <c r="A1478" s="6" t="s">
        <v>3819</v>
      </c>
      <c r="B1478" s="6" t="s">
        <v>7326</v>
      </c>
      <c r="C1478" s="6" t="s">
        <v>8013</v>
      </c>
    </row>
    <row r="1479" customFormat="false" ht="15" hidden="false" customHeight="true" outlineLevel="0" collapsed="false">
      <c r="A1479" s="6" t="s">
        <v>3819</v>
      </c>
      <c r="B1479" s="6" t="s">
        <v>7325</v>
      </c>
      <c r="C1479" s="6" t="s">
        <v>8013</v>
      </c>
    </row>
    <row r="1480" customFormat="false" ht="15" hidden="false" customHeight="true" outlineLevel="0" collapsed="false">
      <c r="A1480" s="6" t="s">
        <v>3819</v>
      </c>
      <c r="B1480" s="6" t="s">
        <v>7324</v>
      </c>
      <c r="C1480" s="6" t="s">
        <v>8013</v>
      </c>
    </row>
    <row r="1481" customFormat="false" ht="15" hidden="false" customHeight="true" outlineLevel="0" collapsed="false">
      <c r="A1481" s="6" t="s">
        <v>3819</v>
      </c>
      <c r="B1481" s="6" t="s">
        <v>8682</v>
      </c>
      <c r="C1481" s="6"/>
    </row>
    <row r="1482" customFormat="false" ht="15" hidden="false" customHeight="true" outlineLevel="0" collapsed="false">
      <c r="A1482" s="6" t="s">
        <v>3819</v>
      </c>
      <c r="B1482" s="6" t="s">
        <v>3823</v>
      </c>
      <c r="C1482" s="6" t="s">
        <v>8013</v>
      </c>
    </row>
    <row r="1483" customFormat="false" ht="15" hidden="false" customHeight="true" outlineLevel="0" collapsed="false">
      <c r="A1483" s="6" t="s">
        <v>3819</v>
      </c>
      <c r="B1483" s="6" t="s">
        <v>8683</v>
      </c>
      <c r="C1483" s="6"/>
    </row>
    <row r="1484" customFormat="false" ht="15" hidden="false" customHeight="true" outlineLevel="0" collapsed="false">
      <c r="A1484" s="6" t="s">
        <v>3819</v>
      </c>
      <c r="B1484" s="6" t="s">
        <v>7336</v>
      </c>
      <c r="C1484" s="6" t="s">
        <v>8013</v>
      </c>
    </row>
    <row r="1485" customFormat="false" ht="15" hidden="false" customHeight="true" outlineLevel="0" collapsed="false">
      <c r="A1485" s="6" t="s">
        <v>3819</v>
      </c>
      <c r="B1485" s="6" t="s">
        <v>8684</v>
      </c>
      <c r="C1485" s="6"/>
    </row>
    <row r="1486" customFormat="false" ht="15" hidden="false" customHeight="true" outlineLevel="0" collapsed="false">
      <c r="A1486" s="6" t="s">
        <v>3819</v>
      </c>
      <c r="B1486" s="6" t="s">
        <v>8685</v>
      </c>
      <c r="C1486" s="6"/>
    </row>
    <row r="1487" customFormat="false" ht="15" hidden="false" customHeight="true" outlineLevel="0" collapsed="false">
      <c r="A1487" s="6" t="s">
        <v>3830</v>
      </c>
      <c r="B1487" s="6" t="s">
        <v>3830</v>
      </c>
      <c r="C1487" s="6" t="s">
        <v>8013</v>
      </c>
    </row>
    <row r="1488" customFormat="false" ht="15" hidden="false" customHeight="true" outlineLevel="0" collapsed="false">
      <c r="A1488" s="6" t="s">
        <v>3830</v>
      </c>
      <c r="B1488" s="6" t="s">
        <v>8686</v>
      </c>
      <c r="C1488" s="6"/>
    </row>
    <row r="1489" customFormat="false" ht="15" hidden="false" customHeight="true" outlineLevel="0" collapsed="false">
      <c r="A1489" s="6" t="s">
        <v>3830</v>
      </c>
      <c r="B1489" s="6" t="s">
        <v>3834</v>
      </c>
      <c r="C1489" s="6" t="s">
        <v>8013</v>
      </c>
    </row>
    <row r="1490" customFormat="false" ht="15" hidden="false" customHeight="true" outlineLevel="0" collapsed="false">
      <c r="A1490" s="6" t="s">
        <v>3830</v>
      </c>
      <c r="B1490" s="6" t="s">
        <v>7327</v>
      </c>
      <c r="C1490" s="6" t="s">
        <v>8013</v>
      </c>
    </row>
    <row r="1491" customFormat="false" ht="15" hidden="false" customHeight="true" outlineLevel="0" collapsed="false">
      <c r="A1491" s="6" t="s">
        <v>3830</v>
      </c>
      <c r="B1491" s="6" t="s">
        <v>7328</v>
      </c>
      <c r="C1491" s="6" t="s">
        <v>8013</v>
      </c>
    </row>
    <row r="1492" customFormat="false" ht="15" hidden="false" customHeight="true" outlineLevel="0" collapsed="false">
      <c r="A1492" s="6" t="s">
        <v>3830</v>
      </c>
      <c r="B1492" s="6" t="s">
        <v>8687</v>
      </c>
      <c r="C1492" s="6"/>
    </row>
    <row r="1493" customFormat="false" ht="15" hidden="false" customHeight="true" outlineLevel="0" collapsed="false">
      <c r="A1493" s="6" t="s">
        <v>3830</v>
      </c>
      <c r="B1493" s="6" t="s">
        <v>8688</v>
      </c>
      <c r="C1493" s="6"/>
    </row>
    <row r="1494" customFormat="false" ht="15" hidden="false" customHeight="true" outlineLevel="0" collapsed="false">
      <c r="A1494" s="6" t="s">
        <v>3830</v>
      </c>
      <c r="B1494" s="6" t="s">
        <v>7337</v>
      </c>
      <c r="C1494" s="6" t="s">
        <v>8013</v>
      </c>
    </row>
    <row r="1495" customFormat="false" ht="15" hidden="false" customHeight="true" outlineLevel="0" collapsed="false">
      <c r="A1495" s="6" t="s">
        <v>3830</v>
      </c>
      <c r="B1495" s="6" t="s">
        <v>7329</v>
      </c>
      <c r="C1495" s="6" t="s">
        <v>8013</v>
      </c>
    </row>
    <row r="1496" customFormat="false" ht="15" hidden="false" customHeight="true" outlineLevel="0" collapsed="false">
      <c r="A1496" s="6" t="s">
        <v>3830</v>
      </c>
      <c r="B1496" s="6" t="s">
        <v>8689</v>
      </c>
      <c r="C1496" s="6"/>
    </row>
    <row r="1497" customFormat="false" ht="15" hidden="false" customHeight="true" outlineLevel="0" collapsed="false">
      <c r="A1497" s="6" t="s">
        <v>3841</v>
      </c>
      <c r="B1497" s="6" t="s">
        <v>3841</v>
      </c>
      <c r="C1497" s="6" t="s">
        <v>8013</v>
      </c>
    </row>
    <row r="1498" customFormat="false" ht="15" hidden="false" customHeight="true" outlineLevel="0" collapsed="false">
      <c r="A1498" s="6" t="s">
        <v>3841</v>
      </c>
      <c r="B1498" s="6" t="s">
        <v>3845</v>
      </c>
      <c r="C1498" s="6" t="s">
        <v>8013</v>
      </c>
    </row>
    <row r="1499" customFormat="false" ht="15" hidden="false" customHeight="true" outlineLevel="0" collapsed="false">
      <c r="A1499" s="6" t="s">
        <v>3841</v>
      </c>
      <c r="B1499" s="6" t="s">
        <v>8690</v>
      </c>
      <c r="C1499" s="6"/>
    </row>
    <row r="1500" customFormat="false" ht="15" hidden="false" customHeight="true" outlineLevel="0" collapsed="false">
      <c r="A1500" s="6" t="s">
        <v>3841</v>
      </c>
      <c r="B1500" s="6" t="s">
        <v>7332</v>
      </c>
      <c r="C1500" s="6" t="s">
        <v>8013</v>
      </c>
    </row>
    <row r="1501" customFormat="false" ht="15" hidden="false" customHeight="true" outlineLevel="0" collapsed="false">
      <c r="A1501" s="6" t="s">
        <v>3841</v>
      </c>
      <c r="B1501" s="6" t="s">
        <v>7331</v>
      </c>
      <c r="C1501" s="6" t="s">
        <v>8013</v>
      </c>
    </row>
    <row r="1502" customFormat="false" ht="15" hidden="false" customHeight="true" outlineLevel="0" collapsed="false">
      <c r="A1502" s="6" t="s">
        <v>3841</v>
      </c>
      <c r="B1502" s="6" t="s">
        <v>8691</v>
      </c>
      <c r="C1502" s="6"/>
    </row>
    <row r="1503" customFormat="false" ht="15" hidden="false" customHeight="true" outlineLevel="0" collapsed="false">
      <c r="A1503" s="6" t="s">
        <v>3841</v>
      </c>
      <c r="B1503" s="6" t="s">
        <v>7338</v>
      </c>
      <c r="C1503" s="6" t="s">
        <v>8013</v>
      </c>
    </row>
    <row r="1504" customFormat="false" ht="15" hidden="false" customHeight="true" outlineLevel="0" collapsed="false">
      <c r="A1504" s="6" t="s">
        <v>3841</v>
      </c>
      <c r="B1504" s="6" t="s">
        <v>8692</v>
      </c>
      <c r="C1504" s="6"/>
    </row>
    <row r="1505" customFormat="false" ht="15" hidden="false" customHeight="true" outlineLevel="0" collapsed="false">
      <c r="A1505" s="6" t="s">
        <v>3841</v>
      </c>
      <c r="B1505" s="6" t="s">
        <v>8693</v>
      </c>
      <c r="C1505" s="6"/>
    </row>
    <row r="1506" customFormat="false" ht="15" hidden="false" customHeight="true" outlineLevel="0" collapsed="false">
      <c r="A1506" s="6" t="s">
        <v>3841</v>
      </c>
      <c r="B1506" s="6" t="s">
        <v>8694</v>
      </c>
      <c r="C1506" s="6"/>
    </row>
    <row r="1507" customFormat="false" ht="15" hidden="false" customHeight="true" outlineLevel="0" collapsed="false">
      <c r="A1507" s="6" t="s">
        <v>3897</v>
      </c>
      <c r="B1507" s="6" t="s">
        <v>3897</v>
      </c>
      <c r="C1507" s="6" t="s">
        <v>8013</v>
      </c>
    </row>
    <row r="1508" customFormat="false" ht="15" hidden="false" customHeight="true" outlineLevel="0" collapsed="false">
      <c r="A1508" s="6" t="s">
        <v>3897</v>
      </c>
      <c r="B1508" s="6" t="s">
        <v>8695</v>
      </c>
      <c r="C1508" s="6"/>
    </row>
    <row r="1509" customFormat="false" ht="15" hidden="false" customHeight="true" outlineLevel="0" collapsed="false">
      <c r="A1509" s="6" t="s">
        <v>3897</v>
      </c>
      <c r="B1509" s="6" t="s">
        <v>7343</v>
      </c>
      <c r="C1509" s="6" t="s">
        <v>8013</v>
      </c>
    </row>
    <row r="1510" customFormat="false" ht="15" hidden="false" customHeight="true" outlineLevel="0" collapsed="false">
      <c r="A1510" s="6" t="s">
        <v>3897</v>
      </c>
      <c r="B1510" s="6" t="s">
        <v>3901</v>
      </c>
      <c r="C1510" s="6" t="s">
        <v>8013</v>
      </c>
    </row>
    <row r="1511" customFormat="false" ht="15" hidden="false" customHeight="true" outlineLevel="0" collapsed="false">
      <c r="A1511" s="6" t="s">
        <v>3897</v>
      </c>
      <c r="B1511" s="6" t="s">
        <v>7341</v>
      </c>
      <c r="C1511" s="6" t="s">
        <v>8013</v>
      </c>
    </row>
    <row r="1512" customFormat="false" ht="15" hidden="false" customHeight="true" outlineLevel="0" collapsed="false">
      <c r="A1512" s="6" t="s">
        <v>3897</v>
      </c>
      <c r="B1512" s="6" t="s">
        <v>7340</v>
      </c>
      <c r="C1512" s="6" t="s">
        <v>8013</v>
      </c>
    </row>
    <row r="1513" customFormat="false" ht="15" hidden="false" customHeight="true" outlineLevel="0" collapsed="false">
      <c r="A1513" s="6" t="s">
        <v>3897</v>
      </c>
      <c r="B1513" s="6" t="s">
        <v>7342</v>
      </c>
      <c r="C1513" s="6" t="s">
        <v>8013</v>
      </c>
    </row>
    <row r="1514" customFormat="false" ht="15" hidden="false" customHeight="true" outlineLevel="0" collapsed="false">
      <c r="A1514" s="6" t="s">
        <v>3897</v>
      </c>
      <c r="B1514" s="6" t="s">
        <v>7344</v>
      </c>
      <c r="C1514" s="6" t="s">
        <v>8013</v>
      </c>
    </row>
    <row r="1515" customFormat="false" ht="15" hidden="false" customHeight="true" outlineLevel="0" collapsed="false">
      <c r="A1515" s="6" t="s">
        <v>3897</v>
      </c>
      <c r="B1515" s="6" t="s">
        <v>8696</v>
      </c>
      <c r="C1515" s="6"/>
    </row>
    <row r="1516" customFormat="false" ht="15" hidden="false" customHeight="true" outlineLevel="0" collapsed="false">
      <c r="A1516" s="6" t="s">
        <v>3897</v>
      </c>
      <c r="B1516" s="6" t="s">
        <v>8697</v>
      </c>
      <c r="C1516" s="6"/>
    </row>
    <row r="1517" customFormat="false" ht="15" hidden="false" customHeight="true" outlineLevel="0" collapsed="false">
      <c r="A1517" s="6" t="s">
        <v>3976</v>
      </c>
      <c r="B1517" s="6" t="s">
        <v>3976</v>
      </c>
      <c r="C1517" s="6" t="s">
        <v>8013</v>
      </c>
    </row>
    <row r="1518" customFormat="false" ht="15" hidden="false" customHeight="true" outlineLevel="0" collapsed="false">
      <c r="A1518" s="6" t="s">
        <v>3976</v>
      </c>
      <c r="B1518" s="6" t="s">
        <v>3981</v>
      </c>
      <c r="C1518" s="6" t="s">
        <v>8013</v>
      </c>
    </row>
    <row r="1519" customFormat="false" ht="15" hidden="false" customHeight="true" outlineLevel="0" collapsed="false">
      <c r="A1519" s="6" t="s">
        <v>3909</v>
      </c>
      <c r="B1519" s="6" t="s">
        <v>8698</v>
      </c>
      <c r="C1519" s="6"/>
    </row>
    <row r="1520" customFormat="false" ht="15" hidden="false" customHeight="true" outlineLevel="0" collapsed="false">
      <c r="A1520" s="6" t="s">
        <v>3909</v>
      </c>
      <c r="B1520" s="6" t="s">
        <v>8699</v>
      </c>
      <c r="C1520" s="6"/>
    </row>
    <row r="1521" customFormat="false" ht="15" hidden="false" customHeight="true" outlineLevel="0" collapsed="false">
      <c r="A1521" s="6" t="s">
        <v>3909</v>
      </c>
      <c r="B1521" s="6" t="s">
        <v>8700</v>
      </c>
      <c r="C1521" s="6"/>
    </row>
    <row r="1522" customFormat="false" ht="15" hidden="false" customHeight="true" outlineLevel="0" collapsed="false">
      <c r="A1522" s="6" t="s">
        <v>3943</v>
      </c>
      <c r="B1522" s="6" t="s">
        <v>7345</v>
      </c>
      <c r="C1522" s="6" t="s">
        <v>8013</v>
      </c>
    </row>
    <row r="1523" customFormat="false" ht="15" hidden="false" customHeight="true" outlineLevel="0" collapsed="false">
      <c r="A1523" s="6" t="s">
        <v>3943</v>
      </c>
      <c r="B1523" s="6" t="s">
        <v>8701</v>
      </c>
      <c r="C1523" s="6"/>
    </row>
    <row r="1524" customFormat="false" ht="15" hidden="false" customHeight="true" outlineLevel="0" collapsed="false">
      <c r="A1524" s="6" t="s">
        <v>3943</v>
      </c>
      <c r="B1524" s="6" t="s">
        <v>8702</v>
      </c>
      <c r="C1524" s="6"/>
    </row>
    <row r="1525" customFormat="false" ht="15" hidden="false" customHeight="true" outlineLevel="0" collapsed="false">
      <c r="A1525" s="6" t="s">
        <v>3943</v>
      </c>
      <c r="B1525" s="6" t="s">
        <v>8703</v>
      </c>
      <c r="C1525" s="6"/>
    </row>
    <row r="1526" customFormat="false" ht="15" hidden="false" customHeight="true" outlineLevel="0" collapsed="false">
      <c r="A1526" s="6" t="s">
        <v>3943</v>
      </c>
      <c r="B1526" s="6" t="s">
        <v>8704</v>
      </c>
      <c r="C1526" s="6"/>
    </row>
    <row r="1527" customFormat="false" ht="15" hidden="false" customHeight="true" outlineLevel="0" collapsed="false">
      <c r="A1527" s="6" t="s">
        <v>3943</v>
      </c>
      <c r="B1527" s="6" t="s">
        <v>3932</v>
      </c>
      <c r="C1527" s="6" t="s">
        <v>8013</v>
      </c>
    </row>
    <row r="1528" customFormat="false" ht="15" hidden="false" customHeight="true" outlineLevel="0" collapsed="false">
      <c r="A1528" s="6" t="s">
        <v>3943</v>
      </c>
      <c r="B1528" s="6" t="s">
        <v>8705</v>
      </c>
      <c r="C1528" s="6"/>
    </row>
    <row r="1529" customFormat="false" ht="15" hidden="false" customHeight="true" outlineLevel="0" collapsed="false">
      <c r="A1529" s="6" t="s">
        <v>3943</v>
      </c>
      <c r="B1529" s="6" t="s">
        <v>3954</v>
      </c>
      <c r="C1529" s="6" t="s">
        <v>8013</v>
      </c>
    </row>
    <row r="1530" customFormat="false" ht="15" hidden="false" customHeight="true" outlineLevel="0" collapsed="false">
      <c r="A1530" s="6" t="s">
        <v>3943</v>
      </c>
      <c r="B1530" s="6" t="s">
        <v>7360</v>
      </c>
      <c r="C1530" s="6" t="s">
        <v>8013</v>
      </c>
    </row>
    <row r="1531" customFormat="false" ht="15" hidden="false" customHeight="true" outlineLevel="0" collapsed="false">
      <c r="A1531" s="6" t="s">
        <v>3943</v>
      </c>
      <c r="B1531" s="6" t="s">
        <v>7351</v>
      </c>
      <c r="C1531" s="6" t="s">
        <v>8013</v>
      </c>
    </row>
    <row r="1532" customFormat="false" ht="15" hidden="false" customHeight="true" outlineLevel="0" collapsed="false">
      <c r="A1532" s="6" t="s">
        <v>3932</v>
      </c>
      <c r="B1532" s="6" t="s">
        <v>3932</v>
      </c>
      <c r="C1532" s="6" t="s">
        <v>8013</v>
      </c>
    </row>
    <row r="1533" customFormat="false" ht="15" hidden="false" customHeight="true" outlineLevel="0" collapsed="false">
      <c r="A1533" s="6" t="s">
        <v>3932</v>
      </c>
      <c r="B1533" s="6" t="s">
        <v>3936</v>
      </c>
      <c r="C1533" s="6" t="s">
        <v>8013</v>
      </c>
    </row>
    <row r="1534" customFormat="false" ht="15" hidden="false" customHeight="true" outlineLevel="0" collapsed="false">
      <c r="A1534" s="6" t="s">
        <v>3932</v>
      </c>
      <c r="B1534" s="6" t="s">
        <v>7350</v>
      </c>
      <c r="C1534" s="6" t="s">
        <v>8013</v>
      </c>
    </row>
    <row r="1535" customFormat="false" ht="15" hidden="false" customHeight="true" outlineLevel="0" collapsed="false">
      <c r="A1535" s="6" t="s">
        <v>3932</v>
      </c>
      <c r="B1535" s="6" t="s">
        <v>7349</v>
      </c>
      <c r="C1535" s="6" t="s">
        <v>8013</v>
      </c>
    </row>
    <row r="1536" customFormat="false" ht="15" hidden="false" customHeight="true" outlineLevel="0" collapsed="false">
      <c r="A1536" s="6" t="s">
        <v>3932</v>
      </c>
      <c r="B1536" s="6" t="s">
        <v>7348</v>
      </c>
      <c r="C1536" s="6" t="s">
        <v>8013</v>
      </c>
    </row>
    <row r="1537" customFormat="false" ht="15" hidden="false" customHeight="true" outlineLevel="0" collapsed="false">
      <c r="A1537" s="6" t="s">
        <v>3932</v>
      </c>
      <c r="B1537" s="6" t="s">
        <v>8706</v>
      </c>
      <c r="C1537" s="6"/>
    </row>
    <row r="1538" customFormat="false" ht="15" hidden="false" customHeight="true" outlineLevel="0" collapsed="false">
      <c r="A1538" s="6" t="s">
        <v>3932</v>
      </c>
      <c r="B1538" s="6" t="s">
        <v>7347</v>
      </c>
      <c r="C1538" s="6" t="s">
        <v>8013</v>
      </c>
    </row>
    <row r="1539" customFormat="false" ht="15" hidden="false" customHeight="true" outlineLevel="0" collapsed="false">
      <c r="A1539" s="6" t="s">
        <v>3932</v>
      </c>
      <c r="B1539" s="6" t="s">
        <v>7346</v>
      </c>
      <c r="C1539" s="6" t="s">
        <v>8013</v>
      </c>
    </row>
    <row r="1540" customFormat="false" ht="15" hidden="false" customHeight="true" outlineLevel="0" collapsed="false">
      <c r="A1540" s="6" t="s">
        <v>3932</v>
      </c>
      <c r="B1540" s="6" t="s">
        <v>8707</v>
      </c>
      <c r="C1540" s="6"/>
    </row>
    <row r="1541" customFormat="false" ht="15" hidden="false" customHeight="true" outlineLevel="0" collapsed="false">
      <c r="A1541" s="6" t="s">
        <v>3932</v>
      </c>
      <c r="B1541" s="6" t="s">
        <v>8708</v>
      </c>
      <c r="C1541" s="6"/>
    </row>
    <row r="1542" customFormat="false" ht="15" hidden="false" customHeight="true" outlineLevel="0" collapsed="false">
      <c r="A1542" s="6" t="s">
        <v>3987</v>
      </c>
      <c r="B1542" s="6" t="s">
        <v>3987</v>
      </c>
      <c r="C1542" s="6" t="s">
        <v>8013</v>
      </c>
    </row>
    <row r="1543" customFormat="false" ht="15" hidden="false" customHeight="true" outlineLevel="0" collapsed="false">
      <c r="A1543" s="6" t="s">
        <v>3987</v>
      </c>
      <c r="B1543" s="6" t="s">
        <v>7354</v>
      </c>
      <c r="C1543" s="6" t="s">
        <v>8013</v>
      </c>
    </row>
    <row r="1544" customFormat="false" ht="15" hidden="false" customHeight="true" outlineLevel="0" collapsed="false">
      <c r="A1544" s="6" t="s">
        <v>3987</v>
      </c>
      <c r="B1544" s="6" t="s">
        <v>7353</v>
      </c>
      <c r="C1544" s="6" t="s">
        <v>8013</v>
      </c>
    </row>
    <row r="1545" customFormat="false" ht="15" hidden="false" customHeight="true" outlineLevel="0" collapsed="false">
      <c r="A1545" s="6" t="s">
        <v>3987</v>
      </c>
      <c r="B1545" s="6" t="s">
        <v>7339</v>
      </c>
      <c r="C1545" s="6" t="s">
        <v>8013</v>
      </c>
    </row>
    <row r="1546" customFormat="false" ht="15" hidden="false" customHeight="true" outlineLevel="0" collapsed="false">
      <c r="A1546" s="6" t="s">
        <v>3987</v>
      </c>
      <c r="B1546" s="6" t="s">
        <v>3997</v>
      </c>
      <c r="C1546" s="6" t="s">
        <v>8013</v>
      </c>
    </row>
    <row r="1547" customFormat="false" ht="15" hidden="false" customHeight="true" outlineLevel="0" collapsed="false">
      <c r="A1547" s="6" t="s">
        <v>3987</v>
      </c>
      <c r="B1547" s="6" t="s">
        <v>8709</v>
      </c>
      <c r="C1547" s="6"/>
    </row>
    <row r="1548" customFormat="false" ht="15" hidden="false" customHeight="true" outlineLevel="0" collapsed="false">
      <c r="A1548" s="6" t="s">
        <v>3987</v>
      </c>
      <c r="B1548" s="6" t="s">
        <v>7352</v>
      </c>
      <c r="C1548" s="6" t="s">
        <v>8013</v>
      </c>
    </row>
    <row r="1549" customFormat="false" ht="15" hidden="false" customHeight="true" outlineLevel="0" collapsed="false">
      <c r="A1549" s="6" t="s">
        <v>3987</v>
      </c>
      <c r="B1549" s="6" t="s">
        <v>8710</v>
      </c>
      <c r="C1549" s="6"/>
    </row>
    <row r="1550" customFormat="false" ht="15" hidden="false" customHeight="true" outlineLevel="0" collapsed="false">
      <c r="A1550" s="6" t="s">
        <v>3987</v>
      </c>
      <c r="B1550" s="6" t="s">
        <v>8711</v>
      </c>
      <c r="C1550" s="6"/>
    </row>
    <row r="1551" customFormat="false" ht="15" hidden="false" customHeight="true" outlineLevel="0" collapsed="false">
      <c r="A1551" s="6" t="s">
        <v>3987</v>
      </c>
      <c r="B1551" s="6" t="s">
        <v>7361</v>
      </c>
      <c r="C1551" s="6" t="s">
        <v>8013</v>
      </c>
    </row>
    <row r="1552" customFormat="false" ht="15" hidden="false" customHeight="true" outlineLevel="0" collapsed="false">
      <c r="A1552" s="6" t="s">
        <v>3954</v>
      </c>
      <c r="B1552" s="6" t="s">
        <v>3954</v>
      </c>
      <c r="C1552" s="6" t="s">
        <v>8013</v>
      </c>
    </row>
    <row r="1553" customFormat="false" ht="15" hidden="false" customHeight="true" outlineLevel="0" collapsed="false">
      <c r="A1553" s="6" t="s">
        <v>3954</v>
      </c>
      <c r="B1553" s="6" t="s">
        <v>7359</v>
      </c>
      <c r="C1553" s="6" t="s">
        <v>8013</v>
      </c>
    </row>
    <row r="1554" customFormat="false" ht="15" hidden="false" customHeight="true" outlineLevel="0" collapsed="false">
      <c r="A1554" s="6" t="s">
        <v>3954</v>
      </c>
      <c r="B1554" s="6" t="s">
        <v>7358</v>
      </c>
      <c r="C1554" s="6" t="s">
        <v>8013</v>
      </c>
    </row>
    <row r="1555" customFormat="false" ht="15" hidden="false" customHeight="true" outlineLevel="0" collapsed="false">
      <c r="A1555" s="6" t="s">
        <v>3954</v>
      </c>
      <c r="B1555" s="6" t="s">
        <v>8712</v>
      </c>
      <c r="C1555" s="6"/>
    </row>
    <row r="1556" customFormat="false" ht="15" hidden="false" customHeight="true" outlineLevel="0" collapsed="false">
      <c r="A1556" s="6" t="s">
        <v>3954</v>
      </c>
      <c r="B1556" s="6" t="s">
        <v>8713</v>
      </c>
      <c r="C1556" s="6"/>
    </row>
    <row r="1557" customFormat="false" ht="15" hidden="false" customHeight="true" outlineLevel="0" collapsed="false">
      <c r="A1557" s="6" t="s">
        <v>3954</v>
      </c>
      <c r="B1557" s="6" t="s">
        <v>7355</v>
      </c>
      <c r="C1557" s="6" t="s">
        <v>8013</v>
      </c>
    </row>
    <row r="1558" customFormat="false" ht="15" hidden="false" customHeight="true" outlineLevel="0" collapsed="false">
      <c r="A1558" s="6" t="s">
        <v>3954</v>
      </c>
      <c r="B1558" s="6" t="s">
        <v>7356</v>
      </c>
      <c r="C1558" s="6" t="s">
        <v>8013</v>
      </c>
    </row>
    <row r="1559" customFormat="false" ht="15" hidden="false" customHeight="true" outlineLevel="0" collapsed="false">
      <c r="A1559" s="6" t="s">
        <v>3954</v>
      </c>
      <c r="B1559" s="6" t="s">
        <v>7357</v>
      </c>
      <c r="C1559" s="6" t="s">
        <v>8013</v>
      </c>
    </row>
    <row r="1560" customFormat="false" ht="15" hidden="false" customHeight="true" outlineLevel="0" collapsed="false">
      <c r="A1560" s="6" t="s">
        <v>3954</v>
      </c>
      <c r="B1560" s="6" t="s">
        <v>3957</v>
      </c>
      <c r="C1560" s="6" t="s">
        <v>8013</v>
      </c>
    </row>
    <row r="1561" customFormat="false" ht="15" hidden="false" customHeight="true" outlineLevel="0" collapsed="false">
      <c r="A1561" s="6" t="s">
        <v>3954</v>
      </c>
      <c r="B1561" s="6" t="s">
        <v>8714</v>
      </c>
      <c r="C1561" s="6"/>
    </row>
    <row r="1562" customFormat="false" ht="15" hidden="false" customHeight="true" outlineLevel="0" collapsed="false">
      <c r="A1562" s="6" t="s">
        <v>3997</v>
      </c>
      <c r="B1562" s="6" t="s">
        <v>3997</v>
      </c>
      <c r="C1562" s="6" t="s">
        <v>8013</v>
      </c>
    </row>
    <row r="1563" customFormat="false" ht="15" hidden="false" customHeight="true" outlineLevel="0" collapsed="false">
      <c r="A1563" s="6" t="s">
        <v>3997</v>
      </c>
      <c r="B1563" s="6" t="s">
        <v>4001</v>
      </c>
      <c r="C1563" s="6" t="s">
        <v>8013</v>
      </c>
    </row>
    <row r="1564" customFormat="false" ht="15" hidden="false" customHeight="true" outlineLevel="0" collapsed="false">
      <c r="A1564" s="6" t="s">
        <v>3997</v>
      </c>
      <c r="B1564" s="6" t="s">
        <v>8715</v>
      </c>
      <c r="C1564" s="6"/>
    </row>
    <row r="1565" customFormat="false" ht="15" hidden="false" customHeight="true" outlineLevel="0" collapsed="false">
      <c r="A1565" s="6" t="s">
        <v>3997</v>
      </c>
      <c r="B1565" s="6" t="s">
        <v>8700</v>
      </c>
      <c r="C1565" s="6"/>
    </row>
    <row r="1566" customFormat="false" ht="15" hidden="false" customHeight="true" outlineLevel="0" collapsed="false">
      <c r="A1566" s="6" t="s">
        <v>3965</v>
      </c>
      <c r="B1566" s="6" t="s">
        <v>3965</v>
      </c>
      <c r="C1566" s="6" t="s">
        <v>8013</v>
      </c>
    </row>
    <row r="1567" customFormat="false" ht="15" hidden="false" customHeight="true" outlineLevel="0" collapsed="false">
      <c r="A1567" s="6" t="s">
        <v>3965</v>
      </c>
      <c r="B1567" s="6" t="s">
        <v>3969</v>
      </c>
      <c r="C1567" s="6" t="s">
        <v>8013</v>
      </c>
    </row>
    <row r="1568" customFormat="false" ht="15" hidden="false" customHeight="true" outlineLevel="0" collapsed="false">
      <c r="A1568" s="6" t="s">
        <v>3965</v>
      </c>
      <c r="B1568" s="6" t="s">
        <v>7364</v>
      </c>
      <c r="C1568" s="6" t="s">
        <v>8013</v>
      </c>
    </row>
    <row r="1569" customFormat="false" ht="15" hidden="false" customHeight="true" outlineLevel="0" collapsed="false">
      <c r="A1569" s="6" t="s">
        <v>3965</v>
      </c>
      <c r="B1569" s="6" t="s">
        <v>7363</v>
      </c>
      <c r="C1569" s="6" t="s">
        <v>8013</v>
      </c>
    </row>
    <row r="1570" customFormat="false" ht="15" hidden="false" customHeight="true" outlineLevel="0" collapsed="false">
      <c r="A1570" s="6" t="s">
        <v>3965</v>
      </c>
      <c r="B1570" s="6" t="s">
        <v>7365</v>
      </c>
      <c r="C1570" s="6" t="s">
        <v>8013</v>
      </c>
    </row>
    <row r="1571" customFormat="false" ht="15" hidden="false" customHeight="true" outlineLevel="0" collapsed="false">
      <c r="A1571" s="6" t="s">
        <v>3965</v>
      </c>
      <c r="B1571" s="6" t="s">
        <v>7362</v>
      </c>
      <c r="C1571" s="6" t="s">
        <v>8013</v>
      </c>
    </row>
    <row r="1572" customFormat="false" ht="15" hidden="false" customHeight="true" outlineLevel="0" collapsed="false">
      <c r="A1572" s="6" t="s">
        <v>3965</v>
      </c>
      <c r="B1572" s="6" t="s">
        <v>8716</v>
      </c>
      <c r="C1572" s="6"/>
    </row>
    <row r="1573" customFormat="false" ht="15" hidden="false" customHeight="true" outlineLevel="0" collapsed="false">
      <c r="A1573" s="6" t="s">
        <v>3965</v>
      </c>
      <c r="B1573" s="6" t="s">
        <v>7366</v>
      </c>
      <c r="C1573" s="6" t="s">
        <v>8013</v>
      </c>
    </row>
    <row r="1574" customFormat="false" ht="15" hidden="false" customHeight="true" outlineLevel="0" collapsed="false">
      <c r="A1574" s="6" t="s">
        <v>3965</v>
      </c>
      <c r="B1574" s="6" t="s">
        <v>8717</v>
      </c>
      <c r="C1574" s="6"/>
    </row>
    <row r="1575" customFormat="false" ht="15" hidden="false" customHeight="true" outlineLevel="0" collapsed="false">
      <c r="A1575" s="6" t="s">
        <v>3965</v>
      </c>
      <c r="B1575" s="6" t="s">
        <v>3968</v>
      </c>
      <c r="C1575" s="6" t="s">
        <v>8013</v>
      </c>
    </row>
    <row r="1576" customFormat="false" ht="15" hidden="false" customHeight="true" outlineLevel="0" collapsed="false">
      <c r="A1576" s="6" t="s">
        <v>335</v>
      </c>
      <c r="B1576" s="6" t="s">
        <v>335</v>
      </c>
      <c r="C1576" s="6" t="s">
        <v>8013</v>
      </c>
    </row>
    <row r="1577" customFormat="false" ht="15" hidden="false" customHeight="true" outlineLevel="0" collapsed="false">
      <c r="A1577" s="6" t="s">
        <v>335</v>
      </c>
      <c r="B1577" s="6" t="s">
        <v>8718</v>
      </c>
      <c r="C1577" s="6"/>
    </row>
    <row r="1578" customFormat="false" ht="15" hidden="false" customHeight="true" outlineLevel="0" collapsed="false">
      <c r="A1578" s="6" t="s">
        <v>335</v>
      </c>
      <c r="B1578" s="6" t="s">
        <v>8719</v>
      </c>
      <c r="C1578" s="6"/>
    </row>
    <row r="1579" customFormat="false" ht="15" hidden="false" customHeight="true" outlineLevel="0" collapsed="false">
      <c r="A1579" s="6" t="s">
        <v>335</v>
      </c>
      <c r="B1579" s="6" t="s">
        <v>8720</v>
      </c>
      <c r="C1579" s="6"/>
    </row>
    <row r="1580" customFormat="false" ht="15" hidden="false" customHeight="true" outlineLevel="0" collapsed="false">
      <c r="A1580" s="6" t="s">
        <v>335</v>
      </c>
      <c r="B1580" s="6" t="s">
        <v>8721</v>
      </c>
      <c r="C1580" s="6"/>
    </row>
    <row r="1581" customFormat="false" ht="15" hidden="false" customHeight="true" outlineLevel="0" collapsed="false">
      <c r="A1581" s="6" t="s">
        <v>335</v>
      </c>
      <c r="B1581" s="6" t="s">
        <v>8722</v>
      </c>
      <c r="C1581" s="6"/>
    </row>
    <row r="1582" customFormat="false" ht="15" hidden="false" customHeight="true" outlineLevel="0" collapsed="false">
      <c r="A1582" s="6" t="s">
        <v>335</v>
      </c>
      <c r="B1582" s="6" t="s">
        <v>8723</v>
      </c>
      <c r="C1582" s="6"/>
    </row>
    <row r="1583" customFormat="false" ht="15" hidden="false" customHeight="true" outlineLevel="0" collapsed="false">
      <c r="A1583" s="6" t="s">
        <v>335</v>
      </c>
      <c r="B1583" s="6" t="s">
        <v>8724</v>
      </c>
      <c r="C1583" s="6"/>
    </row>
    <row r="1584" customFormat="false" ht="15" hidden="false" customHeight="true" outlineLevel="0" collapsed="false">
      <c r="A1584" s="6" t="s">
        <v>335</v>
      </c>
      <c r="B1584" s="6" t="s">
        <v>8725</v>
      </c>
      <c r="C1584" s="6"/>
    </row>
    <row r="1585" customFormat="false" ht="15" hidden="false" customHeight="true" outlineLevel="0" collapsed="false">
      <c r="A1585" s="6" t="s">
        <v>335</v>
      </c>
      <c r="B1585" s="6" t="s">
        <v>8726</v>
      </c>
      <c r="C1585" s="6"/>
    </row>
    <row r="1586" customFormat="false" ht="15" hidden="false" customHeight="true" outlineLevel="0" collapsed="false">
      <c r="A1586" s="6" t="s">
        <v>4008</v>
      </c>
      <c r="B1586" s="6" t="s">
        <v>7369</v>
      </c>
      <c r="C1586" s="6" t="s">
        <v>8013</v>
      </c>
    </row>
    <row r="1587" customFormat="false" ht="15" hidden="false" customHeight="true" outlineLevel="0" collapsed="false">
      <c r="A1587" s="6" t="s">
        <v>4008</v>
      </c>
      <c r="B1587" s="6" t="s">
        <v>4008</v>
      </c>
      <c r="C1587" s="6" t="s">
        <v>8013</v>
      </c>
    </row>
    <row r="1588" customFormat="false" ht="15" hidden="false" customHeight="true" outlineLevel="0" collapsed="false">
      <c r="A1588" s="6" t="s">
        <v>4008</v>
      </c>
      <c r="B1588" s="6" t="s">
        <v>7371</v>
      </c>
      <c r="C1588" s="6" t="s">
        <v>8013</v>
      </c>
    </row>
    <row r="1589" customFormat="false" ht="15" hidden="false" customHeight="true" outlineLevel="0" collapsed="false">
      <c r="A1589" s="6" t="s">
        <v>4008</v>
      </c>
      <c r="B1589" s="6" t="s">
        <v>7370</v>
      </c>
      <c r="C1589" s="6" t="s">
        <v>8013</v>
      </c>
    </row>
    <row r="1590" customFormat="false" ht="15" hidden="false" customHeight="true" outlineLevel="0" collapsed="false">
      <c r="A1590" s="6" t="s">
        <v>4008</v>
      </c>
      <c r="B1590" s="6" t="s">
        <v>4012</v>
      </c>
      <c r="C1590" s="6" t="s">
        <v>8013</v>
      </c>
    </row>
    <row r="1591" customFormat="false" ht="15" hidden="false" customHeight="true" outlineLevel="0" collapsed="false">
      <c r="A1591" s="6" t="s">
        <v>4008</v>
      </c>
      <c r="B1591" s="6" t="s">
        <v>7367</v>
      </c>
      <c r="C1591" s="6" t="s">
        <v>8013</v>
      </c>
    </row>
    <row r="1592" customFormat="false" ht="15" hidden="false" customHeight="true" outlineLevel="0" collapsed="false">
      <c r="A1592" s="6" t="s">
        <v>4008</v>
      </c>
      <c r="B1592" s="6" t="s">
        <v>7368</v>
      </c>
      <c r="C1592" s="6" t="s">
        <v>8013</v>
      </c>
    </row>
    <row r="1593" customFormat="false" ht="15" hidden="false" customHeight="true" outlineLevel="0" collapsed="false">
      <c r="A1593" s="6" t="s">
        <v>4008</v>
      </c>
      <c r="B1593" s="6" t="s">
        <v>8727</v>
      </c>
      <c r="C1593" s="6"/>
    </row>
    <row r="1594" customFormat="false" ht="15" hidden="false" customHeight="true" outlineLevel="0" collapsed="false">
      <c r="A1594" s="6" t="s">
        <v>4008</v>
      </c>
      <c r="B1594" s="6" t="s">
        <v>8728</v>
      </c>
      <c r="C1594" s="6"/>
    </row>
    <row r="1595" customFormat="false" ht="15" hidden="false" customHeight="true" outlineLevel="0" collapsed="false">
      <c r="A1595" s="6" t="s">
        <v>4008</v>
      </c>
      <c r="B1595" s="6" t="s">
        <v>8729</v>
      </c>
      <c r="C1595" s="6"/>
    </row>
    <row r="1596" customFormat="false" ht="15" hidden="false" customHeight="true" outlineLevel="0" collapsed="false">
      <c r="A1596" s="6" t="s">
        <v>336</v>
      </c>
      <c r="B1596" s="6" t="s">
        <v>336</v>
      </c>
      <c r="C1596" s="6" t="s">
        <v>8013</v>
      </c>
    </row>
    <row r="1597" customFormat="false" ht="15" hidden="false" customHeight="true" outlineLevel="0" collapsed="false">
      <c r="A1597" s="6" t="s">
        <v>336</v>
      </c>
      <c r="B1597" s="6" t="s">
        <v>8730</v>
      </c>
      <c r="C1597" s="6"/>
    </row>
    <row r="1598" customFormat="false" ht="15" hidden="false" customHeight="true" outlineLevel="0" collapsed="false">
      <c r="A1598" s="6" t="s">
        <v>336</v>
      </c>
      <c r="B1598" s="6" t="s">
        <v>8731</v>
      </c>
      <c r="C1598" s="6"/>
    </row>
    <row r="1599" customFormat="false" ht="15" hidden="false" customHeight="true" outlineLevel="0" collapsed="false">
      <c r="A1599" s="6" t="s">
        <v>336</v>
      </c>
      <c r="B1599" s="6" t="s">
        <v>8732</v>
      </c>
      <c r="C1599" s="6"/>
    </row>
    <row r="1600" customFormat="false" ht="15" hidden="false" customHeight="true" outlineLevel="0" collapsed="false">
      <c r="A1600" s="6" t="s">
        <v>336</v>
      </c>
      <c r="B1600" s="6" t="s">
        <v>8733</v>
      </c>
      <c r="C1600" s="6"/>
    </row>
    <row r="1601" customFormat="false" ht="15" hidden="false" customHeight="true" outlineLevel="0" collapsed="false">
      <c r="A1601" s="6" t="s">
        <v>336</v>
      </c>
      <c r="B1601" s="6" t="s">
        <v>8734</v>
      </c>
      <c r="C1601" s="6"/>
    </row>
    <row r="1602" customFormat="false" ht="15" hidden="false" customHeight="true" outlineLevel="0" collapsed="false">
      <c r="A1602" s="6" t="s">
        <v>336</v>
      </c>
      <c r="B1602" s="6" t="s">
        <v>8735</v>
      </c>
      <c r="C1602" s="6"/>
    </row>
    <row r="1603" customFormat="false" ht="15" hidden="false" customHeight="true" outlineLevel="0" collapsed="false">
      <c r="A1603" s="6" t="s">
        <v>336</v>
      </c>
      <c r="B1603" s="6" t="s">
        <v>8736</v>
      </c>
      <c r="C1603" s="6"/>
    </row>
    <row r="1604" customFormat="false" ht="15" hidden="false" customHeight="true" outlineLevel="0" collapsed="false">
      <c r="A1604" s="6" t="s">
        <v>336</v>
      </c>
      <c r="B1604" s="6" t="s">
        <v>8737</v>
      </c>
      <c r="C1604" s="6"/>
    </row>
    <row r="1605" customFormat="false" ht="15" hidden="false" customHeight="true" outlineLevel="0" collapsed="false">
      <c r="A1605" s="6" t="s">
        <v>336</v>
      </c>
      <c r="B1605" s="6" t="s">
        <v>8738</v>
      </c>
      <c r="C1605" s="6"/>
    </row>
    <row r="1606" customFormat="false" ht="15" hidden="false" customHeight="true" outlineLevel="0" collapsed="false">
      <c r="A1606" s="6" t="s">
        <v>4021</v>
      </c>
      <c r="B1606" s="6" t="s">
        <v>4021</v>
      </c>
      <c r="C1606" s="6" t="s">
        <v>8013</v>
      </c>
    </row>
    <row r="1607" customFormat="false" ht="15" hidden="false" customHeight="true" outlineLevel="0" collapsed="false">
      <c r="A1607" s="6" t="s">
        <v>4021</v>
      </c>
      <c r="B1607" s="6" t="s">
        <v>8739</v>
      </c>
      <c r="C1607" s="6"/>
    </row>
    <row r="1608" customFormat="false" ht="15" hidden="false" customHeight="true" outlineLevel="0" collapsed="false">
      <c r="A1608" s="6" t="s">
        <v>4021</v>
      </c>
      <c r="B1608" s="6" t="s">
        <v>4025</v>
      </c>
      <c r="C1608" s="6" t="s">
        <v>8013</v>
      </c>
    </row>
    <row r="1609" customFormat="false" ht="15" hidden="false" customHeight="true" outlineLevel="0" collapsed="false">
      <c r="A1609" s="6" t="s">
        <v>4021</v>
      </c>
      <c r="B1609" s="6" t="s">
        <v>7374</v>
      </c>
      <c r="C1609" s="6" t="s">
        <v>8013</v>
      </c>
    </row>
    <row r="1610" customFormat="false" ht="15" hidden="false" customHeight="true" outlineLevel="0" collapsed="false">
      <c r="A1610" s="6" t="s">
        <v>4021</v>
      </c>
      <c r="B1610" s="6" t="s">
        <v>7373</v>
      </c>
      <c r="C1610" s="6" t="s">
        <v>8013</v>
      </c>
    </row>
    <row r="1611" customFormat="false" ht="15" hidden="false" customHeight="true" outlineLevel="0" collapsed="false">
      <c r="A1611" s="6" t="s">
        <v>4021</v>
      </c>
      <c r="B1611" s="6" t="s">
        <v>7372</v>
      </c>
      <c r="C1611" s="6" t="s">
        <v>8013</v>
      </c>
    </row>
    <row r="1612" customFormat="false" ht="15" hidden="false" customHeight="true" outlineLevel="0" collapsed="false">
      <c r="A1612" s="6" t="s">
        <v>4021</v>
      </c>
      <c r="B1612" s="6" t="s">
        <v>8740</v>
      </c>
      <c r="C1612" s="6"/>
    </row>
    <row r="1613" customFormat="false" ht="15" hidden="false" customHeight="true" outlineLevel="0" collapsed="false">
      <c r="A1613" s="6" t="s">
        <v>4021</v>
      </c>
      <c r="B1613" s="6" t="s">
        <v>8741</v>
      </c>
      <c r="C1613" s="6"/>
    </row>
    <row r="1614" customFormat="false" ht="15" hidden="false" customHeight="true" outlineLevel="0" collapsed="false">
      <c r="A1614" s="6" t="s">
        <v>4021</v>
      </c>
      <c r="B1614" s="6" t="s">
        <v>8742</v>
      </c>
      <c r="C1614" s="6"/>
    </row>
    <row r="1615" customFormat="false" ht="15" hidden="false" customHeight="true" outlineLevel="0" collapsed="false">
      <c r="A1615" s="6" t="s">
        <v>4021</v>
      </c>
      <c r="B1615" s="6" t="s">
        <v>8743</v>
      </c>
      <c r="C1615" s="6"/>
    </row>
    <row r="1616" customFormat="false" ht="15" hidden="false" customHeight="true" outlineLevel="0" collapsed="false">
      <c r="A1616" s="6" t="s">
        <v>4031</v>
      </c>
      <c r="B1616" s="6" t="s">
        <v>4031</v>
      </c>
      <c r="C1616" s="6" t="s">
        <v>8013</v>
      </c>
    </row>
    <row r="1617" customFormat="false" ht="15" hidden="false" customHeight="true" outlineLevel="0" collapsed="false">
      <c r="A1617" s="6" t="s">
        <v>4031</v>
      </c>
      <c r="B1617" s="6" t="s">
        <v>7377</v>
      </c>
      <c r="C1617" s="6" t="s">
        <v>8013</v>
      </c>
    </row>
    <row r="1618" customFormat="false" ht="15" hidden="false" customHeight="true" outlineLevel="0" collapsed="false">
      <c r="A1618" s="6" t="s">
        <v>4031</v>
      </c>
      <c r="B1618" s="6" t="s">
        <v>7375</v>
      </c>
      <c r="C1618" s="6" t="s">
        <v>8013</v>
      </c>
    </row>
    <row r="1619" customFormat="false" ht="15" hidden="false" customHeight="true" outlineLevel="0" collapsed="false">
      <c r="A1619" s="6" t="s">
        <v>4031</v>
      </c>
      <c r="B1619" s="6" t="s">
        <v>7376</v>
      </c>
      <c r="C1619" s="6" t="s">
        <v>8013</v>
      </c>
    </row>
    <row r="1620" customFormat="false" ht="15" hidden="false" customHeight="true" outlineLevel="0" collapsed="false">
      <c r="A1620" s="6" t="s">
        <v>4031</v>
      </c>
      <c r="B1620" s="6" t="s">
        <v>4034</v>
      </c>
      <c r="C1620" s="6" t="s">
        <v>8013</v>
      </c>
    </row>
    <row r="1621" customFormat="false" ht="15" hidden="false" customHeight="true" outlineLevel="0" collapsed="false">
      <c r="A1621" s="6" t="s">
        <v>4031</v>
      </c>
      <c r="B1621" s="6" t="s">
        <v>7379</v>
      </c>
      <c r="C1621" s="6" t="s">
        <v>8013</v>
      </c>
    </row>
    <row r="1622" customFormat="false" ht="15" hidden="false" customHeight="true" outlineLevel="0" collapsed="false">
      <c r="A1622" s="6" t="s">
        <v>4031</v>
      </c>
      <c r="B1622" s="6" t="s">
        <v>7378</v>
      </c>
      <c r="C1622" s="6" t="s">
        <v>8013</v>
      </c>
    </row>
    <row r="1623" customFormat="false" ht="15" hidden="false" customHeight="true" outlineLevel="0" collapsed="false">
      <c r="A1623" s="6" t="s">
        <v>4031</v>
      </c>
      <c r="B1623" s="6" t="s">
        <v>8744</v>
      </c>
      <c r="C1623" s="6"/>
    </row>
    <row r="1624" customFormat="false" ht="15" hidden="false" customHeight="true" outlineLevel="0" collapsed="false">
      <c r="A1624" s="6" t="s">
        <v>4031</v>
      </c>
      <c r="B1624" s="6" t="s">
        <v>8745</v>
      </c>
      <c r="C1624" s="6"/>
    </row>
    <row r="1625" customFormat="false" ht="15" hidden="false" customHeight="true" outlineLevel="0" collapsed="false">
      <c r="A1625" s="6" t="s">
        <v>4031</v>
      </c>
      <c r="B1625" s="6" t="s">
        <v>8746</v>
      </c>
      <c r="C1625" s="6"/>
    </row>
    <row r="1626" customFormat="false" ht="15" hidden="false" customHeight="true" outlineLevel="0" collapsed="false">
      <c r="A1626" s="6" t="s">
        <v>4043</v>
      </c>
      <c r="B1626" s="6" t="s">
        <v>4043</v>
      </c>
      <c r="C1626" s="6" t="s">
        <v>8013</v>
      </c>
    </row>
    <row r="1627" customFormat="false" ht="15" hidden="false" customHeight="true" outlineLevel="0" collapsed="false">
      <c r="A1627" s="6" t="s">
        <v>4043</v>
      </c>
      <c r="B1627" s="6" t="s">
        <v>7382</v>
      </c>
      <c r="C1627" s="6" t="s">
        <v>8013</v>
      </c>
    </row>
    <row r="1628" customFormat="false" ht="15" hidden="false" customHeight="true" outlineLevel="0" collapsed="false">
      <c r="A1628" s="6" t="s">
        <v>4043</v>
      </c>
      <c r="B1628" s="6" t="s">
        <v>7381</v>
      </c>
      <c r="C1628" s="6" t="s">
        <v>8013</v>
      </c>
    </row>
    <row r="1629" customFormat="false" ht="15" hidden="false" customHeight="true" outlineLevel="0" collapsed="false">
      <c r="A1629" s="6" t="s">
        <v>4043</v>
      </c>
      <c r="B1629" s="6" t="s">
        <v>8747</v>
      </c>
      <c r="C1629" s="6"/>
    </row>
    <row r="1630" customFormat="false" ht="15" hidden="false" customHeight="true" outlineLevel="0" collapsed="false">
      <c r="A1630" s="6" t="s">
        <v>4043</v>
      </c>
      <c r="B1630" s="6" t="s">
        <v>7380</v>
      </c>
      <c r="C1630" s="6" t="s">
        <v>8013</v>
      </c>
    </row>
    <row r="1631" customFormat="false" ht="15" hidden="false" customHeight="true" outlineLevel="0" collapsed="false">
      <c r="A1631" s="6" t="s">
        <v>4043</v>
      </c>
      <c r="B1631" s="6" t="s">
        <v>7383</v>
      </c>
      <c r="C1631" s="6" t="s">
        <v>8013</v>
      </c>
    </row>
    <row r="1632" customFormat="false" ht="15" hidden="false" customHeight="true" outlineLevel="0" collapsed="false">
      <c r="A1632" s="6" t="s">
        <v>4043</v>
      </c>
      <c r="B1632" s="6" t="s">
        <v>7384</v>
      </c>
      <c r="C1632" s="6" t="s">
        <v>8013</v>
      </c>
    </row>
    <row r="1633" customFormat="false" ht="15" hidden="false" customHeight="true" outlineLevel="0" collapsed="false">
      <c r="A1633" s="6" t="s">
        <v>4043</v>
      </c>
      <c r="B1633" s="6" t="s">
        <v>4046</v>
      </c>
      <c r="C1633" s="6" t="s">
        <v>8013</v>
      </c>
    </row>
    <row r="1634" customFormat="false" ht="15" hidden="false" customHeight="true" outlineLevel="0" collapsed="false">
      <c r="A1634" s="6" t="s">
        <v>4043</v>
      </c>
      <c r="B1634" s="6" t="s">
        <v>8748</v>
      </c>
      <c r="C1634" s="6"/>
    </row>
    <row r="1635" customFormat="false" ht="15" hidden="false" customHeight="true" outlineLevel="0" collapsed="false">
      <c r="A1635" s="6" t="s">
        <v>340</v>
      </c>
      <c r="B1635" s="6" t="s">
        <v>340</v>
      </c>
      <c r="C1635" s="6" t="s">
        <v>8013</v>
      </c>
    </row>
    <row r="1636" customFormat="false" ht="15" hidden="false" customHeight="true" outlineLevel="0" collapsed="false">
      <c r="A1636" s="6" t="s">
        <v>340</v>
      </c>
      <c r="B1636" s="6" t="s">
        <v>8749</v>
      </c>
      <c r="C1636" s="6"/>
    </row>
    <row r="1637" customFormat="false" ht="15" hidden="false" customHeight="true" outlineLevel="0" collapsed="false">
      <c r="A1637" s="6" t="s">
        <v>340</v>
      </c>
      <c r="B1637" s="6" t="s">
        <v>6581</v>
      </c>
      <c r="C1637" s="6" t="s">
        <v>8013</v>
      </c>
    </row>
    <row r="1638" customFormat="false" ht="15" hidden="false" customHeight="true" outlineLevel="0" collapsed="false">
      <c r="A1638" s="6" t="s">
        <v>340</v>
      </c>
      <c r="B1638" s="6" t="s">
        <v>8750</v>
      </c>
      <c r="C1638" s="6"/>
    </row>
    <row r="1639" customFormat="false" ht="15" hidden="false" customHeight="true" outlineLevel="0" collapsed="false">
      <c r="A1639" s="6" t="s">
        <v>340</v>
      </c>
      <c r="B1639" s="6" t="s">
        <v>8751</v>
      </c>
      <c r="C1639" s="6"/>
    </row>
    <row r="1640" customFormat="false" ht="15" hidden="false" customHeight="true" outlineLevel="0" collapsed="false">
      <c r="A1640" s="6" t="s">
        <v>340</v>
      </c>
      <c r="B1640" s="6" t="s">
        <v>8752</v>
      </c>
      <c r="C1640" s="6"/>
    </row>
    <row r="1641" customFormat="false" ht="15" hidden="false" customHeight="true" outlineLevel="0" collapsed="false">
      <c r="A1641" s="6" t="s">
        <v>340</v>
      </c>
      <c r="B1641" s="6" t="s">
        <v>8753</v>
      </c>
      <c r="C1641" s="6"/>
    </row>
    <row r="1642" customFormat="false" ht="15" hidden="false" customHeight="true" outlineLevel="0" collapsed="false">
      <c r="A1642" s="6" t="s">
        <v>340</v>
      </c>
      <c r="B1642" s="6" t="s">
        <v>8754</v>
      </c>
      <c r="C1642" s="6"/>
    </row>
    <row r="1643" customFormat="false" ht="15" hidden="false" customHeight="true" outlineLevel="0" collapsed="false">
      <c r="A1643" s="6" t="s">
        <v>340</v>
      </c>
      <c r="B1643" s="6" t="s">
        <v>8755</v>
      </c>
      <c r="C1643" s="6"/>
    </row>
    <row r="1644" customFormat="false" ht="15" hidden="false" customHeight="true" outlineLevel="0" collapsed="false">
      <c r="A1644" s="6" t="s">
        <v>340</v>
      </c>
      <c r="B1644" s="6" t="s">
        <v>8756</v>
      </c>
      <c r="C1644" s="6"/>
    </row>
    <row r="1645" customFormat="false" ht="15" hidden="false" customHeight="true" outlineLevel="0" collapsed="false">
      <c r="A1645" s="6" t="s">
        <v>334</v>
      </c>
      <c r="B1645" s="6" t="s">
        <v>334</v>
      </c>
      <c r="C1645" s="6" t="s">
        <v>8013</v>
      </c>
    </row>
    <row r="1646" customFormat="false" ht="15" hidden="false" customHeight="true" outlineLevel="0" collapsed="false">
      <c r="A1646" s="6" t="s">
        <v>334</v>
      </c>
      <c r="B1646" s="6" t="s">
        <v>6582</v>
      </c>
      <c r="C1646" s="6" t="s">
        <v>8013</v>
      </c>
    </row>
    <row r="1647" customFormat="false" ht="15" hidden="false" customHeight="true" outlineLevel="0" collapsed="false">
      <c r="A1647" s="6" t="s">
        <v>334</v>
      </c>
      <c r="B1647" s="6" t="s">
        <v>8757</v>
      </c>
      <c r="C1647" s="6"/>
    </row>
    <row r="1648" customFormat="false" ht="15" hidden="false" customHeight="true" outlineLevel="0" collapsed="false">
      <c r="A1648" s="6" t="s">
        <v>334</v>
      </c>
      <c r="B1648" s="6" t="s">
        <v>8758</v>
      </c>
      <c r="C1648" s="6"/>
    </row>
    <row r="1649" customFormat="false" ht="15" hidden="false" customHeight="true" outlineLevel="0" collapsed="false">
      <c r="A1649" s="6" t="s">
        <v>334</v>
      </c>
      <c r="B1649" s="6" t="s">
        <v>8759</v>
      </c>
      <c r="C1649" s="6"/>
    </row>
    <row r="1650" customFormat="false" ht="15" hidden="false" customHeight="true" outlineLevel="0" collapsed="false">
      <c r="A1650" s="6" t="s">
        <v>334</v>
      </c>
      <c r="B1650" s="6" t="s">
        <v>8760</v>
      </c>
      <c r="C1650" s="6"/>
    </row>
    <row r="1651" customFormat="false" ht="15" hidden="false" customHeight="true" outlineLevel="0" collapsed="false">
      <c r="A1651" s="6" t="s">
        <v>334</v>
      </c>
      <c r="B1651" s="6" t="s">
        <v>8761</v>
      </c>
      <c r="C1651" s="6"/>
    </row>
    <row r="1652" customFormat="false" ht="15" hidden="false" customHeight="true" outlineLevel="0" collapsed="false">
      <c r="A1652" s="6" t="s">
        <v>334</v>
      </c>
      <c r="B1652" s="6" t="s">
        <v>8762</v>
      </c>
      <c r="C1652" s="6"/>
    </row>
    <row r="1653" customFormat="false" ht="15" hidden="false" customHeight="true" outlineLevel="0" collapsed="false">
      <c r="A1653" s="6" t="s">
        <v>334</v>
      </c>
      <c r="B1653" s="6" t="s">
        <v>8763</v>
      </c>
      <c r="C1653" s="6"/>
    </row>
    <row r="1654" customFormat="false" ht="15" hidden="false" customHeight="true" outlineLevel="0" collapsed="false">
      <c r="A1654" s="6" t="s">
        <v>334</v>
      </c>
      <c r="B1654" s="6" t="s">
        <v>8764</v>
      </c>
      <c r="C1654" s="6"/>
    </row>
    <row r="1655" customFormat="false" ht="15" hidden="false" customHeight="true" outlineLevel="0" collapsed="false">
      <c r="A1655" s="6" t="s">
        <v>4056</v>
      </c>
      <c r="B1655" s="6" t="s">
        <v>4056</v>
      </c>
      <c r="C1655" s="6" t="s">
        <v>8013</v>
      </c>
    </row>
    <row r="1656" customFormat="false" ht="15" hidden="false" customHeight="true" outlineLevel="0" collapsed="false">
      <c r="A1656" s="6" t="s">
        <v>4056</v>
      </c>
      <c r="B1656" s="6" t="s">
        <v>7389</v>
      </c>
      <c r="C1656" s="6" t="s">
        <v>8013</v>
      </c>
    </row>
    <row r="1657" customFormat="false" ht="15" hidden="false" customHeight="true" outlineLevel="0" collapsed="false">
      <c r="A1657" s="6" t="s">
        <v>4056</v>
      </c>
      <c r="B1657" s="6" t="s">
        <v>7390</v>
      </c>
      <c r="C1657" s="6" t="s">
        <v>8013</v>
      </c>
    </row>
    <row r="1658" customFormat="false" ht="15" hidden="false" customHeight="true" outlineLevel="0" collapsed="false">
      <c r="A1658" s="6" t="s">
        <v>4056</v>
      </c>
      <c r="B1658" s="6" t="s">
        <v>7388</v>
      </c>
      <c r="C1658" s="6" t="s">
        <v>8013</v>
      </c>
    </row>
    <row r="1659" customFormat="false" ht="15" hidden="false" customHeight="true" outlineLevel="0" collapsed="false">
      <c r="A1659" s="6" t="s">
        <v>4056</v>
      </c>
      <c r="B1659" s="6" t="s">
        <v>7385</v>
      </c>
      <c r="C1659" s="6" t="s">
        <v>8013</v>
      </c>
    </row>
    <row r="1660" customFormat="false" ht="15" hidden="false" customHeight="true" outlineLevel="0" collapsed="false">
      <c r="A1660" s="6" t="s">
        <v>4056</v>
      </c>
      <c r="B1660" s="6" t="s">
        <v>7387</v>
      </c>
      <c r="C1660" s="6" t="s">
        <v>8013</v>
      </c>
    </row>
    <row r="1661" customFormat="false" ht="15" hidden="false" customHeight="true" outlineLevel="0" collapsed="false">
      <c r="A1661" s="6" t="s">
        <v>4056</v>
      </c>
      <c r="B1661" s="6" t="s">
        <v>7386</v>
      </c>
      <c r="C1661" s="6" t="s">
        <v>8013</v>
      </c>
    </row>
    <row r="1662" customFormat="false" ht="15" hidden="false" customHeight="true" outlineLevel="0" collapsed="false">
      <c r="A1662" s="6" t="s">
        <v>4056</v>
      </c>
      <c r="B1662" s="6" t="s">
        <v>8765</v>
      </c>
      <c r="C1662" s="6"/>
    </row>
    <row r="1663" customFormat="false" ht="15" hidden="false" customHeight="true" outlineLevel="0" collapsed="false">
      <c r="A1663" s="6" t="s">
        <v>4056</v>
      </c>
      <c r="B1663" s="6" t="s">
        <v>8766</v>
      </c>
      <c r="C1663" s="6"/>
    </row>
    <row r="1664" customFormat="false" ht="15" hidden="false" customHeight="true" outlineLevel="0" collapsed="false">
      <c r="A1664" s="6" t="s">
        <v>4056</v>
      </c>
      <c r="B1664" s="6" t="s">
        <v>8767</v>
      </c>
      <c r="C1664" s="6"/>
    </row>
    <row r="1665" customFormat="false" ht="15" hidden="false" customHeight="true" outlineLevel="0" collapsed="false">
      <c r="A1665" s="6" t="s">
        <v>4069</v>
      </c>
      <c r="B1665" s="6" t="s">
        <v>4069</v>
      </c>
      <c r="C1665" s="6" t="s">
        <v>8013</v>
      </c>
    </row>
    <row r="1666" customFormat="false" ht="15" hidden="false" customHeight="true" outlineLevel="0" collapsed="false">
      <c r="A1666" s="6" t="s">
        <v>4069</v>
      </c>
      <c r="B1666" s="6" t="s">
        <v>4073</v>
      </c>
      <c r="C1666" s="6" t="s">
        <v>8013</v>
      </c>
    </row>
    <row r="1667" customFormat="false" ht="15" hidden="false" customHeight="true" outlineLevel="0" collapsed="false">
      <c r="A1667" s="6" t="s">
        <v>4069</v>
      </c>
      <c r="B1667" s="6" t="s">
        <v>8768</v>
      </c>
      <c r="C1667" s="6"/>
    </row>
    <row r="1668" customFormat="false" ht="15" hidden="false" customHeight="true" outlineLevel="0" collapsed="false">
      <c r="A1668" s="6" t="s">
        <v>4069</v>
      </c>
      <c r="B1668" s="6" t="s">
        <v>4075</v>
      </c>
      <c r="C1668" s="6" t="s">
        <v>8013</v>
      </c>
    </row>
    <row r="1669" customFormat="false" ht="15" hidden="false" customHeight="true" outlineLevel="0" collapsed="false">
      <c r="A1669" s="6" t="s">
        <v>4069</v>
      </c>
      <c r="B1669" s="6" t="s">
        <v>8769</v>
      </c>
      <c r="C1669" s="6"/>
    </row>
    <row r="1670" customFormat="false" ht="15" hidden="false" customHeight="true" outlineLevel="0" collapsed="false">
      <c r="A1670" s="6" t="s">
        <v>4081</v>
      </c>
      <c r="B1670" s="6" t="s">
        <v>4086</v>
      </c>
      <c r="C1670" s="6" t="s">
        <v>8013</v>
      </c>
    </row>
    <row r="1671" customFormat="false" ht="15" hidden="false" customHeight="true" outlineLevel="0" collapsed="false">
      <c r="A1671" s="6" t="s">
        <v>4081</v>
      </c>
      <c r="B1671" s="6" t="s">
        <v>8770</v>
      </c>
      <c r="C1671" s="6"/>
    </row>
    <row r="1672" customFormat="false" ht="15" hidden="false" customHeight="true" outlineLevel="0" collapsed="false">
      <c r="A1672" s="6" t="s">
        <v>4081</v>
      </c>
      <c r="B1672" s="6" t="s">
        <v>8771</v>
      </c>
      <c r="C1672" s="6"/>
    </row>
    <row r="1673" customFormat="false" ht="15" hidden="false" customHeight="true" outlineLevel="0" collapsed="false">
      <c r="A1673" s="6" t="s">
        <v>4081</v>
      </c>
      <c r="B1673" s="6" t="s">
        <v>8772</v>
      </c>
      <c r="C1673" s="6"/>
    </row>
    <row r="1674" customFormat="false" ht="15" hidden="false" customHeight="true" outlineLevel="0" collapsed="false">
      <c r="A1674" s="6" t="s">
        <v>6583</v>
      </c>
      <c r="B1674" s="6" t="s">
        <v>6583</v>
      </c>
      <c r="C1674" s="6" t="s">
        <v>8013</v>
      </c>
    </row>
    <row r="1675" customFormat="false" ht="15" hidden="false" customHeight="true" outlineLevel="0" collapsed="false">
      <c r="A1675" s="6" t="s">
        <v>6583</v>
      </c>
      <c r="B1675" s="6" t="s">
        <v>8773</v>
      </c>
      <c r="C1675" s="6"/>
    </row>
    <row r="1676" customFormat="false" ht="15" hidden="false" customHeight="true" outlineLevel="0" collapsed="false">
      <c r="A1676" s="6" t="s">
        <v>6583</v>
      </c>
      <c r="B1676" s="6" t="s">
        <v>8774</v>
      </c>
      <c r="C1676" s="6"/>
    </row>
    <row r="1677" customFormat="false" ht="15" hidden="false" customHeight="true" outlineLevel="0" collapsed="false">
      <c r="A1677" s="6" t="s">
        <v>6583</v>
      </c>
      <c r="B1677" s="6" t="s">
        <v>8775</v>
      </c>
      <c r="C1677" s="6"/>
    </row>
    <row r="1678" customFormat="false" ht="15" hidden="false" customHeight="true" outlineLevel="0" collapsed="false">
      <c r="A1678" s="6" t="s">
        <v>6583</v>
      </c>
      <c r="B1678" s="6" t="s">
        <v>8776</v>
      </c>
      <c r="C1678" s="6"/>
    </row>
    <row r="1679" customFormat="false" ht="15" hidden="false" customHeight="true" outlineLevel="0" collapsed="false">
      <c r="A1679" s="6" t="s">
        <v>6583</v>
      </c>
      <c r="B1679" s="6" t="s">
        <v>6585</v>
      </c>
      <c r="C1679" s="6" t="s">
        <v>8013</v>
      </c>
    </row>
    <row r="1680" customFormat="false" ht="15" hidden="false" customHeight="true" outlineLevel="0" collapsed="false">
      <c r="A1680" s="6" t="s">
        <v>6583</v>
      </c>
      <c r="B1680" s="6" t="s">
        <v>8777</v>
      </c>
      <c r="C1680" s="6"/>
    </row>
    <row r="1681" customFormat="false" ht="15" hidden="false" customHeight="true" outlineLevel="0" collapsed="false">
      <c r="A1681" s="6" t="s">
        <v>6583</v>
      </c>
      <c r="B1681" s="6" t="s">
        <v>8778</v>
      </c>
      <c r="C1681" s="6"/>
    </row>
    <row r="1682" customFormat="false" ht="15" hidden="false" customHeight="true" outlineLevel="0" collapsed="false">
      <c r="A1682" s="6" t="s">
        <v>6583</v>
      </c>
      <c r="B1682" s="6" t="s">
        <v>8779</v>
      </c>
      <c r="C1682" s="6"/>
    </row>
    <row r="1683" customFormat="false" ht="15" hidden="false" customHeight="true" outlineLevel="0" collapsed="false">
      <c r="A1683" s="6" t="s">
        <v>6583</v>
      </c>
      <c r="B1683" s="6" t="s">
        <v>8780</v>
      </c>
      <c r="C1683" s="6"/>
    </row>
    <row r="1684" customFormat="false" ht="15" hidden="false" customHeight="true" outlineLevel="0" collapsed="false">
      <c r="A1684" s="6" t="s">
        <v>4093</v>
      </c>
      <c r="B1684" s="6" t="s">
        <v>8781</v>
      </c>
      <c r="C1684" s="6"/>
    </row>
    <row r="1685" customFormat="false" ht="15" hidden="false" customHeight="true" outlineLevel="0" collapsed="false">
      <c r="A1685" s="6" t="s">
        <v>4093</v>
      </c>
      <c r="B1685" s="6" t="s">
        <v>4099</v>
      </c>
      <c r="C1685" s="6" t="s">
        <v>8013</v>
      </c>
    </row>
    <row r="1686" customFormat="false" ht="15" hidden="false" customHeight="true" outlineLevel="0" collapsed="false">
      <c r="A1686" s="6" t="s">
        <v>4105</v>
      </c>
      <c r="B1686" s="6" t="s">
        <v>4105</v>
      </c>
      <c r="C1686" s="6" t="s">
        <v>8013</v>
      </c>
    </row>
    <row r="1687" customFormat="false" ht="15" hidden="false" customHeight="true" outlineLevel="0" collapsed="false">
      <c r="A1687" s="6" t="s">
        <v>4105</v>
      </c>
      <c r="B1687" s="6" t="s">
        <v>4110</v>
      </c>
      <c r="C1687" s="6" t="s">
        <v>8013</v>
      </c>
    </row>
    <row r="1688" customFormat="false" ht="15" hidden="false" customHeight="true" outlineLevel="0" collapsed="false">
      <c r="A1688" s="6" t="s">
        <v>4105</v>
      </c>
      <c r="B1688" s="6" t="s">
        <v>8782</v>
      </c>
      <c r="C1688" s="6"/>
    </row>
    <row r="1689" customFormat="false" ht="15" hidden="false" customHeight="true" outlineLevel="0" collapsed="false">
      <c r="A1689" s="6" t="s">
        <v>4105</v>
      </c>
      <c r="B1689" s="6" t="s">
        <v>8783</v>
      </c>
      <c r="C1689" s="6"/>
    </row>
    <row r="1690" customFormat="false" ht="15" hidden="false" customHeight="true" outlineLevel="0" collapsed="false">
      <c r="A1690" s="6" t="s">
        <v>4116</v>
      </c>
      <c r="B1690" s="6" t="s">
        <v>4116</v>
      </c>
      <c r="C1690" s="6" t="s">
        <v>8013</v>
      </c>
    </row>
    <row r="1691" customFormat="false" ht="15" hidden="false" customHeight="true" outlineLevel="0" collapsed="false">
      <c r="A1691" s="6" t="s">
        <v>4116</v>
      </c>
      <c r="B1691" s="6" t="s">
        <v>7391</v>
      </c>
      <c r="C1691" s="6" t="s">
        <v>8013</v>
      </c>
    </row>
    <row r="1692" customFormat="false" ht="15" hidden="false" customHeight="true" outlineLevel="0" collapsed="false">
      <c r="A1692" s="6" t="s">
        <v>4116</v>
      </c>
      <c r="B1692" s="6" t="s">
        <v>4119</v>
      </c>
      <c r="C1692" s="6" t="s">
        <v>8013</v>
      </c>
    </row>
    <row r="1693" customFormat="false" ht="15" hidden="false" customHeight="true" outlineLevel="0" collapsed="false">
      <c r="A1693" s="6" t="s">
        <v>4116</v>
      </c>
      <c r="B1693" s="6" t="s">
        <v>8784</v>
      </c>
      <c r="C1693" s="6"/>
    </row>
    <row r="1694" customFormat="false" ht="15" hidden="false" customHeight="true" outlineLevel="0" collapsed="false">
      <c r="A1694" s="6" t="s">
        <v>4116</v>
      </c>
      <c r="B1694" s="6" t="s">
        <v>8785</v>
      </c>
      <c r="C1694" s="6"/>
    </row>
    <row r="1695" customFormat="false" ht="15" hidden="false" customHeight="true" outlineLevel="0" collapsed="false">
      <c r="A1695" s="6" t="s">
        <v>4116</v>
      </c>
      <c r="B1695" s="6" t="s">
        <v>8786</v>
      </c>
      <c r="C1695" s="6"/>
    </row>
    <row r="1696" customFormat="false" ht="15" hidden="false" customHeight="true" outlineLevel="0" collapsed="false">
      <c r="A1696" s="6" t="s">
        <v>4127</v>
      </c>
      <c r="B1696" s="6" t="s">
        <v>4133</v>
      </c>
      <c r="C1696" s="6" t="s">
        <v>8013</v>
      </c>
    </row>
    <row r="1697" customFormat="false" ht="15" hidden="false" customHeight="true" outlineLevel="0" collapsed="false">
      <c r="A1697" s="6" t="s">
        <v>4127</v>
      </c>
      <c r="B1697" s="6" t="s">
        <v>4127</v>
      </c>
      <c r="C1697" s="6" t="s">
        <v>8013</v>
      </c>
    </row>
    <row r="1698" customFormat="false" ht="15" hidden="false" customHeight="true" outlineLevel="0" collapsed="false">
      <c r="A1698" s="6" t="s">
        <v>4139</v>
      </c>
      <c r="B1698" s="6" t="s">
        <v>7392</v>
      </c>
      <c r="C1698" s="6" t="s">
        <v>8013</v>
      </c>
    </row>
    <row r="1699" customFormat="false" ht="15" hidden="false" customHeight="true" outlineLevel="0" collapsed="false">
      <c r="A1699" s="6" t="s">
        <v>4139</v>
      </c>
      <c r="B1699" s="6" t="s">
        <v>4139</v>
      </c>
      <c r="C1699" s="6" t="s">
        <v>8013</v>
      </c>
    </row>
    <row r="1700" customFormat="false" ht="15" hidden="false" customHeight="true" outlineLevel="0" collapsed="false">
      <c r="A1700" s="6" t="s">
        <v>4139</v>
      </c>
      <c r="B1700" s="6" t="s">
        <v>7393</v>
      </c>
      <c r="C1700" s="6" t="s">
        <v>8013</v>
      </c>
    </row>
    <row r="1701" customFormat="false" ht="15" hidden="false" customHeight="true" outlineLevel="0" collapsed="false">
      <c r="A1701" s="6" t="s">
        <v>4139</v>
      </c>
      <c r="B1701" s="6" t="s">
        <v>8787</v>
      </c>
      <c r="C1701" s="6"/>
    </row>
    <row r="1702" customFormat="false" ht="15" hidden="false" customHeight="true" outlineLevel="0" collapsed="false">
      <c r="A1702" s="6" t="s">
        <v>4139</v>
      </c>
      <c r="B1702" s="6" t="s">
        <v>4142</v>
      </c>
      <c r="C1702" s="6" t="s">
        <v>8013</v>
      </c>
    </row>
    <row r="1703" customFormat="false" ht="15" hidden="false" customHeight="true" outlineLevel="0" collapsed="false">
      <c r="A1703" s="6" t="s">
        <v>4151</v>
      </c>
      <c r="B1703" s="6" t="s">
        <v>7394</v>
      </c>
      <c r="C1703" s="6" t="s">
        <v>8013</v>
      </c>
    </row>
    <row r="1704" customFormat="false" ht="15" hidden="false" customHeight="true" outlineLevel="0" collapsed="false">
      <c r="A1704" s="6" t="s">
        <v>4151</v>
      </c>
      <c r="B1704" s="6" t="s">
        <v>4151</v>
      </c>
      <c r="C1704" s="6" t="s">
        <v>8013</v>
      </c>
    </row>
    <row r="1705" customFormat="false" ht="15" hidden="false" customHeight="true" outlineLevel="0" collapsed="false">
      <c r="A1705" s="6" t="s">
        <v>4151</v>
      </c>
      <c r="B1705" s="6" t="s">
        <v>8788</v>
      </c>
      <c r="C1705" s="6"/>
    </row>
    <row r="1706" customFormat="false" ht="15" hidden="false" customHeight="true" outlineLevel="0" collapsed="false">
      <c r="A1706" s="6" t="s">
        <v>4151</v>
      </c>
      <c r="B1706" s="6" t="s">
        <v>7395</v>
      </c>
      <c r="C1706" s="6" t="s">
        <v>8013</v>
      </c>
    </row>
    <row r="1707" customFormat="false" ht="15" hidden="false" customHeight="true" outlineLevel="0" collapsed="false">
      <c r="A1707" s="6" t="s">
        <v>4172</v>
      </c>
      <c r="B1707" s="6" t="s">
        <v>4172</v>
      </c>
      <c r="C1707" s="6" t="s">
        <v>8013</v>
      </c>
    </row>
    <row r="1708" customFormat="false" ht="15" hidden="false" customHeight="true" outlineLevel="0" collapsed="false">
      <c r="A1708" s="6" t="s">
        <v>4172</v>
      </c>
      <c r="B1708" s="6" t="s">
        <v>8789</v>
      </c>
      <c r="C1708" s="6"/>
    </row>
    <row r="1709" customFormat="false" ht="15" hidden="false" customHeight="true" outlineLevel="0" collapsed="false">
      <c r="A1709" s="6" t="s">
        <v>4182</v>
      </c>
      <c r="B1709" s="6" t="s">
        <v>4187</v>
      </c>
      <c r="C1709" s="6" t="s">
        <v>8013</v>
      </c>
    </row>
    <row r="1710" customFormat="false" ht="15" hidden="false" customHeight="true" outlineLevel="0" collapsed="false">
      <c r="A1710" s="6" t="s">
        <v>4182</v>
      </c>
      <c r="B1710" s="6" t="s">
        <v>8790</v>
      </c>
      <c r="C1710" s="6"/>
    </row>
    <row r="1711" customFormat="false" ht="15" hidden="false" customHeight="true" outlineLevel="0" collapsed="false">
      <c r="A1711" s="6" t="s">
        <v>4193</v>
      </c>
      <c r="B1711" s="6" t="s">
        <v>4193</v>
      </c>
      <c r="C1711" s="6" t="s">
        <v>8013</v>
      </c>
    </row>
    <row r="1712" customFormat="false" ht="15" hidden="false" customHeight="true" outlineLevel="0" collapsed="false">
      <c r="A1712" s="6" t="s">
        <v>4193</v>
      </c>
      <c r="B1712" s="6" t="s">
        <v>7396</v>
      </c>
      <c r="C1712" s="6" t="s">
        <v>8013</v>
      </c>
    </row>
    <row r="1713" customFormat="false" ht="15" hidden="false" customHeight="true" outlineLevel="0" collapsed="false">
      <c r="A1713" s="6" t="s">
        <v>4193</v>
      </c>
      <c r="B1713" s="6" t="s">
        <v>4196</v>
      </c>
      <c r="C1713" s="6" t="s">
        <v>8013</v>
      </c>
    </row>
    <row r="1714" customFormat="false" ht="15" hidden="false" customHeight="true" outlineLevel="0" collapsed="false">
      <c r="A1714" s="6" t="s">
        <v>4193</v>
      </c>
      <c r="B1714" s="6" t="s">
        <v>8791</v>
      </c>
      <c r="C1714" s="6"/>
    </row>
    <row r="1715" customFormat="false" ht="15" hidden="false" customHeight="true" outlineLevel="0" collapsed="false">
      <c r="A1715" s="6" t="s">
        <v>4193</v>
      </c>
      <c r="B1715" s="6" t="s">
        <v>8792</v>
      </c>
      <c r="C1715" s="6"/>
    </row>
    <row r="1716" customFormat="false" ht="15" hidden="false" customHeight="true" outlineLevel="0" collapsed="false">
      <c r="A1716" s="6" t="s">
        <v>4193</v>
      </c>
      <c r="B1716" s="6" t="s">
        <v>8793</v>
      </c>
      <c r="C1716" s="6"/>
    </row>
    <row r="1717" customFormat="false" ht="15" hidden="false" customHeight="true" outlineLevel="0" collapsed="false">
      <c r="A1717" s="6" t="s">
        <v>4204</v>
      </c>
      <c r="B1717" s="6" t="s">
        <v>4204</v>
      </c>
      <c r="C1717" s="6" t="s">
        <v>8013</v>
      </c>
    </row>
    <row r="1718" customFormat="false" ht="15" hidden="false" customHeight="true" outlineLevel="0" collapsed="false">
      <c r="A1718" s="6" t="s">
        <v>4214</v>
      </c>
      <c r="B1718" s="6" t="s">
        <v>4214</v>
      </c>
      <c r="C1718" s="6" t="s">
        <v>8013</v>
      </c>
    </row>
    <row r="1719" customFormat="false" ht="15" hidden="false" customHeight="true" outlineLevel="0" collapsed="false">
      <c r="A1719" s="6" t="s">
        <v>4214</v>
      </c>
      <c r="B1719" s="6" t="s">
        <v>4220</v>
      </c>
      <c r="C1719" s="6" t="s">
        <v>8013</v>
      </c>
    </row>
    <row r="1720" customFormat="false" ht="15" hidden="false" customHeight="true" outlineLevel="0" collapsed="false">
      <c r="A1720" s="6" t="s">
        <v>4214</v>
      </c>
      <c r="B1720" s="6" t="s">
        <v>8794</v>
      </c>
      <c r="C1720" s="6"/>
    </row>
    <row r="1721" customFormat="false" ht="15" hidden="false" customHeight="true" outlineLevel="0" collapsed="false">
      <c r="A1721" s="6" t="s">
        <v>4227</v>
      </c>
      <c r="B1721" s="6" t="s">
        <v>8795</v>
      </c>
      <c r="C1721" s="6"/>
    </row>
    <row r="1722" customFormat="false" ht="15" hidden="false" customHeight="true" outlineLevel="0" collapsed="false">
      <c r="A1722" s="6" t="s">
        <v>4227</v>
      </c>
      <c r="B1722" s="6" t="s">
        <v>8796</v>
      </c>
      <c r="C1722" s="6"/>
    </row>
    <row r="1723" customFormat="false" ht="15" hidden="false" customHeight="true" outlineLevel="0" collapsed="false">
      <c r="A1723" s="6" t="s">
        <v>4227</v>
      </c>
      <c r="B1723" s="6" t="s">
        <v>4233</v>
      </c>
      <c r="C1723" s="6" t="s">
        <v>8013</v>
      </c>
    </row>
    <row r="1724" customFormat="false" ht="15" hidden="false" customHeight="true" outlineLevel="0" collapsed="false">
      <c r="A1724" s="6" t="s">
        <v>6597</v>
      </c>
      <c r="B1724" s="6" t="s">
        <v>6597</v>
      </c>
      <c r="C1724" s="6" t="s">
        <v>8013</v>
      </c>
    </row>
    <row r="1725" customFormat="false" ht="15" hidden="false" customHeight="true" outlineLevel="0" collapsed="false">
      <c r="A1725" s="6" t="s">
        <v>6597</v>
      </c>
      <c r="B1725" s="6" t="s">
        <v>8797</v>
      </c>
      <c r="C1725" s="6"/>
    </row>
    <row r="1726" customFormat="false" ht="15" hidden="false" customHeight="true" outlineLevel="0" collapsed="false">
      <c r="A1726" s="6" t="s">
        <v>6597</v>
      </c>
      <c r="B1726" s="6" t="s">
        <v>8798</v>
      </c>
      <c r="C1726" s="6"/>
    </row>
    <row r="1727" customFormat="false" ht="15" hidden="false" customHeight="true" outlineLevel="0" collapsed="false">
      <c r="A1727" s="6" t="s">
        <v>6597</v>
      </c>
      <c r="B1727" s="6" t="s">
        <v>8799</v>
      </c>
      <c r="C1727" s="6"/>
    </row>
    <row r="1728" customFormat="false" ht="15" hidden="false" customHeight="true" outlineLevel="0" collapsed="false">
      <c r="A1728" s="6" t="s">
        <v>6597</v>
      </c>
      <c r="B1728" s="6" t="s">
        <v>8800</v>
      </c>
      <c r="C1728" s="6"/>
    </row>
    <row r="1729" customFormat="false" ht="15" hidden="false" customHeight="true" outlineLevel="0" collapsed="false">
      <c r="A1729" s="6" t="s">
        <v>6597</v>
      </c>
      <c r="B1729" s="6" t="s">
        <v>8801</v>
      </c>
      <c r="C1729" s="6"/>
    </row>
    <row r="1730" customFormat="false" ht="15" hidden="false" customHeight="true" outlineLevel="0" collapsed="false">
      <c r="A1730" s="6" t="s">
        <v>6597</v>
      </c>
      <c r="B1730" s="6" t="s">
        <v>8802</v>
      </c>
      <c r="C1730" s="6"/>
    </row>
    <row r="1731" customFormat="false" ht="15" hidden="false" customHeight="true" outlineLevel="0" collapsed="false">
      <c r="A1731" s="6" t="s">
        <v>6597</v>
      </c>
      <c r="B1731" s="6" t="s">
        <v>8803</v>
      </c>
      <c r="C1731" s="6"/>
    </row>
    <row r="1732" customFormat="false" ht="15" hidden="false" customHeight="true" outlineLevel="0" collapsed="false">
      <c r="A1732" s="6" t="s">
        <v>6597</v>
      </c>
      <c r="B1732" s="6" t="s">
        <v>8804</v>
      </c>
      <c r="C1732" s="6"/>
    </row>
    <row r="1733" customFormat="false" ht="15" hidden="false" customHeight="true" outlineLevel="0" collapsed="false">
      <c r="A1733" s="6" t="s">
        <v>6597</v>
      </c>
      <c r="B1733" s="6" t="s">
        <v>4220</v>
      </c>
      <c r="C1733" s="6" t="s">
        <v>8013</v>
      </c>
    </row>
    <row r="1734" customFormat="false" ht="15" hidden="false" customHeight="true" outlineLevel="0" collapsed="false">
      <c r="A1734" s="6" t="s">
        <v>4240</v>
      </c>
      <c r="B1734" s="6" t="s">
        <v>8805</v>
      </c>
      <c r="C1734" s="6"/>
    </row>
    <row r="1735" customFormat="false" ht="15" hidden="false" customHeight="true" outlineLevel="0" collapsed="false">
      <c r="A1735" s="6" t="s">
        <v>4240</v>
      </c>
      <c r="B1735" s="6" t="s">
        <v>8806</v>
      </c>
      <c r="C1735" s="6"/>
    </row>
    <row r="1736" customFormat="false" ht="15" hidden="false" customHeight="true" outlineLevel="0" collapsed="false">
      <c r="A1736" s="6" t="s">
        <v>4240</v>
      </c>
      <c r="B1736" s="6" t="s">
        <v>8807</v>
      </c>
      <c r="C1736" s="6"/>
    </row>
    <row r="1737" customFormat="false" ht="15" hidden="false" customHeight="true" outlineLevel="0" collapsed="false">
      <c r="A1737" s="6" t="s">
        <v>4251</v>
      </c>
      <c r="B1737" s="6" t="s">
        <v>4251</v>
      </c>
      <c r="C1737" s="6" t="s">
        <v>8013</v>
      </c>
    </row>
    <row r="1738" customFormat="false" ht="15" hidden="false" customHeight="true" outlineLevel="0" collapsed="false">
      <c r="A1738" s="6" t="s">
        <v>4251</v>
      </c>
      <c r="B1738" s="6" t="s">
        <v>7398</v>
      </c>
      <c r="C1738" s="6" t="s">
        <v>8013</v>
      </c>
    </row>
    <row r="1739" customFormat="false" ht="15" hidden="false" customHeight="true" outlineLevel="0" collapsed="false">
      <c r="A1739" s="6" t="s">
        <v>4251</v>
      </c>
      <c r="B1739" s="6" t="s">
        <v>7397</v>
      </c>
      <c r="C1739" s="6" t="s">
        <v>8013</v>
      </c>
    </row>
    <row r="1740" customFormat="false" ht="15" hidden="false" customHeight="true" outlineLevel="0" collapsed="false">
      <c r="A1740" s="6" t="s">
        <v>4251</v>
      </c>
      <c r="B1740" s="6" t="s">
        <v>8808</v>
      </c>
      <c r="C1740" s="6"/>
    </row>
    <row r="1741" customFormat="false" ht="15" hidden="false" customHeight="true" outlineLevel="0" collapsed="false">
      <c r="A1741" s="6" t="s">
        <v>4251</v>
      </c>
      <c r="B1741" s="6" t="s">
        <v>8809</v>
      </c>
      <c r="C1741" s="6"/>
    </row>
    <row r="1742" customFormat="false" ht="15" hidden="false" customHeight="true" outlineLevel="0" collapsed="false">
      <c r="A1742" s="6" t="s">
        <v>4262</v>
      </c>
      <c r="B1742" s="6" t="s">
        <v>7399</v>
      </c>
      <c r="C1742" s="6" t="s">
        <v>8013</v>
      </c>
    </row>
    <row r="1743" customFormat="false" ht="15" hidden="false" customHeight="true" outlineLevel="0" collapsed="false">
      <c r="A1743" s="6" t="s">
        <v>4262</v>
      </c>
      <c r="B1743" s="6" t="s">
        <v>4262</v>
      </c>
      <c r="C1743" s="6" t="s">
        <v>8013</v>
      </c>
    </row>
    <row r="1744" customFormat="false" ht="15" hidden="false" customHeight="true" outlineLevel="0" collapsed="false">
      <c r="A1744" s="6" t="s">
        <v>4262</v>
      </c>
      <c r="B1744" s="6" t="s">
        <v>7400</v>
      </c>
      <c r="C1744" s="6" t="s">
        <v>8013</v>
      </c>
    </row>
    <row r="1745" customFormat="false" ht="15" hidden="false" customHeight="true" outlineLevel="0" collapsed="false">
      <c r="A1745" s="6" t="s">
        <v>4274</v>
      </c>
      <c r="B1745" s="6" t="s">
        <v>7401</v>
      </c>
      <c r="C1745" s="6" t="s">
        <v>8013</v>
      </c>
    </row>
    <row r="1746" customFormat="false" ht="15" hidden="false" customHeight="true" outlineLevel="0" collapsed="false">
      <c r="A1746" s="6" t="s">
        <v>4274</v>
      </c>
      <c r="B1746" s="6" t="s">
        <v>8810</v>
      </c>
      <c r="C1746" s="6"/>
    </row>
    <row r="1747" customFormat="false" ht="15" hidden="false" customHeight="true" outlineLevel="0" collapsed="false">
      <c r="A1747" s="6" t="s">
        <v>4274</v>
      </c>
      <c r="B1747" s="6" t="s">
        <v>7402</v>
      </c>
      <c r="C1747" s="6" t="s">
        <v>8013</v>
      </c>
    </row>
    <row r="1748" customFormat="false" ht="15" hidden="false" customHeight="true" outlineLevel="0" collapsed="false">
      <c r="A1748" s="6" t="s">
        <v>4274</v>
      </c>
      <c r="B1748" s="6" t="s">
        <v>4278</v>
      </c>
      <c r="C1748" s="6" t="s">
        <v>8013</v>
      </c>
    </row>
    <row r="1749" customFormat="false" ht="15" hidden="false" customHeight="true" outlineLevel="0" collapsed="false">
      <c r="A1749" s="6" t="s">
        <v>4287</v>
      </c>
      <c r="B1749" s="6" t="s">
        <v>4287</v>
      </c>
      <c r="C1749" s="6" t="s">
        <v>8013</v>
      </c>
    </row>
    <row r="1750" customFormat="false" ht="15" hidden="false" customHeight="true" outlineLevel="0" collapsed="false">
      <c r="A1750" s="6" t="s">
        <v>4287</v>
      </c>
      <c r="B1750" s="6" t="s">
        <v>7403</v>
      </c>
      <c r="C1750" s="6" t="s">
        <v>8013</v>
      </c>
    </row>
    <row r="1751" customFormat="false" ht="15" hidden="false" customHeight="true" outlineLevel="0" collapsed="false">
      <c r="A1751" s="6" t="s">
        <v>4287</v>
      </c>
      <c r="B1751" s="6" t="s">
        <v>8811</v>
      </c>
      <c r="C1751" s="6"/>
    </row>
    <row r="1752" customFormat="false" ht="15" hidden="false" customHeight="true" outlineLevel="0" collapsed="false">
      <c r="A1752" s="6" t="s">
        <v>4287</v>
      </c>
      <c r="B1752" s="6" t="s">
        <v>7406</v>
      </c>
      <c r="C1752" s="6" t="s">
        <v>8013</v>
      </c>
    </row>
    <row r="1753" customFormat="false" ht="15" hidden="false" customHeight="true" outlineLevel="0" collapsed="false">
      <c r="A1753" s="6" t="s">
        <v>4287</v>
      </c>
      <c r="B1753" s="6" t="s">
        <v>7404</v>
      </c>
      <c r="C1753" s="6" t="s">
        <v>8013</v>
      </c>
    </row>
    <row r="1754" customFormat="false" ht="15" hidden="false" customHeight="true" outlineLevel="0" collapsed="false">
      <c r="A1754" s="6" t="s">
        <v>4287</v>
      </c>
      <c r="B1754" s="6" t="s">
        <v>7407</v>
      </c>
      <c r="C1754" s="6" t="s">
        <v>8013</v>
      </c>
    </row>
    <row r="1755" customFormat="false" ht="15" hidden="false" customHeight="true" outlineLevel="0" collapsed="false">
      <c r="A1755" s="6" t="s">
        <v>4287</v>
      </c>
      <c r="B1755" s="6" t="s">
        <v>7405</v>
      </c>
      <c r="C1755" s="6" t="s">
        <v>8013</v>
      </c>
    </row>
    <row r="1756" customFormat="false" ht="15" hidden="false" customHeight="true" outlineLevel="0" collapsed="false">
      <c r="A1756" s="6" t="s">
        <v>4287</v>
      </c>
      <c r="B1756" s="6" t="s">
        <v>8812</v>
      </c>
      <c r="C1756" s="6"/>
    </row>
    <row r="1757" customFormat="false" ht="15" hidden="false" customHeight="true" outlineLevel="0" collapsed="false">
      <c r="A1757" s="6" t="s">
        <v>4287</v>
      </c>
      <c r="B1757" s="6" t="s">
        <v>8813</v>
      </c>
      <c r="C1757" s="6"/>
    </row>
    <row r="1758" customFormat="false" ht="15" hidden="false" customHeight="true" outlineLevel="0" collapsed="false">
      <c r="A1758" s="6" t="s">
        <v>4287</v>
      </c>
      <c r="B1758" s="6" t="s">
        <v>8814</v>
      </c>
      <c r="C1758" s="6"/>
    </row>
    <row r="1759" customFormat="false" ht="15" hidden="false" customHeight="true" outlineLevel="0" collapsed="false">
      <c r="A1759" s="6" t="s">
        <v>4299</v>
      </c>
      <c r="B1759" s="6" t="s">
        <v>4299</v>
      </c>
      <c r="C1759" s="6" t="s">
        <v>8013</v>
      </c>
    </row>
    <row r="1760" customFormat="false" ht="15" hidden="false" customHeight="true" outlineLevel="0" collapsed="false">
      <c r="A1760" s="6" t="s">
        <v>4299</v>
      </c>
      <c r="B1760" s="6" t="s">
        <v>7408</v>
      </c>
      <c r="C1760" s="6" t="s">
        <v>8013</v>
      </c>
    </row>
    <row r="1761" customFormat="false" ht="15" hidden="false" customHeight="true" outlineLevel="0" collapsed="false">
      <c r="A1761" s="6" t="s">
        <v>4299</v>
      </c>
      <c r="B1761" s="6" t="s">
        <v>7409</v>
      </c>
      <c r="C1761" s="6" t="s">
        <v>8013</v>
      </c>
    </row>
    <row r="1762" customFormat="false" ht="15" hidden="false" customHeight="true" outlineLevel="0" collapsed="false">
      <c r="A1762" s="6" t="s">
        <v>4299</v>
      </c>
      <c r="B1762" s="6" t="s">
        <v>7411</v>
      </c>
      <c r="C1762" s="6" t="s">
        <v>8013</v>
      </c>
    </row>
    <row r="1763" customFormat="false" ht="15" hidden="false" customHeight="true" outlineLevel="0" collapsed="false">
      <c r="A1763" s="6" t="s">
        <v>4299</v>
      </c>
      <c r="B1763" s="6" t="s">
        <v>8815</v>
      </c>
      <c r="C1763" s="6"/>
    </row>
    <row r="1764" customFormat="false" ht="15" hidden="false" customHeight="true" outlineLevel="0" collapsed="false">
      <c r="A1764" s="6" t="s">
        <v>4299</v>
      </c>
      <c r="B1764" s="6" t="s">
        <v>7412</v>
      </c>
      <c r="C1764" s="6" t="s">
        <v>8013</v>
      </c>
    </row>
    <row r="1765" customFormat="false" ht="15" hidden="false" customHeight="true" outlineLevel="0" collapsed="false">
      <c r="A1765" s="6" t="s">
        <v>4299</v>
      </c>
      <c r="B1765" s="6" t="s">
        <v>8816</v>
      </c>
      <c r="C1765" s="6"/>
    </row>
    <row r="1766" customFormat="false" ht="15" hidden="false" customHeight="true" outlineLevel="0" collapsed="false">
      <c r="A1766" s="6" t="s">
        <v>4299</v>
      </c>
      <c r="B1766" s="6" t="s">
        <v>8817</v>
      </c>
      <c r="C1766" s="6"/>
    </row>
    <row r="1767" customFormat="false" ht="15" hidden="false" customHeight="true" outlineLevel="0" collapsed="false">
      <c r="A1767" s="6" t="s">
        <v>4299</v>
      </c>
      <c r="B1767" s="6" t="s">
        <v>8818</v>
      </c>
      <c r="C1767" s="6"/>
    </row>
    <row r="1768" customFormat="false" ht="15" hidden="false" customHeight="true" outlineLevel="0" collapsed="false">
      <c r="A1768" s="6" t="s">
        <v>4299</v>
      </c>
      <c r="B1768" s="6" t="s">
        <v>7410</v>
      </c>
      <c r="C1768" s="6" t="s">
        <v>8013</v>
      </c>
    </row>
    <row r="1769" customFormat="false" ht="15" hidden="false" customHeight="true" outlineLevel="0" collapsed="false">
      <c r="A1769" s="6" t="s">
        <v>4311</v>
      </c>
      <c r="B1769" s="6" t="s">
        <v>4311</v>
      </c>
      <c r="C1769" s="6" t="s">
        <v>8013</v>
      </c>
    </row>
    <row r="1770" customFormat="false" ht="15" hidden="false" customHeight="true" outlineLevel="0" collapsed="false">
      <c r="A1770" s="6" t="s">
        <v>4311</v>
      </c>
      <c r="B1770" s="6" t="s">
        <v>7413</v>
      </c>
      <c r="C1770" s="6" t="s">
        <v>8013</v>
      </c>
    </row>
    <row r="1771" customFormat="false" ht="15" hidden="false" customHeight="true" outlineLevel="0" collapsed="false">
      <c r="A1771" s="6" t="s">
        <v>4311</v>
      </c>
      <c r="B1771" s="6" t="s">
        <v>8819</v>
      </c>
      <c r="C1771" s="6"/>
    </row>
    <row r="1772" customFormat="false" ht="15" hidden="false" customHeight="true" outlineLevel="0" collapsed="false">
      <c r="A1772" s="6" t="s">
        <v>4311</v>
      </c>
      <c r="B1772" s="6" t="s">
        <v>7414</v>
      </c>
      <c r="C1772" s="6" t="s">
        <v>8013</v>
      </c>
    </row>
    <row r="1773" customFormat="false" ht="15" hidden="false" customHeight="true" outlineLevel="0" collapsed="false">
      <c r="A1773" s="6" t="s">
        <v>4311</v>
      </c>
      <c r="B1773" s="6" t="s">
        <v>8820</v>
      </c>
      <c r="C1773" s="6"/>
    </row>
    <row r="1774" customFormat="false" ht="15" hidden="false" customHeight="true" outlineLevel="0" collapsed="false">
      <c r="A1774" s="6" t="s">
        <v>4311</v>
      </c>
      <c r="B1774" s="6" t="s">
        <v>7416</v>
      </c>
      <c r="C1774" s="6" t="s">
        <v>8013</v>
      </c>
    </row>
    <row r="1775" customFormat="false" ht="15" hidden="false" customHeight="true" outlineLevel="0" collapsed="false">
      <c r="A1775" s="6" t="s">
        <v>4311</v>
      </c>
      <c r="B1775" s="6" t="s">
        <v>8821</v>
      </c>
      <c r="C1775" s="6"/>
    </row>
    <row r="1776" customFormat="false" ht="15" hidden="false" customHeight="true" outlineLevel="0" collapsed="false">
      <c r="A1776" s="6" t="s">
        <v>4311</v>
      </c>
      <c r="B1776" s="6" t="s">
        <v>8822</v>
      </c>
      <c r="C1776" s="6"/>
    </row>
    <row r="1777" customFormat="false" ht="15" hidden="false" customHeight="true" outlineLevel="0" collapsed="false">
      <c r="A1777" s="6" t="s">
        <v>4311</v>
      </c>
      <c r="B1777" s="6" t="s">
        <v>7415</v>
      </c>
      <c r="C1777" s="6" t="s">
        <v>8013</v>
      </c>
    </row>
    <row r="1778" customFormat="false" ht="15" hidden="false" customHeight="true" outlineLevel="0" collapsed="false">
      <c r="A1778" s="6" t="s">
        <v>4311</v>
      </c>
      <c r="B1778" s="6" t="s">
        <v>8823</v>
      </c>
      <c r="C1778" s="6"/>
    </row>
    <row r="1779" customFormat="false" ht="15" hidden="false" customHeight="true" outlineLevel="0" collapsed="false">
      <c r="A1779" s="6" t="s">
        <v>4322</v>
      </c>
      <c r="B1779" s="6" t="s">
        <v>4322</v>
      </c>
      <c r="C1779" s="6" t="s">
        <v>8013</v>
      </c>
    </row>
    <row r="1780" customFormat="false" ht="15" hidden="false" customHeight="true" outlineLevel="0" collapsed="false">
      <c r="A1780" s="6" t="s">
        <v>4322</v>
      </c>
      <c r="B1780" s="6" t="s">
        <v>7418</v>
      </c>
      <c r="C1780" s="6" t="s">
        <v>8013</v>
      </c>
    </row>
    <row r="1781" customFormat="false" ht="15" hidden="false" customHeight="true" outlineLevel="0" collapsed="false">
      <c r="A1781" s="6" t="s">
        <v>4322</v>
      </c>
      <c r="B1781" s="6" t="s">
        <v>8824</v>
      </c>
      <c r="C1781" s="6"/>
    </row>
    <row r="1782" customFormat="false" ht="15" hidden="false" customHeight="true" outlineLevel="0" collapsed="false">
      <c r="A1782" s="6" t="s">
        <v>4322</v>
      </c>
      <c r="B1782" s="6" t="s">
        <v>7419</v>
      </c>
      <c r="C1782" s="6" t="s">
        <v>8013</v>
      </c>
    </row>
    <row r="1783" customFormat="false" ht="15" hidden="false" customHeight="true" outlineLevel="0" collapsed="false">
      <c r="A1783" s="6" t="s">
        <v>4322</v>
      </c>
      <c r="B1783" s="6" t="s">
        <v>8825</v>
      </c>
      <c r="C1783" s="6"/>
    </row>
    <row r="1784" customFormat="false" ht="15" hidden="false" customHeight="true" outlineLevel="0" collapsed="false">
      <c r="A1784" s="6" t="s">
        <v>4322</v>
      </c>
      <c r="B1784" s="6" t="s">
        <v>7420</v>
      </c>
      <c r="C1784" s="6" t="s">
        <v>8013</v>
      </c>
    </row>
    <row r="1785" customFormat="false" ht="15" hidden="false" customHeight="true" outlineLevel="0" collapsed="false">
      <c r="A1785" s="6" t="s">
        <v>4322</v>
      </c>
      <c r="B1785" s="6" t="s">
        <v>7421</v>
      </c>
      <c r="C1785" s="6" t="s">
        <v>8013</v>
      </c>
    </row>
    <row r="1786" customFormat="false" ht="15" hidden="false" customHeight="true" outlineLevel="0" collapsed="false">
      <c r="A1786" s="6" t="s">
        <v>4322</v>
      </c>
      <c r="B1786" s="6" t="s">
        <v>8826</v>
      </c>
      <c r="C1786" s="6"/>
    </row>
    <row r="1787" customFormat="false" ht="15" hidden="false" customHeight="true" outlineLevel="0" collapsed="false">
      <c r="A1787" s="6" t="s">
        <v>4322</v>
      </c>
      <c r="B1787" s="6" t="s">
        <v>7417</v>
      </c>
      <c r="C1787" s="6" t="s">
        <v>8013</v>
      </c>
    </row>
    <row r="1788" customFormat="false" ht="15" hidden="false" customHeight="true" outlineLevel="0" collapsed="false">
      <c r="A1788" s="6" t="s">
        <v>4322</v>
      </c>
      <c r="B1788" s="6" t="s">
        <v>8827</v>
      </c>
      <c r="C1788" s="6"/>
    </row>
    <row r="1789" customFormat="false" ht="15" hidden="false" customHeight="true" outlineLevel="0" collapsed="false">
      <c r="A1789" s="6" t="s">
        <v>4331</v>
      </c>
      <c r="B1789" s="6" t="s">
        <v>4331</v>
      </c>
      <c r="C1789" s="6" t="s">
        <v>8013</v>
      </c>
    </row>
    <row r="1790" customFormat="false" ht="15" hidden="false" customHeight="true" outlineLevel="0" collapsed="false">
      <c r="A1790" s="6" t="s">
        <v>4331</v>
      </c>
      <c r="B1790" s="6" t="s">
        <v>8828</v>
      </c>
      <c r="C1790" s="6"/>
    </row>
    <row r="1791" customFormat="false" ht="15" hidden="false" customHeight="true" outlineLevel="0" collapsed="false">
      <c r="A1791" s="6" t="s">
        <v>4331</v>
      </c>
      <c r="B1791" s="6" t="s">
        <v>7422</v>
      </c>
      <c r="C1791" s="6" t="s">
        <v>8013</v>
      </c>
    </row>
    <row r="1792" customFormat="false" ht="15" hidden="false" customHeight="true" outlineLevel="0" collapsed="false">
      <c r="A1792" s="6" t="s">
        <v>4331</v>
      </c>
      <c r="B1792" s="6" t="s">
        <v>7423</v>
      </c>
      <c r="C1792" s="6" t="s">
        <v>8013</v>
      </c>
    </row>
    <row r="1793" customFormat="false" ht="15" hidden="false" customHeight="true" outlineLevel="0" collapsed="false">
      <c r="A1793" s="6" t="s">
        <v>4331</v>
      </c>
      <c r="B1793" s="6" t="s">
        <v>7424</v>
      </c>
      <c r="C1793" s="6" t="s">
        <v>8013</v>
      </c>
    </row>
    <row r="1794" customFormat="false" ht="15" hidden="false" customHeight="true" outlineLevel="0" collapsed="false">
      <c r="A1794" s="6" t="s">
        <v>4331</v>
      </c>
      <c r="B1794" s="6" t="s">
        <v>8829</v>
      </c>
      <c r="C1794" s="6"/>
    </row>
    <row r="1795" customFormat="false" ht="15" hidden="false" customHeight="true" outlineLevel="0" collapsed="false">
      <c r="A1795" s="6" t="s">
        <v>4331</v>
      </c>
      <c r="B1795" s="6" t="s">
        <v>8830</v>
      </c>
      <c r="C1795" s="6"/>
    </row>
    <row r="1796" customFormat="false" ht="15" hidden="false" customHeight="true" outlineLevel="0" collapsed="false">
      <c r="A1796" s="6" t="s">
        <v>4331</v>
      </c>
      <c r="B1796" s="6" t="s">
        <v>4334</v>
      </c>
      <c r="C1796" s="6" t="s">
        <v>8013</v>
      </c>
    </row>
    <row r="1797" customFormat="false" ht="15" hidden="false" customHeight="true" outlineLevel="0" collapsed="false">
      <c r="A1797" s="6" t="s">
        <v>4331</v>
      </c>
      <c r="B1797" s="6" t="s">
        <v>8831</v>
      </c>
      <c r="C1797" s="6"/>
    </row>
    <row r="1798" customFormat="false" ht="15" hidden="false" customHeight="true" outlineLevel="0" collapsed="false">
      <c r="A1798" s="6" t="s">
        <v>4331</v>
      </c>
      <c r="B1798" s="6" t="s">
        <v>271</v>
      </c>
      <c r="C1798" s="6" t="s">
        <v>8013</v>
      </c>
    </row>
    <row r="1799" customFormat="false" ht="15" hidden="false" customHeight="true" outlineLevel="0" collapsed="false">
      <c r="A1799" s="6" t="s">
        <v>4343</v>
      </c>
      <c r="B1799" s="6" t="s">
        <v>4343</v>
      </c>
      <c r="C1799" s="6" t="s">
        <v>8013</v>
      </c>
    </row>
    <row r="1800" customFormat="false" ht="15" hidden="false" customHeight="true" outlineLevel="0" collapsed="false">
      <c r="A1800" s="6" t="s">
        <v>4343</v>
      </c>
      <c r="B1800" s="6" t="s">
        <v>7425</v>
      </c>
      <c r="C1800" s="6" t="s">
        <v>8013</v>
      </c>
    </row>
    <row r="1801" customFormat="false" ht="15" hidden="false" customHeight="true" outlineLevel="0" collapsed="false">
      <c r="A1801" s="6" t="s">
        <v>4343</v>
      </c>
      <c r="B1801" s="6" t="s">
        <v>7426</v>
      </c>
      <c r="C1801" s="6" t="s">
        <v>8013</v>
      </c>
    </row>
    <row r="1802" customFormat="false" ht="15" hidden="false" customHeight="true" outlineLevel="0" collapsed="false">
      <c r="A1802" s="6" t="s">
        <v>4343</v>
      </c>
      <c r="B1802" s="6" t="s">
        <v>7427</v>
      </c>
      <c r="C1802" s="6" t="s">
        <v>8013</v>
      </c>
    </row>
    <row r="1803" customFormat="false" ht="15" hidden="false" customHeight="true" outlineLevel="0" collapsed="false">
      <c r="A1803" s="6" t="s">
        <v>4343</v>
      </c>
      <c r="B1803" s="6" t="s">
        <v>8832</v>
      </c>
      <c r="C1803" s="6"/>
    </row>
    <row r="1804" customFormat="false" ht="15" hidden="false" customHeight="true" outlineLevel="0" collapsed="false">
      <c r="A1804" s="6" t="s">
        <v>4343</v>
      </c>
      <c r="B1804" s="6" t="s">
        <v>8833</v>
      </c>
      <c r="C1804" s="6"/>
    </row>
    <row r="1805" customFormat="false" ht="15" hidden="false" customHeight="true" outlineLevel="0" collapsed="false">
      <c r="A1805" s="6" t="s">
        <v>4343</v>
      </c>
      <c r="B1805" s="6" t="s">
        <v>8834</v>
      </c>
      <c r="C1805" s="6"/>
    </row>
    <row r="1806" customFormat="false" ht="15" hidden="false" customHeight="true" outlineLevel="0" collapsed="false">
      <c r="A1806" s="6" t="s">
        <v>4343</v>
      </c>
      <c r="B1806" s="6" t="s">
        <v>8835</v>
      </c>
      <c r="C1806" s="6"/>
    </row>
    <row r="1807" customFormat="false" ht="15" hidden="false" customHeight="true" outlineLevel="0" collapsed="false">
      <c r="A1807" s="6" t="s">
        <v>4343</v>
      </c>
      <c r="B1807" s="6" t="s">
        <v>8836</v>
      </c>
      <c r="C1807" s="6"/>
    </row>
    <row r="1808" customFormat="false" ht="15" hidden="false" customHeight="true" outlineLevel="0" collapsed="false">
      <c r="A1808" s="6" t="s">
        <v>4343</v>
      </c>
      <c r="B1808" s="6" t="s">
        <v>8837</v>
      </c>
      <c r="C1808" s="6"/>
    </row>
    <row r="1809" customFormat="false" ht="15" hidden="false" customHeight="true" outlineLevel="0" collapsed="false">
      <c r="A1809" s="6" t="s">
        <v>4354</v>
      </c>
      <c r="B1809" s="6" t="s">
        <v>7428</v>
      </c>
      <c r="C1809" s="6" t="s">
        <v>8013</v>
      </c>
    </row>
    <row r="1810" customFormat="false" ht="15" hidden="false" customHeight="true" outlineLevel="0" collapsed="false">
      <c r="A1810" s="6" t="s">
        <v>4354</v>
      </c>
      <c r="B1810" s="6" t="s">
        <v>4354</v>
      </c>
      <c r="C1810" s="6" t="s">
        <v>8013</v>
      </c>
    </row>
    <row r="1811" customFormat="false" ht="15" hidden="false" customHeight="true" outlineLevel="0" collapsed="false">
      <c r="A1811" s="6" t="s">
        <v>4354</v>
      </c>
      <c r="B1811" s="6" t="s">
        <v>8838</v>
      </c>
      <c r="C1811" s="6"/>
    </row>
    <row r="1812" customFormat="false" ht="15" hidden="false" customHeight="true" outlineLevel="0" collapsed="false">
      <c r="A1812" s="6" t="s">
        <v>4354</v>
      </c>
      <c r="B1812" s="6" t="s">
        <v>7429</v>
      </c>
      <c r="C1812" s="6" t="s">
        <v>8013</v>
      </c>
    </row>
    <row r="1813" customFormat="false" ht="15" hidden="false" customHeight="true" outlineLevel="0" collapsed="false">
      <c r="A1813" s="6" t="s">
        <v>4354</v>
      </c>
      <c r="B1813" s="6" t="s">
        <v>8839</v>
      </c>
      <c r="C1813" s="6"/>
    </row>
    <row r="1814" customFormat="false" ht="15" hidden="false" customHeight="true" outlineLevel="0" collapsed="false">
      <c r="A1814" s="6" t="s">
        <v>4354</v>
      </c>
      <c r="B1814" s="6" t="s">
        <v>7430</v>
      </c>
      <c r="C1814" s="6" t="s">
        <v>8013</v>
      </c>
    </row>
    <row r="1815" customFormat="false" ht="15" hidden="false" customHeight="true" outlineLevel="0" collapsed="false">
      <c r="A1815" s="6" t="s">
        <v>4354</v>
      </c>
      <c r="B1815" s="6" t="s">
        <v>8840</v>
      </c>
      <c r="C1815" s="6"/>
    </row>
    <row r="1816" customFormat="false" ht="15" hidden="false" customHeight="true" outlineLevel="0" collapsed="false">
      <c r="A1816" s="6" t="s">
        <v>4354</v>
      </c>
      <c r="B1816" s="6" t="s">
        <v>8841</v>
      </c>
      <c r="C1816" s="6"/>
    </row>
    <row r="1817" customFormat="false" ht="15" hidden="false" customHeight="true" outlineLevel="0" collapsed="false">
      <c r="A1817" s="6" t="s">
        <v>4354</v>
      </c>
      <c r="B1817" s="6" t="s">
        <v>8842</v>
      </c>
      <c r="C1817" s="6"/>
    </row>
    <row r="1818" customFormat="false" ht="15" hidden="false" customHeight="true" outlineLevel="0" collapsed="false">
      <c r="A1818" s="6" t="s">
        <v>4354</v>
      </c>
      <c r="B1818" s="6" t="s">
        <v>8843</v>
      </c>
      <c r="C1818" s="6"/>
    </row>
    <row r="1819" customFormat="false" ht="15" hidden="false" customHeight="true" outlineLevel="0" collapsed="false">
      <c r="A1819" s="6" t="s">
        <v>4365</v>
      </c>
      <c r="B1819" s="6" t="s">
        <v>4365</v>
      </c>
      <c r="C1819" s="6" t="s">
        <v>8013</v>
      </c>
    </row>
    <row r="1820" customFormat="false" ht="15" hidden="false" customHeight="true" outlineLevel="0" collapsed="false">
      <c r="A1820" s="6" t="s">
        <v>4365</v>
      </c>
      <c r="B1820" s="6" t="s">
        <v>7432</v>
      </c>
      <c r="C1820" s="6" t="s">
        <v>8013</v>
      </c>
    </row>
    <row r="1821" customFormat="false" ht="15" hidden="false" customHeight="true" outlineLevel="0" collapsed="false">
      <c r="A1821" s="6" t="s">
        <v>4365</v>
      </c>
      <c r="B1821" s="6" t="s">
        <v>8844</v>
      </c>
      <c r="C1821" s="6"/>
    </row>
    <row r="1822" customFormat="false" ht="15" hidden="false" customHeight="true" outlineLevel="0" collapsed="false">
      <c r="A1822" s="6" t="s">
        <v>4365</v>
      </c>
      <c r="B1822" s="6" t="s">
        <v>7433</v>
      </c>
      <c r="C1822" s="6" t="s">
        <v>8013</v>
      </c>
    </row>
    <row r="1823" customFormat="false" ht="15" hidden="false" customHeight="true" outlineLevel="0" collapsed="false">
      <c r="A1823" s="6" t="s">
        <v>4365</v>
      </c>
      <c r="B1823" s="6" t="s">
        <v>7434</v>
      </c>
      <c r="C1823" s="6" t="s">
        <v>8013</v>
      </c>
    </row>
    <row r="1824" customFormat="false" ht="15" hidden="false" customHeight="true" outlineLevel="0" collapsed="false">
      <c r="A1824" s="6" t="s">
        <v>4365</v>
      </c>
      <c r="B1824" s="6" t="s">
        <v>8845</v>
      </c>
      <c r="C1824" s="6"/>
    </row>
    <row r="1825" customFormat="false" ht="15" hidden="false" customHeight="true" outlineLevel="0" collapsed="false">
      <c r="A1825" s="6" t="s">
        <v>4365</v>
      </c>
      <c r="B1825" s="6" t="s">
        <v>7435</v>
      </c>
      <c r="C1825" s="6" t="s">
        <v>8013</v>
      </c>
    </row>
    <row r="1826" customFormat="false" ht="15" hidden="false" customHeight="true" outlineLevel="0" collapsed="false">
      <c r="A1826" s="6" t="s">
        <v>4365</v>
      </c>
      <c r="B1826" s="6" t="s">
        <v>8846</v>
      </c>
      <c r="C1826" s="6"/>
    </row>
    <row r="1827" customFormat="false" ht="15" hidden="false" customHeight="true" outlineLevel="0" collapsed="false">
      <c r="A1827" s="6" t="s">
        <v>4365</v>
      </c>
      <c r="B1827" s="6" t="s">
        <v>7431</v>
      </c>
      <c r="C1827" s="6" t="s">
        <v>8013</v>
      </c>
    </row>
    <row r="1828" customFormat="false" ht="15" hidden="false" customHeight="true" outlineLevel="0" collapsed="false">
      <c r="A1828" s="6" t="s">
        <v>4365</v>
      </c>
      <c r="B1828" s="6" t="s">
        <v>4368</v>
      </c>
      <c r="C1828" s="6" t="s">
        <v>8013</v>
      </c>
    </row>
    <row r="1829" customFormat="false" ht="15" hidden="false" customHeight="true" outlineLevel="0" collapsed="false">
      <c r="A1829" s="6" t="s">
        <v>4376</v>
      </c>
      <c r="B1829" s="6" t="s">
        <v>4376</v>
      </c>
      <c r="C1829" s="6" t="s">
        <v>8013</v>
      </c>
    </row>
    <row r="1830" customFormat="false" ht="15" hidden="false" customHeight="true" outlineLevel="0" collapsed="false">
      <c r="A1830" s="6" t="s">
        <v>4376</v>
      </c>
      <c r="B1830" s="6" t="s">
        <v>7436</v>
      </c>
      <c r="C1830" s="6" t="s">
        <v>8013</v>
      </c>
    </row>
    <row r="1831" customFormat="false" ht="15" hidden="false" customHeight="true" outlineLevel="0" collapsed="false">
      <c r="A1831" s="6" t="s">
        <v>4376</v>
      </c>
      <c r="B1831" s="6" t="s">
        <v>8847</v>
      </c>
      <c r="C1831" s="6"/>
    </row>
    <row r="1832" customFormat="false" ht="15" hidden="false" customHeight="true" outlineLevel="0" collapsed="false">
      <c r="A1832" s="6" t="s">
        <v>4376</v>
      </c>
      <c r="B1832" s="6" t="s">
        <v>7437</v>
      </c>
      <c r="C1832" s="6" t="s">
        <v>8013</v>
      </c>
    </row>
    <row r="1833" customFormat="false" ht="15" hidden="false" customHeight="true" outlineLevel="0" collapsed="false">
      <c r="A1833" s="6" t="s">
        <v>4376</v>
      </c>
      <c r="B1833" s="6" t="s">
        <v>8848</v>
      </c>
      <c r="C1833" s="6"/>
    </row>
    <row r="1834" customFormat="false" ht="15" hidden="false" customHeight="true" outlineLevel="0" collapsed="false">
      <c r="A1834" s="6" t="s">
        <v>4376</v>
      </c>
      <c r="B1834" s="6" t="s">
        <v>7438</v>
      </c>
      <c r="C1834" s="6" t="s">
        <v>8013</v>
      </c>
    </row>
    <row r="1835" customFormat="false" ht="15" hidden="false" customHeight="true" outlineLevel="0" collapsed="false">
      <c r="A1835" s="6" t="s">
        <v>4376</v>
      </c>
      <c r="B1835" s="6" t="s">
        <v>7439</v>
      </c>
      <c r="C1835" s="6" t="s">
        <v>8013</v>
      </c>
    </row>
    <row r="1836" customFormat="false" ht="15" hidden="false" customHeight="true" outlineLevel="0" collapsed="false">
      <c r="A1836" s="6" t="s">
        <v>4376</v>
      </c>
      <c r="B1836" s="6" t="s">
        <v>4379</v>
      </c>
      <c r="C1836" s="6" t="s">
        <v>8013</v>
      </c>
    </row>
    <row r="1837" customFormat="false" ht="15" hidden="false" customHeight="true" outlineLevel="0" collapsed="false">
      <c r="A1837" s="6" t="s">
        <v>4376</v>
      </c>
      <c r="B1837" s="6" t="s">
        <v>8849</v>
      </c>
      <c r="C1837" s="6"/>
    </row>
    <row r="1838" customFormat="false" ht="15" hidden="false" customHeight="true" outlineLevel="0" collapsed="false">
      <c r="A1838" s="6" t="s">
        <v>4376</v>
      </c>
      <c r="B1838" s="6" t="s">
        <v>8850</v>
      </c>
      <c r="C1838" s="6"/>
    </row>
    <row r="1839" customFormat="false" ht="15" hidden="false" customHeight="true" outlineLevel="0" collapsed="false">
      <c r="A1839" s="6" t="s">
        <v>4387</v>
      </c>
      <c r="B1839" s="6" t="s">
        <v>4387</v>
      </c>
      <c r="C1839" s="6" t="s">
        <v>8013</v>
      </c>
    </row>
    <row r="1840" customFormat="false" ht="15" hidden="false" customHeight="true" outlineLevel="0" collapsed="false">
      <c r="A1840" s="6" t="s">
        <v>4387</v>
      </c>
      <c r="B1840" s="6" t="s">
        <v>7440</v>
      </c>
      <c r="C1840" s="6" t="s">
        <v>8013</v>
      </c>
    </row>
    <row r="1841" customFormat="false" ht="15" hidden="false" customHeight="true" outlineLevel="0" collapsed="false">
      <c r="A1841" s="6" t="s">
        <v>4387</v>
      </c>
      <c r="B1841" s="6" t="s">
        <v>7441</v>
      </c>
      <c r="C1841" s="6" t="s">
        <v>8013</v>
      </c>
    </row>
    <row r="1842" customFormat="false" ht="15" hidden="false" customHeight="true" outlineLevel="0" collapsed="false">
      <c r="A1842" s="6" t="s">
        <v>4387</v>
      </c>
      <c r="B1842" s="6" t="s">
        <v>7442</v>
      </c>
      <c r="C1842" s="6" t="s">
        <v>8013</v>
      </c>
    </row>
    <row r="1843" customFormat="false" ht="15" hidden="false" customHeight="true" outlineLevel="0" collapsed="false">
      <c r="A1843" s="6" t="s">
        <v>4387</v>
      </c>
      <c r="B1843" s="6" t="s">
        <v>8851</v>
      </c>
      <c r="C1843" s="6"/>
    </row>
    <row r="1844" customFormat="false" ht="15" hidden="false" customHeight="true" outlineLevel="0" collapsed="false">
      <c r="A1844" s="6" t="s">
        <v>4387</v>
      </c>
      <c r="B1844" s="6" t="s">
        <v>8852</v>
      </c>
      <c r="C1844" s="6"/>
    </row>
    <row r="1845" customFormat="false" ht="15" hidden="false" customHeight="true" outlineLevel="0" collapsed="false">
      <c r="A1845" s="6" t="s">
        <v>4387</v>
      </c>
      <c r="B1845" s="6" t="s">
        <v>8853</v>
      </c>
      <c r="C1845" s="6"/>
    </row>
    <row r="1846" customFormat="false" ht="15" hidden="false" customHeight="true" outlineLevel="0" collapsed="false">
      <c r="A1846" s="6" t="s">
        <v>4387</v>
      </c>
      <c r="B1846" s="6" t="s">
        <v>8854</v>
      </c>
      <c r="C1846" s="6"/>
    </row>
    <row r="1847" customFormat="false" ht="15" hidden="false" customHeight="true" outlineLevel="0" collapsed="false">
      <c r="A1847" s="6" t="s">
        <v>4387</v>
      </c>
      <c r="B1847" s="6" t="s">
        <v>7443</v>
      </c>
      <c r="C1847" s="6" t="s">
        <v>8013</v>
      </c>
    </row>
    <row r="1848" customFormat="false" ht="15" hidden="false" customHeight="true" outlineLevel="0" collapsed="false">
      <c r="A1848" s="6" t="s">
        <v>4387</v>
      </c>
      <c r="B1848" s="6" t="s">
        <v>8855</v>
      </c>
      <c r="C1848" s="6"/>
    </row>
    <row r="1849" customFormat="false" ht="15" hidden="false" customHeight="true" outlineLevel="0" collapsed="false">
      <c r="A1849" s="6" t="s">
        <v>4399</v>
      </c>
      <c r="B1849" s="6" t="s">
        <v>4399</v>
      </c>
      <c r="C1849" s="6" t="s">
        <v>8013</v>
      </c>
    </row>
    <row r="1850" customFormat="false" ht="15" hidden="false" customHeight="true" outlineLevel="0" collapsed="false">
      <c r="A1850" s="6" t="s">
        <v>4399</v>
      </c>
      <c r="B1850" s="6" t="s">
        <v>4617</v>
      </c>
      <c r="C1850" s="6" t="s">
        <v>8013</v>
      </c>
    </row>
    <row r="1851" customFormat="false" ht="15" hidden="false" customHeight="true" outlineLevel="0" collapsed="false">
      <c r="A1851" s="6" t="s">
        <v>4399</v>
      </c>
      <c r="B1851" s="6" t="s">
        <v>7444</v>
      </c>
      <c r="C1851" s="6" t="s">
        <v>8013</v>
      </c>
    </row>
    <row r="1852" customFormat="false" ht="15" hidden="false" customHeight="true" outlineLevel="0" collapsed="false">
      <c r="A1852" s="6" t="s">
        <v>4399</v>
      </c>
      <c r="B1852" s="6" t="s">
        <v>7445</v>
      </c>
      <c r="C1852" s="6" t="s">
        <v>8013</v>
      </c>
    </row>
    <row r="1853" customFormat="false" ht="15" hidden="false" customHeight="true" outlineLevel="0" collapsed="false">
      <c r="A1853" s="6" t="s">
        <v>4399</v>
      </c>
      <c r="B1853" s="6" t="s">
        <v>7451</v>
      </c>
      <c r="C1853" s="6" t="s">
        <v>8013</v>
      </c>
    </row>
    <row r="1854" customFormat="false" ht="15" hidden="false" customHeight="true" outlineLevel="0" collapsed="false">
      <c r="A1854" s="6" t="s">
        <v>4399</v>
      </c>
      <c r="B1854" s="6" t="s">
        <v>7452</v>
      </c>
      <c r="C1854" s="6" t="s">
        <v>8013</v>
      </c>
    </row>
    <row r="1855" customFormat="false" ht="15" hidden="false" customHeight="true" outlineLevel="0" collapsed="false">
      <c r="A1855" s="6" t="s">
        <v>4399</v>
      </c>
      <c r="B1855" s="6" t="s">
        <v>7453</v>
      </c>
      <c r="C1855" s="6" t="s">
        <v>8013</v>
      </c>
    </row>
    <row r="1856" customFormat="false" ht="15" hidden="false" customHeight="true" outlineLevel="0" collapsed="false">
      <c r="A1856" s="6" t="s">
        <v>4399</v>
      </c>
      <c r="B1856" s="6" t="s">
        <v>7449</v>
      </c>
      <c r="C1856" s="6" t="s">
        <v>8013</v>
      </c>
    </row>
    <row r="1857" customFormat="false" ht="15" hidden="false" customHeight="true" outlineLevel="0" collapsed="false">
      <c r="A1857" s="6" t="s">
        <v>4399</v>
      </c>
      <c r="B1857" s="6" t="s">
        <v>8856</v>
      </c>
      <c r="C1857" s="6"/>
    </row>
    <row r="1858" customFormat="false" ht="15" hidden="false" customHeight="true" outlineLevel="0" collapsed="false">
      <c r="A1858" s="6" t="s">
        <v>4399</v>
      </c>
      <c r="B1858" s="6" t="s">
        <v>7448</v>
      </c>
      <c r="C1858" s="6" t="s">
        <v>8013</v>
      </c>
    </row>
    <row r="1859" customFormat="false" ht="15" hidden="false" customHeight="true" outlineLevel="0" collapsed="false">
      <c r="A1859" s="6" t="s">
        <v>4617</v>
      </c>
      <c r="B1859" s="6" t="s">
        <v>4617</v>
      </c>
      <c r="C1859" s="6" t="s">
        <v>8013</v>
      </c>
    </row>
    <row r="1860" customFormat="false" ht="15" hidden="false" customHeight="true" outlineLevel="0" collapsed="false">
      <c r="A1860" s="6" t="s">
        <v>4617</v>
      </c>
      <c r="B1860" s="6" t="s">
        <v>7445</v>
      </c>
      <c r="C1860" s="6" t="s">
        <v>8013</v>
      </c>
    </row>
    <row r="1861" customFormat="false" ht="15" hidden="false" customHeight="true" outlineLevel="0" collapsed="false">
      <c r="A1861" s="6" t="s">
        <v>4617</v>
      </c>
      <c r="B1861" s="6" t="s">
        <v>7449</v>
      </c>
      <c r="C1861" s="6" t="s">
        <v>8013</v>
      </c>
    </row>
    <row r="1862" customFormat="false" ht="15" hidden="false" customHeight="true" outlineLevel="0" collapsed="false">
      <c r="A1862" s="6" t="s">
        <v>4617</v>
      </c>
      <c r="B1862" s="6" t="s">
        <v>7448</v>
      </c>
      <c r="C1862" s="6" t="s">
        <v>8013</v>
      </c>
    </row>
    <row r="1863" customFormat="false" ht="15" hidden="false" customHeight="true" outlineLevel="0" collapsed="false">
      <c r="A1863" s="6" t="s">
        <v>4617</v>
      </c>
      <c r="B1863" s="6" t="s">
        <v>7450</v>
      </c>
      <c r="C1863" s="6" t="s">
        <v>8013</v>
      </c>
    </row>
    <row r="1864" customFormat="false" ht="15" hidden="false" customHeight="true" outlineLevel="0" collapsed="false">
      <c r="A1864" s="6" t="s">
        <v>4617</v>
      </c>
      <c r="B1864" s="6" t="s">
        <v>8857</v>
      </c>
      <c r="C1864" s="6"/>
    </row>
    <row r="1865" customFormat="false" ht="15" hidden="false" customHeight="true" outlineLevel="0" collapsed="false">
      <c r="A1865" s="6" t="s">
        <v>4617</v>
      </c>
      <c r="B1865" s="6" t="s">
        <v>7447</v>
      </c>
      <c r="C1865" s="6" t="s">
        <v>8013</v>
      </c>
    </row>
    <row r="1866" customFormat="false" ht="15" hidden="false" customHeight="true" outlineLevel="0" collapsed="false">
      <c r="A1866" s="6" t="s">
        <v>4617</v>
      </c>
      <c r="B1866" s="6" t="s">
        <v>8858</v>
      </c>
      <c r="C1866" s="6"/>
    </row>
    <row r="1867" customFormat="false" ht="15" hidden="false" customHeight="true" outlineLevel="0" collapsed="false">
      <c r="A1867" s="6" t="s">
        <v>4617</v>
      </c>
      <c r="B1867" s="6" t="s">
        <v>8859</v>
      </c>
      <c r="C1867" s="6"/>
    </row>
    <row r="1868" customFormat="false" ht="15" hidden="false" customHeight="true" outlineLevel="0" collapsed="false">
      <c r="A1868" s="6" t="s">
        <v>4617</v>
      </c>
      <c r="B1868" s="6" t="s">
        <v>8860</v>
      </c>
      <c r="C1868" s="6"/>
    </row>
    <row r="1869" customFormat="false" ht="15" hidden="false" customHeight="true" outlineLevel="0" collapsed="false">
      <c r="A1869" s="6" t="s">
        <v>4410</v>
      </c>
      <c r="B1869" s="6" t="s">
        <v>4410</v>
      </c>
      <c r="C1869" s="6" t="s">
        <v>8013</v>
      </c>
    </row>
    <row r="1870" customFormat="false" ht="15" hidden="false" customHeight="true" outlineLevel="0" collapsed="false">
      <c r="A1870" s="6" t="s">
        <v>4410</v>
      </c>
      <c r="B1870" s="6" t="s">
        <v>7454</v>
      </c>
      <c r="C1870" s="6" t="s">
        <v>8013</v>
      </c>
    </row>
    <row r="1871" customFormat="false" ht="15" hidden="false" customHeight="true" outlineLevel="0" collapsed="false">
      <c r="A1871" s="6" t="s">
        <v>4410</v>
      </c>
      <c r="B1871" s="6" t="s">
        <v>8861</v>
      </c>
      <c r="C1871" s="6"/>
    </row>
    <row r="1872" customFormat="false" ht="15" hidden="false" customHeight="true" outlineLevel="0" collapsed="false">
      <c r="A1872" s="6" t="s">
        <v>4410</v>
      </c>
      <c r="B1872" s="6" t="s">
        <v>7455</v>
      </c>
      <c r="C1872" s="6" t="s">
        <v>8013</v>
      </c>
    </row>
    <row r="1873" customFormat="false" ht="15" hidden="false" customHeight="true" outlineLevel="0" collapsed="false">
      <c r="A1873" s="6" t="s">
        <v>4410</v>
      </c>
      <c r="B1873" s="6" t="s">
        <v>7457</v>
      </c>
      <c r="C1873" s="6" t="s">
        <v>8013</v>
      </c>
    </row>
    <row r="1874" customFormat="false" ht="15" hidden="false" customHeight="true" outlineLevel="0" collapsed="false">
      <c r="A1874" s="6" t="s">
        <v>4410</v>
      </c>
      <c r="B1874" s="6" t="s">
        <v>8862</v>
      </c>
      <c r="C1874" s="6"/>
    </row>
    <row r="1875" customFormat="false" ht="15" hidden="false" customHeight="true" outlineLevel="0" collapsed="false">
      <c r="A1875" s="6" t="s">
        <v>4410</v>
      </c>
      <c r="B1875" s="6" t="s">
        <v>8863</v>
      </c>
      <c r="C1875" s="6"/>
    </row>
    <row r="1876" customFormat="false" ht="15" hidden="false" customHeight="true" outlineLevel="0" collapsed="false">
      <c r="A1876" s="6" t="s">
        <v>4410</v>
      </c>
      <c r="B1876" s="6" t="s">
        <v>7456</v>
      </c>
      <c r="C1876" s="6" t="s">
        <v>8013</v>
      </c>
    </row>
    <row r="1877" customFormat="false" ht="15" hidden="false" customHeight="true" outlineLevel="0" collapsed="false">
      <c r="A1877" s="6" t="s">
        <v>4410</v>
      </c>
      <c r="B1877" s="6" t="s">
        <v>7458</v>
      </c>
      <c r="C1877" s="6" t="s">
        <v>8013</v>
      </c>
    </row>
    <row r="1878" customFormat="false" ht="15" hidden="false" customHeight="true" outlineLevel="0" collapsed="false">
      <c r="A1878" s="6" t="s">
        <v>4410</v>
      </c>
      <c r="B1878" s="6" t="s">
        <v>4413</v>
      </c>
      <c r="C1878" s="6" t="s">
        <v>8013</v>
      </c>
    </row>
    <row r="1879" customFormat="false" ht="15" hidden="false" customHeight="true" outlineLevel="0" collapsed="false">
      <c r="A1879" s="6" t="s">
        <v>4421</v>
      </c>
      <c r="B1879" s="6" t="s">
        <v>4421</v>
      </c>
      <c r="C1879" s="6" t="s">
        <v>8013</v>
      </c>
    </row>
    <row r="1880" customFormat="false" ht="15" hidden="false" customHeight="true" outlineLevel="0" collapsed="false">
      <c r="A1880" s="6" t="s">
        <v>4421</v>
      </c>
      <c r="B1880" s="6" t="s">
        <v>7459</v>
      </c>
      <c r="C1880" s="6" t="s">
        <v>8013</v>
      </c>
    </row>
    <row r="1881" customFormat="false" ht="15" hidden="false" customHeight="true" outlineLevel="0" collapsed="false">
      <c r="A1881" s="6" t="s">
        <v>4421</v>
      </c>
      <c r="B1881" s="6" t="s">
        <v>7460</v>
      </c>
      <c r="C1881" s="6" t="s">
        <v>8013</v>
      </c>
    </row>
    <row r="1882" customFormat="false" ht="15" hidden="false" customHeight="true" outlineLevel="0" collapsed="false">
      <c r="A1882" s="6" t="s">
        <v>4421</v>
      </c>
      <c r="B1882" s="6" t="s">
        <v>8864</v>
      </c>
      <c r="C1882" s="6"/>
    </row>
    <row r="1883" customFormat="false" ht="15" hidden="false" customHeight="true" outlineLevel="0" collapsed="false">
      <c r="A1883" s="6" t="s">
        <v>4421</v>
      </c>
      <c r="B1883" s="6" t="s">
        <v>7461</v>
      </c>
      <c r="C1883" s="6" t="s">
        <v>8013</v>
      </c>
    </row>
    <row r="1884" customFormat="false" ht="15" hidden="false" customHeight="true" outlineLevel="0" collapsed="false">
      <c r="A1884" s="6" t="s">
        <v>4421</v>
      </c>
      <c r="B1884" s="6" t="s">
        <v>7462</v>
      </c>
      <c r="C1884" s="6" t="s">
        <v>8013</v>
      </c>
    </row>
    <row r="1885" customFormat="false" ht="15" hidden="false" customHeight="true" outlineLevel="0" collapsed="false">
      <c r="A1885" s="6" t="s">
        <v>4421</v>
      </c>
      <c r="B1885" s="6" t="s">
        <v>8865</v>
      </c>
      <c r="C1885" s="6"/>
    </row>
    <row r="1886" customFormat="false" ht="15" hidden="false" customHeight="true" outlineLevel="0" collapsed="false">
      <c r="A1886" s="6" t="s">
        <v>4421</v>
      </c>
      <c r="B1886" s="6" t="s">
        <v>8866</v>
      </c>
      <c r="C1886" s="6"/>
    </row>
    <row r="1887" customFormat="false" ht="15" hidden="false" customHeight="true" outlineLevel="0" collapsed="false">
      <c r="A1887" s="6" t="s">
        <v>4421</v>
      </c>
      <c r="B1887" s="6" t="s">
        <v>8867</v>
      </c>
      <c r="C1887" s="6"/>
    </row>
    <row r="1888" customFormat="false" ht="15" hidden="false" customHeight="true" outlineLevel="0" collapsed="false">
      <c r="A1888" s="6" t="s">
        <v>4421</v>
      </c>
      <c r="B1888" s="6" t="s">
        <v>8868</v>
      </c>
      <c r="C1888" s="6"/>
    </row>
    <row r="1889" customFormat="false" ht="15" hidden="false" customHeight="true" outlineLevel="0" collapsed="false">
      <c r="A1889" s="6" t="s">
        <v>4430</v>
      </c>
      <c r="B1889" s="6" t="s">
        <v>4430</v>
      </c>
      <c r="C1889" s="6" t="s">
        <v>8013</v>
      </c>
    </row>
    <row r="1890" customFormat="false" ht="15" hidden="false" customHeight="true" outlineLevel="0" collapsed="false">
      <c r="A1890" s="6" t="s">
        <v>4430</v>
      </c>
      <c r="B1890" s="6" t="s">
        <v>7463</v>
      </c>
      <c r="C1890" s="6" t="s">
        <v>8013</v>
      </c>
    </row>
    <row r="1891" customFormat="false" ht="15" hidden="false" customHeight="true" outlineLevel="0" collapsed="false">
      <c r="A1891" s="6" t="s">
        <v>4430</v>
      </c>
      <c r="B1891" s="6" t="s">
        <v>8869</v>
      </c>
      <c r="C1891" s="6"/>
    </row>
    <row r="1892" customFormat="false" ht="15" hidden="false" customHeight="true" outlineLevel="0" collapsed="false">
      <c r="A1892" s="6" t="s">
        <v>4430</v>
      </c>
      <c r="B1892" s="6" t="s">
        <v>7464</v>
      </c>
      <c r="C1892" s="6" t="s">
        <v>8013</v>
      </c>
    </row>
    <row r="1893" customFormat="false" ht="15" hidden="false" customHeight="true" outlineLevel="0" collapsed="false">
      <c r="A1893" s="6" t="s">
        <v>4430</v>
      </c>
      <c r="B1893" s="6" t="s">
        <v>4433</v>
      </c>
      <c r="C1893" s="6" t="s">
        <v>8013</v>
      </c>
    </row>
    <row r="1894" customFormat="false" ht="15" hidden="false" customHeight="true" outlineLevel="0" collapsed="false">
      <c r="A1894" s="6" t="s">
        <v>4430</v>
      </c>
      <c r="B1894" s="6" t="s">
        <v>8870</v>
      </c>
      <c r="C1894" s="6"/>
    </row>
    <row r="1895" customFormat="false" ht="15" hidden="false" customHeight="true" outlineLevel="0" collapsed="false">
      <c r="A1895" s="6" t="s">
        <v>4430</v>
      </c>
      <c r="B1895" s="6" t="s">
        <v>272</v>
      </c>
      <c r="C1895" s="6" t="s">
        <v>8013</v>
      </c>
    </row>
    <row r="1896" customFormat="false" ht="15" hidden="false" customHeight="true" outlineLevel="0" collapsed="false">
      <c r="A1896" s="6" t="s">
        <v>4430</v>
      </c>
      <c r="B1896" s="6" t="s">
        <v>8871</v>
      </c>
      <c r="C1896" s="6"/>
    </row>
    <row r="1897" customFormat="false" ht="15" hidden="false" customHeight="true" outlineLevel="0" collapsed="false">
      <c r="A1897" s="6" t="s">
        <v>4430</v>
      </c>
      <c r="B1897" s="6" t="s">
        <v>7465</v>
      </c>
      <c r="C1897" s="6" t="s">
        <v>8013</v>
      </c>
    </row>
    <row r="1898" customFormat="false" ht="15" hidden="false" customHeight="true" outlineLevel="0" collapsed="false">
      <c r="A1898" s="6" t="s">
        <v>4430</v>
      </c>
      <c r="B1898" s="6" t="s">
        <v>7466</v>
      </c>
      <c r="C1898" s="6" t="s">
        <v>8013</v>
      </c>
    </row>
    <row r="1899" customFormat="false" ht="15" hidden="false" customHeight="true" outlineLevel="0" collapsed="false">
      <c r="A1899" s="6" t="s">
        <v>4441</v>
      </c>
      <c r="B1899" s="6" t="s">
        <v>4441</v>
      </c>
      <c r="C1899" s="6" t="s">
        <v>8013</v>
      </c>
    </row>
    <row r="1900" customFormat="false" ht="15" hidden="false" customHeight="true" outlineLevel="0" collapsed="false">
      <c r="A1900" s="6" t="s">
        <v>4441</v>
      </c>
      <c r="B1900" s="6" t="s">
        <v>8872</v>
      </c>
      <c r="C1900" s="6"/>
    </row>
    <row r="1901" customFormat="false" ht="15" hidden="false" customHeight="true" outlineLevel="0" collapsed="false">
      <c r="A1901" s="6" t="s">
        <v>4441</v>
      </c>
      <c r="B1901" s="6" t="s">
        <v>7468</v>
      </c>
      <c r="C1901" s="6" t="s">
        <v>8013</v>
      </c>
    </row>
    <row r="1902" customFormat="false" ht="15" hidden="false" customHeight="true" outlineLevel="0" collapsed="false">
      <c r="A1902" s="6" t="s">
        <v>4441</v>
      </c>
      <c r="B1902" s="6" t="s">
        <v>7469</v>
      </c>
      <c r="C1902" s="6" t="s">
        <v>8013</v>
      </c>
    </row>
    <row r="1903" customFormat="false" ht="15" hidden="false" customHeight="true" outlineLevel="0" collapsed="false">
      <c r="A1903" s="6" t="s">
        <v>4441</v>
      </c>
      <c r="B1903" s="6" t="s">
        <v>8873</v>
      </c>
      <c r="C1903" s="6"/>
    </row>
    <row r="1904" customFormat="false" ht="15" hidden="false" customHeight="true" outlineLevel="0" collapsed="false">
      <c r="A1904" s="6" t="s">
        <v>4441</v>
      </c>
      <c r="B1904" s="6" t="s">
        <v>7470</v>
      </c>
      <c r="C1904" s="6" t="s">
        <v>8013</v>
      </c>
    </row>
    <row r="1905" customFormat="false" ht="15" hidden="false" customHeight="true" outlineLevel="0" collapsed="false">
      <c r="A1905" s="6" t="s">
        <v>4441</v>
      </c>
      <c r="B1905" s="6" t="s">
        <v>8874</v>
      </c>
      <c r="C1905" s="6"/>
    </row>
    <row r="1906" customFormat="false" ht="15" hidden="false" customHeight="true" outlineLevel="0" collapsed="false">
      <c r="A1906" s="6" t="s">
        <v>4441</v>
      </c>
      <c r="B1906" s="6" t="s">
        <v>8875</v>
      </c>
      <c r="C1906" s="6"/>
    </row>
    <row r="1907" customFormat="false" ht="15" hidden="false" customHeight="true" outlineLevel="0" collapsed="false">
      <c r="A1907" s="6" t="s">
        <v>4441</v>
      </c>
      <c r="B1907" s="6" t="s">
        <v>7467</v>
      </c>
      <c r="C1907" s="6" t="s">
        <v>8013</v>
      </c>
    </row>
    <row r="1908" customFormat="false" ht="15" hidden="false" customHeight="true" outlineLevel="0" collapsed="false">
      <c r="A1908" s="6" t="s">
        <v>4441</v>
      </c>
      <c r="B1908" s="6" t="s">
        <v>8876</v>
      </c>
      <c r="C1908" s="6"/>
    </row>
    <row r="1909" customFormat="false" ht="15" hidden="false" customHeight="true" outlineLevel="0" collapsed="false">
      <c r="A1909" s="6" t="s">
        <v>4452</v>
      </c>
      <c r="B1909" s="6" t="s">
        <v>7471</v>
      </c>
      <c r="C1909" s="6" t="s">
        <v>8013</v>
      </c>
    </row>
    <row r="1910" customFormat="false" ht="15" hidden="false" customHeight="true" outlineLevel="0" collapsed="false">
      <c r="A1910" s="6" t="s">
        <v>4452</v>
      </c>
      <c r="B1910" s="6" t="s">
        <v>4452</v>
      </c>
      <c r="C1910" s="6" t="s">
        <v>8013</v>
      </c>
    </row>
    <row r="1911" customFormat="false" ht="15" hidden="false" customHeight="true" outlineLevel="0" collapsed="false">
      <c r="A1911" s="6" t="s">
        <v>4452</v>
      </c>
      <c r="B1911" s="6" t="s">
        <v>7472</v>
      </c>
      <c r="C1911" s="6" t="s">
        <v>8013</v>
      </c>
    </row>
    <row r="1912" customFormat="false" ht="15" hidden="false" customHeight="true" outlineLevel="0" collapsed="false">
      <c r="A1912" s="6" t="s">
        <v>4452</v>
      </c>
      <c r="B1912" s="6" t="s">
        <v>8877</v>
      </c>
      <c r="C1912" s="6"/>
    </row>
    <row r="1913" customFormat="false" ht="15" hidden="false" customHeight="true" outlineLevel="0" collapsed="false">
      <c r="A1913" s="6" t="s">
        <v>4452</v>
      </c>
      <c r="B1913" s="6" t="s">
        <v>8878</v>
      </c>
      <c r="C1913" s="6"/>
    </row>
    <row r="1914" customFormat="false" ht="15" hidden="false" customHeight="true" outlineLevel="0" collapsed="false">
      <c r="A1914" s="6" t="s">
        <v>4452</v>
      </c>
      <c r="B1914" s="6" t="s">
        <v>8879</v>
      </c>
      <c r="C1914" s="6"/>
    </row>
    <row r="1915" customFormat="false" ht="15" hidden="false" customHeight="true" outlineLevel="0" collapsed="false">
      <c r="A1915" s="6" t="s">
        <v>4452</v>
      </c>
      <c r="B1915" s="6" t="s">
        <v>8880</v>
      </c>
      <c r="C1915" s="6"/>
    </row>
    <row r="1916" customFormat="false" ht="15" hidden="false" customHeight="true" outlineLevel="0" collapsed="false">
      <c r="A1916" s="6" t="s">
        <v>4452</v>
      </c>
      <c r="B1916" s="6" t="s">
        <v>7473</v>
      </c>
      <c r="C1916" s="6" t="s">
        <v>8013</v>
      </c>
    </row>
    <row r="1917" customFormat="false" ht="15" hidden="false" customHeight="true" outlineLevel="0" collapsed="false">
      <c r="A1917" s="6" t="s">
        <v>4452</v>
      </c>
      <c r="B1917" s="6" t="s">
        <v>8881</v>
      </c>
      <c r="C1917" s="6"/>
    </row>
    <row r="1918" customFormat="false" ht="15" hidden="false" customHeight="true" outlineLevel="0" collapsed="false">
      <c r="A1918" s="6" t="s">
        <v>4452</v>
      </c>
      <c r="B1918" s="6" t="s">
        <v>8882</v>
      </c>
      <c r="C1918" s="6"/>
    </row>
    <row r="1919" customFormat="false" ht="15" hidden="false" customHeight="true" outlineLevel="0" collapsed="false">
      <c r="A1919" s="6" t="s">
        <v>6603</v>
      </c>
      <c r="B1919" s="6" t="s">
        <v>333</v>
      </c>
      <c r="C1919" s="6" t="s">
        <v>8013</v>
      </c>
    </row>
    <row r="1920" customFormat="false" ht="15" hidden="false" customHeight="true" outlineLevel="0" collapsed="false">
      <c r="A1920" s="6" t="s">
        <v>6603</v>
      </c>
      <c r="B1920" s="6" t="s">
        <v>8883</v>
      </c>
      <c r="C1920" s="6"/>
    </row>
    <row r="1921" customFormat="false" ht="15" hidden="false" customHeight="true" outlineLevel="0" collapsed="false">
      <c r="A1921" s="6" t="s">
        <v>6603</v>
      </c>
      <c r="B1921" s="6" t="s">
        <v>8884</v>
      </c>
      <c r="C1921" s="6"/>
    </row>
    <row r="1922" customFormat="false" ht="15" hidden="false" customHeight="true" outlineLevel="0" collapsed="false">
      <c r="A1922" s="6" t="s">
        <v>6603</v>
      </c>
      <c r="B1922" s="6" t="s">
        <v>8885</v>
      </c>
      <c r="C1922" s="6"/>
    </row>
    <row r="1923" customFormat="false" ht="15" hidden="false" customHeight="true" outlineLevel="0" collapsed="false">
      <c r="A1923" s="6" t="s">
        <v>6603</v>
      </c>
      <c r="B1923" s="6" t="s">
        <v>8886</v>
      </c>
      <c r="C1923" s="6"/>
    </row>
    <row r="1924" customFormat="false" ht="15" hidden="false" customHeight="true" outlineLevel="0" collapsed="false">
      <c r="A1924" s="6" t="s">
        <v>6603</v>
      </c>
      <c r="B1924" s="6" t="s">
        <v>8887</v>
      </c>
      <c r="C1924" s="6"/>
    </row>
    <row r="1925" customFormat="false" ht="15" hidden="false" customHeight="true" outlineLevel="0" collapsed="false">
      <c r="A1925" s="6" t="s">
        <v>6603</v>
      </c>
      <c r="B1925" s="6" t="s">
        <v>8888</v>
      </c>
      <c r="C1925" s="6"/>
    </row>
    <row r="1926" customFormat="false" ht="15" hidden="false" customHeight="true" outlineLevel="0" collapsed="false">
      <c r="A1926" s="6" t="s">
        <v>6603</v>
      </c>
      <c r="B1926" s="6" t="s">
        <v>8889</v>
      </c>
      <c r="C1926" s="6"/>
    </row>
    <row r="1927" customFormat="false" ht="15" hidden="false" customHeight="true" outlineLevel="0" collapsed="false">
      <c r="A1927" s="6" t="s">
        <v>6603</v>
      </c>
      <c r="B1927" s="6" t="s">
        <v>8890</v>
      </c>
      <c r="C1927" s="6"/>
    </row>
    <row r="1928" customFormat="false" ht="15" hidden="false" customHeight="true" outlineLevel="0" collapsed="false">
      <c r="A1928" s="6" t="s">
        <v>6603</v>
      </c>
      <c r="B1928" s="6" t="s">
        <v>8891</v>
      </c>
      <c r="C1928" s="6"/>
    </row>
    <row r="1929" customFormat="false" ht="15" hidden="false" customHeight="true" outlineLevel="0" collapsed="false">
      <c r="A1929" s="6" t="s">
        <v>4640</v>
      </c>
      <c r="B1929" s="6" t="s">
        <v>7474</v>
      </c>
      <c r="C1929" s="6" t="s">
        <v>8013</v>
      </c>
    </row>
    <row r="1930" customFormat="false" ht="15" hidden="false" customHeight="true" outlineLevel="0" collapsed="false">
      <c r="A1930" s="6" t="s">
        <v>4640</v>
      </c>
      <c r="B1930" s="6" t="s">
        <v>7475</v>
      </c>
      <c r="C1930" s="6" t="s">
        <v>8013</v>
      </c>
    </row>
    <row r="1931" customFormat="false" ht="15" hidden="false" customHeight="true" outlineLevel="0" collapsed="false">
      <c r="A1931" s="6" t="s">
        <v>4640</v>
      </c>
      <c r="B1931" s="6" t="s">
        <v>7476</v>
      </c>
      <c r="C1931" s="6" t="s">
        <v>8013</v>
      </c>
    </row>
    <row r="1932" customFormat="false" ht="15" hidden="false" customHeight="true" outlineLevel="0" collapsed="false">
      <c r="A1932" s="6" t="s">
        <v>4640</v>
      </c>
      <c r="B1932" s="6" t="s">
        <v>8892</v>
      </c>
      <c r="C1932" s="6"/>
    </row>
    <row r="1933" customFormat="false" ht="15" hidden="false" customHeight="true" outlineLevel="0" collapsed="false">
      <c r="A1933" s="6" t="s">
        <v>4640</v>
      </c>
      <c r="B1933" s="6" t="s">
        <v>8893</v>
      </c>
      <c r="C1933" s="6"/>
    </row>
    <row r="1934" customFormat="false" ht="15" hidden="false" customHeight="true" outlineLevel="0" collapsed="false">
      <c r="A1934" s="6" t="s">
        <v>4640</v>
      </c>
      <c r="B1934" s="6" t="s">
        <v>8894</v>
      </c>
      <c r="C1934" s="6"/>
    </row>
    <row r="1935" customFormat="false" ht="15" hidden="false" customHeight="true" outlineLevel="0" collapsed="false">
      <c r="A1935" s="6" t="s">
        <v>4640</v>
      </c>
      <c r="B1935" s="6" t="s">
        <v>8895</v>
      </c>
      <c r="C1935" s="6"/>
    </row>
    <row r="1936" customFormat="false" ht="15" hidden="false" customHeight="true" outlineLevel="0" collapsed="false">
      <c r="A1936" s="6" t="s">
        <v>4640</v>
      </c>
      <c r="B1936" s="6" t="s">
        <v>8896</v>
      </c>
      <c r="C1936" s="6"/>
    </row>
    <row r="1937" customFormat="false" ht="15" hidden="false" customHeight="true" outlineLevel="0" collapsed="false">
      <c r="A1937" s="6" t="s">
        <v>4640</v>
      </c>
      <c r="B1937" s="6" t="s">
        <v>8897</v>
      </c>
      <c r="C1937" s="6"/>
    </row>
    <row r="1938" customFormat="false" ht="15" hidden="false" customHeight="true" outlineLevel="0" collapsed="false">
      <c r="A1938" s="6" t="s">
        <v>4640</v>
      </c>
      <c r="B1938" s="6" t="s">
        <v>8898</v>
      </c>
      <c r="C1938" s="6"/>
    </row>
    <row r="1939" customFormat="false" ht="15" hidden="false" customHeight="true" outlineLevel="0" collapsed="false">
      <c r="A1939" s="6" t="s">
        <v>333</v>
      </c>
      <c r="B1939" s="6" t="s">
        <v>333</v>
      </c>
      <c r="C1939" s="6" t="s">
        <v>8013</v>
      </c>
    </row>
    <row r="1940" customFormat="false" ht="15" hidden="false" customHeight="true" outlineLevel="0" collapsed="false">
      <c r="A1940" s="6" t="s">
        <v>333</v>
      </c>
      <c r="B1940" s="6" t="s">
        <v>8883</v>
      </c>
      <c r="C1940" s="6"/>
    </row>
    <row r="1941" customFormat="false" ht="15" hidden="false" customHeight="true" outlineLevel="0" collapsed="false">
      <c r="A1941" s="6" t="s">
        <v>333</v>
      </c>
      <c r="B1941" s="6" t="s">
        <v>8884</v>
      </c>
      <c r="C1941" s="6"/>
    </row>
    <row r="1942" customFormat="false" ht="15" hidden="false" customHeight="true" outlineLevel="0" collapsed="false">
      <c r="A1942" s="6" t="s">
        <v>333</v>
      </c>
      <c r="B1942" s="6" t="s">
        <v>8885</v>
      </c>
      <c r="C1942" s="6"/>
    </row>
    <row r="1943" customFormat="false" ht="15" hidden="false" customHeight="true" outlineLevel="0" collapsed="false">
      <c r="A1943" s="6" t="s">
        <v>333</v>
      </c>
      <c r="B1943" s="6" t="s">
        <v>8886</v>
      </c>
      <c r="C1943" s="6"/>
    </row>
    <row r="1944" customFormat="false" ht="15" hidden="false" customHeight="true" outlineLevel="0" collapsed="false">
      <c r="A1944" s="6" t="s">
        <v>333</v>
      </c>
      <c r="B1944" s="6" t="s">
        <v>8887</v>
      </c>
      <c r="C1944" s="6"/>
    </row>
    <row r="1945" customFormat="false" ht="15" hidden="false" customHeight="true" outlineLevel="0" collapsed="false">
      <c r="A1945" s="6" t="s">
        <v>333</v>
      </c>
      <c r="B1945" s="6" t="s">
        <v>8888</v>
      </c>
      <c r="C1945" s="6"/>
    </row>
    <row r="1946" customFormat="false" ht="15" hidden="false" customHeight="true" outlineLevel="0" collapsed="false">
      <c r="A1946" s="6" t="s">
        <v>333</v>
      </c>
      <c r="B1946" s="6" t="s">
        <v>8889</v>
      </c>
      <c r="C1946" s="6"/>
    </row>
    <row r="1947" customFormat="false" ht="15" hidden="false" customHeight="true" outlineLevel="0" collapsed="false">
      <c r="A1947" s="6" t="s">
        <v>333</v>
      </c>
      <c r="B1947" s="6" t="s">
        <v>8890</v>
      </c>
      <c r="C1947" s="6"/>
    </row>
    <row r="1948" customFormat="false" ht="15" hidden="false" customHeight="true" outlineLevel="0" collapsed="false">
      <c r="A1948" s="6" t="s">
        <v>333</v>
      </c>
      <c r="B1948" s="6" t="s">
        <v>8891</v>
      </c>
      <c r="C1948" s="6"/>
    </row>
    <row r="1949" customFormat="false" ht="15" hidden="false" customHeight="true" outlineLevel="0" collapsed="false">
      <c r="A1949" s="6" t="s">
        <v>4651</v>
      </c>
      <c r="B1949" s="6" t="s">
        <v>4651</v>
      </c>
      <c r="C1949" s="6" t="s">
        <v>8013</v>
      </c>
    </row>
    <row r="1950" customFormat="false" ht="15" hidden="false" customHeight="true" outlineLevel="0" collapsed="false">
      <c r="A1950" s="6" t="s">
        <v>4651</v>
      </c>
      <c r="B1950" s="6" t="s">
        <v>254</v>
      </c>
      <c r="C1950" s="6" t="s">
        <v>8013</v>
      </c>
    </row>
    <row r="1951" customFormat="false" ht="15" hidden="false" customHeight="true" outlineLevel="0" collapsed="false">
      <c r="A1951" s="6" t="s">
        <v>4651</v>
      </c>
      <c r="B1951" s="6" t="s">
        <v>7478</v>
      </c>
      <c r="C1951" s="6" t="s">
        <v>8013</v>
      </c>
    </row>
    <row r="1952" customFormat="false" ht="15" hidden="false" customHeight="true" outlineLevel="0" collapsed="false">
      <c r="A1952" s="6" t="s">
        <v>4651</v>
      </c>
      <c r="B1952" s="6" t="s">
        <v>7477</v>
      </c>
      <c r="C1952" s="6" t="s">
        <v>8013</v>
      </c>
    </row>
    <row r="1953" customFormat="false" ht="15" hidden="false" customHeight="true" outlineLevel="0" collapsed="false">
      <c r="A1953" s="6" t="s">
        <v>4651</v>
      </c>
      <c r="B1953" s="6" t="s">
        <v>8899</v>
      </c>
      <c r="C1953" s="6"/>
    </row>
    <row r="1954" customFormat="false" ht="15" hidden="false" customHeight="true" outlineLevel="0" collapsed="false">
      <c r="A1954" s="6" t="s">
        <v>4651</v>
      </c>
      <c r="B1954" s="6" t="s">
        <v>4655</v>
      </c>
      <c r="C1954" s="6" t="s">
        <v>8013</v>
      </c>
    </row>
    <row r="1955" customFormat="false" ht="15" hidden="false" customHeight="true" outlineLevel="0" collapsed="false">
      <c r="A1955" s="6" t="s">
        <v>4651</v>
      </c>
      <c r="B1955" s="6" t="s">
        <v>7480</v>
      </c>
      <c r="C1955" s="6" t="s">
        <v>8013</v>
      </c>
    </row>
    <row r="1956" customFormat="false" ht="15" hidden="false" customHeight="true" outlineLevel="0" collapsed="false">
      <c r="A1956" s="6" t="s">
        <v>4651</v>
      </c>
      <c r="B1956" s="6" t="s">
        <v>7481</v>
      </c>
      <c r="C1956" s="6" t="s">
        <v>8013</v>
      </c>
    </row>
    <row r="1957" customFormat="false" ht="15" hidden="false" customHeight="true" outlineLevel="0" collapsed="false">
      <c r="A1957" s="6" t="s">
        <v>4651</v>
      </c>
      <c r="B1957" s="6" t="s">
        <v>8900</v>
      </c>
      <c r="C1957" s="6"/>
    </row>
    <row r="1958" customFormat="false" ht="15" hidden="false" customHeight="true" outlineLevel="0" collapsed="false">
      <c r="A1958" s="6" t="s">
        <v>4651</v>
      </c>
      <c r="B1958" s="6" t="s">
        <v>7479</v>
      </c>
      <c r="C1958" s="6" t="s">
        <v>8013</v>
      </c>
    </row>
    <row r="1959" customFormat="false" ht="15" hidden="false" customHeight="true" outlineLevel="0" collapsed="false">
      <c r="A1959" s="6" t="s">
        <v>4663</v>
      </c>
      <c r="B1959" s="6" t="s">
        <v>4663</v>
      </c>
      <c r="C1959" s="6" t="s">
        <v>8013</v>
      </c>
    </row>
    <row r="1960" customFormat="false" ht="15" hidden="false" customHeight="true" outlineLevel="0" collapsed="false">
      <c r="A1960" s="6" t="s">
        <v>4663</v>
      </c>
      <c r="B1960" s="6" t="s">
        <v>7486</v>
      </c>
      <c r="C1960" s="6" t="s">
        <v>8013</v>
      </c>
    </row>
    <row r="1961" customFormat="false" ht="15" hidden="false" customHeight="true" outlineLevel="0" collapsed="false">
      <c r="A1961" s="6" t="s">
        <v>4663</v>
      </c>
      <c r="B1961" s="6" t="s">
        <v>7487</v>
      </c>
      <c r="C1961" s="6" t="s">
        <v>8013</v>
      </c>
    </row>
    <row r="1962" customFormat="false" ht="15" hidden="false" customHeight="true" outlineLevel="0" collapsed="false">
      <c r="A1962" s="6" t="s">
        <v>4663</v>
      </c>
      <c r="B1962" s="6" t="s">
        <v>4667</v>
      </c>
      <c r="C1962" s="6" t="s">
        <v>8013</v>
      </c>
    </row>
    <row r="1963" customFormat="false" ht="15" hidden="false" customHeight="true" outlineLevel="0" collapsed="false">
      <c r="A1963" s="6" t="s">
        <v>4663</v>
      </c>
      <c r="B1963" s="6" t="s">
        <v>8901</v>
      </c>
      <c r="C1963" s="6"/>
    </row>
    <row r="1964" customFormat="false" ht="15" hidden="false" customHeight="true" outlineLevel="0" collapsed="false">
      <c r="A1964" s="6" t="s">
        <v>4663</v>
      </c>
      <c r="B1964" s="6" t="s">
        <v>7483</v>
      </c>
      <c r="C1964" s="6" t="s">
        <v>8013</v>
      </c>
    </row>
    <row r="1965" customFormat="false" ht="15" hidden="false" customHeight="true" outlineLevel="0" collapsed="false">
      <c r="A1965" s="6" t="s">
        <v>4663</v>
      </c>
      <c r="B1965" s="6" t="s">
        <v>7482</v>
      </c>
      <c r="C1965" s="6" t="s">
        <v>8013</v>
      </c>
    </row>
    <row r="1966" customFormat="false" ht="15" hidden="false" customHeight="true" outlineLevel="0" collapsed="false">
      <c r="A1966" s="6" t="s">
        <v>4663</v>
      </c>
      <c r="B1966" s="6" t="s">
        <v>7484</v>
      </c>
      <c r="C1966" s="6" t="s">
        <v>8013</v>
      </c>
    </row>
    <row r="1967" customFormat="false" ht="15" hidden="false" customHeight="true" outlineLevel="0" collapsed="false">
      <c r="A1967" s="6" t="s">
        <v>4663</v>
      </c>
      <c r="B1967" s="6" t="s">
        <v>7485</v>
      </c>
      <c r="C1967" s="6" t="s">
        <v>8013</v>
      </c>
    </row>
    <row r="1968" customFormat="false" ht="15" hidden="false" customHeight="true" outlineLevel="0" collapsed="false">
      <c r="A1968" s="6" t="s">
        <v>4663</v>
      </c>
      <c r="B1968" s="6" t="s">
        <v>8902</v>
      </c>
      <c r="C1968" s="6"/>
    </row>
    <row r="1969" customFormat="false" ht="15" hidden="false" customHeight="true" outlineLevel="0" collapsed="false">
      <c r="A1969" s="6" t="s">
        <v>327</v>
      </c>
      <c r="B1969" s="6" t="s">
        <v>327</v>
      </c>
      <c r="C1969" s="6" t="s">
        <v>8013</v>
      </c>
    </row>
    <row r="1970" customFormat="false" ht="15" hidden="false" customHeight="true" outlineLevel="0" collapsed="false">
      <c r="A1970" s="6" t="s">
        <v>327</v>
      </c>
      <c r="B1970" s="6" t="s">
        <v>8903</v>
      </c>
      <c r="C1970" s="6"/>
    </row>
    <row r="1971" customFormat="false" ht="15" hidden="false" customHeight="true" outlineLevel="0" collapsed="false">
      <c r="A1971" s="6" t="s">
        <v>327</v>
      </c>
      <c r="B1971" s="6" t="s">
        <v>8904</v>
      </c>
      <c r="C1971" s="6"/>
    </row>
    <row r="1972" customFormat="false" ht="15" hidden="false" customHeight="true" outlineLevel="0" collapsed="false">
      <c r="A1972" s="6" t="s">
        <v>327</v>
      </c>
      <c r="B1972" s="6" t="s">
        <v>8905</v>
      </c>
      <c r="C1972" s="6"/>
    </row>
    <row r="1973" customFormat="false" ht="15" hidden="false" customHeight="true" outlineLevel="0" collapsed="false">
      <c r="A1973" s="6" t="s">
        <v>327</v>
      </c>
      <c r="B1973" s="6" t="s">
        <v>8906</v>
      </c>
      <c r="C1973" s="6"/>
    </row>
    <row r="1974" customFormat="false" ht="15" hidden="false" customHeight="true" outlineLevel="0" collapsed="false">
      <c r="A1974" s="6" t="s">
        <v>327</v>
      </c>
      <c r="B1974" s="6" t="s">
        <v>8907</v>
      </c>
      <c r="C1974" s="6"/>
    </row>
    <row r="1975" customFormat="false" ht="15" hidden="false" customHeight="true" outlineLevel="0" collapsed="false">
      <c r="A1975" s="6" t="s">
        <v>327</v>
      </c>
      <c r="B1975" s="6" t="s">
        <v>8908</v>
      </c>
      <c r="C1975" s="6"/>
    </row>
    <row r="1976" customFormat="false" ht="15" hidden="false" customHeight="true" outlineLevel="0" collapsed="false">
      <c r="A1976" s="6" t="s">
        <v>327</v>
      </c>
      <c r="B1976" s="6" t="s">
        <v>8909</v>
      </c>
      <c r="C1976" s="6"/>
    </row>
    <row r="1977" customFormat="false" ht="15" hidden="false" customHeight="true" outlineLevel="0" collapsed="false">
      <c r="A1977" s="6" t="s">
        <v>327</v>
      </c>
      <c r="B1977" s="6" t="s">
        <v>8910</v>
      </c>
      <c r="C1977" s="6"/>
    </row>
    <row r="1978" customFormat="false" ht="15" hidden="false" customHeight="true" outlineLevel="0" collapsed="false">
      <c r="A1978" s="6" t="s">
        <v>327</v>
      </c>
      <c r="B1978" s="6" t="s">
        <v>8911</v>
      </c>
      <c r="C1978" s="6"/>
    </row>
    <row r="1979" customFormat="false" ht="15" hidden="false" customHeight="true" outlineLevel="0" collapsed="false">
      <c r="A1979" s="6" t="s">
        <v>4748</v>
      </c>
      <c r="B1979" s="6" t="s">
        <v>4748</v>
      </c>
      <c r="C1979" s="6" t="s">
        <v>8013</v>
      </c>
    </row>
    <row r="1980" customFormat="false" ht="15" hidden="false" customHeight="true" outlineLevel="0" collapsed="false">
      <c r="A1980" s="6" t="s">
        <v>4748</v>
      </c>
      <c r="B1980" s="6" t="s">
        <v>8912</v>
      </c>
      <c r="C1980" s="6"/>
    </row>
    <row r="1981" customFormat="false" ht="15" hidden="false" customHeight="true" outlineLevel="0" collapsed="false">
      <c r="A1981" s="6" t="s">
        <v>4748</v>
      </c>
      <c r="B1981" s="6" t="s">
        <v>7489</v>
      </c>
      <c r="C1981" s="6" t="s">
        <v>8013</v>
      </c>
    </row>
    <row r="1982" customFormat="false" ht="15" hidden="false" customHeight="true" outlineLevel="0" collapsed="false">
      <c r="A1982" s="6" t="s">
        <v>4748</v>
      </c>
      <c r="B1982" s="6" t="s">
        <v>8913</v>
      </c>
      <c r="C1982" s="6"/>
    </row>
    <row r="1983" customFormat="false" ht="15" hidden="false" customHeight="true" outlineLevel="0" collapsed="false">
      <c r="A1983" s="6" t="s">
        <v>4748</v>
      </c>
      <c r="B1983" s="6" t="s">
        <v>7490</v>
      </c>
      <c r="C1983" s="6" t="s">
        <v>8013</v>
      </c>
    </row>
    <row r="1984" customFormat="false" ht="15" hidden="false" customHeight="true" outlineLevel="0" collapsed="false">
      <c r="A1984" s="6" t="s">
        <v>4748</v>
      </c>
      <c r="B1984" s="6" t="s">
        <v>8914</v>
      </c>
      <c r="C1984" s="6"/>
    </row>
    <row r="1985" customFormat="false" ht="15" hidden="false" customHeight="true" outlineLevel="0" collapsed="false">
      <c r="A1985" s="6" t="s">
        <v>4748</v>
      </c>
      <c r="B1985" s="6" t="s">
        <v>8915</v>
      </c>
      <c r="C1985" s="6"/>
    </row>
    <row r="1986" customFormat="false" ht="15" hidden="false" customHeight="true" outlineLevel="0" collapsed="false">
      <c r="A1986" s="6" t="s">
        <v>4748</v>
      </c>
      <c r="B1986" s="6" t="s">
        <v>7492</v>
      </c>
      <c r="C1986" s="6" t="s">
        <v>8013</v>
      </c>
    </row>
    <row r="1987" customFormat="false" ht="15" hidden="false" customHeight="true" outlineLevel="0" collapsed="false">
      <c r="A1987" s="6" t="s">
        <v>4748</v>
      </c>
      <c r="B1987" s="6" t="s">
        <v>4751</v>
      </c>
      <c r="C1987" s="6" t="s">
        <v>8013</v>
      </c>
    </row>
    <row r="1988" customFormat="false" ht="15" hidden="false" customHeight="true" outlineLevel="0" collapsed="false">
      <c r="A1988" s="6" t="s">
        <v>4748</v>
      </c>
      <c r="B1988" s="6" t="s">
        <v>7491</v>
      </c>
      <c r="C1988" s="6" t="s">
        <v>8013</v>
      </c>
    </row>
    <row r="1989" customFormat="false" ht="15" hidden="false" customHeight="true" outlineLevel="0" collapsed="false">
      <c r="A1989" s="6" t="s">
        <v>4727</v>
      </c>
      <c r="B1989" s="6" t="s">
        <v>4727</v>
      </c>
      <c r="C1989" s="6" t="s">
        <v>8013</v>
      </c>
    </row>
    <row r="1990" customFormat="false" ht="15" hidden="false" customHeight="true" outlineLevel="0" collapsed="false">
      <c r="A1990" s="6" t="s">
        <v>4727</v>
      </c>
      <c r="B1990" s="6" t="s">
        <v>7496</v>
      </c>
      <c r="C1990" s="6" t="s">
        <v>8013</v>
      </c>
    </row>
    <row r="1991" customFormat="false" ht="15" hidden="false" customHeight="true" outlineLevel="0" collapsed="false">
      <c r="A1991" s="6" t="s">
        <v>4727</v>
      </c>
      <c r="B1991" s="6" t="s">
        <v>7495</v>
      </c>
      <c r="C1991" s="6" t="s">
        <v>8013</v>
      </c>
    </row>
    <row r="1992" customFormat="false" ht="15" hidden="false" customHeight="true" outlineLevel="0" collapsed="false">
      <c r="A1992" s="6" t="s">
        <v>4727</v>
      </c>
      <c r="B1992" s="6" t="s">
        <v>8916</v>
      </c>
      <c r="C1992" s="6"/>
    </row>
    <row r="1993" customFormat="false" ht="15" hidden="false" customHeight="true" outlineLevel="0" collapsed="false">
      <c r="A1993" s="6" t="s">
        <v>4727</v>
      </c>
      <c r="B1993" s="6" t="s">
        <v>8917</v>
      </c>
      <c r="C1993" s="6"/>
    </row>
    <row r="1994" customFormat="false" ht="15" hidden="false" customHeight="true" outlineLevel="0" collapsed="false">
      <c r="A1994" s="6" t="s">
        <v>4727</v>
      </c>
      <c r="B1994" s="6" t="s">
        <v>7493</v>
      </c>
      <c r="C1994" s="6" t="s">
        <v>8013</v>
      </c>
    </row>
    <row r="1995" customFormat="false" ht="15" hidden="false" customHeight="true" outlineLevel="0" collapsed="false">
      <c r="A1995" s="6" t="s">
        <v>4727</v>
      </c>
      <c r="B1995" s="6" t="s">
        <v>8918</v>
      </c>
      <c r="C1995" s="6"/>
    </row>
    <row r="1996" customFormat="false" ht="15" hidden="false" customHeight="true" outlineLevel="0" collapsed="false">
      <c r="A1996" s="6" t="s">
        <v>4727</v>
      </c>
      <c r="B1996" s="6" t="s">
        <v>8919</v>
      </c>
      <c r="C1996" s="6"/>
    </row>
    <row r="1997" customFormat="false" ht="15" hidden="false" customHeight="true" outlineLevel="0" collapsed="false">
      <c r="A1997" s="6" t="s">
        <v>4727</v>
      </c>
      <c r="B1997" s="6" t="s">
        <v>8920</v>
      </c>
      <c r="C1997" s="6"/>
    </row>
    <row r="1998" customFormat="false" ht="15" hidden="false" customHeight="true" outlineLevel="0" collapsed="false">
      <c r="A1998" s="6" t="s">
        <v>4727</v>
      </c>
      <c r="B1998" s="6" t="s">
        <v>8921</v>
      </c>
      <c r="C1998" s="6"/>
    </row>
    <row r="1999" customFormat="false" ht="15" hidden="false" customHeight="true" outlineLevel="0" collapsed="false">
      <c r="A1999" s="6" t="s">
        <v>4800</v>
      </c>
      <c r="B1999" s="6" t="s">
        <v>7499</v>
      </c>
      <c r="C1999" s="6" t="s">
        <v>8013</v>
      </c>
    </row>
    <row r="2000" customFormat="false" ht="15" hidden="false" customHeight="true" outlineLevel="0" collapsed="false">
      <c r="A2000" s="6" t="s">
        <v>4800</v>
      </c>
      <c r="B2000" s="6" t="s">
        <v>8922</v>
      </c>
      <c r="C2000" s="6"/>
    </row>
    <row r="2001" customFormat="false" ht="15" hidden="false" customHeight="true" outlineLevel="0" collapsed="false">
      <c r="A2001" s="6" t="s">
        <v>4800</v>
      </c>
      <c r="B2001" s="6" t="s">
        <v>7497</v>
      </c>
      <c r="C2001" s="6" t="s">
        <v>8013</v>
      </c>
    </row>
    <row r="2002" customFormat="false" ht="15" hidden="false" customHeight="true" outlineLevel="0" collapsed="false">
      <c r="A2002" s="6" t="s">
        <v>4800</v>
      </c>
      <c r="B2002" s="6" t="s">
        <v>7498</v>
      </c>
      <c r="C2002" s="6" t="s">
        <v>8013</v>
      </c>
    </row>
    <row r="2003" customFormat="false" ht="15" hidden="false" customHeight="true" outlineLevel="0" collapsed="false">
      <c r="A2003" s="6" t="s">
        <v>4800</v>
      </c>
      <c r="B2003" s="6" t="s">
        <v>7488</v>
      </c>
      <c r="C2003" s="6" t="s">
        <v>8013</v>
      </c>
    </row>
    <row r="2004" customFormat="false" ht="15" hidden="false" customHeight="true" outlineLevel="0" collapsed="false">
      <c r="A2004" s="6" t="s">
        <v>4800</v>
      </c>
      <c r="B2004" s="6" t="s">
        <v>7494</v>
      </c>
      <c r="C2004" s="6" t="s">
        <v>8013</v>
      </c>
    </row>
    <row r="2005" customFormat="false" ht="15" hidden="false" customHeight="true" outlineLevel="0" collapsed="false">
      <c r="A2005" s="6" t="s">
        <v>4800</v>
      </c>
      <c r="B2005" s="6" t="s">
        <v>8923</v>
      </c>
      <c r="C2005" s="6"/>
    </row>
    <row r="2006" customFormat="false" ht="15" hidden="false" customHeight="true" outlineLevel="0" collapsed="false">
      <c r="A2006" s="6" t="s">
        <v>4800</v>
      </c>
      <c r="B2006" s="6" t="s">
        <v>7641</v>
      </c>
      <c r="C2006" s="6" t="s">
        <v>8013</v>
      </c>
    </row>
    <row r="2007" customFormat="false" ht="15" hidden="false" customHeight="true" outlineLevel="0" collapsed="false">
      <c r="A2007" s="6" t="s">
        <v>4800</v>
      </c>
      <c r="B2007" s="6" t="s">
        <v>8924</v>
      </c>
      <c r="C2007" s="6"/>
    </row>
    <row r="2008" customFormat="false" ht="15" hidden="false" customHeight="true" outlineLevel="0" collapsed="false">
      <c r="A2008" s="6" t="s">
        <v>4800</v>
      </c>
      <c r="B2008" s="6" t="s">
        <v>8925</v>
      </c>
      <c r="C2008" s="6"/>
    </row>
    <row r="2009" customFormat="false" ht="15" hidden="false" customHeight="true" outlineLevel="0" collapsed="false">
      <c r="A2009" s="6" t="s">
        <v>4685</v>
      </c>
      <c r="B2009" s="6" t="s">
        <v>4685</v>
      </c>
      <c r="C2009" s="6" t="s">
        <v>8013</v>
      </c>
    </row>
    <row r="2010" customFormat="false" ht="15" hidden="false" customHeight="true" outlineLevel="0" collapsed="false">
      <c r="A2010" s="6" t="s">
        <v>4685</v>
      </c>
      <c r="B2010" s="6" t="s">
        <v>8926</v>
      </c>
      <c r="C2010" s="6"/>
    </row>
    <row r="2011" customFormat="false" ht="15" hidden="false" customHeight="true" outlineLevel="0" collapsed="false">
      <c r="A2011" s="6" t="s">
        <v>4685</v>
      </c>
      <c r="B2011" s="6" t="s">
        <v>4689</v>
      </c>
      <c r="C2011" s="6" t="s">
        <v>8013</v>
      </c>
    </row>
    <row r="2012" customFormat="false" ht="15" hidden="false" customHeight="true" outlineLevel="0" collapsed="false">
      <c r="A2012" s="6" t="s">
        <v>4685</v>
      </c>
      <c r="B2012" s="6" t="s">
        <v>7502</v>
      </c>
      <c r="C2012" s="6" t="s">
        <v>8013</v>
      </c>
    </row>
    <row r="2013" customFormat="false" ht="15" hidden="false" customHeight="true" outlineLevel="0" collapsed="false">
      <c r="A2013" s="6" t="s">
        <v>4685</v>
      </c>
      <c r="B2013" s="6" t="s">
        <v>263</v>
      </c>
      <c r="C2013" s="6" t="s">
        <v>8013</v>
      </c>
    </row>
    <row r="2014" customFormat="false" ht="15" hidden="false" customHeight="true" outlineLevel="0" collapsed="false">
      <c r="A2014" s="6" t="s">
        <v>4685</v>
      </c>
      <c r="B2014" s="6" t="s">
        <v>7500</v>
      </c>
      <c r="C2014" s="6" t="s">
        <v>8013</v>
      </c>
    </row>
    <row r="2015" customFormat="false" ht="15" hidden="false" customHeight="true" outlineLevel="0" collapsed="false">
      <c r="A2015" s="6" t="s">
        <v>4685</v>
      </c>
      <c r="B2015" s="6" t="s">
        <v>7501</v>
      </c>
      <c r="C2015" s="6" t="s">
        <v>8013</v>
      </c>
    </row>
    <row r="2016" customFormat="false" ht="15" hidden="false" customHeight="true" outlineLevel="0" collapsed="false">
      <c r="A2016" s="6" t="s">
        <v>4685</v>
      </c>
      <c r="B2016" s="6" t="s">
        <v>8927</v>
      </c>
      <c r="C2016" s="6"/>
    </row>
    <row r="2017" customFormat="false" ht="15" hidden="false" customHeight="true" outlineLevel="0" collapsed="false">
      <c r="A2017" s="6" t="s">
        <v>4685</v>
      </c>
      <c r="B2017" s="6" t="s">
        <v>7503</v>
      </c>
      <c r="C2017" s="6" t="s">
        <v>8013</v>
      </c>
    </row>
    <row r="2018" customFormat="false" ht="15" hidden="false" customHeight="true" outlineLevel="0" collapsed="false">
      <c r="A2018" s="6" t="s">
        <v>4685</v>
      </c>
      <c r="B2018" s="6" t="s">
        <v>4688</v>
      </c>
      <c r="C2018" s="6" t="s">
        <v>8013</v>
      </c>
    </row>
    <row r="2019" customFormat="false" ht="15" hidden="false" customHeight="true" outlineLevel="0" collapsed="false">
      <c r="A2019" s="6" t="s">
        <v>4759</v>
      </c>
      <c r="B2019" s="6" t="s">
        <v>7504</v>
      </c>
      <c r="C2019" s="6" t="s">
        <v>8013</v>
      </c>
    </row>
    <row r="2020" customFormat="false" ht="15" hidden="false" customHeight="true" outlineLevel="0" collapsed="false">
      <c r="A2020" s="6" t="s">
        <v>4759</v>
      </c>
      <c r="B2020" s="6" t="s">
        <v>7505</v>
      </c>
      <c r="C2020" s="6" t="s">
        <v>8013</v>
      </c>
    </row>
    <row r="2021" customFormat="false" ht="15" hidden="false" customHeight="true" outlineLevel="0" collapsed="false">
      <c r="A2021" s="6" t="s">
        <v>4759</v>
      </c>
      <c r="B2021" s="6" t="s">
        <v>8928</v>
      </c>
      <c r="C2021" s="6"/>
    </row>
    <row r="2022" customFormat="false" ht="15" hidden="false" customHeight="true" outlineLevel="0" collapsed="false">
      <c r="A2022" s="6" t="s">
        <v>4759</v>
      </c>
      <c r="B2022" s="6" t="s">
        <v>8929</v>
      </c>
      <c r="C2022" s="6"/>
    </row>
    <row r="2023" customFormat="false" ht="15" hidden="false" customHeight="true" outlineLevel="0" collapsed="false">
      <c r="A2023" s="6" t="s">
        <v>4759</v>
      </c>
      <c r="B2023" s="6" t="s">
        <v>8930</v>
      </c>
      <c r="C2023" s="6"/>
    </row>
    <row r="2024" customFormat="false" ht="15" hidden="false" customHeight="true" outlineLevel="0" collapsed="false">
      <c r="A2024" s="6" t="s">
        <v>4759</v>
      </c>
      <c r="B2024" s="6" t="s">
        <v>8931</v>
      </c>
      <c r="C2024" s="6"/>
    </row>
    <row r="2025" customFormat="false" ht="15" hidden="false" customHeight="true" outlineLevel="0" collapsed="false">
      <c r="A2025" s="6" t="s">
        <v>4759</v>
      </c>
      <c r="B2025" s="6" t="s">
        <v>8932</v>
      </c>
      <c r="C2025" s="6"/>
    </row>
    <row r="2026" customFormat="false" ht="15" hidden="false" customHeight="true" outlineLevel="0" collapsed="false">
      <c r="A2026" s="6" t="s">
        <v>4759</v>
      </c>
      <c r="B2026" s="6" t="s">
        <v>8933</v>
      </c>
      <c r="C2026" s="6"/>
    </row>
    <row r="2027" customFormat="false" ht="15" hidden="false" customHeight="true" outlineLevel="0" collapsed="false">
      <c r="A2027" s="6" t="s">
        <v>4759</v>
      </c>
      <c r="B2027" s="6" t="s">
        <v>8934</v>
      </c>
      <c r="C2027" s="6"/>
    </row>
    <row r="2028" customFormat="false" ht="15" hidden="false" customHeight="true" outlineLevel="0" collapsed="false">
      <c r="A2028" s="6" t="s">
        <v>4759</v>
      </c>
      <c r="B2028" s="6" t="s">
        <v>8935</v>
      </c>
      <c r="C2028" s="6"/>
    </row>
    <row r="2029" customFormat="false" ht="15" hidden="false" customHeight="true" outlineLevel="0" collapsed="false">
      <c r="A2029" s="6" t="s">
        <v>4696</v>
      </c>
      <c r="B2029" s="6" t="s">
        <v>4696</v>
      </c>
      <c r="C2029" s="6" t="s">
        <v>8013</v>
      </c>
    </row>
    <row r="2030" customFormat="false" ht="15" hidden="false" customHeight="true" outlineLevel="0" collapsed="false">
      <c r="A2030" s="6" t="s">
        <v>4696</v>
      </c>
      <c r="B2030" s="6" t="s">
        <v>8936</v>
      </c>
      <c r="C2030" s="6"/>
    </row>
    <row r="2031" customFormat="false" ht="15" hidden="false" customHeight="true" outlineLevel="0" collapsed="false">
      <c r="A2031" s="6" t="s">
        <v>4696</v>
      </c>
      <c r="B2031" s="6" t="s">
        <v>8937</v>
      </c>
      <c r="C2031" s="6"/>
    </row>
    <row r="2032" customFormat="false" ht="15" hidden="false" customHeight="true" outlineLevel="0" collapsed="false">
      <c r="A2032" s="6" t="s">
        <v>4696</v>
      </c>
      <c r="B2032" s="6" t="s">
        <v>8938</v>
      </c>
      <c r="C2032" s="6"/>
    </row>
    <row r="2033" customFormat="false" ht="15" hidden="false" customHeight="true" outlineLevel="0" collapsed="false">
      <c r="A2033" s="6" t="s">
        <v>4696</v>
      </c>
      <c r="B2033" s="6" t="s">
        <v>8939</v>
      </c>
      <c r="C2033" s="6"/>
    </row>
    <row r="2034" customFormat="false" ht="15" hidden="false" customHeight="true" outlineLevel="0" collapsed="false">
      <c r="A2034" s="6" t="s">
        <v>4696</v>
      </c>
      <c r="B2034" s="6" t="s">
        <v>8940</v>
      </c>
      <c r="C2034" s="6"/>
    </row>
    <row r="2035" customFormat="false" ht="15" hidden="false" customHeight="true" outlineLevel="0" collapsed="false">
      <c r="A2035" s="6" t="s">
        <v>4696</v>
      </c>
      <c r="B2035" s="6" t="s">
        <v>8941</v>
      </c>
      <c r="C2035" s="6"/>
    </row>
    <row r="2036" customFormat="false" ht="15" hidden="false" customHeight="true" outlineLevel="0" collapsed="false">
      <c r="A2036" s="6" t="s">
        <v>4696</v>
      </c>
      <c r="B2036" s="6" t="s">
        <v>8942</v>
      </c>
      <c r="C2036" s="6"/>
    </row>
    <row r="2037" customFormat="false" ht="15" hidden="false" customHeight="true" outlineLevel="0" collapsed="false">
      <c r="A2037" s="6" t="s">
        <v>4770</v>
      </c>
      <c r="B2037" s="6" t="s">
        <v>4770</v>
      </c>
      <c r="C2037" s="6" t="s">
        <v>8013</v>
      </c>
    </row>
    <row r="2038" customFormat="false" ht="15" hidden="false" customHeight="true" outlineLevel="0" collapsed="false">
      <c r="A2038" s="6" t="s">
        <v>4770</v>
      </c>
      <c r="B2038" s="6" t="s">
        <v>8943</v>
      </c>
      <c r="C2038" s="6"/>
    </row>
    <row r="2039" customFormat="false" ht="15" hidden="false" customHeight="true" outlineLevel="0" collapsed="false">
      <c r="A2039" s="6" t="s">
        <v>4770</v>
      </c>
      <c r="B2039" s="6" t="s">
        <v>8944</v>
      </c>
      <c r="C2039" s="6"/>
    </row>
    <row r="2040" customFormat="false" ht="15" hidden="false" customHeight="true" outlineLevel="0" collapsed="false">
      <c r="A2040" s="6" t="s">
        <v>4770</v>
      </c>
      <c r="B2040" s="6" t="s">
        <v>8945</v>
      </c>
      <c r="C2040" s="6"/>
    </row>
    <row r="2041" customFormat="false" ht="15" hidden="false" customHeight="true" outlineLevel="0" collapsed="false">
      <c r="A2041" s="6" t="s">
        <v>4770</v>
      </c>
      <c r="B2041" s="6" t="s">
        <v>8946</v>
      </c>
      <c r="C2041" s="6"/>
    </row>
    <row r="2042" customFormat="false" ht="15" hidden="false" customHeight="true" outlineLevel="0" collapsed="false">
      <c r="A2042" s="6" t="s">
        <v>4770</v>
      </c>
      <c r="B2042" s="6" t="s">
        <v>8947</v>
      </c>
      <c r="C2042" s="6"/>
    </row>
    <row r="2043" customFormat="false" ht="15" hidden="false" customHeight="true" outlineLevel="0" collapsed="false">
      <c r="A2043" s="6" t="s">
        <v>4770</v>
      </c>
      <c r="B2043" s="6" t="s">
        <v>7507</v>
      </c>
      <c r="C2043" s="6" t="s">
        <v>8013</v>
      </c>
    </row>
    <row r="2044" customFormat="false" ht="15" hidden="false" customHeight="true" outlineLevel="0" collapsed="false">
      <c r="A2044" s="6" t="s">
        <v>4770</v>
      </c>
      <c r="B2044" s="6" t="s">
        <v>8948</v>
      </c>
      <c r="C2044" s="6"/>
    </row>
    <row r="2045" customFormat="false" ht="15" hidden="false" customHeight="true" outlineLevel="0" collapsed="false">
      <c r="A2045" s="6" t="s">
        <v>4770</v>
      </c>
      <c r="B2045" s="6" t="s">
        <v>7506</v>
      </c>
      <c r="C2045" s="6" t="s">
        <v>8013</v>
      </c>
    </row>
    <row r="2046" customFormat="false" ht="15" hidden="false" customHeight="true" outlineLevel="0" collapsed="false">
      <c r="A2046" s="6" t="s">
        <v>4770</v>
      </c>
      <c r="B2046" s="6" t="s">
        <v>8949</v>
      </c>
      <c r="C2046" s="6"/>
    </row>
    <row r="2047" customFormat="false" ht="15" hidden="false" customHeight="true" outlineLevel="0" collapsed="false">
      <c r="A2047" s="6" t="s">
        <v>4706</v>
      </c>
      <c r="B2047" s="6" t="s">
        <v>8950</v>
      </c>
      <c r="C2047" s="6"/>
    </row>
    <row r="2048" customFormat="false" ht="15" hidden="false" customHeight="true" outlineLevel="0" collapsed="false">
      <c r="A2048" s="6" t="s">
        <v>4706</v>
      </c>
      <c r="B2048" s="6" t="s">
        <v>8951</v>
      </c>
      <c r="C2048" s="6"/>
    </row>
    <row r="2049" customFormat="false" ht="15" hidden="false" customHeight="true" outlineLevel="0" collapsed="false">
      <c r="A2049" s="6" t="s">
        <v>4706</v>
      </c>
      <c r="B2049" s="6" t="s">
        <v>8952</v>
      </c>
      <c r="C2049" s="6"/>
    </row>
    <row r="2050" customFormat="false" ht="15" hidden="false" customHeight="true" outlineLevel="0" collapsed="false">
      <c r="A2050" s="6" t="s">
        <v>4706</v>
      </c>
      <c r="B2050" s="6" t="s">
        <v>8953</v>
      </c>
      <c r="C2050" s="6"/>
    </row>
    <row r="2051" customFormat="false" ht="15" hidden="false" customHeight="true" outlineLevel="0" collapsed="false">
      <c r="A2051" s="6" t="s">
        <v>4706</v>
      </c>
      <c r="B2051" s="6" t="s">
        <v>8954</v>
      </c>
      <c r="C2051" s="6"/>
    </row>
    <row r="2052" customFormat="false" ht="15" hidden="false" customHeight="true" outlineLevel="0" collapsed="false">
      <c r="A2052" s="6" t="s">
        <v>4706</v>
      </c>
      <c r="B2052" s="6" t="s">
        <v>8955</v>
      </c>
      <c r="C2052" s="6"/>
    </row>
    <row r="2053" customFormat="false" ht="15" hidden="false" customHeight="true" outlineLevel="0" collapsed="false">
      <c r="A2053" s="6" t="s">
        <v>4706</v>
      </c>
      <c r="B2053" s="6" t="s">
        <v>4712</v>
      </c>
      <c r="C2053" s="6" t="s">
        <v>8013</v>
      </c>
    </row>
    <row r="2054" customFormat="false" ht="15" hidden="false" customHeight="true" outlineLevel="0" collapsed="false">
      <c r="A2054" s="6" t="s">
        <v>4706</v>
      </c>
      <c r="B2054" s="6" t="s">
        <v>8956</v>
      </c>
      <c r="C2054" s="6"/>
    </row>
    <row r="2055" customFormat="false" ht="15" hidden="false" customHeight="true" outlineLevel="0" collapsed="false">
      <c r="A2055" s="6" t="s">
        <v>4736</v>
      </c>
      <c r="B2055" s="6" t="s">
        <v>4736</v>
      </c>
      <c r="C2055" s="6" t="s">
        <v>8013</v>
      </c>
    </row>
    <row r="2056" customFormat="false" ht="15" hidden="false" customHeight="true" outlineLevel="0" collapsed="false">
      <c r="A2056" s="6" t="s">
        <v>4736</v>
      </c>
      <c r="B2056" s="6" t="s">
        <v>7508</v>
      </c>
      <c r="C2056" s="6" t="s">
        <v>8013</v>
      </c>
    </row>
    <row r="2057" customFormat="false" ht="15" hidden="false" customHeight="true" outlineLevel="0" collapsed="false">
      <c r="A2057" s="6" t="s">
        <v>4736</v>
      </c>
      <c r="B2057" s="6" t="s">
        <v>4740</v>
      </c>
      <c r="C2057" s="6" t="s">
        <v>8013</v>
      </c>
    </row>
    <row r="2058" customFormat="false" ht="15" hidden="false" customHeight="true" outlineLevel="0" collapsed="false">
      <c r="A2058" s="6" t="s">
        <v>4736</v>
      </c>
      <c r="B2058" s="6" t="s">
        <v>7512</v>
      </c>
      <c r="C2058" s="6" t="s">
        <v>8013</v>
      </c>
    </row>
    <row r="2059" customFormat="false" ht="15" hidden="false" customHeight="true" outlineLevel="0" collapsed="false">
      <c r="A2059" s="6" t="s">
        <v>4736</v>
      </c>
      <c r="B2059" s="6" t="s">
        <v>7510</v>
      </c>
      <c r="C2059" s="6" t="s">
        <v>8013</v>
      </c>
    </row>
    <row r="2060" customFormat="false" ht="15" hidden="false" customHeight="true" outlineLevel="0" collapsed="false">
      <c r="A2060" s="6" t="s">
        <v>4736</v>
      </c>
      <c r="B2060" s="6" t="s">
        <v>7509</v>
      </c>
      <c r="C2060" s="6" t="s">
        <v>8013</v>
      </c>
    </row>
    <row r="2061" customFormat="false" ht="15" hidden="false" customHeight="true" outlineLevel="0" collapsed="false">
      <c r="A2061" s="6" t="s">
        <v>4736</v>
      </c>
      <c r="B2061" s="6" t="s">
        <v>7511</v>
      </c>
      <c r="C2061" s="6" t="s">
        <v>8013</v>
      </c>
    </row>
    <row r="2062" customFormat="false" ht="15" hidden="false" customHeight="true" outlineLevel="0" collapsed="false">
      <c r="A2062" s="6" t="s">
        <v>4736</v>
      </c>
      <c r="B2062" s="6" t="s">
        <v>8957</v>
      </c>
      <c r="C2062" s="6"/>
    </row>
    <row r="2063" customFormat="false" ht="15" hidden="false" customHeight="true" outlineLevel="0" collapsed="false">
      <c r="A2063" s="6" t="s">
        <v>4736</v>
      </c>
      <c r="B2063" s="6" t="s">
        <v>7513</v>
      </c>
      <c r="C2063" s="6" t="s">
        <v>8013</v>
      </c>
    </row>
    <row r="2064" customFormat="false" ht="15" hidden="false" customHeight="true" outlineLevel="0" collapsed="false">
      <c r="A2064" s="6" t="s">
        <v>4736</v>
      </c>
      <c r="B2064" s="6" t="s">
        <v>8958</v>
      </c>
      <c r="C2064" s="6"/>
    </row>
    <row r="2065" customFormat="false" ht="15" hidden="false" customHeight="true" outlineLevel="0" collapsed="false">
      <c r="A2065" s="6" t="s">
        <v>4716</v>
      </c>
      <c r="B2065" s="6" t="s">
        <v>4716</v>
      </c>
      <c r="C2065" s="6" t="s">
        <v>8013</v>
      </c>
    </row>
    <row r="2066" customFormat="false" ht="15" hidden="false" customHeight="true" outlineLevel="0" collapsed="false">
      <c r="A2066" s="6" t="s">
        <v>4716</v>
      </c>
      <c r="B2066" s="6" t="s">
        <v>261</v>
      </c>
      <c r="C2066" s="6" t="s">
        <v>8013</v>
      </c>
    </row>
    <row r="2067" customFormat="false" ht="15" hidden="false" customHeight="true" outlineLevel="0" collapsed="false">
      <c r="A2067" s="6" t="s">
        <v>4716</v>
      </c>
      <c r="B2067" s="6" t="s">
        <v>257</v>
      </c>
      <c r="C2067" s="6" t="s">
        <v>8013</v>
      </c>
    </row>
    <row r="2068" customFormat="false" ht="15" hidden="false" customHeight="true" outlineLevel="0" collapsed="false">
      <c r="A2068" s="6" t="s">
        <v>4716</v>
      </c>
      <c r="B2068" s="6" t="s">
        <v>8959</v>
      </c>
      <c r="C2068" s="6"/>
    </row>
    <row r="2069" customFormat="false" ht="15" hidden="false" customHeight="true" outlineLevel="0" collapsed="false">
      <c r="A2069" s="6" t="s">
        <v>4716</v>
      </c>
      <c r="B2069" s="6" t="s">
        <v>7515</v>
      </c>
      <c r="C2069" s="6" t="s">
        <v>8013</v>
      </c>
    </row>
    <row r="2070" customFormat="false" ht="15" hidden="false" customHeight="true" outlineLevel="0" collapsed="false">
      <c r="A2070" s="6" t="s">
        <v>4716</v>
      </c>
      <c r="B2070" s="6" t="s">
        <v>7516</v>
      </c>
      <c r="C2070" s="6" t="s">
        <v>8013</v>
      </c>
    </row>
    <row r="2071" customFormat="false" ht="15" hidden="false" customHeight="true" outlineLevel="0" collapsed="false">
      <c r="A2071" s="6" t="s">
        <v>4716</v>
      </c>
      <c r="B2071" s="6" t="s">
        <v>4719</v>
      </c>
      <c r="C2071" s="6" t="s">
        <v>8013</v>
      </c>
    </row>
    <row r="2072" customFormat="false" ht="15" hidden="false" customHeight="true" outlineLevel="0" collapsed="false">
      <c r="A2072" s="6" t="s">
        <v>4716</v>
      </c>
      <c r="B2072" s="6" t="s">
        <v>7514</v>
      </c>
      <c r="C2072" s="6" t="s">
        <v>8013</v>
      </c>
    </row>
    <row r="2073" customFormat="false" ht="15" hidden="false" customHeight="true" outlineLevel="0" collapsed="false">
      <c r="A2073" s="6" t="s">
        <v>4716</v>
      </c>
      <c r="B2073" s="6" t="s">
        <v>8960</v>
      </c>
      <c r="C2073" s="6"/>
    </row>
    <row r="2074" customFormat="false" ht="15" hidden="false" customHeight="true" outlineLevel="0" collapsed="false">
      <c r="A2074" s="6" t="s">
        <v>4716</v>
      </c>
      <c r="B2074" s="6" t="s">
        <v>8961</v>
      </c>
      <c r="C2074" s="6"/>
    </row>
    <row r="2075" customFormat="false" ht="15" hidden="false" customHeight="true" outlineLevel="0" collapsed="false">
      <c r="A2075" s="6" t="s">
        <v>4780</v>
      </c>
      <c r="B2075" s="6" t="s">
        <v>4780</v>
      </c>
      <c r="C2075" s="6" t="s">
        <v>8013</v>
      </c>
    </row>
    <row r="2076" customFormat="false" ht="15" hidden="false" customHeight="true" outlineLevel="0" collapsed="false">
      <c r="A2076" s="6" t="s">
        <v>4780</v>
      </c>
      <c r="B2076" s="6" t="s">
        <v>7517</v>
      </c>
      <c r="C2076" s="6" t="s">
        <v>8013</v>
      </c>
    </row>
    <row r="2077" customFormat="false" ht="15" hidden="false" customHeight="true" outlineLevel="0" collapsed="false">
      <c r="A2077" s="6" t="s">
        <v>4780</v>
      </c>
      <c r="B2077" s="6" t="s">
        <v>7520</v>
      </c>
      <c r="C2077" s="6" t="s">
        <v>8013</v>
      </c>
    </row>
    <row r="2078" customFormat="false" ht="15" hidden="false" customHeight="true" outlineLevel="0" collapsed="false">
      <c r="A2078" s="6" t="s">
        <v>4780</v>
      </c>
      <c r="B2078" s="6" t="s">
        <v>8962</v>
      </c>
      <c r="C2078" s="6"/>
    </row>
    <row r="2079" customFormat="false" ht="15" hidden="false" customHeight="true" outlineLevel="0" collapsed="false">
      <c r="A2079" s="6" t="s">
        <v>4780</v>
      </c>
      <c r="B2079" s="6" t="s">
        <v>8963</v>
      </c>
      <c r="C2079" s="6"/>
    </row>
    <row r="2080" customFormat="false" ht="15" hidden="false" customHeight="true" outlineLevel="0" collapsed="false">
      <c r="A2080" s="6" t="s">
        <v>4780</v>
      </c>
      <c r="B2080" s="6" t="s">
        <v>8964</v>
      </c>
      <c r="C2080" s="6"/>
    </row>
    <row r="2081" customFormat="false" ht="15" hidden="false" customHeight="true" outlineLevel="0" collapsed="false">
      <c r="A2081" s="6" t="s">
        <v>4780</v>
      </c>
      <c r="B2081" s="6" t="s">
        <v>8965</v>
      </c>
      <c r="C2081" s="6"/>
    </row>
    <row r="2082" customFormat="false" ht="15" hidden="false" customHeight="true" outlineLevel="0" collapsed="false">
      <c r="A2082" s="6" t="s">
        <v>4780</v>
      </c>
      <c r="B2082" s="6" t="s">
        <v>7519</v>
      </c>
      <c r="C2082" s="6" t="s">
        <v>8013</v>
      </c>
    </row>
    <row r="2083" customFormat="false" ht="15" hidden="false" customHeight="true" outlineLevel="0" collapsed="false">
      <c r="A2083" s="6" t="s">
        <v>4780</v>
      </c>
      <c r="B2083" s="6" t="s">
        <v>7518</v>
      </c>
      <c r="C2083" s="6" t="s">
        <v>8013</v>
      </c>
    </row>
    <row r="2084" customFormat="false" ht="15" hidden="false" customHeight="true" outlineLevel="0" collapsed="false">
      <c r="A2084" s="6" t="s">
        <v>4780</v>
      </c>
      <c r="B2084" s="6" t="s">
        <v>8966</v>
      </c>
      <c r="C2084" s="6"/>
    </row>
    <row r="2085" customFormat="false" ht="15" hidden="false" customHeight="true" outlineLevel="0" collapsed="false">
      <c r="A2085" s="6" t="s">
        <v>324</v>
      </c>
      <c r="B2085" s="6" t="s">
        <v>324</v>
      </c>
      <c r="C2085" s="6" t="s">
        <v>8013</v>
      </c>
    </row>
    <row r="2086" customFormat="false" ht="15" hidden="false" customHeight="true" outlineLevel="0" collapsed="false">
      <c r="A2086" s="6" t="s">
        <v>324</v>
      </c>
      <c r="B2086" s="6" t="s">
        <v>8967</v>
      </c>
      <c r="C2086" s="6"/>
    </row>
    <row r="2087" customFormat="false" ht="15" hidden="false" customHeight="true" outlineLevel="0" collapsed="false">
      <c r="A2087" s="6" t="s">
        <v>324</v>
      </c>
      <c r="B2087" s="6" t="s">
        <v>6612</v>
      </c>
      <c r="C2087" s="6" t="s">
        <v>8013</v>
      </c>
    </row>
    <row r="2088" customFormat="false" ht="15" hidden="false" customHeight="true" outlineLevel="0" collapsed="false">
      <c r="A2088" s="6" t="s">
        <v>324</v>
      </c>
      <c r="B2088" s="6" t="s">
        <v>8968</v>
      </c>
      <c r="C2088" s="6"/>
    </row>
    <row r="2089" customFormat="false" ht="15" hidden="false" customHeight="true" outlineLevel="0" collapsed="false">
      <c r="A2089" s="6" t="s">
        <v>324</v>
      </c>
      <c r="B2089" s="6" t="s">
        <v>8969</v>
      </c>
      <c r="C2089" s="6"/>
    </row>
    <row r="2090" customFormat="false" ht="15" hidden="false" customHeight="true" outlineLevel="0" collapsed="false">
      <c r="A2090" s="6" t="s">
        <v>324</v>
      </c>
      <c r="B2090" s="6" t="s">
        <v>8970</v>
      </c>
      <c r="C2090" s="6"/>
    </row>
    <row r="2091" customFormat="false" ht="15" hidden="false" customHeight="true" outlineLevel="0" collapsed="false">
      <c r="A2091" s="6" t="s">
        <v>324</v>
      </c>
      <c r="B2091" s="6" t="s">
        <v>8971</v>
      </c>
      <c r="C2091" s="6"/>
    </row>
    <row r="2092" customFormat="false" ht="15" hidden="false" customHeight="true" outlineLevel="0" collapsed="false">
      <c r="A2092" s="6" t="s">
        <v>324</v>
      </c>
      <c r="B2092" s="6" t="s">
        <v>8972</v>
      </c>
      <c r="C2092" s="6"/>
    </row>
    <row r="2093" customFormat="false" ht="15" hidden="false" customHeight="true" outlineLevel="0" collapsed="false">
      <c r="A2093" s="6" t="s">
        <v>324</v>
      </c>
      <c r="B2093" s="6" t="s">
        <v>8973</v>
      </c>
      <c r="C2093" s="6"/>
    </row>
    <row r="2094" customFormat="false" ht="15" hidden="false" customHeight="true" outlineLevel="0" collapsed="false">
      <c r="A2094" s="6" t="s">
        <v>324</v>
      </c>
      <c r="B2094" s="6" t="s">
        <v>8974</v>
      </c>
      <c r="C2094" s="6"/>
    </row>
    <row r="2095" customFormat="false" ht="15" hidden="false" customHeight="true" outlineLevel="0" collapsed="false">
      <c r="A2095" s="6" t="s">
        <v>4790</v>
      </c>
      <c r="B2095" s="6" t="s">
        <v>4790</v>
      </c>
      <c r="C2095" s="6" t="s">
        <v>8013</v>
      </c>
    </row>
    <row r="2096" customFormat="false" ht="15" hidden="false" customHeight="true" outlineLevel="0" collapsed="false">
      <c r="A2096" s="6" t="s">
        <v>4790</v>
      </c>
      <c r="B2096" s="6" t="s">
        <v>8975</v>
      </c>
      <c r="C2096" s="6"/>
    </row>
    <row r="2097" customFormat="false" ht="15" hidden="false" customHeight="true" outlineLevel="0" collapsed="false">
      <c r="A2097" s="6" t="s">
        <v>4790</v>
      </c>
      <c r="B2097" s="6" t="s">
        <v>7523</v>
      </c>
      <c r="C2097" s="6" t="s">
        <v>8013</v>
      </c>
    </row>
    <row r="2098" customFormat="false" ht="15" hidden="false" customHeight="true" outlineLevel="0" collapsed="false">
      <c r="A2098" s="6" t="s">
        <v>4790</v>
      </c>
      <c r="B2098" s="6" t="s">
        <v>8976</v>
      </c>
      <c r="C2098" s="6"/>
    </row>
    <row r="2099" customFormat="false" ht="15" hidden="false" customHeight="true" outlineLevel="0" collapsed="false">
      <c r="A2099" s="6" t="s">
        <v>4790</v>
      </c>
      <c r="B2099" s="6" t="s">
        <v>8977</v>
      </c>
      <c r="C2099" s="6"/>
    </row>
    <row r="2100" customFormat="false" ht="15" hidden="false" customHeight="true" outlineLevel="0" collapsed="false">
      <c r="A2100" s="6" t="s">
        <v>4790</v>
      </c>
      <c r="B2100" s="6" t="s">
        <v>7521</v>
      </c>
      <c r="C2100" s="6" t="s">
        <v>8013</v>
      </c>
    </row>
    <row r="2101" customFormat="false" ht="15" hidden="false" customHeight="true" outlineLevel="0" collapsed="false">
      <c r="A2101" s="6" t="s">
        <v>4790</v>
      </c>
      <c r="B2101" s="6" t="s">
        <v>8978</v>
      </c>
      <c r="C2101" s="6"/>
    </row>
    <row r="2102" customFormat="false" ht="15" hidden="false" customHeight="true" outlineLevel="0" collapsed="false">
      <c r="A2102" s="6" t="s">
        <v>4790</v>
      </c>
      <c r="B2102" s="6" t="s">
        <v>8979</v>
      </c>
      <c r="C2102" s="6"/>
    </row>
    <row r="2103" customFormat="false" ht="15" hidden="false" customHeight="true" outlineLevel="0" collapsed="false">
      <c r="A2103" s="6" t="s">
        <v>4790</v>
      </c>
      <c r="B2103" s="6" t="s">
        <v>8980</v>
      </c>
      <c r="C2103" s="6"/>
    </row>
    <row r="2104" customFormat="false" ht="15" hidden="false" customHeight="true" outlineLevel="0" collapsed="false">
      <c r="A2104" s="6" t="s">
        <v>4790</v>
      </c>
      <c r="B2104" s="6" t="s">
        <v>7522</v>
      </c>
      <c r="C2104" s="6" t="s">
        <v>8013</v>
      </c>
    </row>
    <row r="2105" customFormat="false" ht="15" hidden="false" customHeight="true" outlineLevel="0" collapsed="false">
      <c r="A2105" s="6" t="s">
        <v>4864</v>
      </c>
      <c r="B2105" s="6" t="s">
        <v>4864</v>
      </c>
      <c r="C2105" s="6" t="s">
        <v>8013</v>
      </c>
    </row>
    <row r="2106" customFormat="false" ht="15" hidden="false" customHeight="true" outlineLevel="0" collapsed="false">
      <c r="A2106" s="6" t="s">
        <v>4864</v>
      </c>
      <c r="B2106" s="6" t="s">
        <v>4868</v>
      </c>
      <c r="C2106" s="6" t="s">
        <v>8013</v>
      </c>
    </row>
    <row r="2107" customFormat="false" ht="15" hidden="false" customHeight="true" outlineLevel="0" collapsed="false">
      <c r="A2107" s="6" t="s">
        <v>4864</v>
      </c>
      <c r="B2107" s="6" t="s">
        <v>7528</v>
      </c>
      <c r="C2107" s="6" t="s">
        <v>8013</v>
      </c>
    </row>
    <row r="2108" customFormat="false" ht="15" hidden="false" customHeight="true" outlineLevel="0" collapsed="false">
      <c r="A2108" s="6" t="s">
        <v>4864</v>
      </c>
      <c r="B2108" s="6" t="s">
        <v>7525</v>
      </c>
      <c r="C2108" s="6" t="s">
        <v>8013</v>
      </c>
    </row>
    <row r="2109" customFormat="false" ht="15" hidden="false" customHeight="true" outlineLevel="0" collapsed="false">
      <c r="A2109" s="6" t="s">
        <v>4864</v>
      </c>
      <c r="B2109" s="6" t="s">
        <v>7527</v>
      </c>
      <c r="C2109" s="6" t="s">
        <v>8013</v>
      </c>
    </row>
    <row r="2110" customFormat="false" ht="15" hidden="false" customHeight="true" outlineLevel="0" collapsed="false">
      <c r="A2110" s="6" t="s">
        <v>4864</v>
      </c>
      <c r="B2110" s="6" t="s">
        <v>7526</v>
      </c>
      <c r="C2110" s="6" t="s">
        <v>8013</v>
      </c>
    </row>
    <row r="2111" customFormat="false" ht="15" hidden="false" customHeight="true" outlineLevel="0" collapsed="false">
      <c r="A2111" s="6" t="s">
        <v>4864</v>
      </c>
      <c r="B2111" s="6" t="s">
        <v>7524</v>
      </c>
      <c r="C2111" s="6" t="s">
        <v>8013</v>
      </c>
    </row>
    <row r="2112" customFormat="false" ht="15" hidden="false" customHeight="true" outlineLevel="0" collapsed="false">
      <c r="A2112" s="6" t="s">
        <v>4864</v>
      </c>
      <c r="B2112" s="6" t="s">
        <v>8981</v>
      </c>
      <c r="C2112" s="6"/>
    </row>
    <row r="2113" customFormat="false" ht="15" hidden="false" customHeight="true" outlineLevel="0" collapsed="false">
      <c r="A2113" s="6" t="s">
        <v>4864</v>
      </c>
      <c r="B2113" s="6" t="s">
        <v>8982</v>
      </c>
      <c r="C2113" s="6"/>
    </row>
    <row r="2114" customFormat="false" ht="15" hidden="false" customHeight="true" outlineLevel="0" collapsed="false">
      <c r="A2114" s="6" t="s">
        <v>4864</v>
      </c>
      <c r="B2114" s="6" t="s">
        <v>8983</v>
      </c>
      <c r="C2114" s="6"/>
    </row>
    <row r="2115" customFormat="false" ht="15" hidden="false" customHeight="true" outlineLevel="0" collapsed="false">
      <c r="A2115" s="6" t="s">
        <v>4810</v>
      </c>
      <c r="B2115" s="6" t="s">
        <v>4810</v>
      </c>
      <c r="C2115" s="6" t="s">
        <v>8013</v>
      </c>
    </row>
    <row r="2116" customFormat="false" ht="15" hidden="false" customHeight="true" outlineLevel="0" collapsed="false">
      <c r="A2116" s="6" t="s">
        <v>4810</v>
      </c>
      <c r="B2116" s="6" t="s">
        <v>259</v>
      </c>
      <c r="C2116" s="6" t="s">
        <v>8013</v>
      </c>
    </row>
    <row r="2117" customFormat="false" ht="15" hidden="false" customHeight="true" outlineLevel="0" collapsed="false">
      <c r="A2117" s="6" t="s">
        <v>4810</v>
      </c>
      <c r="B2117" s="6" t="s">
        <v>8984</v>
      </c>
      <c r="C2117" s="6"/>
    </row>
    <row r="2118" customFormat="false" ht="15" hidden="false" customHeight="true" outlineLevel="0" collapsed="false">
      <c r="A2118" s="6" t="s">
        <v>4810</v>
      </c>
      <c r="B2118" s="6" t="s">
        <v>7529</v>
      </c>
      <c r="C2118" s="6" t="s">
        <v>8013</v>
      </c>
    </row>
    <row r="2119" customFormat="false" ht="15" hidden="false" customHeight="true" outlineLevel="0" collapsed="false">
      <c r="A2119" s="6" t="s">
        <v>4810</v>
      </c>
      <c r="B2119" s="6" t="s">
        <v>7530</v>
      </c>
      <c r="C2119" s="6" t="s">
        <v>8013</v>
      </c>
    </row>
    <row r="2120" customFormat="false" ht="15" hidden="false" customHeight="true" outlineLevel="0" collapsed="false">
      <c r="A2120" s="6" t="s">
        <v>4810</v>
      </c>
      <c r="B2120" s="6" t="s">
        <v>8985</v>
      </c>
      <c r="C2120" s="6"/>
    </row>
    <row r="2121" customFormat="false" ht="15" hidden="false" customHeight="true" outlineLevel="0" collapsed="false">
      <c r="A2121" s="6" t="s">
        <v>4810</v>
      </c>
      <c r="B2121" s="6" t="s">
        <v>4814</v>
      </c>
      <c r="C2121" s="6" t="s">
        <v>8013</v>
      </c>
    </row>
    <row r="2122" customFormat="false" ht="15" hidden="false" customHeight="true" outlineLevel="0" collapsed="false">
      <c r="A2122" s="6" t="s">
        <v>4810</v>
      </c>
      <c r="B2122" s="6" t="s">
        <v>8986</v>
      </c>
      <c r="C2122" s="6"/>
    </row>
    <row r="2123" customFormat="false" ht="15" hidden="false" customHeight="true" outlineLevel="0" collapsed="false">
      <c r="A2123" s="6" t="s">
        <v>4810</v>
      </c>
      <c r="B2123" s="6" t="s">
        <v>8987</v>
      </c>
      <c r="C2123" s="6"/>
    </row>
    <row r="2124" customFormat="false" ht="15" hidden="false" customHeight="true" outlineLevel="0" collapsed="false">
      <c r="A2124" s="6" t="s">
        <v>4810</v>
      </c>
      <c r="B2124" s="6" t="s">
        <v>7531</v>
      </c>
      <c r="C2124" s="6" t="s">
        <v>8013</v>
      </c>
    </row>
    <row r="2125" customFormat="false" ht="15" hidden="false" customHeight="true" outlineLevel="0" collapsed="false">
      <c r="A2125" s="6" t="s">
        <v>4822</v>
      </c>
      <c r="B2125" s="6" t="s">
        <v>4822</v>
      </c>
      <c r="C2125" s="6" t="s">
        <v>8013</v>
      </c>
    </row>
    <row r="2126" customFormat="false" ht="15" hidden="false" customHeight="true" outlineLevel="0" collapsed="false">
      <c r="A2126" s="6" t="s">
        <v>4822</v>
      </c>
      <c r="B2126" s="6" t="s">
        <v>8988</v>
      </c>
      <c r="C2126" s="6"/>
    </row>
    <row r="2127" customFormat="false" ht="15" hidden="false" customHeight="true" outlineLevel="0" collapsed="false">
      <c r="A2127" s="6" t="s">
        <v>4822</v>
      </c>
      <c r="B2127" s="6" t="s">
        <v>4826</v>
      </c>
      <c r="C2127" s="6" t="s">
        <v>8013</v>
      </c>
    </row>
    <row r="2128" customFormat="false" ht="15" hidden="false" customHeight="true" outlineLevel="0" collapsed="false">
      <c r="A2128" s="6" t="s">
        <v>4822</v>
      </c>
      <c r="B2128" s="6" t="s">
        <v>8989</v>
      </c>
      <c r="C2128" s="6"/>
    </row>
    <row r="2129" customFormat="false" ht="15" hidden="false" customHeight="true" outlineLevel="0" collapsed="false">
      <c r="A2129" s="6" t="s">
        <v>4822</v>
      </c>
      <c r="B2129" s="6" t="s">
        <v>7532</v>
      </c>
      <c r="C2129" s="6" t="s">
        <v>8013</v>
      </c>
    </row>
    <row r="2130" customFormat="false" ht="15" hidden="false" customHeight="true" outlineLevel="0" collapsed="false">
      <c r="A2130" s="6" t="s">
        <v>4822</v>
      </c>
      <c r="B2130" s="6" t="s">
        <v>8990</v>
      </c>
      <c r="C2130" s="6"/>
    </row>
    <row r="2131" customFormat="false" ht="15" hidden="false" customHeight="true" outlineLevel="0" collapsed="false">
      <c r="A2131" s="6" t="s">
        <v>4822</v>
      </c>
      <c r="B2131" s="6" t="s">
        <v>8991</v>
      </c>
      <c r="C2131" s="6"/>
    </row>
    <row r="2132" customFormat="false" ht="15" hidden="false" customHeight="true" outlineLevel="0" collapsed="false">
      <c r="A2132" s="6" t="s">
        <v>4822</v>
      </c>
      <c r="B2132" s="6" t="s">
        <v>8992</v>
      </c>
      <c r="C2132" s="6"/>
    </row>
    <row r="2133" customFormat="false" ht="15" hidden="false" customHeight="true" outlineLevel="0" collapsed="false">
      <c r="A2133" s="6" t="s">
        <v>4822</v>
      </c>
      <c r="B2133" s="6" t="s">
        <v>8993</v>
      </c>
      <c r="C2133" s="6"/>
    </row>
    <row r="2134" customFormat="false" ht="15" hidden="false" customHeight="true" outlineLevel="0" collapsed="false">
      <c r="A2134" s="6" t="s">
        <v>4822</v>
      </c>
      <c r="B2134" s="6" t="s">
        <v>7533</v>
      </c>
      <c r="C2134" s="6" t="s">
        <v>8013</v>
      </c>
    </row>
    <row r="2135" customFormat="false" ht="15" hidden="false" customHeight="true" outlineLevel="0" collapsed="false">
      <c r="A2135" s="6" t="s">
        <v>4875</v>
      </c>
      <c r="B2135" s="6" t="s">
        <v>4875</v>
      </c>
      <c r="C2135" s="6" t="s">
        <v>8013</v>
      </c>
    </row>
    <row r="2136" customFormat="false" ht="15" hidden="false" customHeight="true" outlineLevel="0" collapsed="false">
      <c r="A2136" s="6" t="s">
        <v>4875</v>
      </c>
      <c r="B2136" s="6" t="s">
        <v>8994</v>
      </c>
      <c r="C2136" s="6"/>
    </row>
    <row r="2137" customFormat="false" ht="15" hidden="false" customHeight="true" outlineLevel="0" collapsed="false">
      <c r="A2137" s="6" t="s">
        <v>4875</v>
      </c>
      <c r="B2137" s="6" t="s">
        <v>7534</v>
      </c>
      <c r="C2137" s="6" t="s">
        <v>8013</v>
      </c>
    </row>
    <row r="2138" customFormat="false" ht="15" hidden="false" customHeight="true" outlineLevel="0" collapsed="false">
      <c r="A2138" s="6" t="s">
        <v>4875</v>
      </c>
      <c r="B2138" s="6" t="s">
        <v>8995</v>
      </c>
      <c r="C2138" s="6"/>
    </row>
    <row r="2139" customFormat="false" ht="15" hidden="false" customHeight="true" outlineLevel="0" collapsed="false">
      <c r="A2139" s="6" t="s">
        <v>4875</v>
      </c>
      <c r="B2139" s="6" t="s">
        <v>7535</v>
      </c>
      <c r="C2139" s="6" t="s">
        <v>8013</v>
      </c>
    </row>
    <row r="2140" customFormat="false" ht="15" hidden="false" customHeight="true" outlineLevel="0" collapsed="false">
      <c r="A2140" s="6" t="s">
        <v>4875</v>
      </c>
      <c r="B2140" s="6" t="s">
        <v>7546</v>
      </c>
      <c r="C2140" s="6" t="s">
        <v>8013</v>
      </c>
    </row>
    <row r="2141" customFormat="false" ht="15" hidden="false" customHeight="true" outlineLevel="0" collapsed="false">
      <c r="A2141" s="6" t="s">
        <v>4875</v>
      </c>
      <c r="B2141" s="6" t="s">
        <v>7536</v>
      </c>
      <c r="C2141" s="6" t="s">
        <v>8013</v>
      </c>
    </row>
    <row r="2142" customFormat="false" ht="15" hidden="false" customHeight="true" outlineLevel="0" collapsed="false">
      <c r="A2142" s="6" t="s">
        <v>4834</v>
      </c>
      <c r="B2142" s="6" t="s">
        <v>4834</v>
      </c>
      <c r="C2142" s="6" t="s">
        <v>8013</v>
      </c>
    </row>
    <row r="2143" customFormat="false" ht="15" hidden="false" customHeight="true" outlineLevel="0" collapsed="false">
      <c r="A2143" s="6" t="s">
        <v>4834</v>
      </c>
      <c r="B2143" s="6" t="s">
        <v>4838</v>
      </c>
      <c r="C2143" s="6" t="s">
        <v>8013</v>
      </c>
    </row>
    <row r="2144" customFormat="false" ht="15" hidden="false" customHeight="true" outlineLevel="0" collapsed="false">
      <c r="A2144" s="6" t="s">
        <v>4834</v>
      </c>
      <c r="B2144" s="6" t="s">
        <v>7541</v>
      </c>
      <c r="C2144" s="6" t="s">
        <v>8013</v>
      </c>
    </row>
    <row r="2145" customFormat="false" ht="15" hidden="false" customHeight="true" outlineLevel="0" collapsed="false">
      <c r="A2145" s="6" t="s">
        <v>4834</v>
      </c>
      <c r="B2145" s="6" t="s">
        <v>7540</v>
      </c>
      <c r="C2145" s="6" t="s">
        <v>8013</v>
      </c>
    </row>
    <row r="2146" customFormat="false" ht="15" hidden="false" customHeight="true" outlineLevel="0" collapsed="false">
      <c r="A2146" s="6" t="s">
        <v>4834</v>
      </c>
      <c r="B2146" s="6" t="s">
        <v>7538</v>
      </c>
      <c r="C2146" s="6" t="s">
        <v>8013</v>
      </c>
    </row>
    <row r="2147" customFormat="false" ht="15" hidden="false" customHeight="true" outlineLevel="0" collapsed="false">
      <c r="A2147" s="6" t="s">
        <v>4834</v>
      </c>
      <c r="B2147" s="6" t="s">
        <v>8996</v>
      </c>
      <c r="C2147" s="6"/>
    </row>
    <row r="2148" customFormat="false" ht="15" hidden="false" customHeight="true" outlineLevel="0" collapsed="false">
      <c r="A2148" s="6" t="s">
        <v>4834</v>
      </c>
      <c r="B2148" s="6" t="s">
        <v>7537</v>
      </c>
      <c r="C2148" s="6" t="s">
        <v>8013</v>
      </c>
    </row>
    <row r="2149" customFormat="false" ht="15" hidden="false" customHeight="true" outlineLevel="0" collapsed="false">
      <c r="A2149" s="6" t="s">
        <v>4834</v>
      </c>
      <c r="B2149" s="6" t="s">
        <v>8997</v>
      </c>
      <c r="C2149" s="6"/>
    </row>
    <row r="2150" customFormat="false" ht="15" hidden="false" customHeight="true" outlineLevel="0" collapsed="false">
      <c r="A2150" s="6" t="s">
        <v>4834</v>
      </c>
      <c r="B2150" s="6" t="s">
        <v>8998</v>
      </c>
      <c r="C2150" s="6"/>
    </row>
    <row r="2151" customFormat="false" ht="15" hidden="false" customHeight="true" outlineLevel="0" collapsed="false">
      <c r="A2151" s="6" t="s">
        <v>4834</v>
      </c>
      <c r="B2151" s="6" t="s">
        <v>7539</v>
      </c>
      <c r="C2151" s="6" t="s">
        <v>8013</v>
      </c>
    </row>
    <row r="2152" customFormat="false" ht="15" hidden="false" customHeight="true" outlineLevel="0" collapsed="false">
      <c r="A2152" s="6" t="s">
        <v>4844</v>
      </c>
      <c r="B2152" s="6" t="s">
        <v>4844</v>
      </c>
      <c r="C2152" s="6" t="s">
        <v>8013</v>
      </c>
    </row>
    <row r="2153" customFormat="false" ht="15" hidden="false" customHeight="true" outlineLevel="0" collapsed="false">
      <c r="A2153" s="6" t="s">
        <v>4844</v>
      </c>
      <c r="B2153" s="6" t="s">
        <v>4848</v>
      </c>
      <c r="C2153" s="6" t="s">
        <v>8013</v>
      </c>
    </row>
    <row r="2154" customFormat="false" ht="15" hidden="false" customHeight="true" outlineLevel="0" collapsed="false">
      <c r="A2154" s="6" t="s">
        <v>4844</v>
      </c>
      <c r="B2154" s="6" t="s">
        <v>7545</v>
      </c>
      <c r="C2154" s="6" t="s">
        <v>8013</v>
      </c>
    </row>
    <row r="2155" customFormat="false" ht="15" hidden="false" customHeight="true" outlineLevel="0" collapsed="false">
      <c r="A2155" s="6" t="s">
        <v>4844</v>
      </c>
      <c r="B2155" s="6" t="s">
        <v>7544</v>
      </c>
      <c r="C2155" s="6" t="s">
        <v>8013</v>
      </c>
    </row>
    <row r="2156" customFormat="false" ht="15" hidden="false" customHeight="true" outlineLevel="0" collapsed="false">
      <c r="A2156" s="6" t="s">
        <v>4844</v>
      </c>
      <c r="B2156" s="6" t="s">
        <v>7543</v>
      </c>
      <c r="C2156" s="6" t="s">
        <v>8013</v>
      </c>
    </row>
    <row r="2157" customFormat="false" ht="15" hidden="false" customHeight="true" outlineLevel="0" collapsed="false">
      <c r="A2157" s="6" t="s">
        <v>4844</v>
      </c>
      <c r="B2157" s="6" t="s">
        <v>4847</v>
      </c>
      <c r="C2157" s="6" t="s">
        <v>8013</v>
      </c>
    </row>
    <row r="2158" customFormat="false" ht="15" hidden="false" customHeight="true" outlineLevel="0" collapsed="false">
      <c r="A2158" s="6" t="s">
        <v>4844</v>
      </c>
      <c r="B2158" s="6" t="s">
        <v>7542</v>
      </c>
      <c r="C2158" s="6" t="s">
        <v>8013</v>
      </c>
    </row>
    <row r="2159" customFormat="false" ht="15" hidden="false" customHeight="true" outlineLevel="0" collapsed="false">
      <c r="A2159" s="6" t="s">
        <v>4844</v>
      </c>
      <c r="B2159" s="6" t="s">
        <v>8999</v>
      </c>
      <c r="C2159" s="6"/>
    </row>
    <row r="2160" customFormat="false" ht="15" hidden="false" customHeight="true" outlineLevel="0" collapsed="false">
      <c r="A2160" s="6" t="s">
        <v>4844</v>
      </c>
      <c r="B2160" s="6" t="s">
        <v>9000</v>
      </c>
      <c r="C2160" s="6"/>
    </row>
    <row r="2161" customFormat="false" ht="15" hidden="false" customHeight="true" outlineLevel="0" collapsed="false">
      <c r="A2161" s="6" t="s">
        <v>4844</v>
      </c>
      <c r="B2161" s="6" t="s">
        <v>9001</v>
      </c>
      <c r="C2161" s="6"/>
    </row>
    <row r="2162" customFormat="false" ht="15" hidden="false" customHeight="true" outlineLevel="0" collapsed="false">
      <c r="A2162" s="6" t="s">
        <v>328</v>
      </c>
      <c r="B2162" s="6" t="s">
        <v>328</v>
      </c>
      <c r="C2162" s="6" t="s">
        <v>8013</v>
      </c>
    </row>
    <row r="2163" customFormat="false" ht="15" hidden="false" customHeight="true" outlineLevel="0" collapsed="false">
      <c r="A2163" s="6" t="s">
        <v>328</v>
      </c>
      <c r="B2163" s="6" t="s">
        <v>9002</v>
      </c>
      <c r="C2163" s="6"/>
    </row>
    <row r="2164" customFormat="false" ht="15" hidden="false" customHeight="true" outlineLevel="0" collapsed="false">
      <c r="A2164" s="6" t="s">
        <v>328</v>
      </c>
      <c r="B2164" s="6" t="s">
        <v>9003</v>
      </c>
      <c r="C2164" s="6"/>
    </row>
    <row r="2165" customFormat="false" ht="15" hidden="false" customHeight="true" outlineLevel="0" collapsed="false">
      <c r="A2165" s="6" t="s">
        <v>328</v>
      </c>
      <c r="B2165" s="6" t="s">
        <v>9004</v>
      </c>
      <c r="C2165" s="6"/>
    </row>
    <row r="2166" customFormat="false" ht="15" hidden="false" customHeight="true" outlineLevel="0" collapsed="false">
      <c r="A2166" s="6" t="s">
        <v>328</v>
      </c>
      <c r="B2166" s="6" t="s">
        <v>9005</v>
      </c>
      <c r="C2166" s="6"/>
    </row>
    <row r="2167" customFormat="false" ht="15" hidden="false" customHeight="true" outlineLevel="0" collapsed="false">
      <c r="A2167" s="6" t="s">
        <v>328</v>
      </c>
      <c r="B2167" s="6" t="s">
        <v>9006</v>
      </c>
      <c r="C2167" s="6"/>
    </row>
    <row r="2168" customFormat="false" ht="15" hidden="false" customHeight="true" outlineLevel="0" collapsed="false">
      <c r="A2168" s="6" t="s">
        <v>328</v>
      </c>
      <c r="B2168" s="6" t="s">
        <v>9007</v>
      </c>
      <c r="C2168" s="6"/>
    </row>
    <row r="2169" customFormat="false" ht="15" hidden="false" customHeight="true" outlineLevel="0" collapsed="false">
      <c r="A2169" s="6" t="s">
        <v>328</v>
      </c>
      <c r="B2169" s="6" t="s">
        <v>9008</v>
      </c>
      <c r="C2169" s="6"/>
    </row>
    <row r="2170" customFormat="false" ht="15" hidden="false" customHeight="true" outlineLevel="0" collapsed="false">
      <c r="A2170" s="6" t="s">
        <v>328</v>
      </c>
      <c r="B2170" s="6" t="s">
        <v>9009</v>
      </c>
      <c r="C2170" s="6"/>
    </row>
    <row r="2171" customFormat="false" ht="15" hidden="false" customHeight="true" outlineLevel="0" collapsed="false">
      <c r="A2171" s="6" t="s">
        <v>328</v>
      </c>
      <c r="B2171" s="6" t="s">
        <v>9010</v>
      </c>
      <c r="C2171" s="6"/>
    </row>
    <row r="2172" customFormat="false" ht="15" hidden="false" customHeight="true" outlineLevel="0" collapsed="false">
      <c r="A2172" s="6" t="s">
        <v>4853</v>
      </c>
      <c r="B2172" s="6" t="s">
        <v>4853</v>
      </c>
      <c r="C2172" s="6" t="s">
        <v>8013</v>
      </c>
    </row>
    <row r="2173" customFormat="false" ht="15" hidden="false" customHeight="true" outlineLevel="0" collapsed="false">
      <c r="A2173" s="6" t="s">
        <v>4853</v>
      </c>
      <c r="B2173" s="6" t="s">
        <v>7551</v>
      </c>
      <c r="C2173" s="6" t="s">
        <v>8013</v>
      </c>
    </row>
    <row r="2174" customFormat="false" ht="15" hidden="false" customHeight="true" outlineLevel="0" collapsed="false">
      <c r="A2174" s="6" t="s">
        <v>4853</v>
      </c>
      <c r="B2174" s="6" t="s">
        <v>4857</v>
      </c>
      <c r="C2174" s="6" t="s">
        <v>8013</v>
      </c>
    </row>
    <row r="2175" customFormat="false" ht="15" hidden="false" customHeight="true" outlineLevel="0" collapsed="false">
      <c r="A2175" s="6" t="s">
        <v>4853</v>
      </c>
      <c r="B2175" s="6" t="s">
        <v>7547</v>
      </c>
      <c r="C2175" s="6" t="s">
        <v>8013</v>
      </c>
    </row>
    <row r="2176" customFormat="false" ht="15" hidden="false" customHeight="true" outlineLevel="0" collapsed="false">
      <c r="A2176" s="6" t="s">
        <v>4853</v>
      </c>
      <c r="B2176" s="6" t="s">
        <v>7548</v>
      </c>
      <c r="C2176" s="6" t="s">
        <v>8013</v>
      </c>
    </row>
    <row r="2177" customFormat="false" ht="15" hidden="false" customHeight="true" outlineLevel="0" collapsed="false">
      <c r="A2177" s="6" t="s">
        <v>4853</v>
      </c>
      <c r="B2177" s="6" t="s">
        <v>7550</v>
      </c>
      <c r="C2177" s="6" t="s">
        <v>8013</v>
      </c>
    </row>
    <row r="2178" customFormat="false" ht="15" hidden="false" customHeight="true" outlineLevel="0" collapsed="false">
      <c r="A2178" s="6" t="s">
        <v>4853</v>
      </c>
      <c r="B2178" s="6" t="s">
        <v>7549</v>
      </c>
      <c r="C2178" s="6" t="s">
        <v>8013</v>
      </c>
    </row>
    <row r="2179" customFormat="false" ht="15" hidden="false" customHeight="true" outlineLevel="0" collapsed="false">
      <c r="A2179" s="6" t="s">
        <v>4853</v>
      </c>
      <c r="B2179" s="6" t="s">
        <v>9011</v>
      </c>
      <c r="C2179" s="6"/>
    </row>
    <row r="2180" customFormat="false" ht="15" hidden="false" customHeight="true" outlineLevel="0" collapsed="false">
      <c r="A2180" s="6" t="s">
        <v>4853</v>
      </c>
      <c r="B2180" s="6" t="s">
        <v>9012</v>
      </c>
      <c r="C2180" s="6"/>
    </row>
    <row r="2181" customFormat="false" ht="15" hidden="false" customHeight="true" outlineLevel="0" collapsed="false">
      <c r="A2181" s="6" t="s">
        <v>4853</v>
      </c>
      <c r="B2181" s="6" t="s">
        <v>9013</v>
      </c>
      <c r="C2181" s="6"/>
    </row>
    <row r="2182" customFormat="false" ht="15" hidden="false" customHeight="true" outlineLevel="0" collapsed="false">
      <c r="A2182" s="6" t="s">
        <v>4941</v>
      </c>
      <c r="B2182" s="6" t="s">
        <v>4941</v>
      </c>
      <c r="C2182" s="6" t="s">
        <v>8013</v>
      </c>
    </row>
    <row r="2183" customFormat="false" ht="15" hidden="false" customHeight="true" outlineLevel="0" collapsed="false">
      <c r="A2183" s="6" t="s">
        <v>4941</v>
      </c>
      <c r="B2183" s="6" t="s">
        <v>9014</v>
      </c>
      <c r="C2183" s="6"/>
    </row>
    <row r="2184" customFormat="false" ht="15" hidden="false" customHeight="true" outlineLevel="0" collapsed="false">
      <c r="A2184" s="6" t="s">
        <v>4941</v>
      </c>
      <c r="B2184" s="6" t="s">
        <v>9015</v>
      </c>
      <c r="C2184" s="6"/>
    </row>
    <row r="2185" customFormat="false" ht="15" hidden="false" customHeight="true" outlineLevel="0" collapsed="false">
      <c r="A2185" s="6" t="s">
        <v>4941</v>
      </c>
      <c r="B2185" s="6" t="s">
        <v>9016</v>
      </c>
      <c r="C2185" s="6"/>
    </row>
    <row r="2186" customFormat="false" ht="15" hidden="false" customHeight="true" outlineLevel="0" collapsed="false">
      <c r="A2186" s="6" t="s">
        <v>4897</v>
      </c>
      <c r="B2186" s="6" t="s">
        <v>4897</v>
      </c>
      <c r="C2186" s="6" t="s">
        <v>8013</v>
      </c>
    </row>
    <row r="2187" customFormat="false" ht="15" hidden="false" customHeight="true" outlineLevel="0" collapsed="false">
      <c r="A2187" s="6" t="s">
        <v>4897</v>
      </c>
      <c r="B2187" s="6" t="s">
        <v>9017</v>
      </c>
      <c r="C2187" s="6"/>
    </row>
    <row r="2188" customFormat="false" ht="15" hidden="false" customHeight="true" outlineLevel="0" collapsed="false">
      <c r="A2188" s="6" t="s">
        <v>4897</v>
      </c>
      <c r="B2188" s="6" t="s">
        <v>9018</v>
      </c>
      <c r="C2188" s="6"/>
    </row>
    <row r="2189" customFormat="false" ht="15" hidden="false" customHeight="true" outlineLevel="0" collapsed="false">
      <c r="A2189" s="6" t="s">
        <v>4897</v>
      </c>
      <c r="B2189" s="6" t="s">
        <v>9019</v>
      </c>
      <c r="C2189" s="6"/>
    </row>
    <row r="2190" customFormat="false" ht="15" hidden="false" customHeight="true" outlineLevel="0" collapsed="false">
      <c r="A2190" s="6" t="s">
        <v>4897</v>
      </c>
      <c r="B2190" s="6" t="s">
        <v>9020</v>
      </c>
      <c r="C2190" s="6"/>
    </row>
    <row r="2191" customFormat="false" ht="15" hidden="false" customHeight="true" outlineLevel="0" collapsed="false">
      <c r="A2191" s="6" t="s">
        <v>4897</v>
      </c>
      <c r="B2191" s="6" t="s">
        <v>9021</v>
      </c>
      <c r="C2191" s="6"/>
    </row>
    <row r="2192" customFormat="false" ht="15" hidden="false" customHeight="true" outlineLevel="0" collapsed="false">
      <c r="A2192" s="6" t="s">
        <v>4915</v>
      </c>
      <c r="B2192" s="6" t="s">
        <v>4915</v>
      </c>
      <c r="C2192" s="6" t="s">
        <v>8013</v>
      </c>
    </row>
    <row r="2193" customFormat="false" ht="15" hidden="false" customHeight="true" outlineLevel="0" collapsed="false">
      <c r="A2193" s="6" t="s">
        <v>4915</v>
      </c>
      <c r="B2193" s="6" t="s">
        <v>4920</v>
      </c>
      <c r="C2193" s="6" t="s">
        <v>8013</v>
      </c>
    </row>
    <row r="2194" customFormat="false" ht="15" hidden="false" customHeight="true" outlineLevel="0" collapsed="false">
      <c r="A2194" s="6" t="s">
        <v>4926</v>
      </c>
      <c r="B2194" s="6" t="s">
        <v>4926</v>
      </c>
      <c r="C2194" s="6" t="s">
        <v>8013</v>
      </c>
    </row>
    <row r="2195" customFormat="false" ht="15" hidden="false" customHeight="true" outlineLevel="0" collapsed="false">
      <c r="A2195" s="6" t="s">
        <v>4926</v>
      </c>
      <c r="B2195" s="6" t="s">
        <v>9022</v>
      </c>
      <c r="C2195" s="6"/>
    </row>
    <row r="2196" customFormat="false" ht="15" hidden="false" customHeight="true" outlineLevel="0" collapsed="false">
      <c r="A2196" s="6" t="s">
        <v>4956</v>
      </c>
      <c r="B2196" s="6" t="s">
        <v>4956</v>
      </c>
      <c r="C2196" s="6" t="s">
        <v>8013</v>
      </c>
    </row>
    <row r="2197" customFormat="false" ht="15" hidden="false" customHeight="true" outlineLevel="0" collapsed="false">
      <c r="A2197" s="6" t="s">
        <v>4956</v>
      </c>
      <c r="B2197" s="6" t="s">
        <v>7553</v>
      </c>
      <c r="C2197" s="6" t="s">
        <v>8013</v>
      </c>
    </row>
    <row r="2198" customFormat="false" ht="15" hidden="false" customHeight="true" outlineLevel="0" collapsed="false">
      <c r="A2198" s="6" t="s">
        <v>4956</v>
      </c>
      <c r="B2198" s="6" t="s">
        <v>9023</v>
      </c>
      <c r="C2198" s="6"/>
    </row>
    <row r="2199" customFormat="false" ht="15" hidden="false" customHeight="true" outlineLevel="0" collapsed="false">
      <c r="A2199" s="6" t="s">
        <v>4956</v>
      </c>
      <c r="B2199" s="6" t="s">
        <v>7552</v>
      </c>
      <c r="C2199" s="6" t="s">
        <v>8013</v>
      </c>
    </row>
    <row r="2200" customFormat="false" ht="15" hidden="false" customHeight="true" outlineLevel="0" collapsed="false">
      <c r="A2200" s="6" t="s">
        <v>4956</v>
      </c>
      <c r="B2200" s="6" t="s">
        <v>4960</v>
      </c>
      <c r="C2200" s="6" t="s">
        <v>8013</v>
      </c>
    </row>
    <row r="2201" customFormat="false" ht="15" hidden="false" customHeight="true" outlineLevel="0" collapsed="false">
      <c r="A2201" s="6" t="s">
        <v>4956</v>
      </c>
      <c r="B2201" s="6" t="s">
        <v>9024</v>
      </c>
      <c r="C2201" s="6"/>
    </row>
    <row r="2202" customFormat="false" ht="15" hidden="false" customHeight="true" outlineLevel="0" collapsed="false">
      <c r="A2202" s="6" t="s">
        <v>4988</v>
      </c>
      <c r="B2202" s="6" t="s">
        <v>4988</v>
      </c>
      <c r="C2202" s="6" t="s">
        <v>8013</v>
      </c>
    </row>
    <row r="2203" customFormat="false" ht="15" hidden="false" customHeight="true" outlineLevel="0" collapsed="false">
      <c r="A2203" s="6" t="s">
        <v>4988</v>
      </c>
      <c r="B2203" s="6" t="s">
        <v>4992</v>
      </c>
      <c r="C2203" s="6" t="s">
        <v>8013</v>
      </c>
    </row>
    <row r="2204" customFormat="false" ht="15" hidden="false" customHeight="true" outlineLevel="0" collapsed="false">
      <c r="A2204" s="6" t="s">
        <v>4988</v>
      </c>
      <c r="B2204" s="6" t="s">
        <v>4991</v>
      </c>
      <c r="C2204" s="6" t="s">
        <v>8013</v>
      </c>
    </row>
    <row r="2205" customFormat="false" ht="15" hidden="false" customHeight="true" outlineLevel="0" collapsed="false">
      <c r="A2205" s="6" t="s">
        <v>4988</v>
      </c>
      <c r="B2205" s="6" t="s">
        <v>7554</v>
      </c>
      <c r="C2205" s="6" t="s">
        <v>8013</v>
      </c>
    </row>
    <row r="2206" customFormat="false" ht="15" hidden="false" customHeight="true" outlineLevel="0" collapsed="false">
      <c r="A2206" s="6" t="s">
        <v>4988</v>
      </c>
      <c r="B2206" s="6" t="s">
        <v>9025</v>
      </c>
      <c r="C2206" s="6"/>
    </row>
    <row r="2207" customFormat="false" ht="15" hidden="false" customHeight="true" outlineLevel="0" collapsed="false">
      <c r="A2207" s="6" t="s">
        <v>4988</v>
      </c>
      <c r="B2207" s="6" t="s">
        <v>9026</v>
      </c>
      <c r="C2207" s="6"/>
    </row>
    <row r="2208" customFormat="false" ht="15" hidden="false" customHeight="true" outlineLevel="0" collapsed="false">
      <c r="A2208" s="6" t="s">
        <v>4988</v>
      </c>
      <c r="B2208" s="6" t="s">
        <v>9027</v>
      </c>
      <c r="C2208" s="6"/>
    </row>
    <row r="2209" customFormat="false" ht="15" hidden="false" customHeight="true" outlineLevel="0" collapsed="false">
      <c r="A2209" s="6" t="s">
        <v>4988</v>
      </c>
      <c r="B2209" s="6" t="s">
        <v>9028</v>
      </c>
      <c r="C2209" s="6"/>
    </row>
    <row r="2210" customFormat="false" ht="15" hidden="false" customHeight="true" outlineLevel="0" collapsed="false">
      <c r="A2210" s="6" t="s">
        <v>4988</v>
      </c>
      <c r="B2210" s="6" t="s">
        <v>9029</v>
      </c>
      <c r="C2210" s="6"/>
    </row>
    <row r="2211" customFormat="false" ht="15" hidden="false" customHeight="true" outlineLevel="0" collapsed="false">
      <c r="A2211" s="6" t="s">
        <v>4988</v>
      </c>
      <c r="B2211" s="6" t="s">
        <v>9030</v>
      </c>
      <c r="C2211" s="6"/>
    </row>
    <row r="2212" customFormat="false" ht="15" hidden="false" customHeight="true" outlineLevel="0" collapsed="false">
      <c r="A2212" s="6" t="s">
        <v>6618</v>
      </c>
      <c r="B2212" s="6" t="s">
        <v>6618</v>
      </c>
      <c r="C2212" s="6" t="s">
        <v>8013</v>
      </c>
    </row>
    <row r="2213" customFormat="false" ht="15" hidden="false" customHeight="true" outlineLevel="0" collapsed="false">
      <c r="A2213" s="6" t="s">
        <v>6618</v>
      </c>
      <c r="B2213" s="6" t="s">
        <v>9031</v>
      </c>
      <c r="C2213" s="6"/>
    </row>
    <row r="2214" customFormat="false" ht="15" hidden="false" customHeight="true" outlineLevel="0" collapsed="false">
      <c r="A2214" s="6" t="s">
        <v>6618</v>
      </c>
      <c r="B2214" s="6" t="s">
        <v>9032</v>
      </c>
      <c r="C2214" s="6"/>
    </row>
    <row r="2215" customFormat="false" ht="15" hidden="false" customHeight="true" outlineLevel="0" collapsed="false">
      <c r="A2215" s="6" t="s">
        <v>6618</v>
      </c>
      <c r="B2215" s="6" t="s">
        <v>9033</v>
      </c>
      <c r="C2215" s="6"/>
    </row>
    <row r="2216" customFormat="false" ht="15" hidden="false" customHeight="true" outlineLevel="0" collapsed="false">
      <c r="A2216" s="6" t="s">
        <v>6618</v>
      </c>
      <c r="B2216" s="6" t="s">
        <v>9034</v>
      </c>
      <c r="C2216" s="6"/>
    </row>
    <row r="2217" customFormat="false" ht="15" hidden="false" customHeight="true" outlineLevel="0" collapsed="false">
      <c r="A2217" s="6" t="s">
        <v>6618</v>
      </c>
      <c r="B2217" s="6" t="s">
        <v>9035</v>
      </c>
      <c r="C2217" s="6"/>
    </row>
    <row r="2218" customFormat="false" ht="15" hidden="false" customHeight="true" outlineLevel="0" collapsed="false">
      <c r="A2218" s="6" t="s">
        <v>6618</v>
      </c>
      <c r="B2218" s="6" t="s">
        <v>9036</v>
      </c>
      <c r="C2218" s="6"/>
    </row>
    <row r="2219" customFormat="false" ht="15" hidden="false" customHeight="true" outlineLevel="0" collapsed="false">
      <c r="A2219" s="6" t="s">
        <v>6618</v>
      </c>
      <c r="B2219" s="6" t="s">
        <v>9037</v>
      </c>
      <c r="C2219" s="6"/>
    </row>
    <row r="2220" customFormat="false" ht="15" hidden="false" customHeight="true" outlineLevel="0" collapsed="false">
      <c r="A2220" s="6" t="s">
        <v>6618</v>
      </c>
      <c r="B2220" s="6" t="s">
        <v>9038</v>
      </c>
      <c r="C2220" s="6"/>
    </row>
    <row r="2221" customFormat="false" ht="15" hidden="false" customHeight="true" outlineLevel="0" collapsed="false">
      <c r="A2221" s="6" t="s">
        <v>6618</v>
      </c>
      <c r="B2221" s="6" t="s">
        <v>7553</v>
      </c>
      <c r="C2221" s="6" t="s">
        <v>8013</v>
      </c>
    </row>
    <row r="2222" customFormat="false" ht="15" hidden="false" customHeight="true" outlineLevel="0" collapsed="false">
      <c r="A2222" s="6" t="s">
        <v>5003</v>
      </c>
      <c r="B2222" s="6" t="s">
        <v>5003</v>
      </c>
      <c r="C2222" s="6" t="s">
        <v>8013</v>
      </c>
    </row>
    <row r="2223" customFormat="false" ht="15" hidden="false" customHeight="true" outlineLevel="0" collapsed="false">
      <c r="A2223" s="6" t="s">
        <v>5003</v>
      </c>
      <c r="B2223" s="6" t="s">
        <v>9039</v>
      </c>
      <c r="C2223" s="6"/>
    </row>
    <row r="2224" customFormat="false" ht="15" hidden="false" customHeight="true" outlineLevel="0" collapsed="false">
      <c r="A2224" s="6" t="s">
        <v>5003</v>
      </c>
      <c r="B2224" s="6" t="s">
        <v>9040</v>
      </c>
      <c r="C2224" s="6"/>
    </row>
    <row r="2225" customFormat="false" ht="15" hidden="false" customHeight="true" outlineLevel="0" collapsed="false">
      <c r="A2225" s="6" t="s">
        <v>5018</v>
      </c>
      <c r="B2225" s="6" t="s">
        <v>5018</v>
      </c>
      <c r="C2225" s="6" t="s">
        <v>8013</v>
      </c>
    </row>
    <row r="2226" customFormat="false" ht="15" hidden="false" customHeight="true" outlineLevel="0" collapsed="false">
      <c r="A2226" s="6" t="s">
        <v>5018</v>
      </c>
      <c r="B2226" s="6" t="s">
        <v>5023</v>
      </c>
      <c r="C2226" s="6" t="s">
        <v>8013</v>
      </c>
    </row>
    <row r="2227" customFormat="false" ht="15" hidden="false" customHeight="true" outlineLevel="0" collapsed="false">
      <c r="A2227" s="6" t="s">
        <v>5034</v>
      </c>
      <c r="B2227" s="6" t="s">
        <v>5034</v>
      </c>
      <c r="C2227" s="6" t="s">
        <v>8013</v>
      </c>
    </row>
    <row r="2228" customFormat="false" ht="15" hidden="false" customHeight="true" outlineLevel="0" collapsed="false">
      <c r="A2228" s="6" t="s">
        <v>5034</v>
      </c>
      <c r="B2228" s="6" t="s">
        <v>9041</v>
      </c>
      <c r="C2228" s="6"/>
    </row>
    <row r="2229" customFormat="false" ht="15" hidden="false" customHeight="true" outlineLevel="0" collapsed="false">
      <c r="A2229" s="6" t="s">
        <v>5034</v>
      </c>
      <c r="B2229" s="6" t="s">
        <v>5039</v>
      </c>
      <c r="C2229" s="6" t="s">
        <v>8013</v>
      </c>
    </row>
    <row r="2230" customFormat="false" ht="15" hidden="false" customHeight="true" outlineLevel="0" collapsed="false">
      <c r="A2230" s="6" t="s">
        <v>5034</v>
      </c>
      <c r="B2230" s="6" t="s">
        <v>9042</v>
      </c>
      <c r="C2230" s="6"/>
    </row>
    <row r="2231" customFormat="false" ht="15" hidden="false" customHeight="true" outlineLevel="0" collapsed="false">
      <c r="A2231" s="6" t="s">
        <v>5034</v>
      </c>
      <c r="B2231" s="6" t="s">
        <v>9043</v>
      </c>
      <c r="C2231" s="6"/>
    </row>
    <row r="2232" customFormat="false" ht="15" hidden="false" customHeight="true" outlineLevel="0" collapsed="false">
      <c r="A2232" s="6" t="s">
        <v>5034</v>
      </c>
      <c r="B2232" s="6" t="s">
        <v>9044</v>
      </c>
      <c r="C2232" s="6"/>
    </row>
    <row r="2233" customFormat="false" ht="15" hidden="false" customHeight="true" outlineLevel="0" collapsed="false">
      <c r="A2233" s="6" t="s">
        <v>337</v>
      </c>
      <c r="B2233" s="6" t="s">
        <v>337</v>
      </c>
      <c r="C2233" s="6" t="s">
        <v>8013</v>
      </c>
    </row>
    <row r="2234" customFormat="false" ht="15" hidden="false" customHeight="true" outlineLevel="0" collapsed="false">
      <c r="A2234" s="6" t="s">
        <v>337</v>
      </c>
      <c r="B2234" s="6" t="s">
        <v>9045</v>
      </c>
      <c r="C2234" s="6"/>
    </row>
    <row r="2235" customFormat="false" ht="15" hidden="false" customHeight="true" outlineLevel="0" collapsed="false">
      <c r="A2235" s="6" t="s">
        <v>337</v>
      </c>
      <c r="B2235" s="6" t="s">
        <v>9046</v>
      </c>
      <c r="C2235" s="6"/>
    </row>
    <row r="2236" customFormat="false" ht="15" hidden="false" customHeight="true" outlineLevel="0" collapsed="false">
      <c r="A2236" s="6" t="s">
        <v>337</v>
      </c>
      <c r="B2236" s="6" t="s">
        <v>9047</v>
      </c>
      <c r="C2236" s="6"/>
    </row>
    <row r="2237" customFormat="false" ht="15" hidden="false" customHeight="true" outlineLevel="0" collapsed="false">
      <c r="A2237" s="6" t="s">
        <v>337</v>
      </c>
      <c r="B2237" s="6" t="s">
        <v>9048</v>
      </c>
      <c r="C2237" s="6"/>
    </row>
    <row r="2238" customFormat="false" ht="15" hidden="false" customHeight="true" outlineLevel="0" collapsed="false">
      <c r="A2238" s="6" t="s">
        <v>337</v>
      </c>
      <c r="B2238" s="6" t="s">
        <v>9049</v>
      </c>
      <c r="C2238" s="6"/>
    </row>
    <row r="2239" customFormat="false" ht="15" hidden="false" customHeight="true" outlineLevel="0" collapsed="false">
      <c r="A2239" s="6" t="s">
        <v>337</v>
      </c>
      <c r="B2239" s="6" t="s">
        <v>9050</v>
      </c>
      <c r="C2239" s="6"/>
    </row>
    <row r="2240" customFormat="false" ht="15" hidden="false" customHeight="true" outlineLevel="0" collapsed="false">
      <c r="A2240" s="6" t="s">
        <v>337</v>
      </c>
      <c r="B2240" s="6" t="s">
        <v>9051</v>
      </c>
      <c r="C2240" s="6"/>
    </row>
    <row r="2241" customFormat="false" ht="15" hidden="false" customHeight="true" outlineLevel="0" collapsed="false">
      <c r="A2241" s="6" t="s">
        <v>337</v>
      </c>
      <c r="B2241" s="6" t="s">
        <v>9052</v>
      </c>
      <c r="C2241" s="6"/>
    </row>
    <row r="2242" customFormat="false" ht="15" hidden="false" customHeight="true" outlineLevel="0" collapsed="false">
      <c r="A2242" s="6" t="s">
        <v>337</v>
      </c>
      <c r="B2242" s="6" t="s">
        <v>9053</v>
      </c>
      <c r="C2242" s="6"/>
    </row>
    <row r="2243" customFormat="false" ht="15" hidden="false" customHeight="true" outlineLevel="0" collapsed="false">
      <c r="A2243" s="6" t="s">
        <v>5954</v>
      </c>
      <c r="B2243" s="6" t="s">
        <v>5959</v>
      </c>
      <c r="C2243" s="6" t="s">
        <v>8013</v>
      </c>
    </row>
    <row r="2244" customFormat="false" ht="15" hidden="false" customHeight="true" outlineLevel="0" collapsed="false">
      <c r="A2244" s="6" t="s">
        <v>5954</v>
      </c>
      <c r="B2244" s="6" t="s">
        <v>9054</v>
      </c>
      <c r="C2244" s="6"/>
    </row>
    <row r="2245" customFormat="false" ht="15" hidden="false" customHeight="true" outlineLevel="0" collapsed="false">
      <c r="A2245" s="6" t="s">
        <v>5954</v>
      </c>
      <c r="B2245" s="6" t="s">
        <v>9055</v>
      </c>
      <c r="C2245" s="6"/>
    </row>
    <row r="2246" customFormat="false" ht="15" hidden="false" customHeight="true" outlineLevel="0" collapsed="false">
      <c r="A2246" s="6" t="s">
        <v>5064</v>
      </c>
      <c r="B2246" s="6" t="s">
        <v>5064</v>
      </c>
      <c r="C2246" s="6" t="s">
        <v>8013</v>
      </c>
    </row>
    <row r="2247" customFormat="false" ht="15" hidden="false" customHeight="true" outlineLevel="0" collapsed="false">
      <c r="A2247" s="6" t="s">
        <v>5064</v>
      </c>
      <c r="B2247" s="6" t="s">
        <v>9056</v>
      </c>
      <c r="C2247" s="6"/>
    </row>
    <row r="2248" customFormat="false" ht="15" hidden="false" customHeight="true" outlineLevel="0" collapsed="false">
      <c r="A2248" s="6" t="s">
        <v>5064</v>
      </c>
      <c r="B2248" s="6" t="s">
        <v>9057</v>
      </c>
      <c r="C2248" s="6"/>
    </row>
    <row r="2249" customFormat="false" ht="15" hidden="false" customHeight="true" outlineLevel="0" collapsed="false">
      <c r="A2249" s="6" t="s">
        <v>5064</v>
      </c>
      <c r="B2249" s="6" t="s">
        <v>7556</v>
      </c>
      <c r="C2249" s="6" t="s">
        <v>8013</v>
      </c>
    </row>
    <row r="2250" customFormat="false" ht="15" hidden="false" customHeight="true" outlineLevel="0" collapsed="false">
      <c r="A2250" s="6" t="s">
        <v>5064</v>
      </c>
      <c r="B2250" s="6" t="s">
        <v>7555</v>
      </c>
      <c r="C2250" s="6" t="s">
        <v>8013</v>
      </c>
    </row>
    <row r="2251" customFormat="false" ht="15" hidden="false" customHeight="true" outlineLevel="0" collapsed="false">
      <c r="A2251" s="6" t="s">
        <v>5064</v>
      </c>
      <c r="B2251" s="6" t="s">
        <v>5067</v>
      </c>
      <c r="C2251" s="6" t="s">
        <v>8013</v>
      </c>
    </row>
    <row r="2252" customFormat="false" ht="15" hidden="false" customHeight="true" outlineLevel="0" collapsed="false">
      <c r="A2252" s="6" t="s">
        <v>5064</v>
      </c>
      <c r="B2252" s="6" t="s">
        <v>9058</v>
      </c>
      <c r="C2252" s="6"/>
    </row>
    <row r="2253" customFormat="false" ht="15" hidden="false" customHeight="true" outlineLevel="0" collapsed="false">
      <c r="A2253" s="6" t="s">
        <v>5064</v>
      </c>
      <c r="B2253" s="6" t="s">
        <v>9059</v>
      </c>
      <c r="C2253" s="6"/>
    </row>
    <row r="2254" customFormat="false" ht="15" hidden="false" customHeight="true" outlineLevel="0" collapsed="false">
      <c r="A2254" s="6" t="s">
        <v>5064</v>
      </c>
      <c r="B2254" s="6" t="s">
        <v>7557</v>
      </c>
      <c r="C2254" s="6" t="s">
        <v>8013</v>
      </c>
    </row>
    <row r="2255" customFormat="false" ht="15" hidden="false" customHeight="true" outlineLevel="0" collapsed="false">
      <c r="A2255" s="6" t="s">
        <v>5064</v>
      </c>
      <c r="B2255" s="6" t="s">
        <v>9060</v>
      </c>
      <c r="C2255" s="6"/>
    </row>
    <row r="2256" customFormat="false" ht="15" hidden="false" customHeight="true" outlineLevel="0" collapsed="false">
      <c r="A2256" s="6" t="s">
        <v>353</v>
      </c>
      <c r="B2256" s="6" t="s">
        <v>353</v>
      </c>
      <c r="C2256" s="6" t="s">
        <v>8013</v>
      </c>
    </row>
    <row r="2257" customFormat="false" ht="15" hidden="false" customHeight="true" outlineLevel="0" collapsed="false">
      <c r="A2257" s="6" t="s">
        <v>353</v>
      </c>
      <c r="B2257" s="6" t="s">
        <v>9061</v>
      </c>
      <c r="C2257" s="6"/>
    </row>
    <row r="2258" customFormat="false" ht="15" hidden="false" customHeight="true" outlineLevel="0" collapsed="false">
      <c r="A2258" s="6" t="s">
        <v>353</v>
      </c>
      <c r="B2258" s="6" t="s">
        <v>9062</v>
      </c>
      <c r="C2258" s="6"/>
    </row>
    <row r="2259" customFormat="false" ht="15" hidden="false" customHeight="true" outlineLevel="0" collapsed="false">
      <c r="A2259" s="6" t="s">
        <v>353</v>
      </c>
      <c r="B2259" s="6" t="s">
        <v>9063</v>
      </c>
      <c r="C2259" s="6"/>
    </row>
    <row r="2260" customFormat="false" ht="15" hidden="false" customHeight="true" outlineLevel="0" collapsed="false">
      <c r="A2260" s="6" t="s">
        <v>353</v>
      </c>
      <c r="B2260" s="6" t="s">
        <v>9064</v>
      </c>
      <c r="C2260" s="6"/>
    </row>
    <row r="2261" customFormat="false" ht="15" hidden="false" customHeight="true" outlineLevel="0" collapsed="false">
      <c r="A2261" s="6" t="s">
        <v>353</v>
      </c>
      <c r="B2261" s="6" t="s">
        <v>9065</v>
      </c>
      <c r="C2261" s="6"/>
    </row>
    <row r="2262" customFormat="false" ht="15" hidden="false" customHeight="true" outlineLevel="0" collapsed="false">
      <c r="A2262" s="6" t="s">
        <v>353</v>
      </c>
      <c r="B2262" s="6" t="s">
        <v>9066</v>
      </c>
      <c r="C2262" s="6"/>
    </row>
    <row r="2263" customFormat="false" ht="15" hidden="false" customHeight="true" outlineLevel="0" collapsed="false">
      <c r="A2263" s="6" t="s">
        <v>353</v>
      </c>
      <c r="B2263" s="6" t="s">
        <v>9067</v>
      </c>
      <c r="C2263" s="6"/>
    </row>
    <row r="2264" customFormat="false" ht="15" hidden="false" customHeight="true" outlineLevel="0" collapsed="false">
      <c r="A2264" s="6" t="s">
        <v>353</v>
      </c>
      <c r="B2264" s="6" t="s">
        <v>9068</v>
      </c>
      <c r="C2264" s="6"/>
    </row>
    <row r="2265" customFormat="false" ht="15" hidden="false" customHeight="true" outlineLevel="0" collapsed="false">
      <c r="A2265" s="6" t="s">
        <v>353</v>
      </c>
      <c r="B2265" s="6" t="s">
        <v>9069</v>
      </c>
      <c r="C2265" s="6"/>
    </row>
    <row r="2266" customFormat="false" ht="15" hidden="false" customHeight="true" outlineLevel="0" collapsed="false">
      <c r="A2266" s="6" t="s">
        <v>5116</v>
      </c>
      <c r="B2266" s="6" t="s">
        <v>5116</v>
      </c>
      <c r="C2266" s="6" t="s">
        <v>8013</v>
      </c>
    </row>
    <row r="2267" customFormat="false" ht="15" hidden="false" customHeight="true" outlineLevel="0" collapsed="false">
      <c r="A2267" s="6" t="s">
        <v>5116</v>
      </c>
      <c r="B2267" s="6" t="s">
        <v>9070</v>
      </c>
      <c r="C2267" s="6"/>
    </row>
    <row r="2268" customFormat="false" ht="15" hidden="false" customHeight="true" outlineLevel="0" collapsed="false">
      <c r="A2268" s="6" t="s">
        <v>5116</v>
      </c>
      <c r="B2268" s="6" t="s">
        <v>9071</v>
      </c>
      <c r="C2268" s="6"/>
    </row>
    <row r="2269" customFormat="false" ht="15" hidden="false" customHeight="true" outlineLevel="0" collapsed="false">
      <c r="A2269" s="6" t="s">
        <v>5116</v>
      </c>
      <c r="B2269" s="6" t="s">
        <v>9072</v>
      </c>
      <c r="C2269" s="6"/>
    </row>
    <row r="2270" customFormat="false" ht="15" hidden="false" customHeight="true" outlineLevel="0" collapsed="false">
      <c r="A2270" s="6" t="s">
        <v>5116</v>
      </c>
      <c r="B2270" s="6" t="s">
        <v>5120</v>
      </c>
      <c r="C2270" s="6" t="s">
        <v>8013</v>
      </c>
    </row>
    <row r="2271" customFormat="false" ht="15" hidden="false" customHeight="true" outlineLevel="0" collapsed="false">
      <c r="A2271" s="6" t="s">
        <v>5116</v>
      </c>
      <c r="B2271" s="6" t="s">
        <v>9073</v>
      </c>
      <c r="C2271" s="6"/>
    </row>
    <row r="2272" customFormat="false" ht="15" hidden="false" customHeight="true" outlineLevel="0" collapsed="false">
      <c r="A2272" s="6" t="s">
        <v>5116</v>
      </c>
      <c r="B2272" s="6" t="s">
        <v>9074</v>
      </c>
      <c r="C2272" s="6"/>
    </row>
    <row r="2273" customFormat="false" ht="15" hidden="false" customHeight="true" outlineLevel="0" collapsed="false">
      <c r="A2273" s="6" t="s">
        <v>5116</v>
      </c>
      <c r="B2273" s="6" t="s">
        <v>9075</v>
      </c>
      <c r="C2273" s="6"/>
    </row>
    <row r="2274" customFormat="false" ht="15" hidden="false" customHeight="true" outlineLevel="0" collapsed="false">
      <c r="A2274" s="6" t="s">
        <v>5116</v>
      </c>
      <c r="B2274" s="6" t="s">
        <v>9076</v>
      </c>
      <c r="C2274" s="6"/>
    </row>
    <row r="2275" customFormat="false" ht="15" hidden="false" customHeight="true" outlineLevel="0" collapsed="false">
      <c r="A2275" s="6" t="s">
        <v>5116</v>
      </c>
      <c r="B2275" s="6" t="s">
        <v>9077</v>
      </c>
      <c r="C2275" s="6"/>
    </row>
    <row r="2276" customFormat="false" ht="15" hidden="false" customHeight="true" outlineLevel="0" collapsed="false">
      <c r="A2276" s="6" t="s">
        <v>5098</v>
      </c>
      <c r="B2276" s="6" t="s">
        <v>5098</v>
      </c>
      <c r="C2276" s="6" t="s">
        <v>8013</v>
      </c>
    </row>
    <row r="2277" customFormat="false" ht="15" hidden="false" customHeight="true" outlineLevel="0" collapsed="false">
      <c r="A2277" s="6" t="s">
        <v>5098</v>
      </c>
      <c r="B2277" s="6" t="s">
        <v>9078</v>
      </c>
      <c r="C2277" s="6"/>
    </row>
    <row r="2278" customFormat="false" ht="15" hidden="false" customHeight="true" outlineLevel="0" collapsed="false">
      <c r="A2278" s="6" t="s">
        <v>5098</v>
      </c>
      <c r="B2278" s="6" t="s">
        <v>9079</v>
      </c>
      <c r="C2278" s="6"/>
    </row>
    <row r="2279" customFormat="false" ht="15" hidden="false" customHeight="true" outlineLevel="0" collapsed="false">
      <c r="A2279" s="6" t="s">
        <v>5098</v>
      </c>
      <c r="B2279" s="6" t="s">
        <v>9080</v>
      </c>
      <c r="C2279" s="6"/>
    </row>
    <row r="2280" customFormat="false" ht="15" hidden="false" customHeight="true" outlineLevel="0" collapsed="false">
      <c r="A2280" s="6" t="s">
        <v>5098</v>
      </c>
      <c r="B2280" s="6" t="s">
        <v>9081</v>
      </c>
      <c r="C2280" s="6"/>
    </row>
    <row r="2281" customFormat="false" ht="15" hidden="false" customHeight="true" outlineLevel="0" collapsed="false">
      <c r="A2281" s="6" t="s">
        <v>5098</v>
      </c>
      <c r="B2281" s="6" t="s">
        <v>9082</v>
      </c>
      <c r="C2281" s="6"/>
    </row>
    <row r="2282" customFormat="false" ht="15" hidden="false" customHeight="true" outlineLevel="0" collapsed="false">
      <c r="A2282" s="6" t="s">
        <v>5098</v>
      </c>
      <c r="B2282" s="6" t="s">
        <v>9083</v>
      </c>
      <c r="C2282" s="6"/>
    </row>
    <row r="2283" customFormat="false" ht="15" hidden="false" customHeight="true" outlineLevel="0" collapsed="false">
      <c r="A2283" s="6" t="s">
        <v>5098</v>
      </c>
      <c r="B2283" s="6" t="s">
        <v>9084</v>
      </c>
      <c r="C2283" s="6"/>
    </row>
    <row r="2284" customFormat="false" ht="15" hidden="false" customHeight="true" outlineLevel="0" collapsed="false">
      <c r="A2284" s="6" t="s">
        <v>5098</v>
      </c>
      <c r="B2284" s="6" t="s">
        <v>9085</v>
      </c>
      <c r="C2284" s="6"/>
    </row>
    <row r="2285" customFormat="false" ht="15" hidden="false" customHeight="true" outlineLevel="0" collapsed="false">
      <c r="A2285" s="6" t="s">
        <v>5076</v>
      </c>
      <c r="B2285" s="6" t="s">
        <v>9086</v>
      </c>
      <c r="C2285" s="6"/>
    </row>
    <row r="2286" customFormat="false" ht="15" hidden="false" customHeight="true" outlineLevel="0" collapsed="false">
      <c r="A2286" s="6" t="s">
        <v>5076</v>
      </c>
      <c r="B2286" s="6" t="s">
        <v>5076</v>
      </c>
      <c r="C2286" s="6" t="s">
        <v>8013</v>
      </c>
    </row>
    <row r="2287" customFormat="false" ht="15" hidden="false" customHeight="true" outlineLevel="0" collapsed="false">
      <c r="A2287" s="6" t="s">
        <v>5076</v>
      </c>
      <c r="B2287" s="6" t="s">
        <v>9087</v>
      </c>
      <c r="C2287" s="6"/>
    </row>
    <row r="2288" customFormat="false" ht="15" hidden="false" customHeight="true" outlineLevel="0" collapsed="false">
      <c r="A2288" s="6" t="s">
        <v>5076</v>
      </c>
      <c r="B2288" s="6" t="s">
        <v>9088</v>
      </c>
      <c r="C2288" s="6"/>
    </row>
    <row r="2289" customFormat="false" ht="15" hidden="false" customHeight="true" outlineLevel="0" collapsed="false">
      <c r="A2289" s="6" t="s">
        <v>5076</v>
      </c>
      <c r="B2289" s="6" t="s">
        <v>9089</v>
      </c>
      <c r="C2289" s="6"/>
    </row>
    <row r="2290" customFormat="false" ht="15" hidden="false" customHeight="true" outlineLevel="0" collapsed="false">
      <c r="A2290" s="6" t="s">
        <v>5076</v>
      </c>
      <c r="B2290" s="6" t="s">
        <v>9090</v>
      </c>
      <c r="C2290" s="6"/>
    </row>
    <row r="2291" customFormat="false" ht="15" hidden="false" customHeight="true" outlineLevel="0" collapsed="false">
      <c r="A2291" s="6" t="s">
        <v>5076</v>
      </c>
      <c r="B2291" s="6" t="s">
        <v>9091</v>
      </c>
      <c r="C2291" s="6"/>
    </row>
    <row r="2292" customFormat="false" ht="15" hidden="false" customHeight="true" outlineLevel="0" collapsed="false">
      <c r="A2292" s="6" t="s">
        <v>5076</v>
      </c>
      <c r="B2292" s="6" t="s">
        <v>9092</v>
      </c>
      <c r="C2292" s="6"/>
    </row>
    <row r="2293" customFormat="false" ht="15" hidden="false" customHeight="true" outlineLevel="0" collapsed="false">
      <c r="A2293" s="6" t="s">
        <v>5076</v>
      </c>
      <c r="B2293" s="6" t="s">
        <v>9093</v>
      </c>
      <c r="C2293" s="6"/>
    </row>
    <row r="2294" customFormat="false" ht="15" hidden="false" customHeight="true" outlineLevel="0" collapsed="false">
      <c r="A2294" s="6" t="s">
        <v>5076</v>
      </c>
      <c r="B2294" s="6" t="s">
        <v>9094</v>
      </c>
      <c r="C2294" s="6"/>
    </row>
    <row r="2295" customFormat="false" ht="15" hidden="false" customHeight="true" outlineLevel="0" collapsed="false">
      <c r="A2295" s="6" t="s">
        <v>5107</v>
      </c>
      <c r="B2295" s="6" t="s">
        <v>5107</v>
      </c>
      <c r="C2295" s="6" t="s">
        <v>8013</v>
      </c>
    </row>
    <row r="2296" customFormat="false" ht="15" hidden="false" customHeight="true" outlineLevel="0" collapsed="false">
      <c r="A2296" s="6" t="s">
        <v>5107</v>
      </c>
      <c r="B2296" s="6" t="s">
        <v>5111</v>
      </c>
      <c r="C2296" s="6" t="s">
        <v>8013</v>
      </c>
    </row>
    <row r="2297" customFormat="false" ht="15" hidden="false" customHeight="true" outlineLevel="0" collapsed="false">
      <c r="A2297" s="6" t="s">
        <v>5107</v>
      </c>
      <c r="B2297" s="6" t="s">
        <v>9095</v>
      </c>
      <c r="C2297" s="6"/>
    </row>
    <row r="2298" customFormat="false" ht="15" hidden="false" customHeight="true" outlineLevel="0" collapsed="false">
      <c r="A2298" s="6" t="s">
        <v>5107</v>
      </c>
      <c r="B2298" s="6" t="s">
        <v>9096</v>
      </c>
      <c r="C2298" s="6"/>
    </row>
    <row r="2299" customFormat="false" ht="15" hidden="false" customHeight="true" outlineLevel="0" collapsed="false">
      <c r="A2299" s="6" t="s">
        <v>5107</v>
      </c>
      <c r="B2299" s="6" t="s">
        <v>9097</v>
      </c>
      <c r="C2299" s="6"/>
    </row>
    <row r="2300" customFormat="false" ht="15" hidden="false" customHeight="true" outlineLevel="0" collapsed="false">
      <c r="A2300" s="6" t="s">
        <v>5107</v>
      </c>
      <c r="B2300" s="6" t="s">
        <v>9098</v>
      </c>
      <c r="C2300" s="6"/>
    </row>
    <row r="2301" customFormat="false" ht="15" hidden="false" customHeight="true" outlineLevel="0" collapsed="false">
      <c r="A2301" s="6" t="s">
        <v>5107</v>
      </c>
      <c r="B2301" s="6" t="s">
        <v>9099</v>
      </c>
      <c r="C2301" s="6"/>
    </row>
    <row r="2302" customFormat="false" ht="15" hidden="false" customHeight="true" outlineLevel="0" collapsed="false">
      <c r="A2302" s="6" t="s">
        <v>5107</v>
      </c>
      <c r="B2302" s="6" t="s">
        <v>9100</v>
      </c>
      <c r="C2302" s="6"/>
    </row>
    <row r="2303" customFormat="false" ht="15" hidden="false" customHeight="true" outlineLevel="0" collapsed="false">
      <c r="A2303" s="6" t="s">
        <v>5107</v>
      </c>
      <c r="B2303" s="6" t="s">
        <v>9101</v>
      </c>
      <c r="C2303" s="6"/>
    </row>
    <row r="2304" customFormat="false" ht="15" hidden="false" customHeight="true" outlineLevel="0" collapsed="false">
      <c r="A2304" s="6" t="s">
        <v>5107</v>
      </c>
      <c r="B2304" s="6" t="s">
        <v>9102</v>
      </c>
      <c r="C2304" s="6"/>
    </row>
    <row r="2305" customFormat="false" ht="15" hidden="false" customHeight="true" outlineLevel="0" collapsed="false">
      <c r="A2305" s="6" t="s">
        <v>326</v>
      </c>
      <c r="B2305" s="6" t="s">
        <v>326</v>
      </c>
      <c r="C2305" s="6" t="s">
        <v>8013</v>
      </c>
    </row>
    <row r="2306" customFormat="false" ht="15" hidden="false" customHeight="true" outlineLevel="0" collapsed="false">
      <c r="A2306" s="6" t="s">
        <v>326</v>
      </c>
      <c r="B2306" s="6" t="s">
        <v>9103</v>
      </c>
      <c r="C2306" s="6"/>
    </row>
    <row r="2307" customFormat="false" ht="15" hidden="false" customHeight="true" outlineLevel="0" collapsed="false">
      <c r="A2307" s="6" t="s">
        <v>326</v>
      </c>
      <c r="B2307" s="6" t="s">
        <v>9104</v>
      </c>
      <c r="C2307" s="6"/>
    </row>
    <row r="2308" customFormat="false" ht="15" hidden="false" customHeight="true" outlineLevel="0" collapsed="false">
      <c r="A2308" s="6" t="s">
        <v>326</v>
      </c>
      <c r="B2308" s="6" t="s">
        <v>9105</v>
      </c>
      <c r="C2308" s="6"/>
    </row>
    <row r="2309" customFormat="false" ht="15" hidden="false" customHeight="true" outlineLevel="0" collapsed="false">
      <c r="A2309" s="6" t="s">
        <v>326</v>
      </c>
      <c r="B2309" s="6" t="s">
        <v>9106</v>
      </c>
      <c r="C2309" s="6"/>
    </row>
    <row r="2310" customFormat="false" ht="15" hidden="false" customHeight="true" outlineLevel="0" collapsed="false">
      <c r="A2310" s="6" t="s">
        <v>326</v>
      </c>
      <c r="B2310" s="6" t="s">
        <v>9107</v>
      </c>
      <c r="C2310" s="6"/>
    </row>
    <row r="2311" customFormat="false" ht="15" hidden="false" customHeight="true" outlineLevel="0" collapsed="false">
      <c r="A2311" s="6" t="s">
        <v>326</v>
      </c>
      <c r="B2311" s="6" t="s">
        <v>9108</v>
      </c>
      <c r="C2311" s="6"/>
    </row>
    <row r="2312" customFormat="false" ht="15" hidden="false" customHeight="true" outlineLevel="0" collapsed="false">
      <c r="A2312" s="6" t="s">
        <v>326</v>
      </c>
      <c r="B2312" s="6" t="s">
        <v>9109</v>
      </c>
      <c r="C2312" s="6"/>
    </row>
    <row r="2313" customFormat="false" ht="15" hidden="false" customHeight="true" outlineLevel="0" collapsed="false">
      <c r="A2313" s="6" t="s">
        <v>326</v>
      </c>
      <c r="B2313" s="6" t="s">
        <v>9110</v>
      </c>
      <c r="C2313" s="6"/>
    </row>
    <row r="2314" customFormat="false" ht="15" hidden="false" customHeight="true" outlineLevel="0" collapsed="false">
      <c r="A2314" s="6" t="s">
        <v>326</v>
      </c>
      <c r="B2314" s="6" t="s">
        <v>9111</v>
      </c>
      <c r="C2314" s="6"/>
    </row>
    <row r="2315" customFormat="false" ht="15" hidden="false" customHeight="true" outlineLevel="0" collapsed="false">
      <c r="A2315" s="6" t="s">
        <v>5087</v>
      </c>
      <c r="B2315" s="6" t="s">
        <v>5087</v>
      </c>
      <c r="C2315" s="6" t="s">
        <v>8013</v>
      </c>
    </row>
    <row r="2316" customFormat="false" ht="15" hidden="false" customHeight="true" outlineLevel="0" collapsed="false">
      <c r="A2316" s="6" t="s">
        <v>5087</v>
      </c>
      <c r="B2316" s="6" t="s">
        <v>9112</v>
      </c>
      <c r="C2316" s="6"/>
    </row>
    <row r="2317" customFormat="false" ht="15" hidden="false" customHeight="true" outlineLevel="0" collapsed="false">
      <c r="A2317" s="6" t="s">
        <v>5087</v>
      </c>
      <c r="B2317" s="6" t="s">
        <v>9113</v>
      </c>
      <c r="C2317" s="6"/>
    </row>
    <row r="2318" customFormat="false" ht="15" hidden="false" customHeight="true" outlineLevel="0" collapsed="false">
      <c r="A2318" s="6" t="s">
        <v>5087</v>
      </c>
      <c r="B2318" s="6" t="s">
        <v>9114</v>
      </c>
      <c r="C2318" s="6"/>
    </row>
    <row r="2319" customFormat="false" ht="15" hidden="false" customHeight="true" outlineLevel="0" collapsed="false">
      <c r="A2319" s="6" t="s">
        <v>5087</v>
      </c>
      <c r="B2319" s="6" t="s">
        <v>9115</v>
      </c>
      <c r="C2319" s="6"/>
    </row>
    <row r="2320" customFormat="false" ht="15" hidden="false" customHeight="true" outlineLevel="0" collapsed="false">
      <c r="A2320" s="6" t="s">
        <v>5087</v>
      </c>
      <c r="B2320" s="6" t="s">
        <v>9116</v>
      </c>
      <c r="C2320" s="6"/>
    </row>
    <row r="2321" customFormat="false" ht="15" hidden="false" customHeight="true" outlineLevel="0" collapsed="false">
      <c r="A2321" s="6" t="s">
        <v>5087</v>
      </c>
      <c r="B2321" s="6" t="s">
        <v>9117</v>
      </c>
      <c r="C2321" s="6"/>
    </row>
    <row r="2322" customFormat="false" ht="15" hidden="false" customHeight="true" outlineLevel="0" collapsed="false">
      <c r="A2322" s="6" t="s">
        <v>5142</v>
      </c>
      <c r="B2322" s="6" t="s">
        <v>7575</v>
      </c>
      <c r="C2322" s="6" t="s">
        <v>8013</v>
      </c>
    </row>
    <row r="2323" customFormat="false" ht="15" hidden="false" customHeight="true" outlineLevel="0" collapsed="false">
      <c r="A2323" s="6" t="s">
        <v>5142</v>
      </c>
      <c r="B2323" s="6" t="s">
        <v>9118</v>
      </c>
      <c r="C2323" s="6"/>
    </row>
    <row r="2324" customFormat="false" ht="15" hidden="false" customHeight="true" outlineLevel="0" collapsed="false">
      <c r="A2324" s="6" t="s">
        <v>5142</v>
      </c>
      <c r="B2324" s="6" t="s">
        <v>9119</v>
      </c>
      <c r="C2324" s="6"/>
    </row>
    <row r="2325" customFormat="false" ht="15" hidden="false" customHeight="true" outlineLevel="0" collapsed="false">
      <c r="A2325" s="6" t="s">
        <v>5142</v>
      </c>
      <c r="B2325" s="6" t="s">
        <v>9120</v>
      </c>
      <c r="C2325" s="6"/>
    </row>
    <row r="2326" customFormat="false" ht="15" hidden="false" customHeight="true" outlineLevel="0" collapsed="false">
      <c r="A2326" s="6" t="s">
        <v>5142</v>
      </c>
      <c r="B2326" s="6" t="s">
        <v>7569</v>
      </c>
      <c r="C2326" s="6" t="s">
        <v>8013</v>
      </c>
    </row>
    <row r="2327" customFormat="false" ht="15" hidden="false" customHeight="true" outlineLevel="0" collapsed="false">
      <c r="A2327" s="6" t="s">
        <v>5129</v>
      </c>
      <c r="B2327" s="6" t="s">
        <v>5129</v>
      </c>
      <c r="C2327" s="6" t="s">
        <v>8013</v>
      </c>
    </row>
    <row r="2328" customFormat="false" ht="15" hidden="false" customHeight="true" outlineLevel="0" collapsed="false">
      <c r="A2328" s="6" t="s">
        <v>5129</v>
      </c>
      <c r="B2328" s="6" t="s">
        <v>5133</v>
      </c>
      <c r="C2328" s="6" t="s">
        <v>8013</v>
      </c>
    </row>
    <row r="2329" customFormat="false" ht="15" hidden="false" customHeight="true" outlineLevel="0" collapsed="false">
      <c r="A2329" s="6" t="s">
        <v>5129</v>
      </c>
      <c r="B2329" s="6" t="s">
        <v>7571</v>
      </c>
      <c r="C2329" s="6" t="s">
        <v>8013</v>
      </c>
    </row>
    <row r="2330" customFormat="false" ht="15" hidden="false" customHeight="true" outlineLevel="0" collapsed="false">
      <c r="A2330" s="6" t="s">
        <v>5129</v>
      </c>
      <c r="B2330" s="6" t="s">
        <v>7574</v>
      </c>
      <c r="C2330" s="6" t="s">
        <v>8013</v>
      </c>
    </row>
    <row r="2331" customFormat="false" ht="15" hidden="false" customHeight="true" outlineLevel="0" collapsed="false">
      <c r="A2331" s="6" t="s">
        <v>5129</v>
      </c>
      <c r="B2331" s="6" t="s">
        <v>7573</v>
      </c>
      <c r="C2331" s="6" t="s">
        <v>8013</v>
      </c>
    </row>
    <row r="2332" customFormat="false" ht="15" hidden="false" customHeight="true" outlineLevel="0" collapsed="false">
      <c r="A2332" s="6" t="s">
        <v>5129</v>
      </c>
      <c r="B2332" s="6" t="s">
        <v>9121</v>
      </c>
      <c r="C2332" s="6"/>
    </row>
    <row r="2333" customFormat="false" ht="15" hidden="false" customHeight="true" outlineLevel="0" collapsed="false">
      <c r="A2333" s="6" t="s">
        <v>5129</v>
      </c>
      <c r="B2333" s="6" t="s">
        <v>7570</v>
      </c>
      <c r="C2333" s="6" t="s">
        <v>8013</v>
      </c>
    </row>
    <row r="2334" customFormat="false" ht="15" hidden="false" customHeight="true" outlineLevel="0" collapsed="false">
      <c r="A2334" s="6" t="s">
        <v>5129</v>
      </c>
      <c r="B2334" s="6" t="s">
        <v>9122</v>
      </c>
      <c r="C2334" s="6"/>
    </row>
    <row r="2335" customFormat="false" ht="15" hidden="false" customHeight="true" outlineLevel="0" collapsed="false">
      <c r="A2335" s="6" t="s">
        <v>5129</v>
      </c>
      <c r="B2335" s="6" t="s">
        <v>7572</v>
      </c>
      <c r="C2335" s="6" t="s">
        <v>8013</v>
      </c>
    </row>
    <row r="2336" customFormat="false" ht="15" hidden="false" customHeight="true" outlineLevel="0" collapsed="false">
      <c r="A2336" s="6" t="s">
        <v>5129</v>
      </c>
      <c r="B2336" s="6" t="s">
        <v>9123</v>
      </c>
      <c r="C2336" s="6"/>
    </row>
    <row r="2337" customFormat="false" ht="15" hidden="false" customHeight="true" outlineLevel="0" collapsed="false">
      <c r="A2337" s="6" t="s">
        <v>344</v>
      </c>
      <c r="B2337" s="6" t="s">
        <v>344</v>
      </c>
      <c r="C2337" s="6" t="s">
        <v>8013</v>
      </c>
    </row>
    <row r="2338" customFormat="false" ht="15" hidden="false" customHeight="true" outlineLevel="0" collapsed="false">
      <c r="A2338" s="6" t="s">
        <v>344</v>
      </c>
      <c r="B2338" s="6" t="s">
        <v>9124</v>
      </c>
      <c r="C2338" s="6"/>
    </row>
    <row r="2339" customFormat="false" ht="15" hidden="false" customHeight="true" outlineLevel="0" collapsed="false">
      <c r="A2339" s="6" t="s">
        <v>344</v>
      </c>
      <c r="B2339" s="6" t="s">
        <v>9125</v>
      </c>
      <c r="C2339" s="6"/>
    </row>
    <row r="2340" customFormat="false" ht="15" hidden="false" customHeight="true" outlineLevel="0" collapsed="false">
      <c r="A2340" s="6" t="s">
        <v>344</v>
      </c>
      <c r="B2340" s="6" t="s">
        <v>9126</v>
      </c>
      <c r="C2340" s="6"/>
    </row>
    <row r="2341" customFormat="false" ht="15" hidden="false" customHeight="true" outlineLevel="0" collapsed="false">
      <c r="A2341" s="6" t="s">
        <v>344</v>
      </c>
      <c r="B2341" s="6" t="s">
        <v>9127</v>
      </c>
      <c r="C2341" s="6"/>
    </row>
    <row r="2342" customFormat="false" ht="15" hidden="false" customHeight="true" outlineLevel="0" collapsed="false">
      <c r="A2342" s="6" t="s">
        <v>344</v>
      </c>
      <c r="B2342" s="6" t="s">
        <v>9128</v>
      </c>
      <c r="C2342" s="6"/>
    </row>
    <row r="2343" customFormat="false" ht="15" hidden="false" customHeight="true" outlineLevel="0" collapsed="false">
      <c r="A2343" s="6" t="s">
        <v>344</v>
      </c>
      <c r="B2343" s="6" t="s">
        <v>9129</v>
      </c>
      <c r="C2343" s="6"/>
    </row>
    <row r="2344" customFormat="false" ht="15" hidden="false" customHeight="true" outlineLevel="0" collapsed="false">
      <c r="A2344" s="6" t="s">
        <v>344</v>
      </c>
      <c r="B2344" s="6" t="s">
        <v>9130</v>
      </c>
      <c r="C2344" s="6"/>
    </row>
    <row r="2345" customFormat="false" ht="15" hidden="false" customHeight="true" outlineLevel="0" collapsed="false">
      <c r="A2345" s="6" t="s">
        <v>344</v>
      </c>
      <c r="B2345" s="6" t="s">
        <v>9131</v>
      </c>
      <c r="C2345" s="6"/>
    </row>
    <row r="2346" customFormat="false" ht="15" hidden="false" customHeight="true" outlineLevel="0" collapsed="false">
      <c r="A2346" s="6" t="s">
        <v>344</v>
      </c>
      <c r="B2346" s="6" t="s">
        <v>9132</v>
      </c>
      <c r="C2346" s="6"/>
    </row>
    <row r="2347" customFormat="false" ht="15" hidden="false" customHeight="true" outlineLevel="0" collapsed="false">
      <c r="A2347" s="6" t="s">
        <v>5155</v>
      </c>
      <c r="B2347" s="6" t="s">
        <v>5155</v>
      </c>
      <c r="C2347" s="6" t="s">
        <v>8013</v>
      </c>
    </row>
    <row r="2348" customFormat="false" ht="15" hidden="false" customHeight="true" outlineLevel="0" collapsed="false">
      <c r="A2348" s="6" t="s">
        <v>5155</v>
      </c>
      <c r="B2348" s="6" t="s">
        <v>9133</v>
      </c>
      <c r="C2348" s="6"/>
    </row>
    <row r="2349" customFormat="false" ht="15" hidden="false" customHeight="true" outlineLevel="0" collapsed="false">
      <c r="A2349" s="6" t="s">
        <v>317</v>
      </c>
      <c r="B2349" s="6" t="s">
        <v>317</v>
      </c>
      <c r="C2349" s="6" t="s">
        <v>8013</v>
      </c>
    </row>
    <row r="2350" customFormat="false" ht="15" hidden="false" customHeight="true" outlineLevel="0" collapsed="false">
      <c r="A2350" s="6" t="s">
        <v>317</v>
      </c>
      <c r="B2350" s="6" t="s">
        <v>9134</v>
      </c>
      <c r="C2350" s="6"/>
    </row>
    <row r="2351" customFormat="false" ht="15" hidden="false" customHeight="true" outlineLevel="0" collapsed="false">
      <c r="A2351" s="6" t="s">
        <v>317</v>
      </c>
      <c r="B2351" s="6" t="s">
        <v>9135</v>
      </c>
      <c r="C2351" s="6"/>
    </row>
    <row r="2352" customFormat="false" ht="15" hidden="false" customHeight="true" outlineLevel="0" collapsed="false">
      <c r="A2352" s="6" t="s">
        <v>317</v>
      </c>
      <c r="B2352" s="6" t="s">
        <v>9136</v>
      </c>
      <c r="C2352" s="6"/>
    </row>
    <row r="2353" customFormat="false" ht="15" hidden="false" customHeight="true" outlineLevel="0" collapsed="false">
      <c r="A2353" s="6" t="s">
        <v>317</v>
      </c>
      <c r="B2353" s="6" t="s">
        <v>9137</v>
      </c>
      <c r="C2353" s="6"/>
    </row>
    <row r="2354" customFormat="false" ht="15" hidden="false" customHeight="true" outlineLevel="0" collapsed="false">
      <c r="A2354" s="6" t="s">
        <v>317</v>
      </c>
      <c r="B2354" s="6" t="s">
        <v>9138</v>
      </c>
      <c r="C2354" s="6"/>
    </row>
    <row r="2355" customFormat="false" ht="15" hidden="false" customHeight="true" outlineLevel="0" collapsed="false">
      <c r="A2355" s="6" t="s">
        <v>317</v>
      </c>
      <c r="B2355" s="6" t="s">
        <v>9139</v>
      </c>
      <c r="C2355" s="6"/>
    </row>
    <row r="2356" customFormat="false" ht="15" hidden="false" customHeight="true" outlineLevel="0" collapsed="false">
      <c r="A2356" s="6" t="s">
        <v>317</v>
      </c>
      <c r="B2356" s="6" t="s">
        <v>9140</v>
      </c>
      <c r="C2356" s="6"/>
    </row>
    <row r="2357" customFormat="false" ht="15" hidden="false" customHeight="true" outlineLevel="0" collapsed="false">
      <c r="A2357" s="6" t="s">
        <v>317</v>
      </c>
      <c r="B2357" s="6" t="s">
        <v>9141</v>
      </c>
      <c r="C2357" s="6"/>
    </row>
    <row r="2358" customFormat="false" ht="15" hidden="false" customHeight="true" outlineLevel="0" collapsed="false">
      <c r="A2358" s="6" t="s">
        <v>317</v>
      </c>
      <c r="B2358" s="6" t="s">
        <v>9142</v>
      </c>
      <c r="C2358" s="6"/>
    </row>
    <row r="2359" customFormat="false" ht="15" hidden="false" customHeight="true" outlineLevel="0" collapsed="false">
      <c r="A2359" s="6" t="s">
        <v>5188</v>
      </c>
      <c r="B2359" s="6" t="s">
        <v>9143</v>
      </c>
      <c r="C2359" s="6"/>
    </row>
    <row r="2360" customFormat="false" ht="15" hidden="false" customHeight="true" outlineLevel="0" collapsed="false">
      <c r="A2360" s="6" t="s">
        <v>5188</v>
      </c>
      <c r="B2360" s="6" t="s">
        <v>9144</v>
      </c>
      <c r="C2360" s="6"/>
    </row>
    <row r="2361" customFormat="false" ht="15" hidden="false" customHeight="true" outlineLevel="0" collapsed="false">
      <c r="A2361" s="6" t="s">
        <v>5188</v>
      </c>
      <c r="B2361" s="6" t="s">
        <v>9145</v>
      </c>
      <c r="C2361" s="6"/>
    </row>
    <row r="2362" customFormat="false" ht="15" hidden="false" customHeight="true" outlineLevel="0" collapsed="false">
      <c r="A2362" s="6" t="s">
        <v>5188</v>
      </c>
      <c r="B2362" s="6" t="s">
        <v>9146</v>
      </c>
      <c r="C2362" s="6"/>
    </row>
    <row r="2363" customFormat="false" ht="15" hidden="false" customHeight="true" outlineLevel="0" collapsed="false">
      <c r="A2363" s="6" t="s">
        <v>5188</v>
      </c>
      <c r="B2363" s="6" t="s">
        <v>9147</v>
      </c>
      <c r="C2363" s="6"/>
    </row>
    <row r="2364" customFormat="false" ht="15" hidden="false" customHeight="true" outlineLevel="0" collapsed="false">
      <c r="A2364" s="6" t="s">
        <v>5188</v>
      </c>
      <c r="B2364" s="6" t="s">
        <v>9148</v>
      </c>
      <c r="C2364" s="6"/>
    </row>
    <row r="2365" customFormat="false" ht="15" hidden="false" customHeight="true" outlineLevel="0" collapsed="false">
      <c r="A2365" s="6" t="s">
        <v>6629</v>
      </c>
      <c r="B2365" s="6" t="s">
        <v>6629</v>
      </c>
      <c r="C2365" s="6" t="s">
        <v>8013</v>
      </c>
    </row>
    <row r="2366" customFormat="false" ht="15" hidden="false" customHeight="true" outlineLevel="0" collapsed="false">
      <c r="A2366" s="6" t="s">
        <v>6629</v>
      </c>
      <c r="B2366" s="6" t="s">
        <v>9149</v>
      </c>
      <c r="C2366" s="6"/>
    </row>
    <row r="2367" customFormat="false" ht="15" hidden="false" customHeight="true" outlineLevel="0" collapsed="false">
      <c r="A2367" s="6" t="s">
        <v>6629</v>
      </c>
      <c r="B2367" s="6" t="s">
        <v>9150</v>
      </c>
      <c r="C2367" s="6"/>
    </row>
    <row r="2368" customFormat="false" ht="15" hidden="false" customHeight="true" outlineLevel="0" collapsed="false">
      <c r="A2368" s="6" t="s">
        <v>6629</v>
      </c>
      <c r="B2368" s="6" t="s">
        <v>9151</v>
      </c>
      <c r="C2368" s="6"/>
    </row>
    <row r="2369" customFormat="false" ht="15" hidden="false" customHeight="true" outlineLevel="0" collapsed="false">
      <c r="A2369" s="6" t="s">
        <v>6629</v>
      </c>
      <c r="B2369" s="6" t="s">
        <v>9152</v>
      </c>
      <c r="C2369" s="6"/>
    </row>
    <row r="2370" customFormat="false" ht="15" hidden="false" customHeight="true" outlineLevel="0" collapsed="false">
      <c r="A2370" s="6" t="s">
        <v>6629</v>
      </c>
      <c r="B2370" s="6" t="s">
        <v>9153</v>
      </c>
      <c r="C2370" s="6"/>
    </row>
    <row r="2371" customFormat="false" ht="15" hidden="false" customHeight="true" outlineLevel="0" collapsed="false">
      <c r="A2371" s="6" t="s">
        <v>6629</v>
      </c>
      <c r="B2371" s="6" t="s">
        <v>9154</v>
      </c>
      <c r="C2371" s="6"/>
    </row>
    <row r="2372" customFormat="false" ht="15" hidden="false" customHeight="true" outlineLevel="0" collapsed="false">
      <c r="A2372" s="6" t="s">
        <v>6629</v>
      </c>
      <c r="B2372" s="6" t="s">
        <v>9155</v>
      </c>
      <c r="C2372" s="6"/>
    </row>
    <row r="2373" customFormat="false" ht="15" hidden="false" customHeight="true" outlineLevel="0" collapsed="false">
      <c r="A2373" s="6" t="s">
        <v>6629</v>
      </c>
      <c r="B2373" s="6" t="s">
        <v>9156</v>
      </c>
      <c r="C2373" s="6"/>
    </row>
    <row r="2374" customFormat="false" ht="15" hidden="false" customHeight="true" outlineLevel="0" collapsed="false">
      <c r="A2374" s="6" t="s">
        <v>6629</v>
      </c>
      <c r="B2374" s="6" t="s">
        <v>9157</v>
      </c>
      <c r="C2374" s="6"/>
    </row>
    <row r="2375" customFormat="false" ht="15" hidden="false" customHeight="true" outlineLevel="0" collapsed="false">
      <c r="A2375" s="6" t="s">
        <v>5198</v>
      </c>
      <c r="B2375" s="6" t="s">
        <v>5198</v>
      </c>
      <c r="C2375" s="6" t="s">
        <v>8013</v>
      </c>
    </row>
    <row r="2376" customFormat="false" ht="15" hidden="false" customHeight="true" outlineLevel="0" collapsed="false">
      <c r="A2376" s="6" t="s">
        <v>5198</v>
      </c>
      <c r="B2376" s="6" t="s">
        <v>9158</v>
      </c>
      <c r="C2376" s="6"/>
    </row>
    <row r="2377" customFormat="false" ht="15" hidden="false" customHeight="true" outlineLevel="0" collapsed="false">
      <c r="A2377" s="6" t="s">
        <v>5198</v>
      </c>
      <c r="B2377" s="6" t="s">
        <v>9159</v>
      </c>
      <c r="C2377" s="6"/>
    </row>
    <row r="2378" customFormat="false" ht="15" hidden="false" customHeight="true" outlineLevel="0" collapsed="false">
      <c r="A2378" s="6" t="s">
        <v>5198</v>
      </c>
      <c r="B2378" s="6" t="s">
        <v>9160</v>
      </c>
      <c r="C2378" s="6"/>
    </row>
    <row r="2379" customFormat="false" ht="15" hidden="false" customHeight="true" outlineLevel="0" collapsed="false">
      <c r="A2379" s="6" t="s">
        <v>5198</v>
      </c>
      <c r="B2379" s="6" t="s">
        <v>9161</v>
      </c>
      <c r="C2379" s="6"/>
    </row>
    <row r="2380" customFormat="false" ht="15" hidden="false" customHeight="true" outlineLevel="0" collapsed="false">
      <c r="A2380" s="6" t="s">
        <v>5198</v>
      </c>
      <c r="B2380" s="6" t="s">
        <v>9162</v>
      </c>
      <c r="C2380" s="6"/>
    </row>
    <row r="2381" customFormat="false" ht="15" hidden="false" customHeight="true" outlineLevel="0" collapsed="false">
      <c r="A2381" s="6" t="s">
        <v>5198</v>
      </c>
      <c r="B2381" s="6" t="s">
        <v>9163</v>
      </c>
      <c r="C2381" s="6"/>
    </row>
    <row r="2382" customFormat="false" ht="15" hidden="false" customHeight="true" outlineLevel="0" collapsed="false">
      <c r="A2382" s="6" t="s">
        <v>5198</v>
      </c>
      <c r="B2382" s="6" t="s">
        <v>9164</v>
      </c>
      <c r="C2382" s="6"/>
    </row>
    <row r="2383" customFormat="false" ht="15" hidden="false" customHeight="true" outlineLevel="0" collapsed="false">
      <c r="A2383" s="6" t="s">
        <v>5198</v>
      </c>
      <c r="B2383" s="6" t="s">
        <v>9165</v>
      </c>
      <c r="C2383" s="6"/>
    </row>
    <row r="2384" customFormat="false" ht="15" hidden="false" customHeight="true" outlineLevel="0" collapsed="false">
      <c r="A2384" s="6" t="s">
        <v>5198</v>
      </c>
      <c r="B2384" s="6" t="s">
        <v>9166</v>
      </c>
      <c r="C2384" s="6"/>
    </row>
    <row r="2385" customFormat="false" ht="15" hidden="false" customHeight="true" outlineLevel="0" collapsed="false">
      <c r="A2385" s="6" t="s">
        <v>6631</v>
      </c>
      <c r="B2385" s="6" t="s">
        <v>6631</v>
      </c>
      <c r="C2385" s="6" t="s">
        <v>8013</v>
      </c>
    </row>
    <row r="2386" customFormat="false" ht="15" hidden="false" customHeight="true" outlineLevel="0" collapsed="false">
      <c r="A2386" s="6" t="s">
        <v>6631</v>
      </c>
      <c r="B2386" s="6" t="s">
        <v>9167</v>
      </c>
      <c r="C2386" s="6"/>
    </row>
    <row r="2387" customFormat="false" ht="15" hidden="false" customHeight="true" outlineLevel="0" collapsed="false">
      <c r="A2387" s="6" t="s">
        <v>6631</v>
      </c>
      <c r="B2387" s="6" t="s">
        <v>6632</v>
      </c>
      <c r="C2387" s="6" t="s">
        <v>8013</v>
      </c>
    </row>
    <row r="2388" customFormat="false" ht="15" hidden="false" customHeight="true" outlineLevel="0" collapsed="false">
      <c r="A2388" s="6" t="s">
        <v>6631</v>
      </c>
      <c r="B2388" s="6" t="s">
        <v>9168</v>
      </c>
      <c r="C2388" s="6"/>
    </row>
    <row r="2389" customFormat="false" ht="15" hidden="false" customHeight="true" outlineLevel="0" collapsed="false">
      <c r="A2389" s="6" t="s">
        <v>6631</v>
      </c>
      <c r="B2389" s="6" t="s">
        <v>9169</v>
      </c>
      <c r="C2389" s="6"/>
    </row>
    <row r="2390" customFormat="false" ht="15" hidden="false" customHeight="true" outlineLevel="0" collapsed="false">
      <c r="A2390" s="6" t="s">
        <v>6631</v>
      </c>
      <c r="B2390" s="6" t="s">
        <v>9170</v>
      </c>
      <c r="C2390" s="6"/>
    </row>
    <row r="2391" customFormat="false" ht="15" hidden="false" customHeight="true" outlineLevel="0" collapsed="false">
      <c r="A2391" s="6" t="s">
        <v>6631</v>
      </c>
      <c r="B2391" s="6" t="s">
        <v>9171</v>
      </c>
      <c r="C2391" s="6"/>
    </row>
    <row r="2392" customFormat="false" ht="15" hidden="false" customHeight="true" outlineLevel="0" collapsed="false">
      <c r="A2392" s="6" t="s">
        <v>6631</v>
      </c>
      <c r="B2392" s="6" t="s">
        <v>9172</v>
      </c>
      <c r="C2392" s="6"/>
    </row>
    <row r="2393" customFormat="false" ht="15" hidden="false" customHeight="true" outlineLevel="0" collapsed="false">
      <c r="A2393" s="6" t="s">
        <v>6631</v>
      </c>
      <c r="B2393" s="6" t="s">
        <v>9173</v>
      </c>
      <c r="C2393" s="6"/>
    </row>
    <row r="2394" customFormat="false" ht="15" hidden="false" customHeight="true" outlineLevel="0" collapsed="false">
      <c r="A2394" s="6" t="s">
        <v>6631</v>
      </c>
      <c r="B2394" s="6" t="s">
        <v>9174</v>
      </c>
      <c r="C2394" s="6"/>
    </row>
    <row r="2395" customFormat="false" ht="15" hidden="false" customHeight="true" outlineLevel="0" collapsed="false">
      <c r="A2395" s="6" t="s">
        <v>6633</v>
      </c>
      <c r="B2395" s="6" t="s">
        <v>6633</v>
      </c>
      <c r="C2395" s="6" t="s">
        <v>8013</v>
      </c>
    </row>
    <row r="2396" customFormat="false" ht="15" hidden="false" customHeight="true" outlineLevel="0" collapsed="false">
      <c r="A2396" s="6" t="s">
        <v>6633</v>
      </c>
      <c r="B2396" s="6" t="s">
        <v>9175</v>
      </c>
      <c r="C2396" s="6"/>
    </row>
    <row r="2397" customFormat="false" ht="15" hidden="false" customHeight="true" outlineLevel="0" collapsed="false">
      <c r="A2397" s="6" t="s">
        <v>6633</v>
      </c>
      <c r="B2397" s="6" t="s">
        <v>9176</v>
      </c>
      <c r="C2397" s="6"/>
    </row>
    <row r="2398" customFormat="false" ht="15" hidden="false" customHeight="true" outlineLevel="0" collapsed="false">
      <c r="A2398" s="6" t="s">
        <v>6633</v>
      </c>
      <c r="B2398" s="6" t="s">
        <v>6635</v>
      </c>
      <c r="C2398" s="6" t="s">
        <v>8013</v>
      </c>
    </row>
    <row r="2399" customFormat="false" ht="15" hidden="false" customHeight="true" outlineLevel="0" collapsed="false">
      <c r="A2399" s="6" t="s">
        <v>6633</v>
      </c>
      <c r="B2399" s="6" t="s">
        <v>9177</v>
      </c>
      <c r="C2399" s="6"/>
    </row>
    <row r="2400" customFormat="false" ht="15" hidden="false" customHeight="true" outlineLevel="0" collapsed="false">
      <c r="A2400" s="6" t="s">
        <v>6633</v>
      </c>
      <c r="B2400" s="6" t="s">
        <v>9178</v>
      </c>
      <c r="C2400" s="6"/>
    </row>
    <row r="2401" customFormat="false" ht="15" hidden="false" customHeight="true" outlineLevel="0" collapsed="false">
      <c r="A2401" s="6" t="s">
        <v>6633</v>
      </c>
      <c r="B2401" s="6" t="s">
        <v>9179</v>
      </c>
      <c r="C2401" s="6"/>
    </row>
    <row r="2402" customFormat="false" ht="15" hidden="false" customHeight="true" outlineLevel="0" collapsed="false">
      <c r="A2402" s="6" t="s">
        <v>6633</v>
      </c>
      <c r="B2402" s="6" t="s">
        <v>9180</v>
      </c>
      <c r="C2402" s="6"/>
    </row>
    <row r="2403" customFormat="false" ht="15" hidden="false" customHeight="true" outlineLevel="0" collapsed="false">
      <c r="A2403" s="6" t="s">
        <v>6633</v>
      </c>
      <c r="B2403" s="6" t="s">
        <v>9181</v>
      </c>
      <c r="C2403" s="6"/>
    </row>
    <row r="2404" customFormat="false" ht="15" hidden="false" customHeight="true" outlineLevel="0" collapsed="false">
      <c r="A2404" s="6" t="s">
        <v>6633</v>
      </c>
      <c r="B2404" s="6" t="s">
        <v>9182</v>
      </c>
      <c r="C2404" s="6"/>
    </row>
    <row r="2405" customFormat="false" ht="15" hidden="false" customHeight="true" outlineLevel="0" collapsed="false">
      <c r="A2405" s="6" t="s">
        <v>5207</v>
      </c>
      <c r="B2405" s="6" t="s">
        <v>238</v>
      </c>
      <c r="C2405" s="6" t="s">
        <v>8013</v>
      </c>
    </row>
    <row r="2406" customFormat="false" ht="15" hidden="false" customHeight="true" outlineLevel="0" collapsed="false">
      <c r="A2406" s="6" t="s">
        <v>5207</v>
      </c>
      <c r="B2406" s="6" t="s">
        <v>7579</v>
      </c>
      <c r="C2406" s="6" t="s">
        <v>8013</v>
      </c>
    </row>
    <row r="2407" customFormat="false" ht="15" hidden="false" customHeight="true" outlineLevel="0" collapsed="false">
      <c r="A2407" s="6" t="s">
        <v>5207</v>
      </c>
      <c r="B2407" s="6" t="s">
        <v>7576</v>
      </c>
      <c r="C2407" s="6" t="s">
        <v>8013</v>
      </c>
    </row>
    <row r="2408" customFormat="false" ht="15" hidden="false" customHeight="true" outlineLevel="0" collapsed="false">
      <c r="A2408" s="6" t="s">
        <v>5207</v>
      </c>
      <c r="B2408" s="6" t="s">
        <v>9183</v>
      </c>
      <c r="C2408" s="6"/>
    </row>
    <row r="2409" customFormat="false" ht="15" hidden="false" customHeight="true" outlineLevel="0" collapsed="false">
      <c r="A2409" s="6" t="s">
        <v>5207</v>
      </c>
      <c r="B2409" s="6" t="s">
        <v>6633</v>
      </c>
      <c r="C2409" s="6" t="s">
        <v>8013</v>
      </c>
    </row>
    <row r="2410" customFormat="false" ht="15" hidden="false" customHeight="true" outlineLevel="0" collapsed="false">
      <c r="A2410" s="6" t="s">
        <v>5207</v>
      </c>
      <c r="B2410" s="6" t="s">
        <v>7577</v>
      </c>
      <c r="C2410" s="6" t="s">
        <v>8013</v>
      </c>
    </row>
    <row r="2411" customFormat="false" ht="15" hidden="false" customHeight="true" outlineLevel="0" collapsed="false">
      <c r="A2411" s="6" t="s">
        <v>5207</v>
      </c>
      <c r="B2411" s="6" t="s">
        <v>7578</v>
      </c>
      <c r="C2411" s="6" t="s">
        <v>8013</v>
      </c>
    </row>
    <row r="2412" customFormat="false" ht="15" hidden="false" customHeight="true" outlineLevel="0" collapsed="false">
      <c r="A2412" s="6" t="s">
        <v>5207</v>
      </c>
      <c r="B2412" s="6" t="s">
        <v>264</v>
      </c>
      <c r="C2412" s="6" t="s">
        <v>8013</v>
      </c>
    </row>
    <row r="2413" customFormat="false" ht="15" hidden="false" customHeight="true" outlineLevel="0" collapsed="false">
      <c r="A2413" s="6" t="s">
        <v>5207</v>
      </c>
      <c r="B2413" s="6" t="s">
        <v>9184</v>
      </c>
      <c r="C2413" s="6"/>
    </row>
    <row r="2414" customFormat="false" ht="15" hidden="false" customHeight="true" outlineLevel="0" collapsed="false">
      <c r="A2414" s="6" t="s">
        <v>5207</v>
      </c>
      <c r="B2414" s="6" t="s">
        <v>9185</v>
      </c>
      <c r="C2414" s="6"/>
    </row>
    <row r="2415" customFormat="false" ht="15" hidden="false" customHeight="true" outlineLevel="0" collapsed="false">
      <c r="A2415" s="6" t="s">
        <v>5218</v>
      </c>
      <c r="B2415" s="6" t="s">
        <v>7579</v>
      </c>
      <c r="C2415" s="6" t="s">
        <v>8013</v>
      </c>
    </row>
    <row r="2416" customFormat="false" ht="15" hidden="false" customHeight="true" outlineLevel="0" collapsed="false">
      <c r="A2416" s="6" t="s">
        <v>5218</v>
      </c>
      <c r="B2416" s="6" t="s">
        <v>7580</v>
      </c>
      <c r="C2416" s="6" t="s">
        <v>8013</v>
      </c>
    </row>
    <row r="2417" customFormat="false" ht="15" hidden="false" customHeight="true" outlineLevel="0" collapsed="false">
      <c r="A2417" s="6" t="s">
        <v>5218</v>
      </c>
      <c r="B2417" s="6" t="s">
        <v>7583</v>
      </c>
      <c r="C2417" s="6" t="s">
        <v>8013</v>
      </c>
    </row>
    <row r="2418" customFormat="false" ht="15" hidden="false" customHeight="true" outlineLevel="0" collapsed="false">
      <c r="A2418" s="6" t="s">
        <v>5218</v>
      </c>
      <c r="B2418" s="6" t="s">
        <v>7584</v>
      </c>
      <c r="C2418" s="6" t="s">
        <v>8013</v>
      </c>
    </row>
    <row r="2419" customFormat="false" ht="15" hidden="false" customHeight="true" outlineLevel="0" collapsed="false">
      <c r="A2419" s="6" t="s">
        <v>5218</v>
      </c>
      <c r="B2419" s="6" t="s">
        <v>7582</v>
      </c>
      <c r="C2419" s="6" t="s">
        <v>8013</v>
      </c>
    </row>
    <row r="2420" customFormat="false" ht="15" hidden="false" customHeight="true" outlineLevel="0" collapsed="false">
      <c r="A2420" s="6" t="s">
        <v>5218</v>
      </c>
      <c r="B2420" s="6" t="s">
        <v>9186</v>
      </c>
      <c r="C2420" s="6"/>
    </row>
    <row r="2421" customFormat="false" ht="15" hidden="false" customHeight="true" outlineLevel="0" collapsed="false">
      <c r="A2421" s="6" t="s">
        <v>5218</v>
      </c>
      <c r="B2421" s="6" t="s">
        <v>7581</v>
      </c>
      <c r="C2421" s="6" t="s">
        <v>8013</v>
      </c>
    </row>
    <row r="2422" customFormat="false" ht="15" hidden="false" customHeight="true" outlineLevel="0" collapsed="false">
      <c r="A2422" s="6" t="s">
        <v>5218</v>
      </c>
      <c r="B2422" s="6" t="s">
        <v>9187</v>
      </c>
      <c r="C2422" s="6"/>
    </row>
    <row r="2423" customFormat="false" ht="15" hidden="false" customHeight="true" outlineLevel="0" collapsed="false">
      <c r="A2423" s="6" t="s">
        <v>5218</v>
      </c>
      <c r="B2423" s="6" t="s">
        <v>9188</v>
      </c>
      <c r="C2423" s="6"/>
    </row>
    <row r="2424" customFormat="false" ht="15" hidden="false" customHeight="true" outlineLevel="0" collapsed="false">
      <c r="A2424" s="6" t="s">
        <v>5218</v>
      </c>
      <c r="B2424" s="6" t="s">
        <v>9189</v>
      </c>
      <c r="C2424" s="6"/>
    </row>
    <row r="2425" customFormat="false" ht="15" hidden="false" customHeight="true" outlineLevel="0" collapsed="false">
      <c r="A2425" s="6" t="s">
        <v>338</v>
      </c>
      <c r="B2425" s="6" t="s">
        <v>338</v>
      </c>
      <c r="C2425" s="6" t="s">
        <v>8013</v>
      </c>
    </row>
    <row r="2426" customFormat="false" ht="15" hidden="false" customHeight="true" outlineLevel="0" collapsed="false">
      <c r="A2426" s="6" t="s">
        <v>338</v>
      </c>
      <c r="B2426" s="6" t="s">
        <v>9190</v>
      </c>
      <c r="C2426" s="6"/>
    </row>
    <row r="2427" customFormat="false" ht="15" hidden="false" customHeight="true" outlineLevel="0" collapsed="false">
      <c r="A2427" s="6" t="s">
        <v>338</v>
      </c>
      <c r="B2427" s="6" t="s">
        <v>9191</v>
      </c>
      <c r="C2427" s="6"/>
    </row>
    <row r="2428" customFormat="false" ht="15" hidden="false" customHeight="true" outlineLevel="0" collapsed="false">
      <c r="A2428" s="6" t="s">
        <v>338</v>
      </c>
      <c r="B2428" s="6" t="s">
        <v>9192</v>
      </c>
      <c r="C2428" s="6"/>
    </row>
    <row r="2429" customFormat="false" ht="15" hidden="false" customHeight="true" outlineLevel="0" collapsed="false">
      <c r="A2429" s="6" t="s">
        <v>338</v>
      </c>
      <c r="B2429" s="6" t="s">
        <v>9193</v>
      </c>
      <c r="C2429" s="6"/>
    </row>
    <row r="2430" customFormat="false" ht="15" hidden="false" customHeight="true" outlineLevel="0" collapsed="false">
      <c r="A2430" s="6" t="s">
        <v>338</v>
      </c>
      <c r="B2430" s="6" t="s">
        <v>9194</v>
      </c>
      <c r="C2430" s="6"/>
    </row>
    <row r="2431" customFormat="false" ht="15" hidden="false" customHeight="true" outlineLevel="0" collapsed="false">
      <c r="A2431" s="6" t="s">
        <v>338</v>
      </c>
      <c r="B2431" s="6" t="s">
        <v>9195</v>
      </c>
      <c r="C2431" s="6"/>
    </row>
    <row r="2432" customFormat="false" ht="15" hidden="false" customHeight="true" outlineLevel="0" collapsed="false">
      <c r="A2432" s="6" t="s">
        <v>338</v>
      </c>
      <c r="B2432" s="6" t="s">
        <v>9196</v>
      </c>
      <c r="C2432" s="6"/>
    </row>
    <row r="2433" customFormat="false" ht="15" hidden="false" customHeight="true" outlineLevel="0" collapsed="false">
      <c r="A2433" s="6" t="s">
        <v>338</v>
      </c>
      <c r="B2433" s="6" t="s">
        <v>9197</v>
      </c>
      <c r="C2433" s="6"/>
    </row>
    <row r="2434" customFormat="false" ht="15" hidden="false" customHeight="true" outlineLevel="0" collapsed="false">
      <c r="A2434" s="6" t="s">
        <v>338</v>
      </c>
      <c r="B2434" s="6" t="s">
        <v>9198</v>
      </c>
      <c r="C2434" s="6"/>
    </row>
    <row r="2435" customFormat="false" ht="15" hidden="false" customHeight="true" outlineLevel="0" collapsed="false">
      <c r="A2435" s="6" t="s">
        <v>5231</v>
      </c>
      <c r="B2435" s="6" t="s">
        <v>5231</v>
      </c>
      <c r="C2435" s="6" t="s">
        <v>8013</v>
      </c>
    </row>
    <row r="2436" customFormat="false" ht="15" hidden="false" customHeight="true" outlineLevel="0" collapsed="false">
      <c r="A2436" s="6" t="s">
        <v>5231</v>
      </c>
      <c r="B2436" s="6" t="s">
        <v>5235</v>
      </c>
      <c r="C2436" s="6" t="s">
        <v>8013</v>
      </c>
    </row>
    <row r="2437" customFormat="false" ht="15" hidden="false" customHeight="true" outlineLevel="0" collapsed="false">
      <c r="A2437" s="6" t="s">
        <v>5231</v>
      </c>
      <c r="B2437" s="6" t="s">
        <v>7588</v>
      </c>
      <c r="C2437" s="6" t="s">
        <v>8013</v>
      </c>
    </row>
    <row r="2438" customFormat="false" ht="15" hidden="false" customHeight="true" outlineLevel="0" collapsed="false">
      <c r="A2438" s="6" t="s">
        <v>5231</v>
      </c>
      <c r="B2438" s="6" t="s">
        <v>7587</v>
      </c>
      <c r="C2438" s="6" t="s">
        <v>8013</v>
      </c>
    </row>
    <row r="2439" customFormat="false" ht="15" hidden="false" customHeight="true" outlineLevel="0" collapsed="false">
      <c r="A2439" s="6" t="s">
        <v>5231</v>
      </c>
      <c r="B2439" s="6" t="s">
        <v>9199</v>
      </c>
      <c r="C2439" s="6"/>
    </row>
    <row r="2440" customFormat="false" ht="15" hidden="false" customHeight="true" outlineLevel="0" collapsed="false">
      <c r="A2440" s="6" t="s">
        <v>5231</v>
      </c>
      <c r="B2440" s="6" t="s">
        <v>7589</v>
      </c>
      <c r="C2440" s="6" t="s">
        <v>8013</v>
      </c>
    </row>
    <row r="2441" customFormat="false" ht="15" hidden="false" customHeight="true" outlineLevel="0" collapsed="false">
      <c r="A2441" s="6" t="s">
        <v>5231</v>
      </c>
      <c r="B2441" s="6" t="s">
        <v>7585</v>
      </c>
      <c r="C2441" s="6" t="s">
        <v>8013</v>
      </c>
    </row>
    <row r="2442" customFormat="false" ht="15" hidden="false" customHeight="true" outlineLevel="0" collapsed="false">
      <c r="A2442" s="6" t="s">
        <v>5231</v>
      </c>
      <c r="B2442" s="6" t="s">
        <v>7586</v>
      </c>
      <c r="C2442" s="6" t="s">
        <v>8013</v>
      </c>
    </row>
    <row r="2443" customFormat="false" ht="15" hidden="false" customHeight="true" outlineLevel="0" collapsed="false">
      <c r="A2443" s="6" t="s">
        <v>5231</v>
      </c>
      <c r="B2443" s="6" t="s">
        <v>9200</v>
      </c>
      <c r="C2443" s="6"/>
    </row>
    <row r="2444" customFormat="false" ht="15" hidden="false" customHeight="true" outlineLevel="0" collapsed="false">
      <c r="A2444" s="6" t="s">
        <v>5231</v>
      </c>
      <c r="B2444" s="6" t="s">
        <v>9201</v>
      </c>
      <c r="C2444" s="6"/>
    </row>
    <row r="2445" customFormat="false" ht="15" hidden="false" customHeight="true" outlineLevel="0" collapsed="false">
      <c r="A2445" s="6" t="s">
        <v>5247</v>
      </c>
      <c r="B2445" s="6" t="s">
        <v>5247</v>
      </c>
      <c r="C2445" s="6" t="s">
        <v>8013</v>
      </c>
    </row>
    <row r="2446" customFormat="false" ht="15" hidden="false" customHeight="true" outlineLevel="0" collapsed="false">
      <c r="A2446" s="6" t="s">
        <v>5247</v>
      </c>
      <c r="B2446" s="6" t="s">
        <v>7591</v>
      </c>
      <c r="C2446" s="6" t="s">
        <v>8013</v>
      </c>
    </row>
    <row r="2447" customFormat="false" ht="15" hidden="false" customHeight="true" outlineLevel="0" collapsed="false">
      <c r="A2447" s="6" t="s">
        <v>5247</v>
      </c>
      <c r="B2447" s="6" t="s">
        <v>7590</v>
      </c>
      <c r="C2447" s="6" t="s">
        <v>8013</v>
      </c>
    </row>
    <row r="2448" customFormat="false" ht="15" hidden="false" customHeight="true" outlineLevel="0" collapsed="false">
      <c r="A2448" s="6" t="s">
        <v>5247</v>
      </c>
      <c r="B2448" s="6" t="s">
        <v>9202</v>
      </c>
      <c r="C2448" s="6"/>
    </row>
    <row r="2449" customFormat="false" ht="15" hidden="false" customHeight="true" outlineLevel="0" collapsed="false">
      <c r="A2449" s="6" t="s">
        <v>5247</v>
      </c>
      <c r="B2449" s="6" t="s">
        <v>9203</v>
      </c>
      <c r="C2449" s="6"/>
    </row>
    <row r="2450" customFormat="false" ht="15" hidden="false" customHeight="true" outlineLevel="0" collapsed="false">
      <c r="A2450" s="6" t="s">
        <v>5247</v>
      </c>
      <c r="B2450" s="6" t="s">
        <v>5251</v>
      </c>
      <c r="C2450" s="6" t="s">
        <v>8013</v>
      </c>
    </row>
    <row r="2451" customFormat="false" ht="15" hidden="false" customHeight="true" outlineLevel="0" collapsed="false">
      <c r="A2451" s="6" t="s">
        <v>5247</v>
      </c>
      <c r="B2451" s="6" t="s">
        <v>9204</v>
      </c>
      <c r="C2451" s="6"/>
    </row>
    <row r="2452" customFormat="false" ht="15" hidden="false" customHeight="true" outlineLevel="0" collapsed="false">
      <c r="A2452" s="6" t="s">
        <v>5247</v>
      </c>
      <c r="B2452" s="6" t="s">
        <v>9205</v>
      </c>
      <c r="C2452" s="6"/>
    </row>
    <row r="2453" customFormat="false" ht="15" hidden="false" customHeight="true" outlineLevel="0" collapsed="false">
      <c r="A2453" s="6" t="s">
        <v>5247</v>
      </c>
      <c r="B2453" s="6" t="s">
        <v>9206</v>
      </c>
      <c r="C2453" s="6"/>
    </row>
    <row r="2454" customFormat="false" ht="15" hidden="false" customHeight="true" outlineLevel="0" collapsed="false">
      <c r="A2454" s="6" t="s">
        <v>5247</v>
      </c>
      <c r="B2454" s="6" t="s">
        <v>9207</v>
      </c>
      <c r="C2454" s="6"/>
    </row>
    <row r="2455" customFormat="false" ht="15" hidden="false" customHeight="true" outlineLevel="0" collapsed="false">
      <c r="A2455" s="6" t="s">
        <v>6638</v>
      </c>
      <c r="B2455" s="6" t="s">
        <v>6638</v>
      </c>
      <c r="C2455" s="6" t="s">
        <v>8013</v>
      </c>
    </row>
    <row r="2456" customFormat="false" ht="15" hidden="false" customHeight="true" outlineLevel="0" collapsed="false">
      <c r="A2456" s="6" t="s">
        <v>6638</v>
      </c>
      <c r="B2456" s="6" t="s">
        <v>9208</v>
      </c>
      <c r="C2456" s="6"/>
    </row>
    <row r="2457" customFormat="false" ht="15" hidden="false" customHeight="true" outlineLevel="0" collapsed="false">
      <c r="A2457" s="6" t="s">
        <v>6638</v>
      </c>
      <c r="B2457" s="6" t="s">
        <v>6639</v>
      </c>
      <c r="C2457" s="6" t="s">
        <v>8013</v>
      </c>
    </row>
    <row r="2458" customFormat="false" ht="15" hidden="false" customHeight="true" outlineLevel="0" collapsed="false">
      <c r="A2458" s="6" t="s">
        <v>6638</v>
      </c>
      <c r="B2458" s="6" t="s">
        <v>9209</v>
      </c>
      <c r="C2458" s="6"/>
    </row>
    <row r="2459" customFormat="false" ht="15" hidden="false" customHeight="true" outlineLevel="0" collapsed="false">
      <c r="A2459" s="6" t="s">
        <v>6638</v>
      </c>
      <c r="B2459" s="6" t="s">
        <v>9210</v>
      </c>
      <c r="C2459" s="6"/>
    </row>
    <row r="2460" customFormat="false" ht="15" hidden="false" customHeight="true" outlineLevel="0" collapsed="false">
      <c r="A2460" s="6" t="s">
        <v>6638</v>
      </c>
      <c r="B2460" s="6" t="s">
        <v>9211</v>
      </c>
      <c r="C2460" s="6"/>
    </row>
    <row r="2461" customFormat="false" ht="15" hidden="false" customHeight="true" outlineLevel="0" collapsed="false">
      <c r="A2461" s="6" t="s">
        <v>6638</v>
      </c>
      <c r="B2461" s="6" t="s">
        <v>9212</v>
      </c>
      <c r="C2461" s="6"/>
    </row>
    <row r="2462" customFormat="false" ht="15" hidden="false" customHeight="true" outlineLevel="0" collapsed="false">
      <c r="A2462" s="6" t="s">
        <v>6638</v>
      </c>
      <c r="B2462" s="6" t="s">
        <v>9213</v>
      </c>
      <c r="C2462" s="6"/>
    </row>
    <row r="2463" customFormat="false" ht="15" hidden="false" customHeight="true" outlineLevel="0" collapsed="false">
      <c r="A2463" s="6" t="s">
        <v>6638</v>
      </c>
      <c r="B2463" s="6" t="s">
        <v>9214</v>
      </c>
      <c r="C2463" s="6"/>
    </row>
    <row r="2464" customFormat="false" ht="15" hidden="false" customHeight="true" outlineLevel="0" collapsed="false">
      <c r="A2464" s="6" t="s">
        <v>6638</v>
      </c>
      <c r="B2464" s="6" t="s">
        <v>9215</v>
      </c>
      <c r="C2464" s="6"/>
    </row>
    <row r="2465" customFormat="false" ht="15" hidden="false" customHeight="true" outlineLevel="0" collapsed="false">
      <c r="A2465" s="6" t="s">
        <v>5260</v>
      </c>
      <c r="B2465" s="6" t="s">
        <v>5260</v>
      </c>
      <c r="C2465" s="6" t="s">
        <v>8013</v>
      </c>
    </row>
    <row r="2466" customFormat="false" ht="15" hidden="false" customHeight="true" outlineLevel="0" collapsed="false">
      <c r="A2466" s="6" t="s">
        <v>5260</v>
      </c>
      <c r="B2466" s="6" t="s">
        <v>5264</v>
      </c>
      <c r="C2466" s="6" t="s">
        <v>8013</v>
      </c>
    </row>
    <row r="2467" customFormat="false" ht="15" hidden="false" customHeight="true" outlineLevel="0" collapsed="false">
      <c r="A2467" s="6" t="s">
        <v>5260</v>
      </c>
      <c r="B2467" s="6" t="s">
        <v>9216</v>
      </c>
      <c r="C2467" s="6"/>
    </row>
    <row r="2468" customFormat="false" ht="15" hidden="false" customHeight="true" outlineLevel="0" collapsed="false">
      <c r="A2468" s="6" t="s">
        <v>5260</v>
      </c>
      <c r="B2468" s="6" t="s">
        <v>7593</v>
      </c>
      <c r="C2468" s="6" t="s">
        <v>8013</v>
      </c>
    </row>
    <row r="2469" customFormat="false" ht="15" hidden="false" customHeight="true" outlineLevel="0" collapsed="false">
      <c r="A2469" s="6" t="s">
        <v>5260</v>
      </c>
      <c r="B2469" s="6" t="s">
        <v>7592</v>
      </c>
      <c r="C2469" s="6" t="s">
        <v>8013</v>
      </c>
    </row>
    <row r="2470" customFormat="false" ht="15" hidden="false" customHeight="true" outlineLevel="0" collapsed="false">
      <c r="A2470" s="6" t="s">
        <v>5260</v>
      </c>
      <c r="B2470" s="6" t="s">
        <v>7594</v>
      </c>
      <c r="C2470" s="6" t="s">
        <v>8013</v>
      </c>
    </row>
    <row r="2471" customFormat="false" ht="15" hidden="false" customHeight="true" outlineLevel="0" collapsed="false">
      <c r="A2471" s="6" t="s">
        <v>5260</v>
      </c>
      <c r="B2471" s="6" t="s">
        <v>9217</v>
      </c>
      <c r="C2471" s="6"/>
    </row>
    <row r="2472" customFormat="false" ht="15" hidden="false" customHeight="true" outlineLevel="0" collapsed="false">
      <c r="A2472" s="6" t="s">
        <v>5260</v>
      </c>
      <c r="B2472" s="6" t="s">
        <v>7602</v>
      </c>
      <c r="C2472" s="6" t="s">
        <v>8013</v>
      </c>
    </row>
    <row r="2473" customFormat="false" ht="15" hidden="false" customHeight="true" outlineLevel="0" collapsed="false">
      <c r="A2473" s="6" t="s">
        <v>5273</v>
      </c>
      <c r="B2473" s="6" t="s">
        <v>5273</v>
      </c>
      <c r="C2473" s="6" t="s">
        <v>8013</v>
      </c>
    </row>
    <row r="2474" customFormat="false" ht="15" hidden="false" customHeight="true" outlineLevel="0" collapsed="false">
      <c r="A2474" s="6" t="s">
        <v>5273</v>
      </c>
      <c r="B2474" s="6" t="s">
        <v>7597</v>
      </c>
      <c r="C2474" s="6" t="s">
        <v>8013</v>
      </c>
    </row>
    <row r="2475" customFormat="false" ht="15" hidden="false" customHeight="true" outlineLevel="0" collapsed="false">
      <c r="A2475" s="6" t="s">
        <v>5273</v>
      </c>
      <c r="B2475" s="6" t="s">
        <v>7596</v>
      </c>
      <c r="C2475" s="6" t="s">
        <v>8013</v>
      </c>
    </row>
    <row r="2476" customFormat="false" ht="15" hidden="false" customHeight="true" outlineLevel="0" collapsed="false">
      <c r="A2476" s="6" t="s">
        <v>5273</v>
      </c>
      <c r="B2476" s="6" t="s">
        <v>7595</v>
      </c>
      <c r="C2476" s="6" t="s">
        <v>8013</v>
      </c>
    </row>
    <row r="2477" customFormat="false" ht="15" hidden="false" customHeight="true" outlineLevel="0" collapsed="false">
      <c r="A2477" s="6" t="s">
        <v>5273</v>
      </c>
      <c r="B2477" s="6" t="s">
        <v>5277</v>
      </c>
      <c r="C2477" s="6" t="s">
        <v>8013</v>
      </c>
    </row>
    <row r="2478" customFormat="false" ht="15" hidden="false" customHeight="true" outlineLevel="0" collapsed="false">
      <c r="A2478" s="6" t="s">
        <v>5273</v>
      </c>
      <c r="B2478" s="6" t="s">
        <v>7601</v>
      </c>
      <c r="C2478" s="6" t="s">
        <v>8013</v>
      </c>
    </row>
    <row r="2479" customFormat="false" ht="15" hidden="false" customHeight="true" outlineLevel="0" collapsed="false">
      <c r="A2479" s="6" t="s">
        <v>5273</v>
      </c>
      <c r="B2479" s="6" t="s">
        <v>9218</v>
      </c>
      <c r="C2479" s="6"/>
    </row>
    <row r="2480" customFormat="false" ht="15" hidden="false" customHeight="true" outlineLevel="0" collapsed="false">
      <c r="A2480" s="6" t="s">
        <v>5273</v>
      </c>
      <c r="B2480" s="6" t="s">
        <v>9219</v>
      </c>
      <c r="C2480" s="6"/>
    </row>
    <row r="2481" customFormat="false" ht="15" hidden="false" customHeight="true" outlineLevel="0" collapsed="false">
      <c r="A2481" s="6" t="s">
        <v>5975</v>
      </c>
      <c r="B2481" s="6" t="s">
        <v>5975</v>
      </c>
      <c r="C2481" s="6" t="s">
        <v>8013</v>
      </c>
    </row>
    <row r="2482" customFormat="false" ht="15" hidden="false" customHeight="true" outlineLevel="0" collapsed="false">
      <c r="A2482" s="6" t="s">
        <v>5975</v>
      </c>
      <c r="B2482" s="6" t="s">
        <v>9220</v>
      </c>
      <c r="C2482" s="6"/>
    </row>
    <row r="2483" customFormat="false" ht="15" hidden="false" customHeight="true" outlineLevel="0" collapsed="false">
      <c r="A2483" s="6" t="s">
        <v>5975</v>
      </c>
      <c r="B2483" s="6" t="s">
        <v>7598</v>
      </c>
      <c r="C2483" s="6" t="s">
        <v>8013</v>
      </c>
    </row>
    <row r="2484" customFormat="false" ht="15" hidden="false" customHeight="true" outlineLevel="0" collapsed="false">
      <c r="A2484" s="6" t="s">
        <v>5975</v>
      </c>
      <c r="B2484" s="6" t="s">
        <v>5979</v>
      </c>
      <c r="C2484" s="6" t="s">
        <v>8013</v>
      </c>
    </row>
    <row r="2485" customFormat="false" ht="15" hidden="false" customHeight="true" outlineLevel="0" collapsed="false">
      <c r="A2485" s="6" t="s">
        <v>5975</v>
      </c>
      <c r="B2485" s="6" t="s">
        <v>5978</v>
      </c>
      <c r="C2485" s="6" t="s">
        <v>8013</v>
      </c>
    </row>
    <row r="2486" customFormat="false" ht="15" hidden="false" customHeight="true" outlineLevel="0" collapsed="false">
      <c r="A2486" s="6" t="s">
        <v>5975</v>
      </c>
      <c r="B2486" s="6" t="s">
        <v>9221</v>
      </c>
      <c r="C2486" s="6"/>
    </row>
    <row r="2487" customFormat="false" ht="15" hidden="false" customHeight="true" outlineLevel="0" collapsed="false">
      <c r="A2487" s="6" t="s">
        <v>5975</v>
      </c>
      <c r="B2487" s="6" t="s">
        <v>9222</v>
      </c>
      <c r="C2487" s="6"/>
    </row>
    <row r="2488" customFormat="false" ht="15" hidden="false" customHeight="true" outlineLevel="0" collapsed="false">
      <c r="A2488" s="6" t="s">
        <v>5975</v>
      </c>
      <c r="B2488" s="6" t="s">
        <v>9223</v>
      </c>
      <c r="C2488" s="6"/>
    </row>
    <row r="2489" customFormat="false" ht="15" hidden="false" customHeight="true" outlineLevel="0" collapsed="false">
      <c r="A2489" s="6" t="s">
        <v>5975</v>
      </c>
      <c r="B2489" s="6" t="s">
        <v>9224</v>
      </c>
      <c r="C2489" s="6"/>
    </row>
    <row r="2490" customFormat="false" ht="15" hidden="false" customHeight="true" outlineLevel="0" collapsed="false">
      <c r="A2490" s="6" t="s">
        <v>5975</v>
      </c>
      <c r="B2490" s="6" t="s">
        <v>9225</v>
      </c>
      <c r="C2490" s="6"/>
    </row>
    <row r="2491" customFormat="false" ht="15" hidden="false" customHeight="true" outlineLevel="0" collapsed="false">
      <c r="A2491" s="6" t="s">
        <v>5285</v>
      </c>
      <c r="B2491" s="6" t="s">
        <v>5285</v>
      </c>
      <c r="C2491" s="6" t="s">
        <v>8013</v>
      </c>
    </row>
    <row r="2492" customFormat="false" ht="15" hidden="false" customHeight="true" outlineLevel="0" collapsed="false">
      <c r="A2492" s="6" t="s">
        <v>5285</v>
      </c>
      <c r="B2492" s="6" t="s">
        <v>9226</v>
      </c>
      <c r="C2492" s="6"/>
    </row>
    <row r="2493" customFormat="false" ht="15" hidden="false" customHeight="true" outlineLevel="0" collapsed="false">
      <c r="A2493" s="6" t="s">
        <v>5285</v>
      </c>
      <c r="B2493" s="6" t="s">
        <v>7600</v>
      </c>
      <c r="C2493" s="6" t="s">
        <v>8013</v>
      </c>
    </row>
    <row r="2494" customFormat="false" ht="15" hidden="false" customHeight="true" outlineLevel="0" collapsed="false">
      <c r="A2494" s="6" t="s">
        <v>5285</v>
      </c>
      <c r="B2494" s="6" t="s">
        <v>5288</v>
      </c>
      <c r="C2494" s="6" t="s">
        <v>8013</v>
      </c>
    </row>
    <row r="2495" customFormat="false" ht="15" hidden="false" customHeight="true" outlineLevel="0" collapsed="false">
      <c r="A2495" s="6" t="s">
        <v>5285</v>
      </c>
      <c r="B2495" s="6" t="s">
        <v>7599</v>
      </c>
      <c r="C2495" s="6" t="s">
        <v>8013</v>
      </c>
    </row>
    <row r="2496" customFormat="false" ht="15" hidden="false" customHeight="true" outlineLevel="0" collapsed="false">
      <c r="A2496" s="6" t="s">
        <v>5285</v>
      </c>
      <c r="B2496" s="6" t="s">
        <v>7614</v>
      </c>
      <c r="C2496" s="6" t="s">
        <v>8013</v>
      </c>
    </row>
    <row r="2497" customFormat="false" ht="15" hidden="false" customHeight="true" outlineLevel="0" collapsed="false">
      <c r="A2497" s="6" t="s">
        <v>5285</v>
      </c>
      <c r="B2497" s="6" t="s">
        <v>7615</v>
      </c>
      <c r="C2497" s="6" t="s">
        <v>8013</v>
      </c>
    </row>
    <row r="2498" customFormat="false" ht="15" hidden="false" customHeight="true" outlineLevel="0" collapsed="false">
      <c r="A2498" s="6" t="s">
        <v>5285</v>
      </c>
      <c r="B2498" s="6" t="s">
        <v>7613</v>
      </c>
      <c r="C2498" s="6" t="s">
        <v>8013</v>
      </c>
    </row>
    <row r="2499" customFormat="false" ht="15" hidden="false" customHeight="true" outlineLevel="0" collapsed="false">
      <c r="A2499" s="6" t="s">
        <v>5285</v>
      </c>
      <c r="B2499" s="6" t="s">
        <v>9227</v>
      </c>
      <c r="C2499" s="6"/>
    </row>
    <row r="2500" customFormat="false" ht="15" hidden="false" customHeight="true" outlineLevel="0" collapsed="false">
      <c r="A2500" s="6" t="s">
        <v>5285</v>
      </c>
      <c r="B2500" s="6" t="s">
        <v>9228</v>
      </c>
      <c r="C2500" s="6"/>
    </row>
    <row r="2501" customFormat="false" ht="15" hidden="false" customHeight="true" outlineLevel="0" collapsed="false">
      <c r="A2501" s="6" t="s">
        <v>5320</v>
      </c>
      <c r="B2501" s="6" t="s">
        <v>5320</v>
      </c>
      <c r="C2501" s="6" t="s">
        <v>8013</v>
      </c>
    </row>
    <row r="2502" customFormat="false" ht="15" hidden="false" customHeight="true" outlineLevel="0" collapsed="false">
      <c r="A2502" s="6" t="s">
        <v>5320</v>
      </c>
      <c r="B2502" s="6" t="s">
        <v>9229</v>
      </c>
      <c r="C2502" s="6"/>
    </row>
    <row r="2503" customFormat="false" ht="15" hidden="false" customHeight="true" outlineLevel="0" collapsed="false">
      <c r="A2503" s="6" t="s">
        <v>5320</v>
      </c>
      <c r="B2503" s="6" t="s">
        <v>9230</v>
      </c>
      <c r="C2503" s="6"/>
    </row>
    <row r="2504" customFormat="false" ht="15" hidden="false" customHeight="true" outlineLevel="0" collapsed="false">
      <c r="A2504" s="6" t="s">
        <v>5343</v>
      </c>
      <c r="B2504" s="6" t="s">
        <v>5343</v>
      </c>
      <c r="C2504" s="6" t="s">
        <v>8013</v>
      </c>
    </row>
    <row r="2505" customFormat="false" ht="15" hidden="false" customHeight="true" outlineLevel="0" collapsed="false">
      <c r="A2505" s="6" t="s">
        <v>6640</v>
      </c>
      <c r="B2505" s="6" t="s">
        <v>6640</v>
      </c>
      <c r="C2505" s="6" t="s">
        <v>8013</v>
      </c>
    </row>
    <row r="2506" customFormat="false" ht="15" hidden="false" customHeight="true" outlineLevel="0" collapsed="false">
      <c r="A2506" s="6" t="s">
        <v>6640</v>
      </c>
      <c r="B2506" s="6" t="s">
        <v>9231</v>
      </c>
      <c r="C2506" s="6"/>
    </row>
    <row r="2507" customFormat="false" ht="15" hidden="false" customHeight="true" outlineLevel="0" collapsed="false">
      <c r="A2507" s="6" t="s">
        <v>6640</v>
      </c>
      <c r="B2507" s="6" t="s">
        <v>9232</v>
      </c>
      <c r="C2507" s="6"/>
    </row>
    <row r="2508" customFormat="false" ht="15" hidden="false" customHeight="true" outlineLevel="0" collapsed="false">
      <c r="A2508" s="6" t="s">
        <v>6640</v>
      </c>
      <c r="B2508" s="6" t="s">
        <v>9233</v>
      </c>
      <c r="C2508" s="6"/>
    </row>
    <row r="2509" customFormat="false" ht="15" hidden="false" customHeight="true" outlineLevel="0" collapsed="false">
      <c r="A2509" s="6" t="s">
        <v>6640</v>
      </c>
      <c r="B2509" s="6" t="s">
        <v>9234</v>
      </c>
      <c r="C2509" s="6"/>
    </row>
    <row r="2510" customFormat="false" ht="15" hidden="false" customHeight="true" outlineLevel="0" collapsed="false">
      <c r="A2510" s="6" t="s">
        <v>6640</v>
      </c>
      <c r="B2510" s="6" t="s">
        <v>9235</v>
      </c>
      <c r="C2510" s="6"/>
    </row>
    <row r="2511" customFormat="false" ht="15" hidden="false" customHeight="true" outlineLevel="0" collapsed="false">
      <c r="A2511" s="6" t="s">
        <v>6640</v>
      </c>
      <c r="B2511" s="6" t="s">
        <v>9236</v>
      </c>
      <c r="C2511" s="6"/>
    </row>
    <row r="2512" customFormat="false" ht="15" hidden="false" customHeight="true" outlineLevel="0" collapsed="false">
      <c r="A2512" s="6" t="s">
        <v>6640</v>
      </c>
      <c r="B2512" s="6" t="s">
        <v>9237</v>
      </c>
      <c r="C2512" s="6"/>
    </row>
    <row r="2513" customFormat="false" ht="15" hidden="false" customHeight="true" outlineLevel="0" collapsed="false">
      <c r="A2513" s="6" t="s">
        <v>6640</v>
      </c>
      <c r="B2513" s="6" t="s">
        <v>9238</v>
      </c>
      <c r="C2513" s="6"/>
    </row>
    <row r="2514" customFormat="false" ht="15" hidden="false" customHeight="true" outlineLevel="0" collapsed="false">
      <c r="A2514" s="6" t="s">
        <v>6640</v>
      </c>
      <c r="B2514" s="6" t="s">
        <v>9239</v>
      </c>
      <c r="C2514" s="6"/>
    </row>
    <row r="2515" customFormat="false" ht="15" hidden="false" customHeight="true" outlineLevel="0" collapsed="false">
      <c r="A2515" s="6" t="s">
        <v>5330</v>
      </c>
      <c r="B2515" s="6" t="s">
        <v>7671</v>
      </c>
      <c r="C2515" s="6" t="s">
        <v>8013</v>
      </c>
    </row>
    <row r="2516" customFormat="false" ht="15" hidden="false" customHeight="true" outlineLevel="0" collapsed="false">
      <c r="A2516" s="6" t="s">
        <v>5330</v>
      </c>
      <c r="B2516" s="6" t="s">
        <v>7604</v>
      </c>
      <c r="C2516" s="6" t="s">
        <v>8013</v>
      </c>
    </row>
    <row r="2517" customFormat="false" ht="15" hidden="false" customHeight="true" outlineLevel="0" collapsed="false">
      <c r="A2517" s="6" t="s">
        <v>5297</v>
      </c>
      <c r="B2517" s="6" t="s">
        <v>5297</v>
      </c>
      <c r="C2517" s="6" t="s">
        <v>8013</v>
      </c>
    </row>
    <row r="2518" customFormat="false" ht="15" hidden="false" customHeight="true" outlineLevel="0" collapsed="false">
      <c r="A2518" s="6" t="s">
        <v>5297</v>
      </c>
      <c r="B2518" s="6" t="s">
        <v>5300</v>
      </c>
      <c r="C2518" s="6" t="s">
        <v>8013</v>
      </c>
    </row>
    <row r="2519" customFormat="false" ht="15" hidden="false" customHeight="true" outlineLevel="0" collapsed="false">
      <c r="A2519" s="6" t="s">
        <v>5297</v>
      </c>
      <c r="B2519" s="6" t="s">
        <v>7606</v>
      </c>
      <c r="C2519" s="6" t="s">
        <v>8013</v>
      </c>
    </row>
    <row r="2520" customFormat="false" ht="15" hidden="false" customHeight="true" outlineLevel="0" collapsed="false">
      <c r="A2520" s="6" t="s">
        <v>5297</v>
      </c>
      <c r="B2520" s="6" t="s">
        <v>9240</v>
      </c>
      <c r="C2520" s="6"/>
    </row>
    <row r="2521" customFormat="false" ht="15" hidden="false" customHeight="true" outlineLevel="0" collapsed="false">
      <c r="A2521" s="6" t="s">
        <v>5297</v>
      </c>
      <c r="B2521" s="6" t="s">
        <v>7605</v>
      </c>
      <c r="C2521" s="6" t="s">
        <v>8013</v>
      </c>
    </row>
    <row r="2522" customFormat="false" ht="15" hidden="false" customHeight="true" outlineLevel="0" collapsed="false">
      <c r="A2522" s="6" t="s">
        <v>5297</v>
      </c>
      <c r="B2522" s="6" t="s">
        <v>7607</v>
      </c>
      <c r="C2522" s="6" t="s">
        <v>8013</v>
      </c>
    </row>
    <row r="2523" customFormat="false" ht="15" hidden="false" customHeight="true" outlineLevel="0" collapsed="false">
      <c r="A2523" s="6" t="s">
        <v>5297</v>
      </c>
      <c r="B2523" s="6" t="s">
        <v>5301</v>
      </c>
      <c r="C2523" s="6" t="s">
        <v>8013</v>
      </c>
    </row>
    <row r="2524" customFormat="false" ht="15" hidden="false" customHeight="true" outlineLevel="0" collapsed="false">
      <c r="A2524" s="6" t="s">
        <v>5297</v>
      </c>
      <c r="B2524" s="6" t="s">
        <v>9241</v>
      </c>
      <c r="C2524" s="6"/>
    </row>
    <row r="2525" customFormat="false" ht="15" hidden="false" customHeight="true" outlineLevel="0" collapsed="false">
      <c r="A2525" s="6" t="s">
        <v>5297</v>
      </c>
      <c r="B2525" s="6" t="s">
        <v>9242</v>
      </c>
      <c r="C2525" s="6"/>
    </row>
    <row r="2526" customFormat="false" ht="15" hidden="false" customHeight="true" outlineLevel="0" collapsed="false">
      <c r="A2526" s="6" t="s">
        <v>5297</v>
      </c>
      <c r="B2526" s="6" t="s">
        <v>7603</v>
      </c>
      <c r="C2526" s="6" t="s">
        <v>8013</v>
      </c>
    </row>
    <row r="2527" customFormat="false" ht="15" hidden="false" customHeight="true" outlineLevel="0" collapsed="false">
      <c r="A2527" s="6" t="s">
        <v>5309</v>
      </c>
      <c r="B2527" s="6" t="s">
        <v>5309</v>
      </c>
      <c r="C2527" s="6" t="s">
        <v>8013</v>
      </c>
    </row>
    <row r="2528" customFormat="false" ht="15" hidden="false" customHeight="true" outlineLevel="0" collapsed="false">
      <c r="A2528" s="6" t="s">
        <v>5309</v>
      </c>
      <c r="B2528" s="6" t="s">
        <v>9243</v>
      </c>
      <c r="C2528" s="6"/>
    </row>
    <row r="2529" customFormat="false" ht="15" hidden="false" customHeight="true" outlineLevel="0" collapsed="false">
      <c r="A2529" s="6" t="s">
        <v>5309</v>
      </c>
      <c r="B2529" s="6" t="s">
        <v>5313</v>
      </c>
      <c r="C2529" s="6" t="s">
        <v>8013</v>
      </c>
    </row>
    <row r="2530" customFormat="false" ht="15" hidden="false" customHeight="true" outlineLevel="0" collapsed="false">
      <c r="A2530" s="6" t="s">
        <v>5309</v>
      </c>
      <c r="B2530" s="6" t="s">
        <v>7666</v>
      </c>
      <c r="C2530" s="6" t="s">
        <v>8013</v>
      </c>
    </row>
    <row r="2531" customFormat="false" ht="15" hidden="false" customHeight="true" outlineLevel="0" collapsed="false">
      <c r="A2531" s="6" t="s">
        <v>5309</v>
      </c>
      <c r="B2531" s="6" t="s">
        <v>7608</v>
      </c>
      <c r="C2531" s="6" t="s">
        <v>8013</v>
      </c>
    </row>
    <row r="2532" customFormat="false" ht="15" hidden="false" customHeight="true" outlineLevel="0" collapsed="false">
      <c r="A2532" s="6" t="s">
        <v>5309</v>
      </c>
      <c r="B2532" s="6" t="s">
        <v>9244</v>
      </c>
      <c r="C2532" s="6"/>
    </row>
    <row r="2533" customFormat="false" ht="15" hidden="false" customHeight="true" outlineLevel="0" collapsed="false">
      <c r="A2533" s="6" t="s">
        <v>5309</v>
      </c>
      <c r="B2533" s="6" t="s">
        <v>9245</v>
      </c>
      <c r="C2533" s="6"/>
    </row>
    <row r="2534" customFormat="false" ht="15" hidden="false" customHeight="true" outlineLevel="0" collapsed="false">
      <c r="A2534" s="6" t="s">
        <v>5352</v>
      </c>
      <c r="B2534" s="6" t="s">
        <v>5352</v>
      </c>
      <c r="C2534" s="6" t="s">
        <v>8013</v>
      </c>
    </row>
    <row r="2535" customFormat="false" ht="15" hidden="false" customHeight="true" outlineLevel="0" collapsed="false">
      <c r="A2535" s="6" t="s">
        <v>5352</v>
      </c>
      <c r="B2535" s="6" t="s">
        <v>7610</v>
      </c>
      <c r="C2535" s="6" t="s">
        <v>8013</v>
      </c>
    </row>
    <row r="2536" customFormat="false" ht="15" hidden="false" customHeight="true" outlineLevel="0" collapsed="false">
      <c r="A2536" s="6" t="s">
        <v>5352</v>
      </c>
      <c r="B2536" s="6" t="s">
        <v>7609</v>
      </c>
      <c r="C2536" s="6" t="s">
        <v>8013</v>
      </c>
    </row>
    <row r="2537" customFormat="false" ht="15" hidden="false" customHeight="true" outlineLevel="0" collapsed="false">
      <c r="A2537" s="6" t="s">
        <v>5352</v>
      </c>
      <c r="B2537" s="6" t="s">
        <v>5356</v>
      </c>
      <c r="C2537" s="6" t="s">
        <v>8013</v>
      </c>
    </row>
    <row r="2538" customFormat="false" ht="15" hidden="false" customHeight="true" outlineLevel="0" collapsed="false">
      <c r="A2538" s="6" t="s">
        <v>5364</v>
      </c>
      <c r="B2538" s="6" t="s">
        <v>5364</v>
      </c>
      <c r="C2538" s="6" t="s">
        <v>8013</v>
      </c>
    </row>
    <row r="2539" customFormat="false" ht="15" hidden="false" customHeight="true" outlineLevel="0" collapsed="false">
      <c r="A2539" s="6" t="s">
        <v>5364</v>
      </c>
      <c r="B2539" s="6" t="s">
        <v>9246</v>
      </c>
      <c r="C2539" s="6"/>
    </row>
    <row r="2540" customFormat="false" ht="15" hidden="false" customHeight="true" outlineLevel="0" collapsed="false">
      <c r="A2540" s="6" t="s">
        <v>5364</v>
      </c>
      <c r="B2540" s="6" t="s">
        <v>5368</v>
      </c>
      <c r="C2540" s="6" t="s">
        <v>8013</v>
      </c>
    </row>
    <row r="2541" customFormat="false" ht="15" hidden="false" customHeight="true" outlineLevel="0" collapsed="false">
      <c r="A2541" s="6" t="s">
        <v>5364</v>
      </c>
      <c r="B2541" s="6" t="s">
        <v>7611</v>
      </c>
      <c r="C2541" s="6" t="s">
        <v>8013</v>
      </c>
    </row>
    <row r="2542" customFormat="false" ht="15" hidden="false" customHeight="true" outlineLevel="0" collapsed="false">
      <c r="A2542" s="6" t="s">
        <v>5364</v>
      </c>
      <c r="B2542" s="6" t="s">
        <v>9247</v>
      </c>
      <c r="C2542" s="6"/>
    </row>
    <row r="2543" customFormat="false" ht="15" hidden="false" customHeight="true" outlineLevel="0" collapsed="false">
      <c r="A2543" s="6" t="s">
        <v>5364</v>
      </c>
      <c r="B2543" s="6" t="s">
        <v>9248</v>
      </c>
      <c r="C2543" s="6"/>
    </row>
    <row r="2544" customFormat="false" ht="15" hidden="false" customHeight="true" outlineLevel="0" collapsed="false">
      <c r="A2544" s="6" t="s">
        <v>5375</v>
      </c>
      <c r="B2544" s="6" t="s">
        <v>5375</v>
      </c>
      <c r="C2544" s="6" t="s">
        <v>8013</v>
      </c>
    </row>
    <row r="2545" customFormat="false" ht="15" hidden="false" customHeight="true" outlineLevel="0" collapsed="false">
      <c r="A2545" s="6" t="s">
        <v>5375</v>
      </c>
      <c r="B2545" s="6" t="s">
        <v>9249</v>
      </c>
      <c r="C2545" s="6"/>
    </row>
    <row r="2546" customFormat="false" ht="15" hidden="false" customHeight="true" outlineLevel="0" collapsed="false">
      <c r="A2546" s="6" t="s">
        <v>5375</v>
      </c>
      <c r="B2546" s="6" t="s">
        <v>9250</v>
      </c>
      <c r="C2546" s="6"/>
    </row>
    <row r="2547" customFormat="false" ht="15" hidden="false" customHeight="true" outlineLevel="0" collapsed="false">
      <c r="A2547" s="6" t="s">
        <v>5375</v>
      </c>
      <c r="B2547" s="6" t="s">
        <v>5379</v>
      </c>
      <c r="C2547" s="6" t="s">
        <v>8013</v>
      </c>
    </row>
    <row r="2548" customFormat="false" ht="15" hidden="false" customHeight="true" outlineLevel="0" collapsed="false">
      <c r="A2548" s="6" t="s">
        <v>5375</v>
      </c>
      <c r="B2548" s="6" t="s">
        <v>7672</v>
      </c>
      <c r="C2548" s="6" t="s">
        <v>8013</v>
      </c>
    </row>
    <row r="2549" customFormat="false" ht="15" hidden="false" customHeight="true" outlineLevel="0" collapsed="false">
      <c r="A2549" s="6" t="s">
        <v>5375</v>
      </c>
      <c r="B2549" s="6" t="s">
        <v>7612</v>
      </c>
      <c r="C2549" s="6" t="s">
        <v>8013</v>
      </c>
    </row>
    <row r="2550" customFormat="false" ht="15" hidden="false" customHeight="true" outlineLevel="0" collapsed="false">
      <c r="A2550" s="6" t="s">
        <v>6642</v>
      </c>
      <c r="B2550" s="6" t="s">
        <v>6642</v>
      </c>
      <c r="C2550" s="6" t="s">
        <v>8013</v>
      </c>
    </row>
    <row r="2551" customFormat="false" ht="15" hidden="false" customHeight="true" outlineLevel="0" collapsed="false">
      <c r="A2551" s="6" t="s">
        <v>6642</v>
      </c>
      <c r="B2551" s="6" t="s">
        <v>9251</v>
      </c>
      <c r="C2551" s="6"/>
    </row>
    <row r="2552" customFormat="false" ht="15" hidden="false" customHeight="true" outlineLevel="0" collapsed="false">
      <c r="A2552" s="6" t="s">
        <v>6642</v>
      </c>
      <c r="B2552" s="6" t="s">
        <v>9252</v>
      </c>
      <c r="C2552" s="6"/>
    </row>
    <row r="2553" customFormat="false" ht="15" hidden="false" customHeight="true" outlineLevel="0" collapsed="false">
      <c r="A2553" s="6" t="s">
        <v>6642</v>
      </c>
      <c r="B2553" s="6" t="s">
        <v>9253</v>
      </c>
      <c r="C2553" s="6"/>
    </row>
    <row r="2554" customFormat="false" ht="15" hidden="false" customHeight="true" outlineLevel="0" collapsed="false">
      <c r="A2554" s="6" t="s">
        <v>6642</v>
      </c>
      <c r="B2554" s="6" t="s">
        <v>9254</v>
      </c>
      <c r="C2554" s="6"/>
    </row>
    <row r="2555" customFormat="false" ht="15" hidden="false" customHeight="true" outlineLevel="0" collapsed="false">
      <c r="A2555" s="6" t="s">
        <v>6642</v>
      </c>
      <c r="B2555" s="6" t="s">
        <v>9255</v>
      </c>
      <c r="C2555" s="6"/>
    </row>
    <row r="2556" customFormat="false" ht="15" hidden="false" customHeight="true" outlineLevel="0" collapsed="false">
      <c r="A2556" s="6" t="s">
        <v>6642</v>
      </c>
      <c r="B2556" s="6" t="s">
        <v>9256</v>
      </c>
      <c r="C2556" s="6"/>
    </row>
    <row r="2557" customFormat="false" ht="15" hidden="false" customHeight="true" outlineLevel="0" collapsed="false">
      <c r="A2557" s="6" t="s">
        <v>6642</v>
      </c>
      <c r="B2557" s="6" t="s">
        <v>9257</v>
      </c>
      <c r="C2557" s="6"/>
    </row>
    <row r="2558" customFormat="false" ht="15" hidden="false" customHeight="true" outlineLevel="0" collapsed="false">
      <c r="A2558" s="6" t="s">
        <v>6642</v>
      </c>
      <c r="B2558" s="6" t="s">
        <v>9258</v>
      </c>
      <c r="C2558" s="6"/>
    </row>
    <row r="2559" customFormat="false" ht="15" hidden="false" customHeight="true" outlineLevel="0" collapsed="false">
      <c r="A2559" s="6" t="s">
        <v>6642</v>
      </c>
      <c r="B2559" s="6" t="s">
        <v>9259</v>
      </c>
      <c r="C2559" s="6"/>
    </row>
    <row r="2560" customFormat="false" ht="15" hidden="false" customHeight="true" outlineLevel="0" collapsed="false">
      <c r="A2560" s="6" t="s">
        <v>5396</v>
      </c>
      <c r="B2560" s="6" t="s">
        <v>5396</v>
      </c>
      <c r="C2560" s="6" t="s">
        <v>8013</v>
      </c>
    </row>
    <row r="2561" customFormat="false" ht="15" hidden="false" customHeight="true" outlineLevel="0" collapsed="false">
      <c r="A2561" s="6" t="s">
        <v>5396</v>
      </c>
      <c r="B2561" s="6" t="s">
        <v>7620</v>
      </c>
      <c r="C2561" s="6" t="s">
        <v>8013</v>
      </c>
    </row>
    <row r="2562" customFormat="false" ht="15" hidden="false" customHeight="true" outlineLevel="0" collapsed="false">
      <c r="A2562" s="6" t="s">
        <v>5396</v>
      </c>
      <c r="B2562" s="6" t="s">
        <v>5400</v>
      </c>
      <c r="C2562" s="6" t="s">
        <v>8013</v>
      </c>
    </row>
    <row r="2563" customFormat="false" ht="15" hidden="false" customHeight="true" outlineLevel="0" collapsed="false">
      <c r="A2563" s="6" t="s">
        <v>5396</v>
      </c>
      <c r="B2563" s="6" t="s">
        <v>7617</v>
      </c>
      <c r="C2563" s="6" t="s">
        <v>8013</v>
      </c>
    </row>
    <row r="2564" customFormat="false" ht="15" hidden="false" customHeight="true" outlineLevel="0" collapsed="false">
      <c r="A2564" s="6" t="s">
        <v>5396</v>
      </c>
      <c r="B2564" s="6" t="s">
        <v>7618</v>
      </c>
      <c r="C2564" s="6" t="s">
        <v>8013</v>
      </c>
    </row>
    <row r="2565" customFormat="false" ht="15" hidden="false" customHeight="true" outlineLevel="0" collapsed="false">
      <c r="A2565" s="6" t="s">
        <v>5396</v>
      </c>
      <c r="B2565" s="6" t="s">
        <v>7619</v>
      </c>
      <c r="C2565" s="6" t="s">
        <v>8013</v>
      </c>
    </row>
    <row r="2566" customFormat="false" ht="15" hidden="false" customHeight="true" outlineLevel="0" collapsed="false">
      <c r="A2566" s="6" t="s">
        <v>5396</v>
      </c>
      <c r="B2566" s="6" t="s">
        <v>9260</v>
      </c>
      <c r="C2566" s="6"/>
    </row>
    <row r="2567" customFormat="false" ht="15" hidden="false" customHeight="true" outlineLevel="0" collapsed="false">
      <c r="A2567" s="6" t="s">
        <v>5396</v>
      </c>
      <c r="B2567" s="6" t="s">
        <v>7616</v>
      </c>
      <c r="C2567" s="6" t="s">
        <v>8013</v>
      </c>
    </row>
    <row r="2568" customFormat="false" ht="15" hidden="false" customHeight="true" outlineLevel="0" collapsed="false">
      <c r="A2568" s="6" t="s">
        <v>5396</v>
      </c>
      <c r="B2568" s="6" t="s">
        <v>9261</v>
      </c>
      <c r="C2568" s="6"/>
    </row>
    <row r="2569" customFormat="false" ht="15" hidden="false" customHeight="true" outlineLevel="0" collapsed="false">
      <c r="A2569" s="6" t="s">
        <v>5396</v>
      </c>
      <c r="B2569" s="6" t="s">
        <v>9262</v>
      </c>
      <c r="C2569" s="6"/>
    </row>
    <row r="2570" customFormat="false" ht="15" hidden="false" customHeight="true" outlineLevel="0" collapsed="false">
      <c r="A2570" s="6" t="s">
        <v>5408</v>
      </c>
      <c r="B2570" s="6" t="s">
        <v>5408</v>
      </c>
      <c r="C2570" s="6" t="s">
        <v>8013</v>
      </c>
    </row>
    <row r="2571" customFormat="false" ht="15" hidden="false" customHeight="true" outlineLevel="0" collapsed="false">
      <c r="A2571" s="6" t="s">
        <v>5408</v>
      </c>
      <c r="B2571" s="6" t="s">
        <v>7625</v>
      </c>
      <c r="C2571" s="6" t="s">
        <v>8013</v>
      </c>
    </row>
    <row r="2572" customFormat="false" ht="15" hidden="false" customHeight="true" outlineLevel="0" collapsed="false">
      <c r="A2572" s="6" t="s">
        <v>5408</v>
      </c>
      <c r="B2572" s="6" t="s">
        <v>7624</v>
      </c>
      <c r="C2572" s="6" t="s">
        <v>8013</v>
      </c>
    </row>
    <row r="2573" customFormat="false" ht="15" hidden="false" customHeight="true" outlineLevel="0" collapsed="false">
      <c r="A2573" s="6" t="s">
        <v>5408</v>
      </c>
      <c r="B2573" s="6" t="s">
        <v>9263</v>
      </c>
      <c r="C2573" s="6"/>
    </row>
    <row r="2574" customFormat="false" ht="15" hidden="false" customHeight="true" outlineLevel="0" collapsed="false">
      <c r="A2574" s="6" t="s">
        <v>5408</v>
      </c>
      <c r="B2574" s="6" t="s">
        <v>5412</v>
      </c>
      <c r="C2574" s="6" t="s">
        <v>8013</v>
      </c>
    </row>
    <row r="2575" customFormat="false" ht="15" hidden="false" customHeight="true" outlineLevel="0" collapsed="false">
      <c r="A2575" s="6" t="s">
        <v>5408</v>
      </c>
      <c r="B2575" s="6" t="s">
        <v>7623</v>
      </c>
      <c r="C2575" s="6" t="s">
        <v>8013</v>
      </c>
    </row>
    <row r="2576" customFormat="false" ht="15" hidden="false" customHeight="true" outlineLevel="0" collapsed="false">
      <c r="A2576" s="6" t="s">
        <v>5408</v>
      </c>
      <c r="B2576" s="6" t="s">
        <v>7622</v>
      </c>
      <c r="C2576" s="6" t="s">
        <v>8013</v>
      </c>
    </row>
    <row r="2577" customFormat="false" ht="15" hidden="false" customHeight="true" outlineLevel="0" collapsed="false">
      <c r="A2577" s="6" t="s">
        <v>5408</v>
      </c>
      <c r="B2577" s="6" t="s">
        <v>7621</v>
      </c>
      <c r="C2577" s="6" t="s">
        <v>8013</v>
      </c>
    </row>
    <row r="2578" customFormat="false" ht="15" hidden="false" customHeight="true" outlineLevel="0" collapsed="false">
      <c r="A2578" s="6" t="s">
        <v>5408</v>
      </c>
      <c r="B2578" s="6" t="s">
        <v>9264</v>
      </c>
      <c r="C2578" s="6"/>
    </row>
    <row r="2579" customFormat="false" ht="15" hidden="false" customHeight="true" outlineLevel="0" collapsed="false">
      <c r="A2579" s="6" t="s">
        <v>5408</v>
      </c>
      <c r="B2579" s="6" t="s">
        <v>9265</v>
      </c>
      <c r="C2579" s="6"/>
    </row>
    <row r="2580" customFormat="false" ht="15" hidden="false" customHeight="true" outlineLevel="0" collapsed="false">
      <c r="A2580" s="6" t="s">
        <v>323</v>
      </c>
      <c r="B2580" s="6" t="s">
        <v>323</v>
      </c>
      <c r="C2580" s="6" t="s">
        <v>8013</v>
      </c>
    </row>
    <row r="2581" customFormat="false" ht="15" hidden="false" customHeight="true" outlineLevel="0" collapsed="false">
      <c r="A2581" s="6" t="s">
        <v>323</v>
      </c>
      <c r="B2581" s="6" t="s">
        <v>9266</v>
      </c>
      <c r="C2581" s="6"/>
    </row>
    <row r="2582" customFormat="false" ht="15" hidden="false" customHeight="true" outlineLevel="0" collapsed="false">
      <c r="A2582" s="6" t="s">
        <v>323</v>
      </c>
      <c r="B2582" s="6" t="s">
        <v>6645</v>
      </c>
      <c r="C2582" s="6" t="s">
        <v>8013</v>
      </c>
    </row>
    <row r="2583" customFormat="false" ht="15" hidden="false" customHeight="true" outlineLevel="0" collapsed="false">
      <c r="A2583" s="6" t="s">
        <v>323</v>
      </c>
      <c r="B2583" s="6" t="s">
        <v>9267</v>
      </c>
      <c r="C2583" s="6"/>
    </row>
    <row r="2584" customFormat="false" ht="15" hidden="false" customHeight="true" outlineLevel="0" collapsed="false">
      <c r="A2584" s="6" t="s">
        <v>323</v>
      </c>
      <c r="B2584" s="6" t="s">
        <v>9268</v>
      </c>
      <c r="C2584" s="6"/>
    </row>
    <row r="2585" customFormat="false" ht="15" hidden="false" customHeight="true" outlineLevel="0" collapsed="false">
      <c r="A2585" s="6" t="s">
        <v>323</v>
      </c>
      <c r="B2585" s="6" t="s">
        <v>9269</v>
      </c>
      <c r="C2585" s="6"/>
    </row>
    <row r="2586" customFormat="false" ht="15" hidden="false" customHeight="true" outlineLevel="0" collapsed="false">
      <c r="A2586" s="6" t="s">
        <v>323</v>
      </c>
      <c r="B2586" s="6" t="s">
        <v>9270</v>
      </c>
      <c r="C2586" s="6"/>
    </row>
    <row r="2587" customFormat="false" ht="15" hidden="false" customHeight="true" outlineLevel="0" collapsed="false">
      <c r="A2587" s="6" t="s">
        <v>323</v>
      </c>
      <c r="B2587" s="6" t="s">
        <v>9271</v>
      </c>
      <c r="C2587" s="6"/>
    </row>
    <row r="2588" customFormat="false" ht="15" hidden="false" customHeight="true" outlineLevel="0" collapsed="false">
      <c r="A2588" s="6" t="s">
        <v>323</v>
      </c>
      <c r="B2588" s="6" t="s">
        <v>9272</v>
      </c>
      <c r="C2588" s="6"/>
    </row>
    <row r="2589" customFormat="false" ht="15" hidden="false" customHeight="true" outlineLevel="0" collapsed="false">
      <c r="A2589" s="6" t="s">
        <v>323</v>
      </c>
      <c r="B2589" s="6" t="s">
        <v>9273</v>
      </c>
      <c r="C2589" s="6"/>
    </row>
    <row r="2590" customFormat="false" ht="15" hidden="false" customHeight="true" outlineLevel="0" collapsed="false">
      <c r="A2590" s="6" t="s">
        <v>4463</v>
      </c>
      <c r="B2590" s="6" t="s">
        <v>4463</v>
      </c>
      <c r="C2590" s="6" t="s">
        <v>8013</v>
      </c>
    </row>
    <row r="2591" customFormat="false" ht="15" hidden="false" customHeight="true" outlineLevel="0" collapsed="false">
      <c r="A2591" s="6" t="s">
        <v>4463</v>
      </c>
      <c r="B2591" s="6" t="s">
        <v>9274</v>
      </c>
      <c r="C2591" s="6"/>
    </row>
    <row r="2592" customFormat="false" ht="15" hidden="false" customHeight="true" outlineLevel="0" collapsed="false">
      <c r="A2592" s="6" t="s">
        <v>4463</v>
      </c>
      <c r="B2592" s="6" t="s">
        <v>9275</v>
      </c>
      <c r="C2592" s="6"/>
    </row>
    <row r="2593" customFormat="false" ht="15" hidden="false" customHeight="true" outlineLevel="0" collapsed="false">
      <c r="A2593" s="6" t="s">
        <v>4463</v>
      </c>
      <c r="B2593" s="6" t="s">
        <v>9276</v>
      </c>
      <c r="C2593" s="6"/>
    </row>
    <row r="2594" customFormat="false" ht="15" hidden="false" customHeight="true" outlineLevel="0" collapsed="false">
      <c r="A2594" s="6" t="s">
        <v>4473</v>
      </c>
      <c r="B2594" s="6" t="s">
        <v>4473</v>
      </c>
      <c r="C2594" s="6" t="s">
        <v>8013</v>
      </c>
    </row>
    <row r="2595" customFormat="false" ht="15" hidden="false" customHeight="true" outlineLevel="0" collapsed="false">
      <c r="A2595" s="6" t="s">
        <v>4484</v>
      </c>
      <c r="B2595" s="6" t="s">
        <v>4484</v>
      </c>
      <c r="C2595" s="6" t="s">
        <v>8013</v>
      </c>
    </row>
    <row r="2596" customFormat="false" ht="15" hidden="false" customHeight="true" outlineLevel="0" collapsed="false">
      <c r="A2596" s="6" t="s">
        <v>4494</v>
      </c>
      <c r="B2596" s="6" t="s">
        <v>4494</v>
      </c>
      <c r="C2596" s="6" t="s">
        <v>8013</v>
      </c>
    </row>
    <row r="2597" customFormat="false" ht="15" hidden="false" customHeight="true" outlineLevel="0" collapsed="false">
      <c r="A2597" s="6" t="s">
        <v>4504</v>
      </c>
      <c r="B2597" s="6" t="s">
        <v>4504</v>
      </c>
      <c r="C2597" s="6" t="s">
        <v>8013</v>
      </c>
    </row>
    <row r="2598" customFormat="false" ht="15" hidden="false" customHeight="true" outlineLevel="0" collapsed="false">
      <c r="A2598" s="6" t="s">
        <v>4514</v>
      </c>
      <c r="B2598" s="6" t="s">
        <v>4514</v>
      </c>
      <c r="C2598" s="6" t="s">
        <v>8013</v>
      </c>
    </row>
    <row r="2599" customFormat="false" ht="15" hidden="false" customHeight="true" outlineLevel="0" collapsed="false">
      <c r="A2599" s="6" t="s">
        <v>4524</v>
      </c>
      <c r="B2599" s="6" t="s">
        <v>7567</v>
      </c>
      <c r="C2599" s="6" t="s">
        <v>8013</v>
      </c>
    </row>
    <row r="2600" customFormat="false" ht="15" hidden="false" customHeight="true" outlineLevel="0" collapsed="false">
      <c r="A2600" s="6" t="s">
        <v>4524</v>
      </c>
      <c r="B2600" s="6" t="s">
        <v>7626</v>
      </c>
      <c r="C2600" s="6" t="s">
        <v>8013</v>
      </c>
    </row>
    <row r="2601" customFormat="false" ht="15" hidden="false" customHeight="true" outlineLevel="0" collapsed="false">
      <c r="A2601" s="6" t="s">
        <v>4524</v>
      </c>
      <c r="B2601" s="6" t="s">
        <v>7568</v>
      </c>
      <c r="C2601" s="6" t="s">
        <v>8013</v>
      </c>
    </row>
    <row r="2602" customFormat="false" ht="15" hidden="false" customHeight="true" outlineLevel="0" collapsed="false">
      <c r="A2602" s="6" t="s">
        <v>4535</v>
      </c>
      <c r="B2602" s="6" t="s">
        <v>9277</v>
      </c>
      <c r="C2602" s="6"/>
    </row>
    <row r="2603" customFormat="false" ht="15" hidden="false" customHeight="true" outlineLevel="0" collapsed="false">
      <c r="A2603" s="6" t="s">
        <v>4535</v>
      </c>
      <c r="B2603" s="6" t="s">
        <v>9278</v>
      </c>
      <c r="C2603" s="6"/>
    </row>
    <row r="2604" customFormat="false" ht="15" hidden="false" customHeight="true" outlineLevel="0" collapsed="false">
      <c r="A2604" s="6" t="s">
        <v>4535</v>
      </c>
      <c r="B2604" s="6" t="s">
        <v>9279</v>
      </c>
      <c r="C2604" s="6"/>
    </row>
    <row r="2605" customFormat="false" ht="15" hidden="false" customHeight="true" outlineLevel="0" collapsed="false">
      <c r="A2605" s="6" t="s">
        <v>4535</v>
      </c>
      <c r="B2605" s="6" t="s">
        <v>9280</v>
      </c>
      <c r="C2605" s="6"/>
    </row>
    <row r="2606" customFormat="false" ht="15" hidden="false" customHeight="true" outlineLevel="0" collapsed="false">
      <c r="A2606" s="6" t="s">
        <v>4535</v>
      </c>
      <c r="B2606" s="6" t="s">
        <v>9281</v>
      </c>
      <c r="C2606" s="6"/>
    </row>
    <row r="2607" customFormat="false" ht="15" hidden="false" customHeight="true" outlineLevel="0" collapsed="false">
      <c r="A2607" s="6" t="s">
        <v>4545</v>
      </c>
      <c r="B2607" s="6" t="s">
        <v>9282</v>
      </c>
      <c r="C2607" s="6"/>
    </row>
    <row r="2608" customFormat="false" ht="15" hidden="false" customHeight="true" outlineLevel="0" collapsed="false">
      <c r="A2608" s="6" t="s">
        <v>4545</v>
      </c>
      <c r="B2608" s="6" t="s">
        <v>9283</v>
      </c>
      <c r="C2608" s="6"/>
    </row>
    <row r="2609" customFormat="false" ht="15" hidden="false" customHeight="true" outlineLevel="0" collapsed="false">
      <c r="A2609" s="6" t="s">
        <v>4545</v>
      </c>
      <c r="B2609" s="6" t="s">
        <v>9284</v>
      </c>
      <c r="C2609" s="6"/>
    </row>
    <row r="2610" customFormat="false" ht="15" hidden="false" customHeight="true" outlineLevel="0" collapsed="false">
      <c r="A2610" s="6" t="s">
        <v>4545</v>
      </c>
      <c r="B2610" s="6" t="s">
        <v>9285</v>
      </c>
      <c r="C2610" s="6"/>
    </row>
    <row r="2611" customFormat="false" ht="15" hidden="false" customHeight="true" outlineLevel="0" collapsed="false">
      <c r="A2611" s="6" t="s">
        <v>4545</v>
      </c>
      <c r="B2611" s="6" t="s">
        <v>9286</v>
      </c>
      <c r="C2611" s="6"/>
    </row>
    <row r="2612" customFormat="false" ht="15" hidden="false" customHeight="true" outlineLevel="0" collapsed="false">
      <c r="A2612" s="6" t="s">
        <v>4545</v>
      </c>
      <c r="B2612" s="6" t="s">
        <v>9287</v>
      </c>
      <c r="C2612" s="6"/>
    </row>
    <row r="2613" customFormat="false" ht="15" hidden="false" customHeight="true" outlineLevel="0" collapsed="false">
      <c r="A2613" s="6" t="s">
        <v>4545</v>
      </c>
      <c r="B2613" s="6" t="s">
        <v>9288</v>
      </c>
      <c r="C2613" s="6"/>
    </row>
    <row r="2614" customFormat="false" ht="15" hidden="false" customHeight="true" outlineLevel="0" collapsed="false">
      <c r="A2614" s="6" t="s">
        <v>4545</v>
      </c>
      <c r="B2614" s="6" t="s">
        <v>9289</v>
      </c>
      <c r="C2614" s="6"/>
    </row>
    <row r="2615" customFormat="false" ht="15" hidden="false" customHeight="true" outlineLevel="0" collapsed="false">
      <c r="A2615" s="6" t="s">
        <v>4545</v>
      </c>
      <c r="B2615" s="6" t="s">
        <v>9290</v>
      </c>
      <c r="C2615" s="6"/>
    </row>
    <row r="2616" customFormat="false" ht="15" hidden="false" customHeight="true" outlineLevel="0" collapsed="false">
      <c r="A2616" s="6" t="s">
        <v>4545</v>
      </c>
      <c r="B2616" s="6" t="s">
        <v>9291</v>
      </c>
      <c r="C2616" s="6"/>
    </row>
    <row r="2617" customFormat="false" ht="15" hidden="false" customHeight="true" outlineLevel="0" collapsed="false">
      <c r="A2617" s="6" t="s">
        <v>4585</v>
      </c>
      <c r="B2617" s="6" t="s">
        <v>4585</v>
      </c>
      <c r="C2617" s="6" t="s">
        <v>8013</v>
      </c>
    </row>
    <row r="2618" customFormat="false" ht="15" hidden="false" customHeight="true" outlineLevel="0" collapsed="false">
      <c r="A2618" s="6" t="s">
        <v>4595</v>
      </c>
      <c r="B2618" s="6" t="s">
        <v>4595</v>
      </c>
      <c r="C2618" s="6" t="s">
        <v>8013</v>
      </c>
    </row>
    <row r="2619" customFormat="false" ht="15" hidden="false" customHeight="true" outlineLevel="0" collapsed="false">
      <c r="A2619" s="6" t="s">
        <v>4595</v>
      </c>
      <c r="B2619" s="6" t="s">
        <v>9292</v>
      </c>
      <c r="C2619" s="6"/>
    </row>
    <row r="2620" customFormat="false" ht="15" hidden="false" customHeight="true" outlineLevel="0" collapsed="false">
      <c r="A2620" s="6" t="s">
        <v>4595</v>
      </c>
      <c r="B2620" s="6" t="s">
        <v>9293</v>
      </c>
      <c r="C2620" s="6"/>
    </row>
    <row r="2621" customFormat="false" ht="15" hidden="false" customHeight="true" outlineLevel="0" collapsed="false">
      <c r="A2621" s="6" t="s">
        <v>4595</v>
      </c>
      <c r="B2621" s="6" t="s">
        <v>9294</v>
      </c>
      <c r="C2621" s="6"/>
    </row>
    <row r="2622" customFormat="false" ht="15" hidden="false" customHeight="true" outlineLevel="0" collapsed="false">
      <c r="A2622" s="6" t="s">
        <v>5421</v>
      </c>
      <c r="B2622" s="6" t="s">
        <v>5421</v>
      </c>
      <c r="C2622" s="6" t="s">
        <v>8013</v>
      </c>
    </row>
    <row r="2623" customFormat="false" ht="15" hidden="false" customHeight="true" outlineLevel="0" collapsed="false">
      <c r="A2623" s="6" t="s">
        <v>5421</v>
      </c>
      <c r="B2623" s="6" t="s">
        <v>7630</v>
      </c>
      <c r="C2623" s="6" t="s">
        <v>8013</v>
      </c>
    </row>
    <row r="2624" customFormat="false" ht="15" hidden="false" customHeight="true" outlineLevel="0" collapsed="false">
      <c r="A2624" s="6" t="s">
        <v>5421</v>
      </c>
      <c r="B2624" s="6" t="s">
        <v>7629</v>
      </c>
      <c r="C2624" s="6" t="s">
        <v>8013</v>
      </c>
    </row>
    <row r="2625" customFormat="false" ht="15" hidden="false" customHeight="true" outlineLevel="0" collapsed="false">
      <c r="A2625" s="6" t="s">
        <v>5421</v>
      </c>
      <c r="B2625" s="6" t="s">
        <v>9295</v>
      </c>
      <c r="C2625" s="6"/>
    </row>
    <row r="2626" customFormat="false" ht="15" hidden="false" customHeight="true" outlineLevel="0" collapsed="false">
      <c r="A2626" s="6" t="s">
        <v>5421</v>
      </c>
      <c r="B2626" s="6" t="s">
        <v>5425</v>
      </c>
      <c r="C2626" s="6" t="s">
        <v>8013</v>
      </c>
    </row>
    <row r="2627" customFormat="false" ht="15" hidden="false" customHeight="true" outlineLevel="0" collapsed="false">
      <c r="A2627" s="6" t="s">
        <v>5421</v>
      </c>
      <c r="B2627" s="6" t="s">
        <v>7627</v>
      </c>
      <c r="C2627" s="6" t="s">
        <v>8013</v>
      </c>
    </row>
    <row r="2628" customFormat="false" ht="15" hidden="false" customHeight="true" outlineLevel="0" collapsed="false">
      <c r="A2628" s="6" t="s">
        <v>5421</v>
      </c>
      <c r="B2628" s="6" t="s">
        <v>5424</v>
      </c>
      <c r="C2628" s="6" t="s">
        <v>8013</v>
      </c>
    </row>
    <row r="2629" customFormat="false" ht="15" hidden="false" customHeight="true" outlineLevel="0" collapsed="false">
      <c r="A2629" s="6" t="s">
        <v>5421</v>
      </c>
      <c r="B2629" s="6" t="s">
        <v>7628</v>
      </c>
      <c r="C2629" s="6" t="s">
        <v>8013</v>
      </c>
    </row>
    <row r="2630" customFormat="false" ht="15" hidden="false" customHeight="true" outlineLevel="0" collapsed="false">
      <c r="A2630" s="6" t="s">
        <v>5421</v>
      </c>
      <c r="B2630" s="6" t="s">
        <v>9296</v>
      </c>
      <c r="C2630" s="6"/>
    </row>
    <row r="2631" customFormat="false" ht="15" hidden="false" customHeight="true" outlineLevel="0" collapsed="false">
      <c r="A2631" s="6" t="s">
        <v>5421</v>
      </c>
      <c r="B2631" s="6" t="s">
        <v>9297</v>
      </c>
      <c r="C2631" s="6"/>
    </row>
    <row r="2632" customFormat="false" ht="15" hidden="false" customHeight="true" outlineLevel="0" collapsed="false">
      <c r="A2632" s="6" t="s">
        <v>5434</v>
      </c>
      <c r="B2632" s="6" t="s">
        <v>5434</v>
      </c>
      <c r="C2632" s="6" t="s">
        <v>8013</v>
      </c>
    </row>
    <row r="2633" customFormat="false" ht="15" hidden="false" customHeight="true" outlineLevel="0" collapsed="false">
      <c r="A2633" s="6" t="s">
        <v>5434</v>
      </c>
      <c r="B2633" s="6" t="s">
        <v>5438</v>
      </c>
      <c r="C2633" s="6" t="s">
        <v>8013</v>
      </c>
    </row>
    <row r="2634" customFormat="false" ht="15" hidden="false" customHeight="true" outlineLevel="0" collapsed="false">
      <c r="A2634" s="6" t="s">
        <v>5434</v>
      </c>
      <c r="B2634" s="6" t="s">
        <v>7634</v>
      </c>
      <c r="C2634" s="6" t="s">
        <v>8013</v>
      </c>
    </row>
    <row r="2635" customFormat="false" ht="15" hidden="false" customHeight="true" outlineLevel="0" collapsed="false">
      <c r="A2635" s="6" t="s">
        <v>5434</v>
      </c>
      <c r="B2635" s="6" t="s">
        <v>9298</v>
      </c>
      <c r="C2635" s="6"/>
    </row>
    <row r="2636" customFormat="false" ht="15" hidden="false" customHeight="true" outlineLevel="0" collapsed="false">
      <c r="A2636" s="6" t="s">
        <v>5434</v>
      </c>
      <c r="B2636" s="6" t="s">
        <v>5437</v>
      </c>
      <c r="C2636" s="6" t="s">
        <v>8013</v>
      </c>
    </row>
    <row r="2637" customFormat="false" ht="15" hidden="false" customHeight="true" outlineLevel="0" collapsed="false">
      <c r="A2637" s="6" t="s">
        <v>5434</v>
      </c>
      <c r="B2637" s="6" t="s">
        <v>9299</v>
      </c>
      <c r="C2637" s="6"/>
    </row>
    <row r="2638" customFormat="false" ht="15" hidden="false" customHeight="true" outlineLevel="0" collapsed="false">
      <c r="A2638" s="6" t="s">
        <v>5434</v>
      </c>
      <c r="B2638" s="6" t="s">
        <v>7631</v>
      </c>
      <c r="C2638" s="6" t="s">
        <v>8013</v>
      </c>
    </row>
    <row r="2639" customFormat="false" ht="15" hidden="false" customHeight="true" outlineLevel="0" collapsed="false">
      <c r="A2639" s="6" t="s">
        <v>5434</v>
      </c>
      <c r="B2639" s="6" t="s">
        <v>7632</v>
      </c>
      <c r="C2639" s="6" t="s">
        <v>8013</v>
      </c>
    </row>
    <row r="2640" customFormat="false" ht="15" hidden="false" customHeight="true" outlineLevel="0" collapsed="false">
      <c r="A2640" s="6" t="s">
        <v>5434</v>
      </c>
      <c r="B2640" s="6" t="s">
        <v>7633</v>
      </c>
      <c r="C2640" s="6" t="s">
        <v>8013</v>
      </c>
    </row>
    <row r="2641" customFormat="false" ht="15" hidden="false" customHeight="true" outlineLevel="0" collapsed="false">
      <c r="A2641" s="6" t="s">
        <v>5434</v>
      </c>
      <c r="B2641" s="6" t="s">
        <v>9300</v>
      </c>
      <c r="C2641" s="6"/>
    </row>
    <row r="2642" customFormat="false" ht="15" hidden="false" customHeight="true" outlineLevel="0" collapsed="false">
      <c r="A2642" s="6" t="s">
        <v>349</v>
      </c>
      <c r="B2642" s="6" t="s">
        <v>349</v>
      </c>
      <c r="C2642" s="6" t="s">
        <v>8013</v>
      </c>
    </row>
    <row r="2643" customFormat="false" ht="15" hidden="false" customHeight="true" outlineLevel="0" collapsed="false">
      <c r="A2643" s="6" t="s">
        <v>349</v>
      </c>
      <c r="B2643" s="6" t="s">
        <v>9301</v>
      </c>
      <c r="C2643" s="6"/>
    </row>
    <row r="2644" customFormat="false" ht="15" hidden="false" customHeight="true" outlineLevel="0" collapsed="false">
      <c r="A2644" s="6" t="s">
        <v>349</v>
      </c>
      <c r="B2644" s="6" t="s">
        <v>9302</v>
      </c>
      <c r="C2644" s="6"/>
    </row>
    <row r="2645" customFormat="false" ht="15" hidden="false" customHeight="true" outlineLevel="0" collapsed="false">
      <c r="A2645" s="6" t="s">
        <v>349</v>
      </c>
      <c r="B2645" s="6" t="s">
        <v>9303</v>
      </c>
      <c r="C2645" s="6"/>
    </row>
    <row r="2646" customFormat="false" ht="15" hidden="false" customHeight="true" outlineLevel="0" collapsed="false">
      <c r="A2646" s="6" t="s">
        <v>349</v>
      </c>
      <c r="B2646" s="6" t="s">
        <v>9304</v>
      </c>
      <c r="C2646" s="6"/>
    </row>
    <row r="2647" customFormat="false" ht="15" hidden="false" customHeight="true" outlineLevel="0" collapsed="false">
      <c r="A2647" s="6" t="s">
        <v>349</v>
      </c>
      <c r="B2647" s="6" t="s">
        <v>9305</v>
      </c>
      <c r="C2647" s="6"/>
    </row>
    <row r="2648" customFormat="false" ht="15" hidden="false" customHeight="true" outlineLevel="0" collapsed="false">
      <c r="A2648" s="6" t="s">
        <v>349</v>
      </c>
      <c r="B2648" s="6" t="s">
        <v>9306</v>
      </c>
      <c r="C2648" s="6"/>
    </row>
    <row r="2649" customFormat="false" ht="15" hidden="false" customHeight="true" outlineLevel="0" collapsed="false">
      <c r="A2649" s="6" t="s">
        <v>349</v>
      </c>
      <c r="B2649" s="6" t="s">
        <v>9307</v>
      </c>
      <c r="C2649" s="6"/>
    </row>
    <row r="2650" customFormat="false" ht="15" hidden="false" customHeight="true" outlineLevel="0" collapsed="false">
      <c r="A2650" s="6" t="s">
        <v>349</v>
      </c>
      <c r="B2650" s="6" t="s">
        <v>9308</v>
      </c>
      <c r="C2650" s="6"/>
    </row>
    <row r="2651" customFormat="false" ht="15" hidden="false" customHeight="true" outlineLevel="0" collapsed="false">
      <c r="A2651" s="6" t="s">
        <v>349</v>
      </c>
      <c r="B2651" s="6" t="s">
        <v>9309</v>
      </c>
      <c r="C2651" s="6"/>
    </row>
    <row r="2652" customFormat="false" ht="15" hidden="false" customHeight="true" outlineLevel="0" collapsed="false">
      <c r="A2652" s="6" t="s">
        <v>5487</v>
      </c>
      <c r="B2652" s="6" t="s">
        <v>5487</v>
      </c>
      <c r="C2652" s="6" t="s">
        <v>8013</v>
      </c>
    </row>
    <row r="2653" customFormat="false" ht="15" hidden="false" customHeight="true" outlineLevel="0" collapsed="false">
      <c r="A2653" s="6" t="s">
        <v>5487</v>
      </c>
      <c r="B2653" s="6" t="s">
        <v>5491</v>
      </c>
      <c r="C2653" s="6" t="s">
        <v>8013</v>
      </c>
    </row>
    <row r="2654" customFormat="false" ht="15" hidden="false" customHeight="true" outlineLevel="0" collapsed="false">
      <c r="A2654" s="6" t="s">
        <v>5487</v>
      </c>
      <c r="B2654" s="6" t="s">
        <v>9310</v>
      </c>
      <c r="C2654" s="6"/>
    </row>
    <row r="2655" customFormat="false" ht="15" hidden="false" customHeight="true" outlineLevel="0" collapsed="false">
      <c r="A2655" s="6" t="s">
        <v>5487</v>
      </c>
      <c r="B2655" s="6" t="s">
        <v>7635</v>
      </c>
      <c r="C2655" s="6" t="s">
        <v>8013</v>
      </c>
    </row>
    <row r="2656" customFormat="false" ht="15" hidden="false" customHeight="true" outlineLevel="0" collapsed="false">
      <c r="A2656" s="6" t="s">
        <v>5487</v>
      </c>
      <c r="B2656" s="6" t="s">
        <v>5481</v>
      </c>
      <c r="C2656" s="6" t="s">
        <v>8013</v>
      </c>
    </row>
    <row r="2657" customFormat="false" ht="15" hidden="false" customHeight="true" outlineLevel="0" collapsed="false">
      <c r="A2657" s="6" t="s">
        <v>5487</v>
      </c>
      <c r="B2657" s="6" t="s">
        <v>9311</v>
      </c>
      <c r="C2657" s="6"/>
    </row>
    <row r="2658" customFormat="false" ht="15" hidden="false" customHeight="true" outlineLevel="0" collapsed="false">
      <c r="A2658" s="6" t="s">
        <v>5476</v>
      </c>
      <c r="B2658" s="6" t="s">
        <v>9312</v>
      </c>
      <c r="C2658" s="6"/>
    </row>
    <row r="2659" customFormat="false" ht="15" hidden="false" customHeight="true" outlineLevel="0" collapsed="false">
      <c r="A2659" s="6" t="s">
        <v>5476</v>
      </c>
      <c r="B2659" s="6" t="s">
        <v>9313</v>
      </c>
      <c r="C2659" s="6"/>
    </row>
    <row r="2660" customFormat="false" ht="15" hidden="false" customHeight="true" outlineLevel="0" collapsed="false">
      <c r="A2660" s="6" t="s">
        <v>5476</v>
      </c>
      <c r="B2660" s="6" t="s">
        <v>9314</v>
      </c>
      <c r="C2660" s="6"/>
    </row>
    <row r="2661" customFormat="false" ht="15" hidden="false" customHeight="true" outlineLevel="0" collapsed="false">
      <c r="A2661" s="6" t="s">
        <v>5476</v>
      </c>
      <c r="B2661" s="6" t="s">
        <v>9315</v>
      </c>
      <c r="C2661" s="6"/>
    </row>
    <row r="2662" customFormat="false" ht="15" hidden="false" customHeight="true" outlineLevel="0" collapsed="false">
      <c r="A2662" s="6" t="s">
        <v>5476</v>
      </c>
      <c r="B2662" s="6" t="s">
        <v>5481</v>
      </c>
      <c r="C2662" s="6" t="s">
        <v>8013</v>
      </c>
    </row>
    <row r="2663" customFormat="false" ht="15" hidden="false" customHeight="true" outlineLevel="0" collapsed="false">
      <c r="A2663" s="6" t="s">
        <v>5445</v>
      </c>
      <c r="B2663" s="6" t="s">
        <v>5445</v>
      </c>
      <c r="C2663" s="6" t="s">
        <v>8013</v>
      </c>
    </row>
    <row r="2664" customFormat="false" ht="15" hidden="false" customHeight="true" outlineLevel="0" collapsed="false">
      <c r="A2664" s="6" t="s">
        <v>5445</v>
      </c>
      <c r="B2664" s="6" t="s">
        <v>7638</v>
      </c>
      <c r="C2664" s="6" t="s">
        <v>8013</v>
      </c>
    </row>
    <row r="2665" customFormat="false" ht="15" hidden="false" customHeight="true" outlineLevel="0" collapsed="false">
      <c r="A2665" s="6" t="s">
        <v>5445</v>
      </c>
      <c r="B2665" s="6" t="s">
        <v>7636</v>
      </c>
      <c r="C2665" s="6" t="s">
        <v>8013</v>
      </c>
    </row>
    <row r="2666" customFormat="false" ht="15" hidden="false" customHeight="true" outlineLevel="0" collapsed="false">
      <c r="A2666" s="6" t="s">
        <v>5445</v>
      </c>
      <c r="B2666" s="6" t="s">
        <v>273</v>
      </c>
      <c r="C2666" s="6" t="s">
        <v>8013</v>
      </c>
    </row>
    <row r="2667" customFormat="false" ht="15" hidden="false" customHeight="true" outlineLevel="0" collapsed="false">
      <c r="A2667" s="6" t="s">
        <v>5445</v>
      </c>
      <c r="B2667" s="6" t="s">
        <v>260</v>
      </c>
      <c r="C2667" s="6" t="s">
        <v>8013</v>
      </c>
    </row>
    <row r="2668" customFormat="false" ht="15" hidden="false" customHeight="true" outlineLevel="0" collapsed="false">
      <c r="A2668" s="6" t="s">
        <v>5445</v>
      </c>
      <c r="B2668" s="6" t="s">
        <v>5449</v>
      </c>
      <c r="C2668" s="6" t="s">
        <v>8013</v>
      </c>
    </row>
    <row r="2669" customFormat="false" ht="15" hidden="false" customHeight="true" outlineLevel="0" collapsed="false">
      <c r="A2669" s="6" t="s">
        <v>5445</v>
      </c>
      <c r="B2669" s="6" t="s">
        <v>9316</v>
      </c>
      <c r="C2669" s="6"/>
    </row>
    <row r="2670" customFormat="false" ht="15" hidden="false" customHeight="true" outlineLevel="0" collapsed="false">
      <c r="A2670" s="6" t="s">
        <v>5445</v>
      </c>
      <c r="B2670" s="6" t="s">
        <v>9317</v>
      </c>
      <c r="C2670" s="6"/>
    </row>
    <row r="2671" customFormat="false" ht="15" hidden="false" customHeight="true" outlineLevel="0" collapsed="false">
      <c r="A2671" s="6" t="s">
        <v>5445</v>
      </c>
      <c r="B2671" s="6" t="s">
        <v>7637</v>
      </c>
      <c r="C2671" s="6" t="s">
        <v>8013</v>
      </c>
    </row>
    <row r="2672" customFormat="false" ht="15" hidden="false" customHeight="true" outlineLevel="0" collapsed="false">
      <c r="A2672" s="6" t="s">
        <v>5445</v>
      </c>
      <c r="B2672" s="6" t="s">
        <v>9318</v>
      </c>
      <c r="C2672" s="6"/>
    </row>
    <row r="2673" customFormat="false" ht="15" hidden="false" customHeight="true" outlineLevel="0" collapsed="false">
      <c r="A2673" s="6" t="s">
        <v>5455</v>
      </c>
      <c r="B2673" s="6" t="s">
        <v>5455</v>
      </c>
      <c r="C2673" s="6" t="s">
        <v>8013</v>
      </c>
    </row>
    <row r="2674" customFormat="false" ht="15" hidden="false" customHeight="true" outlineLevel="0" collapsed="false">
      <c r="A2674" s="6" t="s">
        <v>5455</v>
      </c>
      <c r="B2674" s="6" t="s">
        <v>245</v>
      </c>
      <c r="C2674" s="6" t="s">
        <v>8013</v>
      </c>
    </row>
    <row r="2675" customFormat="false" ht="15" hidden="false" customHeight="true" outlineLevel="0" collapsed="false">
      <c r="A2675" s="6" t="s">
        <v>5455</v>
      </c>
      <c r="B2675" s="6" t="s">
        <v>9319</v>
      </c>
      <c r="C2675" s="6"/>
    </row>
    <row r="2676" customFormat="false" ht="15" hidden="false" customHeight="true" outlineLevel="0" collapsed="false">
      <c r="A2676" s="6" t="s">
        <v>5455</v>
      </c>
      <c r="B2676" s="6" t="s">
        <v>9320</v>
      </c>
      <c r="C2676" s="6"/>
    </row>
    <row r="2677" customFormat="false" ht="15" hidden="false" customHeight="true" outlineLevel="0" collapsed="false">
      <c r="A2677" s="6" t="s">
        <v>5455</v>
      </c>
      <c r="B2677" s="6" t="s">
        <v>9321</v>
      </c>
      <c r="C2677" s="6"/>
    </row>
    <row r="2678" customFormat="false" ht="15" hidden="false" customHeight="true" outlineLevel="0" collapsed="false">
      <c r="A2678" s="6" t="s">
        <v>5455</v>
      </c>
      <c r="B2678" s="6" t="s">
        <v>268</v>
      </c>
      <c r="C2678" s="6" t="s">
        <v>8013</v>
      </c>
    </row>
    <row r="2679" customFormat="false" ht="15" hidden="false" customHeight="true" outlineLevel="0" collapsed="false">
      <c r="A2679" s="6" t="s">
        <v>5455</v>
      </c>
      <c r="B2679" s="6" t="s">
        <v>5459</v>
      </c>
      <c r="C2679" s="6" t="s">
        <v>8013</v>
      </c>
    </row>
    <row r="2680" customFormat="false" ht="15" hidden="false" customHeight="true" outlineLevel="0" collapsed="false">
      <c r="A2680" s="6" t="s">
        <v>5455</v>
      </c>
      <c r="B2680" s="6" t="s">
        <v>7639</v>
      </c>
      <c r="C2680" s="6" t="s">
        <v>8013</v>
      </c>
    </row>
    <row r="2681" customFormat="false" ht="15" hidden="false" customHeight="true" outlineLevel="0" collapsed="false">
      <c r="A2681" s="6" t="s">
        <v>5455</v>
      </c>
      <c r="B2681" s="6" t="s">
        <v>9322</v>
      </c>
      <c r="C2681" s="6"/>
    </row>
    <row r="2682" customFormat="false" ht="15" hidden="false" customHeight="true" outlineLevel="0" collapsed="false">
      <c r="A2682" s="6" t="s">
        <v>5455</v>
      </c>
      <c r="B2682" s="6" t="s">
        <v>7640</v>
      </c>
      <c r="C2682" s="6" t="s">
        <v>8013</v>
      </c>
    </row>
    <row r="2683" customFormat="false" ht="15" hidden="false" customHeight="true" outlineLevel="0" collapsed="false">
      <c r="A2683" s="6" t="s">
        <v>5466</v>
      </c>
      <c r="B2683" s="6" t="s">
        <v>5466</v>
      </c>
      <c r="C2683" s="6" t="s">
        <v>8013</v>
      </c>
    </row>
    <row r="2684" customFormat="false" ht="15" hidden="false" customHeight="true" outlineLevel="0" collapsed="false">
      <c r="A2684" s="6" t="s">
        <v>5466</v>
      </c>
      <c r="B2684" s="6" t="s">
        <v>9323</v>
      </c>
      <c r="C2684" s="6"/>
    </row>
    <row r="2685" customFormat="false" ht="15" hidden="false" customHeight="true" outlineLevel="0" collapsed="false">
      <c r="A2685" s="6" t="s">
        <v>5466</v>
      </c>
      <c r="B2685" s="6" t="s">
        <v>9324</v>
      </c>
      <c r="C2685" s="6"/>
    </row>
    <row r="2686" customFormat="false" ht="15" hidden="false" customHeight="true" outlineLevel="0" collapsed="false">
      <c r="A2686" s="6" t="s">
        <v>5498</v>
      </c>
      <c r="B2686" s="6" t="s">
        <v>5498</v>
      </c>
      <c r="C2686" s="6" t="s">
        <v>8013</v>
      </c>
    </row>
    <row r="2687" customFormat="false" ht="15" hidden="false" customHeight="true" outlineLevel="0" collapsed="false">
      <c r="A2687" s="6" t="s">
        <v>5498</v>
      </c>
      <c r="B2687" s="6" t="s">
        <v>9325</v>
      </c>
      <c r="C2687" s="6"/>
    </row>
    <row r="2688" customFormat="false" ht="15" hidden="false" customHeight="true" outlineLevel="0" collapsed="false">
      <c r="A2688" s="6" t="s">
        <v>5498</v>
      </c>
      <c r="B2688" s="6" t="s">
        <v>9326</v>
      </c>
      <c r="C2688" s="6"/>
    </row>
    <row r="2689" customFormat="false" ht="15" hidden="false" customHeight="true" outlineLevel="0" collapsed="false">
      <c r="A2689" s="6" t="s">
        <v>5498</v>
      </c>
      <c r="B2689" s="6" t="s">
        <v>9327</v>
      </c>
      <c r="C2689" s="6"/>
    </row>
    <row r="2690" customFormat="false" ht="15" hidden="false" customHeight="true" outlineLevel="0" collapsed="false">
      <c r="A2690" s="6" t="s">
        <v>5498</v>
      </c>
      <c r="B2690" s="6" t="s">
        <v>9328</v>
      </c>
      <c r="C2690" s="6"/>
    </row>
    <row r="2691" customFormat="false" ht="15" hidden="false" customHeight="true" outlineLevel="0" collapsed="false">
      <c r="A2691" s="6" t="s">
        <v>5498</v>
      </c>
      <c r="B2691" s="6" t="s">
        <v>9329</v>
      </c>
      <c r="C2691" s="6"/>
    </row>
    <row r="2692" customFormat="false" ht="15" hidden="false" customHeight="true" outlineLevel="0" collapsed="false">
      <c r="A2692" s="6" t="s">
        <v>5498</v>
      </c>
      <c r="B2692" s="6" t="s">
        <v>9330</v>
      </c>
      <c r="C2692" s="6"/>
    </row>
    <row r="2693" customFormat="false" ht="15" hidden="false" customHeight="true" outlineLevel="0" collapsed="false">
      <c r="A2693" s="6" t="s">
        <v>5498</v>
      </c>
      <c r="B2693" s="6" t="s">
        <v>9331</v>
      </c>
      <c r="C2693" s="6"/>
    </row>
    <row r="2694" customFormat="false" ht="15" hidden="false" customHeight="true" outlineLevel="0" collapsed="false">
      <c r="A2694" s="6" t="s">
        <v>5498</v>
      </c>
      <c r="B2694" s="6" t="s">
        <v>9323</v>
      </c>
      <c r="C2694" s="6"/>
    </row>
    <row r="2695" customFormat="false" ht="15" hidden="false" customHeight="true" outlineLevel="0" collapsed="false">
      <c r="A2695" s="6" t="s">
        <v>5498</v>
      </c>
      <c r="B2695" s="6" t="s">
        <v>5466</v>
      </c>
      <c r="C2695" s="6" t="s">
        <v>8013</v>
      </c>
    </row>
    <row r="2696" customFormat="false" ht="15" hidden="false" customHeight="true" outlineLevel="0" collapsed="false">
      <c r="A2696" s="6" t="s">
        <v>321</v>
      </c>
      <c r="B2696" s="6" t="s">
        <v>321</v>
      </c>
      <c r="C2696" s="6" t="s">
        <v>8013</v>
      </c>
    </row>
    <row r="2697" customFormat="false" ht="15" hidden="false" customHeight="true" outlineLevel="0" collapsed="false">
      <c r="A2697" s="6" t="s">
        <v>321</v>
      </c>
      <c r="B2697" s="6" t="s">
        <v>9332</v>
      </c>
      <c r="C2697" s="6"/>
    </row>
    <row r="2698" customFormat="false" ht="15" hidden="false" customHeight="true" outlineLevel="0" collapsed="false">
      <c r="A2698" s="6" t="s">
        <v>321</v>
      </c>
      <c r="B2698" s="6" t="s">
        <v>9333</v>
      </c>
      <c r="C2698" s="6"/>
    </row>
    <row r="2699" customFormat="false" ht="15" hidden="false" customHeight="true" outlineLevel="0" collapsed="false">
      <c r="A2699" s="6" t="s">
        <v>321</v>
      </c>
      <c r="B2699" s="6" t="s">
        <v>6649</v>
      </c>
      <c r="C2699" s="6" t="s">
        <v>8013</v>
      </c>
    </row>
    <row r="2700" customFormat="false" ht="15" hidden="false" customHeight="true" outlineLevel="0" collapsed="false">
      <c r="A2700" s="6" t="s">
        <v>321</v>
      </c>
      <c r="B2700" s="6" t="s">
        <v>9334</v>
      </c>
      <c r="C2700" s="6"/>
    </row>
    <row r="2701" customFormat="false" ht="15" hidden="false" customHeight="true" outlineLevel="0" collapsed="false">
      <c r="A2701" s="6" t="s">
        <v>321</v>
      </c>
      <c r="B2701" s="6" t="s">
        <v>9335</v>
      </c>
      <c r="C2701" s="6"/>
    </row>
    <row r="2702" customFormat="false" ht="15" hidden="false" customHeight="true" outlineLevel="0" collapsed="false">
      <c r="A2702" s="6" t="s">
        <v>321</v>
      </c>
      <c r="B2702" s="6" t="s">
        <v>9336</v>
      </c>
      <c r="C2702" s="6"/>
    </row>
    <row r="2703" customFormat="false" ht="15" hidden="false" customHeight="true" outlineLevel="0" collapsed="false">
      <c r="A2703" s="6" t="s">
        <v>321</v>
      </c>
      <c r="B2703" s="6" t="s">
        <v>9337</v>
      </c>
      <c r="C2703" s="6"/>
    </row>
    <row r="2704" customFormat="false" ht="15" hidden="false" customHeight="true" outlineLevel="0" collapsed="false">
      <c r="A2704" s="6" t="s">
        <v>321</v>
      </c>
      <c r="B2704" s="6" t="s">
        <v>9338</v>
      </c>
      <c r="C2704" s="6"/>
    </row>
    <row r="2705" customFormat="false" ht="15" hidden="false" customHeight="true" outlineLevel="0" collapsed="false">
      <c r="A2705" s="6" t="s">
        <v>321</v>
      </c>
      <c r="B2705" s="6" t="s">
        <v>9339</v>
      </c>
      <c r="C2705" s="6"/>
    </row>
    <row r="2706" customFormat="false" ht="15" hidden="false" customHeight="true" outlineLevel="0" collapsed="false">
      <c r="A2706" s="6" t="s">
        <v>5520</v>
      </c>
      <c r="B2706" s="6" t="s">
        <v>5520</v>
      </c>
      <c r="C2706" s="6" t="s">
        <v>8013</v>
      </c>
    </row>
    <row r="2707" customFormat="false" ht="15" hidden="false" customHeight="true" outlineLevel="0" collapsed="false">
      <c r="A2707" s="6" t="s">
        <v>5520</v>
      </c>
      <c r="B2707" s="6" t="s">
        <v>5524</v>
      </c>
      <c r="C2707" s="6" t="s">
        <v>8013</v>
      </c>
    </row>
    <row r="2708" customFormat="false" ht="15" hidden="false" customHeight="true" outlineLevel="0" collapsed="false">
      <c r="A2708" s="6" t="s">
        <v>5520</v>
      </c>
      <c r="B2708" s="6" t="s">
        <v>9340</v>
      </c>
      <c r="C2708" s="6"/>
    </row>
    <row r="2709" customFormat="false" ht="15" hidden="false" customHeight="true" outlineLevel="0" collapsed="false">
      <c r="A2709" s="6" t="s">
        <v>5520</v>
      </c>
      <c r="B2709" s="6" t="s">
        <v>7642</v>
      </c>
      <c r="C2709" s="6" t="s">
        <v>8013</v>
      </c>
    </row>
    <row r="2710" customFormat="false" ht="15" hidden="false" customHeight="true" outlineLevel="0" collapsed="false">
      <c r="A2710" s="6" t="s">
        <v>5520</v>
      </c>
      <c r="B2710" s="6" t="s">
        <v>7645</v>
      </c>
      <c r="C2710" s="6" t="s">
        <v>8013</v>
      </c>
    </row>
    <row r="2711" customFormat="false" ht="15" hidden="false" customHeight="true" outlineLevel="0" collapsed="false">
      <c r="A2711" s="6" t="s">
        <v>5520</v>
      </c>
      <c r="B2711" s="6" t="s">
        <v>7643</v>
      </c>
      <c r="C2711" s="6" t="s">
        <v>8013</v>
      </c>
    </row>
    <row r="2712" customFormat="false" ht="15" hidden="false" customHeight="true" outlineLevel="0" collapsed="false">
      <c r="A2712" s="6" t="s">
        <v>5520</v>
      </c>
      <c r="B2712" s="6" t="s">
        <v>9341</v>
      </c>
      <c r="C2712" s="6"/>
    </row>
    <row r="2713" customFormat="false" ht="15" hidden="false" customHeight="true" outlineLevel="0" collapsed="false">
      <c r="A2713" s="6" t="s">
        <v>5520</v>
      </c>
      <c r="B2713" s="6" t="s">
        <v>7644</v>
      </c>
      <c r="C2713" s="6" t="s">
        <v>8013</v>
      </c>
    </row>
    <row r="2714" customFormat="false" ht="15" hidden="false" customHeight="true" outlineLevel="0" collapsed="false">
      <c r="A2714" s="6" t="s">
        <v>5520</v>
      </c>
      <c r="B2714" s="6" t="s">
        <v>7646</v>
      </c>
      <c r="C2714" s="6" t="s">
        <v>8013</v>
      </c>
    </row>
    <row r="2715" customFormat="false" ht="15" hidden="false" customHeight="true" outlineLevel="0" collapsed="false">
      <c r="A2715" s="6" t="s">
        <v>5520</v>
      </c>
      <c r="B2715" s="6" t="s">
        <v>9342</v>
      </c>
      <c r="C2715" s="6"/>
    </row>
    <row r="2716" customFormat="false" ht="15" hidden="false" customHeight="true" outlineLevel="0" collapsed="false">
      <c r="A2716" s="6" t="s">
        <v>5532</v>
      </c>
      <c r="B2716" s="6" t="s">
        <v>5532</v>
      </c>
      <c r="C2716" s="6" t="s">
        <v>8013</v>
      </c>
    </row>
    <row r="2717" customFormat="false" ht="15" hidden="false" customHeight="true" outlineLevel="0" collapsed="false">
      <c r="A2717" s="6" t="s">
        <v>5532</v>
      </c>
      <c r="B2717" s="6" t="s">
        <v>7650</v>
      </c>
      <c r="C2717" s="6" t="s">
        <v>8013</v>
      </c>
    </row>
    <row r="2718" customFormat="false" ht="15" hidden="false" customHeight="true" outlineLevel="0" collapsed="false">
      <c r="A2718" s="6" t="s">
        <v>5532</v>
      </c>
      <c r="B2718" s="6" t="s">
        <v>9343</v>
      </c>
      <c r="C2718" s="6"/>
    </row>
    <row r="2719" customFormat="false" ht="15" hidden="false" customHeight="true" outlineLevel="0" collapsed="false">
      <c r="A2719" s="6" t="s">
        <v>5532</v>
      </c>
      <c r="B2719" s="6" t="s">
        <v>7647</v>
      </c>
      <c r="C2719" s="6" t="s">
        <v>8013</v>
      </c>
    </row>
    <row r="2720" customFormat="false" ht="15" hidden="false" customHeight="true" outlineLevel="0" collapsed="false">
      <c r="A2720" s="6" t="s">
        <v>5532</v>
      </c>
      <c r="B2720" s="6" t="s">
        <v>7649</v>
      </c>
      <c r="C2720" s="6" t="s">
        <v>8013</v>
      </c>
    </row>
    <row r="2721" customFormat="false" ht="15" hidden="false" customHeight="true" outlineLevel="0" collapsed="false">
      <c r="A2721" s="6" t="s">
        <v>5532</v>
      </c>
      <c r="B2721" s="6" t="s">
        <v>7651</v>
      </c>
      <c r="C2721" s="6" t="s">
        <v>8013</v>
      </c>
    </row>
    <row r="2722" customFormat="false" ht="15" hidden="false" customHeight="true" outlineLevel="0" collapsed="false">
      <c r="A2722" s="6" t="s">
        <v>5532</v>
      </c>
      <c r="B2722" s="6" t="s">
        <v>5536</v>
      </c>
      <c r="C2722" s="6" t="s">
        <v>8013</v>
      </c>
    </row>
    <row r="2723" customFormat="false" ht="15" hidden="false" customHeight="true" outlineLevel="0" collapsed="false">
      <c r="A2723" s="6" t="s">
        <v>5532</v>
      </c>
      <c r="B2723" s="6" t="s">
        <v>7648</v>
      </c>
      <c r="C2723" s="6" t="s">
        <v>8013</v>
      </c>
    </row>
    <row r="2724" customFormat="false" ht="15" hidden="false" customHeight="true" outlineLevel="0" collapsed="false">
      <c r="A2724" s="6" t="s">
        <v>5532</v>
      </c>
      <c r="B2724" s="6" t="s">
        <v>9344</v>
      </c>
      <c r="C2724" s="6"/>
    </row>
    <row r="2725" customFormat="false" ht="15" hidden="false" customHeight="true" outlineLevel="0" collapsed="false">
      <c r="A2725" s="6" t="s">
        <v>5532</v>
      </c>
      <c r="B2725" s="6" t="s">
        <v>9345</v>
      </c>
      <c r="C2725" s="6"/>
    </row>
    <row r="2726" customFormat="false" ht="15" hidden="false" customHeight="true" outlineLevel="0" collapsed="false">
      <c r="A2726" s="6" t="s">
        <v>341</v>
      </c>
      <c r="B2726" s="6" t="s">
        <v>341</v>
      </c>
      <c r="C2726" s="6" t="s">
        <v>8013</v>
      </c>
    </row>
    <row r="2727" customFormat="false" ht="15" hidden="false" customHeight="true" outlineLevel="0" collapsed="false">
      <c r="A2727" s="6" t="s">
        <v>341</v>
      </c>
      <c r="B2727" s="6" t="s">
        <v>9346</v>
      </c>
      <c r="C2727" s="6"/>
    </row>
    <row r="2728" customFormat="false" ht="15" hidden="false" customHeight="true" outlineLevel="0" collapsed="false">
      <c r="A2728" s="6" t="s">
        <v>341</v>
      </c>
      <c r="B2728" s="6" t="s">
        <v>9347</v>
      </c>
      <c r="C2728" s="6"/>
    </row>
    <row r="2729" customFormat="false" ht="15" hidden="false" customHeight="true" outlineLevel="0" collapsed="false">
      <c r="A2729" s="6" t="s">
        <v>341</v>
      </c>
      <c r="B2729" s="6" t="s">
        <v>9348</v>
      </c>
      <c r="C2729" s="6"/>
    </row>
    <row r="2730" customFormat="false" ht="15" hidden="false" customHeight="true" outlineLevel="0" collapsed="false">
      <c r="A2730" s="6" t="s">
        <v>341</v>
      </c>
      <c r="B2730" s="6" t="s">
        <v>9349</v>
      </c>
      <c r="C2730" s="6"/>
    </row>
    <row r="2731" customFormat="false" ht="15" hidden="false" customHeight="true" outlineLevel="0" collapsed="false">
      <c r="A2731" s="6" t="s">
        <v>341</v>
      </c>
      <c r="B2731" s="6" t="s">
        <v>9350</v>
      </c>
      <c r="C2731" s="6"/>
    </row>
    <row r="2732" customFormat="false" ht="15" hidden="false" customHeight="true" outlineLevel="0" collapsed="false">
      <c r="A2732" s="6" t="s">
        <v>341</v>
      </c>
      <c r="B2732" s="6" t="s">
        <v>9351</v>
      </c>
      <c r="C2732" s="6"/>
    </row>
    <row r="2733" customFormat="false" ht="15" hidden="false" customHeight="true" outlineLevel="0" collapsed="false">
      <c r="A2733" s="6" t="s">
        <v>341</v>
      </c>
      <c r="B2733" s="6" t="s">
        <v>9352</v>
      </c>
      <c r="C2733" s="6"/>
    </row>
    <row r="2734" customFormat="false" ht="15" hidden="false" customHeight="true" outlineLevel="0" collapsed="false">
      <c r="A2734" s="6" t="s">
        <v>341</v>
      </c>
      <c r="B2734" s="6" t="s">
        <v>9353</v>
      </c>
      <c r="C2734" s="6"/>
    </row>
    <row r="2735" customFormat="false" ht="15" hidden="false" customHeight="true" outlineLevel="0" collapsed="false">
      <c r="A2735" s="6" t="s">
        <v>341</v>
      </c>
      <c r="B2735" s="6" t="s">
        <v>9354</v>
      </c>
      <c r="C2735" s="6"/>
    </row>
    <row r="2736" customFormat="false" ht="15" hidden="false" customHeight="true" outlineLevel="0" collapsed="false">
      <c r="A2736" s="6" t="s">
        <v>5566</v>
      </c>
      <c r="B2736" s="6" t="s">
        <v>5566</v>
      </c>
      <c r="C2736" s="6" t="s">
        <v>8013</v>
      </c>
    </row>
    <row r="2737" customFormat="false" ht="15" hidden="false" customHeight="true" outlineLevel="0" collapsed="false">
      <c r="A2737" s="6" t="s">
        <v>5566</v>
      </c>
      <c r="B2737" s="6" t="s">
        <v>274</v>
      </c>
      <c r="C2737" s="6" t="s">
        <v>8013</v>
      </c>
    </row>
    <row r="2738" customFormat="false" ht="15" hidden="false" customHeight="true" outlineLevel="0" collapsed="false">
      <c r="A2738" s="6" t="s">
        <v>5566</v>
      </c>
      <c r="B2738" s="6" t="s">
        <v>5570</v>
      </c>
      <c r="C2738" s="6" t="s">
        <v>8013</v>
      </c>
    </row>
    <row r="2739" customFormat="false" ht="15" hidden="false" customHeight="true" outlineLevel="0" collapsed="false">
      <c r="A2739" s="6" t="s">
        <v>5566</v>
      </c>
      <c r="B2739" s="6" t="s">
        <v>7653</v>
      </c>
      <c r="C2739" s="6" t="s">
        <v>8013</v>
      </c>
    </row>
    <row r="2740" customFormat="false" ht="15" hidden="false" customHeight="true" outlineLevel="0" collapsed="false">
      <c r="A2740" s="6" t="s">
        <v>5566</v>
      </c>
      <c r="B2740" s="6" t="s">
        <v>7652</v>
      </c>
      <c r="C2740" s="6" t="s">
        <v>8013</v>
      </c>
    </row>
    <row r="2741" customFormat="false" ht="15" hidden="false" customHeight="true" outlineLevel="0" collapsed="false">
      <c r="A2741" s="6" t="s">
        <v>5566</v>
      </c>
      <c r="B2741" s="6" t="s">
        <v>9355</v>
      </c>
      <c r="C2741" s="6"/>
    </row>
    <row r="2742" customFormat="false" ht="15" hidden="false" customHeight="true" outlineLevel="0" collapsed="false">
      <c r="A2742" s="6" t="s">
        <v>5566</v>
      </c>
      <c r="B2742" s="6" t="s">
        <v>9356</v>
      </c>
      <c r="C2742" s="6"/>
    </row>
    <row r="2743" customFormat="false" ht="15" hidden="false" customHeight="true" outlineLevel="0" collapsed="false">
      <c r="A2743" s="6" t="s">
        <v>5566</v>
      </c>
      <c r="B2743" s="6" t="s">
        <v>7654</v>
      </c>
      <c r="C2743" s="6" t="s">
        <v>8013</v>
      </c>
    </row>
    <row r="2744" customFormat="false" ht="15" hidden="false" customHeight="true" outlineLevel="0" collapsed="false">
      <c r="A2744" s="6" t="s">
        <v>5566</v>
      </c>
      <c r="B2744" s="6" t="s">
        <v>9357</v>
      </c>
      <c r="C2744" s="6"/>
    </row>
    <row r="2745" customFormat="false" ht="15" hidden="false" customHeight="true" outlineLevel="0" collapsed="false">
      <c r="A2745" s="6" t="s">
        <v>5566</v>
      </c>
      <c r="B2745" s="6" t="s">
        <v>9358</v>
      </c>
      <c r="C2745" s="6"/>
    </row>
    <row r="2746" customFormat="false" ht="15" hidden="false" customHeight="true" outlineLevel="0" collapsed="false">
      <c r="A2746" s="6" t="s">
        <v>5545</v>
      </c>
      <c r="B2746" s="6" t="s">
        <v>5545</v>
      </c>
      <c r="C2746" s="6" t="s">
        <v>8013</v>
      </c>
    </row>
    <row r="2747" customFormat="false" ht="15" hidden="false" customHeight="true" outlineLevel="0" collapsed="false">
      <c r="A2747" s="6" t="s">
        <v>5545</v>
      </c>
      <c r="B2747" s="6" t="s">
        <v>5549</v>
      </c>
      <c r="C2747" s="6" t="s">
        <v>8013</v>
      </c>
    </row>
    <row r="2748" customFormat="false" ht="15" hidden="false" customHeight="true" outlineLevel="0" collapsed="false">
      <c r="A2748" s="6" t="s">
        <v>5545</v>
      </c>
      <c r="B2748" s="6" t="s">
        <v>9359</v>
      </c>
      <c r="C2748" s="6"/>
    </row>
    <row r="2749" customFormat="false" ht="15" hidden="false" customHeight="true" outlineLevel="0" collapsed="false">
      <c r="A2749" s="6" t="s">
        <v>5545</v>
      </c>
      <c r="B2749" s="6" t="s">
        <v>9360</v>
      </c>
      <c r="C2749" s="6"/>
    </row>
    <row r="2750" customFormat="false" ht="15" hidden="false" customHeight="true" outlineLevel="0" collapsed="false">
      <c r="A2750" s="6" t="s">
        <v>5545</v>
      </c>
      <c r="B2750" s="6" t="s">
        <v>7657</v>
      </c>
      <c r="C2750" s="6" t="s">
        <v>8013</v>
      </c>
    </row>
    <row r="2751" customFormat="false" ht="15" hidden="false" customHeight="true" outlineLevel="0" collapsed="false">
      <c r="A2751" s="6" t="s">
        <v>5545</v>
      </c>
      <c r="B2751" s="6" t="s">
        <v>7659</v>
      </c>
      <c r="C2751" s="6" t="s">
        <v>8013</v>
      </c>
    </row>
    <row r="2752" customFormat="false" ht="15" hidden="false" customHeight="true" outlineLevel="0" collapsed="false">
      <c r="A2752" s="6" t="s">
        <v>5545</v>
      </c>
      <c r="B2752" s="6" t="s">
        <v>7656</v>
      </c>
      <c r="C2752" s="6" t="s">
        <v>8013</v>
      </c>
    </row>
    <row r="2753" customFormat="false" ht="15" hidden="false" customHeight="true" outlineLevel="0" collapsed="false">
      <c r="A2753" s="6" t="s">
        <v>5545</v>
      </c>
      <c r="B2753" s="6" t="s">
        <v>7655</v>
      </c>
      <c r="C2753" s="6" t="s">
        <v>8013</v>
      </c>
    </row>
    <row r="2754" customFormat="false" ht="15" hidden="false" customHeight="true" outlineLevel="0" collapsed="false">
      <c r="A2754" s="6" t="s">
        <v>5545</v>
      </c>
      <c r="B2754" s="6" t="s">
        <v>9361</v>
      </c>
      <c r="C2754" s="6"/>
    </row>
    <row r="2755" customFormat="false" ht="15" hidden="false" customHeight="true" outlineLevel="0" collapsed="false">
      <c r="A2755" s="6" t="s">
        <v>5545</v>
      </c>
      <c r="B2755" s="6" t="s">
        <v>7658</v>
      </c>
      <c r="C2755" s="6" t="s">
        <v>8013</v>
      </c>
    </row>
    <row r="2756" customFormat="false" ht="15" hidden="false" customHeight="true" outlineLevel="0" collapsed="false">
      <c r="A2756" s="6" t="s">
        <v>5557</v>
      </c>
      <c r="B2756" s="6" t="s">
        <v>5557</v>
      </c>
      <c r="C2756" s="6" t="s">
        <v>8013</v>
      </c>
    </row>
    <row r="2757" customFormat="false" ht="15" hidden="false" customHeight="true" outlineLevel="0" collapsed="false">
      <c r="A2757" s="6" t="s">
        <v>5557</v>
      </c>
      <c r="B2757" s="6" t="s">
        <v>5561</v>
      </c>
      <c r="C2757" s="6" t="s">
        <v>8013</v>
      </c>
    </row>
    <row r="2758" customFormat="false" ht="15" hidden="false" customHeight="true" outlineLevel="0" collapsed="false">
      <c r="A2758" s="6" t="s">
        <v>5557</v>
      </c>
      <c r="B2758" s="6" t="s">
        <v>7660</v>
      </c>
      <c r="C2758" s="6" t="s">
        <v>8013</v>
      </c>
    </row>
    <row r="2759" customFormat="false" ht="15" hidden="false" customHeight="true" outlineLevel="0" collapsed="false">
      <c r="A2759" s="6" t="s">
        <v>5557</v>
      </c>
      <c r="B2759" s="6" t="s">
        <v>7663</v>
      </c>
      <c r="C2759" s="6" t="s">
        <v>8013</v>
      </c>
    </row>
    <row r="2760" customFormat="false" ht="15" hidden="false" customHeight="true" outlineLevel="0" collapsed="false">
      <c r="A2760" s="6" t="s">
        <v>5557</v>
      </c>
      <c r="B2760" s="6" t="s">
        <v>7661</v>
      </c>
      <c r="C2760" s="6" t="s">
        <v>8013</v>
      </c>
    </row>
    <row r="2761" customFormat="false" ht="15" hidden="false" customHeight="true" outlineLevel="0" collapsed="false">
      <c r="A2761" s="6" t="s">
        <v>5557</v>
      </c>
      <c r="B2761" s="6" t="s">
        <v>9362</v>
      </c>
      <c r="C2761" s="6"/>
    </row>
    <row r="2762" customFormat="false" ht="15" hidden="false" customHeight="true" outlineLevel="0" collapsed="false">
      <c r="A2762" s="6" t="s">
        <v>5557</v>
      </c>
      <c r="B2762" s="6" t="s">
        <v>9363</v>
      </c>
      <c r="C2762" s="6"/>
    </row>
    <row r="2763" customFormat="false" ht="15" hidden="false" customHeight="true" outlineLevel="0" collapsed="false">
      <c r="A2763" s="6" t="s">
        <v>5557</v>
      </c>
      <c r="B2763" s="6" t="s">
        <v>9364</v>
      </c>
      <c r="C2763" s="6"/>
    </row>
    <row r="2764" customFormat="false" ht="15" hidden="false" customHeight="true" outlineLevel="0" collapsed="false">
      <c r="A2764" s="6" t="s">
        <v>5557</v>
      </c>
      <c r="B2764" s="6" t="s">
        <v>7664</v>
      </c>
      <c r="C2764" s="6" t="s">
        <v>8013</v>
      </c>
    </row>
    <row r="2765" customFormat="false" ht="15" hidden="false" customHeight="true" outlineLevel="0" collapsed="false">
      <c r="A2765" s="6" t="s">
        <v>5557</v>
      </c>
      <c r="B2765" s="6" t="s">
        <v>7662</v>
      </c>
      <c r="C2765" s="6" t="s">
        <v>8013</v>
      </c>
    </row>
    <row r="2766" customFormat="false" ht="15" hidden="false" customHeight="true" outlineLevel="0" collapsed="false">
      <c r="A2766" s="6" t="s">
        <v>339</v>
      </c>
      <c r="B2766" s="6" t="s">
        <v>339</v>
      </c>
      <c r="C2766" s="6" t="s">
        <v>8013</v>
      </c>
    </row>
    <row r="2767" customFormat="false" ht="15" hidden="false" customHeight="true" outlineLevel="0" collapsed="false">
      <c r="A2767" s="6" t="s">
        <v>339</v>
      </c>
      <c r="B2767" s="6" t="s">
        <v>9365</v>
      </c>
      <c r="C2767" s="6"/>
    </row>
    <row r="2768" customFormat="false" ht="15" hidden="false" customHeight="true" outlineLevel="0" collapsed="false">
      <c r="A2768" s="6" t="s">
        <v>339</v>
      </c>
      <c r="B2768" s="6" t="s">
        <v>9366</v>
      </c>
      <c r="C2768" s="6"/>
    </row>
    <row r="2769" customFormat="false" ht="15" hidden="false" customHeight="true" outlineLevel="0" collapsed="false">
      <c r="A2769" s="6" t="s">
        <v>339</v>
      </c>
      <c r="B2769" s="6" t="s">
        <v>9367</v>
      </c>
      <c r="C2769" s="6"/>
    </row>
    <row r="2770" customFormat="false" ht="15" hidden="false" customHeight="true" outlineLevel="0" collapsed="false">
      <c r="A2770" s="6" t="s">
        <v>339</v>
      </c>
      <c r="B2770" s="6" t="s">
        <v>9368</v>
      </c>
      <c r="C2770" s="6"/>
    </row>
    <row r="2771" customFormat="false" ht="15" hidden="false" customHeight="true" outlineLevel="0" collapsed="false">
      <c r="A2771" s="6" t="s">
        <v>339</v>
      </c>
      <c r="B2771" s="6" t="s">
        <v>9369</v>
      </c>
      <c r="C2771" s="6"/>
    </row>
    <row r="2772" customFormat="false" ht="15" hidden="false" customHeight="true" outlineLevel="0" collapsed="false">
      <c r="A2772" s="6" t="s">
        <v>339</v>
      </c>
      <c r="B2772" s="6" t="s">
        <v>9370</v>
      </c>
      <c r="C2772" s="6"/>
    </row>
    <row r="2773" customFormat="false" ht="15" hidden="false" customHeight="true" outlineLevel="0" collapsed="false">
      <c r="A2773" s="6" t="s">
        <v>339</v>
      </c>
      <c r="B2773" s="6" t="s">
        <v>9371</v>
      </c>
      <c r="C2773" s="6"/>
    </row>
    <row r="2774" customFormat="false" ht="15" hidden="false" customHeight="true" outlineLevel="0" collapsed="false">
      <c r="A2774" s="6" t="s">
        <v>339</v>
      </c>
      <c r="B2774" s="6" t="s">
        <v>9372</v>
      </c>
      <c r="C2774" s="6"/>
    </row>
    <row r="2775" customFormat="false" ht="15" hidden="false" customHeight="true" outlineLevel="0" collapsed="false">
      <c r="A2775" s="6" t="s">
        <v>339</v>
      </c>
      <c r="B2775" s="6" t="s">
        <v>9373</v>
      </c>
      <c r="C2775" s="6"/>
    </row>
    <row r="2776" customFormat="false" ht="15" hidden="false" customHeight="true" outlineLevel="0" collapsed="false">
      <c r="A2776" s="6" t="s">
        <v>6660</v>
      </c>
      <c r="B2776" s="6" t="s">
        <v>6660</v>
      </c>
      <c r="C2776" s="6" t="s">
        <v>8013</v>
      </c>
    </row>
    <row r="2777" customFormat="false" ht="15" hidden="false" customHeight="true" outlineLevel="0" collapsed="false">
      <c r="A2777" s="6" t="s">
        <v>6660</v>
      </c>
      <c r="B2777" s="6" t="s">
        <v>9374</v>
      </c>
      <c r="C2777" s="6"/>
    </row>
    <row r="2778" customFormat="false" ht="15" hidden="false" customHeight="true" outlineLevel="0" collapsed="false">
      <c r="A2778" s="6" t="s">
        <v>6660</v>
      </c>
      <c r="B2778" s="6" t="s">
        <v>9375</v>
      </c>
      <c r="C2778" s="6"/>
    </row>
    <row r="2779" customFormat="false" ht="15" hidden="false" customHeight="true" outlineLevel="0" collapsed="false">
      <c r="A2779" s="6" t="s">
        <v>6660</v>
      </c>
      <c r="B2779" s="6" t="s">
        <v>9376</v>
      </c>
      <c r="C2779" s="6"/>
    </row>
    <row r="2780" customFormat="false" ht="15" hidden="false" customHeight="true" outlineLevel="0" collapsed="false">
      <c r="A2780" s="6" t="s">
        <v>6660</v>
      </c>
      <c r="B2780" s="6" t="s">
        <v>9377</v>
      </c>
      <c r="C2780" s="6"/>
    </row>
    <row r="2781" customFormat="false" ht="15" hidden="false" customHeight="true" outlineLevel="0" collapsed="false">
      <c r="A2781" s="6" t="s">
        <v>6660</v>
      </c>
      <c r="B2781" s="6" t="s">
        <v>9378</v>
      </c>
      <c r="C2781" s="6"/>
    </row>
    <row r="2782" customFormat="false" ht="15" hidden="false" customHeight="true" outlineLevel="0" collapsed="false">
      <c r="A2782" s="6" t="s">
        <v>6660</v>
      </c>
      <c r="B2782" s="6" t="s">
        <v>9379</v>
      </c>
      <c r="C2782" s="6"/>
    </row>
    <row r="2783" customFormat="false" ht="15" hidden="false" customHeight="true" outlineLevel="0" collapsed="false">
      <c r="A2783" s="6" t="s">
        <v>6660</v>
      </c>
      <c r="B2783" s="6" t="s">
        <v>9380</v>
      </c>
      <c r="C2783" s="6"/>
    </row>
    <row r="2784" customFormat="false" ht="15" hidden="false" customHeight="true" outlineLevel="0" collapsed="false">
      <c r="A2784" s="6" t="s">
        <v>6660</v>
      </c>
      <c r="B2784" s="6" t="s">
        <v>9381</v>
      </c>
      <c r="C2784" s="6"/>
    </row>
    <row r="2785" customFormat="false" ht="15" hidden="false" customHeight="true" outlineLevel="0" collapsed="false">
      <c r="A2785" s="6" t="s">
        <v>6660</v>
      </c>
      <c r="B2785" s="6" t="s">
        <v>9382</v>
      </c>
      <c r="C2785" s="6"/>
    </row>
    <row r="2786" customFormat="false" ht="15" hidden="false" customHeight="true" outlineLevel="0" collapsed="false">
      <c r="A2786" s="6" t="s">
        <v>5577</v>
      </c>
      <c r="B2786" s="6" t="s">
        <v>5577</v>
      </c>
      <c r="C2786" s="6" t="s">
        <v>8013</v>
      </c>
    </row>
    <row r="2787" customFormat="false" ht="15" hidden="false" customHeight="true" outlineLevel="0" collapsed="false">
      <c r="A2787" s="6" t="s">
        <v>5577</v>
      </c>
      <c r="B2787" s="6" t="s">
        <v>246</v>
      </c>
      <c r="C2787" s="6" t="s">
        <v>8013</v>
      </c>
    </row>
    <row r="2788" customFormat="false" ht="15" hidden="false" customHeight="true" outlineLevel="0" collapsed="false">
      <c r="A2788" s="6" t="s">
        <v>5577</v>
      </c>
      <c r="B2788" s="6" t="s">
        <v>9383</v>
      </c>
      <c r="C2788" s="6"/>
    </row>
    <row r="2789" customFormat="false" ht="15" hidden="false" customHeight="true" outlineLevel="0" collapsed="false">
      <c r="A2789" s="6" t="s">
        <v>5577</v>
      </c>
      <c r="B2789" s="6" t="s">
        <v>9384</v>
      </c>
      <c r="C2789" s="6"/>
    </row>
    <row r="2790" customFormat="false" ht="15" hidden="false" customHeight="true" outlineLevel="0" collapsed="false">
      <c r="A2790" s="6" t="s">
        <v>5577</v>
      </c>
      <c r="B2790" s="6" t="s">
        <v>9385</v>
      </c>
      <c r="C2790" s="6"/>
    </row>
    <row r="2791" customFormat="false" ht="15" hidden="false" customHeight="true" outlineLevel="0" collapsed="false">
      <c r="A2791" s="6" t="s">
        <v>5577</v>
      </c>
      <c r="B2791" s="6" t="s">
        <v>9386</v>
      </c>
      <c r="C2791" s="6"/>
    </row>
    <row r="2792" customFormat="false" ht="15" hidden="false" customHeight="true" outlineLevel="0" collapsed="false">
      <c r="A2792" s="6" t="s">
        <v>5577</v>
      </c>
      <c r="B2792" s="6" t="s">
        <v>9387</v>
      </c>
      <c r="C2792" s="6"/>
    </row>
    <row r="2793" customFormat="false" ht="15" hidden="false" customHeight="true" outlineLevel="0" collapsed="false">
      <c r="A2793" s="6" t="s">
        <v>5577</v>
      </c>
      <c r="B2793" s="6" t="s">
        <v>255</v>
      </c>
      <c r="C2793" s="6" t="s">
        <v>8013</v>
      </c>
    </row>
    <row r="2794" customFormat="false" ht="15" hidden="false" customHeight="true" outlineLevel="0" collapsed="false">
      <c r="A2794" s="6" t="s">
        <v>5577</v>
      </c>
      <c r="B2794" s="6" t="s">
        <v>9388</v>
      </c>
      <c r="C2794" s="6"/>
    </row>
    <row r="2795" customFormat="false" ht="15" hidden="false" customHeight="true" outlineLevel="0" collapsed="false">
      <c r="A2795" s="6" t="s">
        <v>5577</v>
      </c>
      <c r="B2795" s="6" t="s">
        <v>7665</v>
      </c>
      <c r="C2795" s="6" t="s">
        <v>8013</v>
      </c>
    </row>
    <row r="2796" customFormat="false" ht="15" hidden="false" customHeight="true" outlineLevel="0" collapsed="false">
      <c r="A2796" s="6" t="s">
        <v>5613</v>
      </c>
      <c r="B2796" s="6" t="s">
        <v>5613</v>
      </c>
      <c r="C2796" s="6" t="s">
        <v>8013</v>
      </c>
    </row>
    <row r="2797" customFormat="false" ht="15" hidden="false" customHeight="true" outlineLevel="0" collapsed="false">
      <c r="A2797" s="6" t="s">
        <v>5592</v>
      </c>
      <c r="B2797" s="6" t="s">
        <v>5592</v>
      </c>
      <c r="C2797" s="6" t="s">
        <v>8013</v>
      </c>
    </row>
    <row r="2798" customFormat="false" ht="15" hidden="false" customHeight="true" outlineLevel="0" collapsed="false">
      <c r="A2798" s="6" t="s">
        <v>5592</v>
      </c>
      <c r="B2798" s="6" t="s">
        <v>9389</v>
      </c>
      <c r="C2798" s="6"/>
    </row>
    <row r="2799" customFormat="false" ht="15" hidden="false" customHeight="true" outlineLevel="0" collapsed="false">
      <c r="A2799" s="6" t="s">
        <v>5602</v>
      </c>
      <c r="B2799" s="6" t="s">
        <v>5602</v>
      </c>
      <c r="C2799" s="6" t="s">
        <v>8013</v>
      </c>
    </row>
    <row r="2800" customFormat="false" ht="15" hidden="false" customHeight="true" outlineLevel="0" collapsed="false">
      <c r="A2800" s="6" t="s">
        <v>5602</v>
      </c>
      <c r="B2800" s="6" t="s">
        <v>9390</v>
      </c>
      <c r="C2800" s="6"/>
    </row>
    <row r="2801" customFormat="false" ht="15" hidden="false" customHeight="true" outlineLevel="0" collapsed="false">
      <c r="A2801" s="6" t="s">
        <v>5602</v>
      </c>
      <c r="B2801" s="6" t="s">
        <v>9391</v>
      </c>
      <c r="C2801" s="6"/>
    </row>
    <row r="2802" customFormat="false" ht="15" hidden="false" customHeight="true" outlineLevel="0" collapsed="false">
      <c r="A2802" s="6" t="s">
        <v>5602</v>
      </c>
      <c r="B2802" s="6" t="s">
        <v>9392</v>
      </c>
      <c r="C2802" s="6"/>
    </row>
    <row r="2803" customFormat="false" ht="15" hidden="false" customHeight="true" outlineLevel="0" collapsed="false">
      <c r="A2803" s="6" t="s">
        <v>5602</v>
      </c>
      <c r="B2803" s="6" t="s">
        <v>9393</v>
      </c>
      <c r="C2803" s="6"/>
    </row>
    <row r="2804" customFormat="false" ht="15" hidden="false" customHeight="true" outlineLevel="0" collapsed="false">
      <c r="A2804" s="6" t="s">
        <v>5602</v>
      </c>
      <c r="B2804" s="6" t="s">
        <v>9394</v>
      </c>
      <c r="C2804" s="6"/>
    </row>
    <row r="2805" customFormat="false" ht="15" hidden="false" customHeight="true" outlineLevel="0" collapsed="false">
      <c r="A2805" s="6" t="s">
        <v>5602</v>
      </c>
      <c r="B2805" s="6" t="s">
        <v>9395</v>
      </c>
      <c r="C2805" s="6"/>
    </row>
    <row r="2806" customFormat="false" ht="15" hidden="false" customHeight="true" outlineLevel="0" collapsed="false">
      <c r="A2806" s="6" t="s">
        <v>5602</v>
      </c>
      <c r="B2806" s="6" t="s">
        <v>9396</v>
      </c>
      <c r="C2806" s="6"/>
    </row>
    <row r="2807" customFormat="false" ht="15" hidden="false" customHeight="true" outlineLevel="0" collapsed="false">
      <c r="A2807" s="6" t="s">
        <v>5602</v>
      </c>
      <c r="B2807" s="6" t="s">
        <v>9397</v>
      </c>
      <c r="C2807" s="6"/>
    </row>
    <row r="2808" customFormat="false" ht="15" hidden="false" customHeight="true" outlineLevel="0" collapsed="false">
      <c r="A2808" s="6" t="s">
        <v>5602</v>
      </c>
      <c r="B2808" s="6" t="s">
        <v>9398</v>
      </c>
      <c r="C2808" s="6"/>
    </row>
    <row r="2809" customFormat="false" ht="15" hidden="false" customHeight="true" outlineLevel="0" collapsed="false">
      <c r="A2809" s="6" t="s">
        <v>6662</v>
      </c>
      <c r="B2809" s="6" t="s">
        <v>6662</v>
      </c>
      <c r="C2809" s="6" t="s">
        <v>8013</v>
      </c>
    </row>
    <row r="2810" customFormat="false" ht="15" hidden="false" customHeight="true" outlineLevel="0" collapsed="false">
      <c r="A2810" s="6" t="s">
        <v>6662</v>
      </c>
      <c r="B2810" s="6" t="s">
        <v>9399</v>
      </c>
      <c r="C2810" s="6"/>
    </row>
    <row r="2811" customFormat="false" ht="15" hidden="false" customHeight="true" outlineLevel="0" collapsed="false">
      <c r="A2811" s="6" t="s">
        <v>6662</v>
      </c>
      <c r="B2811" s="6" t="s">
        <v>9400</v>
      </c>
      <c r="C2811" s="6"/>
    </row>
    <row r="2812" customFormat="false" ht="15" hidden="false" customHeight="true" outlineLevel="0" collapsed="false">
      <c r="A2812" s="6" t="s">
        <v>6662</v>
      </c>
      <c r="B2812" s="6" t="s">
        <v>9401</v>
      </c>
      <c r="C2812" s="6"/>
    </row>
    <row r="2813" customFormat="false" ht="15" hidden="false" customHeight="true" outlineLevel="0" collapsed="false">
      <c r="A2813" s="6" t="s">
        <v>6662</v>
      </c>
      <c r="B2813" s="6" t="s">
        <v>9402</v>
      </c>
      <c r="C2813" s="6"/>
    </row>
    <row r="2814" customFormat="false" ht="15" hidden="false" customHeight="true" outlineLevel="0" collapsed="false">
      <c r="A2814" s="6" t="s">
        <v>6662</v>
      </c>
      <c r="B2814" s="6" t="s">
        <v>9403</v>
      </c>
      <c r="C2814" s="6"/>
    </row>
    <row r="2815" customFormat="false" ht="15" hidden="false" customHeight="true" outlineLevel="0" collapsed="false">
      <c r="A2815" s="6" t="s">
        <v>6662</v>
      </c>
      <c r="B2815" s="6" t="s">
        <v>9404</v>
      </c>
      <c r="C2815" s="6"/>
    </row>
    <row r="2816" customFormat="false" ht="15" hidden="false" customHeight="true" outlineLevel="0" collapsed="false">
      <c r="A2816" s="6" t="s">
        <v>6662</v>
      </c>
      <c r="B2816" s="6" t="s">
        <v>9405</v>
      </c>
      <c r="C2816" s="6"/>
    </row>
    <row r="2817" customFormat="false" ht="15" hidden="false" customHeight="true" outlineLevel="0" collapsed="false">
      <c r="A2817" s="6" t="s">
        <v>6662</v>
      </c>
      <c r="B2817" s="6" t="s">
        <v>9406</v>
      </c>
      <c r="C2817" s="6"/>
    </row>
    <row r="2818" customFormat="false" ht="15" hidden="false" customHeight="true" outlineLevel="0" collapsed="false">
      <c r="A2818" s="6" t="s">
        <v>6662</v>
      </c>
      <c r="B2818" s="6" t="s">
        <v>9407</v>
      </c>
      <c r="C2818" s="6"/>
    </row>
    <row r="2819" customFormat="false" ht="15" hidden="false" customHeight="true" outlineLevel="0" collapsed="false">
      <c r="A2819" s="6" t="s">
        <v>5623</v>
      </c>
      <c r="B2819" s="6" t="s">
        <v>5623</v>
      </c>
      <c r="C2819" s="6" t="s">
        <v>8013</v>
      </c>
    </row>
    <row r="2820" customFormat="false" ht="15" hidden="false" customHeight="true" outlineLevel="0" collapsed="false">
      <c r="A2820" s="6" t="s">
        <v>5623</v>
      </c>
      <c r="B2820" s="6" t="s">
        <v>9408</v>
      </c>
      <c r="C2820" s="6"/>
    </row>
    <row r="2821" customFormat="false" ht="15" hidden="false" customHeight="true" outlineLevel="0" collapsed="false">
      <c r="A2821" s="6" t="s">
        <v>5623</v>
      </c>
      <c r="B2821" s="6" t="s">
        <v>9409</v>
      </c>
      <c r="C2821" s="6"/>
    </row>
    <row r="2822" customFormat="false" ht="15" hidden="false" customHeight="true" outlineLevel="0" collapsed="false">
      <c r="A2822" s="6" t="s">
        <v>5623</v>
      </c>
      <c r="B2822" s="6" t="s">
        <v>9410</v>
      </c>
      <c r="C2822" s="6"/>
    </row>
    <row r="2823" customFormat="false" ht="15" hidden="false" customHeight="true" outlineLevel="0" collapsed="false">
      <c r="A2823" s="6" t="s">
        <v>5623</v>
      </c>
      <c r="B2823" s="6" t="s">
        <v>9411</v>
      </c>
      <c r="C2823" s="6"/>
    </row>
    <row r="2824" customFormat="false" ht="15" hidden="false" customHeight="true" outlineLevel="0" collapsed="false">
      <c r="A2824" s="6" t="s">
        <v>6665</v>
      </c>
      <c r="B2824" s="6" t="s">
        <v>6665</v>
      </c>
      <c r="C2824" s="6" t="s">
        <v>8013</v>
      </c>
    </row>
    <row r="2825" customFormat="false" ht="15" hidden="false" customHeight="true" outlineLevel="0" collapsed="false">
      <c r="A2825" s="6" t="s">
        <v>6665</v>
      </c>
      <c r="B2825" s="6" t="s">
        <v>9412</v>
      </c>
      <c r="C2825" s="6"/>
    </row>
    <row r="2826" customFormat="false" ht="15" hidden="false" customHeight="true" outlineLevel="0" collapsed="false">
      <c r="A2826" s="6" t="s">
        <v>6665</v>
      </c>
      <c r="B2826" s="6" t="s">
        <v>9413</v>
      </c>
      <c r="C2826" s="6"/>
    </row>
    <row r="2827" customFormat="false" ht="15" hidden="false" customHeight="true" outlineLevel="0" collapsed="false">
      <c r="A2827" s="6" t="s">
        <v>6665</v>
      </c>
      <c r="B2827" s="6" t="s">
        <v>9414</v>
      </c>
      <c r="C2827" s="6"/>
    </row>
    <row r="2828" customFormat="false" ht="15" hidden="false" customHeight="true" outlineLevel="0" collapsed="false">
      <c r="A2828" s="6" t="s">
        <v>6665</v>
      </c>
      <c r="B2828" s="6" t="s">
        <v>9415</v>
      </c>
      <c r="C2828" s="6"/>
    </row>
    <row r="2829" customFormat="false" ht="15" hidden="false" customHeight="true" outlineLevel="0" collapsed="false">
      <c r="A2829" s="6" t="s">
        <v>6665</v>
      </c>
      <c r="B2829" s="6" t="s">
        <v>9416</v>
      </c>
      <c r="C2829" s="6"/>
    </row>
    <row r="2830" customFormat="false" ht="15" hidden="false" customHeight="true" outlineLevel="0" collapsed="false">
      <c r="A2830" s="6" t="s">
        <v>6665</v>
      </c>
      <c r="B2830" s="6" t="s">
        <v>9417</v>
      </c>
      <c r="C2830" s="6"/>
    </row>
    <row r="2831" customFormat="false" ht="15" hidden="false" customHeight="true" outlineLevel="0" collapsed="false">
      <c r="A2831" s="6" t="s">
        <v>6665</v>
      </c>
      <c r="B2831" s="6" t="s">
        <v>9418</v>
      </c>
      <c r="C2831" s="6"/>
    </row>
    <row r="2832" customFormat="false" ht="15" hidden="false" customHeight="true" outlineLevel="0" collapsed="false">
      <c r="A2832" s="6" t="s">
        <v>6665</v>
      </c>
      <c r="B2832" s="6" t="s">
        <v>9419</v>
      </c>
      <c r="C2832" s="6"/>
    </row>
    <row r="2833" customFormat="false" ht="15" hidden="false" customHeight="true" outlineLevel="0" collapsed="false">
      <c r="A2833" s="6" t="s">
        <v>6665</v>
      </c>
      <c r="B2833" s="6" t="s">
        <v>9420</v>
      </c>
      <c r="C2833" s="6"/>
    </row>
    <row r="2834" customFormat="false" ht="15" hidden="false" customHeight="true" outlineLevel="0" collapsed="false">
      <c r="A2834" s="6" t="s">
        <v>4605</v>
      </c>
      <c r="B2834" s="6" t="s">
        <v>4605</v>
      </c>
      <c r="C2834" s="6" t="s">
        <v>8013</v>
      </c>
    </row>
    <row r="2835" customFormat="false" ht="15" hidden="false" customHeight="true" outlineLevel="0" collapsed="false">
      <c r="A2835" s="6" t="s">
        <v>4605</v>
      </c>
      <c r="B2835" s="6" t="s">
        <v>7669</v>
      </c>
      <c r="C2835" s="6" t="s">
        <v>8013</v>
      </c>
    </row>
    <row r="2836" customFormat="false" ht="15" hidden="false" customHeight="true" outlineLevel="0" collapsed="false">
      <c r="A2836" s="6" t="s">
        <v>4605</v>
      </c>
      <c r="B2836" s="6" t="s">
        <v>9421</v>
      </c>
      <c r="C2836" s="6"/>
    </row>
    <row r="2837" customFormat="false" ht="15" hidden="false" customHeight="true" outlineLevel="0" collapsed="false">
      <c r="A2837" s="6" t="s">
        <v>4605</v>
      </c>
      <c r="B2837" s="6" t="s">
        <v>7670</v>
      </c>
      <c r="C2837" s="6" t="s">
        <v>8013</v>
      </c>
    </row>
    <row r="2838" customFormat="false" ht="15" hidden="false" customHeight="true" outlineLevel="0" collapsed="false">
      <c r="A2838" s="6" t="s">
        <v>4605</v>
      </c>
      <c r="B2838" s="6" t="s">
        <v>7668</v>
      </c>
      <c r="C2838" s="6" t="s">
        <v>8013</v>
      </c>
    </row>
    <row r="2839" customFormat="false" ht="15" hidden="false" customHeight="true" outlineLevel="0" collapsed="false">
      <c r="A2839" s="6" t="s">
        <v>4605</v>
      </c>
      <c r="B2839" s="6" t="s">
        <v>9422</v>
      </c>
      <c r="C2839" s="6"/>
    </row>
    <row r="2840" customFormat="false" ht="15" hidden="false" customHeight="true" outlineLevel="0" collapsed="false">
      <c r="A2840" s="6" t="s">
        <v>4605</v>
      </c>
      <c r="B2840" s="6" t="s">
        <v>9423</v>
      </c>
      <c r="C2840" s="6"/>
    </row>
    <row r="2841" customFormat="false" ht="15" hidden="false" customHeight="true" outlineLevel="0" collapsed="false">
      <c r="A2841" s="6" t="s">
        <v>4605</v>
      </c>
      <c r="B2841" s="6" t="s">
        <v>9424</v>
      </c>
      <c r="C2841" s="6"/>
    </row>
    <row r="2842" customFormat="false" ht="15" hidden="false" customHeight="true" outlineLevel="0" collapsed="false">
      <c r="A2842" s="6" t="s">
        <v>4605</v>
      </c>
      <c r="B2842" s="6" t="s">
        <v>9425</v>
      </c>
      <c r="C2842" s="6"/>
    </row>
    <row r="2843" customFormat="false" ht="15" hidden="false" customHeight="true" outlineLevel="0" collapsed="false">
      <c r="A2843" s="6" t="s">
        <v>4605</v>
      </c>
      <c r="B2843" s="6" t="s">
        <v>9426</v>
      </c>
      <c r="C2843" s="6"/>
    </row>
    <row r="2844" customFormat="false" ht="15" hidden="false" customHeight="true" outlineLevel="0" collapsed="false">
      <c r="A2844" s="6" t="s">
        <v>5635</v>
      </c>
      <c r="B2844" s="6" t="s">
        <v>5635</v>
      </c>
      <c r="C2844" s="6" t="s">
        <v>8013</v>
      </c>
    </row>
    <row r="2845" customFormat="false" ht="15" hidden="false" customHeight="true" outlineLevel="0" collapsed="false">
      <c r="A2845" s="6" t="s">
        <v>5635</v>
      </c>
      <c r="B2845" s="6" t="s">
        <v>9427</v>
      </c>
      <c r="C2845" s="6"/>
    </row>
    <row r="2846" customFormat="false" ht="15" hidden="false" customHeight="true" outlineLevel="0" collapsed="false">
      <c r="A2846" s="6" t="s">
        <v>5635</v>
      </c>
      <c r="B2846" s="6" t="s">
        <v>9428</v>
      </c>
      <c r="C2846" s="6"/>
    </row>
    <row r="2847" customFormat="false" ht="15" hidden="false" customHeight="true" outlineLevel="0" collapsed="false">
      <c r="A2847" s="6" t="s">
        <v>5635</v>
      </c>
      <c r="B2847" s="6" t="s">
        <v>9429</v>
      </c>
      <c r="C2847" s="6"/>
    </row>
    <row r="2848" customFormat="false" ht="15" hidden="false" customHeight="true" outlineLevel="0" collapsed="false">
      <c r="A2848" s="6" t="s">
        <v>5635</v>
      </c>
      <c r="B2848" s="6" t="s">
        <v>9430</v>
      </c>
      <c r="C2848" s="6"/>
    </row>
    <row r="2849" customFormat="false" ht="15" hidden="false" customHeight="true" outlineLevel="0" collapsed="false">
      <c r="A2849" s="6" t="s">
        <v>5635</v>
      </c>
      <c r="B2849" s="6" t="s">
        <v>9431</v>
      </c>
      <c r="C2849" s="6"/>
    </row>
    <row r="2850" customFormat="false" ht="15" hidden="false" customHeight="true" outlineLevel="0" collapsed="false">
      <c r="A2850" s="6" t="s">
        <v>5635</v>
      </c>
      <c r="B2850" s="6" t="s">
        <v>9432</v>
      </c>
      <c r="C2850" s="6"/>
    </row>
    <row r="2851" customFormat="false" ht="15" hidden="false" customHeight="true" outlineLevel="0" collapsed="false">
      <c r="A2851" s="6" t="s">
        <v>5635</v>
      </c>
      <c r="B2851" s="6" t="s">
        <v>9433</v>
      </c>
      <c r="C2851" s="6"/>
    </row>
    <row r="2852" customFormat="false" ht="15" hidden="false" customHeight="true" outlineLevel="0" collapsed="false">
      <c r="A2852" s="6" t="s">
        <v>5635</v>
      </c>
      <c r="B2852" s="6" t="s">
        <v>9434</v>
      </c>
      <c r="C2852" s="6"/>
    </row>
    <row r="2853" customFormat="false" ht="15" hidden="false" customHeight="true" outlineLevel="0" collapsed="false">
      <c r="A2853" s="6" t="s">
        <v>5635</v>
      </c>
      <c r="B2853" s="6" t="s">
        <v>9435</v>
      </c>
      <c r="C2853" s="6"/>
    </row>
    <row r="2854" customFormat="false" ht="15" hidden="false" customHeight="true" outlineLevel="0" collapsed="false">
      <c r="A2854" s="6" t="s">
        <v>6666</v>
      </c>
      <c r="B2854" s="6" t="s">
        <v>6666</v>
      </c>
      <c r="C2854" s="6" t="s">
        <v>8013</v>
      </c>
    </row>
    <row r="2855" customFormat="false" ht="15" hidden="false" customHeight="true" outlineLevel="0" collapsed="false">
      <c r="A2855" s="6" t="s">
        <v>6666</v>
      </c>
      <c r="B2855" s="6" t="s">
        <v>9436</v>
      </c>
      <c r="C2855" s="6"/>
    </row>
    <row r="2856" customFormat="false" ht="15" hidden="false" customHeight="true" outlineLevel="0" collapsed="false">
      <c r="A2856" s="6" t="s">
        <v>6666</v>
      </c>
      <c r="B2856" s="6" t="s">
        <v>9437</v>
      </c>
      <c r="C2856" s="6"/>
    </row>
    <row r="2857" customFormat="false" ht="15" hidden="false" customHeight="true" outlineLevel="0" collapsed="false">
      <c r="A2857" s="6" t="s">
        <v>6666</v>
      </c>
      <c r="B2857" s="6" t="s">
        <v>9438</v>
      </c>
      <c r="C2857" s="6"/>
    </row>
    <row r="2858" customFormat="false" ht="15" hidden="false" customHeight="true" outlineLevel="0" collapsed="false">
      <c r="A2858" s="6" t="s">
        <v>6666</v>
      </c>
      <c r="B2858" s="6" t="s">
        <v>9439</v>
      </c>
      <c r="C2858" s="6"/>
    </row>
    <row r="2859" customFormat="false" ht="15" hidden="false" customHeight="true" outlineLevel="0" collapsed="false">
      <c r="A2859" s="6" t="s">
        <v>6666</v>
      </c>
      <c r="B2859" s="6" t="s">
        <v>9440</v>
      </c>
      <c r="C2859" s="6"/>
    </row>
    <row r="2860" customFormat="false" ht="15" hidden="false" customHeight="true" outlineLevel="0" collapsed="false">
      <c r="A2860" s="6" t="s">
        <v>6666</v>
      </c>
      <c r="B2860" s="6" t="s">
        <v>9441</v>
      </c>
      <c r="C2860" s="6"/>
    </row>
    <row r="2861" customFormat="false" ht="15" hidden="false" customHeight="true" outlineLevel="0" collapsed="false">
      <c r="A2861" s="6" t="s">
        <v>5646</v>
      </c>
      <c r="B2861" s="6" t="s">
        <v>9442</v>
      </c>
      <c r="C2861" s="6"/>
    </row>
    <row r="2862" customFormat="false" ht="15" hidden="false" customHeight="true" outlineLevel="0" collapsed="false">
      <c r="A2862" s="6" t="s">
        <v>5646</v>
      </c>
      <c r="B2862" s="6" t="s">
        <v>9443</v>
      </c>
      <c r="C2862" s="6"/>
    </row>
    <row r="2863" customFormat="false" ht="15" hidden="false" customHeight="true" outlineLevel="0" collapsed="false">
      <c r="A2863" s="6" t="s">
        <v>5646</v>
      </c>
      <c r="B2863" s="6" t="s">
        <v>9444</v>
      </c>
      <c r="C2863" s="6"/>
    </row>
    <row r="2864" customFormat="false" ht="15" hidden="false" customHeight="true" outlineLevel="0" collapsed="false">
      <c r="A2864" s="6" t="s">
        <v>5646</v>
      </c>
      <c r="B2864" s="6" t="s">
        <v>9445</v>
      </c>
      <c r="C2864" s="6"/>
    </row>
    <row r="2865" customFormat="false" ht="15" hidden="false" customHeight="true" outlineLevel="0" collapsed="false">
      <c r="A2865" s="6" t="s">
        <v>5646</v>
      </c>
      <c r="B2865" s="6" t="s">
        <v>9446</v>
      </c>
      <c r="C2865" s="6"/>
    </row>
    <row r="2866" customFormat="false" ht="15" hidden="false" customHeight="true" outlineLevel="0" collapsed="false">
      <c r="A2866" s="6" t="s">
        <v>5657</v>
      </c>
      <c r="B2866" s="6" t="s">
        <v>9447</v>
      </c>
      <c r="C2866" s="6"/>
    </row>
    <row r="2867" customFormat="false" ht="15" hidden="false" customHeight="true" outlineLevel="0" collapsed="false">
      <c r="A2867" s="6" t="s">
        <v>5657</v>
      </c>
      <c r="B2867" s="6" t="s">
        <v>9448</v>
      </c>
      <c r="C2867" s="6"/>
    </row>
    <row r="2868" customFormat="false" ht="15" hidden="false" customHeight="true" outlineLevel="0" collapsed="false">
      <c r="A2868" s="6" t="s">
        <v>5657</v>
      </c>
      <c r="B2868" s="6" t="s">
        <v>9449</v>
      </c>
      <c r="C2868" s="6"/>
    </row>
    <row r="2869" customFormat="false" ht="15" hidden="false" customHeight="true" outlineLevel="0" collapsed="false">
      <c r="A2869" s="6" t="s">
        <v>5657</v>
      </c>
      <c r="B2869" s="6" t="s">
        <v>9450</v>
      </c>
      <c r="C2869" s="6"/>
    </row>
    <row r="2870" customFormat="false" ht="15" hidden="false" customHeight="true" outlineLevel="0" collapsed="false">
      <c r="A2870" s="6" t="s">
        <v>5657</v>
      </c>
      <c r="B2870" s="6" t="s">
        <v>9451</v>
      </c>
      <c r="C2870" s="6"/>
    </row>
    <row r="2871" customFormat="false" ht="15" hidden="false" customHeight="true" outlineLevel="0" collapsed="false">
      <c r="A2871" s="6" t="s">
        <v>5657</v>
      </c>
      <c r="B2871" s="6" t="s">
        <v>9452</v>
      </c>
      <c r="C2871" s="6"/>
    </row>
    <row r="2872" customFormat="false" ht="15" hidden="false" customHeight="true" outlineLevel="0" collapsed="false">
      <c r="A2872" s="6" t="s">
        <v>5668</v>
      </c>
      <c r="B2872" s="6" t="s">
        <v>5668</v>
      </c>
      <c r="C2872" s="6" t="s">
        <v>8013</v>
      </c>
    </row>
    <row r="2873" customFormat="false" ht="15" hidden="false" customHeight="true" outlineLevel="0" collapsed="false">
      <c r="A2873" s="6" t="s">
        <v>5668</v>
      </c>
      <c r="B2873" s="6" t="s">
        <v>5672</v>
      </c>
      <c r="C2873" s="6" t="s">
        <v>8013</v>
      </c>
    </row>
    <row r="2874" customFormat="false" ht="15" hidden="false" customHeight="true" outlineLevel="0" collapsed="false">
      <c r="A2874" s="6" t="s">
        <v>5668</v>
      </c>
      <c r="B2874" s="6" t="s">
        <v>7676</v>
      </c>
      <c r="C2874" s="6" t="s">
        <v>8013</v>
      </c>
    </row>
    <row r="2875" customFormat="false" ht="15" hidden="false" customHeight="true" outlineLevel="0" collapsed="false">
      <c r="A2875" s="6" t="s">
        <v>5668</v>
      </c>
      <c r="B2875" s="6" t="s">
        <v>9453</v>
      </c>
      <c r="C2875" s="6"/>
    </row>
    <row r="2876" customFormat="false" ht="15" hidden="false" customHeight="true" outlineLevel="0" collapsed="false">
      <c r="A2876" s="6" t="s">
        <v>5668</v>
      </c>
      <c r="B2876" s="6" t="s">
        <v>7673</v>
      </c>
      <c r="C2876" s="6" t="s">
        <v>8013</v>
      </c>
    </row>
    <row r="2877" customFormat="false" ht="15" hidden="false" customHeight="true" outlineLevel="0" collapsed="false">
      <c r="A2877" s="6" t="s">
        <v>5668</v>
      </c>
      <c r="B2877" s="6" t="s">
        <v>7675</v>
      </c>
      <c r="C2877" s="6" t="s">
        <v>8013</v>
      </c>
    </row>
    <row r="2878" customFormat="false" ht="15" hidden="false" customHeight="true" outlineLevel="0" collapsed="false">
      <c r="A2878" s="6" t="s">
        <v>5668</v>
      </c>
      <c r="B2878" s="6" t="s">
        <v>7674</v>
      </c>
      <c r="C2878" s="6" t="s">
        <v>8013</v>
      </c>
    </row>
    <row r="2879" customFormat="false" ht="15" hidden="false" customHeight="true" outlineLevel="0" collapsed="false">
      <c r="A2879" s="6" t="s">
        <v>5668</v>
      </c>
      <c r="B2879" s="6" t="s">
        <v>9454</v>
      </c>
      <c r="C2879" s="6"/>
    </row>
    <row r="2880" customFormat="false" ht="15" hidden="false" customHeight="true" outlineLevel="0" collapsed="false">
      <c r="A2880" s="6" t="s">
        <v>5668</v>
      </c>
      <c r="B2880" s="6" t="s">
        <v>9455</v>
      </c>
      <c r="C2880" s="6"/>
    </row>
    <row r="2881" customFormat="false" ht="15" hidden="false" customHeight="true" outlineLevel="0" collapsed="false">
      <c r="A2881" s="6" t="s">
        <v>5668</v>
      </c>
      <c r="B2881" s="6" t="s">
        <v>9456</v>
      </c>
      <c r="C2881" s="6"/>
    </row>
    <row r="2882" customFormat="false" ht="15" hidden="false" customHeight="true" outlineLevel="0" collapsed="false">
      <c r="A2882" s="6" t="s">
        <v>5691</v>
      </c>
      <c r="B2882" s="6" t="s">
        <v>5691</v>
      </c>
      <c r="C2882" s="6" t="s">
        <v>8013</v>
      </c>
    </row>
    <row r="2883" customFormat="false" ht="15" hidden="false" customHeight="true" outlineLevel="0" collapsed="false">
      <c r="A2883" s="6" t="s">
        <v>5691</v>
      </c>
      <c r="B2883" s="6" t="s">
        <v>7677</v>
      </c>
      <c r="C2883" s="6" t="s">
        <v>8013</v>
      </c>
    </row>
    <row r="2884" customFormat="false" ht="15" hidden="false" customHeight="true" outlineLevel="0" collapsed="false">
      <c r="A2884" s="6" t="s">
        <v>5691</v>
      </c>
      <c r="B2884" s="6" t="s">
        <v>5695</v>
      </c>
      <c r="C2884" s="6" t="s">
        <v>8013</v>
      </c>
    </row>
    <row r="2885" customFormat="false" ht="15" hidden="false" customHeight="true" outlineLevel="0" collapsed="false">
      <c r="A2885" s="6" t="s">
        <v>5691</v>
      </c>
      <c r="B2885" s="6" t="s">
        <v>7678</v>
      </c>
      <c r="C2885" s="6" t="s">
        <v>8013</v>
      </c>
    </row>
    <row r="2886" customFormat="false" ht="15" hidden="false" customHeight="true" outlineLevel="0" collapsed="false">
      <c r="A2886" s="6" t="s">
        <v>5691</v>
      </c>
      <c r="B2886" s="6" t="s">
        <v>9457</v>
      </c>
      <c r="C2886" s="6"/>
    </row>
    <row r="2887" customFormat="false" ht="15" hidden="false" customHeight="true" outlineLevel="0" collapsed="false">
      <c r="A2887" s="6" t="s">
        <v>5691</v>
      </c>
      <c r="B2887" s="6" t="s">
        <v>9458</v>
      </c>
      <c r="C2887" s="6"/>
    </row>
    <row r="2888" customFormat="false" ht="15" hidden="false" customHeight="true" outlineLevel="0" collapsed="false">
      <c r="A2888" s="6" t="s">
        <v>5691</v>
      </c>
      <c r="B2888" s="6" t="s">
        <v>9459</v>
      </c>
      <c r="C2888" s="6"/>
    </row>
    <row r="2889" customFormat="false" ht="15" hidden="false" customHeight="true" outlineLevel="0" collapsed="false">
      <c r="A2889" s="6" t="s">
        <v>5691</v>
      </c>
      <c r="B2889" s="6" t="s">
        <v>9460</v>
      </c>
      <c r="C2889" s="6"/>
    </row>
    <row r="2890" customFormat="false" ht="15" hidden="false" customHeight="true" outlineLevel="0" collapsed="false">
      <c r="A2890" s="6" t="s">
        <v>6669</v>
      </c>
      <c r="B2890" s="6" t="s">
        <v>6669</v>
      </c>
      <c r="C2890" s="6" t="s">
        <v>8013</v>
      </c>
    </row>
    <row r="2891" customFormat="false" ht="15" hidden="false" customHeight="true" outlineLevel="0" collapsed="false">
      <c r="A2891" s="6" t="s">
        <v>6669</v>
      </c>
      <c r="B2891" s="6" t="s">
        <v>9461</v>
      </c>
      <c r="C2891" s="6"/>
    </row>
    <row r="2892" customFormat="false" ht="15" hidden="false" customHeight="true" outlineLevel="0" collapsed="false">
      <c r="A2892" s="6" t="s">
        <v>6669</v>
      </c>
      <c r="B2892" s="6" t="s">
        <v>5719</v>
      </c>
      <c r="C2892" s="6" t="s">
        <v>8013</v>
      </c>
    </row>
    <row r="2893" customFormat="false" ht="15" hidden="false" customHeight="true" outlineLevel="0" collapsed="false">
      <c r="A2893" s="6" t="s">
        <v>6669</v>
      </c>
      <c r="B2893" s="6" t="s">
        <v>7678</v>
      </c>
      <c r="C2893" s="6" t="s">
        <v>8013</v>
      </c>
    </row>
    <row r="2894" customFormat="false" ht="15" hidden="false" customHeight="true" outlineLevel="0" collapsed="false">
      <c r="A2894" s="6" t="s">
        <v>6669</v>
      </c>
      <c r="B2894" s="6" t="s">
        <v>9462</v>
      </c>
      <c r="C2894" s="6"/>
    </row>
    <row r="2895" customFormat="false" ht="15" hidden="false" customHeight="true" outlineLevel="0" collapsed="false">
      <c r="A2895" s="6" t="s">
        <v>6669</v>
      </c>
      <c r="B2895" s="6" t="s">
        <v>9463</v>
      </c>
      <c r="C2895" s="6"/>
    </row>
    <row r="2896" customFormat="false" ht="15" hidden="false" customHeight="true" outlineLevel="0" collapsed="false">
      <c r="A2896" s="6" t="s">
        <v>6669</v>
      </c>
      <c r="B2896" s="6" t="s">
        <v>7679</v>
      </c>
      <c r="C2896" s="6" t="s">
        <v>8013</v>
      </c>
    </row>
    <row r="2897" customFormat="false" ht="15" hidden="false" customHeight="true" outlineLevel="0" collapsed="false">
      <c r="A2897" s="6" t="s">
        <v>6669</v>
      </c>
      <c r="B2897" s="6" t="s">
        <v>9464</v>
      </c>
      <c r="C2897" s="6"/>
    </row>
    <row r="2898" customFormat="false" ht="15" hidden="false" customHeight="true" outlineLevel="0" collapsed="false">
      <c r="A2898" s="6" t="s">
        <v>6669</v>
      </c>
      <c r="B2898" s="6" t="s">
        <v>9465</v>
      </c>
      <c r="C2898" s="6"/>
    </row>
    <row r="2899" customFormat="false" ht="15" hidden="false" customHeight="true" outlineLevel="0" collapsed="false">
      <c r="A2899" s="6" t="s">
        <v>6669</v>
      </c>
      <c r="B2899" s="6" t="s">
        <v>9466</v>
      </c>
      <c r="C2899" s="6"/>
    </row>
    <row r="2900" customFormat="false" ht="15" hidden="false" customHeight="true" outlineLevel="0" collapsed="false">
      <c r="A2900" s="6" t="s">
        <v>5703</v>
      </c>
      <c r="B2900" s="6" t="s">
        <v>5703</v>
      </c>
      <c r="C2900" s="6" t="s">
        <v>8013</v>
      </c>
    </row>
    <row r="2901" customFormat="false" ht="15" hidden="false" customHeight="true" outlineLevel="0" collapsed="false">
      <c r="A2901" s="6" t="s">
        <v>5703</v>
      </c>
      <c r="B2901" s="6" t="s">
        <v>5707</v>
      </c>
      <c r="C2901" s="6" t="s">
        <v>8013</v>
      </c>
    </row>
    <row r="2902" customFormat="false" ht="15" hidden="false" customHeight="true" outlineLevel="0" collapsed="false">
      <c r="A2902" s="6" t="s">
        <v>5703</v>
      </c>
      <c r="B2902" s="6" t="s">
        <v>7679</v>
      </c>
      <c r="C2902" s="6" t="s">
        <v>8013</v>
      </c>
    </row>
    <row r="2903" customFormat="false" ht="15" hidden="false" customHeight="true" outlineLevel="0" collapsed="false">
      <c r="A2903" s="6" t="s">
        <v>5703</v>
      </c>
      <c r="B2903" s="6" t="s">
        <v>9467</v>
      </c>
      <c r="C2903" s="6"/>
    </row>
    <row r="2904" customFormat="false" ht="15" hidden="false" customHeight="true" outlineLevel="0" collapsed="false">
      <c r="A2904" s="6" t="s">
        <v>5714</v>
      </c>
      <c r="B2904" s="6" t="s">
        <v>5714</v>
      </c>
      <c r="C2904" s="6" t="s">
        <v>8013</v>
      </c>
    </row>
    <row r="2905" customFormat="false" ht="15" hidden="false" customHeight="true" outlineLevel="0" collapsed="false">
      <c r="A2905" s="6" t="s">
        <v>5714</v>
      </c>
      <c r="B2905" s="6" t="s">
        <v>5719</v>
      </c>
      <c r="C2905" s="6" t="s">
        <v>8013</v>
      </c>
    </row>
    <row r="2906" customFormat="false" ht="15" hidden="false" customHeight="true" outlineLevel="0" collapsed="false">
      <c r="A2906" s="6" t="s">
        <v>5714</v>
      </c>
      <c r="B2906" s="6" t="s">
        <v>9468</v>
      </c>
      <c r="C2906" s="6"/>
    </row>
    <row r="2907" customFormat="false" ht="15" hidden="false" customHeight="true" outlineLevel="0" collapsed="false">
      <c r="A2907" s="6" t="s">
        <v>5726</v>
      </c>
      <c r="B2907" s="6" t="s">
        <v>5726</v>
      </c>
      <c r="C2907" s="6" t="s">
        <v>8013</v>
      </c>
    </row>
    <row r="2908" customFormat="false" ht="15" hidden="false" customHeight="true" outlineLevel="0" collapsed="false">
      <c r="A2908" s="6" t="s">
        <v>5726</v>
      </c>
      <c r="B2908" s="6" t="s">
        <v>9469</v>
      </c>
      <c r="C2908" s="6"/>
    </row>
    <row r="2909" customFormat="false" ht="15" hidden="false" customHeight="true" outlineLevel="0" collapsed="false">
      <c r="A2909" s="6" t="s">
        <v>5726</v>
      </c>
      <c r="B2909" s="6" t="s">
        <v>7685</v>
      </c>
      <c r="C2909" s="6" t="s">
        <v>8013</v>
      </c>
    </row>
    <row r="2910" customFormat="false" ht="15" hidden="false" customHeight="true" outlineLevel="0" collapsed="false">
      <c r="A2910" s="6" t="s">
        <v>5726</v>
      </c>
      <c r="B2910" s="6" t="s">
        <v>5730</v>
      </c>
      <c r="C2910" s="6" t="s">
        <v>8013</v>
      </c>
    </row>
    <row r="2911" customFormat="false" ht="15" hidden="false" customHeight="true" outlineLevel="0" collapsed="false">
      <c r="A2911" s="6" t="s">
        <v>5726</v>
      </c>
      <c r="B2911" s="6" t="s">
        <v>7686</v>
      </c>
      <c r="C2911" s="6" t="s">
        <v>8013</v>
      </c>
    </row>
    <row r="2912" customFormat="false" ht="15" hidden="false" customHeight="true" outlineLevel="0" collapsed="false">
      <c r="A2912" s="6" t="s">
        <v>5726</v>
      </c>
      <c r="B2912" s="6" t="s">
        <v>7684</v>
      </c>
      <c r="C2912" s="6" t="s">
        <v>8013</v>
      </c>
    </row>
    <row r="2913" customFormat="false" ht="15" hidden="false" customHeight="true" outlineLevel="0" collapsed="false">
      <c r="A2913" s="6" t="s">
        <v>5726</v>
      </c>
      <c r="B2913" s="6" t="s">
        <v>9470</v>
      </c>
      <c r="C2913" s="6"/>
    </row>
    <row r="2914" customFormat="false" ht="15" hidden="false" customHeight="true" outlineLevel="0" collapsed="false">
      <c r="A2914" s="6" t="s">
        <v>5726</v>
      </c>
      <c r="B2914" s="6" t="s">
        <v>7683</v>
      </c>
      <c r="C2914" s="6" t="s">
        <v>8013</v>
      </c>
    </row>
    <row r="2915" customFormat="false" ht="15" hidden="false" customHeight="true" outlineLevel="0" collapsed="false">
      <c r="A2915" s="6" t="s">
        <v>5726</v>
      </c>
      <c r="B2915" s="6" t="s">
        <v>7682</v>
      </c>
      <c r="C2915" s="6" t="s">
        <v>8013</v>
      </c>
    </row>
    <row r="2916" customFormat="false" ht="15" hidden="false" customHeight="true" outlineLevel="0" collapsed="false">
      <c r="A2916" s="6" t="s">
        <v>5726</v>
      </c>
      <c r="B2916" s="6" t="s">
        <v>9471</v>
      </c>
      <c r="C2916" s="6"/>
    </row>
    <row r="2917" customFormat="false" ht="15" hidden="false" customHeight="true" outlineLevel="0" collapsed="false">
      <c r="A2917" s="6" t="s">
        <v>6671</v>
      </c>
      <c r="B2917" s="6" t="s">
        <v>6671</v>
      </c>
      <c r="C2917" s="6" t="s">
        <v>8013</v>
      </c>
    </row>
    <row r="2918" customFormat="false" ht="15" hidden="false" customHeight="true" outlineLevel="0" collapsed="false">
      <c r="A2918" s="6" t="s">
        <v>6671</v>
      </c>
      <c r="B2918" s="6" t="s">
        <v>9472</v>
      </c>
      <c r="C2918" s="6"/>
    </row>
    <row r="2919" customFormat="false" ht="15" hidden="false" customHeight="true" outlineLevel="0" collapsed="false">
      <c r="A2919" s="6" t="s">
        <v>6671</v>
      </c>
      <c r="B2919" s="6" t="s">
        <v>9473</v>
      </c>
      <c r="C2919" s="6"/>
    </row>
    <row r="2920" customFormat="false" ht="15" hidden="false" customHeight="true" outlineLevel="0" collapsed="false">
      <c r="A2920" s="6" t="s">
        <v>6671</v>
      </c>
      <c r="B2920" s="6" t="s">
        <v>9474</v>
      </c>
      <c r="C2920" s="6"/>
    </row>
    <row r="2921" customFormat="false" ht="15" hidden="false" customHeight="true" outlineLevel="0" collapsed="false">
      <c r="A2921" s="6" t="s">
        <v>6671</v>
      </c>
      <c r="B2921" s="6" t="s">
        <v>9475</v>
      </c>
      <c r="C2921" s="6"/>
    </row>
    <row r="2922" customFormat="false" ht="15" hidden="false" customHeight="true" outlineLevel="0" collapsed="false">
      <c r="A2922" s="6" t="s">
        <v>6671</v>
      </c>
      <c r="B2922" s="6" t="s">
        <v>9476</v>
      </c>
      <c r="C2922" s="6"/>
    </row>
    <row r="2923" customFormat="false" ht="15" hidden="false" customHeight="true" outlineLevel="0" collapsed="false">
      <c r="A2923" s="6" t="s">
        <v>6671</v>
      </c>
      <c r="B2923" s="6" t="s">
        <v>9477</v>
      </c>
      <c r="C2923" s="6"/>
    </row>
    <row r="2924" customFormat="false" ht="15" hidden="false" customHeight="true" outlineLevel="0" collapsed="false">
      <c r="A2924" s="6" t="s">
        <v>6671</v>
      </c>
      <c r="B2924" s="6" t="s">
        <v>9478</v>
      </c>
      <c r="C2924" s="6"/>
    </row>
    <row r="2925" customFormat="false" ht="15" hidden="false" customHeight="true" outlineLevel="0" collapsed="false">
      <c r="A2925" s="6" t="s">
        <v>6671</v>
      </c>
      <c r="B2925" s="6" t="s">
        <v>9479</v>
      </c>
      <c r="C2925" s="6"/>
    </row>
    <row r="2926" customFormat="false" ht="15" hidden="false" customHeight="true" outlineLevel="0" collapsed="false">
      <c r="A2926" s="6" t="s">
        <v>6671</v>
      </c>
      <c r="B2926" s="6" t="s">
        <v>9480</v>
      </c>
      <c r="C2926" s="6"/>
    </row>
    <row r="2927" customFormat="false" ht="15" hidden="false" customHeight="true" outlineLevel="0" collapsed="false">
      <c r="A2927" s="6" t="s">
        <v>6672</v>
      </c>
      <c r="B2927" s="6" t="s">
        <v>6672</v>
      </c>
      <c r="C2927" s="6" t="s">
        <v>8013</v>
      </c>
    </row>
    <row r="2928" customFormat="false" ht="15" hidden="false" customHeight="true" outlineLevel="0" collapsed="false">
      <c r="A2928" s="6" t="s">
        <v>6672</v>
      </c>
      <c r="B2928" s="6" t="s">
        <v>9481</v>
      </c>
      <c r="C2928" s="6"/>
    </row>
    <row r="2929" customFormat="false" ht="15" hidden="false" customHeight="true" outlineLevel="0" collapsed="false">
      <c r="A2929" s="6" t="s">
        <v>6672</v>
      </c>
      <c r="B2929" s="6" t="s">
        <v>9482</v>
      </c>
      <c r="C2929" s="6"/>
    </row>
    <row r="2930" customFormat="false" ht="15" hidden="false" customHeight="true" outlineLevel="0" collapsed="false">
      <c r="A2930" s="6" t="s">
        <v>6672</v>
      </c>
      <c r="B2930" s="6" t="s">
        <v>9483</v>
      </c>
      <c r="C2930" s="6"/>
    </row>
    <row r="2931" customFormat="false" ht="15" hidden="false" customHeight="true" outlineLevel="0" collapsed="false">
      <c r="A2931" s="6" t="s">
        <v>6672</v>
      </c>
      <c r="B2931" s="6" t="s">
        <v>9484</v>
      </c>
      <c r="C2931" s="6"/>
    </row>
    <row r="2932" customFormat="false" ht="15" hidden="false" customHeight="true" outlineLevel="0" collapsed="false">
      <c r="A2932" s="6" t="s">
        <v>6672</v>
      </c>
      <c r="B2932" s="6" t="s">
        <v>9485</v>
      </c>
      <c r="C2932" s="6"/>
    </row>
    <row r="2933" customFormat="false" ht="15" hidden="false" customHeight="true" outlineLevel="0" collapsed="false">
      <c r="A2933" s="6" t="s">
        <v>6672</v>
      </c>
      <c r="B2933" s="6" t="s">
        <v>9486</v>
      </c>
      <c r="C2933" s="6"/>
    </row>
    <row r="2934" customFormat="false" ht="15" hidden="false" customHeight="true" outlineLevel="0" collapsed="false">
      <c r="A2934" s="6" t="s">
        <v>6672</v>
      </c>
      <c r="B2934" s="6" t="s">
        <v>9487</v>
      </c>
      <c r="C2934" s="6"/>
    </row>
    <row r="2935" customFormat="false" ht="15" hidden="false" customHeight="true" outlineLevel="0" collapsed="false">
      <c r="A2935" s="6" t="s">
        <v>6672</v>
      </c>
      <c r="B2935" s="6" t="s">
        <v>9488</v>
      </c>
      <c r="C2935" s="6"/>
    </row>
    <row r="2936" customFormat="false" ht="15" hidden="false" customHeight="true" outlineLevel="0" collapsed="false">
      <c r="A2936" s="6" t="s">
        <v>6672</v>
      </c>
      <c r="B2936" s="6" t="s">
        <v>9489</v>
      </c>
      <c r="C2936" s="6"/>
    </row>
    <row r="2937" customFormat="false" ht="15" hidden="false" customHeight="true" outlineLevel="0" collapsed="false">
      <c r="A2937" s="6" t="s">
        <v>5739</v>
      </c>
      <c r="B2937" s="6" t="s">
        <v>5739</v>
      </c>
      <c r="C2937" s="6" t="s">
        <v>8013</v>
      </c>
    </row>
    <row r="2938" customFormat="false" ht="15" hidden="false" customHeight="true" outlineLevel="0" collapsed="false">
      <c r="A2938" s="6" t="s">
        <v>5739</v>
      </c>
      <c r="B2938" s="6" t="s">
        <v>7689</v>
      </c>
      <c r="C2938" s="6" t="s">
        <v>8013</v>
      </c>
    </row>
    <row r="2939" customFormat="false" ht="15" hidden="false" customHeight="true" outlineLevel="0" collapsed="false">
      <c r="A2939" s="6" t="s">
        <v>5739</v>
      </c>
      <c r="B2939" s="6" t="s">
        <v>9490</v>
      </c>
      <c r="C2939" s="6"/>
    </row>
    <row r="2940" customFormat="false" ht="15" hidden="false" customHeight="true" outlineLevel="0" collapsed="false">
      <c r="A2940" s="6" t="s">
        <v>5739</v>
      </c>
      <c r="B2940" s="6" t="s">
        <v>9491</v>
      </c>
      <c r="C2940" s="6"/>
    </row>
    <row r="2941" customFormat="false" ht="15" hidden="false" customHeight="true" outlineLevel="0" collapsed="false">
      <c r="A2941" s="6" t="s">
        <v>5739</v>
      </c>
      <c r="B2941" s="6" t="s">
        <v>5743</v>
      </c>
      <c r="C2941" s="6" t="s">
        <v>8013</v>
      </c>
    </row>
    <row r="2942" customFormat="false" ht="15" hidden="false" customHeight="true" outlineLevel="0" collapsed="false">
      <c r="A2942" s="6" t="s">
        <v>5739</v>
      </c>
      <c r="B2942" s="6" t="s">
        <v>7687</v>
      </c>
      <c r="C2942" s="6" t="s">
        <v>8013</v>
      </c>
    </row>
    <row r="2943" customFormat="false" ht="15" hidden="false" customHeight="true" outlineLevel="0" collapsed="false">
      <c r="A2943" s="6" t="s">
        <v>5739</v>
      </c>
      <c r="B2943" s="6" t="s">
        <v>9492</v>
      </c>
      <c r="C2943" s="6"/>
    </row>
    <row r="2944" customFormat="false" ht="15" hidden="false" customHeight="true" outlineLevel="0" collapsed="false">
      <c r="A2944" s="6" t="s">
        <v>5739</v>
      </c>
      <c r="B2944" s="6" t="s">
        <v>9493</v>
      </c>
      <c r="C2944" s="6"/>
    </row>
    <row r="2945" customFormat="false" ht="15" hidden="false" customHeight="true" outlineLevel="0" collapsed="false">
      <c r="A2945" s="6" t="s">
        <v>5739</v>
      </c>
      <c r="B2945" s="6" t="s">
        <v>7690</v>
      </c>
      <c r="C2945" s="6" t="s">
        <v>8013</v>
      </c>
    </row>
    <row r="2946" customFormat="false" ht="15" hidden="false" customHeight="true" outlineLevel="0" collapsed="false">
      <c r="A2946" s="6" t="s">
        <v>5739</v>
      </c>
      <c r="B2946" s="6" t="s">
        <v>7688</v>
      </c>
      <c r="C2946" s="6" t="s">
        <v>8013</v>
      </c>
    </row>
    <row r="2947" customFormat="false" ht="15" hidden="false" customHeight="true" outlineLevel="0" collapsed="false">
      <c r="A2947" s="6" t="s">
        <v>5752</v>
      </c>
      <c r="B2947" s="6" t="s">
        <v>5752</v>
      </c>
      <c r="C2947" s="6" t="s">
        <v>8013</v>
      </c>
    </row>
    <row r="2948" customFormat="false" ht="15" hidden="false" customHeight="true" outlineLevel="0" collapsed="false">
      <c r="A2948" s="6" t="s">
        <v>5752</v>
      </c>
      <c r="B2948" s="6" t="s">
        <v>7692</v>
      </c>
      <c r="C2948" s="6" t="s">
        <v>8013</v>
      </c>
    </row>
    <row r="2949" customFormat="false" ht="15" hidden="false" customHeight="true" outlineLevel="0" collapsed="false">
      <c r="A2949" s="6" t="s">
        <v>5752</v>
      </c>
      <c r="B2949" s="6" t="s">
        <v>7693</v>
      </c>
      <c r="C2949" s="6" t="s">
        <v>8013</v>
      </c>
    </row>
    <row r="2950" customFormat="false" ht="15" hidden="false" customHeight="true" outlineLevel="0" collapsed="false">
      <c r="A2950" s="6" t="s">
        <v>5752</v>
      </c>
      <c r="B2950" s="6" t="s">
        <v>7694</v>
      </c>
      <c r="C2950" s="6" t="s">
        <v>8013</v>
      </c>
    </row>
    <row r="2951" customFormat="false" ht="15" hidden="false" customHeight="true" outlineLevel="0" collapsed="false">
      <c r="A2951" s="6" t="s">
        <v>5752</v>
      </c>
      <c r="B2951" s="6" t="s">
        <v>5756</v>
      </c>
      <c r="C2951" s="6" t="s">
        <v>8013</v>
      </c>
    </row>
    <row r="2952" customFormat="false" ht="15" hidden="false" customHeight="true" outlineLevel="0" collapsed="false">
      <c r="A2952" s="6" t="s">
        <v>5752</v>
      </c>
      <c r="B2952" s="6" t="s">
        <v>7691</v>
      </c>
      <c r="C2952" s="6" t="s">
        <v>8013</v>
      </c>
    </row>
    <row r="2953" customFormat="false" ht="15" hidden="false" customHeight="true" outlineLevel="0" collapsed="false">
      <c r="A2953" s="6" t="s">
        <v>5752</v>
      </c>
      <c r="B2953" s="6" t="s">
        <v>9494</v>
      </c>
      <c r="C2953" s="6"/>
    </row>
    <row r="2954" customFormat="false" ht="15" hidden="false" customHeight="true" outlineLevel="0" collapsed="false">
      <c r="A2954" s="6" t="s">
        <v>5752</v>
      </c>
      <c r="B2954" s="6" t="s">
        <v>9495</v>
      </c>
      <c r="C2954" s="6"/>
    </row>
    <row r="2955" customFormat="false" ht="15" hidden="false" customHeight="true" outlineLevel="0" collapsed="false">
      <c r="A2955" s="6" t="s">
        <v>5752</v>
      </c>
      <c r="B2955" s="6" t="s">
        <v>7696</v>
      </c>
      <c r="C2955" s="6" t="s">
        <v>8013</v>
      </c>
    </row>
    <row r="2956" customFormat="false" ht="15" hidden="false" customHeight="true" outlineLevel="0" collapsed="false">
      <c r="A2956" s="6" t="s">
        <v>5752</v>
      </c>
      <c r="B2956" s="6" t="s">
        <v>9496</v>
      </c>
      <c r="C2956" s="6"/>
    </row>
    <row r="2957" customFormat="false" ht="15" hidden="false" customHeight="true" outlineLevel="0" collapsed="false">
      <c r="A2957" s="6" t="s">
        <v>5764</v>
      </c>
      <c r="B2957" s="6" t="s">
        <v>5764</v>
      </c>
      <c r="C2957" s="6" t="s">
        <v>8013</v>
      </c>
    </row>
    <row r="2958" customFormat="false" ht="15" hidden="false" customHeight="true" outlineLevel="0" collapsed="false">
      <c r="A2958" s="6" t="s">
        <v>5764</v>
      </c>
      <c r="B2958" s="6" t="s">
        <v>5769</v>
      </c>
      <c r="C2958" s="6" t="s">
        <v>8013</v>
      </c>
    </row>
    <row r="2959" customFormat="false" ht="15" hidden="false" customHeight="true" outlineLevel="0" collapsed="false">
      <c r="A2959" s="6" t="s">
        <v>5764</v>
      </c>
      <c r="B2959" s="6" t="s">
        <v>9497</v>
      </c>
      <c r="C2959" s="6"/>
    </row>
    <row r="2960" customFormat="false" ht="15" hidden="false" customHeight="true" outlineLevel="0" collapsed="false">
      <c r="A2960" s="6" t="s">
        <v>5764</v>
      </c>
      <c r="B2960" s="6" t="s">
        <v>9498</v>
      </c>
      <c r="C2960" s="6"/>
    </row>
    <row r="2961" customFormat="false" ht="15" hidden="false" customHeight="true" outlineLevel="0" collapsed="false">
      <c r="A2961" s="6" t="s">
        <v>5764</v>
      </c>
      <c r="B2961" s="6" t="s">
        <v>9499</v>
      </c>
      <c r="C2961" s="6"/>
    </row>
    <row r="2962" customFormat="false" ht="15" hidden="false" customHeight="true" outlineLevel="0" collapsed="false">
      <c r="A2962" s="6" t="s">
        <v>5764</v>
      </c>
      <c r="B2962" s="6" t="s">
        <v>9500</v>
      </c>
      <c r="C2962" s="6"/>
    </row>
    <row r="2963" customFormat="false" ht="15" hidden="false" customHeight="true" outlineLevel="0" collapsed="false">
      <c r="A2963" s="6" t="s">
        <v>5764</v>
      </c>
      <c r="B2963" s="6" t="s">
        <v>9501</v>
      </c>
      <c r="C2963" s="6"/>
    </row>
    <row r="2964" customFormat="false" ht="15" hidden="false" customHeight="true" outlineLevel="0" collapsed="false">
      <c r="A2964" s="6" t="s">
        <v>5764</v>
      </c>
      <c r="B2964" s="6" t="s">
        <v>9502</v>
      </c>
      <c r="C2964" s="6"/>
    </row>
    <row r="2965" customFormat="false" ht="15" hidden="false" customHeight="true" outlineLevel="0" collapsed="false">
      <c r="A2965" s="6" t="s">
        <v>5764</v>
      </c>
      <c r="B2965" s="6" t="s">
        <v>9503</v>
      </c>
      <c r="C2965" s="6"/>
    </row>
    <row r="2966" customFormat="false" ht="15" hidden="false" customHeight="true" outlineLevel="0" collapsed="false">
      <c r="A2966" s="6" t="s">
        <v>5764</v>
      </c>
      <c r="B2966" s="6" t="s">
        <v>9504</v>
      </c>
      <c r="C2966" s="6"/>
    </row>
    <row r="2967" customFormat="false" ht="15" hidden="false" customHeight="true" outlineLevel="0" collapsed="false">
      <c r="A2967" s="6" t="s">
        <v>5775</v>
      </c>
      <c r="B2967" s="6" t="s">
        <v>7695</v>
      </c>
      <c r="C2967" s="6" t="s">
        <v>8013</v>
      </c>
    </row>
    <row r="2968" customFormat="false" ht="15" hidden="false" customHeight="true" outlineLevel="0" collapsed="false">
      <c r="A2968" s="6" t="s">
        <v>5775</v>
      </c>
      <c r="B2968" s="6" t="s">
        <v>7716</v>
      </c>
      <c r="C2968" s="6" t="s">
        <v>8013</v>
      </c>
    </row>
    <row r="2969" customFormat="false" ht="15" hidden="false" customHeight="true" outlineLevel="0" collapsed="false">
      <c r="A2969" s="6" t="s">
        <v>5775</v>
      </c>
      <c r="B2969" s="6" t="s">
        <v>9505</v>
      </c>
      <c r="C2969" s="6"/>
    </row>
    <row r="2970" customFormat="false" ht="15" hidden="false" customHeight="true" outlineLevel="0" collapsed="false">
      <c r="A2970" s="6" t="s">
        <v>5775</v>
      </c>
      <c r="B2970" s="6" t="s">
        <v>9294</v>
      </c>
      <c r="C2970" s="6"/>
    </row>
    <row r="2971" customFormat="false" ht="15" hidden="false" customHeight="true" outlineLevel="0" collapsed="false">
      <c r="A2971" s="6" t="s">
        <v>5775</v>
      </c>
      <c r="B2971" s="6" t="s">
        <v>9506</v>
      </c>
      <c r="C2971" s="6"/>
    </row>
    <row r="2972" customFormat="false" ht="15" hidden="false" customHeight="true" outlineLevel="0" collapsed="false">
      <c r="A2972" s="6" t="s">
        <v>5899</v>
      </c>
      <c r="B2972" s="6" t="s">
        <v>5899</v>
      </c>
      <c r="C2972" s="6" t="s">
        <v>8013</v>
      </c>
    </row>
    <row r="2973" customFormat="false" ht="15" hidden="false" customHeight="true" outlineLevel="0" collapsed="false">
      <c r="A2973" s="6" t="s">
        <v>5899</v>
      </c>
      <c r="B2973" s="6" t="s">
        <v>9507</v>
      </c>
      <c r="C2973" s="6"/>
    </row>
    <row r="2974" customFormat="false" ht="15" hidden="false" customHeight="true" outlineLevel="0" collapsed="false">
      <c r="A2974" s="6" t="s">
        <v>5899</v>
      </c>
      <c r="B2974" s="6" t="s">
        <v>9508</v>
      </c>
      <c r="C2974" s="6"/>
    </row>
    <row r="2975" customFormat="false" ht="15" hidden="false" customHeight="true" outlineLevel="0" collapsed="false">
      <c r="A2975" s="6" t="s">
        <v>5899</v>
      </c>
      <c r="B2975" s="6" t="s">
        <v>9509</v>
      </c>
      <c r="C2975" s="6"/>
    </row>
    <row r="2976" customFormat="false" ht="15" hidden="false" customHeight="true" outlineLevel="0" collapsed="false">
      <c r="A2976" s="6" t="s">
        <v>5899</v>
      </c>
      <c r="B2976" s="6" t="s">
        <v>9510</v>
      </c>
      <c r="C2976" s="6"/>
    </row>
    <row r="2977" customFormat="false" ht="15" hidden="false" customHeight="true" outlineLevel="0" collapsed="false">
      <c r="A2977" s="6" t="s">
        <v>5899</v>
      </c>
      <c r="B2977" s="6" t="s">
        <v>9511</v>
      </c>
      <c r="C2977" s="6"/>
    </row>
    <row r="2978" customFormat="false" ht="15" hidden="false" customHeight="true" outlineLevel="0" collapsed="false">
      <c r="A2978" s="6" t="s">
        <v>5899</v>
      </c>
      <c r="B2978" s="6" t="s">
        <v>9512</v>
      </c>
      <c r="C2978" s="6"/>
    </row>
    <row r="2979" customFormat="false" ht="15" hidden="false" customHeight="true" outlineLevel="0" collapsed="false">
      <c r="A2979" s="6" t="s">
        <v>5899</v>
      </c>
      <c r="B2979" s="6" t="s">
        <v>5905</v>
      </c>
      <c r="C2979" s="6" t="s">
        <v>8013</v>
      </c>
    </row>
    <row r="2980" customFormat="false" ht="15" hidden="false" customHeight="true" outlineLevel="0" collapsed="false">
      <c r="A2980" s="6" t="s">
        <v>5899</v>
      </c>
      <c r="B2980" s="6" t="s">
        <v>9513</v>
      </c>
      <c r="C2980" s="6"/>
    </row>
    <row r="2981" customFormat="false" ht="15" hidden="false" customHeight="true" outlineLevel="0" collapsed="false">
      <c r="A2981" s="6" t="s">
        <v>5899</v>
      </c>
      <c r="B2981" s="6" t="s">
        <v>9514</v>
      </c>
      <c r="C2981" s="6"/>
    </row>
    <row r="2982" customFormat="false" ht="15" hidden="false" customHeight="true" outlineLevel="0" collapsed="false">
      <c r="A2982" s="6" t="s">
        <v>5787</v>
      </c>
      <c r="B2982" s="6" t="s">
        <v>5787</v>
      </c>
      <c r="C2982" s="6" t="s">
        <v>8013</v>
      </c>
    </row>
    <row r="2983" customFormat="false" ht="15" hidden="false" customHeight="true" outlineLevel="0" collapsed="false">
      <c r="A2983" s="6" t="s">
        <v>5787</v>
      </c>
      <c r="B2983" s="6" t="s">
        <v>5792</v>
      </c>
      <c r="C2983" s="6" t="s">
        <v>8013</v>
      </c>
    </row>
    <row r="2984" customFormat="false" ht="15" hidden="false" customHeight="true" outlineLevel="0" collapsed="false">
      <c r="A2984" s="6" t="s">
        <v>5787</v>
      </c>
      <c r="B2984" s="6" t="s">
        <v>9515</v>
      </c>
      <c r="C2984" s="6"/>
    </row>
    <row r="2985" customFormat="false" ht="15" hidden="false" customHeight="true" outlineLevel="0" collapsed="false">
      <c r="A2985" s="6" t="s">
        <v>5787</v>
      </c>
      <c r="B2985" s="6" t="s">
        <v>9516</v>
      </c>
      <c r="C2985" s="6"/>
    </row>
    <row r="2986" customFormat="false" ht="15" hidden="false" customHeight="true" outlineLevel="0" collapsed="false">
      <c r="A2986" s="6" t="s">
        <v>5787</v>
      </c>
      <c r="B2986" s="6" t="s">
        <v>9517</v>
      </c>
      <c r="C2986" s="6"/>
    </row>
    <row r="2987" customFormat="false" ht="15" hidden="false" customHeight="true" outlineLevel="0" collapsed="false">
      <c r="A2987" s="6" t="s">
        <v>5787</v>
      </c>
      <c r="B2987" s="6" t="s">
        <v>9518</v>
      </c>
      <c r="C2987" s="6"/>
    </row>
    <row r="2988" customFormat="false" ht="15" hidden="false" customHeight="true" outlineLevel="0" collapsed="false">
      <c r="A2988" s="6" t="s">
        <v>5787</v>
      </c>
      <c r="B2988" s="6" t="s">
        <v>9519</v>
      </c>
      <c r="C2988" s="6"/>
    </row>
    <row r="2989" customFormat="false" ht="15" hidden="false" customHeight="true" outlineLevel="0" collapsed="false">
      <c r="A2989" s="6" t="s">
        <v>5787</v>
      </c>
      <c r="B2989" s="6" t="s">
        <v>9520</v>
      </c>
      <c r="C2989" s="6"/>
    </row>
    <row r="2990" customFormat="false" ht="15" hidden="false" customHeight="true" outlineLevel="0" collapsed="false">
      <c r="A2990" s="6" t="s">
        <v>5787</v>
      </c>
      <c r="B2990" s="6" t="s">
        <v>9521</v>
      </c>
      <c r="C2990" s="6"/>
    </row>
    <row r="2991" customFormat="false" ht="15" hidden="false" customHeight="true" outlineLevel="0" collapsed="false">
      <c r="A2991" s="6" t="s">
        <v>5787</v>
      </c>
      <c r="B2991" s="6" t="s">
        <v>9522</v>
      </c>
      <c r="C2991" s="6"/>
    </row>
    <row r="2992" customFormat="false" ht="15" hidden="false" customHeight="true" outlineLevel="0" collapsed="false">
      <c r="A2992" s="6" t="s">
        <v>6674</v>
      </c>
      <c r="B2992" s="6" t="s">
        <v>9523</v>
      </c>
      <c r="C2992" s="6"/>
    </row>
    <row r="2993" customFormat="false" ht="15" hidden="false" customHeight="true" outlineLevel="0" collapsed="false">
      <c r="A2993" s="6" t="s">
        <v>6674</v>
      </c>
      <c r="B2993" s="6" t="s">
        <v>9524</v>
      </c>
      <c r="C2993" s="6"/>
    </row>
    <row r="2994" customFormat="false" ht="15" hidden="false" customHeight="true" outlineLevel="0" collapsed="false">
      <c r="A2994" s="6" t="s">
        <v>6674</v>
      </c>
      <c r="B2994" s="6" t="s">
        <v>9525</v>
      </c>
      <c r="C2994" s="6"/>
    </row>
    <row r="2995" customFormat="false" ht="15" hidden="false" customHeight="true" outlineLevel="0" collapsed="false">
      <c r="A2995" s="6" t="s">
        <v>6674</v>
      </c>
      <c r="B2995" s="6" t="s">
        <v>9526</v>
      </c>
      <c r="C2995" s="6"/>
    </row>
    <row r="2996" customFormat="false" ht="15" hidden="false" customHeight="true" outlineLevel="0" collapsed="false">
      <c r="A2996" s="6" t="s">
        <v>6674</v>
      </c>
      <c r="B2996" s="6" t="s">
        <v>9527</v>
      </c>
      <c r="C2996" s="6"/>
    </row>
    <row r="2997" customFormat="false" ht="15" hidden="false" customHeight="true" outlineLevel="0" collapsed="false">
      <c r="A2997" s="6" t="s">
        <v>6674</v>
      </c>
      <c r="B2997" s="6" t="s">
        <v>9528</v>
      </c>
      <c r="C2997" s="6"/>
    </row>
    <row r="2998" customFormat="false" ht="15" hidden="false" customHeight="true" outlineLevel="0" collapsed="false">
      <c r="A2998" s="6" t="s">
        <v>6674</v>
      </c>
      <c r="B2998" s="6" t="s">
        <v>9529</v>
      </c>
      <c r="C2998" s="6"/>
    </row>
    <row r="2999" customFormat="false" ht="15" hidden="false" customHeight="true" outlineLevel="0" collapsed="false">
      <c r="A2999" s="6" t="s">
        <v>6674</v>
      </c>
      <c r="B2999" s="6" t="s">
        <v>9530</v>
      </c>
      <c r="C2999" s="6"/>
    </row>
    <row r="3000" customFormat="false" ht="15" hidden="false" customHeight="true" outlineLevel="0" collapsed="false">
      <c r="A3000" s="6" t="s">
        <v>5877</v>
      </c>
      <c r="B3000" s="6" t="s">
        <v>9531</v>
      </c>
      <c r="C3000" s="6"/>
    </row>
    <row r="3001" customFormat="false" ht="15" hidden="false" customHeight="true" outlineLevel="0" collapsed="false">
      <c r="A3001" s="6" t="s">
        <v>5877</v>
      </c>
      <c r="B3001" s="6" t="s">
        <v>9532</v>
      </c>
      <c r="C3001" s="6"/>
    </row>
    <row r="3002" customFormat="false" ht="15" hidden="false" customHeight="true" outlineLevel="0" collapsed="false">
      <c r="A3002" s="6" t="s">
        <v>5877</v>
      </c>
      <c r="B3002" s="6" t="s">
        <v>9533</v>
      </c>
      <c r="C3002" s="6"/>
    </row>
    <row r="3003" customFormat="false" ht="15" hidden="false" customHeight="true" outlineLevel="0" collapsed="false">
      <c r="A3003" s="6" t="s">
        <v>5877</v>
      </c>
      <c r="B3003" s="6" t="s">
        <v>5882</v>
      </c>
      <c r="C3003" s="6" t="s">
        <v>8013</v>
      </c>
    </row>
    <row r="3004" customFormat="false" ht="15" hidden="false" customHeight="true" outlineLevel="0" collapsed="false">
      <c r="A3004" s="6" t="s">
        <v>5877</v>
      </c>
      <c r="B3004" s="6" t="s">
        <v>9534</v>
      </c>
      <c r="C3004" s="6"/>
    </row>
    <row r="3005" customFormat="false" ht="15" hidden="false" customHeight="true" outlineLevel="0" collapsed="false">
      <c r="A3005" s="6" t="s">
        <v>5877</v>
      </c>
      <c r="B3005" s="6" t="s">
        <v>9535</v>
      </c>
      <c r="C3005" s="6"/>
    </row>
    <row r="3006" customFormat="false" ht="15" hidden="false" customHeight="true" outlineLevel="0" collapsed="false">
      <c r="A3006" s="6" t="s">
        <v>5877</v>
      </c>
      <c r="B3006" s="6" t="s">
        <v>9536</v>
      </c>
      <c r="C3006" s="6"/>
    </row>
    <row r="3007" customFormat="false" ht="15" hidden="false" customHeight="true" outlineLevel="0" collapsed="false">
      <c r="A3007" s="6" t="s">
        <v>5877</v>
      </c>
      <c r="B3007" s="6" t="s">
        <v>9537</v>
      </c>
      <c r="C3007" s="6"/>
    </row>
    <row r="3008" customFormat="false" ht="15" hidden="false" customHeight="true" outlineLevel="0" collapsed="false">
      <c r="A3008" s="6" t="s">
        <v>5877</v>
      </c>
      <c r="B3008" s="6" t="s">
        <v>9538</v>
      </c>
      <c r="C3008" s="6"/>
    </row>
    <row r="3009" customFormat="false" ht="15" hidden="false" customHeight="true" outlineLevel="0" collapsed="false">
      <c r="A3009" s="6" t="s">
        <v>5877</v>
      </c>
      <c r="B3009" s="6" t="s">
        <v>9539</v>
      </c>
      <c r="C3009" s="6"/>
    </row>
    <row r="3010" customFormat="false" ht="15" hidden="false" customHeight="true" outlineLevel="0" collapsed="false">
      <c r="A3010" s="6" t="s">
        <v>5889</v>
      </c>
      <c r="B3010" s="6" t="s">
        <v>5889</v>
      </c>
      <c r="C3010" s="6" t="s">
        <v>8013</v>
      </c>
    </row>
    <row r="3011" customFormat="false" ht="15" hidden="false" customHeight="true" outlineLevel="0" collapsed="false">
      <c r="A3011" s="6" t="s">
        <v>5889</v>
      </c>
      <c r="B3011" s="6" t="s">
        <v>9540</v>
      </c>
      <c r="C3011" s="6"/>
    </row>
    <row r="3012" customFormat="false" ht="15" hidden="false" customHeight="true" outlineLevel="0" collapsed="false">
      <c r="A3012" s="6" t="s">
        <v>5889</v>
      </c>
      <c r="B3012" s="6" t="s">
        <v>9541</v>
      </c>
      <c r="C3012" s="6"/>
    </row>
    <row r="3013" customFormat="false" ht="15" hidden="false" customHeight="true" outlineLevel="0" collapsed="false">
      <c r="A3013" s="6" t="s">
        <v>5889</v>
      </c>
      <c r="B3013" s="6" t="s">
        <v>7701</v>
      </c>
      <c r="C3013" s="6" t="s">
        <v>8013</v>
      </c>
    </row>
    <row r="3014" customFormat="false" ht="15" hidden="false" customHeight="true" outlineLevel="0" collapsed="false">
      <c r="A3014" s="6" t="s">
        <v>5889</v>
      </c>
      <c r="B3014" s="6" t="s">
        <v>9542</v>
      </c>
      <c r="C3014" s="6"/>
    </row>
    <row r="3015" customFormat="false" ht="15" hidden="false" customHeight="true" outlineLevel="0" collapsed="false">
      <c r="A3015" s="6" t="s">
        <v>5889</v>
      </c>
      <c r="B3015" s="6" t="s">
        <v>9543</v>
      </c>
      <c r="C3015" s="6"/>
    </row>
    <row r="3016" customFormat="false" ht="15" hidden="false" customHeight="true" outlineLevel="0" collapsed="false">
      <c r="A3016" s="6" t="s">
        <v>5889</v>
      </c>
      <c r="B3016" s="6" t="s">
        <v>7715</v>
      </c>
      <c r="C3016" s="6" t="s">
        <v>8013</v>
      </c>
    </row>
    <row r="3017" customFormat="false" ht="15" hidden="false" customHeight="true" outlineLevel="0" collapsed="false">
      <c r="A3017" s="6" t="s">
        <v>5889</v>
      </c>
      <c r="B3017" s="6" t="s">
        <v>9544</v>
      </c>
      <c r="C3017" s="6"/>
    </row>
    <row r="3018" customFormat="false" ht="15" hidden="false" customHeight="true" outlineLevel="0" collapsed="false">
      <c r="A3018" s="6" t="s">
        <v>5889</v>
      </c>
      <c r="B3018" s="6" t="s">
        <v>9545</v>
      </c>
      <c r="C3018" s="6"/>
    </row>
    <row r="3019" customFormat="false" ht="15" hidden="false" customHeight="true" outlineLevel="0" collapsed="false">
      <c r="A3019" s="6" t="s">
        <v>5889</v>
      </c>
      <c r="B3019" s="6" t="s">
        <v>9546</v>
      </c>
      <c r="C3019" s="6"/>
    </row>
    <row r="3020" customFormat="false" ht="15" hidden="false" customHeight="true" outlineLevel="0" collapsed="false">
      <c r="A3020" s="6" t="s">
        <v>5911</v>
      </c>
      <c r="B3020" s="6" t="s">
        <v>5911</v>
      </c>
      <c r="C3020" s="6" t="s">
        <v>8013</v>
      </c>
    </row>
    <row r="3021" customFormat="false" ht="15" hidden="false" customHeight="true" outlineLevel="0" collapsed="false">
      <c r="A3021" s="6" t="s">
        <v>5911</v>
      </c>
      <c r="B3021" s="6" t="s">
        <v>7699</v>
      </c>
      <c r="C3021" s="6" t="s">
        <v>8013</v>
      </c>
    </row>
    <row r="3022" customFormat="false" ht="15" hidden="false" customHeight="true" outlineLevel="0" collapsed="false">
      <c r="A3022" s="6" t="s">
        <v>5911</v>
      </c>
      <c r="B3022" s="6" t="s">
        <v>7697</v>
      </c>
      <c r="C3022" s="6" t="s">
        <v>8013</v>
      </c>
    </row>
    <row r="3023" customFormat="false" ht="15" hidden="false" customHeight="true" outlineLevel="0" collapsed="false">
      <c r="A3023" s="6" t="s">
        <v>5911</v>
      </c>
      <c r="B3023" s="6" t="s">
        <v>9547</v>
      </c>
      <c r="C3023" s="6"/>
    </row>
    <row r="3024" customFormat="false" ht="15" hidden="false" customHeight="true" outlineLevel="0" collapsed="false">
      <c r="A3024" s="6" t="s">
        <v>5911</v>
      </c>
      <c r="B3024" s="6" t="s">
        <v>9548</v>
      </c>
      <c r="C3024" s="6"/>
    </row>
    <row r="3025" customFormat="false" ht="15" hidden="false" customHeight="true" outlineLevel="0" collapsed="false">
      <c r="A3025" s="6" t="s">
        <v>5911</v>
      </c>
      <c r="B3025" s="6" t="s">
        <v>7700</v>
      </c>
      <c r="C3025" s="6" t="s">
        <v>8013</v>
      </c>
    </row>
    <row r="3026" customFormat="false" ht="15" hidden="false" customHeight="true" outlineLevel="0" collapsed="false">
      <c r="A3026" s="6" t="s">
        <v>5911</v>
      </c>
      <c r="B3026" s="6" t="s">
        <v>9549</v>
      </c>
      <c r="C3026" s="6"/>
    </row>
    <row r="3027" customFormat="false" ht="15" hidden="false" customHeight="true" outlineLevel="0" collapsed="false">
      <c r="A3027" s="6" t="s">
        <v>5911</v>
      </c>
      <c r="B3027" s="6" t="s">
        <v>5915</v>
      </c>
      <c r="C3027" s="6" t="s">
        <v>8013</v>
      </c>
    </row>
    <row r="3028" customFormat="false" ht="15" hidden="false" customHeight="true" outlineLevel="0" collapsed="false">
      <c r="A3028" s="6" t="s">
        <v>5911</v>
      </c>
      <c r="B3028" s="6" t="s">
        <v>7698</v>
      </c>
      <c r="C3028" s="6" t="s">
        <v>8013</v>
      </c>
    </row>
    <row r="3029" customFormat="false" ht="15" hidden="false" customHeight="true" outlineLevel="0" collapsed="false">
      <c r="A3029" s="6" t="s">
        <v>5911</v>
      </c>
      <c r="B3029" s="6" t="s">
        <v>9550</v>
      </c>
      <c r="C3029" s="6"/>
    </row>
    <row r="3030" customFormat="false" ht="15" hidden="false" customHeight="true" outlineLevel="0" collapsed="false">
      <c r="A3030" s="6" t="s">
        <v>5810</v>
      </c>
      <c r="B3030" s="6" t="s">
        <v>5816</v>
      </c>
      <c r="C3030" s="6" t="s">
        <v>8013</v>
      </c>
    </row>
    <row r="3031" customFormat="false" ht="15" hidden="false" customHeight="true" outlineLevel="0" collapsed="false">
      <c r="A3031" s="6" t="s">
        <v>5810</v>
      </c>
      <c r="B3031" s="6" t="s">
        <v>5810</v>
      </c>
      <c r="C3031" s="6" t="s">
        <v>8013</v>
      </c>
    </row>
    <row r="3032" customFormat="false" ht="15" hidden="false" customHeight="true" outlineLevel="0" collapsed="false">
      <c r="A3032" s="6" t="s">
        <v>5810</v>
      </c>
      <c r="B3032" s="6" t="s">
        <v>9551</v>
      </c>
      <c r="C3032" s="6"/>
    </row>
    <row r="3033" customFormat="false" ht="15" hidden="false" customHeight="true" outlineLevel="0" collapsed="false">
      <c r="A3033" s="6" t="s">
        <v>5810</v>
      </c>
      <c r="B3033" s="6" t="s">
        <v>9552</v>
      </c>
      <c r="C3033" s="6"/>
    </row>
    <row r="3034" customFormat="false" ht="15" hidden="false" customHeight="true" outlineLevel="0" collapsed="false">
      <c r="A3034" s="6" t="s">
        <v>5810</v>
      </c>
      <c r="B3034" s="6" t="s">
        <v>9553</v>
      </c>
      <c r="C3034" s="6"/>
    </row>
    <row r="3035" customFormat="false" ht="15" hidden="false" customHeight="true" outlineLevel="0" collapsed="false">
      <c r="A3035" s="6" t="s">
        <v>5810</v>
      </c>
      <c r="B3035" s="6" t="s">
        <v>9554</v>
      </c>
      <c r="C3035" s="6"/>
    </row>
    <row r="3036" customFormat="false" ht="15" hidden="false" customHeight="true" outlineLevel="0" collapsed="false">
      <c r="A3036" s="6" t="s">
        <v>5810</v>
      </c>
      <c r="B3036" s="6" t="s">
        <v>9555</v>
      </c>
      <c r="C3036" s="6"/>
    </row>
    <row r="3037" customFormat="false" ht="15" hidden="false" customHeight="true" outlineLevel="0" collapsed="false">
      <c r="A3037" s="6" t="s">
        <v>5810</v>
      </c>
      <c r="B3037" s="6" t="s">
        <v>9556</v>
      </c>
      <c r="C3037" s="6"/>
    </row>
    <row r="3038" customFormat="false" ht="15" hidden="false" customHeight="true" outlineLevel="0" collapsed="false">
      <c r="A3038" s="6" t="s">
        <v>5810</v>
      </c>
      <c r="B3038" s="6" t="s">
        <v>9557</v>
      </c>
      <c r="C3038" s="6"/>
    </row>
    <row r="3039" customFormat="false" ht="15" hidden="false" customHeight="true" outlineLevel="0" collapsed="false">
      <c r="A3039" s="6" t="s">
        <v>5810</v>
      </c>
      <c r="B3039" s="6" t="s">
        <v>9558</v>
      </c>
      <c r="C3039" s="6"/>
    </row>
    <row r="3040" customFormat="false" ht="15" hidden="false" customHeight="true" outlineLevel="0" collapsed="false">
      <c r="A3040" s="6" t="s">
        <v>5822</v>
      </c>
      <c r="B3040" s="6" t="s">
        <v>7704</v>
      </c>
      <c r="C3040" s="6" t="s">
        <v>8013</v>
      </c>
    </row>
    <row r="3041" customFormat="false" ht="15" hidden="false" customHeight="true" outlineLevel="0" collapsed="false">
      <c r="A3041" s="6" t="s">
        <v>5822</v>
      </c>
      <c r="B3041" s="6" t="s">
        <v>5822</v>
      </c>
      <c r="C3041" s="6" t="s">
        <v>8013</v>
      </c>
    </row>
    <row r="3042" customFormat="false" ht="15" hidden="false" customHeight="true" outlineLevel="0" collapsed="false">
      <c r="A3042" s="6" t="s">
        <v>5822</v>
      </c>
      <c r="B3042" s="6" t="s">
        <v>5826</v>
      </c>
      <c r="C3042" s="6" t="s">
        <v>8013</v>
      </c>
    </row>
    <row r="3043" customFormat="false" ht="15" hidden="false" customHeight="true" outlineLevel="0" collapsed="false">
      <c r="A3043" s="6" t="s">
        <v>5822</v>
      </c>
      <c r="B3043" s="6" t="s">
        <v>7705</v>
      </c>
      <c r="C3043" s="6" t="s">
        <v>8013</v>
      </c>
    </row>
    <row r="3044" customFormat="false" ht="15" hidden="false" customHeight="true" outlineLevel="0" collapsed="false">
      <c r="A3044" s="6" t="s">
        <v>5822</v>
      </c>
      <c r="B3044" s="6" t="s">
        <v>9559</v>
      </c>
      <c r="C3044" s="6"/>
    </row>
    <row r="3045" customFormat="false" ht="15" hidden="false" customHeight="true" outlineLevel="0" collapsed="false">
      <c r="A3045" s="6" t="s">
        <v>5822</v>
      </c>
      <c r="B3045" s="6" t="s">
        <v>9560</v>
      </c>
      <c r="C3045" s="6"/>
    </row>
    <row r="3046" customFormat="false" ht="15" hidden="false" customHeight="true" outlineLevel="0" collapsed="false">
      <c r="A3046" s="6" t="s">
        <v>5822</v>
      </c>
      <c r="B3046" s="6" t="s">
        <v>9561</v>
      </c>
      <c r="C3046" s="6"/>
    </row>
    <row r="3047" customFormat="false" ht="15" hidden="false" customHeight="true" outlineLevel="0" collapsed="false">
      <c r="A3047" s="6" t="s">
        <v>5822</v>
      </c>
      <c r="B3047" s="6" t="s">
        <v>9562</v>
      </c>
      <c r="C3047" s="6"/>
    </row>
    <row r="3048" customFormat="false" ht="15" hidden="false" customHeight="true" outlineLevel="0" collapsed="false">
      <c r="A3048" s="6" t="s">
        <v>5822</v>
      </c>
      <c r="B3048" s="6" t="s">
        <v>7702</v>
      </c>
      <c r="C3048" s="6" t="s">
        <v>8013</v>
      </c>
    </row>
    <row r="3049" customFormat="false" ht="15" hidden="false" customHeight="true" outlineLevel="0" collapsed="false">
      <c r="A3049" s="6" t="s">
        <v>5822</v>
      </c>
      <c r="B3049" s="6" t="s">
        <v>7703</v>
      </c>
      <c r="C3049" s="6" t="s">
        <v>8013</v>
      </c>
    </row>
    <row r="3050" customFormat="false" ht="15" hidden="false" customHeight="true" outlineLevel="0" collapsed="false">
      <c r="A3050" s="6" t="s">
        <v>5833</v>
      </c>
      <c r="B3050" s="6" t="s">
        <v>5833</v>
      </c>
      <c r="C3050" s="6" t="s">
        <v>8013</v>
      </c>
    </row>
    <row r="3051" customFormat="false" ht="15" hidden="false" customHeight="true" outlineLevel="0" collapsed="false">
      <c r="A3051" s="6" t="s">
        <v>5833</v>
      </c>
      <c r="B3051" s="6" t="s">
        <v>7708</v>
      </c>
      <c r="C3051" s="6" t="s">
        <v>8013</v>
      </c>
    </row>
    <row r="3052" customFormat="false" ht="15" hidden="false" customHeight="true" outlineLevel="0" collapsed="false">
      <c r="A3052" s="6" t="s">
        <v>5833</v>
      </c>
      <c r="B3052" s="6" t="s">
        <v>7706</v>
      </c>
      <c r="C3052" s="6" t="s">
        <v>8013</v>
      </c>
    </row>
    <row r="3053" customFormat="false" ht="15" hidden="false" customHeight="true" outlineLevel="0" collapsed="false">
      <c r="A3053" s="6" t="s">
        <v>5833</v>
      </c>
      <c r="B3053" s="6" t="s">
        <v>9563</v>
      </c>
      <c r="C3053" s="6"/>
    </row>
    <row r="3054" customFormat="false" ht="15" hidden="false" customHeight="true" outlineLevel="0" collapsed="false">
      <c r="A3054" s="6" t="s">
        <v>5833</v>
      </c>
      <c r="B3054" s="6" t="s">
        <v>9564</v>
      </c>
      <c r="C3054" s="6"/>
    </row>
    <row r="3055" customFormat="false" ht="15" hidden="false" customHeight="true" outlineLevel="0" collapsed="false">
      <c r="A3055" s="6" t="s">
        <v>5833</v>
      </c>
      <c r="B3055" s="6" t="s">
        <v>7709</v>
      </c>
      <c r="C3055" s="6" t="s">
        <v>8013</v>
      </c>
    </row>
    <row r="3056" customFormat="false" ht="15" hidden="false" customHeight="true" outlineLevel="0" collapsed="false">
      <c r="A3056" s="6" t="s">
        <v>5833</v>
      </c>
      <c r="B3056" s="6" t="s">
        <v>9565</v>
      </c>
      <c r="C3056" s="6"/>
    </row>
    <row r="3057" customFormat="false" ht="15" hidden="false" customHeight="true" outlineLevel="0" collapsed="false">
      <c r="A3057" s="6" t="s">
        <v>5833</v>
      </c>
      <c r="B3057" s="6" t="s">
        <v>9566</v>
      </c>
      <c r="C3057" s="6"/>
    </row>
    <row r="3058" customFormat="false" ht="15" hidden="false" customHeight="true" outlineLevel="0" collapsed="false">
      <c r="A3058" s="6" t="s">
        <v>5833</v>
      </c>
      <c r="B3058" s="6" t="s">
        <v>7707</v>
      </c>
      <c r="C3058" s="6" t="s">
        <v>8013</v>
      </c>
    </row>
    <row r="3059" customFormat="false" ht="15" hidden="false" customHeight="true" outlineLevel="0" collapsed="false">
      <c r="A3059" s="6" t="s">
        <v>5833</v>
      </c>
      <c r="B3059" s="6" t="s">
        <v>9567</v>
      </c>
      <c r="C3059" s="6"/>
    </row>
    <row r="3060" customFormat="false" ht="15" hidden="false" customHeight="true" outlineLevel="0" collapsed="false">
      <c r="A3060" s="6" t="s">
        <v>5844</v>
      </c>
      <c r="B3060" s="6" t="s">
        <v>7713</v>
      </c>
      <c r="C3060" s="6" t="s">
        <v>8013</v>
      </c>
    </row>
    <row r="3061" customFormat="false" ht="15" hidden="false" customHeight="true" outlineLevel="0" collapsed="false">
      <c r="A3061" s="6" t="s">
        <v>5844</v>
      </c>
      <c r="B3061" s="6" t="s">
        <v>5844</v>
      </c>
      <c r="C3061" s="6" t="s">
        <v>8013</v>
      </c>
    </row>
    <row r="3062" customFormat="false" ht="15" hidden="false" customHeight="true" outlineLevel="0" collapsed="false">
      <c r="A3062" s="6" t="s">
        <v>5844</v>
      </c>
      <c r="B3062" s="6" t="s">
        <v>7710</v>
      </c>
      <c r="C3062" s="6" t="s">
        <v>8013</v>
      </c>
    </row>
    <row r="3063" customFormat="false" ht="15" hidden="false" customHeight="true" outlineLevel="0" collapsed="false">
      <c r="A3063" s="6" t="s">
        <v>5844</v>
      </c>
      <c r="B3063" s="6" t="s">
        <v>7711</v>
      </c>
      <c r="C3063" s="6" t="s">
        <v>8013</v>
      </c>
    </row>
    <row r="3064" customFormat="false" ht="15" hidden="false" customHeight="true" outlineLevel="0" collapsed="false">
      <c r="A3064" s="6" t="s">
        <v>5844</v>
      </c>
      <c r="B3064" s="6" t="s">
        <v>7712</v>
      </c>
      <c r="C3064" s="6" t="s">
        <v>8013</v>
      </c>
    </row>
    <row r="3065" customFormat="false" ht="15" hidden="false" customHeight="true" outlineLevel="0" collapsed="false">
      <c r="A3065" s="6" t="s">
        <v>5844</v>
      </c>
      <c r="B3065" s="6" t="s">
        <v>9568</v>
      </c>
      <c r="C3065" s="6"/>
    </row>
    <row r="3066" customFormat="false" ht="15" hidden="false" customHeight="true" outlineLevel="0" collapsed="false">
      <c r="A3066" s="6" t="s">
        <v>5844</v>
      </c>
      <c r="B3066" s="6" t="s">
        <v>7714</v>
      </c>
      <c r="C3066" s="6" t="s">
        <v>8013</v>
      </c>
    </row>
    <row r="3067" customFormat="false" ht="15" hidden="false" customHeight="true" outlineLevel="0" collapsed="false">
      <c r="A3067" s="6" t="s">
        <v>5844</v>
      </c>
      <c r="B3067" s="6" t="s">
        <v>9569</v>
      </c>
      <c r="C3067" s="6"/>
    </row>
    <row r="3068" customFormat="false" ht="15" hidden="false" customHeight="true" outlineLevel="0" collapsed="false">
      <c r="A3068" s="6" t="s">
        <v>5844</v>
      </c>
      <c r="B3068" s="6" t="s">
        <v>9570</v>
      </c>
      <c r="C3068" s="6"/>
    </row>
    <row r="3069" customFormat="false" ht="15" hidden="false" customHeight="true" outlineLevel="0" collapsed="false">
      <c r="A3069" s="6" t="s">
        <v>5844</v>
      </c>
      <c r="B3069" s="6" t="s">
        <v>9571</v>
      </c>
      <c r="C3069" s="6"/>
    </row>
    <row r="3070" customFormat="false" ht="15" hidden="false" customHeight="true" outlineLevel="0" collapsed="false">
      <c r="A3070" s="6" t="s">
        <v>5922</v>
      </c>
      <c r="B3070" s="6" t="s">
        <v>9572</v>
      </c>
      <c r="C3070" s="6"/>
    </row>
    <row r="3071" customFormat="false" ht="15" hidden="false" customHeight="true" outlineLevel="0" collapsed="false">
      <c r="A3071" s="6" t="s">
        <v>5922</v>
      </c>
      <c r="B3071" s="6" t="s">
        <v>9573</v>
      </c>
      <c r="C3071" s="6"/>
    </row>
    <row r="3072" customFormat="false" ht="15" hidden="false" customHeight="true" outlineLevel="0" collapsed="false">
      <c r="A3072" s="6" t="s">
        <v>5922</v>
      </c>
      <c r="B3072" s="6" t="s">
        <v>9574</v>
      </c>
      <c r="C3072" s="6"/>
    </row>
    <row r="3073" customFormat="false" ht="15" hidden="false" customHeight="true" outlineLevel="0" collapsed="false">
      <c r="A3073" s="6" t="s">
        <v>5922</v>
      </c>
      <c r="B3073" s="6" t="s">
        <v>9575</v>
      </c>
      <c r="C3073" s="6"/>
    </row>
    <row r="3074" customFormat="false" ht="15" hidden="false" customHeight="true" outlineLevel="0" collapsed="false">
      <c r="A3074" s="6" t="s">
        <v>5922</v>
      </c>
      <c r="B3074" s="6" t="s">
        <v>9576</v>
      </c>
      <c r="C3074" s="6"/>
    </row>
    <row r="3075" customFormat="false" ht="15" hidden="false" customHeight="true" outlineLevel="0" collapsed="false">
      <c r="A3075" s="6" t="s">
        <v>5922</v>
      </c>
      <c r="B3075" s="6" t="s">
        <v>5922</v>
      </c>
      <c r="C3075" s="6" t="s">
        <v>8013</v>
      </c>
    </row>
    <row r="3076" customFormat="false" ht="15" hidden="false" customHeight="true" outlineLevel="0" collapsed="false">
      <c r="A3076" s="6" t="s">
        <v>5922</v>
      </c>
      <c r="B3076" s="6" t="s">
        <v>9577</v>
      </c>
      <c r="C3076" s="6"/>
    </row>
    <row r="3077" customFormat="false" ht="15" hidden="false" customHeight="true" outlineLevel="0" collapsed="false">
      <c r="A3077" s="6" t="s">
        <v>5922</v>
      </c>
      <c r="B3077" s="6" t="s">
        <v>5928</v>
      </c>
      <c r="C3077" s="6" t="s">
        <v>8013</v>
      </c>
    </row>
    <row r="3078" customFormat="false" ht="15" hidden="false" customHeight="true" outlineLevel="0" collapsed="false">
      <c r="A3078" s="6" t="s">
        <v>5922</v>
      </c>
      <c r="B3078" s="6" t="s">
        <v>9578</v>
      </c>
      <c r="C3078" s="6"/>
    </row>
    <row r="3079" customFormat="false" ht="15" hidden="false" customHeight="true" outlineLevel="0" collapsed="false">
      <c r="A3079" s="6" t="s">
        <v>5922</v>
      </c>
      <c r="B3079" s="6" t="s">
        <v>9579</v>
      </c>
      <c r="C3079" s="6"/>
    </row>
    <row r="3080" customFormat="false" ht="15" hidden="false" customHeight="true" outlineLevel="0" collapsed="false">
      <c r="A3080" s="6" t="s">
        <v>5855</v>
      </c>
      <c r="B3080" s="6" t="s">
        <v>5855</v>
      </c>
      <c r="C3080" s="6" t="s">
        <v>8013</v>
      </c>
    </row>
    <row r="3081" customFormat="false" ht="15" hidden="false" customHeight="true" outlineLevel="0" collapsed="false">
      <c r="A3081" s="6" t="s">
        <v>5855</v>
      </c>
      <c r="B3081" s="6" t="s">
        <v>7720</v>
      </c>
      <c r="C3081" s="6" t="s">
        <v>8013</v>
      </c>
    </row>
    <row r="3082" customFormat="false" ht="15" hidden="false" customHeight="true" outlineLevel="0" collapsed="false">
      <c r="A3082" s="6" t="s">
        <v>5855</v>
      </c>
      <c r="B3082" s="6" t="s">
        <v>7717</v>
      </c>
      <c r="C3082" s="6" t="s">
        <v>8013</v>
      </c>
    </row>
    <row r="3083" customFormat="false" ht="15" hidden="false" customHeight="true" outlineLevel="0" collapsed="false">
      <c r="A3083" s="6" t="s">
        <v>5855</v>
      </c>
      <c r="B3083" s="6" t="s">
        <v>9580</v>
      </c>
      <c r="C3083" s="6"/>
    </row>
    <row r="3084" customFormat="false" ht="15" hidden="false" customHeight="true" outlineLevel="0" collapsed="false">
      <c r="A3084" s="6" t="s">
        <v>5855</v>
      </c>
      <c r="B3084" s="6" t="s">
        <v>9581</v>
      </c>
      <c r="C3084" s="6"/>
    </row>
    <row r="3085" customFormat="false" ht="15" hidden="false" customHeight="true" outlineLevel="0" collapsed="false">
      <c r="A3085" s="6" t="s">
        <v>5855</v>
      </c>
      <c r="B3085" s="6" t="s">
        <v>7718</v>
      </c>
      <c r="C3085" s="6" t="s">
        <v>8013</v>
      </c>
    </row>
    <row r="3086" customFormat="false" ht="15" hidden="false" customHeight="true" outlineLevel="0" collapsed="false">
      <c r="A3086" s="6" t="s">
        <v>5855</v>
      </c>
      <c r="B3086" s="6" t="s">
        <v>7719</v>
      </c>
      <c r="C3086" s="6" t="s">
        <v>8013</v>
      </c>
    </row>
    <row r="3087" customFormat="false" ht="15" hidden="false" customHeight="true" outlineLevel="0" collapsed="false">
      <c r="A3087" s="6" t="s">
        <v>5855</v>
      </c>
      <c r="B3087" s="6" t="s">
        <v>5859</v>
      </c>
      <c r="C3087" s="6" t="s">
        <v>8013</v>
      </c>
    </row>
    <row r="3088" customFormat="false" ht="15" hidden="false" customHeight="true" outlineLevel="0" collapsed="false">
      <c r="A3088" s="6" t="s">
        <v>5855</v>
      </c>
      <c r="B3088" s="6" t="s">
        <v>7721</v>
      </c>
      <c r="C3088" s="6" t="s">
        <v>8013</v>
      </c>
    </row>
    <row r="3089" customFormat="false" ht="15" hidden="false" customHeight="true" outlineLevel="0" collapsed="false">
      <c r="A3089" s="6" t="s">
        <v>5855</v>
      </c>
      <c r="B3089" s="6" t="s">
        <v>9582</v>
      </c>
      <c r="C3089" s="6"/>
    </row>
    <row r="3090" customFormat="false" ht="15" hidden="false" customHeight="true" outlineLevel="0" collapsed="false">
      <c r="A3090" s="6" t="s">
        <v>5866</v>
      </c>
      <c r="B3090" s="6" t="s">
        <v>5866</v>
      </c>
      <c r="C3090" s="6" t="s">
        <v>8013</v>
      </c>
    </row>
    <row r="3091" customFormat="false" ht="15" hidden="false" customHeight="true" outlineLevel="0" collapsed="false">
      <c r="A3091" s="6" t="s">
        <v>5866</v>
      </c>
      <c r="B3091" s="6" t="s">
        <v>7723</v>
      </c>
      <c r="C3091" s="6" t="s">
        <v>8013</v>
      </c>
    </row>
    <row r="3092" customFormat="false" ht="15" hidden="false" customHeight="true" outlineLevel="0" collapsed="false">
      <c r="A3092" s="6" t="s">
        <v>5866</v>
      </c>
      <c r="B3092" s="6" t="s">
        <v>5870</v>
      </c>
      <c r="C3092" s="6" t="s">
        <v>8013</v>
      </c>
    </row>
    <row r="3093" customFormat="false" ht="15" hidden="false" customHeight="true" outlineLevel="0" collapsed="false">
      <c r="A3093" s="6" t="s">
        <v>5866</v>
      </c>
      <c r="B3093" s="6" t="s">
        <v>9583</v>
      </c>
      <c r="C3093" s="6"/>
    </row>
    <row r="3094" customFormat="false" ht="15" hidden="false" customHeight="true" outlineLevel="0" collapsed="false">
      <c r="A3094" s="6" t="s">
        <v>5866</v>
      </c>
      <c r="B3094" s="6" t="s">
        <v>7722</v>
      </c>
      <c r="C3094" s="6" t="s">
        <v>8013</v>
      </c>
    </row>
    <row r="3095" customFormat="false" ht="15" hidden="false" customHeight="true" outlineLevel="0" collapsed="false">
      <c r="A3095" s="6" t="s">
        <v>5866</v>
      </c>
      <c r="B3095" s="6" t="s">
        <v>9584</v>
      </c>
      <c r="C3095" s="6"/>
    </row>
    <row r="3096" customFormat="false" ht="15" hidden="false" customHeight="true" outlineLevel="0" collapsed="false">
      <c r="A3096" s="6" t="s">
        <v>5866</v>
      </c>
      <c r="B3096" s="6" t="s">
        <v>9585</v>
      </c>
      <c r="C3096" s="6"/>
    </row>
    <row r="3097" customFormat="false" ht="15" hidden="false" customHeight="true" outlineLevel="0" collapsed="false">
      <c r="A3097" s="6" t="s">
        <v>5866</v>
      </c>
      <c r="B3097" s="6" t="s">
        <v>9586</v>
      </c>
      <c r="C3097" s="6"/>
    </row>
    <row r="3098" customFormat="false" ht="15" hidden="false" customHeight="true" outlineLevel="0" collapsed="false">
      <c r="A3098" s="6" t="s">
        <v>5866</v>
      </c>
      <c r="B3098" s="6" t="s">
        <v>9587</v>
      </c>
      <c r="C3098" s="6"/>
    </row>
    <row r="3099" customFormat="false" ht="15" hidden="false" customHeight="true" outlineLevel="0" collapsed="false">
      <c r="A3099" s="6" t="s">
        <v>5866</v>
      </c>
      <c r="B3099" s="6" t="s">
        <v>7680</v>
      </c>
      <c r="C3099" s="6" t="s">
        <v>8013</v>
      </c>
    </row>
    <row r="3100" customFormat="false" ht="15" hidden="false" customHeight="true" outlineLevel="0" collapsed="false">
      <c r="A3100" s="6" t="s">
        <v>6008</v>
      </c>
      <c r="B3100" s="6" t="s">
        <v>6008</v>
      </c>
      <c r="C3100" s="6" t="s">
        <v>8013</v>
      </c>
    </row>
    <row r="3101" customFormat="false" ht="15" hidden="false" customHeight="true" outlineLevel="0" collapsed="false">
      <c r="A3101" s="6" t="s">
        <v>6008</v>
      </c>
      <c r="B3101" s="6" t="s">
        <v>7724</v>
      </c>
      <c r="C3101" s="6" t="s">
        <v>8013</v>
      </c>
    </row>
    <row r="3102" customFormat="false" ht="15" hidden="false" customHeight="true" outlineLevel="0" collapsed="false">
      <c r="A3102" s="6" t="s">
        <v>6008</v>
      </c>
      <c r="B3102" s="6" t="s">
        <v>6012</v>
      </c>
      <c r="C3102" s="6" t="s">
        <v>8013</v>
      </c>
    </row>
    <row r="3103" customFormat="false" ht="15" hidden="false" customHeight="true" outlineLevel="0" collapsed="false">
      <c r="A3103" s="6" t="s">
        <v>6008</v>
      </c>
      <c r="B3103" s="6" t="s">
        <v>9588</v>
      </c>
      <c r="C3103" s="6"/>
    </row>
    <row r="3104" customFormat="false" ht="15" hidden="false" customHeight="true" outlineLevel="0" collapsed="false">
      <c r="A3104" s="6" t="s">
        <v>6008</v>
      </c>
      <c r="B3104" s="6" t="s">
        <v>9589</v>
      </c>
      <c r="C3104" s="6"/>
    </row>
    <row r="3105" customFormat="false" ht="15" hidden="false" customHeight="true" outlineLevel="0" collapsed="false">
      <c r="A3105" s="6" t="s">
        <v>6008</v>
      </c>
      <c r="B3105" s="6" t="s">
        <v>9590</v>
      </c>
      <c r="C3105" s="6"/>
    </row>
    <row r="3106" customFormat="false" ht="15" hidden="false" customHeight="true" outlineLevel="0" collapsed="false">
      <c r="A3106" s="6" t="s">
        <v>6008</v>
      </c>
      <c r="B3106" s="6" t="s">
        <v>9591</v>
      </c>
      <c r="C3106" s="6"/>
    </row>
    <row r="3107" customFormat="false" ht="15" hidden="false" customHeight="true" outlineLevel="0" collapsed="false">
      <c r="A3107" s="6" t="s">
        <v>6008</v>
      </c>
      <c r="B3107" s="6" t="s">
        <v>7725</v>
      </c>
      <c r="C3107" s="6" t="s">
        <v>8013</v>
      </c>
    </row>
    <row r="3108" customFormat="false" ht="15" hidden="false" customHeight="true" outlineLevel="0" collapsed="false">
      <c r="A3108" s="6" t="s">
        <v>6008</v>
      </c>
      <c r="B3108" s="6" t="s">
        <v>7726</v>
      </c>
      <c r="C3108" s="6" t="s">
        <v>8013</v>
      </c>
    </row>
    <row r="3109" customFormat="false" ht="15" hidden="false" customHeight="true" outlineLevel="0" collapsed="false">
      <c r="A3109" s="6" t="s">
        <v>6020</v>
      </c>
      <c r="B3109" s="6" t="s">
        <v>6020</v>
      </c>
      <c r="C3109" s="6" t="s">
        <v>8013</v>
      </c>
    </row>
    <row r="3110" customFormat="false" ht="15" hidden="false" customHeight="true" outlineLevel="0" collapsed="false">
      <c r="A3110" s="6" t="s">
        <v>6020</v>
      </c>
      <c r="B3110" s="6" t="s">
        <v>9592</v>
      </c>
      <c r="C3110" s="6"/>
    </row>
    <row r="3111" customFormat="false" ht="15" hidden="false" customHeight="true" outlineLevel="0" collapsed="false">
      <c r="A3111" s="6" t="s">
        <v>6020</v>
      </c>
      <c r="B3111" s="6" t="s">
        <v>7728</v>
      </c>
      <c r="C3111" s="6" t="s">
        <v>8013</v>
      </c>
    </row>
    <row r="3112" customFormat="false" ht="15" hidden="false" customHeight="true" outlineLevel="0" collapsed="false">
      <c r="A3112" s="6" t="s">
        <v>6020</v>
      </c>
      <c r="B3112" s="6" t="s">
        <v>6024</v>
      </c>
      <c r="C3112" s="6" t="s">
        <v>8013</v>
      </c>
    </row>
    <row r="3113" customFormat="false" ht="15" hidden="false" customHeight="true" outlineLevel="0" collapsed="false">
      <c r="A3113" s="6" t="s">
        <v>6020</v>
      </c>
      <c r="B3113" s="6" t="s">
        <v>7729</v>
      </c>
      <c r="C3113" s="6" t="s">
        <v>8013</v>
      </c>
    </row>
    <row r="3114" customFormat="false" ht="15" hidden="false" customHeight="true" outlineLevel="0" collapsed="false">
      <c r="A3114" s="6" t="s">
        <v>6020</v>
      </c>
      <c r="B3114" s="6" t="s">
        <v>7727</v>
      </c>
      <c r="C3114" s="6" t="s">
        <v>8013</v>
      </c>
    </row>
    <row r="3115" customFormat="false" ht="15" hidden="false" customHeight="true" outlineLevel="0" collapsed="false">
      <c r="A3115" s="6" t="s">
        <v>6020</v>
      </c>
      <c r="B3115" s="6" t="s">
        <v>9593</v>
      </c>
      <c r="C3115" s="6"/>
    </row>
    <row r="3116" customFormat="false" ht="15" hidden="false" customHeight="true" outlineLevel="0" collapsed="false">
      <c r="A3116" s="6" t="s">
        <v>6020</v>
      </c>
      <c r="B3116" s="6" t="s">
        <v>7902</v>
      </c>
      <c r="C3116" s="6" t="s">
        <v>8013</v>
      </c>
    </row>
    <row r="3117" customFormat="false" ht="15" hidden="false" customHeight="true" outlineLevel="0" collapsed="false">
      <c r="A3117" s="6" t="s">
        <v>6020</v>
      </c>
      <c r="B3117" s="6" t="s">
        <v>7730</v>
      </c>
      <c r="C3117" s="6" t="s">
        <v>8013</v>
      </c>
    </row>
    <row r="3118" customFormat="false" ht="15" hidden="false" customHeight="true" outlineLevel="0" collapsed="false">
      <c r="A3118" s="6" t="s">
        <v>6020</v>
      </c>
      <c r="B3118" s="6" t="s">
        <v>9594</v>
      </c>
      <c r="C3118" s="6"/>
    </row>
    <row r="3119" customFormat="false" ht="15" hidden="false" customHeight="true" outlineLevel="0" collapsed="false">
      <c r="A3119" s="6" t="s">
        <v>6031</v>
      </c>
      <c r="B3119" s="6" t="s">
        <v>6031</v>
      </c>
      <c r="C3119" s="6" t="s">
        <v>8013</v>
      </c>
    </row>
    <row r="3120" customFormat="false" ht="15" hidden="false" customHeight="true" outlineLevel="0" collapsed="false">
      <c r="A3120" s="6" t="s">
        <v>6031</v>
      </c>
      <c r="B3120" s="6" t="s">
        <v>9595</v>
      </c>
      <c r="C3120" s="6"/>
    </row>
    <row r="3121" customFormat="false" ht="15" hidden="false" customHeight="true" outlineLevel="0" collapsed="false">
      <c r="A3121" s="6" t="s">
        <v>6031</v>
      </c>
      <c r="B3121" s="6" t="s">
        <v>9596</v>
      </c>
      <c r="C3121" s="6"/>
    </row>
    <row r="3122" customFormat="false" ht="15" hidden="false" customHeight="true" outlineLevel="0" collapsed="false">
      <c r="A3122" s="6" t="s">
        <v>6042</v>
      </c>
      <c r="B3122" s="6" t="s">
        <v>6042</v>
      </c>
      <c r="C3122" s="6" t="s">
        <v>8013</v>
      </c>
    </row>
    <row r="3123" customFormat="false" ht="15" hidden="false" customHeight="true" outlineLevel="0" collapsed="false">
      <c r="A3123" s="6" t="s">
        <v>6042</v>
      </c>
      <c r="B3123" s="6" t="s">
        <v>6046</v>
      </c>
      <c r="C3123" s="6" t="s">
        <v>8013</v>
      </c>
    </row>
    <row r="3124" customFormat="false" ht="15" hidden="false" customHeight="true" outlineLevel="0" collapsed="false">
      <c r="A3124" s="6" t="s">
        <v>6042</v>
      </c>
      <c r="B3124" s="6" t="s">
        <v>9597</v>
      </c>
      <c r="C3124" s="6"/>
    </row>
    <row r="3125" customFormat="false" ht="15" hidden="false" customHeight="true" outlineLevel="0" collapsed="false">
      <c r="A3125" s="6" t="s">
        <v>6042</v>
      </c>
      <c r="B3125" s="6" t="s">
        <v>7731</v>
      </c>
      <c r="C3125" s="6" t="s">
        <v>8013</v>
      </c>
    </row>
    <row r="3126" customFormat="false" ht="15" hidden="false" customHeight="true" outlineLevel="0" collapsed="false">
      <c r="A3126" s="6" t="s">
        <v>6042</v>
      </c>
      <c r="B3126" s="6" t="s">
        <v>7732</v>
      </c>
      <c r="C3126" s="6" t="s">
        <v>8013</v>
      </c>
    </row>
    <row r="3127" customFormat="false" ht="15" hidden="false" customHeight="true" outlineLevel="0" collapsed="false">
      <c r="A3127" s="6" t="s">
        <v>6042</v>
      </c>
      <c r="B3127" s="6" t="s">
        <v>9598</v>
      </c>
      <c r="C3127" s="6"/>
    </row>
    <row r="3128" customFormat="false" ht="15" hidden="false" customHeight="true" outlineLevel="0" collapsed="false">
      <c r="A3128" s="6" t="s">
        <v>6042</v>
      </c>
      <c r="B3128" s="6" t="s">
        <v>7759</v>
      </c>
      <c r="C3128" s="6" t="s">
        <v>8013</v>
      </c>
    </row>
    <row r="3129" customFormat="false" ht="15" hidden="false" customHeight="true" outlineLevel="0" collapsed="false">
      <c r="A3129" s="6" t="s">
        <v>6042</v>
      </c>
      <c r="B3129" s="6" t="s">
        <v>9599</v>
      </c>
      <c r="C3129" s="6"/>
    </row>
    <row r="3130" customFormat="false" ht="15" hidden="false" customHeight="true" outlineLevel="0" collapsed="false">
      <c r="A3130" s="6" t="s">
        <v>6042</v>
      </c>
      <c r="B3130" s="6" t="s">
        <v>9600</v>
      </c>
      <c r="C3130" s="6"/>
    </row>
    <row r="3131" customFormat="false" ht="15" hidden="false" customHeight="true" outlineLevel="0" collapsed="false">
      <c r="A3131" s="6" t="s">
        <v>6042</v>
      </c>
      <c r="B3131" s="6" t="s">
        <v>9601</v>
      </c>
      <c r="C3131" s="6"/>
    </row>
    <row r="3132" customFormat="false" ht="15" hidden="false" customHeight="true" outlineLevel="0" collapsed="false">
      <c r="A3132" s="6" t="s">
        <v>6054</v>
      </c>
      <c r="B3132" s="6" t="s">
        <v>6054</v>
      </c>
      <c r="C3132" s="6" t="s">
        <v>8013</v>
      </c>
    </row>
    <row r="3133" customFormat="false" ht="15" hidden="false" customHeight="true" outlineLevel="0" collapsed="false">
      <c r="A3133" s="6" t="s">
        <v>6054</v>
      </c>
      <c r="B3133" s="6" t="s">
        <v>9602</v>
      </c>
      <c r="C3133" s="6"/>
    </row>
    <row r="3134" customFormat="false" ht="15" hidden="false" customHeight="true" outlineLevel="0" collapsed="false">
      <c r="A3134" s="6" t="s">
        <v>6054</v>
      </c>
      <c r="B3134" s="6" t="s">
        <v>7735</v>
      </c>
      <c r="C3134" s="6" t="s">
        <v>8013</v>
      </c>
    </row>
    <row r="3135" customFormat="false" ht="15" hidden="false" customHeight="true" outlineLevel="0" collapsed="false">
      <c r="A3135" s="6" t="s">
        <v>6054</v>
      </c>
      <c r="B3135" s="6" t="s">
        <v>7734</v>
      </c>
      <c r="C3135" s="6" t="s">
        <v>8013</v>
      </c>
    </row>
    <row r="3136" customFormat="false" ht="15" hidden="false" customHeight="true" outlineLevel="0" collapsed="false">
      <c r="A3136" s="6" t="s">
        <v>6054</v>
      </c>
      <c r="B3136" s="6" t="s">
        <v>7736</v>
      </c>
      <c r="C3136" s="6" t="s">
        <v>8013</v>
      </c>
    </row>
    <row r="3137" customFormat="false" ht="15" hidden="false" customHeight="true" outlineLevel="0" collapsed="false">
      <c r="A3137" s="6" t="s">
        <v>6054</v>
      </c>
      <c r="B3137" s="6" t="s">
        <v>6058</v>
      </c>
      <c r="C3137" s="6" t="s">
        <v>8013</v>
      </c>
    </row>
    <row r="3138" customFormat="false" ht="15" hidden="false" customHeight="true" outlineLevel="0" collapsed="false">
      <c r="A3138" s="6" t="s">
        <v>6054</v>
      </c>
      <c r="B3138" s="6" t="s">
        <v>7733</v>
      </c>
      <c r="C3138" s="6" t="s">
        <v>8013</v>
      </c>
    </row>
    <row r="3139" customFormat="false" ht="15" hidden="false" customHeight="true" outlineLevel="0" collapsed="false">
      <c r="A3139" s="6" t="s">
        <v>6681</v>
      </c>
      <c r="B3139" s="6" t="s">
        <v>6681</v>
      </c>
      <c r="C3139" s="6" t="s">
        <v>8013</v>
      </c>
    </row>
    <row r="3140" customFormat="false" ht="15" hidden="false" customHeight="true" outlineLevel="0" collapsed="false">
      <c r="A3140" s="6" t="s">
        <v>6065</v>
      </c>
      <c r="B3140" s="6" t="s">
        <v>6065</v>
      </c>
      <c r="C3140" s="6" t="s">
        <v>8013</v>
      </c>
    </row>
    <row r="3141" customFormat="false" ht="15" hidden="false" customHeight="true" outlineLevel="0" collapsed="false">
      <c r="A3141" s="6" t="s">
        <v>6065</v>
      </c>
      <c r="B3141" s="6" t="s">
        <v>7737</v>
      </c>
      <c r="C3141" s="6" t="s">
        <v>8013</v>
      </c>
    </row>
    <row r="3142" customFormat="false" ht="15" hidden="false" customHeight="true" outlineLevel="0" collapsed="false">
      <c r="A3142" s="6" t="s">
        <v>6065</v>
      </c>
      <c r="B3142" s="6" t="s">
        <v>6069</v>
      </c>
      <c r="C3142" s="6" t="s">
        <v>8013</v>
      </c>
    </row>
    <row r="3143" customFormat="false" ht="15" hidden="false" customHeight="true" outlineLevel="0" collapsed="false">
      <c r="A3143" s="6" t="s">
        <v>6065</v>
      </c>
      <c r="B3143" s="6" t="s">
        <v>9603</v>
      </c>
      <c r="C3143" s="6"/>
    </row>
    <row r="3144" customFormat="false" ht="15" hidden="false" customHeight="true" outlineLevel="0" collapsed="false">
      <c r="A3144" s="6" t="s">
        <v>6065</v>
      </c>
      <c r="B3144" s="6" t="s">
        <v>7739</v>
      </c>
      <c r="C3144" s="6" t="s">
        <v>8013</v>
      </c>
    </row>
    <row r="3145" customFormat="false" ht="15" hidden="false" customHeight="true" outlineLevel="0" collapsed="false">
      <c r="A3145" s="6" t="s">
        <v>6065</v>
      </c>
      <c r="B3145" s="6" t="s">
        <v>7740</v>
      </c>
      <c r="C3145" s="6" t="s">
        <v>8013</v>
      </c>
    </row>
    <row r="3146" customFormat="false" ht="15" hidden="false" customHeight="true" outlineLevel="0" collapsed="false">
      <c r="A3146" s="6" t="s">
        <v>6065</v>
      </c>
      <c r="B3146" s="6" t="s">
        <v>7738</v>
      </c>
      <c r="C3146" s="6" t="s">
        <v>8013</v>
      </c>
    </row>
    <row r="3147" customFormat="false" ht="15" hidden="false" customHeight="true" outlineLevel="0" collapsed="false">
      <c r="A3147" s="6" t="s">
        <v>6065</v>
      </c>
      <c r="B3147" s="6" t="s">
        <v>9604</v>
      </c>
      <c r="C3147" s="6"/>
    </row>
    <row r="3148" customFormat="false" ht="15" hidden="false" customHeight="true" outlineLevel="0" collapsed="false">
      <c r="A3148" s="6" t="s">
        <v>6065</v>
      </c>
      <c r="B3148" s="6" t="s">
        <v>7760</v>
      </c>
      <c r="C3148" s="6" t="s">
        <v>8013</v>
      </c>
    </row>
    <row r="3149" customFormat="false" ht="15" hidden="false" customHeight="true" outlineLevel="0" collapsed="false">
      <c r="A3149" s="6" t="s">
        <v>6065</v>
      </c>
      <c r="B3149" s="6" t="s">
        <v>9605</v>
      </c>
      <c r="C3149" s="6"/>
    </row>
    <row r="3150" customFormat="false" ht="15" hidden="false" customHeight="true" outlineLevel="0" collapsed="false">
      <c r="A3150" s="6" t="s">
        <v>6076</v>
      </c>
      <c r="B3150" s="6" t="s">
        <v>6076</v>
      </c>
      <c r="C3150" s="6" t="s">
        <v>8013</v>
      </c>
    </row>
    <row r="3151" customFormat="false" ht="15" hidden="false" customHeight="true" outlineLevel="0" collapsed="false">
      <c r="A3151" s="6" t="s">
        <v>6076</v>
      </c>
      <c r="B3151" s="6" t="s">
        <v>6080</v>
      </c>
      <c r="C3151" s="6" t="s">
        <v>8013</v>
      </c>
    </row>
    <row r="3152" customFormat="false" ht="15" hidden="false" customHeight="true" outlineLevel="0" collapsed="false">
      <c r="A3152" s="6" t="s">
        <v>6076</v>
      </c>
      <c r="B3152" s="6" t="s">
        <v>7742</v>
      </c>
      <c r="C3152" s="6" t="s">
        <v>8013</v>
      </c>
    </row>
    <row r="3153" customFormat="false" ht="15" hidden="false" customHeight="true" outlineLevel="0" collapsed="false">
      <c r="A3153" s="6" t="s">
        <v>6076</v>
      </c>
      <c r="B3153" s="6" t="s">
        <v>7741</v>
      </c>
      <c r="C3153" s="6" t="s">
        <v>8013</v>
      </c>
    </row>
    <row r="3154" customFormat="false" ht="15" hidden="false" customHeight="true" outlineLevel="0" collapsed="false">
      <c r="A3154" s="6" t="s">
        <v>6076</v>
      </c>
      <c r="B3154" s="6" t="s">
        <v>9606</v>
      </c>
      <c r="C3154" s="6"/>
    </row>
    <row r="3155" customFormat="false" ht="15" hidden="false" customHeight="true" outlineLevel="0" collapsed="false">
      <c r="A3155" s="6" t="s">
        <v>6076</v>
      </c>
      <c r="B3155" s="6" t="s">
        <v>7761</v>
      </c>
      <c r="C3155" s="6" t="s">
        <v>8013</v>
      </c>
    </row>
    <row r="3156" customFormat="false" ht="15" hidden="false" customHeight="true" outlineLevel="0" collapsed="false">
      <c r="A3156" s="6" t="s">
        <v>6076</v>
      </c>
      <c r="B3156" s="6" t="s">
        <v>7681</v>
      </c>
      <c r="C3156" s="6" t="s">
        <v>8013</v>
      </c>
    </row>
    <row r="3157" customFormat="false" ht="15" hidden="false" customHeight="true" outlineLevel="0" collapsed="false">
      <c r="A3157" s="6" t="s">
        <v>6076</v>
      </c>
      <c r="B3157" s="6" t="s">
        <v>7743</v>
      </c>
      <c r="C3157" s="6" t="s">
        <v>8013</v>
      </c>
    </row>
    <row r="3158" customFormat="false" ht="15" hidden="false" customHeight="true" outlineLevel="0" collapsed="false">
      <c r="A3158" s="6" t="s">
        <v>6076</v>
      </c>
      <c r="B3158" s="6" t="s">
        <v>9607</v>
      </c>
      <c r="C3158" s="6"/>
    </row>
    <row r="3159" customFormat="false" ht="15" hidden="false" customHeight="true" outlineLevel="0" collapsed="false">
      <c r="A3159" s="6" t="s">
        <v>6087</v>
      </c>
      <c r="B3159" s="6" t="s">
        <v>6087</v>
      </c>
      <c r="C3159" s="6" t="s">
        <v>8013</v>
      </c>
    </row>
    <row r="3160" customFormat="false" ht="15" hidden="false" customHeight="true" outlineLevel="0" collapsed="false">
      <c r="A3160" s="6" t="s">
        <v>6087</v>
      </c>
      <c r="B3160" s="6" t="s">
        <v>7745</v>
      </c>
      <c r="C3160" s="6" t="s">
        <v>8013</v>
      </c>
    </row>
    <row r="3161" customFormat="false" ht="15" hidden="false" customHeight="true" outlineLevel="0" collapsed="false">
      <c r="A3161" s="6" t="s">
        <v>6087</v>
      </c>
      <c r="B3161" s="6" t="s">
        <v>6091</v>
      </c>
      <c r="C3161" s="6" t="s">
        <v>8013</v>
      </c>
    </row>
    <row r="3162" customFormat="false" ht="15" hidden="false" customHeight="true" outlineLevel="0" collapsed="false">
      <c r="A3162" s="6" t="s">
        <v>6087</v>
      </c>
      <c r="B3162" s="6" t="s">
        <v>9608</v>
      </c>
      <c r="C3162" s="6"/>
    </row>
    <row r="3163" customFormat="false" ht="15" hidden="false" customHeight="true" outlineLevel="0" collapsed="false">
      <c r="A3163" s="6" t="s">
        <v>6087</v>
      </c>
      <c r="B3163" s="6" t="s">
        <v>7744</v>
      </c>
      <c r="C3163" s="6" t="s">
        <v>8013</v>
      </c>
    </row>
    <row r="3164" customFormat="false" ht="15" hidden="false" customHeight="true" outlineLevel="0" collapsed="false">
      <c r="A3164" s="6" t="s">
        <v>6087</v>
      </c>
      <c r="B3164" s="6" t="s">
        <v>9609</v>
      </c>
      <c r="C3164" s="6"/>
    </row>
    <row r="3165" customFormat="false" ht="15" hidden="false" customHeight="true" outlineLevel="0" collapsed="false">
      <c r="A3165" s="6" t="s">
        <v>6087</v>
      </c>
      <c r="B3165" s="6" t="s">
        <v>7746</v>
      </c>
      <c r="C3165" s="6" t="s">
        <v>8013</v>
      </c>
    </row>
    <row r="3166" customFormat="false" ht="15" hidden="false" customHeight="true" outlineLevel="0" collapsed="false">
      <c r="A3166" s="6" t="s">
        <v>6087</v>
      </c>
      <c r="B3166" s="6" t="s">
        <v>7747</v>
      </c>
      <c r="C3166" s="6" t="s">
        <v>8013</v>
      </c>
    </row>
    <row r="3167" customFormat="false" ht="15" hidden="false" customHeight="true" outlineLevel="0" collapsed="false">
      <c r="A3167" s="6" t="s">
        <v>6098</v>
      </c>
      <c r="B3167" s="6" t="s">
        <v>6098</v>
      </c>
      <c r="C3167" s="6" t="s">
        <v>8013</v>
      </c>
    </row>
    <row r="3168" customFormat="false" ht="15" hidden="false" customHeight="true" outlineLevel="0" collapsed="false">
      <c r="A3168" s="6" t="s">
        <v>6098</v>
      </c>
      <c r="B3168" s="6" t="s">
        <v>6102</v>
      </c>
      <c r="C3168" s="6" t="s">
        <v>8013</v>
      </c>
    </row>
    <row r="3169" customFormat="false" ht="15" hidden="false" customHeight="true" outlineLevel="0" collapsed="false">
      <c r="A3169" s="6" t="s">
        <v>6098</v>
      </c>
      <c r="B3169" s="6" t="s">
        <v>7749</v>
      </c>
      <c r="C3169" s="6" t="s">
        <v>8013</v>
      </c>
    </row>
    <row r="3170" customFormat="false" ht="15" hidden="false" customHeight="true" outlineLevel="0" collapsed="false">
      <c r="A3170" s="6" t="s">
        <v>6098</v>
      </c>
      <c r="B3170" s="6" t="s">
        <v>7748</v>
      </c>
      <c r="C3170" s="6" t="s">
        <v>8013</v>
      </c>
    </row>
    <row r="3171" customFormat="false" ht="15" hidden="false" customHeight="true" outlineLevel="0" collapsed="false">
      <c r="A3171" s="6" t="s">
        <v>6098</v>
      </c>
      <c r="B3171" s="6" t="s">
        <v>7762</v>
      </c>
      <c r="C3171" s="6" t="s">
        <v>8013</v>
      </c>
    </row>
    <row r="3172" customFormat="false" ht="15" hidden="false" customHeight="true" outlineLevel="0" collapsed="false">
      <c r="A3172" s="6" t="s">
        <v>6098</v>
      </c>
      <c r="B3172" s="6" t="s">
        <v>7750</v>
      </c>
      <c r="C3172" s="6" t="s">
        <v>8013</v>
      </c>
    </row>
    <row r="3173" customFormat="false" ht="15" hidden="false" customHeight="true" outlineLevel="0" collapsed="false">
      <c r="A3173" s="6" t="s">
        <v>6098</v>
      </c>
      <c r="B3173" s="6" t="s">
        <v>7751</v>
      </c>
      <c r="C3173" s="6" t="s">
        <v>8013</v>
      </c>
    </row>
    <row r="3174" customFormat="false" ht="15" hidden="false" customHeight="true" outlineLevel="0" collapsed="false">
      <c r="A3174" s="6" t="s">
        <v>6109</v>
      </c>
      <c r="B3174" s="6" t="s">
        <v>6109</v>
      </c>
      <c r="C3174" s="6" t="s">
        <v>8013</v>
      </c>
    </row>
    <row r="3175" customFormat="false" ht="15" hidden="false" customHeight="true" outlineLevel="0" collapsed="false">
      <c r="A3175" s="6" t="s">
        <v>6109</v>
      </c>
      <c r="B3175" s="6" t="s">
        <v>6113</v>
      </c>
      <c r="C3175" s="6" t="s">
        <v>8013</v>
      </c>
    </row>
    <row r="3176" customFormat="false" ht="15" hidden="false" customHeight="true" outlineLevel="0" collapsed="false">
      <c r="A3176" s="6" t="s">
        <v>6109</v>
      </c>
      <c r="B3176" s="6" t="s">
        <v>9610</v>
      </c>
      <c r="C3176" s="6"/>
    </row>
    <row r="3177" customFormat="false" ht="15" hidden="false" customHeight="true" outlineLevel="0" collapsed="false">
      <c r="A3177" s="6" t="s">
        <v>6109</v>
      </c>
      <c r="B3177" s="6" t="s">
        <v>7754</v>
      </c>
      <c r="C3177" s="6" t="s">
        <v>8013</v>
      </c>
    </row>
    <row r="3178" customFormat="false" ht="15" hidden="false" customHeight="true" outlineLevel="0" collapsed="false">
      <c r="A3178" s="6" t="s">
        <v>6109</v>
      </c>
      <c r="B3178" s="6" t="s">
        <v>7753</v>
      </c>
      <c r="C3178" s="6" t="s">
        <v>8013</v>
      </c>
    </row>
    <row r="3179" customFormat="false" ht="15" hidden="false" customHeight="true" outlineLevel="0" collapsed="false">
      <c r="A3179" s="6" t="s">
        <v>6109</v>
      </c>
      <c r="B3179" s="6" t="s">
        <v>7755</v>
      </c>
      <c r="C3179" s="6" t="s">
        <v>8013</v>
      </c>
    </row>
    <row r="3180" customFormat="false" ht="15" hidden="false" customHeight="true" outlineLevel="0" collapsed="false">
      <c r="A3180" s="6" t="s">
        <v>6109</v>
      </c>
      <c r="B3180" s="6" t="s">
        <v>9611</v>
      </c>
      <c r="C3180" s="6"/>
    </row>
    <row r="3181" customFormat="false" ht="15" hidden="false" customHeight="true" outlineLevel="0" collapsed="false">
      <c r="A3181" s="6" t="s">
        <v>6109</v>
      </c>
      <c r="B3181" s="6" t="s">
        <v>7752</v>
      </c>
      <c r="C3181" s="6" t="s">
        <v>8013</v>
      </c>
    </row>
    <row r="3182" customFormat="false" ht="15" hidden="false" customHeight="true" outlineLevel="0" collapsed="false">
      <c r="A3182" s="6" t="s">
        <v>6120</v>
      </c>
      <c r="B3182" s="6" t="s">
        <v>6120</v>
      </c>
      <c r="C3182" s="6" t="s">
        <v>8013</v>
      </c>
    </row>
    <row r="3183" customFormat="false" ht="15" hidden="false" customHeight="true" outlineLevel="0" collapsed="false">
      <c r="A3183" s="6" t="s">
        <v>6120</v>
      </c>
      <c r="B3183" s="6" t="s">
        <v>6123</v>
      </c>
      <c r="C3183" s="6" t="s">
        <v>8013</v>
      </c>
    </row>
    <row r="3184" customFormat="false" ht="15" hidden="false" customHeight="true" outlineLevel="0" collapsed="false">
      <c r="A3184" s="6" t="s">
        <v>6120</v>
      </c>
      <c r="B3184" s="6" t="s">
        <v>7756</v>
      </c>
      <c r="C3184" s="6" t="s">
        <v>8013</v>
      </c>
    </row>
    <row r="3185" customFormat="false" ht="15" hidden="false" customHeight="true" outlineLevel="0" collapsed="false">
      <c r="A3185" s="6" t="s">
        <v>6120</v>
      </c>
      <c r="B3185" s="6" t="s">
        <v>7757</v>
      </c>
      <c r="C3185" s="6" t="s">
        <v>8013</v>
      </c>
    </row>
    <row r="3186" customFormat="false" ht="15" hidden="false" customHeight="true" outlineLevel="0" collapsed="false">
      <c r="A3186" s="6" t="s">
        <v>6120</v>
      </c>
      <c r="B3186" s="6" t="s">
        <v>6124</v>
      </c>
      <c r="C3186" s="6" t="s">
        <v>8013</v>
      </c>
    </row>
    <row r="3187" customFormat="false" ht="15" hidden="false" customHeight="true" outlineLevel="0" collapsed="false">
      <c r="A3187" s="6" t="s">
        <v>6120</v>
      </c>
      <c r="B3187" s="6" t="s">
        <v>9612</v>
      </c>
      <c r="C3187" s="6"/>
    </row>
    <row r="3188" customFormat="false" ht="15" hidden="false" customHeight="true" outlineLevel="0" collapsed="false">
      <c r="A3188" s="6" t="s">
        <v>6120</v>
      </c>
      <c r="B3188" s="6" t="s">
        <v>7763</v>
      </c>
      <c r="C3188" s="6" t="s">
        <v>8013</v>
      </c>
    </row>
    <row r="3189" customFormat="false" ht="15" hidden="false" customHeight="true" outlineLevel="0" collapsed="false">
      <c r="A3189" s="6" t="s">
        <v>6120</v>
      </c>
      <c r="B3189" s="6" t="s">
        <v>7758</v>
      </c>
      <c r="C3189" s="6" t="s">
        <v>8013</v>
      </c>
    </row>
    <row r="3190" customFormat="false" ht="15" hidden="false" customHeight="true" outlineLevel="0" collapsed="false">
      <c r="A3190" s="6" t="s">
        <v>6132</v>
      </c>
      <c r="B3190" s="6" t="s">
        <v>6132</v>
      </c>
      <c r="C3190" s="6" t="s">
        <v>8013</v>
      </c>
    </row>
    <row r="3191" customFormat="false" ht="15" hidden="false" customHeight="true" outlineLevel="0" collapsed="false">
      <c r="A3191" s="6" t="s">
        <v>6132</v>
      </c>
      <c r="B3191" s="6" t="s">
        <v>6136</v>
      </c>
      <c r="C3191" s="6" t="s">
        <v>8013</v>
      </c>
    </row>
    <row r="3192" customFormat="false" ht="15" hidden="false" customHeight="true" outlineLevel="0" collapsed="false">
      <c r="A3192" s="6" t="s">
        <v>6132</v>
      </c>
      <c r="B3192" s="6" t="s">
        <v>7767</v>
      </c>
      <c r="C3192" s="6" t="s">
        <v>8013</v>
      </c>
    </row>
    <row r="3193" customFormat="false" ht="15" hidden="false" customHeight="true" outlineLevel="0" collapsed="false">
      <c r="A3193" s="6" t="s">
        <v>6132</v>
      </c>
      <c r="B3193" s="6" t="s">
        <v>9613</v>
      </c>
      <c r="C3193" s="6"/>
    </row>
    <row r="3194" customFormat="false" ht="15" hidden="false" customHeight="true" outlineLevel="0" collapsed="false">
      <c r="A3194" s="6" t="s">
        <v>6132</v>
      </c>
      <c r="B3194" s="6" t="s">
        <v>7766</v>
      </c>
      <c r="C3194" s="6" t="s">
        <v>8013</v>
      </c>
    </row>
    <row r="3195" customFormat="false" ht="15" hidden="false" customHeight="true" outlineLevel="0" collapsed="false">
      <c r="A3195" s="6" t="s">
        <v>6132</v>
      </c>
      <c r="B3195" s="6" t="s">
        <v>7768</v>
      </c>
      <c r="C3195" s="6" t="s">
        <v>8013</v>
      </c>
    </row>
    <row r="3196" customFormat="false" ht="15" hidden="false" customHeight="true" outlineLevel="0" collapsed="false">
      <c r="A3196" s="6" t="s">
        <v>6132</v>
      </c>
      <c r="B3196" s="6" t="s">
        <v>7765</v>
      </c>
      <c r="C3196" s="6" t="s">
        <v>8013</v>
      </c>
    </row>
    <row r="3197" customFormat="false" ht="15" hidden="false" customHeight="true" outlineLevel="0" collapsed="false">
      <c r="A3197" s="6" t="s">
        <v>6132</v>
      </c>
      <c r="B3197" s="6" t="s">
        <v>7764</v>
      </c>
      <c r="C3197" s="6" t="s">
        <v>8013</v>
      </c>
    </row>
    <row r="3198" customFormat="false" ht="15" hidden="false" customHeight="true" outlineLevel="0" collapsed="false">
      <c r="A3198" s="6" t="s">
        <v>6132</v>
      </c>
      <c r="B3198" s="6" t="s">
        <v>9614</v>
      </c>
      <c r="C3198" s="6"/>
    </row>
    <row r="3199" customFormat="false" ht="15" hidden="false" customHeight="true" outlineLevel="0" collapsed="false">
      <c r="A3199" s="6" t="s">
        <v>6132</v>
      </c>
      <c r="B3199" s="6" t="s">
        <v>9615</v>
      </c>
      <c r="C3199" s="6"/>
    </row>
    <row r="3200" customFormat="false" ht="15" hidden="false" customHeight="true" outlineLevel="0" collapsed="false">
      <c r="A3200" s="6" t="s">
        <v>6144</v>
      </c>
      <c r="B3200" s="6" t="s">
        <v>6144</v>
      </c>
      <c r="C3200" s="6" t="s">
        <v>8013</v>
      </c>
    </row>
    <row r="3201" customFormat="false" ht="15" hidden="false" customHeight="true" outlineLevel="0" collapsed="false">
      <c r="A3201" s="6" t="s">
        <v>6144</v>
      </c>
      <c r="B3201" s="6" t="s">
        <v>6148</v>
      </c>
      <c r="C3201" s="6" t="s">
        <v>8013</v>
      </c>
    </row>
    <row r="3202" customFormat="false" ht="15" hidden="false" customHeight="true" outlineLevel="0" collapsed="false">
      <c r="A3202" s="6" t="s">
        <v>6144</v>
      </c>
      <c r="B3202" s="6" t="s">
        <v>6147</v>
      </c>
      <c r="C3202" s="6" t="s">
        <v>8013</v>
      </c>
    </row>
    <row r="3203" customFormat="false" ht="15" hidden="false" customHeight="true" outlineLevel="0" collapsed="false">
      <c r="A3203" s="6" t="s">
        <v>6144</v>
      </c>
      <c r="B3203" s="6" t="s">
        <v>7771</v>
      </c>
      <c r="C3203" s="6" t="s">
        <v>8013</v>
      </c>
    </row>
    <row r="3204" customFormat="false" ht="15" hidden="false" customHeight="true" outlineLevel="0" collapsed="false">
      <c r="A3204" s="6" t="s">
        <v>6144</v>
      </c>
      <c r="B3204" s="6" t="s">
        <v>7769</v>
      </c>
      <c r="C3204" s="6" t="s">
        <v>8013</v>
      </c>
    </row>
    <row r="3205" customFormat="false" ht="15" hidden="false" customHeight="true" outlineLevel="0" collapsed="false">
      <c r="A3205" s="6" t="s">
        <v>6144</v>
      </c>
      <c r="B3205" s="6" t="s">
        <v>7772</v>
      </c>
      <c r="C3205" s="6" t="s">
        <v>8013</v>
      </c>
    </row>
    <row r="3206" customFormat="false" ht="15" hidden="false" customHeight="true" outlineLevel="0" collapsed="false">
      <c r="A3206" s="6" t="s">
        <v>6144</v>
      </c>
      <c r="B3206" s="6" t="s">
        <v>9616</v>
      </c>
      <c r="C3206" s="6"/>
    </row>
    <row r="3207" customFormat="false" ht="15" hidden="false" customHeight="true" outlineLevel="0" collapsed="false">
      <c r="A3207" s="6" t="s">
        <v>6144</v>
      </c>
      <c r="B3207" s="6" t="s">
        <v>7770</v>
      </c>
      <c r="C3207" s="6" t="s">
        <v>8013</v>
      </c>
    </row>
    <row r="3208" customFormat="false" ht="15" hidden="false" customHeight="true" outlineLevel="0" collapsed="false">
      <c r="A3208" s="6" t="s">
        <v>6144</v>
      </c>
      <c r="B3208" s="6" t="s">
        <v>9617</v>
      </c>
      <c r="C3208" s="6"/>
    </row>
    <row r="3209" customFormat="false" ht="15" hidden="false" customHeight="true" outlineLevel="0" collapsed="false">
      <c r="A3209" s="6" t="s">
        <v>6144</v>
      </c>
      <c r="B3209" s="6" t="s">
        <v>9618</v>
      </c>
      <c r="C3209" s="6"/>
    </row>
    <row r="3210" customFormat="false" ht="15" hidden="false" customHeight="true" outlineLevel="0" collapsed="false">
      <c r="A3210" s="6" t="s">
        <v>6165</v>
      </c>
      <c r="B3210" s="6" t="s">
        <v>6165</v>
      </c>
      <c r="C3210" s="6" t="s">
        <v>8013</v>
      </c>
    </row>
    <row r="3211" customFormat="false" ht="15" hidden="false" customHeight="true" outlineLevel="0" collapsed="false">
      <c r="A3211" s="6" t="s">
        <v>6165</v>
      </c>
      <c r="B3211" s="6" t="s">
        <v>6169</v>
      </c>
      <c r="C3211" s="6" t="s">
        <v>8013</v>
      </c>
    </row>
    <row r="3212" customFormat="false" ht="15" hidden="false" customHeight="true" outlineLevel="0" collapsed="false">
      <c r="A3212" s="6" t="s">
        <v>6165</v>
      </c>
      <c r="B3212" s="6" t="s">
        <v>7776</v>
      </c>
      <c r="C3212" s="6" t="s">
        <v>8013</v>
      </c>
    </row>
    <row r="3213" customFormat="false" ht="15" hidden="false" customHeight="true" outlineLevel="0" collapsed="false">
      <c r="A3213" s="6" t="s">
        <v>6165</v>
      </c>
      <c r="B3213" s="6" t="s">
        <v>9619</v>
      </c>
      <c r="C3213" s="6"/>
    </row>
    <row r="3214" customFormat="false" ht="15" hidden="false" customHeight="true" outlineLevel="0" collapsed="false">
      <c r="A3214" s="6" t="s">
        <v>6165</v>
      </c>
      <c r="B3214" s="6" t="s">
        <v>7774</v>
      </c>
      <c r="C3214" s="6" t="s">
        <v>8013</v>
      </c>
    </row>
    <row r="3215" customFormat="false" ht="15" hidden="false" customHeight="true" outlineLevel="0" collapsed="false">
      <c r="A3215" s="6" t="s">
        <v>6165</v>
      </c>
      <c r="B3215" s="6" t="s">
        <v>7773</v>
      </c>
      <c r="C3215" s="6" t="s">
        <v>8013</v>
      </c>
    </row>
    <row r="3216" customFormat="false" ht="15" hidden="false" customHeight="true" outlineLevel="0" collapsed="false">
      <c r="A3216" s="6" t="s">
        <v>6165</v>
      </c>
      <c r="B3216" s="6" t="s">
        <v>7775</v>
      </c>
      <c r="C3216" s="6" t="s">
        <v>8013</v>
      </c>
    </row>
    <row r="3217" customFormat="false" ht="15" hidden="false" customHeight="true" outlineLevel="0" collapsed="false">
      <c r="A3217" s="6" t="s">
        <v>6165</v>
      </c>
      <c r="B3217" s="6" t="s">
        <v>7777</v>
      </c>
      <c r="C3217" s="6" t="s">
        <v>8013</v>
      </c>
    </row>
    <row r="3218" customFormat="false" ht="15" hidden="false" customHeight="true" outlineLevel="0" collapsed="false">
      <c r="A3218" s="6" t="s">
        <v>6165</v>
      </c>
      <c r="B3218" s="6" t="s">
        <v>9620</v>
      </c>
      <c r="C3218" s="6"/>
    </row>
    <row r="3219" customFormat="false" ht="15" hidden="false" customHeight="true" outlineLevel="0" collapsed="false">
      <c r="A3219" s="6" t="s">
        <v>6165</v>
      </c>
      <c r="B3219" s="6" t="s">
        <v>9621</v>
      </c>
      <c r="C3219" s="6"/>
    </row>
    <row r="3220" customFormat="false" ht="15" hidden="false" customHeight="true" outlineLevel="0" collapsed="false">
      <c r="A3220" s="6" t="s">
        <v>6180</v>
      </c>
      <c r="B3220" s="6" t="s">
        <v>9622</v>
      </c>
      <c r="C3220" s="6"/>
    </row>
    <row r="3221" customFormat="false" ht="15" hidden="false" customHeight="true" outlineLevel="0" collapsed="false">
      <c r="A3221" s="6" t="s">
        <v>6180</v>
      </c>
      <c r="B3221" s="6" t="s">
        <v>9623</v>
      </c>
      <c r="C3221" s="6"/>
    </row>
    <row r="3222" customFormat="false" ht="15" hidden="false" customHeight="true" outlineLevel="0" collapsed="false">
      <c r="A3222" s="6" t="s">
        <v>6180</v>
      </c>
      <c r="B3222" s="6" t="s">
        <v>9624</v>
      </c>
      <c r="C3222" s="6"/>
    </row>
    <row r="3223" customFormat="false" ht="15" hidden="false" customHeight="true" outlineLevel="0" collapsed="false">
      <c r="A3223" s="6" t="s">
        <v>6180</v>
      </c>
      <c r="B3223" s="6" t="s">
        <v>9625</v>
      </c>
      <c r="C3223" s="6"/>
    </row>
    <row r="3224" customFormat="false" ht="15" hidden="false" customHeight="true" outlineLevel="0" collapsed="false">
      <c r="A3224" s="6" t="s">
        <v>6190</v>
      </c>
      <c r="B3224" s="6" t="s">
        <v>6190</v>
      </c>
      <c r="C3224" s="6" t="s">
        <v>8013</v>
      </c>
    </row>
    <row r="3225" customFormat="false" ht="15" hidden="false" customHeight="true" outlineLevel="0" collapsed="false">
      <c r="A3225" s="6" t="s">
        <v>6190</v>
      </c>
      <c r="B3225" s="6" t="s">
        <v>6194</v>
      </c>
      <c r="C3225" s="6" t="s">
        <v>8013</v>
      </c>
    </row>
    <row r="3226" customFormat="false" ht="15" hidden="false" customHeight="true" outlineLevel="0" collapsed="false">
      <c r="A3226" s="6" t="s">
        <v>6190</v>
      </c>
      <c r="B3226" s="6" t="s">
        <v>7781</v>
      </c>
      <c r="C3226" s="6" t="s">
        <v>8013</v>
      </c>
    </row>
    <row r="3227" customFormat="false" ht="15" hidden="false" customHeight="true" outlineLevel="0" collapsed="false">
      <c r="A3227" s="6" t="s">
        <v>6190</v>
      </c>
      <c r="B3227" s="6" t="s">
        <v>9626</v>
      </c>
      <c r="C3227" s="6"/>
    </row>
    <row r="3228" customFormat="false" ht="15" hidden="false" customHeight="true" outlineLevel="0" collapsed="false">
      <c r="A3228" s="6" t="s">
        <v>6190</v>
      </c>
      <c r="B3228" s="6" t="s">
        <v>7780</v>
      </c>
      <c r="C3228" s="6" t="s">
        <v>8013</v>
      </c>
    </row>
    <row r="3229" customFormat="false" ht="15" hidden="false" customHeight="true" outlineLevel="0" collapsed="false">
      <c r="A3229" s="6" t="s">
        <v>6190</v>
      </c>
      <c r="B3229" s="6" t="s">
        <v>7778</v>
      </c>
      <c r="C3229" s="6" t="s">
        <v>8013</v>
      </c>
    </row>
    <row r="3230" customFormat="false" ht="15" hidden="false" customHeight="true" outlineLevel="0" collapsed="false">
      <c r="A3230" s="6" t="s">
        <v>6190</v>
      </c>
      <c r="B3230" s="6" t="s">
        <v>6193</v>
      </c>
      <c r="C3230" s="6" t="s">
        <v>8013</v>
      </c>
    </row>
    <row r="3231" customFormat="false" ht="15" hidden="false" customHeight="true" outlineLevel="0" collapsed="false">
      <c r="A3231" s="6" t="s">
        <v>6190</v>
      </c>
      <c r="B3231" s="6" t="s">
        <v>7779</v>
      </c>
      <c r="C3231" s="6" t="s">
        <v>8013</v>
      </c>
    </row>
    <row r="3232" customFormat="false" ht="15" hidden="false" customHeight="true" outlineLevel="0" collapsed="false">
      <c r="A3232" s="6" t="s">
        <v>6190</v>
      </c>
      <c r="B3232" s="6" t="s">
        <v>9627</v>
      </c>
      <c r="C3232" s="6"/>
    </row>
    <row r="3233" customFormat="false" ht="15" hidden="false" customHeight="true" outlineLevel="0" collapsed="false">
      <c r="A3233" s="6" t="s">
        <v>6190</v>
      </c>
      <c r="B3233" s="6" t="s">
        <v>9628</v>
      </c>
      <c r="C3233" s="6"/>
    </row>
    <row r="3234" customFormat="false" ht="15" hidden="false" customHeight="true" outlineLevel="0" collapsed="false">
      <c r="A3234" s="6" t="s">
        <v>6201</v>
      </c>
      <c r="B3234" s="6" t="s">
        <v>6201</v>
      </c>
      <c r="C3234" s="6" t="s">
        <v>8013</v>
      </c>
    </row>
    <row r="3235" customFormat="false" ht="15" hidden="false" customHeight="true" outlineLevel="0" collapsed="false">
      <c r="A3235" s="6" t="s">
        <v>6201</v>
      </c>
      <c r="B3235" s="6" t="s">
        <v>6205</v>
      </c>
      <c r="C3235" s="6" t="s">
        <v>8013</v>
      </c>
    </row>
    <row r="3236" customFormat="false" ht="15" hidden="false" customHeight="true" outlineLevel="0" collapsed="false">
      <c r="A3236" s="6" t="s">
        <v>6201</v>
      </c>
      <c r="B3236" s="6" t="s">
        <v>9629</v>
      </c>
      <c r="C3236" s="6"/>
    </row>
    <row r="3237" customFormat="false" ht="15" hidden="false" customHeight="true" outlineLevel="0" collapsed="false">
      <c r="A3237" s="6" t="s">
        <v>6211</v>
      </c>
      <c r="B3237" s="6" t="s">
        <v>6211</v>
      </c>
      <c r="C3237" s="6" t="s">
        <v>8013</v>
      </c>
    </row>
    <row r="3238" customFormat="false" ht="15" hidden="false" customHeight="true" outlineLevel="0" collapsed="false">
      <c r="A3238" s="6" t="s">
        <v>6211</v>
      </c>
      <c r="B3238" s="6" t="s">
        <v>6215</v>
      </c>
      <c r="C3238" s="6" t="s">
        <v>8013</v>
      </c>
    </row>
    <row r="3239" customFormat="false" ht="15" hidden="false" customHeight="true" outlineLevel="0" collapsed="false">
      <c r="A3239" s="6" t="s">
        <v>6211</v>
      </c>
      <c r="B3239" s="6" t="s">
        <v>7786</v>
      </c>
      <c r="C3239" s="6" t="s">
        <v>8013</v>
      </c>
    </row>
    <row r="3240" customFormat="false" ht="15" hidden="false" customHeight="true" outlineLevel="0" collapsed="false">
      <c r="A3240" s="6" t="s">
        <v>6211</v>
      </c>
      <c r="B3240" s="6" t="s">
        <v>9630</v>
      </c>
      <c r="C3240" s="6"/>
    </row>
    <row r="3241" customFormat="false" ht="15" hidden="false" customHeight="true" outlineLevel="0" collapsed="false">
      <c r="A3241" s="6" t="s">
        <v>6211</v>
      </c>
      <c r="B3241" s="6" t="s">
        <v>7785</v>
      </c>
      <c r="C3241" s="6" t="s">
        <v>8013</v>
      </c>
    </row>
    <row r="3242" customFormat="false" ht="15" hidden="false" customHeight="true" outlineLevel="0" collapsed="false">
      <c r="A3242" s="6" t="s">
        <v>6211</v>
      </c>
      <c r="B3242" s="6" t="s">
        <v>7783</v>
      </c>
      <c r="C3242" s="6" t="s">
        <v>8013</v>
      </c>
    </row>
    <row r="3243" customFormat="false" ht="15" hidden="false" customHeight="true" outlineLevel="0" collapsed="false">
      <c r="A3243" s="6" t="s">
        <v>6211</v>
      </c>
      <c r="B3243" s="6" t="s">
        <v>7782</v>
      </c>
      <c r="C3243" s="6" t="s">
        <v>8013</v>
      </c>
    </row>
    <row r="3244" customFormat="false" ht="15" hidden="false" customHeight="true" outlineLevel="0" collapsed="false">
      <c r="A3244" s="6" t="s">
        <v>6211</v>
      </c>
      <c r="B3244" s="6" t="s">
        <v>9631</v>
      </c>
      <c r="C3244" s="6"/>
    </row>
    <row r="3245" customFormat="false" ht="15" hidden="false" customHeight="true" outlineLevel="0" collapsed="false">
      <c r="A3245" s="6" t="s">
        <v>6211</v>
      </c>
      <c r="B3245" s="6" t="s">
        <v>7784</v>
      </c>
      <c r="C3245" s="6" t="s">
        <v>8013</v>
      </c>
    </row>
    <row r="3246" customFormat="false" ht="15" hidden="false" customHeight="true" outlineLevel="0" collapsed="false">
      <c r="A3246" s="6" t="s">
        <v>6211</v>
      </c>
      <c r="B3246" s="6" t="s">
        <v>6214</v>
      </c>
      <c r="C3246" s="6" t="s">
        <v>8013</v>
      </c>
    </row>
    <row r="3247" customFormat="false" ht="15" hidden="false" customHeight="true" outlineLevel="0" collapsed="false">
      <c r="A3247" s="6" t="s">
        <v>6222</v>
      </c>
      <c r="B3247" s="6" t="s">
        <v>6222</v>
      </c>
      <c r="C3247" s="6" t="s">
        <v>8013</v>
      </c>
    </row>
    <row r="3248" customFormat="false" ht="15" hidden="false" customHeight="true" outlineLevel="0" collapsed="false">
      <c r="A3248" s="6" t="s">
        <v>6222</v>
      </c>
      <c r="B3248" s="6" t="s">
        <v>6226</v>
      </c>
      <c r="C3248" s="6" t="s">
        <v>8013</v>
      </c>
    </row>
    <row r="3249" customFormat="false" ht="15" hidden="false" customHeight="true" outlineLevel="0" collapsed="false">
      <c r="A3249" s="6" t="s">
        <v>6222</v>
      </c>
      <c r="B3249" s="6" t="s">
        <v>7790</v>
      </c>
      <c r="C3249" s="6" t="s">
        <v>8013</v>
      </c>
    </row>
    <row r="3250" customFormat="false" ht="15" hidden="false" customHeight="true" outlineLevel="0" collapsed="false">
      <c r="A3250" s="6" t="s">
        <v>6222</v>
      </c>
      <c r="B3250" s="6" t="s">
        <v>6225</v>
      </c>
      <c r="C3250" s="6" t="s">
        <v>8013</v>
      </c>
    </row>
    <row r="3251" customFormat="false" ht="15" hidden="false" customHeight="true" outlineLevel="0" collapsed="false">
      <c r="A3251" s="6" t="s">
        <v>6222</v>
      </c>
      <c r="B3251" s="6" t="s">
        <v>7788</v>
      </c>
      <c r="C3251" s="6" t="s">
        <v>8013</v>
      </c>
    </row>
    <row r="3252" customFormat="false" ht="15" hidden="false" customHeight="true" outlineLevel="0" collapsed="false">
      <c r="A3252" s="6" t="s">
        <v>6222</v>
      </c>
      <c r="B3252" s="6" t="s">
        <v>9632</v>
      </c>
      <c r="C3252" s="6"/>
    </row>
    <row r="3253" customFormat="false" ht="15" hidden="false" customHeight="true" outlineLevel="0" collapsed="false">
      <c r="A3253" s="6" t="s">
        <v>6222</v>
      </c>
      <c r="B3253" s="6" t="s">
        <v>7789</v>
      </c>
      <c r="C3253" s="6" t="s">
        <v>8013</v>
      </c>
    </row>
    <row r="3254" customFormat="false" ht="15" hidden="false" customHeight="true" outlineLevel="0" collapsed="false">
      <c r="A3254" s="6" t="s">
        <v>6222</v>
      </c>
      <c r="B3254" s="6" t="s">
        <v>7787</v>
      </c>
      <c r="C3254" s="6" t="s">
        <v>8013</v>
      </c>
    </row>
    <row r="3255" customFormat="false" ht="15" hidden="false" customHeight="true" outlineLevel="0" collapsed="false">
      <c r="A3255" s="6" t="s">
        <v>6222</v>
      </c>
      <c r="B3255" s="6" t="s">
        <v>9633</v>
      </c>
      <c r="C3255" s="6"/>
    </row>
    <row r="3256" customFormat="false" ht="15" hidden="false" customHeight="true" outlineLevel="0" collapsed="false">
      <c r="A3256" s="6" t="s">
        <v>6222</v>
      </c>
      <c r="B3256" s="6" t="s">
        <v>9634</v>
      </c>
      <c r="C3256" s="6"/>
    </row>
    <row r="3257" customFormat="false" ht="15" hidden="false" customHeight="true" outlineLevel="0" collapsed="false">
      <c r="A3257" s="6" t="s">
        <v>6233</v>
      </c>
      <c r="B3257" s="6" t="s">
        <v>6233</v>
      </c>
      <c r="C3257" s="6" t="s">
        <v>8013</v>
      </c>
    </row>
    <row r="3258" customFormat="false" ht="15" hidden="false" customHeight="true" outlineLevel="0" collapsed="false">
      <c r="A3258" s="6" t="s">
        <v>6233</v>
      </c>
      <c r="B3258" s="6" t="s">
        <v>6237</v>
      </c>
      <c r="C3258" s="6" t="s">
        <v>8013</v>
      </c>
    </row>
    <row r="3259" customFormat="false" ht="15" hidden="false" customHeight="true" outlineLevel="0" collapsed="false">
      <c r="A3259" s="6" t="s">
        <v>6233</v>
      </c>
      <c r="B3259" s="6" t="s">
        <v>6236</v>
      </c>
      <c r="C3259" s="6" t="s">
        <v>8013</v>
      </c>
    </row>
    <row r="3260" customFormat="false" ht="15" hidden="false" customHeight="true" outlineLevel="0" collapsed="false">
      <c r="A3260" s="6" t="s">
        <v>6233</v>
      </c>
      <c r="B3260" s="6" t="s">
        <v>7794</v>
      </c>
      <c r="C3260" s="6" t="s">
        <v>8013</v>
      </c>
    </row>
    <row r="3261" customFormat="false" ht="15" hidden="false" customHeight="true" outlineLevel="0" collapsed="false">
      <c r="A3261" s="6" t="s">
        <v>6233</v>
      </c>
      <c r="B3261" s="6" t="s">
        <v>7791</v>
      </c>
      <c r="C3261" s="6" t="s">
        <v>8013</v>
      </c>
    </row>
    <row r="3262" customFormat="false" ht="15" hidden="false" customHeight="true" outlineLevel="0" collapsed="false">
      <c r="A3262" s="6" t="s">
        <v>6233</v>
      </c>
      <c r="B3262" s="6" t="s">
        <v>9635</v>
      </c>
      <c r="C3262" s="6"/>
    </row>
    <row r="3263" customFormat="false" ht="15" hidden="false" customHeight="true" outlineLevel="0" collapsed="false">
      <c r="A3263" s="6" t="s">
        <v>6233</v>
      </c>
      <c r="B3263" s="6" t="s">
        <v>7792</v>
      </c>
      <c r="C3263" s="6" t="s">
        <v>8013</v>
      </c>
    </row>
    <row r="3264" customFormat="false" ht="15" hidden="false" customHeight="true" outlineLevel="0" collapsed="false">
      <c r="A3264" s="6" t="s">
        <v>6233</v>
      </c>
      <c r="B3264" s="6" t="s">
        <v>7793</v>
      </c>
      <c r="C3264" s="6" t="s">
        <v>8013</v>
      </c>
    </row>
    <row r="3265" customFormat="false" ht="15" hidden="false" customHeight="true" outlineLevel="0" collapsed="false">
      <c r="A3265" s="6" t="s">
        <v>6233</v>
      </c>
      <c r="B3265" s="6" t="s">
        <v>9636</v>
      </c>
      <c r="C3265" s="6"/>
    </row>
    <row r="3266" customFormat="false" ht="15" hidden="false" customHeight="true" outlineLevel="0" collapsed="false">
      <c r="A3266" s="6" t="s">
        <v>6233</v>
      </c>
      <c r="B3266" s="6" t="s">
        <v>9637</v>
      </c>
      <c r="C3266" s="6"/>
    </row>
    <row r="3267" customFormat="false" ht="15" hidden="false" customHeight="true" outlineLevel="0" collapsed="false">
      <c r="A3267" s="6" t="s">
        <v>6244</v>
      </c>
      <c r="B3267" s="6" t="s">
        <v>6244</v>
      </c>
      <c r="C3267" s="6" t="s">
        <v>8013</v>
      </c>
    </row>
    <row r="3268" customFormat="false" ht="15" hidden="false" customHeight="true" outlineLevel="0" collapsed="false">
      <c r="A3268" s="6" t="s">
        <v>6244</v>
      </c>
      <c r="B3268" s="6" t="s">
        <v>6248</v>
      </c>
      <c r="C3268" s="6" t="s">
        <v>8013</v>
      </c>
    </row>
    <row r="3269" customFormat="false" ht="15" hidden="false" customHeight="true" outlineLevel="0" collapsed="false">
      <c r="A3269" s="6" t="s">
        <v>6244</v>
      </c>
      <c r="B3269" s="6" t="s">
        <v>7796</v>
      </c>
      <c r="C3269" s="6" t="s">
        <v>8013</v>
      </c>
    </row>
    <row r="3270" customFormat="false" ht="15" hidden="false" customHeight="true" outlineLevel="0" collapsed="false">
      <c r="A3270" s="6" t="s">
        <v>6244</v>
      </c>
      <c r="B3270" s="6" t="s">
        <v>9638</v>
      </c>
      <c r="C3270" s="6"/>
    </row>
    <row r="3271" customFormat="false" ht="15" hidden="false" customHeight="true" outlineLevel="0" collapsed="false">
      <c r="A3271" s="6" t="s">
        <v>6244</v>
      </c>
      <c r="B3271" s="6" t="s">
        <v>9639</v>
      </c>
      <c r="C3271" s="6"/>
    </row>
    <row r="3272" customFormat="false" ht="15" hidden="false" customHeight="true" outlineLevel="0" collapsed="false">
      <c r="A3272" s="6" t="s">
        <v>6244</v>
      </c>
      <c r="B3272" s="6" t="s">
        <v>7798</v>
      </c>
      <c r="C3272" s="6" t="s">
        <v>8013</v>
      </c>
    </row>
    <row r="3273" customFormat="false" ht="15" hidden="false" customHeight="true" outlineLevel="0" collapsed="false">
      <c r="A3273" s="6" t="s">
        <v>6244</v>
      </c>
      <c r="B3273" s="6" t="s">
        <v>7795</v>
      </c>
      <c r="C3273" s="6" t="s">
        <v>8013</v>
      </c>
    </row>
    <row r="3274" customFormat="false" ht="15" hidden="false" customHeight="true" outlineLevel="0" collapsed="false">
      <c r="A3274" s="6" t="s">
        <v>6244</v>
      </c>
      <c r="B3274" s="6" t="s">
        <v>7797</v>
      </c>
      <c r="C3274" s="6" t="s">
        <v>8013</v>
      </c>
    </row>
    <row r="3275" customFormat="false" ht="15" hidden="false" customHeight="true" outlineLevel="0" collapsed="false">
      <c r="A3275" s="6" t="s">
        <v>6244</v>
      </c>
      <c r="B3275" s="6" t="s">
        <v>6247</v>
      </c>
      <c r="C3275" s="6" t="s">
        <v>8013</v>
      </c>
    </row>
    <row r="3276" customFormat="false" ht="15" hidden="false" customHeight="true" outlineLevel="0" collapsed="false">
      <c r="A3276" s="6" t="s">
        <v>6244</v>
      </c>
      <c r="B3276" s="6" t="s">
        <v>9640</v>
      </c>
      <c r="C3276" s="6"/>
    </row>
    <row r="3277" customFormat="false" ht="15" hidden="false" customHeight="true" outlineLevel="0" collapsed="false">
      <c r="A3277" s="6" t="s">
        <v>6253</v>
      </c>
      <c r="B3277" s="6" t="s">
        <v>6253</v>
      </c>
      <c r="C3277" s="6" t="s">
        <v>8013</v>
      </c>
    </row>
    <row r="3278" customFormat="false" ht="15" hidden="false" customHeight="true" outlineLevel="0" collapsed="false">
      <c r="A3278" s="6" t="s">
        <v>6253</v>
      </c>
      <c r="B3278" s="6" t="s">
        <v>9641</v>
      </c>
      <c r="C3278" s="6"/>
    </row>
    <row r="3279" customFormat="false" ht="15" hidden="false" customHeight="true" outlineLevel="0" collapsed="false">
      <c r="A3279" s="6" t="s">
        <v>6253</v>
      </c>
      <c r="B3279" s="6" t="s">
        <v>6257</v>
      </c>
      <c r="C3279" s="6" t="s">
        <v>8013</v>
      </c>
    </row>
    <row r="3280" customFormat="false" ht="15" hidden="false" customHeight="true" outlineLevel="0" collapsed="false">
      <c r="A3280" s="6" t="s">
        <v>6253</v>
      </c>
      <c r="B3280" s="6" t="s">
        <v>6256</v>
      </c>
      <c r="C3280" s="6" t="s">
        <v>8013</v>
      </c>
    </row>
    <row r="3281" customFormat="false" ht="15" hidden="false" customHeight="true" outlineLevel="0" collapsed="false">
      <c r="A3281" s="6" t="s">
        <v>6253</v>
      </c>
      <c r="B3281" s="6" t="s">
        <v>7801</v>
      </c>
      <c r="C3281" s="6" t="s">
        <v>8013</v>
      </c>
    </row>
    <row r="3282" customFormat="false" ht="15" hidden="false" customHeight="true" outlineLevel="0" collapsed="false">
      <c r="A3282" s="6" t="s">
        <v>6253</v>
      </c>
      <c r="B3282" s="6" t="s">
        <v>7800</v>
      </c>
      <c r="C3282" s="6" t="s">
        <v>8013</v>
      </c>
    </row>
    <row r="3283" customFormat="false" ht="15" hidden="false" customHeight="true" outlineLevel="0" collapsed="false">
      <c r="A3283" s="6" t="s">
        <v>6253</v>
      </c>
      <c r="B3283" s="6" t="s">
        <v>7799</v>
      </c>
      <c r="C3283" s="6" t="s">
        <v>8013</v>
      </c>
    </row>
    <row r="3284" customFormat="false" ht="15" hidden="false" customHeight="true" outlineLevel="0" collapsed="false">
      <c r="A3284" s="6" t="s">
        <v>6253</v>
      </c>
      <c r="B3284" s="6" t="s">
        <v>9642</v>
      </c>
      <c r="C3284" s="6"/>
    </row>
    <row r="3285" customFormat="false" ht="15" hidden="false" customHeight="true" outlineLevel="0" collapsed="false">
      <c r="A3285" s="6" t="s">
        <v>6253</v>
      </c>
      <c r="B3285" s="6" t="s">
        <v>7802</v>
      </c>
      <c r="C3285" s="6" t="s">
        <v>8013</v>
      </c>
    </row>
    <row r="3286" customFormat="false" ht="15" hidden="false" customHeight="true" outlineLevel="0" collapsed="false">
      <c r="A3286" s="6" t="s">
        <v>6253</v>
      </c>
      <c r="B3286" s="6" t="s">
        <v>9643</v>
      </c>
      <c r="C3286" s="6"/>
    </row>
    <row r="3287" customFormat="false" ht="15" hidden="false" customHeight="true" outlineLevel="0" collapsed="false">
      <c r="A3287" s="6" t="s">
        <v>6265</v>
      </c>
      <c r="B3287" s="6" t="s">
        <v>6265</v>
      </c>
      <c r="C3287" s="6" t="s">
        <v>8013</v>
      </c>
    </row>
    <row r="3288" customFormat="false" ht="15" hidden="false" customHeight="true" outlineLevel="0" collapsed="false">
      <c r="A3288" s="6" t="s">
        <v>6265</v>
      </c>
      <c r="B3288" s="6" t="s">
        <v>9644</v>
      </c>
      <c r="C3288" s="6"/>
    </row>
    <row r="3289" customFormat="false" ht="15" hidden="false" customHeight="true" outlineLevel="0" collapsed="false">
      <c r="A3289" s="6" t="s">
        <v>6265</v>
      </c>
      <c r="B3289" s="6" t="s">
        <v>7806</v>
      </c>
      <c r="C3289" s="6" t="s">
        <v>8013</v>
      </c>
    </row>
    <row r="3290" customFormat="false" ht="15" hidden="false" customHeight="true" outlineLevel="0" collapsed="false">
      <c r="A3290" s="6" t="s">
        <v>6265</v>
      </c>
      <c r="B3290" s="6" t="s">
        <v>6269</v>
      </c>
      <c r="C3290" s="6" t="s">
        <v>8013</v>
      </c>
    </row>
    <row r="3291" customFormat="false" ht="15" hidden="false" customHeight="true" outlineLevel="0" collapsed="false">
      <c r="A3291" s="6" t="s">
        <v>6265</v>
      </c>
      <c r="B3291" s="6" t="s">
        <v>9645</v>
      </c>
      <c r="C3291" s="6"/>
    </row>
    <row r="3292" customFormat="false" ht="15" hidden="false" customHeight="true" outlineLevel="0" collapsed="false">
      <c r="A3292" s="6" t="s">
        <v>6265</v>
      </c>
      <c r="B3292" s="6" t="s">
        <v>9646</v>
      </c>
      <c r="C3292" s="6"/>
    </row>
    <row r="3293" customFormat="false" ht="15" hidden="false" customHeight="true" outlineLevel="0" collapsed="false">
      <c r="A3293" s="6" t="s">
        <v>6265</v>
      </c>
      <c r="B3293" s="6" t="s">
        <v>7805</v>
      </c>
      <c r="C3293" s="6" t="s">
        <v>8013</v>
      </c>
    </row>
    <row r="3294" customFormat="false" ht="15" hidden="false" customHeight="true" outlineLevel="0" collapsed="false">
      <c r="A3294" s="6" t="s">
        <v>6265</v>
      </c>
      <c r="B3294" s="6" t="s">
        <v>6268</v>
      </c>
      <c r="C3294" s="6" t="s">
        <v>8013</v>
      </c>
    </row>
    <row r="3295" customFormat="false" ht="15" hidden="false" customHeight="true" outlineLevel="0" collapsed="false">
      <c r="A3295" s="6" t="s">
        <v>6265</v>
      </c>
      <c r="B3295" s="6" t="s">
        <v>7804</v>
      </c>
      <c r="C3295" s="6" t="s">
        <v>8013</v>
      </c>
    </row>
    <row r="3296" customFormat="false" ht="15" hidden="false" customHeight="true" outlineLevel="0" collapsed="false">
      <c r="A3296" s="6" t="s">
        <v>6265</v>
      </c>
      <c r="B3296" s="6" t="s">
        <v>7803</v>
      </c>
      <c r="C3296" s="6" t="s">
        <v>8013</v>
      </c>
    </row>
    <row r="3297" customFormat="false" ht="15" hidden="false" customHeight="true" outlineLevel="0" collapsed="false">
      <c r="A3297" s="6" t="s">
        <v>6276</v>
      </c>
      <c r="B3297" s="6" t="s">
        <v>6276</v>
      </c>
      <c r="C3297" s="6" t="s">
        <v>8013</v>
      </c>
    </row>
    <row r="3298" customFormat="false" ht="15" hidden="false" customHeight="true" outlineLevel="0" collapsed="false">
      <c r="A3298" s="6" t="s">
        <v>6276</v>
      </c>
      <c r="B3298" s="6" t="s">
        <v>9647</v>
      </c>
      <c r="C3298" s="6"/>
    </row>
    <row r="3299" customFormat="false" ht="15" hidden="false" customHeight="true" outlineLevel="0" collapsed="false">
      <c r="A3299" s="6" t="s">
        <v>6276</v>
      </c>
      <c r="B3299" s="6" t="s">
        <v>6280</v>
      </c>
      <c r="C3299" s="6" t="s">
        <v>8013</v>
      </c>
    </row>
    <row r="3300" customFormat="false" ht="15" hidden="false" customHeight="true" outlineLevel="0" collapsed="false">
      <c r="A3300" s="6" t="s">
        <v>6276</v>
      </c>
      <c r="B3300" s="6" t="s">
        <v>7809</v>
      </c>
      <c r="C3300" s="6" t="s">
        <v>8013</v>
      </c>
    </row>
    <row r="3301" customFormat="false" ht="15" hidden="false" customHeight="true" outlineLevel="0" collapsed="false">
      <c r="A3301" s="6" t="s">
        <v>6276</v>
      </c>
      <c r="B3301" s="6" t="s">
        <v>7811</v>
      </c>
      <c r="C3301" s="6" t="s">
        <v>8013</v>
      </c>
    </row>
    <row r="3302" customFormat="false" ht="15" hidden="false" customHeight="true" outlineLevel="0" collapsed="false">
      <c r="A3302" s="6" t="s">
        <v>6276</v>
      </c>
      <c r="B3302" s="6" t="s">
        <v>7808</v>
      </c>
      <c r="C3302" s="6" t="s">
        <v>8013</v>
      </c>
    </row>
    <row r="3303" customFormat="false" ht="15" hidden="false" customHeight="true" outlineLevel="0" collapsed="false">
      <c r="A3303" s="6" t="s">
        <v>6276</v>
      </c>
      <c r="B3303" s="6" t="s">
        <v>7810</v>
      </c>
      <c r="C3303" s="6" t="s">
        <v>8013</v>
      </c>
    </row>
    <row r="3304" customFormat="false" ht="15" hidden="false" customHeight="true" outlineLevel="0" collapsed="false">
      <c r="A3304" s="6" t="s">
        <v>6276</v>
      </c>
      <c r="B3304" s="6" t="s">
        <v>7807</v>
      </c>
      <c r="C3304" s="6" t="s">
        <v>8013</v>
      </c>
    </row>
    <row r="3305" customFormat="false" ht="15" hidden="false" customHeight="true" outlineLevel="0" collapsed="false">
      <c r="A3305" s="6" t="s">
        <v>6276</v>
      </c>
      <c r="B3305" s="6" t="s">
        <v>9648</v>
      </c>
      <c r="C3305" s="6"/>
    </row>
    <row r="3306" customFormat="false" ht="15" hidden="false" customHeight="true" outlineLevel="0" collapsed="false">
      <c r="A3306" s="6" t="s">
        <v>6276</v>
      </c>
      <c r="B3306" s="6" t="s">
        <v>9649</v>
      </c>
      <c r="C3306" s="6"/>
    </row>
    <row r="3307" customFormat="false" ht="15" hidden="false" customHeight="true" outlineLevel="0" collapsed="false">
      <c r="A3307" s="6" t="s">
        <v>6287</v>
      </c>
      <c r="B3307" s="6" t="s">
        <v>6287</v>
      </c>
      <c r="C3307" s="6" t="s">
        <v>8013</v>
      </c>
    </row>
    <row r="3308" customFormat="false" ht="15" hidden="false" customHeight="true" outlineLevel="0" collapsed="false">
      <c r="A3308" s="6" t="s">
        <v>6287</v>
      </c>
      <c r="B3308" s="6" t="s">
        <v>6291</v>
      </c>
      <c r="C3308" s="6" t="s">
        <v>8013</v>
      </c>
    </row>
    <row r="3309" customFormat="false" ht="15" hidden="false" customHeight="true" outlineLevel="0" collapsed="false">
      <c r="A3309" s="6" t="s">
        <v>6287</v>
      </c>
      <c r="B3309" s="6" t="s">
        <v>9650</v>
      </c>
      <c r="C3309" s="6"/>
    </row>
    <row r="3310" customFormat="false" ht="15" hidden="false" customHeight="true" outlineLevel="0" collapsed="false">
      <c r="A3310" s="6" t="s">
        <v>6287</v>
      </c>
      <c r="B3310" s="6" t="s">
        <v>7812</v>
      </c>
      <c r="C3310" s="6" t="s">
        <v>8013</v>
      </c>
    </row>
    <row r="3311" customFormat="false" ht="15" hidden="false" customHeight="true" outlineLevel="0" collapsed="false">
      <c r="A3311" s="6" t="s">
        <v>6287</v>
      </c>
      <c r="B3311" s="6" t="s">
        <v>9651</v>
      </c>
      <c r="C3311" s="6"/>
    </row>
    <row r="3312" customFormat="false" ht="15" hidden="false" customHeight="true" outlineLevel="0" collapsed="false">
      <c r="A3312" s="6" t="s">
        <v>6287</v>
      </c>
      <c r="B3312" s="6" t="s">
        <v>9652</v>
      </c>
      <c r="C3312" s="6"/>
    </row>
    <row r="3313" customFormat="false" ht="15" hidden="false" customHeight="true" outlineLevel="0" collapsed="false">
      <c r="A3313" s="6" t="s">
        <v>6287</v>
      </c>
      <c r="B3313" s="6" t="s">
        <v>7813</v>
      </c>
      <c r="C3313" s="6" t="s">
        <v>8013</v>
      </c>
    </row>
    <row r="3314" customFormat="false" ht="15" hidden="false" customHeight="true" outlineLevel="0" collapsed="false">
      <c r="A3314" s="6" t="s">
        <v>6287</v>
      </c>
      <c r="B3314" s="6" t="s">
        <v>9653</v>
      </c>
      <c r="C3314" s="6"/>
    </row>
    <row r="3315" customFormat="false" ht="15" hidden="false" customHeight="true" outlineLevel="0" collapsed="false">
      <c r="A3315" s="6" t="s">
        <v>6287</v>
      </c>
      <c r="B3315" s="6" t="s">
        <v>6290</v>
      </c>
      <c r="C3315" s="6" t="s">
        <v>8013</v>
      </c>
    </row>
    <row r="3316" customFormat="false" ht="15" hidden="false" customHeight="true" outlineLevel="0" collapsed="false">
      <c r="A3316" s="6" t="s">
        <v>6683</v>
      </c>
      <c r="B3316" s="6" t="s">
        <v>6683</v>
      </c>
      <c r="C3316" s="6" t="s">
        <v>8013</v>
      </c>
    </row>
    <row r="3317" customFormat="false" ht="15" hidden="false" customHeight="true" outlineLevel="0" collapsed="false">
      <c r="A3317" s="6" t="s">
        <v>6683</v>
      </c>
      <c r="B3317" s="6" t="s">
        <v>9654</v>
      </c>
      <c r="C3317" s="6"/>
    </row>
    <row r="3318" customFormat="false" ht="15" hidden="false" customHeight="true" outlineLevel="0" collapsed="false">
      <c r="A3318" s="6" t="s">
        <v>6683</v>
      </c>
      <c r="B3318" s="6" t="s">
        <v>9655</v>
      </c>
      <c r="C3318" s="6"/>
    </row>
    <row r="3319" customFormat="false" ht="15" hidden="false" customHeight="true" outlineLevel="0" collapsed="false">
      <c r="A3319" s="6" t="s">
        <v>6683</v>
      </c>
      <c r="B3319" s="6" t="s">
        <v>9656</v>
      </c>
      <c r="C3319" s="6"/>
    </row>
    <row r="3320" customFormat="false" ht="15" hidden="false" customHeight="true" outlineLevel="0" collapsed="false">
      <c r="A3320" s="6" t="s">
        <v>6683</v>
      </c>
      <c r="B3320" s="6" t="s">
        <v>9657</v>
      </c>
      <c r="C3320" s="6"/>
    </row>
    <row r="3321" customFormat="false" ht="15" hidden="false" customHeight="true" outlineLevel="0" collapsed="false">
      <c r="A3321" s="6" t="s">
        <v>6683</v>
      </c>
      <c r="B3321" s="6" t="s">
        <v>9658</v>
      </c>
      <c r="C3321" s="6"/>
    </row>
    <row r="3322" customFormat="false" ht="15" hidden="false" customHeight="true" outlineLevel="0" collapsed="false">
      <c r="A3322" s="6" t="s">
        <v>6683</v>
      </c>
      <c r="B3322" s="6" t="s">
        <v>9659</v>
      </c>
      <c r="C3322" s="6"/>
    </row>
    <row r="3323" customFormat="false" ht="15" hidden="false" customHeight="true" outlineLevel="0" collapsed="false">
      <c r="A3323" s="6" t="s">
        <v>6683</v>
      </c>
      <c r="B3323" s="6" t="s">
        <v>9660</v>
      </c>
      <c r="C3323" s="6"/>
    </row>
    <row r="3324" customFormat="false" ht="15" hidden="false" customHeight="true" outlineLevel="0" collapsed="false">
      <c r="A3324" s="6" t="s">
        <v>6683</v>
      </c>
      <c r="B3324" s="6" t="s">
        <v>9661</v>
      </c>
      <c r="C3324" s="6"/>
    </row>
    <row r="3325" customFormat="false" ht="15" hidden="false" customHeight="true" outlineLevel="0" collapsed="false">
      <c r="A3325" s="6" t="s">
        <v>6683</v>
      </c>
      <c r="B3325" s="6" t="s">
        <v>9662</v>
      </c>
      <c r="C3325" s="6"/>
    </row>
    <row r="3326" customFormat="false" ht="15" hidden="false" customHeight="true" outlineLevel="0" collapsed="false">
      <c r="A3326" s="6" t="s">
        <v>6308</v>
      </c>
      <c r="B3326" s="6" t="s">
        <v>6308</v>
      </c>
      <c r="C3326" s="6" t="s">
        <v>8013</v>
      </c>
    </row>
    <row r="3327" customFormat="false" ht="15" hidden="false" customHeight="true" outlineLevel="0" collapsed="false">
      <c r="A3327" s="6" t="s">
        <v>6308</v>
      </c>
      <c r="B3327" s="6" t="s">
        <v>6312</v>
      </c>
      <c r="C3327" s="6" t="s">
        <v>8013</v>
      </c>
    </row>
    <row r="3328" customFormat="false" ht="15" hidden="false" customHeight="true" outlineLevel="0" collapsed="false">
      <c r="A3328" s="6" t="s">
        <v>6308</v>
      </c>
      <c r="B3328" s="6" t="s">
        <v>9663</v>
      </c>
      <c r="C3328" s="6"/>
    </row>
    <row r="3329" customFormat="false" ht="15" hidden="false" customHeight="true" outlineLevel="0" collapsed="false">
      <c r="A3329" s="6" t="s">
        <v>6308</v>
      </c>
      <c r="B3329" s="6" t="s">
        <v>7817</v>
      </c>
      <c r="C3329" s="6" t="s">
        <v>8013</v>
      </c>
    </row>
    <row r="3330" customFormat="false" ht="15" hidden="false" customHeight="true" outlineLevel="0" collapsed="false">
      <c r="A3330" s="6" t="s">
        <v>6308</v>
      </c>
      <c r="B3330" s="6" t="s">
        <v>9664</v>
      </c>
      <c r="C3330" s="6"/>
    </row>
    <row r="3331" customFormat="false" ht="15" hidden="false" customHeight="true" outlineLevel="0" collapsed="false">
      <c r="A3331" s="6" t="s">
        <v>6308</v>
      </c>
      <c r="B3331" s="6" t="s">
        <v>7815</v>
      </c>
      <c r="C3331" s="6" t="s">
        <v>8013</v>
      </c>
    </row>
    <row r="3332" customFormat="false" ht="15" hidden="false" customHeight="true" outlineLevel="0" collapsed="false">
      <c r="A3332" s="6" t="s">
        <v>6308</v>
      </c>
      <c r="B3332" s="6" t="s">
        <v>7814</v>
      </c>
      <c r="C3332" s="6" t="s">
        <v>8013</v>
      </c>
    </row>
    <row r="3333" customFormat="false" ht="15" hidden="false" customHeight="true" outlineLevel="0" collapsed="false">
      <c r="A3333" s="6" t="s">
        <v>6308</v>
      </c>
      <c r="B3333" s="6" t="s">
        <v>7818</v>
      </c>
      <c r="C3333" s="6" t="s">
        <v>8013</v>
      </c>
    </row>
    <row r="3334" customFormat="false" ht="15" hidden="false" customHeight="true" outlineLevel="0" collapsed="false">
      <c r="A3334" s="6" t="s">
        <v>6308</v>
      </c>
      <c r="B3334" s="6" t="s">
        <v>7816</v>
      </c>
      <c r="C3334" s="6" t="s">
        <v>8013</v>
      </c>
    </row>
    <row r="3335" customFormat="false" ht="15" hidden="false" customHeight="true" outlineLevel="0" collapsed="false">
      <c r="A3335" s="6" t="s">
        <v>6308</v>
      </c>
      <c r="B3335" s="6" t="s">
        <v>9665</v>
      </c>
      <c r="C3335" s="6"/>
    </row>
    <row r="3336" customFormat="false" ht="15" hidden="false" customHeight="true" outlineLevel="0" collapsed="false">
      <c r="A3336" s="6" t="s">
        <v>6319</v>
      </c>
      <c r="B3336" s="6" t="s">
        <v>6319</v>
      </c>
      <c r="C3336" s="6" t="s">
        <v>8013</v>
      </c>
    </row>
    <row r="3337" customFormat="false" ht="15" hidden="false" customHeight="true" outlineLevel="0" collapsed="false">
      <c r="A3337" s="6" t="s">
        <v>6319</v>
      </c>
      <c r="B3337" s="6" t="s">
        <v>6323</v>
      </c>
      <c r="C3337" s="6" t="s">
        <v>8013</v>
      </c>
    </row>
    <row r="3338" customFormat="false" ht="15" hidden="false" customHeight="true" outlineLevel="0" collapsed="false">
      <c r="A3338" s="6" t="s">
        <v>6319</v>
      </c>
      <c r="B3338" s="6" t="s">
        <v>7822</v>
      </c>
      <c r="C3338" s="6" t="s">
        <v>8013</v>
      </c>
    </row>
    <row r="3339" customFormat="false" ht="15" hidden="false" customHeight="true" outlineLevel="0" collapsed="false">
      <c r="A3339" s="6" t="s">
        <v>6319</v>
      </c>
      <c r="B3339" s="6" t="s">
        <v>9666</v>
      </c>
      <c r="C3339" s="6"/>
    </row>
    <row r="3340" customFormat="false" ht="15" hidden="false" customHeight="true" outlineLevel="0" collapsed="false">
      <c r="A3340" s="6" t="s">
        <v>6319</v>
      </c>
      <c r="B3340" s="6" t="s">
        <v>9667</v>
      </c>
      <c r="C3340" s="6"/>
    </row>
    <row r="3341" customFormat="false" ht="15" hidden="false" customHeight="true" outlineLevel="0" collapsed="false">
      <c r="A3341" s="6" t="s">
        <v>6319</v>
      </c>
      <c r="B3341" s="6" t="s">
        <v>7820</v>
      </c>
      <c r="C3341" s="6" t="s">
        <v>8013</v>
      </c>
    </row>
    <row r="3342" customFormat="false" ht="15" hidden="false" customHeight="true" outlineLevel="0" collapsed="false">
      <c r="A3342" s="6" t="s">
        <v>6319</v>
      </c>
      <c r="B3342" s="6" t="s">
        <v>7821</v>
      </c>
      <c r="C3342" s="6" t="s">
        <v>8013</v>
      </c>
    </row>
    <row r="3343" customFormat="false" ht="15" hidden="false" customHeight="true" outlineLevel="0" collapsed="false">
      <c r="A3343" s="6" t="s">
        <v>6319</v>
      </c>
      <c r="B3343" s="6" t="s">
        <v>6322</v>
      </c>
      <c r="C3343" s="6" t="s">
        <v>8013</v>
      </c>
    </row>
    <row r="3344" customFormat="false" ht="15" hidden="false" customHeight="true" outlineLevel="0" collapsed="false">
      <c r="A3344" s="6" t="s">
        <v>6319</v>
      </c>
      <c r="B3344" s="6" t="s">
        <v>7819</v>
      </c>
      <c r="C3344" s="6" t="s">
        <v>8013</v>
      </c>
    </row>
    <row r="3345" customFormat="false" ht="15" hidden="false" customHeight="true" outlineLevel="0" collapsed="false">
      <c r="A3345" s="6" t="s">
        <v>6319</v>
      </c>
      <c r="B3345" s="6" t="s">
        <v>9668</v>
      </c>
      <c r="C3345" s="6"/>
    </row>
    <row r="3346" customFormat="false" ht="15" hidden="false" customHeight="true" outlineLevel="0" collapsed="false">
      <c r="A3346" s="6" t="s">
        <v>6331</v>
      </c>
      <c r="B3346" s="6" t="s">
        <v>9669</v>
      </c>
      <c r="C3346" s="6"/>
    </row>
    <row r="3347" customFormat="false" ht="15" hidden="false" customHeight="true" outlineLevel="0" collapsed="false">
      <c r="A3347" s="6" t="s">
        <v>6331</v>
      </c>
      <c r="B3347" s="6" t="s">
        <v>6290</v>
      </c>
      <c r="C3347" s="6" t="s">
        <v>8013</v>
      </c>
    </row>
    <row r="3348" customFormat="false" ht="15" hidden="false" customHeight="true" outlineLevel="0" collapsed="false">
      <c r="A3348" s="6" t="s">
        <v>6331</v>
      </c>
      <c r="B3348" s="6" t="s">
        <v>9670</v>
      </c>
      <c r="C3348" s="6"/>
    </row>
    <row r="3349" customFormat="false" ht="15" hidden="false" customHeight="true" outlineLevel="0" collapsed="false">
      <c r="A3349" s="6" t="s">
        <v>6342</v>
      </c>
      <c r="B3349" s="6" t="s">
        <v>6342</v>
      </c>
      <c r="C3349" s="6" t="s">
        <v>8013</v>
      </c>
    </row>
    <row r="3350" customFormat="false" ht="15" hidden="false" customHeight="true" outlineLevel="0" collapsed="false">
      <c r="A3350" s="6" t="s">
        <v>6342</v>
      </c>
      <c r="B3350" s="6" t="s">
        <v>7826</v>
      </c>
      <c r="C3350" s="6" t="s">
        <v>8013</v>
      </c>
    </row>
    <row r="3351" customFormat="false" ht="15" hidden="false" customHeight="true" outlineLevel="0" collapsed="false">
      <c r="A3351" s="6" t="s">
        <v>6342</v>
      </c>
      <c r="B3351" s="6" t="s">
        <v>6346</v>
      </c>
      <c r="C3351" s="6" t="s">
        <v>8013</v>
      </c>
    </row>
    <row r="3352" customFormat="false" ht="15" hidden="false" customHeight="true" outlineLevel="0" collapsed="false">
      <c r="A3352" s="6" t="s">
        <v>6342</v>
      </c>
      <c r="B3352" s="6" t="s">
        <v>9671</v>
      </c>
      <c r="C3352" s="6"/>
    </row>
    <row r="3353" customFormat="false" ht="15" hidden="false" customHeight="true" outlineLevel="0" collapsed="false">
      <c r="A3353" s="6" t="s">
        <v>6342</v>
      </c>
      <c r="B3353" s="6" t="s">
        <v>6345</v>
      </c>
      <c r="C3353" s="6" t="s">
        <v>8013</v>
      </c>
    </row>
    <row r="3354" customFormat="false" ht="15" hidden="false" customHeight="true" outlineLevel="0" collapsed="false">
      <c r="A3354" s="6" t="s">
        <v>6342</v>
      </c>
      <c r="B3354" s="6" t="s">
        <v>7824</v>
      </c>
      <c r="C3354" s="6" t="s">
        <v>8013</v>
      </c>
    </row>
    <row r="3355" customFormat="false" ht="15" hidden="false" customHeight="true" outlineLevel="0" collapsed="false">
      <c r="A3355" s="6" t="s">
        <v>6342</v>
      </c>
      <c r="B3355" s="6" t="s">
        <v>7825</v>
      </c>
      <c r="C3355" s="6" t="s">
        <v>8013</v>
      </c>
    </row>
    <row r="3356" customFormat="false" ht="15" hidden="false" customHeight="true" outlineLevel="0" collapsed="false">
      <c r="A3356" s="6" t="s">
        <v>6342</v>
      </c>
      <c r="B3356" s="6" t="s">
        <v>7823</v>
      </c>
      <c r="C3356" s="6" t="s">
        <v>8013</v>
      </c>
    </row>
    <row r="3357" customFormat="false" ht="15" hidden="false" customHeight="true" outlineLevel="0" collapsed="false">
      <c r="A3357" s="6" t="s">
        <v>6342</v>
      </c>
      <c r="B3357" s="6" t="s">
        <v>9672</v>
      </c>
      <c r="C3357" s="6"/>
    </row>
    <row r="3358" customFormat="false" ht="15" hidden="false" customHeight="true" outlineLevel="0" collapsed="false">
      <c r="A3358" s="6" t="s">
        <v>6342</v>
      </c>
      <c r="B3358" s="6" t="s">
        <v>9673</v>
      </c>
      <c r="C3358" s="6"/>
    </row>
    <row r="3359" customFormat="false" ht="15" hidden="false" customHeight="true" outlineLevel="0" collapsed="false">
      <c r="A3359" s="6" t="s">
        <v>6381</v>
      </c>
      <c r="B3359" s="6" t="s">
        <v>6381</v>
      </c>
      <c r="C3359" s="6" t="s">
        <v>8013</v>
      </c>
    </row>
    <row r="3360" customFormat="false" ht="15" hidden="false" customHeight="true" outlineLevel="0" collapsed="false">
      <c r="A3360" s="6" t="s">
        <v>6381</v>
      </c>
      <c r="B3360" s="6" t="s">
        <v>9674</v>
      </c>
      <c r="C3360" s="6"/>
    </row>
    <row r="3361" customFormat="false" ht="15" hidden="false" customHeight="true" outlineLevel="0" collapsed="false">
      <c r="A3361" s="6" t="s">
        <v>6381</v>
      </c>
      <c r="B3361" s="6" t="s">
        <v>9675</v>
      </c>
      <c r="C3361" s="6"/>
    </row>
    <row r="3362" customFormat="false" ht="15" hidden="false" customHeight="true" outlineLevel="0" collapsed="false">
      <c r="A3362" s="6" t="s">
        <v>6381</v>
      </c>
      <c r="B3362" s="6" t="s">
        <v>6384</v>
      </c>
      <c r="C3362" s="6" t="s">
        <v>8013</v>
      </c>
    </row>
    <row r="3363" customFormat="false" ht="15" hidden="false" customHeight="true" outlineLevel="0" collapsed="false">
      <c r="A3363" s="6" t="s">
        <v>6381</v>
      </c>
      <c r="B3363" s="6" t="s">
        <v>9676</v>
      </c>
      <c r="C3363" s="6"/>
    </row>
    <row r="3364" customFormat="false" ht="15" hidden="false" customHeight="true" outlineLevel="0" collapsed="false">
      <c r="A3364" s="6" t="s">
        <v>6381</v>
      </c>
      <c r="B3364" s="6" t="s">
        <v>9677</v>
      </c>
      <c r="C3364" s="6"/>
    </row>
    <row r="3365" customFormat="false" ht="15" hidden="false" customHeight="true" outlineLevel="0" collapsed="false">
      <c r="A3365" s="6" t="s">
        <v>6381</v>
      </c>
      <c r="B3365" s="6" t="s">
        <v>265</v>
      </c>
      <c r="C3365" s="6" t="s">
        <v>8013</v>
      </c>
    </row>
    <row r="3366" customFormat="false" ht="15" hidden="false" customHeight="true" outlineLevel="0" collapsed="false">
      <c r="A3366" s="6" t="s">
        <v>6381</v>
      </c>
      <c r="B3366" s="6" t="s">
        <v>9678</v>
      </c>
      <c r="C3366" s="6"/>
    </row>
    <row r="3367" customFormat="false" ht="15" hidden="false" customHeight="true" outlineLevel="0" collapsed="false">
      <c r="A3367" s="6" t="s">
        <v>6381</v>
      </c>
      <c r="B3367" s="6" t="s">
        <v>9679</v>
      </c>
      <c r="C3367" s="6"/>
    </row>
    <row r="3368" customFormat="false" ht="15" hidden="false" customHeight="true" outlineLevel="0" collapsed="false">
      <c r="A3368" s="6" t="s">
        <v>6381</v>
      </c>
      <c r="B3368" s="6" t="s">
        <v>9680</v>
      </c>
      <c r="C3368" s="6"/>
    </row>
    <row r="3369" customFormat="false" ht="15" hidden="false" customHeight="true" outlineLevel="0" collapsed="false">
      <c r="A3369" s="6" t="s">
        <v>6373</v>
      </c>
      <c r="B3369" s="6" t="s">
        <v>6373</v>
      </c>
      <c r="C3369" s="6" t="s">
        <v>8013</v>
      </c>
    </row>
    <row r="3370" customFormat="false" ht="15" hidden="false" customHeight="true" outlineLevel="0" collapsed="false">
      <c r="A3370" s="6" t="s">
        <v>6373</v>
      </c>
      <c r="B3370" s="6" t="s">
        <v>9681</v>
      </c>
      <c r="C3370" s="6"/>
    </row>
    <row r="3371" customFormat="false" ht="15" hidden="false" customHeight="true" outlineLevel="0" collapsed="false">
      <c r="A3371" s="6" t="s">
        <v>6373</v>
      </c>
      <c r="B3371" s="6" t="s">
        <v>9682</v>
      </c>
      <c r="C3371" s="6"/>
    </row>
    <row r="3372" customFormat="false" ht="15" hidden="false" customHeight="true" outlineLevel="0" collapsed="false">
      <c r="A3372" s="6" t="s">
        <v>6373</v>
      </c>
      <c r="B3372" s="6" t="s">
        <v>9683</v>
      </c>
      <c r="C3372" s="6"/>
    </row>
    <row r="3373" customFormat="false" ht="15" hidden="false" customHeight="true" outlineLevel="0" collapsed="false">
      <c r="A3373" s="6" t="s">
        <v>6373</v>
      </c>
      <c r="B3373" s="6" t="s">
        <v>9684</v>
      </c>
      <c r="C3373" s="6"/>
    </row>
    <row r="3374" customFormat="false" ht="15" hidden="false" customHeight="true" outlineLevel="0" collapsed="false">
      <c r="A3374" s="6" t="s">
        <v>6373</v>
      </c>
      <c r="B3374" s="6" t="s">
        <v>9685</v>
      </c>
      <c r="C3374" s="6"/>
    </row>
    <row r="3375" customFormat="false" ht="15" hidden="false" customHeight="true" outlineLevel="0" collapsed="false">
      <c r="A3375" s="6" t="s">
        <v>6373</v>
      </c>
      <c r="B3375" s="6" t="s">
        <v>9686</v>
      </c>
      <c r="C3375" s="6"/>
    </row>
    <row r="3376" customFormat="false" ht="15" hidden="false" customHeight="true" outlineLevel="0" collapsed="false">
      <c r="A3376" s="6" t="s">
        <v>6373</v>
      </c>
      <c r="B3376" s="6" t="s">
        <v>9687</v>
      </c>
      <c r="C3376" s="6"/>
    </row>
    <row r="3377" customFormat="false" ht="15" hidden="false" customHeight="true" outlineLevel="0" collapsed="false">
      <c r="A3377" s="6" t="s">
        <v>6373</v>
      </c>
      <c r="B3377" s="6" t="s">
        <v>9688</v>
      </c>
      <c r="C3377" s="6"/>
    </row>
    <row r="3378" customFormat="false" ht="15" hidden="false" customHeight="true" outlineLevel="0" collapsed="false">
      <c r="A3378" s="6" t="s">
        <v>6373</v>
      </c>
      <c r="B3378" s="6" t="s">
        <v>9689</v>
      </c>
      <c r="C3378" s="6"/>
    </row>
    <row r="3379" customFormat="false" ht="15" hidden="false" customHeight="true" outlineLevel="0" collapsed="false">
      <c r="A3379" s="6" t="s">
        <v>6353</v>
      </c>
      <c r="B3379" s="6" t="s">
        <v>6353</v>
      </c>
      <c r="C3379" s="6" t="s">
        <v>8013</v>
      </c>
    </row>
    <row r="3380" customFormat="false" ht="15" hidden="false" customHeight="true" outlineLevel="0" collapsed="false">
      <c r="A3380" s="6" t="s">
        <v>6353</v>
      </c>
      <c r="B3380" s="6" t="s">
        <v>9690</v>
      </c>
      <c r="C3380" s="6"/>
    </row>
    <row r="3381" customFormat="false" ht="15" hidden="false" customHeight="true" outlineLevel="0" collapsed="false">
      <c r="A3381" s="6" t="s">
        <v>6353</v>
      </c>
      <c r="B3381" s="6" t="s">
        <v>9691</v>
      </c>
      <c r="C3381" s="6"/>
    </row>
    <row r="3382" customFormat="false" ht="15" hidden="false" customHeight="true" outlineLevel="0" collapsed="false">
      <c r="A3382" s="6" t="s">
        <v>6353</v>
      </c>
      <c r="B3382" s="6" t="s">
        <v>9692</v>
      </c>
      <c r="C3382" s="6"/>
    </row>
    <row r="3383" customFormat="false" ht="15" hidden="false" customHeight="true" outlineLevel="0" collapsed="false">
      <c r="A3383" s="6" t="s">
        <v>6353</v>
      </c>
      <c r="B3383" s="6" t="s">
        <v>9693</v>
      </c>
      <c r="C3383" s="6"/>
    </row>
    <row r="3384" customFormat="false" ht="15" hidden="false" customHeight="true" outlineLevel="0" collapsed="false">
      <c r="A3384" s="6" t="s">
        <v>6353</v>
      </c>
      <c r="B3384" s="6" t="s">
        <v>6357</v>
      </c>
      <c r="C3384" s="6" t="s">
        <v>8013</v>
      </c>
    </row>
    <row r="3385" customFormat="false" ht="15" hidden="false" customHeight="true" outlineLevel="0" collapsed="false">
      <c r="A3385" s="6" t="s">
        <v>6353</v>
      </c>
      <c r="B3385" s="6" t="s">
        <v>9694</v>
      </c>
      <c r="C3385" s="6"/>
    </row>
    <row r="3386" customFormat="false" ht="15" hidden="false" customHeight="true" outlineLevel="0" collapsed="false">
      <c r="A3386" s="6" t="s">
        <v>6353</v>
      </c>
      <c r="B3386" s="6" t="s">
        <v>9695</v>
      </c>
      <c r="C3386" s="6"/>
    </row>
    <row r="3387" customFormat="false" ht="15" hidden="false" customHeight="true" outlineLevel="0" collapsed="false">
      <c r="A3387" s="6" t="s">
        <v>6353</v>
      </c>
      <c r="B3387" s="6" t="s">
        <v>9696</v>
      </c>
      <c r="C3387" s="6"/>
    </row>
    <row r="3388" customFormat="false" ht="15" hidden="false" customHeight="true" outlineLevel="0" collapsed="false">
      <c r="A3388" s="6" t="s">
        <v>6353</v>
      </c>
      <c r="B3388" s="6" t="s">
        <v>6356</v>
      </c>
      <c r="C3388" s="6" t="s">
        <v>8013</v>
      </c>
    </row>
    <row r="3389" customFormat="false" ht="15" hidden="false" customHeight="true" outlineLevel="0" collapsed="false">
      <c r="A3389" s="6" t="s">
        <v>6388</v>
      </c>
      <c r="B3389" s="6" t="s">
        <v>6388</v>
      </c>
      <c r="C3389" s="6" t="s">
        <v>8013</v>
      </c>
    </row>
    <row r="3390" customFormat="false" ht="15" hidden="false" customHeight="true" outlineLevel="0" collapsed="false">
      <c r="A3390" s="6" t="s">
        <v>6388</v>
      </c>
      <c r="B3390" s="6" t="s">
        <v>6392</v>
      </c>
      <c r="C3390" s="6" t="s">
        <v>8013</v>
      </c>
    </row>
    <row r="3391" customFormat="false" ht="15" hidden="false" customHeight="true" outlineLevel="0" collapsed="false">
      <c r="A3391" s="6" t="s">
        <v>6388</v>
      </c>
      <c r="B3391" s="6" t="s">
        <v>9697</v>
      </c>
      <c r="C3391" s="6"/>
    </row>
    <row r="3392" customFormat="false" ht="15" hidden="false" customHeight="true" outlineLevel="0" collapsed="false">
      <c r="A3392" s="6" t="s">
        <v>6388</v>
      </c>
      <c r="B3392" s="6" t="s">
        <v>9698</v>
      </c>
      <c r="C3392" s="6"/>
    </row>
    <row r="3393" customFormat="false" ht="15" hidden="false" customHeight="true" outlineLevel="0" collapsed="false">
      <c r="A3393" s="6" t="s">
        <v>6388</v>
      </c>
      <c r="B3393" s="6" t="s">
        <v>9699</v>
      </c>
      <c r="C3393" s="6"/>
    </row>
    <row r="3394" customFormat="false" ht="15" hidden="false" customHeight="true" outlineLevel="0" collapsed="false">
      <c r="A3394" s="6" t="s">
        <v>6388</v>
      </c>
      <c r="B3394" s="6" t="s">
        <v>9700</v>
      </c>
      <c r="C3394" s="6"/>
    </row>
    <row r="3395" customFormat="false" ht="15" hidden="false" customHeight="true" outlineLevel="0" collapsed="false">
      <c r="A3395" s="6" t="s">
        <v>6388</v>
      </c>
      <c r="B3395" s="6" t="s">
        <v>9701</v>
      </c>
      <c r="C3395" s="6"/>
    </row>
    <row r="3396" customFormat="false" ht="15" hidden="false" customHeight="true" outlineLevel="0" collapsed="false">
      <c r="A3396" s="6" t="s">
        <v>6388</v>
      </c>
      <c r="B3396" s="6" t="s">
        <v>9702</v>
      </c>
      <c r="C3396" s="6"/>
    </row>
    <row r="3397" customFormat="false" ht="15" hidden="false" customHeight="true" outlineLevel="0" collapsed="false">
      <c r="A3397" s="6" t="s">
        <v>6388</v>
      </c>
      <c r="B3397" s="6" t="s">
        <v>6391</v>
      </c>
      <c r="C3397" s="6" t="s">
        <v>8013</v>
      </c>
    </row>
    <row r="3398" customFormat="false" ht="15" hidden="false" customHeight="true" outlineLevel="0" collapsed="false">
      <c r="A3398" s="6" t="s">
        <v>6388</v>
      </c>
      <c r="B3398" s="6" t="s">
        <v>9703</v>
      </c>
      <c r="C3398" s="6"/>
    </row>
    <row r="3399" customFormat="false" ht="15" hidden="false" customHeight="true" outlineLevel="0" collapsed="false">
      <c r="A3399" s="6" t="s">
        <v>6362</v>
      </c>
      <c r="B3399" s="6" t="s">
        <v>6362</v>
      </c>
      <c r="C3399" s="6" t="s">
        <v>8013</v>
      </c>
    </row>
    <row r="3400" customFormat="false" ht="15" hidden="false" customHeight="true" outlineLevel="0" collapsed="false">
      <c r="A3400" s="6" t="s">
        <v>6362</v>
      </c>
      <c r="B3400" s="6" t="s">
        <v>9704</v>
      </c>
      <c r="C3400" s="6"/>
    </row>
    <row r="3401" customFormat="false" ht="15" hidden="false" customHeight="true" outlineLevel="0" collapsed="false">
      <c r="A3401" s="6" t="s">
        <v>6362</v>
      </c>
      <c r="B3401" s="6" t="s">
        <v>266</v>
      </c>
      <c r="C3401" s="6" t="s">
        <v>8013</v>
      </c>
    </row>
    <row r="3402" customFormat="false" ht="15" hidden="false" customHeight="true" outlineLevel="0" collapsed="false">
      <c r="A3402" s="6" t="s">
        <v>6362</v>
      </c>
      <c r="B3402" s="6" t="s">
        <v>9705</v>
      </c>
      <c r="C3402" s="6"/>
    </row>
    <row r="3403" customFormat="false" ht="15" hidden="false" customHeight="true" outlineLevel="0" collapsed="false">
      <c r="A3403" s="6" t="s">
        <v>6362</v>
      </c>
      <c r="B3403" s="6" t="s">
        <v>9706</v>
      </c>
      <c r="C3403" s="6"/>
    </row>
    <row r="3404" customFormat="false" ht="15" hidden="false" customHeight="true" outlineLevel="0" collapsed="false">
      <c r="A3404" s="6" t="s">
        <v>6362</v>
      </c>
      <c r="B3404" s="6" t="s">
        <v>6365</v>
      </c>
      <c r="C3404" s="6" t="s">
        <v>8013</v>
      </c>
    </row>
    <row r="3405" customFormat="false" ht="15" hidden="false" customHeight="true" outlineLevel="0" collapsed="false">
      <c r="A3405" s="6" t="s">
        <v>6362</v>
      </c>
      <c r="B3405" s="6" t="s">
        <v>9707</v>
      </c>
      <c r="C3405" s="6"/>
    </row>
    <row r="3406" customFormat="false" ht="15" hidden="false" customHeight="true" outlineLevel="0" collapsed="false">
      <c r="A3406" s="6" t="s">
        <v>6362</v>
      </c>
      <c r="B3406" s="6" t="s">
        <v>9708</v>
      </c>
      <c r="C3406" s="6"/>
    </row>
    <row r="3407" customFormat="false" ht="15" hidden="false" customHeight="true" outlineLevel="0" collapsed="false">
      <c r="A3407" s="6" t="s">
        <v>6362</v>
      </c>
      <c r="B3407" s="6" t="s">
        <v>9709</v>
      </c>
      <c r="C3407" s="6"/>
    </row>
    <row r="3408" customFormat="false" ht="15" hidden="false" customHeight="true" outlineLevel="0" collapsed="false">
      <c r="A3408" s="6" t="s">
        <v>6362</v>
      </c>
      <c r="B3408" s="6" t="s">
        <v>9710</v>
      </c>
      <c r="C3408" s="6"/>
    </row>
    <row r="3409" customFormat="false" ht="15" hidden="false" customHeight="true" outlineLevel="0" collapsed="false">
      <c r="A3409" s="6" t="s">
        <v>319</v>
      </c>
      <c r="B3409" s="6" t="s">
        <v>319</v>
      </c>
      <c r="C3409" s="6" t="s">
        <v>8013</v>
      </c>
    </row>
    <row r="3410" customFormat="false" ht="15" hidden="false" customHeight="true" outlineLevel="0" collapsed="false">
      <c r="A3410" s="6" t="s">
        <v>319</v>
      </c>
      <c r="B3410" s="6" t="s">
        <v>346</v>
      </c>
      <c r="C3410" s="6" t="s">
        <v>8013</v>
      </c>
    </row>
    <row r="3411" customFormat="false" ht="15" hidden="false" customHeight="true" outlineLevel="0" collapsed="false">
      <c r="A3411" s="6" t="s">
        <v>319</v>
      </c>
      <c r="B3411" s="6" t="s">
        <v>9711</v>
      </c>
      <c r="C3411" s="6"/>
    </row>
    <row r="3412" customFormat="false" ht="15" hidden="false" customHeight="true" outlineLevel="0" collapsed="false">
      <c r="A3412" s="6" t="s">
        <v>319</v>
      </c>
      <c r="B3412" s="6" t="s">
        <v>9712</v>
      </c>
      <c r="C3412" s="6"/>
    </row>
    <row r="3413" customFormat="false" ht="15" hidden="false" customHeight="true" outlineLevel="0" collapsed="false">
      <c r="A3413" s="6" t="s">
        <v>319</v>
      </c>
      <c r="B3413" s="6" t="s">
        <v>9713</v>
      </c>
      <c r="C3413" s="6"/>
    </row>
    <row r="3414" customFormat="false" ht="15" hidden="false" customHeight="true" outlineLevel="0" collapsed="false">
      <c r="A3414" s="6" t="s">
        <v>319</v>
      </c>
      <c r="B3414" s="6" t="s">
        <v>9714</v>
      </c>
      <c r="C3414" s="6"/>
    </row>
    <row r="3415" customFormat="false" ht="15" hidden="false" customHeight="true" outlineLevel="0" collapsed="false">
      <c r="A3415" s="6" t="s">
        <v>319</v>
      </c>
      <c r="B3415" s="6" t="s">
        <v>9715</v>
      </c>
      <c r="C3415" s="6"/>
    </row>
    <row r="3416" customFormat="false" ht="15" hidden="false" customHeight="true" outlineLevel="0" collapsed="false">
      <c r="A3416" s="6" t="s">
        <v>319</v>
      </c>
      <c r="B3416" s="6" t="s">
        <v>9716</v>
      </c>
      <c r="C3416" s="6"/>
    </row>
    <row r="3417" customFormat="false" ht="15" hidden="false" customHeight="true" outlineLevel="0" collapsed="false">
      <c r="A3417" s="6" t="s">
        <v>319</v>
      </c>
      <c r="B3417" s="6" t="s">
        <v>9717</v>
      </c>
      <c r="C3417" s="6"/>
    </row>
    <row r="3418" customFormat="false" ht="15" hidden="false" customHeight="true" outlineLevel="0" collapsed="false">
      <c r="A3418" s="6" t="s">
        <v>319</v>
      </c>
      <c r="B3418" s="6" t="s">
        <v>9718</v>
      </c>
      <c r="C3418" s="6"/>
    </row>
    <row r="3419" customFormat="false" ht="15" hidden="false" customHeight="true" outlineLevel="0" collapsed="false">
      <c r="A3419" s="6" t="s">
        <v>6434</v>
      </c>
      <c r="B3419" s="6" t="s">
        <v>6434</v>
      </c>
      <c r="C3419" s="6" t="s">
        <v>8013</v>
      </c>
    </row>
    <row r="3420" customFormat="false" ht="15" hidden="false" customHeight="true" outlineLevel="0" collapsed="false">
      <c r="A3420" s="6" t="s">
        <v>6434</v>
      </c>
      <c r="B3420" s="6" t="s">
        <v>7830</v>
      </c>
      <c r="C3420" s="6" t="s">
        <v>8013</v>
      </c>
    </row>
    <row r="3421" customFormat="false" ht="15" hidden="false" customHeight="true" outlineLevel="0" collapsed="false">
      <c r="A3421" s="6" t="s">
        <v>6434</v>
      </c>
      <c r="B3421" s="6" t="s">
        <v>6437</v>
      </c>
      <c r="C3421" s="6" t="s">
        <v>8013</v>
      </c>
    </row>
    <row r="3422" customFormat="false" ht="15" hidden="false" customHeight="true" outlineLevel="0" collapsed="false">
      <c r="A3422" s="6" t="s">
        <v>6434</v>
      </c>
      <c r="B3422" s="6" t="s">
        <v>7831</v>
      </c>
      <c r="C3422" s="6" t="s">
        <v>8013</v>
      </c>
    </row>
    <row r="3423" customFormat="false" ht="15" hidden="false" customHeight="true" outlineLevel="0" collapsed="false">
      <c r="A3423" s="6" t="s">
        <v>6434</v>
      </c>
      <c r="B3423" s="6" t="s">
        <v>6438</v>
      </c>
      <c r="C3423" s="6" t="s">
        <v>8013</v>
      </c>
    </row>
    <row r="3424" customFormat="false" ht="15" hidden="false" customHeight="true" outlineLevel="0" collapsed="false">
      <c r="A3424" s="6" t="s">
        <v>6434</v>
      </c>
      <c r="B3424" s="6" t="s">
        <v>9719</v>
      </c>
      <c r="C3424" s="6"/>
    </row>
    <row r="3425" customFormat="false" ht="15" hidden="false" customHeight="true" outlineLevel="0" collapsed="false">
      <c r="A3425" s="6" t="s">
        <v>6434</v>
      </c>
      <c r="B3425" s="6" t="s">
        <v>7828</v>
      </c>
      <c r="C3425" s="6" t="s">
        <v>8013</v>
      </c>
    </row>
    <row r="3426" customFormat="false" ht="15" hidden="false" customHeight="true" outlineLevel="0" collapsed="false">
      <c r="A3426" s="6" t="s">
        <v>6434</v>
      </c>
      <c r="B3426" s="6" t="s">
        <v>7829</v>
      </c>
      <c r="C3426" s="6" t="s">
        <v>8013</v>
      </c>
    </row>
    <row r="3427" customFormat="false" ht="15" hidden="false" customHeight="true" outlineLevel="0" collapsed="false">
      <c r="A3427" s="6" t="s">
        <v>6434</v>
      </c>
      <c r="B3427" s="6" t="s">
        <v>7827</v>
      </c>
      <c r="C3427" s="6" t="s">
        <v>8013</v>
      </c>
    </row>
    <row r="3428" customFormat="false" ht="15" hidden="false" customHeight="true" outlineLevel="0" collapsed="false">
      <c r="A3428" s="6" t="s">
        <v>6434</v>
      </c>
      <c r="B3428" s="6" t="s">
        <v>9720</v>
      </c>
      <c r="C3428" s="6"/>
    </row>
    <row r="3429" customFormat="false" ht="15" hidden="false" customHeight="true" outlineLevel="0" collapsed="false">
      <c r="A3429" s="6" t="s">
        <v>6686</v>
      </c>
      <c r="B3429" s="6" t="s">
        <v>6686</v>
      </c>
      <c r="C3429" s="6" t="s">
        <v>8013</v>
      </c>
    </row>
    <row r="3430" customFormat="false" ht="15" hidden="false" customHeight="true" outlineLevel="0" collapsed="false">
      <c r="A3430" s="6" t="s">
        <v>6686</v>
      </c>
      <c r="B3430" s="6" t="s">
        <v>9721</v>
      </c>
      <c r="C3430" s="6"/>
    </row>
    <row r="3431" customFormat="false" ht="15" hidden="false" customHeight="true" outlineLevel="0" collapsed="false">
      <c r="A3431" s="6" t="s">
        <v>6686</v>
      </c>
      <c r="B3431" s="6" t="s">
        <v>9722</v>
      </c>
      <c r="C3431" s="6"/>
    </row>
    <row r="3432" customFormat="false" ht="15" hidden="false" customHeight="true" outlineLevel="0" collapsed="false">
      <c r="A3432" s="6" t="s">
        <v>6686</v>
      </c>
      <c r="B3432" s="6" t="s">
        <v>9723</v>
      </c>
      <c r="C3432" s="6"/>
    </row>
    <row r="3433" customFormat="false" ht="15" hidden="false" customHeight="true" outlineLevel="0" collapsed="false">
      <c r="A3433" s="6" t="s">
        <v>6686</v>
      </c>
      <c r="B3433" s="6" t="s">
        <v>9724</v>
      </c>
      <c r="C3433" s="6"/>
    </row>
    <row r="3434" customFormat="false" ht="15" hidden="false" customHeight="true" outlineLevel="0" collapsed="false">
      <c r="A3434" s="6" t="s">
        <v>6686</v>
      </c>
      <c r="B3434" s="6" t="s">
        <v>9725</v>
      </c>
      <c r="C3434" s="6"/>
    </row>
    <row r="3435" customFormat="false" ht="15" hidden="false" customHeight="true" outlineLevel="0" collapsed="false">
      <c r="A3435" s="6" t="s">
        <v>6686</v>
      </c>
      <c r="B3435" s="6" t="s">
        <v>9726</v>
      </c>
      <c r="C3435" s="6"/>
    </row>
    <row r="3436" customFormat="false" ht="15" hidden="false" customHeight="true" outlineLevel="0" collapsed="false">
      <c r="A3436" s="6" t="s">
        <v>6686</v>
      </c>
      <c r="B3436" s="6" t="s">
        <v>9727</v>
      </c>
      <c r="C3436" s="6"/>
    </row>
    <row r="3437" customFormat="false" ht="15" hidden="false" customHeight="true" outlineLevel="0" collapsed="false">
      <c r="A3437" s="6" t="s">
        <v>6686</v>
      </c>
      <c r="B3437" s="6" t="s">
        <v>9728</v>
      </c>
      <c r="C3437" s="6"/>
    </row>
    <row r="3438" customFormat="false" ht="15" hidden="false" customHeight="true" outlineLevel="0" collapsed="false">
      <c r="A3438" s="6" t="s">
        <v>6686</v>
      </c>
      <c r="B3438" s="6" t="s">
        <v>9729</v>
      </c>
      <c r="C3438" s="6"/>
    </row>
    <row r="3439" customFormat="false" ht="15" hidden="false" customHeight="true" outlineLevel="0" collapsed="false">
      <c r="A3439" s="6" t="s">
        <v>6412</v>
      </c>
      <c r="B3439" s="6" t="s">
        <v>6412</v>
      </c>
      <c r="C3439" s="6" t="s">
        <v>8013</v>
      </c>
    </row>
    <row r="3440" customFormat="false" ht="15" hidden="false" customHeight="true" outlineLevel="0" collapsed="false">
      <c r="A3440" s="6" t="s">
        <v>6412</v>
      </c>
      <c r="B3440" s="6" t="s">
        <v>6416</v>
      </c>
      <c r="C3440" s="6" t="s">
        <v>8013</v>
      </c>
    </row>
    <row r="3441" customFormat="false" ht="15" hidden="false" customHeight="true" outlineLevel="0" collapsed="false">
      <c r="A3441" s="6" t="s">
        <v>6412</v>
      </c>
      <c r="B3441" s="6" t="s">
        <v>7834</v>
      </c>
      <c r="C3441" s="6" t="s">
        <v>8013</v>
      </c>
    </row>
    <row r="3442" customFormat="false" ht="15" hidden="false" customHeight="true" outlineLevel="0" collapsed="false">
      <c r="A3442" s="6" t="s">
        <v>6412</v>
      </c>
      <c r="B3442" s="6" t="s">
        <v>6415</v>
      </c>
      <c r="C3442" s="6" t="s">
        <v>8013</v>
      </c>
    </row>
    <row r="3443" customFormat="false" ht="15" hidden="false" customHeight="true" outlineLevel="0" collapsed="false">
      <c r="A3443" s="6" t="s">
        <v>6412</v>
      </c>
      <c r="B3443" s="6" t="s">
        <v>7832</v>
      </c>
      <c r="C3443" s="6" t="s">
        <v>8013</v>
      </c>
    </row>
    <row r="3444" customFormat="false" ht="15" hidden="false" customHeight="true" outlineLevel="0" collapsed="false">
      <c r="A3444" s="6" t="s">
        <v>6412</v>
      </c>
      <c r="B3444" s="6" t="s">
        <v>7833</v>
      </c>
      <c r="C3444" s="6" t="s">
        <v>8013</v>
      </c>
    </row>
    <row r="3445" customFormat="false" ht="15" hidden="false" customHeight="true" outlineLevel="0" collapsed="false">
      <c r="A3445" s="6" t="s">
        <v>6412</v>
      </c>
      <c r="B3445" s="6" t="s">
        <v>7835</v>
      </c>
      <c r="C3445" s="6" t="s">
        <v>8013</v>
      </c>
    </row>
    <row r="3446" customFormat="false" ht="15" hidden="false" customHeight="true" outlineLevel="0" collapsed="false">
      <c r="A3446" s="6" t="s">
        <v>6412</v>
      </c>
      <c r="B3446" s="6" t="s">
        <v>9730</v>
      </c>
      <c r="C3446" s="6"/>
    </row>
    <row r="3447" customFormat="false" ht="15" hidden="false" customHeight="true" outlineLevel="0" collapsed="false">
      <c r="A3447" s="6" t="s">
        <v>6412</v>
      </c>
      <c r="B3447" s="6" t="s">
        <v>9731</v>
      </c>
      <c r="C3447" s="6"/>
    </row>
    <row r="3448" customFormat="false" ht="15" hidden="false" customHeight="true" outlineLevel="0" collapsed="false">
      <c r="A3448" s="6" t="s">
        <v>6412</v>
      </c>
      <c r="B3448" s="6" t="s">
        <v>9732</v>
      </c>
      <c r="C3448" s="6"/>
    </row>
    <row r="3449" customFormat="false" ht="15" hidden="false" customHeight="true" outlineLevel="0" collapsed="false">
      <c r="A3449" s="6" t="s">
        <v>6455</v>
      </c>
      <c r="B3449" s="6" t="s">
        <v>6460</v>
      </c>
      <c r="C3449" s="6" t="s">
        <v>8013</v>
      </c>
    </row>
    <row r="3450" customFormat="false" ht="15" hidden="false" customHeight="true" outlineLevel="0" collapsed="false">
      <c r="A3450" s="6" t="s">
        <v>6455</v>
      </c>
      <c r="B3450" s="6" t="s">
        <v>9733</v>
      </c>
      <c r="C3450" s="6"/>
    </row>
    <row r="3451" customFormat="false" ht="15" hidden="false" customHeight="true" outlineLevel="0" collapsed="false">
      <c r="A3451" s="6" t="s">
        <v>6455</v>
      </c>
      <c r="B3451" s="6" t="s">
        <v>9734</v>
      </c>
      <c r="C3451" s="6"/>
    </row>
    <row r="3452" customFormat="false" ht="15" hidden="false" customHeight="true" outlineLevel="0" collapsed="false">
      <c r="A3452" s="6" t="s">
        <v>6455</v>
      </c>
      <c r="B3452" s="6" t="s">
        <v>9735</v>
      </c>
      <c r="C3452" s="6"/>
    </row>
    <row r="3453" customFormat="false" ht="15" hidden="false" customHeight="true" outlineLevel="0" collapsed="false">
      <c r="A3453" s="6" t="s">
        <v>6455</v>
      </c>
      <c r="B3453" s="6" t="s">
        <v>9736</v>
      </c>
      <c r="C3453" s="6"/>
    </row>
    <row r="3454" customFormat="false" ht="15" hidden="false" customHeight="true" outlineLevel="0" collapsed="false">
      <c r="A3454" s="6" t="s">
        <v>6691</v>
      </c>
      <c r="B3454" s="6" t="s">
        <v>6691</v>
      </c>
      <c r="C3454" s="6" t="s">
        <v>8013</v>
      </c>
    </row>
    <row r="3455" customFormat="false" ht="15" hidden="false" customHeight="true" outlineLevel="0" collapsed="false">
      <c r="A3455" s="6" t="s">
        <v>6691</v>
      </c>
      <c r="B3455" s="6" t="s">
        <v>9737</v>
      </c>
      <c r="C3455" s="6"/>
    </row>
    <row r="3456" customFormat="false" ht="15" hidden="false" customHeight="true" outlineLevel="0" collapsed="false">
      <c r="A3456" s="6" t="s">
        <v>6691</v>
      </c>
      <c r="B3456" s="6" t="s">
        <v>9738</v>
      </c>
      <c r="C3456" s="6"/>
    </row>
    <row r="3457" customFormat="false" ht="15" hidden="false" customHeight="true" outlineLevel="0" collapsed="false">
      <c r="A3457" s="6" t="s">
        <v>6691</v>
      </c>
      <c r="B3457" s="6" t="s">
        <v>9739</v>
      </c>
      <c r="C3457" s="6"/>
    </row>
    <row r="3458" customFormat="false" ht="15" hidden="false" customHeight="true" outlineLevel="0" collapsed="false">
      <c r="A3458" s="6" t="s">
        <v>6691</v>
      </c>
      <c r="B3458" s="6" t="s">
        <v>9740</v>
      </c>
      <c r="C3458" s="6"/>
    </row>
    <row r="3459" customFormat="false" ht="15" hidden="false" customHeight="true" outlineLevel="0" collapsed="false">
      <c r="A3459" s="6" t="s">
        <v>6691</v>
      </c>
      <c r="B3459" s="6" t="s">
        <v>9741</v>
      </c>
      <c r="C3459" s="6"/>
    </row>
    <row r="3460" customFormat="false" ht="15" hidden="false" customHeight="true" outlineLevel="0" collapsed="false">
      <c r="A3460" s="6" t="s">
        <v>6691</v>
      </c>
      <c r="B3460" s="6" t="s">
        <v>9742</v>
      </c>
      <c r="C3460" s="6"/>
    </row>
    <row r="3461" customFormat="false" ht="15" hidden="false" customHeight="true" outlineLevel="0" collapsed="false">
      <c r="A3461" s="6" t="s">
        <v>6691</v>
      </c>
      <c r="B3461" s="6" t="s">
        <v>9743</v>
      </c>
      <c r="C3461" s="6"/>
    </row>
    <row r="3462" customFormat="false" ht="15" hidden="false" customHeight="true" outlineLevel="0" collapsed="false">
      <c r="A3462" s="6" t="s">
        <v>6691</v>
      </c>
      <c r="B3462" s="6" t="s">
        <v>9744</v>
      </c>
      <c r="C3462" s="6"/>
    </row>
    <row r="3463" customFormat="false" ht="15" hidden="false" customHeight="true" outlineLevel="0" collapsed="false">
      <c r="A3463" s="6" t="s">
        <v>6691</v>
      </c>
      <c r="B3463" s="6" t="s">
        <v>9745</v>
      </c>
      <c r="C3463" s="6"/>
    </row>
    <row r="3464" customFormat="false" ht="15" hidden="false" customHeight="true" outlineLevel="0" collapsed="false">
      <c r="A3464" s="6" t="s">
        <v>295</v>
      </c>
      <c r="B3464" s="6" t="s">
        <v>295</v>
      </c>
      <c r="C3464" s="6" t="s">
        <v>8013</v>
      </c>
    </row>
    <row r="3465" customFormat="false" ht="15" hidden="false" customHeight="true" outlineLevel="0" collapsed="false">
      <c r="A3465" s="6" t="s">
        <v>295</v>
      </c>
      <c r="B3465" s="6" t="s">
        <v>298</v>
      </c>
      <c r="C3465" s="6" t="s">
        <v>8013</v>
      </c>
    </row>
    <row r="3466" customFormat="false" ht="15" hidden="false" customHeight="true" outlineLevel="0" collapsed="false">
      <c r="A3466" s="6" t="s">
        <v>295</v>
      </c>
      <c r="B3466" s="6" t="s">
        <v>302</v>
      </c>
      <c r="C3466" s="6" t="s">
        <v>8013</v>
      </c>
    </row>
    <row r="3467" customFormat="false" ht="15" hidden="false" customHeight="true" outlineLevel="0" collapsed="false">
      <c r="A3467" s="6" t="s">
        <v>295</v>
      </c>
      <c r="B3467" s="6" t="s">
        <v>311</v>
      </c>
      <c r="C3467" s="6" t="s">
        <v>8013</v>
      </c>
    </row>
    <row r="3468" customFormat="false" ht="15" hidden="false" customHeight="true" outlineLevel="0" collapsed="false">
      <c r="A3468" s="6" t="s">
        <v>295</v>
      </c>
      <c r="B3468" s="6" t="s">
        <v>308</v>
      </c>
      <c r="C3468" s="6" t="s">
        <v>8013</v>
      </c>
    </row>
    <row r="3469" customFormat="false" ht="15" hidden="false" customHeight="true" outlineLevel="0" collapsed="false">
      <c r="A3469" s="6" t="s">
        <v>295</v>
      </c>
      <c r="B3469" s="6" t="s">
        <v>6832</v>
      </c>
      <c r="C3469" s="6" t="s">
        <v>8013</v>
      </c>
    </row>
    <row r="3470" customFormat="false" ht="15" hidden="false" customHeight="true" outlineLevel="0" collapsed="false">
      <c r="A3470" s="6" t="s">
        <v>295</v>
      </c>
      <c r="B3470" s="6" t="s">
        <v>6809</v>
      </c>
      <c r="C3470" s="6" t="s">
        <v>8013</v>
      </c>
    </row>
    <row r="3471" customFormat="false" ht="15" hidden="false" customHeight="true" outlineLevel="0" collapsed="false">
      <c r="A3471" s="6" t="s">
        <v>295</v>
      </c>
      <c r="B3471" s="6" t="s">
        <v>1477</v>
      </c>
      <c r="C3471" s="6" t="s">
        <v>8013</v>
      </c>
    </row>
    <row r="3472" customFormat="false" ht="15" hidden="false" customHeight="true" outlineLevel="0" collapsed="false">
      <c r="A3472" s="6" t="s">
        <v>295</v>
      </c>
      <c r="B3472" s="6" t="s">
        <v>6801</v>
      </c>
      <c r="C3472" s="6" t="s">
        <v>8013</v>
      </c>
    </row>
    <row r="3473" customFormat="false" ht="15" hidden="false" customHeight="true" outlineLevel="0" collapsed="false">
      <c r="A3473" s="6" t="s">
        <v>295</v>
      </c>
      <c r="B3473" s="6" t="s">
        <v>1526</v>
      </c>
      <c r="C3473" s="6" t="s">
        <v>8013</v>
      </c>
    </row>
    <row r="3474" customFormat="false" ht="15" hidden="false" customHeight="true" outlineLevel="0" collapsed="false">
      <c r="A3474" s="6" t="s">
        <v>1573</v>
      </c>
      <c r="B3474" s="6" t="s">
        <v>1573</v>
      </c>
      <c r="C3474" s="6" t="s">
        <v>8013</v>
      </c>
    </row>
    <row r="3475" customFormat="false" ht="15" hidden="false" customHeight="true" outlineLevel="0" collapsed="false">
      <c r="A3475" s="6" t="s">
        <v>1573</v>
      </c>
      <c r="B3475" s="6" t="s">
        <v>9746</v>
      </c>
      <c r="C3475" s="6"/>
    </row>
    <row r="3476" customFormat="false" ht="15" hidden="false" customHeight="true" outlineLevel="0" collapsed="false">
      <c r="A3476" s="6" t="s">
        <v>1573</v>
      </c>
      <c r="B3476" s="6" t="s">
        <v>7840</v>
      </c>
      <c r="C3476" s="6" t="s">
        <v>8013</v>
      </c>
    </row>
    <row r="3477" customFormat="false" ht="15" hidden="false" customHeight="true" outlineLevel="0" collapsed="false">
      <c r="A3477" s="6" t="s">
        <v>1573</v>
      </c>
      <c r="B3477" s="6" t="s">
        <v>7839</v>
      </c>
      <c r="C3477" s="6" t="s">
        <v>8013</v>
      </c>
    </row>
    <row r="3478" customFormat="false" ht="15" hidden="false" customHeight="true" outlineLevel="0" collapsed="false">
      <c r="A3478" s="6" t="s">
        <v>1573</v>
      </c>
      <c r="B3478" s="6" t="s">
        <v>7836</v>
      </c>
      <c r="C3478" s="6" t="s">
        <v>8013</v>
      </c>
    </row>
    <row r="3479" customFormat="false" ht="15" hidden="false" customHeight="true" outlineLevel="0" collapsed="false">
      <c r="A3479" s="6" t="s">
        <v>1573</v>
      </c>
      <c r="B3479" s="6" t="s">
        <v>1576</v>
      </c>
      <c r="C3479" s="6" t="s">
        <v>8013</v>
      </c>
    </row>
    <row r="3480" customFormat="false" ht="15" hidden="false" customHeight="true" outlineLevel="0" collapsed="false">
      <c r="A3480" s="6" t="s">
        <v>1573</v>
      </c>
      <c r="B3480" s="6" t="s">
        <v>9747</v>
      </c>
      <c r="C3480" s="6"/>
    </row>
    <row r="3481" customFormat="false" ht="15" hidden="false" customHeight="true" outlineLevel="0" collapsed="false">
      <c r="A3481" s="6" t="s">
        <v>1573</v>
      </c>
      <c r="B3481" s="6" t="s">
        <v>7837</v>
      </c>
      <c r="C3481" s="6" t="s">
        <v>8013</v>
      </c>
    </row>
    <row r="3482" customFormat="false" ht="15" hidden="false" customHeight="true" outlineLevel="0" collapsed="false">
      <c r="A3482" s="6" t="s">
        <v>1573</v>
      </c>
      <c r="B3482" s="6" t="s">
        <v>9748</v>
      </c>
      <c r="C3482" s="6"/>
    </row>
    <row r="3483" customFormat="false" ht="15" hidden="false" customHeight="true" outlineLevel="0" collapsed="false">
      <c r="A3483" s="6" t="s">
        <v>1573</v>
      </c>
      <c r="B3483" s="6" t="s">
        <v>7838</v>
      </c>
      <c r="C3483" s="6" t="s">
        <v>8013</v>
      </c>
    </row>
    <row r="3484" customFormat="false" ht="15" hidden="false" customHeight="true" outlineLevel="0" collapsed="false">
      <c r="A3484" s="6" t="s">
        <v>1580</v>
      </c>
      <c r="B3484" s="6" t="s">
        <v>1580</v>
      </c>
      <c r="C3484" s="6" t="s">
        <v>8013</v>
      </c>
    </row>
    <row r="3485" customFormat="false" ht="15" hidden="false" customHeight="true" outlineLevel="0" collapsed="false">
      <c r="A3485" s="6" t="s">
        <v>1580</v>
      </c>
      <c r="B3485" s="6" t="s">
        <v>7841</v>
      </c>
      <c r="C3485" s="6" t="s">
        <v>8013</v>
      </c>
    </row>
    <row r="3486" customFormat="false" ht="15" hidden="false" customHeight="true" outlineLevel="0" collapsed="false">
      <c r="A3486" s="6" t="s">
        <v>1580</v>
      </c>
      <c r="B3486" s="6" t="s">
        <v>9749</v>
      </c>
      <c r="C3486" s="6"/>
    </row>
    <row r="3487" customFormat="false" ht="15" hidden="false" customHeight="true" outlineLevel="0" collapsed="false">
      <c r="A3487" s="6" t="s">
        <v>1580</v>
      </c>
      <c r="B3487" s="6" t="s">
        <v>7842</v>
      </c>
      <c r="C3487" s="6" t="s">
        <v>8013</v>
      </c>
    </row>
    <row r="3488" customFormat="false" ht="15" hidden="false" customHeight="true" outlineLevel="0" collapsed="false">
      <c r="A3488" s="6" t="s">
        <v>1580</v>
      </c>
      <c r="B3488" s="6" t="s">
        <v>9750</v>
      </c>
      <c r="C3488" s="6"/>
    </row>
    <row r="3489" customFormat="false" ht="15" hidden="false" customHeight="true" outlineLevel="0" collapsed="false">
      <c r="A3489" s="6" t="s">
        <v>1580</v>
      </c>
      <c r="B3489" s="6" t="s">
        <v>9751</v>
      </c>
      <c r="C3489" s="6"/>
    </row>
    <row r="3490" customFormat="false" ht="15" hidden="false" customHeight="true" outlineLevel="0" collapsed="false">
      <c r="A3490" s="6" t="s">
        <v>1588</v>
      </c>
      <c r="B3490" s="6" t="s">
        <v>1588</v>
      </c>
      <c r="C3490" s="6" t="s">
        <v>8013</v>
      </c>
    </row>
    <row r="3491" customFormat="false" ht="15" hidden="false" customHeight="true" outlineLevel="0" collapsed="false">
      <c r="A3491" s="6" t="s">
        <v>1588</v>
      </c>
      <c r="B3491" s="6" t="s">
        <v>7844</v>
      </c>
      <c r="C3491" s="6" t="s">
        <v>8013</v>
      </c>
    </row>
    <row r="3492" customFormat="false" ht="15" hidden="false" customHeight="true" outlineLevel="0" collapsed="false">
      <c r="A3492" s="6" t="s">
        <v>1588</v>
      </c>
      <c r="B3492" s="6" t="s">
        <v>9752</v>
      </c>
      <c r="C3492" s="6"/>
    </row>
    <row r="3493" customFormat="false" ht="15" hidden="false" customHeight="true" outlineLevel="0" collapsed="false">
      <c r="A3493" s="6" t="s">
        <v>1588</v>
      </c>
      <c r="B3493" s="6" t="s">
        <v>7843</v>
      </c>
      <c r="C3493" s="6" t="s">
        <v>8013</v>
      </c>
    </row>
    <row r="3494" customFormat="false" ht="15" hidden="false" customHeight="true" outlineLevel="0" collapsed="false">
      <c r="A3494" s="6" t="s">
        <v>1588</v>
      </c>
      <c r="B3494" s="6" t="s">
        <v>9753</v>
      </c>
      <c r="C3494" s="6"/>
    </row>
    <row r="3495" customFormat="false" ht="15" hidden="false" customHeight="true" outlineLevel="0" collapsed="false">
      <c r="A3495" s="6" t="s">
        <v>1588</v>
      </c>
      <c r="B3495" s="6" t="s">
        <v>7562</v>
      </c>
      <c r="C3495" s="6" t="s">
        <v>8013</v>
      </c>
    </row>
    <row r="3496" customFormat="false" ht="15" hidden="false" customHeight="true" outlineLevel="0" collapsed="false">
      <c r="A3496" s="6" t="s">
        <v>1588</v>
      </c>
      <c r="B3496" s="6" t="s">
        <v>9754</v>
      </c>
      <c r="C3496" s="6"/>
    </row>
    <row r="3497" customFormat="false" ht="15" hidden="false" customHeight="true" outlineLevel="0" collapsed="false">
      <c r="A3497" s="6" t="s">
        <v>1588</v>
      </c>
      <c r="B3497" s="6" t="s">
        <v>9755</v>
      </c>
      <c r="C3497" s="6"/>
    </row>
    <row r="3498" customFormat="false" ht="15" hidden="false" customHeight="true" outlineLevel="0" collapsed="false">
      <c r="A3498" s="6" t="s">
        <v>1588</v>
      </c>
      <c r="B3498" s="6" t="s">
        <v>9756</v>
      </c>
      <c r="C3498" s="6"/>
    </row>
    <row r="3499" customFormat="false" ht="15" hidden="false" customHeight="true" outlineLevel="0" collapsed="false">
      <c r="A3499" s="6" t="s">
        <v>1588</v>
      </c>
      <c r="B3499" s="6" t="s">
        <v>9757</v>
      </c>
      <c r="C3499" s="6"/>
    </row>
    <row r="3500" customFormat="false" ht="15" hidden="false" customHeight="true" outlineLevel="0" collapsed="false">
      <c r="A3500" s="6" t="s">
        <v>1596</v>
      </c>
      <c r="B3500" s="6" t="s">
        <v>1596</v>
      </c>
      <c r="C3500" s="6" t="s">
        <v>8013</v>
      </c>
    </row>
    <row r="3501" customFormat="false" ht="15" hidden="false" customHeight="true" outlineLevel="0" collapsed="false">
      <c r="A3501" s="6" t="s">
        <v>1596</v>
      </c>
      <c r="B3501" s="6" t="s">
        <v>568</v>
      </c>
      <c r="C3501" s="6" t="s">
        <v>8013</v>
      </c>
    </row>
    <row r="3502" customFormat="false" ht="15" hidden="false" customHeight="true" outlineLevel="0" collapsed="false">
      <c r="A3502" s="6" t="s">
        <v>1596</v>
      </c>
      <c r="B3502" s="6" t="s">
        <v>9758</v>
      </c>
      <c r="C3502" s="6"/>
    </row>
    <row r="3503" customFormat="false" ht="15" hidden="false" customHeight="true" outlineLevel="0" collapsed="false">
      <c r="A3503" s="6" t="s">
        <v>1596</v>
      </c>
      <c r="B3503" s="6" t="s">
        <v>9759</v>
      </c>
      <c r="C3503" s="6"/>
    </row>
    <row r="3504" customFormat="false" ht="15" hidden="false" customHeight="true" outlineLevel="0" collapsed="false">
      <c r="A3504" s="6" t="s">
        <v>1596</v>
      </c>
      <c r="B3504" s="6" t="s">
        <v>9760</v>
      </c>
      <c r="C3504" s="6"/>
    </row>
    <row r="3505" customFormat="false" ht="15" hidden="false" customHeight="true" outlineLevel="0" collapsed="false">
      <c r="A3505" s="6" t="s">
        <v>1596</v>
      </c>
      <c r="B3505" s="6" t="s">
        <v>9761</v>
      </c>
      <c r="C3505" s="6"/>
    </row>
    <row r="3506" customFormat="false" ht="15" hidden="false" customHeight="true" outlineLevel="0" collapsed="false">
      <c r="A3506" s="6" t="s">
        <v>1596</v>
      </c>
      <c r="B3506" s="6" t="s">
        <v>9762</v>
      </c>
      <c r="C3506" s="6"/>
    </row>
    <row r="3507" customFormat="false" ht="15" hidden="false" customHeight="true" outlineLevel="0" collapsed="false">
      <c r="A3507" s="6" t="s">
        <v>1596</v>
      </c>
      <c r="B3507" s="6" t="s">
        <v>9763</v>
      </c>
      <c r="C3507" s="6"/>
    </row>
    <row r="3508" customFormat="false" ht="15" hidden="false" customHeight="true" outlineLevel="0" collapsed="false">
      <c r="A3508" s="6" t="s">
        <v>1596</v>
      </c>
      <c r="B3508" s="6" t="s">
        <v>9764</v>
      </c>
      <c r="C3508" s="6"/>
    </row>
    <row r="3509" customFormat="false" ht="15" hidden="false" customHeight="true" outlineLevel="0" collapsed="false">
      <c r="A3509" s="6" t="s">
        <v>1596</v>
      </c>
      <c r="B3509" s="6" t="s">
        <v>9765</v>
      </c>
      <c r="C3509" s="6"/>
    </row>
    <row r="3510" customFormat="false" ht="15" hidden="false" customHeight="true" outlineLevel="0" collapsed="false">
      <c r="A3510" s="6" t="s">
        <v>1603</v>
      </c>
      <c r="B3510" s="6" t="s">
        <v>9766</v>
      </c>
      <c r="C3510" s="6"/>
    </row>
    <row r="3511" customFormat="false" ht="15" hidden="false" customHeight="true" outlineLevel="0" collapsed="false">
      <c r="A3511" s="6" t="s">
        <v>1603</v>
      </c>
      <c r="B3511" s="6" t="s">
        <v>9767</v>
      </c>
      <c r="C3511" s="6"/>
    </row>
    <row r="3512" customFormat="false" ht="15" hidden="false" customHeight="true" outlineLevel="0" collapsed="false">
      <c r="A3512" s="6" t="s">
        <v>1603</v>
      </c>
      <c r="B3512" s="6" t="s">
        <v>9768</v>
      </c>
      <c r="C3512" s="6"/>
    </row>
    <row r="3513" customFormat="false" ht="15" hidden="false" customHeight="true" outlineLevel="0" collapsed="false">
      <c r="A3513" s="6" t="s">
        <v>1512</v>
      </c>
      <c r="B3513" s="6" t="s">
        <v>9769</v>
      </c>
      <c r="C3513" s="6"/>
    </row>
    <row r="3514" customFormat="false" ht="15" hidden="false" customHeight="true" outlineLevel="0" collapsed="false">
      <c r="A3514" s="6" t="s">
        <v>1512</v>
      </c>
      <c r="B3514" s="6" t="s">
        <v>7860</v>
      </c>
      <c r="C3514" s="6" t="s">
        <v>8013</v>
      </c>
    </row>
    <row r="3515" customFormat="false" ht="15" hidden="false" customHeight="true" outlineLevel="0" collapsed="false">
      <c r="A3515" s="6" t="s">
        <v>1512</v>
      </c>
      <c r="B3515" s="6" t="s">
        <v>9770</v>
      </c>
      <c r="C3515" s="6"/>
    </row>
    <row r="3516" customFormat="false" ht="15" hidden="false" customHeight="true" outlineLevel="0" collapsed="false">
      <c r="A3516" s="6" t="s">
        <v>1453</v>
      </c>
      <c r="B3516" s="6" t="s">
        <v>9771</v>
      </c>
      <c r="C3516" s="6"/>
    </row>
    <row r="3517" customFormat="false" ht="15" hidden="false" customHeight="true" outlineLevel="0" collapsed="false">
      <c r="A3517" s="6" t="s">
        <v>1453</v>
      </c>
      <c r="B3517" s="6" t="s">
        <v>7860</v>
      </c>
      <c r="C3517" s="6" t="s">
        <v>8013</v>
      </c>
    </row>
    <row r="3518" customFormat="false" ht="15" hidden="false" customHeight="true" outlineLevel="0" collapsed="false">
      <c r="A3518" s="6" t="s">
        <v>1616</v>
      </c>
      <c r="B3518" s="6" t="s">
        <v>1616</v>
      </c>
      <c r="C3518" s="6" t="s">
        <v>8013</v>
      </c>
    </row>
    <row r="3519" customFormat="false" ht="15" hidden="false" customHeight="true" outlineLevel="0" collapsed="false">
      <c r="A3519" s="6" t="s">
        <v>1729</v>
      </c>
      <c r="B3519" s="6" t="s">
        <v>1729</v>
      </c>
      <c r="C3519" s="6" t="s">
        <v>8013</v>
      </c>
    </row>
    <row r="3520" customFormat="false" ht="15" hidden="false" customHeight="true" outlineLevel="0" collapsed="false">
      <c r="A3520" s="6" t="s">
        <v>1729</v>
      </c>
      <c r="B3520" s="6" t="s">
        <v>7846</v>
      </c>
      <c r="C3520" s="6" t="s">
        <v>8013</v>
      </c>
    </row>
    <row r="3521" customFormat="false" ht="15" hidden="false" customHeight="true" outlineLevel="0" collapsed="false">
      <c r="A3521" s="6" t="s">
        <v>1729</v>
      </c>
      <c r="B3521" s="6" t="s">
        <v>7874</v>
      </c>
      <c r="C3521" s="6" t="s">
        <v>8013</v>
      </c>
    </row>
    <row r="3522" customFormat="false" ht="15" hidden="false" customHeight="true" outlineLevel="0" collapsed="false">
      <c r="A3522" s="6" t="s">
        <v>1729</v>
      </c>
      <c r="B3522" s="6" t="s">
        <v>7876</v>
      </c>
      <c r="C3522" s="6" t="s">
        <v>8013</v>
      </c>
    </row>
    <row r="3523" customFormat="false" ht="15" hidden="false" customHeight="true" outlineLevel="0" collapsed="false">
      <c r="A3523" s="6" t="s">
        <v>1519</v>
      </c>
      <c r="B3523" s="6" t="s">
        <v>1519</v>
      </c>
      <c r="C3523" s="6" t="s">
        <v>8013</v>
      </c>
    </row>
    <row r="3524" customFormat="false" ht="15" hidden="false" customHeight="true" outlineLevel="0" collapsed="false">
      <c r="A3524" s="6" t="s">
        <v>1519</v>
      </c>
      <c r="B3524" s="6" t="s">
        <v>7848</v>
      </c>
      <c r="C3524" s="6" t="s">
        <v>8013</v>
      </c>
    </row>
    <row r="3525" customFormat="false" ht="15" hidden="false" customHeight="true" outlineLevel="0" collapsed="false">
      <c r="A3525" s="6" t="s">
        <v>1519</v>
      </c>
      <c r="B3525" s="6" t="s">
        <v>7847</v>
      </c>
      <c r="C3525" s="6" t="s">
        <v>8013</v>
      </c>
    </row>
    <row r="3526" customFormat="false" ht="15" hidden="false" customHeight="true" outlineLevel="0" collapsed="false">
      <c r="A3526" s="6" t="s">
        <v>1519</v>
      </c>
      <c r="B3526" s="6" t="s">
        <v>9772</v>
      </c>
      <c r="C3526" s="6"/>
    </row>
    <row r="3527" customFormat="false" ht="15" hidden="false" customHeight="true" outlineLevel="0" collapsed="false">
      <c r="A3527" s="6" t="s">
        <v>1519</v>
      </c>
      <c r="B3527" s="6" t="s">
        <v>7563</v>
      </c>
      <c r="C3527" s="6" t="s">
        <v>8013</v>
      </c>
    </row>
    <row r="3528" customFormat="false" ht="15" hidden="false" customHeight="true" outlineLevel="0" collapsed="false">
      <c r="A3528" s="6" t="s">
        <v>1519</v>
      </c>
      <c r="B3528" s="6" t="s">
        <v>9773</v>
      </c>
      <c r="C3528" s="6"/>
    </row>
    <row r="3529" customFormat="false" ht="15" hidden="false" customHeight="true" outlineLevel="0" collapsed="false">
      <c r="A3529" s="6" t="s">
        <v>1519</v>
      </c>
      <c r="B3529" s="6" t="s">
        <v>7845</v>
      </c>
      <c r="C3529" s="6" t="s">
        <v>8013</v>
      </c>
    </row>
    <row r="3530" customFormat="false" ht="15" hidden="false" customHeight="true" outlineLevel="0" collapsed="false">
      <c r="A3530" s="6" t="s">
        <v>1519</v>
      </c>
      <c r="B3530" s="6" t="s">
        <v>7565</v>
      </c>
      <c r="C3530" s="6" t="s">
        <v>8013</v>
      </c>
    </row>
    <row r="3531" customFormat="false" ht="15" hidden="false" customHeight="true" outlineLevel="0" collapsed="false">
      <c r="A3531" s="6" t="s">
        <v>1519</v>
      </c>
      <c r="B3531" s="6" t="s">
        <v>9774</v>
      </c>
      <c r="C3531" s="6"/>
    </row>
    <row r="3532" customFormat="false" ht="15" hidden="false" customHeight="true" outlineLevel="0" collapsed="false">
      <c r="A3532" s="6" t="s">
        <v>1519</v>
      </c>
      <c r="B3532" s="6" t="s">
        <v>9775</v>
      </c>
      <c r="C3532" s="6"/>
    </row>
    <row r="3533" customFormat="false" ht="15" hidden="false" customHeight="true" outlineLevel="0" collapsed="false">
      <c r="A3533" s="6" t="s">
        <v>1839</v>
      </c>
      <c r="B3533" s="6" t="s">
        <v>1839</v>
      </c>
      <c r="C3533" s="6" t="s">
        <v>8013</v>
      </c>
    </row>
    <row r="3534" customFormat="false" ht="15" hidden="false" customHeight="true" outlineLevel="0" collapsed="false">
      <c r="A3534" s="6" t="s">
        <v>1839</v>
      </c>
      <c r="B3534" s="6" t="s">
        <v>9776</v>
      </c>
      <c r="C3534" s="6"/>
    </row>
    <row r="3535" customFormat="false" ht="15" hidden="false" customHeight="true" outlineLevel="0" collapsed="false">
      <c r="A3535" s="6" t="s">
        <v>1839</v>
      </c>
      <c r="B3535" s="6" t="s">
        <v>9777</v>
      </c>
      <c r="C3535" s="6"/>
    </row>
    <row r="3536" customFormat="false" ht="15" hidden="false" customHeight="true" outlineLevel="0" collapsed="false">
      <c r="A3536" s="6" t="s">
        <v>1839</v>
      </c>
      <c r="B3536" s="6" t="s">
        <v>9778</v>
      </c>
      <c r="C3536" s="6"/>
    </row>
    <row r="3537" customFormat="false" ht="15" hidden="false" customHeight="true" outlineLevel="0" collapsed="false">
      <c r="A3537" s="6" t="s">
        <v>1716</v>
      </c>
      <c r="B3537" s="6" t="s">
        <v>9779</v>
      </c>
      <c r="C3537" s="6"/>
    </row>
    <row r="3538" customFormat="false" ht="15" hidden="false" customHeight="true" outlineLevel="0" collapsed="false">
      <c r="A3538" s="6" t="s">
        <v>1716</v>
      </c>
      <c r="B3538" s="6" t="s">
        <v>7876</v>
      </c>
      <c r="C3538" s="6" t="s">
        <v>8013</v>
      </c>
    </row>
    <row r="3539" customFormat="false" ht="15" hidden="false" customHeight="true" outlineLevel="0" collapsed="false">
      <c r="A3539" s="6" t="s">
        <v>1716</v>
      </c>
      <c r="B3539" s="6" t="s">
        <v>7874</v>
      </c>
      <c r="C3539" s="6" t="s">
        <v>8013</v>
      </c>
    </row>
    <row r="3540" customFormat="false" ht="15" hidden="false" customHeight="true" outlineLevel="0" collapsed="false">
      <c r="A3540" s="6" t="s">
        <v>1716</v>
      </c>
      <c r="B3540" s="6" t="s">
        <v>7871</v>
      </c>
      <c r="C3540" s="6" t="s">
        <v>8013</v>
      </c>
    </row>
    <row r="3541" customFormat="false" ht="15" hidden="false" customHeight="true" outlineLevel="0" collapsed="false">
      <c r="A3541" s="6" t="s">
        <v>1716</v>
      </c>
      <c r="B3541" s="6" t="s">
        <v>7864</v>
      </c>
      <c r="C3541" s="6" t="s">
        <v>8013</v>
      </c>
    </row>
    <row r="3542" customFormat="false" ht="15" hidden="false" customHeight="true" outlineLevel="0" collapsed="false">
      <c r="A3542" s="6" t="s">
        <v>1640</v>
      </c>
      <c r="B3542" s="6" t="s">
        <v>1640</v>
      </c>
      <c r="C3542" s="6" t="s">
        <v>8013</v>
      </c>
    </row>
    <row r="3543" customFormat="false" ht="15" hidden="false" customHeight="true" outlineLevel="0" collapsed="false">
      <c r="A3543" s="6" t="s">
        <v>1640</v>
      </c>
      <c r="B3543" s="6" t="s">
        <v>7850</v>
      </c>
      <c r="C3543" s="6" t="s">
        <v>8013</v>
      </c>
    </row>
    <row r="3544" customFormat="false" ht="15" hidden="false" customHeight="true" outlineLevel="0" collapsed="false">
      <c r="A3544" s="6" t="s">
        <v>1640</v>
      </c>
      <c r="B3544" s="6" t="s">
        <v>9780</v>
      </c>
      <c r="C3544" s="6"/>
    </row>
    <row r="3545" customFormat="false" ht="15" hidden="false" customHeight="true" outlineLevel="0" collapsed="false">
      <c r="A3545" s="6" t="s">
        <v>1640</v>
      </c>
      <c r="B3545" s="6" t="s">
        <v>1643</v>
      </c>
      <c r="C3545" s="6" t="s">
        <v>8013</v>
      </c>
    </row>
    <row r="3546" customFormat="false" ht="15" hidden="false" customHeight="true" outlineLevel="0" collapsed="false">
      <c r="A3546" s="6" t="s">
        <v>1640</v>
      </c>
      <c r="B3546" s="6" t="s">
        <v>9781</v>
      </c>
      <c r="C3546" s="6"/>
    </row>
    <row r="3547" customFormat="false" ht="15" hidden="false" customHeight="true" outlineLevel="0" collapsed="false">
      <c r="A3547" s="6" t="s">
        <v>1640</v>
      </c>
      <c r="B3547" s="6" t="s">
        <v>7849</v>
      </c>
      <c r="C3547" s="6" t="s">
        <v>8013</v>
      </c>
    </row>
    <row r="3548" customFormat="false" ht="15" hidden="false" customHeight="true" outlineLevel="0" collapsed="false">
      <c r="A3548" s="6" t="s">
        <v>1640</v>
      </c>
      <c r="B3548" s="6" t="s">
        <v>9782</v>
      </c>
      <c r="C3548" s="6"/>
    </row>
    <row r="3549" customFormat="false" ht="15" hidden="false" customHeight="true" outlineLevel="0" collapsed="false">
      <c r="A3549" s="6" t="s">
        <v>1640</v>
      </c>
      <c r="B3549" s="6" t="s">
        <v>9783</v>
      </c>
      <c r="C3549" s="6"/>
    </row>
    <row r="3550" customFormat="false" ht="15" hidden="false" customHeight="true" outlineLevel="0" collapsed="false">
      <c r="A3550" s="6" t="s">
        <v>1640</v>
      </c>
      <c r="B3550" s="6" t="s">
        <v>9784</v>
      </c>
      <c r="C3550" s="6"/>
    </row>
    <row r="3551" customFormat="false" ht="15" hidden="false" customHeight="true" outlineLevel="0" collapsed="false">
      <c r="A3551" s="6" t="s">
        <v>1640</v>
      </c>
      <c r="B3551" s="6" t="s">
        <v>9785</v>
      </c>
      <c r="C3551" s="6"/>
    </row>
    <row r="3552" customFormat="false" ht="15" hidden="false" customHeight="true" outlineLevel="0" collapsed="false">
      <c r="A3552" s="6" t="s">
        <v>1498</v>
      </c>
      <c r="B3552" s="6" t="s">
        <v>1498</v>
      </c>
      <c r="C3552" s="6" t="s">
        <v>8013</v>
      </c>
    </row>
    <row r="3553" customFormat="false" ht="15" hidden="false" customHeight="true" outlineLevel="0" collapsed="false">
      <c r="A3553" s="6" t="s">
        <v>1498</v>
      </c>
      <c r="B3553" s="6" t="s">
        <v>7854</v>
      </c>
      <c r="C3553" s="6" t="s">
        <v>8013</v>
      </c>
    </row>
    <row r="3554" customFormat="false" ht="15" hidden="false" customHeight="true" outlineLevel="0" collapsed="false">
      <c r="A3554" s="6" t="s">
        <v>1498</v>
      </c>
      <c r="B3554" s="6" t="s">
        <v>7853</v>
      </c>
      <c r="C3554" s="6" t="s">
        <v>8013</v>
      </c>
    </row>
    <row r="3555" customFormat="false" ht="15" hidden="false" customHeight="true" outlineLevel="0" collapsed="false">
      <c r="A3555" s="6" t="s">
        <v>1498</v>
      </c>
      <c r="B3555" s="6" t="s">
        <v>7852</v>
      </c>
      <c r="C3555" s="6" t="s">
        <v>8013</v>
      </c>
    </row>
    <row r="3556" customFormat="false" ht="15" hidden="false" customHeight="true" outlineLevel="0" collapsed="false">
      <c r="A3556" s="6" t="s">
        <v>1498</v>
      </c>
      <c r="B3556" s="6" t="s">
        <v>7851</v>
      </c>
      <c r="C3556" s="6" t="s">
        <v>8013</v>
      </c>
    </row>
    <row r="3557" customFormat="false" ht="15" hidden="false" customHeight="true" outlineLevel="0" collapsed="false">
      <c r="A3557" s="6" t="s">
        <v>1498</v>
      </c>
      <c r="B3557" s="6" t="s">
        <v>7858</v>
      </c>
      <c r="C3557" s="6" t="s">
        <v>8013</v>
      </c>
    </row>
    <row r="3558" customFormat="false" ht="15" hidden="false" customHeight="true" outlineLevel="0" collapsed="false">
      <c r="A3558" s="6" t="s">
        <v>1498</v>
      </c>
      <c r="B3558" s="6" t="s">
        <v>7860</v>
      </c>
      <c r="C3558" s="6" t="s">
        <v>8013</v>
      </c>
    </row>
    <row r="3559" customFormat="false" ht="15" hidden="false" customHeight="true" outlineLevel="0" collapsed="false">
      <c r="A3559" s="6" t="s">
        <v>1498</v>
      </c>
      <c r="B3559" s="6" t="s">
        <v>9786</v>
      </c>
      <c r="C3559" s="6"/>
    </row>
    <row r="3560" customFormat="false" ht="15" hidden="false" customHeight="true" outlineLevel="0" collapsed="false">
      <c r="A3560" s="6" t="s">
        <v>1498</v>
      </c>
      <c r="B3560" s="6" t="s">
        <v>9787</v>
      </c>
      <c r="C3560" s="6"/>
    </row>
    <row r="3561" customFormat="false" ht="15" hidden="false" customHeight="true" outlineLevel="0" collapsed="false">
      <c r="A3561" s="6" t="s">
        <v>1647</v>
      </c>
      <c r="B3561" s="6" t="s">
        <v>1647</v>
      </c>
      <c r="C3561" s="6" t="s">
        <v>8013</v>
      </c>
    </row>
    <row r="3562" customFormat="false" ht="15" hidden="false" customHeight="true" outlineLevel="0" collapsed="false">
      <c r="A3562" s="6" t="s">
        <v>1647</v>
      </c>
      <c r="B3562" s="6" t="s">
        <v>7856</v>
      </c>
      <c r="C3562" s="6" t="s">
        <v>8013</v>
      </c>
    </row>
    <row r="3563" customFormat="false" ht="15" hidden="false" customHeight="true" outlineLevel="0" collapsed="false">
      <c r="A3563" s="6" t="s">
        <v>1647</v>
      </c>
      <c r="B3563" s="6" t="s">
        <v>7855</v>
      </c>
      <c r="C3563" s="6" t="s">
        <v>8013</v>
      </c>
    </row>
    <row r="3564" customFormat="false" ht="15" hidden="false" customHeight="true" outlineLevel="0" collapsed="false">
      <c r="A3564" s="6" t="s">
        <v>1647</v>
      </c>
      <c r="B3564" s="6" t="s">
        <v>7564</v>
      </c>
      <c r="C3564" s="6" t="s">
        <v>8013</v>
      </c>
    </row>
    <row r="3565" customFormat="false" ht="15" hidden="false" customHeight="true" outlineLevel="0" collapsed="false">
      <c r="A3565" s="6" t="s">
        <v>1647</v>
      </c>
      <c r="B3565" s="6" t="s">
        <v>9788</v>
      </c>
      <c r="C3565" s="6"/>
    </row>
    <row r="3566" customFormat="false" ht="15" hidden="false" customHeight="true" outlineLevel="0" collapsed="false">
      <c r="A3566" s="6" t="s">
        <v>1647</v>
      </c>
      <c r="B3566" s="6" t="s">
        <v>7858</v>
      </c>
      <c r="C3566" s="6" t="s">
        <v>8013</v>
      </c>
    </row>
    <row r="3567" customFormat="false" ht="15" hidden="false" customHeight="true" outlineLevel="0" collapsed="false">
      <c r="A3567" s="6" t="s">
        <v>1647</v>
      </c>
      <c r="B3567" s="6" t="s">
        <v>7565</v>
      </c>
      <c r="C3567" s="6" t="s">
        <v>8013</v>
      </c>
    </row>
    <row r="3568" customFormat="false" ht="15" hidden="false" customHeight="true" outlineLevel="0" collapsed="false">
      <c r="A3568" s="6" t="s">
        <v>1647</v>
      </c>
      <c r="B3568" s="6" t="s">
        <v>7859</v>
      </c>
      <c r="C3568" s="6" t="s">
        <v>8013</v>
      </c>
    </row>
    <row r="3569" customFormat="false" ht="15" hidden="false" customHeight="true" outlineLevel="0" collapsed="false">
      <c r="A3569" s="6" t="s">
        <v>1526</v>
      </c>
      <c r="B3569" s="6" t="s">
        <v>1526</v>
      </c>
      <c r="C3569" s="6" t="s">
        <v>8013</v>
      </c>
    </row>
    <row r="3570" customFormat="false" ht="15" hidden="false" customHeight="true" outlineLevel="0" collapsed="false">
      <c r="A3570" s="6" t="s">
        <v>1526</v>
      </c>
      <c r="B3570" s="6" t="s">
        <v>7859</v>
      </c>
      <c r="C3570" s="6" t="s">
        <v>8013</v>
      </c>
    </row>
    <row r="3571" customFormat="false" ht="15" hidden="false" customHeight="true" outlineLevel="0" collapsed="false">
      <c r="A3571" s="6" t="s">
        <v>1526</v>
      </c>
      <c r="B3571" s="6" t="s">
        <v>9789</v>
      </c>
      <c r="C3571" s="6"/>
    </row>
    <row r="3572" customFormat="false" ht="15" hidden="false" customHeight="true" outlineLevel="0" collapsed="false">
      <c r="A3572" s="6" t="s">
        <v>1526</v>
      </c>
      <c r="B3572" s="6" t="s">
        <v>1529</v>
      </c>
      <c r="C3572" s="6" t="s">
        <v>8013</v>
      </c>
    </row>
    <row r="3573" customFormat="false" ht="15" hidden="false" customHeight="true" outlineLevel="0" collapsed="false">
      <c r="A3573" s="6" t="s">
        <v>1526</v>
      </c>
      <c r="B3573" s="6" t="s">
        <v>7857</v>
      </c>
      <c r="C3573" s="6" t="s">
        <v>8013</v>
      </c>
    </row>
    <row r="3574" customFormat="false" ht="15" hidden="false" customHeight="true" outlineLevel="0" collapsed="false">
      <c r="A3574" s="6" t="s">
        <v>1526</v>
      </c>
      <c r="B3574" s="6" t="s">
        <v>7858</v>
      </c>
      <c r="C3574" s="6" t="s">
        <v>8013</v>
      </c>
    </row>
    <row r="3575" customFormat="false" ht="15" hidden="false" customHeight="true" outlineLevel="0" collapsed="false">
      <c r="A3575" s="6" t="s">
        <v>1526</v>
      </c>
      <c r="B3575" s="6" t="s">
        <v>9790</v>
      </c>
      <c r="C3575" s="6"/>
    </row>
    <row r="3576" customFormat="false" ht="15" hidden="false" customHeight="true" outlineLevel="0" collapsed="false">
      <c r="A3576" s="6" t="s">
        <v>1526</v>
      </c>
      <c r="B3576" s="6" t="s">
        <v>9791</v>
      </c>
      <c r="C3576" s="6"/>
    </row>
    <row r="3577" customFormat="false" ht="15" hidden="false" customHeight="true" outlineLevel="0" collapsed="false">
      <c r="A3577" s="6" t="s">
        <v>1526</v>
      </c>
      <c r="B3577" s="6" t="s">
        <v>9792</v>
      </c>
      <c r="C3577" s="6"/>
    </row>
    <row r="3578" customFormat="false" ht="15" hidden="false" customHeight="true" outlineLevel="0" collapsed="false">
      <c r="A3578" s="6" t="s">
        <v>1526</v>
      </c>
      <c r="B3578" s="6" t="s">
        <v>9793</v>
      </c>
      <c r="C3578" s="6"/>
    </row>
    <row r="3579" customFormat="false" ht="15" hidden="false" customHeight="true" outlineLevel="0" collapsed="false">
      <c r="A3579" s="6" t="s">
        <v>1444</v>
      </c>
      <c r="B3579" s="6" t="s">
        <v>1444</v>
      </c>
      <c r="C3579" s="6" t="s">
        <v>8013</v>
      </c>
    </row>
    <row r="3580" customFormat="false" ht="15" hidden="false" customHeight="true" outlineLevel="0" collapsed="false">
      <c r="A3580" s="6" t="s">
        <v>1444</v>
      </c>
      <c r="B3580" s="6" t="s">
        <v>7869</v>
      </c>
      <c r="C3580" s="6" t="s">
        <v>8013</v>
      </c>
    </row>
    <row r="3581" customFormat="false" ht="15" hidden="false" customHeight="true" outlineLevel="0" collapsed="false">
      <c r="A3581" s="6" t="s">
        <v>1444</v>
      </c>
      <c r="B3581" s="6" t="s">
        <v>7867</v>
      </c>
      <c r="C3581" s="6" t="s">
        <v>8013</v>
      </c>
    </row>
    <row r="3582" customFormat="false" ht="15" hidden="false" customHeight="true" outlineLevel="0" collapsed="false">
      <c r="A3582" s="6" t="s">
        <v>1444</v>
      </c>
      <c r="B3582" s="6" t="s">
        <v>7866</v>
      </c>
      <c r="C3582" s="6" t="s">
        <v>8013</v>
      </c>
    </row>
    <row r="3583" customFormat="false" ht="15" hidden="false" customHeight="true" outlineLevel="0" collapsed="false">
      <c r="A3583" s="6" t="s">
        <v>1444</v>
      </c>
      <c r="B3583" s="6" t="s">
        <v>7868</v>
      </c>
      <c r="C3583" s="6" t="s">
        <v>8013</v>
      </c>
    </row>
    <row r="3584" customFormat="false" ht="15" hidden="false" customHeight="true" outlineLevel="0" collapsed="false">
      <c r="A3584" s="6" t="s">
        <v>1444</v>
      </c>
      <c r="B3584" s="6" t="s">
        <v>9794</v>
      </c>
      <c r="C3584" s="6"/>
    </row>
    <row r="3585" customFormat="false" ht="15" hidden="false" customHeight="true" outlineLevel="0" collapsed="false">
      <c r="A3585" s="6" t="s">
        <v>1444</v>
      </c>
      <c r="B3585" s="6" t="s">
        <v>9795</v>
      </c>
      <c r="C3585" s="6"/>
    </row>
    <row r="3586" customFormat="false" ht="15" hidden="false" customHeight="true" outlineLevel="0" collapsed="false">
      <c r="A3586" s="6" t="s">
        <v>1444</v>
      </c>
      <c r="B3586" s="6" t="s">
        <v>7870</v>
      </c>
      <c r="C3586" s="6" t="s">
        <v>8013</v>
      </c>
    </row>
    <row r="3587" customFormat="false" ht="15" hidden="false" customHeight="true" outlineLevel="0" collapsed="false">
      <c r="A3587" s="6" t="s">
        <v>1444</v>
      </c>
      <c r="B3587" s="6" t="s">
        <v>7865</v>
      </c>
      <c r="C3587" s="6" t="s">
        <v>8013</v>
      </c>
    </row>
    <row r="3588" customFormat="false" ht="15" hidden="false" customHeight="true" outlineLevel="0" collapsed="false">
      <c r="A3588" s="6" t="s">
        <v>1444</v>
      </c>
      <c r="B3588" s="6" t="s">
        <v>1447</v>
      </c>
      <c r="C3588" s="6" t="s">
        <v>8013</v>
      </c>
    </row>
    <row r="3589" customFormat="false" ht="15" hidden="false" customHeight="true" outlineLevel="0" collapsed="false">
      <c r="A3589" s="6" t="s">
        <v>1917</v>
      </c>
      <c r="B3589" s="6" t="s">
        <v>9796</v>
      </c>
      <c r="C3589" s="6"/>
    </row>
    <row r="3590" customFormat="false" ht="15" hidden="false" customHeight="true" outlineLevel="0" collapsed="false">
      <c r="A3590" s="6" t="s">
        <v>1917</v>
      </c>
      <c r="B3590" s="6" t="s">
        <v>7565</v>
      </c>
      <c r="C3590" s="6" t="s">
        <v>8013</v>
      </c>
    </row>
    <row r="3591" customFormat="false" ht="15" hidden="false" customHeight="true" outlineLevel="0" collapsed="false">
      <c r="A3591" s="6" t="s">
        <v>1917</v>
      </c>
      <c r="B3591" s="6" t="s">
        <v>9784</v>
      </c>
      <c r="C3591" s="6"/>
    </row>
    <row r="3592" customFormat="false" ht="15" hidden="false" customHeight="true" outlineLevel="0" collapsed="false">
      <c r="A3592" s="6" t="s">
        <v>1656</v>
      </c>
      <c r="B3592" s="6" t="s">
        <v>636</v>
      </c>
      <c r="C3592" s="6" t="s">
        <v>8013</v>
      </c>
    </row>
    <row r="3593" customFormat="false" ht="15" hidden="false" customHeight="true" outlineLevel="0" collapsed="false">
      <c r="A3593" s="6" t="s">
        <v>1656</v>
      </c>
      <c r="B3593" s="6" t="s">
        <v>9797</v>
      </c>
      <c r="C3593" s="6"/>
    </row>
    <row r="3594" customFormat="false" ht="15" hidden="false" customHeight="true" outlineLevel="0" collapsed="false">
      <c r="A3594" s="6" t="s">
        <v>1656</v>
      </c>
      <c r="B3594" s="6" t="s">
        <v>9798</v>
      </c>
      <c r="C3594" s="6"/>
    </row>
    <row r="3595" customFormat="false" ht="15" hidden="false" customHeight="true" outlineLevel="0" collapsed="false">
      <c r="A3595" s="6" t="s">
        <v>1533</v>
      </c>
      <c r="B3595" s="6" t="s">
        <v>1533</v>
      </c>
      <c r="C3595" s="6" t="s">
        <v>8013</v>
      </c>
    </row>
    <row r="3596" customFormat="false" ht="15" hidden="false" customHeight="true" outlineLevel="0" collapsed="false">
      <c r="A3596" s="6" t="s">
        <v>1533</v>
      </c>
      <c r="B3596" s="6" t="s">
        <v>495</v>
      </c>
      <c r="C3596" s="6" t="s">
        <v>8013</v>
      </c>
    </row>
    <row r="3597" customFormat="false" ht="15" hidden="false" customHeight="true" outlineLevel="0" collapsed="false">
      <c r="A3597" s="6" t="s">
        <v>1533</v>
      </c>
      <c r="B3597" s="6" t="s">
        <v>9799</v>
      </c>
      <c r="C3597" s="6"/>
    </row>
    <row r="3598" customFormat="false" ht="15" hidden="false" customHeight="true" outlineLevel="0" collapsed="false">
      <c r="A3598" s="6" t="s">
        <v>1533</v>
      </c>
      <c r="B3598" s="6" t="s">
        <v>9800</v>
      </c>
      <c r="C3598" s="6"/>
    </row>
    <row r="3599" customFormat="false" ht="15" hidden="false" customHeight="true" outlineLevel="0" collapsed="false">
      <c r="A3599" s="6" t="s">
        <v>1662</v>
      </c>
      <c r="B3599" s="6" t="s">
        <v>7872</v>
      </c>
      <c r="C3599" s="6" t="s">
        <v>8013</v>
      </c>
    </row>
    <row r="3600" customFormat="false" ht="15" hidden="false" customHeight="true" outlineLevel="0" collapsed="false">
      <c r="A3600" s="6" t="s">
        <v>1662</v>
      </c>
      <c r="B3600" s="6" t="s">
        <v>7864</v>
      </c>
      <c r="C3600" s="6" t="s">
        <v>8013</v>
      </c>
    </row>
    <row r="3601" customFormat="false" ht="15" hidden="false" customHeight="true" outlineLevel="0" collapsed="false">
      <c r="A3601" s="6" t="s">
        <v>1662</v>
      </c>
      <c r="B3601" s="6" t="s">
        <v>7861</v>
      </c>
      <c r="C3601" s="6" t="s">
        <v>8013</v>
      </c>
    </row>
    <row r="3602" customFormat="false" ht="15" hidden="false" customHeight="true" outlineLevel="0" collapsed="false">
      <c r="A3602" s="6" t="s">
        <v>1662</v>
      </c>
      <c r="B3602" s="6" t="s">
        <v>7863</v>
      </c>
      <c r="C3602" s="6" t="s">
        <v>8013</v>
      </c>
    </row>
    <row r="3603" customFormat="false" ht="15" hidden="false" customHeight="true" outlineLevel="0" collapsed="false">
      <c r="A3603" s="6" t="s">
        <v>1662</v>
      </c>
      <c r="B3603" s="6" t="s">
        <v>7862</v>
      </c>
      <c r="C3603" s="6" t="s">
        <v>8013</v>
      </c>
    </row>
    <row r="3604" customFormat="false" ht="15" hidden="false" customHeight="true" outlineLevel="0" collapsed="false">
      <c r="A3604" s="6" t="s">
        <v>1662</v>
      </c>
      <c r="B3604" s="6" t="s">
        <v>9801</v>
      </c>
      <c r="C3604" s="6"/>
    </row>
    <row r="3605" customFormat="false" ht="15" hidden="false" customHeight="true" outlineLevel="0" collapsed="false">
      <c r="A3605" s="6" t="s">
        <v>1662</v>
      </c>
      <c r="B3605" s="6" t="s">
        <v>7876</v>
      </c>
      <c r="C3605" s="6" t="s">
        <v>8013</v>
      </c>
    </row>
    <row r="3606" customFormat="false" ht="15" hidden="false" customHeight="true" outlineLevel="0" collapsed="false">
      <c r="A3606" s="6" t="s">
        <v>1662</v>
      </c>
      <c r="B3606" s="6" t="s">
        <v>9802</v>
      </c>
      <c r="C3606" s="6"/>
    </row>
    <row r="3607" customFormat="false" ht="15" hidden="false" customHeight="true" outlineLevel="0" collapsed="false">
      <c r="A3607" s="6" t="s">
        <v>1662</v>
      </c>
      <c r="B3607" s="6" t="s">
        <v>7871</v>
      </c>
      <c r="C3607" s="6" t="s">
        <v>8013</v>
      </c>
    </row>
    <row r="3608" customFormat="false" ht="15" hidden="false" customHeight="true" outlineLevel="0" collapsed="false">
      <c r="A3608" s="6" t="s">
        <v>1539</v>
      </c>
      <c r="B3608" s="6" t="s">
        <v>7873</v>
      </c>
      <c r="C3608" s="6" t="s">
        <v>8013</v>
      </c>
    </row>
    <row r="3609" customFormat="false" ht="15" hidden="false" customHeight="true" outlineLevel="0" collapsed="false">
      <c r="A3609" s="6" t="s">
        <v>1539</v>
      </c>
      <c r="B3609" s="6" t="s">
        <v>7871</v>
      </c>
      <c r="C3609" s="6" t="s">
        <v>8013</v>
      </c>
    </row>
    <row r="3610" customFormat="false" ht="15" hidden="false" customHeight="true" outlineLevel="0" collapsed="false">
      <c r="A3610" s="6" t="s">
        <v>1539</v>
      </c>
      <c r="B3610" s="6" t="s">
        <v>7876</v>
      </c>
      <c r="C3610" s="6" t="s">
        <v>8013</v>
      </c>
    </row>
    <row r="3611" customFormat="false" ht="15" hidden="false" customHeight="true" outlineLevel="0" collapsed="false">
      <c r="A3611" s="6" t="s">
        <v>1539</v>
      </c>
      <c r="B3611" s="6" t="s">
        <v>7874</v>
      </c>
      <c r="C3611" s="6" t="s">
        <v>8013</v>
      </c>
    </row>
    <row r="3612" customFormat="false" ht="15" hidden="false" customHeight="true" outlineLevel="0" collapsed="false">
      <c r="A3612" s="6" t="s">
        <v>1539</v>
      </c>
      <c r="B3612" s="6" t="s">
        <v>7864</v>
      </c>
      <c r="C3612" s="6" t="s">
        <v>8013</v>
      </c>
    </row>
    <row r="3613" customFormat="false" ht="15" hidden="false" customHeight="true" outlineLevel="0" collapsed="false">
      <c r="A3613" s="6" t="s">
        <v>1668</v>
      </c>
      <c r="B3613" s="6" t="s">
        <v>1668</v>
      </c>
      <c r="C3613" s="6" t="s">
        <v>8013</v>
      </c>
    </row>
    <row r="3614" customFormat="false" ht="15" hidden="false" customHeight="true" outlineLevel="0" collapsed="false">
      <c r="A3614" s="6" t="s">
        <v>1668</v>
      </c>
      <c r="B3614" s="6" t="s">
        <v>7879</v>
      </c>
      <c r="C3614" s="6" t="s">
        <v>8013</v>
      </c>
    </row>
    <row r="3615" customFormat="false" ht="15" hidden="false" customHeight="true" outlineLevel="0" collapsed="false">
      <c r="A3615" s="6" t="s">
        <v>1668</v>
      </c>
      <c r="B3615" s="6" t="s">
        <v>7881</v>
      </c>
      <c r="C3615" s="6" t="s">
        <v>8013</v>
      </c>
    </row>
    <row r="3616" customFormat="false" ht="15" hidden="false" customHeight="true" outlineLevel="0" collapsed="false">
      <c r="A3616" s="6" t="s">
        <v>1668</v>
      </c>
      <c r="B3616" s="6" t="s">
        <v>7880</v>
      </c>
      <c r="C3616" s="6" t="s">
        <v>8013</v>
      </c>
    </row>
    <row r="3617" customFormat="false" ht="15" hidden="false" customHeight="true" outlineLevel="0" collapsed="false">
      <c r="A3617" s="6" t="s">
        <v>1668</v>
      </c>
      <c r="B3617" s="6" t="s">
        <v>9803</v>
      </c>
      <c r="C3617" s="6"/>
    </row>
    <row r="3618" customFormat="false" ht="15" hidden="false" customHeight="true" outlineLevel="0" collapsed="false">
      <c r="A3618" s="6" t="s">
        <v>1668</v>
      </c>
      <c r="B3618" s="6" t="s">
        <v>9804</v>
      </c>
      <c r="C3618" s="6"/>
    </row>
    <row r="3619" customFormat="false" ht="15" hidden="false" customHeight="true" outlineLevel="0" collapsed="false">
      <c r="A3619" s="6" t="s">
        <v>1668</v>
      </c>
      <c r="B3619" s="6" t="s">
        <v>9805</v>
      </c>
      <c r="C3619" s="6"/>
    </row>
    <row r="3620" customFormat="false" ht="15" hidden="false" customHeight="true" outlineLevel="0" collapsed="false">
      <c r="A3620" s="6" t="s">
        <v>1668</v>
      </c>
      <c r="B3620" s="6" t="s">
        <v>7878</v>
      </c>
      <c r="C3620" s="6" t="s">
        <v>8013</v>
      </c>
    </row>
    <row r="3621" customFormat="false" ht="15" hidden="false" customHeight="true" outlineLevel="0" collapsed="false">
      <c r="A3621" s="6" t="s">
        <v>1668</v>
      </c>
      <c r="B3621" s="6" t="s">
        <v>7874</v>
      </c>
      <c r="C3621" s="6" t="s">
        <v>8013</v>
      </c>
    </row>
    <row r="3622" customFormat="false" ht="15" hidden="false" customHeight="true" outlineLevel="0" collapsed="false">
      <c r="A3622" s="6" t="s">
        <v>1668</v>
      </c>
      <c r="B3622" s="6" t="s">
        <v>7876</v>
      </c>
      <c r="C3622" s="6" t="s">
        <v>8013</v>
      </c>
    </row>
    <row r="3623" customFormat="false" ht="15" hidden="false" customHeight="true" outlineLevel="0" collapsed="false">
      <c r="A3623" s="6" t="s">
        <v>1723</v>
      </c>
      <c r="B3623" s="6" t="s">
        <v>9806</v>
      </c>
      <c r="C3623" s="6"/>
    </row>
    <row r="3624" customFormat="false" ht="15" hidden="false" customHeight="true" outlineLevel="0" collapsed="false">
      <c r="A3624" s="6" t="s">
        <v>1723</v>
      </c>
      <c r="B3624" s="6" t="s">
        <v>7876</v>
      </c>
      <c r="C3624" s="6" t="s">
        <v>8013</v>
      </c>
    </row>
    <row r="3625" customFormat="false" ht="15" hidden="false" customHeight="true" outlineLevel="0" collapsed="false">
      <c r="A3625" s="6" t="s">
        <v>1723</v>
      </c>
      <c r="B3625" s="6" t="s">
        <v>7874</v>
      </c>
      <c r="C3625" s="6" t="s">
        <v>8013</v>
      </c>
    </row>
    <row r="3626" customFormat="false" ht="15" hidden="false" customHeight="true" outlineLevel="0" collapsed="false">
      <c r="A3626" s="6" t="s">
        <v>1723</v>
      </c>
      <c r="B3626" s="6" t="s">
        <v>7871</v>
      </c>
      <c r="C3626" s="6" t="s">
        <v>8013</v>
      </c>
    </row>
    <row r="3627" customFormat="false" ht="15" hidden="false" customHeight="true" outlineLevel="0" collapsed="false">
      <c r="A3627" s="6" t="s">
        <v>1723</v>
      </c>
      <c r="B3627" s="6" t="s">
        <v>9807</v>
      </c>
      <c r="C3627" s="6"/>
    </row>
    <row r="3628" customFormat="false" ht="15" hidden="false" customHeight="true" outlineLevel="0" collapsed="false">
      <c r="A3628" s="6" t="s">
        <v>1723</v>
      </c>
      <c r="B3628" s="6" t="s">
        <v>7864</v>
      </c>
      <c r="C3628" s="6" t="s">
        <v>8013</v>
      </c>
    </row>
    <row r="3629" customFormat="false" ht="15" hidden="false" customHeight="true" outlineLevel="0" collapsed="false">
      <c r="A3629" s="6" t="s">
        <v>1545</v>
      </c>
      <c r="B3629" s="6" t="s">
        <v>1545</v>
      </c>
      <c r="C3629" s="6" t="s">
        <v>8013</v>
      </c>
    </row>
    <row r="3630" customFormat="false" ht="15" hidden="false" customHeight="true" outlineLevel="0" collapsed="false">
      <c r="A3630" s="6" t="s">
        <v>1545</v>
      </c>
      <c r="B3630" s="6" t="s">
        <v>7882</v>
      </c>
      <c r="C3630" s="6" t="s">
        <v>8013</v>
      </c>
    </row>
    <row r="3631" customFormat="false" ht="15" hidden="false" customHeight="true" outlineLevel="0" collapsed="false">
      <c r="A3631" s="6" t="s">
        <v>1545</v>
      </c>
      <c r="B3631" s="6" t="s">
        <v>1548</v>
      </c>
      <c r="C3631" s="6" t="s">
        <v>8013</v>
      </c>
    </row>
    <row r="3632" customFormat="false" ht="15" hidden="false" customHeight="true" outlineLevel="0" collapsed="false">
      <c r="A3632" s="6" t="s">
        <v>1545</v>
      </c>
      <c r="B3632" s="6" t="s">
        <v>9808</v>
      </c>
      <c r="C3632" s="6"/>
    </row>
    <row r="3633" customFormat="false" ht="15" hidden="false" customHeight="true" outlineLevel="0" collapsed="false">
      <c r="A3633" s="6" t="s">
        <v>1545</v>
      </c>
      <c r="B3633" s="6" t="s">
        <v>9809</v>
      </c>
      <c r="C3633" s="6"/>
    </row>
    <row r="3634" customFormat="false" ht="15" hidden="false" customHeight="true" outlineLevel="0" collapsed="false">
      <c r="A3634" s="6" t="s">
        <v>1545</v>
      </c>
      <c r="B3634" s="6" t="s">
        <v>9810</v>
      </c>
      <c r="C3634" s="6"/>
    </row>
    <row r="3635" customFormat="false" ht="15" hidden="false" customHeight="true" outlineLevel="0" collapsed="false">
      <c r="A3635" s="6" t="s">
        <v>1545</v>
      </c>
      <c r="B3635" s="6" t="s">
        <v>9811</v>
      </c>
      <c r="C3635" s="6"/>
    </row>
    <row r="3636" customFormat="false" ht="15" hidden="false" customHeight="true" outlineLevel="0" collapsed="false">
      <c r="A3636" s="6" t="s">
        <v>1545</v>
      </c>
      <c r="B3636" s="6" t="s">
        <v>7858</v>
      </c>
      <c r="C3636" s="6" t="s">
        <v>8013</v>
      </c>
    </row>
    <row r="3637" customFormat="false" ht="15" hidden="false" customHeight="true" outlineLevel="0" collapsed="false">
      <c r="A3637" s="6" t="s">
        <v>1545</v>
      </c>
      <c r="B3637" s="6" t="s">
        <v>7860</v>
      </c>
      <c r="C3637" s="6" t="s">
        <v>8013</v>
      </c>
    </row>
    <row r="3638" customFormat="false" ht="15" hidden="false" customHeight="true" outlineLevel="0" collapsed="false">
      <c r="A3638" s="6" t="s">
        <v>1545</v>
      </c>
      <c r="B3638" s="6" t="s">
        <v>9812</v>
      </c>
      <c r="C3638" s="6"/>
    </row>
    <row r="3639" customFormat="false" ht="15" hidden="false" customHeight="true" outlineLevel="0" collapsed="false">
      <c r="A3639" s="6" t="s">
        <v>1683</v>
      </c>
      <c r="B3639" s="6" t="s">
        <v>1683</v>
      </c>
      <c r="C3639" s="6" t="s">
        <v>8013</v>
      </c>
    </row>
    <row r="3640" customFormat="false" ht="15" hidden="false" customHeight="true" outlineLevel="0" collapsed="false">
      <c r="A3640" s="6" t="s">
        <v>1683</v>
      </c>
      <c r="B3640" s="6" t="s">
        <v>7886</v>
      </c>
      <c r="C3640" s="6" t="s">
        <v>8013</v>
      </c>
    </row>
    <row r="3641" customFormat="false" ht="15" hidden="false" customHeight="true" outlineLevel="0" collapsed="false">
      <c r="A3641" s="6" t="s">
        <v>1683</v>
      </c>
      <c r="B3641" s="6" t="s">
        <v>9813</v>
      </c>
      <c r="C3641" s="6"/>
    </row>
    <row r="3642" customFormat="false" ht="15" hidden="false" customHeight="true" outlineLevel="0" collapsed="false">
      <c r="A3642" s="6" t="s">
        <v>1683</v>
      </c>
      <c r="B3642" s="6" t="s">
        <v>7884</v>
      </c>
      <c r="C3642" s="6" t="s">
        <v>8013</v>
      </c>
    </row>
    <row r="3643" customFormat="false" ht="15" hidden="false" customHeight="true" outlineLevel="0" collapsed="false">
      <c r="A3643" s="6" t="s">
        <v>1683</v>
      </c>
      <c r="B3643" s="6" t="s">
        <v>9814</v>
      </c>
      <c r="C3643" s="6"/>
    </row>
    <row r="3644" customFormat="false" ht="15" hidden="false" customHeight="true" outlineLevel="0" collapsed="false">
      <c r="A3644" s="6" t="s">
        <v>1683</v>
      </c>
      <c r="B3644" s="6" t="s">
        <v>9815</v>
      </c>
      <c r="C3644" s="6"/>
    </row>
    <row r="3645" customFormat="false" ht="15" hidden="false" customHeight="true" outlineLevel="0" collapsed="false">
      <c r="A3645" s="6" t="s">
        <v>1683</v>
      </c>
      <c r="B3645" s="6" t="s">
        <v>7885</v>
      </c>
      <c r="C3645" s="6" t="s">
        <v>8013</v>
      </c>
    </row>
    <row r="3646" customFormat="false" ht="15" hidden="false" customHeight="true" outlineLevel="0" collapsed="false">
      <c r="A3646" s="6" t="s">
        <v>1683</v>
      </c>
      <c r="B3646" s="6" t="s">
        <v>7883</v>
      </c>
      <c r="C3646" s="6" t="s">
        <v>8013</v>
      </c>
    </row>
    <row r="3647" customFormat="false" ht="15" hidden="false" customHeight="true" outlineLevel="0" collapsed="false">
      <c r="A3647" s="6" t="s">
        <v>1683</v>
      </c>
      <c r="B3647" s="6" t="s">
        <v>9816</v>
      </c>
      <c r="C3647" s="6"/>
    </row>
    <row r="3648" customFormat="false" ht="15" hidden="false" customHeight="true" outlineLevel="0" collapsed="false">
      <c r="A3648" s="6" t="s">
        <v>1683</v>
      </c>
      <c r="B3648" s="6" t="s">
        <v>9817</v>
      </c>
      <c r="C3648" s="6"/>
    </row>
    <row r="3649" customFormat="false" ht="15" hidden="false" customHeight="true" outlineLevel="0" collapsed="false">
      <c r="A3649" s="6" t="s">
        <v>1749</v>
      </c>
      <c r="B3649" s="6" t="s">
        <v>9818</v>
      </c>
      <c r="C3649" s="6"/>
    </row>
    <row r="3650" customFormat="false" ht="15" hidden="false" customHeight="true" outlineLevel="0" collapsed="false">
      <c r="A3650" s="6" t="s">
        <v>1749</v>
      </c>
      <c r="B3650" s="6" t="s">
        <v>9819</v>
      </c>
      <c r="C3650" s="6"/>
    </row>
    <row r="3651" customFormat="false" ht="15" hidden="false" customHeight="true" outlineLevel="0" collapsed="false">
      <c r="A3651" s="6" t="s">
        <v>1749</v>
      </c>
      <c r="B3651" s="6" t="s">
        <v>9820</v>
      </c>
      <c r="C3651" s="6"/>
    </row>
    <row r="3652" customFormat="false" ht="15" hidden="false" customHeight="true" outlineLevel="0" collapsed="false">
      <c r="A3652" s="6" t="s">
        <v>1749</v>
      </c>
      <c r="B3652" s="6" t="s">
        <v>9821</v>
      </c>
      <c r="C3652" s="6"/>
    </row>
    <row r="3653" customFormat="false" ht="15" hidden="false" customHeight="true" outlineLevel="0" collapsed="false">
      <c r="A3653" s="6" t="s">
        <v>1552</v>
      </c>
      <c r="B3653" s="6" t="s">
        <v>1552</v>
      </c>
      <c r="C3653" s="6" t="s">
        <v>8013</v>
      </c>
    </row>
    <row r="3654" customFormat="false" ht="15" hidden="false" customHeight="true" outlineLevel="0" collapsed="false">
      <c r="A3654" s="6" t="s">
        <v>1552</v>
      </c>
      <c r="B3654" s="6" t="s">
        <v>7887</v>
      </c>
      <c r="C3654" s="6" t="s">
        <v>8013</v>
      </c>
    </row>
    <row r="3655" customFormat="false" ht="15" hidden="false" customHeight="true" outlineLevel="0" collapsed="false">
      <c r="A3655" s="6" t="s">
        <v>1552</v>
      </c>
      <c r="B3655" s="6" t="s">
        <v>9822</v>
      </c>
      <c r="C3655" s="6"/>
    </row>
    <row r="3656" customFormat="false" ht="15" hidden="false" customHeight="true" outlineLevel="0" collapsed="false">
      <c r="A3656" s="6" t="s">
        <v>1552</v>
      </c>
      <c r="B3656" s="6" t="s">
        <v>9823</v>
      </c>
      <c r="C3656" s="6"/>
    </row>
    <row r="3657" customFormat="false" ht="15" hidden="false" customHeight="true" outlineLevel="0" collapsed="false">
      <c r="A3657" s="6" t="s">
        <v>1552</v>
      </c>
      <c r="B3657" s="6" t="s">
        <v>7900</v>
      </c>
      <c r="C3657" s="6" t="s">
        <v>8013</v>
      </c>
    </row>
    <row r="3658" customFormat="false" ht="15" hidden="false" customHeight="true" outlineLevel="0" collapsed="false">
      <c r="A3658" s="6" t="s">
        <v>1559</v>
      </c>
      <c r="B3658" s="6" t="s">
        <v>1559</v>
      </c>
      <c r="C3658" s="6" t="s">
        <v>8013</v>
      </c>
    </row>
    <row r="3659" customFormat="false" ht="15" hidden="false" customHeight="true" outlineLevel="0" collapsed="false">
      <c r="A3659" s="6" t="s">
        <v>1559</v>
      </c>
      <c r="B3659" s="6" t="s">
        <v>7892</v>
      </c>
      <c r="C3659" s="6" t="s">
        <v>8013</v>
      </c>
    </row>
    <row r="3660" customFormat="false" ht="15" hidden="false" customHeight="true" outlineLevel="0" collapsed="false">
      <c r="A3660" s="6" t="s">
        <v>1559</v>
      </c>
      <c r="B3660" s="6" t="s">
        <v>7889</v>
      </c>
      <c r="C3660" s="6" t="s">
        <v>8013</v>
      </c>
    </row>
    <row r="3661" customFormat="false" ht="15" hidden="false" customHeight="true" outlineLevel="0" collapsed="false">
      <c r="A3661" s="6" t="s">
        <v>1559</v>
      </c>
      <c r="B3661" s="6" t="s">
        <v>7891</v>
      </c>
      <c r="C3661" s="6" t="s">
        <v>8013</v>
      </c>
    </row>
    <row r="3662" customFormat="false" ht="15" hidden="false" customHeight="true" outlineLevel="0" collapsed="false">
      <c r="A3662" s="6" t="s">
        <v>1559</v>
      </c>
      <c r="B3662" s="6" t="s">
        <v>7890</v>
      </c>
      <c r="C3662" s="6" t="s">
        <v>8013</v>
      </c>
    </row>
    <row r="3663" customFormat="false" ht="15" hidden="false" customHeight="true" outlineLevel="0" collapsed="false">
      <c r="A3663" s="6" t="s">
        <v>1559</v>
      </c>
      <c r="B3663" s="6" t="s">
        <v>7888</v>
      </c>
      <c r="C3663" s="6" t="s">
        <v>8013</v>
      </c>
    </row>
    <row r="3664" customFormat="false" ht="15" hidden="false" customHeight="true" outlineLevel="0" collapsed="false">
      <c r="A3664" s="6" t="s">
        <v>1559</v>
      </c>
      <c r="B3664" s="6" t="s">
        <v>1562</v>
      </c>
      <c r="C3664" s="6" t="s">
        <v>8013</v>
      </c>
    </row>
    <row r="3665" customFormat="false" ht="15" hidden="false" customHeight="true" outlineLevel="0" collapsed="false">
      <c r="A3665" s="6" t="s">
        <v>1559</v>
      </c>
      <c r="B3665" s="6" t="s">
        <v>9824</v>
      </c>
      <c r="C3665" s="6"/>
    </row>
    <row r="3666" customFormat="false" ht="15" hidden="false" customHeight="true" outlineLevel="0" collapsed="false">
      <c r="A3666" s="6" t="s">
        <v>1559</v>
      </c>
      <c r="B3666" s="6" t="s">
        <v>9825</v>
      </c>
      <c r="C3666" s="6"/>
    </row>
    <row r="3667" customFormat="false" ht="15" hidden="false" customHeight="true" outlineLevel="0" collapsed="false">
      <c r="A3667" s="6" t="s">
        <v>1559</v>
      </c>
      <c r="B3667" s="6" t="s">
        <v>9826</v>
      </c>
      <c r="C3667" s="6"/>
    </row>
    <row r="3668" customFormat="false" ht="15" hidden="false" customHeight="true" outlineLevel="0" collapsed="false">
      <c r="A3668" s="6" t="s">
        <v>1477</v>
      </c>
      <c r="B3668" s="6" t="s">
        <v>1477</v>
      </c>
      <c r="C3668" s="6" t="s">
        <v>8013</v>
      </c>
    </row>
    <row r="3669" customFormat="false" ht="15" hidden="false" customHeight="true" outlineLevel="0" collapsed="false">
      <c r="A3669" s="6" t="s">
        <v>1477</v>
      </c>
      <c r="B3669" s="6" t="s">
        <v>7897</v>
      </c>
      <c r="C3669" s="6" t="s">
        <v>8013</v>
      </c>
    </row>
    <row r="3670" customFormat="false" ht="15" hidden="false" customHeight="true" outlineLevel="0" collapsed="false">
      <c r="A3670" s="6" t="s">
        <v>1477</v>
      </c>
      <c r="B3670" s="6" t="s">
        <v>7895</v>
      </c>
      <c r="C3670" s="6" t="s">
        <v>8013</v>
      </c>
    </row>
    <row r="3671" customFormat="false" ht="15" hidden="false" customHeight="true" outlineLevel="0" collapsed="false">
      <c r="A3671" s="6" t="s">
        <v>1477</v>
      </c>
      <c r="B3671" s="6" t="s">
        <v>1480</v>
      </c>
      <c r="C3671" s="6" t="s">
        <v>8013</v>
      </c>
    </row>
    <row r="3672" customFormat="false" ht="15" hidden="false" customHeight="true" outlineLevel="0" collapsed="false">
      <c r="A3672" s="6" t="s">
        <v>1477</v>
      </c>
      <c r="B3672" s="6" t="s">
        <v>7896</v>
      </c>
      <c r="C3672" s="6" t="s">
        <v>8013</v>
      </c>
    </row>
    <row r="3673" customFormat="false" ht="15" hidden="false" customHeight="true" outlineLevel="0" collapsed="false">
      <c r="A3673" s="6" t="s">
        <v>1477</v>
      </c>
      <c r="B3673" s="6" t="s">
        <v>7894</v>
      </c>
      <c r="C3673" s="6" t="s">
        <v>8013</v>
      </c>
    </row>
    <row r="3674" customFormat="false" ht="15" hidden="false" customHeight="true" outlineLevel="0" collapsed="false">
      <c r="A3674" s="6" t="s">
        <v>1477</v>
      </c>
      <c r="B3674" s="6" t="s">
        <v>9827</v>
      </c>
      <c r="C3674" s="6"/>
    </row>
    <row r="3675" customFormat="false" ht="15" hidden="false" customHeight="true" outlineLevel="0" collapsed="false">
      <c r="A3675" s="6" t="s">
        <v>1477</v>
      </c>
      <c r="B3675" s="6" t="s">
        <v>9828</v>
      </c>
      <c r="C3675" s="6"/>
    </row>
    <row r="3676" customFormat="false" ht="15" hidden="false" customHeight="true" outlineLevel="0" collapsed="false">
      <c r="A3676" s="6" t="s">
        <v>1477</v>
      </c>
      <c r="B3676" s="6" t="s">
        <v>9829</v>
      </c>
      <c r="C3676" s="6"/>
    </row>
    <row r="3677" customFormat="false" ht="15" hidden="false" customHeight="true" outlineLevel="0" collapsed="false">
      <c r="A3677" s="6" t="s">
        <v>1477</v>
      </c>
      <c r="B3677" s="6" t="s">
        <v>7893</v>
      </c>
      <c r="C3677" s="6" t="s">
        <v>8013</v>
      </c>
    </row>
    <row r="3678" customFormat="false" ht="15" hidden="false" customHeight="true" outlineLevel="0" collapsed="false">
      <c r="A3678" s="6" t="s">
        <v>1505</v>
      </c>
      <c r="B3678" s="6" t="s">
        <v>1505</v>
      </c>
      <c r="C3678" s="6" t="s">
        <v>8013</v>
      </c>
    </row>
    <row r="3679" customFormat="false" ht="15" hidden="false" customHeight="true" outlineLevel="0" collapsed="false">
      <c r="A3679" s="6" t="s">
        <v>1505</v>
      </c>
      <c r="B3679" s="6" t="s">
        <v>7899</v>
      </c>
      <c r="C3679" s="6" t="s">
        <v>8013</v>
      </c>
    </row>
    <row r="3680" customFormat="false" ht="15" hidden="false" customHeight="true" outlineLevel="0" collapsed="false">
      <c r="A3680" s="6" t="s">
        <v>1505</v>
      </c>
      <c r="B3680" s="6" t="s">
        <v>7898</v>
      </c>
      <c r="C3680" s="6" t="s">
        <v>8013</v>
      </c>
    </row>
    <row r="3681" customFormat="false" ht="15" hidden="false" customHeight="true" outlineLevel="0" collapsed="false">
      <c r="A3681" s="6" t="s">
        <v>1505</v>
      </c>
      <c r="B3681" s="6" t="s">
        <v>1508</v>
      </c>
      <c r="C3681" s="6" t="s">
        <v>8013</v>
      </c>
    </row>
    <row r="3682" customFormat="false" ht="15" hidden="false" customHeight="true" outlineLevel="0" collapsed="false">
      <c r="A3682" s="6" t="s">
        <v>1505</v>
      </c>
      <c r="B3682" s="6" t="s">
        <v>9830</v>
      </c>
      <c r="C3682" s="6"/>
    </row>
    <row r="3683" customFormat="false" ht="15" hidden="false" customHeight="true" outlineLevel="0" collapsed="false">
      <c r="A3683" s="6" t="s">
        <v>1505</v>
      </c>
      <c r="B3683" s="6" t="s">
        <v>7876</v>
      </c>
      <c r="C3683" s="6" t="s">
        <v>8013</v>
      </c>
    </row>
    <row r="3684" customFormat="false" ht="15" hidden="false" customHeight="true" outlineLevel="0" collapsed="false">
      <c r="A3684" s="6" t="s">
        <v>1505</v>
      </c>
      <c r="B3684" s="6" t="s">
        <v>7874</v>
      </c>
      <c r="C3684" s="6" t="s">
        <v>8013</v>
      </c>
    </row>
    <row r="3685" customFormat="false" ht="15" hidden="false" customHeight="true" outlineLevel="0" collapsed="false">
      <c r="A3685" s="6" t="s">
        <v>1505</v>
      </c>
      <c r="B3685" s="6" t="s">
        <v>9831</v>
      </c>
      <c r="C3685" s="6"/>
    </row>
    <row r="3686" customFormat="false" ht="15" hidden="false" customHeight="true" outlineLevel="0" collapsed="false">
      <c r="A3686" s="6" t="s">
        <v>1505</v>
      </c>
      <c r="B3686" s="6" t="s">
        <v>7871</v>
      </c>
      <c r="C3686" s="6" t="s">
        <v>8013</v>
      </c>
    </row>
    <row r="3687" customFormat="false" ht="15" hidden="false" customHeight="true" outlineLevel="0" collapsed="false">
      <c r="A3687" s="6" t="s">
        <v>1435</v>
      </c>
      <c r="B3687" s="6" t="s">
        <v>9832</v>
      </c>
      <c r="C3687" s="6"/>
    </row>
    <row r="3688" customFormat="false" ht="15" hidden="false" customHeight="true" outlineLevel="0" collapsed="false">
      <c r="A3688" s="6" t="s">
        <v>1435</v>
      </c>
      <c r="B3688" s="6" t="s">
        <v>9833</v>
      </c>
      <c r="C3688" s="6"/>
    </row>
    <row r="3689" customFormat="false" ht="15" hidden="false" customHeight="true" outlineLevel="0" collapsed="false">
      <c r="A3689" s="6" t="s">
        <v>1435</v>
      </c>
      <c r="B3689" s="6" t="s">
        <v>9834</v>
      </c>
      <c r="C3689" s="6"/>
    </row>
    <row r="3690" customFormat="false" ht="15" hidden="false" customHeight="true" outlineLevel="0" collapsed="false">
      <c r="A3690" s="6" t="s">
        <v>1785</v>
      </c>
      <c r="B3690" s="6" t="s">
        <v>1785</v>
      </c>
      <c r="C3690" s="6" t="s">
        <v>8013</v>
      </c>
    </row>
    <row r="3691" customFormat="false" ht="15" hidden="false" customHeight="true" outlineLevel="0" collapsed="false">
      <c r="A3691" s="6" t="s">
        <v>1785</v>
      </c>
      <c r="B3691" s="6" t="s">
        <v>9835</v>
      </c>
      <c r="C3691" s="6"/>
    </row>
    <row r="3692" customFormat="false" ht="15" hidden="false" customHeight="true" outlineLevel="0" collapsed="false">
      <c r="A3692" s="6" t="s">
        <v>1785</v>
      </c>
      <c r="B3692" s="6" t="s">
        <v>9836</v>
      </c>
      <c r="C3692" s="6"/>
    </row>
    <row r="3693" customFormat="false" ht="15" hidden="false" customHeight="true" outlineLevel="0" collapsed="false">
      <c r="A3693" s="6" t="s">
        <v>1469</v>
      </c>
      <c r="B3693" s="6" t="s">
        <v>9837</v>
      </c>
      <c r="C3693" s="6"/>
    </row>
    <row r="3694" customFormat="false" ht="15" hidden="false" customHeight="true" outlineLevel="0" collapsed="false">
      <c r="A3694" s="6" t="s">
        <v>1469</v>
      </c>
      <c r="B3694" s="6" t="s">
        <v>1469</v>
      </c>
      <c r="C3694" s="6" t="s">
        <v>8013</v>
      </c>
    </row>
    <row r="3695" customFormat="false" ht="15" hidden="false" customHeight="true" outlineLevel="0" collapsed="false">
      <c r="A3695" s="6" t="s">
        <v>1469</v>
      </c>
      <c r="B3695" s="6" t="s">
        <v>9838</v>
      </c>
      <c r="C3695" s="6"/>
    </row>
    <row r="3696" customFormat="false" ht="15" hidden="false" customHeight="true" outlineLevel="0" collapsed="false">
      <c r="A3696" s="6" t="s">
        <v>1469</v>
      </c>
      <c r="B3696" s="6" t="s">
        <v>9839</v>
      </c>
      <c r="C3696" s="6"/>
    </row>
    <row r="3697" customFormat="false" ht="15" hidden="false" customHeight="true" outlineLevel="0" collapsed="false">
      <c r="A3697" s="6" t="s">
        <v>1469</v>
      </c>
      <c r="B3697" s="6" t="s">
        <v>9840</v>
      </c>
      <c r="C3697" s="6"/>
    </row>
    <row r="3698" customFormat="false" ht="15" hidden="false" customHeight="true" outlineLevel="0" collapsed="false">
      <c r="A3698" s="6" t="s">
        <v>1469</v>
      </c>
      <c r="B3698" s="6" t="s">
        <v>9841</v>
      </c>
      <c r="C3698" s="6"/>
    </row>
    <row r="3699" customFormat="false" ht="15" hidden="false" customHeight="true" outlineLevel="0" collapsed="false">
      <c r="A3699" s="6" t="s">
        <v>304</v>
      </c>
      <c r="B3699" s="6" t="s">
        <v>304</v>
      </c>
      <c r="C3699" s="6" t="s">
        <v>8013</v>
      </c>
    </row>
    <row r="3700" customFormat="false" ht="15" hidden="false" customHeight="true" outlineLevel="0" collapsed="false">
      <c r="A3700" s="6" t="s">
        <v>304</v>
      </c>
      <c r="B3700" s="6" t="s">
        <v>6499</v>
      </c>
      <c r="C3700" s="6" t="s">
        <v>8013</v>
      </c>
    </row>
    <row r="3701" customFormat="false" ht="15" hidden="false" customHeight="true" outlineLevel="0" collapsed="false">
      <c r="A3701" s="6" t="s">
        <v>304</v>
      </c>
      <c r="B3701" s="6" t="s">
        <v>6835</v>
      </c>
      <c r="C3701" s="6" t="s">
        <v>8013</v>
      </c>
    </row>
    <row r="3702" customFormat="false" ht="15" hidden="false" customHeight="true" outlineLevel="0" collapsed="false">
      <c r="A3702" s="6" t="s">
        <v>304</v>
      </c>
      <c r="B3702" s="6" t="s">
        <v>6831</v>
      </c>
      <c r="C3702" s="6" t="s">
        <v>8013</v>
      </c>
    </row>
    <row r="3703" customFormat="false" ht="15" hidden="false" customHeight="true" outlineLevel="0" collapsed="false">
      <c r="A3703" s="6" t="s">
        <v>304</v>
      </c>
      <c r="B3703" s="6" t="s">
        <v>9784</v>
      </c>
      <c r="C3703" s="6"/>
    </row>
    <row r="3704" customFormat="false" ht="15" hidden="false" customHeight="true" outlineLevel="0" collapsed="false">
      <c r="A3704" s="6" t="s">
        <v>304</v>
      </c>
      <c r="B3704" s="6" t="s">
        <v>6830</v>
      </c>
      <c r="C3704" s="6" t="s">
        <v>8013</v>
      </c>
    </row>
    <row r="3705" customFormat="false" ht="15" hidden="false" customHeight="true" outlineLevel="0" collapsed="false">
      <c r="A3705" s="6" t="s">
        <v>304</v>
      </c>
      <c r="B3705" s="6" t="s">
        <v>6833</v>
      </c>
      <c r="C3705" s="6" t="s">
        <v>8013</v>
      </c>
    </row>
    <row r="3706" customFormat="false" ht="15" hidden="false" customHeight="true" outlineLevel="0" collapsed="false">
      <c r="A3706" s="6" t="s">
        <v>304</v>
      </c>
      <c r="B3706" s="6" t="s">
        <v>6834</v>
      </c>
      <c r="C3706" s="6" t="s">
        <v>8013</v>
      </c>
    </row>
    <row r="3707" customFormat="false" ht="15" hidden="false" customHeight="true" outlineLevel="0" collapsed="false">
      <c r="A3707" s="6" t="s">
        <v>304</v>
      </c>
      <c r="B3707" s="6" t="s">
        <v>9842</v>
      </c>
      <c r="C3707" s="6"/>
    </row>
    <row r="3708" customFormat="false" ht="15" hidden="false" customHeight="true" outlineLevel="0" collapsed="false">
      <c r="A3708" s="6" t="s">
        <v>1484</v>
      </c>
      <c r="B3708" s="6" t="s">
        <v>1484</v>
      </c>
      <c r="C3708" s="6" t="s">
        <v>8013</v>
      </c>
    </row>
    <row r="3709" customFormat="false" ht="15" hidden="false" customHeight="true" outlineLevel="0" collapsed="false">
      <c r="A3709" s="6" t="s">
        <v>1484</v>
      </c>
      <c r="B3709" s="6" t="s">
        <v>9843</v>
      </c>
      <c r="C3709" s="6"/>
    </row>
    <row r="3710" customFormat="false" ht="15" hidden="false" customHeight="true" outlineLevel="0" collapsed="false">
      <c r="A3710" s="6" t="s">
        <v>1484</v>
      </c>
      <c r="B3710" s="6" t="s">
        <v>9844</v>
      </c>
      <c r="C3710" s="6"/>
    </row>
    <row r="3711" customFormat="false" ht="15" hidden="false" customHeight="true" outlineLevel="0" collapsed="false">
      <c r="A3711" s="6" t="s">
        <v>1484</v>
      </c>
      <c r="B3711" s="6" t="s">
        <v>9845</v>
      </c>
      <c r="C3711" s="6"/>
    </row>
    <row r="3712" customFormat="false" ht="15" hidden="false" customHeight="true" outlineLevel="0" collapsed="false">
      <c r="A3712" s="6" t="s">
        <v>1484</v>
      </c>
      <c r="B3712" s="6" t="s">
        <v>9846</v>
      </c>
      <c r="C3712" s="6"/>
    </row>
    <row r="3713" customFormat="false" ht="15" hidden="false" customHeight="true" outlineLevel="0" collapsed="false">
      <c r="A3713" s="6" t="s">
        <v>1710</v>
      </c>
      <c r="B3713" s="6" t="s">
        <v>7901</v>
      </c>
      <c r="C3713" s="6" t="s">
        <v>8013</v>
      </c>
    </row>
    <row r="3714" customFormat="false" ht="15" hidden="false" customHeight="true" outlineLevel="0" collapsed="false">
      <c r="A3714" s="6" t="s">
        <v>1710</v>
      </c>
      <c r="B3714" s="6" t="s">
        <v>7566</v>
      </c>
      <c r="C3714" s="6" t="s">
        <v>8013</v>
      </c>
    </row>
    <row r="3715" customFormat="false" ht="15" hidden="false" customHeight="true" outlineLevel="0" collapsed="false">
      <c r="A3715" s="6" t="s">
        <v>1710</v>
      </c>
      <c r="B3715" s="6" t="s">
        <v>9847</v>
      </c>
      <c r="C3715" s="6"/>
    </row>
    <row r="3716" customFormat="false" ht="15" hidden="false" customHeight="true" outlineLevel="0" collapsed="false">
      <c r="A3716" s="6" t="s">
        <v>1710</v>
      </c>
      <c r="B3716" s="6" t="s">
        <v>9848</v>
      </c>
      <c r="C3716" s="6"/>
    </row>
    <row r="3717" customFormat="false" ht="15" hidden="false" customHeight="true" outlineLevel="0" collapsed="false">
      <c r="A3717" s="6" t="s">
        <v>1567</v>
      </c>
      <c r="B3717" s="6" t="s">
        <v>9849</v>
      </c>
      <c r="C3717" s="6"/>
    </row>
    <row r="3718" customFormat="false" ht="15" hidden="false" customHeight="true" outlineLevel="0" collapsed="false">
      <c r="A3718" s="6" t="s">
        <v>1567</v>
      </c>
      <c r="B3718" s="6" t="s">
        <v>9850</v>
      </c>
      <c r="C3718" s="6"/>
    </row>
    <row r="3719" customFormat="false" ht="15" hidden="false" customHeight="true" outlineLevel="0" collapsed="false">
      <c r="A3719" s="6" t="s">
        <v>1567</v>
      </c>
      <c r="B3719" s="6" t="s">
        <v>9776</v>
      </c>
      <c r="C3719" s="6"/>
    </row>
    <row r="3720" customFormat="false" ht="15" hidden="false" customHeight="true" outlineLevel="0" collapsed="false">
      <c r="A3720" s="6" t="s">
        <v>318</v>
      </c>
      <c r="B3720" s="6" t="s">
        <v>318</v>
      </c>
      <c r="C3720" s="6" t="s">
        <v>8013</v>
      </c>
    </row>
    <row r="3721" customFormat="false" ht="15" hidden="false" customHeight="true" outlineLevel="0" collapsed="false">
      <c r="A3721" s="6" t="s">
        <v>318</v>
      </c>
      <c r="B3721" s="6" t="s">
        <v>9851</v>
      </c>
      <c r="C3721" s="6"/>
    </row>
    <row r="3722" customFormat="false" ht="15" hidden="false" customHeight="true" outlineLevel="0" collapsed="false">
      <c r="A3722" s="6" t="s">
        <v>318</v>
      </c>
      <c r="B3722" s="6" t="s">
        <v>9852</v>
      </c>
      <c r="C3722" s="6"/>
    </row>
    <row r="3723" customFormat="false" ht="15" hidden="false" customHeight="true" outlineLevel="0" collapsed="false">
      <c r="A3723" s="6" t="s">
        <v>318</v>
      </c>
      <c r="B3723" s="6" t="s">
        <v>9853</v>
      </c>
      <c r="C3723" s="6"/>
    </row>
    <row r="3724" customFormat="false" ht="15" hidden="false" customHeight="true" outlineLevel="0" collapsed="false">
      <c r="A3724" s="6" t="s">
        <v>318</v>
      </c>
      <c r="B3724" s="6" t="s">
        <v>9854</v>
      </c>
      <c r="C3724" s="6"/>
    </row>
    <row r="3725" customFormat="false" ht="15" hidden="false" customHeight="true" outlineLevel="0" collapsed="false">
      <c r="A3725" s="6" t="s">
        <v>318</v>
      </c>
      <c r="B3725" s="6" t="s">
        <v>9855</v>
      </c>
      <c r="C3725" s="6"/>
    </row>
    <row r="3726" customFormat="false" ht="15" hidden="false" customHeight="true" outlineLevel="0" collapsed="false">
      <c r="A3726" s="6" t="s">
        <v>318</v>
      </c>
      <c r="B3726" s="6" t="s">
        <v>9856</v>
      </c>
      <c r="C3726" s="6"/>
    </row>
    <row r="3727" customFormat="false" ht="15" hidden="false" customHeight="true" outlineLevel="0" collapsed="false">
      <c r="A3727" s="6" t="s">
        <v>318</v>
      </c>
      <c r="B3727" s="6" t="s">
        <v>9857</v>
      </c>
      <c r="C3727" s="6"/>
    </row>
    <row r="3728" customFormat="false" ht="15" hidden="false" customHeight="true" outlineLevel="0" collapsed="false">
      <c r="A3728" s="6" t="s">
        <v>318</v>
      </c>
      <c r="B3728" s="6" t="s">
        <v>9858</v>
      </c>
      <c r="C3728" s="6"/>
    </row>
    <row r="3729" customFormat="false" ht="15" hidden="false" customHeight="true" outlineLevel="0" collapsed="false">
      <c r="A3729" s="6" t="s">
        <v>318</v>
      </c>
      <c r="B3729" s="6" t="s">
        <v>9859</v>
      </c>
      <c r="C3729" s="6"/>
    </row>
  </sheetData>
  <autoFilter ref="A1:C37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2026-10-18T11:51:30Z</dcterms:created>
  <dc:creator>openpyxl</dc:creator>
  <dc:description/>
  <dc:language>en-US</dc:language>
  <cp:lastModifiedBy/>
  <dcterms:modified xsi:type="dcterms:W3CDTF">2026-10-18T14:18:43Z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